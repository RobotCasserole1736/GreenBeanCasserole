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C:\Robot Casserole\aptana\14GBC\Excel\"/>
    </mc:Choice>
  </mc:AlternateContent>
  <bookViews>
    <workbookView xWindow="480" yWindow="45" windowWidth="14820" windowHeight="6465" tabRatio="736" firstSheet="4" activeTab="13"/>
  </bookViews>
  <sheets>
    <sheet name="Instructions" sheetId="64" r:id="rId1"/>
    <sheet name="Match" sheetId="66" r:id="rId2"/>
    <sheet name="Match Basics" sheetId="88" r:id="rId3"/>
    <sheet name="Mch Comments" sheetId="89" r:id="rId4"/>
    <sheet name="Comments" sheetId="84" r:id="rId5"/>
    <sheet name="F (7)" sheetId="83" state="hidden" r:id="rId6"/>
    <sheet name="F (6)" sheetId="82" state="hidden" r:id="rId7"/>
    <sheet name="F (5)" sheetId="79" state="hidden" r:id="rId8"/>
    <sheet name="F (4)" sheetId="78" state="hidden" r:id="rId9"/>
    <sheet name="F (3)" sheetId="77" state="hidden" r:id="rId10"/>
    <sheet name="F (2)" sheetId="73" state="hidden" r:id="rId11"/>
    <sheet name="F (1)" sheetId="70" state="hidden" r:id="rId12"/>
    <sheet name="Competition Data" sheetId="3" r:id="rId13"/>
    <sheet name="Pit Scouting Data" sheetId="95" r:id="rId14"/>
    <sheet name="FRC Site Data" sheetId="7" r:id="rId15"/>
    <sheet name="CIR Team Info" sheetId="1" r:id="rId16"/>
    <sheet name="WIS Team Info" sheetId="94" r:id="rId17"/>
    <sheet name="Sheet1" sheetId="93" r:id="rId18"/>
  </sheets>
  <functionGroups builtInGroupCount="18"/>
  <definedNames>
    <definedName name="_xlnm.Print_Area" localSheetId="1">Match!$A$1:$R$67</definedName>
  </definedNames>
  <calcPr calcId="152511" calcOnSave="0"/>
  <pivotCaches>
    <pivotCache cacheId="0" r:id="rId19"/>
  </pivotCaches>
</workbook>
</file>

<file path=xl/calcChain.xml><?xml version="1.0" encoding="utf-8"?>
<calcChain xmlns="http://schemas.openxmlformats.org/spreadsheetml/2006/main">
  <c r="AH948" i="95" l="1"/>
  <c r="AB948" i="95"/>
  <c r="AC948" i="95" s="1"/>
  <c r="AA948" i="95"/>
  <c r="Z948" i="95"/>
  <c r="Y948" i="95"/>
  <c r="X948" i="95"/>
  <c r="W948" i="95"/>
  <c r="V948" i="95"/>
  <c r="U948" i="95"/>
  <c r="T948" i="95"/>
  <c r="S948" i="95"/>
  <c r="R948" i="95"/>
  <c r="Q948" i="95"/>
  <c r="P948" i="95"/>
  <c r="O948" i="95"/>
  <c r="M948" i="95" s="1"/>
  <c r="N948" i="95"/>
  <c r="L948" i="95"/>
  <c r="J948" i="95" s="1"/>
  <c r="D948" i="95" s="1"/>
  <c r="K948" i="95"/>
  <c r="E948" i="95" s="1"/>
  <c r="I948" i="95"/>
  <c r="H948" i="95"/>
  <c r="G948" i="95"/>
  <c r="F948" i="95"/>
  <c r="C948" i="95"/>
  <c r="B948" i="95"/>
  <c r="AH947" i="95"/>
  <c r="AB947" i="95"/>
  <c r="AC947" i="95" s="1"/>
  <c r="AA947" i="95"/>
  <c r="Z947" i="95"/>
  <c r="Y947" i="95"/>
  <c r="X947" i="95"/>
  <c r="W947" i="95"/>
  <c r="V947" i="95"/>
  <c r="U947" i="95"/>
  <c r="T947" i="95"/>
  <c r="S947" i="95"/>
  <c r="R947" i="95"/>
  <c r="Q947" i="95"/>
  <c r="P947" i="95"/>
  <c r="O947" i="95"/>
  <c r="N947" i="95"/>
  <c r="M947" i="95"/>
  <c r="L947" i="95"/>
  <c r="J947" i="95" s="1"/>
  <c r="D947" i="95" s="1"/>
  <c r="K947" i="95"/>
  <c r="E947" i="95" s="1"/>
  <c r="I947" i="95"/>
  <c r="H947" i="95"/>
  <c r="B947" i="95" s="1"/>
  <c r="G947" i="95"/>
  <c r="F947" i="95"/>
  <c r="C947" i="95"/>
  <c r="AH946" i="95"/>
  <c r="AB946" i="95"/>
  <c r="AC946" i="95" s="1"/>
  <c r="AA946" i="95"/>
  <c r="Z946" i="95"/>
  <c r="Y946" i="95"/>
  <c r="X946" i="95"/>
  <c r="W946" i="95"/>
  <c r="V946" i="95"/>
  <c r="U946" i="95"/>
  <c r="T946" i="95"/>
  <c r="S946" i="95"/>
  <c r="R946" i="95"/>
  <c r="Q946" i="95"/>
  <c r="P946" i="95"/>
  <c r="O946" i="95"/>
  <c r="M946" i="95" s="1"/>
  <c r="N946" i="95"/>
  <c r="L946" i="95"/>
  <c r="J946" i="95" s="1"/>
  <c r="D946" i="95" s="1"/>
  <c r="K946" i="95"/>
  <c r="E946" i="95" s="1"/>
  <c r="I946" i="95"/>
  <c r="H946" i="95"/>
  <c r="G946" i="95"/>
  <c r="F946" i="95"/>
  <c r="C946" i="95"/>
  <c r="B946" i="95"/>
  <c r="AH945" i="95"/>
  <c r="AB945" i="95"/>
  <c r="AC945" i="95" s="1"/>
  <c r="AA945" i="95"/>
  <c r="Z945" i="95"/>
  <c r="Y945" i="95"/>
  <c r="X945" i="95"/>
  <c r="W945" i="95"/>
  <c r="V945" i="95"/>
  <c r="U945" i="95"/>
  <c r="T945" i="95"/>
  <c r="S945" i="95"/>
  <c r="R945" i="95"/>
  <c r="Q945" i="95"/>
  <c r="P945" i="95"/>
  <c r="O945" i="95"/>
  <c r="N945" i="95"/>
  <c r="M945" i="95"/>
  <c r="L945" i="95"/>
  <c r="J945" i="95" s="1"/>
  <c r="D945" i="95" s="1"/>
  <c r="K945" i="95"/>
  <c r="E945" i="95" s="1"/>
  <c r="I945" i="95"/>
  <c r="C945" i="95" s="1"/>
  <c r="H945" i="95"/>
  <c r="B945" i="95" s="1"/>
  <c r="G945" i="95"/>
  <c r="F945" i="95"/>
  <c r="AH944" i="95"/>
  <c r="AB944" i="95"/>
  <c r="AC944" i="95" s="1"/>
  <c r="AA944" i="95"/>
  <c r="Z944" i="95"/>
  <c r="Y944" i="95"/>
  <c r="X944" i="95"/>
  <c r="W944" i="95"/>
  <c r="V944" i="95"/>
  <c r="U944" i="95"/>
  <c r="T944" i="95"/>
  <c r="S944" i="95"/>
  <c r="R944" i="95"/>
  <c r="Q944" i="95"/>
  <c r="P944" i="95"/>
  <c r="O944" i="95"/>
  <c r="M944" i="95" s="1"/>
  <c r="N944" i="95"/>
  <c r="L944" i="95"/>
  <c r="K944" i="95"/>
  <c r="J944" i="95"/>
  <c r="D944" i="95" s="1"/>
  <c r="I944" i="95"/>
  <c r="H944" i="95"/>
  <c r="G944" i="95"/>
  <c r="F944" i="95"/>
  <c r="C944" i="95"/>
  <c r="B944" i="95"/>
  <c r="AH943" i="95"/>
  <c r="AB943" i="95"/>
  <c r="AC943" i="95" s="1"/>
  <c r="AA943" i="95"/>
  <c r="Z943" i="95"/>
  <c r="Y943" i="95"/>
  <c r="X943" i="95"/>
  <c r="W943" i="95"/>
  <c r="V943" i="95"/>
  <c r="U943" i="95"/>
  <c r="T943" i="95"/>
  <c r="S943" i="95"/>
  <c r="R943" i="95"/>
  <c r="Q943" i="95"/>
  <c r="P943" i="95"/>
  <c r="O943" i="95"/>
  <c r="N943" i="95"/>
  <c r="M943" i="95"/>
  <c r="L943" i="95"/>
  <c r="J943" i="95" s="1"/>
  <c r="D943" i="95" s="1"/>
  <c r="K943" i="95"/>
  <c r="I943" i="95"/>
  <c r="C943" i="95" s="1"/>
  <c r="H943" i="95"/>
  <c r="B943" i="95" s="1"/>
  <c r="G943" i="95"/>
  <c r="F943" i="95"/>
  <c r="E943" i="95"/>
  <c r="AH942" i="95"/>
  <c r="AB942" i="95"/>
  <c r="AC942" i="95" s="1"/>
  <c r="AA942" i="95"/>
  <c r="Z942" i="95"/>
  <c r="Y942" i="95"/>
  <c r="X942" i="95"/>
  <c r="W942" i="95"/>
  <c r="V942" i="95"/>
  <c r="U942" i="95"/>
  <c r="T942" i="95"/>
  <c r="S942" i="95"/>
  <c r="R942" i="95"/>
  <c r="Q942" i="95"/>
  <c r="P942" i="95"/>
  <c r="O942" i="95"/>
  <c r="M942" i="95" s="1"/>
  <c r="N942" i="95"/>
  <c r="L942" i="95"/>
  <c r="J942" i="95" s="1"/>
  <c r="D942" i="95" s="1"/>
  <c r="K942" i="95"/>
  <c r="I942" i="95"/>
  <c r="H942" i="95"/>
  <c r="G942" i="95"/>
  <c r="F942" i="95"/>
  <c r="C942" i="95"/>
  <c r="B942" i="95"/>
  <c r="AH941" i="95"/>
  <c r="AB941" i="95"/>
  <c r="AC941" i="95" s="1"/>
  <c r="AA941" i="95"/>
  <c r="Z941" i="95"/>
  <c r="Y941" i="95"/>
  <c r="X941" i="95"/>
  <c r="W941" i="95"/>
  <c r="V941" i="95"/>
  <c r="U941" i="95"/>
  <c r="T941" i="95"/>
  <c r="S941" i="95"/>
  <c r="R941" i="95"/>
  <c r="Q941" i="95"/>
  <c r="P941" i="95"/>
  <c r="O941" i="95"/>
  <c r="M941" i="95" s="1"/>
  <c r="N941" i="95"/>
  <c r="L941" i="95"/>
  <c r="J941" i="95" s="1"/>
  <c r="D941" i="95" s="1"/>
  <c r="K941" i="95"/>
  <c r="I941" i="95"/>
  <c r="C941" i="95" s="1"/>
  <c r="H941" i="95"/>
  <c r="B941" i="95" s="1"/>
  <c r="G941" i="95"/>
  <c r="F941" i="95"/>
  <c r="E941" i="95"/>
  <c r="AH940" i="95"/>
  <c r="AB940" i="95"/>
  <c r="AC940" i="95" s="1"/>
  <c r="AA940" i="95"/>
  <c r="Z940" i="95"/>
  <c r="Y940" i="95"/>
  <c r="X940" i="95"/>
  <c r="W940" i="95"/>
  <c r="V940" i="95"/>
  <c r="U940" i="95"/>
  <c r="T940" i="95"/>
  <c r="S940" i="95"/>
  <c r="R940" i="95"/>
  <c r="Q940" i="95"/>
  <c r="P940" i="95"/>
  <c r="O940" i="95"/>
  <c r="M940" i="95" s="1"/>
  <c r="N940" i="95"/>
  <c r="L940" i="95"/>
  <c r="K940" i="95"/>
  <c r="E940" i="95" s="1"/>
  <c r="J940" i="95"/>
  <c r="D940" i="95" s="1"/>
  <c r="I940" i="95"/>
  <c r="H940" i="95"/>
  <c r="G940" i="95"/>
  <c r="F940" i="95"/>
  <c r="C940" i="95"/>
  <c r="B940" i="95"/>
  <c r="AH939" i="95"/>
  <c r="AB939" i="95"/>
  <c r="AC939" i="95" s="1"/>
  <c r="AA939" i="95"/>
  <c r="Z939" i="95"/>
  <c r="Y939" i="95"/>
  <c r="X939" i="95"/>
  <c r="W939" i="95"/>
  <c r="V939" i="95"/>
  <c r="U939" i="95"/>
  <c r="T939" i="95"/>
  <c r="S939" i="95"/>
  <c r="R939" i="95"/>
  <c r="Q939" i="95"/>
  <c r="P939" i="95"/>
  <c r="O939" i="95"/>
  <c r="N939" i="95"/>
  <c r="M939" i="95"/>
  <c r="L939" i="95"/>
  <c r="J939" i="95" s="1"/>
  <c r="K939" i="95"/>
  <c r="E939" i="95" s="1"/>
  <c r="I939" i="95"/>
  <c r="C939" i="95" s="1"/>
  <c r="H939" i="95"/>
  <c r="B939" i="95" s="1"/>
  <c r="G939" i="95"/>
  <c r="F939" i="95"/>
  <c r="D939" i="95"/>
  <c r="AH938" i="95"/>
  <c r="AB938" i="95"/>
  <c r="AC938" i="95" s="1"/>
  <c r="AA938" i="95"/>
  <c r="Z938" i="95"/>
  <c r="Y938" i="95"/>
  <c r="X938" i="95"/>
  <c r="W938" i="95"/>
  <c r="V938" i="95"/>
  <c r="U938" i="95"/>
  <c r="T938" i="95"/>
  <c r="S938" i="95"/>
  <c r="R938" i="95"/>
  <c r="Q938" i="95"/>
  <c r="P938" i="95"/>
  <c r="O938" i="95"/>
  <c r="M938" i="95" s="1"/>
  <c r="N938" i="95"/>
  <c r="L938" i="95"/>
  <c r="J938" i="95" s="1"/>
  <c r="D938" i="95" s="1"/>
  <c r="K938" i="95"/>
  <c r="E938" i="95" s="1"/>
  <c r="I938" i="95"/>
  <c r="H938" i="95"/>
  <c r="G938" i="95"/>
  <c r="F938" i="95"/>
  <c r="C938" i="95"/>
  <c r="B938" i="95"/>
  <c r="AH937" i="95"/>
  <c r="AB937" i="95"/>
  <c r="AC937" i="95" s="1"/>
  <c r="AA937" i="95"/>
  <c r="Z937" i="95"/>
  <c r="Y937" i="95"/>
  <c r="X937" i="95"/>
  <c r="W937" i="95"/>
  <c r="V937" i="95"/>
  <c r="U937" i="95"/>
  <c r="T937" i="95"/>
  <c r="S937" i="95"/>
  <c r="R937" i="95"/>
  <c r="Q937" i="95"/>
  <c r="P937" i="95"/>
  <c r="O937" i="95"/>
  <c r="N937" i="95"/>
  <c r="M937" i="95"/>
  <c r="L937" i="95"/>
  <c r="J937" i="95" s="1"/>
  <c r="D937" i="95" s="1"/>
  <c r="K937" i="95"/>
  <c r="E937" i="95" s="1"/>
  <c r="I937" i="95"/>
  <c r="C937" i="95" s="1"/>
  <c r="H937" i="95"/>
  <c r="B937" i="95" s="1"/>
  <c r="G937" i="95"/>
  <c r="F937" i="95"/>
  <c r="AH936" i="95"/>
  <c r="AB936" i="95"/>
  <c r="AC936" i="95" s="1"/>
  <c r="AA936" i="95"/>
  <c r="Z936" i="95"/>
  <c r="Y936" i="95"/>
  <c r="X936" i="95"/>
  <c r="W936" i="95"/>
  <c r="V936" i="95"/>
  <c r="U936" i="95"/>
  <c r="T936" i="95"/>
  <c r="S936" i="95"/>
  <c r="R936" i="95"/>
  <c r="Q936" i="95"/>
  <c r="P936" i="95"/>
  <c r="O936" i="95"/>
  <c r="M936" i="95" s="1"/>
  <c r="N936" i="95"/>
  <c r="L936" i="95"/>
  <c r="K936" i="95"/>
  <c r="E936" i="95" s="1"/>
  <c r="J936" i="95"/>
  <c r="D936" i="95" s="1"/>
  <c r="I936" i="95"/>
  <c r="H936" i="95"/>
  <c r="G936" i="95"/>
  <c r="F936" i="95"/>
  <c r="C936" i="95"/>
  <c r="B936" i="95"/>
  <c r="AH935" i="95"/>
  <c r="AB935" i="95"/>
  <c r="AC935" i="95" s="1"/>
  <c r="AA935" i="95"/>
  <c r="Z935" i="95"/>
  <c r="Y935" i="95"/>
  <c r="X935" i="95"/>
  <c r="W935" i="95"/>
  <c r="V935" i="95"/>
  <c r="U935" i="95"/>
  <c r="T935" i="95"/>
  <c r="S935" i="95"/>
  <c r="R935" i="95"/>
  <c r="Q935" i="95"/>
  <c r="P935" i="95"/>
  <c r="O935" i="95"/>
  <c r="N935" i="95"/>
  <c r="M935" i="95"/>
  <c r="L935" i="95"/>
  <c r="J935" i="95" s="1"/>
  <c r="K935" i="95"/>
  <c r="E935" i="95" s="1"/>
  <c r="I935" i="95"/>
  <c r="C935" i="95" s="1"/>
  <c r="H935" i="95"/>
  <c r="B935" i="95" s="1"/>
  <c r="G935" i="95"/>
  <c r="F935" i="95"/>
  <c r="D935" i="95"/>
  <c r="AH934" i="95"/>
  <c r="AC934" i="95"/>
  <c r="AB934" i="95"/>
  <c r="AA934" i="95"/>
  <c r="Z934" i="95"/>
  <c r="Y934" i="95"/>
  <c r="X934" i="95"/>
  <c r="W934" i="95"/>
  <c r="V934" i="95"/>
  <c r="U934" i="95"/>
  <c r="T934" i="95"/>
  <c r="S934" i="95"/>
  <c r="R934" i="95"/>
  <c r="Q934" i="95"/>
  <c r="P934" i="95"/>
  <c r="O934" i="95"/>
  <c r="M934" i="95" s="1"/>
  <c r="N934" i="95"/>
  <c r="L934" i="95"/>
  <c r="K934" i="95"/>
  <c r="J934" i="95"/>
  <c r="D934" i="95" s="1"/>
  <c r="I934" i="95"/>
  <c r="H934" i="95"/>
  <c r="G934" i="95"/>
  <c r="F934" i="95"/>
  <c r="C934" i="95"/>
  <c r="B934" i="95"/>
  <c r="AH933" i="95"/>
  <c r="AB933" i="95"/>
  <c r="AC933" i="95" s="1"/>
  <c r="AA933" i="95"/>
  <c r="Z933" i="95"/>
  <c r="Y933" i="95"/>
  <c r="X933" i="95"/>
  <c r="W933" i="95"/>
  <c r="V933" i="95"/>
  <c r="U933" i="95"/>
  <c r="T933" i="95"/>
  <c r="S933" i="95"/>
  <c r="R933" i="95"/>
  <c r="Q933" i="95"/>
  <c r="P933" i="95"/>
  <c r="O933" i="95"/>
  <c r="M933" i="95" s="1"/>
  <c r="N933" i="95"/>
  <c r="L933" i="95"/>
  <c r="J933" i="95" s="1"/>
  <c r="D933" i="95" s="1"/>
  <c r="K933" i="95"/>
  <c r="I933" i="95"/>
  <c r="C933" i="95" s="1"/>
  <c r="H933" i="95"/>
  <c r="B933" i="95" s="1"/>
  <c r="G933" i="95"/>
  <c r="F933" i="95"/>
  <c r="E933" i="95"/>
  <c r="AH932" i="95"/>
  <c r="AB932" i="95"/>
  <c r="AC932" i="95" s="1"/>
  <c r="AA932" i="95"/>
  <c r="Z932" i="95"/>
  <c r="Y932" i="95"/>
  <c r="X932" i="95"/>
  <c r="W932" i="95"/>
  <c r="V932" i="95"/>
  <c r="U932" i="95"/>
  <c r="T932" i="95"/>
  <c r="S932" i="95"/>
  <c r="R932" i="95"/>
  <c r="Q932" i="95"/>
  <c r="P932" i="95"/>
  <c r="O932" i="95"/>
  <c r="M932" i="95" s="1"/>
  <c r="N932" i="95"/>
  <c r="L932" i="95"/>
  <c r="J932" i="95" s="1"/>
  <c r="D932" i="95" s="1"/>
  <c r="K932" i="95"/>
  <c r="E932" i="95" s="1"/>
  <c r="I932" i="95"/>
  <c r="H932" i="95"/>
  <c r="G932" i="95"/>
  <c r="F932" i="95"/>
  <c r="C932" i="95"/>
  <c r="B932" i="95"/>
  <c r="AH931" i="95"/>
  <c r="AB931" i="95"/>
  <c r="AC931" i="95" s="1"/>
  <c r="AA931" i="95"/>
  <c r="Z931" i="95"/>
  <c r="Y931" i="95"/>
  <c r="X931" i="95"/>
  <c r="W931" i="95"/>
  <c r="V931" i="95"/>
  <c r="U931" i="95"/>
  <c r="T931" i="95"/>
  <c r="S931" i="95"/>
  <c r="R931" i="95"/>
  <c r="Q931" i="95"/>
  <c r="P931" i="95"/>
  <c r="O931" i="95"/>
  <c r="M931" i="95" s="1"/>
  <c r="N931" i="95"/>
  <c r="L931" i="95"/>
  <c r="J931" i="95" s="1"/>
  <c r="D931" i="95" s="1"/>
  <c r="K931" i="95"/>
  <c r="E931" i="95" s="1"/>
  <c r="I931" i="95"/>
  <c r="C931" i="95" s="1"/>
  <c r="H931" i="95"/>
  <c r="B931" i="95" s="1"/>
  <c r="G931" i="95"/>
  <c r="F931" i="95"/>
  <c r="AH930" i="95"/>
  <c r="AB930" i="95"/>
  <c r="AC930" i="95" s="1"/>
  <c r="AA930" i="95"/>
  <c r="Z930" i="95"/>
  <c r="Y930" i="95"/>
  <c r="X930" i="95"/>
  <c r="W930" i="95"/>
  <c r="V930" i="95"/>
  <c r="U930" i="95"/>
  <c r="T930" i="95"/>
  <c r="S930" i="95"/>
  <c r="R930" i="95"/>
  <c r="Q930" i="95"/>
  <c r="P930" i="95"/>
  <c r="O930" i="95"/>
  <c r="M930" i="95" s="1"/>
  <c r="N930" i="95"/>
  <c r="L930" i="95"/>
  <c r="K930" i="95"/>
  <c r="E930" i="95" s="1"/>
  <c r="J930" i="95"/>
  <c r="D930" i="95" s="1"/>
  <c r="I930" i="95"/>
  <c r="H930" i="95"/>
  <c r="G930" i="95"/>
  <c r="F930" i="95"/>
  <c r="C930" i="95"/>
  <c r="B930" i="95"/>
  <c r="AH929" i="95"/>
  <c r="AB929" i="95"/>
  <c r="AC929" i="95" s="1"/>
  <c r="AA929" i="95"/>
  <c r="Z929" i="95"/>
  <c r="Y929" i="95"/>
  <c r="X929" i="95"/>
  <c r="W929" i="95"/>
  <c r="V929" i="95"/>
  <c r="U929" i="95"/>
  <c r="T929" i="95"/>
  <c r="S929" i="95"/>
  <c r="R929" i="95"/>
  <c r="Q929" i="95"/>
  <c r="P929" i="95"/>
  <c r="O929" i="95"/>
  <c r="M929" i="95" s="1"/>
  <c r="N929" i="95"/>
  <c r="L929" i="95"/>
  <c r="J929" i="95" s="1"/>
  <c r="D929" i="95" s="1"/>
  <c r="K929" i="95"/>
  <c r="E929" i="95" s="1"/>
  <c r="I929" i="95"/>
  <c r="C929" i="95" s="1"/>
  <c r="H929" i="95"/>
  <c r="B929" i="95" s="1"/>
  <c r="G929" i="95"/>
  <c r="F929" i="95"/>
  <c r="AH928" i="95"/>
  <c r="AB928" i="95"/>
  <c r="AC928" i="95" s="1"/>
  <c r="AA928" i="95"/>
  <c r="Z928" i="95"/>
  <c r="Y928" i="95"/>
  <c r="X928" i="95"/>
  <c r="W928" i="95"/>
  <c r="V928" i="95"/>
  <c r="U928" i="95"/>
  <c r="T928" i="95"/>
  <c r="S928" i="95"/>
  <c r="R928" i="95"/>
  <c r="Q928" i="95"/>
  <c r="P928" i="95"/>
  <c r="O928" i="95"/>
  <c r="M928" i="95" s="1"/>
  <c r="N928" i="95"/>
  <c r="L928" i="95"/>
  <c r="J928" i="95" s="1"/>
  <c r="D928" i="95" s="1"/>
  <c r="K928" i="95"/>
  <c r="E928" i="95" s="1"/>
  <c r="I928" i="95"/>
  <c r="H928" i="95"/>
  <c r="G928" i="95"/>
  <c r="F928" i="95"/>
  <c r="C928" i="95"/>
  <c r="B928" i="95"/>
  <c r="AH927" i="95"/>
  <c r="AB927" i="95"/>
  <c r="AC927" i="95" s="1"/>
  <c r="AA927" i="95"/>
  <c r="Z927" i="95"/>
  <c r="Y927" i="95"/>
  <c r="X927" i="95"/>
  <c r="W927" i="95"/>
  <c r="V927" i="95"/>
  <c r="U927" i="95"/>
  <c r="T927" i="95"/>
  <c r="S927" i="95"/>
  <c r="R927" i="95"/>
  <c r="Q927" i="95"/>
  <c r="P927" i="95"/>
  <c r="O927" i="95"/>
  <c r="N927" i="95"/>
  <c r="M927" i="95"/>
  <c r="L927" i="95"/>
  <c r="J927" i="95" s="1"/>
  <c r="K927" i="95"/>
  <c r="E927" i="95" s="1"/>
  <c r="I927" i="95"/>
  <c r="C927" i="95" s="1"/>
  <c r="H927" i="95"/>
  <c r="B927" i="95" s="1"/>
  <c r="G927" i="95"/>
  <c r="F927" i="95"/>
  <c r="D927" i="95"/>
  <c r="AH926" i="95"/>
  <c r="AC926" i="95"/>
  <c r="AB926" i="95"/>
  <c r="AA926" i="95"/>
  <c r="Z926" i="95"/>
  <c r="Y926" i="95"/>
  <c r="X926" i="95"/>
  <c r="W926" i="95"/>
  <c r="V926" i="95"/>
  <c r="U926" i="95"/>
  <c r="T926" i="95"/>
  <c r="S926" i="95"/>
  <c r="R926" i="95"/>
  <c r="Q926" i="95"/>
  <c r="P926" i="95"/>
  <c r="O926" i="95"/>
  <c r="M926" i="95" s="1"/>
  <c r="N926" i="95"/>
  <c r="L926" i="95"/>
  <c r="K926" i="95"/>
  <c r="J926" i="95"/>
  <c r="D926" i="95" s="1"/>
  <c r="I926" i="95"/>
  <c r="H926" i="95"/>
  <c r="G926" i="95"/>
  <c r="F926" i="95"/>
  <c r="C926" i="95"/>
  <c r="B926" i="95"/>
  <c r="AH925" i="95"/>
  <c r="AB925" i="95"/>
  <c r="AC925" i="95" s="1"/>
  <c r="AA925" i="95"/>
  <c r="Z925" i="95"/>
  <c r="Y925" i="95"/>
  <c r="X925" i="95"/>
  <c r="W925" i="95"/>
  <c r="V925" i="95"/>
  <c r="U925" i="95"/>
  <c r="T925" i="95"/>
  <c r="S925" i="95"/>
  <c r="R925" i="95"/>
  <c r="Q925" i="95"/>
  <c r="P925" i="95"/>
  <c r="O925" i="95"/>
  <c r="N925" i="95"/>
  <c r="M925" i="95"/>
  <c r="L925" i="95"/>
  <c r="J925" i="95" s="1"/>
  <c r="D925" i="95" s="1"/>
  <c r="K925" i="95"/>
  <c r="I925" i="95"/>
  <c r="C925" i="95" s="1"/>
  <c r="H925" i="95"/>
  <c r="B925" i="95" s="1"/>
  <c r="G925" i="95"/>
  <c r="F925" i="95"/>
  <c r="E925" i="95"/>
  <c r="AH924" i="95"/>
  <c r="AB924" i="95"/>
  <c r="AC924" i="95" s="1"/>
  <c r="AA924" i="95"/>
  <c r="Z924" i="95"/>
  <c r="Y924" i="95"/>
  <c r="X924" i="95"/>
  <c r="W924" i="95"/>
  <c r="V924" i="95"/>
  <c r="U924" i="95"/>
  <c r="T924" i="95"/>
  <c r="S924" i="95"/>
  <c r="R924" i="95"/>
  <c r="Q924" i="95"/>
  <c r="P924" i="95"/>
  <c r="O924" i="95"/>
  <c r="M924" i="95" s="1"/>
  <c r="N924" i="95"/>
  <c r="L924" i="95"/>
  <c r="K924" i="95"/>
  <c r="E924" i="95" s="1"/>
  <c r="J924" i="95"/>
  <c r="D924" i="95" s="1"/>
  <c r="I924" i="95"/>
  <c r="H924" i="95"/>
  <c r="G924" i="95"/>
  <c r="F924" i="95"/>
  <c r="C924" i="95"/>
  <c r="B924" i="95"/>
  <c r="AH923" i="95"/>
  <c r="AB923" i="95"/>
  <c r="AC923" i="95" s="1"/>
  <c r="AA923" i="95"/>
  <c r="Z923" i="95"/>
  <c r="Y923" i="95"/>
  <c r="X923" i="95"/>
  <c r="W923" i="95"/>
  <c r="V923" i="95"/>
  <c r="U923" i="95"/>
  <c r="T923" i="95"/>
  <c r="S923" i="95"/>
  <c r="R923" i="95"/>
  <c r="Q923" i="95"/>
  <c r="P923" i="95"/>
  <c r="O923" i="95"/>
  <c r="N923" i="95"/>
  <c r="M923" i="95"/>
  <c r="L923" i="95"/>
  <c r="J923" i="95" s="1"/>
  <c r="D923" i="95" s="1"/>
  <c r="K923" i="95"/>
  <c r="E923" i="95" s="1"/>
  <c r="I923" i="95"/>
  <c r="C923" i="95" s="1"/>
  <c r="H923" i="95"/>
  <c r="B923" i="95" s="1"/>
  <c r="G923" i="95"/>
  <c r="F923" i="95"/>
  <c r="AH922" i="95"/>
  <c r="AB922" i="95"/>
  <c r="AC922" i="95" s="1"/>
  <c r="AA922" i="95"/>
  <c r="Z922" i="95"/>
  <c r="Y922" i="95"/>
  <c r="X922" i="95"/>
  <c r="W922" i="95"/>
  <c r="V922" i="95"/>
  <c r="U922" i="95"/>
  <c r="T922" i="95"/>
  <c r="S922" i="95"/>
  <c r="R922" i="95"/>
  <c r="Q922" i="95"/>
  <c r="P922" i="95"/>
  <c r="O922" i="95"/>
  <c r="M922" i="95" s="1"/>
  <c r="N922" i="95"/>
  <c r="L922" i="95"/>
  <c r="J922" i="95" s="1"/>
  <c r="D922" i="95" s="1"/>
  <c r="K922" i="95"/>
  <c r="E922" i="95" s="1"/>
  <c r="I922" i="95"/>
  <c r="H922" i="95"/>
  <c r="G922" i="95"/>
  <c r="F922" i="95"/>
  <c r="C922" i="95"/>
  <c r="B922" i="95"/>
  <c r="AH921" i="95"/>
  <c r="AB921" i="95"/>
  <c r="AC921" i="95" s="1"/>
  <c r="AA921" i="95"/>
  <c r="Z921" i="95"/>
  <c r="Y921" i="95"/>
  <c r="X921" i="95"/>
  <c r="W921" i="95"/>
  <c r="V921" i="95"/>
  <c r="U921" i="95"/>
  <c r="T921" i="95"/>
  <c r="S921" i="95"/>
  <c r="R921" i="95"/>
  <c r="Q921" i="95"/>
  <c r="P921" i="95"/>
  <c r="O921" i="95"/>
  <c r="N921" i="95"/>
  <c r="M921" i="95"/>
  <c r="L921" i="95"/>
  <c r="J921" i="95" s="1"/>
  <c r="D921" i="95" s="1"/>
  <c r="K921" i="95"/>
  <c r="E921" i="95" s="1"/>
  <c r="I921" i="95"/>
  <c r="C921" i="95" s="1"/>
  <c r="H921" i="95"/>
  <c r="B921" i="95" s="1"/>
  <c r="G921" i="95"/>
  <c r="F921" i="95"/>
  <c r="AH920" i="95"/>
  <c r="AB920" i="95"/>
  <c r="AC920" i="95" s="1"/>
  <c r="AA920" i="95"/>
  <c r="Z920" i="95"/>
  <c r="Y920" i="95"/>
  <c r="X920" i="95"/>
  <c r="W920" i="95"/>
  <c r="V920" i="95"/>
  <c r="U920" i="95"/>
  <c r="T920" i="95"/>
  <c r="S920" i="95"/>
  <c r="R920" i="95"/>
  <c r="Q920" i="95"/>
  <c r="P920" i="95"/>
  <c r="O920" i="95"/>
  <c r="M920" i="95" s="1"/>
  <c r="N920" i="95"/>
  <c r="L920" i="95"/>
  <c r="K920" i="95"/>
  <c r="E920" i="95" s="1"/>
  <c r="J920" i="95"/>
  <c r="D920" i="95" s="1"/>
  <c r="I920" i="95"/>
  <c r="H920" i="95"/>
  <c r="G920" i="95"/>
  <c r="F920" i="95"/>
  <c r="C920" i="95"/>
  <c r="B920" i="95"/>
  <c r="AH919" i="95"/>
  <c r="AB919" i="95"/>
  <c r="AC919" i="95" s="1"/>
  <c r="AA919" i="95"/>
  <c r="Z919" i="95"/>
  <c r="Y919" i="95"/>
  <c r="X919" i="95"/>
  <c r="W919" i="95"/>
  <c r="V919" i="95"/>
  <c r="U919" i="95"/>
  <c r="T919" i="95"/>
  <c r="S919" i="95"/>
  <c r="R919" i="95"/>
  <c r="Q919" i="95"/>
  <c r="P919" i="95"/>
  <c r="O919" i="95"/>
  <c r="M919" i="95" s="1"/>
  <c r="N919" i="95"/>
  <c r="L919" i="95"/>
  <c r="J919" i="95" s="1"/>
  <c r="K919" i="95"/>
  <c r="E919" i="95" s="1"/>
  <c r="I919" i="95"/>
  <c r="C919" i="95" s="1"/>
  <c r="H919" i="95"/>
  <c r="B919" i="95" s="1"/>
  <c r="G919" i="95"/>
  <c r="F919" i="95"/>
  <c r="D919" i="95"/>
  <c r="AH918" i="95"/>
  <c r="AC918" i="95"/>
  <c r="AB918" i="95"/>
  <c r="AA918" i="95"/>
  <c r="Z918" i="95"/>
  <c r="Y918" i="95"/>
  <c r="X918" i="95"/>
  <c r="W918" i="95"/>
  <c r="V918" i="95"/>
  <c r="U918" i="95"/>
  <c r="T918" i="95"/>
  <c r="S918" i="95"/>
  <c r="R918" i="95"/>
  <c r="Q918" i="95"/>
  <c r="P918" i="95"/>
  <c r="O918" i="95"/>
  <c r="M918" i="95" s="1"/>
  <c r="N918" i="95"/>
  <c r="L918" i="95"/>
  <c r="J918" i="95" s="1"/>
  <c r="D918" i="95" s="1"/>
  <c r="K918" i="95"/>
  <c r="I918" i="95"/>
  <c r="H918" i="95"/>
  <c r="G918" i="95"/>
  <c r="F918" i="95"/>
  <c r="C918" i="95"/>
  <c r="B918" i="95"/>
  <c r="AH917" i="95"/>
  <c r="AB917" i="95"/>
  <c r="AC917" i="95" s="1"/>
  <c r="AA917" i="95"/>
  <c r="Z917" i="95"/>
  <c r="Y917" i="95"/>
  <c r="X917" i="95"/>
  <c r="W917" i="95"/>
  <c r="V917" i="95"/>
  <c r="U917" i="95"/>
  <c r="T917" i="95"/>
  <c r="S917" i="95"/>
  <c r="R917" i="95"/>
  <c r="Q917" i="95"/>
  <c r="P917" i="95"/>
  <c r="O917" i="95"/>
  <c r="M917" i="95" s="1"/>
  <c r="N917" i="95"/>
  <c r="L917" i="95"/>
  <c r="J917" i="95" s="1"/>
  <c r="D917" i="95" s="1"/>
  <c r="K917" i="95"/>
  <c r="I917" i="95"/>
  <c r="C917" i="95" s="1"/>
  <c r="H917" i="95"/>
  <c r="B917" i="95" s="1"/>
  <c r="G917" i="95"/>
  <c r="F917" i="95"/>
  <c r="E917" i="95"/>
  <c r="AH916" i="95"/>
  <c r="AB916" i="95"/>
  <c r="AC916" i="95" s="1"/>
  <c r="AA916" i="95"/>
  <c r="Z916" i="95"/>
  <c r="Y916" i="95"/>
  <c r="X916" i="95"/>
  <c r="W916" i="95"/>
  <c r="V916" i="95"/>
  <c r="U916" i="95"/>
  <c r="T916" i="95"/>
  <c r="S916" i="95"/>
  <c r="R916" i="95"/>
  <c r="Q916" i="95"/>
  <c r="P916" i="95"/>
  <c r="O916" i="95"/>
  <c r="M916" i="95" s="1"/>
  <c r="N916" i="95"/>
  <c r="L916" i="95"/>
  <c r="J916" i="95" s="1"/>
  <c r="D916" i="95" s="1"/>
  <c r="K916" i="95"/>
  <c r="E916" i="95" s="1"/>
  <c r="I916" i="95"/>
  <c r="H916" i="95"/>
  <c r="G916" i="95"/>
  <c r="F916" i="95"/>
  <c r="C916" i="95"/>
  <c r="B916" i="95"/>
  <c r="AH915" i="95"/>
  <c r="AB915" i="95"/>
  <c r="AC915" i="95" s="1"/>
  <c r="AA915" i="95"/>
  <c r="Z915" i="95"/>
  <c r="Y915" i="95"/>
  <c r="X915" i="95"/>
  <c r="W915" i="95"/>
  <c r="V915" i="95"/>
  <c r="U915" i="95"/>
  <c r="T915" i="95"/>
  <c r="S915" i="95"/>
  <c r="R915" i="95"/>
  <c r="Q915" i="95"/>
  <c r="P915" i="95"/>
  <c r="O915" i="95"/>
  <c r="N915" i="95"/>
  <c r="M915" i="95"/>
  <c r="L915" i="95"/>
  <c r="J915" i="95" s="1"/>
  <c r="D915" i="95" s="1"/>
  <c r="K915" i="95"/>
  <c r="E915" i="95" s="1"/>
  <c r="I915" i="95"/>
  <c r="C915" i="95" s="1"/>
  <c r="H915" i="95"/>
  <c r="B915" i="95" s="1"/>
  <c r="G915" i="95"/>
  <c r="F915" i="95"/>
  <c r="AH914" i="95"/>
  <c r="AB914" i="95"/>
  <c r="AC914" i="95" s="1"/>
  <c r="AA914" i="95"/>
  <c r="Z914" i="95"/>
  <c r="Y914" i="95"/>
  <c r="X914" i="95"/>
  <c r="W914" i="95"/>
  <c r="V914" i="95"/>
  <c r="U914" i="95"/>
  <c r="T914" i="95"/>
  <c r="S914" i="95"/>
  <c r="R914" i="95"/>
  <c r="Q914" i="95"/>
  <c r="P914" i="95"/>
  <c r="O914" i="95"/>
  <c r="M914" i="95" s="1"/>
  <c r="N914" i="95"/>
  <c r="L914" i="95"/>
  <c r="K914" i="95"/>
  <c r="E914" i="95" s="1"/>
  <c r="J914" i="95"/>
  <c r="D914" i="95" s="1"/>
  <c r="I914" i="95"/>
  <c r="H914" i="95"/>
  <c r="G914" i="95"/>
  <c r="F914" i="95"/>
  <c r="C914" i="95"/>
  <c r="B914" i="95"/>
  <c r="AH913" i="95"/>
  <c r="AB913" i="95"/>
  <c r="AC913" i="95" s="1"/>
  <c r="AA913" i="95"/>
  <c r="Z913" i="95"/>
  <c r="Y913" i="95"/>
  <c r="X913" i="95"/>
  <c r="W913" i="95"/>
  <c r="V913" i="95"/>
  <c r="U913" i="95"/>
  <c r="T913" i="95"/>
  <c r="S913" i="95"/>
  <c r="R913" i="95"/>
  <c r="Q913" i="95"/>
  <c r="P913" i="95"/>
  <c r="O913" i="95"/>
  <c r="N913" i="95"/>
  <c r="M913" i="95"/>
  <c r="L913" i="95"/>
  <c r="J913" i="95" s="1"/>
  <c r="D913" i="95" s="1"/>
  <c r="K913" i="95"/>
  <c r="E913" i="95" s="1"/>
  <c r="I913" i="95"/>
  <c r="C913" i="95" s="1"/>
  <c r="H913" i="95"/>
  <c r="B913" i="95" s="1"/>
  <c r="G913" i="95"/>
  <c r="F913" i="95"/>
  <c r="AH912" i="95"/>
  <c r="AB912" i="95"/>
  <c r="AC912" i="95" s="1"/>
  <c r="AA912" i="95"/>
  <c r="Z912" i="95"/>
  <c r="Y912" i="95"/>
  <c r="X912" i="95"/>
  <c r="W912" i="95"/>
  <c r="V912" i="95"/>
  <c r="U912" i="95"/>
  <c r="T912" i="95"/>
  <c r="S912" i="95"/>
  <c r="R912" i="95"/>
  <c r="Q912" i="95"/>
  <c r="P912" i="95"/>
  <c r="O912" i="95"/>
  <c r="M912" i="95" s="1"/>
  <c r="N912" i="95"/>
  <c r="L912" i="95"/>
  <c r="J912" i="95" s="1"/>
  <c r="D912" i="95" s="1"/>
  <c r="K912" i="95"/>
  <c r="E912" i="95" s="1"/>
  <c r="I912" i="95"/>
  <c r="H912" i="95"/>
  <c r="G912" i="95"/>
  <c r="F912" i="95"/>
  <c r="C912" i="95"/>
  <c r="B912" i="95"/>
  <c r="AH911" i="95"/>
  <c r="AB911" i="95"/>
  <c r="AC911" i="95" s="1"/>
  <c r="AA911" i="95"/>
  <c r="Z911" i="95"/>
  <c r="Y911" i="95"/>
  <c r="X911" i="95"/>
  <c r="W911" i="95"/>
  <c r="V911" i="95"/>
  <c r="U911" i="95"/>
  <c r="T911" i="95"/>
  <c r="S911" i="95"/>
  <c r="R911" i="95"/>
  <c r="Q911" i="95"/>
  <c r="P911" i="95"/>
  <c r="O911" i="95"/>
  <c r="N911" i="95"/>
  <c r="M911" i="95"/>
  <c r="L911" i="95"/>
  <c r="J911" i="95" s="1"/>
  <c r="K911" i="95"/>
  <c r="E911" i="95" s="1"/>
  <c r="I911" i="95"/>
  <c r="C911" i="95" s="1"/>
  <c r="H911" i="95"/>
  <c r="B911" i="95" s="1"/>
  <c r="G911" i="95"/>
  <c r="F911" i="95"/>
  <c r="D911" i="95"/>
  <c r="AH910" i="95"/>
  <c r="AC910" i="95"/>
  <c r="AB910" i="95"/>
  <c r="AA910" i="95"/>
  <c r="Z910" i="95"/>
  <c r="Y910" i="95"/>
  <c r="X910" i="95"/>
  <c r="W910" i="95"/>
  <c r="V910" i="95"/>
  <c r="U910" i="95"/>
  <c r="T910" i="95"/>
  <c r="S910" i="95"/>
  <c r="R910" i="95"/>
  <c r="Q910" i="95"/>
  <c r="P910" i="95"/>
  <c r="O910" i="95"/>
  <c r="M910" i="95" s="1"/>
  <c r="N910" i="95"/>
  <c r="L910" i="95"/>
  <c r="J910" i="95" s="1"/>
  <c r="D910" i="95" s="1"/>
  <c r="K910" i="95"/>
  <c r="I910" i="95"/>
  <c r="H910" i="95"/>
  <c r="G910" i="95"/>
  <c r="F910" i="95"/>
  <c r="C910" i="95"/>
  <c r="B910" i="95"/>
  <c r="AH909" i="95"/>
  <c r="AC909" i="95"/>
  <c r="AB909" i="95"/>
  <c r="AA909" i="95"/>
  <c r="Z909" i="95"/>
  <c r="Y909" i="95"/>
  <c r="X909" i="95"/>
  <c r="W909" i="95"/>
  <c r="V909" i="95"/>
  <c r="U909" i="95"/>
  <c r="T909" i="95"/>
  <c r="S909" i="95"/>
  <c r="R909" i="95"/>
  <c r="Q909" i="95"/>
  <c r="P909" i="95"/>
  <c r="O909" i="95"/>
  <c r="M909" i="95" s="1"/>
  <c r="N909" i="95"/>
  <c r="L909" i="95"/>
  <c r="J909" i="95" s="1"/>
  <c r="K909" i="95"/>
  <c r="E909" i="95" s="1"/>
  <c r="I909" i="95"/>
  <c r="C909" i="95" s="1"/>
  <c r="H909" i="95"/>
  <c r="B909" i="95" s="1"/>
  <c r="G909" i="95"/>
  <c r="F909" i="95"/>
  <c r="D909" i="95"/>
  <c r="AH908" i="95"/>
  <c r="AC908" i="95"/>
  <c r="AB908" i="95"/>
  <c r="AA908" i="95"/>
  <c r="Z908" i="95"/>
  <c r="Y908" i="95"/>
  <c r="X908" i="95"/>
  <c r="W908" i="95"/>
  <c r="V908" i="95"/>
  <c r="U908" i="95"/>
  <c r="T908" i="95"/>
  <c r="S908" i="95"/>
  <c r="R908" i="95"/>
  <c r="Q908" i="95"/>
  <c r="P908" i="95"/>
  <c r="O908" i="95"/>
  <c r="N908" i="95"/>
  <c r="M908" i="95"/>
  <c r="L908" i="95"/>
  <c r="J908" i="95" s="1"/>
  <c r="D908" i="95" s="1"/>
  <c r="K908" i="95"/>
  <c r="E908" i="95" s="1"/>
  <c r="I908" i="95"/>
  <c r="C908" i="95" s="1"/>
  <c r="H908" i="95"/>
  <c r="G908" i="95"/>
  <c r="F908" i="95"/>
  <c r="B908" i="95"/>
  <c r="AH907" i="95"/>
  <c r="AB907" i="95"/>
  <c r="AC907" i="95" s="1"/>
  <c r="AA907" i="95"/>
  <c r="Z907" i="95"/>
  <c r="Y907" i="95"/>
  <c r="X907" i="95"/>
  <c r="W907" i="95"/>
  <c r="V907" i="95"/>
  <c r="U907" i="95"/>
  <c r="T907" i="95"/>
  <c r="S907" i="95"/>
  <c r="R907" i="95"/>
  <c r="Q907" i="95"/>
  <c r="P907" i="95"/>
  <c r="O907" i="95"/>
  <c r="M907" i="95" s="1"/>
  <c r="N907" i="95"/>
  <c r="L907" i="95"/>
  <c r="J907" i="95" s="1"/>
  <c r="K907" i="95"/>
  <c r="E907" i="95" s="1"/>
  <c r="I907" i="95"/>
  <c r="C907" i="95" s="1"/>
  <c r="H907" i="95"/>
  <c r="B907" i="95" s="1"/>
  <c r="G907" i="95"/>
  <c r="F907" i="95"/>
  <c r="D907" i="95"/>
  <c r="AH906" i="95"/>
  <c r="AC906" i="95"/>
  <c r="AB906" i="95"/>
  <c r="AA906" i="95"/>
  <c r="Z906" i="95"/>
  <c r="Y906" i="95"/>
  <c r="X906" i="95"/>
  <c r="W906" i="95"/>
  <c r="V906" i="95"/>
  <c r="U906" i="95"/>
  <c r="T906" i="95"/>
  <c r="S906" i="95"/>
  <c r="R906" i="95"/>
  <c r="Q906" i="95"/>
  <c r="P906" i="95"/>
  <c r="O906" i="95"/>
  <c r="M906" i="95" s="1"/>
  <c r="N906" i="95"/>
  <c r="L906" i="95"/>
  <c r="J906" i="95" s="1"/>
  <c r="D906" i="95" s="1"/>
  <c r="K906" i="95"/>
  <c r="I906" i="95"/>
  <c r="C906" i="95" s="1"/>
  <c r="H906" i="95"/>
  <c r="B906" i="95" s="1"/>
  <c r="G906" i="95"/>
  <c r="F906" i="95"/>
  <c r="AH905" i="95"/>
  <c r="AB905" i="95"/>
  <c r="AC905" i="95" s="1"/>
  <c r="AA905" i="95"/>
  <c r="Z905" i="95"/>
  <c r="Y905" i="95"/>
  <c r="X905" i="95"/>
  <c r="W905" i="95"/>
  <c r="V905" i="95"/>
  <c r="U905" i="95"/>
  <c r="T905" i="95"/>
  <c r="S905" i="95"/>
  <c r="R905" i="95"/>
  <c r="Q905" i="95"/>
  <c r="P905" i="95"/>
  <c r="O905" i="95"/>
  <c r="M905" i="95" s="1"/>
  <c r="N905" i="95"/>
  <c r="L905" i="95"/>
  <c r="J905" i="95" s="1"/>
  <c r="D905" i="95" s="1"/>
  <c r="K905" i="95"/>
  <c r="I905" i="95"/>
  <c r="H905" i="95"/>
  <c r="B905" i="95" s="1"/>
  <c r="G905" i="95"/>
  <c r="F905" i="95"/>
  <c r="C905" i="95"/>
  <c r="AH904" i="95"/>
  <c r="AC904" i="95"/>
  <c r="AB904" i="95"/>
  <c r="AA904" i="95"/>
  <c r="Z904" i="95"/>
  <c r="Y904" i="95"/>
  <c r="X904" i="95"/>
  <c r="W904" i="95"/>
  <c r="V904" i="95"/>
  <c r="U904" i="95"/>
  <c r="T904" i="95"/>
  <c r="S904" i="95"/>
  <c r="R904" i="95"/>
  <c r="Q904" i="95"/>
  <c r="P904" i="95"/>
  <c r="O904" i="95"/>
  <c r="M904" i="95" s="1"/>
  <c r="N904" i="95"/>
  <c r="L904" i="95"/>
  <c r="J904" i="95" s="1"/>
  <c r="D904" i="95" s="1"/>
  <c r="K904" i="95"/>
  <c r="I904" i="95"/>
  <c r="H904" i="95"/>
  <c r="G904" i="95"/>
  <c r="F904" i="95"/>
  <c r="C904" i="95"/>
  <c r="B904" i="95"/>
  <c r="AH903" i="95"/>
  <c r="AB903" i="95"/>
  <c r="AC903" i="95" s="1"/>
  <c r="AA903" i="95"/>
  <c r="Z903" i="95"/>
  <c r="Y903" i="95"/>
  <c r="X903" i="95"/>
  <c r="W903" i="95"/>
  <c r="V903" i="95"/>
  <c r="U903" i="95"/>
  <c r="T903" i="95"/>
  <c r="S903" i="95"/>
  <c r="R903" i="95"/>
  <c r="Q903" i="95"/>
  <c r="P903" i="95"/>
  <c r="O903" i="95"/>
  <c r="N903" i="95"/>
  <c r="M903" i="95"/>
  <c r="L903" i="95"/>
  <c r="J903" i="95" s="1"/>
  <c r="D903" i="95" s="1"/>
  <c r="K903" i="95"/>
  <c r="E903" i="95" s="1"/>
  <c r="I903" i="95"/>
  <c r="H903" i="95"/>
  <c r="B903" i="95" s="1"/>
  <c r="G903" i="95"/>
  <c r="F903" i="95"/>
  <c r="C903" i="95"/>
  <c r="AH902" i="95"/>
  <c r="AC902" i="95"/>
  <c r="AB902" i="95"/>
  <c r="AA902" i="95"/>
  <c r="Z902" i="95"/>
  <c r="Y902" i="95"/>
  <c r="X902" i="95"/>
  <c r="W902" i="95"/>
  <c r="V902" i="95"/>
  <c r="U902" i="95"/>
  <c r="T902" i="95"/>
  <c r="S902" i="95"/>
  <c r="R902" i="95"/>
  <c r="Q902" i="95"/>
  <c r="P902" i="95"/>
  <c r="O902" i="95"/>
  <c r="M902" i="95" s="1"/>
  <c r="N902" i="95"/>
  <c r="L902" i="95"/>
  <c r="K902" i="95"/>
  <c r="E902" i="95" s="1"/>
  <c r="J902" i="95"/>
  <c r="D902" i="95" s="1"/>
  <c r="I902" i="95"/>
  <c r="C902" i="95" s="1"/>
  <c r="H902" i="95"/>
  <c r="G902" i="95"/>
  <c r="F902" i="95"/>
  <c r="B902" i="95"/>
  <c r="AH901" i="95"/>
  <c r="AC901" i="95"/>
  <c r="AB901" i="95"/>
  <c r="AA901" i="95"/>
  <c r="Z901" i="95"/>
  <c r="Y901" i="95"/>
  <c r="X901" i="95"/>
  <c r="W901" i="95"/>
  <c r="V901" i="95"/>
  <c r="U901" i="95"/>
  <c r="T901" i="95"/>
  <c r="S901" i="95"/>
  <c r="R901" i="95"/>
  <c r="Q901" i="95"/>
  <c r="P901" i="95"/>
  <c r="O901" i="95"/>
  <c r="N901" i="95"/>
  <c r="M901" i="95"/>
  <c r="L901" i="95"/>
  <c r="J901" i="95" s="1"/>
  <c r="K901" i="95"/>
  <c r="E901" i="95" s="1"/>
  <c r="I901" i="95"/>
  <c r="C901" i="95" s="1"/>
  <c r="H901" i="95"/>
  <c r="B901" i="95" s="1"/>
  <c r="G901" i="95"/>
  <c r="F901" i="95"/>
  <c r="D901" i="95"/>
  <c r="AH900" i="95"/>
  <c r="AC900" i="95"/>
  <c r="AB900" i="95"/>
  <c r="AA900" i="95"/>
  <c r="Z900" i="95"/>
  <c r="Y900" i="95"/>
  <c r="X900" i="95"/>
  <c r="W900" i="95"/>
  <c r="V900" i="95"/>
  <c r="U900" i="95"/>
  <c r="T900" i="95"/>
  <c r="S900" i="95"/>
  <c r="R900" i="95"/>
  <c r="Q900" i="95"/>
  <c r="P900" i="95"/>
  <c r="O900" i="95"/>
  <c r="M900" i="95" s="1"/>
  <c r="N900" i="95"/>
  <c r="L900" i="95"/>
  <c r="J900" i="95" s="1"/>
  <c r="D900" i="95" s="1"/>
  <c r="K900" i="95"/>
  <c r="E900" i="95" s="1"/>
  <c r="I900" i="95"/>
  <c r="C900" i="95" s="1"/>
  <c r="H900" i="95"/>
  <c r="G900" i="95"/>
  <c r="F900" i="95"/>
  <c r="B900" i="95"/>
  <c r="AH899" i="95"/>
  <c r="AB899" i="95"/>
  <c r="AC899" i="95" s="1"/>
  <c r="AA899" i="95"/>
  <c r="Z899" i="95"/>
  <c r="Y899" i="95"/>
  <c r="X899" i="95"/>
  <c r="W899" i="95"/>
  <c r="V899" i="95"/>
  <c r="U899" i="95"/>
  <c r="T899" i="95"/>
  <c r="S899" i="95"/>
  <c r="R899" i="95"/>
  <c r="Q899" i="95"/>
  <c r="P899" i="95"/>
  <c r="O899" i="95"/>
  <c r="M899" i="95" s="1"/>
  <c r="N899" i="95"/>
  <c r="L899" i="95"/>
  <c r="J899" i="95" s="1"/>
  <c r="K899" i="95"/>
  <c r="E899" i="95" s="1"/>
  <c r="A899" i="95" s="1"/>
  <c r="I899" i="95"/>
  <c r="C899" i="95" s="1"/>
  <c r="H899" i="95"/>
  <c r="B899" i="95" s="1"/>
  <c r="G899" i="95"/>
  <c r="F899" i="95"/>
  <c r="D899" i="95"/>
  <c r="AH898" i="95"/>
  <c r="AB898" i="95"/>
  <c r="AC898" i="95" s="1"/>
  <c r="AA898" i="95"/>
  <c r="Z898" i="95"/>
  <c r="Y898" i="95"/>
  <c r="X898" i="95"/>
  <c r="W898" i="95"/>
  <c r="V898" i="95"/>
  <c r="U898" i="95"/>
  <c r="T898" i="95"/>
  <c r="S898" i="95"/>
  <c r="R898" i="95"/>
  <c r="Q898" i="95"/>
  <c r="P898" i="95"/>
  <c r="O898" i="95"/>
  <c r="M898" i="95" s="1"/>
  <c r="N898" i="95"/>
  <c r="L898" i="95"/>
  <c r="J898" i="95" s="1"/>
  <c r="D898" i="95" s="1"/>
  <c r="K898" i="95"/>
  <c r="E898" i="95" s="1"/>
  <c r="I898" i="95"/>
  <c r="H898" i="95"/>
  <c r="B898" i="95" s="1"/>
  <c r="G898" i="95"/>
  <c r="F898" i="95"/>
  <c r="C898" i="95"/>
  <c r="AH897" i="95"/>
  <c r="AB897" i="95"/>
  <c r="AC897" i="95" s="1"/>
  <c r="AA897" i="95"/>
  <c r="Z897" i="95"/>
  <c r="Y897" i="95"/>
  <c r="X897" i="95"/>
  <c r="W897" i="95"/>
  <c r="V897" i="95"/>
  <c r="U897" i="95"/>
  <c r="T897" i="95"/>
  <c r="S897" i="95"/>
  <c r="R897" i="95"/>
  <c r="Q897" i="95"/>
  <c r="P897" i="95"/>
  <c r="O897" i="95"/>
  <c r="N897" i="95"/>
  <c r="M897" i="95"/>
  <c r="L897" i="95"/>
  <c r="K897" i="95"/>
  <c r="J897" i="95"/>
  <c r="D897" i="95" s="1"/>
  <c r="I897" i="95"/>
  <c r="C897" i="95" s="1"/>
  <c r="H897" i="95"/>
  <c r="G897" i="95"/>
  <c r="F897" i="95"/>
  <c r="E897" i="95"/>
  <c r="B897" i="95"/>
  <c r="AH896" i="95"/>
  <c r="AB896" i="95"/>
  <c r="AC896" i="95" s="1"/>
  <c r="AA896" i="95"/>
  <c r="Z896" i="95"/>
  <c r="Y896" i="95"/>
  <c r="X896" i="95"/>
  <c r="W896" i="95"/>
  <c r="V896" i="95"/>
  <c r="U896" i="95"/>
  <c r="T896" i="95"/>
  <c r="S896" i="95"/>
  <c r="R896" i="95"/>
  <c r="Q896" i="95"/>
  <c r="P896" i="95"/>
  <c r="O896" i="95"/>
  <c r="M896" i="95" s="1"/>
  <c r="N896" i="95"/>
  <c r="L896" i="95"/>
  <c r="J896" i="95" s="1"/>
  <c r="D896" i="95" s="1"/>
  <c r="K896" i="95"/>
  <c r="I896" i="95"/>
  <c r="H896" i="95"/>
  <c r="B896" i="95" s="1"/>
  <c r="G896" i="95"/>
  <c r="F896" i="95"/>
  <c r="C896" i="95"/>
  <c r="AH895" i="95"/>
  <c r="AB895" i="95"/>
  <c r="AC895" i="95" s="1"/>
  <c r="AA895" i="95"/>
  <c r="Z895" i="95"/>
  <c r="Y895" i="95"/>
  <c r="X895" i="95"/>
  <c r="W895" i="95"/>
  <c r="V895" i="95"/>
  <c r="U895" i="95"/>
  <c r="T895" i="95"/>
  <c r="S895" i="95"/>
  <c r="R895" i="95"/>
  <c r="Q895" i="95"/>
  <c r="P895" i="95"/>
  <c r="O895" i="95"/>
  <c r="M895" i="95" s="1"/>
  <c r="N895" i="95"/>
  <c r="L895" i="95"/>
  <c r="K895" i="95"/>
  <c r="E895" i="95" s="1"/>
  <c r="J895" i="95"/>
  <c r="D895" i="95" s="1"/>
  <c r="I895" i="95"/>
  <c r="C895" i="95" s="1"/>
  <c r="H895" i="95"/>
  <c r="G895" i="95"/>
  <c r="F895" i="95"/>
  <c r="B895" i="95"/>
  <c r="A895" i="95" s="1"/>
  <c r="AH894" i="95"/>
  <c r="AB894" i="95"/>
  <c r="AC894" i="95" s="1"/>
  <c r="AA894" i="95"/>
  <c r="Z894" i="95"/>
  <c r="Y894" i="95"/>
  <c r="X894" i="95"/>
  <c r="W894" i="95"/>
  <c r="V894" i="95"/>
  <c r="U894" i="95"/>
  <c r="T894" i="95"/>
  <c r="S894" i="95"/>
  <c r="R894" i="95"/>
  <c r="Q894" i="95"/>
  <c r="P894" i="95"/>
  <c r="O894" i="95"/>
  <c r="M894" i="95" s="1"/>
  <c r="N894" i="95"/>
  <c r="L894" i="95"/>
  <c r="J894" i="95" s="1"/>
  <c r="D894" i="95" s="1"/>
  <c r="K894" i="95"/>
  <c r="I894" i="95"/>
  <c r="H894" i="95"/>
  <c r="B894" i="95" s="1"/>
  <c r="G894" i="95"/>
  <c r="F894" i="95"/>
  <c r="C894" i="95"/>
  <c r="AH893" i="95"/>
  <c r="AB893" i="95"/>
  <c r="AC893" i="95" s="1"/>
  <c r="AA893" i="95"/>
  <c r="Z893" i="95"/>
  <c r="Y893" i="95"/>
  <c r="X893" i="95"/>
  <c r="W893" i="95"/>
  <c r="V893" i="95"/>
  <c r="U893" i="95"/>
  <c r="T893" i="95"/>
  <c r="S893" i="95"/>
  <c r="R893" i="95"/>
  <c r="Q893" i="95"/>
  <c r="P893" i="95"/>
  <c r="O893" i="95"/>
  <c r="N893" i="95"/>
  <c r="M893" i="95"/>
  <c r="L893" i="95"/>
  <c r="J893" i="95" s="1"/>
  <c r="K893" i="95"/>
  <c r="E893" i="95" s="1"/>
  <c r="I893" i="95"/>
  <c r="C893" i="95" s="1"/>
  <c r="H893" i="95"/>
  <c r="B893" i="95" s="1"/>
  <c r="G893" i="95"/>
  <c r="F893" i="95"/>
  <c r="D893" i="95"/>
  <c r="AH892" i="95"/>
  <c r="AB892" i="95"/>
  <c r="AC892" i="95" s="1"/>
  <c r="AA892" i="95"/>
  <c r="Z892" i="95"/>
  <c r="Y892" i="95"/>
  <c r="X892" i="95"/>
  <c r="W892" i="95"/>
  <c r="V892" i="95"/>
  <c r="U892" i="95"/>
  <c r="T892" i="95"/>
  <c r="S892" i="95"/>
  <c r="R892" i="95"/>
  <c r="Q892" i="95"/>
  <c r="P892" i="95"/>
  <c r="O892" i="95"/>
  <c r="M892" i="95" s="1"/>
  <c r="N892" i="95"/>
  <c r="L892" i="95"/>
  <c r="J892" i="95" s="1"/>
  <c r="D892" i="95" s="1"/>
  <c r="K892" i="95"/>
  <c r="E892" i="95" s="1"/>
  <c r="I892" i="95"/>
  <c r="C892" i="95" s="1"/>
  <c r="H892" i="95"/>
  <c r="G892" i="95"/>
  <c r="F892" i="95"/>
  <c r="B892" i="95"/>
  <c r="AH891" i="95"/>
  <c r="AC891" i="95"/>
  <c r="AB891" i="95"/>
  <c r="AA891" i="95"/>
  <c r="Z891" i="95"/>
  <c r="Y891" i="95"/>
  <c r="X891" i="95"/>
  <c r="W891" i="95"/>
  <c r="V891" i="95"/>
  <c r="U891" i="95"/>
  <c r="T891" i="95"/>
  <c r="S891" i="95"/>
  <c r="R891" i="95"/>
  <c r="Q891" i="95"/>
  <c r="P891" i="95"/>
  <c r="O891" i="95"/>
  <c r="M891" i="95" s="1"/>
  <c r="N891" i="95"/>
  <c r="L891" i="95"/>
  <c r="J891" i="95" s="1"/>
  <c r="D891" i="95" s="1"/>
  <c r="K891" i="95"/>
  <c r="I891" i="95"/>
  <c r="C891" i="95" s="1"/>
  <c r="H891" i="95"/>
  <c r="G891" i="95"/>
  <c r="F891" i="95"/>
  <c r="E891" i="95"/>
  <c r="B891" i="95"/>
  <c r="AH890" i="95"/>
  <c r="AB890" i="95"/>
  <c r="AC890" i="95" s="1"/>
  <c r="AA890" i="95"/>
  <c r="Z890" i="95"/>
  <c r="Y890" i="95"/>
  <c r="X890" i="95"/>
  <c r="W890" i="95"/>
  <c r="V890" i="95"/>
  <c r="U890" i="95"/>
  <c r="T890" i="95"/>
  <c r="S890" i="95"/>
  <c r="R890" i="95"/>
  <c r="Q890" i="95"/>
  <c r="P890" i="95"/>
  <c r="O890" i="95"/>
  <c r="M890" i="95" s="1"/>
  <c r="N890" i="95"/>
  <c r="L890" i="95"/>
  <c r="K890" i="95"/>
  <c r="J890" i="95"/>
  <c r="D890" i="95" s="1"/>
  <c r="I890" i="95"/>
  <c r="H890" i="95"/>
  <c r="B890" i="95" s="1"/>
  <c r="G890" i="95"/>
  <c r="F890" i="95"/>
  <c r="C890" i="95"/>
  <c r="AH889" i="95"/>
  <c r="AB889" i="95"/>
  <c r="AC889" i="95" s="1"/>
  <c r="AA889" i="95"/>
  <c r="Z889" i="95"/>
  <c r="Y889" i="95"/>
  <c r="X889" i="95"/>
  <c r="W889" i="95"/>
  <c r="V889" i="95"/>
  <c r="U889" i="95"/>
  <c r="T889" i="95"/>
  <c r="S889" i="95"/>
  <c r="R889" i="95"/>
  <c r="Q889" i="95"/>
  <c r="P889" i="95"/>
  <c r="O889" i="95"/>
  <c r="M889" i="95" s="1"/>
  <c r="N889" i="95"/>
  <c r="L889" i="95"/>
  <c r="K889" i="95"/>
  <c r="J889" i="95"/>
  <c r="D889" i="95" s="1"/>
  <c r="I889" i="95"/>
  <c r="C889" i="95" s="1"/>
  <c r="H889" i="95"/>
  <c r="B889" i="95" s="1"/>
  <c r="G889" i="95"/>
  <c r="F889" i="95"/>
  <c r="AH888" i="95"/>
  <c r="AB888" i="95"/>
  <c r="AC888" i="95" s="1"/>
  <c r="AA888" i="95"/>
  <c r="Z888" i="95"/>
  <c r="Y888" i="95"/>
  <c r="X888" i="95"/>
  <c r="W888" i="95"/>
  <c r="V888" i="95"/>
  <c r="U888" i="95"/>
  <c r="T888" i="95"/>
  <c r="S888" i="95"/>
  <c r="R888" i="95"/>
  <c r="Q888" i="95"/>
  <c r="P888" i="95"/>
  <c r="O888" i="95"/>
  <c r="M888" i="95" s="1"/>
  <c r="N888" i="95"/>
  <c r="L888" i="95"/>
  <c r="K888" i="95"/>
  <c r="E888" i="95" s="1"/>
  <c r="J888" i="95"/>
  <c r="I888" i="95"/>
  <c r="C888" i="95" s="1"/>
  <c r="H888" i="95"/>
  <c r="G888" i="95"/>
  <c r="F888" i="95"/>
  <c r="D888" i="95"/>
  <c r="B888" i="95"/>
  <c r="AH887" i="95"/>
  <c r="AC887" i="95"/>
  <c r="AB887" i="95"/>
  <c r="AA887" i="95"/>
  <c r="Z887" i="95"/>
  <c r="Y887" i="95"/>
  <c r="X887" i="95"/>
  <c r="W887" i="95"/>
  <c r="V887" i="95"/>
  <c r="U887" i="95"/>
  <c r="T887" i="95"/>
  <c r="S887" i="95"/>
  <c r="R887" i="95"/>
  <c r="Q887" i="95"/>
  <c r="P887" i="95"/>
  <c r="O887" i="95"/>
  <c r="M887" i="95" s="1"/>
  <c r="N887" i="95"/>
  <c r="L887" i="95"/>
  <c r="K887" i="95"/>
  <c r="E887" i="95" s="1"/>
  <c r="J887" i="95"/>
  <c r="D887" i="95" s="1"/>
  <c r="I887" i="95"/>
  <c r="C887" i="95" s="1"/>
  <c r="H887" i="95"/>
  <c r="G887" i="95"/>
  <c r="F887" i="95"/>
  <c r="B887" i="95"/>
  <c r="AH886" i="95"/>
  <c r="AB886" i="95"/>
  <c r="AC886" i="95" s="1"/>
  <c r="AA886" i="95"/>
  <c r="Z886" i="95"/>
  <c r="Y886" i="95"/>
  <c r="X886" i="95"/>
  <c r="W886" i="95"/>
  <c r="V886" i="95"/>
  <c r="U886" i="95"/>
  <c r="T886" i="95"/>
  <c r="S886" i="95"/>
  <c r="R886" i="95"/>
  <c r="Q886" i="95"/>
  <c r="P886" i="95"/>
  <c r="O886" i="95"/>
  <c r="M886" i="95" s="1"/>
  <c r="N886" i="95"/>
  <c r="L886" i="95"/>
  <c r="J886" i="95" s="1"/>
  <c r="D886" i="95" s="1"/>
  <c r="K886" i="95"/>
  <c r="I886" i="95"/>
  <c r="H886" i="95"/>
  <c r="B886" i="95" s="1"/>
  <c r="G886" i="95"/>
  <c r="F886" i="95"/>
  <c r="C886" i="95"/>
  <c r="AH885" i="95"/>
  <c r="AB885" i="95"/>
  <c r="AC885" i="95" s="1"/>
  <c r="AA885" i="95"/>
  <c r="Z885" i="95"/>
  <c r="Y885" i="95"/>
  <c r="X885" i="95"/>
  <c r="W885" i="95"/>
  <c r="V885" i="95"/>
  <c r="U885" i="95"/>
  <c r="T885" i="95"/>
  <c r="S885" i="95"/>
  <c r="R885" i="95"/>
  <c r="Q885" i="95"/>
  <c r="P885" i="95"/>
  <c r="O885" i="95"/>
  <c r="M885" i="95" s="1"/>
  <c r="N885" i="95"/>
  <c r="L885" i="95"/>
  <c r="J885" i="95" s="1"/>
  <c r="D885" i="95" s="1"/>
  <c r="K885" i="95"/>
  <c r="I885" i="95"/>
  <c r="C885" i="95" s="1"/>
  <c r="H885" i="95"/>
  <c r="B885" i="95" s="1"/>
  <c r="G885" i="95"/>
  <c r="F885" i="95"/>
  <c r="E885" i="95"/>
  <c r="AH884" i="95"/>
  <c r="AB884" i="95"/>
  <c r="AC884" i="95" s="1"/>
  <c r="AA884" i="95"/>
  <c r="Z884" i="95"/>
  <c r="Y884" i="95"/>
  <c r="X884" i="95"/>
  <c r="W884" i="95"/>
  <c r="V884" i="95"/>
  <c r="U884" i="95"/>
  <c r="T884" i="95"/>
  <c r="S884" i="95"/>
  <c r="R884" i="95"/>
  <c r="Q884" i="95"/>
  <c r="P884" i="95"/>
  <c r="O884" i="95"/>
  <c r="M884" i="95" s="1"/>
  <c r="N884" i="95"/>
  <c r="L884" i="95"/>
  <c r="J884" i="95" s="1"/>
  <c r="D884" i="95" s="1"/>
  <c r="K884" i="95"/>
  <c r="I884" i="95"/>
  <c r="H884" i="95"/>
  <c r="G884" i="95"/>
  <c r="F884" i="95"/>
  <c r="C884" i="95"/>
  <c r="B884" i="95"/>
  <c r="AH883" i="95"/>
  <c r="AB883" i="95"/>
  <c r="AC883" i="95" s="1"/>
  <c r="AA883" i="95"/>
  <c r="Z883" i="95"/>
  <c r="Y883" i="95"/>
  <c r="X883" i="95"/>
  <c r="W883" i="95"/>
  <c r="V883" i="95"/>
  <c r="U883" i="95"/>
  <c r="T883" i="95"/>
  <c r="S883" i="95"/>
  <c r="R883" i="95"/>
  <c r="Q883" i="95"/>
  <c r="P883" i="95"/>
  <c r="O883" i="95"/>
  <c r="N883" i="95"/>
  <c r="M883" i="95"/>
  <c r="L883" i="95"/>
  <c r="J883" i="95" s="1"/>
  <c r="D883" i="95" s="1"/>
  <c r="K883" i="95"/>
  <c r="I883" i="95"/>
  <c r="C883" i="95" s="1"/>
  <c r="H883" i="95"/>
  <c r="G883" i="95"/>
  <c r="F883" i="95"/>
  <c r="E883" i="95"/>
  <c r="B883" i="95"/>
  <c r="AH882" i="95"/>
  <c r="AB882" i="95"/>
  <c r="AC882" i="95" s="1"/>
  <c r="AA882" i="95"/>
  <c r="Z882" i="95"/>
  <c r="Y882" i="95"/>
  <c r="X882" i="95"/>
  <c r="W882" i="95"/>
  <c r="V882" i="95"/>
  <c r="U882" i="95"/>
  <c r="T882" i="95"/>
  <c r="S882" i="95"/>
  <c r="R882" i="95"/>
  <c r="Q882" i="95"/>
  <c r="P882" i="95"/>
  <c r="O882" i="95"/>
  <c r="M882" i="95" s="1"/>
  <c r="N882" i="95"/>
  <c r="L882" i="95"/>
  <c r="K882" i="95"/>
  <c r="J882" i="95"/>
  <c r="D882" i="95" s="1"/>
  <c r="I882" i="95"/>
  <c r="H882" i="95"/>
  <c r="B882" i="95" s="1"/>
  <c r="G882" i="95"/>
  <c r="F882" i="95"/>
  <c r="C882" i="95"/>
  <c r="AH881" i="95"/>
  <c r="AB881" i="95"/>
  <c r="AC881" i="95" s="1"/>
  <c r="AA881" i="95"/>
  <c r="Z881" i="95"/>
  <c r="Y881" i="95"/>
  <c r="X881" i="95"/>
  <c r="W881" i="95"/>
  <c r="V881" i="95"/>
  <c r="U881" i="95"/>
  <c r="T881" i="95"/>
  <c r="S881" i="95"/>
  <c r="R881" i="95"/>
  <c r="Q881" i="95"/>
  <c r="P881" i="95"/>
  <c r="O881" i="95"/>
  <c r="M881" i="95" s="1"/>
  <c r="N881" i="95"/>
  <c r="L881" i="95"/>
  <c r="K881" i="95"/>
  <c r="J881" i="95"/>
  <c r="D881" i="95" s="1"/>
  <c r="I881" i="95"/>
  <c r="C881" i="95" s="1"/>
  <c r="H881" i="95"/>
  <c r="B881" i="95" s="1"/>
  <c r="G881" i="95"/>
  <c r="F881" i="95"/>
  <c r="AH880" i="95"/>
  <c r="AB880" i="95"/>
  <c r="AC880" i="95" s="1"/>
  <c r="AA880" i="95"/>
  <c r="Z880" i="95"/>
  <c r="Y880" i="95"/>
  <c r="X880" i="95"/>
  <c r="W880" i="95"/>
  <c r="V880" i="95"/>
  <c r="U880" i="95"/>
  <c r="T880" i="95"/>
  <c r="S880" i="95"/>
  <c r="R880" i="95"/>
  <c r="Q880" i="95"/>
  <c r="P880" i="95"/>
  <c r="O880" i="95"/>
  <c r="M880" i="95" s="1"/>
  <c r="N880" i="95"/>
  <c r="L880" i="95"/>
  <c r="J880" i="95" s="1"/>
  <c r="D880" i="95" s="1"/>
  <c r="K880" i="95"/>
  <c r="I880" i="95"/>
  <c r="H880" i="95"/>
  <c r="B880" i="95" s="1"/>
  <c r="G880" i="95"/>
  <c r="F880" i="95"/>
  <c r="C880" i="95"/>
  <c r="AH879" i="95"/>
  <c r="AB879" i="95"/>
  <c r="AC879" i="95" s="1"/>
  <c r="AA879" i="95"/>
  <c r="Z879" i="95"/>
  <c r="Y879" i="95"/>
  <c r="X879" i="95"/>
  <c r="W879" i="95"/>
  <c r="V879" i="95"/>
  <c r="U879" i="95"/>
  <c r="T879" i="95"/>
  <c r="S879" i="95"/>
  <c r="R879" i="95"/>
  <c r="Q879" i="95"/>
  <c r="P879" i="95"/>
  <c r="O879" i="95"/>
  <c r="M879" i="95" s="1"/>
  <c r="N879" i="95"/>
  <c r="L879" i="95"/>
  <c r="J879" i="95" s="1"/>
  <c r="D879" i="95" s="1"/>
  <c r="K879" i="95"/>
  <c r="E879" i="95" s="1"/>
  <c r="I879" i="95"/>
  <c r="C879" i="95" s="1"/>
  <c r="H879" i="95"/>
  <c r="G879" i="95"/>
  <c r="F879" i="95"/>
  <c r="B879" i="95"/>
  <c r="AH878" i="95"/>
  <c r="AB878" i="95"/>
  <c r="AC878" i="95" s="1"/>
  <c r="AA878" i="95"/>
  <c r="Z878" i="95"/>
  <c r="Y878" i="95"/>
  <c r="X878" i="95"/>
  <c r="W878" i="95"/>
  <c r="V878" i="95"/>
  <c r="U878" i="95"/>
  <c r="T878" i="95"/>
  <c r="S878" i="95"/>
  <c r="R878" i="95"/>
  <c r="Q878" i="95"/>
  <c r="P878" i="95"/>
  <c r="O878" i="95"/>
  <c r="M878" i="95" s="1"/>
  <c r="N878" i="95"/>
  <c r="L878" i="95"/>
  <c r="J878" i="95" s="1"/>
  <c r="D878" i="95" s="1"/>
  <c r="K878" i="95"/>
  <c r="I878" i="95"/>
  <c r="H878" i="95"/>
  <c r="B878" i="95" s="1"/>
  <c r="G878" i="95"/>
  <c r="F878" i="95"/>
  <c r="C878" i="95"/>
  <c r="AH877" i="95"/>
  <c r="AB877" i="95"/>
  <c r="AC877" i="95" s="1"/>
  <c r="AA877" i="95"/>
  <c r="Z877" i="95"/>
  <c r="Y877" i="95"/>
  <c r="X877" i="95"/>
  <c r="W877" i="95"/>
  <c r="V877" i="95"/>
  <c r="U877" i="95"/>
  <c r="T877" i="95"/>
  <c r="S877" i="95"/>
  <c r="R877" i="95"/>
  <c r="Q877" i="95"/>
  <c r="P877" i="95"/>
  <c r="O877" i="95"/>
  <c r="M877" i="95" s="1"/>
  <c r="N877" i="95"/>
  <c r="L877" i="95"/>
  <c r="J877" i="95" s="1"/>
  <c r="D877" i="95" s="1"/>
  <c r="K877" i="95"/>
  <c r="I877" i="95"/>
  <c r="C877" i="95" s="1"/>
  <c r="H877" i="95"/>
  <c r="B877" i="95" s="1"/>
  <c r="G877" i="95"/>
  <c r="F877" i="95"/>
  <c r="AH876" i="95"/>
  <c r="AB876" i="95"/>
  <c r="AC876" i="95" s="1"/>
  <c r="AA876" i="95"/>
  <c r="Z876" i="95"/>
  <c r="Y876" i="95"/>
  <c r="X876" i="95"/>
  <c r="W876" i="95"/>
  <c r="V876" i="95"/>
  <c r="U876" i="95"/>
  <c r="T876" i="95"/>
  <c r="S876" i="95"/>
  <c r="R876" i="95"/>
  <c r="Q876" i="95"/>
  <c r="P876" i="95"/>
  <c r="O876" i="95"/>
  <c r="M876" i="95" s="1"/>
  <c r="N876" i="95"/>
  <c r="L876" i="95"/>
  <c r="J876" i="95" s="1"/>
  <c r="D876" i="95" s="1"/>
  <c r="K876" i="95"/>
  <c r="E876" i="95" s="1"/>
  <c r="I876" i="95"/>
  <c r="H876" i="95"/>
  <c r="B876" i="95" s="1"/>
  <c r="G876" i="95"/>
  <c r="F876" i="95"/>
  <c r="C876" i="95"/>
  <c r="AH875" i="95"/>
  <c r="AB875" i="95"/>
  <c r="AC875" i="95" s="1"/>
  <c r="AA875" i="95"/>
  <c r="Z875" i="95"/>
  <c r="Y875" i="95"/>
  <c r="X875" i="95"/>
  <c r="W875" i="95"/>
  <c r="V875" i="95"/>
  <c r="U875" i="95"/>
  <c r="T875" i="95"/>
  <c r="S875" i="95"/>
  <c r="R875" i="95"/>
  <c r="Q875" i="95"/>
  <c r="P875" i="95"/>
  <c r="O875" i="95"/>
  <c r="M875" i="95" s="1"/>
  <c r="N875" i="95"/>
  <c r="L875" i="95"/>
  <c r="J875" i="95" s="1"/>
  <c r="D875" i="95" s="1"/>
  <c r="K875" i="95"/>
  <c r="I875" i="95"/>
  <c r="C875" i="95" s="1"/>
  <c r="H875" i="95"/>
  <c r="G875" i="95"/>
  <c r="F875" i="95"/>
  <c r="E875" i="95"/>
  <c r="B875" i="95"/>
  <c r="AH874" i="95"/>
  <c r="AC874" i="95"/>
  <c r="AB874" i="95"/>
  <c r="AA874" i="95"/>
  <c r="Z874" i="95"/>
  <c r="Y874" i="95"/>
  <c r="X874" i="95"/>
  <c r="W874" i="95"/>
  <c r="V874" i="95"/>
  <c r="U874" i="95"/>
  <c r="T874" i="95"/>
  <c r="S874" i="95"/>
  <c r="R874" i="95"/>
  <c r="Q874" i="95"/>
  <c r="P874" i="95"/>
  <c r="O874" i="95"/>
  <c r="M874" i="95" s="1"/>
  <c r="N874" i="95"/>
  <c r="L874" i="95"/>
  <c r="J874" i="95" s="1"/>
  <c r="D874" i="95" s="1"/>
  <c r="K874" i="95"/>
  <c r="I874" i="95"/>
  <c r="H874" i="95"/>
  <c r="B874" i="95" s="1"/>
  <c r="G874" i="95"/>
  <c r="F874" i="95"/>
  <c r="C874" i="95"/>
  <c r="AH873" i="95"/>
  <c r="AC873" i="95"/>
  <c r="AB873" i="95"/>
  <c r="AA873" i="95"/>
  <c r="Z873" i="95"/>
  <c r="Y873" i="95"/>
  <c r="X873" i="95"/>
  <c r="W873" i="95"/>
  <c r="V873" i="95"/>
  <c r="U873" i="95"/>
  <c r="T873" i="95"/>
  <c r="S873" i="95"/>
  <c r="R873" i="95"/>
  <c r="Q873" i="95"/>
  <c r="P873" i="95"/>
  <c r="O873" i="95"/>
  <c r="N873" i="95"/>
  <c r="M873" i="95"/>
  <c r="L873" i="95"/>
  <c r="J873" i="95" s="1"/>
  <c r="D873" i="95" s="1"/>
  <c r="K873" i="95"/>
  <c r="E873" i="95" s="1"/>
  <c r="I873" i="95"/>
  <c r="C873" i="95" s="1"/>
  <c r="H873" i="95"/>
  <c r="B873" i="95" s="1"/>
  <c r="A873" i="95" s="1"/>
  <c r="G873" i="95"/>
  <c r="F873" i="95"/>
  <c r="AH872" i="95"/>
  <c r="AB872" i="95"/>
  <c r="AC872" i="95" s="1"/>
  <c r="AA872" i="95"/>
  <c r="Z872" i="95"/>
  <c r="Y872" i="95"/>
  <c r="X872" i="95"/>
  <c r="W872" i="95"/>
  <c r="V872" i="95"/>
  <c r="U872" i="95"/>
  <c r="T872" i="95"/>
  <c r="S872" i="95"/>
  <c r="R872" i="95"/>
  <c r="Q872" i="95"/>
  <c r="P872" i="95"/>
  <c r="O872" i="95"/>
  <c r="M872" i="95" s="1"/>
  <c r="N872" i="95"/>
  <c r="L872" i="95"/>
  <c r="J872" i="95" s="1"/>
  <c r="D872" i="95" s="1"/>
  <c r="K872" i="95"/>
  <c r="I872" i="95"/>
  <c r="H872" i="95"/>
  <c r="B872" i="95" s="1"/>
  <c r="G872" i="95"/>
  <c r="F872" i="95"/>
  <c r="C872" i="95"/>
  <c r="AH871" i="95"/>
  <c r="AB871" i="95"/>
  <c r="AC871" i="95" s="1"/>
  <c r="AA871" i="95"/>
  <c r="Z871" i="95"/>
  <c r="Y871" i="95"/>
  <c r="X871" i="95"/>
  <c r="W871" i="95"/>
  <c r="V871" i="95"/>
  <c r="U871" i="95"/>
  <c r="T871" i="95"/>
  <c r="S871" i="95"/>
  <c r="R871" i="95"/>
  <c r="Q871" i="95"/>
  <c r="P871" i="95"/>
  <c r="O871" i="95"/>
  <c r="N871" i="95"/>
  <c r="M871" i="95"/>
  <c r="L871" i="95"/>
  <c r="J871" i="95" s="1"/>
  <c r="D871" i="95" s="1"/>
  <c r="K871" i="95"/>
  <c r="I871" i="95"/>
  <c r="C871" i="95" s="1"/>
  <c r="H871" i="95"/>
  <c r="G871" i="95"/>
  <c r="F871" i="95"/>
  <c r="E871" i="95"/>
  <c r="B871" i="95"/>
  <c r="A871" i="95"/>
  <c r="AH870" i="95"/>
  <c r="AC870" i="95"/>
  <c r="AB870" i="95"/>
  <c r="AA870" i="95"/>
  <c r="Z870" i="95"/>
  <c r="Y870" i="95"/>
  <c r="X870" i="95"/>
  <c r="W870" i="95"/>
  <c r="V870" i="95"/>
  <c r="U870" i="95"/>
  <c r="T870" i="95"/>
  <c r="S870" i="95"/>
  <c r="R870" i="95"/>
  <c r="Q870" i="95"/>
  <c r="P870" i="95"/>
  <c r="O870" i="95"/>
  <c r="M870" i="95" s="1"/>
  <c r="N870" i="95"/>
  <c r="L870" i="95"/>
  <c r="J870" i="95" s="1"/>
  <c r="D870" i="95" s="1"/>
  <c r="K870" i="95"/>
  <c r="I870" i="95"/>
  <c r="H870" i="95"/>
  <c r="B870" i="95" s="1"/>
  <c r="G870" i="95"/>
  <c r="F870" i="95"/>
  <c r="C870" i="95"/>
  <c r="AH869" i="95"/>
  <c r="AC869" i="95"/>
  <c r="AB869" i="95"/>
  <c r="AA869" i="95"/>
  <c r="Z869" i="95"/>
  <c r="Y869" i="95"/>
  <c r="X869" i="95"/>
  <c r="W869" i="95"/>
  <c r="V869" i="95"/>
  <c r="U869" i="95"/>
  <c r="T869" i="95"/>
  <c r="S869" i="95"/>
  <c r="R869" i="95"/>
  <c r="Q869" i="95"/>
  <c r="P869" i="95"/>
  <c r="O869" i="95"/>
  <c r="M869" i="95" s="1"/>
  <c r="N869" i="95"/>
  <c r="L869" i="95"/>
  <c r="J869" i="95" s="1"/>
  <c r="D869" i="95" s="1"/>
  <c r="K869" i="95"/>
  <c r="I869" i="95"/>
  <c r="C869" i="95" s="1"/>
  <c r="H869" i="95"/>
  <c r="G869" i="95"/>
  <c r="F869" i="95"/>
  <c r="B869" i="95"/>
  <c r="AH868" i="95"/>
  <c r="AB868" i="95"/>
  <c r="AC868" i="95" s="1"/>
  <c r="AA868" i="95"/>
  <c r="Z868" i="95"/>
  <c r="Y868" i="95"/>
  <c r="X868" i="95"/>
  <c r="W868" i="95"/>
  <c r="V868" i="95"/>
  <c r="U868" i="95"/>
  <c r="T868" i="95"/>
  <c r="S868" i="95"/>
  <c r="R868" i="95"/>
  <c r="Q868" i="95"/>
  <c r="P868" i="95"/>
  <c r="O868" i="95"/>
  <c r="M868" i="95" s="1"/>
  <c r="N868" i="95"/>
  <c r="L868" i="95"/>
  <c r="J868" i="95" s="1"/>
  <c r="D868" i="95" s="1"/>
  <c r="K868" i="95"/>
  <c r="I868" i="95"/>
  <c r="H868" i="95"/>
  <c r="B868" i="95" s="1"/>
  <c r="G868" i="95"/>
  <c r="F868" i="95"/>
  <c r="C868" i="95"/>
  <c r="AH867" i="95"/>
  <c r="AB867" i="95"/>
  <c r="AC867" i="95" s="1"/>
  <c r="AA867" i="95"/>
  <c r="Z867" i="95"/>
  <c r="Y867" i="95"/>
  <c r="X867" i="95"/>
  <c r="W867" i="95"/>
  <c r="V867" i="95"/>
  <c r="U867" i="95"/>
  <c r="T867" i="95"/>
  <c r="S867" i="95"/>
  <c r="R867" i="95"/>
  <c r="Q867" i="95"/>
  <c r="P867" i="95"/>
  <c r="O867" i="95"/>
  <c r="M867" i="95" s="1"/>
  <c r="N867" i="95"/>
  <c r="L867" i="95"/>
  <c r="J867" i="95" s="1"/>
  <c r="D867" i="95" s="1"/>
  <c r="K867" i="95"/>
  <c r="I867" i="95"/>
  <c r="C867" i="95" s="1"/>
  <c r="H867" i="95"/>
  <c r="G867" i="95"/>
  <c r="F867" i="95"/>
  <c r="E867" i="95"/>
  <c r="B867" i="95"/>
  <c r="AH866" i="95"/>
  <c r="AC866" i="95"/>
  <c r="AB866" i="95"/>
  <c r="AA866" i="95"/>
  <c r="Z866" i="95"/>
  <c r="Y866" i="95"/>
  <c r="X866" i="95"/>
  <c r="W866" i="95"/>
  <c r="V866" i="95"/>
  <c r="U866" i="95"/>
  <c r="T866" i="95"/>
  <c r="S866" i="95"/>
  <c r="R866" i="95"/>
  <c r="Q866" i="95"/>
  <c r="P866" i="95"/>
  <c r="O866" i="95"/>
  <c r="M866" i="95" s="1"/>
  <c r="N866" i="95"/>
  <c r="L866" i="95"/>
  <c r="J866" i="95" s="1"/>
  <c r="D866" i="95" s="1"/>
  <c r="K866" i="95"/>
  <c r="I866" i="95"/>
  <c r="H866" i="95"/>
  <c r="B866" i="95" s="1"/>
  <c r="G866" i="95"/>
  <c r="F866" i="95"/>
  <c r="C866" i="95"/>
  <c r="AH865" i="95"/>
  <c r="AC865" i="95"/>
  <c r="AB865" i="95"/>
  <c r="AA865" i="95"/>
  <c r="Z865" i="95"/>
  <c r="Y865" i="95"/>
  <c r="X865" i="95"/>
  <c r="W865" i="95"/>
  <c r="V865" i="95"/>
  <c r="U865" i="95"/>
  <c r="T865" i="95"/>
  <c r="S865" i="95"/>
  <c r="R865" i="95"/>
  <c r="Q865" i="95"/>
  <c r="P865" i="95"/>
  <c r="O865" i="95"/>
  <c r="N865" i="95"/>
  <c r="M865" i="95"/>
  <c r="L865" i="95"/>
  <c r="J865" i="95" s="1"/>
  <c r="D865" i="95" s="1"/>
  <c r="K865" i="95"/>
  <c r="E865" i="95" s="1"/>
  <c r="I865" i="95"/>
  <c r="C865" i="95" s="1"/>
  <c r="H865" i="95"/>
  <c r="G865" i="95"/>
  <c r="F865" i="95"/>
  <c r="B865" i="95"/>
  <c r="A865" i="95" s="1"/>
  <c r="AH864" i="95"/>
  <c r="AB864" i="95"/>
  <c r="AC864" i="95" s="1"/>
  <c r="AA864" i="95"/>
  <c r="Z864" i="95"/>
  <c r="Y864" i="95"/>
  <c r="X864" i="95"/>
  <c r="W864" i="95"/>
  <c r="V864" i="95"/>
  <c r="U864" i="95"/>
  <c r="T864" i="95"/>
  <c r="S864" i="95"/>
  <c r="R864" i="95"/>
  <c r="Q864" i="95"/>
  <c r="P864" i="95"/>
  <c r="O864" i="95"/>
  <c r="M864" i="95" s="1"/>
  <c r="N864" i="95"/>
  <c r="L864" i="95"/>
  <c r="J864" i="95" s="1"/>
  <c r="D864" i="95" s="1"/>
  <c r="K864" i="95"/>
  <c r="I864" i="95"/>
  <c r="H864" i="95"/>
  <c r="B864" i="95" s="1"/>
  <c r="G864" i="95"/>
  <c r="F864" i="95"/>
  <c r="C864" i="95"/>
  <c r="AH863" i="95"/>
  <c r="AB863" i="95"/>
  <c r="AC863" i="95" s="1"/>
  <c r="AA863" i="95"/>
  <c r="Z863" i="95"/>
  <c r="Y863" i="95"/>
  <c r="X863" i="95"/>
  <c r="W863" i="95"/>
  <c r="V863" i="95"/>
  <c r="U863" i="95"/>
  <c r="T863" i="95"/>
  <c r="S863" i="95"/>
  <c r="R863" i="95"/>
  <c r="Q863" i="95"/>
  <c r="P863" i="95"/>
  <c r="O863" i="95"/>
  <c r="N863" i="95"/>
  <c r="M863" i="95"/>
  <c r="L863" i="95"/>
  <c r="J863" i="95" s="1"/>
  <c r="D863" i="95" s="1"/>
  <c r="K863" i="95"/>
  <c r="I863" i="95"/>
  <c r="C863" i="95" s="1"/>
  <c r="H863" i="95"/>
  <c r="G863" i="95"/>
  <c r="F863" i="95"/>
  <c r="E863" i="95"/>
  <c r="B863" i="95"/>
  <c r="A863" i="95"/>
  <c r="AH862" i="95"/>
  <c r="AB862" i="95"/>
  <c r="AC862" i="95" s="1"/>
  <c r="AA862" i="95"/>
  <c r="Z862" i="95"/>
  <c r="Y862" i="95"/>
  <c r="X862" i="95"/>
  <c r="W862" i="95"/>
  <c r="V862" i="95"/>
  <c r="U862" i="95"/>
  <c r="T862" i="95"/>
  <c r="S862" i="95"/>
  <c r="R862" i="95"/>
  <c r="Q862" i="95"/>
  <c r="P862" i="95"/>
  <c r="O862" i="95"/>
  <c r="M862" i="95" s="1"/>
  <c r="N862" i="95"/>
  <c r="L862" i="95"/>
  <c r="J862" i="95" s="1"/>
  <c r="D862" i="95" s="1"/>
  <c r="K862" i="95"/>
  <c r="E862" i="95" s="1"/>
  <c r="I862" i="95"/>
  <c r="H862" i="95"/>
  <c r="B862" i="95" s="1"/>
  <c r="A862" i="95" s="1"/>
  <c r="G862" i="95"/>
  <c r="F862" i="95"/>
  <c r="C862" i="95"/>
  <c r="AH861" i="95"/>
  <c r="AB861" i="95"/>
  <c r="AC861" i="95" s="1"/>
  <c r="AA861" i="95"/>
  <c r="Z861" i="95"/>
  <c r="Y861" i="95"/>
  <c r="X861" i="95"/>
  <c r="W861" i="95"/>
  <c r="V861" i="95"/>
  <c r="U861" i="95"/>
  <c r="T861" i="95"/>
  <c r="S861" i="95"/>
  <c r="R861" i="95"/>
  <c r="Q861" i="95"/>
  <c r="P861" i="95"/>
  <c r="O861" i="95"/>
  <c r="M861" i="95" s="1"/>
  <c r="N861" i="95"/>
  <c r="L861" i="95"/>
  <c r="J861" i="95" s="1"/>
  <c r="D861" i="95" s="1"/>
  <c r="K861" i="95"/>
  <c r="I861" i="95"/>
  <c r="C861" i="95" s="1"/>
  <c r="H861" i="95"/>
  <c r="B861" i="95" s="1"/>
  <c r="G861" i="95"/>
  <c r="F861" i="95"/>
  <c r="AH860" i="95"/>
  <c r="AB860" i="95"/>
  <c r="AC860" i="95" s="1"/>
  <c r="AA860" i="95"/>
  <c r="Z860" i="95"/>
  <c r="Y860" i="95"/>
  <c r="X860" i="95"/>
  <c r="W860" i="95"/>
  <c r="V860" i="95"/>
  <c r="U860" i="95"/>
  <c r="T860" i="95"/>
  <c r="S860" i="95"/>
  <c r="R860" i="95"/>
  <c r="Q860" i="95"/>
  <c r="P860" i="95"/>
  <c r="O860" i="95"/>
  <c r="M860" i="95" s="1"/>
  <c r="N860" i="95"/>
  <c r="L860" i="95"/>
  <c r="J860" i="95" s="1"/>
  <c r="D860" i="95" s="1"/>
  <c r="K860" i="95"/>
  <c r="I860" i="95"/>
  <c r="H860" i="95"/>
  <c r="B860" i="95" s="1"/>
  <c r="G860" i="95"/>
  <c r="F860" i="95"/>
  <c r="C860" i="95"/>
  <c r="AH859" i="95"/>
  <c r="AC859" i="95"/>
  <c r="AB859" i="95"/>
  <c r="AA859" i="95"/>
  <c r="Z859" i="95"/>
  <c r="Y859" i="95"/>
  <c r="X859" i="95"/>
  <c r="W859" i="95"/>
  <c r="V859" i="95"/>
  <c r="U859" i="95"/>
  <c r="T859" i="95"/>
  <c r="S859" i="95"/>
  <c r="R859" i="95"/>
  <c r="Q859" i="95"/>
  <c r="P859" i="95"/>
  <c r="O859" i="95"/>
  <c r="N859" i="95"/>
  <c r="M859" i="95"/>
  <c r="L859" i="95"/>
  <c r="K859" i="95"/>
  <c r="J859" i="95"/>
  <c r="D859" i="95" s="1"/>
  <c r="I859" i="95"/>
  <c r="C859" i="95" s="1"/>
  <c r="H859" i="95"/>
  <c r="G859" i="95"/>
  <c r="F859" i="95"/>
  <c r="E859" i="95"/>
  <c r="B859" i="95"/>
  <c r="AH858" i="95"/>
  <c r="AB858" i="95"/>
  <c r="AC858" i="95" s="1"/>
  <c r="AA858" i="95"/>
  <c r="Z858" i="95"/>
  <c r="Y858" i="95"/>
  <c r="X858" i="95"/>
  <c r="W858" i="95"/>
  <c r="V858" i="95"/>
  <c r="U858" i="95"/>
  <c r="T858" i="95"/>
  <c r="S858" i="95"/>
  <c r="R858" i="95"/>
  <c r="Q858" i="95"/>
  <c r="P858" i="95"/>
  <c r="O858" i="95"/>
  <c r="M858" i="95" s="1"/>
  <c r="N858" i="95"/>
  <c r="L858" i="95"/>
  <c r="J858" i="95" s="1"/>
  <c r="D858" i="95" s="1"/>
  <c r="K858" i="95"/>
  <c r="I858" i="95"/>
  <c r="H858" i="95"/>
  <c r="B858" i="95" s="1"/>
  <c r="G858" i="95"/>
  <c r="F858" i="95"/>
  <c r="C858" i="95"/>
  <c r="AH857" i="95"/>
  <c r="AB857" i="95"/>
  <c r="AC857" i="95" s="1"/>
  <c r="AA857" i="95"/>
  <c r="Z857" i="95"/>
  <c r="Y857" i="95"/>
  <c r="X857" i="95"/>
  <c r="W857" i="95"/>
  <c r="V857" i="95"/>
  <c r="U857" i="95"/>
  <c r="T857" i="95"/>
  <c r="S857" i="95"/>
  <c r="R857" i="95"/>
  <c r="Q857" i="95"/>
  <c r="P857" i="95"/>
  <c r="O857" i="95"/>
  <c r="M857" i="95" s="1"/>
  <c r="N857" i="95"/>
  <c r="L857" i="95"/>
  <c r="K857" i="95"/>
  <c r="E857" i="95" s="1"/>
  <c r="J857" i="95"/>
  <c r="D857" i="95" s="1"/>
  <c r="I857" i="95"/>
  <c r="C857" i="95" s="1"/>
  <c r="H857" i="95"/>
  <c r="G857" i="95"/>
  <c r="F857" i="95"/>
  <c r="B857" i="95"/>
  <c r="A857" i="95" s="1"/>
  <c r="AH856" i="95"/>
  <c r="AB856" i="95"/>
  <c r="AC856" i="95" s="1"/>
  <c r="AA856" i="95"/>
  <c r="Z856" i="95"/>
  <c r="Y856" i="95"/>
  <c r="X856" i="95"/>
  <c r="W856" i="95"/>
  <c r="V856" i="95"/>
  <c r="U856" i="95"/>
  <c r="T856" i="95"/>
  <c r="S856" i="95"/>
  <c r="R856" i="95"/>
  <c r="Q856" i="95"/>
  <c r="P856" i="95"/>
  <c r="O856" i="95"/>
  <c r="M856" i="95" s="1"/>
  <c r="N856" i="95"/>
  <c r="L856" i="95"/>
  <c r="J856" i="95" s="1"/>
  <c r="D856" i="95" s="1"/>
  <c r="K856" i="95"/>
  <c r="I856" i="95"/>
  <c r="H856" i="95"/>
  <c r="B856" i="95" s="1"/>
  <c r="G856" i="95"/>
  <c r="F856" i="95"/>
  <c r="C856" i="95"/>
  <c r="AH855" i="95"/>
  <c r="AC855" i="95"/>
  <c r="AB855" i="95"/>
  <c r="AA855" i="95"/>
  <c r="Z855" i="95"/>
  <c r="Y855" i="95"/>
  <c r="X855" i="95"/>
  <c r="W855" i="95"/>
  <c r="V855" i="95"/>
  <c r="U855" i="95"/>
  <c r="T855" i="95"/>
  <c r="S855" i="95"/>
  <c r="R855" i="95"/>
  <c r="Q855" i="95"/>
  <c r="P855" i="95"/>
  <c r="O855" i="95"/>
  <c r="M855" i="95" s="1"/>
  <c r="N855" i="95"/>
  <c r="L855" i="95"/>
  <c r="K855" i="95"/>
  <c r="J855" i="95"/>
  <c r="D855" i="95" s="1"/>
  <c r="I855" i="95"/>
  <c r="H855" i="95"/>
  <c r="G855" i="95"/>
  <c r="F855" i="95"/>
  <c r="C855" i="95"/>
  <c r="B855" i="95"/>
  <c r="AH854" i="95"/>
  <c r="AB854" i="95"/>
  <c r="AC854" i="95" s="1"/>
  <c r="AA854" i="95"/>
  <c r="Z854" i="95"/>
  <c r="Y854" i="95"/>
  <c r="X854" i="95"/>
  <c r="W854" i="95"/>
  <c r="V854" i="95"/>
  <c r="U854" i="95"/>
  <c r="T854" i="95"/>
  <c r="S854" i="95"/>
  <c r="R854" i="95"/>
  <c r="Q854" i="95"/>
  <c r="P854" i="95"/>
  <c r="O854" i="95"/>
  <c r="N854" i="95"/>
  <c r="M854" i="95"/>
  <c r="L854" i="95"/>
  <c r="J854" i="95" s="1"/>
  <c r="D854" i="95" s="1"/>
  <c r="K854" i="95"/>
  <c r="E854" i="95" s="1"/>
  <c r="I854" i="95"/>
  <c r="H854" i="95"/>
  <c r="B854" i="95" s="1"/>
  <c r="G854" i="95"/>
  <c r="F854" i="95"/>
  <c r="C854" i="95"/>
  <c r="AH853" i="95"/>
  <c r="AC853" i="95"/>
  <c r="AB853" i="95"/>
  <c r="AA853" i="95"/>
  <c r="Z853" i="95"/>
  <c r="Y853" i="95"/>
  <c r="X853" i="95"/>
  <c r="W853" i="95"/>
  <c r="V853" i="95"/>
  <c r="U853" i="95"/>
  <c r="T853" i="95"/>
  <c r="S853" i="95"/>
  <c r="R853" i="95"/>
  <c r="Q853" i="95"/>
  <c r="P853" i="95"/>
  <c r="O853" i="95"/>
  <c r="N853" i="95"/>
  <c r="M853" i="95"/>
  <c r="L853" i="95"/>
  <c r="K853" i="95"/>
  <c r="J853" i="95"/>
  <c r="D853" i="95" s="1"/>
  <c r="I853" i="95"/>
  <c r="C853" i="95" s="1"/>
  <c r="H853" i="95"/>
  <c r="G853" i="95"/>
  <c r="F853" i="95"/>
  <c r="E853" i="95"/>
  <c r="B853" i="95"/>
  <c r="AH852" i="95"/>
  <c r="AB852" i="95"/>
  <c r="AC852" i="95" s="1"/>
  <c r="AA852" i="95"/>
  <c r="Z852" i="95"/>
  <c r="Y852" i="95"/>
  <c r="X852" i="95"/>
  <c r="W852" i="95"/>
  <c r="V852" i="95"/>
  <c r="U852" i="95"/>
  <c r="T852" i="95"/>
  <c r="S852" i="95"/>
  <c r="R852" i="95"/>
  <c r="Q852" i="95"/>
  <c r="P852" i="95"/>
  <c r="O852" i="95"/>
  <c r="M852" i="95" s="1"/>
  <c r="N852" i="95"/>
  <c r="L852" i="95"/>
  <c r="J852" i="95" s="1"/>
  <c r="D852" i="95" s="1"/>
  <c r="K852" i="95"/>
  <c r="I852" i="95"/>
  <c r="C852" i="95" s="1"/>
  <c r="H852" i="95"/>
  <c r="B852" i="95" s="1"/>
  <c r="G852" i="95"/>
  <c r="F852" i="95"/>
  <c r="AH851" i="95"/>
  <c r="AC851" i="95"/>
  <c r="AB851" i="95"/>
  <c r="AA851" i="95"/>
  <c r="Z851" i="95"/>
  <c r="Y851" i="95"/>
  <c r="X851" i="95"/>
  <c r="W851" i="95"/>
  <c r="V851" i="95"/>
  <c r="U851" i="95"/>
  <c r="T851" i="95"/>
  <c r="S851" i="95"/>
  <c r="R851" i="95"/>
  <c r="Q851" i="95"/>
  <c r="P851" i="95"/>
  <c r="O851" i="95"/>
  <c r="N851" i="95"/>
  <c r="M851" i="95"/>
  <c r="L851" i="95"/>
  <c r="J851" i="95" s="1"/>
  <c r="D851" i="95" s="1"/>
  <c r="K851" i="95"/>
  <c r="I851" i="95"/>
  <c r="C851" i="95" s="1"/>
  <c r="A851" i="95" s="1"/>
  <c r="H851" i="95"/>
  <c r="B851" i="95" s="1"/>
  <c r="G851" i="95"/>
  <c r="F851" i="95"/>
  <c r="E851" i="95"/>
  <c r="AH850" i="95"/>
  <c r="AC850" i="95"/>
  <c r="AB850" i="95"/>
  <c r="AA850" i="95"/>
  <c r="Z850" i="95"/>
  <c r="Y850" i="95"/>
  <c r="X850" i="95"/>
  <c r="W850" i="95"/>
  <c r="V850" i="95"/>
  <c r="U850" i="95"/>
  <c r="T850" i="95"/>
  <c r="S850" i="95"/>
  <c r="R850" i="95"/>
  <c r="Q850" i="95"/>
  <c r="P850" i="95"/>
  <c r="O850" i="95"/>
  <c r="M850" i="95" s="1"/>
  <c r="N850" i="95"/>
  <c r="L850" i="95"/>
  <c r="J850" i="95" s="1"/>
  <c r="K850" i="95"/>
  <c r="I850" i="95"/>
  <c r="C850" i="95" s="1"/>
  <c r="H850" i="95"/>
  <c r="B850" i="95" s="1"/>
  <c r="G850" i="95"/>
  <c r="F850" i="95"/>
  <c r="D850" i="95"/>
  <c r="AH849" i="95"/>
  <c r="AC849" i="95"/>
  <c r="AB849" i="95"/>
  <c r="AA849" i="95"/>
  <c r="Z849" i="95"/>
  <c r="Y849" i="95"/>
  <c r="X849" i="95"/>
  <c r="W849" i="95"/>
  <c r="V849" i="95"/>
  <c r="U849" i="95"/>
  <c r="T849" i="95"/>
  <c r="S849" i="95"/>
  <c r="R849" i="95"/>
  <c r="Q849" i="95"/>
  <c r="P849" i="95"/>
  <c r="O849" i="95"/>
  <c r="M849" i="95" s="1"/>
  <c r="N849" i="95"/>
  <c r="L849" i="95"/>
  <c r="K849" i="95"/>
  <c r="J849" i="95"/>
  <c r="D849" i="95" s="1"/>
  <c r="I849" i="95"/>
  <c r="C849" i="95" s="1"/>
  <c r="H849" i="95"/>
  <c r="B849" i="95" s="1"/>
  <c r="G849" i="95"/>
  <c r="F849" i="95"/>
  <c r="AH848" i="95"/>
  <c r="AB848" i="95"/>
  <c r="AC848" i="95" s="1"/>
  <c r="AA848" i="95"/>
  <c r="Z848" i="95"/>
  <c r="Y848" i="95"/>
  <c r="X848" i="95"/>
  <c r="W848" i="95"/>
  <c r="V848" i="95"/>
  <c r="U848" i="95"/>
  <c r="T848" i="95"/>
  <c r="S848" i="95"/>
  <c r="R848" i="95"/>
  <c r="Q848" i="95"/>
  <c r="P848" i="95"/>
  <c r="O848" i="95"/>
  <c r="M848" i="95" s="1"/>
  <c r="N848" i="95"/>
  <c r="L848" i="95"/>
  <c r="J848" i="95" s="1"/>
  <c r="D848" i="95" s="1"/>
  <c r="K848" i="95"/>
  <c r="I848" i="95"/>
  <c r="C848" i="95" s="1"/>
  <c r="H848" i="95"/>
  <c r="B848" i="95" s="1"/>
  <c r="G848" i="95"/>
  <c r="F848" i="95"/>
  <c r="E848" i="95"/>
  <c r="AH847" i="95"/>
  <c r="AB847" i="95"/>
  <c r="AC847" i="95" s="1"/>
  <c r="AA847" i="95"/>
  <c r="Z847" i="95"/>
  <c r="Y847" i="95"/>
  <c r="X847" i="95"/>
  <c r="W847" i="95"/>
  <c r="V847" i="95"/>
  <c r="U847" i="95"/>
  <c r="T847" i="95"/>
  <c r="S847" i="95"/>
  <c r="R847" i="95"/>
  <c r="Q847" i="95"/>
  <c r="P847" i="95"/>
  <c r="O847" i="95"/>
  <c r="M847" i="95" s="1"/>
  <c r="N847" i="95"/>
  <c r="L847" i="95"/>
  <c r="K847" i="95"/>
  <c r="J847" i="95"/>
  <c r="D847" i="95" s="1"/>
  <c r="I847" i="95"/>
  <c r="H847" i="95"/>
  <c r="G847" i="95"/>
  <c r="F847" i="95"/>
  <c r="C847" i="95"/>
  <c r="B847" i="95"/>
  <c r="AH846" i="95"/>
  <c r="AC846" i="95"/>
  <c r="AB846" i="95"/>
  <c r="AA846" i="95"/>
  <c r="Z846" i="95"/>
  <c r="Y846" i="95"/>
  <c r="X846" i="95"/>
  <c r="W846" i="95"/>
  <c r="V846" i="95"/>
  <c r="U846" i="95"/>
  <c r="T846" i="95"/>
  <c r="S846" i="95"/>
  <c r="R846" i="95"/>
  <c r="Q846" i="95"/>
  <c r="P846" i="95"/>
  <c r="O846" i="95"/>
  <c r="N846" i="95"/>
  <c r="M846" i="95"/>
  <c r="L846" i="95"/>
  <c r="J846" i="95" s="1"/>
  <c r="K846" i="95"/>
  <c r="E846" i="95" s="1"/>
  <c r="I846" i="95"/>
  <c r="H846" i="95"/>
  <c r="B846" i="95" s="1"/>
  <c r="G846" i="95"/>
  <c r="F846" i="95"/>
  <c r="D846" i="95"/>
  <c r="C846" i="95"/>
  <c r="AH845" i="95"/>
  <c r="AB845" i="95"/>
  <c r="AC845" i="95" s="1"/>
  <c r="AA845" i="95"/>
  <c r="Z845" i="95"/>
  <c r="Y845" i="95"/>
  <c r="X845" i="95"/>
  <c r="W845" i="95"/>
  <c r="V845" i="95"/>
  <c r="U845" i="95"/>
  <c r="T845" i="95"/>
  <c r="S845" i="95"/>
  <c r="R845" i="95"/>
  <c r="Q845" i="95"/>
  <c r="P845" i="95"/>
  <c r="O845" i="95"/>
  <c r="M845" i="95" s="1"/>
  <c r="N845" i="95"/>
  <c r="L845" i="95"/>
  <c r="K845" i="95"/>
  <c r="E845" i="95" s="1"/>
  <c r="J845" i="95"/>
  <c r="D845" i="95" s="1"/>
  <c r="I845" i="95"/>
  <c r="C845" i="95" s="1"/>
  <c r="H845" i="95"/>
  <c r="G845" i="95"/>
  <c r="F845" i="95"/>
  <c r="B845" i="95"/>
  <c r="AH844" i="95"/>
  <c r="AB844" i="95"/>
  <c r="AC844" i="95" s="1"/>
  <c r="AA844" i="95"/>
  <c r="Z844" i="95"/>
  <c r="Y844" i="95"/>
  <c r="X844" i="95"/>
  <c r="W844" i="95"/>
  <c r="V844" i="95"/>
  <c r="U844" i="95"/>
  <c r="T844" i="95"/>
  <c r="S844" i="95"/>
  <c r="R844" i="95"/>
  <c r="Q844" i="95"/>
  <c r="P844" i="95"/>
  <c r="O844" i="95"/>
  <c r="N844" i="95"/>
  <c r="M844" i="95"/>
  <c r="L844" i="95"/>
  <c r="J844" i="95" s="1"/>
  <c r="D844" i="95" s="1"/>
  <c r="K844" i="95"/>
  <c r="I844" i="95"/>
  <c r="C844" i="95" s="1"/>
  <c r="H844" i="95"/>
  <c r="B844" i="95" s="1"/>
  <c r="G844" i="95"/>
  <c r="F844" i="95"/>
  <c r="E844" i="95"/>
  <c r="AH843" i="95"/>
  <c r="AC843" i="95"/>
  <c r="AB843" i="95"/>
  <c r="AA843" i="95"/>
  <c r="Z843" i="95"/>
  <c r="Y843" i="95"/>
  <c r="X843" i="95"/>
  <c r="W843" i="95"/>
  <c r="V843" i="95"/>
  <c r="U843" i="95"/>
  <c r="T843" i="95"/>
  <c r="S843" i="95"/>
  <c r="R843" i="95"/>
  <c r="Q843" i="95"/>
  <c r="P843" i="95"/>
  <c r="O843" i="95"/>
  <c r="M843" i="95" s="1"/>
  <c r="N843" i="95"/>
  <c r="L843" i="95"/>
  <c r="K843" i="95"/>
  <c r="E843" i="95" s="1"/>
  <c r="A843" i="95" s="1"/>
  <c r="J843" i="95"/>
  <c r="D843" i="95" s="1"/>
  <c r="I843" i="95"/>
  <c r="C843" i="95" s="1"/>
  <c r="H843" i="95"/>
  <c r="G843" i="95"/>
  <c r="F843" i="95"/>
  <c r="B843" i="95"/>
  <c r="AH842" i="95"/>
  <c r="AB842" i="95"/>
  <c r="AC842" i="95" s="1"/>
  <c r="AA842" i="95"/>
  <c r="Z842" i="95"/>
  <c r="Y842" i="95"/>
  <c r="X842" i="95"/>
  <c r="W842" i="95"/>
  <c r="V842" i="95"/>
  <c r="U842" i="95"/>
  <c r="T842" i="95"/>
  <c r="S842" i="95"/>
  <c r="R842" i="95"/>
  <c r="Q842" i="95"/>
  <c r="P842" i="95"/>
  <c r="O842" i="95"/>
  <c r="M842" i="95" s="1"/>
  <c r="N842" i="95"/>
  <c r="L842" i="95"/>
  <c r="J842" i="95" s="1"/>
  <c r="K842" i="95"/>
  <c r="I842" i="95"/>
  <c r="C842" i="95" s="1"/>
  <c r="H842" i="95"/>
  <c r="B842" i="95" s="1"/>
  <c r="G842" i="95"/>
  <c r="F842" i="95"/>
  <c r="D842" i="95"/>
  <c r="AH841" i="95"/>
  <c r="AB841" i="95"/>
  <c r="AC841" i="95" s="1"/>
  <c r="AA841" i="95"/>
  <c r="Z841" i="95"/>
  <c r="Y841" i="95"/>
  <c r="X841" i="95"/>
  <c r="W841" i="95"/>
  <c r="V841" i="95"/>
  <c r="U841" i="95"/>
  <c r="T841" i="95"/>
  <c r="S841" i="95"/>
  <c r="R841" i="95"/>
  <c r="Q841" i="95"/>
  <c r="P841" i="95"/>
  <c r="O841" i="95"/>
  <c r="M841" i="95" s="1"/>
  <c r="N841" i="95"/>
  <c r="L841" i="95"/>
  <c r="K841" i="95"/>
  <c r="J841" i="95"/>
  <c r="D841" i="95" s="1"/>
  <c r="I841" i="95"/>
  <c r="C841" i="95" s="1"/>
  <c r="H841" i="95"/>
  <c r="G841" i="95"/>
  <c r="F841" i="95"/>
  <c r="B841" i="95"/>
  <c r="AH840" i="95"/>
  <c r="AB840" i="95"/>
  <c r="AC840" i="95" s="1"/>
  <c r="AA840" i="95"/>
  <c r="Z840" i="95"/>
  <c r="Y840" i="95"/>
  <c r="X840" i="95"/>
  <c r="W840" i="95"/>
  <c r="V840" i="95"/>
  <c r="U840" i="95"/>
  <c r="T840" i="95"/>
  <c r="S840" i="95"/>
  <c r="R840" i="95"/>
  <c r="Q840" i="95"/>
  <c r="P840" i="95"/>
  <c r="O840" i="95"/>
  <c r="M840" i="95" s="1"/>
  <c r="N840" i="95"/>
  <c r="L840" i="95"/>
  <c r="J840" i="95" s="1"/>
  <c r="D840" i="95" s="1"/>
  <c r="K840" i="95"/>
  <c r="I840" i="95"/>
  <c r="C840" i="95" s="1"/>
  <c r="A840" i="95" s="1"/>
  <c r="H840" i="95"/>
  <c r="B840" i="95" s="1"/>
  <c r="G840" i="95"/>
  <c r="F840" i="95"/>
  <c r="E840" i="95"/>
  <c r="AH839" i="95"/>
  <c r="AB839" i="95"/>
  <c r="AC839" i="95" s="1"/>
  <c r="AA839" i="95"/>
  <c r="Z839" i="95"/>
  <c r="Y839" i="95"/>
  <c r="X839" i="95"/>
  <c r="W839" i="95"/>
  <c r="V839" i="95"/>
  <c r="U839" i="95"/>
  <c r="T839" i="95"/>
  <c r="S839" i="95"/>
  <c r="R839" i="95"/>
  <c r="Q839" i="95"/>
  <c r="P839" i="95"/>
  <c r="O839" i="95"/>
  <c r="M839" i="95" s="1"/>
  <c r="N839" i="95"/>
  <c r="L839" i="95"/>
  <c r="K839" i="95"/>
  <c r="E839" i="95" s="1"/>
  <c r="J839" i="95"/>
  <c r="D839" i="95" s="1"/>
  <c r="I839" i="95"/>
  <c r="H839" i="95"/>
  <c r="G839" i="95"/>
  <c r="F839" i="95"/>
  <c r="C839" i="95"/>
  <c r="B839" i="95"/>
  <c r="AH838" i="95"/>
  <c r="AC838" i="95"/>
  <c r="AB838" i="95"/>
  <c r="AA838" i="95"/>
  <c r="Z838" i="95"/>
  <c r="Y838" i="95"/>
  <c r="X838" i="95"/>
  <c r="W838" i="95"/>
  <c r="V838" i="95"/>
  <c r="U838" i="95"/>
  <c r="T838" i="95"/>
  <c r="S838" i="95"/>
  <c r="R838" i="95"/>
  <c r="Q838" i="95"/>
  <c r="P838" i="95"/>
  <c r="O838" i="95"/>
  <c r="N838" i="95"/>
  <c r="M838" i="95"/>
  <c r="L838" i="95"/>
  <c r="J838" i="95" s="1"/>
  <c r="K838" i="95"/>
  <c r="E838" i="95" s="1"/>
  <c r="I838" i="95"/>
  <c r="C838" i="95" s="1"/>
  <c r="H838" i="95"/>
  <c r="B838" i="95" s="1"/>
  <c r="G838" i="95"/>
  <c r="F838" i="95"/>
  <c r="D838" i="95"/>
  <c r="AH837" i="95"/>
  <c r="AB837" i="95"/>
  <c r="AC837" i="95" s="1"/>
  <c r="AA837" i="95"/>
  <c r="Z837" i="95"/>
  <c r="Y837" i="95"/>
  <c r="X837" i="95"/>
  <c r="W837" i="95"/>
  <c r="V837" i="95"/>
  <c r="U837" i="95"/>
  <c r="T837" i="95"/>
  <c r="S837" i="95"/>
  <c r="R837" i="95"/>
  <c r="Q837" i="95"/>
  <c r="P837" i="95"/>
  <c r="O837" i="95"/>
  <c r="M837" i="95" s="1"/>
  <c r="N837" i="95"/>
  <c r="L837" i="95"/>
  <c r="J837" i="95" s="1"/>
  <c r="D837" i="95" s="1"/>
  <c r="K837" i="95"/>
  <c r="I837" i="95"/>
  <c r="C837" i="95" s="1"/>
  <c r="H837" i="95"/>
  <c r="G837" i="95"/>
  <c r="F837" i="95"/>
  <c r="E837" i="95"/>
  <c r="B837" i="95"/>
  <c r="AH836" i="95"/>
  <c r="AB836" i="95"/>
  <c r="AC836" i="95" s="1"/>
  <c r="AA836" i="95"/>
  <c r="Z836" i="95"/>
  <c r="Y836" i="95"/>
  <c r="X836" i="95"/>
  <c r="W836" i="95"/>
  <c r="V836" i="95"/>
  <c r="U836" i="95"/>
  <c r="T836" i="95"/>
  <c r="S836" i="95"/>
  <c r="R836" i="95"/>
  <c r="Q836" i="95"/>
  <c r="P836" i="95"/>
  <c r="O836" i="95"/>
  <c r="M836" i="95" s="1"/>
  <c r="N836" i="95"/>
  <c r="L836" i="95"/>
  <c r="J836" i="95" s="1"/>
  <c r="D836" i="95" s="1"/>
  <c r="K836" i="95"/>
  <c r="I836" i="95"/>
  <c r="C836" i="95" s="1"/>
  <c r="H836" i="95"/>
  <c r="B836" i="95" s="1"/>
  <c r="G836" i="95"/>
  <c r="F836" i="95"/>
  <c r="AH835" i="95"/>
  <c r="AB835" i="95"/>
  <c r="AC835" i="95" s="1"/>
  <c r="AA835" i="95"/>
  <c r="Z835" i="95"/>
  <c r="Y835" i="95"/>
  <c r="X835" i="95"/>
  <c r="W835" i="95"/>
  <c r="V835" i="95"/>
  <c r="U835" i="95"/>
  <c r="T835" i="95"/>
  <c r="S835" i="95"/>
  <c r="R835" i="95"/>
  <c r="Q835" i="95"/>
  <c r="P835" i="95"/>
  <c r="O835" i="95"/>
  <c r="M835" i="95" s="1"/>
  <c r="N835" i="95"/>
  <c r="L835" i="95"/>
  <c r="K835" i="95"/>
  <c r="J835" i="95"/>
  <c r="D835" i="95" s="1"/>
  <c r="I835" i="95"/>
  <c r="C835" i="95" s="1"/>
  <c r="H835" i="95"/>
  <c r="G835" i="95"/>
  <c r="F835" i="95"/>
  <c r="B835" i="95"/>
  <c r="AH834" i="95"/>
  <c r="AB834" i="95"/>
  <c r="AC834" i="95" s="1"/>
  <c r="AA834" i="95"/>
  <c r="Z834" i="95"/>
  <c r="Y834" i="95"/>
  <c r="X834" i="95"/>
  <c r="W834" i="95"/>
  <c r="V834" i="95"/>
  <c r="U834" i="95"/>
  <c r="T834" i="95"/>
  <c r="S834" i="95"/>
  <c r="R834" i="95"/>
  <c r="Q834" i="95"/>
  <c r="P834" i="95"/>
  <c r="O834" i="95"/>
  <c r="M834" i="95" s="1"/>
  <c r="N834" i="95"/>
  <c r="L834" i="95"/>
  <c r="J834" i="95" s="1"/>
  <c r="D834" i="95" s="1"/>
  <c r="K834" i="95"/>
  <c r="I834" i="95"/>
  <c r="C834" i="95" s="1"/>
  <c r="H834" i="95"/>
  <c r="B834" i="95" s="1"/>
  <c r="G834" i="95"/>
  <c r="F834" i="95"/>
  <c r="AH833" i="95"/>
  <c r="AB833" i="95"/>
  <c r="AC833" i="95" s="1"/>
  <c r="AA833" i="95"/>
  <c r="Z833" i="95"/>
  <c r="Y833" i="95"/>
  <c r="X833" i="95"/>
  <c r="W833" i="95"/>
  <c r="V833" i="95"/>
  <c r="U833" i="95"/>
  <c r="T833" i="95"/>
  <c r="S833" i="95"/>
  <c r="R833" i="95"/>
  <c r="Q833" i="95"/>
  <c r="P833" i="95"/>
  <c r="O833" i="95"/>
  <c r="N833" i="95"/>
  <c r="M833" i="95"/>
  <c r="L833" i="95"/>
  <c r="J833" i="95" s="1"/>
  <c r="D833" i="95" s="1"/>
  <c r="K833" i="95"/>
  <c r="I833" i="95"/>
  <c r="C833" i="95" s="1"/>
  <c r="H833" i="95"/>
  <c r="G833" i="95"/>
  <c r="F833" i="95"/>
  <c r="E833" i="95"/>
  <c r="B833" i="95"/>
  <c r="AH832" i="95"/>
  <c r="AB832" i="95"/>
  <c r="AC832" i="95" s="1"/>
  <c r="AA832" i="95"/>
  <c r="Z832" i="95"/>
  <c r="Y832" i="95"/>
  <c r="X832" i="95"/>
  <c r="W832" i="95"/>
  <c r="V832" i="95"/>
  <c r="U832" i="95"/>
  <c r="T832" i="95"/>
  <c r="S832" i="95"/>
  <c r="R832" i="95"/>
  <c r="Q832" i="95"/>
  <c r="P832" i="95"/>
  <c r="O832" i="95"/>
  <c r="M832" i="95" s="1"/>
  <c r="N832" i="95"/>
  <c r="L832" i="95"/>
  <c r="J832" i="95" s="1"/>
  <c r="D832" i="95" s="1"/>
  <c r="K832" i="95"/>
  <c r="I832" i="95"/>
  <c r="H832" i="95"/>
  <c r="B832" i="95" s="1"/>
  <c r="G832" i="95"/>
  <c r="F832" i="95"/>
  <c r="C832" i="95"/>
  <c r="AH831" i="95"/>
  <c r="AB831" i="95"/>
  <c r="AC831" i="95" s="1"/>
  <c r="AA831" i="95"/>
  <c r="Z831" i="95"/>
  <c r="Y831" i="95"/>
  <c r="X831" i="95"/>
  <c r="W831" i="95"/>
  <c r="V831" i="95"/>
  <c r="U831" i="95"/>
  <c r="T831" i="95"/>
  <c r="S831" i="95"/>
  <c r="R831" i="95"/>
  <c r="Q831" i="95"/>
  <c r="P831" i="95"/>
  <c r="O831" i="95"/>
  <c r="N831" i="95"/>
  <c r="M831" i="95"/>
  <c r="L831" i="95"/>
  <c r="J831" i="95" s="1"/>
  <c r="D831" i="95" s="1"/>
  <c r="K831" i="95"/>
  <c r="I831" i="95"/>
  <c r="C831" i="95" s="1"/>
  <c r="H831" i="95"/>
  <c r="G831" i="95"/>
  <c r="F831" i="95"/>
  <c r="E831" i="95"/>
  <c r="B831" i="95"/>
  <c r="AH830" i="95"/>
  <c r="AB830" i="95"/>
  <c r="AC830" i="95" s="1"/>
  <c r="AA830" i="95"/>
  <c r="Z830" i="95"/>
  <c r="Y830" i="95"/>
  <c r="X830" i="95"/>
  <c r="W830" i="95"/>
  <c r="V830" i="95"/>
  <c r="U830" i="95"/>
  <c r="T830" i="95"/>
  <c r="S830" i="95"/>
  <c r="R830" i="95"/>
  <c r="Q830" i="95"/>
  <c r="P830" i="95"/>
  <c r="O830" i="95"/>
  <c r="M830" i="95" s="1"/>
  <c r="N830" i="95"/>
  <c r="L830" i="95"/>
  <c r="J830" i="95" s="1"/>
  <c r="K830" i="95"/>
  <c r="E830" i="95" s="1"/>
  <c r="I830" i="95"/>
  <c r="H830" i="95"/>
  <c r="B830" i="95" s="1"/>
  <c r="G830" i="95"/>
  <c r="F830" i="95"/>
  <c r="D830" i="95"/>
  <c r="C830" i="95"/>
  <c r="AH829" i="95"/>
  <c r="AB829" i="95"/>
  <c r="AC829" i="95" s="1"/>
  <c r="AA829" i="95"/>
  <c r="Z829" i="95"/>
  <c r="Y829" i="95"/>
  <c r="X829" i="95"/>
  <c r="W829" i="95"/>
  <c r="V829" i="95"/>
  <c r="U829" i="95"/>
  <c r="T829" i="95"/>
  <c r="S829" i="95"/>
  <c r="R829" i="95"/>
  <c r="Q829" i="95"/>
  <c r="P829" i="95"/>
  <c r="O829" i="95"/>
  <c r="M829" i="95" s="1"/>
  <c r="N829" i="95"/>
  <c r="L829" i="95"/>
  <c r="J829" i="95" s="1"/>
  <c r="D829" i="95" s="1"/>
  <c r="K829" i="95"/>
  <c r="I829" i="95"/>
  <c r="C829" i="95" s="1"/>
  <c r="H829" i="95"/>
  <c r="B829" i="95" s="1"/>
  <c r="G829" i="95"/>
  <c r="F829" i="95"/>
  <c r="E829" i="95"/>
  <c r="AH828" i="95"/>
  <c r="AB828" i="95"/>
  <c r="AC828" i="95" s="1"/>
  <c r="AA828" i="95"/>
  <c r="Z828" i="95"/>
  <c r="Y828" i="95"/>
  <c r="X828" i="95"/>
  <c r="W828" i="95"/>
  <c r="V828" i="95"/>
  <c r="U828" i="95"/>
  <c r="T828" i="95"/>
  <c r="S828" i="95"/>
  <c r="R828" i="95"/>
  <c r="Q828" i="95"/>
  <c r="P828" i="95"/>
  <c r="O828" i="95"/>
  <c r="M828" i="95" s="1"/>
  <c r="N828" i="95"/>
  <c r="L828" i="95"/>
  <c r="K828" i="95"/>
  <c r="J828" i="95"/>
  <c r="D828" i="95" s="1"/>
  <c r="I828" i="95"/>
  <c r="H828" i="95"/>
  <c r="B828" i="95" s="1"/>
  <c r="G828" i="95"/>
  <c r="F828" i="95"/>
  <c r="C828" i="95"/>
  <c r="AH827" i="95"/>
  <c r="AB827" i="95"/>
  <c r="AC827" i="95" s="1"/>
  <c r="AA827" i="95"/>
  <c r="Z827" i="95"/>
  <c r="Y827" i="95"/>
  <c r="X827" i="95"/>
  <c r="W827" i="95"/>
  <c r="V827" i="95"/>
  <c r="U827" i="95"/>
  <c r="T827" i="95"/>
  <c r="S827" i="95"/>
  <c r="R827" i="95"/>
  <c r="Q827" i="95"/>
  <c r="P827" i="95"/>
  <c r="O827" i="95"/>
  <c r="M827" i="95" s="1"/>
  <c r="N827" i="95"/>
  <c r="L827" i="95"/>
  <c r="J827" i="95" s="1"/>
  <c r="D827" i="95" s="1"/>
  <c r="K827" i="95"/>
  <c r="I827" i="95"/>
  <c r="C827" i="95" s="1"/>
  <c r="H827" i="95"/>
  <c r="G827" i="95"/>
  <c r="F827" i="95"/>
  <c r="B827" i="95"/>
  <c r="AH826" i="95"/>
  <c r="AB826" i="95"/>
  <c r="AC826" i="95" s="1"/>
  <c r="AA826" i="95"/>
  <c r="Z826" i="95"/>
  <c r="Y826" i="95"/>
  <c r="X826" i="95"/>
  <c r="W826" i="95"/>
  <c r="V826" i="95"/>
  <c r="U826" i="95"/>
  <c r="T826" i="95"/>
  <c r="S826" i="95"/>
  <c r="R826" i="95"/>
  <c r="Q826" i="95"/>
  <c r="P826" i="95"/>
  <c r="O826" i="95"/>
  <c r="M826" i="95" s="1"/>
  <c r="N826" i="95"/>
  <c r="L826" i="95"/>
  <c r="J826" i="95" s="1"/>
  <c r="D826" i="95" s="1"/>
  <c r="K826" i="95"/>
  <c r="E826" i="95" s="1"/>
  <c r="I826" i="95"/>
  <c r="C826" i="95" s="1"/>
  <c r="H826" i="95"/>
  <c r="G826" i="95"/>
  <c r="F826" i="95"/>
  <c r="B826" i="95"/>
  <c r="AH825" i="95"/>
  <c r="AB825" i="95"/>
  <c r="AC825" i="95" s="1"/>
  <c r="AA825" i="95"/>
  <c r="Z825" i="95"/>
  <c r="Y825" i="95"/>
  <c r="X825" i="95"/>
  <c r="W825" i="95"/>
  <c r="V825" i="95"/>
  <c r="U825" i="95"/>
  <c r="T825" i="95"/>
  <c r="S825" i="95"/>
  <c r="R825" i="95"/>
  <c r="Q825" i="95"/>
  <c r="P825" i="95"/>
  <c r="O825" i="95"/>
  <c r="M825" i="95" s="1"/>
  <c r="N825" i="95"/>
  <c r="L825" i="95"/>
  <c r="K825" i="95"/>
  <c r="E825" i="95" s="1"/>
  <c r="J825" i="95"/>
  <c r="D825" i="95" s="1"/>
  <c r="I825" i="95"/>
  <c r="C825" i="95" s="1"/>
  <c r="H825" i="95"/>
  <c r="B825" i="95" s="1"/>
  <c r="G825" i="95"/>
  <c r="F825" i="95"/>
  <c r="AH824" i="95"/>
  <c r="AB824" i="95"/>
  <c r="AC824" i="95" s="1"/>
  <c r="AA824" i="95"/>
  <c r="Z824" i="95"/>
  <c r="Y824" i="95"/>
  <c r="X824" i="95"/>
  <c r="W824" i="95"/>
  <c r="V824" i="95"/>
  <c r="U824" i="95"/>
  <c r="T824" i="95"/>
  <c r="S824" i="95"/>
  <c r="R824" i="95"/>
  <c r="Q824" i="95"/>
  <c r="P824" i="95"/>
  <c r="O824" i="95"/>
  <c r="M824" i="95" s="1"/>
  <c r="N824" i="95"/>
  <c r="L824" i="95"/>
  <c r="J824" i="95" s="1"/>
  <c r="D824" i="95" s="1"/>
  <c r="K824" i="95"/>
  <c r="I824" i="95"/>
  <c r="H824" i="95"/>
  <c r="B824" i="95" s="1"/>
  <c r="G824" i="95"/>
  <c r="F824" i="95"/>
  <c r="C824" i="95"/>
  <c r="AH823" i="95"/>
  <c r="AB823" i="95"/>
  <c r="AC823" i="95" s="1"/>
  <c r="AA823" i="95"/>
  <c r="Z823" i="95"/>
  <c r="Y823" i="95"/>
  <c r="X823" i="95"/>
  <c r="W823" i="95"/>
  <c r="V823" i="95"/>
  <c r="U823" i="95"/>
  <c r="T823" i="95"/>
  <c r="S823" i="95"/>
  <c r="R823" i="95"/>
  <c r="Q823" i="95"/>
  <c r="P823" i="95"/>
  <c r="O823" i="95"/>
  <c r="M823" i="95" s="1"/>
  <c r="N823" i="95"/>
  <c r="L823" i="95"/>
  <c r="K823" i="95"/>
  <c r="E823" i="95" s="1"/>
  <c r="J823" i="95"/>
  <c r="D823" i="95" s="1"/>
  <c r="I823" i="95"/>
  <c r="C823" i="95" s="1"/>
  <c r="H823" i="95"/>
  <c r="G823" i="95"/>
  <c r="F823" i="95"/>
  <c r="B823" i="95"/>
  <c r="AH822" i="95"/>
  <c r="AB822" i="95"/>
  <c r="AC822" i="95" s="1"/>
  <c r="AA822" i="95"/>
  <c r="Z822" i="95"/>
  <c r="Y822" i="95"/>
  <c r="X822" i="95"/>
  <c r="W822" i="95"/>
  <c r="V822" i="95"/>
  <c r="U822" i="95"/>
  <c r="T822" i="95"/>
  <c r="S822" i="95"/>
  <c r="R822" i="95"/>
  <c r="Q822" i="95"/>
  <c r="P822" i="95"/>
  <c r="O822" i="95"/>
  <c r="M822" i="95" s="1"/>
  <c r="N822" i="95"/>
  <c r="L822" i="95"/>
  <c r="J822" i="95" s="1"/>
  <c r="D822" i="95" s="1"/>
  <c r="K822" i="95"/>
  <c r="E822" i="95" s="1"/>
  <c r="I822" i="95"/>
  <c r="H822" i="95"/>
  <c r="G822" i="95"/>
  <c r="F822" i="95"/>
  <c r="C822" i="95"/>
  <c r="B822" i="95"/>
  <c r="AH821" i="95"/>
  <c r="AB821" i="95"/>
  <c r="AC821" i="95" s="1"/>
  <c r="AA821" i="95"/>
  <c r="Z821" i="95"/>
  <c r="Y821" i="95"/>
  <c r="X821" i="95"/>
  <c r="W821" i="95"/>
  <c r="V821" i="95"/>
  <c r="U821" i="95"/>
  <c r="T821" i="95"/>
  <c r="S821" i="95"/>
  <c r="R821" i="95"/>
  <c r="Q821" i="95"/>
  <c r="P821" i="95"/>
  <c r="O821" i="95"/>
  <c r="N821" i="95"/>
  <c r="M821" i="95"/>
  <c r="L821" i="95"/>
  <c r="J821" i="95" s="1"/>
  <c r="D821" i="95" s="1"/>
  <c r="K821" i="95"/>
  <c r="I821" i="95"/>
  <c r="C821" i="95" s="1"/>
  <c r="H821" i="95"/>
  <c r="B821" i="95" s="1"/>
  <c r="G821" i="95"/>
  <c r="F821" i="95"/>
  <c r="E821" i="95"/>
  <c r="AH820" i="95"/>
  <c r="AB820" i="95"/>
  <c r="AC820" i="95" s="1"/>
  <c r="AA820" i="95"/>
  <c r="Z820" i="95"/>
  <c r="Y820" i="95"/>
  <c r="X820" i="95"/>
  <c r="W820" i="95"/>
  <c r="V820" i="95"/>
  <c r="U820" i="95"/>
  <c r="T820" i="95"/>
  <c r="S820" i="95"/>
  <c r="R820" i="95"/>
  <c r="Q820" i="95"/>
  <c r="P820" i="95"/>
  <c r="O820" i="95"/>
  <c r="M820" i="95" s="1"/>
  <c r="N820" i="95"/>
  <c r="L820" i="95"/>
  <c r="J820" i="95" s="1"/>
  <c r="D820" i="95" s="1"/>
  <c r="K820" i="95"/>
  <c r="E820" i="95" s="1"/>
  <c r="I820" i="95"/>
  <c r="H820" i="95"/>
  <c r="B820" i="95" s="1"/>
  <c r="G820" i="95"/>
  <c r="F820" i="95"/>
  <c r="C820" i="95"/>
  <c r="AH819" i="95"/>
  <c r="AB819" i="95"/>
  <c r="AC819" i="95" s="1"/>
  <c r="AA819" i="95"/>
  <c r="Z819" i="95"/>
  <c r="Y819" i="95"/>
  <c r="X819" i="95"/>
  <c r="W819" i="95"/>
  <c r="V819" i="95"/>
  <c r="U819" i="95"/>
  <c r="T819" i="95"/>
  <c r="S819" i="95"/>
  <c r="R819" i="95"/>
  <c r="Q819" i="95"/>
  <c r="P819" i="95"/>
  <c r="O819" i="95"/>
  <c r="N819" i="95"/>
  <c r="M819" i="95"/>
  <c r="L819" i="95"/>
  <c r="J819" i="95" s="1"/>
  <c r="D819" i="95" s="1"/>
  <c r="K819" i="95"/>
  <c r="I819" i="95"/>
  <c r="C819" i="95" s="1"/>
  <c r="H819" i="95"/>
  <c r="G819" i="95"/>
  <c r="F819" i="95"/>
  <c r="E819" i="95"/>
  <c r="B819" i="95"/>
  <c r="AH818" i="95"/>
  <c r="AB818" i="95"/>
  <c r="AC818" i="95" s="1"/>
  <c r="AA818" i="95"/>
  <c r="Z818" i="95"/>
  <c r="Y818" i="95"/>
  <c r="X818" i="95"/>
  <c r="W818" i="95"/>
  <c r="V818" i="95"/>
  <c r="U818" i="95"/>
  <c r="T818" i="95"/>
  <c r="S818" i="95"/>
  <c r="R818" i="95"/>
  <c r="Q818" i="95"/>
  <c r="P818" i="95"/>
  <c r="O818" i="95"/>
  <c r="M818" i="95" s="1"/>
  <c r="N818" i="95"/>
  <c r="L818" i="95"/>
  <c r="J818" i="95" s="1"/>
  <c r="D818" i="95" s="1"/>
  <c r="K818" i="95"/>
  <c r="I818" i="95"/>
  <c r="H818" i="95"/>
  <c r="B818" i="95" s="1"/>
  <c r="G818" i="95"/>
  <c r="F818" i="95"/>
  <c r="C818" i="95"/>
  <c r="AH817" i="95"/>
  <c r="AB817" i="95"/>
  <c r="AC817" i="95" s="1"/>
  <c r="AA817" i="95"/>
  <c r="Z817" i="95"/>
  <c r="Y817" i="95"/>
  <c r="X817" i="95"/>
  <c r="W817" i="95"/>
  <c r="V817" i="95"/>
  <c r="U817" i="95"/>
  <c r="T817" i="95"/>
  <c r="S817" i="95"/>
  <c r="R817" i="95"/>
  <c r="Q817" i="95"/>
  <c r="P817" i="95"/>
  <c r="O817" i="95"/>
  <c r="N817" i="95"/>
  <c r="M817" i="95"/>
  <c r="L817" i="95"/>
  <c r="K817" i="95"/>
  <c r="J817" i="95"/>
  <c r="D817" i="95" s="1"/>
  <c r="I817" i="95"/>
  <c r="C817" i="95" s="1"/>
  <c r="H817" i="95"/>
  <c r="G817" i="95"/>
  <c r="F817" i="95"/>
  <c r="E817" i="95"/>
  <c r="B817" i="95"/>
  <c r="AH816" i="95"/>
  <c r="AB816" i="95"/>
  <c r="AC816" i="95" s="1"/>
  <c r="AA816" i="95"/>
  <c r="Z816" i="95"/>
  <c r="Y816" i="95"/>
  <c r="X816" i="95"/>
  <c r="W816" i="95"/>
  <c r="V816" i="95"/>
  <c r="U816" i="95"/>
  <c r="T816" i="95"/>
  <c r="S816" i="95"/>
  <c r="R816" i="95"/>
  <c r="Q816" i="95"/>
  <c r="P816" i="95"/>
  <c r="O816" i="95"/>
  <c r="M816" i="95" s="1"/>
  <c r="N816" i="95"/>
  <c r="L816" i="95"/>
  <c r="K816" i="95"/>
  <c r="J816" i="95"/>
  <c r="D816" i="95" s="1"/>
  <c r="I816" i="95"/>
  <c r="H816" i="95"/>
  <c r="B816" i="95" s="1"/>
  <c r="G816" i="95"/>
  <c r="F816" i="95"/>
  <c r="C816" i="95"/>
  <c r="AH815" i="95"/>
  <c r="AB815" i="95"/>
  <c r="AC815" i="95" s="1"/>
  <c r="AA815" i="95"/>
  <c r="Z815" i="95"/>
  <c r="Y815" i="95"/>
  <c r="X815" i="95"/>
  <c r="W815" i="95"/>
  <c r="V815" i="95"/>
  <c r="U815" i="95"/>
  <c r="T815" i="95"/>
  <c r="S815" i="95"/>
  <c r="R815" i="95"/>
  <c r="Q815" i="95"/>
  <c r="P815" i="95"/>
  <c r="O815" i="95"/>
  <c r="M815" i="95" s="1"/>
  <c r="N815" i="95"/>
  <c r="L815" i="95"/>
  <c r="K815" i="95"/>
  <c r="E815" i="95" s="1"/>
  <c r="J815" i="95"/>
  <c r="D815" i="95" s="1"/>
  <c r="I815" i="95"/>
  <c r="C815" i="95" s="1"/>
  <c r="H815" i="95"/>
  <c r="B815" i="95" s="1"/>
  <c r="G815" i="95"/>
  <c r="F815" i="95"/>
  <c r="AH814" i="95"/>
  <c r="AB814" i="95"/>
  <c r="AC814" i="95" s="1"/>
  <c r="AA814" i="95"/>
  <c r="Z814" i="95"/>
  <c r="Y814" i="95"/>
  <c r="X814" i="95"/>
  <c r="W814" i="95"/>
  <c r="V814" i="95"/>
  <c r="U814" i="95"/>
  <c r="T814" i="95"/>
  <c r="S814" i="95"/>
  <c r="R814" i="95"/>
  <c r="Q814" i="95"/>
  <c r="P814" i="95"/>
  <c r="O814" i="95"/>
  <c r="M814" i="95" s="1"/>
  <c r="N814" i="95"/>
  <c r="L814" i="95"/>
  <c r="J814" i="95" s="1"/>
  <c r="K814" i="95"/>
  <c r="I814" i="95"/>
  <c r="C814" i="95" s="1"/>
  <c r="H814" i="95"/>
  <c r="G814" i="95"/>
  <c r="F814" i="95"/>
  <c r="D814" i="95"/>
  <c r="B814" i="95"/>
  <c r="AH813" i="95"/>
  <c r="AC813" i="95"/>
  <c r="AB813" i="95"/>
  <c r="AA813" i="95"/>
  <c r="Z813" i="95"/>
  <c r="Y813" i="95"/>
  <c r="X813" i="95"/>
  <c r="W813" i="95"/>
  <c r="V813" i="95"/>
  <c r="U813" i="95"/>
  <c r="T813" i="95"/>
  <c r="S813" i="95"/>
  <c r="R813" i="95"/>
  <c r="Q813" i="95"/>
  <c r="P813" i="95"/>
  <c r="O813" i="95"/>
  <c r="M813" i="95" s="1"/>
  <c r="N813" i="95"/>
  <c r="L813" i="95"/>
  <c r="J813" i="95" s="1"/>
  <c r="D813" i="95" s="1"/>
  <c r="K813" i="95"/>
  <c r="E813" i="95" s="1"/>
  <c r="I813" i="95"/>
  <c r="C813" i="95" s="1"/>
  <c r="H813" i="95"/>
  <c r="G813" i="95"/>
  <c r="F813" i="95"/>
  <c r="B813" i="95"/>
  <c r="A813" i="95" s="1"/>
  <c r="AH812" i="95"/>
  <c r="AB812" i="95"/>
  <c r="AC812" i="95" s="1"/>
  <c r="AA812" i="95"/>
  <c r="Z812" i="95"/>
  <c r="Y812" i="95"/>
  <c r="X812" i="95"/>
  <c r="W812" i="95"/>
  <c r="V812" i="95"/>
  <c r="U812" i="95"/>
  <c r="T812" i="95"/>
  <c r="S812" i="95"/>
  <c r="R812" i="95"/>
  <c r="Q812" i="95"/>
  <c r="P812" i="95"/>
  <c r="O812" i="95"/>
  <c r="M812" i="95" s="1"/>
  <c r="N812" i="95"/>
  <c r="L812" i="95"/>
  <c r="J812" i="95" s="1"/>
  <c r="D812" i="95" s="1"/>
  <c r="K812" i="95"/>
  <c r="I812" i="95"/>
  <c r="H812" i="95"/>
  <c r="B812" i="95" s="1"/>
  <c r="G812" i="95"/>
  <c r="F812" i="95"/>
  <c r="C812" i="95"/>
  <c r="AH811" i="95"/>
  <c r="AB811" i="95"/>
  <c r="AC811" i="95" s="1"/>
  <c r="AA811" i="95"/>
  <c r="Z811" i="95"/>
  <c r="Y811" i="95"/>
  <c r="X811" i="95"/>
  <c r="W811" i="95"/>
  <c r="V811" i="95"/>
  <c r="U811" i="95"/>
  <c r="T811" i="95"/>
  <c r="S811" i="95"/>
  <c r="R811" i="95"/>
  <c r="Q811" i="95"/>
  <c r="P811" i="95"/>
  <c r="O811" i="95"/>
  <c r="M811" i="95" s="1"/>
  <c r="N811" i="95"/>
  <c r="L811" i="95"/>
  <c r="J811" i="95" s="1"/>
  <c r="K811" i="95"/>
  <c r="E811" i="95" s="1"/>
  <c r="I811" i="95"/>
  <c r="C811" i="95" s="1"/>
  <c r="H811" i="95"/>
  <c r="B811" i="95" s="1"/>
  <c r="G811" i="95"/>
  <c r="F811" i="95"/>
  <c r="D811" i="95"/>
  <c r="AH810" i="95"/>
  <c r="AB810" i="95"/>
  <c r="AC810" i="95" s="1"/>
  <c r="AA810" i="95"/>
  <c r="Z810" i="95"/>
  <c r="Y810" i="95"/>
  <c r="X810" i="95"/>
  <c r="W810" i="95"/>
  <c r="V810" i="95"/>
  <c r="U810" i="95"/>
  <c r="T810" i="95"/>
  <c r="S810" i="95"/>
  <c r="R810" i="95"/>
  <c r="Q810" i="95"/>
  <c r="P810" i="95"/>
  <c r="O810" i="95"/>
  <c r="M810" i="95" s="1"/>
  <c r="N810" i="95"/>
  <c r="L810" i="95"/>
  <c r="K810" i="95"/>
  <c r="E810" i="95" s="1"/>
  <c r="J810" i="95"/>
  <c r="I810" i="95"/>
  <c r="C810" i="95" s="1"/>
  <c r="H810" i="95"/>
  <c r="G810" i="95"/>
  <c r="F810" i="95"/>
  <c r="D810" i="95"/>
  <c r="B810" i="95"/>
  <c r="A810" i="95" s="1"/>
  <c r="AH809" i="95"/>
  <c r="AC809" i="95"/>
  <c r="AB809" i="95"/>
  <c r="AA809" i="95"/>
  <c r="Z809" i="95"/>
  <c r="Y809" i="95"/>
  <c r="X809" i="95"/>
  <c r="W809" i="95"/>
  <c r="V809" i="95"/>
  <c r="U809" i="95"/>
  <c r="T809" i="95"/>
  <c r="S809" i="95"/>
  <c r="R809" i="95"/>
  <c r="Q809" i="95"/>
  <c r="P809" i="95"/>
  <c r="O809" i="95"/>
  <c r="N809" i="95"/>
  <c r="M809" i="95"/>
  <c r="L809" i="95"/>
  <c r="K809" i="95"/>
  <c r="J809" i="95"/>
  <c r="D809" i="95" s="1"/>
  <c r="I809" i="95"/>
  <c r="C809" i="95" s="1"/>
  <c r="H809" i="95"/>
  <c r="G809" i="95"/>
  <c r="F809" i="95"/>
  <c r="E809" i="95"/>
  <c r="B809" i="95"/>
  <c r="AH808" i="95"/>
  <c r="AB808" i="95"/>
  <c r="AC808" i="95" s="1"/>
  <c r="AA808" i="95"/>
  <c r="Z808" i="95"/>
  <c r="Y808" i="95"/>
  <c r="X808" i="95"/>
  <c r="W808" i="95"/>
  <c r="V808" i="95"/>
  <c r="U808" i="95"/>
  <c r="T808" i="95"/>
  <c r="S808" i="95"/>
  <c r="R808" i="95"/>
  <c r="Q808" i="95"/>
  <c r="P808" i="95"/>
  <c r="O808" i="95"/>
  <c r="M808" i="95" s="1"/>
  <c r="N808" i="95"/>
  <c r="L808" i="95"/>
  <c r="K808" i="95"/>
  <c r="J808" i="95"/>
  <c r="D808" i="95" s="1"/>
  <c r="I808" i="95"/>
  <c r="H808" i="95"/>
  <c r="B808" i="95" s="1"/>
  <c r="G808" i="95"/>
  <c r="F808" i="95"/>
  <c r="C808" i="95"/>
  <c r="AH807" i="95"/>
  <c r="AB807" i="95"/>
  <c r="AC807" i="95" s="1"/>
  <c r="AA807" i="95"/>
  <c r="Z807" i="95"/>
  <c r="Y807" i="95"/>
  <c r="X807" i="95"/>
  <c r="W807" i="95"/>
  <c r="V807" i="95"/>
  <c r="U807" i="95"/>
  <c r="T807" i="95"/>
  <c r="S807" i="95"/>
  <c r="R807" i="95"/>
  <c r="Q807" i="95"/>
  <c r="P807" i="95"/>
  <c r="O807" i="95"/>
  <c r="M807" i="95" s="1"/>
  <c r="N807" i="95"/>
  <c r="L807" i="95"/>
  <c r="J807" i="95" s="1"/>
  <c r="D807" i="95" s="1"/>
  <c r="K807" i="95"/>
  <c r="E807" i="95" s="1"/>
  <c r="I807" i="95"/>
  <c r="C807" i="95" s="1"/>
  <c r="H807" i="95"/>
  <c r="B807" i="95" s="1"/>
  <c r="G807" i="95"/>
  <c r="F807" i="95"/>
  <c r="AH806" i="95"/>
  <c r="AB806" i="95"/>
  <c r="AC806" i="95" s="1"/>
  <c r="AA806" i="95"/>
  <c r="Z806" i="95"/>
  <c r="Y806" i="95"/>
  <c r="X806" i="95"/>
  <c r="W806" i="95"/>
  <c r="V806" i="95"/>
  <c r="U806" i="95"/>
  <c r="T806" i="95"/>
  <c r="S806" i="95"/>
  <c r="R806" i="95"/>
  <c r="Q806" i="95"/>
  <c r="P806" i="95"/>
  <c r="O806" i="95"/>
  <c r="M806" i="95" s="1"/>
  <c r="N806" i="95"/>
  <c r="L806" i="95"/>
  <c r="J806" i="95" s="1"/>
  <c r="D806" i="95" s="1"/>
  <c r="K806" i="95"/>
  <c r="I806" i="95"/>
  <c r="H806" i="95"/>
  <c r="G806" i="95"/>
  <c r="F806" i="95"/>
  <c r="C806" i="95"/>
  <c r="B806" i="95"/>
  <c r="AH805" i="95"/>
  <c r="AB805" i="95"/>
  <c r="AC805" i="95" s="1"/>
  <c r="AA805" i="95"/>
  <c r="Z805" i="95"/>
  <c r="Y805" i="95"/>
  <c r="X805" i="95"/>
  <c r="W805" i="95"/>
  <c r="V805" i="95"/>
  <c r="U805" i="95"/>
  <c r="T805" i="95"/>
  <c r="S805" i="95"/>
  <c r="R805" i="95"/>
  <c r="Q805" i="95"/>
  <c r="P805" i="95"/>
  <c r="O805" i="95"/>
  <c r="M805" i="95" s="1"/>
  <c r="N805" i="95"/>
  <c r="L805" i="95"/>
  <c r="J805" i="95" s="1"/>
  <c r="D805" i="95" s="1"/>
  <c r="K805" i="95"/>
  <c r="I805" i="95"/>
  <c r="C805" i="95" s="1"/>
  <c r="H805" i="95"/>
  <c r="G805" i="95"/>
  <c r="F805" i="95"/>
  <c r="E805" i="95"/>
  <c r="B805" i="95"/>
  <c r="AH804" i="95"/>
  <c r="AB804" i="95"/>
  <c r="AC804" i="95" s="1"/>
  <c r="AA804" i="95"/>
  <c r="Z804" i="95"/>
  <c r="Y804" i="95"/>
  <c r="X804" i="95"/>
  <c r="W804" i="95"/>
  <c r="V804" i="95"/>
  <c r="U804" i="95"/>
  <c r="T804" i="95"/>
  <c r="S804" i="95"/>
  <c r="R804" i="95"/>
  <c r="Q804" i="95"/>
  <c r="P804" i="95"/>
  <c r="O804" i="95"/>
  <c r="M804" i="95" s="1"/>
  <c r="N804" i="95"/>
  <c r="L804" i="95"/>
  <c r="J804" i="95" s="1"/>
  <c r="D804" i="95" s="1"/>
  <c r="K804" i="95"/>
  <c r="I804" i="95"/>
  <c r="H804" i="95"/>
  <c r="B804" i="95" s="1"/>
  <c r="G804" i="95"/>
  <c r="F804" i="95"/>
  <c r="C804" i="95"/>
  <c r="AH803" i="95"/>
  <c r="AB803" i="95"/>
  <c r="AC803" i="95" s="1"/>
  <c r="AA803" i="95"/>
  <c r="Z803" i="95"/>
  <c r="Y803" i="95"/>
  <c r="X803" i="95"/>
  <c r="W803" i="95"/>
  <c r="V803" i="95"/>
  <c r="U803" i="95"/>
  <c r="T803" i="95"/>
  <c r="S803" i="95"/>
  <c r="R803" i="95"/>
  <c r="Q803" i="95"/>
  <c r="P803" i="95"/>
  <c r="O803" i="95"/>
  <c r="M803" i="95" s="1"/>
  <c r="N803" i="95"/>
  <c r="L803" i="95"/>
  <c r="J803" i="95" s="1"/>
  <c r="D803" i="95" s="1"/>
  <c r="K803" i="95"/>
  <c r="I803" i="95"/>
  <c r="C803" i="95" s="1"/>
  <c r="H803" i="95"/>
  <c r="B803" i="95" s="1"/>
  <c r="G803" i="95"/>
  <c r="F803" i="95"/>
  <c r="E803" i="95"/>
  <c r="AH802" i="95"/>
  <c r="AB802" i="95"/>
  <c r="AC802" i="95" s="1"/>
  <c r="AA802" i="95"/>
  <c r="Z802" i="95"/>
  <c r="Y802" i="95"/>
  <c r="X802" i="95"/>
  <c r="W802" i="95"/>
  <c r="V802" i="95"/>
  <c r="U802" i="95"/>
  <c r="T802" i="95"/>
  <c r="S802" i="95"/>
  <c r="R802" i="95"/>
  <c r="Q802" i="95"/>
  <c r="P802" i="95"/>
  <c r="O802" i="95"/>
  <c r="M802" i="95" s="1"/>
  <c r="N802" i="95"/>
  <c r="L802" i="95"/>
  <c r="J802" i="95" s="1"/>
  <c r="D802" i="95" s="1"/>
  <c r="K802" i="95"/>
  <c r="I802" i="95"/>
  <c r="H802" i="95"/>
  <c r="B802" i="95" s="1"/>
  <c r="G802" i="95"/>
  <c r="F802" i="95"/>
  <c r="C802" i="95"/>
  <c r="AH801" i="95"/>
  <c r="AB801" i="95"/>
  <c r="AC801" i="95" s="1"/>
  <c r="AA801" i="95"/>
  <c r="Z801" i="95"/>
  <c r="Y801" i="95"/>
  <c r="X801" i="95"/>
  <c r="W801" i="95"/>
  <c r="V801" i="95"/>
  <c r="U801" i="95"/>
  <c r="T801" i="95"/>
  <c r="S801" i="95"/>
  <c r="R801" i="95"/>
  <c r="Q801" i="95"/>
  <c r="P801" i="95"/>
  <c r="O801" i="95"/>
  <c r="M801" i="95" s="1"/>
  <c r="N801" i="95"/>
  <c r="L801" i="95"/>
  <c r="J801" i="95" s="1"/>
  <c r="D801" i="95" s="1"/>
  <c r="K801" i="95"/>
  <c r="E801" i="95" s="1"/>
  <c r="I801" i="95"/>
  <c r="C801" i="95" s="1"/>
  <c r="H801" i="95"/>
  <c r="B801" i="95" s="1"/>
  <c r="A801" i="95" s="1"/>
  <c r="G801" i="95"/>
  <c r="F801" i="95"/>
  <c r="AH800" i="95"/>
  <c r="AB800" i="95"/>
  <c r="AC800" i="95" s="1"/>
  <c r="AA800" i="95"/>
  <c r="Z800" i="95"/>
  <c r="Y800" i="95"/>
  <c r="X800" i="95"/>
  <c r="W800" i="95"/>
  <c r="V800" i="95"/>
  <c r="U800" i="95"/>
  <c r="T800" i="95"/>
  <c r="S800" i="95"/>
  <c r="R800" i="95"/>
  <c r="Q800" i="95"/>
  <c r="P800" i="95"/>
  <c r="O800" i="95"/>
  <c r="M800" i="95" s="1"/>
  <c r="N800" i="95"/>
  <c r="L800" i="95"/>
  <c r="J800" i="95" s="1"/>
  <c r="D800" i="95" s="1"/>
  <c r="K800" i="95"/>
  <c r="I800" i="95"/>
  <c r="H800" i="95"/>
  <c r="B800" i="95" s="1"/>
  <c r="G800" i="95"/>
  <c r="F800" i="95"/>
  <c r="C800" i="95"/>
  <c r="AH799" i="95"/>
  <c r="AB799" i="95"/>
  <c r="AC799" i="95" s="1"/>
  <c r="AA799" i="95"/>
  <c r="Z799" i="95"/>
  <c r="Y799" i="95"/>
  <c r="X799" i="95"/>
  <c r="W799" i="95"/>
  <c r="V799" i="95"/>
  <c r="U799" i="95"/>
  <c r="T799" i="95"/>
  <c r="S799" i="95"/>
  <c r="R799" i="95"/>
  <c r="Q799" i="95"/>
  <c r="P799" i="95"/>
  <c r="O799" i="95"/>
  <c r="N799" i="95"/>
  <c r="M799" i="95"/>
  <c r="L799" i="95"/>
  <c r="J799" i="95" s="1"/>
  <c r="D799" i="95" s="1"/>
  <c r="A799" i="95" s="1"/>
  <c r="K799" i="95"/>
  <c r="I799" i="95"/>
  <c r="C799" i="95" s="1"/>
  <c r="H799" i="95"/>
  <c r="B799" i="95" s="1"/>
  <c r="G799" i="95"/>
  <c r="F799" i="95"/>
  <c r="E799" i="95"/>
  <c r="AH798" i="95"/>
  <c r="AB798" i="95"/>
  <c r="AC798" i="95" s="1"/>
  <c r="AA798" i="95"/>
  <c r="Z798" i="95"/>
  <c r="Y798" i="95"/>
  <c r="X798" i="95"/>
  <c r="W798" i="95"/>
  <c r="V798" i="95"/>
  <c r="U798" i="95"/>
  <c r="T798" i="95"/>
  <c r="S798" i="95"/>
  <c r="R798" i="95"/>
  <c r="Q798" i="95"/>
  <c r="P798" i="95"/>
  <c r="O798" i="95"/>
  <c r="M798" i="95" s="1"/>
  <c r="N798" i="95"/>
  <c r="L798" i="95"/>
  <c r="J798" i="95" s="1"/>
  <c r="D798" i="95" s="1"/>
  <c r="K798" i="95"/>
  <c r="I798" i="95"/>
  <c r="C798" i="95" s="1"/>
  <c r="H798" i="95"/>
  <c r="G798" i="95"/>
  <c r="F798" i="95"/>
  <c r="B798" i="95"/>
  <c r="AH797" i="95"/>
  <c r="AC797" i="95"/>
  <c r="AB797" i="95"/>
  <c r="AA797" i="95"/>
  <c r="Z797" i="95"/>
  <c r="Y797" i="95"/>
  <c r="X797" i="95"/>
  <c r="W797" i="95"/>
  <c r="V797" i="95"/>
  <c r="U797" i="95"/>
  <c r="T797" i="95"/>
  <c r="S797" i="95"/>
  <c r="R797" i="95"/>
  <c r="Q797" i="95"/>
  <c r="P797" i="95"/>
  <c r="O797" i="95"/>
  <c r="N797" i="95"/>
  <c r="M797" i="95"/>
  <c r="L797" i="95"/>
  <c r="J797" i="95" s="1"/>
  <c r="D797" i="95" s="1"/>
  <c r="K797" i="95"/>
  <c r="E797" i="95" s="1"/>
  <c r="I797" i="95"/>
  <c r="C797" i="95" s="1"/>
  <c r="H797" i="95"/>
  <c r="G797" i="95"/>
  <c r="F797" i="95"/>
  <c r="B797" i="95"/>
  <c r="A797" i="95" s="1"/>
  <c r="AH796" i="95"/>
  <c r="AB796" i="95"/>
  <c r="AC796" i="95" s="1"/>
  <c r="AA796" i="95"/>
  <c r="Z796" i="95"/>
  <c r="Y796" i="95"/>
  <c r="X796" i="95"/>
  <c r="W796" i="95"/>
  <c r="V796" i="95"/>
  <c r="U796" i="95"/>
  <c r="T796" i="95"/>
  <c r="S796" i="95"/>
  <c r="R796" i="95"/>
  <c r="Q796" i="95"/>
  <c r="P796" i="95"/>
  <c r="O796" i="95"/>
  <c r="M796" i="95" s="1"/>
  <c r="N796" i="95"/>
  <c r="L796" i="95"/>
  <c r="J796" i="95" s="1"/>
  <c r="D796" i="95" s="1"/>
  <c r="K796" i="95"/>
  <c r="I796" i="95"/>
  <c r="H796" i="95"/>
  <c r="B796" i="95" s="1"/>
  <c r="G796" i="95"/>
  <c r="F796" i="95"/>
  <c r="C796" i="95"/>
  <c r="AH795" i="95"/>
  <c r="AB795" i="95"/>
  <c r="AC795" i="95" s="1"/>
  <c r="AA795" i="95"/>
  <c r="Z795" i="95"/>
  <c r="Y795" i="95"/>
  <c r="X795" i="95"/>
  <c r="W795" i="95"/>
  <c r="V795" i="95"/>
  <c r="U795" i="95"/>
  <c r="T795" i="95"/>
  <c r="S795" i="95"/>
  <c r="R795" i="95"/>
  <c r="Q795" i="95"/>
  <c r="P795" i="95"/>
  <c r="O795" i="95"/>
  <c r="N795" i="95"/>
  <c r="M795" i="95"/>
  <c r="L795" i="95"/>
  <c r="J795" i="95" s="1"/>
  <c r="K795" i="95"/>
  <c r="E795" i="95" s="1"/>
  <c r="I795" i="95"/>
  <c r="C795" i="95" s="1"/>
  <c r="H795" i="95"/>
  <c r="B795" i="95" s="1"/>
  <c r="G795" i="95"/>
  <c r="F795" i="95"/>
  <c r="D795" i="95"/>
  <c r="AH794" i="95"/>
  <c r="AB794" i="95"/>
  <c r="AC794" i="95" s="1"/>
  <c r="AA794" i="95"/>
  <c r="Z794" i="95"/>
  <c r="Y794" i="95"/>
  <c r="X794" i="95"/>
  <c r="W794" i="95"/>
  <c r="V794" i="95"/>
  <c r="U794" i="95"/>
  <c r="T794" i="95"/>
  <c r="S794" i="95"/>
  <c r="R794" i="95"/>
  <c r="Q794" i="95"/>
  <c r="P794" i="95"/>
  <c r="O794" i="95"/>
  <c r="M794" i="95" s="1"/>
  <c r="N794" i="95"/>
  <c r="L794" i="95"/>
  <c r="J794" i="95" s="1"/>
  <c r="D794" i="95" s="1"/>
  <c r="K794" i="95"/>
  <c r="E794" i="95" s="1"/>
  <c r="I794" i="95"/>
  <c r="C794" i="95" s="1"/>
  <c r="H794" i="95"/>
  <c r="G794" i="95"/>
  <c r="F794" i="95"/>
  <c r="B794" i="95"/>
  <c r="AH793" i="95"/>
  <c r="AC793" i="95"/>
  <c r="AB793" i="95"/>
  <c r="AA793" i="95"/>
  <c r="Z793" i="95"/>
  <c r="Y793" i="95"/>
  <c r="X793" i="95"/>
  <c r="W793" i="95"/>
  <c r="V793" i="95"/>
  <c r="U793" i="95"/>
  <c r="T793" i="95"/>
  <c r="S793" i="95"/>
  <c r="R793" i="95"/>
  <c r="Q793" i="95"/>
  <c r="P793" i="95"/>
  <c r="O793" i="95"/>
  <c r="N793" i="95"/>
  <c r="M793" i="95"/>
  <c r="L793" i="95"/>
  <c r="J793" i="95" s="1"/>
  <c r="D793" i="95" s="1"/>
  <c r="K793" i="95"/>
  <c r="I793" i="95"/>
  <c r="C793" i="95" s="1"/>
  <c r="H793" i="95"/>
  <c r="G793" i="95"/>
  <c r="F793" i="95"/>
  <c r="E793" i="95"/>
  <c r="B793" i="95"/>
  <c r="AH792" i="95"/>
  <c r="AB792" i="95"/>
  <c r="AC792" i="95" s="1"/>
  <c r="AA792" i="95"/>
  <c r="Z792" i="95"/>
  <c r="Y792" i="95"/>
  <c r="X792" i="95"/>
  <c r="W792" i="95"/>
  <c r="V792" i="95"/>
  <c r="U792" i="95"/>
  <c r="T792" i="95"/>
  <c r="S792" i="95"/>
  <c r="R792" i="95"/>
  <c r="Q792" i="95"/>
  <c r="P792" i="95"/>
  <c r="O792" i="95"/>
  <c r="M792" i="95" s="1"/>
  <c r="N792" i="95"/>
  <c r="L792" i="95"/>
  <c r="K792" i="95"/>
  <c r="J792" i="95"/>
  <c r="D792" i="95" s="1"/>
  <c r="I792" i="95"/>
  <c r="H792" i="95"/>
  <c r="B792" i="95" s="1"/>
  <c r="G792" i="95"/>
  <c r="F792" i="95"/>
  <c r="C792" i="95"/>
  <c r="AH791" i="95"/>
  <c r="AB791" i="95"/>
  <c r="AC791" i="95" s="1"/>
  <c r="AA791" i="95"/>
  <c r="Z791" i="95"/>
  <c r="Y791" i="95"/>
  <c r="X791" i="95"/>
  <c r="W791" i="95"/>
  <c r="V791" i="95"/>
  <c r="U791" i="95"/>
  <c r="T791" i="95"/>
  <c r="S791" i="95"/>
  <c r="R791" i="95"/>
  <c r="Q791" i="95"/>
  <c r="P791" i="95"/>
  <c r="O791" i="95"/>
  <c r="M791" i="95" s="1"/>
  <c r="N791" i="95"/>
  <c r="L791" i="95"/>
  <c r="K791" i="95"/>
  <c r="E791" i="95" s="1"/>
  <c r="J791" i="95"/>
  <c r="D791" i="95" s="1"/>
  <c r="I791" i="95"/>
  <c r="C791" i="95" s="1"/>
  <c r="H791" i="95"/>
  <c r="B791" i="95" s="1"/>
  <c r="G791" i="95"/>
  <c r="F791" i="95"/>
  <c r="AH790" i="95"/>
  <c r="AB790" i="95"/>
  <c r="AC790" i="95" s="1"/>
  <c r="AA790" i="95"/>
  <c r="Z790" i="95"/>
  <c r="Y790" i="95"/>
  <c r="X790" i="95"/>
  <c r="W790" i="95"/>
  <c r="V790" i="95"/>
  <c r="U790" i="95"/>
  <c r="T790" i="95"/>
  <c r="S790" i="95"/>
  <c r="R790" i="95"/>
  <c r="Q790" i="95"/>
  <c r="P790" i="95"/>
  <c r="O790" i="95"/>
  <c r="M790" i="95" s="1"/>
  <c r="N790" i="95"/>
  <c r="L790" i="95"/>
  <c r="J790" i="95" s="1"/>
  <c r="D790" i="95" s="1"/>
  <c r="K790" i="95"/>
  <c r="I790" i="95"/>
  <c r="H790" i="95"/>
  <c r="G790" i="95"/>
  <c r="F790" i="95"/>
  <c r="C790" i="95"/>
  <c r="B790" i="95"/>
  <c r="AH789" i="95"/>
  <c r="AB789" i="95"/>
  <c r="AC789" i="95" s="1"/>
  <c r="AA789" i="95"/>
  <c r="Z789" i="95"/>
  <c r="Y789" i="95"/>
  <c r="X789" i="95"/>
  <c r="W789" i="95"/>
  <c r="V789" i="95"/>
  <c r="U789" i="95"/>
  <c r="T789" i="95"/>
  <c r="S789" i="95"/>
  <c r="R789" i="95"/>
  <c r="Q789" i="95"/>
  <c r="P789" i="95"/>
  <c r="O789" i="95"/>
  <c r="N789" i="95"/>
  <c r="M789" i="95"/>
  <c r="L789" i="95"/>
  <c r="J789" i="95" s="1"/>
  <c r="D789" i="95" s="1"/>
  <c r="K789" i="95"/>
  <c r="I789" i="95"/>
  <c r="C789" i="95" s="1"/>
  <c r="H789" i="95"/>
  <c r="G789" i="95"/>
  <c r="F789" i="95"/>
  <c r="E789" i="95"/>
  <c r="B789" i="95"/>
  <c r="AH788" i="95"/>
  <c r="AB788" i="95"/>
  <c r="AC788" i="95" s="1"/>
  <c r="AA788" i="95"/>
  <c r="Z788" i="95"/>
  <c r="Y788" i="95"/>
  <c r="X788" i="95"/>
  <c r="W788" i="95"/>
  <c r="V788" i="95"/>
  <c r="U788" i="95"/>
  <c r="T788" i="95"/>
  <c r="S788" i="95"/>
  <c r="R788" i="95"/>
  <c r="Q788" i="95"/>
  <c r="P788" i="95"/>
  <c r="O788" i="95"/>
  <c r="M788" i="95" s="1"/>
  <c r="N788" i="95"/>
  <c r="L788" i="95"/>
  <c r="J788" i="95" s="1"/>
  <c r="D788" i="95" s="1"/>
  <c r="K788" i="95"/>
  <c r="I788" i="95"/>
  <c r="H788" i="95"/>
  <c r="B788" i="95" s="1"/>
  <c r="G788" i="95"/>
  <c r="F788" i="95"/>
  <c r="C788" i="95"/>
  <c r="AH787" i="95"/>
  <c r="AB787" i="95"/>
  <c r="AC787" i="95" s="1"/>
  <c r="AA787" i="95"/>
  <c r="Z787" i="95"/>
  <c r="Y787" i="95"/>
  <c r="X787" i="95"/>
  <c r="W787" i="95"/>
  <c r="V787" i="95"/>
  <c r="U787" i="95"/>
  <c r="T787" i="95"/>
  <c r="S787" i="95"/>
  <c r="R787" i="95"/>
  <c r="Q787" i="95"/>
  <c r="P787" i="95"/>
  <c r="O787" i="95"/>
  <c r="N787" i="95"/>
  <c r="M787" i="95"/>
  <c r="L787" i="95"/>
  <c r="J787" i="95" s="1"/>
  <c r="D787" i="95" s="1"/>
  <c r="K787" i="95"/>
  <c r="I787" i="95"/>
  <c r="C787" i="95" s="1"/>
  <c r="H787" i="95"/>
  <c r="B787" i="95" s="1"/>
  <c r="G787" i="95"/>
  <c r="F787" i="95"/>
  <c r="E787" i="95"/>
  <c r="AH786" i="95"/>
  <c r="AB786" i="95"/>
  <c r="AC786" i="95" s="1"/>
  <c r="AA786" i="95"/>
  <c r="Z786" i="95"/>
  <c r="Y786" i="95"/>
  <c r="X786" i="95"/>
  <c r="W786" i="95"/>
  <c r="V786" i="95"/>
  <c r="U786" i="95"/>
  <c r="T786" i="95"/>
  <c r="S786" i="95"/>
  <c r="R786" i="95"/>
  <c r="Q786" i="95"/>
  <c r="P786" i="95"/>
  <c r="O786" i="95"/>
  <c r="M786" i="95" s="1"/>
  <c r="N786" i="95"/>
  <c r="L786" i="95"/>
  <c r="K786" i="95"/>
  <c r="J786" i="95"/>
  <c r="D786" i="95" s="1"/>
  <c r="I786" i="95"/>
  <c r="H786" i="95"/>
  <c r="B786" i="95" s="1"/>
  <c r="G786" i="95"/>
  <c r="F786" i="95"/>
  <c r="C786" i="95"/>
  <c r="AH785" i="95"/>
  <c r="AB785" i="95"/>
  <c r="AC785" i="95" s="1"/>
  <c r="AA785" i="95"/>
  <c r="Z785" i="95"/>
  <c r="Y785" i="95"/>
  <c r="X785" i="95"/>
  <c r="W785" i="95"/>
  <c r="V785" i="95"/>
  <c r="U785" i="95"/>
  <c r="T785" i="95"/>
  <c r="S785" i="95"/>
  <c r="R785" i="95"/>
  <c r="Q785" i="95"/>
  <c r="P785" i="95"/>
  <c r="O785" i="95"/>
  <c r="N785" i="95"/>
  <c r="M785" i="95"/>
  <c r="L785" i="95"/>
  <c r="J785" i="95" s="1"/>
  <c r="D785" i="95" s="1"/>
  <c r="K785" i="95"/>
  <c r="I785" i="95"/>
  <c r="C785" i="95" s="1"/>
  <c r="H785" i="95"/>
  <c r="G785" i="95"/>
  <c r="F785" i="95"/>
  <c r="E785" i="95"/>
  <c r="B785" i="95"/>
  <c r="AH784" i="95"/>
  <c r="AB784" i="95"/>
  <c r="AC784" i="95" s="1"/>
  <c r="AA784" i="95"/>
  <c r="Z784" i="95"/>
  <c r="Y784" i="95"/>
  <c r="X784" i="95"/>
  <c r="W784" i="95"/>
  <c r="V784" i="95"/>
  <c r="U784" i="95"/>
  <c r="T784" i="95"/>
  <c r="S784" i="95"/>
  <c r="R784" i="95"/>
  <c r="Q784" i="95"/>
  <c r="P784" i="95"/>
  <c r="O784" i="95"/>
  <c r="M784" i="95" s="1"/>
  <c r="N784" i="95"/>
  <c r="L784" i="95"/>
  <c r="K784" i="95"/>
  <c r="J784" i="95"/>
  <c r="D784" i="95" s="1"/>
  <c r="I784" i="95"/>
  <c r="H784" i="95"/>
  <c r="B784" i="95" s="1"/>
  <c r="G784" i="95"/>
  <c r="F784" i="95"/>
  <c r="C784" i="95"/>
  <c r="AH783" i="95"/>
  <c r="AB783" i="95"/>
  <c r="AC783" i="95" s="1"/>
  <c r="AA783" i="95"/>
  <c r="Z783" i="95"/>
  <c r="Y783" i="95"/>
  <c r="X783" i="95"/>
  <c r="W783" i="95"/>
  <c r="V783" i="95"/>
  <c r="U783" i="95"/>
  <c r="T783" i="95"/>
  <c r="S783" i="95"/>
  <c r="R783" i="95"/>
  <c r="Q783" i="95"/>
  <c r="P783" i="95"/>
  <c r="O783" i="95"/>
  <c r="M783" i="95" s="1"/>
  <c r="N783" i="95"/>
  <c r="L783" i="95"/>
  <c r="J783" i="95" s="1"/>
  <c r="D783" i="95" s="1"/>
  <c r="A783" i="95" s="1"/>
  <c r="K783" i="95"/>
  <c r="E783" i="95" s="1"/>
  <c r="I783" i="95"/>
  <c r="C783" i="95" s="1"/>
  <c r="H783" i="95"/>
  <c r="B783" i="95" s="1"/>
  <c r="G783" i="95"/>
  <c r="F783" i="95"/>
  <c r="AH782" i="95"/>
  <c r="AB782" i="95"/>
  <c r="AC782" i="95" s="1"/>
  <c r="AA782" i="95"/>
  <c r="Z782" i="95"/>
  <c r="Y782" i="95"/>
  <c r="X782" i="95"/>
  <c r="W782" i="95"/>
  <c r="V782" i="95"/>
  <c r="U782" i="95"/>
  <c r="T782" i="95"/>
  <c r="S782" i="95"/>
  <c r="R782" i="95"/>
  <c r="Q782" i="95"/>
  <c r="P782" i="95"/>
  <c r="O782" i="95"/>
  <c r="M782" i="95" s="1"/>
  <c r="N782" i="95"/>
  <c r="L782" i="95"/>
  <c r="J782" i="95" s="1"/>
  <c r="D782" i="95" s="1"/>
  <c r="K782" i="95"/>
  <c r="I782" i="95"/>
  <c r="C782" i="95" s="1"/>
  <c r="H782" i="95"/>
  <c r="B782" i="95" s="1"/>
  <c r="G782" i="95"/>
  <c r="F782" i="95"/>
  <c r="E782" i="95"/>
  <c r="AH781" i="95"/>
  <c r="AC781" i="95"/>
  <c r="AB781" i="95"/>
  <c r="AA781" i="95"/>
  <c r="Z781" i="95"/>
  <c r="Y781" i="95"/>
  <c r="X781" i="95"/>
  <c r="W781" i="95"/>
  <c r="V781" i="95"/>
  <c r="U781" i="95"/>
  <c r="T781" i="95"/>
  <c r="S781" i="95"/>
  <c r="R781" i="95"/>
  <c r="Q781" i="95"/>
  <c r="P781" i="95"/>
  <c r="O781" i="95"/>
  <c r="M781" i="95" s="1"/>
  <c r="N781" i="95"/>
  <c r="L781" i="95"/>
  <c r="J781" i="95" s="1"/>
  <c r="D781" i="95" s="1"/>
  <c r="K781" i="95"/>
  <c r="I781" i="95"/>
  <c r="H781" i="95"/>
  <c r="G781" i="95"/>
  <c r="F781" i="95"/>
  <c r="C781" i="95"/>
  <c r="B781" i="95"/>
  <c r="AH780" i="95"/>
  <c r="AC780" i="95"/>
  <c r="AB780" i="95"/>
  <c r="AA780" i="95"/>
  <c r="Z780" i="95"/>
  <c r="Y780" i="95"/>
  <c r="X780" i="95"/>
  <c r="W780" i="95"/>
  <c r="V780" i="95"/>
  <c r="U780" i="95"/>
  <c r="T780" i="95"/>
  <c r="S780" i="95"/>
  <c r="R780" i="95"/>
  <c r="Q780" i="95"/>
  <c r="P780" i="95"/>
  <c r="O780" i="95"/>
  <c r="M780" i="95" s="1"/>
  <c r="N780" i="95"/>
  <c r="L780" i="95"/>
  <c r="J780" i="95" s="1"/>
  <c r="D780" i="95" s="1"/>
  <c r="K780" i="95"/>
  <c r="E780" i="95" s="1"/>
  <c r="I780" i="95"/>
  <c r="C780" i="95" s="1"/>
  <c r="H780" i="95"/>
  <c r="B780" i="95" s="1"/>
  <c r="G780" i="95"/>
  <c r="F780" i="95"/>
  <c r="AH779" i="95"/>
  <c r="AB779" i="95"/>
  <c r="AC779" i="95" s="1"/>
  <c r="AA779" i="95"/>
  <c r="Z779" i="95"/>
  <c r="Y779" i="95"/>
  <c r="X779" i="95"/>
  <c r="W779" i="95"/>
  <c r="V779" i="95"/>
  <c r="U779" i="95"/>
  <c r="T779" i="95"/>
  <c r="S779" i="95"/>
  <c r="R779" i="95"/>
  <c r="Q779" i="95"/>
  <c r="P779" i="95"/>
  <c r="O779" i="95"/>
  <c r="M779" i="95" s="1"/>
  <c r="N779" i="95"/>
  <c r="L779" i="95"/>
  <c r="K779" i="95"/>
  <c r="E779" i="95" s="1"/>
  <c r="J779" i="95"/>
  <c r="D779" i="95" s="1"/>
  <c r="I779" i="95"/>
  <c r="H779" i="95"/>
  <c r="G779" i="95"/>
  <c r="F779" i="95"/>
  <c r="C779" i="95"/>
  <c r="B779" i="95"/>
  <c r="AH778" i="95"/>
  <c r="AB778" i="95"/>
  <c r="AC778" i="95" s="1"/>
  <c r="AA778" i="95"/>
  <c r="Z778" i="95"/>
  <c r="Y778" i="95"/>
  <c r="X778" i="95"/>
  <c r="W778" i="95"/>
  <c r="V778" i="95"/>
  <c r="U778" i="95"/>
  <c r="T778" i="95"/>
  <c r="S778" i="95"/>
  <c r="R778" i="95"/>
  <c r="Q778" i="95"/>
  <c r="P778" i="95"/>
  <c r="O778" i="95"/>
  <c r="N778" i="95"/>
  <c r="M778" i="95"/>
  <c r="L778" i="95"/>
  <c r="J778" i="95" s="1"/>
  <c r="D778" i="95" s="1"/>
  <c r="K778" i="95"/>
  <c r="I778" i="95"/>
  <c r="C778" i="95" s="1"/>
  <c r="H778" i="95"/>
  <c r="B778" i="95" s="1"/>
  <c r="G778" i="95"/>
  <c r="F778" i="95"/>
  <c r="E778" i="95"/>
  <c r="AH777" i="95"/>
  <c r="AC777" i="95"/>
  <c r="AB777" i="95"/>
  <c r="AA777" i="95"/>
  <c r="Z777" i="95"/>
  <c r="Y777" i="95"/>
  <c r="X777" i="95"/>
  <c r="W777" i="95"/>
  <c r="V777" i="95"/>
  <c r="U777" i="95"/>
  <c r="T777" i="95"/>
  <c r="S777" i="95"/>
  <c r="R777" i="95"/>
  <c r="Q777" i="95"/>
  <c r="P777" i="95"/>
  <c r="O777" i="95"/>
  <c r="M777" i="95" s="1"/>
  <c r="N777" i="95"/>
  <c r="L777" i="95"/>
  <c r="K777" i="95"/>
  <c r="J777" i="95"/>
  <c r="D777" i="95" s="1"/>
  <c r="I777" i="95"/>
  <c r="H777" i="95"/>
  <c r="G777" i="95"/>
  <c r="F777" i="95"/>
  <c r="C777" i="95"/>
  <c r="B777" i="95"/>
  <c r="AH776" i="95"/>
  <c r="AC776" i="95"/>
  <c r="AB776" i="95"/>
  <c r="AA776" i="95"/>
  <c r="Z776" i="95"/>
  <c r="Y776" i="95"/>
  <c r="X776" i="95"/>
  <c r="W776" i="95"/>
  <c r="V776" i="95"/>
  <c r="U776" i="95"/>
  <c r="T776" i="95"/>
  <c r="S776" i="95"/>
  <c r="R776" i="95"/>
  <c r="Q776" i="95"/>
  <c r="P776" i="95"/>
  <c r="O776" i="95"/>
  <c r="N776" i="95"/>
  <c r="M776" i="95"/>
  <c r="L776" i="95"/>
  <c r="J776" i="95" s="1"/>
  <c r="D776" i="95" s="1"/>
  <c r="K776" i="95"/>
  <c r="E776" i="95" s="1"/>
  <c r="I776" i="95"/>
  <c r="C776" i="95" s="1"/>
  <c r="H776" i="95"/>
  <c r="B776" i="95" s="1"/>
  <c r="G776" i="95"/>
  <c r="F776" i="95"/>
  <c r="AH775" i="95"/>
  <c r="AB775" i="95"/>
  <c r="AC775" i="95" s="1"/>
  <c r="AA775" i="95"/>
  <c r="Z775" i="95"/>
  <c r="Y775" i="95"/>
  <c r="X775" i="95"/>
  <c r="W775" i="95"/>
  <c r="V775" i="95"/>
  <c r="U775" i="95"/>
  <c r="T775" i="95"/>
  <c r="S775" i="95"/>
  <c r="R775" i="95"/>
  <c r="Q775" i="95"/>
  <c r="P775" i="95"/>
  <c r="O775" i="95"/>
  <c r="M775" i="95" s="1"/>
  <c r="N775" i="95"/>
  <c r="L775" i="95"/>
  <c r="J775" i="95" s="1"/>
  <c r="D775" i="95" s="1"/>
  <c r="K775" i="95"/>
  <c r="E775" i="95" s="1"/>
  <c r="I775" i="95"/>
  <c r="H775" i="95"/>
  <c r="G775" i="95"/>
  <c r="F775" i="95"/>
  <c r="C775" i="95"/>
  <c r="B775" i="95"/>
  <c r="AH774" i="95"/>
  <c r="AB774" i="95"/>
  <c r="AC774" i="95" s="1"/>
  <c r="AA774" i="95"/>
  <c r="Z774" i="95"/>
  <c r="Y774" i="95"/>
  <c r="X774" i="95"/>
  <c r="W774" i="95"/>
  <c r="V774" i="95"/>
  <c r="U774" i="95"/>
  <c r="T774" i="95"/>
  <c r="S774" i="95"/>
  <c r="R774" i="95"/>
  <c r="Q774" i="95"/>
  <c r="P774" i="95"/>
  <c r="O774" i="95"/>
  <c r="M774" i="95" s="1"/>
  <c r="N774" i="95"/>
  <c r="L774" i="95"/>
  <c r="J774" i="95" s="1"/>
  <c r="D774" i="95" s="1"/>
  <c r="K774" i="95"/>
  <c r="I774" i="95"/>
  <c r="C774" i="95" s="1"/>
  <c r="H774" i="95"/>
  <c r="B774" i="95" s="1"/>
  <c r="G774" i="95"/>
  <c r="F774" i="95"/>
  <c r="E774" i="95"/>
  <c r="AH773" i="95"/>
  <c r="AC773" i="95"/>
  <c r="AB773" i="95"/>
  <c r="AA773" i="95"/>
  <c r="Z773" i="95"/>
  <c r="Y773" i="95"/>
  <c r="X773" i="95"/>
  <c r="W773" i="95"/>
  <c r="V773" i="95"/>
  <c r="U773" i="95"/>
  <c r="T773" i="95"/>
  <c r="S773" i="95"/>
  <c r="R773" i="95"/>
  <c r="Q773" i="95"/>
  <c r="P773" i="95"/>
  <c r="O773" i="95"/>
  <c r="M773" i="95" s="1"/>
  <c r="N773" i="95"/>
  <c r="L773" i="95"/>
  <c r="J773" i="95" s="1"/>
  <c r="D773" i="95" s="1"/>
  <c r="K773" i="95"/>
  <c r="I773" i="95"/>
  <c r="H773" i="95"/>
  <c r="G773" i="95"/>
  <c r="F773" i="95"/>
  <c r="C773" i="95"/>
  <c r="B773" i="95"/>
  <c r="AH772" i="95"/>
  <c r="AC772" i="95"/>
  <c r="AB772" i="95"/>
  <c r="AA772" i="95"/>
  <c r="Z772" i="95"/>
  <c r="Y772" i="95"/>
  <c r="X772" i="95"/>
  <c r="W772" i="95"/>
  <c r="V772" i="95"/>
  <c r="U772" i="95"/>
  <c r="T772" i="95"/>
  <c r="S772" i="95"/>
  <c r="R772" i="95"/>
  <c r="Q772" i="95"/>
  <c r="P772" i="95"/>
  <c r="O772" i="95"/>
  <c r="M772" i="95" s="1"/>
  <c r="N772" i="95"/>
  <c r="L772" i="95"/>
  <c r="J772" i="95" s="1"/>
  <c r="D772" i="95" s="1"/>
  <c r="K772" i="95"/>
  <c r="E772" i="95" s="1"/>
  <c r="I772" i="95"/>
  <c r="C772" i="95" s="1"/>
  <c r="H772" i="95"/>
  <c r="B772" i="95" s="1"/>
  <c r="G772" i="95"/>
  <c r="F772" i="95"/>
  <c r="AH771" i="95"/>
  <c r="AB771" i="95"/>
  <c r="AC771" i="95" s="1"/>
  <c r="AA771" i="95"/>
  <c r="Z771" i="95"/>
  <c r="Y771" i="95"/>
  <c r="X771" i="95"/>
  <c r="W771" i="95"/>
  <c r="V771" i="95"/>
  <c r="U771" i="95"/>
  <c r="T771" i="95"/>
  <c r="S771" i="95"/>
  <c r="R771" i="95"/>
  <c r="Q771" i="95"/>
  <c r="P771" i="95"/>
  <c r="O771" i="95"/>
  <c r="M771" i="95" s="1"/>
  <c r="N771" i="95"/>
  <c r="L771" i="95"/>
  <c r="K771" i="95"/>
  <c r="E771" i="95" s="1"/>
  <c r="J771" i="95"/>
  <c r="D771" i="95" s="1"/>
  <c r="I771" i="95"/>
  <c r="H771" i="95"/>
  <c r="G771" i="95"/>
  <c r="F771" i="95"/>
  <c r="C771" i="95"/>
  <c r="B771" i="95"/>
  <c r="AH770" i="95"/>
  <c r="AB770" i="95"/>
  <c r="AC770" i="95" s="1"/>
  <c r="AA770" i="95"/>
  <c r="Z770" i="95"/>
  <c r="Y770" i="95"/>
  <c r="X770" i="95"/>
  <c r="W770" i="95"/>
  <c r="V770" i="95"/>
  <c r="U770" i="95"/>
  <c r="T770" i="95"/>
  <c r="S770" i="95"/>
  <c r="R770" i="95"/>
  <c r="Q770" i="95"/>
  <c r="P770" i="95"/>
  <c r="O770" i="95"/>
  <c r="N770" i="95"/>
  <c r="M770" i="95"/>
  <c r="L770" i="95"/>
  <c r="J770" i="95" s="1"/>
  <c r="D770" i="95" s="1"/>
  <c r="K770" i="95"/>
  <c r="I770" i="95"/>
  <c r="C770" i="95" s="1"/>
  <c r="H770" i="95"/>
  <c r="B770" i="95" s="1"/>
  <c r="G770" i="95"/>
  <c r="F770" i="95"/>
  <c r="E770" i="95"/>
  <c r="AH769" i="95"/>
  <c r="AC769" i="95"/>
  <c r="AB769" i="95"/>
  <c r="AA769" i="95"/>
  <c r="Z769" i="95"/>
  <c r="Y769" i="95"/>
  <c r="X769" i="95"/>
  <c r="W769" i="95"/>
  <c r="V769" i="95"/>
  <c r="U769" i="95"/>
  <c r="T769" i="95"/>
  <c r="S769" i="95"/>
  <c r="R769" i="95"/>
  <c r="Q769" i="95"/>
  <c r="P769" i="95"/>
  <c r="O769" i="95"/>
  <c r="M769" i="95" s="1"/>
  <c r="N769" i="95"/>
  <c r="L769" i="95"/>
  <c r="K769" i="95"/>
  <c r="J769" i="95"/>
  <c r="D769" i="95" s="1"/>
  <c r="I769" i="95"/>
  <c r="H769" i="95"/>
  <c r="G769" i="95"/>
  <c r="F769" i="95"/>
  <c r="C769" i="95"/>
  <c r="B769" i="95"/>
  <c r="AH768" i="95"/>
  <c r="AC768" i="95"/>
  <c r="AB768" i="95"/>
  <c r="AA768" i="95"/>
  <c r="Z768" i="95"/>
  <c r="Y768" i="95"/>
  <c r="X768" i="95"/>
  <c r="W768" i="95"/>
  <c r="V768" i="95"/>
  <c r="U768" i="95"/>
  <c r="T768" i="95"/>
  <c r="S768" i="95"/>
  <c r="R768" i="95"/>
  <c r="Q768" i="95"/>
  <c r="P768" i="95"/>
  <c r="O768" i="95"/>
  <c r="N768" i="95"/>
  <c r="M768" i="95"/>
  <c r="L768" i="95"/>
  <c r="J768" i="95" s="1"/>
  <c r="D768" i="95" s="1"/>
  <c r="K768" i="95"/>
  <c r="E768" i="95" s="1"/>
  <c r="I768" i="95"/>
  <c r="C768" i="95" s="1"/>
  <c r="H768" i="95"/>
  <c r="B768" i="95" s="1"/>
  <c r="G768" i="95"/>
  <c r="F768" i="95"/>
  <c r="AH767" i="95"/>
  <c r="AB767" i="95"/>
  <c r="AC767" i="95" s="1"/>
  <c r="AA767" i="95"/>
  <c r="Z767" i="95"/>
  <c r="Y767" i="95"/>
  <c r="X767" i="95"/>
  <c r="W767" i="95"/>
  <c r="V767" i="95"/>
  <c r="U767" i="95"/>
  <c r="T767" i="95"/>
  <c r="S767" i="95"/>
  <c r="R767" i="95"/>
  <c r="Q767" i="95"/>
  <c r="P767" i="95"/>
  <c r="O767" i="95"/>
  <c r="M767" i="95" s="1"/>
  <c r="N767" i="95"/>
  <c r="L767" i="95"/>
  <c r="J767" i="95" s="1"/>
  <c r="D767" i="95" s="1"/>
  <c r="K767" i="95"/>
  <c r="E767" i="95" s="1"/>
  <c r="I767" i="95"/>
  <c r="H767" i="95"/>
  <c r="G767" i="95"/>
  <c r="F767" i="95"/>
  <c r="C767" i="95"/>
  <c r="B767" i="95"/>
  <c r="AH766" i="95"/>
  <c r="AB766" i="95"/>
  <c r="AC766" i="95" s="1"/>
  <c r="AA766" i="95"/>
  <c r="Z766" i="95"/>
  <c r="Y766" i="95"/>
  <c r="X766" i="95"/>
  <c r="W766" i="95"/>
  <c r="V766" i="95"/>
  <c r="U766" i="95"/>
  <c r="T766" i="95"/>
  <c r="S766" i="95"/>
  <c r="R766" i="95"/>
  <c r="Q766" i="95"/>
  <c r="P766" i="95"/>
  <c r="O766" i="95"/>
  <c r="M766" i="95" s="1"/>
  <c r="N766" i="95"/>
  <c r="L766" i="95"/>
  <c r="J766" i="95" s="1"/>
  <c r="D766" i="95" s="1"/>
  <c r="K766" i="95"/>
  <c r="I766" i="95"/>
  <c r="C766" i="95" s="1"/>
  <c r="H766" i="95"/>
  <c r="B766" i="95" s="1"/>
  <c r="G766" i="95"/>
  <c r="F766" i="95"/>
  <c r="E766" i="95"/>
  <c r="AH765" i="95"/>
  <c r="AC765" i="95"/>
  <c r="AB765" i="95"/>
  <c r="AA765" i="95"/>
  <c r="Z765" i="95"/>
  <c r="Y765" i="95"/>
  <c r="X765" i="95"/>
  <c r="W765" i="95"/>
  <c r="V765" i="95"/>
  <c r="U765" i="95"/>
  <c r="T765" i="95"/>
  <c r="S765" i="95"/>
  <c r="R765" i="95"/>
  <c r="Q765" i="95"/>
  <c r="P765" i="95"/>
  <c r="O765" i="95"/>
  <c r="M765" i="95" s="1"/>
  <c r="N765" i="95"/>
  <c r="L765" i="95"/>
  <c r="J765" i="95" s="1"/>
  <c r="D765" i="95" s="1"/>
  <c r="K765" i="95"/>
  <c r="I765" i="95"/>
  <c r="H765" i="95"/>
  <c r="G765" i="95"/>
  <c r="F765" i="95"/>
  <c r="C765" i="95"/>
  <c r="B765" i="95"/>
  <c r="AH764" i="95"/>
  <c r="AC764" i="95"/>
  <c r="AB764" i="95"/>
  <c r="AA764" i="95"/>
  <c r="Z764" i="95"/>
  <c r="Y764" i="95"/>
  <c r="X764" i="95"/>
  <c r="W764" i="95"/>
  <c r="V764" i="95"/>
  <c r="U764" i="95"/>
  <c r="T764" i="95"/>
  <c r="S764" i="95"/>
  <c r="R764" i="95"/>
  <c r="Q764" i="95"/>
  <c r="P764" i="95"/>
  <c r="O764" i="95"/>
  <c r="M764" i="95" s="1"/>
  <c r="N764" i="95"/>
  <c r="L764" i="95"/>
  <c r="J764" i="95" s="1"/>
  <c r="D764" i="95" s="1"/>
  <c r="K764" i="95"/>
  <c r="E764" i="95" s="1"/>
  <c r="I764" i="95"/>
  <c r="C764" i="95" s="1"/>
  <c r="H764" i="95"/>
  <c r="B764" i="95" s="1"/>
  <c r="G764" i="95"/>
  <c r="F764" i="95"/>
  <c r="AH763" i="95"/>
  <c r="AB763" i="95"/>
  <c r="AC763" i="95" s="1"/>
  <c r="AA763" i="95"/>
  <c r="Z763" i="95"/>
  <c r="Y763" i="95"/>
  <c r="X763" i="95"/>
  <c r="W763" i="95"/>
  <c r="V763" i="95"/>
  <c r="U763" i="95"/>
  <c r="T763" i="95"/>
  <c r="S763" i="95"/>
  <c r="R763" i="95"/>
  <c r="Q763" i="95"/>
  <c r="P763" i="95"/>
  <c r="O763" i="95"/>
  <c r="M763" i="95" s="1"/>
  <c r="N763" i="95"/>
  <c r="L763" i="95"/>
  <c r="K763" i="95"/>
  <c r="E763" i="95" s="1"/>
  <c r="J763" i="95"/>
  <c r="D763" i="95" s="1"/>
  <c r="I763" i="95"/>
  <c r="H763" i="95"/>
  <c r="G763" i="95"/>
  <c r="F763" i="95"/>
  <c r="C763" i="95"/>
  <c r="B763" i="95"/>
  <c r="AH762" i="95"/>
  <c r="AB762" i="95"/>
  <c r="AC762" i="95" s="1"/>
  <c r="AA762" i="95"/>
  <c r="Z762" i="95"/>
  <c r="Y762" i="95"/>
  <c r="X762" i="95"/>
  <c r="W762" i="95"/>
  <c r="V762" i="95"/>
  <c r="U762" i="95"/>
  <c r="T762" i="95"/>
  <c r="S762" i="95"/>
  <c r="R762" i="95"/>
  <c r="Q762" i="95"/>
  <c r="P762" i="95"/>
  <c r="O762" i="95"/>
  <c r="N762" i="95"/>
  <c r="M762" i="95"/>
  <c r="L762" i="95"/>
  <c r="J762" i="95" s="1"/>
  <c r="D762" i="95" s="1"/>
  <c r="K762" i="95"/>
  <c r="I762" i="95"/>
  <c r="C762" i="95" s="1"/>
  <c r="H762" i="95"/>
  <c r="B762" i="95" s="1"/>
  <c r="G762" i="95"/>
  <c r="F762" i="95"/>
  <c r="E762" i="95"/>
  <c r="AH761" i="95"/>
  <c r="AC761" i="95"/>
  <c r="AB761" i="95"/>
  <c r="AA761" i="95"/>
  <c r="Z761" i="95"/>
  <c r="Y761" i="95"/>
  <c r="X761" i="95"/>
  <c r="W761" i="95"/>
  <c r="V761" i="95"/>
  <c r="U761" i="95"/>
  <c r="T761" i="95"/>
  <c r="S761" i="95"/>
  <c r="R761" i="95"/>
  <c r="Q761" i="95"/>
  <c r="P761" i="95"/>
  <c r="O761" i="95"/>
  <c r="M761" i="95" s="1"/>
  <c r="N761" i="95"/>
  <c r="L761" i="95"/>
  <c r="K761" i="95"/>
  <c r="J761" i="95"/>
  <c r="D761" i="95" s="1"/>
  <c r="I761" i="95"/>
  <c r="H761" i="95"/>
  <c r="G761" i="95"/>
  <c r="F761" i="95"/>
  <c r="C761" i="95"/>
  <c r="B761" i="95"/>
  <c r="AH760" i="95"/>
  <c r="AC760" i="95"/>
  <c r="AB760" i="95"/>
  <c r="AA760" i="95"/>
  <c r="Z760" i="95"/>
  <c r="Y760" i="95"/>
  <c r="X760" i="95"/>
  <c r="W760" i="95"/>
  <c r="V760" i="95"/>
  <c r="U760" i="95"/>
  <c r="T760" i="95"/>
  <c r="S760" i="95"/>
  <c r="R760" i="95"/>
  <c r="Q760" i="95"/>
  <c r="P760" i="95"/>
  <c r="O760" i="95"/>
  <c r="N760" i="95"/>
  <c r="M760" i="95"/>
  <c r="L760" i="95"/>
  <c r="J760" i="95" s="1"/>
  <c r="D760" i="95" s="1"/>
  <c r="K760" i="95"/>
  <c r="E760" i="95" s="1"/>
  <c r="I760" i="95"/>
  <c r="C760" i="95" s="1"/>
  <c r="H760" i="95"/>
  <c r="B760" i="95" s="1"/>
  <c r="G760" i="95"/>
  <c r="F760" i="95"/>
  <c r="AH759" i="95"/>
  <c r="AB759" i="95"/>
  <c r="AC759" i="95" s="1"/>
  <c r="AA759" i="95"/>
  <c r="Z759" i="95"/>
  <c r="Y759" i="95"/>
  <c r="X759" i="95"/>
  <c r="W759" i="95"/>
  <c r="V759" i="95"/>
  <c r="U759" i="95"/>
  <c r="T759" i="95"/>
  <c r="S759" i="95"/>
  <c r="R759" i="95"/>
  <c r="Q759" i="95"/>
  <c r="P759" i="95"/>
  <c r="O759" i="95"/>
  <c r="M759" i="95" s="1"/>
  <c r="N759" i="95"/>
  <c r="L759" i="95"/>
  <c r="J759" i="95" s="1"/>
  <c r="D759" i="95" s="1"/>
  <c r="K759" i="95"/>
  <c r="E759" i="95" s="1"/>
  <c r="I759" i="95"/>
  <c r="H759" i="95"/>
  <c r="G759" i="95"/>
  <c r="F759" i="95"/>
  <c r="C759" i="95"/>
  <c r="B759" i="95"/>
  <c r="AH758" i="95"/>
  <c r="AB758" i="95"/>
  <c r="AC758" i="95" s="1"/>
  <c r="AA758" i="95"/>
  <c r="Z758" i="95"/>
  <c r="Y758" i="95"/>
  <c r="X758" i="95"/>
  <c r="W758" i="95"/>
  <c r="V758" i="95"/>
  <c r="U758" i="95"/>
  <c r="T758" i="95"/>
  <c r="S758" i="95"/>
  <c r="R758" i="95"/>
  <c r="Q758" i="95"/>
  <c r="P758" i="95"/>
  <c r="O758" i="95"/>
  <c r="M758" i="95" s="1"/>
  <c r="N758" i="95"/>
  <c r="L758" i="95"/>
  <c r="J758" i="95" s="1"/>
  <c r="D758" i="95" s="1"/>
  <c r="K758" i="95"/>
  <c r="I758" i="95"/>
  <c r="C758" i="95" s="1"/>
  <c r="H758" i="95"/>
  <c r="B758" i="95" s="1"/>
  <c r="G758" i="95"/>
  <c r="F758" i="95"/>
  <c r="E758" i="95"/>
  <c r="AH757" i="95"/>
  <c r="AC757" i="95"/>
  <c r="AB757" i="95"/>
  <c r="AA757" i="95"/>
  <c r="Z757" i="95"/>
  <c r="Y757" i="95"/>
  <c r="X757" i="95"/>
  <c r="W757" i="95"/>
  <c r="V757" i="95"/>
  <c r="U757" i="95"/>
  <c r="T757" i="95"/>
  <c r="S757" i="95"/>
  <c r="R757" i="95"/>
  <c r="Q757" i="95"/>
  <c r="P757" i="95"/>
  <c r="O757" i="95"/>
  <c r="M757" i="95" s="1"/>
  <c r="N757" i="95"/>
  <c r="L757" i="95"/>
  <c r="J757" i="95" s="1"/>
  <c r="D757" i="95" s="1"/>
  <c r="K757" i="95"/>
  <c r="I757" i="95"/>
  <c r="H757" i="95"/>
  <c r="G757" i="95"/>
  <c r="F757" i="95"/>
  <c r="C757" i="95"/>
  <c r="B757" i="95"/>
  <c r="AH756" i="95"/>
  <c r="AC756" i="95"/>
  <c r="AB756" i="95"/>
  <c r="AA756" i="95"/>
  <c r="Z756" i="95"/>
  <c r="Y756" i="95"/>
  <c r="X756" i="95"/>
  <c r="W756" i="95"/>
  <c r="V756" i="95"/>
  <c r="U756" i="95"/>
  <c r="T756" i="95"/>
  <c r="S756" i="95"/>
  <c r="R756" i="95"/>
  <c r="Q756" i="95"/>
  <c r="P756" i="95"/>
  <c r="O756" i="95"/>
  <c r="M756" i="95" s="1"/>
  <c r="N756" i="95"/>
  <c r="L756" i="95"/>
  <c r="J756" i="95" s="1"/>
  <c r="D756" i="95" s="1"/>
  <c r="K756" i="95"/>
  <c r="E756" i="95" s="1"/>
  <c r="I756" i="95"/>
  <c r="C756" i="95" s="1"/>
  <c r="H756" i="95"/>
  <c r="B756" i="95" s="1"/>
  <c r="G756" i="95"/>
  <c r="F756" i="95"/>
  <c r="AH755" i="95"/>
  <c r="AB755" i="95"/>
  <c r="AC755" i="95" s="1"/>
  <c r="AA755" i="95"/>
  <c r="Z755" i="95"/>
  <c r="Y755" i="95"/>
  <c r="X755" i="95"/>
  <c r="W755" i="95"/>
  <c r="V755" i="95"/>
  <c r="U755" i="95"/>
  <c r="T755" i="95"/>
  <c r="S755" i="95"/>
  <c r="R755" i="95"/>
  <c r="Q755" i="95"/>
  <c r="P755" i="95"/>
  <c r="O755" i="95"/>
  <c r="M755" i="95" s="1"/>
  <c r="N755" i="95"/>
  <c r="L755" i="95"/>
  <c r="K755" i="95"/>
  <c r="E755" i="95" s="1"/>
  <c r="J755" i="95"/>
  <c r="D755" i="95" s="1"/>
  <c r="I755" i="95"/>
  <c r="H755" i="95"/>
  <c r="G755" i="95"/>
  <c r="F755" i="95"/>
  <c r="C755" i="95"/>
  <c r="B755" i="95"/>
  <c r="AH754" i="95"/>
  <c r="AB754" i="95"/>
  <c r="AC754" i="95" s="1"/>
  <c r="AA754" i="95"/>
  <c r="Z754" i="95"/>
  <c r="Y754" i="95"/>
  <c r="X754" i="95"/>
  <c r="W754" i="95"/>
  <c r="V754" i="95"/>
  <c r="U754" i="95"/>
  <c r="T754" i="95"/>
  <c r="S754" i="95"/>
  <c r="R754" i="95"/>
  <c r="Q754" i="95"/>
  <c r="P754" i="95"/>
  <c r="O754" i="95"/>
  <c r="N754" i="95"/>
  <c r="M754" i="95"/>
  <c r="L754" i="95"/>
  <c r="J754" i="95" s="1"/>
  <c r="D754" i="95" s="1"/>
  <c r="K754" i="95"/>
  <c r="I754" i="95"/>
  <c r="C754" i="95" s="1"/>
  <c r="H754" i="95"/>
  <c r="B754" i="95" s="1"/>
  <c r="G754" i="95"/>
  <c r="F754" i="95"/>
  <c r="E754" i="95"/>
  <c r="AH753" i="95"/>
  <c r="AC753" i="95"/>
  <c r="AB753" i="95"/>
  <c r="AA753" i="95"/>
  <c r="Z753" i="95"/>
  <c r="Y753" i="95"/>
  <c r="X753" i="95"/>
  <c r="W753" i="95"/>
  <c r="V753" i="95"/>
  <c r="U753" i="95"/>
  <c r="T753" i="95"/>
  <c r="S753" i="95"/>
  <c r="R753" i="95"/>
  <c r="Q753" i="95"/>
  <c r="P753" i="95"/>
  <c r="O753" i="95"/>
  <c r="M753" i="95" s="1"/>
  <c r="N753" i="95"/>
  <c r="L753" i="95"/>
  <c r="K753" i="95"/>
  <c r="J753" i="95"/>
  <c r="D753" i="95" s="1"/>
  <c r="I753" i="95"/>
  <c r="H753" i="95"/>
  <c r="G753" i="95"/>
  <c r="F753" i="95"/>
  <c r="C753" i="95"/>
  <c r="B753" i="95"/>
  <c r="AH752" i="95"/>
  <c r="AC752" i="95"/>
  <c r="AB752" i="95"/>
  <c r="AA752" i="95"/>
  <c r="Z752" i="95"/>
  <c r="Y752" i="95"/>
  <c r="X752" i="95"/>
  <c r="W752" i="95"/>
  <c r="V752" i="95"/>
  <c r="U752" i="95"/>
  <c r="T752" i="95"/>
  <c r="S752" i="95"/>
  <c r="R752" i="95"/>
  <c r="Q752" i="95"/>
  <c r="P752" i="95"/>
  <c r="O752" i="95"/>
  <c r="N752" i="95"/>
  <c r="M752" i="95"/>
  <c r="L752" i="95"/>
  <c r="J752" i="95" s="1"/>
  <c r="D752" i="95" s="1"/>
  <c r="K752" i="95"/>
  <c r="E752" i="95" s="1"/>
  <c r="I752" i="95"/>
  <c r="C752" i="95" s="1"/>
  <c r="H752" i="95"/>
  <c r="B752" i="95" s="1"/>
  <c r="G752" i="95"/>
  <c r="F752" i="95"/>
  <c r="AH751" i="95"/>
  <c r="AB751" i="95"/>
  <c r="AC751" i="95" s="1"/>
  <c r="AA751" i="95"/>
  <c r="Z751" i="95"/>
  <c r="Y751" i="95"/>
  <c r="X751" i="95"/>
  <c r="W751" i="95"/>
  <c r="V751" i="95"/>
  <c r="U751" i="95"/>
  <c r="T751" i="95"/>
  <c r="S751" i="95"/>
  <c r="R751" i="95"/>
  <c r="Q751" i="95"/>
  <c r="P751" i="95"/>
  <c r="O751" i="95"/>
  <c r="M751" i="95" s="1"/>
  <c r="N751" i="95"/>
  <c r="L751" i="95"/>
  <c r="J751" i="95" s="1"/>
  <c r="D751" i="95" s="1"/>
  <c r="K751" i="95"/>
  <c r="E751" i="95" s="1"/>
  <c r="I751" i="95"/>
  <c r="H751" i="95"/>
  <c r="G751" i="95"/>
  <c r="F751" i="95"/>
  <c r="C751" i="95"/>
  <c r="B751" i="95"/>
  <c r="AH750" i="95"/>
  <c r="AB750" i="95"/>
  <c r="AC750" i="95" s="1"/>
  <c r="AA750" i="95"/>
  <c r="Z750" i="95"/>
  <c r="Y750" i="95"/>
  <c r="X750" i="95"/>
  <c r="W750" i="95"/>
  <c r="V750" i="95"/>
  <c r="U750" i="95"/>
  <c r="T750" i="95"/>
  <c r="S750" i="95"/>
  <c r="R750" i="95"/>
  <c r="Q750" i="95"/>
  <c r="P750" i="95"/>
  <c r="O750" i="95"/>
  <c r="M750" i="95" s="1"/>
  <c r="N750" i="95"/>
  <c r="L750" i="95"/>
  <c r="J750" i="95" s="1"/>
  <c r="D750" i="95" s="1"/>
  <c r="K750" i="95"/>
  <c r="I750" i="95"/>
  <c r="C750" i="95" s="1"/>
  <c r="H750" i="95"/>
  <c r="B750" i="95" s="1"/>
  <c r="G750" i="95"/>
  <c r="F750" i="95"/>
  <c r="E750" i="95"/>
  <c r="AH749" i="95"/>
  <c r="AC749" i="95"/>
  <c r="AB749" i="95"/>
  <c r="AA749" i="95"/>
  <c r="Z749" i="95"/>
  <c r="Y749" i="95"/>
  <c r="X749" i="95"/>
  <c r="W749" i="95"/>
  <c r="V749" i="95"/>
  <c r="U749" i="95"/>
  <c r="T749" i="95"/>
  <c r="S749" i="95"/>
  <c r="R749" i="95"/>
  <c r="Q749" i="95"/>
  <c r="P749" i="95"/>
  <c r="O749" i="95"/>
  <c r="M749" i="95" s="1"/>
  <c r="N749" i="95"/>
  <c r="L749" i="95"/>
  <c r="J749" i="95" s="1"/>
  <c r="D749" i="95" s="1"/>
  <c r="K749" i="95"/>
  <c r="I749" i="95"/>
  <c r="H749" i="95"/>
  <c r="G749" i="95"/>
  <c r="F749" i="95"/>
  <c r="C749" i="95"/>
  <c r="B749" i="95"/>
  <c r="AH748" i="95"/>
  <c r="AC748" i="95"/>
  <c r="AB748" i="95"/>
  <c r="AA748" i="95"/>
  <c r="Z748" i="95"/>
  <c r="Y748" i="95"/>
  <c r="X748" i="95"/>
  <c r="W748" i="95"/>
  <c r="V748" i="95"/>
  <c r="U748" i="95"/>
  <c r="T748" i="95"/>
  <c r="S748" i="95"/>
  <c r="R748" i="95"/>
  <c r="Q748" i="95"/>
  <c r="P748" i="95"/>
  <c r="O748" i="95"/>
  <c r="M748" i="95" s="1"/>
  <c r="N748" i="95"/>
  <c r="L748" i="95"/>
  <c r="J748" i="95" s="1"/>
  <c r="D748" i="95" s="1"/>
  <c r="K748" i="95"/>
  <c r="E748" i="95" s="1"/>
  <c r="I748" i="95"/>
  <c r="C748" i="95" s="1"/>
  <c r="H748" i="95"/>
  <c r="B748" i="95" s="1"/>
  <c r="G748" i="95"/>
  <c r="F748" i="95"/>
  <c r="AH747" i="95"/>
  <c r="AB747" i="95"/>
  <c r="AC747" i="95" s="1"/>
  <c r="AA747" i="95"/>
  <c r="Z747" i="95"/>
  <c r="Y747" i="95"/>
  <c r="X747" i="95"/>
  <c r="W747" i="95"/>
  <c r="V747" i="95"/>
  <c r="U747" i="95"/>
  <c r="T747" i="95"/>
  <c r="S747" i="95"/>
  <c r="R747" i="95"/>
  <c r="Q747" i="95"/>
  <c r="P747" i="95"/>
  <c r="O747" i="95"/>
  <c r="M747" i="95" s="1"/>
  <c r="N747" i="95"/>
  <c r="L747" i="95"/>
  <c r="K747" i="95"/>
  <c r="E747" i="95" s="1"/>
  <c r="J747" i="95"/>
  <c r="D747" i="95" s="1"/>
  <c r="I747" i="95"/>
  <c r="H747" i="95"/>
  <c r="G747" i="95"/>
  <c r="F747" i="95"/>
  <c r="C747" i="95"/>
  <c r="B747" i="95"/>
  <c r="AH746" i="95"/>
  <c r="AB746" i="95"/>
  <c r="AC746" i="95" s="1"/>
  <c r="AA746" i="95"/>
  <c r="Z746" i="95"/>
  <c r="Y746" i="95"/>
  <c r="X746" i="95"/>
  <c r="W746" i="95"/>
  <c r="V746" i="95"/>
  <c r="U746" i="95"/>
  <c r="T746" i="95"/>
  <c r="S746" i="95"/>
  <c r="R746" i="95"/>
  <c r="Q746" i="95"/>
  <c r="P746" i="95"/>
  <c r="O746" i="95"/>
  <c r="N746" i="95"/>
  <c r="M746" i="95"/>
  <c r="L746" i="95"/>
  <c r="J746" i="95" s="1"/>
  <c r="D746" i="95" s="1"/>
  <c r="K746" i="95"/>
  <c r="I746" i="95"/>
  <c r="C746" i="95" s="1"/>
  <c r="H746" i="95"/>
  <c r="B746" i="95" s="1"/>
  <c r="G746" i="95"/>
  <c r="F746" i="95"/>
  <c r="E746" i="95"/>
  <c r="AH745" i="95"/>
  <c r="AC745" i="95"/>
  <c r="AB745" i="95"/>
  <c r="AA745" i="95"/>
  <c r="Z745" i="95"/>
  <c r="Y745" i="95"/>
  <c r="X745" i="95"/>
  <c r="W745" i="95"/>
  <c r="V745" i="95"/>
  <c r="U745" i="95"/>
  <c r="T745" i="95"/>
  <c r="S745" i="95"/>
  <c r="R745" i="95"/>
  <c r="Q745" i="95"/>
  <c r="P745" i="95"/>
  <c r="O745" i="95"/>
  <c r="M745" i="95" s="1"/>
  <c r="N745" i="95"/>
  <c r="L745" i="95"/>
  <c r="K745" i="95"/>
  <c r="E745" i="95" s="1"/>
  <c r="J745" i="95"/>
  <c r="D745" i="95" s="1"/>
  <c r="I745" i="95"/>
  <c r="H745" i="95"/>
  <c r="G745" i="95"/>
  <c r="F745" i="95"/>
  <c r="C745" i="95"/>
  <c r="B745" i="95"/>
  <c r="AH744" i="95"/>
  <c r="AC744" i="95"/>
  <c r="AB744" i="95"/>
  <c r="AA744" i="95"/>
  <c r="Z744" i="95"/>
  <c r="Y744" i="95"/>
  <c r="X744" i="95"/>
  <c r="W744" i="95"/>
  <c r="V744" i="95"/>
  <c r="U744" i="95"/>
  <c r="T744" i="95"/>
  <c r="S744" i="95"/>
  <c r="R744" i="95"/>
  <c r="Q744" i="95"/>
  <c r="P744" i="95"/>
  <c r="O744" i="95"/>
  <c r="N744" i="95"/>
  <c r="M744" i="95"/>
  <c r="L744" i="95"/>
  <c r="J744" i="95" s="1"/>
  <c r="D744" i="95" s="1"/>
  <c r="K744" i="95"/>
  <c r="I744" i="95"/>
  <c r="C744" i="95" s="1"/>
  <c r="H744" i="95"/>
  <c r="B744" i="95" s="1"/>
  <c r="G744" i="95"/>
  <c r="F744" i="95"/>
  <c r="E744" i="95"/>
  <c r="AH743" i="95"/>
  <c r="AB743" i="95"/>
  <c r="AC743" i="95" s="1"/>
  <c r="AA743" i="95"/>
  <c r="Z743" i="95"/>
  <c r="Y743" i="95"/>
  <c r="X743" i="95"/>
  <c r="W743" i="95"/>
  <c r="V743" i="95"/>
  <c r="U743" i="95"/>
  <c r="T743" i="95"/>
  <c r="S743" i="95"/>
  <c r="R743" i="95"/>
  <c r="Q743" i="95"/>
  <c r="P743" i="95"/>
  <c r="O743" i="95"/>
  <c r="M743" i="95" s="1"/>
  <c r="N743" i="95"/>
  <c r="L743" i="95"/>
  <c r="K743" i="95"/>
  <c r="E743" i="95" s="1"/>
  <c r="J743" i="95"/>
  <c r="D743" i="95" s="1"/>
  <c r="I743" i="95"/>
  <c r="H743" i="95"/>
  <c r="G743" i="95"/>
  <c r="F743" i="95"/>
  <c r="C743" i="95"/>
  <c r="B743" i="95"/>
  <c r="AH742" i="95"/>
  <c r="AB742" i="95"/>
  <c r="AC742" i="95" s="1"/>
  <c r="AA742" i="95"/>
  <c r="Z742" i="95"/>
  <c r="Y742" i="95"/>
  <c r="X742" i="95"/>
  <c r="W742" i="95"/>
  <c r="V742" i="95"/>
  <c r="U742" i="95"/>
  <c r="T742" i="95"/>
  <c r="S742" i="95"/>
  <c r="R742" i="95"/>
  <c r="Q742" i="95"/>
  <c r="P742" i="95"/>
  <c r="O742" i="95"/>
  <c r="N742" i="95"/>
  <c r="M742" i="95"/>
  <c r="L742" i="95"/>
  <c r="J742" i="95" s="1"/>
  <c r="D742" i="95" s="1"/>
  <c r="K742" i="95"/>
  <c r="I742" i="95"/>
  <c r="C742" i="95" s="1"/>
  <c r="H742" i="95"/>
  <c r="B742" i="95" s="1"/>
  <c r="G742" i="95"/>
  <c r="F742" i="95"/>
  <c r="E742" i="95"/>
  <c r="AH741" i="95"/>
  <c r="AC741" i="95"/>
  <c r="AB741" i="95"/>
  <c r="AA741" i="95"/>
  <c r="Z741" i="95"/>
  <c r="Y741" i="95"/>
  <c r="X741" i="95"/>
  <c r="W741" i="95"/>
  <c r="V741" i="95"/>
  <c r="U741" i="95"/>
  <c r="T741" i="95"/>
  <c r="S741" i="95"/>
  <c r="R741" i="95"/>
  <c r="Q741" i="95"/>
  <c r="P741" i="95"/>
  <c r="O741" i="95"/>
  <c r="M741" i="95" s="1"/>
  <c r="N741" i="95"/>
  <c r="L741" i="95"/>
  <c r="J741" i="95" s="1"/>
  <c r="D741" i="95" s="1"/>
  <c r="K741" i="95"/>
  <c r="I741" i="95"/>
  <c r="H741" i="95"/>
  <c r="G741" i="95"/>
  <c r="F741" i="95"/>
  <c r="C741" i="95"/>
  <c r="B741" i="95"/>
  <c r="AH740" i="95"/>
  <c r="AC740" i="95"/>
  <c r="AB740" i="95"/>
  <c r="AA740" i="95"/>
  <c r="Z740" i="95"/>
  <c r="Y740" i="95"/>
  <c r="X740" i="95"/>
  <c r="W740" i="95"/>
  <c r="V740" i="95"/>
  <c r="U740" i="95"/>
  <c r="T740" i="95"/>
  <c r="S740" i="95"/>
  <c r="R740" i="95"/>
  <c r="Q740" i="95"/>
  <c r="P740" i="95"/>
  <c r="O740" i="95"/>
  <c r="M740" i="95" s="1"/>
  <c r="N740" i="95"/>
  <c r="L740" i="95"/>
  <c r="J740" i="95" s="1"/>
  <c r="D740" i="95" s="1"/>
  <c r="K740" i="95"/>
  <c r="E740" i="95" s="1"/>
  <c r="I740" i="95"/>
  <c r="C740" i="95" s="1"/>
  <c r="H740" i="95"/>
  <c r="B740" i="95" s="1"/>
  <c r="G740" i="95"/>
  <c r="F740" i="95"/>
  <c r="AH739" i="95"/>
  <c r="AC739" i="95"/>
  <c r="AB739" i="95"/>
  <c r="AA739" i="95"/>
  <c r="Z739" i="95"/>
  <c r="Y739" i="95"/>
  <c r="X739" i="95"/>
  <c r="W739" i="95"/>
  <c r="V739" i="95"/>
  <c r="U739" i="95"/>
  <c r="T739" i="95"/>
  <c r="S739" i="95"/>
  <c r="R739" i="95"/>
  <c r="Q739" i="95"/>
  <c r="P739" i="95"/>
  <c r="O739" i="95"/>
  <c r="M739" i="95" s="1"/>
  <c r="N739" i="95"/>
  <c r="L739" i="95"/>
  <c r="J739" i="95" s="1"/>
  <c r="D739" i="95" s="1"/>
  <c r="K739" i="95"/>
  <c r="E739" i="95" s="1"/>
  <c r="I739" i="95"/>
  <c r="H739" i="95"/>
  <c r="G739" i="95"/>
  <c r="F739" i="95"/>
  <c r="C739" i="95"/>
  <c r="B739" i="95"/>
  <c r="AH738" i="95"/>
  <c r="AB738" i="95"/>
  <c r="AC738" i="95" s="1"/>
  <c r="AA738" i="95"/>
  <c r="Z738" i="95"/>
  <c r="Y738" i="95"/>
  <c r="X738" i="95"/>
  <c r="W738" i="95"/>
  <c r="V738" i="95"/>
  <c r="U738" i="95"/>
  <c r="T738" i="95"/>
  <c r="S738" i="95"/>
  <c r="R738" i="95"/>
  <c r="Q738" i="95"/>
  <c r="P738" i="95"/>
  <c r="O738" i="95"/>
  <c r="M738" i="95" s="1"/>
  <c r="N738" i="95"/>
  <c r="L738" i="95"/>
  <c r="J738" i="95" s="1"/>
  <c r="D738" i="95" s="1"/>
  <c r="K738" i="95"/>
  <c r="I738" i="95"/>
  <c r="C738" i="95" s="1"/>
  <c r="H738" i="95"/>
  <c r="B738" i="95" s="1"/>
  <c r="G738" i="95"/>
  <c r="F738" i="95"/>
  <c r="E738" i="95"/>
  <c r="AH737" i="95"/>
  <c r="AC737" i="95"/>
  <c r="AB737" i="95"/>
  <c r="AA737" i="95"/>
  <c r="Z737" i="95"/>
  <c r="Y737" i="95"/>
  <c r="X737" i="95"/>
  <c r="W737" i="95"/>
  <c r="V737" i="95"/>
  <c r="U737" i="95"/>
  <c r="T737" i="95"/>
  <c r="S737" i="95"/>
  <c r="R737" i="95"/>
  <c r="Q737" i="95"/>
  <c r="P737" i="95"/>
  <c r="O737" i="95"/>
  <c r="M737" i="95" s="1"/>
  <c r="N737" i="95"/>
  <c r="L737" i="95"/>
  <c r="K737" i="95"/>
  <c r="J737" i="95"/>
  <c r="D737" i="95" s="1"/>
  <c r="I737" i="95"/>
  <c r="H737" i="95"/>
  <c r="G737" i="95"/>
  <c r="F737" i="95"/>
  <c r="C737" i="95"/>
  <c r="B737" i="95"/>
  <c r="AH736" i="95"/>
  <c r="AC736" i="95"/>
  <c r="AB736" i="95"/>
  <c r="AA736" i="95"/>
  <c r="Z736" i="95"/>
  <c r="Y736" i="95"/>
  <c r="X736" i="95"/>
  <c r="W736" i="95"/>
  <c r="V736" i="95"/>
  <c r="U736" i="95"/>
  <c r="T736" i="95"/>
  <c r="S736" i="95"/>
  <c r="R736" i="95"/>
  <c r="Q736" i="95"/>
  <c r="P736" i="95"/>
  <c r="O736" i="95"/>
  <c r="N736" i="95"/>
  <c r="M736" i="95"/>
  <c r="L736" i="95"/>
  <c r="J736" i="95" s="1"/>
  <c r="D736" i="95" s="1"/>
  <c r="K736" i="95"/>
  <c r="E736" i="95" s="1"/>
  <c r="I736" i="95"/>
  <c r="C736" i="95" s="1"/>
  <c r="H736" i="95"/>
  <c r="B736" i="95" s="1"/>
  <c r="G736" i="95"/>
  <c r="F736" i="95"/>
  <c r="AH735" i="95"/>
  <c r="AB735" i="95"/>
  <c r="AC735" i="95" s="1"/>
  <c r="AA735" i="95"/>
  <c r="Z735" i="95"/>
  <c r="Y735" i="95"/>
  <c r="X735" i="95"/>
  <c r="W735" i="95"/>
  <c r="V735" i="95"/>
  <c r="U735" i="95"/>
  <c r="T735" i="95"/>
  <c r="S735" i="95"/>
  <c r="R735" i="95"/>
  <c r="Q735" i="95"/>
  <c r="P735" i="95"/>
  <c r="O735" i="95"/>
  <c r="M735" i="95" s="1"/>
  <c r="N735" i="95"/>
  <c r="L735" i="95"/>
  <c r="K735" i="95"/>
  <c r="J735" i="95"/>
  <c r="D735" i="95" s="1"/>
  <c r="I735" i="95"/>
  <c r="H735" i="95"/>
  <c r="G735" i="95"/>
  <c r="F735" i="95"/>
  <c r="C735" i="95"/>
  <c r="B735" i="95"/>
  <c r="AH734" i="95"/>
  <c r="AC734" i="95"/>
  <c r="AB734" i="95"/>
  <c r="AA734" i="95"/>
  <c r="Z734" i="95"/>
  <c r="Y734" i="95"/>
  <c r="X734" i="95"/>
  <c r="W734" i="95"/>
  <c r="V734" i="95"/>
  <c r="U734" i="95"/>
  <c r="T734" i="95"/>
  <c r="S734" i="95"/>
  <c r="R734" i="95"/>
  <c r="Q734" i="95"/>
  <c r="P734" i="95"/>
  <c r="O734" i="95"/>
  <c r="N734" i="95"/>
  <c r="M734" i="95"/>
  <c r="L734" i="95"/>
  <c r="J734" i="95" s="1"/>
  <c r="D734" i="95" s="1"/>
  <c r="K734" i="95"/>
  <c r="I734" i="95"/>
  <c r="C734" i="95" s="1"/>
  <c r="H734" i="95"/>
  <c r="B734" i="95" s="1"/>
  <c r="G734" i="95"/>
  <c r="F734" i="95"/>
  <c r="E734" i="95"/>
  <c r="AH733" i="95"/>
  <c r="AC733" i="95"/>
  <c r="AB733" i="95"/>
  <c r="AA733" i="95"/>
  <c r="Z733" i="95"/>
  <c r="Y733" i="95"/>
  <c r="X733" i="95"/>
  <c r="W733" i="95"/>
  <c r="V733" i="95"/>
  <c r="U733" i="95"/>
  <c r="T733" i="95"/>
  <c r="S733" i="95"/>
  <c r="R733" i="95"/>
  <c r="Q733" i="95"/>
  <c r="P733" i="95"/>
  <c r="O733" i="95"/>
  <c r="M733" i="95" s="1"/>
  <c r="N733" i="95"/>
  <c r="L733" i="95"/>
  <c r="J733" i="95" s="1"/>
  <c r="D733" i="95" s="1"/>
  <c r="K733" i="95"/>
  <c r="I733" i="95"/>
  <c r="H733" i="95"/>
  <c r="G733" i="95"/>
  <c r="F733" i="95"/>
  <c r="C733" i="95"/>
  <c r="B733" i="95"/>
  <c r="AH732" i="95"/>
  <c r="AB732" i="95"/>
  <c r="AC732" i="95" s="1"/>
  <c r="AA732" i="95"/>
  <c r="Z732" i="95"/>
  <c r="Y732" i="95"/>
  <c r="X732" i="95"/>
  <c r="W732" i="95"/>
  <c r="V732" i="95"/>
  <c r="U732" i="95"/>
  <c r="T732" i="95"/>
  <c r="S732" i="95"/>
  <c r="R732" i="95"/>
  <c r="Q732" i="95"/>
  <c r="P732" i="95"/>
  <c r="O732" i="95"/>
  <c r="M732" i="95" s="1"/>
  <c r="N732" i="95"/>
  <c r="L732" i="95"/>
  <c r="J732" i="95" s="1"/>
  <c r="D732" i="95" s="1"/>
  <c r="K732" i="95"/>
  <c r="E732" i="95" s="1"/>
  <c r="I732" i="95"/>
  <c r="C732" i="95" s="1"/>
  <c r="H732" i="95"/>
  <c r="B732" i="95" s="1"/>
  <c r="G732" i="95"/>
  <c r="F732" i="95"/>
  <c r="AH731" i="95"/>
  <c r="AB731" i="95"/>
  <c r="AC731" i="95" s="1"/>
  <c r="AA731" i="95"/>
  <c r="Z731" i="95"/>
  <c r="Y731" i="95"/>
  <c r="X731" i="95"/>
  <c r="W731" i="95"/>
  <c r="V731" i="95"/>
  <c r="U731" i="95"/>
  <c r="T731" i="95"/>
  <c r="S731" i="95"/>
  <c r="R731" i="95"/>
  <c r="Q731" i="95"/>
  <c r="P731" i="95"/>
  <c r="O731" i="95"/>
  <c r="M731" i="95" s="1"/>
  <c r="N731" i="95"/>
  <c r="L731" i="95"/>
  <c r="J731" i="95" s="1"/>
  <c r="D731" i="95" s="1"/>
  <c r="K731" i="95"/>
  <c r="E731" i="95" s="1"/>
  <c r="I731" i="95"/>
  <c r="H731" i="95"/>
  <c r="G731" i="95"/>
  <c r="F731" i="95"/>
  <c r="C731" i="95"/>
  <c r="B731" i="95"/>
  <c r="AH730" i="95"/>
  <c r="AB730" i="95"/>
  <c r="AC730" i="95" s="1"/>
  <c r="AA730" i="95"/>
  <c r="Z730" i="95"/>
  <c r="Y730" i="95"/>
  <c r="X730" i="95"/>
  <c r="W730" i="95"/>
  <c r="V730" i="95"/>
  <c r="U730" i="95"/>
  <c r="T730" i="95"/>
  <c r="S730" i="95"/>
  <c r="R730" i="95"/>
  <c r="Q730" i="95"/>
  <c r="P730" i="95"/>
  <c r="O730" i="95"/>
  <c r="M730" i="95" s="1"/>
  <c r="N730" i="95"/>
  <c r="L730" i="95"/>
  <c r="J730" i="95" s="1"/>
  <c r="D730" i="95" s="1"/>
  <c r="K730" i="95"/>
  <c r="E730" i="95" s="1"/>
  <c r="I730" i="95"/>
  <c r="C730" i="95" s="1"/>
  <c r="H730" i="95"/>
  <c r="B730" i="95" s="1"/>
  <c r="G730" i="95"/>
  <c r="F730" i="95"/>
  <c r="AH729" i="95"/>
  <c r="AB729" i="95"/>
  <c r="AC729" i="95" s="1"/>
  <c r="AA729" i="95"/>
  <c r="Z729" i="95"/>
  <c r="Y729" i="95"/>
  <c r="X729" i="95"/>
  <c r="W729" i="95"/>
  <c r="V729" i="95"/>
  <c r="U729" i="95"/>
  <c r="T729" i="95"/>
  <c r="S729" i="95"/>
  <c r="R729" i="95"/>
  <c r="Q729" i="95"/>
  <c r="P729" i="95"/>
  <c r="O729" i="95"/>
  <c r="M729" i="95" s="1"/>
  <c r="N729" i="95"/>
  <c r="L729" i="95"/>
  <c r="K729" i="95"/>
  <c r="E729" i="95" s="1"/>
  <c r="J729" i="95"/>
  <c r="D729" i="95" s="1"/>
  <c r="I729" i="95"/>
  <c r="H729" i="95"/>
  <c r="G729" i="95"/>
  <c r="F729" i="95"/>
  <c r="C729" i="95"/>
  <c r="B729" i="95"/>
  <c r="AH728" i="95"/>
  <c r="AC728" i="95"/>
  <c r="AB728" i="95"/>
  <c r="AA728" i="95"/>
  <c r="Z728" i="95"/>
  <c r="Y728" i="95"/>
  <c r="X728" i="95"/>
  <c r="W728" i="95"/>
  <c r="V728" i="95"/>
  <c r="U728" i="95"/>
  <c r="T728" i="95"/>
  <c r="S728" i="95"/>
  <c r="R728" i="95"/>
  <c r="Q728" i="95"/>
  <c r="P728" i="95"/>
  <c r="O728" i="95"/>
  <c r="N728" i="95"/>
  <c r="M728" i="95"/>
  <c r="L728" i="95"/>
  <c r="J728" i="95" s="1"/>
  <c r="D728" i="95" s="1"/>
  <c r="K728" i="95"/>
  <c r="I728" i="95"/>
  <c r="C728" i="95" s="1"/>
  <c r="H728" i="95"/>
  <c r="B728" i="95" s="1"/>
  <c r="G728" i="95"/>
  <c r="F728" i="95"/>
  <c r="E728" i="95"/>
  <c r="AH727" i="95"/>
  <c r="AB727" i="95"/>
  <c r="AC727" i="95" s="1"/>
  <c r="AA727" i="95"/>
  <c r="Z727" i="95"/>
  <c r="Y727" i="95"/>
  <c r="X727" i="95"/>
  <c r="W727" i="95"/>
  <c r="V727" i="95"/>
  <c r="U727" i="95"/>
  <c r="T727" i="95"/>
  <c r="S727" i="95"/>
  <c r="R727" i="95"/>
  <c r="Q727" i="95"/>
  <c r="P727" i="95"/>
  <c r="O727" i="95"/>
  <c r="M727" i="95" s="1"/>
  <c r="N727" i="95"/>
  <c r="L727" i="95"/>
  <c r="K727" i="95"/>
  <c r="E727" i="95" s="1"/>
  <c r="J727" i="95"/>
  <c r="D727" i="95" s="1"/>
  <c r="I727" i="95"/>
  <c r="H727" i="95"/>
  <c r="G727" i="95"/>
  <c r="F727" i="95"/>
  <c r="C727" i="95"/>
  <c r="B727" i="95"/>
  <c r="AH726" i="95"/>
  <c r="AB726" i="95"/>
  <c r="AC726" i="95" s="1"/>
  <c r="AA726" i="95"/>
  <c r="Z726" i="95"/>
  <c r="Y726" i="95"/>
  <c r="X726" i="95"/>
  <c r="W726" i="95"/>
  <c r="V726" i="95"/>
  <c r="U726" i="95"/>
  <c r="T726" i="95"/>
  <c r="S726" i="95"/>
  <c r="R726" i="95"/>
  <c r="Q726" i="95"/>
  <c r="P726" i="95"/>
  <c r="O726" i="95"/>
  <c r="N726" i="95"/>
  <c r="M726" i="95"/>
  <c r="L726" i="95"/>
  <c r="J726" i="95" s="1"/>
  <c r="D726" i="95" s="1"/>
  <c r="K726" i="95"/>
  <c r="I726" i="95"/>
  <c r="C726" i="95" s="1"/>
  <c r="H726" i="95"/>
  <c r="B726" i="95" s="1"/>
  <c r="G726" i="95"/>
  <c r="F726" i="95"/>
  <c r="E726" i="95"/>
  <c r="AH725" i="95"/>
  <c r="AC725" i="95"/>
  <c r="AB725" i="95"/>
  <c r="AA725" i="95"/>
  <c r="Z725" i="95"/>
  <c r="Y725" i="95"/>
  <c r="X725" i="95"/>
  <c r="W725" i="95"/>
  <c r="V725" i="95"/>
  <c r="U725" i="95"/>
  <c r="T725" i="95"/>
  <c r="S725" i="95"/>
  <c r="R725" i="95"/>
  <c r="Q725" i="95"/>
  <c r="P725" i="95"/>
  <c r="O725" i="95"/>
  <c r="M725" i="95" s="1"/>
  <c r="N725" i="95"/>
  <c r="L725" i="95"/>
  <c r="K725" i="95"/>
  <c r="J725" i="95"/>
  <c r="D725" i="95" s="1"/>
  <c r="I725" i="95"/>
  <c r="H725" i="95"/>
  <c r="G725" i="95"/>
  <c r="F725" i="95"/>
  <c r="C725" i="95"/>
  <c r="B725" i="95"/>
  <c r="AH724" i="95"/>
  <c r="AC724" i="95"/>
  <c r="AB724" i="95"/>
  <c r="AA724" i="95"/>
  <c r="Z724" i="95"/>
  <c r="Y724" i="95"/>
  <c r="X724" i="95"/>
  <c r="W724" i="95"/>
  <c r="V724" i="95"/>
  <c r="U724" i="95"/>
  <c r="T724" i="95"/>
  <c r="S724" i="95"/>
  <c r="R724" i="95"/>
  <c r="Q724" i="95"/>
  <c r="P724" i="95"/>
  <c r="O724" i="95"/>
  <c r="N724" i="95"/>
  <c r="M724" i="95"/>
  <c r="L724" i="95"/>
  <c r="J724" i="95" s="1"/>
  <c r="D724" i="95" s="1"/>
  <c r="K724" i="95"/>
  <c r="E724" i="95" s="1"/>
  <c r="I724" i="95"/>
  <c r="C724" i="95" s="1"/>
  <c r="H724" i="95"/>
  <c r="B724" i="95" s="1"/>
  <c r="G724" i="95"/>
  <c r="F724" i="95"/>
  <c r="AH723" i="95"/>
  <c r="AC723" i="95"/>
  <c r="AB723" i="95"/>
  <c r="AA723" i="95"/>
  <c r="Z723" i="95"/>
  <c r="Y723" i="95"/>
  <c r="X723" i="95"/>
  <c r="W723" i="95"/>
  <c r="V723" i="95"/>
  <c r="U723" i="95"/>
  <c r="T723" i="95"/>
  <c r="S723" i="95"/>
  <c r="R723" i="95"/>
  <c r="Q723" i="95"/>
  <c r="P723" i="95"/>
  <c r="O723" i="95"/>
  <c r="M723" i="95" s="1"/>
  <c r="N723" i="95"/>
  <c r="L723" i="95"/>
  <c r="J723" i="95" s="1"/>
  <c r="D723" i="95" s="1"/>
  <c r="K723" i="95"/>
  <c r="E723" i="95" s="1"/>
  <c r="I723" i="95"/>
  <c r="H723" i="95"/>
  <c r="G723" i="95"/>
  <c r="F723" i="95"/>
  <c r="C723" i="95"/>
  <c r="B723" i="95"/>
  <c r="AH722" i="95"/>
  <c r="AB722" i="95"/>
  <c r="AC722" i="95" s="1"/>
  <c r="AA722" i="95"/>
  <c r="Z722" i="95"/>
  <c r="Y722" i="95"/>
  <c r="X722" i="95"/>
  <c r="W722" i="95"/>
  <c r="V722" i="95"/>
  <c r="U722" i="95"/>
  <c r="T722" i="95"/>
  <c r="S722" i="95"/>
  <c r="R722" i="95"/>
  <c r="Q722" i="95"/>
  <c r="P722" i="95"/>
  <c r="O722" i="95"/>
  <c r="M722" i="95" s="1"/>
  <c r="N722" i="95"/>
  <c r="L722" i="95"/>
  <c r="J722" i="95" s="1"/>
  <c r="D722" i="95" s="1"/>
  <c r="K722" i="95"/>
  <c r="I722" i="95"/>
  <c r="C722" i="95" s="1"/>
  <c r="H722" i="95"/>
  <c r="B722" i="95" s="1"/>
  <c r="G722" i="95"/>
  <c r="F722" i="95"/>
  <c r="E722" i="95"/>
  <c r="AH721" i="95"/>
  <c r="AC721" i="95"/>
  <c r="AB721" i="95"/>
  <c r="AA721" i="95"/>
  <c r="Z721" i="95"/>
  <c r="Y721" i="95"/>
  <c r="X721" i="95"/>
  <c r="W721" i="95"/>
  <c r="V721" i="95"/>
  <c r="U721" i="95"/>
  <c r="T721" i="95"/>
  <c r="S721" i="95"/>
  <c r="R721" i="95"/>
  <c r="Q721" i="95"/>
  <c r="P721" i="95"/>
  <c r="O721" i="95"/>
  <c r="M721" i="95" s="1"/>
  <c r="N721" i="95"/>
  <c r="L721" i="95"/>
  <c r="J721" i="95" s="1"/>
  <c r="D721" i="95" s="1"/>
  <c r="K721" i="95"/>
  <c r="I721" i="95"/>
  <c r="H721" i="95"/>
  <c r="G721" i="95"/>
  <c r="F721" i="95"/>
  <c r="C721" i="95"/>
  <c r="B721" i="95"/>
  <c r="AH720" i="95"/>
  <c r="AC720" i="95"/>
  <c r="AB720" i="95"/>
  <c r="AA720" i="95"/>
  <c r="Z720" i="95"/>
  <c r="Y720" i="95"/>
  <c r="X720" i="95"/>
  <c r="W720" i="95"/>
  <c r="V720" i="95"/>
  <c r="U720" i="95"/>
  <c r="T720" i="95"/>
  <c r="S720" i="95"/>
  <c r="R720" i="95"/>
  <c r="Q720" i="95"/>
  <c r="P720" i="95"/>
  <c r="O720" i="95"/>
  <c r="M720" i="95" s="1"/>
  <c r="N720" i="95"/>
  <c r="L720" i="95"/>
  <c r="J720" i="95" s="1"/>
  <c r="K720" i="95"/>
  <c r="E720" i="95" s="1"/>
  <c r="I720" i="95"/>
  <c r="C720" i="95" s="1"/>
  <c r="H720" i="95"/>
  <c r="B720" i="95" s="1"/>
  <c r="G720" i="95"/>
  <c r="F720" i="95"/>
  <c r="D720" i="95"/>
  <c r="AH719" i="95"/>
  <c r="AC719" i="95"/>
  <c r="AB719" i="95"/>
  <c r="AA719" i="95"/>
  <c r="Z719" i="95"/>
  <c r="Y719" i="95"/>
  <c r="X719" i="95"/>
  <c r="W719" i="95"/>
  <c r="V719" i="95"/>
  <c r="U719" i="95"/>
  <c r="T719" i="95"/>
  <c r="S719" i="95"/>
  <c r="R719" i="95"/>
  <c r="Q719" i="95"/>
  <c r="P719" i="95"/>
  <c r="O719" i="95"/>
  <c r="M719" i="95" s="1"/>
  <c r="N719" i="95"/>
  <c r="L719" i="95"/>
  <c r="J719" i="95" s="1"/>
  <c r="D719" i="95" s="1"/>
  <c r="K719" i="95"/>
  <c r="I719" i="95"/>
  <c r="H719" i="95"/>
  <c r="G719" i="95"/>
  <c r="F719" i="95"/>
  <c r="C719" i="95"/>
  <c r="B719" i="95"/>
  <c r="AH718" i="95"/>
  <c r="AC718" i="95"/>
  <c r="AB718" i="95"/>
  <c r="AA718" i="95"/>
  <c r="Z718" i="95"/>
  <c r="Y718" i="95"/>
  <c r="X718" i="95"/>
  <c r="W718" i="95"/>
  <c r="V718" i="95"/>
  <c r="U718" i="95"/>
  <c r="T718" i="95"/>
  <c r="S718" i="95"/>
  <c r="R718" i="95"/>
  <c r="Q718" i="95"/>
  <c r="P718" i="95"/>
  <c r="O718" i="95"/>
  <c r="M718" i="95" s="1"/>
  <c r="N718" i="95"/>
  <c r="L718" i="95"/>
  <c r="J718" i="95" s="1"/>
  <c r="K718" i="95"/>
  <c r="E718" i="95" s="1"/>
  <c r="I718" i="95"/>
  <c r="C718" i="95" s="1"/>
  <c r="H718" i="95"/>
  <c r="B718" i="95" s="1"/>
  <c r="G718" i="95"/>
  <c r="F718" i="95"/>
  <c r="D718" i="95"/>
  <c r="AH717" i="95"/>
  <c r="AC717" i="95"/>
  <c r="AB717" i="95"/>
  <c r="AA717" i="95"/>
  <c r="Z717" i="95"/>
  <c r="Y717" i="95"/>
  <c r="X717" i="95"/>
  <c r="W717" i="95"/>
  <c r="V717" i="95"/>
  <c r="U717" i="95"/>
  <c r="T717" i="95"/>
  <c r="S717" i="95"/>
  <c r="R717" i="95"/>
  <c r="Q717" i="95"/>
  <c r="P717" i="95"/>
  <c r="O717" i="95"/>
  <c r="M717" i="95" s="1"/>
  <c r="N717" i="95"/>
  <c r="L717" i="95"/>
  <c r="J717" i="95" s="1"/>
  <c r="D717" i="95" s="1"/>
  <c r="K717" i="95"/>
  <c r="I717" i="95"/>
  <c r="H717" i="95"/>
  <c r="G717" i="95"/>
  <c r="F717" i="95"/>
  <c r="C717" i="95"/>
  <c r="B717" i="95"/>
  <c r="AH716" i="95"/>
  <c r="AB716" i="95"/>
  <c r="AC716" i="95" s="1"/>
  <c r="AA716" i="95"/>
  <c r="Z716" i="95"/>
  <c r="Y716" i="95"/>
  <c r="X716" i="95"/>
  <c r="W716" i="95"/>
  <c r="V716" i="95"/>
  <c r="U716" i="95"/>
  <c r="T716" i="95"/>
  <c r="S716" i="95"/>
  <c r="R716" i="95"/>
  <c r="Q716" i="95"/>
  <c r="P716" i="95"/>
  <c r="O716" i="95"/>
  <c r="N716" i="95"/>
  <c r="M716" i="95"/>
  <c r="L716" i="95"/>
  <c r="J716" i="95" s="1"/>
  <c r="D716" i="95" s="1"/>
  <c r="K716" i="95"/>
  <c r="I716" i="95"/>
  <c r="C716" i="95" s="1"/>
  <c r="H716" i="95"/>
  <c r="B716" i="95" s="1"/>
  <c r="G716" i="95"/>
  <c r="F716" i="95"/>
  <c r="E716" i="95"/>
  <c r="AH715" i="95"/>
  <c r="AC715" i="95"/>
  <c r="AB715" i="95"/>
  <c r="AA715" i="95"/>
  <c r="Z715" i="95"/>
  <c r="Y715" i="95"/>
  <c r="X715" i="95"/>
  <c r="W715" i="95"/>
  <c r="V715" i="95"/>
  <c r="U715" i="95"/>
  <c r="T715" i="95"/>
  <c r="S715" i="95"/>
  <c r="R715" i="95"/>
  <c r="Q715" i="95"/>
  <c r="P715" i="95"/>
  <c r="O715" i="95"/>
  <c r="M715" i="95" s="1"/>
  <c r="N715" i="95"/>
  <c r="L715" i="95"/>
  <c r="K715" i="95"/>
  <c r="J715" i="95"/>
  <c r="D715" i="95" s="1"/>
  <c r="I715" i="95"/>
  <c r="H715" i="95"/>
  <c r="G715" i="95"/>
  <c r="F715" i="95"/>
  <c r="C715" i="95"/>
  <c r="B715" i="95"/>
  <c r="AH714" i="95"/>
  <c r="AC714" i="95"/>
  <c r="AB714" i="95"/>
  <c r="AA714" i="95"/>
  <c r="Z714" i="95"/>
  <c r="Y714" i="95"/>
  <c r="X714" i="95"/>
  <c r="W714" i="95"/>
  <c r="V714" i="95"/>
  <c r="U714" i="95"/>
  <c r="T714" i="95"/>
  <c r="S714" i="95"/>
  <c r="R714" i="95"/>
  <c r="Q714" i="95"/>
  <c r="P714" i="95"/>
  <c r="O714" i="95"/>
  <c r="N714" i="95"/>
  <c r="M714" i="95"/>
  <c r="L714" i="95"/>
  <c r="J714" i="95" s="1"/>
  <c r="D714" i="95" s="1"/>
  <c r="K714" i="95"/>
  <c r="E714" i="95" s="1"/>
  <c r="I714" i="95"/>
  <c r="C714" i="95" s="1"/>
  <c r="H714" i="95"/>
  <c r="B714" i="95" s="1"/>
  <c r="G714" i="95"/>
  <c r="F714" i="95"/>
  <c r="AH713" i="95"/>
  <c r="AC713" i="95"/>
  <c r="AB713" i="95"/>
  <c r="AA713" i="95"/>
  <c r="Z713" i="95"/>
  <c r="Y713" i="95"/>
  <c r="X713" i="95"/>
  <c r="W713" i="95"/>
  <c r="V713" i="95"/>
  <c r="U713" i="95"/>
  <c r="T713" i="95"/>
  <c r="S713" i="95"/>
  <c r="R713" i="95"/>
  <c r="Q713" i="95"/>
  <c r="P713" i="95"/>
  <c r="O713" i="95"/>
  <c r="M713" i="95" s="1"/>
  <c r="N713" i="95"/>
  <c r="L713" i="95"/>
  <c r="J713" i="95" s="1"/>
  <c r="D713" i="95" s="1"/>
  <c r="K713" i="95"/>
  <c r="I713" i="95"/>
  <c r="C713" i="95" s="1"/>
  <c r="H713" i="95"/>
  <c r="G713" i="95"/>
  <c r="F713" i="95"/>
  <c r="B713" i="95"/>
  <c r="AH712" i="95"/>
  <c r="AB712" i="95"/>
  <c r="AC712" i="95" s="1"/>
  <c r="AA712" i="95"/>
  <c r="Z712" i="95"/>
  <c r="Y712" i="95"/>
  <c r="X712" i="95"/>
  <c r="W712" i="95"/>
  <c r="V712" i="95"/>
  <c r="U712" i="95"/>
  <c r="T712" i="95"/>
  <c r="S712" i="95"/>
  <c r="R712" i="95"/>
  <c r="Q712" i="95"/>
  <c r="P712" i="95"/>
  <c r="O712" i="95"/>
  <c r="M712" i="95" s="1"/>
  <c r="N712" i="95"/>
  <c r="L712" i="95"/>
  <c r="J712" i="95" s="1"/>
  <c r="D712" i="95" s="1"/>
  <c r="K712" i="95"/>
  <c r="I712" i="95"/>
  <c r="H712" i="95"/>
  <c r="B712" i="95" s="1"/>
  <c r="G712" i="95"/>
  <c r="F712" i="95"/>
  <c r="C712" i="95"/>
  <c r="AH711" i="95"/>
  <c r="AC711" i="95"/>
  <c r="AB711" i="95"/>
  <c r="AA711" i="95"/>
  <c r="Z711" i="95"/>
  <c r="Y711" i="95"/>
  <c r="X711" i="95"/>
  <c r="W711" i="95"/>
  <c r="V711" i="95"/>
  <c r="U711" i="95"/>
  <c r="T711" i="95"/>
  <c r="S711" i="95"/>
  <c r="R711" i="95"/>
  <c r="Q711" i="95"/>
  <c r="P711" i="95"/>
  <c r="O711" i="95"/>
  <c r="M711" i="95" s="1"/>
  <c r="N711" i="95"/>
  <c r="L711" i="95"/>
  <c r="J711" i="95" s="1"/>
  <c r="D711" i="95" s="1"/>
  <c r="K711" i="95"/>
  <c r="I711" i="95"/>
  <c r="H711" i="95"/>
  <c r="G711" i="95"/>
  <c r="F711" i="95"/>
  <c r="C711" i="95"/>
  <c r="B711" i="95"/>
  <c r="AH710" i="95"/>
  <c r="AB710" i="95"/>
  <c r="AC710" i="95" s="1"/>
  <c r="AA710" i="95"/>
  <c r="Z710" i="95"/>
  <c r="Y710" i="95"/>
  <c r="X710" i="95"/>
  <c r="W710" i="95"/>
  <c r="V710" i="95"/>
  <c r="U710" i="95"/>
  <c r="T710" i="95"/>
  <c r="S710" i="95"/>
  <c r="R710" i="95"/>
  <c r="Q710" i="95"/>
  <c r="P710" i="95"/>
  <c r="O710" i="95"/>
  <c r="M710" i="95" s="1"/>
  <c r="N710" i="95"/>
  <c r="L710" i="95"/>
  <c r="J710" i="95" s="1"/>
  <c r="D710" i="95" s="1"/>
  <c r="K710" i="95"/>
  <c r="E710" i="95" s="1"/>
  <c r="I710" i="95"/>
  <c r="H710" i="95"/>
  <c r="B710" i="95" s="1"/>
  <c r="G710" i="95"/>
  <c r="F710" i="95"/>
  <c r="C710" i="95"/>
  <c r="AH709" i="95"/>
  <c r="AC709" i="95"/>
  <c r="AB709" i="95"/>
  <c r="AA709" i="95"/>
  <c r="Z709" i="95"/>
  <c r="Y709" i="95"/>
  <c r="X709" i="95"/>
  <c r="W709" i="95"/>
  <c r="V709" i="95"/>
  <c r="U709" i="95"/>
  <c r="T709" i="95"/>
  <c r="S709" i="95"/>
  <c r="R709" i="95"/>
  <c r="Q709" i="95"/>
  <c r="P709" i="95"/>
  <c r="O709" i="95"/>
  <c r="N709" i="95"/>
  <c r="M709" i="95"/>
  <c r="L709" i="95"/>
  <c r="K709" i="95"/>
  <c r="J709" i="95"/>
  <c r="D709" i="95" s="1"/>
  <c r="I709" i="95"/>
  <c r="C709" i="95" s="1"/>
  <c r="H709" i="95"/>
  <c r="G709" i="95"/>
  <c r="F709" i="95"/>
  <c r="E709" i="95"/>
  <c r="B709" i="95"/>
  <c r="AH708" i="95"/>
  <c r="AB708" i="95"/>
  <c r="AC708" i="95" s="1"/>
  <c r="AA708" i="95"/>
  <c r="Z708" i="95"/>
  <c r="Y708" i="95"/>
  <c r="X708" i="95"/>
  <c r="W708" i="95"/>
  <c r="V708" i="95"/>
  <c r="U708" i="95"/>
  <c r="T708" i="95"/>
  <c r="S708" i="95"/>
  <c r="R708" i="95"/>
  <c r="Q708" i="95"/>
  <c r="P708" i="95"/>
  <c r="O708" i="95"/>
  <c r="N708" i="95"/>
  <c r="M708" i="95"/>
  <c r="L708" i="95"/>
  <c r="J708" i="95" s="1"/>
  <c r="D708" i="95" s="1"/>
  <c r="K708" i="95"/>
  <c r="I708" i="95"/>
  <c r="C708" i="95" s="1"/>
  <c r="H708" i="95"/>
  <c r="B708" i="95" s="1"/>
  <c r="G708" i="95"/>
  <c r="F708" i="95"/>
  <c r="E708" i="95"/>
  <c r="AH707" i="95"/>
  <c r="AB707" i="95"/>
  <c r="AC707" i="95" s="1"/>
  <c r="AA707" i="95"/>
  <c r="Z707" i="95"/>
  <c r="Y707" i="95"/>
  <c r="X707" i="95"/>
  <c r="W707" i="95"/>
  <c r="V707" i="95"/>
  <c r="U707" i="95"/>
  <c r="T707" i="95"/>
  <c r="S707" i="95"/>
  <c r="R707" i="95"/>
  <c r="Q707" i="95"/>
  <c r="P707" i="95"/>
  <c r="O707" i="95"/>
  <c r="M707" i="95" s="1"/>
  <c r="N707" i="95"/>
  <c r="L707" i="95"/>
  <c r="J707" i="95" s="1"/>
  <c r="D707" i="95" s="1"/>
  <c r="K707" i="95"/>
  <c r="E707" i="95" s="1"/>
  <c r="I707" i="95"/>
  <c r="C707" i="95" s="1"/>
  <c r="H707" i="95"/>
  <c r="B707" i="95" s="1"/>
  <c r="G707" i="95"/>
  <c r="F707" i="95"/>
  <c r="AH706" i="95"/>
  <c r="AC706" i="95"/>
  <c r="AB706" i="95"/>
  <c r="AA706" i="95"/>
  <c r="Z706" i="95"/>
  <c r="Y706" i="95"/>
  <c r="X706" i="95"/>
  <c r="W706" i="95"/>
  <c r="V706" i="95"/>
  <c r="U706" i="95"/>
  <c r="T706" i="95"/>
  <c r="S706" i="95"/>
  <c r="R706" i="95"/>
  <c r="Q706" i="95"/>
  <c r="P706" i="95"/>
  <c r="O706" i="95"/>
  <c r="M706" i="95" s="1"/>
  <c r="N706" i="95"/>
  <c r="L706" i="95"/>
  <c r="J706" i="95" s="1"/>
  <c r="D706" i="95" s="1"/>
  <c r="K706" i="95"/>
  <c r="I706" i="95"/>
  <c r="C706" i="95" s="1"/>
  <c r="H706" i="95"/>
  <c r="B706" i="95" s="1"/>
  <c r="G706" i="95"/>
  <c r="F706" i="95"/>
  <c r="AH705" i="95"/>
  <c r="AB705" i="95"/>
  <c r="AC705" i="95" s="1"/>
  <c r="AA705" i="95"/>
  <c r="Z705" i="95"/>
  <c r="Y705" i="95"/>
  <c r="X705" i="95"/>
  <c r="W705" i="95"/>
  <c r="V705" i="95"/>
  <c r="U705" i="95"/>
  <c r="T705" i="95"/>
  <c r="S705" i="95"/>
  <c r="R705" i="95"/>
  <c r="Q705" i="95"/>
  <c r="P705" i="95"/>
  <c r="O705" i="95"/>
  <c r="M705" i="95" s="1"/>
  <c r="N705" i="95"/>
  <c r="L705" i="95"/>
  <c r="J705" i="95" s="1"/>
  <c r="D705" i="95" s="1"/>
  <c r="K705" i="95"/>
  <c r="I705" i="95"/>
  <c r="C705" i="95" s="1"/>
  <c r="H705" i="95"/>
  <c r="G705" i="95"/>
  <c r="F705" i="95"/>
  <c r="B705" i="95"/>
  <c r="AH704" i="95"/>
  <c r="AB704" i="95"/>
  <c r="AC704" i="95" s="1"/>
  <c r="AA704" i="95"/>
  <c r="Z704" i="95"/>
  <c r="Y704" i="95"/>
  <c r="X704" i="95"/>
  <c r="W704" i="95"/>
  <c r="V704" i="95"/>
  <c r="U704" i="95"/>
  <c r="T704" i="95"/>
  <c r="S704" i="95"/>
  <c r="R704" i="95"/>
  <c r="Q704" i="95"/>
  <c r="P704" i="95"/>
  <c r="O704" i="95"/>
  <c r="M704" i="95" s="1"/>
  <c r="N704" i="95"/>
  <c r="L704" i="95"/>
  <c r="J704" i="95" s="1"/>
  <c r="D704" i="95" s="1"/>
  <c r="K704" i="95"/>
  <c r="E704" i="95" s="1"/>
  <c r="I704" i="95"/>
  <c r="H704" i="95"/>
  <c r="B704" i="95" s="1"/>
  <c r="G704" i="95"/>
  <c r="F704" i="95"/>
  <c r="C704" i="95"/>
  <c r="AH703" i="95"/>
  <c r="AC703" i="95"/>
  <c r="AB703" i="95"/>
  <c r="AA703" i="95"/>
  <c r="Z703" i="95"/>
  <c r="Y703" i="95"/>
  <c r="X703" i="95"/>
  <c r="W703" i="95"/>
  <c r="V703" i="95"/>
  <c r="U703" i="95"/>
  <c r="T703" i="95"/>
  <c r="S703" i="95"/>
  <c r="R703" i="95"/>
  <c r="Q703" i="95"/>
  <c r="P703" i="95"/>
  <c r="O703" i="95"/>
  <c r="M703" i="95" s="1"/>
  <c r="N703" i="95"/>
  <c r="L703" i="95"/>
  <c r="J703" i="95" s="1"/>
  <c r="D703" i="95" s="1"/>
  <c r="K703" i="95"/>
  <c r="E703" i="95" s="1"/>
  <c r="I703" i="95"/>
  <c r="H703" i="95"/>
  <c r="G703" i="95"/>
  <c r="F703" i="95"/>
  <c r="C703" i="95"/>
  <c r="B703" i="95"/>
  <c r="AH702" i="95"/>
  <c r="AB702" i="95"/>
  <c r="AC702" i="95" s="1"/>
  <c r="AA702" i="95"/>
  <c r="Z702" i="95"/>
  <c r="Y702" i="95"/>
  <c r="X702" i="95"/>
  <c r="W702" i="95"/>
  <c r="V702" i="95"/>
  <c r="U702" i="95"/>
  <c r="T702" i="95"/>
  <c r="S702" i="95"/>
  <c r="R702" i="95"/>
  <c r="Q702" i="95"/>
  <c r="P702" i="95"/>
  <c r="O702" i="95"/>
  <c r="M702" i="95" s="1"/>
  <c r="N702" i="95"/>
  <c r="L702" i="95"/>
  <c r="J702" i="95" s="1"/>
  <c r="D702" i="95" s="1"/>
  <c r="K702" i="95"/>
  <c r="E702" i="95" s="1"/>
  <c r="I702" i="95"/>
  <c r="C702" i="95" s="1"/>
  <c r="H702" i="95"/>
  <c r="B702" i="95" s="1"/>
  <c r="G702" i="95"/>
  <c r="F702" i="95"/>
  <c r="AH701" i="95"/>
  <c r="AC701" i="95"/>
  <c r="AB701" i="95"/>
  <c r="AA701" i="95"/>
  <c r="Z701" i="95"/>
  <c r="Y701" i="95"/>
  <c r="X701" i="95"/>
  <c r="W701" i="95"/>
  <c r="V701" i="95"/>
  <c r="U701" i="95"/>
  <c r="T701" i="95"/>
  <c r="S701" i="95"/>
  <c r="R701" i="95"/>
  <c r="Q701" i="95"/>
  <c r="P701" i="95"/>
  <c r="O701" i="95"/>
  <c r="N701" i="95"/>
  <c r="M701" i="95"/>
  <c r="L701" i="95"/>
  <c r="K701" i="95"/>
  <c r="J701" i="95"/>
  <c r="D701" i="95" s="1"/>
  <c r="I701" i="95"/>
  <c r="C701" i="95" s="1"/>
  <c r="H701" i="95"/>
  <c r="G701" i="95"/>
  <c r="F701" i="95"/>
  <c r="E701" i="95"/>
  <c r="B701" i="95"/>
  <c r="AH700" i="95"/>
  <c r="AC700" i="95"/>
  <c r="AB700" i="95"/>
  <c r="AA700" i="95"/>
  <c r="Z700" i="95"/>
  <c r="Y700" i="95"/>
  <c r="X700" i="95"/>
  <c r="W700" i="95"/>
  <c r="V700" i="95"/>
  <c r="U700" i="95"/>
  <c r="T700" i="95"/>
  <c r="S700" i="95"/>
  <c r="R700" i="95"/>
  <c r="Q700" i="95"/>
  <c r="P700" i="95"/>
  <c r="O700" i="95"/>
  <c r="N700" i="95"/>
  <c r="M700" i="95"/>
  <c r="L700" i="95"/>
  <c r="J700" i="95" s="1"/>
  <c r="K700" i="95"/>
  <c r="I700" i="95"/>
  <c r="C700" i="95" s="1"/>
  <c r="H700" i="95"/>
  <c r="B700" i="95" s="1"/>
  <c r="G700" i="95"/>
  <c r="F700" i="95"/>
  <c r="E700" i="95"/>
  <c r="D700" i="95"/>
  <c r="AH699" i="95"/>
  <c r="AB699" i="95"/>
  <c r="AC699" i="95" s="1"/>
  <c r="AA699" i="95"/>
  <c r="Z699" i="95"/>
  <c r="Y699" i="95"/>
  <c r="X699" i="95"/>
  <c r="W699" i="95"/>
  <c r="V699" i="95"/>
  <c r="U699" i="95"/>
  <c r="T699" i="95"/>
  <c r="S699" i="95"/>
  <c r="R699" i="95"/>
  <c r="Q699" i="95"/>
  <c r="P699" i="95"/>
  <c r="O699" i="95"/>
  <c r="M699" i="95" s="1"/>
  <c r="N699" i="95"/>
  <c r="L699" i="95"/>
  <c r="K699" i="95"/>
  <c r="E699" i="95" s="1"/>
  <c r="J699" i="95"/>
  <c r="D699" i="95" s="1"/>
  <c r="I699" i="95"/>
  <c r="C699" i="95" s="1"/>
  <c r="H699" i="95"/>
  <c r="G699" i="95"/>
  <c r="F699" i="95"/>
  <c r="B699" i="95"/>
  <c r="AH698" i="95"/>
  <c r="AC698" i="95"/>
  <c r="AB698" i="95"/>
  <c r="AA698" i="95"/>
  <c r="Z698" i="95"/>
  <c r="Y698" i="95"/>
  <c r="X698" i="95"/>
  <c r="W698" i="95"/>
  <c r="V698" i="95"/>
  <c r="U698" i="95"/>
  <c r="T698" i="95"/>
  <c r="S698" i="95"/>
  <c r="R698" i="95"/>
  <c r="Q698" i="95"/>
  <c r="P698" i="95"/>
  <c r="O698" i="95"/>
  <c r="M698" i="95" s="1"/>
  <c r="N698" i="95"/>
  <c r="L698" i="95"/>
  <c r="J698" i="95" s="1"/>
  <c r="D698" i="95" s="1"/>
  <c r="K698" i="95"/>
  <c r="I698" i="95"/>
  <c r="C698" i="95" s="1"/>
  <c r="H698" i="95"/>
  <c r="B698" i="95" s="1"/>
  <c r="G698" i="95"/>
  <c r="F698" i="95"/>
  <c r="AH697" i="95"/>
  <c r="AC697" i="95"/>
  <c r="AB697" i="95"/>
  <c r="AA697" i="95"/>
  <c r="Z697" i="95"/>
  <c r="Y697" i="95"/>
  <c r="X697" i="95"/>
  <c r="W697" i="95"/>
  <c r="V697" i="95"/>
  <c r="U697" i="95"/>
  <c r="T697" i="95"/>
  <c r="S697" i="95"/>
  <c r="R697" i="95"/>
  <c r="Q697" i="95"/>
  <c r="P697" i="95"/>
  <c r="O697" i="95"/>
  <c r="M697" i="95" s="1"/>
  <c r="N697" i="95"/>
  <c r="L697" i="95"/>
  <c r="J697" i="95" s="1"/>
  <c r="D697" i="95" s="1"/>
  <c r="K697" i="95"/>
  <c r="I697" i="95"/>
  <c r="C697" i="95" s="1"/>
  <c r="H697" i="95"/>
  <c r="G697" i="95"/>
  <c r="F697" i="95"/>
  <c r="B697" i="95"/>
  <c r="AH696" i="95"/>
  <c r="AB696" i="95"/>
  <c r="AC696" i="95" s="1"/>
  <c r="AA696" i="95"/>
  <c r="Z696" i="95"/>
  <c r="Y696" i="95"/>
  <c r="X696" i="95"/>
  <c r="W696" i="95"/>
  <c r="V696" i="95"/>
  <c r="U696" i="95"/>
  <c r="T696" i="95"/>
  <c r="S696" i="95"/>
  <c r="R696" i="95"/>
  <c r="Q696" i="95"/>
  <c r="P696" i="95"/>
  <c r="O696" i="95"/>
  <c r="M696" i="95" s="1"/>
  <c r="N696" i="95"/>
  <c r="L696" i="95"/>
  <c r="J696" i="95" s="1"/>
  <c r="D696" i="95" s="1"/>
  <c r="K696" i="95"/>
  <c r="I696" i="95"/>
  <c r="H696" i="95"/>
  <c r="B696" i="95" s="1"/>
  <c r="G696" i="95"/>
  <c r="F696" i="95"/>
  <c r="C696" i="95"/>
  <c r="AH695" i="95"/>
  <c r="AC695" i="95"/>
  <c r="AB695" i="95"/>
  <c r="AA695" i="95"/>
  <c r="Z695" i="95"/>
  <c r="Y695" i="95"/>
  <c r="X695" i="95"/>
  <c r="W695" i="95"/>
  <c r="V695" i="95"/>
  <c r="U695" i="95"/>
  <c r="T695" i="95"/>
  <c r="S695" i="95"/>
  <c r="R695" i="95"/>
  <c r="Q695" i="95"/>
  <c r="P695" i="95"/>
  <c r="O695" i="95"/>
  <c r="M695" i="95" s="1"/>
  <c r="N695" i="95"/>
  <c r="L695" i="95"/>
  <c r="J695" i="95" s="1"/>
  <c r="D695" i="95" s="1"/>
  <c r="K695" i="95"/>
  <c r="I695" i="95"/>
  <c r="H695" i="95"/>
  <c r="G695" i="95"/>
  <c r="F695" i="95"/>
  <c r="C695" i="95"/>
  <c r="B695" i="95"/>
  <c r="AH694" i="95"/>
  <c r="AB694" i="95"/>
  <c r="AC694" i="95" s="1"/>
  <c r="AA694" i="95"/>
  <c r="Z694" i="95"/>
  <c r="Y694" i="95"/>
  <c r="X694" i="95"/>
  <c r="W694" i="95"/>
  <c r="V694" i="95"/>
  <c r="U694" i="95"/>
  <c r="T694" i="95"/>
  <c r="S694" i="95"/>
  <c r="R694" i="95"/>
  <c r="Q694" i="95"/>
  <c r="P694" i="95"/>
  <c r="O694" i="95"/>
  <c r="M694" i="95" s="1"/>
  <c r="N694" i="95"/>
  <c r="L694" i="95"/>
  <c r="J694" i="95" s="1"/>
  <c r="D694" i="95" s="1"/>
  <c r="K694" i="95"/>
  <c r="E694" i="95" s="1"/>
  <c r="I694" i="95"/>
  <c r="H694" i="95"/>
  <c r="B694" i="95" s="1"/>
  <c r="G694" i="95"/>
  <c r="F694" i="95"/>
  <c r="C694" i="95"/>
  <c r="AH693" i="95"/>
  <c r="AC693" i="95"/>
  <c r="AB693" i="95"/>
  <c r="AA693" i="95"/>
  <c r="Z693" i="95"/>
  <c r="Y693" i="95"/>
  <c r="X693" i="95"/>
  <c r="W693" i="95"/>
  <c r="V693" i="95"/>
  <c r="U693" i="95"/>
  <c r="T693" i="95"/>
  <c r="S693" i="95"/>
  <c r="R693" i="95"/>
  <c r="Q693" i="95"/>
  <c r="P693" i="95"/>
  <c r="O693" i="95"/>
  <c r="N693" i="95"/>
  <c r="M693" i="95"/>
  <c r="L693" i="95"/>
  <c r="K693" i="95"/>
  <c r="J693" i="95"/>
  <c r="D693" i="95" s="1"/>
  <c r="I693" i="95"/>
  <c r="C693" i="95" s="1"/>
  <c r="H693" i="95"/>
  <c r="G693" i="95"/>
  <c r="F693" i="95"/>
  <c r="E693" i="95"/>
  <c r="B693" i="95"/>
  <c r="AH692" i="95"/>
  <c r="AC692" i="95"/>
  <c r="AB692" i="95"/>
  <c r="AA692" i="95"/>
  <c r="Z692" i="95"/>
  <c r="Y692" i="95"/>
  <c r="X692" i="95"/>
  <c r="W692" i="95"/>
  <c r="V692" i="95"/>
  <c r="U692" i="95"/>
  <c r="T692" i="95"/>
  <c r="S692" i="95"/>
  <c r="R692" i="95"/>
  <c r="Q692" i="95"/>
  <c r="P692" i="95"/>
  <c r="O692" i="95"/>
  <c r="N692" i="95"/>
  <c r="M692" i="95"/>
  <c r="L692" i="95"/>
  <c r="J692" i="95" s="1"/>
  <c r="K692" i="95"/>
  <c r="I692" i="95"/>
  <c r="C692" i="95" s="1"/>
  <c r="H692" i="95"/>
  <c r="B692" i="95" s="1"/>
  <c r="G692" i="95"/>
  <c r="F692" i="95"/>
  <c r="E692" i="95"/>
  <c r="D692" i="95"/>
  <c r="AH691" i="95"/>
  <c r="AB691" i="95"/>
  <c r="AC691" i="95" s="1"/>
  <c r="AA691" i="95"/>
  <c r="Z691" i="95"/>
  <c r="Y691" i="95"/>
  <c r="X691" i="95"/>
  <c r="W691" i="95"/>
  <c r="V691" i="95"/>
  <c r="U691" i="95"/>
  <c r="T691" i="95"/>
  <c r="S691" i="95"/>
  <c r="R691" i="95"/>
  <c r="Q691" i="95"/>
  <c r="P691" i="95"/>
  <c r="O691" i="95"/>
  <c r="M691" i="95" s="1"/>
  <c r="N691" i="95"/>
  <c r="L691" i="95"/>
  <c r="K691" i="95"/>
  <c r="E691" i="95" s="1"/>
  <c r="J691" i="95"/>
  <c r="D691" i="95" s="1"/>
  <c r="I691" i="95"/>
  <c r="C691" i="95" s="1"/>
  <c r="H691" i="95"/>
  <c r="G691" i="95"/>
  <c r="F691" i="95"/>
  <c r="B691" i="95"/>
  <c r="AH690" i="95"/>
  <c r="AC690" i="95"/>
  <c r="AB690" i="95"/>
  <c r="AA690" i="95"/>
  <c r="Z690" i="95"/>
  <c r="Y690" i="95"/>
  <c r="X690" i="95"/>
  <c r="W690" i="95"/>
  <c r="V690" i="95"/>
  <c r="U690" i="95"/>
  <c r="T690" i="95"/>
  <c r="S690" i="95"/>
  <c r="R690" i="95"/>
  <c r="Q690" i="95"/>
  <c r="P690" i="95"/>
  <c r="O690" i="95"/>
  <c r="M690" i="95" s="1"/>
  <c r="N690" i="95"/>
  <c r="L690" i="95"/>
  <c r="J690" i="95" s="1"/>
  <c r="D690" i="95" s="1"/>
  <c r="K690" i="95"/>
  <c r="I690" i="95"/>
  <c r="C690" i="95" s="1"/>
  <c r="H690" i="95"/>
  <c r="B690" i="95" s="1"/>
  <c r="G690" i="95"/>
  <c r="F690" i="95"/>
  <c r="AH689" i="95"/>
  <c r="AB689" i="95"/>
  <c r="AC689" i="95" s="1"/>
  <c r="AA689" i="95"/>
  <c r="Z689" i="95"/>
  <c r="Y689" i="95"/>
  <c r="X689" i="95"/>
  <c r="W689" i="95"/>
  <c r="V689" i="95"/>
  <c r="U689" i="95"/>
  <c r="T689" i="95"/>
  <c r="S689" i="95"/>
  <c r="R689" i="95"/>
  <c r="Q689" i="95"/>
  <c r="P689" i="95"/>
  <c r="O689" i="95"/>
  <c r="M689" i="95" s="1"/>
  <c r="N689" i="95"/>
  <c r="L689" i="95"/>
  <c r="K689" i="95"/>
  <c r="J689" i="95"/>
  <c r="D689" i="95" s="1"/>
  <c r="I689" i="95"/>
  <c r="C689" i="95" s="1"/>
  <c r="H689" i="95"/>
  <c r="G689" i="95"/>
  <c r="F689" i="95"/>
  <c r="B689" i="95"/>
  <c r="AH688" i="95"/>
  <c r="AB688" i="95"/>
  <c r="AC688" i="95" s="1"/>
  <c r="AA688" i="95"/>
  <c r="Z688" i="95"/>
  <c r="Y688" i="95"/>
  <c r="X688" i="95"/>
  <c r="W688" i="95"/>
  <c r="V688" i="95"/>
  <c r="U688" i="95"/>
  <c r="T688" i="95"/>
  <c r="S688" i="95"/>
  <c r="R688" i="95"/>
  <c r="Q688" i="95"/>
  <c r="P688" i="95"/>
  <c r="O688" i="95"/>
  <c r="M688" i="95" s="1"/>
  <c r="N688" i="95"/>
  <c r="L688" i="95"/>
  <c r="J688" i="95" s="1"/>
  <c r="D688" i="95" s="1"/>
  <c r="K688" i="95"/>
  <c r="I688" i="95"/>
  <c r="H688" i="95"/>
  <c r="B688" i="95" s="1"/>
  <c r="G688" i="95"/>
  <c r="F688" i="95"/>
  <c r="C688" i="95"/>
  <c r="AH687" i="95"/>
  <c r="AB687" i="95"/>
  <c r="AC687" i="95" s="1"/>
  <c r="AA687" i="95"/>
  <c r="Z687" i="95"/>
  <c r="Y687" i="95"/>
  <c r="X687" i="95"/>
  <c r="W687" i="95"/>
  <c r="V687" i="95"/>
  <c r="U687" i="95"/>
  <c r="T687" i="95"/>
  <c r="S687" i="95"/>
  <c r="R687" i="95"/>
  <c r="Q687" i="95"/>
  <c r="P687" i="95"/>
  <c r="O687" i="95"/>
  <c r="M687" i="95" s="1"/>
  <c r="N687" i="95"/>
  <c r="L687" i="95"/>
  <c r="K687" i="95"/>
  <c r="J687" i="95"/>
  <c r="D687" i="95" s="1"/>
  <c r="I687" i="95"/>
  <c r="H687" i="95"/>
  <c r="G687" i="95"/>
  <c r="F687" i="95"/>
  <c r="C687" i="95"/>
  <c r="B687" i="95"/>
  <c r="AH686" i="95"/>
  <c r="AC686" i="95"/>
  <c r="AB686" i="95"/>
  <c r="AA686" i="95"/>
  <c r="Z686" i="95"/>
  <c r="Y686" i="95"/>
  <c r="X686" i="95"/>
  <c r="W686" i="95"/>
  <c r="V686" i="95"/>
  <c r="U686" i="95"/>
  <c r="T686" i="95"/>
  <c r="S686" i="95"/>
  <c r="R686" i="95"/>
  <c r="Q686" i="95"/>
  <c r="P686" i="95"/>
  <c r="O686" i="95"/>
  <c r="N686" i="95"/>
  <c r="M686" i="95"/>
  <c r="L686" i="95"/>
  <c r="J686" i="95" s="1"/>
  <c r="D686" i="95" s="1"/>
  <c r="K686" i="95"/>
  <c r="E686" i="95" s="1"/>
  <c r="I686" i="95"/>
  <c r="H686" i="95"/>
  <c r="B686" i="95" s="1"/>
  <c r="G686" i="95"/>
  <c r="F686" i="95"/>
  <c r="C686" i="95"/>
  <c r="AH685" i="95"/>
  <c r="AB685" i="95"/>
  <c r="AC685" i="95" s="1"/>
  <c r="AA685" i="95"/>
  <c r="Z685" i="95"/>
  <c r="Y685" i="95"/>
  <c r="X685" i="95"/>
  <c r="W685" i="95"/>
  <c r="V685" i="95"/>
  <c r="U685" i="95"/>
  <c r="T685" i="95"/>
  <c r="S685" i="95"/>
  <c r="R685" i="95"/>
  <c r="Q685" i="95"/>
  <c r="P685" i="95"/>
  <c r="O685" i="95"/>
  <c r="M685" i="95" s="1"/>
  <c r="N685" i="95"/>
  <c r="L685" i="95"/>
  <c r="K685" i="95"/>
  <c r="E685" i="95" s="1"/>
  <c r="J685" i="95"/>
  <c r="D685" i="95" s="1"/>
  <c r="I685" i="95"/>
  <c r="C685" i="95" s="1"/>
  <c r="H685" i="95"/>
  <c r="G685" i="95"/>
  <c r="F685" i="95"/>
  <c r="B685" i="95"/>
  <c r="AH684" i="95"/>
  <c r="AC684" i="95"/>
  <c r="AB684" i="95"/>
  <c r="AA684" i="95"/>
  <c r="Z684" i="95"/>
  <c r="Y684" i="95"/>
  <c r="X684" i="95"/>
  <c r="W684" i="95"/>
  <c r="V684" i="95"/>
  <c r="U684" i="95"/>
  <c r="T684" i="95"/>
  <c r="S684" i="95"/>
  <c r="R684" i="95"/>
  <c r="Q684" i="95"/>
  <c r="P684" i="95"/>
  <c r="O684" i="95"/>
  <c r="N684" i="95"/>
  <c r="M684" i="95"/>
  <c r="L684" i="95"/>
  <c r="J684" i="95" s="1"/>
  <c r="K684" i="95"/>
  <c r="I684" i="95"/>
  <c r="C684" i="95" s="1"/>
  <c r="H684" i="95"/>
  <c r="B684" i="95" s="1"/>
  <c r="G684" i="95"/>
  <c r="F684" i="95"/>
  <c r="E684" i="95"/>
  <c r="D684" i="95"/>
  <c r="AH683" i="95"/>
  <c r="AB683" i="95"/>
  <c r="AC683" i="95" s="1"/>
  <c r="AA683" i="95"/>
  <c r="Z683" i="95"/>
  <c r="Y683" i="95"/>
  <c r="X683" i="95"/>
  <c r="W683" i="95"/>
  <c r="V683" i="95"/>
  <c r="U683" i="95"/>
  <c r="T683" i="95"/>
  <c r="S683" i="95"/>
  <c r="R683" i="95"/>
  <c r="Q683" i="95"/>
  <c r="P683" i="95"/>
  <c r="O683" i="95"/>
  <c r="M683" i="95" s="1"/>
  <c r="N683" i="95"/>
  <c r="L683" i="95"/>
  <c r="J683" i="95" s="1"/>
  <c r="D683" i="95" s="1"/>
  <c r="K683" i="95"/>
  <c r="E683" i="95" s="1"/>
  <c r="I683" i="95"/>
  <c r="C683" i="95" s="1"/>
  <c r="H683" i="95"/>
  <c r="G683" i="95"/>
  <c r="F683" i="95"/>
  <c r="B683" i="95"/>
  <c r="AH682" i="95"/>
  <c r="AB682" i="95"/>
  <c r="AC682" i="95" s="1"/>
  <c r="AA682" i="95"/>
  <c r="Z682" i="95"/>
  <c r="Y682" i="95"/>
  <c r="X682" i="95"/>
  <c r="W682" i="95"/>
  <c r="V682" i="95"/>
  <c r="U682" i="95"/>
  <c r="T682" i="95"/>
  <c r="S682" i="95"/>
  <c r="R682" i="95"/>
  <c r="Q682" i="95"/>
  <c r="P682" i="95"/>
  <c r="O682" i="95"/>
  <c r="M682" i="95" s="1"/>
  <c r="N682" i="95"/>
  <c r="L682" i="95"/>
  <c r="J682" i="95" s="1"/>
  <c r="K682" i="95"/>
  <c r="I682" i="95"/>
  <c r="C682" i="95" s="1"/>
  <c r="H682" i="95"/>
  <c r="B682" i="95" s="1"/>
  <c r="G682" i="95"/>
  <c r="F682" i="95"/>
  <c r="D682" i="95"/>
  <c r="AH681" i="95"/>
  <c r="AB681" i="95"/>
  <c r="AC681" i="95" s="1"/>
  <c r="AA681" i="95"/>
  <c r="Z681" i="95"/>
  <c r="Y681" i="95"/>
  <c r="X681" i="95"/>
  <c r="W681" i="95"/>
  <c r="V681" i="95"/>
  <c r="U681" i="95"/>
  <c r="T681" i="95"/>
  <c r="S681" i="95"/>
  <c r="R681" i="95"/>
  <c r="Q681" i="95"/>
  <c r="P681" i="95"/>
  <c r="O681" i="95"/>
  <c r="M681" i="95" s="1"/>
  <c r="N681" i="95"/>
  <c r="L681" i="95"/>
  <c r="K681" i="95"/>
  <c r="J681" i="95"/>
  <c r="D681" i="95" s="1"/>
  <c r="I681" i="95"/>
  <c r="C681" i="95" s="1"/>
  <c r="H681" i="95"/>
  <c r="G681" i="95"/>
  <c r="F681" i="95"/>
  <c r="B681" i="95"/>
  <c r="AH680" i="95"/>
  <c r="AB680" i="95"/>
  <c r="AC680" i="95" s="1"/>
  <c r="AA680" i="95"/>
  <c r="Z680" i="95"/>
  <c r="Y680" i="95"/>
  <c r="X680" i="95"/>
  <c r="W680" i="95"/>
  <c r="V680" i="95"/>
  <c r="U680" i="95"/>
  <c r="T680" i="95"/>
  <c r="S680" i="95"/>
  <c r="R680" i="95"/>
  <c r="Q680" i="95"/>
  <c r="P680" i="95"/>
  <c r="O680" i="95"/>
  <c r="M680" i="95" s="1"/>
  <c r="N680" i="95"/>
  <c r="L680" i="95"/>
  <c r="J680" i="95" s="1"/>
  <c r="D680" i="95" s="1"/>
  <c r="K680" i="95"/>
  <c r="I680" i="95"/>
  <c r="H680" i="95"/>
  <c r="B680" i="95" s="1"/>
  <c r="G680" i="95"/>
  <c r="F680" i="95"/>
  <c r="C680" i="95"/>
  <c r="AH679" i="95"/>
  <c r="AB679" i="95"/>
  <c r="AC679" i="95" s="1"/>
  <c r="AA679" i="95"/>
  <c r="Z679" i="95"/>
  <c r="Y679" i="95"/>
  <c r="X679" i="95"/>
  <c r="W679" i="95"/>
  <c r="V679" i="95"/>
  <c r="U679" i="95"/>
  <c r="T679" i="95"/>
  <c r="S679" i="95"/>
  <c r="R679" i="95"/>
  <c r="Q679" i="95"/>
  <c r="P679" i="95"/>
  <c r="O679" i="95"/>
  <c r="M679" i="95" s="1"/>
  <c r="N679" i="95"/>
  <c r="L679" i="95"/>
  <c r="K679" i="95"/>
  <c r="J679" i="95"/>
  <c r="D679" i="95" s="1"/>
  <c r="I679" i="95"/>
  <c r="H679" i="95"/>
  <c r="G679" i="95"/>
  <c r="F679" i="95"/>
  <c r="C679" i="95"/>
  <c r="B679" i="95"/>
  <c r="AH678" i="95"/>
  <c r="AC678" i="95"/>
  <c r="AB678" i="95"/>
  <c r="AA678" i="95"/>
  <c r="Z678" i="95"/>
  <c r="Y678" i="95"/>
  <c r="X678" i="95"/>
  <c r="W678" i="95"/>
  <c r="V678" i="95"/>
  <c r="U678" i="95"/>
  <c r="T678" i="95"/>
  <c r="S678" i="95"/>
  <c r="R678" i="95"/>
  <c r="Q678" i="95"/>
  <c r="P678" i="95"/>
  <c r="O678" i="95"/>
  <c r="N678" i="95"/>
  <c r="M678" i="95"/>
  <c r="L678" i="95"/>
  <c r="J678" i="95" s="1"/>
  <c r="D678" i="95" s="1"/>
  <c r="K678" i="95"/>
  <c r="E678" i="95" s="1"/>
  <c r="I678" i="95"/>
  <c r="H678" i="95"/>
  <c r="B678" i="95" s="1"/>
  <c r="G678" i="95"/>
  <c r="F678" i="95"/>
  <c r="C678" i="95"/>
  <c r="AH677" i="95"/>
  <c r="AB677" i="95"/>
  <c r="AC677" i="95" s="1"/>
  <c r="AA677" i="95"/>
  <c r="Z677" i="95"/>
  <c r="Y677" i="95"/>
  <c r="X677" i="95"/>
  <c r="W677" i="95"/>
  <c r="V677" i="95"/>
  <c r="U677" i="95"/>
  <c r="T677" i="95"/>
  <c r="S677" i="95"/>
  <c r="R677" i="95"/>
  <c r="Q677" i="95"/>
  <c r="P677" i="95"/>
  <c r="O677" i="95"/>
  <c r="M677" i="95" s="1"/>
  <c r="N677" i="95"/>
  <c r="L677" i="95"/>
  <c r="K677" i="95"/>
  <c r="E677" i="95" s="1"/>
  <c r="J677" i="95"/>
  <c r="D677" i="95" s="1"/>
  <c r="I677" i="95"/>
  <c r="C677" i="95" s="1"/>
  <c r="H677" i="95"/>
  <c r="G677" i="95"/>
  <c r="F677" i="95"/>
  <c r="B677" i="95"/>
  <c r="AH676" i="95"/>
  <c r="AB676" i="95"/>
  <c r="AC676" i="95" s="1"/>
  <c r="AA676" i="95"/>
  <c r="Z676" i="95"/>
  <c r="Y676" i="95"/>
  <c r="X676" i="95"/>
  <c r="W676" i="95"/>
  <c r="V676" i="95"/>
  <c r="U676" i="95"/>
  <c r="T676" i="95"/>
  <c r="S676" i="95"/>
  <c r="R676" i="95"/>
  <c r="Q676" i="95"/>
  <c r="P676" i="95"/>
  <c r="O676" i="95"/>
  <c r="N676" i="95"/>
  <c r="M676" i="95"/>
  <c r="L676" i="95"/>
  <c r="J676" i="95" s="1"/>
  <c r="D676" i="95" s="1"/>
  <c r="K676" i="95"/>
  <c r="I676" i="95"/>
  <c r="C676" i="95" s="1"/>
  <c r="H676" i="95"/>
  <c r="B676" i="95" s="1"/>
  <c r="A676" i="95" s="1"/>
  <c r="G676" i="95"/>
  <c r="F676" i="95"/>
  <c r="E676" i="95"/>
  <c r="AH675" i="95"/>
  <c r="AC675" i="95"/>
  <c r="AB675" i="95"/>
  <c r="AA675" i="95"/>
  <c r="Z675" i="95"/>
  <c r="Y675" i="95"/>
  <c r="X675" i="95"/>
  <c r="W675" i="95"/>
  <c r="V675" i="95"/>
  <c r="U675" i="95"/>
  <c r="T675" i="95"/>
  <c r="S675" i="95"/>
  <c r="R675" i="95"/>
  <c r="Q675" i="95"/>
  <c r="P675" i="95"/>
  <c r="O675" i="95"/>
  <c r="N675" i="95"/>
  <c r="M675" i="95"/>
  <c r="L675" i="95"/>
  <c r="K675" i="95"/>
  <c r="J675" i="95"/>
  <c r="D675" i="95" s="1"/>
  <c r="I675" i="95"/>
  <c r="C675" i="95" s="1"/>
  <c r="A675" i="95" s="1"/>
  <c r="H675" i="95"/>
  <c r="G675" i="95"/>
  <c r="F675" i="95"/>
  <c r="E675" i="95"/>
  <c r="B675" i="95"/>
  <c r="AH674" i="95"/>
  <c r="AB674" i="95"/>
  <c r="AC674" i="95" s="1"/>
  <c r="AA674" i="95"/>
  <c r="Z674" i="95"/>
  <c r="Y674" i="95"/>
  <c r="X674" i="95"/>
  <c r="W674" i="95"/>
  <c r="V674" i="95"/>
  <c r="U674" i="95"/>
  <c r="T674" i="95"/>
  <c r="S674" i="95"/>
  <c r="R674" i="95"/>
  <c r="Q674" i="95"/>
  <c r="P674" i="95"/>
  <c r="O674" i="95"/>
  <c r="M674" i="95" s="1"/>
  <c r="N674" i="95"/>
  <c r="L674" i="95"/>
  <c r="J674" i="95" s="1"/>
  <c r="K674" i="95"/>
  <c r="I674" i="95"/>
  <c r="C674" i="95" s="1"/>
  <c r="H674" i="95"/>
  <c r="B674" i="95" s="1"/>
  <c r="G674" i="95"/>
  <c r="F674" i="95"/>
  <c r="D674" i="95"/>
  <c r="AH673" i="95"/>
  <c r="AB673" i="95"/>
  <c r="AC673" i="95" s="1"/>
  <c r="AA673" i="95"/>
  <c r="Z673" i="95"/>
  <c r="Y673" i="95"/>
  <c r="X673" i="95"/>
  <c r="W673" i="95"/>
  <c r="V673" i="95"/>
  <c r="U673" i="95"/>
  <c r="T673" i="95"/>
  <c r="S673" i="95"/>
  <c r="R673" i="95"/>
  <c r="Q673" i="95"/>
  <c r="P673" i="95"/>
  <c r="O673" i="95"/>
  <c r="M673" i="95" s="1"/>
  <c r="N673" i="95"/>
  <c r="L673" i="95"/>
  <c r="K673" i="95"/>
  <c r="J673" i="95"/>
  <c r="D673" i="95" s="1"/>
  <c r="I673" i="95"/>
  <c r="C673" i="95" s="1"/>
  <c r="H673" i="95"/>
  <c r="G673" i="95"/>
  <c r="F673" i="95"/>
  <c r="B673" i="95"/>
  <c r="AH672" i="95"/>
  <c r="AB672" i="95"/>
  <c r="AC672" i="95" s="1"/>
  <c r="AA672" i="95"/>
  <c r="Z672" i="95"/>
  <c r="Y672" i="95"/>
  <c r="X672" i="95"/>
  <c r="W672" i="95"/>
  <c r="V672" i="95"/>
  <c r="U672" i="95"/>
  <c r="T672" i="95"/>
  <c r="S672" i="95"/>
  <c r="R672" i="95"/>
  <c r="Q672" i="95"/>
  <c r="P672" i="95"/>
  <c r="O672" i="95"/>
  <c r="M672" i="95" s="1"/>
  <c r="N672" i="95"/>
  <c r="L672" i="95"/>
  <c r="J672" i="95" s="1"/>
  <c r="D672" i="95" s="1"/>
  <c r="K672" i="95"/>
  <c r="I672" i="95"/>
  <c r="C672" i="95" s="1"/>
  <c r="A672" i="95" s="1"/>
  <c r="H672" i="95"/>
  <c r="B672" i="95" s="1"/>
  <c r="G672" i="95"/>
  <c r="F672" i="95"/>
  <c r="E672" i="95"/>
  <c r="AH671" i="95"/>
  <c r="AB671" i="95"/>
  <c r="AC671" i="95" s="1"/>
  <c r="AA671" i="95"/>
  <c r="Z671" i="95"/>
  <c r="Y671" i="95"/>
  <c r="X671" i="95"/>
  <c r="W671" i="95"/>
  <c r="V671" i="95"/>
  <c r="U671" i="95"/>
  <c r="T671" i="95"/>
  <c r="S671" i="95"/>
  <c r="R671" i="95"/>
  <c r="Q671" i="95"/>
  <c r="P671" i="95"/>
  <c r="O671" i="95"/>
  <c r="M671" i="95" s="1"/>
  <c r="N671" i="95"/>
  <c r="L671" i="95"/>
  <c r="K671" i="95"/>
  <c r="E671" i="95" s="1"/>
  <c r="J671" i="95"/>
  <c r="D671" i="95" s="1"/>
  <c r="I671" i="95"/>
  <c r="H671" i="95"/>
  <c r="G671" i="95"/>
  <c r="F671" i="95"/>
  <c r="C671" i="95"/>
  <c r="B671" i="95"/>
  <c r="AH670" i="95"/>
  <c r="AC670" i="95"/>
  <c r="AB670" i="95"/>
  <c r="AA670" i="95"/>
  <c r="Z670" i="95"/>
  <c r="Y670" i="95"/>
  <c r="X670" i="95"/>
  <c r="W670" i="95"/>
  <c r="V670" i="95"/>
  <c r="U670" i="95"/>
  <c r="T670" i="95"/>
  <c r="S670" i="95"/>
  <c r="R670" i="95"/>
  <c r="Q670" i="95"/>
  <c r="P670" i="95"/>
  <c r="O670" i="95"/>
  <c r="N670" i="95"/>
  <c r="M670" i="95"/>
  <c r="L670" i="95"/>
  <c r="J670" i="95" s="1"/>
  <c r="K670" i="95"/>
  <c r="E670" i="95" s="1"/>
  <c r="I670" i="95"/>
  <c r="C670" i="95" s="1"/>
  <c r="H670" i="95"/>
  <c r="B670" i="95" s="1"/>
  <c r="G670" i="95"/>
  <c r="F670" i="95"/>
  <c r="D670" i="95"/>
  <c r="AH669" i="95"/>
  <c r="AB669" i="95"/>
  <c r="AC669" i="95" s="1"/>
  <c r="AA669" i="95"/>
  <c r="Z669" i="95"/>
  <c r="Y669" i="95"/>
  <c r="X669" i="95"/>
  <c r="W669" i="95"/>
  <c r="V669" i="95"/>
  <c r="U669" i="95"/>
  <c r="T669" i="95"/>
  <c r="S669" i="95"/>
  <c r="R669" i="95"/>
  <c r="Q669" i="95"/>
  <c r="P669" i="95"/>
  <c r="O669" i="95"/>
  <c r="M669" i="95" s="1"/>
  <c r="N669" i="95"/>
  <c r="L669" i="95"/>
  <c r="J669" i="95" s="1"/>
  <c r="D669" i="95" s="1"/>
  <c r="K669" i="95"/>
  <c r="E669" i="95" s="1"/>
  <c r="I669" i="95"/>
  <c r="C669" i="95" s="1"/>
  <c r="H669" i="95"/>
  <c r="B669" i="95" s="1"/>
  <c r="G669" i="95"/>
  <c r="F669" i="95"/>
  <c r="AH668" i="95"/>
  <c r="AB668" i="95"/>
  <c r="AC668" i="95" s="1"/>
  <c r="AA668" i="95"/>
  <c r="Z668" i="95"/>
  <c r="Y668" i="95"/>
  <c r="X668" i="95"/>
  <c r="W668" i="95"/>
  <c r="V668" i="95"/>
  <c r="U668" i="95"/>
  <c r="T668" i="95"/>
  <c r="S668" i="95"/>
  <c r="R668" i="95"/>
  <c r="Q668" i="95"/>
  <c r="P668" i="95"/>
  <c r="O668" i="95"/>
  <c r="N668" i="95"/>
  <c r="M668" i="95"/>
  <c r="L668" i="95"/>
  <c r="J668" i="95" s="1"/>
  <c r="D668" i="95" s="1"/>
  <c r="K668" i="95"/>
  <c r="I668" i="95"/>
  <c r="C668" i="95" s="1"/>
  <c r="H668" i="95"/>
  <c r="B668" i="95" s="1"/>
  <c r="G668" i="95"/>
  <c r="F668" i="95"/>
  <c r="E668" i="95"/>
  <c r="AH667" i="95"/>
  <c r="AB667" i="95"/>
  <c r="AC667" i="95" s="1"/>
  <c r="AA667" i="95"/>
  <c r="Z667" i="95"/>
  <c r="Y667" i="95"/>
  <c r="X667" i="95"/>
  <c r="W667" i="95"/>
  <c r="V667" i="95"/>
  <c r="U667" i="95"/>
  <c r="T667" i="95"/>
  <c r="S667" i="95"/>
  <c r="R667" i="95"/>
  <c r="Q667" i="95"/>
  <c r="P667" i="95"/>
  <c r="O667" i="95"/>
  <c r="M667" i="95" s="1"/>
  <c r="N667" i="95"/>
  <c r="L667" i="95"/>
  <c r="K667" i="95"/>
  <c r="J667" i="95"/>
  <c r="D667" i="95" s="1"/>
  <c r="I667" i="95"/>
  <c r="H667" i="95"/>
  <c r="G667" i="95"/>
  <c r="F667" i="95"/>
  <c r="C667" i="95"/>
  <c r="B667" i="95"/>
  <c r="AH666" i="95"/>
  <c r="AB666" i="95"/>
  <c r="AC666" i="95" s="1"/>
  <c r="AA666" i="95"/>
  <c r="Z666" i="95"/>
  <c r="Y666" i="95"/>
  <c r="X666" i="95"/>
  <c r="W666" i="95"/>
  <c r="V666" i="95"/>
  <c r="U666" i="95"/>
  <c r="T666" i="95"/>
  <c r="S666" i="95"/>
  <c r="R666" i="95"/>
  <c r="Q666" i="95"/>
  <c r="P666" i="95"/>
  <c r="O666" i="95"/>
  <c r="M666" i="95" s="1"/>
  <c r="N666" i="95"/>
  <c r="L666" i="95"/>
  <c r="J666" i="95" s="1"/>
  <c r="K666" i="95"/>
  <c r="I666" i="95"/>
  <c r="C666" i="95" s="1"/>
  <c r="H666" i="95"/>
  <c r="B666" i="95" s="1"/>
  <c r="G666" i="95"/>
  <c r="F666" i="95"/>
  <c r="D666" i="95"/>
  <c r="AH665" i="95"/>
  <c r="AB665" i="95"/>
  <c r="AC665" i="95" s="1"/>
  <c r="AA665" i="95"/>
  <c r="Z665" i="95"/>
  <c r="Y665" i="95"/>
  <c r="X665" i="95"/>
  <c r="W665" i="95"/>
  <c r="V665" i="95"/>
  <c r="U665" i="95"/>
  <c r="T665" i="95"/>
  <c r="S665" i="95"/>
  <c r="R665" i="95"/>
  <c r="Q665" i="95"/>
  <c r="P665" i="95"/>
  <c r="O665" i="95"/>
  <c r="M665" i="95" s="1"/>
  <c r="N665" i="95"/>
  <c r="L665" i="95"/>
  <c r="K665" i="95"/>
  <c r="E665" i="95" s="1"/>
  <c r="J665" i="95"/>
  <c r="D665" i="95" s="1"/>
  <c r="I665" i="95"/>
  <c r="C665" i="95" s="1"/>
  <c r="H665" i="95"/>
  <c r="B665" i="95" s="1"/>
  <c r="G665" i="95"/>
  <c r="F665" i="95"/>
  <c r="AH664" i="95"/>
  <c r="AB664" i="95"/>
  <c r="AC664" i="95" s="1"/>
  <c r="AA664" i="95"/>
  <c r="Z664" i="95"/>
  <c r="Y664" i="95"/>
  <c r="X664" i="95"/>
  <c r="W664" i="95"/>
  <c r="V664" i="95"/>
  <c r="U664" i="95"/>
  <c r="T664" i="95"/>
  <c r="S664" i="95"/>
  <c r="R664" i="95"/>
  <c r="Q664" i="95"/>
  <c r="P664" i="95"/>
  <c r="O664" i="95"/>
  <c r="M664" i="95" s="1"/>
  <c r="N664" i="95"/>
  <c r="L664" i="95"/>
  <c r="J664" i="95" s="1"/>
  <c r="D664" i="95" s="1"/>
  <c r="K664" i="95"/>
  <c r="E664" i="95" s="1"/>
  <c r="I664" i="95"/>
  <c r="C664" i="95" s="1"/>
  <c r="H664" i="95"/>
  <c r="B664" i="95" s="1"/>
  <c r="G664" i="95"/>
  <c r="F664" i="95"/>
  <c r="AH663" i="95"/>
  <c r="AC663" i="95"/>
  <c r="AB663" i="95"/>
  <c r="AA663" i="95"/>
  <c r="Z663" i="95"/>
  <c r="Y663" i="95"/>
  <c r="X663" i="95"/>
  <c r="W663" i="95"/>
  <c r="V663" i="95"/>
  <c r="U663" i="95"/>
  <c r="T663" i="95"/>
  <c r="S663" i="95"/>
  <c r="R663" i="95"/>
  <c r="Q663" i="95"/>
  <c r="P663" i="95"/>
  <c r="O663" i="95"/>
  <c r="M663" i="95" s="1"/>
  <c r="N663" i="95"/>
  <c r="L663" i="95"/>
  <c r="J663" i="95" s="1"/>
  <c r="D663" i="95" s="1"/>
  <c r="K663" i="95"/>
  <c r="E663" i="95" s="1"/>
  <c r="I663" i="95"/>
  <c r="H663" i="95"/>
  <c r="G663" i="95"/>
  <c r="F663" i="95"/>
  <c r="C663" i="95"/>
  <c r="B663" i="95"/>
  <c r="AH662" i="95"/>
  <c r="AB662" i="95"/>
  <c r="AC662" i="95" s="1"/>
  <c r="AA662" i="95"/>
  <c r="Z662" i="95"/>
  <c r="Y662" i="95"/>
  <c r="X662" i="95"/>
  <c r="W662" i="95"/>
  <c r="V662" i="95"/>
  <c r="U662" i="95"/>
  <c r="T662" i="95"/>
  <c r="S662" i="95"/>
  <c r="R662" i="95"/>
  <c r="Q662" i="95"/>
  <c r="P662" i="95"/>
  <c r="O662" i="95"/>
  <c r="M662" i="95" s="1"/>
  <c r="N662" i="95"/>
  <c r="L662" i="95"/>
  <c r="J662" i="95" s="1"/>
  <c r="K662" i="95"/>
  <c r="I662" i="95"/>
  <c r="C662" i="95" s="1"/>
  <c r="H662" i="95"/>
  <c r="B662" i="95" s="1"/>
  <c r="G662" i="95"/>
  <c r="F662" i="95"/>
  <c r="D662" i="95"/>
  <c r="AH661" i="95"/>
  <c r="AC661" i="95"/>
  <c r="AB661" i="95"/>
  <c r="AA661" i="95"/>
  <c r="Z661" i="95"/>
  <c r="Y661" i="95"/>
  <c r="X661" i="95"/>
  <c r="W661" i="95"/>
  <c r="V661" i="95"/>
  <c r="U661" i="95"/>
  <c r="T661" i="95"/>
  <c r="S661" i="95"/>
  <c r="R661" i="95"/>
  <c r="Q661" i="95"/>
  <c r="P661" i="95"/>
  <c r="O661" i="95"/>
  <c r="N661" i="95"/>
  <c r="M661" i="95"/>
  <c r="L661" i="95"/>
  <c r="J661" i="95" s="1"/>
  <c r="D661" i="95" s="1"/>
  <c r="K661" i="95"/>
  <c r="I661" i="95"/>
  <c r="C661" i="95" s="1"/>
  <c r="H661" i="95"/>
  <c r="G661" i="95"/>
  <c r="F661" i="95"/>
  <c r="E661" i="95"/>
  <c r="B661" i="95"/>
  <c r="AH660" i="95"/>
  <c r="AB660" i="95"/>
  <c r="AC660" i="95" s="1"/>
  <c r="AA660" i="95"/>
  <c r="Z660" i="95"/>
  <c r="Y660" i="95"/>
  <c r="X660" i="95"/>
  <c r="W660" i="95"/>
  <c r="V660" i="95"/>
  <c r="U660" i="95"/>
  <c r="T660" i="95"/>
  <c r="S660" i="95"/>
  <c r="R660" i="95"/>
  <c r="Q660" i="95"/>
  <c r="P660" i="95"/>
  <c r="O660" i="95"/>
  <c r="M660" i="95" s="1"/>
  <c r="N660" i="95"/>
  <c r="L660" i="95"/>
  <c r="J660" i="95" s="1"/>
  <c r="D660" i="95" s="1"/>
  <c r="K660" i="95"/>
  <c r="I660" i="95"/>
  <c r="C660" i="95" s="1"/>
  <c r="H660" i="95"/>
  <c r="B660" i="95" s="1"/>
  <c r="G660" i="95"/>
  <c r="F660" i="95"/>
  <c r="AH659" i="95"/>
  <c r="AB659" i="95"/>
  <c r="AC659" i="95" s="1"/>
  <c r="AA659" i="95"/>
  <c r="Z659" i="95"/>
  <c r="Y659" i="95"/>
  <c r="X659" i="95"/>
  <c r="W659" i="95"/>
  <c r="V659" i="95"/>
  <c r="U659" i="95"/>
  <c r="T659" i="95"/>
  <c r="S659" i="95"/>
  <c r="R659" i="95"/>
  <c r="Q659" i="95"/>
  <c r="P659" i="95"/>
  <c r="O659" i="95"/>
  <c r="M659" i="95" s="1"/>
  <c r="N659" i="95"/>
  <c r="L659" i="95"/>
  <c r="J659" i="95" s="1"/>
  <c r="D659" i="95" s="1"/>
  <c r="K659" i="95"/>
  <c r="E659" i="95" s="1"/>
  <c r="I659" i="95"/>
  <c r="H659" i="95"/>
  <c r="B659" i="95" s="1"/>
  <c r="G659" i="95"/>
  <c r="F659" i="95"/>
  <c r="C659" i="95"/>
  <c r="AH658" i="95"/>
  <c r="AC658" i="95"/>
  <c r="AB658" i="95"/>
  <c r="AA658" i="95"/>
  <c r="Z658" i="95"/>
  <c r="Y658" i="95"/>
  <c r="X658" i="95"/>
  <c r="W658" i="95"/>
  <c r="V658" i="95"/>
  <c r="U658" i="95"/>
  <c r="T658" i="95"/>
  <c r="S658" i="95"/>
  <c r="R658" i="95"/>
  <c r="Q658" i="95"/>
  <c r="P658" i="95"/>
  <c r="O658" i="95"/>
  <c r="M658" i="95" s="1"/>
  <c r="N658" i="95"/>
  <c r="L658" i="95"/>
  <c r="J658" i="95" s="1"/>
  <c r="D658" i="95" s="1"/>
  <c r="K658" i="95"/>
  <c r="I658" i="95"/>
  <c r="C658" i="95" s="1"/>
  <c r="H658" i="95"/>
  <c r="B658" i="95" s="1"/>
  <c r="G658" i="95"/>
  <c r="F658" i="95"/>
  <c r="AH657" i="95"/>
  <c r="AC657" i="95"/>
  <c r="AB657" i="95"/>
  <c r="AA657" i="95"/>
  <c r="Z657" i="95"/>
  <c r="Y657" i="95"/>
  <c r="X657" i="95"/>
  <c r="W657" i="95"/>
  <c r="V657" i="95"/>
  <c r="U657" i="95"/>
  <c r="T657" i="95"/>
  <c r="S657" i="95"/>
  <c r="R657" i="95"/>
  <c r="Q657" i="95"/>
  <c r="P657" i="95"/>
  <c r="O657" i="95"/>
  <c r="M657" i="95" s="1"/>
  <c r="N657" i="95"/>
  <c r="L657" i="95"/>
  <c r="J657" i="95" s="1"/>
  <c r="D657" i="95" s="1"/>
  <c r="K657" i="95"/>
  <c r="E657" i="95" s="1"/>
  <c r="I657" i="95"/>
  <c r="C657" i="95" s="1"/>
  <c r="H657" i="95"/>
  <c r="B657" i="95" s="1"/>
  <c r="G657" i="95"/>
  <c r="F657" i="95"/>
  <c r="AH656" i="95"/>
  <c r="AB656" i="95"/>
  <c r="AC656" i="95" s="1"/>
  <c r="AA656" i="95"/>
  <c r="Z656" i="95"/>
  <c r="Y656" i="95"/>
  <c r="X656" i="95"/>
  <c r="W656" i="95"/>
  <c r="V656" i="95"/>
  <c r="U656" i="95"/>
  <c r="T656" i="95"/>
  <c r="S656" i="95"/>
  <c r="R656" i="95"/>
  <c r="Q656" i="95"/>
  <c r="P656" i="95"/>
  <c r="O656" i="95"/>
  <c r="M656" i="95" s="1"/>
  <c r="N656" i="95"/>
  <c r="L656" i="95"/>
  <c r="J656" i="95" s="1"/>
  <c r="D656" i="95" s="1"/>
  <c r="K656" i="95"/>
  <c r="E656" i="95" s="1"/>
  <c r="I656" i="95"/>
  <c r="H656" i="95"/>
  <c r="B656" i="95" s="1"/>
  <c r="G656" i="95"/>
  <c r="F656" i="95"/>
  <c r="C656" i="95"/>
  <c r="AH655" i="95"/>
  <c r="AC655" i="95"/>
  <c r="AB655" i="95"/>
  <c r="AA655" i="95"/>
  <c r="Z655" i="95"/>
  <c r="Y655" i="95"/>
  <c r="X655" i="95"/>
  <c r="W655" i="95"/>
  <c r="V655" i="95"/>
  <c r="U655" i="95"/>
  <c r="T655" i="95"/>
  <c r="S655" i="95"/>
  <c r="R655" i="95"/>
  <c r="Q655" i="95"/>
  <c r="P655" i="95"/>
  <c r="O655" i="95"/>
  <c r="M655" i="95" s="1"/>
  <c r="N655" i="95"/>
  <c r="L655" i="95"/>
  <c r="J655" i="95" s="1"/>
  <c r="D655" i="95" s="1"/>
  <c r="K655" i="95"/>
  <c r="I655" i="95"/>
  <c r="H655" i="95"/>
  <c r="G655" i="95"/>
  <c r="F655" i="95"/>
  <c r="C655" i="95"/>
  <c r="B655" i="95"/>
  <c r="AH654" i="95"/>
  <c r="AB654" i="95"/>
  <c r="AC654" i="95" s="1"/>
  <c r="AA654" i="95"/>
  <c r="Z654" i="95"/>
  <c r="Y654" i="95"/>
  <c r="X654" i="95"/>
  <c r="W654" i="95"/>
  <c r="V654" i="95"/>
  <c r="U654" i="95"/>
  <c r="T654" i="95"/>
  <c r="S654" i="95"/>
  <c r="R654" i="95"/>
  <c r="Q654" i="95"/>
  <c r="P654" i="95"/>
  <c r="O654" i="95"/>
  <c r="M654" i="95" s="1"/>
  <c r="N654" i="95"/>
  <c r="L654" i="95"/>
  <c r="J654" i="95" s="1"/>
  <c r="D654" i="95" s="1"/>
  <c r="K654" i="95"/>
  <c r="E654" i="95" s="1"/>
  <c r="I654" i="95"/>
  <c r="H654" i="95"/>
  <c r="B654" i="95" s="1"/>
  <c r="G654" i="95"/>
  <c r="F654" i="95"/>
  <c r="C654" i="95"/>
  <c r="AH653" i="95"/>
  <c r="AC653" i="95"/>
  <c r="AB653" i="95"/>
  <c r="AA653" i="95"/>
  <c r="Z653" i="95"/>
  <c r="Y653" i="95"/>
  <c r="X653" i="95"/>
  <c r="W653" i="95"/>
  <c r="V653" i="95"/>
  <c r="U653" i="95"/>
  <c r="T653" i="95"/>
  <c r="S653" i="95"/>
  <c r="R653" i="95"/>
  <c r="Q653" i="95"/>
  <c r="P653" i="95"/>
  <c r="O653" i="95"/>
  <c r="N653" i="95"/>
  <c r="M653" i="95"/>
  <c r="L653" i="95"/>
  <c r="K653" i="95"/>
  <c r="J653" i="95"/>
  <c r="D653" i="95" s="1"/>
  <c r="I653" i="95"/>
  <c r="C653" i="95" s="1"/>
  <c r="H653" i="95"/>
  <c r="G653" i="95"/>
  <c r="F653" i="95"/>
  <c r="E653" i="95"/>
  <c r="B653" i="95"/>
  <c r="AH652" i="95"/>
  <c r="AB652" i="95"/>
  <c r="AC652" i="95" s="1"/>
  <c r="AA652" i="95"/>
  <c r="Z652" i="95"/>
  <c r="Y652" i="95"/>
  <c r="X652" i="95"/>
  <c r="W652" i="95"/>
  <c r="V652" i="95"/>
  <c r="U652" i="95"/>
  <c r="T652" i="95"/>
  <c r="S652" i="95"/>
  <c r="R652" i="95"/>
  <c r="Q652" i="95"/>
  <c r="P652" i="95"/>
  <c r="O652" i="95"/>
  <c r="M652" i="95" s="1"/>
  <c r="N652" i="95"/>
  <c r="L652" i="95"/>
  <c r="J652" i="95" s="1"/>
  <c r="D652" i="95" s="1"/>
  <c r="K652" i="95"/>
  <c r="E652" i="95" s="1"/>
  <c r="I652" i="95"/>
  <c r="C652" i="95" s="1"/>
  <c r="H652" i="95"/>
  <c r="B652" i="95" s="1"/>
  <c r="G652" i="95"/>
  <c r="F652" i="95"/>
  <c r="AH651" i="95"/>
  <c r="AC651" i="95"/>
  <c r="AB651" i="95"/>
  <c r="AA651" i="95"/>
  <c r="Z651" i="95"/>
  <c r="Y651" i="95"/>
  <c r="X651" i="95"/>
  <c r="W651" i="95"/>
  <c r="V651" i="95"/>
  <c r="U651" i="95"/>
  <c r="T651" i="95"/>
  <c r="S651" i="95"/>
  <c r="R651" i="95"/>
  <c r="Q651" i="95"/>
  <c r="P651" i="95"/>
  <c r="O651" i="95"/>
  <c r="N651" i="95"/>
  <c r="M651" i="95"/>
  <c r="L651" i="95"/>
  <c r="J651" i="95" s="1"/>
  <c r="D651" i="95" s="1"/>
  <c r="K651" i="95"/>
  <c r="I651" i="95"/>
  <c r="C651" i="95" s="1"/>
  <c r="H651" i="95"/>
  <c r="B651" i="95" s="1"/>
  <c r="G651" i="95"/>
  <c r="F651" i="95"/>
  <c r="E651" i="95"/>
  <c r="AH650" i="95"/>
  <c r="AC650" i="95"/>
  <c r="AB650" i="95"/>
  <c r="AA650" i="95"/>
  <c r="Z650" i="95"/>
  <c r="Y650" i="95"/>
  <c r="X650" i="95"/>
  <c r="W650" i="95"/>
  <c r="V650" i="95"/>
  <c r="U650" i="95"/>
  <c r="T650" i="95"/>
  <c r="S650" i="95"/>
  <c r="R650" i="95"/>
  <c r="Q650" i="95"/>
  <c r="P650" i="95"/>
  <c r="O650" i="95"/>
  <c r="N650" i="95"/>
  <c r="M650" i="95"/>
  <c r="L650" i="95"/>
  <c r="J650" i="95" s="1"/>
  <c r="D650" i="95" s="1"/>
  <c r="K650" i="95"/>
  <c r="I650" i="95"/>
  <c r="C650" i="95" s="1"/>
  <c r="H650" i="95"/>
  <c r="G650" i="95"/>
  <c r="F650" i="95"/>
  <c r="E650" i="95"/>
  <c r="B650" i="95"/>
  <c r="AH649" i="95"/>
  <c r="AB649" i="95"/>
  <c r="AC649" i="95" s="1"/>
  <c r="AA649" i="95"/>
  <c r="Z649" i="95"/>
  <c r="Y649" i="95"/>
  <c r="X649" i="95"/>
  <c r="W649" i="95"/>
  <c r="V649" i="95"/>
  <c r="U649" i="95"/>
  <c r="T649" i="95"/>
  <c r="S649" i="95"/>
  <c r="R649" i="95"/>
  <c r="Q649" i="95"/>
  <c r="P649" i="95"/>
  <c r="O649" i="95"/>
  <c r="M649" i="95" s="1"/>
  <c r="N649" i="95"/>
  <c r="L649" i="95"/>
  <c r="J649" i="95" s="1"/>
  <c r="D649" i="95" s="1"/>
  <c r="K649" i="95"/>
  <c r="E649" i="95" s="1"/>
  <c r="I649" i="95"/>
  <c r="C649" i="95" s="1"/>
  <c r="H649" i="95"/>
  <c r="B649" i="95" s="1"/>
  <c r="G649" i="95"/>
  <c r="F649" i="95"/>
  <c r="AH648" i="95"/>
  <c r="AB648" i="95"/>
  <c r="AC648" i="95" s="1"/>
  <c r="AA648" i="95"/>
  <c r="Z648" i="95"/>
  <c r="Y648" i="95"/>
  <c r="X648" i="95"/>
  <c r="W648" i="95"/>
  <c r="V648" i="95"/>
  <c r="U648" i="95"/>
  <c r="T648" i="95"/>
  <c r="S648" i="95"/>
  <c r="R648" i="95"/>
  <c r="Q648" i="95"/>
  <c r="P648" i="95"/>
  <c r="O648" i="95"/>
  <c r="M648" i="95" s="1"/>
  <c r="N648" i="95"/>
  <c r="L648" i="95"/>
  <c r="J648" i="95" s="1"/>
  <c r="D648" i="95" s="1"/>
  <c r="K648" i="95"/>
  <c r="E648" i="95" s="1"/>
  <c r="I648" i="95"/>
  <c r="H648" i="95"/>
  <c r="G648" i="95"/>
  <c r="F648" i="95"/>
  <c r="C648" i="95"/>
  <c r="B648" i="95"/>
  <c r="AH647" i="95"/>
  <c r="AC647" i="95"/>
  <c r="AB647" i="95"/>
  <c r="AA647" i="95"/>
  <c r="Z647" i="95"/>
  <c r="Y647" i="95"/>
  <c r="X647" i="95"/>
  <c r="W647" i="95"/>
  <c r="V647" i="95"/>
  <c r="U647" i="95"/>
  <c r="T647" i="95"/>
  <c r="S647" i="95"/>
  <c r="R647" i="95"/>
  <c r="Q647" i="95"/>
  <c r="P647" i="95"/>
  <c r="O647" i="95"/>
  <c r="N647" i="95"/>
  <c r="M647" i="95"/>
  <c r="L647" i="95"/>
  <c r="K647" i="95"/>
  <c r="J647" i="95"/>
  <c r="D647" i="95" s="1"/>
  <c r="I647" i="95"/>
  <c r="C647" i="95" s="1"/>
  <c r="H647" i="95"/>
  <c r="G647" i="95"/>
  <c r="F647" i="95"/>
  <c r="E647" i="95"/>
  <c r="B647" i="95"/>
  <c r="AH646" i="95"/>
  <c r="AC646" i="95"/>
  <c r="AB646" i="95"/>
  <c r="AA646" i="95"/>
  <c r="Z646" i="95"/>
  <c r="Y646" i="95"/>
  <c r="X646" i="95"/>
  <c r="W646" i="95"/>
  <c r="V646" i="95"/>
  <c r="U646" i="95"/>
  <c r="T646" i="95"/>
  <c r="S646" i="95"/>
  <c r="R646" i="95"/>
  <c r="Q646" i="95"/>
  <c r="P646" i="95"/>
  <c r="O646" i="95"/>
  <c r="M646" i="95" s="1"/>
  <c r="N646" i="95"/>
  <c r="L646" i="95"/>
  <c r="J646" i="95" s="1"/>
  <c r="D646" i="95" s="1"/>
  <c r="K646" i="95"/>
  <c r="E646" i="95" s="1"/>
  <c r="I646" i="95"/>
  <c r="C646" i="95" s="1"/>
  <c r="H646" i="95"/>
  <c r="B646" i="95" s="1"/>
  <c r="G646" i="95"/>
  <c r="F646" i="95"/>
  <c r="AH645" i="95"/>
  <c r="AC645" i="95"/>
  <c r="AB645" i="95"/>
  <c r="AA645" i="95"/>
  <c r="Z645" i="95"/>
  <c r="Y645" i="95"/>
  <c r="X645" i="95"/>
  <c r="W645" i="95"/>
  <c r="V645" i="95"/>
  <c r="U645" i="95"/>
  <c r="T645" i="95"/>
  <c r="S645" i="95"/>
  <c r="R645" i="95"/>
  <c r="Q645" i="95"/>
  <c r="P645" i="95"/>
  <c r="O645" i="95"/>
  <c r="N645" i="95"/>
  <c r="M645" i="95"/>
  <c r="L645" i="95"/>
  <c r="J645" i="95" s="1"/>
  <c r="D645" i="95" s="1"/>
  <c r="K645" i="95"/>
  <c r="I645" i="95"/>
  <c r="C645" i="95" s="1"/>
  <c r="H645" i="95"/>
  <c r="G645" i="95"/>
  <c r="F645" i="95"/>
  <c r="E645" i="95"/>
  <c r="B645" i="95"/>
  <c r="AH644" i="95"/>
  <c r="AB644" i="95"/>
  <c r="AC644" i="95" s="1"/>
  <c r="AA644" i="95"/>
  <c r="Z644" i="95"/>
  <c r="Y644" i="95"/>
  <c r="X644" i="95"/>
  <c r="W644" i="95"/>
  <c r="V644" i="95"/>
  <c r="U644" i="95"/>
  <c r="T644" i="95"/>
  <c r="S644" i="95"/>
  <c r="R644" i="95"/>
  <c r="Q644" i="95"/>
  <c r="P644" i="95"/>
  <c r="O644" i="95"/>
  <c r="M644" i="95" s="1"/>
  <c r="N644" i="95"/>
  <c r="L644" i="95"/>
  <c r="J644" i="95" s="1"/>
  <c r="D644" i="95" s="1"/>
  <c r="K644" i="95"/>
  <c r="I644" i="95"/>
  <c r="C644" i="95" s="1"/>
  <c r="H644" i="95"/>
  <c r="B644" i="95" s="1"/>
  <c r="G644" i="95"/>
  <c r="F644" i="95"/>
  <c r="E644" i="95"/>
  <c r="AH643" i="95"/>
  <c r="AB643" i="95"/>
  <c r="AC643" i="95" s="1"/>
  <c r="AA643" i="95"/>
  <c r="Z643" i="95"/>
  <c r="Y643" i="95"/>
  <c r="X643" i="95"/>
  <c r="W643" i="95"/>
  <c r="V643" i="95"/>
  <c r="U643" i="95"/>
  <c r="T643" i="95"/>
  <c r="S643" i="95"/>
  <c r="R643" i="95"/>
  <c r="Q643" i="95"/>
  <c r="P643" i="95"/>
  <c r="O643" i="95"/>
  <c r="M643" i="95" s="1"/>
  <c r="N643" i="95"/>
  <c r="L643" i="95"/>
  <c r="K643" i="95"/>
  <c r="J643" i="95"/>
  <c r="D643" i="95" s="1"/>
  <c r="I643" i="95"/>
  <c r="H643" i="95"/>
  <c r="G643" i="95"/>
  <c r="F643" i="95"/>
  <c r="C643" i="95"/>
  <c r="B643" i="95"/>
  <c r="AH642" i="95"/>
  <c r="AB642" i="95"/>
  <c r="AC642" i="95" s="1"/>
  <c r="AA642" i="95"/>
  <c r="Z642" i="95"/>
  <c r="Y642" i="95"/>
  <c r="X642" i="95"/>
  <c r="W642" i="95"/>
  <c r="V642" i="95"/>
  <c r="U642" i="95"/>
  <c r="T642" i="95"/>
  <c r="S642" i="95"/>
  <c r="R642" i="95"/>
  <c r="Q642" i="95"/>
  <c r="P642" i="95"/>
  <c r="O642" i="95"/>
  <c r="M642" i="95" s="1"/>
  <c r="N642" i="95"/>
  <c r="L642" i="95"/>
  <c r="J642" i="95" s="1"/>
  <c r="D642" i="95" s="1"/>
  <c r="K642" i="95"/>
  <c r="E642" i="95" s="1"/>
  <c r="I642" i="95"/>
  <c r="C642" i="95" s="1"/>
  <c r="H642" i="95"/>
  <c r="B642" i="95" s="1"/>
  <c r="G642" i="95"/>
  <c r="F642" i="95"/>
  <c r="AH641" i="95"/>
  <c r="AB641" i="95"/>
  <c r="AC641" i="95" s="1"/>
  <c r="AA641" i="95"/>
  <c r="Z641" i="95"/>
  <c r="Y641" i="95"/>
  <c r="X641" i="95"/>
  <c r="W641" i="95"/>
  <c r="V641" i="95"/>
  <c r="U641" i="95"/>
  <c r="T641" i="95"/>
  <c r="S641" i="95"/>
  <c r="R641" i="95"/>
  <c r="Q641" i="95"/>
  <c r="P641" i="95"/>
  <c r="O641" i="95"/>
  <c r="M641" i="95" s="1"/>
  <c r="N641" i="95"/>
  <c r="L641" i="95"/>
  <c r="J641" i="95" s="1"/>
  <c r="D641" i="95" s="1"/>
  <c r="K641" i="95"/>
  <c r="E641" i="95" s="1"/>
  <c r="I641" i="95"/>
  <c r="H641" i="95"/>
  <c r="G641" i="95"/>
  <c r="F641" i="95"/>
  <c r="C641" i="95"/>
  <c r="B641" i="95"/>
  <c r="AH640" i="95"/>
  <c r="AB640" i="95"/>
  <c r="AC640" i="95" s="1"/>
  <c r="AA640" i="95"/>
  <c r="Z640" i="95"/>
  <c r="Y640" i="95"/>
  <c r="X640" i="95"/>
  <c r="W640" i="95"/>
  <c r="V640" i="95"/>
  <c r="U640" i="95"/>
  <c r="T640" i="95"/>
  <c r="S640" i="95"/>
  <c r="R640" i="95"/>
  <c r="Q640" i="95"/>
  <c r="P640" i="95"/>
  <c r="O640" i="95"/>
  <c r="N640" i="95"/>
  <c r="M640" i="95"/>
  <c r="L640" i="95"/>
  <c r="J640" i="95" s="1"/>
  <c r="D640" i="95" s="1"/>
  <c r="K640" i="95"/>
  <c r="I640" i="95"/>
  <c r="C640" i="95" s="1"/>
  <c r="H640" i="95"/>
  <c r="B640" i="95" s="1"/>
  <c r="G640" i="95"/>
  <c r="F640" i="95"/>
  <c r="E640" i="95"/>
  <c r="AH639" i="95"/>
  <c r="AB639" i="95"/>
  <c r="AC639" i="95" s="1"/>
  <c r="AA639" i="95"/>
  <c r="Z639" i="95"/>
  <c r="Y639" i="95"/>
  <c r="X639" i="95"/>
  <c r="W639" i="95"/>
  <c r="V639" i="95"/>
  <c r="U639" i="95"/>
  <c r="T639" i="95"/>
  <c r="S639" i="95"/>
  <c r="R639" i="95"/>
  <c r="Q639" i="95"/>
  <c r="P639" i="95"/>
  <c r="O639" i="95"/>
  <c r="M639" i="95" s="1"/>
  <c r="N639" i="95"/>
  <c r="L639" i="95"/>
  <c r="J639" i="95" s="1"/>
  <c r="D639" i="95" s="1"/>
  <c r="K639" i="95"/>
  <c r="I639" i="95"/>
  <c r="H639" i="95"/>
  <c r="G639" i="95"/>
  <c r="F639" i="95"/>
  <c r="C639" i="95"/>
  <c r="B639" i="95"/>
  <c r="AH638" i="95"/>
  <c r="AB638" i="95"/>
  <c r="AC638" i="95" s="1"/>
  <c r="AA638" i="95"/>
  <c r="Z638" i="95"/>
  <c r="Y638" i="95"/>
  <c r="X638" i="95"/>
  <c r="W638" i="95"/>
  <c r="V638" i="95"/>
  <c r="U638" i="95"/>
  <c r="T638" i="95"/>
  <c r="S638" i="95"/>
  <c r="R638" i="95"/>
  <c r="Q638" i="95"/>
  <c r="P638" i="95"/>
  <c r="O638" i="95"/>
  <c r="M638" i="95" s="1"/>
  <c r="N638" i="95"/>
  <c r="L638" i="95"/>
  <c r="J638" i="95" s="1"/>
  <c r="D638" i="95" s="1"/>
  <c r="K638" i="95"/>
  <c r="E638" i="95" s="1"/>
  <c r="I638" i="95"/>
  <c r="C638" i="95" s="1"/>
  <c r="H638" i="95"/>
  <c r="B638" i="95" s="1"/>
  <c r="G638" i="95"/>
  <c r="F638" i="95"/>
  <c r="AH637" i="95"/>
  <c r="AB637" i="95"/>
  <c r="AC637" i="95" s="1"/>
  <c r="AA637" i="95"/>
  <c r="Z637" i="95"/>
  <c r="Y637" i="95"/>
  <c r="X637" i="95"/>
  <c r="W637" i="95"/>
  <c r="V637" i="95"/>
  <c r="U637" i="95"/>
  <c r="T637" i="95"/>
  <c r="S637" i="95"/>
  <c r="R637" i="95"/>
  <c r="Q637" i="95"/>
  <c r="P637" i="95"/>
  <c r="O637" i="95"/>
  <c r="M637" i="95" s="1"/>
  <c r="N637" i="95"/>
  <c r="L637" i="95"/>
  <c r="K637" i="95"/>
  <c r="E637" i="95" s="1"/>
  <c r="J637" i="95"/>
  <c r="D637" i="95" s="1"/>
  <c r="I637" i="95"/>
  <c r="H637" i="95"/>
  <c r="G637" i="95"/>
  <c r="F637" i="95"/>
  <c r="C637" i="95"/>
  <c r="B637" i="95"/>
  <c r="AH636" i="95"/>
  <c r="AB636" i="95"/>
  <c r="AC636" i="95" s="1"/>
  <c r="AA636" i="95"/>
  <c r="Z636" i="95"/>
  <c r="Y636" i="95"/>
  <c r="X636" i="95"/>
  <c r="W636" i="95"/>
  <c r="V636" i="95"/>
  <c r="U636" i="95"/>
  <c r="T636" i="95"/>
  <c r="S636" i="95"/>
  <c r="R636" i="95"/>
  <c r="Q636" i="95"/>
  <c r="P636" i="95"/>
  <c r="O636" i="95"/>
  <c r="N636" i="95"/>
  <c r="M636" i="95"/>
  <c r="L636" i="95"/>
  <c r="J636" i="95" s="1"/>
  <c r="D636" i="95" s="1"/>
  <c r="K636" i="95"/>
  <c r="I636" i="95"/>
  <c r="C636" i="95" s="1"/>
  <c r="H636" i="95"/>
  <c r="B636" i="95" s="1"/>
  <c r="G636" i="95"/>
  <c r="F636" i="95"/>
  <c r="E636" i="95"/>
  <c r="AH635" i="95"/>
  <c r="AB635" i="95"/>
  <c r="AC635" i="95" s="1"/>
  <c r="AA635" i="95"/>
  <c r="Z635" i="95"/>
  <c r="Y635" i="95"/>
  <c r="X635" i="95"/>
  <c r="W635" i="95"/>
  <c r="V635" i="95"/>
  <c r="U635" i="95"/>
  <c r="T635" i="95"/>
  <c r="S635" i="95"/>
  <c r="R635" i="95"/>
  <c r="Q635" i="95"/>
  <c r="P635" i="95"/>
  <c r="O635" i="95"/>
  <c r="M635" i="95" s="1"/>
  <c r="N635" i="95"/>
  <c r="L635" i="95"/>
  <c r="J635" i="95" s="1"/>
  <c r="D635" i="95" s="1"/>
  <c r="K635" i="95"/>
  <c r="E635" i="95" s="1"/>
  <c r="I635" i="95"/>
  <c r="H635" i="95"/>
  <c r="G635" i="95"/>
  <c r="F635" i="95"/>
  <c r="C635" i="95"/>
  <c r="B635" i="95"/>
  <c r="AH634" i="95"/>
  <c r="AB634" i="95"/>
  <c r="AC634" i="95" s="1"/>
  <c r="AA634" i="95"/>
  <c r="Z634" i="95"/>
  <c r="Y634" i="95"/>
  <c r="X634" i="95"/>
  <c r="W634" i="95"/>
  <c r="V634" i="95"/>
  <c r="U634" i="95"/>
  <c r="T634" i="95"/>
  <c r="S634" i="95"/>
  <c r="R634" i="95"/>
  <c r="Q634" i="95"/>
  <c r="P634" i="95"/>
  <c r="O634" i="95"/>
  <c r="N634" i="95"/>
  <c r="M634" i="95"/>
  <c r="L634" i="95"/>
  <c r="J634" i="95" s="1"/>
  <c r="K634" i="95"/>
  <c r="I634" i="95"/>
  <c r="C634" i="95" s="1"/>
  <c r="H634" i="95"/>
  <c r="B634" i="95" s="1"/>
  <c r="G634" i="95"/>
  <c r="F634" i="95"/>
  <c r="E634" i="95"/>
  <c r="D634" i="95"/>
  <c r="AH633" i="95"/>
  <c r="AB633" i="95"/>
  <c r="AC633" i="95" s="1"/>
  <c r="AA633" i="95"/>
  <c r="Z633" i="95"/>
  <c r="Y633" i="95"/>
  <c r="X633" i="95"/>
  <c r="W633" i="95"/>
  <c r="V633" i="95"/>
  <c r="U633" i="95"/>
  <c r="T633" i="95"/>
  <c r="S633" i="95"/>
  <c r="R633" i="95"/>
  <c r="Q633" i="95"/>
  <c r="P633" i="95"/>
  <c r="O633" i="95"/>
  <c r="M633" i="95" s="1"/>
  <c r="N633" i="95"/>
  <c r="L633" i="95"/>
  <c r="K633" i="95"/>
  <c r="J633" i="95"/>
  <c r="D633" i="95" s="1"/>
  <c r="I633" i="95"/>
  <c r="H633" i="95"/>
  <c r="G633" i="95"/>
  <c r="F633" i="95"/>
  <c r="C633" i="95"/>
  <c r="B633" i="95"/>
  <c r="AH632" i="95"/>
  <c r="AB632" i="95"/>
  <c r="AC632" i="95" s="1"/>
  <c r="AA632" i="95"/>
  <c r="Z632" i="95"/>
  <c r="Y632" i="95"/>
  <c r="X632" i="95"/>
  <c r="W632" i="95"/>
  <c r="V632" i="95"/>
  <c r="U632" i="95"/>
  <c r="T632" i="95"/>
  <c r="S632" i="95"/>
  <c r="R632" i="95"/>
  <c r="Q632" i="95"/>
  <c r="P632" i="95"/>
  <c r="O632" i="95"/>
  <c r="M632" i="95" s="1"/>
  <c r="N632" i="95"/>
  <c r="L632" i="95"/>
  <c r="J632" i="95" s="1"/>
  <c r="D632" i="95" s="1"/>
  <c r="K632" i="95"/>
  <c r="E632" i="95" s="1"/>
  <c r="I632" i="95"/>
  <c r="C632" i="95" s="1"/>
  <c r="H632" i="95"/>
  <c r="G632" i="95"/>
  <c r="F632" i="95"/>
  <c r="B632" i="95"/>
  <c r="AH631" i="95"/>
  <c r="AB631" i="95"/>
  <c r="AC631" i="95" s="1"/>
  <c r="AA631" i="95"/>
  <c r="Z631" i="95"/>
  <c r="Y631" i="95"/>
  <c r="X631" i="95"/>
  <c r="W631" i="95"/>
  <c r="V631" i="95"/>
  <c r="U631" i="95"/>
  <c r="T631" i="95"/>
  <c r="S631" i="95"/>
  <c r="R631" i="95"/>
  <c r="Q631" i="95"/>
  <c r="P631" i="95"/>
  <c r="O631" i="95"/>
  <c r="M631" i="95" s="1"/>
  <c r="N631" i="95"/>
  <c r="L631" i="95"/>
  <c r="J631" i="95" s="1"/>
  <c r="D631" i="95" s="1"/>
  <c r="K631" i="95"/>
  <c r="E631" i="95" s="1"/>
  <c r="I631" i="95"/>
  <c r="H631" i="95"/>
  <c r="B631" i="95" s="1"/>
  <c r="G631" i="95"/>
  <c r="F631" i="95"/>
  <c r="C631" i="95"/>
  <c r="AH630" i="95"/>
  <c r="AB630" i="95"/>
  <c r="AC630" i="95" s="1"/>
  <c r="AA630" i="95"/>
  <c r="Z630" i="95"/>
  <c r="Y630" i="95"/>
  <c r="X630" i="95"/>
  <c r="W630" i="95"/>
  <c r="V630" i="95"/>
  <c r="U630" i="95"/>
  <c r="T630" i="95"/>
  <c r="S630" i="95"/>
  <c r="R630" i="95"/>
  <c r="Q630" i="95"/>
  <c r="P630" i="95"/>
  <c r="O630" i="95"/>
  <c r="N630" i="95"/>
  <c r="M630" i="95"/>
  <c r="L630" i="95"/>
  <c r="J630" i="95" s="1"/>
  <c r="D630" i="95" s="1"/>
  <c r="K630" i="95"/>
  <c r="I630" i="95"/>
  <c r="C630" i="95" s="1"/>
  <c r="H630" i="95"/>
  <c r="B630" i="95" s="1"/>
  <c r="G630" i="95"/>
  <c r="F630" i="95"/>
  <c r="E630" i="95"/>
  <c r="AH629" i="95"/>
  <c r="AB629" i="95"/>
  <c r="AC629" i="95" s="1"/>
  <c r="AA629" i="95"/>
  <c r="Z629" i="95"/>
  <c r="Y629" i="95"/>
  <c r="X629" i="95"/>
  <c r="W629" i="95"/>
  <c r="V629" i="95"/>
  <c r="U629" i="95"/>
  <c r="T629" i="95"/>
  <c r="S629" i="95"/>
  <c r="R629" i="95"/>
  <c r="Q629" i="95"/>
  <c r="P629" i="95"/>
  <c r="O629" i="95"/>
  <c r="M629" i="95" s="1"/>
  <c r="N629" i="95"/>
  <c r="L629" i="95"/>
  <c r="J629" i="95" s="1"/>
  <c r="D629" i="95" s="1"/>
  <c r="K629" i="95"/>
  <c r="E629" i="95" s="1"/>
  <c r="I629" i="95"/>
  <c r="H629" i="95"/>
  <c r="G629" i="95"/>
  <c r="F629" i="95"/>
  <c r="C629" i="95"/>
  <c r="B629" i="95"/>
  <c r="AH628" i="95"/>
  <c r="AB628" i="95"/>
  <c r="AC628" i="95" s="1"/>
  <c r="AA628" i="95"/>
  <c r="Z628" i="95"/>
  <c r="Y628" i="95"/>
  <c r="X628" i="95"/>
  <c r="W628" i="95"/>
  <c r="V628" i="95"/>
  <c r="U628" i="95"/>
  <c r="T628" i="95"/>
  <c r="S628" i="95"/>
  <c r="R628" i="95"/>
  <c r="Q628" i="95"/>
  <c r="P628" i="95"/>
  <c r="O628" i="95"/>
  <c r="N628" i="95"/>
  <c r="M628" i="95"/>
  <c r="L628" i="95"/>
  <c r="J628" i="95" s="1"/>
  <c r="D628" i="95" s="1"/>
  <c r="K628" i="95"/>
  <c r="I628" i="95"/>
  <c r="C628" i="95" s="1"/>
  <c r="H628" i="95"/>
  <c r="B628" i="95" s="1"/>
  <c r="G628" i="95"/>
  <c r="F628" i="95"/>
  <c r="E628" i="95"/>
  <c r="AH627" i="95"/>
  <c r="AB627" i="95"/>
  <c r="AC627" i="95" s="1"/>
  <c r="AA627" i="95"/>
  <c r="Z627" i="95"/>
  <c r="Y627" i="95"/>
  <c r="X627" i="95"/>
  <c r="W627" i="95"/>
  <c r="V627" i="95"/>
  <c r="U627" i="95"/>
  <c r="T627" i="95"/>
  <c r="S627" i="95"/>
  <c r="R627" i="95"/>
  <c r="Q627" i="95"/>
  <c r="P627" i="95"/>
  <c r="O627" i="95"/>
  <c r="M627" i="95" s="1"/>
  <c r="N627" i="95"/>
  <c r="L627" i="95"/>
  <c r="J627" i="95" s="1"/>
  <c r="D627" i="95" s="1"/>
  <c r="K627" i="95"/>
  <c r="I627" i="95"/>
  <c r="H627" i="95"/>
  <c r="G627" i="95"/>
  <c r="F627" i="95"/>
  <c r="C627" i="95"/>
  <c r="B627" i="95"/>
  <c r="AH626" i="95"/>
  <c r="AB626" i="95"/>
  <c r="AC626" i="95" s="1"/>
  <c r="AA626" i="95"/>
  <c r="Z626" i="95"/>
  <c r="Y626" i="95"/>
  <c r="X626" i="95"/>
  <c r="W626" i="95"/>
  <c r="V626" i="95"/>
  <c r="U626" i="95"/>
  <c r="T626" i="95"/>
  <c r="S626" i="95"/>
  <c r="R626" i="95"/>
  <c r="Q626" i="95"/>
  <c r="P626" i="95"/>
  <c r="O626" i="95"/>
  <c r="M626" i="95" s="1"/>
  <c r="N626" i="95"/>
  <c r="L626" i="95"/>
  <c r="K626" i="95"/>
  <c r="J626" i="95"/>
  <c r="D626" i="95" s="1"/>
  <c r="I626" i="95"/>
  <c r="C626" i="95" s="1"/>
  <c r="H626" i="95"/>
  <c r="G626" i="95"/>
  <c r="F626" i="95"/>
  <c r="B626" i="95"/>
  <c r="AH625" i="95"/>
  <c r="AB625" i="95"/>
  <c r="AC625" i="95" s="1"/>
  <c r="AA625" i="95"/>
  <c r="Z625" i="95"/>
  <c r="Y625" i="95"/>
  <c r="X625" i="95"/>
  <c r="W625" i="95"/>
  <c r="V625" i="95"/>
  <c r="U625" i="95"/>
  <c r="T625" i="95"/>
  <c r="S625" i="95"/>
  <c r="R625" i="95"/>
  <c r="Q625" i="95"/>
  <c r="P625" i="95"/>
  <c r="O625" i="95"/>
  <c r="M625" i="95" s="1"/>
  <c r="N625" i="95"/>
  <c r="L625" i="95"/>
  <c r="J625" i="95" s="1"/>
  <c r="D625" i="95" s="1"/>
  <c r="K625" i="95"/>
  <c r="E625" i="95" s="1"/>
  <c r="I625" i="95"/>
  <c r="H625" i="95"/>
  <c r="B625" i="95" s="1"/>
  <c r="G625" i="95"/>
  <c r="F625" i="95"/>
  <c r="C625" i="95"/>
  <c r="AH624" i="95"/>
  <c r="AB624" i="95"/>
  <c r="AC624" i="95" s="1"/>
  <c r="AA624" i="95"/>
  <c r="Z624" i="95"/>
  <c r="Y624" i="95"/>
  <c r="X624" i="95"/>
  <c r="W624" i="95"/>
  <c r="V624" i="95"/>
  <c r="U624" i="95"/>
  <c r="T624" i="95"/>
  <c r="S624" i="95"/>
  <c r="R624" i="95"/>
  <c r="Q624" i="95"/>
  <c r="P624" i="95"/>
  <c r="O624" i="95"/>
  <c r="M624" i="95" s="1"/>
  <c r="N624" i="95"/>
  <c r="L624" i="95"/>
  <c r="J624" i="95" s="1"/>
  <c r="D624" i="95" s="1"/>
  <c r="K624" i="95"/>
  <c r="E624" i="95" s="1"/>
  <c r="I624" i="95"/>
  <c r="C624" i="95" s="1"/>
  <c r="H624" i="95"/>
  <c r="B624" i="95" s="1"/>
  <c r="A624" i="95" s="1"/>
  <c r="G624" i="95"/>
  <c r="F624" i="95"/>
  <c r="AH623" i="95"/>
  <c r="AB623" i="95"/>
  <c r="AC623" i="95" s="1"/>
  <c r="AA623" i="95"/>
  <c r="Z623" i="95"/>
  <c r="Y623" i="95"/>
  <c r="X623" i="95"/>
  <c r="W623" i="95"/>
  <c r="V623" i="95"/>
  <c r="U623" i="95"/>
  <c r="T623" i="95"/>
  <c r="S623" i="95"/>
  <c r="R623" i="95"/>
  <c r="Q623" i="95"/>
  <c r="P623" i="95"/>
  <c r="O623" i="95"/>
  <c r="M623" i="95" s="1"/>
  <c r="N623" i="95"/>
  <c r="L623" i="95"/>
  <c r="J623" i="95" s="1"/>
  <c r="D623" i="95" s="1"/>
  <c r="K623" i="95"/>
  <c r="I623" i="95"/>
  <c r="H623" i="95"/>
  <c r="B623" i="95" s="1"/>
  <c r="G623" i="95"/>
  <c r="F623" i="95"/>
  <c r="C623" i="95"/>
  <c r="AH622" i="95"/>
  <c r="AB622" i="95"/>
  <c r="AC622" i="95" s="1"/>
  <c r="AA622" i="95"/>
  <c r="Z622" i="95"/>
  <c r="Y622" i="95"/>
  <c r="X622" i="95"/>
  <c r="W622" i="95"/>
  <c r="V622" i="95"/>
  <c r="U622" i="95"/>
  <c r="T622" i="95"/>
  <c r="S622" i="95"/>
  <c r="R622" i="95"/>
  <c r="Q622" i="95"/>
  <c r="P622" i="95"/>
  <c r="O622" i="95"/>
  <c r="N622" i="95"/>
  <c r="M622" i="95"/>
  <c r="L622" i="95"/>
  <c r="J622" i="95" s="1"/>
  <c r="K622" i="95"/>
  <c r="I622" i="95"/>
  <c r="C622" i="95" s="1"/>
  <c r="H622" i="95"/>
  <c r="B622" i="95" s="1"/>
  <c r="G622" i="95"/>
  <c r="F622" i="95"/>
  <c r="E622" i="95"/>
  <c r="D622" i="95"/>
  <c r="AH621" i="95"/>
  <c r="AB621" i="95"/>
  <c r="AC621" i="95" s="1"/>
  <c r="AA621" i="95"/>
  <c r="Z621" i="95"/>
  <c r="Y621" i="95"/>
  <c r="X621" i="95"/>
  <c r="W621" i="95"/>
  <c r="V621" i="95"/>
  <c r="U621" i="95"/>
  <c r="T621" i="95"/>
  <c r="S621" i="95"/>
  <c r="R621" i="95"/>
  <c r="Q621" i="95"/>
  <c r="P621" i="95"/>
  <c r="O621" i="95"/>
  <c r="M621" i="95" s="1"/>
  <c r="N621" i="95"/>
  <c r="L621" i="95"/>
  <c r="J621" i="95" s="1"/>
  <c r="D621" i="95" s="1"/>
  <c r="K621" i="95"/>
  <c r="I621" i="95"/>
  <c r="H621" i="95"/>
  <c r="G621" i="95"/>
  <c r="F621" i="95"/>
  <c r="C621" i="95"/>
  <c r="B621" i="95"/>
  <c r="AH620" i="95"/>
  <c r="AB620" i="95"/>
  <c r="AC620" i="95" s="1"/>
  <c r="AA620" i="95"/>
  <c r="Z620" i="95"/>
  <c r="Y620" i="95"/>
  <c r="X620" i="95"/>
  <c r="W620" i="95"/>
  <c r="V620" i="95"/>
  <c r="U620" i="95"/>
  <c r="T620" i="95"/>
  <c r="S620" i="95"/>
  <c r="R620" i="95"/>
  <c r="Q620" i="95"/>
  <c r="P620" i="95"/>
  <c r="O620" i="95"/>
  <c r="M620" i="95" s="1"/>
  <c r="N620" i="95"/>
  <c r="L620" i="95"/>
  <c r="J620" i="95" s="1"/>
  <c r="D620" i="95" s="1"/>
  <c r="K620" i="95"/>
  <c r="I620" i="95"/>
  <c r="C620" i="95" s="1"/>
  <c r="H620" i="95"/>
  <c r="B620" i="95" s="1"/>
  <c r="G620" i="95"/>
  <c r="F620" i="95"/>
  <c r="AH619" i="95"/>
  <c r="AB619" i="95"/>
  <c r="AC619" i="95" s="1"/>
  <c r="AA619" i="95"/>
  <c r="Z619" i="95"/>
  <c r="Y619" i="95"/>
  <c r="X619" i="95"/>
  <c r="W619" i="95"/>
  <c r="V619" i="95"/>
  <c r="U619" i="95"/>
  <c r="T619" i="95"/>
  <c r="S619" i="95"/>
  <c r="R619" i="95"/>
  <c r="Q619" i="95"/>
  <c r="P619" i="95"/>
  <c r="O619" i="95"/>
  <c r="M619" i="95" s="1"/>
  <c r="N619" i="95"/>
  <c r="L619" i="95"/>
  <c r="K619" i="95"/>
  <c r="J619" i="95"/>
  <c r="D619" i="95" s="1"/>
  <c r="I619" i="95"/>
  <c r="H619" i="95"/>
  <c r="G619" i="95"/>
  <c r="F619" i="95"/>
  <c r="C619" i="95"/>
  <c r="B619" i="95"/>
  <c r="AH618" i="95"/>
  <c r="AB618" i="95"/>
  <c r="AC618" i="95" s="1"/>
  <c r="AA618" i="95"/>
  <c r="Z618" i="95"/>
  <c r="Y618" i="95"/>
  <c r="X618" i="95"/>
  <c r="W618" i="95"/>
  <c r="V618" i="95"/>
  <c r="U618" i="95"/>
  <c r="T618" i="95"/>
  <c r="S618" i="95"/>
  <c r="R618" i="95"/>
  <c r="Q618" i="95"/>
  <c r="P618" i="95"/>
  <c r="O618" i="95"/>
  <c r="N618" i="95"/>
  <c r="M618" i="95"/>
  <c r="L618" i="95"/>
  <c r="J618" i="95" s="1"/>
  <c r="D618" i="95" s="1"/>
  <c r="K618" i="95"/>
  <c r="I618" i="95"/>
  <c r="C618" i="95" s="1"/>
  <c r="H618" i="95"/>
  <c r="G618" i="95"/>
  <c r="F618" i="95"/>
  <c r="E618" i="95"/>
  <c r="B618" i="95"/>
  <c r="AH617" i="95"/>
  <c r="AB617" i="95"/>
  <c r="AC617" i="95" s="1"/>
  <c r="AA617" i="95"/>
  <c r="Z617" i="95"/>
  <c r="Y617" i="95"/>
  <c r="X617" i="95"/>
  <c r="W617" i="95"/>
  <c r="V617" i="95"/>
  <c r="U617" i="95"/>
  <c r="T617" i="95"/>
  <c r="S617" i="95"/>
  <c r="R617" i="95"/>
  <c r="Q617" i="95"/>
  <c r="P617" i="95"/>
  <c r="O617" i="95"/>
  <c r="M617" i="95" s="1"/>
  <c r="N617" i="95"/>
  <c r="L617" i="95"/>
  <c r="J617" i="95" s="1"/>
  <c r="D617" i="95" s="1"/>
  <c r="K617" i="95"/>
  <c r="I617" i="95"/>
  <c r="H617" i="95"/>
  <c r="B617" i="95" s="1"/>
  <c r="G617" i="95"/>
  <c r="F617" i="95"/>
  <c r="C617" i="95"/>
  <c r="AH616" i="95"/>
  <c r="AB616" i="95"/>
  <c r="AC616" i="95" s="1"/>
  <c r="AA616" i="95"/>
  <c r="Z616" i="95"/>
  <c r="Y616" i="95"/>
  <c r="X616" i="95"/>
  <c r="W616" i="95"/>
  <c r="V616" i="95"/>
  <c r="U616" i="95"/>
  <c r="T616" i="95"/>
  <c r="S616" i="95"/>
  <c r="R616" i="95"/>
  <c r="Q616" i="95"/>
  <c r="P616" i="95"/>
  <c r="O616" i="95"/>
  <c r="N616" i="95"/>
  <c r="M616" i="95"/>
  <c r="L616" i="95"/>
  <c r="K616" i="95"/>
  <c r="J616" i="95"/>
  <c r="D616" i="95" s="1"/>
  <c r="I616" i="95"/>
  <c r="C616" i="95" s="1"/>
  <c r="H616" i="95"/>
  <c r="G616" i="95"/>
  <c r="F616" i="95"/>
  <c r="E616" i="95"/>
  <c r="B616" i="95"/>
  <c r="AH615" i="95"/>
  <c r="AB615" i="95"/>
  <c r="AC615" i="95" s="1"/>
  <c r="AA615" i="95"/>
  <c r="Z615" i="95"/>
  <c r="Y615" i="95"/>
  <c r="X615" i="95"/>
  <c r="W615" i="95"/>
  <c r="V615" i="95"/>
  <c r="U615" i="95"/>
  <c r="T615" i="95"/>
  <c r="S615" i="95"/>
  <c r="R615" i="95"/>
  <c r="Q615" i="95"/>
  <c r="P615" i="95"/>
  <c r="O615" i="95"/>
  <c r="M615" i="95" s="1"/>
  <c r="N615" i="95"/>
  <c r="L615" i="95"/>
  <c r="J615" i="95" s="1"/>
  <c r="K615" i="95"/>
  <c r="E615" i="95" s="1"/>
  <c r="I615" i="95"/>
  <c r="C615" i="95" s="1"/>
  <c r="H615" i="95"/>
  <c r="B615" i="95" s="1"/>
  <c r="G615" i="95"/>
  <c r="F615" i="95"/>
  <c r="D615" i="95"/>
  <c r="AH614" i="95"/>
  <c r="AB614" i="95"/>
  <c r="AC614" i="95" s="1"/>
  <c r="AA614" i="95"/>
  <c r="Z614" i="95"/>
  <c r="Y614" i="95"/>
  <c r="X614" i="95"/>
  <c r="W614" i="95"/>
  <c r="V614" i="95"/>
  <c r="U614" i="95"/>
  <c r="T614" i="95"/>
  <c r="S614" i="95"/>
  <c r="R614" i="95"/>
  <c r="Q614" i="95"/>
  <c r="P614" i="95"/>
  <c r="O614" i="95"/>
  <c r="M614" i="95" s="1"/>
  <c r="N614" i="95"/>
  <c r="L614" i="95"/>
  <c r="J614" i="95" s="1"/>
  <c r="D614" i="95" s="1"/>
  <c r="K614" i="95"/>
  <c r="I614" i="95"/>
  <c r="C614" i="95" s="1"/>
  <c r="H614" i="95"/>
  <c r="B614" i="95" s="1"/>
  <c r="G614" i="95"/>
  <c r="F614" i="95"/>
  <c r="AH613" i="95"/>
  <c r="AB613" i="95"/>
  <c r="AC613" i="95" s="1"/>
  <c r="AA613" i="95"/>
  <c r="Z613" i="95"/>
  <c r="Y613" i="95"/>
  <c r="X613" i="95"/>
  <c r="W613" i="95"/>
  <c r="V613" i="95"/>
  <c r="U613" i="95"/>
  <c r="T613" i="95"/>
  <c r="S613" i="95"/>
  <c r="R613" i="95"/>
  <c r="Q613" i="95"/>
  <c r="P613" i="95"/>
  <c r="O613" i="95"/>
  <c r="M613" i="95" s="1"/>
  <c r="N613" i="95"/>
  <c r="L613" i="95"/>
  <c r="K613" i="95"/>
  <c r="J613" i="95"/>
  <c r="D613" i="95" s="1"/>
  <c r="I613" i="95"/>
  <c r="H613" i="95"/>
  <c r="G613" i="95"/>
  <c r="F613" i="95"/>
  <c r="C613" i="95"/>
  <c r="B613" i="95"/>
  <c r="AH612" i="95"/>
  <c r="AB612" i="95"/>
  <c r="AC612" i="95" s="1"/>
  <c r="AA612" i="95"/>
  <c r="Z612" i="95"/>
  <c r="Y612" i="95"/>
  <c r="X612" i="95"/>
  <c r="W612" i="95"/>
  <c r="V612" i="95"/>
  <c r="U612" i="95"/>
  <c r="T612" i="95"/>
  <c r="S612" i="95"/>
  <c r="R612" i="95"/>
  <c r="Q612" i="95"/>
  <c r="P612" i="95"/>
  <c r="O612" i="95"/>
  <c r="N612" i="95"/>
  <c r="M612" i="95"/>
  <c r="L612" i="95"/>
  <c r="J612" i="95" s="1"/>
  <c r="D612" i="95" s="1"/>
  <c r="K612" i="95"/>
  <c r="E612" i="95" s="1"/>
  <c r="I612" i="95"/>
  <c r="C612" i="95" s="1"/>
  <c r="H612" i="95"/>
  <c r="B612" i="95" s="1"/>
  <c r="G612" i="95"/>
  <c r="F612" i="95"/>
  <c r="AH611" i="95"/>
  <c r="AB611" i="95"/>
  <c r="AC611" i="95" s="1"/>
  <c r="AA611" i="95"/>
  <c r="Z611" i="95"/>
  <c r="Y611" i="95"/>
  <c r="X611" i="95"/>
  <c r="W611" i="95"/>
  <c r="V611" i="95"/>
  <c r="U611" i="95"/>
  <c r="T611" i="95"/>
  <c r="S611" i="95"/>
  <c r="R611" i="95"/>
  <c r="Q611" i="95"/>
  <c r="P611" i="95"/>
  <c r="O611" i="95"/>
  <c r="M611" i="95" s="1"/>
  <c r="N611" i="95"/>
  <c r="L611" i="95"/>
  <c r="J611" i="95" s="1"/>
  <c r="D611" i="95" s="1"/>
  <c r="K611" i="95"/>
  <c r="E611" i="95" s="1"/>
  <c r="I611" i="95"/>
  <c r="H611" i="95"/>
  <c r="G611" i="95"/>
  <c r="F611" i="95"/>
  <c r="C611" i="95"/>
  <c r="B611" i="95"/>
  <c r="AH610" i="95"/>
  <c r="AB610" i="95"/>
  <c r="AC610" i="95" s="1"/>
  <c r="AA610" i="95"/>
  <c r="Z610" i="95"/>
  <c r="Y610" i="95"/>
  <c r="X610" i="95"/>
  <c r="W610" i="95"/>
  <c r="V610" i="95"/>
  <c r="U610" i="95"/>
  <c r="T610" i="95"/>
  <c r="S610" i="95"/>
  <c r="R610" i="95"/>
  <c r="Q610" i="95"/>
  <c r="P610" i="95"/>
  <c r="O610" i="95"/>
  <c r="N610" i="95"/>
  <c r="M610" i="95"/>
  <c r="L610" i="95"/>
  <c r="K610" i="95"/>
  <c r="J610" i="95"/>
  <c r="D610" i="95" s="1"/>
  <c r="I610" i="95"/>
  <c r="C610" i="95" s="1"/>
  <c r="H610" i="95"/>
  <c r="G610" i="95"/>
  <c r="F610" i="95"/>
  <c r="E610" i="95"/>
  <c r="B610" i="95"/>
  <c r="AH609" i="95"/>
  <c r="AB609" i="95"/>
  <c r="AC609" i="95" s="1"/>
  <c r="AA609" i="95"/>
  <c r="Z609" i="95"/>
  <c r="Y609" i="95"/>
  <c r="X609" i="95"/>
  <c r="W609" i="95"/>
  <c r="V609" i="95"/>
  <c r="U609" i="95"/>
  <c r="T609" i="95"/>
  <c r="S609" i="95"/>
  <c r="R609" i="95"/>
  <c r="Q609" i="95"/>
  <c r="P609" i="95"/>
  <c r="O609" i="95"/>
  <c r="M609" i="95" s="1"/>
  <c r="N609" i="95"/>
  <c r="L609" i="95"/>
  <c r="J609" i="95" s="1"/>
  <c r="D609" i="95" s="1"/>
  <c r="K609" i="95"/>
  <c r="I609" i="95"/>
  <c r="H609" i="95"/>
  <c r="B609" i="95" s="1"/>
  <c r="G609" i="95"/>
  <c r="F609" i="95"/>
  <c r="C609" i="95"/>
  <c r="AH608" i="95"/>
  <c r="AB608" i="95"/>
  <c r="AC608" i="95" s="1"/>
  <c r="AA608" i="95"/>
  <c r="Z608" i="95"/>
  <c r="Y608" i="95"/>
  <c r="X608" i="95"/>
  <c r="W608" i="95"/>
  <c r="V608" i="95"/>
  <c r="U608" i="95"/>
  <c r="T608" i="95"/>
  <c r="S608" i="95"/>
  <c r="R608" i="95"/>
  <c r="Q608" i="95"/>
  <c r="P608" i="95"/>
  <c r="O608" i="95"/>
  <c r="M608" i="95" s="1"/>
  <c r="N608" i="95"/>
  <c r="L608" i="95"/>
  <c r="K608" i="95"/>
  <c r="E608" i="95" s="1"/>
  <c r="J608" i="95"/>
  <c r="D608" i="95" s="1"/>
  <c r="I608" i="95"/>
  <c r="C608" i="95" s="1"/>
  <c r="H608" i="95"/>
  <c r="G608" i="95"/>
  <c r="F608" i="95"/>
  <c r="B608" i="95"/>
  <c r="AH607" i="95"/>
  <c r="AB607" i="95"/>
  <c r="AC607" i="95" s="1"/>
  <c r="AA607" i="95"/>
  <c r="Z607" i="95"/>
  <c r="Y607" i="95"/>
  <c r="X607" i="95"/>
  <c r="W607" i="95"/>
  <c r="V607" i="95"/>
  <c r="U607" i="95"/>
  <c r="T607" i="95"/>
  <c r="S607" i="95"/>
  <c r="R607" i="95"/>
  <c r="Q607" i="95"/>
  <c r="P607" i="95"/>
  <c r="O607" i="95"/>
  <c r="M607" i="95" s="1"/>
  <c r="N607" i="95"/>
  <c r="L607" i="95"/>
  <c r="J607" i="95" s="1"/>
  <c r="D607" i="95" s="1"/>
  <c r="K607" i="95"/>
  <c r="E607" i="95" s="1"/>
  <c r="I607" i="95"/>
  <c r="H607" i="95"/>
  <c r="B607" i="95" s="1"/>
  <c r="G607" i="95"/>
  <c r="F607" i="95"/>
  <c r="C607" i="95"/>
  <c r="AH606" i="95"/>
  <c r="AB606" i="95"/>
  <c r="AC606" i="95" s="1"/>
  <c r="AA606" i="95"/>
  <c r="Z606" i="95"/>
  <c r="Y606" i="95"/>
  <c r="X606" i="95"/>
  <c r="W606" i="95"/>
  <c r="V606" i="95"/>
  <c r="U606" i="95"/>
  <c r="T606" i="95"/>
  <c r="S606" i="95"/>
  <c r="R606" i="95"/>
  <c r="Q606" i="95"/>
  <c r="P606" i="95"/>
  <c r="O606" i="95"/>
  <c r="M606" i="95" s="1"/>
  <c r="N606" i="95"/>
  <c r="L606" i="95"/>
  <c r="J606" i="95" s="1"/>
  <c r="D606" i="95" s="1"/>
  <c r="K606" i="95"/>
  <c r="I606" i="95"/>
  <c r="C606" i="95" s="1"/>
  <c r="H606" i="95"/>
  <c r="B606" i="95" s="1"/>
  <c r="G606" i="95"/>
  <c r="F606" i="95"/>
  <c r="AH605" i="95"/>
  <c r="AB605" i="95"/>
  <c r="AC605" i="95" s="1"/>
  <c r="AA605" i="95"/>
  <c r="Z605" i="95"/>
  <c r="Y605" i="95"/>
  <c r="X605" i="95"/>
  <c r="W605" i="95"/>
  <c r="V605" i="95"/>
  <c r="U605" i="95"/>
  <c r="T605" i="95"/>
  <c r="S605" i="95"/>
  <c r="R605" i="95"/>
  <c r="Q605" i="95"/>
  <c r="P605" i="95"/>
  <c r="O605" i="95"/>
  <c r="M605" i="95" s="1"/>
  <c r="N605" i="95"/>
  <c r="L605" i="95"/>
  <c r="J605" i="95" s="1"/>
  <c r="D605" i="95" s="1"/>
  <c r="K605" i="95"/>
  <c r="E605" i="95" s="1"/>
  <c r="I605" i="95"/>
  <c r="H605" i="95"/>
  <c r="G605" i="95"/>
  <c r="F605" i="95"/>
  <c r="C605" i="95"/>
  <c r="B605" i="95"/>
  <c r="AH604" i="95"/>
  <c r="AB604" i="95"/>
  <c r="AC604" i="95" s="1"/>
  <c r="AA604" i="95"/>
  <c r="Z604" i="95"/>
  <c r="Y604" i="95"/>
  <c r="X604" i="95"/>
  <c r="W604" i="95"/>
  <c r="V604" i="95"/>
  <c r="U604" i="95"/>
  <c r="T604" i="95"/>
  <c r="S604" i="95"/>
  <c r="R604" i="95"/>
  <c r="Q604" i="95"/>
  <c r="P604" i="95"/>
  <c r="O604" i="95"/>
  <c r="N604" i="95"/>
  <c r="M604" i="95"/>
  <c r="L604" i="95"/>
  <c r="J604" i="95" s="1"/>
  <c r="D604" i="95" s="1"/>
  <c r="K604" i="95"/>
  <c r="I604" i="95"/>
  <c r="C604" i="95" s="1"/>
  <c r="H604" i="95"/>
  <c r="B604" i="95" s="1"/>
  <c r="G604" i="95"/>
  <c r="F604" i="95"/>
  <c r="E604" i="95"/>
  <c r="AH603" i="95"/>
  <c r="AB603" i="95"/>
  <c r="AC603" i="95" s="1"/>
  <c r="AA603" i="95"/>
  <c r="Z603" i="95"/>
  <c r="Y603" i="95"/>
  <c r="X603" i="95"/>
  <c r="W603" i="95"/>
  <c r="V603" i="95"/>
  <c r="U603" i="95"/>
  <c r="T603" i="95"/>
  <c r="S603" i="95"/>
  <c r="R603" i="95"/>
  <c r="Q603" i="95"/>
  <c r="P603" i="95"/>
  <c r="O603" i="95"/>
  <c r="M603" i="95" s="1"/>
  <c r="N603" i="95"/>
  <c r="L603" i="95"/>
  <c r="J603" i="95" s="1"/>
  <c r="D603" i="95" s="1"/>
  <c r="K603" i="95"/>
  <c r="E603" i="95" s="1"/>
  <c r="I603" i="95"/>
  <c r="H603" i="95"/>
  <c r="G603" i="95"/>
  <c r="F603" i="95"/>
  <c r="C603" i="95"/>
  <c r="B603" i="95"/>
  <c r="AH602" i="95"/>
  <c r="AB602" i="95"/>
  <c r="AC602" i="95" s="1"/>
  <c r="AA602" i="95"/>
  <c r="Z602" i="95"/>
  <c r="Y602" i="95"/>
  <c r="X602" i="95"/>
  <c r="W602" i="95"/>
  <c r="V602" i="95"/>
  <c r="U602" i="95"/>
  <c r="T602" i="95"/>
  <c r="S602" i="95"/>
  <c r="R602" i="95"/>
  <c r="Q602" i="95"/>
  <c r="P602" i="95"/>
  <c r="O602" i="95"/>
  <c r="M602" i="95" s="1"/>
  <c r="N602" i="95"/>
  <c r="L602" i="95"/>
  <c r="K602" i="95"/>
  <c r="J602" i="95"/>
  <c r="D602" i="95" s="1"/>
  <c r="I602" i="95"/>
  <c r="C602" i="95" s="1"/>
  <c r="H602" i="95"/>
  <c r="G602" i="95"/>
  <c r="F602" i="95"/>
  <c r="B602" i="95"/>
  <c r="AH601" i="95"/>
  <c r="AB601" i="95"/>
  <c r="AC601" i="95" s="1"/>
  <c r="AA601" i="95"/>
  <c r="Z601" i="95"/>
  <c r="Y601" i="95"/>
  <c r="X601" i="95"/>
  <c r="W601" i="95"/>
  <c r="V601" i="95"/>
  <c r="U601" i="95"/>
  <c r="T601" i="95"/>
  <c r="S601" i="95"/>
  <c r="R601" i="95"/>
  <c r="Q601" i="95"/>
  <c r="P601" i="95"/>
  <c r="O601" i="95"/>
  <c r="M601" i="95" s="1"/>
  <c r="N601" i="95"/>
  <c r="L601" i="95"/>
  <c r="J601" i="95" s="1"/>
  <c r="D601" i="95" s="1"/>
  <c r="K601" i="95"/>
  <c r="E601" i="95" s="1"/>
  <c r="I601" i="95"/>
  <c r="H601" i="95"/>
  <c r="B601" i="95" s="1"/>
  <c r="G601" i="95"/>
  <c r="F601" i="95"/>
  <c r="C601" i="95"/>
  <c r="AH600" i="95"/>
  <c r="AB600" i="95"/>
  <c r="AC600" i="95" s="1"/>
  <c r="AA600" i="95"/>
  <c r="Z600" i="95"/>
  <c r="Y600" i="95"/>
  <c r="X600" i="95"/>
  <c r="W600" i="95"/>
  <c r="V600" i="95"/>
  <c r="U600" i="95"/>
  <c r="T600" i="95"/>
  <c r="S600" i="95"/>
  <c r="R600" i="95"/>
  <c r="Q600" i="95"/>
  <c r="P600" i="95"/>
  <c r="O600" i="95"/>
  <c r="M600" i="95" s="1"/>
  <c r="N600" i="95"/>
  <c r="L600" i="95"/>
  <c r="J600" i="95" s="1"/>
  <c r="D600" i="95" s="1"/>
  <c r="K600" i="95"/>
  <c r="E600" i="95" s="1"/>
  <c r="I600" i="95"/>
  <c r="C600" i="95" s="1"/>
  <c r="H600" i="95"/>
  <c r="B600" i="95" s="1"/>
  <c r="G600" i="95"/>
  <c r="F600" i="95"/>
  <c r="AH599" i="95"/>
  <c r="AB599" i="95"/>
  <c r="AC599" i="95" s="1"/>
  <c r="AA599" i="95"/>
  <c r="Z599" i="95"/>
  <c r="Y599" i="95"/>
  <c r="X599" i="95"/>
  <c r="W599" i="95"/>
  <c r="V599" i="95"/>
  <c r="U599" i="95"/>
  <c r="T599" i="95"/>
  <c r="S599" i="95"/>
  <c r="R599" i="95"/>
  <c r="Q599" i="95"/>
  <c r="P599" i="95"/>
  <c r="O599" i="95"/>
  <c r="M599" i="95" s="1"/>
  <c r="N599" i="95"/>
  <c r="L599" i="95"/>
  <c r="J599" i="95" s="1"/>
  <c r="D599" i="95" s="1"/>
  <c r="K599" i="95"/>
  <c r="E599" i="95" s="1"/>
  <c r="I599" i="95"/>
  <c r="H599" i="95"/>
  <c r="B599" i="95" s="1"/>
  <c r="G599" i="95"/>
  <c r="F599" i="95"/>
  <c r="C599" i="95"/>
  <c r="AH598" i="95"/>
  <c r="AB598" i="95"/>
  <c r="AC598" i="95" s="1"/>
  <c r="AA598" i="95"/>
  <c r="Z598" i="95"/>
  <c r="Y598" i="95"/>
  <c r="X598" i="95"/>
  <c r="W598" i="95"/>
  <c r="V598" i="95"/>
  <c r="U598" i="95"/>
  <c r="T598" i="95"/>
  <c r="S598" i="95"/>
  <c r="R598" i="95"/>
  <c r="Q598" i="95"/>
  <c r="P598" i="95"/>
  <c r="O598" i="95"/>
  <c r="N598" i="95"/>
  <c r="M598" i="95"/>
  <c r="L598" i="95"/>
  <c r="J598" i="95" s="1"/>
  <c r="K598" i="95"/>
  <c r="I598" i="95"/>
  <c r="C598" i="95" s="1"/>
  <c r="H598" i="95"/>
  <c r="B598" i="95" s="1"/>
  <c r="G598" i="95"/>
  <c r="F598" i="95"/>
  <c r="E598" i="95"/>
  <c r="D598" i="95"/>
  <c r="AH597" i="95"/>
  <c r="AB597" i="95"/>
  <c r="AC597" i="95" s="1"/>
  <c r="AA597" i="95"/>
  <c r="Z597" i="95"/>
  <c r="Y597" i="95"/>
  <c r="X597" i="95"/>
  <c r="W597" i="95"/>
  <c r="V597" i="95"/>
  <c r="U597" i="95"/>
  <c r="T597" i="95"/>
  <c r="S597" i="95"/>
  <c r="R597" i="95"/>
  <c r="Q597" i="95"/>
  <c r="P597" i="95"/>
  <c r="O597" i="95"/>
  <c r="M597" i="95" s="1"/>
  <c r="N597" i="95"/>
  <c r="L597" i="95"/>
  <c r="K597" i="95"/>
  <c r="J597" i="95"/>
  <c r="D597" i="95" s="1"/>
  <c r="I597" i="95"/>
  <c r="H597" i="95"/>
  <c r="G597" i="95"/>
  <c r="F597" i="95"/>
  <c r="C597" i="95"/>
  <c r="B597" i="95"/>
  <c r="AH596" i="95"/>
  <c r="AB596" i="95"/>
  <c r="AC596" i="95" s="1"/>
  <c r="AA596" i="95"/>
  <c r="Z596" i="95"/>
  <c r="Y596" i="95"/>
  <c r="X596" i="95"/>
  <c r="W596" i="95"/>
  <c r="V596" i="95"/>
  <c r="U596" i="95"/>
  <c r="T596" i="95"/>
  <c r="S596" i="95"/>
  <c r="R596" i="95"/>
  <c r="Q596" i="95"/>
  <c r="P596" i="95"/>
  <c r="O596" i="95"/>
  <c r="M596" i="95" s="1"/>
  <c r="N596" i="95"/>
  <c r="L596" i="95"/>
  <c r="J596" i="95" s="1"/>
  <c r="D596" i="95" s="1"/>
  <c r="K596" i="95"/>
  <c r="E596" i="95" s="1"/>
  <c r="I596" i="95"/>
  <c r="C596" i="95" s="1"/>
  <c r="H596" i="95"/>
  <c r="B596" i="95" s="1"/>
  <c r="G596" i="95"/>
  <c r="F596" i="95"/>
  <c r="AH595" i="95"/>
  <c r="AB595" i="95"/>
  <c r="AC595" i="95" s="1"/>
  <c r="AA595" i="95"/>
  <c r="Z595" i="95"/>
  <c r="Y595" i="95"/>
  <c r="X595" i="95"/>
  <c r="W595" i="95"/>
  <c r="V595" i="95"/>
  <c r="U595" i="95"/>
  <c r="T595" i="95"/>
  <c r="S595" i="95"/>
  <c r="R595" i="95"/>
  <c r="Q595" i="95"/>
  <c r="P595" i="95"/>
  <c r="O595" i="95"/>
  <c r="M595" i="95" s="1"/>
  <c r="N595" i="95"/>
  <c r="L595" i="95"/>
  <c r="K595" i="95"/>
  <c r="E595" i="95" s="1"/>
  <c r="J595" i="95"/>
  <c r="D595" i="95" s="1"/>
  <c r="I595" i="95"/>
  <c r="H595" i="95"/>
  <c r="G595" i="95"/>
  <c r="F595" i="95"/>
  <c r="C595" i="95"/>
  <c r="B595" i="95"/>
  <c r="AH594" i="95"/>
  <c r="AB594" i="95"/>
  <c r="AC594" i="95" s="1"/>
  <c r="AA594" i="95"/>
  <c r="Z594" i="95"/>
  <c r="Y594" i="95"/>
  <c r="X594" i="95"/>
  <c r="W594" i="95"/>
  <c r="V594" i="95"/>
  <c r="U594" i="95"/>
  <c r="T594" i="95"/>
  <c r="S594" i="95"/>
  <c r="R594" i="95"/>
  <c r="Q594" i="95"/>
  <c r="P594" i="95"/>
  <c r="O594" i="95"/>
  <c r="N594" i="95"/>
  <c r="M594" i="95"/>
  <c r="L594" i="95"/>
  <c r="J594" i="95" s="1"/>
  <c r="D594" i="95" s="1"/>
  <c r="K594" i="95"/>
  <c r="I594" i="95"/>
  <c r="C594" i="95" s="1"/>
  <c r="H594" i="95"/>
  <c r="G594" i="95"/>
  <c r="F594" i="95"/>
  <c r="E594" i="95"/>
  <c r="B594" i="95"/>
  <c r="AH593" i="95"/>
  <c r="AB593" i="95"/>
  <c r="AC593" i="95" s="1"/>
  <c r="AA593" i="95"/>
  <c r="Z593" i="95"/>
  <c r="Y593" i="95"/>
  <c r="X593" i="95"/>
  <c r="W593" i="95"/>
  <c r="V593" i="95"/>
  <c r="U593" i="95"/>
  <c r="T593" i="95"/>
  <c r="S593" i="95"/>
  <c r="R593" i="95"/>
  <c r="Q593" i="95"/>
  <c r="P593" i="95"/>
  <c r="O593" i="95"/>
  <c r="M593" i="95" s="1"/>
  <c r="N593" i="95"/>
  <c r="L593" i="95"/>
  <c r="J593" i="95" s="1"/>
  <c r="D593" i="95" s="1"/>
  <c r="K593" i="95"/>
  <c r="I593" i="95"/>
  <c r="H593" i="95"/>
  <c r="B593" i="95" s="1"/>
  <c r="G593" i="95"/>
  <c r="F593" i="95"/>
  <c r="C593" i="95"/>
  <c r="AH592" i="95"/>
  <c r="AB592" i="95"/>
  <c r="AC592" i="95" s="1"/>
  <c r="AA592" i="95"/>
  <c r="Z592" i="95"/>
  <c r="Y592" i="95"/>
  <c r="X592" i="95"/>
  <c r="W592" i="95"/>
  <c r="V592" i="95"/>
  <c r="U592" i="95"/>
  <c r="T592" i="95"/>
  <c r="S592" i="95"/>
  <c r="R592" i="95"/>
  <c r="Q592" i="95"/>
  <c r="P592" i="95"/>
  <c r="O592" i="95"/>
  <c r="N592" i="95"/>
  <c r="M592" i="95"/>
  <c r="L592" i="95"/>
  <c r="K592" i="95"/>
  <c r="J592" i="95"/>
  <c r="D592" i="95" s="1"/>
  <c r="I592" i="95"/>
  <c r="C592" i="95" s="1"/>
  <c r="H592" i="95"/>
  <c r="G592" i="95"/>
  <c r="F592" i="95"/>
  <c r="E592" i="95"/>
  <c r="B592" i="95"/>
  <c r="AH591" i="95"/>
  <c r="AB591" i="95"/>
  <c r="AC591" i="95" s="1"/>
  <c r="AA591" i="95"/>
  <c r="Z591" i="95"/>
  <c r="Y591" i="95"/>
  <c r="X591" i="95"/>
  <c r="W591" i="95"/>
  <c r="V591" i="95"/>
  <c r="U591" i="95"/>
  <c r="T591" i="95"/>
  <c r="S591" i="95"/>
  <c r="R591" i="95"/>
  <c r="Q591" i="95"/>
  <c r="P591" i="95"/>
  <c r="O591" i="95"/>
  <c r="M591" i="95" s="1"/>
  <c r="N591" i="95"/>
  <c r="L591" i="95"/>
  <c r="J591" i="95" s="1"/>
  <c r="D591" i="95" s="1"/>
  <c r="K591" i="95"/>
  <c r="I591" i="95"/>
  <c r="H591" i="95"/>
  <c r="B591" i="95" s="1"/>
  <c r="G591" i="95"/>
  <c r="F591" i="95"/>
  <c r="C591" i="95"/>
  <c r="AH590" i="95"/>
  <c r="AB590" i="95"/>
  <c r="AC590" i="95" s="1"/>
  <c r="AA590" i="95"/>
  <c r="Z590" i="95"/>
  <c r="Y590" i="95"/>
  <c r="X590" i="95"/>
  <c r="W590" i="95"/>
  <c r="V590" i="95"/>
  <c r="U590" i="95"/>
  <c r="T590" i="95"/>
  <c r="S590" i="95"/>
  <c r="R590" i="95"/>
  <c r="Q590" i="95"/>
  <c r="P590" i="95"/>
  <c r="O590" i="95"/>
  <c r="M590" i="95" s="1"/>
  <c r="N590" i="95"/>
  <c r="L590" i="95"/>
  <c r="J590" i="95" s="1"/>
  <c r="K590" i="95"/>
  <c r="E590" i="95" s="1"/>
  <c r="I590" i="95"/>
  <c r="C590" i="95" s="1"/>
  <c r="H590" i="95"/>
  <c r="B590" i="95" s="1"/>
  <c r="G590" i="95"/>
  <c r="F590" i="95"/>
  <c r="D590" i="95"/>
  <c r="AH589" i="95"/>
  <c r="AB589" i="95"/>
  <c r="AC589" i="95" s="1"/>
  <c r="AA589" i="95"/>
  <c r="Z589" i="95"/>
  <c r="Y589" i="95"/>
  <c r="X589" i="95"/>
  <c r="W589" i="95"/>
  <c r="V589" i="95"/>
  <c r="U589" i="95"/>
  <c r="T589" i="95"/>
  <c r="S589" i="95"/>
  <c r="R589" i="95"/>
  <c r="Q589" i="95"/>
  <c r="P589" i="95"/>
  <c r="O589" i="95"/>
  <c r="M589" i="95" s="1"/>
  <c r="N589" i="95"/>
  <c r="L589" i="95"/>
  <c r="K589" i="95"/>
  <c r="E589" i="95" s="1"/>
  <c r="J589" i="95"/>
  <c r="D589" i="95" s="1"/>
  <c r="I589" i="95"/>
  <c r="H589" i="95"/>
  <c r="G589" i="95"/>
  <c r="F589" i="95"/>
  <c r="C589" i="95"/>
  <c r="B589" i="95"/>
  <c r="AH588" i="95"/>
  <c r="AB588" i="95"/>
  <c r="AC588" i="95" s="1"/>
  <c r="AA588" i="95"/>
  <c r="Z588" i="95"/>
  <c r="Y588" i="95"/>
  <c r="X588" i="95"/>
  <c r="W588" i="95"/>
  <c r="V588" i="95"/>
  <c r="U588" i="95"/>
  <c r="T588" i="95"/>
  <c r="S588" i="95"/>
  <c r="R588" i="95"/>
  <c r="Q588" i="95"/>
  <c r="P588" i="95"/>
  <c r="O588" i="95"/>
  <c r="N588" i="95"/>
  <c r="M588" i="95"/>
  <c r="L588" i="95"/>
  <c r="J588" i="95" s="1"/>
  <c r="D588" i="95" s="1"/>
  <c r="K588" i="95"/>
  <c r="E588" i="95" s="1"/>
  <c r="I588" i="95"/>
  <c r="C588" i="95" s="1"/>
  <c r="H588" i="95"/>
  <c r="B588" i="95" s="1"/>
  <c r="A588" i="95" s="1"/>
  <c r="G588" i="95"/>
  <c r="F588" i="95"/>
  <c r="AH587" i="95"/>
  <c r="AB587" i="95"/>
  <c r="AC587" i="95" s="1"/>
  <c r="AA587" i="95"/>
  <c r="Z587" i="95"/>
  <c r="Y587" i="95"/>
  <c r="X587" i="95"/>
  <c r="W587" i="95"/>
  <c r="V587" i="95"/>
  <c r="U587" i="95"/>
  <c r="T587" i="95"/>
  <c r="S587" i="95"/>
  <c r="R587" i="95"/>
  <c r="Q587" i="95"/>
  <c r="P587" i="95"/>
  <c r="O587" i="95"/>
  <c r="M587" i="95" s="1"/>
  <c r="N587" i="95"/>
  <c r="L587" i="95"/>
  <c r="J587" i="95" s="1"/>
  <c r="D587" i="95" s="1"/>
  <c r="K587" i="95"/>
  <c r="E587" i="95" s="1"/>
  <c r="I587" i="95"/>
  <c r="H587" i="95"/>
  <c r="B587" i="95" s="1"/>
  <c r="G587" i="95"/>
  <c r="F587" i="95"/>
  <c r="C587" i="95"/>
  <c r="AH586" i="95"/>
  <c r="AB586" i="95"/>
  <c r="AC586" i="95" s="1"/>
  <c r="AA586" i="95"/>
  <c r="Z586" i="95"/>
  <c r="Y586" i="95"/>
  <c r="X586" i="95"/>
  <c r="W586" i="95"/>
  <c r="V586" i="95"/>
  <c r="U586" i="95"/>
  <c r="T586" i="95"/>
  <c r="S586" i="95"/>
  <c r="R586" i="95"/>
  <c r="Q586" i="95"/>
  <c r="P586" i="95"/>
  <c r="O586" i="95"/>
  <c r="M586" i="95" s="1"/>
  <c r="N586" i="95"/>
  <c r="L586" i="95"/>
  <c r="J586" i="95" s="1"/>
  <c r="D586" i="95" s="1"/>
  <c r="K586" i="95"/>
  <c r="I586" i="95"/>
  <c r="C586" i="95" s="1"/>
  <c r="H586" i="95"/>
  <c r="B586" i="95" s="1"/>
  <c r="G586" i="95"/>
  <c r="F586" i="95"/>
  <c r="AH585" i="95"/>
  <c r="AB585" i="95"/>
  <c r="AC585" i="95" s="1"/>
  <c r="AA585" i="95"/>
  <c r="Z585" i="95"/>
  <c r="Y585" i="95"/>
  <c r="X585" i="95"/>
  <c r="W585" i="95"/>
  <c r="V585" i="95"/>
  <c r="U585" i="95"/>
  <c r="T585" i="95"/>
  <c r="S585" i="95"/>
  <c r="R585" i="95"/>
  <c r="Q585" i="95"/>
  <c r="P585" i="95"/>
  <c r="O585" i="95"/>
  <c r="M585" i="95" s="1"/>
  <c r="N585" i="95"/>
  <c r="L585" i="95"/>
  <c r="K585" i="95"/>
  <c r="J585" i="95"/>
  <c r="D585" i="95" s="1"/>
  <c r="I585" i="95"/>
  <c r="H585" i="95"/>
  <c r="G585" i="95"/>
  <c r="F585" i="95"/>
  <c r="C585" i="95"/>
  <c r="B585" i="95"/>
  <c r="AH584" i="95"/>
  <c r="AB584" i="95"/>
  <c r="AC584" i="95" s="1"/>
  <c r="AA584" i="95"/>
  <c r="Z584" i="95"/>
  <c r="Y584" i="95"/>
  <c r="X584" i="95"/>
  <c r="W584" i="95"/>
  <c r="V584" i="95"/>
  <c r="U584" i="95"/>
  <c r="T584" i="95"/>
  <c r="S584" i="95"/>
  <c r="R584" i="95"/>
  <c r="Q584" i="95"/>
  <c r="P584" i="95"/>
  <c r="O584" i="95"/>
  <c r="N584" i="95"/>
  <c r="M584" i="95"/>
  <c r="L584" i="95"/>
  <c r="J584" i="95" s="1"/>
  <c r="D584" i="95" s="1"/>
  <c r="K584" i="95"/>
  <c r="I584" i="95"/>
  <c r="C584" i="95" s="1"/>
  <c r="H584" i="95"/>
  <c r="G584" i="95"/>
  <c r="F584" i="95"/>
  <c r="E584" i="95"/>
  <c r="B584" i="95"/>
  <c r="AH583" i="95"/>
  <c r="AB583" i="95"/>
  <c r="AC583" i="95" s="1"/>
  <c r="AA583" i="95"/>
  <c r="Z583" i="95"/>
  <c r="Y583" i="95"/>
  <c r="X583" i="95"/>
  <c r="W583" i="95"/>
  <c r="V583" i="95"/>
  <c r="U583" i="95"/>
  <c r="T583" i="95"/>
  <c r="S583" i="95"/>
  <c r="R583" i="95"/>
  <c r="Q583" i="95"/>
  <c r="P583" i="95"/>
  <c r="O583" i="95"/>
  <c r="M583" i="95" s="1"/>
  <c r="N583" i="95"/>
  <c r="L583" i="95"/>
  <c r="K583" i="95"/>
  <c r="J583" i="95"/>
  <c r="D583" i="95" s="1"/>
  <c r="I583" i="95"/>
  <c r="H583" i="95"/>
  <c r="G583" i="95"/>
  <c r="F583" i="95"/>
  <c r="C583" i="95"/>
  <c r="B583" i="95"/>
  <c r="AH582" i="95"/>
  <c r="AC582" i="95"/>
  <c r="AB582" i="95"/>
  <c r="AA582" i="95"/>
  <c r="Z582" i="95"/>
  <c r="Y582" i="95"/>
  <c r="X582" i="95"/>
  <c r="W582" i="95"/>
  <c r="V582" i="95"/>
  <c r="U582" i="95"/>
  <c r="T582" i="95"/>
  <c r="S582" i="95"/>
  <c r="R582" i="95"/>
  <c r="Q582" i="95"/>
  <c r="P582" i="95"/>
  <c r="O582" i="95"/>
  <c r="N582" i="95"/>
  <c r="M582" i="95"/>
  <c r="L582" i="95"/>
  <c r="J582" i="95" s="1"/>
  <c r="D582" i="95" s="1"/>
  <c r="K582" i="95"/>
  <c r="I582" i="95"/>
  <c r="C582" i="95" s="1"/>
  <c r="H582" i="95"/>
  <c r="G582" i="95"/>
  <c r="F582" i="95"/>
  <c r="E582" i="95"/>
  <c r="B582" i="95"/>
  <c r="AH581" i="95"/>
  <c r="AB581" i="95"/>
  <c r="AC581" i="95" s="1"/>
  <c r="AA581" i="95"/>
  <c r="Z581" i="95"/>
  <c r="Y581" i="95"/>
  <c r="X581" i="95"/>
  <c r="W581" i="95"/>
  <c r="V581" i="95"/>
  <c r="U581" i="95"/>
  <c r="T581" i="95"/>
  <c r="S581" i="95"/>
  <c r="R581" i="95"/>
  <c r="Q581" i="95"/>
  <c r="P581" i="95"/>
  <c r="O581" i="95"/>
  <c r="M581" i="95" s="1"/>
  <c r="N581" i="95"/>
  <c r="L581" i="95"/>
  <c r="J581" i="95" s="1"/>
  <c r="K581" i="95"/>
  <c r="I581" i="95"/>
  <c r="H581" i="95"/>
  <c r="B581" i="95" s="1"/>
  <c r="G581" i="95"/>
  <c r="F581" i="95"/>
  <c r="D581" i="95"/>
  <c r="C581" i="95"/>
  <c r="AH580" i="95"/>
  <c r="AB580" i="95"/>
  <c r="AC580" i="95" s="1"/>
  <c r="AA580" i="95"/>
  <c r="Z580" i="95"/>
  <c r="Y580" i="95"/>
  <c r="X580" i="95"/>
  <c r="W580" i="95"/>
  <c r="V580" i="95"/>
  <c r="U580" i="95"/>
  <c r="T580" i="95"/>
  <c r="S580" i="95"/>
  <c r="R580" i="95"/>
  <c r="Q580" i="95"/>
  <c r="P580" i="95"/>
  <c r="O580" i="95"/>
  <c r="M580" i="95" s="1"/>
  <c r="N580" i="95"/>
  <c r="L580" i="95"/>
  <c r="J580" i="95" s="1"/>
  <c r="D580" i="95" s="1"/>
  <c r="K580" i="95"/>
  <c r="E580" i="95" s="1"/>
  <c r="I580" i="95"/>
  <c r="C580" i="95" s="1"/>
  <c r="H580" i="95"/>
  <c r="B580" i="95" s="1"/>
  <c r="G580" i="95"/>
  <c r="F580" i="95"/>
  <c r="AH579" i="95"/>
  <c r="AB579" i="95"/>
  <c r="AC579" i="95" s="1"/>
  <c r="AA579" i="95"/>
  <c r="Z579" i="95"/>
  <c r="Y579" i="95"/>
  <c r="X579" i="95"/>
  <c r="W579" i="95"/>
  <c r="V579" i="95"/>
  <c r="U579" i="95"/>
  <c r="T579" i="95"/>
  <c r="S579" i="95"/>
  <c r="R579" i="95"/>
  <c r="Q579" i="95"/>
  <c r="P579" i="95"/>
  <c r="O579" i="95"/>
  <c r="M579" i="95" s="1"/>
  <c r="N579" i="95"/>
  <c r="L579" i="95"/>
  <c r="J579" i="95" s="1"/>
  <c r="D579" i="95" s="1"/>
  <c r="K579" i="95"/>
  <c r="E579" i="95" s="1"/>
  <c r="I579" i="95"/>
  <c r="H579" i="95"/>
  <c r="B579" i="95" s="1"/>
  <c r="G579" i="95"/>
  <c r="F579" i="95"/>
  <c r="C579" i="95"/>
  <c r="AH578" i="95"/>
  <c r="AB578" i="95"/>
  <c r="AC578" i="95" s="1"/>
  <c r="AA578" i="95"/>
  <c r="Z578" i="95"/>
  <c r="Y578" i="95"/>
  <c r="X578" i="95"/>
  <c r="W578" i="95"/>
  <c r="V578" i="95"/>
  <c r="U578" i="95"/>
  <c r="T578" i="95"/>
  <c r="S578" i="95"/>
  <c r="R578" i="95"/>
  <c r="Q578" i="95"/>
  <c r="P578" i="95"/>
  <c r="O578" i="95"/>
  <c r="M578" i="95" s="1"/>
  <c r="N578" i="95"/>
  <c r="L578" i="95"/>
  <c r="J578" i="95" s="1"/>
  <c r="K578" i="95"/>
  <c r="I578" i="95"/>
  <c r="C578" i="95" s="1"/>
  <c r="H578" i="95"/>
  <c r="B578" i="95" s="1"/>
  <c r="G578" i="95"/>
  <c r="F578" i="95"/>
  <c r="E578" i="95"/>
  <c r="D578" i="95"/>
  <c r="AH577" i="95"/>
  <c r="AB577" i="95"/>
  <c r="AC577" i="95" s="1"/>
  <c r="AA577" i="95"/>
  <c r="Z577" i="95"/>
  <c r="Y577" i="95"/>
  <c r="X577" i="95"/>
  <c r="W577" i="95"/>
  <c r="V577" i="95"/>
  <c r="U577" i="95"/>
  <c r="T577" i="95"/>
  <c r="S577" i="95"/>
  <c r="R577" i="95"/>
  <c r="Q577" i="95"/>
  <c r="P577" i="95"/>
  <c r="O577" i="95"/>
  <c r="M577" i="95" s="1"/>
  <c r="N577" i="95"/>
  <c r="L577" i="95"/>
  <c r="K577" i="95"/>
  <c r="J577" i="95"/>
  <c r="D577" i="95" s="1"/>
  <c r="I577" i="95"/>
  <c r="H577" i="95"/>
  <c r="G577" i="95"/>
  <c r="F577" i="95"/>
  <c r="C577" i="95"/>
  <c r="B577" i="95"/>
  <c r="AH576" i="95"/>
  <c r="AB576" i="95"/>
  <c r="AC576" i="95" s="1"/>
  <c r="AA576" i="95"/>
  <c r="Z576" i="95"/>
  <c r="Y576" i="95"/>
  <c r="X576" i="95"/>
  <c r="W576" i="95"/>
  <c r="V576" i="95"/>
  <c r="U576" i="95"/>
  <c r="T576" i="95"/>
  <c r="S576" i="95"/>
  <c r="R576" i="95"/>
  <c r="Q576" i="95"/>
  <c r="P576" i="95"/>
  <c r="O576" i="95"/>
  <c r="N576" i="95"/>
  <c r="M576" i="95"/>
  <c r="L576" i="95"/>
  <c r="J576" i="95" s="1"/>
  <c r="D576" i="95" s="1"/>
  <c r="K576" i="95"/>
  <c r="I576" i="95"/>
  <c r="C576" i="95" s="1"/>
  <c r="H576" i="95"/>
  <c r="G576" i="95"/>
  <c r="F576" i="95"/>
  <c r="E576" i="95"/>
  <c r="B576" i="95"/>
  <c r="AH575" i="95"/>
  <c r="AB575" i="95"/>
  <c r="AC575" i="95" s="1"/>
  <c r="AA575" i="95"/>
  <c r="Z575" i="95"/>
  <c r="Y575" i="95"/>
  <c r="X575" i="95"/>
  <c r="W575" i="95"/>
  <c r="V575" i="95"/>
  <c r="U575" i="95"/>
  <c r="T575" i="95"/>
  <c r="S575" i="95"/>
  <c r="R575" i="95"/>
  <c r="Q575" i="95"/>
  <c r="P575" i="95"/>
  <c r="O575" i="95"/>
  <c r="M575" i="95" s="1"/>
  <c r="N575" i="95"/>
  <c r="L575" i="95"/>
  <c r="K575" i="95"/>
  <c r="J575" i="95"/>
  <c r="D575" i="95" s="1"/>
  <c r="I575" i="95"/>
  <c r="H575" i="95"/>
  <c r="G575" i="95"/>
  <c r="F575" i="95"/>
  <c r="C575" i="95"/>
  <c r="B575" i="95"/>
  <c r="AH574" i="95"/>
  <c r="AC574" i="95"/>
  <c r="AB574" i="95"/>
  <c r="AA574" i="95"/>
  <c r="Z574" i="95"/>
  <c r="Y574" i="95"/>
  <c r="X574" i="95"/>
  <c r="W574" i="95"/>
  <c r="V574" i="95"/>
  <c r="U574" i="95"/>
  <c r="T574" i="95"/>
  <c r="S574" i="95"/>
  <c r="R574" i="95"/>
  <c r="Q574" i="95"/>
  <c r="P574" i="95"/>
  <c r="O574" i="95"/>
  <c r="N574" i="95"/>
  <c r="M574" i="95"/>
  <c r="L574" i="95"/>
  <c r="J574" i="95" s="1"/>
  <c r="D574" i="95" s="1"/>
  <c r="K574" i="95"/>
  <c r="I574" i="95"/>
  <c r="C574" i="95" s="1"/>
  <c r="H574" i="95"/>
  <c r="G574" i="95"/>
  <c r="F574" i="95"/>
  <c r="E574" i="95"/>
  <c r="B574" i="95"/>
  <c r="A574" i="95" s="1"/>
  <c r="AH573" i="95"/>
  <c r="AB573" i="95"/>
  <c r="AC573" i="95" s="1"/>
  <c r="AA573" i="95"/>
  <c r="Z573" i="95"/>
  <c r="Y573" i="95"/>
  <c r="X573" i="95"/>
  <c r="W573" i="95"/>
  <c r="V573" i="95"/>
  <c r="U573" i="95"/>
  <c r="T573" i="95"/>
  <c r="S573" i="95"/>
  <c r="R573" i="95"/>
  <c r="Q573" i="95"/>
  <c r="P573" i="95"/>
  <c r="O573" i="95"/>
  <c r="M573" i="95" s="1"/>
  <c r="N573" i="95"/>
  <c r="L573" i="95"/>
  <c r="J573" i="95" s="1"/>
  <c r="D573" i="95" s="1"/>
  <c r="K573" i="95"/>
  <c r="I573" i="95"/>
  <c r="H573" i="95"/>
  <c r="B573" i="95" s="1"/>
  <c r="G573" i="95"/>
  <c r="F573" i="95"/>
  <c r="C573" i="95"/>
  <c r="AH572" i="95"/>
  <c r="AB572" i="95"/>
  <c r="AC572" i="95" s="1"/>
  <c r="AA572" i="95"/>
  <c r="Z572" i="95"/>
  <c r="Y572" i="95"/>
  <c r="X572" i="95"/>
  <c r="W572" i="95"/>
  <c r="V572" i="95"/>
  <c r="U572" i="95"/>
  <c r="T572" i="95"/>
  <c r="S572" i="95"/>
  <c r="R572" i="95"/>
  <c r="Q572" i="95"/>
  <c r="P572" i="95"/>
  <c r="O572" i="95"/>
  <c r="M572" i="95" s="1"/>
  <c r="N572" i="95"/>
  <c r="L572" i="95"/>
  <c r="J572" i="95" s="1"/>
  <c r="D572" i="95" s="1"/>
  <c r="K572" i="95"/>
  <c r="I572" i="95"/>
  <c r="C572" i="95" s="1"/>
  <c r="H572" i="95"/>
  <c r="B572" i="95" s="1"/>
  <c r="G572" i="95"/>
  <c r="F572" i="95"/>
  <c r="AH571" i="95"/>
  <c r="AB571" i="95"/>
  <c r="AC571" i="95" s="1"/>
  <c r="AA571" i="95"/>
  <c r="Z571" i="95"/>
  <c r="Y571" i="95"/>
  <c r="X571" i="95"/>
  <c r="W571" i="95"/>
  <c r="V571" i="95"/>
  <c r="U571" i="95"/>
  <c r="T571" i="95"/>
  <c r="S571" i="95"/>
  <c r="R571" i="95"/>
  <c r="Q571" i="95"/>
  <c r="P571" i="95"/>
  <c r="O571" i="95"/>
  <c r="M571" i="95" s="1"/>
  <c r="N571" i="95"/>
  <c r="L571" i="95"/>
  <c r="J571" i="95" s="1"/>
  <c r="D571" i="95" s="1"/>
  <c r="K571" i="95"/>
  <c r="I571" i="95"/>
  <c r="H571" i="95"/>
  <c r="B571" i="95" s="1"/>
  <c r="G571" i="95"/>
  <c r="F571" i="95"/>
  <c r="C571" i="95"/>
  <c r="AH570" i="95"/>
  <c r="AB570" i="95"/>
  <c r="AC570" i="95" s="1"/>
  <c r="AA570" i="95"/>
  <c r="Z570" i="95"/>
  <c r="Y570" i="95"/>
  <c r="X570" i="95"/>
  <c r="W570" i="95"/>
  <c r="V570" i="95"/>
  <c r="U570" i="95"/>
  <c r="T570" i="95"/>
  <c r="S570" i="95"/>
  <c r="R570" i="95"/>
  <c r="Q570" i="95"/>
  <c r="P570" i="95"/>
  <c r="O570" i="95"/>
  <c r="M570" i="95" s="1"/>
  <c r="N570" i="95"/>
  <c r="L570" i="95"/>
  <c r="J570" i="95" s="1"/>
  <c r="D570" i="95" s="1"/>
  <c r="K570" i="95"/>
  <c r="E570" i="95" s="1"/>
  <c r="I570" i="95"/>
  <c r="C570" i="95" s="1"/>
  <c r="H570" i="95"/>
  <c r="B570" i="95" s="1"/>
  <c r="G570" i="95"/>
  <c r="F570" i="95"/>
  <c r="AH569" i="95"/>
  <c r="AB569" i="95"/>
  <c r="AC569" i="95" s="1"/>
  <c r="AA569" i="95"/>
  <c r="Z569" i="95"/>
  <c r="Y569" i="95"/>
  <c r="X569" i="95"/>
  <c r="W569" i="95"/>
  <c r="V569" i="95"/>
  <c r="U569" i="95"/>
  <c r="T569" i="95"/>
  <c r="S569" i="95"/>
  <c r="R569" i="95"/>
  <c r="Q569" i="95"/>
  <c r="P569" i="95"/>
  <c r="O569" i="95"/>
  <c r="M569" i="95" s="1"/>
  <c r="N569" i="95"/>
  <c r="L569" i="95"/>
  <c r="K569" i="95"/>
  <c r="J569" i="95"/>
  <c r="D569" i="95" s="1"/>
  <c r="I569" i="95"/>
  <c r="H569" i="95"/>
  <c r="G569" i="95"/>
  <c r="F569" i="95"/>
  <c r="C569" i="95"/>
  <c r="B569" i="95"/>
  <c r="AH568" i="95"/>
  <c r="AB568" i="95"/>
  <c r="AC568" i="95" s="1"/>
  <c r="AA568" i="95"/>
  <c r="Z568" i="95"/>
  <c r="Y568" i="95"/>
  <c r="X568" i="95"/>
  <c r="W568" i="95"/>
  <c r="V568" i="95"/>
  <c r="U568" i="95"/>
  <c r="T568" i="95"/>
  <c r="S568" i="95"/>
  <c r="R568" i="95"/>
  <c r="Q568" i="95"/>
  <c r="P568" i="95"/>
  <c r="O568" i="95"/>
  <c r="M568" i="95" s="1"/>
  <c r="N568" i="95"/>
  <c r="L568" i="95"/>
  <c r="J568" i="95" s="1"/>
  <c r="D568" i="95" s="1"/>
  <c r="K568" i="95"/>
  <c r="E568" i="95" s="1"/>
  <c r="I568" i="95"/>
  <c r="C568" i="95" s="1"/>
  <c r="H568" i="95"/>
  <c r="B568" i="95" s="1"/>
  <c r="G568" i="95"/>
  <c r="F568" i="95"/>
  <c r="AH567" i="95"/>
  <c r="AB567" i="95"/>
  <c r="AC567" i="95" s="1"/>
  <c r="AA567" i="95"/>
  <c r="Z567" i="95"/>
  <c r="Y567" i="95"/>
  <c r="X567" i="95"/>
  <c r="W567" i="95"/>
  <c r="V567" i="95"/>
  <c r="U567" i="95"/>
  <c r="T567" i="95"/>
  <c r="S567" i="95"/>
  <c r="R567" i="95"/>
  <c r="Q567" i="95"/>
  <c r="P567" i="95"/>
  <c r="O567" i="95"/>
  <c r="M567" i="95" s="1"/>
  <c r="N567" i="95"/>
  <c r="L567" i="95"/>
  <c r="J567" i="95" s="1"/>
  <c r="D567" i="95" s="1"/>
  <c r="K567" i="95"/>
  <c r="I567" i="95"/>
  <c r="H567" i="95"/>
  <c r="G567" i="95"/>
  <c r="F567" i="95"/>
  <c r="C567" i="95"/>
  <c r="B567" i="95"/>
  <c r="AH566" i="95"/>
  <c r="AB566" i="95"/>
  <c r="AC566" i="95" s="1"/>
  <c r="AA566" i="95"/>
  <c r="Z566" i="95"/>
  <c r="Y566" i="95"/>
  <c r="X566" i="95"/>
  <c r="W566" i="95"/>
  <c r="V566" i="95"/>
  <c r="U566" i="95"/>
  <c r="T566" i="95"/>
  <c r="S566" i="95"/>
  <c r="R566" i="95"/>
  <c r="Q566" i="95"/>
  <c r="P566" i="95"/>
  <c r="O566" i="95"/>
  <c r="M566" i="95" s="1"/>
  <c r="N566" i="95"/>
  <c r="L566" i="95"/>
  <c r="J566" i="95" s="1"/>
  <c r="D566" i="95" s="1"/>
  <c r="K566" i="95"/>
  <c r="I566" i="95"/>
  <c r="C566" i="95" s="1"/>
  <c r="H566" i="95"/>
  <c r="G566" i="95"/>
  <c r="F566" i="95"/>
  <c r="B566" i="95"/>
  <c r="AH565" i="95"/>
  <c r="AB565" i="95"/>
  <c r="AC565" i="95" s="1"/>
  <c r="AA565" i="95"/>
  <c r="Z565" i="95"/>
  <c r="Y565" i="95"/>
  <c r="X565" i="95"/>
  <c r="W565" i="95"/>
  <c r="V565" i="95"/>
  <c r="U565" i="95"/>
  <c r="T565" i="95"/>
  <c r="S565" i="95"/>
  <c r="R565" i="95"/>
  <c r="Q565" i="95"/>
  <c r="P565" i="95"/>
  <c r="O565" i="95"/>
  <c r="M565" i="95" s="1"/>
  <c r="N565" i="95"/>
  <c r="L565" i="95"/>
  <c r="J565" i="95" s="1"/>
  <c r="D565" i="95" s="1"/>
  <c r="K565" i="95"/>
  <c r="I565" i="95"/>
  <c r="H565" i="95"/>
  <c r="B565" i="95" s="1"/>
  <c r="G565" i="95"/>
  <c r="F565" i="95"/>
  <c r="C565" i="95"/>
  <c r="AH564" i="95"/>
  <c r="AC564" i="95"/>
  <c r="AB564" i="95"/>
  <c r="AA564" i="95"/>
  <c r="Z564" i="95"/>
  <c r="Y564" i="95"/>
  <c r="X564" i="95"/>
  <c r="W564" i="95"/>
  <c r="V564" i="95"/>
  <c r="U564" i="95"/>
  <c r="T564" i="95"/>
  <c r="S564" i="95"/>
  <c r="R564" i="95"/>
  <c r="Q564" i="95"/>
  <c r="P564" i="95"/>
  <c r="O564" i="95"/>
  <c r="N564" i="95"/>
  <c r="M564" i="95"/>
  <c r="L564" i="95"/>
  <c r="J564" i="95" s="1"/>
  <c r="D564" i="95" s="1"/>
  <c r="K564" i="95"/>
  <c r="I564" i="95"/>
  <c r="C564" i="95" s="1"/>
  <c r="H564" i="95"/>
  <c r="B564" i="95" s="1"/>
  <c r="G564" i="95"/>
  <c r="F564" i="95"/>
  <c r="E564" i="95"/>
  <c r="AH563" i="95"/>
  <c r="AB563" i="95"/>
  <c r="AC563" i="95" s="1"/>
  <c r="AA563" i="95"/>
  <c r="Z563" i="95"/>
  <c r="Y563" i="95"/>
  <c r="X563" i="95"/>
  <c r="W563" i="95"/>
  <c r="V563" i="95"/>
  <c r="U563" i="95"/>
  <c r="T563" i="95"/>
  <c r="S563" i="95"/>
  <c r="R563" i="95"/>
  <c r="Q563" i="95"/>
  <c r="P563" i="95"/>
  <c r="O563" i="95"/>
  <c r="M563" i="95" s="1"/>
  <c r="N563" i="95"/>
  <c r="L563" i="95"/>
  <c r="J563" i="95" s="1"/>
  <c r="D563" i="95" s="1"/>
  <c r="K563" i="95"/>
  <c r="E563" i="95" s="1"/>
  <c r="I563" i="95"/>
  <c r="H563" i="95"/>
  <c r="B563" i="95" s="1"/>
  <c r="A563" i="95" s="1"/>
  <c r="G563" i="95"/>
  <c r="F563" i="95"/>
  <c r="C563" i="95"/>
  <c r="AH562" i="95"/>
  <c r="AB562" i="95"/>
  <c r="AC562" i="95" s="1"/>
  <c r="AA562" i="95"/>
  <c r="Z562" i="95"/>
  <c r="Y562" i="95"/>
  <c r="X562" i="95"/>
  <c r="W562" i="95"/>
  <c r="V562" i="95"/>
  <c r="U562" i="95"/>
  <c r="T562" i="95"/>
  <c r="S562" i="95"/>
  <c r="R562" i="95"/>
  <c r="Q562" i="95"/>
  <c r="P562" i="95"/>
  <c r="O562" i="95"/>
  <c r="N562" i="95"/>
  <c r="M562" i="95"/>
  <c r="L562" i="95"/>
  <c r="J562" i="95" s="1"/>
  <c r="K562" i="95"/>
  <c r="E562" i="95" s="1"/>
  <c r="I562" i="95"/>
  <c r="C562" i="95" s="1"/>
  <c r="H562" i="95"/>
  <c r="B562" i="95" s="1"/>
  <c r="G562" i="95"/>
  <c r="F562" i="95"/>
  <c r="D562" i="95"/>
  <c r="AH561" i="95"/>
  <c r="AB561" i="95"/>
  <c r="AC561" i="95" s="1"/>
  <c r="AA561" i="95"/>
  <c r="Z561" i="95"/>
  <c r="Y561" i="95"/>
  <c r="X561" i="95"/>
  <c r="W561" i="95"/>
  <c r="V561" i="95"/>
  <c r="U561" i="95"/>
  <c r="T561" i="95"/>
  <c r="S561" i="95"/>
  <c r="R561" i="95"/>
  <c r="Q561" i="95"/>
  <c r="P561" i="95"/>
  <c r="O561" i="95"/>
  <c r="M561" i="95" s="1"/>
  <c r="N561" i="95"/>
  <c r="L561" i="95"/>
  <c r="J561" i="95" s="1"/>
  <c r="D561" i="95" s="1"/>
  <c r="K561" i="95"/>
  <c r="E561" i="95" s="1"/>
  <c r="I561" i="95"/>
  <c r="H561" i="95"/>
  <c r="G561" i="95"/>
  <c r="F561" i="95"/>
  <c r="C561" i="95"/>
  <c r="B561" i="95"/>
  <c r="AH560" i="95"/>
  <c r="AB560" i="95"/>
  <c r="AC560" i="95" s="1"/>
  <c r="AA560" i="95"/>
  <c r="Z560" i="95"/>
  <c r="Y560" i="95"/>
  <c r="X560" i="95"/>
  <c r="W560" i="95"/>
  <c r="V560" i="95"/>
  <c r="U560" i="95"/>
  <c r="T560" i="95"/>
  <c r="S560" i="95"/>
  <c r="R560" i="95"/>
  <c r="Q560" i="95"/>
  <c r="P560" i="95"/>
  <c r="O560" i="95"/>
  <c r="M560" i="95" s="1"/>
  <c r="N560" i="95"/>
  <c r="L560" i="95"/>
  <c r="K560" i="95"/>
  <c r="J560" i="95"/>
  <c r="D560" i="95" s="1"/>
  <c r="I560" i="95"/>
  <c r="C560" i="95" s="1"/>
  <c r="H560" i="95"/>
  <c r="G560" i="95"/>
  <c r="F560" i="95"/>
  <c r="B560" i="95"/>
  <c r="AH559" i="95"/>
  <c r="AB559" i="95"/>
  <c r="AC559" i="95" s="1"/>
  <c r="AA559" i="95"/>
  <c r="Z559" i="95"/>
  <c r="Y559" i="95"/>
  <c r="X559" i="95"/>
  <c r="W559" i="95"/>
  <c r="V559" i="95"/>
  <c r="U559" i="95"/>
  <c r="T559" i="95"/>
  <c r="S559" i="95"/>
  <c r="R559" i="95"/>
  <c r="Q559" i="95"/>
  <c r="P559" i="95"/>
  <c r="O559" i="95"/>
  <c r="M559" i="95" s="1"/>
  <c r="N559" i="95"/>
  <c r="L559" i="95"/>
  <c r="J559" i="95" s="1"/>
  <c r="D559" i="95" s="1"/>
  <c r="K559" i="95"/>
  <c r="I559" i="95"/>
  <c r="H559" i="95"/>
  <c r="G559" i="95"/>
  <c r="F559" i="95"/>
  <c r="C559" i="95"/>
  <c r="B559" i="95"/>
  <c r="AH558" i="95"/>
  <c r="AC558" i="95"/>
  <c r="AB558" i="95"/>
  <c r="AA558" i="95"/>
  <c r="Z558" i="95"/>
  <c r="Y558" i="95"/>
  <c r="X558" i="95"/>
  <c r="W558" i="95"/>
  <c r="V558" i="95"/>
  <c r="U558" i="95"/>
  <c r="T558" i="95"/>
  <c r="S558" i="95"/>
  <c r="R558" i="95"/>
  <c r="Q558" i="95"/>
  <c r="P558" i="95"/>
  <c r="O558" i="95"/>
  <c r="M558" i="95" s="1"/>
  <c r="N558" i="95"/>
  <c r="L558" i="95"/>
  <c r="K558" i="95"/>
  <c r="E558" i="95" s="1"/>
  <c r="J558" i="95"/>
  <c r="D558" i="95" s="1"/>
  <c r="A558" i="95" s="1"/>
  <c r="I558" i="95"/>
  <c r="C558" i="95" s="1"/>
  <c r="H558" i="95"/>
  <c r="G558" i="95"/>
  <c r="F558" i="95"/>
  <c r="B558" i="95"/>
  <c r="AH557" i="95"/>
  <c r="AB557" i="95"/>
  <c r="AC557" i="95" s="1"/>
  <c r="AA557" i="95"/>
  <c r="Z557" i="95"/>
  <c r="Y557" i="95"/>
  <c r="X557" i="95"/>
  <c r="W557" i="95"/>
  <c r="V557" i="95"/>
  <c r="U557" i="95"/>
  <c r="T557" i="95"/>
  <c r="S557" i="95"/>
  <c r="R557" i="95"/>
  <c r="Q557" i="95"/>
  <c r="P557" i="95"/>
  <c r="O557" i="95"/>
  <c r="M557" i="95" s="1"/>
  <c r="N557" i="95"/>
  <c r="L557" i="95"/>
  <c r="J557" i="95" s="1"/>
  <c r="D557" i="95" s="1"/>
  <c r="K557" i="95"/>
  <c r="I557" i="95"/>
  <c r="H557" i="95"/>
  <c r="B557" i="95" s="1"/>
  <c r="G557" i="95"/>
  <c r="F557" i="95"/>
  <c r="C557" i="95"/>
  <c r="AH556" i="95"/>
  <c r="AC556" i="95"/>
  <c r="AB556" i="95"/>
  <c r="AA556" i="95"/>
  <c r="Z556" i="95"/>
  <c r="Y556" i="95"/>
  <c r="X556" i="95"/>
  <c r="W556" i="95"/>
  <c r="V556" i="95"/>
  <c r="U556" i="95"/>
  <c r="T556" i="95"/>
  <c r="S556" i="95"/>
  <c r="R556" i="95"/>
  <c r="Q556" i="95"/>
  <c r="P556" i="95"/>
  <c r="O556" i="95"/>
  <c r="M556" i="95" s="1"/>
  <c r="N556" i="95"/>
  <c r="L556" i="95"/>
  <c r="J556" i="95" s="1"/>
  <c r="D556" i="95" s="1"/>
  <c r="K556" i="95"/>
  <c r="I556" i="95"/>
  <c r="C556" i="95" s="1"/>
  <c r="H556" i="95"/>
  <c r="B556" i="95" s="1"/>
  <c r="G556" i="95"/>
  <c r="F556" i="95"/>
  <c r="E556" i="95"/>
  <c r="AH555" i="95"/>
  <c r="AB555" i="95"/>
  <c r="AC555" i="95" s="1"/>
  <c r="AA555" i="95"/>
  <c r="Z555" i="95"/>
  <c r="Y555" i="95"/>
  <c r="X555" i="95"/>
  <c r="W555" i="95"/>
  <c r="V555" i="95"/>
  <c r="U555" i="95"/>
  <c r="T555" i="95"/>
  <c r="S555" i="95"/>
  <c r="R555" i="95"/>
  <c r="Q555" i="95"/>
  <c r="P555" i="95"/>
  <c r="O555" i="95"/>
  <c r="M555" i="95" s="1"/>
  <c r="N555" i="95"/>
  <c r="L555" i="95"/>
  <c r="J555" i="95" s="1"/>
  <c r="D555" i="95" s="1"/>
  <c r="K555" i="95"/>
  <c r="I555" i="95"/>
  <c r="H555" i="95"/>
  <c r="B555" i="95" s="1"/>
  <c r="G555" i="95"/>
  <c r="F555" i="95"/>
  <c r="C555" i="95"/>
  <c r="AH554" i="95"/>
  <c r="AB554" i="95"/>
  <c r="AC554" i="95" s="1"/>
  <c r="AA554" i="95"/>
  <c r="Z554" i="95"/>
  <c r="Y554" i="95"/>
  <c r="X554" i="95"/>
  <c r="W554" i="95"/>
  <c r="V554" i="95"/>
  <c r="U554" i="95"/>
  <c r="T554" i="95"/>
  <c r="S554" i="95"/>
  <c r="R554" i="95"/>
  <c r="Q554" i="95"/>
  <c r="P554" i="95"/>
  <c r="O554" i="95"/>
  <c r="N554" i="95"/>
  <c r="M554" i="95"/>
  <c r="L554" i="95"/>
  <c r="J554" i="95" s="1"/>
  <c r="D554" i="95" s="1"/>
  <c r="K554" i="95"/>
  <c r="I554" i="95"/>
  <c r="C554" i="95" s="1"/>
  <c r="H554" i="95"/>
  <c r="B554" i="95" s="1"/>
  <c r="G554" i="95"/>
  <c r="F554" i="95"/>
  <c r="E554" i="95"/>
  <c r="AH553" i="95"/>
  <c r="AB553" i="95"/>
  <c r="AC553" i="95" s="1"/>
  <c r="AA553" i="95"/>
  <c r="Z553" i="95"/>
  <c r="Y553" i="95"/>
  <c r="X553" i="95"/>
  <c r="W553" i="95"/>
  <c r="V553" i="95"/>
  <c r="U553" i="95"/>
  <c r="T553" i="95"/>
  <c r="S553" i="95"/>
  <c r="R553" i="95"/>
  <c r="Q553" i="95"/>
  <c r="P553" i="95"/>
  <c r="O553" i="95"/>
  <c r="M553" i="95" s="1"/>
  <c r="N553" i="95"/>
  <c r="L553" i="95"/>
  <c r="J553" i="95" s="1"/>
  <c r="D553" i="95" s="1"/>
  <c r="K553" i="95"/>
  <c r="E553" i="95" s="1"/>
  <c r="I553" i="95"/>
  <c r="H553" i="95"/>
  <c r="G553" i="95"/>
  <c r="F553" i="95"/>
  <c r="C553" i="95"/>
  <c r="B553" i="95"/>
  <c r="AH552" i="95"/>
  <c r="AB552" i="95"/>
  <c r="AC552" i="95" s="1"/>
  <c r="AA552" i="95"/>
  <c r="Z552" i="95"/>
  <c r="Y552" i="95"/>
  <c r="X552" i="95"/>
  <c r="W552" i="95"/>
  <c r="V552" i="95"/>
  <c r="U552" i="95"/>
  <c r="T552" i="95"/>
  <c r="S552" i="95"/>
  <c r="R552" i="95"/>
  <c r="Q552" i="95"/>
  <c r="P552" i="95"/>
  <c r="O552" i="95"/>
  <c r="M552" i="95" s="1"/>
  <c r="N552" i="95"/>
  <c r="L552" i="95"/>
  <c r="K552" i="95"/>
  <c r="J552" i="95"/>
  <c r="D552" i="95" s="1"/>
  <c r="I552" i="95"/>
  <c r="C552" i="95" s="1"/>
  <c r="H552" i="95"/>
  <c r="G552" i="95"/>
  <c r="F552" i="95"/>
  <c r="B552" i="95"/>
  <c r="AH551" i="95"/>
  <c r="AB551" i="95"/>
  <c r="AC551" i="95" s="1"/>
  <c r="AA551" i="95"/>
  <c r="Z551" i="95"/>
  <c r="Y551" i="95"/>
  <c r="X551" i="95"/>
  <c r="W551" i="95"/>
  <c r="V551" i="95"/>
  <c r="U551" i="95"/>
  <c r="T551" i="95"/>
  <c r="S551" i="95"/>
  <c r="R551" i="95"/>
  <c r="Q551" i="95"/>
  <c r="P551" i="95"/>
  <c r="O551" i="95"/>
  <c r="M551" i="95" s="1"/>
  <c r="N551" i="95"/>
  <c r="L551" i="95"/>
  <c r="J551" i="95" s="1"/>
  <c r="D551" i="95" s="1"/>
  <c r="K551" i="95"/>
  <c r="I551" i="95"/>
  <c r="H551" i="95"/>
  <c r="G551" i="95"/>
  <c r="F551" i="95"/>
  <c r="C551" i="95"/>
  <c r="B551" i="95"/>
  <c r="AH550" i="95"/>
  <c r="AC550" i="95"/>
  <c r="AB550" i="95"/>
  <c r="AA550" i="95"/>
  <c r="Z550" i="95"/>
  <c r="Y550" i="95"/>
  <c r="X550" i="95"/>
  <c r="W550" i="95"/>
  <c r="V550" i="95"/>
  <c r="U550" i="95"/>
  <c r="T550" i="95"/>
  <c r="S550" i="95"/>
  <c r="R550" i="95"/>
  <c r="Q550" i="95"/>
  <c r="P550" i="95"/>
  <c r="O550" i="95"/>
  <c r="M550" i="95" s="1"/>
  <c r="N550" i="95"/>
  <c r="L550" i="95"/>
  <c r="K550" i="95"/>
  <c r="E550" i="95" s="1"/>
  <c r="J550" i="95"/>
  <c r="D550" i="95" s="1"/>
  <c r="I550" i="95"/>
  <c r="C550" i="95" s="1"/>
  <c r="H550" i="95"/>
  <c r="G550" i="95"/>
  <c r="F550" i="95"/>
  <c r="B550" i="95"/>
  <c r="AH549" i="95"/>
  <c r="AB549" i="95"/>
  <c r="AC549" i="95" s="1"/>
  <c r="AA549" i="95"/>
  <c r="Z549" i="95"/>
  <c r="Y549" i="95"/>
  <c r="X549" i="95"/>
  <c r="W549" i="95"/>
  <c r="V549" i="95"/>
  <c r="U549" i="95"/>
  <c r="T549" i="95"/>
  <c r="S549" i="95"/>
  <c r="R549" i="95"/>
  <c r="Q549" i="95"/>
  <c r="P549" i="95"/>
  <c r="O549" i="95"/>
  <c r="M549" i="95" s="1"/>
  <c r="N549" i="95"/>
  <c r="L549" i="95"/>
  <c r="J549" i="95" s="1"/>
  <c r="D549" i="95" s="1"/>
  <c r="K549" i="95"/>
  <c r="I549" i="95"/>
  <c r="C549" i="95" s="1"/>
  <c r="H549" i="95"/>
  <c r="B549" i="95" s="1"/>
  <c r="G549" i="95"/>
  <c r="F549" i="95"/>
  <c r="AH548" i="95"/>
  <c r="AC548" i="95"/>
  <c r="AB548" i="95"/>
  <c r="AA548" i="95"/>
  <c r="Z548" i="95"/>
  <c r="Y548" i="95"/>
  <c r="X548" i="95"/>
  <c r="W548" i="95"/>
  <c r="V548" i="95"/>
  <c r="U548" i="95"/>
  <c r="T548" i="95"/>
  <c r="S548" i="95"/>
  <c r="R548" i="95"/>
  <c r="Q548" i="95"/>
  <c r="P548" i="95"/>
  <c r="O548" i="95"/>
  <c r="N548" i="95"/>
  <c r="M548" i="95"/>
  <c r="L548" i="95"/>
  <c r="J548" i="95" s="1"/>
  <c r="D548" i="95" s="1"/>
  <c r="K548" i="95"/>
  <c r="I548" i="95"/>
  <c r="C548" i="95" s="1"/>
  <c r="H548" i="95"/>
  <c r="B548" i="95" s="1"/>
  <c r="G548" i="95"/>
  <c r="F548" i="95"/>
  <c r="E548" i="95"/>
  <c r="AH547" i="95"/>
  <c r="AB547" i="95"/>
  <c r="AC547" i="95" s="1"/>
  <c r="AA547" i="95"/>
  <c r="Z547" i="95"/>
  <c r="Y547" i="95"/>
  <c r="X547" i="95"/>
  <c r="W547" i="95"/>
  <c r="V547" i="95"/>
  <c r="U547" i="95"/>
  <c r="T547" i="95"/>
  <c r="S547" i="95"/>
  <c r="R547" i="95"/>
  <c r="Q547" i="95"/>
  <c r="P547" i="95"/>
  <c r="O547" i="95"/>
  <c r="M547" i="95" s="1"/>
  <c r="N547" i="95"/>
  <c r="L547" i="95"/>
  <c r="J547" i="95" s="1"/>
  <c r="D547" i="95" s="1"/>
  <c r="K547" i="95"/>
  <c r="E547" i="95" s="1"/>
  <c r="I547" i="95"/>
  <c r="H547" i="95"/>
  <c r="B547" i="95" s="1"/>
  <c r="G547" i="95"/>
  <c r="F547" i="95"/>
  <c r="C547" i="95"/>
  <c r="AH546" i="95"/>
  <c r="AB546" i="95"/>
  <c r="AC546" i="95" s="1"/>
  <c r="AA546" i="95"/>
  <c r="Z546" i="95"/>
  <c r="Y546" i="95"/>
  <c r="X546" i="95"/>
  <c r="W546" i="95"/>
  <c r="V546" i="95"/>
  <c r="U546" i="95"/>
  <c r="T546" i="95"/>
  <c r="S546" i="95"/>
  <c r="R546" i="95"/>
  <c r="Q546" i="95"/>
  <c r="P546" i="95"/>
  <c r="O546" i="95"/>
  <c r="N546" i="95"/>
  <c r="M546" i="95"/>
  <c r="L546" i="95"/>
  <c r="J546" i="95" s="1"/>
  <c r="D546" i="95" s="1"/>
  <c r="K546" i="95"/>
  <c r="E546" i="95" s="1"/>
  <c r="I546" i="95"/>
  <c r="C546" i="95" s="1"/>
  <c r="H546" i="95"/>
  <c r="B546" i="95" s="1"/>
  <c r="G546" i="95"/>
  <c r="F546" i="95"/>
  <c r="AH545" i="95"/>
  <c r="AB545" i="95"/>
  <c r="AC545" i="95" s="1"/>
  <c r="AA545" i="95"/>
  <c r="Z545" i="95"/>
  <c r="Y545" i="95"/>
  <c r="X545" i="95"/>
  <c r="W545" i="95"/>
  <c r="V545" i="95"/>
  <c r="U545" i="95"/>
  <c r="T545" i="95"/>
  <c r="S545" i="95"/>
  <c r="R545" i="95"/>
  <c r="Q545" i="95"/>
  <c r="P545" i="95"/>
  <c r="O545" i="95"/>
  <c r="M545" i="95" s="1"/>
  <c r="N545" i="95"/>
  <c r="L545" i="95"/>
  <c r="J545" i="95" s="1"/>
  <c r="D545" i="95" s="1"/>
  <c r="K545" i="95"/>
  <c r="E545" i="95" s="1"/>
  <c r="I545" i="95"/>
  <c r="H545" i="95"/>
  <c r="G545" i="95"/>
  <c r="F545" i="95"/>
  <c r="C545" i="95"/>
  <c r="B545" i="95"/>
  <c r="AH544" i="95"/>
  <c r="AB544" i="95"/>
  <c r="AC544" i="95" s="1"/>
  <c r="AA544" i="95"/>
  <c r="Z544" i="95"/>
  <c r="Y544" i="95"/>
  <c r="X544" i="95"/>
  <c r="W544" i="95"/>
  <c r="V544" i="95"/>
  <c r="U544" i="95"/>
  <c r="T544" i="95"/>
  <c r="S544" i="95"/>
  <c r="R544" i="95"/>
  <c r="Q544" i="95"/>
  <c r="P544" i="95"/>
  <c r="O544" i="95"/>
  <c r="M544" i="95" s="1"/>
  <c r="N544" i="95"/>
  <c r="L544" i="95"/>
  <c r="K544" i="95"/>
  <c r="E544" i="95" s="1"/>
  <c r="J544" i="95"/>
  <c r="D544" i="95" s="1"/>
  <c r="I544" i="95"/>
  <c r="C544" i="95" s="1"/>
  <c r="H544" i="95"/>
  <c r="G544" i="95"/>
  <c r="F544" i="95"/>
  <c r="B544" i="95"/>
  <c r="AH543" i="95"/>
  <c r="AB543" i="95"/>
  <c r="AC543" i="95" s="1"/>
  <c r="AA543" i="95"/>
  <c r="Z543" i="95"/>
  <c r="Y543" i="95"/>
  <c r="X543" i="95"/>
  <c r="W543" i="95"/>
  <c r="V543" i="95"/>
  <c r="U543" i="95"/>
  <c r="T543" i="95"/>
  <c r="S543" i="95"/>
  <c r="R543" i="95"/>
  <c r="Q543" i="95"/>
  <c r="P543" i="95"/>
  <c r="O543" i="95"/>
  <c r="M543" i="95" s="1"/>
  <c r="N543" i="95"/>
  <c r="L543" i="95"/>
  <c r="J543" i="95" s="1"/>
  <c r="D543" i="95" s="1"/>
  <c r="K543" i="95"/>
  <c r="I543" i="95"/>
  <c r="H543" i="95"/>
  <c r="G543" i="95"/>
  <c r="F543" i="95"/>
  <c r="C543" i="95"/>
  <c r="B543" i="95"/>
  <c r="AH542" i="95"/>
  <c r="AC542" i="95"/>
  <c r="AB542" i="95"/>
  <c r="AA542" i="95"/>
  <c r="Z542" i="95"/>
  <c r="Y542" i="95"/>
  <c r="X542" i="95"/>
  <c r="W542" i="95"/>
  <c r="V542" i="95"/>
  <c r="U542" i="95"/>
  <c r="T542" i="95"/>
  <c r="S542" i="95"/>
  <c r="R542" i="95"/>
  <c r="Q542" i="95"/>
  <c r="P542" i="95"/>
  <c r="O542" i="95"/>
  <c r="M542" i="95" s="1"/>
  <c r="N542" i="95"/>
  <c r="L542" i="95"/>
  <c r="K542" i="95"/>
  <c r="J542" i="95"/>
  <c r="D542" i="95" s="1"/>
  <c r="I542" i="95"/>
  <c r="C542" i="95" s="1"/>
  <c r="H542" i="95"/>
  <c r="G542" i="95"/>
  <c r="F542" i="95"/>
  <c r="B542" i="95"/>
  <c r="AH541" i="95"/>
  <c r="AB541" i="95"/>
  <c r="AC541" i="95" s="1"/>
  <c r="AA541" i="95"/>
  <c r="Z541" i="95"/>
  <c r="Y541" i="95"/>
  <c r="X541" i="95"/>
  <c r="W541" i="95"/>
  <c r="V541" i="95"/>
  <c r="U541" i="95"/>
  <c r="T541" i="95"/>
  <c r="S541" i="95"/>
  <c r="R541" i="95"/>
  <c r="Q541" i="95"/>
  <c r="P541" i="95"/>
  <c r="O541" i="95"/>
  <c r="M541" i="95" s="1"/>
  <c r="N541" i="95"/>
  <c r="L541" i="95"/>
  <c r="J541" i="95" s="1"/>
  <c r="D541" i="95" s="1"/>
  <c r="K541" i="95"/>
  <c r="I541" i="95"/>
  <c r="H541" i="95"/>
  <c r="B541" i="95" s="1"/>
  <c r="G541" i="95"/>
  <c r="F541" i="95"/>
  <c r="C541" i="95"/>
  <c r="AH540" i="95"/>
  <c r="AB540" i="95"/>
  <c r="AC540" i="95" s="1"/>
  <c r="AA540" i="95"/>
  <c r="Z540" i="95"/>
  <c r="Y540" i="95"/>
  <c r="X540" i="95"/>
  <c r="W540" i="95"/>
  <c r="V540" i="95"/>
  <c r="U540" i="95"/>
  <c r="T540" i="95"/>
  <c r="S540" i="95"/>
  <c r="R540" i="95"/>
  <c r="Q540" i="95"/>
  <c r="P540" i="95"/>
  <c r="O540" i="95"/>
  <c r="N540" i="95"/>
  <c r="M540" i="95"/>
  <c r="L540" i="95"/>
  <c r="J540" i="95" s="1"/>
  <c r="D540" i="95" s="1"/>
  <c r="K540" i="95"/>
  <c r="I540" i="95"/>
  <c r="C540" i="95" s="1"/>
  <c r="H540" i="95"/>
  <c r="B540" i="95" s="1"/>
  <c r="G540" i="95"/>
  <c r="F540" i="95"/>
  <c r="E540" i="95"/>
  <c r="AH539" i="95"/>
  <c r="AB539" i="95"/>
  <c r="AC539" i="95" s="1"/>
  <c r="AA539" i="95"/>
  <c r="Z539" i="95"/>
  <c r="Y539" i="95"/>
  <c r="X539" i="95"/>
  <c r="W539" i="95"/>
  <c r="V539" i="95"/>
  <c r="U539" i="95"/>
  <c r="T539" i="95"/>
  <c r="S539" i="95"/>
  <c r="R539" i="95"/>
  <c r="Q539" i="95"/>
  <c r="P539" i="95"/>
  <c r="O539" i="95"/>
  <c r="M539" i="95" s="1"/>
  <c r="N539" i="95"/>
  <c r="L539" i="95"/>
  <c r="J539" i="95" s="1"/>
  <c r="D539" i="95" s="1"/>
  <c r="K539" i="95"/>
  <c r="E539" i="95" s="1"/>
  <c r="I539" i="95"/>
  <c r="H539" i="95"/>
  <c r="B539" i="95" s="1"/>
  <c r="G539" i="95"/>
  <c r="F539" i="95"/>
  <c r="C539" i="95"/>
  <c r="AH538" i="95"/>
  <c r="AB538" i="95"/>
  <c r="AC538" i="95" s="1"/>
  <c r="AA538" i="95"/>
  <c r="Z538" i="95"/>
  <c r="Y538" i="95"/>
  <c r="X538" i="95"/>
  <c r="W538" i="95"/>
  <c r="V538" i="95"/>
  <c r="U538" i="95"/>
  <c r="T538" i="95"/>
  <c r="S538" i="95"/>
  <c r="R538" i="95"/>
  <c r="Q538" i="95"/>
  <c r="P538" i="95"/>
  <c r="O538" i="95"/>
  <c r="N538" i="95"/>
  <c r="M538" i="95"/>
  <c r="L538" i="95"/>
  <c r="J538" i="95" s="1"/>
  <c r="D538" i="95" s="1"/>
  <c r="K538" i="95"/>
  <c r="E538" i="95" s="1"/>
  <c r="I538" i="95"/>
  <c r="C538" i="95" s="1"/>
  <c r="H538" i="95"/>
  <c r="B538" i="95" s="1"/>
  <c r="G538" i="95"/>
  <c r="F538" i="95"/>
  <c r="AH537" i="95"/>
  <c r="AB537" i="95"/>
  <c r="AC537" i="95" s="1"/>
  <c r="AA537" i="95"/>
  <c r="Z537" i="95"/>
  <c r="Y537" i="95"/>
  <c r="X537" i="95"/>
  <c r="W537" i="95"/>
  <c r="V537" i="95"/>
  <c r="U537" i="95"/>
  <c r="T537" i="95"/>
  <c r="S537" i="95"/>
  <c r="R537" i="95"/>
  <c r="Q537" i="95"/>
  <c r="P537" i="95"/>
  <c r="O537" i="95"/>
  <c r="M537" i="95" s="1"/>
  <c r="N537" i="95"/>
  <c r="L537" i="95"/>
  <c r="J537" i="95" s="1"/>
  <c r="D537" i="95" s="1"/>
  <c r="K537" i="95"/>
  <c r="E537" i="95" s="1"/>
  <c r="I537" i="95"/>
  <c r="H537" i="95"/>
  <c r="G537" i="95"/>
  <c r="F537" i="95"/>
  <c r="C537" i="95"/>
  <c r="B537" i="95"/>
  <c r="AH536" i="95"/>
  <c r="AB536" i="95"/>
  <c r="AC536" i="95" s="1"/>
  <c r="AA536" i="95"/>
  <c r="Z536" i="95"/>
  <c r="Y536" i="95"/>
  <c r="X536" i="95"/>
  <c r="W536" i="95"/>
  <c r="V536" i="95"/>
  <c r="U536" i="95"/>
  <c r="T536" i="95"/>
  <c r="S536" i="95"/>
  <c r="R536" i="95"/>
  <c r="Q536" i="95"/>
  <c r="P536" i="95"/>
  <c r="O536" i="95"/>
  <c r="N536" i="95"/>
  <c r="M536" i="95"/>
  <c r="L536" i="95"/>
  <c r="K536" i="95"/>
  <c r="J536" i="95"/>
  <c r="D536" i="95" s="1"/>
  <c r="I536" i="95"/>
  <c r="C536" i="95" s="1"/>
  <c r="H536" i="95"/>
  <c r="G536" i="95"/>
  <c r="F536" i="95"/>
  <c r="E536" i="95"/>
  <c r="B536" i="95"/>
  <c r="AH535" i="95"/>
  <c r="AB535" i="95"/>
  <c r="AC535" i="95" s="1"/>
  <c r="AA535" i="95"/>
  <c r="Z535" i="95"/>
  <c r="Y535" i="95"/>
  <c r="X535" i="95"/>
  <c r="W535" i="95"/>
  <c r="V535" i="95"/>
  <c r="U535" i="95"/>
  <c r="T535" i="95"/>
  <c r="S535" i="95"/>
  <c r="R535" i="95"/>
  <c r="Q535" i="95"/>
  <c r="P535" i="95"/>
  <c r="O535" i="95"/>
  <c r="M535" i="95" s="1"/>
  <c r="N535" i="95"/>
  <c r="L535" i="95"/>
  <c r="K535" i="95"/>
  <c r="J535" i="95"/>
  <c r="D535" i="95" s="1"/>
  <c r="I535" i="95"/>
  <c r="H535" i="95"/>
  <c r="G535" i="95"/>
  <c r="F535" i="95"/>
  <c r="C535" i="95"/>
  <c r="B535" i="95"/>
  <c r="AH534" i="95"/>
  <c r="AC534" i="95"/>
  <c r="AB534" i="95"/>
  <c r="AA534" i="95"/>
  <c r="Z534" i="95"/>
  <c r="Y534" i="95"/>
  <c r="X534" i="95"/>
  <c r="W534" i="95"/>
  <c r="V534" i="95"/>
  <c r="U534" i="95"/>
  <c r="T534" i="95"/>
  <c r="S534" i="95"/>
  <c r="R534" i="95"/>
  <c r="Q534" i="95"/>
  <c r="P534" i="95"/>
  <c r="O534" i="95"/>
  <c r="N534" i="95"/>
  <c r="M534" i="95"/>
  <c r="L534" i="95"/>
  <c r="K534" i="95"/>
  <c r="J534" i="95"/>
  <c r="D534" i="95" s="1"/>
  <c r="I534" i="95"/>
  <c r="C534" i="95" s="1"/>
  <c r="H534" i="95"/>
  <c r="G534" i="95"/>
  <c r="F534" i="95"/>
  <c r="E534" i="95"/>
  <c r="B534" i="95"/>
  <c r="AH533" i="95"/>
  <c r="AB533" i="95"/>
  <c r="AC533" i="95" s="1"/>
  <c r="AA533" i="95"/>
  <c r="Z533" i="95"/>
  <c r="Y533" i="95"/>
  <c r="X533" i="95"/>
  <c r="W533" i="95"/>
  <c r="V533" i="95"/>
  <c r="U533" i="95"/>
  <c r="T533" i="95"/>
  <c r="S533" i="95"/>
  <c r="R533" i="95"/>
  <c r="Q533" i="95"/>
  <c r="P533" i="95"/>
  <c r="O533" i="95"/>
  <c r="M533" i="95" s="1"/>
  <c r="N533" i="95"/>
  <c r="L533" i="95"/>
  <c r="J533" i="95" s="1"/>
  <c r="D533" i="95" s="1"/>
  <c r="K533" i="95"/>
  <c r="I533" i="95"/>
  <c r="H533" i="95"/>
  <c r="B533" i="95" s="1"/>
  <c r="G533" i="95"/>
  <c r="F533" i="95"/>
  <c r="C533" i="95"/>
  <c r="AH532" i="95"/>
  <c r="AB532" i="95"/>
  <c r="AC532" i="95" s="1"/>
  <c r="AA532" i="95"/>
  <c r="Z532" i="95"/>
  <c r="Y532" i="95"/>
  <c r="X532" i="95"/>
  <c r="W532" i="95"/>
  <c r="V532" i="95"/>
  <c r="U532" i="95"/>
  <c r="T532" i="95"/>
  <c r="S532" i="95"/>
  <c r="R532" i="95"/>
  <c r="Q532" i="95"/>
  <c r="P532" i="95"/>
  <c r="O532" i="95"/>
  <c r="M532" i="95" s="1"/>
  <c r="N532" i="95"/>
  <c r="L532" i="95"/>
  <c r="J532" i="95" s="1"/>
  <c r="D532" i="95" s="1"/>
  <c r="K532" i="95"/>
  <c r="E532" i="95" s="1"/>
  <c r="I532" i="95"/>
  <c r="C532" i="95" s="1"/>
  <c r="H532" i="95"/>
  <c r="B532" i="95" s="1"/>
  <c r="G532" i="95"/>
  <c r="F532" i="95"/>
  <c r="AH531" i="95"/>
  <c r="AB531" i="95"/>
  <c r="AC531" i="95" s="1"/>
  <c r="AA531" i="95"/>
  <c r="Z531" i="95"/>
  <c r="Y531" i="95"/>
  <c r="X531" i="95"/>
  <c r="W531" i="95"/>
  <c r="V531" i="95"/>
  <c r="U531" i="95"/>
  <c r="T531" i="95"/>
  <c r="S531" i="95"/>
  <c r="R531" i="95"/>
  <c r="Q531" i="95"/>
  <c r="P531" i="95"/>
  <c r="O531" i="95"/>
  <c r="M531" i="95" s="1"/>
  <c r="N531" i="95"/>
  <c r="L531" i="95"/>
  <c r="J531" i="95" s="1"/>
  <c r="D531" i="95" s="1"/>
  <c r="K531" i="95"/>
  <c r="I531" i="95"/>
  <c r="H531" i="95"/>
  <c r="B531" i="95" s="1"/>
  <c r="G531" i="95"/>
  <c r="F531" i="95"/>
  <c r="C531" i="95"/>
  <c r="AH530" i="95"/>
  <c r="AB530" i="95"/>
  <c r="AC530" i="95" s="1"/>
  <c r="AA530" i="95"/>
  <c r="Z530" i="95"/>
  <c r="Y530" i="95"/>
  <c r="X530" i="95"/>
  <c r="W530" i="95"/>
  <c r="V530" i="95"/>
  <c r="U530" i="95"/>
  <c r="T530" i="95"/>
  <c r="S530" i="95"/>
  <c r="R530" i="95"/>
  <c r="Q530" i="95"/>
  <c r="P530" i="95"/>
  <c r="O530" i="95"/>
  <c r="N530" i="95"/>
  <c r="M530" i="95"/>
  <c r="L530" i="95"/>
  <c r="J530" i="95" s="1"/>
  <c r="K530" i="95"/>
  <c r="I530" i="95"/>
  <c r="C530" i="95" s="1"/>
  <c r="H530" i="95"/>
  <c r="B530" i="95" s="1"/>
  <c r="G530" i="95"/>
  <c r="F530" i="95"/>
  <c r="E530" i="95"/>
  <c r="D530" i="95"/>
  <c r="AH529" i="95"/>
  <c r="AB529" i="95"/>
  <c r="AC529" i="95" s="1"/>
  <c r="AA529" i="95"/>
  <c r="Z529" i="95"/>
  <c r="Y529" i="95"/>
  <c r="X529" i="95"/>
  <c r="W529" i="95"/>
  <c r="V529" i="95"/>
  <c r="U529" i="95"/>
  <c r="T529" i="95"/>
  <c r="S529" i="95"/>
  <c r="R529" i="95"/>
  <c r="Q529" i="95"/>
  <c r="P529" i="95"/>
  <c r="O529" i="95"/>
  <c r="M529" i="95" s="1"/>
  <c r="N529" i="95"/>
  <c r="L529" i="95"/>
  <c r="K529" i="95"/>
  <c r="J529" i="95"/>
  <c r="D529" i="95" s="1"/>
  <c r="I529" i="95"/>
  <c r="H529" i="95"/>
  <c r="G529" i="95"/>
  <c r="F529" i="95"/>
  <c r="C529" i="95"/>
  <c r="B529" i="95"/>
  <c r="AH528" i="95"/>
  <c r="AB528" i="95"/>
  <c r="AC528" i="95" s="1"/>
  <c r="AA528" i="95"/>
  <c r="Z528" i="95"/>
  <c r="Y528" i="95"/>
  <c r="X528" i="95"/>
  <c r="W528" i="95"/>
  <c r="V528" i="95"/>
  <c r="U528" i="95"/>
  <c r="T528" i="95"/>
  <c r="S528" i="95"/>
  <c r="R528" i="95"/>
  <c r="Q528" i="95"/>
  <c r="P528" i="95"/>
  <c r="O528" i="95"/>
  <c r="M528" i="95" s="1"/>
  <c r="N528" i="95"/>
  <c r="L528" i="95"/>
  <c r="J528" i="95" s="1"/>
  <c r="D528" i="95" s="1"/>
  <c r="K528" i="95"/>
  <c r="I528" i="95"/>
  <c r="C528" i="95" s="1"/>
  <c r="H528" i="95"/>
  <c r="G528" i="95"/>
  <c r="F528" i="95"/>
  <c r="E528" i="95"/>
  <c r="B528" i="95"/>
  <c r="AH527" i="95"/>
  <c r="AB527" i="95"/>
  <c r="AC527" i="95" s="1"/>
  <c r="AA527" i="95"/>
  <c r="Z527" i="95"/>
  <c r="Y527" i="95"/>
  <c r="X527" i="95"/>
  <c r="W527" i="95"/>
  <c r="V527" i="95"/>
  <c r="U527" i="95"/>
  <c r="T527" i="95"/>
  <c r="S527" i="95"/>
  <c r="R527" i="95"/>
  <c r="Q527" i="95"/>
  <c r="P527" i="95"/>
  <c r="O527" i="95"/>
  <c r="M527" i="95" s="1"/>
  <c r="N527" i="95"/>
  <c r="L527" i="95"/>
  <c r="K527" i="95"/>
  <c r="J527" i="95"/>
  <c r="D527" i="95" s="1"/>
  <c r="I527" i="95"/>
  <c r="H527" i="95"/>
  <c r="G527" i="95"/>
  <c r="F527" i="95"/>
  <c r="C527" i="95"/>
  <c r="B527" i="95"/>
  <c r="AH526" i="95"/>
  <c r="AC526" i="95"/>
  <c r="AB526" i="95"/>
  <c r="AA526" i="95"/>
  <c r="Z526" i="95"/>
  <c r="Y526" i="95"/>
  <c r="X526" i="95"/>
  <c r="W526" i="95"/>
  <c r="V526" i="95"/>
  <c r="U526" i="95"/>
  <c r="T526" i="95"/>
  <c r="S526" i="95"/>
  <c r="R526" i="95"/>
  <c r="Q526" i="95"/>
  <c r="P526" i="95"/>
  <c r="O526" i="95"/>
  <c r="N526" i="95"/>
  <c r="M526" i="95"/>
  <c r="L526" i="95"/>
  <c r="J526" i="95" s="1"/>
  <c r="D526" i="95" s="1"/>
  <c r="K526" i="95"/>
  <c r="E526" i="95" s="1"/>
  <c r="I526" i="95"/>
  <c r="C526" i="95" s="1"/>
  <c r="H526" i="95"/>
  <c r="B526" i="95" s="1"/>
  <c r="A526" i="95" s="1"/>
  <c r="G526" i="95"/>
  <c r="F526" i="95"/>
  <c r="AH525" i="95"/>
  <c r="AB525" i="95"/>
  <c r="AC525" i="95" s="1"/>
  <c r="AA525" i="95"/>
  <c r="Z525" i="95"/>
  <c r="Y525" i="95"/>
  <c r="X525" i="95"/>
  <c r="W525" i="95"/>
  <c r="V525" i="95"/>
  <c r="U525" i="95"/>
  <c r="T525" i="95"/>
  <c r="S525" i="95"/>
  <c r="R525" i="95"/>
  <c r="Q525" i="95"/>
  <c r="P525" i="95"/>
  <c r="O525" i="95"/>
  <c r="M525" i="95" s="1"/>
  <c r="N525" i="95"/>
  <c r="L525" i="95"/>
  <c r="J525" i="95" s="1"/>
  <c r="K525" i="95"/>
  <c r="I525" i="95"/>
  <c r="C525" i="95" s="1"/>
  <c r="H525" i="95"/>
  <c r="B525" i="95" s="1"/>
  <c r="G525" i="95"/>
  <c r="F525" i="95"/>
  <c r="D525" i="95"/>
  <c r="AH524" i="95"/>
  <c r="AB524" i="95"/>
  <c r="AC524" i="95" s="1"/>
  <c r="AA524" i="95"/>
  <c r="Z524" i="95"/>
  <c r="Y524" i="95"/>
  <c r="X524" i="95"/>
  <c r="W524" i="95"/>
  <c r="V524" i="95"/>
  <c r="U524" i="95"/>
  <c r="T524" i="95"/>
  <c r="S524" i="95"/>
  <c r="R524" i="95"/>
  <c r="Q524" i="95"/>
  <c r="P524" i="95"/>
  <c r="O524" i="95"/>
  <c r="N524" i="95"/>
  <c r="M524" i="95"/>
  <c r="L524" i="95"/>
  <c r="J524" i="95" s="1"/>
  <c r="D524" i="95" s="1"/>
  <c r="K524" i="95"/>
  <c r="E524" i="95" s="1"/>
  <c r="I524" i="95"/>
  <c r="C524" i="95" s="1"/>
  <c r="H524" i="95"/>
  <c r="B524" i="95" s="1"/>
  <c r="G524" i="95"/>
  <c r="F524" i="95"/>
  <c r="AH523" i="95"/>
  <c r="AB523" i="95"/>
  <c r="AC523" i="95" s="1"/>
  <c r="AA523" i="95"/>
  <c r="Z523" i="95"/>
  <c r="Y523" i="95"/>
  <c r="X523" i="95"/>
  <c r="W523" i="95"/>
  <c r="V523" i="95"/>
  <c r="U523" i="95"/>
  <c r="T523" i="95"/>
  <c r="S523" i="95"/>
  <c r="R523" i="95"/>
  <c r="Q523" i="95"/>
  <c r="P523" i="95"/>
  <c r="O523" i="95"/>
  <c r="M523" i="95" s="1"/>
  <c r="N523" i="95"/>
  <c r="L523" i="95"/>
  <c r="J523" i="95" s="1"/>
  <c r="K523" i="95"/>
  <c r="I523" i="95"/>
  <c r="C523" i="95" s="1"/>
  <c r="H523" i="95"/>
  <c r="B523" i="95" s="1"/>
  <c r="G523" i="95"/>
  <c r="F523" i="95"/>
  <c r="D523" i="95"/>
  <c r="AH522" i="95"/>
  <c r="AC522" i="95"/>
  <c r="AB522" i="95"/>
  <c r="AA522" i="95"/>
  <c r="Z522" i="95"/>
  <c r="Y522" i="95"/>
  <c r="X522" i="95"/>
  <c r="W522" i="95"/>
  <c r="V522" i="95"/>
  <c r="U522" i="95"/>
  <c r="T522" i="95"/>
  <c r="S522" i="95"/>
  <c r="R522" i="95"/>
  <c r="Q522" i="95"/>
  <c r="P522" i="95"/>
  <c r="O522" i="95"/>
  <c r="N522" i="95"/>
  <c r="M522" i="95"/>
  <c r="L522" i="95"/>
  <c r="J522" i="95" s="1"/>
  <c r="D522" i="95" s="1"/>
  <c r="K522" i="95"/>
  <c r="I522" i="95"/>
  <c r="C522" i="95" s="1"/>
  <c r="H522" i="95"/>
  <c r="G522" i="95"/>
  <c r="F522" i="95"/>
  <c r="E522" i="95"/>
  <c r="B522" i="95"/>
  <c r="AH521" i="95"/>
  <c r="AB521" i="95"/>
  <c r="AC521" i="95" s="1"/>
  <c r="AA521" i="95"/>
  <c r="Z521" i="95"/>
  <c r="Y521" i="95"/>
  <c r="X521" i="95"/>
  <c r="W521" i="95"/>
  <c r="V521" i="95"/>
  <c r="U521" i="95"/>
  <c r="T521" i="95"/>
  <c r="S521" i="95"/>
  <c r="R521" i="95"/>
  <c r="Q521" i="95"/>
  <c r="P521" i="95"/>
  <c r="O521" i="95"/>
  <c r="M521" i="95" s="1"/>
  <c r="N521" i="95"/>
  <c r="L521" i="95"/>
  <c r="J521" i="95" s="1"/>
  <c r="K521" i="95"/>
  <c r="I521" i="95"/>
  <c r="C521" i="95" s="1"/>
  <c r="H521" i="95"/>
  <c r="B521" i="95" s="1"/>
  <c r="G521" i="95"/>
  <c r="F521" i="95"/>
  <c r="D521" i="95"/>
  <c r="AH520" i="95"/>
  <c r="AB520" i="95"/>
  <c r="AC520" i="95" s="1"/>
  <c r="AA520" i="95"/>
  <c r="Z520" i="95"/>
  <c r="Y520" i="95"/>
  <c r="X520" i="95"/>
  <c r="W520" i="95"/>
  <c r="V520" i="95"/>
  <c r="U520" i="95"/>
  <c r="T520" i="95"/>
  <c r="S520" i="95"/>
  <c r="R520" i="95"/>
  <c r="Q520" i="95"/>
  <c r="P520" i="95"/>
  <c r="O520" i="95"/>
  <c r="M520" i="95" s="1"/>
  <c r="N520" i="95"/>
  <c r="L520" i="95"/>
  <c r="J520" i="95" s="1"/>
  <c r="D520" i="95" s="1"/>
  <c r="K520" i="95"/>
  <c r="I520" i="95"/>
  <c r="C520" i="95" s="1"/>
  <c r="H520" i="95"/>
  <c r="G520" i="95"/>
  <c r="F520" i="95"/>
  <c r="E520" i="95"/>
  <c r="B520" i="95"/>
  <c r="AH519" i="95"/>
  <c r="AB519" i="95"/>
  <c r="AC519" i="95" s="1"/>
  <c r="AA519" i="95"/>
  <c r="Z519" i="95"/>
  <c r="Y519" i="95"/>
  <c r="X519" i="95"/>
  <c r="W519" i="95"/>
  <c r="V519" i="95"/>
  <c r="U519" i="95"/>
  <c r="T519" i="95"/>
  <c r="S519" i="95"/>
  <c r="R519" i="95"/>
  <c r="Q519" i="95"/>
  <c r="P519" i="95"/>
  <c r="O519" i="95"/>
  <c r="M519" i="95" s="1"/>
  <c r="N519" i="95"/>
  <c r="L519" i="95"/>
  <c r="J519" i="95" s="1"/>
  <c r="D519" i="95" s="1"/>
  <c r="K519" i="95"/>
  <c r="I519" i="95"/>
  <c r="H519" i="95"/>
  <c r="B519" i="95" s="1"/>
  <c r="G519" i="95"/>
  <c r="F519" i="95"/>
  <c r="C519" i="95"/>
  <c r="AH518" i="95"/>
  <c r="AC518" i="95"/>
  <c r="AB518" i="95"/>
  <c r="AA518" i="95"/>
  <c r="Z518" i="95"/>
  <c r="Y518" i="95"/>
  <c r="X518" i="95"/>
  <c r="W518" i="95"/>
  <c r="V518" i="95"/>
  <c r="U518" i="95"/>
  <c r="T518" i="95"/>
  <c r="S518" i="95"/>
  <c r="R518" i="95"/>
  <c r="Q518" i="95"/>
  <c r="P518" i="95"/>
  <c r="O518" i="95"/>
  <c r="M518" i="95" s="1"/>
  <c r="N518" i="95"/>
  <c r="L518" i="95"/>
  <c r="K518" i="95"/>
  <c r="J518" i="95"/>
  <c r="D518" i="95" s="1"/>
  <c r="I518" i="95"/>
  <c r="C518" i="95" s="1"/>
  <c r="H518" i="95"/>
  <c r="G518" i="95"/>
  <c r="F518" i="95"/>
  <c r="B518" i="95"/>
  <c r="AH517" i="95"/>
  <c r="AB517" i="95"/>
  <c r="AC517" i="95" s="1"/>
  <c r="AA517" i="95"/>
  <c r="Z517" i="95"/>
  <c r="Y517" i="95"/>
  <c r="X517" i="95"/>
  <c r="W517" i="95"/>
  <c r="V517" i="95"/>
  <c r="U517" i="95"/>
  <c r="T517" i="95"/>
  <c r="S517" i="95"/>
  <c r="R517" i="95"/>
  <c r="Q517" i="95"/>
  <c r="P517" i="95"/>
  <c r="O517" i="95"/>
  <c r="M517" i="95" s="1"/>
  <c r="N517" i="95"/>
  <c r="L517" i="95"/>
  <c r="J517" i="95" s="1"/>
  <c r="D517" i="95" s="1"/>
  <c r="K517" i="95"/>
  <c r="I517" i="95"/>
  <c r="H517" i="95"/>
  <c r="B517" i="95" s="1"/>
  <c r="G517" i="95"/>
  <c r="F517" i="95"/>
  <c r="C517" i="95"/>
  <c r="AH516" i="95"/>
  <c r="AC516" i="95"/>
  <c r="AB516" i="95"/>
  <c r="AA516" i="95"/>
  <c r="Z516" i="95"/>
  <c r="Y516" i="95"/>
  <c r="X516" i="95"/>
  <c r="W516" i="95"/>
  <c r="V516" i="95"/>
  <c r="U516" i="95"/>
  <c r="T516" i="95"/>
  <c r="S516" i="95"/>
  <c r="R516" i="95"/>
  <c r="Q516" i="95"/>
  <c r="P516" i="95"/>
  <c r="O516" i="95"/>
  <c r="N516" i="95"/>
  <c r="M516" i="95"/>
  <c r="L516" i="95"/>
  <c r="J516" i="95" s="1"/>
  <c r="D516" i="95" s="1"/>
  <c r="K516" i="95"/>
  <c r="E516" i="95" s="1"/>
  <c r="I516" i="95"/>
  <c r="C516" i="95" s="1"/>
  <c r="H516" i="95"/>
  <c r="B516" i="95" s="1"/>
  <c r="G516" i="95"/>
  <c r="F516" i="95"/>
  <c r="AH515" i="95"/>
  <c r="AB515" i="95"/>
  <c r="AC515" i="95" s="1"/>
  <c r="AA515" i="95"/>
  <c r="Z515" i="95"/>
  <c r="Y515" i="95"/>
  <c r="X515" i="95"/>
  <c r="W515" i="95"/>
  <c r="V515" i="95"/>
  <c r="U515" i="95"/>
  <c r="T515" i="95"/>
  <c r="S515" i="95"/>
  <c r="R515" i="95"/>
  <c r="Q515" i="95"/>
  <c r="P515" i="95"/>
  <c r="O515" i="95"/>
  <c r="M515" i="95" s="1"/>
  <c r="N515" i="95"/>
  <c r="L515" i="95"/>
  <c r="J515" i="95" s="1"/>
  <c r="K515" i="95"/>
  <c r="I515" i="95"/>
  <c r="H515" i="95"/>
  <c r="B515" i="95" s="1"/>
  <c r="G515" i="95"/>
  <c r="F515" i="95"/>
  <c r="D515" i="95"/>
  <c r="C515" i="95"/>
  <c r="AH514" i="95"/>
  <c r="AB514" i="95"/>
  <c r="AC514" i="95" s="1"/>
  <c r="AA514" i="95"/>
  <c r="Z514" i="95"/>
  <c r="Y514" i="95"/>
  <c r="X514" i="95"/>
  <c r="W514" i="95"/>
  <c r="V514" i="95"/>
  <c r="U514" i="95"/>
  <c r="T514" i="95"/>
  <c r="S514" i="95"/>
  <c r="R514" i="95"/>
  <c r="Q514" i="95"/>
  <c r="P514" i="95"/>
  <c r="O514" i="95"/>
  <c r="M514" i="95" s="1"/>
  <c r="N514" i="95"/>
  <c r="L514" i="95"/>
  <c r="K514" i="95"/>
  <c r="E514" i="95" s="1"/>
  <c r="J514" i="95"/>
  <c r="D514" i="95" s="1"/>
  <c r="I514" i="95"/>
  <c r="C514" i="95" s="1"/>
  <c r="H514" i="95"/>
  <c r="G514" i="95"/>
  <c r="F514" i="95"/>
  <c r="B514" i="95"/>
  <c r="A514" i="95" s="1"/>
  <c r="AH513" i="95"/>
  <c r="AB513" i="95"/>
  <c r="AC513" i="95" s="1"/>
  <c r="AA513" i="95"/>
  <c r="Z513" i="95"/>
  <c r="Y513" i="95"/>
  <c r="X513" i="95"/>
  <c r="W513" i="95"/>
  <c r="V513" i="95"/>
  <c r="U513" i="95"/>
  <c r="T513" i="95"/>
  <c r="S513" i="95"/>
  <c r="R513" i="95"/>
  <c r="Q513" i="95"/>
  <c r="P513" i="95"/>
  <c r="O513" i="95"/>
  <c r="M513" i="95" s="1"/>
  <c r="N513" i="95"/>
  <c r="L513" i="95"/>
  <c r="J513" i="95" s="1"/>
  <c r="D513" i="95" s="1"/>
  <c r="K513" i="95"/>
  <c r="E513" i="95" s="1"/>
  <c r="I513" i="95"/>
  <c r="H513" i="95"/>
  <c r="B513" i="95" s="1"/>
  <c r="A513" i="95" s="1"/>
  <c r="G513" i="95"/>
  <c r="F513" i="95"/>
  <c r="C513" i="95"/>
  <c r="AH512" i="95"/>
  <c r="AC512" i="95"/>
  <c r="AB512" i="95"/>
  <c r="AA512" i="95"/>
  <c r="Z512" i="95"/>
  <c r="Y512" i="95"/>
  <c r="X512" i="95"/>
  <c r="W512" i="95"/>
  <c r="V512" i="95"/>
  <c r="U512" i="95"/>
  <c r="T512" i="95"/>
  <c r="S512" i="95"/>
  <c r="R512" i="95"/>
  <c r="Q512" i="95"/>
  <c r="P512" i="95"/>
  <c r="O512" i="95"/>
  <c r="M512" i="95" s="1"/>
  <c r="N512" i="95"/>
  <c r="L512" i="95"/>
  <c r="K512" i="95"/>
  <c r="E512" i="95" s="1"/>
  <c r="J512" i="95"/>
  <c r="D512" i="95" s="1"/>
  <c r="I512" i="95"/>
  <c r="C512" i="95" s="1"/>
  <c r="H512" i="95"/>
  <c r="G512" i="95"/>
  <c r="F512" i="95"/>
  <c r="B512" i="95"/>
  <c r="AH511" i="95"/>
  <c r="AB511" i="95"/>
  <c r="AC511" i="95" s="1"/>
  <c r="AA511" i="95"/>
  <c r="Z511" i="95"/>
  <c r="Y511" i="95"/>
  <c r="X511" i="95"/>
  <c r="W511" i="95"/>
  <c r="V511" i="95"/>
  <c r="U511" i="95"/>
  <c r="T511" i="95"/>
  <c r="S511" i="95"/>
  <c r="R511" i="95"/>
  <c r="Q511" i="95"/>
  <c r="P511" i="95"/>
  <c r="O511" i="95"/>
  <c r="M511" i="95" s="1"/>
  <c r="N511" i="95"/>
  <c r="L511" i="95"/>
  <c r="J511" i="95" s="1"/>
  <c r="D511" i="95" s="1"/>
  <c r="K511" i="95"/>
  <c r="E511" i="95" s="1"/>
  <c r="I511" i="95"/>
  <c r="H511" i="95"/>
  <c r="B511" i="95" s="1"/>
  <c r="G511" i="95"/>
  <c r="F511" i="95"/>
  <c r="C511" i="95"/>
  <c r="AH510" i="95"/>
  <c r="AB510" i="95"/>
  <c r="AC510" i="95" s="1"/>
  <c r="AA510" i="95"/>
  <c r="Z510" i="95"/>
  <c r="Y510" i="95"/>
  <c r="X510" i="95"/>
  <c r="W510" i="95"/>
  <c r="V510" i="95"/>
  <c r="U510" i="95"/>
  <c r="T510" i="95"/>
  <c r="S510" i="95"/>
  <c r="R510" i="95"/>
  <c r="Q510" i="95"/>
  <c r="P510" i="95"/>
  <c r="O510" i="95"/>
  <c r="N510" i="95"/>
  <c r="M510" i="95"/>
  <c r="L510" i="95"/>
  <c r="J510" i="95" s="1"/>
  <c r="D510" i="95" s="1"/>
  <c r="K510" i="95"/>
  <c r="I510" i="95"/>
  <c r="C510" i="95" s="1"/>
  <c r="H510" i="95"/>
  <c r="G510" i="95"/>
  <c r="F510" i="95"/>
  <c r="E510" i="95"/>
  <c r="B510" i="95"/>
  <c r="AH509" i="95"/>
  <c r="AB509" i="95"/>
  <c r="AC509" i="95" s="1"/>
  <c r="AA509" i="95"/>
  <c r="Z509" i="95"/>
  <c r="Y509" i="95"/>
  <c r="X509" i="95"/>
  <c r="W509" i="95"/>
  <c r="V509" i="95"/>
  <c r="U509" i="95"/>
  <c r="T509" i="95"/>
  <c r="S509" i="95"/>
  <c r="R509" i="95"/>
  <c r="Q509" i="95"/>
  <c r="P509" i="95"/>
  <c r="O509" i="95"/>
  <c r="M509" i="95" s="1"/>
  <c r="N509" i="95"/>
  <c r="L509" i="95"/>
  <c r="J509" i="95" s="1"/>
  <c r="D509" i="95" s="1"/>
  <c r="K509" i="95"/>
  <c r="I509" i="95"/>
  <c r="H509" i="95"/>
  <c r="B509" i="95" s="1"/>
  <c r="G509" i="95"/>
  <c r="F509" i="95"/>
  <c r="C509" i="95"/>
  <c r="AH508" i="95"/>
  <c r="AC508" i="95"/>
  <c r="AB508" i="95"/>
  <c r="AA508" i="95"/>
  <c r="Z508" i="95"/>
  <c r="Y508" i="95"/>
  <c r="X508" i="95"/>
  <c r="W508" i="95"/>
  <c r="V508" i="95"/>
  <c r="U508" i="95"/>
  <c r="T508" i="95"/>
  <c r="S508" i="95"/>
  <c r="R508" i="95"/>
  <c r="Q508" i="95"/>
  <c r="P508" i="95"/>
  <c r="O508" i="95"/>
  <c r="N508" i="95"/>
  <c r="M508" i="95"/>
  <c r="L508" i="95"/>
  <c r="K508" i="95"/>
  <c r="J508" i="95"/>
  <c r="D508" i="95" s="1"/>
  <c r="I508" i="95"/>
  <c r="C508" i="95" s="1"/>
  <c r="H508" i="95"/>
  <c r="G508" i="95"/>
  <c r="F508" i="95"/>
  <c r="E508" i="95"/>
  <c r="B508" i="95"/>
  <c r="AH507" i="95"/>
  <c r="AB507" i="95"/>
  <c r="AC507" i="95" s="1"/>
  <c r="AA507" i="95"/>
  <c r="Z507" i="95"/>
  <c r="Y507" i="95"/>
  <c r="X507" i="95"/>
  <c r="W507" i="95"/>
  <c r="V507" i="95"/>
  <c r="U507" i="95"/>
  <c r="T507" i="95"/>
  <c r="S507" i="95"/>
  <c r="R507" i="95"/>
  <c r="Q507" i="95"/>
  <c r="P507" i="95"/>
  <c r="O507" i="95"/>
  <c r="M507" i="95" s="1"/>
  <c r="N507" i="95"/>
  <c r="L507" i="95"/>
  <c r="J507" i="95" s="1"/>
  <c r="K507" i="95"/>
  <c r="I507" i="95"/>
  <c r="C507" i="95" s="1"/>
  <c r="H507" i="95"/>
  <c r="B507" i="95" s="1"/>
  <c r="G507" i="95"/>
  <c r="F507" i="95"/>
  <c r="D507" i="95"/>
  <c r="AH506" i="95"/>
  <c r="AC506" i="95"/>
  <c r="AB506" i="95"/>
  <c r="AA506" i="95"/>
  <c r="Z506" i="95"/>
  <c r="Y506" i="95"/>
  <c r="X506" i="95"/>
  <c r="W506" i="95"/>
  <c r="V506" i="95"/>
  <c r="U506" i="95"/>
  <c r="T506" i="95"/>
  <c r="S506" i="95"/>
  <c r="R506" i="95"/>
  <c r="Q506" i="95"/>
  <c r="P506" i="95"/>
  <c r="O506" i="95"/>
  <c r="N506" i="95"/>
  <c r="M506" i="95"/>
  <c r="L506" i="95"/>
  <c r="J506" i="95" s="1"/>
  <c r="D506" i="95" s="1"/>
  <c r="K506" i="95"/>
  <c r="I506" i="95"/>
  <c r="C506" i="95" s="1"/>
  <c r="H506" i="95"/>
  <c r="G506" i="95"/>
  <c r="F506" i="95"/>
  <c r="E506" i="95"/>
  <c r="B506" i="95"/>
  <c r="AH505" i="95"/>
  <c r="AB505" i="95"/>
  <c r="AC505" i="95" s="1"/>
  <c r="AA505" i="95"/>
  <c r="Z505" i="95"/>
  <c r="Y505" i="95"/>
  <c r="X505" i="95"/>
  <c r="W505" i="95"/>
  <c r="V505" i="95"/>
  <c r="U505" i="95"/>
  <c r="T505" i="95"/>
  <c r="S505" i="95"/>
  <c r="R505" i="95"/>
  <c r="Q505" i="95"/>
  <c r="P505" i="95"/>
  <c r="O505" i="95"/>
  <c r="M505" i="95" s="1"/>
  <c r="N505" i="95"/>
  <c r="L505" i="95"/>
  <c r="J505" i="95" s="1"/>
  <c r="K505" i="95"/>
  <c r="I505" i="95"/>
  <c r="C505" i="95" s="1"/>
  <c r="H505" i="95"/>
  <c r="B505" i="95" s="1"/>
  <c r="G505" i="95"/>
  <c r="F505" i="95"/>
  <c r="D505" i="95"/>
  <c r="AH504" i="95"/>
  <c r="AB504" i="95"/>
  <c r="AC504" i="95" s="1"/>
  <c r="AA504" i="95"/>
  <c r="Z504" i="95"/>
  <c r="Y504" i="95"/>
  <c r="X504" i="95"/>
  <c r="W504" i="95"/>
  <c r="V504" i="95"/>
  <c r="U504" i="95"/>
  <c r="T504" i="95"/>
  <c r="S504" i="95"/>
  <c r="R504" i="95"/>
  <c r="Q504" i="95"/>
  <c r="P504" i="95"/>
  <c r="O504" i="95"/>
  <c r="M504" i="95" s="1"/>
  <c r="N504" i="95"/>
  <c r="L504" i="95"/>
  <c r="J504" i="95" s="1"/>
  <c r="D504" i="95" s="1"/>
  <c r="K504" i="95"/>
  <c r="I504" i="95"/>
  <c r="C504" i="95" s="1"/>
  <c r="H504" i="95"/>
  <c r="G504" i="95"/>
  <c r="F504" i="95"/>
  <c r="E504" i="95"/>
  <c r="B504" i="95"/>
  <c r="AH503" i="95"/>
  <c r="AB503" i="95"/>
  <c r="AC503" i="95" s="1"/>
  <c r="AA503" i="95"/>
  <c r="Z503" i="95"/>
  <c r="Y503" i="95"/>
  <c r="X503" i="95"/>
  <c r="W503" i="95"/>
  <c r="V503" i="95"/>
  <c r="U503" i="95"/>
  <c r="T503" i="95"/>
  <c r="S503" i="95"/>
  <c r="R503" i="95"/>
  <c r="Q503" i="95"/>
  <c r="P503" i="95"/>
  <c r="O503" i="95"/>
  <c r="M503" i="95" s="1"/>
  <c r="N503" i="95"/>
  <c r="L503" i="95"/>
  <c r="J503" i="95" s="1"/>
  <c r="D503" i="95" s="1"/>
  <c r="K503" i="95"/>
  <c r="E503" i="95" s="1"/>
  <c r="I503" i="95"/>
  <c r="H503" i="95"/>
  <c r="B503" i="95" s="1"/>
  <c r="G503" i="95"/>
  <c r="F503" i="95"/>
  <c r="C503" i="95"/>
  <c r="AH502" i="95"/>
  <c r="AC502" i="95"/>
  <c r="AB502" i="95"/>
  <c r="AA502" i="95"/>
  <c r="Z502" i="95"/>
  <c r="Y502" i="95"/>
  <c r="X502" i="95"/>
  <c r="W502" i="95"/>
  <c r="V502" i="95"/>
  <c r="U502" i="95"/>
  <c r="T502" i="95"/>
  <c r="S502" i="95"/>
  <c r="R502" i="95"/>
  <c r="Q502" i="95"/>
  <c r="P502" i="95"/>
  <c r="O502" i="95"/>
  <c r="N502" i="95"/>
  <c r="M502" i="95"/>
  <c r="L502" i="95"/>
  <c r="K502" i="95"/>
  <c r="J502" i="95"/>
  <c r="D502" i="95" s="1"/>
  <c r="I502" i="95"/>
  <c r="C502" i="95" s="1"/>
  <c r="H502" i="95"/>
  <c r="G502" i="95"/>
  <c r="F502" i="95"/>
  <c r="E502" i="95"/>
  <c r="B502" i="95"/>
  <c r="AH501" i="95"/>
  <c r="AB501" i="95"/>
  <c r="AC501" i="95" s="1"/>
  <c r="AA501" i="95"/>
  <c r="Z501" i="95"/>
  <c r="Y501" i="95"/>
  <c r="X501" i="95"/>
  <c r="W501" i="95"/>
  <c r="V501" i="95"/>
  <c r="U501" i="95"/>
  <c r="T501" i="95"/>
  <c r="S501" i="95"/>
  <c r="R501" i="95"/>
  <c r="Q501" i="95"/>
  <c r="P501" i="95"/>
  <c r="O501" i="95"/>
  <c r="M501" i="95" s="1"/>
  <c r="N501" i="95"/>
  <c r="L501" i="95"/>
  <c r="J501" i="95" s="1"/>
  <c r="D501" i="95" s="1"/>
  <c r="K501" i="95"/>
  <c r="E501" i="95" s="1"/>
  <c r="I501" i="95"/>
  <c r="H501" i="95"/>
  <c r="B501" i="95" s="1"/>
  <c r="G501" i="95"/>
  <c r="F501" i="95"/>
  <c r="C501" i="95"/>
  <c r="AH500" i="95"/>
  <c r="AC500" i="95"/>
  <c r="AB500" i="95"/>
  <c r="AA500" i="95"/>
  <c r="Z500" i="95"/>
  <c r="Y500" i="95"/>
  <c r="X500" i="95"/>
  <c r="W500" i="95"/>
  <c r="V500" i="95"/>
  <c r="U500" i="95"/>
  <c r="T500" i="95"/>
  <c r="S500" i="95"/>
  <c r="R500" i="95"/>
  <c r="Q500" i="95"/>
  <c r="P500" i="95"/>
  <c r="O500" i="95"/>
  <c r="N500" i="95"/>
  <c r="M500" i="95"/>
  <c r="L500" i="95"/>
  <c r="K500" i="95"/>
  <c r="J500" i="95"/>
  <c r="D500" i="95" s="1"/>
  <c r="I500" i="95"/>
  <c r="C500" i="95" s="1"/>
  <c r="H500" i="95"/>
  <c r="G500" i="95"/>
  <c r="F500" i="95"/>
  <c r="E500" i="95"/>
  <c r="B500" i="95"/>
  <c r="AH499" i="95"/>
  <c r="AB499" i="95"/>
  <c r="AC499" i="95" s="1"/>
  <c r="AA499" i="95"/>
  <c r="Z499" i="95"/>
  <c r="Y499" i="95"/>
  <c r="X499" i="95"/>
  <c r="W499" i="95"/>
  <c r="V499" i="95"/>
  <c r="U499" i="95"/>
  <c r="T499" i="95"/>
  <c r="S499" i="95"/>
  <c r="R499" i="95"/>
  <c r="Q499" i="95"/>
  <c r="P499" i="95"/>
  <c r="O499" i="95"/>
  <c r="M499" i="95" s="1"/>
  <c r="N499" i="95"/>
  <c r="L499" i="95"/>
  <c r="J499" i="95" s="1"/>
  <c r="D499" i="95" s="1"/>
  <c r="K499" i="95"/>
  <c r="E499" i="95" s="1"/>
  <c r="I499" i="95"/>
  <c r="C499" i="95" s="1"/>
  <c r="H499" i="95"/>
  <c r="G499" i="95"/>
  <c r="F499" i="95"/>
  <c r="B499" i="95"/>
  <c r="AH498" i="95"/>
  <c r="AC498" i="95"/>
  <c r="AB498" i="95"/>
  <c r="AA498" i="95"/>
  <c r="Z498" i="95"/>
  <c r="Y498" i="95"/>
  <c r="X498" i="95"/>
  <c r="W498" i="95"/>
  <c r="V498" i="95"/>
  <c r="U498" i="95"/>
  <c r="T498" i="95"/>
  <c r="S498" i="95"/>
  <c r="R498" i="95"/>
  <c r="Q498" i="95"/>
  <c r="P498" i="95"/>
  <c r="O498" i="95"/>
  <c r="M498" i="95" s="1"/>
  <c r="N498" i="95"/>
  <c r="L498" i="95"/>
  <c r="J498" i="95" s="1"/>
  <c r="D498" i="95" s="1"/>
  <c r="K498" i="95"/>
  <c r="I498" i="95"/>
  <c r="C498" i="95" s="1"/>
  <c r="H498" i="95"/>
  <c r="G498" i="95"/>
  <c r="F498" i="95"/>
  <c r="B498" i="95"/>
  <c r="AH497" i="95"/>
  <c r="AB497" i="95"/>
  <c r="AC497" i="95" s="1"/>
  <c r="AA497" i="95"/>
  <c r="Z497" i="95"/>
  <c r="Y497" i="95"/>
  <c r="X497" i="95"/>
  <c r="W497" i="95"/>
  <c r="V497" i="95"/>
  <c r="U497" i="95"/>
  <c r="T497" i="95"/>
  <c r="S497" i="95"/>
  <c r="R497" i="95"/>
  <c r="Q497" i="95"/>
  <c r="P497" i="95"/>
  <c r="O497" i="95"/>
  <c r="M497" i="95" s="1"/>
  <c r="N497" i="95"/>
  <c r="L497" i="95"/>
  <c r="J497" i="95" s="1"/>
  <c r="D497" i="95" s="1"/>
  <c r="K497" i="95"/>
  <c r="I497" i="95"/>
  <c r="H497" i="95"/>
  <c r="B497" i="95" s="1"/>
  <c r="G497" i="95"/>
  <c r="F497" i="95"/>
  <c r="C497" i="95"/>
  <c r="AH496" i="95"/>
  <c r="AB496" i="95"/>
  <c r="AC496" i="95" s="1"/>
  <c r="AA496" i="95"/>
  <c r="Z496" i="95"/>
  <c r="Y496" i="95"/>
  <c r="X496" i="95"/>
  <c r="W496" i="95"/>
  <c r="V496" i="95"/>
  <c r="U496" i="95"/>
  <c r="T496" i="95"/>
  <c r="S496" i="95"/>
  <c r="R496" i="95"/>
  <c r="Q496" i="95"/>
  <c r="P496" i="95"/>
  <c r="O496" i="95"/>
  <c r="N496" i="95"/>
  <c r="M496" i="95"/>
  <c r="L496" i="95"/>
  <c r="J496" i="95" s="1"/>
  <c r="D496" i="95" s="1"/>
  <c r="K496" i="95"/>
  <c r="I496" i="95"/>
  <c r="C496" i="95" s="1"/>
  <c r="H496" i="95"/>
  <c r="B496" i="95" s="1"/>
  <c r="G496" i="95"/>
  <c r="F496" i="95"/>
  <c r="E496" i="95"/>
  <c r="AH495" i="95"/>
  <c r="AB495" i="95"/>
  <c r="AC495" i="95" s="1"/>
  <c r="AA495" i="95"/>
  <c r="Z495" i="95"/>
  <c r="Y495" i="95"/>
  <c r="X495" i="95"/>
  <c r="W495" i="95"/>
  <c r="V495" i="95"/>
  <c r="U495" i="95"/>
  <c r="T495" i="95"/>
  <c r="S495" i="95"/>
  <c r="R495" i="95"/>
  <c r="Q495" i="95"/>
  <c r="P495" i="95"/>
  <c r="O495" i="95"/>
  <c r="M495" i="95" s="1"/>
  <c r="N495" i="95"/>
  <c r="L495" i="95"/>
  <c r="J495" i="95" s="1"/>
  <c r="D495" i="95" s="1"/>
  <c r="K495" i="95"/>
  <c r="E495" i="95" s="1"/>
  <c r="I495" i="95"/>
  <c r="H495" i="95"/>
  <c r="G495" i="95"/>
  <c r="F495" i="95"/>
  <c r="C495" i="95"/>
  <c r="B495" i="95"/>
  <c r="AH494" i="95"/>
  <c r="AC494" i="95"/>
  <c r="AB494" i="95"/>
  <c r="AA494" i="95"/>
  <c r="Z494" i="95"/>
  <c r="Y494" i="95"/>
  <c r="X494" i="95"/>
  <c r="W494" i="95"/>
  <c r="V494" i="95"/>
  <c r="U494" i="95"/>
  <c r="T494" i="95"/>
  <c r="S494" i="95"/>
  <c r="R494" i="95"/>
  <c r="Q494" i="95"/>
  <c r="P494" i="95"/>
  <c r="O494" i="95"/>
  <c r="N494" i="95"/>
  <c r="M494" i="95"/>
  <c r="L494" i="95"/>
  <c r="J494" i="95" s="1"/>
  <c r="D494" i="95" s="1"/>
  <c r="K494" i="95"/>
  <c r="E494" i="95" s="1"/>
  <c r="I494" i="95"/>
  <c r="C494" i="95" s="1"/>
  <c r="H494" i="95"/>
  <c r="G494" i="95"/>
  <c r="F494" i="95"/>
  <c r="B494" i="95"/>
  <c r="AH493" i="95"/>
  <c r="AB493" i="95"/>
  <c r="AC493" i="95" s="1"/>
  <c r="AA493" i="95"/>
  <c r="Z493" i="95"/>
  <c r="Y493" i="95"/>
  <c r="X493" i="95"/>
  <c r="W493" i="95"/>
  <c r="V493" i="95"/>
  <c r="U493" i="95"/>
  <c r="T493" i="95"/>
  <c r="S493" i="95"/>
  <c r="R493" i="95"/>
  <c r="Q493" i="95"/>
  <c r="P493" i="95"/>
  <c r="O493" i="95"/>
  <c r="M493" i="95" s="1"/>
  <c r="N493" i="95"/>
  <c r="L493" i="95"/>
  <c r="K493" i="95"/>
  <c r="J493" i="95"/>
  <c r="D493" i="95" s="1"/>
  <c r="I493" i="95"/>
  <c r="H493" i="95"/>
  <c r="B493" i="95" s="1"/>
  <c r="G493" i="95"/>
  <c r="F493" i="95"/>
  <c r="C493" i="95"/>
  <c r="AH492" i="95"/>
  <c r="AB492" i="95"/>
  <c r="AC492" i="95" s="1"/>
  <c r="AA492" i="95"/>
  <c r="Z492" i="95"/>
  <c r="Y492" i="95"/>
  <c r="X492" i="95"/>
  <c r="W492" i="95"/>
  <c r="V492" i="95"/>
  <c r="U492" i="95"/>
  <c r="T492" i="95"/>
  <c r="S492" i="95"/>
  <c r="R492" i="95"/>
  <c r="Q492" i="95"/>
  <c r="P492" i="95"/>
  <c r="O492" i="95"/>
  <c r="M492" i="95" s="1"/>
  <c r="N492" i="95"/>
  <c r="L492" i="95"/>
  <c r="K492" i="95"/>
  <c r="E492" i="95" s="1"/>
  <c r="J492" i="95"/>
  <c r="D492" i="95" s="1"/>
  <c r="I492" i="95"/>
  <c r="C492" i="95" s="1"/>
  <c r="H492" i="95"/>
  <c r="B492" i="95" s="1"/>
  <c r="G492" i="95"/>
  <c r="F492" i="95"/>
  <c r="AH491" i="95"/>
  <c r="AB491" i="95"/>
  <c r="AC491" i="95" s="1"/>
  <c r="AA491" i="95"/>
  <c r="Z491" i="95"/>
  <c r="Y491" i="95"/>
  <c r="X491" i="95"/>
  <c r="W491" i="95"/>
  <c r="V491" i="95"/>
  <c r="U491" i="95"/>
  <c r="T491" i="95"/>
  <c r="S491" i="95"/>
  <c r="R491" i="95"/>
  <c r="Q491" i="95"/>
  <c r="P491" i="95"/>
  <c r="O491" i="95"/>
  <c r="M491" i="95" s="1"/>
  <c r="N491" i="95"/>
  <c r="L491" i="95"/>
  <c r="J491" i="95" s="1"/>
  <c r="D491" i="95" s="1"/>
  <c r="K491" i="95"/>
  <c r="E491" i="95" s="1"/>
  <c r="I491" i="95"/>
  <c r="C491" i="95" s="1"/>
  <c r="H491" i="95"/>
  <c r="G491" i="95"/>
  <c r="F491" i="95"/>
  <c r="B491" i="95"/>
  <c r="AH490" i="95"/>
  <c r="AC490" i="95"/>
  <c r="AB490" i="95"/>
  <c r="AA490" i="95"/>
  <c r="Z490" i="95"/>
  <c r="Y490" i="95"/>
  <c r="X490" i="95"/>
  <c r="W490" i="95"/>
  <c r="V490" i="95"/>
  <c r="U490" i="95"/>
  <c r="T490" i="95"/>
  <c r="S490" i="95"/>
  <c r="R490" i="95"/>
  <c r="Q490" i="95"/>
  <c r="P490" i="95"/>
  <c r="O490" i="95"/>
  <c r="M490" i="95" s="1"/>
  <c r="N490" i="95"/>
  <c r="L490" i="95"/>
  <c r="J490" i="95" s="1"/>
  <c r="D490" i="95" s="1"/>
  <c r="K490" i="95"/>
  <c r="I490" i="95"/>
  <c r="C490" i="95" s="1"/>
  <c r="H490" i="95"/>
  <c r="G490" i="95"/>
  <c r="F490" i="95"/>
  <c r="B490" i="95"/>
  <c r="AH489" i="95"/>
  <c r="AB489" i="95"/>
  <c r="AC489" i="95" s="1"/>
  <c r="AA489" i="95"/>
  <c r="Z489" i="95"/>
  <c r="Y489" i="95"/>
  <c r="X489" i="95"/>
  <c r="W489" i="95"/>
  <c r="V489" i="95"/>
  <c r="U489" i="95"/>
  <c r="T489" i="95"/>
  <c r="S489" i="95"/>
  <c r="R489" i="95"/>
  <c r="Q489" i="95"/>
  <c r="P489" i="95"/>
  <c r="O489" i="95"/>
  <c r="M489" i="95" s="1"/>
  <c r="N489" i="95"/>
  <c r="L489" i="95"/>
  <c r="J489" i="95" s="1"/>
  <c r="D489" i="95" s="1"/>
  <c r="K489" i="95"/>
  <c r="I489" i="95"/>
  <c r="H489" i="95"/>
  <c r="B489" i="95" s="1"/>
  <c r="G489" i="95"/>
  <c r="F489" i="95"/>
  <c r="C489" i="95"/>
  <c r="AH488" i="95"/>
  <c r="AB488" i="95"/>
  <c r="AC488" i="95" s="1"/>
  <c r="AA488" i="95"/>
  <c r="Z488" i="95"/>
  <c r="Y488" i="95"/>
  <c r="X488" i="95"/>
  <c r="W488" i="95"/>
  <c r="V488" i="95"/>
  <c r="U488" i="95"/>
  <c r="T488" i="95"/>
  <c r="S488" i="95"/>
  <c r="R488" i="95"/>
  <c r="Q488" i="95"/>
  <c r="P488" i="95"/>
  <c r="O488" i="95"/>
  <c r="M488" i="95" s="1"/>
  <c r="N488" i="95"/>
  <c r="L488" i="95"/>
  <c r="J488" i="95" s="1"/>
  <c r="D488" i="95" s="1"/>
  <c r="K488" i="95"/>
  <c r="I488" i="95"/>
  <c r="C488" i="95" s="1"/>
  <c r="H488" i="95"/>
  <c r="B488" i="95" s="1"/>
  <c r="G488" i="95"/>
  <c r="F488" i="95"/>
  <c r="AH487" i="95"/>
  <c r="AB487" i="95"/>
  <c r="AC487" i="95" s="1"/>
  <c r="AA487" i="95"/>
  <c r="Z487" i="95"/>
  <c r="Y487" i="95"/>
  <c r="X487" i="95"/>
  <c r="W487" i="95"/>
  <c r="V487" i="95"/>
  <c r="U487" i="95"/>
  <c r="T487" i="95"/>
  <c r="S487" i="95"/>
  <c r="R487" i="95"/>
  <c r="Q487" i="95"/>
  <c r="P487" i="95"/>
  <c r="O487" i="95"/>
  <c r="M487" i="95" s="1"/>
  <c r="N487" i="95"/>
  <c r="L487" i="95"/>
  <c r="K487" i="95"/>
  <c r="J487" i="95"/>
  <c r="D487" i="95" s="1"/>
  <c r="I487" i="95"/>
  <c r="H487" i="95"/>
  <c r="B487" i="95" s="1"/>
  <c r="G487" i="95"/>
  <c r="F487" i="95"/>
  <c r="C487" i="95"/>
  <c r="AH486" i="95"/>
  <c r="AB486" i="95"/>
  <c r="AC486" i="95" s="1"/>
  <c r="AA486" i="95"/>
  <c r="Z486" i="95"/>
  <c r="Y486" i="95"/>
  <c r="X486" i="95"/>
  <c r="W486" i="95"/>
  <c r="V486" i="95"/>
  <c r="U486" i="95"/>
  <c r="T486" i="95"/>
  <c r="S486" i="95"/>
  <c r="R486" i="95"/>
  <c r="Q486" i="95"/>
  <c r="P486" i="95"/>
  <c r="O486" i="95"/>
  <c r="M486" i="95" s="1"/>
  <c r="N486" i="95"/>
  <c r="L486" i="95"/>
  <c r="K486" i="95"/>
  <c r="E486" i="95" s="1"/>
  <c r="J486" i="95"/>
  <c r="D486" i="95" s="1"/>
  <c r="I486" i="95"/>
  <c r="C486" i="95" s="1"/>
  <c r="H486" i="95"/>
  <c r="G486" i="95"/>
  <c r="F486" i="95"/>
  <c r="B486" i="95"/>
  <c r="AH485" i="95"/>
  <c r="AB485" i="95"/>
  <c r="AC485" i="95" s="1"/>
  <c r="AA485" i="95"/>
  <c r="Z485" i="95"/>
  <c r="Y485" i="95"/>
  <c r="X485" i="95"/>
  <c r="W485" i="95"/>
  <c r="V485" i="95"/>
  <c r="U485" i="95"/>
  <c r="T485" i="95"/>
  <c r="S485" i="95"/>
  <c r="R485" i="95"/>
  <c r="Q485" i="95"/>
  <c r="P485" i="95"/>
  <c r="O485" i="95"/>
  <c r="M485" i="95" s="1"/>
  <c r="N485" i="95"/>
  <c r="L485" i="95"/>
  <c r="J485" i="95" s="1"/>
  <c r="D485" i="95" s="1"/>
  <c r="K485" i="95"/>
  <c r="I485" i="95"/>
  <c r="H485" i="95"/>
  <c r="B485" i="95" s="1"/>
  <c r="G485" i="95"/>
  <c r="F485" i="95"/>
  <c r="C485" i="95"/>
  <c r="AH484" i="95"/>
  <c r="AB484" i="95"/>
  <c r="AC484" i="95" s="1"/>
  <c r="AA484" i="95"/>
  <c r="Z484" i="95"/>
  <c r="Y484" i="95"/>
  <c r="X484" i="95"/>
  <c r="W484" i="95"/>
  <c r="V484" i="95"/>
  <c r="U484" i="95"/>
  <c r="T484" i="95"/>
  <c r="S484" i="95"/>
  <c r="R484" i="95"/>
  <c r="Q484" i="95"/>
  <c r="P484" i="95"/>
  <c r="O484" i="95"/>
  <c r="N484" i="95"/>
  <c r="M484" i="95"/>
  <c r="L484" i="95"/>
  <c r="J484" i="95" s="1"/>
  <c r="D484" i="95" s="1"/>
  <c r="K484" i="95"/>
  <c r="I484" i="95"/>
  <c r="C484" i="95" s="1"/>
  <c r="H484" i="95"/>
  <c r="B484" i="95" s="1"/>
  <c r="G484" i="95"/>
  <c r="F484" i="95"/>
  <c r="E484" i="95"/>
  <c r="AH483" i="95"/>
  <c r="AB483" i="95"/>
  <c r="AC483" i="95" s="1"/>
  <c r="AA483" i="95"/>
  <c r="Z483" i="95"/>
  <c r="Y483" i="95"/>
  <c r="X483" i="95"/>
  <c r="W483" i="95"/>
  <c r="V483" i="95"/>
  <c r="U483" i="95"/>
  <c r="T483" i="95"/>
  <c r="S483" i="95"/>
  <c r="R483" i="95"/>
  <c r="Q483" i="95"/>
  <c r="P483" i="95"/>
  <c r="O483" i="95"/>
  <c r="M483" i="95" s="1"/>
  <c r="N483" i="95"/>
  <c r="L483" i="95"/>
  <c r="J483" i="95" s="1"/>
  <c r="D483" i="95" s="1"/>
  <c r="K483" i="95"/>
  <c r="I483" i="95"/>
  <c r="H483" i="95"/>
  <c r="G483" i="95"/>
  <c r="F483" i="95"/>
  <c r="C483" i="95"/>
  <c r="B483" i="95"/>
  <c r="AH482" i="95"/>
  <c r="AB482" i="95"/>
  <c r="AC482" i="95" s="1"/>
  <c r="AA482" i="95"/>
  <c r="Z482" i="95"/>
  <c r="Y482" i="95"/>
  <c r="X482" i="95"/>
  <c r="W482" i="95"/>
  <c r="V482" i="95"/>
  <c r="U482" i="95"/>
  <c r="T482" i="95"/>
  <c r="S482" i="95"/>
  <c r="R482" i="95"/>
  <c r="Q482" i="95"/>
  <c r="P482" i="95"/>
  <c r="O482" i="95"/>
  <c r="M482" i="95" s="1"/>
  <c r="N482" i="95"/>
  <c r="L482" i="95"/>
  <c r="J482" i="95" s="1"/>
  <c r="D482" i="95" s="1"/>
  <c r="K482" i="95"/>
  <c r="I482" i="95"/>
  <c r="C482" i="95" s="1"/>
  <c r="H482" i="95"/>
  <c r="G482" i="95"/>
  <c r="F482" i="95"/>
  <c r="E482" i="95"/>
  <c r="B482" i="95"/>
  <c r="AH481" i="95"/>
  <c r="AB481" i="95"/>
  <c r="AC481" i="95" s="1"/>
  <c r="AA481" i="95"/>
  <c r="Z481" i="95"/>
  <c r="Y481" i="95"/>
  <c r="X481" i="95"/>
  <c r="W481" i="95"/>
  <c r="V481" i="95"/>
  <c r="U481" i="95"/>
  <c r="T481" i="95"/>
  <c r="S481" i="95"/>
  <c r="R481" i="95"/>
  <c r="Q481" i="95"/>
  <c r="P481" i="95"/>
  <c r="O481" i="95"/>
  <c r="M481" i="95" s="1"/>
  <c r="N481" i="95"/>
  <c r="L481" i="95"/>
  <c r="J481" i="95" s="1"/>
  <c r="D481" i="95" s="1"/>
  <c r="K481" i="95"/>
  <c r="I481" i="95"/>
  <c r="H481" i="95"/>
  <c r="B481" i="95" s="1"/>
  <c r="G481" i="95"/>
  <c r="F481" i="95"/>
  <c r="C481" i="95"/>
  <c r="AH480" i="95"/>
  <c r="AB480" i="95"/>
  <c r="AC480" i="95" s="1"/>
  <c r="AA480" i="95"/>
  <c r="Z480" i="95"/>
  <c r="Y480" i="95"/>
  <c r="X480" i="95"/>
  <c r="W480" i="95"/>
  <c r="V480" i="95"/>
  <c r="U480" i="95"/>
  <c r="T480" i="95"/>
  <c r="S480" i="95"/>
  <c r="R480" i="95"/>
  <c r="Q480" i="95"/>
  <c r="P480" i="95"/>
  <c r="O480" i="95"/>
  <c r="M480" i="95" s="1"/>
  <c r="N480" i="95"/>
  <c r="L480" i="95"/>
  <c r="J480" i="95" s="1"/>
  <c r="D480" i="95" s="1"/>
  <c r="K480" i="95"/>
  <c r="I480" i="95"/>
  <c r="C480" i="95" s="1"/>
  <c r="H480" i="95"/>
  <c r="B480" i="95" s="1"/>
  <c r="G480" i="95"/>
  <c r="F480" i="95"/>
  <c r="E480" i="95"/>
  <c r="AH479" i="95"/>
  <c r="AB479" i="95"/>
  <c r="AC479" i="95" s="1"/>
  <c r="AA479" i="95"/>
  <c r="Z479" i="95"/>
  <c r="Y479" i="95"/>
  <c r="X479" i="95"/>
  <c r="W479" i="95"/>
  <c r="V479" i="95"/>
  <c r="U479" i="95"/>
  <c r="T479" i="95"/>
  <c r="S479" i="95"/>
  <c r="R479" i="95"/>
  <c r="Q479" i="95"/>
  <c r="P479" i="95"/>
  <c r="O479" i="95"/>
  <c r="M479" i="95" s="1"/>
  <c r="N479" i="95"/>
  <c r="L479" i="95"/>
  <c r="K479" i="95"/>
  <c r="E479" i="95" s="1"/>
  <c r="J479" i="95"/>
  <c r="I479" i="95"/>
  <c r="C479" i="95" s="1"/>
  <c r="H479" i="95"/>
  <c r="G479" i="95"/>
  <c r="F479" i="95"/>
  <c r="D479" i="95"/>
  <c r="B479" i="95"/>
  <c r="AH478" i="95"/>
  <c r="AC478" i="95"/>
  <c r="AB478" i="95"/>
  <c r="AA478" i="95"/>
  <c r="Z478" i="95"/>
  <c r="Y478" i="95"/>
  <c r="X478" i="95"/>
  <c r="W478" i="95"/>
  <c r="V478" i="95"/>
  <c r="U478" i="95"/>
  <c r="T478" i="95"/>
  <c r="S478" i="95"/>
  <c r="R478" i="95"/>
  <c r="Q478" i="95"/>
  <c r="P478" i="95"/>
  <c r="O478" i="95"/>
  <c r="N478" i="95"/>
  <c r="M478" i="95"/>
  <c r="L478" i="95"/>
  <c r="K478" i="95"/>
  <c r="J478" i="95"/>
  <c r="D478" i="95" s="1"/>
  <c r="I478" i="95"/>
  <c r="C478" i="95" s="1"/>
  <c r="H478" i="95"/>
  <c r="G478" i="95"/>
  <c r="F478" i="95"/>
  <c r="E478" i="95"/>
  <c r="B478" i="95"/>
  <c r="AH477" i="95"/>
  <c r="AB477" i="95"/>
  <c r="AC477" i="95" s="1"/>
  <c r="AA477" i="95"/>
  <c r="Z477" i="95"/>
  <c r="Y477" i="95"/>
  <c r="X477" i="95"/>
  <c r="W477" i="95"/>
  <c r="V477" i="95"/>
  <c r="U477" i="95"/>
  <c r="T477" i="95"/>
  <c r="S477" i="95"/>
  <c r="R477" i="95"/>
  <c r="Q477" i="95"/>
  <c r="P477" i="95"/>
  <c r="O477" i="95"/>
  <c r="M477" i="95" s="1"/>
  <c r="N477" i="95"/>
  <c r="L477" i="95"/>
  <c r="K477" i="95"/>
  <c r="J477" i="95"/>
  <c r="D477" i="95" s="1"/>
  <c r="I477" i="95"/>
  <c r="H477" i="95"/>
  <c r="B477" i="95" s="1"/>
  <c r="G477" i="95"/>
  <c r="F477" i="95"/>
  <c r="C477" i="95"/>
  <c r="AH476" i="95"/>
  <c r="AB476" i="95"/>
  <c r="AC476" i="95" s="1"/>
  <c r="AA476" i="95"/>
  <c r="Z476" i="95"/>
  <c r="Y476" i="95"/>
  <c r="X476" i="95"/>
  <c r="W476" i="95"/>
  <c r="V476" i="95"/>
  <c r="U476" i="95"/>
  <c r="T476" i="95"/>
  <c r="S476" i="95"/>
  <c r="R476" i="95"/>
  <c r="Q476" i="95"/>
  <c r="P476" i="95"/>
  <c r="O476" i="95"/>
  <c r="M476" i="95" s="1"/>
  <c r="N476" i="95"/>
  <c r="L476" i="95"/>
  <c r="J476" i="95" s="1"/>
  <c r="D476" i="95" s="1"/>
  <c r="K476" i="95"/>
  <c r="E476" i="95" s="1"/>
  <c r="I476" i="95"/>
  <c r="C476" i="95" s="1"/>
  <c r="H476" i="95"/>
  <c r="B476" i="95" s="1"/>
  <c r="G476" i="95"/>
  <c r="F476" i="95"/>
  <c r="AH475" i="95"/>
  <c r="AB475" i="95"/>
  <c r="AC475" i="95" s="1"/>
  <c r="AA475" i="95"/>
  <c r="Z475" i="95"/>
  <c r="Y475" i="95"/>
  <c r="X475" i="95"/>
  <c r="W475" i="95"/>
  <c r="V475" i="95"/>
  <c r="U475" i="95"/>
  <c r="T475" i="95"/>
  <c r="S475" i="95"/>
  <c r="R475" i="95"/>
  <c r="Q475" i="95"/>
  <c r="P475" i="95"/>
  <c r="O475" i="95"/>
  <c r="M475" i="95" s="1"/>
  <c r="N475" i="95"/>
  <c r="L475" i="95"/>
  <c r="J475" i="95" s="1"/>
  <c r="D475" i="95" s="1"/>
  <c r="K475" i="95"/>
  <c r="I475" i="95"/>
  <c r="C475" i="95" s="1"/>
  <c r="H475" i="95"/>
  <c r="G475" i="95"/>
  <c r="F475" i="95"/>
  <c r="B475" i="95"/>
  <c r="AH474" i="95"/>
  <c r="AC474" i="95"/>
  <c r="AB474" i="95"/>
  <c r="AA474" i="95"/>
  <c r="Z474" i="95"/>
  <c r="Y474" i="95"/>
  <c r="X474" i="95"/>
  <c r="W474" i="95"/>
  <c r="V474" i="95"/>
  <c r="U474" i="95"/>
  <c r="T474" i="95"/>
  <c r="S474" i="95"/>
  <c r="R474" i="95"/>
  <c r="Q474" i="95"/>
  <c r="P474" i="95"/>
  <c r="O474" i="95"/>
  <c r="M474" i="95" s="1"/>
  <c r="N474" i="95"/>
  <c r="L474" i="95"/>
  <c r="J474" i="95" s="1"/>
  <c r="D474" i="95" s="1"/>
  <c r="K474" i="95"/>
  <c r="E474" i="95" s="1"/>
  <c r="I474" i="95"/>
  <c r="C474" i="95" s="1"/>
  <c r="H474" i="95"/>
  <c r="G474" i="95"/>
  <c r="F474" i="95"/>
  <c r="B474" i="95"/>
  <c r="AH473" i="95"/>
  <c r="AB473" i="95"/>
  <c r="AC473" i="95" s="1"/>
  <c r="AA473" i="95"/>
  <c r="Z473" i="95"/>
  <c r="Y473" i="95"/>
  <c r="X473" i="95"/>
  <c r="W473" i="95"/>
  <c r="V473" i="95"/>
  <c r="U473" i="95"/>
  <c r="T473" i="95"/>
  <c r="S473" i="95"/>
  <c r="R473" i="95"/>
  <c r="Q473" i="95"/>
  <c r="P473" i="95"/>
  <c r="O473" i="95"/>
  <c r="M473" i="95" s="1"/>
  <c r="N473" i="95"/>
  <c r="L473" i="95"/>
  <c r="J473" i="95" s="1"/>
  <c r="D473" i="95" s="1"/>
  <c r="K473" i="95"/>
  <c r="I473" i="95"/>
  <c r="H473" i="95"/>
  <c r="B473" i="95" s="1"/>
  <c r="G473" i="95"/>
  <c r="F473" i="95"/>
  <c r="C473" i="95"/>
  <c r="AH472" i="95"/>
  <c r="AB472" i="95"/>
  <c r="AC472" i="95" s="1"/>
  <c r="AA472" i="95"/>
  <c r="Z472" i="95"/>
  <c r="Y472" i="95"/>
  <c r="X472" i="95"/>
  <c r="W472" i="95"/>
  <c r="V472" i="95"/>
  <c r="U472" i="95"/>
  <c r="T472" i="95"/>
  <c r="S472" i="95"/>
  <c r="R472" i="95"/>
  <c r="Q472" i="95"/>
  <c r="P472" i="95"/>
  <c r="O472" i="95"/>
  <c r="M472" i="95" s="1"/>
  <c r="N472" i="95"/>
  <c r="L472" i="95"/>
  <c r="J472" i="95" s="1"/>
  <c r="D472" i="95" s="1"/>
  <c r="K472" i="95"/>
  <c r="E472" i="95" s="1"/>
  <c r="I472" i="95"/>
  <c r="C472" i="95" s="1"/>
  <c r="H472" i="95"/>
  <c r="B472" i="95" s="1"/>
  <c r="G472" i="95"/>
  <c r="F472" i="95"/>
  <c r="AH471" i="95"/>
  <c r="AB471" i="95"/>
  <c r="AC471" i="95" s="1"/>
  <c r="AA471" i="95"/>
  <c r="Z471" i="95"/>
  <c r="Y471" i="95"/>
  <c r="X471" i="95"/>
  <c r="W471" i="95"/>
  <c r="V471" i="95"/>
  <c r="U471" i="95"/>
  <c r="T471" i="95"/>
  <c r="S471" i="95"/>
  <c r="R471" i="95"/>
  <c r="Q471" i="95"/>
  <c r="P471" i="95"/>
  <c r="O471" i="95"/>
  <c r="M471" i="95" s="1"/>
  <c r="N471" i="95"/>
  <c r="L471" i="95"/>
  <c r="K471" i="95"/>
  <c r="J471" i="95"/>
  <c r="D471" i="95" s="1"/>
  <c r="I471" i="95"/>
  <c r="H471" i="95"/>
  <c r="G471" i="95"/>
  <c r="F471" i="95"/>
  <c r="C471" i="95"/>
  <c r="B471" i="95"/>
  <c r="AH470" i="95"/>
  <c r="AB470" i="95"/>
  <c r="AC470" i="95" s="1"/>
  <c r="AA470" i="95"/>
  <c r="Z470" i="95"/>
  <c r="Y470" i="95"/>
  <c r="X470" i="95"/>
  <c r="W470" i="95"/>
  <c r="V470" i="95"/>
  <c r="U470" i="95"/>
  <c r="T470" i="95"/>
  <c r="S470" i="95"/>
  <c r="R470" i="95"/>
  <c r="Q470" i="95"/>
  <c r="P470" i="95"/>
  <c r="O470" i="95"/>
  <c r="M470" i="95" s="1"/>
  <c r="N470" i="95"/>
  <c r="L470" i="95"/>
  <c r="K470" i="95"/>
  <c r="E470" i="95" s="1"/>
  <c r="J470" i="95"/>
  <c r="D470" i="95" s="1"/>
  <c r="I470" i="95"/>
  <c r="C470" i="95" s="1"/>
  <c r="H470" i="95"/>
  <c r="G470" i="95"/>
  <c r="F470" i="95"/>
  <c r="B470" i="95"/>
  <c r="AH469" i="95"/>
  <c r="AB469" i="95"/>
  <c r="AC469" i="95" s="1"/>
  <c r="AA469" i="95"/>
  <c r="Z469" i="95"/>
  <c r="Y469" i="95"/>
  <c r="X469" i="95"/>
  <c r="W469" i="95"/>
  <c r="V469" i="95"/>
  <c r="U469" i="95"/>
  <c r="T469" i="95"/>
  <c r="S469" i="95"/>
  <c r="R469" i="95"/>
  <c r="Q469" i="95"/>
  <c r="P469" i="95"/>
  <c r="O469" i="95"/>
  <c r="M469" i="95" s="1"/>
  <c r="N469" i="95"/>
  <c r="L469" i="95"/>
  <c r="J469" i="95" s="1"/>
  <c r="D469" i="95" s="1"/>
  <c r="K469" i="95"/>
  <c r="I469" i="95"/>
  <c r="H469" i="95"/>
  <c r="B469" i="95" s="1"/>
  <c r="G469" i="95"/>
  <c r="F469" i="95"/>
  <c r="C469" i="95"/>
  <c r="AH468" i="95"/>
  <c r="AB468" i="95"/>
  <c r="AC468" i="95" s="1"/>
  <c r="AA468" i="95"/>
  <c r="Z468" i="95"/>
  <c r="Y468" i="95"/>
  <c r="X468" i="95"/>
  <c r="W468" i="95"/>
  <c r="V468" i="95"/>
  <c r="U468" i="95"/>
  <c r="T468" i="95"/>
  <c r="S468" i="95"/>
  <c r="R468" i="95"/>
  <c r="Q468" i="95"/>
  <c r="P468" i="95"/>
  <c r="O468" i="95"/>
  <c r="N468" i="95"/>
  <c r="M468" i="95"/>
  <c r="L468" i="95"/>
  <c r="J468" i="95" s="1"/>
  <c r="D468" i="95" s="1"/>
  <c r="K468" i="95"/>
  <c r="I468" i="95"/>
  <c r="C468" i="95" s="1"/>
  <c r="H468" i="95"/>
  <c r="B468" i="95" s="1"/>
  <c r="G468" i="95"/>
  <c r="F468" i="95"/>
  <c r="E468" i="95"/>
  <c r="AH467" i="95"/>
  <c r="AB467" i="95"/>
  <c r="AC467" i="95" s="1"/>
  <c r="AA467" i="95"/>
  <c r="Z467" i="95"/>
  <c r="Y467" i="95"/>
  <c r="X467" i="95"/>
  <c r="W467" i="95"/>
  <c r="V467" i="95"/>
  <c r="U467" i="95"/>
  <c r="T467" i="95"/>
  <c r="S467" i="95"/>
  <c r="R467" i="95"/>
  <c r="Q467" i="95"/>
  <c r="P467" i="95"/>
  <c r="O467" i="95"/>
  <c r="M467" i="95" s="1"/>
  <c r="N467" i="95"/>
  <c r="L467" i="95"/>
  <c r="J467" i="95" s="1"/>
  <c r="D467" i="95" s="1"/>
  <c r="K467" i="95"/>
  <c r="I467" i="95"/>
  <c r="H467" i="95"/>
  <c r="G467" i="95"/>
  <c r="F467" i="95"/>
  <c r="C467" i="95"/>
  <c r="B467" i="95"/>
  <c r="AH466" i="95"/>
  <c r="AB466" i="95"/>
  <c r="AC466" i="95" s="1"/>
  <c r="AA466" i="95"/>
  <c r="Z466" i="95"/>
  <c r="Y466" i="95"/>
  <c r="X466" i="95"/>
  <c r="W466" i="95"/>
  <c r="V466" i="95"/>
  <c r="U466" i="95"/>
  <c r="T466" i="95"/>
  <c r="S466" i="95"/>
  <c r="R466" i="95"/>
  <c r="Q466" i="95"/>
  <c r="P466" i="95"/>
  <c r="O466" i="95"/>
  <c r="M466" i="95" s="1"/>
  <c r="N466" i="95"/>
  <c r="L466" i="95"/>
  <c r="J466" i="95" s="1"/>
  <c r="D466" i="95" s="1"/>
  <c r="K466" i="95"/>
  <c r="I466" i="95"/>
  <c r="C466" i="95" s="1"/>
  <c r="H466" i="95"/>
  <c r="G466" i="95"/>
  <c r="F466" i="95"/>
  <c r="E466" i="95"/>
  <c r="B466" i="95"/>
  <c r="AH465" i="95"/>
  <c r="AB465" i="95"/>
  <c r="AC465" i="95" s="1"/>
  <c r="AA465" i="95"/>
  <c r="Z465" i="95"/>
  <c r="Y465" i="95"/>
  <c r="X465" i="95"/>
  <c r="W465" i="95"/>
  <c r="V465" i="95"/>
  <c r="U465" i="95"/>
  <c r="T465" i="95"/>
  <c r="S465" i="95"/>
  <c r="R465" i="95"/>
  <c r="Q465" i="95"/>
  <c r="P465" i="95"/>
  <c r="O465" i="95"/>
  <c r="M465" i="95" s="1"/>
  <c r="N465" i="95"/>
  <c r="L465" i="95"/>
  <c r="J465" i="95" s="1"/>
  <c r="D465" i="95" s="1"/>
  <c r="K465" i="95"/>
  <c r="I465" i="95"/>
  <c r="H465" i="95"/>
  <c r="B465" i="95" s="1"/>
  <c r="G465" i="95"/>
  <c r="F465" i="95"/>
  <c r="C465" i="95"/>
  <c r="AH464" i="95"/>
  <c r="AB464" i="95"/>
  <c r="AC464" i="95" s="1"/>
  <c r="AA464" i="95"/>
  <c r="Z464" i="95"/>
  <c r="Y464" i="95"/>
  <c r="X464" i="95"/>
  <c r="W464" i="95"/>
  <c r="V464" i="95"/>
  <c r="U464" i="95"/>
  <c r="T464" i="95"/>
  <c r="S464" i="95"/>
  <c r="R464" i="95"/>
  <c r="Q464" i="95"/>
  <c r="P464" i="95"/>
  <c r="O464" i="95"/>
  <c r="M464" i="95" s="1"/>
  <c r="N464" i="95"/>
  <c r="L464" i="95"/>
  <c r="J464" i="95" s="1"/>
  <c r="D464" i="95" s="1"/>
  <c r="K464" i="95"/>
  <c r="I464" i="95"/>
  <c r="C464" i="95" s="1"/>
  <c r="H464" i="95"/>
  <c r="B464" i="95" s="1"/>
  <c r="G464" i="95"/>
  <c r="F464" i="95"/>
  <c r="E464" i="95"/>
  <c r="AH463" i="95"/>
  <c r="AB463" i="95"/>
  <c r="AC463" i="95" s="1"/>
  <c r="AA463" i="95"/>
  <c r="Z463" i="95"/>
  <c r="Y463" i="95"/>
  <c r="X463" i="95"/>
  <c r="W463" i="95"/>
  <c r="V463" i="95"/>
  <c r="U463" i="95"/>
  <c r="T463" i="95"/>
  <c r="S463" i="95"/>
  <c r="R463" i="95"/>
  <c r="Q463" i="95"/>
  <c r="P463" i="95"/>
  <c r="O463" i="95"/>
  <c r="M463" i="95" s="1"/>
  <c r="N463" i="95"/>
  <c r="L463" i="95"/>
  <c r="K463" i="95"/>
  <c r="J463" i="95"/>
  <c r="I463" i="95"/>
  <c r="C463" i="95" s="1"/>
  <c r="H463" i="95"/>
  <c r="G463" i="95"/>
  <c r="F463" i="95"/>
  <c r="D463" i="95"/>
  <c r="B463" i="95"/>
  <c r="AH462" i="95"/>
  <c r="AC462" i="95"/>
  <c r="AB462" i="95"/>
  <c r="AA462" i="95"/>
  <c r="Z462" i="95"/>
  <c r="Y462" i="95"/>
  <c r="X462" i="95"/>
  <c r="W462" i="95"/>
  <c r="V462" i="95"/>
  <c r="U462" i="95"/>
  <c r="T462" i="95"/>
  <c r="S462" i="95"/>
  <c r="R462" i="95"/>
  <c r="Q462" i="95"/>
  <c r="P462" i="95"/>
  <c r="O462" i="95"/>
  <c r="N462" i="95"/>
  <c r="M462" i="95"/>
  <c r="L462" i="95"/>
  <c r="K462" i="95"/>
  <c r="J462" i="95"/>
  <c r="D462" i="95" s="1"/>
  <c r="I462" i="95"/>
  <c r="C462" i="95" s="1"/>
  <c r="H462" i="95"/>
  <c r="G462" i="95"/>
  <c r="F462" i="95"/>
  <c r="E462" i="95"/>
  <c r="B462" i="95"/>
  <c r="AH461" i="95"/>
  <c r="AB461" i="95"/>
  <c r="AC461" i="95" s="1"/>
  <c r="AA461" i="95"/>
  <c r="Z461" i="95"/>
  <c r="Y461" i="95"/>
  <c r="X461" i="95"/>
  <c r="W461" i="95"/>
  <c r="V461" i="95"/>
  <c r="U461" i="95"/>
  <c r="T461" i="95"/>
  <c r="S461" i="95"/>
  <c r="R461" i="95"/>
  <c r="Q461" i="95"/>
  <c r="P461" i="95"/>
  <c r="O461" i="95"/>
  <c r="M461" i="95" s="1"/>
  <c r="N461" i="95"/>
  <c r="L461" i="95"/>
  <c r="K461" i="95"/>
  <c r="J461" i="95"/>
  <c r="D461" i="95" s="1"/>
  <c r="I461" i="95"/>
  <c r="H461" i="95"/>
  <c r="B461" i="95" s="1"/>
  <c r="G461" i="95"/>
  <c r="F461" i="95"/>
  <c r="C461" i="95"/>
  <c r="AH460" i="95"/>
  <c r="AB460" i="95"/>
  <c r="AC460" i="95" s="1"/>
  <c r="AA460" i="95"/>
  <c r="Z460" i="95"/>
  <c r="Y460" i="95"/>
  <c r="X460" i="95"/>
  <c r="W460" i="95"/>
  <c r="V460" i="95"/>
  <c r="U460" i="95"/>
  <c r="T460" i="95"/>
  <c r="S460" i="95"/>
  <c r="R460" i="95"/>
  <c r="Q460" i="95"/>
  <c r="P460" i="95"/>
  <c r="O460" i="95"/>
  <c r="M460" i="95" s="1"/>
  <c r="N460" i="95"/>
  <c r="L460" i="95"/>
  <c r="J460" i="95" s="1"/>
  <c r="D460" i="95" s="1"/>
  <c r="K460" i="95"/>
  <c r="E460" i="95" s="1"/>
  <c r="I460" i="95"/>
  <c r="C460" i="95" s="1"/>
  <c r="H460" i="95"/>
  <c r="B460" i="95" s="1"/>
  <c r="G460" i="95"/>
  <c r="F460" i="95"/>
  <c r="AH459" i="95"/>
  <c r="AB459" i="95"/>
  <c r="AC459" i="95" s="1"/>
  <c r="AA459" i="95"/>
  <c r="Z459" i="95"/>
  <c r="Y459" i="95"/>
  <c r="X459" i="95"/>
  <c r="W459" i="95"/>
  <c r="V459" i="95"/>
  <c r="U459" i="95"/>
  <c r="T459" i="95"/>
  <c r="S459" i="95"/>
  <c r="R459" i="95"/>
  <c r="Q459" i="95"/>
  <c r="P459" i="95"/>
  <c r="O459" i="95"/>
  <c r="M459" i="95" s="1"/>
  <c r="N459" i="95"/>
  <c r="L459" i="95"/>
  <c r="J459" i="95" s="1"/>
  <c r="D459" i="95" s="1"/>
  <c r="K459" i="95"/>
  <c r="I459" i="95"/>
  <c r="H459" i="95"/>
  <c r="G459" i="95"/>
  <c r="F459" i="95"/>
  <c r="C459" i="95"/>
  <c r="B459" i="95"/>
  <c r="AH458" i="95"/>
  <c r="AB458" i="95"/>
  <c r="AC458" i="95" s="1"/>
  <c r="AA458" i="95"/>
  <c r="Z458" i="95"/>
  <c r="Y458" i="95"/>
  <c r="X458" i="95"/>
  <c r="W458" i="95"/>
  <c r="V458" i="95"/>
  <c r="U458" i="95"/>
  <c r="T458" i="95"/>
  <c r="S458" i="95"/>
  <c r="R458" i="95"/>
  <c r="Q458" i="95"/>
  <c r="P458" i="95"/>
  <c r="O458" i="95"/>
  <c r="M458" i="95" s="1"/>
  <c r="N458" i="95"/>
  <c r="L458" i="95"/>
  <c r="J458" i="95" s="1"/>
  <c r="D458" i="95" s="1"/>
  <c r="K458" i="95"/>
  <c r="E458" i="95" s="1"/>
  <c r="I458" i="95"/>
  <c r="C458" i="95" s="1"/>
  <c r="H458" i="95"/>
  <c r="G458" i="95"/>
  <c r="F458" i="95"/>
  <c r="B458" i="95"/>
  <c r="AH457" i="95"/>
  <c r="AB457" i="95"/>
  <c r="AC457" i="95" s="1"/>
  <c r="AA457" i="95"/>
  <c r="Z457" i="95"/>
  <c r="Y457" i="95"/>
  <c r="X457" i="95"/>
  <c r="W457" i="95"/>
  <c r="V457" i="95"/>
  <c r="U457" i="95"/>
  <c r="T457" i="95"/>
  <c r="S457" i="95"/>
  <c r="R457" i="95"/>
  <c r="Q457" i="95"/>
  <c r="P457" i="95"/>
  <c r="O457" i="95"/>
  <c r="M457" i="95" s="1"/>
  <c r="N457" i="95"/>
  <c r="L457" i="95"/>
  <c r="J457" i="95" s="1"/>
  <c r="D457" i="95" s="1"/>
  <c r="K457" i="95"/>
  <c r="I457" i="95"/>
  <c r="H457" i="95"/>
  <c r="B457" i="95" s="1"/>
  <c r="G457" i="95"/>
  <c r="F457" i="95"/>
  <c r="C457" i="95"/>
  <c r="AH456" i="95"/>
  <c r="AB456" i="95"/>
  <c r="AC456" i="95" s="1"/>
  <c r="AA456" i="95"/>
  <c r="Z456" i="95"/>
  <c r="Y456" i="95"/>
  <c r="X456" i="95"/>
  <c r="W456" i="95"/>
  <c r="V456" i="95"/>
  <c r="U456" i="95"/>
  <c r="T456" i="95"/>
  <c r="S456" i="95"/>
  <c r="R456" i="95"/>
  <c r="Q456" i="95"/>
  <c r="P456" i="95"/>
  <c r="O456" i="95"/>
  <c r="M456" i="95" s="1"/>
  <c r="N456" i="95"/>
  <c r="L456" i="95"/>
  <c r="J456" i="95" s="1"/>
  <c r="D456" i="95" s="1"/>
  <c r="K456" i="95"/>
  <c r="E456" i="95" s="1"/>
  <c r="I456" i="95"/>
  <c r="C456" i="95" s="1"/>
  <c r="H456" i="95"/>
  <c r="B456" i="95" s="1"/>
  <c r="G456" i="95"/>
  <c r="F456" i="95"/>
  <c r="AH455" i="95"/>
  <c r="AB455" i="95"/>
  <c r="AC455" i="95" s="1"/>
  <c r="AA455" i="95"/>
  <c r="Z455" i="95"/>
  <c r="Y455" i="95"/>
  <c r="X455" i="95"/>
  <c r="W455" i="95"/>
  <c r="V455" i="95"/>
  <c r="U455" i="95"/>
  <c r="T455" i="95"/>
  <c r="S455" i="95"/>
  <c r="R455" i="95"/>
  <c r="Q455" i="95"/>
  <c r="P455" i="95"/>
  <c r="O455" i="95"/>
  <c r="M455" i="95" s="1"/>
  <c r="N455" i="95"/>
  <c r="L455" i="95"/>
  <c r="K455" i="95"/>
  <c r="J455" i="95"/>
  <c r="D455" i="95" s="1"/>
  <c r="I455" i="95"/>
  <c r="H455" i="95"/>
  <c r="G455" i="95"/>
  <c r="F455" i="95"/>
  <c r="C455" i="95"/>
  <c r="B455" i="95"/>
  <c r="AH454" i="95"/>
  <c r="AB454" i="95"/>
  <c r="AC454" i="95" s="1"/>
  <c r="AA454" i="95"/>
  <c r="Z454" i="95"/>
  <c r="Y454" i="95"/>
  <c r="X454" i="95"/>
  <c r="W454" i="95"/>
  <c r="V454" i="95"/>
  <c r="U454" i="95"/>
  <c r="T454" i="95"/>
  <c r="S454" i="95"/>
  <c r="R454" i="95"/>
  <c r="Q454" i="95"/>
  <c r="P454" i="95"/>
  <c r="O454" i="95"/>
  <c r="M454" i="95" s="1"/>
  <c r="N454" i="95"/>
  <c r="L454" i="95"/>
  <c r="K454" i="95"/>
  <c r="E454" i="95" s="1"/>
  <c r="J454" i="95"/>
  <c r="D454" i="95" s="1"/>
  <c r="I454" i="95"/>
  <c r="C454" i="95" s="1"/>
  <c r="H454" i="95"/>
  <c r="G454" i="95"/>
  <c r="F454" i="95"/>
  <c r="B454" i="95"/>
  <c r="AH453" i="95"/>
  <c r="AB453" i="95"/>
  <c r="AC453" i="95" s="1"/>
  <c r="AA453" i="95"/>
  <c r="Z453" i="95"/>
  <c r="Y453" i="95"/>
  <c r="X453" i="95"/>
  <c r="W453" i="95"/>
  <c r="V453" i="95"/>
  <c r="U453" i="95"/>
  <c r="T453" i="95"/>
  <c r="S453" i="95"/>
  <c r="R453" i="95"/>
  <c r="Q453" i="95"/>
  <c r="P453" i="95"/>
  <c r="O453" i="95"/>
  <c r="M453" i="95" s="1"/>
  <c r="N453" i="95"/>
  <c r="L453" i="95"/>
  <c r="J453" i="95" s="1"/>
  <c r="D453" i="95" s="1"/>
  <c r="K453" i="95"/>
  <c r="I453" i="95"/>
  <c r="H453" i="95"/>
  <c r="B453" i="95" s="1"/>
  <c r="G453" i="95"/>
  <c r="F453" i="95"/>
  <c r="C453" i="95"/>
  <c r="AH452" i="95"/>
  <c r="AB452" i="95"/>
  <c r="AC452" i="95" s="1"/>
  <c r="AA452" i="95"/>
  <c r="Z452" i="95"/>
  <c r="Y452" i="95"/>
  <c r="X452" i="95"/>
  <c r="W452" i="95"/>
  <c r="V452" i="95"/>
  <c r="U452" i="95"/>
  <c r="T452" i="95"/>
  <c r="S452" i="95"/>
  <c r="R452" i="95"/>
  <c r="Q452" i="95"/>
  <c r="P452" i="95"/>
  <c r="O452" i="95"/>
  <c r="N452" i="95"/>
  <c r="M452" i="95"/>
  <c r="L452" i="95"/>
  <c r="J452" i="95" s="1"/>
  <c r="D452" i="95" s="1"/>
  <c r="K452" i="95"/>
  <c r="I452" i="95"/>
  <c r="C452" i="95" s="1"/>
  <c r="H452" i="95"/>
  <c r="B452" i="95" s="1"/>
  <c r="G452" i="95"/>
  <c r="F452" i="95"/>
  <c r="E452" i="95"/>
  <c r="AH451" i="95"/>
  <c r="AB451" i="95"/>
  <c r="AC451" i="95" s="1"/>
  <c r="AA451" i="95"/>
  <c r="Z451" i="95"/>
  <c r="Y451" i="95"/>
  <c r="X451" i="95"/>
  <c r="W451" i="95"/>
  <c r="V451" i="95"/>
  <c r="U451" i="95"/>
  <c r="T451" i="95"/>
  <c r="S451" i="95"/>
  <c r="R451" i="95"/>
  <c r="Q451" i="95"/>
  <c r="P451" i="95"/>
  <c r="O451" i="95"/>
  <c r="M451" i="95" s="1"/>
  <c r="N451" i="95"/>
  <c r="L451" i="95"/>
  <c r="J451" i="95" s="1"/>
  <c r="D451" i="95" s="1"/>
  <c r="K451" i="95"/>
  <c r="I451" i="95"/>
  <c r="H451" i="95"/>
  <c r="G451" i="95"/>
  <c r="F451" i="95"/>
  <c r="C451" i="95"/>
  <c r="B451" i="95"/>
  <c r="AH450" i="95"/>
  <c r="AB450" i="95"/>
  <c r="AC450" i="95" s="1"/>
  <c r="AA450" i="95"/>
  <c r="Z450" i="95"/>
  <c r="Y450" i="95"/>
  <c r="X450" i="95"/>
  <c r="W450" i="95"/>
  <c r="V450" i="95"/>
  <c r="U450" i="95"/>
  <c r="T450" i="95"/>
  <c r="S450" i="95"/>
  <c r="R450" i="95"/>
  <c r="Q450" i="95"/>
  <c r="P450" i="95"/>
  <c r="O450" i="95"/>
  <c r="M450" i="95" s="1"/>
  <c r="N450" i="95"/>
  <c r="L450" i="95"/>
  <c r="J450" i="95" s="1"/>
  <c r="D450" i="95" s="1"/>
  <c r="K450" i="95"/>
  <c r="I450" i="95"/>
  <c r="C450" i="95" s="1"/>
  <c r="H450" i="95"/>
  <c r="G450" i="95"/>
  <c r="F450" i="95"/>
  <c r="E450" i="95"/>
  <c r="B450" i="95"/>
  <c r="AH449" i="95"/>
  <c r="AB449" i="95"/>
  <c r="AC449" i="95" s="1"/>
  <c r="AA449" i="95"/>
  <c r="Z449" i="95"/>
  <c r="Y449" i="95"/>
  <c r="X449" i="95"/>
  <c r="W449" i="95"/>
  <c r="V449" i="95"/>
  <c r="U449" i="95"/>
  <c r="T449" i="95"/>
  <c r="S449" i="95"/>
  <c r="R449" i="95"/>
  <c r="Q449" i="95"/>
  <c r="P449" i="95"/>
  <c r="O449" i="95"/>
  <c r="M449" i="95" s="1"/>
  <c r="N449" i="95"/>
  <c r="L449" i="95"/>
  <c r="J449" i="95" s="1"/>
  <c r="D449" i="95" s="1"/>
  <c r="K449" i="95"/>
  <c r="I449" i="95"/>
  <c r="H449" i="95"/>
  <c r="B449" i="95" s="1"/>
  <c r="G449" i="95"/>
  <c r="F449" i="95"/>
  <c r="C449" i="95"/>
  <c r="AH448" i="95"/>
  <c r="AB448" i="95"/>
  <c r="AC448" i="95" s="1"/>
  <c r="AA448" i="95"/>
  <c r="Z448" i="95"/>
  <c r="Y448" i="95"/>
  <c r="X448" i="95"/>
  <c r="W448" i="95"/>
  <c r="V448" i="95"/>
  <c r="U448" i="95"/>
  <c r="T448" i="95"/>
  <c r="S448" i="95"/>
  <c r="R448" i="95"/>
  <c r="Q448" i="95"/>
  <c r="P448" i="95"/>
  <c r="O448" i="95"/>
  <c r="M448" i="95" s="1"/>
  <c r="N448" i="95"/>
  <c r="L448" i="95"/>
  <c r="J448" i="95" s="1"/>
  <c r="D448" i="95" s="1"/>
  <c r="K448" i="95"/>
  <c r="I448" i="95"/>
  <c r="C448" i="95" s="1"/>
  <c r="H448" i="95"/>
  <c r="B448" i="95" s="1"/>
  <c r="G448" i="95"/>
  <c r="F448" i="95"/>
  <c r="E448" i="95"/>
  <c r="AH447" i="95"/>
  <c r="AB447" i="95"/>
  <c r="AC447" i="95" s="1"/>
  <c r="AA447" i="95"/>
  <c r="Z447" i="95"/>
  <c r="Y447" i="95"/>
  <c r="X447" i="95"/>
  <c r="W447" i="95"/>
  <c r="V447" i="95"/>
  <c r="U447" i="95"/>
  <c r="T447" i="95"/>
  <c r="S447" i="95"/>
  <c r="R447" i="95"/>
  <c r="Q447" i="95"/>
  <c r="P447" i="95"/>
  <c r="O447" i="95"/>
  <c r="M447" i="95" s="1"/>
  <c r="N447" i="95"/>
  <c r="L447" i="95"/>
  <c r="K447" i="95"/>
  <c r="J447" i="95"/>
  <c r="I447" i="95"/>
  <c r="C447" i="95" s="1"/>
  <c r="H447" i="95"/>
  <c r="G447" i="95"/>
  <c r="F447" i="95"/>
  <c r="D447" i="95"/>
  <c r="B447" i="95"/>
  <c r="AH446" i="95"/>
  <c r="AC446" i="95"/>
  <c r="AB446" i="95"/>
  <c r="AA446" i="95"/>
  <c r="Z446" i="95"/>
  <c r="Y446" i="95"/>
  <c r="X446" i="95"/>
  <c r="W446" i="95"/>
  <c r="V446" i="95"/>
  <c r="U446" i="95"/>
  <c r="T446" i="95"/>
  <c r="S446" i="95"/>
  <c r="R446" i="95"/>
  <c r="Q446" i="95"/>
  <c r="P446" i="95"/>
  <c r="O446" i="95"/>
  <c r="N446" i="95"/>
  <c r="M446" i="95"/>
  <c r="L446" i="95"/>
  <c r="K446" i="95"/>
  <c r="J446" i="95"/>
  <c r="D446" i="95" s="1"/>
  <c r="I446" i="95"/>
  <c r="C446" i="95" s="1"/>
  <c r="H446" i="95"/>
  <c r="G446" i="95"/>
  <c r="F446" i="95"/>
  <c r="E446" i="95"/>
  <c r="B446" i="95"/>
  <c r="AH445" i="95"/>
  <c r="AB445" i="95"/>
  <c r="AC445" i="95" s="1"/>
  <c r="AA445" i="95"/>
  <c r="Z445" i="95"/>
  <c r="Y445" i="95"/>
  <c r="X445" i="95"/>
  <c r="W445" i="95"/>
  <c r="V445" i="95"/>
  <c r="U445" i="95"/>
  <c r="T445" i="95"/>
  <c r="S445" i="95"/>
  <c r="R445" i="95"/>
  <c r="Q445" i="95"/>
  <c r="P445" i="95"/>
  <c r="O445" i="95"/>
  <c r="M445" i="95" s="1"/>
  <c r="N445" i="95"/>
  <c r="L445" i="95"/>
  <c r="K445" i="95"/>
  <c r="J445" i="95"/>
  <c r="D445" i="95" s="1"/>
  <c r="I445" i="95"/>
  <c r="H445" i="95"/>
  <c r="B445" i="95" s="1"/>
  <c r="G445" i="95"/>
  <c r="F445" i="95"/>
  <c r="C445" i="95"/>
  <c r="AH444" i="95"/>
  <c r="AB444" i="95"/>
  <c r="AC444" i="95" s="1"/>
  <c r="AA444" i="95"/>
  <c r="Z444" i="95"/>
  <c r="Y444" i="95"/>
  <c r="X444" i="95"/>
  <c r="W444" i="95"/>
  <c r="V444" i="95"/>
  <c r="U444" i="95"/>
  <c r="T444" i="95"/>
  <c r="S444" i="95"/>
  <c r="R444" i="95"/>
  <c r="Q444" i="95"/>
  <c r="P444" i="95"/>
  <c r="O444" i="95"/>
  <c r="M444" i="95" s="1"/>
  <c r="N444" i="95"/>
  <c r="L444" i="95"/>
  <c r="J444" i="95" s="1"/>
  <c r="D444" i="95" s="1"/>
  <c r="K444" i="95"/>
  <c r="E444" i="95" s="1"/>
  <c r="I444" i="95"/>
  <c r="C444" i="95" s="1"/>
  <c r="H444" i="95"/>
  <c r="B444" i="95" s="1"/>
  <c r="G444" i="95"/>
  <c r="F444" i="95"/>
  <c r="AH443" i="95"/>
  <c r="AB443" i="95"/>
  <c r="AC443" i="95" s="1"/>
  <c r="AA443" i="95"/>
  <c r="Z443" i="95"/>
  <c r="Y443" i="95"/>
  <c r="X443" i="95"/>
  <c r="W443" i="95"/>
  <c r="V443" i="95"/>
  <c r="U443" i="95"/>
  <c r="T443" i="95"/>
  <c r="S443" i="95"/>
  <c r="R443" i="95"/>
  <c r="Q443" i="95"/>
  <c r="P443" i="95"/>
  <c r="O443" i="95"/>
  <c r="M443" i="95" s="1"/>
  <c r="N443" i="95"/>
  <c r="L443" i="95"/>
  <c r="J443" i="95" s="1"/>
  <c r="D443" i="95" s="1"/>
  <c r="K443" i="95"/>
  <c r="I443" i="95"/>
  <c r="H443" i="95"/>
  <c r="G443" i="95"/>
  <c r="F443" i="95"/>
  <c r="C443" i="95"/>
  <c r="B443" i="95"/>
  <c r="AH442" i="95"/>
  <c r="AB442" i="95"/>
  <c r="AC442" i="95" s="1"/>
  <c r="AA442" i="95"/>
  <c r="Z442" i="95"/>
  <c r="Y442" i="95"/>
  <c r="X442" i="95"/>
  <c r="W442" i="95"/>
  <c r="V442" i="95"/>
  <c r="U442" i="95"/>
  <c r="T442" i="95"/>
  <c r="S442" i="95"/>
  <c r="R442" i="95"/>
  <c r="Q442" i="95"/>
  <c r="P442" i="95"/>
  <c r="O442" i="95"/>
  <c r="M442" i="95" s="1"/>
  <c r="N442" i="95"/>
  <c r="L442" i="95"/>
  <c r="J442" i="95" s="1"/>
  <c r="D442" i="95" s="1"/>
  <c r="K442" i="95"/>
  <c r="E442" i="95" s="1"/>
  <c r="I442" i="95"/>
  <c r="C442" i="95" s="1"/>
  <c r="H442" i="95"/>
  <c r="G442" i="95"/>
  <c r="F442" i="95"/>
  <c r="B442" i="95"/>
  <c r="AH441" i="95"/>
  <c r="AB441" i="95"/>
  <c r="AC441" i="95" s="1"/>
  <c r="AA441" i="95"/>
  <c r="Z441" i="95"/>
  <c r="Y441" i="95"/>
  <c r="X441" i="95"/>
  <c r="W441" i="95"/>
  <c r="V441" i="95"/>
  <c r="U441" i="95"/>
  <c r="T441" i="95"/>
  <c r="S441" i="95"/>
  <c r="R441" i="95"/>
  <c r="Q441" i="95"/>
  <c r="P441" i="95"/>
  <c r="O441" i="95"/>
  <c r="M441" i="95" s="1"/>
  <c r="N441" i="95"/>
  <c r="L441" i="95"/>
  <c r="J441" i="95" s="1"/>
  <c r="D441" i="95" s="1"/>
  <c r="K441" i="95"/>
  <c r="I441" i="95"/>
  <c r="H441" i="95"/>
  <c r="B441" i="95" s="1"/>
  <c r="G441" i="95"/>
  <c r="F441" i="95"/>
  <c r="C441" i="95"/>
  <c r="AH440" i="95"/>
  <c r="AB440" i="95"/>
  <c r="AC440" i="95" s="1"/>
  <c r="AA440" i="95"/>
  <c r="Z440" i="95"/>
  <c r="Y440" i="95"/>
  <c r="X440" i="95"/>
  <c r="W440" i="95"/>
  <c r="V440" i="95"/>
  <c r="U440" i="95"/>
  <c r="T440" i="95"/>
  <c r="S440" i="95"/>
  <c r="R440" i="95"/>
  <c r="Q440" i="95"/>
  <c r="P440" i="95"/>
  <c r="O440" i="95"/>
  <c r="M440" i="95" s="1"/>
  <c r="N440" i="95"/>
  <c r="L440" i="95"/>
  <c r="J440" i="95" s="1"/>
  <c r="D440" i="95" s="1"/>
  <c r="K440" i="95"/>
  <c r="E440" i="95" s="1"/>
  <c r="I440" i="95"/>
  <c r="C440" i="95" s="1"/>
  <c r="H440" i="95"/>
  <c r="B440" i="95" s="1"/>
  <c r="G440" i="95"/>
  <c r="F440" i="95"/>
  <c r="AH439" i="95"/>
  <c r="AB439" i="95"/>
  <c r="AC439" i="95" s="1"/>
  <c r="AA439" i="95"/>
  <c r="Z439" i="95"/>
  <c r="Y439" i="95"/>
  <c r="X439" i="95"/>
  <c r="W439" i="95"/>
  <c r="V439" i="95"/>
  <c r="U439" i="95"/>
  <c r="T439" i="95"/>
  <c r="S439" i="95"/>
  <c r="R439" i="95"/>
  <c r="Q439" i="95"/>
  <c r="P439" i="95"/>
  <c r="O439" i="95"/>
  <c r="M439" i="95" s="1"/>
  <c r="N439" i="95"/>
  <c r="L439" i="95"/>
  <c r="K439" i="95"/>
  <c r="J439" i="95"/>
  <c r="D439" i="95" s="1"/>
  <c r="I439" i="95"/>
  <c r="H439" i="95"/>
  <c r="G439" i="95"/>
  <c r="F439" i="95"/>
  <c r="C439" i="95"/>
  <c r="B439" i="95"/>
  <c r="AH438" i="95"/>
  <c r="AB438" i="95"/>
  <c r="AC438" i="95" s="1"/>
  <c r="AA438" i="95"/>
  <c r="Z438" i="95"/>
  <c r="Y438" i="95"/>
  <c r="X438" i="95"/>
  <c r="W438" i="95"/>
  <c r="V438" i="95"/>
  <c r="U438" i="95"/>
  <c r="T438" i="95"/>
  <c r="S438" i="95"/>
  <c r="R438" i="95"/>
  <c r="Q438" i="95"/>
  <c r="P438" i="95"/>
  <c r="O438" i="95"/>
  <c r="M438" i="95" s="1"/>
  <c r="N438" i="95"/>
  <c r="L438" i="95"/>
  <c r="K438" i="95"/>
  <c r="E438" i="95" s="1"/>
  <c r="J438" i="95"/>
  <c r="D438" i="95" s="1"/>
  <c r="I438" i="95"/>
  <c r="C438" i="95" s="1"/>
  <c r="H438" i="95"/>
  <c r="G438" i="95"/>
  <c r="F438" i="95"/>
  <c r="B438" i="95"/>
  <c r="AH437" i="95"/>
  <c r="AB437" i="95"/>
  <c r="AC437" i="95" s="1"/>
  <c r="AA437" i="95"/>
  <c r="Z437" i="95"/>
  <c r="Y437" i="95"/>
  <c r="X437" i="95"/>
  <c r="W437" i="95"/>
  <c r="V437" i="95"/>
  <c r="U437" i="95"/>
  <c r="T437" i="95"/>
  <c r="S437" i="95"/>
  <c r="R437" i="95"/>
  <c r="Q437" i="95"/>
  <c r="P437" i="95"/>
  <c r="O437" i="95"/>
  <c r="M437" i="95" s="1"/>
  <c r="N437" i="95"/>
  <c r="L437" i="95"/>
  <c r="J437" i="95" s="1"/>
  <c r="D437" i="95" s="1"/>
  <c r="K437" i="95"/>
  <c r="I437" i="95"/>
  <c r="H437" i="95"/>
  <c r="B437" i="95" s="1"/>
  <c r="G437" i="95"/>
  <c r="F437" i="95"/>
  <c r="C437" i="95"/>
  <c r="AH436" i="95"/>
  <c r="AB436" i="95"/>
  <c r="AC436" i="95" s="1"/>
  <c r="AA436" i="95"/>
  <c r="Z436" i="95"/>
  <c r="Y436" i="95"/>
  <c r="X436" i="95"/>
  <c r="W436" i="95"/>
  <c r="V436" i="95"/>
  <c r="U436" i="95"/>
  <c r="T436" i="95"/>
  <c r="S436" i="95"/>
  <c r="R436" i="95"/>
  <c r="Q436" i="95"/>
  <c r="P436" i="95"/>
  <c r="O436" i="95"/>
  <c r="N436" i="95"/>
  <c r="M436" i="95"/>
  <c r="L436" i="95"/>
  <c r="J436" i="95" s="1"/>
  <c r="D436" i="95" s="1"/>
  <c r="K436" i="95"/>
  <c r="I436" i="95"/>
  <c r="C436" i="95" s="1"/>
  <c r="H436" i="95"/>
  <c r="B436" i="95" s="1"/>
  <c r="G436" i="95"/>
  <c r="F436" i="95"/>
  <c r="E436" i="95"/>
  <c r="AH435" i="95"/>
  <c r="AB435" i="95"/>
  <c r="AC435" i="95" s="1"/>
  <c r="AA435" i="95"/>
  <c r="Z435" i="95"/>
  <c r="Y435" i="95"/>
  <c r="X435" i="95"/>
  <c r="W435" i="95"/>
  <c r="V435" i="95"/>
  <c r="U435" i="95"/>
  <c r="T435" i="95"/>
  <c r="S435" i="95"/>
  <c r="R435" i="95"/>
  <c r="Q435" i="95"/>
  <c r="P435" i="95"/>
  <c r="O435" i="95"/>
  <c r="M435" i="95" s="1"/>
  <c r="N435" i="95"/>
  <c r="L435" i="95"/>
  <c r="J435" i="95" s="1"/>
  <c r="D435" i="95" s="1"/>
  <c r="K435" i="95"/>
  <c r="I435" i="95"/>
  <c r="H435" i="95"/>
  <c r="G435" i="95"/>
  <c r="F435" i="95"/>
  <c r="C435" i="95"/>
  <c r="B435" i="95"/>
  <c r="AH434" i="95"/>
  <c r="AB434" i="95"/>
  <c r="AC434" i="95" s="1"/>
  <c r="AA434" i="95"/>
  <c r="Z434" i="95"/>
  <c r="Y434" i="95"/>
  <c r="X434" i="95"/>
  <c r="W434" i="95"/>
  <c r="V434" i="95"/>
  <c r="U434" i="95"/>
  <c r="T434" i="95"/>
  <c r="S434" i="95"/>
  <c r="R434" i="95"/>
  <c r="Q434" i="95"/>
  <c r="P434" i="95"/>
  <c r="O434" i="95"/>
  <c r="M434" i="95" s="1"/>
  <c r="N434" i="95"/>
  <c r="L434" i="95"/>
  <c r="J434" i="95" s="1"/>
  <c r="D434" i="95" s="1"/>
  <c r="K434" i="95"/>
  <c r="I434" i="95"/>
  <c r="C434" i="95" s="1"/>
  <c r="H434" i="95"/>
  <c r="G434" i="95"/>
  <c r="F434" i="95"/>
  <c r="E434" i="95"/>
  <c r="B434" i="95"/>
  <c r="AH433" i="95"/>
  <c r="AB433" i="95"/>
  <c r="AC433" i="95" s="1"/>
  <c r="AA433" i="95"/>
  <c r="Z433" i="95"/>
  <c r="Y433" i="95"/>
  <c r="X433" i="95"/>
  <c r="W433" i="95"/>
  <c r="V433" i="95"/>
  <c r="U433" i="95"/>
  <c r="T433" i="95"/>
  <c r="S433" i="95"/>
  <c r="R433" i="95"/>
  <c r="Q433" i="95"/>
  <c r="P433" i="95"/>
  <c r="O433" i="95"/>
  <c r="M433" i="95" s="1"/>
  <c r="N433" i="95"/>
  <c r="L433" i="95"/>
  <c r="J433" i="95" s="1"/>
  <c r="K433" i="95"/>
  <c r="I433" i="95"/>
  <c r="C433" i="95" s="1"/>
  <c r="H433" i="95"/>
  <c r="B433" i="95" s="1"/>
  <c r="G433" i="95"/>
  <c r="F433" i="95"/>
  <c r="D433" i="95"/>
  <c r="AH432" i="95"/>
  <c r="AB432" i="95"/>
  <c r="AC432" i="95" s="1"/>
  <c r="AA432" i="95"/>
  <c r="Z432" i="95"/>
  <c r="Y432" i="95"/>
  <c r="X432" i="95"/>
  <c r="W432" i="95"/>
  <c r="V432" i="95"/>
  <c r="U432" i="95"/>
  <c r="T432" i="95"/>
  <c r="S432" i="95"/>
  <c r="R432" i="95"/>
  <c r="Q432" i="95"/>
  <c r="P432" i="95"/>
  <c r="O432" i="95"/>
  <c r="M432" i="95" s="1"/>
  <c r="N432" i="95"/>
  <c r="L432" i="95"/>
  <c r="J432" i="95" s="1"/>
  <c r="D432" i="95" s="1"/>
  <c r="K432" i="95"/>
  <c r="I432" i="95"/>
  <c r="C432" i="95" s="1"/>
  <c r="H432" i="95"/>
  <c r="G432" i="95"/>
  <c r="F432" i="95"/>
  <c r="B432" i="95"/>
  <c r="AH431" i="95"/>
  <c r="AB431" i="95"/>
  <c r="AC431" i="95" s="1"/>
  <c r="AA431" i="95"/>
  <c r="Z431" i="95"/>
  <c r="Y431" i="95"/>
  <c r="X431" i="95"/>
  <c r="W431" i="95"/>
  <c r="V431" i="95"/>
  <c r="U431" i="95"/>
  <c r="T431" i="95"/>
  <c r="S431" i="95"/>
  <c r="R431" i="95"/>
  <c r="Q431" i="95"/>
  <c r="P431" i="95"/>
  <c r="O431" i="95"/>
  <c r="M431" i="95" s="1"/>
  <c r="N431" i="95"/>
  <c r="L431" i="95"/>
  <c r="J431" i="95" s="1"/>
  <c r="D431" i="95" s="1"/>
  <c r="K431" i="95"/>
  <c r="I431" i="95"/>
  <c r="H431" i="95"/>
  <c r="B431" i="95" s="1"/>
  <c r="G431" i="95"/>
  <c r="F431" i="95"/>
  <c r="C431" i="95"/>
  <c r="AH430" i="95"/>
  <c r="AB430" i="95"/>
  <c r="AC430" i="95" s="1"/>
  <c r="AA430" i="95"/>
  <c r="Z430" i="95"/>
  <c r="Y430" i="95"/>
  <c r="X430" i="95"/>
  <c r="W430" i="95"/>
  <c r="V430" i="95"/>
  <c r="U430" i="95"/>
  <c r="T430" i="95"/>
  <c r="S430" i="95"/>
  <c r="R430" i="95"/>
  <c r="Q430" i="95"/>
  <c r="P430" i="95"/>
  <c r="O430" i="95"/>
  <c r="N430" i="95"/>
  <c r="M430" i="95"/>
  <c r="L430" i="95"/>
  <c r="J430" i="95" s="1"/>
  <c r="D430" i="95" s="1"/>
  <c r="K430" i="95"/>
  <c r="I430" i="95"/>
  <c r="C430" i="95" s="1"/>
  <c r="H430" i="95"/>
  <c r="G430" i="95"/>
  <c r="F430" i="95"/>
  <c r="E430" i="95"/>
  <c r="B430" i="95"/>
  <c r="AH429" i="95"/>
  <c r="AB429" i="95"/>
  <c r="AC429" i="95" s="1"/>
  <c r="AA429" i="95"/>
  <c r="Z429" i="95"/>
  <c r="Y429" i="95"/>
  <c r="X429" i="95"/>
  <c r="W429" i="95"/>
  <c r="V429" i="95"/>
  <c r="U429" i="95"/>
  <c r="T429" i="95"/>
  <c r="S429" i="95"/>
  <c r="R429" i="95"/>
  <c r="Q429" i="95"/>
  <c r="P429" i="95"/>
  <c r="O429" i="95"/>
  <c r="M429" i="95" s="1"/>
  <c r="N429" i="95"/>
  <c r="L429" i="95"/>
  <c r="J429" i="95" s="1"/>
  <c r="K429" i="95"/>
  <c r="I429" i="95"/>
  <c r="H429" i="95"/>
  <c r="B429" i="95" s="1"/>
  <c r="G429" i="95"/>
  <c r="F429" i="95"/>
  <c r="D429" i="95"/>
  <c r="C429" i="95"/>
  <c r="AH428" i="95"/>
  <c r="AB428" i="95"/>
  <c r="AC428" i="95" s="1"/>
  <c r="AA428" i="95"/>
  <c r="Z428" i="95"/>
  <c r="Y428" i="95"/>
  <c r="X428" i="95"/>
  <c r="W428" i="95"/>
  <c r="V428" i="95"/>
  <c r="U428" i="95"/>
  <c r="T428" i="95"/>
  <c r="S428" i="95"/>
  <c r="R428" i="95"/>
  <c r="Q428" i="95"/>
  <c r="P428" i="95"/>
  <c r="O428" i="95"/>
  <c r="M428" i="95" s="1"/>
  <c r="N428" i="95"/>
  <c r="L428" i="95"/>
  <c r="K428" i="95"/>
  <c r="E428" i="95" s="1"/>
  <c r="J428" i="95"/>
  <c r="D428" i="95" s="1"/>
  <c r="I428" i="95"/>
  <c r="C428" i="95" s="1"/>
  <c r="H428" i="95"/>
  <c r="G428" i="95"/>
  <c r="F428" i="95"/>
  <c r="B428" i="95"/>
  <c r="AH427" i="95"/>
  <c r="AB427" i="95"/>
  <c r="AC427" i="95" s="1"/>
  <c r="AA427" i="95"/>
  <c r="Z427" i="95"/>
  <c r="Y427" i="95"/>
  <c r="X427" i="95"/>
  <c r="W427" i="95"/>
  <c r="V427" i="95"/>
  <c r="U427" i="95"/>
  <c r="T427" i="95"/>
  <c r="S427" i="95"/>
  <c r="R427" i="95"/>
  <c r="Q427" i="95"/>
  <c r="P427" i="95"/>
  <c r="O427" i="95"/>
  <c r="M427" i="95" s="1"/>
  <c r="N427" i="95"/>
  <c r="L427" i="95"/>
  <c r="J427" i="95" s="1"/>
  <c r="D427" i="95" s="1"/>
  <c r="K427" i="95"/>
  <c r="E427" i="95" s="1"/>
  <c r="I427" i="95"/>
  <c r="H427" i="95"/>
  <c r="B427" i="95" s="1"/>
  <c r="G427" i="95"/>
  <c r="F427" i="95"/>
  <c r="C427" i="95"/>
  <c r="AH426" i="95"/>
  <c r="AB426" i="95"/>
  <c r="AC426" i="95" s="1"/>
  <c r="AA426" i="95"/>
  <c r="Z426" i="95"/>
  <c r="Y426" i="95"/>
  <c r="X426" i="95"/>
  <c r="W426" i="95"/>
  <c r="V426" i="95"/>
  <c r="U426" i="95"/>
  <c r="T426" i="95"/>
  <c r="S426" i="95"/>
  <c r="R426" i="95"/>
  <c r="Q426" i="95"/>
  <c r="P426" i="95"/>
  <c r="O426" i="95"/>
  <c r="M426" i="95" s="1"/>
  <c r="N426" i="95"/>
  <c r="L426" i="95"/>
  <c r="J426" i="95" s="1"/>
  <c r="D426" i="95" s="1"/>
  <c r="K426" i="95"/>
  <c r="I426" i="95"/>
  <c r="C426" i="95" s="1"/>
  <c r="H426" i="95"/>
  <c r="G426" i="95"/>
  <c r="F426" i="95"/>
  <c r="B426" i="95"/>
  <c r="AH425" i="95"/>
  <c r="AB425" i="95"/>
  <c r="AC425" i="95" s="1"/>
  <c r="AA425" i="95"/>
  <c r="Z425" i="95"/>
  <c r="Y425" i="95"/>
  <c r="X425" i="95"/>
  <c r="W425" i="95"/>
  <c r="V425" i="95"/>
  <c r="U425" i="95"/>
  <c r="T425" i="95"/>
  <c r="S425" i="95"/>
  <c r="R425" i="95"/>
  <c r="Q425" i="95"/>
  <c r="P425" i="95"/>
  <c r="O425" i="95"/>
  <c r="M425" i="95" s="1"/>
  <c r="N425" i="95"/>
  <c r="L425" i="95"/>
  <c r="J425" i="95" s="1"/>
  <c r="D425" i="95" s="1"/>
  <c r="K425" i="95"/>
  <c r="I425" i="95"/>
  <c r="H425" i="95"/>
  <c r="B425" i="95" s="1"/>
  <c r="G425" i="95"/>
  <c r="F425" i="95"/>
  <c r="C425" i="95"/>
  <c r="AH424" i="95"/>
  <c r="AB424" i="95"/>
  <c r="AC424" i="95" s="1"/>
  <c r="AA424" i="95"/>
  <c r="Z424" i="95"/>
  <c r="Y424" i="95"/>
  <c r="X424" i="95"/>
  <c r="W424" i="95"/>
  <c r="V424" i="95"/>
  <c r="U424" i="95"/>
  <c r="T424" i="95"/>
  <c r="S424" i="95"/>
  <c r="R424" i="95"/>
  <c r="Q424" i="95"/>
  <c r="P424" i="95"/>
  <c r="O424" i="95"/>
  <c r="N424" i="95"/>
  <c r="M424" i="95"/>
  <c r="L424" i="95"/>
  <c r="K424" i="95"/>
  <c r="J424" i="95"/>
  <c r="D424" i="95" s="1"/>
  <c r="I424" i="95"/>
  <c r="C424" i="95" s="1"/>
  <c r="H424" i="95"/>
  <c r="G424" i="95"/>
  <c r="F424" i="95"/>
  <c r="E424" i="95"/>
  <c r="B424" i="95"/>
  <c r="AH423" i="95"/>
  <c r="AB423" i="95"/>
  <c r="AC423" i="95" s="1"/>
  <c r="AA423" i="95"/>
  <c r="Z423" i="95"/>
  <c r="Y423" i="95"/>
  <c r="X423" i="95"/>
  <c r="W423" i="95"/>
  <c r="V423" i="95"/>
  <c r="U423" i="95"/>
  <c r="T423" i="95"/>
  <c r="S423" i="95"/>
  <c r="R423" i="95"/>
  <c r="Q423" i="95"/>
  <c r="P423" i="95"/>
  <c r="O423" i="95"/>
  <c r="M423" i="95" s="1"/>
  <c r="N423" i="95"/>
  <c r="L423" i="95"/>
  <c r="J423" i="95" s="1"/>
  <c r="D423" i="95" s="1"/>
  <c r="K423" i="95"/>
  <c r="I423" i="95"/>
  <c r="H423" i="95"/>
  <c r="B423" i="95" s="1"/>
  <c r="G423" i="95"/>
  <c r="F423" i="95"/>
  <c r="C423" i="95"/>
  <c r="AH422" i="95"/>
  <c r="AB422" i="95"/>
  <c r="AC422" i="95" s="1"/>
  <c r="AA422" i="95"/>
  <c r="Z422" i="95"/>
  <c r="Y422" i="95"/>
  <c r="X422" i="95"/>
  <c r="W422" i="95"/>
  <c r="V422" i="95"/>
  <c r="U422" i="95"/>
  <c r="T422" i="95"/>
  <c r="S422" i="95"/>
  <c r="R422" i="95"/>
  <c r="Q422" i="95"/>
  <c r="P422" i="95"/>
  <c r="O422" i="95"/>
  <c r="M422" i="95" s="1"/>
  <c r="N422" i="95"/>
  <c r="L422" i="95"/>
  <c r="K422" i="95"/>
  <c r="E422" i="95" s="1"/>
  <c r="J422" i="95"/>
  <c r="D422" i="95" s="1"/>
  <c r="I422" i="95"/>
  <c r="C422" i="95" s="1"/>
  <c r="H422" i="95"/>
  <c r="G422" i="95"/>
  <c r="F422" i="95"/>
  <c r="B422" i="95"/>
  <c r="AH421" i="95"/>
  <c r="AB421" i="95"/>
  <c r="AC421" i="95" s="1"/>
  <c r="AA421" i="95"/>
  <c r="Z421" i="95"/>
  <c r="Y421" i="95"/>
  <c r="X421" i="95"/>
  <c r="W421" i="95"/>
  <c r="V421" i="95"/>
  <c r="U421" i="95"/>
  <c r="T421" i="95"/>
  <c r="S421" i="95"/>
  <c r="R421" i="95"/>
  <c r="Q421" i="95"/>
  <c r="P421" i="95"/>
  <c r="O421" i="95"/>
  <c r="M421" i="95" s="1"/>
  <c r="N421" i="95"/>
  <c r="L421" i="95"/>
  <c r="J421" i="95" s="1"/>
  <c r="D421" i="95" s="1"/>
  <c r="K421" i="95"/>
  <c r="E421" i="95" s="1"/>
  <c r="I421" i="95"/>
  <c r="H421" i="95"/>
  <c r="B421" i="95" s="1"/>
  <c r="G421" i="95"/>
  <c r="F421" i="95"/>
  <c r="C421" i="95"/>
  <c r="AH420" i="95"/>
  <c r="AB420" i="95"/>
  <c r="AC420" i="95" s="1"/>
  <c r="AA420" i="95"/>
  <c r="Z420" i="95"/>
  <c r="Y420" i="95"/>
  <c r="X420" i="95"/>
  <c r="W420" i="95"/>
  <c r="V420" i="95"/>
  <c r="U420" i="95"/>
  <c r="T420" i="95"/>
  <c r="S420" i="95"/>
  <c r="R420" i="95"/>
  <c r="Q420" i="95"/>
  <c r="P420" i="95"/>
  <c r="O420" i="95"/>
  <c r="N420" i="95"/>
  <c r="M420" i="95"/>
  <c r="L420" i="95"/>
  <c r="K420" i="95"/>
  <c r="J420" i="95"/>
  <c r="D420" i="95" s="1"/>
  <c r="I420" i="95"/>
  <c r="C420" i="95" s="1"/>
  <c r="H420" i="95"/>
  <c r="G420" i="95"/>
  <c r="F420" i="95"/>
  <c r="E420" i="95"/>
  <c r="B420" i="95"/>
  <c r="AH419" i="95"/>
  <c r="AB419" i="95"/>
  <c r="AC419" i="95" s="1"/>
  <c r="AA419" i="95"/>
  <c r="Z419" i="95"/>
  <c r="Y419" i="95"/>
  <c r="X419" i="95"/>
  <c r="W419" i="95"/>
  <c r="V419" i="95"/>
  <c r="U419" i="95"/>
  <c r="T419" i="95"/>
  <c r="S419" i="95"/>
  <c r="R419" i="95"/>
  <c r="Q419" i="95"/>
  <c r="P419" i="95"/>
  <c r="O419" i="95"/>
  <c r="M419" i="95" s="1"/>
  <c r="N419" i="95"/>
  <c r="L419" i="95"/>
  <c r="J419" i="95" s="1"/>
  <c r="D419" i="95" s="1"/>
  <c r="K419" i="95"/>
  <c r="I419" i="95"/>
  <c r="H419" i="95"/>
  <c r="B419" i="95" s="1"/>
  <c r="G419" i="95"/>
  <c r="F419" i="95"/>
  <c r="C419" i="95"/>
  <c r="AH418" i="95"/>
  <c r="AB418" i="95"/>
  <c r="AC418" i="95" s="1"/>
  <c r="AA418" i="95"/>
  <c r="Z418" i="95"/>
  <c r="Y418" i="95"/>
  <c r="X418" i="95"/>
  <c r="W418" i="95"/>
  <c r="V418" i="95"/>
  <c r="U418" i="95"/>
  <c r="T418" i="95"/>
  <c r="S418" i="95"/>
  <c r="R418" i="95"/>
  <c r="Q418" i="95"/>
  <c r="P418" i="95"/>
  <c r="O418" i="95"/>
  <c r="M418" i="95" s="1"/>
  <c r="N418" i="95"/>
  <c r="L418" i="95"/>
  <c r="K418" i="95"/>
  <c r="E418" i="95" s="1"/>
  <c r="J418" i="95"/>
  <c r="D418" i="95" s="1"/>
  <c r="I418" i="95"/>
  <c r="C418" i="95" s="1"/>
  <c r="H418" i="95"/>
  <c r="G418" i="95"/>
  <c r="F418" i="95"/>
  <c r="B418" i="95"/>
  <c r="AH417" i="95"/>
  <c r="AB417" i="95"/>
  <c r="AC417" i="95" s="1"/>
  <c r="AA417" i="95"/>
  <c r="Z417" i="95"/>
  <c r="Y417" i="95"/>
  <c r="X417" i="95"/>
  <c r="W417" i="95"/>
  <c r="V417" i="95"/>
  <c r="U417" i="95"/>
  <c r="T417" i="95"/>
  <c r="S417" i="95"/>
  <c r="R417" i="95"/>
  <c r="Q417" i="95"/>
  <c r="P417" i="95"/>
  <c r="O417" i="95"/>
  <c r="M417" i="95" s="1"/>
  <c r="N417" i="95"/>
  <c r="L417" i="95"/>
  <c r="J417" i="95" s="1"/>
  <c r="D417" i="95" s="1"/>
  <c r="K417" i="95"/>
  <c r="E417" i="95" s="1"/>
  <c r="I417" i="95"/>
  <c r="C417" i="95" s="1"/>
  <c r="H417" i="95"/>
  <c r="B417" i="95" s="1"/>
  <c r="G417" i="95"/>
  <c r="F417" i="95"/>
  <c r="AH416" i="95"/>
  <c r="AB416" i="95"/>
  <c r="AC416" i="95" s="1"/>
  <c r="AA416" i="95"/>
  <c r="Z416" i="95"/>
  <c r="Y416" i="95"/>
  <c r="X416" i="95"/>
  <c r="W416" i="95"/>
  <c r="V416" i="95"/>
  <c r="U416" i="95"/>
  <c r="T416" i="95"/>
  <c r="S416" i="95"/>
  <c r="R416" i="95"/>
  <c r="Q416" i="95"/>
  <c r="P416" i="95"/>
  <c r="O416" i="95"/>
  <c r="M416" i="95" s="1"/>
  <c r="N416" i="95"/>
  <c r="L416" i="95"/>
  <c r="J416" i="95" s="1"/>
  <c r="D416" i="95" s="1"/>
  <c r="K416" i="95"/>
  <c r="E416" i="95" s="1"/>
  <c r="I416" i="95"/>
  <c r="C416" i="95" s="1"/>
  <c r="H416" i="95"/>
  <c r="G416" i="95"/>
  <c r="F416" i="95"/>
  <c r="B416" i="95"/>
  <c r="AH415" i="95"/>
  <c r="AB415" i="95"/>
  <c r="AC415" i="95" s="1"/>
  <c r="AA415" i="95"/>
  <c r="Z415" i="95"/>
  <c r="Y415" i="95"/>
  <c r="X415" i="95"/>
  <c r="W415" i="95"/>
  <c r="V415" i="95"/>
  <c r="U415" i="95"/>
  <c r="T415" i="95"/>
  <c r="S415" i="95"/>
  <c r="R415" i="95"/>
  <c r="Q415" i="95"/>
  <c r="P415" i="95"/>
  <c r="O415" i="95"/>
  <c r="M415" i="95" s="1"/>
  <c r="N415" i="95"/>
  <c r="L415" i="95"/>
  <c r="J415" i="95" s="1"/>
  <c r="D415" i="95" s="1"/>
  <c r="K415" i="95"/>
  <c r="I415" i="95"/>
  <c r="H415" i="95"/>
  <c r="B415" i="95" s="1"/>
  <c r="G415" i="95"/>
  <c r="F415" i="95"/>
  <c r="C415" i="95"/>
  <c r="AH414" i="95"/>
  <c r="AB414" i="95"/>
  <c r="AC414" i="95" s="1"/>
  <c r="AA414" i="95"/>
  <c r="Z414" i="95"/>
  <c r="Y414" i="95"/>
  <c r="X414" i="95"/>
  <c r="W414" i="95"/>
  <c r="V414" i="95"/>
  <c r="U414" i="95"/>
  <c r="T414" i="95"/>
  <c r="S414" i="95"/>
  <c r="R414" i="95"/>
  <c r="Q414" i="95"/>
  <c r="P414" i="95"/>
  <c r="O414" i="95"/>
  <c r="N414" i="95"/>
  <c r="M414" i="95"/>
  <c r="L414" i="95"/>
  <c r="J414" i="95" s="1"/>
  <c r="D414" i="95" s="1"/>
  <c r="K414" i="95"/>
  <c r="I414" i="95"/>
  <c r="C414" i="95" s="1"/>
  <c r="H414" i="95"/>
  <c r="G414" i="95"/>
  <c r="F414" i="95"/>
  <c r="E414" i="95"/>
  <c r="B414" i="95"/>
  <c r="AH413" i="95"/>
  <c r="AB413" i="95"/>
  <c r="AC413" i="95" s="1"/>
  <c r="AA413" i="95"/>
  <c r="Z413" i="95"/>
  <c r="Y413" i="95"/>
  <c r="X413" i="95"/>
  <c r="W413" i="95"/>
  <c r="V413" i="95"/>
  <c r="U413" i="95"/>
  <c r="T413" i="95"/>
  <c r="S413" i="95"/>
  <c r="R413" i="95"/>
  <c r="Q413" i="95"/>
  <c r="P413" i="95"/>
  <c r="O413" i="95"/>
  <c r="M413" i="95" s="1"/>
  <c r="N413" i="95"/>
  <c r="L413" i="95"/>
  <c r="K413" i="95"/>
  <c r="J413" i="95"/>
  <c r="D413" i="95" s="1"/>
  <c r="I413" i="95"/>
  <c r="H413" i="95"/>
  <c r="G413" i="95"/>
  <c r="F413" i="95"/>
  <c r="C413" i="95"/>
  <c r="B413" i="95"/>
  <c r="AH412" i="95"/>
  <c r="AB412" i="95"/>
  <c r="AC412" i="95" s="1"/>
  <c r="AA412" i="95"/>
  <c r="Z412" i="95"/>
  <c r="Y412" i="95"/>
  <c r="X412" i="95"/>
  <c r="W412" i="95"/>
  <c r="V412" i="95"/>
  <c r="U412" i="95"/>
  <c r="T412" i="95"/>
  <c r="S412" i="95"/>
  <c r="R412" i="95"/>
  <c r="Q412" i="95"/>
  <c r="P412" i="95"/>
  <c r="O412" i="95"/>
  <c r="M412" i="95" s="1"/>
  <c r="N412" i="95"/>
  <c r="L412" i="95"/>
  <c r="J412" i="95" s="1"/>
  <c r="D412" i="95" s="1"/>
  <c r="K412" i="95"/>
  <c r="I412" i="95"/>
  <c r="C412" i="95" s="1"/>
  <c r="H412" i="95"/>
  <c r="B412" i="95" s="1"/>
  <c r="G412" i="95"/>
  <c r="F412" i="95"/>
  <c r="E412" i="95"/>
  <c r="AH411" i="95"/>
  <c r="AB411" i="95"/>
  <c r="AC411" i="95" s="1"/>
  <c r="AA411" i="95"/>
  <c r="Z411" i="95"/>
  <c r="Y411" i="95"/>
  <c r="X411" i="95"/>
  <c r="W411" i="95"/>
  <c r="V411" i="95"/>
  <c r="U411" i="95"/>
  <c r="T411" i="95"/>
  <c r="S411" i="95"/>
  <c r="R411" i="95"/>
  <c r="Q411" i="95"/>
  <c r="P411" i="95"/>
  <c r="O411" i="95"/>
  <c r="M411" i="95" s="1"/>
  <c r="N411" i="95"/>
  <c r="L411" i="95"/>
  <c r="J411" i="95" s="1"/>
  <c r="D411" i="95" s="1"/>
  <c r="K411" i="95"/>
  <c r="E411" i="95" s="1"/>
  <c r="I411" i="95"/>
  <c r="H411" i="95"/>
  <c r="G411" i="95"/>
  <c r="F411" i="95"/>
  <c r="C411" i="95"/>
  <c r="B411" i="95"/>
  <c r="AH410" i="95"/>
  <c r="AB410" i="95"/>
  <c r="AC410" i="95" s="1"/>
  <c r="AA410" i="95"/>
  <c r="Z410" i="95"/>
  <c r="Y410" i="95"/>
  <c r="X410" i="95"/>
  <c r="W410" i="95"/>
  <c r="V410" i="95"/>
  <c r="U410" i="95"/>
  <c r="T410" i="95"/>
  <c r="S410" i="95"/>
  <c r="R410" i="95"/>
  <c r="Q410" i="95"/>
  <c r="P410" i="95"/>
  <c r="O410" i="95"/>
  <c r="N410" i="95"/>
  <c r="M410" i="95"/>
  <c r="L410" i="95"/>
  <c r="K410" i="95"/>
  <c r="J410" i="95"/>
  <c r="D410" i="95" s="1"/>
  <c r="I410" i="95"/>
  <c r="C410" i="95" s="1"/>
  <c r="H410" i="95"/>
  <c r="G410" i="95"/>
  <c r="F410" i="95"/>
  <c r="E410" i="95"/>
  <c r="B410" i="95"/>
  <c r="AH409" i="95"/>
  <c r="AB409" i="95"/>
  <c r="AC409" i="95" s="1"/>
  <c r="AA409" i="95"/>
  <c r="Z409" i="95"/>
  <c r="Y409" i="95"/>
  <c r="X409" i="95"/>
  <c r="W409" i="95"/>
  <c r="V409" i="95"/>
  <c r="U409" i="95"/>
  <c r="T409" i="95"/>
  <c r="S409" i="95"/>
  <c r="R409" i="95"/>
  <c r="Q409" i="95"/>
  <c r="P409" i="95"/>
  <c r="O409" i="95"/>
  <c r="M409" i="95" s="1"/>
  <c r="N409" i="95"/>
  <c r="L409" i="95"/>
  <c r="J409" i="95" s="1"/>
  <c r="D409" i="95" s="1"/>
  <c r="K409" i="95"/>
  <c r="E409" i="95" s="1"/>
  <c r="I409" i="95"/>
  <c r="H409" i="95"/>
  <c r="B409" i="95" s="1"/>
  <c r="G409" i="95"/>
  <c r="F409" i="95"/>
  <c r="C409" i="95"/>
  <c r="AH408" i="95"/>
  <c r="AB408" i="95"/>
  <c r="AC408" i="95" s="1"/>
  <c r="AA408" i="95"/>
  <c r="Z408" i="95"/>
  <c r="Y408" i="95"/>
  <c r="X408" i="95"/>
  <c r="W408" i="95"/>
  <c r="V408" i="95"/>
  <c r="U408" i="95"/>
  <c r="T408" i="95"/>
  <c r="S408" i="95"/>
  <c r="R408" i="95"/>
  <c r="Q408" i="95"/>
  <c r="P408" i="95"/>
  <c r="O408" i="95"/>
  <c r="M408" i="95" s="1"/>
  <c r="N408" i="95"/>
  <c r="L408" i="95"/>
  <c r="J408" i="95" s="1"/>
  <c r="D408" i="95" s="1"/>
  <c r="K408" i="95"/>
  <c r="E408" i="95" s="1"/>
  <c r="I408" i="95"/>
  <c r="C408" i="95" s="1"/>
  <c r="H408" i="95"/>
  <c r="G408" i="95"/>
  <c r="F408" i="95"/>
  <c r="B408" i="95"/>
  <c r="AH407" i="95"/>
  <c r="AB407" i="95"/>
  <c r="AC407" i="95" s="1"/>
  <c r="AA407" i="95"/>
  <c r="Z407" i="95"/>
  <c r="Y407" i="95"/>
  <c r="X407" i="95"/>
  <c r="W407" i="95"/>
  <c r="V407" i="95"/>
  <c r="U407" i="95"/>
  <c r="T407" i="95"/>
  <c r="S407" i="95"/>
  <c r="R407" i="95"/>
  <c r="Q407" i="95"/>
  <c r="P407" i="95"/>
  <c r="O407" i="95"/>
  <c r="M407" i="95" s="1"/>
  <c r="N407" i="95"/>
  <c r="L407" i="95"/>
  <c r="K407" i="95"/>
  <c r="E407" i="95" s="1"/>
  <c r="J407" i="95"/>
  <c r="I407" i="95"/>
  <c r="C407" i="95" s="1"/>
  <c r="H407" i="95"/>
  <c r="B407" i="95" s="1"/>
  <c r="G407" i="95"/>
  <c r="F407" i="95"/>
  <c r="D407" i="95"/>
  <c r="AH406" i="95"/>
  <c r="AB406" i="95"/>
  <c r="AC406" i="95" s="1"/>
  <c r="AA406" i="95"/>
  <c r="Z406" i="95"/>
  <c r="Y406" i="95"/>
  <c r="X406" i="95"/>
  <c r="W406" i="95"/>
  <c r="V406" i="95"/>
  <c r="U406" i="95"/>
  <c r="T406" i="95"/>
  <c r="S406" i="95"/>
  <c r="R406" i="95"/>
  <c r="Q406" i="95"/>
  <c r="P406" i="95"/>
  <c r="O406" i="95"/>
  <c r="N406" i="95"/>
  <c r="M406" i="95"/>
  <c r="L406" i="95"/>
  <c r="J406" i="95" s="1"/>
  <c r="D406" i="95" s="1"/>
  <c r="K406" i="95"/>
  <c r="E406" i="95" s="1"/>
  <c r="I406" i="95"/>
  <c r="C406" i="95" s="1"/>
  <c r="H406" i="95"/>
  <c r="B406" i="95" s="1"/>
  <c r="G406" i="95"/>
  <c r="F406" i="95"/>
  <c r="AH405" i="95"/>
  <c r="AB405" i="95"/>
  <c r="AC405" i="95" s="1"/>
  <c r="AA405" i="95"/>
  <c r="Z405" i="95"/>
  <c r="Y405" i="95"/>
  <c r="X405" i="95"/>
  <c r="W405" i="95"/>
  <c r="V405" i="95"/>
  <c r="U405" i="95"/>
  <c r="T405" i="95"/>
  <c r="S405" i="95"/>
  <c r="R405" i="95"/>
  <c r="Q405" i="95"/>
  <c r="P405" i="95"/>
  <c r="O405" i="95"/>
  <c r="M405" i="95" s="1"/>
  <c r="N405" i="95"/>
  <c r="L405" i="95"/>
  <c r="K405" i="95"/>
  <c r="J405" i="95"/>
  <c r="D405" i="95" s="1"/>
  <c r="I405" i="95"/>
  <c r="H405" i="95"/>
  <c r="G405" i="95"/>
  <c r="F405" i="95"/>
  <c r="C405" i="95"/>
  <c r="B405" i="95"/>
  <c r="AH404" i="95"/>
  <c r="AB404" i="95"/>
  <c r="AC404" i="95" s="1"/>
  <c r="AA404" i="95"/>
  <c r="Z404" i="95"/>
  <c r="Y404" i="95"/>
  <c r="X404" i="95"/>
  <c r="W404" i="95"/>
  <c r="V404" i="95"/>
  <c r="U404" i="95"/>
  <c r="T404" i="95"/>
  <c r="S404" i="95"/>
  <c r="R404" i="95"/>
  <c r="Q404" i="95"/>
  <c r="P404" i="95"/>
  <c r="O404" i="95"/>
  <c r="N404" i="95"/>
  <c r="M404" i="95"/>
  <c r="L404" i="95"/>
  <c r="J404" i="95" s="1"/>
  <c r="D404" i="95" s="1"/>
  <c r="K404" i="95"/>
  <c r="I404" i="95"/>
  <c r="C404" i="95" s="1"/>
  <c r="H404" i="95"/>
  <c r="B404" i="95" s="1"/>
  <c r="G404" i="95"/>
  <c r="F404" i="95"/>
  <c r="E404" i="95"/>
  <c r="AH403" i="95"/>
  <c r="AB403" i="95"/>
  <c r="AC403" i="95" s="1"/>
  <c r="AA403" i="95"/>
  <c r="Z403" i="95"/>
  <c r="Y403" i="95"/>
  <c r="X403" i="95"/>
  <c r="W403" i="95"/>
  <c r="V403" i="95"/>
  <c r="U403" i="95"/>
  <c r="T403" i="95"/>
  <c r="S403" i="95"/>
  <c r="R403" i="95"/>
  <c r="Q403" i="95"/>
  <c r="P403" i="95"/>
  <c r="O403" i="95"/>
  <c r="M403" i="95" s="1"/>
  <c r="N403" i="95"/>
  <c r="L403" i="95"/>
  <c r="J403" i="95" s="1"/>
  <c r="D403" i="95" s="1"/>
  <c r="K403" i="95"/>
  <c r="I403" i="95"/>
  <c r="H403" i="95"/>
  <c r="G403" i="95"/>
  <c r="F403" i="95"/>
  <c r="C403" i="95"/>
  <c r="B403" i="95"/>
  <c r="AH402" i="95"/>
  <c r="AB402" i="95"/>
  <c r="AC402" i="95" s="1"/>
  <c r="AA402" i="95"/>
  <c r="Z402" i="95"/>
  <c r="Y402" i="95"/>
  <c r="X402" i="95"/>
  <c r="W402" i="95"/>
  <c r="V402" i="95"/>
  <c r="U402" i="95"/>
  <c r="T402" i="95"/>
  <c r="S402" i="95"/>
  <c r="R402" i="95"/>
  <c r="Q402" i="95"/>
  <c r="P402" i="95"/>
  <c r="O402" i="95"/>
  <c r="N402" i="95"/>
  <c r="M402" i="95"/>
  <c r="L402" i="95"/>
  <c r="K402" i="95"/>
  <c r="J402" i="95"/>
  <c r="D402" i="95" s="1"/>
  <c r="I402" i="95"/>
  <c r="C402" i="95" s="1"/>
  <c r="H402" i="95"/>
  <c r="G402" i="95"/>
  <c r="F402" i="95"/>
  <c r="E402" i="95"/>
  <c r="B402" i="95"/>
  <c r="AH401" i="95"/>
  <c r="AB401" i="95"/>
  <c r="AC401" i="95" s="1"/>
  <c r="AA401" i="95"/>
  <c r="Z401" i="95"/>
  <c r="Y401" i="95"/>
  <c r="X401" i="95"/>
  <c r="W401" i="95"/>
  <c r="V401" i="95"/>
  <c r="U401" i="95"/>
  <c r="T401" i="95"/>
  <c r="S401" i="95"/>
  <c r="R401" i="95"/>
  <c r="Q401" i="95"/>
  <c r="P401" i="95"/>
  <c r="O401" i="95"/>
  <c r="M401" i="95" s="1"/>
  <c r="N401" i="95"/>
  <c r="L401" i="95"/>
  <c r="J401" i="95" s="1"/>
  <c r="D401" i="95" s="1"/>
  <c r="K401" i="95"/>
  <c r="I401" i="95"/>
  <c r="C401" i="95" s="1"/>
  <c r="H401" i="95"/>
  <c r="B401" i="95" s="1"/>
  <c r="G401" i="95"/>
  <c r="F401" i="95"/>
  <c r="AH400" i="95"/>
  <c r="AB400" i="95"/>
  <c r="AC400" i="95" s="1"/>
  <c r="AA400" i="95"/>
  <c r="Z400" i="95"/>
  <c r="Y400" i="95"/>
  <c r="X400" i="95"/>
  <c r="W400" i="95"/>
  <c r="V400" i="95"/>
  <c r="U400" i="95"/>
  <c r="T400" i="95"/>
  <c r="S400" i="95"/>
  <c r="R400" i="95"/>
  <c r="Q400" i="95"/>
  <c r="P400" i="95"/>
  <c r="O400" i="95"/>
  <c r="M400" i="95" s="1"/>
  <c r="N400" i="95"/>
  <c r="L400" i="95"/>
  <c r="J400" i="95" s="1"/>
  <c r="D400" i="95" s="1"/>
  <c r="K400" i="95"/>
  <c r="E400" i="95" s="1"/>
  <c r="I400" i="95"/>
  <c r="C400" i="95" s="1"/>
  <c r="H400" i="95"/>
  <c r="G400" i="95"/>
  <c r="F400" i="95"/>
  <c r="B400" i="95"/>
  <c r="AH399" i="95"/>
  <c r="AB399" i="95"/>
  <c r="AC399" i="95" s="1"/>
  <c r="AA399" i="95"/>
  <c r="Z399" i="95"/>
  <c r="Y399" i="95"/>
  <c r="X399" i="95"/>
  <c r="W399" i="95"/>
  <c r="V399" i="95"/>
  <c r="U399" i="95"/>
  <c r="T399" i="95"/>
  <c r="S399" i="95"/>
  <c r="R399" i="95"/>
  <c r="Q399" i="95"/>
  <c r="P399" i="95"/>
  <c r="O399" i="95"/>
  <c r="M399" i="95" s="1"/>
  <c r="N399" i="95"/>
  <c r="L399" i="95"/>
  <c r="K399" i="95"/>
  <c r="E399" i="95" s="1"/>
  <c r="J399" i="95"/>
  <c r="D399" i="95" s="1"/>
  <c r="I399" i="95"/>
  <c r="H399" i="95"/>
  <c r="B399" i="95" s="1"/>
  <c r="G399" i="95"/>
  <c r="F399" i="95"/>
  <c r="C399" i="95"/>
  <c r="AH398" i="95"/>
  <c r="AB398" i="95"/>
  <c r="AC398" i="95" s="1"/>
  <c r="AA398" i="95"/>
  <c r="Z398" i="95"/>
  <c r="Y398" i="95"/>
  <c r="X398" i="95"/>
  <c r="W398" i="95"/>
  <c r="V398" i="95"/>
  <c r="U398" i="95"/>
  <c r="T398" i="95"/>
  <c r="S398" i="95"/>
  <c r="R398" i="95"/>
  <c r="Q398" i="95"/>
  <c r="P398" i="95"/>
  <c r="O398" i="95"/>
  <c r="N398" i="95"/>
  <c r="M398" i="95"/>
  <c r="L398" i="95"/>
  <c r="J398" i="95" s="1"/>
  <c r="D398" i="95" s="1"/>
  <c r="K398" i="95"/>
  <c r="I398" i="95"/>
  <c r="C398" i="95" s="1"/>
  <c r="H398" i="95"/>
  <c r="B398" i="95" s="1"/>
  <c r="G398" i="95"/>
  <c r="F398" i="95"/>
  <c r="E398" i="95"/>
  <c r="AH397" i="95"/>
  <c r="AB397" i="95"/>
  <c r="AC397" i="95" s="1"/>
  <c r="AA397" i="95"/>
  <c r="Z397" i="95"/>
  <c r="Y397" i="95"/>
  <c r="X397" i="95"/>
  <c r="W397" i="95"/>
  <c r="V397" i="95"/>
  <c r="U397" i="95"/>
  <c r="T397" i="95"/>
  <c r="S397" i="95"/>
  <c r="R397" i="95"/>
  <c r="Q397" i="95"/>
  <c r="P397" i="95"/>
  <c r="O397" i="95"/>
  <c r="M397" i="95" s="1"/>
  <c r="N397" i="95"/>
  <c r="L397" i="95"/>
  <c r="K397" i="95"/>
  <c r="J397" i="95"/>
  <c r="D397" i="95" s="1"/>
  <c r="I397" i="95"/>
  <c r="H397" i="95"/>
  <c r="G397" i="95"/>
  <c r="F397" i="95"/>
  <c r="C397" i="95"/>
  <c r="B397" i="95"/>
  <c r="AH396" i="95"/>
  <c r="AB396" i="95"/>
  <c r="AC396" i="95" s="1"/>
  <c r="AA396" i="95"/>
  <c r="Z396" i="95"/>
  <c r="Y396" i="95"/>
  <c r="X396" i="95"/>
  <c r="W396" i="95"/>
  <c r="V396" i="95"/>
  <c r="U396" i="95"/>
  <c r="T396" i="95"/>
  <c r="S396" i="95"/>
  <c r="R396" i="95"/>
  <c r="Q396" i="95"/>
  <c r="P396" i="95"/>
  <c r="O396" i="95"/>
  <c r="M396" i="95" s="1"/>
  <c r="N396" i="95"/>
  <c r="L396" i="95"/>
  <c r="J396" i="95" s="1"/>
  <c r="D396" i="95" s="1"/>
  <c r="K396" i="95"/>
  <c r="E396" i="95" s="1"/>
  <c r="I396" i="95"/>
  <c r="C396" i="95" s="1"/>
  <c r="H396" i="95"/>
  <c r="B396" i="95" s="1"/>
  <c r="G396" i="95"/>
  <c r="F396" i="95"/>
  <c r="AH395" i="95"/>
  <c r="AB395" i="95"/>
  <c r="AC395" i="95" s="1"/>
  <c r="AA395" i="95"/>
  <c r="Z395" i="95"/>
  <c r="Y395" i="95"/>
  <c r="X395" i="95"/>
  <c r="W395" i="95"/>
  <c r="V395" i="95"/>
  <c r="U395" i="95"/>
  <c r="T395" i="95"/>
  <c r="S395" i="95"/>
  <c r="R395" i="95"/>
  <c r="Q395" i="95"/>
  <c r="P395" i="95"/>
  <c r="O395" i="95"/>
  <c r="M395" i="95" s="1"/>
  <c r="N395" i="95"/>
  <c r="L395" i="95"/>
  <c r="J395" i="95" s="1"/>
  <c r="D395" i="95" s="1"/>
  <c r="K395" i="95"/>
  <c r="I395" i="95"/>
  <c r="H395" i="95"/>
  <c r="G395" i="95"/>
  <c r="F395" i="95"/>
  <c r="C395" i="95"/>
  <c r="B395" i="95"/>
  <c r="AH394" i="95"/>
  <c r="AB394" i="95"/>
  <c r="AC394" i="95" s="1"/>
  <c r="AA394" i="95"/>
  <c r="Z394" i="95"/>
  <c r="Y394" i="95"/>
  <c r="X394" i="95"/>
  <c r="W394" i="95"/>
  <c r="V394" i="95"/>
  <c r="U394" i="95"/>
  <c r="T394" i="95"/>
  <c r="S394" i="95"/>
  <c r="R394" i="95"/>
  <c r="Q394" i="95"/>
  <c r="P394" i="95"/>
  <c r="O394" i="95"/>
  <c r="M394" i="95" s="1"/>
  <c r="N394" i="95"/>
  <c r="L394" i="95"/>
  <c r="J394" i="95" s="1"/>
  <c r="D394" i="95" s="1"/>
  <c r="K394" i="95"/>
  <c r="E394" i="95" s="1"/>
  <c r="I394" i="95"/>
  <c r="C394" i="95" s="1"/>
  <c r="H394" i="95"/>
  <c r="G394" i="95"/>
  <c r="F394" i="95"/>
  <c r="B394" i="95"/>
  <c r="AH393" i="95"/>
  <c r="AB393" i="95"/>
  <c r="AC393" i="95" s="1"/>
  <c r="AA393" i="95"/>
  <c r="Z393" i="95"/>
  <c r="Y393" i="95"/>
  <c r="X393" i="95"/>
  <c r="W393" i="95"/>
  <c r="V393" i="95"/>
  <c r="U393" i="95"/>
  <c r="T393" i="95"/>
  <c r="S393" i="95"/>
  <c r="R393" i="95"/>
  <c r="Q393" i="95"/>
  <c r="P393" i="95"/>
  <c r="O393" i="95"/>
  <c r="M393" i="95" s="1"/>
  <c r="N393" i="95"/>
  <c r="L393" i="95"/>
  <c r="J393" i="95" s="1"/>
  <c r="D393" i="95" s="1"/>
  <c r="K393" i="95"/>
  <c r="I393" i="95"/>
  <c r="H393" i="95"/>
  <c r="B393" i="95" s="1"/>
  <c r="G393" i="95"/>
  <c r="F393" i="95"/>
  <c r="C393" i="95"/>
  <c r="AH392" i="95"/>
  <c r="AB392" i="95"/>
  <c r="AC392" i="95" s="1"/>
  <c r="AA392" i="95"/>
  <c r="Z392" i="95"/>
  <c r="Y392" i="95"/>
  <c r="X392" i="95"/>
  <c r="W392" i="95"/>
  <c r="V392" i="95"/>
  <c r="U392" i="95"/>
  <c r="T392" i="95"/>
  <c r="S392" i="95"/>
  <c r="R392" i="95"/>
  <c r="Q392" i="95"/>
  <c r="P392" i="95"/>
  <c r="O392" i="95"/>
  <c r="N392" i="95"/>
  <c r="M392" i="95"/>
  <c r="L392" i="95"/>
  <c r="J392" i="95" s="1"/>
  <c r="D392" i="95" s="1"/>
  <c r="K392" i="95"/>
  <c r="I392" i="95"/>
  <c r="C392" i="95" s="1"/>
  <c r="H392" i="95"/>
  <c r="G392" i="95"/>
  <c r="F392" i="95"/>
  <c r="E392" i="95"/>
  <c r="B392" i="95"/>
  <c r="A392" i="95" s="1"/>
  <c r="AH391" i="95"/>
  <c r="AB391" i="95"/>
  <c r="AC391" i="95" s="1"/>
  <c r="AA391" i="95"/>
  <c r="Z391" i="95"/>
  <c r="Y391" i="95"/>
  <c r="X391" i="95"/>
  <c r="W391" i="95"/>
  <c r="V391" i="95"/>
  <c r="U391" i="95"/>
  <c r="T391" i="95"/>
  <c r="S391" i="95"/>
  <c r="R391" i="95"/>
  <c r="Q391" i="95"/>
  <c r="P391" i="95"/>
  <c r="O391" i="95"/>
  <c r="M391" i="95" s="1"/>
  <c r="N391" i="95"/>
  <c r="L391" i="95"/>
  <c r="J391" i="95" s="1"/>
  <c r="D391" i="95" s="1"/>
  <c r="K391" i="95"/>
  <c r="I391" i="95"/>
  <c r="C391" i="95" s="1"/>
  <c r="H391" i="95"/>
  <c r="B391" i="95" s="1"/>
  <c r="G391" i="95"/>
  <c r="F391" i="95"/>
  <c r="AH390" i="95"/>
  <c r="AB390" i="95"/>
  <c r="AC390" i="95" s="1"/>
  <c r="AA390" i="95"/>
  <c r="Z390" i="95"/>
  <c r="Y390" i="95"/>
  <c r="X390" i="95"/>
  <c r="W390" i="95"/>
  <c r="V390" i="95"/>
  <c r="U390" i="95"/>
  <c r="T390" i="95"/>
  <c r="S390" i="95"/>
  <c r="R390" i="95"/>
  <c r="Q390" i="95"/>
  <c r="P390" i="95"/>
  <c r="O390" i="95"/>
  <c r="M390" i="95" s="1"/>
  <c r="N390" i="95"/>
  <c r="L390" i="95"/>
  <c r="J390" i="95" s="1"/>
  <c r="D390" i="95" s="1"/>
  <c r="K390" i="95"/>
  <c r="I390" i="95"/>
  <c r="C390" i="95" s="1"/>
  <c r="H390" i="95"/>
  <c r="B390" i="95" s="1"/>
  <c r="G390" i="95"/>
  <c r="F390" i="95"/>
  <c r="E390" i="95"/>
  <c r="AH389" i="95"/>
  <c r="AB389" i="95"/>
  <c r="AC389" i="95" s="1"/>
  <c r="AA389" i="95"/>
  <c r="Z389" i="95"/>
  <c r="Y389" i="95"/>
  <c r="X389" i="95"/>
  <c r="W389" i="95"/>
  <c r="V389" i="95"/>
  <c r="U389" i="95"/>
  <c r="T389" i="95"/>
  <c r="S389" i="95"/>
  <c r="R389" i="95"/>
  <c r="Q389" i="95"/>
  <c r="P389" i="95"/>
  <c r="O389" i="95"/>
  <c r="M389" i="95" s="1"/>
  <c r="N389" i="95"/>
  <c r="L389" i="95"/>
  <c r="K389" i="95"/>
  <c r="E389" i="95" s="1"/>
  <c r="J389" i="95"/>
  <c r="D389" i="95" s="1"/>
  <c r="I389" i="95"/>
  <c r="H389" i="95"/>
  <c r="G389" i="95"/>
  <c r="F389" i="95"/>
  <c r="C389" i="95"/>
  <c r="B389" i="95"/>
  <c r="AH388" i="95"/>
  <c r="AB388" i="95"/>
  <c r="AC388" i="95" s="1"/>
  <c r="AA388" i="95"/>
  <c r="Z388" i="95"/>
  <c r="Y388" i="95"/>
  <c r="X388" i="95"/>
  <c r="W388" i="95"/>
  <c r="V388" i="95"/>
  <c r="U388" i="95"/>
  <c r="T388" i="95"/>
  <c r="S388" i="95"/>
  <c r="R388" i="95"/>
  <c r="Q388" i="95"/>
  <c r="P388" i="95"/>
  <c r="O388" i="95"/>
  <c r="N388" i="95"/>
  <c r="M388" i="95"/>
  <c r="L388" i="95"/>
  <c r="J388" i="95" s="1"/>
  <c r="D388" i="95" s="1"/>
  <c r="K388" i="95"/>
  <c r="E388" i="95" s="1"/>
  <c r="I388" i="95"/>
  <c r="C388" i="95" s="1"/>
  <c r="H388" i="95"/>
  <c r="B388" i="95" s="1"/>
  <c r="G388" i="95"/>
  <c r="F388" i="95"/>
  <c r="AH387" i="95"/>
  <c r="AB387" i="95"/>
  <c r="AC387" i="95" s="1"/>
  <c r="AA387" i="95"/>
  <c r="Z387" i="95"/>
  <c r="Y387" i="95"/>
  <c r="X387" i="95"/>
  <c r="W387" i="95"/>
  <c r="V387" i="95"/>
  <c r="U387" i="95"/>
  <c r="T387" i="95"/>
  <c r="S387" i="95"/>
  <c r="R387" i="95"/>
  <c r="Q387" i="95"/>
  <c r="P387" i="95"/>
  <c r="O387" i="95"/>
  <c r="M387" i="95" s="1"/>
  <c r="N387" i="95"/>
  <c r="L387" i="95"/>
  <c r="J387" i="95" s="1"/>
  <c r="D387" i="95" s="1"/>
  <c r="K387" i="95"/>
  <c r="E387" i="95" s="1"/>
  <c r="I387" i="95"/>
  <c r="H387" i="95"/>
  <c r="G387" i="95"/>
  <c r="F387" i="95"/>
  <c r="C387" i="95"/>
  <c r="B387" i="95"/>
  <c r="AH386" i="95"/>
  <c r="AB386" i="95"/>
  <c r="AC386" i="95" s="1"/>
  <c r="AA386" i="95"/>
  <c r="Z386" i="95"/>
  <c r="Y386" i="95"/>
  <c r="X386" i="95"/>
  <c r="W386" i="95"/>
  <c r="V386" i="95"/>
  <c r="U386" i="95"/>
  <c r="T386" i="95"/>
  <c r="S386" i="95"/>
  <c r="R386" i="95"/>
  <c r="Q386" i="95"/>
  <c r="P386" i="95"/>
  <c r="O386" i="95"/>
  <c r="N386" i="95"/>
  <c r="M386" i="95"/>
  <c r="L386" i="95"/>
  <c r="K386" i="95"/>
  <c r="J386" i="95"/>
  <c r="D386" i="95" s="1"/>
  <c r="I386" i="95"/>
  <c r="C386" i="95" s="1"/>
  <c r="H386" i="95"/>
  <c r="G386" i="95"/>
  <c r="F386" i="95"/>
  <c r="E386" i="95"/>
  <c r="B386" i="95"/>
  <c r="AH385" i="95"/>
  <c r="AB385" i="95"/>
  <c r="AC385" i="95" s="1"/>
  <c r="AA385" i="95"/>
  <c r="Z385" i="95"/>
  <c r="Y385" i="95"/>
  <c r="X385" i="95"/>
  <c r="W385" i="95"/>
  <c r="V385" i="95"/>
  <c r="U385" i="95"/>
  <c r="T385" i="95"/>
  <c r="S385" i="95"/>
  <c r="R385" i="95"/>
  <c r="Q385" i="95"/>
  <c r="P385" i="95"/>
  <c r="O385" i="95"/>
  <c r="M385" i="95" s="1"/>
  <c r="N385" i="95"/>
  <c r="L385" i="95"/>
  <c r="J385" i="95" s="1"/>
  <c r="D385" i="95" s="1"/>
  <c r="K385" i="95"/>
  <c r="I385" i="95"/>
  <c r="H385" i="95"/>
  <c r="B385" i="95" s="1"/>
  <c r="G385" i="95"/>
  <c r="F385" i="95"/>
  <c r="C385" i="95"/>
  <c r="AH384" i="95"/>
  <c r="AB384" i="95"/>
  <c r="AC384" i="95" s="1"/>
  <c r="AA384" i="95"/>
  <c r="Z384" i="95"/>
  <c r="Y384" i="95"/>
  <c r="X384" i="95"/>
  <c r="W384" i="95"/>
  <c r="V384" i="95"/>
  <c r="U384" i="95"/>
  <c r="T384" i="95"/>
  <c r="S384" i="95"/>
  <c r="R384" i="95"/>
  <c r="Q384" i="95"/>
  <c r="P384" i="95"/>
  <c r="O384" i="95"/>
  <c r="M384" i="95" s="1"/>
  <c r="N384" i="95"/>
  <c r="L384" i="95"/>
  <c r="J384" i="95" s="1"/>
  <c r="D384" i="95" s="1"/>
  <c r="K384" i="95"/>
  <c r="I384" i="95"/>
  <c r="C384" i="95" s="1"/>
  <c r="H384" i="95"/>
  <c r="G384" i="95"/>
  <c r="F384" i="95"/>
  <c r="E384" i="95"/>
  <c r="B384" i="95"/>
  <c r="AH383" i="95"/>
  <c r="AB383" i="95"/>
  <c r="AC383" i="95" s="1"/>
  <c r="AA383" i="95"/>
  <c r="Z383" i="95"/>
  <c r="Y383" i="95"/>
  <c r="X383" i="95"/>
  <c r="W383" i="95"/>
  <c r="V383" i="95"/>
  <c r="U383" i="95"/>
  <c r="T383" i="95"/>
  <c r="S383" i="95"/>
  <c r="R383" i="95"/>
  <c r="Q383" i="95"/>
  <c r="P383" i="95"/>
  <c r="O383" i="95"/>
  <c r="M383" i="95" s="1"/>
  <c r="N383" i="95"/>
  <c r="L383" i="95"/>
  <c r="K383" i="95"/>
  <c r="J383" i="95"/>
  <c r="D383" i="95" s="1"/>
  <c r="I383" i="95"/>
  <c r="C383" i="95" s="1"/>
  <c r="H383" i="95"/>
  <c r="B383" i="95" s="1"/>
  <c r="G383" i="95"/>
  <c r="F383" i="95"/>
  <c r="AH382" i="95"/>
  <c r="AB382" i="95"/>
  <c r="AC382" i="95" s="1"/>
  <c r="AA382" i="95"/>
  <c r="Z382" i="95"/>
  <c r="Y382" i="95"/>
  <c r="X382" i="95"/>
  <c r="W382" i="95"/>
  <c r="V382" i="95"/>
  <c r="U382" i="95"/>
  <c r="T382" i="95"/>
  <c r="S382" i="95"/>
  <c r="R382" i="95"/>
  <c r="Q382" i="95"/>
  <c r="P382" i="95"/>
  <c r="O382" i="95"/>
  <c r="M382" i="95" s="1"/>
  <c r="N382" i="95"/>
  <c r="L382" i="95"/>
  <c r="J382" i="95" s="1"/>
  <c r="D382" i="95" s="1"/>
  <c r="K382" i="95"/>
  <c r="E382" i="95" s="1"/>
  <c r="I382" i="95"/>
  <c r="C382" i="95" s="1"/>
  <c r="H382" i="95"/>
  <c r="B382" i="95" s="1"/>
  <c r="G382" i="95"/>
  <c r="F382" i="95"/>
  <c r="AH381" i="95"/>
  <c r="AB381" i="95"/>
  <c r="AC381" i="95" s="1"/>
  <c r="AA381" i="95"/>
  <c r="Z381" i="95"/>
  <c r="Y381" i="95"/>
  <c r="X381" i="95"/>
  <c r="W381" i="95"/>
  <c r="V381" i="95"/>
  <c r="U381" i="95"/>
  <c r="T381" i="95"/>
  <c r="S381" i="95"/>
  <c r="R381" i="95"/>
  <c r="Q381" i="95"/>
  <c r="P381" i="95"/>
  <c r="O381" i="95"/>
  <c r="M381" i="95" s="1"/>
  <c r="N381" i="95"/>
  <c r="L381" i="95"/>
  <c r="J381" i="95" s="1"/>
  <c r="D381" i="95" s="1"/>
  <c r="K381" i="95"/>
  <c r="E381" i="95" s="1"/>
  <c r="I381" i="95"/>
  <c r="H381" i="95"/>
  <c r="G381" i="95"/>
  <c r="F381" i="95"/>
  <c r="C381" i="95"/>
  <c r="B381" i="95"/>
  <c r="AH380" i="95"/>
  <c r="AB380" i="95"/>
  <c r="AC380" i="95" s="1"/>
  <c r="AA380" i="95"/>
  <c r="Z380" i="95"/>
  <c r="Y380" i="95"/>
  <c r="X380" i="95"/>
  <c r="W380" i="95"/>
  <c r="V380" i="95"/>
  <c r="U380" i="95"/>
  <c r="T380" i="95"/>
  <c r="S380" i="95"/>
  <c r="R380" i="95"/>
  <c r="Q380" i="95"/>
  <c r="P380" i="95"/>
  <c r="O380" i="95"/>
  <c r="M380" i="95" s="1"/>
  <c r="N380" i="95"/>
  <c r="L380" i="95"/>
  <c r="K380" i="95"/>
  <c r="E380" i="95" s="1"/>
  <c r="J380" i="95"/>
  <c r="D380" i="95" s="1"/>
  <c r="I380" i="95"/>
  <c r="C380" i="95" s="1"/>
  <c r="H380" i="95"/>
  <c r="B380" i="95" s="1"/>
  <c r="G380" i="95"/>
  <c r="F380" i="95"/>
  <c r="AH379" i="95"/>
  <c r="AB379" i="95"/>
  <c r="AC379" i="95" s="1"/>
  <c r="AA379" i="95"/>
  <c r="Z379" i="95"/>
  <c r="Y379" i="95"/>
  <c r="X379" i="95"/>
  <c r="W379" i="95"/>
  <c r="V379" i="95"/>
  <c r="U379" i="95"/>
  <c r="T379" i="95"/>
  <c r="S379" i="95"/>
  <c r="R379" i="95"/>
  <c r="Q379" i="95"/>
  <c r="P379" i="95"/>
  <c r="O379" i="95"/>
  <c r="M379" i="95" s="1"/>
  <c r="N379" i="95"/>
  <c r="L379" i="95"/>
  <c r="J379" i="95" s="1"/>
  <c r="D379" i="95" s="1"/>
  <c r="K379" i="95"/>
  <c r="E379" i="95" s="1"/>
  <c r="I379" i="95"/>
  <c r="H379" i="95"/>
  <c r="G379" i="95"/>
  <c r="F379" i="95"/>
  <c r="C379" i="95"/>
  <c r="B379" i="95"/>
  <c r="AH378" i="95"/>
  <c r="AB378" i="95"/>
  <c r="AC378" i="95" s="1"/>
  <c r="AA378" i="95"/>
  <c r="Z378" i="95"/>
  <c r="Y378" i="95"/>
  <c r="X378" i="95"/>
  <c r="W378" i="95"/>
  <c r="V378" i="95"/>
  <c r="U378" i="95"/>
  <c r="T378" i="95"/>
  <c r="S378" i="95"/>
  <c r="R378" i="95"/>
  <c r="Q378" i="95"/>
  <c r="P378" i="95"/>
  <c r="O378" i="95"/>
  <c r="M378" i="95" s="1"/>
  <c r="N378" i="95"/>
  <c r="L378" i="95"/>
  <c r="J378" i="95" s="1"/>
  <c r="D378" i="95" s="1"/>
  <c r="K378" i="95"/>
  <c r="E378" i="95" s="1"/>
  <c r="I378" i="95"/>
  <c r="C378" i="95" s="1"/>
  <c r="H378" i="95"/>
  <c r="G378" i="95"/>
  <c r="F378" i="95"/>
  <c r="B378" i="95"/>
  <c r="AH377" i="95"/>
  <c r="AB377" i="95"/>
  <c r="AC377" i="95" s="1"/>
  <c r="AA377" i="95"/>
  <c r="Z377" i="95"/>
  <c r="Y377" i="95"/>
  <c r="X377" i="95"/>
  <c r="W377" i="95"/>
  <c r="V377" i="95"/>
  <c r="U377" i="95"/>
  <c r="T377" i="95"/>
  <c r="S377" i="95"/>
  <c r="R377" i="95"/>
  <c r="Q377" i="95"/>
  <c r="P377" i="95"/>
  <c r="O377" i="95"/>
  <c r="M377" i="95" s="1"/>
  <c r="N377" i="95"/>
  <c r="L377" i="95"/>
  <c r="J377" i="95" s="1"/>
  <c r="D377" i="95" s="1"/>
  <c r="K377" i="95"/>
  <c r="E377" i="95" s="1"/>
  <c r="I377" i="95"/>
  <c r="H377" i="95"/>
  <c r="B377" i="95" s="1"/>
  <c r="G377" i="95"/>
  <c r="F377" i="95"/>
  <c r="C377" i="95"/>
  <c r="AH376" i="95"/>
  <c r="AB376" i="95"/>
  <c r="AC376" i="95" s="1"/>
  <c r="AA376" i="95"/>
  <c r="Z376" i="95"/>
  <c r="Y376" i="95"/>
  <c r="X376" i="95"/>
  <c r="W376" i="95"/>
  <c r="V376" i="95"/>
  <c r="U376" i="95"/>
  <c r="T376" i="95"/>
  <c r="S376" i="95"/>
  <c r="R376" i="95"/>
  <c r="Q376" i="95"/>
  <c r="P376" i="95"/>
  <c r="O376" i="95"/>
  <c r="M376" i="95" s="1"/>
  <c r="N376" i="95"/>
  <c r="L376" i="95"/>
  <c r="J376" i="95" s="1"/>
  <c r="D376" i="95" s="1"/>
  <c r="K376" i="95"/>
  <c r="I376" i="95"/>
  <c r="C376" i="95" s="1"/>
  <c r="H376" i="95"/>
  <c r="B376" i="95" s="1"/>
  <c r="G376" i="95"/>
  <c r="F376" i="95"/>
  <c r="AH375" i="95"/>
  <c r="AB375" i="95"/>
  <c r="AC375" i="95" s="1"/>
  <c r="AA375" i="95"/>
  <c r="Z375" i="95"/>
  <c r="Y375" i="95"/>
  <c r="X375" i="95"/>
  <c r="W375" i="95"/>
  <c r="V375" i="95"/>
  <c r="U375" i="95"/>
  <c r="T375" i="95"/>
  <c r="S375" i="95"/>
  <c r="R375" i="95"/>
  <c r="Q375" i="95"/>
  <c r="P375" i="95"/>
  <c r="O375" i="95"/>
  <c r="M375" i="95" s="1"/>
  <c r="N375" i="95"/>
  <c r="L375" i="95"/>
  <c r="J375" i="95" s="1"/>
  <c r="K375" i="95"/>
  <c r="E375" i="95" s="1"/>
  <c r="I375" i="95"/>
  <c r="C375" i="95" s="1"/>
  <c r="H375" i="95"/>
  <c r="B375" i="95" s="1"/>
  <c r="G375" i="95"/>
  <c r="F375" i="95"/>
  <c r="D375" i="95"/>
  <c r="AH374" i="95"/>
  <c r="AB374" i="95"/>
  <c r="AC374" i="95" s="1"/>
  <c r="AA374" i="95"/>
  <c r="Z374" i="95"/>
  <c r="Y374" i="95"/>
  <c r="X374" i="95"/>
  <c r="W374" i="95"/>
  <c r="V374" i="95"/>
  <c r="U374" i="95"/>
  <c r="T374" i="95"/>
  <c r="S374" i="95"/>
  <c r="R374" i="95"/>
  <c r="Q374" i="95"/>
  <c r="P374" i="95"/>
  <c r="O374" i="95"/>
  <c r="M374" i="95" s="1"/>
  <c r="N374" i="95"/>
  <c r="L374" i="95"/>
  <c r="J374" i="95" s="1"/>
  <c r="D374" i="95" s="1"/>
  <c r="K374" i="95"/>
  <c r="E374" i="95" s="1"/>
  <c r="I374" i="95"/>
  <c r="C374" i="95" s="1"/>
  <c r="H374" i="95"/>
  <c r="B374" i="95" s="1"/>
  <c r="G374" i="95"/>
  <c r="F374" i="95"/>
  <c r="AH373" i="95"/>
  <c r="AB373" i="95"/>
  <c r="AC373" i="95" s="1"/>
  <c r="AA373" i="95"/>
  <c r="Z373" i="95"/>
  <c r="Y373" i="95"/>
  <c r="X373" i="95"/>
  <c r="W373" i="95"/>
  <c r="V373" i="95"/>
  <c r="U373" i="95"/>
  <c r="T373" i="95"/>
  <c r="S373" i="95"/>
  <c r="R373" i="95"/>
  <c r="Q373" i="95"/>
  <c r="P373" i="95"/>
  <c r="O373" i="95"/>
  <c r="M373" i="95" s="1"/>
  <c r="N373" i="95"/>
  <c r="L373" i="95"/>
  <c r="K373" i="95"/>
  <c r="J373" i="95"/>
  <c r="D373" i="95" s="1"/>
  <c r="I373" i="95"/>
  <c r="H373" i="95"/>
  <c r="G373" i="95"/>
  <c r="F373" i="95"/>
  <c r="C373" i="95"/>
  <c r="B373" i="95"/>
  <c r="AH372" i="95"/>
  <c r="AB372" i="95"/>
  <c r="AC372" i="95" s="1"/>
  <c r="AA372" i="95"/>
  <c r="Z372" i="95"/>
  <c r="Y372" i="95"/>
  <c r="X372" i="95"/>
  <c r="W372" i="95"/>
  <c r="V372" i="95"/>
  <c r="U372" i="95"/>
  <c r="T372" i="95"/>
  <c r="S372" i="95"/>
  <c r="R372" i="95"/>
  <c r="Q372" i="95"/>
  <c r="P372" i="95"/>
  <c r="O372" i="95"/>
  <c r="M372" i="95" s="1"/>
  <c r="N372" i="95"/>
  <c r="L372" i="95"/>
  <c r="J372" i="95" s="1"/>
  <c r="D372" i="95" s="1"/>
  <c r="K372" i="95"/>
  <c r="E372" i="95" s="1"/>
  <c r="I372" i="95"/>
  <c r="C372" i="95" s="1"/>
  <c r="H372" i="95"/>
  <c r="B372" i="95" s="1"/>
  <c r="G372" i="95"/>
  <c r="F372" i="95"/>
  <c r="AH371" i="95"/>
  <c r="AB371" i="95"/>
  <c r="AC371" i="95" s="1"/>
  <c r="AA371" i="95"/>
  <c r="Z371" i="95"/>
  <c r="Y371" i="95"/>
  <c r="X371" i="95"/>
  <c r="W371" i="95"/>
  <c r="V371" i="95"/>
  <c r="U371" i="95"/>
  <c r="T371" i="95"/>
  <c r="S371" i="95"/>
  <c r="R371" i="95"/>
  <c r="Q371" i="95"/>
  <c r="P371" i="95"/>
  <c r="O371" i="95"/>
  <c r="M371" i="95" s="1"/>
  <c r="N371" i="95"/>
  <c r="L371" i="95"/>
  <c r="J371" i="95" s="1"/>
  <c r="D371" i="95" s="1"/>
  <c r="K371" i="95"/>
  <c r="I371" i="95"/>
  <c r="H371" i="95"/>
  <c r="G371" i="95"/>
  <c r="F371" i="95"/>
  <c r="C371" i="95"/>
  <c r="B371" i="95"/>
  <c r="AH370" i="95"/>
  <c r="AB370" i="95"/>
  <c r="AC370" i="95" s="1"/>
  <c r="AA370" i="95"/>
  <c r="Z370" i="95"/>
  <c r="Y370" i="95"/>
  <c r="X370" i="95"/>
  <c r="W370" i="95"/>
  <c r="V370" i="95"/>
  <c r="U370" i="95"/>
  <c r="T370" i="95"/>
  <c r="S370" i="95"/>
  <c r="R370" i="95"/>
  <c r="Q370" i="95"/>
  <c r="P370" i="95"/>
  <c r="O370" i="95"/>
  <c r="M370" i="95" s="1"/>
  <c r="N370" i="95"/>
  <c r="L370" i="95"/>
  <c r="J370" i="95" s="1"/>
  <c r="D370" i="95" s="1"/>
  <c r="K370" i="95"/>
  <c r="I370" i="95"/>
  <c r="C370" i="95" s="1"/>
  <c r="H370" i="95"/>
  <c r="G370" i="95"/>
  <c r="F370" i="95"/>
  <c r="B370" i="95"/>
  <c r="AH369" i="95"/>
  <c r="AB369" i="95"/>
  <c r="AC369" i="95" s="1"/>
  <c r="AA369" i="95"/>
  <c r="Z369" i="95"/>
  <c r="Y369" i="95"/>
  <c r="X369" i="95"/>
  <c r="W369" i="95"/>
  <c r="V369" i="95"/>
  <c r="U369" i="95"/>
  <c r="T369" i="95"/>
  <c r="S369" i="95"/>
  <c r="R369" i="95"/>
  <c r="Q369" i="95"/>
  <c r="P369" i="95"/>
  <c r="O369" i="95"/>
  <c r="M369" i="95" s="1"/>
  <c r="N369" i="95"/>
  <c r="L369" i="95"/>
  <c r="J369" i="95" s="1"/>
  <c r="D369" i="95" s="1"/>
  <c r="K369" i="95"/>
  <c r="I369" i="95"/>
  <c r="H369" i="95"/>
  <c r="B369" i="95" s="1"/>
  <c r="G369" i="95"/>
  <c r="F369" i="95"/>
  <c r="C369" i="95"/>
  <c r="AH368" i="95"/>
  <c r="AB368" i="95"/>
  <c r="AC368" i="95" s="1"/>
  <c r="AA368" i="95"/>
  <c r="Z368" i="95"/>
  <c r="Y368" i="95"/>
  <c r="X368" i="95"/>
  <c r="W368" i="95"/>
  <c r="V368" i="95"/>
  <c r="U368" i="95"/>
  <c r="T368" i="95"/>
  <c r="S368" i="95"/>
  <c r="R368" i="95"/>
  <c r="Q368" i="95"/>
  <c r="P368" i="95"/>
  <c r="O368" i="95"/>
  <c r="N368" i="95"/>
  <c r="M368" i="95"/>
  <c r="L368" i="95"/>
  <c r="J368" i="95" s="1"/>
  <c r="D368" i="95" s="1"/>
  <c r="K368" i="95"/>
  <c r="I368" i="95"/>
  <c r="C368" i="95" s="1"/>
  <c r="H368" i="95"/>
  <c r="G368" i="95"/>
  <c r="F368" i="95"/>
  <c r="E368" i="95"/>
  <c r="B368" i="95"/>
  <c r="AH367" i="95"/>
  <c r="AB367" i="95"/>
  <c r="AC367" i="95" s="1"/>
  <c r="AA367" i="95"/>
  <c r="Z367" i="95"/>
  <c r="Y367" i="95"/>
  <c r="X367" i="95"/>
  <c r="W367" i="95"/>
  <c r="V367" i="95"/>
  <c r="U367" i="95"/>
  <c r="T367" i="95"/>
  <c r="S367" i="95"/>
  <c r="R367" i="95"/>
  <c r="Q367" i="95"/>
  <c r="P367" i="95"/>
  <c r="O367" i="95"/>
  <c r="M367" i="95" s="1"/>
  <c r="N367" i="95"/>
  <c r="L367" i="95"/>
  <c r="J367" i="95" s="1"/>
  <c r="D367" i="95" s="1"/>
  <c r="K367" i="95"/>
  <c r="I367" i="95"/>
  <c r="C367" i="95" s="1"/>
  <c r="H367" i="95"/>
  <c r="B367" i="95" s="1"/>
  <c r="G367" i="95"/>
  <c r="F367" i="95"/>
  <c r="AH366" i="95"/>
  <c r="AB366" i="95"/>
  <c r="AC366" i="95" s="1"/>
  <c r="AA366" i="95"/>
  <c r="Z366" i="95"/>
  <c r="Y366" i="95"/>
  <c r="X366" i="95"/>
  <c r="W366" i="95"/>
  <c r="V366" i="95"/>
  <c r="U366" i="95"/>
  <c r="T366" i="95"/>
  <c r="S366" i="95"/>
  <c r="R366" i="95"/>
  <c r="Q366" i="95"/>
  <c r="P366" i="95"/>
  <c r="O366" i="95"/>
  <c r="M366" i="95" s="1"/>
  <c r="N366" i="95"/>
  <c r="L366" i="95"/>
  <c r="J366" i="95" s="1"/>
  <c r="D366" i="95" s="1"/>
  <c r="K366" i="95"/>
  <c r="I366" i="95"/>
  <c r="C366" i="95" s="1"/>
  <c r="H366" i="95"/>
  <c r="B366" i="95" s="1"/>
  <c r="G366" i="95"/>
  <c r="F366" i="95"/>
  <c r="E366" i="95"/>
  <c r="AH365" i="95"/>
  <c r="AB365" i="95"/>
  <c r="AC365" i="95" s="1"/>
  <c r="AA365" i="95"/>
  <c r="Z365" i="95"/>
  <c r="Y365" i="95"/>
  <c r="X365" i="95"/>
  <c r="W365" i="95"/>
  <c r="V365" i="95"/>
  <c r="U365" i="95"/>
  <c r="T365" i="95"/>
  <c r="S365" i="95"/>
  <c r="R365" i="95"/>
  <c r="Q365" i="95"/>
  <c r="P365" i="95"/>
  <c r="O365" i="95"/>
  <c r="M365" i="95" s="1"/>
  <c r="N365" i="95"/>
  <c r="L365" i="95"/>
  <c r="J365" i="95" s="1"/>
  <c r="D365" i="95" s="1"/>
  <c r="K365" i="95"/>
  <c r="E365" i="95" s="1"/>
  <c r="I365" i="95"/>
  <c r="H365" i="95"/>
  <c r="G365" i="95"/>
  <c r="F365" i="95"/>
  <c r="C365" i="95"/>
  <c r="B365" i="95"/>
  <c r="AH364" i="95"/>
  <c r="AB364" i="95"/>
  <c r="AC364" i="95" s="1"/>
  <c r="AA364" i="95"/>
  <c r="Z364" i="95"/>
  <c r="Y364" i="95"/>
  <c r="X364" i="95"/>
  <c r="W364" i="95"/>
  <c r="V364" i="95"/>
  <c r="U364" i="95"/>
  <c r="T364" i="95"/>
  <c r="S364" i="95"/>
  <c r="R364" i="95"/>
  <c r="Q364" i="95"/>
  <c r="P364" i="95"/>
  <c r="O364" i="95"/>
  <c r="N364" i="95"/>
  <c r="M364" i="95"/>
  <c r="L364" i="95"/>
  <c r="K364" i="95"/>
  <c r="J364" i="95"/>
  <c r="D364" i="95" s="1"/>
  <c r="I364" i="95"/>
  <c r="C364" i="95" s="1"/>
  <c r="H364" i="95"/>
  <c r="B364" i="95" s="1"/>
  <c r="G364" i="95"/>
  <c r="F364" i="95"/>
  <c r="E364" i="95"/>
  <c r="AH363" i="95"/>
  <c r="AB363" i="95"/>
  <c r="AC363" i="95" s="1"/>
  <c r="AA363" i="95"/>
  <c r="Z363" i="95"/>
  <c r="Y363" i="95"/>
  <c r="X363" i="95"/>
  <c r="W363" i="95"/>
  <c r="V363" i="95"/>
  <c r="U363" i="95"/>
  <c r="T363" i="95"/>
  <c r="S363" i="95"/>
  <c r="R363" i="95"/>
  <c r="Q363" i="95"/>
  <c r="P363" i="95"/>
  <c r="O363" i="95"/>
  <c r="M363" i="95" s="1"/>
  <c r="N363" i="95"/>
  <c r="L363" i="95"/>
  <c r="J363" i="95" s="1"/>
  <c r="D363" i="95" s="1"/>
  <c r="K363" i="95"/>
  <c r="I363" i="95"/>
  <c r="H363" i="95"/>
  <c r="B363" i="95" s="1"/>
  <c r="G363" i="95"/>
  <c r="F363" i="95"/>
  <c r="C363" i="95"/>
  <c r="AH362" i="95"/>
  <c r="AB362" i="95"/>
  <c r="AC362" i="95" s="1"/>
  <c r="AA362" i="95"/>
  <c r="Z362" i="95"/>
  <c r="Y362" i="95"/>
  <c r="X362" i="95"/>
  <c r="W362" i="95"/>
  <c r="V362" i="95"/>
  <c r="U362" i="95"/>
  <c r="T362" i="95"/>
  <c r="S362" i="95"/>
  <c r="R362" i="95"/>
  <c r="Q362" i="95"/>
  <c r="P362" i="95"/>
  <c r="O362" i="95"/>
  <c r="M362" i="95" s="1"/>
  <c r="N362" i="95"/>
  <c r="L362" i="95"/>
  <c r="K362" i="95"/>
  <c r="E362" i="95" s="1"/>
  <c r="J362" i="95"/>
  <c r="D362" i="95" s="1"/>
  <c r="I362" i="95"/>
  <c r="C362" i="95" s="1"/>
  <c r="H362" i="95"/>
  <c r="G362" i="95"/>
  <c r="F362" i="95"/>
  <c r="B362" i="95"/>
  <c r="AH361" i="95"/>
  <c r="AB361" i="95"/>
  <c r="AC361" i="95" s="1"/>
  <c r="AA361" i="95"/>
  <c r="Z361" i="95"/>
  <c r="Y361" i="95"/>
  <c r="X361" i="95"/>
  <c r="W361" i="95"/>
  <c r="V361" i="95"/>
  <c r="U361" i="95"/>
  <c r="T361" i="95"/>
  <c r="S361" i="95"/>
  <c r="R361" i="95"/>
  <c r="Q361" i="95"/>
  <c r="P361" i="95"/>
  <c r="O361" i="95"/>
  <c r="M361" i="95" s="1"/>
  <c r="N361" i="95"/>
  <c r="L361" i="95"/>
  <c r="J361" i="95" s="1"/>
  <c r="D361" i="95" s="1"/>
  <c r="K361" i="95"/>
  <c r="E361" i="95" s="1"/>
  <c r="I361" i="95"/>
  <c r="H361" i="95"/>
  <c r="B361" i="95" s="1"/>
  <c r="G361" i="95"/>
  <c r="F361" i="95"/>
  <c r="C361" i="95"/>
  <c r="AH360" i="95"/>
  <c r="AB360" i="95"/>
  <c r="AC360" i="95" s="1"/>
  <c r="AA360" i="95"/>
  <c r="Z360" i="95"/>
  <c r="Y360" i="95"/>
  <c r="X360" i="95"/>
  <c r="W360" i="95"/>
  <c r="V360" i="95"/>
  <c r="U360" i="95"/>
  <c r="T360" i="95"/>
  <c r="S360" i="95"/>
  <c r="R360" i="95"/>
  <c r="Q360" i="95"/>
  <c r="P360" i="95"/>
  <c r="O360" i="95"/>
  <c r="M360" i="95" s="1"/>
  <c r="N360" i="95"/>
  <c r="L360" i="95"/>
  <c r="J360" i="95" s="1"/>
  <c r="D360" i="95" s="1"/>
  <c r="K360" i="95"/>
  <c r="I360" i="95"/>
  <c r="C360" i="95" s="1"/>
  <c r="H360" i="95"/>
  <c r="G360" i="95"/>
  <c r="F360" i="95"/>
  <c r="E360" i="95"/>
  <c r="B360" i="95"/>
  <c r="AH359" i="95"/>
  <c r="AB359" i="95"/>
  <c r="AC359" i="95" s="1"/>
  <c r="AA359" i="95"/>
  <c r="Z359" i="95"/>
  <c r="Y359" i="95"/>
  <c r="X359" i="95"/>
  <c r="W359" i="95"/>
  <c r="V359" i="95"/>
  <c r="U359" i="95"/>
  <c r="T359" i="95"/>
  <c r="S359" i="95"/>
  <c r="R359" i="95"/>
  <c r="Q359" i="95"/>
  <c r="P359" i="95"/>
  <c r="O359" i="95"/>
  <c r="M359" i="95" s="1"/>
  <c r="N359" i="95"/>
  <c r="L359" i="95"/>
  <c r="K359" i="95"/>
  <c r="J359" i="95"/>
  <c r="D359" i="95" s="1"/>
  <c r="I359" i="95"/>
  <c r="H359" i="95"/>
  <c r="B359" i="95" s="1"/>
  <c r="G359" i="95"/>
  <c r="F359" i="95"/>
  <c r="C359" i="95"/>
  <c r="AH358" i="95"/>
  <c r="AB358" i="95"/>
  <c r="AC358" i="95" s="1"/>
  <c r="AA358" i="95"/>
  <c r="Z358" i="95"/>
  <c r="Y358" i="95"/>
  <c r="X358" i="95"/>
  <c r="W358" i="95"/>
  <c r="V358" i="95"/>
  <c r="U358" i="95"/>
  <c r="T358" i="95"/>
  <c r="S358" i="95"/>
  <c r="R358" i="95"/>
  <c r="Q358" i="95"/>
  <c r="P358" i="95"/>
  <c r="O358" i="95"/>
  <c r="N358" i="95"/>
  <c r="M358" i="95"/>
  <c r="L358" i="95"/>
  <c r="J358" i="95" s="1"/>
  <c r="D358" i="95" s="1"/>
  <c r="K358" i="95"/>
  <c r="I358" i="95"/>
  <c r="C358" i="95" s="1"/>
  <c r="H358" i="95"/>
  <c r="B358" i="95" s="1"/>
  <c r="G358" i="95"/>
  <c r="F358" i="95"/>
  <c r="E358" i="95"/>
  <c r="AH357" i="95"/>
  <c r="AB357" i="95"/>
  <c r="AC357" i="95" s="1"/>
  <c r="AA357" i="95"/>
  <c r="Z357" i="95"/>
  <c r="Y357" i="95"/>
  <c r="X357" i="95"/>
  <c r="W357" i="95"/>
  <c r="V357" i="95"/>
  <c r="U357" i="95"/>
  <c r="T357" i="95"/>
  <c r="S357" i="95"/>
  <c r="R357" i="95"/>
  <c r="Q357" i="95"/>
  <c r="P357" i="95"/>
  <c r="O357" i="95"/>
  <c r="M357" i="95" s="1"/>
  <c r="N357" i="95"/>
  <c r="L357" i="95"/>
  <c r="J357" i="95" s="1"/>
  <c r="D357" i="95" s="1"/>
  <c r="K357" i="95"/>
  <c r="E357" i="95" s="1"/>
  <c r="I357" i="95"/>
  <c r="H357" i="95"/>
  <c r="G357" i="95"/>
  <c r="F357" i="95"/>
  <c r="C357" i="95"/>
  <c r="B357" i="95"/>
  <c r="AH356" i="95"/>
  <c r="AB356" i="95"/>
  <c r="AC356" i="95" s="1"/>
  <c r="AA356" i="95"/>
  <c r="Z356" i="95"/>
  <c r="Y356" i="95"/>
  <c r="X356" i="95"/>
  <c r="W356" i="95"/>
  <c r="V356" i="95"/>
  <c r="U356" i="95"/>
  <c r="T356" i="95"/>
  <c r="S356" i="95"/>
  <c r="R356" i="95"/>
  <c r="Q356" i="95"/>
  <c r="P356" i="95"/>
  <c r="O356" i="95"/>
  <c r="M356" i="95" s="1"/>
  <c r="N356" i="95"/>
  <c r="L356" i="95"/>
  <c r="K356" i="95"/>
  <c r="J356" i="95"/>
  <c r="D356" i="95" s="1"/>
  <c r="I356" i="95"/>
  <c r="C356" i="95" s="1"/>
  <c r="H356" i="95"/>
  <c r="B356" i="95" s="1"/>
  <c r="G356" i="95"/>
  <c r="F356" i="95"/>
  <c r="AH355" i="95"/>
  <c r="AB355" i="95"/>
  <c r="AC355" i="95" s="1"/>
  <c r="AA355" i="95"/>
  <c r="Z355" i="95"/>
  <c r="Y355" i="95"/>
  <c r="X355" i="95"/>
  <c r="W355" i="95"/>
  <c r="V355" i="95"/>
  <c r="U355" i="95"/>
  <c r="T355" i="95"/>
  <c r="S355" i="95"/>
  <c r="R355" i="95"/>
  <c r="Q355" i="95"/>
  <c r="P355" i="95"/>
  <c r="O355" i="95"/>
  <c r="M355" i="95" s="1"/>
  <c r="N355" i="95"/>
  <c r="L355" i="95"/>
  <c r="J355" i="95" s="1"/>
  <c r="D355" i="95" s="1"/>
  <c r="K355" i="95"/>
  <c r="E355" i="95" s="1"/>
  <c r="I355" i="95"/>
  <c r="H355" i="95"/>
  <c r="G355" i="95"/>
  <c r="F355" i="95"/>
  <c r="C355" i="95"/>
  <c r="B355" i="95"/>
  <c r="AH354" i="95"/>
  <c r="AB354" i="95"/>
  <c r="AC354" i="95" s="1"/>
  <c r="AA354" i="95"/>
  <c r="Z354" i="95"/>
  <c r="Y354" i="95"/>
  <c r="X354" i="95"/>
  <c r="W354" i="95"/>
  <c r="V354" i="95"/>
  <c r="U354" i="95"/>
  <c r="T354" i="95"/>
  <c r="S354" i="95"/>
  <c r="R354" i="95"/>
  <c r="Q354" i="95"/>
  <c r="P354" i="95"/>
  <c r="O354" i="95"/>
  <c r="M354" i="95" s="1"/>
  <c r="N354" i="95"/>
  <c r="L354" i="95"/>
  <c r="J354" i="95" s="1"/>
  <c r="D354" i="95" s="1"/>
  <c r="K354" i="95"/>
  <c r="E354" i="95" s="1"/>
  <c r="I354" i="95"/>
  <c r="C354" i="95" s="1"/>
  <c r="H354" i="95"/>
  <c r="G354" i="95"/>
  <c r="F354" i="95"/>
  <c r="B354" i="95"/>
  <c r="AH353" i="95"/>
  <c r="AB353" i="95"/>
  <c r="AC353" i="95" s="1"/>
  <c r="AA353" i="95"/>
  <c r="Z353" i="95"/>
  <c r="Y353" i="95"/>
  <c r="X353" i="95"/>
  <c r="W353" i="95"/>
  <c r="V353" i="95"/>
  <c r="U353" i="95"/>
  <c r="T353" i="95"/>
  <c r="S353" i="95"/>
  <c r="R353" i="95"/>
  <c r="Q353" i="95"/>
  <c r="P353" i="95"/>
  <c r="O353" i="95"/>
  <c r="M353" i="95" s="1"/>
  <c r="N353" i="95"/>
  <c r="L353" i="95"/>
  <c r="J353" i="95" s="1"/>
  <c r="D353" i="95" s="1"/>
  <c r="K353" i="95"/>
  <c r="E353" i="95" s="1"/>
  <c r="I353" i="95"/>
  <c r="H353" i="95"/>
  <c r="B353" i="95" s="1"/>
  <c r="G353" i="95"/>
  <c r="F353" i="95"/>
  <c r="C353" i="95"/>
  <c r="AH352" i="95"/>
  <c r="AB352" i="95"/>
  <c r="AC352" i="95" s="1"/>
  <c r="AA352" i="95"/>
  <c r="Z352" i="95"/>
  <c r="Y352" i="95"/>
  <c r="X352" i="95"/>
  <c r="W352" i="95"/>
  <c r="V352" i="95"/>
  <c r="U352" i="95"/>
  <c r="T352" i="95"/>
  <c r="S352" i="95"/>
  <c r="R352" i="95"/>
  <c r="Q352" i="95"/>
  <c r="P352" i="95"/>
  <c r="O352" i="95"/>
  <c r="N352" i="95"/>
  <c r="M352" i="95"/>
  <c r="L352" i="95"/>
  <c r="J352" i="95" s="1"/>
  <c r="D352" i="95" s="1"/>
  <c r="K352" i="95"/>
  <c r="I352" i="95"/>
  <c r="C352" i="95" s="1"/>
  <c r="H352" i="95"/>
  <c r="B352" i="95" s="1"/>
  <c r="G352" i="95"/>
  <c r="F352" i="95"/>
  <c r="E352" i="95"/>
  <c r="AH351" i="95"/>
  <c r="AB351" i="95"/>
  <c r="AC351" i="95" s="1"/>
  <c r="AA351" i="95"/>
  <c r="Z351" i="95"/>
  <c r="Y351" i="95"/>
  <c r="X351" i="95"/>
  <c r="W351" i="95"/>
  <c r="V351" i="95"/>
  <c r="U351" i="95"/>
  <c r="T351" i="95"/>
  <c r="S351" i="95"/>
  <c r="R351" i="95"/>
  <c r="Q351" i="95"/>
  <c r="P351" i="95"/>
  <c r="O351" i="95"/>
  <c r="M351" i="95" s="1"/>
  <c r="N351" i="95"/>
  <c r="L351" i="95"/>
  <c r="J351" i="95" s="1"/>
  <c r="D351" i="95" s="1"/>
  <c r="K351" i="95"/>
  <c r="I351" i="95"/>
  <c r="H351" i="95"/>
  <c r="G351" i="95"/>
  <c r="F351" i="95"/>
  <c r="C351" i="95"/>
  <c r="B351" i="95"/>
  <c r="AH350" i="95"/>
  <c r="AB350" i="95"/>
  <c r="AC350" i="95" s="1"/>
  <c r="AA350" i="95"/>
  <c r="Z350" i="95"/>
  <c r="Y350" i="95"/>
  <c r="X350" i="95"/>
  <c r="W350" i="95"/>
  <c r="V350" i="95"/>
  <c r="U350" i="95"/>
  <c r="T350" i="95"/>
  <c r="S350" i="95"/>
  <c r="R350" i="95"/>
  <c r="Q350" i="95"/>
  <c r="P350" i="95"/>
  <c r="O350" i="95"/>
  <c r="N350" i="95"/>
  <c r="M350" i="95"/>
  <c r="L350" i="95"/>
  <c r="J350" i="95" s="1"/>
  <c r="D350" i="95" s="1"/>
  <c r="K350" i="95"/>
  <c r="E350" i="95" s="1"/>
  <c r="I350" i="95"/>
  <c r="C350" i="95" s="1"/>
  <c r="H350" i="95"/>
  <c r="G350" i="95"/>
  <c r="F350" i="95"/>
  <c r="B350" i="95"/>
  <c r="AH349" i="95"/>
  <c r="AB349" i="95"/>
  <c r="AC349" i="95" s="1"/>
  <c r="AA349" i="95"/>
  <c r="Z349" i="95"/>
  <c r="Y349" i="95"/>
  <c r="X349" i="95"/>
  <c r="W349" i="95"/>
  <c r="V349" i="95"/>
  <c r="U349" i="95"/>
  <c r="T349" i="95"/>
  <c r="S349" i="95"/>
  <c r="R349" i="95"/>
  <c r="Q349" i="95"/>
  <c r="P349" i="95"/>
  <c r="O349" i="95"/>
  <c r="M349" i="95" s="1"/>
  <c r="N349" i="95"/>
  <c r="L349" i="95"/>
  <c r="K349" i="95"/>
  <c r="E349" i="95" s="1"/>
  <c r="J349" i="95"/>
  <c r="D349" i="95" s="1"/>
  <c r="I349" i="95"/>
  <c r="H349" i="95"/>
  <c r="G349" i="95"/>
  <c r="F349" i="95"/>
  <c r="C349" i="95"/>
  <c r="B349" i="95"/>
  <c r="AH348" i="95"/>
  <c r="AB348" i="95"/>
  <c r="AC348" i="95" s="1"/>
  <c r="AA348" i="95"/>
  <c r="Z348" i="95"/>
  <c r="Y348" i="95"/>
  <c r="X348" i="95"/>
  <c r="W348" i="95"/>
  <c r="V348" i="95"/>
  <c r="U348" i="95"/>
  <c r="T348" i="95"/>
  <c r="S348" i="95"/>
  <c r="R348" i="95"/>
  <c r="Q348" i="95"/>
  <c r="P348" i="95"/>
  <c r="O348" i="95"/>
  <c r="M348" i="95" s="1"/>
  <c r="N348" i="95"/>
  <c r="L348" i="95"/>
  <c r="J348" i="95" s="1"/>
  <c r="D348" i="95" s="1"/>
  <c r="K348" i="95"/>
  <c r="I348" i="95"/>
  <c r="H348" i="95"/>
  <c r="G348" i="95"/>
  <c r="F348" i="95"/>
  <c r="C348" i="95"/>
  <c r="B348" i="95"/>
  <c r="AH347" i="95"/>
  <c r="AB347" i="95"/>
  <c r="AC347" i="95" s="1"/>
  <c r="AA347" i="95"/>
  <c r="Z347" i="95"/>
  <c r="Y347" i="95"/>
  <c r="X347" i="95"/>
  <c r="W347" i="95"/>
  <c r="V347" i="95"/>
  <c r="U347" i="95"/>
  <c r="T347" i="95"/>
  <c r="S347" i="95"/>
  <c r="R347" i="95"/>
  <c r="Q347" i="95"/>
  <c r="P347" i="95"/>
  <c r="O347" i="95"/>
  <c r="M347" i="95" s="1"/>
  <c r="N347" i="95"/>
  <c r="L347" i="95"/>
  <c r="J347" i="95" s="1"/>
  <c r="D347" i="95" s="1"/>
  <c r="K347" i="95"/>
  <c r="E347" i="95" s="1"/>
  <c r="I347" i="95"/>
  <c r="C347" i="95" s="1"/>
  <c r="H347" i="95"/>
  <c r="B347" i="95" s="1"/>
  <c r="G347" i="95"/>
  <c r="F347" i="95"/>
  <c r="AH346" i="95"/>
  <c r="AB346" i="95"/>
  <c r="AC346" i="95" s="1"/>
  <c r="AA346" i="95"/>
  <c r="Z346" i="95"/>
  <c r="Y346" i="95"/>
  <c r="X346" i="95"/>
  <c r="W346" i="95"/>
  <c r="V346" i="95"/>
  <c r="U346" i="95"/>
  <c r="T346" i="95"/>
  <c r="S346" i="95"/>
  <c r="R346" i="95"/>
  <c r="Q346" i="95"/>
  <c r="P346" i="95"/>
  <c r="O346" i="95"/>
  <c r="M346" i="95" s="1"/>
  <c r="N346" i="95"/>
  <c r="L346" i="95"/>
  <c r="J346" i="95" s="1"/>
  <c r="D346" i="95" s="1"/>
  <c r="K346" i="95"/>
  <c r="E346" i="95" s="1"/>
  <c r="I346" i="95"/>
  <c r="H346" i="95"/>
  <c r="G346" i="95"/>
  <c r="F346" i="95"/>
  <c r="C346" i="95"/>
  <c r="B346" i="95"/>
  <c r="AH345" i="95"/>
  <c r="AB345" i="95"/>
  <c r="AC345" i="95" s="1"/>
  <c r="AA345" i="95"/>
  <c r="Z345" i="95"/>
  <c r="Y345" i="95"/>
  <c r="X345" i="95"/>
  <c r="W345" i="95"/>
  <c r="V345" i="95"/>
  <c r="U345" i="95"/>
  <c r="T345" i="95"/>
  <c r="S345" i="95"/>
  <c r="R345" i="95"/>
  <c r="Q345" i="95"/>
  <c r="P345" i="95"/>
  <c r="O345" i="95"/>
  <c r="M345" i="95" s="1"/>
  <c r="N345" i="95"/>
  <c r="L345" i="95"/>
  <c r="J345" i="95" s="1"/>
  <c r="D345" i="95" s="1"/>
  <c r="K345" i="95"/>
  <c r="E345" i="95" s="1"/>
  <c r="I345" i="95"/>
  <c r="C345" i="95" s="1"/>
  <c r="H345" i="95"/>
  <c r="B345" i="95" s="1"/>
  <c r="G345" i="95"/>
  <c r="F345" i="95"/>
  <c r="AH344" i="95"/>
  <c r="AB344" i="95"/>
  <c r="AC344" i="95" s="1"/>
  <c r="AA344" i="95"/>
  <c r="Z344" i="95"/>
  <c r="Y344" i="95"/>
  <c r="X344" i="95"/>
  <c r="W344" i="95"/>
  <c r="V344" i="95"/>
  <c r="U344" i="95"/>
  <c r="T344" i="95"/>
  <c r="S344" i="95"/>
  <c r="R344" i="95"/>
  <c r="Q344" i="95"/>
  <c r="P344" i="95"/>
  <c r="O344" i="95"/>
  <c r="M344" i="95" s="1"/>
  <c r="N344" i="95"/>
  <c r="L344" i="95"/>
  <c r="J344" i="95" s="1"/>
  <c r="D344" i="95" s="1"/>
  <c r="K344" i="95"/>
  <c r="E344" i="95" s="1"/>
  <c r="I344" i="95"/>
  <c r="H344" i="95"/>
  <c r="G344" i="95"/>
  <c r="F344" i="95"/>
  <c r="C344" i="95"/>
  <c r="B344" i="95"/>
  <c r="AH343" i="95"/>
  <c r="AB343" i="95"/>
  <c r="AC343" i="95" s="1"/>
  <c r="AA343" i="95"/>
  <c r="Z343" i="95"/>
  <c r="Y343" i="95"/>
  <c r="X343" i="95"/>
  <c r="W343" i="95"/>
  <c r="V343" i="95"/>
  <c r="U343" i="95"/>
  <c r="T343" i="95"/>
  <c r="S343" i="95"/>
  <c r="R343" i="95"/>
  <c r="Q343" i="95"/>
  <c r="P343" i="95"/>
  <c r="O343" i="95"/>
  <c r="N343" i="95"/>
  <c r="M343" i="95"/>
  <c r="L343" i="95"/>
  <c r="J343" i="95" s="1"/>
  <c r="D343" i="95" s="1"/>
  <c r="K343" i="95"/>
  <c r="I343" i="95"/>
  <c r="C343" i="95" s="1"/>
  <c r="H343" i="95"/>
  <c r="B343" i="95" s="1"/>
  <c r="G343" i="95"/>
  <c r="F343" i="95"/>
  <c r="E343" i="95"/>
  <c r="AH342" i="95"/>
  <c r="AB342" i="95"/>
  <c r="AC342" i="95" s="1"/>
  <c r="AA342" i="95"/>
  <c r="Z342" i="95"/>
  <c r="Y342" i="95"/>
  <c r="X342" i="95"/>
  <c r="W342" i="95"/>
  <c r="V342" i="95"/>
  <c r="U342" i="95"/>
  <c r="T342" i="95"/>
  <c r="S342" i="95"/>
  <c r="R342" i="95"/>
  <c r="Q342" i="95"/>
  <c r="P342" i="95"/>
  <c r="O342" i="95"/>
  <c r="M342" i="95" s="1"/>
  <c r="N342" i="95"/>
  <c r="L342" i="95"/>
  <c r="K342" i="95"/>
  <c r="J342" i="95"/>
  <c r="D342" i="95" s="1"/>
  <c r="I342" i="95"/>
  <c r="H342" i="95"/>
  <c r="G342" i="95"/>
  <c r="F342" i="95"/>
  <c r="C342" i="95"/>
  <c r="B342" i="95"/>
  <c r="AH341" i="95"/>
  <c r="AB341" i="95"/>
  <c r="AC341" i="95" s="1"/>
  <c r="AA341" i="95"/>
  <c r="Z341" i="95"/>
  <c r="Y341" i="95"/>
  <c r="X341" i="95"/>
  <c r="W341" i="95"/>
  <c r="V341" i="95"/>
  <c r="U341" i="95"/>
  <c r="T341" i="95"/>
  <c r="S341" i="95"/>
  <c r="R341" i="95"/>
  <c r="Q341" i="95"/>
  <c r="P341" i="95"/>
  <c r="O341" i="95"/>
  <c r="N341" i="95"/>
  <c r="M341" i="95"/>
  <c r="L341" i="95"/>
  <c r="J341" i="95" s="1"/>
  <c r="D341" i="95" s="1"/>
  <c r="K341" i="95"/>
  <c r="E341" i="95" s="1"/>
  <c r="I341" i="95"/>
  <c r="C341" i="95" s="1"/>
  <c r="H341" i="95"/>
  <c r="B341" i="95" s="1"/>
  <c r="G341" i="95"/>
  <c r="F341" i="95"/>
  <c r="AH340" i="95"/>
  <c r="AC340" i="95"/>
  <c r="AB340" i="95"/>
  <c r="AA340" i="95"/>
  <c r="Z340" i="95"/>
  <c r="Y340" i="95"/>
  <c r="X340" i="95"/>
  <c r="W340" i="95"/>
  <c r="V340" i="95"/>
  <c r="U340" i="95"/>
  <c r="T340" i="95"/>
  <c r="S340" i="95"/>
  <c r="R340" i="95"/>
  <c r="Q340" i="95"/>
  <c r="P340" i="95"/>
  <c r="O340" i="95"/>
  <c r="M340" i="95" s="1"/>
  <c r="N340" i="95"/>
  <c r="L340" i="95"/>
  <c r="J340" i="95" s="1"/>
  <c r="D340" i="95" s="1"/>
  <c r="K340" i="95"/>
  <c r="I340" i="95"/>
  <c r="H340" i="95"/>
  <c r="G340" i="95"/>
  <c r="F340" i="95"/>
  <c r="C340" i="95"/>
  <c r="B340" i="95"/>
  <c r="AH339" i="95"/>
  <c r="AB339" i="95"/>
  <c r="AC339" i="95" s="1"/>
  <c r="AA339" i="95"/>
  <c r="Z339" i="95"/>
  <c r="Y339" i="95"/>
  <c r="X339" i="95"/>
  <c r="W339" i="95"/>
  <c r="V339" i="95"/>
  <c r="U339" i="95"/>
  <c r="T339" i="95"/>
  <c r="S339" i="95"/>
  <c r="R339" i="95"/>
  <c r="Q339" i="95"/>
  <c r="P339" i="95"/>
  <c r="O339" i="95"/>
  <c r="M339" i="95" s="1"/>
  <c r="N339" i="95"/>
  <c r="L339" i="95"/>
  <c r="J339" i="95" s="1"/>
  <c r="D339" i="95" s="1"/>
  <c r="K339" i="95"/>
  <c r="I339" i="95"/>
  <c r="C339" i="95" s="1"/>
  <c r="H339" i="95"/>
  <c r="B339" i="95" s="1"/>
  <c r="G339" i="95"/>
  <c r="F339" i="95"/>
  <c r="E339" i="95"/>
  <c r="AH338" i="95"/>
  <c r="AB338" i="95"/>
  <c r="AC338" i="95" s="1"/>
  <c r="AA338" i="95"/>
  <c r="Z338" i="95"/>
  <c r="Y338" i="95"/>
  <c r="X338" i="95"/>
  <c r="W338" i="95"/>
  <c r="V338" i="95"/>
  <c r="U338" i="95"/>
  <c r="T338" i="95"/>
  <c r="S338" i="95"/>
  <c r="R338" i="95"/>
  <c r="Q338" i="95"/>
  <c r="P338" i="95"/>
  <c r="O338" i="95"/>
  <c r="M338" i="95" s="1"/>
  <c r="N338" i="95"/>
  <c r="L338" i="95"/>
  <c r="K338" i="95"/>
  <c r="E338" i="95" s="1"/>
  <c r="J338" i="95"/>
  <c r="D338" i="95" s="1"/>
  <c r="I338" i="95"/>
  <c r="H338" i="95"/>
  <c r="G338" i="95"/>
  <c r="F338" i="95"/>
  <c r="C338" i="95"/>
  <c r="B338" i="95"/>
  <c r="AH337" i="95"/>
  <c r="AB337" i="95"/>
  <c r="AC337" i="95" s="1"/>
  <c r="AA337" i="95"/>
  <c r="Z337" i="95"/>
  <c r="Y337" i="95"/>
  <c r="X337" i="95"/>
  <c r="W337" i="95"/>
  <c r="V337" i="95"/>
  <c r="U337" i="95"/>
  <c r="T337" i="95"/>
  <c r="S337" i="95"/>
  <c r="R337" i="95"/>
  <c r="Q337" i="95"/>
  <c r="P337" i="95"/>
  <c r="O337" i="95"/>
  <c r="N337" i="95"/>
  <c r="M337" i="95"/>
  <c r="L337" i="95"/>
  <c r="J337" i="95" s="1"/>
  <c r="D337" i="95" s="1"/>
  <c r="K337" i="95"/>
  <c r="I337" i="95"/>
  <c r="C337" i="95" s="1"/>
  <c r="H337" i="95"/>
  <c r="B337" i="95" s="1"/>
  <c r="G337" i="95"/>
  <c r="F337" i="95"/>
  <c r="E337" i="95"/>
  <c r="AH336" i="95"/>
  <c r="AB336" i="95"/>
  <c r="AC336" i="95" s="1"/>
  <c r="AA336" i="95"/>
  <c r="Z336" i="95"/>
  <c r="Y336" i="95"/>
  <c r="X336" i="95"/>
  <c r="W336" i="95"/>
  <c r="V336" i="95"/>
  <c r="U336" i="95"/>
  <c r="T336" i="95"/>
  <c r="S336" i="95"/>
  <c r="R336" i="95"/>
  <c r="Q336" i="95"/>
  <c r="P336" i="95"/>
  <c r="O336" i="95"/>
  <c r="M336" i="95" s="1"/>
  <c r="N336" i="95"/>
  <c r="L336" i="95"/>
  <c r="K336" i="95"/>
  <c r="E336" i="95" s="1"/>
  <c r="J336" i="95"/>
  <c r="D336" i="95" s="1"/>
  <c r="I336" i="95"/>
  <c r="H336" i="95"/>
  <c r="G336" i="95"/>
  <c r="F336" i="95"/>
  <c r="C336" i="95"/>
  <c r="B336" i="95"/>
  <c r="AH335" i="95"/>
  <c r="AB335" i="95"/>
  <c r="AC335" i="95" s="1"/>
  <c r="AA335" i="95"/>
  <c r="Z335" i="95"/>
  <c r="Y335" i="95"/>
  <c r="X335" i="95"/>
  <c r="W335" i="95"/>
  <c r="V335" i="95"/>
  <c r="U335" i="95"/>
  <c r="T335" i="95"/>
  <c r="S335" i="95"/>
  <c r="R335" i="95"/>
  <c r="Q335" i="95"/>
  <c r="P335" i="95"/>
  <c r="O335" i="95"/>
  <c r="M335" i="95" s="1"/>
  <c r="N335" i="95"/>
  <c r="L335" i="95"/>
  <c r="J335" i="95" s="1"/>
  <c r="D335" i="95" s="1"/>
  <c r="K335" i="95"/>
  <c r="I335" i="95"/>
  <c r="C335" i="95" s="1"/>
  <c r="H335" i="95"/>
  <c r="B335" i="95" s="1"/>
  <c r="G335" i="95"/>
  <c r="F335" i="95"/>
  <c r="AH334" i="95"/>
  <c r="AB334" i="95"/>
  <c r="AC334" i="95" s="1"/>
  <c r="AA334" i="95"/>
  <c r="Z334" i="95"/>
  <c r="Y334" i="95"/>
  <c r="X334" i="95"/>
  <c r="W334" i="95"/>
  <c r="V334" i="95"/>
  <c r="U334" i="95"/>
  <c r="T334" i="95"/>
  <c r="S334" i="95"/>
  <c r="R334" i="95"/>
  <c r="Q334" i="95"/>
  <c r="P334" i="95"/>
  <c r="O334" i="95"/>
  <c r="M334" i="95" s="1"/>
  <c r="N334" i="95"/>
  <c r="L334" i="95"/>
  <c r="J334" i="95" s="1"/>
  <c r="D334" i="95" s="1"/>
  <c r="K334" i="95"/>
  <c r="I334" i="95"/>
  <c r="H334" i="95"/>
  <c r="G334" i="95"/>
  <c r="F334" i="95"/>
  <c r="C334" i="95"/>
  <c r="B334" i="95"/>
  <c r="AH333" i="95"/>
  <c r="AB333" i="95"/>
  <c r="AC333" i="95" s="1"/>
  <c r="AA333" i="95"/>
  <c r="Z333" i="95"/>
  <c r="Y333" i="95"/>
  <c r="X333" i="95"/>
  <c r="W333" i="95"/>
  <c r="V333" i="95"/>
  <c r="U333" i="95"/>
  <c r="T333" i="95"/>
  <c r="S333" i="95"/>
  <c r="R333" i="95"/>
  <c r="Q333" i="95"/>
  <c r="P333" i="95"/>
  <c r="O333" i="95"/>
  <c r="N333" i="95"/>
  <c r="M333" i="95"/>
  <c r="L333" i="95"/>
  <c r="J333" i="95" s="1"/>
  <c r="D333" i="95" s="1"/>
  <c r="K333" i="95"/>
  <c r="E333" i="95" s="1"/>
  <c r="I333" i="95"/>
  <c r="C333" i="95" s="1"/>
  <c r="H333" i="95"/>
  <c r="B333" i="95" s="1"/>
  <c r="G333" i="95"/>
  <c r="F333" i="95"/>
  <c r="AH332" i="95"/>
  <c r="AB332" i="95"/>
  <c r="AC332" i="95" s="1"/>
  <c r="AA332" i="95"/>
  <c r="Z332" i="95"/>
  <c r="Y332" i="95"/>
  <c r="X332" i="95"/>
  <c r="W332" i="95"/>
  <c r="V332" i="95"/>
  <c r="U332" i="95"/>
  <c r="T332" i="95"/>
  <c r="S332" i="95"/>
  <c r="R332" i="95"/>
  <c r="Q332" i="95"/>
  <c r="P332" i="95"/>
  <c r="O332" i="95"/>
  <c r="M332" i="95" s="1"/>
  <c r="N332" i="95"/>
  <c r="L332" i="95"/>
  <c r="K332" i="95"/>
  <c r="J332" i="95"/>
  <c r="D332" i="95" s="1"/>
  <c r="I332" i="95"/>
  <c r="H332" i="95"/>
  <c r="G332" i="95"/>
  <c r="F332" i="95"/>
  <c r="C332" i="95"/>
  <c r="B332" i="95"/>
  <c r="AH331" i="95"/>
  <c r="AB331" i="95"/>
  <c r="AC331" i="95" s="1"/>
  <c r="AA331" i="95"/>
  <c r="Z331" i="95"/>
  <c r="Y331" i="95"/>
  <c r="X331" i="95"/>
  <c r="W331" i="95"/>
  <c r="V331" i="95"/>
  <c r="U331" i="95"/>
  <c r="T331" i="95"/>
  <c r="S331" i="95"/>
  <c r="R331" i="95"/>
  <c r="Q331" i="95"/>
  <c r="P331" i="95"/>
  <c r="O331" i="95"/>
  <c r="N331" i="95"/>
  <c r="M331" i="95"/>
  <c r="L331" i="95"/>
  <c r="J331" i="95" s="1"/>
  <c r="D331" i="95" s="1"/>
  <c r="K331" i="95"/>
  <c r="I331" i="95"/>
  <c r="C331" i="95" s="1"/>
  <c r="H331" i="95"/>
  <c r="B331" i="95" s="1"/>
  <c r="G331" i="95"/>
  <c r="F331" i="95"/>
  <c r="E331" i="95"/>
  <c r="AH330" i="95"/>
  <c r="AB330" i="95"/>
  <c r="AC330" i="95" s="1"/>
  <c r="AA330" i="95"/>
  <c r="Z330" i="95"/>
  <c r="Y330" i="95"/>
  <c r="X330" i="95"/>
  <c r="W330" i="95"/>
  <c r="V330" i="95"/>
  <c r="U330" i="95"/>
  <c r="T330" i="95"/>
  <c r="S330" i="95"/>
  <c r="R330" i="95"/>
  <c r="Q330" i="95"/>
  <c r="P330" i="95"/>
  <c r="O330" i="95"/>
  <c r="M330" i="95" s="1"/>
  <c r="N330" i="95"/>
  <c r="L330" i="95"/>
  <c r="K330" i="95"/>
  <c r="E330" i="95" s="1"/>
  <c r="J330" i="95"/>
  <c r="D330" i="95" s="1"/>
  <c r="I330" i="95"/>
  <c r="H330" i="95"/>
  <c r="G330" i="95"/>
  <c r="F330" i="95"/>
  <c r="C330" i="95"/>
  <c r="B330" i="95"/>
  <c r="AH329" i="95"/>
  <c r="AB329" i="95"/>
  <c r="AC329" i="95" s="1"/>
  <c r="AA329" i="95"/>
  <c r="Z329" i="95"/>
  <c r="Y329" i="95"/>
  <c r="X329" i="95"/>
  <c r="W329" i="95"/>
  <c r="V329" i="95"/>
  <c r="U329" i="95"/>
  <c r="T329" i="95"/>
  <c r="S329" i="95"/>
  <c r="R329" i="95"/>
  <c r="Q329" i="95"/>
  <c r="P329" i="95"/>
  <c r="O329" i="95"/>
  <c r="N329" i="95"/>
  <c r="M329" i="95"/>
  <c r="L329" i="95"/>
  <c r="J329" i="95" s="1"/>
  <c r="D329" i="95" s="1"/>
  <c r="K329" i="95"/>
  <c r="I329" i="95"/>
  <c r="C329" i="95" s="1"/>
  <c r="H329" i="95"/>
  <c r="B329" i="95" s="1"/>
  <c r="G329" i="95"/>
  <c r="F329" i="95"/>
  <c r="E329" i="95"/>
  <c r="AH328" i="95"/>
  <c r="AB328" i="95"/>
  <c r="AC328" i="95" s="1"/>
  <c r="AA328" i="95"/>
  <c r="Z328" i="95"/>
  <c r="Y328" i="95"/>
  <c r="X328" i="95"/>
  <c r="W328" i="95"/>
  <c r="V328" i="95"/>
  <c r="U328" i="95"/>
  <c r="T328" i="95"/>
  <c r="S328" i="95"/>
  <c r="R328" i="95"/>
  <c r="Q328" i="95"/>
  <c r="P328" i="95"/>
  <c r="O328" i="95"/>
  <c r="M328" i="95" s="1"/>
  <c r="N328" i="95"/>
  <c r="L328" i="95"/>
  <c r="K328" i="95"/>
  <c r="E328" i="95" s="1"/>
  <c r="J328" i="95"/>
  <c r="D328" i="95" s="1"/>
  <c r="I328" i="95"/>
  <c r="H328" i="95"/>
  <c r="G328" i="95"/>
  <c r="F328" i="95"/>
  <c r="C328" i="95"/>
  <c r="B328" i="95"/>
  <c r="AH327" i="95"/>
  <c r="AB327" i="95"/>
  <c r="AC327" i="95" s="1"/>
  <c r="AA327" i="95"/>
  <c r="Z327" i="95"/>
  <c r="Y327" i="95"/>
  <c r="X327" i="95"/>
  <c r="W327" i="95"/>
  <c r="V327" i="95"/>
  <c r="U327" i="95"/>
  <c r="T327" i="95"/>
  <c r="S327" i="95"/>
  <c r="R327" i="95"/>
  <c r="Q327" i="95"/>
  <c r="P327" i="95"/>
  <c r="O327" i="95"/>
  <c r="M327" i="95" s="1"/>
  <c r="N327" i="95"/>
  <c r="L327" i="95"/>
  <c r="J327" i="95" s="1"/>
  <c r="D327" i="95" s="1"/>
  <c r="K327" i="95"/>
  <c r="I327" i="95"/>
  <c r="C327" i="95" s="1"/>
  <c r="H327" i="95"/>
  <c r="B327" i="95" s="1"/>
  <c r="G327" i="95"/>
  <c r="F327" i="95"/>
  <c r="AH326" i="95"/>
  <c r="AB326" i="95"/>
  <c r="AC326" i="95" s="1"/>
  <c r="AA326" i="95"/>
  <c r="Z326" i="95"/>
  <c r="Y326" i="95"/>
  <c r="X326" i="95"/>
  <c r="W326" i="95"/>
  <c r="V326" i="95"/>
  <c r="U326" i="95"/>
  <c r="T326" i="95"/>
  <c r="S326" i="95"/>
  <c r="R326" i="95"/>
  <c r="Q326" i="95"/>
  <c r="P326" i="95"/>
  <c r="O326" i="95"/>
  <c r="M326" i="95" s="1"/>
  <c r="N326" i="95"/>
  <c r="L326" i="95"/>
  <c r="J326" i="95" s="1"/>
  <c r="D326" i="95" s="1"/>
  <c r="K326" i="95"/>
  <c r="I326" i="95"/>
  <c r="H326" i="95"/>
  <c r="G326" i="95"/>
  <c r="F326" i="95"/>
  <c r="C326" i="95"/>
  <c r="B326" i="95"/>
  <c r="AH325" i="95"/>
  <c r="AB325" i="95"/>
  <c r="AC325" i="95" s="1"/>
  <c r="AA325" i="95"/>
  <c r="Z325" i="95"/>
  <c r="Y325" i="95"/>
  <c r="X325" i="95"/>
  <c r="W325" i="95"/>
  <c r="V325" i="95"/>
  <c r="U325" i="95"/>
  <c r="T325" i="95"/>
  <c r="S325" i="95"/>
  <c r="R325" i="95"/>
  <c r="Q325" i="95"/>
  <c r="P325" i="95"/>
  <c r="O325" i="95"/>
  <c r="N325" i="95"/>
  <c r="M325" i="95"/>
  <c r="L325" i="95"/>
  <c r="J325" i="95" s="1"/>
  <c r="D325" i="95" s="1"/>
  <c r="K325" i="95"/>
  <c r="E325" i="95" s="1"/>
  <c r="I325" i="95"/>
  <c r="C325" i="95" s="1"/>
  <c r="H325" i="95"/>
  <c r="B325" i="95" s="1"/>
  <c r="A325" i="95" s="1"/>
  <c r="G325" i="95"/>
  <c r="F325" i="95"/>
  <c r="AH324" i="95"/>
  <c r="AC324" i="95"/>
  <c r="AB324" i="95"/>
  <c r="AA324" i="95"/>
  <c r="Z324" i="95"/>
  <c r="Y324" i="95"/>
  <c r="X324" i="95"/>
  <c r="W324" i="95"/>
  <c r="V324" i="95"/>
  <c r="U324" i="95"/>
  <c r="T324" i="95"/>
  <c r="S324" i="95"/>
  <c r="R324" i="95"/>
  <c r="Q324" i="95"/>
  <c r="P324" i="95"/>
  <c r="O324" i="95"/>
  <c r="M324" i="95" s="1"/>
  <c r="N324" i="95"/>
  <c r="L324" i="95"/>
  <c r="K324" i="95"/>
  <c r="J324" i="95"/>
  <c r="D324" i="95" s="1"/>
  <c r="I324" i="95"/>
  <c r="H324" i="95"/>
  <c r="G324" i="95"/>
  <c r="F324" i="95"/>
  <c r="C324" i="95"/>
  <c r="B324" i="95"/>
  <c r="AH323" i="95"/>
  <c r="AC323" i="95"/>
  <c r="AB323" i="95"/>
  <c r="AA323" i="95"/>
  <c r="Z323" i="95"/>
  <c r="Y323" i="95"/>
  <c r="X323" i="95"/>
  <c r="W323" i="95"/>
  <c r="V323" i="95"/>
  <c r="U323" i="95"/>
  <c r="T323" i="95"/>
  <c r="S323" i="95"/>
  <c r="R323" i="95"/>
  <c r="Q323" i="95"/>
  <c r="P323" i="95"/>
  <c r="O323" i="95"/>
  <c r="N323" i="95"/>
  <c r="M323" i="95"/>
  <c r="L323" i="95"/>
  <c r="J323" i="95" s="1"/>
  <c r="K323" i="95"/>
  <c r="E323" i="95" s="1"/>
  <c r="I323" i="95"/>
  <c r="C323" i="95" s="1"/>
  <c r="H323" i="95"/>
  <c r="B323" i="95" s="1"/>
  <c r="G323" i="95"/>
  <c r="F323" i="95"/>
  <c r="D323" i="95"/>
  <c r="AH322" i="95"/>
  <c r="AC322" i="95"/>
  <c r="AB322" i="95"/>
  <c r="AA322" i="95"/>
  <c r="Z322" i="95"/>
  <c r="Y322" i="95"/>
  <c r="X322" i="95"/>
  <c r="W322" i="95"/>
  <c r="V322" i="95"/>
  <c r="U322" i="95"/>
  <c r="T322" i="95"/>
  <c r="S322" i="95"/>
  <c r="R322" i="95"/>
  <c r="Q322" i="95"/>
  <c r="P322" i="95"/>
  <c r="O322" i="95"/>
  <c r="M322" i="95" s="1"/>
  <c r="N322" i="95"/>
  <c r="L322" i="95"/>
  <c r="K322" i="95"/>
  <c r="J322" i="95"/>
  <c r="D322" i="95" s="1"/>
  <c r="I322" i="95"/>
  <c r="H322" i="95"/>
  <c r="G322" i="95"/>
  <c r="F322" i="95"/>
  <c r="C322" i="95"/>
  <c r="B322" i="95"/>
  <c r="AH321" i="95"/>
  <c r="AC321" i="95"/>
  <c r="AB321" i="95"/>
  <c r="AA321" i="95"/>
  <c r="Z321" i="95"/>
  <c r="Y321" i="95"/>
  <c r="X321" i="95"/>
  <c r="W321" i="95"/>
  <c r="V321" i="95"/>
  <c r="U321" i="95"/>
  <c r="T321" i="95"/>
  <c r="S321" i="95"/>
  <c r="R321" i="95"/>
  <c r="Q321" i="95"/>
  <c r="P321" i="95"/>
  <c r="O321" i="95"/>
  <c r="N321" i="95"/>
  <c r="M321" i="95"/>
  <c r="L321" i="95"/>
  <c r="J321" i="95" s="1"/>
  <c r="K321" i="95"/>
  <c r="E321" i="95" s="1"/>
  <c r="I321" i="95"/>
  <c r="C321" i="95" s="1"/>
  <c r="H321" i="95"/>
  <c r="B321" i="95" s="1"/>
  <c r="A321" i="95" s="1"/>
  <c r="G321" i="95"/>
  <c r="F321" i="95"/>
  <c r="D321" i="95"/>
  <c r="AH320" i="95"/>
  <c r="AC320" i="95"/>
  <c r="AB320" i="95"/>
  <c r="AA320" i="95"/>
  <c r="Z320" i="95"/>
  <c r="Y320" i="95"/>
  <c r="X320" i="95"/>
  <c r="W320" i="95"/>
  <c r="V320" i="95"/>
  <c r="U320" i="95"/>
  <c r="T320" i="95"/>
  <c r="S320" i="95"/>
  <c r="R320" i="95"/>
  <c r="Q320" i="95"/>
  <c r="P320" i="95"/>
  <c r="O320" i="95"/>
  <c r="M320" i="95" s="1"/>
  <c r="N320" i="95"/>
  <c r="L320" i="95"/>
  <c r="K320" i="95"/>
  <c r="J320" i="95"/>
  <c r="D320" i="95" s="1"/>
  <c r="I320" i="95"/>
  <c r="H320" i="95"/>
  <c r="G320" i="95"/>
  <c r="F320" i="95"/>
  <c r="C320" i="95"/>
  <c r="B320" i="95"/>
  <c r="AH319" i="95"/>
  <c r="AB319" i="95"/>
  <c r="AC319" i="95" s="1"/>
  <c r="AA319" i="95"/>
  <c r="Z319" i="95"/>
  <c r="Y319" i="95"/>
  <c r="X319" i="95"/>
  <c r="W319" i="95"/>
  <c r="V319" i="95"/>
  <c r="U319" i="95"/>
  <c r="T319" i="95"/>
  <c r="S319" i="95"/>
  <c r="R319" i="95"/>
  <c r="Q319" i="95"/>
  <c r="P319" i="95"/>
  <c r="O319" i="95"/>
  <c r="N319" i="95"/>
  <c r="M319" i="95"/>
  <c r="L319" i="95"/>
  <c r="J319" i="95" s="1"/>
  <c r="D319" i="95" s="1"/>
  <c r="K319" i="95"/>
  <c r="I319" i="95"/>
  <c r="C319" i="95" s="1"/>
  <c r="H319" i="95"/>
  <c r="B319" i="95" s="1"/>
  <c r="G319" i="95"/>
  <c r="F319" i="95"/>
  <c r="E319" i="95"/>
  <c r="AH318" i="95"/>
  <c r="AB318" i="95"/>
  <c r="AC318" i="95" s="1"/>
  <c r="AA318" i="95"/>
  <c r="Z318" i="95"/>
  <c r="Y318" i="95"/>
  <c r="X318" i="95"/>
  <c r="W318" i="95"/>
  <c r="V318" i="95"/>
  <c r="U318" i="95"/>
  <c r="T318" i="95"/>
  <c r="S318" i="95"/>
  <c r="R318" i="95"/>
  <c r="Q318" i="95"/>
  <c r="P318" i="95"/>
  <c r="O318" i="95"/>
  <c r="M318" i="95" s="1"/>
  <c r="N318" i="95"/>
  <c r="L318" i="95"/>
  <c r="J318" i="95" s="1"/>
  <c r="D318" i="95" s="1"/>
  <c r="K318" i="95"/>
  <c r="I318" i="95"/>
  <c r="H318" i="95"/>
  <c r="G318" i="95"/>
  <c r="F318" i="95"/>
  <c r="C318" i="95"/>
  <c r="B318" i="95"/>
  <c r="AH317" i="95"/>
  <c r="AC317" i="95"/>
  <c r="AB317" i="95"/>
  <c r="AA317" i="95"/>
  <c r="Z317" i="95"/>
  <c r="Y317" i="95"/>
  <c r="X317" i="95"/>
  <c r="W317" i="95"/>
  <c r="V317" i="95"/>
  <c r="U317" i="95"/>
  <c r="T317" i="95"/>
  <c r="S317" i="95"/>
  <c r="R317" i="95"/>
  <c r="Q317" i="95"/>
  <c r="P317" i="95"/>
  <c r="O317" i="95"/>
  <c r="M317" i="95" s="1"/>
  <c r="N317" i="95"/>
  <c r="L317" i="95"/>
  <c r="J317" i="95" s="1"/>
  <c r="K317" i="95"/>
  <c r="E317" i="95" s="1"/>
  <c r="I317" i="95"/>
  <c r="C317" i="95" s="1"/>
  <c r="H317" i="95"/>
  <c r="B317" i="95" s="1"/>
  <c r="G317" i="95"/>
  <c r="F317" i="95"/>
  <c r="D317" i="95"/>
  <c r="AH316" i="95"/>
  <c r="AB316" i="95"/>
  <c r="AC316" i="95" s="1"/>
  <c r="AA316" i="95"/>
  <c r="Z316" i="95"/>
  <c r="Y316" i="95"/>
  <c r="X316" i="95"/>
  <c r="W316" i="95"/>
  <c r="V316" i="95"/>
  <c r="U316" i="95"/>
  <c r="T316" i="95"/>
  <c r="S316" i="95"/>
  <c r="R316" i="95"/>
  <c r="Q316" i="95"/>
  <c r="P316" i="95"/>
  <c r="O316" i="95"/>
  <c r="M316" i="95" s="1"/>
  <c r="N316" i="95"/>
  <c r="L316" i="95"/>
  <c r="J316" i="95" s="1"/>
  <c r="D316" i="95" s="1"/>
  <c r="K316" i="95"/>
  <c r="E316" i="95" s="1"/>
  <c r="I316" i="95"/>
  <c r="H316" i="95"/>
  <c r="G316" i="95"/>
  <c r="F316" i="95"/>
  <c r="C316" i="95"/>
  <c r="B316" i="95"/>
  <c r="AH315" i="95"/>
  <c r="AB315" i="95"/>
  <c r="AC315" i="95" s="1"/>
  <c r="AA315" i="95"/>
  <c r="Z315" i="95"/>
  <c r="Y315" i="95"/>
  <c r="X315" i="95"/>
  <c r="W315" i="95"/>
  <c r="V315" i="95"/>
  <c r="U315" i="95"/>
  <c r="T315" i="95"/>
  <c r="S315" i="95"/>
  <c r="R315" i="95"/>
  <c r="Q315" i="95"/>
  <c r="P315" i="95"/>
  <c r="O315" i="95"/>
  <c r="M315" i="95" s="1"/>
  <c r="N315" i="95"/>
  <c r="L315" i="95"/>
  <c r="J315" i="95" s="1"/>
  <c r="D315" i="95" s="1"/>
  <c r="K315" i="95"/>
  <c r="I315" i="95"/>
  <c r="C315" i="95" s="1"/>
  <c r="H315" i="95"/>
  <c r="B315" i="95" s="1"/>
  <c r="G315" i="95"/>
  <c r="F315" i="95"/>
  <c r="E315" i="95"/>
  <c r="AH314" i="95"/>
  <c r="AB314" i="95"/>
  <c r="AC314" i="95" s="1"/>
  <c r="AA314" i="95"/>
  <c r="Z314" i="95"/>
  <c r="Y314" i="95"/>
  <c r="X314" i="95"/>
  <c r="W314" i="95"/>
  <c r="V314" i="95"/>
  <c r="U314" i="95"/>
  <c r="T314" i="95"/>
  <c r="S314" i="95"/>
  <c r="R314" i="95"/>
  <c r="Q314" i="95"/>
  <c r="P314" i="95"/>
  <c r="O314" i="95"/>
  <c r="M314" i="95" s="1"/>
  <c r="N314" i="95"/>
  <c r="L314" i="95"/>
  <c r="K314" i="95"/>
  <c r="J314" i="95"/>
  <c r="D314" i="95" s="1"/>
  <c r="I314" i="95"/>
  <c r="H314" i="95"/>
  <c r="G314" i="95"/>
  <c r="F314" i="95"/>
  <c r="C314" i="95"/>
  <c r="B314" i="95"/>
  <c r="AH313" i="95"/>
  <c r="AC313" i="95"/>
  <c r="AB313" i="95"/>
  <c r="AA313" i="95"/>
  <c r="Z313" i="95"/>
  <c r="Y313" i="95"/>
  <c r="X313" i="95"/>
  <c r="W313" i="95"/>
  <c r="V313" i="95"/>
  <c r="U313" i="95"/>
  <c r="T313" i="95"/>
  <c r="S313" i="95"/>
  <c r="R313" i="95"/>
  <c r="Q313" i="95"/>
  <c r="P313" i="95"/>
  <c r="O313" i="95"/>
  <c r="N313" i="95"/>
  <c r="M313" i="95"/>
  <c r="L313" i="95"/>
  <c r="J313" i="95" s="1"/>
  <c r="K313" i="95"/>
  <c r="E313" i="95" s="1"/>
  <c r="I313" i="95"/>
  <c r="C313" i="95" s="1"/>
  <c r="H313" i="95"/>
  <c r="B313" i="95" s="1"/>
  <c r="G313" i="95"/>
  <c r="F313" i="95"/>
  <c r="D313" i="95"/>
  <c r="AH312" i="95"/>
  <c r="AB312" i="95"/>
  <c r="AC312" i="95" s="1"/>
  <c r="AA312" i="95"/>
  <c r="Z312" i="95"/>
  <c r="Y312" i="95"/>
  <c r="X312" i="95"/>
  <c r="W312" i="95"/>
  <c r="V312" i="95"/>
  <c r="U312" i="95"/>
  <c r="T312" i="95"/>
  <c r="S312" i="95"/>
  <c r="R312" i="95"/>
  <c r="Q312" i="95"/>
  <c r="P312" i="95"/>
  <c r="O312" i="95"/>
  <c r="M312" i="95" s="1"/>
  <c r="N312" i="95"/>
  <c r="L312" i="95"/>
  <c r="K312" i="95"/>
  <c r="J312" i="95"/>
  <c r="D312" i="95" s="1"/>
  <c r="I312" i="95"/>
  <c r="H312" i="95"/>
  <c r="G312" i="95"/>
  <c r="F312" i="95"/>
  <c r="C312" i="95"/>
  <c r="B312" i="95"/>
  <c r="AH311" i="95"/>
  <c r="AB311" i="95"/>
  <c r="AC311" i="95" s="1"/>
  <c r="AA311" i="95"/>
  <c r="Z311" i="95"/>
  <c r="Y311" i="95"/>
  <c r="X311" i="95"/>
  <c r="W311" i="95"/>
  <c r="V311" i="95"/>
  <c r="U311" i="95"/>
  <c r="T311" i="95"/>
  <c r="S311" i="95"/>
  <c r="R311" i="95"/>
  <c r="Q311" i="95"/>
  <c r="P311" i="95"/>
  <c r="O311" i="95"/>
  <c r="N311" i="95"/>
  <c r="M311" i="95"/>
  <c r="L311" i="95"/>
  <c r="J311" i="95" s="1"/>
  <c r="D311" i="95" s="1"/>
  <c r="K311" i="95"/>
  <c r="I311" i="95"/>
  <c r="C311" i="95" s="1"/>
  <c r="H311" i="95"/>
  <c r="B311" i="95" s="1"/>
  <c r="G311" i="95"/>
  <c r="F311" i="95"/>
  <c r="E311" i="95"/>
  <c r="AH310" i="95"/>
  <c r="AB310" i="95"/>
  <c r="AC310" i="95" s="1"/>
  <c r="AA310" i="95"/>
  <c r="Z310" i="95"/>
  <c r="Y310" i="95"/>
  <c r="X310" i="95"/>
  <c r="W310" i="95"/>
  <c r="V310" i="95"/>
  <c r="U310" i="95"/>
  <c r="T310" i="95"/>
  <c r="S310" i="95"/>
  <c r="R310" i="95"/>
  <c r="Q310" i="95"/>
  <c r="P310" i="95"/>
  <c r="O310" i="95"/>
  <c r="M310" i="95" s="1"/>
  <c r="N310" i="95"/>
  <c r="L310" i="95"/>
  <c r="J310" i="95" s="1"/>
  <c r="D310" i="95" s="1"/>
  <c r="K310" i="95"/>
  <c r="I310" i="95"/>
  <c r="H310" i="95"/>
  <c r="B310" i="95" s="1"/>
  <c r="G310" i="95"/>
  <c r="F310" i="95"/>
  <c r="C310" i="95"/>
  <c r="AH309" i="95"/>
  <c r="AB309" i="95"/>
  <c r="AC309" i="95" s="1"/>
  <c r="AA309" i="95"/>
  <c r="Z309" i="95"/>
  <c r="Y309" i="95"/>
  <c r="X309" i="95"/>
  <c r="W309" i="95"/>
  <c r="V309" i="95"/>
  <c r="U309" i="95"/>
  <c r="T309" i="95"/>
  <c r="S309" i="95"/>
  <c r="R309" i="95"/>
  <c r="Q309" i="95"/>
  <c r="P309" i="95"/>
  <c r="O309" i="95"/>
  <c r="N309" i="95"/>
  <c r="M309" i="95"/>
  <c r="L309" i="95"/>
  <c r="J309" i="95" s="1"/>
  <c r="D309" i="95" s="1"/>
  <c r="K309" i="95"/>
  <c r="I309" i="95"/>
  <c r="C309" i="95" s="1"/>
  <c r="H309" i="95"/>
  <c r="B309" i="95" s="1"/>
  <c r="G309" i="95"/>
  <c r="F309" i="95"/>
  <c r="E309" i="95"/>
  <c r="AH308" i="95"/>
  <c r="AB308" i="95"/>
  <c r="AC308" i="95" s="1"/>
  <c r="AA308" i="95"/>
  <c r="Z308" i="95"/>
  <c r="Y308" i="95"/>
  <c r="X308" i="95"/>
  <c r="W308" i="95"/>
  <c r="V308" i="95"/>
  <c r="U308" i="95"/>
  <c r="T308" i="95"/>
  <c r="S308" i="95"/>
  <c r="R308" i="95"/>
  <c r="Q308" i="95"/>
  <c r="P308" i="95"/>
  <c r="O308" i="95"/>
  <c r="M308" i="95" s="1"/>
  <c r="N308" i="95"/>
  <c r="L308" i="95"/>
  <c r="J308" i="95" s="1"/>
  <c r="D308" i="95" s="1"/>
  <c r="K308" i="95"/>
  <c r="E308" i="95" s="1"/>
  <c r="I308" i="95"/>
  <c r="H308" i="95"/>
  <c r="B308" i="95" s="1"/>
  <c r="G308" i="95"/>
  <c r="F308" i="95"/>
  <c r="C308" i="95"/>
  <c r="AH307" i="95"/>
  <c r="AB307" i="95"/>
  <c r="AC307" i="95" s="1"/>
  <c r="AA307" i="95"/>
  <c r="Z307" i="95"/>
  <c r="Y307" i="95"/>
  <c r="X307" i="95"/>
  <c r="W307" i="95"/>
  <c r="V307" i="95"/>
  <c r="U307" i="95"/>
  <c r="T307" i="95"/>
  <c r="S307" i="95"/>
  <c r="R307" i="95"/>
  <c r="Q307" i="95"/>
  <c r="P307" i="95"/>
  <c r="O307" i="95"/>
  <c r="M307" i="95" s="1"/>
  <c r="N307" i="95"/>
  <c r="L307" i="95"/>
  <c r="J307" i="95" s="1"/>
  <c r="D307" i="95" s="1"/>
  <c r="K307" i="95"/>
  <c r="I307" i="95"/>
  <c r="C307" i="95" s="1"/>
  <c r="H307" i="95"/>
  <c r="G307" i="95"/>
  <c r="F307" i="95"/>
  <c r="B307" i="95"/>
  <c r="AH306" i="95"/>
  <c r="AB306" i="95"/>
  <c r="AC306" i="95" s="1"/>
  <c r="AA306" i="95"/>
  <c r="Z306" i="95"/>
  <c r="Y306" i="95"/>
  <c r="X306" i="95"/>
  <c r="W306" i="95"/>
  <c r="V306" i="95"/>
  <c r="U306" i="95"/>
  <c r="T306" i="95"/>
  <c r="S306" i="95"/>
  <c r="R306" i="95"/>
  <c r="Q306" i="95"/>
  <c r="P306" i="95"/>
  <c r="O306" i="95"/>
  <c r="M306" i="95" s="1"/>
  <c r="N306" i="95"/>
  <c r="L306" i="95"/>
  <c r="J306" i="95" s="1"/>
  <c r="D306" i="95" s="1"/>
  <c r="K306" i="95"/>
  <c r="I306" i="95"/>
  <c r="C306" i="95" s="1"/>
  <c r="H306" i="95"/>
  <c r="B306" i="95" s="1"/>
  <c r="G306" i="95"/>
  <c r="F306" i="95"/>
  <c r="AH305" i="95"/>
  <c r="AB305" i="95"/>
  <c r="AC305" i="95" s="1"/>
  <c r="AA305" i="95"/>
  <c r="Z305" i="95"/>
  <c r="Y305" i="95"/>
  <c r="X305" i="95"/>
  <c r="W305" i="95"/>
  <c r="V305" i="95"/>
  <c r="U305" i="95"/>
  <c r="T305" i="95"/>
  <c r="S305" i="95"/>
  <c r="R305" i="95"/>
  <c r="Q305" i="95"/>
  <c r="P305" i="95"/>
  <c r="O305" i="95"/>
  <c r="N305" i="95"/>
  <c r="M305" i="95"/>
  <c r="L305" i="95"/>
  <c r="K305" i="95"/>
  <c r="J305" i="95"/>
  <c r="D305" i="95" s="1"/>
  <c r="I305" i="95"/>
  <c r="C305" i="95" s="1"/>
  <c r="H305" i="95"/>
  <c r="G305" i="95"/>
  <c r="F305" i="95"/>
  <c r="E305" i="95"/>
  <c r="B305" i="95"/>
  <c r="AH304" i="95"/>
  <c r="AB304" i="95"/>
  <c r="AC304" i="95" s="1"/>
  <c r="AA304" i="95"/>
  <c r="Z304" i="95"/>
  <c r="Y304" i="95"/>
  <c r="X304" i="95"/>
  <c r="W304" i="95"/>
  <c r="V304" i="95"/>
  <c r="U304" i="95"/>
  <c r="T304" i="95"/>
  <c r="S304" i="95"/>
  <c r="R304" i="95"/>
  <c r="Q304" i="95"/>
  <c r="P304" i="95"/>
  <c r="O304" i="95"/>
  <c r="M304" i="95" s="1"/>
  <c r="N304" i="95"/>
  <c r="L304" i="95"/>
  <c r="J304" i="95" s="1"/>
  <c r="D304" i="95" s="1"/>
  <c r="K304" i="95"/>
  <c r="I304" i="95"/>
  <c r="H304" i="95"/>
  <c r="B304" i="95" s="1"/>
  <c r="G304" i="95"/>
  <c r="F304" i="95"/>
  <c r="C304" i="95"/>
  <c r="AH303" i="95"/>
  <c r="AB303" i="95"/>
  <c r="AC303" i="95" s="1"/>
  <c r="AA303" i="95"/>
  <c r="Z303" i="95"/>
  <c r="Y303" i="95"/>
  <c r="X303" i="95"/>
  <c r="W303" i="95"/>
  <c r="V303" i="95"/>
  <c r="U303" i="95"/>
  <c r="T303" i="95"/>
  <c r="S303" i="95"/>
  <c r="R303" i="95"/>
  <c r="Q303" i="95"/>
  <c r="P303" i="95"/>
  <c r="O303" i="95"/>
  <c r="M303" i="95" s="1"/>
  <c r="N303" i="95"/>
  <c r="L303" i="95"/>
  <c r="K303" i="95"/>
  <c r="E303" i="95" s="1"/>
  <c r="J303" i="95"/>
  <c r="D303" i="95" s="1"/>
  <c r="I303" i="95"/>
  <c r="C303" i="95" s="1"/>
  <c r="H303" i="95"/>
  <c r="G303" i="95"/>
  <c r="F303" i="95"/>
  <c r="B303" i="95"/>
  <c r="AH302" i="95"/>
  <c r="AB302" i="95"/>
  <c r="AC302" i="95" s="1"/>
  <c r="AA302" i="95"/>
  <c r="Z302" i="95"/>
  <c r="Y302" i="95"/>
  <c r="X302" i="95"/>
  <c r="W302" i="95"/>
  <c r="V302" i="95"/>
  <c r="U302" i="95"/>
  <c r="T302" i="95"/>
  <c r="S302" i="95"/>
  <c r="R302" i="95"/>
  <c r="Q302" i="95"/>
  <c r="P302" i="95"/>
  <c r="O302" i="95"/>
  <c r="M302" i="95" s="1"/>
  <c r="N302" i="95"/>
  <c r="L302" i="95"/>
  <c r="J302" i="95" s="1"/>
  <c r="D302" i="95" s="1"/>
  <c r="K302" i="95"/>
  <c r="E302" i="95" s="1"/>
  <c r="I302" i="95"/>
  <c r="H302" i="95"/>
  <c r="B302" i="95" s="1"/>
  <c r="G302" i="95"/>
  <c r="F302" i="95"/>
  <c r="C302" i="95"/>
  <c r="AH301" i="95"/>
  <c r="AB301" i="95"/>
  <c r="AC301" i="95" s="1"/>
  <c r="AA301" i="95"/>
  <c r="Z301" i="95"/>
  <c r="Y301" i="95"/>
  <c r="X301" i="95"/>
  <c r="W301" i="95"/>
  <c r="V301" i="95"/>
  <c r="U301" i="95"/>
  <c r="T301" i="95"/>
  <c r="S301" i="95"/>
  <c r="R301" i="95"/>
  <c r="Q301" i="95"/>
  <c r="P301" i="95"/>
  <c r="O301" i="95"/>
  <c r="N301" i="95"/>
  <c r="M301" i="95"/>
  <c r="L301" i="95"/>
  <c r="J301" i="95" s="1"/>
  <c r="D301" i="95" s="1"/>
  <c r="K301" i="95"/>
  <c r="I301" i="95"/>
  <c r="C301" i="95" s="1"/>
  <c r="H301" i="95"/>
  <c r="G301" i="95"/>
  <c r="F301" i="95"/>
  <c r="E301" i="95"/>
  <c r="B301" i="95"/>
  <c r="AH300" i="95"/>
  <c r="AB300" i="95"/>
  <c r="AC300" i="95" s="1"/>
  <c r="AA300" i="95"/>
  <c r="Z300" i="95"/>
  <c r="Y300" i="95"/>
  <c r="X300" i="95"/>
  <c r="W300" i="95"/>
  <c r="V300" i="95"/>
  <c r="U300" i="95"/>
  <c r="T300" i="95"/>
  <c r="S300" i="95"/>
  <c r="R300" i="95"/>
  <c r="Q300" i="95"/>
  <c r="P300" i="95"/>
  <c r="O300" i="95"/>
  <c r="M300" i="95" s="1"/>
  <c r="N300" i="95"/>
  <c r="L300" i="95"/>
  <c r="J300" i="95" s="1"/>
  <c r="D300" i="95" s="1"/>
  <c r="K300" i="95"/>
  <c r="E300" i="95" s="1"/>
  <c r="I300" i="95"/>
  <c r="H300" i="95"/>
  <c r="B300" i="95" s="1"/>
  <c r="G300" i="95"/>
  <c r="F300" i="95"/>
  <c r="C300" i="95"/>
  <c r="AH299" i="95"/>
  <c r="AB299" i="95"/>
  <c r="AC299" i="95" s="1"/>
  <c r="AA299" i="95"/>
  <c r="Z299" i="95"/>
  <c r="Y299" i="95"/>
  <c r="X299" i="95"/>
  <c r="W299" i="95"/>
  <c r="V299" i="95"/>
  <c r="U299" i="95"/>
  <c r="T299" i="95"/>
  <c r="S299" i="95"/>
  <c r="R299" i="95"/>
  <c r="Q299" i="95"/>
  <c r="P299" i="95"/>
  <c r="O299" i="95"/>
  <c r="N299" i="95"/>
  <c r="M299" i="95"/>
  <c r="L299" i="95"/>
  <c r="K299" i="95"/>
  <c r="J299" i="95"/>
  <c r="D299" i="95" s="1"/>
  <c r="I299" i="95"/>
  <c r="C299" i="95" s="1"/>
  <c r="H299" i="95"/>
  <c r="G299" i="95"/>
  <c r="F299" i="95"/>
  <c r="E299" i="95"/>
  <c r="B299" i="95"/>
  <c r="AH298" i="95"/>
  <c r="AB298" i="95"/>
  <c r="AC298" i="95" s="1"/>
  <c r="AA298" i="95"/>
  <c r="Z298" i="95"/>
  <c r="Y298" i="95"/>
  <c r="X298" i="95"/>
  <c r="W298" i="95"/>
  <c r="V298" i="95"/>
  <c r="U298" i="95"/>
  <c r="T298" i="95"/>
  <c r="S298" i="95"/>
  <c r="R298" i="95"/>
  <c r="Q298" i="95"/>
  <c r="P298" i="95"/>
  <c r="O298" i="95"/>
  <c r="M298" i="95" s="1"/>
  <c r="N298" i="95"/>
  <c r="L298" i="95"/>
  <c r="J298" i="95" s="1"/>
  <c r="K298" i="95"/>
  <c r="I298" i="95"/>
  <c r="C298" i="95" s="1"/>
  <c r="H298" i="95"/>
  <c r="B298" i="95" s="1"/>
  <c r="G298" i="95"/>
  <c r="F298" i="95"/>
  <c r="D298" i="95"/>
  <c r="AH297" i="95"/>
  <c r="AB297" i="95"/>
  <c r="AC297" i="95" s="1"/>
  <c r="AA297" i="95"/>
  <c r="Z297" i="95"/>
  <c r="Y297" i="95"/>
  <c r="X297" i="95"/>
  <c r="W297" i="95"/>
  <c r="V297" i="95"/>
  <c r="U297" i="95"/>
  <c r="T297" i="95"/>
  <c r="S297" i="95"/>
  <c r="R297" i="95"/>
  <c r="Q297" i="95"/>
  <c r="P297" i="95"/>
  <c r="O297" i="95"/>
  <c r="M297" i="95" s="1"/>
  <c r="N297" i="95"/>
  <c r="L297" i="95"/>
  <c r="J297" i="95" s="1"/>
  <c r="D297" i="95" s="1"/>
  <c r="K297" i="95"/>
  <c r="I297" i="95"/>
  <c r="C297" i="95" s="1"/>
  <c r="H297" i="95"/>
  <c r="G297" i="95"/>
  <c r="F297" i="95"/>
  <c r="B297" i="95"/>
  <c r="AH296" i="95"/>
  <c r="AB296" i="95"/>
  <c r="AC296" i="95" s="1"/>
  <c r="AA296" i="95"/>
  <c r="Z296" i="95"/>
  <c r="Y296" i="95"/>
  <c r="X296" i="95"/>
  <c r="W296" i="95"/>
  <c r="V296" i="95"/>
  <c r="U296" i="95"/>
  <c r="T296" i="95"/>
  <c r="S296" i="95"/>
  <c r="R296" i="95"/>
  <c r="Q296" i="95"/>
  <c r="P296" i="95"/>
  <c r="O296" i="95"/>
  <c r="M296" i="95" s="1"/>
  <c r="N296" i="95"/>
  <c r="L296" i="95"/>
  <c r="J296" i="95" s="1"/>
  <c r="D296" i="95" s="1"/>
  <c r="K296" i="95"/>
  <c r="I296" i="95"/>
  <c r="H296" i="95"/>
  <c r="B296" i="95" s="1"/>
  <c r="G296" i="95"/>
  <c r="F296" i="95"/>
  <c r="C296" i="95"/>
  <c r="AH295" i="95"/>
  <c r="AB295" i="95"/>
  <c r="AC295" i="95" s="1"/>
  <c r="AA295" i="95"/>
  <c r="Z295" i="95"/>
  <c r="Y295" i="95"/>
  <c r="X295" i="95"/>
  <c r="W295" i="95"/>
  <c r="V295" i="95"/>
  <c r="U295" i="95"/>
  <c r="T295" i="95"/>
  <c r="S295" i="95"/>
  <c r="R295" i="95"/>
  <c r="Q295" i="95"/>
  <c r="P295" i="95"/>
  <c r="O295" i="95"/>
  <c r="N295" i="95"/>
  <c r="M295" i="95"/>
  <c r="L295" i="95"/>
  <c r="J295" i="95" s="1"/>
  <c r="D295" i="95" s="1"/>
  <c r="K295" i="95"/>
  <c r="I295" i="95"/>
  <c r="C295" i="95" s="1"/>
  <c r="H295" i="95"/>
  <c r="G295" i="95"/>
  <c r="F295" i="95"/>
  <c r="E295" i="95"/>
  <c r="B295" i="95"/>
  <c r="AH294" i="95"/>
  <c r="AB294" i="95"/>
  <c r="AC294" i="95" s="1"/>
  <c r="AA294" i="95"/>
  <c r="Z294" i="95"/>
  <c r="Y294" i="95"/>
  <c r="X294" i="95"/>
  <c r="W294" i="95"/>
  <c r="V294" i="95"/>
  <c r="U294" i="95"/>
  <c r="T294" i="95"/>
  <c r="S294" i="95"/>
  <c r="R294" i="95"/>
  <c r="Q294" i="95"/>
  <c r="P294" i="95"/>
  <c r="O294" i="95"/>
  <c r="M294" i="95" s="1"/>
  <c r="N294" i="95"/>
  <c r="L294" i="95"/>
  <c r="J294" i="95" s="1"/>
  <c r="K294" i="95"/>
  <c r="E294" i="95" s="1"/>
  <c r="I294" i="95"/>
  <c r="H294" i="95"/>
  <c r="B294" i="95" s="1"/>
  <c r="G294" i="95"/>
  <c r="F294" i="95"/>
  <c r="D294" i="95"/>
  <c r="C294" i="95"/>
  <c r="AH293" i="95"/>
  <c r="AB293" i="95"/>
  <c r="AC293" i="95" s="1"/>
  <c r="AA293" i="95"/>
  <c r="Z293" i="95"/>
  <c r="Y293" i="95"/>
  <c r="X293" i="95"/>
  <c r="W293" i="95"/>
  <c r="V293" i="95"/>
  <c r="U293" i="95"/>
  <c r="T293" i="95"/>
  <c r="S293" i="95"/>
  <c r="R293" i="95"/>
  <c r="Q293" i="95"/>
  <c r="P293" i="95"/>
  <c r="O293" i="95"/>
  <c r="M293" i="95" s="1"/>
  <c r="N293" i="95"/>
  <c r="L293" i="95"/>
  <c r="K293" i="95"/>
  <c r="E293" i="95" s="1"/>
  <c r="J293" i="95"/>
  <c r="D293" i="95" s="1"/>
  <c r="I293" i="95"/>
  <c r="C293" i="95" s="1"/>
  <c r="H293" i="95"/>
  <c r="G293" i="95"/>
  <c r="F293" i="95"/>
  <c r="B293" i="95"/>
  <c r="AH292" i="95"/>
  <c r="AB292" i="95"/>
  <c r="AC292" i="95" s="1"/>
  <c r="AA292" i="95"/>
  <c r="Z292" i="95"/>
  <c r="Y292" i="95"/>
  <c r="X292" i="95"/>
  <c r="W292" i="95"/>
  <c r="V292" i="95"/>
  <c r="U292" i="95"/>
  <c r="T292" i="95"/>
  <c r="S292" i="95"/>
  <c r="R292" i="95"/>
  <c r="Q292" i="95"/>
  <c r="P292" i="95"/>
  <c r="O292" i="95"/>
  <c r="M292" i="95" s="1"/>
  <c r="N292" i="95"/>
  <c r="L292" i="95"/>
  <c r="J292" i="95" s="1"/>
  <c r="D292" i="95" s="1"/>
  <c r="K292" i="95"/>
  <c r="E292" i="95" s="1"/>
  <c r="I292" i="95"/>
  <c r="H292" i="95"/>
  <c r="B292" i="95" s="1"/>
  <c r="G292" i="95"/>
  <c r="F292" i="95"/>
  <c r="C292" i="95"/>
  <c r="AH291" i="95"/>
  <c r="AB291" i="95"/>
  <c r="AC291" i="95" s="1"/>
  <c r="AA291" i="95"/>
  <c r="Z291" i="95"/>
  <c r="Y291" i="95"/>
  <c r="X291" i="95"/>
  <c r="W291" i="95"/>
  <c r="V291" i="95"/>
  <c r="U291" i="95"/>
  <c r="T291" i="95"/>
  <c r="S291" i="95"/>
  <c r="R291" i="95"/>
  <c r="Q291" i="95"/>
  <c r="P291" i="95"/>
  <c r="O291" i="95"/>
  <c r="M291" i="95" s="1"/>
  <c r="N291" i="95"/>
  <c r="L291" i="95"/>
  <c r="J291" i="95" s="1"/>
  <c r="D291" i="95" s="1"/>
  <c r="K291" i="95"/>
  <c r="I291" i="95"/>
  <c r="C291" i="95" s="1"/>
  <c r="H291" i="95"/>
  <c r="G291" i="95"/>
  <c r="F291" i="95"/>
  <c r="B291" i="95"/>
  <c r="AH290" i="95"/>
  <c r="AB290" i="95"/>
  <c r="AC290" i="95" s="1"/>
  <c r="AA290" i="95"/>
  <c r="Z290" i="95"/>
  <c r="Y290" i="95"/>
  <c r="X290" i="95"/>
  <c r="W290" i="95"/>
  <c r="V290" i="95"/>
  <c r="U290" i="95"/>
  <c r="T290" i="95"/>
  <c r="S290" i="95"/>
  <c r="R290" i="95"/>
  <c r="Q290" i="95"/>
  <c r="P290" i="95"/>
  <c r="O290" i="95"/>
  <c r="M290" i="95" s="1"/>
  <c r="N290" i="95"/>
  <c r="L290" i="95"/>
  <c r="J290" i="95" s="1"/>
  <c r="D290" i="95" s="1"/>
  <c r="K290" i="95"/>
  <c r="I290" i="95"/>
  <c r="C290" i="95" s="1"/>
  <c r="H290" i="95"/>
  <c r="B290" i="95" s="1"/>
  <c r="G290" i="95"/>
  <c r="F290" i="95"/>
  <c r="AH289" i="95"/>
  <c r="AB289" i="95"/>
  <c r="AC289" i="95" s="1"/>
  <c r="AA289" i="95"/>
  <c r="Z289" i="95"/>
  <c r="Y289" i="95"/>
  <c r="X289" i="95"/>
  <c r="W289" i="95"/>
  <c r="V289" i="95"/>
  <c r="U289" i="95"/>
  <c r="T289" i="95"/>
  <c r="S289" i="95"/>
  <c r="R289" i="95"/>
  <c r="Q289" i="95"/>
  <c r="P289" i="95"/>
  <c r="O289" i="95"/>
  <c r="N289" i="95"/>
  <c r="M289" i="95"/>
  <c r="L289" i="95"/>
  <c r="K289" i="95"/>
  <c r="J289" i="95"/>
  <c r="D289" i="95" s="1"/>
  <c r="I289" i="95"/>
  <c r="C289" i="95" s="1"/>
  <c r="H289" i="95"/>
  <c r="G289" i="95"/>
  <c r="F289" i="95"/>
  <c r="E289" i="95"/>
  <c r="B289" i="95"/>
  <c r="AH288" i="95"/>
  <c r="AB288" i="95"/>
  <c r="AC288" i="95" s="1"/>
  <c r="AA288" i="95"/>
  <c r="Z288" i="95"/>
  <c r="Y288" i="95"/>
  <c r="X288" i="95"/>
  <c r="W288" i="95"/>
  <c r="V288" i="95"/>
  <c r="U288" i="95"/>
  <c r="T288" i="95"/>
  <c r="S288" i="95"/>
  <c r="R288" i="95"/>
  <c r="Q288" i="95"/>
  <c r="P288" i="95"/>
  <c r="O288" i="95"/>
  <c r="M288" i="95" s="1"/>
  <c r="N288" i="95"/>
  <c r="L288" i="95"/>
  <c r="J288" i="95" s="1"/>
  <c r="D288" i="95" s="1"/>
  <c r="K288" i="95"/>
  <c r="I288" i="95"/>
  <c r="H288" i="95"/>
  <c r="B288" i="95" s="1"/>
  <c r="G288" i="95"/>
  <c r="F288" i="95"/>
  <c r="C288" i="95"/>
  <c r="AH287" i="95"/>
  <c r="AB287" i="95"/>
  <c r="AC287" i="95" s="1"/>
  <c r="AA287" i="95"/>
  <c r="Z287" i="95"/>
  <c r="Y287" i="95"/>
  <c r="X287" i="95"/>
  <c r="W287" i="95"/>
  <c r="V287" i="95"/>
  <c r="U287" i="95"/>
  <c r="T287" i="95"/>
  <c r="S287" i="95"/>
  <c r="R287" i="95"/>
  <c r="Q287" i="95"/>
  <c r="P287" i="95"/>
  <c r="O287" i="95"/>
  <c r="M287" i="95" s="1"/>
  <c r="N287" i="95"/>
  <c r="L287" i="95"/>
  <c r="K287" i="95"/>
  <c r="E287" i="95" s="1"/>
  <c r="J287" i="95"/>
  <c r="D287" i="95" s="1"/>
  <c r="I287" i="95"/>
  <c r="C287" i="95" s="1"/>
  <c r="H287" i="95"/>
  <c r="G287" i="95"/>
  <c r="F287" i="95"/>
  <c r="B287" i="95"/>
  <c r="AH286" i="95"/>
  <c r="AB286" i="95"/>
  <c r="AC286" i="95" s="1"/>
  <c r="AA286" i="95"/>
  <c r="Z286" i="95"/>
  <c r="Y286" i="95"/>
  <c r="X286" i="95"/>
  <c r="W286" i="95"/>
  <c r="V286" i="95"/>
  <c r="U286" i="95"/>
  <c r="T286" i="95"/>
  <c r="S286" i="95"/>
  <c r="R286" i="95"/>
  <c r="Q286" i="95"/>
  <c r="P286" i="95"/>
  <c r="O286" i="95"/>
  <c r="M286" i="95" s="1"/>
  <c r="N286" i="95"/>
  <c r="L286" i="95"/>
  <c r="J286" i="95" s="1"/>
  <c r="D286" i="95" s="1"/>
  <c r="K286" i="95"/>
  <c r="E286" i="95" s="1"/>
  <c r="I286" i="95"/>
  <c r="H286" i="95"/>
  <c r="B286" i="95" s="1"/>
  <c r="G286" i="95"/>
  <c r="F286" i="95"/>
  <c r="C286" i="95"/>
  <c r="AH285" i="95"/>
  <c r="AB285" i="95"/>
  <c r="AC285" i="95" s="1"/>
  <c r="AA285" i="95"/>
  <c r="Z285" i="95"/>
  <c r="Y285" i="95"/>
  <c r="X285" i="95"/>
  <c r="W285" i="95"/>
  <c r="V285" i="95"/>
  <c r="U285" i="95"/>
  <c r="T285" i="95"/>
  <c r="S285" i="95"/>
  <c r="R285" i="95"/>
  <c r="Q285" i="95"/>
  <c r="P285" i="95"/>
  <c r="O285" i="95"/>
  <c r="N285" i="95"/>
  <c r="M285" i="95"/>
  <c r="L285" i="95"/>
  <c r="J285" i="95" s="1"/>
  <c r="D285" i="95" s="1"/>
  <c r="K285" i="95"/>
  <c r="I285" i="95"/>
  <c r="C285" i="95" s="1"/>
  <c r="H285" i="95"/>
  <c r="G285" i="95"/>
  <c r="F285" i="95"/>
  <c r="E285" i="95"/>
  <c r="B285" i="95"/>
  <c r="AH284" i="95"/>
  <c r="AB284" i="95"/>
  <c r="AC284" i="95" s="1"/>
  <c r="AA284" i="95"/>
  <c r="Z284" i="95"/>
  <c r="Y284" i="95"/>
  <c r="X284" i="95"/>
  <c r="W284" i="95"/>
  <c r="V284" i="95"/>
  <c r="U284" i="95"/>
  <c r="T284" i="95"/>
  <c r="S284" i="95"/>
  <c r="R284" i="95"/>
  <c r="Q284" i="95"/>
  <c r="P284" i="95"/>
  <c r="O284" i="95"/>
  <c r="M284" i="95" s="1"/>
  <c r="N284" i="95"/>
  <c r="L284" i="95"/>
  <c r="J284" i="95" s="1"/>
  <c r="D284" i="95" s="1"/>
  <c r="K284" i="95"/>
  <c r="E284" i="95" s="1"/>
  <c r="I284" i="95"/>
  <c r="H284" i="95"/>
  <c r="B284" i="95" s="1"/>
  <c r="G284" i="95"/>
  <c r="F284" i="95"/>
  <c r="C284" i="95"/>
  <c r="AH283" i="95"/>
  <c r="AB283" i="95"/>
  <c r="AC283" i="95" s="1"/>
  <c r="AA283" i="95"/>
  <c r="Z283" i="95"/>
  <c r="Y283" i="95"/>
  <c r="X283" i="95"/>
  <c r="W283" i="95"/>
  <c r="V283" i="95"/>
  <c r="U283" i="95"/>
  <c r="T283" i="95"/>
  <c r="S283" i="95"/>
  <c r="R283" i="95"/>
  <c r="Q283" i="95"/>
  <c r="P283" i="95"/>
  <c r="O283" i="95"/>
  <c r="N283" i="95"/>
  <c r="M283" i="95"/>
  <c r="L283" i="95"/>
  <c r="K283" i="95"/>
  <c r="J283" i="95"/>
  <c r="D283" i="95" s="1"/>
  <c r="I283" i="95"/>
  <c r="C283" i="95" s="1"/>
  <c r="H283" i="95"/>
  <c r="G283" i="95"/>
  <c r="F283" i="95"/>
  <c r="E283" i="95"/>
  <c r="B283" i="95"/>
  <c r="AH282" i="95"/>
  <c r="AB282" i="95"/>
  <c r="AC282" i="95" s="1"/>
  <c r="AA282" i="95"/>
  <c r="Z282" i="95"/>
  <c r="Y282" i="95"/>
  <c r="X282" i="95"/>
  <c r="W282" i="95"/>
  <c r="V282" i="95"/>
  <c r="U282" i="95"/>
  <c r="T282" i="95"/>
  <c r="S282" i="95"/>
  <c r="R282" i="95"/>
  <c r="Q282" i="95"/>
  <c r="P282" i="95"/>
  <c r="O282" i="95"/>
  <c r="M282" i="95" s="1"/>
  <c r="N282" i="95"/>
  <c r="L282" i="95"/>
  <c r="J282" i="95" s="1"/>
  <c r="K282" i="95"/>
  <c r="I282" i="95"/>
  <c r="C282" i="95" s="1"/>
  <c r="H282" i="95"/>
  <c r="B282" i="95" s="1"/>
  <c r="G282" i="95"/>
  <c r="F282" i="95"/>
  <c r="D282" i="95"/>
  <c r="AH281" i="95"/>
  <c r="AB281" i="95"/>
  <c r="AC281" i="95" s="1"/>
  <c r="AA281" i="95"/>
  <c r="Z281" i="95"/>
  <c r="Y281" i="95"/>
  <c r="X281" i="95"/>
  <c r="W281" i="95"/>
  <c r="V281" i="95"/>
  <c r="U281" i="95"/>
  <c r="T281" i="95"/>
  <c r="S281" i="95"/>
  <c r="R281" i="95"/>
  <c r="Q281" i="95"/>
  <c r="P281" i="95"/>
  <c r="O281" i="95"/>
  <c r="M281" i="95" s="1"/>
  <c r="N281" i="95"/>
  <c r="L281" i="95"/>
  <c r="J281" i="95" s="1"/>
  <c r="D281" i="95" s="1"/>
  <c r="K281" i="95"/>
  <c r="I281" i="95"/>
  <c r="C281" i="95" s="1"/>
  <c r="H281" i="95"/>
  <c r="G281" i="95"/>
  <c r="F281" i="95"/>
  <c r="B281" i="95"/>
  <c r="AH280" i="95"/>
  <c r="AB280" i="95"/>
  <c r="AC280" i="95" s="1"/>
  <c r="AA280" i="95"/>
  <c r="Z280" i="95"/>
  <c r="Y280" i="95"/>
  <c r="X280" i="95"/>
  <c r="W280" i="95"/>
  <c r="V280" i="95"/>
  <c r="U280" i="95"/>
  <c r="T280" i="95"/>
  <c r="S280" i="95"/>
  <c r="R280" i="95"/>
  <c r="Q280" i="95"/>
  <c r="P280" i="95"/>
  <c r="O280" i="95"/>
  <c r="M280" i="95" s="1"/>
  <c r="N280" i="95"/>
  <c r="L280" i="95"/>
  <c r="J280" i="95" s="1"/>
  <c r="D280" i="95" s="1"/>
  <c r="K280" i="95"/>
  <c r="I280" i="95"/>
  <c r="H280" i="95"/>
  <c r="B280" i="95" s="1"/>
  <c r="G280" i="95"/>
  <c r="F280" i="95"/>
  <c r="C280" i="95"/>
  <c r="AH279" i="95"/>
  <c r="AB279" i="95"/>
  <c r="AC279" i="95" s="1"/>
  <c r="AA279" i="95"/>
  <c r="Z279" i="95"/>
  <c r="Y279" i="95"/>
  <c r="X279" i="95"/>
  <c r="W279" i="95"/>
  <c r="V279" i="95"/>
  <c r="U279" i="95"/>
  <c r="T279" i="95"/>
  <c r="S279" i="95"/>
  <c r="R279" i="95"/>
  <c r="Q279" i="95"/>
  <c r="P279" i="95"/>
  <c r="O279" i="95"/>
  <c r="N279" i="95"/>
  <c r="M279" i="95"/>
  <c r="L279" i="95"/>
  <c r="J279" i="95" s="1"/>
  <c r="D279" i="95" s="1"/>
  <c r="K279" i="95"/>
  <c r="I279" i="95"/>
  <c r="C279" i="95" s="1"/>
  <c r="H279" i="95"/>
  <c r="G279" i="95"/>
  <c r="F279" i="95"/>
  <c r="E279" i="95"/>
  <c r="B279" i="95"/>
  <c r="AH278" i="95"/>
  <c r="AB278" i="95"/>
  <c r="AC278" i="95" s="1"/>
  <c r="AA278" i="95"/>
  <c r="Z278" i="95"/>
  <c r="Y278" i="95"/>
  <c r="X278" i="95"/>
  <c r="W278" i="95"/>
  <c r="V278" i="95"/>
  <c r="U278" i="95"/>
  <c r="T278" i="95"/>
  <c r="S278" i="95"/>
  <c r="R278" i="95"/>
  <c r="Q278" i="95"/>
  <c r="P278" i="95"/>
  <c r="O278" i="95"/>
  <c r="M278" i="95" s="1"/>
  <c r="N278" i="95"/>
  <c r="L278" i="95"/>
  <c r="J278" i="95" s="1"/>
  <c r="K278" i="95"/>
  <c r="E278" i="95" s="1"/>
  <c r="I278" i="95"/>
  <c r="H278" i="95"/>
  <c r="B278" i="95" s="1"/>
  <c r="G278" i="95"/>
  <c r="F278" i="95"/>
  <c r="D278" i="95"/>
  <c r="C278" i="95"/>
  <c r="AH277" i="95"/>
  <c r="AB277" i="95"/>
  <c r="AC277" i="95" s="1"/>
  <c r="AA277" i="95"/>
  <c r="Z277" i="95"/>
  <c r="Y277" i="95"/>
  <c r="X277" i="95"/>
  <c r="W277" i="95"/>
  <c r="V277" i="95"/>
  <c r="U277" i="95"/>
  <c r="T277" i="95"/>
  <c r="S277" i="95"/>
  <c r="R277" i="95"/>
  <c r="Q277" i="95"/>
  <c r="P277" i="95"/>
  <c r="O277" i="95"/>
  <c r="M277" i="95" s="1"/>
  <c r="N277" i="95"/>
  <c r="L277" i="95"/>
  <c r="K277" i="95"/>
  <c r="E277" i="95" s="1"/>
  <c r="J277" i="95"/>
  <c r="D277" i="95" s="1"/>
  <c r="I277" i="95"/>
  <c r="C277" i="95" s="1"/>
  <c r="H277" i="95"/>
  <c r="G277" i="95"/>
  <c r="F277" i="95"/>
  <c r="B277" i="95"/>
  <c r="AH276" i="95"/>
  <c r="AB276" i="95"/>
  <c r="AC276" i="95" s="1"/>
  <c r="AA276" i="95"/>
  <c r="Z276" i="95"/>
  <c r="Y276" i="95"/>
  <c r="X276" i="95"/>
  <c r="W276" i="95"/>
  <c r="V276" i="95"/>
  <c r="U276" i="95"/>
  <c r="T276" i="95"/>
  <c r="S276" i="95"/>
  <c r="R276" i="95"/>
  <c r="Q276" i="95"/>
  <c r="P276" i="95"/>
  <c r="O276" i="95"/>
  <c r="M276" i="95" s="1"/>
  <c r="N276" i="95"/>
  <c r="L276" i="95"/>
  <c r="J276" i="95" s="1"/>
  <c r="D276" i="95" s="1"/>
  <c r="K276" i="95"/>
  <c r="E276" i="95" s="1"/>
  <c r="I276" i="95"/>
  <c r="H276" i="95"/>
  <c r="B276" i="95" s="1"/>
  <c r="G276" i="95"/>
  <c r="F276" i="95"/>
  <c r="C276" i="95"/>
  <c r="AH275" i="95"/>
  <c r="AB275" i="95"/>
  <c r="AC275" i="95" s="1"/>
  <c r="AA275" i="95"/>
  <c r="Z275" i="95"/>
  <c r="Y275" i="95"/>
  <c r="X275" i="95"/>
  <c r="W275" i="95"/>
  <c r="V275" i="95"/>
  <c r="U275" i="95"/>
  <c r="T275" i="95"/>
  <c r="S275" i="95"/>
  <c r="R275" i="95"/>
  <c r="Q275" i="95"/>
  <c r="P275" i="95"/>
  <c r="O275" i="95"/>
  <c r="M275" i="95" s="1"/>
  <c r="N275" i="95"/>
  <c r="L275" i="95"/>
  <c r="J275" i="95" s="1"/>
  <c r="D275" i="95" s="1"/>
  <c r="K275" i="95"/>
  <c r="I275" i="95"/>
  <c r="C275" i="95" s="1"/>
  <c r="H275" i="95"/>
  <c r="G275" i="95"/>
  <c r="F275" i="95"/>
  <c r="B275" i="95"/>
  <c r="AH274" i="95"/>
  <c r="AB274" i="95"/>
  <c r="AC274" i="95" s="1"/>
  <c r="AA274" i="95"/>
  <c r="Z274" i="95"/>
  <c r="Y274" i="95"/>
  <c r="X274" i="95"/>
  <c r="W274" i="95"/>
  <c r="V274" i="95"/>
  <c r="U274" i="95"/>
  <c r="T274" i="95"/>
  <c r="S274" i="95"/>
  <c r="R274" i="95"/>
  <c r="Q274" i="95"/>
  <c r="P274" i="95"/>
  <c r="O274" i="95"/>
  <c r="M274" i="95" s="1"/>
  <c r="N274" i="95"/>
  <c r="L274" i="95"/>
  <c r="J274" i="95" s="1"/>
  <c r="D274" i="95" s="1"/>
  <c r="K274" i="95"/>
  <c r="I274" i="95"/>
  <c r="C274" i="95" s="1"/>
  <c r="H274" i="95"/>
  <c r="B274" i="95" s="1"/>
  <c r="G274" i="95"/>
  <c r="F274" i="95"/>
  <c r="AH273" i="95"/>
  <c r="AB273" i="95"/>
  <c r="AC273" i="95" s="1"/>
  <c r="AA273" i="95"/>
  <c r="Z273" i="95"/>
  <c r="Y273" i="95"/>
  <c r="X273" i="95"/>
  <c r="W273" i="95"/>
  <c r="V273" i="95"/>
  <c r="U273" i="95"/>
  <c r="T273" i="95"/>
  <c r="S273" i="95"/>
  <c r="R273" i="95"/>
  <c r="Q273" i="95"/>
  <c r="P273" i="95"/>
  <c r="O273" i="95"/>
  <c r="N273" i="95"/>
  <c r="M273" i="95"/>
  <c r="L273" i="95"/>
  <c r="K273" i="95"/>
  <c r="J273" i="95"/>
  <c r="D273" i="95" s="1"/>
  <c r="I273" i="95"/>
  <c r="C273" i="95" s="1"/>
  <c r="H273" i="95"/>
  <c r="G273" i="95"/>
  <c r="F273" i="95"/>
  <c r="E273" i="95"/>
  <c r="B273" i="95"/>
  <c r="AH272" i="95"/>
  <c r="AB272" i="95"/>
  <c r="AC272" i="95" s="1"/>
  <c r="AA272" i="95"/>
  <c r="Z272" i="95"/>
  <c r="Y272" i="95"/>
  <c r="X272" i="95"/>
  <c r="W272" i="95"/>
  <c r="V272" i="95"/>
  <c r="U272" i="95"/>
  <c r="T272" i="95"/>
  <c r="S272" i="95"/>
  <c r="R272" i="95"/>
  <c r="Q272" i="95"/>
  <c r="P272" i="95"/>
  <c r="O272" i="95"/>
  <c r="M272" i="95" s="1"/>
  <c r="N272" i="95"/>
  <c r="L272" i="95"/>
  <c r="J272" i="95" s="1"/>
  <c r="D272" i="95" s="1"/>
  <c r="K272" i="95"/>
  <c r="I272" i="95"/>
  <c r="H272" i="95"/>
  <c r="B272" i="95" s="1"/>
  <c r="G272" i="95"/>
  <c r="F272" i="95"/>
  <c r="C272" i="95"/>
  <c r="AH271" i="95"/>
  <c r="AB271" i="95"/>
  <c r="AC271" i="95" s="1"/>
  <c r="AA271" i="95"/>
  <c r="Z271" i="95"/>
  <c r="Y271" i="95"/>
  <c r="X271" i="95"/>
  <c r="W271" i="95"/>
  <c r="V271" i="95"/>
  <c r="U271" i="95"/>
  <c r="T271" i="95"/>
  <c r="S271" i="95"/>
  <c r="R271" i="95"/>
  <c r="Q271" i="95"/>
  <c r="P271" i="95"/>
  <c r="O271" i="95"/>
  <c r="M271" i="95" s="1"/>
  <c r="N271" i="95"/>
  <c r="L271" i="95"/>
  <c r="K271" i="95"/>
  <c r="E271" i="95" s="1"/>
  <c r="J271" i="95"/>
  <c r="D271" i="95" s="1"/>
  <c r="I271" i="95"/>
  <c r="C271" i="95" s="1"/>
  <c r="H271" i="95"/>
  <c r="G271" i="95"/>
  <c r="F271" i="95"/>
  <c r="B271" i="95"/>
  <c r="AH270" i="95"/>
  <c r="AB270" i="95"/>
  <c r="AC270" i="95" s="1"/>
  <c r="AA270" i="95"/>
  <c r="Z270" i="95"/>
  <c r="Y270" i="95"/>
  <c r="X270" i="95"/>
  <c r="W270" i="95"/>
  <c r="V270" i="95"/>
  <c r="U270" i="95"/>
  <c r="T270" i="95"/>
  <c r="S270" i="95"/>
  <c r="R270" i="95"/>
  <c r="Q270" i="95"/>
  <c r="P270" i="95"/>
  <c r="O270" i="95"/>
  <c r="M270" i="95" s="1"/>
  <c r="N270" i="95"/>
  <c r="L270" i="95"/>
  <c r="J270" i="95" s="1"/>
  <c r="D270" i="95" s="1"/>
  <c r="K270" i="95"/>
  <c r="E270" i="95" s="1"/>
  <c r="I270" i="95"/>
  <c r="H270" i="95"/>
  <c r="B270" i="95" s="1"/>
  <c r="G270" i="95"/>
  <c r="F270" i="95"/>
  <c r="C270" i="95"/>
  <c r="AH269" i="95"/>
  <c r="AB269" i="95"/>
  <c r="AC269" i="95" s="1"/>
  <c r="AA269" i="95"/>
  <c r="Z269" i="95"/>
  <c r="Y269" i="95"/>
  <c r="X269" i="95"/>
  <c r="W269" i="95"/>
  <c r="V269" i="95"/>
  <c r="U269" i="95"/>
  <c r="T269" i="95"/>
  <c r="S269" i="95"/>
  <c r="R269" i="95"/>
  <c r="Q269" i="95"/>
  <c r="P269" i="95"/>
  <c r="O269" i="95"/>
  <c r="N269" i="95"/>
  <c r="M269" i="95"/>
  <c r="L269" i="95"/>
  <c r="J269" i="95" s="1"/>
  <c r="D269" i="95" s="1"/>
  <c r="K269" i="95"/>
  <c r="I269" i="95"/>
  <c r="C269" i="95" s="1"/>
  <c r="H269" i="95"/>
  <c r="G269" i="95"/>
  <c r="F269" i="95"/>
  <c r="E269" i="95"/>
  <c r="B269" i="95"/>
  <c r="AH268" i="95"/>
  <c r="AB268" i="95"/>
  <c r="AC268" i="95" s="1"/>
  <c r="AA268" i="95"/>
  <c r="Z268" i="95"/>
  <c r="Y268" i="95"/>
  <c r="X268" i="95"/>
  <c r="W268" i="95"/>
  <c r="V268" i="95"/>
  <c r="U268" i="95"/>
  <c r="T268" i="95"/>
  <c r="S268" i="95"/>
  <c r="R268" i="95"/>
  <c r="Q268" i="95"/>
  <c r="P268" i="95"/>
  <c r="O268" i="95"/>
  <c r="M268" i="95" s="1"/>
  <c r="N268" i="95"/>
  <c r="L268" i="95"/>
  <c r="J268" i="95" s="1"/>
  <c r="D268" i="95" s="1"/>
  <c r="K268" i="95"/>
  <c r="E268" i="95" s="1"/>
  <c r="I268" i="95"/>
  <c r="H268" i="95"/>
  <c r="B268" i="95" s="1"/>
  <c r="G268" i="95"/>
  <c r="F268" i="95"/>
  <c r="C268" i="95"/>
  <c r="AH267" i="95"/>
  <c r="AB267" i="95"/>
  <c r="AC267" i="95" s="1"/>
  <c r="AA267" i="95"/>
  <c r="Z267" i="95"/>
  <c r="Y267" i="95"/>
  <c r="X267" i="95"/>
  <c r="W267" i="95"/>
  <c r="V267" i="95"/>
  <c r="U267" i="95"/>
  <c r="T267" i="95"/>
  <c r="S267" i="95"/>
  <c r="R267" i="95"/>
  <c r="Q267" i="95"/>
  <c r="P267" i="95"/>
  <c r="O267" i="95"/>
  <c r="N267" i="95"/>
  <c r="M267" i="95"/>
  <c r="L267" i="95"/>
  <c r="K267" i="95"/>
  <c r="J267" i="95"/>
  <c r="D267" i="95" s="1"/>
  <c r="I267" i="95"/>
  <c r="C267" i="95" s="1"/>
  <c r="H267" i="95"/>
  <c r="G267" i="95"/>
  <c r="F267" i="95"/>
  <c r="E267" i="95"/>
  <c r="B267" i="95"/>
  <c r="AH266" i="95"/>
  <c r="AB266" i="95"/>
  <c r="AC266" i="95" s="1"/>
  <c r="AA266" i="95"/>
  <c r="Z266" i="95"/>
  <c r="Y266" i="95"/>
  <c r="X266" i="95"/>
  <c r="W266" i="95"/>
  <c r="V266" i="95"/>
  <c r="U266" i="95"/>
  <c r="T266" i="95"/>
  <c r="S266" i="95"/>
  <c r="R266" i="95"/>
  <c r="Q266" i="95"/>
  <c r="P266" i="95"/>
  <c r="O266" i="95"/>
  <c r="M266" i="95" s="1"/>
  <c r="N266" i="95"/>
  <c r="L266" i="95"/>
  <c r="J266" i="95" s="1"/>
  <c r="K266" i="95"/>
  <c r="I266" i="95"/>
  <c r="C266" i="95" s="1"/>
  <c r="H266" i="95"/>
  <c r="B266" i="95" s="1"/>
  <c r="G266" i="95"/>
  <c r="F266" i="95"/>
  <c r="D266" i="95"/>
  <c r="AH265" i="95"/>
  <c r="AB265" i="95"/>
  <c r="AC265" i="95" s="1"/>
  <c r="AA265" i="95"/>
  <c r="Z265" i="95"/>
  <c r="Y265" i="95"/>
  <c r="X265" i="95"/>
  <c r="W265" i="95"/>
  <c r="V265" i="95"/>
  <c r="U265" i="95"/>
  <c r="T265" i="95"/>
  <c r="S265" i="95"/>
  <c r="R265" i="95"/>
  <c r="Q265" i="95"/>
  <c r="P265" i="95"/>
  <c r="O265" i="95"/>
  <c r="M265" i="95" s="1"/>
  <c r="N265" i="95"/>
  <c r="L265" i="95"/>
  <c r="J265" i="95" s="1"/>
  <c r="D265" i="95" s="1"/>
  <c r="K265" i="95"/>
  <c r="I265" i="95"/>
  <c r="C265" i="95" s="1"/>
  <c r="H265" i="95"/>
  <c r="G265" i="95"/>
  <c r="F265" i="95"/>
  <c r="B265" i="95"/>
  <c r="AH264" i="95"/>
  <c r="AB264" i="95"/>
  <c r="AC264" i="95" s="1"/>
  <c r="AA264" i="95"/>
  <c r="Z264" i="95"/>
  <c r="Y264" i="95"/>
  <c r="X264" i="95"/>
  <c r="W264" i="95"/>
  <c r="V264" i="95"/>
  <c r="U264" i="95"/>
  <c r="T264" i="95"/>
  <c r="S264" i="95"/>
  <c r="R264" i="95"/>
  <c r="Q264" i="95"/>
  <c r="P264" i="95"/>
  <c r="O264" i="95"/>
  <c r="M264" i="95" s="1"/>
  <c r="N264" i="95"/>
  <c r="L264" i="95"/>
  <c r="J264" i="95" s="1"/>
  <c r="D264" i="95" s="1"/>
  <c r="K264" i="95"/>
  <c r="I264" i="95"/>
  <c r="H264" i="95"/>
  <c r="B264" i="95" s="1"/>
  <c r="G264" i="95"/>
  <c r="F264" i="95"/>
  <c r="C264" i="95"/>
  <c r="AH263" i="95"/>
  <c r="AB263" i="95"/>
  <c r="AC263" i="95" s="1"/>
  <c r="AA263" i="95"/>
  <c r="Z263" i="95"/>
  <c r="Y263" i="95"/>
  <c r="X263" i="95"/>
  <c r="W263" i="95"/>
  <c r="V263" i="95"/>
  <c r="U263" i="95"/>
  <c r="T263" i="95"/>
  <c r="S263" i="95"/>
  <c r="R263" i="95"/>
  <c r="Q263" i="95"/>
  <c r="P263" i="95"/>
  <c r="O263" i="95"/>
  <c r="N263" i="95"/>
  <c r="M263" i="95"/>
  <c r="L263" i="95"/>
  <c r="J263" i="95" s="1"/>
  <c r="D263" i="95" s="1"/>
  <c r="K263" i="95"/>
  <c r="I263" i="95"/>
  <c r="C263" i="95" s="1"/>
  <c r="H263" i="95"/>
  <c r="G263" i="95"/>
  <c r="F263" i="95"/>
  <c r="E263" i="95"/>
  <c r="B263" i="95"/>
  <c r="AH262" i="95"/>
  <c r="AB262" i="95"/>
  <c r="AC262" i="95" s="1"/>
  <c r="AA262" i="95"/>
  <c r="Z262" i="95"/>
  <c r="Y262" i="95"/>
  <c r="X262" i="95"/>
  <c r="W262" i="95"/>
  <c r="V262" i="95"/>
  <c r="U262" i="95"/>
  <c r="T262" i="95"/>
  <c r="S262" i="95"/>
  <c r="R262" i="95"/>
  <c r="Q262" i="95"/>
  <c r="P262" i="95"/>
  <c r="O262" i="95"/>
  <c r="M262" i="95" s="1"/>
  <c r="N262" i="95"/>
  <c r="L262" i="95"/>
  <c r="J262" i="95" s="1"/>
  <c r="K262" i="95"/>
  <c r="E262" i="95" s="1"/>
  <c r="I262" i="95"/>
  <c r="H262" i="95"/>
  <c r="B262" i="95" s="1"/>
  <c r="G262" i="95"/>
  <c r="F262" i="95"/>
  <c r="D262" i="95"/>
  <c r="C262" i="95"/>
  <c r="AH261" i="95"/>
  <c r="AB261" i="95"/>
  <c r="AC261" i="95" s="1"/>
  <c r="AA261" i="95"/>
  <c r="Z261" i="95"/>
  <c r="Y261" i="95"/>
  <c r="X261" i="95"/>
  <c r="W261" i="95"/>
  <c r="V261" i="95"/>
  <c r="U261" i="95"/>
  <c r="T261" i="95"/>
  <c r="S261" i="95"/>
  <c r="R261" i="95"/>
  <c r="Q261" i="95"/>
  <c r="P261" i="95"/>
  <c r="O261" i="95"/>
  <c r="M261" i="95" s="1"/>
  <c r="N261" i="95"/>
  <c r="L261" i="95"/>
  <c r="K261" i="95"/>
  <c r="E261" i="95" s="1"/>
  <c r="J261" i="95"/>
  <c r="D261" i="95" s="1"/>
  <c r="I261" i="95"/>
  <c r="C261" i="95" s="1"/>
  <c r="H261" i="95"/>
  <c r="G261" i="95"/>
  <c r="F261" i="95"/>
  <c r="B261" i="95"/>
  <c r="AH260" i="95"/>
  <c r="AB260" i="95"/>
  <c r="AC260" i="95" s="1"/>
  <c r="AA260" i="95"/>
  <c r="Z260" i="95"/>
  <c r="Y260" i="95"/>
  <c r="X260" i="95"/>
  <c r="W260" i="95"/>
  <c r="V260" i="95"/>
  <c r="U260" i="95"/>
  <c r="T260" i="95"/>
  <c r="S260" i="95"/>
  <c r="R260" i="95"/>
  <c r="Q260" i="95"/>
  <c r="P260" i="95"/>
  <c r="O260" i="95"/>
  <c r="M260" i="95" s="1"/>
  <c r="N260" i="95"/>
  <c r="L260" i="95"/>
  <c r="J260" i="95" s="1"/>
  <c r="D260" i="95" s="1"/>
  <c r="K260" i="95"/>
  <c r="E260" i="95" s="1"/>
  <c r="I260" i="95"/>
  <c r="H260" i="95"/>
  <c r="B260" i="95" s="1"/>
  <c r="G260" i="95"/>
  <c r="F260" i="95"/>
  <c r="C260" i="95"/>
  <c r="AH259" i="95"/>
  <c r="AB259" i="95"/>
  <c r="AC259" i="95" s="1"/>
  <c r="AA259" i="95"/>
  <c r="Z259" i="95"/>
  <c r="Y259" i="95"/>
  <c r="X259" i="95"/>
  <c r="W259" i="95"/>
  <c r="V259" i="95"/>
  <c r="U259" i="95"/>
  <c r="T259" i="95"/>
  <c r="S259" i="95"/>
  <c r="R259" i="95"/>
  <c r="Q259" i="95"/>
  <c r="P259" i="95"/>
  <c r="O259" i="95"/>
  <c r="M259" i="95" s="1"/>
  <c r="N259" i="95"/>
  <c r="L259" i="95"/>
  <c r="J259" i="95" s="1"/>
  <c r="D259" i="95" s="1"/>
  <c r="K259" i="95"/>
  <c r="I259" i="95"/>
  <c r="C259" i="95" s="1"/>
  <c r="H259" i="95"/>
  <c r="G259" i="95"/>
  <c r="F259" i="95"/>
  <c r="B259" i="95"/>
  <c r="AH258" i="95"/>
  <c r="AB258" i="95"/>
  <c r="AC258" i="95" s="1"/>
  <c r="AA258" i="95"/>
  <c r="Z258" i="95"/>
  <c r="Y258" i="95"/>
  <c r="X258" i="95"/>
  <c r="W258" i="95"/>
  <c r="V258" i="95"/>
  <c r="U258" i="95"/>
  <c r="T258" i="95"/>
  <c r="S258" i="95"/>
  <c r="R258" i="95"/>
  <c r="Q258" i="95"/>
  <c r="P258" i="95"/>
  <c r="O258" i="95"/>
  <c r="M258" i="95" s="1"/>
  <c r="N258" i="95"/>
  <c r="L258" i="95"/>
  <c r="J258" i="95" s="1"/>
  <c r="D258" i="95" s="1"/>
  <c r="K258" i="95"/>
  <c r="I258" i="95"/>
  <c r="C258" i="95" s="1"/>
  <c r="H258" i="95"/>
  <c r="B258" i="95" s="1"/>
  <c r="G258" i="95"/>
  <c r="F258" i="95"/>
  <c r="AH257" i="95"/>
  <c r="AB257" i="95"/>
  <c r="AC257" i="95" s="1"/>
  <c r="AA257" i="95"/>
  <c r="Z257" i="95"/>
  <c r="Y257" i="95"/>
  <c r="X257" i="95"/>
  <c r="W257" i="95"/>
  <c r="V257" i="95"/>
  <c r="U257" i="95"/>
  <c r="T257" i="95"/>
  <c r="S257" i="95"/>
  <c r="R257" i="95"/>
  <c r="Q257" i="95"/>
  <c r="P257" i="95"/>
  <c r="O257" i="95"/>
  <c r="N257" i="95"/>
  <c r="M257" i="95"/>
  <c r="L257" i="95"/>
  <c r="K257" i="95"/>
  <c r="J257" i="95"/>
  <c r="D257" i="95" s="1"/>
  <c r="I257" i="95"/>
  <c r="C257" i="95" s="1"/>
  <c r="H257" i="95"/>
  <c r="G257" i="95"/>
  <c r="F257" i="95"/>
  <c r="E257" i="95"/>
  <c r="B257" i="95"/>
  <c r="AH256" i="95"/>
  <c r="AB256" i="95"/>
  <c r="AC256" i="95" s="1"/>
  <c r="AA256" i="95"/>
  <c r="Z256" i="95"/>
  <c r="Y256" i="95"/>
  <c r="X256" i="95"/>
  <c r="W256" i="95"/>
  <c r="V256" i="95"/>
  <c r="U256" i="95"/>
  <c r="T256" i="95"/>
  <c r="S256" i="95"/>
  <c r="R256" i="95"/>
  <c r="Q256" i="95"/>
  <c r="P256" i="95"/>
  <c r="O256" i="95"/>
  <c r="M256" i="95" s="1"/>
  <c r="N256" i="95"/>
  <c r="L256" i="95"/>
  <c r="J256" i="95" s="1"/>
  <c r="D256" i="95" s="1"/>
  <c r="K256" i="95"/>
  <c r="I256" i="95"/>
  <c r="H256" i="95"/>
  <c r="B256" i="95" s="1"/>
  <c r="G256" i="95"/>
  <c r="F256" i="95"/>
  <c r="C256" i="95"/>
  <c r="AH255" i="95"/>
  <c r="AB255" i="95"/>
  <c r="AC255" i="95" s="1"/>
  <c r="AA255" i="95"/>
  <c r="Z255" i="95"/>
  <c r="Y255" i="95"/>
  <c r="X255" i="95"/>
  <c r="W255" i="95"/>
  <c r="V255" i="95"/>
  <c r="U255" i="95"/>
  <c r="T255" i="95"/>
  <c r="S255" i="95"/>
  <c r="R255" i="95"/>
  <c r="Q255" i="95"/>
  <c r="P255" i="95"/>
  <c r="O255" i="95"/>
  <c r="M255" i="95" s="1"/>
  <c r="N255" i="95"/>
  <c r="L255" i="95"/>
  <c r="K255" i="95"/>
  <c r="E255" i="95" s="1"/>
  <c r="J255" i="95"/>
  <c r="D255" i="95" s="1"/>
  <c r="I255" i="95"/>
  <c r="C255" i="95" s="1"/>
  <c r="H255" i="95"/>
  <c r="G255" i="95"/>
  <c r="F255" i="95"/>
  <c r="B255" i="95"/>
  <c r="AH254" i="95"/>
  <c r="AB254" i="95"/>
  <c r="AC254" i="95" s="1"/>
  <c r="AA254" i="95"/>
  <c r="Z254" i="95"/>
  <c r="Y254" i="95"/>
  <c r="X254" i="95"/>
  <c r="W254" i="95"/>
  <c r="V254" i="95"/>
  <c r="U254" i="95"/>
  <c r="T254" i="95"/>
  <c r="S254" i="95"/>
  <c r="R254" i="95"/>
  <c r="Q254" i="95"/>
  <c r="P254" i="95"/>
  <c r="O254" i="95"/>
  <c r="M254" i="95" s="1"/>
  <c r="N254" i="95"/>
  <c r="L254" i="95"/>
  <c r="J254" i="95" s="1"/>
  <c r="D254" i="95" s="1"/>
  <c r="K254" i="95"/>
  <c r="E254" i="95" s="1"/>
  <c r="I254" i="95"/>
  <c r="H254" i="95"/>
  <c r="B254" i="95" s="1"/>
  <c r="G254" i="95"/>
  <c r="F254" i="95"/>
  <c r="C254" i="95"/>
  <c r="AH253" i="95"/>
  <c r="AB253" i="95"/>
  <c r="AC253" i="95" s="1"/>
  <c r="AA253" i="95"/>
  <c r="Z253" i="95"/>
  <c r="Y253" i="95"/>
  <c r="X253" i="95"/>
  <c r="W253" i="95"/>
  <c r="V253" i="95"/>
  <c r="U253" i="95"/>
  <c r="T253" i="95"/>
  <c r="S253" i="95"/>
  <c r="R253" i="95"/>
  <c r="Q253" i="95"/>
  <c r="P253" i="95"/>
  <c r="O253" i="95"/>
  <c r="N253" i="95"/>
  <c r="M253" i="95"/>
  <c r="L253" i="95"/>
  <c r="J253" i="95" s="1"/>
  <c r="D253" i="95" s="1"/>
  <c r="K253" i="95"/>
  <c r="I253" i="95"/>
  <c r="C253" i="95" s="1"/>
  <c r="H253" i="95"/>
  <c r="G253" i="95"/>
  <c r="F253" i="95"/>
  <c r="E253" i="95"/>
  <c r="B253" i="95"/>
  <c r="AH252" i="95"/>
  <c r="AB252" i="95"/>
  <c r="AC252" i="95" s="1"/>
  <c r="AA252" i="95"/>
  <c r="Z252" i="95"/>
  <c r="Y252" i="95"/>
  <c r="X252" i="95"/>
  <c r="W252" i="95"/>
  <c r="V252" i="95"/>
  <c r="U252" i="95"/>
  <c r="T252" i="95"/>
  <c r="S252" i="95"/>
  <c r="R252" i="95"/>
  <c r="Q252" i="95"/>
  <c r="P252" i="95"/>
  <c r="O252" i="95"/>
  <c r="M252" i="95" s="1"/>
  <c r="N252" i="95"/>
  <c r="L252" i="95"/>
  <c r="J252" i="95" s="1"/>
  <c r="D252" i="95" s="1"/>
  <c r="K252" i="95"/>
  <c r="E252" i="95" s="1"/>
  <c r="I252" i="95"/>
  <c r="H252" i="95"/>
  <c r="B252" i="95" s="1"/>
  <c r="G252" i="95"/>
  <c r="F252" i="95"/>
  <c r="C252" i="95"/>
  <c r="AH251" i="95"/>
  <c r="AB251" i="95"/>
  <c r="AC251" i="95" s="1"/>
  <c r="AA251" i="95"/>
  <c r="Z251" i="95"/>
  <c r="Y251" i="95"/>
  <c r="X251" i="95"/>
  <c r="W251" i="95"/>
  <c r="V251" i="95"/>
  <c r="U251" i="95"/>
  <c r="T251" i="95"/>
  <c r="S251" i="95"/>
  <c r="R251" i="95"/>
  <c r="Q251" i="95"/>
  <c r="P251" i="95"/>
  <c r="O251" i="95"/>
  <c r="N251" i="95"/>
  <c r="M251" i="95"/>
  <c r="L251" i="95"/>
  <c r="K251" i="95"/>
  <c r="J251" i="95"/>
  <c r="D251" i="95" s="1"/>
  <c r="I251" i="95"/>
  <c r="C251" i="95" s="1"/>
  <c r="H251" i="95"/>
  <c r="G251" i="95"/>
  <c r="F251" i="95"/>
  <c r="E251" i="95"/>
  <c r="B251" i="95"/>
  <c r="AH250" i="95"/>
  <c r="AB250" i="95"/>
  <c r="AC250" i="95" s="1"/>
  <c r="AA250" i="95"/>
  <c r="Z250" i="95"/>
  <c r="Y250" i="95"/>
  <c r="X250" i="95"/>
  <c r="W250" i="95"/>
  <c r="V250" i="95"/>
  <c r="U250" i="95"/>
  <c r="T250" i="95"/>
  <c r="S250" i="95"/>
  <c r="R250" i="95"/>
  <c r="Q250" i="95"/>
  <c r="P250" i="95"/>
  <c r="O250" i="95"/>
  <c r="M250" i="95" s="1"/>
  <c r="N250" i="95"/>
  <c r="L250" i="95"/>
  <c r="J250" i="95" s="1"/>
  <c r="K250" i="95"/>
  <c r="I250" i="95"/>
  <c r="C250" i="95" s="1"/>
  <c r="H250" i="95"/>
  <c r="B250" i="95" s="1"/>
  <c r="G250" i="95"/>
  <c r="F250" i="95"/>
  <c r="D250" i="95"/>
  <c r="AH249" i="95"/>
  <c r="AB249" i="95"/>
  <c r="AC249" i="95" s="1"/>
  <c r="AA249" i="95"/>
  <c r="Z249" i="95"/>
  <c r="Y249" i="95"/>
  <c r="X249" i="95"/>
  <c r="W249" i="95"/>
  <c r="V249" i="95"/>
  <c r="U249" i="95"/>
  <c r="T249" i="95"/>
  <c r="S249" i="95"/>
  <c r="R249" i="95"/>
  <c r="Q249" i="95"/>
  <c r="P249" i="95"/>
  <c r="O249" i="95"/>
  <c r="M249" i="95" s="1"/>
  <c r="N249" i="95"/>
  <c r="L249" i="95"/>
  <c r="J249" i="95" s="1"/>
  <c r="D249" i="95" s="1"/>
  <c r="K249" i="95"/>
  <c r="I249" i="95"/>
  <c r="C249" i="95" s="1"/>
  <c r="H249" i="95"/>
  <c r="G249" i="95"/>
  <c r="F249" i="95"/>
  <c r="B249" i="95"/>
  <c r="AH248" i="95"/>
  <c r="AB248" i="95"/>
  <c r="AC248" i="95" s="1"/>
  <c r="AA248" i="95"/>
  <c r="Z248" i="95"/>
  <c r="Y248" i="95"/>
  <c r="X248" i="95"/>
  <c r="W248" i="95"/>
  <c r="V248" i="95"/>
  <c r="U248" i="95"/>
  <c r="T248" i="95"/>
  <c r="S248" i="95"/>
  <c r="R248" i="95"/>
  <c r="Q248" i="95"/>
  <c r="P248" i="95"/>
  <c r="O248" i="95"/>
  <c r="M248" i="95" s="1"/>
  <c r="N248" i="95"/>
  <c r="L248" i="95"/>
  <c r="J248" i="95" s="1"/>
  <c r="D248" i="95" s="1"/>
  <c r="K248" i="95"/>
  <c r="I248" i="95"/>
  <c r="H248" i="95"/>
  <c r="B248" i="95" s="1"/>
  <c r="G248" i="95"/>
  <c r="F248" i="95"/>
  <c r="C248" i="95"/>
  <c r="AH247" i="95"/>
  <c r="AB247" i="95"/>
  <c r="AC247" i="95" s="1"/>
  <c r="AA247" i="95"/>
  <c r="Z247" i="95"/>
  <c r="Y247" i="95"/>
  <c r="X247" i="95"/>
  <c r="W247" i="95"/>
  <c r="V247" i="95"/>
  <c r="U247" i="95"/>
  <c r="T247" i="95"/>
  <c r="S247" i="95"/>
  <c r="R247" i="95"/>
  <c r="Q247" i="95"/>
  <c r="P247" i="95"/>
  <c r="O247" i="95"/>
  <c r="N247" i="95"/>
  <c r="M247" i="95"/>
  <c r="L247" i="95"/>
  <c r="J247" i="95" s="1"/>
  <c r="D247" i="95" s="1"/>
  <c r="K247" i="95"/>
  <c r="I247" i="95"/>
  <c r="C247" i="95" s="1"/>
  <c r="H247" i="95"/>
  <c r="G247" i="95"/>
  <c r="F247" i="95"/>
  <c r="E247" i="95"/>
  <c r="B247" i="95"/>
  <c r="AH246" i="95"/>
  <c r="AB246" i="95"/>
  <c r="AC246" i="95" s="1"/>
  <c r="AA246" i="95"/>
  <c r="Z246" i="95"/>
  <c r="Y246" i="95"/>
  <c r="X246" i="95"/>
  <c r="W246" i="95"/>
  <c r="V246" i="95"/>
  <c r="U246" i="95"/>
  <c r="T246" i="95"/>
  <c r="S246" i="95"/>
  <c r="R246" i="95"/>
  <c r="Q246" i="95"/>
  <c r="P246" i="95"/>
  <c r="O246" i="95"/>
  <c r="M246" i="95" s="1"/>
  <c r="N246" i="95"/>
  <c r="L246" i="95"/>
  <c r="J246" i="95" s="1"/>
  <c r="K246" i="95"/>
  <c r="E246" i="95" s="1"/>
  <c r="I246" i="95"/>
  <c r="H246" i="95"/>
  <c r="B246" i="95" s="1"/>
  <c r="G246" i="95"/>
  <c r="F246" i="95"/>
  <c r="D246" i="95"/>
  <c r="C246" i="95"/>
  <c r="AH245" i="95"/>
  <c r="AB245" i="95"/>
  <c r="AC245" i="95" s="1"/>
  <c r="AA245" i="95"/>
  <c r="Z245" i="95"/>
  <c r="Y245" i="95"/>
  <c r="X245" i="95"/>
  <c r="W245" i="95"/>
  <c r="V245" i="95"/>
  <c r="U245" i="95"/>
  <c r="T245" i="95"/>
  <c r="S245" i="95"/>
  <c r="R245" i="95"/>
  <c r="Q245" i="95"/>
  <c r="P245" i="95"/>
  <c r="O245" i="95"/>
  <c r="M245" i="95" s="1"/>
  <c r="N245" i="95"/>
  <c r="L245" i="95"/>
  <c r="K245" i="95"/>
  <c r="E245" i="95" s="1"/>
  <c r="J245" i="95"/>
  <c r="D245" i="95" s="1"/>
  <c r="I245" i="95"/>
  <c r="C245" i="95" s="1"/>
  <c r="H245" i="95"/>
  <c r="G245" i="95"/>
  <c r="F245" i="95"/>
  <c r="B245" i="95"/>
  <c r="AH244" i="95"/>
  <c r="AB244" i="95"/>
  <c r="AC244" i="95" s="1"/>
  <c r="AA244" i="95"/>
  <c r="Z244" i="95"/>
  <c r="Y244" i="95"/>
  <c r="X244" i="95"/>
  <c r="W244" i="95"/>
  <c r="V244" i="95"/>
  <c r="U244" i="95"/>
  <c r="T244" i="95"/>
  <c r="S244" i="95"/>
  <c r="R244" i="95"/>
  <c r="Q244" i="95"/>
  <c r="P244" i="95"/>
  <c r="O244" i="95"/>
  <c r="M244" i="95" s="1"/>
  <c r="N244" i="95"/>
  <c r="L244" i="95"/>
  <c r="J244" i="95" s="1"/>
  <c r="D244" i="95" s="1"/>
  <c r="K244" i="95"/>
  <c r="E244" i="95" s="1"/>
  <c r="I244" i="95"/>
  <c r="H244" i="95"/>
  <c r="B244" i="95" s="1"/>
  <c r="G244" i="95"/>
  <c r="F244" i="95"/>
  <c r="C244" i="95"/>
  <c r="AH243" i="95"/>
  <c r="AB243" i="95"/>
  <c r="AC243" i="95" s="1"/>
  <c r="AA243" i="95"/>
  <c r="Z243" i="95"/>
  <c r="Y243" i="95"/>
  <c r="X243" i="95"/>
  <c r="W243" i="95"/>
  <c r="V243" i="95"/>
  <c r="U243" i="95"/>
  <c r="T243" i="95"/>
  <c r="S243" i="95"/>
  <c r="R243" i="95"/>
  <c r="Q243" i="95"/>
  <c r="P243" i="95"/>
  <c r="O243" i="95"/>
  <c r="M243" i="95" s="1"/>
  <c r="N243" i="95"/>
  <c r="L243" i="95"/>
  <c r="J243" i="95" s="1"/>
  <c r="D243" i="95" s="1"/>
  <c r="K243" i="95"/>
  <c r="I243" i="95"/>
  <c r="C243" i="95" s="1"/>
  <c r="H243" i="95"/>
  <c r="G243" i="95"/>
  <c r="F243" i="95"/>
  <c r="B243" i="95"/>
  <c r="AH242" i="95"/>
  <c r="AB242" i="95"/>
  <c r="AC242" i="95" s="1"/>
  <c r="AA242" i="95"/>
  <c r="Z242" i="95"/>
  <c r="Y242" i="95"/>
  <c r="X242" i="95"/>
  <c r="W242" i="95"/>
  <c r="V242" i="95"/>
  <c r="U242" i="95"/>
  <c r="T242" i="95"/>
  <c r="S242" i="95"/>
  <c r="R242" i="95"/>
  <c r="Q242" i="95"/>
  <c r="P242" i="95"/>
  <c r="O242" i="95"/>
  <c r="M242" i="95" s="1"/>
  <c r="N242" i="95"/>
  <c r="L242" i="95"/>
  <c r="J242" i="95" s="1"/>
  <c r="D242" i="95" s="1"/>
  <c r="K242" i="95"/>
  <c r="I242" i="95"/>
  <c r="C242" i="95" s="1"/>
  <c r="H242" i="95"/>
  <c r="B242" i="95" s="1"/>
  <c r="G242" i="95"/>
  <c r="F242" i="95"/>
  <c r="AH241" i="95"/>
  <c r="AB241" i="95"/>
  <c r="AC241" i="95" s="1"/>
  <c r="AA241" i="95"/>
  <c r="Z241" i="95"/>
  <c r="Y241" i="95"/>
  <c r="X241" i="95"/>
  <c r="W241" i="95"/>
  <c r="V241" i="95"/>
  <c r="U241" i="95"/>
  <c r="T241" i="95"/>
  <c r="S241" i="95"/>
  <c r="R241" i="95"/>
  <c r="Q241" i="95"/>
  <c r="P241" i="95"/>
  <c r="O241" i="95"/>
  <c r="N241" i="95"/>
  <c r="M241" i="95"/>
  <c r="L241" i="95"/>
  <c r="K241" i="95"/>
  <c r="J241" i="95"/>
  <c r="D241" i="95" s="1"/>
  <c r="I241" i="95"/>
  <c r="C241" i="95" s="1"/>
  <c r="H241" i="95"/>
  <c r="G241" i="95"/>
  <c r="F241" i="95"/>
  <c r="E241" i="95"/>
  <c r="B241" i="95"/>
  <c r="AH240" i="95"/>
  <c r="AB240" i="95"/>
  <c r="AC240" i="95" s="1"/>
  <c r="AA240" i="95"/>
  <c r="Z240" i="95"/>
  <c r="Y240" i="95"/>
  <c r="X240" i="95"/>
  <c r="W240" i="95"/>
  <c r="V240" i="95"/>
  <c r="U240" i="95"/>
  <c r="T240" i="95"/>
  <c r="S240" i="95"/>
  <c r="R240" i="95"/>
  <c r="Q240" i="95"/>
  <c r="P240" i="95"/>
  <c r="O240" i="95"/>
  <c r="M240" i="95" s="1"/>
  <c r="N240" i="95"/>
  <c r="L240" i="95"/>
  <c r="J240" i="95" s="1"/>
  <c r="D240" i="95" s="1"/>
  <c r="K240" i="95"/>
  <c r="I240" i="95"/>
  <c r="H240" i="95"/>
  <c r="B240" i="95" s="1"/>
  <c r="G240" i="95"/>
  <c r="F240" i="95"/>
  <c r="C240" i="95"/>
  <c r="AH239" i="95"/>
  <c r="AB239" i="95"/>
  <c r="AC239" i="95" s="1"/>
  <c r="AA239" i="95"/>
  <c r="Z239" i="95"/>
  <c r="Y239" i="95"/>
  <c r="X239" i="95"/>
  <c r="W239" i="95"/>
  <c r="V239" i="95"/>
  <c r="U239" i="95"/>
  <c r="T239" i="95"/>
  <c r="S239" i="95"/>
  <c r="R239" i="95"/>
  <c r="Q239" i="95"/>
  <c r="P239" i="95"/>
  <c r="O239" i="95"/>
  <c r="M239" i="95" s="1"/>
  <c r="N239" i="95"/>
  <c r="L239" i="95"/>
  <c r="K239" i="95"/>
  <c r="E239" i="95" s="1"/>
  <c r="J239" i="95"/>
  <c r="D239" i="95" s="1"/>
  <c r="I239" i="95"/>
  <c r="C239" i="95" s="1"/>
  <c r="H239" i="95"/>
  <c r="G239" i="95"/>
  <c r="F239" i="95"/>
  <c r="B239" i="95"/>
  <c r="AH238" i="95"/>
  <c r="AB238" i="95"/>
  <c r="AC238" i="95" s="1"/>
  <c r="AA238" i="95"/>
  <c r="Z238" i="95"/>
  <c r="Y238" i="95"/>
  <c r="X238" i="95"/>
  <c r="W238" i="95"/>
  <c r="V238" i="95"/>
  <c r="U238" i="95"/>
  <c r="T238" i="95"/>
  <c r="S238" i="95"/>
  <c r="R238" i="95"/>
  <c r="Q238" i="95"/>
  <c r="P238" i="95"/>
  <c r="O238" i="95"/>
  <c r="M238" i="95" s="1"/>
  <c r="N238" i="95"/>
  <c r="L238" i="95"/>
  <c r="J238" i="95" s="1"/>
  <c r="D238" i="95" s="1"/>
  <c r="K238" i="95"/>
  <c r="E238" i="95" s="1"/>
  <c r="I238" i="95"/>
  <c r="H238" i="95"/>
  <c r="B238" i="95" s="1"/>
  <c r="G238" i="95"/>
  <c r="F238" i="95"/>
  <c r="C238" i="95"/>
  <c r="AB237" i="95"/>
  <c r="AC237" i="95" s="1"/>
  <c r="AA237" i="95"/>
  <c r="Z237" i="95"/>
  <c r="Y237" i="95"/>
  <c r="X237" i="95"/>
  <c r="W237" i="95"/>
  <c r="V237" i="95"/>
  <c r="U237" i="95"/>
  <c r="T237" i="95"/>
  <c r="S237" i="95"/>
  <c r="R237" i="95"/>
  <c r="Q237" i="95"/>
  <c r="P237" i="95"/>
  <c r="O237" i="95"/>
  <c r="N237" i="95"/>
  <c r="M237" i="95"/>
  <c r="L237" i="95"/>
  <c r="J237" i="95" s="1"/>
  <c r="D237" i="95" s="1"/>
  <c r="K237" i="95"/>
  <c r="I237" i="95"/>
  <c r="C237" i="95" s="1"/>
  <c r="H237" i="95"/>
  <c r="B237" i="95" s="1"/>
  <c r="G237" i="95"/>
  <c r="F237" i="95"/>
  <c r="E237" i="95"/>
  <c r="AB236" i="95"/>
  <c r="AC236" i="95" s="1"/>
  <c r="AA236" i="95"/>
  <c r="Z236" i="95"/>
  <c r="Y236" i="95"/>
  <c r="X236" i="95"/>
  <c r="W236" i="95"/>
  <c r="V236" i="95"/>
  <c r="U236" i="95"/>
  <c r="T236" i="95"/>
  <c r="S236" i="95"/>
  <c r="R236" i="95"/>
  <c r="Q236" i="95"/>
  <c r="P236" i="95"/>
  <c r="O236" i="95"/>
  <c r="M236" i="95" s="1"/>
  <c r="N236" i="95"/>
  <c r="L236" i="95"/>
  <c r="J236" i="95" s="1"/>
  <c r="D236" i="95" s="1"/>
  <c r="K236" i="95"/>
  <c r="E236" i="95" s="1"/>
  <c r="I236" i="95"/>
  <c r="C236" i="95" s="1"/>
  <c r="H236" i="95"/>
  <c r="G236" i="95"/>
  <c r="F236" i="95"/>
  <c r="B236" i="95"/>
  <c r="AC235" i="95"/>
  <c r="AB235" i="95"/>
  <c r="AA235" i="95"/>
  <c r="Z235" i="95"/>
  <c r="Y235" i="95"/>
  <c r="X235" i="95"/>
  <c r="W235" i="95"/>
  <c r="V235" i="95"/>
  <c r="U235" i="95"/>
  <c r="T235" i="95"/>
  <c r="S235" i="95"/>
  <c r="R235" i="95"/>
  <c r="Q235" i="95"/>
  <c r="P235" i="95"/>
  <c r="O235" i="95"/>
  <c r="M235" i="95" s="1"/>
  <c r="N235" i="95"/>
  <c r="L235" i="95"/>
  <c r="J235" i="95" s="1"/>
  <c r="D235" i="95" s="1"/>
  <c r="K235" i="95"/>
  <c r="I235" i="95"/>
  <c r="H235" i="95"/>
  <c r="G235" i="95"/>
  <c r="F235" i="95"/>
  <c r="C235" i="95"/>
  <c r="B235" i="95"/>
  <c r="AB234" i="95"/>
  <c r="AC234" i="95" s="1"/>
  <c r="AA234" i="95"/>
  <c r="Z234" i="95"/>
  <c r="Y234" i="95"/>
  <c r="X234" i="95"/>
  <c r="W234" i="95"/>
  <c r="V234" i="95"/>
  <c r="U234" i="95"/>
  <c r="T234" i="95"/>
  <c r="S234" i="95"/>
  <c r="R234" i="95"/>
  <c r="Q234" i="95"/>
  <c r="P234" i="95"/>
  <c r="O234" i="95"/>
  <c r="M234" i="95" s="1"/>
  <c r="N234" i="95"/>
  <c r="L234" i="95"/>
  <c r="J234" i="95" s="1"/>
  <c r="D234" i="95" s="1"/>
  <c r="K234" i="95"/>
  <c r="I234" i="95"/>
  <c r="H234" i="95"/>
  <c r="B234" i="95" s="1"/>
  <c r="G234" i="95"/>
  <c r="F234" i="95"/>
  <c r="C234" i="95"/>
  <c r="AB233" i="95"/>
  <c r="AC233" i="95" s="1"/>
  <c r="AA233" i="95"/>
  <c r="Z233" i="95"/>
  <c r="Y233" i="95"/>
  <c r="X233" i="95"/>
  <c r="W233" i="95"/>
  <c r="V233" i="95"/>
  <c r="U233" i="95"/>
  <c r="T233" i="95"/>
  <c r="S233" i="95"/>
  <c r="R233" i="95"/>
  <c r="Q233" i="95"/>
  <c r="P233" i="95"/>
  <c r="O233" i="95"/>
  <c r="N233" i="95"/>
  <c r="M233" i="95"/>
  <c r="L233" i="95"/>
  <c r="J233" i="95" s="1"/>
  <c r="D233" i="95" s="1"/>
  <c r="K233" i="95"/>
  <c r="I233" i="95"/>
  <c r="C233" i="95" s="1"/>
  <c r="A233" i="95" s="1"/>
  <c r="H233" i="95"/>
  <c r="B233" i="95" s="1"/>
  <c r="G233" i="95"/>
  <c r="F233" i="95"/>
  <c r="E233" i="95"/>
  <c r="AB232" i="95"/>
  <c r="AC232" i="95" s="1"/>
  <c r="AA232" i="95"/>
  <c r="Z232" i="95"/>
  <c r="Y232" i="95"/>
  <c r="X232" i="95"/>
  <c r="W232" i="95"/>
  <c r="V232" i="95"/>
  <c r="U232" i="95"/>
  <c r="T232" i="95"/>
  <c r="S232" i="95"/>
  <c r="R232" i="95"/>
  <c r="Q232" i="95"/>
  <c r="P232" i="95"/>
  <c r="O232" i="95"/>
  <c r="N232" i="95"/>
  <c r="M232" i="95"/>
  <c r="L232" i="95"/>
  <c r="J232" i="95" s="1"/>
  <c r="D232" i="95" s="1"/>
  <c r="K232" i="95"/>
  <c r="I232" i="95"/>
  <c r="C232" i="95" s="1"/>
  <c r="H232" i="95"/>
  <c r="B232" i="95" s="1"/>
  <c r="G232" i="95"/>
  <c r="F232" i="95"/>
  <c r="E232" i="95"/>
  <c r="AB231" i="95"/>
  <c r="AC231" i="95" s="1"/>
  <c r="AA231" i="95"/>
  <c r="Z231" i="95"/>
  <c r="Y231" i="95"/>
  <c r="X231" i="95"/>
  <c r="W231" i="95"/>
  <c r="V231" i="95"/>
  <c r="U231" i="95"/>
  <c r="T231" i="95"/>
  <c r="S231" i="95"/>
  <c r="R231" i="95"/>
  <c r="Q231" i="95"/>
  <c r="P231" i="95"/>
  <c r="O231" i="95"/>
  <c r="M231" i="95" s="1"/>
  <c r="N231" i="95"/>
  <c r="L231" i="95"/>
  <c r="K231" i="95"/>
  <c r="J231" i="95"/>
  <c r="D231" i="95" s="1"/>
  <c r="I231" i="95"/>
  <c r="H231" i="95"/>
  <c r="G231" i="95"/>
  <c r="F231" i="95"/>
  <c r="C231" i="95"/>
  <c r="B231" i="95"/>
  <c r="AB230" i="95"/>
  <c r="AC230" i="95" s="1"/>
  <c r="AA230" i="95"/>
  <c r="Z230" i="95"/>
  <c r="Y230" i="95"/>
  <c r="X230" i="95"/>
  <c r="W230" i="95"/>
  <c r="V230" i="95"/>
  <c r="U230" i="95"/>
  <c r="T230" i="95"/>
  <c r="S230" i="95"/>
  <c r="R230" i="95"/>
  <c r="Q230" i="95"/>
  <c r="P230" i="95"/>
  <c r="O230" i="95"/>
  <c r="M230" i="95" s="1"/>
  <c r="N230" i="95"/>
  <c r="L230" i="95"/>
  <c r="J230" i="95" s="1"/>
  <c r="K230" i="95"/>
  <c r="E230" i="95" s="1"/>
  <c r="I230" i="95"/>
  <c r="H230" i="95"/>
  <c r="B230" i="95" s="1"/>
  <c r="G230" i="95"/>
  <c r="F230" i="95"/>
  <c r="D230" i="95"/>
  <c r="C230" i="95"/>
  <c r="AB229" i="95"/>
  <c r="AC229" i="95" s="1"/>
  <c r="AA229" i="95"/>
  <c r="Z229" i="95"/>
  <c r="Y229" i="95"/>
  <c r="X229" i="95"/>
  <c r="W229" i="95"/>
  <c r="V229" i="95"/>
  <c r="U229" i="95"/>
  <c r="T229" i="95"/>
  <c r="S229" i="95"/>
  <c r="R229" i="95"/>
  <c r="Q229" i="95"/>
  <c r="P229" i="95"/>
  <c r="O229" i="95"/>
  <c r="M229" i="95" s="1"/>
  <c r="N229" i="95"/>
  <c r="L229" i="95"/>
  <c r="J229" i="95" s="1"/>
  <c r="D229" i="95" s="1"/>
  <c r="K229" i="95"/>
  <c r="I229" i="95"/>
  <c r="C229" i="95" s="1"/>
  <c r="H229" i="95"/>
  <c r="B229" i="95" s="1"/>
  <c r="G229" i="95"/>
  <c r="F229" i="95"/>
  <c r="E229" i="95"/>
  <c r="AH228" i="95"/>
  <c r="AC228" i="95"/>
  <c r="AB228" i="95"/>
  <c r="AA228" i="95"/>
  <c r="Z228" i="95"/>
  <c r="Y228" i="95"/>
  <c r="X228" i="95"/>
  <c r="W228" i="95"/>
  <c r="V228" i="95"/>
  <c r="U228" i="95"/>
  <c r="T228" i="95"/>
  <c r="S228" i="95"/>
  <c r="R228" i="95"/>
  <c r="Q228" i="95"/>
  <c r="P228" i="95"/>
  <c r="O228" i="95"/>
  <c r="M228" i="95" s="1"/>
  <c r="N228" i="95"/>
  <c r="L228" i="95"/>
  <c r="K228" i="95"/>
  <c r="J228" i="95"/>
  <c r="D228" i="95" s="1"/>
  <c r="I228" i="95"/>
  <c r="H228" i="95"/>
  <c r="G228" i="95"/>
  <c r="F228" i="95"/>
  <c r="C228" i="95"/>
  <c r="B228" i="95"/>
  <c r="AH227" i="95"/>
  <c r="AC227" i="95"/>
  <c r="AB227" i="95"/>
  <c r="AA227" i="95"/>
  <c r="Z227" i="95"/>
  <c r="Y227" i="95"/>
  <c r="X227" i="95"/>
  <c r="W227" i="95"/>
  <c r="V227" i="95"/>
  <c r="U227" i="95"/>
  <c r="T227" i="95"/>
  <c r="S227" i="95"/>
  <c r="R227" i="95"/>
  <c r="Q227" i="95"/>
  <c r="P227" i="95"/>
  <c r="O227" i="95"/>
  <c r="N227" i="95"/>
  <c r="M227" i="95"/>
  <c r="L227" i="95"/>
  <c r="J227" i="95" s="1"/>
  <c r="D227" i="95" s="1"/>
  <c r="K227" i="95"/>
  <c r="E227" i="95" s="1"/>
  <c r="I227" i="95"/>
  <c r="C227" i="95" s="1"/>
  <c r="H227" i="95"/>
  <c r="B227" i="95" s="1"/>
  <c r="G227" i="95"/>
  <c r="F227" i="95"/>
  <c r="AH226" i="95"/>
  <c r="AB226" i="95"/>
  <c r="AC226" i="95" s="1"/>
  <c r="AA226" i="95"/>
  <c r="Z226" i="95"/>
  <c r="Y226" i="95"/>
  <c r="X226" i="95"/>
  <c r="W226" i="95"/>
  <c r="V226" i="95"/>
  <c r="U226" i="95"/>
  <c r="T226" i="95"/>
  <c r="S226" i="95"/>
  <c r="R226" i="95"/>
  <c r="Q226" i="95"/>
  <c r="P226" i="95"/>
  <c r="O226" i="95"/>
  <c r="M226" i="95" s="1"/>
  <c r="N226" i="95"/>
  <c r="L226" i="95"/>
  <c r="K226" i="95"/>
  <c r="E226" i="95" s="1"/>
  <c r="J226" i="95"/>
  <c r="D226" i="95" s="1"/>
  <c r="I226" i="95"/>
  <c r="H226" i="95"/>
  <c r="G226" i="95"/>
  <c r="F226" i="95"/>
  <c r="C226" i="95"/>
  <c r="A226" i="95" s="1"/>
  <c r="B226" i="95"/>
  <c r="AH225" i="95"/>
  <c r="AB225" i="95"/>
  <c r="AC225" i="95" s="1"/>
  <c r="AA225" i="95"/>
  <c r="Z225" i="95"/>
  <c r="Y225" i="95"/>
  <c r="X225" i="95"/>
  <c r="W225" i="95"/>
  <c r="V225" i="95"/>
  <c r="U225" i="95"/>
  <c r="T225" i="95"/>
  <c r="S225" i="95"/>
  <c r="R225" i="95"/>
  <c r="Q225" i="95"/>
  <c r="P225" i="95"/>
  <c r="O225" i="95"/>
  <c r="N225" i="95"/>
  <c r="M225" i="95"/>
  <c r="L225" i="95"/>
  <c r="J225" i="95" s="1"/>
  <c r="D225" i="95" s="1"/>
  <c r="K225" i="95"/>
  <c r="I225" i="95"/>
  <c r="C225" i="95" s="1"/>
  <c r="H225" i="95"/>
  <c r="B225" i="95" s="1"/>
  <c r="G225" i="95"/>
  <c r="F225" i="95"/>
  <c r="E225" i="95"/>
  <c r="AH224" i="95"/>
  <c r="AC224" i="95"/>
  <c r="AB224" i="95"/>
  <c r="AA224" i="95"/>
  <c r="Z224" i="95"/>
  <c r="Y224" i="95"/>
  <c r="X224" i="95"/>
  <c r="W224" i="95"/>
  <c r="V224" i="95"/>
  <c r="U224" i="95"/>
  <c r="T224" i="95"/>
  <c r="S224" i="95"/>
  <c r="R224" i="95"/>
  <c r="Q224" i="95"/>
  <c r="P224" i="95"/>
  <c r="O224" i="95"/>
  <c r="M224" i="95" s="1"/>
  <c r="N224" i="95"/>
  <c r="L224" i="95"/>
  <c r="J224" i="95" s="1"/>
  <c r="D224" i="95" s="1"/>
  <c r="K224" i="95"/>
  <c r="I224" i="95"/>
  <c r="H224" i="95"/>
  <c r="G224" i="95"/>
  <c r="F224" i="95"/>
  <c r="C224" i="95"/>
  <c r="B224" i="95"/>
  <c r="AH223" i="95"/>
  <c r="AC223" i="95"/>
  <c r="AB223" i="95"/>
  <c r="AA223" i="95"/>
  <c r="Z223" i="95"/>
  <c r="Y223" i="95"/>
  <c r="X223" i="95"/>
  <c r="W223" i="95"/>
  <c r="V223" i="95"/>
  <c r="U223" i="95"/>
  <c r="T223" i="95"/>
  <c r="S223" i="95"/>
  <c r="R223" i="95"/>
  <c r="Q223" i="95"/>
  <c r="P223" i="95"/>
  <c r="O223" i="95"/>
  <c r="M223" i="95" s="1"/>
  <c r="N223" i="95"/>
  <c r="L223" i="95"/>
  <c r="J223" i="95" s="1"/>
  <c r="D223" i="95" s="1"/>
  <c r="K223" i="95"/>
  <c r="E223" i="95" s="1"/>
  <c r="I223" i="95"/>
  <c r="C223" i="95" s="1"/>
  <c r="H223" i="95"/>
  <c r="B223" i="95" s="1"/>
  <c r="G223" i="95"/>
  <c r="F223" i="95"/>
  <c r="AH222" i="95"/>
  <c r="AB222" i="95"/>
  <c r="AC222" i="95" s="1"/>
  <c r="AA222" i="95"/>
  <c r="Z222" i="95"/>
  <c r="Y222" i="95"/>
  <c r="X222" i="95"/>
  <c r="W222" i="95"/>
  <c r="V222" i="95"/>
  <c r="U222" i="95"/>
  <c r="T222" i="95"/>
  <c r="S222" i="95"/>
  <c r="R222" i="95"/>
  <c r="Q222" i="95"/>
  <c r="P222" i="95"/>
  <c r="O222" i="95"/>
  <c r="M222" i="95" s="1"/>
  <c r="N222" i="95"/>
  <c r="L222" i="95"/>
  <c r="J222" i="95" s="1"/>
  <c r="D222" i="95" s="1"/>
  <c r="K222" i="95"/>
  <c r="E222" i="95" s="1"/>
  <c r="I222" i="95"/>
  <c r="H222" i="95"/>
  <c r="G222" i="95"/>
  <c r="F222" i="95"/>
  <c r="C222" i="95"/>
  <c r="B222" i="95"/>
  <c r="AH221" i="95"/>
  <c r="AB221" i="95"/>
  <c r="AC221" i="95" s="1"/>
  <c r="AA221" i="95"/>
  <c r="Z221" i="95"/>
  <c r="Y221" i="95"/>
  <c r="X221" i="95"/>
  <c r="W221" i="95"/>
  <c r="V221" i="95"/>
  <c r="U221" i="95"/>
  <c r="T221" i="95"/>
  <c r="S221" i="95"/>
  <c r="R221" i="95"/>
  <c r="Q221" i="95"/>
  <c r="P221" i="95"/>
  <c r="O221" i="95"/>
  <c r="M221" i="95" s="1"/>
  <c r="N221" i="95"/>
  <c r="L221" i="95"/>
  <c r="J221" i="95" s="1"/>
  <c r="D221" i="95" s="1"/>
  <c r="K221" i="95"/>
  <c r="I221" i="95"/>
  <c r="C221" i="95" s="1"/>
  <c r="H221" i="95"/>
  <c r="B221" i="95" s="1"/>
  <c r="G221" i="95"/>
  <c r="F221" i="95"/>
  <c r="E221" i="95"/>
  <c r="AH220" i="95"/>
  <c r="AC220" i="95"/>
  <c r="AB220" i="95"/>
  <c r="AA220" i="95"/>
  <c r="Z220" i="95"/>
  <c r="Y220" i="95"/>
  <c r="X220" i="95"/>
  <c r="W220" i="95"/>
  <c r="V220" i="95"/>
  <c r="U220" i="95"/>
  <c r="T220" i="95"/>
  <c r="S220" i="95"/>
  <c r="R220" i="95"/>
  <c r="Q220" i="95"/>
  <c r="P220" i="95"/>
  <c r="O220" i="95"/>
  <c r="M220" i="95" s="1"/>
  <c r="N220" i="95"/>
  <c r="L220" i="95"/>
  <c r="K220" i="95"/>
  <c r="J220" i="95"/>
  <c r="D220" i="95" s="1"/>
  <c r="I220" i="95"/>
  <c r="H220" i="95"/>
  <c r="G220" i="95"/>
  <c r="F220" i="95"/>
  <c r="C220" i="95"/>
  <c r="B220" i="95"/>
  <c r="AH219" i="95"/>
  <c r="AC219" i="95"/>
  <c r="AB219" i="95"/>
  <c r="AA219" i="95"/>
  <c r="Z219" i="95"/>
  <c r="Y219" i="95"/>
  <c r="X219" i="95"/>
  <c r="W219" i="95"/>
  <c r="V219" i="95"/>
  <c r="U219" i="95"/>
  <c r="T219" i="95"/>
  <c r="S219" i="95"/>
  <c r="R219" i="95"/>
  <c r="Q219" i="95"/>
  <c r="O219" i="95"/>
  <c r="M219" i="95" s="1"/>
  <c r="N219" i="95"/>
  <c r="L219" i="95"/>
  <c r="J219" i="95" s="1"/>
  <c r="D219" i="95" s="1"/>
  <c r="K219" i="95"/>
  <c r="E219" i="95" s="1"/>
  <c r="I219" i="95"/>
  <c r="H219" i="95"/>
  <c r="B219" i="95" s="1"/>
  <c r="G219" i="95"/>
  <c r="F219" i="95"/>
  <c r="C219" i="95"/>
  <c r="AH218" i="95"/>
  <c r="AB218" i="95"/>
  <c r="AC218" i="95" s="1"/>
  <c r="AA218" i="95"/>
  <c r="Z218" i="95"/>
  <c r="Y218" i="95"/>
  <c r="X218" i="95"/>
  <c r="W218" i="95"/>
  <c r="V218" i="95"/>
  <c r="U218" i="95"/>
  <c r="T218" i="95"/>
  <c r="S218" i="95"/>
  <c r="R218" i="95"/>
  <c r="Q218" i="95"/>
  <c r="P218" i="95"/>
  <c r="O218" i="95"/>
  <c r="N218" i="95"/>
  <c r="M218" i="95"/>
  <c r="L218" i="95"/>
  <c r="J218" i="95" s="1"/>
  <c r="D218" i="95" s="1"/>
  <c r="K218" i="95"/>
  <c r="I218" i="95"/>
  <c r="C218" i="95" s="1"/>
  <c r="H218" i="95"/>
  <c r="G218" i="95"/>
  <c r="F218" i="95"/>
  <c r="E218" i="95"/>
  <c r="B218" i="95"/>
  <c r="AH217" i="95"/>
  <c r="AB217" i="95"/>
  <c r="AC217" i="95" s="1"/>
  <c r="AA217" i="95"/>
  <c r="Z217" i="95"/>
  <c r="Y217" i="95"/>
  <c r="X217" i="95"/>
  <c r="W217" i="95"/>
  <c r="V217" i="95"/>
  <c r="U217" i="95"/>
  <c r="T217" i="95"/>
  <c r="S217" i="95"/>
  <c r="R217" i="95"/>
  <c r="Q217" i="95"/>
  <c r="P217" i="95"/>
  <c r="O217" i="95"/>
  <c r="M217" i="95" s="1"/>
  <c r="N217" i="95"/>
  <c r="L217" i="95"/>
  <c r="J217" i="95" s="1"/>
  <c r="D217" i="95" s="1"/>
  <c r="K217" i="95"/>
  <c r="E217" i="95" s="1"/>
  <c r="I217" i="95"/>
  <c r="H217" i="95"/>
  <c r="B217" i="95" s="1"/>
  <c r="G217" i="95"/>
  <c r="F217" i="95"/>
  <c r="C217" i="95"/>
  <c r="AH216" i="95"/>
  <c r="AB216" i="95"/>
  <c r="AC216" i="95" s="1"/>
  <c r="AA216" i="95"/>
  <c r="Z216" i="95"/>
  <c r="Y216" i="95"/>
  <c r="X216" i="95"/>
  <c r="W216" i="95"/>
  <c r="V216" i="95"/>
  <c r="U216" i="95"/>
  <c r="T216" i="95"/>
  <c r="S216" i="95"/>
  <c r="R216" i="95"/>
  <c r="Q216" i="95"/>
  <c r="P216" i="95"/>
  <c r="O216" i="95"/>
  <c r="N216" i="95"/>
  <c r="M216" i="95"/>
  <c r="L216" i="95"/>
  <c r="K216" i="95"/>
  <c r="J216" i="95"/>
  <c r="D216" i="95" s="1"/>
  <c r="I216" i="95"/>
  <c r="C216" i="95" s="1"/>
  <c r="H216" i="95"/>
  <c r="G216" i="95"/>
  <c r="F216" i="95"/>
  <c r="E216" i="95"/>
  <c r="B216" i="95"/>
  <c r="AH215" i="95"/>
  <c r="AB215" i="95"/>
  <c r="AC215" i="95" s="1"/>
  <c r="AA215" i="95"/>
  <c r="Z215" i="95"/>
  <c r="Y215" i="95"/>
  <c r="X215" i="95"/>
  <c r="W215" i="95"/>
  <c r="V215" i="95"/>
  <c r="U215" i="95"/>
  <c r="T215" i="95"/>
  <c r="S215" i="95"/>
  <c r="R215" i="95"/>
  <c r="Q215" i="95"/>
  <c r="P215" i="95"/>
  <c r="O215" i="95"/>
  <c r="M215" i="95" s="1"/>
  <c r="N215" i="95"/>
  <c r="L215" i="95"/>
  <c r="J215" i="95" s="1"/>
  <c r="K215" i="95"/>
  <c r="I215" i="95"/>
  <c r="C215" i="95" s="1"/>
  <c r="H215" i="95"/>
  <c r="B215" i="95" s="1"/>
  <c r="G215" i="95"/>
  <c r="F215" i="95"/>
  <c r="D215" i="95"/>
  <c r="AH214" i="95"/>
  <c r="AB214" i="95"/>
  <c r="AC214" i="95" s="1"/>
  <c r="AA214" i="95"/>
  <c r="Z214" i="95"/>
  <c r="Y214" i="95"/>
  <c r="X214" i="95"/>
  <c r="W214" i="95"/>
  <c r="V214" i="95"/>
  <c r="U214" i="95"/>
  <c r="T214" i="95"/>
  <c r="S214" i="95"/>
  <c r="R214" i="95"/>
  <c r="Q214" i="95"/>
  <c r="P214" i="95"/>
  <c r="O214" i="95"/>
  <c r="M214" i="95" s="1"/>
  <c r="N214" i="95"/>
  <c r="L214" i="95"/>
  <c r="J214" i="95" s="1"/>
  <c r="D214" i="95" s="1"/>
  <c r="K214" i="95"/>
  <c r="I214" i="95"/>
  <c r="C214" i="95" s="1"/>
  <c r="H214" i="95"/>
  <c r="G214" i="95"/>
  <c r="F214" i="95"/>
  <c r="B214" i="95"/>
  <c r="AH213" i="95"/>
  <c r="AB213" i="95"/>
  <c r="AC213" i="95" s="1"/>
  <c r="AA213" i="95"/>
  <c r="Z213" i="95"/>
  <c r="Y213" i="95"/>
  <c r="X213" i="95"/>
  <c r="W213" i="95"/>
  <c r="V213" i="95"/>
  <c r="U213" i="95"/>
  <c r="T213" i="95"/>
  <c r="S213" i="95"/>
  <c r="R213" i="95"/>
  <c r="Q213" i="95"/>
  <c r="P213" i="95"/>
  <c r="O213" i="95"/>
  <c r="M213" i="95" s="1"/>
  <c r="N213" i="95"/>
  <c r="L213" i="95"/>
  <c r="J213" i="95" s="1"/>
  <c r="D213" i="95" s="1"/>
  <c r="K213" i="95"/>
  <c r="I213" i="95"/>
  <c r="H213" i="95"/>
  <c r="B213" i="95" s="1"/>
  <c r="G213" i="95"/>
  <c r="F213" i="95"/>
  <c r="C213" i="95"/>
  <c r="AH212" i="95"/>
  <c r="AB212" i="95"/>
  <c r="AC212" i="95" s="1"/>
  <c r="AA212" i="95"/>
  <c r="Z212" i="95"/>
  <c r="Y212" i="95"/>
  <c r="X212" i="95"/>
  <c r="W212" i="95"/>
  <c r="V212" i="95"/>
  <c r="U212" i="95"/>
  <c r="T212" i="95"/>
  <c r="S212" i="95"/>
  <c r="R212" i="95"/>
  <c r="Q212" i="95"/>
  <c r="P212" i="95"/>
  <c r="O212" i="95"/>
  <c r="N212" i="95"/>
  <c r="M212" i="95"/>
  <c r="L212" i="95"/>
  <c r="J212" i="95" s="1"/>
  <c r="D212" i="95" s="1"/>
  <c r="K212" i="95"/>
  <c r="I212" i="95"/>
  <c r="C212" i="95" s="1"/>
  <c r="H212" i="95"/>
  <c r="B212" i="95" s="1"/>
  <c r="A212" i="95" s="1"/>
  <c r="G212" i="95"/>
  <c r="F212" i="95"/>
  <c r="E212" i="95"/>
  <c r="AH211" i="95"/>
  <c r="AB211" i="95"/>
  <c r="AC211" i="95" s="1"/>
  <c r="AA211" i="95"/>
  <c r="Z211" i="95"/>
  <c r="Y211" i="95"/>
  <c r="X211" i="95"/>
  <c r="W211" i="95"/>
  <c r="V211" i="95"/>
  <c r="U211" i="95"/>
  <c r="T211" i="95"/>
  <c r="S211" i="95"/>
  <c r="R211" i="95"/>
  <c r="Q211" i="95"/>
  <c r="P211" i="95"/>
  <c r="O211" i="95"/>
  <c r="M211" i="95" s="1"/>
  <c r="N211" i="95"/>
  <c r="L211" i="95"/>
  <c r="J211" i="95" s="1"/>
  <c r="K211" i="95"/>
  <c r="E211" i="95" s="1"/>
  <c r="I211" i="95"/>
  <c r="H211" i="95"/>
  <c r="B211" i="95" s="1"/>
  <c r="G211" i="95"/>
  <c r="F211" i="95"/>
  <c r="D211" i="95"/>
  <c r="C211" i="95"/>
  <c r="AH210" i="95"/>
  <c r="AB210" i="95"/>
  <c r="AC210" i="95" s="1"/>
  <c r="AA210" i="95"/>
  <c r="Z210" i="95"/>
  <c r="Y210" i="95"/>
  <c r="X210" i="95"/>
  <c r="W210" i="95"/>
  <c r="V210" i="95"/>
  <c r="U210" i="95"/>
  <c r="T210" i="95"/>
  <c r="S210" i="95"/>
  <c r="R210" i="95"/>
  <c r="Q210" i="95"/>
  <c r="P210" i="95"/>
  <c r="O210" i="95"/>
  <c r="M210" i="95" s="1"/>
  <c r="N210" i="95"/>
  <c r="L210" i="95"/>
  <c r="K210" i="95"/>
  <c r="E210" i="95" s="1"/>
  <c r="J210" i="95"/>
  <c r="D210" i="95" s="1"/>
  <c r="I210" i="95"/>
  <c r="C210" i="95" s="1"/>
  <c r="H210" i="95"/>
  <c r="G210" i="95"/>
  <c r="F210" i="95"/>
  <c r="B210" i="95"/>
  <c r="AH209" i="95"/>
  <c r="AB209" i="95"/>
  <c r="AC209" i="95" s="1"/>
  <c r="AA209" i="95"/>
  <c r="Z209" i="95"/>
  <c r="Y209" i="95"/>
  <c r="X209" i="95"/>
  <c r="W209" i="95"/>
  <c r="V209" i="95"/>
  <c r="U209" i="95"/>
  <c r="T209" i="95"/>
  <c r="S209" i="95"/>
  <c r="R209" i="95"/>
  <c r="Q209" i="95"/>
  <c r="P209" i="95"/>
  <c r="O209" i="95"/>
  <c r="M209" i="95" s="1"/>
  <c r="N209" i="95"/>
  <c r="L209" i="95"/>
  <c r="J209" i="95" s="1"/>
  <c r="D209" i="95" s="1"/>
  <c r="K209" i="95"/>
  <c r="E209" i="95" s="1"/>
  <c r="I209" i="95"/>
  <c r="H209" i="95"/>
  <c r="B209" i="95" s="1"/>
  <c r="G209" i="95"/>
  <c r="F209" i="95"/>
  <c r="C209" i="95"/>
  <c r="AH208" i="95"/>
  <c r="AB208" i="95"/>
  <c r="AC208" i="95" s="1"/>
  <c r="AA208" i="95"/>
  <c r="Z208" i="95"/>
  <c r="Y208" i="95"/>
  <c r="X208" i="95"/>
  <c r="W208" i="95"/>
  <c r="V208" i="95"/>
  <c r="U208" i="95"/>
  <c r="T208" i="95"/>
  <c r="S208" i="95"/>
  <c r="R208" i="95"/>
  <c r="Q208" i="95"/>
  <c r="P208" i="95"/>
  <c r="O208" i="95"/>
  <c r="M208" i="95" s="1"/>
  <c r="N208" i="95"/>
  <c r="L208" i="95"/>
  <c r="J208" i="95" s="1"/>
  <c r="D208" i="95" s="1"/>
  <c r="K208" i="95"/>
  <c r="I208" i="95"/>
  <c r="C208" i="95" s="1"/>
  <c r="H208" i="95"/>
  <c r="G208" i="95"/>
  <c r="F208" i="95"/>
  <c r="B208" i="95"/>
  <c r="AH207" i="95"/>
  <c r="AB207" i="95"/>
  <c r="AC207" i="95" s="1"/>
  <c r="AA207" i="95"/>
  <c r="Z207" i="95"/>
  <c r="Y207" i="95"/>
  <c r="X207" i="95"/>
  <c r="W207" i="95"/>
  <c r="V207" i="95"/>
  <c r="U207" i="95"/>
  <c r="T207" i="95"/>
  <c r="S207" i="95"/>
  <c r="R207" i="95"/>
  <c r="Q207" i="95"/>
  <c r="P207" i="95"/>
  <c r="O207" i="95"/>
  <c r="M207" i="95" s="1"/>
  <c r="N207" i="95"/>
  <c r="L207" i="95"/>
  <c r="J207" i="95" s="1"/>
  <c r="D207" i="95" s="1"/>
  <c r="K207" i="95"/>
  <c r="I207" i="95"/>
  <c r="C207" i="95" s="1"/>
  <c r="H207" i="95"/>
  <c r="B207" i="95" s="1"/>
  <c r="G207" i="95"/>
  <c r="F207" i="95"/>
  <c r="AH206" i="95"/>
  <c r="AB206" i="95"/>
  <c r="AC206" i="95" s="1"/>
  <c r="AA206" i="95"/>
  <c r="Z206" i="95"/>
  <c r="Y206" i="95"/>
  <c r="X206" i="95"/>
  <c r="W206" i="95"/>
  <c r="V206" i="95"/>
  <c r="U206" i="95"/>
  <c r="T206" i="95"/>
  <c r="S206" i="95"/>
  <c r="R206" i="95"/>
  <c r="Q206" i="95"/>
  <c r="P206" i="95"/>
  <c r="O206" i="95"/>
  <c r="N206" i="95"/>
  <c r="M206" i="95"/>
  <c r="L206" i="95"/>
  <c r="K206" i="95"/>
  <c r="J206" i="95"/>
  <c r="D206" i="95" s="1"/>
  <c r="I206" i="95"/>
  <c r="C206" i="95" s="1"/>
  <c r="H206" i="95"/>
  <c r="G206" i="95"/>
  <c r="F206" i="95"/>
  <c r="E206" i="95"/>
  <c r="B206" i="95"/>
  <c r="AH205" i="95"/>
  <c r="AB205" i="95"/>
  <c r="AC205" i="95" s="1"/>
  <c r="AA205" i="95"/>
  <c r="Z205" i="95"/>
  <c r="Y205" i="95"/>
  <c r="X205" i="95"/>
  <c r="W205" i="95"/>
  <c r="V205" i="95"/>
  <c r="U205" i="95"/>
  <c r="T205" i="95"/>
  <c r="S205" i="95"/>
  <c r="R205" i="95"/>
  <c r="Q205" i="95"/>
  <c r="P205" i="95"/>
  <c r="O205" i="95"/>
  <c r="M205" i="95" s="1"/>
  <c r="N205" i="95"/>
  <c r="L205" i="95"/>
  <c r="J205" i="95" s="1"/>
  <c r="D205" i="95" s="1"/>
  <c r="K205" i="95"/>
  <c r="I205" i="95"/>
  <c r="H205" i="95"/>
  <c r="B205" i="95" s="1"/>
  <c r="G205" i="95"/>
  <c r="F205" i="95"/>
  <c r="C205" i="95"/>
  <c r="AH204" i="95"/>
  <c r="AB204" i="95"/>
  <c r="AC204" i="95" s="1"/>
  <c r="AA204" i="95"/>
  <c r="Z204" i="95"/>
  <c r="Y204" i="95"/>
  <c r="X204" i="95"/>
  <c r="W204" i="95"/>
  <c r="V204" i="95"/>
  <c r="U204" i="95"/>
  <c r="T204" i="95"/>
  <c r="S204" i="95"/>
  <c r="R204" i="95"/>
  <c r="Q204" i="95"/>
  <c r="P204" i="95"/>
  <c r="O204" i="95"/>
  <c r="M204" i="95" s="1"/>
  <c r="N204" i="95"/>
  <c r="L204" i="95"/>
  <c r="K204" i="95"/>
  <c r="E204" i="95" s="1"/>
  <c r="J204" i="95"/>
  <c r="D204" i="95" s="1"/>
  <c r="I204" i="95"/>
  <c r="C204" i="95" s="1"/>
  <c r="H204" i="95"/>
  <c r="G204" i="95"/>
  <c r="F204" i="95"/>
  <c r="B204" i="95"/>
  <c r="AH203" i="95"/>
  <c r="AB203" i="95"/>
  <c r="AC203" i="95" s="1"/>
  <c r="AA203" i="95"/>
  <c r="Z203" i="95"/>
  <c r="Y203" i="95"/>
  <c r="X203" i="95"/>
  <c r="W203" i="95"/>
  <c r="V203" i="95"/>
  <c r="U203" i="95"/>
  <c r="T203" i="95"/>
  <c r="S203" i="95"/>
  <c r="R203" i="95"/>
  <c r="Q203" i="95"/>
  <c r="P203" i="95"/>
  <c r="O203" i="95"/>
  <c r="M203" i="95" s="1"/>
  <c r="N203" i="95"/>
  <c r="L203" i="95"/>
  <c r="J203" i="95" s="1"/>
  <c r="D203" i="95" s="1"/>
  <c r="K203" i="95"/>
  <c r="E203" i="95" s="1"/>
  <c r="I203" i="95"/>
  <c r="H203" i="95"/>
  <c r="B203" i="95" s="1"/>
  <c r="G203" i="95"/>
  <c r="F203" i="95"/>
  <c r="C203" i="95"/>
  <c r="AH202" i="95"/>
  <c r="AB202" i="95"/>
  <c r="AC202" i="95" s="1"/>
  <c r="AA202" i="95"/>
  <c r="Z202" i="95"/>
  <c r="Y202" i="95"/>
  <c r="X202" i="95"/>
  <c r="W202" i="95"/>
  <c r="V202" i="95"/>
  <c r="U202" i="95"/>
  <c r="T202" i="95"/>
  <c r="S202" i="95"/>
  <c r="R202" i="95"/>
  <c r="Q202" i="95"/>
  <c r="P202" i="95"/>
  <c r="O202" i="95"/>
  <c r="N202" i="95"/>
  <c r="M202" i="95"/>
  <c r="L202" i="95"/>
  <c r="J202" i="95" s="1"/>
  <c r="D202" i="95" s="1"/>
  <c r="K202" i="95"/>
  <c r="I202" i="95"/>
  <c r="C202" i="95" s="1"/>
  <c r="H202" i="95"/>
  <c r="G202" i="95"/>
  <c r="F202" i="95"/>
  <c r="E202" i="95"/>
  <c r="B202" i="95"/>
  <c r="AH201" i="95"/>
  <c r="AB201" i="95"/>
  <c r="AC201" i="95" s="1"/>
  <c r="AA201" i="95"/>
  <c r="Z201" i="95"/>
  <c r="Y201" i="95"/>
  <c r="X201" i="95"/>
  <c r="W201" i="95"/>
  <c r="V201" i="95"/>
  <c r="U201" i="95"/>
  <c r="T201" i="95"/>
  <c r="S201" i="95"/>
  <c r="R201" i="95"/>
  <c r="Q201" i="95"/>
  <c r="P201" i="95"/>
  <c r="O201" i="95"/>
  <c r="M201" i="95" s="1"/>
  <c r="N201" i="95"/>
  <c r="L201" i="95"/>
  <c r="J201" i="95" s="1"/>
  <c r="D201" i="95" s="1"/>
  <c r="K201" i="95"/>
  <c r="E201" i="95" s="1"/>
  <c r="I201" i="95"/>
  <c r="H201" i="95"/>
  <c r="B201" i="95" s="1"/>
  <c r="G201" i="95"/>
  <c r="F201" i="95"/>
  <c r="C201" i="95"/>
  <c r="AH200" i="95"/>
  <c r="AB200" i="95"/>
  <c r="AC200" i="95" s="1"/>
  <c r="AA200" i="95"/>
  <c r="Z200" i="95"/>
  <c r="Y200" i="95"/>
  <c r="X200" i="95"/>
  <c r="W200" i="95"/>
  <c r="V200" i="95"/>
  <c r="U200" i="95"/>
  <c r="T200" i="95"/>
  <c r="S200" i="95"/>
  <c r="R200" i="95"/>
  <c r="Q200" i="95"/>
  <c r="P200" i="95"/>
  <c r="O200" i="95"/>
  <c r="N200" i="95"/>
  <c r="M200" i="95"/>
  <c r="L200" i="95"/>
  <c r="K200" i="95"/>
  <c r="J200" i="95"/>
  <c r="D200" i="95" s="1"/>
  <c r="I200" i="95"/>
  <c r="C200" i="95" s="1"/>
  <c r="H200" i="95"/>
  <c r="G200" i="95"/>
  <c r="F200" i="95"/>
  <c r="E200" i="95"/>
  <c r="B200" i="95"/>
  <c r="AH199" i="95"/>
  <c r="AB199" i="95"/>
  <c r="AC199" i="95" s="1"/>
  <c r="AA199" i="95"/>
  <c r="Z199" i="95"/>
  <c r="Y199" i="95"/>
  <c r="X199" i="95"/>
  <c r="W199" i="95"/>
  <c r="V199" i="95"/>
  <c r="U199" i="95"/>
  <c r="T199" i="95"/>
  <c r="S199" i="95"/>
  <c r="R199" i="95"/>
  <c r="Q199" i="95"/>
  <c r="P199" i="95"/>
  <c r="O199" i="95"/>
  <c r="M199" i="95" s="1"/>
  <c r="N199" i="95"/>
  <c r="L199" i="95"/>
  <c r="J199" i="95" s="1"/>
  <c r="K199" i="95"/>
  <c r="I199" i="95"/>
  <c r="C199" i="95" s="1"/>
  <c r="H199" i="95"/>
  <c r="B199" i="95" s="1"/>
  <c r="G199" i="95"/>
  <c r="F199" i="95"/>
  <c r="D199" i="95"/>
  <c r="AH198" i="95"/>
  <c r="AB198" i="95"/>
  <c r="AC198" i="95" s="1"/>
  <c r="AA198" i="95"/>
  <c r="Z198" i="95"/>
  <c r="Y198" i="95"/>
  <c r="X198" i="95"/>
  <c r="W198" i="95"/>
  <c r="V198" i="95"/>
  <c r="U198" i="95"/>
  <c r="T198" i="95"/>
  <c r="S198" i="95"/>
  <c r="R198" i="95"/>
  <c r="Q198" i="95"/>
  <c r="P198" i="95"/>
  <c r="O198" i="95"/>
  <c r="M198" i="95" s="1"/>
  <c r="N198" i="95"/>
  <c r="L198" i="95"/>
  <c r="J198" i="95" s="1"/>
  <c r="D198" i="95" s="1"/>
  <c r="K198" i="95"/>
  <c r="I198" i="95"/>
  <c r="C198" i="95" s="1"/>
  <c r="H198" i="95"/>
  <c r="G198" i="95"/>
  <c r="F198" i="95"/>
  <c r="E198" i="95"/>
  <c r="B198" i="95"/>
  <c r="AH197" i="95"/>
  <c r="AB197" i="95"/>
  <c r="AC197" i="95" s="1"/>
  <c r="AA197" i="95"/>
  <c r="Z197" i="95"/>
  <c r="Y197" i="95"/>
  <c r="X197" i="95"/>
  <c r="W197" i="95"/>
  <c r="V197" i="95"/>
  <c r="U197" i="95"/>
  <c r="T197" i="95"/>
  <c r="S197" i="95"/>
  <c r="R197" i="95"/>
  <c r="Q197" i="95"/>
  <c r="P197" i="95"/>
  <c r="O197" i="95"/>
  <c r="M197" i="95" s="1"/>
  <c r="N197" i="95"/>
  <c r="L197" i="95"/>
  <c r="J197" i="95" s="1"/>
  <c r="D197" i="95" s="1"/>
  <c r="K197" i="95"/>
  <c r="I197" i="95"/>
  <c r="H197" i="95"/>
  <c r="B197" i="95" s="1"/>
  <c r="G197" i="95"/>
  <c r="F197" i="95"/>
  <c r="C197" i="95"/>
  <c r="AH196" i="95"/>
  <c r="AB196" i="95"/>
  <c r="AC196" i="95" s="1"/>
  <c r="AA196" i="95"/>
  <c r="Z196" i="95"/>
  <c r="Y196" i="95"/>
  <c r="X196" i="95"/>
  <c r="W196" i="95"/>
  <c r="V196" i="95"/>
  <c r="U196" i="95"/>
  <c r="T196" i="95"/>
  <c r="S196" i="95"/>
  <c r="R196" i="95"/>
  <c r="Q196" i="95"/>
  <c r="P196" i="95"/>
  <c r="O196" i="95"/>
  <c r="N196" i="95"/>
  <c r="M196" i="95"/>
  <c r="L196" i="95"/>
  <c r="K196" i="95"/>
  <c r="J196" i="95"/>
  <c r="D196" i="95" s="1"/>
  <c r="I196" i="95"/>
  <c r="C196" i="95" s="1"/>
  <c r="H196" i="95"/>
  <c r="G196" i="95"/>
  <c r="F196" i="95"/>
  <c r="E196" i="95"/>
  <c r="B196" i="95"/>
  <c r="AH195" i="95"/>
  <c r="AB195" i="95"/>
  <c r="AC195" i="95" s="1"/>
  <c r="AA195" i="95"/>
  <c r="Z195" i="95"/>
  <c r="Y195" i="95"/>
  <c r="X195" i="95"/>
  <c r="W195" i="95"/>
  <c r="V195" i="95"/>
  <c r="U195" i="95"/>
  <c r="T195" i="95"/>
  <c r="S195" i="95"/>
  <c r="R195" i="95"/>
  <c r="Q195" i="95"/>
  <c r="P195" i="95"/>
  <c r="O195" i="95"/>
  <c r="M195" i="95" s="1"/>
  <c r="N195" i="95"/>
  <c r="L195" i="95"/>
  <c r="J195" i="95" s="1"/>
  <c r="K195" i="95"/>
  <c r="E195" i="95" s="1"/>
  <c r="I195" i="95"/>
  <c r="H195" i="95"/>
  <c r="B195" i="95" s="1"/>
  <c r="G195" i="95"/>
  <c r="F195" i="95"/>
  <c r="D195" i="95"/>
  <c r="C195" i="95"/>
  <c r="AH194" i="95"/>
  <c r="AB194" i="95"/>
  <c r="AC194" i="95" s="1"/>
  <c r="AA194" i="95"/>
  <c r="Z194" i="95"/>
  <c r="Y194" i="95"/>
  <c r="X194" i="95"/>
  <c r="W194" i="95"/>
  <c r="V194" i="95"/>
  <c r="U194" i="95"/>
  <c r="T194" i="95"/>
  <c r="S194" i="95"/>
  <c r="R194" i="95"/>
  <c r="Q194" i="95"/>
  <c r="P194" i="95"/>
  <c r="O194" i="95"/>
  <c r="M194" i="95" s="1"/>
  <c r="N194" i="95"/>
  <c r="L194" i="95"/>
  <c r="J194" i="95" s="1"/>
  <c r="D194" i="95" s="1"/>
  <c r="K194" i="95"/>
  <c r="E194" i="95" s="1"/>
  <c r="I194" i="95"/>
  <c r="C194" i="95" s="1"/>
  <c r="H194" i="95"/>
  <c r="G194" i="95"/>
  <c r="F194" i="95"/>
  <c r="B194" i="95"/>
  <c r="AH193" i="95"/>
  <c r="AB193" i="95"/>
  <c r="AC193" i="95" s="1"/>
  <c r="AA193" i="95"/>
  <c r="Z193" i="95"/>
  <c r="Y193" i="95"/>
  <c r="X193" i="95"/>
  <c r="W193" i="95"/>
  <c r="V193" i="95"/>
  <c r="U193" i="95"/>
  <c r="T193" i="95"/>
  <c r="S193" i="95"/>
  <c r="R193" i="95"/>
  <c r="Q193" i="95"/>
  <c r="P193" i="95"/>
  <c r="O193" i="95"/>
  <c r="M193" i="95" s="1"/>
  <c r="N193" i="95"/>
  <c r="L193" i="95"/>
  <c r="J193" i="95" s="1"/>
  <c r="D193" i="95" s="1"/>
  <c r="K193" i="95"/>
  <c r="E193" i="95" s="1"/>
  <c r="I193" i="95"/>
  <c r="H193" i="95"/>
  <c r="B193" i="95" s="1"/>
  <c r="G193" i="95"/>
  <c r="F193" i="95"/>
  <c r="C193" i="95"/>
  <c r="AH192" i="95"/>
  <c r="AB192" i="95"/>
  <c r="AC192" i="95" s="1"/>
  <c r="AA192" i="95"/>
  <c r="Z192" i="95"/>
  <c r="Y192" i="95"/>
  <c r="X192" i="95"/>
  <c r="W192" i="95"/>
  <c r="V192" i="95"/>
  <c r="U192" i="95"/>
  <c r="T192" i="95"/>
  <c r="S192" i="95"/>
  <c r="R192" i="95"/>
  <c r="Q192" i="95"/>
  <c r="P192" i="95"/>
  <c r="O192" i="95"/>
  <c r="M192" i="95" s="1"/>
  <c r="N192" i="95"/>
  <c r="L192" i="95"/>
  <c r="J192" i="95" s="1"/>
  <c r="D192" i="95" s="1"/>
  <c r="K192" i="95"/>
  <c r="E192" i="95" s="1"/>
  <c r="I192" i="95"/>
  <c r="C192" i="95" s="1"/>
  <c r="H192" i="95"/>
  <c r="G192" i="95"/>
  <c r="F192" i="95"/>
  <c r="B192" i="95"/>
  <c r="AH191" i="95"/>
  <c r="AB191" i="95"/>
  <c r="AC191" i="95" s="1"/>
  <c r="AA191" i="95"/>
  <c r="Z191" i="95"/>
  <c r="Y191" i="95"/>
  <c r="X191" i="95"/>
  <c r="W191" i="95"/>
  <c r="V191" i="95"/>
  <c r="U191" i="95"/>
  <c r="T191" i="95"/>
  <c r="S191" i="95"/>
  <c r="R191" i="95"/>
  <c r="Q191" i="95"/>
  <c r="P191" i="95"/>
  <c r="O191" i="95"/>
  <c r="M191" i="95" s="1"/>
  <c r="N191" i="95"/>
  <c r="L191" i="95"/>
  <c r="J191" i="95" s="1"/>
  <c r="D191" i="95" s="1"/>
  <c r="K191" i="95"/>
  <c r="I191" i="95"/>
  <c r="H191" i="95"/>
  <c r="B191" i="95" s="1"/>
  <c r="G191" i="95"/>
  <c r="F191" i="95"/>
  <c r="C191" i="95"/>
  <c r="AH190" i="95"/>
  <c r="AB190" i="95"/>
  <c r="AC190" i="95" s="1"/>
  <c r="AA190" i="95"/>
  <c r="Z190" i="95"/>
  <c r="Y190" i="95"/>
  <c r="X190" i="95"/>
  <c r="W190" i="95"/>
  <c r="V190" i="95"/>
  <c r="U190" i="95"/>
  <c r="T190" i="95"/>
  <c r="S190" i="95"/>
  <c r="R190" i="95"/>
  <c r="Q190" i="95"/>
  <c r="P190" i="95"/>
  <c r="O190" i="95"/>
  <c r="N190" i="95"/>
  <c r="M190" i="95"/>
  <c r="L190" i="95"/>
  <c r="K190" i="95"/>
  <c r="J190" i="95"/>
  <c r="D190" i="95" s="1"/>
  <c r="I190" i="95"/>
  <c r="C190" i="95" s="1"/>
  <c r="H190" i="95"/>
  <c r="G190" i="95"/>
  <c r="F190" i="95"/>
  <c r="E190" i="95"/>
  <c r="B190" i="95"/>
  <c r="AH189" i="95"/>
  <c r="AB189" i="95"/>
  <c r="AC189" i="95" s="1"/>
  <c r="AA189" i="95"/>
  <c r="Z189" i="95"/>
  <c r="Y189" i="95"/>
  <c r="X189" i="95"/>
  <c r="W189" i="95"/>
  <c r="V189" i="95"/>
  <c r="U189" i="95"/>
  <c r="T189" i="95"/>
  <c r="S189" i="95"/>
  <c r="R189" i="95"/>
  <c r="Q189" i="95"/>
  <c r="P189" i="95"/>
  <c r="O189" i="95"/>
  <c r="M189" i="95" s="1"/>
  <c r="N189" i="95"/>
  <c r="L189" i="95"/>
  <c r="J189" i="95" s="1"/>
  <c r="D189" i="95" s="1"/>
  <c r="K189" i="95"/>
  <c r="E189" i="95" s="1"/>
  <c r="I189" i="95"/>
  <c r="H189" i="95"/>
  <c r="B189" i="95" s="1"/>
  <c r="G189" i="95"/>
  <c r="F189" i="95"/>
  <c r="C189" i="95"/>
  <c r="AH188" i="95"/>
  <c r="AB188" i="95"/>
  <c r="AC188" i="95" s="1"/>
  <c r="AA188" i="95"/>
  <c r="Z188" i="95"/>
  <c r="Y188" i="95"/>
  <c r="X188" i="95"/>
  <c r="W188" i="95"/>
  <c r="V188" i="95"/>
  <c r="U188" i="95"/>
  <c r="T188" i="95"/>
  <c r="S188" i="95"/>
  <c r="R188" i="95"/>
  <c r="Q188" i="95"/>
  <c r="P188" i="95"/>
  <c r="O188" i="95"/>
  <c r="M188" i="95" s="1"/>
  <c r="N188" i="95"/>
  <c r="L188" i="95"/>
  <c r="J188" i="95" s="1"/>
  <c r="D188" i="95" s="1"/>
  <c r="K188" i="95"/>
  <c r="I188" i="95"/>
  <c r="C188" i="95" s="1"/>
  <c r="H188" i="95"/>
  <c r="B188" i="95" s="1"/>
  <c r="G188" i="95"/>
  <c r="F188" i="95"/>
  <c r="AH187" i="95"/>
  <c r="AB187" i="95"/>
  <c r="AC187" i="95" s="1"/>
  <c r="AA187" i="95"/>
  <c r="Z187" i="95"/>
  <c r="Y187" i="95"/>
  <c r="X187" i="95"/>
  <c r="W187" i="95"/>
  <c r="V187" i="95"/>
  <c r="U187" i="95"/>
  <c r="T187" i="95"/>
  <c r="S187" i="95"/>
  <c r="R187" i="95"/>
  <c r="Q187" i="95"/>
  <c r="P187" i="95"/>
  <c r="O187" i="95"/>
  <c r="M187" i="95" s="1"/>
  <c r="N187" i="95"/>
  <c r="L187" i="95"/>
  <c r="J187" i="95" s="1"/>
  <c r="D187" i="95" s="1"/>
  <c r="K187" i="95"/>
  <c r="E187" i="95" s="1"/>
  <c r="I187" i="95"/>
  <c r="H187" i="95"/>
  <c r="B187" i="95" s="1"/>
  <c r="G187" i="95"/>
  <c r="F187" i="95"/>
  <c r="C187" i="95"/>
  <c r="AH186" i="95"/>
  <c r="AB186" i="95"/>
  <c r="AC186" i="95" s="1"/>
  <c r="AA186" i="95"/>
  <c r="Z186" i="95"/>
  <c r="Y186" i="95"/>
  <c r="X186" i="95"/>
  <c r="W186" i="95"/>
  <c r="V186" i="95"/>
  <c r="U186" i="95"/>
  <c r="T186" i="95"/>
  <c r="S186" i="95"/>
  <c r="R186" i="95"/>
  <c r="Q186" i="95"/>
  <c r="P186" i="95"/>
  <c r="O186" i="95"/>
  <c r="N186" i="95"/>
  <c r="M186" i="95"/>
  <c r="L186" i="95"/>
  <c r="J186" i="95" s="1"/>
  <c r="D186" i="95" s="1"/>
  <c r="K186" i="95"/>
  <c r="I186" i="95"/>
  <c r="C186" i="95" s="1"/>
  <c r="H186" i="95"/>
  <c r="G186" i="95"/>
  <c r="F186" i="95"/>
  <c r="E186" i="95"/>
  <c r="B186" i="95"/>
  <c r="AH185" i="95"/>
  <c r="AB185" i="95"/>
  <c r="AC185" i="95" s="1"/>
  <c r="AA185" i="95"/>
  <c r="Z185" i="95"/>
  <c r="Y185" i="95"/>
  <c r="X185" i="95"/>
  <c r="W185" i="95"/>
  <c r="V185" i="95"/>
  <c r="U185" i="95"/>
  <c r="T185" i="95"/>
  <c r="S185" i="95"/>
  <c r="R185" i="95"/>
  <c r="Q185" i="95"/>
  <c r="P185" i="95"/>
  <c r="O185" i="95"/>
  <c r="M185" i="95" s="1"/>
  <c r="N185" i="95"/>
  <c r="L185" i="95"/>
  <c r="J185" i="95" s="1"/>
  <c r="D185" i="95" s="1"/>
  <c r="K185" i="95"/>
  <c r="E185" i="95" s="1"/>
  <c r="I185" i="95"/>
  <c r="H185" i="95"/>
  <c r="B185" i="95" s="1"/>
  <c r="G185" i="95"/>
  <c r="F185" i="95"/>
  <c r="C185" i="95"/>
  <c r="AH184" i="95"/>
  <c r="AB184" i="95"/>
  <c r="AC184" i="95" s="1"/>
  <c r="AA184" i="95"/>
  <c r="Z184" i="95"/>
  <c r="Y184" i="95"/>
  <c r="X184" i="95"/>
  <c r="W184" i="95"/>
  <c r="V184" i="95"/>
  <c r="U184" i="95"/>
  <c r="T184" i="95"/>
  <c r="S184" i="95"/>
  <c r="R184" i="95"/>
  <c r="Q184" i="95"/>
  <c r="P184" i="95"/>
  <c r="O184" i="95"/>
  <c r="N184" i="95"/>
  <c r="M184" i="95"/>
  <c r="L184" i="95"/>
  <c r="K184" i="95"/>
  <c r="J184" i="95"/>
  <c r="D184" i="95" s="1"/>
  <c r="I184" i="95"/>
  <c r="C184" i="95" s="1"/>
  <c r="H184" i="95"/>
  <c r="G184" i="95"/>
  <c r="F184" i="95"/>
  <c r="E184" i="95"/>
  <c r="B184" i="95"/>
  <c r="AH183" i="95"/>
  <c r="AB183" i="95"/>
  <c r="AC183" i="95" s="1"/>
  <c r="AA183" i="95"/>
  <c r="Z183" i="95"/>
  <c r="Y183" i="95"/>
  <c r="X183" i="95"/>
  <c r="W183" i="95"/>
  <c r="V183" i="95"/>
  <c r="U183" i="95"/>
  <c r="T183" i="95"/>
  <c r="S183" i="95"/>
  <c r="R183" i="95"/>
  <c r="Q183" i="95"/>
  <c r="P183" i="95"/>
  <c r="O183" i="95"/>
  <c r="M183" i="95" s="1"/>
  <c r="N183" i="95"/>
  <c r="L183" i="95"/>
  <c r="J183" i="95" s="1"/>
  <c r="K183" i="95"/>
  <c r="I183" i="95"/>
  <c r="C183" i="95" s="1"/>
  <c r="H183" i="95"/>
  <c r="B183" i="95" s="1"/>
  <c r="G183" i="95"/>
  <c r="F183" i="95"/>
  <c r="D183" i="95"/>
  <c r="AH182" i="95"/>
  <c r="AB182" i="95"/>
  <c r="AC182" i="95" s="1"/>
  <c r="AA182" i="95"/>
  <c r="Z182" i="95"/>
  <c r="Y182" i="95"/>
  <c r="X182" i="95"/>
  <c r="W182" i="95"/>
  <c r="V182" i="95"/>
  <c r="U182" i="95"/>
  <c r="T182" i="95"/>
  <c r="S182" i="95"/>
  <c r="R182" i="95"/>
  <c r="Q182" i="95"/>
  <c r="P182" i="95"/>
  <c r="O182" i="95"/>
  <c r="M182" i="95" s="1"/>
  <c r="N182" i="95"/>
  <c r="L182" i="95"/>
  <c r="J182" i="95" s="1"/>
  <c r="D182" i="95" s="1"/>
  <c r="K182" i="95"/>
  <c r="I182" i="95"/>
  <c r="C182" i="95" s="1"/>
  <c r="H182" i="95"/>
  <c r="G182" i="95"/>
  <c r="F182" i="95"/>
  <c r="E182" i="95"/>
  <c r="B182" i="95"/>
  <c r="AH181" i="95"/>
  <c r="AB181" i="95"/>
  <c r="AC181" i="95" s="1"/>
  <c r="AA181" i="95"/>
  <c r="Z181" i="95"/>
  <c r="Y181" i="95"/>
  <c r="X181" i="95"/>
  <c r="W181" i="95"/>
  <c r="V181" i="95"/>
  <c r="U181" i="95"/>
  <c r="T181" i="95"/>
  <c r="S181" i="95"/>
  <c r="R181" i="95"/>
  <c r="Q181" i="95"/>
  <c r="P181" i="95"/>
  <c r="O181" i="95"/>
  <c r="M181" i="95" s="1"/>
  <c r="N181" i="95"/>
  <c r="L181" i="95"/>
  <c r="J181" i="95" s="1"/>
  <c r="D181" i="95" s="1"/>
  <c r="K181" i="95"/>
  <c r="I181" i="95"/>
  <c r="C181" i="95" s="1"/>
  <c r="H181" i="95"/>
  <c r="B181" i="95" s="1"/>
  <c r="G181" i="95"/>
  <c r="F181" i="95"/>
  <c r="AH180" i="95"/>
  <c r="AB180" i="95"/>
  <c r="AC180" i="95" s="1"/>
  <c r="AA180" i="95"/>
  <c r="Z180" i="95"/>
  <c r="Y180" i="95"/>
  <c r="X180" i="95"/>
  <c r="W180" i="95"/>
  <c r="V180" i="95"/>
  <c r="U180" i="95"/>
  <c r="T180" i="95"/>
  <c r="S180" i="95"/>
  <c r="R180" i="95"/>
  <c r="Q180" i="95"/>
  <c r="P180" i="95"/>
  <c r="O180" i="95"/>
  <c r="N180" i="95"/>
  <c r="M180" i="95"/>
  <c r="L180" i="95"/>
  <c r="K180" i="95"/>
  <c r="J180" i="95"/>
  <c r="D180" i="95" s="1"/>
  <c r="I180" i="95"/>
  <c r="C180" i="95" s="1"/>
  <c r="H180" i="95"/>
  <c r="G180" i="95"/>
  <c r="F180" i="95"/>
  <c r="E180" i="95"/>
  <c r="B180" i="95"/>
  <c r="AH179" i="95"/>
  <c r="AB179" i="95"/>
  <c r="AC179" i="95" s="1"/>
  <c r="AA179" i="95"/>
  <c r="Z179" i="95"/>
  <c r="Y179" i="95"/>
  <c r="X179" i="95"/>
  <c r="W179" i="95"/>
  <c r="V179" i="95"/>
  <c r="U179" i="95"/>
  <c r="T179" i="95"/>
  <c r="S179" i="95"/>
  <c r="R179" i="95"/>
  <c r="Q179" i="95"/>
  <c r="P179" i="95"/>
  <c r="O179" i="95"/>
  <c r="M179" i="95" s="1"/>
  <c r="N179" i="95"/>
  <c r="L179" i="95"/>
  <c r="J179" i="95" s="1"/>
  <c r="K179" i="95"/>
  <c r="E179" i="95" s="1"/>
  <c r="I179" i="95"/>
  <c r="H179" i="95"/>
  <c r="B179" i="95" s="1"/>
  <c r="G179" i="95"/>
  <c r="F179" i="95"/>
  <c r="D179" i="95"/>
  <c r="C179" i="95"/>
  <c r="AH178" i="95"/>
  <c r="AB178" i="95"/>
  <c r="AC178" i="95" s="1"/>
  <c r="AA178" i="95"/>
  <c r="Z178" i="95"/>
  <c r="Y178" i="95"/>
  <c r="X178" i="95"/>
  <c r="W178" i="95"/>
  <c r="V178" i="95"/>
  <c r="U178" i="95"/>
  <c r="T178" i="95"/>
  <c r="S178" i="95"/>
  <c r="R178" i="95"/>
  <c r="Q178" i="95"/>
  <c r="P178" i="95"/>
  <c r="O178" i="95"/>
  <c r="M178" i="95" s="1"/>
  <c r="N178" i="95"/>
  <c r="L178" i="95"/>
  <c r="J178" i="95" s="1"/>
  <c r="D178" i="95" s="1"/>
  <c r="K178" i="95"/>
  <c r="E178" i="95" s="1"/>
  <c r="I178" i="95"/>
  <c r="C178" i="95" s="1"/>
  <c r="H178" i="95"/>
  <c r="G178" i="95"/>
  <c r="F178" i="95"/>
  <c r="B178" i="95"/>
  <c r="AH177" i="95"/>
  <c r="AB177" i="95"/>
  <c r="AC177" i="95" s="1"/>
  <c r="AA177" i="95"/>
  <c r="Z177" i="95"/>
  <c r="Y177" i="95"/>
  <c r="X177" i="95"/>
  <c r="W177" i="95"/>
  <c r="V177" i="95"/>
  <c r="U177" i="95"/>
  <c r="T177" i="95"/>
  <c r="S177" i="95"/>
  <c r="R177" i="95"/>
  <c r="Q177" i="95"/>
  <c r="P177" i="95"/>
  <c r="O177" i="95"/>
  <c r="M177" i="95" s="1"/>
  <c r="N177" i="95"/>
  <c r="L177" i="95"/>
  <c r="J177" i="95" s="1"/>
  <c r="D177" i="95" s="1"/>
  <c r="K177" i="95"/>
  <c r="E177" i="95" s="1"/>
  <c r="I177" i="95"/>
  <c r="H177" i="95"/>
  <c r="B177" i="95" s="1"/>
  <c r="G177" i="95"/>
  <c r="F177" i="95"/>
  <c r="C177" i="95"/>
  <c r="AH176" i="95"/>
  <c r="AB176" i="95"/>
  <c r="AC176" i="95" s="1"/>
  <c r="AA176" i="95"/>
  <c r="Z176" i="95"/>
  <c r="Y176" i="95"/>
  <c r="X176" i="95"/>
  <c r="W176" i="95"/>
  <c r="V176" i="95"/>
  <c r="U176" i="95"/>
  <c r="T176" i="95"/>
  <c r="S176" i="95"/>
  <c r="R176" i="95"/>
  <c r="Q176" i="95"/>
  <c r="P176" i="95"/>
  <c r="O176" i="95"/>
  <c r="M176" i="95" s="1"/>
  <c r="N176" i="95"/>
  <c r="L176" i="95"/>
  <c r="J176" i="95" s="1"/>
  <c r="D176" i="95" s="1"/>
  <c r="K176" i="95"/>
  <c r="E176" i="95" s="1"/>
  <c r="I176" i="95"/>
  <c r="C176" i="95" s="1"/>
  <c r="H176" i="95"/>
  <c r="G176" i="95"/>
  <c r="F176" i="95"/>
  <c r="B176" i="95"/>
  <c r="AH175" i="95"/>
  <c r="AB175" i="95"/>
  <c r="AC175" i="95" s="1"/>
  <c r="AA175" i="95"/>
  <c r="Z175" i="95"/>
  <c r="Y175" i="95"/>
  <c r="X175" i="95"/>
  <c r="W175" i="95"/>
  <c r="V175" i="95"/>
  <c r="U175" i="95"/>
  <c r="T175" i="95"/>
  <c r="S175" i="95"/>
  <c r="R175" i="95"/>
  <c r="Q175" i="95"/>
  <c r="P175" i="95"/>
  <c r="O175" i="95"/>
  <c r="M175" i="95" s="1"/>
  <c r="N175" i="95"/>
  <c r="L175" i="95"/>
  <c r="J175" i="95" s="1"/>
  <c r="D175" i="95" s="1"/>
  <c r="K175" i="95"/>
  <c r="I175" i="95"/>
  <c r="H175" i="95"/>
  <c r="B175" i="95" s="1"/>
  <c r="G175" i="95"/>
  <c r="F175" i="95"/>
  <c r="C175" i="95"/>
  <c r="AH174" i="95"/>
  <c r="AB174" i="95"/>
  <c r="AC174" i="95" s="1"/>
  <c r="AA174" i="95"/>
  <c r="Z174" i="95"/>
  <c r="Y174" i="95"/>
  <c r="X174" i="95"/>
  <c r="W174" i="95"/>
  <c r="V174" i="95"/>
  <c r="U174" i="95"/>
  <c r="T174" i="95"/>
  <c r="S174" i="95"/>
  <c r="R174" i="95"/>
  <c r="Q174" i="95"/>
  <c r="P174" i="95"/>
  <c r="O174" i="95"/>
  <c r="N174" i="95"/>
  <c r="M174" i="95"/>
  <c r="L174" i="95"/>
  <c r="K174" i="95"/>
  <c r="J174" i="95"/>
  <c r="D174" i="95" s="1"/>
  <c r="I174" i="95"/>
  <c r="C174" i="95" s="1"/>
  <c r="H174" i="95"/>
  <c r="G174" i="95"/>
  <c r="F174" i="95"/>
  <c r="E174" i="95"/>
  <c r="B174" i="95"/>
  <c r="AH173" i="95"/>
  <c r="AB173" i="95"/>
  <c r="AC173" i="95" s="1"/>
  <c r="AA173" i="95"/>
  <c r="Z173" i="95"/>
  <c r="Y173" i="95"/>
  <c r="X173" i="95"/>
  <c r="W173" i="95"/>
  <c r="V173" i="95"/>
  <c r="U173" i="95"/>
  <c r="T173" i="95"/>
  <c r="S173" i="95"/>
  <c r="R173" i="95"/>
  <c r="Q173" i="95"/>
  <c r="P173" i="95"/>
  <c r="O173" i="95"/>
  <c r="M173" i="95" s="1"/>
  <c r="N173" i="95"/>
  <c r="L173" i="95"/>
  <c r="J173" i="95" s="1"/>
  <c r="D173" i="95" s="1"/>
  <c r="K173" i="95"/>
  <c r="E173" i="95" s="1"/>
  <c r="I173" i="95"/>
  <c r="H173" i="95"/>
  <c r="B173" i="95" s="1"/>
  <c r="G173" i="95"/>
  <c r="F173" i="95"/>
  <c r="C173" i="95"/>
  <c r="AH172" i="95"/>
  <c r="AB172" i="95"/>
  <c r="AC172" i="95" s="1"/>
  <c r="AA172" i="95"/>
  <c r="Z172" i="95"/>
  <c r="Y172" i="95"/>
  <c r="X172" i="95"/>
  <c r="W172" i="95"/>
  <c r="V172" i="95"/>
  <c r="U172" i="95"/>
  <c r="T172" i="95"/>
  <c r="S172" i="95"/>
  <c r="R172" i="95"/>
  <c r="Q172" i="95"/>
  <c r="P172" i="95"/>
  <c r="O172" i="95"/>
  <c r="M172" i="95" s="1"/>
  <c r="N172" i="95"/>
  <c r="L172" i="95"/>
  <c r="J172" i="95" s="1"/>
  <c r="D172" i="95" s="1"/>
  <c r="K172" i="95"/>
  <c r="I172" i="95"/>
  <c r="C172" i="95" s="1"/>
  <c r="H172" i="95"/>
  <c r="B172" i="95" s="1"/>
  <c r="G172" i="95"/>
  <c r="F172" i="95"/>
  <c r="AH171" i="95"/>
  <c r="AB171" i="95"/>
  <c r="AC171" i="95" s="1"/>
  <c r="AA171" i="95"/>
  <c r="Z171" i="95"/>
  <c r="Y171" i="95"/>
  <c r="X171" i="95"/>
  <c r="W171" i="95"/>
  <c r="V171" i="95"/>
  <c r="U171" i="95"/>
  <c r="T171" i="95"/>
  <c r="S171" i="95"/>
  <c r="R171" i="95"/>
  <c r="Q171" i="95"/>
  <c r="P171" i="95"/>
  <c r="O171" i="95"/>
  <c r="M171" i="95" s="1"/>
  <c r="N171" i="95"/>
  <c r="L171" i="95"/>
  <c r="J171" i="95" s="1"/>
  <c r="D171" i="95" s="1"/>
  <c r="K171" i="95"/>
  <c r="E171" i="95" s="1"/>
  <c r="I171" i="95"/>
  <c r="H171" i="95"/>
  <c r="B171" i="95" s="1"/>
  <c r="G171" i="95"/>
  <c r="F171" i="95"/>
  <c r="C171" i="95"/>
  <c r="AH170" i="95"/>
  <c r="AB170" i="95"/>
  <c r="AC170" i="95" s="1"/>
  <c r="AA170" i="95"/>
  <c r="Z170" i="95"/>
  <c r="Y170" i="95"/>
  <c r="X170" i="95"/>
  <c r="W170" i="95"/>
  <c r="V170" i="95"/>
  <c r="U170" i="95"/>
  <c r="T170" i="95"/>
  <c r="S170" i="95"/>
  <c r="R170" i="95"/>
  <c r="Q170" i="95"/>
  <c r="P170" i="95"/>
  <c r="O170" i="95"/>
  <c r="N170" i="95"/>
  <c r="M170" i="95"/>
  <c r="L170" i="95"/>
  <c r="J170" i="95" s="1"/>
  <c r="D170" i="95" s="1"/>
  <c r="K170" i="95"/>
  <c r="I170" i="95"/>
  <c r="C170" i="95" s="1"/>
  <c r="H170" i="95"/>
  <c r="B170" i="95" s="1"/>
  <c r="G170" i="95"/>
  <c r="F170" i="95"/>
  <c r="E170" i="95"/>
  <c r="AH169" i="95"/>
  <c r="AB169" i="95"/>
  <c r="AC169" i="95" s="1"/>
  <c r="AA169" i="95"/>
  <c r="Z169" i="95"/>
  <c r="Y169" i="95"/>
  <c r="X169" i="95"/>
  <c r="W169" i="95"/>
  <c r="V169" i="95"/>
  <c r="U169" i="95"/>
  <c r="T169" i="95"/>
  <c r="S169" i="95"/>
  <c r="R169" i="95"/>
  <c r="Q169" i="95"/>
  <c r="P169" i="95"/>
  <c r="O169" i="95"/>
  <c r="M169" i="95" s="1"/>
  <c r="N169" i="95"/>
  <c r="L169" i="95"/>
  <c r="J169" i="95" s="1"/>
  <c r="D169" i="95" s="1"/>
  <c r="K169" i="95"/>
  <c r="E169" i="95" s="1"/>
  <c r="I169" i="95"/>
  <c r="H169" i="95"/>
  <c r="B169" i="95" s="1"/>
  <c r="G169" i="95"/>
  <c r="F169" i="95"/>
  <c r="C169" i="95"/>
  <c r="AH168" i="95"/>
  <c r="AB168" i="95"/>
  <c r="AC168" i="95" s="1"/>
  <c r="AA168" i="95"/>
  <c r="Z168" i="95"/>
  <c r="Y168" i="95"/>
  <c r="X168" i="95"/>
  <c r="W168" i="95"/>
  <c r="V168" i="95"/>
  <c r="U168" i="95"/>
  <c r="T168" i="95"/>
  <c r="S168" i="95"/>
  <c r="R168" i="95"/>
  <c r="Q168" i="95"/>
  <c r="P168" i="95"/>
  <c r="O168" i="95"/>
  <c r="N168" i="95"/>
  <c r="M168" i="95"/>
  <c r="L168" i="95"/>
  <c r="K168" i="95"/>
  <c r="J168" i="95"/>
  <c r="D168" i="95" s="1"/>
  <c r="I168" i="95"/>
  <c r="C168" i="95" s="1"/>
  <c r="H168" i="95"/>
  <c r="G168" i="95"/>
  <c r="F168" i="95"/>
  <c r="E168" i="95"/>
  <c r="B168" i="95"/>
  <c r="AH167" i="95"/>
  <c r="AB167" i="95"/>
  <c r="AC167" i="95" s="1"/>
  <c r="AA167" i="95"/>
  <c r="Z167" i="95"/>
  <c r="Y167" i="95"/>
  <c r="X167" i="95"/>
  <c r="W167" i="95"/>
  <c r="V167" i="95"/>
  <c r="U167" i="95"/>
  <c r="T167" i="95"/>
  <c r="S167" i="95"/>
  <c r="R167" i="95"/>
  <c r="Q167" i="95"/>
  <c r="P167" i="95"/>
  <c r="O167" i="95"/>
  <c r="M167" i="95" s="1"/>
  <c r="N167" i="95"/>
  <c r="L167" i="95"/>
  <c r="J167" i="95" s="1"/>
  <c r="K167" i="95"/>
  <c r="I167" i="95"/>
  <c r="C167" i="95" s="1"/>
  <c r="H167" i="95"/>
  <c r="B167" i="95" s="1"/>
  <c r="G167" i="95"/>
  <c r="F167" i="95"/>
  <c r="D167" i="95"/>
  <c r="AH166" i="95"/>
  <c r="AB166" i="95"/>
  <c r="AC166" i="95" s="1"/>
  <c r="AA166" i="95"/>
  <c r="Z166" i="95"/>
  <c r="Y166" i="95"/>
  <c r="X166" i="95"/>
  <c r="W166" i="95"/>
  <c r="V166" i="95"/>
  <c r="U166" i="95"/>
  <c r="T166" i="95"/>
  <c r="S166" i="95"/>
  <c r="R166" i="95"/>
  <c r="Q166" i="95"/>
  <c r="P166" i="95"/>
  <c r="O166" i="95"/>
  <c r="N166" i="95"/>
  <c r="M166" i="95"/>
  <c r="L166" i="95"/>
  <c r="J166" i="95" s="1"/>
  <c r="D166" i="95" s="1"/>
  <c r="K166" i="95"/>
  <c r="E166" i="95" s="1"/>
  <c r="I166" i="95"/>
  <c r="C166" i="95" s="1"/>
  <c r="H166" i="95"/>
  <c r="G166" i="95"/>
  <c r="F166" i="95"/>
  <c r="B166" i="95"/>
  <c r="AH165" i="95"/>
  <c r="AB165" i="95"/>
  <c r="AC165" i="95" s="1"/>
  <c r="AA165" i="95"/>
  <c r="Z165" i="95"/>
  <c r="Y165" i="95"/>
  <c r="X165" i="95"/>
  <c r="W165" i="95"/>
  <c r="V165" i="95"/>
  <c r="U165" i="95"/>
  <c r="T165" i="95"/>
  <c r="S165" i="95"/>
  <c r="R165" i="95"/>
  <c r="Q165" i="95"/>
  <c r="P165" i="95"/>
  <c r="O165" i="95"/>
  <c r="M165" i="95" s="1"/>
  <c r="N165" i="95"/>
  <c r="L165" i="95"/>
  <c r="J165" i="95" s="1"/>
  <c r="D165" i="95" s="1"/>
  <c r="K165" i="95"/>
  <c r="E165" i="95" s="1"/>
  <c r="I165" i="95"/>
  <c r="H165" i="95"/>
  <c r="B165" i="95" s="1"/>
  <c r="G165" i="95"/>
  <c r="F165" i="95"/>
  <c r="C165" i="95"/>
  <c r="AH164" i="95"/>
  <c r="AB164" i="95"/>
  <c r="AC164" i="95" s="1"/>
  <c r="AA164" i="95"/>
  <c r="Z164" i="95"/>
  <c r="Y164" i="95"/>
  <c r="X164" i="95"/>
  <c r="W164" i="95"/>
  <c r="V164" i="95"/>
  <c r="U164" i="95"/>
  <c r="T164" i="95"/>
  <c r="S164" i="95"/>
  <c r="R164" i="95"/>
  <c r="Q164" i="95"/>
  <c r="P164" i="95"/>
  <c r="O164" i="95"/>
  <c r="M164" i="95" s="1"/>
  <c r="N164" i="95"/>
  <c r="L164" i="95"/>
  <c r="J164" i="95" s="1"/>
  <c r="D164" i="95" s="1"/>
  <c r="K164" i="95"/>
  <c r="I164" i="95"/>
  <c r="C164" i="95" s="1"/>
  <c r="H164" i="95"/>
  <c r="B164" i="95" s="1"/>
  <c r="G164" i="95"/>
  <c r="F164" i="95"/>
  <c r="E164" i="95"/>
  <c r="AH163" i="95"/>
  <c r="AB163" i="95"/>
  <c r="AC163" i="95" s="1"/>
  <c r="AA163" i="95"/>
  <c r="Z163" i="95"/>
  <c r="Y163" i="95"/>
  <c r="X163" i="95"/>
  <c r="W163" i="95"/>
  <c r="V163" i="95"/>
  <c r="U163" i="95"/>
  <c r="T163" i="95"/>
  <c r="S163" i="95"/>
  <c r="R163" i="95"/>
  <c r="Q163" i="95"/>
  <c r="P163" i="95"/>
  <c r="O163" i="95"/>
  <c r="M163" i="95" s="1"/>
  <c r="N163" i="95"/>
  <c r="L163" i="95"/>
  <c r="K163" i="95"/>
  <c r="E163" i="95" s="1"/>
  <c r="J163" i="95"/>
  <c r="D163" i="95" s="1"/>
  <c r="I163" i="95"/>
  <c r="H163" i="95"/>
  <c r="G163" i="95"/>
  <c r="F163" i="95"/>
  <c r="C163" i="95"/>
  <c r="B163" i="95"/>
  <c r="AH162" i="95"/>
  <c r="AB162" i="95"/>
  <c r="AC162" i="95" s="1"/>
  <c r="AA162" i="95"/>
  <c r="Z162" i="95"/>
  <c r="Y162" i="95"/>
  <c r="X162" i="95"/>
  <c r="W162" i="95"/>
  <c r="V162" i="95"/>
  <c r="U162" i="95"/>
  <c r="T162" i="95"/>
  <c r="S162" i="95"/>
  <c r="R162" i="95"/>
  <c r="Q162" i="95"/>
  <c r="P162" i="95"/>
  <c r="O162" i="95"/>
  <c r="M162" i="95" s="1"/>
  <c r="N162" i="95"/>
  <c r="L162" i="95"/>
  <c r="J162" i="95" s="1"/>
  <c r="D162" i="95" s="1"/>
  <c r="K162" i="95"/>
  <c r="E162" i="95" s="1"/>
  <c r="I162" i="95"/>
  <c r="C162" i="95" s="1"/>
  <c r="H162" i="95"/>
  <c r="G162" i="95"/>
  <c r="F162" i="95"/>
  <c r="B162" i="95"/>
  <c r="AH161" i="95"/>
  <c r="AB161" i="95"/>
  <c r="AC161" i="95" s="1"/>
  <c r="AA161" i="95"/>
  <c r="Z161" i="95"/>
  <c r="Y161" i="95"/>
  <c r="X161" i="95"/>
  <c r="W161" i="95"/>
  <c r="V161" i="95"/>
  <c r="U161" i="95"/>
  <c r="T161" i="95"/>
  <c r="S161" i="95"/>
  <c r="R161" i="95"/>
  <c r="Q161" i="95"/>
  <c r="P161" i="95"/>
  <c r="O161" i="95"/>
  <c r="M161" i="95" s="1"/>
  <c r="N161" i="95"/>
  <c r="L161" i="95"/>
  <c r="J161" i="95" s="1"/>
  <c r="D161" i="95" s="1"/>
  <c r="K161" i="95"/>
  <c r="I161" i="95"/>
  <c r="H161" i="95"/>
  <c r="G161" i="95"/>
  <c r="F161" i="95"/>
  <c r="C161" i="95"/>
  <c r="B161" i="95"/>
  <c r="AH160" i="95"/>
  <c r="AB160" i="95"/>
  <c r="AC160" i="95" s="1"/>
  <c r="AA160" i="95"/>
  <c r="Z160" i="95"/>
  <c r="Y160" i="95"/>
  <c r="X160" i="95"/>
  <c r="W160" i="95"/>
  <c r="V160" i="95"/>
  <c r="U160" i="95"/>
  <c r="T160" i="95"/>
  <c r="S160" i="95"/>
  <c r="R160" i="95"/>
  <c r="Q160" i="95"/>
  <c r="P160" i="95"/>
  <c r="O160" i="95"/>
  <c r="M160" i="95" s="1"/>
  <c r="N160" i="95"/>
  <c r="L160" i="95"/>
  <c r="K160" i="95"/>
  <c r="E160" i="95" s="1"/>
  <c r="J160" i="95"/>
  <c r="D160" i="95" s="1"/>
  <c r="I160" i="95"/>
  <c r="C160" i="95" s="1"/>
  <c r="H160" i="95"/>
  <c r="G160" i="95"/>
  <c r="F160" i="95"/>
  <c r="B160" i="95"/>
  <c r="AH159" i="95"/>
  <c r="AB159" i="95"/>
  <c r="AC159" i="95" s="1"/>
  <c r="AA159" i="95"/>
  <c r="Z159" i="95"/>
  <c r="Y159" i="95"/>
  <c r="X159" i="95"/>
  <c r="W159" i="95"/>
  <c r="V159" i="95"/>
  <c r="U159" i="95"/>
  <c r="T159" i="95"/>
  <c r="S159" i="95"/>
  <c r="R159" i="95"/>
  <c r="Q159" i="95"/>
  <c r="P159" i="95"/>
  <c r="O159" i="95"/>
  <c r="M159" i="95" s="1"/>
  <c r="N159" i="95"/>
  <c r="L159" i="95"/>
  <c r="J159" i="95" s="1"/>
  <c r="D159" i="95" s="1"/>
  <c r="K159" i="95"/>
  <c r="E159" i="95" s="1"/>
  <c r="I159" i="95"/>
  <c r="H159" i="95"/>
  <c r="B159" i="95" s="1"/>
  <c r="G159" i="95"/>
  <c r="F159" i="95"/>
  <c r="C159" i="95"/>
  <c r="AH158" i="95"/>
  <c r="AB158" i="95"/>
  <c r="AC158" i="95" s="1"/>
  <c r="AA158" i="95"/>
  <c r="Z158" i="95"/>
  <c r="Y158" i="95"/>
  <c r="X158" i="95"/>
  <c r="W158" i="95"/>
  <c r="V158" i="95"/>
  <c r="U158" i="95"/>
  <c r="T158" i="95"/>
  <c r="S158" i="95"/>
  <c r="R158" i="95"/>
  <c r="Q158" i="95"/>
  <c r="P158" i="95"/>
  <c r="O158" i="95"/>
  <c r="M158" i="95" s="1"/>
  <c r="N158" i="95"/>
  <c r="L158" i="95"/>
  <c r="J158" i="95" s="1"/>
  <c r="D158" i="95" s="1"/>
  <c r="K158" i="95"/>
  <c r="I158" i="95"/>
  <c r="C158" i="95" s="1"/>
  <c r="H158" i="95"/>
  <c r="B158" i="95" s="1"/>
  <c r="G158" i="95"/>
  <c r="F158" i="95"/>
  <c r="AH157" i="95"/>
  <c r="AB157" i="95"/>
  <c r="AC157" i="95" s="1"/>
  <c r="AA157" i="95"/>
  <c r="Z157" i="95"/>
  <c r="Y157" i="95"/>
  <c r="X157" i="95"/>
  <c r="W157" i="95"/>
  <c r="V157" i="95"/>
  <c r="U157" i="95"/>
  <c r="T157" i="95"/>
  <c r="S157" i="95"/>
  <c r="R157" i="95"/>
  <c r="Q157" i="95"/>
  <c r="P157" i="95"/>
  <c r="O157" i="95"/>
  <c r="M157" i="95" s="1"/>
  <c r="N157" i="95"/>
  <c r="L157" i="95"/>
  <c r="J157" i="95" s="1"/>
  <c r="D157" i="95" s="1"/>
  <c r="K157" i="95"/>
  <c r="E157" i="95" s="1"/>
  <c r="I157" i="95"/>
  <c r="H157" i="95"/>
  <c r="B157" i="95" s="1"/>
  <c r="G157" i="95"/>
  <c r="F157" i="95"/>
  <c r="C157" i="95"/>
  <c r="AH156" i="95"/>
  <c r="AB156" i="95"/>
  <c r="AC156" i="95" s="1"/>
  <c r="AA156" i="95"/>
  <c r="Z156" i="95"/>
  <c r="Y156" i="95"/>
  <c r="X156" i="95"/>
  <c r="W156" i="95"/>
  <c r="V156" i="95"/>
  <c r="U156" i="95"/>
  <c r="T156" i="95"/>
  <c r="S156" i="95"/>
  <c r="R156" i="95"/>
  <c r="Q156" i="95"/>
  <c r="P156" i="95"/>
  <c r="O156" i="95"/>
  <c r="M156" i="95" s="1"/>
  <c r="N156" i="95"/>
  <c r="L156" i="95"/>
  <c r="J156" i="95" s="1"/>
  <c r="D156" i="95" s="1"/>
  <c r="K156" i="95"/>
  <c r="E156" i="95" s="1"/>
  <c r="I156" i="95"/>
  <c r="C156" i="95" s="1"/>
  <c r="H156" i="95"/>
  <c r="B156" i="95" s="1"/>
  <c r="G156" i="95"/>
  <c r="F156" i="95"/>
  <c r="AH155" i="95"/>
  <c r="AB155" i="95"/>
  <c r="AC155" i="95" s="1"/>
  <c r="AA155" i="95"/>
  <c r="Z155" i="95"/>
  <c r="Y155" i="95"/>
  <c r="X155" i="95"/>
  <c r="W155" i="95"/>
  <c r="V155" i="95"/>
  <c r="U155" i="95"/>
  <c r="T155" i="95"/>
  <c r="S155" i="95"/>
  <c r="R155" i="95"/>
  <c r="Q155" i="95"/>
  <c r="P155" i="95"/>
  <c r="O155" i="95"/>
  <c r="M155" i="95" s="1"/>
  <c r="N155" i="95"/>
  <c r="L155" i="95"/>
  <c r="K155" i="95"/>
  <c r="J155" i="95"/>
  <c r="D155" i="95" s="1"/>
  <c r="I155" i="95"/>
  <c r="H155" i="95"/>
  <c r="G155" i="95"/>
  <c r="F155" i="95"/>
  <c r="C155" i="95"/>
  <c r="B155" i="95"/>
  <c r="AH154" i="95"/>
  <c r="AB154" i="95"/>
  <c r="AC154" i="95" s="1"/>
  <c r="AA154" i="95"/>
  <c r="Z154" i="95"/>
  <c r="Y154" i="95"/>
  <c r="X154" i="95"/>
  <c r="W154" i="95"/>
  <c r="V154" i="95"/>
  <c r="U154" i="95"/>
  <c r="T154" i="95"/>
  <c r="S154" i="95"/>
  <c r="R154" i="95"/>
  <c r="Q154" i="95"/>
  <c r="P154" i="95"/>
  <c r="O154" i="95"/>
  <c r="N154" i="95"/>
  <c r="M154" i="95"/>
  <c r="L154" i="95"/>
  <c r="J154" i="95" s="1"/>
  <c r="D154" i="95" s="1"/>
  <c r="K154" i="95"/>
  <c r="I154" i="95"/>
  <c r="C154" i="95" s="1"/>
  <c r="H154" i="95"/>
  <c r="B154" i="95" s="1"/>
  <c r="G154" i="95"/>
  <c r="F154" i="95"/>
  <c r="E154" i="95"/>
  <c r="AH153" i="95"/>
  <c r="AB153" i="95"/>
  <c r="AC153" i="95" s="1"/>
  <c r="AA153" i="95"/>
  <c r="Z153" i="95"/>
  <c r="Y153" i="95"/>
  <c r="X153" i="95"/>
  <c r="W153" i="95"/>
  <c r="V153" i="95"/>
  <c r="U153" i="95"/>
  <c r="T153" i="95"/>
  <c r="S153" i="95"/>
  <c r="R153" i="95"/>
  <c r="Q153" i="95"/>
  <c r="P153" i="95"/>
  <c r="O153" i="95"/>
  <c r="M153" i="95" s="1"/>
  <c r="N153" i="95"/>
  <c r="L153" i="95"/>
  <c r="J153" i="95" s="1"/>
  <c r="D153" i="95" s="1"/>
  <c r="K153" i="95"/>
  <c r="E153" i="95" s="1"/>
  <c r="I153" i="95"/>
  <c r="H153" i="95"/>
  <c r="G153" i="95"/>
  <c r="F153" i="95"/>
  <c r="C153" i="95"/>
  <c r="B153" i="95"/>
  <c r="AH152" i="95"/>
  <c r="AB152" i="95"/>
  <c r="AC152" i="95" s="1"/>
  <c r="AA152" i="95"/>
  <c r="Z152" i="95"/>
  <c r="Y152" i="95"/>
  <c r="X152" i="95"/>
  <c r="W152" i="95"/>
  <c r="V152" i="95"/>
  <c r="U152" i="95"/>
  <c r="T152" i="95"/>
  <c r="S152" i="95"/>
  <c r="R152" i="95"/>
  <c r="Q152" i="95"/>
  <c r="P152" i="95"/>
  <c r="O152" i="95"/>
  <c r="M152" i="95" s="1"/>
  <c r="N152" i="95"/>
  <c r="L152" i="95"/>
  <c r="K152" i="95"/>
  <c r="E152" i="95" s="1"/>
  <c r="J152" i="95"/>
  <c r="D152" i="95" s="1"/>
  <c r="I152" i="95"/>
  <c r="C152" i="95" s="1"/>
  <c r="H152" i="95"/>
  <c r="G152" i="95"/>
  <c r="F152" i="95"/>
  <c r="B152" i="95"/>
  <c r="AH151" i="95"/>
  <c r="AB151" i="95"/>
  <c r="AC151" i="95" s="1"/>
  <c r="AA151" i="95"/>
  <c r="Z151" i="95"/>
  <c r="Y151" i="95"/>
  <c r="X151" i="95"/>
  <c r="W151" i="95"/>
  <c r="V151" i="95"/>
  <c r="U151" i="95"/>
  <c r="T151" i="95"/>
  <c r="S151" i="95"/>
  <c r="R151" i="95"/>
  <c r="Q151" i="95"/>
  <c r="P151" i="95"/>
  <c r="O151" i="95"/>
  <c r="M151" i="95" s="1"/>
  <c r="N151" i="95"/>
  <c r="L151" i="95"/>
  <c r="J151" i="95" s="1"/>
  <c r="D151" i="95" s="1"/>
  <c r="K151" i="95"/>
  <c r="E151" i="95" s="1"/>
  <c r="I151" i="95"/>
  <c r="H151" i="95"/>
  <c r="B151" i="95" s="1"/>
  <c r="G151" i="95"/>
  <c r="F151" i="95"/>
  <c r="C151" i="95"/>
  <c r="AH150" i="95"/>
  <c r="AB150" i="95"/>
  <c r="AC150" i="95" s="1"/>
  <c r="AA150" i="95"/>
  <c r="Z150" i="95"/>
  <c r="Y150" i="95"/>
  <c r="X150" i="95"/>
  <c r="W150" i="95"/>
  <c r="V150" i="95"/>
  <c r="U150" i="95"/>
  <c r="T150" i="95"/>
  <c r="S150" i="95"/>
  <c r="R150" i="95"/>
  <c r="Q150" i="95"/>
  <c r="P150" i="95"/>
  <c r="O150" i="95"/>
  <c r="M150" i="95" s="1"/>
  <c r="N150" i="95"/>
  <c r="L150" i="95"/>
  <c r="J150" i="95" s="1"/>
  <c r="D150" i="95" s="1"/>
  <c r="K150" i="95"/>
  <c r="I150" i="95"/>
  <c r="C150" i="95" s="1"/>
  <c r="H150" i="95"/>
  <c r="B150" i="95" s="1"/>
  <c r="G150" i="95"/>
  <c r="F150" i="95"/>
  <c r="AH149" i="95"/>
  <c r="AB149" i="95"/>
  <c r="AC149" i="95" s="1"/>
  <c r="AA149" i="95"/>
  <c r="Z149" i="95"/>
  <c r="Y149" i="95"/>
  <c r="X149" i="95"/>
  <c r="W149" i="95"/>
  <c r="V149" i="95"/>
  <c r="U149" i="95"/>
  <c r="T149" i="95"/>
  <c r="S149" i="95"/>
  <c r="R149" i="95"/>
  <c r="Q149" i="95"/>
  <c r="P149" i="95"/>
  <c r="O149" i="95"/>
  <c r="M149" i="95" s="1"/>
  <c r="N149" i="95"/>
  <c r="L149" i="95"/>
  <c r="J149" i="95" s="1"/>
  <c r="D149" i="95" s="1"/>
  <c r="K149" i="95"/>
  <c r="E149" i="95" s="1"/>
  <c r="I149" i="95"/>
  <c r="H149" i="95"/>
  <c r="B149" i="95" s="1"/>
  <c r="G149" i="95"/>
  <c r="F149" i="95"/>
  <c r="C149" i="95"/>
  <c r="AH148" i="95"/>
  <c r="AB148" i="95"/>
  <c r="AC148" i="95" s="1"/>
  <c r="AA148" i="95"/>
  <c r="Z148" i="95"/>
  <c r="Y148" i="95"/>
  <c r="X148" i="95"/>
  <c r="W148" i="95"/>
  <c r="V148" i="95"/>
  <c r="U148" i="95"/>
  <c r="T148" i="95"/>
  <c r="S148" i="95"/>
  <c r="R148" i="95"/>
  <c r="Q148" i="95"/>
  <c r="P148" i="95"/>
  <c r="O148" i="95"/>
  <c r="M148" i="95" s="1"/>
  <c r="N148" i="95"/>
  <c r="L148" i="95"/>
  <c r="J148" i="95" s="1"/>
  <c r="D148" i="95" s="1"/>
  <c r="K148" i="95"/>
  <c r="E148" i="95" s="1"/>
  <c r="I148" i="95"/>
  <c r="C148" i="95" s="1"/>
  <c r="H148" i="95"/>
  <c r="B148" i="95" s="1"/>
  <c r="G148" i="95"/>
  <c r="F148" i="95"/>
  <c r="AH147" i="95"/>
  <c r="AB147" i="95"/>
  <c r="AC147" i="95" s="1"/>
  <c r="AA147" i="95"/>
  <c r="Z147" i="95"/>
  <c r="Y147" i="95"/>
  <c r="X147" i="95"/>
  <c r="W147" i="95"/>
  <c r="V147" i="95"/>
  <c r="U147" i="95"/>
  <c r="T147" i="95"/>
  <c r="S147" i="95"/>
  <c r="R147" i="95"/>
  <c r="Q147" i="95"/>
  <c r="P147" i="95"/>
  <c r="O147" i="95"/>
  <c r="M147" i="95" s="1"/>
  <c r="N147" i="95"/>
  <c r="L147" i="95"/>
  <c r="K147" i="95"/>
  <c r="J147" i="95"/>
  <c r="D147" i="95" s="1"/>
  <c r="I147" i="95"/>
  <c r="H147" i="95"/>
  <c r="G147" i="95"/>
  <c r="F147" i="95"/>
  <c r="C147" i="95"/>
  <c r="B147" i="95"/>
  <c r="AH146" i="95"/>
  <c r="AB146" i="95"/>
  <c r="AC146" i="95" s="1"/>
  <c r="AA146" i="95"/>
  <c r="Z146" i="95"/>
  <c r="Y146" i="95"/>
  <c r="X146" i="95"/>
  <c r="W146" i="95"/>
  <c r="V146" i="95"/>
  <c r="U146" i="95"/>
  <c r="T146" i="95"/>
  <c r="S146" i="95"/>
  <c r="R146" i="95"/>
  <c r="Q146" i="95"/>
  <c r="P146" i="95"/>
  <c r="O146" i="95"/>
  <c r="N146" i="95"/>
  <c r="M146" i="95"/>
  <c r="L146" i="95"/>
  <c r="J146" i="95" s="1"/>
  <c r="D146" i="95" s="1"/>
  <c r="K146" i="95"/>
  <c r="I146" i="95"/>
  <c r="C146" i="95" s="1"/>
  <c r="H146" i="95"/>
  <c r="B146" i="95" s="1"/>
  <c r="G146" i="95"/>
  <c r="F146" i="95"/>
  <c r="E146" i="95"/>
  <c r="AH145" i="95"/>
  <c r="AB145" i="95"/>
  <c r="AC145" i="95" s="1"/>
  <c r="AA145" i="95"/>
  <c r="Z145" i="95"/>
  <c r="Y145" i="95"/>
  <c r="X145" i="95"/>
  <c r="W145" i="95"/>
  <c r="V145" i="95"/>
  <c r="U145" i="95"/>
  <c r="T145" i="95"/>
  <c r="S145" i="95"/>
  <c r="R145" i="95"/>
  <c r="Q145" i="95"/>
  <c r="P145" i="95"/>
  <c r="O145" i="95"/>
  <c r="M145" i="95" s="1"/>
  <c r="N145" i="95"/>
  <c r="L145" i="95"/>
  <c r="J145" i="95" s="1"/>
  <c r="D145" i="95" s="1"/>
  <c r="K145" i="95"/>
  <c r="E145" i="95" s="1"/>
  <c r="I145" i="95"/>
  <c r="H145" i="95"/>
  <c r="G145" i="95"/>
  <c r="F145" i="95"/>
  <c r="C145" i="95"/>
  <c r="B145" i="95"/>
  <c r="AH144" i="95"/>
  <c r="AB144" i="95"/>
  <c r="AC144" i="95" s="1"/>
  <c r="AA144" i="95"/>
  <c r="Z144" i="95"/>
  <c r="Y144" i="95"/>
  <c r="X144" i="95"/>
  <c r="W144" i="95"/>
  <c r="V144" i="95"/>
  <c r="U144" i="95"/>
  <c r="T144" i="95"/>
  <c r="S144" i="95"/>
  <c r="R144" i="95"/>
  <c r="Q144" i="95"/>
  <c r="P144" i="95"/>
  <c r="O144" i="95"/>
  <c r="N144" i="95"/>
  <c r="M144" i="95"/>
  <c r="L144" i="95"/>
  <c r="K144" i="95"/>
  <c r="J144" i="95"/>
  <c r="D144" i="95" s="1"/>
  <c r="I144" i="95"/>
  <c r="C144" i="95" s="1"/>
  <c r="H144" i="95"/>
  <c r="G144" i="95"/>
  <c r="F144" i="95"/>
  <c r="E144" i="95"/>
  <c r="B144" i="95"/>
  <c r="AH143" i="95"/>
  <c r="AB143" i="95"/>
  <c r="AC143" i="95" s="1"/>
  <c r="AA143" i="95"/>
  <c r="Z143" i="95"/>
  <c r="Y143" i="95"/>
  <c r="X143" i="95"/>
  <c r="W143" i="95"/>
  <c r="V143" i="95"/>
  <c r="U143" i="95"/>
  <c r="T143" i="95"/>
  <c r="S143" i="95"/>
  <c r="R143" i="95"/>
  <c r="Q143" i="95"/>
  <c r="P143" i="95"/>
  <c r="O143" i="95"/>
  <c r="M143" i="95" s="1"/>
  <c r="N143" i="95"/>
  <c r="L143" i="95"/>
  <c r="J143" i="95" s="1"/>
  <c r="D143" i="95" s="1"/>
  <c r="K143" i="95"/>
  <c r="E143" i="95" s="1"/>
  <c r="I143" i="95"/>
  <c r="H143" i="95"/>
  <c r="B143" i="95" s="1"/>
  <c r="G143" i="95"/>
  <c r="F143" i="95"/>
  <c r="C143" i="95"/>
  <c r="AH142" i="95"/>
  <c r="AB142" i="95"/>
  <c r="AC142" i="95" s="1"/>
  <c r="AA142" i="95"/>
  <c r="Z142" i="95"/>
  <c r="Y142" i="95"/>
  <c r="X142" i="95"/>
  <c r="W142" i="95"/>
  <c r="V142" i="95"/>
  <c r="U142" i="95"/>
  <c r="T142" i="95"/>
  <c r="S142" i="95"/>
  <c r="R142" i="95"/>
  <c r="Q142" i="95"/>
  <c r="P142" i="95"/>
  <c r="O142" i="95"/>
  <c r="M142" i="95" s="1"/>
  <c r="N142" i="95"/>
  <c r="L142" i="95"/>
  <c r="J142" i="95" s="1"/>
  <c r="D142" i="95" s="1"/>
  <c r="K142" i="95"/>
  <c r="I142" i="95"/>
  <c r="C142" i="95" s="1"/>
  <c r="H142" i="95"/>
  <c r="B142" i="95" s="1"/>
  <c r="G142" i="95"/>
  <c r="F142" i="95"/>
  <c r="AH141" i="95"/>
  <c r="AB141" i="95"/>
  <c r="AC141" i="95" s="1"/>
  <c r="AA141" i="95"/>
  <c r="Z141" i="95"/>
  <c r="Y141" i="95"/>
  <c r="X141" i="95"/>
  <c r="W141" i="95"/>
  <c r="V141" i="95"/>
  <c r="U141" i="95"/>
  <c r="T141" i="95"/>
  <c r="S141" i="95"/>
  <c r="R141" i="95"/>
  <c r="Q141" i="95"/>
  <c r="P141" i="95"/>
  <c r="O141" i="95"/>
  <c r="M141" i="95" s="1"/>
  <c r="N141" i="95"/>
  <c r="L141" i="95"/>
  <c r="J141" i="95" s="1"/>
  <c r="D141" i="95" s="1"/>
  <c r="K141" i="95"/>
  <c r="E141" i="95" s="1"/>
  <c r="I141" i="95"/>
  <c r="H141" i="95"/>
  <c r="B141" i="95" s="1"/>
  <c r="G141" i="95"/>
  <c r="F141" i="95"/>
  <c r="C141" i="95"/>
  <c r="AH140" i="95"/>
  <c r="AB140" i="95"/>
  <c r="AC140" i="95" s="1"/>
  <c r="AA140" i="95"/>
  <c r="Z140" i="95"/>
  <c r="Y140" i="95"/>
  <c r="X140" i="95"/>
  <c r="W140" i="95"/>
  <c r="V140" i="95"/>
  <c r="U140" i="95"/>
  <c r="T140" i="95"/>
  <c r="S140" i="95"/>
  <c r="R140" i="95"/>
  <c r="Q140" i="95"/>
  <c r="P140" i="95"/>
  <c r="O140" i="95"/>
  <c r="N140" i="95"/>
  <c r="M140" i="95"/>
  <c r="L140" i="95"/>
  <c r="J140" i="95" s="1"/>
  <c r="D140" i="95" s="1"/>
  <c r="K140" i="95"/>
  <c r="E140" i="95" s="1"/>
  <c r="I140" i="95"/>
  <c r="C140" i="95" s="1"/>
  <c r="H140" i="95"/>
  <c r="B140" i="95" s="1"/>
  <c r="G140" i="95"/>
  <c r="F140" i="95"/>
  <c r="AH139" i="95"/>
  <c r="AB139" i="95"/>
  <c r="AC139" i="95" s="1"/>
  <c r="AA139" i="95"/>
  <c r="Z139" i="95"/>
  <c r="Y139" i="95"/>
  <c r="X139" i="95"/>
  <c r="W139" i="95"/>
  <c r="V139" i="95"/>
  <c r="U139" i="95"/>
  <c r="T139" i="95"/>
  <c r="S139" i="95"/>
  <c r="R139" i="95"/>
  <c r="Q139" i="95"/>
  <c r="P139" i="95"/>
  <c r="O139" i="95"/>
  <c r="M139" i="95" s="1"/>
  <c r="N139" i="95"/>
  <c r="L139" i="95"/>
  <c r="K139" i="95"/>
  <c r="J139" i="95"/>
  <c r="D139" i="95" s="1"/>
  <c r="I139" i="95"/>
  <c r="H139" i="95"/>
  <c r="G139" i="95"/>
  <c r="F139" i="95"/>
  <c r="C139" i="95"/>
  <c r="B139" i="95"/>
  <c r="AH138" i="95"/>
  <c r="AB138" i="95"/>
  <c r="AC138" i="95" s="1"/>
  <c r="AA138" i="95"/>
  <c r="Z138" i="95"/>
  <c r="Y138" i="95"/>
  <c r="X138" i="95"/>
  <c r="W138" i="95"/>
  <c r="V138" i="95"/>
  <c r="U138" i="95"/>
  <c r="T138" i="95"/>
  <c r="S138" i="95"/>
  <c r="R138" i="95"/>
  <c r="Q138" i="95"/>
  <c r="P138" i="95"/>
  <c r="O138" i="95"/>
  <c r="N138" i="95"/>
  <c r="M138" i="95"/>
  <c r="L138" i="95"/>
  <c r="J138" i="95" s="1"/>
  <c r="D138" i="95" s="1"/>
  <c r="K138" i="95"/>
  <c r="I138" i="95"/>
  <c r="C138" i="95" s="1"/>
  <c r="H138" i="95"/>
  <c r="B138" i="95" s="1"/>
  <c r="G138" i="95"/>
  <c r="F138" i="95"/>
  <c r="E138" i="95"/>
  <c r="AH137" i="95"/>
  <c r="AB137" i="95"/>
  <c r="AC137" i="95" s="1"/>
  <c r="AA137" i="95"/>
  <c r="Z137" i="95"/>
  <c r="Y137" i="95"/>
  <c r="X137" i="95"/>
  <c r="W137" i="95"/>
  <c r="V137" i="95"/>
  <c r="U137" i="95"/>
  <c r="T137" i="95"/>
  <c r="S137" i="95"/>
  <c r="R137" i="95"/>
  <c r="Q137" i="95"/>
  <c r="P137" i="95"/>
  <c r="O137" i="95"/>
  <c r="M137" i="95" s="1"/>
  <c r="N137" i="95"/>
  <c r="L137" i="95"/>
  <c r="J137" i="95" s="1"/>
  <c r="D137" i="95" s="1"/>
  <c r="K137" i="95"/>
  <c r="E137" i="95" s="1"/>
  <c r="I137" i="95"/>
  <c r="H137" i="95"/>
  <c r="G137" i="95"/>
  <c r="F137" i="95"/>
  <c r="C137" i="95"/>
  <c r="B137" i="95"/>
  <c r="AH136" i="95"/>
  <c r="AB136" i="95"/>
  <c r="AC136" i="95" s="1"/>
  <c r="AA136" i="95"/>
  <c r="Z136" i="95"/>
  <c r="Y136" i="95"/>
  <c r="X136" i="95"/>
  <c r="W136" i="95"/>
  <c r="V136" i="95"/>
  <c r="U136" i="95"/>
  <c r="T136" i="95"/>
  <c r="S136" i="95"/>
  <c r="R136" i="95"/>
  <c r="Q136" i="95"/>
  <c r="P136" i="95"/>
  <c r="O136" i="95"/>
  <c r="N136" i="95"/>
  <c r="M136" i="95"/>
  <c r="L136" i="95"/>
  <c r="K136" i="95"/>
  <c r="J136" i="95"/>
  <c r="D136" i="95" s="1"/>
  <c r="I136" i="95"/>
  <c r="C136" i="95" s="1"/>
  <c r="H136" i="95"/>
  <c r="G136" i="95"/>
  <c r="F136" i="95"/>
  <c r="E136" i="95"/>
  <c r="B136" i="95"/>
  <c r="AH135" i="95"/>
  <c r="AB135" i="95"/>
  <c r="AC135" i="95" s="1"/>
  <c r="AA135" i="95"/>
  <c r="Z135" i="95"/>
  <c r="Y135" i="95"/>
  <c r="X135" i="95"/>
  <c r="W135" i="95"/>
  <c r="V135" i="95"/>
  <c r="U135" i="95"/>
  <c r="T135" i="95"/>
  <c r="S135" i="95"/>
  <c r="R135" i="95"/>
  <c r="Q135" i="95"/>
  <c r="P135" i="95"/>
  <c r="O135" i="95"/>
  <c r="M135" i="95" s="1"/>
  <c r="N135" i="95"/>
  <c r="L135" i="95"/>
  <c r="J135" i="95" s="1"/>
  <c r="D135" i="95" s="1"/>
  <c r="K135" i="95"/>
  <c r="E135" i="95" s="1"/>
  <c r="I135" i="95"/>
  <c r="H135" i="95"/>
  <c r="B135" i="95" s="1"/>
  <c r="G135" i="95"/>
  <c r="F135" i="95"/>
  <c r="C135" i="95"/>
  <c r="AH134" i="95"/>
  <c r="AB134" i="95"/>
  <c r="AC134" i="95" s="1"/>
  <c r="AA134" i="95"/>
  <c r="Z134" i="95"/>
  <c r="Y134" i="95"/>
  <c r="X134" i="95"/>
  <c r="W134" i="95"/>
  <c r="V134" i="95"/>
  <c r="U134" i="95"/>
  <c r="T134" i="95"/>
  <c r="S134" i="95"/>
  <c r="R134" i="95"/>
  <c r="Q134" i="95"/>
  <c r="P134" i="95"/>
  <c r="O134" i="95"/>
  <c r="M134" i="95" s="1"/>
  <c r="N134" i="95"/>
  <c r="L134" i="95"/>
  <c r="J134" i="95" s="1"/>
  <c r="D134" i="95" s="1"/>
  <c r="K134" i="95"/>
  <c r="I134" i="95"/>
  <c r="C134" i="95" s="1"/>
  <c r="H134" i="95"/>
  <c r="B134" i="95" s="1"/>
  <c r="G134" i="95"/>
  <c r="F134" i="95"/>
  <c r="AH133" i="95"/>
  <c r="AB133" i="95"/>
  <c r="AC133" i="95" s="1"/>
  <c r="AA133" i="95"/>
  <c r="Z133" i="95"/>
  <c r="Y133" i="95"/>
  <c r="X133" i="95"/>
  <c r="W133" i="95"/>
  <c r="V133" i="95"/>
  <c r="U133" i="95"/>
  <c r="T133" i="95"/>
  <c r="S133" i="95"/>
  <c r="R133" i="95"/>
  <c r="Q133" i="95"/>
  <c r="P133" i="95"/>
  <c r="O133" i="95"/>
  <c r="M133" i="95" s="1"/>
  <c r="N133" i="95"/>
  <c r="L133" i="95"/>
  <c r="J133" i="95" s="1"/>
  <c r="D133" i="95" s="1"/>
  <c r="K133" i="95"/>
  <c r="E133" i="95" s="1"/>
  <c r="I133" i="95"/>
  <c r="H133" i="95"/>
  <c r="B133" i="95" s="1"/>
  <c r="G133" i="95"/>
  <c r="F133" i="95"/>
  <c r="C133" i="95"/>
  <c r="AH132" i="95"/>
  <c r="AB132" i="95"/>
  <c r="AC132" i="95" s="1"/>
  <c r="AA132" i="95"/>
  <c r="Z132" i="95"/>
  <c r="Y132" i="95"/>
  <c r="X132" i="95"/>
  <c r="W132" i="95"/>
  <c r="V132" i="95"/>
  <c r="U132" i="95"/>
  <c r="T132" i="95"/>
  <c r="S132" i="95"/>
  <c r="R132" i="95"/>
  <c r="Q132" i="95"/>
  <c r="P132" i="95"/>
  <c r="O132" i="95"/>
  <c r="N132" i="95"/>
  <c r="M132" i="95"/>
  <c r="L132" i="95"/>
  <c r="J132" i="95" s="1"/>
  <c r="D132" i="95" s="1"/>
  <c r="K132" i="95"/>
  <c r="E132" i="95" s="1"/>
  <c r="I132" i="95"/>
  <c r="C132" i="95" s="1"/>
  <c r="H132" i="95"/>
  <c r="B132" i="95" s="1"/>
  <c r="G132" i="95"/>
  <c r="F132" i="95"/>
  <c r="AH131" i="95"/>
  <c r="AB131" i="95"/>
  <c r="AC131" i="95" s="1"/>
  <c r="AA131" i="95"/>
  <c r="Z131" i="95"/>
  <c r="Y131" i="95"/>
  <c r="X131" i="95"/>
  <c r="W131" i="95"/>
  <c r="V131" i="95"/>
  <c r="U131" i="95"/>
  <c r="T131" i="95"/>
  <c r="S131" i="95"/>
  <c r="R131" i="95"/>
  <c r="Q131" i="95"/>
  <c r="P131" i="95"/>
  <c r="O131" i="95"/>
  <c r="M131" i="95" s="1"/>
  <c r="N131" i="95"/>
  <c r="L131" i="95"/>
  <c r="K131" i="95"/>
  <c r="J131" i="95"/>
  <c r="D131" i="95" s="1"/>
  <c r="I131" i="95"/>
  <c r="H131" i="95"/>
  <c r="G131" i="95"/>
  <c r="F131" i="95"/>
  <c r="C131" i="95"/>
  <c r="B131" i="95"/>
  <c r="AH130" i="95"/>
  <c r="AB130" i="95"/>
  <c r="AC130" i="95" s="1"/>
  <c r="AA130" i="95"/>
  <c r="Z130" i="95"/>
  <c r="Y130" i="95"/>
  <c r="X130" i="95"/>
  <c r="W130" i="95"/>
  <c r="V130" i="95"/>
  <c r="U130" i="95"/>
  <c r="T130" i="95"/>
  <c r="S130" i="95"/>
  <c r="R130" i="95"/>
  <c r="Q130" i="95"/>
  <c r="P130" i="95"/>
  <c r="O130" i="95"/>
  <c r="N130" i="95"/>
  <c r="M130" i="95"/>
  <c r="L130" i="95"/>
  <c r="J130" i="95" s="1"/>
  <c r="D130" i="95" s="1"/>
  <c r="K130" i="95"/>
  <c r="I130" i="95"/>
  <c r="C130" i="95" s="1"/>
  <c r="H130" i="95"/>
  <c r="B130" i="95" s="1"/>
  <c r="G130" i="95"/>
  <c r="F130" i="95"/>
  <c r="E130" i="95"/>
  <c r="AH129" i="95"/>
  <c r="AB129" i="95"/>
  <c r="AC129" i="95" s="1"/>
  <c r="AA129" i="95"/>
  <c r="Z129" i="95"/>
  <c r="Y129" i="95"/>
  <c r="X129" i="95"/>
  <c r="W129" i="95"/>
  <c r="V129" i="95"/>
  <c r="U129" i="95"/>
  <c r="T129" i="95"/>
  <c r="S129" i="95"/>
  <c r="R129" i="95"/>
  <c r="Q129" i="95"/>
  <c r="P129" i="95"/>
  <c r="O129" i="95"/>
  <c r="M129" i="95" s="1"/>
  <c r="N129" i="95"/>
  <c r="L129" i="95"/>
  <c r="J129" i="95" s="1"/>
  <c r="D129" i="95" s="1"/>
  <c r="K129" i="95"/>
  <c r="E129" i="95" s="1"/>
  <c r="I129" i="95"/>
  <c r="H129" i="95"/>
  <c r="G129" i="95"/>
  <c r="F129" i="95"/>
  <c r="C129" i="95"/>
  <c r="B129" i="95"/>
  <c r="AH128" i="95"/>
  <c r="AB128" i="95"/>
  <c r="AC128" i="95" s="1"/>
  <c r="AA128" i="95"/>
  <c r="Z128" i="95"/>
  <c r="Y128" i="95"/>
  <c r="X128" i="95"/>
  <c r="W128" i="95"/>
  <c r="V128" i="95"/>
  <c r="U128" i="95"/>
  <c r="T128" i="95"/>
  <c r="S128" i="95"/>
  <c r="R128" i="95"/>
  <c r="Q128" i="95"/>
  <c r="P128" i="95"/>
  <c r="O128" i="95"/>
  <c r="N128" i="95"/>
  <c r="M128" i="95"/>
  <c r="L128" i="95"/>
  <c r="K128" i="95"/>
  <c r="J128" i="95"/>
  <c r="D128" i="95" s="1"/>
  <c r="I128" i="95"/>
  <c r="C128" i="95" s="1"/>
  <c r="H128" i="95"/>
  <c r="G128" i="95"/>
  <c r="F128" i="95"/>
  <c r="E128" i="95"/>
  <c r="B128" i="95"/>
  <c r="AH127" i="95"/>
  <c r="AB127" i="95"/>
  <c r="AC127" i="95" s="1"/>
  <c r="AA127" i="95"/>
  <c r="Z127" i="95"/>
  <c r="Y127" i="95"/>
  <c r="X127" i="95"/>
  <c r="W127" i="95"/>
  <c r="V127" i="95"/>
  <c r="U127" i="95"/>
  <c r="T127" i="95"/>
  <c r="S127" i="95"/>
  <c r="R127" i="95"/>
  <c r="Q127" i="95"/>
  <c r="P127" i="95"/>
  <c r="O127" i="95"/>
  <c r="M127" i="95" s="1"/>
  <c r="N127" i="95"/>
  <c r="L127" i="95"/>
  <c r="J127" i="95" s="1"/>
  <c r="D127" i="95" s="1"/>
  <c r="K127" i="95"/>
  <c r="E127" i="95" s="1"/>
  <c r="I127" i="95"/>
  <c r="H127" i="95"/>
  <c r="B127" i="95" s="1"/>
  <c r="G127" i="95"/>
  <c r="F127" i="95"/>
  <c r="C127" i="95"/>
  <c r="AH126" i="95"/>
  <c r="AB126" i="95"/>
  <c r="AC126" i="95" s="1"/>
  <c r="AA126" i="95"/>
  <c r="Z126" i="95"/>
  <c r="Y126" i="95"/>
  <c r="X126" i="95"/>
  <c r="W126" i="95"/>
  <c r="V126" i="95"/>
  <c r="U126" i="95"/>
  <c r="T126" i="95"/>
  <c r="S126" i="95"/>
  <c r="R126" i="95"/>
  <c r="Q126" i="95"/>
  <c r="P126" i="95"/>
  <c r="O126" i="95"/>
  <c r="M126" i="95" s="1"/>
  <c r="N126" i="95"/>
  <c r="L126" i="95"/>
  <c r="J126" i="95" s="1"/>
  <c r="D126" i="95" s="1"/>
  <c r="K126" i="95"/>
  <c r="I126" i="95"/>
  <c r="C126" i="95" s="1"/>
  <c r="H126" i="95"/>
  <c r="B126" i="95" s="1"/>
  <c r="G126" i="95"/>
  <c r="F126" i="95"/>
  <c r="AH125" i="95"/>
  <c r="AB125" i="95"/>
  <c r="AC125" i="95" s="1"/>
  <c r="AA125" i="95"/>
  <c r="Z125" i="95"/>
  <c r="Y125" i="95"/>
  <c r="X125" i="95"/>
  <c r="W125" i="95"/>
  <c r="V125" i="95"/>
  <c r="U125" i="95"/>
  <c r="T125" i="95"/>
  <c r="S125" i="95"/>
  <c r="R125" i="95"/>
  <c r="Q125" i="95"/>
  <c r="P125" i="95"/>
  <c r="O125" i="95"/>
  <c r="M125" i="95" s="1"/>
  <c r="N125" i="95"/>
  <c r="L125" i="95"/>
  <c r="J125" i="95" s="1"/>
  <c r="D125" i="95" s="1"/>
  <c r="K125" i="95"/>
  <c r="E125" i="95" s="1"/>
  <c r="I125" i="95"/>
  <c r="H125" i="95"/>
  <c r="B125" i="95" s="1"/>
  <c r="G125" i="95"/>
  <c r="F125" i="95"/>
  <c r="C125" i="95"/>
  <c r="AH124" i="95"/>
  <c r="AB124" i="95"/>
  <c r="AC124" i="95" s="1"/>
  <c r="AA124" i="95"/>
  <c r="Z124" i="95"/>
  <c r="Y124" i="95"/>
  <c r="X124" i="95"/>
  <c r="W124" i="95"/>
  <c r="V124" i="95"/>
  <c r="U124" i="95"/>
  <c r="T124" i="95"/>
  <c r="S124" i="95"/>
  <c r="R124" i="95"/>
  <c r="Q124" i="95"/>
  <c r="P124" i="95"/>
  <c r="O124" i="95"/>
  <c r="N124" i="95"/>
  <c r="M124" i="95"/>
  <c r="L124" i="95"/>
  <c r="J124" i="95" s="1"/>
  <c r="D124" i="95" s="1"/>
  <c r="K124" i="95"/>
  <c r="E124" i="95" s="1"/>
  <c r="I124" i="95"/>
  <c r="C124" i="95" s="1"/>
  <c r="H124" i="95"/>
  <c r="B124" i="95" s="1"/>
  <c r="G124" i="95"/>
  <c r="F124" i="95"/>
  <c r="AH123" i="95"/>
  <c r="AB123" i="95"/>
  <c r="AC123" i="95" s="1"/>
  <c r="AA123" i="95"/>
  <c r="Z123" i="95"/>
  <c r="Y123" i="95"/>
  <c r="X123" i="95"/>
  <c r="W123" i="95"/>
  <c r="V123" i="95"/>
  <c r="U123" i="95"/>
  <c r="T123" i="95"/>
  <c r="S123" i="95"/>
  <c r="R123" i="95"/>
  <c r="Q123" i="95"/>
  <c r="P123" i="95"/>
  <c r="O123" i="95"/>
  <c r="M123" i="95" s="1"/>
  <c r="N123" i="95"/>
  <c r="L123" i="95"/>
  <c r="K123" i="95"/>
  <c r="J123" i="95"/>
  <c r="D123" i="95" s="1"/>
  <c r="I123" i="95"/>
  <c r="H123" i="95"/>
  <c r="G123" i="95"/>
  <c r="F123" i="95"/>
  <c r="C123" i="95"/>
  <c r="B123" i="95"/>
  <c r="AH122" i="95"/>
  <c r="AB122" i="95"/>
  <c r="AC122" i="95" s="1"/>
  <c r="AA122" i="95"/>
  <c r="Z122" i="95"/>
  <c r="Y122" i="95"/>
  <c r="X122" i="95"/>
  <c r="W122" i="95"/>
  <c r="V122" i="95"/>
  <c r="U122" i="95"/>
  <c r="T122" i="95"/>
  <c r="S122" i="95"/>
  <c r="R122" i="95"/>
  <c r="Q122" i="95"/>
  <c r="P122" i="95"/>
  <c r="O122" i="95"/>
  <c r="N122" i="95"/>
  <c r="M122" i="95"/>
  <c r="L122" i="95"/>
  <c r="J122" i="95" s="1"/>
  <c r="D122" i="95" s="1"/>
  <c r="K122" i="95"/>
  <c r="I122" i="95"/>
  <c r="C122" i="95" s="1"/>
  <c r="H122" i="95"/>
  <c r="B122" i="95" s="1"/>
  <c r="G122" i="95"/>
  <c r="F122" i="95"/>
  <c r="E122" i="95"/>
  <c r="AH121" i="95"/>
  <c r="AB121" i="95"/>
  <c r="AC121" i="95" s="1"/>
  <c r="AA121" i="95"/>
  <c r="Z121" i="95"/>
  <c r="Y121" i="95"/>
  <c r="X121" i="95"/>
  <c r="W121" i="95"/>
  <c r="V121" i="95"/>
  <c r="U121" i="95"/>
  <c r="T121" i="95"/>
  <c r="S121" i="95"/>
  <c r="R121" i="95"/>
  <c r="Q121" i="95"/>
  <c r="P121" i="95"/>
  <c r="O121" i="95"/>
  <c r="M121" i="95" s="1"/>
  <c r="N121" i="95"/>
  <c r="L121" i="95"/>
  <c r="J121" i="95" s="1"/>
  <c r="D121" i="95" s="1"/>
  <c r="K121" i="95"/>
  <c r="E121" i="95" s="1"/>
  <c r="I121" i="95"/>
  <c r="H121" i="95"/>
  <c r="G121" i="95"/>
  <c r="F121" i="95"/>
  <c r="C121" i="95"/>
  <c r="B121" i="95"/>
  <c r="AH120" i="95"/>
  <c r="AB120" i="95"/>
  <c r="AC120" i="95" s="1"/>
  <c r="AA120" i="95"/>
  <c r="Z120" i="95"/>
  <c r="Y120" i="95"/>
  <c r="X120" i="95"/>
  <c r="W120" i="95"/>
  <c r="V120" i="95"/>
  <c r="U120" i="95"/>
  <c r="T120" i="95"/>
  <c r="S120" i="95"/>
  <c r="R120" i="95"/>
  <c r="Q120" i="95"/>
  <c r="P120" i="95"/>
  <c r="O120" i="95"/>
  <c r="N120" i="95"/>
  <c r="M120" i="95"/>
  <c r="L120" i="95"/>
  <c r="K120" i="95"/>
  <c r="J120" i="95"/>
  <c r="D120" i="95" s="1"/>
  <c r="I120" i="95"/>
  <c r="C120" i="95" s="1"/>
  <c r="H120" i="95"/>
  <c r="G120" i="95"/>
  <c r="F120" i="95"/>
  <c r="E120" i="95"/>
  <c r="B120" i="95"/>
  <c r="AH119" i="95"/>
  <c r="AB119" i="95"/>
  <c r="AC119" i="95" s="1"/>
  <c r="AA119" i="95"/>
  <c r="Z119" i="95"/>
  <c r="Y119" i="95"/>
  <c r="X119" i="95"/>
  <c r="W119" i="95"/>
  <c r="V119" i="95"/>
  <c r="U119" i="95"/>
  <c r="T119" i="95"/>
  <c r="S119" i="95"/>
  <c r="R119" i="95"/>
  <c r="Q119" i="95"/>
  <c r="P119" i="95"/>
  <c r="O119" i="95"/>
  <c r="M119" i="95" s="1"/>
  <c r="N119" i="95"/>
  <c r="L119" i="95"/>
  <c r="J119" i="95" s="1"/>
  <c r="D119" i="95" s="1"/>
  <c r="K119" i="95"/>
  <c r="E119" i="95" s="1"/>
  <c r="I119" i="95"/>
  <c r="H119" i="95"/>
  <c r="B119" i="95" s="1"/>
  <c r="G119" i="95"/>
  <c r="F119" i="95"/>
  <c r="C119" i="95"/>
  <c r="AH118" i="95"/>
  <c r="AB118" i="95"/>
  <c r="AC118" i="95" s="1"/>
  <c r="AA118" i="95"/>
  <c r="Z118" i="95"/>
  <c r="Y118" i="95"/>
  <c r="X118" i="95"/>
  <c r="W118" i="95"/>
  <c r="V118" i="95"/>
  <c r="U118" i="95"/>
  <c r="T118" i="95"/>
  <c r="S118" i="95"/>
  <c r="R118" i="95"/>
  <c r="Q118" i="95"/>
  <c r="P118" i="95"/>
  <c r="O118" i="95"/>
  <c r="M118" i="95" s="1"/>
  <c r="N118" i="95"/>
  <c r="L118" i="95"/>
  <c r="J118" i="95" s="1"/>
  <c r="D118" i="95" s="1"/>
  <c r="K118" i="95"/>
  <c r="I118" i="95"/>
  <c r="C118" i="95" s="1"/>
  <c r="H118" i="95"/>
  <c r="B118" i="95" s="1"/>
  <c r="G118" i="95"/>
  <c r="F118" i="95"/>
  <c r="AH117" i="95"/>
  <c r="AB117" i="95"/>
  <c r="AC117" i="95" s="1"/>
  <c r="AA117" i="95"/>
  <c r="Z117" i="95"/>
  <c r="Y117" i="95"/>
  <c r="X117" i="95"/>
  <c r="W117" i="95"/>
  <c r="V117" i="95"/>
  <c r="U117" i="95"/>
  <c r="T117" i="95"/>
  <c r="S117" i="95"/>
  <c r="R117" i="95"/>
  <c r="Q117" i="95"/>
  <c r="P117" i="95"/>
  <c r="O117" i="95"/>
  <c r="M117" i="95" s="1"/>
  <c r="N117" i="95"/>
  <c r="L117" i="95"/>
  <c r="J117" i="95" s="1"/>
  <c r="D117" i="95" s="1"/>
  <c r="K117" i="95"/>
  <c r="E117" i="95" s="1"/>
  <c r="I117" i="95"/>
  <c r="H117" i="95"/>
  <c r="B117" i="95" s="1"/>
  <c r="G117" i="95"/>
  <c r="F117" i="95"/>
  <c r="C117" i="95"/>
  <c r="AH116" i="95"/>
  <c r="AB116" i="95"/>
  <c r="AC116" i="95" s="1"/>
  <c r="AA116" i="95"/>
  <c r="Z116" i="95"/>
  <c r="Y116" i="95"/>
  <c r="X116" i="95"/>
  <c r="W116" i="95"/>
  <c r="V116" i="95"/>
  <c r="U116" i="95"/>
  <c r="T116" i="95"/>
  <c r="S116" i="95"/>
  <c r="R116" i="95"/>
  <c r="Q116" i="95"/>
  <c r="P116" i="95"/>
  <c r="O116" i="95"/>
  <c r="N116" i="95"/>
  <c r="M116" i="95"/>
  <c r="L116" i="95"/>
  <c r="J116" i="95" s="1"/>
  <c r="D116" i="95" s="1"/>
  <c r="K116" i="95"/>
  <c r="E116" i="95" s="1"/>
  <c r="I116" i="95"/>
  <c r="C116" i="95" s="1"/>
  <c r="H116" i="95"/>
  <c r="B116" i="95" s="1"/>
  <c r="G116" i="95"/>
  <c r="F116" i="95"/>
  <c r="AH115" i="95"/>
  <c r="AB115" i="95"/>
  <c r="AC115" i="95" s="1"/>
  <c r="AA115" i="95"/>
  <c r="Z115" i="95"/>
  <c r="Y115" i="95"/>
  <c r="X115" i="95"/>
  <c r="W115" i="95"/>
  <c r="V115" i="95"/>
  <c r="U115" i="95"/>
  <c r="T115" i="95"/>
  <c r="S115" i="95"/>
  <c r="R115" i="95"/>
  <c r="Q115" i="95"/>
  <c r="P115" i="95"/>
  <c r="O115" i="95"/>
  <c r="M115" i="95" s="1"/>
  <c r="N115" i="95"/>
  <c r="L115" i="95"/>
  <c r="K115" i="95"/>
  <c r="J115" i="95"/>
  <c r="D115" i="95" s="1"/>
  <c r="I115" i="95"/>
  <c r="H115" i="95"/>
  <c r="G115" i="95"/>
  <c r="F115" i="95"/>
  <c r="C115" i="95"/>
  <c r="B115" i="95"/>
  <c r="AH114" i="95"/>
  <c r="AB114" i="95"/>
  <c r="AC114" i="95" s="1"/>
  <c r="AA114" i="95"/>
  <c r="Z114" i="95"/>
  <c r="Y114" i="95"/>
  <c r="X114" i="95"/>
  <c r="W114" i="95"/>
  <c r="V114" i="95"/>
  <c r="U114" i="95"/>
  <c r="T114" i="95"/>
  <c r="S114" i="95"/>
  <c r="R114" i="95"/>
  <c r="Q114" i="95"/>
  <c r="P114" i="95"/>
  <c r="O114" i="95"/>
  <c r="N114" i="95"/>
  <c r="M114" i="95"/>
  <c r="L114" i="95"/>
  <c r="J114" i="95" s="1"/>
  <c r="D114" i="95" s="1"/>
  <c r="K114" i="95"/>
  <c r="I114" i="95"/>
  <c r="C114" i="95" s="1"/>
  <c r="H114" i="95"/>
  <c r="B114" i="95" s="1"/>
  <c r="G114" i="95"/>
  <c r="F114" i="95"/>
  <c r="E114" i="95"/>
  <c r="AH113" i="95"/>
  <c r="AB113" i="95"/>
  <c r="AC113" i="95" s="1"/>
  <c r="AA113" i="95"/>
  <c r="Z113" i="95"/>
  <c r="Y113" i="95"/>
  <c r="X113" i="95"/>
  <c r="W113" i="95"/>
  <c r="V113" i="95"/>
  <c r="U113" i="95"/>
  <c r="T113" i="95"/>
  <c r="S113" i="95"/>
  <c r="R113" i="95"/>
  <c r="Q113" i="95"/>
  <c r="P113" i="95"/>
  <c r="O113" i="95"/>
  <c r="M113" i="95" s="1"/>
  <c r="N113" i="95"/>
  <c r="L113" i="95"/>
  <c r="J113" i="95" s="1"/>
  <c r="D113" i="95" s="1"/>
  <c r="K113" i="95"/>
  <c r="E113" i="95" s="1"/>
  <c r="I113" i="95"/>
  <c r="H113" i="95"/>
  <c r="G113" i="95"/>
  <c r="F113" i="95"/>
  <c r="C113" i="95"/>
  <c r="B113" i="95"/>
  <c r="AH112" i="95"/>
  <c r="AB112" i="95"/>
  <c r="AC112" i="95" s="1"/>
  <c r="AA112" i="95"/>
  <c r="Z112" i="95"/>
  <c r="Y112" i="95"/>
  <c r="X112" i="95"/>
  <c r="W112" i="95"/>
  <c r="V112" i="95"/>
  <c r="U112" i="95"/>
  <c r="T112" i="95"/>
  <c r="S112" i="95"/>
  <c r="R112" i="95"/>
  <c r="Q112" i="95"/>
  <c r="P112" i="95"/>
  <c r="O112" i="95"/>
  <c r="N112" i="95"/>
  <c r="M112" i="95"/>
  <c r="L112" i="95"/>
  <c r="K112" i="95"/>
  <c r="J112" i="95"/>
  <c r="D112" i="95" s="1"/>
  <c r="I112" i="95"/>
  <c r="C112" i="95" s="1"/>
  <c r="H112" i="95"/>
  <c r="G112" i="95"/>
  <c r="F112" i="95"/>
  <c r="E112" i="95"/>
  <c r="B112" i="95"/>
  <c r="AH111" i="95"/>
  <c r="AB111" i="95"/>
  <c r="AC111" i="95" s="1"/>
  <c r="AA111" i="95"/>
  <c r="Z111" i="95"/>
  <c r="Y111" i="95"/>
  <c r="X111" i="95"/>
  <c r="W111" i="95"/>
  <c r="V111" i="95"/>
  <c r="U111" i="95"/>
  <c r="T111" i="95"/>
  <c r="S111" i="95"/>
  <c r="R111" i="95"/>
  <c r="Q111" i="95"/>
  <c r="P111" i="95"/>
  <c r="O111" i="95"/>
  <c r="M111" i="95" s="1"/>
  <c r="N111" i="95"/>
  <c r="L111" i="95"/>
  <c r="J111" i="95" s="1"/>
  <c r="D111" i="95" s="1"/>
  <c r="K111" i="95"/>
  <c r="E111" i="95" s="1"/>
  <c r="I111" i="95"/>
  <c r="H111" i="95"/>
  <c r="B111" i="95" s="1"/>
  <c r="G111" i="95"/>
  <c r="F111" i="95"/>
  <c r="C111" i="95"/>
  <c r="AH110" i="95"/>
  <c r="AB110" i="95"/>
  <c r="AC110" i="95" s="1"/>
  <c r="AA110" i="95"/>
  <c r="Z110" i="95"/>
  <c r="Y110" i="95"/>
  <c r="X110" i="95"/>
  <c r="W110" i="95"/>
  <c r="V110" i="95"/>
  <c r="U110" i="95"/>
  <c r="T110" i="95"/>
  <c r="S110" i="95"/>
  <c r="R110" i="95"/>
  <c r="Q110" i="95"/>
  <c r="P110" i="95"/>
  <c r="O110" i="95"/>
  <c r="M110" i="95" s="1"/>
  <c r="N110" i="95"/>
  <c r="L110" i="95"/>
  <c r="J110" i="95" s="1"/>
  <c r="D110" i="95" s="1"/>
  <c r="K110" i="95"/>
  <c r="I110" i="95"/>
  <c r="C110" i="95" s="1"/>
  <c r="H110" i="95"/>
  <c r="B110" i="95" s="1"/>
  <c r="G110" i="95"/>
  <c r="F110" i="95"/>
  <c r="AH109" i="95"/>
  <c r="AB109" i="95"/>
  <c r="AC109" i="95" s="1"/>
  <c r="AA109" i="95"/>
  <c r="Z109" i="95"/>
  <c r="Y109" i="95"/>
  <c r="X109" i="95"/>
  <c r="W109" i="95"/>
  <c r="V109" i="95"/>
  <c r="U109" i="95"/>
  <c r="T109" i="95"/>
  <c r="S109" i="95"/>
  <c r="R109" i="95"/>
  <c r="Q109" i="95"/>
  <c r="P109" i="95"/>
  <c r="O109" i="95"/>
  <c r="M109" i="95" s="1"/>
  <c r="N109" i="95"/>
  <c r="L109" i="95"/>
  <c r="J109" i="95" s="1"/>
  <c r="D109" i="95" s="1"/>
  <c r="K109" i="95"/>
  <c r="E109" i="95" s="1"/>
  <c r="I109" i="95"/>
  <c r="H109" i="95"/>
  <c r="B109" i="95" s="1"/>
  <c r="G109" i="95"/>
  <c r="F109" i="95"/>
  <c r="C109" i="95"/>
  <c r="AH108" i="95"/>
  <c r="AB108" i="95"/>
  <c r="AC108" i="95" s="1"/>
  <c r="AA108" i="95"/>
  <c r="Z108" i="95"/>
  <c r="Y108" i="95"/>
  <c r="X108" i="95"/>
  <c r="W108" i="95"/>
  <c r="V108" i="95"/>
  <c r="U108" i="95"/>
  <c r="T108" i="95"/>
  <c r="S108" i="95"/>
  <c r="R108" i="95"/>
  <c r="Q108" i="95"/>
  <c r="P108" i="95"/>
  <c r="O108" i="95"/>
  <c r="N108" i="95"/>
  <c r="M108" i="95"/>
  <c r="L108" i="95"/>
  <c r="J108" i="95" s="1"/>
  <c r="D108" i="95" s="1"/>
  <c r="K108" i="95"/>
  <c r="E108" i="95" s="1"/>
  <c r="I108" i="95"/>
  <c r="C108" i="95" s="1"/>
  <c r="H108" i="95"/>
  <c r="B108" i="95" s="1"/>
  <c r="G108" i="95"/>
  <c r="F108" i="95"/>
  <c r="AH107" i="95"/>
  <c r="AB107" i="95"/>
  <c r="AC107" i="95" s="1"/>
  <c r="AA107" i="95"/>
  <c r="Z107" i="95"/>
  <c r="Y107" i="95"/>
  <c r="X107" i="95"/>
  <c r="W107" i="95"/>
  <c r="V107" i="95"/>
  <c r="U107" i="95"/>
  <c r="T107" i="95"/>
  <c r="S107" i="95"/>
  <c r="R107" i="95"/>
  <c r="Q107" i="95"/>
  <c r="P107" i="95"/>
  <c r="O107" i="95"/>
  <c r="M107" i="95" s="1"/>
  <c r="N107" i="95"/>
  <c r="L107" i="95"/>
  <c r="K107" i="95"/>
  <c r="J107" i="95"/>
  <c r="D107" i="95" s="1"/>
  <c r="I107" i="95"/>
  <c r="H107" i="95"/>
  <c r="G107" i="95"/>
  <c r="F107" i="95"/>
  <c r="C107" i="95"/>
  <c r="B107" i="95"/>
  <c r="AH106" i="95"/>
  <c r="AB106" i="95"/>
  <c r="AC106" i="95" s="1"/>
  <c r="AA106" i="95"/>
  <c r="Z106" i="95"/>
  <c r="Y106" i="95"/>
  <c r="X106" i="95"/>
  <c r="W106" i="95"/>
  <c r="V106" i="95"/>
  <c r="U106" i="95"/>
  <c r="T106" i="95"/>
  <c r="S106" i="95"/>
  <c r="R106" i="95"/>
  <c r="Q106" i="95"/>
  <c r="P106" i="95"/>
  <c r="O106" i="95"/>
  <c r="N106" i="95"/>
  <c r="M106" i="95"/>
  <c r="L106" i="95"/>
  <c r="J106" i="95" s="1"/>
  <c r="D106" i="95" s="1"/>
  <c r="K106" i="95"/>
  <c r="I106" i="95"/>
  <c r="C106" i="95" s="1"/>
  <c r="H106" i="95"/>
  <c r="B106" i="95" s="1"/>
  <c r="G106" i="95"/>
  <c r="F106" i="95"/>
  <c r="E106" i="95"/>
  <c r="AH105" i="95"/>
  <c r="AB105" i="95"/>
  <c r="AC105" i="95" s="1"/>
  <c r="AA105" i="95"/>
  <c r="Z105" i="95"/>
  <c r="Y105" i="95"/>
  <c r="X105" i="95"/>
  <c r="W105" i="95"/>
  <c r="V105" i="95"/>
  <c r="U105" i="95"/>
  <c r="T105" i="95"/>
  <c r="S105" i="95"/>
  <c r="R105" i="95"/>
  <c r="Q105" i="95"/>
  <c r="P105" i="95"/>
  <c r="O105" i="95"/>
  <c r="M105" i="95" s="1"/>
  <c r="N105" i="95"/>
  <c r="L105" i="95"/>
  <c r="J105" i="95" s="1"/>
  <c r="D105" i="95" s="1"/>
  <c r="K105" i="95"/>
  <c r="E105" i="95" s="1"/>
  <c r="I105" i="95"/>
  <c r="H105" i="95"/>
  <c r="G105" i="95"/>
  <c r="F105" i="95"/>
  <c r="C105" i="95"/>
  <c r="B105" i="95"/>
  <c r="AH104" i="95"/>
  <c r="AB104" i="95"/>
  <c r="AC104" i="95" s="1"/>
  <c r="AA104" i="95"/>
  <c r="Z104" i="95"/>
  <c r="Y104" i="95"/>
  <c r="X104" i="95"/>
  <c r="W104" i="95"/>
  <c r="V104" i="95"/>
  <c r="U104" i="95"/>
  <c r="T104" i="95"/>
  <c r="S104" i="95"/>
  <c r="R104" i="95"/>
  <c r="Q104" i="95"/>
  <c r="P104" i="95"/>
  <c r="O104" i="95"/>
  <c r="N104" i="95"/>
  <c r="M104" i="95"/>
  <c r="L104" i="95"/>
  <c r="K104" i="95"/>
  <c r="J104" i="95"/>
  <c r="D104" i="95" s="1"/>
  <c r="I104" i="95"/>
  <c r="C104" i="95" s="1"/>
  <c r="H104" i="95"/>
  <c r="G104" i="95"/>
  <c r="F104" i="95"/>
  <c r="E104" i="95"/>
  <c r="B104" i="95"/>
  <c r="AH103" i="95"/>
  <c r="AB103" i="95"/>
  <c r="AC103" i="95" s="1"/>
  <c r="AA103" i="95"/>
  <c r="Z103" i="95"/>
  <c r="Y103" i="95"/>
  <c r="X103" i="95"/>
  <c r="W103" i="95"/>
  <c r="V103" i="95"/>
  <c r="U103" i="95"/>
  <c r="T103" i="95"/>
  <c r="S103" i="95"/>
  <c r="R103" i="95"/>
  <c r="Q103" i="95"/>
  <c r="P103" i="95"/>
  <c r="O103" i="95"/>
  <c r="M103" i="95" s="1"/>
  <c r="N103" i="95"/>
  <c r="L103" i="95"/>
  <c r="J103" i="95" s="1"/>
  <c r="D103" i="95" s="1"/>
  <c r="K103" i="95"/>
  <c r="E103" i="95" s="1"/>
  <c r="I103" i="95"/>
  <c r="H103" i="95"/>
  <c r="B103" i="95" s="1"/>
  <c r="G103" i="95"/>
  <c r="F103" i="95"/>
  <c r="C103" i="95"/>
  <c r="AH102" i="95"/>
  <c r="AB102" i="95"/>
  <c r="AC102" i="95" s="1"/>
  <c r="AA102" i="95"/>
  <c r="Z102" i="95"/>
  <c r="Y102" i="95"/>
  <c r="X102" i="95"/>
  <c r="W102" i="95"/>
  <c r="V102" i="95"/>
  <c r="U102" i="95"/>
  <c r="T102" i="95"/>
  <c r="S102" i="95"/>
  <c r="R102" i="95"/>
  <c r="Q102" i="95"/>
  <c r="P102" i="95"/>
  <c r="O102" i="95"/>
  <c r="M102" i="95" s="1"/>
  <c r="N102" i="95"/>
  <c r="L102" i="95"/>
  <c r="J102" i="95" s="1"/>
  <c r="D102" i="95" s="1"/>
  <c r="K102" i="95"/>
  <c r="I102" i="95"/>
  <c r="C102" i="95" s="1"/>
  <c r="H102" i="95"/>
  <c r="B102" i="95" s="1"/>
  <c r="G102" i="95"/>
  <c r="F102" i="95"/>
  <c r="AH101" i="95"/>
  <c r="AB101" i="95"/>
  <c r="AC101" i="95" s="1"/>
  <c r="AA101" i="95"/>
  <c r="Z101" i="95"/>
  <c r="Y101" i="95"/>
  <c r="X101" i="95"/>
  <c r="W101" i="95"/>
  <c r="V101" i="95"/>
  <c r="U101" i="95"/>
  <c r="T101" i="95"/>
  <c r="S101" i="95"/>
  <c r="R101" i="95"/>
  <c r="Q101" i="95"/>
  <c r="P101" i="95"/>
  <c r="O101" i="95"/>
  <c r="M101" i="95" s="1"/>
  <c r="N101" i="95"/>
  <c r="L101" i="95"/>
  <c r="J101" i="95" s="1"/>
  <c r="D101" i="95" s="1"/>
  <c r="K101" i="95"/>
  <c r="E101" i="95" s="1"/>
  <c r="I101" i="95"/>
  <c r="H101" i="95"/>
  <c r="B101" i="95" s="1"/>
  <c r="G101" i="95"/>
  <c r="F101" i="95"/>
  <c r="C101" i="95"/>
  <c r="AH100" i="95"/>
  <c r="AB100" i="95"/>
  <c r="AC100" i="95" s="1"/>
  <c r="AA100" i="95"/>
  <c r="Z100" i="95"/>
  <c r="Y100" i="95"/>
  <c r="X100" i="95"/>
  <c r="W100" i="95"/>
  <c r="V100" i="95"/>
  <c r="U100" i="95"/>
  <c r="T100" i="95"/>
  <c r="S100" i="95"/>
  <c r="R100" i="95"/>
  <c r="Q100" i="95"/>
  <c r="P100" i="95"/>
  <c r="O100" i="95"/>
  <c r="N100" i="95"/>
  <c r="M100" i="95"/>
  <c r="L100" i="95"/>
  <c r="J100" i="95" s="1"/>
  <c r="D100" i="95" s="1"/>
  <c r="K100" i="95"/>
  <c r="E100" i="95" s="1"/>
  <c r="I100" i="95"/>
  <c r="C100" i="95" s="1"/>
  <c r="H100" i="95"/>
  <c r="B100" i="95" s="1"/>
  <c r="G100" i="95"/>
  <c r="F100" i="95"/>
  <c r="AH99" i="95"/>
  <c r="AB99" i="95"/>
  <c r="AC99" i="95" s="1"/>
  <c r="AA99" i="95"/>
  <c r="Z99" i="95"/>
  <c r="Y99" i="95"/>
  <c r="X99" i="95"/>
  <c r="W99" i="95"/>
  <c r="V99" i="95"/>
  <c r="U99" i="95"/>
  <c r="T99" i="95"/>
  <c r="S99" i="95"/>
  <c r="R99" i="95"/>
  <c r="Q99" i="95"/>
  <c r="P99" i="95"/>
  <c r="O99" i="95"/>
  <c r="M99" i="95" s="1"/>
  <c r="N99" i="95"/>
  <c r="L99" i="95"/>
  <c r="K99" i="95"/>
  <c r="J99" i="95"/>
  <c r="D99" i="95" s="1"/>
  <c r="I99" i="95"/>
  <c r="H99" i="95"/>
  <c r="G99" i="95"/>
  <c r="F99" i="95"/>
  <c r="C99" i="95"/>
  <c r="B99" i="95"/>
  <c r="AH98" i="95"/>
  <c r="AB98" i="95"/>
  <c r="AC98" i="95" s="1"/>
  <c r="AA98" i="95"/>
  <c r="Z98" i="95"/>
  <c r="Y98" i="95"/>
  <c r="X98" i="95"/>
  <c r="W98" i="95"/>
  <c r="V98" i="95"/>
  <c r="U98" i="95"/>
  <c r="T98" i="95"/>
  <c r="S98" i="95"/>
  <c r="R98" i="95"/>
  <c r="Q98" i="95"/>
  <c r="P98" i="95"/>
  <c r="O98" i="95"/>
  <c r="N98" i="95"/>
  <c r="M98" i="95"/>
  <c r="L98" i="95"/>
  <c r="J98" i="95" s="1"/>
  <c r="D98" i="95" s="1"/>
  <c r="K98" i="95"/>
  <c r="I98" i="95"/>
  <c r="C98" i="95" s="1"/>
  <c r="H98" i="95"/>
  <c r="B98" i="95" s="1"/>
  <c r="G98" i="95"/>
  <c r="F98" i="95"/>
  <c r="E98" i="95"/>
  <c r="AH97" i="95"/>
  <c r="AB97" i="95"/>
  <c r="AC97" i="95" s="1"/>
  <c r="AA97" i="95"/>
  <c r="Z97" i="95"/>
  <c r="Y97" i="95"/>
  <c r="X97" i="95"/>
  <c r="W97" i="95"/>
  <c r="V97" i="95"/>
  <c r="U97" i="95"/>
  <c r="T97" i="95"/>
  <c r="S97" i="95"/>
  <c r="R97" i="95"/>
  <c r="Q97" i="95"/>
  <c r="P97" i="95"/>
  <c r="O97" i="95"/>
  <c r="M97" i="95" s="1"/>
  <c r="N97" i="95"/>
  <c r="L97" i="95"/>
  <c r="J97" i="95" s="1"/>
  <c r="D97" i="95" s="1"/>
  <c r="K97" i="95"/>
  <c r="E97" i="95" s="1"/>
  <c r="I97" i="95"/>
  <c r="H97" i="95"/>
  <c r="G97" i="95"/>
  <c r="F97" i="95"/>
  <c r="C97" i="95"/>
  <c r="B97" i="95"/>
  <c r="AH96" i="95"/>
  <c r="AB96" i="95"/>
  <c r="AC96" i="95" s="1"/>
  <c r="AA96" i="95"/>
  <c r="Z96" i="95"/>
  <c r="Y96" i="95"/>
  <c r="X96" i="95"/>
  <c r="W96" i="95"/>
  <c r="V96" i="95"/>
  <c r="U96" i="95"/>
  <c r="T96" i="95"/>
  <c r="S96" i="95"/>
  <c r="R96" i="95"/>
  <c r="Q96" i="95"/>
  <c r="P96" i="95"/>
  <c r="O96" i="95"/>
  <c r="N96" i="95"/>
  <c r="M96" i="95"/>
  <c r="L96" i="95"/>
  <c r="K96" i="95"/>
  <c r="J96" i="95"/>
  <c r="D96" i="95" s="1"/>
  <c r="I96" i="95"/>
  <c r="C96" i="95" s="1"/>
  <c r="H96" i="95"/>
  <c r="G96" i="95"/>
  <c r="F96" i="95"/>
  <c r="E96" i="95"/>
  <c r="B96" i="95"/>
  <c r="AH95" i="95"/>
  <c r="AB95" i="95"/>
  <c r="AC95" i="95" s="1"/>
  <c r="AA95" i="95"/>
  <c r="Z95" i="95"/>
  <c r="Y95" i="95"/>
  <c r="X95" i="95"/>
  <c r="W95" i="95"/>
  <c r="V95" i="95"/>
  <c r="U95" i="95"/>
  <c r="T95" i="95"/>
  <c r="S95" i="95"/>
  <c r="R95" i="95"/>
  <c r="Q95" i="95"/>
  <c r="P95" i="95"/>
  <c r="O95" i="95"/>
  <c r="M95" i="95" s="1"/>
  <c r="N95" i="95"/>
  <c r="L95" i="95"/>
  <c r="J95" i="95" s="1"/>
  <c r="D95" i="95" s="1"/>
  <c r="K95" i="95"/>
  <c r="E95" i="95" s="1"/>
  <c r="I95" i="95"/>
  <c r="H95" i="95"/>
  <c r="B95" i="95" s="1"/>
  <c r="G95" i="95"/>
  <c r="F95" i="95"/>
  <c r="C95" i="95"/>
  <c r="AH94" i="95"/>
  <c r="AB94" i="95"/>
  <c r="AC94" i="95" s="1"/>
  <c r="AA94" i="95"/>
  <c r="Z94" i="95"/>
  <c r="Y94" i="95"/>
  <c r="X94" i="95"/>
  <c r="W94" i="95"/>
  <c r="V94" i="95"/>
  <c r="U94" i="95"/>
  <c r="T94" i="95"/>
  <c r="S94" i="95"/>
  <c r="R94" i="95"/>
  <c r="Q94" i="95"/>
  <c r="P94" i="95"/>
  <c r="O94" i="95"/>
  <c r="M94" i="95" s="1"/>
  <c r="N94" i="95"/>
  <c r="L94" i="95"/>
  <c r="J94" i="95" s="1"/>
  <c r="D94" i="95" s="1"/>
  <c r="K94" i="95"/>
  <c r="I94" i="95"/>
  <c r="C94" i="95" s="1"/>
  <c r="H94" i="95"/>
  <c r="B94" i="95" s="1"/>
  <c r="G94" i="95"/>
  <c r="F94" i="95"/>
  <c r="AH93" i="95"/>
  <c r="AB93" i="95"/>
  <c r="AC93" i="95" s="1"/>
  <c r="AA93" i="95"/>
  <c r="Z93" i="95"/>
  <c r="Y93" i="95"/>
  <c r="X93" i="95"/>
  <c r="W93" i="95"/>
  <c r="V93" i="95"/>
  <c r="U93" i="95"/>
  <c r="T93" i="95"/>
  <c r="S93" i="95"/>
  <c r="R93" i="95"/>
  <c r="Q93" i="95"/>
  <c r="P93" i="95"/>
  <c r="O93" i="95"/>
  <c r="M93" i="95" s="1"/>
  <c r="N93" i="95"/>
  <c r="L93" i="95"/>
  <c r="J93" i="95" s="1"/>
  <c r="D93" i="95" s="1"/>
  <c r="K93" i="95"/>
  <c r="E93" i="95" s="1"/>
  <c r="I93" i="95"/>
  <c r="H93" i="95"/>
  <c r="B93" i="95" s="1"/>
  <c r="G93" i="95"/>
  <c r="F93" i="95"/>
  <c r="C93" i="95"/>
  <c r="AH92" i="95"/>
  <c r="AB92" i="95"/>
  <c r="AC92" i="95" s="1"/>
  <c r="AA92" i="95"/>
  <c r="Z92" i="95"/>
  <c r="Y92" i="95"/>
  <c r="X92" i="95"/>
  <c r="W92" i="95"/>
  <c r="V92" i="95"/>
  <c r="U92" i="95"/>
  <c r="T92" i="95"/>
  <c r="S92" i="95"/>
  <c r="R92" i="95"/>
  <c r="Q92" i="95"/>
  <c r="P92" i="95"/>
  <c r="O92" i="95"/>
  <c r="N92" i="95"/>
  <c r="M92" i="95"/>
  <c r="L92" i="95"/>
  <c r="J92" i="95" s="1"/>
  <c r="D92" i="95" s="1"/>
  <c r="K92" i="95"/>
  <c r="E92" i="95" s="1"/>
  <c r="I92" i="95"/>
  <c r="C92" i="95" s="1"/>
  <c r="H92" i="95"/>
  <c r="B92" i="95" s="1"/>
  <c r="G92" i="95"/>
  <c r="F92" i="95"/>
  <c r="AH91" i="95"/>
  <c r="AB91" i="95"/>
  <c r="AC91" i="95" s="1"/>
  <c r="AA91" i="95"/>
  <c r="Z91" i="95"/>
  <c r="Y91" i="95"/>
  <c r="X91" i="95"/>
  <c r="W91" i="95"/>
  <c r="V91" i="95"/>
  <c r="U91" i="95"/>
  <c r="T91" i="95"/>
  <c r="S91" i="95"/>
  <c r="R91" i="95"/>
  <c r="Q91" i="95"/>
  <c r="P91" i="95"/>
  <c r="O91" i="95"/>
  <c r="M91" i="95" s="1"/>
  <c r="N91" i="95"/>
  <c r="L91" i="95"/>
  <c r="K91" i="95"/>
  <c r="J91" i="95"/>
  <c r="D91" i="95" s="1"/>
  <c r="I91" i="95"/>
  <c r="H91" i="95"/>
  <c r="G91" i="95"/>
  <c r="F91" i="95"/>
  <c r="C91" i="95"/>
  <c r="B91" i="95"/>
  <c r="AB90" i="95"/>
  <c r="AC90" i="95" s="1"/>
  <c r="AA90" i="95"/>
  <c r="Z90" i="95"/>
  <c r="Y90" i="95"/>
  <c r="X90" i="95"/>
  <c r="W90" i="95"/>
  <c r="V90" i="95"/>
  <c r="U90" i="95"/>
  <c r="T90" i="95"/>
  <c r="S90" i="95"/>
  <c r="R90" i="95"/>
  <c r="Q90" i="95"/>
  <c r="P90" i="95"/>
  <c r="O90" i="95"/>
  <c r="N90" i="95"/>
  <c r="M90" i="95"/>
  <c r="L90" i="95"/>
  <c r="J90" i="95" s="1"/>
  <c r="D90" i="95" s="1"/>
  <c r="K90" i="95"/>
  <c r="I90" i="95"/>
  <c r="C90" i="95" s="1"/>
  <c r="H90" i="95"/>
  <c r="B90" i="95" s="1"/>
  <c r="G90" i="95"/>
  <c r="F90" i="95"/>
  <c r="E90" i="95"/>
  <c r="AB89" i="95"/>
  <c r="AC89" i="95" s="1"/>
  <c r="AA89" i="95"/>
  <c r="Z89" i="95"/>
  <c r="Y89" i="95"/>
  <c r="X89" i="95"/>
  <c r="W89" i="95"/>
  <c r="V89" i="95"/>
  <c r="U89" i="95"/>
  <c r="T89" i="95"/>
  <c r="S89" i="95"/>
  <c r="R89" i="95"/>
  <c r="Q89" i="95"/>
  <c r="P89" i="95"/>
  <c r="O89" i="95"/>
  <c r="N89" i="95"/>
  <c r="M89" i="95"/>
  <c r="L89" i="95"/>
  <c r="J89" i="95" s="1"/>
  <c r="D89" i="95" s="1"/>
  <c r="K89" i="95"/>
  <c r="I89" i="95"/>
  <c r="C89" i="95" s="1"/>
  <c r="H89" i="95"/>
  <c r="B89" i="95" s="1"/>
  <c r="G89" i="95"/>
  <c r="F89" i="95"/>
  <c r="E89" i="95"/>
  <c r="AB88" i="95"/>
  <c r="AC88" i="95" s="1"/>
  <c r="AA88" i="95"/>
  <c r="Z88" i="95"/>
  <c r="Y88" i="95"/>
  <c r="X88" i="95"/>
  <c r="W88" i="95"/>
  <c r="V88" i="95"/>
  <c r="U88" i="95"/>
  <c r="T88" i="95"/>
  <c r="S88" i="95"/>
  <c r="R88" i="95"/>
  <c r="Q88" i="95"/>
  <c r="P88" i="95"/>
  <c r="O88" i="95"/>
  <c r="M88" i="95" s="1"/>
  <c r="N88" i="95"/>
  <c r="L88" i="95"/>
  <c r="J88" i="95" s="1"/>
  <c r="D88" i="95" s="1"/>
  <c r="K88" i="95"/>
  <c r="I88" i="95"/>
  <c r="C88" i="95" s="1"/>
  <c r="H88" i="95"/>
  <c r="B88" i="95" s="1"/>
  <c r="G88" i="95"/>
  <c r="F88" i="95"/>
  <c r="AB87" i="95"/>
  <c r="AC87" i="95" s="1"/>
  <c r="AA87" i="95"/>
  <c r="Z87" i="95"/>
  <c r="Y87" i="95"/>
  <c r="X87" i="95"/>
  <c r="W87" i="95"/>
  <c r="V87" i="95"/>
  <c r="U87" i="95"/>
  <c r="T87" i="95"/>
  <c r="S87" i="95"/>
  <c r="R87" i="95"/>
  <c r="Q87" i="95"/>
  <c r="P87" i="95"/>
  <c r="O87" i="95"/>
  <c r="M87" i="95" s="1"/>
  <c r="N87" i="95"/>
  <c r="L87" i="95"/>
  <c r="J87" i="95" s="1"/>
  <c r="D87" i="95" s="1"/>
  <c r="K87" i="95"/>
  <c r="E87" i="95" s="1"/>
  <c r="I87" i="95"/>
  <c r="H87" i="95"/>
  <c r="G87" i="95"/>
  <c r="F87" i="95"/>
  <c r="C87" i="95"/>
  <c r="B87" i="95"/>
  <c r="AC86" i="95"/>
  <c r="AB86" i="95"/>
  <c r="AA86" i="95"/>
  <c r="Z86" i="95"/>
  <c r="Y86" i="95"/>
  <c r="X86" i="95"/>
  <c r="W86" i="95"/>
  <c r="V86" i="95"/>
  <c r="U86" i="95"/>
  <c r="T86" i="95"/>
  <c r="S86" i="95"/>
  <c r="R86" i="95"/>
  <c r="Q86" i="95"/>
  <c r="P86" i="95"/>
  <c r="O86" i="95"/>
  <c r="N86" i="95"/>
  <c r="M86" i="95"/>
  <c r="L86" i="95"/>
  <c r="J86" i="95" s="1"/>
  <c r="D86" i="95" s="1"/>
  <c r="K86" i="95"/>
  <c r="I86" i="95"/>
  <c r="C86" i="95" s="1"/>
  <c r="H86" i="95"/>
  <c r="B86" i="95" s="1"/>
  <c r="A86" i="95" s="1"/>
  <c r="G86" i="95"/>
  <c r="F86" i="95"/>
  <c r="E86" i="95"/>
  <c r="AH85" i="95"/>
  <c r="AC85" i="95"/>
  <c r="AB85" i="95"/>
  <c r="AA85" i="95"/>
  <c r="Z85" i="95"/>
  <c r="Y85" i="95"/>
  <c r="X85" i="95"/>
  <c r="W85" i="95"/>
  <c r="V85" i="95"/>
  <c r="U85" i="95"/>
  <c r="T85" i="95"/>
  <c r="S85" i="95"/>
  <c r="R85" i="95"/>
  <c r="Q85" i="95"/>
  <c r="P85" i="95"/>
  <c r="O85" i="95"/>
  <c r="M85" i="95" s="1"/>
  <c r="N85" i="95"/>
  <c r="L85" i="95"/>
  <c r="K85" i="95"/>
  <c r="E85" i="95" s="1"/>
  <c r="J85" i="95"/>
  <c r="D85" i="95" s="1"/>
  <c r="I85" i="95"/>
  <c r="C85" i="95" s="1"/>
  <c r="H85" i="95"/>
  <c r="G85" i="95"/>
  <c r="F85" i="95"/>
  <c r="B85" i="95"/>
  <c r="AH84" i="95"/>
  <c r="AC84" i="95"/>
  <c r="AB84" i="95"/>
  <c r="AA84" i="95"/>
  <c r="Z84" i="95"/>
  <c r="Y84" i="95"/>
  <c r="X84" i="95"/>
  <c r="W84" i="95"/>
  <c r="V84" i="95"/>
  <c r="U84" i="95"/>
  <c r="T84" i="95"/>
  <c r="S84" i="95"/>
  <c r="R84" i="95"/>
  <c r="Q84" i="95"/>
  <c r="P84" i="95"/>
  <c r="O84" i="95"/>
  <c r="N84" i="95"/>
  <c r="M84" i="95"/>
  <c r="L84" i="95"/>
  <c r="J84" i="95" s="1"/>
  <c r="D84" i="95" s="1"/>
  <c r="K84" i="95"/>
  <c r="I84" i="95"/>
  <c r="C84" i="95" s="1"/>
  <c r="H84" i="95"/>
  <c r="B84" i="95" s="1"/>
  <c r="A84" i="95" s="1"/>
  <c r="G84" i="95"/>
  <c r="F84" i="95"/>
  <c r="E84" i="95"/>
  <c r="AH83" i="95"/>
  <c r="AC83" i="95"/>
  <c r="AB83" i="95"/>
  <c r="AA83" i="95"/>
  <c r="Z83" i="95"/>
  <c r="Y83" i="95"/>
  <c r="X83" i="95"/>
  <c r="W83" i="95"/>
  <c r="V83" i="95"/>
  <c r="U83" i="95"/>
  <c r="T83" i="95"/>
  <c r="S83" i="95"/>
  <c r="R83" i="95"/>
  <c r="Q83" i="95"/>
  <c r="P83" i="95"/>
  <c r="O83" i="95"/>
  <c r="M83" i="95" s="1"/>
  <c r="N83" i="95"/>
  <c r="L83" i="95"/>
  <c r="K83" i="95"/>
  <c r="E83" i="95" s="1"/>
  <c r="J83" i="95"/>
  <c r="D83" i="95" s="1"/>
  <c r="I83" i="95"/>
  <c r="C83" i="95" s="1"/>
  <c r="H83" i="95"/>
  <c r="G83" i="95"/>
  <c r="F83" i="95"/>
  <c r="B83" i="95"/>
  <c r="AH82" i="95"/>
  <c r="AC82" i="95"/>
  <c r="AB82" i="95"/>
  <c r="AA82" i="95"/>
  <c r="Z82" i="95"/>
  <c r="Y82" i="95"/>
  <c r="X82" i="95"/>
  <c r="W82" i="95"/>
  <c r="V82" i="95"/>
  <c r="U82" i="95"/>
  <c r="T82" i="95"/>
  <c r="S82" i="95"/>
  <c r="R82" i="95"/>
  <c r="Q82" i="95"/>
  <c r="P82" i="95"/>
  <c r="O82" i="95"/>
  <c r="N82" i="95"/>
  <c r="M82" i="95"/>
  <c r="L82" i="95"/>
  <c r="J82" i="95" s="1"/>
  <c r="D82" i="95" s="1"/>
  <c r="K82" i="95"/>
  <c r="I82" i="95"/>
  <c r="C82" i="95" s="1"/>
  <c r="H82" i="95"/>
  <c r="B82" i="95" s="1"/>
  <c r="A82" i="95" s="1"/>
  <c r="G82" i="95"/>
  <c r="F82" i="95"/>
  <c r="E82" i="95"/>
  <c r="AH81" i="95"/>
  <c r="AC81" i="95"/>
  <c r="AB81" i="95"/>
  <c r="AA81" i="95"/>
  <c r="Z81" i="95"/>
  <c r="Y81" i="95"/>
  <c r="X81" i="95"/>
  <c r="W81" i="95"/>
  <c r="V81" i="95"/>
  <c r="U81" i="95"/>
  <c r="T81" i="95"/>
  <c r="S81" i="95"/>
  <c r="R81" i="95"/>
  <c r="Q81" i="95"/>
  <c r="P81" i="95"/>
  <c r="O81" i="95"/>
  <c r="M81" i="95" s="1"/>
  <c r="N81" i="95"/>
  <c r="L81" i="95"/>
  <c r="K81" i="95"/>
  <c r="E81" i="95" s="1"/>
  <c r="J81" i="95"/>
  <c r="D81" i="95" s="1"/>
  <c r="I81" i="95"/>
  <c r="C81" i="95" s="1"/>
  <c r="H81" i="95"/>
  <c r="G81" i="95"/>
  <c r="F81" i="95"/>
  <c r="B81" i="95"/>
  <c r="AH80" i="95"/>
  <c r="AC80" i="95"/>
  <c r="AB80" i="95"/>
  <c r="AA80" i="95"/>
  <c r="Z80" i="95"/>
  <c r="Y80" i="95"/>
  <c r="X80" i="95"/>
  <c r="W80" i="95"/>
  <c r="V80" i="95"/>
  <c r="U80" i="95"/>
  <c r="T80" i="95"/>
  <c r="S80" i="95"/>
  <c r="R80" i="95"/>
  <c r="Q80" i="95"/>
  <c r="P80" i="95"/>
  <c r="O80" i="95"/>
  <c r="N80" i="95"/>
  <c r="M80" i="95"/>
  <c r="L80" i="95"/>
  <c r="J80" i="95" s="1"/>
  <c r="D80" i="95" s="1"/>
  <c r="K80" i="95"/>
  <c r="I80" i="95"/>
  <c r="C80" i="95" s="1"/>
  <c r="H80" i="95"/>
  <c r="B80" i="95" s="1"/>
  <c r="A80" i="95" s="1"/>
  <c r="G80" i="95"/>
  <c r="F80" i="95"/>
  <c r="E80" i="95"/>
  <c r="AH79" i="95"/>
  <c r="AC79" i="95"/>
  <c r="AB79" i="95"/>
  <c r="AA79" i="95"/>
  <c r="Z79" i="95"/>
  <c r="Y79" i="95"/>
  <c r="X79" i="95"/>
  <c r="W79" i="95"/>
  <c r="V79" i="95"/>
  <c r="U79" i="95"/>
  <c r="T79" i="95"/>
  <c r="S79" i="95"/>
  <c r="R79" i="95"/>
  <c r="Q79" i="95"/>
  <c r="P79" i="95"/>
  <c r="O79" i="95"/>
  <c r="M79" i="95" s="1"/>
  <c r="N79" i="95"/>
  <c r="L79" i="95"/>
  <c r="K79" i="95"/>
  <c r="E79" i="95" s="1"/>
  <c r="J79" i="95"/>
  <c r="D79" i="95" s="1"/>
  <c r="I79" i="95"/>
  <c r="C79" i="95" s="1"/>
  <c r="H79" i="95"/>
  <c r="G79" i="95"/>
  <c r="F79" i="95"/>
  <c r="B79" i="95"/>
  <c r="AH78" i="95"/>
  <c r="AC78" i="95"/>
  <c r="AB78" i="95"/>
  <c r="AA78" i="95"/>
  <c r="Z78" i="95"/>
  <c r="Y78" i="95"/>
  <c r="X78" i="95"/>
  <c r="W78" i="95"/>
  <c r="V78" i="95"/>
  <c r="U78" i="95"/>
  <c r="T78" i="95"/>
  <c r="S78" i="95"/>
  <c r="R78" i="95"/>
  <c r="Q78" i="95"/>
  <c r="P78" i="95"/>
  <c r="O78" i="95"/>
  <c r="N78" i="95"/>
  <c r="M78" i="95"/>
  <c r="L78" i="95"/>
  <c r="J78" i="95" s="1"/>
  <c r="D78" i="95" s="1"/>
  <c r="K78" i="95"/>
  <c r="I78" i="95"/>
  <c r="C78" i="95" s="1"/>
  <c r="H78" i="95"/>
  <c r="B78" i="95" s="1"/>
  <c r="A78" i="95" s="1"/>
  <c r="G78" i="95"/>
  <c r="F78" i="95"/>
  <c r="E78" i="95"/>
  <c r="AH77" i="95"/>
  <c r="AC77" i="95"/>
  <c r="AB77" i="95"/>
  <c r="AA77" i="95"/>
  <c r="Z77" i="95"/>
  <c r="Y77" i="95"/>
  <c r="X77" i="95"/>
  <c r="W77" i="95"/>
  <c r="V77" i="95"/>
  <c r="U77" i="95"/>
  <c r="T77" i="95"/>
  <c r="S77" i="95"/>
  <c r="R77" i="95"/>
  <c r="Q77" i="95"/>
  <c r="P77" i="95"/>
  <c r="O77" i="95"/>
  <c r="M77" i="95" s="1"/>
  <c r="N77" i="95"/>
  <c r="L77" i="95"/>
  <c r="K77" i="95"/>
  <c r="E77" i="95" s="1"/>
  <c r="J77" i="95"/>
  <c r="D77" i="95" s="1"/>
  <c r="I77" i="95"/>
  <c r="C77" i="95" s="1"/>
  <c r="H77" i="95"/>
  <c r="G77" i="95"/>
  <c r="F77" i="95"/>
  <c r="B77" i="95"/>
  <c r="AH76" i="95"/>
  <c r="AC76" i="95"/>
  <c r="AB76" i="95"/>
  <c r="AA76" i="95"/>
  <c r="Z76" i="95"/>
  <c r="Y76" i="95"/>
  <c r="X76" i="95"/>
  <c r="W76" i="95"/>
  <c r="V76" i="95"/>
  <c r="U76" i="95"/>
  <c r="T76" i="95"/>
  <c r="S76" i="95"/>
  <c r="R76" i="95"/>
  <c r="Q76" i="95"/>
  <c r="P76" i="95"/>
  <c r="O76" i="95"/>
  <c r="N76" i="95"/>
  <c r="M76" i="95"/>
  <c r="L76" i="95"/>
  <c r="J76" i="95" s="1"/>
  <c r="D76" i="95" s="1"/>
  <c r="K76" i="95"/>
  <c r="I76" i="95"/>
  <c r="C76" i="95" s="1"/>
  <c r="H76" i="95"/>
  <c r="B76" i="95" s="1"/>
  <c r="A76" i="95" s="1"/>
  <c r="G76" i="95"/>
  <c r="F76" i="95"/>
  <c r="E76" i="95"/>
  <c r="AH75" i="95"/>
  <c r="AC75" i="95"/>
  <c r="AB75" i="95"/>
  <c r="AA75" i="95"/>
  <c r="Z75" i="95"/>
  <c r="Y75" i="95"/>
  <c r="X75" i="95"/>
  <c r="W75" i="95"/>
  <c r="V75" i="95"/>
  <c r="U75" i="95"/>
  <c r="T75" i="95"/>
  <c r="S75" i="95"/>
  <c r="R75" i="95"/>
  <c r="Q75" i="95"/>
  <c r="P75" i="95"/>
  <c r="O75" i="95"/>
  <c r="M75" i="95" s="1"/>
  <c r="N75" i="95"/>
  <c r="L75" i="95"/>
  <c r="K75" i="95"/>
  <c r="E75" i="95" s="1"/>
  <c r="J75" i="95"/>
  <c r="D75" i="95" s="1"/>
  <c r="I75" i="95"/>
  <c r="C75" i="95" s="1"/>
  <c r="H75" i="95"/>
  <c r="G75" i="95"/>
  <c r="F75" i="95"/>
  <c r="B75" i="95"/>
  <c r="AH74" i="95"/>
  <c r="AC74" i="95"/>
  <c r="AB74" i="95"/>
  <c r="AA74" i="95"/>
  <c r="Z74" i="95"/>
  <c r="Y74" i="95"/>
  <c r="X74" i="95"/>
  <c r="W74" i="95"/>
  <c r="V74" i="95"/>
  <c r="U74" i="95"/>
  <c r="T74" i="95"/>
  <c r="S74" i="95"/>
  <c r="R74" i="95"/>
  <c r="Q74" i="95"/>
  <c r="P74" i="95"/>
  <c r="O74" i="95"/>
  <c r="N74" i="95"/>
  <c r="M74" i="95"/>
  <c r="L74" i="95"/>
  <c r="J74" i="95" s="1"/>
  <c r="D74" i="95" s="1"/>
  <c r="K74" i="95"/>
  <c r="I74" i="95"/>
  <c r="C74" i="95" s="1"/>
  <c r="H74" i="95"/>
  <c r="B74" i="95" s="1"/>
  <c r="A74" i="95" s="1"/>
  <c r="G74" i="95"/>
  <c r="F74" i="95"/>
  <c r="E74" i="95"/>
  <c r="AH73" i="95"/>
  <c r="AC73" i="95"/>
  <c r="AB73" i="95"/>
  <c r="AA73" i="95"/>
  <c r="Z73" i="95"/>
  <c r="Y73" i="95"/>
  <c r="X73" i="95"/>
  <c r="W73" i="95"/>
  <c r="V73" i="95"/>
  <c r="U73" i="95"/>
  <c r="T73" i="95"/>
  <c r="S73" i="95"/>
  <c r="R73" i="95"/>
  <c r="Q73" i="95"/>
  <c r="P73" i="95"/>
  <c r="O73" i="95"/>
  <c r="M73" i="95" s="1"/>
  <c r="N73" i="95"/>
  <c r="L73" i="95"/>
  <c r="K73" i="95"/>
  <c r="E73" i="95" s="1"/>
  <c r="J73" i="95"/>
  <c r="D73" i="95" s="1"/>
  <c r="I73" i="95"/>
  <c r="C73" i="95" s="1"/>
  <c r="H73" i="95"/>
  <c r="G73" i="95"/>
  <c r="F73" i="95"/>
  <c r="B73" i="95"/>
  <c r="AH72" i="95"/>
  <c r="AC72" i="95"/>
  <c r="AB72" i="95"/>
  <c r="AA72" i="95"/>
  <c r="Z72" i="95"/>
  <c r="Y72" i="95"/>
  <c r="X72" i="95"/>
  <c r="W72" i="95"/>
  <c r="V72" i="95"/>
  <c r="U72" i="95"/>
  <c r="T72" i="95"/>
  <c r="S72" i="95"/>
  <c r="R72" i="95"/>
  <c r="Q72" i="95"/>
  <c r="P72" i="95"/>
  <c r="O72" i="95"/>
  <c r="N72" i="95"/>
  <c r="M72" i="95"/>
  <c r="L72" i="95"/>
  <c r="J72" i="95" s="1"/>
  <c r="D72" i="95" s="1"/>
  <c r="K72" i="95"/>
  <c r="I72" i="95"/>
  <c r="C72" i="95" s="1"/>
  <c r="H72" i="95"/>
  <c r="B72" i="95" s="1"/>
  <c r="A72" i="95" s="1"/>
  <c r="G72" i="95"/>
  <c r="F72" i="95"/>
  <c r="E72" i="95"/>
  <c r="AH71" i="95"/>
  <c r="AC71" i="95"/>
  <c r="AB71" i="95"/>
  <c r="AA71" i="95"/>
  <c r="Z71" i="95"/>
  <c r="Y71" i="95"/>
  <c r="X71" i="95"/>
  <c r="W71" i="95"/>
  <c r="V71" i="95"/>
  <c r="U71" i="95"/>
  <c r="T71" i="95"/>
  <c r="S71" i="95"/>
  <c r="R71" i="95"/>
  <c r="Q71" i="95"/>
  <c r="P71" i="95"/>
  <c r="O71" i="95"/>
  <c r="M71" i="95" s="1"/>
  <c r="N71" i="95"/>
  <c r="L71" i="95"/>
  <c r="K71" i="95"/>
  <c r="J71" i="95"/>
  <c r="D71" i="95" s="1"/>
  <c r="I71" i="95"/>
  <c r="C71" i="95" s="1"/>
  <c r="H71" i="95"/>
  <c r="G71" i="95"/>
  <c r="F71" i="95"/>
  <c r="B71" i="95"/>
  <c r="AH70" i="95"/>
  <c r="AB70" i="95"/>
  <c r="AC70" i="95" s="1"/>
  <c r="AA70" i="95"/>
  <c r="Z70" i="95"/>
  <c r="Y70" i="95"/>
  <c r="X70" i="95"/>
  <c r="W70" i="95"/>
  <c r="V70" i="95"/>
  <c r="U70" i="95"/>
  <c r="T70" i="95"/>
  <c r="S70" i="95"/>
  <c r="R70" i="95"/>
  <c r="Q70" i="95"/>
  <c r="P70" i="95"/>
  <c r="O70" i="95"/>
  <c r="M70" i="95" s="1"/>
  <c r="N70" i="95"/>
  <c r="L70" i="95"/>
  <c r="J70" i="95" s="1"/>
  <c r="D70" i="95" s="1"/>
  <c r="K70" i="95"/>
  <c r="E70" i="95" s="1"/>
  <c r="I70" i="95"/>
  <c r="C70" i="95" s="1"/>
  <c r="H70" i="95"/>
  <c r="B70" i="95" s="1"/>
  <c r="G70" i="95"/>
  <c r="F70" i="95"/>
  <c r="AH69" i="95"/>
  <c r="AC69" i="95"/>
  <c r="AB69" i="95"/>
  <c r="AA69" i="95"/>
  <c r="Z69" i="95"/>
  <c r="Y69" i="95"/>
  <c r="X69" i="95"/>
  <c r="W69" i="95"/>
  <c r="V69" i="95"/>
  <c r="U69" i="95"/>
  <c r="T69" i="95"/>
  <c r="S69" i="95"/>
  <c r="R69" i="95"/>
  <c r="Q69" i="95"/>
  <c r="P69" i="95"/>
  <c r="O69" i="95"/>
  <c r="M69" i="95" s="1"/>
  <c r="N69" i="95"/>
  <c r="L69" i="95"/>
  <c r="J69" i="95" s="1"/>
  <c r="D69" i="95" s="1"/>
  <c r="K69" i="95"/>
  <c r="I69" i="95"/>
  <c r="C69" i="95" s="1"/>
  <c r="H69" i="95"/>
  <c r="B69" i="95" s="1"/>
  <c r="G69" i="95"/>
  <c r="F69" i="95"/>
  <c r="AH68" i="95"/>
  <c r="AB68" i="95"/>
  <c r="AC68" i="95" s="1"/>
  <c r="AA68" i="95"/>
  <c r="Z68" i="95"/>
  <c r="Y68" i="95"/>
  <c r="X68" i="95"/>
  <c r="W68" i="95"/>
  <c r="V68" i="95"/>
  <c r="U68" i="95"/>
  <c r="T68" i="95"/>
  <c r="S68" i="95"/>
  <c r="R68" i="95"/>
  <c r="Q68" i="95"/>
  <c r="P68" i="95"/>
  <c r="O68" i="95"/>
  <c r="M68" i="95" s="1"/>
  <c r="N68" i="95"/>
  <c r="L68" i="95"/>
  <c r="J68" i="95" s="1"/>
  <c r="D68" i="95" s="1"/>
  <c r="K68" i="95"/>
  <c r="I68" i="95"/>
  <c r="C68" i="95" s="1"/>
  <c r="H68" i="95"/>
  <c r="B68" i="95" s="1"/>
  <c r="G68" i="95"/>
  <c r="F68" i="95"/>
  <c r="E68" i="95"/>
  <c r="AH67" i="95"/>
  <c r="AB67" i="95"/>
  <c r="AC67" i="95" s="1"/>
  <c r="AA67" i="95"/>
  <c r="Z67" i="95"/>
  <c r="Y67" i="95"/>
  <c r="X67" i="95"/>
  <c r="W67" i="95"/>
  <c r="V67" i="95"/>
  <c r="U67" i="95"/>
  <c r="T67" i="95"/>
  <c r="S67" i="95"/>
  <c r="R67" i="95"/>
  <c r="Q67" i="95"/>
  <c r="P67" i="95"/>
  <c r="O67" i="95"/>
  <c r="M67" i="95" s="1"/>
  <c r="N67" i="95"/>
  <c r="L67" i="95"/>
  <c r="K67" i="95"/>
  <c r="J67" i="95"/>
  <c r="D67" i="95" s="1"/>
  <c r="I67" i="95"/>
  <c r="C67" i="95" s="1"/>
  <c r="H67" i="95"/>
  <c r="G67" i="95"/>
  <c r="F67" i="95"/>
  <c r="B67" i="95"/>
  <c r="AH66" i="95"/>
  <c r="AC66" i="95"/>
  <c r="AB66" i="95"/>
  <c r="AA66" i="95"/>
  <c r="Z66" i="95"/>
  <c r="Y66" i="95"/>
  <c r="X66" i="95"/>
  <c r="W66" i="95"/>
  <c r="V66" i="95"/>
  <c r="U66" i="95"/>
  <c r="T66" i="95"/>
  <c r="S66" i="95"/>
  <c r="R66" i="95"/>
  <c r="Q66" i="95"/>
  <c r="P66" i="95"/>
  <c r="O66" i="95"/>
  <c r="M66" i="95" s="1"/>
  <c r="N66" i="95"/>
  <c r="L66" i="95"/>
  <c r="J66" i="95" s="1"/>
  <c r="D66" i="95" s="1"/>
  <c r="K66" i="95"/>
  <c r="I66" i="95"/>
  <c r="C66" i="95" s="1"/>
  <c r="H66" i="95"/>
  <c r="B66" i="95" s="1"/>
  <c r="G66" i="95"/>
  <c r="F66" i="95"/>
  <c r="E66" i="95"/>
  <c r="AH65" i="95"/>
  <c r="AC65" i="95"/>
  <c r="AB65" i="95"/>
  <c r="AA65" i="95"/>
  <c r="Z65" i="95"/>
  <c r="Y65" i="95"/>
  <c r="X65" i="95"/>
  <c r="W65" i="95"/>
  <c r="V65" i="95"/>
  <c r="U65" i="95"/>
  <c r="T65" i="95"/>
  <c r="S65" i="95"/>
  <c r="R65" i="95"/>
  <c r="Q65" i="95"/>
  <c r="P65" i="95"/>
  <c r="O65" i="95"/>
  <c r="M65" i="95" s="1"/>
  <c r="N65" i="95"/>
  <c r="L65" i="95"/>
  <c r="J65" i="95" s="1"/>
  <c r="D65" i="95" s="1"/>
  <c r="K65" i="95"/>
  <c r="I65" i="95"/>
  <c r="C65" i="95" s="1"/>
  <c r="H65" i="95"/>
  <c r="B65" i="95" s="1"/>
  <c r="G65" i="95"/>
  <c r="F65" i="95"/>
  <c r="AH64" i="95"/>
  <c r="AC64" i="95"/>
  <c r="AB64" i="95"/>
  <c r="AA64" i="95"/>
  <c r="Z64" i="95"/>
  <c r="Y64" i="95"/>
  <c r="X64" i="95"/>
  <c r="W64" i="95"/>
  <c r="V64" i="95"/>
  <c r="U64" i="95"/>
  <c r="T64" i="95"/>
  <c r="S64" i="95"/>
  <c r="R64" i="95"/>
  <c r="Q64" i="95"/>
  <c r="P64" i="95"/>
  <c r="O64" i="95"/>
  <c r="M64" i="95" s="1"/>
  <c r="N64" i="95"/>
  <c r="L64" i="95"/>
  <c r="J64" i="95" s="1"/>
  <c r="D64" i="95" s="1"/>
  <c r="K64" i="95"/>
  <c r="E64" i="95" s="1"/>
  <c r="I64" i="95"/>
  <c r="C64" i="95" s="1"/>
  <c r="H64" i="95"/>
  <c r="B64" i="95" s="1"/>
  <c r="G64" i="95"/>
  <c r="F64" i="95"/>
  <c r="AH63" i="95"/>
  <c r="AB63" i="95"/>
  <c r="AC63" i="95" s="1"/>
  <c r="AA63" i="95"/>
  <c r="Z63" i="95"/>
  <c r="Y63" i="95"/>
  <c r="X63" i="95"/>
  <c r="W63" i="95"/>
  <c r="V63" i="95"/>
  <c r="U63" i="95"/>
  <c r="T63" i="95"/>
  <c r="S63" i="95"/>
  <c r="R63" i="95"/>
  <c r="Q63" i="95"/>
  <c r="P63" i="95"/>
  <c r="O63" i="95"/>
  <c r="M63" i="95" s="1"/>
  <c r="N63" i="95"/>
  <c r="L63" i="95"/>
  <c r="J63" i="95" s="1"/>
  <c r="D63" i="95" s="1"/>
  <c r="K63" i="95"/>
  <c r="I63" i="95"/>
  <c r="C63" i="95" s="1"/>
  <c r="H63" i="95"/>
  <c r="B63" i="95" s="1"/>
  <c r="G63" i="95"/>
  <c r="F63" i="95"/>
  <c r="AH62" i="95"/>
  <c r="AC62" i="95"/>
  <c r="AB62" i="95"/>
  <c r="AA62" i="95"/>
  <c r="Z62" i="95"/>
  <c r="Y62" i="95"/>
  <c r="X62" i="95"/>
  <c r="W62" i="95"/>
  <c r="V62" i="95"/>
  <c r="U62" i="95"/>
  <c r="T62" i="95"/>
  <c r="S62" i="95"/>
  <c r="R62" i="95"/>
  <c r="Q62" i="95"/>
  <c r="P62" i="95"/>
  <c r="O62" i="95"/>
  <c r="M62" i="95" s="1"/>
  <c r="N62" i="95"/>
  <c r="L62" i="95"/>
  <c r="J62" i="95" s="1"/>
  <c r="D62" i="95" s="1"/>
  <c r="K62" i="95"/>
  <c r="I62" i="95"/>
  <c r="C62" i="95" s="1"/>
  <c r="H62" i="95"/>
  <c r="B62" i="95" s="1"/>
  <c r="G62" i="95"/>
  <c r="F62" i="95"/>
  <c r="AH61" i="95"/>
  <c r="AC61" i="95"/>
  <c r="AB61" i="95"/>
  <c r="AA61" i="95"/>
  <c r="Z61" i="95"/>
  <c r="Y61" i="95"/>
  <c r="X61" i="95"/>
  <c r="W61" i="95"/>
  <c r="V61" i="95"/>
  <c r="U61" i="95"/>
  <c r="T61" i="95"/>
  <c r="S61" i="95"/>
  <c r="R61" i="95"/>
  <c r="Q61" i="95"/>
  <c r="P61" i="95"/>
  <c r="O61" i="95"/>
  <c r="M61" i="95" s="1"/>
  <c r="N61" i="95"/>
  <c r="L61" i="95"/>
  <c r="J61" i="95" s="1"/>
  <c r="D61" i="95" s="1"/>
  <c r="K61" i="95"/>
  <c r="E61" i="95" s="1"/>
  <c r="I61" i="95"/>
  <c r="C61" i="95" s="1"/>
  <c r="H61" i="95"/>
  <c r="G61" i="95"/>
  <c r="F61" i="95"/>
  <c r="B61" i="95"/>
  <c r="AH60" i="95"/>
  <c r="AC60" i="95"/>
  <c r="AB60" i="95"/>
  <c r="AA60" i="95"/>
  <c r="Z60" i="95"/>
  <c r="Y60" i="95"/>
  <c r="X60" i="95"/>
  <c r="W60" i="95"/>
  <c r="V60" i="95"/>
  <c r="U60" i="95"/>
  <c r="T60" i="95"/>
  <c r="S60" i="95"/>
  <c r="R60" i="95"/>
  <c r="Q60" i="95"/>
  <c r="P60" i="95"/>
  <c r="O60" i="95"/>
  <c r="M60" i="95" s="1"/>
  <c r="N60" i="95"/>
  <c r="L60" i="95"/>
  <c r="J60" i="95" s="1"/>
  <c r="D60" i="95" s="1"/>
  <c r="K60" i="95"/>
  <c r="I60" i="95"/>
  <c r="C60" i="95" s="1"/>
  <c r="H60" i="95"/>
  <c r="B60" i="95" s="1"/>
  <c r="G60" i="95"/>
  <c r="F60" i="95"/>
  <c r="E60" i="95"/>
  <c r="AH59" i="95"/>
  <c r="AC59" i="95"/>
  <c r="AB59" i="95"/>
  <c r="AA59" i="95"/>
  <c r="Z59" i="95"/>
  <c r="Y59" i="95"/>
  <c r="X59" i="95"/>
  <c r="W59" i="95"/>
  <c r="V59" i="95"/>
  <c r="U59" i="95"/>
  <c r="T59" i="95"/>
  <c r="S59" i="95"/>
  <c r="R59" i="95"/>
  <c r="Q59" i="95"/>
  <c r="P59" i="95"/>
  <c r="O59" i="95"/>
  <c r="M59" i="95" s="1"/>
  <c r="N59" i="95"/>
  <c r="L59" i="95"/>
  <c r="K59" i="95"/>
  <c r="J59" i="95"/>
  <c r="D59" i="95" s="1"/>
  <c r="I59" i="95"/>
  <c r="C59" i="95" s="1"/>
  <c r="H59" i="95"/>
  <c r="B59" i="95" s="1"/>
  <c r="G59" i="95"/>
  <c r="F59" i="95"/>
  <c r="AH58" i="95"/>
  <c r="AB58" i="95"/>
  <c r="AC58" i="95" s="1"/>
  <c r="AA58" i="95"/>
  <c r="Z58" i="95"/>
  <c r="Y58" i="95"/>
  <c r="X58" i="95"/>
  <c r="W58" i="95"/>
  <c r="V58" i="95"/>
  <c r="U58" i="95"/>
  <c r="T58" i="95"/>
  <c r="S58" i="95"/>
  <c r="R58" i="95"/>
  <c r="Q58" i="95"/>
  <c r="P58" i="95"/>
  <c r="O58" i="95"/>
  <c r="M58" i="95" s="1"/>
  <c r="N58" i="95"/>
  <c r="L58" i="95"/>
  <c r="J58" i="95" s="1"/>
  <c r="D58" i="95" s="1"/>
  <c r="K58" i="95"/>
  <c r="I58" i="95"/>
  <c r="C58" i="95" s="1"/>
  <c r="H58" i="95"/>
  <c r="B58" i="95" s="1"/>
  <c r="G58" i="95"/>
  <c r="F58" i="95"/>
  <c r="E58" i="95"/>
  <c r="AH57" i="95"/>
  <c r="AB57" i="95"/>
  <c r="AC57" i="95" s="1"/>
  <c r="AA57" i="95"/>
  <c r="Z57" i="95"/>
  <c r="Y57" i="95"/>
  <c r="X57" i="95"/>
  <c r="W57" i="95"/>
  <c r="V57" i="95"/>
  <c r="U57" i="95"/>
  <c r="T57" i="95"/>
  <c r="S57" i="95"/>
  <c r="R57" i="95"/>
  <c r="Q57" i="95"/>
  <c r="P57" i="95"/>
  <c r="O57" i="95"/>
  <c r="M57" i="95" s="1"/>
  <c r="N57" i="95"/>
  <c r="L57" i="95"/>
  <c r="K57" i="95"/>
  <c r="J57" i="95"/>
  <c r="D57" i="95" s="1"/>
  <c r="I57" i="95"/>
  <c r="C57" i="95" s="1"/>
  <c r="H57" i="95"/>
  <c r="G57" i="95"/>
  <c r="F57" i="95"/>
  <c r="B57" i="95"/>
  <c r="AH56" i="95"/>
  <c r="AC56" i="95"/>
  <c r="AB56" i="95"/>
  <c r="AA56" i="95"/>
  <c r="Z56" i="95"/>
  <c r="Y56" i="95"/>
  <c r="X56" i="95"/>
  <c r="W56" i="95"/>
  <c r="V56" i="95"/>
  <c r="U56" i="95"/>
  <c r="T56" i="95"/>
  <c r="S56" i="95"/>
  <c r="R56" i="95"/>
  <c r="Q56" i="95"/>
  <c r="P56" i="95"/>
  <c r="O56" i="95"/>
  <c r="M56" i="95" s="1"/>
  <c r="N56" i="95"/>
  <c r="L56" i="95"/>
  <c r="J56" i="95" s="1"/>
  <c r="D56" i="95" s="1"/>
  <c r="K56" i="95"/>
  <c r="I56" i="95"/>
  <c r="C56" i="95" s="1"/>
  <c r="H56" i="95"/>
  <c r="B56" i="95" s="1"/>
  <c r="G56" i="95"/>
  <c r="F56" i="95"/>
  <c r="E56" i="95"/>
  <c r="AH55" i="95"/>
  <c r="AC55" i="95"/>
  <c r="AB55" i="95"/>
  <c r="AA55" i="95"/>
  <c r="Z55" i="95"/>
  <c r="Y55" i="95"/>
  <c r="X55" i="95"/>
  <c r="W55" i="95"/>
  <c r="V55" i="95"/>
  <c r="U55" i="95"/>
  <c r="T55" i="95"/>
  <c r="S55" i="95"/>
  <c r="R55" i="95"/>
  <c r="Q55" i="95"/>
  <c r="P55" i="95"/>
  <c r="O55" i="95"/>
  <c r="M55" i="95" s="1"/>
  <c r="N55" i="95"/>
  <c r="L55" i="95"/>
  <c r="K55" i="95"/>
  <c r="J55" i="95"/>
  <c r="D55" i="95" s="1"/>
  <c r="I55" i="95"/>
  <c r="C55" i="95" s="1"/>
  <c r="H55" i="95"/>
  <c r="B55" i="95" s="1"/>
  <c r="G55" i="95"/>
  <c r="F55" i="95"/>
  <c r="AH54" i="95"/>
  <c r="AC54" i="95"/>
  <c r="AB54" i="95"/>
  <c r="AA54" i="95"/>
  <c r="Z54" i="95"/>
  <c r="Y54" i="95"/>
  <c r="X54" i="95"/>
  <c r="W54" i="95"/>
  <c r="V54" i="95"/>
  <c r="U54" i="95"/>
  <c r="T54" i="95"/>
  <c r="S54" i="95"/>
  <c r="R54" i="95"/>
  <c r="Q54" i="95"/>
  <c r="P54" i="95"/>
  <c r="O54" i="95"/>
  <c r="M54" i="95" s="1"/>
  <c r="N54" i="95"/>
  <c r="L54" i="95"/>
  <c r="J54" i="95" s="1"/>
  <c r="D54" i="95" s="1"/>
  <c r="K54" i="95"/>
  <c r="E54" i="95" s="1"/>
  <c r="I54" i="95"/>
  <c r="C54" i="95" s="1"/>
  <c r="H54" i="95"/>
  <c r="B54" i="95" s="1"/>
  <c r="G54" i="95"/>
  <c r="F54" i="95"/>
  <c r="AH53" i="95"/>
  <c r="AB53" i="95"/>
  <c r="AC53" i="95" s="1"/>
  <c r="AA53" i="95"/>
  <c r="Z53" i="95"/>
  <c r="Y53" i="95"/>
  <c r="X53" i="95"/>
  <c r="W53" i="95"/>
  <c r="V53" i="95"/>
  <c r="U53" i="95"/>
  <c r="T53" i="95"/>
  <c r="S53" i="95"/>
  <c r="R53" i="95"/>
  <c r="Q53" i="95"/>
  <c r="P53" i="95"/>
  <c r="O53" i="95"/>
  <c r="M53" i="95" s="1"/>
  <c r="N53" i="95"/>
  <c r="L53" i="95"/>
  <c r="K53" i="95"/>
  <c r="J53" i="95"/>
  <c r="D53" i="95" s="1"/>
  <c r="I53" i="95"/>
  <c r="C53" i="95" s="1"/>
  <c r="H53" i="95"/>
  <c r="B53" i="95" s="1"/>
  <c r="G53" i="95"/>
  <c r="F53" i="95"/>
  <c r="AH52" i="95"/>
  <c r="AB52" i="95"/>
  <c r="AC52" i="95" s="1"/>
  <c r="AA52" i="95"/>
  <c r="Z52" i="95"/>
  <c r="Y52" i="95"/>
  <c r="X52" i="95"/>
  <c r="W52" i="95"/>
  <c r="V52" i="95"/>
  <c r="U52" i="95"/>
  <c r="T52" i="95"/>
  <c r="S52" i="95"/>
  <c r="R52" i="95"/>
  <c r="Q52" i="95"/>
  <c r="P52" i="95"/>
  <c r="O52" i="95"/>
  <c r="M52" i="95" s="1"/>
  <c r="N52" i="95"/>
  <c r="L52" i="95"/>
  <c r="J52" i="95" s="1"/>
  <c r="D52" i="95" s="1"/>
  <c r="K52" i="95"/>
  <c r="E52" i="95" s="1"/>
  <c r="I52" i="95"/>
  <c r="C52" i="95" s="1"/>
  <c r="H52" i="95"/>
  <c r="B52" i="95" s="1"/>
  <c r="G52" i="95"/>
  <c r="F52" i="95"/>
  <c r="AH51" i="95"/>
  <c r="AC51" i="95"/>
  <c r="AB51" i="95"/>
  <c r="AA51" i="95"/>
  <c r="Z51" i="95"/>
  <c r="Y51" i="95"/>
  <c r="X51" i="95"/>
  <c r="W51" i="95"/>
  <c r="V51" i="95"/>
  <c r="U51" i="95"/>
  <c r="T51" i="95"/>
  <c r="S51" i="95"/>
  <c r="R51" i="95"/>
  <c r="Q51" i="95"/>
  <c r="P51" i="95"/>
  <c r="O51" i="95"/>
  <c r="M51" i="95" s="1"/>
  <c r="N51" i="95"/>
  <c r="L51" i="95"/>
  <c r="J51" i="95" s="1"/>
  <c r="D51" i="95" s="1"/>
  <c r="K51" i="95"/>
  <c r="I51" i="95"/>
  <c r="C51" i="95" s="1"/>
  <c r="H51" i="95"/>
  <c r="B51" i="95" s="1"/>
  <c r="G51" i="95"/>
  <c r="F51" i="95"/>
  <c r="AH50" i="95"/>
  <c r="AC50" i="95"/>
  <c r="AB50" i="95"/>
  <c r="AA50" i="95"/>
  <c r="Z50" i="95"/>
  <c r="Y50" i="95"/>
  <c r="X50" i="95"/>
  <c r="W50" i="95"/>
  <c r="V50" i="95"/>
  <c r="U50" i="95"/>
  <c r="T50" i="95"/>
  <c r="S50" i="95"/>
  <c r="R50" i="95"/>
  <c r="Q50" i="95"/>
  <c r="P50" i="95"/>
  <c r="O50" i="95"/>
  <c r="M50" i="95" s="1"/>
  <c r="N50" i="95"/>
  <c r="L50" i="95"/>
  <c r="J50" i="95" s="1"/>
  <c r="D50" i="95" s="1"/>
  <c r="K50" i="95"/>
  <c r="I50" i="95"/>
  <c r="C50" i="95" s="1"/>
  <c r="H50" i="95"/>
  <c r="B50" i="95" s="1"/>
  <c r="G50" i="95"/>
  <c r="F50" i="95"/>
  <c r="E50" i="95"/>
  <c r="AH49" i="95"/>
  <c r="AC49" i="95"/>
  <c r="AB49" i="95"/>
  <c r="AA49" i="95"/>
  <c r="Z49" i="95"/>
  <c r="Y49" i="95"/>
  <c r="X49" i="95"/>
  <c r="W49" i="95"/>
  <c r="V49" i="95"/>
  <c r="U49" i="95"/>
  <c r="T49" i="95"/>
  <c r="S49" i="95"/>
  <c r="R49" i="95"/>
  <c r="Q49" i="95"/>
  <c r="P49" i="95"/>
  <c r="O49" i="95"/>
  <c r="M49" i="95" s="1"/>
  <c r="N49" i="95"/>
  <c r="L49" i="95"/>
  <c r="J49" i="95" s="1"/>
  <c r="D49" i="95" s="1"/>
  <c r="K49" i="95"/>
  <c r="I49" i="95"/>
  <c r="C49" i="95" s="1"/>
  <c r="H49" i="95"/>
  <c r="B49" i="95" s="1"/>
  <c r="G49" i="95"/>
  <c r="F49" i="95"/>
  <c r="AH48" i="95"/>
  <c r="AB48" i="95"/>
  <c r="AC48" i="95" s="1"/>
  <c r="AA48" i="95"/>
  <c r="Z48" i="95"/>
  <c r="Y48" i="95"/>
  <c r="X48" i="95"/>
  <c r="W48" i="95"/>
  <c r="V48" i="95"/>
  <c r="U48" i="95"/>
  <c r="T48" i="95"/>
  <c r="S48" i="95"/>
  <c r="R48" i="95"/>
  <c r="Q48" i="95"/>
  <c r="P48" i="95"/>
  <c r="O48" i="95"/>
  <c r="M48" i="95" s="1"/>
  <c r="N48" i="95"/>
  <c r="L48" i="95"/>
  <c r="J48" i="95" s="1"/>
  <c r="D48" i="95" s="1"/>
  <c r="K48" i="95"/>
  <c r="I48" i="95"/>
  <c r="C48" i="95" s="1"/>
  <c r="H48" i="95"/>
  <c r="B48" i="95" s="1"/>
  <c r="G48" i="95"/>
  <c r="F48" i="95"/>
  <c r="E48" i="95"/>
  <c r="AH47" i="95"/>
  <c r="AB47" i="95"/>
  <c r="AC47" i="95" s="1"/>
  <c r="AA47" i="95"/>
  <c r="Z47" i="95"/>
  <c r="Y47" i="95"/>
  <c r="X47" i="95"/>
  <c r="W47" i="95"/>
  <c r="V47" i="95"/>
  <c r="U47" i="95"/>
  <c r="T47" i="95"/>
  <c r="S47" i="95"/>
  <c r="R47" i="95"/>
  <c r="Q47" i="95"/>
  <c r="P47" i="95"/>
  <c r="O47" i="95"/>
  <c r="M47" i="95" s="1"/>
  <c r="N47" i="95"/>
  <c r="L47" i="95"/>
  <c r="K47" i="95"/>
  <c r="J47" i="95"/>
  <c r="D47" i="95" s="1"/>
  <c r="I47" i="95"/>
  <c r="C47" i="95" s="1"/>
  <c r="H47" i="95"/>
  <c r="G47" i="95"/>
  <c r="F47" i="95"/>
  <c r="B47" i="95"/>
  <c r="AH46" i="95"/>
  <c r="AC46" i="95"/>
  <c r="AB46" i="95"/>
  <c r="AA46" i="95"/>
  <c r="Z46" i="95"/>
  <c r="Y46" i="95"/>
  <c r="X46" i="95"/>
  <c r="W46" i="95"/>
  <c r="V46" i="95"/>
  <c r="U46" i="95"/>
  <c r="T46" i="95"/>
  <c r="S46" i="95"/>
  <c r="R46" i="95"/>
  <c r="Q46" i="95"/>
  <c r="P46" i="95"/>
  <c r="O46" i="95"/>
  <c r="M46" i="95" s="1"/>
  <c r="N46" i="95"/>
  <c r="L46" i="95"/>
  <c r="J46" i="95" s="1"/>
  <c r="D46" i="95" s="1"/>
  <c r="K46" i="95"/>
  <c r="I46" i="95"/>
  <c r="C46" i="95" s="1"/>
  <c r="H46" i="95"/>
  <c r="B46" i="95" s="1"/>
  <c r="G46" i="95"/>
  <c r="F46" i="95"/>
  <c r="AH45" i="95"/>
  <c r="AB45" i="95"/>
  <c r="AC45" i="95" s="1"/>
  <c r="AA45" i="95"/>
  <c r="Z45" i="95"/>
  <c r="Y45" i="95"/>
  <c r="X45" i="95"/>
  <c r="W45" i="95"/>
  <c r="V45" i="95"/>
  <c r="U45" i="95"/>
  <c r="T45" i="95"/>
  <c r="S45" i="95"/>
  <c r="R45" i="95"/>
  <c r="Q45" i="95"/>
  <c r="P45" i="95"/>
  <c r="O45" i="95"/>
  <c r="M45" i="95" s="1"/>
  <c r="N45" i="95"/>
  <c r="L45" i="95"/>
  <c r="K45" i="95"/>
  <c r="J45" i="95"/>
  <c r="D45" i="95" s="1"/>
  <c r="I45" i="95"/>
  <c r="C45" i="95" s="1"/>
  <c r="H45" i="95"/>
  <c r="B45" i="95" s="1"/>
  <c r="G45" i="95"/>
  <c r="F45" i="95"/>
  <c r="AH44" i="95"/>
  <c r="AC44" i="95"/>
  <c r="AB44" i="95"/>
  <c r="AA44" i="95"/>
  <c r="Z44" i="95"/>
  <c r="Y44" i="95"/>
  <c r="X44" i="95"/>
  <c r="W44" i="95"/>
  <c r="V44" i="95"/>
  <c r="U44" i="95"/>
  <c r="T44" i="95"/>
  <c r="S44" i="95"/>
  <c r="R44" i="95"/>
  <c r="Q44" i="95"/>
  <c r="P44" i="95"/>
  <c r="O44" i="95"/>
  <c r="M44" i="95" s="1"/>
  <c r="N44" i="95"/>
  <c r="L44" i="95"/>
  <c r="J44" i="95" s="1"/>
  <c r="D44" i="95" s="1"/>
  <c r="K44" i="95"/>
  <c r="I44" i="95"/>
  <c r="C44" i="95" s="1"/>
  <c r="H44" i="95"/>
  <c r="B44" i="95" s="1"/>
  <c r="G44" i="95"/>
  <c r="F44" i="95"/>
  <c r="E44" i="95"/>
  <c r="AH43" i="95"/>
  <c r="AC43" i="95"/>
  <c r="AB43" i="95"/>
  <c r="AA43" i="95"/>
  <c r="Z43" i="95"/>
  <c r="Y43" i="95"/>
  <c r="X43" i="95"/>
  <c r="W43" i="95"/>
  <c r="V43" i="95"/>
  <c r="U43" i="95"/>
  <c r="T43" i="95"/>
  <c r="S43" i="95"/>
  <c r="R43" i="95"/>
  <c r="Q43" i="95"/>
  <c r="P43" i="95"/>
  <c r="O43" i="95"/>
  <c r="M43" i="95" s="1"/>
  <c r="N43" i="95"/>
  <c r="L43" i="95"/>
  <c r="J43" i="95" s="1"/>
  <c r="D43" i="95" s="1"/>
  <c r="K43" i="95"/>
  <c r="I43" i="95"/>
  <c r="C43" i="95" s="1"/>
  <c r="H43" i="95"/>
  <c r="B43" i="95" s="1"/>
  <c r="G43" i="95"/>
  <c r="F43" i="95"/>
  <c r="AH42" i="95"/>
  <c r="AB42" i="95"/>
  <c r="AC42" i="95" s="1"/>
  <c r="AA42" i="95"/>
  <c r="Z42" i="95"/>
  <c r="Y42" i="95"/>
  <c r="X42" i="95"/>
  <c r="W42" i="95"/>
  <c r="V42" i="95"/>
  <c r="U42" i="95"/>
  <c r="T42" i="95"/>
  <c r="S42" i="95"/>
  <c r="R42" i="95"/>
  <c r="Q42" i="95"/>
  <c r="P42" i="95"/>
  <c r="O42" i="95"/>
  <c r="M42" i="95" s="1"/>
  <c r="N42" i="95"/>
  <c r="L42" i="95"/>
  <c r="J42" i="95" s="1"/>
  <c r="D42" i="95" s="1"/>
  <c r="K42" i="95"/>
  <c r="E42" i="95" s="1"/>
  <c r="I42" i="95"/>
  <c r="C42" i="95" s="1"/>
  <c r="H42" i="95"/>
  <c r="B42" i="95" s="1"/>
  <c r="G42" i="95"/>
  <c r="F42" i="95"/>
  <c r="AH41" i="95"/>
  <c r="AB41" i="95"/>
  <c r="AC41" i="95" s="1"/>
  <c r="AA41" i="95"/>
  <c r="Z41" i="95"/>
  <c r="Y41" i="95"/>
  <c r="X41" i="95"/>
  <c r="W41" i="95"/>
  <c r="V41" i="95"/>
  <c r="U41" i="95"/>
  <c r="T41" i="95"/>
  <c r="S41" i="95"/>
  <c r="R41" i="95"/>
  <c r="Q41" i="95"/>
  <c r="P41" i="95"/>
  <c r="O41" i="95"/>
  <c r="M41" i="95" s="1"/>
  <c r="N41" i="95"/>
  <c r="L41" i="95"/>
  <c r="K41" i="95"/>
  <c r="J41" i="95"/>
  <c r="D41" i="95" s="1"/>
  <c r="I41" i="95"/>
  <c r="C41" i="95" s="1"/>
  <c r="H41" i="95"/>
  <c r="G41" i="95"/>
  <c r="F41" i="95"/>
  <c r="B41" i="95"/>
  <c r="AH40" i="95"/>
  <c r="AB40" i="95"/>
  <c r="AC40" i="95" s="1"/>
  <c r="AA40" i="95"/>
  <c r="Z40" i="95"/>
  <c r="Y40" i="95"/>
  <c r="X40" i="95"/>
  <c r="W40" i="95"/>
  <c r="V40" i="95"/>
  <c r="U40" i="95"/>
  <c r="T40" i="95"/>
  <c r="S40" i="95"/>
  <c r="R40" i="95"/>
  <c r="Q40" i="95"/>
  <c r="P40" i="95"/>
  <c r="O40" i="95"/>
  <c r="M40" i="95" s="1"/>
  <c r="N40" i="95"/>
  <c r="L40" i="95"/>
  <c r="J40" i="95" s="1"/>
  <c r="D40" i="95" s="1"/>
  <c r="K40" i="95"/>
  <c r="E40" i="95" s="1"/>
  <c r="I40" i="95"/>
  <c r="C40" i="95" s="1"/>
  <c r="H40" i="95"/>
  <c r="B40" i="95" s="1"/>
  <c r="G40" i="95"/>
  <c r="F40" i="95"/>
  <c r="AH39" i="95"/>
  <c r="AB39" i="95"/>
  <c r="AC39" i="95" s="1"/>
  <c r="AA39" i="95"/>
  <c r="Z39" i="95"/>
  <c r="Y39" i="95"/>
  <c r="X39" i="95"/>
  <c r="W39" i="95"/>
  <c r="V39" i="95"/>
  <c r="U39" i="95"/>
  <c r="T39" i="95"/>
  <c r="S39" i="95"/>
  <c r="R39" i="95"/>
  <c r="Q39" i="95"/>
  <c r="P39" i="95"/>
  <c r="O39" i="95"/>
  <c r="N39" i="95"/>
  <c r="M39" i="95"/>
  <c r="L39" i="95"/>
  <c r="J39" i="95" s="1"/>
  <c r="D39" i="95" s="1"/>
  <c r="K39" i="95"/>
  <c r="I39" i="95"/>
  <c r="C39" i="95" s="1"/>
  <c r="H39" i="95"/>
  <c r="G39" i="95"/>
  <c r="F39" i="95"/>
  <c r="E39" i="95"/>
  <c r="B39" i="95"/>
  <c r="AH38" i="95"/>
  <c r="AB38" i="95"/>
  <c r="AC38" i="95" s="1"/>
  <c r="AA38" i="95"/>
  <c r="Z38" i="95"/>
  <c r="Y38" i="95"/>
  <c r="X38" i="95"/>
  <c r="W38" i="95"/>
  <c r="V38" i="95"/>
  <c r="U38" i="95"/>
  <c r="T38" i="95"/>
  <c r="S38" i="95"/>
  <c r="R38" i="95"/>
  <c r="Q38" i="95"/>
  <c r="P38" i="95"/>
  <c r="O38" i="95"/>
  <c r="M38" i="95" s="1"/>
  <c r="N38" i="95"/>
  <c r="L38" i="95"/>
  <c r="J38" i="95" s="1"/>
  <c r="D38" i="95" s="1"/>
  <c r="K38" i="95"/>
  <c r="I38" i="95"/>
  <c r="C38" i="95" s="1"/>
  <c r="H38" i="95"/>
  <c r="B38" i="95" s="1"/>
  <c r="G38" i="95"/>
  <c r="F38" i="95"/>
  <c r="AH37" i="95"/>
  <c r="AC37" i="95"/>
  <c r="AB37" i="95"/>
  <c r="AA37" i="95"/>
  <c r="Z37" i="95"/>
  <c r="Y37" i="95"/>
  <c r="X37" i="95"/>
  <c r="W37" i="95"/>
  <c r="V37" i="95"/>
  <c r="U37" i="95"/>
  <c r="T37" i="95"/>
  <c r="S37" i="95"/>
  <c r="R37" i="95"/>
  <c r="Q37" i="95"/>
  <c r="P37" i="95"/>
  <c r="O37" i="95"/>
  <c r="N37" i="95"/>
  <c r="M37" i="95"/>
  <c r="L37" i="95"/>
  <c r="K37" i="95"/>
  <c r="J37" i="95"/>
  <c r="D37" i="95" s="1"/>
  <c r="I37" i="95"/>
  <c r="C37" i="95" s="1"/>
  <c r="H37" i="95"/>
  <c r="G37" i="95"/>
  <c r="F37" i="95"/>
  <c r="E37" i="95"/>
  <c r="B37" i="95"/>
  <c r="AH36" i="95"/>
  <c r="AB36" i="95"/>
  <c r="AC36" i="95" s="1"/>
  <c r="AA36" i="95"/>
  <c r="Z36" i="95"/>
  <c r="Y36" i="95"/>
  <c r="X36" i="95"/>
  <c r="W36" i="95"/>
  <c r="V36" i="95"/>
  <c r="U36" i="95"/>
  <c r="T36" i="95"/>
  <c r="S36" i="95"/>
  <c r="R36" i="95"/>
  <c r="Q36" i="95"/>
  <c r="P36" i="95"/>
  <c r="O36" i="95"/>
  <c r="M36" i="95" s="1"/>
  <c r="N36" i="95"/>
  <c r="L36" i="95"/>
  <c r="J36" i="95" s="1"/>
  <c r="D36" i="95" s="1"/>
  <c r="K36" i="95"/>
  <c r="E36" i="95" s="1"/>
  <c r="I36" i="95"/>
  <c r="C36" i="95" s="1"/>
  <c r="H36" i="95"/>
  <c r="B36" i="95" s="1"/>
  <c r="G36" i="95"/>
  <c r="F36" i="95"/>
  <c r="AH35" i="95"/>
  <c r="AB35" i="95"/>
  <c r="AC35" i="95" s="1"/>
  <c r="AA35" i="95"/>
  <c r="Z35" i="95"/>
  <c r="Y35" i="95"/>
  <c r="X35" i="95"/>
  <c r="W35" i="95"/>
  <c r="V35" i="95"/>
  <c r="U35" i="95"/>
  <c r="T35" i="95"/>
  <c r="S35" i="95"/>
  <c r="R35" i="95"/>
  <c r="Q35" i="95"/>
  <c r="P35" i="95"/>
  <c r="O35" i="95"/>
  <c r="M35" i="95" s="1"/>
  <c r="N35" i="95"/>
  <c r="L35" i="95"/>
  <c r="J35" i="95" s="1"/>
  <c r="D35" i="95" s="1"/>
  <c r="K35" i="95"/>
  <c r="E35" i="95" s="1"/>
  <c r="I35" i="95"/>
  <c r="C35" i="95" s="1"/>
  <c r="H35" i="95"/>
  <c r="B35" i="95" s="1"/>
  <c r="G35" i="95"/>
  <c r="F35" i="95"/>
  <c r="AH34" i="95"/>
  <c r="AC34" i="95"/>
  <c r="AB34" i="95"/>
  <c r="AA34" i="95"/>
  <c r="Z34" i="95"/>
  <c r="Y34" i="95"/>
  <c r="X34" i="95"/>
  <c r="W34" i="95"/>
  <c r="V34" i="95"/>
  <c r="U34" i="95"/>
  <c r="T34" i="95"/>
  <c r="S34" i="95"/>
  <c r="R34" i="95"/>
  <c r="Q34" i="95"/>
  <c r="P34" i="95"/>
  <c r="O34" i="95"/>
  <c r="M34" i="95" s="1"/>
  <c r="N34" i="95"/>
  <c r="L34" i="95"/>
  <c r="J34" i="95" s="1"/>
  <c r="D34" i="95" s="1"/>
  <c r="K34" i="95"/>
  <c r="I34" i="95"/>
  <c r="C34" i="95" s="1"/>
  <c r="H34" i="95"/>
  <c r="B34" i="95" s="1"/>
  <c r="G34" i="95"/>
  <c r="F34" i="95"/>
  <c r="E34" i="95"/>
  <c r="AH33" i="95"/>
  <c r="AC33" i="95"/>
  <c r="AB33" i="95"/>
  <c r="AA33" i="95"/>
  <c r="Z33" i="95"/>
  <c r="Y33" i="95"/>
  <c r="X33" i="95"/>
  <c r="W33" i="95"/>
  <c r="V33" i="95"/>
  <c r="U33" i="95"/>
  <c r="T33" i="95"/>
  <c r="S33" i="95"/>
  <c r="R33" i="95"/>
  <c r="Q33" i="95"/>
  <c r="P33" i="95"/>
  <c r="O33" i="95"/>
  <c r="M33" i="95" s="1"/>
  <c r="N33" i="95"/>
  <c r="L33" i="95"/>
  <c r="K33" i="95"/>
  <c r="J33" i="95"/>
  <c r="D33" i="95" s="1"/>
  <c r="I33" i="95"/>
  <c r="C33" i="95" s="1"/>
  <c r="H33" i="95"/>
  <c r="G33" i="95"/>
  <c r="F33" i="95"/>
  <c r="B33" i="95"/>
  <c r="AH32" i="95"/>
  <c r="AB32" i="95"/>
  <c r="AC32" i="95" s="1"/>
  <c r="AA32" i="95"/>
  <c r="Z32" i="95"/>
  <c r="Y32" i="95"/>
  <c r="X32" i="95"/>
  <c r="W32" i="95"/>
  <c r="V32" i="95"/>
  <c r="U32" i="95"/>
  <c r="T32" i="95"/>
  <c r="S32" i="95"/>
  <c r="R32" i="95"/>
  <c r="Q32" i="95"/>
  <c r="P32" i="95"/>
  <c r="O32" i="95"/>
  <c r="M32" i="95" s="1"/>
  <c r="N32" i="95"/>
  <c r="L32" i="95"/>
  <c r="J32" i="95" s="1"/>
  <c r="K32" i="95"/>
  <c r="I32" i="95"/>
  <c r="C32" i="95" s="1"/>
  <c r="H32" i="95"/>
  <c r="B32" i="95" s="1"/>
  <c r="G32" i="95"/>
  <c r="F32" i="95"/>
  <c r="E32" i="95"/>
  <c r="D32" i="95"/>
  <c r="AH31" i="95"/>
  <c r="AB31" i="95"/>
  <c r="AC31" i="95" s="1"/>
  <c r="AA31" i="95"/>
  <c r="Z31" i="95"/>
  <c r="Y31" i="95"/>
  <c r="X31" i="95"/>
  <c r="W31" i="95"/>
  <c r="V31" i="95"/>
  <c r="U31" i="95"/>
  <c r="T31" i="95"/>
  <c r="S31" i="95"/>
  <c r="R31" i="95"/>
  <c r="Q31" i="95"/>
  <c r="P31" i="95"/>
  <c r="O31" i="95"/>
  <c r="M31" i="95" s="1"/>
  <c r="N31" i="95"/>
  <c r="L31" i="95"/>
  <c r="J31" i="95" s="1"/>
  <c r="D31" i="95" s="1"/>
  <c r="K31" i="95"/>
  <c r="E31" i="95" s="1"/>
  <c r="I31" i="95"/>
  <c r="C31" i="95" s="1"/>
  <c r="H31" i="95"/>
  <c r="G31" i="95"/>
  <c r="F31" i="95"/>
  <c r="B31" i="95"/>
  <c r="AH30" i="95"/>
  <c r="AB30" i="95"/>
  <c r="AC30" i="95" s="1"/>
  <c r="AA30" i="95"/>
  <c r="Z30" i="95"/>
  <c r="Y30" i="95"/>
  <c r="X30" i="95"/>
  <c r="W30" i="95"/>
  <c r="V30" i="95"/>
  <c r="U30" i="95"/>
  <c r="T30" i="95"/>
  <c r="S30" i="95"/>
  <c r="R30" i="95"/>
  <c r="Q30" i="95"/>
  <c r="P30" i="95"/>
  <c r="O30" i="95"/>
  <c r="M30" i="95" s="1"/>
  <c r="N30" i="95"/>
  <c r="L30" i="95"/>
  <c r="J30" i="95" s="1"/>
  <c r="K30" i="95"/>
  <c r="I30" i="95"/>
  <c r="C30" i="95" s="1"/>
  <c r="H30" i="95"/>
  <c r="B30" i="95" s="1"/>
  <c r="G30" i="95"/>
  <c r="F30" i="95"/>
  <c r="D30" i="95"/>
  <c r="AH29" i="95"/>
  <c r="AB29" i="95"/>
  <c r="AC29" i="95" s="1"/>
  <c r="AA29" i="95"/>
  <c r="Z29" i="95"/>
  <c r="Y29" i="95"/>
  <c r="X29" i="95"/>
  <c r="W29" i="95"/>
  <c r="V29" i="95"/>
  <c r="U29" i="95"/>
  <c r="T29" i="95"/>
  <c r="S29" i="95"/>
  <c r="R29" i="95"/>
  <c r="Q29" i="95"/>
  <c r="P29" i="95"/>
  <c r="O29" i="95"/>
  <c r="M29" i="95" s="1"/>
  <c r="N29" i="95"/>
  <c r="L29" i="95"/>
  <c r="K29" i="95"/>
  <c r="J29" i="95"/>
  <c r="D29" i="95" s="1"/>
  <c r="I29" i="95"/>
  <c r="C29" i="95" s="1"/>
  <c r="H29" i="95"/>
  <c r="G29" i="95"/>
  <c r="F29" i="95"/>
  <c r="B29" i="95"/>
  <c r="AH28" i="95"/>
  <c r="AB28" i="95"/>
  <c r="AC28" i="95" s="1"/>
  <c r="AA28" i="95"/>
  <c r="Z28" i="95"/>
  <c r="Y28" i="95"/>
  <c r="X28" i="95"/>
  <c r="W28" i="95"/>
  <c r="V28" i="95"/>
  <c r="U28" i="95"/>
  <c r="T28" i="95"/>
  <c r="S28" i="95"/>
  <c r="R28" i="95"/>
  <c r="Q28" i="95"/>
  <c r="P28" i="95"/>
  <c r="O28" i="95"/>
  <c r="M28" i="95" s="1"/>
  <c r="N28" i="95"/>
  <c r="L28" i="95"/>
  <c r="J28" i="95" s="1"/>
  <c r="D28" i="95" s="1"/>
  <c r="K28" i="95"/>
  <c r="I28" i="95"/>
  <c r="H28" i="95"/>
  <c r="B28" i="95" s="1"/>
  <c r="G28" i="95"/>
  <c r="F28" i="95"/>
  <c r="C28" i="95"/>
  <c r="AH27" i="95"/>
  <c r="AB27" i="95"/>
  <c r="AC27" i="95" s="1"/>
  <c r="AA27" i="95"/>
  <c r="Z27" i="95"/>
  <c r="Y27" i="95"/>
  <c r="X27" i="95"/>
  <c r="W27" i="95"/>
  <c r="V27" i="95"/>
  <c r="U27" i="95"/>
  <c r="T27" i="95"/>
  <c r="S27" i="95"/>
  <c r="R27" i="95"/>
  <c r="Q27" i="95"/>
  <c r="P27" i="95"/>
  <c r="O27" i="95"/>
  <c r="M27" i="95" s="1"/>
  <c r="N27" i="95"/>
  <c r="L27" i="95"/>
  <c r="K27" i="95"/>
  <c r="J27" i="95"/>
  <c r="D27" i="95" s="1"/>
  <c r="I27" i="95"/>
  <c r="C27" i="95" s="1"/>
  <c r="H27" i="95"/>
  <c r="G27" i="95"/>
  <c r="F27" i="95"/>
  <c r="B27" i="95"/>
  <c r="AH26" i="95"/>
  <c r="AB26" i="95"/>
  <c r="AC26" i="95" s="1"/>
  <c r="AA26" i="95"/>
  <c r="Z26" i="95"/>
  <c r="Y26" i="95"/>
  <c r="X26" i="95"/>
  <c r="W26" i="95"/>
  <c r="V26" i="95"/>
  <c r="U26" i="95"/>
  <c r="T26" i="95"/>
  <c r="S26" i="95"/>
  <c r="R26" i="95"/>
  <c r="Q26" i="95"/>
  <c r="P26" i="95"/>
  <c r="O26" i="95"/>
  <c r="M26" i="95" s="1"/>
  <c r="N26" i="95"/>
  <c r="L26" i="95"/>
  <c r="J26" i="95" s="1"/>
  <c r="D26" i="95" s="1"/>
  <c r="K26" i="95"/>
  <c r="E26" i="95" s="1"/>
  <c r="I26" i="95"/>
  <c r="H26" i="95"/>
  <c r="B26" i="95" s="1"/>
  <c r="G26" i="95"/>
  <c r="F26" i="95"/>
  <c r="C26" i="95"/>
  <c r="AH25" i="95"/>
  <c r="AC25" i="95"/>
  <c r="AB25" i="95"/>
  <c r="AA25" i="95"/>
  <c r="Z25" i="95"/>
  <c r="Y25" i="95"/>
  <c r="X25" i="95"/>
  <c r="W25" i="95"/>
  <c r="V25" i="95"/>
  <c r="U25" i="95"/>
  <c r="T25" i="95"/>
  <c r="S25" i="95"/>
  <c r="R25" i="95"/>
  <c r="Q25" i="95"/>
  <c r="P25" i="95"/>
  <c r="O25" i="95"/>
  <c r="N25" i="95"/>
  <c r="M25" i="95"/>
  <c r="L25" i="95"/>
  <c r="K25" i="95"/>
  <c r="J25" i="95"/>
  <c r="D25" i="95" s="1"/>
  <c r="I25" i="95"/>
  <c r="C25" i="95" s="1"/>
  <c r="H25" i="95"/>
  <c r="G25" i="95"/>
  <c r="F25" i="95"/>
  <c r="E25" i="95"/>
  <c r="B25" i="95"/>
  <c r="AH24" i="95"/>
  <c r="AB24" i="95"/>
  <c r="AC24" i="95" s="1"/>
  <c r="AA24" i="95"/>
  <c r="Z24" i="95"/>
  <c r="Y24" i="95"/>
  <c r="X24" i="95"/>
  <c r="W24" i="95"/>
  <c r="V24" i="95"/>
  <c r="U24" i="95"/>
  <c r="T24" i="95"/>
  <c r="S24" i="95"/>
  <c r="R24" i="95"/>
  <c r="Q24" i="95"/>
  <c r="P24" i="95"/>
  <c r="O24" i="95"/>
  <c r="M24" i="95" s="1"/>
  <c r="N24" i="95"/>
  <c r="L24" i="95"/>
  <c r="J24" i="95" s="1"/>
  <c r="D24" i="95" s="1"/>
  <c r="K24" i="95"/>
  <c r="E24" i="95" s="1"/>
  <c r="I24" i="95"/>
  <c r="C24" i="95" s="1"/>
  <c r="H24" i="95"/>
  <c r="B24" i="95" s="1"/>
  <c r="G24" i="95"/>
  <c r="F24" i="95"/>
  <c r="AH23" i="95"/>
  <c r="AB23" i="95"/>
  <c r="AC23" i="95" s="1"/>
  <c r="AA23" i="95"/>
  <c r="Z23" i="95"/>
  <c r="Y23" i="95"/>
  <c r="X23" i="95"/>
  <c r="W23" i="95"/>
  <c r="V23" i="95"/>
  <c r="U23" i="95"/>
  <c r="T23" i="95"/>
  <c r="S23" i="95"/>
  <c r="R23" i="95"/>
  <c r="Q23" i="95"/>
  <c r="P23" i="95"/>
  <c r="O23" i="95"/>
  <c r="M23" i="95" s="1"/>
  <c r="N23" i="95"/>
  <c r="L23" i="95"/>
  <c r="J23" i="95" s="1"/>
  <c r="D23" i="95" s="1"/>
  <c r="K23" i="95"/>
  <c r="E23" i="95" s="1"/>
  <c r="I23" i="95"/>
  <c r="H23" i="95"/>
  <c r="B23" i="95" s="1"/>
  <c r="G23" i="95"/>
  <c r="F23" i="95"/>
  <c r="C23" i="95"/>
  <c r="AH22" i="95"/>
  <c r="AB22" i="95"/>
  <c r="AC22" i="95" s="1"/>
  <c r="AA22" i="95"/>
  <c r="Z22" i="95"/>
  <c r="Y22" i="95"/>
  <c r="X22" i="95"/>
  <c r="W22" i="95"/>
  <c r="V22" i="95"/>
  <c r="U22" i="95"/>
  <c r="T22" i="95"/>
  <c r="S22" i="95"/>
  <c r="R22" i="95"/>
  <c r="Q22" i="95"/>
  <c r="P22" i="95"/>
  <c r="O22" i="95"/>
  <c r="N22" i="95"/>
  <c r="M22" i="95"/>
  <c r="L22" i="95"/>
  <c r="J22" i="95" s="1"/>
  <c r="D22" i="95" s="1"/>
  <c r="K22" i="95"/>
  <c r="I22" i="95"/>
  <c r="C22" i="95" s="1"/>
  <c r="H22" i="95"/>
  <c r="G22" i="95"/>
  <c r="F22" i="95"/>
  <c r="E22" i="95"/>
  <c r="B22" i="95"/>
  <c r="AH21" i="95"/>
  <c r="AB21" i="95"/>
  <c r="AC21" i="95" s="1"/>
  <c r="AA21" i="95"/>
  <c r="Z21" i="95"/>
  <c r="Y21" i="95"/>
  <c r="X21" i="95"/>
  <c r="W21" i="95"/>
  <c r="V21" i="95"/>
  <c r="U21" i="95"/>
  <c r="T21" i="95"/>
  <c r="S21" i="95"/>
  <c r="R21" i="95"/>
  <c r="Q21" i="95"/>
  <c r="P21" i="95"/>
  <c r="O21" i="95"/>
  <c r="M21" i="95" s="1"/>
  <c r="N21" i="95"/>
  <c r="L21" i="95"/>
  <c r="J21" i="95" s="1"/>
  <c r="D21" i="95" s="1"/>
  <c r="K21" i="95"/>
  <c r="I21" i="95"/>
  <c r="C21" i="95" s="1"/>
  <c r="H21" i="95"/>
  <c r="B21" i="95" s="1"/>
  <c r="G21" i="95"/>
  <c r="F21" i="95"/>
  <c r="AH20" i="95"/>
  <c r="AB20" i="95"/>
  <c r="AC20" i="95" s="1"/>
  <c r="AA20" i="95"/>
  <c r="Z20" i="95"/>
  <c r="Y20" i="95"/>
  <c r="X20" i="95"/>
  <c r="W20" i="95"/>
  <c r="V20" i="95"/>
  <c r="U20" i="95"/>
  <c r="T20" i="95"/>
  <c r="S20" i="95"/>
  <c r="R20" i="95"/>
  <c r="Q20" i="95"/>
  <c r="P20" i="95"/>
  <c r="O20" i="95"/>
  <c r="M20" i="95" s="1"/>
  <c r="N20" i="95"/>
  <c r="L20" i="95"/>
  <c r="K20" i="95"/>
  <c r="J20" i="95"/>
  <c r="D20" i="95" s="1"/>
  <c r="I20" i="95"/>
  <c r="C20" i="95" s="1"/>
  <c r="H20" i="95"/>
  <c r="G20" i="95"/>
  <c r="F20" i="95"/>
  <c r="B20" i="95"/>
  <c r="AH19" i="95"/>
  <c r="AB19" i="95"/>
  <c r="AC19" i="95" s="1"/>
  <c r="AA19" i="95"/>
  <c r="Z19" i="95"/>
  <c r="Y19" i="95"/>
  <c r="X19" i="95"/>
  <c r="W19" i="95"/>
  <c r="V19" i="95"/>
  <c r="U19" i="95"/>
  <c r="T19" i="95"/>
  <c r="S19" i="95"/>
  <c r="R19" i="95"/>
  <c r="Q19" i="95"/>
  <c r="P19" i="95"/>
  <c r="O19" i="95"/>
  <c r="M19" i="95" s="1"/>
  <c r="N19" i="95"/>
  <c r="L19" i="95"/>
  <c r="J19" i="95" s="1"/>
  <c r="D19" i="95" s="1"/>
  <c r="K19" i="95"/>
  <c r="I19" i="95"/>
  <c r="H19" i="95"/>
  <c r="B19" i="95" s="1"/>
  <c r="G19" i="95"/>
  <c r="F19" i="95"/>
  <c r="C19" i="95"/>
  <c r="AH18" i="95"/>
  <c r="AB18" i="95"/>
  <c r="AC18" i="95" s="1"/>
  <c r="AA18" i="95"/>
  <c r="Z18" i="95"/>
  <c r="Y18" i="95"/>
  <c r="X18" i="95"/>
  <c r="W18" i="95"/>
  <c r="V18" i="95"/>
  <c r="U18" i="95"/>
  <c r="T18" i="95"/>
  <c r="S18" i="95"/>
  <c r="R18" i="95"/>
  <c r="Q18" i="95"/>
  <c r="P18" i="95"/>
  <c r="O18" i="95"/>
  <c r="M18" i="95" s="1"/>
  <c r="N18" i="95"/>
  <c r="L18" i="95"/>
  <c r="K18" i="95"/>
  <c r="E18" i="95" s="1"/>
  <c r="J18" i="95"/>
  <c r="D18" i="95" s="1"/>
  <c r="I18" i="95"/>
  <c r="C18" i="95" s="1"/>
  <c r="H18" i="95"/>
  <c r="B18" i="95" s="1"/>
  <c r="G18" i="95"/>
  <c r="F18" i="95"/>
  <c r="AH17" i="95"/>
  <c r="AB17" i="95"/>
  <c r="AC17" i="95" s="1"/>
  <c r="AA17" i="95"/>
  <c r="Z17" i="95"/>
  <c r="Y17" i="95"/>
  <c r="X17" i="95"/>
  <c r="W17" i="95"/>
  <c r="V17" i="95"/>
  <c r="U17" i="95"/>
  <c r="T17" i="95"/>
  <c r="S17" i="95"/>
  <c r="R17" i="95"/>
  <c r="Q17" i="95"/>
  <c r="P17" i="95"/>
  <c r="O17" i="95"/>
  <c r="M17" i="95" s="1"/>
  <c r="N17" i="95"/>
  <c r="L17" i="95"/>
  <c r="J17" i="95" s="1"/>
  <c r="D17" i="95" s="1"/>
  <c r="K17" i="95"/>
  <c r="E17" i="95" s="1"/>
  <c r="I17" i="95"/>
  <c r="H17" i="95"/>
  <c r="B17" i="95" s="1"/>
  <c r="G17" i="95"/>
  <c r="F17" i="95"/>
  <c r="C17" i="95"/>
  <c r="AH16" i="95"/>
  <c r="AB16" i="95"/>
  <c r="AC16" i="95" s="1"/>
  <c r="AA16" i="95"/>
  <c r="Z16" i="95"/>
  <c r="Y16" i="95"/>
  <c r="X16" i="95"/>
  <c r="W16" i="95"/>
  <c r="V16" i="95"/>
  <c r="U16" i="95"/>
  <c r="T16" i="95"/>
  <c r="S16" i="95"/>
  <c r="R16" i="95"/>
  <c r="Q16" i="95"/>
  <c r="P16" i="95"/>
  <c r="O16" i="95"/>
  <c r="M16" i="95" s="1"/>
  <c r="N16" i="95"/>
  <c r="L16" i="95"/>
  <c r="J16" i="95" s="1"/>
  <c r="D16" i="95" s="1"/>
  <c r="K16" i="95"/>
  <c r="I16" i="95"/>
  <c r="C16" i="95" s="1"/>
  <c r="H16" i="95"/>
  <c r="B16" i="95" s="1"/>
  <c r="G16" i="95"/>
  <c r="F16" i="95"/>
  <c r="AH15" i="95"/>
  <c r="AB15" i="95"/>
  <c r="AC15" i="95" s="1"/>
  <c r="AA15" i="95"/>
  <c r="Z15" i="95"/>
  <c r="Y15" i="95"/>
  <c r="X15" i="95"/>
  <c r="W15" i="95"/>
  <c r="V15" i="95"/>
  <c r="U15" i="95"/>
  <c r="T15" i="95"/>
  <c r="S15" i="95"/>
  <c r="R15" i="95"/>
  <c r="Q15" i="95"/>
  <c r="P15" i="95"/>
  <c r="O15" i="95"/>
  <c r="M15" i="95" s="1"/>
  <c r="N15" i="95"/>
  <c r="L15" i="95"/>
  <c r="J15" i="95" s="1"/>
  <c r="D15" i="95" s="1"/>
  <c r="K15" i="95"/>
  <c r="I15" i="95"/>
  <c r="H15" i="95"/>
  <c r="B15" i="95" s="1"/>
  <c r="G15" i="95"/>
  <c r="F15" i="95"/>
  <c r="C15" i="95"/>
  <c r="AH14" i="95"/>
  <c r="AB14" i="95"/>
  <c r="AC14" i="95" s="1"/>
  <c r="AA14" i="95"/>
  <c r="Z14" i="95"/>
  <c r="Y14" i="95"/>
  <c r="X14" i="95"/>
  <c r="W14" i="95"/>
  <c r="V14" i="95"/>
  <c r="U14" i="95"/>
  <c r="T14" i="95"/>
  <c r="S14" i="95"/>
  <c r="R14" i="95"/>
  <c r="Q14" i="95"/>
  <c r="P14" i="95"/>
  <c r="O14" i="95"/>
  <c r="M14" i="95" s="1"/>
  <c r="N14" i="95"/>
  <c r="L14" i="95"/>
  <c r="J14" i="95" s="1"/>
  <c r="D14" i="95" s="1"/>
  <c r="K14" i="95"/>
  <c r="E14" i="95" s="1"/>
  <c r="I14" i="95"/>
  <c r="C14" i="95" s="1"/>
  <c r="H14" i="95"/>
  <c r="B14" i="95" s="1"/>
  <c r="G14" i="95"/>
  <c r="F14" i="95"/>
  <c r="AH13" i="95"/>
  <c r="AB13" i="95"/>
  <c r="AC13" i="95" s="1"/>
  <c r="AA13" i="95"/>
  <c r="Z13" i="95"/>
  <c r="Y13" i="95"/>
  <c r="X13" i="95"/>
  <c r="W13" i="95"/>
  <c r="V13" i="95"/>
  <c r="U13" i="95"/>
  <c r="T13" i="95"/>
  <c r="S13" i="95"/>
  <c r="R13" i="95"/>
  <c r="Q13" i="95"/>
  <c r="P13" i="95"/>
  <c r="O13" i="95"/>
  <c r="M13" i="95" s="1"/>
  <c r="N13" i="95"/>
  <c r="L13" i="95"/>
  <c r="J13" i="95" s="1"/>
  <c r="D13" i="95" s="1"/>
  <c r="K13" i="95"/>
  <c r="I13" i="95"/>
  <c r="H13" i="95"/>
  <c r="B13" i="95" s="1"/>
  <c r="G13" i="95"/>
  <c r="F13" i="95"/>
  <c r="C13" i="95"/>
  <c r="AH12" i="95"/>
  <c r="AB12" i="95"/>
  <c r="AC12" i="95" s="1"/>
  <c r="AA12" i="95"/>
  <c r="Z12" i="95"/>
  <c r="Y12" i="95"/>
  <c r="X12" i="95"/>
  <c r="W12" i="95"/>
  <c r="V12" i="95"/>
  <c r="U12" i="95"/>
  <c r="T12" i="95"/>
  <c r="S12" i="95"/>
  <c r="R12" i="95"/>
  <c r="Q12" i="95"/>
  <c r="P12" i="95"/>
  <c r="O12" i="95"/>
  <c r="M12" i="95" s="1"/>
  <c r="N12" i="95"/>
  <c r="L12" i="95"/>
  <c r="J12" i="95" s="1"/>
  <c r="D12" i="95" s="1"/>
  <c r="K12" i="95"/>
  <c r="I12" i="95"/>
  <c r="C12" i="95" s="1"/>
  <c r="H12" i="95"/>
  <c r="B12" i="95" s="1"/>
  <c r="G12" i="95"/>
  <c r="F12" i="95"/>
  <c r="AH11" i="95"/>
  <c r="AB11" i="95"/>
  <c r="AC11" i="95" s="1"/>
  <c r="AA11" i="95"/>
  <c r="Z11" i="95"/>
  <c r="Y11" i="95"/>
  <c r="X11" i="95"/>
  <c r="W11" i="95"/>
  <c r="V11" i="95"/>
  <c r="U11" i="95"/>
  <c r="T11" i="95"/>
  <c r="S11" i="95"/>
  <c r="R11" i="95"/>
  <c r="Q11" i="95"/>
  <c r="P11" i="95"/>
  <c r="O11" i="95"/>
  <c r="M11" i="95" s="1"/>
  <c r="N11" i="95"/>
  <c r="L11" i="95"/>
  <c r="J11" i="95" s="1"/>
  <c r="D11" i="95" s="1"/>
  <c r="K11" i="95"/>
  <c r="E11" i="95" s="1"/>
  <c r="I11" i="95"/>
  <c r="H11" i="95"/>
  <c r="B11" i="95" s="1"/>
  <c r="G11" i="95"/>
  <c r="F11" i="95"/>
  <c r="C11" i="95"/>
  <c r="AB10" i="95"/>
  <c r="AC10" i="95" s="1"/>
  <c r="AA10" i="95"/>
  <c r="Z10" i="95"/>
  <c r="Y10" i="95"/>
  <c r="X10" i="95"/>
  <c r="W10" i="95"/>
  <c r="V10" i="95"/>
  <c r="U10" i="95"/>
  <c r="T10" i="95"/>
  <c r="S10" i="95"/>
  <c r="R10" i="95"/>
  <c r="Q10" i="95"/>
  <c r="P10" i="95"/>
  <c r="O10" i="95"/>
  <c r="M10" i="95" s="1"/>
  <c r="N10" i="95"/>
  <c r="L10" i="95"/>
  <c r="J10" i="95" s="1"/>
  <c r="D10" i="95" s="1"/>
  <c r="K10" i="95"/>
  <c r="I10" i="95"/>
  <c r="C10" i="95" s="1"/>
  <c r="H10" i="95"/>
  <c r="B10" i="95" s="1"/>
  <c r="G10" i="95"/>
  <c r="F10" i="95"/>
  <c r="AH9" i="95"/>
  <c r="AB9" i="95"/>
  <c r="AC9" i="95" s="1"/>
  <c r="AA9" i="95"/>
  <c r="Z9" i="95"/>
  <c r="Y9" i="95"/>
  <c r="X9" i="95"/>
  <c r="W9" i="95"/>
  <c r="V9" i="95"/>
  <c r="U9" i="95"/>
  <c r="T9" i="95"/>
  <c r="S9" i="95"/>
  <c r="R9" i="95"/>
  <c r="Q9" i="95"/>
  <c r="P9" i="95"/>
  <c r="O9" i="95"/>
  <c r="M9" i="95" s="1"/>
  <c r="N9" i="95"/>
  <c r="L9" i="95"/>
  <c r="J9" i="95" s="1"/>
  <c r="D9" i="95" s="1"/>
  <c r="K9" i="95"/>
  <c r="I9" i="95"/>
  <c r="H9" i="95"/>
  <c r="B9" i="95" s="1"/>
  <c r="G9" i="95"/>
  <c r="F9" i="95"/>
  <c r="C9" i="95"/>
  <c r="AH8" i="95"/>
  <c r="AB8" i="95"/>
  <c r="AC8" i="95" s="1"/>
  <c r="AA8" i="95"/>
  <c r="Z8" i="95"/>
  <c r="Y8" i="95"/>
  <c r="X8" i="95"/>
  <c r="W8" i="95"/>
  <c r="V8" i="95"/>
  <c r="U8" i="95"/>
  <c r="T8" i="95"/>
  <c r="S8" i="95"/>
  <c r="R8" i="95"/>
  <c r="Q8" i="95"/>
  <c r="P8" i="95"/>
  <c r="O8" i="95"/>
  <c r="M8" i="95" s="1"/>
  <c r="N8" i="95"/>
  <c r="L8" i="95"/>
  <c r="J8" i="95" s="1"/>
  <c r="D8" i="95" s="1"/>
  <c r="K8" i="95"/>
  <c r="I8" i="95"/>
  <c r="C8" i="95" s="1"/>
  <c r="H8" i="95"/>
  <c r="B8" i="95" s="1"/>
  <c r="G8" i="95"/>
  <c r="F8" i="95"/>
  <c r="AH7" i="95"/>
  <c r="AB7" i="95"/>
  <c r="AC7" i="95" s="1"/>
  <c r="AA7" i="95"/>
  <c r="Z7" i="95"/>
  <c r="Y7" i="95"/>
  <c r="X7" i="95"/>
  <c r="W7" i="95"/>
  <c r="V7" i="95"/>
  <c r="U7" i="95"/>
  <c r="T7" i="95"/>
  <c r="S7" i="95"/>
  <c r="R7" i="95"/>
  <c r="Q7" i="95"/>
  <c r="P7" i="95"/>
  <c r="O7" i="95"/>
  <c r="M7" i="95" s="1"/>
  <c r="N7" i="95"/>
  <c r="L7" i="95"/>
  <c r="J7" i="95" s="1"/>
  <c r="D7" i="95" s="1"/>
  <c r="K7" i="95"/>
  <c r="E7" i="95" s="1"/>
  <c r="I7" i="95"/>
  <c r="H7" i="95"/>
  <c r="B7" i="95" s="1"/>
  <c r="A7" i="95" s="1"/>
  <c r="G7" i="95"/>
  <c r="F7" i="95"/>
  <c r="C7" i="95"/>
  <c r="AH6" i="95"/>
  <c r="AB6" i="95"/>
  <c r="AC6" i="95" s="1"/>
  <c r="AA6" i="95"/>
  <c r="Z6" i="95"/>
  <c r="Y6" i="95"/>
  <c r="X6" i="95"/>
  <c r="W6" i="95"/>
  <c r="V6" i="95"/>
  <c r="U6" i="95"/>
  <c r="T6" i="95"/>
  <c r="S6" i="95"/>
  <c r="R6" i="95"/>
  <c r="Q6" i="95"/>
  <c r="P6" i="95"/>
  <c r="O6" i="95"/>
  <c r="M6" i="95" s="1"/>
  <c r="N6" i="95"/>
  <c r="L6" i="95"/>
  <c r="J6" i="95" s="1"/>
  <c r="D6" i="95" s="1"/>
  <c r="K6" i="95"/>
  <c r="E6" i="95" s="1"/>
  <c r="I6" i="95"/>
  <c r="H6" i="95"/>
  <c r="B6" i="95" s="1"/>
  <c r="A6" i="95" s="1"/>
  <c r="G6" i="95"/>
  <c r="F6" i="95"/>
  <c r="C6" i="95"/>
  <c r="AH5" i="95"/>
  <c r="AB5" i="95"/>
  <c r="AC5" i="95" s="1"/>
  <c r="AA5" i="95"/>
  <c r="Z5" i="95"/>
  <c r="Y5" i="95"/>
  <c r="X5" i="95"/>
  <c r="W5" i="95"/>
  <c r="V5" i="95"/>
  <c r="U5" i="95"/>
  <c r="T5" i="95"/>
  <c r="S5" i="95"/>
  <c r="R5" i="95"/>
  <c r="Q5" i="95"/>
  <c r="P5" i="95"/>
  <c r="O5" i="95"/>
  <c r="M5" i="95" s="1"/>
  <c r="N5" i="95"/>
  <c r="L5" i="95"/>
  <c r="K5" i="95"/>
  <c r="E5" i="95" s="1"/>
  <c r="J5" i="95"/>
  <c r="D5" i="95" s="1"/>
  <c r="I5" i="95"/>
  <c r="C5" i="95" s="1"/>
  <c r="H5" i="95"/>
  <c r="B5" i="95" s="1"/>
  <c r="A5" i="95" s="1"/>
  <c r="G5" i="95"/>
  <c r="F5" i="95"/>
  <c r="AH4" i="95"/>
  <c r="AC4" i="95"/>
  <c r="AB4" i="95"/>
  <c r="AA4" i="95"/>
  <c r="Z4" i="95"/>
  <c r="Y4" i="95"/>
  <c r="X4" i="95"/>
  <c r="W4" i="95"/>
  <c r="V4" i="95"/>
  <c r="U4" i="95"/>
  <c r="T4" i="95"/>
  <c r="S4" i="95"/>
  <c r="R4" i="95"/>
  <c r="Q4" i="95"/>
  <c r="P4" i="95"/>
  <c r="O4" i="95"/>
  <c r="N4" i="95"/>
  <c r="M4" i="95"/>
  <c r="L4" i="95"/>
  <c r="J4" i="95" s="1"/>
  <c r="D4" i="95" s="1"/>
  <c r="K4" i="95"/>
  <c r="I4" i="95"/>
  <c r="C4" i="95" s="1"/>
  <c r="H4" i="95"/>
  <c r="B4" i="95" s="1"/>
  <c r="A4" i="95" s="1"/>
  <c r="G4" i="95"/>
  <c r="F4" i="95"/>
  <c r="E4" i="95"/>
  <c r="AH3" i="95"/>
  <c r="AB3" i="95"/>
  <c r="AC3" i="95" s="1"/>
  <c r="AA3" i="95"/>
  <c r="Z3" i="95"/>
  <c r="Y3" i="95"/>
  <c r="X3" i="95"/>
  <c r="W3" i="95"/>
  <c r="V3" i="95"/>
  <c r="U3" i="95"/>
  <c r="T3" i="95"/>
  <c r="S3" i="95"/>
  <c r="R3" i="95"/>
  <c r="Q3" i="95"/>
  <c r="P3" i="95"/>
  <c r="O3" i="95"/>
  <c r="M3" i="95" s="1"/>
  <c r="N3" i="95"/>
  <c r="L3" i="95"/>
  <c r="J3" i="95" s="1"/>
  <c r="D3" i="95" s="1"/>
  <c r="K3" i="95"/>
  <c r="I3" i="95"/>
  <c r="C3" i="95" s="1"/>
  <c r="H3" i="95"/>
  <c r="B3" i="95" s="1"/>
  <c r="A3" i="95" s="1"/>
  <c r="G3" i="95"/>
  <c r="F3" i="95"/>
  <c r="AH2" i="95"/>
  <c r="AC2" i="95"/>
  <c r="AB2" i="95"/>
  <c r="AA2" i="95"/>
  <c r="Z2" i="95"/>
  <c r="Y2" i="95"/>
  <c r="X2" i="95"/>
  <c r="W2" i="95"/>
  <c r="V2" i="95"/>
  <c r="U2" i="95"/>
  <c r="T2" i="95"/>
  <c r="S2" i="95"/>
  <c r="R2" i="95"/>
  <c r="Q2" i="95"/>
  <c r="P2" i="95"/>
  <c r="O2" i="95"/>
  <c r="M2" i="95" s="1"/>
  <c r="N2" i="95"/>
  <c r="L2" i="95"/>
  <c r="J2" i="95" s="1"/>
  <c r="D2" i="95" s="1"/>
  <c r="K2" i="95"/>
  <c r="I2" i="95"/>
  <c r="C2" i="95" s="1"/>
  <c r="H2" i="95"/>
  <c r="B2" i="95" s="1"/>
  <c r="A2" i="95" s="1"/>
  <c r="G2" i="95"/>
  <c r="F2" i="95"/>
  <c r="AA1" i="95"/>
  <c r="Z1" i="95"/>
  <c r="Y1" i="95"/>
  <c r="X1" i="95"/>
  <c r="W1" i="95"/>
  <c r="V1" i="95"/>
  <c r="U1" i="95"/>
  <c r="T1" i="95"/>
  <c r="S1" i="95"/>
  <c r="R1" i="95"/>
  <c r="E16" i="95" l="1"/>
  <c r="E15" i="95"/>
  <c r="E12" i="95"/>
  <c r="A12" i="95" s="1"/>
  <c r="E19" i="95"/>
  <c r="E53" i="95"/>
  <c r="A176" i="95"/>
  <c r="A179" i="95"/>
  <c r="A180" i="95"/>
  <c r="A192" i="95"/>
  <c r="A195" i="95"/>
  <c r="A196" i="95"/>
  <c r="A502" i="95"/>
  <c r="A211" i="95"/>
  <c r="E8" i="95"/>
  <c r="E2" i="95"/>
  <c r="E3" i="95"/>
  <c r="E38" i="95"/>
  <c r="A38" i="95" s="1"/>
  <c r="E46" i="95"/>
  <c r="A73" i="95"/>
  <c r="A75" i="95"/>
  <c r="A77" i="95"/>
  <c r="A79" i="95"/>
  <c r="A81" i="95"/>
  <c r="A83" i="95"/>
  <c r="A85" i="95"/>
  <c r="E88" i="95"/>
  <c r="E94" i="95"/>
  <c r="E102" i="95"/>
  <c r="E110" i="95"/>
  <c r="E118" i="95"/>
  <c r="E126" i="95"/>
  <c r="E134" i="95"/>
  <c r="E142" i="95"/>
  <c r="E150" i="95"/>
  <c r="E158" i="95"/>
  <c r="E172" i="95"/>
  <c r="A172" i="95" s="1"/>
  <c r="E188" i="95"/>
  <c r="A188" i="95" s="1"/>
  <c r="E208" i="95"/>
  <c r="A229" i="95"/>
  <c r="E249" i="95"/>
  <c r="E265" i="95"/>
  <c r="A265" i="95" s="1"/>
  <c r="E281" i="95"/>
  <c r="E297" i="95"/>
  <c r="E327" i="95"/>
  <c r="A327" i="95" s="1"/>
  <c r="E335" i="95"/>
  <c r="E356" i="95"/>
  <c r="E370" i="95"/>
  <c r="A376" i="95"/>
  <c r="E41" i="95"/>
  <c r="E45" i="95"/>
  <c r="A90" i="95"/>
  <c r="E91" i="95"/>
  <c r="A98" i="95"/>
  <c r="E99" i="95"/>
  <c r="A99" i="95" s="1"/>
  <c r="A106" i="95"/>
  <c r="E107" i="95"/>
  <c r="A114" i="95"/>
  <c r="E115" i="95"/>
  <c r="A115" i="95" s="1"/>
  <c r="A122" i="95"/>
  <c r="E123" i="95"/>
  <c r="A130" i="95"/>
  <c r="E131" i="95"/>
  <c r="A131" i="95" s="1"/>
  <c r="A138" i="95"/>
  <c r="E139" i="95"/>
  <c r="A146" i="95"/>
  <c r="E147" i="95"/>
  <c r="A147" i="95" s="1"/>
  <c r="A154" i="95"/>
  <c r="E155" i="95"/>
  <c r="E167" i="95"/>
  <c r="A171" i="95"/>
  <c r="E183" i="95"/>
  <c r="A187" i="95"/>
  <c r="E214" i="95"/>
  <c r="A221" i="95"/>
  <c r="E243" i="95"/>
  <c r="A253" i="95"/>
  <c r="E259" i="95"/>
  <c r="A269" i="95"/>
  <c r="E275" i="95"/>
  <c r="E291" i="95"/>
  <c r="E307" i="95"/>
  <c r="A313" i="95"/>
  <c r="E376" i="95"/>
  <c r="A203" i="95"/>
  <c r="A204" i="95"/>
  <c r="A219" i="95"/>
  <c r="A222" i="95"/>
  <c r="A225" i="95"/>
  <c r="A237" i="95"/>
  <c r="A245" i="95"/>
  <c r="A261" i="95"/>
  <c r="A317" i="95"/>
  <c r="A343" i="95"/>
  <c r="A344" i="95"/>
  <c r="A355" i="95"/>
  <c r="A377" i="95"/>
  <c r="A393" i="95"/>
  <c r="A408" i="95"/>
  <c r="A409" i="95"/>
  <c r="A416" i="95"/>
  <c r="A487" i="95"/>
  <c r="A500" i="95"/>
  <c r="A504" i="95"/>
  <c r="E33" i="95"/>
  <c r="E43" i="95"/>
  <c r="A43" i="95" s="1"/>
  <c r="E62" i="95"/>
  <c r="E69" i="95"/>
  <c r="A88" i="95"/>
  <c r="A95" i="95"/>
  <c r="A103" i="95"/>
  <c r="A111" i="95"/>
  <c r="A119" i="95"/>
  <c r="A127" i="95"/>
  <c r="A135" i="95"/>
  <c r="A143" i="95"/>
  <c r="A151" i="95"/>
  <c r="A159" i="95"/>
  <c r="E161" i="95"/>
  <c r="A164" i="95"/>
  <c r="A167" i="95"/>
  <c r="A168" i="95"/>
  <c r="E175" i="95"/>
  <c r="A175" i="95" s="1"/>
  <c r="E181" i="95"/>
  <c r="A183" i="95"/>
  <c r="A184" i="95"/>
  <c r="E191" i="95"/>
  <c r="A191" i="95" s="1"/>
  <c r="E197" i="95"/>
  <c r="A200" i="95"/>
  <c r="E207" i="95"/>
  <c r="E213" i="95"/>
  <c r="A216" i="95"/>
  <c r="A223" i="95"/>
  <c r="E224" i="95"/>
  <c r="A224" i="95" s="1"/>
  <c r="A228" i="95"/>
  <c r="E234" i="95"/>
  <c r="E235" i="95"/>
  <c r="A241" i="95"/>
  <c r="E242" i="95"/>
  <c r="A242" i="95" s="1"/>
  <c r="E248" i="95"/>
  <c r="A257" i="95"/>
  <c r="E258" i="95"/>
  <c r="E264" i="95"/>
  <c r="A264" i="95" s="1"/>
  <c r="A273" i="95"/>
  <c r="E274" i="95"/>
  <c r="E280" i="95"/>
  <c r="E290" i="95"/>
  <c r="A290" i="95" s="1"/>
  <c r="E296" i="95"/>
  <c r="A305" i="95"/>
  <c r="E306" i="95"/>
  <c r="A315" i="95"/>
  <c r="E318" i="95"/>
  <c r="A318" i="95" s="1"/>
  <c r="A328" i="95"/>
  <c r="A333" i="95"/>
  <c r="A335" i="95"/>
  <c r="A336" i="95"/>
  <c r="A341" i="95"/>
  <c r="A357" i="95"/>
  <c r="A364" i="95"/>
  <c r="A399" i="95"/>
  <c r="A412" i="95"/>
  <c r="E413" i="95"/>
  <c r="A420" i="95"/>
  <c r="E432" i="95"/>
  <c r="A476" i="95"/>
  <c r="E488" i="95"/>
  <c r="A492" i="95"/>
  <c r="E498" i="95"/>
  <c r="E542" i="95"/>
  <c r="A542" i="95" s="1"/>
  <c r="E199" i="95"/>
  <c r="A199" i="95" s="1"/>
  <c r="E205" i="95"/>
  <c r="A205" i="95" s="1"/>
  <c r="A207" i="95"/>
  <c r="A208" i="95"/>
  <c r="E215" i="95"/>
  <c r="A215" i="95" s="1"/>
  <c r="E220" i="95"/>
  <c r="A220" i="95" s="1"/>
  <c r="A227" i="95"/>
  <c r="E228" i="95"/>
  <c r="A235" i="95"/>
  <c r="A236" i="95"/>
  <c r="E240" i="95"/>
  <c r="A249" i="95"/>
  <c r="E250" i="95"/>
  <c r="A250" i="95" s="1"/>
  <c r="E256" i="95"/>
  <c r="E266" i="95"/>
  <c r="E272" i="95"/>
  <c r="A272" i="95" s="1"/>
  <c r="E282" i="95"/>
  <c r="E288" i="95"/>
  <c r="E298" i="95"/>
  <c r="E304" i="95"/>
  <c r="A311" i="95"/>
  <c r="A316" i="95"/>
  <c r="A319" i="95"/>
  <c r="E320" i="95"/>
  <c r="A320" i="95" s="1"/>
  <c r="E322" i="95"/>
  <c r="A329" i="95"/>
  <c r="E359" i="95"/>
  <c r="A367" i="95"/>
  <c r="E371" i="95"/>
  <c r="E383" i="95"/>
  <c r="E385" i="95"/>
  <c r="A387" i="95"/>
  <c r="E395" i="95"/>
  <c r="A396" i="95"/>
  <c r="E401" i="95"/>
  <c r="A403" i="95"/>
  <c r="E405" i="95"/>
  <c r="E419" i="95"/>
  <c r="E423" i="95"/>
  <c r="E426" i="95"/>
  <c r="A426" i="95" s="1"/>
  <c r="A444" i="95"/>
  <c r="A460" i="95"/>
  <c r="E490" i="95"/>
  <c r="E518" i="95"/>
  <c r="A518" i="95" s="1"/>
  <c r="A651" i="95"/>
  <c r="A428" i="95"/>
  <c r="E429" i="95"/>
  <c r="A438" i="95"/>
  <c r="E447" i="95"/>
  <c r="A447" i="95" s="1"/>
  <c r="A454" i="95"/>
  <c r="A463" i="95"/>
  <c r="E463" i="95"/>
  <c r="A470" i="95"/>
  <c r="A479" i="95"/>
  <c r="A486" i="95"/>
  <c r="A659" i="95"/>
  <c r="E660" i="95"/>
  <c r="A667" i="95"/>
  <c r="A349" i="95"/>
  <c r="E351" i="95"/>
  <c r="A360" i="95"/>
  <c r="A361" i="95"/>
  <c r="E363" i="95"/>
  <c r="E367" i="95"/>
  <c r="E369" i="95"/>
  <c r="A371" i="95"/>
  <c r="E373" i="95"/>
  <c r="A380" i="95"/>
  <c r="A383" i="95"/>
  <c r="E391" i="95"/>
  <c r="E393" i="95"/>
  <c r="E397" i="95"/>
  <c r="E403" i="95"/>
  <c r="E415" i="95"/>
  <c r="A415" i="95" s="1"/>
  <c r="A424" i="95"/>
  <c r="E425" i="95"/>
  <c r="E431" i="95"/>
  <c r="E435" i="95"/>
  <c r="A435" i="95" s="1"/>
  <c r="E443" i="95"/>
  <c r="E451" i="95"/>
  <c r="E459" i="95"/>
  <c r="E467" i="95"/>
  <c r="A467" i="95" s="1"/>
  <c r="E475" i="95"/>
  <c r="E483" i="95"/>
  <c r="E505" i="95"/>
  <c r="E517" i="95"/>
  <c r="A517" i="95" s="1"/>
  <c r="E521" i="95"/>
  <c r="A528" i="95"/>
  <c r="E529" i="95"/>
  <c r="E531" i="95"/>
  <c r="A531" i="95" s="1"/>
  <c r="A540" i="95"/>
  <c r="E552" i="95"/>
  <c r="E560" i="95"/>
  <c r="E571" i="95"/>
  <c r="A571" i="95" s="1"/>
  <c r="A582" i="95"/>
  <c r="A584" i="95"/>
  <c r="E585" i="95"/>
  <c r="E591" i="95"/>
  <c r="E602" i="95"/>
  <c r="E609" i="95"/>
  <c r="A611" i="95"/>
  <c r="E614" i="95"/>
  <c r="E620" i="95"/>
  <c r="A635" i="95"/>
  <c r="A657" i="95"/>
  <c r="E662" i="95"/>
  <c r="A662" i="95" s="1"/>
  <c r="A432" i="95"/>
  <c r="E433" i="95"/>
  <c r="E439" i="95"/>
  <c r="A439" i="95" s="1"/>
  <c r="E455" i="95"/>
  <c r="A455" i="95" s="1"/>
  <c r="E471" i="95"/>
  <c r="A471" i="95" s="1"/>
  <c r="E487" i="95"/>
  <c r="A498" i="95"/>
  <c r="A505" i="95"/>
  <c r="A506" i="95"/>
  <c r="E507" i="95"/>
  <c r="A521" i="95"/>
  <c r="A522" i="95"/>
  <c r="E523" i="95"/>
  <c r="A523" i="95" s="1"/>
  <c r="A524" i="95"/>
  <c r="A537" i="95"/>
  <c r="A547" i="95"/>
  <c r="A550" i="95"/>
  <c r="E566" i="95"/>
  <c r="E572" i="95"/>
  <c r="E577" i="95"/>
  <c r="A577" i="95" s="1"/>
  <c r="E586" i="95"/>
  <c r="E606" i="95"/>
  <c r="A612" i="95"/>
  <c r="E613" i="95"/>
  <c r="A613" i="95" s="1"/>
  <c r="E619" i="95"/>
  <c r="E626" i="95"/>
  <c r="A664" i="95"/>
  <c r="E667" i="95"/>
  <c r="A556" i="95"/>
  <c r="A569" i="95"/>
  <c r="A579" i="95"/>
  <c r="A592" i="95"/>
  <c r="A628" i="95"/>
  <c r="A639" i="95"/>
  <c r="A645" i="95"/>
  <c r="A668" i="95"/>
  <c r="A670" i="95"/>
  <c r="A673" i="95"/>
  <c r="A703" i="95"/>
  <c r="E717" i="95"/>
  <c r="A717" i="95" s="1"/>
  <c r="E719" i="95"/>
  <c r="E721" i="95"/>
  <c r="E735" i="95"/>
  <c r="A807" i="95"/>
  <c r="A815" i="95"/>
  <c r="E835" i="95"/>
  <c r="A855" i="95"/>
  <c r="E869" i="95"/>
  <c r="E877" i="95"/>
  <c r="E881" i="95"/>
  <c r="E889" i="95"/>
  <c r="A889" i="95" s="1"/>
  <c r="A686" i="95"/>
  <c r="A719" i="95"/>
  <c r="A785" i="95"/>
  <c r="A802" i="95"/>
  <c r="A848" i="95"/>
  <c r="A867" i="95"/>
  <c r="E633" i="95"/>
  <c r="E643" i="95"/>
  <c r="A654" i="95"/>
  <c r="A656" i="95"/>
  <c r="A663" i="95"/>
  <c r="E673" i="95"/>
  <c r="E679" i="95"/>
  <c r="E680" i="95"/>
  <c r="E682" i="95"/>
  <c r="A682" i="95" s="1"/>
  <c r="A683" i="95"/>
  <c r="E687" i="95"/>
  <c r="E688" i="95"/>
  <c r="A688" i="95" s="1"/>
  <c r="A702" i="95"/>
  <c r="A704" i="95"/>
  <c r="E737" i="95"/>
  <c r="A786" i="95"/>
  <c r="A794" i="95"/>
  <c r="A826" i="95"/>
  <c r="E827" i="95"/>
  <c r="E836" i="95"/>
  <c r="A836" i="95" s="1"/>
  <c r="E852" i="95"/>
  <c r="A875" i="95"/>
  <c r="E509" i="95"/>
  <c r="E515" i="95"/>
  <c r="A515" i="95" s="1"/>
  <c r="E519" i="95"/>
  <c r="A552" i="95"/>
  <c r="E555" i="95"/>
  <c r="A560" i="95"/>
  <c r="E569" i="95"/>
  <c r="A572" i="95"/>
  <c r="E593" i="95"/>
  <c r="A593" i="95" s="1"/>
  <c r="A595" i="95"/>
  <c r="A596" i="95"/>
  <c r="E597" i="95"/>
  <c r="A601" i="95"/>
  <c r="A608" i="95"/>
  <c r="E617" i="95"/>
  <c r="A617" i="95" s="1"/>
  <c r="E621" i="95"/>
  <c r="E623" i="95"/>
  <c r="E627" i="95"/>
  <c r="A627" i="95" s="1"/>
  <c r="E639" i="95"/>
  <c r="A643" i="95"/>
  <c r="A648" i="95"/>
  <c r="A653" i="95"/>
  <c r="E655" i="95"/>
  <c r="A660" i="95"/>
  <c r="A679" i="95"/>
  <c r="A687" i="95"/>
  <c r="E690" i="95"/>
  <c r="A690" i="95" s="1"/>
  <c r="E695" i="95"/>
  <c r="A695" i="95" s="1"/>
  <c r="E696" i="95"/>
  <c r="E698" i="95"/>
  <c r="A698" i="95" s="1"/>
  <c r="A699" i="95"/>
  <c r="A716" i="95"/>
  <c r="A718" i="95"/>
  <c r="A791" i="95"/>
  <c r="A817" i="95"/>
  <c r="A869" i="95"/>
  <c r="A823" i="95"/>
  <c r="A852" i="95"/>
  <c r="A881" i="95"/>
  <c r="A904" i="95"/>
  <c r="E753" i="95"/>
  <c r="E761" i="95"/>
  <c r="E769" i="95"/>
  <c r="E777" i="95"/>
  <c r="E786" i="95"/>
  <c r="E798" i="95"/>
  <c r="A805" i="95"/>
  <c r="E806" i="95"/>
  <c r="E818" i="95"/>
  <c r="A818" i="95" s="1"/>
  <c r="E834" i="95"/>
  <c r="A834" i="95" s="1"/>
  <c r="E841" i="95"/>
  <c r="A844" i="95"/>
  <c r="E861" i="95"/>
  <c r="A902" i="95"/>
  <c r="A909" i="95"/>
  <c r="A898" i="95"/>
  <c r="E706" i="95"/>
  <c r="A706" i="95" s="1"/>
  <c r="E711" i="95"/>
  <c r="A711" i="95" s="1"/>
  <c r="E712" i="95"/>
  <c r="E713" i="95"/>
  <c r="A713" i="95" s="1"/>
  <c r="E725" i="95"/>
  <c r="E733" i="95"/>
  <c r="A733" i="95" s="1"/>
  <c r="E741" i="95"/>
  <c r="E749" i="95"/>
  <c r="E757" i="95"/>
  <c r="E765" i="95"/>
  <c r="A765" i="95" s="1"/>
  <c r="E773" i="95"/>
  <c r="E781" i="95"/>
  <c r="A789" i="95"/>
  <c r="E790" i="95"/>
  <c r="A790" i="95" s="1"/>
  <c r="E802" i="95"/>
  <c r="E814" i="95"/>
  <c r="E824" i="95"/>
  <c r="A824" i="95" s="1"/>
  <c r="E828" i="95"/>
  <c r="A828" i="95" s="1"/>
  <c r="A838" i="95"/>
  <c r="A841" i="95"/>
  <c r="E847" i="95"/>
  <c r="A854" i="95"/>
  <c r="E858" i="95"/>
  <c r="A892" i="95"/>
  <c r="E832" i="95"/>
  <c r="A839" i="95"/>
  <c r="E849" i="95"/>
  <c r="E855" i="95"/>
  <c r="A887" i="95"/>
  <c r="E918" i="95"/>
  <c r="A920" i="95"/>
  <c r="E934" i="95"/>
  <c r="A936" i="95"/>
  <c r="E942" i="95"/>
  <c r="E880" i="95"/>
  <c r="A883" i="95"/>
  <c r="E884" i="95"/>
  <c r="A884" i="95" s="1"/>
  <c r="A891" i="95"/>
  <c r="E904" i="95"/>
  <c r="E905" i="95"/>
  <c r="A905" i="95" s="1"/>
  <c r="E906" i="95"/>
  <c r="E910" i="95"/>
  <c r="A912" i="95"/>
  <c r="E926" i="95"/>
  <c r="A926" i="95" s="1"/>
  <c r="A928" i="95"/>
  <c r="E944" i="95"/>
  <c r="A9" i="95"/>
  <c r="A8" i="95"/>
  <c r="A39" i="95"/>
  <c r="E10" i="95"/>
  <c r="A37" i="95"/>
  <c r="A45" i="95"/>
  <c r="E47" i="95"/>
  <c r="E55" i="95"/>
  <c r="A55" i="95" s="1"/>
  <c r="E63" i="95"/>
  <c r="A63" i="95" s="1"/>
  <c r="E71" i="95"/>
  <c r="A71" i="95" s="1"/>
  <c r="E13" i="95"/>
  <c r="A13" i="95" s="1"/>
  <c r="E20" i="95"/>
  <c r="A20" i="95" s="1"/>
  <c r="E21" i="95"/>
  <c r="A26" i="95"/>
  <c r="A35" i="95"/>
  <c r="E49" i="95"/>
  <c r="A49" i="95" s="1"/>
  <c r="E57" i="95"/>
  <c r="A57" i="95" s="1"/>
  <c r="E65" i="95"/>
  <c r="A25" i="95"/>
  <c r="E27" i="95"/>
  <c r="E28" i="95"/>
  <c r="A28" i="95" s="1"/>
  <c r="E29" i="95"/>
  <c r="E30" i="95"/>
  <c r="A31" i="95"/>
  <c r="A33" i="95"/>
  <c r="A41" i="95"/>
  <c r="E51" i="95"/>
  <c r="E59" i="95"/>
  <c r="E67" i="95"/>
  <c r="A67" i="95" s="1"/>
  <c r="A47" i="95"/>
  <c r="A51" i="95"/>
  <c r="A53" i="95"/>
  <c r="A59" i="95"/>
  <c r="A61" i="95"/>
  <c r="A65" i="95"/>
  <c r="A69" i="95"/>
  <c r="A32" i="95"/>
  <c r="A34" i="95"/>
  <c r="A36" i="95"/>
  <c r="A40" i="95"/>
  <c r="A42" i="95"/>
  <c r="A44" i="95"/>
  <c r="A46" i="95"/>
  <c r="A48" i="95"/>
  <c r="A50" i="95"/>
  <c r="A52" i="95"/>
  <c r="A54" i="95"/>
  <c r="A56" i="95"/>
  <c r="A58" i="95"/>
  <c r="A60" i="95"/>
  <c r="A62" i="95"/>
  <c r="A64" i="95"/>
  <c r="A66" i="95"/>
  <c r="A68" i="95"/>
  <c r="A70" i="95"/>
  <c r="E9" i="95"/>
  <c r="A29" i="95"/>
  <c r="A14" i="95"/>
  <c r="A17" i="95"/>
  <c r="A18" i="95"/>
  <c r="A21" i="95"/>
  <c r="A22" i="95"/>
  <c r="A30" i="95"/>
  <c r="A92" i="95"/>
  <c r="A93" i="95"/>
  <c r="A100" i="95"/>
  <c r="A101" i="95"/>
  <c r="A108" i="95"/>
  <c r="A109" i="95"/>
  <c r="A116" i="95"/>
  <c r="A117" i="95"/>
  <c r="A124" i="95"/>
  <c r="A125" i="95"/>
  <c r="A132" i="95"/>
  <c r="A133" i="95"/>
  <c r="A140" i="95"/>
  <c r="A141" i="95"/>
  <c r="A148" i="95"/>
  <c r="A149" i="95"/>
  <c r="A156" i="95"/>
  <c r="A157" i="95"/>
  <c r="A10" i="95"/>
  <c r="A11" i="95"/>
  <c r="A15" i="95"/>
  <c r="A16" i="95"/>
  <c r="A19" i="95"/>
  <c r="A23" i="95"/>
  <c r="A24" i="95"/>
  <c r="A27" i="95"/>
  <c r="A87" i="95"/>
  <c r="A97" i="95"/>
  <c r="A102" i="95"/>
  <c r="A105" i="95"/>
  <c r="A121" i="95"/>
  <c r="A129" i="95"/>
  <c r="A134" i="95"/>
  <c r="A142" i="95"/>
  <c r="A145" i="95"/>
  <c r="A158" i="95"/>
  <c r="A89" i="95"/>
  <c r="A91" i="95"/>
  <c r="A96" i="95"/>
  <c r="A104" i="95"/>
  <c r="A107" i="95"/>
  <c r="A112" i="95"/>
  <c r="A120" i="95"/>
  <c r="A123" i="95"/>
  <c r="A128" i="95"/>
  <c r="A136" i="95"/>
  <c r="A139" i="95"/>
  <c r="A144" i="95"/>
  <c r="A152" i="95"/>
  <c r="A155" i="95"/>
  <c r="A160" i="95"/>
  <c r="A163" i="95"/>
  <c r="E231" i="95"/>
  <c r="A234" i="95"/>
  <c r="A240" i="95"/>
  <c r="A244" i="95"/>
  <c r="A248" i="95"/>
  <c r="A252" i="95"/>
  <c r="A256" i="95"/>
  <c r="A260" i="95"/>
  <c r="A268" i="95"/>
  <c r="A276" i="95"/>
  <c r="A277" i="95"/>
  <c r="A280" i="95"/>
  <c r="A281" i="95"/>
  <c r="A284" i="95"/>
  <c r="A285" i="95"/>
  <c r="A288" i="95"/>
  <c r="A289" i="95"/>
  <c r="A292" i="95"/>
  <c r="A293" i="95"/>
  <c r="A296" i="95"/>
  <c r="A297" i="95"/>
  <c r="A300" i="95"/>
  <c r="A301" i="95"/>
  <c r="A304" i="95"/>
  <c r="A308" i="95"/>
  <c r="A309" i="95"/>
  <c r="A331" i="95"/>
  <c r="A110" i="95"/>
  <c r="A113" i="95"/>
  <c r="A118" i="95"/>
  <c r="A126" i="95"/>
  <c r="A137" i="95"/>
  <c r="A150" i="95"/>
  <c r="A153" i="95"/>
  <c r="A161" i="95"/>
  <c r="A323" i="95"/>
  <c r="A162" i="95"/>
  <c r="A165" i="95"/>
  <c r="A169" i="95"/>
  <c r="A170" i="95"/>
  <c r="A173" i="95"/>
  <c r="A174" i="95"/>
  <c r="A177" i="95"/>
  <c r="A178" i="95"/>
  <c r="A181" i="95"/>
  <c r="A182" i="95"/>
  <c r="A185" i="95"/>
  <c r="A186" i="95"/>
  <c r="A189" i="95"/>
  <c r="A190" i="95"/>
  <c r="A193" i="95"/>
  <c r="A194" i="95"/>
  <c r="A197" i="95"/>
  <c r="A198" i="95"/>
  <c r="A201" i="95"/>
  <c r="A202" i="95"/>
  <c r="A206" i="95"/>
  <c r="A209" i="95"/>
  <c r="A210" i="95"/>
  <c r="A213" i="95"/>
  <c r="A214" i="95"/>
  <c r="A217" i="95"/>
  <c r="A218" i="95"/>
  <c r="A337" i="95"/>
  <c r="A339" i="95"/>
  <c r="A94" i="95"/>
  <c r="A166" i="95"/>
  <c r="A230" i="95"/>
  <c r="A231" i="95"/>
  <c r="A232" i="95"/>
  <c r="A238" i="95"/>
  <c r="A239" i="95"/>
  <c r="A243" i="95"/>
  <c r="A246" i="95"/>
  <c r="A247" i="95"/>
  <c r="A251" i="95"/>
  <c r="A254" i="95"/>
  <c r="A255" i="95"/>
  <c r="A258" i="95"/>
  <c r="A259" i="95"/>
  <c r="A262" i="95"/>
  <c r="A263" i="95"/>
  <c r="A266" i="95"/>
  <c r="A267" i="95"/>
  <c r="A270" i="95"/>
  <c r="A271" i="95"/>
  <c r="A274" i="95"/>
  <c r="A275" i="95"/>
  <c r="A278" i="95"/>
  <c r="A279" i="95"/>
  <c r="A282" i="95"/>
  <c r="A283" i="95"/>
  <c r="A286" i="95"/>
  <c r="A287" i="95"/>
  <c r="A291" i="95"/>
  <c r="A294" i="95"/>
  <c r="A295" i="95"/>
  <c r="A298" i="95"/>
  <c r="A299" i="95"/>
  <c r="A302" i="95"/>
  <c r="A303" i="95"/>
  <c r="A306" i="95"/>
  <c r="A307" i="95"/>
  <c r="A312" i="95"/>
  <c r="A345" i="95"/>
  <c r="A347" i="95"/>
  <c r="E310" i="95"/>
  <c r="A310" i="95" s="1"/>
  <c r="E312" i="95"/>
  <c r="E314" i="95"/>
  <c r="A314" i="95" s="1"/>
  <c r="A351" i="95"/>
  <c r="A352" i="95"/>
  <c r="A366" i="95"/>
  <c r="A382" i="95"/>
  <c r="A398" i="95"/>
  <c r="A534" i="95"/>
  <c r="A562" i="95"/>
  <c r="A322" i="95"/>
  <c r="E324" i="95"/>
  <c r="A330" i="95"/>
  <c r="E332" i="95"/>
  <c r="A338" i="95"/>
  <c r="E340" i="95"/>
  <c r="A346" i="95"/>
  <c r="E348" i="95"/>
  <c r="A350" i="95"/>
  <c r="A353" i="95"/>
  <c r="A354" i="95"/>
  <c r="A358" i="95"/>
  <c r="A363" i="95"/>
  <c r="A368" i="95"/>
  <c r="A369" i="95"/>
  <c r="A374" i="95"/>
  <c r="A379" i="95"/>
  <c r="A384" i="95"/>
  <c r="A385" i="95"/>
  <c r="A390" i="95"/>
  <c r="A395" i="95"/>
  <c r="A400" i="95"/>
  <c r="A401" i="95"/>
  <c r="A406" i="95"/>
  <c r="A411" i="95"/>
  <c r="A436" i="95"/>
  <c r="A452" i="95"/>
  <c r="A468" i="95"/>
  <c r="A484" i="95"/>
  <c r="A324" i="95"/>
  <c r="E326" i="95"/>
  <c r="A326" i="95" s="1"/>
  <c r="A332" i="95"/>
  <c r="E334" i="95"/>
  <c r="A334" i="95" s="1"/>
  <c r="A340" i="95"/>
  <c r="E342" i="95"/>
  <c r="A342" i="95" s="1"/>
  <c r="A348" i="95"/>
  <c r="A356" i="95"/>
  <c r="A359" i="95"/>
  <c r="A372" i="95"/>
  <c r="A375" i="95"/>
  <c r="A388" i="95"/>
  <c r="A391" i="95"/>
  <c r="A404" i="95"/>
  <c r="A407" i="95"/>
  <c r="A362" i="95"/>
  <c r="A365" i="95"/>
  <c r="A370" i="95"/>
  <c r="A373" i="95"/>
  <c r="A378" i="95"/>
  <c r="A381" i="95"/>
  <c r="A386" i="95"/>
  <c r="A389" i="95"/>
  <c r="A394" i="95"/>
  <c r="A397" i="95"/>
  <c r="A402" i="95"/>
  <c r="A405" i="95"/>
  <c r="A410" i="95"/>
  <c r="A413" i="95"/>
  <c r="A419" i="95"/>
  <c r="A423" i="95"/>
  <c r="A427" i="95"/>
  <c r="A431" i="95"/>
  <c r="A440" i="95"/>
  <c r="A442" i="95"/>
  <c r="A456" i="95"/>
  <c r="A458" i="95"/>
  <c r="A472" i="95"/>
  <c r="A474" i="95"/>
  <c r="A488" i="95"/>
  <c r="A490" i="95"/>
  <c r="A495" i="95"/>
  <c r="A496" i="95"/>
  <c r="A497" i="95"/>
  <c r="A606" i="95"/>
  <c r="A646" i="95"/>
  <c r="A446" i="95"/>
  <c r="A462" i="95"/>
  <c r="A478" i="95"/>
  <c r="A501" i="95"/>
  <c r="A503" i="95"/>
  <c r="A525" i="95"/>
  <c r="A530" i="95"/>
  <c r="A566" i="95"/>
  <c r="A590" i="95"/>
  <c r="A414" i="95"/>
  <c r="A417" i="95"/>
  <c r="A418" i="95"/>
  <c r="A421" i="95"/>
  <c r="A422" i="95"/>
  <c r="A425" i="95"/>
  <c r="A429" i="95"/>
  <c r="A430" i="95"/>
  <c r="A433" i="95"/>
  <c r="A434" i="95"/>
  <c r="A448" i="95"/>
  <c r="A450" i="95"/>
  <c r="A464" i="95"/>
  <c r="A466" i="95"/>
  <c r="A480" i="95"/>
  <c r="A482" i="95"/>
  <c r="A494" i="95"/>
  <c r="A622" i="95"/>
  <c r="E441" i="95"/>
  <c r="A441" i="95" s="1"/>
  <c r="E449" i="95"/>
  <c r="A449" i="95" s="1"/>
  <c r="E457" i="95"/>
  <c r="A457" i="95" s="1"/>
  <c r="E465" i="95"/>
  <c r="A465" i="95" s="1"/>
  <c r="E473" i="95"/>
  <c r="A473" i="95" s="1"/>
  <c r="E481" i="95"/>
  <c r="A481" i="95" s="1"/>
  <c r="E489" i="95"/>
  <c r="A489" i="95" s="1"/>
  <c r="E497" i="95"/>
  <c r="A507" i="95"/>
  <c r="A508" i="95"/>
  <c r="A516" i="95"/>
  <c r="A529" i="95"/>
  <c r="A532" i="95"/>
  <c r="A544" i="95"/>
  <c r="A554" i="95"/>
  <c r="A555" i="95"/>
  <c r="A561" i="95"/>
  <c r="A564" i="95"/>
  <c r="A576" i="95"/>
  <c r="A586" i="95"/>
  <c r="A587" i="95"/>
  <c r="A599" i="95"/>
  <c r="A600" i="95"/>
  <c r="A615" i="95"/>
  <c r="A616" i="95"/>
  <c r="A631" i="95"/>
  <c r="A632" i="95"/>
  <c r="E437" i="95"/>
  <c r="A437" i="95" s="1"/>
  <c r="E445" i="95"/>
  <c r="A445" i="95" s="1"/>
  <c r="E453" i="95"/>
  <c r="A453" i="95" s="1"/>
  <c r="E461" i="95"/>
  <c r="A461" i="95" s="1"/>
  <c r="E469" i="95"/>
  <c r="A469" i="95" s="1"/>
  <c r="E477" i="95"/>
  <c r="A477" i="95" s="1"/>
  <c r="E485" i="95"/>
  <c r="A485" i="95" s="1"/>
  <c r="E493" i="95"/>
  <c r="A493" i="95" s="1"/>
  <c r="A511" i="95"/>
  <c r="A512" i="95"/>
  <c r="A519" i="95"/>
  <c r="A520" i="95"/>
  <c r="A538" i="95"/>
  <c r="A539" i="95"/>
  <c r="A545" i="95"/>
  <c r="A548" i="95"/>
  <c r="A570" i="95"/>
  <c r="A580" i="95"/>
  <c r="A591" i="95"/>
  <c r="A607" i="95"/>
  <c r="A623" i="95"/>
  <c r="A443" i="95"/>
  <c r="A451" i="95"/>
  <c r="A459" i="95"/>
  <c r="A475" i="95"/>
  <c r="A483" i="95"/>
  <c r="A491" i="95"/>
  <c r="A499" i="95"/>
  <c r="A509" i="95"/>
  <c r="A510" i="95"/>
  <c r="A536" i="95"/>
  <c r="A546" i="95"/>
  <c r="A553" i="95"/>
  <c r="A568" i="95"/>
  <c r="A578" i="95"/>
  <c r="A585" i="95"/>
  <c r="A598" i="95"/>
  <c r="A603" i="95"/>
  <c r="A604" i="95"/>
  <c r="A609" i="95"/>
  <c r="A614" i="95"/>
  <c r="A619" i="95"/>
  <c r="A620" i="95"/>
  <c r="A625" i="95"/>
  <c r="A630" i="95"/>
  <c r="A634" i="95"/>
  <c r="A638" i="95"/>
  <c r="A642" i="95"/>
  <c r="E527" i="95"/>
  <c r="A527" i="95" s="1"/>
  <c r="E535" i="95"/>
  <c r="A535" i="95" s="1"/>
  <c r="E543" i="95"/>
  <c r="A543" i="95" s="1"/>
  <c r="E551" i="95"/>
  <c r="A551" i="95" s="1"/>
  <c r="E559" i="95"/>
  <c r="A559" i="95" s="1"/>
  <c r="E567" i="95"/>
  <c r="A567" i="95" s="1"/>
  <c r="E575" i="95"/>
  <c r="A575" i="95" s="1"/>
  <c r="E583" i="95"/>
  <c r="A583" i="95" s="1"/>
  <c r="A589" i="95"/>
  <c r="A594" i="95"/>
  <c r="A597" i="95"/>
  <c r="A602" i="95"/>
  <c r="A605" i="95"/>
  <c r="A610" i="95"/>
  <c r="A618" i="95"/>
  <c r="A621" i="95"/>
  <c r="A626" i="95"/>
  <c r="A629" i="95"/>
  <c r="A636" i="95"/>
  <c r="A640" i="95"/>
  <c r="A647" i="95"/>
  <c r="A649" i="95"/>
  <c r="A691" i="95"/>
  <c r="A724" i="95"/>
  <c r="A732" i="95"/>
  <c r="A740" i="95"/>
  <c r="A748" i="95"/>
  <c r="A756" i="95"/>
  <c r="A764" i="95"/>
  <c r="A772" i="95"/>
  <c r="A780" i="95"/>
  <c r="E525" i="95"/>
  <c r="E533" i="95"/>
  <c r="A533" i="95" s="1"/>
  <c r="E541" i="95"/>
  <c r="A541" i="95" s="1"/>
  <c r="E549" i="95"/>
  <c r="A549" i="95" s="1"/>
  <c r="E557" i="95"/>
  <c r="A557" i="95" s="1"/>
  <c r="E565" i="95"/>
  <c r="A565" i="95" s="1"/>
  <c r="E573" i="95"/>
  <c r="A573" i="95" s="1"/>
  <c r="E581" i="95"/>
  <c r="A581" i="95" s="1"/>
  <c r="A633" i="95"/>
  <c r="A637" i="95"/>
  <c r="A641" i="95"/>
  <c r="A644" i="95"/>
  <c r="A650" i="95"/>
  <c r="A707" i="95"/>
  <c r="A665" i="95"/>
  <c r="A678" i="95"/>
  <c r="A680" i="95"/>
  <c r="A694" i="95"/>
  <c r="A696" i="95"/>
  <c r="A710" i="95"/>
  <c r="A712" i="95"/>
  <c r="A714" i="95"/>
  <c r="A728" i="95"/>
  <c r="A736" i="95"/>
  <c r="A744" i="95"/>
  <c r="A752" i="95"/>
  <c r="A760" i="95"/>
  <c r="A768" i="95"/>
  <c r="A776" i="95"/>
  <c r="A652" i="95"/>
  <c r="A655" i="95"/>
  <c r="E658" i="95"/>
  <c r="A658" i="95" s="1"/>
  <c r="A661" i="95"/>
  <c r="A671" i="95"/>
  <c r="E674" i="95"/>
  <c r="A674" i="95" s="1"/>
  <c r="A677" i="95"/>
  <c r="E681" i="95"/>
  <c r="A684" i="95"/>
  <c r="A693" i="95"/>
  <c r="E697" i="95"/>
  <c r="A697" i="95" s="1"/>
  <c r="A700" i="95"/>
  <c r="A709" i="95"/>
  <c r="A726" i="95"/>
  <c r="A734" i="95"/>
  <c r="A742" i="95"/>
  <c r="A750" i="95"/>
  <c r="A758" i="95"/>
  <c r="A766" i="95"/>
  <c r="A774" i="95"/>
  <c r="A782" i="95"/>
  <c r="A811" i="95"/>
  <c r="E666" i="95"/>
  <c r="A666" i="95" s="1"/>
  <c r="A669" i="95"/>
  <c r="A681" i="95"/>
  <c r="A685" i="95"/>
  <c r="E689" i="95"/>
  <c r="A689" i="95" s="1"/>
  <c r="A692" i="95"/>
  <c r="A701" i="95"/>
  <c r="E705" i="95"/>
  <c r="A705" i="95" s="1"/>
  <c r="A708" i="95"/>
  <c r="A720" i="95"/>
  <c r="A722" i="95"/>
  <c r="A730" i="95"/>
  <c r="A738" i="95"/>
  <c r="A746" i="95"/>
  <c r="A754" i="95"/>
  <c r="A762" i="95"/>
  <c r="A770" i="95"/>
  <c r="A778" i="95"/>
  <c r="A795" i="95"/>
  <c r="A753" i="95"/>
  <c r="A755" i="95"/>
  <c r="A757" i="95"/>
  <c r="A759" i="95"/>
  <c r="A761" i="95"/>
  <c r="A763" i="95"/>
  <c r="A767" i="95"/>
  <c r="A769" i="95"/>
  <c r="A771" i="95"/>
  <c r="A773" i="95"/>
  <c r="A775" i="95"/>
  <c r="A777" i="95"/>
  <c r="A779" i="95"/>
  <c r="A781" i="95"/>
  <c r="A787" i="95"/>
  <c r="A803" i="95"/>
  <c r="A820" i="95"/>
  <c r="A829" i="95"/>
  <c r="A893" i="95"/>
  <c r="A900" i="95"/>
  <c r="A793" i="95"/>
  <c r="A809" i="95"/>
  <c r="A821" i="95"/>
  <c r="E715" i="95"/>
  <c r="A715" i="95" s="1"/>
  <c r="A721" i="95"/>
  <c r="A723" i="95"/>
  <c r="A725" i="95"/>
  <c r="A727" i="95"/>
  <c r="A729" i="95"/>
  <c r="A731" i="95"/>
  <c r="A735" i="95"/>
  <c r="A737" i="95"/>
  <c r="A739" i="95"/>
  <c r="A741" i="95"/>
  <c r="A743" i="95"/>
  <c r="A745" i="95"/>
  <c r="A747" i="95"/>
  <c r="A749" i="95"/>
  <c r="A751" i="95"/>
  <c r="A825" i="95"/>
  <c r="E784" i="95"/>
  <c r="A784" i="95" s="1"/>
  <c r="E792" i="95"/>
  <c r="A792" i="95" s="1"/>
  <c r="E800" i="95"/>
  <c r="A800" i="95" s="1"/>
  <c r="E808" i="95"/>
  <c r="A808" i="95" s="1"/>
  <c r="E816" i="95"/>
  <c r="A816" i="95" s="1"/>
  <c r="A832" i="95"/>
  <c r="A833" i="95"/>
  <c r="A837" i="95"/>
  <c r="A847" i="95"/>
  <c r="E850" i="95"/>
  <c r="A850" i="95" s="1"/>
  <c r="A853" i="95"/>
  <c r="A861" i="95"/>
  <c r="A885" i="95"/>
  <c r="A798" i="95"/>
  <c r="A806" i="95"/>
  <c r="A814" i="95"/>
  <c r="A819" i="95"/>
  <c r="A822" i="95"/>
  <c r="A827" i="95"/>
  <c r="A830" i="95"/>
  <c r="A846" i="95"/>
  <c r="A849" i="95"/>
  <c r="E788" i="95"/>
  <c r="A788" i="95" s="1"/>
  <c r="E796" i="95"/>
  <c r="A796" i="95" s="1"/>
  <c r="E804" i="95"/>
  <c r="A804" i="95" s="1"/>
  <c r="E812" i="95"/>
  <c r="A812" i="95" s="1"/>
  <c r="A831" i="95"/>
  <c r="A835" i="95"/>
  <c r="E842" i="95"/>
  <c r="A842" i="95" s="1"/>
  <c r="A845" i="95"/>
  <c r="A859" i="95"/>
  <c r="E856" i="95"/>
  <c r="A856" i="95" s="1"/>
  <c r="E864" i="95"/>
  <c r="E866" i="95"/>
  <c r="A866" i="95" s="1"/>
  <c r="E868" i="95"/>
  <c r="A868" i="95" s="1"/>
  <c r="E870" i="95"/>
  <c r="A870" i="95" s="1"/>
  <c r="E872" i="95"/>
  <c r="A872" i="95" s="1"/>
  <c r="E874" i="95"/>
  <c r="A874" i="95" s="1"/>
  <c r="A906" i="95"/>
  <c r="A858" i="95"/>
  <c r="A897" i="95"/>
  <c r="E860" i="95"/>
  <c r="A860" i="95" s="1"/>
  <c r="A864" i="95"/>
  <c r="A876" i="95"/>
  <c r="A877" i="95"/>
  <c r="A879" i="95"/>
  <c r="A880" i="95"/>
  <c r="A888" i="95"/>
  <c r="A901" i="95"/>
  <c r="A908" i="95"/>
  <c r="A939" i="95"/>
  <c r="E878" i="95"/>
  <c r="A878" i="95" s="1"/>
  <c r="E886" i="95"/>
  <c r="A886" i="95" s="1"/>
  <c r="E894" i="95"/>
  <c r="A894" i="95" s="1"/>
  <c r="E896" i="95"/>
  <c r="A896" i="95" s="1"/>
  <c r="A903" i="95"/>
  <c r="A917" i="95"/>
  <c r="A933" i="95"/>
  <c r="E882" i="95"/>
  <c r="A882" i="95" s="1"/>
  <c r="E890" i="95"/>
  <c r="A890" i="95" s="1"/>
  <c r="A907" i="95"/>
  <c r="A925" i="95"/>
  <c r="A943" i="95"/>
  <c r="A911" i="95"/>
  <c r="A914" i="95"/>
  <c r="A919" i="95"/>
  <c r="A922" i="95"/>
  <c r="A927" i="95"/>
  <c r="A930" i="95"/>
  <c r="A935" i="95"/>
  <c r="A938" i="95"/>
  <c r="A942" i="95"/>
  <c r="A946" i="95"/>
  <c r="A910" i="95"/>
  <c r="A915" i="95"/>
  <c r="A918" i="95"/>
  <c r="A923" i="95"/>
  <c r="A931" i="95"/>
  <c r="A934" i="95"/>
  <c r="A940" i="95"/>
  <c r="A944" i="95"/>
  <c r="A947" i="95"/>
  <c r="A913" i="95"/>
  <c r="A916" i="95"/>
  <c r="A921" i="95"/>
  <c r="A924" i="95"/>
  <c r="A929" i="95"/>
  <c r="A932" i="95"/>
  <c r="A937" i="95"/>
  <c r="A941" i="95"/>
  <c r="A945" i="95"/>
  <c r="A948" i="95"/>
  <c r="T10" i="66"/>
  <c r="T9" i="66"/>
  <c r="T8" i="66"/>
  <c r="T7" i="66"/>
  <c r="T6" i="66"/>
  <c r="T5" i="66"/>
  <c r="S5" i="66"/>
  <c r="F521" i="3"/>
  <c r="G521" i="3"/>
  <c r="H521" i="3"/>
  <c r="B521" i="3" s="1"/>
  <c r="I521" i="3"/>
  <c r="C521" i="3" s="1"/>
  <c r="K521" i="3"/>
  <c r="L521" i="3"/>
  <c r="J521" i="3" s="1"/>
  <c r="D521" i="3" s="1"/>
  <c r="N521" i="3"/>
  <c r="O521" i="3"/>
  <c r="M521" i="3" s="1"/>
  <c r="P521" i="3"/>
  <c r="Q521" i="3"/>
  <c r="R521" i="3"/>
  <c r="S521" i="3"/>
  <c r="T521" i="3"/>
  <c r="U521" i="3"/>
  <c r="V521" i="3"/>
  <c r="W521" i="3"/>
  <c r="X521" i="3"/>
  <c r="AH521" i="3"/>
  <c r="AA266" i="3"/>
  <c r="AA110" i="3"/>
  <c r="AA226" i="3"/>
  <c r="AA512" i="3"/>
  <c r="AA243" i="3"/>
  <c r="AA263" i="3"/>
  <c r="AA428" i="3"/>
  <c r="AA118" i="3"/>
  <c r="AA286" i="3"/>
  <c r="AA18" i="3"/>
  <c r="AA122" i="3"/>
  <c r="AA502" i="3"/>
  <c r="AA22" i="3"/>
  <c r="AA126" i="3"/>
  <c r="AA127" i="3"/>
  <c r="AA26" i="3"/>
  <c r="AA332" i="3"/>
  <c r="AA511" i="3"/>
  <c r="AA30" i="3"/>
  <c r="AA31" i="3"/>
  <c r="AA294" i="3"/>
  <c r="AA515" i="3"/>
  <c r="AA34" i="3"/>
  <c r="AA90" i="3"/>
  <c r="AA551" i="3"/>
  <c r="AA195" i="3"/>
  <c r="AA196" i="3"/>
  <c r="AA94" i="3"/>
  <c r="AA250" i="3"/>
  <c r="AA383" i="3"/>
  <c r="AA98" i="3"/>
  <c r="AA583" i="3"/>
  <c r="AA6" i="3"/>
  <c r="AA482" i="3"/>
  <c r="AA497" i="3"/>
  <c r="AA498" i="3"/>
  <c r="AA503" i="3"/>
  <c r="AA504" i="3"/>
  <c r="AA505" i="3"/>
  <c r="AA506" i="3"/>
  <c r="AA508" i="3"/>
  <c r="AA510" i="3"/>
  <c r="AA513" i="3"/>
  <c r="AA514" i="3"/>
  <c r="AA517" i="3"/>
  <c r="AA518" i="3"/>
  <c r="AA519" i="3"/>
  <c r="AA520" i="3"/>
  <c r="AA522" i="3"/>
  <c r="AA523" i="3"/>
  <c r="AA524" i="3"/>
  <c r="AA526" i="3"/>
  <c r="AA527" i="3"/>
  <c r="AA528" i="3"/>
  <c r="AA529" i="3"/>
  <c r="AA530" i="3"/>
  <c r="AA531" i="3"/>
  <c r="AA532" i="3"/>
  <c r="AA533" i="3"/>
  <c r="AA534" i="3"/>
  <c r="AA535" i="3"/>
  <c r="AA536" i="3"/>
  <c r="AA537" i="3"/>
  <c r="AA538" i="3"/>
  <c r="AA539" i="3"/>
  <c r="AA540" i="3"/>
  <c r="AA541" i="3"/>
  <c r="AA542" i="3"/>
  <c r="AA545" i="3"/>
  <c r="AA547" i="3"/>
  <c r="AA548" i="3"/>
  <c r="AA549" i="3"/>
  <c r="AA550" i="3"/>
  <c r="AA553" i="3"/>
  <c r="AA554" i="3"/>
  <c r="AA555" i="3"/>
  <c r="AA556" i="3"/>
  <c r="AA557" i="3"/>
  <c r="AA558" i="3"/>
  <c r="AA559" i="3"/>
  <c r="AA561" i="3"/>
  <c r="AA562" i="3"/>
  <c r="AA563" i="3"/>
  <c r="AA565" i="3"/>
  <c r="AA566" i="3"/>
  <c r="AA567" i="3"/>
  <c r="AA569" i="3"/>
  <c r="AA570" i="3"/>
  <c r="AA571" i="3"/>
  <c r="AA572" i="3"/>
  <c r="AA573" i="3"/>
  <c r="AA574" i="3"/>
  <c r="AA576" i="3"/>
  <c r="AA577" i="3"/>
  <c r="AA578" i="3"/>
  <c r="AA579" i="3"/>
  <c r="AA580" i="3"/>
  <c r="AA581" i="3"/>
  <c r="AA585" i="3"/>
  <c r="AA586" i="3"/>
  <c r="AA587" i="3"/>
  <c r="AA588" i="3"/>
  <c r="AA589" i="3"/>
  <c r="AA590" i="3"/>
  <c r="AA591" i="3"/>
  <c r="AA592" i="3"/>
  <c r="AA593" i="3"/>
  <c r="AA594" i="3"/>
  <c r="AA595" i="3"/>
  <c r="AA596" i="3"/>
  <c r="AA597" i="3"/>
  <c r="AA598" i="3"/>
  <c r="AA599" i="3"/>
  <c r="AA600" i="3"/>
  <c r="AA601" i="3"/>
  <c r="AA602" i="3"/>
  <c r="AA603" i="3"/>
  <c r="AA604" i="3"/>
  <c r="AA605" i="3"/>
  <c r="AA606" i="3"/>
  <c r="AA607" i="3"/>
  <c r="AA608" i="3"/>
  <c r="AA609" i="3"/>
  <c r="AA610" i="3"/>
  <c r="AA611" i="3"/>
  <c r="AA612" i="3"/>
  <c r="AA613" i="3"/>
  <c r="AA614" i="3"/>
  <c r="AA615" i="3"/>
  <c r="AA616" i="3"/>
  <c r="AA617" i="3"/>
  <c r="AA618" i="3"/>
  <c r="AA619" i="3"/>
  <c r="AA620" i="3"/>
  <c r="AA621" i="3"/>
  <c r="AA622" i="3"/>
  <c r="AA623" i="3"/>
  <c r="AA624" i="3"/>
  <c r="AA625" i="3"/>
  <c r="AA626" i="3"/>
  <c r="AA627" i="3"/>
  <c r="AA628" i="3"/>
  <c r="AA629" i="3"/>
  <c r="AA630" i="3"/>
  <c r="AA631" i="3"/>
  <c r="AA632" i="3"/>
  <c r="AA633" i="3"/>
  <c r="AA634" i="3"/>
  <c r="AA635" i="3"/>
  <c r="AA636" i="3"/>
  <c r="AA637" i="3"/>
  <c r="AA638" i="3"/>
  <c r="AA639" i="3"/>
  <c r="AA640" i="3"/>
  <c r="AA641" i="3"/>
  <c r="AA642" i="3"/>
  <c r="AA643" i="3"/>
  <c r="AA644" i="3"/>
  <c r="AA645" i="3"/>
  <c r="AA646" i="3"/>
  <c r="AA647" i="3"/>
  <c r="AA648" i="3"/>
  <c r="AA649" i="3"/>
  <c r="AA650" i="3"/>
  <c r="AA651" i="3"/>
  <c r="AA652" i="3"/>
  <c r="AA653" i="3"/>
  <c r="AA654" i="3"/>
  <c r="AA655" i="3"/>
  <c r="AA656" i="3"/>
  <c r="AA657" i="3"/>
  <c r="AA658" i="3"/>
  <c r="AA659" i="3"/>
  <c r="AA660" i="3"/>
  <c r="AA661" i="3"/>
  <c r="AA662" i="3"/>
  <c r="AA663" i="3"/>
  <c r="AA664" i="3"/>
  <c r="AA665" i="3"/>
  <c r="AA666" i="3"/>
  <c r="AA667" i="3"/>
  <c r="AA668" i="3"/>
  <c r="AA669" i="3"/>
  <c r="AA670" i="3"/>
  <c r="AA671" i="3"/>
  <c r="AA672" i="3"/>
  <c r="AA673" i="3"/>
  <c r="AA674" i="3"/>
  <c r="AA675" i="3"/>
  <c r="AA676" i="3"/>
  <c r="AA677" i="3"/>
  <c r="AA678" i="3"/>
  <c r="AA679" i="3"/>
  <c r="AA680" i="3"/>
  <c r="AA681" i="3"/>
  <c r="AA682" i="3"/>
  <c r="AA683" i="3"/>
  <c r="AA684" i="3"/>
  <c r="AA685" i="3"/>
  <c r="AA686" i="3"/>
  <c r="AA687" i="3"/>
  <c r="AA688" i="3"/>
  <c r="AA689" i="3"/>
  <c r="AA690" i="3"/>
  <c r="AA691" i="3"/>
  <c r="AA692" i="3"/>
  <c r="AA693" i="3"/>
  <c r="AA694" i="3"/>
  <c r="AA695" i="3"/>
  <c r="AA696" i="3"/>
  <c r="AA697" i="3"/>
  <c r="AA698" i="3"/>
  <c r="AA699" i="3"/>
  <c r="AA700" i="3"/>
  <c r="AA701" i="3"/>
  <c r="AA702" i="3"/>
  <c r="AA703" i="3"/>
  <c r="AA704" i="3"/>
  <c r="AA705" i="3"/>
  <c r="AA706" i="3"/>
  <c r="AA707" i="3"/>
  <c r="AA708" i="3"/>
  <c r="AA709" i="3"/>
  <c r="AA710" i="3"/>
  <c r="AA711" i="3"/>
  <c r="AA712" i="3"/>
  <c r="AA713" i="3"/>
  <c r="AA714" i="3"/>
  <c r="AA715" i="3"/>
  <c r="AA716" i="3"/>
  <c r="AA717" i="3"/>
  <c r="AA718" i="3"/>
  <c r="AA719" i="3"/>
  <c r="AA720" i="3"/>
  <c r="AA721" i="3"/>
  <c r="AA722" i="3"/>
  <c r="AA723" i="3"/>
  <c r="AA724" i="3"/>
  <c r="AA725" i="3"/>
  <c r="AA726" i="3"/>
  <c r="AA727" i="3"/>
  <c r="AA728" i="3"/>
  <c r="AA729" i="3"/>
  <c r="AA730" i="3"/>
  <c r="AA731" i="3"/>
  <c r="AA732" i="3"/>
  <c r="AA733" i="3"/>
  <c r="AA734" i="3"/>
  <c r="AA735" i="3"/>
  <c r="AA736" i="3"/>
  <c r="AA737" i="3"/>
  <c r="AA738" i="3"/>
  <c r="AA739" i="3"/>
  <c r="AA740" i="3"/>
  <c r="AA741" i="3"/>
  <c r="AA742" i="3"/>
  <c r="AA743" i="3"/>
  <c r="AA744" i="3"/>
  <c r="AA745" i="3"/>
  <c r="AA746" i="3"/>
  <c r="AA747" i="3"/>
  <c r="AA748" i="3"/>
  <c r="AA749" i="3"/>
  <c r="AA750" i="3"/>
  <c r="AA751" i="3"/>
  <c r="AA752" i="3"/>
  <c r="AA753" i="3"/>
  <c r="AA754" i="3"/>
  <c r="AA755" i="3"/>
  <c r="AA756" i="3"/>
  <c r="AA757" i="3"/>
  <c r="AA758" i="3"/>
  <c r="AA759" i="3"/>
  <c r="AA760" i="3"/>
  <c r="AA761" i="3"/>
  <c r="AA762" i="3"/>
  <c r="AA763" i="3"/>
  <c r="AA764" i="3"/>
  <c r="AA765" i="3"/>
  <c r="AA766" i="3"/>
  <c r="AA767" i="3"/>
  <c r="AA768" i="3"/>
  <c r="AA769" i="3"/>
  <c r="AA770" i="3"/>
  <c r="AA771" i="3"/>
  <c r="AA772" i="3"/>
  <c r="AA773" i="3"/>
  <c r="AA774" i="3"/>
  <c r="AA775" i="3"/>
  <c r="AA776" i="3"/>
  <c r="AA777" i="3"/>
  <c r="AA778" i="3"/>
  <c r="AA779" i="3"/>
  <c r="AA780" i="3"/>
  <c r="AA781" i="3"/>
  <c r="AA782" i="3"/>
  <c r="AA783" i="3"/>
  <c r="AA784" i="3"/>
  <c r="AA785" i="3"/>
  <c r="AA786" i="3"/>
  <c r="AA787" i="3"/>
  <c r="AA788" i="3"/>
  <c r="AA789" i="3"/>
  <c r="AA790" i="3"/>
  <c r="AA791" i="3"/>
  <c r="AA792" i="3"/>
  <c r="AA793" i="3"/>
  <c r="AA794" i="3"/>
  <c r="AA795" i="3"/>
  <c r="AA796" i="3"/>
  <c r="AA797" i="3"/>
  <c r="AA798" i="3"/>
  <c r="AA799" i="3"/>
  <c r="AA800" i="3"/>
  <c r="AA801" i="3"/>
  <c r="AA802" i="3"/>
  <c r="AA803" i="3"/>
  <c r="AA804" i="3"/>
  <c r="AA805" i="3"/>
  <c r="AA806" i="3"/>
  <c r="AA807" i="3"/>
  <c r="AA808" i="3"/>
  <c r="AA809" i="3"/>
  <c r="AA810" i="3"/>
  <c r="AA811" i="3"/>
  <c r="AA812" i="3"/>
  <c r="AA813" i="3"/>
  <c r="AA814" i="3"/>
  <c r="AA815" i="3"/>
  <c r="AA816" i="3"/>
  <c r="AA817" i="3"/>
  <c r="AA818" i="3"/>
  <c r="AA819" i="3"/>
  <c r="AA820" i="3"/>
  <c r="AA821" i="3"/>
  <c r="AA822" i="3"/>
  <c r="AA823" i="3"/>
  <c r="AA824" i="3"/>
  <c r="AA825" i="3"/>
  <c r="AA826" i="3"/>
  <c r="AA827" i="3"/>
  <c r="AA828" i="3"/>
  <c r="AA829" i="3"/>
  <c r="AA830" i="3"/>
  <c r="AA831" i="3"/>
  <c r="AA832" i="3"/>
  <c r="AA833" i="3"/>
  <c r="AA834" i="3"/>
  <c r="AA835" i="3"/>
  <c r="AA836" i="3"/>
  <c r="AA837" i="3"/>
  <c r="AA838" i="3"/>
  <c r="AA839" i="3"/>
  <c r="AA840" i="3"/>
  <c r="AA841" i="3"/>
  <c r="AA842" i="3"/>
  <c r="AA843" i="3"/>
  <c r="AA844" i="3"/>
  <c r="AA845" i="3"/>
  <c r="AA846" i="3"/>
  <c r="AA847" i="3"/>
  <c r="AA848" i="3"/>
  <c r="AA849" i="3"/>
  <c r="AA850" i="3"/>
  <c r="AA851" i="3"/>
  <c r="AA852" i="3"/>
  <c r="AA853" i="3"/>
  <c r="AA854" i="3"/>
  <c r="AA855" i="3"/>
  <c r="AA856" i="3"/>
  <c r="AA857" i="3"/>
  <c r="AA858" i="3"/>
  <c r="AA859" i="3"/>
  <c r="AA860" i="3"/>
  <c r="AA861" i="3"/>
  <c r="AA862" i="3"/>
  <c r="AA863" i="3"/>
  <c r="AA864" i="3"/>
  <c r="AA865" i="3"/>
  <c r="AA866" i="3"/>
  <c r="AA867" i="3"/>
  <c r="AA868" i="3"/>
  <c r="AA869" i="3"/>
  <c r="AA870" i="3"/>
  <c r="AA871" i="3"/>
  <c r="AA872" i="3"/>
  <c r="AA873" i="3"/>
  <c r="AA874" i="3"/>
  <c r="AA875" i="3"/>
  <c r="AA876" i="3"/>
  <c r="AA877" i="3"/>
  <c r="AA878" i="3"/>
  <c r="AA879" i="3"/>
  <c r="AA880" i="3"/>
  <c r="AA881" i="3"/>
  <c r="AA882" i="3"/>
  <c r="AA883" i="3"/>
  <c r="AA884" i="3"/>
  <c r="AA885" i="3"/>
  <c r="AA886" i="3"/>
  <c r="AA887" i="3"/>
  <c r="AA888" i="3"/>
  <c r="AA889" i="3"/>
  <c r="AA890" i="3"/>
  <c r="AA891" i="3"/>
  <c r="AA892" i="3"/>
  <c r="AA893" i="3"/>
  <c r="AA894" i="3"/>
  <c r="AA895" i="3"/>
  <c r="AA896" i="3"/>
  <c r="AA897" i="3"/>
  <c r="AA898" i="3"/>
  <c r="AA899" i="3"/>
  <c r="AA900" i="3"/>
  <c r="AA901" i="3"/>
  <c r="AA902" i="3"/>
  <c r="AA903" i="3"/>
  <c r="AA904" i="3"/>
  <c r="AA905" i="3"/>
  <c r="AA906" i="3"/>
  <c r="AA907" i="3"/>
  <c r="AA908" i="3"/>
  <c r="AA909" i="3"/>
  <c r="AA910" i="3"/>
  <c r="AA911" i="3"/>
  <c r="AA912" i="3"/>
  <c r="AA913" i="3"/>
  <c r="AA914" i="3"/>
  <c r="AA915" i="3"/>
  <c r="AA916" i="3"/>
  <c r="AA917" i="3"/>
  <c r="AA918" i="3"/>
  <c r="AA919" i="3"/>
  <c r="AA920" i="3"/>
  <c r="AA921" i="3"/>
  <c r="AA922" i="3"/>
  <c r="AA923" i="3"/>
  <c r="AA924" i="3"/>
  <c r="AA925" i="3"/>
  <c r="AA926" i="3"/>
  <c r="AA927" i="3"/>
  <c r="AA928" i="3"/>
  <c r="AA929" i="3"/>
  <c r="AA930" i="3"/>
  <c r="AA931" i="3"/>
  <c r="AA932" i="3"/>
  <c r="AA933" i="3"/>
  <c r="AA934" i="3"/>
  <c r="AA935" i="3"/>
  <c r="AA936" i="3"/>
  <c r="AA937" i="3"/>
  <c r="AA938" i="3"/>
  <c r="AA939" i="3"/>
  <c r="AA940" i="3"/>
  <c r="AA941" i="3"/>
  <c r="AA942" i="3"/>
  <c r="AA943" i="3"/>
  <c r="AA944" i="3"/>
  <c r="AA945" i="3"/>
  <c r="AA946" i="3"/>
  <c r="AA1" i="3"/>
  <c r="V1" i="3"/>
  <c r="W1" i="3"/>
  <c r="X1" i="3"/>
  <c r="Y1" i="3"/>
  <c r="Z1" i="3"/>
  <c r="K4" i="7"/>
  <c r="K5" i="7"/>
  <c r="Y521" i="3" s="1"/>
  <c r="K6" i="7"/>
  <c r="K7"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3" i="7"/>
  <c r="B1" i="89"/>
  <c r="F942" i="3"/>
  <c r="G942" i="3"/>
  <c r="H942" i="3"/>
  <c r="B942" i="3" s="1"/>
  <c r="I942" i="3"/>
  <c r="C942" i="3" s="1"/>
  <c r="K942" i="3"/>
  <c r="L942" i="3"/>
  <c r="J942" i="3" s="1"/>
  <c r="D942" i="3" s="1"/>
  <c r="N942" i="3"/>
  <c r="O942" i="3"/>
  <c r="M942" i="3" s="1"/>
  <c r="P942" i="3"/>
  <c r="Q942" i="3"/>
  <c r="R942" i="3"/>
  <c r="S942" i="3"/>
  <c r="T942" i="3"/>
  <c r="U942" i="3"/>
  <c r="V942" i="3"/>
  <c r="W942" i="3"/>
  <c r="X942" i="3"/>
  <c r="Y942" i="3"/>
  <c r="Z942" i="3"/>
  <c r="AH942" i="3"/>
  <c r="F943" i="3"/>
  <c r="G943" i="3"/>
  <c r="H943" i="3"/>
  <c r="B943" i="3" s="1"/>
  <c r="I943" i="3"/>
  <c r="C943" i="3" s="1"/>
  <c r="K943" i="3"/>
  <c r="L943" i="3"/>
  <c r="J943" i="3" s="1"/>
  <c r="D943" i="3" s="1"/>
  <c r="N943" i="3"/>
  <c r="O943" i="3"/>
  <c r="M943" i="3" s="1"/>
  <c r="P943" i="3"/>
  <c r="Q943" i="3"/>
  <c r="R943" i="3"/>
  <c r="S943" i="3"/>
  <c r="T943" i="3"/>
  <c r="U943" i="3"/>
  <c r="V943" i="3"/>
  <c r="W943" i="3"/>
  <c r="X943" i="3"/>
  <c r="Y943" i="3"/>
  <c r="Z943" i="3"/>
  <c r="AH943" i="3"/>
  <c r="F944" i="3"/>
  <c r="G944" i="3"/>
  <c r="H944" i="3"/>
  <c r="B944" i="3" s="1"/>
  <c r="I944" i="3"/>
  <c r="C944" i="3" s="1"/>
  <c r="K944" i="3"/>
  <c r="L944" i="3"/>
  <c r="J944" i="3" s="1"/>
  <c r="D944" i="3" s="1"/>
  <c r="N944" i="3"/>
  <c r="O944" i="3"/>
  <c r="M944" i="3" s="1"/>
  <c r="P944" i="3"/>
  <c r="Q944" i="3"/>
  <c r="R944" i="3"/>
  <c r="S944" i="3"/>
  <c r="T944" i="3"/>
  <c r="U944" i="3"/>
  <c r="V944" i="3"/>
  <c r="W944" i="3"/>
  <c r="X944" i="3"/>
  <c r="Y944" i="3"/>
  <c r="Z944" i="3"/>
  <c r="AH944" i="3"/>
  <c r="F945" i="3"/>
  <c r="G945" i="3"/>
  <c r="H945" i="3"/>
  <c r="B945" i="3" s="1"/>
  <c r="I945" i="3"/>
  <c r="C945" i="3" s="1"/>
  <c r="K945" i="3"/>
  <c r="L945" i="3"/>
  <c r="J945" i="3" s="1"/>
  <c r="D945" i="3" s="1"/>
  <c r="N945" i="3"/>
  <c r="O945" i="3"/>
  <c r="M945" i="3" s="1"/>
  <c r="P945" i="3"/>
  <c r="Q945" i="3"/>
  <c r="R945" i="3"/>
  <c r="S945" i="3"/>
  <c r="T945" i="3"/>
  <c r="U945" i="3"/>
  <c r="V945" i="3"/>
  <c r="W945" i="3"/>
  <c r="X945" i="3"/>
  <c r="Y945" i="3"/>
  <c r="Z945" i="3"/>
  <c r="AH945" i="3"/>
  <c r="F946" i="3"/>
  <c r="G946" i="3"/>
  <c r="H946" i="3"/>
  <c r="B946" i="3" s="1"/>
  <c r="I946" i="3"/>
  <c r="C946" i="3" s="1"/>
  <c r="K946" i="3"/>
  <c r="L946" i="3"/>
  <c r="J946" i="3" s="1"/>
  <c r="D946" i="3" s="1"/>
  <c r="N946" i="3"/>
  <c r="O946" i="3"/>
  <c r="M946" i="3" s="1"/>
  <c r="P946" i="3"/>
  <c r="Q946" i="3"/>
  <c r="R946" i="3"/>
  <c r="S946" i="3"/>
  <c r="T946" i="3"/>
  <c r="U946" i="3"/>
  <c r="V946" i="3"/>
  <c r="W946" i="3"/>
  <c r="X946" i="3"/>
  <c r="Y946" i="3"/>
  <c r="Z946" i="3"/>
  <c r="AH946" i="3"/>
  <c r="Q1" i="66"/>
  <c r="AA496" i="3" l="1"/>
  <c r="AA584" i="3"/>
  <c r="AA568" i="3"/>
  <c r="AA560" i="3"/>
  <c r="AA552" i="3"/>
  <c r="AA544" i="3"/>
  <c r="AA575" i="3"/>
  <c r="AA543" i="3"/>
  <c r="AA582" i="3"/>
  <c r="AA501" i="3"/>
  <c r="AA525" i="3"/>
  <c r="AA516" i="3"/>
  <c r="AA500" i="3"/>
  <c r="AA509" i="3"/>
  <c r="AA564" i="3"/>
  <c r="AA507" i="3"/>
  <c r="AA499" i="3"/>
  <c r="AA521" i="3"/>
  <c r="AA546" i="3"/>
  <c r="AB521" i="3"/>
  <c r="AC521" i="3" s="1"/>
  <c r="E521" i="3"/>
  <c r="A521" i="3" s="1"/>
  <c r="E944" i="3"/>
  <c r="A944" i="3" s="1"/>
  <c r="E946" i="3"/>
  <c r="A946" i="3" s="1"/>
  <c r="E943" i="3"/>
  <c r="A943" i="3" s="1"/>
  <c r="E945" i="3"/>
  <c r="A945" i="3" s="1"/>
  <c r="E942" i="3"/>
  <c r="A942" i="3" s="1"/>
  <c r="AA59" i="3"/>
  <c r="AA102" i="3"/>
  <c r="AA230" i="3"/>
  <c r="AA322" i="3"/>
  <c r="AA202" i="3"/>
  <c r="AA2" i="3"/>
  <c r="AA331" i="3"/>
  <c r="AA194" i="3"/>
  <c r="AA238" i="3"/>
  <c r="AA132" i="3"/>
  <c r="AA358" i="3"/>
  <c r="AA427" i="3"/>
  <c r="AA282" i="3"/>
  <c r="AA124" i="3"/>
  <c r="AA82" i="3"/>
  <c r="AA278" i="3"/>
  <c r="AA495" i="3"/>
  <c r="AA411" i="3"/>
  <c r="AA215" i="3"/>
  <c r="AA352" i="3"/>
  <c r="AA198" i="3"/>
  <c r="AA228" i="3"/>
  <c r="AA448" i="3"/>
  <c r="AA355" i="3"/>
  <c r="AA296" i="3"/>
  <c r="AA63" i="3"/>
  <c r="AA408" i="3"/>
  <c r="AA300" i="3"/>
  <c r="AA456" i="3"/>
  <c r="AA4" i="3"/>
  <c r="AA42" i="3"/>
  <c r="AA38" i="3"/>
  <c r="AA14" i="3"/>
  <c r="AA10" i="3"/>
  <c r="AA479" i="3"/>
  <c r="AA380" i="3"/>
  <c r="AA27" i="3"/>
  <c r="AA134" i="3"/>
  <c r="AA130" i="3"/>
  <c r="AA114" i="3"/>
  <c r="AA484" i="3"/>
  <c r="AA468" i="3"/>
  <c r="AA435" i="3"/>
  <c r="AA416" i="3"/>
  <c r="AA391" i="3"/>
  <c r="AA367" i="3"/>
  <c r="AA339" i="3"/>
  <c r="AA315" i="3"/>
  <c r="AA267" i="3"/>
  <c r="AA231" i="3"/>
  <c r="AA204" i="3"/>
  <c r="AA75" i="3"/>
  <c r="AA43" i="3"/>
  <c r="AA11" i="3"/>
  <c r="AA487" i="3"/>
  <c r="AA476" i="3"/>
  <c r="AA447" i="3"/>
  <c r="AA420" i="3"/>
  <c r="AA392" i="3"/>
  <c r="AA368" i="3"/>
  <c r="AA340" i="3"/>
  <c r="AA323" i="3"/>
  <c r="AA283" i="3"/>
  <c r="AA240" i="3"/>
  <c r="AA212" i="3"/>
  <c r="AA79" i="3"/>
  <c r="AA47" i="3"/>
  <c r="AA15" i="3"/>
  <c r="AA471" i="3"/>
  <c r="AA287" i="3"/>
  <c r="AA207" i="3"/>
  <c r="AA491" i="3"/>
  <c r="AA472" i="3"/>
  <c r="AA460" i="3"/>
  <c r="AA451" i="3"/>
  <c r="AA443" i="3"/>
  <c r="AA431" i="3"/>
  <c r="AA423" i="3"/>
  <c r="AA412" i="3"/>
  <c r="AA404" i="3"/>
  <c r="AA387" i="3"/>
  <c r="AA371" i="3"/>
  <c r="AA359" i="3"/>
  <c r="AA347" i="3"/>
  <c r="AA335" i="3"/>
  <c r="AA324" i="3"/>
  <c r="AA304" i="3"/>
  <c r="AA292" i="3"/>
  <c r="AA271" i="3"/>
  <c r="AA244" i="3"/>
  <c r="AA232" i="3"/>
  <c r="AA219" i="3"/>
  <c r="AA208" i="3"/>
  <c r="AA199" i="3"/>
  <c r="AA107" i="3"/>
  <c r="AA67" i="3"/>
  <c r="AA51" i="3"/>
  <c r="AA35" i="3"/>
  <c r="AA19" i="3"/>
  <c r="AA7" i="3"/>
  <c r="AA459" i="3"/>
  <c r="AA439" i="3"/>
  <c r="AA492" i="3"/>
  <c r="AA483" i="3"/>
  <c r="AA475" i="3"/>
  <c r="AA464" i="3"/>
  <c r="AA455" i="3"/>
  <c r="AA444" i="3"/>
  <c r="AA432" i="3"/>
  <c r="AA424" i="3"/>
  <c r="AA415" i="3"/>
  <c r="AA407" i="3"/>
  <c r="AA388" i="3"/>
  <c r="AA379" i="3"/>
  <c r="AA364" i="3"/>
  <c r="AA351" i="3"/>
  <c r="AA336" i="3"/>
  <c r="AA327" i="3"/>
  <c r="AA311" i="3"/>
  <c r="AA295" i="3"/>
  <c r="AA279" i="3"/>
  <c r="AA259" i="3"/>
  <c r="AA235" i="3"/>
  <c r="AA227" i="3"/>
  <c r="AA211" i="3"/>
  <c r="AA200" i="3"/>
  <c r="AA192" i="3"/>
  <c r="AA71" i="3"/>
  <c r="AA55" i="3"/>
  <c r="AA39" i="3"/>
  <c r="AA23" i="3"/>
  <c r="AA8" i="3"/>
  <c r="AA463" i="3"/>
  <c r="AA419" i="3"/>
  <c r="AA399" i="3"/>
  <c r="AA395" i="3"/>
  <c r="AA375" i="3"/>
  <c r="AA343" i="3"/>
  <c r="AA303" i="3"/>
  <c r="AA275" i="3"/>
  <c r="AA251" i="3"/>
  <c r="AA203" i="3"/>
  <c r="AA187" i="3"/>
  <c r="AA179" i="3"/>
  <c r="AA171" i="3"/>
  <c r="AA163" i="3"/>
  <c r="AA155" i="3"/>
  <c r="AA147" i="3"/>
  <c r="AA139" i="3"/>
  <c r="AA131" i="3"/>
  <c r="AA123" i="3"/>
  <c r="AA103" i="3"/>
  <c r="AA95" i="3"/>
  <c r="AA87" i="3"/>
  <c r="AA83" i="3"/>
  <c r="AA480" i="3"/>
  <c r="AA440" i="3"/>
  <c r="AA400" i="3"/>
  <c r="AA384" i="3"/>
  <c r="AA376" i="3"/>
  <c r="AA360" i="3"/>
  <c r="AA356" i="3"/>
  <c r="AA348" i="3"/>
  <c r="AA328" i="3"/>
  <c r="AA316" i="3"/>
  <c r="AA308" i="3"/>
  <c r="AA280" i="3"/>
  <c r="AA276" i="3"/>
  <c r="AA268" i="3"/>
  <c r="AA260" i="3"/>
  <c r="AA252" i="3"/>
  <c r="AA224" i="3"/>
  <c r="AA216" i="3"/>
  <c r="AA184" i="3"/>
  <c r="AA176" i="3"/>
  <c r="AA168" i="3"/>
  <c r="AA160" i="3"/>
  <c r="AA152" i="3"/>
  <c r="AA144" i="3"/>
  <c r="AA136" i="3"/>
  <c r="AA128" i="3"/>
  <c r="AA120" i="3"/>
  <c r="AA112" i="3"/>
  <c r="AA108" i="3"/>
  <c r="AA100" i="3"/>
  <c r="AA92" i="3"/>
  <c r="AA84" i="3"/>
  <c r="AA76" i="3"/>
  <c r="AA68" i="3"/>
  <c r="AA60" i="3"/>
  <c r="AA52" i="3"/>
  <c r="AA48" i="3"/>
  <c r="AA40" i="3"/>
  <c r="AA32" i="3"/>
  <c r="AA24" i="3"/>
  <c r="AA16" i="3"/>
  <c r="AA12" i="3"/>
  <c r="AA493" i="3"/>
  <c r="AA489" i="3"/>
  <c r="AA485" i="3"/>
  <c r="AA481" i="3"/>
  <c r="AA477" i="3"/>
  <c r="AA473" i="3"/>
  <c r="AA469" i="3"/>
  <c r="AA465" i="3"/>
  <c r="AA461" i="3"/>
  <c r="AA457" i="3"/>
  <c r="AA453" i="3"/>
  <c r="AA449" i="3"/>
  <c r="AA445" i="3"/>
  <c r="AA441" i="3"/>
  <c r="AA437" i="3"/>
  <c r="AA433" i="3"/>
  <c r="AA429" i="3"/>
  <c r="AA425" i="3"/>
  <c r="AA421" i="3"/>
  <c r="AA417" i="3"/>
  <c r="AA413" i="3"/>
  <c r="AA409" i="3"/>
  <c r="AA405" i="3"/>
  <c r="AA401" i="3"/>
  <c r="AA397" i="3"/>
  <c r="AA393" i="3"/>
  <c r="AA389" i="3"/>
  <c r="AA385" i="3"/>
  <c r="AA381" i="3"/>
  <c r="AA377" i="3"/>
  <c r="AA373" i="3"/>
  <c r="AA369" i="3"/>
  <c r="AA365" i="3"/>
  <c r="AA361" i="3"/>
  <c r="AA357" i="3"/>
  <c r="AA353" i="3"/>
  <c r="AA349" i="3"/>
  <c r="AA345" i="3"/>
  <c r="AA341" i="3"/>
  <c r="AA337" i="3"/>
  <c r="AA333" i="3"/>
  <c r="AA329" i="3"/>
  <c r="AA325" i="3"/>
  <c r="AA321" i="3"/>
  <c r="AA317" i="3"/>
  <c r="AA313" i="3"/>
  <c r="AA309" i="3"/>
  <c r="AA305" i="3"/>
  <c r="AA301" i="3"/>
  <c r="AA297" i="3"/>
  <c r="AA293" i="3"/>
  <c r="AA289" i="3"/>
  <c r="AA285" i="3"/>
  <c r="AA281" i="3"/>
  <c r="AA277" i="3"/>
  <c r="AA273" i="3"/>
  <c r="AA269" i="3"/>
  <c r="AA265" i="3"/>
  <c r="AA261" i="3"/>
  <c r="AA257" i="3"/>
  <c r="AA253" i="3"/>
  <c r="AA249" i="3"/>
  <c r="AA245" i="3"/>
  <c r="AA241" i="3"/>
  <c r="AA237" i="3"/>
  <c r="AA233" i="3"/>
  <c r="AA229" i="3"/>
  <c r="AA225" i="3"/>
  <c r="AA221" i="3"/>
  <c r="AA217" i="3"/>
  <c r="AA213" i="3"/>
  <c r="AA209" i="3"/>
  <c r="AA205" i="3"/>
  <c r="AA201" i="3"/>
  <c r="AA197" i="3"/>
  <c r="AA193" i="3"/>
  <c r="AA189" i="3"/>
  <c r="AA185" i="3"/>
  <c r="AA181" i="3"/>
  <c r="AA177" i="3"/>
  <c r="AA173" i="3"/>
  <c r="AA169" i="3"/>
  <c r="AA165" i="3"/>
  <c r="AA161" i="3"/>
  <c r="AA157" i="3"/>
  <c r="AA153" i="3"/>
  <c r="AA149" i="3"/>
  <c r="AA145" i="3"/>
  <c r="AA141" i="3"/>
  <c r="AA137" i="3"/>
  <c r="AA133" i="3"/>
  <c r="AA129" i="3"/>
  <c r="AA125" i="3"/>
  <c r="AA121" i="3"/>
  <c r="AA117" i="3"/>
  <c r="AA113" i="3"/>
  <c r="AA109" i="3"/>
  <c r="AA105" i="3"/>
  <c r="AA101" i="3"/>
  <c r="AA97" i="3"/>
  <c r="AA93" i="3"/>
  <c r="AA89" i="3"/>
  <c r="AA85" i="3"/>
  <c r="AA81" i="3"/>
  <c r="AA77" i="3"/>
  <c r="AA73" i="3"/>
  <c r="AA69" i="3"/>
  <c r="AA65" i="3"/>
  <c r="AA61" i="3"/>
  <c r="AA57" i="3"/>
  <c r="AA53" i="3"/>
  <c r="AA49" i="3"/>
  <c r="AA45" i="3"/>
  <c r="AA41" i="3"/>
  <c r="AA37" i="3"/>
  <c r="AA33" i="3"/>
  <c r="AA29" i="3"/>
  <c r="AA25" i="3"/>
  <c r="AA21" i="3"/>
  <c r="AA17" i="3"/>
  <c r="AA13" i="3"/>
  <c r="AA9" i="3"/>
  <c r="AA5" i="3"/>
  <c r="AA467" i="3"/>
  <c r="AA403" i="3"/>
  <c r="AA363" i="3"/>
  <c r="AA319" i="3"/>
  <c r="AA307" i="3"/>
  <c r="AA299" i="3"/>
  <c r="AA291" i="3"/>
  <c r="AA255" i="3"/>
  <c r="AA247" i="3"/>
  <c r="AA239" i="3"/>
  <c r="AA223" i="3"/>
  <c r="AA191" i="3"/>
  <c r="AA183" i="3"/>
  <c r="AA175" i="3"/>
  <c r="AA167" i="3"/>
  <c r="AA159" i="3"/>
  <c r="AA151" i="3"/>
  <c r="AA143" i="3"/>
  <c r="AA135" i="3"/>
  <c r="AA119" i="3"/>
  <c r="AA115" i="3"/>
  <c r="AA111" i="3"/>
  <c r="AA99" i="3"/>
  <c r="AA91" i="3"/>
  <c r="AA3" i="3"/>
  <c r="AA488" i="3"/>
  <c r="AA452" i="3"/>
  <c r="AA436" i="3"/>
  <c r="AA396" i="3"/>
  <c r="AA372" i="3"/>
  <c r="AA344" i="3"/>
  <c r="AA320" i="3"/>
  <c r="AA312" i="3"/>
  <c r="AA288" i="3"/>
  <c r="AA284" i="3"/>
  <c r="AA272" i="3"/>
  <c r="AA264" i="3"/>
  <c r="AA256" i="3"/>
  <c r="AA248" i="3"/>
  <c r="AA236" i="3"/>
  <c r="AA220" i="3"/>
  <c r="AA188" i="3"/>
  <c r="AA180" i="3"/>
  <c r="AA172" i="3"/>
  <c r="AA164" i="3"/>
  <c r="AA156" i="3"/>
  <c r="AA148" i="3"/>
  <c r="AA140" i="3"/>
  <c r="AA116" i="3"/>
  <c r="AA104" i="3"/>
  <c r="AA96" i="3"/>
  <c r="AA88" i="3"/>
  <c r="AA80" i="3"/>
  <c r="AA72" i="3"/>
  <c r="AA64" i="3"/>
  <c r="AA56" i="3"/>
  <c r="AA44" i="3"/>
  <c r="AA36" i="3"/>
  <c r="AA28" i="3"/>
  <c r="AA20" i="3"/>
  <c r="AA494" i="3"/>
  <c r="AA490" i="3"/>
  <c r="AA486" i="3"/>
  <c r="AA478" i="3"/>
  <c r="AA474" i="3"/>
  <c r="AA470" i="3"/>
  <c r="AA466" i="3"/>
  <c r="AA462" i="3"/>
  <c r="AA458" i="3"/>
  <c r="AA454" i="3"/>
  <c r="AA450" i="3"/>
  <c r="AA446" i="3"/>
  <c r="AA442" i="3"/>
  <c r="AA438" i="3"/>
  <c r="AA434" i="3"/>
  <c r="AA430" i="3"/>
  <c r="AA426" i="3"/>
  <c r="AA422" i="3"/>
  <c r="AA418" i="3"/>
  <c r="AA414" i="3"/>
  <c r="AA410" i="3"/>
  <c r="AA406" i="3"/>
  <c r="AA402" i="3"/>
  <c r="AA398" i="3"/>
  <c r="AA394" i="3"/>
  <c r="AA390" i="3"/>
  <c r="AA386" i="3"/>
  <c r="AA382" i="3"/>
  <c r="AA378" i="3"/>
  <c r="AA374" i="3"/>
  <c r="AA370" i="3"/>
  <c r="AA366" i="3"/>
  <c r="AA362" i="3"/>
  <c r="AA354" i="3"/>
  <c r="AA350" i="3"/>
  <c r="AA346" i="3"/>
  <c r="AA342" i="3"/>
  <c r="AA338" i="3"/>
  <c r="AA334" i="3"/>
  <c r="AA330" i="3"/>
  <c r="AA326" i="3"/>
  <c r="AA318" i="3"/>
  <c r="AA314" i="3"/>
  <c r="AA310" i="3"/>
  <c r="AA306" i="3"/>
  <c r="AA302" i="3"/>
  <c r="AA298" i="3"/>
  <c r="AA290" i="3"/>
  <c r="AA274" i="3"/>
  <c r="AA270" i="3"/>
  <c r="AA262" i="3"/>
  <c r="AA258" i="3"/>
  <c r="AA254" i="3"/>
  <c r="AA246" i="3"/>
  <c r="AA242" i="3"/>
  <c r="AA234" i="3"/>
  <c r="AA222" i="3"/>
  <c r="AA218" i="3"/>
  <c r="AA214" i="3"/>
  <c r="AA210" i="3"/>
  <c r="AA206" i="3"/>
  <c r="AA190" i="3"/>
  <c r="AA186" i="3"/>
  <c r="AA182" i="3"/>
  <c r="AA178" i="3"/>
  <c r="AA174" i="3"/>
  <c r="AA170" i="3"/>
  <c r="AA166" i="3"/>
  <c r="AA162" i="3"/>
  <c r="AA158" i="3"/>
  <c r="AA154" i="3"/>
  <c r="AA150" i="3"/>
  <c r="AA146" i="3"/>
  <c r="AA142" i="3"/>
  <c r="AA138" i="3"/>
  <c r="AA106" i="3"/>
  <c r="AA86" i="3"/>
  <c r="AA78" i="3"/>
  <c r="AA74" i="3"/>
  <c r="AA70" i="3"/>
  <c r="AA66" i="3"/>
  <c r="AA62" i="3"/>
  <c r="AA58" i="3"/>
  <c r="AA54" i="3"/>
  <c r="AA50" i="3"/>
  <c r="AA46" i="3"/>
  <c r="AH226" i="3"/>
  <c r="G2" i="3"/>
  <c r="G3" i="3"/>
  <c r="G4" i="3"/>
  <c r="G5" i="3"/>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G83" i="3"/>
  <c r="G84" i="3"/>
  <c r="G85" i="3"/>
  <c r="G86" i="3"/>
  <c r="G87" i="3"/>
  <c r="G88" i="3"/>
  <c r="G89" i="3"/>
  <c r="G90" i="3"/>
  <c r="G91" i="3"/>
  <c r="G92" i="3"/>
  <c r="G93" i="3"/>
  <c r="G94" i="3"/>
  <c r="G95" i="3"/>
  <c r="G96" i="3"/>
  <c r="G97" i="3"/>
  <c r="G98" i="3"/>
  <c r="G99" i="3"/>
  <c r="G100" i="3"/>
  <c r="G101" i="3"/>
  <c r="G102" i="3"/>
  <c r="G103" i="3"/>
  <c r="G104" i="3"/>
  <c r="G105" i="3"/>
  <c r="G106" i="3"/>
  <c r="G107" i="3"/>
  <c r="G108" i="3"/>
  <c r="G109" i="3"/>
  <c r="G110" i="3"/>
  <c r="G111" i="3"/>
  <c r="G112" i="3"/>
  <c r="G113" i="3"/>
  <c r="G114" i="3"/>
  <c r="G115" i="3"/>
  <c r="G116" i="3"/>
  <c r="G117" i="3"/>
  <c r="G118" i="3"/>
  <c r="G119" i="3"/>
  <c r="G120" i="3"/>
  <c r="G121" i="3"/>
  <c r="G122" i="3"/>
  <c r="G123" i="3"/>
  <c r="G124" i="3"/>
  <c r="G125" i="3"/>
  <c r="G126" i="3"/>
  <c r="G127" i="3"/>
  <c r="G128" i="3"/>
  <c r="G129" i="3"/>
  <c r="G130" i="3"/>
  <c r="G131" i="3"/>
  <c r="G132" i="3"/>
  <c r="G133" i="3"/>
  <c r="G134" i="3"/>
  <c r="G135" i="3"/>
  <c r="G136" i="3"/>
  <c r="G137" i="3"/>
  <c r="G138" i="3"/>
  <c r="G139" i="3"/>
  <c r="G140" i="3"/>
  <c r="G141" i="3"/>
  <c r="G142" i="3"/>
  <c r="G143" i="3"/>
  <c r="G144" i="3"/>
  <c r="G145" i="3"/>
  <c r="G146" i="3"/>
  <c r="G147" i="3"/>
  <c r="G148" i="3"/>
  <c r="G149" i="3"/>
  <c r="G150" i="3"/>
  <c r="G151" i="3"/>
  <c r="G152" i="3"/>
  <c r="G153" i="3"/>
  <c r="G154" i="3"/>
  <c r="G155" i="3"/>
  <c r="G156" i="3"/>
  <c r="G157" i="3"/>
  <c r="G158" i="3"/>
  <c r="G159" i="3"/>
  <c r="G160" i="3"/>
  <c r="G161" i="3"/>
  <c r="G162" i="3"/>
  <c r="G163" i="3"/>
  <c r="G164" i="3"/>
  <c r="G165" i="3"/>
  <c r="G166" i="3"/>
  <c r="G167" i="3"/>
  <c r="G168" i="3"/>
  <c r="G169" i="3"/>
  <c r="G170" i="3"/>
  <c r="G171" i="3"/>
  <c r="G172" i="3"/>
  <c r="G173" i="3"/>
  <c r="G174" i="3"/>
  <c r="G175" i="3"/>
  <c r="G176" i="3"/>
  <c r="G177" i="3"/>
  <c r="G178" i="3"/>
  <c r="G179" i="3"/>
  <c r="G180" i="3"/>
  <c r="G181" i="3"/>
  <c r="G182" i="3"/>
  <c r="G183" i="3"/>
  <c r="G184" i="3"/>
  <c r="G185" i="3"/>
  <c r="G186" i="3"/>
  <c r="G187" i="3"/>
  <c r="G188" i="3"/>
  <c r="G189" i="3"/>
  <c r="G190" i="3"/>
  <c r="G191" i="3"/>
  <c r="G192" i="3"/>
  <c r="G193" i="3"/>
  <c r="G194" i="3"/>
  <c r="G195" i="3"/>
  <c r="G196" i="3"/>
  <c r="G197" i="3"/>
  <c r="G198" i="3"/>
  <c r="G199" i="3"/>
  <c r="G200" i="3"/>
  <c r="G201" i="3"/>
  <c r="G202" i="3"/>
  <c r="G203" i="3"/>
  <c r="G204" i="3"/>
  <c r="G205" i="3"/>
  <c r="G206" i="3"/>
  <c r="G207" i="3"/>
  <c r="G208" i="3"/>
  <c r="G209" i="3"/>
  <c r="G210" i="3"/>
  <c r="G211" i="3"/>
  <c r="G212" i="3"/>
  <c r="G213" i="3"/>
  <c r="G214" i="3"/>
  <c r="G215" i="3"/>
  <c r="G216" i="3"/>
  <c r="G217" i="3"/>
  <c r="G218" i="3"/>
  <c r="G219" i="3"/>
  <c r="G220" i="3"/>
  <c r="G221" i="3"/>
  <c r="G222" i="3"/>
  <c r="G223" i="3"/>
  <c r="G224" i="3"/>
  <c r="G225" i="3"/>
  <c r="G226" i="3"/>
  <c r="G227" i="3"/>
  <c r="G228" i="3"/>
  <c r="G229" i="3"/>
  <c r="G230" i="3"/>
  <c r="G231" i="3"/>
  <c r="G232" i="3"/>
  <c r="G233" i="3"/>
  <c r="G234" i="3"/>
  <c r="G235" i="3"/>
  <c r="G236" i="3"/>
  <c r="G237" i="3"/>
  <c r="G238" i="3"/>
  <c r="G239" i="3"/>
  <c r="G240" i="3"/>
  <c r="G241" i="3"/>
  <c r="G242" i="3"/>
  <c r="G243" i="3"/>
  <c r="G244" i="3"/>
  <c r="G245" i="3"/>
  <c r="G246" i="3"/>
  <c r="G247" i="3"/>
  <c r="G248" i="3"/>
  <c r="G249" i="3"/>
  <c r="G250" i="3"/>
  <c r="G251" i="3"/>
  <c r="G252" i="3"/>
  <c r="G253" i="3"/>
  <c r="G254" i="3"/>
  <c r="G255" i="3"/>
  <c r="G256" i="3"/>
  <c r="G257" i="3"/>
  <c r="G258" i="3"/>
  <c r="G259" i="3"/>
  <c r="G260" i="3"/>
  <c r="G261" i="3"/>
  <c r="G262" i="3"/>
  <c r="G263" i="3"/>
  <c r="G264" i="3"/>
  <c r="G265" i="3"/>
  <c r="G266" i="3"/>
  <c r="G267" i="3"/>
  <c r="G268" i="3"/>
  <c r="G269" i="3"/>
  <c r="G270" i="3"/>
  <c r="G271" i="3"/>
  <c r="G272" i="3"/>
  <c r="G273" i="3"/>
  <c r="G274" i="3"/>
  <c r="G275" i="3"/>
  <c r="G276" i="3"/>
  <c r="G277" i="3"/>
  <c r="G278" i="3"/>
  <c r="G279" i="3"/>
  <c r="G280" i="3"/>
  <c r="G281" i="3"/>
  <c r="G282" i="3"/>
  <c r="G283" i="3"/>
  <c r="G284" i="3"/>
  <c r="G285" i="3"/>
  <c r="G286" i="3"/>
  <c r="G287" i="3"/>
  <c r="G288" i="3"/>
  <c r="G289" i="3"/>
  <c r="G290" i="3"/>
  <c r="G291" i="3"/>
  <c r="G292" i="3"/>
  <c r="G293" i="3"/>
  <c r="G294" i="3"/>
  <c r="G295" i="3"/>
  <c r="G296" i="3"/>
  <c r="G297" i="3"/>
  <c r="G298" i="3"/>
  <c r="G299" i="3"/>
  <c r="G300" i="3"/>
  <c r="G301" i="3"/>
  <c r="G302" i="3"/>
  <c r="G303" i="3"/>
  <c r="G304" i="3"/>
  <c r="G305" i="3"/>
  <c r="G306" i="3"/>
  <c r="G307" i="3"/>
  <c r="G308" i="3"/>
  <c r="G309" i="3"/>
  <c r="G310" i="3"/>
  <c r="G311" i="3"/>
  <c r="G312" i="3"/>
  <c r="G313" i="3"/>
  <c r="G314" i="3"/>
  <c r="G315" i="3"/>
  <c r="G316" i="3"/>
  <c r="G317" i="3"/>
  <c r="G318" i="3"/>
  <c r="G319" i="3"/>
  <c r="G320" i="3"/>
  <c r="G321" i="3"/>
  <c r="G322" i="3"/>
  <c r="G323" i="3"/>
  <c r="G324" i="3"/>
  <c r="G325" i="3"/>
  <c r="G326" i="3"/>
  <c r="G327" i="3"/>
  <c r="G328" i="3"/>
  <c r="G329" i="3"/>
  <c r="G330" i="3"/>
  <c r="G331" i="3"/>
  <c r="G332" i="3"/>
  <c r="G333" i="3"/>
  <c r="G334" i="3"/>
  <c r="G335" i="3"/>
  <c r="G336" i="3"/>
  <c r="G337" i="3"/>
  <c r="G338" i="3"/>
  <c r="G339" i="3"/>
  <c r="G340" i="3"/>
  <c r="G341" i="3"/>
  <c r="G342" i="3"/>
  <c r="G343" i="3"/>
  <c r="G344" i="3"/>
  <c r="G345" i="3"/>
  <c r="G346" i="3"/>
  <c r="G347" i="3"/>
  <c r="G348" i="3"/>
  <c r="G349" i="3"/>
  <c r="G350" i="3"/>
  <c r="G351" i="3"/>
  <c r="G352" i="3"/>
  <c r="G353" i="3"/>
  <c r="G354" i="3"/>
  <c r="G355" i="3"/>
  <c r="G356" i="3"/>
  <c r="G357" i="3"/>
  <c r="G358" i="3"/>
  <c r="G359" i="3"/>
  <c r="G360" i="3"/>
  <c r="G361" i="3"/>
  <c r="G362" i="3"/>
  <c r="G363" i="3"/>
  <c r="G364" i="3"/>
  <c r="G365" i="3"/>
  <c r="G366" i="3"/>
  <c r="G367" i="3"/>
  <c r="G368" i="3"/>
  <c r="G369" i="3"/>
  <c r="G370" i="3"/>
  <c r="G371" i="3"/>
  <c r="G372" i="3"/>
  <c r="G373" i="3"/>
  <c r="G374" i="3"/>
  <c r="G375" i="3"/>
  <c r="G376" i="3"/>
  <c r="G377" i="3"/>
  <c r="G378" i="3"/>
  <c r="G379" i="3"/>
  <c r="G380" i="3"/>
  <c r="G381" i="3"/>
  <c r="G382" i="3"/>
  <c r="G383" i="3"/>
  <c r="G384" i="3"/>
  <c r="G385" i="3"/>
  <c r="G386" i="3"/>
  <c r="G387" i="3"/>
  <c r="G388" i="3"/>
  <c r="G389" i="3"/>
  <c r="G390" i="3"/>
  <c r="G391" i="3"/>
  <c r="G392" i="3"/>
  <c r="G393" i="3"/>
  <c r="G394" i="3"/>
  <c r="G395" i="3"/>
  <c r="G396" i="3"/>
  <c r="G397" i="3"/>
  <c r="G398" i="3"/>
  <c r="G399" i="3"/>
  <c r="G400" i="3"/>
  <c r="G401" i="3"/>
  <c r="G402" i="3"/>
  <c r="G403" i="3"/>
  <c r="G404" i="3"/>
  <c r="G405" i="3"/>
  <c r="G406" i="3"/>
  <c r="G407" i="3"/>
  <c r="G408" i="3"/>
  <c r="G409" i="3"/>
  <c r="G410" i="3"/>
  <c r="G411" i="3"/>
  <c r="G412" i="3"/>
  <c r="G413" i="3"/>
  <c r="G414" i="3"/>
  <c r="G415" i="3"/>
  <c r="G416" i="3"/>
  <c r="G417" i="3"/>
  <c r="G418" i="3"/>
  <c r="G419" i="3"/>
  <c r="G420" i="3"/>
  <c r="G421" i="3"/>
  <c r="G422" i="3"/>
  <c r="G423" i="3"/>
  <c r="G424" i="3"/>
  <c r="G425" i="3"/>
  <c r="G426" i="3"/>
  <c r="G427" i="3"/>
  <c r="G428" i="3"/>
  <c r="G429" i="3"/>
  <c r="G430" i="3"/>
  <c r="G431" i="3"/>
  <c r="G432" i="3"/>
  <c r="G433" i="3"/>
  <c r="G434" i="3"/>
  <c r="G435" i="3"/>
  <c r="G436" i="3"/>
  <c r="G437" i="3"/>
  <c r="G438" i="3"/>
  <c r="G439" i="3"/>
  <c r="G440" i="3"/>
  <c r="G441" i="3"/>
  <c r="G442" i="3"/>
  <c r="G443" i="3"/>
  <c r="G444" i="3"/>
  <c r="G445" i="3"/>
  <c r="G446" i="3"/>
  <c r="G447" i="3"/>
  <c r="G448" i="3"/>
  <c r="G449" i="3"/>
  <c r="G450" i="3"/>
  <c r="G451" i="3"/>
  <c r="G452" i="3"/>
  <c r="G453" i="3"/>
  <c r="G454" i="3"/>
  <c r="G455" i="3"/>
  <c r="G456" i="3"/>
  <c r="G457" i="3"/>
  <c r="G458" i="3"/>
  <c r="G459" i="3"/>
  <c r="G460" i="3"/>
  <c r="G461" i="3"/>
  <c r="G462" i="3"/>
  <c r="G463" i="3"/>
  <c r="G464" i="3"/>
  <c r="G465" i="3"/>
  <c r="G466" i="3"/>
  <c r="G467" i="3"/>
  <c r="G468" i="3"/>
  <c r="G469" i="3"/>
  <c r="G470" i="3"/>
  <c r="G471" i="3"/>
  <c r="G472" i="3"/>
  <c r="G473" i="3"/>
  <c r="G474" i="3"/>
  <c r="G475" i="3"/>
  <c r="G476" i="3"/>
  <c r="G477" i="3"/>
  <c r="G478" i="3"/>
  <c r="G479" i="3"/>
  <c r="G480" i="3"/>
  <c r="G481" i="3"/>
  <c r="G482" i="3"/>
  <c r="G483" i="3"/>
  <c r="G484" i="3"/>
  <c r="G485" i="3"/>
  <c r="G486" i="3"/>
  <c r="G487" i="3"/>
  <c r="G488" i="3"/>
  <c r="G489" i="3"/>
  <c r="G490" i="3"/>
  <c r="G491" i="3"/>
  <c r="G492" i="3"/>
  <c r="G493" i="3"/>
  <c r="G494" i="3"/>
  <c r="G495" i="3"/>
  <c r="G496" i="3"/>
  <c r="G497" i="3"/>
  <c r="G498" i="3"/>
  <c r="G499" i="3"/>
  <c r="G500" i="3"/>
  <c r="G501" i="3"/>
  <c r="G502" i="3"/>
  <c r="G503" i="3"/>
  <c r="G504" i="3"/>
  <c r="G505" i="3"/>
  <c r="G506" i="3"/>
  <c r="G507" i="3"/>
  <c r="G508" i="3"/>
  <c r="G509" i="3"/>
  <c r="G510" i="3"/>
  <c r="G511" i="3"/>
  <c r="G512" i="3"/>
  <c r="G513" i="3"/>
  <c r="G514" i="3"/>
  <c r="G515" i="3"/>
  <c r="G516" i="3"/>
  <c r="G517" i="3"/>
  <c r="G518" i="3"/>
  <c r="G519" i="3"/>
  <c r="G520" i="3"/>
  <c r="G522" i="3"/>
  <c r="G523" i="3"/>
  <c r="G524" i="3"/>
  <c r="G525" i="3"/>
  <c r="G526" i="3"/>
  <c r="G527" i="3"/>
  <c r="G528" i="3"/>
  <c r="G529" i="3"/>
  <c r="G530" i="3"/>
  <c r="G531" i="3"/>
  <c r="G532" i="3"/>
  <c r="G533" i="3"/>
  <c r="G534" i="3"/>
  <c r="G535" i="3"/>
  <c r="G536" i="3"/>
  <c r="G537" i="3"/>
  <c r="G538" i="3"/>
  <c r="G539" i="3"/>
  <c r="G540" i="3"/>
  <c r="G541" i="3"/>
  <c r="G542" i="3"/>
  <c r="G543" i="3"/>
  <c r="G544" i="3"/>
  <c r="G545" i="3"/>
  <c r="G546" i="3"/>
  <c r="G547" i="3"/>
  <c r="G548" i="3"/>
  <c r="G549" i="3"/>
  <c r="G550" i="3"/>
  <c r="G551" i="3"/>
  <c r="G552" i="3"/>
  <c r="G553" i="3"/>
  <c r="G554" i="3"/>
  <c r="G555" i="3"/>
  <c r="G556" i="3"/>
  <c r="G557" i="3"/>
  <c r="G558" i="3"/>
  <c r="G559" i="3"/>
  <c r="G560" i="3"/>
  <c r="G561" i="3"/>
  <c r="G562" i="3"/>
  <c r="G563" i="3"/>
  <c r="G564" i="3"/>
  <c r="G565" i="3"/>
  <c r="G566" i="3"/>
  <c r="G567" i="3"/>
  <c r="G568" i="3"/>
  <c r="G569" i="3"/>
  <c r="G570" i="3"/>
  <c r="G571" i="3"/>
  <c r="G572" i="3"/>
  <c r="G573" i="3"/>
  <c r="G574" i="3"/>
  <c r="G575" i="3"/>
  <c r="G576" i="3"/>
  <c r="G577" i="3"/>
  <c r="G578" i="3"/>
  <c r="G579" i="3"/>
  <c r="G580" i="3"/>
  <c r="G581" i="3"/>
  <c r="G582" i="3"/>
  <c r="G583" i="3"/>
  <c r="G584" i="3"/>
  <c r="G585" i="3"/>
  <c r="G586" i="3"/>
  <c r="G587" i="3"/>
  <c r="G588" i="3"/>
  <c r="G589" i="3"/>
  <c r="G590" i="3"/>
  <c r="G591" i="3"/>
  <c r="G592" i="3"/>
  <c r="G593" i="3"/>
  <c r="G594" i="3"/>
  <c r="G595" i="3"/>
  <c r="G596" i="3"/>
  <c r="G597" i="3"/>
  <c r="G598" i="3"/>
  <c r="G599" i="3"/>
  <c r="G600" i="3"/>
  <c r="G601" i="3"/>
  <c r="G602" i="3"/>
  <c r="G603" i="3"/>
  <c r="G604" i="3"/>
  <c r="G605" i="3"/>
  <c r="G606" i="3"/>
  <c r="G607" i="3"/>
  <c r="G608" i="3"/>
  <c r="G609" i="3"/>
  <c r="G610" i="3"/>
  <c r="G611" i="3"/>
  <c r="G612" i="3"/>
  <c r="G613" i="3"/>
  <c r="G614" i="3"/>
  <c r="G615" i="3"/>
  <c r="G616" i="3"/>
  <c r="G617" i="3"/>
  <c r="G618" i="3"/>
  <c r="G619" i="3"/>
  <c r="G620" i="3"/>
  <c r="G621" i="3"/>
  <c r="G622" i="3"/>
  <c r="G623" i="3"/>
  <c r="G624" i="3"/>
  <c r="G625" i="3"/>
  <c r="G626" i="3"/>
  <c r="G627" i="3"/>
  <c r="G628" i="3"/>
  <c r="G629" i="3"/>
  <c r="G630" i="3"/>
  <c r="G631" i="3"/>
  <c r="G632" i="3"/>
  <c r="G633" i="3"/>
  <c r="G634" i="3"/>
  <c r="G635" i="3"/>
  <c r="G636" i="3"/>
  <c r="G637" i="3"/>
  <c r="G638" i="3"/>
  <c r="G639" i="3"/>
  <c r="G640" i="3"/>
  <c r="G641" i="3"/>
  <c r="G642" i="3"/>
  <c r="G643" i="3"/>
  <c r="G644" i="3"/>
  <c r="G645" i="3"/>
  <c r="G646" i="3"/>
  <c r="G647" i="3"/>
  <c r="G648" i="3"/>
  <c r="G649" i="3"/>
  <c r="G650" i="3"/>
  <c r="G651" i="3"/>
  <c r="G652" i="3"/>
  <c r="G653" i="3"/>
  <c r="G654" i="3"/>
  <c r="G655" i="3"/>
  <c r="G656" i="3"/>
  <c r="G657" i="3"/>
  <c r="G658" i="3"/>
  <c r="G659" i="3"/>
  <c r="G660" i="3"/>
  <c r="G661" i="3"/>
  <c r="G662" i="3"/>
  <c r="G663" i="3"/>
  <c r="G664" i="3"/>
  <c r="G665" i="3"/>
  <c r="G666" i="3"/>
  <c r="G667" i="3"/>
  <c r="G668" i="3"/>
  <c r="G669" i="3"/>
  <c r="G670" i="3"/>
  <c r="G671" i="3"/>
  <c r="G672" i="3"/>
  <c r="G673" i="3"/>
  <c r="G674" i="3"/>
  <c r="G675" i="3"/>
  <c r="G676" i="3"/>
  <c r="G677" i="3"/>
  <c r="G678" i="3"/>
  <c r="G679" i="3"/>
  <c r="G680" i="3"/>
  <c r="G681" i="3"/>
  <c r="G682" i="3"/>
  <c r="G683" i="3"/>
  <c r="G684" i="3"/>
  <c r="G685" i="3"/>
  <c r="G686" i="3"/>
  <c r="G687" i="3"/>
  <c r="G688" i="3"/>
  <c r="G689" i="3"/>
  <c r="G690" i="3"/>
  <c r="G691" i="3"/>
  <c r="G692" i="3"/>
  <c r="G693" i="3"/>
  <c r="G694" i="3"/>
  <c r="G695" i="3"/>
  <c r="G696" i="3"/>
  <c r="G697" i="3"/>
  <c r="G698" i="3"/>
  <c r="G699" i="3"/>
  <c r="G700" i="3"/>
  <c r="G701" i="3"/>
  <c r="G702" i="3"/>
  <c r="G703" i="3"/>
  <c r="G704" i="3"/>
  <c r="G705" i="3"/>
  <c r="G706" i="3"/>
  <c r="G707" i="3"/>
  <c r="G708" i="3"/>
  <c r="G709" i="3"/>
  <c r="G710" i="3"/>
  <c r="G711" i="3"/>
  <c r="G712" i="3"/>
  <c r="G713" i="3"/>
  <c r="G714" i="3"/>
  <c r="G715" i="3"/>
  <c r="G716" i="3"/>
  <c r="G717" i="3"/>
  <c r="G718" i="3"/>
  <c r="G719" i="3"/>
  <c r="G720" i="3"/>
  <c r="G721" i="3"/>
  <c r="G722" i="3"/>
  <c r="G723" i="3"/>
  <c r="G724" i="3"/>
  <c r="G725" i="3"/>
  <c r="G726" i="3"/>
  <c r="G727" i="3"/>
  <c r="G728" i="3"/>
  <c r="G729" i="3"/>
  <c r="G730" i="3"/>
  <c r="G731" i="3"/>
  <c r="G732" i="3"/>
  <c r="G733" i="3"/>
  <c r="G734" i="3"/>
  <c r="G735" i="3"/>
  <c r="G736" i="3"/>
  <c r="G737" i="3"/>
  <c r="G738" i="3"/>
  <c r="G739" i="3"/>
  <c r="G740" i="3"/>
  <c r="G741" i="3"/>
  <c r="G742" i="3"/>
  <c r="G743" i="3"/>
  <c r="G744" i="3"/>
  <c r="G745" i="3"/>
  <c r="G746" i="3"/>
  <c r="G747" i="3"/>
  <c r="G748" i="3"/>
  <c r="G749" i="3"/>
  <c r="G750" i="3"/>
  <c r="G751" i="3"/>
  <c r="G752" i="3"/>
  <c r="G753" i="3"/>
  <c r="G754" i="3"/>
  <c r="G755" i="3"/>
  <c r="G756" i="3"/>
  <c r="G757" i="3"/>
  <c r="G758" i="3"/>
  <c r="G759" i="3"/>
  <c r="G760" i="3"/>
  <c r="G761" i="3"/>
  <c r="G762" i="3"/>
  <c r="G763" i="3"/>
  <c r="G764" i="3"/>
  <c r="G765" i="3"/>
  <c r="G766" i="3"/>
  <c r="G767" i="3"/>
  <c r="G768" i="3"/>
  <c r="G769" i="3"/>
  <c r="G770" i="3"/>
  <c r="G771" i="3"/>
  <c r="G772" i="3"/>
  <c r="G773" i="3"/>
  <c r="G774" i="3"/>
  <c r="G775" i="3"/>
  <c r="G776" i="3"/>
  <c r="G777" i="3"/>
  <c r="G778" i="3"/>
  <c r="G779" i="3"/>
  <c r="G780" i="3"/>
  <c r="G781" i="3"/>
  <c r="G782" i="3"/>
  <c r="G783" i="3"/>
  <c r="G784" i="3"/>
  <c r="G785" i="3"/>
  <c r="G786" i="3"/>
  <c r="G787" i="3"/>
  <c r="G788" i="3"/>
  <c r="G789" i="3"/>
  <c r="G790" i="3"/>
  <c r="G791" i="3"/>
  <c r="G792" i="3"/>
  <c r="G793" i="3"/>
  <c r="G794" i="3"/>
  <c r="G795" i="3"/>
  <c r="G796" i="3"/>
  <c r="G797" i="3"/>
  <c r="G798" i="3"/>
  <c r="G799" i="3"/>
  <c r="G800" i="3"/>
  <c r="G801" i="3"/>
  <c r="G802" i="3"/>
  <c r="G803" i="3"/>
  <c r="G804" i="3"/>
  <c r="G805" i="3"/>
  <c r="G806" i="3"/>
  <c r="G807" i="3"/>
  <c r="G808" i="3"/>
  <c r="G809" i="3"/>
  <c r="G810" i="3"/>
  <c r="G811" i="3"/>
  <c r="G812" i="3"/>
  <c r="G813" i="3"/>
  <c r="G814" i="3"/>
  <c r="G815" i="3"/>
  <c r="G816" i="3"/>
  <c r="G817" i="3"/>
  <c r="G818" i="3"/>
  <c r="G819" i="3"/>
  <c r="G820" i="3"/>
  <c r="G821" i="3"/>
  <c r="G822" i="3"/>
  <c r="G823" i="3"/>
  <c r="G824" i="3"/>
  <c r="G825" i="3"/>
  <c r="G826" i="3"/>
  <c r="G827" i="3"/>
  <c r="G828" i="3"/>
  <c r="G829" i="3"/>
  <c r="G830" i="3"/>
  <c r="G831" i="3"/>
  <c r="G832" i="3"/>
  <c r="G833" i="3"/>
  <c r="G834" i="3"/>
  <c r="G835" i="3"/>
  <c r="G836" i="3"/>
  <c r="G837" i="3"/>
  <c r="G838" i="3"/>
  <c r="G839" i="3"/>
  <c r="G840" i="3"/>
  <c r="G841" i="3"/>
  <c r="G842" i="3"/>
  <c r="G843" i="3"/>
  <c r="G844" i="3"/>
  <c r="G845" i="3"/>
  <c r="G846" i="3"/>
  <c r="G847" i="3"/>
  <c r="G848" i="3"/>
  <c r="G849" i="3"/>
  <c r="G850" i="3"/>
  <c r="G851" i="3"/>
  <c r="G852" i="3"/>
  <c r="G853" i="3"/>
  <c r="G854" i="3"/>
  <c r="G855" i="3"/>
  <c r="G856" i="3"/>
  <c r="G857" i="3"/>
  <c r="G858" i="3"/>
  <c r="G859" i="3"/>
  <c r="G860" i="3"/>
  <c r="G861" i="3"/>
  <c r="G862" i="3"/>
  <c r="G863" i="3"/>
  <c r="G864" i="3"/>
  <c r="G865" i="3"/>
  <c r="G866" i="3"/>
  <c r="G867" i="3"/>
  <c r="G868" i="3"/>
  <c r="G869" i="3"/>
  <c r="G870" i="3"/>
  <c r="G871" i="3"/>
  <c r="G872" i="3"/>
  <c r="G873" i="3"/>
  <c r="G874" i="3"/>
  <c r="G875" i="3"/>
  <c r="G876" i="3"/>
  <c r="G877" i="3"/>
  <c r="G878" i="3"/>
  <c r="G879" i="3"/>
  <c r="G880" i="3"/>
  <c r="G881" i="3"/>
  <c r="G882" i="3"/>
  <c r="G883" i="3"/>
  <c r="G884" i="3"/>
  <c r="G885" i="3"/>
  <c r="G886" i="3"/>
  <c r="G887" i="3"/>
  <c r="G888" i="3"/>
  <c r="G889" i="3"/>
  <c r="G890" i="3"/>
  <c r="G891" i="3"/>
  <c r="G892" i="3"/>
  <c r="G893" i="3"/>
  <c r="G894" i="3"/>
  <c r="G895" i="3"/>
  <c r="G896" i="3"/>
  <c r="G897" i="3"/>
  <c r="G898" i="3"/>
  <c r="G899" i="3"/>
  <c r="G900" i="3"/>
  <c r="G901" i="3"/>
  <c r="G902" i="3"/>
  <c r="G903" i="3"/>
  <c r="G904" i="3"/>
  <c r="G905" i="3"/>
  <c r="G906" i="3"/>
  <c r="G907" i="3"/>
  <c r="G908" i="3"/>
  <c r="G909" i="3"/>
  <c r="G910" i="3"/>
  <c r="G911" i="3"/>
  <c r="G912" i="3"/>
  <c r="G913" i="3"/>
  <c r="G914" i="3"/>
  <c r="G915" i="3"/>
  <c r="G916" i="3"/>
  <c r="G917" i="3"/>
  <c r="G918" i="3"/>
  <c r="G919" i="3"/>
  <c r="G920" i="3"/>
  <c r="G921" i="3"/>
  <c r="G922" i="3"/>
  <c r="G923" i="3"/>
  <c r="G924" i="3"/>
  <c r="G925" i="3"/>
  <c r="G926" i="3"/>
  <c r="G927" i="3"/>
  <c r="G928" i="3"/>
  <c r="G929" i="3"/>
  <c r="G930" i="3"/>
  <c r="G931" i="3"/>
  <c r="G932" i="3"/>
  <c r="G933" i="3"/>
  <c r="G934" i="3"/>
  <c r="G935" i="3"/>
  <c r="G936" i="3"/>
  <c r="G937" i="3"/>
  <c r="G938" i="3"/>
  <c r="G939" i="3"/>
  <c r="G940" i="3"/>
  <c r="G941" i="3"/>
  <c r="Q55" i="66"/>
  <c r="Q54" i="66"/>
  <c r="Q53" i="66"/>
  <c r="Q52" i="66"/>
  <c r="Q51" i="66"/>
  <c r="Q50" i="66"/>
  <c r="Q49" i="66"/>
  <c r="Q47" i="66"/>
  <c r="Q33" i="66"/>
  <c r="Q32" i="66"/>
  <c r="Q31" i="66"/>
  <c r="Q30" i="66"/>
  <c r="Q29" i="66"/>
  <c r="Q28" i="66"/>
  <c r="Q27" i="66"/>
  <c r="Q25" i="66"/>
  <c r="N53" i="66"/>
  <c r="F2" i="3"/>
  <c r="F3" i="3"/>
  <c r="F4" i="3"/>
  <c r="F5" i="3"/>
  <c r="F6" i="3"/>
  <c r="F7" i="3"/>
  <c r="F8" i="3"/>
  <c r="F9" i="3"/>
  <c r="F10" i="3"/>
  <c r="F11" i="3"/>
  <c r="F12" i="3"/>
  <c r="F13" i="3"/>
  <c r="F14" i="3"/>
  <c r="F15" i="3"/>
  <c r="F16" i="3"/>
  <c r="F17" i="3"/>
  <c r="F18" i="3"/>
  <c r="F19" i="3"/>
  <c r="F20" i="3"/>
  <c r="F21" i="3"/>
  <c r="F22" i="3"/>
  <c r="F23" i="3"/>
  <c r="F24" i="3"/>
  <c r="F25" i="3"/>
  <c r="F26" i="3"/>
  <c r="F27" i="3"/>
  <c r="F28" i="3"/>
  <c r="F29" i="3"/>
  <c r="F30" i="3"/>
  <c r="F31" i="3"/>
  <c r="F32" i="3"/>
  <c r="F33" i="3"/>
  <c r="F34" i="3"/>
  <c r="F35" i="3"/>
  <c r="F36" i="3"/>
  <c r="F37" i="3"/>
  <c r="F38" i="3"/>
  <c r="F39" i="3"/>
  <c r="F40" i="3"/>
  <c r="F41" i="3"/>
  <c r="F42" i="3"/>
  <c r="F43" i="3"/>
  <c r="F44" i="3"/>
  <c r="F45" i="3"/>
  <c r="F46" i="3"/>
  <c r="F47" i="3"/>
  <c r="F48" i="3"/>
  <c r="F49" i="3"/>
  <c r="F50" i="3"/>
  <c r="F51" i="3"/>
  <c r="F52" i="3"/>
  <c r="F53" i="3"/>
  <c r="F54" i="3"/>
  <c r="F55" i="3"/>
  <c r="F56" i="3"/>
  <c r="F57" i="3"/>
  <c r="F58" i="3"/>
  <c r="F59" i="3"/>
  <c r="F60" i="3"/>
  <c r="F61" i="3"/>
  <c r="F62" i="3"/>
  <c r="F63" i="3"/>
  <c r="F64" i="3"/>
  <c r="F65" i="3"/>
  <c r="F66" i="3"/>
  <c r="F67" i="3"/>
  <c r="F68" i="3"/>
  <c r="F69" i="3"/>
  <c r="F70" i="3"/>
  <c r="F71" i="3"/>
  <c r="F72" i="3"/>
  <c r="F73" i="3"/>
  <c r="F74" i="3"/>
  <c r="F75" i="3"/>
  <c r="F76" i="3"/>
  <c r="F77" i="3"/>
  <c r="F78" i="3"/>
  <c r="F79" i="3"/>
  <c r="F80" i="3"/>
  <c r="F81" i="3"/>
  <c r="F82" i="3"/>
  <c r="F83" i="3"/>
  <c r="F84" i="3"/>
  <c r="F85" i="3"/>
  <c r="F86" i="3"/>
  <c r="F87" i="3"/>
  <c r="F88" i="3"/>
  <c r="F89" i="3"/>
  <c r="F90" i="3"/>
  <c r="F91" i="3"/>
  <c r="F92" i="3"/>
  <c r="F93" i="3"/>
  <c r="F94" i="3"/>
  <c r="F95" i="3"/>
  <c r="F96" i="3"/>
  <c r="F97" i="3"/>
  <c r="F98" i="3"/>
  <c r="F99" i="3"/>
  <c r="F100" i="3"/>
  <c r="F101" i="3"/>
  <c r="F102" i="3"/>
  <c r="F103" i="3"/>
  <c r="F104" i="3"/>
  <c r="F105" i="3"/>
  <c r="F106" i="3"/>
  <c r="F107" i="3"/>
  <c r="F108" i="3"/>
  <c r="F109" i="3"/>
  <c r="F110" i="3"/>
  <c r="F111" i="3"/>
  <c r="F112" i="3"/>
  <c r="F113" i="3"/>
  <c r="F114" i="3"/>
  <c r="F115" i="3"/>
  <c r="F116" i="3"/>
  <c r="F117" i="3"/>
  <c r="F118" i="3"/>
  <c r="F119" i="3"/>
  <c r="F120" i="3"/>
  <c r="F121" i="3"/>
  <c r="F122" i="3"/>
  <c r="F123" i="3"/>
  <c r="F124" i="3"/>
  <c r="F125" i="3"/>
  <c r="F126" i="3"/>
  <c r="F127" i="3"/>
  <c r="F128" i="3"/>
  <c r="F129" i="3"/>
  <c r="F130" i="3"/>
  <c r="F131" i="3"/>
  <c r="F132" i="3"/>
  <c r="F133" i="3"/>
  <c r="F134" i="3"/>
  <c r="F135" i="3"/>
  <c r="F136" i="3"/>
  <c r="F137" i="3"/>
  <c r="F138" i="3"/>
  <c r="F139" i="3"/>
  <c r="F140" i="3"/>
  <c r="F141" i="3"/>
  <c r="F142" i="3"/>
  <c r="F143" i="3"/>
  <c r="F144" i="3"/>
  <c r="F145" i="3"/>
  <c r="F146" i="3"/>
  <c r="F147" i="3"/>
  <c r="F148" i="3"/>
  <c r="F149" i="3"/>
  <c r="F150" i="3"/>
  <c r="F151" i="3"/>
  <c r="F152" i="3"/>
  <c r="F153" i="3"/>
  <c r="F154" i="3"/>
  <c r="F155" i="3"/>
  <c r="F156" i="3"/>
  <c r="F157" i="3"/>
  <c r="F158" i="3"/>
  <c r="F159" i="3"/>
  <c r="F160" i="3"/>
  <c r="F161" i="3"/>
  <c r="F162" i="3"/>
  <c r="F163" i="3"/>
  <c r="F164" i="3"/>
  <c r="F165" i="3"/>
  <c r="F166" i="3"/>
  <c r="F167" i="3"/>
  <c r="F168" i="3"/>
  <c r="F169" i="3"/>
  <c r="F170" i="3"/>
  <c r="F171" i="3"/>
  <c r="F172" i="3"/>
  <c r="F173" i="3"/>
  <c r="F174" i="3"/>
  <c r="F175" i="3"/>
  <c r="F176" i="3"/>
  <c r="F177" i="3"/>
  <c r="F178" i="3"/>
  <c r="F179" i="3"/>
  <c r="F180" i="3"/>
  <c r="F181" i="3"/>
  <c r="F182" i="3"/>
  <c r="F183" i="3"/>
  <c r="F184" i="3"/>
  <c r="F185" i="3"/>
  <c r="F186" i="3"/>
  <c r="F187" i="3"/>
  <c r="F188" i="3"/>
  <c r="F189" i="3"/>
  <c r="F190" i="3"/>
  <c r="F191" i="3"/>
  <c r="F192" i="3"/>
  <c r="F193" i="3"/>
  <c r="F194" i="3"/>
  <c r="F195" i="3"/>
  <c r="F196" i="3"/>
  <c r="F197" i="3"/>
  <c r="F198" i="3"/>
  <c r="F199" i="3"/>
  <c r="F200" i="3"/>
  <c r="F201" i="3"/>
  <c r="F202" i="3"/>
  <c r="F203" i="3"/>
  <c r="F204" i="3"/>
  <c r="F205" i="3"/>
  <c r="F206" i="3"/>
  <c r="F207" i="3"/>
  <c r="F208" i="3"/>
  <c r="F209" i="3"/>
  <c r="F210" i="3"/>
  <c r="F211" i="3"/>
  <c r="F212" i="3"/>
  <c r="F213" i="3"/>
  <c r="F214" i="3"/>
  <c r="F215" i="3"/>
  <c r="F216" i="3"/>
  <c r="F217" i="3"/>
  <c r="F218" i="3"/>
  <c r="F219" i="3"/>
  <c r="F220" i="3"/>
  <c r="F221" i="3"/>
  <c r="F222" i="3"/>
  <c r="F223" i="3"/>
  <c r="F224" i="3"/>
  <c r="F225" i="3"/>
  <c r="F226" i="3"/>
  <c r="F227" i="3"/>
  <c r="F228" i="3"/>
  <c r="F229" i="3"/>
  <c r="F230" i="3"/>
  <c r="F231" i="3"/>
  <c r="F232" i="3"/>
  <c r="F233" i="3"/>
  <c r="F234" i="3"/>
  <c r="F235" i="3"/>
  <c r="F236" i="3"/>
  <c r="F237" i="3"/>
  <c r="F238" i="3"/>
  <c r="F239" i="3"/>
  <c r="F240" i="3"/>
  <c r="F241" i="3"/>
  <c r="F242" i="3"/>
  <c r="F243" i="3"/>
  <c r="F244" i="3"/>
  <c r="F245" i="3"/>
  <c r="F246" i="3"/>
  <c r="F247" i="3"/>
  <c r="F248" i="3"/>
  <c r="F249" i="3"/>
  <c r="F250" i="3"/>
  <c r="F251" i="3"/>
  <c r="F252" i="3"/>
  <c r="F253" i="3"/>
  <c r="F254" i="3"/>
  <c r="F255" i="3"/>
  <c r="F256" i="3"/>
  <c r="F257" i="3"/>
  <c r="F258" i="3"/>
  <c r="F259" i="3"/>
  <c r="F260" i="3"/>
  <c r="F261" i="3"/>
  <c r="F262" i="3"/>
  <c r="F263" i="3"/>
  <c r="F264" i="3"/>
  <c r="F265" i="3"/>
  <c r="F266" i="3"/>
  <c r="F267" i="3"/>
  <c r="F268" i="3"/>
  <c r="F269" i="3"/>
  <c r="F270" i="3"/>
  <c r="F271" i="3"/>
  <c r="F272" i="3"/>
  <c r="F273" i="3"/>
  <c r="F274" i="3"/>
  <c r="F275" i="3"/>
  <c r="F276" i="3"/>
  <c r="F277" i="3"/>
  <c r="F278" i="3"/>
  <c r="F279" i="3"/>
  <c r="F280" i="3"/>
  <c r="F281" i="3"/>
  <c r="F282" i="3"/>
  <c r="F283" i="3"/>
  <c r="F284" i="3"/>
  <c r="F285" i="3"/>
  <c r="F286" i="3"/>
  <c r="F287" i="3"/>
  <c r="F288" i="3"/>
  <c r="F289" i="3"/>
  <c r="F290" i="3"/>
  <c r="F291" i="3"/>
  <c r="F292" i="3"/>
  <c r="F293" i="3"/>
  <c r="F294" i="3"/>
  <c r="F295" i="3"/>
  <c r="F296" i="3"/>
  <c r="F297" i="3"/>
  <c r="F298" i="3"/>
  <c r="F299" i="3"/>
  <c r="F300" i="3"/>
  <c r="F301" i="3"/>
  <c r="F302" i="3"/>
  <c r="F303" i="3"/>
  <c r="F304" i="3"/>
  <c r="F305" i="3"/>
  <c r="F306" i="3"/>
  <c r="F307" i="3"/>
  <c r="F308" i="3"/>
  <c r="F309" i="3"/>
  <c r="F310" i="3"/>
  <c r="F311" i="3"/>
  <c r="F312" i="3"/>
  <c r="F313" i="3"/>
  <c r="F314" i="3"/>
  <c r="F315" i="3"/>
  <c r="F316" i="3"/>
  <c r="F317" i="3"/>
  <c r="F318" i="3"/>
  <c r="F319" i="3"/>
  <c r="F320" i="3"/>
  <c r="F321" i="3"/>
  <c r="F322" i="3"/>
  <c r="F323" i="3"/>
  <c r="F324" i="3"/>
  <c r="F325" i="3"/>
  <c r="F326" i="3"/>
  <c r="F327" i="3"/>
  <c r="F328" i="3"/>
  <c r="F329" i="3"/>
  <c r="F330" i="3"/>
  <c r="F331" i="3"/>
  <c r="F332" i="3"/>
  <c r="F333" i="3"/>
  <c r="F334" i="3"/>
  <c r="F335" i="3"/>
  <c r="F336" i="3"/>
  <c r="F337" i="3"/>
  <c r="F338" i="3"/>
  <c r="F339" i="3"/>
  <c r="F340" i="3"/>
  <c r="F341" i="3"/>
  <c r="F342" i="3"/>
  <c r="F343" i="3"/>
  <c r="F344" i="3"/>
  <c r="F345" i="3"/>
  <c r="F346" i="3"/>
  <c r="F347" i="3"/>
  <c r="F348" i="3"/>
  <c r="F349" i="3"/>
  <c r="F350" i="3"/>
  <c r="F351" i="3"/>
  <c r="F352" i="3"/>
  <c r="F353" i="3"/>
  <c r="F354" i="3"/>
  <c r="F355" i="3"/>
  <c r="F356" i="3"/>
  <c r="F357" i="3"/>
  <c r="F358" i="3"/>
  <c r="F359" i="3"/>
  <c r="F360" i="3"/>
  <c r="F361" i="3"/>
  <c r="F362" i="3"/>
  <c r="F363" i="3"/>
  <c r="F364" i="3"/>
  <c r="F365" i="3"/>
  <c r="F366" i="3"/>
  <c r="F367" i="3"/>
  <c r="F368" i="3"/>
  <c r="F369" i="3"/>
  <c r="F370" i="3"/>
  <c r="F371" i="3"/>
  <c r="F372" i="3"/>
  <c r="F373" i="3"/>
  <c r="F374" i="3"/>
  <c r="F375" i="3"/>
  <c r="F376" i="3"/>
  <c r="F377" i="3"/>
  <c r="F378" i="3"/>
  <c r="F379" i="3"/>
  <c r="F380" i="3"/>
  <c r="F381" i="3"/>
  <c r="F382" i="3"/>
  <c r="F383" i="3"/>
  <c r="F384" i="3"/>
  <c r="F385" i="3"/>
  <c r="F386" i="3"/>
  <c r="F387" i="3"/>
  <c r="F388" i="3"/>
  <c r="F389" i="3"/>
  <c r="F390" i="3"/>
  <c r="F391" i="3"/>
  <c r="F392" i="3"/>
  <c r="F393" i="3"/>
  <c r="F394" i="3"/>
  <c r="F395" i="3"/>
  <c r="F396" i="3"/>
  <c r="F397" i="3"/>
  <c r="F398" i="3"/>
  <c r="F399" i="3"/>
  <c r="F400" i="3"/>
  <c r="F401" i="3"/>
  <c r="F402" i="3"/>
  <c r="F403" i="3"/>
  <c r="F404" i="3"/>
  <c r="F405" i="3"/>
  <c r="F406" i="3"/>
  <c r="F407" i="3"/>
  <c r="F408" i="3"/>
  <c r="F409" i="3"/>
  <c r="F410" i="3"/>
  <c r="F411" i="3"/>
  <c r="F412" i="3"/>
  <c r="F413" i="3"/>
  <c r="F414" i="3"/>
  <c r="F415" i="3"/>
  <c r="F416" i="3"/>
  <c r="F417" i="3"/>
  <c r="F418" i="3"/>
  <c r="F419" i="3"/>
  <c r="F420" i="3"/>
  <c r="F421" i="3"/>
  <c r="F422" i="3"/>
  <c r="F423" i="3"/>
  <c r="F424" i="3"/>
  <c r="F425" i="3"/>
  <c r="F426" i="3"/>
  <c r="F427" i="3"/>
  <c r="F428" i="3"/>
  <c r="F429" i="3"/>
  <c r="F430" i="3"/>
  <c r="F431" i="3"/>
  <c r="F432" i="3"/>
  <c r="F433" i="3"/>
  <c r="F434" i="3"/>
  <c r="F435" i="3"/>
  <c r="F436" i="3"/>
  <c r="F437" i="3"/>
  <c r="F438" i="3"/>
  <c r="F439" i="3"/>
  <c r="F440" i="3"/>
  <c r="F441" i="3"/>
  <c r="F442" i="3"/>
  <c r="F443" i="3"/>
  <c r="F444" i="3"/>
  <c r="F445" i="3"/>
  <c r="F446" i="3"/>
  <c r="F447" i="3"/>
  <c r="F448" i="3"/>
  <c r="F449" i="3"/>
  <c r="F450" i="3"/>
  <c r="F451" i="3"/>
  <c r="F452" i="3"/>
  <c r="F453" i="3"/>
  <c r="F454" i="3"/>
  <c r="F455" i="3"/>
  <c r="F456" i="3"/>
  <c r="F457" i="3"/>
  <c r="F458" i="3"/>
  <c r="F459" i="3"/>
  <c r="F460" i="3"/>
  <c r="F461" i="3"/>
  <c r="F462" i="3"/>
  <c r="F463" i="3"/>
  <c r="F464" i="3"/>
  <c r="F465" i="3"/>
  <c r="F466" i="3"/>
  <c r="F467" i="3"/>
  <c r="F468" i="3"/>
  <c r="F469" i="3"/>
  <c r="F470" i="3"/>
  <c r="F471" i="3"/>
  <c r="F472" i="3"/>
  <c r="F473" i="3"/>
  <c r="F474" i="3"/>
  <c r="F475" i="3"/>
  <c r="F476" i="3"/>
  <c r="F477" i="3"/>
  <c r="F478" i="3"/>
  <c r="F479" i="3"/>
  <c r="F480" i="3"/>
  <c r="F481" i="3"/>
  <c r="F482" i="3"/>
  <c r="F483" i="3"/>
  <c r="F484" i="3"/>
  <c r="F485" i="3"/>
  <c r="F486" i="3"/>
  <c r="F487" i="3"/>
  <c r="F488" i="3"/>
  <c r="F489" i="3"/>
  <c r="F490" i="3"/>
  <c r="F491" i="3"/>
  <c r="F492" i="3"/>
  <c r="F493" i="3"/>
  <c r="F494" i="3"/>
  <c r="F495" i="3"/>
  <c r="F496" i="3"/>
  <c r="F497" i="3"/>
  <c r="F498" i="3"/>
  <c r="F499" i="3"/>
  <c r="F500" i="3"/>
  <c r="F501" i="3"/>
  <c r="F502" i="3"/>
  <c r="F503" i="3"/>
  <c r="F504" i="3"/>
  <c r="F505" i="3"/>
  <c r="F506" i="3"/>
  <c r="F507" i="3"/>
  <c r="F508" i="3"/>
  <c r="F509" i="3"/>
  <c r="F510" i="3"/>
  <c r="F511" i="3"/>
  <c r="F512" i="3"/>
  <c r="F513" i="3"/>
  <c r="F514" i="3"/>
  <c r="F515" i="3"/>
  <c r="F516" i="3"/>
  <c r="F517" i="3"/>
  <c r="F518" i="3"/>
  <c r="F519" i="3"/>
  <c r="F520" i="3"/>
  <c r="F522" i="3"/>
  <c r="F523" i="3"/>
  <c r="F524" i="3"/>
  <c r="F525" i="3"/>
  <c r="F526" i="3"/>
  <c r="F527" i="3"/>
  <c r="F528" i="3"/>
  <c r="F529" i="3"/>
  <c r="F530" i="3"/>
  <c r="F531" i="3"/>
  <c r="F532" i="3"/>
  <c r="F533" i="3"/>
  <c r="F534" i="3"/>
  <c r="F535" i="3"/>
  <c r="F536" i="3"/>
  <c r="F537" i="3"/>
  <c r="F538" i="3"/>
  <c r="F539" i="3"/>
  <c r="F540" i="3"/>
  <c r="F541" i="3"/>
  <c r="F542" i="3"/>
  <c r="F543" i="3"/>
  <c r="F544" i="3"/>
  <c r="F545" i="3"/>
  <c r="F546" i="3"/>
  <c r="F547" i="3"/>
  <c r="F548" i="3"/>
  <c r="F549" i="3"/>
  <c r="F550" i="3"/>
  <c r="F551" i="3"/>
  <c r="F552" i="3"/>
  <c r="F553" i="3"/>
  <c r="F554" i="3"/>
  <c r="F555" i="3"/>
  <c r="F556" i="3"/>
  <c r="F557" i="3"/>
  <c r="F558" i="3"/>
  <c r="F559" i="3"/>
  <c r="F560" i="3"/>
  <c r="F561" i="3"/>
  <c r="F562" i="3"/>
  <c r="F563" i="3"/>
  <c r="F564" i="3"/>
  <c r="F565" i="3"/>
  <c r="F566" i="3"/>
  <c r="F567" i="3"/>
  <c r="F568" i="3"/>
  <c r="F569" i="3"/>
  <c r="F570" i="3"/>
  <c r="F571" i="3"/>
  <c r="F572" i="3"/>
  <c r="F573" i="3"/>
  <c r="F574" i="3"/>
  <c r="F575" i="3"/>
  <c r="F576" i="3"/>
  <c r="F577" i="3"/>
  <c r="F578" i="3"/>
  <c r="F579" i="3"/>
  <c r="F580" i="3"/>
  <c r="F581" i="3"/>
  <c r="F582" i="3"/>
  <c r="F583" i="3"/>
  <c r="F584" i="3"/>
  <c r="F585" i="3"/>
  <c r="F586" i="3"/>
  <c r="F587" i="3"/>
  <c r="F588" i="3"/>
  <c r="F589" i="3"/>
  <c r="F590" i="3"/>
  <c r="F591" i="3"/>
  <c r="F592" i="3"/>
  <c r="F593" i="3"/>
  <c r="F594" i="3"/>
  <c r="F595" i="3"/>
  <c r="F596" i="3"/>
  <c r="F597" i="3"/>
  <c r="F598" i="3"/>
  <c r="F599" i="3"/>
  <c r="F600" i="3"/>
  <c r="F601" i="3"/>
  <c r="F602" i="3"/>
  <c r="F603" i="3"/>
  <c r="F604" i="3"/>
  <c r="F605" i="3"/>
  <c r="F606" i="3"/>
  <c r="F607" i="3"/>
  <c r="F608" i="3"/>
  <c r="F609" i="3"/>
  <c r="F610" i="3"/>
  <c r="F611" i="3"/>
  <c r="F612" i="3"/>
  <c r="F613" i="3"/>
  <c r="F614" i="3"/>
  <c r="F615" i="3"/>
  <c r="F616" i="3"/>
  <c r="F617" i="3"/>
  <c r="F618" i="3"/>
  <c r="F619" i="3"/>
  <c r="F620" i="3"/>
  <c r="F621" i="3"/>
  <c r="F622" i="3"/>
  <c r="F623" i="3"/>
  <c r="F624" i="3"/>
  <c r="F625" i="3"/>
  <c r="F626" i="3"/>
  <c r="F627" i="3"/>
  <c r="F628" i="3"/>
  <c r="F629" i="3"/>
  <c r="F630" i="3"/>
  <c r="F631" i="3"/>
  <c r="F632" i="3"/>
  <c r="F633" i="3"/>
  <c r="F634" i="3"/>
  <c r="F635" i="3"/>
  <c r="F636" i="3"/>
  <c r="F637" i="3"/>
  <c r="F638" i="3"/>
  <c r="F639" i="3"/>
  <c r="F640" i="3"/>
  <c r="F641" i="3"/>
  <c r="F642" i="3"/>
  <c r="F643" i="3"/>
  <c r="F644" i="3"/>
  <c r="F645" i="3"/>
  <c r="F646" i="3"/>
  <c r="F647" i="3"/>
  <c r="F648" i="3"/>
  <c r="F649" i="3"/>
  <c r="F650" i="3"/>
  <c r="F651" i="3"/>
  <c r="F652" i="3"/>
  <c r="F653" i="3"/>
  <c r="F654" i="3"/>
  <c r="F655" i="3"/>
  <c r="F656" i="3"/>
  <c r="F657" i="3"/>
  <c r="F658" i="3"/>
  <c r="F659" i="3"/>
  <c r="F660" i="3"/>
  <c r="F661" i="3"/>
  <c r="F662" i="3"/>
  <c r="F663" i="3"/>
  <c r="F664" i="3"/>
  <c r="F665" i="3"/>
  <c r="F666" i="3"/>
  <c r="F667" i="3"/>
  <c r="F668" i="3"/>
  <c r="F669" i="3"/>
  <c r="F670" i="3"/>
  <c r="F671" i="3"/>
  <c r="F672" i="3"/>
  <c r="F673" i="3"/>
  <c r="F674" i="3"/>
  <c r="F675" i="3"/>
  <c r="F676" i="3"/>
  <c r="F677" i="3"/>
  <c r="F678" i="3"/>
  <c r="F679" i="3"/>
  <c r="F680" i="3"/>
  <c r="F681" i="3"/>
  <c r="F682" i="3"/>
  <c r="F683" i="3"/>
  <c r="F684" i="3"/>
  <c r="F685" i="3"/>
  <c r="F686" i="3"/>
  <c r="F687" i="3"/>
  <c r="F688" i="3"/>
  <c r="F689" i="3"/>
  <c r="F690" i="3"/>
  <c r="F691" i="3"/>
  <c r="F692" i="3"/>
  <c r="F693" i="3"/>
  <c r="F694" i="3"/>
  <c r="F695" i="3"/>
  <c r="F696" i="3"/>
  <c r="F697" i="3"/>
  <c r="F698" i="3"/>
  <c r="F699" i="3"/>
  <c r="F700" i="3"/>
  <c r="F701" i="3"/>
  <c r="F702" i="3"/>
  <c r="F703" i="3"/>
  <c r="F704" i="3"/>
  <c r="F705" i="3"/>
  <c r="F706" i="3"/>
  <c r="F707" i="3"/>
  <c r="F708" i="3"/>
  <c r="F709" i="3"/>
  <c r="F710" i="3"/>
  <c r="F711" i="3"/>
  <c r="F712" i="3"/>
  <c r="F713" i="3"/>
  <c r="F714" i="3"/>
  <c r="F715" i="3"/>
  <c r="F716" i="3"/>
  <c r="F717" i="3"/>
  <c r="F718" i="3"/>
  <c r="F719" i="3"/>
  <c r="F720" i="3"/>
  <c r="F721" i="3"/>
  <c r="F722" i="3"/>
  <c r="F723" i="3"/>
  <c r="F724" i="3"/>
  <c r="F725" i="3"/>
  <c r="F726" i="3"/>
  <c r="F727" i="3"/>
  <c r="F728" i="3"/>
  <c r="F729" i="3"/>
  <c r="F730" i="3"/>
  <c r="F731" i="3"/>
  <c r="F732" i="3"/>
  <c r="F733" i="3"/>
  <c r="F734" i="3"/>
  <c r="F735" i="3"/>
  <c r="F736" i="3"/>
  <c r="F737" i="3"/>
  <c r="F738" i="3"/>
  <c r="F739" i="3"/>
  <c r="F740" i="3"/>
  <c r="F741" i="3"/>
  <c r="F742" i="3"/>
  <c r="F743" i="3"/>
  <c r="F744" i="3"/>
  <c r="F745" i="3"/>
  <c r="F746" i="3"/>
  <c r="F747" i="3"/>
  <c r="F748" i="3"/>
  <c r="F749" i="3"/>
  <c r="F750" i="3"/>
  <c r="F751" i="3"/>
  <c r="F752" i="3"/>
  <c r="F753" i="3"/>
  <c r="F754" i="3"/>
  <c r="F755" i="3"/>
  <c r="F756" i="3"/>
  <c r="F757" i="3"/>
  <c r="F758" i="3"/>
  <c r="F759" i="3"/>
  <c r="F760" i="3"/>
  <c r="F761" i="3"/>
  <c r="F762" i="3"/>
  <c r="F763" i="3"/>
  <c r="F764" i="3"/>
  <c r="F765" i="3"/>
  <c r="F766" i="3"/>
  <c r="F767" i="3"/>
  <c r="F768" i="3"/>
  <c r="F769" i="3"/>
  <c r="F770" i="3"/>
  <c r="F771" i="3"/>
  <c r="F772" i="3"/>
  <c r="F773" i="3"/>
  <c r="F774" i="3"/>
  <c r="F775" i="3"/>
  <c r="F776" i="3"/>
  <c r="F777" i="3"/>
  <c r="F778" i="3"/>
  <c r="F779" i="3"/>
  <c r="F780" i="3"/>
  <c r="F781" i="3"/>
  <c r="F782" i="3"/>
  <c r="F783" i="3"/>
  <c r="F784" i="3"/>
  <c r="F785" i="3"/>
  <c r="F786" i="3"/>
  <c r="F787" i="3"/>
  <c r="F788" i="3"/>
  <c r="F789" i="3"/>
  <c r="F790" i="3"/>
  <c r="F791" i="3"/>
  <c r="F792" i="3"/>
  <c r="F793" i="3"/>
  <c r="F794" i="3"/>
  <c r="F795" i="3"/>
  <c r="F796" i="3"/>
  <c r="F797" i="3"/>
  <c r="F798" i="3"/>
  <c r="F799" i="3"/>
  <c r="F800" i="3"/>
  <c r="F801" i="3"/>
  <c r="F802" i="3"/>
  <c r="F803" i="3"/>
  <c r="F804" i="3"/>
  <c r="F805" i="3"/>
  <c r="F806" i="3"/>
  <c r="F807" i="3"/>
  <c r="F808" i="3"/>
  <c r="F809" i="3"/>
  <c r="F810" i="3"/>
  <c r="F811" i="3"/>
  <c r="F812" i="3"/>
  <c r="F813" i="3"/>
  <c r="F814" i="3"/>
  <c r="F815" i="3"/>
  <c r="F816" i="3"/>
  <c r="F817" i="3"/>
  <c r="F818" i="3"/>
  <c r="F819" i="3"/>
  <c r="F820" i="3"/>
  <c r="F821" i="3"/>
  <c r="F822" i="3"/>
  <c r="F823" i="3"/>
  <c r="F824" i="3"/>
  <c r="F825" i="3"/>
  <c r="F826" i="3"/>
  <c r="F827" i="3"/>
  <c r="F828" i="3"/>
  <c r="F829" i="3"/>
  <c r="F830" i="3"/>
  <c r="F831" i="3"/>
  <c r="F832" i="3"/>
  <c r="F833" i="3"/>
  <c r="F834" i="3"/>
  <c r="F835" i="3"/>
  <c r="F836" i="3"/>
  <c r="F837" i="3"/>
  <c r="F838" i="3"/>
  <c r="F839" i="3"/>
  <c r="F840" i="3"/>
  <c r="F841" i="3"/>
  <c r="F842" i="3"/>
  <c r="F843" i="3"/>
  <c r="F844" i="3"/>
  <c r="F845" i="3"/>
  <c r="F846" i="3"/>
  <c r="F847" i="3"/>
  <c r="F848" i="3"/>
  <c r="F849" i="3"/>
  <c r="F850" i="3"/>
  <c r="F851" i="3"/>
  <c r="F852" i="3"/>
  <c r="F853" i="3"/>
  <c r="F854" i="3"/>
  <c r="F855" i="3"/>
  <c r="F856" i="3"/>
  <c r="F857" i="3"/>
  <c r="F858" i="3"/>
  <c r="F859" i="3"/>
  <c r="F860" i="3"/>
  <c r="F861" i="3"/>
  <c r="F862" i="3"/>
  <c r="F863" i="3"/>
  <c r="F864" i="3"/>
  <c r="F865" i="3"/>
  <c r="F866" i="3"/>
  <c r="F867" i="3"/>
  <c r="F868" i="3"/>
  <c r="F869" i="3"/>
  <c r="F870" i="3"/>
  <c r="F871" i="3"/>
  <c r="F872" i="3"/>
  <c r="F873" i="3"/>
  <c r="F874" i="3"/>
  <c r="F875" i="3"/>
  <c r="F876" i="3"/>
  <c r="F877" i="3"/>
  <c r="F878" i="3"/>
  <c r="F879" i="3"/>
  <c r="F880" i="3"/>
  <c r="F881" i="3"/>
  <c r="F882" i="3"/>
  <c r="F883" i="3"/>
  <c r="F884" i="3"/>
  <c r="F885" i="3"/>
  <c r="F886" i="3"/>
  <c r="F887" i="3"/>
  <c r="F888" i="3"/>
  <c r="F889" i="3"/>
  <c r="F890" i="3"/>
  <c r="F891" i="3"/>
  <c r="F892" i="3"/>
  <c r="F893" i="3"/>
  <c r="F894" i="3"/>
  <c r="F895" i="3"/>
  <c r="F896" i="3"/>
  <c r="F897" i="3"/>
  <c r="F898" i="3"/>
  <c r="F899" i="3"/>
  <c r="F900" i="3"/>
  <c r="F901" i="3"/>
  <c r="F902" i="3"/>
  <c r="F903" i="3"/>
  <c r="F904" i="3"/>
  <c r="F905" i="3"/>
  <c r="F906" i="3"/>
  <c r="F907" i="3"/>
  <c r="F908" i="3"/>
  <c r="F909" i="3"/>
  <c r="F910" i="3"/>
  <c r="F911" i="3"/>
  <c r="F912" i="3"/>
  <c r="F913" i="3"/>
  <c r="F914" i="3"/>
  <c r="F915" i="3"/>
  <c r="F916" i="3"/>
  <c r="F917" i="3"/>
  <c r="F918" i="3"/>
  <c r="F919" i="3"/>
  <c r="F920" i="3"/>
  <c r="F921" i="3"/>
  <c r="F922" i="3"/>
  <c r="F923" i="3"/>
  <c r="F924" i="3"/>
  <c r="F925" i="3"/>
  <c r="F926" i="3"/>
  <c r="F927" i="3"/>
  <c r="F928" i="3"/>
  <c r="F929" i="3"/>
  <c r="F930" i="3"/>
  <c r="F931" i="3"/>
  <c r="F932" i="3"/>
  <c r="F933" i="3"/>
  <c r="F934" i="3"/>
  <c r="F935" i="3"/>
  <c r="F936" i="3"/>
  <c r="F937" i="3"/>
  <c r="F938" i="3"/>
  <c r="F939" i="3"/>
  <c r="F940" i="3"/>
  <c r="F941" i="3"/>
  <c r="A7" i="78"/>
  <c r="B7" i="78"/>
  <c r="A8" i="78"/>
  <c r="B8" i="78"/>
  <c r="A9" i="78"/>
  <c r="B9" i="78"/>
  <c r="A10" i="78"/>
  <c r="B10" i="78"/>
  <c r="A11" i="78"/>
  <c r="B11" i="78"/>
  <c r="A12" i="78"/>
  <c r="B12" i="78"/>
  <c r="A13" i="78"/>
  <c r="B13" i="78"/>
  <c r="A14" i="78"/>
  <c r="B14" i="78"/>
  <c r="A15" i="78"/>
  <c r="B15" i="78"/>
  <c r="A16" i="78"/>
  <c r="B16" i="78"/>
  <c r="A17" i="78"/>
  <c r="B17" i="78"/>
  <c r="A18" i="78"/>
  <c r="B18" i="78"/>
  <c r="A19" i="78"/>
  <c r="B19" i="78"/>
  <c r="A20" i="78"/>
  <c r="B20" i="78"/>
  <c r="A21" i="78"/>
  <c r="B21" i="78"/>
  <c r="A22" i="78"/>
  <c r="B22" i="78"/>
  <c r="A23" i="78"/>
  <c r="B23" i="78"/>
  <c r="A24" i="78"/>
  <c r="B24" i="78"/>
  <c r="A25" i="78"/>
  <c r="B25" i="78"/>
  <c r="A26" i="78"/>
  <c r="B26" i="78"/>
  <c r="A27" i="78"/>
  <c r="B27" i="78"/>
  <c r="A28" i="78"/>
  <c r="B28" i="78"/>
  <c r="A29" i="78"/>
  <c r="B29" i="78"/>
  <c r="A30" i="78"/>
  <c r="B30" i="78"/>
  <c r="A31" i="78"/>
  <c r="B31" i="78"/>
  <c r="A32" i="78"/>
  <c r="B32" i="78"/>
  <c r="A33" i="78"/>
  <c r="B33" i="78"/>
  <c r="A34" i="78"/>
  <c r="B34" i="78"/>
  <c r="A35" i="78"/>
  <c r="B35" i="78"/>
  <c r="A36" i="78"/>
  <c r="B36" i="78"/>
  <c r="A37" i="78"/>
  <c r="B37" i="78"/>
  <c r="A38" i="78"/>
  <c r="B38" i="78"/>
  <c r="A39" i="78"/>
  <c r="B39" i="78"/>
  <c r="A40" i="78"/>
  <c r="B40" i="78"/>
  <c r="A41" i="78"/>
  <c r="B41" i="78"/>
  <c r="A42" i="78"/>
  <c r="B42" i="78"/>
  <c r="A43" i="78"/>
  <c r="B43" i="78"/>
  <c r="A44" i="78"/>
  <c r="B44" i="78"/>
  <c r="A45" i="78"/>
  <c r="B45" i="78"/>
  <c r="A46" i="78"/>
  <c r="B46" i="78"/>
  <c r="A47" i="78"/>
  <c r="B47" i="78"/>
  <c r="A6" i="78"/>
  <c r="B6" i="78"/>
  <c r="G20" i="66"/>
  <c r="O20" i="66"/>
  <c r="E20" i="66"/>
  <c r="M20" i="66"/>
  <c r="C20" i="66"/>
  <c r="B6" i="88"/>
  <c r="B7" i="88"/>
  <c r="L47" i="66"/>
  <c r="L25" i="66"/>
  <c r="Q11" i="66"/>
  <c r="Q10" i="66"/>
  <c r="Q9" i="66"/>
  <c r="Q8" i="66"/>
  <c r="Q7" i="66"/>
  <c r="Q6" i="66"/>
  <c r="Q5" i="66"/>
  <c r="Q3" i="66"/>
  <c r="L3" i="66"/>
  <c r="H55" i="66"/>
  <c r="H54" i="66"/>
  <c r="H53" i="66"/>
  <c r="H52" i="66"/>
  <c r="H51" i="66"/>
  <c r="H50" i="66"/>
  <c r="H49" i="66"/>
  <c r="H47" i="66"/>
  <c r="C47" i="66"/>
  <c r="H33" i="66"/>
  <c r="H32" i="66"/>
  <c r="H31" i="66"/>
  <c r="H30" i="66"/>
  <c r="H29" i="66"/>
  <c r="H28" i="66"/>
  <c r="H27" i="66"/>
  <c r="H25" i="66"/>
  <c r="C25" i="66"/>
  <c r="H11" i="66"/>
  <c r="H6" i="66"/>
  <c r="H34" i="66"/>
  <c r="H57" i="66"/>
  <c r="H20" i="66"/>
  <c r="H21" i="66"/>
  <c r="H22" i="66"/>
  <c r="H23" i="66"/>
  <c r="B5" i="88" l="1"/>
  <c r="H19" i="66"/>
  <c r="H59" i="66"/>
  <c r="H60" i="66"/>
  <c r="H17" i="66"/>
  <c r="H18" i="66"/>
  <c r="H36" i="66"/>
  <c r="H26" i="66"/>
  <c r="K20" i="66"/>
  <c r="Q65" i="66"/>
  <c r="Q34" i="66"/>
  <c r="Q59" i="66"/>
  <c r="Q67" i="66"/>
  <c r="Q63" i="66"/>
  <c r="Q61" i="66"/>
  <c r="Q26" i="66"/>
  <c r="Q38" i="66"/>
  <c r="Q42" i="66"/>
  <c r="Q37" i="66"/>
  <c r="Q41" i="66"/>
  <c r="Q45" i="66"/>
  <c r="Q58" i="66"/>
  <c r="Q62" i="66"/>
  <c r="Q66" i="66"/>
  <c r="Q36" i="66"/>
  <c r="Q40" i="66"/>
  <c r="Q44" i="66"/>
  <c r="Q57" i="66"/>
  <c r="Q35" i="66"/>
  <c r="Q39" i="66"/>
  <c r="Q43" i="66"/>
  <c r="Q48" i="66"/>
  <c r="Q56" i="66"/>
  <c r="Q60" i="66"/>
  <c r="Q64" i="66"/>
  <c r="K64" i="66"/>
  <c r="C42" i="66"/>
  <c r="L64" i="66"/>
  <c r="F42" i="66"/>
  <c r="N42" i="66"/>
  <c r="B42" i="66"/>
  <c r="P64" i="66"/>
  <c r="G42" i="66"/>
  <c r="O64" i="66"/>
  <c r="E64" i="66"/>
  <c r="D64" i="66"/>
  <c r="E42" i="66"/>
  <c r="L42" i="66"/>
  <c r="P42" i="66"/>
  <c r="N64" i="66"/>
  <c r="C64" i="66"/>
  <c r="G64" i="66"/>
  <c r="M42" i="66"/>
  <c r="D42" i="66"/>
  <c r="K42" i="66"/>
  <c r="O42" i="66"/>
  <c r="M64" i="66"/>
  <c r="B64" i="66"/>
  <c r="F64" i="66"/>
  <c r="P20" i="66"/>
  <c r="L20" i="66"/>
  <c r="N20" i="66"/>
  <c r="B20" i="66"/>
  <c r="F20" i="66"/>
  <c r="D20" i="66"/>
  <c r="H38" i="66"/>
  <c r="H64" i="66"/>
  <c r="Q17" i="66"/>
  <c r="Q16" i="66"/>
  <c r="Q12" i="66"/>
  <c r="Q20" i="66"/>
  <c r="Q13" i="66"/>
  <c r="Q23" i="66"/>
  <c r="Q14" i="66"/>
  <c r="Q18" i="66"/>
  <c r="Q21" i="66"/>
  <c r="Q4" i="66"/>
  <c r="Q15" i="66"/>
  <c r="Q19" i="66"/>
  <c r="Q22" i="66"/>
  <c r="H45" i="66"/>
  <c r="H42" i="66"/>
  <c r="H62" i="66"/>
  <c r="H35" i="66"/>
  <c r="H58" i="66"/>
  <c r="H65" i="66"/>
  <c r="H37" i="66"/>
  <c r="H41" i="66"/>
  <c r="H44" i="66"/>
  <c r="H48" i="66"/>
  <c r="H56" i="66"/>
  <c r="H67" i="66"/>
  <c r="H39" i="66"/>
  <c r="H61" i="66"/>
  <c r="H40" i="66"/>
  <c r="H43" i="66"/>
  <c r="H63" i="66"/>
  <c r="H66" i="66"/>
  <c r="L2" i="3"/>
  <c r="L3" i="3"/>
  <c r="L4" i="3"/>
  <c r="L5" i="3"/>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208" i="3"/>
  <c r="L209" i="3"/>
  <c r="L210" i="3"/>
  <c r="L211" i="3"/>
  <c r="L212" i="3"/>
  <c r="L213" i="3"/>
  <c r="L214" i="3"/>
  <c r="L215" i="3"/>
  <c r="L216" i="3"/>
  <c r="L217" i="3"/>
  <c r="L218" i="3"/>
  <c r="L219" i="3"/>
  <c r="L220" i="3"/>
  <c r="L221" i="3"/>
  <c r="L222" i="3"/>
  <c r="L223" i="3"/>
  <c r="L224" i="3"/>
  <c r="L225" i="3"/>
  <c r="L226" i="3"/>
  <c r="L227" i="3"/>
  <c r="L228" i="3"/>
  <c r="L229" i="3"/>
  <c r="L230" i="3"/>
  <c r="L231" i="3"/>
  <c r="L232" i="3"/>
  <c r="L233" i="3"/>
  <c r="L234" i="3"/>
  <c r="L235" i="3"/>
  <c r="L236" i="3"/>
  <c r="L237" i="3"/>
  <c r="L238" i="3"/>
  <c r="L239" i="3"/>
  <c r="L240" i="3"/>
  <c r="L241" i="3"/>
  <c r="L242" i="3"/>
  <c r="L243" i="3"/>
  <c r="L244" i="3"/>
  <c r="L245" i="3"/>
  <c r="L246" i="3"/>
  <c r="L247" i="3"/>
  <c r="L248" i="3"/>
  <c r="L249" i="3"/>
  <c r="L250" i="3"/>
  <c r="L251" i="3"/>
  <c r="L252" i="3"/>
  <c r="L253" i="3"/>
  <c r="L254" i="3"/>
  <c r="L255" i="3"/>
  <c r="L256" i="3"/>
  <c r="L257" i="3"/>
  <c r="L258" i="3"/>
  <c r="L259" i="3"/>
  <c r="L260" i="3"/>
  <c r="L261" i="3"/>
  <c r="L262" i="3"/>
  <c r="L263" i="3"/>
  <c r="L264" i="3"/>
  <c r="L265" i="3"/>
  <c r="L266" i="3"/>
  <c r="L267" i="3"/>
  <c r="L268" i="3"/>
  <c r="L269" i="3"/>
  <c r="L270" i="3"/>
  <c r="L271" i="3"/>
  <c r="L272" i="3"/>
  <c r="L273" i="3"/>
  <c r="L274" i="3"/>
  <c r="L275" i="3"/>
  <c r="L276" i="3"/>
  <c r="L277" i="3"/>
  <c r="L278" i="3"/>
  <c r="L279" i="3"/>
  <c r="L280" i="3"/>
  <c r="L281" i="3"/>
  <c r="L282" i="3"/>
  <c r="L283" i="3"/>
  <c r="L284" i="3"/>
  <c r="L285" i="3"/>
  <c r="L286" i="3"/>
  <c r="L287" i="3"/>
  <c r="L288" i="3"/>
  <c r="L289" i="3"/>
  <c r="L290" i="3"/>
  <c r="L291" i="3"/>
  <c r="L292" i="3"/>
  <c r="L293" i="3"/>
  <c r="L294" i="3"/>
  <c r="L295" i="3"/>
  <c r="L296" i="3"/>
  <c r="L297" i="3"/>
  <c r="L298" i="3"/>
  <c r="L299" i="3"/>
  <c r="L300" i="3"/>
  <c r="L301" i="3"/>
  <c r="L302" i="3"/>
  <c r="L303" i="3"/>
  <c r="L304" i="3"/>
  <c r="L305" i="3"/>
  <c r="L306" i="3"/>
  <c r="L307" i="3"/>
  <c r="L308" i="3"/>
  <c r="L309" i="3"/>
  <c r="L310" i="3"/>
  <c r="L311" i="3"/>
  <c r="L312" i="3"/>
  <c r="L313" i="3"/>
  <c r="L314" i="3"/>
  <c r="L315" i="3"/>
  <c r="L316" i="3"/>
  <c r="L317" i="3"/>
  <c r="L318" i="3"/>
  <c r="L319" i="3"/>
  <c r="L320" i="3"/>
  <c r="L321" i="3"/>
  <c r="L322" i="3"/>
  <c r="L323" i="3"/>
  <c r="L324" i="3"/>
  <c r="L325" i="3"/>
  <c r="L326" i="3"/>
  <c r="L327" i="3"/>
  <c r="L328" i="3"/>
  <c r="L329" i="3"/>
  <c r="L330" i="3"/>
  <c r="L331" i="3"/>
  <c r="L332" i="3"/>
  <c r="L333" i="3"/>
  <c r="L334" i="3"/>
  <c r="L335" i="3"/>
  <c r="L336" i="3"/>
  <c r="L337" i="3"/>
  <c r="L338" i="3"/>
  <c r="L339" i="3"/>
  <c r="L340" i="3"/>
  <c r="L341" i="3"/>
  <c r="L342" i="3"/>
  <c r="L343" i="3"/>
  <c r="L344" i="3"/>
  <c r="L345" i="3"/>
  <c r="L346" i="3"/>
  <c r="L347" i="3"/>
  <c r="L348" i="3"/>
  <c r="L349" i="3"/>
  <c r="L350" i="3"/>
  <c r="L351" i="3"/>
  <c r="L352" i="3"/>
  <c r="L353" i="3"/>
  <c r="L354" i="3"/>
  <c r="L355" i="3"/>
  <c r="L356" i="3"/>
  <c r="L357" i="3"/>
  <c r="L358" i="3"/>
  <c r="L359" i="3"/>
  <c r="L360" i="3"/>
  <c r="L361" i="3"/>
  <c r="L362" i="3"/>
  <c r="L363" i="3"/>
  <c r="L364" i="3"/>
  <c r="L365" i="3"/>
  <c r="L366" i="3"/>
  <c r="L367" i="3"/>
  <c r="L368" i="3"/>
  <c r="L369" i="3"/>
  <c r="L370" i="3"/>
  <c r="L371" i="3"/>
  <c r="L372" i="3"/>
  <c r="L373" i="3"/>
  <c r="L374" i="3"/>
  <c r="L375" i="3"/>
  <c r="L376" i="3"/>
  <c r="L377" i="3"/>
  <c r="L378" i="3"/>
  <c r="L379" i="3"/>
  <c r="L380" i="3"/>
  <c r="L381" i="3"/>
  <c r="L382" i="3"/>
  <c r="L383" i="3"/>
  <c r="L384" i="3"/>
  <c r="L385" i="3"/>
  <c r="L386" i="3"/>
  <c r="L387" i="3"/>
  <c r="L388" i="3"/>
  <c r="L389" i="3"/>
  <c r="L390" i="3"/>
  <c r="L391" i="3"/>
  <c r="L392" i="3"/>
  <c r="L393" i="3"/>
  <c r="L394" i="3"/>
  <c r="L395" i="3"/>
  <c r="L396" i="3"/>
  <c r="L397" i="3"/>
  <c r="L398" i="3"/>
  <c r="L399" i="3"/>
  <c r="L400" i="3"/>
  <c r="L401" i="3"/>
  <c r="L402" i="3"/>
  <c r="L403" i="3"/>
  <c r="L404" i="3"/>
  <c r="L405" i="3"/>
  <c r="L406" i="3"/>
  <c r="L407" i="3"/>
  <c r="L408" i="3"/>
  <c r="L409" i="3"/>
  <c r="L410" i="3"/>
  <c r="L411" i="3"/>
  <c r="L412" i="3"/>
  <c r="L413" i="3"/>
  <c r="L414" i="3"/>
  <c r="L415" i="3"/>
  <c r="L416" i="3"/>
  <c r="L417" i="3"/>
  <c r="L418" i="3"/>
  <c r="L419" i="3"/>
  <c r="L420" i="3"/>
  <c r="L421" i="3"/>
  <c r="L422" i="3"/>
  <c r="L423" i="3"/>
  <c r="L424" i="3"/>
  <c r="L425" i="3"/>
  <c r="L426" i="3"/>
  <c r="L427" i="3"/>
  <c r="L428" i="3"/>
  <c r="L429" i="3"/>
  <c r="L430" i="3"/>
  <c r="L431" i="3"/>
  <c r="L432" i="3"/>
  <c r="L433" i="3"/>
  <c r="L434" i="3"/>
  <c r="L435" i="3"/>
  <c r="L436" i="3"/>
  <c r="L437" i="3"/>
  <c r="L438" i="3"/>
  <c r="L439" i="3"/>
  <c r="L440" i="3"/>
  <c r="L441" i="3"/>
  <c r="L442" i="3"/>
  <c r="L443" i="3"/>
  <c r="L444" i="3"/>
  <c r="L445" i="3"/>
  <c r="L446" i="3"/>
  <c r="L447" i="3"/>
  <c r="L448" i="3"/>
  <c r="L449" i="3"/>
  <c r="L450" i="3"/>
  <c r="L451" i="3"/>
  <c r="L452" i="3"/>
  <c r="L453" i="3"/>
  <c r="L454" i="3"/>
  <c r="L455" i="3"/>
  <c r="L456" i="3"/>
  <c r="L457" i="3"/>
  <c r="L458" i="3"/>
  <c r="L459" i="3"/>
  <c r="L460" i="3"/>
  <c r="L461" i="3"/>
  <c r="L462" i="3"/>
  <c r="L463" i="3"/>
  <c r="L464" i="3"/>
  <c r="L465" i="3"/>
  <c r="L466" i="3"/>
  <c r="L467" i="3"/>
  <c r="L468" i="3"/>
  <c r="L469" i="3"/>
  <c r="L470" i="3"/>
  <c r="L471" i="3"/>
  <c r="L472" i="3"/>
  <c r="L473" i="3"/>
  <c r="L474" i="3"/>
  <c r="L475" i="3"/>
  <c r="L476" i="3"/>
  <c r="L477" i="3"/>
  <c r="L478" i="3"/>
  <c r="L479" i="3"/>
  <c r="L480" i="3"/>
  <c r="L481" i="3"/>
  <c r="L482" i="3"/>
  <c r="L483" i="3"/>
  <c r="L484" i="3"/>
  <c r="L485" i="3"/>
  <c r="L486" i="3"/>
  <c r="L487" i="3"/>
  <c r="L488" i="3"/>
  <c r="L489" i="3"/>
  <c r="L490" i="3"/>
  <c r="L491" i="3"/>
  <c r="L492" i="3"/>
  <c r="L493" i="3"/>
  <c r="L494" i="3"/>
  <c r="L495" i="3"/>
  <c r="L496" i="3"/>
  <c r="L497" i="3"/>
  <c r="L498" i="3"/>
  <c r="L499" i="3"/>
  <c r="L500" i="3"/>
  <c r="L501" i="3"/>
  <c r="L502" i="3"/>
  <c r="L503" i="3"/>
  <c r="L504" i="3"/>
  <c r="L505" i="3"/>
  <c r="L506" i="3"/>
  <c r="L507" i="3"/>
  <c r="L508" i="3"/>
  <c r="L509" i="3"/>
  <c r="L510" i="3"/>
  <c r="L511" i="3"/>
  <c r="L512" i="3"/>
  <c r="L513" i="3"/>
  <c r="L514" i="3"/>
  <c r="L515" i="3"/>
  <c r="L516" i="3"/>
  <c r="L517" i="3"/>
  <c r="L518" i="3"/>
  <c r="L519" i="3"/>
  <c r="L520" i="3"/>
  <c r="L522" i="3"/>
  <c r="L523" i="3"/>
  <c r="L524" i="3"/>
  <c r="L525" i="3"/>
  <c r="L526" i="3"/>
  <c r="L527" i="3"/>
  <c r="L528" i="3"/>
  <c r="L529" i="3"/>
  <c r="L530" i="3"/>
  <c r="L531" i="3"/>
  <c r="L532" i="3"/>
  <c r="L533" i="3"/>
  <c r="L534" i="3"/>
  <c r="L535" i="3"/>
  <c r="L536" i="3"/>
  <c r="L537" i="3"/>
  <c r="L538" i="3"/>
  <c r="L539" i="3"/>
  <c r="L540" i="3"/>
  <c r="L541" i="3"/>
  <c r="L542" i="3"/>
  <c r="L543" i="3"/>
  <c r="L544" i="3"/>
  <c r="L545" i="3"/>
  <c r="L546" i="3"/>
  <c r="L547" i="3"/>
  <c r="L548" i="3"/>
  <c r="L549" i="3"/>
  <c r="L550" i="3"/>
  <c r="L551" i="3"/>
  <c r="L552" i="3"/>
  <c r="L553" i="3"/>
  <c r="L554" i="3"/>
  <c r="L555" i="3"/>
  <c r="L556" i="3"/>
  <c r="L557" i="3"/>
  <c r="L558" i="3"/>
  <c r="L559" i="3"/>
  <c r="L560" i="3"/>
  <c r="L561" i="3"/>
  <c r="L562" i="3"/>
  <c r="L563" i="3"/>
  <c r="L564" i="3"/>
  <c r="L565" i="3"/>
  <c r="L566" i="3"/>
  <c r="L567" i="3"/>
  <c r="L568" i="3"/>
  <c r="L569" i="3"/>
  <c r="L570" i="3"/>
  <c r="L571" i="3"/>
  <c r="L572" i="3"/>
  <c r="L573" i="3"/>
  <c r="L574" i="3"/>
  <c r="L575" i="3"/>
  <c r="L576" i="3"/>
  <c r="L577" i="3"/>
  <c r="L578" i="3"/>
  <c r="L579" i="3"/>
  <c r="L580" i="3"/>
  <c r="L581" i="3"/>
  <c r="L582" i="3"/>
  <c r="L583" i="3"/>
  <c r="L584" i="3"/>
  <c r="L585" i="3"/>
  <c r="L586" i="3"/>
  <c r="L587" i="3"/>
  <c r="L588" i="3"/>
  <c r="L589" i="3"/>
  <c r="L590" i="3"/>
  <c r="L591" i="3"/>
  <c r="L592" i="3"/>
  <c r="L593" i="3"/>
  <c r="L594" i="3"/>
  <c r="L595" i="3"/>
  <c r="L596" i="3"/>
  <c r="L597" i="3"/>
  <c r="L598" i="3"/>
  <c r="L599" i="3"/>
  <c r="L600" i="3"/>
  <c r="L601" i="3"/>
  <c r="L602" i="3"/>
  <c r="L603" i="3"/>
  <c r="L604" i="3"/>
  <c r="L605" i="3"/>
  <c r="L606" i="3"/>
  <c r="L607" i="3"/>
  <c r="L608" i="3"/>
  <c r="L609" i="3"/>
  <c r="L610" i="3"/>
  <c r="L611" i="3"/>
  <c r="L612" i="3"/>
  <c r="L613" i="3"/>
  <c r="L614" i="3"/>
  <c r="L615" i="3"/>
  <c r="L616" i="3"/>
  <c r="L617" i="3"/>
  <c r="L618" i="3"/>
  <c r="L619" i="3"/>
  <c r="L620" i="3"/>
  <c r="L621" i="3"/>
  <c r="L622" i="3"/>
  <c r="L623" i="3"/>
  <c r="L624" i="3"/>
  <c r="L625" i="3"/>
  <c r="L626" i="3"/>
  <c r="L627" i="3"/>
  <c r="L628" i="3"/>
  <c r="L629" i="3"/>
  <c r="L630" i="3"/>
  <c r="L631" i="3"/>
  <c r="L632" i="3"/>
  <c r="L633" i="3"/>
  <c r="L634" i="3"/>
  <c r="L635" i="3"/>
  <c r="L636" i="3"/>
  <c r="L637" i="3"/>
  <c r="L638" i="3"/>
  <c r="L639" i="3"/>
  <c r="L640" i="3"/>
  <c r="L641" i="3"/>
  <c r="L642" i="3"/>
  <c r="L643" i="3"/>
  <c r="L644" i="3"/>
  <c r="L645" i="3"/>
  <c r="L646" i="3"/>
  <c r="L647" i="3"/>
  <c r="L648" i="3"/>
  <c r="L649" i="3"/>
  <c r="L650" i="3"/>
  <c r="L651" i="3"/>
  <c r="L652" i="3"/>
  <c r="L653" i="3"/>
  <c r="L654" i="3"/>
  <c r="L655" i="3"/>
  <c r="L656" i="3"/>
  <c r="L657" i="3"/>
  <c r="L658" i="3"/>
  <c r="L659" i="3"/>
  <c r="L660" i="3"/>
  <c r="L661" i="3"/>
  <c r="L662" i="3"/>
  <c r="L663" i="3"/>
  <c r="L664" i="3"/>
  <c r="L665" i="3"/>
  <c r="L666" i="3"/>
  <c r="L667" i="3"/>
  <c r="L668" i="3"/>
  <c r="L669" i="3"/>
  <c r="L670" i="3"/>
  <c r="L671" i="3"/>
  <c r="L672" i="3"/>
  <c r="L673" i="3"/>
  <c r="L674" i="3"/>
  <c r="L675" i="3"/>
  <c r="L676" i="3"/>
  <c r="L677" i="3"/>
  <c r="L678" i="3"/>
  <c r="L679" i="3"/>
  <c r="L680" i="3"/>
  <c r="L681" i="3"/>
  <c r="L682" i="3"/>
  <c r="L683" i="3"/>
  <c r="L684" i="3"/>
  <c r="L685" i="3"/>
  <c r="L686" i="3"/>
  <c r="L687" i="3"/>
  <c r="L688" i="3"/>
  <c r="L689" i="3"/>
  <c r="L690" i="3"/>
  <c r="L691" i="3"/>
  <c r="L692" i="3"/>
  <c r="L693" i="3"/>
  <c r="L694" i="3"/>
  <c r="L695" i="3"/>
  <c r="L696" i="3"/>
  <c r="L697" i="3"/>
  <c r="L698" i="3"/>
  <c r="L699" i="3"/>
  <c r="L700" i="3"/>
  <c r="L701" i="3"/>
  <c r="L702" i="3"/>
  <c r="L703" i="3"/>
  <c r="L704" i="3"/>
  <c r="L705" i="3"/>
  <c r="L706" i="3"/>
  <c r="L707" i="3"/>
  <c r="L708" i="3"/>
  <c r="L709" i="3"/>
  <c r="L710" i="3"/>
  <c r="L711" i="3"/>
  <c r="L712" i="3"/>
  <c r="L713" i="3"/>
  <c r="L714" i="3"/>
  <c r="L715" i="3"/>
  <c r="L716" i="3"/>
  <c r="L717" i="3"/>
  <c r="L718" i="3"/>
  <c r="L719" i="3"/>
  <c r="L720" i="3"/>
  <c r="L721" i="3"/>
  <c r="L722" i="3"/>
  <c r="L723" i="3"/>
  <c r="L724" i="3"/>
  <c r="L725" i="3"/>
  <c r="L726" i="3"/>
  <c r="L727" i="3"/>
  <c r="L728" i="3"/>
  <c r="L729" i="3"/>
  <c r="L730" i="3"/>
  <c r="L731" i="3"/>
  <c r="L732" i="3"/>
  <c r="L733" i="3"/>
  <c r="L734" i="3"/>
  <c r="L735" i="3"/>
  <c r="L736" i="3"/>
  <c r="L737" i="3"/>
  <c r="L738" i="3"/>
  <c r="L739" i="3"/>
  <c r="L740" i="3"/>
  <c r="L741" i="3"/>
  <c r="L742" i="3"/>
  <c r="L743" i="3"/>
  <c r="L744" i="3"/>
  <c r="L745" i="3"/>
  <c r="L746" i="3"/>
  <c r="L747" i="3"/>
  <c r="L748" i="3"/>
  <c r="L749" i="3"/>
  <c r="L750" i="3"/>
  <c r="L751" i="3"/>
  <c r="L752" i="3"/>
  <c r="L753" i="3"/>
  <c r="L754" i="3"/>
  <c r="L755" i="3"/>
  <c r="L756" i="3"/>
  <c r="L757" i="3"/>
  <c r="L758" i="3"/>
  <c r="L759" i="3"/>
  <c r="L760" i="3"/>
  <c r="L761" i="3"/>
  <c r="L762" i="3"/>
  <c r="L763" i="3"/>
  <c r="L764" i="3"/>
  <c r="L765" i="3"/>
  <c r="L766" i="3"/>
  <c r="L767" i="3"/>
  <c r="L768" i="3"/>
  <c r="L769" i="3"/>
  <c r="L770" i="3"/>
  <c r="L771" i="3"/>
  <c r="L772" i="3"/>
  <c r="L773" i="3"/>
  <c r="L774" i="3"/>
  <c r="L775" i="3"/>
  <c r="L776" i="3"/>
  <c r="L777" i="3"/>
  <c r="L778" i="3"/>
  <c r="L779" i="3"/>
  <c r="L780" i="3"/>
  <c r="L781" i="3"/>
  <c r="L782" i="3"/>
  <c r="L783" i="3"/>
  <c r="L784" i="3"/>
  <c r="L785" i="3"/>
  <c r="L786" i="3"/>
  <c r="L787" i="3"/>
  <c r="L788" i="3"/>
  <c r="L789" i="3"/>
  <c r="L790" i="3"/>
  <c r="L791" i="3"/>
  <c r="L792" i="3"/>
  <c r="L793" i="3"/>
  <c r="L794" i="3"/>
  <c r="L795" i="3"/>
  <c r="L796" i="3"/>
  <c r="L797" i="3"/>
  <c r="L798" i="3"/>
  <c r="L799" i="3"/>
  <c r="L800" i="3"/>
  <c r="L801" i="3"/>
  <c r="L802" i="3"/>
  <c r="L803" i="3"/>
  <c r="L804" i="3"/>
  <c r="L805" i="3"/>
  <c r="L806" i="3"/>
  <c r="L807" i="3"/>
  <c r="L808" i="3"/>
  <c r="L809" i="3"/>
  <c r="L810" i="3"/>
  <c r="L811" i="3"/>
  <c r="L812" i="3"/>
  <c r="L813" i="3"/>
  <c r="L814" i="3"/>
  <c r="L815" i="3"/>
  <c r="L816" i="3"/>
  <c r="L817" i="3"/>
  <c r="L818" i="3"/>
  <c r="L819" i="3"/>
  <c r="L820" i="3"/>
  <c r="L821" i="3"/>
  <c r="L822" i="3"/>
  <c r="L823" i="3"/>
  <c r="L824" i="3"/>
  <c r="L825" i="3"/>
  <c r="L826" i="3"/>
  <c r="L827" i="3"/>
  <c r="L828" i="3"/>
  <c r="L829" i="3"/>
  <c r="L830" i="3"/>
  <c r="L831" i="3"/>
  <c r="L832" i="3"/>
  <c r="L833" i="3"/>
  <c r="L834" i="3"/>
  <c r="L835" i="3"/>
  <c r="L836" i="3"/>
  <c r="L837" i="3"/>
  <c r="L838" i="3"/>
  <c r="L839" i="3"/>
  <c r="L840" i="3"/>
  <c r="L841" i="3"/>
  <c r="L842" i="3"/>
  <c r="L843" i="3"/>
  <c r="L844" i="3"/>
  <c r="L845" i="3"/>
  <c r="L846" i="3"/>
  <c r="L847" i="3"/>
  <c r="L848" i="3"/>
  <c r="L849" i="3"/>
  <c r="L850" i="3"/>
  <c r="L851" i="3"/>
  <c r="L852" i="3"/>
  <c r="L853" i="3"/>
  <c r="L854" i="3"/>
  <c r="L855" i="3"/>
  <c r="L856" i="3"/>
  <c r="L857" i="3"/>
  <c r="L858" i="3"/>
  <c r="L859" i="3"/>
  <c r="L860" i="3"/>
  <c r="L861" i="3"/>
  <c r="L862" i="3"/>
  <c r="L863" i="3"/>
  <c r="L864" i="3"/>
  <c r="L865" i="3"/>
  <c r="L866" i="3"/>
  <c r="L867" i="3"/>
  <c r="L868" i="3"/>
  <c r="L869" i="3"/>
  <c r="L870" i="3"/>
  <c r="L871" i="3"/>
  <c r="L872" i="3"/>
  <c r="L873" i="3"/>
  <c r="L874" i="3"/>
  <c r="L875" i="3"/>
  <c r="L876" i="3"/>
  <c r="L877" i="3"/>
  <c r="L878" i="3"/>
  <c r="L879" i="3"/>
  <c r="L880" i="3"/>
  <c r="L881" i="3"/>
  <c r="L882" i="3"/>
  <c r="L883" i="3"/>
  <c r="L884" i="3"/>
  <c r="L885" i="3"/>
  <c r="L886" i="3"/>
  <c r="L887" i="3"/>
  <c r="L888" i="3"/>
  <c r="L889" i="3"/>
  <c r="L890" i="3"/>
  <c r="L891" i="3"/>
  <c r="L892" i="3"/>
  <c r="L893" i="3"/>
  <c r="L894" i="3"/>
  <c r="L895" i="3"/>
  <c r="L896" i="3"/>
  <c r="L897" i="3"/>
  <c r="L898" i="3"/>
  <c r="L899" i="3"/>
  <c r="L900" i="3"/>
  <c r="L901" i="3"/>
  <c r="L902" i="3"/>
  <c r="L903" i="3"/>
  <c r="L904" i="3"/>
  <c r="L905" i="3"/>
  <c r="L906" i="3"/>
  <c r="L907" i="3"/>
  <c r="L908" i="3"/>
  <c r="L909" i="3"/>
  <c r="L910" i="3"/>
  <c r="L911" i="3"/>
  <c r="L912" i="3"/>
  <c r="L913" i="3"/>
  <c r="L914" i="3"/>
  <c r="L915" i="3"/>
  <c r="L916" i="3"/>
  <c r="L917" i="3"/>
  <c r="L918" i="3"/>
  <c r="L919" i="3"/>
  <c r="L920" i="3"/>
  <c r="L921" i="3"/>
  <c r="L922" i="3"/>
  <c r="L923" i="3"/>
  <c r="L924" i="3"/>
  <c r="L925" i="3"/>
  <c r="L926" i="3"/>
  <c r="L927" i="3"/>
  <c r="L928" i="3"/>
  <c r="L929" i="3"/>
  <c r="L930" i="3"/>
  <c r="L931" i="3"/>
  <c r="L932" i="3"/>
  <c r="L933" i="3"/>
  <c r="L934" i="3"/>
  <c r="L935" i="3"/>
  <c r="L936" i="3"/>
  <c r="L937" i="3"/>
  <c r="L938" i="3"/>
  <c r="L939" i="3"/>
  <c r="L940" i="3"/>
  <c r="L941" i="3"/>
  <c r="H4" i="66"/>
  <c r="H12" i="66"/>
  <c r="H13" i="66"/>
  <c r="H14" i="66"/>
  <c r="H15" i="66"/>
  <c r="H16" i="66"/>
  <c r="C3" i="66"/>
  <c r="H10" i="66"/>
  <c r="H9" i="66"/>
  <c r="H8" i="66"/>
  <c r="H7" i="66"/>
  <c r="H5" i="66"/>
  <c r="H3" i="66"/>
  <c r="B10" i="88"/>
  <c r="B9" i="88"/>
  <c r="B8" i="88"/>
  <c r="B47" i="66"/>
  <c r="B25" i="66"/>
  <c r="B3" i="66"/>
  <c r="L129" i="7"/>
  <c r="L130" i="7"/>
  <c r="L131" i="7"/>
  <c r="L132" i="7"/>
  <c r="L133" i="7"/>
  <c r="L134" i="7"/>
  <c r="L135" i="7"/>
  <c r="L136" i="7"/>
  <c r="L137" i="7"/>
  <c r="L138" i="7"/>
  <c r="L139" i="7"/>
  <c r="L140" i="7"/>
  <c r="L141" i="7"/>
  <c r="L142" i="7"/>
  <c r="L128" i="7"/>
  <c r="L127"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K79" i="7"/>
  <c r="K80" i="7"/>
  <c r="K81" i="7"/>
  <c r="K82" i="7"/>
  <c r="K83" i="7"/>
  <c r="K84" i="7"/>
  <c r="K85" i="7"/>
  <c r="K86" i="7"/>
  <c r="K87" i="7"/>
  <c r="K88" i="7"/>
  <c r="K89" i="7"/>
  <c r="K90" i="7"/>
  <c r="K91" i="7"/>
  <c r="K92" i="7"/>
  <c r="K93" i="7"/>
  <c r="K94" i="7"/>
  <c r="K95" i="7"/>
  <c r="K96" i="7"/>
  <c r="K97" i="7"/>
  <c r="K98" i="7"/>
  <c r="K99" i="7"/>
  <c r="K100" i="7"/>
  <c r="K101" i="7"/>
  <c r="K102" i="7"/>
  <c r="K103" i="7"/>
  <c r="K104" i="7"/>
  <c r="K105" i="7"/>
  <c r="K106" i="7"/>
  <c r="K107" i="7"/>
  <c r="K108" i="7"/>
  <c r="K109" i="7"/>
  <c r="K110" i="7"/>
  <c r="K111" i="7"/>
  <c r="K112" i="7"/>
  <c r="K113" i="7"/>
  <c r="K114" i="7"/>
  <c r="K115" i="7"/>
  <c r="K116" i="7"/>
  <c r="K117" i="7"/>
  <c r="K118" i="7"/>
  <c r="K119" i="7"/>
  <c r="K120" i="7"/>
  <c r="K121" i="7"/>
  <c r="K122" i="7"/>
  <c r="K123" i="7"/>
  <c r="K124" i="7"/>
  <c r="K45" i="7"/>
  <c r="K44" i="7"/>
  <c r="AH90" i="3"/>
  <c r="AH91" i="3"/>
  <c r="AH92" i="3"/>
  <c r="AH93" i="3"/>
  <c r="AH94" i="3"/>
  <c r="AH95" i="3"/>
  <c r="AH96" i="3"/>
  <c r="AH97" i="3"/>
  <c r="AH98" i="3"/>
  <c r="AH99" i="3"/>
  <c r="AH100" i="3"/>
  <c r="AH101" i="3"/>
  <c r="AH102" i="3"/>
  <c r="AH103" i="3"/>
  <c r="AH104" i="3"/>
  <c r="AH105" i="3"/>
  <c r="AH106" i="3"/>
  <c r="AH107" i="3"/>
  <c r="AH108" i="3"/>
  <c r="AH109" i="3"/>
  <c r="AH110" i="3"/>
  <c r="AH111" i="3"/>
  <c r="AH112" i="3"/>
  <c r="AH113" i="3"/>
  <c r="AH114" i="3"/>
  <c r="AH115" i="3"/>
  <c r="AH116" i="3"/>
  <c r="AH117" i="3"/>
  <c r="AH118" i="3"/>
  <c r="AH119" i="3"/>
  <c r="AH120" i="3"/>
  <c r="AH121" i="3"/>
  <c r="AH122" i="3"/>
  <c r="AH123" i="3"/>
  <c r="AH124" i="3"/>
  <c r="AH125" i="3"/>
  <c r="AH126" i="3"/>
  <c r="AH127" i="3"/>
  <c r="AH128" i="3"/>
  <c r="AH129" i="3"/>
  <c r="AH130" i="3"/>
  <c r="AH131" i="3"/>
  <c r="AH132" i="3"/>
  <c r="AH133" i="3"/>
  <c r="AH134" i="3"/>
  <c r="AH135" i="3"/>
  <c r="AH136" i="3"/>
  <c r="AH137" i="3"/>
  <c r="AH138" i="3"/>
  <c r="AH139" i="3"/>
  <c r="AH140" i="3"/>
  <c r="AH141" i="3"/>
  <c r="AH142"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80" i="3"/>
  <c r="AH181" i="3"/>
  <c r="AH182" i="3"/>
  <c r="AH183" i="3"/>
  <c r="AH184" i="3"/>
  <c r="AH185" i="3"/>
  <c r="AH186" i="3"/>
  <c r="AH187" i="3"/>
  <c r="AH188" i="3"/>
  <c r="AH189" i="3"/>
  <c r="AH190" i="3"/>
  <c r="AH191" i="3"/>
  <c r="AH192" i="3"/>
  <c r="AH193" i="3"/>
  <c r="AH194" i="3"/>
  <c r="AH195" i="3"/>
  <c r="AH196" i="3"/>
  <c r="AH197" i="3"/>
  <c r="AH198" i="3"/>
  <c r="AH199" i="3"/>
  <c r="AH200" i="3"/>
  <c r="AH201" i="3"/>
  <c r="AH202" i="3"/>
  <c r="AH203" i="3"/>
  <c r="AH204" i="3"/>
  <c r="AH205" i="3"/>
  <c r="AH206" i="3"/>
  <c r="AH207" i="3"/>
  <c r="AH208" i="3"/>
  <c r="AH209" i="3"/>
  <c r="AH210" i="3"/>
  <c r="AH211" i="3"/>
  <c r="AH212" i="3"/>
  <c r="AH213" i="3"/>
  <c r="AH214" i="3"/>
  <c r="AH215" i="3"/>
  <c r="AH216" i="3"/>
  <c r="AH217" i="3"/>
  <c r="AH218" i="3"/>
  <c r="AH219" i="3"/>
  <c r="AH220" i="3"/>
  <c r="AH221" i="3"/>
  <c r="AH222" i="3"/>
  <c r="AH223" i="3"/>
  <c r="AH224" i="3"/>
  <c r="AH225" i="3"/>
  <c r="AH236" i="3"/>
  <c r="AH237" i="3"/>
  <c r="AH238" i="3"/>
  <c r="AH239" i="3"/>
  <c r="AH240" i="3"/>
  <c r="AH241" i="3"/>
  <c r="AH242" i="3"/>
  <c r="AH243" i="3"/>
  <c r="AH244" i="3"/>
  <c r="AH245" i="3"/>
  <c r="AH246" i="3"/>
  <c r="AH247" i="3"/>
  <c r="AH248" i="3"/>
  <c r="AH249" i="3"/>
  <c r="AH250" i="3"/>
  <c r="AH251" i="3"/>
  <c r="AH252" i="3"/>
  <c r="AH253" i="3"/>
  <c r="AH254" i="3"/>
  <c r="AH255" i="3"/>
  <c r="AH256" i="3"/>
  <c r="AH257" i="3"/>
  <c r="AH258" i="3"/>
  <c r="AH259" i="3"/>
  <c r="AH260" i="3"/>
  <c r="AH261" i="3"/>
  <c r="AH262" i="3"/>
  <c r="AH263" i="3"/>
  <c r="AH264" i="3"/>
  <c r="AH265" i="3"/>
  <c r="AH266" i="3"/>
  <c r="AH267" i="3"/>
  <c r="AH268" i="3"/>
  <c r="AH269" i="3"/>
  <c r="AH270" i="3"/>
  <c r="AH271" i="3"/>
  <c r="AH272" i="3"/>
  <c r="AH273" i="3"/>
  <c r="AH274" i="3"/>
  <c r="AH275" i="3"/>
  <c r="AH276" i="3"/>
  <c r="AH277" i="3"/>
  <c r="AH278" i="3"/>
  <c r="AH279" i="3"/>
  <c r="AH280" i="3"/>
  <c r="AH281" i="3"/>
  <c r="AH282" i="3"/>
  <c r="AH283" i="3"/>
  <c r="AH284" i="3"/>
  <c r="AH285" i="3"/>
  <c r="AH286" i="3"/>
  <c r="AH287" i="3"/>
  <c r="AH288" i="3"/>
  <c r="AH289" i="3"/>
  <c r="AH290" i="3"/>
  <c r="AH291" i="3"/>
  <c r="AH292" i="3"/>
  <c r="AH293" i="3"/>
  <c r="AH294" i="3"/>
  <c r="AH295" i="3"/>
  <c r="AH296" i="3"/>
  <c r="AH297" i="3"/>
  <c r="AH298" i="3"/>
  <c r="AH299" i="3"/>
  <c r="AH300" i="3"/>
  <c r="AH301" i="3"/>
  <c r="AH302" i="3"/>
  <c r="AH303" i="3"/>
  <c r="AH304" i="3"/>
  <c r="AH305" i="3"/>
  <c r="AH306" i="3"/>
  <c r="AH307" i="3"/>
  <c r="AH308" i="3"/>
  <c r="AH309" i="3"/>
  <c r="AH310" i="3"/>
  <c r="AH311" i="3"/>
  <c r="AH312" i="3"/>
  <c r="AH313" i="3"/>
  <c r="AH314" i="3"/>
  <c r="AH315" i="3"/>
  <c r="AH316" i="3"/>
  <c r="AH317" i="3"/>
  <c r="AH318" i="3"/>
  <c r="AH319" i="3"/>
  <c r="AH320" i="3"/>
  <c r="AH321" i="3"/>
  <c r="AH322" i="3"/>
  <c r="AH323" i="3"/>
  <c r="AH324" i="3"/>
  <c r="AH325" i="3"/>
  <c r="AH326" i="3"/>
  <c r="AH327" i="3"/>
  <c r="AH328" i="3"/>
  <c r="AH329" i="3"/>
  <c r="AH330" i="3"/>
  <c r="AH331" i="3"/>
  <c r="AH332" i="3"/>
  <c r="AH333" i="3"/>
  <c r="AH334" i="3"/>
  <c r="AH335" i="3"/>
  <c r="AH336" i="3"/>
  <c r="AH337" i="3"/>
  <c r="AH338" i="3"/>
  <c r="AH339" i="3"/>
  <c r="AH340" i="3"/>
  <c r="AH341" i="3"/>
  <c r="AH342" i="3"/>
  <c r="AH343" i="3"/>
  <c r="AH344" i="3"/>
  <c r="AH345" i="3"/>
  <c r="AH346" i="3"/>
  <c r="AH347" i="3"/>
  <c r="AH348" i="3"/>
  <c r="AH349" i="3"/>
  <c r="AH350" i="3"/>
  <c r="AH351" i="3"/>
  <c r="AH352" i="3"/>
  <c r="AH353" i="3"/>
  <c r="AH354" i="3"/>
  <c r="AH355" i="3"/>
  <c r="AH356" i="3"/>
  <c r="AH357" i="3"/>
  <c r="AH358" i="3"/>
  <c r="AH359" i="3"/>
  <c r="AH360" i="3"/>
  <c r="AH361" i="3"/>
  <c r="AH362" i="3"/>
  <c r="AH363" i="3"/>
  <c r="AH364" i="3"/>
  <c r="AH365" i="3"/>
  <c r="AH366" i="3"/>
  <c r="AH367" i="3"/>
  <c r="AH368" i="3"/>
  <c r="AH369" i="3"/>
  <c r="AH370" i="3"/>
  <c r="AH371" i="3"/>
  <c r="AH372" i="3"/>
  <c r="AH373" i="3"/>
  <c r="AH374" i="3"/>
  <c r="AH375" i="3"/>
  <c r="AH376" i="3"/>
  <c r="AH377" i="3"/>
  <c r="AH378" i="3"/>
  <c r="AH379" i="3"/>
  <c r="AH380" i="3"/>
  <c r="AH381" i="3"/>
  <c r="AH382" i="3"/>
  <c r="AH383" i="3"/>
  <c r="AH384" i="3"/>
  <c r="AH385" i="3"/>
  <c r="AH386" i="3"/>
  <c r="AH387" i="3"/>
  <c r="AH388" i="3"/>
  <c r="AH389" i="3"/>
  <c r="AH390" i="3"/>
  <c r="AH391" i="3"/>
  <c r="AH392" i="3"/>
  <c r="AH393" i="3"/>
  <c r="AH394" i="3"/>
  <c r="AH395" i="3"/>
  <c r="AH396" i="3"/>
  <c r="AH397" i="3"/>
  <c r="AH398" i="3"/>
  <c r="AH399" i="3"/>
  <c r="AH400" i="3"/>
  <c r="AH401" i="3"/>
  <c r="AH402" i="3"/>
  <c r="AH403" i="3"/>
  <c r="AH404" i="3"/>
  <c r="AH405" i="3"/>
  <c r="AH406" i="3"/>
  <c r="AH407" i="3"/>
  <c r="AH408" i="3"/>
  <c r="AH409" i="3"/>
  <c r="AH410" i="3"/>
  <c r="AH411" i="3"/>
  <c r="AH412" i="3"/>
  <c r="AH413" i="3"/>
  <c r="AH414" i="3"/>
  <c r="AH415" i="3"/>
  <c r="AH416" i="3"/>
  <c r="AH417" i="3"/>
  <c r="AH418" i="3"/>
  <c r="AH419" i="3"/>
  <c r="AH420" i="3"/>
  <c r="AH421" i="3"/>
  <c r="AH422" i="3"/>
  <c r="AH423" i="3"/>
  <c r="AH424" i="3"/>
  <c r="AH425" i="3"/>
  <c r="AH426" i="3"/>
  <c r="AH427" i="3"/>
  <c r="AH428" i="3"/>
  <c r="AH429" i="3"/>
  <c r="AH430" i="3"/>
  <c r="AH431" i="3"/>
  <c r="AH432" i="3"/>
  <c r="AH433" i="3"/>
  <c r="AH434" i="3"/>
  <c r="AH435" i="3"/>
  <c r="AH436" i="3"/>
  <c r="AH437" i="3"/>
  <c r="AH438" i="3"/>
  <c r="AH439" i="3"/>
  <c r="AH440" i="3"/>
  <c r="AH441" i="3"/>
  <c r="AH442" i="3"/>
  <c r="AH443" i="3"/>
  <c r="AH444" i="3"/>
  <c r="AH445" i="3"/>
  <c r="AH446" i="3"/>
  <c r="AH447" i="3"/>
  <c r="AH448" i="3"/>
  <c r="AH449" i="3"/>
  <c r="AH450" i="3"/>
  <c r="AH451" i="3"/>
  <c r="AH452" i="3"/>
  <c r="AH453" i="3"/>
  <c r="AH454" i="3"/>
  <c r="AH455" i="3"/>
  <c r="AH456" i="3"/>
  <c r="AH457" i="3"/>
  <c r="AH458" i="3"/>
  <c r="AH459" i="3"/>
  <c r="AH460" i="3"/>
  <c r="AH461" i="3"/>
  <c r="AH462" i="3"/>
  <c r="AH463" i="3"/>
  <c r="AH464" i="3"/>
  <c r="AH465" i="3"/>
  <c r="AH466" i="3"/>
  <c r="AH467" i="3"/>
  <c r="AH468" i="3"/>
  <c r="AH469" i="3"/>
  <c r="AH470" i="3"/>
  <c r="AH471" i="3"/>
  <c r="AH472" i="3"/>
  <c r="AH473" i="3"/>
  <c r="AH474" i="3"/>
  <c r="AH475" i="3"/>
  <c r="AH476" i="3"/>
  <c r="AH477" i="3"/>
  <c r="AH478" i="3"/>
  <c r="AH479" i="3"/>
  <c r="AH480" i="3"/>
  <c r="AH481" i="3"/>
  <c r="AH482" i="3"/>
  <c r="AH483" i="3"/>
  <c r="AH484" i="3"/>
  <c r="AH485" i="3"/>
  <c r="AH486" i="3"/>
  <c r="AH487" i="3"/>
  <c r="AH488" i="3"/>
  <c r="AH489" i="3"/>
  <c r="AH490" i="3"/>
  <c r="AH491" i="3"/>
  <c r="AH492" i="3"/>
  <c r="AH493" i="3"/>
  <c r="AH494" i="3"/>
  <c r="AH495" i="3"/>
  <c r="AH496" i="3"/>
  <c r="AH497" i="3"/>
  <c r="AH498" i="3"/>
  <c r="AH499" i="3"/>
  <c r="AH500" i="3"/>
  <c r="AH501" i="3"/>
  <c r="AH502" i="3"/>
  <c r="AH503" i="3"/>
  <c r="AH504" i="3"/>
  <c r="AH505" i="3"/>
  <c r="AH506" i="3"/>
  <c r="AH507" i="3"/>
  <c r="AH508" i="3"/>
  <c r="AH509" i="3"/>
  <c r="AH510" i="3"/>
  <c r="AH511" i="3"/>
  <c r="AH512" i="3"/>
  <c r="AH513" i="3"/>
  <c r="AH514" i="3"/>
  <c r="AH515" i="3"/>
  <c r="AH516" i="3"/>
  <c r="AH517" i="3"/>
  <c r="AH518" i="3"/>
  <c r="AH519" i="3"/>
  <c r="AH520" i="3"/>
  <c r="AH522" i="3"/>
  <c r="AH523" i="3"/>
  <c r="AH524" i="3"/>
  <c r="AH525" i="3"/>
  <c r="AH526" i="3"/>
  <c r="AH527" i="3"/>
  <c r="AH528" i="3"/>
  <c r="AH529" i="3"/>
  <c r="AH530" i="3"/>
  <c r="AH531" i="3"/>
  <c r="AH532" i="3"/>
  <c r="AH533" i="3"/>
  <c r="AH534" i="3"/>
  <c r="AH535" i="3"/>
  <c r="AH536" i="3"/>
  <c r="AH537" i="3"/>
  <c r="AH538" i="3"/>
  <c r="AH539" i="3"/>
  <c r="AH540" i="3"/>
  <c r="AH541" i="3"/>
  <c r="AH542" i="3"/>
  <c r="AH543" i="3"/>
  <c r="AH544" i="3"/>
  <c r="AH545" i="3"/>
  <c r="AH546" i="3"/>
  <c r="AH547" i="3"/>
  <c r="AH548" i="3"/>
  <c r="AH549" i="3"/>
  <c r="AH550" i="3"/>
  <c r="AH551" i="3"/>
  <c r="AH552" i="3"/>
  <c r="AH553" i="3"/>
  <c r="AH554" i="3"/>
  <c r="AH555" i="3"/>
  <c r="AH556" i="3"/>
  <c r="AH557" i="3"/>
  <c r="AH558" i="3"/>
  <c r="AH559" i="3"/>
  <c r="AH560" i="3"/>
  <c r="AH561" i="3"/>
  <c r="AH562" i="3"/>
  <c r="AH563" i="3"/>
  <c r="AH564" i="3"/>
  <c r="AH565" i="3"/>
  <c r="AH566" i="3"/>
  <c r="AH567" i="3"/>
  <c r="AH568" i="3"/>
  <c r="AH569" i="3"/>
  <c r="AH570" i="3"/>
  <c r="AH571" i="3"/>
  <c r="AH572" i="3"/>
  <c r="AH573" i="3"/>
  <c r="AH574" i="3"/>
  <c r="AH575" i="3"/>
  <c r="AH576" i="3"/>
  <c r="AH577" i="3"/>
  <c r="AH578" i="3"/>
  <c r="AH579" i="3"/>
  <c r="AH580" i="3"/>
  <c r="AH581" i="3"/>
  <c r="AH582" i="3"/>
  <c r="AH583" i="3"/>
  <c r="AH584" i="3"/>
  <c r="AH585" i="3"/>
  <c r="AH586" i="3"/>
  <c r="AH587" i="3"/>
  <c r="AH588" i="3"/>
  <c r="AH589" i="3"/>
  <c r="AH590" i="3"/>
  <c r="AH591" i="3"/>
  <c r="AH592" i="3"/>
  <c r="AH593" i="3"/>
  <c r="AH594" i="3"/>
  <c r="AH595" i="3"/>
  <c r="AH596" i="3"/>
  <c r="AH597" i="3"/>
  <c r="AH598" i="3"/>
  <c r="AH599" i="3"/>
  <c r="AH600" i="3"/>
  <c r="AH601" i="3"/>
  <c r="AH602" i="3"/>
  <c r="AH603" i="3"/>
  <c r="AH604" i="3"/>
  <c r="AH605" i="3"/>
  <c r="AH606" i="3"/>
  <c r="AH607" i="3"/>
  <c r="AH608" i="3"/>
  <c r="AH609" i="3"/>
  <c r="AH610" i="3"/>
  <c r="AH611" i="3"/>
  <c r="AH612" i="3"/>
  <c r="AH613" i="3"/>
  <c r="AH614" i="3"/>
  <c r="AH615" i="3"/>
  <c r="AH616" i="3"/>
  <c r="AH617" i="3"/>
  <c r="AH618" i="3"/>
  <c r="AH619" i="3"/>
  <c r="AH620" i="3"/>
  <c r="AH621" i="3"/>
  <c r="AH622" i="3"/>
  <c r="AH623" i="3"/>
  <c r="AH624" i="3"/>
  <c r="AH625" i="3"/>
  <c r="AH626" i="3"/>
  <c r="AH627" i="3"/>
  <c r="AH628" i="3"/>
  <c r="AH629" i="3"/>
  <c r="AH630" i="3"/>
  <c r="AH631" i="3"/>
  <c r="AH632" i="3"/>
  <c r="AH633" i="3"/>
  <c r="AH634" i="3"/>
  <c r="AH635" i="3"/>
  <c r="AH636" i="3"/>
  <c r="AH637" i="3"/>
  <c r="AH638" i="3"/>
  <c r="AH639" i="3"/>
  <c r="AH640" i="3"/>
  <c r="AH641" i="3"/>
  <c r="AH642" i="3"/>
  <c r="AH643" i="3"/>
  <c r="AH644" i="3"/>
  <c r="AH645" i="3"/>
  <c r="AH646" i="3"/>
  <c r="AH647" i="3"/>
  <c r="AH648" i="3"/>
  <c r="AH649" i="3"/>
  <c r="AH650" i="3"/>
  <c r="AH651" i="3"/>
  <c r="AH652" i="3"/>
  <c r="AH653" i="3"/>
  <c r="AH654" i="3"/>
  <c r="AH655" i="3"/>
  <c r="AH656" i="3"/>
  <c r="AH657" i="3"/>
  <c r="AH658" i="3"/>
  <c r="AH659" i="3"/>
  <c r="AH660" i="3"/>
  <c r="AH661" i="3"/>
  <c r="AH662" i="3"/>
  <c r="AH663" i="3"/>
  <c r="AH664" i="3"/>
  <c r="AH665" i="3"/>
  <c r="AH666" i="3"/>
  <c r="AH667" i="3"/>
  <c r="AH668" i="3"/>
  <c r="AH669" i="3"/>
  <c r="AH670" i="3"/>
  <c r="AH671" i="3"/>
  <c r="AH672" i="3"/>
  <c r="AH673" i="3"/>
  <c r="AH674" i="3"/>
  <c r="AH675" i="3"/>
  <c r="AH676" i="3"/>
  <c r="AH677" i="3"/>
  <c r="AH678" i="3"/>
  <c r="AH679" i="3"/>
  <c r="AH680" i="3"/>
  <c r="AH681" i="3"/>
  <c r="AH682" i="3"/>
  <c r="AH683" i="3"/>
  <c r="AH684" i="3"/>
  <c r="AH685" i="3"/>
  <c r="AH686" i="3"/>
  <c r="AH687" i="3"/>
  <c r="AH688" i="3"/>
  <c r="AH689" i="3"/>
  <c r="AH690" i="3"/>
  <c r="AH691" i="3"/>
  <c r="AH692" i="3"/>
  <c r="AH693" i="3"/>
  <c r="AH694" i="3"/>
  <c r="AH695" i="3"/>
  <c r="AH696" i="3"/>
  <c r="AH697" i="3"/>
  <c r="AH698" i="3"/>
  <c r="AH699" i="3"/>
  <c r="AH700" i="3"/>
  <c r="AH701" i="3"/>
  <c r="AH702" i="3"/>
  <c r="AH703" i="3"/>
  <c r="AH704" i="3"/>
  <c r="AH705" i="3"/>
  <c r="AH706" i="3"/>
  <c r="AH707" i="3"/>
  <c r="AH708" i="3"/>
  <c r="AH709" i="3"/>
  <c r="AH710" i="3"/>
  <c r="AH711" i="3"/>
  <c r="AH712" i="3"/>
  <c r="AH713" i="3"/>
  <c r="AH714" i="3"/>
  <c r="AH715" i="3"/>
  <c r="AH716" i="3"/>
  <c r="AH717" i="3"/>
  <c r="AH718" i="3"/>
  <c r="AH719" i="3"/>
  <c r="AH720" i="3"/>
  <c r="AH721" i="3"/>
  <c r="AH722" i="3"/>
  <c r="AH723" i="3"/>
  <c r="AH724" i="3"/>
  <c r="AH725" i="3"/>
  <c r="AH726" i="3"/>
  <c r="AH727" i="3"/>
  <c r="AH728" i="3"/>
  <c r="AH729" i="3"/>
  <c r="AH730" i="3"/>
  <c r="AH731" i="3"/>
  <c r="AH732" i="3"/>
  <c r="AH733" i="3"/>
  <c r="AH734" i="3"/>
  <c r="AH735" i="3"/>
  <c r="AH736" i="3"/>
  <c r="AH737" i="3"/>
  <c r="AH738" i="3"/>
  <c r="AH739" i="3"/>
  <c r="AH740" i="3"/>
  <c r="AH741" i="3"/>
  <c r="AH742" i="3"/>
  <c r="AH743" i="3"/>
  <c r="AH744" i="3"/>
  <c r="AH745" i="3"/>
  <c r="AH746" i="3"/>
  <c r="AH747" i="3"/>
  <c r="AH748" i="3"/>
  <c r="AH749" i="3"/>
  <c r="AH750" i="3"/>
  <c r="AH751" i="3"/>
  <c r="AH752" i="3"/>
  <c r="AH753" i="3"/>
  <c r="AH754" i="3"/>
  <c r="AH755" i="3"/>
  <c r="AH756" i="3"/>
  <c r="AH757" i="3"/>
  <c r="AH758" i="3"/>
  <c r="AH759" i="3"/>
  <c r="AH760" i="3"/>
  <c r="AH761" i="3"/>
  <c r="AH762" i="3"/>
  <c r="AH763" i="3"/>
  <c r="AH764" i="3"/>
  <c r="AH765" i="3"/>
  <c r="AH766" i="3"/>
  <c r="AH767" i="3"/>
  <c r="AH768" i="3"/>
  <c r="AH769" i="3"/>
  <c r="AH770" i="3"/>
  <c r="AH771" i="3"/>
  <c r="AH772" i="3"/>
  <c r="AH773" i="3"/>
  <c r="AH774" i="3"/>
  <c r="AH775" i="3"/>
  <c r="AH776" i="3"/>
  <c r="AH777" i="3"/>
  <c r="AH778" i="3"/>
  <c r="AH779" i="3"/>
  <c r="AH780" i="3"/>
  <c r="AH781" i="3"/>
  <c r="AH782" i="3"/>
  <c r="AH783" i="3"/>
  <c r="AH784" i="3"/>
  <c r="AH785" i="3"/>
  <c r="AH786" i="3"/>
  <c r="AH787" i="3"/>
  <c r="AH788" i="3"/>
  <c r="AH789" i="3"/>
  <c r="AH790" i="3"/>
  <c r="AH791" i="3"/>
  <c r="AH792" i="3"/>
  <c r="AH793" i="3"/>
  <c r="AH794" i="3"/>
  <c r="AH795" i="3"/>
  <c r="AH796" i="3"/>
  <c r="AH797" i="3"/>
  <c r="AH798" i="3"/>
  <c r="AH799" i="3"/>
  <c r="AH800" i="3"/>
  <c r="AH801" i="3"/>
  <c r="AH802" i="3"/>
  <c r="AH803" i="3"/>
  <c r="AH804" i="3"/>
  <c r="AH805" i="3"/>
  <c r="AH806" i="3"/>
  <c r="AH807" i="3"/>
  <c r="AH808" i="3"/>
  <c r="AH809" i="3"/>
  <c r="AH810" i="3"/>
  <c r="AH811" i="3"/>
  <c r="AH812" i="3"/>
  <c r="AH813" i="3"/>
  <c r="AH814" i="3"/>
  <c r="AH815" i="3"/>
  <c r="AH816" i="3"/>
  <c r="AH817" i="3"/>
  <c r="AH818" i="3"/>
  <c r="AH819" i="3"/>
  <c r="AH820" i="3"/>
  <c r="AH821" i="3"/>
  <c r="AH822" i="3"/>
  <c r="AH823" i="3"/>
  <c r="AH824" i="3"/>
  <c r="AH825" i="3"/>
  <c r="AH826" i="3"/>
  <c r="AH827" i="3"/>
  <c r="AH828" i="3"/>
  <c r="AH829" i="3"/>
  <c r="AH830" i="3"/>
  <c r="AH831" i="3"/>
  <c r="AH832" i="3"/>
  <c r="AH833" i="3"/>
  <c r="AH834" i="3"/>
  <c r="AH835" i="3"/>
  <c r="AH836" i="3"/>
  <c r="AH837" i="3"/>
  <c r="AH838" i="3"/>
  <c r="AH839" i="3"/>
  <c r="AH840" i="3"/>
  <c r="AH841" i="3"/>
  <c r="AH842" i="3"/>
  <c r="AH843" i="3"/>
  <c r="AH844" i="3"/>
  <c r="AH845" i="3"/>
  <c r="AH846" i="3"/>
  <c r="AH847" i="3"/>
  <c r="AH848" i="3"/>
  <c r="AH849" i="3"/>
  <c r="AH850" i="3"/>
  <c r="AH851" i="3"/>
  <c r="AH852" i="3"/>
  <c r="AH853" i="3"/>
  <c r="AH854" i="3"/>
  <c r="AH855" i="3"/>
  <c r="AH856" i="3"/>
  <c r="AH857" i="3"/>
  <c r="AH858" i="3"/>
  <c r="AH859" i="3"/>
  <c r="AH860" i="3"/>
  <c r="AH861" i="3"/>
  <c r="AH862" i="3"/>
  <c r="AH863" i="3"/>
  <c r="AH864" i="3"/>
  <c r="AH865" i="3"/>
  <c r="AH866" i="3"/>
  <c r="AH867" i="3"/>
  <c r="AH868" i="3"/>
  <c r="AH869" i="3"/>
  <c r="AH870" i="3"/>
  <c r="AH871" i="3"/>
  <c r="AH872" i="3"/>
  <c r="AH873" i="3"/>
  <c r="AH874" i="3"/>
  <c r="AH875" i="3"/>
  <c r="AH876" i="3"/>
  <c r="AH877" i="3"/>
  <c r="AH878" i="3"/>
  <c r="AH879" i="3"/>
  <c r="AH880" i="3"/>
  <c r="AH881" i="3"/>
  <c r="AH882" i="3"/>
  <c r="AH883" i="3"/>
  <c r="AH884" i="3"/>
  <c r="AH885" i="3"/>
  <c r="AH886" i="3"/>
  <c r="AH887" i="3"/>
  <c r="AH888" i="3"/>
  <c r="AH889" i="3"/>
  <c r="AH890" i="3"/>
  <c r="AH891" i="3"/>
  <c r="AH892" i="3"/>
  <c r="AH893" i="3"/>
  <c r="AH894" i="3"/>
  <c r="AH895" i="3"/>
  <c r="AH896" i="3"/>
  <c r="AH897" i="3"/>
  <c r="AH898" i="3"/>
  <c r="AH899" i="3"/>
  <c r="AH900" i="3"/>
  <c r="AH901" i="3"/>
  <c r="AH902" i="3"/>
  <c r="AH903" i="3"/>
  <c r="AH904" i="3"/>
  <c r="AH905" i="3"/>
  <c r="AH906" i="3"/>
  <c r="AH907" i="3"/>
  <c r="AH908" i="3"/>
  <c r="AH909" i="3"/>
  <c r="AH910" i="3"/>
  <c r="AH911" i="3"/>
  <c r="AH912" i="3"/>
  <c r="AH913" i="3"/>
  <c r="AH914" i="3"/>
  <c r="AH915" i="3"/>
  <c r="AH916" i="3"/>
  <c r="AH917" i="3"/>
  <c r="AH918" i="3"/>
  <c r="AH919" i="3"/>
  <c r="AH920" i="3"/>
  <c r="AH921" i="3"/>
  <c r="AH922" i="3"/>
  <c r="AH923" i="3"/>
  <c r="AH924" i="3"/>
  <c r="AH925" i="3"/>
  <c r="AH926" i="3"/>
  <c r="AH927" i="3"/>
  <c r="AH928" i="3"/>
  <c r="AH929" i="3"/>
  <c r="AH930" i="3"/>
  <c r="AH931" i="3"/>
  <c r="AH932" i="3"/>
  <c r="AH933" i="3"/>
  <c r="AH934" i="3"/>
  <c r="AH935" i="3"/>
  <c r="AH936" i="3"/>
  <c r="AH937" i="3"/>
  <c r="AH938" i="3"/>
  <c r="AH939" i="3"/>
  <c r="AH940" i="3"/>
  <c r="AH941" i="3"/>
  <c r="AH89" i="3"/>
  <c r="AH2" i="3"/>
  <c r="AH3" i="3"/>
  <c r="AH4" i="3"/>
  <c r="AH5" i="3"/>
  <c r="AH6" i="3"/>
  <c r="AH7" i="3"/>
  <c r="AH9" i="3"/>
  <c r="AH10" i="3"/>
  <c r="AH11" i="3"/>
  <c r="AH12" i="3"/>
  <c r="AH13" i="3"/>
  <c r="AH14" i="3"/>
  <c r="AH15" i="3"/>
  <c r="AH16" i="3"/>
  <c r="AH17" i="3"/>
  <c r="AH18" i="3"/>
  <c r="AH19" i="3"/>
  <c r="AH20" i="3"/>
  <c r="AH21" i="3"/>
  <c r="AH22" i="3"/>
  <c r="AH23" i="3"/>
  <c r="AH24" i="3"/>
  <c r="AH25" i="3"/>
  <c r="AH26" i="3"/>
  <c r="AH27" i="3"/>
  <c r="AH28" i="3"/>
  <c r="AH29" i="3"/>
  <c r="AH30" i="3"/>
  <c r="AH31" i="3"/>
  <c r="AH32" i="3"/>
  <c r="AH33" i="3"/>
  <c r="AH34" i="3"/>
  <c r="AH35" i="3"/>
  <c r="AH36" i="3"/>
  <c r="AH37" i="3"/>
  <c r="AH38" i="3"/>
  <c r="AH39" i="3"/>
  <c r="AH40" i="3"/>
  <c r="AH41" i="3"/>
  <c r="AH42" i="3"/>
  <c r="AH43" i="3"/>
  <c r="AH44" i="3"/>
  <c r="AH45" i="3"/>
  <c r="AH46" i="3"/>
  <c r="AH47" i="3"/>
  <c r="AH48" i="3"/>
  <c r="AH49" i="3"/>
  <c r="AH50" i="3"/>
  <c r="AH51" i="3"/>
  <c r="AH52" i="3"/>
  <c r="AH53" i="3"/>
  <c r="AH54" i="3"/>
  <c r="AH55" i="3"/>
  <c r="AH56" i="3"/>
  <c r="AH57" i="3"/>
  <c r="AH58" i="3"/>
  <c r="AH59" i="3"/>
  <c r="AH60" i="3"/>
  <c r="AH61" i="3"/>
  <c r="AH62" i="3"/>
  <c r="AH63" i="3"/>
  <c r="AH64" i="3"/>
  <c r="AH65" i="3"/>
  <c r="AH66" i="3"/>
  <c r="AH67" i="3"/>
  <c r="AH68" i="3"/>
  <c r="AH69" i="3"/>
  <c r="AH70" i="3"/>
  <c r="AH71" i="3"/>
  <c r="AH72" i="3"/>
  <c r="AH73" i="3"/>
  <c r="AH74" i="3"/>
  <c r="AH75" i="3"/>
  <c r="AH76" i="3"/>
  <c r="AH77" i="3"/>
  <c r="AH78" i="3"/>
  <c r="AH79" i="3"/>
  <c r="AH80" i="3"/>
  <c r="AH81" i="3"/>
  <c r="AH82" i="3"/>
  <c r="AH83" i="3"/>
  <c r="K2" i="3"/>
  <c r="K3" i="3"/>
  <c r="K4" i="3"/>
  <c r="K5" i="3"/>
  <c r="K6" i="3"/>
  <c r="K7" i="3"/>
  <c r="K8" i="3"/>
  <c r="K9" i="3"/>
  <c r="K10" i="3"/>
  <c r="K11" i="3"/>
  <c r="K12" i="3"/>
  <c r="K13" i="3"/>
  <c r="K14" i="3"/>
  <c r="K15" i="3"/>
  <c r="K16" i="3"/>
  <c r="K17" i="3"/>
  <c r="K18" i="3"/>
  <c r="K19" i="3"/>
  <c r="K20" i="3"/>
  <c r="K21" i="3"/>
  <c r="K22" i="3"/>
  <c r="K23" i="3"/>
  <c r="K24" i="3"/>
  <c r="K25" i="3"/>
  <c r="K26" i="3"/>
  <c r="K27" i="3"/>
  <c r="K28" i="3"/>
  <c r="K29"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K125" i="3"/>
  <c r="K126" i="3"/>
  <c r="K127" i="3"/>
  <c r="K128" i="3"/>
  <c r="K129" i="3"/>
  <c r="K130" i="3"/>
  <c r="K131" i="3"/>
  <c r="K132" i="3"/>
  <c r="K133" i="3"/>
  <c r="K134" i="3"/>
  <c r="K135" i="3"/>
  <c r="K136" i="3"/>
  <c r="K137" i="3"/>
  <c r="K138" i="3"/>
  <c r="K139" i="3"/>
  <c r="K140" i="3"/>
  <c r="K141" i="3"/>
  <c r="K142" i="3"/>
  <c r="K143" i="3"/>
  <c r="K144" i="3"/>
  <c r="K145" i="3"/>
  <c r="K146" i="3"/>
  <c r="K147" i="3"/>
  <c r="K148" i="3"/>
  <c r="K149" i="3"/>
  <c r="K150" i="3"/>
  <c r="K151" i="3"/>
  <c r="K152" i="3"/>
  <c r="K153" i="3"/>
  <c r="K154" i="3"/>
  <c r="K155" i="3"/>
  <c r="K156" i="3"/>
  <c r="K157" i="3"/>
  <c r="K158" i="3"/>
  <c r="K159" i="3"/>
  <c r="K160" i="3"/>
  <c r="K161" i="3"/>
  <c r="K162" i="3"/>
  <c r="K163" i="3"/>
  <c r="K164" i="3"/>
  <c r="K165" i="3"/>
  <c r="K166" i="3"/>
  <c r="K167" i="3"/>
  <c r="K168" i="3"/>
  <c r="K169" i="3"/>
  <c r="K170" i="3"/>
  <c r="K171" i="3"/>
  <c r="K172" i="3"/>
  <c r="K173" i="3"/>
  <c r="K174" i="3"/>
  <c r="K175" i="3"/>
  <c r="K176" i="3"/>
  <c r="K177" i="3"/>
  <c r="K178" i="3"/>
  <c r="K179" i="3"/>
  <c r="K180" i="3"/>
  <c r="K181" i="3"/>
  <c r="K182" i="3"/>
  <c r="K183" i="3"/>
  <c r="K184" i="3"/>
  <c r="K185" i="3"/>
  <c r="K186" i="3"/>
  <c r="K187" i="3"/>
  <c r="K188" i="3"/>
  <c r="K189" i="3"/>
  <c r="K190" i="3"/>
  <c r="K191" i="3"/>
  <c r="K192" i="3"/>
  <c r="K193" i="3"/>
  <c r="K194" i="3"/>
  <c r="K195" i="3"/>
  <c r="K196" i="3"/>
  <c r="K197" i="3"/>
  <c r="K198" i="3"/>
  <c r="K199" i="3"/>
  <c r="K200" i="3"/>
  <c r="K201" i="3"/>
  <c r="K202" i="3"/>
  <c r="K203" i="3"/>
  <c r="K204" i="3"/>
  <c r="K205" i="3"/>
  <c r="K206" i="3"/>
  <c r="K207" i="3"/>
  <c r="K208" i="3"/>
  <c r="K209" i="3"/>
  <c r="K210" i="3"/>
  <c r="K211" i="3"/>
  <c r="K212" i="3"/>
  <c r="K213" i="3"/>
  <c r="K214" i="3"/>
  <c r="K215" i="3"/>
  <c r="K216" i="3"/>
  <c r="K217" i="3"/>
  <c r="K218" i="3"/>
  <c r="K219" i="3"/>
  <c r="K220" i="3"/>
  <c r="K221" i="3"/>
  <c r="K222" i="3"/>
  <c r="K223" i="3"/>
  <c r="K224" i="3"/>
  <c r="K225" i="3"/>
  <c r="K226" i="3"/>
  <c r="K227" i="3"/>
  <c r="K228" i="3"/>
  <c r="K229" i="3"/>
  <c r="K230" i="3"/>
  <c r="K231" i="3"/>
  <c r="K232" i="3"/>
  <c r="K233" i="3"/>
  <c r="K234" i="3"/>
  <c r="K235" i="3"/>
  <c r="K236" i="3"/>
  <c r="K237" i="3"/>
  <c r="K238" i="3"/>
  <c r="K239" i="3"/>
  <c r="K240" i="3"/>
  <c r="K241" i="3"/>
  <c r="K242" i="3"/>
  <c r="K243" i="3"/>
  <c r="K244" i="3"/>
  <c r="K245" i="3"/>
  <c r="K246" i="3"/>
  <c r="K247" i="3"/>
  <c r="K248" i="3"/>
  <c r="K249" i="3"/>
  <c r="K250" i="3"/>
  <c r="K251" i="3"/>
  <c r="K252" i="3"/>
  <c r="K253" i="3"/>
  <c r="K254" i="3"/>
  <c r="K255" i="3"/>
  <c r="K256" i="3"/>
  <c r="K257" i="3"/>
  <c r="K258" i="3"/>
  <c r="K259" i="3"/>
  <c r="K260" i="3"/>
  <c r="K261" i="3"/>
  <c r="K262" i="3"/>
  <c r="K263" i="3"/>
  <c r="K264" i="3"/>
  <c r="K265" i="3"/>
  <c r="K266" i="3"/>
  <c r="K267" i="3"/>
  <c r="K268" i="3"/>
  <c r="K269" i="3"/>
  <c r="K270" i="3"/>
  <c r="K271" i="3"/>
  <c r="K272" i="3"/>
  <c r="K273" i="3"/>
  <c r="K274" i="3"/>
  <c r="K275" i="3"/>
  <c r="K276" i="3"/>
  <c r="K277" i="3"/>
  <c r="K278" i="3"/>
  <c r="K279" i="3"/>
  <c r="K280" i="3"/>
  <c r="K281" i="3"/>
  <c r="K282" i="3"/>
  <c r="K283" i="3"/>
  <c r="K284" i="3"/>
  <c r="K285" i="3"/>
  <c r="K286" i="3"/>
  <c r="K287" i="3"/>
  <c r="K288" i="3"/>
  <c r="K289" i="3"/>
  <c r="K290" i="3"/>
  <c r="K291" i="3"/>
  <c r="K292" i="3"/>
  <c r="K293" i="3"/>
  <c r="K294" i="3"/>
  <c r="K295" i="3"/>
  <c r="K296" i="3"/>
  <c r="K297" i="3"/>
  <c r="K298" i="3"/>
  <c r="K299" i="3"/>
  <c r="K300" i="3"/>
  <c r="K301" i="3"/>
  <c r="K302" i="3"/>
  <c r="K303" i="3"/>
  <c r="K304" i="3"/>
  <c r="K305" i="3"/>
  <c r="K306" i="3"/>
  <c r="K307" i="3"/>
  <c r="K308" i="3"/>
  <c r="K309" i="3"/>
  <c r="K310" i="3"/>
  <c r="K311" i="3"/>
  <c r="K312" i="3"/>
  <c r="K313" i="3"/>
  <c r="K314" i="3"/>
  <c r="K315" i="3"/>
  <c r="K316" i="3"/>
  <c r="K317" i="3"/>
  <c r="K318" i="3"/>
  <c r="K319" i="3"/>
  <c r="K320" i="3"/>
  <c r="K321" i="3"/>
  <c r="K322" i="3"/>
  <c r="K323" i="3"/>
  <c r="K324" i="3"/>
  <c r="K325" i="3"/>
  <c r="K326" i="3"/>
  <c r="K327" i="3"/>
  <c r="K328" i="3"/>
  <c r="K329" i="3"/>
  <c r="K330" i="3"/>
  <c r="K331" i="3"/>
  <c r="K332" i="3"/>
  <c r="K333" i="3"/>
  <c r="K334" i="3"/>
  <c r="K335" i="3"/>
  <c r="K336" i="3"/>
  <c r="K337" i="3"/>
  <c r="K338" i="3"/>
  <c r="K339" i="3"/>
  <c r="K340" i="3"/>
  <c r="K341" i="3"/>
  <c r="K342" i="3"/>
  <c r="K343" i="3"/>
  <c r="K344" i="3"/>
  <c r="K345" i="3"/>
  <c r="K346" i="3"/>
  <c r="K347" i="3"/>
  <c r="K348" i="3"/>
  <c r="K349" i="3"/>
  <c r="K350" i="3"/>
  <c r="K351" i="3"/>
  <c r="K352" i="3"/>
  <c r="K353" i="3"/>
  <c r="K354" i="3"/>
  <c r="K355" i="3"/>
  <c r="K356" i="3"/>
  <c r="K357" i="3"/>
  <c r="K358" i="3"/>
  <c r="K359" i="3"/>
  <c r="K360" i="3"/>
  <c r="K361" i="3"/>
  <c r="K362" i="3"/>
  <c r="K363" i="3"/>
  <c r="K364" i="3"/>
  <c r="K365" i="3"/>
  <c r="K366" i="3"/>
  <c r="K367" i="3"/>
  <c r="K368" i="3"/>
  <c r="K369" i="3"/>
  <c r="K370" i="3"/>
  <c r="K371" i="3"/>
  <c r="K372" i="3"/>
  <c r="K373" i="3"/>
  <c r="K374" i="3"/>
  <c r="K375" i="3"/>
  <c r="K376" i="3"/>
  <c r="K377" i="3"/>
  <c r="K378" i="3"/>
  <c r="K379" i="3"/>
  <c r="K380" i="3"/>
  <c r="K381" i="3"/>
  <c r="K382" i="3"/>
  <c r="K383" i="3"/>
  <c r="K384" i="3"/>
  <c r="K385" i="3"/>
  <c r="K386" i="3"/>
  <c r="K387" i="3"/>
  <c r="K388" i="3"/>
  <c r="K389" i="3"/>
  <c r="K390" i="3"/>
  <c r="K391" i="3"/>
  <c r="K392" i="3"/>
  <c r="K393" i="3"/>
  <c r="K394" i="3"/>
  <c r="K395" i="3"/>
  <c r="K396" i="3"/>
  <c r="K397" i="3"/>
  <c r="K398" i="3"/>
  <c r="K399" i="3"/>
  <c r="K400" i="3"/>
  <c r="K401" i="3"/>
  <c r="K402" i="3"/>
  <c r="K403" i="3"/>
  <c r="K404" i="3"/>
  <c r="K405" i="3"/>
  <c r="K406" i="3"/>
  <c r="K407" i="3"/>
  <c r="K408" i="3"/>
  <c r="K409" i="3"/>
  <c r="K410" i="3"/>
  <c r="K411" i="3"/>
  <c r="K412" i="3"/>
  <c r="K413" i="3"/>
  <c r="K414" i="3"/>
  <c r="K415" i="3"/>
  <c r="K416" i="3"/>
  <c r="K417" i="3"/>
  <c r="K418" i="3"/>
  <c r="K419" i="3"/>
  <c r="K420" i="3"/>
  <c r="K421" i="3"/>
  <c r="K422" i="3"/>
  <c r="K423" i="3"/>
  <c r="K424" i="3"/>
  <c r="K425" i="3"/>
  <c r="K426" i="3"/>
  <c r="K427" i="3"/>
  <c r="K428" i="3"/>
  <c r="K429" i="3"/>
  <c r="K430" i="3"/>
  <c r="K431" i="3"/>
  <c r="K432" i="3"/>
  <c r="K433" i="3"/>
  <c r="K434" i="3"/>
  <c r="K435" i="3"/>
  <c r="K436" i="3"/>
  <c r="K437" i="3"/>
  <c r="K438" i="3"/>
  <c r="K439" i="3"/>
  <c r="K440" i="3"/>
  <c r="K441" i="3"/>
  <c r="K442" i="3"/>
  <c r="K443" i="3"/>
  <c r="K444" i="3"/>
  <c r="K445" i="3"/>
  <c r="K446" i="3"/>
  <c r="K447" i="3"/>
  <c r="K448" i="3"/>
  <c r="K449" i="3"/>
  <c r="K450" i="3"/>
  <c r="K451" i="3"/>
  <c r="K452" i="3"/>
  <c r="K453" i="3"/>
  <c r="K454" i="3"/>
  <c r="K455" i="3"/>
  <c r="K456" i="3"/>
  <c r="K457" i="3"/>
  <c r="K458" i="3"/>
  <c r="K459" i="3"/>
  <c r="K460" i="3"/>
  <c r="K461" i="3"/>
  <c r="K462" i="3"/>
  <c r="K463" i="3"/>
  <c r="K464" i="3"/>
  <c r="K465" i="3"/>
  <c r="K466" i="3"/>
  <c r="K467" i="3"/>
  <c r="K468" i="3"/>
  <c r="K469" i="3"/>
  <c r="K470" i="3"/>
  <c r="K471" i="3"/>
  <c r="K472" i="3"/>
  <c r="K473" i="3"/>
  <c r="K474" i="3"/>
  <c r="K475" i="3"/>
  <c r="K476" i="3"/>
  <c r="K477" i="3"/>
  <c r="K478" i="3"/>
  <c r="K479" i="3"/>
  <c r="K480" i="3"/>
  <c r="K481" i="3"/>
  <c r="K482" i="3"/>
  <c r="K483" i="3"/>
  <c r="K484" i="3"/>
  <c r="K485" i="3"/>
  <c r="K486" i="3"/>
  <c r="K487" i="3"/>
  <c r="K488" i="3"/>
  <c r="K489" i="3"/>
  <c r="K490" i="3"/>
  <c r="K491" i="3"/>
  <c r="K492" i="3"/>
  <c r="K493" i="3"/>
  <c r="K494" i="3"/>
  <c r="K495" i="3"/>
  <c r="K496" i="3"/>
  <c r="K497" i="3"/>
  <c r="K498" i="3"/>
  <c r="K499" i="3"/>
  <c r="K500" i="3"/>
  <c r="K501" i="3"/>
  <c r="K502" i="3"/>
  <c r="K503" i="3"/>
  <c r="K504" i="3"/>
  <c r="K505" i="3"/>
  <c r="K506" i="3"/>
  <c r="K507" i="3"/>
  <c r="K508" i="3"/>
  <c r="K509" i="3"/>
  <c r="K510" i="3"/>
  <c r="K511" i="3"/>
  <c r="K512" i="3"/>
  <c r="K513" i="3"/>
  <c r="K514" i="3"/>
  <c r="K515" i="3"/>
  <c r="K516" i="3"/>
  <c r="K517" i="3"/>
  <c r="K518" i="3"/>
  <c r="K519" i="3"/>
  <c r="K520" i="3"/>
  <c r="K522" i="3"/>
  <c r="K523" i="3"/>
  <c r="K524" i="3"/>
  <c r="K525" i="3"/>
  <c r="K526" i="3"/>
  <c r="K527" i="3"/>
  <c r="K528" i="3"/>
  <c r="K529" i="3"/>
  <c r="K530" i="3"/>
  <c r="K531" i="3"/>
  <c r="K532" i="3"/>
  <c r="K533" i="3"/>
  <c r="K534" i="3"/>
  <c r="K535" i="3"/>
  <c r="K536" i="3"/>
  <c r="K537" i="3"/>
  <c r="K538" i="3"/>
  <c r="K539" i="3"/>
  <c r="K540" i="3"/>
  <c r="K541" i="3"/>
  <c r="K542" i="3"/>
  <c r="K543" i="3"/>
  <c r="K544" i="3"/>
  <c r="K545" i="3"/>
  <c r="K546" i="3"/>
  <c r="K547" i="3"/>
  <c r="K548" i="3"/>
  <c r="K549" i="3"/>
  <c r="K550" i="3"/>
  <c r="K551" i="3"/>
  <c r="K552" i="3"/>
  <c r="K553" i="3"/>
  <c r="K554" i="3"/>
  <c r="K555" i="3"/>
  <c r="K556" i="3"/>
  <c r="K557" i="3"/>
  <c r="K558" i="3"/>
  <c r="K559" i="3"/>
  <c r="K560" i="3"/>
  <c r="K561" i="3"/>
  <c r="K562" i="3"/>
  <c r="K563" i="3"/>
  <c r="K564" i="3"/>
  <c r="K565" i="3"/>
  <c r="K566" i="3"/>
  <c r="K567" i="3"/>
  <c r="K568" i="3"/>
  <c r="K569" i="3"/>
  <c r="K570" i="3"/>
  <c r="K571" i="3"/>
  <c r="K572" i="3"/>
  <c r="K573" i="3"/>
  <c r="K574" i="3"/>
  <c r="K575" i="3"/>
  <c r="K576" i="3"/>
  <c r="K577" i="3"/>
  <c r="K578" i="3"/>
  <c r="K579" i="3"/>
  <c r="K580" i="3"/>
  <c r="K581" i="3"/>
  <c r="K582" i="3"/>
  <c r="K583" i="3"/>
  <c r="K584" i="3"/>
  <c r="K585" i="3"/>
  <c r="K586" i="3"/>
  <c r="K587" i="3"/>
  <c r="K588" i="3"/>
  <c r="K589" i="3"/>
  <c r="K590" i="3"/>
  <c r="K591" i="3"/>
  <c r="K592" i="3"/>
  <c r="K593" i="3"/>
  <c r="K594" i="3"/>
  <c r="K595" i="3"/>
  <c r="K596" i="3"/>
  <c r="K597" i="3"/>
  <c r="K598" i="3"/>
  <c r="K599" i="3"/>
  <c r="K600" i="3"/>
  <c r="K601" i="3"/>
  <c r="K602" i="3"/>
  <c r="K603" i="3"/>
  <c r="K604" i="3"/>
  <c r="K605" i="3"/>
  <c r="K606" i="3"/>
  <c r="K607" i="3"/>
  <c r="K608" i="3"/>
  <c r="K609" i="3"/>
  <c r="K610" i="3"/>
  <c r="K611" i="3"/>
  <c r="K612" i="3"/>
  <c r="K613" i="3"/>
  <c r="K614" i="3"/>
  <c r="K615" i="3"/>
  <c r="K616" i="3"/>
  <c r="K617" i="3"/>
  <c r="K618" i="3"/>
  <c r="K619" i="3"/>
  <c r="K620" i="3"/>
  <c r="K621" i="3"/>
  <c r="K622" i="3"/>
  <c r="K623" i="3"/>
  <c r="K624" i="3"/>
  <c r="K625" i="3"/>
  <c r="K626" i="3"/>
  <c r="K627" i="3"/>
  <c r="K628" i="3"/>
  <c r="K629" i="3"/>
  <c r="K630" i="3"/>
  <c r="K631" i="3"/>
  <c r="K632" i="3"/>
  <c r="K633" i="3"/>
  <c r="K634" i="3"/>
  <c r="K635" i="3"/>
  <c r="K636" i="3"/>
  <c r="K637" i="3"/>
  <c r="K638" i="3"/>
  <c r="K639" i="3"/>
  <c r="K640" i="3"/>
  <c r="K641" i="3"/>
  <c r="K642" i="3"/>
  <c r="K643" i="3"/>
  <c r="K644" i="3"/>
  <c r="K645" i="3"/>
  <c r="K646" i="3"/>
  <c r="K647" i="3"/>
  <c r="K648" i="3"/>
  <c r="K649" i="3"/>
  <c r="K650" i="3"/>
  <c r="K651" i="3"/>
  <c r="K652" i="3"/>
  <c r="K653" i="3"/>
  <c r="K654" i="3"/>
  <c r="K655" i="3"/>
  <c r="K656" i="3"/>
  <c r="K657" i="3"/>
  <c r="K658" i="3"/>
  <c r="K659" i="3"/>
  <c r="K660" i="3"/>
  <c r="K661" i="3"/>
  <c r="K662" i="3"/>
  <c r="K663" i="3"/>
  <c r="K664" i="3"/>
  <c r="K665" i="3"/>
  <c r="K666" i="3"/>
  <c r="K667" i="3"/>
  <c r="K668" i="3"/>
  <c r="K669" i="3"/>
  <c r="K670" i="3"/>
  <c r="K671" i="3"/>
  <c r="K672" i="3"/>
  <c r="K673" i="3"/>
  <c r="K674" i="3"/>
  <c r="K675" i="3"/>
  <c r="K676" i="3"/>
  <c r="K677" i="3"/>
  <c r="K678" i="3"/>
  <c r="K679" i="3"/>
  <c r="K680" i="3"/>
  <c r="K681" i="3"/>
  <c r="K682" i="3"/>
  <c r="K683" i="3"/>
  <c r="K684" i="3"/>
  <c r="K685" i="3"/>
  <c r="K686" i="3"/>
  <c r="K687" i="3"/>
  <c r="K688" i="3"/>
  <c r="K689" i="3"/>
  <c r="K690" i="3"/>
  <c r="K691" i="3"/>
  <c r="K692" i="3"/>
  <c r="K693" i="3"/>
  <c r="K694" i="3"/>
  <c r="K695" i="3"/>
  <c r="K696" i="3"/>
  <c r="K697" i="3"/>
  <c r="K698" i="3"/>
  <c r="K699" i="3"/>
  <c r="K700" i="3"/>
  <c r="K701" i="3"/>
  <c r="K702" i="3"/>
  <c r="K703" i="3"/>
  <c r="K704" i="3"/>
  <c r="K705" i="3"/>
  <c r="K706" i="3"/>
  <c r="K707" i="3"/>
  <c r="K708" i="3"/>
  <c r="K709" i="3"/>
  <c r="K710" i="3"/>
  <c r="K711" i="3"/>
  <c r="K712" i="3"/>
  <c r="K713" i="3"/>
  <c r="K714" i="3"/>
  <c r="K715" i="3"/>
  <c r="K716" i="3"/>
  <c r="K717" i="3"/>
  <c r="K718" i="3"/>
  <c r="K719" i="3"/>
  <c r="K720" i="3"/>
  <c r="K721" i="3"/>
  <c r="K722" i="3"/>
  <c r="K723" i="3"/>
  <c r="K724" i="3"/>
  <c r="K725" i="3"/>
  <c r="K726" i="3"/>
  <c r="K727" i="3"/>
  <c r="K728" i="3"/>
  <c r="K729" i="3"/>
  <c r="K730" i="3"/>
  <c r="K731" i="3"/>
  <c r="K732" i="3"/>
  <c r="K733" i="3"/>
  <c r="K734" i="3"/>
  <c r="K735" i="3"/>
  <c r="K736" i="3"/>
  <c r="K737" i="3"/>
  <c r="K738" i="3"/>
  <c r="K739" i="3"/>
  <c r="K740" i="3"/>
  <c r="K741" i="3"/>
  <c r="K742" i="3"/>
  <c r="K743" i="3"/>
  <c r="K744" i="3"/>
  <c r="K745" i="3"/>
  <c r="K746" i="3"/>
  <c r="K747" i="3"/>
  <c r="K748" i="3"/>
  <c r="K749" i="3"/>
  <c r="K750" i="3"/>
  <c r="K751" i="3"/>
  <c r="K752" i="3"/>
  <c r="K753" i="3"/>
  <c r="K754" i="3"/>
  <c r="K755" i="3"/>
  <c r="K756" i="3"/>
  <c r="K757" i="3"/>
  <c r="K758" i="3"/>
  <c r="K759" i="3"/>
  <c r="K760" i="3"/>
  <c r="K761" i="3"/>
  <c r="K762" i="3"/>
  <c r="K763" i="3"/>
  <c r="K764" i="3"/>
  <c r="K765" i="3"/>
  <c r="K766" i="3"/>
  <c r="K767" i="3"/>
  <c r="K768" i="3"/>
  <c r="K769" i="3"/>
  <c r="K770" i="3"/>
  <c r="K771" i="3"/>
  <c r="K772" i="3"/>
  <c r="K773" i="3"/>
  <c r="K774" i="3"/>
  <c r="K775" i="3"/>
  <c r="K776" i="3"/>
  <c r="K777" i="3"/>
  <c r="K778" i="3"/>
  <c r="K779" i="3"/>
  <c r="K780" i="3"/>
  <c r="K781" i="3"/>
  <c r="K782" i="3"/>
  <c r="K783" i="3"/>
  <c r="K784" i="3"/>
  <c r="K785" i="3"/>
  <c r="K786" i="3"/>
  <c r="K787" i="3"/>
  <c r="K788" i="3"/>
  <c r="K789" i="3"/>
  <c r="K790" i="3"/>
  <c r="K791" i="3"/>
  <c r="K792" i="3"/>
  <c r="K793" i="3"/>
  <c r="K794" i="3"/>
  <c r="K795" i="3"/>
  <c r="K796" i="3"/>
  <c r="K797" i="3"/>
  <c r="K798" i="3"/>
  <c r="K799" i="3"/>
  <c r="K800" i="3"/>
  <c r="K801" i="3"/>
  <c r="K802" i="3"/>
  <c r="K803" i="3"/>
  <c r="K804" i="3"/>
  <c r="K805" i="3"/>
  <c r="K806" i="3"/>
  <c r="K807" i="3"/>
  <c r="K808" i="3"/>
  <c r="K809" i="3"/>
  <c r="K810" i="3"/>
  <c r="K811" i="3"/>
  <c r="K812" i="3"/>
  <c r="K813" i="3"/>
  <c r="K814" i="3"/>
  <c r="K815" i="3"/>
  <c r="K816" i="3"/>
  <c r="K817" i="3"/>
  <c r="K818" i="3"/>
  <c r="K819" i="3"/>
  <c r="K820" i="3"/>
  <c r="K821" i="3"/>
  <c r="K822" i="3"/>
  <c r="K823" i="3"/>
  <c r="K824" i="3"/>
  <c r="K825" i="3"/>
  <c r="K826" i="3"/>
  <c r="K827" i="3"/>
  <c r="K828" i="3"/>
  <c r="K829" i="3"/>
  <c r="K830" i="3"/>
  <c r="K831" i="3"/>
  <c r="K832" i="3"/>
  <c r="K833" i="3"/>
  <c r="K834" i="3"/>
  <c r="K835" i="3"/>
  <c r="K836" i="3"/>
  <c r="K837" i="3"/>
  <c r="K838" i="3"/>
  <c r="K839" i="3"/>
  <c r="K840" i="3"/>
  <c r="K841" i="3"/>
  <c r="K842" i="3"/>
  <c r="K843" i="3"/>
  <c r="K844" i="3"/>
  <c r="K845" i="3"/>
  <c r="K846" i="3"/>
  <c r="K847" i="3"/>
  <c r="K848" i="3"/>
  <c r="K849" i="3"/>
  <c r="K850" i="3"/>
  <c r="K851" i="3"/>
  <c r="K852" i="3"/>
  <c r="K853" i="3"/>
  <c r="K854" i="3"/>
  <c r="K855" i="3"/>
  <c r="K856" i="3"/>
  <c r="K857" i="3"/>
  <c r="K858" i="3"/>
  <c r="K859" i="3"/>
  <c r="K860" i="3"/>
  <c r="K861" i="3"/>
  <c r="K862" i="3"/>
  <c r="K863" i="3"/>
  <c r="K864" i="3"/>
  <c r="K865" i="3"/>
  <c r="K866" i="3"/>
  <c r="K867" i="3"/>
  <c r="K868" i="3"/>
  <c r="K869" i="3"/>
  <c r="K870" i="3"/>
  <c r="K871" i="3"/>
  <c r="K872" i="3"/>
  <c r="K873" i="3"/>
  <c r="K874" i="3"/>
  <c r="K875" i="3"/>
  <c r="K876" i="3"/>
  <c r="K877" i="3"/>
  <c r="K878" i="3"/>
  <c r="K879" i="3"/>
  <c r="K880" i="3"/>
  <c r="K881" i="3"/>
  <c r="K882" i="3"/>
  <c r="K883" i="3"/>
  <c r="K884" i="3"/>
  <c r="K885" i="3"/>
  <c r="K886" i="3"/>
  <c r="K887" i="3"/>
  <c r="K888" i="3"/>
  <c r="K889" i="3"/>
  <c r="K890" i="3"/>
  <c r="K891" i="3"/>
  <c r="K892" i="3"/>
  <c r="K893" i="3"/>
  <c r="K894" i="3"/>
  <c r="K895" i="3"/>
  <c r="K896" i="3"/>
  <c r="K897" i="3"/>
  <c r="K898" i="3"/>
  <c r="K899" i="3"/>
  <c r="K900" i="3"/>
  <c r="K901" i="3"/>
  <c r="K902" i="3"/>
  <c r="K903" i="3"/>
  <c r="K904" i="3"/>
  <c r="K905" i="3"/>
  <c r="K906" i="3"/>
  <c r="K907" i="3"/>
  <c r="K908" i="3"/>
  <c r="K909" i="3"/>
  <c r="K910" i="3"/>
  <c r="K911" i="3"/>
  <c r="K912" i="3"/>
  <c r="K913" i="3"/>
  <c r="K914" i="3"/>
  <c r="K915" i="3"/>
  <c r="K916" i="3"/>
  <c r="K917" i="3"/>
  <c r="K918" i="3"/>
  <c r="K919" i="3"/>
  <c r="K920" i="3"/>
  <c r="K921" i="3"/>
  <c r="K922" i="3"/>
  <c r="K923" i="3"/>
  <c r="K924" i="3"/>
  <c r="K925" i="3"/>
  <c r="K926" i="3"/>
  <c r="K927" i="3"/>
  <c r="K928" i="3"/>
  <c r="K929" i="3"/>
  <c r="K930" i="3"/>
  <c r="K931" i="3"/>
  <c r="K932" i="3"/>
  <c r="K933" i="3"/>
  <c r="K934" i="3"/>
  <c r="K935" i="3"/>
  <c r="K936" i="3"/>
  <c r="K937" i="3"/>
  <c r="K938" i="3"/>
  <c r="K939" i="3"/>
  <c r="K940" i="3"/>
  <c r="K941" i="3"/>
  <c r="H203" i="3"/>
  <c r="B203" i="3" s="1"/>
  <c r="I203" i="3"/>
  <c r="C203" i="3" s="1"/>
  <c r="O203" i="3"/>
  <c r="M203" i="3" s="1"/>
  <c r="H204" i="3"/>
  <c r="B204" i="3" s="1"/>
  <c r="I204" i="3"/>
  <c r="C204" i="3" s="1"/>
  <c r="O204" i="3"/>
  <c r="H205" i="3"/>
  <c r="B205" i="3" s="1"/>
  <c r="I205" i="3"/>
  <c r="C205" i="3" s="1"/>
  <c r="O205" i="3"/>
  <c r="M205" i="3" s="1"/>
  <c r="H206" i="3"/>
  <c r="B206" i="3" s="1"/>
  <c r="I206" i="3"/>
  <c r="C206" i="3" s="1"/>
  <c r="O206" i="3"/>
  <c r="H207" i="3"/>
  <c r="B207" i="3" s="1"/>
  <c r="I207" i="3"/>
  <c r="C207" i="3" s="1"/>
  <c r="O207" i="3"/>
  <c r="M207" i="3" s="1"/>
  <c r="H208" i="3"/>
  <c r="B208" i="3" s="1"/>
  <c r="I208" i="3"/>
  <c r="C208" i="3" s="1"/>
  <c r="O208" i="3"/>
  <c r="H209" i="3"/>
  <c r="B209" i="3" s="1"/>
  <c r="I209" i="3"/>
  <c r="C209" i="3" s="1"/>
  <c r="O209" i="3"/>
  <c r="M209" i="3" s="1"/>
  <c r="H210" i="3"/>
  <c r="B210" i="3" s="1"/>
  <c r="I210" i="3"/>
  <c r="C210" i="3" s="1"/>
  <c r="O210" i="3"/>
  <c r="M210" i="3" s="1"/>
  <c r="H211" i="3"/>
  <c r="B211" i="3" s="1"/>
  <c r="I211" i="3"/>
  <c r="C211" i="3" s="1"/>
  <c r="O211" i="3"/>
  <c r="O2" i="3"/>
  <c r="M2" i="3" s="1"/>
  <c r="O3" i="3"/>
  <c r="O4" i="3"/>
  <c r="O5" i="3"/>
  <c r="M5" i="3" s="1"/>
  <c r="O6" i="3"/>
  <c r="M6" i="3" s="1"/>
  <c r="O7" i="3"/>
  <c r="M7" i="3" s="1"/>
  <c r="O8" i="3"/>
  <c r="O9" i="3"/>
  <c r="M9" i="3" s="1"/>
  <c r="O10" i="3"/>
  <c r="M10" i="3" s="1"/>
  <c r="O11" i="3"/>
  <c r="O12" i="3"/>
  <c r="M12" i="3" s="1"/>
  <c r="O13" i="3"/>
  <c r="M13" i="3" s="1"/>
  <c r="O14" i="3"/>
  <c r="M14" i="3" s="1"/>
  <c r="O15" i="3"/>
  <c r="O16" i="3"/>
  <c r="M16" i="3" s="1"/>
  <c r="O17" i="3"/>
  <c r="M17" i="3" s="1"/>
  <c r="O18" i="3"/>
  <c r="M18" i="3" s="1"/>
  <c r="O19" i="3"/>
  <c r="O20" i="3"/>
  <c r="M20" i="3" s="1"/>
  <c r="O21" i="3"/>
  <c r="M21" i="3" s="1"/>
  <c r="O22" i="3"/>
  <c r="M22" i="3" s="1"/>
  <c r="O23" i="3"/>
  <c r="O24" i="3"/>
  <c r="M24" i="3" s="1"/>
  <c r="O25" i="3"/>
  <c r="M25" i="3" s="1"/>
  <c r="O26" i="3"/>
  <c r="M26" i="3" s="1"/>
  <c r="O27" i="3"/>
  <c r="O28" i="3"/>
  <c r="M28" i="3" s="1"/>
  <c r="O29" i="3"/>
  <c r="M29" i="3" s="1"/>
  <c r="O30" i="3"/>
  <c r="M30" i="3" s="1"/>
  <c r="O31" i="3"/>
  <c r="O32" i="3"/>
  <c r="M32" i="3" s="1"/>
  <c r="O33" i="3"/>
  <c r="M33" i="3" s="1"/>
  <c r="O34" i="3"/>
  <c r="M34" i="3" s="1"/>
  <c r="O35" i="3"/>
  <c r="O36" i="3"/>
  <c r="M36" i="3" s="1"/>
  <c r="O37" i="3"/>
  <c r="M37" i="3" s="1"/>
  <c r="O38" i="3"/>
  <c r="M38" i="3" s="1"/>
  <c r="O39" i="3"/>
  <c r="O40" i="3"/>
  <c r="M40" i="3" s="1"/>
  <c r="O41" i="3"/>
  <c r="M41" i="3" s="1"/>
  <c r="O42" i="3"/>
  <c r="M42" i="3" s="1"/>
  <c r="O43" i="3"/>
  <c r="O44" i="3"/>
  <c r="M44" i="3" s="1"/>
  <c r="O45" i="3"/>
  <c r="M45" i="3" s="1"/>
  <c r="O46" i="3"/>
  <c r="M46" i="3" s="1"/>
  <c r="O47" i="3"/>
  <c r="O48" i="3"/>
  <c r="M48" i="3" s="1"/>
  <c r="O49" i="3"/>
  <c r="M49" i="3" s="1"/>
  <c r="O50" i="3"/>
  <c r="M50" i="3" s="1"/>
  <c r="O51" i="3"/>
  <c r="O52" i="3"/>
  <c r="M52" i="3" s="1"/>
  <c r="O53" i="3"/>
  <c r="M53" i="3" s="1"/>
  <c r="O54" i="3"/>
  <c r="M54" i="3" s="1"/>
  <c r="O55" i="3"/>
  <c r="O56" i="3"/>
  <c r="M56" i="3" s="1"/>
  <c r="O57" i="3"/>
  <c r="M57" i="3" s="1"/>
  <c r="O58" i="3"/>
  <c r="M58" i="3" s="1"/>
  <c r="O59" i="3"/>
  <c r="O60" i="3"/>
  <c r="M60" i="3" s="1"/>
  <c r="O61" i="3"/>
  <c r="M61" i="3" s="1"/>
  <c r="O62" i="3"/>
  <c r="M62" i="3" s="1"/>
  <c r="O63" i="3"/>
  <c r="O64" i="3"/>
  <c r="M64" i="3" s="1"/>
  <c r="O65" i="3"/>
  <c r="M65" i="3" s="1"/>
  <c r="O66" i="3"/>
  <c r="M66" i="3" s="1"/>
  <c r="O67" i="3"/>
  <c r="O68" i="3"/>
  <c r="M68" i="3" s="1"/>
  <c r="O69" i="3"/>
  <c r="M69" i="3" s="1"/>
  <c r="O70" i="3"/>
  <c r="M70" i="3" s="1"/>
  <c r="O71" i="3"/>
  <c r="O72" i="3"/>
  <c r="M72" i="3" s="1"/>
  <c r="O73" i="3"/>
  <c r="M73" i="3" s="1"/>
  <c r="O74" i="3"/>
  <c r="M74" i="3" s="1"/>
  <c r="O75" i="3"/>
  <c r="O76" i="3"/>
  <c r="M76" i="3" s="1"/>
  <c r="O77" i="3"/>
  <c r="M77" i="3" s="1"/>
  <c r="O78" i="3"/>
  <c r="M78" i="3" s="1"/>
  <c r="O79" i="3"/>
  <c r="O80" i="3"/>
  <c r="M80" i="3" s="1"/>
  <c r="O81" i="3"/>
  <c r="M81" i="3" s="1"/>
  <c r="O82" i="3"/>
  <c r="M82" i="3" s="1"/>
  <c r="O83" i="3"/>
  <c r="O84" i="3"/>
  <c r="M84" i="3" s="1"/>
  <c r="O85" i="3"/>
  <c r="M85" i="3" s="1"/>
  <c r="O86" i="3"/>
  <c r="O87" i="3"/>
  <c r="O88" i="3"/>
  <c r="M88" i="3" s="1"/>
  <c r="O89" i="3"/>
  <c r="M89" i="3" s="1"/>
  <c r="O90" i="3"/>
  <c r="O91" i="3"/>
  <c r="O92" i="3"/>
  <c r="M92" i="3" s="1"/>
  <c r="O93" i="3"/>
  <c r="M93" i="3" s="1"/>
  <c r="O94" i="3"/>
  <c r="O95" i="3"/>
  <c r="O96" i="3"/>
  <c r="M96" i="3" s="1"/>
  <c r="O97" i="3"/>
  <c r="M97" i="3" s="1"/>
  <c r="O98" i="3"/>
  <c r="O99" i="3"/>
  <c r="O100" i="3"/>
  <c r="M100" i="3" s="1"/>
  <c r="O101" i="3"/>
  <c r="M101" i="3" s="1"/>
  <c r="O102" i="3"/>
  <c r="O103" i="3"/>
  <c r="O104" i="3"/>
  <c r="M104" i="3" s="1"/>
  <c r="O105" i="3"/>
  <c r="M105" i="3" s="1"/>
  <c r="O106" i="3"/>
  <c r="M106" i="3" s="1"/>
  <c r="O107" i="3"/>
  <c r="O108" i="3"/>
  <c r="M108" i="3" s="1"/>
  <c r="O109" i="3"/>
  <c r="M109" i="3" s="1"/>
  <c r="O110" i="3"/>
  <c r="O111" i="3"/>
  <c r="O112" i="3"/>
  <c r="M112" i="3" s="1"/>
  <c r="O113" i="3"/>
  <c r="M113" i="3" s="1"/>
  <c r="O114" i="3"/>
  <c r="O115" i="3"/>
  <c r="O116" i="3"/>
  <c r="M116" i="3" s="1"/>
  <c r="O117" i="3"/>
  <c r="M117" i="3" s="1"/>
  <c r="O118" i="3"/>
  <c r="O119" i="3"/>
  <c r="O120" i="3"/>
  <c r="M120" i="3" s="1"/>
  <c r="O121" i="3"/>
  <c r="M121" i="3" s="1"/>
  <c r="O122" i="3"/>
  <c r="O123" i="3"/>
  <c r="O124" i="3"/>
  <c r="M124" i="3" s="1"/>
  <c r="O125" i="3"/>
  <c r="M125" i="3" s="1"/>
  <c r="O126" i="3"/>
  <c r="O127" i="3"/>
  <c r="O128" i="3"/>
  <c r="M128" i="3" s="1"/>
  <c r="O129" i="3"/>
  <c r="M129" i="3" s="1"/>
  <c r="O130" i="3"/>
  <c r="O131" i="3"/>
  <c r="O132" i="3"/>
  <c r="M132" i="3" s="1"/>
  <c r="O133" i="3"/>
  <c r="M133" i="3" s="1"/>
  <c r="O134" i="3"/>
  <c r="O135" i="3"/>
  <c r="O136" i="3"/>
  <c r="M136" i="3" s="1"/>
  <c r="O137" i="3"/>
  <c r="M137" i="3" s="1"/>
  <c r="O138" i="3"/>
  <c r="O139" i="3"/>
  <c r="O140" i="3"/>
  <c r="M140" i="3" s="1"/>
  <c r="O141" i="3"/>
  <c r="M141" i="3" s="1"/>
  <c r="O142" i="3"/>
  <c r="M142" i="3" s="1"/>
  <c r="O143" i="3"/>
  <c r="O144" i="3"/>
  <c r="M144" i="3" s="1"/>
  <c r="O145" i="3"/>
  <c r="M145" i="3" s="1"/>
  <c r="O146" i="3"/>
  <c r="O147" i="3"/>
  <c r="O148" i="3"/>
  <c r="M148" i="3" s="1"/>
  <c r="O149" i="3"/>
  <c r="M149" i="3" s="1"/>
  <c r="O150" i="3"/>
  <c r="O151" i="3"/>
  <c r="O152" i="3"/>
  <c r="O153" i="3"/>
  <c r="M153" i="3" s="1"/>
  <c r="O154" i="3"/>
  <c r="O155" i="3"/>
  <c r="O156" i="3"/>
  <c r="M156" i="3" s="1"/>
  <c r="O157" i="3"/>
  <c r="M157" i="3" s="1"/>
  <c r="O158" i="3"/>
  <c r="O159" i="3"/>
  <c r="O160" i="3"/>
  <c r="M160" i="3" s="1"/>
  <c r="O161" i="3"/>
  <c r="M161" i="3" s="1"/>
  <c r="O162" i="3"/>
  <c r="O163" i="3"/>
  <c r="O164" i="3"/>
  <c r="M164" i="3" s="1"/>
  <c r="O165" i="3"/>
  <c r="M165" i="3" s="1"/>
  <c r="O166" i="3"/>
  <c r="O167" i="3"/>
  <c r="O168" i="3"/>
  <c r="M168" i="3" s="1"/>
  <c r="O169" i="3"/>
  <c r="M169" i="3" s="1"/>
  <c r="O170" i="3"/>
  <c r="M170" i="3" s="1"/>
  <c r="O171" i="3"/>
  <c r="O172" i="3"/>
  <c r="M172" i="3" s="1"/>
  <c r="O173" i="3"/>
  <c r="M173" i="3" s="1"/>
  <c r="O174" i="3"/>
  <c r="O175" i="3"/>
  <c r="O176" i="3"/>
  <c r="M176" i="3" s="1"/>
  <c r="O177" i="3"/>
  <c r="M177" i="3" s="1"/>
  <c r="O178" i="3"/>
  <c r="O179" i="3"/>
  <c r="O180" i="3"/>
  <c r="M180" i="3" s="1"/>
  <c r="O181" i="3"/>
  <c r="M181" i="3" s="1"/>
  <c r="O182" i="3"/>
  <c r="O183" i="3"/>
  <c r="O184" i="3"/>
  <c r="M184" i="3" s="1"/>
  <c r="O185" i="3"/>
  <c r="M185" i="3" s="1"/>
  <c r="O186" i="3"/>
  <c r="O187" i="3"/>
  <c r="O188" i="3"/>
  <c r="M188" i="3" s="1"/>
  <c r="O189" i="3"/>
  <c r="M189" i="3" s="1"/>
  <c r="O190" i="3"/>
  <c r="O191" i="3"/>
  <c r="O192" i="3"/>
  <c r="M192" i="3" s="1"/>
  <c r="O193" i="3"/>
  <c r="M193" i="3" s="1"/>
  <c r="O194" i="3"/>
  <c r="O195" i="3"/>
  <c r="O196" i="3"/>
  <c r="M196" i="3" s="1"/>
  <c r="O197" i="3"/>
  <c r="M197" i="3" s="1"/>
  <c r="O198" i="3"/>
  <c r="O199" i="3"/>
  <c r="O200" i="3"/>
  <c r="M200" i="3" s="1"/>
  <c r="O201" i="3"/>
  <c r="M201" i="3" s="1"/>
  <c r="O202" i="3"/>
  <c r="O212" i="3"/>
  <c r="O213" i="3"/>
  <c r="O214" i="3"/>
  <c r="M214" i="3" s="1"/>
  <c r="O215" i="3"/>
  <c r="O216" i="3"/>
  <c r="O217" i="3"/>
  <c r="M217" i="3" s="1"/>
  <c r="O218" i="3"/>
  <c r="O219" i="3"/>
  <c r="O220" i="3"/>
  <c r="O221" i="3"/>
  <c r="M221" i="3" s="1"/>
  <c r="O222" i="3"/>
  <c r="O223" i="3"/>
  <c r="O224" i="3"/>
  <c r="O225" i="3"/>
  <c r="O226" i="3"/>
  <c r="O227" i="3"/>
  <c r="O228" i="3"/>
  <c r="M228" i="3" s="1"/>
  <c r="O229" i="3"/>
  <c r="O230" i="3"/>
  <c r="M230" i="3" s="1"/>
  <c r="O231" i="3"/>
  <c r="O232" i="3"/>
  <c r="M232" i="3" s="1"/>
  <c r="O233" i="3"/>
  <c r="O234" i="3"/>
  <c r="O235" i="3"/>
  <c r="M235" i="3" s="1"/>
  <c r="O236" i="3"/>
  <c r="M236" i="3" s="1"/>
  <c r="O237" i="3"/>
  <c r="O238" i="3"/>
  <c r="O239" i="3"/>
  <c r="M239" i="3" s="1"/>
  <c r="O240" i="3"/>
  <c r="M240" i="3" s="1"/>
  <c r="O241" i="3"/>
  <c r="O242" i="3"/>
  <c r="O243" i="3"/>
  <c r="M243" i="3" s="1"/>
  <c r="O244" i="3"/>
  <c r="M244" i="3" s="1"/>
  <c r="O245" i="3"/>
  <c r="O246" i="3"/>
  <c r="O247" i="3"/>
  <c r="M247" i="3" s="1"/>
  <c r="O248" i="3"/>
  <c r="M248" i="3" s="1"/>
  <c r="O249" i="3"/>
  <c r="M249" i="3" s="1"/>
  <c r="O250" i="3"/>
  <c r="M250" i="3" s="1"/>
  <c r="O251" i="3"/>
  <c r="O252" i="3"/>
  <c r="O253" i="3"/>
  <c r="M253" i="3" s="1"/>
  <c r="O254" i="3"/>
  <c r="O255" i="3"/>
  <c r="O256" i="3"/>
  <c r="M256" i="3" s="1"/>
  <c r="O257" i="3"/>
  <c r="O258" i="3"/>
  <c r="M258" i="3" s="1"/>
  <c r="O259" i="3"/>
  <c r="O260" i="3"/>
  <c r="O261" i="3"/>
  <c r="M261" i="3" s="1"/>
  <c r="O262" i="3"/>
  <c r="M262" i="3" s="1"/>
  <c r="O263" i="3"/>
  <c r="O264" i="3"/>
  <c r="O265" i="3"/>
  <c r="M265" i="3" s="1"/>
  <c r="O266" i="3"/>
  <c r="M266" i="3" s="1"/>
  <c r="O267" i="3"/>
  <c r="O268" i="3"/>
  <c r="M268" i="3" s="1"/>
  <c r="O269" i="3"/>
  <c r="M269" i="3" s="1"/>
  <c r="O270" i="3"/>
  <c r="O271" i="3"/>
  <c r="O272" i="3"/>
  <c r="O273" i="3"/>
  <c r="M273" i="3" s="1"/>
  <c r="O274" i="3"/>
  <c r="M274" i="3" s="1"/>
  <c r="O275" i="3"/>
  <c r="O276" i="3"/>
  <c r="O277" i="3"/>
  <c r="M277" i="3" s="1"/>
  <c r="O278" i="3"/>
  <c r="M278" i="3" s="1"/>
  <c r="O279" i="3"/>
  <c r="O280" i="3"/>
  <c r="O281" i="3"/>
  <c r="M281" i="3" s="1"/>
  <c r="O282" i="3"/>
  <c r="O283" i="3"/>
  <c r="O284" i="3"/>
  <c r="M284" i="3" s="1"/>
  <c r="O285" i="3"/>
  <c r="M285" i="3" s="1"/>
  <c r="O286" i="3"/>
  <c r="O287" i="3"/>
  <c r="O288" i="3"/>
  <c r="M288" i="3" s="1"/>
  <c r="O289" i="3"/>
  <c r="M289" i="3" s="1"/>
  <c r="O290" i="3"/>
  <c r="O291" i="3"/>
  <c r="O292" i="3"/>
  <c r="M292" i="3" s="1"/>
  <c r="O293" i="3"/>
  <c r="M293" i="3" s="1"/>
  <c r="O294" i="3"/>
  <c r="O295" i="3"/>
  <c r="O296" i="3"/>
  <c r="M296" i="3" s="1"/>
  <c r="O297" i="3"/>
  <c r="M297" i="3" s="1"/>
  <c r="O298" i="3"/>
  <c r="O299" i="3"/>
  <c r="O300" i="3"/>
  <c r="M300" i="3" s="1"/>
  <c r="O301" i="3"/>
  <c r="M301" i="3" s="1"/>
  <c r="O302" i="3"/>
  <c r="O303" i="3"/>
  <c r="M303" i="3" s="1"/>
  <c r="O304" i="3"/>
  <c r="M304" i="3" s="1"/>
  <c r="O305" i="3"/>
  <c r="O306" i="3"/>
  <c r="O307" i="3"/>
  <c r="M307" i="3" s="1"/>
  <c r="O308" i="3"/>
  <c r="M308" i="3" s="1"/>
  <c r="O309" i="3"/>
  <c r="O310" i="3"/>
  <c r="O311" i="3"/>
  <c r="M311" i="3" s="1"/>
  <c r="O312" i="3"/>
  <c r="M312" i="3" s="1"/>
  <c r="O313" i="3"/>
  <c r="O314" i="3"/>
  <c r="O315" i="3"/>
  <c r="M315" i="3" s="1"/>
  <c r="O316" i="3"/>
  <c r="M316" i="3" s="1"/>
  <c r="O317" i="3"/>
  <c r="O318" i="3"/>
  <c r="O319" i="3"/>
  <c r="M319" i="3" s="1"/>
  <c r="O320" i="3"/>
  <c r="O321" i="3"/>
  <c r="O322" i="3"/>
  <c r="M322" i="3" s="1"/>
  <c r="O323" i="3"/>
  <c r="O324" i="3"/>
  <c r="O325" i="3"/>
  <c r="O326" i="3"/>
  <c r="M326" i="3" s="1"/>
  <c r="O327" i="3"/>
  <c r="O328" i="3"/>
  <c r="O329" i="3"/>
  <c r="O330" i="3"/>
  <c r="O331" i="3"/>
  <c r="O332" i="3"/>
  <c r="O333" i="3"/>
  <c r="O334" i="3"/>
  <c r="M334" i="3" s="1"/>
  <c r="O335" i="3"/>
  <c r="O336" i="3"/>
  <c r="O337" i="3"/>
  <c r="M337" i="3" s="1"/>
  <c r="O338" i="3"/>
  <c r="O339" i="3"/>
  <c r="O340" i="3"/>
  <c r="O341" i="3"/>
  <c r="M341" i="3" s="1"/>
  <c r="O342" i="3"/>
  <c r="O343" i="3"/>
  <c r="O344" i="3"/>
  <c r="M344" i="3" s="1"/>
  <c r="O345" i="3"/>
  <c r="O346" i="3"/>
  <c r="O347" i="3"/>
  <c r="O348" i="3"/>
  <c r="O349" i="3"/>
  <c r="M349" i="3" s="1"/>
  <c r="O350" i="3"/>
  <c r="O351" i="3"/>
  <c r="O352" i="3"/>
  <c r="O353" i="3"/>
  <c r="M353" i="3" s="1"/>
  <c r="O354" i="3"/>
  <c r="O355" i="3"/>
  <c r="O356" i="3"/>
  <c r="O357" i="3"/>
  <c r="M357" i="3" s="1"/>
  <c r="O358" i="3"/>
  <c r="O359" i="3"/>
  <c r="O360" i="3"/>
  <c r="O361" i="3"/>
  <c r="O362" i="3"/>
  <c r="M362" i="3" s="1"/>
  <c r="O363" i="3"/>
  <c r="O364" i="3"/>
  <c r="O365" i="3"/>
  <c r="O366" i="3"/>
  <c r="M366" i="3" s="1"/>
  <c r="O367" i="3"/>
  <c r="O368" i="3"/>
  <c r="O369" i="3"/>
  <c r="O370" i="3"/>
  <c r="O371" i="3"/>
  <c r="O372" i="3"/>
  <c r="O373" i="3"/>
  <c r="O374" i="3"/>
  <c r="M374" i="3" s="1"/>
  <c r="O375" i="3"/>
  <c r="O376" i="3"/>
  <c r="O377" i="3"/>
  <c r="O378" i="3"/>
  <c r="M378" i="3" s="1"/>
  <c r="O379" i="3"/>
  <c r="O380" i="3"/>
  <c r="O381" i="3"/>
  <c r="O382" i="3"/>
  <c r="M382" i="3" s="1"/>
  <c r="O383" i="3"/>
  <c r="O384" i="3"/>
  <c r="O385" i="3"/>
  <c r="M385" i="3" s="1"/>
  <c r="O386" i="3"/>
  <c r="O387" i="3"/>
  <c r="O388" i="3"/>
  <c r="O389" i="3"/>
  <c r="O390" i="3"/>
  <c r="M390" i="3" s="1"/>
  <c r="O391" i="3"/>
  <c r="O392" i="3"/>
  <c r="O393" i="3"/>
  <c r="O394" i="3"/>
  <c r="O395" i="3"/>
  <c r="O396" i="3"/>
  <c r="O397" i="3"/>
  <c r="M397" i="3" s="1"/>
  <c r="O398" i="3"/>
  <c r="O399" i="3"/>
  <c r="O400" i="3"/>
  <c r="O401" i="3"/>
  <c r="O402" i="3"/>
  <c r="O403" i="3"/>
  <c r="O404" i="3"/>
  <c r="O405" i="3"/>
  <c r="M405" i="3" s="1"/>
  <c r="O406" i="3"/>
  <c r="O407" i="3"/>
  <c r="O408" i="3"/>
  <c r="M408" i="3" s="1"/>
  <c r="O409" i="3"/>
  <c r="O410" i="3"/>
  <c r="O411" i="3"/>
  <c r="M411" i="3" s="1"/>
  <c r="O412" i="3"/>
  <c r="O413" i="3"/>
  <c r="O414" i="3"/>
  <c r="M414" i="3" s="1"/>
  <c r="O415" i="3"/>
  <c r="O416" i="3"/>
  <c r="O417" i="3"/>
  <c r="O418" i="3"/>
  <c r="M418" i="3" s="1"/>
  <c r="O419" i="3"/>
  <c r="O420" i="3"/>
  <c r="O421" i="3"/>
  <c r="O422" i="3"/>
  <c r="M422" i="3" s="1"/>
  <c r="O423" i="3"/>
  <c r="O424" i="3"/>
  <c r="O425" i="3"/>
  <c r="O426" i="3"/>
  <c r="M426" i="3" s="1"/>
  <c r="O427" i="3"/>
  <c r="O428" i="3"/>
  <c r="O429" i="3"/>
  <c r="O430" i="3"/>
  <c r="O431" i="3"/>
  <c r="O432" i="3"/>
  <c r="O433" i="3"/>
  <c r="O434" i="3"/>
  <c r="M434" i="3" s="1"/>
  <c r="O435" i="3"/>
  <c r="O436" i="3"/>
  <c r="O437" i="3"/>
  <c r="M437" i="3" s="1"/>
  <c r="O438" i="3"/>
  <c r="O439" i="3"/>
  <c r="O440" i="3"/>
  <c r="O441" i="3"/>
  <c r="M441" i="3" s="1"/>
  <c r="O442" i="3"/>
  <c r="O443" i="3"/>
  <c r="O444" i="3"/>
  <c r="O445" i="3"/>
  <c r="O446" i="3"/>
  <c r="O447" i="3"/>
  <c r="O448" i="3"/>
  <c r="O449" i="3"/>
  <c r="M449" i="3" s="1"/>
  <c r="O450" i="3"/>
  <c r="O451" i="3"/>
  <c r="O452" i="3"/>
  <c r="O453" i="3"/>
  <c r="M453" i="3" s="1"/>
  <c r="O454" i="3"/>
  <c r="O455" i="3"/>
  <c r="O456" i="3"/>
  <c r="O457" i="3"/>
  <c r="M457" i="3" s="1"/>
  <c r="O458" i="3"/>
  <c r="O459" i="3"/>
  <c r="M459" i="3" s="1"/>
  <c r="O460" i="3"/>
  <c r="O461" i="3"/>
  <c r="O462" i="3"/>
  <c r="O463" i="3"/>
  <c r="O464" i="3"/>
  <c r="M464" i="3" s="1"/>
  <c r="O465" i="3"/>
  <c r="O466" i="3"/>
  <c r="O467" i="3"/>
  <c r="O468" i="3"/>
  <c r="M468" i="3" s="1"/>
  <c r="O469" i="3"/>
  <c r="O470" i="3"/>
  <c r="O471" i="3"/>
  <c r="O472" i="3"/>
  <c r="M472" i="3" s="1"/>
  <c r="O473" i="3"/>
  <c r="O474" i="3"/>
  <c r="O475" i="3"/>
  <c r="O476" i="3"/>
  <c r="O477" i="3"/>
  <c r="O478" i="3"/>
  <c r="O479" i="3"/>
  <c r="O480" i="3"/>
  <c r="M480" i="3" s="1"/>
  <c r="O481" i="3"/>
  <c r="O482" i="3"/>
  <c r="O483" i="3"/>
  <c r="O484" i="3"/>
  <c r="M484" i="3" s="1"/>
  <c r="O485" i="3"/>
  <c r="O486" i="3"/>
  <c r="O487" i="3"/>
  <c r="O488" i="3"/>
  <c r="M488" i="3" s="1"/>
  <c r="O489" i="3"/>
  <c r="O490" i="3"/>
  <c r="O491" i="3"/>
  <c r="O492" i="3"/>
  <c r="O493" i="3"/>
  <c r="O494" i="3"/>
  <c r="O495" i="3"/>
  <c r="O496" i="3"/>
  <c r="M496" i="3" s="1"/>
  <c r="O497" i="3"/>
  <c r="O498" i="3"/>
  <c r="O499" i="3"/>
  <c r="O500" i="3"/>
  <c r="M500" i="3" s="1"/>
  <c r="O501" i="3"/>
  <c r="O502" i="3"/>
  <c r="O503" i="3"/>
  <c r="O504" i="3"/>
  <c r="M504" i="3" s="1"/>
  <c r="O505" i="3"/>
  <c r="O506" i="3"/>
  <c r="O507" i="3"/>
  <c r="M507" i="3" s="1"/>
  <c r="O508" i="3"/>
  <c r="O509" i="3"/>
  <c r="O510" i="3"/>
  <c r="O511" i="3"/>
  <c r="O512" i="3"/>
  <c r="M512" i="3" s="1"/>
  <c r="O513" i="3"/>
  <c r="O514" i="3"/>
  <c r="O515" i="3"/>
  <c r="O516" i="3"/>
  <c r="M516" i="3" s="1"/>
  <c r="O517" i="3"/>
  <c r="O518" i="3"/>
  <c r="O519" i="3"/>
  <c r="O520" i="3"/>
  <c r="O522" i="3"/>
  <c r="O523" i="3"/>
  <c r="O524" i="3"/>
  <c r="M524" i="3" s="1"/>
  <c r="O525" i="3"/>
  <c r="O526" i="3"/>
  <c r="O527" i="3"/>
  <c r="O528" i="3"/>
  <c r="O529" i="3"/>
  <c r="M529" i="3" s="1"/>
  <c r="O530" i="3"/>
  <c r="M530" i="3" s="1"/>
  <c r="O531" i="3"/>
  <c r="O532" i="3"/>
  <c r="M532" i="3" s="1"/>
  <c r="O533" i="3"/>
  <c r="O534" i="3"/>
  <c r="O535" i="3"/>
  <c r="M535" i="3" s="1"/>
  <c r="O536" i="3"/>
  <c r="O537" i="3"/>
  <c r="M537" i="3" s="1"/>
  <c r="O538" i="3"/>
  <c r="M538" i="3" s="1"/>
  <c r="O539" i="3"/>
  <c r="O540" i="3"/>
  <c r="M540" i="3" s="1"/>
  <c r="O541" i="3"/>
  <c r="O542" i="3"/>
  <c r="O543" i="3"/>
  <c r="O544" i="3"/>
  <c r="O545" i="3"/>
  <c r="M545" i="3" s="1"/>
  <c r="O546" i="3"/>
  <c r="M546" i="3" s="1"/>
  <c r="O547" i="3"/>
  <c r="O548" i="3"/>
  <c r="M548" i="3" s="1"/>
  <c r="O549" i="3"/>
  <c r="O550" i="3"/>
  <c r="O551" i="3"/>
  <c r="O552" i="3"/>
  <c r="O553" i="3"/>
  <c r="M553" i="3" s="1"/>
  <c r="O554" i="3"/>
  <c r="M554" i="3" s="1"/>
  <c r="O555" i="3"/>
  <c r="O556" i="3"/>
  <c r="M556" i="3" s="1"/>
  <c r="O557" i="3"/>
  <c r="O558" i="3"/>
  <c r="O559" i="3"/>
  <c r="O560" i="3"/>
  <c r="O561" i="3"/>
  <c r="M561" i="3" s="1"/>
  <c r="O562" i="3"/>
  <c r="O563" i="3"/>
  <c r="M563" i="3" s="1"/>
  <c r="O564" i="3"/>
  <c r="O565" i="3"/>
  <c r="O566" i="3"/>
  <c r="O567" i="3"/>
  <c r="M567" i="3" s="1"/>
  <c r="O568" i="3"/>
  <c r="M568" i="3" s="1"/>
  <c r="O569" i="3"/>
  <c r="O570" i="3"/>
  <c r="M570" i="3" s="1"/>
  <c r="O571" i="3"/>
  <c r="O572" i="3"/>
  <c r="O573" i="3"/>
  <c r="O574" i="3"/>
  <c r="O575" i="3"/>
  <c r="M575" i="3" s="1"/>
  <c r="O576" i="3"/>
  <c r="O577" i="3"/>
  <c r="M577" i="3" s="1"/>
  <c r="O578" i="3"/>
  <c r="O579" i="3"/>
  <c r="O580" i="3"/>
  <c r="M580" i="3" s="1"/>
  <c r="O581" i="3"/>
  <c r="O582" i="3"/>
  <c r="M582" i="3" s="1"/>
  <c r="O583" i="3"/>
  <c r="M583" i="3" s="1"/>
  <c r="O584" i="3"/>
  <c r="O585" i="3"/>
  <c r="M585" i="3" s="1"/>
  <c r="O586" i="3"/>
  <c r="O587" i="3"/>
  <c r="O588" i="3"/>
  <c r="O589" i="3"/>
  <c r="M589" i="3" s="1"/>
  <c r="O590" i="3"/>
  <c r="M590" i="3" s="1"/>
  <c r="O591" i="3"/>
  <c r="O592" i="3"/>
  <c r="M592" i="3" s="1"/>
  <c r="O593" i="3"/>
  <c r="O594" i="3"/>
  <c r="O595" i="3"/>
  <c r="O596" i="3"/>
  <c r="O597" i="3"/>
  <c r="M597" i="3" s="1"/>
  <c r="O598" i="3"/>
  <c r="M598" i="3" s="1"/>
  <c r="O599" i="3"/>
  <c r="O600" i="3"/>
  <c r="M600" i="3" s="1"/>
  <c r="O601" i="3"/>
  <c r="O602" i="3"/>
  <c r="O603" i="3"/>
  <c r="O604" i="3"/>
  <c r="O605" i="3"/>
  <c r="M605" i="3" s="1"/>
  <c r="O606" i="3"/>
  <c r="M606" i="3" s="1"/>
  <c r="O607" i="3"/>
  <c r="O608" i="3"/>
  <c r="M608" i="3" s="1"/>
  <c r="O609" i="3"/>
  <c r="O610" i="3"/>
  <c r="O611" i="3"/>
  <c r="M611" i="3" s="1"/>
  <c r="O612" i="3"/>
  <c r="O613" i="3"/>
  <c r="O614" i="3"/>
  <c r="O615" i="3"/>
  <c r="O616" i="3"/>
  <c r="M616" i="3" s="1"/>
  <c r="O617" i="3"/>
  <c r="O618" i="3"/>
  <c r="O619" i="3"/>
  <c r="O620" i="3"/>
  <c r="O621" i="3"/>
  <c r="O622" i="3"/>
  <c r="O623" i="3"/>
  <c r="O624" i="3"/>
  <c r="M624" i="3" s="1"/>
  <c r="O625" i="3"/>
  <c r="O626" i="3"/>
  <c r="O627" i="3"/>
  <c r="M627" i="3" s="1"/>
  <c r="O628" i="3"/>
  <c r="O629" i="3"/>
  <c r="O630" i="3"/>
  <c r="O631" i="3"/>
  <c r="M631" i="3" s="1"/>
  <c r="O632" i="3"/>
  <c r="M632" i="3" s="1"/>
  <c r="O633" i="3"/>
  <c r="O634" i="3"/>
  <c r="O635" i="3"/>
  <c r="O636" i="3"/>
  <c r="O637" i="3"/>
  <c r="O638" i="3"/>
  <c r="O639" i="3"/>
  <c r="O640" i="3"/>
  <c r="M640" i="3" s="1"/>
  <c r="O641" i="3"/>
  <c r="O642" i="3"/>
  <c r="O643" i="3"/>
  <c r="O644" i="3"/>
  <c r="O645" i="3"/>
  <c r="O646" i="3"/>
  <c r="O647" i="3"/>
  <c r="M647" i="3" s="1"/>
  <c r="O648" i="3"/>
  <c r="M648" i="3" s="1"/>
  <c r="O649" i="3"/>
  <c r="O650" i="3"/>
  <c r="O651" i="3"/>
  <c r="O652" i="3"/>
  <c r="O653" i="3"/>
  <c r="O654" i="3"/>
  <c r="O655" i="3"/>
  <c r="O656" i="3"/>
  <c r="M656" i="3" s="1"/>
  <c r="O657" i="3"/>
  <c r="O658" i="3"/>
  <c r="O659" i="3"/>
  <c r="M659" i="3" s="1"/>
  <c r="O660" i="3"/>
  <c r="O661" i="3"/>
  <c r="O662" i="3"/>
  <c r="O663" i="3"/>
  <c r="O664" i="3"/>
  <c r="M664" i="3" s="1"/>
  <c r="O665" i="3"/>
  <c r="O666" i="3"/>
  <c r="O667" i="3"/>
  <c r="O668" i="3"/>
  <c r="O669" i="3"/>
  <c r="O670" i="3"/>
  <c r="O671" i="3"/>
  <c r="O672" i="3"/>
  <c r="M672" i="3" s="1"/>
  <c r="O673" i="3"/>
  <c r="O674" i="3"/>
  <c r="O675" i="3"/>
  <c r="O676" i="3"/>
  <c r="O677" i="3"/>
  <c r="O678" i="3"/>
  <c r="O679" i="3"/>
  <c r="O680" i="3"/>
  <c r="M680" i="3" s="1"/>
  <c r="O681" i="3"/>
  <c r="O682" i="3"/>
  <c r="O683" i="3"/>
  <c r="O684" i="3"/>
  <c r="O685" i="3"/>
  <c r="O686" i="3"/>
  <c r="O687" i="3"/>
  <c r="O688" i="3"/>
  <c r="M688" i="3" s="1"/>
  <c r="O689" i="3"/>
  <c r="O690" i="3"/>
  <c r="O691" i="3"/>
  <c r="O692" i="3"/>
  <c r="O693" i="3"/>
  <c r="O694" i="3"/>
  <c r="O695" i="3"/>
  <c r="M695" i="3" s="1"/>
  <c r="O696" i="3"/>
  <c r="M696" i="3" s="1"/>
  <c r="O697" i="3"/>
  <c r="O698" i="3"/>
  <c r="O699" i="3"/>
  <c r="O700" i="3"/>
  <c r="O701" i="3"/>
  <c r="O702" i="3"/>
  <c r="O703" i="3"/>
  <c r="M703" i="3" s="1"/>
  <c r="O704" i="3"/>
  <c r="M704" i="3" s="1"/>
  <c r="O705" i="3"/>
  <c r="O706" i="3"/>
  <c r="O707" i="3"/>
  <c r="M707" i="3" s="1"/>
  <c r="O708" i="3"/>
  <c r="O709" i="3"/>
  <c r="O710" i="3"/>
  <c r="O711" i="3"/>
  <c r="O712" i="3"/>
  <c r="M712" i="3" s="1"/>
  <c r="O713" i="3"/>
  <c r="O714" i="3"/>
  <c r="O715" i="3"/>
  <c r="O716" i="3"/>
  <c r="O717" i="3"/>
  <c r="O718" i="3"/>
  <c r="O719" i="3"/>
  <c r="M719" i="3" s="1"/>
  <c r="O720" i="3"/>
  <c r="M720" i="3" s="1"/>
  <c r="O721" i="3"/>
  <c r="O722" i="3"/>
  <c r="O723" i="3"/>
  <c r="O724" i="3"/>
  <c r="O725" i="3"/>
  <c r="O726" i="3"/>
  <c r="O727" i="3"/>
  <c r="O728" i="3"/>
  <c r="M728" i="3" s="1"/>
  <c r="O729" i="3"/>
  <c r="O730" i="3"/>
  <c r="O731" i="3"/>
  <c r="O732" i="3"/>
  <c r="O733" i="3"/>
  <c r="O734" i="3"/>
  <c r="O735" i="3"/>
  <c r="O736" i="3"/>
  <c r="M736" i="3" s="1"/>
  <c r="O737" i="3"/>
  <c r="O738" i="3"/>
  <c r="O739" i="3"/>
  <c r="O740" i="3"/>
  <c r="O741" i="3"/>
  <c r="O742" i="3"/>
  <c r="O743" i="3"/>
  <c r="O744" i="3"/>
  <c r="M744" i="3" s="1"/>
  <c r="O745" i="3"/>
  <c r="O746" i="3"/>
  <c r="O747" i="3"/>
  <c r="M747" i="3" s="1"/>
  <c r="O748" i="3"/>
  <c r="O749" i="3"/>
  <c r="O750" i="3"/>
  <c r="O751" i="3"/>
  <c r="O752" i="3"/>
  <c r="M752" i="3" s="1"/>
  <c r="O753" i="3"/>
  <c r="O754" i="3"/>
  <c r="O755" i="3"/>
  <c r="M755" i="3" s="1"/>
  <c r="O756" i="3"/>
  <c r="O757" i="3"/>
  <c r="O758" i="3"/>
  <c r="O759" i="3"/>
  <c r="M759" i="3" s="1"/>
  <c r="O760" i="3"/>
  <c r="M760" i="3" s="1"/>
  <c r="O761" i="3"/>
  <c r="O762" i="3"/>
  <c r="O763" i="3"/>
  <c r="O764" i="3"/>
  <c r="O765" i="3"/>
  <c r="O766" i="3"/>
  <c r="O767" i="3"/>
  <c r="O768" i="3"/>
  <c r="M768" i="3" s="1"/>
  <c r="O769" i="3"/>
  <c r="O770" i="3"/>
  <c r="O771" i="3"/>
  <c r="O772" i="3"/>
  <c r="O773" i="3"/>
  <c r="O774" i="3"/>
  <c r="O775" i="3"/>
  <c r="O776" i="3"/>
  <c r="M776" i="3" s="1"/>
  <c r="O777" i="3"/>
  <c r="O778" i="3"/>
  <c r="O779" i="3"/>
  <c r="O780" i="3"/>
  <c r="O781" i="3"/>
  <c r="O782" i="3"/>
  <c r="O783" i="3"/>
  <c r="M783" i="3" s="1"/>
  <c r="O784" i="3"/>
  <c r="M784" i="3" s="1"/>
  <c r="O785" i="3"/>
  <c r="O786" i="3"/>
  <c r="O787" i="3"/>
  <c r="M787" i="3" s="1"/>
  <c r="O788" i="3"/>
  <c r="O789" i="3"/>
  <c r="O790" i="3"/>
  <c r="O791" i="3"/>
  <c r="O792" i="3"/>
  <c r="M792" i="3" s="1"/>
  <c r="O793" i="3"/>
  <c r="O794" i="3"/>
  <c r="O795" i="3"/>
  <c r="M795" i="3" s="1"/>
  <c r="O796" i="3"/>
  <c r="O797" i="3"/>
  <c r="O798" i="3"/>
  <c r="O799" i="3"/>
  <c r="O800" i="3"/>
  <c r="M800" i="3" s="1"/>
  <c r="O801" i="3"/>
  <c r="O802" i="3"/>
  <c r="O803" i="3"/>
  <c r="O804" i="3"/>
  <c r="O805" i="3"/>
  <c r="O806" i="3"/>
  <c r="O807" i="3"/>
  <c r="O808" i="3"/>
  <c r="M808" i="3" s="1"/>
  <c r="O809" i="3"/>
  <c r="O810" i="3"/>
  <c r="O811" i="3"/>
  <c r="O812" i="3"/>
  <c r="O813" i="3"/>
  <c r="O814" i="3"/>
  <c r="O815" i="3"/>
  <c r="O816" i="3"/>
  <c r="M816" i="3" s="1"/>
  <c r="O817" i="3"/>
  <c r="O818" i="3"/>
  <c r="O819" i="3"/>
  <c r="O820" i="3"/>
  <c r="O821" i="3"/>
  <c r="O822" i="3"/>
  <c r="O823" i="3"/>
  <c r="O824" i="3"/>
  <c r="M824" i="3" s="1"/>
  <c r="O825" i="3"/>
  <c r="O826" i="3"/>
  <c r="O827" i="3"/>
  <c r="O828" i="3"/>
  <c r="O829" i="3"/>
  <c r="O830" i="3"/>
  <c r="O831" i="3"/>
  <c r="O832" i="3"/>
  <c r="M832" i="3" s="1"/>
  <c r="O833" i="3"/>
  <c r="O834" i="3"/>
  <c r="O835" i="3"/>
  <c r="M835" i="3" s="1"/>
  <c r="O836" i="3"/>
  <c r="O837" i="3"/>
  <c r="O838" i="3"/>
  <c r="O839" i="3"/>
  <c r="M839" i="3" s="1"/>
  <c r="O840" i="3"/>
  <c r="M840" i="3" s="1"/>
  <c r="O841" i="3"/>
  <c r="O842" i="3"/>
  <c r="O843" i="3"/>
  <c r="O844" i="3"/>
  <c r="O845" i="3"/>
  <c r="O846" i="3"/>
  <c r="O847" i="3"/>
  <c r="O848" i="3"/>
  <c r="M848" i="3" s="1"/>
  <c r="O849" i="3"/>
  <c r="O850" i="3"/>
  <c r="O851" i="3"/>
  <c r="O852" i="3"/>
  <c r="O853" i="3"/>
  <c r="O854" i="3"/>
  <c r="O855" i="3"/>
  <c r="O856" i="3"/>
  <c r="M856" i="3" s="1"/>
  <c r="O857" i="3"/>
  <c r="O858" i="3"/>
  <c r="O859" i="3"/>
  <c r="O860" i="3"/>
  <c r="O861" i="3"/>
  <c r="O862" i="3"/>
  <c r="O863" i="3"/>
  <c r="O864" i="3"/>
  <c r="M864" i="3" s="1"/>
  <c r="O865" i="3"/>
  <c r="O866" i="3"/>
  <c r="O867" i="3"/>
  <c r="O868" i="3"/>
  <c r="O869" i="3"/>
  <c r="O870" i="3"/>
  <c r="O871" i="3"/>
  <c r="O872" i="3"/>
  <c r="M872" i="3" s="1"/>
  <c r="O873" i="3"/>
  <c r="M873" i="3" s="1"/>
  <c r="O874" i="3"/>
  <c r="O875" i="3"/>
  <c r="O876" i="3"/>
  <c r="O877" i="3"/>
  <c r="M877" i="3" s="1"/>
  <c r="O878" i="3"/>
  <c r="O879" i="3"/>
  <c r="O880" i="3"/>
  <c r="O881" i="3"/>
  <c r="M881" i="3" s="1"/>
  <c r="O882" i="3"/>
  <c r="O883" i="3"/>
  <c r="M883" i="3" s="1"/>
  <c r="O884" i="3"/>
  <c r="M884" i="3" s="1"/>
  <c r="O885" i="3"/>
  <c r="M885" i="3" s="1"/>
  <c r="O886" i="3"/>
  <c r="O887" i="3"/>
  <c r="O888" i="3"/>
  <c r="M888" i="3" s="1"/>
  <c r="O889" i="3"/>
  <c r="M889" i="3" s="1"/>
  <c r="O890" i="3"/>
  <c r="O891" i="3"/>
  <c r="O892" i="3"/>
  <c r="O893" i="3"/>
  <c r="M893" i="3" s="1"/>
  <c r="O894" i="3"/>
  <c r="O895" i="3"/>
  <c r="O896" i="3"/>
  <c r="O897" i="3"/>
  <c r="M897" i="3" s="1"/>
  <c r="O898" i="3"/>
  <c r="O899" i="3"/>
  <c r="O900" i="3"/>
  <c r="M900" i="3" s="1"/>
  <c r="O901" i="3"/>
  <c r="M901" i="3" s="1"/>
  <c r="O902" i="3"/>
  <c r="O903" i="3"/>
  <c r="O904" i="3"/>
  <c r="O905" i="3"/>
  <c r="M905" i="3" s="1"/>
  <c r="O906" i="3"/>
  <c r="O907" i="3"/>
  <c r="O908" i="3"/>
  <c r="O909" i="3"/>
  <c r="M909" i="3" s="1"/>
  <c r="O910" i="3"/>
  <c r="O911" i="3"/>
  <c r="O912" i="3"/>
  <c r="O913" i="3"/>
  <c r="M913" i="3" s="1"/>
  <c r="O914" i="3"/>
  <c r="O915" i="3"/>
  <c r="M915" i="3" s="1"/>
  <c r="O916" i="3"/>
  <c r="M916" i="3" s="1"/>
  <c r="O917" i="3"/>
  <c r="M917" i="3" s="1"/>
  <c r="O918" i="3"/>
  <c r="O919" i="3"/>
  <c r="O920" i="3"/>
  <c r="M920" i="3" s="1"/>
  <c r="O921" i="3"/>
  <c r="M921" i="3" s="1"/>
  <c r="O922" i="3"/>
  <c r="O923" i="3"/>
  <c r="O924" i="3"/>
  <c r="O925" i="3"/>
  <c r="M925" i="3" s="1"/>
  <c r="O926" i="3"/>
  <c r="O927" i="3"/>
  <c r="O928" i="3"/>
  <c r="M928" i="3" s="1"/>
  <c r="O929" i="3"/>
  <c r="M929" i="3" s="1"/>
  <c r="O930" i="3"/>
  <c r="O931" i="3"/>
  <c r="O932" i="3"/>
  <c r="M932" i="3" s="1"/>
  <c r="O933" i="3"/>
  <c r="M933" i="3" s="1"/>
  <c r="O934" i="3"/>
  <c r="O935" i="3"/>
  <c r="O936" i="3"/>
  <c r="M936" i="3" s="1"/>
  <c r="O937" i="3"/>
  <c r="M937" i="3" s="1"/>
  <c r="O938" i="3"/>
  <c r="O939" i="3"/>
  <c r="O940" i="3"/>
  <c r="O941" i="3"/>
  <c r="M941" i="3" s="1"/>
  <c r="N2" i="3"/>
  <c r="N3" i="3"/>
  <c r="N4" i="3"/>
  <c r="N5" i="3"/>
  <c r="N6" i="3"/>
  <c r="N7" i="3"/>
  <c r="N8" i="3"/>
  <c r="N9" i="3"/>
  <c r="N10" i="3"/>
  <c r="N11" i="3"/>
  <c r="N12" i="3"/>
  <c r="N13" i="3"/>
  <c r="N14" i="3"/>
  <c r="N15" i="3"/>
  <c r="N16" i="3"/>
  <c r="N17" i="3"/>
  <c r="N18" i="3"/>
  <c r="N19" i="3"/>
  <c r="N20" i="3"/>
  <c r="N21" i="3"/>
  <c r="N22" i="3"/>
  <c r="N23" i="3"/>
  <c r="N24" i="3"/>
  <c r="N25" i="3"/>
  <c r="N26" i="3"/>
  <c r="N27" i="3"/>
  <c r="N28" i="3"/>
  <c r="N29" i="3"/>
  <c r="N30" i="3"/>
  <c r="N31" i="3"/>
  <c r="N32" i="3"/>
  <c r="N33" i="3"/>
  <c r="N34" i="3"/>
  <c r="N35" i="3"/>
  <c r="N36" i="3"/>
  <c r="N37" i="3"/>
  <c r="N38" i="3"/>
  <c r="N39" i="3"/>
  <c r="N40" i="3"/>
  <c r="N41" i="3"/>
  <c r="N42" i="3"/>
  <c r="N43" i="3"/>
  <c r="N44" i="3"/>
  <c r="N45" i="3"/>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N273" i="3"/>
  <c r="N274" i="3"/>
  <c r="N275" i="3"/>
  <c r="N276" i="3"/>
  <c r="N277" i="3"/>
  <c r="N278" i="3"/>
  <c r="N279" i="3"/>
  <c r="N280" i="3"/>
  <c r="N281" i="3"/>
  <c r="N282" i="3"/>
  <c r="N283" i="3"/>
  <c r="N284" i="3"/>
  <c r="N285" i="3"/>
  <c r="N286" i="3"/>
  <c r="N287" i="3"/>
  <c r="N288" i="3"/>
  <c r="N289" i="3"/>
  <c r="N290" i="3"/>
  <c r="N291" i="3"/>
  <c r="N292" i="3"/>
  <c r="N293" i="3"/>
  <c r="N294" i="3"/>
  <c r="N295" i="3"/>
  <c r="N296" i="3"/>
  <c r="N297" i="3"/>
  <c r="N298" i="3"/>
  <c r="N299" i="3"/>
  <c r="N300" i="3"/>
  <c r="N301" i="3"/>
  <c r="N302" i="3"/>
  <c r="N303" i="3"/>
  <c r="N304" i="3"/>
  <c r="N305" i="3"/>
  <c r="N306" i="3"/>
  <c r="N307" i="3"/>
  <c r="N308" i="3"/>
  <c r="N309" i="3"/>
  <c r="N310" i="3"/>
  <c r="N311" i="3"/>
  <c r="N312" i="3"/>
  <c r="N313" i="3"/>
  <c r="N314" i="3"/>
  <c r="N315" i="3"/>
  <c r="N316" i="3"/>
  <c r="N317" i="3"/>
  <c r="N318" i="3"/>
  <c r="N319" i="3"/>
  <c r="N320" i="3"/>
  <c r="N321" i="3"/>
  <c r="N322" i="3"/>
  <c r="N323" i="3"/>
  <c r="N324" i="3"/>
  <c r="N325" i="3"/>
  <c r="N326" i="3"/>
  <c r="N327" i="3"/>
  <c r="N328" i="3"/>
  <c r="N329" i="3"/>
  <c r="N330" i="3"/>
  <c r="N331" i="3"/>
  <c r="N332" i="3"/>
  <c r="N333" i="3"/>
  <c r="N334" i="3"/>
  <c r="N335" i="3"/>
  <c r="N336" i="3"/>
  <c r="N337" i="3"/>
  <c r="N338" i="3"/>
  <c r="N339" i="3"/>
  <c r="N340" i="3"/>
  <c r="N341" i="3"/>
  <c r="N342" i="3"/>
  <c r="N343" i="3"/>
  <c r="N344" i="3"/>
  <c r="N345" i="3"/>
  <c r="N346" i="3"/>
  <c r="N347" i="3"/>
  <c r="N348" i="3"/>
  <c r="N349" i="3"/>
  <c r="N350" i="3"/>
  <c r="N351" i="3"/>
  <c r="N352" i="3"/>
  <c r="N353" i="3"/>
  <c r="N354" i="3"/>
  <c r="N355" i="3"/>
  <c r="N356" i="3"/>
  <c r="N357" i="3"/>
  <c r="N358" i="3"/>
  <c r="N359" i="3"/>
  <c r="N360" i="3"/>
  <c r="N361" i="3"/>
  <c r="N362" i="3"/>
  <c r="N363" i="3"/>
  <c r="N364" i="3"/>
  <c r="N365" i="3"/>
  <c r="N366" i="3"/>
  <c r="N367" i="3"/>
  <c r="N368" i="3"/>
  <c r="N369" i="3"/>
  <c r="N370" i="3"/>
  <c r="N371" i="3"/>
  <c r="N372" i="3"/>
  <c r="N373" i="3"/>
  <c r="N374" i="3"/>
  <c r="N375" i="3"/>
  <c r="N376" i="3"/>
  <c r="N377" i="3"/>
  <c r="N378" i="3"/>
  <c r="N379" i="3"/>
  <c r="N380" i="3"/>
  <c r="N381" i="3"/>
  <c r="N382" i="3"/>
  <c r="N383" i="3"/>
  <c r="N384" i="3"/>
  <c r="N385" i="3"/>
  <c r="N386" i="3"/>
  <c r="N387" i="3"/>
  <c r="N388" i="3"/>
  <c r="N389" i="3"/>
  <c r="N390" i="3"/>
  <c r="N391" i="3"/>
  <c r="N392" i="3"/>
  <c r="N393" i="3"/>
  <c r="N394" i="3"/>
  <c r="N395" i="3"/>
  <c r="N396" i="3"/>
  <c r="N397" i="3"/>
  <c r="N398" i="3"/>
  <c r="N399" i="3"/>
  <c r="N400" i="3"/>
  <c r="N401" i="3"/>
  <c r="N402" i="3"/>
  <c r="N403" i="3"/>
  <c r="N404" i="3"/>
  <c r="N405" i="3"/>
  <c r="N406" i="3"/>
  <c r="N407" i="3"/>
  <c r="N408" i="3"/>
  <c r="N409" i="3"/>
  <c r="N410" i="3"/>
  <c r="N411" i="3"/>
  <c r="N412" i="3"/>
  <c r="N413" i="3"/>
  <c r="N414" i="3"/>
  <c r="N415" i="3"/>
  <c r="N416" i="3"/>
  <c r="N417" i="3"/>
  <c r="N418" i="3"/>
  <c r="N419" i="3"/>
  <c r="N420" i="3"/>
  <c r="N421" i="3"/>
  <c r="N422" i="3"/>
  <c r="N423" i="3"/>
  <c r="N424" i="3"/>
  <c r="N425" i="3"/>
  <c r="N426" i="3"/>
  <c r="N427" i="3"/>
  <c r="N428" i="3"/>
  <c r="N429" i="3"/>
  <c r="N430" i="3"/>
  <c r="N431" i="3"/>
  <c r="N432" i="3"/>
  <c r="N433" i="3"/>
  <c r="N434" i="3"/>
  <c r="N435" i="3"/>
  <c r="N436" i="3"/>
  <c r="N437" i="3"/>
  <c r="N438" i="3"/>
  <c r="N439" i="3"/>
  <c r="N440" i="3"/>
  <c r="N441" i="3"/>
  <c r="N442" i="3"/>
  <c r="N443" i="3"/>
  <c r="N444" i="3"/>
  <c r="N445" i="3"/>
  <c r="N446" i="3"/>
  <c r="N447" i="3"/>
  <c r="N448" i="3"/>
  <c r="N449" i="3"/>
  <c r="N450" i="3"/>
  <c r="N451" i="3"/>
  <c r="N452" i="3"/>
  <c r="N453" i="3"/>
  <c r="N454" i="3"/>
  <c r="N455" i="3"/>
  <c r="N456" i="3"/>
  <c r="N457" i="3"/>
  <c r="N458" i="3"/>
  <c r="N459" i="3"/>
  <c r="N460" i="3"/>
  <c r="N461" i="3"/>
  <c r="N462" i="3"/>
  <c r="N463" i="3"/>
  <c r="N464" i="3"/>
  <c r="N465" i="3"/>
  <c r="N466" i="3"/>
  <c r="N467" i="3"/>
  <c r="N468" i="3"/>
  <c r="N469" i="3"/>
  <c r="N470" i="3"/>
  <c r="N471" i="3"/>
  <c r="N472" i="3"/>
  <c r="N473" i="3"/>
  <c r="N474" i="3"/>
  <c r="N475" i="3"/>
  <c r="N476" i="3"/>
  <c r="N477" i="3"/>
  <c r="N478" i="3"/>
  <c r="N479" i="3"/>
  <c r="N480" i="3"/>
  <c r="N481" i="3"/>
  <c r="N482" i="3"/>
  <c r="N483" i="3"/>
  <c r="N484" i="3"/>
  <c r="N485" i="3"/>
  <c r="N486" i="3"/>
  <c r="N487" i="3"/>
  <c r="N488" i="3"/>
  <c r="N489" i="3"/>
  <c r="N490" i="3"/>
  <c r="N491" i="3"/>
  <c r="N492" i="3"/>
  <c r="N493" i="3"/>
  <c r="N494" i="3"/>
  <c r="N495" i="3"/>
  <c r="N496" i="3"/>
  <c r="N497" i="3"/>
  <c r="N498" i="3"/>
  <c r="N499" i="3"/>
  <c r="N500" i="3"/>
  <c r="N501" i="3"/>
  <c r="N502" i="3"/>
  <c r="N503" i="3"/>
  <c r="N504" i="3"/>
  <c r="N505" i="3"/>
  <c r="N506" i="3"/>
  <c r="N507" i="3"/>
  <c r="N508" i="3"/>
  <c r="N509" i="3"/>
  <c r="N510" i="3"/>
  <c r="N511" i="3"/>
  <c r="N512" i="3"/>
  <c r="N513" i="3"/>
  <c r="N514" i="3"/>
  <c r="N515" i="3"/>
  <c r="N516" i="3"/>
  <c r="N517" i="3"/>
  <c r="N518" i="3"/>
  <c r="N519" i="3"/>
  <c r="N520" i="3"/>
  <c r="N522" i="3"/>
  <c r="N523" i="3"/>
  <c r="N524" i="3"/>
  <c r="N525" i="3"/>
  <c r="N526" i="3"/>
  <c r="N527" i="3"/>
  <c r="N528" i="3"/>
  <c r="N529" i="3"/>
  <c r="N530" i="3"/>
  <c r="N531" i="3"/>
  <c r="N532" i="3"/>
  <c r="N533" i="3"/>
  <c r="N534" i="3"/>
  <c r="N535" i="3"/>
  <c r="N536" i="3"/>
  <c r="N537" i="3"/>
  <c r="N538" i="3"/>
  <c r="N539" i="3"/>
  <c r="N540" i="3"/>
  <c r="N541" i="3"/>
  <c r="N542" i="3"/>
  <c r="N543" i="3"/>
  <c r="N544" i="3"/>
  <c r="N545" i="3"/>
  <c r="N546" i="3"/>
  <c r="N547" i="3"/>
  <c r="N548" i="3"/>
  <c r="N549" i="3"/>
  <c r="N550" i="3"/>
  <c r="N551" i="3"/>
  <c r="N552" i="3"/>
  <c r="N553" i="3"/>
  <c r="N554" i="3"/>
  <c r="N555" i="3"/>
  <c r="N556" i="3"/>
  <c r="N557" i="3"/>
  <c r="N558" i="3"/>
  <c r="N559" i="3"/>
  <c r="N560" i="3"/>
  <c r="N561" i="3"/>
  <c r="N562" i="3"/>
  <c r="N563" i="3"/>
  <c r="N564" i="3"/>
  <c r="N565" i="3"/>
  <c r="N566" i="3"/>
  <c r="N567" i="3"/>
  <c r="N568" i="3"/>
  <c r="N569" i="3"/>
  <c r="N570" i="3"/>
  <c r="N571" i="3"/>
  <c r="N572" i="3"/>
  <c r="N573" i="3"/>
  <c r="N574" i="3"/>
  <c r="N575" i="3"/>
  <c r="N576" i="3"/>
  <c r="N577" i="3"/>
  <c r="N578" i="3"/>
  <c r="N579" i="3"/>
  <c r="N580" i="3"/>
  <c r="N581" i="3"/>
  <c r="N582" i="3"/>
  <c r="N583" i="3"/>
  <c r="N584" i="3"/>
  <c r="N585" i="3"/>
  <c r="N586" i="3"/>
  <c r="N587" i="3"/>
  <c r="N588" i="3"/>
  <c r="N589" i="3"/>
  <c r="N590" i="3"/>
  <c r="N591" i="3"/>
  <c r="N592" i="3"/>
  <c r="N593" i="3"/>
  <c r="N594" i="3"/>
  <c r="N595" i="3"/>
  <c r="N596" i="3"/>
  <c r="N597" i="3"/>
  <c r="N598" i="3"/>
  <c r="N599" i="3"/>
  <c r="N600" i="3"/>
  <c r="N601" i="3"/>
  <c r="N602" i="3"/>
  <c r="N603" i="3"/>
  <c r="N604" i="3"/>
  <c r="N605" i="3"/>
  <c r="N606" i="3"/>
  <c r="N607" i="3"/>
  <c r="N608" i="3"/>
  <c r="N609" i="3"/>
  <c r="N610" i="3"/>
  <c r="N611" i="3"/>
  <c r="N612" i="3"/>
  <c r="N613" i="3"/>
  <c r="N614" i="3"/>
  <c r="N615" i="3"/>
  <c r="N616" i="3"/>
  <c r="N617" i="3"/>
  <c r="N618" i="3"/>
  <c r="N619" i="3"/>
  <c r="N620" i="3"/>
  <c r="N621" i="3"/>
  <c r="N622" i="3"/>
  <c r="N623" i="3"/>
  <c r="N624" i="3"/>
  <c r="N625" i="3"/>
  <c r="N626" i="3"/>
  <c r="N627" i="3"/>
  <c r="N628" i="3"/>
  <c r="N629" i="3"/>
  <c r="N630" i="3"/>
  <c r="N631" i="3"/>
  <c r="N632" i="3"/>
  <c r="N633" i="3"/>
  <c r="N634" i="3"/>
  <c r="N635" i="3"/>
  <c r="N636" i="3"/>
  <c r="N637" i="3"/>
  <c r="N638" i="3"/>
  <c r="N639" i="3"/>
  <c r="N640" i="3"/>
  <c r="N641" i="3"/>
  <c r="N642" i="3"/>
  <c r="N643" i="3"/>
  <c r="N644" i="3"/>
  <c r="N645" i="3"/>
  <c r="N646" i="3"/>
  <c r="N647" i="3"/>
  <c r="N648" i="3"/>
  <c r="N649" i="3"/>
  <c r="N650" i="3"/>
  <c r="N651" i="3"/>
  <c r="N652" i="3"/>
  <c r="N653" i="3"/>
  <c r="N654" i="3"/>
  <c r="N655" i="3"/>
  <c r="N656" i="3"/>
  <c r="N657" i="3"/>
  <c r="N658" i="3"/>
  <c r="N659" i="3"/>
  <c r="N660" i="3"/>
  <c r="N661" i="3"/>
  <c r="N662" i="3"/>
  <c r="N663" i="3"/>
  <c r="N664" i="3"/>
  <c r="N665" i="3"/>
  <c r="N666" i="3"/>
  <c r="N667" i="3"/>
  <c r="N668" i="3"/>
  <c r="N669" i="3"/>
  <c r="N670" i="3"/>
  <c r="N671" i="3"/>
  <c r="N672" i="3"/>
  <c r="N673" i="3"/>
  <c r="N674" i="3"/>
  <c r="N675" i="3"/>
  <c r="N676" i="3"/>
  <c r="N677" i="3"/>
  <c r="N678" i="3"/>
  <c r="N679" i="3"/>
  <c r="N680" i="3"/>
  <c r="N681" i="3"/>
  <c r="N682" i="3"/>
  <c r="N683" i="3"/>
  <c r="N684" i="3"/>
  <c r="N685" i="3"/>
  <c r="N686" i="3"/>
  <c r="N687" i="3"/>
  <c r="N688" i="3"/>
  <c r="N689" i="3"/>
  <c r="N690" i="3"/>
  <c r="N691" i="3"/>
  <c r="N692" i="3"/>
  <c r="N693" i="3"/>
  <c r="N694" i="3"/>
  <c r="N695" i="3"/>
  <c r="N696" i="3"/>
  <c r="N697" i="3"/>
  <c r="N698" i="3"/>
  <c r="N699" i="3"/>
  <c r="N700" i="3"/>
  <c r="N701" i="3"/>
  <c r="N702" i="3"/>
  <c r="N703" i="3"/>
  <c r="N704" i="3"/>
  <c r="N705" i="3"/>
  <c r="N706" i="3"/>
  <c r="N707" i="3"/>
  <c r="N708" i="3"/>
  <c r="N709" i="3"/>
  <c r="N710" i="3"/>
  <c r="N711" i="3"/>
  <c r="N712" i="3"/>
  <c r="N713" i="3"/>
  <c r="N714" i="3"/>
  <c r="N715" i="3"/>
  <c r="N716" i="3"/>
  <c r="N717" i="3"/>
  <c r="N718" i="3"/>
  <c r="N719" i="3"/>
  <c r="N720" i="3"/>
  <c r="N721" i="3"/>
  <c r="N722" i="3"/>
  <c r="N723" i="3"/>
  <c r="N724" i="3"/>
  <c r="N725" i="3"/>
  <c r="N726" i="3"/>
  <c r="N727" i="3"/>
  <c r="N728" i="3"/>
  <c r="N729" i="3"/>
  <c r="N730" i="3"/>
  <c r="N731" i="3"/>
  <c r="N732" i="3"/>
  <c r="N733" i="3"/>
  <c r="N734" i="3"/>
  <c r="N735" i="3"/>
  <c r="N736" i="3"/>
  <c r="N737" i="3"/>
  <c r="N738" i="3"/>
  <c r="N739" i="3"/>
  <c r="N740" i="3"/>
  <c r="N741" i="3"/>
  <c r="N742" i="3"/>
  <c r="N743" i="3"/>
  <c r="N744" i="3"/>
  <c r="N745" i="3"/>
  <c r="N746" i="3"/>
  <c r="N747" i="3"/>
  <c r="N748" i="3"/>
  <c r="N749" i="3"/>
  <c r="N750" i="3"/>
  <c r="N751" i="3"/>
  <c r="N752" i="3"/>
  <c r="N753" i="3"/>
  <c r="N754" i="3"/>
  <c r="N755" i="3"/>
  <c r="N756" i="3"/>
  <c r="N757" i="3"/>
  <c r="N758" i="3"/>
  <c r="N759" i="3"/>
  <c r="N760" i="3"/>
  <c r="N761" i="3"/>
  <c r="N762" i="3"/>
  <c r="N763" i="3"/>
  <c r="N764" i="3"/>
  <c r="N765" i="3"/>
  <c r="N766" i="3"/>
  <c r="N767" i="3"/>
  <c r="N768" i="3"/>
  <c r="N769" i="3"/>
  <c r="N770" i="3"/>
  <c r="N771" i="3"/>
  <c r="N772" i="3"/>
  <c r="N773" i="3"/>
  <c r="N774" i="3"/>
  <c r="N775" i="3"/>
  <c r="N776" i="3"/>
  <c r="N777" i="3"/>
  <c r="N778" i="3"/>
  <c r="N779" i="3"/>
  <c r="N780" i="3"/>
  <c r="N781" i="3"/>
  <c r="N782" i="3"/>
  <c r="N783" i="3"/>
  <c r="N784" i="3"/>
  <c r="N785" i="3"/>
  <c r="N786" i="3"/>
  <c r="N787" i="3"/>
  <c r="N788" i="3"/>
  <c r="N789" i="3"/>
  <c r="N790" i="3"/>
  <c r="N791" i="3"/>
  <c r="N792" i="3"/>
  <c r="N793" i="3"/>
  <c r="N794" i="3"/>
  <c r="N795" i="3"/>
  <c r="N796" i="3"/>
  <c r="N797" i="3"/>
  <c r="N798" i="3"/>
  <c r="N799" i="3"/>
  <c r="N800" i="3"/>
  <c r="N801" i="3"/>
  <c r="N802" i="3"/>
  <c r="N803" i="3"/>
  <c r="N804" i="3"/>
  <c r="N805" i="3"/>
  <c r="N806" i="3"/>
  <c r="N807" i="3"/>
  <c r="N808" i="3"/>
  <c r="N809" i="3"/>
  <c r="N810" i="3"/>
  <c r="N811" i="3"/>
  <c r="N812" i="3"/>
  <c r="N813" i="3"/>
  <c r="N814" i="3"/>
  <c r="N815" i="3"/>
  <c r="N816" i="3"/>
  <c r="N817" i="3"/>
  <c r="N818" i="3"/>
  <c r="N819" i="3"/>
  <c r="N820" i="3"/>
  <c r="N821" i="3"/>
  <c r="N822" i="3"/>
  <c r="N823" i="3"/>
  <c r="N824" i="3"/>
  <c r="N825" i="3"/>
  <c r="N826" i="3"/>
  <c r="N827" i="3"/>
  <c r="N828" i="3"/>
  <c r="N829" i="3"/>
  <c r="N830" i="3"/>
  <c r="N831" i="3"/>
  <c r="N832" i="3"/>
  <c r="N833" i="3"/>
  <c r="N834" i="3"/>
  <c r="N835" i="3"/>
  <c r="N836" i="3"/>
  <c r="N837" i="3"/>
  <c r="N838" i="3"/>
  <c r="N839" i="3"/>
  <c r="N840" i="3"/>
  <c r="N841" i="3"/>
  <c r="N842" i="3"/>
  <c r="N843" i="3"/>
  <c r="N844" i="3"/>
  <c r="N845" i="3"/>
  <c r="N846" i="3"/>
  <c r="N847" i="3"/>
  <c r="N848" i="3"/>
  <c r="N849" i="3"/>
  <c r="N850" i="3"/>
  <c r="N851" i="3"/>
  <c r="N852" i="3"/>
  <c r="N853" i="3"/>
  <c r="N854" i="3"/>
  <c r="N855" i="3"/>
  <c r="N856" i="3"/>
  <c r="N857" i="3"/>
  <c r="N858" i="3"/>
  <c r="N859" i="3"/>
  <c r="N860" i="3"/>
  <c r="N861" i="3"/>
  <c r="N862" i="3"/>
  <c r="N863" i="3"/>
  <c r="N864" i="3"/>
  <c r="N865" i="3"/>
  <c r="N866" i="3"/>
  <c r="N867" i="3"/>
  <c r="N868" i="3"/>
  <c r="N869" i="3"/>
  <c r="N870" i="3"/>
  <c r="N871" i="3"/>
  <c r="N872" i="3"/>
  <c r="N873" i="3"/>
  <c r="N874" i="3"/>
  <c r="N875" i="3"/>
  <c r="N876" i="3"/>
  <c r="N877" i="3"/>
  <c r="N878" i="3"/>
  <c r="N879" i="3"/>
  <c r="N880" i="3"/>
  <c r="N881" i="3"/>
  <c r="N882" i="3"/>
  <c r="N883" i="3"/>
  <c r="N884" i="3"/>
  <c r="N885" i="3"/>
  <c r="N886" i="3"/>
  <c r="N887" i="3"/>
  <c r="N888" i="3"/>
  <c r="N889" i="3"/>
  <c r="N890" i="3"/>
  <c r="N891" i="3"/>
  <c r="N892" i="3"/>
  <c r="N893" i="3"/>
  <c r="N894" i="3"/>
  <c r="N895" i="3"/>
  <c r="N896" i="3"/>
  <c r="N897" i="3"/>
  <c r="N898" i="3"/>
  <c r="N899" i="3"/>
  <c r="N900" i="3"/>
  <c r="N901" i="3"/>
  <c r="N902" i="3"/>
  <c r="N903" i="3"/>
  <c r="N904" i="3"/>
  <c r="N905" i="3"/>
  <c r="N906" i="3"/>
  <c r="N907" i="3"/>
  <c r="N908" i="3"/>
  <c r="N909" i="3"/>
  <c r="N910" i="3"/>
  <c r="N911" i="3"/>
  <c r="N912" i="3"/>
  <c r="N913" i="3"/>
  <c r="N914" i="3"/>
  <c r="N915" i="3"/>
  <c r="N916" i="3"/>
  <c r="N917" i="3"/>
  <c r="N918" i="3"/>
  <c r="N919" i="3"/>
  <c r="N920" i="3"/>
  <c r="N921" i="3"/>
  <c r="N922" i="3"/>
  <c r="N923" i="3"/>
  <c r="N924" i="3"/>
  <c r="N925" i="3"/>
  <c r="N926" i="3"/>
  <c r="N927" i="3"/>
  <c r="N928" i="3"/>
  <c r="N929" i="3"/>
  <c r="N930" i="3"/>
  <c r="N931" i="3"/>
  <c r="N932" i="3"/>
  <c r="N933" i="3"/>
  <c r="N934" i="3"/>
  <c r="N935" i="3"/>
  <c r="N936" i="3"/>
  <c r="N937" i="3"/>
  <c r="N938" i="3"/>
  <c r="N939" i="3"/>
  <c r="N940" i="3"/>
  <c r="N941" i="3"/>
  <c r="L3" i="7"/>
  <c r="Y459" i="3"/>
  <c r="L4" i="7"/>
  <c r="L5" i="7"/>
  <c r="Z521" i="3" s="1"/>
  <c r="Y263" i="3"/>
  <c r="L6" i="7"/>
  <c r="Z119" i="3" s="1"/>
  <c r="L7" i="7"/>
  <c r="Z555" i="3" s="1"/>
  <c r="Y118" i="3"/>
  <c r="L8" i="7"/>
  <c r="L9" i="7"/>
  <c r="Z220" i="3" s="1"/>
  <c r="Y255" i="3"/>
  <c r="L10" i="7"/>
  <c r="L11" i="7"/>
  <c r="Z381" i="3" s="1"/>
  <c r="Y401" i="3"/>
  <c r="L12" i="7"/>
  <c r="Z22" i="3" s="1"/>
  <c r="L13" i="7"/>
  <c r="Z221" i="3" s="1"/>
  <c r="Y16" i="3"/>
  <c r="L14" i="7"/>
  <c r="Z312" i="3" s="1"/>
  <c r="L15" i="7"/>
  <c r="Z17" i="3" s="1"/>
  <c r="Y121" i="3"/>
  <c r="L16" i="7"/>
  <c r="Z351" i="3" s="1"/>
  <c r="L17" i="7"/>
  <c r="Z461" i="3" s="1"/>
  <c r="Y251" i="3"/>
  <c r="L18" i="7"/>
  <c r="L19" i="7"/>
  <c r="Y161" i="3"/>
  <c r="L20" i="7"/>
  <c r="L21" i="7"/>
  <c r="Y317" i="3"/>
  <c r="L22" i="7"/>
  <c r="Z243" i="3" s="1"/>
  <c r="L23" i="7"/>
  <c r="Z128" i="3" s="1"/>
  <c r="Y475" i="3"/>
  <c r="L24" i="7"/>
  <c r="L25" i="7"/>
  <c r="Z249" i="3" s="1"/>
  <c r="Y182" i="3"/>
  <c r="L26" i="7"/>
  <c r="L27" i="7"/>
  <c r="Z135" i="3" s="1"/>
  <c r="Y467" i="3"/>
  <c r="L28" i="7"/>
  <c r="Z585" i="3" s="1"/>
  <c r="L29" i="7"/>
  <c r="Y407" i="3"/>
  <c r="L30" i="7"/>
  <c r="Z232" i="3" s="1"/>
  <c r="L31" i="7"/>
  <c r="Y137" i="3"/>
  <c r="L32" i="7"/>
  <c r="Z245" i="3" s="1"/>
  <c r="L33" i="7"/>
  <c r="Z219" i="3" s="1"/>
  <c r="Y141" i="3"/>
  <c r="L34" i="7"/>
  <c r="L35" i="7"/>
  <c r="Z397" i="3" s="1"/>
  <c r="Y271" i="3"/>
  <c r="L36" i="7"/>
  <c r="L37" i="7"/>
  <c r="Y76" i="3"/>
  <c r="L38" i="7"/>
  <c r="Z179" i="3" s="1"/>
  <c r="L39" i="7"/>
  <c r="Z96" i="3" s="1"/>
  <c r="Y399" i="3"/>
  <c r="L40" i="7"/>
  <c r="L41" i="7"/>
  <c r="Z98" i="3" s="1"/>
  <c r="Y299" i="3"/>
  <c r="L42" i="7"/>
  <c r="R1" i="3"/>
  <c r="S1" i="3"/>
  <c r="T1" i="3"/>
  <c r="U1" i="3"/>
  <c r="H2" i="3"/>
  <c r="B2" i="3" s="1"/>
  <c r="I2" i="3"/>
  <c r="C2" i="3" s="1"/>
  <c r="P2" i="3"/>
  <c r="Q2" i="3"/>
  <c r="R2" i="3"/>
  <c r="S2" i="3"/>
  <c r="T2" i="3"/>
  <c r="U2" i="3"/>
  <c r="V2" i="3"/>
  <c r="W2" i="3"/>
  <c r="X2" i="3"/>
  <c r="Z2" i="3"/>
  <c r="H3" i="3"/>
  <c r="B3" i="3" s="1"/>
  <c r="I3" i="3"/>
  <c r="C3" i="3" s="1"/>
  <c r="P3" i="3"/>
  <c r="Q3" i="3"/>
  <c r="R3" i="3"/>
  <c r="S3" i="3"/>
  <c r="T3" i="3"/>
  <c r="U3" i="3"/>
  <c r="V3" i="3"/>
  <c r="W3" i="3"/>
  <c r="X3" i="3"/>
  <c r="H4" i="3"/>
  <c r="B4" i="3" s="1"/>
  <c r="I4" i="3"/>
  <c r="C4" i="3" s="1"/>
  <c r="P4" i="3"/>
  <c r="Q4" i="3"/>
  <c r="R4" i="3"/>
  <c r="S4" i="3"/>
  <c r="T4" i="3"/>
  <c r="U4" i="3"/>
  <c r="V4" i="3"/>
  <c r="W4" i="3"/>
  <c r="X4" i="3"/>
  <c r="H5" i="3"/>
  <c r="B5" i="3" s="1"/>
  <c r="I5" i="3"/>
  <c r="C5" i="3" s="1"/>
  <c r="P5" i="3"/>
  <c r="Q5" i="3"/>
  <c r="R5" i="3"/>
  <c r="S5" i="3"/>
  <c r="T5" i="3"/>
  <c r="U5" i="3"/>
  <c r="V5" i="3"/>
  <c r="W5" i="3"/>
  <c r="X5" i="3"/>
  <c r="H6" i="3"/>
  <c r="B6" i="3" s="1"/>
  <c r="I6" i="3"/>
  <c r="C6" i="3" s="1"/>
  <c r="P6" i="3"/>
  <c r="Q6" i="3"/>
  <c r="R6" i="3"/>
  <c r="S6" i="3"/>
  <c r="T6" i="3"/>
  <c r="U6" i="3"/>
  <c r="V6" i="3"/>
  <c r="W6" i="3"/>
  <c r="X6" i="3"/>
  <c r="Z6" i="3"/>
  <c r="H7" i="3"/>
  <c r="B7" i="3" s="1"/>
  <c r="I7" i="3"/>
  <c r="C7" i="3" s="1"/>
  <c r="P7" i="3"/>
  <c r="Q7" i="3"/>
  <c r="R7" i="3"/>
  <c r="S7" i="3"/>
  <c r="T7" i="3"/>
  <c r="U7" i="3"/>
  <c r="V7" i="3"/>
  <c r="W7" i="3"/>
  <c r="X7" i="3"/>
  <c r="Z7" i="3"/>
  <c r="H8" i="3"/>
  <c r="B8" i="3" s="1"/>
  <c r="I8" i="3"/>
  <c r="C8" i="3" s="1"/>
  <c r="P8" i="3"/>
  <c r="Q8" i="3"/>
  <c r="R8" i="3"/>
  <c r="S8" i="3"/>
  <c r="T8" i="3"/>
  <c r="U8" i="3"/>
  <c r="V8" i="3"/>
  <c r="W8" i="3"/>
  <c r="X8" i="3"/>
  <c r="H9" i="3"/>
  <c r="B9" i="3" s="1"/>
  <c r="I9" i="3"/>
  <c r="C9" i="3" s="1"/>
  <c r="P9" i="3"/>
  <c r="Q9" i="3"/>
  <c r="R9" i="3"/>
  <c r="S9" i="3"/>
  <c r="T9" i="3"/>
  <c r="U9" i="3"/>
  <c r="V9" i="3"/>
  <c r="W9" i="3"/>
  <c r="X9" i="3"/>
  <c r="Z9" i="3"/>
  <c r="H10" i="3"/>
  <c r="B10" i="3" s="1"/>
  <c r="I10" i="3"/>
  <c r="C10" i="3" s="1"/>
  <c r="P10" i="3"/>
  <c r="Q10" i="3"/>
  <c r="R10" i="3"/>
  <c r="S10" i="3"/>
  <c r="T10" i="3"/>
  <c r="U10" i="3"/>
  <c r="V10" i="3"/>
  <c r="W10" i="3"/>
  <c r="X10" i="3"/>
  <c r="H11" i="3"/>
  <c r="B11" i="3" s="1"/>
  <c r="I11" i="3"/>
  <c r="C11" i="3" s="1"/>
  <c r="P11" i="3"/>
  <c r="Q11" i="3"/>
  <c r="R11" i="3"/>
  <c r="S11" i="3"/>
  <c r="T11" i="3"/>
  <c r="U11" i="3"/>
  <c r="V11" i="3"/>
  <c r="W11" i="3"/>
  <c r="X11" i="3"/>
  <c r="H12" i="3"/>
  <c r="B12" i="3" s="1"/>
  <c r="I12" i="3"/>
  <c r="C12" i="3" s="1"/>
  <c r="P12" i="3"/>
  <c r="Q12" i="3"/>
  <c r="R12" i="3"/>
  <c r="S12" i="3"/>
  <c r="T12" i="3"/>
  <c r="U12" i="3"/>
  <c r="V12" i="3"/>
  <c r="W12" i="3"/>
  <c r="X12" i="3"/>
  <c r="H13" i="3"/>
  <c r="B13" i="3" s="1"/>
  <c r="I13" i="3"/>
  <c r="C13" i="3" s="1"/>
  <c r="P13" i="3"/>
  <c r="Q13" i="3"/>
  <c r="R13" i="3"/>
  <c r="S13" i="3"/>
  <c r="T13" i="3"/>
  <c r="U13" i="3"/>
  <c r="V13" i="3"/>
  <c r="W13" i="3"/>
  <c r="X13" i="3"/>
  <c r="H14" i="3"/>
  <c r="B14" i="3" s="1"/>
  <c r="I14" i="3"/>
  <c r="C14" i="3" s="1"/>
  <c r="P14" i="3"/>
  <c r="Q14" i="3"/>
  <c r="R14" i="3"/>
  <c r="S14" i="3"/>
  <c r="T14" i="3"/>
  <c r="U14" i="3"/>
  <c r="V14" i="3"/>
  <c r="W14" i="3"/>
  <c r="X14" i="3"/>
  <c r="H15" i="3"/>
  <c r="B15" i="3" s="1"/>
  <c r="I15" i="3"/>
  <c r="C15" i="3" s="1"/>
  <c r="P15" i="3"/>
  <c r="Q15" i="3"/>
  <c r="R15" i="3"/>
  <c r="S15" i="3"/>
  <c r="T15" i="3"/>
  <c r="U15" i="3"/>
  <c r="V15" i="3"/>
  <c r="W15" i="3"/>
  <c r="X15" i="3"/>
  <c r="H16" i="3"/>
  <c r="B16" i="3" s="1"/>
  <c r="I16" i="3"/>
  <c r="C16" i="3" s="1"/>
  <c r="P16" i="3"/>
  <c r="Q16" i="3"/>
  <c r="R16" i="3"/>
  <c r="S16" i="3"/>
  <c r="T16" i="3"/>
  <c r="U16" i="3"/>
  <c r="V16" i="3"/>
  <c r="W16" i="3"/>
  <c r="X16" i="3"/>
  <c r="H17" i="3"/>
  <c r="B17" i="3" s="1"/>
  <c r="I17" i="3"/>
  <c r="C17" i="3" s="1"/>
  <c r="P17" i="3"/>
  <c r="Q17" i="3"/>
  <c r="R17" i="3"/>
  <c r="S17" i="3"/>
  <c r="T17" i="3"/>
  <c r="U17" i="3"/>
  <c r="V17" i="3"/>
  <c r="W17" i="3"/>
  <c r="X17" i="3"/>
  <c r="H18" i="3"/>
  <c r="B18" i="3" s="1"/>
  <c r="I18" i="3"/>
  <c r="C18" i="3" s="1"/>
  <c r="P18" i="3"/>
  <c r="Q18" i="3"/>
  <c r="R18" i="3"/>
  <c r="S18" i="3"/>
  <c r="T18" i="3"/>
  <c r="U18" i="3"/>
  <c r="V18" i="3"/>
  <c r="W18" i="3"/>
  <c r="X18" i="3"/>
  <c r="H19" i="3"/>
  <c r="B19" i="3" s="1"/>
  <c r="I19" i="3"/>
  <c r="C19" i="3" s="1"/>
  <c r="P19" i="3"/>
  <c r="Q19" i="3"/>
  <c r="R19" i="3"/>
  <c r="S19" i="3"/>
  <c r="T19" i="3"/>
  <c r="U19" i="3"/>
  <c r="V19" i="3"/>
  <c r="W19" i="3"/>
  <c r="X19" i="3"/>
  <c r="H20" i="3"/>
  <c r="B20" i="3" s="1"/>
  <c r="I20" i="3"/>
  <c r="C20" i="3" s="1"/>
  <c r="P20" i="3"/>
  <c r="Q20" i="3"/>
  <c r="R20" i="3"/>
  <c r="S20" i="3"/>
  <c r="T20" i="3"/>
  <c r="U20" i="3"/>
  <c r="V20" i="3"/>
  <c r="W20" i="3"/>
  <c r="X20" i="3"/>
  <c r="H21" i="3"/>
  <c r="B21" i="3" s="1"/>
  <c r="I21" i="3"/>
  <c r="C21" i="3" s="1"/>
  <c r="P21" i="3"/>
  <c r="Q21" i="3"/>
  <c r="R21" i="3"/>
  <c r="S21" i="3"/>
  <c r="T21" i="3"/>
  <c r="U21" i="3"/>
  <c r="V21" i="3"/>
  <c r="W21" i="3"/>
  <c r="X21" i="3"/>
  <c r="H22" i="3"/>
  <c r="B22" i="3" s="1"/>
  <c r="I22" i="3"/>
  <c r="C22" i="3" s="1"/>
  <c r="P22" i="3"/>
  <c r="Q22" i="3"/>
  <c r="R22" i="3"/>
  <c r="S22" i="3"/>
  <c r="T22" i="3"/>
  <c r="U22" i="3"/>
  <c r="V22" i="3"/>
  <c r="W22" i="3"/>
  <c r="X22" i="3"/>
  <c r="H23" i="3"/>
  <c r="B23" i="3" s="1"/>
  <c r="I23" i="3"/>
  <c r="C23" i="3" s="1"/>
  <c r="P23" i="3"/>
  <c r="Q23" i="3"/>
  <c r="R23" i="3"/>
  <c r="S23" i="3"/>
  <c r="T23" i="3"/>
  <c r="U23" i="3"/>
  <c r="V23" i="3"/>
  <c r="W23" i="3"/>
  <c r="X23" i="3"/>
  <c r="H24" i="3"/>
  <c r="B24" i="3" s="1"/>
  <c r="I24" i="3"/>
  <c r="C24" i="3" s="1"/>
  <c r="P24" i="3"/>
  <c r="Q24" i="3"/>
  <c r="R24" i="3"/>
  <c r="S24" i="3"/>
  <c r="T24" i="3"/>
  <c r="U24" i="3"/>
  <c r="V24" i="3"/>
  <c r="W24" i="3"/>
  <c r="X24" i="3"/>
  <c r="H25" i="3"/>
  <c r="B25" i="3" s="1"/>
  <c r="I25" i="3"/>
  <c r="C25" i="3" s="1"/>
  <c r="P25" i="3"/>
  <c r="Q25" i="3"/>
  <c r="R25" i="3"/>
  <c r="S25" i="3"/>
  <c r="T25" i="3"/>
  <c r="U25" i="3"/>
  <c r="V25" i="3"/>
  <c r="W25" i="3"/>
  <c r="X25" i="3"/>
  <c r="H26" i="3"/>
  <c r="B26" i="3" s="1"/>
  <c r="I26" i="3"/>
  <c r="C26" i="3" s="1"/>
  <c r="P26" i="3"/>
  <c r="Q26" i="3"/>
  <c r="R26" i="3"/>
  <c r="S26" i="3"/>
  <c r="T26" i="3"/>
  <c r="U26" i="3"/>
  <c r="V26" i="3"/>
  <c r="W26" i="3"/>
  <c r="X26" i="3"/>
  <c r="Z26" i="3"/>
  <c r="H27" i="3"/>
  <c r="B27" i="3" s="1"/>
  <c r="I27" i="3"/>
  <c r="C27" i="3" s="1"/>
  <c r="P27" i="3"/>
  <c r="Q27" i="3"/>
  <c r="R27" i="3"/>
  <c r="S27" i="3"/>
  <c r="T27" i="3"/>
  <c r="U27" i="3"/>
  <c r="V27" i="3"/>
  <c r="W27" i="3"/>
  <c r="X27" i="3"/>
  <c r="H28" i="3"/>
  <c r="B28" i="3" s="1"/>
  <c r="I28" i="3"/>
  <c r="C28" i="3" s="1"/>
  <c r="P28" i="3"/>
  <c r="Q28" i="3"/>
  <c r="R28" i="3"/>
  <c r="S28" i="3"/>
  <c r="T28" i="3"/>
  <c r="U28" i="3"/>
  <c r="V28" i="3"/>
  <c r="W28" i="3"/>
  <c r="X28" i="3"/>
  <c r="Z28" i="3"/>
  <c r="H29" i="3"/>
  <c r="B29" i="3" s="1"/>
  <c r="I29" i="3"/>
  <c r="C29" i="3" s="1"/>
  <c r="P29" i="3"/>
  <c r="Q29" i="3"/>
  <c r="R29" i="3"/>
  <c r="S29" i="3"/>
  <c r="T29" i="3"/>
  <c r="U29" i="3"/>
  <c r="V29" i="3"/>
  <c r="W29" i="3"/>
  <c r="X29" i="3"/>
  <c r="H30" i="3"/>
  <c r="B30" i="3" s="1"/>
  <c r="I30" i="3"/>
  <c r="C30" i="3" s="1"/>
  <c r="P30" i="3"/>
  <c r="Q30" i="3"/>
  <c r="R30" i="3"/>
  <c r="S30" i="3"/>
  <c r="T30" i="3"/>
  <c r="U30" i="3"/>
  <c r="V30" i="3"/>
  <c r="W30" i="3"/>
  <c r="X30" i="3"/>
  <c r="H31" i="3"/>
  <c r="B31" i="3" s="1"/>
  <c r="I31" i="3"/>
  <c r="C31" i="3" s="1"/>
  <c r="P31" i="3"/>
  <c r="Q31" i="3"/>
  <c r="R31" i="3"/>
  <c r="S31" i="3"/>
  <c r="T31" i="3"/>
  <c r="U31" i="3"/>
  <c r="V31" i="3"/>
  <c r="W31" i="3"/>
  <c r="X31" i="3"/>
  <c r="H32" i="3"/>
  <c r="B32" i="3" s="1"/>
  <c r="I32" i="3"/>
  <c r="C32" i="3" s="1"/>
  <c r="P32" i="3"/>
  <c r="Q32" i="3"/>
  <c r="R32" i="3"/>
  <c r="S32" i="3"/>
  <c r="T32" i="3"/>
  <c r="U32" i="3"/>
  <c r="V32" i="3"/>
  <c r="W32" i="3"/>
  <c r="X32" i="3"/>
  <c r="H33" i="3"/>
  <c r="B33" i="3" s="1"/>
  <c r="I33" i="3"/>
  <c r="C33" i="3" s="1"/>
  <c r="P33" i="3"/>
  <c r="Q33" i="3"/>
  <c r="R33" i="3"/>
  <c r="S33" i="3"/>
  <c r="T33" i="3"/>
  <c r="U33" i="3"/>
  <c r="V33" i="3"/>
  <c r="W33" i="3"/>
  <c r="X33" i="3"/>
  <c r="H34" i="3"/>
  <c r="B34" i="3" s="1"/>
  <c r="I34" i="3"/>
  <c r="C34" i="3" s="1"/>
  <c r="P34" i="3"/>
  <c r="Q34" i="3"/>
  <c r="R34" i="3"/>
  <c r="S34" i="3"/>
  <c r="T34" i="3"/>
  <c r="U34" i="3"/>
  <c r="V34" i="3"/>
  <c r="W34" i="3"/>
  <c r="X34" i="3"/>
  <c r="H35" i="3"/>
  <c r="B35" i="3" s="1"/>
  <c r="I35" i="3"/>
  <c r="C35" i="3" s="1"/>
  <c r="P35" i="3"/>
  <c r="Q35" i="3"/>
  <c r="R35" i="3"/>
  <c r="S35" i="3"/>
  <c r="T35" i="3"/>
  <c r="U35" i="3"/>
  <c r="V35" i="3"/>
  <c r="W35" i="3"/>
  <c r="X35" i="3"/>
  <c r="H36" i="3"/>
  <c r="B36" i="3" s="1"/>
  <c r="I36" i="3"/>
  <c r="C36" i="3" s="1"/>
  <c r="P36" i="3"/>
  <c r="Q36" i="3"/>
  <c r="R36" i="3"/>
  <c r="S36" i="3"/>
  <c r="T36" i="3"/>
  <c r="U36" i="3"/>
  <c r="V36" i="3"/>
  <c r="W36" i="3"/>
  <c r="X36" i="3"/>
  <c r="H37" i="3"/>
  <c r="B37" i="3" s="1"/>
  <c r="I37" i="3"/>
  <c r="C37" i="3" s="1"/>
  <c r="P37" i="3"/>
  <c r="Q37" i="3"/>
  <c r="R37" i="3"/>
  <c r="S37" i="3"/>
  <c r="T37" i="3"/>
  <c r="U37" i="3"/>
  <c r="V37" i="3"/>
  <c r="W37" i="3"/>
  <c r="X37" i="3"/>
  <c r="H38" i="3"/>
  <c r="B38" i="3" s="1"/>
  <c r="I38" i="3"/>
  <c r="C38" i="3" s="1"/>
  <c r="P38" i="3"/>
  <c r="Q38" i="3"/>
  <c r="R38" i="3"/>
  <c r="S38" i="3"/>
  <c r="T38" i="3"/>
  <c r="U38" i="3"/>
  <c r="V38" i="3"/>
  <c r="W38" i="3"/>
  <c r="X38" i="3"/>
  <c r="H39" i="3"/>
  <c r="B39" i="3" s="1"/>
  <c r="I39" i="3"/>
  <c r="C39" i="3" s="1"/>
  <c r="P39" i="3"/>
  <c r="Q39" i="3"/>
  <c r="R39" i="3"/>
  <c r="S39" i="3"/>
  <c r="T39" i="3"/>
  <c r="U39" i="3"/>
  <c r="V39" i="3"/>
  <c r="W39" i="3"/>
  <c r="X39" i="3"/>
  <c r="H40" i="3"/>
  <c r="B40" i="3" s="1"/>
  <c r="I40" i="3"/>
  <c r="C40" i="3" s="1"/>
  <c r="P40" i="3"/>
  <c r="Q40" i="3"/>
  <c r="R40" i="3"/>
  <c r="S40" i="3"/>
  <c r="T40" i="3"/>
  <c r="U40" i="3"/>
  <c r="V40" i="3"/>
  <c r="W40" i="3"/>
  <c r="X40" i="3"/>
  <c r="Z40" i="3"/>
  <c r="H41" i="3"/>
  <c r="B41" i="3" s="1"/>
  <c r="I41" i="3"/>
  <c r="C41" i="3" s="1"/>
  <c r="P41" i="3"/>
  <c r="Q41" i="3"/>
  <c r="R41" i="3"/>
  <c r="S41" i="3"/>
  <c r="T41" i="3"/>
  <c r="U41" i="3"/>
  <c r="V41" i="3"/>
  <c r="W41" i="3"/>
  <c r="X41" i="3"/>
  <c r="H42" i="3"/>
  <c r="B42" i="3" s="1"/>
  <c r="I42" i="3"/>
  <c r="C42" i="3" s="1"/>
  <c r="P42" i="3"/>
  <c r="Q42" i="3"/>
  <c r="R42" i="3"/>
  <c r="S42" i="3"/>
  <c r="T42" i="3"/>
  <c r="U42" i="3"/>
  <c r="V42" i="3"/>
  <c r="W42" i="3"/>
  <c r="X42" i="3"/>
  <c r="H43" i="3"/>
  <c r="B43" i="3" s="1"/>
  <c r="I43" i="3"/>
  <c r="C43" i="3" s="1"/>
  <c r="P43" i="3"/>
  <c r="Q43" i="3"/>
  <c r="R43" i="3"/>
  <c r="S43" i="3"/>
  <c r="T43" i="3"/>
  <c r="U43" i="3"/>
  <c r="V43" i="3"/>
  <c r="W43" i="3"/>
  <c r="X43" i="3"/>
  <c r="H44" i="3"/>
  <c r="B44" i="3" s="1"/>
  <c r="I44" i="3"/>
  <c r="C44" i="3" s="1"/>
  <c r="P44" i="3"/>
  <c r="Q44" i="3"/>
  <c r="R44" i="3"/>
  <c r="S44" i="3"/>
  <c r="T44" i="3"/>
  <c r="U44" i="3"/>
  <c r="V44" i="3"/>
  <c r="W44" i="3"/>
  <c r="X44" i="3"/>
  <c r="H45" i="3"/>
  <c r="B45" i="3" s="1"/>
  <c r="I45" i="3"/>
  <c r="C45" i="3" s="1"/>
  <c r="P45" i="3"/>
  <c r="Q45" i="3"/>
  <c r="R45" i="3"/>
  <c r="S45" i="3"/>
  <c r="T45" i="3"/>
  <c r="U45" i="3"/>
  <c r="V45" i="3"/>
  <c r="W45" i="3"/>
  <c r="X45" i="3"/>
  <c r="H46" i="3"/>
  <c r="B46" i="3" s="1"/>
  <c r="I46" i="3"/>
  <c r="C46" i="3" s="1"/>
  <c r="P46" i="3"/>
  <c r="Q46" i="3"/>
  <c r="R46" i="3"/>
  <c r="S46" i="3"/>
  <c r="T46" i="3"/>
  <c r="U46" i="3"/>
  <c r="V46" i="3"/>
  <c r="W46" i="3"/>
  <c r="X46" i="3"/>
  <c r="H47" i="3"/>
  <c r="B47" i="3" s="1"/>
  <c r="I47" i="3"/>
  <c r="C47" i="3" s="1"/>
  <c r="P47" i="3"/>
  <c r="Q47" i="3"/>
  <c r="R47" i="3"/>
  <c r="S47" i="3"/>
  <c r="T47" i="3"/>
  <c r="U47" i="3"/>
  <c r="V47" i="3"/>
  <c r="W47" i="3"/>
  <c r="X47" i="3"/>
  <c r="H48" i="3"/>
  <c r="B48" i="3" s="1"/>
  <c r="I48" i="3"/>
  <c r="C48" i="3" s="1"/>
  <c r="P48" i="3"/>
  <c r="Q48" i="3"/>
  <c r="R48" i="3"/>
  <c r="S48" i="3"/>
  <c r="T48" i="3"/>
  <c r="U48" i="3"/>
  <c r="V48" i="3"/>
  <c r="W48" i="3"/>
  <c r="X48" i="3"/>
  <c r="H49" i="3"/>
  <c r="B49" i="3" s="1"/>
  <c r="I49" i="3"/>
  <c r="C49" i="3" s="1"/>
  <c r="P49" i="3"/>
  <c r="Q49" i="3"/>
  <c r="R49" i="3"/>
  <c r="S49" i="3"/>
  <c r="T49" i="3"/>
  <c r="U49" i="3"/>
  <c r="V49" i="3"/>
  <c r="W49" i="3"/>
  <c r="X49" i="3"/>
  <c r="H50" i="3"/>
  <c r="B50" i="3" s="1"/>
  <c r="I50" i="3"/>
  <c r="C50" i="3" s="1"/>
  <c r="P50" i="3"/>
  <c r="Q50" i="3"/>
  <c r="R50" i="3"/>
  <c r="S50" i="3"/>
  <c r="T50" i="3"/>
  <c r="U50" i="3"/>
  <c r="V50" i="3"/>
  <c r="W50" i="3"/>
  <c r="X50" i="3"/>
  <c r="H51" i="3"/>
  <c r="B51" i="3" s="1"/>
  <c r="I51" i="3"/>
  <c r="C51" i="3" s="1"/>
  <c r="P51" i="3"/>
  <c r="Q51" i="3"/>
  <c r="R51" i="3"/>
  <c r="S51" i="3"/>
  <c r="T51" i="3"/>
  <c r="U51" i="3"/>
  <c r="V51" i="3"/>
  <c r="W51" i="3"/>
  <c r="X51" i="3"/>
  <c r="H52" i="3"/>
  <c r="B52" i="3" s="1"/>
  <c r="I52" i="3"/>
  <c r="C52" i="3" s="1"/>
  <c r="P52" i="3"/>
  <c r="Q52" i="3"/>
  <c r="R52" i="3"/>
  <c r="S52" i="3"/>
  <c r="T52" i="3"/>
  <c r="U52" i="3"/>
  <c r="V52" i="3"/>
  <c r="W52" i="3"/>
  <c r="X52" i="3"/>
  <c r="H53" i="3"/>
  <c r="B53" i="3" s="1"/>
  <c r="I53" i="3"/>
  <c r="C53" i="3" s="1"/>
  <c r="P53" i="3"/>
  <c r="Q53" i="3"/>
  <c r="R53" i="3"/>
  <c r="S53" i="3"/>
  <c r="T53" i="3"/>
  <c r="U53" i="3"/>
  <c r="V53" i="3"/>
  <c r="W53" i="3"/>
  <c r="X53" i="3"/>
  <c r="H54" i="3"/>
  <c r="B54" i="3" s="1"/>
  <c r="I54" i="3"/>
  <c r="C54" i="3" s="1"/>
  <c r="P54" i="3"/>
  <c r="Q54" i="3"/>
  <c r="R54" i="3"/>
  <c r="S54" i="3"/>
  <c r="T54" i="3"/>
  <c r="U54" i="3"/>
  <c r="V54" i="3"/>
  <c r="W54" i="3"/>
  <c r="X54" i="3"/>
  <c r="Z54" i="3"/>
  <c r="H55" i="3"/>
  <c r="B55" i="3" s="1"/>
  <c r="I55" i="3"/>
  <c r="C55" i="3" s="1"/>
  <c r="P55" i="3"/>
  <c r="Q55" i="3"/>
  <c r="R55" i="3"/>
  <c r="S55" i="3"/>
  <c r="T55" i="3"/>
  <c r="U55" i="3"/>
  <c r="V55" i="3"/>
  <c r="W55" i="3"/>
  <c r="X55" i="3"/>
  <c r="H56" i="3"/>
  <c r="B56" i="3" s="1"/>
  <c r="I56" i="3"/>
  <c r="C56" i="3" s="1"/>
  <c r="P56" i="3"/>
  <c r="Q56" i="3"/>
  <c r="R56" i="3"/>
  <c r="S56" i="3"/>
  <c r="T56" i="3"/>
  <c r="U56" i="3"/>
  <c r="V56" i="3"/>
  <c r="W56" i="3"/>
  <c r="X56" i="3"/>
  <c r="Z56" i="3"/>
  <c r="H57" i="3"/>
  <c r="B57" i="3" s="1"/>
  <c r="I57" i="3"/>
  <c r="C57" i="3" s="1"/>
  <c r="P57" i="3"/>
  <c r="Q57" i="3"/>
  <c r="R57" i="3"/>
  <c r="S57" i="3"/>
  <c r="T57" i="3"/>
  <c r="U57" i="3"/>
  <c r="V57" i="3"/>
  <c r="W57" i="3"/>
  <c r="X57" i="3"/>
  <c r="H58" i="3"/>
  <c r="B58" i="3" s="1"/>
  <c r="I58" i="3"/>
  <c r="C58" i="3" s="1"/>
  <c r="P58" i="3"/>
  <c r="Q58" i="3"/>
  <c r="R58" i="3"/>
  <c r="S58" i="3"/>
  <c r="T58" i="3"/>
  <c r="U58" i="3"/>
  <c r="V58" i="3"/>
  <c r="W58" i="3"/>
  <c r="X58" i="3"/>
  <c r="H59" i="3"/>
  <c r="B59" i="3" s="1"/>
  <c r="I59" i="3"/>
  <c r="C59" i="3" s="1"/>
  <c r="P59" i="3"/>
  <c r="Q59" i="3"/>
  <c r="R59" i="3"/>
  <c r="S59" i="3"/>
  <c r="T59" i="3"/>
  <c r="U59" i="3"/>
  <c r="V59" i="3"/>
  <c r="W59" i="3"/>
  <c r="X59" i="3"/>
  <c r="H60" i="3"/>
  <c r="B60" i="3" s="1"/>
  <c r="I60" i="3"/>
  <c r="C60" i="3" s="1"/>
  <c r="P60" i="3"/>
  <c r="Q60" i="3"/>
  <c r="R60" i="3"/>
  <c r="S60" i="3"/>
  <c r="T60" i="3"/>
  <c r="U60" i="3"/>
  <c r="V60" i="3"/>
  <c r="W60" i="3"/>
  <c r="X60" i="3"/>
  <c r="H61" i="3"/>
  <c r="B61" i="3" s="1"/>
  <c r="I61" i="3"/>
  <c r="C61" i="3" s="1"/>
  <c r="P61" i="3"/>
  <c r="Q61" i="3"/>
  <c r="R61" i="3"/>
  <c r="S61" i="3"/>
  <c r="T61" i="3"/>
  <c r="U61" i="3"/>
  <c r="V61" i="3"/>
  <c r="W61" i="3"/>
  <c r="X61" i="3"/>
  <c r="H62" i="3"/>
  <c r="B62" i="3" s="1"/>
  <c r="I62" i="3"/>
  <c r="C62" i="3" s="1"/>
  <c r="P62" i="3"/>
  <c r="Q62" i="3"/>
  <c r="R62" i="3"/>
  <c r="S62" i="3"/>
  <c r="T62" i="3"/>
  <c r="U62" i="3"/>
  <c r="V62" i="3"/>
  <c r="W62" i="3"/>
  <c r="X62" i="3"/>
  <c r="H63" i="3"/>
  <c r="B63" i="3" s="1"/>
  <c r="I63" i="3"/>
  <c r="C63" i="3" s="1"/>
  <c r="P63" i="3"/>
  <c r="Q63" i="3"/>
  <c r="R63" i="3"/>
  <c r="S63" i="3"/>
  <c r="T63" i="3"/>
  <c r="U63" i="3"/>
  <c r="V63" i="3"/>
  <c r="W63" i="3"/>
  <c r="X63" i="3"/>
  <c r="H64" i="3"/>
  <c r="B64" i="3" s="1"/>
  <c r="I64" i="3"/>
  <c r="C64" i="3" s="1"/>
  <c r="P64" i="3"/>
  <c r="Q64" i="3"/>
  <c r="R64" i="3"/>
  <c r="S64" i="3"/>
  <c r="T64" i="3"/>
  <c r="U64" i="3"/>
  <c r="V64" i="3"/>
  <c r="W64" i="3"/>
  <c r="X64" i="3"/>
  <c r="H65" i="3"/>
  <c r="B65" i="3" s="1"/>
  <c r="I65" i="3"/>
  <c r="C65" i="3" s="1"/>
  <c r="P65" i="3"/>
  <c r="Q65" i="3"/>
  <c r="R65" i="3"/>
  <c r="S65" i="3"/>
  <c r="T65" i="3"/>
  <c r="U65" i="3"/>
  <c r="V65" i="3"/>
  <c r="W65" i="3"/>
  <c r="X65" i="3"/>
  <c r="H66" i="3"/>
  <c r="B66" i="3" s="1"/>
  <c r="I66" i="3"/>
  <c r="C66" i="3" s="1"/>
  <c r="P66" i="3"/>
  <c r="Q66" i="3"/>
  <c r="R66" i="3"/>
  <c r="S66" i="3"/>
  <c r="T66" i="3"/>
  <c r="U66" i="3"/>
  <c r="V66" i="3"/>
  <c r="W66" i="3"/>
  <c r="X66" i="3"/>
  <c r="H67" i="3"/>
  <c r="B67" i="3" s="1"/>
  <c r="I67" i="3"/>
  <c r="C67" i="3" s="1"/>
  <c r="P67" i="3"/>
  <c r="Q67" i="3"/>
  <c r="R67" i="3"/>
  <c r="S67" i="3"/>
  <c r="T67" i="3"/>
  <c r="U67" i="3"/>
  <c r="V67" i="3"/>
  <c r="W67" i="3"/>
  <c r="X67" i="3"/>
  <c r="H68" i="3"/>
  <c r="B68" i="3" s="1"/>
  <c r="I68" i="3"/>
  <c r="C68" i="3" s="1"/>
  <c r="P68" i="3"/>
  <c r="Q68" i="3"/>
  <c r="R68" i="3"/>
  <c r="S68" i="3"/>
  <c r="T68" i="3"/>
  <c r="U68" i="3"/>
  <c r="V68" i="3"/>
  <c r="W68" i="3"/>
  <c r="X68" i="3"/>
  <c r="H69" i="3"/>
  <c r="B69" i="3" s="1"/>
  <c r="I69" i="3"/>
  <c r="C69" i="3" s="1"/>
  <c r="P69" i="3"/>
  <c r="Q69" i="3"/>
  <c r="R69" i="3"/>
  <c r="S69" i="3"/>
  <c r="T69" i="3"/>
  <c r="U69" i="3"/>
  <c r="V69" i="3"/>
  <c r="W69" i="3"/>
  <c r="X69" i="3"/>
  <c r="H70" i="3"/>
  <c r="B70" i="3" s="1"/>
  <c r="I70" i="3"/>
  <c r="C70" i="3" s="1"/>
  <c r="P70" i="3"/>
  <c r="Q70" i="3"/>
  <c r="R70" i="3"/>
  <c r="S70" i="3"/>
  <c r="T70" i="3"/>
  <c r="U70" i="3"/>
  <c r="V70" i="3"/>
  <c r="W70" i="3"/>
  <c r="X70" i="3"/>
  <c r="Z70" i="3"/>
  <c r="H71" i="3"/>
  <c r="B71" i="3" s="1"/>
  <c r="I71" i="3"/>
  <c r="C71" i="3" s="1"/>
  <c r="P71" i="3"/>
  <c r="Q71" i="3"/>
  <c r="R71" i="3"/>
  <c r="S71" i="3"/>
  <c r="T71" i="3"/>
  <c r="U71" i="3"/>
  <c r="V71" i="3"/>
  <c r="W71" i="3"/>
  <c r="X71" i="3"/>
  <c r="H72" i="3"/>
  <c r="B72" i="3" s="1"/>
  <c r="I72" i="3"/>
  <c r="C72" i="3" s="1"/>
  <c r="P72" i="3"/>
  <c r="Q72" i="3"/>
  <c r="R72" i="3"/>
  <c r="S72" i="3"/>
  <c r="T72" i="3"/>
  <c r="U72" i="3"/>
  <c r="V72" i="3"/>
  <c r="W72" i="3"/>
  <c r="X72" i="3"/>
  <c r="H73" i="3"/>
  <c r="B73" i="3" s="1"/>
  <c r="I73" i="3"/>
  <c r="C73" i="3" s="1"/>
  <c r="P73" i="3"/>
  <c r="Q73" i="3"/>
  <c r="R73" i="3"/>
  <c r="S73" i="3"/>
  <c r="T73" i="3"/>
  <c r="U73" i="3"/>
  <c r="V73" i="3"/>
  <c r="W73" i="3"/>
  <c r="X73" i="3"/>
  <c r="H74" i="3"/>
  <c r="B74" i="3" s="1"/>
  <c r="I74" i="3"/>
  <c r="C74" i="3" s="1"/>
  <c r="P74" i="3"/>
  <c r="Q74" i="3"/>
  <c r="R74" i="3"/>
  <c r="S74" i="3"/>
  <c r="T74" i="3"/>
  <c r="U74" i="3"/>
  <c r="V74" i="3"/>
  <c r="W74" i="3"/>
  <c r="X74" i="3"/>
  <c r="H75" i="3"/>
  <c r="B75" i="3" s="1"/>
  <c r="I75" i="3"/>
  <c r="C75" i="3" s="1"/>
  <c r="P75" i="3"/>
  <c r="Q75" i="3"/>
  <c r="R75" i="3"/>
  <c r="S75" i="3"/>
  <c r="T75" i="3"/>
  <c r="U75" i="3"/>
  <c r="V75" i="3"/>
  <c r="W75" i="3"/>
  <c r="X75" i="3"/>
  <c r="H76" i="3"/>
  <c r="B76" i="3" s="1"/>
  <c r="I76" i="3"/>
  <c r="C76" i="3" s="1"/>
  <c r="P76" i="3"/>
  <c r="Q76" i="3"/>
  <c r="R76" i="3"/>
  <c r="S76" i="3"/>
  <c r="T76" i="3"/>
  <c r="U76" i="3"/>
  <c r="V76" i="3"/>
  <c r="W76" i="3"/>
  <c r="X76" i="3"/>
  <c r="Z76" i="3"/>
  <c r="H77" i="3"/>
  <c r="B77" i="3" s="1"/>
  <c r="I77" i="3"/>
  <c r="C77" i="3" s="1"/>
  <c r="P77" i="3"/>
  <c r="Q77" i="3"/>
  <c r="R77" i="3"/>
  <c r="S77" i="3"/>
  <c r="T77" i="3"/>
  <c r="U77" i="3"/>
  <c r="V77" i="3"/>
  <c r="W77" i="3"/>
  <c r="X77" i="3"/>
  <c r="H78" i="3"/>
  <c r="B78" i="3" s="1"/>
  <c r="I78" i="3"/>
  <c r="C78" i="3" s="1"/>
  <c r="P78" i="3"/>
  <c r="Q78" i="3"/>
  <c r="R78" i="3"/>
  <c r="S78" i="3"/>
  <c r="T78" i="3"/>
  <c r="U78" i="3"/>
  <c r="V78" i="3"/>
  <c r="W78" i="3"/>
  <c r="X78" i="3"/>
  <c r="H79" i="3"/>
  <c r="B79" i="3" s="1"/>
  <c r="I79" i="3"/>
  <c r="C79" i="3" s="1"/>
  <c r="P79" i="3"/>
  <c r="Q79" i="3"/>
  <c r="R79" i="3"/>
  <c r="S79" i="3"/>
  <c r="T79" i="3"/>
  <c r="U79" i="3"/>
  <c r="V79" i="3"/>
  <c r="W79" i="3"/>
  <c r="X79" i="3"/>
  <c r="H80" i="3"/>
  <c r="B80" i="3" s="1"/>
  <c r="I80" i="3"/>
  <c r="C80" i="3" s="1"/>
  <c r="P80" i="3"/>
  <c r="Q80" i="3"/>
  <c r="R80" i="3"/>
  <c r="S80" i="3"/>
  <c r="T80" i="3"/>
  <c r="U80" i="3"/>
  <c r="V80" i="3"/>
  <c r="W80" i="3"/>
  <c r="X80" i="3"/>
  <c r="H81" i="3"/>
  <c r="B81" i="3" s="1"/>
  <c r="I81" i="3"/>
  <c r="C81" i="3" s="1"/>
  <c r="P81" i="3"/>
  <c r="Q81" i="3"/>
  <c r="R81" i="3"/>
  <c r="S81" i="3"/>
  <c r="T81" i="3"/>
  <c r="U81" i="3"/>
  <c r="V81" i="3"/>
  <c r="W81" i="3"/>
  <c r="X81" i="3"/>
  <c r="H82" i="3"/>
  <c r="B82" i="3" s="1"/>
  <c r="I82" i="3"/>
  <c r="C82" i="3" s="1"/>
  <c r="P82" i="3"/>
  <c r="Q82" i="3"/>
  <c r="R82" i="3"/>
  <c r="S82" i="3"/>
  <c r="T82" i="3"/>
  <c r="U82" i="3"/>
  <c r="V82" i="3"/>
  <c r="W82" i="3"/>
  <c r="X82" i="3"/>
  <c r="H83" i="3"/>
  <c r="B83" i="3" s="1"/>
  <c r="I83" i="3"/>
  <c r="C83" i="3" s="1"/>
  <c r="P83" i="3"/>
  <c r="Q83" i="3"/>
  <c r="R83" i="3"/>
  <c r="S83" i="3"/>
  <c r="T83" i="3"/>
  <c r="U83" i="3"/>
  <c r="V83" i="3"/>
  <c r="W83" i="3"/>
  <c r="X83" i="3"/>
  <c r="Z83" i="3"/>
  <c r="H84" i="3"/>
  <c r="B84" i="3" s="1"/>
  <c r="I84" i="3"/>
  <c r="C84" i="3" s="1"/>
  <c r="P84" i="3"/>
  <c r="Q84" i="3"/>
  <c r="R84" i="3"/>
  <c r="S84" i="3"/>
  <c r="T84" i="3"/>
  <c r="U84" i="3"/>
  <c r="V84" i="3"/>
  <c r="W84" i="3"/>
  <c r="X84" i="3"/>
  <c r="H85" i="3"/>
  <c r="B85" i="3" s="1"/>
  <c r="I85" i="3"/>
  <c r="C85" i="3" s="1"/>
  <c r="P85" i="3"/>
  <c r="Q85" i="3"/>
  <c r="R85" i="3"/>
  <c r="S85" i="3"/>
  <c r="T85" i="3"/>
  <c r="U85" i="3"/>
  <c r="V85" i="3"/>
  <c r="W85" i="3"/>
  <c r="X85" i="3"/>
  <c r="Z85" i="3"/>
  <c r="H86" i="3"/>
  <c r="B86" i="3" s="1"/>
  <c r="I86" i="3"/>
  <c r="C86" i="3" s="1"/>
  <c r="P86" i="3"/>
  <c r="Q86" i="3"/>
  <c r="R86" i="3"/>
  <c r="S86" i="3"/>
  <c r="T86" i="3"/>
  <c r="U86" i="3"/>
  <c r="V86" i="3"/>
  <c r="W86" i="3"/>
  <c r="X86" i="3"/>
  <c r="H87" i="3"/>
  <c r="B87" i="3" s="1"/>
  <c r="I87" i="3"/>
  <c r="C87" i="3" s="1"/>
  <c r="P87" i="3"/>
  <c r="Q87" i="3"/>
  <c r="R87" i="3"/>
  <c r="S87" i="3"/>
  <c r="T87" i="3"/>
  <c r="U87" i="3"/>
  <c r="V87" i="3"/>
  <c r="W87" i="3"/>
  <c r="X87" i="3"/>
  <c r="Z87" i="3"/>
  <c r="H88" i="3"/>
  <c r="B88" i="3" s="1"/>
  <c r="I88" i="3"/>
  <c r="C88" i="3" s="1"/>
  <c r="P88" i="3"/>
  <c r="Q88" i="3"/>
  <c r="R88" i="3"/>
  <c r="S88" i="3"/>
  <c r="T88" i="3"/>
  <c r="U88" i="3"/>
  <c r="V88" i="3"/>
  <c r="W88" i="3"/>
  <c r="X88" i="3"/>
  <c r="H89" i="3"/>
  <c r="B89" i="3" s="1"/>
  <c r="I89" i="3"/>
  <c r="C89" i="3" s="1"/>
  <c r="P89" i="3"/>
  <c r="Q89" i="3"/>
  <c r="R89" i="3"/>
  <c r="S89" i="3"/>
  <c r="T89" i="3"/>
  <c r="U89" i="3"/>
  <c r="V89" i="3"/>
  <c r="W89" i="3"/>
  <c r="X89" i="3"/>
  <c r="H90" i="3"/>
  <c r="B90" i="3" s="1"/>
  <c r="I90" i="3"/>
  <c r="C90" i="3" s="1"/>
  <c r="P90" i="3"/>
  <c r="Q90" i="3"/>
  <c r="R90" i="3"/>
  <c r="S90" i="3"/>
  <c r="T90" i="3"/>
  <c r="U90" i="3"/>
  <c r="V90" i="3"/>
  <c r="W90" i="3"/>
  <c r="X90" i="3"/>
  <c r="Z90" i="3"/>
  <c r="H91" i="3"/>
  <c r="B91" i="3" s="1"/>
  <c r="I91" i="3"/>
  <c r="C91" i="3" s="1"/>
  <c r="P91" i="3"/>
  <c r="Q91" i="3"/>
  <c r="R91" i="3"/>
  <c r="S91" i="3"/>
  <c r="T91" i="3"/>
  <c r="U91" i="3"/>
  <c r="V91" i="3"/>
  <c r="W91" i="3"/>
  <c r="X91" i="3"/>
  <c r="H92" i="3"/>
  <c r="B92" i="3" s="1"/>
  <c r="I92" i="3"/>
  <c r="C92" i="3" s="1"/>
  <c r="P92" i="3"/>
  <c r="Q92" i="3"/>
  <c r="R92" i="3"/>
  <c r="S92" i="3"/>
  <c r="T92" i="3"/>
  <c r="U92" i="3"/>
  <c r="V92" i="3"/>
  <c r="W92" i="3"/>
  <c r="X92" i="3"/>
  <c r="H93" i="3"/>
  <c r="B93" i="3" s="1"/>
  <c r="I93" i="3"/>
  <c r="C93" i="3" s="1"/>
  <c r="P93" i="3"/>
  <c r="Q93" i="3"/>
  <c r="R93" i="3"/>
  <c r="S93" i="3"/>
  <c r="T93" i="3"/>
  <c r="U93" i="3"/>
  <c r="V93" i="3"/>
  <c r="W93" i="3"/>
  <c r="X93" i="3"/>
  <c r="H94" i="3"/>
  <c r="B94" i="3" s="1"/>
  <c r="I94" i="3"/>
  <c r="C94" i="3" s="1"/>
  <c r="P94" i="3"/>
  <c r="Q94" i="3"/>
  <c r="R94" i="3"/>
  <c r="S94" i="3"/>
  <c r="T94" i="3"/>
  <c r="U94" i="3"/>
  <c r="V94" i="3"/>
  <c r="W94" i="3"/>
  <c r="X94" i="3"/>
  <c r="H95" i="3"/>
  <c r="B95" i="3" s="1"/>
  <c r="I95" i="3"/>
  <c r="C95" i="3" s="1"/>
  <c r="P95" i="3"/>
  <c r="Q95" i="3"/>
  <c r="R95" i="3"/>
  <c r="S95" i="3"/>
  <c r="T95" i="3"/>
  <c r="U95" i="3"/>
  <c r="V95" i="3"/>
  <c r="W95" i="3"/>
  <c r="X95" i="3"/>
  <c r="Z95" i="3"/>
  <c r="H96" i="3"/>
  <c r="B96" i="3" s="1"/>
  <c r="I96" i="3"/>
  <c r="C96" i="3" s="1"/>
  <c r="P96" i="3"/>
  <c r="Q96" i="3"/>
  <c r="R96" i="3"/>
  <c r="S96" i="3"/>
  <c r="T96" i="3"/>
  <c r="U96" i="3"/>
  <c r="V96" i="3"/>
  <c r="W96" i="3"/>
  <c r="X96" i="3"/>
  <c r="H97" i="3"/>
  <c r="B97" i="3" s="1"/>
  <c r="I97" i="3"/>
  <c r="C97" i="3" s="1"/>
  <c r="P97" i="3"/>
  <c r="Q97" i="3"/>
  <c r="R97" i="3"/>
  <c r="S97" i="3"/>
  <c r="T97" i="3"/>
  <c r="U97" i="3"/>
  <c r="V97" i="3"/>
  <c r="W97" i="3"/>
  <c r="X97" i="3"/>
  <c r="H98" i="3"/>
  <c r="B98" i="3" s="1"/>
  <c r="I98" i="3"/>
  <c r="C98" i="3" s="1"/>
  <c r="P98" i="3"/>
  <c r="Q98" i="3"/>
  <c r="R98" i="3"/>
  <c r="S98" i="3"/>
  <c r="T98" i="3"/>
  <c r="U98" i="3"/>
  <c r="V98" i="3"/>
  <c r="W98" i="3"/>
  <c r="X98" i="3"/>
  <c r="H99" i="3"/>
  <c r="B99" i="3" s="1"/>
  <c r="I99" i="3"/>
  <c r="C99" i="3" s="1"/>
  <c r="P99" i="3"/>
  <c r="Q99" i="3"/>
  <c r="R99" i="3"/>
  <c r="S99" i="3"/>
  <c r="T99" i="3"/>
  <c r="U99" i="3"/>
  <c r="V99" i="3"/>
  <c r="W99" i="3"/>
  <c r="X99" i="3"/>
  <c r="H100" i="3"/>
  <c r="B100" i="3" s="1"/>
  <c r="I100" i="3"/>
  <c r="C100" i="3" s="1"/>
  <c r="P100" i="3"/>
  <c r="Q100" i="3"/>
  <c r="R100" i="3"/>
  <c r="S100" i="3"/>
  <c r="T100" i="3"/>
  <c r="U100" i="3"/>
  <c r="V100" i="3"/>
  <c r="W100" i="3"/>
  <c r="X100" i="3"/>
  <c r="H101" i="3"/>
  <c r="B101" i="3" s="1"/>
  <c r="I101" i="3"/>
  <c r="C101" i="3" s="1"/>
  <c r="P101" i="3"/>
  <c r="Q101" i="3"/>
  <c r="R101" i="3"/>
  <c r="S101" i="3"/>
  <c r="T101" i="3"/>
  <c r="U101" i="3"/>
  <c r="V101" i="3"/>
  <c r="W101" i="3"/>
  <c r="X101" i="3"/>
  <c r="H102" i="3"/>
  <c r="B102" i="3" s="1"/>
  <c r="I102" i="3"/>
  <c r="C102" i="3" s="1"/>
  <c r="P102" i="3"/>
  <c r="Q102" i="3"/>
  <c r="R102" i="3"/>
  <c r="S102" i="3"/>
  <c r="T102" i="3"/>
  <c r="U102" i="3"/>
  <c r="V102" i="3"/>
  <c r="W102" i="3"/>
  <c r="X102" i="3"/>
  <c r="H103" i="3"/>
  <c r="B103" i="3" s="1"/>
  <c r="I103" i="3"/>
  <c r="C103" i="3" s="1"/>
  <c r="P103" i="3"/>
  <c r="Q103" i="3"/>
  <c r="R103" i="3"/>
  <c r="S103" i="3"/>
  <c r="T103" i="3"/>
  <c r="U103" i="3"/>
  <c r="V103" i="3"/>
  <c r="W103" i="3"/>
  <c r="X103" i="3"/>
  <c r="Z103" i="3"/>
  <c r="H104" i="3"/>
  <c r="B104" i="3" s="1"/>
  <c r="I104" i="3"/>
  <c r="C104" i="3" s="1"/>
  <c r="P104" i="3"/>
  <c r="Q104" i="3"/>
  <c r="R104" i="3"/>
  <c r="S104" i="3"/>
  <c r="T104" i="3"/>
  <c r="U104" i="3"/>
  <c r="V104" i="3"/>
  <c r="W104" i="3"/>
  <c r="X104" i="3"/>
  <c r="Z104" i="3"/>
  <c r="H105" i="3"/>
  <c r="B105" i="3" s="1"/>
  <c r="I105" i="3"/>
  <c r="C105" i="3" s="1"/>
  <c r="P105" i="3"/>
  <c r="Q105" i="3"/>
  <c r="R105" i="3"/>
  <c r="S105" i="3"/>
  <c r="T105" i="3"/>
  <c r="U105" i="3"/>
  <c r="V105" i="3"/>
  <c r="W105" i="3"/>
  <c r="X105" i="3"/>
  <c r="H106" i="3"/>
  <c r="B106" i="3" s="1"/>
  <c r="I106" i="3"/>
  <c r="C106" i="3" s="1"/>
  <c r="P106" i="3"/>
  <c r="Q106" i="3"/>
  <c r="R106" i="3"/>
  <c r="S106" i="3"/>
  <c r="T106" i="3"/>
  <c r="U106" i="3"/>
  <c r="V106" i="3"/>
  <c r="W106" i="3"/>
  <c r="X106" i="3"/>
  <c r="H107" i="3"/>
  <c r="B107" i="3" s="1"/>
  <c r="I107" i="3"/>
  <c r="C107" i="3" s="1"/>
  <c r="P107" i="3"/>
  <c r="Q107" i="3"/>
  <c r="R107" i="3"/>
  <c r="S107" i="3"/>
  <c r="T107" i="3"/>
  <c r="U107" i="3"/>
  <c r="V107" i="3"/>
  <c r="W107" i="3"/>
  <c r="X107" i="3"/>
  <c r="H108" i="3"/>
  <c r="B108" i="3" s="1"/>
  <c r="I108" i="3"/>
  <c r="C108" i="3" s="1"/>
  <c r="P108" i="3"/>
  <c r="Q108" i="3"/>
  <c r="R108" i="3"/>
  <c r="S108" i="3"/>
  <c r="T108" i="3"/>
  <c r="U108" i="3"/>
  <c r="V108" i="3"/>
  <c r="W108" i="3"/>
  <c r="X108" i="3"/>
  <c r="H109" i="3"/>
  <c r="B109" i="3" s="1"/>
  <c r="I109" i="3"/>
  <c r="C109" i="3" s="1"/>
  <c r="P109" i="3"/>
  <c r="Q109" i="3"/>
  <c r="R109" i="3"/>
  <c r="S109" i="3"/>
  <c r="T109" i="3"/>
  <c r="U109" i="3"/>
  <c r="V109" i="3"/>
  <c r="W109" i="3"/>
  <c r="X109" i="3"/>
  <c r="Y109" i="3"/>
  <c r="Z109" i="3"/>
  <c r="H110" i="3"/>
  <c r="B110" i="3" s="1"/>
  <c r="I110" i="3"/>
  <c r="C110" i="3" s="1"/>
  <c r="P110" i="3"/>
  <c r="Q110" i="3"/>
  <c r="R110" i="3"/>
  <c r="S110" i="3"/>
  <c r="T110" i="3"/>
  <c r="U110" i="3"/>
  <c r="V110" i="3"/>
  <c r="W110" i="3"/>
  <c r="X110" i="3"/>
  <c r="H111" i="3"/>
  <c r="B111" i="3" s="1"/>
  <c r="I111" i="3"/>
  <c r="C111" i="3" s="1"/>
  <c r="P111" i="3"/>
  <c r="Q111" i="3"/>
  <c r="R111" i="3"/>
  <c r="S111" i="3"/>
  <c r="T111" i="3"/>
  <c r="U111" i="3"/>
  <c r="V111" i="3"/>
  <c r="W111" i="3"/>
  <c r="X111" i="3"/>
  <c r="Z111" i="3"/>
  <c r="H112" i="3"/>
  <c r="B112" i="3" s="1"/>
  <c r="I112" i="3"/>
  <c r="C112" i="3" s="1"/>
  <c r="P112" i="3"/>
  <c r="Q112" i="3"/>
  <c r="R112" i="3"/>
  <c r="S112" i="3"/>
  <c r="T112" i="3"/>
  <c r="U112" i="3"/>
  <c r="V112" i="3"/>
  <c r="W112" i="3"/>
  <c r="X112" i="3"/>
  <c r="H113" i="3"/>
  <c r="B113" i="3" s="1"/>
  <c r="I113" i="3"/>
  <c r="C113" i="3" s="1"/>
  <c r="P113" i="3"/>
  <c r="Q113" i="3"/>
  <c r="R113" i="3"/>
  <c r="S113" i="3"/>
  <c r="T113" i="3"/>
  <c r="U113" i="3"/>
  <c r="V113" i="3"/>
  <c r="W113" i="3"/>
  <c r="X113" i="3"/>
  <c r="H114" i="3"/>
  <c r="B114" i="3" s="1"/>
  <c r="I114" i="3"/>
  <c r="C114" i="3" s="1"/>
  <c r="P114" i="3"/>
  <c r="Q114" i="3"/>
  <c r="R114" i="3"/>
  <c r="S114" i="3"/>
  <c r="T114" i="3"/>
  <c r="U114" i="3"/>
  <c r="V114" i="3"/>
  <c r="W114" i="3"/>
  <c r="X114" i="3"/>
  <c r="H115" i="3"/>
  <c r="B115" i="3" s="1"/>
  <c r="I115" i="3"/>
  <c r="C115" i="3" s="1"/>
  <c r="P115" i="3"/>
  <c r="Q115" i="3"/>
  <c r="R115" i="3"/>
  <c r="S115" i="3"/>
  <c r="T115" i="3"/>
  <c r="U115" i="3"/>
  <c r="V115" i="3"/>
  <c r="W115" i="3"/>
  <c r="X115" i="3"/>
  <c r="H116" i="3"/>
  <c r="B116" i="3" s="1"/>
  <c r="I116" i="3"/>
  <c r="C116" i="3" s="1"/>
  <c r="P116" i="3"/>
  <c r="Q116" i="3"/>
  <c r="R116" i="3"/>
  <c r="S116" i="3"/>
  <c r="T116" i="3"/>
  <c r="U116" i="3"/>
  <c r="V116" i="3"/>
  <c r="W116" i="3"/>
  <c r="X116" i="3"/>
  <c r="H117" i="3"/>
  <c r="B117" i="3" s="1"/>
  <c r="I117" i="3"/>
  <c r="C117" i="3" s="1"/>
  <c r="P117" i="3"/>
  <c r="Q117" i="3"/>
  <c r="R117" i="3"/>
  <c r="S117" i="3"/>
  <c r="T117" i="3"/>
  <c r="U117" i="3"/>
  <c r="V117" i="3"/>
  <c r="W117" i="3"/>
  <c r="X117" i="3"/>
  <c r="Z117" i="3"/>
  <c r="H118" i="3"/>
  <c r="B118" i="3" s="1"/>
  <c r="I118" i="3"/>
  <c r="C118" i="3" s="1"/>
  <c r="P118" i="3"/>
  <c r="Q118" i="3"/>
  <c r="R118" i="3"/>
  <c r="S118" i="3"/>
  <c r="T118" i="3"/>
  <c r="U118" i="3"/>
  <c r="V118" i="3"/>
  <c r="W118" i="3"/>
  <c r="X118" i="3"/>
  <c r="H119" i="3"/>
  <c r="B119" i="3" s="1"/>
  <c r="I119" i="3"/>
  <c r="C119" i="3" s="1"/>
  <c r="P119" i="3"/>
  <c r="Q119" i="3"/>
  <c r="R119" i="3"/>
  <c r="S119" i="3"/>
  <c r="T119" i="3"/>
  <c r="U119" i="3"/>
  <c r="V119" i="3"/>
  <c r="W119" i="3"/>
  <c r="X119" i="3"/>
  <c r="H120" i="3"/>
  <c r="B120" i="3" s="1"/>
  <c r="I120" i="3"/>
  <c r="C120" i="3" s="1"/>
  <c r="P120" i="3"/>
  <c r="Q120" i="3"/>
  <c r="R120" i="3"/>
  <c r="S120" i="3"/>
  <c r="T120" i="3"/>
  <c r="U120" i="3"/>
  <c r="V120" i="3"/>
  <c r="W120" i="3"/>
  <c r="X120" i="3"/>
  <c r="Z120" i="3"/>
  <c r="H121" i="3"/>
  <c r="B121" i="3" s="1"/>
  <c r="I121" i="3"/>
  <c r="C121" i="3" s="1"/>
  <c r="P121" i="3"/>
  <c r="Q121" i="3"/>
  <c r="R121" i="3"/>
  <c r="S121" i="3"/>
  <c r="T121" i="3"/>
  <c r="U121" i="3"/>
  <c r="V121" i="3"/>
  <c r="W121" i="3"/>
  <c r="X121" i="3"/>
  <c r="H122" i="3"/>
  <c r="B122" i="3" s="1"/>
  <c r="I122" i="3"/>
  <c r="C122" i="3" s="1"/>
  <c r="P122" i="3"/>
  <c r="Q122" i="3"/>
  <c r="R122" i="3"/>
  <c r="S122" i="3"/>
  <c r="T122" i="3"/>
  <c r="U122" i="3"/>
  <c r="V122" i="3"/>
  <c r="W122" i="3"/>
  <c r="X122" i="3"/>
  <c r="H123" i="3"/>
  <c r="B123" i="3" s="1"/>
  <c r="I123" i="3"/>
  <c r="C123" i="3" s="1"/>
  <c r="P123" i="3"/>
  <c r="Q123" i="3"/>
  <c r="R123" i="3"/>
  <c r="S123" i="3"/>
  <c r="T123" i="3"/>
  <c r="U123" i="3"/>
  <c r="V123" i="3"/>
  <c r="W123" i="3"/>
  <c r="X123" i="3"/>
  <c r="H124" i="3"/>
  <c r="B124" i="3" s="1"/>
  <c r="I124" i="3"/>
  <c r="C124" i="3" s="1"/>
  <c r="P124" i="3"/>
  <c r="Q124" i="3"/>
  <c r="R124" i="3"/>
  <c r="S124" i="3"/>
  <c r="T124" i="3"/>
  <c r="U124" i="3"/>
  <c r="V124" i="3"/>
  <c r="W124" i="3"/>
  <c r="X124" i="3"/>
  <c r="H125" i="3"/>
  <c r="B125" i="3" s="1"/>
  <c r="I125" i="3"/>
  <c r="C125" i="3" s="1"/>
  <c r="P125" i="3"/>
  <c r="Q125" i="3"/>
  <c r="R125" i="3"/>
  <c r="S125" i="3"/>
  <c r="T125" i="3"/>
  <c r="U125" i="3"/>
  <c r="V125" i="3"/>
  <c r="W125" i="3"/>
  <c r="X125" i="3"/>
  <c r="H126" i="3"/>
  <c r="B126" i="3" s="1"/>
  <c r="I126" i="3"/>
  <c r="C126" i="3" s="1"/>
  <c r="P126" i="3"/>
  <c r="Q126" i="3"/>
  <c r="R126" i="3"/>
  <c r="S126" i="3"/>
  <c r="T126" i="3"/>
  <c r="U126" i="3"/>
  <c r="V126" i="3"/>
  <c r="W126" i="3"/>
  <c r="X126" i="3"/>
  <c r="H127" i="3"/>
  <c r="B127" i="3" s="1"/>
  <c r="I127" i="3"/>
  <c r="C127" i="3" s="1"/>
  <c r="P127" i="3"/>
  <c r="Q127" i="3"/>
  <c r="R127" i="3"/>
  <c r="S127" i="3"/>
  <c r="T127" i="3"/>
  <c r="U127" i="3"/>
  <c r="V127" i="3"/>
  <c r="W127" i="3"/>
  <c r="X127" i="3"/>
  <c r="H128" i="3"/>
  <c r="B128" i="3" s="1"/>
  <c r="I128" i="3"/>
  <c r="C128" i="3" s="1"/>
  <c r="P128" i="3"/>
  <c r="Q128" i="3"/>
  <c r="R128" i="3"/>
  <c r="S128" i="3"/>
  <c r="T128" i="3"/>
  <c r="U128" i="3"/>
  <c r="V128" i="3"/>
  <c r="W128" i="3"/>
  <c r="X128" i="3"/>
  <c r="H129" i="3"/>
  <c r="B129" i="3" s="1"/>
  <c r="I129" i="3"/>
  <c r="C129" i="3" s="1"/>
  <c r="P129" i="3"/>
  <c r="Q129" i="3"/>
  <c r="R129" i="3"/>
  <c r="S129" i="3"/>
  <c r="T129" i="3"/>
  <c r="U129" i="3"/>
  <c r="V129" i="3"/>
  <c r="W129" i="3"/>
  <c r="X129" i="3"/>
  <c r="H130" i="3"/>
  <c r="B130" i="3" s="1"/>
  <c r="I130" i="3"/>
  <c r="C130" i="3" s="1"/>
  <c r="P130" i="3"/>
  <c r="Q130" i="3"/>
  <c r="R130" i="3"/>
  <c r="S130" i="3"/>
  <c r="T130" i="3"/>
  <c r="U130" i="3"/>
  <c r="V130" i="3"/>
  <c r="W130" i="3"/>
  <c r="X130" i="3"/>
  <c r="H131" i="3"/>
  <c r="B131" i="3" s="1"/>
  <c r="I131" i="3"/>
  <c r="C131" i="3" s="1"/>
  <c r="P131" i="3"/>
  <c r="Q131" i="3"/>
  <c r="R131" i="3"/>
  <c r="S131" i="3"/>
  <c r="T131" i="3"/>
  <c r="U131" i="3"/>
  <c r="V131" i="3"/>
  <c r="W131" i="3"/>
  <c r="X131" i="3"/>
  <c r="H132" i="3"/>
  <c r="B132" i="3" s="1"/>
  <c r="I132" i="3"/>
  <c r="C132" i="3" s="1"/>
  <c r="P132" i="3"/>
  <c r="Q132" i="3"/>
  <c r="R132" i="3"/>
  <c r="S132" i="3"/>
  <c r="T132" i="3"/>
  <c r="U132" i="3"/>
  <c r="V132" i="3"/>
  <c r="W132" i="3"/>
  <c r="X132" i="3"/>
  <c r="H133" i="3"/>
  <c r="B133" i="3" s="1"/>
  <c r="I133" i="3"/>
  <c r="C133" i="3" s="1"/>
  <c r="P133" i="3"/>
  <c r="Q133" i="3"/>
  <c r="R133" i="3"/>
  <c r="S133" i="3"/>
  <c r="T133" i="3"/>
  <c r="U133" i="3"/>
  <c r="V133" i="3"/>
  <c r="W133" i="3"/>
  <c r="X133" i="3"/>
  <c r="Z133" i="3"/>
  <c r="H134" i="3"/>
  <c r="B134" i="3" s="1"/>
  <c r="I134" i="3"/>
  <c r="C134" i="3" s="1"/>
  <c r="P134" i="3"/>
  <c r="Q134" i="3"/>
  <c r="R134" i="3"/>
  <c r="S134" i="3"/>
  <c r="T134" i="3"/>
  <c r="U134" i="3"/>
  <c r="V134" i="3"/>
  <c r="W134" i="3"/>
  <c r="X134" i="3"/>
  <c r="H135" i="3"/>
  <c r="B135" i="3" s="1"/>
  <c r="I135" i="3"/>
  <c r="C135" i="3" s="1"/>
  <c r="P135" i="3"/>
  <c r="Q135" i="3"/>
  <c r="R135" i="3"/>
  <c r="S135" i="3"/>
  <c r="T135" i="3"/>
  <c r="U135" i="3"/>
  <c r="V135" i="3"/>
  <c r="W135" i="3"/>
  <c r="X135" i="3"/>
  <c r="H136" i="3"/>
  <c r="B136" i="3" s="1"/>
  <c r="I136" i="3"/>
  <c r="C136" i="3" s="1"/>
  <c r="P136" i="3"/>
  <c r="Q136" i="3"/>
  <c r="R136" i="3"/>
  <c r="S136" i="3"/>
  <c r="T136" i="3"/>
  <c r="U136" i="3"/>
  <c r="V136" i="3"/>
  <c r="W136" i="3"/>
  <c r="X136" i="3"/>
  <c r="H137" i="3"/>
  <c r="B137" i="3" s="1"/>
  <c r="I137" i="3"/>
  <c r="C137" i="3" s="1"/>
  <c r="P137" i="3"/>
  <c r="Q137" i="3"/>
  <c r="R137" i="3"/>
  <c r="S137" i="3"/>
  <c r="T137" i="3"/>
  <c r="U137" i="3"/>
  <c r="V137" i="3"/>
  <c r="W137" i="3"/>
  <c r="X137" i="3"/>
  <c r="H138" i="3"/>
  <c r="B138" i="3" s="1"/>
  <c r="I138" i="3"/>
  <c r="C138" i="3" s="1"/>
  <c r="P138" i="3"/>
  <c r="Q138" i="3"/>
  <c r="R138" i="3"/>
  <c r="S138" i="3"/>
  <c r="T138" i="3"/>
  <c r="U138" i="3"/>
  <c r="V138" i="3"/>
  <c r="W138" i="3"/>
  <c r="X138" i="3"/>
  <c r="H139" i="3"/>
  <c r="B139" i="3" s="1"/>
  <c r="I139" i="3"/>
  <c r="C139" i="3" s="1"/>
  <c r="P139" i="3"/>
  <c r="Q139" i="3"/>
  <c r="R139" i="3"/>
  <c r="S139" i="3"/>
  <c r="T139" i="3"/>
  <c r="U139" i="3"/>
  <c r="V139" i="3"/>
  <c r="W139" i="3"/>
  <c r="X139" i="3"/>
  <c r="H140" i="3"/>
  <c r="B140" i="3" s="1"/>
  <c r="I140" i="3"/>
  <c r="C140" i="3" s="1"/>
  <c r="P140" i="3"/>
  <c r="Q140" i="3"/>
  <c r="R140" i="3"/>
  <c r="S140" i="3"/>
  <c r="T140" i="3"/>
  <c r="U140" i="3"/>
  <c r="V140" i="3"/>
  <c r="W140" i="3"/>
  <c r="X140" i="3"/>
  <c r="H141" i="3"/>
  <c r="B141" i="3" s="1"/>
  <c r="I141" i="3"/>
  <c r="C141" i="3" s="1"/>
  <c r="P141" i="3"/>
  <c r="Q141" i="3"/>
  <c r="R141" i="3"/>
  <c r="S141" i="3"/>
  <c r="T141" i="3"/>
  <c r="U141" i="3"/>
  <c r="V141" i="3"/>
  <c r="W141" i="3"/>
  <c r="X141" i="3"/>
  <c r="H142" i="3"/>
  <c r="B142" i="3" s="1"/>
  <c r="I142" i="3"/>
  <c r="C142" i="3" s="1"/>
  <c r="P142" i="3"/>
  <c r="Q142" i="3"/>
  <c r="R142" i="3"/>
  <c r="S142" i="3"/>
  <c r="T142" i="3"/>
  <c r="U142" i="3"/>
  <c r="V142" i="3"/>
  <c r="W142" i="3"/>
  <c r="X142" i="3"/>
  <c r="H143" i="3"/>
  <c r="B143" i="3" s="1"/>
  <c r="I143" i="3"/>
  <c r="C143" i="3" s="1"/>
  <c r="P143" i="3"/>
  <c r="Q143" i="3"/>
  <c r="R143" i="3"/>
  <c r="S143" i="3"/>
  <c r="T143" i="3"/>
  <c r="U143" i="3"/>
  <c r="V143" i="3"/>
  <c r="W143" i="3"/>
  <c r="X143" i="3"/>
  <c r="Z143" i="3"/>
  <c r="H144" i="3"/>
  <c r="B144" i="3" s="1"/>
  <c r="I144" i="3"/>
  <c r="C144" i="3" s="1"/>
  <c r="P144" i="3"/>
  <c r="Q144" i="3"/>
  <c r="R144" i="3"/>
  <c r="S144" i="3"/>
  <c r="T144" i="3"/>
  <c r="U144" i="3"/>
  <c r="V144" i="3"/>
  <c r="W144" i="3"/>
  <c r="X144" i="3"/>
  <c r="H145" i="3"/>
  <c r="B145" i="3" s="1"/>
  <c r="I145" i="3"/>
  <c r="C145" i="3" s="1"/>
  <c r="P145" i="3"/>
  <c r="Q145" i="3"/>
  <c r="R145" i="3"/>
  <c r="S145" i="3"/>
  <c r="T145" i="3"/>
  <c r="U145" i="3"/>
  <c r="V145" i="3"/>
  <c r="W145" i="3"/>
  <c r="X145" i="3"/>
  <c r="H146" i="3"/>
  <c r="B146" i="3" s="1"/>
  <c r="I146" i="3"/>
  <c r="C146" i="3" s="1"/>
  <c r="P146" i="3"/>
  <c r="Q146" i="3"/>
  <c r="R146" i="3"/>
  <c r="S146" i="3"/>
  <c r="T146" i="3"/>
  <c r="U146" i="3"/>
  <c r="V146" i="3"/>
  <c r="W146" i="3"/>
  <c r="X146" i="3"/>
  <c r="H147" i="3"/>
  <c r="B147" i="3" s="1"/>
  <c r="I147" i="3"/>
  <c r="C147" i="3" s="1"/>
  <c r="P147" i="3"/>
  <c r="Q147" i="3"/>
  <c r="R147" i="3"/>
  <c r="S147" i="3"/>
  <c r="T147" i="3"/>
  <c r="U147" i="3"/>
  <c r="V147" i="3"/>
  <c r="W147" i="3"/>
  <c r="X147" i="3"/>
  <c r="H148" i="3"/>
  <c r="B148" i="3" s="1"/>
  <c r="I148" i="3"/>
  <c r="C148" i="3" s="1"/>
  <c r="P148" i="3"/>
  <c r="Q148" i="3"/>
  <c r="R148" i="3"/>
  <c r="S148" i="3"/>
  <c r="T148" i="3"/>
  <c r="U148" i="3"/>
  <c r="V148" i="3"/>
  <c r="W148" i="3"/>
  <c r="X148" i="3"/>
  <c r="H149" i="3"/>
  <c r="B149" i="3" s="1"/>
  <c r="I149" i="3"/>
  <c r="C149" i="3" s="1"/>
  <c r="P149" i="3"/>
  <c r="Q149" i="3"/>
  <c r="R149" i="3"/>
  <c r="S149" i="3"/>
  <c r="T149" i="3"/>
  <c r="U149" i="3"/>
  <c r="V149" i="3"/>
  <c r="W149" i="3"/>
  <c r="X149" i="3"/>
  <c r="H150" i="3"/>
  <c r="B150" i="3" s="1"/>
  <c r="I150" i="3"/>
  <c r="C150" i="3" s="1"/>
  <c r="P150" i="3"/>
  <c r="Q150" i="3"/>
  <c r="R150" i="3"/>
  <c r="S150" i="3"/>
  <c r="T150" i="3"/>
  <c r="U150" i="3"/>
  <c r="V150" i="3"/>
  <c r="W150" i="3"/>
  <c r="X150" i="3"/>
  <c r="H151" i="3"/>
  <c r="B151" i="3" s="1"/>
  <c r="I151" i="3"/>
  <c r="C151" i="3" s="1"/>
  <c r="P151" i="3"/>
  <c r="Q151" i="3"/>
  <c r="R151" i="3"/>
  <c r="S151" i="3"/>
  <c r="T151" i="3"/>
  <c r="U151" i="3"/>
  <c r="V151" i="3"/>
  <c r="W151" i="3"/>
  <c r="X151" i="3"/>
  <c r="H152" i="3"/>
  <c r="B152" i="3" s="1"/>
  <c r="I152" i="3"/>
  <c r="C152" i="3" s="1"/>
  <c r="P152" i="3"/>
  <c r="Q152" i="3"/>
  <c r="R152" i="3"/>
  <c r="S152" i="3"/>
  <c r="T152" i="3"/>
  <c r="U152" i="3"/>
  <c r="V152" i="3"/>
  <c r="W152" i="3"/>
  <c r="X152" i="3"/>
  <c r="Z152" i="3"/>
  <c r="H153" i="3"/>
  <c r="B153" i="3" s="1"/>
  <c r="I153" i="3"/>
  <c r="C153" i="3" s="1"/>
  <c r="P153" i="3"/>
  <c r="Q153" i="3"/>
  <c r="R153" i="3"/>
  <c r="S153" i="3"/>
  <c r="T153" i="3"/>
  <c r="U153" i="3"/>
  <c r="V153" i="3"/>
  <c r="W153" i="3"/>
  <c r="X153" i="3"/>
  <c r="H154" i="3"/>
  <c r="B154" i="3" s="1"/>
  <c r="I154" i="3"/>
  <c r="C154" i="3" s="1"/>
  <c r="P154" i="3"/>
  <c r="Q154" i="3"/>
  <c r="R154" i="3"/>
  <c r="S154" i="3"/>
  <c r="T154" i="3"/>
  <c r="U154" i="3"/>
  <c r="V154" i="3"/>
  <c r="W154" i="3"/>
  <c r="X154" i="3"/>
  <c r="H155" i="3"/>
  <c r="B155" i="3" s="1"/>
  <c r="I155" i="3"/>
  <c r="C155" i="3" s="1"/>
  <c r="P155" i="3"/>
  <c r="Q155" i="3"/>
  <c r="R155" i="3"/>
  <c r="S155" i="3"/>
  <c r="T155" i="3"/>
  <c r="U155" i="3"/>
  <c r="V155" i="3"/>
  <c r="W155" i="3"/>
  <c r="X155" i="3"/>
  <c r="H156" i="3"/>
  <c r="B156" i="3" s="1"/>
  <c r="I156" i="3"/>
  <c r="C156" i="3" s="1"/>
  <c r="P156" i="3"/>
  <c r="Q156" i="3"/>
  <c r="R156" i="3"/>
  <c r="S156" i="3"/>
  <c r="T156" i="3"/>
  <c r="U156" i="3"/>
  <c r="V156" i="3"/>
  <c r="W156" i="3"/>
  <c r="X156" i="3"/>
  <c r="H157" i="3"/>
  <c r="B157" i="3" s="1"/>
  <c r="I157" i="3"/>
  <c r="C157" i="3" s="1"/>
  <c r="P157" i="3"/>
  <c r="Q157" i="3"/>
  <c r="R157" i="3"/>
  <c r="S157" i="3"/>
  <c r="T157" i="3"/>
  <c r="U157" i="3"/>
  <c r="V157" i="3"/>
  <c r="W157" i="3"/>
  <c r="X157" i="3"/>
  <c r="Z157" i="3"/>
  <c r="H158" i="3"/>
  <c r="B158" i="3" s="1"/>
  <c r="I158" i="3"/>
  <c r="C158" i="3" s="1"/>
  <c r="P158" i="3"/>
  <c r="Q158" i="3"/>
  <c r="R158" i="3"/>
  <c r="S158" i="3"/>
  <c r="T158" i="3"/>
  <c r="U158" i="3"/>
  <c r="V158" i="3"/>
  <c r="W158" i="3"/>
  <c r="X158" i="3"/>
  <c r="H159" i="3"/>
  <c r="B159" i="3" s="1"/>
  <c r="I159" i="3"/>
  <c r="C159" i="3" s="1"/>
  <c r="P159" i="3"/>
  <c r="Q159" i="3"/>
  <c r="R159" i="3"/>
  <c r="S159" i="3"/>
  <c r="T159" i="3"/>
  <c r="U159" i="3"/>
  <c r="V159" i="3"/>
  <c r="W159" i="3"/>
  <c r="X159" i="3"/>
  <c r="Z159" i="3"/>
  <c r="H160" i="3"/>
  <c r="B160" i="3" s="1"/>
  <c r="I160" i="3"/>
  <c r="C160" i="3" s="1"/>
  <c r="P160" i="3"/>
  <c r="Q160" i="3"/>
  <c r="R160" i="3"/>
  <c r="S160" i="3"/>
  <c r="T160" i="3"/>
  <c r="U160" i="3"/>
  <c r="V160" i="3"/>
  <c r="W160" i="3"/>
  <c r="X160" i="3"/>
  <c r="H161" i="3"/>
  <c r="B161" i="3" s="1"/>
  <c r="I161" i="3"/>
  <c r="C161" i="3" s="1"/>
  <c r="P161" i="3"/>
  <c r="Q161" i="3"/>
  <c r="R161" i="3"/>
  <c r="S161" i="3"/>
  <c r="T161" i="3"/>
  <c r="U161" i="3"/>
  <c r="V161" i="3"/>
  <c r="W161" i="3"/>
  <c r="X161" i="3"/>
  <c r="H162" i="3"/>
  <c r="B162" i="3" s="1"/>
  <c r="I162" i="3"/>
  <c r="C162" i="3" s="1"/>
  <c r="P162" i="3"/>
  <c r="Q162" i="3"/>
  <c r="R162" i="3"/>
  <c r="S162" i="3"/>
  <c r="T162" i="3"/>
  <c r="U162" i="3"/>
  <c r="V162" i="3"/>
  <c r="W162" i="3"/>
  <c r="X162" i="3"/>
  <c r="H163" i="3"/>
  <c r="B163" i="3" s="1"/>
  <c r="I163" i="3"/>
  <c r="C163" i="3" s="1"/>
  <c r="P163" i="3"/>
  <c r="Q163" i="3"/>
  <c r="R163" i="3"/>
  <c r="S163" i="3"/>
  <c r="T163" i="3"/>
  <c r="U163" i="3"/>
  <c r="V163" i="3"/>
  <c r="W163" i="3"/>
  <c r="X163" i="3"/>
  <c r="H164" i="3"/>
  <c r="B164" i="3" s="1"/>
  <c r="I164" i="3"/>
  <c r="C164" i="3" s="1"/>
  <c r="P164" i="3"/>
  <c r="Q164" i="3"/>
  <c r="R164" i="3"/>
  <c r="S164" i="3"/>
  <c r="T164" i="3"/>
  <c r="U164" i="3"/>
  <c r="V164" i="3"/>
  <c r="W164" i="3"/>
  <c r="X164" i="3"/>
  <c r="H165" i="3"/>
  <c r="B165" i="3" s="1"/>
  <c r="I165" i="3"/>
  <c r="C165" i="3" s="1"/>
  <c r="P165" i="3"/>
  <c r="Q165" i="3"/>
  <c r="R165" i="3"/>
  <c r="S165" i="3"/>
  <c r="T165" i="3"/>
  <c r="U165" i="3"/>
  <c r="V165" i="3"/>
  <c r="W165" i="3"/>
  <c r="X165" i="3"/>
  <c r="Z165" i="3"/>
  <c r="H166" i="3"/>
  <c r="B166" i="3" s="1"/>
  <c r="I166" i="3"/>
  <c r="C166" i="3" s="1"/>
  <c r="P166" i="3"/>
  <c r="Q166" i="3"/>
  <c r="R166" i="3"/>
  <c r="S166" i="3"/>
  <c r="T166" i="3"/>
  <c r="U166" i="3"/>
  <c r="V166" i="3"/>
  <c r="W166" i="3"/>
  <c r="X166" i="3"/>
  <c r="H167" i="3"/>
  <c r="B167" i="3" s="1"/>
  <c r="I167" i="3"/>
  <c r="C167" i="3" s="1"/>
  <c r="P167" i="3"/>
  <c r="Q167" i="3"/>
  <c r="R167" i="3"/>
  <c r="S167" i="3"/>
  <c r="T167" i="3"/>
  <c r="U167" i="3"/>
  <c r="V167" i="3"/>
  <c r="W167" i="3"/>
  <c r="X167" i="3"/>
  <c r="Z167" i="3"/>
  <c r="H168" i="3"/>
  <c r="B168" i="3" s="1"/>
  <c r="I168" i="3"/>
  <c r="C168" i="3" s="1"/>
  <c r="P168" i="3"/>
  <c r="Q168" i="3"/>
  <c r="R168" i="3"/>
  <c r="S168" i="3"/>
  <c r="T168" i="3"/>
  <c r="U168" i="3"/>
  <c r="V168" i="3"/>
  <c r="W168" i="3"/>
  <c r="X168" i="3"/>
  <c r="H169" i="3"/>
  <c r="B169" i="3" s="1"/>
  <c r="I169" i="3"/>
  <c r="C169" i="3" s="1"/>
  <c r="P169" i="3"/>
  <c r="Q169" i="3"/>
  <c r="R169" i="3"/>
  <c r="S169" i="3"/>
  <c r="T169" i="3"/>
  <c r="U169" i="3"/>
  <c r="V169" i="3"/>
  <c r="W169" i="3"/>
  <c r="X169" i="3"/>
  <c r="H170" i="3"/>
  <c r="B170" i="3" s="1"/>
  <c r="I170" i="3"/>
  <c r="C170" i="3" s="1"/>
  <c r="P170" i="3"/>
  <c r="Q170" i="3"/>
  <c r="R170" i="3"/>
  <c r="S170" i="3"/>
  <c r="T170" i="3"/>
  <c r="U170" i="3"/>
  <c r="V170" i="3"/>
  <c r="W170" i="3"/>
  <c r="X170" i="3"/>
  <c r="H171" i="3"/>
  <c r="B171" i="3" s="1"/>
  <c r="I171" i="3"/>
  <c r="C171" i="3" s="1"/>
  <c r="P171" i="3"/>
  <c r="Q171" i="3"/>
  <c r="R171" i="3"/>
  <c r="S171" i="3"/>
  <c r="T171" i="3"/>
  <c r="U171" i="3"/>
  <c r="V171" i="3"/>
  <c r="W171" i="3"/>
  <c r="X171" i="3"/>
  <c r="H172" i="3"/>
  <c r="B172" i="3" s="1"/>
  <c r="I172" i="3"/>
  <c r="C172" i="3" s="1"/>
  <c r="P172" i="3"/>
  <c r="Q172" i="3"/>
  <c r="R172" i="3"/>
  <c r="S172" i="3"/>
  <c r="T172" i="3"/>
  <c r="U172" i="3"/>
  <c r="V172" i="3"/>
  <c r="W172" i="3"/>
  <c r="X172" i="3"/>
  <c r="H173" i="3"/>
  <c r="B173" i="3" s="1"/>
  <c r="I173" i="3"/>
  <c r="C173" i="3" s="1"/>
  <c r="P173" i="3"/>
  <c r="Q173" i="3"/>
  <c r="R173" i="3"/>
  <c r="S173" i="3"/>
  <c r="T173" i="3"/>
  <c r="U173" i="3"/>
  <c r="V173" i="3"/>
  <c r="W173" i="3"/>
  <c r="X173" i="3"/>
  <c r="H174" i="3"/>
  <c r="B174" i="3" s="1"/>
  <c r="I174" i="3"/>
  <c r="C174" i="3" s="1"/>
  <c r="P174" i="3"/>
  <c r="Q174" i="3"/>
  <c r="R174" i="3"/>
  <c r="S174" i="3"/>
  <c r="T174" i="3"/>
  <c r="U174" i="3"/>
  <c r="V174" i="3"/>
  <c r="W174" i="3"/>
  <c r="X174" i="3"/>
  <c r="H175" i="3"/>
  <c r="B175" i="3" s="1"/>
  <c r="I175" i="3"/>
  <c r="C175" i="3" s="1"/>
  <c r="P175" i="3"/>
  <c r="Q175" i="3"/>
  <c r="R175" i="3"/>
  <c r="S175" i="3"/>
  <c r="T175" i="3"/>
  <c r="U175" i="3"/>
  <c r="V175" i="3"/>
  <c r="W175" i="3"/>
  <c r="X175" i="3"/>
  <c r="H176" i="3"/>
  <c r="B176" i="3" s="1"/>
  <c r="I176" i="3"/>
  <c r="C176" i="3" s="1"/>
  <c r="P176" i="3"/>
  <c r="Q176" i="3"/>
  <c r="R176" i="3"/>
  <c r="S176" i="3"/>
  <c r="T176" i="3"/>
  <c r="U176" i="3"/>
  <c r="V176" i="3"/>
  <c r="W176" i="3"/>
  <c r="X176" i="3"/>
  <c r="H177" i="3"/>
  <c r="B177" i="3" s="1"/>
  <c r="I177" i="3"/>
  <c r="C177" i="3" s="1"/>
  <c r="P177" i="3"/>
  <c r="Q177" i="3"/>
  <c r="R177" i="3"/>
  <c r="S177" i="3"/>
  <c r="T177" i="3"/>
  <c r="U177" i="3"/>
  <c r="V177" i="3"/>
  <c r="W177" i="3"/>
  <c r="X177" i="3"/>
  <c r="H178" i="3"/>
  <c r="B178" i="3" s="1"/>
  <c r="I178" i="3"/>
  <c r="C178" i="3" s="1"/>
  <c r="P178" i="3"/>
  <c r="Q178" i="3"/>
  <c r="R178" i="3"/>
  <c r="S178" i="3"/>
  <c r="T178" i="3"/>
  <c r="U178" i="3"/>
  <c r="V178" i="3"/>
  <c r="W178" i="3"/>
  <c r="X178" i="3"/>
  <c r="H179" i="3"/>
  <c r="B179" i="3" s="1"/>
  <c r="I179" i="3"/>
  <c r="C179" i="3" s="1"/>
  <c r="P179" i="3"/>
  <c r="Q179" i="3"/>
  <c r="R179" i="3"/>
  <c r="S179" i="3"/>
  <c r="T179" i="3"/>
  <c r="U179" i="3"/>
  <c r="V179" i="3"/>
  <c r="W179" i="3"/>
  <c r="X179" i="3"/>
  <c r="H180" i="3"/>
  <c r="B180" i="3" s="1"/>
  <c r="I180" i="3"/>
  <c r="C180" i="3" s="1"/>
  <c r="P180" i="3"/>
  <c r="Q180" i="3"/>
  <c r="R180" i="3"/>
  <c r="S180" i="3"/>
  <c r="T180" i="3"/>
  <c r="U180" i="3"/>
  <c r="V180" i="3"/>
  <c r="W180" i="3"/>
  <c r="X180" i="3"/>
  <c r="H181" i="3"/>
  <c r="B181" i="3" s="1"/>
  <c r="I181" i="3"/>
  <c r="C181" i="3" s="1"/>
  <c r="P181" i="3"/>
  <c r="Q181" i="3"/>
  <c r="R181" i="3"/>
  <c r="S181" i="3"/>
  <c r="T181" i="3"/>
  <c r="U181" i="3"/>
  <c r="V181" i="3"/>
  <c r="W181" i="3"/>
  <c r="X181" i="3"/>
  <c r="H182" i="3"/>
  <c r="B182" i="3" s="1"/>
  <c r="I182" i="3"/>
  <c r="C182" i="3" s="1"/>
  <c r="P182" i="3"/>
  <c r="Q182" i="3"/>
  <c r="R182" i="3"/>
  <c r="S182" i="3"/>
  <c r="T182" i="3"/>
  <c r="U182" i="3"/>
  <c r="V182" i="3"/>
  <c r="W182" i="3"/>
  <c r="X182" i="3"/>
  <c r="H183" i="3"/>
  <c r="B183" i="3" s="1"/>
  <c r="I183" i="3"/>
  <c r="C183" i="3" s="1"/>
  <c r="P183" i="3"/>
  <c r="Q183" i="3"/>
  <c r="R183" i="3"/>
  <c r="S183" i="3"/>
  <c r="T183" i="3"/>
  <c r="U183" i="3"/>
  <c r="V183" i="3"/>
  <c r="W183" i="3"/>
  <c r="X183" i="3"/>
  <c r="H184" i="3"/>
  <c r="B184" i="3" s="1"/>
  <c r="I184" i="3"/>
  <c r="C184" i="3" s="1"/>
  <c r="P184" i="3"/>
  <c r="Q184" i="3"/>
  <c r="R184" i="3"/>
  <c r="S184" i="3"/>
  <c r="T184" i="3"/>
  <c r="U184" i="3"/>
  <c r="V184" i="3"/>
  <c r="W184" i="3"/>
  <c r="X184" i="3"/>
  <c r="Z184" i="3"/>
  <c r="H185" i="3"/>
  <c r="B185" i="3" s="1"/>
  <c r="I185" i="3"/>
  <c r="C185" i="3" s="1"/>
  <c r="P185" i="3"/>
  <c r="Q185" i="3"/>
  <c r="R185" i="3"/>
  <c r="S185" i="3"/>
  <c r="T185" i="3"/>
  <c r="U185" i="3"/>
  <c r="V185" i="3"/>
  <c r="W185" i="3"/>
  <c r="X185" i="3"/>
  <c r="H186" i="3"/>
  <c r="B186" i="3" s="1"/>
  <c r="I186" i="3"/>
  <c r="C186" i="3" s="1"/>
  <c r="P186" i="3"/>
  <c r="Q186" i="3"/>
  <c r="R186" i="3"/>
  <c r="S186" i="3"/>
  <c r="T186" i="3"/>
  <c r="U186" i="3"/>
  <c r="V186" i="3"/>
  <c r="W186" i="3"/>
  <c r="X186" i="3"/>
  <c r="Z186" i="3"/>
  <c r="H187" i="3"/>
  <c r="B187" i="3" s="1"/>
  <c r="I187" i="3"/>
  <c r="C187" i="3" s="1"/>
  <c r="P187" i="3"/>
  <c r="Q187" i="3"/>
  <c r="R187" i="3"/>
  <c r="S187" i="3"/>
  <c r="T187" i="3"/>
  <c r="U187" i="3"/>
  <c r="V187" i="3"/>
  <c r="W187" i="3"/>
  <c r="X187" i="3"/>
  <c r="H188" i="3"/>
  <c r="B188" i="3" s="1"/>
  <c r="I188" i="3"/>
  <c r="C188" i="3" s="1"/>
  <c r="P188" i="3"/>
  <c r="Q188" i="3"/>
  <c r="R188" i="3"/>
  <c r="S188" i="3"/>
  <c r="T188" i="3"/>
  <c r="U188" i="3"/>
  <c r="V188" i="3"/>
  <c r="W188" i="3"/>
  <c r="X188" i="3"/>
  <c r="Z188" i="3"/>
  <c r="H189" i="3"/>
  <c r="B189" i="3" s="1"/>
  <c r="I189" i="3"/>
  <c r="C189" i="3" s="1"/>
  <c r="P189" i="3"/>
  <c r="Q189" i="3"/>
  <c r="R189" i="3"/>
  <c r="S189" i="3"/>
  <c r="T189" i="3"/>
  <c r="U189" i="3"/>
  <c r="V189" i="3"/>
  <c r="W189" i="3"/>
  <c r="X189" i="3"/>
  <c r="H190" i="3"/>
  <c r="B190" i="3" s="1"/>
  <c r="I190" i="3"/>
  <c r="C190" i="3" s="1"/>
  <c r="P190" i="3"/>
  <c r="Q190" i="3"/>
  <c r="R190" i="3"/>
  <c r="S190" i="3"/>
  <c r="T190" i="3"/>
  <c r="U190" i="3"/>
  <c r="V190" i="3"/>
  <c r="W190" i="3"/>
  <c r="X190" i="3"/>
  <c r="Z190" i="3"/>
  <c r="H191" i="3"/>
  <c r="B191" i="3" s="1"/>
  <c r="I191" i="3"/>
  <c r="C191" i="3" s="1"/>
  <c r="P191" i="3"/>
  <c r="Q191" i="3"/>
  <c r="R191" i="3"/>
  <c r="S191" i="3"/>
  <c r="T191" i="3"/>
  <c r="U191" i="3"/>
  <c r="V191" i="3"/>
  <c r="W191" i="3"/>
  <c r="X191" i="3"/>
  <c r="H192" i="3"/>
  <c r="B192" i="3" s="1"/>
  <c r="I192" i="3"/>
  <c r="C192" i="3" s="1"/>
  <c r="P192" i="3"/>
  <c r="Q192" i="3"/>
  <c r="R192" i="3"/>
  <c r="S192" i="3"/>
  <c r="T192" i="3"/>
  <c r="U192" i="3"/>
  <c r="V192" i="3"/>
  <c r="W192" i="3"/>
  <c r="X192" i="3"/>
  <c r="H193" i="3"/>
  <c r="B193" i="3" s="1"/>
  <c r="I193" i="3"/>
  <c r="C193" i="3" s="1"/>
  <c r="P193" i="3"/>
  <c r="Q193" i="3"/>
  <c r="R193" i="3"/>
  <c r="S193" i="3"/>
  <c r="T193" i="3"/>
  <c r="U193" i="3"/>
  <c r="V193" i="3"/>
  <c r="W193" i="3"/>
  <c r="X193" i="3"/>
  <c r="H194" i="3"/>
  <c r="B194" i="3" s="1"/>
  <c r="I194" i="3"/>
  <c r="C194" i="3" s="1"/>
  <c r="P194" i="3"/>
  <c r="Q194" i="3"/>
  <c r="R194" i="3"/>
  <c r="S194" i="3"/>
  <c r="T194" i="3"/>
  <c r="U194" i="3"/>
  <c r="V194" i="3"/>
  <c r="W194" i="3"/>
  <c r="X194" i="3"/>
  <c r="H195" i="3"/>
  <c r="B195" i="3" s="1"/>
  <c r="I195" i="3"/>
  <c r="C195" i="3" s="1"/>
  <c r="P195" i="3"/>
  <c r="Q195" i="3"/>
  <c r="R195" i="3"/>
  <c r="S195" i="3"/>
  <c r="T195" i="3"/>
  <c r="U195" i="3"/>
  <c r="V195" i="3"/>
  <c r="W195" i="3"/>
  <c r="X195" i="3"/>
  <c r="H196" i="3"/>
  <c r="B196" i="3" s="1"/>
  <c r="I196" i="3"/>
  <c r="C196" i="3" s="1"/>
  <c r="P196" i="3"/>
  <c r="Q196" i="3"/>
  <c r="R196" i="3"/>
  <c r="S196" i="3"/>
  <c r="T196" i="3"/>
  <c r="U196" i="3"/>
  <c r="V196" i="3"/>
  <c r="W196" i="3"/>
  <c r="X196" i="3"/>
  <c r="H197" i="3"/>
  <c r="B197" i="3" s="1"/>
  <c r="I197" i="3"/>
  <c r="C197" i="3" s="1"/>
  <c r="P197" i="3"/>
  <c r="Q197" i="3"/>
  <c r="R197" i="3"/>
  <c r="S197" i="3"/>
  <c r="T197" i="3"/>
  <c r="U197" i="3"/>
  <c r="V197" i="3"/>
  <c r="W197" i="3"/>
  <c r="X197" i="3"/>
  <c r="H198" i="3"/>
  <c r="B198" i="3" s="1"/>
  <c r="I198" i="3"/>
  <c r="C198" i="3" s="1"/>
  <c r="P198" i="3"/>
  <c r="Q198" i="3"/>
  <c r="R198" i="3"/>
  <c r="S198" i="3"/>
  <c r="T198" i="3"/>
  <c r="U198" i="3"/>
  <c r="V198" i="3"/>
  <c r="W198" i="3"/>
  <c r="X198" i="3"/>
  <c r="Z198" i="3"/>
  <c r="H199" i="3"/>
  <c r="B199" i="3" s="1"/>
  <c r="I199" i="3"/>
  <c r="C199" i="3" s="1"/>
  <c r="P199" i="3"/>
  <c r="Q199" i="3"/>
  <c r="R199" i="3"/>
  <c r="S199" i="3"/>
  <c r="T199" i="3"/>
  <c r="U199" i="3"/>
  <c r="V199" i="3"/>
  <c r="W199" i="3"/>
  <c r="X199" i="3"/>
  <c r="H200" i="3"/>
  <c r="B200" i="3" s="1"/>
  <c r="I200" i="3"/>
  <c r="C200" i="3" s="1"/>
  <c r="P200" i="3"/>
  <c r="Q200" i="3"/>
  <c r="R200" i="3"/>
  <c r="S200" i="3"/>
  <c r="T200" i="3"/>
  <c r="U200" i="3"/>
  <c r="V200" i="3"/>
  <c r="W200" i="3"/>
  <c r="X200" i="3"/>
  <c r="H201" i="3"/>
  <c r="B201" i="3" s="1"/>
  <c r="I201" i="3"/>
  <c r="C201" i="3" s="1"/>
  <c r="P201" i="3"/>
  <c r="Q201" i="3"/>
  <c r="R201" i="3"/>
  <c r="S201" i="3"/>
  <c r="T201" i="3"/>
  <c r="U201" i="3"/>
  <c r="V201" i="3"/>
  <c r="W201" i="3"/>
  <c r="X201" i="3"/>
  <c r="H202" i="3"/>
  <c r="B202" i="3" s="1"/>
  <c r="I202" i="3"/>
  <c r="C202" i="3" s="1"/>
  <c r="P202" i="3"/>
  <c r="Q202" i="3"/>
  <c r="R202" i="3"/>
  <c r="S202" i="3"/>
  <c r="T202" i="3"/>
  <c r="U202" i="3"/>
  <c r="V202" i="3"/>
  <c r="W202" i="3"/>
  <c r="X202" i="3"/>
  <c r="P203" i="3"/>
  <c r="Q203" i="3"/>
  <c r="R203" i="3"/>
  <c r="S203" i="3"/>
  <c r="T203" i="3"/>
  <c r="U203" i="3"/>
  <c r="V203" i="3"/>
  <c r="W203" i="3"/>
  <c r="X203" i="3"/>
  <c r="P204" i="3"/>
  <c r="Q204" i="3"/>
  <c r="R204" i="3"/>
  <c r="S204" i="3"/>
  <c r="T204" i="3"/>
  <c r="U204" i="3"/>
  <c r="V204" i="3"/>
  <c r="W204" i="3"/>
  <c r="X204" i="3"/>
  <c r="P205" i="3"/>
  <c r="Q205" i="3"/>
  <c r="R205" i="3"/>
  <c r="S205" i="3"/>
  <c r="T205" i="3"/>
  <c r="U205" i="3"/>
  <c r="V205" i="3"/>
  <c r="W205" i="3"/>
  <c r="X205" i="3"/>
  <c r="P206" i="3"/>
  <c r="Q206" i="3"/>
  <c r="R206" i="3"/>
  <c r="S206" i="3"/>
  <c r="T206" i="3"/>
  <c r="U206" i="3"/>
  <c r="V206" i="3"/>
  <c r="W206" i="3"/>
  <c r="X206" i="3"/>
  <c r="Z206" i="3"/>
  <c r="P207" i="3"/>
  <c r="Q207" i="3"/>
  <c r="R207" i="3"/>
  <c r="S207" i="3"/>
  <c r="T207" i="3"/>
  <c r="U207" i="3"/>
  <c r="V207" i="3"/>
  <c r="W207" i="3"/>
  <c r="X207" i="3"/>
  <c r="P208" i="3"/>
  <c r="Q208" i="3"/>
  <c r="R208" i="3"/>
  <c r="S208" i="3"/>
  <c r="T208" i="3"/>
  <c r="U208" i="3"/>
  <c r="V208" i="3"/>
  <c r="W208" i="3"/>
  <c r="X208" i="3"/>
  <c r="Z208" i="3"/>
  <c r="P209" i="3"/>
  <c r="Q209" i="3"/>
  <c r="R209" i="3"/>
  <c r="S209" i="3"/>
  <c r="T209" i="3"/>
  <c r="U209" i="3"/>
  <c r="V209" i="3"/>
  <c r="W209" i="3"/>
  <c r="X209" i="3"/>
  <c r="P210" i="3"/>
  <c r="Q210" i="3"/>
  <c r="R210" i="3"/>
  <c r="S210" i="3"/>
  <c r="T210" i="3"/>
  <c r="U210" i="3"/>
  <c r="V210" i="3"/>
  <c r="W210" i="3"/>
  <c r="X210" i="3"/>
  <c r="P211" i="3"/>
  <c r="Q211" i="3"/>
  <c r="R211" i="3"/>
  <c r="S211" i="3"/>
  <c r="T211" i="3"/>
  <c r="U211" i="3"/>
  <c r="V211" i="3"/>
  <c r="W211" i="3"/>
  <c r="X211" i="3"/>
  <c r="H212" i="3"/>
  <c r="B212" i="3" s="1"/>
  <c r="I212" i="3"/>
  <c r="C212" i="3" s="1"/>
  <c r="P212" i="3"/>
  <c r="Q212" i="3"/>
  <c r="R212" i="3"/>
  <c r="S212" i="3"/>
  <c r="T212" i="3"/>
  <c r="U212" i="3"/>
  <c r="V212" i="3"/>
  <c r="W212" i="3"/>
  <c r="X212" i="3"/>
  <c r="H213" i="3"/>
  <c r="B213" i="3" s="1"/>
  <c r="I213" i="3"/>
  <c r="C213" i="3" s="1"/>
  <c r="P213" i="3"/>
  <c r="Q213" i="3"/>
  <c r="R213" i="3"/>
  <c r="S213" i="3"/>
  <c r="T213" i="3"/>
  <c r="U213" i="3"/>
  <c r="V213" i="3"/>
  <c r="W213" i="3"/>
  <c r="X213" i="3"/>
  <c r="H214" i="3"/>
  <c r="B214" i="3" s="1"/>
  <c r="I214" i="3"/>
  <c r="C214" i="3" s="1"/>
  <c r="P214" i="3"/>
  <c r="Q214" i="3"/>
  <c r="R214" i="3"/>
  <c r="S214" i="3"/>
  <c r="T214" i="3"/>
  <c r="U214" i="3"/>
  <c r="V214" i="3"/>
  <c r="W214" i="3"/>
  <c r="X214" i="3"/>
  <c r="H215" i="3"/>
  <c r="B215" i="3" s="1"/>
  <c r="I215" i="3"/>
  <c r="C215" i="3" s="1"/>
  <c r="P215" i="3"/>
  <c r="Q215" i="3"/>
  <c r="R215" i="3"/>
  <c r="S215" i="3"/>
  <c r="T215" i="3"/>
  <c r="U215" i="3"/>
  <c r="V215" i="3"/>
  <c r="W215" i="3"/>
  <c r="X215" i="3"/>
  <c r="H216" i="3"/>
  <c r="B216" i="3" s="1"/>
  <c r="I216" i="3"/>
  <c r="C216" i="3" s="1"/>
  <c r="P216" i="3"/>
  <c r="Q216" i="3"/>
  <c r="R216" i="3"/>
  <c r="S216" i="3"/>
  <c r="T216" i="3"/>
  <c r="U216" i="3"/>
  <c r="V216" i="3"/>
  <c r="W216" i="3"/>
  <c r="X216" i="3"/>
  <c r="Z216" i="3"/>
  <c r="H217" i="3"/>
  <c r="B217" i="3" s="1"/>
  <c r="I217" i="3"/>
  <c r="C217" i="3" s="1"/>
  <c r="Q217" i="3"/>
  <c r="R217" i="3"/>
  <c r="S217" i="3"/>
  <c r="T217" i="3"/>
  <c r="U217" i="3"/>
  <c r="V217" i="3"/>
  <c r="W217" i="3"/>
  <c r="X217" i="3"/>
  <c r="H218" i="3"/>
  <c r="B218" i="3" s="1"/>
  <c r="I218" i="3"/>
  <c r="C218" i="3" s="1"/>
  <c r="P218" i="3"/>
  <c r="Q218" i="3"/>
  <c r="R218" i="3"/>
  <c r="S218" i="3"/>
  <c r="T218" i="3"/>
  <c r="U218" i="3"/>
  <c r="V218" i="3"/>
  <c r="W218" i="3"/>
  <c r="X218" i="3"/>
  <c r="H219" i="3"/>
  <c r="B219" i="3" s="1"/>
  <c r="I219" i="3"/>
  <c r="C219" i="3" s="1"/>
  <c r="P219" i="3"/>
  <c r="Q219" i="3"/>
  <c r="R219" i="3"/>
  <c r="S219" i="3"/>
  <c r="T219" i="3"/>
  <c r="U219" i="3"/>
  <c r="V219" i="3"/>
  <c r="W219" i="3"/>
  <c r="X219" i="3"/>
  <c r="H220" i="3"/>
  <c r="B220" i="3" s="1"/>
  <c r="I220" i="3"/>
  <c r="C220" i="3" s="1"/>
  <c r="P220" i="3"/>
  <c r="Q220" i="3"/>
  <c r="R220" i="3"/>
  <c r="S220" i="3"/>
  <c r="T220" i="3"/>
  <c r="U220" i="3"/>
  <c r="V220" i="3"/>
  <c r="W220" i="3"/>
  <c r="X220" i="3"/>
  <c r="H221" i="3"/>
  <c r="B221" i="3" s="1"/>
  <c r="I221" i="3"/>
  <c r="C221" i="3" s="1"/>
  <c r="P221" i="3"/>
  <c r="Q221" i="3"/>
  <c r="R221" i="3"/>
  <c r="S221" i="3"/>
  <c r="T221" i="3"/>
  <c r="U221" i="3"/>
  <c r="V221" i="3"/>
  <c r="W221" i="3"/>
  <c r="X221" i="3"/>
  <c r="H222" i="3"/>
  <c r="B222" i="3" s="1"/>
  <c r="I222" i="3"/>
  <c r="C222" i="3" s="1"/>
  <c r="P222" i="3"/>
  <c r="Q222" i="3"/>
  <c r="R222" i="3"/>
  <c r="S222" i="3"/>
  <c r="T222" i="3"/>
  <c r="U222" i="3"/>
  <c r="V222" i="3"/>
  <c r="W222" i="3"/>
  <c r="X222" i="3"/>
  <c r="Z222" i="3"/>
  <c r="H223" i="3"/>
  <c r="B223" i="3" s="1"/>
  <c r="I223" i="3"/>
  <c r="C223" i="3" s="1"/>
  <c r="P223" i="3"/>
  <c r="Q223" i="3"/>
  <c r="R223" i="3"/>
  <c r="S223" i="3"/>
  <c r="T223" i="3"/>
  <c r="U223" i="3"/>
  <c r="V223" i="3"/>
  <c r="W223" i="3"/>
  <c r="X223" i="3"/>
  <c r="H224" i="3"/>
  <c r="B224" i="3" s="1"/>
  <c r="I224" i="3"/>
  <c r="C224" i="3" s="1"/>
  <c r="P224" i="3"/>
  <c r="Q224" i="3"/>
  <c r="R224" i="3"/>
  <c r="S224" i="3"/>
  <c r="T224" i="3"/>
  <c r="U224" i="3"/>
  <c r="V224" i="3"/>
  <c r="W224" i="3"/>
  <c r="X224" i="3"/>
  <c r="H225" i="3"/>
  <c r="B225" i="3" s="1"/>
  <c r="I225" i="3"/>
  <c r="C225" i="3" s="1"/>
  <c r="P225" i="3"/>
  <c r="Q225" i="3"/>
  <c r="R225" i="3"/>
  <c r="S225" i="3"/>
  <c r="T225" i="3"/>
  <c r="U225" i="3"/>
  <c r="V225" i="3"/>
  <c r="W225" i="3"/>
  <c r="X225" i="3"/>
  <c r="H226" i="3"/>
  <c r="B226" i="3" s="1"/>
  <c r="I226" i="3"/>
  <c r="C226" i="3" s="1"/>
  <c r="P226" i="3"/>
  <c r="Q226" i="3"/>
  <c r="R226" i="3"/>
  <c r="S226" i="3"/>
  <c r="T226" i="3"/>
  <c r="U226" i="3"/>
  <c r="V226" i="3"/>
  <c r="W226" i="3"/>
  <c r="X226" i="3"/>
  <c r="Z226" i="3"/>
  <c r="H227" i="3"/>
  <c r="B227" i="3" s="1"/>
  <c r="I227" i="3"/>
  <c r="C227" i="3" s="1"/>
  <c r="P227" i="3"/>
  <c r="Q227" i="3"/>
  <c r="R227" i="3"/>
  <c r="S227" i="3"/>
  <c r="T227" i="3"/>
  <c r="U227" i="3"/>
  <c r="V227" i="3"/>
  <c r="W227" i="3"/>
  <c r="X227" i="3"/>
  <c r="Z227" i="3"/>
  <c r="H228" i="3"/>
  <c r="B228" i="3" s="1"/>
  <c r="I228" i="3"/>
  <c r="C228" i="3" s="1"/>
  <c r="P228" i="3"/>
  <c r="Q228" i="3"/>
  <c r="R228" i="3"/>
  <c r="S228" i="3"/>
  <c r="T228" i="3"/>
  <c r="U228" i="3"/>
  <c r="V228" i="3"/>
  <c r="W228" i="3"/>
  <c r="X228" i="3"/>
  <c r="H229" i="3"/>
  <c r="B229" i="3" s="1"/>
  <c r="I229" i="3"/>
  <c r="C229" i="3" s="1"/>
  <c r="P229" i="3"/>
  <c r="Q229" i="3"/>
  <c r="R229" i="3"/>
  <c r="S229" i="3"/>
  <c r="T229" i="3"/>
  <c r="U229" i="3"/>
  <c r="V229" i="3"/>
  <c r="W229" i="3"/>
  <c r="X229" i="3"/>
  <c r="H230" i="3"/>
  <c r="B230" i="3" s="1"/>
  <c r="I230" i="3"/>
  <c r="C230" i="3" s="1"/>
  <c r="P230" i="3"/>
  <c r="Q230" i="3"/>
  <c r="R230" i="3"/>
  <c r="S230" i="3"/>
  <c r="T230" i="3"/>
  <c r="U230" i="3"/>
  <c r="V230" i="3"/>
  <c r="W230" i="3"/>
  <c r="X230" i="3"/>
  <c r="Z230" i="3"/>
  <c r="H231" i="3"/>
  <c r="B231" i="3" s="1"/>
  <c r="I231" i="3"/>
  <c r="C231" i="3" s="1"/>
  <c r="P231" i="3"/>
  <c r="Q231" i="3"/>
  <c r="R231" i="3"/>
  <c r="S231" i="3"/>
  <c r="T231" i="3"/>
  <c r="U231" i="3"/>
  <c r="V231" i="3"/>
  <c r="W231" i="3"/>
  <c r="X231" i="3"/>
  <c r="Z231" i="3"/>
  <c r="H232" i="3"/>
  <c r="B232" i="3" s="1"/>
  <c r="I232" i="3"/>
  <c r="C232" i="3" s="1"/>
  <c r="P232" i="3"/>
  <c r="Q232" i="3"/>
  <c r="R232" i="3"/>
  <c r="S232" i="3"/>
  <c r="T232" i="3"/>
  <c r="U232" i="3"/>
  <c r="V232" i="3"/>
  <c r="W232" i="3"/>
  <c r="X232" i="3"/>
  <c r="H233" i="3"/>
  <c r="B233" i="3" s="1"/>
  <c r="I233" i="3"/>
  <c r="C233" i="3" s="1"/>
  <c r="P233" i="3"/>
  <c r="Q233" i="3"/>
  <c r="R233" i="3"/>
  <c r="S233" i="3"/>
  <c r="T233" i="3"/>
  <c r="U233" i="3"/>
  <c r="V233" i="3"/>
  <c r="W233" i="3"/>
  <c r="X233" i="3"/>
  <c r="H234" i="3"/>
  <c r="B234" i="3" s="1"/>
  <c r="I234" i="3"/>
  <c r="C234" i="3" s="1"/>
  <c r="P234" i="3"/>
  <c r="Q234" i="3"/>
  <c r="R234" i="3"/>
  <c r="S234" i="3"/>
  <c r="T234" i="3"/>
  <c r="U234" i="3"/>
  <c r="V234" i="3"/>
  <c r="W234" i="3"/>
  <c r="X234" i="3"/>
  <c r="Z234" i="3"/>
  <c r="H235" i="3"/>
  <c r="B235" i="3" s="1"/>
  <c r="I235" i="3"/>
  <c r="C235" i="3" s="1"/>
  <c r="P235" i="3"/>
  <c r="Q235" i="3"/>
  <c r="R235" i="3"/>
  <c r="S235" i="3"/>
  <c r="T235" i="3"/>
  <c r="U235" i="3"/>
  <c r="V235" i="3"/>
  <c r="W235" i="3"/>
  <c r="X235" i="3"/>
  <c r="Z235" i="3"/>
  <c r="H236" i="3"/>
  <c r="B236" i="3" s="1"/>
  <c r="I236" i="3"/>
  <c r="C236" i="3" s="1"/>
  <c r="P236" i="3"/>
  <c r="Q236" i="3"/>
  <c r="R236" i="3"/>
  <c r="S236" i="3"/>
  <c r="T236" i="3"/>
  <c r="U236" i="3"/>
  <c r="V236" i="3"/>
  <c r="W236" i="3"/>
  <c r="X236" i="3"/>
  <c r="H237" i="3"/>
  <c r="B237" i="3" s="1"/>
  <c r="I237" i="3"/>
  <c r="C237" i="3" s="1"/>
  <c r="P237" i="3"/>
  <c r="Q237" i="3"/>
  <c r="R237" i="3"/>
  <c r="S237" i="3"/>
  <c r="T237" i="3"/>
  <c r="U237" i="3"/>
  <c r="V237" i="3"/>
  <c r="W237" i="3"/>
  <c r="X237" i="3"/>
  <c r="H238" i="3"/>
  <c r="B238" i="3" s="1"/>
  <c r="I238" i="3"/>
  <c r="C238" i="3" s="1"/>
  <c r="P238" i="3"/>
  <c r="Q238" i="3"/>
  <c r="R238" i="3"/>
  <c r="S238" i="3"/>
  <c r="T238" i="3"/>
  <c r="U238" i="3"/>
  <c r="V238" i="3"/>
  <c r="W238" i="3"/>
  <c r="X238" i="3"/>
  <c r="H239" i="3"/>
  <c r="B239" i="3" s="1"/>
  <c r="I239" i="3"/>
  <c r="C239" i="3" s="1"/>
  <c r="P239" i="3"/>
  <c r="Q239" i="3"/>
  <c r="R239" i="3"/>
  <c r="S239" i="3"/>
  <c r="T239" i="3"/>
  <c r="U239" i="3"/>
  <c r="V239" i="3"/>
  <c r="W239" i="3"/>
  <c r="X239" i="3"/>
  <c r="Z239" i="3"/>
  <c r="H240" i="3"/>
  <c r="B240" i="3" s="1"/>
  <c r="I240" i="3"/>
  <c r="C240" i="3" s="1"/>
  <c r="P240" i="3"/>
  <c r="Q240" i="3"/>
  <c r="R240" i="3"/>
  <c r="S240" i="3"/>
  <c r="T240" i="3"/>
  <c r="U240" i="3"/>
  <c r="V240" i="3"/>
  <c r="W240" i="3"/>
  <c r="X240" i="3"/>
  <c r="Z240" i="3"/>
  <c r="H241" i="3"/>
  <c r="B241" i="3" s="1"/>
  <c r="I241" i="3"/>
  <c r="C241" i="3" s="1"/>
  <c r="P241" i="3"/>
  <c r="Q241" i="3"/>
  <c r="R241" i="3"/>
  <c r="S241" i="3"/>
  <c r="T241" i="3"/>
  <c r="U241" i="3"/>
  <c r="V241" i="3"/>
  <c r="W241" i="3"/>
  <c r="X241" i="3"/>
  <c r="H242" i="3"/>
  <c r="B242" i="3" s="1"/>
  <c r="I242" i="3"/>
  <c r="C242" i="3" s="1"/>
  <c r="P242" i="3"/>
  <c r="Q242" i="3"/>
  <c r="R242" i="3"/>
  <c r="S242" i="3"/>
  <c r="T242" i="3"/>
  <c r="U242" i="3"/>
  <c r="V242" i="3"/>
  <c r="W242" i="3"/>
  <c r="X242" i="3"/>
  <c r="H243" i="3"/>
  <c r="B243" i="3" s="1"/>
  <c r="I243" i="3"/>
  <c r="C243" i="3" s="1"/>
  <c r="P243" i="3"/>
  <c r="Q243" i="3"/>
  <c r="R243" i="3"/>
  <c r="S243" i="3"/>
  <c r="T243" i="3"/>
  <c r="U243" i="3"/>
  <c r="V243" i="3"/>
  <c r="W243" i="3"/>
  <c r="X243" i="3"/>
  <c r="H244" i="3"/>
  <c r="B244" i="3" s="1"/>
  <c r="I244" i="3"/>
  <c r="C244" i="3" s="1"/>
  <c r="P244" i="3"/>
  <c r="Q244" i="3"/>
  <c r="R244" i="3"/>
  <c r="S244" i="3"/>
  <c r="T244" i="3"/>
  <c r="U244" i="3"/>
  <c r="V244" i="3"/>
  <c r="W244" i="3"/>
  <c r="X244" i="3"/>
  <c r="Z244" i="3"/>
  <c r="H245" i="3"/>
  <c r="B245" i="3" s="1"/>
  <c r="I245" i="3"/>
  <c r="C245" i="3" s="1"/>
  <c r="P245" i="3"/>
  <c r="Q245" i="3"/>
  <c r="R245" i="3"/>
  <c r="S245" i="3"/>
  <c r="T245" i="3"/>
  <c r="U245" i="3"/>
  <c r="V245" i="3"/>
  <c r="W245" i="3"/>
  <c r="X245" i="3"/>
  <c r="H246" i="3"/>
  <c r="B246" i="3" s="1"/>
  <c r="I246" i="3"/>
  <c r="C246" i="3" s="1"/>
  <c r="P246" i="3"/>
  <c r="Q246" i="3"/>
  <c r="R246" i="3"/>
  <c r="S246" i="3"/>
  <c r="T246" i="3"/>
  <c r="U246" i="3"/>
  <c r="V246" i="3"/>
  <c r="W246" i="3"/>
  <c r="X246" i="3"/>
  <c r="Z246" i="3"/>
  <c r="H247" i="3"/>
  <c r="B247" i="3" s="1"/>
  <c r="I247" i="3"/>
  <c r="C247" i="3" s="1"/>
  <c r="P247" i="3"/>
  <c r="Q247" i="3"/>
  <c r="R247" i="3"/>
  <c r="S247" i="3"/>
  <c r="T247" i="3"/>
  <c r="U247" i="3"/>
  <c r="V247" i="3"/>
  <c r="W247" i="3"/>
  <c r="X247" i="3"/>
  <c r="H248" i="3"/>
  <c r="B248" i="3" s="1"/>
  <c r="I248" i="3"/>
  <c r="C248" i="3" s="1"/>
  <c r="P248" i="3"/>
  <c r="Q248" i="3"/>
  <c r="R248" i="3"/>
  <c r="S248" i="3"/>
  <c r="T248" i="3"/>
  <c r="U248" i="3"/>
  <c r="V248" i="3"/>
  <c r="W248" i="3"/>
  <c r="X248" i="3"/>
  <c r="Z248" i="3"/>
  <c r="H249" i="3"/>
  <c r="B249" i="3" s="1"/>
  <c r="I249" i="3"/>
  <c r="C249" i="3" s="1"/>
  <c r="P249" i="3"/>
  <c r="Q249" i="3"/>
  <c r="R249" i="3"/>
  <c r="S249" i="3"/>
  <c r="T249" i="3"/>
  <c r="U249" i="3"/>
  <c r="V249" i="3"/>
  <c r="W249" i="3"/>
  <c r="X249" i="3"/>
  <c r="H250" i="3"/>
  <c r="B250" i="3" s="1"/>
  <c r="I250" i="3"/>
  <c r="C250" i="3" s="1"/>
  <c r="P250" i="3"/>
  <c r="Q250" i="3"/>
  <c r="R250" i="3"/>
  <c r="S250" i="3"/>
  <c r="T250" i="3"/>
  <c r="U250" i="3"/>
  <c r="V250" i="3"/>
  <c r="W250" i="3"/>
  <c r="X250" i="3"/>
  <c r="Z250" i="3"/>
  <c r="H251" i="3"/>
  <c r="B251" i="3" s="1"/>
  <c r="I251" i="3"/>
  <c r="C251" i="3" s="1"/>
  <c r="P251" i="3"/>
  <c r="Q251" i="3"/>
  <c r="R251" i="3"/>
  <c r="S251" i="3"/>
  <c r="T251" i="3"/>
  <c r="U251" i="3"/>
  <c r="V251" i="3"/>
  <c r="W251" i="3"/>
  <c r="X251" i="3"/>
  <c r="H252" i="3"/>
  <c r="B252" i="3" s="1"/>
  <c r="I252" i="3"/>
  <c r="C252" i="3" s="1"/>
  <c r="P252" i="3"/>
  <c r="Q252" i="3"/>
  <c r="R252" i="3"/>
  <c r="S252" i="3"/>
  <c r="T252" i="3"/>
  <c r="U252" i="3"/>
  <c r="V252" i="3"/>
  <c r="W252" i="3"/>
  <c r="X252" i="3"/>
  <c r="Z252" i="3"/>
  <c r="H253" i="3"/>
  <c r="B253" i="3" s="1"/>
  <c r="I253" i="3"/>
  <c r="C253" i="3" s="1"/>
  <c r="P253" i="3"/>
  <c r="Q253" i="3"/>
  <c r="R253" i="3"/>
  <c r="S253" i="3"/>
  <c r="T253" i="3"/>
  <c r="U253" i="3"/>
  <c r="V253" i="3"/>
  <c r="W253" i="3"/>
  <c r="X253" i="3"/>
  <c r="H254" i="3"/>
  <c r="B254" i="3" s="1"/>
  <c r="I254" i="3"/>
  <c r="C254" i="3" s="1"/>
  <c r="P254" i="3"/>
  <c r="Q254" i="3"/>
  <c r="R254" i="3"/>
  <c r="S254" i="3"/>
  <c r="T254" i="3"/>
  <c r="U254" i="3"/>
  <c r="V254" i="3"/>
  <c r="W254" i="3"/>
  <c r="X254" i="3"/>
  <c r="Z254" i="3"/>
  <c r="H255" i="3"/>
  <c r="B255" i="3" s="1"/>
  <c r="I255" i="3"/>
  <c r="C255" i="3" s="1"/>
  <c r="P255" i="3"/>
  <c r="Q255" i="3"/>
  <c r="R255" i="3"/>
  <c r="S255" i="3"/>
  <c r="T255" i="3"/>
  <c r="U255" i="3"/>
  <c r="V255" i="3"/>
  <c r="W255" i="3"/>
  <c r="X255" i="3"/>
  <c r="H256" i="3"/>
  <c r="B256" i="3" s="1"/>
  <c r="I256" i="3"/>
  <c r="C256" i="3" s="1"/>
  <c r="P256" i="3"/>
  <c r="Q256" i="3"/>
  <c r="R256" i="3"/>
  <c r="S256" i="3"/>
  <c r="T256" i="3"/>
  <c r="U256" i="3"/>
  <c r="V256" i="3"/>
  <c r="W256" i="3"/>
  <c r="X256" i="3"/>
  <c r="Z256" i="3"/>
  <c r="H257" i="3"/>
  <c r="B257" i="3" s="1"/>
  <c r="I257" i="3"/>
  <c r="C257" i="3" s="1"/>
  <c r="P257" i="3"/>
  <c r="Q257" i="3"/>
  <c r="R257" i="3"/>
  <c r="S257" i="3"/>
  <c r="T257" i="3"/>
  <c r="U257" i="3"/>
  <c r="V257" i="3"/>
  <c r="W257" i="3"/>
  <c r="X257" i="3"/>
  <c r="H258" i="3"/>
  <c r="B258" i="3" s="1"/>
  <c r="I258" i="3"/>
  <c r="C258" i="3" s="1"/>
  <c r="P258" i="3"/>
  <c r="Q258" i="3"/>
  <c r="R258" i="3"/>
  <c r="S258" i="3"/>
  <c r="T258" i="3"/>
  <c r="U258" i="3"/>
  <c r="V258" i="3"/>
  <c r="W258" i="3"/>
  <c r="X258" i="3"/>
  <c r="H259" i="3"/>
  <c r="B259" i="3" s="1"/>
  <c r="I259" i="3"/>
  <c r="C259" i="3" s="1"/>
  <c r="P259" i="3"/>
  <c r="Q259" i="3"/>
  <c r="R259" i="3"/>
  <c r="S259" i="3"/>
  <c r="T259" i="3"/>
  <c r="U259" i="3"/>
  <c r="V259" i="3"/>
  <c r="W259" i="3"/>
  <c r="X259" i="3"/>
  <c r="Z259" i="3"/>
  <c r="H260" i="3"/>
  <c r="B260" i="3" s="1"/>
  <c r="I260" i="3"/>
  <c r="C260" i="3" s="1"/>
  <c r="P260" i="3"/>
  <c r="Q260" i="3"/>
  <c r="R260" i="3"/>
  <c r="S260" i="3"/>
  <c r="T260" i="3"/>
  <c r="U260" i="3"/>
  <c r="V260" i="3"/>
  <c r="W260" i="3"/>
  <c r="X260" i="3"/>
  <c r="Z260" i="3"/>
  <c r="H261" i="3"/>
  <c r="B261" i="3" s="1"/>
  <c r="I261" i="3"/>
  <c r="C261" i="3" s="1"/>
  <c r="P261" i="3"/>
  <c r="Q261" i="3"/>
  <c r="R261" i="3"/>
  <c r="S261" i="3"/>
  <c r="T261" i="3"/>
  <c r="U261" i="3"/>
  <c r="V261" i="3"/>
  <c r="W261" i="3"/>
  <c r="X261" i="3"/>
  <c r="Z261" i="3"/>
  <c r="H262" i="3"/>
  <c r="B262" i="3" s="1"/>
  <c r="I262" i="3"/>
  <c r="C262" i="3" s="1"/>
  <c r="P262" i="3"/>
  <c r="Q262" i="3"/>
  <c r="R262" i="3"/>
  <c r="S262" i="3"/>
  <c r="T262" i="3"/>
  <c r="U262" i="3"/>
  <c r="V262" i="3"/>
  <c r="W262" i="3"/>
  <c r="X262" i="3"/>
  <c r="Z262" i="3"/>
  <c r="H263" i="3"/>
  <c r="B263" i="3" s="1"/>
  <c r="I263" i="3"/>
  <c r="C263" i="3" s="1"/>
  <c r="P263" i="3"/>
  <c r="Q263" i="3"/>
  <c r="R263" i="3"/>
  <c r="S263" i="3"/>
  <c r="T263" i="3"/>
  <c r="U263" i="3"/>
  <c r="V263" i="3"/>
  <c r="W263" i="3"/>
  <c r="X263" i="3"/>
  <c r="Z263" i="3"/>
  <c r="H264" i="3"/>
  <c r="B264" i="3" s="1"/>
  <c r="I264" i="3"/>
  <c r="C264" i="3" s="1"/>
  <c r="P264" i="3"/>
  <c r="Q264" i="3"/>
  <c r="R264" i="3"/>
  <c r="S264" i="3"/>
  <c r="T264" i="3"/>
  <c r="U264" i="3"/>
  <c r="V264" i="3"/>
  <c r="W264" i="3"/>
  <c r="X264" i="3"/>
  <c r="H265" i="3"/>
  <c r="B265" i="3" s="1"/>
  <c r="I265" i="3"/>
  <c r="C265" i="3" s="1"/>
  <c r="P265" i="3"/>
  <c r="Q265" i="3"/>
  <c r="R265" i="3"/>
  <c r="S265" i="3"/>
  <c r="T265" i="3"/>
  <c r="U265" i="3"/>
  <c r="V265" i="3"/>
  <c r="W265" i="3"/>
  <c r="X265" i="3"/>
  <c r="H266" i="3"/>
  <c r="B266" i="3" s="1"/>
  <c r="I266" i="3"/>
  <c r="C266" i="3" s="1"/>
  <c r="P266" i="3"/>
  <c r="Q266" i="3"/>
  <c r="R266" i="3"/>
  <c r="S266" i="3"/>
  <c r="T266" i="3"/>
  <c r="U266" i="3"/>
  <c r="V266" i="3"/>
  <c r="W266" i="3"/>
  <c r="X266" i="3"/>
  <c r="Z266" i="3"/>
  <c r="H267" i="3"/>
  <c r="B267" i="3" s="1"/>
  <c r="I267" i="3"/>
  <c r="C267" i="3" s="1"/>
  <c r="P267" i="3"/>
  <c r="Q267" i="3"/>
  <c r="R267" i="3"/>
  <c r="S267" i="3"/>
  <c r="T267" i="3"/>
  <c r="U267" i="3"/>
  <c r="V267" i="3"/>
  <c r="W267" i="3"/>
  <c r="X267" i="3"/>
  <c r="Z267" i="3"/>
  <c r="H268" i="3"/>
  <c r="B268" i="3" s="1"/>
  <c r="I268" i="3"/>
  <c r="C268" i="3" s="1"/>
  <c r="P268" i="3"/>
  <c r="Q268" i="3"/>
  <c r="R268" i="3"/>
  <c r="S268" i="3"/>
  <c r="T268" i="3"/>
  <c r="U268" i="3"/>
  <c r="V268" i="3"/>
  <c r="W268" i="3"/>
  <c r="X268" i="3"/>
  <c r="Z268" i="3"/>
  <c r="H269" i="3"/>
  <c r="B269" i="3" s="1"/>
  <c r="I269" i="3"/>
  <c r="C269" i="3" s="1"/>
  <c r="P269" i="3"/>
  <c r="Q269" i="3"/>
  <c r="R269" i="3"/>
  <c r="S269" i="3"/>
  <c r="T269" i="3"/>
  <c r="U269" i="3"/>
  <c r="V269" i="3"/>
  <c r="W269" i="3"/>
  <c r="X269" i="3"/>
  <c r="H270" i="3"/>
  <c r="B270" i="3" s="1"/>
  <c r="I270" i="3"/>
  <c r="C270" i="3" s="1"/>
  <c r="P270" i="3"/>
  <c r="Q270" i="3"/>
  <c r="R270" i="3"/>
  <c r="S270" i="3"/>
  <c r="T270" i="3"/>
  <c r="U270" i="3"/>
  <c r="V270" i="3"/>
  <c r="W270" i="3"/>
  <c r="X270" i="3"/>
  <c r="Z270" i="3"/>
  <c r="H271" i="3"/>
  <c r="B271" i="3" s="1"/>
  <c r="I271" i="3"/>
  <c r="C271" i="3" s="1"/>
  <c r="P271" i="3"/>
  <c r="Q271" i="3"/>
  <c r="R271" i="3"/>
  <c r="S271" i="3"/>
  <c r="T271" i="3"/>
  <c r="U271" i="3"/>
  <c r="V271" i="3"/>
  <c r="W271" i="3"/>
  <c r="X271" i="3"/>
  <c r="Z271" i="3"/>
  <c r="H272" i="3"/>
  <c r="B272" i="3" s="1"/>
  <c r="I272" i="3"/>
  <c r="C272" i="3" s="1"/>
  <c r="P272" i="3"/>
  <c r="Q272" i="3"/>
  <c r="R272" i="3"/>
  <c r="S272" i="3"/>
  <c r="T272" i="3"/>
  <c r="U272" i="3"/>
  <c r="V272" i="3"/>
  <c r="W272" i="3"/>
  <c r="X272" i="3"/>
  <c r="H273" i="3"/>
  <c r="B273" i="3" s="1"/>
  <c r="I273" i="3"/>
  <c r="C273" i="3" s="1"/>
  <c r="P273" i="3"/>
  <c r="Q273" i="3"/>
  <c r="R273" i="3"/>
  <c r="S273" i="3"/>
  <c r="T273" i="3"/>
  <c r="U273" i="3"/>
  <c r="V273" i="3"/>
  <c r="W273" i="3"/>
  <c r="X273" i="3"/>
  <c r="H274" i="3"/>
  <c r="B274" i="3" s="1"/>
  <c r="I274" i="3"/>
  <c r="C274" i="3" s="1"/>
  <c r="P274" i="3"/>
  <c r="Q274" i="3"/>
  <c r="R274" i="3"/>
  <c r="S274" i="3"/>
  <c r="T274" i="3"/>
  <c r="U274" i="3"/>
  <c r="V274" i="3"/>
  <c r="W274" i="3"/>
  <c r="X274" i="3"/>
  <c r="Z274" i="3"/>
  <c r="H275" i="3"/>
  <c r="B275" i="3" s="1"/>
  <c r="I275" i="3"/>
  <c r="C275" i="3" s="1"/>
  <c r="P275" i="3"/>
  <c r="Q275" i="3"/>
  <c r="R275" i="3"/>
  <c r="S275" i="3"/>
  <c r="T275" i="3"/>
  <c r="U275" i="3"/>
  <c r="V275" i="3"/>
  <c r="W275" i="3"/>
  <c r="X275" i="3"/>
  <c r="H276" i="3"/>
  <c r="B276" i="3" s="1"/>
  <c r="I276" i="3"/>
  <c r="C276" i="3" s="1"/>
  <c r="P276" i="3"/>
  <c r="Q276" i="3"/>
  <c r="R276" i="3"/>
  <c r="S276" i="3"/>
  <c r="T276" i="3"/>
  <c r="U276" i="3"/>
  <c r="V276" i="3"/>
  <c r="W276" i="3"/>
  <c r="X276" i="3"/>
  <c r="Z276" i="3"/>
  <c r="H277" i="3"/>
  <c r="B277" i="3" s="1"/>
  <c r="I277" i="3"/>
  <c r="C277" i="3" s="1"/>
  <c r="P277" i="3"/>
  <c r="Q277" i="3"/>
  <c r="R277" i="3"/>
  <c r="S277" i="3"/>
  <c r="T277" i="3"/>
  <c r="U277" i="3"/>
  <c r="V277" i="3"/>
  <c r="W277" i="3"/>
  <c r="X277" i="3"/>
  <c r="Z277" i="3"/>
  <c r="H278" i="3"/>
  <c r="B278" i="3" s="1"/>
  <c r="I278" i="3"/>
  <c r="C278" i="3" s="1"/>
  <c r="P278" i="3"/>
  <c r="Q278" i="3"/>
  <c r="R278" i="3"/>
  <c r="S278" i="3"/>
  <c r="T278" i="3"/>
  <c r="U278" i="3"/>
  <c r="V278" i="3"/>
  <c r="W278" i="3"/>
  <c r="X278" i="3"/>
  <c r="Z278" i="3"/>
  <c r="H279" i="3"/>
  <c r="B279" i="3" s="1"/>
  <c r="I279" i="3"/>
  <c r="C279" i="3" s="1"/>
  <c r="P279" i="3"/>
  <c r="Q279" i="3"/>
  <c r="R279" i="3"/>
  <c r="S279" i="3"/>
  <c r="T279" i="3"/>
  <c r="U279" i="3"/>
  <c r="V279" i="3"/>
  <c r="W279" i="3"/>
  <c r="X279" i="3"/>
  <c r="H280" i="3"/>
  <c r="B280" i="3" s="1"/>
  <c r="I280" i="3"/>
  <c r="C280" i="3" s="1"/>
  <c r="P280" i="3"/>
  <c r="Q280" i="3"/>
  <c r="R280" i="3"/>
  <c r="S280" i="3"/>
  <c r="T280" i="3"/>
  <c r="U280" i="3"/>
  <c r="V280" i="3"/>
  <c r="W280" i="3"/>
  <c r="X280" i="3"/>
  <c r="Z280" i="3"/>
  <c r="H281" i="3"/>
  <c r="B281" i="3" s="1"/>
  <c r="I281" i="3"/>
  <c r="C281" i="3" s="1"/>
  <c r="P281" i="3"/>
  <c r="Q281" i="3"/>
  <c r="R281" i="3"/>
  <c r="S281" i="3"/>
  <c r="T281" i="3"/>
  <c r="U281" i="3"/>
  <c r="V281" i="3"/>
  <c r="W281" i="3"/>
  <c r="X281" i="3"/>
  <c r="H282" i="3"/>
  <c r="B282" i="3" s="1"/>
  <c r="I282" i="3"/>
  <c r="C282" i="3" s="1"/>
  <c r="P282" i="3"/>
  <c r="Q282" i="3"/>
  <c r="R282" i="3"/>
  <c r="S282" i="3"/>
  <c r="T282" i="3"/>
  <c r="U282" i="3"/>
  <c r="V282" i="3"/>
  <c r="W282" i="3"/>
  <c r="X282" i="3"/>
  <c r="Z282" i="3"/>
  <c r="H283" i="3"/>
  <c r="B283" i="3" s="1"/>
  <c r="I283" i="3"/>
  <c r="C283" i="3" s="1"/>
  <c r="P283" i="3"/>
  <c r="Q283" i="3"/>
  <c r="R283" i="3"/>
  <c r="S283" i="3"/>
  <c r="T283" i="3"/>
  <c r="U283" i="3"/>
  <c r="V283" i="3"/>
  <c r="W283" i="3"/>
  <c r="X283" i="3"/>
  <c r="Z283" i="3"/>
  <c r="H284" i="3"/>
  <c r="B284" i="3" s="1"/>
  <c r="I284" i="3"/>
  <c r="C284" i="3" s="1"/>
  <c r="P284" i="3"/>
  <c r="Q284" i="3"/>
  <c r="R284" i="3"/>
  <c r="S284" i="3"/>
  <c r="T284" i="3"/>
  <c r="U284" i="3"/>
  <c r="V284" i="3"/>
  <c r="W284" i="3"/>
  <c r="X284" i="3"/>
  <c r="Z284" i="3"/>
  <c r="H285" i="3"/>
  <c r="B285" i="3" s="1"/>
  <c r="I285" i="3"/>
  <c r="C285" i="3" s="1"/>
  <c r="P285" i="3"/>
  <c r="Q285" i="3"/>
  <c r="R285" i="3"/>
  <c r="S285" i="3"/>
  <c r="T285" i="3"/>
  <c r="U285" i="3"/>
  <c r="V285" i="3"/>
  <c r="W285" i="3"/>
  <c r="X285" i="3"/>
  <c r="H286" i="3"/>
  <c r="B286" i="3" s="1"/>
  <c r="I286" i="3"/>
  <c r="C286" i="3" s="1"/>
  <c r="P286" i="3"/>
  <c r="Q286" i="3"/>
  <c r="R286" i="3"/>
  <c r="S286" i="3"/>
  <c r="T286" i="3"/>
  <c r="U286" i="3"/>
  <c r="V286" i="3"/>
  <c r="W286" i="3"/>
  <c r="X286" i="3"/>
  <c r="H287" i="3"/>
  <c r="B287" i="3" s="1"/>
  <c r="I287" i="3"/>
  <c r="C287" i="3" s="1"/>
  <c r="P287" i="3"/>
  <c r="Q287" i="3"/>
  <c r="R287" i="3"/>
  <c r="S287" i="3"/>
  <c r="T287" i="3"/>
  <c r="U287" i="3"/>
  <c r="V287" i="3"/>
  <c r="W287" i="3"/>
  <c r="X287" i="3"/>
  <c r="Z287" i="3"/>
  <c r="H288" i="3"/>
  <c r="B288" i="3" s="1"/>
  <c r="I288" i="3"/>
  <c r="C288" i="3" s="1"/>
  <c r="P288" i="3"/>
  <c r="Q288" i="3"/>
  <c r="R288" i="3"/>
  <c r="S288" i="3"/>
  <c r="T288" i="3"/>
  <c r="U288" i="3"/>
  <c r="V288" i="3"/>
  <c r="W288" i="3"/>
  <c r="X288" i="3"/>
  <c r="Z288" i="3"/>
  <c r="H289" i="3"/>
  <c r="B289" i="3" s="1"/>
  <c r="I289" i="3"/>
  <c r="C289" i="3" s="1"/>
  <c r="P289" i="3"/>
  <c r="Q289" i="3"/>
  <c r="R289" i="3"/>
  <c r="S289" i="3"/>
  <c r="T289" i="3"/>
  <c r="U289" i="3"/>
  <c r="V289" i="3"/>
  <c r="W289" i="3"/>
  <c r="X289" i="3"/>
  <c r="Z289" i="3"/>
  <c r="H290" i="3"/>
  <c r="B290" i="3" s="1"/>
  <c r="I290" i="3"/>
  <c r="C290" i="3" s="1"/>
  <c r="P290" i="3"/>
  <c r="Q290" i="3"/>
  <c r="R290" i="3"/>
  <c r="S290" i="3"/>
  <c r="T290" i="3"/>
  <c r="U290" i="3"/>
  <c r="V290" i="3"/>
  <c r="W290" i="3"/>
  <c r="X290" i="3"/>
  <c r="Z290" i="3"/>
  <c r="H291" i="3"/>
  <c r="B291" i="3" s="1"/>
  <c r="I291" i="3"/>
  <c r="C291" i="3" s="1"/>
  <c r="P291" i="3"/>
  <c r="Q291" i="3"/>
  <c r="R291" i="3"/>
  <c r="S291" i="3"/>
  <c r="T291" i="3"/>
  <c r="U291" i="3"/>
  <c r="V291" i="3"/>
  <c r="W291" i="3"/>
  <c r="X291" i="3"/>
  <c r="Z291" i="3"/>
  <c r="H292" i="3"/>
  <c r="B292" i="3" s="1"/>
  <c r="I292" i="3"/>
  <c r="C292" i="3" s="1"/>
  <c r="P292" i="3"/>
  <c r="Q292" i="3"/>
  <c r="R292" i="3"/>
  <c r="S292" i="3"/>
  <c r="T292" i="3"/>
  <c r="U292" i="3"/>
  <c r="V292" i="3"/>
  <c r="W292" i="3"/>
  <c r="X292" i="3"/>
  <c r="Z292" i="3"/>
  <c r="H293" i="3"/>
  <c r="B293" i="3" s="1"/>
  <c r="I293" i="3"/>
  <c r="C293" i="3" s="1"/>
  <c r="P293" i="3"/>
  <c r="Q293" i="3"/>
  <c r="R293" i="3"/>
  <c r="S293" i="3"/>
  <c r="T293" i="3"/>
  <c r="U293" i="3"/>
  <c r="V293" i="3"/>
  <c r="W293" i="3"/>
  <c r="X293" i="3"/>
  <c r="Z293" i="3"/>
  <c r="H294" i="3"/>
  <c r="B294" i="3" s="1"/>
  <c r="I294" i="3"/>
  <c r="C294" i="3" s="1"/>
  <c r="P294" i="3"/>
  <c r="Q294" i="3"/>
  <c r="R294" i="3"/>
  <c r="S294" i="3"/>
  <c r="T294" i="3"/>
  <c r="U294" i="3"/>
  <c r="V294" i="3"/>
  <c r="W294" i="3"/>
  <c r="X294" i="3"/>
  <c r="H295" i="3"/>
  <c r="B295" i="3" s="1"/>
  <c r="I295" i="3"/>
  <c r="C295" i="3" s="1"/>
  <c r="P295" i="3"/>
  <c r="Q295" i="3"/>
  <c r="R295" i="3"/>
  <c r="S295" i="3"/>
  <c r="T295" i="3"/>
  <c r="U295" i="3"/>
  <c r="V295" i="3"/>
  <c r="W295" i="3"/>
  <c r="X295" i="3"/>
  <c r="Z295" i="3"/>
  <c r="H296" i="3"/>
  <c r="B296" i="3" s="1"/>
  <c r="I296" i="3"/>
  <c r="C296" i="3" s="1"/>
  <c r="P296" i="3"/>
  <c r="Q296" i="3"/>
  <c r="R296" i="3"/>
  <c r="S296" i="3"/>
  <c r="T296" i="3"/>
  <c r="U296" i="3"/>
  <c r="V296" i="3"/>
  <c r="W296" i="3"/>
  <c r="X296" i="3"/>
  <c r="H297" i="3"/>
  <c r="B297" i="3" s="1"/>
  <c r="I297" i="3"/>
  <c r="C297" i="3" s="1"/>
  <c r="P297" i="3"/>
  <c r="Q297" i="3"/>
  <c r="R297" i="3"/>
  <c r="S297" i="3"/>
  <c r="T297" i="3"/>
  <c r="U297" i="3"/>
  <c r="V297" i="3"/>
  <c r="W297" i="3"/>
  <c r="X297" i="3"/>
  <c r="H298" i="3"/>
  <c r="B298" i="3" s="1"/>
  <c r="I298" i="3"/>
  <c r="C298" i="3" s="1"/>
  <c r="P298" i="3"/>
  <c r="Q298" i="3"/>
  <c r="R298" i="3"/>
  <c r="S298" i="3"/>
  <c r="T298" i="3"/>
  <c r="U298" i="3"/>
  <c r="V298" i="3"/>
  <c r="W298" i="3"/>
  <c r="X298" i="3"/>
  <c r="Z298" i="3"/>
  <c r="H299" i="3"/>
  <c r="B299" i="3" s="1"/>
  <c r="I299" i="3"/>
  <c r="C299" i="3" s="1"/>
  <c r="P299" i="3"/>
  <c r="Q299" i="3"/>
  <c r="R299" i="3"/>
  <c r="S299" i="3"/>
  <c r="T299" i="3"/>
  <c r="U299" i="3"/>
  <c r="V299" i="3"/>
  <c r="W299" i="3"/>
  <c r="X299" i="3"/>
  <c r="H300" i="3"/>
  <c r="B300" i="3" s="1"/>
  <c r="I300" i="3"/>
  <c r="C300" i="3" s="1"/>
  <c r="P300" i="3"/>
  <c r="Q300" i="3"/>
  <c r="R300" i="3"/>
  <c r="S300" i="3"/>
  <c r="T300" i="3"/>
  <c r="U300" i="3"/>
  <c r="V300" i="3"/>
  <c r="W300" i="3"/>
  <c r="X300" i="3"/>
  <c r="Z300" i="3"/>
  <c r="H301" i="3"/>
  <c r="B301" i="3" s="1"/>
  <c r="I301" i="3"/>
  <c r="C301" i="3" s="1"/>
  <c r="P301" i="3"/>
  <c r="Q301" i="3"/>
  <c r="R301" i="3"/>
  <c r="S301" i="3"/>
  <c r="T301" i="3"/>
  <c r="U301" i="3"/>
  <c r="V301" i="3"/>
  <c r="W301" i="3"/>
  <c r="X301" i="3"/>
  <c r="H302" i="3"/>
  <c r="B302" i="3" s="1"/>
  <c r="I302" i="3"/>
  <c r="C302" i="3" s="1"/>
  <c r="P302" i="3"/>
  <c r="Q302" i="3"/>
  <c r="R302" i="3"/>
  <c r="S302" i="3"/>
  <c r="T302" i="3"/>
  <c r="U302" i="3"/>
  <c r="V302" i="3"/>
  <c r="W302" i="3"/>
  <c r="X302" i="3"/>
  <c r="Z302" i="3"/>
  <c r="H303" i="3"/>
  <c r="B303" i="3" s="1"/>
  <c r="I303" i="3"/>
  <c r="C303" i="3" s="1"/>
  <c r="P303" i="3"/>
  <c r="Q303" i="3"/>
  <c r="R303" i="3"/>
  <c r="S303" i="3"/>
  <c r="T303" i="3"/>
  <c r="U303" i="3"/>
  <c r="V303" i="3"/>
  <c r="W303" i="3"/>
  <c r="X303" i="3"/>
  <c r="H304" i="3"/>
  <c r="B304" i="3" s="1"/>
  <c r="I304" i="3"/>
  <c r="C304" i="3" s="1"/>
  <c r="P304" i="3"/>
  <c r="Q304" i="3"/>
  <c r="R304" i="3"/>
  <c r="S304" i="3"/>
  <c r="T304" i="3"/>
  <c r="U304" i="3"/>
  <c r="V304" i="3"/>
  <c r="W304" i="3"/>
  <c r="X304" i="3"/>
  <c r="H305" i="3"/>
  <c r="B305" i="3" s="1"/>
  <c r="I305" i="3"/>
  <c r="C305" i="3" s="1"/>
  <c r="P305" i="3"/>
  <c r="Q305" i="3"/>
  <c r="R305" i="3"/>
  <c r="S305" i="3"/>
  <c r="T305" i="3"/>
  <c r="U305" i="3"/>
  <c r="V305" i="3"/>
  <c r="W305" i="3"/>
  <c r="X305" i="3"/>
  <c r="Z305" i="3"/>
  <c r="H306" i="3"/>
  <c r="B306" i="3" s="1"/>
  <c r="I306" i="3"/>
  <c r="C306" i="3" s="1"/>
  <c r="P306" i="3"/>
  <c r="Q306" i="3"/>
  <c r="R306" i="3"/>
  <c r="S306" i="3"/>
  <c r="T306" i="3"/>
  <c r="U306" i="3"/>
  <c r="V306" i="3"/>
  <c r="W306" i="3"/>
  <c r="X306" i="3"/>
  <c r="H307" i="3"/>
  <c r="B307" i="3" s="1"/>
  <c r="I307" i="3"/>
  <c r="C307" i="3" s="1"/>
  <c r="P307" i="3"/>
  <c r="Q307" i="3"/>
  <c r="R307" i="3"/>
  <c r="S307" i="3"/>
  <c r="T307" i="3"/>
  <c r="U307" i="3"/>
  <c r="V307" i="3"/>
  <c r="W307" i="3"/>
  <c r="X307" i="3"/>
  <c r="Z307" i="3"/>
  <c r="H308" i="3"/>
  <c r="B308" i="3" s="1"/>
  <c r="I308" i="3"/>
  <c r="C308" i="3" s="1"/>
  <c r="P308" i="3"/>
  <c r="Q308" i="3"/>
  <c r="R308" i="3"/>
  <c r="S308" i="3"/>
  <c r="T308" i="3"/>
  <c r="U308" i="3"/>
  <c r="V308" i="3"/>
  <c r="W308" i="3"/>
  <c r="X308" i="3"/>
  <c r="H309" i="3"/>
  <c r="B309" i="3" s="1"/>
  <c r="I309" i="3"/>
  <c r="C309" i="3" s="1"/>
  <c r="P309" i="3"/>
  <c r="Q309" i="3"/>
  <c r="R309" i="3"/>
  <c r="S309" i="3"/>
  <c r="T309" i="3"/>
  <c r="U309" i="3"/>
  <c r="V309" i="3"/>
  <c r="W309" i="3"/>
  <c r="X309" i="3"/>
  <c r="Y309" i="3"/>
  <c r="H310" i="3"/>
  <c r="B310" i="3" s="1"/>
  <c r="I310" i="3"/>
  <c r="C310" i="3" s="1"/>
  <c r="P310" i="3"/>
  <c r="Q310" i="3"/>
  <c r="R310" i="3"/>
  <c r="S310" i="3"/>
  <c r="T310" i="3"/>
  <c r="U310" i="3"/>
  <c r="V310" i="3"/>
  <c r="W310" i="3"/>
  <c r="X310" i="3"/>
  <c r="H311" i="3"/>
  <c r="B311" i="3" s="1"/>
  <c r="I311" i="3"/>
  <c r="C311" i="3" s="1"/>
  <c r="P311" i="3"/>
  <c r="Q311" i="3"/>
  <c r="R311" i="3"/>
  <c r="S311" i="3"/>
  <c r="T311" i="3"/>
  <c r="U311" i="3"/>
  <c r="V311" i="3"/>
  <c r="W311" i="3"/>
  <c r="X311" i="3"/>
  <c r="Z311" i="3"/>
  <c r="H312" i="3"/>
  <c r="B312" i="3" s="1"/>
  <c r="I312" i="3"/>
  <c r="C312" i="3" s="1"/>
  <c r="P312" i="3"/>
  <c r="Q312" i="3"/>
  <c r="R312" i="3"/>
  <c r="S312" i="3"/>
  <c r="T312" i="3"/>
  <c r="U312" i="3"/>
  <c r="V312" i="3"/>
  <c r="W312" i="3"/>
  <c r="X312" i="3"/>
  <c r="H313" i="3"/>
  <c r="B313" i="3" s="1"/>
  <c r="I313" i="3"/>
  <c r="C313" i="3" s="1"/>
  <c r="P313" i="3"/>
  <c r="Q313" i="3"/>
  <c r="R313" i="3"/>
  <c r="S313" i="3"/>
  <c r="T313" i="3"/>
  <c r="U313" i="3"/>
  <c r="V313" i="3"/>
  <c r="W313" i="3"/>
  <c r="X313" i="3"/>
  <c r="H314" i="3"/>
  <c r="B314" i="3" s="1"/>
  <c r="I314" i="3"/>
  <c r="C314" i="3" s="1"/>
  <c r="P314" i="3"/>
  <c r="Q314" i="3"/>
  <c r="R314" i="3"/>
  <c r="S314" i="3"/>
  <c r="T314" i="3"/>
  <c r="U314" i="3"/>
  <c r="V314" i="3"/>
  <c r="W314" i="3"/>
  <c r="X314" i="3"/>
  <c r="Z314" i="3"/>
  <c r="H315" i="3"/>
  <c r="B315" i="3" s="1"/>
  <c r="I315" i="3"/>
  <c r="C315" i="3" s="1"/>
  <c r="P315" i="3"/>
  <c r="Q315" i="3"/>
  <c r="R315" i="3"/>
  <c r="S315" i="3"/>
  <c r="T315" i="3"/>
  <c r="U315" i="3"/>
  <c r="V315" i="3"/>
  <c r="W315" i="3"/>
  <c r="X315" i="3"/>
  <c r="H316" i="3"/>
  <c r="B316" i="3" s="1"/>
  <c r="I316" i="3"/>
  <c r="C316" i="3" s="1"/>
  <c r="P316" i="3"/>
  <c r="Q316" i="3"/>
  <c r="R316" i="3"/>
  <c r="S316" i="3"/>
  <c r="T316" i="3"/>
  <c r="U316" i="3"/>
  <c r="V316" i="3"/>
  <c r="W316" i="3"/>
  <c r="X316" i="3"/>
  <c r="Z316" i="3"/>
  <c r="H317" i="3"/>
  <c r="B317" i="3" s="1"/>
  <c r="I317" i="3"/>
  <c r="C317" i="3" s="1"/>
  <c r="P317" i="3"/>
  <c r="Q317" i="3"/>
  <c r="R317" i="3"/>
  <c r="S317" i="3"/>
  <c r="T317" i="3"/>
  <c r="U317" i="3"/>
  <c r="V317" i="3"/>
  <c r="W317" i="3"/>
  <c r="X317" i="3"/>
  <c r="H318" i="3"/>
  <c r="B318" i="3" s="1"/>
  <c r="I318" i="3"/>
  <c r="C318" i="3" s="1"/>
  <c r="P318" i="3"/>
  <c r="Q318" i="3"/>
  <c r="R318" i="3"/>
  <c r="S318" i="3"/>
  <c r="T318" i="3"/>
  <c r="U318" i="3"/>
  <c r="V318" i="3"/>
  <c r="W318" i="3"/>
  <c r="X318" i="3"/>
  <c r="Z318" i="3"/>
  <c r="H319" i="3"/>
  <c r="B319" i="3" s="1"/>
  <c r="I319" i="3"/>
  <c r="C319" i="3" s="1"/>
  <c r="P319" i="3"/>
  <c r="Q319" i="3"/>
  <c r="R319" i="3"/>
  <c r="S319" i="3"/>
  <c r="T319" i="3"/>
  <c r="U319" i="3"/>
  <c r="V319" i="3"/>
  <c r="W319" i="3"/>
  <c r="X319" i="3"/>
  <c r="H320" i="3"/>
  <c r="B320" i="3" s="1"/>
  <c r="I320" i="3"/>
  <c r="C320" i="3" s="1"/>
  <c r="P320" i="3"/>
  <c r="Q320" i="3"/>
  <c r="R320" i="3"/>
  <c r="S320" i="3"/>
  <c r="T320" i="3"/>
  <c r="U320" i="3"/>
  <c r="V320" i="3"/>
  <c r="W320" i="3"/>
  <c r="X320" i="3"/>
  <c r="Z320" i="3"/>
  <c r="H321" i="3"/>
  <c r="B321" i="3" s="1"/>
  <c r="I321" i="3"/>
  <c r="C321" i="3" s="1"/>
  <c r="P321" i="3"/>
  <c r="Q321" i="3"/>
  <c r="R321" i="3"/>
  <c r="S321" i="3"/>
  <c r="T321" i="3"/>
  <c r="U321" i="3"/>
  <c r="V321" i="3"/>
  <c r="W321" i="3"/>
  <c r="X321" i="3"/>
  <c r="H322" i="3"/>
  <c r="B322" i="3" s="1"/>
  <c r="I322" i="3"/>
  <c r="C322" i="3" s="1"/>
  <c r="P322" i="3"/>
  <c r="Q322" i="3"/>
  <c r="R322" i="3"/>
  <c r="S322" i="3"/>
  <c r="T322" i="3"/>
  <c r="U322" i="3"/>
  <c r="V322" i="3"/>
  <c r="W322" i="3"/>
  <c r="X322" i="3"/>
  <c r="H323" i="3"/>
  <c r="B323" i="3" s="1"/>
  <c r="I323" i="3"/>
  <c r="C323" i="3" s="1"/>
  <c r="P323" i="3"/>
  <c r="Q323" i="3"/>
  <c r="R323" i="3"/>
  <c r="S323" i="3"/>
  <c r="T323" i="3"/>
  <c r="U323" i="3"/>
  <c r="V323" i="3"/>
  <c r="W323" i="3"/>
  <c r="X323" i="3"/>
  <c r="H324" i="3"/>
  <c r="B324" i="3" s="1"/>
  <c r="I324" i="3"/>
  <c r="C324" i="3" s="1"/>
  <c r="P324" i="3"/>
  <c r="Q324" i="3"/>
  <c r="R324" i="3"/>
  <c r="S324" i="3"/>
  <c r="T324" i="3"/>
  <c r="U324" i="3"/>
  <c r="V324" i="3"/>
  <c r="W324" i="3"/>
  <c r="X324" i="3"/>
  <c r="Z324" i="3"/>
  <c r="H325" i="3"/>
  <c r="B325" i="3" s="1"/>
  <c r="I325" i="3"/>
  <c r="C325" i="3" s="1"/>
  <c r="P325" i="3"/>
  <c r="Q325" i="3"/>
  <c r="R325" i="3"/>
  <c r="S325" i="3"/>
  <c r="T325" i="3"/>
  <c r="U325" i="3"/>
  <c r="V325" i="3"/>
  <c r="W325" i="3"/>
  <c r="X325" i="3"/>
  <c r="Z325" i="3"/>
  <c r="H326" i="3"/>
  <c r="B326" i="3" s="1"/>
  <c r="I326" i="3"/>
  <c r="C326" i="3" s="1"/>
  <c r="P326" i="3"/>
  <c r="Q326" i="3"/>
  <c r="R326" i="3"/>
  <c r="S326" i="3"/>
  <c r="T326" i="3"/>
  <c r="U326" i="3"/>
  <c r="V326" i="3"/>
  <c r="W326" i="3"/>
  <c r="X326" i="3"/>
  <c r="Z326" i="3"/>
  <c r="H327" i="3"/>
  <c r="B327" i="3" s="1"/>
  <c r="I327" i="3"/>
  <c r="C327" i="3" s="1"/>
  <c r="P327" i="3"/>
  <c r="Q327" i="3"/>
  <c r="R327" i="3"/>
  <c r="S327" i="3"/>
  <c r="T327" i="3"/>
  <c r="U327" i="3"/>
  <c r="V327" i="3"/>
  <c r="W327" i="3"/>
  <c r="X327" i="3"/>
  <c r="H328" i="3"/>
  <c r="B328" i="3" s="1"/>
  <c r="I328" i="3"/>
  <c r="C328" i="3" s="1"/>
  <c r="P328" i="3"/>
  <c r="Q328" i="3"/>
  <c r="R328" i="3"/>
  <c r="S328" i="3"/>
  <c r="T328" i="3"/>
  <c r="U328" i="3"/>
  <c r="V328" i="3"/>
  <c r="W328" i="3"/>
  <c r="X328" i="3"/>
  <c r="Z328" i="3"/>
  <c r="H329" i="3"/>
  <c r="B329" i="3" s="1"/>
  <c r="I329" i="3"/>
  <c r="C329" i="3" s="1"/>
  <c r="P329" i="3"/>
  <c r="Q329" i="3"/>
  <c r="R329" i="3"/>
  <c r="S329" i="3"/>
  <c r="T329" i="3"/>
  <c r="U329" i="3"/>
  <c r="V329" i="3"/>
  <c r="W329" i="3"/>
  <c r="X329" i="3"/>
  <c r="H330" i="3"/>
  <c r="B330" i="3" s="1"/>
  <c r="I330" i="3"/>
  <c r="C330" i="3" s="1"/>
  <c r="P330" i="3"/>
  <c r="Q330" i="3"/>
  <c r="R330" i="3"/>
  <c r="S330" i="3"/>
  <c r="T330" i="3"/>
  <c r="U330" i="3"/>
  <c r="V330" i="3"/>
  <c r="W330" i="3"/>
  <c r="X330" i="3"/>
  <c r="Z330" i="3"/>
  <c r="H331" i="3"/>
  <c r="B331" i="3" s="1"/>
  <c r="I331" i="3"/>
  <c r="C331" i="3" s="1"/>
  <c r="P331" i="3"/>
  <c r="Q331" i="3"/>
  <c r="R331" i="3"/>
  <c r="S331" i="3"/>
  <c r="T331" i="3"/>
  <c r="U331" i="3"/>
  <c r="V331" i="3"/>
  <c r="W331" i="3"/>
  <c r="X331" i="3"/>
  <c r="Z331" i="3"/>
  <c r="H332" i="3"/>
  <c r="B332" i="3" s="1"/>
  <c r="I332" i="3"/>
  <c r="C332" i="3" s="1"/>
  <c r="P332" i="3"/>
  <c r="Q332" i="3"/>
  <c r="R332" i="3"/>
  <c r="S332" i="3"/>
  <c r="T332" i="3"/>
  <c r="U332" i="3"/>
  <c r="V332" i="3"/>
  <c r="W332" i="3"/>
  <c r="X332" i="3"/>
  <c r="Z332" i="3"/>
  <c r="H333" i="3"/>
  <c r="B333" i="3" s="1"/>
  <c r="I333" i="3"/>
  <c r="C333" i="3" s="1"/>
  <c r="P333" i="3"/>
  <c r="Q333" i="3"/>
  <c r="R333" i="3"/>
  <c r="S333" i="3"/>
  <c r="T333" i="3"/>
  <c r="U333" i="3"/>
  <c r="V333" i="3"/>
  <c r="W333" i="3"/>
  <c r="X333" i="3"/>
  <c r="H334" i="3"/>
  <c r="B334" i="3" s="1"/>
  <c r="I334" i="3"/>
  <c r="C334" i="3" s="1"/>
  <c r="P334" i="3"/>
  <c r="Q334" i="3"/>
  <c r="R334" i="3"/>
  <c r="S334" i="3"/>
  <c r="T334" i="3"/>
  <c r="U334" i="3"/>
  <c r="V334" i="3"/>
  <c r="W334" i="3"/>
  <c r="X334" i="3"/>
  <c r="Z334" i="3"/>
  <c r="H335" i="3"/>
  <c r="B335" i="3" s="1"/>
  <c r="I335" i="3"/>
  <c r="C335" i="3" s="1"/>
  <c r="P335" i="3"/>
  <c r="Q335" i="3"/>
  <c r="R335" i="3"/>
  <c r="S335" i="3"/>
  <c r="T335" i="3"/>
  <c r="U335" i="3"/>
  <c r="V335" i="3"/>
  <c r="W335" i="3"/>
  <c r="X335" i="3"/>
  <c r="Z335" i="3"/>
  <c r="H336" i="3"/>
  <c r="B336" i="3" s="1"/>
  <c r="I336" i="3"/>
  <c r="C336" i="3" s="1"/>
  <c r="P336" i="3"/>
  <c r="Q336" i="3"/>
  <c r="R336" i="3"/>
  <c r="S336" i="3"/>
  <c r="T336" i="3"/>
  <c r="U336" i="3"/>
  <c r="V336" i="3"/>
  <c r="W336" i="3"/>
  <c r="X336" i="3"/>
  <c r="H337" i="3"/>
  <c r="B337" i="3" s="1"/>
  <c r="I337" i="3"/>
  <c r="C337" i="3" s="1"/>
  <c r="P337" i="3"/>
  <c r="Q337" i="3"/>
  <c r="R337" i="3"/>
  <c r="S337" i="3"/>
  <c r="T337" i="3"/>
  <c r="U337" i="3"/>
  <c r="V337" i="3"/>
  <c r="W337" i="3"/>
  <c r="X337" i="3"/>
  <c r="H338" i="3"/>
  <c r="B338" i="3" s="1"/>
  <c r="I338" i="3"/>
  <c r="C338" i="3" s="1"/>
  <c r="P338" i="3"/>
  <c r="Q338" i="3"/>
  <c r="R338" i="3"/>
  <c r="S338" i="3"/>
  <c r="T338" i="3"/>
  <c r="U338" i="3"/>
  <c r="V338" i="3"/>
  <c r="W338" i="3"/>
  <c r="X338" i="3"/>
  <c r="Z338" i="3"/>
  <c r="H339" i="3"/>
  <c r="B339" i="3" s="1"/>
  <c r="I339" i="3"/>
  <c r="C339" i="3" s="1"/>
  <c r="P339" i="3"/>
  <c r="Q339" i="3"/>
  <c r="R339" i="3"/>
  <c r="S339" i="3"/>
  <c r="T339" i="3"/>
  <c r="U339" i="3"/>
  <c r="V339" i="3"/>
  <c r="W339" i="3"/>
  <c r="X339" i="3"/>
  <c r="H340" i="3"/>
  <c r="B340" i="3" s="1"/>
  <c r="I340" i="3"/>
  <c r="C340" i="3" s="1"/>
  <c r="P340" i="3"/>
  <c r="Q340" i="3"/>
  <c r="R340" i="3"/>
  <c r="S340" i="3"/>
  <c r="T340" i="3"/>
  <c r="U340" i="3"/>
  <c r="V340" i="3"/>
  <c r="W340" i="3"/>
  <c r="X340" i="3"/>
  <c r="Z340" i="3"/>
  <c r="H341" i="3"/>
  <c r="B341" i="3" s="1"/>
  <c r="I341" i="3"/>
  <c r="C341" i="3" s="1"/>
  <c r="P341" i="3"/>
  <c r="Q341" i="3"/>
  <c r="R341" i="3"/>
  <c r="S341" i="3"/>
  <c r="T341" i="3"/>
  <c r="U341" i="3"/>
  <c r="V341" i="3"/>
  <c r="W341" i="3"/>
  <c r="X341" i="3"/>
  <c r="H342" i="3"/>
  <c r="B342" i="3" s="1"/>
  <c r="I342" i="3"/>
  <c r="C342" i="3" s="1"/>
  <c r="P342" i="3"/>
  <c r="Q342" i="3"/>
  <c r="R342" i="3"/>
  <c r="S342" i="3"/>
  <c r="T342" i="3"/>
  <c r="U342" i="3"/>
  <c r="V342" i="3"/>
  <c r="W342" i="3"/>
  <c r="X342" i="3"/>
  <c r="Z342" i="3"/>
  <c r="H343" i="3"/>
  <c r="B343" i="3" s="1"/>
  <c r="I343" i="3"/>
  <c r="C343" i="3" s="1"/>
  <c r="P343" i="3"/>
  <c r="Q343" i="3"/>
  <c r="R343" i="3"/>
  <c r="S343" i="3"/>
  <c r="T343" i="3"/>
  <c r="U343" i="3"/>
  <c r="V343" i="3"/>
  <c r="W343" i="3"/>
  <c r="X343" i="3"/>
  <c r="Z343" i="3"/>
  <c r="H344" i="3"/>
  <c r="B344" i="3" s="1"/>
  <c r="I344" i="3"/>
  <c r="C344" i="3" s="1"/>
  <c r="P344" i="3"/>
  <c r="Q344" i="3"/>
  <c r="R344" i="3"/>
  <c r="S344" i="3"/>
  <c r="T344" i="3"/>
  <c r="U344" i="3"/>
  <c r="V344" i="3"/>
  <c r="W344" i="3"/>
  <c r="X344" i="3"/>
  <c r="H345" i="3"/>
  <c r="B345" i="3" s="1"/>
  <c r="I345" i="3"/>
  <c r="C345" i="3" s="1"/>
  <c r="P345" i="3"/>
  <c r="Q345" i="3"/>
  <c r="R345" i="3"/>
  <c r="S345" i="3"/>
  <c r="T345" i="3"/>
  <c r="U345" i="3"/>
  <c r="V345" i="3"/>
  <c r="W345" i="3"/>
  <c r="X345" i="3"/>
  <c r="H346" i="3"/>
  <c r="B346" i="3" s="1"/>
  <c r="I346" i="3"/>
  <c r="C346" i="3" s="1"/>
  <c r="P346" i="3"/>
  <c r="Q346" i="3"/>
  <c r="R346" i="3"/>
  <c r="S346" i="3"/>
  <c r="T346" i="3"/>
  <c r="U346" i="3"/>
  <c r="V346" i="3"/>
  <c r="W346" i="3"/>
  <c r="X346" i="3"/>
  <c r="H347" i="3"/>
  <c r="B347" i="3" s="1"/>
  <c r="I347" i="3"/>
  <c r="C347" i="3" s="1"/>
  <c r="P347" i="3"/>
  <c r="Q347" i="3"/>
  <c r="R347" i="3"/>
  <c r="S347" i="3"/>
  <c r="T347" i="3"/>
  <c r="U347" i="3"/>
  <c r="V347" i="3"/>
  <c r="W347" i="3"/>
  <c r="X347" i="3"/>
  <c r="Z347" i="3"/>
  <c r="H348" i="3"/>
  <c r="B348" i="3" s="1"/>
  <c r="I348" i="3"/>
  <c r="C348" i="3" s="1"/>
  <c r="P348" i="3"/>
  <c r="Q348" i="3"/>
  <c r="R348" i="3"/>
  <c r="S348" i="3"/>
  <c r="T348" i="3"/>
  <c r="U348" i="3"/>
  <c r="V348" i="3"/>
  <c r="W348" i="3"/>
  <c r="X348" i="3"/>
  <c r="Z348" i="3"/>
  <c r="H349" i="3"/>
  <c r="B349" i="3" s="1"/>
  <c r="I349" i="3"/>
  <c r="C349" i="3" s="1"/>
  <c r="P349" i="3"/>
  <c r="Q349" i="3"/>
  <c r="R349" i="3"/>
  <c r="S349" i="3"/>
  <c r="T349" i="3"/>
  <c r="U349" i="3"/>
  <c r="V349" i="3"/>
  <c r="W349" i="3"/>
  <c r="X349" i="3"/>
  <c r="H350" i="3"/>
  <c r="B350" i="3" s="1"/>
  <c r="I350" i="3"/>
  <c r="C350" i="3" s="1"/>
  <c r="P350" i="3"/>
  <c r="Q350" i="3"/>
  <c r="R350" i="3"/>
  <c r="S350" i="3"/>
  <c r="T350" i="3"/>
  <c r="U350" i="3"/>
  <c r="V350" i="3"/>
  <c r="W350" i="3"/>
  <c r="X350" i="3"/>
  <c r="Z350" i="3"/>
  <c r="H351" i="3"/>
  <c r="B351" i="3" s="1"/>
  <c r="I351" i="3"/>
  <c r="C351" i="3" s="1"/>
  <c r="P351" i="3"/>
  <c r="Q351" i="3"/>
  <c r="R351" i="3"/>
  <c r="S351" i="3"/>
  <c r="T351" i="3"/>
  <c r="U351" i="3"/>
  <c r="V351" i="3"/>
  <c r="W351" i="3"/>
  <c r="X351" i="3"/>
  <c r="H352" i="3"/>
  <c r="B352" i="3" s="1"/>
  <c r="I352" i="3"/>
  <c r="C352" i="3" s="1"/>
  <c r="P352" i="3"/>
  <c r="Q352" i="3"/>
  <c r="R352" i="3"/>
  <c r="S352" i="3"/>
  <c r="T352" i="3"/>
  <c r="U352" i="3"/>
  <c r="V352" i="3"/>
  <c r="W352" i="3"/>
  <c r="X352" i="3"/>
  <c r="H353" i="3"/>
  <c r="B353" i="3" s="1"/>
  <c r="I353" i="3"/>
  <c r="C353" i="3" s="1"/>
  <c r="P353" i="3"/>
  <c r="Q353" i="3"/>
  <c r="R353" i="3"/>
  <c r="S353" i="3"/>
  <c r="T353" i="3"/>
  <c r="U353" i="3"/>
  <c r="V353" i="3"/>
  <c r="W353" i="3"/>
  <c r="X353" i="3"/>
  <c r="Z353" i="3"/>
  <c r="H354" i="3"/>
  <c r="B354" i="3" s="1"/>
  <c r="I354" i="3"/>
  <c r="C354" i="3" s="1"/>
  <c r="P354" i="3"/>
  <c r="Q354" i="3"/>
  <c r="R354" i="3"/>
  <c r="S354" i="3"/>
  <c r="T354" i="3"/>
  <c r="U354" i="3"/>
  <c r="V354" i="3"/>
  <c r="W354" i="3"/>
  <c r="X354" i="3"/>
  <c r="H355" i="3"/>
  <c r="B355" i="3" s="1"/>
  <c r="I355" i="3"/>
  <c r="C355" i="3" s="1"/>
  <c r="P355" i="3"/>
  <c r="Q355" i="3"/>
  <c r="R355" i="3"/>
  <c r="S355" i="3"/>
  <c r="T355" i="3"/>
  <c r="U355" i="3"/>
  <c r="V355" i="3"/>
  <c r="W355" i="3"/>
  <c r="X355" i="3"/>
  <c r="Z355" i="3"/>
  <c r="H356" i="3"/>
  <c r="B356" i="3" s="1"/>
  <c r="I356" i="3"/>
  <c r="C356" i="3" s="1"/>
  <c r="P356" i="3"/>
  <c r="Q356" i="3"/>
  <c r="R356" i="3"/>
  <c r="S356" i="3"/>
  <c r="T356" i="3"/>
  <c r="U356" i="3"/>
  <c r="V356" i="3"/>
  <c r="W356" i="3"/>
  <c r="X356" i="3"/>
  <c r="Z356" i="3"/>
  <c r="H357" i="3"/>
  <c r="B357" i="3" s="1"/>
  <c r="I357" i="3"/>
  <c r="C357" i="3" s="1"/>
  <c r="P357" i="3"/>
  <c r="Q357" i="3"/>
  <c r="R357" i="3"/>
  <c r="S357" i="3"/>
  <c r="T357" i="3"/>
  <c r="U357" i="3"/>
  <c r="V357" i="3"/>
  <c r="W357" i="3"/>
  <c r="X357" i="3"/>
  <c r="Y357" i="3"/>
  <c r="Z357" i="3"/>
  <c r="H358" i="3"/>
  <c r="B358" i="3" s="1"/>
  <c r="I358" i="3"/>
  <c r="C358" i="3" s="1"/>
  <c r="P358" i="3"/>
  <c r="Q358" i="3"/>
  <c r="R358" i="3"/>
  <c r="S358" i="3"/>
  <c r="T358" i="3"/>
  <c r="U358" i="3"/>
  <c r="V358" i="3"/>
  <c r="W358" i="3"/>
  <c r="X358" i="3"/>
  <c r="Z358" i="3"/>
  <c r="H359" i="3"/>
  <c r="B359" i="3" s="1"/>
  <c r="I359" i="3"/>
  <c r="C359" i="3" s="1"/>
  <c r="P359" i="3"/>
  <c r="Q359" i="3"/>
  <c r="R359" i="3"/>
  <c r="S359" i="3"/>
  <c r="T359" i="3"/>
  <c r="U359" i="3"/>
  <c r="V359" i="3"/>
  <c r="W359" i="3"/>
  <c r="X359" i="3"/>
  <c r="Z359" i="3"/>
  <c r="H360" i="3"/>
  <c r="B360" i="3" s="1"/>
  <c r="I360" i="3"/>
  <c r="C360" i="3" s="1"/>
  <c r="P360" i="3"/>
  <c r="Q360" i="3"/>
  <c r="R360" i="3"/>
  <c r="S360" i="3"/>
  <c r="T360" i="3"/>
  <c r="U360" i="3"/>
  <c r="V360" i="3"/>
  <c r="W360" i="3"/>
  <c r="X360" i="3"/>
  <c r="Z360" i="3"/>
  <c r="H361" i="3"/>
  <c r="B361" i="3" s="1"/>
  <c r="I361" i="3"/>
  <c r="C361" i="3" s="1"/>
  <c r="P361" i="3"/>
  <c r="Q361" i="3"/>
  <c r="R361" i="3"/>
  <c r="S361" i="3"/>
  <c r="T361" i="3"/>
  <c r="U361" i="3"/>
  <c r="V361" i="3"/>
  <c r="W361" i="3"/>
  <c r="X361" i="3"/>
  <c r="Z361" i="3"/>
  <c r="H362" i="3"/>
  <c r="B362" i="3" s="1"/>
  <c r="I362" i="3"/>
  <c r="C362" i="3" s="1"/>
  <c r="P362" i="3"/>
  <c r="Q362" i="3"/>
  <c r="R362" i="3"/>
  <c r="S362" i="3"/>
  <c r="T362" i="3"/>
  <c r="U362" i="3"/>
  <c r="V362" i="3"/>
  <c r="W362" i="3"/>
  <c r="X362" i="3"/>
  <c r="Z362" i="3"/>
  <c r="H363" i="3"/>
  <c r="B363" i="3" s="1"/>
  <c r="I363" i="3"/>
  <c r="C363" i="3" s="1"/>
  <c r="P363" i="3"/>
  <c r="Q363" i="3"/>
  <c r="R363" i="3"/>
  <c r="S363" i="3"/>
  <c r="T363" i="3"/>
  <c r="U363" i="3"/>
  <c r="V363" i="3"/>
  <c r="W363" i="3"/>
  <c r="X363" i="3"/>
  <c r="H364" i="3"/>
  <c r="B364" i="3" s="1"/>
  <c r="I364" i="3"/>
  <c r="C364" i="3" s="1"/>
  <c r="P364" i="3"/>
  <c r="Q364" i="3"/>
  <c r="R364" i="3"/>
  <c r="S364" i="3"/>
  <c r="T364" i="3"/>
  <c r="U364" i="3"/>
  <c r="V364" i="3"/>
  <c r="W364" i="3"/>
  <c r="X364" i="3"/>
  <c r="Z364" i="3"/>
  <c r="H365" i="3"/>
  <c r="B365" i="3" s="1"/>
  <c r="I365" i="3"/>
  <c r="C365" i="3" s="1"/>
  <c r="P365" i="3"/>
  <c r="Q365" i="3"/>
  <c r="R365" i="3"/>
  <c r="S365" i="3"/>
  <c r="T365" i="3"/>
  <c r="U365" i="3"/>
  <c r="V365" i="3"/>
  <c r="W365" i="3"/>
  <c r="X365" i="3"/>
  <c r="H366" i="3"/>
  <c r="B366" i="3" s="1"/>
  <c r="I366" i="3"/>
  <c r="C366" i="3" s="1"/>
  <c r="P366" i="3"/>
  <c r="Q366" i="3"/>
  <c r="R366" i="3"/>
  <c r="S366" i="3"/>
  <c r="T366" i="3"/>
  <c r="U366" i="3"/>
  <c r="V366" i="3"/>
  <c r="W366" i="3"/>
  <c r="X366" i="3"/>
  <c r="Z366" i="3"/>
  <c r="H367" i="3"/>
  <c r="B367" i="3" s="1"/>
  <c r="I367" i="3"/>
  <c r="C367" i="3" s="1"/>
  <c r="P367" i="3"/>
  <c r="Q367" i="3"/>
  <c r="R367" i="3"/>
  <c r="S367" i="3"/>
  <c r="T367" i="3"/>
  <c r="U367" i="3"/>
  <c r="V367" i="3"/>
  <c r="W367" i="3"/>
  <c r="X367" i="3"/>
  <c r="Z367" i="3"/>
  <c r="H368" i="3"/>
  <c r="B368" i="3" s="1"/>
  <c r="I368" i="3"/>
  <c r="C368" i="3" s="1"/>
  <c r="P368" i="3"/>
  <c r="Q368" i="3"/>
  <c r="R368" i="3"/>
  <c r="S368" i="3"/>
  <c r="T368" i="3"/>
  <c r="U368" i="3"/>
  <c r="V368" i="3"/>
  <c r="W368" i="3"/>
  <c r="X368" i="3"/>
  <c r="Z368" i="3"/>
  <c r="H369" i="3"/>
  <c r="B369" i="3" s="1"/>
  <c r="I369" i="3"/>
  <c r="C369" i="3" s="1"/>
  <c r="P369" i="3"/>
  <c r="Q369" i="3"/>
  <c r="R369" i="3"/>
  <c r="S369" i="3"/>
  <c r="T369" i="3"/>
  <c r="U369" i="3"/>
  <c r="V369" i="3"/>
  <c r="W369" i="3"/>
  <c r="X369" i="3"/>
  <c r="Z369" i="3"/>
  <c r="H370" i="3"/>
  <c r="B370" i="3" s="1"/>
  <c r="I370" i="3"/>
  <c r="C370" i="3" s="1"/>
  <c r="P370" i="3"/>
  <c r="Q370" i="3"/>
  <c r="R370" i="3"/>
  <c r="S370" i="3"/>
  <c r="T370" i="3"/>
  <c r="U370" i="3"/>
  <c r="V370" i="3"/>
  <c r="W370" i="3"/>
  <c r="X370" i="3"/>
  <c r="Z370" i="3"/>
  <c r="H371" i="3"/>
  <c r="B371" i="3" s="1"/>
  <c r="I371" i="3"/>
  <c r="C371" i="3" s="1"/>
  <c r="P371" i="3"/>
  <c r="Q371" i="3"/>
  <c r="R371" i="3"/>
  <c r="S371" i="3"/>
  <c r="T371" i="3"/>
  <c r="U371" i="3"/>
  <c r="V371" i="3"/>
  <c r="W371" i="3"/>
  <c r="X371" i="3"/>
  <c r="Y371" i="3"/>
  <c r="Z371" i="3"/>
  <c r="H372" i="3"/>
  <c r="B372" i="3" s="1"/>
  <c r="I372" i="3"/>
  <c r="C372" i="3" s="1"/>
  <c r="P372" i="3"/>
  <c r="Q372" i="3"/>
  <c r="R372" i="3"/>
  <c r="S372" i="3"/>
  <c r="T372" i="3"/>
  <c r="U372" i="3"/>
  <c r="V372" i="3"/>
  <c r="W372" i="3"/>
  <c r="X372" i="3"/>
  <c r="Z372" i="3"/>
  <c r="H373" i="3"/>
  <c r="B373" i="3" s="1"/>
  <c r="I373" i="3"/>
  <c r="C373" i="3" s="1"/>
  <c r="P373" i="3"/>
  <c r="Q373" i="3"/>
  <c r="R373" i="3"/>
  <c r="S373" i="3"/>
  <c r="T373" i="3"/>
  <c r="U373" i="3"/>
  <c r="V373" i="3"/>
  <c r="W373" i="3"/>
  <c r="X373" i="3"/>
  <c r="H374" i="3"/>
  <c r="B374" i="3" s="1"/>
  <c r="I374" i="3"/>
  <c r="C374" i="3" s="1"/>
  <c r="P374" i="3"/>
  <c r="Q374" i="3"/>
  <c r="R374" i="3"/>
  <c r="S374" i="3"/>
  <c r="T374" i="3"/>
  <c r="U374" i="3"/>
  <c r="V374" i="3"/>
  <c r="W374" i="3"/>
  <c r="X374" i="3"/>
  <c r="H375" i="3"/>
  <c r="B375" i="3" s="1"/>
  <c r="I375" i="3"/>
  <c r="C375" i="3" s="1"/>
  <c r="P375" i="3"/>
  <c r="Q375" i="3"/>
  <c r="R375" i="3"/>
  <c r="S375" i="3"/>
  <c r="T375" i="3"/>
  <c r="U375" i="3"/>
  <c r="V375" i="3"/>
  <c r="W375" i="3"/>
  <c r="X375" i="3"/>
  <c r="Y375" i="3"/>
  <c r="Z375" i="3"/>
  <c r="H376" i="3"/>
  <c r="B376" i="3" s="1"/>
  <c r="I376" i="3"/>
  <c r="C376" i="3" s="1"/>
  <c r="P376" i="3"/>
  <c r="Q376" i="3"/>
  <c r="R376" i="3"/>
  <c r="S376" i="3"/>
  <c r="T376" i="3"/>
  <c r="U376" i="3"/>
  <c r="V376" i="3"/>
  <c r="W376" i="3"/>
  <c r="X376" i="3"/>
  <c r="Z376" i="3"/>
  <c r="H377" i="3"/>
  <c r="B377" i="3" s="1"/>
  <c r="I377" i="3"/>
  <c r="C377" i="3" s="1"/>
  <c r="P377" i="3"/>
  <c r="Q377" i="3"/>
  <c r="R377" i="3"/>
  <c r="S377" i="3"/>
  <c r="T377" i="3"/>
  <c r="U377" i="3"/>
  <c r="V377" i="3"/>
  <c r="W377" i="3"/>
  <c r="X377" i="3"/>
  <c r="H378" i="3"/>
  <c r="B378" i="3" s="1"/>
  <c r="I378" i="3"/>
  <c r="C378" i="3" s="1"/>
  <c r="P378" i="3"/>
  <c r="Q378" i="3"/>
  <c r="R378" i="3"/>
  <c r="S378" i="3"/>
  <c r="T378" i="3"/>
  <c r="U378" i="3"/>
  <c r="V378" i="3"/>
  <c r="W378" i="3"/>
  <c r="X378" i="3"/>
  <c r="Z378" i="3"/>
  <c r="H379" i="3"/>
  <c r="B379" i="3" s="1"/>
  <c r="I379" i="3"/>
  <c r="C379" i="3" s="1"/>
  <c r="P379" i="3"/>
  <c r="Q379" i="3"/>
  <c r="R379" i="3"/>
  <c r="S379" i="3"/>
  <c r="T379" i="3"/>
  <c r="U379" i="3"/>
  <c r="V379" i="3"/>
  <c r="W379" i="3"/>
  <c r="X379" i="3"/>
  <c r="Z379" i="3"/>
  <c r="H380" i="3"/>
  <c r="B380" i="3" s="1"/>
  <c r="I380" i="3"/>
  <c r="C380" i="3" s="1"/>
  <c r="P380" i="3"/>
  <c r="Q380" i="3"/>
  <c r="R380" i="3"/>
  <c r="S380" i="3"/>
  <c r="T380" i="3"/>
  <c r="U380" i="3"/>
  <c r="V380" i="3"/>
  <c r="W380" i="3"/>
  <c r="X380" i="3"/>
  <c r="H381" i="3"/>
  <c r="B381" i="3" s="1"/>
  <c r="I381" i="3"/>
  <c r="C381" i="3" s="1"/>
  <c r="P381" i="3"/>
  <c r="Q381" i="3"/>
  <c r="R381" i="3"/>
  <c r="S381" i="3"/>
  <c r="T381" i="3"/>
  <c r="U381" i="3"/>
  <c r="V381" i="3"/>
  <c r="W381" i="3"/>
  <c r="X381" i="3"/>
  <c r="H382" i="3"/>
  <c r="B382" i="3" s="1"/>
  <c r="I382" i="3"/>
  <c r="C382" i="3" s="1"/>
  <c r="P382" i="3"/>
  <c r="Q382" i="3"/>
  <c r="R382" i="3"/>
  <c r="S382" i="3"/>
  <c r="T382" i="3"/>
  <c r="U382" i="3"/>
  <c r="V382" i="3"/>
  <c r="W382" i="3"/>
  <c r="X382" i="3"/>
  <c r="H383" i="3"/>
  <c r="B383" i="3" s="1"/>
  <c r="I383" i="3"/>
  <c r="C383" i="3" s="1"/>
  <c r="P383" i="3"/>
  <c r="Q383" i="3"/>
  <c r="R383" i="3"/>
  <c r="S383" i="3"/>
  <c r="T383" i="3"/>
  <c r="U383" i="3"/>
  <c r="V383" i="3"/>
  <c r="W383" i="3"/>
  <c r="X383" i="3"/>
  <c r="H384" i="3"/>
  <c r="B384" i="3" s="1"/>
  <c r="I384" i="3"/>
  <c r="C384" i="3" s="1"/>
  <c r="P384" i="3"/>
  <c r="Q384" i="3"/>
  <c r="R384" i="3"/>
  <c r="S384" i="3"/>
  <c r="T384" i="3"/>
  <c r="U384" i="3"/>
  <c r="V384" i="3"/>
  <c r="W384" i="3"/>
  <c r="X384" i="3"/>
  <c r="H385" i="3"/>
  <c r="B385" i="3" s="1"/>
  <c r="I385" i="3"/>
  <c r="C385" i="3" s="1"/>
  <c r="P385" i="3"/>
  <c r="Q385" i="3"/>
  <c r="R385" i="3"/>
  <c r="S385" i="3"/>
  <c r="T385" i="3"/>
  <c r="U385" i="3"/>
  <c r="V385" i="3"/>
  <c r="W385" i="3"/>
  <c r="X385" i="3"/>
  <c r="Z385" i="3"/>
  <c r="H386" i="3"/>
  <c r="B386" i="3" s="1"/>
  <c r="I386" i="3"/>
  <c r="C386" i="3" s="1"/>
  <c r="P386" i="3"/>
  <c r="Q386" i="3"/>
  <c r="R386" i="3"/>
  <c r="S386" i="3"/>
  <c r="T386" i="3"/>
  <c r="U386" i="3"/>
  <c r="V386" i="3"/>
  <c r="W386" i="3"/>
  <c r="X386" i="3"/>
  <c r="Z386" i="3"/>
  <c r="H387" i="3"/>
  <c r="B387" i="3" s="1"/>
  <c r="I387" i="3"/>
  <c r="C387" i="3" s="1"/>
  <c r="P387" i="3"/>
  <c r="Q387" i="3"/>
  <c r="R387" i="3"/>
  <c r="S387" i="3"/>
  <c r="T387" i="3"/>
  <c r="U387" i="3"/>
  <c r="V387" i="3"/>
  <c r="W387" i="3"/>
  <c r="X387" i="3"/>
  <c r="Y387" i="3"/>
  <c r="Z387" i="3"/>
  <c r="H388" i="3"/>
  <c r="B388" i="3" s="1"/>
  <c r="I388" i="3"/>
  <c r="C388" i="3" s="1"/>
  <c r="P388" i="3"/>
  <c r="Q388" i="3"/>
  <c r="R388" i="3"/>
  <c r="S388" i="3"/>
  <c r="T388" i="3"/>
  <c r="U388" i="3"/>
  <c r="V388" i="3"/>
  <c r="W388" i="3"/>
  <c r="X388" i="3"/>
  <c r="Z388" i="3"/>
  <c r="H389" i="3"/>
  <c r="B389" i="3" s="1"/>
  <c r="I389" i="3"/>
  <c r="C389" i="3" s="1"/>
  <c r="P389" i="3"/>
  <c r="Q389" i="3"/>
  <c r="R389" i="3"/>
  <c r="S389" i="3"/>
  <c r="T389" i="3"/>
  <c r="U389" i="3"/>
  <c r="V389" i="3"/>
  <c r="W389" i="3"/>
  <c r="X389" i="3"/>
  <c r="H390" i="3"/>
  <c r="B390" i="3" s="1"/>
  <c r="I390" i="3"/>
  <c r="C390" i="3" s="1"/>
  <c r="P390" i="3"/>
  <c r="Q390" i="3"/>
  <c r="R390" i="3"/>
  <c r="S390" i="3"/>
  <c r="T390" i="3"/>
  <c r="U390" i="3"/>
  <c r="V390" i="3"/>
  <c r="W390" i="3"/>
  <c r="X390" i="3"/>
  <c r="Z390" i="3"/>
  <c r="H391" i="3"/>
  <c r="B391" i="3" s="1"/>
  <c r="I391" i="3"/>
  <c r="C391" i="3" s="1"/>
  <c r="P391" i="3"/>
  <c r="Q391" i="3"/>
  <c r="R391" i="3"/>
  <c r="S391" i="3"/>
  <c r="T391" i="3"/>
  <c r="U391" i="3"/>
  <c r="V391" i="3"/>
  <c r="W391" i="3"/>
  <c r="X391" i="3"/>
  <c r="H392" i="3"/>
  <c r="B392" i="3" s="1"/>
  <c r="I392" i="3"/>
  <c r="C392" i="3" s="1"/>
  <c r="P392" i="3"/>
  <c r="Q392" i="3"/>
  <c r="R392" i="3"/>
  <c r="S392" i="3"/>
  <c r="T392" i="3"/>
  <c r="U392" i="3"/>
  <c r="V392" i="3"/>
  <c r="W392" i="3"/>
  <c r="X392" i="3"/>
  <c r="H393" i="3"/>
  <c r="B393" i="3" s="1"/>
  <c r="I393" i="3"/>
  <c r="C393" i="3" s="1"/>
  <c r="P393" i="3"/>
  <c r="Q393" i="3"/>
  <c r="R393" i="3"/>
  <c r="S393" i="3"/>
  <c r="T393" i="3"/>
  <c r="U393" i="3"/>
  <c r="V393" i="3"/>
  <c r="W393" i="3"/>
  <c r="X393" i="3"/>
  <c r="H394" i="3"/>
  <c r="B394" i="3" s="1"/>
  <c r="I394" i="3"/>
  <c r="C394" i="3" s="1"/>
  <c r="P394" i="3"/>
  <c r="Q394" i="3"/>
  <c r="R394" i="3"/>
  <c r="S394" i="3"/>
  <c r="T394" i="3"/>
  <c r="U394" i="3"/>
  <c r="V394" i="3"/>
  <c r="W394" i="3"/>
  <c r="X394" i="3"/>
  <c r="Z394" i="3"/>
  <c r="H395" i="3"/>
  <c r="B395" i="3" s="1"/>
  <c r="I395" i="3"/>
  <c r="C395" i="3" s="1"/>
  <c r="P395" i="3"/>
  <c r="Q395" i="3"/>
  <c r="R395" i="3"/>
  <c r="S395" i="3"/>
  <c r="T395" i="3"/>
  <c r="U395" i="3"/>
  <c r="V395" i="3"/>
  <c r="W395" i="3"/>
  <c r="X395" i="3"/>
  <c r="Z395" i="3"/>
  <c r="H396" i="3"/>
  <c r="B396" i="3" s="1"/>
  <c r="I396" i="3"/>
  <c r="C396" i="3" s="1"/>
  <c r="P396" i="3"/>
  <c r="Q396" i="3"/>
  <c r="R396" i="3"/>
  <c r="S396" i="3"/>
  <c r="T396" i="3"/>
  <c r="U396" i="3"/>
  <c r="V396" i="3"/>
  <c r="W396" i="3"/>
  <c r="X396" i="3"/>
  <c r="Z396" i="3"/>
  <c r="H397" i="3"/>
  <c r="B397" i="3" s="1"/>
  <c r="I397" i="3"/>
  <c r="C397" i="3" s="1"/>
  <c r="P397" i="3"/>
  <c r="Q397" i="3"/>
  <c r="R397" i="3"/>
  <c r="S397" i="3"/>
  <c r="T397" i="3"/>
  <c r="U397" i="3"/>
  <c r="V397" i="3"/>
  <c r="W397" i="3"/>
  <c r="X397" i="3"/>
  <c r="H398" i="3"/>
  <c r="B398" i="3" s="1"/>
  <c r="I398" i="3"/>
  <c r="C398" i="3" s="1"/>
  <c r="P398" i="3"/>
  <c r="Q398" i="3"/>
  <c r="R398" i="3"/>
  <c r="S398" i="3"/>
  <c r="T398" i="3"/>
  <c r="U398" i="3"/>
  <c r="V398" i="3"/>
  <c r="W398" i="3"/>
  <c r="X398" i="3"/>
  <c r="Z398" i="3"/>
  <c r="H399" i="3"/>
  <c r="B399" i="3" s="1"/>
  <c r="I399" i="3"/>
  <c r="C399" i="3" s="1"/>
  <c r="P399" i="3"/>
  <c r="Q399" i="3"/>
  <c r="R399" i="3"/>
  <c r="S399" i="3"/>
  <c r="T399" i="3"/>
  <c r="U399" i="3"/>
  <c r="V399" i="3"/>
  <c r="W399" i="3"/>
  <c r="X399" i="3"/>
  <c r="Z399" i="3"/>
  <c r="H400" i="3"/>
  <c r="B400" i="3" s="1"/>
  <c r="I400" i="3"/>
  <c r="C400" i="3" s="1"/>
  <c r="P400" i="3"/>
  <c r="Q400" i="3"/>
  <c r="R400" i="3"/>
  <c r="S400" i="3"/>
  <c r="T400" i="3"/>
  <c r="U400" i="3"/>
  <c r="V400" i="3"/>
  <c r="W400" i="3"/>
  <c r="X400" i="3"/>
  <c r="Z400" i="3"/>
  <c r="H401" i="3"/>
  <c r="B401" i="3" s="1"/>
  <c r="I401" i="3"/>
  <c r="C401" i="3" s="1"/>
  <c r="P401" i="3"/>
  <c r="Q401" i="3"/>
  <c r="R401" i="3"/>
  <c r="S401" i="3"/>
  <c r="T401" i="3"/>
  <c r="U401" i="3"/>
  <c r="V401" i="3"/>
  <c r="W401" i="3"/>
  <c r="X401" i="3"/>
  <c r="H402" i="3"/>
  <c r="B402" i="3" s="1"/>
  <c r="I402" i="3"/>
  <c r="C402" i="3" s="1"/>
  <c r="P402" i="3"/>
  <c r="Q402" i="3"/>
  <c r="R402" i="3"/>
  <c r="S402" i="3"/>
  <c r="T402" i="3"/>
  <c r="U402" i="3"/>
  <c r="V402" i="3"/>
  <c r="W402" i="3"/>
  <c r="X402" i="3"/>
  <c r="Z402" i="3"/>
  <c r="H403" i="3"/>
  <c r="B403" i="3" s="1"/>
  <c r="I403" i="3"/>
  <c r="C403" i="3" s="1"/>
  <c r="P403" i="3"/>
  <c r="Q403" i="3"/>
  <c r="R403" i="3"/>
  <c r="S403" i="3"/>
  <c r="T403" i="3"/>
  <c r="U403" i="3"/>
  <c r="V403" i="3"/>
  <c r="W403" i="3"/>
  <c r="X403" i="3"/>
  <c r="Y403" i="3"/>
  <c r="H404" i="3"/>
  <c r="B404" i="3" s="1"/>
  <c r="I404" i="3"/>
  <c r="C404" i="3" s="1"/>
  <c r="P404" i="3"/>
  <c r="Q404" i="3"/>
  <c r="R404" i="3"/>
  <c r="S404" i="3"/>
  <c r="T404" i="3"/>
  <c r="U404" i="3"/>
  <c r="V404" i="3"/>
  <c r="W404" i="3"/>
  <c r="X404" i="3"/>
  <c r="H405" i="3"/>
  <c r="B405" i="3" s="1"/>
  <c r="I405" i="3"/>
  <c r="C405" i="3" s="1"/>
  <c r="P405" i="3"/>
  <c r="Q405" i="3"/>
  <c r="R405" i="3"/>
  <c r="S405" i="3"/>
  <c r="T405" i="3"/>
  <c r="U405" i="3"/>
  <c r="V405" i="3"/>
  <c r="W405" i="3"/>
  <c r="X405" i="3"/>
  <c r="H406" i="3"/>
  <c r="B406" i="3" s="1"/>
  <c r="I406" i="3"/>
  <c r="C406" i="3" s="1"/>
  <c r="P406" i="3"/>
  <c r="Q406" i="3"/>
  <c r="R406" i="3"/>
  <c r="S406" i="3"/>
  <c r="T406" i="3"/>
  <c r="U406" i="3"/>
  <c r="V406" i="3"/>
  <c r="W406" i="3"/>
  <c r="X406" i="3"/>
  <c r="Z406" i="3"/>
  <c r="H407" i="3"/>
  <c r="B407" i="3" s="1"/>
  <c r="I407" i="3"/>
  <c r="C407" i="3" s="1"/>
  <c r="P407" i="3"/>
  <c r="Q407" i="3"/>
  <c r="R407" i="3"/>
  <c r="S407" i="3"/>
  <c r="T407" i="3"/>
  <c r="U407" i="3"/>
  <c r="V407" i="3"/>
  <c r="W407" i="3"/>
  <c r="X407" i="3"/>
  <c r="H408" i="3"/>
  <c r="B408" i="3" s="1"/>
  <c r="I408" i="3"/>
  <c r="C408" i="3" s="1"/>
  <c r="P408" i="3"/>
  <c r="Q408" i="3"/>
  <c r="R408" i="3"/>
  <c r="S408" i="3"/>
  <c r="T408" i="3"/>
  <c r="U408" i="3"/>
  <c r="V408" i="3"/>
  <c r="W408" i="3"/>
  <c r="X408" i="3"/>
  <c r="Z408" i="3"/>
  <c r="H409" i="3"/>
  <c r="B409" i="3" s="1"/>
  <c r="I409" i="3"/>
  <c r="C409" i="3" s="1"/>
  <c r="P409" i="3"/>
  <c r="Q409" i="3"/>
  <c r="R409" i="3"/>
  <c r="S409" i="3"/>
  <c r="T409" i="3"/>
  <c r="U409" i="3"/>
  <c r="V409" i="3"/>
  <c r="W409" i="3"/>
  <c r="X409" i="3"/>
  <c r="H410" i="3"/>
  <c r="B410" i="3" s="1"/>
  <c r="I410" i="3"/>
  <c r="C410" i="3" s="1"/>
  <c r="P410" i="3"/>
  <c r="Q410" i="3"/>
  <c r="R410" i="3"/>
  <c r="S410" i="3"/>
  <c r="T410" i="3"/>
  <c r="U410" i="3"/>
  <c r="V410" i="3"/>
  <c r="W410" i="3"/>
  <c r="X410" i="3"/>
  <c r="Z410" i="3"/>
  <c r="H411" i="3"/>
  <c r="B411" i="3" s="1"/>
  <c r="I411" i="3"/>
  <c r="C411" i="3" s="1"/>
  <c r="P411" i="3"/>
  <c r="Q411" i="3"/>
  <c r="R411" i="3"/>
  <c r="S411" i="3"/>
  <c r="T411" i="3"/>
  <c r="U411" i="3"/>
  <c r="V411" i="3"/>
  <c r="W411" i="3"/>
  <c r="X411" i="3"/>
  <c r="Z411" i="3"/>
  <c r="H412" i="3"/>
  <c r="B412" i="3" s="1"/>
  <c r="I412" i="3"/>
  <c r="C412" i="3" s="1"/>
  <c r="P412" i="3"/>
  <c r="Q412" i="3"/>
  <c r="R412" i="3"/>
  <c r="S412" i="3"/>
  <c r="T412" i="3"/>
  <c r="U412" i="3"/>
  <c r="V412" i="3"/>
  <c r="W412" i="3"/>
  <c r="X412" i="3"/>
  <c r="Z412" i="3"/>
  <c r="H413" i="3"/>
  <c r="B413" i="3" s="1"/>
  <c r="I413" i="3"/>
  <c r="C413" i="3" s="1"/>
  <c r="P413" i="3"/>
  <c r="Q413" i="3"/>
  <c r="R413" i="3"/>
  <c r="S413" i="3"/>
  <c r="T413" i="3"/>
  <c r="U413" i="3"/>
  <c r="V413" i="3"/>
  <c r="W413" i="3"/>
  <c r="X413" i="3"/>
  <c r="Z413" i="3"/>
  <c r="H414" i="3"/>
  <c r="B414" i="3" s="1"/>
  <c r="I414" i="3"/>
  <c r="C414" i="3" s="1"/>
  <c r="P414" i="3"/>
  <c r="Q414" i="3"/>
  <c r="R414" i="3"/>
  <c r="S414" i="3"/>
  <c r="T414" i="3"/>
  <c r="U414" i="3"/>
  <c r="V414" i="3"/>
  <c r="W414" i="3"/>
  <c r="X414" i="3"/>
  <c r="Z414" i="3"/>
  <c r="H415" i="3"/>
  <c r="B415" i="3" s="1"/>
  <c r="I415" i="3"/>
  <c r="C415" i="3" s="1"/>
  <c r="P415" i="3"/>
  <c r="Q415" i="3"/>
  <c r="R415" i="3"/>
  <c r="S415" i="3"/>
  <c r="T415" i="3"/>
  <c r="U415" i="3"/>
  <c r="V415" i="3"/>
  <c r="W415" i="3"/>
  <c r="X415" i="3"/>
  <c r="Z415" i="3"/>
  <c r="H416" i="3"/>
  <c r="B416" i="3" s="1"/>
  <c r="I416" i="3"/>
  <c r="C416" i="3" s="1"/>
  <c r="P416" i="3"/>
  <c r="Q416" i="3"/>
  <c r="R416" i="3"/>
  <c r="S416" i="3"/>
  <c r="T416" i="3"/>
  <c r="U416" i="3"/>
  <c r="V416" i="3"/>
  <c r="W416" i="3"/>
  <c r="X416" i="3"/>
  <c r="Z416" i="3"/>
  <c r="H417" i="3"/>
  <c r="B417" i="3" s="1"/>
  <c r="I417" i="3"/>
  <c r="C417" i="3" s="1"/>
  <c r="P417" i="3"/>
  <c r="Q417" i="3"/>
  <c r="R417" i="3"/>
  <c r="S417" i="3"/>
  <c r="T417" i="3"/>
  <c r="U417" i="3"/>
  <c r="V417" i="3"/>
  <c r="W417" i="3"/>
  <c r="X417" i="3"/>
  <c r="Z417" i="3"/>
  <c r="H418" i="3"/>
  <c r="B418" i="3" s="1"/>
  <c r="I418" i="3"/>
  <c r="C418" i="3" s="1"/>
  <c r="P418" i="3"/>
  <c r="Q418" i="3"/>
  <c r="R418" i="3"/>
  <c r="S418" i="3"/>
  <c r="T418" i="3"/>
  <c r="U418" i="3"/>
  <c r="V418" i="3"/>
  <c r="W418" i="3"/>
  <c r="X418" i="3"/>
  <c r="Z418" i="3"/>
  <c r="H419" i="3"/>
  <c r="B419" i="3" s="1"/>
  <c r="I419" i="3"/>
  <c r="C419" i="3" s="1"/>
  <c r="P419" i="3"/>
  <c r="Q419" i="3"/>
  <c r="R419" i="3"/>
  <c r="S419" i="3"/>
  <c r="T419" i="3"/>
  <c r="U419" i="3"/>
  <c r="V419" i="3"/>
  <c r="W419" i="3"/>
  <c r="X419" i="3"/>
  <c r="H420" i="3"/>
  <c r="B420" i="3" s="1"/>
  <c r="I420" i="3"/>
  <c r="C420" i="3" s="1"/>
  <c r="P420" i="3"/>
  <c r="Q420" i="3"/>
  <c r="R420" i="3"/>
  <c r="S420" i="3"/>
  <c r="T420" i="3"/>
  <c r="U420" i="3"/>
  <c r="V420" i="3"/>
  <c r="W420" i="3"/>
  <c r="X420" i="3"/>
  <c r="Z420" i="3"/>
  <c r="H421" i="3"/>
  <c r="B421" i="3" s="1"/>
  <c r="I421" i="3"/>
  <c r="C421" i="3" s="1"/>
  <c r="P421" i="3"/>
  <c r="Q421" i="3"/>
  <c r="R421" i="3"/>
  <c r="S421" i="3"/>
  <c r="T421" i="3"/>
  <c r="U421" i="3"/>
  <c r="V421" i="3"/>
  <c r="W421" i="3"/>
  <c r="X421" i="3"/>
  <c r="Z421" i="3"/>
  <c r="H422" i="3"/>
  <c r="B422" i="3" s="1"/>
  <c r="I422" i="3"/>
  <c r="C422" i="3" s="1"/>
  <c r="P422" i="3"/>
  <c r="Q422" i="3"/>
  <c r="R422" i="3"/>
  <c r="S422" i="3"/>
  <c r="T422" i="3"/>
  <c r="U422" i="3"/>
  <c r="V422" i="3"/>
  <c r="W422" i="3"/>
  <c r="X422" i="3"/>
  <c r="H423" i="3"/>
  <c r="B423" i="3" s="1"/>
  <c r="I423" i="3"/>
  <c r="C423" i="3" s="1"/>
  <c r="P423" i="3"/>
  <c r="Q423" i="3"/>
  <c r="R423" i="3"/>
  <c r="S423" i="3"/>
  <c r="T423" i="3"/>
  <c r="U423" i="3"/>
  <c r="V423" i="3"/>
  <c r="W423" i="3"/>
  <c r="X423" i="3"/>
  <c r="Z423" i="3"/>
  <c r="H424" i="3"/>
  <c r="B424" i="3" s="1"/>
  <c r="I424" i="3"/>
  <c r="C424" i="3" s="1"/>
  <c r="P424" i="3"/>
  <c r="Q424" i="3"/>
  <c r="R424" i="3"/>
  <c r="S424" i="3"/>
  <c r="T424" i="3"/>
  <c r="U424" i="3"/>
  <c r="V424" i="3"/>
  <c r="W424" i="3"/>
  <c r="X424" i="3"/>
  <c r="Z424" i="3"/>
  <c r="H425" i="3"/>
  <c r="B425" i="3" s="1"/>
  <c r="I425" i="3"/>
  <c r="C425" i="3" s="1"/>
  <c r="P425" i="3"/>
  <c r="Q425" i="3"/>
  <c r="R425" i="3"/>
  <c r="S425" i="3"/>
  <c r="T425" i="3"/>
  <c r="U425" i="3"/>
  <c r="V425" i="3"/>
  <c r="W425" i="3"/>
  <c r="X425" i="3"/>
  <c r="Z425" i="3"/>
  <c r="H426" i="3"/>
  <c r="B426" i="3" s="1"/>
  <c r="I426" i="3"/>
  <c r="C426" i="3" s="1"/>
  <c r="P426" i="3"/>
  <c r="Q426" i="3"/>
  <c r="R426" i="3"/>
  <c r="S426" i="3"/>
  <c r="T426" i="3"/>
  <c r="U426" i="3"/>
  <c r="V426" i="3"/>
  <c r="W426" i="3"/>
  <c r="X426" i="3"/>
  <c r="Z426" i="3"/>
  <c r="H427" i="3"/>
  <c r="B427" i="3" s="1"/>
  <c r="I427" i="3"/>
  <c r="C427" i="3" s="1"/>
  <c r="P427" i="3"/>
  <c r="Q427" i="3"/>
  <c r="R427" i="3"/>
  <c r="S427" i="3"/>
  <c r="T427" i="3"/>
  <c r="U427" i="3"/>
  <c r="V427" i="3"/>
  <c r="W427" i="3"/>
  <c r="X427" i="3"/>
  <c r="Z427" i="3"/>
  <c r="H428" i="3"/>
  <c r="B428" i="3" s="1"/>
  <c r="I428" i="3"/>
  <c r="C428" i="3" s="1"/>
  <c r="P428" i="3"/>
  <c r="Q428" i="3"/>
  <c r="R428" i="3"/>
  <c r="S428" i="3"/>
  <c r="T428" i="3"/>
  <c r="U428" i="3"/>
  <c r="V428" i="3"/>
  <c r="W428" i="3"/>
  <c r="X428" i="3"/>
  <c r="Z428" i="3"/>
  <c r="H429" i="3"/>
  <c r="B429" i="3" s="1"/>
  <c r="I429" i="3"/>
  <c r="C429" i="3" s="1"/>
  <c r="P429" i="3"/>
  <c r="Q429" i="3"/>
  <c r="R429" i="3"/>
  <c r="S429" i="3"/>
  <c r="T429" i="3"/>
  <c r="U429" i="3"/>
  <c r="V429" i="3"/>
  <c r="W429" i="3"/>
  <c r="X429" i="3"/>
  <c r="Z429" i="3"/>
  <c r="H430" i="3"/>
  <c r="B430" i="3" s="1"/>
  <c r="I430" i="3"/>
  <c r="C430" i="3" s="1"/>
  <c r="P430" i="3"/>
  <c r="Q430" i="3"/>
  <c r="R430" i="3"/>
  <c r="S430" i="3"/>
  <c r="T430" i="3"/>
  <c r="U430" i="3"/>
  <c r="V430" i="3"/>
  <c r="W430" i="3"/>
  <c r="X430" i="3"/>
  <c r="Z430" i="3"/>
  <c r="H431" i="3"/>
  <c r="B431" i="3" s="1"/>
  <c r="I431" i="3"/>
  <c r="C431" i="3" s="1"/>
  <c r="P431" i="3"/>
  <c r="Q431" i="3"/>
  <c r="R431" i="3"/>
  <c r="S431" i="3"/>
  <c r="T431" i="3"/>
  <c r="U431" i="3"/>
  <c r="V431" i="3"/>
  <c r="W431" i="3"/>
  <c r="X431" i="3"/>
  <c r="Z431" i="3"/>
  <c r="H432" i="3"/>
  <c r="B432" i="3" s="1"/>
  <c r="I432" i="3"/>
  <c r="C432" i="3" s="1"/>
  <c r="P432" i="3"/>
  <c r="Q432" i="3"/>
  <c r="R432" i="3"/>
  <c r="S432" i="3"/>
  <c r="T432" i="3"/>
  <c r="U432" i="3"/>
  <c r="V432" i="3"/>
  <c r="W432" i="3"/>
  <c r="X432" i="3"/>
  <c r="Y432" i="3"/>
  <c r="H433" i="3"/>
  <c r="B433" i="3" s="1"/>
  <c r="I433" i="3"/>
  <c r="C433" i="3" s="1"/>
  <c r="P433" i="3"/>
  <c r="Q433" i="3"/>
  <c r="R433" i="3"/>
  <c r="S433" i="3"/>
  <c r="T433" i="3"/>
  <c r="U433" i="3"/>
  <c r="V433" i="3"/>
  <c r="W433" i="3"/>
  <c r="X433" i="3"/>
  <c r="H434" i="3"/>
  <c r="B434" i="3" s="1"/>
  <c r="I434" i="3"/>
  <c r="C434" i="3" s="1"/>
  <c r="P434" i="3"/>
  <c r="Q434" i="3"/>
  <c r="R434" i="3"/>
  <c r="S434" i="3"/>
  <c r="T434" i="3"/>
  <c r="U434" i="3"/>
  <c r="V434" i="3"/>
  <c r="W434" i="3"/>
  <c r="X434" i="3"/>
  <c r="Z434" i="3"/>
  <c r="H435" i="3"/>
  <c r="B435" i="3" s="1"/>
  <c r="I435" i="3"/>
  <c r="C435" i="3" s="1"/>
  <c r="P435" i="3"/>
  <c r="Q435" i="3"/>
  <c r="R435" i="3"/>
  <c r="S435" i="3"/>
  <c r="T435" i="3"/>
  <c r="U435" i="3"/>
  <c r="V435" i="3"/>
  <c r="W435" i="3"/>
  <c r="X435" i="3"/>
  <c r="H436" i="3"/>
  <c r="B436" i="3" s="1"/>
  <c r="I436" i="3"/>
  <c r="C436" i="3" s="1"/>
  <c r="P436" i="3"/>
  <c r="Q436" i="3"/>
  <c r="R436" i="3"/>
  <c r="S436" i="3"/>
  <c r="T436" i="3"/>
  <c r="U436" i="3"/>
  <c r="V436" i="3"/>
  <c r="W436" i="3"/>
  <c r="X436" i="3"/>
  <c r="Z436" i="3"/>
  <c r="H437" i="3"/>
  <c r="B437" i="3" s="1"/>
  <c r="I437" i="3"/>
  <c r="C437" i="3" s="1"/>
  <c r="P437" i="3"/>
  <c r="Q437" i="3"/>
  <c r="R437" i="3"/>
  <c r="S437" i="3"/>
  <c r="T437" i="3"/>
  <c r="U437" i="3"/>
  <c r="V437" i="3"/>
  <c r="W437" i="3"/>
  <c r="X437" i="3"/>
  <c r="Z437" i="3"/>
  <c r="H438" i="3"/>
  <c r="B438" i="3" s="1"/>
  <c r="I438" i="3"/>
  <c r="C438" i="3" s="1"/>
  <c r="P438" i="3"/>
  <c r="Q438" i="3"/>
  <c r="R438" i="3"/>
  <c r="S438" i="3"/>
  <c r="T438" i="3"/>
  <c r="U438" i="3"/>
  <c r="V438" i="3"/>
  <c r="W438" i="3"/>
  <c r="X438" i="3"/>
  <c r="H439" i="3"/>
  <c r="B439" i="3" s="1"/>
  <c r="I439" i="3"/>
  <c r="C439" i="3" s="1"/>
  <c r="P439" i="3"/>
  <c r="Q439" i="3"/>
  <c r="R439" i="3"/>
  <c r="S439" i="3"/>
  <c r="T439" i="3"/>
  <c r="U439" i="3"/>
  <c r="V439" i="3"/>
  <c r="W439" i="3"/>
  <c r="X439" i="3"/>
  <c r="Z439" i="3"/>
  <c r="H440" i="3"/>
  <c r="B440" i="3" s="1"/>
  <c r="I440" i="3"/>
  <c r="C440" i="3" s="1"/>
  <c r="P440" i="3"/>
  <c r="Q440" i="3"/>
  <c r="R440" i="3"/>
  <c r="S440" i="3"/>
  <c r="T440" i="3"/>
  <c r="U440" i="3"/>
  <c r="V440" i="3"/>
  <c r="W440" i="3"/>
  <c r="X440" i="3"/>
  <c r="Z440" i="3"/>
  <c r="H441" i="3"/>
  <c r="B441" i="3" s="1"/>
  <c r="I441" i="3"/>
  <c r="C441" i="3" s="1"/>
  <c r="P441" i="3"/>
  <c r="Q441" i="3"/>
  <c r="R441" i="3"/>
  <c r="S441" i="3"/>
  <c r="T441" i="3"/>
  <c r="U441" i="3"/>
  <c r="V441" i="3"/>
  <c r="W441" i="3"/>
  <c r="X441" i="3"/>
  <c r="Z441" i="3"/>
  <c r="H442" i="3"/>
  <c r="B442" i="3" s="1"/>
  <c r="I442" i="3"/>
  <c r="C442" i="3" s="1"/>
  <c r="P442" i="3"/>
  <c r="Q442" i="3"/>
  <c r="R442" i="3"/>
  <c r="S442" i="3"/>
  <c r="T442" i="3"/>
  <c r="U442" i="3"/>
  <c r="V442" i="3"/>
  <c r="W442" i="3"/>
  <c r="X442" i="3"/>
  <c r="H443" i="3"/>
  <c r="B443" i="3" s="1"/>
  <c r="I443" i="3"/>
  <c r="C443" i="3" s="1"/>
  <c r="P443" i="3"/>
  <c r="Q443" i="3"/>
  <c r="R443" i="3"/>
  <c r="S443" i="3"/>
  <c r="T443" i="3"/>
  <c r="U443" i="3"/>
  <c r="V443" i="3"/>
  <c r="W443" i="3"/>
  <c r="X443" i="3"/>
  <c r="Z443" i="3"/>
  <c r="H444" i="3"/>
  <c r="B444" i="3" s="1"/>
  <c r="I444" i="3"/>
  <c r="C444" i="3" s="1"/>
  <c r="P444" i="3"/>
  <c r="Q444" i="3"/>
  <c r="R444" i="3"/>
  <c r="S444" i="3"/>
  <c r="T444" i="3"/>
  <c r="U444" i="3"/>
  <c r="V444" i="3"/>
  <c r="W444" i="3"/>
  <c r="X444" i="3"/>
  <c r="H445" i="3"/>
  <c r="B445" i="3" s="1"/>
  <c r="I445" i="3"/>
  <c r="C445" i="3" s="1"/>
  <c r="P445" i="3"/>
  <c r="Q445" i="3"/>
  <c r="R445" i="3"/>
  <c r="S445" i="3"/>
  <c r="T445" i="3"/>
  <c r="U445" i="3"/>
  <c r="V445" i="3"/>
  <c r="W445" i="3"/>
  <c r="X445" i="3"/>
  <c r="H446" i="3"/>
  <c r="B446" i="3" s="1"/>
  <c r="I446" i="3"/>
  <c r="C446" i="3" s="1"/>
  <c r="P446" i="3"/>
  <c r="Q446" i="3"/>
  <c r="R446" i="3"/>
  <c r="S446" i="3"/>
  <c r="T446" i="3"/>
  <c r="U446" i="3"/>
  <c r="V446" i="3"/>
  <c r="W446" i="3"/>
  <c r="X446" i="3"/>
  <c r="Z446" i="3"/>
  <c r="H447" i="3"/>
  <c r="B447" i="3" s="1"/>
  <c r="I447" i="3"/>
  <c r="C447" i="3" s="1"/>
  <c r="P447" i="3"/>
  <c r="Q447" i="3"/>
  <c r="R447" i="3"/>
  <c r="S447" i="3"/>
  <c r="T447" i="3"/>
  <c r="U447" i="3"/>
  <c r="V447" i="3"/>
  <c r="W447" i="3"/>
  <c r="X447" i="3"/>
  <c r="Y447" i="3"/>
  <c r="H448" i="3"/>
  <c r="B448" i="3" s="1"/>
  <c r="I448" i="3"/>
  <c r="C448" i="3" s="1"/>
  <c r="P448" i="3"/>
  <c r="Q448" i="3"/>
  <c r="R448" i="3"/>
  <c r="S448" i="3"/>
  <c r="T448" i="3"/>
  <c r="U448" i="3"/>
  <c r="V448" i="3"/>
  <c r="W448" i="3"/>
  <c r="X448" i="3"/>
  <c r="H449" i="3"/>
  <c r="B449" i="3" s="1"/>
  <c r="I449" i="3"/>
  <c r="C449" i="3" s="1"/>
  <c r="P449" i="3"/>
  <c r="Q449" i="3"/>
  <c r="R449" i="3"/>
  <c r="S449" i="3"/>
  <c r="T449" i="3"/>
  <c r="U449" i="3"/>
  <c r="V449" i="3"/>
  <c r="W449" i="3"/>
  <c r="X449" i="3"/>
  <c r="H450" i="3"/>
  <c r="B450" i="3" s="1"/>
  <c r="I450" i="3"/>
  <c r="C450" i="3" s="1"/>
  <c r="P450" i="3"/>
  <c r="Q450" i="3"/>
  <c r="R450" i="3"/>
  <c r="S450" i="3"/>
  <c r="T450" i="3"/>
  <c r="U450" i="3"/>
  <c r="V450" i="3"/>
  <c r="W450" i="3"/>
  <c r="X450" i="3"/>
  <c r="H451" i="3"/>
  <c r="B451" i="3" s="1"/>
  <c r="I451" i="3"/>
  <c r="C451" i="3" s="1"/>
  <c r="P451" i="3"/>
  <c r="Q451" i="3"/>
  <c r="R451" i="3"/>
  <c r="S451" i="3"/>
  <c r="T451" i="3"/>
  <c r="U451" i="3"/>
  <c r="V451" i="3"/>
  <c r="W451" i="3"/>
  <c r="X451" i="3"/>
  <c r="H452" i="3"/>
  <c r="B452" i="3" s="1"/>
  <c r="I452" i="3"/>
  <c r="C452" i="3" s="1"/>
  <c r="P452" i="3"/>
  <c r="Q452" i="3"/>
  <c r="R452" i="3"/>
  <c r="S452" i="3"/>
  <c r="T452" i="3"/>
  <c r="U452" i="3"/>
  <c r="V452" i="3"/>
  <c r="W452" i="3"/>
  <c r="X452" i="3"/>
  <c r="H453" i="3"/>
  <c r="B453" i="3" s="1"/>
  <c r="I453" i="3"/>
  <c r="C453" i="3" s="1"/>
  <c r="P453" i="3"/>
  <c r="Q453" i="3"/>
  <c r="R453" i="3"/>
  <c r="S453" i="3"/>
  <c r="T453" i="3"/>
  <c r="U453" i="3"/>
  <c r="V453" i="3"/>
  <c r="W453" i="3"/>
  <c r="X453" i="3"/>
  <c r="Y453" i="3"/>
  <c r="Z453" i="3"/>
  <c r="H454" i="3"/>
  <c r="B454" i="3" s="1"/>
  <c r="I454" i="3"/>
  <c r="C454" i="3" s="1"/>
  <c r="P454" i="3"/>
  <c r="Q454" i="3"/>
  <c r="R454" i="3"/>
  <c r="S454" i="3"/>
  <c r="T454" i="3"/>
  <c r="U454" i="3"/>
  <c r="V454" i="3"/>
  <c r="W454" i="3"/>
  <c r="X454" i="3"/>
  <c r="H455" i="3"/>
  <c r="B455" i="3" s="1"/>
  <c r="I455" i="3"/>
  <c r="C455" i="3" s="1"/>
  <c r="P455" i="3"/>
  <c r="Q455" i="3"/>
  <c r="R455" i="3"/>
  <c r="S455" i="3"/>
  <c r="T455" i="3"/>
  <c r="U455" i="3"/>
  <c r="V455" i="3"/>
  <c r="W455" i="3"/>
  <c r="X455" i="3"/>
  <c r="H456" i="3"/>
  <c r="B456" i="3" s="1"/>
  <c r="I456" i="3"/>
  <c r="C456" i="3" s="1"/>
  <c r="P456" i="3"/>
  <c r="Q456" i="3"/>
  <c r="R456" i="3"/>
  <c r="S456" i="3"/>
  <c r="T456" i="3"/>
  <c r="U456" i="3"/>
  <c r="V456" i="3"/>
  <c r="W456" i="3"/>
  <c r="X456" i="3"/>
  <c r="H457" i="3"/>
  <c r="B457" i="3" s="1"/>
  <c r="I457" i="3"/>
  <c r="C457" i="3" s="1"/>
  <c r="P457" i="3"/>
  <c r="Q457" i="3"/>
  <c r="R457" i="3"/>
  <c r="S457" i="3"/>
  <c r="T457" i="3"/>
  <c r="U457" i="3"/>
  <c r="V457" i="3"/>
  <c r="W457" i="3"/>
  <c r="X457" i="3"/>
  <c r="H458" i="3"/>
  <c r="B458" i="3" s="1"/>
  <c r="I458" i="3"/>
  <c r="C458" i="3" s="1"/>
  <c r="P458" i="3"/>
  <c r="Q458" i="3"/>
  <c r="R458" i="3"/>
  <c r="S458" i="3"/>
  <c r="T458" i="3"/>
  <c r="U458" i="3"/>
  <c r="V458" i="3"/>
  <c r="W458" i="3"/>
  <c r="X458" i="3"/>
  <c r="H459" i="3"/>
  <c r="B459" i="3" s="1"/>
  <c r="I459" i="3"/>
  <c r="C459" i="3" s="1"/>
  <c r="P459" i="3"/>
  <c r="Q459" i="3"/>
  <c r="R459" i="3"/>
  <c r="S459" i="3"/>
  <c r="T459" i="3"/>
  <c r="U459" i="3"/>
  <c r="V459" i="3"/>
  <c r="W459" i="3"/>
  <c r="X459" i="3"/>
  <c r="Z459" i="3"/>
  <c r="H460" i="3"/>
  <c r="B460" i="3" s="1"/>
  <c r="I460" i="3"/>
  <c r="C460" i="3" s="1"/>
  <c r="P460" i="3"/>
  <c r="Q460" i="3"/>
  <c r="R460" i="3"/>
  <c r="S460" i="3"/>
  <c r="T460" i="3"/>
  <c r="U460" i="3"/>
  <c r="V460" i="3"/>
  <c r="W460" i="3"/>
  <c r="X460" i="3"/>
  <c r="Z460" i="3"/>
  <c r="H461" i="3"/>
  <c r="B461" i="3" s="1"/>
  <c r="I461" i="3"/>
  <c r="C461" i="3" s="1"/>
  <c r="P461" i="3"/>
  <c r="Q461" i="3"/>
  <c r="R461" i="3"/>
  <c r="S461" i="3"/>
  <c r="T461" i="3"/>
  <c r="U461" i="3"/>
  <c r="V461" i="3"/>
  <c r="W461" i="3"/>
  <c r="X461" i="3"/>
  <c r="H462" i="3"/>
  <c r="B462" i="3" s="1"/>
  <c r="I462" i="3"/>
  <c r="C462" i="3" s="1"/>
  <c r="P462" i="3"/>
  <c r="Q462" i="3"/>
  <c r="R462" i="3"/>
  <c r="S462" i="3"/>
  <c r="T462" i="3"/>
  <c r="U462" i="3"/>
  <c r="V462" i="3"/>
  <c r="W462" i="3"/>
  <c r="X462" i="3"/>
  <c r="Z462" i="3"/>
  <c r="H463" i="3"/>
  <c r="B463" i="3" s="1"/>
  <c r="I463" i="3"/>
  <c r="C463" i="3" s="1"/>
  <c r="P463" i="3"/>
  <c r="Q463" i="3"/>
  <c r="R463" i="3"/>
  <c r="S463" i="3"/>
  <c r="T463" i="3"/>
  <c r="U463" i="3"/>
  <c r="V463" i="3"/>
  <c r="W463" i="3"/>
  <c r="X463" i="3"/>
  <c r="Y463" i="3"/>
  <c r="Z463" i="3"/>
  <c r="H464" i="3"/>
  <c r="B464" i="3" s="1"/>
  <c r="I464" i="3"/>
  <c r="C464" i="3" s="1"/>
  <c r="P464" i="3"/>
  <c r="Q464" i="3"/>
  <c r="R464" i="3"/>
  <c r="S464" i="3"/>
  <c r="T464" i="3"/>
  <c r="U464" i="3"/>
  <c r="V464" i="3"/>
  <c r="W464" i="3"/>
  <c r="X464" i="3"/>
  <c r="H465" i="3"/>
  <c r="B465" i="3" s="1"/>
  <c r="I465" i="3"/>
  <c r="C465" i="3" s="1"/>
  <c r="P465" i="3"/>
  <c r="Q465" i="3"/>
  <c r="R465" i="3"/>
  <c r="S465" i="3"/>
  <c r="T465" i="3"/>
  <c r="U465" i="3"/>
  <c r="V465" i="3"/>
  <c r="W465" i="3"/>
  <c r="X465" i="3"/>
  <c r="Z465" i="3"/>
  <c r="H466" i="3"/>
  <c r="B466" i="3" s="1"/>
  <c r="I466" i="3"/>
  <c r="C466" i="3" s="1"/>
  <c r="P466" i="3"/>
  <c r="Q466" i="3"/>
  <c r="R466" i="3"/>
  <c r="S466" i="3"/>
  <c r="T466" i="3"/>
  <c r="U466" i="3"/>
  <c r="V466" i="3"/>
  <c r="W466" i="3"/>
  <c r="X466" i="3"/>
  <c r="H467" i="3"/>
  <c r="B467" i="3" s="1"/>
  <c r="I467" i="3"/>
  <c r="C467" i="3" s="1"/>
  <c r="P467" i="3"/>
  <c r="Q467" i="3"/>
  <c r="R467" i="3"/>
  <c r="S467" i="3"/>
  <c r="T467" i="3"/>
  <c r="U467" i="3"/>
  <c r="V467" i="3"/>
  <c r="W467" i="3"/>
  <c r="X467" i="3"/>
  <c r="Z467" i="3"/>
  <c r="H468" i="3"/>
  <c r="B468" i="3" s="1"/>
  <c r="I468" i="3"/>
  <c r="C468" i="3" s="1"/>
  <c r="P468" i="3"/>
  <c r="Q468" i="3"/>
  <c r="R468" i="3"/>
  <c r="S468" i="3"/>
  <c r="T468" i="3"/>
  <c r="U468" i="3"/>
  <c r="V468" i="3"/>
  <c r="W468" i="3"/>
  <c r="X468" i="3"/>
  <c r="Z468" i="3"/>
  <c r="H469" i="3"/>
  <c r="B469" i="3" s="1"/>
  <c r="I469" i="3"/>
  <c r="C469" i="3" s="1"/>
  <c r="P469" i="3"/>
  <c r="Q469" i="3"/>
  <c r="R469" i="3"/>
  <c r="S469" i="3"/>
  <c r="T469" i="3"/>
  <c r="U469" i="3"/>
  <c r="V469" i="3"/>
  <c r="W469" i="3"/>
  <c r="X469" i="3"/>
  <c r="H470" i="3"/>
  <c r="B470" i="3" s="1"/>
  <c r="I470" i="3"/>
  <c r="C470" i="3" s="1"/>
  <c r="P470" i="3"/>
  <c r="Q470" i="3"/>
  <c r="R470" i="3"/>
  <c r="S470" i="3"/>
  <c r="T470" i="3"/>
  <c r="U470" i="3"/>
  <c r="V470" i="3"/>
  <c r="W470" i="3"/>
  <c r="X470" i="3"/>
  <c r="Z470" i="3"/>
  <c r="H471" i="3"/>
  <c r="B471" i="3" s="1"/>
  <c r="I471" i="3"/>
  <c r="C471" i="3" s="1"/>
  <c r="P471" i="3"/>
  <c r="Q471" i="3"/>
  <c r="R471" i="3"/>
  <c r="S471" i="3"/>
  <c r="T471" i="3"/>
  <c r="U471" i="3"/>
  <c r="V471" i="3"/>
  <c r="W471" i="3"/>
  <c r="X471" i="3"/>
  <c r="Z471" i="3"/>
  <c r="H472" i="3"/>
  <c r="B472" i="3" s="1"/>
  <c r="I472" i="3"/>
  <c r="C472" i="3" s="1"/>
  <c r="P472" i="3"/>
  <c r="Q472" i="3"/>
  <c r="R472" i="3"/>
  <c r="S472" i="3"/>
  <c r="T472" i="3"/>
  <c r="U472" i="3"/>
  <c r="V472" i="3"/>
  <c r="W472" i="3"/>
  <c r="X472" i="3"/>
  <c r="Z472" i="3"/>
  <c r="H473" i="3"/>
  <c r="B473" i="3" s="1"/>
  <c r="I473" i="3"/>
  <c r="C473" i="3" s="1"/>
  <c r="P473" i="3"/>
  <c r="Q473" i="3"/>
  <c r="R473" i="3"/>
  <c r="S473" i="3"/>
  <c r="T473" i="3"/>
  <c r="U473" i="3"/>
  <c r="V473" i="3"/>
  <c r="W473" i="3"/>
  <c r="X473" i="3"/>
  <c r="Z473" i="3"/>
  <c r="H474" i="3"/>
  <c r="B474" i="3" s="1"/>
  <c r="I474" i="3"/>
  <c r="C474" i="3" s="1"/>
  <c r="P474" i="3"/>
  <c r="Q474" i="3"/>
  <c r="R474" i="3"/>
  <c r="S474" i="3"/>
  <c r="T474" i="3"/>
  <c r="U474" i="3"/>
  <c r="V474" i="3"/>
  <c r="W474" i="3"/>
  <c r="X474" i="3"/>
  <c r="Z474" i="3"/>
  <c r="H475" i="3"/>
  <c r="B475" i="3" s="1"/>
  <c r="I475" i="3"/>
  <c r="C475" i="3" s="1"/>
  <c r="P475" i="3"/>
  <c r="Q475" i="3"/>
  <c r="R475" i="3"/>
  <c r="S475" i="3"/>
  <c r="T475" i="3"/>
  <c r="U475" i="3"/>
  <c r="V475" i="3"/>
  <c r="W475" i="3"/>
  <c r="X475" i="3"/>
  <c r="H476" i="3"/>
  <c r="B476" i="3" s="1"/>
  <c r="I476" i="3"/>
  <c r="C476" i="3" s="1"/>
  <c r="P476" i="3"/>
  <c r="Q476" i="3"/>
  <c r="R476" i="3"/>
  <c r="S476" i="3"/>
  <c r="T476" i="3"/>
  <c r="U476" i="3"/>
  <c r="V476" i="3"/>
  <c r="W476" i="3"/>
  <c r="X476" i="3"/>
  <c r="Z476" i="3"/>
  <c r="H477" i="3"/>
  <c r="B477" i="3" s="1"/>
  <c r="I477" i="3"/>
  <c r="C477" i="3" s="1"/>
  <c r="P477" i="3"/>
  <c r="Q477" i="3"/>
  <c r="R477" i="3"/>
  <c r="S477" i="3"/>
  <c r="T477" i="3"/>
  <c r="U477" i="3"/>
  <c r="V477" i="3"/>
  <c r="W477" i="3"/>
  <c r="X477" i="3"/>
  <c r="Z477" i="3"/>
  <c r="H478" i="3"/>
  <c r="B478" i="3" s="1"/>
  <c r="I478" i="3"/>
  <c r="C478" i="3" s="1"/>
  <c r="P478" i="3"/>
  <c r="Q478" i="3"/>
  <c r="R478" i="3"/>
  <c r="S478" i="3"/>
  <c r="T478" i="3"/>
  <c r="U478" i="3"/>
  <c r="V478" i="3"/>
  <c r="W478" i="3"/>
  <c r="X478" i="3"/>
  <c r="Z478" i="3"/>
  <c r="H479" i="3"/>
  <c r="B479" i="3" s="1"/>
  <c r="I479" i="3"/>
  <c r="C479" i="3" s="1"/>
  <c r="P479" i="3"/>
  <c r="Q479" i="3"/>
  <c r="R479" i="3"/>
  <c r="S479" i="3"/>
  <c r="T479" i="3"/>
  <c r="U479" i="3"/>
  <c r="V479" i="3"/>
  <c r="W479" i="3"/>
  <c r="X479" i="3"/>
  <c r="Z479" i="3"/>
  <c r="H480" i="3"/>
  <c r="B480" i="3" s="1"/>
  <c r="I480" i="3"/>
  <c r="C480" i="3" s="1"/>
  <c r="P480" i="3"/>
  <c r="Q480" i="3"/>
  <c r="R480" i="3"/>
  <c r="S480" i="3"/>
  <c r="T480" i="3"/>
  <c r="U480" i="3"/>
  <c r="V480" i="3"/>
  <c r="W480" i="3"/>
  <c r="X480" i="3"/>
  <c r="H481" i="3"/>
  <c r="B481" i="3" s="1"/>
  <c r="I481" i="3"/>
  <c r="C481" i="3" s="1"/>
  <c r="P481" i="3"/>
  <c r="Q481" i="3"/>
  <c r="R481" i="3"/>
  <c r="S481" i="3"/>
  <c r="T481" i="3"/>
  <c r="U481" i="3"/>
  <c r="V481" i="3"/>
  <c r="W481" i="3"/>
  <c r="X481" i="3"/>
  <c r="H482" i="3"/>
  <c r="B482" i="3" s="1"/>
  <c r="I482" i="3"/>
  <c r="C482" i="3" s="1"/>
  <c r="P482" i="3"/>
  <c r="Q482" i="3"/>
  <c r="R482" i="3"/>
  <c r="S482" i="3"/>
  <c r="T482" i="3"/>
  <c r="U482" i="3"/>
  <c r="V482" i="3"/>
  <c r="W482" i="3"/>
  <c r="X482" i="3"/>
  <c r="Y482" i="3"/>
  <c r="Z482" i="3"/>
  <c r="H483" i="3"/>
  <c r="B483" i="3" s="1"/>
  <c r="I483" i="3"/>
  <c r="C483" i="3" s="1"/>
  <c r="P483" i="3"/>
  <c r="Q483" i="3"/>
  <c r="R483" i="3"/>
  <c r="S483" i="3"/>
  <c r="T483" i="3"/>
  <c r="U483" i="3"/>
  <c r="V483" i="3"/>
  <c r="W483" i="3"/>
  <c r="X483" i="3"/>
  <c r="H484" i="3"/>
  <c r="B484" i="3" s="1"/>
  <c r="I484" i="3"/>
  <c r="C484" i="3" s="1"/>
  <c r="P484" i="3"/>
  <c r="Q484" i="3"/>
  <c r="R484" i="3"/>
  <c r="S484" i="3"/>
  <c r="T484" i="3"/>
  <c r="U484" i="3"/>
  <c r="V484" i="3"/>
  <c r="W484" i="3"/>
  <c r="X484" i="3"/>
  <c r="Z484" i="3"/>
  <c r="H485" i="3"/>
  <c r="B485" i="3" s="1"/>
  <c r="I485" i="3"/>
  <c r="C485" i="3" s="1"/>
  <c r="P485" i="3"/>
  <c r="Q485" i="3"/>
  <c r="R485" i="3"/>
  <c r="S485" i="3"/>
  <c r="T485" i="3"/>
  <c r="U485" i="3"/>
  <c r="V485" i="3"/>
  <c r="W485" i="3"/>
  <c r="X485" i="3"/>
  <c r="Z485" i="3"/>
  <c r="H486" i="3"/>
  <c r="B486" i="3" s="1"/>
  <c r="I486" i="3"/>
  <c r="C486" i="3" s="1"/>
  <c r="P486" i="3"/>
  <c r="Q486" i="3"/>
  <c r="R486" i="3"/>
  <c r="S486" i="3"/>
  <c r="T486" i="3"/>
  <c r="U486" i="3"/>
  <c r="V486" i="3"/>
  <c r="W486" i="3"/>
  <c r="X486" i="3"/>
  <c r="Z486" i="3"/>
  <c r="H487" i="3"/>
  <c r="B487" i="3" s="1"/>
  <c r="I487" i="3"/>
  <c r="C487" i="3" s="1"/>
  <c r="P487" i="3"/>
  <c r="Q487" i="3"/>
  <c r="R487" i="3"/>
  <c r="S487" i="3"/>
  <c r="T487" i="3"/>
  <c r="U487" i="3"/>
  <c r="V487" i="3"/>
  <c r="W487" i="3"/>
  <c r="X487" i="3"/>
  <c r="Y487" i="3"/>
  <c r="Z487" i="3"/>
  <c r="H488" i="3"/>
  <c r="B488" i="3" s="1"/>
  <c r="I488" i="3"/>
  <c r="C488" i="3" s="1"/>
  <c r="P488" i="3"/>
  <c r="Q488" i="3"/>
  <c r="R488" i="3"/>
  <c r="S488" i="3"/>
  <c r="T488" i="3"/>
  <c r="U488" i="3"/>
  <c r="V488" i="3"/>
  <c r="W488" i="3"/>
  <c r="X488" i="3"/>
  <c r="Z488" i="3"/>
  <c r="H489" i="3"/>
  <c r="B489" i="3" s="1"/>
  <c r="I489" i="3"/>
  <c r="C489" i="3" s="1"/>
  <c r="P489" i="3"/>
  <c r="Q489" i="3"/>
  <c r="R489" i="3"/>
  <c r="S489" i="3"/>
  <c r="T489" i="3"/>
  <c r="U489" i="3"/>
  <c r="V489" i="3"/>
  <c r="W489" i="3"/>
  <c r="X489" i="3"/>
  <c r="H490" i="3"/>
  <c r="B490" i="3" s="1"/>
  <c r="I490" i="3"/>
  <c r="C490" i="3" s="1"/>
  <c r="P490" i="3"/>
  <c r="Q490" i="3"/>
  <c r="R490" i="3"/>
  <c r="S490" i="3"/>
  <c r="T490" i="3"/>
  <c r="U490" i="3"/>
  <c r="V490" i="3"/>
  <c r="W490" i="3"/>
  <c r="X490" i="3"/>
  <c r="Z490" i="3"/>
  <c r="H491" i="3"/>
  <c r="B491" i="3" s="1"/>
  <c r="I491" i="3"/>
  <c r="C491" i="3" s="1"/>
  <c r="P491" i="3"/>
  <c r="Q491" i="3"/>
  <c r="R491" i="3"/>
  <c r="S491" i="3"/>
  <c r="T491" i="3"/>
  <c r="U491" i="3"/>
  <c r="V491" i="3"/>
  <c r="W491" i="3"/>
  <c r="X491" i="3"/>
  <c r="Z491" i="3"/>
  <c r="H492" i="3"/>
  <c r="B492" i="3" s="1"/>
  <c r="I492" i="3"/>
  <c r="C492" i="3" s="1"/>
  <c r="P492" i="3"/>
  <c r="Q492" i="3"/>
  <c r="R492" i="3"/>
  <c r="S492" i="3"/>
  <c r="T492" i="3"/>
  <c r="U492" i="3"/>
  <c r="V492" i="3"/>
  <c r="W492" i="3"/>
  <c r="X492" i="3"/>
  <c r="Z492" i="3"/>
  <c r="H493" i="3"/>
  <c r="B493" i="3" s="1"/>
  <c r="I493" i="3"/>
  <c r="C493" i="3" s="1"/>
  <c r="P493" i="3"/>
  <c r="Q493" i="3"/>
  <c r="R493" i="3"/>
  <c r="S493" i="3"/>
  <c r="T493" i="3"/>
  <c r="U493" i="3"/>
  <c r="V493" i="3"/>
  <c r="W493" i="3"/>
  <c r="X493" i="3"/>
  <c r="Z493" i="3"/>
  <c r="H494" i="3"/>
  <c r="B494" i="3" s="1"/>
  <c r="I494" i="3"/>
  <c r="C494" i="3" s="1"/>
  <c r="P494" i="3"/>
  <c r="Q494" i="3"/>
  <c r="R494" i="3"/>
  <c r="S494" i="3"/>
  <c r="T494" i="3"/>
  <c r="U494" i="3"/>
  <c r="V494" i="3"/>
  <c r="W494" i="3"/>
  <c r="X494" i="3"/>
  <c r="Z494" i="3"/>
  <c r="H495" i="3"/>
  <c r="B495" i="3" s="1"/>
  <c r="I495" i="3"/>
  <c r="C495" i="3" s="1"/>
  <c r="P495" i="3"/>
  <c r="Q495" i="3"/>
  <c r="R495" i="3"/>
  <c r="S495" i="3"/>
  <c r="T495" i="3"/>
  <c r="U495" i="3"/>
  <c r="V495" i="3"/>
  <c r="W495" i="3"/>
  <c r="X495" i="3"/>
  <c r="H496" i="3"/>
  <c r="B496" i="3" s="1"/>
  <c r="I496" i="3"/>
  <c r="C496" i="3" s="1"/>
  <c r="P496" i="3"/>
  <c r="Q496" i="3"/>
  <c r="R496" i="3"/>
  <c r="S496" i="3"/>
  <c r="T496" i="3"/>
  <c r="U496" i="3"/>
  <c r="V496" i="3"/>
  <c r="W496" i="3"/>
  <c r="X496" i="3"/>
  <c r="Y496" i="3"/>
  <c r="H497" i="3"/>
  <c r="B497" i="3" s="1"/>
  <c r="I497" i="3"/>
  <c r="C497" i="3" s="1"/>
  <c r="P497" i="3"/>
  <c r="Q497" i="3"/>
  <c r="R497" i="3"/>
  <c r="S497" i="3"/>
  <c r="T497" i="3"/>
  <c r="U497" i="3"/>
  <c r="V497" i="3"/>
  <c r="W497" i="3"/>
  <c r="X497" i="3"/>
  <c r="Y497" i="3"/>
  <c r="Z497" i="3"/>
  <c r="H498" i="3"/>
  <c r="B498" i="3" s="1"/>
  <c r="I498" i="3"/>
  <c r="C498" i="3" s="1"/>
  <c r="P498" i="3"/>
  <c r="Q498" i="3"/>
  <c r="R498" i="3"/>
  <c r="S498" i="3"/>
  <c r="T498" i="3"/>
  <c r="U498" i="3"/>
  <c r="V498" i="3"/>
  <c r="W498" i="3"/>
  <c r="X498" i="3"/>
  <c r="Y498" i="3"/>
  <c r="Z498" i="3"/>
  <c r="H499" i="3"/>
  <c r="B499" i="3" s="1"/>
  <c r="I499" i="3"/>
  <c r="C499" i="3" s="1"/>
  <c r="P499" i="3"/>
  <c r="Q499" i="3"/>
  <c r="R499" i="3"/>
  <c r="S499" i="3"/>
  <c r="T499" i="3"/>
  <c r="U499" i="3"/>
  <c r="V499" i="3"/>
  <c r="W499" i="3"/>
  <c r="X499" i="3"/>
  <c r="Y499" i="3"/>
  <c r="Z499" i="3"/>
  <c r="H500" i="3"/>
  <c r="B500" i="3" s="1"/>
  <c r="I500" i="3"/>
  <c r="C500" i="3" s="1"/>
  <c r="P500" i="3"/>
  <c r="Q500" i="3"/>
  <c r="R500" i="3"/>
  <c r="S500" i="3"/>
  <c r="T500" i="3"/>
  <c r="U500" i="3"/>
  <c r="V500" i="3"/>
  <c r="W500" i="3"/>
  <c r="X500" i="3"/>
  <c r="Y500" i="3"/>
  <c r="H501" i="3"/>
  <c r="B501" i="3" s="1"/>
  <c r="I501" i="3"/>
  <c r="C501" i="3" s="1"/>
  <c r="P501" i="3"/>
  <c r="Q501" i="3"/>
  <c r="R501" i="3"/>
  <c r="S501" i="3"/>
  <c r="T501" i="3"/>
  <c r="U501" i="3"/>
  <c r="V501" i="3"/>
  <c r="W501" i="3"/>
  <c r="X501" i="3"/>
  <c r="Y501" i="3"/>
  <c r="Z501" i="3"/>
  <c r="H502" i="3"/>
  <c r="B502" i="3" s="1"/>
  <c r="I502" i="3"/>
  <c r="C502" i="3" s="1"/>
  <c r="P502" i="3"/>
  <c r="Q502" i="3"/>
  <c r="R502" i="3"/>
  <c r="S502" i="3"/>
  <c r="T502" i="3"/>
  <c r="U502" i="3"/>
  <c r="V502" i="3"/>
  <c r="W502" i="3"/>
  <c r="X502" i="3"/>
  <c r="Y502" i="3"/>
  <c r="Z502" i="3"/>
  <c r="H503" i="3"/>
  <c r="B503" i="3" s="1"/>
  <c r="I503" i="3"/>
  <c r="C503" i="3" s="1"/>
  <c r="P503" i="3"/>
  <c r="Q503" i="3"/>
  <c r="R503" i="3"/>
  <c r="S503" i="3"/>
  <c r="T503" i="3"/>
  <c r="U503" i="3"/>
  <c r="V503" i="3"/>
  <c r="W503" i="3"/>
  <c r="X503" i="3"/>
  <c r="Y503" i="3"/>
  <c r="H504" i="3"/>
  <c r="B504" i="3" s="1"/>
  <c r="I504" i="3"/>
  <c r="C504" i="3" s="1"/>
  <c r="P504" i="3"/>
  <c r="Q504" i="3"/>
  <c r="R504" i="3"/>
  <c r="S504" i="3"/>
  <c r="T504" i="3"/>
  <c r="U504" i="3"/>
  <c r="V504" i="3"/>
  <c r="W504" i="3"/>
  <c r="X504" i="3"/>
  <c r="Y504" i="3"/>
  <c r="Z504" i="3"/>
  <c r="H505" i="3"/>
  <c r="B505" i="3" s="1"/>
  <c r="I505" i="3"/>
  <c r="C505" i="3" s="1"/>
  <c r="P505" i="3"/>
  <c r="Q505" i="3"/>
  <c r="R505" i="3"/>
  <c r="S505" i="3"/>
  <c r="T505" i="3"/>
  <c r="U505" i="3"/>
  <c r="V505" i="3"/>
  <c r="W505" i="3"/>
  <c r="X505" i="3"/>
  <c r="Y505" i="3"/>
  <c r="Z505" i="3"/>
  <c r="H506" i="3"/>
  <c r="B506" i="3" s="1"/>
  <c r="I506" i="3"/>
  <c r="C506" i="3" s="1"/>
  <c r="P506" i="3"/>
  <c r="Q506" i="3"/>
  <c r="R506" i="3"/>
  <c r="S506" i="3"/>
  <c r="T506" i="3"/>
  <c r="U506" i="3"/>
  <c r="V506" i="3"/>
  <c r="W506" i="3"/>
  <c r="X506" i="3"/>
  <c r="Y506" i="3"/>
  <c r="Z506" i="3"/>
  <c r="H507" i="3"/>
  <c r="B507" i="3" s="1"/>
  <c r="I507" i="3"/>
  <c r="C507" i="3" s="1"/>
  <c r="P507" i="3"/>
  <c r="Q507" i="3"/>
  <c r="R507" i="3"/>
  <c r="S507" i="3"/>
  <c r="T507" i="3"/>
  <c r="U507" i="3"/>
  <c r="V507" i="3"/>
  <c r="W507" i="3"/>
  <c r="X507" i="3"/>
  <c r="Y507" i="3"/>
  <c r="Z507" i="3"/>
  <c r="H508" i="3"/>
  <c r="B508" i="3" s="1"/>
  <c r="I508" i="3"/>
  <c r="C508" i="3" s="1"/>
  <c r="P508" i="3"/>
  <c r="Q508" i="3"/>
  <c r="R508" i="3"/>
  <c r="S508" i="3"/>
  <c r="T508" i="3"/>
  <c r="U508" i="3"/>
  <c r="V508" i="3"/>
  <c r="W508" i="3"/>
  <c r="X508" i="3"/>
  <c r="Y508" i="3"/>
  <c r="H509" i="3"/>
  <c r="B509" i="3" s="1"/>
  <c r="I509" i="3"/>
  <c r="C509" i="3" s="1"/>
  <c r="P509" i="3"/>
  <c r="Q509" i="3"/>
  <c r="R509" i="3"/>
  <c r="S509" i="3"/>
  <c r="T509" i="3"/>
  <c r="U509" i="3"/>
  <c r="V509" i="3"/>
  <c r="W509" i="3"/>
  <c r="X509" i="3"/>
  <c r="Y509" i="3"/>
  <c r="Z509" i="3"/>
  <c r="H510" i="3"/>
  <c r="B510" i="3" s="1"/>
  <c r="I510" i="3"/>
  <c r="C510" i="3" s="1"/>
  <c r="P510" i="3"/>
  <c r="Q510" i="3"/>
  <c r="R510" i="3"/>
  <c r="S510" i="3"/>
  <c r="T510" i="3"/>
  <c r="U510" i="3"/>
  <c r="V510" i="3"/>
  <c r="W510" i="3"/>
  <c r="X510" i="3"/>
  <c r="Y510" i="3"/>
  <c r="Z510" i="3"/>
  <c r="H511" i="3"/>
  <c r="B511" i="3" s="1"/>
  <c r="I511" i="3"/>
  <c r="C511" i="3" s="1"/>
  <c r="P511" i="3"/>
  <c r="Q511" i="3"/>
  <c r="R511" i="3"/>
  <c r="S511" i="3"/>
  <c r="T511" i="3"/>
  <c r="U511" i="3"/>
  <c r="V511" i="3"/>
  <c r="W511" i="3"/>
  <c r="X511" i="3"/>
  <c r="Y511" i="3"/>
  <c r="Z511" i="3"/>
  <c r="H512" i="3"/>
  <c r="B512" i="3" s="1"/>
  <c r="I512" i="3"/>
  <c r="C512" i="3" s="1"/>
  <c r="P512" i="3"/>
  <c r="Q512" i="3"/>
  <c r="R512" i="3"/>
  <c r="S512" i="3"/>
  <c r="T512" i="3"/>
  <c r="U512" i="3"/>
  <c r="V512" i="3"/>
  <c r="W512" i="3"/>
  <c r="X512" i="3"/>
  <c r="Y512" i="3"/>
  <c r="Z512" i="3"/>
  <c r="H513" i="3"/>
  <c r="B513" i="3" s="1"/>
  <c r="I513" i="3"/>
  <c r="C513" i="3" s="1"/>
  <c r="P513" i="3"/>
  <c r="Q513" i="3"/>
  <c r="R513" i="3"/>
  <c r="S513" i="3"/>
  <c r="T513" i="3"/>
  <c r="U513" i="3"/>
  <c r="V513" i="3"/>
  <c r="W513" i="3"/>
  <c r="X513" i="3"/>
  <c r="Y513" i="3"/>
  <c r="Z513" i="3"/>
  <c r="H514" i="3"/>
  <c r="B514" i="3" s="1"/>
  <c r="I514" i="3"/>
  <c r="C514" i="3" s="1"/>
  <c r="P514" i="3"/>
  <c r="Q514" i="3"/>
  <c r="R514" i="3"/>
  <c r="S514" i="3"/>
  <c r="T514" i="3"/>
  <c r="U514" i="3"/>
  <c r="V514" i="3"/>
  <c r="W514" i="3"/>
  <c r="X514" i="3"/>
  <c r="Y514" i="3"/>
  <c r="Z514" i="3"/>
  <c r="H515" i="3"/>
  <c r="B515" i="3" s="1"/>
  <c r="I515" i="3"/>
  <c r="C515" i="3" s="1"/>
  <c r="P515" i="3"/>
  <c r="Q515" i="3"/>
  <c r="R515" i="3"/>
  <c r="S515" i="3"/>
  <c r="T515" i="3"/>
  <c r="U515" i="3"/>
  <c r="V515" i="3"/>
  <c r="W515" i="3"/>
  <c r="X515" i="3"/>
  <c r="Y515" i="3"/>
  <c r="Z515" i="3"/>
  <c r="H516" i="3"/>
  <c r="B516" i="3" s="1"/>
  <c r="I516" i="3"/>
  <c r="C516" i="3" s="1"/>
  <c r="P516" i="3"/>
  <c r="Q516" i="3"/>
  <c r="R516" i="3"/>
  <c r="S516" i="3"/>
  <c r="T516" i="3"/>
  <c r="U516" i="3"/>
  <c r="V516" i="3"/>
  <c r="W516" i="3"/>
  <c r="X516" i="3"/>
  <c r="Y516" i="3"/>
  <c r="H517" i="3"/>
  <c r="B517" i="3" s="1"/>
  <c r="I517" i="3"/>
  <c r="C517" i="3" s="1"/>
  <c r="P517" i="3"/>
  <c r="Q517" i="3"/>
  <c r="R517" i="3"/>
  <c r="S517" i="3"/>
  <c r="T517" i="3"/>
  <c r="U517" i="3"/>
  <c r="V517" i="3"/>
  <c r="W517" i="3"/>
  <c r="X517" i="3"/>
  <c r="Y517" i="3"/>
  <c r="H518" i="3"/>
  <c r="B518" i="3" s="1"/>
  <c r="I518" i="3"/>
  <c r="C518" i="3" s="1"/>
  <c r="P518" i="3"/>
  <c r="Q518" i="3"/>
  <c r="R518" i="3"/>
  <c r="S518" i="3"/>
  <c r="T518" i="3"/>
  <c r="U518" i="3"/>
  <c r="V518" i="3"/>
  <c r="W518" i="3"/>
  <c r="X518" i="3"/>
  <c r="Y518" i="3"/>
  <c r="Z518" i="3"/>
  <c r="H519" i="3"/>
  <c r="B519" i="3" s="1"/>
  <c r="I519" i="3"/>
  <c r="C519" i="3" s="1"/>
  <c r="P519" i="3"/>
  <c r="Q519" i="3"/>
  <c r="R519" i="3"/>
  <c r="S519" i="3"/>
  <c r="T519" i="3"/>
  <c r="U519" i="3"/>
  <c r="V519" i="3"/>
  <c r="W519" i="3"/>
  <c r="X519" i="3"/>
  <c r="Y519" i="3"/>
  <c r="H520" i="3"/>
  <c r="B520" i="3" s="1"/>
  <c r="I520" i="3"/>
  <c r="C520" i="3" s="1"/>
  <c r="P520" i="3"/>
  <c r="Q520" i="3"/>
  <c r="R520" i="3"/>
  <c r="S520" i="3"/>
  <c r="T520" i="3"/>
  <c r="U520" i="3"/>
  <c r="V520" i="3"/>
  <c r="W520" i="3"/>
  <c r="X520" i="3"/>
  <c r="Y520" i="3"/>
  <c r="Z520" i="3"/>
  <c r="H522" i="3"/>
  <c r="B522" i="3" s="1"/>
  <c r="I522" i="3"/>
  <c r="C522" i="3" s="1"/>
  <c r="P522" i="3"/>
  <c r="Q522" i="3"/>
  <c r="R522" i="3"/>
  <c r="S522" i="3"/>
  <c r="T522" i="3"/>
  <c r="U522" i="3"/>
  <c r="V522" i="3"/>
  <c r="W522" i="3"/>
  <c r="X522" i="3"/>
  <c r="Y522" i="3"/>
  <c r="Z522" i="3"/>
  <c r="H523" i="3"/>
  <c r="B523" i="3" s="1"/>
  <c r="I523" i="3"/>
  <c r="C523" i="3" s="1"/>
  <c r="P523" i="3"/>
  <c r="Q523" i="3"/>
  <c r="R523" i="3"/>
  <c r="S523" i="3"/>
  <c r="T523" i="3"/>
  <c r="U523" i="3"/>
  <c r="V523" i="3"/>
  <c r="W523" i="3"/>
  <c r="X523" i="3"/>
  <c r="Y523" i="3"/>
  <c r="Z523" i="3"/>
  <c r="H524" i="3"/>
  <c r="B524" i="3" s="1"/>
  <c r="I524" i="3"/>
  <c r="C524" i="3" s="1"/>
  <c r="P524" i="3"/>
  <c r="Q524" i="3"/>
  <c r="R524" i="3"/>
  <c r="S524" i="3"/>
  <c r="T524" i="3"/>
  <c r="U524" i="3"/>
  <c r="V524" i="3"/>
  <c r="W524" i="3"/>
  <c r="X524" i="3"/>
  <c r="Y524" i="3"/>
  <c r="Z524" i="3"/>
  <c r="H525" i="3"/>
  <c r="B525" i="3" s="1"/>
  <c r="I525" i="3"/>
  <c r="C525" i="3" s="1"/>
  <c r="P525" i="3"/>
  <c r="Q525" i="3"/>
  <c r="R525" i="3"/>
  <c r="S525" i="3"/>
  <c r="T525" i="3"/>
  <c r="U525" i="3"/>
  <c r="V525" i="3"/>
  <c r="W525" i="3"/>
  <c r="X525" i="3"/>
  <c r="Y525" i="3"/>
  <c r="Z525" i="3"/>
  <c r="H526" i="3"/>
  <c r="B526" i="3" s="1"/>
  <c r="I526" i="3"/>
  <c r="C526" i="3" s="1"/>
  <c r="P526" i="3"/>
  <c r="Q526" i="3"/>
  <c r="R526" i="3"/>
  <c r="S526" i="3"/>
  <c r="T526" i="3"/>
  <c r="U526" i="3"/>
  <c r="V526" i="3"/>
  <c r="W526" i="3"/>
  <c r="X526" i="3"/>
  <c r="Y526" i="3"/>
  <c r="Z526" i="3"/>
  <c r="H527" i="3"/>
  <c r="B527" i="3" s="1"/>
  <c r="I527" i="3"/>
  <c r="C527" i="3" s="1"/>
  <c r="P527" i="3"/>
  <c r="Q527" i="3"/>
  <c r="R527" i="3"/>
  <c r="S527" i="3"/>
  <c r="T527" i="3"/>
  <c r="U527" i="3"/>
  <c r="V527" i="3"/>
  <c r="W527" i="3"/>
  <c r="X527" i="3"/>
  <c r="Y527" i="3"/>
  <c r="H528" i="3"/>
  <c r="B528" i="3" s="1"/>
  <c r="I528" i="3"/>
  <c r="C528" i="3" s="1"/>
  <c r="P528" i="3"/>
  <c r="Q528" i="3"/>
  <c r="R528" i="3"/>
  <c r="S528" i="3"/>
  <c r="T528" i="3"/>
  <c r="U528" i="3"/>
  <c r="V528" i="3"/>
  <c r="W528" i="3"/>
  <c r="X528" i="3"/>
  <c r="Y528" i="3"/>
  <c r="H529" i="3"/>
  <c r="B529" i="3" s="1"/>
  <c r="I529" i="3"/>
  <c r="C529" i="3" s="1"/>
  <c r="P529" i="3"/>
  <c r="Q529" i="3"/>
  <c r="R529" i="3"/>
  <c r="S529" i="3"/>
  <c r="T529" i="3"/>
  <c r="U529" i="3"/>
  <c r="V529" i="3"/>
  <c r="W529" i="3"/>
  <c r="X529" i="3"/>
  <c r="Y529" i="3"/>
  <c r="Z529" i="3"/>
  <c r="H530" i="3"/>
  <c r="B530" i="3" s="1"/>
  <c r="I530" i="3"/>
  <c r="C530" i="3" s="1"/>
  <c r="P530" i="3"/>
  <c r="Q530" i="3"/>
  <c r="R530" i="3"/>
  <c r="S530" i="3"/>
  <c r="T530" i="3"/>
  <c r="U530" i="3"/>
  <c r="V530" i="3"/>
  <c r="W530" i="3"/>
  <c r="X530" i="3"/>
  <c r="Y530" i="3"/>
  <c r="H531" i="3"/>
  <c r="B531" i="3" s="1"/>
  <c r="I531" i="3"/>
  <c r="C531" i="3" s="1"/>
  <c r="P531" i="3"/>
  <c r="Q531" i="3"/>
  <c r="R531" i="3"/>
  <c r="S531" i="3"/>
  <c r="T531" i="3"/>
  <c r="U531" i="3"/>
  <c r="V531" i="3"/>
  <c r="W531" i="3"/>
  <c r="X531" i="3"/>
  <c r="Y531" i="3"/>
  <c r="Z531" i="3"/>
  <c r="H532" i="3"/>
  <c r="B532" i="3" s="1"/>
  <c r="I532" i="3"/>
  <c r="C532" i="3" s="1"/>
  <c r="P532" i="3"/>
  <c r="Q532" i="3"/>
  <c r="R532" i="3"/>
  <c r="S532" i="3"/>
  <c r="T532" i="3"/>
  <c r="U532" i="3"/>
  <c r="V532" i="3"/>
  <c r="W532" i="3"/>
  <c r="X532" i="3"/>
  <c r="Y532" i="3"/>
  <c r="Z532" i="3"/>
  <c r="H533" i="3"/>
  <c r="B533" i="3" s="1"/>
  <c r="I533" i="3"/>
  <c r="C533" i="3" s="1"/>
  <c r="P533" i="3"/>
  <c r="Q533" i="3"/>
  <c r="R533" i="3"/>
  <c r="S533" i="3"/>
  <c r="T533" i="3"/>
  <c r="U533" i="3"/>
  <c r="V533" i="3"/>
  <c r="W533" i="3"/>
  <c r="X533" i="3"/>
  <c r="Y533" i="3"/>
  <c r="H534" i="3"/>
  <c r="B534" i="3" s="1"/>
  <c r="I534" i="3"/>
  <c r="C534" i="3" s="1"/>
  <c r="P534" i="3"/>
  <c r="Q534" i="3"/>
  <c r="R534" i="3"/>
  <c r="S534" i="3"/>
  <c r="T534" i="3"/>
  <c r="U534" i="3"/>
  <c r="V534" i="3"/>
  <c r="W534" i="3"/>
  <c r="X534" i="3"/>
  <c r="Y534" i="3"/>
  <c r="H535" i="3"/>
  <c r="B535" i="3" s="1"/>
  <c r="I535" i="3"/>
  <c r="C535" i="3" s="1"/>
  <c r="P535" i="3"/>
  <c r="Q535" i="3"/>
  <c r="R535" i="3"/>
  <c r="S535" i="3"/>
  <c r="T535" i="3"/>
  <c r="U535" i="3"/>
  <c r="V535" i="3"/>
  <c r="W535" i="3"/>
  <c r="X535" i="3"/>
  <c r="Y535" i="3"/>
  <c r="Z535" i="3"/>
  <c r="H536" i="3"/>
  <c r="B536" i="3" s="1"/>
  <c r="I536" i="3"/>
  <c r="C536" i="3" s="1"/>
  <c r="P536" i="3"/>
  <c r="Q536" i="3"/>
  <c r="R536" i="3"/>
  <c r="S536" i="3"/>
  <c r="T536" i="3"/>
  <c r="U536" i="3"/>
  <c r="V536" i="3"/>
  <c r="W536" i="3"/>
  <c r="X536" i="3"/>
  <c r="Y536" i="3"/>
  <c r="Z536" i="3"/>
  <c r="H537" i="3"/>
  <c r="B537" i="3" s="1"/>
  <c r="I537" i="3"/>
  <c r="C537" i="3" s="1"/>
  <c r="P537" i="3"/>
  <c r="Q537" i="3"/>
  <c r="R537" i="3"/>
  <c r="S537" i="3"/>
  <c r="T537" i="3"/>
  <c r="U537" i="3"/>
  <c r="V537" i="3"/>
  <c r="W537" i="3"/>
  <c r="X537" i="3"/>
  <c r="Y537" i="3"/>
  <c r="Z537" i="3"/>
  <c r="H538" i="3"/>
  <c r="B538" i="3" s="1"/>
  <c r="I538" i="3"/>
  <c r="C538" i="3" s="1"/>
  <c r="P538" i="3"/>
  <c r="Q538" i="3"/>
  <c r="R538" i="3"/>
  <c r="S538" i="3"/>
  <c r="T538" i="3"/>
  <c r="U538" i="3"/>
  <c r="V538" i="3"/>
  <c r="W538" i="3"/>
  <c r="X538" i="3"/>
  <c r="Y538" i="3"/>
  <c r="Z538" i="3"/>
  <c r="H539" i="3"/>
  <c r="B539" i="3" s="1"/>
  <c r="I539" i="3"/>
  <c r="C539" i="3" s="1"/>
  <c r="P539" i="3"/>
  <c r="Q539" i="3"/>
  <c r="R539" i="3"/>
  <c r="S539" i="3"/>
  <c r="T539" i="3"/>
  <c r="U539" i="3"/>
  <c r="V539" i="3"/>
  <c r="W539" i="3"/>
  <c r="X539" i="3"/>
  <c r="Y539" i="3"/>
  <c r="Z539" i="3"/>
  <c r="H540" i="3"/>
  <c r="B540" i="3" s="1"/>
  <c r="I540" i="3"/>
  <c r="C540" i="3" s="1"/>
  <c r="P540" i="3"/>
  <c r="Q540" i="3"/>
  <c r="R540" i="3"/>
  <c r="S540" i="3"/>
  <c r="T540" i="3"/>
  <c r="U540" i="3"/>
  <c r="V540" i="3"/>
  <c r="W540" i="3"/>
  <c r="X540" i="3"/>
  <c r="Y540" i="3"/>
  <c r="Z540" i="3"/>
  <c r="H541" i="3"/>
  <c r="B541" i="3" s="1"/>
  <c r="I541" i="3"/>
  <c r="C541" i="3" s="1"/>
  <c r="P541" i="3"/>
  <c r="Q541" i="3"/>
  <c r="R541" i="3"/>
  <c r="S541" i="3"/>
  <c r="T541" i="3"/>
  <c r="U541" i="3"/>
  <c r="V541" i="3"/>
  <c r="W541" i="3"/>
  <c r="X541" i="3"/>
  <c r="Y541" i="3"/>
  <c r="Z541" i="3"/>
  <c r="H542" i="3"/>
  <c r="B542" i="3" s="1"/>
  <c r="I542" i="3"/>
  <c r="C542" i="3" s="1"/>
  <c r="P542" i="3"/>
  <c r="Q542" i="3"/>
  <c r="R542" i="3"/>
  <c r="S542" i="3"/>
  <c r="T542" i="3"/>
  <c r="U542" i="3"/>
  <c r="V542" i="3"/>
  <c r="W542" i="3"/>
  <c r="X542" i="3"/>
  <c r="Y542" i="3"/>
  <c r="Z542" i="3"/>
  <c r="H543" i="3"/>
  <c r="B543" i="3" s="1"/>
  <c r="I543" i="3"/>
  <c r="C543" i="3" s="1"/>
  <c r="P543" i="3"/>
  <c r="Q543" i="3"/>
  <c r="R543" i="3"/>
  <c r="S543" i="3"/>
  <c r="T543" i="3"/>
  <c r="U543" i="3"/>
  <c r="V543" i="3"/>
  <c r="W543" i="3"/>
  <c r="X543" i="3"/>
  <c r="Y543" i="3"/>
  <c r="Z543" i="3"/>
  <c r="H544" i="3"/>
  <c r="B544" i="3" s="1"/>
  <c r="I544" i="3"/>
  <c r="C544" i="3" s="1"/>
  <c r="P544" i="3"/>
  <c r="Q544" i="3"/>
  <c r="R544" i="3"/>
  <c r="S544" i="3"/>
  <c r="T544" i="3"/>
  <c r="U544" i="3"/>
  <c r="V544" i="3"/>
  <c r="W544" i="3"/>
  <c r="X544" i="3"/>
  <c r="Y544" i="3"/>
  <c r="Z544" i="3"/>
  <c r="H545" i="3"/>
  <c r="B545" i="3" s="1"/>
  <c r="I545" i="3"/>
  <c r="C545" i="3" s="1"/>
  <c r="P545" i="3"/>
  <c r="Q545" i="3"/>
  <c r="R545" i="3"/>
  <c r="S545" i="3"/>
  <c r="T545" i="3"/>
  <c r="U545" i="3"/>
  <c r="V545" i="3"/>
  <c r="W545" i="3"/>
  <c r="X545" i="3"/>
  <c r="Y545" i="3"/>
  <c r="H546" i="3"/>
  <c r="B546" i="3" s="1"/>
  <c r="I546" i="3"/>
  <c r="C546" i="3" s="1"/>
  <c r="P546" i="3"/>
  <c r="Q546" i="3"/>
  <c r="R546" i="3"/>
  <c r="S546" i="3"/>
  <c r="T546" i="3"/>
  <c r="U546" i="3"/>
  <c r="V546" i="3"/>
  <c r="W546" i="3"/>
  <c r="X546" i="3"/>
  <c r="Y546" i="3"/>
  <c r="Z546" i="3"/>
  <c r="H547" i="3"/>
  <c r="B547" i="3" s="1"/>
  <c r="I547" i="3"/>
  <c r="C547" i="3" s="1"/>
  <c r="P547" i="3"/>
  <c r="Q547" i="3"/>
  <c r="R547" i="3"/>
  <c r="S547" i="3"/>
  <c r="T547" i="3"/>
  <c r="U547" i="3"/>
  <c r="V547" i="3"/>
  <c r="W547" i="3"/>
  <c r="X547" i="3"/>
  <c r="Y547" i="3"/>
  <c r="H548" i="3"/>
  <c r="B548" i="3" s="1"/>
  <c r="I548" i="3"/>
  <c r="C548" i="3" s="1"/>
  <c r="P548" i="3"/>
  <c r="Q548" i="3"/>
  <c r="R548" i="3"/>
  <c r="S548" i="3"/>
  <c r="T548" i="3"/>
  <c r="U548" i="3"/>
  <c r="V548" i="3"/>
  <c r="W548" i="3"/>
  <c r="X548" i="3"/>
  <c r="Y548" i="3"/>
  <c r="Z548" i="3"/>
  <c r="H549" i="3"/>
  <c r="B549" i="3" s="1"/>
  <c r="I549" i="3"/>
  <c r="C549" i="3" s="1"/>
  <c r="P549" i="3"/>
  <c r="Q549" i="3"/>
  <c r="R549" i="3"/>
  <c r="S549" i="3"/>
  <c r="T549" i="3"/>
  <c r="U549" i="3"/>
  <c r="V549" i="3"/>
  <c r="W549" i="3"/>
  <c r="X549" i="3"/>
  <c r="Y549" i="3"/>
  <c r="Z549" i="3"/>
  <c r="H550" i="3"/>
  <c r="B550" i="3" s="1"/>
  <c r="I550" i="3"/>
  <c r="C550" i="3" s="1"/>
  <c r="P550" i="3"/>
  <c r="Q550" i="3"/>
  <c r="R550" i="3"/>
  <c r="S550" i="3"/>
  <c r="T550" i="3"/>
  <c r="U550" i="3"/>
  <c r="V550" i="3"/>
  <c r="W550" i="3"/>
  <c r="X550" i="3"/>
  <c r="Y550" i="3"/>
  <c r="Z550" i="3"/>
  <c r="H551" i="3"/>
  <c r="B551" i="3" s="1"/>
  <c r="I551" i="3"/>
  <c r="C551" i="3" s="1"/>
  <c r="P551" i="3"/>
  <c r="Q551" i="3"/>
  <c r="R551" i="3"/>
  <c r="S551" i="3"/>
  <c r="T551" i="3"/>
  <c r="U551" i="3"/>
  <c r="V551" i="3"/>
  <c r="W551" i="3"/>
  <c r="X551" i="3"/>
  <c r="Y551" i="3"/>
  <c r="Z551" i="3"/>
  <c r="H552" i="3"/>
  <c r="B552" i="3" s="1"/>
  <c r="I552" i="3"/>
  <c r="C552" i="3" s="1"/>
  <c r="P552" i="3"/>
  <c r="Q552" i="3"/>
  <c r="R552" i="3"/>
  <c r="S552" i="3"/>
  <c r="T552" i="3"/>
  <c r="U552" i="3"/>
  <c r="V552" i="3"/>
  <c r="W552" i="3"/>
  <c r="X552" i="3"/>
  <c r="Y552" i="3"/>
  <c r="H553" i="3"/>
  <c r="B553" i="3" s="1"/>
  <c r="I553" i="3"/>
  <c r="C553" i="3" s="1"/>
  <c r="P553" i="3"/>
  <c r="Q553" i="3"/>
  <c r="R553" i="3"/>
  <c r="S553" i="3"/>
  <c r="T553" i="3"/>
  <c r="U553" i="3"/>
  <c r="V553" i="3"/>
  <c r="W553" i="3"/>
  <c r="X553" i="3"/>
  <c r="Y553" i="3"/>
  <c r="H554" i="3"/>
  <c r="B554" i="3" s="1"/>
  <c r="I554" i="3"/>
  <c r="C554" i="3" s="1"/>
  <c r="P554" i="3"/>
  <c r="Q554" i="3"/>
  <c r="R554" i="3"/>
  <c r="S554" i="3"/>
  <c r="T554" i="3"/>
  <c r="U554" i="3"/>
  <c r="V554" i="3"/>
  <c r="W554" i="3"/>
  <c r="X554" i="3"/>
  <c r="Y554" i="3"/>
  <c r="Z554" i="3"/>
  <c r="H555" i="3"/>
  <c r="B555" i="3" s="1"/>
  <c r="I555" i="3"/>
  <c r="C555" i="3" s="1"/>
  <c r="P555" i="3"/>
  <c r="Q555" i="3"/>
  <c r="R555" i="3"/>
  <c r="S555" i="3"/>
  <c r="T555" i="3"/>
  <c r="U555" i="3"/>
  <c r="V555" i="3"/>
  <c r="W555" i="3"/>
  <c r="X555" i="3"/>
  <c r="Y555" i="3"/>
  <c r="H556" i="3"/>
  <c r="B556" i="3" s="1"/>
  <c r="I556" i="3"/>
  <c r="C556" i="3" s="1"/>
  <c r="P556" i="3"/>
  <c r="Q556" i="3"/>
  <c r="R556" i="3"/>
  <c r="S556" i="3"/>
  <c r="T556" i="3"/>
  <c r="U556" i="3"/>
  <c r="V556" i="3"/>
  <c r="W556" i="3"/>
  <c r="X556" i="3"/>
  <c r="Y556" i="3"/>
  <c r="Z556" i="3"/>
  <c r="H557" i="3"/>
  <c r="B557" i="3" s="1"/>
  <c r="I557" i="3"/>
  <c r="C557" i="3" s="1"/>
  <c r="P557" i="3"/>
  <c r="Q557" i="3"/>
  <c r="R557" i="3"/>
  <c r="S557" i="3"/>
  <c r="T557" i="3"/>
  <c r="U557" i="3"/>
  <c r="V557" i="3"/>
  <c r="W557" i="3"/>
  <c r="X557" i="3"/>
  <c r="Y557" i="3"/>
  <c r="Z557" i="3"/>
  <c r="H558" i="3"/>
  <c r="B558" i="3" s="1"/>
  <c r="I558" i="3"/>
  <c r="C558" i="3" s="1"/>
  <c r="P558" i="3"/>
  <c r="Q558" i="3"/>
  <c r="R558" i="3"/>
  <c r="S558" i="3"/>
  <c r="T558" i="3"/>
  <c r="U558" i="3"/>
  <c r="V558" i="3"/>
  <c r="W558" i="3"/>
  <c r="X558" i="3"/>
  <c r="Y558" i="3"/>
  <c r="H559" i="3"/>
  <c r="B559" i="3" s="1"/>
  <c r="I559" i="3"/>
  <c r="C559" i="3" s="1"/>
  <c r="P559" i="3"/>
  <c r="Q559" i="3"/>
  <c r="R559" i="3"/>
  <c r="S559" i="3"/>
  <c r="T559" i="3"/>
  <c r="U559" i="3"/>
  <c r="V559" i="3"/>
  <c r="W559" i="3"/>
  <c r="X559" i="3"/>
  <c r="Y559" i="3"/>
  <c r="H560" i="3"/>
  <c r="B560" i="3" s="1"/>
  <c r="I560" i="3"/>
  <c r="C560" i="3" s="1"/>
  <c r="P560" i="3"/>
  <c r="Q560" i="3"/>
  <c r="R560" i="3"/>
  <c r="S560" i="3"/>
  <c r="T560" i="3"/>
  <c r="U560" i="3"/>
  <c r="V560" i="3"/>
  <c r="W560" i="3"/>
  <c r="X560" i="3"/>
  <c r="Y560" i="3"/>
  <c r="Z560" i="3"/>
  <c r="H561" i="3"/>
  <c r="B561" i="3" s="1"/>
  <c r="I561" i="3"/>
  <c r="C561" i="3" s="1"/>
  <c r="P561" i="3"/>
  <c r="Q561" i="3"/>
  <c r="R561" i="3"/>
  <c r="S561" i="3"/>
  <c r="T561" i="3"/>
  <c r="U561" i="3"/>
  <c r="V561" i="3"/>
  <c r="W561" i="3"/>
  <c r="X561" i="3"/>
  <c r="Y561" i="3"/>
  <c r="Z561" i="3"/>
  <c r="H562" i="3"/>
  <c r="B562" i="3" s="1"/>
  <c r="I562" i="3"/>
  <c r="C562" i="3" s="1"/>
  <c r="P562" i="3"/>
  <c r="Q562" i="3"/>
  <c r="R562" i="3"/>
  <c r="S562" i="3"/>
  <c r="T562" i="3"/>
  <c r="U562" i="3"/>
  <c r="V562" i="3"/>
  <c r="W562" i="3"/>
  <c r="X562" i="3"/>
  <c r="Y562" i="3"/>
  <c r="Z562" i="3"/>
  <c r="H563" i="3"/>
  <c r="B563" i="3" s="1"/>
  <c r="I563" i="3"/>
  <c r="C563" i="3" s="1"/>
  <c r="P563" i="3"/>
  <c r="Q563" i="3"/>
  <c r="R563" i="3"/>
  <c r="S563" i="3"/>
  <c r="T563" i="3"/>
  <c r="U563" i="3"/>
  <c r="V563" i="3"/>
  <c r="W563" i="3"/>
  <c r="X563" i="3"/>
  <c r="Y563" i="3"/>
  <c r="Z563" i="3"/>
  <c r="H564" i="3"/>
  <c r="B564" i="3" s="1"/>
  <c r="I564" i="3"/>
  <c r="C564" i="3" s="1"/>
  <c r="P564" i="3"/>
  <c r="Q564" i="3"/>
  <c r="R564" i="3"/>
  <c r="S564" i="3"/>
  <c r="T564" i="3"/>
  <c r="U564" i="3"/>
  <c r="V564" i="3"/>
  <c r="W564" i="3"/>
  <c r="X564" i="3"/>
  <c r="Y564" i="3"/>
  <c r="Z564" i="3"/>
  <c r="H565" i="3"/>
  <c r="B565" i="3" s="1"/>
  <c r="I565" i="3"/>
  <c r="C565" i="3" s="1"/>
  <c r="P565" i="3"/>
  <c r="Q565" i="3"/>
  <c r="R565" i="3"/>
  <c r="S565" i="3"/>
  <c r="T565" i="3"/>
  <c r="U565" i="3"/>
  <c r="V565" i="3"/>
  <c r="W565" i="3"/>
  <c r="X565" i="3"/>
  <c r="Y565" i="3"/>
  <c r="Z565" i="3"/>
  <c r="H566" i="3"/>
  <c r="B566" i="3" s="1"/>
  <c r="I566" i="3"/>
  <c r="C566" i="3" s="1"/>
  <c r="P566" i="3"/>
  <c r="Q566" i="3"/>
  <c r="R566" i="3"/>
  <c r="S566" i="3"/>
  <c r="T566" i="3"/>
  <c r="U566" i="3"/>
  <c r="V566" i="3"/>
  <c r="W566" i="3"/>
  <c r="X566" i="3"/>
  <c r="Y566" i="3"/>
  <c r="Z566" i="3"/>
  <c r="H567" i="3"/>
  <c r="B567" i="3" s="1"/>
  <c r="I567" i="3"/>
  <c r="C567" i="3" s="1"/>
  <c r="P567" i="3"/>
  <c r="Q567" i="3"/>
  <c r="R567" i="3"/>
  <c r="S567" i="3"/>
  <c r="T567" i="3"/>
  <c r="U567" i="3"/>
  <c r="V567" i="3"/>
  <c r="W567" i="3"/>
  <c r="X567" i="3"/>
  <c r="Y567" i="3"/>
  <c r="Z567" i="3"/>
  <c r="H568" i="3"/>
  <c r="B568" i="3" s="1"/>
  <c r="I568" i="3"/>
  <c r="C568" i="3" s="1"/>
  <c r="P568" i="3"/>
  <c r="Q568" i="3"/>
  <c r="R568" i="3"/>
  <c r="S568" i="3"/>
  <c r="T568" i="3"/>
  <c r="U568" i="3"/>
  <c r="V568" i="3"/>
  <c r="W568" i="3"/>
  <c r="X568" i="3"/>
  <c r="Y568" i="3"/>
  <c r="Z568" i="3"/>
  <c r="H569" i="3"/>
  <c r="B569" i="3" s="1"/>
  <c r="I569" i="3"/>
  <c r="C569" i="3" s="1"/>
  <c r="P569" i="3"/>
  <c r="Q569" i="3"/>
  <c r="R569" i="3"/>
  <c r="S569" i="3"/>
  <c r="T569" i="3"/>
  <c r="U569" i="3"/>
  <c r="V569" i="3"/>
  <c r="W569" i="3"/>
  <c r="X569" i="3"/>
  <c r="Y569" i="3"/>
  <c r="H570" i="3"/>
  <c r="B570" i="3" s="1"/>
  <c r="I570" i="3"/>
  <c r="C570" i="3" s="1"/>
  <c r="P570" i="3"/>
  <c r="Q570" i="3"/>
  <c r="R570" i="3"/>
  <c r="S570" i="3"/>
  <c r="T570" i="3"/>
  <c r="U570" i="3"/>
  <c r="V570" i="3"/>
  <c r="W570" i="3"/>
  <c r="X570" i="3"/>
  <c r="Y570" i="3"/>
  <c r="Z570" i="3"/>
  <c r="H571" i="3"/>
  <c r="B571" i="3" s="1"/>
  <c r="I571" i="3"/>
  <c r="C571" i="3" s="1"/>
  <c r="P571" i="3"/>
  <c r="Q571" i="3"/>
  <c r="R571" i="3"/>
  <c r="S571" i="3"/>
  <c r="T571" i="3"/>
  <c r="U571" i="3"/>
  <c r="V571" i="3"/>
  <c r="W571" i="3"/>
  <c r="X571" i="3"/>
  <c r="Y571" i="3"/>
  <c r="Z571" i="3"/>
  <c r="H572" i="3"/>
  <c r="B572" i="3" s="1"/>
  <c r="I572" i="3"/>
  <c r="C572" i="3" s="1"/>
  <c r="P572" i="3"/>
  <c r="Q572" i="3"/>
  <c r="R572" i="3"/>
  <c r="S572" i="3"/>
  <c r="T572" i="3"/>
  <c r="U572" i="3"/>
  <c r="V572" i="3"/>
  <c r="W572" i="3"/>
  <c r="X572" i="3"/>
  <c r="Y572" i="3"/>
  <c r="Z572" i="3"/>
  <c r="H573" i="3"/>
  <c r="B573" i="3" s="1"/>
  <c r="I573" i="3"/>
  <c r="C573" i="3" s="1"/>
  <c r="P573" i="3"/>
  <c r="Q573" i="3"/>
  <c r="R573" i="3"/>
  <c r="S573" i="3"/>
  <c r="T573" i="3"/>
  <c r="U573" i="3"/>
  <c r="V573" i="3"/>
  <c r="W573" i="3"/>
  <c r="X573" i="3"/>
  <c r="Y573" i="3"/>
  <c r="Z573" i="3"/>
  <c r="H574" i="3"/>
  <c r="B574" i="3" s="1"/>
  <c r="I574" i="3"/>
  <c r="C574" i="3" s="1"/>
  <c r="P574" i="3"/>
  <c r="Q574" i="3"/>
  <c r="R574" i="3"/>
  <c r="S574" i="3"/>
  <c r="T574" i="3"/>
  <c r="U574" i="3"/>
  <c r="V574" i="3"/>
  <c r="W574" i="3"/>
  <c r="X574" i="3"/>
  <c r="Y574" i="3"/>
  <c r="H575" i="3"/>
  <c r="B575" i="3" s="1"/>
  <c r="I575" i="3"/>
  <c r="C575" i="3" s="1"/>
  <c r="P575" i="3"/>
  <c r="Q575" i="3"/>
  <c r="R575" i="3"/>
  <c r="S575" i="3"/>
  <c r="T575" i="3"/>
  <c r="U575" i="3"/>
  <c r="V575" i="3"/>
  <c r="W575" i="3"/>
  <c r="X575" i="3"/>
  <c r="Y575" i="3"/>
  <c r="Z575" i="3"/>
  <c r="H576" i="3"/>
  <c r="B576" i="3" s="1"/>
  <c r="I576" i="3"/>
  <c r="C576" i="3" s="1"/>
  <c r="P576" i="3"/>
  <c r="Q576" i="3"/>
  <c r="R576" i="3"/>
  <c r="S576" i="3"/>
  <c r="T576" i="3"/>
  <c r="U576" i="3"/>
  <c r="V576" i="3"/>
  <c r="W576" i="3"/>
  <c r="X576" i="3"/>
  <c r="Y576" i="3"/>
  <c r="H577" i="3"/>
  <c r="B577" i="3" s="1"/>
  <c r="I577" i="3"/>
  <c r="C577" i="3" s="1"/>
  <c r="P577" i="3"/>
  <c r="Q577" i="3"/>
  <c r="R577" i="3"/>
  <c r="S577" i="3"/>
  <c r="T577" i="3"/>
  <c r="U577" i="3"/>
  <c r="V577" i="3"/>
  <c r="W577" i="3"/>
  <c r="X577" i="3"/>
  <c r="Y577" i="3"/>
  <c r="Z577" i="3"/>
  <c r="H578" i="3"/>
  <c r="B578" i="3" s="1"/>
  <c r="I578" i="3"/>
  <c r="C578" i="3" s="1"/>
  <c r="P578" i="3"/>
  <c r="Q578" i="3"/>
  <c r="R578" i="3"/>
  <c r="S578" i="3"/>
  <c r="T578" i="3"/>
  <c r="U578" i="3"/>
  <c r="V578" i="3"/>
  <c r="W578" i="3"/>
  <c r="X578" i="3"/>
  <c r="Y578" i="3"/>
  <c r="H579" i="3"/>
  <c r="B579" i="3" s="1"/>
  <c r="I579" i="3"/>
  <c r="C579" i="3" s="1"/>
  <c r="P579" i="3"/>
  <c r="Q579" i="3"/>
  <c r="R579" i="3"/>
  <c r="S579" i="3"/>
  <c r="T579" i="3"/>
  <c r="U579" i="3"/>
  <c r="V579" i="3"/>
  <c r="W579" i="3"/>
  <c r="X579" i="3"/>
  <c r="Y579" i="3"/>
  <c r="Z579" i="3"/>
  <c r="H580" i="3"/>
  <c r="B580" i="3" s="1"/>
  <c r="I580" i="3"/>
  <c r="C580" i="3" s="1"/>
  <c r="P580" i="3"/>
  <c r="Q580" i="3"/>
  <c r="R580" i="3"/>
  <c r="S580" i="3"/>
  <c r="T580" i="3"/>
  <c r="U580" i="3"/>
  <c r="V580" i="3"/>
  <c r="W580" i="3"/>
  <c r="X580" i="3"/>
  <c r="Y580" i="3"/>
  <c r="Z580" i="3"/>
  <c r="H581" i="3"/>
  <c r="B581" i="3" s="1"/>
  <c r="I581" i="3"/>
  <c r="C581" i="3" s="1"/>
  <c r="P581" i="3"/>
  <c r="Q581" i="3"/>
  <c r="R581" i="3"/>
  <c r="S581" i="3"/>
  <c r="T581" i="3"/>
  <c r="U581" i="3"/>
  <c r="V581" i="3"/>
  <c r="W581" i="3"/>
  <c r="X581" i="3"/>
  <c r="Y581" i="3"/>
  <c r="Z581" i="3"/>
  <c r="H582" i="3"/>
  <c r="B582" i="3" s="1"/>
  <c r="I582" i="3"/>
  <c r="C582" i="3" s="1"/>
  <c r="P582" i="3"/>
  <c r="Q582" i="3"/>
  <c r="R582" i="3"/>
  <c r="S582" i="3"/>
  <c r="T582" i="3"/>
  <c r="U582" i="3"/>
  <c r="V582" i="3"/>
  <c r="W582" i="3"/>
  <c r="X582" i="3"/>
  <c r="Y582" i="3"/>
  <c r="H583" i="3"/>
  <c r="B583" i="3" s="1"/>
  <c r="I583" i="3"/>
  <c r="C583" i="3" s="1"/>
  <c r="P583" i="3"/>
  <c r="Q583" i="3"/>
  <c r="R583" i="3"/>
  <c r="S583" i="3"/>
  <c r="T583" i="3"/>
  <c r="U583" i="3"/>
  <c r="V583" i="3"/>
  <c r="W583" i="3"/>
  <c r="X583" i="3"/>
  <c r="Y583" i="3"/>
  <c r="Z583" i="3"/>
  <c r="H584" i="3"/>
  <c r="B584" i="3" s="1"/>
  <c r="I584" i="3"/>
  <c r="C584" i="3" s="1"/>
  <c r="P584" i="3"/>
  <c r="Q584" i="3"/>
  <c r="R584" i="3"/>
  <c r="S584" i="3"/>
  <c r="T584" i="3"/>
  <c r="U584" i="3"/>
  <c r="V584" i="3"/>
  <c r="W584" i="3"/>
  <c r="X584" i="3"/>
  <c r="Y584" i="3"/>
  <c r="Z584" i="3"/>
  <c r="H585" i="3"/>
  <c r="B585" i="3" s="1"/>
  <c r="I585" i="3"/>
  <c r="C585" i="3" s="1"/>
  <c r="P585" i="3"/>
  <c r="Q585" i="3"/>
  <c r="R585" i="3"/>
  <c r="S585" i="3"/>
  <c r="T585" i="3"/>
  <c r="U585" i="3"/>
  <c r="V585" i="3"/>
  <c r="W585" i="3"/>
  <c r="X585" i="3"/>
  <c r="Y585" i="3"/>
  <c r="H586" i="3"/>
  <c r="B586" i="3" s="1"/>
  <c r="I586" i="3"/>
  <c r="C586" i="3" s="1"/>
  <c r="P586" i="3"/>
  <c r="Q586" i="3"/>
  <c r="R586" i="3"/>
  <c r="S586" i="3"/>
  <c r="T586" i="3"/>
  <c r="U586" i="3"/>
  <c r="V586" i="3"/>
  <c r="W586" i="3"/>
  <c r="X586" i="3"/>
  <c r="Y586" i="3"/>
  <c r="Z586" i="3"/>
  <c r="H587" i="3"/>
  <c r="B587" i="3" s="1"/>
  <c r="I587" i="3"/>
  <c r="C587" i="3" s="1"/>
  <c r="P587" i="3"/>
  <c r="Q587" i="3"/>
  <c r="R587" i="3"/>
  <c r="S587" i="3"/>
  <c r="T587" i="3"/>
  <c r="U587" i="3"/>
  <c r="V587" i="3"/>
  <c r="W587" i="3"/>
  <c r="X587" i="3"/>
  <c r="Y587" i="3"/>
  <c r="H588" i="3"/>
  <c r="B588" i="3" s="1"/>
  <c r="I588" i="3"/>
  <c r="C588" i="3" s="1"/>
  <c r="P588" i="3"/>
  <c r="Q588" i="3"/>
  <c r="R588" i="3"/>
  <c r="S588" i="3"/>
  <c r="T588" i="3"/>
  <c r="U588" i="3"/>
  <c r="V588" i="3"/>
  <c r="W588" i="3"/>
  <c r="X588" i="3"/>
  <c r="Y588" i="3"/>
  <c r="Z588" i="3"/>
  <c r="H589" i="3"/>
  <c r="B589" i="3" s="1"/>
  <c r="I589" i="3"/>
  <c r="C589" i="3" s="1"/>
  <c r="P589" i="3"/>
  <c r="Q589" i="3"/>
  <c r="R589" i="3"/>
  <c r="S589" i="3"/>
  <c r="T589" i="3"/>
  <c r="U589" i="3"/>
  <c r="V589" i="3"/>
  <c r="W589" i="3"/>
  <c r="X589" i="3"/>
  <c r="Y589" i="3"/>
  <c r="Z589" i="3"/>
  <c r="H590" i="3"/>
  <c r="B590" i="3" s="1"/>
  <c r="I590" i="3"/>
  <c r="C590" i="3" s="1"/>
  <c r="P590" i="3"/>
  <c r="Q590" i="3"/>
  <c r="R590" i="3"/>
  <c r="S590" i="3"/>
  <c r="T590" i="3"/>
  <c r="U590" i="3"/>
  <c r="V590" i="3"/>
  <c r="W590" i="3"/>
  <c r="X590" i="3"/>
  <c r="Y590" i="3"/>
  <c r="Z590" i="3"/>
  <c r="H591" i="3"/>
  <c r="B591" i="3" s="1"/>
  <c r="I591" i="3"/>
  <c r="C591" i="3" s="1"/>
  <c r="P591" i="3"/>
  <c r="Q591" i="3"/>
  <c r="R591" i="3"/>
  <c r="S591" i="3"/>
  <c r="T591" i="3"/>
  <c r="U591" i="3"/>
  <c r="V591" i="3"/>
  <c r="W591" i="3"/>
  <c r="X591" i="3"/>
  <c r="Y591" i="3"/>
  <c r="Z591" i="3"/>
  <c r="H592" i="3"/>
  <c r="B592" i="3" s="1"/>
  <c r="I592" i="3"/>
  <c r="C592" i="3" s="1"/>
  <c r="P592" i="3"/>
  <c r="Q592" i="3"/>
  <c r="R592" i="3"/>
  <c r="S592" i="3"/>
  <c r="T592" i="3"/>
  <c r="U592" i="3"/>
  <c r="V592" i="3"/>
  <c r="W592" i="3"/>
  <c r="X592" i="3"/>
  <c r="Y592" i="3"/>
  <c r="Z592" i="3"/>
  <c r="H593" i="3"/>
  <c r="B593" i="3" s="1"/>
  <c r="I593" i="3"/>
  <c r="C593" i="3" s="1"/>
  <c r="P593" i="3"/>
  <c r="Q593" i="3"/>
  <c r="R593" i="3"/>
  <c r="S593" i="3"/>
  <c r="T593" i="3"/>
  <c r="U593" i="3"/>
  <c r="V593" i="3"/>
  <c r="W593" i="3"/>
  <c r="X593" i="3"/>
  <c r="Y593" i="3"/>
  <c r="Z593" i="3"/>
  <c r="H594" i="3"/>
  <c r="B594" i="3" s="1"/>
  <c r="I594" i="3"/>
  <c r="C594" i="3" s="1"/>
  <c r="P594" i="3"/>
  <c r="Q594" i="3"/>
  <c r="R594" i="3"/>
  <c r="S594" i="3"/>
  <c r="T594" i="3"/>
  <c r="U594" i="3"/>
  <c r="V594" i="3"/>
  <c r="W594" i="3"/>
  <c r="X594" i="3"/>
  <c r="Y594" i="3"/>
  <c r="Z594" i="3"/>
  <c r="H595" i="3"/>
  <c r="B595" i="3" s="1"/>
  <c r="I595" i="3"/>
  <c r="C595" i="3" s="1"/>
  <c r="P595" i="3"/>
  <c r="Q595" i="3"/>
  <c r="R595" i="3"/>
  <c r="S595" i="3"/>
  <c r="T595" i="3"/>
  <c r="U595" i="3"/>
  <c r="V595" i="3"/>
  <c r="W595" i="3"/>
  <c r="X595" i="3"/>
  <c r="Y595" i="3"/>
  <c r="Z595" i="3"/>
  <c r="H596" i="3"/>
  <c r="B596" i="3" s="1"/>
  <c r="I596" i="3"/>
  <c r="C596" i="3" s="1"/>
  <c r="P596" i="3"/>
  <c r="Q596" i="3"/>
  <c r="R596" i="3"/>
  <c r="S596" i="3"/>
  <c r="T596" i="3"/>
  <c r="U596" i="3"/>
  <c r="V596" i="3"/>
  <c r="W596" i="3"/>
  <c r="X596" i="3"/>
  <c r="Y596" i="3"/>
  <c r="Z596" i="3"/>
  <c r="H597" i="3"/>
  <c r="B597" i="3" s="1"/>
  <c r="I597" i="3"/>
  <c r="C597" i="3" s="1"/>
  <c r="P597" i="3"/>
  <c r="Q597" i="3"/>
  <c r="R597" i="3"/>
  <c r="S597" i="3"/>
  <c r="T597" i="3"/>
  <c r="U597" i="3"/>
  <c r="V597" i="3"/>
  <c r="W597" i="3"/>
  <c r="X597" i="3"/>
  <c r="Y597" i="3"/>
  <c r="Z597" i="3"/>
  <c r="H598" i="3"/>
  <c r="B598" i="3" s="1"/>
  <c r="I598" i="3"/>
  <c r="C598" i="3" s="1"/>
  <c r="P598" i="3"/>
  <c r="Q598" i="3"/>
  <c r="R598" i="3"/>
  <c r="S598" i="3"/>
  <c r="T598" i="3"/>
  <c r="U598" i="3"/>
  <c r="V598" i="3"/>
  <c r="W598" i="3"/>
  <c r="X598" i="3"/>
  <c r="Y598" i="3"/>
  <c r="Z598" i="3"/>
  <c r="H599" i="3"/>
  <c r="B599" i="3" s="1"/>
  <c r="I599" i="3"/>
  <c r="C599" i="3" s="1"/>
  <c r="P599" i="3"/>
  <c r="Q599" i="3"/>
  <c r="R599" i="3"/>
  <c r="S599" i="3"/>
  <c r="T599" i="3"/>
  <c r="U599" i="3"/>
  <c r="V599" i="3"/>
  <c r="W599" i="3"/>
  <c r="X599" i="3"/>
  <c r="Y599" i="3"/>
  <c r="Z599" i="3"/>
  <c r="H600" i="3"/>
  <c r="B600" i="3" s="1"/>
  <c r="I600" i="3"/>
  <c r="C600" i="3" s="1"/>
  <c r="P600" i="3"/>
  <c r="Q600" i="3"/>
  <c r="R600" i="3"/>
  <c r="S600" i="3"/>
  <c r="T600" i="3"/>
  <c r="U600" i="3"/>
  <c r="V600" i="3"/>
  <c r="W600" i="3"/>
  <c r="X600" i="3"/>
  <c r="Y600" i="3"/>
  <c r="Z600" i="3"/>
  <c r="H601" i="3"/>
  <c r="B601" i="3" s="1"/>
  <c r="I601" i="3"/>
  <c r="C601" i="3" s="1"/>
  <c r="P601" i="3"/>
  <c r="Q601" i="3"/>
  <c r="R601" i="3"/>
  <c r="S601" i="3"/>
  <c r="T601" i="3"/>
  <c r="U601" i="3"/>
  <c r="V601" i="3"/>
  <c r="W601" i="3"/>
  <c r="X601" i="3"/>
  <c r="Y601" i="3"/>
  <c r="Z601" i="3"/>
  <c r="H602" i="3"/>
  <c r="B602" i="3" s="1"/>
  <c r="I602" i="3"/>
  <c r="C602" i="3" s="1"/>
  <c r="P602" i="3"/>
  <c r="Q602" i="3"/>
  <c r="R602" i="3"/>
  <c r="S602" i="3"/>
  <c r="T602" i="3"/>
  <c r="U602" i="3"/>
  <c r="V602" i="3"/>
  <c r="W602" i="3"/>
  <c r="X602" i="3"/>
  <c r="Y602" i="3"/>
  <c r="Z602" i="3"/>
  <c r="H603" i="3"/>
  <c r="B603" i="3" s="1"/>
  <c r="I603" i="3"/>
  <c r="C603" i="3" s="1"/>
  <c r="P603" i="3"/>
  <c r="Q603" i="3"/>
  <c r="R603" i="3"/>
  <c r="S603" i="3"/>
  <c r="T603" i="3"/>
  <c r="U603" i="3"/>
  <c r="V603" i="3"/>
  <c r="W603" i="3"/>
  <c r="X603" i="3"/>
  <c r="Y603" i="3"/>
  <c r="Z603" i="3"/>
  <c r="H604" i="3"/>
  <c r="B604" i="3" s="1"/>
  <c r="I604" i="3"/>
  <c r="C604" i="3" s="1"/>
  <c r="P604" i="3"/>
  <c r="Q604" i="3"/>
  <c r="R604" i="3"/>
  <c r="S604" i="3"/>
  <c r="T604" i="3"/>
  <c r="U604" i="3"/>
  <c r="V604" i="3"/>
  <c r="W604" i="3"/>
  <c r="X604" i="3"/>
  <c r="Y604" i="3"/>
  <c r="Z604" i="3"/>
  <c r="H605" i="3"/>
  <c r="B605" i="3" s="1"/>
  <c r="I605" i="3"/>
  <c r="C605" i="3" s="1"/>
  <c r="P605" i="3"/>
  <c r="Q605" i="3"/>
  <c r="R605" i="3"/>
  <c r="S605" i="3"/>
  <c r="T605" i="3"/>
  <c r="U605" i="3"/>
  <c r="V605" i="3"/>
  <c r="W605" i="3"/>
  <c r="X605" i="3"/>
  <c r="Y605" i="3"/>
  <c r="Z605" i="3"/>
  <c r="H606" i="3"/>
  <c r="B606" i="3" s="1"/>
  <c r="I606" i="3"/>
  <c r="C606" i="3" s="1"/>
  <c r="P606" i="3"/>
  <c r="Q606" i="3"/>
  <c r="R606" i="3"/>
  <c r="S606" i="3"/>
  <c r="T606" i="3"/>
  <c r="U606" i="3"/>
  <c r="V606" i="3"/>
  <c r="W606" i="3"/>
  <c r="X606" i="3"/>
  <c r="Y606" i="3"/>
  <c r="Z606" i="3"/>
  <c r="H607" i="3"/>
  <c r="B607" i="3" s="1"/>
  <c r="I607" i="3"/>
  <c r="C607" i="3" s="1"/>
  <c r="P607" i="3"/>
  <c r="Q607" i="3"/>
  <c r="R607" i="3"/>
  <c r="S607" i="3"/>
  <c r="T607" i="3"/>
  <c r="U607" i="3"/>
  <c r="V607" i="3"/>
  <c r="W607" i="3"/>
  <c r="X607" i="3"/>
  <c r="Y607" i="3"/>
  <c r="Z607" i="3"/>
  <c r="H608" i="3"/>
  <c r="B608" i="3" s="1"/>
  <c r="I608" i="3"/>
  <c r="C608" i="3" s="1"/>
  <c r="P608" i="3"/>
  <c r="Q608" i="3"/>
  <c r="R608" i="3"/>
  <c r="S608" i="3"/>
  <c r="T608" i="3"/>
  <c r="U608" i="3"/>
  <c r="V608" i="3"/>
  <c r="W608" i="3"/>
  <c r="X608" i="3"/>
  <c r="Y608" i="3"/>
  <c r="Z608" i="3"/>
  <c r="H609" i="3"/>
  <c r="B609" i="3" s="1"/>
  <c r="I609" i="3"/>
  <c r="C609" i="3" s="1"/>
  <c r="P609" i="3"/>
  <c r="Q609" i="3"/>
  <c r="R609" i="3"/>
  <c r="S609" i="3"/>
  <c r="T609" i="3"/>
  <c r="U609" i="3"/>
  <c r="V609" i="3"/>
  <c r="W609" i="3"/>
  <c r="X609" i="3"/>
  <c r="Y609" i="3"/>
  <c r="Z609" i="3"/>
  <c r="H610" i="3"/>
  <c r="B610" i="3" s="1"/>
  <c r="I610" i="3"/>
  <c r="C610" i="3" s="1"/>
  <c r="P610" i="3"/>
  <c r="Q610" i="3"/>
  <c r="R610" i="3"/>
  <c r="S610" i="3"/>
  <c r="T610" i="3"/>
  <c r="U610" i="3"/>
  <c r="V610" i="3"/>
  <c r="W610" i="3"/>
  <c r="X610" i="3"/>
  <c r="Y610" i="3"/>
  <c r="Z610" i="3"/>
  <c r="H611" i="3"/>
  <c r="B611" i="3" s="1"/>
  <c r="I611" i="3"/>
  <c r="C611" i="3" s="1"/>
  <c r="P611" i="3"/>
  <c r="Q611" i="3"/>
  <c r="R611" i="3"/>
  <c r="S611" i="3"/>
  <c r="T611" i="3"/>
  <c r="U611" i="3"/>
  <c r="V611" i="3"/>
  <c r="W611" i="3"/>
  <c r="X611" i="3"/>
  <c r="Y611" i="3"/>
  <c r="Z611" i="3"/>
  <c r="H612" i="3"/>
  <c r="B612" i="3" s="1"/>
  <c r="I612" i="3"/>
  <c r="C612" i="3" s="1"/>
  <c r="P612" i="3"/>
  <c r="Q612" i="3"/>
  <c r="R612" i="3"/>
  <c r="S612" i="3"/>
  <c r="T612" i="3"/>
  <c r="U612" i="3"/>
  <c r="V612" i="3"/>
  <c r="W612" i="3"/>
  <c r="X612" i="3"/>
  <c r="Y612" i="3"/>
  <c r="Z612" i="3"/>
  <c r="H613" i="3"/>
  <c r="B613" i="3" s="1"/>
  <c r="I613" i="3"/>
  <c r="C613" i="3" s="1"/>
  <c r="P613" i="3"/>
  <c r="Q613" i="3"/>
  <c r="R613" i="3"/>
  <c r="S613" i="3"/>
  <c r="T613" i="3"/>
  <c r="U613" i="3"/>
  <c r="V613" i="3"/>
  <c r="W613" i="3"/>
  <c r="X613" i="3"/>
  <c r="Y613" i="3"/>
  <c r="Z613" i="3"/>
  <c r="H614" i="3"/>
  <c r="B614" i="3" s="1"/>
  <c r="I614" i="3"/>
  <c r="C614" i="3" s="1"/>
  <c r="P614" i="3"/>
  <c r="Q614" i="3"/>
  <c r="R614" i="3"/>
  <c r="S614" i="3"/>
  <c r="T614" i="3"/>
  <c r="U614" i="3"/>
  <c r="V614" i="3"/>
  <c r="W614" i="3"/>
  <c r="X614" i="3"/>
  <c r="Y614" i="3"/>
  <c r="Z614" i="3"/>
  <c r="H615" i="3"/>
  <c r="B615" i="3" s="1"/>
  <c r="I615" i="3"/>
  <c r="C615" i="3" s="1"/>
  <c r="P615" i="3"/>
  <c r="Q615" i="3"/>
  <c r="R615" i="3"/>
  <c r="S615" i="3"/>
  <c r="T615" i="3"/>
  <c r="U615" i="3"/>
  <c r="V615" i="3"/>
  <c r="W615" i="3"/>
  <c r="X615" i="3"/>
  <c r="Y615" i="3"/>
  <c r="Z615" i="3"/>
  <c r="H616" i="3"/>
  <c r="B616" i="3" s="1"/>
  <c r="I616" i="3"/>
  <c r="C616" i="3" s="1"/>
  <c r="P616" i="3"/>
  <c r="Q616" i="3"/>
  <c r="R616" i="3"/>
  <c r="S616" i="3"/>
  <c r="T616" i="3"/>
  <c r="U616" i="3"/>
  <c r="V616" i="3"/>
  <c r="W616" i="3"/>
  <c r="X616" i="3"/>
  <c r="Y616" i="3"/>
  <c r="Z616" i="3"/>
  <c r="H617" i="3"/>
  <c r="B617" i="3" s="1"/>
  <c r="I617" i="3"/>
  <c r="C617" i="3" s="1"/>
  <c r="P617" i="3"/>
  <c r="Q617" i="3"/>
  <c r="R617" i="3"/>
  <c r="S617" i="3"/>
  <c r="T617" i="3"/>
  <c r="U617" i="3"/>
  <c r="V617" i="3"/>
  <c r="W617" i="3"/>
  <c r="X617" i="3"/>
  <c r="Y617" i="3"/>
  <c r="Z617" i="3"/>
  <c r="H618" i="3"/>
  <c r="B618" i="3" s="1"/>
  <c r="I618" i="3"/>
  <c r="C618" i="3" s="1"/>
  <c r="P618" i="3"/>
  <c r="Q618" i="3"/>
  <c r="R618" i="3"/>
  <c r="S618" i="3"/>
  <c r="T618" i="3"/>
  <c r="U618" i="3"/>
  <c r="V618" i="3"/>
  <c r="W618" i="3"/>
  <c r="X618" i="3"/>
  <c r="Y618" i="3"/>
  <c r="Z618" i="3"/>
  <c r="H619" i="3"/>
  <c r="B619" i="3" s="1"/>
  <c r="I619" i="3"/>
  <c r="C619" i="3" s="1"/>
  <c r="P619" i="3"/>
  <c r="Q619" i="3"/>
  <c r="R619" i="3"/>
  <c r="S619" i="3"/>
  <c r="T619" i="3"/>
  <c r="U619" i="3"/>
  <c r="V619" i="3"/>
  <c r="W619" i="3"/>
  <c r="X619" i="3"/>
  <c r="Y619" i="3"/>
  <c r="Z619" i="3"/>
  <c r="H620" i="3"/>
  <c r="B620" i="3" s="1"/>
  <c r="I620" i="3"/>
  <c r="C620" i="3" s="1"/>
  <c r="P620" i="3"/>
  <c r="Q620" i="3"/>
  <c r="R620" i="3"/>
  <c r="S620" i="3"/>
  <c r="T620" i="3"/>
  <c r="U620" i="3"/>
  <c r="V620" i="3"/>
  <c r="W620" i="3"/>
  <c r="X620" i="3"/>
  <c r="Y620" i="3"/>
  <c r="Z620" i="3"/>
  <c r="H621" i="3"/>
  <c r="B621" i="3" s="1"/>
  <c r="I621" i="3"/>
  <c r="C621" i="3" s="1"/>
  <c r="P621" i="3"/>
  <c r="Q621" i="3"/>
  <c r="R621" i="3"/>
  <c r="S621" i="3"/>
  <c r="T621" i="3"/>
  <c r="U621" i="3"/>
  <c r="V621" i="3"/>
  <c r="W621" i="3"/>
  <c r="X621" i="3"/>
  <c r="Y621" i="3"/>
  <c r="Z621" i="3"/>
  <c r="H622" i="3"/>
  <c r="B622" i="3" s="1"/>
  <c r="I622" i="3"/>
  <c r="C622" i="3" s="1"/>
  <c r="P622" i="3"/>
  <c r="Q622" i="3"/>
  <c r="R622" i="3"/>
  <c r="S622" i="3"/>
  <c r="T622" i="3"/>
  <c r="U622" i="3"/>
  <c r="V622" i="3"/>
  <c r="W622" i="3"/>
  <c r="X622" i="3"/>
  <c r="Y622" i="3"/>
  <c r="Z622" i="3"/>
  <c r="H623" i="3"/>
  <c r="B623" i="3" s="1"/>
  <c r="I623" i="3"/>
  <c r="C623" i="3" s="1"/>
  <c r="P623" i="3"/>
  <c r="Q623" i="3"/>
  <c r="R623" i="3"/>
  <c r="S623" i="3"/>
  <c r="T623" i="3"/>
  <c r="U623" i="3"/>
  <c r="V623" i="3"/>
  <c r="W623" i="3"/>
  <c r="X623" i="3"/>
  <c r="Y623" i="3"/>
  <c r="Z623" i="3"/>
  <c r="H624" i="3"/>
  <c r="B624" i="3" s="1"/>
  <c r="I624" i="3"/>
  <c r="C624" i="3" s="1"/>
  <c r="P624" i="3"/>
  <c r="Q624" i="3"/>
  <c r="R624" i="3"/>
  <c r="S624" i="3"/>
  <c r="T624" i="3"/>
  <c r="U624" i="3"/>
  <c r="V624" i="3"/>
  <c r="W624" i="3"/>
  <c r="X624" i="3"/>
  <c r="Y624" i="3"/>
  <c r="Z624" i="3"/>
  <c r="H625" i="3"/>
  <c r="B625" i="3" s="1"/>
  <c r="I625" i="3"/>
  <c r="C625" i="3" s="1"/>
  <c r="P625" i="3"/>
  <c r="Q625" i="3"/>
  <c r="R625" i="3"/>
  <c r="S625" i="3"/>
  <c r="T625" i="3"/>
  <c r="U625" i="3"/>
  <c r="V625" i="3"/>
  <c r="W625" i="3"/>
  <c r="X625" i="3"/>
  <c r="Y625" i="3"/>
  <c r="Z625" i="3"/>
  <c r="H626" i="3"/>
  <c r="B626" i="3" s="1"/>
  <c r="I626" i="3"/>
  <c r="C626" i="3" s="1"/>
  <c r="P626" i="3"/>
  <c r="Q626" i="3"/>
  <c r="R626" i="3"/>
  <c r="S626" i="3"/>
  <c r="T626" i="3"/>
  <c r="U626" i="3"/>
  <c r="V626" i="3"/>
  <c r="W626" i="3"/>
  <c r="X626" i="3"/>
  <c r="Y626" i="3"/>
  <c r="Z626" i="3"/>
  <c r="H627" i="3"/>
  <c r="B627" i="3" s="1"/>
  <c r="I627" i="3"/>
  <c r="C627" i="3" s="1"/>
  <c r="P627" i="3"/>
  <c r="Q627" i="3"/>
  <c r="R627" i="3"/>
  <c r="S627" i="3"/>
  <c r="T627" i="3"/>
  <c r="U627" i="3"/>
  <c r="V627" i="3"/>
  <c r="W627" i="3"/>
  <c r="X627" i="3"/>
  <c r="Y627" i="3"/>
  <c r="Z627" i="3"/>
  <c r="H628" i="3"/>
  <c r="B628" i="3" s="1"/>
  <c r="I628" i="3"/>
  <c r="C628" i="3" s="1"/>
  <c r="P628" i="3"/>
  <c r="Q628" i="3"/>
  <c r="R628" i="3"/>
  <c r="S628" i="3"/>
  <c r="T628" i="3"/>
  <c r="U628" i="3"/>
  <c r="V628" i="3"/>
  <c r="W628" i="3"/>
  <c r="X628" i="3"/>
  <c r="Y628" i="3"/>
  <c r="Z628" i="3"/>
  <c r="H629" i="3"/>
  <c r="B629" i="3" s="1"/>
  <c r="I629" i="3"/>
  <c r="C629" i="3" s="1"/>
  <c r="P629" i="3"/>
  <c r="Q629" i="3"/>
  <c r="R629" i="3"/>
  <c r="S629" i="3"/>
  <c r="T629" i="3"/>
  <c r="U629" i="3"/>
  <c r="V629" i="3"/>
  <c r="W629" i="3"/>
  <c r="X629" i="3"/>
  <c r="Y629" i="3"/>
  <c r="Z629" i="3"/>
  <c r="H630" i="3"/>
  <c r="B630" i="3" s="1"/>
  <c r="I630" i="3"/>
  <c r="C630" i="3" s="1"/>
  <c r="P630" i="3"/>
  <c r="Q630" i="3"/>
  <c r="R630" i="3"/>
  <c r="S630" i="3"/>
  <c r="T630" i="3"/>
  <c r="U630" i="3"/>
  <c r="V630" i="3"/>
  <c r="W630" i="3"/>
  <c r="X630" i="3"/>
  <c r="Y630" i="3"/>
  <c r="Z630" i="3"/>
  <c r="H631" i="3"/>
  <c r="B631" i="3" s="1"/>
  <c r="I631" i="3"/>
  <c r="C631" i="3" s="1"/>
  <c r="P631" i="3"/>
  <c r="Q631" i="3"/>
  <c r="R631" i="3"/>
  <c r="S631" i="3"/>
  <c r="T631" i="3"/>
  <c r="U631" i="3"/>
  <c r="V631" i="3"/>
  <c r="W631" i="3"/>
  <c r="X631" i="3"/>
  <c r="Y631" i="3"/>
  <c r="Z631" i="3"/>
  <c r="H632" i="3"/>
  <c r="B632" i="3" s="1"/>
  <c r="I632" i="3"/>
  <c r="C632" i="3" s="1"/>
  <c r="P632" i="3"/>
  <c r="Q632" i="3"/>
  <c r="R632" i="3"/>
  <c r="S632" i="3"/>
  <c r="T632" i="3"/>
  <c r="U632" i="3"/>
  <c r="V632" i="3"/>
  <c r="W632" i="3"/>
  <c r="X632" i="3"/>
  <c r="Y632" i="3"/>
  <c r="Z632" i="3"/>
  <c r="H633" i="3"/>
  <c r="B633" i="3" s="1"/>
  <c r="I633" i="3"/>
  <c r="C633" i="3" s="1"/>
  <c r="P633" i="3"/>
  <c r="Q633" i="3"/>
  <c r="R633" i="3"/>
  <c r="S633" i="3"/>
  <c r="T633" i="3"/>
  <c r="U633" i="3"/>
  <c r="V633" i="3"/>
  <c r="W633" i="3"/>
  <c r="X633" i="3"/>
  <c r="Y633" i="3"/>
  <c r="Z633" i="3"/>
  <c r="H634" i="3"/>
  <c r="B634" i="3" s="1"/>
  <c r="I634" i="3"/>
  <c r="C634" i="3" s="1"/>
  <c r="P634" i="3"/>
  <c r="Q634" i="3"/>
  <c r="R634" i="3"/>
  <c r="S634" i="3"/>
  <c r="T634" i="3"/>
  <c r="U634" i="3"/>
  <c r="V634" i="3"/>
  <c r="W634" i="3"/>
  <c r="X634" i="3"/>
  <c r="Y634" i="3"/>
  <c r="Z634" i="3"/>
  <c r="H635" i="3"/>
  <c r="B635" i="3" s="1"/>
  <c r="I635" i="3"/>
  <c r="C635" i="3" s="1"/>
  <c r="P635" i="3"/>
  <c r="Q635" i="3"/>
  <c r="R635" i="3"/>
  <c r="S635" i="3"/>
  <c r="T635" i="3"/>
  <c r="U635" i="3"/>
  <c r="V635" i="3"/>
  <c r="W635" i="3"/>
  <c r="X635" i="3"/>
  <c r="Y635" i="3"/>
  <c r="Z635" i="3"/>
  <c r="H636" i="3"/>
  <c r="B636" i="3" s="1"/>
  <c r="I636" i="3"/>
  <c r="C636" i="3" s="1"/>
  <c r="P636" i="3"/>
  <c r="Q636" i="3"/>
  <c r="R636" i="3"/>
  <c r="S636" i="3"/>
  <c r="T636" i="3"/>
  <c r="U636" i="3"/>
  <c r="V636" i="3"/>
  <c r="W636" i="3"/>
  <c r="X636" i="3"/>
  <c r="Y636" i="3"/>
  <c r="Z636" i="3"/>
  <c r="H637" i="3"/>
  <c r="B637" i="3" s="1"/>
  <c r="I637" i="3"/>
  <c r="C637" i="3" s="1"/>
  <c r="P637" i="3"/>
  <c r="Q637" i="3"/>
  <c r="R637" i="3"/>
  <c r="S637" i="3"/>
  <c r="T637" i="3"/>
  <c r="U637" i="3"/>
  <c r="V637" i="3"/>
  <c r="W637" i="3"/>
  <c r="X637" i="3"/>
  <c r="Y637" i="3"/>
  <c r="Z637" i="3"/>
  <c r="H638" i="3"/>
  <c r="B638" i="3" s="1"/>
  <c r="I638" i="3"/>
  <c r="C638" i="3" s="1"/>
  <c r="P638" i="3"/>
  <c r="Q638" i="3"/>
  <c r="R638" i="3"/>
  <c r="S638" i="3"/>
  <c r="T638" i="3"/>
  <c r="U638" i="3"/>
  <c r="V638" i="3"/>
  <c r="W638" i="3"/>
  <c r="X638" i="3"/>
  <c r="Y638" i="3"/>
  <c r="Z638" i="3"/>
  <c r="H639" i="3"/>
  <c r="B639" i="3" s="1"/>
  <c r="I639" i="3"/>
  <c r="C639" i="3" s="1"/>
  <c r="P639" i="3"/>
  <c r="Q639" i="3"/>
  <c r="R639" i="3"/>
  <c r="S639" i="3"/>
  <c r="T639" i="3"/>
  <c r="U639" i="3"/>
  <c r="V639" i="3"/>
  <c r="W639" i="3"/>
  <c r="X639" i="3"/>
  <c r="Y639" i="3"/>
  <c r="Z639" i="3"/>
  <c r="H640" i="3"/>
  <c r="B640" i="3" s="1"/>
  <c r="I640" i="3"/>
  <c r="C640" i="3" s="1"/>
  <c r="P640" i="3"/>
  <c r="Q640" i="3"/>
  <c r="R640" i="3"/>
  <c r="S640" i="3"/>
  <c r="T640" i="3"/>
  <c r="U640" i="3"/>
  <c r="V640" i="3"/>
  <c r="W640" i="3"/>
  <c r="X640" i="3"/>
  <c r="Y640" i="3"/>
  <c r="Z640" i="3"/>
  <c r="H641" i="3"/>
  <c r="B641" i="3" s="1"/>
  <c r="I641" i="3"/>
  <c r="C641" i="3" s="1"/>
  <c r="P641" i="3"/>
  <c r="Q641" i="3"/>
  <c r="R641" i="3"/>
  <c r="S641" i="3"/>
  <c r="T641" i="3"/>
  <c r="U641" i="3"/>
  <c r="V641" i="3"/>
  <c r="W641" i="3"/>
  <c r="X641" i="3"/>
  <c r="Y641" i="3"/>
  <c r="Z641" i="3"/>
  <c r="H642" i="3"/>
  <c r="B642" i="3" s="1"/>
  <c r="I642" i="3"/>
  <c r="C642" i="3" s="1"/>
  <c r="P642" i="3"/>
  <c r="Q642" i="3"/>
  <c r="R642" i="3"/>
  <c r="S642" i="3"/>
  <c r="T642" i="3"/>
  <c r="U642" i="3"/>
  <c r="V642" i="3"/>
  <c r="W642" i="3"/>
  <c r="X642" i="3"/>
  <c r="Y642" i="3"/>
  <c r="Z642" i="3"/>
  <c r="H643" i="3"/>
  <c r="B643" i="3" s="1"/>
  <c r="I643" i="3"/>
  <c r="C643" i="3" s="1"/>
  <c r="P643" i="3"/>
  <c r="Q643" i="3"/>
  <c r="R643" i="3"/>
  <c r="S643" i="3"/>
  <c r="T643" i="3"/>
  <c r="U643" i="3"/>
  <c r="V643" i="3"/>
  <c r="W643" i="3"/>
  <c r="X643" i="3"/>
  <c r="Y643" i="3"/>
  <c r="Z643" i="3"/>
  <c r="H644" i="3"/>
  <c r="B644" i="3" s="1"/>
  <c r="I644" i="3"/>
  <c r="C644" i="3" s="1"/>
  <c r="P644" i="3"/>
  <c r="Q644" i="3"/>
  <c r="R644" i="3"/>
  <c r="S644" i="3"/>
  <c r="T644" i="3"/>
  <c r="U644" i="3"/>
  <c r="V644" i="3"/>
  <c r="W644" i="3"/>
  <c r="X644" i="3"/>
  <c r="Y644" i="3"/>
  <c r="Z644" i="3"/>
  <c r="H645" i="3"/>
  <c r="B645" i="3" s="1"/>
  <c r="I645" i="3"/>
  <c r="C645" i="3" s="1"/>
  <c r="P645" i="3"/>
  <c r="Q645" i="3"/>
  <c r="R645" i="3"/>
  <c r="S645" i="3"/>
  <c r="T645" i="3"/>
  <c r="U645" i="3"/>
  <c r="V645" i="3"/>
  <c r="W645" i="3"/>
  <c r="X645" i="3"/>
  <c r="Y645" i="3"/>
  <c r="Z645" i="3"/>
  <c r="H646" i="3"/>
  <c r="B646" i="3" s="1"/>
  <c r="I646" i="3"/>
  <c r="C646" i="3" s="1"/>
  <c r="P646" i="3"/>
  <c r="Q646" i="3"/>
  <c r="R646" i="3"/>
  <c r="S646" i="3"/>
  <c r="T646" i="3"/>
  <c r="U646" i="3"/>
  <c r="V646" i="3"/>
  <c r="W646" i="3"/>
  <c r="X646" i="3"/>
  <c r="Y646" i="3"/>
  <c r="Z646" i="3"/>
  <c r="H647" i="3"/>
  <c r="B647" i="3" s="1"/>
  <c r="I647" i="3"/>
  <c r="C647" i="3" s="1"/>
  <c r="P647" i="3"/>
  <c r="Q647" i="3"/>
  <c r="R647" i="3"/>
  <c r="S647" i="3"/>
  <c r="T647" i="3"/>
  <c r="U647" i="3"/>
  <c r="V647" i="3"/>
  <c r="W647" i="3"/>
  <c r="X647" i="3"/>
  <c r="Y647" i="3"/>
  <c r="Z647" i="3"/>
  <c r="H648" i="3"/>
  <c r="B648" i="3" s="1"/>
  <c r="I648" i="3"/>
  <c r="C648" i="3" s="1"/>
  <c r="P648" i="3"/>
  <c r="Q648" i="3"/>
  <c r="R648" i="3"/>
  <c r="S648" i="3"/>
  <c r="T648" i="3"/>
  <c r="U648" i="3"/>
  <c r="V648" i="3"/>
  <c r="W648" i="3"/>
  <c r="X648" i="3"/>
  <c r="Y648" i="3"/>
  <c r="Z648" i="3"/>
  <c r="H649" i="3"/>
  <c r="B649" i="3" s="1"/>
  <c r="I649" i="3"/>
  <c r="C649" i="3" s="1"/>
  <c r="P649" i="3"/>
  <c r="Q649" i="3"/>
  <c r="R649" i="3"/>
  <c r="S649" i="3"/>
  <c r="T649" i="3"/>
  <c r="U649" i="3"/>
  <c r="V649" i="3"/>
  <c r="W649" i="3"/>
  <c r="X649" i="3"/>
  <c r="Y649" i="3"/>
  <c r="Z649" i="3"/>
  <c r="H650" i="3"/>
  <c r="B650" i="3" s="1"/>
  <c r="I650" i="3"/>
  <c r="C650" i="3" s="1"/>
  <c r="P650" i="3"/>
  <c r="Q650" i="3"/>
  <c r="R650" i="3"/>
  <c r="S650" i="3"/>
  <c r="T650" i="3"/>
  <c r="U650" i="3"/>
  <c r="V650" i="3"/>
  <c r="W650" i="3"/>
  <c r="X650" i="3"/>
  <c r="Y650" i="3"/>
  <c r="Z650" i="3"/>
  <c r="H651" i="3"/>
  <c r="B651" i="3" s="1"/>
  <c r="I651" i="3"/>
  <c r="C651" i="3" s="1"/>
  <c r="P651" i="3"/>
  <c r="Q651" i="3"/>
  <c r="R651" i="3"/>
  <c r="S651" i="3"/>
  <c r="T651" i="3"/>
  <c r="U651" i="3"/>
  <c r="V651" i="3"/>
  <c r="W651" i="3"/>
  <c r="X651" i="3"/>
  <c r="Y651" i="3"/>
  <c r="Z651" i="3"/>
  <c r="H652" i="3"/>
  <c r="B652" i="3" s="1"/>
  <c r="I652" i="3"/>
  <c r="C652" i="3" s="1"/>
  <c r="P652" i="3"/>
  <c r="Q652" i="3"/>
  <c r="R652" i="3"/>
  <c r="S652" i="3"/>
  <c r="T652" i="3"/>
  <c r="U652" i="3"/>
  <c r="V652" i="3"/>
  <c r="W652" i="3"/>
  <c r="X652" i="3"/>
  <c r="Y652" i="3"/>
  <c r="Z652" i="3"/>
  <c r="H653" i="3"/>
  <c r="B653" i="3" s="1"/>
  <c r="I653" i="3"/>
  <c r="C653" i="3" s="1"/>
  <c r="P653" i="3"/>
  <c r="Q653" i="3"/>
  <c r="R653" i="3"/>
  <c r="S653" i="3"/>
  <c r="T653" i="3"/>
  <c r="U653" i="3"/>
  <c r="V653" i="3"/>
  <c r="W653" i="3"/>
  <c r="X653" i="3"/>
  <c r="Y653" i="3"/>
  <c r="Z653" i="3"/>
  <c r="H654" i="3"/>
  <c r="B654" i="3" s="1"/>
  <c r="I654" i="3"/>
  <c r="C654" i="3" s="1"/>
  <c r="P654" i="3"/>
  <c r="Q654" i="3"/>
  <c r="R654" i="3"/>
  <c r="S654" i="3"/>
  <c r="T654" i="3"/>
  <c r="U654" i="3"/>
  <c r="V654" i="3"/>
  <c r="W654" i="3"/>
  <c r="X654" i="3"/>
  <c r="Y654" i="3"/>
  <c r="Z654" i="3"/>
  <c r="H655" i="3"/>
  <c r="B655" i="3" s="1"/>
  <c r="I655" i="3"/>
  <c r="C655" i="3" s="1"/>
  <c r="P655" i="3"/>
  <c r="Q655" i="3"/>
  <c r="R655" i="3"/>
  <c r="S655" i="3"/>
  <c r="T655" i="3"/>
  <c r="U655" i="3"/>
  <c r="V655" i="3"/>
  <c r="W655" i="3"/>
  <c r="X655" i="3"/>
  <c r="Y655" i="3"/>
  <c r="Z655" i="3"/>
  <c r="H656" i="3"/>
  <c r="B656" i="3" s="1"/>
  <c r="I656" i="3"/>
  <c r="C656" i="3" s="1"/>
  <c r="P656" i="3"/>
  <c r="Q656" i="3"/>
  <c r="R656" i="3"/>
  <c r="S656" i="3"/>
  <c r="T656" i="3"/>
  <c r="U656" i="3"/>
  <c r="V656" i="3"/>
  <c r="W656" i="3"/>
  <c r="X656" i="3"/>
  <c r="Y656" i="3"/>
  <c r="Z656" i="3"/>
  <c r="H657" i="3"/>
  <c r="B657" i="3" s="1"/>
  <c r="I657" i="3"/>
  <c r="C657" i="3" s="1"/>
  <c r="P657" i="3"/>
  <c r="Q657" i="3"/>
  <c r="R657" i="3"/>
  <c r="S657" i="3"/>
  <c r="T657" i="3"/>
  <c r="U657" i="3"/>
  <c r="V657" i="3"/>
  <c r="W657" i="3"/>
  <c r="X657" i="3"/>
  <c r="Y657" i="3"/>
  <c r="Z657" i="3"/>
  <c r="H658" i="3"/>
  <c r="B658" i="3" s="1"/>
  <c r="I658" i="3"/>
  <c r="C658" i="3" s="1"/>
  <c r="P658" i="3"/>
  <c r="Q658" i="3"/>
  <c r="R658" i="3"/>
  <c r="S658" i="3"/>
  <c r="T658" i="3"/>
  <c r="U658" i="3"/>
  <c r="V658" i="3"/>
  <c r="W658" i="3"/>
  <c r="X658" i="3"/>
  <c r="Y658" i="3"/>
  <c r="Z658" i="3"/>
  <c r="H659" i="3"/>
  <c r="B659" i="3" s="1"/>
  <c r="I659" i="3"/>
  <c r="C659" i="3" s="1"/>
  <c r="P659" i="3"/>
  <c r="Q659" i="3"/>
  <c r="R659" i="3"/>
  <c r="S659" i="3"/>
  <c r="T659" i="3"/>
  <c r="U659" i="3"/>
  <c r="V659" i="3"/>
  <c r="W659" i="3"/>
  <c r="X659" i="3"/>
  <c r="Y659" i="3"/>
  <c r="Z659" i="3"/>
  <c r="H660" i="3"/>
  <c r="B660" i="3" s="1"/>
  <c r="I660" i="3"/>
  <c r="C660" i="3" s="1"/>
  <c r="P660" i="3"/>
  <c r="Q660" i="3"/>
  <c r="R660" i="3"/>
  <c r="S660" i="3"/>
  <c r="T660" i="3"/>
  <c r="U660" i="3"/>
  <c r="V660" i="3"/>
  <c r="W660" i="3"/>
  <c r="X660" i="3"/>
  <c r="Y660" i="3"/>
  <c r="Z660" i="3"/>
  <c r="H661" i="3"/>
  <c r="B661" i="3" s="1"/>
  <c r="I661" i="3"/>
  <c r="C661" i="3" s="1"/>
  <c r="P661" i="3"/>
  <c r="Q661" i="3"/>
  <c r="R661" i="3"/>
  <c r="S661" i="3"/>
  <c r="T661" i="3"/>
  <c r="U661" i="3"/>
  <c r="V661" i="3"/>
  <c r="W661" i="3"/>
  <c r="X661" i="3"/>
  <c r="Y661" i="3"/>
  <c r="Z661" i="3"/>
  <c r="H662" i="3"/>
  <c r="B662" i="3" s="1"/>
  <c r="I662" i="3"/>
  <c r="C662" i="3" s="1"/>
  <c r="P662" i="3"/>
  <c r="Q662" i="3"/>
  <c r="R662" i="3"/>
  <c r="S662" i="3"/>
  <c r="T662" i="3"/>
  <c r="U662" i="3"/>
  <c r="V662" i="3"/>
  <c r="W662" i="3"/>
  <c r="X662" i="3"/>
  <c r="Y662" i="3"/>
  <c r="Z662" i="3"/>
  <c r="H663" i="3"/>
  <c r="B663" i="3" s="1"/>
  <c r="I663" i="3"/>
  <c r="C663" i="3" s="1"/>
  <c r="P663" i="3"/>
  <c r="Q663" i="3"/>
  <c r="R663" i="3"/>
  <c r="S663" i="3"/>
  <c r="T663" i="3"/>
  <c r="U663" i="3"/>
  <c r="V663" i="3"/>
  <c r="W663" i="3"/>
  <c r="X663" i="3"/>
  <c r="Y663" i="3"/>
  <c r="Z663" i="3"/>
  <c r="H664" i="3"/>
  <c r="B664" i="3" s="1"/>
  <c r="I664" i="3"/>
  <c r="C664" i="3" s="1"/>
  <c r="P664" i="3"/>
  <c r="Q664" i="3"/>
  <c r="R664" i="3"/>
  <c r="S664" i="3"/>
  <c r="T664" i="3"/>
  <c r="U664" i="3"/>
  <c r="V664" i="3"/>
  <c r="W664" i="3"/>
  <c r="X664" i="3"/>
  <c r="Y664" i="3"/>
  <c r="Z664" i="3"/>
  <c r="H665" i="3"/>
  <c r="B665" i="3" s="1"/>
  <c r="I665" i="3"/>
  <c r="C665" i="3" s="1"/>
  <c r="P665" i="3"/>
  <c r="Q665" i="3"/>
  <c r="R665" i="3"/>
  <c r="S665" i="3"/>
  <c r="T665" i="3"/>
  <c r="U665" i="3"/>
  <c r="V665" i="3"/>
  <c r="W665" i="3"/>
  <c r="X665" i="3"/>
  <c r="Y665" i="3"/>
  <c r="Z665" i="3"/>
  <c r="H666" i="3"/>
  <c r="B666" i="3" s="1"/>
  <c r="I666" i="3"/>
  <c r="C666" i="3" s="1"/>
  <c r="P666" i="3"/>
  <c r="Q666" i="3"/>
  <c r="R666" i="3"/>
  <c r="S666" i="3"/>
  <c r="T666" i="3"/>
  <c r="U666" i="3"/>
  <c r="V666" i="3"/>
  <c r="W666" i="3"/>
  <c r="X666" i="3"/>
  <c r="Y666" i="3"/>
  <c r="Z666" i="3"/>
  <c r="H667" i="3"/>
  <c r="B667" i="3" s="1"/>
  <c r="I667" i="3"/>
  <c r="C667" i="3" s="1"/>
  <c r="P667" i="3"/>
  <c r="Q667" i="3"/>
  <c r="R667" i="3"/>
  <c r="S667" i="3"/>
  <c r="T667" i="3"/>
  <c r="U667" i="3"/>
  <c r="V667" i="3"/>
  <c r="W667" i="3"/>
  <c r="X667" i="3"/>
  <c r="Y667" i="3"/>
  <c r="Z667" i="3"/>
  <c r="H668" i="3"/>
  <c r="B668" i="3" s="1"/>
  <c r="I668" i="3"/>
  <c r="C668" i="3" s="1"/>
  <c r="P668" i="3"/>
  <c r="Q668" i="3"/>
  <c r="R668" i="3"/>
  <c r="S668" i="3"/>
  <c r="T668" i="3"/>
  <c r="U668" i="3"/>
  <c r="V668" i="3"/>
  <c r="W668" i="3"/>
  <c r="X668" i="3"/>
  <c r="Y668" i="3"/>
  <c r="Z668" i="3"/>
  <c r="H669" i="3"/>
  <c r="B669" i="3" s="1"/>
  <c r="I669" i="3"/>
  <c r="C669" i="3" s="1"/>
  <c r="P669" i="3"/>
  <c r="Q669" i="3"/>
  <c r="R669" i="3"/>
  <c r="S669" i="3"/>
  <c r="T669" i="3"/>
  <c r="U669" i="3"/>
  <c r="V669" i="3"/>
  <c r="W669" i="3"/>
  <c r="X669" i="3"/>
  <c r="Y669" i="3"/>
  <c r="Z669" i="3"/>
  <c r="H670" i="3"/>
  <c r="B670" i="3" s="1"/>
  <c r="I670" i="3"/>
  <c r="C670" i="3" s="1"/>
  <c r="P670" i="3"/>
  <c r="Q670" i="3"/>
  <c r="R670" i="3"/>
  <c r="S670" i="3"/>
  <c r="T670" i="3"/>
  <c r="U670" i="3"/>
  <c r="V670" i="3"/>
  <c r="W670" i="3"/>
  <c r="X670" i="3"/>
  <c r="Y670" i="3"/>
  <c r="Z670" i="3"/>
  <c r="H671" i="3"/>
  <c r="B671" i="3" s="1"/>
  <c r="I671" i="3"/>
  <c r="C671" i="3" s="1"/>
  <c r="P671" i="3"/>
  <c r="Q671" i="3"/>
  <c r="R671" i="3"/>
  <c r="S671" i="3"/>
  <c r="T671" i="3"/>
  <c r="U671" i="3"/>
  <c r="V671" i="3"/>
  <c r="W671" i="3"/>
  <c r="X671" i="3"/>
  <c r="Y671" i="3"/>
  <c r="Z671" i="3"/>
  <c r="H672" i="3"/>
  <c r="B672" i="3" s="1"/>
  <c r="I672" i="3"/>
  <c r="C672" i="3" s="1"/>
  <c r="P672" i="3"/>
  <c r="Q672" i="3"/>
  <c r="R672" i="3"/>
  <c r="S672" i="3"/>
  <c r="T672" i="3"/>
  <c r="U672" i="3"/>
  <c r="V672" i="3"/>
  <c r="W672" i="3"/>
  <c r="X672" i="3"/>
  <c r="Y672" i="3"/>
  <c r="Z672" i="3"/>
  <c r="H673" i="3"/>
  <c r="B673" i="3" s="1"/>
  <c r="I673" i="3"/>
  <c r="C673" i="3" s="1"/>
  <c r="P673" i="3"/>
  <c r="Q673" i="3"/>
  <c r="R673" i="3"/>
  <c r="S673" i="3"/>
  <c r="T673" i="3"/>
  <c r="U673" i="3"/>
  <c r="V673" i="3"/>
  <c r="W673" i="3"/>
  <c r="X673" i="3"/>
  <c r="Y673" i="3"/>
  <c r="Z673" i="3"/>
  <c r="H674" i="3"/>
  <c r="B674" i="3" s="1"/>
  <c r="I674" i="3"/>
  <c r="C674" i="3" s="1"/>
  <c r="P674" i="3"/>
  <c r="Q674" i="3"/>
  <c r="R674" i="3"/>
  <c r="S674" i="3"/>
  <c r="T674" i="3"/>
  <c r="U674" i="3"/>
  <c r="V674" i="3"/>
  <c r="W674" i="3"/>
  <c r="X674" i="3"/>
  <c r="Y674" i="3"/>
  <c r="Z674" i="3"/>
  <c r="H675" i="3"/>
  <c r="B675" i="3" s="1"/>
  <c r="I675" i="3"/>
  <c r="C675" i="3" s="1"/>
  <c r="P675" i="3"/>
  <c r="Q675" i="3"/>
  <c r="R675" i="3"/>
  <c r="S675" i="3"/>
  <c r="T675" i="3"/>
  <c r="U675" i="3"/>
  <c r="V675" i="3"/>
  <c r="W675" i="3"/>
  <c r="X675" i="3"/>
  <c r="Y675" i="3"/>
  <c r="Z675" i="3"/>
  <c r="H676" i="3"/>
  <c r="B676" i="3" s="1"/>
  <c r="I676" i="3"/>
  <c r="C676" i="3" s="1"/>
  <c r="P676" i="3"/>
  <c r="Q676" i="3"/>
  <c r="R676" i="3"/>
  <c r="S676" i="3"/>
  <c r="T676" i="3"/>
  <c r="U676" i="3"/>
  <c r="V676" i="3"/>
  <c r="W676" i="3"/>
  <c r="X676" i="3"/>
  <c r="Y676" i="3"/>
  <c r="Z676" i="3"/>
  <c r="H677" i="3"/>
  <c r="B677" i="3" s="1"/>
  <c r="I677" i="3"/>
  <c r="C677" i="3" s="1"/>
  <c r="P677" i="3"/>
  <c r="Q677" i="3"/>
  <c r="R677" i="3"/>
  <c r="S677" i="3"/>
  <c r="T677" i="3"/>
  <c r="U677" i="3"/>
  <c r="V677" i="3"/>
  <c r="W677" i="3"/>
  <c r="X677" i="3"/>
  <c r="Y677" i="3"/>
  <c r="Z677" i="3"/>
  <c r="H678" i="3"/>
  <c r="B678" i="3" s="1"/>
  <c r="I678" i="3"/>
  <c r="C678" i="3" s="1"/>
  <c r="P678" i="3"/>
  <c r="Q678" i="3"/>
  <c r="R678" i="3"/>
  <c r="S678" i="3"/>
  <c r="T678" i="3"/>
  <c r="U678" i="3"/>
  <c r="V678" i="3"/>
  <c r="W678" i="3"/>
  <c r="X678" i="3"/>
  <c r="Y678" i="3"/>
  <c r="Z678" i="3"/>
  <c r="H679" i="3"/>
  <c r="B679" i="3" s="1"/>
  <c r="I679" i="3"/>
  <c r="C679" i="3" s="1"/>
  <c r="P679" i="3"/>
  <c r="Q679" i="3"/>
  <c r="R679" i="3"/>
  <c r="S679" i="3"/>
  <c r="T679" i="3"/>
  <c r="U679" i="3"/>
  <c r="V679" i="3"/>
  <c r="W679" i="3"/>
  <c r="X679" i="3"/>
  <c r="Y679" i="3"/>
  <c r="Z679" i="3"/>
  <c r="H680" i="3"/>
  <c r="B680" i="3" s="1"/>
  <c r="I680" i="3"/>
  <c r="C680" i="3" s="1"/>
  <c r="P680" i="3"/>
  <c r="Q680" i="3"/>
  <c r="R680" i="3"/>
  <c r="S680" i="3"/>
  <c r="T680" i="3"/>
  <c r="U680" i="3"/>
  <c r="V680" i="3"/>
  <c r="W680" i="3"/>
  <c r="X680" i="3"/>
  <c r="Y680" i="3"/>
  <c r="Z680" i="3"/>
  <c r="H681" i="3"/>
  <c r="B681" i="3" s="1"/>
  <c r="I681" i="3"/>
  <c r="C681" i="3" s="1"/>
  <c r="P681" i="3"/>
  <c r="Q681" i="3"/>
  <c r="R681" i="3"/>
  <c r="S681" i="3"/>
  <c r="T681" i="3"/>
  <c r="U681" i="3"/>
  <c r="V681" i="3"/>
  <c r="W681" i="3"/>
  <c r="X681" i="3"/>
  <c r="Y681" i="3"/>
  <c r="Z681" i="3"/>
  <c r="H682" i="3"/>
  <c r="B682" i="3" s="1"/>
  <c r="I682" i="3"/>
  <c r="C682" i="3" s="1"/>
  <c r="P682" i="3"/>
  <c r="Q682" i="3"/>
  <c r="R682" i="3"/>
  <c r="S682" i="3"/>
  <c r="T682" i="3"/>
  <c r="U682" i="3"/>
  <c r="V682" i="3"/>
  <c r="W682" i="3"/>
  <c r="X682" i="3"/>
  <c r="Y682" i="3"/>
  <c r="Z682" i="3"/>
  <c r="H683" i="3"/>
  <c r="B683" i="3" s="1"/>
  <c r="I683" i="3"/>
  <c r="C683" i="3" s="1"/>
  <c r="P683" i="3"/>
  <c r="Q683" i="3"/>
  <c r="R683" i="3"/>
  <c r="S683" i="3"/>
  <c r="T683" i="3"/>
  <c r="U683" i="3"/>
  <c r="V683" i="3"/>
  <c r="W683" i="3"/>
  <c r="X683" i="3"/>
  <c r="Y683" i="3"/>
  <c r="Z683" i="3"/>
  <c r="H684" i="3"/>
  <c r="B684" i="3" s="1"/>
  <c r="I684" i="3"/>
  <c r="C684" i="3" s="1"/>
  <c r="P684" i="3"/>
  <c r="Q684" i="3"/>
  <c r="R684" i="3"/>
  <c r="S684" i="3"/>
  <c r="T684" i="3"/>
  <c r="U684" i="3"/>
  <c r="V684" i="3"/>
  <c r="W684" i="3"/>
  <c r="X684" i="3"/>
  <c r="Y684" i="3"/>
  <c r="Z684" i="3"/>
  <c r="H685" i="3"/>
  <c r="B685" i="3" s="1"/>
  <c r="I685" i="3"/>
  <c r="C685" i="3" s="1"/>
  <c r="P685" i="3"/>
  <c r="Q685" i="3"/>
  <c r="R685" i="3"/>
  <c r="S685" i="3"/>
  <c r="T685" i="3"/>
  <c r="U685" i="3"/>
  <c r="V685" i="3"/>
  <c r="W685" i="3"/>
  <c r="X685" i="3"/>
  <c r="Y685" i="3"/>
  <c r="Z685" i="3"/>
  <c r="H686" i="3"/>
  <c r="B686" i="3" s="1"/>
  <c r="I686" i="3"/>
  <c r="C686" i="3" s="1"/>
  <c r="P686" i="3"/>
  <c r="Q686" i="3"/>
  <c r="R686" i="3"/>
  <c r="S686" i="3"/>
  <c r="T686" i="3"/>
  <c r="U686" i="3"/>
  <c r="V686" i="3"/>
  <c r="W686" i="3"/>
  <c r="X686" i="3"/>
  <c r="Y686" i="3"/>
  <c r="Z686" i="3"/>
  <c r="H687" i="3"/>
  <c r="B687" i="3" s="1"/>
  <c r="I687" i="3"/>
  <c r="C687" i="3" s="1"/>
  <c r="P687" i="3"/>
  <c r="Q687" i="3"/>
  <c r="R687" i="3"/>
  <c r="S687" i="3"/>
  <c r="T687" i="3"/>
  <c r="U687" i="3"/>
  <c r="V687" i="3"/>
  <c r="W687" i="3"/>
  <c r="X687" i="3"/>
  <c r="Y687" i="3"/>
  <c r="Z687" i="3"/>
  <c r="H688" i="3"/>
  <c r="B688" i="3" s="1"/>
  <c r="I688" i="3"/>
  <c r="C688" i="3" s="1"/>
  <c r="P688" i="3"/>
  <c r="Q688" i="3"/>
  <c r="R688" i="3"/>
  <c r="S688" i="3"/>
  <c r="T688" i="3"/>
  <c r="U688" i="3"/>
  <c r="V688" i="3"/>
  <c r="W688" i="3"/>
  <c r="X688" i="3"/>
  <c r="Y688" i="3"/>
  <c r="Z688" i="3"/>
  <c r="H689" i="3"/>
  <c r="B689" i="3" s="1"/>
  <c r="I689" i="3"/>
  <c r="C689" i="3" s="1"/>
  <c r="P689" i="3"/>
  <c r="Q689" i="3"/>
  <c r="R689" i="3"/>
  <c r="S689" i="3"/>
  <c r="T689" i="3"/>
  <c r="U689" i="3"/>
  <c r="V689" i="3"/>
  <c r="W689" i="3"/>
  <c r="X689" i="3"/>
  <c r="Y689" i="3"/>
  <c r="Z689" i="3"/>
  <c r="H690" i="3"/>
  <c r="B690" i="3" s="1"/>
  <c r="I690" i="3"/>
  <c r="C690" i="3" s="1"/>
  <c r="P690" i="3"/>
  <c r="Q690" i="3"/>
  <c r="R690" i="3"/>
  <c r="S690" i="3"/>
  <c r="T690" i="3"/>
  <c r="U690" i="3"/>
  <c r="V690" i="3"/>
  <c r="W690" i="3"/>
  <c r="X690" i="3"/>
  <c r="Y690" i="3"/>
  <c r="Z690" i="3"/>
  <c r="H691" i="3"/>
  <c r="B691" i="3" s="1"/>
  <c r="I691" i="3"/>
  <c r="C691" i="3" s="1"/>
  <c r="P691" i="3"/>
  <c r="Q691" i="3"/>
  <c r="R691" i="3"/>
  <c r="S691" i="3"/>
  <c r="T691" i="3"/>
  <c r="U691" i="3"/>
  <c r="V691" i="3"/>
  <c r="W691" i="3"/>
  <c r="X691" i="3"/>
  <c r="Y691" i="3"/>
  <c r="Z691" i="3"/>
  <c r="H692" i="3"/>
  <c r="B692" i="3" s="1"/>
  <c r="I692" i="3"/>
  <c r="C692" i="3" s="1"/>
  <c r="P692" i="3"/>
  <c r="Q692" i="3"/>
  <c r="R692" i="3"/>
  <c r="S692" i="3"/>
  <c r="T692" i="3"/>
  <c r="U692" i="3"/>
  <c r="V692" i="3"/>
  <c r="W692" i="3"/>
  <c r="X692" i="3"/>
  <c r="Y692" i="3"/>
  <c r="Z692" i="3"/>
  <c r="H693" i="3"/>
  <c r="B693" i="3" s="1"/>
  <c r="I693" i="3"/>
  <c r="C693" i="3" s="1"/>
  <c r="P693" i="3"/>
  <c r="Q693" i="3"/>
  <c r="R693" i="3"/>
  <c r="S693" i="3"/>
  <c r="T693" i="3"/>
  <c r="U693" i="3"/>
  <c r="V693" i="3"/>
  <c r="W693" i="3"/>
  <c r="X693" i="3"/>
  <c r="Y693" i="3"/>
  <c r="Z693" i="3"/>
  <c r="H694" i="3"/>
  <c r="B694" i="3" s="1"/>
  <c r="I694" i="3"/>
  <c r="C694" i="3" s="1"/>
  <c r="P694" i="3"/>
  <c r="Q694" i="3"/>
  <c r="R694" i="3"/>
  <c r="S694" i="3"/>
  <c r="T694" i="3"/>
  <c r="U694" i="3"/>
  <c r="V694" i="3"/>
  <c r="W694" i="3"/>
  <c r="X694" i="3"/>
  <c r="Y694" i="3"/>
  <c r="Z694" i="3"/>
  <c r="H695" i="3"/>
  <c r="B695" i="3" s="1"/>
  <c r="I695" i="3"/>
  <c r="C695" i="3" s="1"/>
  <c r="P695" i="3"/>
  <c r="Q695" i="3"/>
  <c r="R695" i="3"/>
  <c r="S695" i="3"/>
  <c r="T695" i="3"/>
  <c r="U695" i="3"/>
  <c r="V695" i="3"/>
  <c r="W695" i="3"/>
  <c r="X695" i="3"/>
  <c r="Y695" i="3"/>
  <c r="Z695" i="3"/>
  <c r="H696" i="3"/>
  <c r="B696" i="3" s="1"/>
  <c r="I696" i="3"/>
  <c r="C696" i="3" s="1"/>
  <c r="P696" i="3"/>
  <c r="Q696" i="3"/>
  <c r="R696" i="3"/>
  <c r="S696" i="3"/>
  <c r="T696" i="3"/>
  <c r="U696" i="3"/>
  <c r="V696" i="3"/>
  <c r="W696" i="3"/>
  <c r="X696" i="3"/>
  <c r="Y696" i="3"/>
  <c r="Z696" i="3"/>
  <c r="H697" i="3"/>
  <c r="B697" i="3" s="1"/>
  <c r="I697" i="3"/>
  <c r="C697" i="3" s="1"/>
  <c r="P697" i="3"/>
  <c r="Q697" i="3"/>
  <c r="R697" i="3"/>
  <c r="S697" i="3"/>
  <c r="T697" i="3"/>
  <c r="U697" i="3"/>
  <c r="V697" i="3"/>
  <c r="W697" i="3"/>
  <c r="X697" i="3"/>
  <c r="Y697" i="3"/>
  <c r="Z697" i="3"/>
  <c r="H698" i="3"/>
  <c r="B698" i="3" s="1"/>
  <c r="I698" i="3"/>
  <c r="C698" i="3" s="1"/>
  <c r="P698" i="3"/>
  <c r="Q698" i="3"/>
  <c r="R698" i="3"/>
  <c r="S698" i="3"/>
  <c r="T698" i="3"/>
  <c r="U698" i="3"/>
  <c r="V698" i="3"/>
  <c r="W698" i="3"/>
  <c r="X698" i="3"/>
  <c r="Y698" i="3"/>
  <c r="Z698" i="3"/>
  <c r="H699" i="3"/>
  <c r="B699" i="3" s="1"/>
  <c r="I699" i="3"/>
  <c r="C699" i="3" s="1"/>
  <c r="P699" i="3"/>
  <c r="Q699" i="3"/>
  <c r="R699" i="3"/>
  <c r="S699" i="3"/>
  <c r="T699" i="3"/>
  <c r="U699" i="3"/>
  <c r="V699" i="3"/>
  <c r="W699" i="3"/>
  <c r="X699" i="3"/>
  <c r="Y699" i="3"/>
  <c r="Z699" i="3"/>
  <c r="H700" i="3"/>
  <c r="B700" i="3" s="1"/>
  <c r="I700" i="3"/>
  <c r="C700" i="3" s="1"/>
  <c r="P700" i="3"/>
  <c r="Q700" i="3"/>
  <c r="R700" i="3"/>
  <c r="S700" i="3"/>
  <c r="T700" i="3"/>
  <c r="U700" i="3"/>
  <c r="V700" i="3"/>
  <c r="W700" i="3"/>
  <c r="X700" i="3"/>
  <c r="Y700" i="3"/>
  <c r="Z700" i="3"/>
  <c r="H701" i="3"/>
  <c r="B701" i="3" s="1"/>
  <c r="I701" i="3"/>
  <c r="C701" i="3" s="1"/>
  <c r="P701" i="3"/>
  <c r="Q701" i="3"/>
  <c r="R701" i="3"/>
  <c r="S701" i="3"/>
  <c r="T701" i="3"/>
  <c r="U701" i="3"/>
  <c r="V701" i="3"/>
  <c r="W701" i="3"/>
  <c r="X701" i="3"/>
  <c r="Y701" i="3"/>
  <c r="Z701" i="3"/>
  <c r="H702" i="3"/>
  <c r="B702" i="3" s="1"/>
  <c r="I702" i="3"/>
  <c r="C702" i="3" s="1"/>
  <c r="P702" i="3"/>
  <c r="Q702" i="3"/>
  <c r="R702" i="3"/>
  <c r="S702" i="3"/>
  <c r="T702" i="3"/>
  <c r="U702" i="3"/>
  <c r="V702" i="3"/>
  <c r="W702" i="3"/>
  <c r="X702" i="3"/>
  <c r="Y702" i="3"/>
  <c r="Z702" i="3"/>
  <c r="H703" i="3"/>
  <c r="B703" i="3" s="1"/>
  <c r="I703" i="3"/>
  <c r="C703" i="3" s="1"/>
  <c r="P703" i="3"/>
  <c r="Q703" i="3"/>
  <c r="R703" i="3"/>
  <c r="S703" i="3"/>
  <c r="T703" i="3"/>
  <c r="U703" i="3"/>
  <c r="V703" i="3"/>
  <c r="W703" i="3"/>
  <c r="X703" i="3"/>
  <c r="Y703" i="3"/>
  <c r="Z703" i="3"/>
  <c r="H704" i="3"/>
  <c r="B704" i="3" s="1"/>
  <c r="I704" i="3"/>
  <c r="C704" i="3" s="1"/>
  <c r="P704" i="3"/>
  <c r="Q704" i="3"/>
  <c r="R704" i="3"/>
  <c r="S704" i="3"/>
  <c r="T704" i="3"/>
  <c r="U704" i="3"/>
  <c r="V704" i="3"/>
  <c r="W704" i="3"/>
  <c r="X704" i="3"/>
  <c r="Y704" i="3"/>
  <c r="Z704" i="3"/>
  <c r="H705" i="3"/>
  <c r="B705" i="3" s="1"/>
  <c r="I705" i="3"/>
  <c r="C705" i="3" s="1"/>
  <c r="P705" i="3"/>
  <c r="Q705" i="3"/>
  <c r="R705" i="3"/>
  <c r="S705" i="3"/>
  <c r="T705" i="3"/>
  <c r="U705" i="3"/>
  <c r="V705" i="3"/>
  <c r="W705" i="3"/>
  <c r="X705" i="3"/>
  <c r="Y705" i="3"/>
  <c r="Z705" i="3"/>
  <c r="H706" i="3"/>
  <c r="B706" i="3" s="1"/>
  <c r="I706" i="3"/>
  <c r="C706" i="3" s="1"/>
  <c r="P706" i="3"/>
  <c r="Q706" i="3"/>
  <c r="R706" i="3"/>
  <c r="S706" i="3"/>
  <c r="T706" i="3"/>
  <c r="U706" i="3"/>
  <c r="V706" i="3"/>
  <c r="W706" i="3"/>
  <c r="X706" i="3"/>
  <c r="Y706" i="3"/>
  <c r="Z706" i="3"/>
  <c r="H707" i="3"/>
  <c r="B707" i="3" s="1"/>
  <c r="I707" i="3"/>
  <c r="C707" i="3" s="1"/>
  <c r="P707" i="3"/>
  <c r="Q707" i="3"/>
  <c r="R707" i="3"/>
  <c r="S707" i="3"/>
  <c r="T707" i="3"/>
  <c r="U707" i="3"/>
  <c r="V707" i="3"/>
  <c r="W707" i="3"/>
  <c r="X707" i="3"/>
  <c r="Y707" i="3"/>
  <c r="Z707" i="3"/>
  <c r="H708" i="3"/>
  <c r="B708" i="3" s="1"/>
  <c r="I708" i="3"/>
  <c r="C708" i="3" s="1"/>
  <c r="P708" i="3"/>
  <c r="Q708" i="3"/>
  <c r="R708" i="3"/>
  <c r="S708" i="3"/>
  <c r="T708" i="3"/>
  <c r="U708" i="3"/>
  <c r="V708" i="3"/>
  <c r="W708" i="3"/>
  <c r="X708" i="3"/>
  <c r="Y708" i="3"/>
  <c r="Z708" i="3"/>
  <c r="H709" i="3"/>
  <c r="B709" i="3" s="1"/>
  <c r="I709" i="3"/>
  <c r="C709" i="3" s="1"/>
  <c r="P709" i="3"/>
  <c r="Q709" i="3"/>
  <c r="R709" i="3"/>
  <c r="S709" i="3"/>
  <c r="T709" i="3"/>
  <c r="U709" i="3"/>
  <c r="V709" i="3"/>
  <c r="W709" i="3"/>
  <c r="X709" i="3"/>
  <c r="Y709" i="3"/>
  <c r="Z709" i="3"/>
  <c r="H710" i="3"/>
  <c r="B710" i="3" s="1"/>
  <c r="I710" i="3"/>
  <c r="C710" i="3" s="1"/>
  <c r="P710" i="3"/>
  <c r="Q710" i="3"/>
  <c r="R710" i="3"/>
  <c r="S710" i="3"/>
  <c r="T710" i="3"/>
  <c r="U710" i="3"/>
  <c r="V710" i="3"/>
  <c r="W710" i="3"/>
  <c r="X710" i="3"/>
  <c r="Y710" i="3"/>
  <c r="Z710" i="3"/>
  <c r="H711" i="3"/>
  <c r="B711" i="3" s="1"/>
  <c r="I711" i="3"/>
  <c r="C711" i="3" s="1"/>
  <c r="P711" i="3"/>
  <c r="Q711" i="3"/>
  <c r="R711" i="3"/>
  <c r="S711" i="3"/>
  <c r="T711" i="3"/>
  <c r="U711" i="3"/>
  <c r="V711" i="3"/>
  <c r="W711" i="3"/>
  <c r="X711" i="3"/>
  <c r="Y711" i="3"/>
  <c r="Z711" i="3"/>
  <c r="H712" i="3"/>
  <c r="B712" i="3" s="1"/>
  <c r="I712" i="3"/>
  <c r="C712" i="3" s="1"/>
  <c r="P712" i="3"/>
  <c r="Q712" i="3"/>
  <c r="R712" i="3"/>
  <c r="S712" i="3"/>
  <c r="T712" i="3"/>
  <c r="U712" i="3"/>
  <c r="V712" i="3"/>
  <c r="W712" i="3"/>
  <c r="X712" i="3"/>
  <c r="Y712" i="3"/>
  <c r="Z712" i="3"/>
  <c r="H713" i="3"/>
  <c r="B713" i="3" s="1"/>
  <c r="I713" i="3"/>
  <c r="C713" i="3" s="1"/>
  <c r="P713" i="3"/>
  <c r="Q713" i="3"/>
  <c r="R713" i="3"/>
  <c r="S713" i="3"/>
  <c r="T713" i="3"/>
  <c r="U713" i="3"/>
  <c r="V713" i="3"/>
  <c r="W713" i="3"/>
  <c r="X713" i="3"/>
  <c r="Y713" i="3"/>
  <c r="Z713" i="3"/>
  <c r="H714" i="3"/>
  <c r="B714" i="3" s="1"/>
  <c r="I714" i="3"/>
  <c r="C714" i="3" s="1"/>
  <c r="P714" i="3"/>
  <c r="Q714" i="3"/>
  <c r="R714" i="3"/>
  <c r="S714" i="3"/>
  <c r="T714" i="3"/>
  <c r="U714" i="3"/>
  <c r="V714" i="3"/>
  <c r="W714" i="3"/>
  <c r="X714" i="3"/>
  <c r="Y714" i="3"/>
  <c r="Z714" i="3"/>
  <c r="H715" i="3"/>
  <c r="B715" i="3" s="1"/>
  <c r="I715" i="3"/>
  <c r="C715" i="3" s="1"/>
  <c r="P715" i="3"/>
  <c r="Q715" i="3"/>
  <c r="R715" i="3"/>
  <c r="S715" i="3"/>
  <c r="T715" i="3"/>
  <c r="U715" i="3"/>
  <c r="V715" i="3"/>
  <c r="W715" i="3"/>
  <c r="X715" i="3"/>
  <c r="Y715" i="3"/>
  <c r="Z715" i="3"/>
  <c r="H716" i="3"/>
  <c r="B716" i="3" s="1"/>
  <c r="I716" i="3"/>
  <c r="C716" i="3" s="1"/>
  <c r="P716" i="3"/>
  <c r="Q716" i="3"/>
  <c r="R716" i="3"/>
  <c r="S716" i="3"/>
  <c r="T716" i="3"/>
  <c r="U716" i="3"/>
  <c r="V716" i="3"/>
  <c r="W716" i="3"/>
  <c r="X716" i="3"/>
  <c r="Y716" i="3"/>
  <c r="Z716" i="3"/>
  <c r="H717" i="3"/>
  <c r="B717" i="3" s="1"/>
  <c r="I717" i="3"/>
  <c r="C717" i="3" s="1"/>
  <c r="P717" i="3"/>
  <c r="Q717" i="3"/>
  <c r="R717" i="3"/>
  <c r="S717" i="3"/>
  <c r="T717" i="3"/>
  <c r="U717" i="3"/>
  <c r="V717" i="3"/>
  <c r="W717" i="3"/>
  <c r="X717" i="3"/>
  <c r="Y717" i="3"/>
  <c r="Z717" i="3"/>
  <c r="H718" i="3"/>
  <c r="B718" i="3" s="1"/>
  <c r="I718" i="3"/>
  <c r="C718" i="3" s="1"/>
  <c r="P718" i="3"/>
  <c r="Q718" i="3"/>
  <c r="R718" i="3"/>
  <c r="S718" i="3"/>
  <c r="T718" i="3"/>
  <c r="U718" i="3"/>
  <c r="V718" i="3"/>
  <c r="W718" i="3"/>
  <c r="X718" i="3"/>
  <c r="Y718" i="3"/>
  <c r="Z718" i="3"/>
  <c r="H719" i="3"/>
  <c r="B719" i="3" s="1"/>
  <c r="I719" i="3"/>
  <c r="C719" i="3" s="1"/>
  <c r="P719" i="3"/>
  <c r="Q719" i="3"/>
  <c r="R719" i="3"/>
  <c r="S719" i="3"/>
  <c r="T719" i="3"/>
  <c r="U719" i="3"/>
  <c r="V719" i="3"/>
  <c r="W719" i="3"/>
  <c r="X719" i="3"/>
  <c r="Y719" i="3"/>
  <c r="Z719" i="3"/>
  <c r="H720" i="3"/>
  <c r="B720" i="3" s="1"/>
  <c r="I720" i="3"/>
  <c r="C720" i="3" s="1"/>
  <c r="P720" i="3"/>
  <c r="Q720" i="3"/>
  <c r="R720" i="3"/>
  <c r="S720" i="3"/>
  <c r="T720" i="3"/>
  <c r="U720" i="3"/>
  <c r="V720" i="3"/>
  <c r="W720" i="3"/>
  <c r="X720" i="3"/>
  <c r="Y720" i="3"/>
  <c r="Z720" i="3"/>
  <c r="H721" i="3"/>
  <c r="B721" i="3" s="1"/>
  <c r="I721" i="3"/>
  <c r="C721" i="3" s="1"/>
  <c r="P721" i="3"/>
  <c r="Q721" i="3"/>
  <c r="R721" i="3"/>
  <c r="S721" i="3"/>
  <c r="T721" i="3"/>
  <c r="U721" i="3"/>
  <c r="V721" i="3"/>
  <c r="W721" i="3"/>
  <c r="X721" i="3"/>
  <c r="Y721" i="3"/>
  <c r="Z721" i="3"/>
  <c r="H722" i="3"/>
  <c r="B722" i="3" s="1"/>
  <c r="I722" i="3"/>
  <c r="C722" i="3" s="1"/>
  <c r="P722" i="3"/>
  <c r="Q722" i="3"/>
  <c r="R722" i="3"/>
  <c r="S722" i="3"/>
  <c r="T722" i="3"/>
  <c r="U722" i="3"/>
  <c r="V722" i="3"/>
  <c r="W722" i="3"/>
  <c r="X722" i="3"/>
  <c r="Y722" i="3"/>
  <c r="Z722" i="3"/>
  <c r="H723" i="3"/>
  <c r="B723" i="3" s="1"/>
  <c r="I723" i="3"/>
  <c r="C723" i="3" s="1"/>
  <c r="P723" i="3"/>
  <c r="Q723" i="3"/>
  <c r="R723" i="3"/>
  <c r="S723" i="3"/>
  <c r="T723" i="3"/>
  <c r="U723" i="3"/>
  <c r="V723" i="3"/>
  <c r="W723" i="3"/>
  <c r="X723" i="3"/>
  <c r="Y723" i="3"/>
  <c r="Z723" i="3"/>
  <c r="H724" i="3"/>
  <c r="B724" i="3" s="1"/>
  <c r="I724" i="3"/>
  <c r="C724" i="3" s="1"/>
  <c r="P724" i="3"/>
  <c r="Q724" i="3"/>
  <c r="R724" i="3"/>
  <c r="S724" i="3"/>
  <c r="T724" i="3"/>
  <c r="U724" i="3"/>
  <c r="V724" i="3"/>
  <c r="W724" i="3"/>
  <c r="X724" i="3"/>
  <c r="Y724" i="3"/>
  <c r="Z724" i="3"/>
  <c r="H725" i="3"/>
  <c r="B725" i="3" s="1"/>
  <c r="I725" i="3"/>
  <c r="C725" i="3" s="1"/>
  <c r="P725" i="3"/>
  <c r="Q725" i="3"/>
  <c r="R725" i="3"/>
  <c r="S725" i="3"/>
  <c r="T725" i="3"/>
  <c r="U725" i="3"/>
  <c r="V725" i="3"/>
  <c r="W725" i="3"/>
  <c r="X725" i="3"/>
  <c r="Y725" i="3"/>
  <c r="Z725" i="3"/>
  <c r="H726" i="3"/>
  <c r="B726" i="3" s="1"/>
  <c r="I726" i="3"/>
  <c r="C726" i="3" s="1"/>
  <c r="P726" i="3"/>
  <c r="Q726" i="3"/>
  <c r="R726" i="3"/>
  <c r="S726" i="3"/>
  <c r="T726" i="3"/>
  <c r="U726" i="3"/>
  <c r="V726" i="3"/>
  <c r="W726" i="3"/>
  <c r="X726" i="3"/>
  <c r="Y726" i="3"/>
  <c r="Z726" i="3"/>
  <c r="H727" i="3"/>
  <c r="B727" i="3" s="1"/>
  <c r="I727" i="3"/>
  <c r="C727" i="3" s="1"/>
  <c r="P727" i="3"/>
  <c r="Q727" i="3"/>
  <c r="R727" i="3"/>
  <c r="S727" i="3"/>
  <c r="T727" i="3"/>
  <c r="U727" i="3"/>
  <c r="V727" i="3"/>
  <c r="W727" i="3"/>
  <c r="X727" i="3"/>
  <c r="Y727" i="3"/>
  <c r="Z727" i="3"/>
  <c r="H728" i="3"/>
  <c r="B728" i="3" s="1"/>
  <c r="I728" i="3"/>
  <c r="C728" i="3" s="1"/>
  <c r="P728" i="3"/>
  <c r="Q728" i="3"/>
  <c r="R728" i="3"/>
  <c r="S728" i="3"/>
  <c r="T728" i="3"/>
  <c r="U728" i="3"/>
  <c r="V728" i="3"/>
  <c r="W728" i="3"/>
  <c r="X728" i="3"/>
  <c r="Y728" i="3"/>
  <c r="Z728" i="3"/>
  <c r="H729" i="3"/>
  <c r="B729" i="3" s="1"/>
  <c r="I729" i="3"/>
  <c r="C729" i="3" s="1"/>
  <c r="P729" i="3"/>
  <c r="Q729" i="3"/>
  <c r="R729" i="3"/>
  <c r="S729" i="3"/>
  <c r="T729" i="3"/>
  <c r="U729" i="3"/>
  <c r="V729" i="3"/>
  <c r="W729" i="3"/>
  <c r="X729" i="3"/>
  <c r="Y729" i="3"/>
  <c r="Z729" i="3"/>
  <c r="H730" i="3"/>
  <c r="B730" i="3" s="1"/>
  <c r="I730" i="3"/>
  <c r="C730" i="3" s="1"/>
  <c r="P730" i="3"/>
  <c r="Q730" i="3"/>
  <c r="R730" i="3"/>
  <c r="S730" i="3"/>
  <c r="T730" i="3"/>
  <c r="U730" i="3"/>
  <c r="V730" i="3"/>
  <c r="W730" i="3"/>
  <c r="X730" i="3"/>
  <c r="Y730" i="3"/>
  <c r="Z730" i="3"/>
  <c r="H731" i="3"/>
  <c r="B731" i="3" s="1"/>
  <c r="I731" i="3"/>
  <c r="C731" i="3" s="1"/>
  <c r="P731" i="3"/>
  <c r="Q731" i="3"/>
  <c r="R731" i="3"/>
  <c r="S731" i="3"/>
  <c r="T731" i="3"/>
  <c r="U731" i="3"/>
  <c r="V731" i="3"/>
  <c r="W731" i="3"/>
  <c r="X731" i="3"/>
  <c r="Y731" i="3"/>
  <c r="Z731" i="3"/>
  <c r="H732" i="3"/>
  <c r="B732" i="3" s="1"/>
  <c r="I732" i="3"/>
  <c r="C732" i="3" s="1"/>
  <c r="P732" i="3"/>
  <c r="Q732" i="3"/>
  <c r="R732" i="3"/>
  <c r="S732" i="3"/>
  <c r="T732" i="3"/>
  <c r="U732" i="3"/>
  <c r="V732" i="3"/>
  <c r="W732" i="3"/>
  <c r="X732" i="3"/>
  <c r="Y732" i="3"/>
  <c r="Z732" i="3"/>
  <c r="H733" i="3"/>
  <c r="B733" i="3" s="1"/>
  <c r="I733" i="3"/>
  <c r="C733" i="3" s="1"/>
  <c r="P733" i="3"/>
  <c r="Q733" i="3"/>
  <c r="R733" i="3"/>
  <c r="S733" i="3"/>
  <c r="T733" i="3"/>
  <c r="U733" i="3"/>
  <c r="V733" i="3"/>
  <c r="W733" i="3"/>
  <c r="X733" i="3"/>
  <c r="Y733" i="3"/>
  <c r="Z733" i="3"/>
  <c r="H734" i="3"/>
  <c r="B734" i="3" s="1"/>
  <c r="I734" i="3"/>
  <c r="C734" i="3" s="1"/>
  <c r="P734" i="3"/>
  <c r="Q734" i="3"/>
  <c r="R734" i="3"/>
  <c r="S734" i="3"/>
  <c r="T734" i="3"/>
  <c r="U734" i="3"/>
  <c r="V734" i="3"/>
  <c r="W734" i="3"/>
  <c r="X734" i="3"/>
  <c r="Y734" i="3"/>
  <c r="Z734" i="3"/>
  <c r="H735" i="3"/>
  <c r="B735" i="3" s="1"/>
  <c r="I735" i="3"/>
  <c r="C735" i="3" s="1"/>
  <c r="P735" i="3"/>
  <c r="Q735" i="3"/>
  <c r="R735" i="3"/>
  <c r="S735" i="3"/>
  <c r="T735" i="3"/>
  <c r="U735" i="3"/>
  <c r="V735" i="3"/>
  <c r="W735" i="3"/>
  <c r="X735" i="3"/>
  <c r="Y735" i="3"/>
  <c r="Z735" i="3"/>
  <c r="H736" i="3"/>
  <c r="B736" i="3" s="1"/>
  <c r="I736" i="3"/>
  <c r="C736" i="3" s="1"/>
  <c r="P736" i="3"/>
  <c r="Q736" i="3"/>
  <c r="R736" i="3"/>
  <c r="S736" i="3"/>
  <c r="T736" i="3"/>
  <c r="U736" i="3"/>
  <c r="V736" i="3"/>
  <c r="W736" i="3"/>
  <c r="X736" i="3"/>
  <c r="Y736" i="3"/>
  <c r="Z736" i="3"/>
  <c r="H737" i="3"/>
  <c r="B737" i="3" s="1"/>
  <c r="I737" i="3"/>
  <c r="C737" i="3" s="1"/>
  <c r="P737" i="3"/>
  <c r="Q737" i="3"/>
  <c r="R737" i="3"/>
  <c r="S737" i="3"/>
  <c r="T737" i="3"/>
  <c r="U737" i="3"/>
  <c r="V737" i="3"/>
  <c r="W737" i="3"/>
  <c r="X737" i="3"/>
  <c r="Y737" i="3"/>
  <c r="Z737" i="3"/>
  <c r="H738" i="3"/>
  <c r="B738" i="3" s="1"/>
  <c r="I738" i="3"/>
  <c r="C738" i="3" s="1"/>
  <c r="P738" i="3"/>
  <c r="Q738" i="3"/>
  <c r="R738" i="3"/>
  <c r="S738" i="3"/>
  <c r="T738" i="3"/>
  <c r="U738" i="3"/>
  <c r="V738" i="3"/>
  <c r="W738" i="3"/>
  <c r="X738" i="3"/>
  <c r="Y738" i="3"/>
  <c r="Z738" i="3"/>
  <c r="H739" i="3"/>
  <c r="B739" i="3" s="1"/>
  <c r="I739" i="3"/>
  <c r="C739" i="3" s="1"/>
  <c r="P739" i="3"/>
  <c r="Q739" i="3"/>
  <c r="R739" i="3"/>
  <c r="S739" i="3"/>
  <c r="T739" i="3"/>
  <c r="U739" i="3"/>
  <c r="V739" i="3"/>
  <c r="W739" i="3"/>
  <c r="X739" i="3"/>
  <c r="Y739" i="3"/>
  <c r="Z739" i="3"/>
  <c r="H740" i="3"/>
  <c r="B740" i="3" s="1"/>
  <c r="I740" i="3"/>
  <c r="C740" i="3" s="1"/>
  <c r="P740" i="3"/>
  <c r="Q740" i="3"/>
  <c r="R740" i="3"/>
  <c r="S740" i="3"/>
  <c r="T740" i="3"/>
  <c r="U740" i="3"/>
  <c r="V740" i="3"/>
  <c r="W740" i="3"/>
  <c r="X740" i="3"/>
  <c r="Y740" i="3"/>
  <c r="Z740" i="3"/>
  <c r="H741" i="3"/>
  <c r="B741" i="3" s="1"/>
  <c r="I741" i="3"/>
  <c r="C741" i="3" s="1"/>
  <c r="P741" i="3"/>
  <c r="Q741" i="3"/>
  <c r="R741" i="3"/>
  <c r="S741" i="3"/>
  <c r="T741" i="3"/>
  <c r="U741" i="3"/>
  <c r="V741" i="3"/>
  <c r="W741" i="3"/>
  <c r="X741" i="3"/>
  <c r="Y741" i="3"/>
  <c r="Z741" i="3"/>
  <c r="H742" i="3"/>
  <c r="B742" i="3" s="1"/>
  <c r="I742" i="3"/>
  <c r="C742" i="3" s="1"/>
  <c r="P742" i="3"/>
  <c r="Q742" i="3"/>
  <c r="R742" i="3"/>
  <c r="S742" i="3"/>
  <c r="T742" i="3"/>
  <c r="U742" i="3"/>
  <c r="V742" i="3"/>
  <c r="W742" i="3"/>
  <c r="X742" i="3"/>
  <c r="Y742" i="3"/>
  <c r="Z742" i="3"/>
  <c r="H743" i="3"/>
  <c r="B743" i="3" s="1"/>
  <c r="I743" i="3"/>
  <c r="C743" i="3" s="1"/>
  <c r="P743" i="3"/>
  <c r="Q743" i="3"/>
  <c r="R743" i="3"/>
  <c r="S743" i="3"/>
  <c r="T743" i="3"/>
  <c r="U743" i="3"/>
  <c r="V743" i="3"/>
  <c r="W743" i="3"/>
  <c r="X743" i="3"/>
  <c r="Y743" i="3"/>
  <c r="Z743" i="3"/>
  <c r="H744" i="3"/>
  <c r="B744" i="3" s="1"/>
  <c r="I744" i="3"/>
  <c r="C744" i="3" s="1"/>
  <c r="P744" i="3"/>
  <c r="Q744" i="3"/>
  <c r="R744" i="3"/>
  <c r="S744" i="3"/>
  <c r="T744" i="3"/>
  <c r="U744" i="3"/>
  <c r="V744" i="3"/>
  <c r="W744" i="3"/>
  <c r="X744" i="3"/>
  <c r="Y744" i="3"/>
  <c r="Z744" i="3"/>
  <c r="H745" i="3"/>
  <c r="B745" i="3" s="1"/>
  <c r="I745" i="3"/>
  <c r="C745" i="3" s="1"/>
  <c r="P745" i="3"/>
  <c r="Q745" i="3"/>
  <c r="R745" i="3"/>
  <c r="S745" i="3"/>
  <c r="T745" i="3"/>
  <c r="U745" i="3"/>
  <c r="V745" i="3"/>
  <c r="W745" i="3"/>
  <c r="X745" i="3"/>
  <c r="Y745" i="3"/>
  <c r="Z745" i="3"/>
  <c r="H746" i="3"/>
  <c r="B746" i="3" s="1"/>
  <c r="I746" i="3"/>
  <c r="C746" i="3" s="1"/>
  <c r="P746" i="3"/>
  <c r="Q746" i="3"/>
  <c r="R746" i="3"/>
  <c r="S746" i="3"/>
  <c r="T746" i="3"/>
  <c r="U746" i="3"/>
  <c r="V746" i="3"/>
  <c r="W746" i="3"/>
  <c r="X746" i="3"/>
  <c r="Y746" i="3"/>
  <c r="Z746" i="3"/>
  <c r="H747" i="3"/>
  <c r="B747" i="3" s="1"/>
  <c r="I747" i="3"/>
  <c r="C747" i="3" s="1"/>
  <c r="P747" i="3"/>
  <c r="Q747" i="3"/>
  <c r="R747" i="3"/>
  <c r="S747" i="3"/>
  <c r="T747" i="3"/>
  <c r="U747" i="3"/>
  <c r="V747" i="3"/>
  <c r="W747" i="3"/>
  <c r="X747" i="3"/>
  <c r="Y747" i="3"/>
  <c r="Z747" i="3"/>
  <c r="H748" i="3"/>
  <c r="B748" i="3" s="1"/>
  <c r="I748" i="3"/>
  <c r="C748" i="3" s="1"/>
  <c r="P748" i="3"/>
  <c r="Q748" i="3"/>
  <c r="R748" i="3"/>
  <c r="S748" i="3"/>
  <c r="T748" i="3"/>
  <c r="U748" i="3"/>
  <c r="V748" i="3"/>
  <c r="W748" i="3"/>
  <c r="X748" i="3"/>
  <c r="Y748" i="3"/>
  <c r="Z748" i="3"/>
  <c r="H749" i="3"/>
  <c r="B749" i="3" s="1"/>
  <c r="I749" i="3"/>
  <c r="C749" i="3" s="1"/>
  <c r="P749" i="3"/>
  <c r="Q749" i="3"/>
  <c r="R749" i="3"/>
  <c r="S749" i="3"/>
  <c r="T749" i="3"/>
  <c r="U749" i="3"/>
  <c r="V749" i="3"/>
  <c r="W749" i="3"/>
  <c r="X749" i="3"/>
  <c r="Y749" i="3"/>
  <c r="Z749" i="3"/>
  <c r="H750" i="3"/>
  <c r="B750" i="3" s="1"/>
  <c r="I750" i="3"/>
  <c r="C750" i="3" s="1"/>
  <c r="P750" i="3"/>
  <c r="Q750" i="3"/>
  <c r="R750" i="3"/>
  <c r="S750" i="3"/>
  <c r="T750" i="3"/>
  <c r="U750" i="3"/>
  <c r="V750" i="3"/>
  <c r="W750" i="3"/>
  <c r="X750" i="3"/>
  <c r="Y750" i="3"/>
  <c r="Z750" i="3"/>
  <c r="H751" i="3"/>
  <c r="B751" i="3" s="1"/>
  <c r="I751" i="3"/>
  <c r="C751" i="3" s="1"/>
  <c r="P751" i="3"/>
  <c r="Q751" i="3"/>
  <c r="R751" i="3"/>
  <c r="S751" i="3"/>
  <c r="T751" i="3"/>
  <c r="U751" i="3"/>
  <c r="V751" i="3"/>
  <c r="W751" i="3"/>
  <c r="X751" i="3"/>
  <c r="Y751" i="3"/>
  <c r="Z751" i="3"/>
  <c r="H752" i="3"/>
  <c r="B752" i="3" s="1"/>
  <c r="I752" i="3"/>
  <c r="C752" i="3" s="1"/>
  <c r="P752" i="3"/>
  <c r="Q752" i="3"/>
  <c r="R752" i="3"/>
  <c r="S752" i="3"/>
  <c r="T752" i="3"/>
  <c r="U752" i="3"/>
  <c r="V752" i="3"/>
  <c r="W752" i="3"/>
  <c r="X752" i="3"/>
  <c r="Y752" i="3"/>
  <c r="Z752" i="3"/>
  <c r="H753" i="3"/>
  <c r="B753" i="3" s="1"/>
  <c r="I753" i="3"/>
  <c r="C753" i="3" s="1"/>
  <c r="P753" i="3"/>
  <c r="Q753" i="3"/>
  <c r="R753" i="3"/>
  <c r="S753" i="3"/>
  <c r="T753" i="3"/>
  <c r="U753" i="3"/>
  <c r="V753" i="3"/>
  <c r="W753" i="3"/>
  <c r="X753" i="3"/>
  <c r="Y753" i="3"/>
  <c r="Z753" i="3"/>
  <c r="H754" i="3"/>
  <c r="B754" i="3" s="1"/>
  <c r="I754" i="3"/>
  <c r="C754" i="3" s="1"/>
  <c r="P754" i="3"/>
  <c r="Q754" i="3"/>
  <c r="R754" i="3"/>
  <c r="S754" i="3"/>
  <c r="T754" i="3"/>
  <c r="U754" i="3"/>
  <c r="V754" i="3"/>
  <c r="W754" i="3"/>
  <c r="X754" i="3"/>
  <c r="Y754" i="3"/>
  <c r="Z754" i="3"/>
  <c r="H755" i="3"/>
  <c r="B755" i="3" s="1"/>
  <c r="I755" i="3"/>
  <c r="C755" i="3" s="1"/>
  <c r="P755" i="3"/>
  <c r="Q755" i="3"/>
  <c r="R755" i="3"/>
  <c r="S755" i="3"/>
  <c r="T755" i="3"/>
  <c r="U755" i="3"/>
  <c r="V755" i="3"/>
  <c r="W755" i="3"/>
  <c r="X755" i="3"/>
  <c r="Y755" i="3"/>
  <c r="Z755" i="3"/>
  <c r="H756" i="3"/>
  <c r="B756" i="3" s="1"/>
  <c r="I756" i="3"/>
  <c r="C756" i="3" s="1"/>
  <c r="P756" i="3"/>
  <c r="Q756" i="3"/>
  <c r="R756" i="3"/>
  <c r="S756" i="3"/>
  <c r="T756" i="3"/>
  <c r="U756" i="3"/>
  <c r="V756" i="3"/>
  <c r="W756" i="3"/>
  <c r="X756" i="3"/>
  <c r="Y756" i="3"/>
  <c r="Z756" i="3"/>
  <c r="H757" i="3"/>
  <c r="B757" i="3" s="1"/>
  <c r="I757" i="3"/>
  <c r="C757" i="3" s="1"/>
  <c r="P757" i="3"/>
  <c r="Q757" i="3"/>
  <c r="R757" i="3"/>
  <c r="S757" i="3"/>
  <c r="T757" i="3"/>
  <c r="U757" i="3"/>
  <c r="V757" i="3"/>
  <c r="W757" i="3"/>
  <c r="X757" i="3"/>
  <c r="Y757" i="3"/>
  <c r="Z757" i="3"/>
  <c r="H758" i="3"/>
  <c r="B758" i="3" s="1"/>
  <c r="I758" i="3"/>
  <c r="C758" i="3" s="1"/>
  <c r="P758" i="3"/>
  <c r="Q758" i="3"/>
  <c r="R758" i="3"/>
  <c r="S758" i="3"/>
  <c r="T758" i="3"/>
  <c r="U758" i="3"/>
  <c r="V758" i="3"/>
  <c r="W758" i="3"/>
  <c r="X758" i="3"/>
  <c r="Y758" i="3"/>
  <c r="Z758" i="3"/>
  <c r="H759" i="3"/>
  <c r="B759" i="3" s="1"/>
  <c r="I759" i="3"/>
  <c r="C759" i="3" s="1"/>
  <c r="P759" i="3"/>
  <c r="Q759" i="3"/>
  <c r="R759" i="3"/>
  <c r="S759" i="3"/>
  <c r="T759" i="3"/>
  <c r="U759" i="3"/>
  <c r="V759" i="3"/>
  <c r="W759" i="3"/>
  <c r="X759" i="3"/>
  <c r="Y759" i="3"/>
  <c r="Z759" i="3"/>
  <c r="H760" i="3"/>
  <c r="B760" i="3" s="1"/>
  <c r="I760" i="3"/>
  <c r="C760" i="3" s="1"/>
  <c r="P760" i="3"/>
  <c r="Q760" i="3"/>
  <c r="R760" i="3"/>
  <c r="S760" i="3"/>
  <c r="T760" i="3"/>
  <c r="U760" i="3"/>
  <c r="V760" i="3"/>
  <c r="W760" i="3"/>
  <c r="X760" i="3"/>
  <c r="Y760" i="3"/>
  <c r="Z760" i="3"/>
  <c r="H761" i="3"/>
  <c r="B761" i="3" s="1"/>
  <c r="I761" i="3"/>
  <c r="C761" i="3" s="1"/>
  <c r="P761" i="3"/>
  <c r="Q761" i="3"/>
  <c r="R761" i="3"/>
  <c r="S761" i="3"/>
  <c r="T761" i="3"/>
  <c r="U761" i="3"/>
  <c r="V761" i="3"/>
  <c r="W761" i="3"/>
  <c r="X761" i="3"/>
  <c r="Y761" i="3"/>
  <c r="Z761" i="3"/>
  <c r="H762" i="3"/>
  <c r="B762" i="3" s="1"/>
  <c r="I762" i="3"/>
  <c r="C762" i="3" s="1"/>
  <c r="P762" i="3"/>
  <c r="Q762" i="3"/>
  <c r="R762" i="3"/>
  <c r="S762" i="3"/>
  <c r="T762" i="3"/>
  <c r="U762" i="3"/>
  <c r="V762" i="3"/>
  <c r="W762" i="3"/>
  <c r="X762" i="3"/>
  <c r="Y762" i="3"/>
  <c r="Z762" i="3"/>
  <c r="H763" i="3"/>
  <c r="B763" i="3" s="1"/>
  <c r="I763" i="3"/>
  <c r="C763" i="3" s="1"/>
  <c r="P763" i="3"/>
  <c r="Q763" i="3"/>
  <c r="R763" i="3"/>
  <c r="S763" i="3"/>
  <c r="T763" i="3"/>
  <c r="U763" i="3"/>
  <c r="V763" i="3"/>
  <c r="W763" i="3"/>
  <c r="X763" i="3"/>
  <c r="Y763" i="3"/>
  <c r="Z763" i="3"/>
  <c r="H764" i="3"/>
  <c r="B764" i="3" s="1"/>
  <c r="I764" i="3"/>
  <c r="C764" i="3" s="1"/>
  <c r="P764" i="3"/>
  <c r="Q764" i="3"/>
  <c r="R764" i="3"/>
  <c r="S764" i="3"/>
  <c r="T764" i="3"/>
  <c r="U764" i="3"/>
  <c r="V764" i="3"/>
  <c r="W764" i="3"/>
  <c r="X764" i="3"/>
  <c r="Y764" i="3"/>
  <c r="Z764" i="3"/>
  <c r="H765" i="3"/>
  <c r="B765" i="3" s="1"/>
  <c r="I765" i="3"/>
  <c r="C765" i="3" s="1"/>
  <c r="P765" i="3"/>
  <c r="Q765" i="3"/>
  <c r="R765" i="3"/>
  <c r="S765" i="3"/>
  <c r="T765" i="3"/>
  <c r="U765" i="3"/>
  <c r="V765" i="3"/>
  <c r="W765" i="3"/>
  <c r="X765" i="3"/>
  <c r="Y765" i="3"/>
  <c r="Z765" i="3"/>
  <c r="H766" i="3"/>
  <c r="B766" i="3" s="1"/>
  <c r="I766" i="3"/>
  <c r="C766" i="3" s="1"/>
  <c r="P766" i="3"/>
  <c r="Q766" i="3"/>
  <c r="R766" i="3"/>
  <c r="S766" i="3"/>
  <c r="T766" i="3"/>
  <c r="U766" i="3"/>
  <c r="V766" i="3"/>
  <c r="W766" i="3"/>
  <c r="X766" i="3"/>
  <c r="Y766" i="3"/>
  <c r="Z766" i="3"/>
  <c r="H767" i="3"/>
  <c r="B767" i="3" s="1"/>
  <c r="I767" i="3"/>
  <c r="C767" i="3" s="1"/>
  <c r="P767" i="3"/>
  <c r="Q767" i="3"/>
  <c r="R767" i="3"/>
  <c r="S767" i="3"/>
  <c r="T767" i="3"/>
  <c r="U767" i="3"/>
  <c r="V767" i="3"/>
  <c r="W767" i="3"/>
  <c r="X767" i="3"/>
  <c r="Y767" i="3"/>
  <c r="Z767" i="3"/>
  <c r="H768" i="3"/>
  <c r="B768" i="3" s="1"/>
  <c r="I768" i="3"/>
  <c r="C768" i="3" s="1"/>
  <c r="P768" i="3"/>
  <c r="Q768" i="3"/>
  <c r="R768" i="3"/>
  <c r="S768" i="3"/>
  <c r="T768" i="3"/>
  <c r="U768" i="3"/>
  <c r="V768" i="3"/>
  <c r="W768" i="3"/>
  <c r="X768" i="3"/>
  <c r="Y768" i="3"/>
  <c r="Z768" i="3"/>
  <c r="H769" i="3"/>
  <c r="B769" i="3" s="1"/>
  <c r="I769" i="3"/>
  <c r="C769" i="3" s="1"/>
  <c r="P769" i="3"/>
  <c r="Q769" i="3"/>
  <c r="R769" i="3"/>
  <c r="S769" i="3"/>
  <c r="T769" i="3"/>
  <c r="U769" i="3"/>
  <c r="V769" i="3"/>
  <c r="W769" i="3"/>
  <c r="X769" i="3"/>
  <c r="Y769" i="3"/>
  <c r="Z769" i="3"/>
  <c r="H770" i="3"/>
  <c r="B770" i="3" s="1"/>
  <c r="I770" i="3"/>
  <c r="C770" i="3" s="1"/>
  <c r="P770" i="3"/>
  <c r="Q770" i="3"/>
  <c r="R770" i="3"/>
  <c r="S770" i="3"/>
  <c r="T770" i="3"/>
  <c r="U770" i="3"/>
  <c r="V770" i="3"/>
  <c r="W770" i="3"/>
  <c r="X770" i="3"/>
  <c r="Y770" i="3"/>
  <c r="Z770" i="3"/>
  <c r="H771" i="3"/>
  <c r="B771" i="3" s="1"/>
  <c r="I771" i="3"/>
  <c r="C771" i="3" s="1"/>
  <c r="P771" i="3"/>
  <c r="Q771" i="3"/>
  <c r="R771" i="3"/>
  <c r="S771" i="3"/>
  <c r="T771" i="3"/>
  <c r="U771" i="3"/>
  <c r="V771" i="3"/>
  <c r="W771" i="3"/>
  <c r="X771" i="3"/>
  <c r="Y771" i="3"/>
  <c r="Z771" i="3"/>
  <c r="H772" i="3"/>
  <c r="B772" i="3" s="1"/>
  <c r="I772" i="3"/>
  <c r="C772" i="3" s="1"/>
  <c r="P772" i="3"/>
  <c r="Q772" i="3"/>
  <c r="R772" i="3"/>
  <c r="S772" i="3"/>
  <c r="T772" i="3"/>
  <c r="U772" i="3"/>
  <c r="V772" i="3"/>
  <c r="W772" i="3"/>
  <c r="X772" i="3"/>
  <c r="Y772" i="3"/>
  <c r="Z772" i="3"/>
  <c r="H773" i="3"/>
  <c r="B773" i="3" s="1"/>
  <c r="I773" i="3"/>
  <c r="C773" i="3" s="1"/>
  <c r="P773" i="3"/>
  <c r="Q773" i="3"/>
  <c r="R773" i="3"/>
  <c r="S773" i="3"/>
  <c r="T773" i="3"/>
  <c r="U773" i="3"/>
  <c r="V773" i="3"/>
  <c r="W773" i="3"/>
  <c r="X773" i="3"/>
  <c r="Y773" i="3"/>
  <c r="Z773" i="3"/>
  <c r="H774" i="3"/>
  <c r="B774" i="3" s="1"/>
  <c r="I774" i="3"/>
  <c r="C774" i="3" s="1"/>
  <c r="P774" i="3"/>
  <c r="Q774" i="3"/>
  <c r="R774" i="3"/>
  <c r="S774" i="3"/>
  <c r="T774" i="3"/>
  <c r="U774" i="3"/>
  <c r="V774" i="3"/>
  <c r="W774" i="3"/>
  <c r="X774" i="3"/>
  <c r="Y774" i="3"/>
  <c r="Z774" i="3"/>
  <c r="H775" i="3"/>
  <c r="B775" i="3" s="1"/>
  <c r="I775" i="3"/>
  <c r="C775" i="3" s="1"/>
  <c r="P775" i="3"/>
  <c r="Q775" i="3"/>
  <c r="R775" i="3"/>
  <c r="S775" i="3"/>
  <c r="T775" i="3"/>
  <c r="U775" i="3"/>
  <c r="V775" i="3"/>
  <c r="W775" i="3"/>
  <c r="X775" i="3"/>
  <c r="Y775" i="3"/>
  <c r="Z775" i="3"/>
  <c r="H776" i="3"/>
  <c r="B776" i="3" s="1"/>
  <c r="I776" i="3"/>
  <c r="C776" i="3" s="1"/>
  <c r="P776" i="3"/>
  <c r="Q776" i="3"/>
  <c r="R776" i="3"/>
  <c r="S776" i="3"/>
  <c r="T776" i="3"/>
  <c r="U776" i="3"/>
  <c r="V776" i="3"/>
  <c r="W776" i="3"/>
  <c r="X776" i="3"/>
  <c r="Y776" i="3"/>
  <c r="Z776" i="3"/>
  <c r="H777" i="3"/>
  <c r="B777" i="3" s="1"/>
  <c r="I777" i="3"/>
  <c r="C777" i="3" s="1"/>
  <c r="P777" i="3"/>
  <c r="Q777" i="3"/>
  <c r="R777" i="3"/>
  <c r="S777" i="3"/>
  <c r="T777" i="3"/>
  <c r="U777" i="3"/>
  <c r="V777" i="3"/>
  <c r="W777" i="3"/>
  <c r="X777" i="3"/>
  <c r="Y777" i="3"/>
  <c r="Z777" i="3"/>
  <c r="H778" i="3"/>
  <c r="B778" i="3" s="1"/>
  <c r="I778" i="3"/>
  <c r="C778" i="3" s="1"/>
  <c r="P778" i="3"/>
  <c r="Q778" i="3"/>
  <c r="R778" i="3"/>
  <c r="S778" i="3"/>
  <c r="T778" i="3"/>
  <c r="U778" i="3"/>
  <c r="V778" i="3"/>
  <c r="W778" i="3"/>
  <c r="X778" i="3"/>
  <c r="Y778" i="3"/>
  <c r="Z778" i="3"/>
  <c r="H779" i="3"/>
  <c r="B779" i="3" s="1"/>
  <c r="I779" i="3"/>
  <c r="C779" i="3" s="1"/>
  <c r="P779" i="3"/>
  <c r="Q779" i="3"/>
  <c r="R779" i="3"/>
  <c r="S779" i="3"/>
  <c r="T779" i="3"/>
  <c r="U779" i="3"/>
  <c r="V779" i="3"/>
  <c r="W779" i="3"/>
  <c r="X779" i="3"/>
  <c r="Y779" i="3"/>
  <c r="Z779" i="3"/>
  <c r="H780" i="3"/>
  <c r="B780" i="3" s="1"/>
  <c r="I780" i="3"/>
  <c r="C780" i="3" s="1"/>
  <c r="P780" i="3"/>
  <c r="Q780" i="3"/>
  <c r="R780" i="3"/>
  <c r="S780" i="3"/>
  <c r="T780" i="3"/>
  <c r="U780" i="3"/>
  <c r="V780" i="3"/>
  <c r="W780" i="3"/>
  <c r="X780" i="3"/>
  <c r="Y780" i="3"/>
  <c r="Z780" i="3"/>
  <c r="H781" i="3"/>
  <c r="B781" i="3" s="1"/>
  <c r="I781" i="3"/>
  <c r="C781" i="3" s="1"/>
  <c r="P781" i="3"/>
  <c r="Q781" i="3"/>
  <c r="R781" i="3"/>
  <c r="S781" i="3"/>
  <c r="T781" i="3"/>
  <c r="U781" i="3"/>
  <c r="V781" i="3"/>
  <c r="W781" i="3"/>
  <c r="X781" i="3"/>
  <c r="Y781" i="3"/>
  <c r="Z781" i="3"/>
  <c r="H782" i="3"/>
  <c r="B782" i="3" s="1"/>
  <c r="I782" i="3"/>
  <c r="C782" i="3" s="1"/>
  <c r="P782" i="3"/>
  <c r="Q782" i="3"/>
  <c r="R782" i="3"/>
  <c r="S782" i="3"/>
  <c r="T782" i="3"/>
  <c r="U782" i="3"/>
  <c r="V782" i="3"/>
  <c r="W782" i="3"/>
  <c r="X782" i="3"/>
  <c r="Y782" i="3"/>
  <c r="Z782" i="3"/>
  <c r="H783" i="3"/>
  <c r="B783" i="3" s="1"/>
  <c r="I783" i="3"/>
  <c r="C783" i="3" s="1"/>
  <c r="P783" i="3"/>
  <c r="Q783" i="3"/>
  <c r="R783" i="3"/>
  <c r="S783" i="3"/>
  <c r="T783" i="3"/>
  <c r="U783" i="3"/>
  <c r="V783" i="3"/>
  <c r="W783" i="3"/>
  <c r="X783" i="3"/>
  <c r="Y783" i="3"/>
  <c r="Z783" i="3"/>
  <c r="H784" i="3"/>
  <c r="B784" i="3" s="1"/>
  <c r="I784" i="3"/>
  <c r="C784" i="3" s="1"/>
  <c r="P784" i="3"/>
  <c r="Q784" i="3"/>
  <c r="R784" i="3"/>
  <c r="S784" i="3"/>
  <c r="T784" i="3"/>
  <c r="U784" i="3"/>
  <c r="V784" i="3"/>
  <c r="W784" i="3"/>
  <c r="X784" i="3"/>
  <c r="Y784" i="3"/>
  <c r="Z784" i="3"/>
  <c r="H785" i="3"/>
  <c r="B785" i="3" s="1"/>
  <c r="I785" i="3"/>
  <c r="C785" i="3" s="1"/>
  <c r="P785" i="3"/>
  <c r="Q785" i="3"/>
  <c r="R785" i="3"/>
  <c r="S785" i="3"/>
  <c r="T785" i="3"/>
  <c r="U785" i="3"/>
  <c r="V785" i="3"/>
  <c r="W785" i="3"/>
  <c r="X785" i="3"/>
  <c r="Y785" i="3"/>
  <c r="Z785" i="3"/>
  <c r="H786" i="3"/>
  <c r="B786" i="3" s="1"/>
  <c r="I786" i="3"/>
  <c r="C786" i="3" s="1"/>
  <c r="P786" i="3"/>
  <c r="Q786" i="3"/>
  <c r="R786" i="3"/>
  <c r="S786" i="3"/>
  <c r="T786" i="3"/>
  <c r="U786" i="3"/>
  <c r="V786" i="3"/>
  <c r="W786" i="3"/>
  <c r="X786" i="3"/>
  <c r="Y786" i="3"/>
  <c r="Z786" i="3"/>
  <c r="H787" i="3"/>
  <c r="B787" i="3" s="1"/>
  <c r="I787" i="3"/>
  <c r="C787" i="3" s="1"/>
  <c r="P787" i="3"/>
  <c r="Q787" i="3"/>
  <c r="R787" i="3"/>
  <c r="S787" i="3"/>
  <c r="T787" i="3"/>
  <c r="U787" i="3"/>
  <c r="V787" i="3"/>
  <c r="W787" i="3"/>
  <c r="X787" i="3"/>
  <c r="Y787" i="3"/>
  <c r="Z787" i="3"/>
  <c r="H788" i="3"/>
  <c r="B788" i="3" s="1"/>
  <c r="I788" i="3"/>
  <c r="C788" i="3" s="1"/>
  <c r="P788" i="3"/>
  <c r="Q788" i="3"/>
  <c r="R788" i="3"/>
  <c r="S788" i="3"/>
  <c r="T788" i="3"/>
  <c r="U788" i="3"/>
  <c r="V788" i="3"/>
  <c r="W788" i="3"/>
  <c r="X788" i="3"/>
  <c r="Y788" i="3"/>
  <c r="Z788" i="3"/>
  <c r="H789" i="3"/>
  <c r="B789" i="3" s="1"/>
  <c r="I789" i="3"/>
  <c r="C789" i="3" s="1"/>
  <c r="P789" i="3"/>
  <c r="Q789" i="3"/>
  <c r="R789" i="3"/>
  <c r="S789" i="3"/>
  <c r="T789" i="3"/>
  <c r="U789" i="3"/>
  <c r="V789" i="3"/>
  <c r="W789" i="3"/>
  <c r="X789" i="3"/>
  <c r="Y789" i="3"/>
  <c r="Z789" i="3"/>
  <c r="H790" i="3"/>
  <c r="B790" i="3" s="1"/>
  <c r="I790" i="3"/>
  <c r="C790" i="3" s="1"/>
  <c r="P790" i="3"/>
  <c r="Q790" i="3"/>
  <c r="R790" i="3"/>
  <c r="S790" i="3"/>
  <c r="T790" i="3"/>
  <c r="U790" i="3"/>
  <c r="V790" i="3"/>
  <c r="W790" i="3"/>
  <c r="X790" i="3"/>
  <c r="Y790" i="3"/>
  <c r="Z790" i="3"/>
  <c r="H791" i="3"/>
  <c r="B791" i="3" s="1"/>
  <c r="I791" i="3"/>
  <c r="C791" i="3" s="1"/>
  <c r="P791" i="3"/>
  <c r="Q791" i="3"/>
  <c r="R791" i="3"/>
  <c r="S791" i="3"/>
  <c r="T791" i="3"/>
  <c r="U791" i="3"/>
  <c r="V791" i="3"/>
  <c r="W791" i="3"/>
  <c r="X791" i="3"/>
  <c r="Y791" i="3"/>
  <c r="Z791" i="3"/>
  <c r="H792" i="3"/>
  <c r="B792" i="3" s="1"/>
  <c r="I792" i="3"/>
  <c r="C792" i="3" s="1"/>
  <c r="P792" i="3"/>
  <c r="Q792" i="3"/>
  <c r="R792" i="3"/>
  <c r="S792" i="3"/>
  <c r="T792" i="3"/>
  <c r="U792" i="3"/>
  <c r="V792" i="3"/>
  <c r="W792" i="3"/>
  <c r="X792" i="3"/>
  <c r="Y792" i="3"/>
  <c r="Z792" i="3"/>
  <c r="H793" i="3"/>
  <c r="B793" i="3" s="1"/>
  <c r="I793" i="3"/>
  <c r="C793" i="3" s="1"/>
  <c r="P793" i="3"/>
  <c r="Q793" i="3"/>
  <c r="R793" i="3"/>
  <c r="S793" i="3"/>
  <c r="T793" i="3"/>
  <c r="U793" i="3"/>
  <c r="V793" i="3"/>
  <c r="W793" i="3"/>
  <c r="X793" i="3"/>
  <c r="Y793" i="3"/>
  <c r="Z793" i="3"/>
  <c r="H794" i="3"/>
  <c r="B794" i="3" s="1"/>
  <c r="I794" i="3"/>
  <c r="C794" i="3" s="1"/>
  <c r="P794" i="3"/>
  <c r="Q794" i="3"/>
  <c r="R794" i="3"/>
  <c r="S794" i="3"/>
  <c r="T794" i="3"/>
  <c r="U794" i="3"/>
  <c r="V794" i="3"/>
  <c r="W794" i="3"/>
  <c r="X794" i="3"/>
  <c r="Y794" i="3"/>
  <c r="Z794" i="3"/>
  <c r="H795" i="3"/>
  <c r="B795" i="3" s="1"/>
  <c r="I795" i="3"/>
  <c r="C795" i="3" s="1"/>
  <c r="P795" i="3"/>
  <c r="Q795" i="3"/>
  <c r="R795" i="3"/>
  <c r="S795" i="3"/>
  <c r="T795" i="3"/>
  <c r="U795" i="3"/>
  <c r="V795" i="3"/>
  <c r="W795" i="3"/>
  <c r="X795" i="3"/>
  <c r="Y795" i="3"/>
  <c r="Z795" i="3"/>
  <c r="H796" i="3"/>
  <c r="B796" i="3" s="1"/>
  <c r="I796" i="3"/>
  <c r="C796" i="3" s="1"/>
  <c r="P796" i="3"/>
  <c r="Q796" i="3"/>
  <c r="R796" i="3"/>
  <c r="S796" i="3"/>
  <c r="T796" i="3"/>
  <c r="U796" i="3"/>
  <c r="V796" i="3"/>
  <c r="W796" i="3"/>
  <c r="X796" i="3"/>
  <c r="Y796" i="3"/>
  <c r="Z796" i="3"/>
  <c r="H797" i="3"/>
  <c r="B797" i="3" s="1"/>
  <c r="I797" i="3"/>
  <c r="C797" i="3" s="1"/>
  <c r="P797" i="3"/>
  <c r="Q797" i="3"/>
  <c r="R797" i="3"/>
  <c r="S797" i="3"/>
  <c r="T797" i="3"/>
  <c r="U797" i="3"/>
  <c r="V797" i="3"/>
  <c r="W797" i="3"/>
  <c r="X797" i="3"/>
  <c r="Y797" i="3"/>
  <c r="Z797" i="3"/>
  <c r="H798" i="3"/>
  <c r="B798" i="3" s="1"/>
  <c r="I798" i="3"/>
  <c r="C798" i="3" s="1"/>
  <c r="P798" i="3"/>
  <c r="Q798" i="3"/>
  <c r="R798" i="3"/>
  <c r="S798" i="3"/>
  <c r="T798" i="3"/>
  <c r="U798" i="3"/>
  <c r="V798" i="3"/>
  <c r="W798" i="3"/>
  <c r="X798" i="3"/>
  <c r="Y798" i="3"/>
  <c r="Z798" i="3"/>
  <c r="H799" i="3"/>
  <c r="B799" i="3" s="1"/>
  <c r="I799" i="3"/>
  <c r="C799" i="3" s="1"/>
  <c r="P799" i="3"/>
  <c r="Q799" i="3"/>
  <c r="R799" i="3"/>
  <c r="S799" i="3"/>
  <c r="T799" i="3"/>
  <c r="U799" i="3"/>
  <c r="V799" i="3"/>
  <c r="W799" i="3"/>
  <c r="X799" i="3"/>
  <c r="Y799" i="3"/>
  <c r="Z799" i="3"/>
  <c r="H800" i="3"/>
  <c r="B800" i="3" s="1"/>
  <c r="I800" i="3"/>
  <c r="C800" i="3" s="1"/>
  <c r="P800" i="3"/>
  <c r="Q800" i="3"/>
  <c r="R800" i="3"/>
  <c r="S800" i="3"/>
  <c r="T800" i="3"/>
  <c r="U800" i="3"/>
  <c r="V800" i="3"/>
  <c r="W800" i="3"/>
  <c r="X800" i="3"/>
  <c r="Y800" i="3"/>
  <c r="Z800" i="3"/>
  <c r="H801" i="3"/>
  <c r="B801" i="3" s="1"/>
  <c r="I801" i="3"/>
  <c r="C801" i="3" s="1"/>
  <c r="P801" i="3"/>
  <c r="Q801" i="3"/>
  <c r="R801" i="3"/>
  <c r="S801" i="3"/>
  <c r="T801" i="3"/>
  <c r="U801" i="3"/>
  <c r="V801" i="3"/>
  <c r="W801" i="3"/>
  <c r="X801" i="3"/>
  <c r="Y801" i="3"/>
  <c r="Z801" i="3"/>
  <c r="H802" i="3"/>
  <c r="B802" i="3" s="1"/>
  <c r="I802" i="3"/>
  <c r="C802" i="3" s="1"/>
  <c r="P802" i="3"/>
  <c r="Q802" i="3"/>
  <c r="R802" i="3"/>
  <c r="S802" i="3"/>
  <c r="T802" i="3"/>
  <c r="U802" i="3"/>
  <c r="V802" i="3"/>
  <c r="W802" i="3"/>
  <c r="X802" i="3"/>
  <c r="Y802" i="3"/>
  <c r="Z802" i="3"/>
  <c r="H803" i="3"/>
  <c r="B803" i="3" s="1"/>
  <c r="I803" i="3"/>
  <c r="C803" i="3" s="1"/>
  <c r="P803" i="3"/>
  <c r="Q803" i="3"/>
  <c r="R803" i="3"/>
  <c r="S803" i="3"/>
  <c r="T803" i="3"/>
  <c r="U803" i="3"/>
  <c r="V803" i="3"/>
  <c r="W803" i="3"/>
  <c r="X803" i="3"/>
  <c r="Y803" i="3"/>
  <c r="Z803" i="3"/>
  <c r="H804" i="3"/>
  <c r="B804" i="3" s="1"/>
  <c r="I804" i="3"/>
  <c r="C804" i="3" s="1"/>
  <c r="P804" i="3"/>
  <c r="Q804" i="3"/>
  <c r="R804" i="3"/>
  <c r="S804" i="3"/>
  <c r="T804" i="3"/>
  <c r="U804" i="3"/>
  <c r="V804" i="3"/>
  <c r="W804" i="3"/>
  <c r="X804" i="3"/>
  <c r="Y804" i="3"/>
  <c r="Z804" i="3"/>
  <c r="H805" i="3"/>
  <c r="B805" i="3" s="1"/>
  <c r="I805" i="3"/>
  <c r="C805" i="3" s="1"/>
  <c r="P805" i="3"/>
  <c r="Q805" i="3"/>
  <c r="R805" i="3"/>
  <c r="S805" i="3"/>
  <c r="T805" i="3"/>
  <c r="U805" i="3"/>
  <c r="V805" i="3"/>
  <c r="W805" i="3"/>
  <c r="X805" i="3"/>
  <c r="Y805" i="3"/>
  <c r="Z805" i="3"/>
  <c r="H806" i="3"/>
  <c r="B806" i="3" s="1"/>
  <c r="I806" i="3"/>
  <c r="C806" i="3" s="1"/>
  <c r="P806" i="3"/>
  <c r="Q806" i="3"/>
  <c r="R806" i="3"/>
  <c r="S806" i="3"/>
  <c r="T806" i="3"/>
  <c r="U806" i="3"/>
  <c r="V806" i="3"/>
  <c r="W806" i="3"/>
  <c r="X806" i="3"/>
  <c r="Y806" i="3"/>
  <c r="Z806" i="3"/>
  <c r="H807" i="3"/>
  <c r="B807" i="3" s="1"/>
  <c r="I807" i="3"/>
  <c r="C807" i="3" s="1"/>
  <c r="P807" i="3"/>
  <c r="Q807" i="3"/>
  <c r="R807" i="3"/>
  <c r="S807" i="3"/>
  <c r="T807" i="3"/>
  <c r="U807" i="3"/>
  <c r="V807" i="3"/>
  <c r="W807" i="3"/>
  <c r="X807" i="3"/>
  <c r="Y807" i="3"/>
  <c r="Z807" i="3"/>
  <c r="H808" i="3"/>
  <c r="B808" i="3" s="1"/>
  <c r="I808" i="3"/>
  <c r="C808" i="3" s="1"/>
  <c r="P808" i="3"/>
  <c r="Q808" i="3"/>
  <c r="R808" i="3"/>
  <c r="S808" i="3"/>
  <c r="T808" i="3"/>
  <c r="U808" i="3"/>
  <c r="V808" i="3"/>
  <c r="W808" i="3"/>
  <c r="X808" i="3"/>
  <c r="Y808" i="3"/>
  <c r="Z808" i="3"/>
  <c r="H809" i="3"/>
  <c r="B809" i="3" s="1"/>
  <c r="I809" i="3"/>
  <c r="C809" i="3" s="1"/>
  <c r="P809" i="3"/>
  <c r="Q809" i="3"/>
  <c r="R809" i="3"/>
  <c r="S809" i="3"/>
  <c r="T809" i="3"/>
  <c r="U809" i="3"/>
  <c r="V809" i="3"/>
  <c r="W809" i="3"/>
  <c r="X809" i="3"/>
  <c r="Y809" i="3"/>
  <c r="Z809" i="3"/>
  <c r="H810" i="3"/>
  <c r="B810" i="3" s="1"/>
  <c r="I810" i="3"/>
  <c r="C810" i="3" s="1"/>
  <c r="P810" i="3"/>
  <c r="Q810" i="3"/>
  <c r="R810" i="3"/>
  <c r="S810" i="3"/>
  <c r="T810" i="3"/>
  <c r="U810" i="3"/>
  <c r="V810" i="3"/>
  <c r="W810" i="3"/>
  <c r="X810" i="3"/>
  <c r="Y810" i="3"/>
  <c r="Z810" i="3"/>
  <c r="H811" i="3"/>
  <c r="B811" i="3" s="1"/>
  <c r="I811" i="3"/>
  <c r="C811" i="3" s="1"/>
  <c r="P811" i="3"/>
  <c r="Q811" i="3"/>
  <c r="R811" i="3"/>
  <c r="S811" i="3"/>
  <c r="T811" i="3"/>
  <c r="U811" i="3"/>
  <c r="V811" i="3"/>
  <c r="W811" i="3"/>
  <c r="X811" i="3"/>
  <c r="Y811" i="3"/>
  <c r="Z811" i="3"/>
  <c r="H812" i="3"/>
  <c r="B812" i="3" s="1"/>
  <c r="I812" i="3"/>
  <c r="C812" i="3" s="1"/>
  <c r="P812" i="3"/>
  <c r="Q812" i="3"/>
  <c r="R812" i="3"/>
  <c r="S812" i="3"/>
  <c r="T812" i="3"/>
  <c r="U812" i="3"/>
  <c r="V812" i="3"/>
  <c r="W812" i="3"/>
  <c r="X812" i="3"/>
  <c r="Y812" i="3"/>
  <c r="Z812" i="3"/>
  <c r="H813" i="3"/>
  <c r="B813" i="3" s="1"/>
  <c r="I813" i="3"/>
  <c r="C813" i="3" s="1"/>
  <c r="P813" i="3"/>
  <c r="Q813" i="3"/>
  <c r="R813" i="3"/>
  <c r="S813" i="3"/>
  <c r="T813" i="3"/>
  <c r="U813" i="3"/>
  <c r="V813" i="3"/>
  <c r="W813" i="3"/>
  <c r="X813" i="3"/>
  <c r="Y813" i="3"/>
  <c r="Z813" i="3"/>
  <c r="H814" i="3"/>
  <c r="B814" i="3" s="1"/>
  <c r="I814" i="3"/>
  <c r="C814" i="3" s="1"/>
  <c r="P814" i="3"/>
  <c r="Q814" i="3"/>
  <c r="R814" i="3"/>
  <c r="S814" i="3"/>
  <c r="T814" i="3"/>
  <c r="U814" i="3"/>
  <c r="V814" i="3"/>
  <c r="W814" i="3"/>
  <c r="X814" i="3"/>
  <c r="Y814" i="3"/>
  <c r="Z814" i="3"/>
  <c r="H815" i="3"/>
  <c r="B815" i="3" s="1"/>
  <c r="I815" i="3"/>
  <c r="C815" i="3" s="1"/>
  <c r="P815" i="3"/>
  <c r="Q815" i="3"/>
  <c r="R815" i="3"/>
  <c r="S815" i="3"/>
  <c r="T815" i="3"/>
  <c r="U815" i="3"/>
  <c r="V815" i="3"/>
  <c r="W815" i="3"/>
  <c r="X815" i="3"/>
  <c r="Y815" i="3"/>
  <c r="Z815" i="3"/>
  <c r="H816" i="3"/>
  <c r="B816" i="3" s="1"/>
  <c r="I816" i="3"/>
  <c r="C816" i="3" s="1"/>
  <c r="P816" i="3"/>
  <c r="Q816" i="3"/>
  <c r="R816" i="3"/>
  <c r="S816" i="3"/>
  <c r="T816" i="3"/>
  <c r="U816" i="3"/>
  <c r="V816" i="3"/>
  <c r="W816" i="3"/>
  <c r="X816" i="3"/>
  <c r="Y816" i="3"/>
  <c r="Z816" i="3"/>
  <c r="H817" i="3"/>
  <c r="B817" i="3" s="1"/>
  <c r="I817" i="3"/>
  <c r="C817" i="3" s="1"/>
  <c r="P817" i="3"/>
  <c r="Q817" i="3"/>
  <c r="R817" i="3"/>
  <c r="S817" i="3"/>
  <c r="T817" i="3"/>
  <c r="U817" i="3"/>
  <c r="V817" i="3"/>
  <c r="W817" i="3"/>
  <c r="X817" i="3"/>
  <c r="Y817" i="3"/>
  <c r="Z817" i="3"/>
  <c r="H818" i="3"/>
  <c r="B818" i="3" s="1"/>
  <c r="I818" i="3"/>
  <c r="C818" i="3" s="1"/>
  <c r="P818" i="3"/>
  <c r="Q818" i="3"/>
  <c r="R818" i="3"/>
  <c r="S818" i="3"/>
  <c r="T818" i="3"/>
  <c r="U818" i="3"/>
  <c r="V818" i="3"/>
  <c r="W818" i="3"/>
  <c r="X818" i="3"/>
  <c r="Y818" i="3"/>
  <c r="Z818" i="3"/>
  <c r="H819" i="3"/>
  <c r="B819" i="3" s="1"/>
  <c r="I819" i="3"/>
  <c r="C819" i="3" s="1"/>
  <c r="P819" i="3"/>
  <c r="Q819" i="3"/>
  <c r="R819" i="3"/>
  <c r="S819" i="3"/>
  <c r="T819" i="3"/>
  <c r="U819" i="3"/>
  <c r="V819" i="3"/>
  <c r="W819" i="3"/>
  <c r="X819" i="3"/>
  <c r="Y819" i="3"/>
  <c r="Z819" i="3"/>
  <c r="H820" i="3"/>
  <c r="B820" i="3" s="1"/>
  <c r="I820" i="3"/>
  <c r="C820" i="3" s="1"/>
  <c r="P820" i="3"/>
  <c r="Q820" i="3"/>
  <c r="R820" i="3"/>
  <c r="S820" i="3"/>
  <c r="T820" i="3"/>
  <c r="U820" i="3"/>
  <c r="V820" i="3"/>
  <c r="W820" i="3"/>
  <c r="X820" i="3"/>
  <c r="Y820" i="3"/>
  <c r="Z820" i="3"/>
  <c r="H821" i="3"/>
  <c r="B821" i="3" s="1"/>
  <c r="I821" i="3"/>
  <c r="C821" i="3" s="1"/>
  <c r="P821" i="3"/>
  <c r="Q821" i="3"/>
  <c r="R821" i="3"/>
  <c r="S821" i="3"/>
  <c r="T821" i="3"/>
  <c r="U821" i="3"/>
  <c r="V821" i="3"/>
  <c r="W821" i="3"/>
  <c r="X821" i="3"/>
  <c r="Y821" i="3"/>
  <c r="Z821" i="3"/>
  <c r="H822" i="3"/>
  <c r="B822" i="3" s="1"/>
  <c r="I822" i="3"/>
  <c r="C822" i="3" s="1"/>
  <c r="P822" i="3"/>
  <c r="Q822" i="3"/>
  <c r="R822" i="3"/>
  <c r="S822" i="3"/>
  <c r="T822" i="3"/>
  <c r="U822" i="3"/>
  <c r="V822" i="3"/>
  <c r="W822" i="3"/>
  <c r="X822" i="3"/>
  <c r="Y822" i="3"/>
  <c r="Z822" i="3"/>
  <c r="H823" i="3"/>
  <c r="B823" i="3" s="1"/>
  <c r="I823" i="3"/>
  <c r="C823" i="3" s="1"/>
  <c r="P823" i="3"/>
  <c r="Q823" i="3"/>
  <c r="R823" i="3"/>
  <c r="S823" i="3"/>
  <c r="T823" i="3"/>
  <c r="U823" i="3"/>
  <c r="V823" i="3"/>
  <c r="W823" i="3"/>
  <c r="X823" i="3"/>
  <c r="Y823" i="3"/>
  <c r="Z823" i="3"/>
  <c r="H824" i="3"/>
  <c r="B824" i="3" s="1"/>
  <c r="I824" i="3"/>
  <c r="C824" i="3" s="1"/>
  <c r="P824" i="3"/>
  <c r="Q824" i="3"/>
  <c r="R824" i="3"/>
  <c r="S824" i="3"/>
  <c r="T824" i="3"/>
  <c r="U824" i="3"/>
  <c r="V824" i="3"/>
  <c r="W824" i="3"/>
  <c r="X824" i="3"/>
  <c r="Y824" i="3"/>
  <c r="Z824" i="3"/>
  <c r="H825" i="3"/>
  <c r="B825" i="3" s="1"/>
  <c r="I825" i="3"/>
  <c r="C825" i="3" s="1"/>
  <c r="P825" i="3"/>
  <c r="Q825" i="3"/>
  <c r="R825" i="3"/>
  <c r="S825" i="3"/>
  <c r="T825" i="3"/>
  <c r="U825" i="3"/>
  <c r="V825" i="3"/>
  <c r="W825" i="3"/>
  <c r="X825" i="3"/>
  <c r="Y825" i="3"/>
  <c r="Z825" i="3"/>
  <c r="H826" i="3"/>
  <c r="B826" i="3" s="1"/>
  <c r="I826" i="3"/>
  <c r="C826" i="3" s="1"/>
  <c r="P826" i="3"/>
  <c r="Q826" i="3"/>
  <c r="R826" i="3"/>
  <c r="S826" i="3"/>
  <c r="T826" i="3"/>
  <c r="U826" i="3"/>
  <c r="V826" i="3"/>
  <c r="W826" i="3"/>
  <c r="X826" i="3"/>
  <c r="Y826" i="3"/>
  <c r="Z826" i="3"/>
  <c r="H827" i="3"/>
  <c r="B827" i="3" s="1"/>
  <c r="I827" i="3"/>
  <c r="C827" i="3" s="1"/>
  <c r="P827" i="3"/>
  <c r="Q827" i="3"/>
  <c r="R827" i="3"/>
  <c r="S827" i="3"/>
  <c r="T827" i="3"/>
  <c r="U827" i="3"/>
  <c r="V827" i="3"/>
  <c r="W827" i="3"/>
  <c r="X827" i="3"/>
  <c r="Y827" i="3"/>
  <c r="Z827" i="3"/>
  <c r="H828" i="3"/>
  <c r="B828" i="3" s="1"/>
  <c r="I828" i="3"/>
  <c r="C828" i="3" s="1"/>
  <c r="P828" i="3"/>
  <c r="Q828" i="3"/>
  <c r="R828" i="3"/>
  <c r="S828" i="3"/>
  <c r="T828" i="3"/>
  <c r="U828" i="3"/>
  <c r="V828" i="3"/>
  <c r="W828" i="3"/>
  <c r="X828" i="3"/>
  <c r="Y828" i="3"/>
  <c r="Z828" i="3"/>
  <c r="H829" i="3"/>
  <c r="B829" i="3" s="1"/>
  <c r="I829" i="3"/>
  <c r="C829" i="3" s="1"/>
  <c r="P829" i="3"/>
  <c r="Q829" i="3"/>
  <c r="R829" i="3"/>
  <c r="S829" i="3"/>
  <c r="T829" i="3"/>
  <c r="U829" i="3"/>
  <c r="V829" i="3"/>
  <c r="W829" i="3"/>
  <c r="X829" i="3"/>
  <c r="Y829" i="3"/>
  <c r="Z829" i="3"/>
  <c r="H830" i="3"/>
  <c r="B830" i="3" s="1"/>
  <c r="I830" i="3"/>
  <c r="C830" i="3" s="1"/>
  <c r="P830" i="3"/>
  <c r="Q830" i="3"/>
  <c r="R830" i="3"/>
  <c r="S830" i="3"/>
  <c r="T830" i="3"/>
  <c r="U830" i="3"/>
  <c r="V830" i="3"/>
  <c r="W830" i="3"/>
  <c r="X830" i="3"/>
  <c r="Y830" i="3"/>
  <c r="Z830" i="3"/>
  <c r="H831" i="3"/>
  <c r="B831" i="3" s="1"/>
  <c r="I831" i="3"/>
  <c r="C831" i="3" s="1"/>
  <c r="P831" i="3"/>
  <c r="Q831" i="3"/>
  <c r="R831" i="3"/>
  <c r="S831" i="3"/>
  <c r="T831" i="3"/>
  <c r="U831" i="3"/>
  <c r="V831" i="3"/>
  <c r="W831" i="3"/>
  <c r="X831" i="3"/>
  <c r="Y831" i="3"/>
  <c r="Z831" i="3"/>
  <c r="H832" i="3"/>
  <c r="B832" i="3" s="1"/>
  <c r="I832" i="3"/>
  <c r="C832" i="3" s="1"/>
  <c r="P832" i="3"/>
  <c r="Q832" i="3"/>
  <c r="R832" i="3"/>
  <c r="S832" i="3"/>
  <c r="T832" i="3"/>
  <c r="U832" i="3"/>
  <c r="V832" i="3"/>
  <c r="W832" i="3"/>
  <c r="X832" i="3"/>
  <c r="Y832" i="3"/>
  <c r="Z832" i="3"/>
  <c r="H833" i="3"/>
  <c r="B833" i="3" s="1"/>
  <c r="I833" i="3"/>
  <c r="C833" i="3" s="1"/>
  <c r="P833" i="3"/>
  <c r="Q833" i="3"/>
  <c r="R833" i="3"/>
  <c r="S833" i="3"/>
  <c r="T833" i="3"/>
  <c r="U833" i="3"/>
  <c r="V833" i="3"/>
  <c r="W833" i="3"/>
  <c r="X833" i="3"/>
  <c r="Y833" i="3"/>
  <c r="Z833" i="3"/>
  <c r="H834" i="3"/>
  <c r="B834" i="3" s="1"/>
  <c r="I834" i="3"/>
  <c r="C834" i="3" s="1"/>
  <c r="P834" i="3"/>
  <c r="Q834" i="3"/>
  <c r="R834" i="3"/>
  <c r="S834" i="3"/>
  <c r="T834" i="3"/>
  <c r="U834" i="3"/>
  <c r="V834" i="3"/>
  <c r="W834" i="3"/>
  <c r="X834" i="3"/>
  <c r="Y834" i="3"/>
  <c r="Z834" i="3"/>
  <c r="H835" i="3"/>
  <c r="B835" i="3" s="1"/>
  <c r="I835" i="3"/>
  <c r="C835" i="3" s="1"/>
  <c r="P835" i="3"/>
  <c r="Q835" i="3"/>
  <c r="R835" i="3"/>
  <c r="S835" i="3"/>
  <c r="T835" i="3"/>
  <c r="U835" i="3"/>
  <c r="V835" i="3"/>
  <c r="W835" i="3"/>
  <c r="X835" i="3"/>
  <c r="Y835" i="3"/>
  <c r="Z835" i="3"/>
  <c r="H836" i="3"/>
  <c r="B836" i="3" s="1"/>
  <c r="I836" i="3"/>
  <c r="C836" i="3" s="1"/>
  <c r="P836" i="3"/>
  <c r="Q836" i="3"/>
  <c r="R836" i="3"/>
  <c r="S836" i="3"/>
  <c r="T836" i="3"/>
  <c r="U836" i="3"/>
  <c r="V836" i="3"/>
  <c r="W836" i="3"/>
  <c r="X836" i="3"/>
  <c r="Y836" i="3"/>
  <c r="Z836" i="3"/>
  <c r="H837" i="3"/>
  <c r="B837" i="3" s="1"/>
  <c r="I837" i="3"/>
  <c r="C837" i="3" s="1"/>
  <c r="P837" i="3"/>
  <c r="Q837" i="3"/>
  <c r="R837" i="3"/>
  <c r="S837" i="3"/>
  <c r="T837" i="3"/>
  <c r="U837" i="3"/>
  <c r="V837" i="3"/>
  <c r="W837" i="3"/>
  <c r="X837" i="3"/>
  <c r="Y837" i="3"/>
  <c r="Z837" i="3"/>
  <c r="H838" i="3"/>
  <c r="B838" i="3" s="1"/>
  <c r="I838" i="3"/>
  <c r="C838" i="3" s="1"/>
  <c r="P838" i="3"/>
  <c r="Q838" i="3"/>
  <c r="R838" i="3"/>
  <c r="S838" i="3"/>
  <c r="T838" i="3"/>
  <c r="U838" i="3"/>
  <c r="V838" i="3"/>
  <c r="W838" i="3"/>
  <c r="X838" i="3"/>
  <c r="Y838" i="3"/>
  <c r="Z838" i="3"/>
  <c r="H839" i="3"/>
  <c r="B839" i="3" s="1"/>
  <c r="I839" i="3"/>
  <c r="C839" i="3" s="1"/>
  <c r="P839" i="3"/>
  <c r="Q839" i="3"/>
  <c r="R839" i="3"/>
  <c r="S839" i="3"/>
  <c r="T839" i="3"/>
  <c r="U839" i="3"/>
  <c r="V839" i="3"/>
  <c r="W839" i="3"/>
  <c r="X839" i="3"/>
  <c r="Y839" i="3"/>
  <c r="Z839" i="3"/>
  <c r="H840" i="3"/>
  <c r="B840" i="3" s="1"/>
  <c r="I840" i="3"/>
  <c r="C840" i="3" s="1"/>
  <c r="P840" i="3"/>
  <c r="Q840" i="3"/>
  <c r="R840" i="3"/>
  <c r="S840" i="3"/>
  <c r="T840" i="3"/>
  <c r="U840" i="3"/>
  <c r="V840" i="3"/>
  <c r="W840" i="3"/>
  <c r="X840" i="3"/>
  <c r="Y840" i="3"/>
  <c r="Z840" i="3"/>
  <c r="H841" i="3"/>
  <c r="B841" i="3" s="1"/>
  <c r="I841" i="3"/>
  <c r="C841" i="3" s="1"/>
  <c r="P841" i="3"/>
  <c r="Q841" i="3"/>
  <c r="R841" i="3"/>
  <c r="S841" i="3"/>
  <c r="T841" i="3"/>
  <c r="U841" i="3"/>
  <c r="V841" i="3"/>
  <c r="W841" i="3"/>
  <c r="X841" i="3"/>
  <c r="Y841" i="3"/>
  <c r="Z841" i="3"/>
  <c r="H842" i="3"/>
  <c r="B842" i="3" s="1"/>
  <c r="I842" i="3"/>
  <c r="C842" i="3" s="1"/>
  <c r="P842" i="3"/>
  <c r="Q842" i="3"/>
  <c r="R842" i="3"/>
  <c r="S842" i="3"/>
  <c r="T842" i="3"/>
  <c r="U842" i="3"/>
  <c r="V842" i="3"/>
  <c r="W842" i="3"/>
  <c r="X842" i="3"/>
  <c r="Y842" i="3"/>
  <c r="Z842" i="3"/>
  <c r="H843" i="3"/>
  <c r="B843" i="3" s="1"/>
  <c r="I843" i="3"/>
  <c r="C843" i="3" s="1"/>
  <c r="P843" i="3"/>
  <c r="Q843" i="3"/>
  <c r="R843" i="3"/>
  <c r="S843" i="3"/>
  <c r="T843" i="3"/>
  <c r="U843" i="3"/>
  <c r="V843" i="3"/>
  <c r="W843" i="3"/>
  <c r="X843" i="3"/>
  <c r="Y843" i="3"/>
  <c r="Z843" i="3"/>
  <c r="H844" i="3"/>
  <c r="B844" i="3" s="1"/>
  <c r="I844" i="3"/>
  <c r="C844" i="3" s="1"/>
  <c r="P844" i="3"/>
  <c r="Q844" i="3"/>
  <c r="R844" i="3"/>
  <c r="S844" i="3"/>
  <c r="T844" i="3"/>
  <c r="U844" i="3"/>
  <c r="V844" i="3"/>
  <c r="W844" i="3"/>
  <c r="X844" i="3"/>
  <c r="Y844" i="3"/>
  <c r="Z844" i="3"/>
  <c r="H845" i="3"/>
  <c r="B845" i="3" s="1"/>
  <c r="I845" i="3"/>
  <c r="C845" i="3" s="1"/>
  <c r="P845" i="3"/>
  <c r="Q845" i="3"/>
  <c r="R845" i="3"/>
  <c r="S845" i="3"/>
  <c r="T845" i="3"/>
  <c r="U845" i="3"/>
  <c r="V845" i="3"/>
  <c r="W845" i="3"/>
  <c r="X845" i="3"/>
  <c r="Y845" i="3"/>
  <c r="Z845" i="3"/>
  <c r="H846" i="3"/>
  <c r="B846" i="3" s="1"/>
  <c r="I846" i="3"/>
  <c r="C846" i="3" s="1"/>
  <c r="P846" i="3"/>
  <c r="Q846" i="3"/>
  <c r="R846" i="3"/>
  <c r="S846" i="3"/>
  <c r="T846" i="3"/>
  <c r="U846" i="3"/>
  <c r="V846" i="3"/>
  <c r="W846" i="3"/>
  <c r="X846" i="3"/>
  <c r="Y846" i="3"/>
  <c r="Z846" i="3"/>
  <c r="H847" i="3"/>
  <c r="B847" i="3" s="1"/>
  <c r="I847" i="3"/>
  <c r="C847" i="3" s="1"/>
  <c r="P847" i="3"/>
  <c r="Q847" i="3"/>
  <c r="R847" i="3"/>
  <c r="S847" i="3"/>
  <c r="T847" i="3"/>
  <c r="U847" i="3"/>
  <c r="V847" i="3"/>
  <c r="W847" i="3"/>
  <c r="X847" i="3"/>
  <c r="Y847" i="3"/>
  <c r="Z847" i="3"/>
  <c r="H848" i="3"/>
  <c r="B848" i="3" s="1"/>
  <c r="I848" i="3"/>
  <c r="C848" i="3" s="1"/>
  <c r="P848" i="3"/>
  <c r="Q848" i="3"/>
  <c r="R848" i="3"/>
  <c r="S848" i="3"/>
  <c r="T848" i="3"/>
  <c r="U848" i="3"/>
  <c r="V848" i="3"/>
  <c r="W848" i="3"/>
  <c r="X848" i="3"/>
  <c r="Y848" i="3"/>
  <c r="Z848" i="3"/>
  <c r="H849" i="3"/>
  <c r="B849" i="3" s="1"/>
  <c r="I849" i="3"/>
  <c r="C849" i="3" s="1"/>
  <c r="P849" i="3"/>
  <c r="Q849" i="3"/>
  <c r="R849" i="3"/>
  <c r="S849" i="3"/>
  <c r="T849" i="3"/>
  <c r="U849" i="3"/>
  <c r="V849" i="3"/>
  <c r="W849" i="3"/>
  <c r="X849" i="3"/>
  <c r="Y849" i="3"/>
  <c r="Z849" i="3"/>
  <c r="H850" i="3"/>
  <c r="B850" i="3" s="1"/>
  <c r="I850" i="3"/>
  <c r="C850" i="3" s="1"/>
  <c r="P850" i="3"/>
  <c r="Q850" i="3"/>
  <c r="R850" i="3"/>
  <c r="S850" i="3"/>
  <c r="T850" i="3"/>
  <c r="U850" i="3"/>
  <c r="V850" i="3"/>
  <c r="W850" i="3"/>
  <c r="X850" i="3"/>
  <c r="Y850" i="3"/>
  <c r="Z850" i="3"/>
  <c r="H851" i="3"/>
  <c r="B851" i="3" s="1"/>
  <c r="I851" i="3"/>
  <c r="C851" i="3" s="1"/>
  <c r="P851" i="3"/>
  <c r="Q851" i="3"/>
  <c r="R851" i="3"/>
  <c r="S851" i="3"/>
  <c r="T851" i="3"/>
  <c r="U851" i="3"/>
  <c r="V851" i="3"/>
  <c r="W851" i="3"/>
  <c r="X851" i="3"/>
  <c r="Y851" i="3"/>
  <c r="Z851" i="3"/>
  <c r="H852" i="3"/>
  <c r="B852" i="3" s="1"/>
  <c r="I852" i="3"/>
  <c r="C852" i="3" s="1"/>
  <c r="P852" i="3"/>
  <c r="Q852" i="3"/>
  <c r="R852" i="3"/>
  <c r="S852" i="3"/>
  <c r="T852" i="3"/>
  <c r="U852" i="3"/>
  <c r="V852" i="3"/>
  <c r="W852" i="3"/>
  <c r="X852" i="3"/>
  <c r="Y852" i="3"/>
  <c r="Z852" i="3"/>
  <c r="H853" i="3"/>
  <c r="B853" i="3" s="1"/>
  <c r="I853" i="3"/>
  <c r="C853" i="3" s="1"/>
  <c r="P853" i="3"/>
  <c r="Q853" i="3"/>
  <c r="R853" i="3"/>
  <c r="S853" i="3"/>
  <c r="T853" i="3"/>
  <c r="U853" i="3"/>
  <c r="V853" i="3"/>
  <c r="W853" i="3"/>
  <c r="X853" i="3"/>
  <c r="Y853" i="3"/>
  <c r="Z853" i="3"/>
  <c r="H854" i="3"/>
  <c r="B854" i="3" s="1"/>
  <c r="I854" i="3"/>
  <c r="C854" i="3" s="1"/>
  <c r="P854" i="3"/>
  <c r="Q854" i="3"/>
  <c r="R854" i="3"/>
  <c r="S854" i="3"/>
  <c r="T854" i="3"/>
  <c r="U854" i="3"/>
  <c r="V854" i="3"/>
  <c r="W854" i="3"/>
  <c r="X854" i="3"/>
  <c r="Y854" i="3"/>
  <c r="Z854" i="3"/>
  <c r="H855" i="3"/>
  <c r="B855" i="3" s="1"/>
  <c r="I855" i="3"/>
  <c r="C855" i="3" s="1"/>
  <c r="P855" i="3"/>
  <c r="Q855" i="3"/>
  <c r="R855" i="3"/>
  <c r="S855" i="3"/>
  <c r="T855" i="3"/>
  <c r="U855" i="3"/>
  <c r="V855" i="3"/>
  <c r="W855" i="3"/>
  <c r="X855" i="3"/>
  <c r="Y855" i="3"/>
  <c r="Z855" i="3"/>
  <c r="H856" i="3"/>
  <c r="B856" i="3" s="1"/>
  <c r="I856" i="3"/>
  <c r="C856" i="3" s="1"/>
  <c r="P856" i="3"/>
  <c r="Q856" i="3"/>
  <c r="R856" i="3"/>
  <c r="S856" i="3"/>
  <c r="T856" i="3"/>
  <c r="U856" i="3"/>
  <c r="V856" i="3"/>
  <c r="W856" i="3"/>
  <c r="X856" i="3"/>
  <c r="Y856" i="3"/>
  <c r="Z856" i="3"/>
  <c r="H857" i="3"/>
  <c r="B857" i="3" s="1"/>
  <c r="I857" i="3"/>
  <c r="C857" i="3" s="1"/>
  <c r="P857" i="3"/>
  <c r="Q857" i="3"/>
  <c r="R857" i="3"/>
  <c r="S857" i="3"/>
  <c r="T857" i="3"/>
  <c r="U857" i="3"/>
  <c r="V857" i="3"/>
  <c r="W857" i="3"/>
  <c r="X857" i="3"/>
  <c r="Y857" i="3"/>
  <c r="Z857" i="3"/>
  <c r="H858" i="3"/>
  <c r="B858" i="3" s="1"/>
  <c r="I858" i="3"/>
  <c r="C858" i="3" s="1"/>
  <c r="P858" i="3"/>
  <c r="Q858" i="3"/>
  <c r="R858" i="3"/>
  <c r="S858" i="3"/>
  <c r="T858" i="3"/>
  <c r="U858" i="3"/>
  <c r="V858" i="3"/>
  <c r="W858" i="3"/>
  <c r="X858" i="3"/>
  <c r="Y858" i="3"/>
  <c r="Z858" i="3"/>
  <c r="H859" i="3"/>
  <c r="B859" i="3" s="1"/>
  <c r="I859" i="3"/>
  <c r="C859" i="3" s="1"/>
  <c r="P859" i="3"/>
  <c r="Q859" i="3"/>
  <c r="R859" i="3"/>
  <c r="S859" i="3"/>
  <c r="T859" i="3"/>
  <c r="U859" i="3"/>
  <c r="V859" i="3"/>
  <c r="W859" i="3"/>
  <c r="X859" i="3"/>
  <c r="Y859" i="3"/>
  <c r="Z859" i="3"/>
  <c r="H860" i="3"/>
  <c r="B860" i="3" s="1"/>
  <c r="I860" i="3"/>
  <c r="C860" i="3" s="1"/>
  <c r="P860" i="3"/>
  <c r="Q860" i="3"/>
  <c r="R860" i="3"/>
  <c r="S860" i="3"/>
  <c r="T860" i="3"/>
  <c r="U860" i="3"/>
  <c r="V860" i="3"/>
  <c r="W860" i="3"/>
  <c r="X860" i="3"/>
  <c r="Y860" i="3"/>
  <c r="Z860" i="3"/>
  <c r="H861" i="3"/>
  <c r="B861" i="3" s="1"/>
  <c r="I861" i="3"/>
  <c r="C861" i="3" s="1"/>
  <c r="P861" i="3"/>
  <c r="Q861" i="3"/>
  <c r="R861" i="3"/>
  <c r="S861" i="3"/>
  <c r="T861" i="3"/>
  <c r="U861" i="3"/>
  <c r="V861" i="3"/>
  <c r="W861" i="3"/>
  <c r="X861" i="3"/>
  <c r="Y861" i="3"/>
  <c r="Z861" i="3"/>
  <c r="H862" i="3"/>
  <c r="B862" i="3" s="1"/>
  <c r="I862" i="3"/>
  <c r="C862" i="3" s="1"/>
  <c r="P862" i="3"/>
  <c r="Q862" i="3"/>
  <c r="R862" i="3"/>
  <c r="S862" i="3"/>
  <c r="T862" i="3"/>
  <c r="U862" i="3"/>
  <c r="V862" i="3"/>
  <c r="W862" i="3"/>
  <c r="X862" i="3"/>
  <c r="Y862" i="3"/>
  <c r="Z862" i="3"/>
  <c r="H863" i="3"/>
  <c r="B863" i="3" s="1"/>
  <c r="I863" i="3"/>
  <c r="C863" i="3" s="1"/>
  <c r="P863" i="3"/>
  <c r="Q863" i="3"/>
  <c r="R863" i="3"/>
  <c r="S863" i="3"/>
  <c r="T863" i="3"/>
  <c r="U863" i="3"/>
  <c r="V863" i="3"/>
  <c r="W863" i="3"/>
  <c r="X863" i="3"/>
  <c r="Y863" i="3"/>
  <c r="Z863" i="3"/>
  <c r="H864" i="3"/>
  <c r="B864" i="3" s="1"/>
  <c r="I864" i="3"/>
  <c r="C864" i="3" s="1"/>
  <c r="P864" i="3"/>
  <c r="Q864" i="3"/>
  <c r="R864" i="3"/>
  <c r="S864" i="3"/>
  <c r="T864" i="3"/>
  <c r="U864" i="3"/>
  <c r="V864" i="3"/>
  <c r="W864" i="3"/>
  <c r="X864" i="3"/>
  <c r="Y864" i="3"/>
  <c r="Z864" i="3"/>
  <c r="H865" i="3"/>
  <c r="B865" i="3" s="1"/>
  <c r="I865" i="3"/>
  <c r="C865" i="3" s="1"/>
  <c r="P865" i="3"/>
  <c r="Q865" i="3"/>
  <c r="R865" i="3"/>
  <c r="S865" i="3"/>
  <c r="T865" i="3"/>
  <c r="U865" i="3"/>
  <c r="V865" i="3"/>
  <c r="W865" i="3"/>
  <c r="X865" i="3"/>
  <c r="Y865" i="3"/>
  <c r="Z865" i="3"/>
  <c r="H866" i="3"/>
  <c r="B866" i="3" s="1"/>
  <c r="I866" i="3"/>
  <c r="C866" i="3" s="1"/>
  <c r="P866" i="3"/>
  <c r="Q866" i="3"/>
  <c r="R866" i="3"/>
  <c r="S866" i="3"/>
  <c r="T866" i="3"/>
  <c r="U866" i="3"/>
  <c r="V866" i="3"/>
  <c r="W866" i="3"/>
  <c r="X866" i="3"/>
  <c r="Y866" i="3"/>
  <c r="Z866" i="3"/>
  <c r="H867" i="3"/>
  <c r="B867" i="3" s="1"/>
  <c r="I867" i="3"/>
  <c r="C867" i="3" s="1"/>
  <c r="P867" i="3"/>
  <c r="Q867" i="3"/>
  <c r="R867" i="3"/>
  <c r="S867" i="3"/>
  <c r="T867" i="3"/>
  <c r="U867" i="3"/>
  <c r="V867" i="3"/>
  <c r="W867" i="3"/>
  <c r="X867" i="3"/>
  <c r="Y867" i="3"/>
  <c r="Z867" i="3"/>
  <c r="H868" i="3"/>
  <c r="B868" i="3" s="1"/>
  <c r="I868" i="3"/>
  <c r="C868" i="3" s="1"/>
  <c r="P868" i="3"/>
  <c r="Q868" i="3"/>
  <c r="R868" i="3"/>
  <c r="S868" i="3"/>
  <c r="T868" i="3"/>
  <c r="U868" i="3"/>
  <c r="V868" i="3"/>
  <c r="W868" i="3"/>
  <c r="X868" i="3"/>
  <c r="Y868" i="3"/>
  <c r="Z868" i="3"/>
  <c r="H869" i="3"/>
  <c r="B869" i="3" s="1"/>
  <c r="I869" i="3"/>
  <c r="C869" i="3" s="1"/>
  <c r="P869" i="3"/>
  <c r="Q869" i="3"/>
  <c r="R869" i="3"/>
  <c r="S869" i="3"/>
  <c r="T869" i="3"/>
  <c r="U869" i="3"/>
  <c r="V869" i="3"/>
  <c r="W869" i="3"/>
  <c r="X869" i="3"/>
  <c r="Y869" i="3"/>
  <c r="Z869" i="3"/>
  <c r="H870" i="3"/>
  <c r="B870" i="3" s="1"/>
  <c r="I870" i="3"/>
  <c r="C870" i="3" s="1"/>
  <c r="P870" i="3"/>
  <c r="Q870" i="3"/>
  <c r="R870" i="3"/>
  <c r="S870" i="3"/>
  <c r="T870" i="3"/>
  <c r="U870" i="3"/>
  <c r="V870" i="3"/>
  <c r="W870" i="3"/>
  <c r="X870" i="3"/>
  <c r="Y870" i="3"/>
  <c r="Z870" i="3"/>
  <c r="H871" i="3"/>
  <c r="B871" i="3" s="1"/>
  <c r="I871" i="3"/>
  <c r="C871" i="3" s="1"/>
  <c r="P871" i="3"/>
  <c r="Q871" i="3"/>
  <c r="R871" i="3"/>
  <c r="S871" i="3"/>
  <c r="T871" i="3"/>
  <c r="U871" i="3"/>
  <c r="V871" i="3"/>
  <c r="W871" i="3"/>
  <c r="X871" i="3"/>
  <c r="Y871" i="3"/>
  <c r="Z871" i="3"/>
  <c r="H872" i="3"/>
  <c r="B872" i="3" s="1"/>
  <c r="I872" i="3"/>
  <c r="C872" i="3" s="1"/>
  <c r="P872" i="3"/>
  <c r="Q872" i="3"/>
  <c r="R872" i="3"/>
  <c r="S872" i="3"/>
  <c r="T872" i="3"/>
  <c r="U872" i="3"/>
  <c r="V872" i="3"/>
  <c r="W872" i="3"/>
  <c r="X872" i="3"/>
  <c r="Y872" i="3"/>
  <c r="Z872" i="3"/>
  <c r="H873" i="3"/>
  <c r="B873" i="3" s="1"/>
  <c r="I873" i="3"/>
  <c r="C873" i="3" s="1"/>
  <c r="P873" i="3"/>
  <c r="Q873" i="3"/>
  <c r="R873" i="3"/>
  <c r="S873" i="3"/>
  <c r="T873" i="3"/>
  <c r="U873" i="3"/>
  <c r="V873" i="3"/>
  <c r="W873" i="3"/>
  <c r="X873" i="3"/>
  <c r="Y873" i="3"/>
  <c r="Z873" i="3"/>
  <c r="H874" i="3"/>
  <c r="B874" i="3" s="1"/>
  <c r="I874" i="3"/>
  <c r="C874" i="3" s="1"/>
  <c r="P874" i="3"/>
  <c r="Q874" i="3"/>
  <c r="R874" i="3"/>
  <c r="S874" i="3"/>
  <c r="T874" i="3"/>
  <c r="U874" i="3"/>
  <c r="V874" i="3"/>
  <c r="W874" i="3"/>
  <c r="X874" i="3"/>
  <c r="Y874" i="3"/>
  <c r="Z874" i="3"/>
  <c r="H875" i="3"/>
  <c r="B875" i="3" s="1"/>
  <c r="I875" i="3"/>
  <c r="C875" i="3" s="1"/>
  <c r="P875" i="3"/>
  <c r="Q875" i="3"/>
  <c r="R875" i="3"/>
  <c r="S875" i="3"/>
  <c r="T875" i="3"/>
  <c r="U875" i="3"/>
  <c r="V875" i="3"/>
  <c r="W875" i="3"/>
  <c r="X875" i="3"/>
  <c r="Y875" i="3"/>
  <c r="Z875" i="3"/>
  <c r="H876" i="3"/>
  <c r="B876" i="3" s="1"/>
  <c r="I876" i="3"/>
  <c r="C876" i="3" s="1"/>
  <c r="P876" i="3"/>
  <c r="Q876" i="3"/>
  <c r="R876" i="3"/>
  <c r="S876" i="3"/>
  <c r="T876" i="3"/>
  <c r="U876" i="3"/>
  <c r="V876" i="3"/>
  <c r="W876" i="3"/>
  <c r="X876" i="3"/>
  <c r="Y876" i="3"/>
  <c r="Z876" i="3"/>
  <c r="H877" i="3"/>
  <c r="B877" i="3" s="1"/>
  <c r="I877" i="3"/>
  <c r="C877" i="3" s="1"/>
  <c r="P877" i="3"/>
  <c r="Q877" i="3"/>
  <c r="R877" i="3"/>
  <c r="S877" i="3"/>
  <c r="T877" i="3"/>
  <c r="U877" i="3"/>
  <c r="V877" i="3"/>
  <c r="W877" i="3"/>
  <c r="X877" i="3"/>
  <c r="Y877" i="3"/>
  <c r="Z877" i="3"/>
  <c r="H878" i="3"/>
  <c r="B878" i="3" s="1"/>
  <c r="I878" i="3"/>
  <c r="C878" i="3" s="1"/>
  <c r="P878" i="3"/>
  <c r="Q878" i="3"/>
  <c r="R878" i="3"/>
  <c r="S878" i="3"/>
  <c r="T878" i="3"/>
  <c r="U878" i="3"/>
  <c r="V878" i="3"/>
  <c r="W878" i="3"/>
  <c r="X878" i="3"/>
  <c r="Y878" i="3"/>
  <c r="Z878" i="3"/>
  <c r="H879" i="3"/>
  <c r="B879" i="3" s="1"/>
  <c r="I879" i="3"/>
  <c r="C879" i="3" s="1"/>
  <c r="P879" i="3"/>
  <c r="Q879" i="3"/>
  <c r="R879" i="3"/>
  <c r="S879" i="3"/>
  <c r="T879" i="3"/>
  <c r="U879" i="3"/>
  <c r="V879" i="3"/>
  <c r="W879" i="3"/>
  <c r="X879" i="3"/>
  <c r="Y879" i="3"/>
  <c r="Z879" i="3"/>
  <c r="H880" i="3"/>
  <c r="B880" i="3" s="1"/>
  <c r="I880" i="3"/>
  <c r="C880" i="3" s="1"/>
  <c r="P880" i="3"/>
  <c r="Q880" i="3"/>
  <c r="R880" i="3"/>
  <c r="S880" i="3"/>
  <c r="T880" i="3"/>
  <c r="U880" i="3"/>
  <c r="V880" i="3"/>
  <c r="W880" i="3"/>
  <c r="X880" i="3"/>
  <c r="Y880" i="3"/>
  <c r="Z880" i="3"/>
  <c r="H881" i="3"/>
  <c r="B881" i="3" s="1"/>
  <c r="I881" i="3"/>
  <c r="C881" i="3" s="1"/>
  <c r="P881" i="3"/>
  <c r="Q881" i="3"/>
  <c r="R881" i="3"/>
  <c r="S881" i="3"/>
  <c r="T881" i="3"/>
  <c r="U881" i="3"/>
  <c r="V881" i="3"/>
  <c r="W881" i="3"/>
  <c r="X881" i="3"/>
  <c r="Y881" i="3"/>
  <c r="Z881" i="3"/>
  <c r="H882" i="3"/>
  <c r="B882" i="3" s="1"/>
  <c r="I882" i="3"/>
  <c r="C882" i="3" s="1"/>
  <c r="P882" i="3"/>
  <c r="Q882" i="3"/>
  <c r="R882" i="3"/>
  <c r="S882" i="3"/>
  <c r="T882" i="3"/>
  <c r="U882" i="3"/>
  <c r="V882" i="3"/>
  <c r="W882" i="3"/>
  <c r="X882" i="3"/>
  <c r="Y882" i="3"/>
  <c r="Z882" i="3"/>
  <c r="H883" i="3"/>
  <c r="B883" i="3" s="1"/>
  <c r="I883" i="3"/>
  <c r="C883" i="3" s="1"/>
  <c r="P883" i="3"/>
  <c r="Q883" i="3"/>
  <c r="R883" i="3"/>
  <c r="S883" i="3"/>
  <c r="T883" i="3"/>
  <c r="U883" i="3"/>
  <c r="V883" i="3"/>
  <c r="W883" i="3"/>
  <c r="X883" i="3"/>
  <c r="Y883" i="3"/>
  <c r="Z883" i="3"/>
  <c r="H884" i="3"/>
  <c r="B884" i="3" s="1"/>
  <c r="I884" i="3"/>
  <c r="C884" i="3" s="1"/>
  <c r="P884" i="3"/>
  <c r="Q884" i="3"/>
  <c r="R884" i="3"/>
  <c r="S884" i="3"/>
  <c r="T884" i="3"/>
  <c r="U884" i="3"/>
  <c r="V884" i="3"/>
  <c r="W884" i="3"/>
  <c r="X884" i="3"/>
  <c r="Y884" i="3"/>
  <c r="Z884" i="3"/>
  <c r="H885" i="3"/>
  <c r="B885" i="3" s="1"/>
  <c r="I885" i="3"/>
  <c r="C885" i="3" s="1"/>
  <c r="P885" i="3"/>
  <c r="Q885" i="3"/>
  <c r="R885" i="3"/>
  <c r="S885" i="3"/>
  <c r="T885" i="3"/>
  <c r="U885" i="3"/>
  <c r="V885" i="3"/>
  <c r="W885" i="3"/>
  <c r="X885" i="3"/>
  <c r="Y885" i="3"/>
  <c r="Z885" i="3"/>
  <c r="H886" i="3"/>
  <c r="B886" i="3" s="1"/>
  <c r="I886" i="3"/>
  <c r="C886" i="3" s="1"/>
  <c r="P886" i="3"/>
  <c r="Q886" i="3"/>
  <c r="R886" i="3"/>
  <c r="S886" i="3"/>
  <c r="T886" i="3"/>
  <c r="U886" i="3"/>
  <c r="V886" i="3"/>
  <c r="W886" i="3"/>
  <c r="X886" i="3"/>
  <c r="Y886" i="3"/>
  <c r="Z886" i="3"/>
  <c r="H887" i="3"/>
  <c r="B887" i="3" s="1"/>
  <c r="I887" i="3"/>
  <c r="C887" i="3" s="1"/>
  <c r="P887" i="3"/>
  <c r="Q887" i="3"/>
  <c r="R887" i="3"/>
  <c r="S887" i="3"/>
  <c r="T887" i="3"/>
  <c r="U887" i="3"/>
  <c r="V887" i="3"/>
  <c r="W887" i="3"/>
  <c r="X887" i="3"/>
  <c r="Y887" i="3"/>
  <c r="Z887" i="3"/>
  <c r="H888" i="3"/>
  <c r="B888" i="3" s="1"/>
  <c r="I888" i="3"/>
  <c r="C888" i="3" s="1"/>
  <c r="P888" i="3"/>
  <c r="Q888" i="3"/>
  <c r="R888" i="3"/>
  <c r="S888" i="3"/>
  <c r="T888" i="3"/>
  <c r="U888" i="3"/>
  <c r="V888" i="3"/>
  <c r="W888" i="3"/>
  <c r="X888" i="3"/>
  <c r="Y888" i="3"/>
  <c r="Z888" i="3"/>
  <c r="H889" i="3"/>
  <c r="B889" i="3" s="1"/>
  <c r="I889" i="3"/>
  <c r="C889" i="3" s="1"/>
  <c r="P889" i="3"/>
  <c r="Q889" i="3"/>
  <c r="R889" i="3"/>
  <c r="S889" i="3"/>
  <c r="T889" i="3"/>
  <c r="U889" i="3"/>
  <c r="V889" i="3"/>
  <c r="W889" i="3"/>
  <c r="X889" i="3"/>
  <c r="Y889" i="3"/>
  <c r="Z889" i="3"/>
  <c r="H890" i="3"/>
  <c r="B890" i="3" s="1"/>
  <c r="I890" i="3"/>
  <c r="C890" i="3" s="1"/>
  <c r="P890" i="3"/>
  <c r="Q890" i="3"/>
  <c r="R890" i="3"/>
  <c r="S890" i="3"/>
  <c r="T890" i="3"/>
  <c r="U890" i="3"/>
  <c r="V890" i="3"/>
  <c r="W890" i="3"/>
  <c r="X890" i="3"/>
  <c r="Y890" i="3"/>
  <c r="Z890" i="3"/>
  <c r="H891" i="3"/>
  <c r="B891" i="3" s="1"/>
  <c r="I891" i="3"/>
  <c r="C891" i="3" s="1"/>
  <c r="P891" i="3"/>
  <c r="Q891" i="3"/>
  <c r="R891" i="3"/>
  <c r="S891" i="3"/>
  <c r="T891" i="3"/>
  <c r="U891" i="3"/>
  <c r="V891" i="3"/>
  <c r="W891" i="3"/>
  <c r="X891" i="3"/>
  <c r="Y891" i="3"/>
  <c r="Z891" i="3"/>
  <c r="H892" i="3"/>
  <c r="B892" i="3" s="1"/>
  <c r="I892" i="3"/>
  <c r="C892" i="3" s="1"/>
  <c r="P892" i="3"/>
  <c r="Q892" i="3"/>
  <c r="R892" i="3"/>
  <c r="S892" i="3"/>
  <c r="T892" i="3"/>
  <c r="U892" i="3"/>
  <c r="V892" i="3"/>
  <c r="W892" i="3"/>
  <c r="X892" i="3"/>
  <c r="Y892" i="3"/>
  <c r="Z892" i="3"/>
  <c r="H893" i="3"/>
  <c r="B893" i="3" s="1"/>
  <c r="I893" i="3"/>
  <c r="C893" i="3" s="1"/>
  <c r="P893" i="3"/>
  <c r="Q893" i="3"/>
  <c r="R893" i="3"/>
  <c r="S893" i="3"/>
  <c r="T893" i="3"/>
  <c r="U893" i="3"/>
  <c r="V893" i="3"/>
  <c r="W893" i="3"/>
  <c r="X893" i="3"/>
  <c r="Y893" i="3"/>
  <c r="Z893" i="3"/>
  <c r="H894" i="3"/>
  <c r="B894" i="3" s="1"/>
  <c r="I894" i="3"/>
  <c r="C894" i="3" s="1"/>
  <c r="P894" i="3"/>
  <c r="Q894" i="3"/>
  <c r="R894" i="3"/>
  <c r="S894" i="3"/>
  <c r="T894" i="3"/>
  <c r="U894" i="3"/>
  <c r="V894" i="3"/>
  <c r="W894" i="3"/>
  <c r="X894" i="3"/>
  <c r="Y894" i="3"/>
  <c r="Z894" i="3"/>
  <c r="H895" i="3"/>
  <c r="B895" i="3" s="1"/>
  <c r="I895" i="3"/>
  <c r="C895" i="3" s="1"/>
  <c r="P895" i="3"/>
  <c r="Q895" i="3"/>
  <c r="R895" i="3"/>
  <c r="S895" i="3"/>
  <c r="T895" i="3"/>
  <c r="U895" i="3"/>
  <c r="V895" i="3"/>
  <c r="W895" i="3"/>
  <c r="X895" i="3"/>
  <c r="Y895" i="3"/>
  <c r="Z895" i="3"/>
  <c r="H896" i="3"/>
  <c r="B896" i="3" s="1"/>
  <c r="I896" i="3"/>
  <c r="C896" i="3" s="1"/>
  <c r="P896" i="3"/>
  <c r="Q896" i="3"/>
  <c r="R896" i="3"/>
  <c r="S896" i="3"/>
  <c r="T896" i="3"/>
  <c r="U896" i="3"/>
  <c r="V896" i="3"/>
  <c r="W896" i="3"/>
  <c r="X896" i="3"/>
  <c r="Y896" i="3"/>
  <c r="Z896" i="3"/>
  <c r="H897" i="3"/>
  <c r="B897" i="3" s="1"/>
  <c r="I897" i="3"/>
  <c r="C897" i="3" s="1"/>
  <c r="P897" i="3"/>
  <c r="Q897" i="3"/>
  <c r="R897" i="3"/>
  <c r="S897" i="3"/>
  <c r="T897" i="3"/>
  <c r="U897" i="3"/>
  <c r="V897" i="3"/>
  <c r="W897" i="3"/>
  <c r="X897" i="3"/>
  <c r="Y897" i="3"/>
  <c r="Z897" i="3"/>
  <c r="H898" i="3"/>
  <c r="B898" i="3" s="1"/>
  <c r="I898" i="3"/>
  <c r="C898" i="3" s="1"/>
  <c r="P898" i="3"/>
  <c r="Q898" i="3"/>
  <c r="R898" i="3"/>
  <c r="S898" i="3"/>
  <c r="T898" i="3"/>
  <c r="U898" i="3"/>
  <c r="V898" i="3"/>
  <c r="W898" i="3"/>
  <c r="X898" i="3"/>
  <c r="Y898" i="3"/>
  <c r="Z898" i="3"/>
  <c r="H899" i="3"/>
  <c r="B899" i="3" s="1"/>
  <c r="I899" i="3"/>
  <c r="C899" i="3" s="1"/>
  <c r="P899" i="3"/>
  <c r="Q899" i="3"/>
  <c r="R899" i="3"/>
  <c r="S899" i="3"/>
  <c r="T899" i="3"/>
  <c r="U899" i="3"/>
  <c r="V899" i="3"/>
  <c r="W899" i="3"/>
  <c r="X899" i="3"/>
  <c r="Y899" i="3"/>
  <c r="Z899" i="3"/>
  <c r="H900" i="3"/>
  <c r="B900" i="3" s="1"/>
  <c r="I900" i="3"/>
  <c r="C900" i="3" s="1"/>
  <c r="P900" i="3"/>
  <c r="Q900" i="3"/>
  <c r="R900" i="3"/>
  <c r="S900" i="3"/>
  <c r="T900" i="3"/>
  <c r="U900" i="3"/>
  <c r="V900" i="3"/>
  <c r="W900" i="3"/>
  <c r="X900" i="3"/>
  <c r="Y900" i="3"/>
  <c r="Z900" i="3"/>
  <c r="H901" i="3"/>
  <c r="B901" i="3" s="1"/>
  <c r="I901" i="3"/>
  <c r="C901" i="3" s="1"/>
  <c r="P901" i="3"/>
  <c r="Q901" i="3"/>
  <c r="R901" i="3"/>
  <c r="S901" i="3"/>
  <c r="T901" i="3"/>
  <c r="U901" i="3"/>
  <c r="V901" i="3"/>
  <c r="W901" i="3"/>
  <c r="X901" i="3"/>
  <c r="Y901" i="3"/>
  <c r="Z901" i="3"/>
  <c r="H902" i="3"/>
  <c r="B902" i="3" s="1"/>
  <c r="I902" i="3"/>
  <c r="C902" i="3" s="1"/>
  <c r="P902" i="3"/>
  <c r="Q902" i="3"/>
  <c r="R902" i="3"/>
  <c r="S902" i="3"/>
  <c r="T902" i="3"/>
  <c r="U902" i="3"/>
  <c r="V902" i="3"/>
  <c r="W902" i="3"/>
  <c r="X902" i="3"/>
  <c r="Y902" i="3"/>
  <c r="Z902" i="3"/>
  <c r="H903" i="3"/>
  <c r="B903" i="3" s="1"/>
  <c r="I903" i="3"/>
  <c r="C903" i="3" s="1"/>
  <c r="P903" i="3"/>
  <c r="Q903" i="3"/>
  <c r="R903" i="3"/>
  <c r="S903" i="3"/>
  <c r="T903" i="3"/>
  <c r="U903" i="3"/>
  <c r="V903" i="3"/>
  <c r="W903" i="3"/>
  <c r="X903" i="3"/>
  <c r="Y903" i="3"/>
  <c r="Z903" i="3"/>
  <c r="H904" i="3"/>
  <c r="B904" i="3" s="1"/>
  <c r="I904" i="3"/>
  <c r="C904" i="3" s="1"/>
  <c r="P904" i="3"/>
  <c r="Q904" i="3"/>
  <c r="R904" i="3"/>
  <c r="S904" i="3"/>
  <c r="T904" i="3"/>
  <c r="U904" i="3"/>
  <c r="V904" i="3"/>
  <c r="W904" i="3"/>
  <c r="X904" i="3"/>
  <c r="Y904" i="3"/>
  <c r="Z904" i="3"/>
  <c r="H905" i="3"/>
  <c r="B905" i="3" s="1"/>
  <c r="I905" i="3"/>
  <c r="C905" i="3" s="1"/>
  <c r="P905" i="3"/>
  <c r="Q905" i="3"/>
  <c r="R905" i="3"/>
  <c r="S905" i="3"/>
  <c r="T905" i="3"/>
  <c r="U905" i="3"/>
  <c r="V905" i="3"/>
  <c r="W905" i="3"/>
  <c r="X905" i="3"/>
  <c r="Y905" i="3"/>
  <c r="Z905" i="3"/>
  <c r="H906" i="3"/>
  <c r="B906" i="3" s="1"/>
  <c r="I906" i="3"/>
  <c r="C906" i="3" s="1"/>
  <c r="P906" i="3"/>
  <c r="Q906" i="3"/>
  <c r="R906" i="3"/>
  <c r="S906" i="3"/>
  <c r="T906" i="3"/>
  <c r="U906" i="3"/>
  <c r="V906" i="3"/>
  <c r="W906" i="3"/>
  <c r="X906" i="3"/>
  <c r="Y906" i="3"/>
  <c r="Z906" i="3"/>
  <c r="H907" i="3"/>
  <c r="B907" i="3" s="1"/>
  <c r="I907" i="3"/>
  <c r="C907" i="3" s="1"/>
  <c r="P907" i="3"/>
  <c r="Q907" i="3"/>
  <c r="R907" i="3"/>
  <c r="S907" i="3"/>
  <c r="T907" i="3"/>
  <c r="U907" i="3"/>
  <c r="V907" i="3"/>
  <c r="W907" i="3"/>
  <c r="X907" i="3"/>
  <c r="Y907" i="3"/>
  <c r="Z907" i="3"/>
  <c r="H908" i="3"/>
  <c r="B908" i="3" s="1"/>
  <c r="I908" i="3"/>
  <c r="C908" i="3" s="1"/>
  <c r="P908" i="3"/>
  <c r="Q908" i="3"/>
  <c r="R908" i="3"/>
  <c r="S908" i="3"/>
  <c r="T908" i="3"/>
  <c r="U908" i="3"/>
  <c r="V908" i="3"/>
  <c r="W908" i="3"/>
  <c r="X908" i="3"/>
  <c r="Y908" i="3"/>
  <c r="Z908" i="3"/>
  <c r="H909" i="3"/>
  <c r="B909" i="3" s="1"/>
  <c r="I909" i="3"/>
  <c r="C909" i="3" s="1"/>
  <c r="P909" i="3"/>
  <c r="Q909" i="3"/>
  <c r="R909" i="3"/>
  <c r="S909" i="3"/>
  <c r="T909" i="3"/>
  <c r="U909" i="3"/>
  <c r="V909" i="3"/>
  <c r="W909" i="3"/>
  <c r="X909" i="3"/>
  <c r="Y909" i="3"/>
  <c r="Z909" i="3"/>
  <c r="H910" i="3"/>
  <c r="B910" i="3" s="1"/>
  <c r="I910" i="3"/>
  <c r="C910" i="3" s="1"/>
  <c r="P910" i="3"/>
  <c r="Q910" i="3"/>
  <c r="R910" i="3"/>
  <c r="S910" i="3"/>
  <c r="T910" i="3"/>
  <c r="U910" i="3"/>
  <c r="V910" i="3"/>
  <c r="W910" i="3"/>
  <c r="X910" i="3"/>
  <c r="Y910" i="3"/>
  <c r="Z910" i="3"/>
  <c r="H911" i="3"/>
  <c r="B911" i="3" s="1"/>
  <c r="I911" i="3"/>
  <c r="C911" i="3" s="1"/>
  <c r="P911" i="3"/>
  <c r="Q911" i="3"/>
  <c r="R911" i="3"/>
  <c r="S911" i="3"/>
  <c r="T911" i="3"/>
  <c r="U911" i="3"/>
  <c r="V911" i="3"/>
  <c r="W911" i="3"/>
  <c r="X911" i="3"/>
  <c r="Y911" i="3"/>
  <c r="Z911" i="3"/>
  <c r="H912" i="3"/>
  <c r="B912" i="3" s="1"/>
  <c r="I912" i="3"/>
  <c r="C912" i="3" s="1"/>
  <c r="P912" i="3"/>
  <c r="Q912" i="3"/>
  <c r="R912" i="3"/>
  <c r="S912" i="3"/>
  <c r="T912" i="3"/>
  <c r="U912" i="3"/>
  <c r="V912" i="3"/>
  <c r="W912" i="3"/>
  <c r="X912" i="3"/>
  <c r="Y912" i="3"/>
  <c r="Z912" i="3"/>
  <c r="H913" i="3"/>
  <c r="B913" i="3" s="1"/>
  <c r="I913" i="3"/>
  <c r="C913" i="3" s="1"/>
  <c r="P913" i="3"/>
  <c r="Q913" i="3"/>
  <c r="R913" i="3"/>
  <c r="S913" i="3"/>
  <c r="T913" i="3"/>
  <c r="U913" i="3"/>
  <c r="V913" i="3"/>
  <c r="W913" i="3"/>
  <c r="X913" i="3"/>
  <c r="Y913" i="3"/>
  <c r="Z913" i="3"/>
  <c r="H914" i="3"/>
  <c r="B914" i="3" s="1"/>
  <c r="I914" i="3"/>
  <c r="C914" i="3" s="1"/>
  <c r="P914" i="3"/>
  <c r="Q914" i="3"/>
  <c r="R914" i="3"/>
  <c r="S914" i="3"/>
  <c r="T914" i="3"/>
  <c r="U914" i="3"/>
  <c r="V914" i="3"/>
  <c r="W914" i="3"/>
  <c r="X914" i="3"/>
  <c r="Y914" i="3"/>
  <c r="Z914" i="3"/>
  <c r="H915" i="3"/>
  <c r="B915" i="3" s="1"/>
  <c r="I915" i="3"/>
  <c r="C915" i="3" s="1"/>
  <c r="P915" i="3"/>
  <c r="Q915" i="3"/>
  <c r="R915" i="3"/>
  <c r="S915" i="3"/>
  <c r="T915" i="3"/>
  <c r="U915" i="3"/>
  <c r="V915" i="3"/>
  <c r="W915" i="3"/>
  <c r="X915" i="3"/>
  <c r="Y915" i="3"/>
  <c r="Z915" i="3"/>
  <c r="H916" i="3"/>
  <c r="B916" i="3" s="1"/>
  <c r="I916" i="3"/>
  <c r="C916" i="3" s="1"/>
  <c r="P916" i="3"/>
  <c r="Q916" i="3"/>
  <c r="R916" i="3"/>
  <c r="S916" i="3"/>
  <c r="T916" i="3"/>
  <c r="U916" i="3"/>
  <c r="V916" i="3"/>
  <c r="W916" i="3"/>
  <c r="X916" i="3"/>
  <c r="Y916" i="3"/>
  <c r="Z916" i="3"/>
  <c r="H917" i="3"/>
  <c r="B917" i="3" s="1"/>
  <c r="I917" i="3"/>
  <c r="C917" i="3" s="1"/>
  <c r="P917" i="3"/>
  <c r="Q917" i="3"/>
  <c r="R917" i="3"/>
  <c r="S917" i="3"/>
  <c r="T917" i="3"/>
  <c r="U917" i="3"/>
  <c r="V917" i="3"/>
  <c r="W917" i="3"/>
  <c r="X917" i="3"/>
  <c r="Y917" i="3"/>
  <c r="Z917" i="3"/>
  <c r="H918" i="3"/>
  <c r="B918" i="3" s="1"/>
  <c r="I918" i="3"/>
  <c r="C918" i="3" s="1"/>
  <c r="P918" i="3"/>
  <c r="Q918" i="3"/>
  <c r="R918" i="3"/>
  <c r="S918" i="3"/>
  <c r="T918" i="3"/>
  <c r="U918" i="3"/>
  <c r="V918" i="3"/>
  <c r="W918" i="3"/>
  <c r="X918" i="3"/>
  <c r="Y918" i="3"/>
  <c r="Z918" i="3"/>
  <c r="H919" i="3"/>
  <c r="B919" i="3" s="1"/>
  <c r="I919" i="3"/>
  <c r="C919" i="3" s="1"/>
  <c r="P919" i="3"/>
  <c r="Q919" i="3"/>
  <c r="R919" i="3"/>
  <c r="S919" i="3"/>
  <c r="T919" i="3"/>
  <c r="U919" i="3"/>
  <c r="V919" i="3"/>
  <c r="W919" i="3"/>
  <c r="X919" i="3"/>
  <c r="Y919" i="3"/>
  <c r="Z919" i="3"/>
  <c r="H920" i="3"/>
  <c r="B920" i="3" s="1"/>
  <c r="I920" i="3"/>
  <c r="C920" i="3" s="1"/>
  <c r="P920" i="3"/>
  <c r="Q920" i="3"/>
  <c r="R920" i="3"/>
  <c r="S920" i="3"/>
  <c r="T920" i="3"/>
  <c r="U920" i="3"/>
  <c r="V920" i="3"/>
  <c r="W920" i="3"/>
  <c r="X920" i="3"/>
  <c r="Y920" i="3"/>
  <c r="Z920" i="3"/>
  <c r="H921" i="3"/>
  <c r="B921" i="3" s="1"/>
  <c r="I921" i="3"/>
  <c r="C921" i="3" s="1"/>
  <c r="P921" i="3"/>
  <c r="Q921" i="3"/>
  <c r="R921" i="3"/>
  <c r="S921" i="3"/>
  <c r="T921" i="3"/>
  <c r="U921" i="3"/>
  <c r="V921" i="3"/>
  <c r="W921" i="3"/>
  <c r="X921" i="3"/>
  <c r="Y921" i="3"/>
  <c r="Z921" i="3"/>
  <c r="H922" i="3"/>
  <c r="B922" i="3" s="1"/>
  <c r="I922" i="3"/>
  <c r="C922" i="3" s="1"/>
  <c r="P922" i="3"/>
  <c r="Q922" i="3"/>
  <c r="R922" i="3"/>
  <c r="S922" i="3"/>
  <c r="T922" i="3"/>
  <c r="U922" i="3"/>
  <c r="V922" i="3"/>
  <c r="W922" i="3"/>
  <c r="X922" i="3"/>
  <c r="Y922" i="3"/>
  <c r="Z922" i="3"/>
  <c r="H923" i="3"/>
  <c r="B923" i="3" s="1"/>
  <c r="I923" i="3"/>
  <c r="C923" i="3" s="1"/>
  <c r="P923" i="3"/>
  <c r="Q923" i="3"/>
  <c r="R923" i="3"/>
  <c r="S923" i="3"/>
  <c r="T923" i="3"/>
  <c r="U923" i="3"/>
  <c r="V923" i="3"/>
  <c r="W923" i="3"/>
  <c r="X923" i="3"/>
  <c r="Y923" i="3"/>
  <c r="Z923" i="3"/>
  <c r="H924" i="3"/>
  <c r="B924" i="3" s="1"/>
  <c r="I924" i="3"/>
  <c r="C924" i="3" s="1"/>
  <c r="P924" i="3"/>
  <c r="Q924" i="3"/>
  <c r="R924" i="3"/>
  <c r="S924" i="3"/>
  <c r="T924" i="3"/>
  <c r="U924" i="3"/>
  <c r="V924" i="3"/>
  <c r="W924" i="3"/>
  <c r="X924" i="3"/>
  <c r="Y924" i="3"/>
  <c r="Z924" i="3"/>
  <c r="H925" i="3"/>
  <c r="B925" i="3" s="1"/>
  <c r="I925" i="3"/>
  <c r="C925" i="3" s="1"/>
  <c r="P925" i="3"/>
  <c r="Q925" i="3"/>
  <c r="R925" i="3"/>
  <c r="S925" i="3"/>
  <c r="T925" i="3"/>
  <c r="U925" i="3"/>
  <c r="V925" i="3"/>
  <c r="W925" i="3"/>
  <c r="X925" i="3"/>
  <c r="Y925" i="3"/>
  <c r="Z925" i="3"/>
  <c r="H926" i="3"/>
  <c r="B926" i="3" s="1"/>
  <c r="I926" i="3"/>
  <c r="C926" i="3" s="1"/>
  <c r="P926" i="3"/>
  <c r="Q926" i="3"/>
  <c r="R926" i="3"/>
  <c r="S926" i="3"/>
  <c r="T926" i="3"/>
  <c r="U926" i="3"/>
  <c r="V926" i="3"/>
  <c r="W926" i="3"/>
  <c r="X926" i="3"/>
  <c r="Y926" i="3"/>
  <c r="Z926" i="3"/>
  <c r="H927" i="3"/>
  <c r="B927" i="3" s="1"/>
  <c r="I927" i="3"/>
  <c r="C927" i="3" s="1"/>
  <c r="P927" i="3"/>
  <c r="Q927" i="3"/>
  <c r="R927" i="3"/>
  <c r="S927" i="3"/>
  <c r="T927" i="3"/>
  <c r="U927" i="3"/>
  <c r="V927" i="3"/>
  <c r="W927" i="3"/>
  <c r="X927" i="3"/>
  <c r="Y927" i="3"/>
  <c r="Z927" i="3"/>
  <c r="H928" i="3"/>
  <c r="B928" i="3" s="1"/>
  <c r="I928" i="3"/>
  <c r="C928" i="3" s="1"/>
  <c r="P928" i="3"/>
  <c r="Q928" i="3"/>
  <c r="R928" i="3"/>
  <c r="S928" i="3"/>
  <c r="T928" i="3"/>
  <c r="U928" i="3"/>
  <c r="V928" i="3"/>
  <c r="W928" i="3"/>
  <c r="X928" i="3"/>
  <c r="Y928" i="3"/>
  <c r="Z928" i="3"/>
  <c r="H929" i="3"/>
  <c r="B929" i="3" s="1"/>
  <c r="I929" i="3"/>
  <c r="C929" i="3" s="1"/>
  <c r="P929" i="3"/>
  <c r="Q929" i="3"/>
  <c r="R929" i="3"/>
  <c r="S929" i="3"/>
  <c r="T929" i="3"/>
  <c r="U929" i="3"/>
  <c r="V929" i="3"/>
  <c r="W929" i="3"/>
  <c r="X929" i="3"/>
  <c r="Y929" i="3"/>
  <c r="Z929" i="3"/>
  <c r="H930" i="3"/>
  <c r="B930" i="3" s="1"/>
  <c r="I930" i="3"/>
  <c r="C930" i="3" s="1"/>
  <c r="P930" i="3"/>
  <c r="Q930" i="3"/>
  <c r="R930" i="3"/>
  <c r="S930" i="3"/>
  <c r="T930" i="3"/>
  <c r="U930" i="3"/>
  <c r="V930" i="3"/>
  <c r="W930" i="3"/>
  <c r="X930" i="3"/>
  <c r="Y930" i="3"/>
  <c r="Z930" i="3"/>
  <c r="H931" i="3"/>
  <c r="B931" i="3" s="1"/>
  <c r="I931" i="3"/>
  <c r="C931" i="3" s="1"/>
  <c r="P931" i="3"/>
  <c r="Q931" i="3"/>
  <c r="R931" i="3"/>
  <c r="S931" i="3"/>
  <c r="T931" i="3"/>
  <c r="U931" i="3"/>
  <c r="V931" i="3"/>
  <c r="W931" i="3"/>
  <c r="X931" i="3"/>
  <c r="Y931" i="3"/>
  <c r="Z931" i="3"/>
  <c r="H932" i="3"/>
  <c r="B932" i="3" s="1"/>
  <c r="I932" i="3"/>
  <c r="C932" i="3" s="1"/>
  <c r="P932" i="3"/>
  <c r="Q932" i="3"/>
  <c r="R932" i="3"/>
  <c r="S932" i="3"/>
  <c r="T932" i="3"/>
  <c r="U932" i="3"/>
  <c r="V932" i="3"/>
  <c r="W932" i="3"/>
  <c r="X932" i="3"/>
  <c r="Y932" i="3"/>
  <c r="Z932" i="3"/>
  <c r="H933" i="3"/>
  <c r="B933" i="3" s="1"/>
  <c r="I933" i="3"/>
  <c r="C933" i="3" s="1"/>
  <c r="P933" i="3"/>
  <c r="Q933" i="3"/>
  <c r="R933" i="3"/>
  <c r="S933" i="3"/>
  <c r="T933" i="3"/>
  <c r="U933" i="3"/>
  <c r="V933" i="3"/>
  <c r="W933" i="3"/>
  <c r="X933" i="3"/>
  <c r="Y933" i="3"/>
  <c r="Z933" i="3"/>
  <c r="H934" i="3"/>
  <c r="B934" i="3" s="1"/>
  <c r="I934" i="3"/>
  <c r="C934" i="3" s="1"/>
  <c r="P934" i="3"/>
  <c r="Q934" i="3"/>
  <c r="R934" i="3"/>
  <c r="S934" i="3"/>
  <c r="T934" i="3"/>
  <c r="U934" i="3"/>
  <c r="V934" i="3"/>
  <c r="W934" i="3"/>
  <c r="X934" i="3"/>
  <c r="Y934" i="3"/>
  <c r="Z934" i="3"/>
  <c r="H935" i="3"/>
  <c r="B935" i="3" s="1"/>
  <c r="I935" i="3"/>
  <c r="C935" i="3" s="1"/>
  <c r="P935" i="3"/>
  <c r="Q935" i="3"/>
  <c r="R935" i="3"/>
  <c r="S935" i="3"/>
  <c r="T935" i="3"/>
  <c r="U935" i="3"/>
  <c r="V935" i="3"/>
  <c r="W935" i="3"/>
  <c r="X935" i="3"/>
  <c r="Y935" i="3"/>
  <c r="Z935" i="3"/>
  <c r="H936" i="3"/>
  <c r="B936" i="3" s="1"/>
  <c r="I936" i="3"/>
  <c r="C936" i="3" s="1"/>
  <c r="P936" i="3"/>
  <c r="Q936" i="3"/>
  <c r="R936" i="3"/>
  <c r="S936" i="3"/>
  <c r="T936" i="3"/>
  <c r="U936" i="3"/>
  <c r="V936" i="3"/>
  <c r="W936" i="3"/>
  <c r="X936" i="3"/>
  <c r="Y936" i="3"/>
  <c r="Z936" i="3"/>
  <c r="H937" i="3"/>
  <c r="B937" i="3" s="1"/>
  <c r="I937" i="3"/>
  <c r="C937" i="3" s="1"/>
  <c r="P937" i="3"/>
  <c r="Q937" i="3"/>
  <c r="R937" i="3"/>
  <c r="S937" i="3"/>
  <c r="T937" i="3"/>
  <c r="U937" i="3"/>
  <c r="V937" i="3"/>
  <c r="W937" i="3"/>
  <c r="X937" i="3"/>
  <c r="Y937" i="3"/>
  <c r="Z937" i="3"/>
  <c r="H938" i="3"/>
  <c r="B938" i="3" s="1"/>
  <c r="I938" i="3"/>
  <c r="C938" i="3" s="1"/>
  <c r="P938" i="3"/>
  <c r="Q938" i="3"/>
  <c r="R938" i="3"/>
  <c r="S938" i="3"/>
  <c r="T938" i="3"/>
  <c r="U938" i="3"/>
  <c r="V938" i="3"/>
  <c r="W938" i="3"/>
  <c r="X938" i="3"/>
  <c r="Y938" i="3"/>
  <c r="Z938" i="3"/>
  <c r="H939" i="3"/>
  <c r="B939" i="3" s="1"/>
  <c r="I939" i="3"/>
  <c r="C939" i="3" s="1"/>
  <c r="P939" i="3"/>
  <c r="Q939" i="3"/>
  <c r="R939" i="3"/>
  <c r="S939" i="3"/>
  <c r="T939" i="3"/>
  <c r="U939" i="3"/>
  <c r="V939" i="3"/>
  <c r="W939" i="3"/>
  <c r="X939" i="3"/>
  <c r="Y939" i="3"/>
  <c r="Z939" i="3"/>
  <c r="H940" i="3"/>
  <c r="B940" i="3" s="1"/>
  <c r="I940" i="3"/>
  <c r="C940" i="3" s="1"/>
  <c r="P940" i="3"/>
  <c r="Q940" i="3"/>
  <c r="R940" i="3"/>
  <c r="S940" i="3"/>
  <c r="T940" i="3"/>
  <c r="U940" i="3"/>
  <c r="V940" i="3"/>
  <c r="W940" i="3"/>
  <c r="X940" i="3"/>
  <c r="Y940" i="3"/>
  <c r="Z940" i="3"/>
  <c r="H941" i="3"/>
  <c r="B941" i="3" s="1"/>
  <c r="I941" i="3"/>
  <c r="C941" i="3" s="1"/>
  <c r="P941" i="3"/>
  <c r="Q941" i="3"/>
  <c r="R941" i="3"/>
  <c r="S941" i="3"/>
  <c r="T941" i="3"/>
  <c r="U941" i="3"/>
  <c r="V941" i="3"/>
  <c r="W941" i="3"/>
  <c r="X941" i="3"/>
  <c r="Y941" i="3"/>
  <c r="Z941" i="3"/>
  <c r="B4" i="66"/>
  <c r="B26" i="66"/>
  <c r="B48" i="66"/>
  <c r="Z480" i="3" l="1"/>
  <c r="Z432" i="3"/>
  <c r="Z383" i="3"/>
  <c r="Z530" i="3"/>
  <c r="Z149" i="3"/>
  <c r="Z58" i="3"/>
  <c r="Z10" i="3"/>
  <c r="Z533" i="3"/>
  <c r="Z516" i="3"/>
  <c r="Z508" i="3"/>
  <c r="Z500" i="3"/>
  <c r="Z455" i="3"/>
  <c r="Z451" i="3"/>
  <c r="Z354" i="3"/>
  <c r="Z352" i="3"/>
  <c r="Z346" i="3"/>
  <c r="Z322" i="3"/>
  <c r="Z303" i="3"/>
  <c r="Z269" i="3"/>
  <c r="Z265" i="3"/>
  <c r="Z257" i="3"/>
  <c r="Z255" i="3"/>
  <c r="Z228" i="3"/>
  <c r="Z181" i="3"/>
  <c r="Z578" i="3"/>
  <c r="Z422" i="3"/>
  <c r="Z309" i="3"/>
  <c r="Z576" i="3"/>
  <c r="Z552" i="3"/>
  <c r="Z528" i="3"/>
  <c r="Z519" i="3"/>
  <c r="Z503" i="3"/>
  <c r="Z495" i="3"/>
  <c r="Z489" i="3"/>
  <c r="Z444" i="3"/>
  <c r="Z442" i="3"/>
  <c r="Z401" i="3"/>
  <c r="Z380" i="3"/>
  <c r="Z374" i="3"/>
  <c r="Z315" i="3"/>
  <c r="Z296" i="3"/>
  <c r="Z294" i="3"/>
  <c r="Z192" i="3"/>
  <c r="Z183" i="3"/>
  <c r="Z173" i="3"/>
  <c r="Z559" i="3"/>
  <c r="Z466" i="3"/>
  <c r="Z464" i="3"/>
  <c r="Z458" i="3"/>
  <c r="Z481" i="3"/>
  <c r="Z475" i="3"/>
  <c r="Z384" i="3"/>
  <c r="Z279" i="3"/>
  <c r="Z42" i="3"/>
  <c r="Z5" i="3"/>
  <c r="Z582" i="3"/>
  <c r="Z574" i="3"/>
  <c r="Z558" i="3"/>
  <c r="Z534" i="3"/>
  <c r="Z517" i="3"/>
  <c r="Z419" i="3"/>
  <c r="Z409" i="3"/>
  <c r="Z407" i="3"/>
  <c r="Z392" i="3"/>
  <c r="Z310" i="3"/>
  <c r="Z236" i="3"/>
  <c r="Z125" i="3"/>
  <c r="Z91" i="3"/>
  <c r="Z89" i="3"/>
  <c r="Z72" i="3"/>
  <c r="Z527" i="3"/>
  <c r="Z587" i="3"/>
  <c r="Z547" i="3"/>
  <c r="Z469" i="3"/>
  <c r="Z382" i="3"/>
  <c r="Z106" i="3"/>
  <c r="Z569" i="3"/>
  <c r="Z553" i="3"/>
  <c r="Z545" i="3"/>
  <c r="Z496" i="3"/>
  <c r="Z454" i="3"/>
  <c r="Z450" i="3"/>
  <c r="Z349" i="3"/>
  <c r="Z327" i="3"/>
  <c r="Z323" i="3"/>
  <c r="Z308" i="3"/>
  <c r="Z306" i="3"/>
  <c r="Z304" i="3"/>
  <c r="Z272" i="3"/>
  <c r="Z264" i="3"/>
  <c r="Z258" i="3"/>
  <c r="Z483" i="3"/>
  <c r="Z445" i="3"/>
  <c r="Z438" i="3"/>
  <c r="Z435" i="3"/>
  <c r="Z433" i="3"/>
  <c r="Z404" i="3"/>
  <c r="Z403" i="3"/>
  <c r="Z393" i="3"/>
  <c r="Z391" i="3"/>
  <c r="Z389" i="3"/>
  <c r="Z377" i="3"/>
  <c r="Z363" i="3"/>
  <c r="Z344" i="3"/>
  <c r="Z341" i="3"/>
  <c r="Z339" i="3"/>
  <c r="Z319" i="3"/>
  <c r="Z317" i="3"/>
  <c r="Z313" i="3"/>
  <c r="Z299" i="3"/>
  <c r="Z251" i="3"/>
  <c r="Z214" i="3"/>
  <c r="Z213" i="3"/>
  <c r="Z127" i="3"/>
  <c r="Z24" i="3"/>
  <c r="Z136" i="3"/>
  <c r="Z452" i="3"/>
  <c r="Z449" i="3"/>
  <c r="Z448" i="3"/>
  <c r="Z447" i="3"/>
  <c r="Z336" i="3"/>
  <c r="Z286" i="3"/>
  <c r="Z247" i="3"/>
  <c r="Z242" i="3"/>
  <c r="Z175" i="3"/>
  <c r="Z141" i="3"/>
  <c r="Z60" i="3"/>
  <c r="Z38" i="3"/>
  <c r="Z94" i="3"/>
  <c r="Z457" i="3"/>
  <c r="Z456" i="3"/>
  <c r="Z281" i="3"/>
  <c r="Z275" i="3"/>
  <c r="Z238" i="3"/>
  <c r="Z224" i="3"/>
  <c r="Z223" i="3"/>
  <c r="Z217" i="3"/>
  <c r="Z151" i="3"/>
  <c r="Z93" i="3"/>
  <c r="Z12" i="3"/>
  <c r="Z65" i="3"/>
  <c r="AB942" i="3"/>
  <c r="AC942" i="3" s="1"/>
  <c r="AB946" i="3"/>
  <c r="AC946" i="3" s="1"/>
  <c r="AB943" i="3"/>
  <c r="AC943" i="3" s="1"/>
  <c r="AB945" i="3"/>
  <c r="AC945" i="3" s="1"/>
  <c r="AB94" i="3"/>
  <c r="AC94" i="3" s="1"/>
  <c r="AB944" i="3"/>
  <c r="AC944" i="3" s="1"/>
  <c r="Y437" i="3"/>
  <c r="Y400" i="3"/>
  <c r="Y389" i="3"/>
  <c r="Y289" i="3"/>
  <c r="Y283" i="3"/>
  <c r="Y265" i="3"/>
  <c r="Y491" i="3"/>
  <c r="Y471" i="3"/>
  <c r="Y409" i="3"/>
  <c r="Y243" i="3"/>
  <c r="Y94" i="3"/>
  <c r="Y481" i="3"/>
  <c r="Y448" i="3"/>
  <c r="Y420" i="3"/>
  <c r="Y349" i="3"/>
  <c r="Y339" i="3"/>
  <c r="Y335" i="3"/>
  <c r="Y332" i="3"/>
  <c r="Y493" i="3"/>
  <c r="Y472" i="3"/>
  <c r="Y449" i="3"/>
  <c r="Y439" i="3"/>
  <c r="Y433" i="3"/>
  <c r="Y423" i="3"/>
  <c r="Y411" i="3"/>
  <c r="Y391" i="3"/>
  <c r="Y376" i="3"/>
  <c r="Y359" i="3"/>
  <c r="Y351" i="3"/>
  <c r="Y341" i="3"/>
  <c r="Y313" i="3"/>
  <c r="Y291" i="3"/>
  <c r="Y267" i="3"/>
  <c r="Y257" i="3"/>
  <c r="Y245" i="3"/>
  <c r="Y235" i="3"/>
  <c r="Y231" i="3"/>
  <c r="Y227" i="3"/>
  <c r="Y173" i="3"/>
  <c r="Y495" i="3"/>
  <c r="Y473" i="3"/>
  <c r="Y465" i="3"/>
  <c r="Y451" i="3"/>
  <c r="Y444" i="3"/>
  <c r="Y435" i="3"/>
  <c r="Y425" i="3"/>
  <c r="Y413" i="3"/>
  <c r="Y392" i="3"/>
  <c r="Y385" i="3"/>
  <c r="Y377" i="3"/>
  <c r="Y361" i="3"/>
  <c r="Y353" i="3"/>
  <c r="Y347" i="3"/>
  <c r="Y343" i="3"/>
  <c r="Y305" i="3"/>
  <c r="Y293" i="3"/>
  <c r="Y277" i="3"/>
  <c r="Y269" i="3"/>
  <c r="Y259" i="3"/>
  <c r="Y247" i="3"/>
  <c r="Y85" i="3"/>
  <c r="Y59" i="3"/>
  <c r="Y197" i="3"/>
  <c r="Y193" i="3"/>
  <c r="Y31" i="3"/>
  <c r="Y63" i="3"/>
  <c r="Y23" i="3"/>
  <c r="Y489" i="3"/>
  <c r="Y479" i="3"/>
  <c r="Y469" i="3"/>
  <c r="Y452" i="3"/>
  <c r="Y436" i="3"/>
  <c r="Y431" i="3"/>
  <c r="Y415" i="3"/>
  <c r="Y408" i="3"/>
  <c r="Y393" i="3"/>
  <c r="Y369" i="3"/>
  <c r="Y363" i="3"/>
  <c r="Y355" i="3"/>
  <c r="Y348" i="3"/>
  <c r="Y331" i="3"/>
  <c r="Y325" i="3"/>
  <c r="Y319" i="3"/>
  <c r="Y307" i="3"/>
  <c r="Y295" i="3"/>
  <c r="Y281" i="3"/>
  <c r="Y261" i="3"/>
  <c r="Y395" i="3"/>
  <c r="Y367" i="3"/>
  <c r="Y327" i="3"/>
  <c r="Y315" i="3"/>
  <c r="Y279" i="3"/>
  <c r="Y239" i="3"/>
  <c r="Y223" i="3"/>
  <c r="Z34" i="3"/>
  <c r="Z161" i="3"/>
  <c r="Z18" i="3"/>
  <c r="Z52" i="3"/>
  <c r="Y455" i="3"/>
  <c r="Y443" i="3"/>
  <c r="Y427" i="3"/>
  <c r="Y419" i="3"/>
  <c r="Y383" i="3"/>
  <c r="Y379" i="3"/>
  <c r="Y213" i="3"/>
  <c r="Y150" i="3"/>
  <c r="Y91" i="3"/>
  <c r="Y201" i="3"/>
  <c r="Y480" i="3"/>
  <c r="Y397" i="3"/>
  <c r="Y364" i="3"/>
  <c r="Y316" i="3"/>
  <c r="Y380" i="3"/>
  <c r="Y256" i="3"/>
  <c r="Y19" i="3"/>
  <c r="Y15" i="3"/>
  <c r="Y280" i="3"/>
  <c r="Y47" i="3"/>
  <c r="Y340" i="3"/>
  <c r="Y8" i="3"/>
  <c r="Y108" i="3"/>
  <c r="Y483" i="3"/>
  <c r="Y323" i="3"/>
  <c r="Y311" i="3"/>
  <c r="Y303" i="3"/>
  <c r="Y287" i="3"/>
  <c r="Y275" i="3"/>
  <c r="Y27" i="3"/>
  <c r="Z212" i="3"/>
  <c r="Z108" i="3"/>
  <c r="Y485" i="3"/>
  <c r="Y477" i="3"/>
  <c r="Y461" i="3"/>
  <c r="Y457" i="3"/>
  <c r="Y445" i="3"/>
  <c r="Y421" i="3"/>
  <c r="Y405" i="3"/>
  <c r="Y381" i="3"/>
  <c r="Y373" i="3"/>
  <c r="Y365" i="3"/>
  <c r="Y345" i="3"/>
  <c r="Y333" i="3"/>
  <c r="Y301" i="3"/>
  <c r="Y297" i="3"/>
  <c r="Y285" i="3"/>
  <c r="Y273" i="3"/>
  <c r="Y253" i="3"/>
  <c r="Y237" i="3"/>
  <c r="Y233" i="3"/>
  <c r="Y229" i="3"/>
  <c r="Y225" i="3"/>
  <c r="Y220" i="3"/>
  <c r="Y218" i="3"/>
  <c r="Y99" i="3"/>
  <c r="Y4" i="3"/>
  <c r="Y177" i="3"/>
  <c r="Y36" i="3"/>
  <c r="Y32" i="3"/>
  <c r="Y30" i="3"/>
  <c r="Y64" i="3"/>
  <c r="Y62" i="3"/>
  <c r="Y60" i="3"/>
  <c r="Y84" i="3"/>
  <c r="Y14" i="3"/>
  <c r="Y48" i="3"/>
  <c r="Y46" i="3"/>
  <c r="Y111" i="3"/>
  <c r="Y7" i="3"/>
  <c r="Y195" i="3"/>
  <c r="Y441" i="3"/>
  <c r="Y429" i="3"/>
  <c r="Y417" i="3"/>
  <c r="Y337" i="3"/>
  <c r="Y329" i="3"/>
  <c r="Y321" i="3"/>
  <c r="Y249" i="3"/>
  <c r="Y241" i="3"/>
  <c r="Y494" i="3"/>
  <c r="Y490" i="3"/>
  <c r="Y486" i="3"/>
  <c r="Y478" i="3"/>
  <c r="Y474" i="3"/>
  <c r="Y470" i="3"/>
  <c r="Y466" i="3"/>
  <c r="Y462" i="3"/>
  <c r="Y458" i="3"/>
  <c r="Y454" i="3"/>
  <c r="Y450" i="3"/>
  <c r="Y446" i="3"/>
  <c r="Y442" i="3"/>
  <c r="Y438" i="3"/>
  <c r="Y434" i="3"/>
  <c r="Y430" i="3"/>
  <c r="Y426" i="3"/>
  <c r="Y422" i="3"/>
  <c r="Y418" i="3"/>
  <c r="Y414" i="3"/>
  <c r="Y410" i="3"/>
  <c r="Y406" i="3"/>
  <c r="Z405" i="3"/>
  <c r="Y402" i="3"/>
  <c r="Y398" i="3"/>
  <c r="Y394" i="3"/>
  <c r="Y390" i="3"/>
  <c r="Y386" i="3"/>
  <c r="Y382" i="3"/>
  <c r="Y378" i="3"/>
  <c r="Y374" i="3"/>
  <c r="Z373" i="3"/>
  <c r="Y370" i="3"/>
  <c r="Y366" i="3"/>
  <c r="Z365" i="3"/>
  <c r="Y362" i="3"/>
  <c r="Y358" i="3"/>
  <c r="Y354" i="3"/>
  <c r="Y350" i="3"/>
  <c r="Y346" i="3"/>
  <c r="Z345" i="3"/>
  <c r="Y342" i="3"/>
  <c r="Y338" i="3"/>
  <c r="Z337" i="3"/>
  <c r="Y334" i="3"/>
  <c r="Z333" i="3"/>
  <c r="Y330" i="3"/>
  <c r="Z329" i="3"/>
  <c r="Y326" i="3"/>
  <c r="Y322" i="3"/>
  <c r="Z321" i="3"/>
  <c r="Y318" i="3"/>
  <c r="Y314" i="3"/>
  <c r="Y310" i="3"/>
  <c r="Y306" i="3"/>
  <c r="Y302" i="3"/>
  <c r="Z301" i="3"/>
  <c r="Y298" i="3"/>
  <c r="Z297" i="3"/>
  <c r="Y294" i="3"/>
  <c r="Y290" i="3"/>
  <c r="Y286" i="3"/>
  <c r="Z285" i="3"/>
  <c r="Y282" i="3"/>
  <c r="Y278" i="3"/>
  <c r="Y274" i="3"/>
  <c r="Z273" i="3"/>
  <c r="Y270" i="3"/>
  <c r="Y266" i="3"/>
  <c r="Y262" i="3"/>
  <c r="Y258" i="3"/>
  <c r="Y254" i="3"/>
  <c r="Z253" i="3"/>
  <c r="Y250" i="3"/>
  <c r="Y246" i="3"/>
  <c r="Y242" i="3"/>
  <c r="Z241" i="3"/>
  <c r="Y238" i="3"/>
  <c r="Z237" i="3"/>
  <c r="Y234" i="3"/>
  <c r="Z233" i="3"/>
  <c r="Y230" i="3"/>
  <c r="Z229" i="3"/>
  <c r="Y226" i="3"/>
  <c r="Z225" i="3"/>
  <c r="Y222" i="3"/>
  <c r="Z218" i="3"/>
  <c r="Z200" i="3"/>
  <c r="Y199" i="3"/>
  <c r="Y181" i="3"/>
  <c r="Y149" i="3"/>
  <c r="Y117" i="3"/>
  <c r="Y102" i="3"/>
  <c r="Y101" i="3"/>
  <c r="Y89" i="3"/>
  <c r="Z74" i="3"/>
  <c r="Y72" i="3"/>
  <c r="Y70" i="3"/>
  <c r="Z44" i="3"/>
  <c r="Z80" i="3"/>
  <c r="Z107" i="3"/>
  <c r="Z196" i="3"/>
  <c r="Z36" i="3"/>
  <c r="Z68" i="3"/>
  <c r="Z66" i="3"/>
  <c r="Z131" i="3"/>
  <c r="Z62" i="3"/>
  <c r="Z163" i="3"/>
  <c r="Z50" i="3"/>
  <c r="Z115" i="3"/>
  <c r="Z46" i="3"/>
  <c r="Y492" i="3"/>
  <c r="Y488" i="3"/>
  <c r="Y484" i="3"/>
  <c r="Y476" i="3"/>
  <c r="Y468" i="3"/>
  <c r="Y464" i="3"/>
  <c r="Y460" i="3"/>
  <c r="Y456" i="3"/>
  <c r="Y440" i="3"/>
  <c r="Y428" i="3"/>
  <c r="Y424" i="3"/>
  <c r="Y416" i="3"/>
  <c r="Y412" i="3"/>
  <c r="Y404" i="3"/>
  <c r="Y396" i="3"/>
  <c r="Y388" i="3"/>
  <c r="Y384" i="3"/>
  <c r="Y372" i="3"/>
  <c r="Y368" i="3"/>
  <c r="Y360" i="3"/>
  <c r="Y356" i="3"/>
  <c r="Y352" i="3"/>
  <c r="Y344" i="3"/>
  <c r="Y336" i="3"/>
  <c r="Y328" i="3"/>
  <c r="Y324" i="3"/>
  <c r="Y320" i="3"/>
  <c r="Y312" i="3"/>
  <c r="Y308" i="3"/>
  <c r="Y304" i="3"/>
  <c r="Y300" i="3"/>
  <c r="Y296" i="3"/>
  <c r="Y292" i="3"/>
  <c r="Y288" i="3"/>
  <c r="Y284" i="3"/>
  <c r="Y276" i="3"/>
  <c r="Y272" i="3"/>
  <c r="Y268" i="3"/>
  <c r="Y264" i="3"/>
  <c r="Y260" i="3"/>
  <c r="Y252" i="3"/>
  <c r="Y248" i="3"/>
  <c r="Y244" i="3"/>
  <c r="Y240" i="3"/>
  <c r="Y236" i="3"/>
  <c r="Y232" i="3"/>
  <c r="Y228" i="3"/>
  <c r="Y224" i="3"/>
  <c r="Y217" i="3"/>
  <c r="Y216" i="3"/>
  <c r="Y214" i="3"/>
  <c r="Y208" i="3"/>
  <c r="Y82" i="3"/>
  <c r="Y38" i="3"/>
  <c r="Y9" i="3"/>
  <c r="Z73" i="3"/>
  <c r="Z160" i="3"/>
  <c r="Z49" i="3"/>
  <c r="J193" i="3"/>
  <c r="D193" i="3" s="1"/>
  <c r="J940" i="3"/>
  <c r="D940" i="3" s="1"/>
  <c r="J932" i="3"/>
  <c r="D932" i="3" s="1"/>
  <c r="J924" i="3"/>
  <c r="D924" i="3" s="1"/>
  <c r="J916" i="3"/>
  <c r="D916" i="3" s="1"/>
  <c r="J908" i="3"/>
  <c r="D908" i="3" s="1"/>
  <c r="J900" i="3"/>
  <c r="D900" i="3" s="1"/>
  <c r="J892" i="3"/>
  <c r="D892" i="3" s="1"/>
  <c r="J884" i="3"/>
  <c r="D884" i="3" s="1"/>
  <c r="J876" i="3"/>
  <c r="D876" i="3" s="1"/>
  <c r="J868" i="3"/>
  <c r="D868" i="3" s="1"/>
  <c r="J860" i="3"/>
  <c r="D860" i="3" s="1"/>
  <c r="J852" i="3"/>
  <c r="D852" i="3" s="1"/>
  <c r="J844" i="3"/>
  <c r="D844" i="3" s="1"/>
  <c r="J836" i="3"/>
  <c r="D836" i="3" s="1"/>
  <c r="J828" i="3"/>
  <c r="D828" i="3" s="1"/>
  <c r="J820" i="3"/>
  <c r="D820" i="3" s="1"/>
  <c r="J812" i="3"/>
  <c r="D812" i="3" s="1"/>
  <c r="J804" i="3"/>
  <c r="D804" i="3" s="1"/>
  <c r="J800" i="3"/>
  <c r="D800" i="3" s="1"/>
  <c r="J792" i="3"/>
  <c r="D792" i="3" s="1"/>
  <c r="J784" i="3"/>
  <c r="D784" i="3" s="1"/>
  <c r="J780" i="3"/>
  <c r="D780" i="3" s="1"/>
  <c r="J776" i="3"/>
  <c r="D776" i="3" s="1"/>
  <c r="J768" i="3"/>
  <c r="D768" i="3" s="1"/>
  <c r="J764" i="3"/>
  <c r="D764" i="3" s="1"/>
  <c r="J760" i="3"/>
  <c r="D760" i="3" s="1"/>
  <c r="J756" i="3"/>
  <c r="D756" i="3" s="1"/>
  <c r="J752" i="3"/>
  <c r="D752" i="3" s="1"/>
  <c r="J748" i="3"/>
  <c r="D748" i="3" s="1"/>
  <c r="J744" i="3"/>
  <c r="D744" i="3" s="1"/>
  <c r="J740" i="3"/>
  <c r="D740" i="3" s="1"/>
  <c r="J736" i="3"/>
  <c r="D736" i="3" s="1"/>
  <c r="J732" i="3"/>
  <c r="D732" i="3" s="1"/>
  <c r="J728" i="3"/>
  <c r="D728" i="3" s="1"/>
  <c r="J724" i="3"/>
  <c r="D724" i="3" s="1"/>
  <c r="J720" i="3"/>
  <c r="D720" i="3" s="1"/>
  <c r="J716" i="3"/>
  <c r="D716" i="3" s="1"/>
  <c r="J712" i="3"/>
  <c r="D712" i="3" s="1"/>
  <c r="J704" i="3"/>
  <c r="D704" i="3" s="1"/>
  <c r="J696" i="3"/>
  <c r="D696" i="3" s="1"/>
  <c r="J684" i="3"/>
  <c r="D684" i="3" s="1"/>
  <c r="J676" i="3"/>
  <c r="D676" i="3" s="1"/>
  <c r="J668" i="3"/>
  <c r="D668" i="3" s="1"/>
  <c r="J660" i="3"/>
  <c r="D660" i="3" s="1"/>
  <c r="J652" i="3"/>
  <c r="D652" i="3" s="1"/>
  <c r="J644" i="3"/>
  <c r="D644" i="3" s="1"/>
  <c r="J636" i="3"/>
  <c r="D636" i="3" s="1"/>
  <c r="J628" i="3"/>
  <c r="D628" i="3" s="1"/>
  <c r="J620" i="3"/>
  <c r="D620" i="3" s="1"/>
  <c r="J612" i="3"/>
  <c r="D612" i="3" s="1"/>
  <c r="J604" i="3"/>
  <c r="D604" i="3" s="1"/>
  <c r="J596" i="3"/>
  <c r="D596" i="3" s="1"/>
  <c r="J581" i="3"/>
  <c r="D581" i="3" s="1"/>
  <c r="J574" i="3"/>
  <c r="D574" i="3" s="1"/>
  <c r="J566" i="3"/>
  <c r="D566" i="3" s="1"/>
  <c r="J560" i="3"/>
  <c r="D560" i="3" s="1"/>
  <c r="J552" i="3"/>
  <c r="D552" i="3" s="1"/>
  <c r="J544" i="3"/>
  <c r="D544" i="3" s="1"/>
  <c r="J536" i="3"/>
  <c r="D536" i="3" s="1"/>
  <c r="J528" i="3"/>
  <c r="D528" i="3" s="1"/>
  <c r="J520" i="3"/>
  <c r="D520" i="3" s="1"/>
  <c r="J508" i="3"/>
  <c r="D508" i="3" s="1"/>
  <c r="J500" i="3"/>
  <c r="D500" i="3" s="1"/>
  <c r="J492" i="3"/>
  <c r="D492" i="3" s="1"/>
  <c r="J484" i="3"/>
  <c r="D484" i="3" s="1"/>
  <c r="J476" i="3"/>
  <c r="D476" i="3" s="1"/>
  <c r="J468" i="3"/>
  <c r="D468" i="3" s="1"/>
  <c r="J460" i="3"/>
  <c r="D460" i="3" s="1"/>
  <c r="J453" i="3"/>
  <c r="D453" i="3" s="1"/>
  <c r="J449" i="3"/>
  <c r="D449" i="3" s="1"/>
  <c r="J441" i="3"/>
  <c r="D441" i="3" s="1"/>
  <c r="J434" i="3"/>
  <c r="D434" i="3" s="1"/>
  <c r="J426" i="3"/>
  <c r="D426" i="3" s="1"/>
  <c r="J418" i="3"/>
  <c r="D418" i="3" s="1"/>
  <c r="J411" i="3"/>
  <c r="D411" i="3" s="1"/>
  <c r="J405" i="3"/>
  <c r="D405" i="3" s="1"/>
  <c r="J397" i="3"/>
  <c r="D397" i="3" s="1"/>
  <c r="J390" i="3"/>
  <c r="D390" i="3" s="1"/>
  <c r="J382" i="3"/>
  <c r="D382" i="3" s="1"/>
  <c r="J374" i="3"/>
  <c r="D374" i="3" s="1"/>
  <c r="J336" i="3"/>
  <c r="D336" i="3" s="1"/>
  <c r="J328" i="3"/>
  <c r="D328" i="3" s="1"/>
  <c r="J320" i="3"/>
  <c r="D320" i="3" s="1"/>
  <c r="J312" i="3"/>
  <c r="D312" i="3" s="1"/>
  <c r="J304" i="3"/>
  <c r="D304" i="3" s="1"/>
  <c r="J296" i="3"/>
  <c r="D296" i="3" s="1"/>
  <c r="J288" i="3"/>
  <c r="D288" i="3" s="1"/>
  <c r="J280" i="3"/>
  <c r="D280" i="3" s="1"/>
  <c r="J272" i="3"/>
  <c r="D272" i="3" s="1"/>
  <c r="J268" i="3"/>
  <c r="D268" i="3" s="1"/>
  <c r="J260" i="3"/>
  <c r="D260" i="3" s="1"/>
  <c r="J252" i="3"/>
  <c r="D252" i="3" s="1"/>
  <c r="J244" i="3"/>
  <c r="D244" i="3" s="1"/>
  <c r="J236" i="3"/>
  <c r="D236" i="3" s="1"/>
  <c r="J224" i="3"/>
  <c r="D224" i="3" s="1"/>
  <c r="J216" i="3"/>
  <c r="D216" i="3" s="1"/>
  <c r="J208" i="3"/>
  <c r="D208" i="3" s="1"/>
  <c r="J200" i="3"/>
  <c r="D200" i="3" s="1"/>
  <c r="J196" i="3"/>
  <c r="D196" i="3" s="1"/>
  <c r="J188" i="3"/>
  <c r="D188" i="3" s="1"/>
  <c r="J180" i="3"/>
  <c r="D180" i="3" s="1"/>
  <c r="J172" i="3"/>
  <c r="D172" i="3" s="1"/>
  <c r="J164" i="3"/>
  <c r="D164" i="3" s="1"/>
  <c r="J156" i="3"/>
  <c r="D156" i="3" s="1"/>
  <c r="J148" i="3"/>
  <c r="D148" i="3" s="1"/>
  <c r="J140" i="3"/>
  <c r="D140" i="3" s="1"/>
  <c r="J132" i="3"/>
  <c r="D132" i="3" s="1"/>
  <c r="J124" i="3"/>
  <c r="D124" i="3" s="1"/>
  <c r="J116" i="3"/>
  <c r="D116" i="3" s="1"/>
  <c r="J108" i="3"/>
  <c r="D108" i="3" s="1"/>
  <c r="J100" i="3"/>
  <c r="D100" i="3" s="1"/>
  <c r="J92" i="3"/>
  <c r="D92" i="3" s="1"/>
  <c r="J80" i="3"/>
  <c r="D80" i="3" s="1"/>
  <c r="J72" i="3"/>
  <c r="D72" i="3" s="1"/>
  <c r="J64" i="3"/>
  <c r="D64" i="3" s="1"/>
  <c r="J56" i="3"/>
  <c r="D56" i="3" s="1"/>
  <c r="J44" i="3"/>
  <c r="D44" i="3" s="1"/>
  <c r="J40" i="3"/>
  <c r="D40" i="3" s="1"/>
  <c r="J32" i="3"/>
  <c r="D32" i="3" s="1"/>
  <c r="J28" i="3"/>
  <c r="D28" i="3" s="1"/>
  <c r="J24" i="3"/>
  <c r="D24" i="3" s="1"/>
  <c r="J16" i="3"/>
  <c r="D16" i="3" s="1"/>
  <c r="J8" i="3"/>
  <c r="D8" i="3" s="1"/>
  <c r="J189" i="3"/>
  <c r="D189" i="3" s="1"/>
  <c r="J936" i="3"/>
  <c r="D936" i="3" s="1"/>
  <c r="J928" i="3"/>
  <c r="D928" i="3" s="1"/>
  <c r="J920" i="3"/>
  <c r="D920" i="3" s="1"/>
  <c r="J912" i="3"/>
  <c r="D912" i="3" s="1"/>
  <c r="J904" i="3"/>
  <c r="D904" i="3" s="1"/>
  <c r="J896" i="3"/>
  <c r="D896" i="3" s="1"/>
  <c r="J888" i="3"/>
  <c r="D888" i="3" s="1"/>
  <c r="J880" i="3"/>
  <c r="D880" i="3" s="1"/>
  <c r="J872" i="3"/>
  <c r="D872" i="3" s="1"/>
  <c r="J864" i="3"/>
  <c r="D864" i="3" s="1"/>
  <c r="J856" i="3"/>
  <c r="D856" i="3" s="1"/>
  <c r="J848" i="3"/>
  <c r="D848" i="3" s="1"/>
  <c r="J840" i="3"/>
  <c r="D840" i="3" s="1"/>
  <c r="J832" i="3"/>
  <c r="D832" i="3" s="1"/>
  <c r="J824" i="3"/>
  <c r="D824" i="3" s="1"/>
  <c r="J816" i="3"/>
  <c r="D816" i="3" s="1"/>
  <c r="J808" i="3"/>
  <c r="D808" i="3" s="1"/>
  <c r="J796" i="3"/>
  <c r="D796" i="3" s="1"/>
  <c r="J788" i="3"/>
  <c r="D788" i="3" s="1"/>
  <c r="J772" i="3"/>
  <c r="D772" i="3" s="1"/>
  <c r="J708" i="3"/>
  <c r="D708" i="3" s="1"/>
  <c r="J700" i="3"/>
  <c r="D700" i="3" s="1"/>
  <c r="J692" i="3"/>
  <c r="D692" i="3" s="1"/>
  <c r="J688" i="3"/>
  <c r="D688" i="3" s="1"/>
  <c r="J680" i="3"/>
  <c r="D680" i="3" s="1"/>
  <c r="J672" i="3"/>
  <c r="D672" i="3" s="1"/>
  <c r="J664" i="3"/>
  <c r="D664" i="3" s="1"/>
  <c r="J656" i="3"/>
  <c r="D656" i="3" s="1"/>
  <c r="J648" i="3"/>
  <c r="D648" i="3" s="1"/>
  <c r="J640" i="3"/>
  <c r="D640" i="3" s="1"/>
  <c r="J632" i="3"/>
  <c r="D632" i="3" s="1"/>
  <c r="J624" i="3"/>
  <c r="D624" i="3" s="1"/>
  <c r="J616" i="3"/>
  <c r="D616" i="3" s="1"/>
  <c r="J608" i="3"/>
  <c r="D608" i="3" s="1"/>
  <c r="J600" i="3"/>
  <c r="D600" i="3" s="1"/>
  <c r="J592" i="3"/>
  <c r="D592" i="3" s="1"/>
  <c r="J585" i="3"/>
  <c r="D585" i="3" s="1"/>
  <c r="J577" i="3"/>
  <c r="D577" i="3" s="1"/>
  <c r="J570" i="3"/>
  <c r="D570" i="3" s="1"/>
  <c r="J563" i="3"/>
  <c r="D563" i="3" s="1"/>
  <c r="J556" i="3"/>
  <c r="D556" i="3" s="1"/>
  <c r="J548" i="3"/>
  <c r="D548" i="3" s="1"/>
  <c r="J540" i="3"/>
  <c r="D540" i="3" s="1"/>
  <c r="J532" i="3"/>
  <c r="D532" i="3" s="1"/>
  <c r="J524" i="3"/>
  <c r="D524" i="3" s="1"/>
  <c r="J516" i="3"/>
  <c r="D516" i="3" s="1"/>
  <c r="J512" i="3"/>
  <c r="D512" i="3" s="1"/>
  <c r="J504" i="3"/>
  <c r="D504" i="3" s="1"/>
  <c r="J496" i="3"/>
  <c r="D496" i="3" s="1"/>
  <c r="J488" i="3"/>
  <c r="D488" i="3" s="1"/>
  <c r="J480" i="3"/>
  <c r="D480" i="3" s="1"/>
  <c r="J472" i="3"/>
  <c r="D472" i="3" s="1"/>
  <c r="J464" i="3"/>
  <c r="D464" i="3" s="1"/>
  <c r="J457" i="3"/>
  <c r="D457" i="3" s="1"/>
  <c r="J445" i="3"/>
  <c r="D445" i="3" s="1"/>
  <c r="J437" i="3"/>
  <c r="D437" i="3" s="1"/>
  <c r="J430" i="3"/>
  <c r="D430" i="3" s="1"/>
  <c r="J422" i="3"/>
  <c r="D422" i="3" s="1"/>
  <c r="J415" i="3"/>
  <c r="D415" i="3" s="1"/>
  <c r="J408" i="3"/>
  <c r="D408" i="3" s="1"/>
  <c r="J401" i="3"/>
  <c r="D401" i="3" s="1"/>
  <c r="J386" i="3"/>
  <c r="D386" i="3" s="1"/>
  <c r="J378" i="3"/>
  <c r="D378" i="3" s="1"/>
  <c r="J340" i="3"/>
  <c r="D340" i="3" s="1"/>
  <c r="J332" i="3"/>
  <c r="D332" i="3" s="1"/>
  <c r="J324" i="3"/>
  <c r="D324" i="3" s="1"/>
  <c r="J316" i="3"/>
  <c r="D316" i="3" s="1"/>
  <c r="J308" i="3"/>
  <c r="D308" i="3" s="1"/>
  <c r="J300" i="3"/>
  <c r="D300" i="3" s="1"/>
  <c r="J292" i="3"/>
  <c r="D292" i="3" s="1"/>
  <c r="J284" i="3"/>
  <c r="D284" i="3" s="1"/>
  <c r="J276" i="3"/>
  <c r="D276" i="3" s="1"/>
  <c r="J264" i="3"/>
  <c r="D264" i="3" s="1"/>
  <c r="J256" i="3"/>
  <c r="D256" i="3" s="1"/>
  <c r="J248" i="3"/>
  <c r="D248" i="3" s="1"/>
  <c r="J240" i="3"/>
  <c r="D240" i="3" s="1"/>
  <c r="J232" i="3"/>
  <c r="D232" i="3" s="1"/>
  <c r="J228" i="3"/>
  <c r="D228" i="3" s="1"/>
  <c r="J220" i="3"/>
  <c r="D220" i="3" s="1"/>
  <c r="J212" i="3"/>
  <c r="D212" i="3" s="1"/>
  <c r="J204" i="3"/>
  <c r="D204" i="3" s="1"/>
  <c r="J192" i="3"/>
  <c r="D192" i="3" s="1"/>
  <c r="J184" i="3"/>
  <c r="D184" i="3" s="1"/>
  <c r="J176" i="3"/>
  <c r="D176" i="3" s="1"/>
  <c r="J168" i="3"/>
  <c r="D168" i="3" s="1"/>
  <c r="J160" i="3"/>
  <c r="D160" i="3" s="1"/>
  <c r="J152" i="3"/>
  <c r="D152" i="3" s="1"/>
  <c r="J144" i="3"/>
  <c r="D144" i="3" s="1"/>
  <c r="J136" i="3"/>
  <c r="D136" i="3" s="1"/>
  <c r="J128" i="3"/>
  <c r="D128" i="3" s="1"/>
  <c r="J120" i="3"/>
  <c r="D120" i="3" s="1"/>
  <c r="J112" i="3"/>
  <c r="D112" i="3" s="1"/>
  <c r="J104" i="3"/>
  <c r="D104" i="3" s="1"/>
  <c r="J96" i="3"/>
  <c r="D96" i="3" s="1"/>
  <c r="J88" i="3"/>
  <c r="D88" i="3" s="1"/>
  <c r="J84" i="3"/>
  <c r="D84" i="3" s="1"/>
  <c r="J76" i="3"/>
  <c r="D76" i="3" s="1"/>
  <c r="J68" i="3"/>
  <c r="D68" i="3" s="1"/>
  <c r="J60" i="3"/>
  <c r="D60" i="3" s="1"/>
  <c r="J52" i="3"/>
  <c r="D52" i="3" s="1"/>
  <c r="J48" i="3"/>
  <c r="D48" i="3" s="1"/>
  <c r="J36" i="3"/>
  <c r="D36" i="3" s="1"/>
  <c r="J20" i="3"/>
  <c r="D20" i="3" s="1"/>
  <c r="J12" i="3"/>
  <c r="D12" i="3" s="1"/>
  <c r="J4" i="3"/>
  <c r="D4" i="3" s="1"/>
  <c r="J941" i="3"/>
  <c r="D941" i="3" s="1"/>
  <c r="J937" i="3"/>
  <c r="D937" i="3" s="1"/>
  <c r="J933" i="3"/>
  <c r="D933" i="3" s="1"/>
  <c r="J929" i="3"/>
  <c r="D929" i="3" s="1"/>
  <c r="J925" i="3"/>
  <c r="D925" i="3" s="1"/>
  <c r="J921" i="3"/>
  <c r="D921" i="3" s="1"/>
  <c r="J917" i="3"/>
  <c r="D917" i="3" s="1"/>
  <c r="J913" i="3"/>
  <c r="D913" i="3" s="1"/>
  <c r="J909" i="3"/>
  <c r="D909" i="3" s="1"/>
  <c r="J905" i="3"/>
  <c r="D905" i="3" s="1"/>
  <c r="J901" i="3"/>
  <c r="D901" i="3" s="1"/>
  <c r="J897" i="3"/>
  <c r="D897" i="3" s="1"/>
  <c r="J893" i="3"/>
  <c r="D893" i="3" s="1"/>
  <c r="J889" i="3"/>
  <c r="D889" i="3" s="1"/>
  <c r="J885" i="3"/>
  <c r="D885" i="3" s="1"/>
  <c r="J881" i="3"/>
  <c r="D881" i="3" s="1"/>
  <c r="J877" i="3"/>
  <c r="D877" i="3" s="1"/>
  <c r="J873" i="3"/>
  <c r="D873" i="3" s="1"/>
  <c r="J869" i="3"/>
  <c r="D869" i="3" s="1"/>
  <c r="J865" i="3"/>
  <c r="D865" i="3" s="1"/>
  <c r="J861" i="3"/>
  <c r="D861" i="3" s="1"/>
  <c r="J857" i="3"/>
  <c r="D857" i="3" s="1"/>
  <c r="J853" i="3"/>
  <c r="D853" i="3" s="1"/>
  <c r="J849" i="3"/>
  <c r="D849" i="3" s="1"/>
  <c r="J845" i="3"/>
  <c r="D845" i="3" s="1"/>
  <c r="J841" i="3"/>
  <c r="D841" i="3" s="1"/>
  <c r="J837" i="3"/>
  <c r="D837" i="3" s="1"/>
  <c r="J833" i="3"/>
  <c r="D833" i="3" s="1"/>
  <c r="J829" i="3"/>
  <c r="D829" i="3" s="1"/>
  <c r="J825" i="3"/>
  <c r="D825" i="3" s="1"/>
  <c r="J821" i="3"/>
  <c r="D821" i="3" s="1"/>
  <c r="J817" i="3"/>
  <c r="D817" i="3" s="1"/>
  <c r="J813" i="3"/>
  <c r="D813" i="3" s="1"/>
  <c r="J809" i="3"/>
  <c r="D809" i="3" s="1"/>
  <c r="J805" i="3"/>
  <c r="D805" i="3" s="1"/>
  <c r="J801" i="3"/>
  <c r="D801" i="3" s="1"/>
  <c r="J797" i="3"/>
  <c r="D797" i="3" s="1"/>
  <c r="J793" i="3"/>
  <c r="D793" i="3" s="1"/>
  <c r="J789" i="3"/>
  <c r="D789" i="3" s="1"/>
  <c r="J785" i="3"/>
  <c r="D785" i="3" s="1"/>
  <c r="J781" i="3"/>
  <c r="D781" i="3" s="1"/>
  <c r="J777" i="3"/>
  <c r="D777" i="3" s="1"/>
  <c r="J773" i="3"/>
  <c r="D773" i="3" s="1"/>
  <c r="J769" i="3"/>
  <c r="D769" i="3" s="1"/>
  <c r="J765" i="3"/>
  <c r="D765" i="3" s="1"/>
  <c r="J761" i="3"/>
  <c r="D761" i="3" s="1"/>
  <c r="J757" i="3"/>
  <c r="D757" i="3" s="1"/>
  <c r="J753" i="3"/>
  <c r="D753" i="3" s="1"/>
  <c r="J749" i="3"/>
  <c r="D749" i="3" s="1"/>
  <c r="J745" i="3"/>
  <c r="D745" i="3" s="1"/>
  <c r="J741" i="3"/>
  <c r="D741" i="3" s="1"/>
  <c r="J737" i="3"/>
  <c r="D737" i="3" s="1"/>
  <c r="J733" i="3"/>
  <c r="D733" i="3" s="1"/>
  <c r="J729" i="3"/>
  <c r="D729" i="3" s="1"/>
  <c r="J725" i="3"/>
  <c r="D725" i="3" s="1"/>
  <c r="J721" i="3"/>
  <c r="D721" i="3" s="1"/>
  <c r="J717" i="3"/>
  <c r="D717" i="3" s="1"/>
  <c r="J713" i="3"/>
  <c r="D713" i="3" s="1"/>
  <c r="J709" i="3"/>
  <c r="D709" i="3" s="1"/>
  <c r="J705" i="3"/>
  <c r="D705" i="3" s="1"/>
  <c r="J701" i="3"/>
  <c r="D701" i="3" s="1"/>
  <c r="J697" i="3"/>
  <c r="D697" i="3" s="1"/>
  <c r="J693" i="3"/>
  <c r="D693" i="3" s="1"/>
  <c r="J689" i="3"/>
  <c r="D689" i="3" s="1"/>
  <c r="J685" i="3"/>
  <c r="D685" i="3" s="1"/>
  <c r="J681" i="3"/>
  <c r="D681" i="3" s="1"/>
  <c r="J677" i="3"/>
  <c r="D677" i="3" s="1"/>
  <c r="J673" i="3"/>
  <c r="D673" i="3" s="1"/>
  <c r="J669" i="3"/>
  <c r="D669" i="3" s="1"/>
  <c r="J665" i="3"/>
  <c r="D665" i="3" s="1"/>
  <c r="J661" i="3"/>
  <c r="D661" i="3" s="1"/>
  <c r="J657" i="3"/>
  <c r="D657" i="3" s="1"/>
  <c r="J653" i="3"/>
  <c r="D653" i="3" s="1"/>
  <c r="J649" i="3"/>
  <c r="D649" i="3" s="1"/>
  <c r="J645" i="3"/>
  <c r="D645" i="3" s="1"/>
  <c r="J641" i="3"/>
  <c r="D641" i="3" s="1"/>
  <c r="J637" i="3"/>
  <c r="D637" i="3" s="1"/>
  <c r="J633" i="3"/>
  <c r="D633" i="3" s="1"/>
  <c r="J629" i="3"/>
  <c r="D629" i="3" s="1"/>
  <c r="J625" i="3"/>
  <c r="D625" i="3" s="1"/>
  <c r="J621" i="3"/>
  <c r="D621" i="3" s="1"/>
  <c r="J617" i="3"/>
  <c r="D617" i="3" s="1"/>
  <c r="J613" i="3"/>
  <c r="D613" i="3" s="1"/>
  <c r="J609" i="3"/>
  <c r="D609" i="3" s="1"/>
  <c r="J605" i="3"/>
  <c r="D605" i="3" s="1"/>
  <c r="J601" i="3"/>
  <c r="D601" i="3" s="1"/>
  <c r="J597" i="3"/>
  <c r="D597" i="3" s="1"/>
  <c r="J593" i="3"/>
  <c r="D593" i="3" s="1"/>
  <c r="J589" i="3"/>
  <c r="D589" i="3" s="1"/>
  <c r="J586" i="3"/>
  <c r="D586" i="3" s="1"/>
  <c r="J582" i="3"/>
  <c r="D582" i="3" s="1"/>
  <c r="J578" i="3"/>
  <c r="D578" i="3" s="1"/>
  <c r="J571" i="3"/>
  <c r="D571" i="3" s="1"/>
  <c r="J567" i="3"/>
  <c r="D567" i="3" s="1"/>
  <c r="J564" i="3"/>
  <c r="D564" i="3" s="1"/>
  <c r="J557" i="3"/>
  <c r="D557" i="3" s="1"/>
  <c r="J553" i="3"/>
  <c r="D553" i="3" s="1"/>
  <c r="J549" i="3"/>
  <c r="D549" i="3" s="1"/>
  <c r="J545" i="3"/>
  <c r="D545" i="3" s="1"/>
  <c r="J541" i="3"/>
  <c r="D541" i="3" s="1"/>
  <c r="J537" i="3"/>
  <c r="D537" i="3" s="1"/>
  <c r="J533" i="3"/>
  <c r="D533" i="3" s="1"/>
  <c r="J529" i="3"/>
  <c r="D529" i="3" s="1"/>
  <c r="J525" i="3"/>
  <c r="D525" i="3" s="1"/>
  <c r="J517" i="3"/>
  <c r="D517" i="3" s="1"/>
  <c r="J513" i="3"/>
  <c r="D513" i="3" s="1"/>
  <c r="J509" i="3"/>
  <c r="D509" i="3" s="1"/>
  <c r="J505" i="3"/>
  <c r="D505" i="3" s="1"/>
  <c r="J501" i="3"/>
  <c r="D501" i="3" s="1"/>
  <c r="J497" i="3"/>
  <c r="D497" i="3" s="1"/>
  <c r="J493" i="3"/>
  <c r="D493" i="3" s="1"/>
  <c r="J489" i="3"/>
  <c r="D489" i="3" s="1"/>
  <c r="J485" i="3"/>
  <c r="D485" i="3" s="1"/>
  <c r="J481" i="3"/>
  <c r="D481" i="3" s="1"/>
  <c r="J477" i="3"/>
  <c r="D477" i="3" s="1"/>
  <c r="J473" i="3"/>
  <c r="D473" i="3" s="1"/>
  <c r="J469" i="3"/>
  <c r="D469" i="3" s="1"/>
  <c r="J465" i="3"/>
  <c r="D465" i="3" s="1"/>
  <c r="J461" i="3"/>
  <c r="D461" i="3" s="1"/>
  <c r="J458" i="3"/>
  <c r="D458" i="3" s="1"/>
  <c r="J454" i="3"/>
  <c r="D454" i="3" s="1"/>
  <c r="J450" i="3"/>
  <c r="D450" i="3" s="1"/>
  <c r="J446" i="3"/>
  <c r="D446" i="3" s="1"/>
  <c r="J442" i="3"/>
  <c r="D442" i="3" s="1"/>
  <c r="J438" i="3"/>
  <c r="D438" i="3" s="1"/>
  <c r="J431" i="3"/>
  <c r="D431" i="3" s="1"/>
  <c r="J427" i="3"/>
  <c r="D427" i="3" s="1"/>
  <c r="J423" i="3"/>
  <c r="D423" i="3" s="1"/>
  <c r="J419" i="3"/>
  <c r="D419" i="3" s="1"/>
  <c r="J412" i="3"/>
  <c r="D412" i="3" s="1"/>
  <c r="J409" i="3"/>
  <c r="D409" i="3" s="1"/>
  <c r="J406" i="3"/>
  <c r="D406" i="3" s="1"/>
  <c r="J402" i="3"/>
  <c r="D402" i="3" s="1"/>
  <c r="J398" i="3"/>
  <c r="D398" i="3" s="1"/>
  <c r="J394" i="3"/>
  <c r="D394" i="3" s="1"/>
  <c r="J391" i="3"/>
  <c r="D391" i="3" s="1"/>
  <c r="J387" i="3"/>
  <c r="D387" i="3" s="1"/>
  <c r="J383" i="3"/>
  <c r="D383" i="3" s="1"/>
  <c r="J379" i="3"/>
  <c r="D379" i="3" s="1"/>
  <c r="J375" i="3"/>
  <c r="D375" i="3" s="1"/>
  <c r="J341" i="3"/>
  <c r="D341" i="3" s="1"/>
  <c r="J337" i="3"/>
  <c r="D337" i="3" s="1"/>
  <c r="J333" i="3"/>
  <c r="D333" i="3" s="1"/>
  <c r="J329" i="3"/>
  <c r="D329" i="3" s="1"/>
  <c r="J325" i="3"/>
  <c r="D325" i="3" s="1"/>
  <c r="J321" i="3"/>
  <c r="D321" i="3" s="1"/>
  <c r="J317" i="3"/>
  <c r="D317" i="3" s="1"/>
  <c r="J313" i="3"/>
  <c r="D313" i="3" s="1"/>
  <c r="J309" i="3"/>
  <c r="D309" i="3" s="1"/>
  <c r="J305" i="3"/>
  <c r="D305" i="3" s="1"/>
  <c r="J301" i="3"/>
  <c r="D301" i="3" s="1"/>
  <c r="J297" i="3"/>
  <c r="D297" i="3" s="1"/>
  <c r="J293" i="3"/>
  <c r="D293" i="3" s="1"/>
  <c r="J289" i="3"/>
  <c r="D289" i="3" s="1"/>
  <c r="J285" i="3"/>
  <c r="D285" i="3" s="1"/>
  <c r="J281" i="3"/>
  <c r="D281" i="3" s="1"/>
  <c r="J277" i="3"/>
  <c r="D277" i="3" s="1"/>
  <c r="J273" i="3"/>
  <c r="D273" i="3" s="1"/>
  <c r="J269" i="3"/>
  <c r="D269" i="3" s="1"/>
  <c r="J265" i="3"/>
  <c r="D265" i="3" s="1"/>
  <c r="J261" i="3"/>
  <c r="D261" i="3" s="1"/>
  <c r="J257" i="3"/>
  <c r="D257" i="3" s="1"/>
  <c r="J253" i="3"/>
  <c r="D253" i="3" s="1"/>
  <c r="J249" i="3"/>
  <c r="D249" i="3" s="1"/>
  <c r="J245" i="3"/>
  <c r="D245" i="3" s="1"/>
  <c r="J241" i="3"/>
  <c r="D241" i="3" s="1"/>
  <c r="J237" i="3"/>
  <c r="D237" i="3" s="1"/>
  <c r="J233" i="3"/>
  <c r="D233" i="3" s="1"/>
  <c r="J229" i="3"/>
  <c r="D229" i="3" s="1"/>
  <c r="J225" i="3"/>
  <c r="D225" i="3" s="1"/>
  <c r="J221" i="3"/>
  <c r="D221" i="3" s="1"/>
  <c r="J217" i="3"/>
  <c r="D217" i="3" s="1"/>
  <c r="J213" i="3"/>
  <c r="D213" i="3" s="1"/>
  <c r="J209" i="3"/>
  <c r="D209" i="3" s="1"/>
  <c r="J205" i="3"/>
  <c r="D205" i="3" s="1"/>
  <c r="J201" i="3"/>
  <c r="D201" i="3" s="1"/>
  <c r="J197" i="3"/>
  <c r="D197" i="3" s="1"/>
  <c r="J185" i="3"/>
  <c r="D185" i="3" s="1"/>
  <c r="J181" i="3"/>
  <c r="D181" i="3" s="1"/>
  <c r="J177" i="3"/>
  <c r="D177" i="3" s="1"/>
  <c r="J169" i="3"/>
  <c r="D169" i="3" s="1"/>
  <c r="J157" i="3"/>
  <c r="D157" i="3" s="1"/>
  <c r="J149" i="3"/>
  <c r="D149" i="3" s="1"/>
  <c r="J141" i="3"/>
  <c r="D141" i="3" s="1"/>
  <c r="J133" i="3"/>
  <c r="D133" i="3" s="1"/>
  <c r="J125" i="3"/>
  <c r="D125" i="3" s="1"/>
  <c r="J117" i="3"/>
  <c r="D117" i="3" s="1"/>
  <c r="J109" i="3"/>
  <c r="D109" i="3" s="1"/>
  <c r="J101" i="3"/>
  <c r="D101" i="3" s="1"/>
  <c r="J93" i="3"/>
  <c r="D93" i="3" s="1"/>
  <c r="J81" i="3"/>
  <c r="D81" i="3" s="1"/>
  <c r="J69" i="3"/>
  <c r="D69" i="3" s="1"/>
  <c r="J61" i="3"/>
  <c r="D61" i="3" s="1"/>
  <c r="J53" i="3"/>
  <c r="D53" i="3" s="1"/>
  <c r="J45" i="3"/>
  <c r="D45" i="3" s="1"/>
  <c r="J37" i="3"/>
  <c r="D37" i="3" s="1"/>
  <c r="J29" i="3"/>
  <c r="D29" i="3" s="1"/>
  <c r="J21" i="3"/>
  <c r="D21" i="3" s="1"/>
  <c r="J13" i="3"/>
  <c r="D13" i="3" s="1"/>
  <c r="J938" i="3"/>
  <c r="D938" i="3" s="1"/>
  <c r="J934" i="3"/>
  <c r="D934" i="3" s="1"/>
  <c r="J930" i="3"/>
  <c r="D930" i="3" s="1"/>
  <c r="J926" i="3"/>
  <c r="D926" i="3" s="1"/>
  <c r="J922" i="3"/>
  <c r="D922" i="3" s="1"/>
  <c r="J918" i="3"/>
  <c r="D918" i="3" s="1"/>
  <c r="J914" i="3"/>
  <c r="D914" i="3" s="1"/>
  <c r="J910" i="3"/>
  <c r="D910" i="3" s="1"/>
  <c r="J906" i="3"/>
  <c r="D906" i="3" s="1"/>
  <c r="J902" i="3"/>
  <c r="D902" i="3" s="1"/>
  <c r="J898" i="3"/>
  <c r="D898" i="3" s="1"/>
  <c r="J894" i="3"/>
  <c r="D894" i="3" s="1"/>
  <c r="J890" i="3"/>
  <c r="D890" i="3" s="1"/>
  <c r="J886" i="3"/>
  <c r="D886" i="3" s="1"/>
  <c r="J882" i="3"/>
  <c r="D882" i="3" s="1"/>
  <c r="J878" i="3"/>
  <c r="D878" i="3" s="1"/>
  <c r="J874" i="3"/>
  <c r="D874" i="3" s="1"/>
  <c r="J870" i="3"/>
  <c r="D870" i="3" s="1"/>
  <c r="J866" i="3"/>
  <c r="D866" i="3" s="1"/>
  <c r="J862" i="3"/>
  <c r="D862" i="3" s="1"/>
  <c r="J858" i="3"/>
  <c r="D858" i="3" s="1"/>
  <c r="J854" i="3"/>
  <c r="D854" i="3" s="1"/>
  <c r="J850" i="3"/>
  <c r="D850" i="3" s="1"/>
  <c r="J846" i="3"/>
  <c r="D846" i="3" s="1"/>
  <c r="J842" i="3"/>
  <c r="D842" i="3" s="1"/>
  <c r="J838" i="3"/>
  <c r="D838" i="3" s="1"/>
  <c r="J834" i="3"/>
  <c r="D834" i="3" s="1"/>
  <c r="J830" i="3"/>
  <c r="D830" i="3" s="1"/>
  <c r="J826" i="3"/>
  <c r="D826" i="3" s="1"/>
  <c r="J822" i="3"/>
  <c r="D822" i="3" s="1"/>
  <c r="J818" i="3"/>
  <c r="D818" i="3" s="1"/>
  <c r="J814" i="3"/>
  <c r="D814" i="3" s="1"/>
  <c r="J810" i="3"/>
  <c r="D810" i="3" s="1"/>
  <c r="J806" i="3"/>
  <c r="D806" i="3" s="1"/>
  <c r="J802" i="3"/>
  <c r="D802" i="3" s="1"/>
  <c r="J798" i="3"/>
  <c r="D798" i="3" s="1"/>
  <c r="J794" i="3"/>
  <c r="D794" i="3" s="1"/>
  <c r="J790" i="3"/>
  <c r="D790" i="3" s="1"/>
  <c r="J786" i="3"/>
  <c r="D786" i="3" s="1"/>
  <c r="J782" i="3"/>
  <c r="D782" i="3" s="1"/>
  <c r="J778" i="3"/>
  <c r="D778" i="3" s="1"/>
  <c r="J774" i="3"/>
  <c r="D774" i="3" s="1"/>
  <c r="J770" i="3"/>
  <c r="D770" i="3" s="1"/>
  <c r="J766" i="3"/>
  <c r="D766" i="3" s="1"/>
  <c r="J762" i="3"/>
  <c r="D762" i="3" s="1"/>
  <c r="J758" i="3"/>
  <c r="D758" i="3" s="1"/>
  <c r="J754" i="3"/>
  <c r="D754" i="3" s="1"/>
  <c r="J750" i="3"/>
  <c r="D750" i="3" s="1"/>
  <c r="J746" i="3"/>
  <c r="D746" i="3" s="1"/>
  <c r="J742" i="3"/>
  <c r="D742" i="3" s="1"/>
  <c r="J738" i="3"/>
  <c r="D738" i="3" s="1"/>
  <c r="J734" i="3"/>
  <c r="D734" i="3" s="1"/>
  <c r="J730" i="3"/>
  <c r="D730" i="3" s="1"/>
  <c r="J726" i="3"/>
  <c r="D726" i="3" s="1"/>
  <c r="J722" i="3"/>
  <c r="D722" i="3" s="1"/>
  <c r="J718" i="3"/>
  <c r="D718" i="3" s="1"/>
  <c r="J714" i="3"/>
  <c r="D714" i="3" s="1"/>
  <c r="J710" i="3"/>
  <c r="D710" i="3" s="1"/>
  <c r="J706" i="3"/>
  <c r="D706" i="3" s="1"/>
  <c r="J702" i="3"/>
  <c r="D702" i="3" s="1"/>
  <c r="J698" i="3"/>
  <c r="D698" i="3" s="1"/>
  <c r="J694" i="3"/>
  <c r="D694" i="3" s="1"/>
  <c r="J690" i="3"/>
  <c r="D690" i="3" s="1"/>
  <c r="J686" i="3"/>
  <c r="D686" i="3" s="1"/>
  <c r="J682" i="3"/>
  <c r="D682" i="3" s="1"/>
  <c r="J678" i="3"/>
  <c r="D678" i="3" s="1"/>
  <c r="J674" i="3"/>
  <c r="D674" i="3" s="1"/>
  <c r="J670" i="3"/>
  <c r="D670" i="3" s="1"/>
  <c r="J666" i="3"/>
  <c r="D666" i="3" s="1"/>
  <c r="J662" i="3"/>
  <c r="D662" i="3" s="1"/>
  <c r="J658" i="3"/>
  <c r="D658" i="3" s="1"/>
  <c r="J654" i="3"/>
  <c r="D654" i="3" s="1"/>
  <c r="J650" i="3"/>
  <c r="D650" i="3" s="1"/>
  <c r="J646" i="3"/>
  <c r="D646" i="3" s="1"/>
  <c r="J642" i="3"/>
  <c r="D642" i="3" s="1"/>
  <c r="J638" i="3"/>
  <c r="D638" i="3" s="1"/>
  <c r="J634" i="3"/>
  <c r="D634" i="3" s="1"/>
  <c r="J630" i="3"/>
  <c r="D630" i="3" s="1"/>
  <c r="J626" i="3"/>
  <c r="D626" i="3" s="1"/>
  <c r="J622" i="3"/>
  <c r="D622" i="3" s="1"/>
  <c r="J618" i="3"/>
  <c r="D618" i="3" s="1"/>
  <c r="J614" i="3"/>
  <c r="D614" i="3" s="1"/>
  <c r="J610" i="3"/>
  <c r="D610" i="3" s="1"/>
  <c r="J606" i="3"/>
  <c r="D606" i="3" s="1"/>
  <c r="J602" i="3"/>
  <c r="D602" i="3" s="1"/>
  <c r="J598" i="3"/>
  <c r="D598" i="3" s="1"/>
  <c r="J594" i="3"/>
  <c r="D594" i="3" s="1"/>
  <c r="J590" i="3"/>
  <c r="D590" i="3" s="1"/>
  <c r="J587" i="3"/>
  <c r="D587" i="3" s="1"/>
  <c r="J583" i="3"/>
  <c r="D583" i="3" s="1"/>
  <c r="J579" i="3"/>
  <c r="D579" i="3" s="1"/>
  <c r="J575" i="3"/>
  <c r="D575" i="3" s="1"/>
  <c r="J572" i="3"/>
  <c r="D572" i="3" s="1"/>
  <c r="J568" i="3"/>
  <c r="D568" i="3" s="1"/>
  <c r="J565" i="3"/>
  <c r="D565" i="3" s="1"/>
  <c r="J561" i="3"/>
  <c r="D561" i="3" s="1"/>
  <c r="J558" i="3"/>
  <c r="D558" i="3" s="1"/>
  <c r="J554" i="3"/>
  <c r="D554" i="3" s="1"/>
  <c r="J550" i="3"/>
  <c r="D550" i="3" s="1"/>
  <c r="J546" i="3"/>
  <c r="D546" i="3" s="1"/>
  <c r="J542" i="3"/>
  <c r="D542" i="3" s="1"/>
  <c r="J538" i="3"/>
  <c r="D538" i="3" s="1"/>
  <c r="J534" i="3"/>
  <c r="D534" i="3" s="1"/>
  <c r="J530" i="3"/>
  <c r="D530" i="3" s="1"/>
  <c r="J526" i="3"/>
  <c r="D526" i="3" s="1"/>
  <c r="J522" i="3"/>
  <c r="D522" i="3" s="1"/>
  <c r="J518" i="3"/>
  <c r="D518" i="3" s="1"/>
  <c r="J514" i="3"/>
  <c r="D514" i="3" s="1"/>
  <c r="J510" i="3"/>
  <c r="D510" i="3" s="1"/>
  <c r="J506" i="3"/>
  <c r="D506" i="3" s="1"/>
  <c r="J502" i="3"/>
  <c r="D502" i="3" s="1"/>
  <c r="J498" i="3"/>
  <c r="D498" i="3" s="1"/>
  <c r="J494" i="3"/>
  <c r="D494" i="3" s="1"/>
  <c r="J490" i="3"/>
  <c r="D490" i="3" s="1"/>
  <c r="J486" i="3"/>
  <c r="D486" i="3" s="1"/>
  <c r="J482" i="3"/>
  <c r="D482" i="3" s="1"/>
  <c r="J478" i="3"/>
  <c r="D478" i="3" s="1"/>
  <c r="J474" i="3"/>
  <c r="D474" i="3" s="1"/>
  <c r="J470" i="3"/>
  <c r="D470" i="3" s="1"/>
  <c r="J466" i="3"/>
  <c r="D466" i="3" s="1"/>
  <c r="J462" i="3"/>
  <c r="D462" i="3" s="1"/>
  <c r="J455" i="3"/>
  <c r="D455" i="3" s="1"/>
  <c r="J451" i="3"/>
  <c r="D451" i="3" s="1"/>
  <c r="J447" i="3"/>
  <c r="D447" i="3" s="1"/>
  <c r="J443" i="3"/>
  <c r="D443" i="3" s="1"/>
  <c r="J439" i="3"/>
  <c r="D439" i="3" s="1"/>
  <c r="J435" i="3"/>
  <c r="D435" i="3" s="1"/>
  <c r="J432" i="3"/>
  <c r="D432" i="3" s="1"/>
  <c r="J428" i="3"/>
  <c r="D428" i="3" s="1"/>
  <c r="J424" i="3"/>
  <c r="D424" i="3" s="1"/>
  <c r="J420" i="3"/>
  <c r="D420" i="3" s="1"/>
  <c r="J416" i="3"/>
  <c r="D416" i="3" s="1"/>
  <c r="J413" i="3"/>
  <c r="D413" i="3" s="1"/>
  <c r="J410" i="3"/>
  <c r="D410" i="3" s="1"/>
  <c r="J403" i="3"/>
  <c r="D403" i="3" s="1"/>
  <c r="J399" i="3"/>
  <c r="D399" i="3" s="1"/>
  <c r="J395" i="3"/>
  <c r="D395" i="3" s="1"/>
  <c r="J392" i="3"/>
  <c r="D392" i="3" s="1"/>
  <c r="J388" i="3"/>
  <c r="D388" i="3" s="1"/>
  <c r="J384" i="3"/>
  <c r="D384" i="3" s="1"/>
  <c r="J380" i="3"/>
  <c r="D380" i="3" s="1"/>
  <c r="J376" i="3"/>
  <c r="D376" i="3" s="1"/>
  <c r="J372" i="3"/>
  <c r="D372" i="3" s="1"/>
  <c r="J338" i="3"/>
  <c r="D338" i="3" s="1"/>
  <c r="J334" i="3"/>
  <c r="D334" i="3" s="1"/>
  <c r="J330" i="3"/>
  <c r="D330" i="3" s="1"/>
  <c r="J326" i="3"/>
  <c r="D326" i="3" s="1"/>
  <c r="J322" i="3"/>
  <c r="D322" i="3" s="1"/>
  <c r="J318" i="3"/>
  <c r="D318" i="3" s="1"/>
  <c r="J314" i="3"/>
  <c r="D314" i="3" s="1"/>
  <c r="J310" i="3"/>
  <c r="D310" i="3" s="1"/>
  <c r="J306" i="3"/>
  <c r="D306" i="3" s="1"/>
  <c r="J302" i="3"/>
  <c r="D302" i="3" s="1"/>
  <c r="J298" i="3"/>
  <c r="D298" i="3" s="1"/>
  <c r="J294" i="3"/>
  <c r="D294" i="3" s="1"/>
  <c r="J290" i="3"/>
  <c r="D290" i="3" s="1"/>
  <c r="J286" i="3"/>
  <c r="D286" i="3" s="1"/>
  <c r="J282" i="3"/>
  <c r="D282" i="3" s="1"/>
  <c r="J278" i="3"/>
  <c r="D278" i="3" s="1"/>
  <c r="J274" i="3"/>
  <c r="D274" i="3" s="1"/>
  <c r="J270" i="3"/>
  <c r="D270" i="3" s="1"/>
  <c r="J266" i="3"/>
  <c r="D266" i="3" s="1"/>
  <c r="J262" i="3"/>
  <c r="D262" i="3" s="1"/>
  <c r="J258" i="3"/>
  <c r="D258" i="3" s="1"/>
  <c r="J254" i="3"/>
  <c r="D254" i="3" s="1"/>
  <c r="J250" i="3"/>
  <c r="D250" i="3" s="1"/>
  <c r="J246" i="3"/>
  <c r="D246" i="3" s="1"/>
  <c r="J242" i="3"/>
  <c r="D242" i="3" s="1"/>
  <c r="J238" i="3"/>
  <c r="D238" i="3" s="1"/>
  <c r="J234" i="3"/>
  <c r="D234" i="3" s="1"/>
  <c r="J230" i="3"/>
  <c r="D230" i="3" s="1"/>
  <c r="J226" i="3"/>
  <c r="D226" i="3" s="1"/>
  <c r="J222" i="3"/>
  <c r="D222" i="3" s="1"/>
  <c r="J218" i="3"/>
  <c r="D218" i="3" s="1"/>
  <c r="J214" i="3"/>
  <c r="D214" i="3" s="1"/>
  <c r="J210" i="3"/>
  <c r="D210" i="3" s="1"/>
  <c r="J206" i="3"/>
  <c r="D206" i="3" s="1"/>
  <c r="J202" i="3"/>
  <c r="D202" i="3" s="1"/>
  <c r="J198" i="3"/>
  <c r="D198" i="3" s="1"/>
  <c r="J194" i="3"/>
  <c r="D194" i="3" s="1"/>
  <c r="J190" i="3"/>
  <c r="D190" i="3" s="1"/>
  <c r="J186" i="3"/>
  <c r="D186" i="3" s="1"/>
  <c r="J182" i="3"/>
  <c r="D182" i="3" s="1"/>
  <c r="J178" i="3"/>
  <c r="D178" i="3" s="1"/>
  <c r="J174" i="3"/>
  <c r="D174" i="3" s="1"/>
  <c r="J170" i="3"/>
  <c r="D170" i="3" s="1"/>
  <c r="J166" i="3"/>
  <c r="D166" i="3" s="1"/>
  <c r="J162" i="3"/>
  <c r="D162" i="3" s="1"/>
  <c r="J158" i="3"/>
  <c r="D158" i="3" s="1"/>
  <c r="J154" i="3"/>
  <c r="D154" i="3" s="1"/>
  <c r="J150" i="3"/>
  <c r="D150" i="3" s="1"/>
  <c r="J146" i="3"/>
  <c r="D146" i="3" s="1"/>
  <c r="J142" i="3"/>
  <c r="D142" i="3" s="1"/>
  <c r="J138" i="3"/>
  <c r="D138" i="3" s="1"/>
  <c r="J134" i="3"/>
  <c r="D134" i="3" s="1"/>
  <c r="J130" i="3"/>
  <c r="D130" i="3" s="1"/>
  <c r="J126" i="3"/>
  <c r="D126" i="3" s="1"/>
  <c r="J122" i="3"/>
  <c r="D122" i="3" s="1"/>
  <c r="J118" i="3"/>
  <c r="D118" i="3" s="1"/>
  <c r="J114" i="3"/>
  <c r="D114" i="3" s="1"/>
  <c r="J110" i="3"/>
  <c r="D110" i="3" s="1"/>
  <c r="J106" i="3"/>
  <c r="D106" i="3" s="1"/>
  <c r="J102" i="3"/>
  <c r="D102" i="3" s="1"/>
  <c r="J98" i="3"/>
  <c r="D98" i="3" s="1"/>
  <c r="J94" i="3"/>
  <c r="D94" i="3" s="1"/>
  <c r="J90" i="3"/>
  <c r="D90" i="3" s="1"/>
  <c r="J86" i="3"/>
  <c r="D86" i="3" s="1"/>
  <c r="J82" i="3"/>
  <c r="D82" i="3" s="1"/>
  <c r="J78" i="3"/>
  <c r="D78" i="3" s="1"/>
  <c r="J74" i="3"/>
  <c r="D74" i="3" s="1"/>
  <c r="J70" i="3"/>
  <c r="D70" i="3" s="1"/>
  <c r="J66" i="3"/>
  <c r="D66" i="3" s="1"/>
  <c r="J62" i="3"/>
  <c r="D62" i="3" s="1"/>
  <c r="J58" i="3"/>
  <c r="D58" i="3" s="1"/>
  <c r="J54" i="3"/>
  <c r="D54" i="3" s="1"/>
  <c r="J50" i="3"/>
  <c r="D50" i="3" s="1"/>
  <c r="J46" i="3"/>
  <c r="D46" i="3" s="1"/>
  <c r="J42" i="3"/>
  <c r="D42" i="3" s="1"/>
  <c r="J38" i="3"/>
  <c r="D38" i="3" s="1"/>
  <c r="J34" i="3"/>
  <c r="D34" i="3" s="1"/>
  <c r="J30" i="3"/>
  <c r="D30" i="3" s="1"/>
  <c r="J26" i="3"/>
  <c r="D26" i="3" s="1"/>
  <c r="J22" i="3"/>
  <c r="D22" i="3" s="1"/>
  <c r="J18" i="3"/>
  <c r="D18" i="3" s="1"/>
  <c r="J14" i="3"/>
  <c r="D14" i="3" s="1"/>
  <c r="J10" i="3"/>
  <c r="D10" i="3" s="1"/>
  <c r="J6" i="3"/>
  <c r="D6" i="3" s="1"/>
  <c r="J2" i="3"/>
  <c r="D2" i="3" s="1"/>
  <c r="J173" i="3"/>
  <c r="D173" i="3" s="1"/>
  <c r="J165" i="3"/>
  <c r="D165" i="3" s="1"/>
  <c r="J161" i="3"/>
  <c r="D161" i="3" s="1"/>
  <c r="J153" i="3"/>
  <c r="D153" i="3" s="1"/>
  <c r="J145" i="3"/>
  <c r="D145" i="3" s="1"/>
  <c r="J137" i="3"/>
  <c r="D137" i="3" s="1"/>
  <c r="J129" i="3"/>
  <c r="D129" i="3" s="1"/>
  <c r="J121" i="3"/>
  <c r="D121" i="3" s="1"/>
  <c r="J113" i="3"/>
  <c r="D113" i="3" s="1"/>
  <c r="J105" i="3"/>
  <c r="D105" i="3" s="1"/>
  <c r="J97" i="3"/>
  <c r="D97" i="3" s="1"/>
  <c r="J89" i="3"/>
  <c r="D89" i="3" s="1"/>
  <c r="J85" i="3"/>
  <c r="D85" i="3" s="1"/>
  <c r="J77" i="3"/>
  <c r="D77" i="3" s="1"/>
  <c r="J73" i="3"/>
  <c r="D73" i="3" s="1"/>
  <c r="J65" i="3"/>
  <c r="D65" i="3" s="1"/>
  <c r="J57" i="3"/>
  <c r="D57" i="3" s="1"/>
  <c r="J49" i="3"/>
  <c r="D49" i="3" s="1"/>
  <c r="J41" i="3"/>
  <c r="D41" i="3" s="1"/>
  <c r="J33" i="3"/>
  <c r="D33" i="3" s="1"/>
  <c r="J25" i="3"/>
  <c r="D25" i="3" s="1"/>
  <c r="J17" i="3"/>
  <c r="D17" i="3" s="1"/>
  <c r="J9" i="3"/>
  <c r="D9" i="3" s="1"/>
  <c r="J5" i="3"/>
  <c r="D5" i="3" s="1"/>
  <c r="J939" i="3"/>
  <c r="D939" i="3" s="1"/>
  <c r="J935" i="3"/>
  <c r="D935" i="3" s="1"/>
  <c r="J931" i="3"/>
  <c r="D931" i="3" s="1"/>
  <c r="J927" i="3"/>
  <c r="D927" i="3" s="1"/>
  <c r="J923" i="3"/>
  <c r="D923" i="3" s="1"/>
  <c r="J919" i="3"/>
  <c r="D919" i="3" s="1"/>
  <c r="J915" i="3"/>
  <c r="D915" i="3" s="1"/>
  <c r="J911" i="3"/>
  <c r="D911" i="3" s="1"/>
  <c r="J907" i="3"/>
  <c r="D907" i="3" s="1"/>
  <c r="J903" i="3"/>
  <c r="D903" i="3" s="1"/>
  <c r="J899" i="3"/>
  <c r="D899" i="3" s="1"/>
  <c r="J895" i="3"/>
  <c r="D895" i="3" s="1"/>
  <c r="J891" i="3"/>
  <c r="D891" i="3" s="1"/>
  <c r="J887" i="3"/>
  <c r="D887" i="3" s="1"/>
  <c r="J883" i="3"/>
  <c r="D883" i="3" s="1"/>
  <c r="J879" i="3"/>
  <c r="D879" i="3" s="1"/>
  <c r="J875" i="3"/>
  <c r="D875" i="3" s="1"/>
  <c r="J871" i="3"/>
  <c r="D871" i="3" s="1"/>
  <c r="J867" i="3"/>
  <c r="D867" i="3" s="1"/>
  <c r="J863" i="3"/>
  <c r="D863" i="3" s="1"/>
  <c r="J859" i="3"/>
  <c r="D859" i="3" s="1"/>
  <c r="J855" i="3"/>
  <c r="D855" i="3" s="1"/>
  <c r="J851" i="3"/>
  <c r="D851" i="3" s="1"/>
  <c r="J847" i="3"/>
  <c r="D847" i="3" s="1"/>
  <c r="J843" i="3"/>
  <c r="D843" i="3" s="1"/>
  <c r="J839" i="3"/>
  <c r="D839" i="3" s="1"/>
  <c r="J835" i="3"/>
  <c r="D835" i="3" s="1"/>
  <c r="J831" i="3"/>
  <c r="D831" i="3" s="1"/>
  <c r="J827" i="3"/>
  <c r="D827" i="3" s="1"/>
  <c r="J823" i="3"/>
  <c r="D823" i="3" s="1"/>
  <c r="J819" i="3"/>
  <c r="D819" i="3" s="1"/>
  <c r="J815" i="3"/>
  <c r="D815" i="3" s="1"/>
  <c r="J811" i="3"/>
  <c r="D811" i="3" s="1"/>
  <c r="J807" i="3"/>
  <c r="D807" i="3" s="1"/>
  <c r="J803" i="3"/>
  <c r="D803" i="3" s="1"/>
  <c r="J799" i="3"/>
  <c r="D799" i="3" s="1"/>
  <c r="J795" i="3"/>
  <c r="D795" i="3" s="1"/>
  <c r="J791" i="3"/>
  <c r="D791" i="3" s="1"/>
  <c r="J787" i="3"/>
  <c r="D787" i="3" s="1"/>
  <c r="J783" i="3"/>
  <c r="D783" i="3" s="1"/>
  <c r="J779" i="3"/>
  <c r="D779" i="3" s="1"/>
  <c r="J775" i="3"/>
  <c r="D775" i="3" s="1"/>
  <c r="J771" i="3"/>
  <c r="D771" i="3" s="1"/>
  <c r="J767" i="3"/>
  <c r="D767" i="3" s="1"/>
  <c r="J763" i="3"/>
  <c r="D763" i="3" s="1"/>
  <c r="J759" i="3"/>
  <c r="D759" i="3" s="1"/>
  <c r="J755" i="3"/>
  <c r="D755" i="3" s="1"/>
  <c r="J751" i="3"/>
  <c r="D751" i="3" s="1"/>
  <c r="J747" i="3"/>
  <c r="D747" i="3" s="1"/>
  <c r="J743" i="3"/>
  <c r="D743" i="3" s="1"/>
  <c r="J739" i="3"/>
  <c r="D739" i="3" s="1"/>
  <c r="J735" i="3"/>
  <c r="D735" i="3" s="1"/>
  <c r="J731" i="3"/>
  <c r="D731" i="3" s="1"/>
  <c r="J727" i="3"/>
  <c r="D727" i="3" s="1"/>
  <c r="J723" i="3"/>
  <c r="D723" i="3" s="1"/>
  <c r="J719" i="3"/>
  <c r="D719" i="3" s="1"/>
  <c r="J715" i="3"/>
  <c r="D715" i="3" s="1"/>
  <c r="J711" i="3"/>
  <c r="D711" i="3" s="1"/>
  <c r="J707" i="3"/>
  <c r="D707" i="3" s="1"/>
  <c r="J703" i="3"/>
  <c r="D703" i="3" s="1"/>
  <c r="J699" i="3"/>
  <c r="D699" i="3" s="1"/>
  <c r="J695" i="3"/>
  <c r="D695" i="3" s="1"/>
  <c r="J691" i="3"/>
  <c r="D691" i="3" s="1"/>
  <c r="J687" i="3"/>
  <c r="D687" i="3" s="1"/>
  <c r="J683" i="3"/>
  <c r="D683" i="3" s="1"/>
  <c r="J679" i="3"/>
  <c r="D679" i="3" s="1"/>
  <c r="J675" i="3"/>
  <c r="D675" i="3" s="1"/>
  <c r="J671" i="3"/>
  <c r="D671" i="3" s="1"/>
  <c r="J667" i="3"/>
  <c r="D667" i="3" s="1"/>
  <c r="J663" i="3"/>
  <c r="D663" i="3" s="1"/>
  <c r="J659" i="3"/>
  <c r="D659" i="3" s="1"/>
  <c r="J655" i="3"/>
  <c r="D655" i="3" s="1"/>
  <c r="J651" i="3"/>
  <c r="D651" i="3" s="1"/>
  <c r="J647" i="3"/>
  <c r="D647" i="3" s="1"/>
  <c r="J643" i="3"/>
  <c r="D643" i="3" s="1"/>
  <c r="J639" i="3"/>
  <c r="D639" i="3" s="1"/>
  <c r="J635" i="3"/>
  <c r="D635" i="3" s="1"/>
  <c r="J631" i="3"/>
  <c r="D631" i="3" s="1"/>
  <c r="J627" i="3"/>
  <c r="D627" i="3" s="1"/>
  <c r="J623" i="3"/>
  <c r="D623" i="3" s="1"/>
  <c r="J619" i="3"/>
  <c r="D619" i="3" s="1"/>
  <c r="J615" i="3"/>
  <c r="D615" i="3" s="1"/>
  <c r="J611" i="3"/>
  <c r="D611" i="3" s="1"/>
  <c r="J607" i="3"/>
  <c r="D607" i="3" s="1"/>
  <c r="J603" i="3"/>
  <c r="D603" i="3" s="1"/>
  <c r="J599" i="3"/>
  <c r="D599" i="3" s="1"/>
  <c r="J595" i="3"/>
  <c r="D595" i="3" s="1"/>
  <c r="J591" i="3"/>
  <c r="D591" i="3" s="1"/>
  <c r="J588" i="3"/>
  <c r="D588" i="3" s="1"/>
  <c r="J584" i="3"/>
  <c r="D584" i="3" s="1"/>
  <c r="J580" i="3"/>
  <c r="D580" i="3" s="1"/>
  <c r="J576" i="3"/>
  <c r="D576" i="3" s="1"/>
  <c r="J573" i="3"/>
  <c r="D573" i="3" s="1"/>
  <c r="J569" i="3"/>
  <c r="D569" i="3" s="1"/>
  <c r="J562" i="3"/>
  <c r="D562" i="3" s="1"/>
  <c r="J559" i="3"/>
  <c r="D559" i="3" s="1"/>
  <c r="J555" i="3"/>
  <c r="D555" i="3" s="1"/>
  <c r="J551" i="3"/>
  <c r="D551" i="3" s="1"/>
  <c r="J547" i="3"/>
  <c r="D547" i="3" s="1"/>
  <c r="J543" i="3"/>
  <c r="D543" i="3" s="1"/>
  <c r="J539" i="3"/>
  <c r="D539" i="3" s="1"/>
  <c r="J535" i="3"/>
  <c r="D535" i="3" s="1"/>
  <c r="J531" i="3"/>
  <c r="D531" i="3" s="1"/>
  <c r="J527" i="3"/>
  <c r="D527" i="3" s="1"/>
  <c r="J523" i="3"/>
  <c r="D523" i="3" s="1"/>
  <c r="J519" i="3"/>
  <c r="D519" i="3" s="1"/>
  <c r="J515" i="3"/>
  <c r="D515" i="3" s="1"/>
  <c r="J511" i="3"/>
  <c r="D511" i="3" s="1"/>
  <c r="J507" i="3"/>
  <c r="D507" i="3" s="1"/>
  <c r="J503" i="3"/>
  <c r="D503" i="3" s="1"/>
  <c r="J499" i="3"/>
  <c r="D499" i="3" s="1"/>
  <c r="J495" i="3"/>
  <c r="D495" i="3" s="1"/>
  <c r="J491" i="3"/>
  <c r="D491" i="3" s="1"/>
  <c r="J487" i="3"/>
  <c r="D487" i="3" s="1"/>
  <c r="J483" i="3"/>
  <c r="D483" i="3" s="1"/>
  <c r="J479" i="3"/>
  <c r="D479" i="3" s="1"/>
  <c r="J475" i="3"/>
  <c r="D475" i="3" s="1"/>
  <c r="J471" i="3"/>
  <c r="D471" i="3" s="1"/>
  <c r="J467" i="3"/>
  <c r="D467" i="3" s="1"/>
  <c r="J463" i="3"/>
  <c r="D463" i="3" s="1"/>
  <c r="J459" i="3"/>
  <c r="D459" i="3" s="1"/>
  <c r="J456" i="3"/>
  <c r="D456" i="3" s="1"/>
  <c r="J452" i="3"/>
  <c r="D452" i="3" s="1"/>
  <c r="J448" i="3"/>
  <c r="D448" i="3" s="1"/>
  <c r="J444" i="3"/>
  <c r="D444" i="3" s="1"/>
  <c r="J440" i="3"/>
  <c r="D440" i="3" s="1"/>
  <c r="J436" i="3"/>
  <c r="D436" i="3" s="1"/>
  <c r="J433" i="3"/>
  <c r="D433" i="3" s="1"/>
  <c r="J429" i="3"/>
  <c r="D429" i="3" s="1"/>
  <c r="J425" i="3"/>
  <c r="D425" i="3" s="1"/>
  <c r="J421" i="3"/>
  <c r="D421" i="3" s="1"/>
  <c r="J417" i="3"/>
  <c r="D417" i="3" s="1"/>
  <c r="J414" i="3"/>
  <c r="D414" i="3" s="1"/>
  <c r="J407" i="3"/>
  <c r="D407" i="3" s="1"/>
  <c r="J404" i="3"/>
  <c r="D404" i="3" s="1"/>
  <c r="J400" i="3"/>
  <c r="D400" i="3" s="1"/>
  <c r="J396" i="3"/>
  <c r="D396" i="3" s="1"/>
  <c r="J393" i="3"/>
  <c r="D393" i="3" s="1"/>
  <c r="J389" i="3"/>
  <c r="D389" i="3" s="1"/>
  <c r="J385" i="3"/>
  <c r="D385" i="3" s="1"/>
  <c r="J381" i="3"/>
  <c r="D381" i="3" s="1"/>
  <c r="J377" i="3"/>
  <c r="D377" i="3" s="1"/>
  <c r="J373" i="3"/>
  <c r="D373" i="3" s="1"/>
  <c r="J339" i="3"/>
  <c r="D339" i="3" s="1"/>
  <c r="J335" i="3"/>
  <c r="D335" i="3" s="1"/>
  <c r="J331" i="3"/>
  <c r="D331" i="3" s="1"/>
  <c r="J327" i="3"/>
  <c r="D327" i="3" s="1"/>
  <c r="J323" i="3"/>
  <c r="D323" i="3" s="1"/>
  <c r="J319" i="3"/>
  <c r="D319" i="3" s="1"/>
  <c r="J315" i="3"/>
  <c r="D315" i="3" s="1"/>
  <c r="J311" i="3"/>
  <c r="D311" i="3" s="1"/>
  <c r="J307" i="3"/>
  <c r="D307" i="3" s="1"/>
  <c r="J303" i="3"/>
  <c r="D303" i="3" s="1"/>
  <c r="J299" i="3"/>
  <c r="D299" i="3" s="1"/>
  <c r="J295" i="3"/>
  <c r="D295" i="3" s="1"/>
  <c r="J291" i="3"/>
  <c r="D291" i="3" s="1"/>
  <c r="J287" i="3"/>
  <c r="D287" i="3" s="1"/>
  <c r="J283" i="3"/>
  <c r="D283" i="3" s="1"/>
  <c r="J279" i="3"/>
  <c r="D279" i="3" s="1"/>
  <c r="J275" i="3"/>
  <c r="D275" i="3" s="1"/>
  <c r="J271" i="3"/>
  <c r="D271" i="3" s="1"/>
  <c r="J267" i="3"/>
  <c r="D267" i="3" s="1"/>
  <c r="J263" i="3"/>
  <c r="D263" i="3" s="1"/>
  <c r="J259" i="3"/>
  <c r="D259" i="3" s="1"/>
  <c r="J255" i="3"/>
  <c r="D255" i="3" s="1"/>
  <c r="J251" i="3"/>
  <c r="D251" i="3" s="1"/>
  <c r="J247" i="3"/>
  <c r="D247" i="3" s="1"/>
  <c r="J243" i="3"/>
  <c r="D243" i="3" s="1"/>
  <c r="J239" i="3"/>
  <c r="D239" i="3" s="1"/>
  <c r="J235" i="3"/>
  <c r="D235" i="3" s="1"/>
  <c r="J231" i="3"/>
  <c r="D231" i="3" s="1"/>
  <c r="J227" i="3"/>
  <c r="D227" i="3" s="1"/>
  <c r="J223" i="3"/>
  <c r="D223" i="3" s="1"/>
  <c r="J219" i="3"/>
  <c r="D219" i="3" s="1"/>
  <c r="J215" i="3"/>
  <c r="D215" i="3" s="1"/>
  <c r="J211" i="3"/>
  <c r="D211" i="3" s="1"/>
  <c r="J207" i="3"/>
  <c r="D207" i="3" s="1"/>
  <c r="J203" i="3"/>
  <c r="D203" i="3" s="1"/>
  <c r="J199" i="3"/>
  <c r="D199" i="3" s="1"/>
  <c r="J195" i="3"/>
  <c r="D195" i="3" s="1"/>
  <c r="J191" i="3"/>
  <c r="D191" i="3" s="1"/>
  <c r="J187" i="3"/>
  <c r="D187" i="3" s="1"/>
  <c r="J183" i="3"/>
  <c r="D183" i="3" s="1"/>
  <c r="J179" i="3"/>
  <c r="D179" i="3" s="1"/>
  <c r="J175" i="3"/>
  <c r="D175" i="3" s="1"/>
  <c r="J171" i="3"/>
  <c r="D171" i="3" s="1"/>
  <c r="J167" i="3"/>
  <c r="D167" i="3" s="1"/>
  <c r="J163" i="3"/>
  <c r="D163" i="3" s="1"/>
  <c r="J159" i="3"/>
  <c r="D159" i="3" s="1"/>
  <c r="J155" i="3"/>
  <c r="D155" i="3" s="1"/>
  <c r="J151" i="3"/>
  <c r="D151" i="3" s="1"/>
  <c r="J147" i="3"/>
  <c r="D147" i="3" s="1"/>
  <c r="J143" i="3"/>
  <c r="D143" i="3" s="1"/>
  <c r="J139" i="3"/>
  <c r="D139" i="3" s="1"/>
  <c r="J135" i="3"/>
  <c r="D135" i="3" s="1"/>
  <c r="J131" i="3"/>
  <c r="D131" i="3" s="1"/>
  <c r="J127" i="3"/>
  <c r="D127" i="3" s="1"/>
  <c r="J123" i="3"/>
  <c r="D123" i="3" s="1"/>
  <c r="J119" i="3"/>
  <c r="D119" i="3" s="1"/>
  <c r="J115" i="3"/>
  <c r="D115" i="3" s="1"/>
  <c r="J111" i="3"/>
  <c r="D111" i="3" s="1"/>
  <c r="J107" i="3"/>
  <c r="D107" i="3" s="1"/>
  <c r="J103" i="3"/>
  <c r="D103" i="3" s="1"/>
  <c r="J99" i="3"/>
  <c r="D99" i="3" s="1"/>
  <c r="J95" i="3"/>
  <c r="D95" i="3" s="1"/>
  <c r="J91" i="3"/>
  <c r="D91" i="3" s="1"/>
  <c r="J87" i="3"/>
  <c r="D87" i="3" s="1"/>
  <c r="J83" i="3"/>
  <c r="D83" i="3" s="1"/>
  <c r="J79" i="3"/>
  <c r="D79" i="3" s="1"/>
  <c r="J75" i="3"/>
  <c r="D75" i="3" s="1"/>
  <c r="J71" i="3"/>
  <c r="D71" i="3" s="1"/>
  <c r="J67" i="3"/>
  <c r="D67" i="3" s="1"/>
  <c r="J63" i="3"/>
  <c r="D63" i="3" s="1"/>
  <c r="J59" i="3"/>
  <c r="D59" i="3" s="1"/>
  <c r="J55" i="3"/>
  <c r="D55" i="3" s="1"/>
  <c r="J51" i="3"/>
  <c r="D51" i="3" s="1"/>
  <c r="J47" i="3"/>
  <c r="D47" i="3" s="1"/>
  <c r="J43" i="3"/>
  <c r="D43" i="3" s="1"/>
  <c r="J39" i="3"/>
  <c r="D39" i="3" s="1"/>
  <c r="J35" i="3"/>
  <c r="D35" i="3" s="1"/>
  <c r="J31" i="3"/>
  <c r="D31" i="3" s="1"/>
  <c r="J27" i="3"/>
  <c r="D27" i="3" s="1"/>
  <c r="J23" i="3"/>
  <c r="D23" i="3" s="1"/>
  <c r="J19" i="3"/>
  <c r="D19" i="3" s="1"/>
  <c r="J15" i="3"/>
  <c r="D15" i="3" s="1"/>
  <c r="J11" i="3"/>
  <c r="D11" i="3" s="1"/>
  <c r="J7" i="3"/>
  <c r="D7" i="3" s="1"/>
  <c r="J3" i="3"/>
  <c r="D3" i="3" s="1"/>
  <c r="J369" i="3"/>
  <c r="D369" i="3" s="1"/>
  <c r="J365" i="3"/>
  <c r="D365" i="3" s="1"/>
  <c r="J371" i="3"/>
  <c r="D371" i="3" s="1"/>
  <c r="J367" i="3"/>
  <c r="D367" i="3" s="1"/>
  <c r="J370" i="3"/>
  <c r="D370" i="3" s="1"/>
  <c r="J366" i="3"/>
  <c r="D366" i="3" s="1"/>
  <c r="J368" i="3"/>
  <c r="D368" i="3" s="1"/>
  <c r="J362" i="3"/>
  <c r="D362" i="3" s="1"/>
  <c r="J363" i="3"/>
  <c r="D363" i="3" s="1"/>
  <c r="J364" i="3"/>
  <c r="D364" i="3" s="1"/>
  <c r="J361" i="3"/>
  <c r="D361" i="3" s="1"/>
  <c r="J360" i="3"/>
  <c r="D360" i="3" s="1"/>
  <c r="J356" i="3"/>
  <c r="D356" i="3" s="1"/>
  <c r="J357" i="3"/>
  <c r="D357" i="3" s="1"/>
  <c r="J359" i="3"/>
  <c r="D359" i="3" s="1"/>
  <c r="J358" i="3"/>
  <c r="D358" i="3" s="1"/>
  <c r="J353" i="3"/>
  <c r="D353" i="3" s="1"/>
  <c r="J354" i="3"/>
  <c r="D354" i="3" s="1"/>
  <c r="J350" i="3"/>
  <c r="D350" i="3" s="1"/>
  <c r="J352" i="3"/>
  <c r="D352" i="3" s="1"/>
  <c r="J349" i="3"/>
  <c r="D349" i="3" s="1"/>
  <c r="J355" i="3"/>
  <c r="D355" i="3" s="1"/>
  <c r="J351" i="3"/>
  <c r="D351" i="3" s="1"/>
  <c r="J348" i="3"/>
  <c r="D348" i="3" s="1"/>
  <c r="J345" i="3"/>
  <c r="D345" i="3" s="1"/>
  <c r="J346" i="3"/>
  <c r="D346" i="3" s="1"/>
  <c r="J342" i="3"/>
  <c r="D342" i="3" s="1"/>
  <c r="J344" i="3"/>
  <c r="D344" i="3" s="1"/>
  <c r="J347" i="3"/>
  <c r="D347" i="3" s="1"/>
  <c r="J343" i="3"/>
  <c r="D343" i="3" s="1"/>
  <c r="AB129" i="3"/>
  <c r="AC129" i="3" s="1"/>
  <c r="AB211" i="3"/>
  <c r="AC211" i="3" s="1"/>
  <c r="AB176" i="3"/>
  <c r="AC176" i="3" s="1"/>
  <c r="AB275" i="3"/>
  <c r="AC275" i="3" s="1"/>
  <c r="AB140" i="3"/>
  <c r="AC140" i="3" s="1"/>
  <c r="AB241" i="3"/>
  <c r="AC241" i="3" s="1"/>
  <c r="AB62" i="3"/>
  <c r="AC62" i="3" s="1"/>
  <c r="AB113" i="3"/>
  <c r="AC113" i="3" s="1"/>
  <c r="AB46" i="3"/>
  <c r="AC46" i="3" s="1"/>
  <c r="AB243" i="3"/>
  <c r="AC243" i="3" s="1"/>
  <c r="AB60" i="3"/>
  <c r="AC60" i="3" s="1"/>
  <c r="AB73" i="3"/>
  <c r="AC73" i="3" s="1"/>
  <c r="AB165" i="3"/>
  <c r="AC165" i="3" s="1"/>
  <c r="AB26" i="3"/>
  <c r="AC26" i="3" s="1"/>
  <c r="AB170" i="3"/>
  <c r="AC170" i="3" s="1"/>
  <c r="AB195" i="3"/>
  <c r="AC195" i="3" s="1"/>
  <c r="AB207" i="3"/>
  <c r="AC207" i="3" s="1"/>
  <c r="AB233" i="3"/>
  <c r="AC233" i="3" s="1"/>
  <c r="AB92" i="3"/>
  <c r="AC92" i="3" s="1"/>
  <c r="AB37" i="3"/>
  <c r="AC37" i="3" s="1"/>
  <c r="AB149" i="3"/>
  <c r="AC149" i="3" s="1"/>
  <c r="AB10" i="3"/>
  <c r="AC10" i="3" s="1"/>
  <c r="AB134" i="3"/>
  <c r="AC134" i="3" s="1"/>
  <c r="AB283" i="3"/>
  <c r="AC283" i="3" s="1"/>
  <c r="AB185" i="3"/>
  <c r="AC185" i="3" s="1"/>
  <c r="AB217" i="3"/>
  <c r="AC217" i="3" s="1"/>
  <c r="AB268" i="3"/>
  <c r="AC268" i="3" s="1"/>
  <c r="AB348" i="3"/>
  <c r="AC348" i="3" s="1"/>
  <c r="AB404" i="3"/>
  <c r="AC404" i="3" s="1"/>
  <c r="AB463" i="3"/>
  <c r="AC463" i="3" s="1"/>
  <c r="AB523" i="3"/>
  <c r="AC523" i="3" s="1"/>
  <c r="AB584" i="3"/>
  <c r="AC584" i="3" s="1"/>
  <c r="AB615" i="3"/>
  <c r="AC615" i="3" s="1"/>
  <c r="AB715" i="3"/>
  <c r="AC715" i="3" s="1"/>
  <c r="AB106" i="3"/>
  <c r="AC106" i="3" s="1"/>
  <c r="AB218" i="3"/>
  <c r="AC218" i="3" s="1"/>
  <c r="AB322" i="3"/>
  <c r="AC322" i="3" s="1"/>
  <c r="AB437" i="3"/>
  <c r="AC437" i="3" s="1"/>
  <c r="AB560" i="3"/>
  <c r="AC560" i="3" s="1"/>
  <c r="AB684" i="3"/>
  <c r="AC684" i="3" s="1"/>
  <c r="AB812" i="3"/>
  <c r="AC812" i="3" s="1"/>
  <c r="AB940" i="3"/>
  <c r="AC940" i="3" s="1"/>
  <c r="AB324" i="3"/>
  <c r="AC324" i="3" s="1"/>
  <c r="AB561" i="3"/>
  <c r="AC561" i="3" s="1"/>
  <c r="AB814" i="3"/>
  <c r="AC814" i="3" s="1"/>
  <c r="AB219" i="3"/>
  <c r="AC219" i="3" s="1"/>
  <c r="AB821" i="3"/>
  <c r="AC821" i="3" s="1"/>
  <c r="AB69" i="3"/>
  <c r="AC69" i="3" s="1"/>
  <c r="AB101" i="3"/>
  <c r="AC101" i="3" s="1"/>
  <c r="AB121" i="3"/>
  <c r="AC121" i="3" s="1"/>
  <c r="AB181" i="3"/>
  <c r="AC181" i="3" s="1"/>
  <c r="AB261" i="3"/>
  <c r="AC261" i="3" s="1"/>
  <c r="AB452" i="3"/>
  <c r="AC452" i="3" s="1"/>
  <c r="AB573" i="3"/>
  <c r="AC573" i="3" s="1"/>
  <c r="AB635" i="3"/>
  <c r="AC635" i="3" s="1"/>
  <c r="AB699" i="3"/>
  <c r="AC699" i="3" s="1"/>
  <c r="AB811" i="3"/>
  <c r="AC811" i="3" s="1"/>
  <c r="AB939" i="3"/>
  <c r="AC939" i="3" s="1"/>
  <c r="AB138" i="3"/>
  <c r="AC138" i="3" s="1"/>
  <c r="AB262" i="3"/>
  <c r="AC262" i="3" s="1"/>
  <c r="AB362" i="3"/>
  <c r="AC362" i="3" s="1"/>
  <c r="AB484" i="3"/>
  <c r="AC484" i="3" s="1"/>
  <c r="AB604" i="3"/>
  <c r="AC604" i="3" s="1"/>
  <c r="AB732" i="3"/>
  <c r="AC732" i="3" s="1"/>
  <c r="AB860" i="3"/>
  <c r="AC860" i="3" s="1"/>
  <c r="AB124" i="3"/>
  <c r="AC124" i="3" s="1"/>
  <c r="AB299" i="3"/>
  <c r="AC299" i="3" s="1"/>
  <c r="AB530" i="3"/>
  <c r="AC530" i="3" s="1"/>
  <c r="AB782" i="3"/>
  <c r="AC782" i="3" s="1"/>
  <c r="AB123" i="3"/>
  <c r="AC123" i="3" s="1"/>
  <c r="AB789" i="3"/>
  <c r="AC789" i="3" s="1"/>
  <c r="AB28" i="3"/>
  <c r="AC28" i="3" s="1"/>
  <c r="AB25" i="3"/>
  <c r="AC25" i="3" s="1"/>
  <c r="AB57" i="3"/>
  <c r="AC57" i="3" s="1"/>
  <c r="AB89" i="3"/>
  <c r="AC89" i="3" s="1"/>
  <c r="AB117" i="3"/>
  <c r="AC117" i="3" s="1"/>
  <c r="AB137" i="3"/>
  <c r="AC137" i="3" s="1"/>
  <c r="AB169" i="3"/>
  <c r="AC169" i="3" s="1"/>
  <c r="AB201" i="3"/>
  <c r="AC201" i="3" s="1"/>
  <c r="AB258" i="3"/>
  <c r="AC258" i="3" s="1"/>
  <c r="AB307" i="3"/>
  <c r="AC307" i="3" s="1"/>
  <c r="AB333" i="3"/>
  <c r="AC333" i="3" s="1"/>
  <c r="AB389" i="3"/>
  <c r="AC389" i="3" s="1"/>
  <c r="AB417" i="3"/>
  <c r="AC417" i="3" s="1"/>
  <c r="AB448" i="3"/>
  <c r="AC448" i="3" s="1"/>
  <c r="AB479" i="3"/>
  <c r="AC479" i="3" s="1"/>
  <c r="AB511" i="3"/>
  <c r="AC511" i="3" s="1"/>
  <c r="AB539" i="3"/>
  <c r="AC539" i="3" s="1"/>
  <c r="AB569" i="3"/>
  <c r="AC569" i="3" s="1"/>
  <c r="AB599" i="3"/>
  <c r="AC599" i="3" s="1"/>
  <c r="AB631" i="3"/>
  <c r="AC631" i="3" s="1"/>
  <c r="AB663" i="3"/>
  <c r="AC663" i="3" s="1"/>
  <c r="AB695" i="3"/>
  <c r="AC695" i="3" s="1"/>
  <c r="AB731" i="3"/>
  <c r="AC731" i="3" s="1"/>
  <c r="AB795" i="3"/>
  <c r="AC795" i="3" s="1"/>
  <c r="AB859" i="3"/>
  <c r="AC859" i="3" s="1"/>
  <c r="AB923" i="3"/>
  <c r="AC923" i="3" s="1"/>
  <c r="AB42" i="3"/>
  <c r="AC42" i="3" s="1"/>
  <c r="AB74" i="3"/>
  <c r="AC74" i="3" s="1"/>
  <c r="AB186" i="3"/>
  <c r="AC186" i="3" s="1"/>
  <c r="AB249" i="3"/>
  <c r="AC249" i="3" s="1"/>
  <c r="AB297" i="3"/>
  <c r="AC297" i="3" s="1"/>
  <c r="AB353" i="3"/>
  <c r="AC353" i="3" s="1"/>
  <c r="AB408" i="3"/>
  <c r="AC408" i="3" s="1"/>
  <c r="AB468" i="3"/>
  <c r="AC468" i="3" s="1"/>
  <c r="AB528" i="3"/>
  <c r="AC528" i="3" s="1"/>
  <c r="AB652" i="3"/>
  <c r="AC652" i="3" s="1"/>
  <c r="AB716" i="3"/>
  <c r="AC716" i="3" s="1"/>
  <c r="AB780" i="3"/>
  <c r="AC780" i="3" s="1"/>
  <c r="AB844" i="3"/>
  <c r="AC844" i="3" s="1"/>
  <c r="AB908" i="3"/>
  <c r="AC908" i="3" s="1"/>
  <c r="AB188" i="3"/>
  <c r="AC188" i="3" s="1"/>
  <c r="AB380" i="3"/>
  <c r="AC380" i="3" s="1"/>
  <c r="AB502" i="3"/>
  <c r="AC502" i="3" s="1"/>
  <c r="AB622" i="3"/>
  <c r="AC622" i="3" s="1"/>
  <c r="AB750" i="3"/>
  <c r="AC750" i="3" s="1"/>
  <c r="AB878" i="3"/>
  <c r="AC878" i="3" s="1"/>
  <c r="AB91" i="3"/>
  <c r="AC91" i="3" s="1"/>
  <c r="AB279" i="3"/>
  <c r="AC279" i="3" s="1"/>
  <c r="AB387" i="3"/>
  <c r="AC387" i="3" s="1"/>
  <c r="AB509" i="3"/>
  <c r="AC509" i="3" s="1"/>
  <c r="AB629" i="3"/>
  <c r="AC629" i="3" s="1"/>
  <c r="AB757" i="3"/>
  <c r="AC757" i="3" s="1"/>
  <c r="AB885" i="3"/>
  <c r="AC885" i="3" s="1"/>
  <c r="AB36" i="3"/>
  <c r="AC36" i="3" s="1"/>
  <c r="AB32" i="3"/>
  <c r="AC32" i="3" s="1"/>
  <c r="AB909" i="3"/>
  <c r="AC909" i="3" s="1"/>
  <c r="AB877" i="3"/>
  <c r="AC877" i="3" s="1"/>
  <c r="AB813" i="3"/>
  <c r="AC813" i="3" s="1"/>
  <c r="AB749" i="3"/>
  <c r="AC749" i="3" s="1"/>
  <c r="AB685" i="3"/>
  <c r="AC685" i="3" s="1"/>
  <c r="AB621" i="3"/>
  <c r="AC621" i="3" s="1"/>
  <c r="AB501" i="3"/>
  <c r="AC501" i="3" s="1"/>
  <c r="AB438" i="3"/>
  <c r="AC438" i="3" s="1"/>
  <c r="AB379" i="3"/>
  <c r="AC379" i="3" s="1"/>
  <c r="AB323" i="3"/>
  <c r="AC323" i="3" s="1"/>
  <c r="AB272" i="3"/>
  <c r="AC272" i="3" s="1"/>
  <c r="AB179" i="3"/>
  <c r="AC179" i="3" s="1"/>
  <c r="AB147" i="3"/>
  <c r="AC147" i="3" s="1"/>
  <c r="AB115" i="3"/>
  <c r="AC115" i="3" s="1"/>
  <c r="AB83" i="3"/>
  <c r="AC83" i="3" s="1"/>
  <c r="AB934" i="3"/>
  <c r="AC934" i="3" s="1"/>
  <c r="AB870" i="3"/>
  <c r="AC870" i="3" s="1"/>
  <c r="AB806" i="3"/>
  <c r="AC806" i="3" s="1"/>
  <c r="AB742" i="3"/>
  <c r="AC742" i="3" s="1"/>
  <c r="AB678" i="3"/>
  <c r="AC678" i="3" s="1"/>
  <c r="AB614" i="3"/>
  <c r="AC614" i="3" s="1"/>
  <c r="AB554" i="3"/>
  <c r="AC554" i="3" s="1"/>
  <c r="AB494" i="3"/>
  <c r="AC494" i="3" s="1"/>
  <c r="AB432" i="3"/>
  <c r="AC432" i="3" s="1"/>
  <c r="AB372" i="3"/>
  <c r="AC372" i="3" s="1"/>
  <c r="AB212" i="3"/>
  <c r="AC212" i="3" s="1"/>
  <c r="AB148" i="3"/>
  <c r="AC148" i="3" s="1"/>
  <c r="AB84" i="3"/>
  <c r="AC84" i="3" s="1"/>
  <c r="AB936" i="3"/>
  <c r="AC936" i="3" s="1"/>
  <c r="AB904" i="3"/>
  <c r="AC904" i="3" s="1"/>
  <c r="AB872" i="3"/>
  <c r="AC872" i="3" s="1"/>
  <c r="AB840" i="3"/>
  <c r="AC840" i="3" s="1"/>
  <c r="AB808" i="3"/>
  <c r="AC808" i="3" s="1"/>
  <c r="AB776" i="3"/>
  <c r="AC776" i="3" s="1"/>
  <c r="AB744" i="3"/>
  <c r="AC744" i="3" s="1"/>
  <c r="AB712" i="3"/>
  <c r="AC712" i="3" s="1"/>
  <c r="AB680" i="3"/>
  <c r="AC680" i="3" s="1"/>
  <c r="AB648" i="3"/>
  <c r="AC648" i="3" s="1"/>
  <c r="AB616" i="3"/>
  <c r="AC616" i="3" s="1"/>
  <c r="AB585" i="3"/>
  <c r="AC585" i="3" s="1"/>
  <c r="AB556" i="3"/>
  <c r="AC556" i="3" s="1"/>
  <c r="AB540" i="3"/>
  <c r="AC540" i="3" s="1"/>
  <c r="AB512" i="3"/>
  <c r="AC512" i="3" s="1"/>
  <c r="AB480" i="3"/>
  <c r="AC480" i="3" s="1"/>
  <c r="AB434" i="3"/>
  <c r="AC434" i="3" s="1"/>
  <c r="AB418" i="3"/>
  <c r="AC418" i="3" s="1"/>
  <c r="AB374" i="3"/>
  <c r="AC374" i="3" s="1"/>
  <c r="AB308" i="3"/>
  <c r="AC308" i="3" s="1"/>
  <c r="AB269" i="3"/>
  <c r="AC269" i="3" s="1"/>
  <c r="AB246" i="3"/>
  <c r="AC246" i="3" s="1"/>
  <c r="AB214" i="3"/>
  <c r="AC214" i="3" s="1"/>
  <c r="AB182" i="3"/>
  <c r="AC182" i="3" s="1"/>
  <c r="AB150" i="3"/>
  <c r="AC150" i="3" s="1"/>
  <c r="AB118" i="3"/>
  <c r="AC118" i="3" s="1"/>
  <c r="AB102" i="3"/>
  <c r="AC102" i="3" s="1"/>
  <c r="AB70" i="3"/>
  <c r="AC70" i="3" s="1"/>
  <c r="AB38" i="3"/>
  <c r="AC38" i="3" s="1"/>
  <c r="AB7" i="3"/>
  <c r="AC7" i="3" s="1"/>
  <c r="AB919" i="3"/>
  <c r="AC919" i="3" s="1"/>
  <c r="AB887" i="3"/>
  <c r="AC887" i="3" s="1"/>
  <c r="AB855" i="3"/>
  <c r="AC855" i="3" s="1"/>
  <c r="AB823" i="3"/>
  <c r="AC823" i="3" s="1"/>
  <c r="AB791" i="3"/>
  <c r="AC791" i="3" s="1"/>
  <c r="AB759" i="3"/>
  <c r="AC759" i="3" s="1"/>
  <c r="AB5" i="3"/>
  <c r="AC5" i="3" s="1"/>
  <c r="AB941" i="3"/>
  <c r="AC941" i="3" s="1"/>
  <c r="AB845" i="3"/>
  <c r="AC845" i="3" s="1"/>
  <c r="AB781" i="3"/>
  <c r="AC781" i="3" s="1"/>
  <c r="AB717" i="3"/>
  <c r="AC717" i="3" s="1"/>
  <c r="AB653" i="3"/>
  <c r="AC653" i="3" s="1"/>
  <c r="AB589" i="3"/>
  <c r="AC589" i="3" s="1"/>
  <c r="AB529" i="3"/>
  <c r="AC529" i="3" s="1"/>
  <c r="AB469" i="3"/>
  <c r="AC469" i="3" s="1"/>
  <c r="AB409" i="3"/>
  <c r="AC409" i="3" s="1"/>
  <c r="AB354" i="3"/>
  <c r="AC354" i="3" s="1"/>
  <c r="AB298" i="3"/>
  <c r="AC298" i="3" s="1"/>
  <c r="AB250" i="3"/>
  <c r="AC250" i="3" s="1"/>
  <c r="AB39" i="3"/>
  <c r="AC39" i="3" s="1"/>
  <c r="AB902" i="3"/>
  <c r="AC902" i="3" s="1"/>
  <c r="AB838" i="3"/>
  <c r="AC838" i="3" s="1"/>
  <c r="AB774" i="3"/>
  <c r="AC774" i="3" s="1"/>
  <c r="AB710" i="3"/>
  <c r="AC710" i="3" s="1"/>
  <c r="AB646" i="3"/>
  <c r="AC646" i="3" s="1"/>
  <c r="AB583" i="3"/>
  <c r="AC583" i="3" s="1"/>
  <c r="AB522" i="3"/>
  <c r="AC522" i="3" s="1"/>
  <c r="AB462" i="3"/>
  <c r="AC462" i="3" s="1"/>
  <c r="AB403" i="3"/>
  <c r="AC403" i="3" s="1"/>
  <c r="AB347" i="3"/>
  <c r="AC347" i="3" s="1"/>
  <c r="AB291" i="3"/>
  <c r="AC291" i="3" s="1"/>
  <c r="AB244" i="3"/>
  <c r="AC244" i="3" s="1"/>
  <c r="AB180" i="3"/>
  <c r="AC180" i="3" s="1"/>
  <c r="AB116" i="3"/>
  <c r="AC116" i="3" s="1"/>
  <c r="AB43" i="3"/>
  <c r="AC43" i="3" s="1"/>
  <c r="AB920" i="3"/>
  <c r="AC920" i="3" s="1"/>
  <c r="AB888" i="3"/>
  <c r="AC888" i="3" s="1"/>
  <c r="AB856" i="3"/>
  <c r="AC856" i="3" s="1"/>
  <c r="AB824" i="3"/>
  <c r="AC824" i="3" s="1"/>
  <c r="AB792" i="3"/>
  <c r="AC792" i="3" s="1"/>
  <c r="AB760" i="3"/>
  <c r="AC760" i="3" s="1"/>
  <c r="AB728" i="3"/>
  <c r="AC728" i="3" s="1"/>
  <c r="AB696" i="3"/>
  <c r="AC696" i="3" s="1"/>
  <c r="AB664" i="3"/>
  <c r="AC664" i="3" s="1"/>
  <c r="AB632" i="3"/>
  <c r="AC632" i="3" s="1"/>
  <c r="AB600" i="3"/>
  <c r="AC600" i="3" s="1"/>
  <c r="AB570" i="3"/>
  <c r="AC570" i="3" s="1"/>
  <c r="AB524" i="3"/>
  <c r="AC524" i="3" s="1"/>
  <c r="AB496" i="3"/>
  <c r="AC496" i="3" s="1"/>
  <c r="AB464" i="3"/>
  <c r="AC464" i="3" s="1"/>
  <c r="AB449" i="3"/>
  <c r="AC449" i="3" s="1"/>
  <c r="AB405" i="3"/>
  <c r="AC405" i="3" s="1"/>
  <c r="AB390" i="3"/>
  <c r="AC390" i="3" s="1"/>
  <c r="AB349" i="3"/>
  <c r="AC349" i="3" s="1"/>
  <c r="AB334" i="3"/>
  <c r="AC334" i="3" s="1"/>
  <c r="AB293" i="3"/>
  <c r="AC293" i="3" s="1"/>
  <c r="AB230" i="3"/>
  <c r="AC230" i="3" s="1"/>
  <c r="AB198" i="3"/>
  <c r="AC198" i="3" s="1"/>
  <c r="AB166" i="3"/>
  <c r="AC166" i="3" s="1"/>
  <c r="AB86" i="3"/>
  <c r="AC86" i="3" s="1"/>
  <c r="AB54" i="3"/>
  <c r="AC54" i="3" s="1"/>
  <c r="AB22" i="3"/>
  <c r="AC22" i="3" s="1"/>
  <c r="AB935" i="3"/>
  <c r="AC935" i="3" s="1"/>
  <c r="AB903" i="3"/>
  <c r="AC903" i="3" s="1"/>
  <c r="AB871" i="3"/>
  <c r="AC871" i="3" s="1"/>
  <c r="AB839" i="3"/>
  <c r="AC839" i="3" s="1"/>
  <c r="AB807" i="3"/>
  <c r="AC807" i="3" s="1"/>
  <c r="AB775" i="3"/>
  <c r="AC775" i="3" s="1"/>
  <c r="AB743" i="3"/>
  <c r="AC743" i="3" s="1"/>
  <c r="AB711" i="3"/>
  <c r="AC711" i="3" s="1"/>
  <c r="AB41" i="3"/>
  <c r="AC41" i="3" s="1"/>
  <c r="AB105" i="3"/>
  <c r="AC105" i="3" s="1"/>
  <c r="AB153" i="3"/>
  <c r="AC153" i="3" s="1"/>
  <c r="AB245" i="3"/>
  <c r="AC245" i="3" s="1"/>
  <c r="AB292" i="3"/>
  <c r="AC292" i="3" s="1"/>
  <c r="AB373" i="3"/>
  <c r="AC373" i="3" s="1"/>
  <c r="AB433" i="3"/>
  <c r="AC433" i="3" s="1"/>
  <c r="AB495" i="3"/>
  <c r="AC495" i="3" s="1"/>
  <c r="AB555" i="3"/>
  <c r="AC555" i="3" s="1"/>
  <c r="AB647" i="3"/>
  <c r="AC647" i="3" s="1"/>
  <c r="AB679" i="3"/>
  <c r="AC679" i="3" s="1"/>
  <c r="AB763" i="3"/>
  <c r="AC763" i="3" s="1"/>
  <c r="AB827" i="3"/>
  <c r="AC827" i="3" s="1"/>
  <c r="AB891" i="3"/>
  <c r="AC891" i="3" s="1"/>
  <c r="AB58" i="3"/>
  <c r="AC58" i="3" s="1"/>
  <c r="AB154" i="3"/>
  <c r="AC154" i="3" s="1"/>
  <c r="AB378" i="3"/>
  <c r="AC378" i="3" s="1"/>
  <c r="AB500" i="3"/>
  <c r="AC500" i="3" s="1"/>
  <c r="AB620" i="3"/>
  <c r="AC620" i="3" s="1"/>
  <c r="AB748" i="3"/>
  <c r="AC748" i="3" s="1"/>
  <c r="AB876" i="3"/>
  <c r="AC876" i="3" s="1"/>
  <c r="AB251" i="3"/>
  <c r="AC251" i="3" s="1"/>
  <c r="AB439" i="3"/>
  <c r="AC439" i="3" s="1"/>
  <c r="AB686" i="3"/>
  <c r="AC686" i="3" s="1"/>
  <c r="AB155" i="3"/>
  <c r="AC155" i="3" s="1"/>
  <c r="AB331" i="3"/>
  <c r="AC331" i="3" s="1"/>
  <c r="AB446" i="3"/>
  <c r="AC446" i="3" s="1"/>
  <c r="AB567" i="3"/>
  <c r="AC567" i="3" s="1"/>
  <c r="AB693" i="3"/>
  <c r="AC693" i="3" s="1"/>
  <c r="AB56" i="3"/>
  <c r="AC56" i="3" s="1"/>
  <c r="AB6" i="3"/>
  <c r="AC6" i="3" s="1"/>
  <c r="AB213" i="3"/>
  <c r="AC213" i="3" s="1"/>
  <c r="AB311" i="3"/>
  <c r="AC311" i="3" s="1"/>
  <c r="AB393" i="3"/>
  <c r="AC393" i="3" s="1"/>
  <c r="AB421" i="3"/>
  <c r="AC421" i="3" s="1"/>
  <c r="AB483" i="3"/>
  <c r="AC483" i="3" s="1"/>
  <c r="AB543" i="3"/>
  <c r="AC543" i="3" s="1"/>
  <c r="AB603" i="3"/>
  <c r="AC603" i="3" s="1"/>
  <c r="AB667" i="3"/>
  <c r="AC667" i="3" s="1"/>
  <c r="AB747" i="3"/>
  <c r="AC747" i="3" s="1"/>
  <c r="AB875" i="3"/>
  <c r="AC875" i="3" s="1"/>
  <c r="AB90" i="3"/>
  <c r="AC90" i="3" s="1"/>
  <c r="AB202" i="3"/>
  <c r="AC202" i="3" s="1"/>
  <c r="AB312" i="3"/>
  <c r="AC312" i="3" s="1"/>
  <c r="AB422" i="3"/>
  <c r="AC422" i="3" s="1"/>
  <c r="AB544" i="3"/>
  <c r="AC544" i="3" s="1"/>
  <c r="AB668" i="3"/>
  <c r="AC668" i="3" s="1"/>
  <c r="AB796" i="3"/>
  <c r="AC796" i="3" s="1"/>
  <c r="AB924" i="3"/>
  <c r="AC924" i="3" s="1"/>
  <c r="AB220" i="3"/>
  <c r="AC220" i="3" s="1"/>
  <c r="AB410" i="3"/>
  <c r="AC410" i="3" s="1"/>
  <c r="AB654" i="3"/>
  <c r="AC654" i="3" s="1"/>
  <c r="AB910" i="3"/>
  <c r="AC910" i="3" s="1"/>
  <c r="AB305" i="3"/>
  <c r="AC305" i="3" s="1"/>
  <c r="AB537" i="3"/>
  <c r="AC537" i="3" s="1"/>
  <c r="AB661" i="3"/>
  <c r="AC661" i="3" s="1"/>
  <c r="AB917" i="3"/>
  <c r="AC917" i="3" s="1"/>
  <c r="AB21" i="3"/>
  <c r="AC21" i="3" s="1"/>
  <c r="AB53" i="3"/>
  <c r="AC53" i="3" s="1"/>
  <c r="AB85" i="3"/>
  <c r="AC85" i="3" s="1"/>
  <c r="AB133" i="3"/>
  <c r="AC133" i="3" s="1"/>
  <c r="AB197" i="3"/>
  <c r="AC197" i="3" s="1"/>
  <c r="AB229" i="3"/>
  <c r="AC229" i="3" s="1"/>
  <c r="AB296" i="3"/>
  <c r="AC296" i="3" s="1"/>
  <c r="AB321" i="3"/>
  <c r="AC321" i="3" s="1"/>
  <c r="AB352" i="3"/>
  <c r="AC352" i="3" s="1"/>
  <c r="AB377" i="3"/>
  <c r="AC377" i="3" s="1"/>
  <c r="AB407" i="3"/>
  <c r="AC407" i="3" s="1"/>
  <c r="AB436" i="3"/>
  <c r="AC436" i="3" s="1"/>
  <c r="AB467" i="3"/>
  <c r="AC467" i="3" s="1"/>
  <c r="AB499" i="3"/>
  <c r="AC499" i="3" s="1"/>
  <c r="AB527" i="3"/>
  <c r="AC527" i="3" s="1"/>
  <c r="AB559" i="3"/>
  <c r="AC559" i="3" s="1"/>
  <c r="AB588" i="3"/>
  <c r="AC588" i="3" s="1"/>
  <c r="AB619" i="3"/>
  <c r="AC619" i="3" s="1"/>
  <c r="AB651" i="3"/>
  <c r="AC651" i="3" s="1"/>
  <c r="AB683" i="3"/>
  <c r="AC683" i="3" s="1"/>
  <c r="AB727" i="3"/>
  <c r="AC727" i="3" s="1"/>
  <c r="AB779" i="3"/>
  <c r="AC779" i="3" s="1"/>
  <c r="AB843" i="3"/>
  <c r="AC843" i="3" s="1"/>
  <c r="AB907" i="3"/>
  <c r="AC907" i="3" s="1"/>
  <c r="AB122" i="3"/>
  <c r="AC122" i="3" s="1"/>
  <c r="AB234" i="3"/>
  <c r="AC234" i="3" s="1"/>
  <c r="AB281" i="3"/>
  <c r="AC281" i="3" s="1"/>
  <c r="AB337" i="3"/>
  <c r="AC337" i="3" s="1"/>
  <c r="AB453" i="3"/>
  <c r="AC453" i="3" s="1"/>
  <c r="AB574" i="3"/>
  <c r="AC574" i="3" s="1"/>
  <c r="AB636" i="3"/>
  <c r="AC636" i="3" s="1"/>
  <c r="AB700" i="3"/>
  <c r="AC700" i="3" s="1"/>
  <c r="AB764" i="3"/>
  <c r="AC764" i="3" s="1"/>
  <c r="AB828" i="3"/>
  <c r="AC828" i="3" s="1"/>
  <c r="AB892" i="3"/>
  <c r="AC892" i="3" s="1"/>
  <c r="AB59" i="3"/>
  <c r="AC59" i="3" s="1"/>
  <c r="AB156" i="3"/>
  <c r="AC156" i="3" s="1"/>
  <c r="AB355" i="3"/>
  <c r="AC355" i="3" s="1"/>
  <c r="AB470" i="3"/>
  <c r="AC470" i="3" s="1"/>
  <c r="AB590" i="3"/>
  <c r="AC590" i="3" s="1"/>
  <c r="AB718" i="3"/>
  <c r="AC718" i="3" s="1"/>
  <c r="AB846" i="3"/>
  <c r="AC846" i="3" s="1"/>
  <c r="AB55" i="3"/>
  <c r="AC55" i="3" s="1"/>
  <c r="AB187" i="3"/>
  <c r="AC187" i="3" s="1"/>
  <c r="AB477" i="3"/>
  <c r="AC477" i="3" s="1"/>
  <c r="AB597" i="3"/>
  <c r="AC597" i="3" s="1"/>
  <c r="AB725" i="3"/>
  <c r="AC725" i="3" s="1"/>
  <c r="AB853" i="3"/>
  <c r="AC853" i="3" s="1"/>
  <c r="AB24" i="3"/>
  <c r="AC24" i="3" s="1"/>
  <c r="AB420" i="3"/>
  <c r="AC420" i="3" s="1"/>
  <c r="AB15" i="3"/>
  <c r="AC15" i="3" s="1"/>
  <c r="AB159" i="3"/>
  <c r="AC159" i="3" s="1"/>
  <c r="AB183" i="3"/>
  <c r="AC183" i="3" s="1"/>
  <c r="AB4" i="3"/>
  <c r="AC4" i="3" s="1"/>
  <c r="AB19" i="3"/>
  <c r="AC19" i="3" s="1"/>
  <c r="AB35" i="3"/>
  <c r="AC35" i="3" s="1"/>
  <c r="AB51" i="3"/>
  <c r="AC51" i="3" s="1"/>
  <c r="AB64" i="3"/>
  <c r="AC64" i="3" s="1"/>
  <c r="AB72" i="3"/>
  <c r="AC72" i="3" s="1"/>
  <c r="AB80" i="3"/>
  <c r="AC80" i="3" s="1"/>
  <c r="AB88" i="3"/>
  <c r="AC88" i="3" s="1"/>
  <c r="AB96" i="3"/>
  <c r="AC96" i="3" s="1"/>
  <c r="AB104" i="3"/>
  <c r="AC104" i="3" s="1"/>
  <c r="AB112" i="3"/>
  <c r="AC112" i="3" s="1"/>
  <c r="AB120" i="3"/>
  <c r="AC120" i="3" s="1"/>
  <c r="AB128" i="3"/>
  <c r="AC128" i="3" s="1"/>
  <c r="AB136" i="3"/>
  <c r="AC136" i="3" s="1"/>
  <c r="AB144" i="3"/>
  <c r="AC144" i="3" s="1"/>
  <c r="AB152" i="3"/>
  <c r="AC152" i="3" s="1"/>
  <c r="AB160" i="3"/>
  <c r="AC160" i="3" s="1"/>
  <c r="AB168" i="3"/>
  <c r="AC168" i="3" s="1"/>
  <c r="AB184" i="3"/>
  <c r="AC184" i="3" s="1"/>
  <c r="AB192" i="3"/>
  <c r="AC192" i="3" s="1"/>
  <c r="AB200" i="3"/>
  <c r="AC200" i="3" s="1"/>
  <c r="AB208" i="3"/>
  <c r="AC208" i="3" s="1"/>
  <c r="AB216" i="3"/>
  <c r="AC216" i="3" s="1"/>
  <c r="AB224" i="3"/>
  <c r="AC224" i="3" s="1"/>
  <c r="AB232" i="3"/>
  <c r="AC232" i="3" s="1"/>
  <c r="AB240" i="3"/>
  <c r="AC240" i="3" s="1"/>
  <c r="AB248" i="3"/>
  <c r="AC248" i="3" s="1"/>
  <c r="AB254" i="3"/>
  <c r="AC254" i="3" s="1"/>
  <c r="AB260" i="3"/>
  <c r="AC260" i="3" s="1"/>
  <c r="AB271" i="3"/>
  <c r="AC271" i="3" s="1"/>
  <c r="AB276" i="3"/>
  <c r="AC276" i="3" s="1"/>
  <c r="AB287" i="3"/>
  <c r="AC287" i="3" s="1"/>
  <c r="AB295" i="3"/>
  <c r="AC295" i="3" s="1"/>
  <c r="AB302" i="3"/>
  <c r="AC302" i="3" s="1"/>
  <c r="AB310" i="3"/>
  <c r="AC310" i="3" s="1"/>
  <c r="AB318" i="3"/>
  <c r="AC318" i="3" s="1"/>
  <c r="AB320" i="3"/>
  <c r="AC320" i="3" s="1"/>
  <c r="AB328" i="3"/>
  <c r="AC328" i="3" s="1"/>
  <c r="AB336" i="3"/>
  <c r="AC336" i="3" s="1"/>
  <c r="AB343" i="3"/>
  <c r="AC343" i="3" s="1"/>
  <c r="AB351" i="3"/>
  <c r="AC351" i="3" s="1"/>
  <c r="AB358" i="3"/>
  <c r="AC358" i="3" s="1"/>
  <c r="AB361" i="3"/>
  <c r="AC361" i="3" s="1"/>
  <c r="AB368" i="3"/>
  <c r="AC368" i="3" s="1"/>
  <c r="AB376" i="3"/>
  <c r="AC376" i="3" s="1"/>
  <c r="AB384" i="3"/>
  <c r="AC384" i="3" s="1"/>
  <c r="AB392" i="3"/>
  <c r="AC392" i="3" s="1"/>
  <c r="AB399" i="3"/>
  <c r="AC399" i="3" s="1"/>
  <c r="AB413" i="3"/>
  <c r="AC413" i="3" s="1"/>
  <c r="AB428" i="3"/>
  <c r="AC428" i="3" s="1"/>
  <c r="AB435" i="3"/>
  <c r="AC435" i="3" s="1"/>
  <c r="AB443" i="3"/>
  <c r="AC443" i="3" s="1"/>
  <c r="AB451" i="3"/>
  <c r="AC451" i="3" s="1"/>
  <c r="AB466" i="3"/>
  <c r="AC466" i="3" s="1"/>
  <c r="AB474" i="3"/>
  <c r="AC474" i="3" s="1"/>
  <c r="AB482" i="3"/>
  <c r="AC482" i="3" s="1"/>
  <c r="AB490" i="3"/>
  <c r="AC490" i="3" s="1"/>
  <c r="AB498" i="3"/>
  <c r="AC498" i="3" s="1"/>
  <c r="AB506" i="3"/>
  <c r="AC506" i="3" s="1"/>
  <c r="AB518" i="3"/>
  <c r="AC518" i="3" s="1"/>
  <c r="AB526" i="3"/>
  <c r="AC526" i="3" s="1"/>
  <c r="AB534" i="3"/>
  <c r="AC534" i="3" s="1"/>
  <c r="AB542" i="3"/>
  <c r="AC542" i="3" s="1"/>
  <c r="AB550" i="3"/>
  <c r="AC550" i="3" s="1"/>
  <c r="AB558" i="3"/>
  <c r="AC558" i="3" s="1"/>
  <c r="AB565" i="3"/>
  <c r="AC565" i="3" s="1"/>
  <c r="AB572" i="3"/>
  <c r="AC572" i="3" s="1"/>
  <c r="AB579" i="3"/>
  <c r="AC579" i="3" s="1"/>
  <c r="AB587" i="3"/>
  <c r="AC587" i="3" s="1"/>
  <c r="AB594" i="3"/>
  <c r="AC594" i="3" s="1"/>
  <c r="AB602" i="3"/>
  <c r="AC602" i="3" s="1"/>
  <c r="AB610" i="3"/>
  <c r="AC610" i="3" s="1"/>
  <c r="AB618" i="3"/>
  <c r="AC618" i="3" s="1"/>
  <c r="AB626" i="3"/>
  <c r="AC626" i="3" s="1"/>
  <c r="AB634" i="3"/>
  <c r="AC634" i="3" s="1"/>
  <c r="AB642" i="3"/>
  <c r="AC642" i="3" s="1"/>
  <c r="AB650" i="3"/>
  <c r="AC650" i="3" s="1"/>
  <c r="AB658" i="3"/>
  <c r="AC658" i="3" s="1"/>
  <c r="AB666" i="3"/>
  <c r="AC666" i="3" s="1"/>
  <c r="AB674" i="3"/>
  <c r="AC674" i="3" s="1"/>
  <c r="AB682" i="3"/>
  <c r="AC682" i="3" s="1"/>
  <c r="AB690" i="3"/>
  <c r="AC690" i="3" s="1"/>
  <c r="AB698" i="3"/>
  <c r="AC698" i="3" s="1"/>
  <c r="AB706" i="3"/>
  <c r="AC706" i="3" s="1"/>
  <c r="AB714" i="3"/>
  <c r="AC714" i="3" s="1"/>
  <c r="AB722" i="3"/>
  <c r="AC722" i="3" s="1"/>
  <c r="AB730" i="3"/>
  <c r="AC730" i="3" s="1"/>
  <c r="AB738" i="3"/>
  <c r="AC738" i="3" s="1"/>
  <c r="AB746" i="3"/>
  <c r="AC746" i="3" s="1"/>
  <c r="AB754" i="3"/>
  <c r="AC754" i="3" s="1"/>
  <c r="AB762" i="3"/>
  <c r="AC762" i="3" s="1"/>
  <c r="AB770" i="3"/>
  <c r="AC770" i="3" s="1"/>
  <c r="AB778" i="3"/>
  <c r="AC778" i="3" s="1"/>
  <c r="AB786" i="3"/>
  <c r="AC786" i="3" s="1"/>
  <c r="AB794" i="3"/>
  <c r="AC794" i="3" s="1"/>
  <c r="AB802" i="3"/>
  <c r="AC802" i="3" s="1"/>
  <c r="AB810" i="3"/>
  <c r="AC810" i="3" s="1"/>
  <c r="AB818" i="3"/>
  <c r="AC818" i="3" s="1"/>
  <c r="AB826" i="3"/>
  <c r="AC826" i="3" s="1"/>
  <c r="AB834" i="3"/>
  <c r="AC834" i="3" s="1"/>
  <c r="AB842" i="3"/>
  <c r="AC842" i="3" s="1"/>
  <c r="AB850" i="3"/>
  <c r="AC850" i="3" s="1"/>
  <c r="AB858" i="3"/>
  <c r="AC858" i="3" s="1"/>
  <c r="AB866" i="3"/>
  <c r="AC866" i="3" s="1"/>
  <c r="AB874" i="3"/>
  <c r="AC874" i="3" s="1"/>
  <c r="AB882" i="3"/>
  <c r="AC882" i="3" s="1"/>
  <c r="AB890" i="3"/>
  <c r="AC890" i="3" s="1"/>
  <c r="AB898" i="3"/>
  <c r="AC898" i="3" s="1"/>
  <c r="AB906" i="3"/>
  <c r="AC906" i="3" s="1"/>
  <c r="AB914" i="3"/>
  <c r="AC914" i="3" s="1"/>
  <c r="AB922" i="3"/>
  <c r="AC922" i="3" s="1"/>
  <c r="AB930" i="3"/>
  <c r="AC930" i="3" s="1"/>
  <c r="AB938" i="3"/>
  <c r="AC938" i="3" s="1"/>
  <c r="AB31" i="3"/>
  <c r="AC31" i="3" s="1"/>
  <c r="AB47" i="3"/>
  <c r="AC47" i="3" s="1"/>
  <c r="AB63" i="3"/>
  <c r="AC63" i="3" s="1"/>
  <c r="AB71" i="3"/>
  <c r="AC71" i="3" s="1"/>
  <c r="AB79" i="3"/>
  <c r="AC79" i="3" s="1"/>
  <c r="AB87" i="3"/>
  <c r="AC87" i="3" s="1"/>
  <c r="AB95" i="3"/>
  <c r="AC95" i="3" s="1"/>
  <c r="AB103" i="3"/>
  <c r="AC103" i="3" s="1"/>
  <c r="AB111" i="3"/>
  <c r="AC111" i="3" s="1"/>
  <c r="AB119" i="3"/>
  <c r="AC119" i="3" s="1"/>
  <c r="AB127" i="3"/>
  <c r="AC127" i="3" s="1"/>
  <c r="AB135" i="3"/>
  <c r="AC135" i="3" s="1"/>
  <c r="AB143" i="3"/>
  <c r="AC143" i="3" s="1"/>
  <c r="AB151" i="3"/>
  <c r="AC151" i="3" s="1"/>
  <c r="AB167" i="3"/>
  <c r="AC167" i="3" s="1"/>
  <c r="AB175" i="3"/>
  <c r="AC175" i="3" s="1"/>
  <c r="AB191" i="3"/>
  <c r="AC191" i="3" s="1"/>
  <c r="AB199" i="3"/>
  <c r="AC199" i="3" s="1"/>
  <c r="AB223" i="3"/>
  <c r="AC223" i="3" s="1"/>
  <c r="AB247" i="3"/>
  <c r="AC247" i="3" s="1"/>
  <c r="AB270" i="3"/>
  <c r="AC270" i="3" s="1"/>
  <c r="AB294" i="3"/>
  <c r="AC294" i="3" s="1"/>
  <c r="AB350" i="3"/>
  <c r="AC350" i="3" s="1"/>
  <c r="AB375" i="3"/>
  <c r="AC375" i="3" s="1"/>
  <c r="AB406" i="3"/>
  <c r="AC406" i="3" s="1"/>
  <c r="AB465" i="3"/>
  <c r="AC465" i="3" s="1"/>
  <c r="AB497" i="3"/>
  <c r="AC497" i="3" s="1"/>
  <c r="AB525" i="3"/>
  <c r="AC525" i="3" s="1"/>
  <c r="AB557" i="3"/>
  <c r="AC557" i="3" s="1"/>
  <c r="AB586" i="3"/>
  <c r="AC586" i="3" s="1"/>
  <c r="AB617" i="3"/>
  <c r="AC617" i="3" s="1"/>
  <c r="AB649" i="3"/>
  <c r="AC649" i="3" s="1"/>
  <c r="AB681" i="3"/>
  <c r="AC681" i="3" s="1"/>
  <c r="AB713" i="3"/>
  <c r="AC713" i="3" s="1"/>
  <c r="AB745" i="3"/>
  <c r="AC745" i="3" s="1"/>
  <c r="AB777" i="3"/>
  <c r="AC777" i="3" s="1"/>
  <c r="AB809" i="3"/>
  <c r="AC809" i="3" s="1"/>
  <c r="AB841" i="3"/>
  <c r="AC841" i="3" s="1"/>
  <c r="AB873" i="3"/>
  <c r="AC873" i="3" s="1"/>
  <c r="AB905" i="3"/>
  <c r="AC905" i="3" s="1"/>
  <c r="AB937" i="3"/>
  <c r="AC937" i="3" s="1"/>
  <c r="AB215" i="3"/>
  <c r="AC215" i="3" s="1"/>
  <c r="AB267" i="3"/>
  <c r="AC267" i="3" s="1"/>
  <c r="AB286" i="3"/>
  <c r="AC286" i="3" s="1"/>
  <c r="AB317" i="3"/>
  <c r="AC317" i="3" s="1"/>
  <c r="AB342" i="3"/>
  <c r="AC342" i="3" s="1"/>
  <c r="AB367" i="3"/>
  <c r="AC367" i="3" s="1"/>
  <c r="AB398" i="3"/>
  <c r="AC398" i="3" s="1"/>
  <c r="AB427" i="3"/>
  <c r="AC427" i="3" s="1"/>
  <c r="AB458" i="3"/>
  <c r="AC458" i="3" s="1"/>
  <c r="AB517" i="3"/>
  <c r="AC517" i="3" s="1"/>
  <c r="AB549" i="3"/>
  <c r="AC549" i="3" s="1"/>
  <c r="AB609" i="3"/>
  <c r="AC609" i="3" s="1"/>
  <c r="AB673" i="3"/>
  <c r="AC673" i="3" s="1"/>
  <c r="AB737" i="3"/>
  <c r="AC737" i="3" s="1"/>
  <c r="AB801" i="3"/>
  <c r="AC801" i="3" s="1"/>
  <c r="AB865" i="3"/>
  <c r="AC865" i="3" s="1"/>
  <c r="AB929" i="3"/>
  <c r="AC929" i="3" s="1"/>
  <c r="AB239" i="3"/>
  <c r="AC239" i="3" s="1"/>
  <c r="AB259" i="3"/>
  <c r="AC259" i="3" s="1"/>
  <c r="AB335" i="3"/>
  <c r="AC335" i="3" s="1"/>
  <c r="AB391" i="3"/>
  <c r="AC391" i="3" s="1"/>
  <c r="AB450" i="3"/>
  <c r="AC450" i="3" s="1"/>
  <c r="AB513" i="3"/>
  <c r="AC513" i="3" s="1"/>
  <c r="AB571" i="3"/>
  <c r="AC571" i="3" s="1"/>
  <c r="AB665" i="3"/>
  <c r="AC665" i="3" s="1"/>
  <c r="AB729" i="3"/>
  <c r="AC729" i="3" s="1"/>
  <c r="AB793" i="3"/>
  <c r="AC793" i="3" s="1"/>
  <c r="AB857" i="3"/>
  <c r="AC857" i="3" s="1"/>
  <c r="AB921" i="3"/>
  <c r="AC921" i="3" s="1"/>
  <c r="AB231" i="3"/>
  <c r="AC231" i="3" s="1"/>
  <c r="AB253" i="3"/>
  <c r="AC253" i="3" s="1"/>
  <c r="AB327" i="3"/>
  <c r="AC327" i="3" s="1"/>
  <c r="AB383" i="3"/>
  <c r="AC383" i="3" s="1"/>
  <c r="AB412" i="3"/>
  <c r="AC412" i="3" s="1"/>
  <c r="AB442" i="3"/>
  <c r="AC442" i="3" s="1"/>
  <c r="AB473" i="3"/>
  <c r="AC473" i="3" s="1"/>
  <c r="AB505" i="3"/>
  <c r="AC505" i="3" s="1"/>
  <c r="AB533" i="3"/>
  <c r="AC533" i="3" s="1"/>
  <c r="AB564" i="3"/>
  <c r="AC564" i="3" s="1"/>
  <c r="AB593" i="3"/>
  <c r="AC593" i="3" s="1"/>
  <c r="AB625" i="3"/>
  <c r="AC625" i="3" s="1"/>
  <c r="AB657" i="3"/>
  <c r="AC657" i="3" s="1"/>
  <c r="AB689" i="3"/>
  <c r="AC689" i="3" s="1"/>
  <c r="AB721" i="3"/>
  <c r="AC721" i="3" s="1"/>
  <c r="AB753" i="3"/>
  <c r="AC753" i="3" s="1"/>
  <c r="AB785" i="3"/>
  <c r="AC785" i="3" s="1"/>
  <c r="AB817" i="3"/>
  <c r="AC817" i="3" s="1"/>
  <c r="AB849" i="3"/>
  <c r="AC849" i="3" s="1"/>
  <c r="AB881" i="3"/>
  <c r="AC881" i="3" s="1"/>
  <c r="AB913" i="3"/>
  <c r="AC913" i="3" s="1"/>
  <c r="AB489" i="3"/>
  <c r="AC489" i="3" s="1"/>
  <c r="AB578" i="3"/>
  <c r="AC578" i="3" s="1"/>
  <c r="AB641" i="3"/>
  <c r="AC641" i="3" s="1"/>
  <c r="AB705" i="3"/>
  <c r="AC705" i="3" s="1"/>
  <c r="AB769" i="3"/>
  <c r="AC769" i="3" s="1"/>
  <c r="AB833" i="3"/>
  <c r="AC833" i="3" s="1"/>
  <c r="AB897" i="3"/>
  <c r="AC897" i="3" s="1"/>
  <c r="AB309" i="3"/>
  <c r="AC309" i="3" s="1"/>
  <c r="AB360" i="3"/>
  <c r="AC360" i="3" s="1"/>
  <c r="AB419" i="3"/>
  <c r="AC419" i="3" s="1"/>
  <c r="AB481" i="3"/>
  <c r="AC481" i="3" s="1"/>
  <c r="AB541" i="3"/>
  <c r="AC541" i="3" s="1"/>
  <c r="AB601" i="3"/>
  <c r="AC601" i="3" s="1"/>
  <c r="AB633" i="3"/>
  <c r="AC633" i="3" s="1"/>
  <c r="AB697" i="3"/>
  <c r="AC697" i="3" s="1"/>
  <c r="AB761" i="3"/>
  <c r="AC761" i="3" s="1"/>
  <c r="AB825" i="3"/>
  <c r="AC825" i="3" s="1"/>
  <c r="AB889" i="3"/>
  <c r="AC889" i="3" s="1"/>
  <c r="AB2" i="3"/>
  <c r="AC2" i="3" s="1"/>
  <c r="AB17" i="3"/>
  <c r="AC17" i="3" s="1"/>
  <c r="AB33" i="3"/>
  <c r="AC33" i="3" s="1"/>
  <c r="AB49" i="3"/>
  <c r="AC49" i="3" s="1"/>
  <c r="AB65" i="3"/>
  <c r="AC65" i="3" s="1"/>
  <c r="AB81" i="3"/>
  <c r="AC81" i="3" s="1"/>
  <c r="AB97" i="3"/>
  <c r="AC97" i="3" s="1"/>
  <c r="AB145" i="3"/>
  <c r="AC145" i="3" s="1"/>
  <c r="AB161" i="3"/>
  <c r="AC161" i="3" s="1"/>
  <c r="AB177" i="3"/>
  <c r="AC177" i="3" s="1"/>
  <c r="AB193" i="3"/>
  <c r="AC193" i="3" s="1"/>
  <c r="AB209" i="3"/>
  <c r="AC209" i="3" s="1"/>
  <c r="AB225" i="3"/>
  <c r="AC225" i="3" s="1"/>
  <c r="AB255" i="3"/>
  <c r="AC255" i="3" s="1"/>
  <c r="AB277" i="3"/>
  <c r="AC277" i="3" s="1"/>
  <c r="AB288" i="3"/>
  <c r="AC288" i="3" s="1"/>
  <c r="AB303" i="3"/>
  <c r="AC303" i="3" s="1"/>
  <c r="AB319" i="3"/>
  <c r="AC319" i="3" s="1"/>
  <c r="AB329" i="3"/>
  <c r="AC329" i="3" s="1"/>
  <c r="AB344" i="3"/>
  <c r="AC344" i="3" s="1"/>
  <c r="AB359" i="3"/>
  <c r="AC359" i="3" s="1"/>
  <c r="AB369" i="3"/>
  <c r="AC369" i="3" s="1"/>
  <c r="AB385" i="3"/>
  <c r="AC385" i="3" s="1"/>
  <c r="AB400" i="3"/>
  <c r="AC400" i="3" s="1"/>
  <c r="AB414" i="3"/>
  <c r="AC414" i="3" s="1"/>
  <c r="AB429" i="3"/>
  <c r="AC429" i="3" s="1"/>
  <c r="AB444" i="3"/>
  <c r="AC444" i="3" s="1"/>
  <c r="AB459" i="3"/>
  <c r="AC459" i="3" s="1"/>
  <c r="AB475" i="3"/>
  <c r="AC475" i="3" s="1"/>
  <c r="AB491" i="3"/>
  <c r="AC491" i="3" s="1"/>
  <c r="AB507" i="3"/>
  <c r="AC507" i="3" s="1"/>
  <c r="AB519" i="3"/>
  <c r="AC519" i="3" s="1"/>
  <c r="AB535" i="3"/>
  <c r="AC535" i="3" s="1"/>
  <c r="AB551" i="3"/>
  <c r="AC551" i="3" s="1"/>
  <c r="AB580" i="3"/>
  <c r="AC580" i="3" s="1"/>
  <c r="AB595" i="3"/>
  <c r="AC595" i="3" s="1"/>
  <c r="AB611" i="3"/>
  <c r="AC611" i="3" s="1"/>
  <c r="AB627" i="3"/>
  <c r="AC627" i="3" s="1"/>
  <c r="AB643" i="3"/>
  <c r="AC643" i="3" s="1"/>
  <c r="AB659" i="3"/>
  <c r="AC659" i="3" s="1"/>
  <c r="AB675" i="3"/>
  <c r="AC675" i="3" s="1"/>
  <c r="AB691" i="3"/>
  <c r="AC691" i="3" s="1"/>
  <c r="AB707" i="3"/>
  <c r="AC707" i="3" s="1"/>
  <c r="AB723" i="3"/>
  <c r="AC723" i="3" s="1"/>
  <c r="AB739" i="3"/>
  <c r="AC739" i="3" s="1"/>
  <c r="AB755" i="3"/>
  <c r="AC755" i="3" s="1"/>
  <c r="AB771" i="3"/>
  <c r="AC771" i="3" s="1"/>
  <c r="AB787" i="3"/>
  <c r="AC787" i="3" s="1"/>
  <c r="AB803" i="3"/>
  <c r="AC803" i="3" s="1"/>
  <c r="AB819" i="3"/>
  <c r="AC819" i="3" s="1"/>
  <c r="AB835" i="3"/>
  <c r="AC835" i="3" s="1"/>
  <c r="AB851" i="3"/>
  <c r="AC851" i="3" s="1"/>
  <c r="AB867" i="3"/>
  <c r="AC867" i="3" s="1"/>
  <c r="AB883" i="3"/>
  <c r="AC883" i="3" s="1"/>
  <c r="AB899" i="3"/>
  <c r="AC899" i="3" s="1"/>
  <c r="AB915" i="3"/>
  <c r="AC915" i="3" s="1"/>
  <c r="AB931" i="3"/>
  <c r="AC931" i="3" s="1"/>
  <c r="AB3" i="3"/>
  <c r="AC3" i="3" s="1"/>
  <c r="AB18" i="3"/>
  <c r="AC18" i="3" s="1"/>
  <c r="AB34" i="3"/>
  <c r="AC34" i="3" s="1"/>
  <c r="AB50" i="3"/>
  <c r="AC50" i="3" s="1"/>
  <c r="AB66" i="3"/>
  <c r="AC66" i="3" s="1"/>
  <c r="AB82" i="3"/>
  <c r="AC82" i="3" s="1"/>
  <c r="AB98" i="3"/>
  <c r="AC98" i="3" s="1"/>
  <c r="AB114" i="3"/>
  <c r="AC114" i="3" s="1"/>
  <c r="AB130" i="3"/>
  <c r="AC130" i="3" s="1"/>
  <c r="AB146" i="3"/>
  <c r="AC146" i="3" s="1"/>
  <c r="AB162" i="3"/>
  <c r="AC162" i="3" s="1"/>
  <c r="AB178" i="3"/>
  <c r="AC178" i="3" s="1"/>
  <c r="AB194" i="3"/>
  <c r="AC194" i="3" s="1"/>
  <c r="AB210" i="3"/>
  <c r="AC210" i="3" s="1"/>
  <c r="AB226" i="3"/>
  <c r="AC226" i="3" s="1"/>
  <c r="AB242" i="3"/>
  <c r="AC242" i="3" s="1"/>
  <c r="AB256" i="3"/>
  <c r="AC256" i="3" s="1"/>
  <c r="AB278" i="3"/>
  <c r="AC278" i="3" s="1"/>
  <c r="AB289" i="3"/>
  <c r="AC289" i="3" s="1"/>
  <c r="AB304" i="3"/>
  <c r="AC304" i="3" s="1"/>
  <c r="AB330" i="3"/>
  <c r="AC330" i="3" s="1"/>
  <c r="AB345" i="3"/>
  <c r="AC345" i="3" s="1"/>
  <c r="AB370" i="3"/>
  <c r="AC370" i="3" s="1"/>
  <c r="AB386" i="3"/>
  <c r="AC386" i="3" s="1"/>
  <c r="AB401" i="3"/>
  <c r="AC401" i="3" s="1"/>
  <c r="AB415" i="3"/>
  <c r="AC415" i="3" s="1"/>
  <c r="AB430" i="3"/>
  <c r="AC430" i="3" s="1"/>
  <c r="AB445" i="3"/>
  <c r="AC445" i="3" s="1"/>
  <c r="AB460" i="3"/>
  <c r="AC460" i="3" s="1"/>
  <c r="AB476" i="3"/>
  <c r="AC476" i="3" s="1"/>
  <c r="AB492" i="3"/>
  <c r="AC492" i="3" s="1"/>
  <c r="AB508" i="3"/>
  <c r="AC508" i="3" s="1"/>
  <c r="AB520" i="3"/>
  <c r="AC520" i="3" s="1"/>
  <c r="AB536" i="3"/>
  <c r="AC536" i="3" s="1"/>
  <c r="AB552" i="3"/>
  <c r="AC552" i="3" s="1"/>
  <c r="AB566" i="3"/>
  <c r="AC566" i="3" s="1"/>
  <c r="AB581" i="3"/>
  <c r="AC581" i="3" s="1"/>
  <c r="AB596" i="3"/>
  <c r="AC596" i="3" s="1"/>
  <c r="AB612" i="3"/>
  <c r="AC612" i="3" s="1"/>
  <c r="AB628" i="3"/>
  <c r="AC628" i="3" s="1"/>
  <c r="AB644" i="3"/>
  <c r="AC644" i="3" s="1"/>
  <c r="AB660" i="3"/>
  <c r="AC660" i="3" s="1"/>
  <c r="AB676" i="3"/>
  <c r="AC676" i="3" s="1"/>
  <c r="AB692" i="3"/>
  <c r="AC692" i="3" s="1"/>
  <c r="AB708" i="3"/>
  <c r="AC708" i="3" s="1"/>
  <c r="AB724" i="3"/>
  <c r="AC724" i="3" s="1"/>
  <c r="AB740" i="3"/>
  <c r="AC740" i="3" s="1"/>
  <c r="AB756" i="3"/>
  <c r="AC756" i="3" s="1"/>
  <c r="AB772" i="3"/>
  <c r="AC772" i="3" s="1"/>
  <c r="AB788" i="3"/>
  <c r="AC788" i="3" s="1"/>
  <c r="AB804" i="3"/>
  <c r="AC804" i="3" s="1"/>
  <c r="AB820" i="3"/>
  <c r="AC820" i="3" s="1"/>
  <c r="AB836" i="3"/>
  <c r="AC836" i="3" s="1"/>
  <c r="AB852" i="3"/>
  <c r="AC852" i="3" s="1"/>
  <c r="AB868" i="3"/>
  <c r="AC868" i="3" s="1"/>
  <c r="AB884" i="3"/>
  <c r="AC884" i="3" s="1"/>
  <c r="AB900" i="3"/>
  <c r="AC900" i="3" s="1"/>
  <c r="AB916" i="3"/>
  <c r="AC916" i="3" s="1"/>
  <c r="AB932" i="3"/>
  <c r="AC932" i="3" s="1"/>
  <c r="AB27" i="3"/>
  <c r="AC27" i="3" s="1"/>
  <c r="AB76" i="3"/>
  <c r="AC76" i="3" s="1"/>
  <c r="AB108" i="3"/>
  <c r="AC108" i="3" s="1"/>
  <c r="AB172" i="3"/>
  <c r="AC172" i="3" s="1"/>
  <c r="AB204" i="3"/>
  <c r="AC204" i="3" s="1"/>
  <c r="AB236" i="3"/>
  <c r="AC236" i="3" s="1"/>
  <c r="AB264" i="3"/>
  <c r="AC264" i="3" s="1"/>
  <c r="AB314" i="3"/>
  <c r="AC314" i="3" s="1"/>
  <c r="AB339" i="3"/>
  <c r="AC339" i="3" s="1"/>
  <c r="AB364" i="3"/>
  <c r="AC364" i="3" s="1"/>
  <c r="AB395" i="3"/>
  <c r="AC395" i="3" s="1"/>
  <c r="AB424" i="3"/>
  <c r="AC424" i="3" s="1"/>
  <c r="AB455" i="3"/>
  <c r="AC455" i="3" s="1"/>
  <c r="AB486" i="3"/>
  <c r="AC486" i="3" s="1"/>
  <c r="AB514" i="3"/>
  <c r="AC514" i="3" s="1"/>
  <c r="AB546" i="3"/>
  <c r="AC546" i="3" s="1"/>
  <c r="AB575" i="3"/>
  <c r="AC575" i="3" s="1"/>
  <c r="AB606" i="3"/>
  <c r="AC606" i="3" s="1"/>
  <c r="AB638" i="3"/>
  <c r="AC638" i="3" s="1"/>
  <c r="AB670" i="3"/>
  <c r="AC670" i="3" s="1"/>
  <c r="AB702" i="3"/>
  <c r="AC702" i="3" s="1"/>
  <c r="AB734" i="3"/>
  <c r="AC734" i="3" s="1"/>
  <c r="AB766" i="3"/>
  <c r="AC766" i="3" s="1"/>
  <c r="AB798" i="3"/>
  <c r="AC798" i="3" s="1"/>
  <c r="AB830" i="3"/>
  <c r="AC830" i="3" s="1"/>
  <c r="AB862" i="3"/>
  <c r="AC862" i="3" s="1"/>
  <c r="AB894" i="3"/>
  <c r="AC894" i="3" s="1"/>
  <c r="AB926" i="3"/>
  <c r="AC926" i="3" s="1"/>
  <c r="AB23" i="3"/>
  <c r="AC23" i="3" s="1"/>
  <c r="AB75" i="3"/>
  <c r="AC75" i="3" s="1"/>
  <c r="AB107" i="3"/>
  <c r="AC107" i="3" s="1"/>
  <c r="AB139" i="3"/>
  <c r="AC139" i="3" s="1"/>
  <c r="AB171" i="3"/>
  <c r="AC171" i="3" s="1"/>
  <c r="AB203" i="3"/>
  <c r="AC203" i="3" s="1"/>
  <c r="AB235" i="3"/>
  <c r="AC235" i="3" s="1"/>
  <c r="AB290" i="3"/>
  <c r="AC290" i="3" s="1"/>
  <c r="AB346" i="3"/>
  <c r="AC346" i="3" s="1"/>
  <c r="AB371" i="3"/>
  <c r="AC371" i="3" s="1"/>
  <c r="AB402" i="3"/>
  <c r="AC402" i="3" s="1"/>
  <c r="AB431" i="3"/>
  <c r="AC431" i="3" s="1"/>
  <c r="AB461" i="3"/>
  <c r="AC461" i="3" s="1"/>
  <c r="AB493" i="3"/>
  <c r="AC493" i="3" s="1"/>
  <c r="AB553" i="3"/>
  <c r="AC553" i="3" s="1"/>
  <c r="AB582" i="3"/>
  <c r="AC582" i="3" s="1"/>
  <c r="AB613" i="3"/>
  <c r="AC613" i="3" s="1"/>
  <c r="AB645" i="3"/>
  <c r="AC645" i="3" s="1"/>
  <c r="AB677" i="3"/>
  <c r="AC677" i="3" s="1"/>
  <c r="AB709" i="3"/>
  <c r="AC709" i="3" s="1"/>
  <c r="AB741" i="3"/>
  <c r="AC741" i="3" s="1"/>
  <c r="AB773" i="3"/>
  <c r="AC773" i="3" s="1"/>
  <c r="AB805" i="3"/>
  <c r="AC805" i="3" s="1"/>
  <c r="AB837" i="3"/>
  <c r="AC837" i="3" s="1"/>
  <c r="AB869" i="3"/>
  <c r="AC869" i="3" s="1"/>
  <c r="AB901" i="3"/>
  <c r="AC901" i="3" s="1"/>
  <c r="AB933" i="3"/>
  <c r="AC933" i="3" s="1"/>
  <c r="AB40" i="3"/>
  <c r="AC40" i="3" s="1"/>
  <c r="AB9" i="3"/>
  <c r="AC9" i="3" s="1"/>
  <c r="AB44" i="3"/>
  <c r="AC44" i="3" s="1"/>
  <c r="AB12" i="3"/>
  <c r="AC12" i="3" s="1"/>
  <c r="AB13" i="3"/>
  <c r="AC13" i="3" s="1"/>
  <c r="AB29" i="3"/>
  <c r="AC29" i="3" s="1"/>
  <c r="AB45" i="3"/>
  <c r="AC45" i="3" s="1"/>
  <c r="AB61" i="3"/>
  <c r="AC61" i="3" s="1"/>
  <c r="AB77" i="3"/>
  <c r="AC77" i="3" s="1"/>
  <c r="AB93" i="3"/>
  <c r="AC93" i="3" s="1"/>
  <c r="AB109" i="3"/>
  <c r="AC109" i="3" s="1"/>
  <c r="AB125" i="3"/>
  <c r="AC125" i="3" s="1"/>
  <c r="AB141" i="3"/>
  <c r="AC141" i="3" s="1"/>
  <c r="AB157" i="3"/>
  <c r="AC157" i="3" s="1"/>
  <c r="AB173" i="3"/>
  <c r="AC173" i="3" s="1"/>
  <c r="AB189" i="3"/>
  <c r="AC189" i="3" s="1"/>
  <c r="AB205" i="3"/>
  <c r="AC205" i="3" s="1"/>
  <c r="AB221" i="3"/>
  <c r="AC221" i="3" s="1"/>
  <c r="AB237" i="3"/>
  <c r="AC237" i="3" s="1"/>
  <c r="AB252" i="3"/>
  <c r="AC252" i="3" s="1"/>
  <c r="AB265" i="3"/>
  <c r="AC265" i="3" s="1"/>
  <c r="AB273" i="3"/>
  <c r="AC273" i="3" s="1"/>
  <c r="AB284" i="3"/>
  <c r="AC284" i="3" s="1"/>
  <c r="AB300" i="3"/>
  <c r="AC300" i="3" s="1"/>
  <c r="AB315" i="3"/>
  <c r="AC315" i="3" s="1"/>
  <c r="AB325" i="3"/>
  <c r="AC325" i="3" s="1"/>
  <c r="AB340" i="3"/>
  <c r="AC340" i="3" s="1"/>
  <c r="AB356" i="3"/>
  <c r="AC356" i="3" s="1"/>
  <c r="AB365" i="3"/>
  <c r="AC365" i="3" s="1"/>
  <c r="AB381" i="3"/>
  <c r="AC381" i="3" s="1"/>
  <c r="AB396" i="3"/>
  <c r="AC396" i="3" s="1"/>
  <c r="AB425" i="3"/>
  <c r="AC425" i="3" s="1"/>
  <c r="AB440" i="3"/>
  <c r="AC440" i="3" s="1"/>
  <c r="AB456" i="3"/>
  <c r="AC456" i="3" s="1"/>
  <c r="AB471" i="3"/>
  <c r="AC471" i="3" s="1"/>
  <c r="AB487" i="3"/>
  <c r="AC487" i="3" s="1"/>
  <c r="AB503" i="3"/>
  <c r="AC503" i="3" s="1"/>
  <c r="AB515" i="3"/>
  <c r="AC515" i="3" s="1"/>
  <c r="AB531" i="3"/>
  <c r="AC531" i="3" s="1"/>
  <c r="AB547" i="3"/>
  <c r="AC547" i="3" s="1"/>
  <c r="AB562" i="3"/>
  <c r="AC562" i="3" s="1"/>
  <c r="AB576" i="3"/>
  <c r="AC576" i="3" s="1"/>
  <c r="AB591" i="3"/>
  <c r="AC591" i="3" s="1"/>
  <c r="AB607" i="3"/>
  <c r="AC607" i="3" s="1"/>
  <c r="AB623" i="3"/>
  <c r="AC623" i="3" s="1"/>
  <c r="AB639" i="3"/>
  <c r="AC639" i="3" s="1"/>
  <c r="AB655" i="3"/>
  <c r="AC655" i="3" s="1"/>
  <c r="AB671" i="3"/>
  <c r="AC671" i="3" s="1"/>
  <c r="AB687" i="3"/>
  <c r="AC687" i="3" s="1"/>
  <c r="AB703" i="3"/>
  <c r="AC703" i="3" s="1"/>
  <c r="AB719" i="3"/>
  <c r="AC719" i="3" s="1"/>
  <c r="AB735" i="3"/>
  <c r="AC735" i="3" s="1"/>
  <c r="AB751" i="3"/>
  <c r="AC751" i="3" s="1"/>
  <c r="AB767" i="3"/>
  <c r="AC767" i="3" s="1"/>
  <c r="AB783" i="3"/>
  <c r="AC783" i="3" s="1"/>
  <c r="AB799" i="3"/>
  <c r="AC799" i="3" s="1"/>
  <c r="AB815" i="3"/>
  <c r="AC815" i="3" s="1"/>
  <c r="AB831" i="3"/>
  <c r="AC831" i="3" s="1"/>
  <c r="AB847" i="3"/>
  <c r="AC847" i="3" s="1"/>
  <c r="AB863" i="3"/>
  <c r="AC863" i="3" s="1"/>
  <c r="AB879" i="3"/>
  <c r="AC879" i="3" s="1"/>
  <c r="AB895" i="3"/>
  <c r="AC895" i="3" s="1"/>
  <c r="AB911" i="3"/>
  <c r="AC911" i="3" s="1"/>
  <c r="AB927" i="3"/>
  <c r="AC927" i="3" s="1"/>
  <c r="AB14" i="3"/>
  <c r="AC14" i="3" s="1"/>
  <c r="AB30" i="3"/>
  <c r="AC30" i="3" s="1"/>
  <c r="AB78" i="3"/>
  <c r="AC78" i="3" s="1"/>
  <c r="AB110" i="3"/>
  <c r="AC110" i="3" s="1"/>
  <c r="AB126" i="3"/>
  <c r="AC126" i="3" s="1"/>
  <c r="AB142" i="3"/>
  <c r="AC142" i="3" s="1"/>
  <c r="AB158" i="3"/>
  <c r="AC158" i="3" s="1"/>
  <c r="AB174" i="3"/>
  <c r="AC174" i="3" s="1"/>
  <c r="AB190" i="3"/>
  <c r="AC190" i="3" s="1"/>
  <c r="AB206" i="3"/>
  <c r="AC206" i="3" s="1"/>
  <c r="AB222" i="3"/>
  <c r="AC222" i="3" s="1"/>
  <c r="AB238" i="3"/>
  <c r="AC238" i="3" s="1"/>
  <c r="AB266" i="3"/>
  <c r="AC266" i="3" s="1"/>
  <c r="AB274" i="3"/>
  <c r="AC274" i="3" s="1"/>
  <c r="AB285" i="3"/>
  <c r="AC285" i="3" s="1"/>
  <c r="AB301" i="3"/>
  <c r="AC301" i="3" s="1"/>
  <c r="AB316" i="3"/>
  <c r="AC316" i="3" s="1"/>
  <c r="AB326" i="3"/>
  <c r="AC326" i="3" s="1"/>
  <c r="AB341" i="3"/>
  <c r="AC341" i="3" s="1"/>
  <c r="AB357" i="3"/>
  <c r="AC357" i="3" s="1"/>
  <c r="AB366" i="3"/>
  <c r="AC366" i="3" s="1"/>
  <c r="AB382" i="3"/>
  <c r="AC382" i="3" s="1"/>
  <c r="AB397" i="3"/>
  <c r="AC397" i="3" s="1"/>
  <c r="AB411" i="3"/>
  <c r="AC411" i="3" s="1"/>
  <c r="AB426" i="3"/>
  <c r="AC426" i="3" s="1"/>
  <c r="AB441" i="3"/>
  <c r="AC441" i="3" s="1"/>
  <c r="AB457" i="3"/>
  <c r="AC457" i="3" s="1"/>
  <c r="AB472" i="3"/>
  <c r="AC472" i="3" s="1"/>
  <c r="AB488" i="3"/>
  <c r="AC488" i="3" s="1"/>
  <c r="AB504" i="3"/>
  <c r="AC504" i="3" s="1"/>
  <c r="AB516" i="3"/>
  <c r="AC516" i="3" s="1"/>
  <c r="AB532" i="3"/>
  <c r="AC532" i="3" s="1"/>
  <c r="AB548" i="3"/>
  <c r="AC548" i="3" s="1"/>
  <c r="AB563" i="3"/>
  <c r="AC563" i="3" s="1"/>
  <c r="AB577" i="3"/>
  <c r="AC577" i="3" s="1"/>
  <c r="AB592" i="3"/>
  <c r="AC592" i="3" s="1"/>
  <c r="AB608" i="3"/>
  <c r="AC608" i="3" s="1"/>
  <c r="AB624" i="3"/>
  <c r="AC624" i="3" s="1"/>
  <c r="AB640" i="3"/>
  <c r="AC640" i="3" s="1"/>
  <c r="AB656" i="3"/>
  <c r="AC656" i="3" s="1"/>
  <c r="AB672" i="3"/>
  <c r="AC672" i="3" s="1"/>
  <c r="AB688" i="3"/>
  <c r="AC688" i="3" s="1"/>
  <c r="AB704" i="3"/>
  <c r="AC704" i="3" s="1"/>
  <c r="AB720" i="3"/>
  <c r="AC720" i="3" s="1"/>
  <c r="AB736" i="3"/>
  <c r="AC736" i="3" s="1"/>
  <c r="AB752" i="3"/>
  <c r="AC752" i="3" s="1"/>
  <c r="AB768" i="3"/>
  <c r="AC768" i="3" s="1"/>
  <c r="AB784" i="3"/>
  <c r="AC784" i="3" s="1"/>
  <c r="AB800" i="3"/>
  <c r="AC800" i="3" s="1"/>
  <c r="AB816" i="3"/>
  <c r="AC816" i="3" s="1"/>
  <c r="AB832" i="3"/>
  <c r="AC832" i="3" s="1"/>
  <c r="AB848" i="3"/>
  <c r="AC848" i="3" s="1"/>
  <c r="AB864" i="3"/>
  <c r="AC864" i="3" s="1"/>
  <c r="AB880" i="3"/>
  <c r="AC880" i="3" s="1"/>
  <c r="AB896" i="3"/>
  <c r="AC896" i="3" s="1"/>
  <c r="AB912" i="3"/>
  <c r="AC912" i="3" s="1"/>
  <c r="AB928" i="3"/>
  <c r="AC928" i="3" s="1"/>
  <c r="AB11" i="3"/>
  <c r="AC11" i="3" s="1"/>
  <c r="AB68" i="3"/>
  <c r="AC68" i="3" s="1"/>
  <c r="AB100" i="3"/>
  <c r="AC100" i="3" s="1"/>
  <c r="AB132" i="3"/>
  <c r="AC132" i="3" s="1"/>
  <c r="AB164" i="3"/>
  <c r="AC164" i="3" s="1"/>
  <c r="AB196" i="3"/>
  <c r="AC196" i="3" s="1"/>
  <c r="AB228" i="3"/>
  <c r="AC228" i="3" s="1"/>
  <c r="AB257" i="3"/>
  <c r="AC257" i="3" s="1"/>
  <c r="AB280" i="3"/>
  <c r="AC280" i="3" s="1"/>
  <c r="AB306" i="3"/>
  <c r="AC306" i="3" s="1"/>
  <c r="AB332" i="3"/>
  <c r="AC332" i="3" s="1"/>
  <c r="AB388" i="3"/>
  <c r="AC388" i="3" s="1"/>
  <c r="AB416" i="3"/>
  <c r="AC416" i="3" s="1"/>
  <c r="AB447" i="3"/>
  <c r="AC447" i="3" s="1"/>
  <c r="AB478" i="3"/>
  <c r="AC478" i="3" s="1"/>
  <c r="AB510" i="3"/>
  <c r="AC510" i="3" s="1"/>
  <c r="AB538" i="3"/>
  <c r="AC538" i="3" s="1"/>
  <c r="AB568" i="3"/>
  <c r="AC568" i="3" s="1"/>
  <c r="AB598" i="3"/>
  <c r="AC598" i="3" s="1"/>
  <c r="AB630" i="3"/>
  <c r="AC630" i="3" s="1"/>
  <c r="AB662" i="3"/>
  <c r="AC662" i="3" s="1"/>
  <c r="AB694" i="3"/>
  <c r="AC694" i="3" s="1"/>
  <c r="AB726" i="3"/>
  <c r="AC726" i="3" s="1"/>
  <c r="AB758" i="3"/>
  <c r="AC758" i="3" s="1"/>
  <c r="AB790" i="3"/>
  <c r="AC790" i="3" s="1"/>
  <c r="AB822" i="3"/>
  <c r="AC822" i="3" s="1"/>
  <c r="AB854" i="3"/>
  <c r="AC854" i="3" s="1"/>
  <c r="AB886" i="3"/>
  <c r="AC886" i="3" s="1"/>
  <c r="AB918" i="3"/>
  <c r="AC918" i="3" s="1"/>
  <c r="AB8" i="3"/>
  <c r="AC8" i="3" s="1"/>
  <c r="AB67" i="3"/>
  <c r="AC67" i="3" s="1"/>
  <c r="AB99" i="3"/>
  <c r="AC99" i="3" s="1"/>
  <c r="AB131" i="3"/>
  <c r="AC131" i="3" s="1"/>
  <c r="AB163" i="3"/>
  <c r="AC163" i="3" s="1"/>
  <c r="AB227" i="3"/>
  <c r="AC227" i="3" s="1"/>
  <c r="AB263" i="3"/>
  <c r="AC263" i="3" s="1"/>
  <c r="AB282" i="3"/>
  <c r="AC282" i="3" s="1"/>
  <c r="AB313" i="3"/>
  <c r="AC313" i="3" s="1"/>
  <c r="AB338" i="3"/>
  <c r="AC338" i="3" s="1"/>
  <c r="AB363" i="3"/>
  <c r="AC363" i="3" s="1"/>
  <c r="AB394" i="3"/>
  <c r="AC394" i="3" s="1"/>
  <c r="AB423" i="3"/>
  <c r="AC423" i="3" s="1"/>
  <c r="AB454" i="3"/>
  <c r="AC454" i="3" s="1"/>
  <c r="AB485" i="3"/>
  <c r="AC485" i="3" s="1"/>
  <c r="AB545" i="3"/>
  <c r="AC545" i="3" s="1"/>
  <c r="AB605" i="3"/>
  <c r="AC605" i="3" s="1"/>
  <c r="AB637" i="3"/>
  <c r="AC637" i="3" s="1"/>
  <c r="AB669" i="3"/>
  <c r="AC669" i="3" s="1"/>
  <c r="AB701" i="3"/>
  <c r="AC701" i="3" s="1"/>
  <c r="AB733" i="3"/>
  <c r="AC733" i="3" s="1"/>
  <c r="AB765" i="3"/>
  <c r="AC765" i="3" s="1"/>
  <c r="AB797" i="3"/>
  <c r="AC797" i="3" s="1"/>
  <c r="AB829" i="3"/>
  <c r="AC829" i="3" s="1"/>
  <c r="AB861" i="3"/>
  <c r="AC861" i="3" s="1"/>
  <c r="AB893" i="3"/>
  <c r="AC893" i="3" s="1"/>
  <c r="AB925" i="3"/>
  <c r="AC925" i="3" s="1"/>
  <c r="AB48" i="3"/>
  <c r="AC48" i="3" s="1"/>
  <c r="AB16" i="3"/>
  <c r="AC16" i="3" s="1"/>
  <c r="AB52" i="3"/>
  <c r="AC52" i="3" s="1"/>
  <c r="AB20" i="3"/>
  <c r="AC20" i="3" s="1"/>
  <c r="I59" i="66"/>
  <c r="E208" i="3"/>
  <c r="E204" i="3"/>
  <c r="E200" i="3"/>
  <c r="E196" i="3"/>
  <c r="E192" i="3"/>
  <c r="E188" i="3"/>
  <c r="E184" i="3"/>
  <c r="E180" i="3"/>
  <c r="E176" i="3"/>
  <c r="E172" i="3"/>
  <c r="E168" i="3"/>
  <c r="E164" i="3"/>
  <c r="E160" i="3"/>
  <c r="E156" i="3"/>
  <c r="E152" i="3"/>
  <c r="E148" i="3"/>
  <c r="E144" i="3"/>
  <c r="E140" i="3"/>
  <c r="E136" i="3"/>
  <c r="E132" i="3"/>
  <c r="E128" i="3"/>
  <c r="E124" i="3"/>
  <c r="E120" i="3"/>
  <c r="E116" i="3"/>
  <c r="E112" i="3"/>
  <c r="E108" i="3"/>
  <c r="E104" i="3"/>
  <c r="E100" i="3"/>
  <c r="E96" i="3"/>
  <c r="E92" i="3"/>
  <c r="E88" i="3"/>
  <c r="E84" i="3"/>
  <c r="E80" i="3"/>
  <c r="E76" i="3"/>
  <c r="E72" i="3"/>
  <c r="E68" i="3"/>
  <c r="E64" i="3"/>
  <c r="E60" i="3"/>
  <c r="E56" i="3"/>
  <c r="E52" i="3"/>
  <c r="E48" i="3"/>
  <c r="E44" i="3"/>
  <c r="E40" i="3"/>
  <c r="E36" i="3"/>
  <c r="E32" i="3"/>
  <c r="E28" i="3"/>
  <c r="E24" i="3"/>
  <c r="E20" i="3"/>
  <c r="E16" i="3"/>
  <c r="E12" i="3"/>
  <c r="E9" i="3"/>
  <c r="E5" i="3"/>
  <c r="E197" i="3"/>
  <c r="E189" i="3"/>
  <c r="E181" i="3"/>
  <c r="E173" i="3"/>
  <c r="E165" i="3"/>
  <c r="E157" i="3"/>
  <c r="E149" i="3"/>
  <c r="E145" i="3"/>
  <c r="E137" i="3"/>
  <c r="E129" i="3"/>
  <c r="E117" i="3"/>
  <c r="E109" i="3"/>
  <c r="E101" i="3"/>
  <c r="E93" i="3"/>
  <c r="E85" i="3"/>
  <c r="E77" i="3"/>
  <c r="E69" i="3"/>
  <c r="E61" i="3"/>
  <c r="E53" i="3"/>
  <c r="E45" i="3"/>
  <c r="E37" i="3"/>
  <c r="E29" i="3"/>
  <c r="E21" i="3"/>
  <c r="E13" i="3"/>
  <c r="E6" i="3"/>
  <c r="E201" i="3"/>
  <c r="E193" i="3"/>
  <c r="E185" i="3"/>
  <c r="E177" i="3"/>
  <c r="E169" i="3"/>
  <c r="E161" i="3"/>
  <c r="E153" i="3"/>
  <c r="E141" i="3"/>
  <c r="E133" i="3"/>
  <c r="E125" i="3"/>
  <c r="E121" i="3"/>
  <c r="E113" i="3"/>
  <c r="E105" i="3"/>
  <c r="E97" i="3"/>
  <c r="E89" i="3"/>
  <c r="E81" i="3"/>
  <c r="E73" i="3"/>
  <c r="E65" i="3"/>
  <c r="E57" i="3"/>
  <c r="E49" i="3"/>
  <c r="E41" i="3"/>
  <c r="E33" i="3"/>
  <c r="E25" i="3"/>
  <c r="E17" i="3"/>
  <c r="E2" i="3"/>
  <c r="E931" i="3"/>
  <c r="E919" i="3"/>
  <c r="E907" i="3"/>
  <c r="E891" i="3"/>
  <c r="E879" i="3"/>
  <c r="E859" i="3"/>
  <c r="E851" i="3"/>
  <c r="E835" i="3"/>
  <c r="E819" i="3"/>
  <c r="E803" i="3"/>
  <c r="E787" i="3"/>
  <c r="E775" i="3"/>
  <c r="E767" i="3"/>
  <c r="E755" i="3"/>
  <c r="E739" i="3"/>
  <c r="E727" i="3"/>
  <c r="E707" i="3"/>
  <c r="E691" i="3"/>
  <c r="E679" i="3"/>
  <c r="E667" i="3"/>
  <c r="E647" i="3"/>
  <c r="E635" i="3"/>
  <c r="E623" i="3"/>
  <c r="E611" i="3"/>
  <c r="E595" i="3"/>
  <c r="E584" i="3"/>
  <c r="E573" i="3"/>
  <c r="E559" i="3"/>
  <c r="E547" i="3"/>
  <c r="E531" i="3"/>
  <c r="E519" i="3"/>
  <c r="E507" i="3"/>
  <c r="E495" i="3"/>
  <c r="E483" i="3"/>
  <c r="E471" i="3"/>
  <c r="E459" i="3"/>
  <c r="E444" i="3"/>
  <c r="E436" i="3"/>
  <c r="E425" i="3"/>
  <c r="E414" i="3"/>
  <c r="E404" i="3"/>
  <c r="E389" i="3"/>
  <c r="E377" i="3"/>
  <c r="E359" i="3"/>
  <c r="E344" i="3"/>
  <c r="E333" i="3"/>
  <c r="E321" i="3"/>
  <c r="E311" i="3"/>
  <c r="E300" i="3"/>
  <c r="E284" i="3"/>
  <c r="E277" i="3"/>
  <c r="E261" i="3"/>
  <c r="E247" i="3"/>
  <c r="E939" i="3"/>
  <c r="E927" i="3"/>
  <c r="E911" i="3"/>
  <c r="E899" i="3"/>
  <c r="E887" i="3"/>
  <c r="E871" i="3"/>
  <c r="E863" i="3"/>
  <c r="E847" i="3"/>
  <c r="E831" i="3"/>
  <c r="E823" i="3"/>
  <c r="E811" i="3"/>
  <c r="E795" i="3"/>
  <c r="E779" i="3"/>
  <c r="E763" i="3"/>
  <c r="E747" i="3"/>
  <c r="E735" i="3"/>
  <c r="E723" i="3"/>
  <c r="E711" i="3"/>
  <c r="E695" i="3"/>
  <c r="E675" i="3"/>
  <c r="E663" i="3"/>
  <c r="E651" i="3"/>
  <c r="E639" i="3"/>
  <c r="E619" i="3"/>
  <c r="E603" i="3"/>
  <c r="E591" i="3"/>
  <c r="E576" i="3"/>
  <c r="E555" i="3"/>
  <c r="E539" i="3"/>
  <c r="E523" i="3"/>
  <c r="E503" i="3"/>
  <c r="E487" i="3"/>
  <c r="E475" i="3"/>
  <c r="E463" i="3"/>
  <c r="E448" i="3"/>
  <c r="E433" i="3"/>
  <c r="E417" i="3"/>
  <c r="E407" i="3"/>
  <c r="E393" i="3"/>
  <c r="E381" i="3"/>
  <c r="E365" i="3"/>
  <c r="E356" i="3"/>
  <c r="E340" i="3"/>
  <c r="E329" i="3"/>
  <c r="E319" i="3"/>
  <c r="E307" i="3"/>
  <c r="E292" i="3"/>
  <c r="E258" i="3"/>
  <c r="E243" i="3"/>
  <c r="E935" i="3"/>
  <c r="E923" i="3"/>
  <c r="E915" i="3"/>
  <c r="E903" i="3"/>
  <c r="E895" i="3"/>
  <c r="E883" i="3"/>
  <c r="E875" i="3"/>
  <c r="E867" i="3"/>
  <c r="E855" i="3"/>
  <c r="E843" i="3"/>
  <c r="E839" i="3"/>
  <c r="E827" i="3"/>
  <c r="E815" i="3"/>
  <c r="E807" i="3"/>
  <c r="E799" i="3"/>
  <c r="E791" i="3"/>
  <c r="E783" i="3"/>
  <c r="E771" i="3"/>
  <c r="E759" i="3"/>
  <c r="E751" i="3"/>
  <c r="E743" i="3"/>
  <c r="E731" i="3"/>
  <c r="E719" i="3"/>
  <c r="E715" i="3"/>
  <c r="E703" i="3"/>
  <c r="E699" i="3"/>
  <c r="E687" i="3"/>
  <c r="E683" i="3"/>
  <c r="E671" i="3"/>
  <c r="E659" i="3"/>
  <c r="E655" i="3"/>
  <c r="E643" i="3"/>
  <c r="E631" i="3"/>
  <c r="E627" i="3"/>
  <c r="E615" i="3"/>
  <c r="E607" i="3"/>
  <c r="E599" i="3"/>
  <c r="E588" i="3"/>
  <c r="E580" i="3"/>
  <c r="E569" i="3"/>
  <c r="E562" i="3"/>
  <c r="E551" i="3"/>
  <c r="E543" i="3"/>
  <c r="E535" i="3"/>
  <c r="E527" i="3"/>
  <c r="E515" i="3"/>
  <c r="E511" i="3"/>
  <c r="E499" i="3"/>
  <c r="E491" i="3"/>
  <c r="E479" i="3"/>
  <c r="E467" i="3"/>
  <c r="E456" i="3"/>
  <c r="E452" i="3"/>
  <c r="E440" i="3"/>
  <c r="E429" i="3"/>
  <c r="E421" i="3"/>
  <c r="E400" i="3"/>
  <c r="E396" i="3"/>
  <c r="E385" i="3"/>
  <c r="E373" i="3"/>
  <c r="E369" i="3"/>
  <c r="E352" i="3"/>
  <c r="E348" i="3"/>
  <c r="E325" i="3"/>
  <c r="E315" i="3"/>
  <c r="E303" i="3"/>
  <c r="E296" i="3"/>
  <c r="E288" i="3"/>
  <c r="E273" i="3"/>
  <c r="E268" i="3"/>
  <c r="E265" i="3"/>
  <c r="E249" i="3"/>
  <c r="E940" i="3"/>
  <c r="E936" i="3"/>
  <c r="E932" i="3"/>
  <c r="E928" i="3"/>
  <c r="E924" i="3"/>
  <c r="E920" i="3"/>
  <c r="E916" i="3"/>
  <c r="E912" i="3"/>
  <c r="E908" i="3"/>
  <c r="E904" i="3"/>
  <c r="E900" i="3"/>
  <c r="E896" i="3"/>
  <c r="E892" i="3"/>
  <c r="E888" i="3"/>
  <c r="E884" i="3"/>
  <c r="E880" i="3"/>
  <c r="E876" i="3"/>
  <c r="E872" i="3"/>
  <c r="E868" i="3"/>
  <c r="E864" i="3"/>
  <c r="E860" i="3"/>
  <c r="E856" i="3"/>
  <c r="E852" i="3"/>
  <c r="E848" i="3"/>
  <c r="E844" i="3"/>
  <c r="E840" i="3"/>
  <c r="E836" i="3"/>
  <c r="E832" i="3"/>
  <c r="E828" i="3"/>
  <c r="E824" i="3"/>
  <c r="E820" i="3"/>
  <c r="E816" i="3"/>
  <c r="E812" i="3"/>
  <c r="E808" i="3"/>
  <c r="E804" i="3"/>
  <c r="E800" i="3"/>
  <c r="E796" i="3"/>
  <c r="E792" i="3"/>
  <c r="E788" i="3"/>
  <c r="E784" i="3"/>
  <c r="E780" i="3"/>
  <c r="E776" i="3"/>
  <c r="E772" i="3"/>
  <c r="E768" i="3"/>
  <c r="E764" i="3"/>
  <c r="E760" i="3"/>
  <c r="E756" i="3"/>
  <c r="E752" i="3"/>
  <c r="E748" i="3"/>
  <c r="E744" i="3"/>
  <c r="E740" i="3"/>
  <c r="E736" i="3"/>
  <c r="E732" i="3"/>
  <c r="E728" i="3"/>
  <c r="E724" i="3"/>
  <c r="E720" i="3"/>
  <c r="E716" i="3"/>
  <c r="E712" i="3"/>
  <c r="E708" i="3"/>
  <c r="E704" i="3"/>
  <c r="E700" i="3"/>
  <c r="E696" i="3"/>
  <c r="E692" i="3"/>
  <c r="E688" i="3"/>
  <c r="E684" i="3"/>
  <c r="E680" i="3"/>
  <c r="E676" i="3"/>
  <c r="E672" i="3"/>
  <c r="E668" i="3"/>
  <c r="E664" i="3"/>
  <c r="E660" i="3"/>
  <c r="E656" i="3"/>
  <c r="E652" i="3"/>
  <c r="E648" i="3"/>
  <c r="E644" i="3"/>
  <c r="E640" i="3"/>
  <c r="E636" i="3"/>
  <c r="E632" i="3"/>
  <c r="E628" i="3"/>
  <c r="E624" i="3"/>
  <c r="E620" i="3"/>
  <c r="E616" i="3"/>
  <c r="E612" i="3"/>
  <c r="E608" i="3"/>
  <c r="E604" i="3"/>
  <c r="E600" i="3"/>
  <c r="E596" i="3"/>
  <c r="E592" i="3"/>
  <c r="E585" i="3"/>
  <c r="E581" i="3"/>
  <c r="E577" i="3"/>
  <c r="E574" i="3"/>
  <c r="E570" i="3"/>
  <c r="E566" i="3"/>
  <c r="E563" i="3"/>
  <c r="E560" i="3"/>
  <c r="E556" i="3"/>
  <c r="E552" i="3"/>
  <c r="E548" i="3"/>
  <c r="E544" i="3"/>
  <c r="E540" i="3"/>
  <c r="E536" i="3"/>
  <c r="E532" i="3"/>
  <c r="E528" i="3"/>
  <c r="E524" i="3"/>
  <c r="E520" i="3"/>
  <c r="E516" i="3"/>
  <c r="E512" i="3"/>
  <c r="E508" i="3"/>
  <c r="E504" i="3"/>
  <c r="E500" i="3"/>
  <c r="E496" i="3"/>
  <c r="E492" i="3"/>
  <c r="E488" i="3"/>
  <c r="E484" i="3"/>
  <c r="E480" i="3"/>
  <c r="E476" i="3"/>
  <c r="E472" i="3"/>
  <c r="E468" i="3"/>
  <c r="E464" i="3"/>
  <c r="E460" i="3"/>
  <c r="E457" i="3"/>
  <c r="E453" i="3"/>
  <c r="E449" i="3"/>
  <c r="E445" i="3"/>
  <c r="E441" i="3"/>
  <c r="E437" i="3"/>
  <c r="E434" i="3"/>
  <c r="E430" i="3"/>
  <c r="E426" i="3"/>
  <c r="E422" i="3"/>
  <c r="E418" i="3"/>
  <c r="E415" i="3"/>
  <c r="E411" i="3"/>
  <c r="E408" i="3"/>
  <c r="E405" i="3"/>
  <c r="E401" i="3"/>
  <c r="E397" i="3"/>
  <c r="E390" i="3"/>
  <c r="E386" i="3"/>
  <c r="E382" i="3"/>
  <c r="E378" i="3"/>
  <c r="E374" i="3"/>
  <c r="E370" i="3"/>
  <c r="E366" i="3"/>
  <c r="E362" i="3"/>
  <c r="E357" i="3"/>
  <c r="E353" i="3"/>
  <c r="E349" i="3"/>
  <c r="E345" i="3"/>
  <c r="E341" i="3"/>
  <c r="E337" i="3"/>
  <c r="E334" i="3"/>
  <c r="E330" i="3"/>
  <c r="E326" i="3"/>
  <c r="E322" i="3"/>
  <c r="E316" i="3"/>
  <c r="E312" i="3"/>
  <c r="E308" i="3"/>
  <c r="E304" i="3"/>
  <c r="E301" i="3"/>
  <c r="E297" i="3"/>
  <c r="E293" i="3"/>
  <c r="E289" i="3"/>
  <c r="E285" i="3"/>
  <c r="E281" i="3"/>
  <c r="E278" i="3"/>
  <c r="E274" i="3"/>
  <c r="E269" i="3"/>
  <c r="E266" i="3"/>
  <c r="E262" i="3"/>
  <c r="E256" i="3"/>
  <c r="E253" i="3"/>
  <c r="E250" i="3"/>
  <c r="E248" i="3"/>
  <c r="E244" i="3"/>
  <c r="E209" i="3"/>
  <c r="E205" i="3"/>
  <c r="E941" i="3"/>
  <c r="E937" i="3"/>
  <c r="E933" i="3"/>
  <c r="E929" i="3"/>
  <c r="E925" i="3"/>
  <c r="E921" i="3"/>
  <c r="E917" i="3"/>
  <c r="E913" i="3"/>
  <c r="E909" i="3"/>
  <c r="E905" i="3"/>
  <c r="E901" i="3"/>
  <c r="E897" i="3"/>
  <c r="E893" i="3"/>
  <c r="E889" i="3"/>
  <c r="E885" i="3"/>
  <c r="E881" i="3"/>
  <c r="E877" i="3"/>
  <c r="E873" i="3"/>
  <c r="E869" i="3"/>
  <c r="E865" i="3"/>
  <c r="E861" i="3"/>
  <c r="E857" i="3"/>
  <c r="E853" i="3"/>
  <c r="E849" i="3"/>
  <c r="E845" i="3"/>
  <c r="E841" i="3"/>
  <c r="E837" i="3"/>
  <c r="E833" i="3"/>
  <c r="E829" i="3"/>
  <c r="E825" i="3"/>
  <c r="E821" i="3"/>
  <c r="E817" i="3"/>
  <c r="E813" i="3"/>
  <c r="E809" i="3"/>
  <c r="E805" i="3"/>
  <c r="E801" i="3"/>
  <c r="E797" i="3"/>
  <c r="E793" i="3"/>
  <c r="E789" i="3"/>
  <c r="E785" i="3"/>
  <c r="E781" i="3"/>
  <c r="E777" i="3"/>
  <c r="E773" i="3"/>
  <c r="E769" i="3"/>
  <c r="E765" i="3"/>
  <c r="E761" i="3"/>
  <c r="E757" i="3"/>
  <c r="E753" i="3"/>
  <c r="E749" i="3"/>
  <c r="E745" i="3"/>
  <c r="E741" i="3"/>
  <c r="E737" i="3"/>
  <c r="E733" i="3"/>
  <c r="E729" i="3"/>
  <c r="E725" i="3"/>
  <c r="E721" i="3"/>
  <c r="E717" i="3"/>
  <c r="E713" i="3"/>
  <c r="E709" i="3"/>
  <c r="E705" i="3"/>
  <c r="E701" i="3"/>
  <c r="E697" i="3"/>
  <c r="E693" i="3"/>
  <c r="E689" i="3"/>
  <c r="E685" i="3"/>
  <c r="E681" i="3"/>
  <c r="E677" i="3"/>
  <c r="E673" i="3"/>
  <c r="E669" i="3"/>
  <c r="E665" i="3"/>
  <c r="E661" i="3"/>
  <c r="E657" i="3"/>
  <c r="E653" i="3"/>
  <c r="E649" i="3"/>
  <c r="E645" i="3"/>
  <c r="E641" i="3"/>
  <c r="E637" i="3"/>
  <c r="E633" i="3"/>
  <c r="E629" i="3"/>
  <c r="E625" i="3"/>
  <c r="E621" i="3"/>
  <c r="E617" i="3"/>
  <c r="E613" i="3"/>
  <c r="E609" i="3"/>
  <c r="E605" i="3"/>
  <c r="E601" i="3"/>
  <c r="E597" i="3"/>
  <c r="E593" i="3"/>
  <c r="E589" i="3"/>
  <c r="E586" i="3"/>
  <c r="E582" i="3"/>
  <c r="E578" i="3"/>
  <c r="E571" i="3"/>
  <c r="E567" i="3"/>
  <c r="E564" i="3"/>
  <c r="E557" i="3"/>
  <c r="E553" i="3"/>
  <c r="E549" i="3"/>
  <c r="E545" i="3"/>
  <c r="E541" i="3"/>
  <c r="E537" i="3"/>
  <c r="E533" i="3"/>
  <c r="E529" i="3"/>
  <c r="E525" i="3"/>
  <c r="E517" i="3"/>
  <c r="E513" i="3"/>
  <c r="E509" i="3"/>
  <c r="E505" i="3"/>
  <c r="E501" i="3"/>
  <c r="E497" i="3"/>
  <c r="E493" i="3"/>
  <c r="E489" i="3"/>
  <c r="E485" i="3"/>
  <c r="E481" i="3"/>
  <c r="E477" i="3"/>
  <c r="E473" i="3"/>
  <c r="E469" i="3"/>
  <c r="E465" i="3"/>
  <c r="E461" i="3"/>
  <c r="E458" i="3"/>
  <c r="E454" i="3"/>
  <c r="E450" i="3"/>
  <c r="E446" i="3"/>
  <c r="E442" i="3"/>
  <c r="E438" i="3"/>
  <c r="E431" i="3"/>
  <c r="E427" i="3"/>
  <c r="E423" i="3"/>
  <c r="E419" i="3"/>
  <c r="E412" i="3"/>
  <c r="E409" i="3"/>
  <c r="E406" i="3"/>
  <c r="E402" i="3"/>
  <c r="E398" i="3"/>
  <c r="E394" i="3"/>
  <c r="E391" i="3"/>
  <c r="E387" i="3"/>
  <c r="E383" i="3"/>
  <c r="E379" i="3"/>
  <c r="E375" i="3"/>
  <c r="E371" i="3"/>
  <c r="E367" i="3"/>
  <c r="E363" i="3"/>
  <c r="E360" i="3"/>
  <c r="E354" i="3"/>
  <c r="E350" i="3"/>
  <c r="E346" i="3"/>
  <c r="E342" i="3"/>
  <c r="E338" i="3"/>
  <c r="E335" i="3"/>
  <c r="E331" i="3"/>
  <c r="E327" i="3"/>
  <c r="E323" i="3"/>
  <c r="E317" i="3"/>
  <c r="E313" i="3"/>
  <c r="E309" i="3"/>
  <c r="E305" i="3"/>
  <c r="E298" i="3"/>
  <c r="E294" i="3"/>
  <c r="E290" i="3"/>
  <c r="E286" i="3"/>
  <c r="E282" i="3"/>
  <c r="E279" i="3"/>
  <c r="E275" i="3"/>
  <c r="E272" i="3"/>
  <c r="E270" i="3"/>
  <c r="E267" i="3"/>
  <c r="E263" i="3"/>
  <c r="E259" i="3"/>
  <c r="E254" i="3"/>
  <c r="E251" i="3"/>
  <c r="E245" i="3"/>
  <c r="E241" i="3"/>
  <c r="E210" i="3"/>
  <c r="E206" i="3"/>
  <c r="E202" i="3"/>
  <c r="E198" i="3"/>
  <c r="E194" i="3"/>
  <c r="E190" i="3"/>
  <c r="E186" i="3"/>
  <c r="E182" i="3"/>
  <c r="E178" i="3"/>
  <c r="E174" i="3"/>
  <c r="E170" i="3"/>
  <c r="E166" i="3"/>
  <c r="E162" i="3"/>
  <c r="E158" i="3"/>
  <c r="E154" i="3"/>
  <c r="E150" i="3"/>
  <c r="E146" i="3"/>
  <c r="E142" i="3"/>
  <c r="E138" i="3"/>
  <c r="E134" i="3"/>
  <c r="E130" i="3"/>
  <c r="E126" i="3"/>
  <c r="E122" i="3"/>
  <c r="E118" i="3"/>
  <c r="E114" i="3"/>
  <c r="E110" i="3"/>
  <c r="E106" i="3"/>
  <c r="E102" i="3"/>
  <c r="E98" i="3"/>
  <c r="E94" i="3"/>
  <c r="E90" i="3"/>
  <c r="E86" i="3"/>
  <c r="E82" i="3"/>
  <c r="E78" i="3"/>
  <c r="E74" i="3"/>
  <c r="E70" i="3"/>
  <c r="E66" i="3"/>
  <c r="E62" i="3"/>
  <c r="E58" i="3"/>
  <c r="E54" i="3"/>
  <c r="E50" i="3"/>
  <c r="E46" i="3"/>
  <c r="E42" i="3"/>
  <c r="E38" i="3"/>
  <c r="E34" i="3"/>
  <c r="E30" i="3"/>
  <c r="E26" i="3"/>
  <c r="E22" i="3"/>
  <c r="E18" i="3"/>
  <c r="E14" i="3"/>
  <c r="E10" i="3"/>
  <c r="E7" i="3"/>
  <c r="E3" i="3"/>
  <c r="E938" i="3"/>
  <c r="E934" i="3"/>
  <c r="E930" i="3"/>
  <c r="E926" i="3"/>
  <c r="E922" i="3"/>
  <c r="E918" i="3"/>
  <c r="E914" i="3"/>
  <c r="E910" i="3"/>
  <c r="E906" i="3"/>
  <c r="E902" i="3"/>
  <c r="E898" i="3"/>
  <c r="E894" i="3"/>
  <c r="E890" i="3"/>
  <c r="E886" i="3"/>
  <c r="E882" i="3"/>
  <c r="E878" i="3"/>
  <c r="E874" i="3"/>
  <c r="E870" i="3"/>
  <c r="E866" i="3"/>
  <c r="E862" i="3"/>
  <c r="E858" i="3"/>
  <c r="E854" i="3"/>
  <c r="E850" i="3"/>
  <c r="E846" i="3"/>
  <c r="E842" i="3"/>
  <c r="E838" i="3"/>
  <c r="E834" i="3"/>
  <c r="E830" i="3"/>
  <c r="E826" i="3"/>
  <c r="E822" i="3"/>
  <c r="E818" i="3"/>
  <c r="E814" i="3"/>
  <c r="E810" i="3"/>
  <c r="E806" i="3"/>
  <c r="E802" i="3"/>
  <c r="E798" i="3"/>
  <c r="E794" i="3"/>
  <c r="E790" i="3"/>
  <c r="E786" i="3"/>
  <c r="E782" i="3"/>
  <c r="E778" i="3"/>
  <c r="E774" i="3"/>
  <c r="E770" i="3"/>
  <c r="E766" i="3"/>
  <c r="E762" i="3"/>
  <c r="E758" i="3"/>
  <c r="E754" i="3"/>
  <c r="E750" i="3"/>
  <c r="E746" i="3"/>
  <c r="E742" i="3"/>
  <c r="E738" i="3"/>
  <c r="E734" i="3"/>
  <c r="E730" i="3"/>
  <c r="E726" i="3"/>
  <c r="E722" i="3"/>
  <c r="E718" i="3"/>
  <c r="E714" i="3"/>
  <c r="E710" i="3"/>
  <c r="E706" i="3"/>
  <c r="E702" i="3"/>
  <c r="E698" i="3"/>
  <c r="E694" i="3"/>
  <c r="E690" i="3"/>
  <c r="E686" i="3"/>
  <c r="E682" i="3"/>
  <c r="E678" i="3"/>
  <c r="E674" i="3"/>
  <c r="E670" i="3"/>
  <c r="E666" i="3"/>
  <c r="E662" i="3"/>
  <c r="E658" i="3"/>
  <c r="E654" i="3"/>
  <c r="E650" i="3"/>
  <c r="E646" i="3"/>
  <c r="E642" i="3"/>
  <c r="E638" i="3"/>
  <c r="E634" i="3"/>
  <c r="E630" i="3"/>
  <c r="E626" i="3"/>
  <c r="E622" i="3"/>
  <c r="E618" i="3"/>
  <c r="E614" i="3"/>
  <c r="E610" i="3"/>
  <c r="E606" i="3"/>
  <c r="E602" i="3"/>
  <c r="E598" i="3"/>
  <c r="E594" i="3"/>
  <c r="E590" i="3"/>
  <c r="E587" i="3"/>
  <c r="E583" i="3"/>
  <c r="E579" i="3"/>
  <c r="E575" i="3"/>
  <c r="E572" i="3"/>
  <c r="E568" i="3"/>
  <c r="E565" i="3"/>
  <c r="E561" i="3"/>
  <c r="E558" i="3"/>
  <c r="E554" i="3"/>
  <c r="E550" i="3"/>
  <c r="E546" i="3"/>
  <c r="E542" i="3"/>
  <c r="E538" i="3"/>
  <c r="E534" i="3"/>
  <c r="E530" i="3"/>
  <c r="E526" i="3"/>
  <c r="E522" i="3"/>
  <c r="E518" i="3"/>
  <c r="E514" i="3"/>
  <c r="E510" i="3"/>
  <c r="E506" i="3"/>
  <c r="E502" i="3"/>
  <c r="E498" i="3"/>
  <c r="E494" i="3"/>
  <c r="E490" i="3"/>
  <c r="E486" i="3"/>
  <c r="E482" i="3"/>
  <c r="E478" i="3"/>
  <c r="E474" i="3"/>
  <c r="E470" i="3"/>
  <c r="E466" i="3"/>
  <c r="E462" i="3"/>
  <c r="E455" i="3"/>
  <c r="E451" i="3"/>
  <c r="E447" i="3"/>
  <c r="E443" i="3"/>
  <c r="E439" i="3"/>
  <c r="E435" i="3"/>
  <c r="E432" i="3"/>
  <c r="E428" i="3"/>
  <c r="E424" i="3"/>
  <c r="E420" i="3"/>
  <c r="E416" i="3"/>
  <c r="E413" i="3"/>
  <c r="E410" i="3"/>
  <c r="E403" i="3"/>
  <c r="E399" i="3"/>
  <c r="E395" i="3"/>
  <c r="E392" i="3"/>
  <c r="E388" i="3"/>
  <c r="E384" i="3"/>
  <c r="E380" i="3"/>
  <c r="E376" i="3"/>
  <c r="E372" i="3"/>
  <c r="E368" i="3"/>
  <c r="E364" i="3"/>
  <c r="E361" i="3"/>
  <c r="E358" i="3"/>
  <c r="E355" i="3"/>
  <c r="E351" i="3"/>
  <c r="E347" i="3"/>
  <c r="E343" i="3"/>
  <c r="E339" i="3"/>
  <c r="E336" i="3"/>
  <c r="E332" i="3"/>
  <c r="E328" i="3"/>
  <c r="E324" i="3"/>
  <c r="E320" i="3"/>
  <c r="E318" i="3"/>
  <c r="E314" i="3"/>
  <c r="E310" i="3"/>
  <c r="E306" i="3"/>
  <c r="E302" i="3"/>
  <c r="E299" i="3"/>
  <c r="E295" i="3"/>
  <c r="E291" i="3"/>
  <c r="E287" i="3"/>
  <c r="E283" i="3"/>
  <c r="E280" i="3"/>
  <c r="E276" i="3"/>
  <c r="E271" i="3"/>
  <c r="E264" i="3"/>
  <c r="E260" i="3"/>
  <c r="E257" i="3"/>
  <c r="E255" i="3"/>
  <c r="E252" i="3"/>
  <c r="E246" i="3"/>
  <c r="E242" i="3"/>
  <c r="E211" i="3"/>
  <c r="E207" i="3"/>
  <c r="E203" i="3"/>
  <c r="E199" i="3"/>
  <c r="E195" i="3"/>
  <c r="E191" i="3"/>
  <c r="E187" i="3"/>
  <c r="E183" i="3"/>
  <c r="E179" i="3"/>
  <c r="E175" i="3"/>
  <c r="E171" i="3"/>
  <c r="E167" i="3"/>
  <c r="E163" i="3"/>
  <c r="E159" i="3"/>
  <c r="E155" i="3"/>
  <c r="E151" i="3"/>
  <c r="E147" i="3"/>
  <c r="E143" i="3"/>
  <c r="E139" i="3"/>
  <c r="E135" i="3"/>
  <c r="E131" i="3"/>
  <c r="E127" i="3"/>
  <c r="E123" i="3"/>
  <c r="E119" i="3"/>
  <c r="E115" i="3"/>
  <c r="E111" i="3"/>
  <c r="E107" i="3"/>
  <c r="E103" i="3"/>
  <c r="E99" i="3"/>
  <c r="E95" i="3"/>
  <c r="E91" i="3"/>
  <c r="E87" i="3"/>
  <c r="E83" i="3"/>
  <c r="E79" i="3"/>
  <c r="E75" i="3"/>
  <c r="E71" i="3"/>
  <c r="E67" i="3"/>
  <c r="E63" i="3"/>
  <c r="E59" i="3"/>
  <c r="E55" i="3"/>
  <c r="E51" i="3"/>
  <c r="E47" i="3"/>
  <c r="E43" i="3"/>
  <c r="E39" i="3"/>
  <c r="E35" i="3"/>
  <c r="E31" i="3"/>
  <c r="E27" i="3"/>
  <c r="E23" i="3"/>
  <c r="E19" i="3"/>
  <c r="E15" i="3"/>
  <c r="E11" i="3"/>
  <c r="E8" i="3"/>
  <c r="E4" i="3"/>
  <c r="Y178" i="3"/>
  <c r="Y166" i="3"/>
  <c r="Y158" i="3"/>
  <c r="Y146" i="3"/>
  <c r="Y55" i="3"/>
  <c r="Y221" i="3"/>
  <c r="Z215" i="3"/>
  <c r="Y209" i="3"/>
  <c r="Y174" i="3"/>
  <c r="Y170" i="3"/>
  <c r="Y162" i="3"/>
  <c r="Y154" i="3"/>
  <c r="Y142" i="3"/>
  <c r="Y138" i="3"/>
  <c r="Y130" i="3"/>
  <c r="Y122" i="3"/>
  <c r="Y110" i="3"/>
  <c r="Y90" i="3"/>
  <c r="Z77" i="3"/>
  <c r="Y75" i="3"/>
  <c r="Y71" i="3"/>
  <c r="Y67" i="3"/>
  <c r="Y51" i="3"/>
  <c r="Z45" i="3"/>
  <c r="Y43" i="3"/>
  <c r="Y40" i="3"/>
  <c r="Y39" i="3"/>
  <c r="Y35" i="3"/>
  <c r="Z13" i="3"/>
  <c r="Y11" i="3"/>
  <c r="Y6" i="3"/>
  <c r="Y219" i="3"/>
  <c r="Y134" i="3"/>
  <c r="Y126" i="3"/>
  <c r="Y114" i="3"/>
  <c r="Y215" i="3"/>
  <c r="Y212" i="3"/>
  <c r="Y211" i="3"/>
  <c r="Y207" i="3"/>
  <c r="Y205" i="3"/>
  <c r="Z172" i="3"/>
  <c r="Z140" i="3"/>
  <c r="Y98" i="3"/>
  <c r="Y79" i="3"/>
  <c r="Z69" i="3"/>
  <c r="Z37" i="3"/>
  <c r="E212" i="3"/>
  <c r="E223" i="3"/>
  <c r="E220" i="3"/>
  <c r="E216" i="3"/>
  <c r="E240" i="3"/>
  <c r="E221" i="3"/>
  <c r="E217" i="3"/>
  <c r="E214" i="3"/>
  <c r="E233" i="3"/>
  <c r="E225" i="3"/>
  <c r="E222" i="3"/>
  <c r="E239" i="3"/>
  <c r="E238" i="3"/>
  <c r="E237" i="3"/>
  <c r="E236" i="3"/>
  <c r="E234" i="3"/>
  <c r="E235" i="3"/>
  <c r="E232" i="3"/>
  <c r="E231" i="3"/>
  <c r="E230" i="3"/>
  <c r="E229" i="3"/>
  <c r="E228" i="3"/>
  <c r="E227" i="3"/>
  <c r="E226" i="3"/>
  <c r="E224" i="3"/>
  <c r="E218" i="3"/>
  <c r="E219" i="3"/>
  <c r="E215" i="3"/>
  <c r="E213" i="3"/>
  <c r="K25" i="66"/>
  <c r="R25" i="66" s="1"/>
  <c r="K3" i="66"/>
  <c r="J22" i="66" s="1"/>
  <c r="K47" i="66"/>
  <c r="R52" i="66" s="1"/>
  <c r="I64" i="66"/>
  <c r="A66" i="66"/>
  <c r="I48" i="66"/>
  <c r="I50" i="66"/>
  <c r="I52" i="66"/>
  <c r="D66" i="66"/>
  <c r="I58" i="66"/>
  <c r="I62" i="66"/>
  <c r="I54" i="66"/>
  <c r="I55" i="66"/>
  <c r="I47" i="66"/>
  <c r="C66" i="66"/>
  <c r="E66" i="66"/>
  <c r="I57" i="66"/>
  <c r="I49" i="66"/>
  <c r="I51" i="66"/>
  <c r="G44" i="66"/>
  <c r="B66" i="66"/>
  <c r="I56" i="66"/>
  <c r="I61" i="66"/>
  <c r="I67" i="66"/>
  <c r="I66" i="66"/>
  <c r="I35" i="66"/>
  <c r="I53" i="66"/>
  <c r="G66" i="66"/>
  <c r="I60" i="66"/>
  <c r="I65" i="66"/>
  <c r="I63" i="66"/>
  <c r="I43" i="66"/>
  <c r="I40" i="66"/>
  <c r="I36" i="66"/>
  <c r="I41" i="66"/>
  <c r="I26" i="66"/>
  <c r="I44" i="66"/>
  <c r="I29" i="66"/>
  <c r="I33" i="66"/>
  <c r="I38" i="66"/>
  <c r="F44" i="66"/>
  <c r="F66" i="66"/>
  <c r="I37" i="66"/>
  <c r="I31" i="66"/>
  <c r="I45" i="66"/>
  <c r="A44" i="66"/>
  <c r="I30" i="66"/>
  <c r="I27" i="66"/>
  <c r="I28" i="66"/>
  <c r="I42" i="66"/>
  <c r="I25" i="66"/>
  <c r="I39" i="66"/>
  <c r="I32" i="66"/>
  <c r="I34" i="66"/>
  <c r="A22" i="66"/>
  <c r="B22" i="66"/>
  <c r="C22" i="66"/>
  <c r="J42" i="66"/>
  <c r="A64" i="66"/>
  <c r="J64" i="66"/>
  <c r="A42" i="66"/>
  <c r="F22" i="66"/>
  <c r="E22" i="66"/>
  <c r="A20" i="66"/>
  <c r="J20" i="66"/>
  <c r="M208" i="3"/>
  <c r="M867" i="3"/>
  <c r="M739" i="3"/>
  <c r="M491" i="3"/>
  <c r="M369" i="3"/>
  <c r="M931" i="3"/>
  <c r="M851" i="3"/>
  <c r="M803" i="3"/>
  <c r="M723" i="3"/>
  <c r="M675" i="3"/>
  <c r="M595" i="3"/>
  <c r="M551" i="3"/>
  <c r="M475" i="3"/>
  <c r="M429" i="3"/>
  <c r="M359" i="3"/>
  <c r="M216" i="3"/>
  <c r="M899" i="3"/>
  <c r="M819" i="3"/>
  <c r="M771" i="3"/>
  <c r="M691" i="3"/>
  <c r="M643" i="3"/>
  <c r="M519" i="3"/>
  <c r="M444" i="3"/>
  <c r="M400" i="3"/>
  <c r="M329" i="3"/>
  <c r="M231" i="3"/>
  <c r="G22" i="66"/>
  <c r="D22" i="66"/>
  <c r="O47" i="66"/>
  <c r="O25" i="66"/>
  <c r="O3" i="66"/>
  <c r="F25" i="66"/>
  <c r="F47" i="66"/>
  <c r="M896" i="3"/>
  <c r="M904" i="3"/>
  <c r="M880" i="3"/>
  <c r="M912" i="3"/>
  <c r="I22" i="66"/>
  <c r="I21" i="66"/>
  <c r="I23" i="66"/>
  <c r="I20" i="66"/>
  <c r="I19" i="66"/>
  <c r="I15" i="66"/>
  <c r="I10" i="66"/>
  <c r="I16" i="66"/>
  <c r="I17" i="66"/>
  <c r="I18" i="66"/>
  <c r="I13" i="66"/>
  <c r="I6" i="66"/>
  <c r="I11" i="66"/>
  <c r="I4" i="66"/>
  <c r="I12" i="66"/>
  <c r="M927" i="3"/>
  <c r="M919" i="3"/>
  <c r="M911" i="3"/>
  <c r="M903" i="3"/>
  <c r="M823" i="3"/>
  <c r="M815" i="3"/>
  <c r="M807" i="3"/>
  <c r="M799" i="3"/>
  <c r="M743" i="3"/>
  <c r="M735" i="3"/>
  <c r="M727" i="3"/>
  <c r="M711" i="3"/>
  <c r="M687" i="3"/>
  <c r="M679" i="3"/>
  <c r="M671" i="3"/>
  <c r="M639" i="3"/>
  <c r="M615" i="3"/>
  <c r="M607" i="3"/>
  <c r="M599" i="3"/>
  <c r="M569" i="3"/>
  <c r="M562" i="3"/>
  <c r="M531" i="3"/>
  <c r="M523" i="3"/>
  <c r="M511" i="3"/>
  <c r="M503" i="3"/>
  <c r="M495" i="3"/>
  <c r="M456" i="3"/>
  <c r="M448" i="3"/>
  <c r="M425" i="3"/>
  <c r="M396" i="3"/>
  <c r="M389" i="3"/>
  <c r="M356" i="3"/>
  <c r="M227" i="3"/>
  <c r="M206" i="3"/>
  <c r="M152" i="3"/>
  <c r="M935" i="3"/>
  <c r="M895" i="3"/>
  <c r="M887" i="3"/>
  <c r="M879" i="3"/>
  <c r="M871" i="3"/>
  <c r="M863" i="3"/>
  <c r="M855" i="3"/>
  <c r="M847" i="3"/>
  <c r="M831" i="3"/>
  <c r="M791" i="3"/>
  <c r="M775" i="3"/>
  <c r="M767" i="3"/>
  <c r="M751" i="3"/>
  <c r="M663" i="3"/>
  <c r="M655" i="3"/>
  <c r="M623" i="3"/>
  <c r="M591" i="3"/>
  <c r="M584" i="3"/>
  <c r="M576" i="3"/>
  <c r="M555" i="3"/>
  <c r="M547" i="3"/>
  <c r="M539" i="3"/>
  <c r="M515" i="3"/>
  <c r="M487" i="3"/>
  <c r="M479" i="3"/>
  <c r="M471" i="3"/>
  <c r="M463" i="3"/>
  <c r="M440" i="3"/>
  <c r="M433" i="3"/>
  <c r="M417" i="3"/>
  <c r="M404" i="3"/>
  <c r="M381" i="3"/>
  <c r="M373" i="3"/>
  <c r="M365" i="3"/>
  <c r="M348" i="3"/>
  <c r="M340" i="3"/>
  <c r="M333" i="3"/>
  <c r="M325" i="3"/>
  <c r="M220" i="3"/>
  <c r="M213" i="3"/>
  <c r="M940" i="3"/>
  <c r="M924" i="3"/>
  <c r="M908" i="3"/>
  <c r="M892" i="3"/>
  <c r="M876" i="3"/>
  <c r="M868" i="3"/>
  <c r="M860" i="3"/>
  <c r="M852" i="3"/>
  <c r="M844" i="3"/>
  <c r="M836" i="3"/>
  <c r="M828" i="3"/>
  <c r="M820" i="3"/>
  <c r="M812" i="3"/>
  <c r="M804" i="3"/>
  <c r="M796" i="3"/>
  <c r="M788" i="3"/>
  <c r="M780" i="3"/>
  <c r="M772" i="3"/>
  <c r="M764" i="3"/>
  <c r="M756" i="3"/>
  <c r="M748" i="3"/>
  <c r="M740" i="3"/>
  <c r="M732" i="3"/>
  <c r="M724" i="3"/>
  <c r="M716" i="3"/>
  <c r="M708" i="3"/>
  <c r="M700" i="3"/>
  <c r="M692" i="3"/>
  <c r="M684" i="3"/>
  <c r="M676" i="3"/>
  <c r="M668" i="3"/>
  <c r="M660" i="3"/>
  <c r="M652" i="3"/>
  <c r="M644" i="3"/>
  <c r="M636" i="3"/>
  <c r="M628" i="3"/>
  <c r="M620" i="3"/>
  <c r="M612" i="3"/>
  <c r="M604" i="3"/>
  <c r="M596" i="3"/>
  <c r="M581" i="3"/>
  <c r="M574" i="3"/>
  <c r="M566" i="3"/>
  <c r="M560" i="3"/>
  <c r="M552" i="3"/>
  <c r="M544" i="3"/>
  <c r="M536" i="3"/>
  <c r="M528" i="3"/>
  <c r="M520" i="3"/>
  <c r="M508" i="3"/>
  <c r="M492" i="3"/>
  <c r="M476" i="3"/>
  <c r="M460" i="3"/>
  <c r="M445" i="3"/>
  <c r="M430" i="3"/>
  <c r="M415" i="3"/>
  <c r="M401" i="3"/>
  <c r="M386" i="3"/>
  <c r="M370" i="3"/>
  <c r="M345" i="3"/>
  <c r="M330" i="3"/>
  <c r="M939" i="3"/>
  <c r="M923" i="3"/>
  <c r="M907" i="3"/>
  <c r="M891" i="3"/>
  <c r="M875" i="3"/>
  <c r="M859" i="3"/>
  <c r="M843" i="3"/>
  <c r="M827" i="3"/>
  <c r="M811" i="3"/>
  <c r="M779" i="3"/>
  <c r="M763" i="3"/>
  <c r="M731" i="3"/>
  <c r="M715" i="3"/>
  <c r="M699" i="3"/>
  <c r="M683" i="3"/>
  <c r="M667" i="3"/>
  <c r="M651" i="3"/>
  <c r="M635" i="3"/>
  <c r="M619" i="3"/>
  <c r="M603" i="3"/>
  <c r="M588" i="3"/>
  <c r="M573" i="3"/>
  <c r="M559" i="3"/>
  <c r="M543" i="3"/>
  <c r="M527" i="3"/>
  <c r="M499" i="3"/>
  <c r="M483" i="3"/>
  <c r="M467" i="3"/>
  <c r="M452" i="3"/>
  <c r="M436" i="3"/>
  <c r="M421" i="3"/>
  <c r="M407" i="3"/>
  <c r="M393" i="3"/>
  <c r="M377" i="3"/>
  <c r="M352" i="3"/>
  <c r="M321" i="3"/>
  <c r="M224" i="3"/>
  <c r="F3" i="66"/>
  <c r="M158" i="3"/>
  <c r="M154" i="3"/>
  <c r="M122" i="3"/>
  <c r="M174" i="3"/>
  <c r="M110" i="3"/>
  <c r="M204" i="3"/>
  <c r="M190" i="3"/>
  <c r="M186" i="3"/>
  <c r="M126" i="3"/>
  <c r="M94" i="3"/>
  <c r="M90" i="3"/>
  <c r="M202" i="3"/>
  <c r="M138" i="3"/>
  <c r="I14" i="66"/>
  <c r="Z176" i="3"/>
  <c r="Z164" i="3"/>
  <c r="Z132" i="3"/>
  <c r="Z112" i="3"/>
  <c r="Z57" i="3"/>
  <c r="Z33" i="3"/>
  <c r="Z199" i="3"/>
  <c r="Z168" i="3"/>
  <c r="Y165" i="3"/>
  <c r="Z156" i="3"/>
  <c r="Y133" i="3"/>
  <c r="Z124" i="3"/>
  <c r="Y104" i="3"/>
  <c r="Z102" i="3"/>
  <c r="Z61" i="3"/>
  <c r="Z53" i="3"/>
  <c r="Z29" i="3"/>
  <c r="Z21" i="3"/>
  <c r="Y5" i="3"/>
  <c r="Z144" i="3"/>
  <c r="Z25" i="3"/>
  <c r="Z195" i="3"/>
  <c r="Z180" i="3"/>
  <c r="Y157" i="3"/>
  <c r="Z148" i="3"/>
  <c r="Y125" i="3"/>
  <c r="Z116" i="3"/>
  <c r="Y87" i="3"/>
  <c r="Y83" i="3"/>
  <c r="Y56" i="3"/>
  <c r="Y54" i="3"/>
  <c r="Z41" i="3"/>
  <c r="Y24" i="3"/>
  <c r="Y22" i="3"/>
  <c r="Y210" i="3"/>
  <c r="Y196" i="3"/>
  <c r="Y194" i="3"/>
  <c r="Y179" i="3"/>
  <c r="Y163" i="3"/>
  <c r="Y139" i="3"/>
  <c r="Y123" i="3"/>
  <c r="Y107" i="3"/>
  <c r="Y80" i="3"/>
  <c r="Y68" i="3"/>
  <c r="Y66" i="3"/>
  <c r="Y52" i="3"/>
  <c r="Y50" i="3"/>
  <c r="Y20" i="3"/>
  <c r="Y18" i="3"/>
  <c r="Y206" i="3"/>
  <c r="Y200" i="3"/>
  <c r="Y198" i="3"/>
  <c r="Y192" i="3"/>
  <c r="Y190" i="3"/>
  <c r="Y188" i="3"/>
  <c r="Y186" i="3"/>
  <c r="Y183" i="3"/>
  <c r="Z177" i="3"/>
  <c r="Y175" i="3"/>
  <c r="Z169" i="3"/>
  <c r="Y167" i="3"/>
  <c r="Y159" i="3"/>
  <c r="Z153" i="3"/>
  <c r="Y151" i="3"/>
  <c r="Z145" i="3"/>
  <c r="Y143" i="3"/>
  <c r="Z137" i="3"/>
  <c r="Y135" i="3"/>
  <c r="Z129" i="3"/>
  <c r="Y127" i="3"/>
  <c r="Z121" i="3"/>
  <c r="Y119" i="3"/>
  <c r="Z113" i="3"/>
  <c r="Y106" i="3"/>
  <c r="Z105" i="3"/>
  <c r="Y103" i="3"/>
  <c r="Z99" i="3"/>
  <c r="Z97" i="3"/>
  <c r="Y95" i="3"/>
  <c r="Y93" i="3"/>
  <c r="Z88" i="3"/>
  <c r="Z86" i="3"/>
  <c r="Z84" i="3"/>
  <c r="Z78" i="3"/>
  <c r="Y74" i="3"/>
  <c r="Z64" i="3"/>
  <c r="Y58" i="3"/>
  <c r="Z48" i="3"/>
  <c r="Y44" i="3"/>
  <c r="Y42" i="3"/>
  <c r="Z32" i="3"/>
  <c r="Z30" i="3"/>
  <c r="Y28" i="3"/>
  <c r="Y26" i="3"/>
  <c r="Z16" i="3"/>
  <c r="Z14" i="3"/>
  <c r="Y12" i="3"/>
  <c r="Y10" i="3"/>
  <c r="Z4" i="3"/>
  <c r="Y2" i="3"/>
  <c r="Y204" i="3"/>
  <c r="Y203" i="3"/>
  <c r="Y202" i="3"/>
  <c r="Y191" i="3"/>
  <c r="Y189" i="3"/>
  <c r="Y187" i="3"/>
  <c r="Y171" i="3"/>
  <c r="Y155" i="3"/>
  <c r="Y147" i="3"/>
  <c r="Y131" i="3"/>
  <c r="Y115" i="3"/>
  <c r="Y34" i="3"/>
  <c r="Y3" i="3"/>
  <c r="Z210" i="3"/>
  <c r="Z204" i="3"/>
  <c r="Z203" i="3"/>
  <c r="Z202" i="3"/>
  <c r="Z194" i="3"/>
  <c r="Z191" i="3"/>
  <c r="Z189" i="3"/>
  <c r="Z187" i="3"/>
  <c r="Z171" i="3"/>
  <c r="Y169" i="3"/>
  <c r="Z155" i="3"/>
  <c r="Y153" i="3"/>
  <c r="Z147" i="3"/>
  <c r="Y145" i="3"/>
  <c r="Z139" i="3"/>
  <c r="Y129" i="3"/>
  <c r="Z123" i="3"/>
  <c r="Y113" i="3"/>
  <c r="Y105" i="3"/>
  <c r="Y97" i="3"/>
  <c r="Y88" i="3"/>
  <c r="Y86" i="3"/>
  <c r="Y78" i="3"/>
  <c r="Z20" i="3"/>
  <c r="Z3" i="3"/>
  <c r="M853" i="3"/>
  <c r="M837" i="3"/>
  <c r="M821" i="3"/>
  <c r="M813" i="3"/>
  <c r="M793" i="3"/>
  <c r="M777" i="3"/>
  <c r="M761" i="3"/>
  <c r="M745" i="3"/>
  <c r="M729" i="3"/>
  <c r="M717" i="3"/>
  <c r="M701" i="3"/>
  <c r="M685" i="3"/>
  <c r="M673" i="3"/>
  <c r="M657" i="3"/>
  <c r="M641" i="3"/>
  <c r="M629" i="3"/>
  <c r="M613" i="3"/>
  <c r="M601" i="3"/>
  <c r="M541" i="3"/>
  <c r="M533" i="3"/>
  <c r="M517" i="3"/>
  <c r="M509" i="3"/>
  <c r="M493" i="3"/>
  <c r="M481" i="3"/>
  <c r="M465" i="3"/>
  <c r="M450" i="3"/>
  <c r="M438" i="3"/>
  <c r="M419" i="3"/>
  <c r="M406" i="3"/>
  <c r="M391" i="3"/>
  <c r="M375" i="3"/>
  <c r="M363" i="3"/>
  <c r="M354" i="3"/>
  <c r="M338" i="3"/>
  <c r="M327" i="3"/>
  <c r="M317" i="3"/>
  <c r="M286" i="3"/>
  <c r="M275" i="3"/>
  <c r="M233" i="3"/>
  <c r="M222" i="3"/>
  <c r="M3" i="3"/>
  <c r="M865" i="3"/>
  <c r="M861" i="3"/>
  <c r="M849" i="3"/>
  <c r="M845" i="3"/>
  <c r="M833" i="3"/>
  <c r="M825" i="3"/>
  <c r="M817" i="3"/>
  <c r="M805" i="3"/>
  <c r="M801" i="3"/>
  <c r="M789" i="3"/>
  <c r="M785" i="3"/>
  <c r="M773" i="3"/>
  <c r="M769" i="3"/>
  <c r="M757" i="3"/>
  <c r="M749" i="3"/>
  <c r="M741" i="3"/>
  <c r="M733" i="3"/>
  <c r="M721" i="3"/>
  <c r="M713" i="3"/>
  <c r="M705" i="3"/>
  <c r="M693" i="3"/>
  <c r="M689" i="3"/>
  <c r="M677" i="3"/>
  <c r="M669" i="3"/>
  <c r="M661" i="3"/>
  <c r="M649" i="3"/>
  <c r="M645" i="3"/>
  <c r="M633" i="3"/>
  <c r="M625" i="3"/>
  <c r="M617" i="3"/>
  <c r="M609" i="3"/>
  <c r="M593" i="3"/>
  <c r="M586" i="3"/>
  <c r="M578" i="3"/>
  <c r="M571" i="3"/>
  <c r="M564" i="3"/>
  <c r="M557" i="3"/>
  <c r="M525" i="3"/>
  <c r="M513" i="3"/>
  <c r="M505" i="3"/>
  <c r="M497" i="3"/>
  <c r="M485" i="3"/>
  <c r="M477" i="3"/>
  <c r="M469" i="3"/>
  <c r="M458" i="3"/>
  <c r="M454" i="3"/>
  <c r="M442" i="3"/>
  <c r="M427" i="3"/>
  <c r="M412" i="3"/>
  <c r="M402" i="3"/>
  <c r="M394" i="3"/>
  <c r="M387" i="3"/>
  <c r="M379" i="3"/>
  <c r="M367" i="3"/>
  <c r="M360" i="3"/>
  <c r="M350" i="3"/>
  <c r="M342" i="3"/>
  <c r="M335" i="3"/>
  <c r="M323" i="3"/>
  <c r="M313" i="3"/>
  <c r="M305" i="3"/>
  <c r="M298" i="3"/>
  <c r="M290" i="3"/>
  <c r="M279" i="3"/>
  <c r="M270" i="3"/>
  <c r="M263" i="3"/>
  <c r="M254" i="3"/>
  <c r="M251" i="3"/>
  <c r="M241" i="3"/>
  <c r="M229" i="3"/>
  <c r="M225" i="3"/>
  <c r="Y96" i="3"/>
  <c r="Y41" i="3"/>
  <c r="Y77" i="3"/>
  <c r="Y144" i="3"/>
  <c r="Y180" i="3"/>
  <c r="Y92" i="3"/>
  <c r="Y37" i="3"/>
  <c r="Y73" i="3"/>
  <c r="Y140" i="3"/>
  <c r="Y176" i="3"/>
  <c r="Y33" i="3"/>
  <c r="Y69" i="3"/>
  <c r="Y136" i="3"/>
  <c r="Y172" i="3"/>
  <c r="Y29" i="3"/>
  <c r="Y65" i="3"/>
  <c r="Y132" i="3"/>
  <c r="Y168" i="3"/>
  <c r="Y185" i="3"/>
  <c r="Y25" i="3"/>
  <c r="Y61" i="3"/>
  <c r="Y128" i="3"/>
  <c r="Y164" i="3"/>
  <c r="Y21" i="3"/>
  <c r="Y57" i="3"/>
  <c r="Y124" i="3"/>
  <c r="Y160" i="3"/>
  <c r="Y81" i="3"/>
  <c r="Y100" i="3"/>
  <c r="Y17" i="3"/>
  <c r="Y53" i="3"/>
  <c r="Y120" i="3"/>
  <c r="Y156" i="3"/>
  <c r="Y184" i="3"/>
  <c r="Y13" i="3"/>
  <c r="Y49" i="3"/>
  <c r="Y116" i="3"/>
  <c r="Y152" i="3"/>
  <c r="Y45" i="3"/>
  <c r="Y112" i="3"/>
  <c r="Y148" i="3"/>
  <c r="M198" i="3"/>
  <c r="M182" i="3"/>
  <c r="M166" i="3"/>
  <c r="M150" i="3"/>
  <c r="M134" i="3"/>
  <c r="M118" i="3"/>
  <c r="M102" i="3"/>
  <c r="M86" i="3"/>
  <c r="M869" i="3"/>
  <c r="M857" i="3"/>
  <c r="M841" i="3"/>
  <c r="M829" i="3"/>
  <c r="M809" i="3"/>
  <c r="M797" i="3"/>
  <c r="M781" i="3"/>
  <c r="M765" i="3"/>
  <c r="M753" i="3"/>
  <c r="M737" i="3"/>
  <c r="M725" i="3"/>
  <c r="M709" i="3"/>
  <c r="M697" i="3"/>
  <c r="M681" i="3"/>
  <c r="M665" i="3"/>
  <c r="M653" i="3"/>
  <c r="M637" i="3"/>
  <c r="M621" i="3"/>
  <c r="M549" i="3"/>
  <c r="M501" i="3"/>
  <c r="M489" i="3"/>
  <c r="M473" i="3"/>
  <c r="M461" i="3"/>
  <c r="M446" i="3"/>
  <c r="M431" i="3"/>
  <c r="M423" i="3"/>
  <c r="M409" i="3"/>
  <c r="M398" i="3"/>
  <c r="M383" i="3"/>
  <c r="M371" i="3"/>
  <c r="M346" i="3"/>
  <c r="M331" i="3"/>
  <c r="M309" i="3"/>
  <c r="M294" i="3"/>
  <c r="M282" i="3"/>
  <c r="M272" i="3"/>
  <c r="M267" i="3"/>
  <c r="M259" i="3"/>
  <c r="M245" i="3"/>
  <c r="M237" i="3"/>
  <c r="M218" i="3"/>
  <c r="Z43" i="3"/>
  <c r="Z79" i="3"/>
  <c r="Z146" i="3"/>
  <c r="Z182" i="3"/>
  <c r="Z201" i="3"/>
  <c r="Z39" i="3"/>
  <c r="Z75" i="3"/>
  <c r="Z142" i="3"/>
  <c r="Z178" i="3"/>
  <c r="Z197" i="3"/>
  <c r="Z207" i="3"/>
  <c r="Z211" i="3"/>
  <c r="Z92" i="3"/>
  <c r="Z35" i="3"/>
  <c r="Z71" i="3"/>
  <c r="Z138" i="3"/>
  <c r="Z174" i="3"/>
  <c r="Z205" i="3"/>
  <c r="Z209" i="3"/>
  <c r="Z193" i="3"/>
  <c r="Z31" i="3"/>
  <c r="Z67" i="3"/>
  <c r="Z134" i="3"/>
  <c r="Z170" i="3"/>
  <c r="Z27" i="3"/>
  <c r="Z63" i="3"/>
  <c r="Z130" i="3"/>
  <c r="Z166" i="3"/>
  <c r="Z82" i="3"/>
  <c r="Z185" i="3"/>
  <c r="Z23" i="3"/>
  <c r="Z59" i="3"/>
  <c r="Z126" i="3"/>
  <c r="Z162" i="3"/>
  <c r="Z19" i="3"/>
  <c r="Z55" i="3"/>
  <c r="Z122" i="3"/>
  <c r="Z158" i="3"/>
  <c r="Z101" i="3"/>
  <c r="Z81" i="3"/>
  <c r="Z100" i="3"/>
  <c r="Z15" i="3"/>
  <c r="Z51" i="3"/>
  <c r="Z118" i="3"/>
  <c r="Z154" i="3"/>
  <c r="Z11" i="3"/>
  <c r="Z47" i="3"/>
  <c r="Z114" i="3"/>
  <c r="Z150" i="3"/>
  <c r="Z110" i="3"/>
  <c r="Z8" i="3"/>
  <c r="M194" i="3"/>
  <c r="M178" i="3"/>
  <c r="M162" i="3"/>
  <c r="M146" i="3"/>
  <c r="M130" i="3"/>
  <c r="M114" i="3"/>
  <c r="M98" i="3"/>
  <c r="M938" i="3"/>
  <c r="M934" i="3"/>
  <c r="M930" i="3"/>
  <c r="M926" i="3"/>
  <c r="M922" i="3"/>
  <c r="M918" i="3"/>
  <c r="M914" i="3"/>
  <c r="M910" i="3"/>
  <c r="M906" i="3"/>
  <c r="M902" i="3"/>
  <c r="M898" i="3"/>
  <c r="M894" i="3"/>
  <c r="M890" i="3"/>
  <c r="M886" i="3"/>
  <c r="M882" i="3"/>
  <c r="M878" i="3"/>
  <c r="M874" i="3"/>
  <c r="M870" i="3"/>
  <c r="M866" i="3"/>
  <c r="M862" i="3"/>
  <c r="M858" i="3"/>
  <c r="M854" i="3"/>
  <c r="M850" i="3"/>
  <c r="M846" i="3"/>
  <c r="M842" i="3"/>
  <c r="M838" i="3"/>
  <c r="M834" i="3"/>
  <c r="M830" i="3"/>
  <c r="M826" i="3"/>
  <c r="M822" i="3"/>
  <c r="M818" i="3"/>
  <c r="M814" i="3"/>
  <c r="M810" i="3"/>
  <c r="M806" i="3"/>
  <c r="M802" i="3"/>
  <c r="M798" i="3"/>
  <c r="M794" i="3"/>
  <c r="M790" i="3"/>
  <c r="M786" i="3"/>
  <c r="M782" i="3"/>
  <c r="M778" i="3"/>
  <c r="M774" i="3"/>
  <c r="M770" i="3"/>
  <c r="M766" i="3"/>
  <c r="M762" i="3"/>
  <c r="M758" i="3"/>
  <c r="M754" i="3"/>
  <c r="M750" i="3"/>
  <c r="M746" i="3"/>
  <c r="M742" i="3"/>
  <c r="M738" i="3"/>
  <c r="M734" i="3"/>
  <c r="M730" i="3"/>
  <c r="M726" i="3"/>
  <c r="M722" i="3"/>
  <c r="M718" i="3"/>
  <c r="M714" i="3"/>
  <c r="M710" i="3"/>
  <c r="M706" i="3"/>
  <c r="M702" i="3"/>
  <c r="M698" i="3"/>
  <c r="M694" i="3"/>
  <c r="M690" i="3"/>
  <c r="M686" i="3"/>
  <c r="M682" i="3"/>
  <c r="M678" i="3"/>
  <c r="M674" i="3"/>
  <c r="M670" i="3"/>
  <c r="M666" i="3"/>
  <c r="M662" i="3"/>
  <c r="M658" i="3"/>
  <c r="M654" i="3"/>
  <c r="M650" i="3"/>
  <c r="M646" i="3"/>
  <c r="M642" i="3"/>
  <c r="M638" i="3"/>
  <c r="M634" i="3"/>
  <c r="M630" i="3"/>
  <c r="M626" i="3"/>
  <c r="M622" i="3"/>
  <c r="M618" i="3"/>
  <c r="M614" i="3"/>
  <c r="M610" i="3"/>
  <c r="M602" i="3"/>
  <c r="M594" i="3"/>
  <c r="M587" i="3"/>
  <c r="M579" i="3"/>
  <c r="M572" i="3"/>
  <c r="M565" i="3"/>
  <c r="M558" i="3"/>
  <c r="M550" i="3"/>
  <c r="M542" i="3"/>
  <c r="M534" i="3"/>
  <c r="M526" i="3"/>
  <c r="M522" i="3"/>
  <c r="M518" i="3"/>
  <c r="M514" i="3"/>
  <c r="M510" i="3"/>
  <c r="M506" i="3"/>
  <c r="M502" i="3"/>
  <c r="M498" i="3"/>
  <c r="M494" i="3"/>
  <c r="M490" i="3"/>
  <c r="M486" i="3"/>
  <c r="M482" i="3"/>
  <c r="M478" i="3"/>
  <c r="M474" i="3"/>
  <c r="M470" i="3"/>
  <c r="M466" i="3"/>
  <c r="M462" i="3"/>
  <c r="M455" i="3"/>
  <c r="M451" i="3"/>
  <c r="M447" i="3"/>
  <c r="M443" i="3"/>
  <c r="M439" i="3"/>
  <c r="M435" i="3"/>
  <c r="M432" i="3"/>
  <c r="M428" i="3"/>
  <c r="M424" i="3"/>
  <c r="M420" i="3"/>
  <c r="M416" i="3"/>
  <c r="M413" i="3"/>
  <c r="M410" i="3"/>
  <c r="M403" i="3"/>
  <c r="M399" i="3"/>
  <c r="M395" i="3"/>
  <c r="M392" i="3"/>
  <c r="M388" i="3"/>
  <c r="M384" i="3"/>
  <c r="M380" i="3"/>
  <c r="M376" i="3"/>
  <c r="M372" i="3"/>
  <c r="M368" i="3"/>
  <c r="M364" i="3"/>
  <c r="M361" i="3"/>
  <c r="M358" i="3"/>
  <c r="M355" i="3"/>
  <c r="M351" i="3"/>
  <c r="M347" i="3"/>
  <c r="M343" i="3"/>
  <c r="M339" i="3"/>
  <c r="M336" i="3"/>
  <c r="M332" i="3"/>
  <c r="M328" i="3"/>
  <c r="M324" i="3"/>
  <c r="M320" i="3"/>
  <c r="M318" i="3"/>
  <c r="M314" i="3"/>
  <c r="M310" i="3"/>
  <c r="M306" i="3"/>
  <c r="M302" i="3"/>
  <c r="M299" i="3"/>
  <c r="M295" i="3"/>
  <c r="M291" i="3"/>
  <c r="M287" i="3"/>
  <c r="M283" i="3"/>
  <c r="M280" i="3"/>
  <c r="M276" i="3"/>
  <c r="M271" i="3"/>
  <c r="M264" i="3"/>
  <c r="M260" i="3"/>
  <c r="M257" i="3"/>
  <c r="M255" i="3"/>
  <c r="M252" i="3"/>
  <c r="M246" i="3"/>
  <c r="M242" i="3"/>
  <c r="M238" i="3"/>
  <c r="M234" i="3"/>
  <c r="M226" i="3"/>
  <c r="M223" i="3"/>
  <c r="M219" i="3"/>
  <c r="M215" i="3"/>
  <c r="M212" i="3"/>
  <c r="M211" i="3"/>
  <c r="M199" i="3"/>
  <c r="M195" i="3"/>
  <c r="M191" i="3"/>
  <c r="M187" i="3"/>
  <c r="M183" i="3"/>
  <c r="M179" i="3"/>
  <c r="M175" i="3"/>
  <c r="M171" i="3"/>
  <c r="M167" i="3"/>
  <c r="M163" i="3"/>
  <c r="M159" i="3"/>
  <c r="M155" i="3"/>
  <c r="M151" i="3"/>
  <c r="M147" i="3"/>
  <c r="M143" i="3"/>
  <c r="M139" i="3"/>
  <c r="M135" i="3"/>
  <c r="M131" i="3"/>
  <c r="M127" i="3"/>
  <c r="M123" i="3"/>
  <c r="M119" i="3"/>
  <c r="M115" i="3"/>
  <c r="M111" i="3"/>
  <c r="M107" i="3"/>
  <c r="M103" i="3"/>
  <c r="M99" i="3"/>
  <c r="M95" i="3"/>
  <c r="M91" i="3"/>
  <c r="M87" i="3"/>
  <c r="M83" i="3"/>
  <c r="M79" i="3"/>
  <c r="M75" i="3"/>
  <c r="M71" i="3"/>
  <c r="M67" i="3"/>
  <c r="M63" i="3"/>
  <c r="M59" i="3"/>
  <c r="M55" i="3"/>
  <c r="M51" i="3"/>
  <c r="M47" i="3"/>
  <c r="M43" i="3"/>
  <c r="M39" i="3"/>
  <c r="M35" i="3"/>
  <c r="M31" i="3"/>
  <c r="M27" i="3"/>
  <c r="M23" i="3"/>
  <c r="M19" i="3"/>
  <c r="M15" i="3"/>
  <c r="M11" i="3"/>
  <c r="M8" i="3"/>
  <c r="M4" i="3"/>
  <c r="K4" i="66"/>
  <c r="K48" i="66"/>
  <c r="K26" i="66"/>
  <c r="A594" i="3" l="1"/>
  <c r="A610" i="3"/>
  <c r="A642" i="3"/>
  <c r="A658" i="3"/>
  <c r="A674" i="3"/>
  <c r="A690" i="3"/>
  <c r="A706" i="3"/>
  <c r="A722" i="3"/>
  <c r="A738" i="3"/>
  <c r="A754" i="3"/>
  <c r="A770" i="3"/>
  <c r="A786" i="3"/>
  <c r="A802" i="3"/>
  <c r="A818" i="3"/>
  <c r="A834" i="3"/>
  <c r="A850" i="3"/>
  <c r="A866" i="3"/>
  <c r="A882" i="3"/>
  <c r="A898" i="3"/>
  <c r="A914" i="3"/>
  <c r="A930" i="3"/>
  <c r="A313" i="3"/>
  <c r="A340" i="3"/>
  <c r="A140" i="3"/>
  <c r="A776" i="3"/>
  <c r="A108" i="3"/>
  <c r="A172" i="3"/>
  <c r="A375" i="3"/>
  <c r="A391" i="3"/>
  <c r="A406" i="3"/>
  <c r="A265" i="3"/>
  <c r="A329" i="3"/>
  <c r="A12" i="3"/>
  <c r="A141" i="3"/>
  <c r="A177" i="3"/>
  <c r="A37" i="3"/>
  <c r="A69" i="3"/>
  <c r="A24" i="3"/>
  <c r="A272" i="3"/>
  <c r="A250" i="3"/>
  <c r="A266" i="3"/>
  <c r="A281" i="3"/>
  <c r="A297" i="3"/>
  <c r="A330" i="3"/>
  <c r="A249" i="3"/>
  <c r="A201" i="3"/>
  <c r="A217" i="3"/>
  <c r="A254" i="3"/>
  <c r="A270" i="3"/>
  <c r="R64" i="66"/>
  <c r="A316" i="3"/>
  <c r="A88" i="3"/>
  <c r="A120" i="3"/>
  <c r="A152" i="3"/>
  <c r="A184" i="3"/>
  <c r="A466" i="3"/>
  <c r="A482" i="3"/>
  <c r="A498" i="3"/>
  <c r="A526" i="3"/>
  <c r="A542" i="3"/>
  <c r="A558" i="3"/>
  <c r="A572" i="3"/>
  <c r="A587" i="3"/>
  <c r="A618" i="3"/>
  <c r="A634" i="3"/>
  <c r="A393" i="3"/>
  <c r="A185" i="3"/>
  <c r="A312" i="3"/>
  <c r="A386" i="3"/>
  <c r="A492" i="3"/>
  <c r="A520" i="3"/>
  <c r="A552" i="3"/>
  <c r="A581" i="3"/>
  <c r="A612" i="3"/>
  <c r="A644" i="3"/>
  <c r="A676" i="3"/>
  <c r="A692" i="3"/>
  <c r="A788" i="3"/>
  <c r="A804" i="3"/>
  <c r="A836" i="3"/>
  <c r="A868" i="3"/>
  <c r="A900" i="3"/>
  <c r="A932" i="3"/>
  <c r="A419" i="3"/>
  <c r="A36" i="3"/>
  <c r="A68" i="3"/>
  <c r="A218" i="3"/>
  <c r="A234" i="3"/>
  <c r="A216" i="3"/>
  <c r="A302" i="3"/>
  <c r="A318" i="3"/>
  <c r="A289" i="3"/>
  <c r="A337" i="3"/>
  <c r="A273" i="3"/>
  <c r="A315" i="3"/>
  <c r="A233" i="3"/>
  <c r="A7" i="3"/>
  <c r="A588" i="3"/>
  <c r="A699" i="3"/>
  <c r="A731" i="3"/>
  <c r="A843" i="3"/>
  <c r="A923" i="3"/>
  <c r="A603" i="3"/>
  <c r="A779" i="3"/>
  <c r="A939" i="3"/>
  <c r="A483" i="3"/>
  <c r="A635" i="3"/>
  <c r="A859" i="3"/>
  <c r="A25" i="3"/>
  <c r="A57" i="3"/>
  <c r="A109" i="3"/>
  <c r="A145" i="3"/>
  <c r="A173" i="3"/>
  <c r="A220" i="3"/>
  <c r="A336" i="3"/>
  <c r="A294" i="3"/>
  <c r="A248" i="3"/>
  <c r="A397" i="3"/>
  <c r="A426" i="3"/>
  <c r="A472" i="3"/>
  <c r="A504" i="3"/>
  <c r="A532" i="3"/>
  <c r="A563" i="3"/>
  <c r="A592" i="3"/>
  <c r="A624" i="3"/>
  <c r="A656" i="3"/>
  <c r="A688" i="3"/>
  <c r="A704" i="3"/>
  <c r="A800" i="3"/>
  <c r="A816" i="3"/>
  <c r="A848" i="3"/>
  <c r="A880" i="3"/>
  <c r="A912" i="3"/>
  <c r="A80" i="3"/>
  <c r="A208" i="3"/>
  <c r="A450" i="3"/>
  <c r="A465" i="3"/>
  <c r="A481" i="3"/>
  <c r="A497" i="3"/>
  <c r="A513" i="3"/>
  <c r="A525" i="3"/>
  <c r="A541" i="3"/>
  <c r="A557" i="3"/>
  <c r="A571" i="3"/>
  <c r="A586" i="3"/>
  <c r="A601" i="3"/>
  <c r="A617" i="3"/>
  <c r="A633" i="3"/>
  <c r="A649" i="3"/>
  <c r="A665" i="3"/>
  <c r="A681" i="3"/>
  <c r="A697" i="3"/>
  <c r="A713" i="3"/>
  <c r="A729" i="3"/>
  <c r="A745" i="3"/>
  <c r="A761" i="3"/>
  <c r="A777" i="3"/>
  <c r="A793" i="3"/>
  <c r="A809" i="3"/>
  <c r="A825" i="3"/>
  <c r="A841" i="3"/>
  <c r="A857" i="3"/>
  <c r="A873" i="3"/>
  <c r="A889" i="3"/>
  <c r="A905" i="3"/>
  <c r="A921" i="3"/>
  <c r="A937" i="3"/>
  <c r="A244" i="3"/>
  <c r="A304" i="3"/>
  <c r="A378" i="3"/>
  <c r="A408" i="3"/>
  <c r="A437" i="3"/>
  <c r="A453" i="3"/>
  <c r="A484" i="3"/>
  <c r="A544" i="3"/>
  <c r="A574" i="3"/>
  <c r="A604" i="3"/>
  <c r="A636" i="3"/>
  <c r="A668" i="3"/>
  <c r="A828" i="3"/>
  <c r="A860" i="3"/>
  <c r="A892" i="3"/>
  <c r="A924" i="3"/>
  <c r="A400" i="3"/>
  <c r="A551" i="3"/>
  <c r="A627" i="3"/>
  <c r="A659" i="3"/>
  <c r="A771" i="3"/>
  <c r="A883" i="3"/>
  <c r="A723" i="3"/>
  <c r="A284" i="3"/>
  <c r="A691" i="3"/>
  <c r="A755" i="3"/>
  <c r="A803" i="3"/>
  <c r="A44" i="3"/>
  <c r="A60" i="3"/>
  <c r="A724" i="3"/>
  <c r="A740" i="3"/>
  <c r="A756" i="3"/>
  <c r="A772" i="3"/>
  <c r="A189" i="3"/>
  <c r="A20" i="3"/>
  <c r="A116" i="3"/>
  <c r="A148" i="3"/>
  <c r="A180" i="3"/>
  <c r="A205" i="3"/>
  <c r="A422" i="3"/>
  <c r="A500" i="3"/>
  <c r="A528" i="3"/>
  <c r="A560" i="3"/>
  <c r="A620" i="3"/>
  <c r="A652" i="3"/>
  <c r="A684" i="3"/>
  <c r="A700" i="3"/>
  <c r="A716" i="3"/>
  <c r="A732" i="3"/>
  <c r="A748" i="3"/>
  <c r="A764" i="3"/>
  <c r="A796" i="3"/>
  <c r="A812" i="3"/>
  <c r="A844" i="3"/>
  <c r="A876" i="3"/>
  <c r="A908" i="3"/>
  <c r="A940" i="3"/>
  <c r="A515" i="3"/>
  <c r="A503" i="3"/>
  <c r="A831" i="3"/>
  <c r="A531" i="3"/>
  <c r="A89" i="3"/>
  <c r="A121" i="3"/>
  <c r="A153" i="3"/>
  <c r="A76" i="3"/>
  <c r="A204" i="3"/>
  <c r="A231" i="3"/>
  <c r="A23" i="3"/>
  <c r="A39" i="3"/>
  <c r="A55" i="3"/>
  <c r="A71" i="3"/>
  <c r="A87" i="3"/>
  <c r="A103" i="3"/>
  <c r="A119" i="3"/>
  <c r="A135" i="3"/>
  <c r="A151" i="3"/>
  <c r="A167" i="3"/>
  <c r="A183" i="3"/>
  <c r="A199" i="3"/>
  <c r="A376" i="3"/>
  <c r="A392" i="3"/>
  <c r="A420" i="3"/>
  <c r="A435" i="3"/>
  <c r="A451" i="3"/>
  <c r="A622" i="3"/>
  <c r="A10" i="3"/>
  <c r="A26" i="3"/>
  <c r="A42" i="3"/>
  <c r="A58" i="3"/>
  <c r="A74" i="3"/>
  <c r="A90" i="3"/>
  <c r="A106" i="3"/>
  <c r="A122" i="3"/>
  <c r="A138" i="3"/>
  <c r="A154" i="3"/>
  <c r="A170" i="3"/>
  <c r="A186" i="3"/>
  <c r="A202" i="3"/>
  <c r="A263" i="3"/>
  <c r="A327" i="3"/>
  <c r="A253" i="3"/>
  <c r="A269" i="3"/>
  <c r="A285" i="3"/>
  <c r="A301" i="3"/>
  <c r="A374" i="3"/>
  <c r="A405" i="3"/>
  <c r="A480" i="3"/>
  <c r="A512" i="3"/>
  <c r="A540" i="3"/>
  <c r="A570" i="3"/>
  <c r="A600" i="3"/>
  <c r="A632" i="3"/>
  <c r="A664" i="3"/>
  <c r="A712" i="3"/>
  <c r="A728" i="3"/>
  <c r="A744" i="3"/>
  <c r="A760" i="3"/>
  <c r="A824" i="3"/>
  <c r="A856" i="3"/>
  <c r="A888" i="3"/>
  <c r="A920" i="3"/>
  <c r="A511" i="3"/>
  <c r="A615" i="3"/>
  <c r="A759" i="3"/>
  <c r="A839" i="3"/>
  <c r="A433" i="3"/>
  <c r="A539" i="3"/>
  <c r="A711" i="3"/>
  <c r="A823" i="3"/>
  <c r="A871" i="3"/>
  <c r="A679" i="3"/>
  <c r="A17" i="3"/>
  <c r="A49" i="3"/>
  <c r="A81" i="3"/>
  <c r="A137" i="3"/>
  <c r="A165" i="3"/>
  <c r="A56" i="3"/>
  <c r="A252" i="3"/>
  <c r="A314" i="3"/>
  <c r="A646" i="3"/>
  <c r="A662" i="3"/>
  <c r="A678" i="3"/>
  <c r="A694" i="3"/>
  <c r="A710" i="3"/>
  <c r="A726" i="3"/>
  <c r="A742" i="3"/>
  <c r="A758" i="3"/>
  <c r="A774" i="3"/>
  <c r="A790" i="3"/>
  <c r="A806" i="3"/>
  <c r="A822" i="3"/>
  <c r="A838" i="3"/>
  <c r="A854" i="3"/>
  <c r="A870" i="3"/>
  <c r="A886" i="3"/>
  <c r="A902" i="3"/>
  <c r="A918" i="3"/>
  <c r="A934" i="3"/>
  <c r="A282" i="3"/>
  <c r="A298" i="3"/>
  <c r="A317" i="3"/>
  <c r="A379" i="3"/>
  <c r="A394" i="3"/>
  <c r="A469" i="3"/>
  <c r="A485" i="3"/>
  <c r="A501" i="3"/>
  <c r="A529" i="3"/>
  <c r="A545" i="3"/>
  <c r="A589" i="3"/>
  <c r="A605" i="3"/>
  <c r="A621" i="3"/>
  <c r="A637" i="3"/>
  <c r="A653" i="3"/>
  <c r="A669" i="3"/>
  <c r="A685" i="3"/>
  <c r="A701" i="3"/>
  <c r="A717" i="3"/>
  <c r="A733" i="3"/>
  <c r="A749" i="3"/>
  <c r="A765" i="3"/>
  <c r="A781" i="3"/>
  <c r="A797" i="3"/>
  <c r="A813" i="3"/>
  <c r="A829" i="3"/>
  <c r="A845" i="3"/>
  <c r="A861" i="3"/>
  <c r="A877" i="3"/>
  <c r="A893" i="3"/>
  <c r="A909" i="3"/>
  <c r="A925" i="3"/>
  <c r="A941" i="3"/>
  <c r="A373" i="3"/>
  <c r="A599" i="3"/>
  <c r="A631" i="3"/>
  <c r="A743" i="3"/>
  <c r="A855" i="3"/>
  <c r="A935" i="3"/>
  <c r="A463" i="3"/>
  <c r="A247" i="3"/>
  <c r="A404" i="3"/>
  <c r="A495" i="3"/>
  <c r="A647" i="3"/>
  <c r="A117" i="3"/>
  <c r="A149" i="3"/>
  <c r="A181" i="3"/>
  <c r="A96" i="3"/>
  <c r="A128" i="3"/>
  <c r="A160" i="3"/>
  <c r="A192" i="3"/>
  <c r="A215" i="3"/>
  <c r="A228" i="3"/>
  <c r="A237" i="3"/>
  <c r="A221" i="3"/>
  <c r="A280" i="3"/>
  <c r="A295" i="3"/>
  <c r="A324" i="3"/>
  <c r="A279" i="3"/>
  <c r="A256" i="3"/>
  <c r="A780" i="3"/>
  <c r="A479" i="3"/>
  <c r="A807" i="3"/>
  <c r="A292" i="3"/>
  <c r="A448" i="3"/>
  <c r="A555" i="3"/>
  <c r="A663" i="3"/>
  <c r="A887" i="3"/>
  <c r="A333" i="3"/>
  <c r="A389" i="3"/>
  <c r="A584" i="3"/>
  <c r="A919" i="3"/>
  <c r="A13" i="3"/>
  <c r="A45" i="3"/>
  <c r="A77" i="3"/>
  <c r="A28" i="3"/>
  <c r="A92" i="3"/>
  <c r="A124" i="3"/>
  <c r="A156" i="3"/>
  <c r="A188" i="3"/>
  <c r="A468" i="3"/>
  <c r="A454" i="3"/>
  <c r="A460" i="3"/>
  <c r="A409" i="3"/>
  <c r="A423" i="3"/>
  <c r="A438" i="3"/>
  <c r="A440" i="3"/>
  <c r="A415" i="3"/>
  <c r="A445" i="3"/>
  <c r="A436" i="3"/>
  <c r="A434" i="3"/>
  <c r="A246" i="3"/>
  <c r="A339" i="3"/>
  <c r="A275" i="3"/>
  <c r="A429" i="3"/>
  <c r="A519" i="3"/>
  <c r="A851" i="3"/>
  <c r="A213" i="3"/>
  <c r="A227" i="3"/>
  <c r="A236" i="3"/>
  <c r="A242" i="3"/>
  <c r="A276" i="3"/>
  <c r="A291" i="3"/>
  <c r="A306" i="3"/>
  <c r="A650" i="3"/>
  <c r="A22" i="3"/>
  <c r="A38" i="3"/>
  <c r="A54" i="3"/>
  <c r="A70" i="3"/>
  <c r="A86" i="3"/>
  <c r="A102" i="3"/>
  <c r="A118" i="3"/>
  <c r="A134" i="3"/>
  <c r="A150" i="3"/>
  <c r="A166" i="3"/>
  <c r="A182" i="3"/>
  <c r="A198" i="3"/>
  <c r="A259" i="3"/>
  <c r="A323" i="3"/>
  <c r="A338" i="3"/>
  <c r="A310" i="3"/>
  <c r="A580" i="3"/>
  <c r="A915" i="3"/>
  <c r="A739" i="3"/>
  <c r="A787" i="3"/>
  <c r="A6" i="3"/>
  <c r="A9" i="3"/>
  <c r="A230" i="3"/>
  <c r="A214" i="3"/>
  <c r="A4" i="3"/>
  <c r="A19" i="3"/>
  <c r="A35" i="3"/>
  <c r="A51" i="3"/>
  <c r="A67" i="3"/>
  <c r="A83" i="3"/>
  <c r="A99" i="3"/>
  <c r="A115" i="3"/>
  <c r="A131" i="3"/>
  <c r="A147" i="3"/>
  <c r="A163" i="3"/>
  <c r="A179" i="3"/>
  <c r="A195" i="3"/>
  <c r="A211" i="3"/>
  <c r="A332" i="3"/>
  <c r="A347" i="3"/>
  <c r="A372" i="3"/>
  <c r="A388" i="3"/>
  <c r="A403" i="3"/>
  <c r="A416" i="3"/>
  <c r="A432" i="3"/>
  <c r="A447" i="3"/>
  <c r="A462" i="3"/>
  <c r="A478" i="3"/>
  <c r="A494" i="3"/>
  <c r="A510" i="3"/>
  <c r="A522" i="3"/>
  <c r="A538" i="3"/>
  <c r="A554" i="3"/>
  <c r="A568" i="3"/>
  <c r="A583" i="3"/>
  <c r="A598" i="3"/>
  <c r="A614" i="3"/>
  <c r="A3" i="3"/>
  <c r="A262" i="3"/>
  <c r="A278" i="3"/>
  <c r="A293" i="3"/>
  <c r="A308" i="3"/>
  <c r="A326" i="3"/>
  <c r="A341" i="3"/>
  <c r="A720" i="3"/>
  <c r="A736" i="3"/>
  <c r="A752" i="3"/>
  <c r="A768" i="3"/>
  <c r="A325" i="3"/>
  <c r="A491" i="3"/>
  <c r="A307" i="3"/>
  <c r="A675" i="3"/>
  <c r="A899" i="3"/>
  <c r="A444" i="3"/>
  <c r="A595" i="3"/>
  <c r="A707" i="3"/>
  <c r="A819" i="3"/>
  <c r="A931" i="3"/>
  <c r="A97" i="3"/>
  <c r="A161" i="3"/>
  <c r="A224" i="3"/>
  <c r="A222" i="3"/>
  <c r="A8" i="3"/>
  <c r="A257" i="3"/>
  <c r="A320" i="3"/>
  <c r="A602" i="3"/>
  <c r="A666" i="3"/>
  <c r="A682" i="3"/>
  <c r="A698" i="3"/>
  <c r="A714" i="3"/>
  <c r="A730" i="3"/>
  <c r="A746" i="3"/>
  <c r="A762" i="3"/>
  <c r="A778" i="3"/>
  <c r="A794" i="3"/>
  <c r="A810" i="3"/>
  <c r="A826" i="3"/>
  <c r="A842" i="3"/>
  <c r="A858" i="3"/>
  <c r="A874" i="3"/>
  <c r="A890" i="3"/>
  <c r="A906" i="3"/>
  <c r="A922" i="3"/>
  <c r="A938" i="3"/>
  <c r="A241" i="3"/>
  <c r="A286" i="3"/>
  <c r="A305" i="3"/>
  <c r="A382" i="3"/>
  <c r="A411" i="3"/>
  <c r="A441" i="3"/>
  <c r="A457" i="3"/>
  <c r="A488" i="3"/>
  <c r="A516" i="3"/>
  <c r="A548" i="3"/>
  <c r="A577" i="3"/>
  <c r="A608" i="3"/>
  <c r="A640" i="3"/>
  <c r="A672" i="3"/>
  <c r="A784" i="3"/>
  <c r="A832" i="3"/>
  <c r="A864" i="3"/>
  <c r="A896" i="3"/>
  <c r="A928" i="3"/>
  <c r="A288" i="3"/>
  <c r="A452" i="3"/>
  <c r="A527" i="3"/>
  <c r="A407" i="3"/>
  <c r="A619" i="3"/>
  <c r="A795" i="3"/>
  <c r="A300" i="3"/>
  <c r="A344" i="3"/>
  <c r="A125" i="3"/>
  <c r="A21" i="3"/>
  <c r="A53" i="3"/>
  <c r="A85" i="3"/>
  <c r="A32" i="3"/>
  <c r="A48" i="3"/>
  <c r="A64" i="3"/>
  <c r="A219" i="3"/>
  <c r="A235" i="3"/>
  <c r="A238" i="3"/>
  <c r="A264" i="3"/>
  <c r="A283" i="3"/>
  <c r="A299" i="3"/>
  <c r="A626" i="3"/>
  <c r="A14" i="3"/>
  <c r="A30" i="3"/>
  <c r="A46" i="3"/>
  <c r="A62" i="3"/>
  <c r="A78" i="3"/>
  <c r="A94" i="3"/>
  <c r="A110" i="3"/>
  <c r="A126" i="3"/>
  <c r="A142" i="3"/>
  <c r="A158" i="3"/>
  <c r="A174" i="3"/>
  <c r="A190" i="3"/>
  <c r="A206" i="3"/>
  <c r="A251" i="3"/>
  <c r="A267" i="3"/>
  <c r="A331" i="3"/>
  <c r="A209" i="3"/>
  <c r="A334" i="3"/>
  <c r="A467" i="3"/>
  <c r="A543" i="3"/>
  <c r="A875" i="3"/>
  <c r="A651" i="3"/>
  <c r="A763" i="3"/>
  <c r="A321" i="3"/>
  <c r="A377" i="3"/>
  <c r="A573" i="3"/>
  <c r="A907" i="3"/>
  <c r="A113" i="3"/>
  <c r="A104" i="3"/>
  <c r="A136" i="3"/>
  <c r="A168" i="3"/>
  <c r="A350" i="3"/>
  <c r="A232" i="3"/>
  <c r="A225" i="3"/>
  <c r="A11" i="3"/>
  <c r="A27" i="3"/>
  <c r="A43" i="3"/>
  <c r="A59" i="3"/>
  <c r="A75" i="3"/>
  <c r="A91" i="3"/>
  <c r="A107" i="3"/>
  <c r="A123" i="3"/>
  <c r="A139" i="3"/>
  <c r="A155" i="3"/>
  <c r="A171" i="3"/>
  <c r="A187" i="3"/>
  <c r="A203" i="3"/>
  <c r="A260" i="3"/>
  <c r="A380" i="3"/>
  <c r="A395" i="3"/>
  <c r="A410" i="3"/>
  <c r="A424" i="3"/>
  <c r="A439" i="3"/>
  <c r="A455" i="3"/>
  <c r="A470" i="3"/>
  <c r="A486" i="3"/>
  <c r="A502" i="3"/>
  <c r="A514" i="3"/>
  <c r="A530" i="3"/>
  <c r="A546" i="3"/>
  <c r="A561" i="3"/>
  <c r="A575" i="3"/>
  <c r="A606" i="3"/>
  <c r="A638" i="3"/>
  <c r="A342" i="3"/>
  <c r="A383" i="3"/>
  <c r="A398" i="3"/>
  <c r="A412" i="3"/>
  <c r="A427" i="3"/>
  <c r="A442" i="3"/>
  <c r="A458" i="3"/>
  <c r="A473" i="3"/>
  <c r="A489" i="3"/>
  <c r="A505" i="3"/>
  <c r="A517" i="3"/>
  <c r="A533" i="3"/>
  <c r="A549" i="3"/>
  <c r="A564" i="3"/>
  <c r="A578" i="3"/>
  <c r="A593" i="3"/>
  <c r="A609" i="3"/>
  <c r="A625" i="3"/>
  <c r="A641" i="3"/>
  <c r="A657" i="3"/>
  <c r="A673" i="3"/>
  <c r="A689" i="3"/>
  <c r="A705" i="3"/>
  <c r="A721" i="3"/>
  <c r="A737" i="3"/>
  <c r="A753" i="3"/>
  <c r="A769" i="3"/>
  <c r="A785" i="3"/>
  <c r="A801" i="3"/>
  <c r="A817" i="3"/>
  <c r="A833" i="3"/>
  <c r="A849" i="3"/>
  <c r="A865" i="3"/>
  <c r="A881" i="3"/>
  <c r="A897" i="3"/>
  <c r="A913" i="3"/>
  <c r="A929" i="3"/>
  <c r="A345" i="3"/>
  <c r="A348" i="3"/>
  <c r="A93" i="3"/>
  <c r="A157" i="3"/>
  <c r="A100" i="3"/>
  <c r="A132" i="3"/>
  <c r="A164" i="3"/>
  <c r="A196" i="3"/>
  <c r="A226" i="3"/>
  <c r="A239" i="3"/>
  <c r="A255" i="3"/>
  <c r="A271" i="3"/>
  <c r="A287" i="3"/>
  <c r="A630" i="3"/>
  <c r="A18" i="3"/>
  <c r="A34" i="3"/>
  <c r="A50" i="3"/>
  <c r="A66" i="3"/>
  <c r="A82" i="3"/>
  <c r="A98" i="3"/>
  <c r="A114" i="3"/>
  <c r="A130" i="3"/>
  <c r="A146" i="3"/>
  <c r="A162" i="3"/>
  <c r="A178" i="3"/>
  <c r="A194" i="3"/>
  <c r="A210" i="3"/>
  <c r="A335" i="3"/>
  <c r="A274" i="3"/>
  <c r="A322" i="3"/>
  <c r="A353" i="3"/>
  <c r="A396" i="3"/>
  <c r="A655" i="3"/>
  <c r="A687" i="3"/>
  <c r="A719" i="3"/>
  <c r="A799" i="3"/>
  <c r="A258" i="3"/>
  <c r="A381" i="3"/>
  <c r="A487" i="3"/>
  <c r="A591" i="3"/>
  <c r="A927" i="3"/>
  <c r="A277" i="3"/>
  <c r="A425" i="3"/>
  <c r="A471" i="3"/>
  <c r="A623" i="3"/>
  <c r="A101" i="3"/>
  <c r="A197" i="3"/>
  <c r="A40" i="3"/>
  <c r="A72" i="3"/>
  <c r="A200" i="3"/>
  <c r="A229" i="3"/>
  <c r="A240" i="3"/>
  <c r="A212" i="3"/>
  <c r="A15" i="3"/>
  <c r="A31" i="3"/>
  <c r="A47" i="3"/>
  <c r="A63" i="3"/>
  <c r="A79" i="3"/>
  <c r="A95" i="3"/>
  <c r="A111" i="3"/>
  <c r="A127" i="3"/>
  <c r="A143" i="3"/>
  <c r="A159" i="3"/>
  <c r="A175" i="3"/>
  <c r="A191" i="3"/>
  <c r="A207" i="3"/>
  <c r="A328" i="3"/>
  <c r="A384" i="3"/>
  <c r="A399" i="3"/>
  <c r="A413" i="3"/>
  <c r="A428" i="3"/>
  <c r="A443" i="3"/>
  <c r="A474" i="3"/>
  <c r="A490" i="3"/>
  <c r="A506" i="3"/>
  <c r="A518" i="3"/>
  <c r="A534" i="3"/>
  <c r="A550" i="3"/>
  <c r="A565" i="3"/>
  <c r="A579" i="3"/>
  <c r="A387" i="3"/>
  <c r="A402" i="3"/>
  <c r="A431" i="3"/>
  <c r="A446" i="3"/>
  <c r="A461" i="3"/>
  <c r="A477" i="3"/>
  <c r="A493" i="3"/>
  <c r="A509" i="3"/>
  <c r="A537" i="3"/>
  <c r="A553" i="3"/>
  <c r="A567" i="3"/>
  <c r="A582" i="3"/>
  <c r="A597" i="3"/>
  <c r="A613" i="3"/>
  <c r="A629" i="3"/>
  <c r="A645" i="3"/>
  <c r="A661" i="3"/>
  <c r="A677" i="3"/>
  <c r="A693" i="3"/>
  <c r="A709" i="3"/>
  <c r="A725" i="3"/>
  <c r="A741" i="3"/>
  <c r="A757" i="3"/>
  <c r="A773" i="3"/>
  <c r="A789" i="3"/>
  <c r="A805" i="3"/>
  <c r="A821" i="3"/>
  <c r="A837" i="3"/>
  <c r="A853" i="3"/>
  <c r="A869" i="3"/>
  <c r="A885" i="3"/>
  <c r="A901" i="3"/>
  <c r="A917" i="3"/>
  <c r="A933" i="3"/>
  <c r="A390" i="3"/>
  <c r="A418" i="3"/>
  <c r="A449" i="3"/>
  <c r="A464" i="3"/>
  <c r="A496" i="3"/>
  <c r="A524" i="3"/>
  <c r="A556" i="3"/>
  <c r="A585" i="3"/>
  <c r="A616" i="3"/>
  <c r="A648" i="3"/>
  <c r="A680" i="3"/>
  <c r="A696" i="3"/>
  <c r="A792" i="3"/>
  <c r="A808" i="3"/>
  <c r="A840" i="3"/>
  <c r="A872" i="3"/>
  <c r="A904" i="3"/>
  <c r="A936" i="3"/>
  <c r="A223" i="3"/>
  <c r="A590" i="3"/>
  <c r="A654" i="3"/>
  <c r="A670" i="3"/>
  <c r="A686" i="3"/>
  <c r="A702" i="3"/>
  <c r="A718" i="3"/>
  <c r="A734" i="3"/>
  <c r="A750" i="3"/>
  <c r="A766" i="3"/>
  <c r="A782" i="3"/>
  <c r="A798" i="3"/>
  <c r="A814" i="3"/>
  <c r="A830" i="3"/>
  <c r="A846" i="3"/>
  <c r="A862" i="3"/>
  <c r="A878" i="3"/>
  <c r="A894" i="3"/>
  <c r="A910" i="3"/>
  <c r="A926" i="3"/>
  <c r="A245" i="3"/>
  <c r="A290" i="3"/>
  <c r="A309" i="3"/>
  <c r="A401" i="3"/>
  <c r="A430" i="3"/>
  <c r="A476" i="3"/>
  <c r="A508" i="3"/>
  <c r="A536" i="3"/>
  <c r="A566" i="3"/>
  <c r="A596" i="3"/>
  <c r="A628" i="3"/>
  <c r="A660" i="3"/>
  <c r="A708" i="3"/>
  <c r="A820" i="3"/>
  <c r="A852" i="3"/>
  <c r="A884" i="3"/>
  <c r="A916" i="3"/>
  <c r="A296" i="3"/>
  <c r="A562" i="3"/>
  <c r="A671" i="3"/>
  <c r="A703" i="3"/>
  <c r="A783" i="3"/>
  <c r="A815" i="3"/>
  <c r="A895" i="3"/>
  <c r="A735" i="3"/>
  <c r="A847" i="3"/>
  <c r="A547" i="3"/>
  <c r="A767" i="3"/>
  <c r="A879" i="3"/>
  <c r="A33" i="3"/>
  <c r="A65" i="3"/>
  <c r="A193" i="3"/>
  <c r="A16" i="3"/>
  <c r="A112" i="3"/>
  <c r="A144" i="3"/>
  <c r="A176" i="3"/>
  <c r="A268" i="3"/>
  <c r="A303" i="3"/>
  <c r="A385" i="3"/>
  <c r="A421" i="3"/>
  <c r="A456" i="3"/>
  <c r="A499" i="3"/>
  <c r="A535" i="3"/>
  <c r="A569" i="3"/>
  <c r="A607" i="3"/>
  <c r="A643" i="3"/>
  <c r="A683" i="3"/>
  <c r="A715" i="3"/>
  <c r="A751" i="3"/>
  <c r="A791" i="3"/>
  <c r="A827" i="3"/>
  <c r="A867" i="3"/>
  <c r="A903" i="3"/>
  <c r="A243" i="3"/>
  <c r="A319" i="3"/>
  <c r="A417" i="3"/>
  <c r="A475" i="3"/>
  <c r="A523" i="3"/>
  <c r="A576" i="3"/>
  <c r="A639" i="3"/>
  <c r="A695" i="3"/>
  <c r="A747" i="3"/>
  <c r="A811" i="3"/>
  <c r="A863" i="3"/>
  <c r="A911" i="3"/>
  <c r="A261" i="3"/>
  <c r="A311" i="3"/>
  <c r="A414" i="3"/>
  <c r="A459" i="3"/>
  <c r="A507" i="3"/>
  <c r="A559" i="3"/>
  <c r="A611" i="3"/>
  <c r="A667" i="3"/>
  <c r="A727" i="3"/>
  <c r="A775" i="3"/>
  <c r="A835" i="3"/>
  <c r="A891" i="3"/>
  <c r="A2" i="3"/>
  <c r="A41" i="3"/>
  <c r="A73" i="3"/>
  <c r="A105" i="3"/>
  <c r="A133" i="3"/>
  <c r="A169" i="3"/>
  <c r="A29" i="3"/>
  <c r="A61" i="3"/>
  <c r="A129" i="3"/>
  <c r="A5" i="3"/>
  <c r="A52" i="3"/>
  <c r="A84" i="3"/>
  <c r="A371" i="3"/>
  <c r="A365" i="3"/>
  <c r="A368" i="3"/>
  <c r="A367" i="3"/>
  <c r="A370" i="3"/>
  <c r="A366" i="3"/>
  <c r="A369" i="3"/>
  <c r="A362" i="3"/>
  <c r="A364" i="3"/>
  <c r="A361" i="3"/>
  <c r="A363" i="3"/>
  <c r="A360" i="3"/>
  <c r="A357" i="3"/>
  <c r="A358" i="3"/>
  <c r="A359" i="3"/>
  <c r="A356" i="3"/>
  <c r="A349" i="3"/>
  <c r="A352" i="3"/>
  <c r="A355" i="3"/>
  <c r="A351" i="3"/>
  <c r="A354" i="3"/>
  <c r="A343" i="3"/>
  <c r="A346" i="3"/>
  <c r="C44" i="66"/>
  <c r="R38" i="66"/>
  <c r="R41" i="66"/>
  <c r="D44" i="66"/>
  <c r="E44" i="66"/>
  <c r="B44" i="66"/>
  <c r="R34" i="66"/>
  <c r="R30" i="66"/>
  <c r="R67" i="66"/>
  <c r="R36" i="66"/>
  <c r="R49" i="66"/>
  <c r="R35" i="66"/>
  <c r="R26" i="66"/>
  <c r="R59" i="66"/>
  <c r="R21" i="66"/>
  <c r="M66" i="66"/>
  <c r="R6" i="66"/>
  <c r="O22" i="66"/>
  <c r="M44" i="66"/>
  <c r="R20" i="66"/>
  <c r="R43" i="66"/>
  <c r="R28" i="66"/>
  <c r="R66" i="66"/>
  <c r="R60" i="66"/>
  <c r="P44" i="66"/>
  <c r="R5" i="66"/>
  <c r="R4" i="66"/>
  <c r="M22" i="66"/>
  <c r="J44" i="66"/>
  <c r="R45" i="66"/>
  <c r="R7" i="66"/>
  <c r="R9" i="66"/>
  <c r="R8" i="66"/>
  <c r="L22" i="66"/>
  <c r="O44" i="66"/>
  <c r="K44" i="66"/>
  <c r="J66" i="66"/>
  <c r="R44" i="66"/>
  <c r="R10" i="66"/>
  <c r="R11" i="66"/>
  <c r="R3" i="66"/>
  <c r="P22" i="66"/>
  <c r="P66" i="66"/>
  <c r="N44" i="66"/>
  <c r="R51" i="66"/>
  <c r="R65" i="66"/>
  <c r="R48" i="66"/>
  <c r="R61" i="66"/>
  <c r="R62" i="66"/>
  <c r="R40" i="66"/>
  <c r="R31" i="66"/>
  <c r="R29" i="66"/>
  <c r="R39" i="66"/>
  <c r="R37" i="66"/>
  <c r="R54" i="66"/>
  <c r="R57" i="66"/>
  <c r="R55" i="66"/>
  <c r="R58" i="66"/>
  <c r="R56" i="66"/>
  <c r="R33" i="66"/>
  <c r="R27" i="66"/>
  <c r="R42" i="66"/>
  <c r="R32" i="66"/>
  <c r="R63" i="66"/>
  <c r="R53" i="66"/>
  <c r="R47" i="66"/>
  <c r="R50" i="66"/>
  <c r="R15" i="66"/>
  <c r="R14" i="66"/>
  <c r="R13" i="66"/>
  <c r="R19" i="66"/>
  <c r="R12" i="66"/>
  <c r="O66" i="66"/>
  <c r="L44" i="66"/>
  <c r="R23" i="66"/>
  <c r="R22" i="66"/>
  <c r="R17" i="66"/>
  <c r="R18" i="66"/>
  <c r="R16" i="66"/>
  <c r="K22" i="66"/>
  <c r="N22" i="66"/>
  <c r="N66" i="66"/>
  <c r="K66" i="66"/>
  <c r="L66" i="66"/>
  <c r="I7" i="66"/>
  <c r="I8" i="66"/>
  <c r="I5" i="66"/>
  <c r="I9" i="66"/>
  <c r="I3" i="66"/>
</calcChain>
</file>

<file path=xl/comments1.xml><?xml version="1.0" encoding="utf-8"?>
<comments xmlns="http://schemas.openxmlformats.org/spreadsheetml/2006/main">
  <authors>
    <author>FIRST Robotics User</author>
    <author>beltta</author>
  </authors>
  <commentList>
    <comment ref="F1" authorId="0" shapeId="0">
      <text>
        <r>
          <rPr>
            <b/>
            <sz val="9"/>
            <color indexed="81"/>
            <rFont val="Tahoma"/>
            <family val="2"/>
          </rPr>
          <t>Tim Delaney</t>
        </r>
        <r>
          <rPr>
            <sz val="9"/>
            <color indexed="81"/>
            <rFont val="Tahoma"/>
            <family val="2"/>
          </rPr>
          <t xml:space="preserve">
5 points each for:
- pickup during autonomous
- Full court shooter
2 point each for:
- excellent driver
- can drive under pyramid
(-2) point for:
- starting at position "K"</t>
        </r>
      </text>
    </comment>
    <comment ref="H1" authorId="1" shapeId="0">
      <text/>
    </comment>
    <comment ref="O1" authorId="1" shapeId="0">
      <text>
        <r>
          <rPr>
            <b/>
            <sz val="8"/>
            <color indexed="81"/>
            <rFont val="Tahoma"/>
            <family val="2"/>
          </rPr>
          <t xml:space="preserve">Tim Delaney:
</t>
        </r>
        <r>
          <rPr>
            <sz val="8"/>
            <color indexed="81"/>
            <rFont val="Tahoma"/>
            <family val="2"/>
          </rPr>
          <t xml:space="preserve">Defensive impact = 
Disc Blocking:
% effective *20% per setting * time *  scoring rate of a good full-court shooting robot (30 points every 30 seconds)
+
On Robot:
 % effective *30% per setting * time * scoring rate of a good teleop shooting robot (12 points every 30 seconds)
</t>
        </r>
        <r>
          <rPr>
            <u/>
            <sz val="8"/>
            <color indexed="81"/>
            <rFont val="Tahoma"/>
            <family val="2"/>
          </rPr>
          <t xml:space="preserve">Another note:  </t>
        </r>
        <r>
          <rPr>
            <sz val="8"/>
            <color indexed="81"/>
            <rFont val="Tahoma"/>
            <family val="2"/>
          </rPr>
          <t>preventing a climber from getting to the pyramid is worth 10 points for every 20-30 seconds.  This is similar enough to on-robot defense on a telep shooting robot that this will not be calculated separately.</t>
        </r>
      </text>
    </comment>
    <comment ref="AD1" authorId="1" shapeId="0">
      <text/>
    </comment>
  </commentList>
</comments>
</file>

<file path=xl/comments2.xml><?xml version="1.0" encoding="utf-8"?>
<comments xmlns="http://schemas.openxmlformats.org/spreadsheetml/2006/main">
  <authors>
    <author>FIRST Robotics User</author>
    <author>beltta</author>
  </authors>
  <commentList>
    <comment ref="F1" authorId="0" shapeId="0">
      <text>
        <r>
          <rPr>
            <b/>
            <sz val="9"/>
            <color indexed="81"/>
            <rFont val="Tahoma"/>
            <family val="2"/>
          </rPr>
          <t>Tim Delaney</t>
        </r>
        <r>
          <rPr>
            <sz val="9"/>
            <color indexed="81"/>
            <rFont val="Tahoma"/>
            <family val="2"/>
          </rPr>
          <t xml:space="preserve">
5 points each for:
- pickup during autonomous
- Full court shooter
2 point each for:
- excellent driver
- can drive under pyramid
(-2) point for:
- starting at position "K"</t>
        </r>
      </text>
    </comment>
    <comment ref="H1" authorId="1" shapeId="0">
      <text/>
    </comment>
    <comment ref="O1" authorId="1" shapeId="0">
      <text>
        <r>
          <rPr>
            <b/>
            <sz val="8"/>
            <color indexed="81"/>
            <rFont val="Tahoma"/>
            <family val="2"/>
          </rPr>
          <t xml:space="preserve">Tim Delaney:
</t>
        </r>
        <r>
          <rPr>
            <sz val="8"/>
            <color indexed="81"/>
            <rFont val="Tahoma"/>
            <family val="2"/>
          </rPr>
          <t xml:space="preserve">Defensive impact = 
Disc Blocking:
% effective *20% per setting * time *  scoring rate of a good full-court shooting robot (30 points every 30 seconds)
+
On Robot:
 % effective *30% per setting * time * scoring rate of a good teleop shooting robot (12 points every 30 seconds)
</t>
        </r>
        <r>
          <rPr>
            <u/>
            <sz val="8"/>
            <color indexed="81"/>
            <rFont val="Tahoma"/>
            <family val="2"/>
          </rPr>
          <t xml:space="preserve">Another note:  </t>
        </r>
        <r>
          <rPr>
            <sz val="8"/>
            <color indexed="81"/>
            <rFont val="Tahoma"/>
            <family val="2"/>
          </rPr>
          <t>preventing a climber from getting to the pyramid is worth 10 points for every 20-30 seconds.  This is similar enough to on-robot defense on a telep shooting robot that this will not be calculated separately.</t>
        </r>
      </text>
    </comment>
    <comment ref="AD1" authorId="1" shapeId="0">
      <text/>
    </comment>
  </commentList>
</comments>
</file>

<file path=xl/sharedStrings.xml><?xml version="1.0" encoding="utf-8"?>
<sst xmlns="http://schemas.openxmlformats.org/spreadsheetml/2006/main" count="1160" uniqueCount="758">
  <si>
    <t>Dunlap, IL</t>
  </si>
  <si>
    <t>Peoria, IL</t>
  </si>
  <si>
    <t>Russiaville, IN</t>
  </si>
  <si>
    <t>West Lafayette, IN</t>
  </si>
  <si>
    <t>Rookie</t>
  </si>
  <si>
    <t>Team Number</t>
  </si>
  <si>
    <t>Comments</t>
  </si>
  <si>
    <t>Grand Total</t>
  </si>
  <si>
    <t>Automomous Ranking</t>
  </si>
  <si>
    <t>Teleop Ranking</t>
  </si>
  <si>
    <t>Defensive Ranking</t>
  </si>
  <si>
    <t>Overall Ranking</t>
  </si>
  <si>
    <t>Automomous Weighting</t>
  </si>
  <si>
    <t>Teleop Weighting</t>
  </si>
  <si>
    <t>Defensive Weighting</t>
  </si>
  <si>
    <t>Defensive Impact 
(points prevented)</t>
  </si>
  <si>
    <t>Team Location</t>
  </si>
  <si>
    <t>Rank</t>
  </si>
  <si>
    <t>Team</t>
  </si>
  <si>
    <t>QS</t>
  </si>
  <si>
    <t>TP</t>
  </si>
  <si>
    <t>CP</t>
  </si>
  <si>
    <t>Record (W-L-T)</t>
  </si>
  <si>
    <t>DQ</t>
  </si>
  <si>
    <t>Played</t>
  </si>
  <si>
    <t>Record
(W-L-T)</t>
  </si>
  <si>
    <t>http://www2.usfirst.org/2013comp/Events/INWL/rankings.html</t>
  </si>
  <si>
    <t>FRC
Rank</t>
  </si>
  <si>
    <t>Match Type</t>
  </si>
  <si>
    <t>(blank)</t>
  </si>
  <si>
    <t>End Game Weighting</t>
  </si>
  <si>
    <t>End Game Ranking</t>
  </si>
  <si>
    <t>Automomous % Effective</t>
  </si>
  <si>
    <t>Teleop % Effective</t>
  </si>
  <si>
    <t>End Game % Effective</t>
  </si>
  <si>
    <t>Defensive % Effective</t>
  </si>
  <si>
    <t>x</t>
  </si>
  <si>
    <t>Total Points</t>
  </si>
  <si>
    <t>Total Scored</t>
  </si>
  <si>
    <t>OPR</t>
  </si>
  <si>
    <t>CCWM</t>
  </si>
  <si>
    <t>K</t>
  </si>
  <si>
    <t>T</t>
  </si>
  <si>
    <t>test</t>
  </si>
  <si>
    <t>Qualification</t>
  </si>
  <si>
    <t>A</t>
  </si>
  <si>
    <t>F</t>
  </si>
  <si>
    <t>Partial Info</t>
  </si>
  <si>
    <t>Order Overall</t>
  </si>
  <si>
    <t>Time</t>
  </si>
  <si>
    <t>Match</t>
  </si>
  <si>
    <t>Red 1</t>
  </si>
  <si>
    <t>Red 2</t>
  </si>
  <si>
    <t>Red 3</t>
  </si>
  <si>
    <t>Blue 1</t>
  </si>
  <si>
    <t>Blue 2</t>
  </si>
  <si>
    <t>Blue 3</t>
  </si>
  <si>
    <t>Red Score</t>
  </si>
  <si>
    <t>Blue Score</t>
  </si>
  <si>
    <t>Description</t>
  </si>
  <si>
    <t>Qtr 1-1</t>
  </si>
  <si>
    <t>Qtr 2-1</t>
  </si>
  <si>
    <t>Qtr 3-1</t>
  </si>
  <si>
    <t>Qtr 4-1</t>
  </si>
  <si>
    <t>Qtr 1-2</t>
  </si>
  <si>
    <t>Qtr 2-2</t>
  </si>
  <si>
    <t>Qtr 3-2</t>
  </si>
  <si>
    <t>Qtr 4-2</t>
  </si>
  <si>
    <t>Qtr 1-3</t>
  </si>
  <si>
    <t>Semi 1-1</t>
  </si>
  <si>
    <t>Semi 2-1</t>
  </si>
  <si>
    <t>Semi 1-2</t>
  </si>
  <si>
    <t>Semi 2-2</t>
  </si>
  <si>
    <t>Final 1-1</t>
  </si>
  <si>
    <t>Final 1-2</t>
  </si>
  <si>
    <t>Elimination</t>
  </si>
  <si>
    <t>(All)</t>
  </si>
  <si>
    <t>climbing correction</t>
  </si>
  <si>
    <t>Strategic Fit</t>
  </si>
  <si>
    <t>Total</t>
  </si>
  <si>
    <t>Red #1</t>
  </si>
  <si>
    <t>RED ALLIANCE</t>
  </si>
  <si>
    <t>Red #3</t>
  </si>
  <si>
    <t>BLUE ALLIANCE</t>
  </si>
  <si>
    <t>Blue #1</t>
  </si>
  <si>
    <t>Blue #2</t>
  </si>
  <si>
    <t>Blue #3</t>
  </si>
  <si>
    <t>Count of Order Overall</t>
  </si>
  <si>
    <t>A scouting app is used to collect the data located at:</t>
  </si>
  <si>
    <t>The last couple tabs are only used as lookup tables.</t>
  </si>
  <si>
    <t>Team 1736 Scouting process -2013</t>
  </si>
  <si>
    <t>Loads From Floor2</t>
  </si>
  <si>
    <t>Count of Loads From Floor2</t>
  </si>
  <si>
    <t>Can Drive Under Pyramid2</t>
  </si>
  <si>
    <t>Count of Can Drive Under Pyramid2</t>
  </si>
  <si>
    <t>Loads By Human2</t>
  </si>
  <si>
    <t>Count of Loads By Human2</t>
  </si>
  <si>
    <t>Starting Location2</t>
  </si>
  <si>
    <t>Count of Starting Location2</t>
  </si>
  <si>
    <t>Shoots Front Court2</t>
  </si>
  <si>
    <t>Count of Shoots Front Court2</t>
  </si>
  <si>
    <t>Shoots Full Court2</t>
  </si>
  <si>
    <t>Count of Shoots Full Court2</t>
  </si>
  <si>
    <t>Offense - Defense</t>
  </si>
  <si>
    <t>Red</t>
  </si>
  <si>
    <t>Blue</t>
  </si>
  <si>
    <t>Spent most time near K. Turned little. No shooting. Only points from climb.</t>
  </si>
  <si>
    <t>I</t>
  </si>
  <si>
    <t>50/50 shooting. fast movement_ little turning. Could do ten point climb</t>
  </si>
  <si>
    <t>Mostly human players but robot scored a couple 1-pointers. Robot can't pickup disks and only gets them from human players. Scoring is a challenge due to loading system also doubles as "shooter" (and is also a tarp).</t>
  </si>
  <si>
    <t>Great Driving and exceptional shooter. They received disks from human player but could also pick up disks.</t>
  </si>
  <si>
    <t>Malfunctioning (Not insulting they really had issues). But they can climb. Human player scored only 1 high goal. Illegally.</t>
  </si>
  <si>
    <t>D</t>
  </si>
  <si>
    <t>they have no shooter no pickup mechanism no climber so they only go for 1 point shots</t>
  </si>
  <si>
    <t>N</t>
  </si>
  <si>
    <t xml:space="preserve">no climber no pickup no shooter they use a sheet that gets taunt to let disks slide into the 1 point goal </t>
  </si>
  <si>
    <t>they have a adjustable speed shooter and use the shooter deck as a climbing mechanism they go for the high goal but make shots from our spot</t>
  </si>
  <si>
    <t>good but they did not get the climb because there was a frisbee under their wheel</t>
  </si>
  <si>
    <t>L</t>
  </si>
  <si>
    <t>They did nothing this round.</t>
  </si>
  <si>
    <t>E</t>
  </si>
  <si>
    <t>Ineffective dumper.</t>
  </si>
  <si>
    <t xml:space="preserve">It uses a tarp to bounce disks into the low goal. </t>
  </si>
  <si>
    <t>Uh oh.</t>
  </si>
  <si>
    <t>Little movement;no shooting</t>
  </si>
  <si>
    <t>bad driving</t>
  </si>
  <si>
    <t xml:space="preserve">   </t>
  </si>
  <si>
    <t>G</t>
  </si>
  <si>
    <t xml:space="preserve"> </t>
  </si>
  <si>
    <t xml:space="preserve">6 wheel archade_ offensive, full court shooter, top load - no pickup, 10 pt climber, 11 second cycle time </t>
  </si>
  <si>
    <t>6 wheel tank_ shots from right side of pyramid, no climbing, ,,</t>
  </si>
  <si>
    <t>belts_ 3 wheel, no autonomous, no climbing, prefer start back of pyramid, defensive</t>
  </si>
  <si>
    <t>4 sims omni_ defensive, 10 point climber, full court shooter, &amp; 5 point shooter,</t>
  </si>
  <si>
    <t>8 wheel_ 3 point autonomous prefer start "back of pyramid", can shoot from left, right &amp; back of pyramid,,</t>
  </si>
  <si>
    <t>3180 caused a 20 point penalty by blocking home</t>
  </si>
  <si>
    <t>1501 very good., 1732 a little slow, but good shooter.</t>
  </si>
  <si>
    <t>1741 very good.</t>
  </si>
  <si>
    <t>6 wheel - no autonomous - defensive_ 3 level climber</t>
  </si>
  <si>
    <t>M</t>
  </si>
  <si>
    <t>Automomous no specific location - offensive - full court shooter (2 point goal) - no climbing</t>
  </si>
  <si>
    <t>automomous - any position - offense - floor pickup - full court shooter - no climbing</t>
  </si>
  <si>
    <t>This match</t>
  </si>
  <si>
    <t>Only good for defense. Didn't shoot_ load</t>
  </si>
  <si>
    <t>Outstanding robot!! Shot the disks lightning quick with effective accuracy. Moved just as fast as it shot. 5/5 MUST HAVE</t>
  </si>
  <si>
    <t>Slow_ and inaccurate. Didn't move very much at all. 1/5</t>
  </si>
  <si>
    <t>Had trouble loading disks_ moves real slow</t>
  </si>
  <si>
    <t>Shot it's preloaded discs_ then camped at the pyramid until the end of the match. Barely could move. 1/5</t>
  </si>
  <si>
    <t>Just picked up discs and moved around the field. Did absolutely nothing but take 4 discs it couldn't shoot. 0/5</t>
  </si>
  <si>
    <t>C</t>
  </si>
  <si>
    <t>Had trouble shooting_ but decent robot. Maybe had problems. 3/5</t>
  </si>
  <si>
    <t>Did not very much opportunity to shoot due to an effective defense on the opposite alliance. Driving was very nimble_ yet sloppy.</t>
  </si>
  <si>
    <t>Only played defense. Shot no frisbees_ and the driver seemed to stop playing the game about 45 seconds from the end.</t>
  </si>
  <si>
    <t>Stopped moving after autonomous period.</t>
  </si>
  <si>
    <t>J</t>
  </si>
  <si>
    <t>Spent the entire game trying to get themselves loaded_ could not communicate with the human loader very well. During autonomous</t>
  </si>
  <si>
    <t>P</t>
  </si>
  <si>
    <t>Just moves back and forth_ hardly ever making the low goal.</t>
  </si>
  <si>
    <t>Had trouble loading from human players. Moved quite slow.</t>
  </si>
  <si>
    <t>Puerto Rico!!!!</t>
  </si>
  <si>
    <t>was defended alot. does not pck up disks</t>
  </si>
  <si>
    <t>did not do much. not a very good driver. did not attempt any shots</t>
  </si>
  <si>
    <t>only shot 2 frisbees and then climbed</t>
  </si>
  <si>
    <t>Robot stopped mid-court and had trouble receiving discs from human player</t>
  </si>
  <si>
    <t>H</t>
  </si>
  <si>
    <t>Got shoved around a lot</t>
  </si>
  <si>
    <t>Made every shot_ except when it got bumped at half-court</t>
  </si>
  <si>
    <t>Must have had issues of some sort</t>
  </si>
  <si>
    <t>Slow_ clumsy</t>
  </si>
  <si>
    <t>Took a hard hit_ a human player made a 3-point goal</t>
  </si>
  <si>
    <t>looks like they tried to design a multi level climber. decent climb</t>
  </si>
  <si>
    <t>no show</t>
  </si>
  <si>
    <t>bareley move for half of match. good pickup. not very good</t>
  </si>
  <si>
    <t>Defensive based bot.   Didn't seem to have dropping mechanism_ shooter</t>
  </si>
  <si>
    <t>it looks like they loat connection</t>
  </si>
  <si>
    <t>good auto of shooting. shooting at pyramid is not 100%</t>
  </si>
  <si>
    <t>Did bot take a shot. defensive bot. Defense is a little reckless</t>
  </si>
  <si>
    <t xml:space="preserve">can only defend. has a climbing mech. caused many fouls </t>
  </si>
  <si>
    <t>can't ave disc get stuff in hopper upside down or they can't shoot. took random shots outside field</t>
  </si>
  <si>
    <t>B</t>
  </si>
  <si>
    <t>drove back and forth</t>
  </si>
  <si>
    <t>Takes some time for the disc to load in the hopper</t>
  </si>
  <si>
    <t>They seem like an average team</t>
  </si>
  <si>
    <t>Eat it up eat it up</t>
  </si>
  <si>
    <t>really accurate shooting</t>
  </si>
  <si>
    <t>Almost tipped over... THREE TIMES do to 1872 ramming into it_ once on the pyramid earning 1024 20 foul pts</t>
  </si>
  <si>
    <t>they were absolutely terrible</t>
  </si>
  <si>
    <t>robot was kindve moving weird</t>
  </si>
  <si>
    <t>I scouted the wrong robot but this one had jerky movement and only went for the pyramid</t>
  </si>
  <si>
    <t>they drove around in the same general spot and did nothing they didnt lead disks</t>
  </si>
  <si>
    <t>1501 very good driving</t>
  </si>
  <si>
    <t>they have a variable angle shooter they have crazy good accuracy and very good driving</t>
  </si>
  <si>
    <t>their shooter took a while to load and they have no autonomus</t>
  </si>
  <si>
    <t>they just played defense but they did cause a foul on another team</t>
  </si>
  <si>
    <t>Played defense most of the time</t>
  </si>
  <si>
    <t>weak capability.  avgerage driver &amp; sort of slow.  player defence by single side loading zone the whole time</t>
  </si>
  <si>
    <t>robot fast across field_ good with shooting 3 points</t>
  </si>
  <si>
    <t>no shooting_ slow</t>
  </si>
  <si>
    <t>Bad shooting</t>
  </si>
  <si>
    <t>Just... kind of terrible.  No shooter_ no climber</t>
  </si>
  <si>
    <t xml:space="preserve">I don't even know what they were trying to do there... </t>
  </si>
  <si>
    <t>Fast_ good driving</t>
  </si>
  <si>
    <t>Basically a giant mobile wall. Drivers did not use this very effectively_ only stood in enemy alliance's way once during the round</t>
  </si>
  <si>
    <t>Doesn't even have a built system for picking up/launching frisbees. Only a defensive robot_ with a less than great driver. Didn't have much opportunity to block frisbees</t>
  </si>
  <si>
    <t>Shooter didn't seem to work very well_ dumped frisbees on the floor instead of shooting them. No outstanding qualities.</t>
  </si>
  <si>
    <t>The robot did not do anything just drove around for a bit.</t>
  </si>
  <si>
    <t>they are very good at shooting and they have excellent drivers</t>
  </si>
  <si>
    <t>very good driving very fast they can also move very precisely</t>
  </si>
  <si>
    <t>they are very top heavy and there were several times when I thought that they were going to tip over</t>
  </si>
  <si>
    <t>they had trouble grasping the pyramid_ tilted and touching the floor when climb attempted</t>
  </si>
  <si>
    <t>Half of their robot fell off 10 seconds into the match... WOW</t>
  </si>
  <si>
    <t>they had trouble maneuvering and shooting... all toether pretty bad</t>
  </si>
  <si>
    <t>Very slow robot appeared to be very difficult to load</t>
  </si>
  <si>
    <t>very aggressive defense but not at all effective.</t>
  </si>
  <si>
    <t>They only climb.</t>
  </si>
  <si>
    <t>did not make full court 3 pointers but can make 2 pointers from full court</t>
  </si>
  <si>
    <t>No show_ but their teammates won</t>
  </si>
  <si>
    <t>very slow_ very weak</t>
  </si>
  <si>
    <t>did shoot or climb. scored no points at all</t>
  </si>
  <si>
    <t>30 point climb_ did not attempt anything else.  But had 40 seconds left at the when they reached the 30 point level</t>
  </si>
  <si>
    <t>Got hung up on the pyramid couldn't finish the climb.</t>
  </si>
  <si>
    <t>very bad driving. kept slamming into walls and the pyramid. broke a piece at the end</t>
  </si>
  <si>
    <t>very good driver and very quick as well. it can push other robots out of the way if it is being blocked.</t>
  </si>
  <si>
    <t>Not much really going on here.</t>
  </si>
  <si>
    <t>no auto_ no climbing</t>
  </si>
  <si>
    <t>dumps 1-ptrs_ don't pick this robot</t>
  </si>
  <si>
    <t>Something wrong with it's movement. did not move the whole game.</t>
  </si>
  <si>
    <t>didn't see much of this robot</t>
  </si>
  <si>
    <t>fast_ aggressive def this round. worth consideration</t>
  </si>
  <si>
    <t>fast loader. accurate shooter. would recommend this one.</t>
  </si>
  <si>
    <t>A big moving wall. Lacks capability to handle frisbees. Managed to hang_ but just barely.</t>
  </si>
  <si>
    <t xml:space="preserve">The infamous tarp-robot_ it kinda reminds me of the car from the Flinstones. </t>
  </si>
  <si>
    <t>Had a shooter_ but only played defense for some reason. A very bad defense</t>
  </si>
  <si>
    <t>I think the shooter broke_ so then they kept a robot on the other alliance from being able to hang/score. Smart drivers</t>
  </si>
  <si>
    <t>Stuck on its own side of the field_ meaning the defense on the other alliance had to cross the field to defend. Consequently</t>
  </si>
  <si>
    <t>Shooter appeared to be broken_ as it was not used. Was not particularly effective in defense.</t>
  </si>
  <si>
    <t>Kept going back and forth and not doing anything_ also got shoved hard a bit</t>
  </si>
  <si>
    <t>Got stuck half-way through match_ but hung at the end</t>
  </si>
  <si>
    <t>Autonomous was okay_ but then the robot quit moving</t>
  </si>
  <si>
    <t>Tipsy_ as usual Kept getting its discs knocked out of its shooter/hopper</t>
  </si>
  <si>
    <t>Barely moved_ shot too low</t>
  </si>
  <si>
    <t>The no-shooter</t>
  </si>
  <si>
    <t>Good shooter_ but seems to only hold three discs</t>
  </si>
  <si>
    <t>could'nt load right</t>
  </si>
  <si>
    <t>slow at shooting</t>
  </si>
  <si>
    <t>good loading then  shooting quickly</t>
  </si>
  <si>
    <t>play defense the whole time</t>
  </si>
  <si>
    <t>shot 3 times then play defense</t>
  </si>
  <si>
    <t>Their robot was spinning around a lot; seemed to be confused</t>
  </si>
  <si>
    <t>Didn't attempt defensive   Dropped their discs from their robot</t>
  </si>
  <si>
    <t>didn't really do anything</t>
  </si>
  <si>
    <t xml:space="preserve">stopped working halfway through   </t>
  </si>
  <si>
    <t>I mean honestly_ do we really have to scout them.</t>
  </si>
  <si>
    <t>didn't play defense this time. ok shooter but there hopper to shooter time is a little long.</t>
  </si>
  <si>
    <t>did circles on the center line</t>
  </si>
  <si>
    <t>played defense</t>
  </si>
  <si>
    <t>easy 30 point climb</t>
  </si>
  <si>
    <t>Tried to help their stuck ally_ and therefore couldn't score any points.</t>
  </si>
  <si>
    <t>I could not tell if they were caught on a disk or blocking a team that was caught on a disk. if they were blocking_ good job.</t>
  </si>
  <si>
    <t>They appear to have a bad wheel this round_ as they were just going in circles.</t>
  </si>
  <si>
    <t>Very slow moving_ played deffence by placing themselves in middle of field and acting like an obstacle.</t>
  </si>
  <si>
    <t>shooter seems to depend entirely upon the angle of disks_ and can easily be disoriented by bumping into things.</t>
  </si>
  <si>
    <t xml:space="preserve">attempted to climb the corner of the pyramid but wasn't successful </t>
  </si>
  <si>
    <t>can effectively hang on the first level of the pyramid but not a great shooter</t>
  </si>
  <si>
    <t>didn't move in autonomous or teleop...connection problem?</t>
  </si>
  <si>
    <t>shot 2 high goal frisbees while lifting themselves up to the first level of the pyramid in the last 10 seconds but one side of their robot touched the ground</t>
  </si>
  <si>
    <t>were able to climb to first level in the last few seconds</t>
  </si>
  <si>
    <t>we did freakin awesome...nuff said</t>
  </si>
  <si>
    <t>a little slow</t>
  </si>
  <si>
    <t>forced penalty on other team once</t>
  </si>
  <si>
    <t>not very effective robot</t>
  </si>
  <si>
    <t>just started climbing at the beginning</t>
  </si>
  <si>
    <t>good at avoiding defensive robots</t>
  </si>
  <si>
    <t xml:space="preserve">they only moved for 5 seconds and then stopped for rest of the match. </t>
  </si>
  <si>
    <t>shooter aiming problems</t>
  </si>
  <si>
    <t>was blocked alot and took a long time to load from feeders.</t>
  </si>
  <si>
    <t>Far too large to climb. Appears to only be able to hold 2 disks.</t>
  </si>
  <si>
    <t>Didnt or couldnt shoot. Played extremely little defense. didnt/couldnt climb.</t>
  </si>
  <si>
    <t xml:space="preserve">Didint shoot. Poor driving. climbed the pyramid at 45 seconds mark. </t>
  </si>
  <si>
    <t xml:space="preserve">Really good robot. </t>
  </si>
  <si>
    <t>stopped responding for 30 is h seconds.....Couldnt climb. Inaccurate shooting.</t>
  </si>
  <si>
    <t>Slow. Got frisbees stuck_ making shooter useless. Attempted a climb</t>
  </si>
  <si>
    <t>Didn't show up.</t>
  </si>
  <si>
    <t>Did nothing. Attempted a little defense_ which wasn't effective.</t>
  </si>
  <si>
    <t xml:space="preserve">moved around as if aiming the entire match_ though never shot. </t>
  </si>
  <si>
    <t>Had trouble steering. Helped another team member score by defending the defender.</t>
  </si>
  <si>
    <t xml:space="preserve">No movement in beginning. Very bad attempts. </t>
  </si>
  <si>
    <t>Moved back and forth from pyramid and disc station. Very effective.</t>
  </si>
  <si>
    <t>did nothing</t>
  </si>
  <si>
    <t>really  good defense</t>
  </si>
  <si>
    <t>they tip very easily making them vulnerable</t>
  </si>
  <si>
    <t>they played only defense but they blocked 2 disks</t>
  </si>
  <si>
    <t>they have no shooting capabilities but they play good defense</t>
  </si>
  <si>
    <t>they blocked on one of the sides of the pyramid</t>
  </si>
  <si>
    <t>they played defense even though they had the capability to play offense</t>
  </si>
  <si>
    <t>they were knocked around a little but they shoot ok they can turn on a dime because of their drive train</t>
  </si>
  <si>
    <t>We shot and drove well our floor pickup mechanism is good</t>
  </si>
  <si>
    <t xml:space="preserve">shut down 1741 during defense. preventing about 24 pts.   </t>
  </si>
  <si>
    <t>Not very effective defensive player</t>
  </si>
  <si>
    <t xml:space="preserve">very inconsistent shooter </t>
  </si>
  <si>
    <t>They appear to be unable to be loaded into_ but they just may not have tried</t>
  </si>
  <si>
    <t>made use of some "counter-defense"- forcing their opponents defending robot to be unable to defend.</t>
  </si>
  <si>
    <t>It seems their shooter motor was non-responsive.</t>
  </si>
  <si>
    <t>stood there for like 2 min_ then got stuck under pyramid -_-</t>
  </si>
  <si>
    <t>Very fast and accurate</t>
  </si>
  <si>
    <t>fast and agile_ but can only score in low goal</t>
  </si>
  <si>
    <t>good robot</t>
  </si>
  <si>
    <t>decent defense</t>
  </si>
  <si>
    <t>I think the entire match that they were trying to make their robot to dance.   Loose bumpers.</t>
  </si>
  <si>
    <t>Kept ramming into wall like a drunk.   Strategy was unclear.</t>
  </si>
  <si>
    <t>Kept clipping the floor.   Wobbled bad.</t>
  </si>
  <si>
    <t>slow</t>
  </si>
  <si>
    <t>not enough room to shoot</t>
  </si>
  <si>
    <t>very slow and inaccurate. no climbing mechanism.</t>
  </si>
  <si>
    <t>hung around opponent feeding station.</t>
  </si>
  <si>
    <t>bracket fell off the robot</t>
  </si>
  <si>
    <t>The robot didnt shoot at all; not in teleop or autonomous. It did have a shooting mechanism_ but it seemed to not work. When feeding frim thestation</t>
  </si>
  <si>
    <t>They didnt shoot at all. The attempted a climb_ but couldnt do it or finish in time. Mainly played defense</t>
  </si>
  <si>
    <t xml:space="preserve">Didnt shoot at all. Excellent defense though. Preventeed 2 robots from getting to their refill station. </t>
  </si>
  <si>
    <t>Ok shooter. Had a swerve drive (I think).</t>
  </si>
  <si>
    <t xml:space="preserve">Best defense all day - Tim. couldnt make any of the low goals. </t>
  </si>
  <si>
    <t>shooter malfunctioned @ beginning of teleop. inaccurate shooter_ the whole thing rattled a lot.</t>
  </si>
  <si>
    <t>did great w/ shooting_ could've been more accurate. climber also came off when we attempted it.</t>
  </si>
  <si>
    <t xml:space="preserve">hands down best climber. 24 pts in auto + 30 climbing pts = 54 pts total. </t>
  </si>
  <si>
    <t>good at getting to/from shooting position. needs more accurate shooting</t>
  </si>
  <si>
    <t>i was confused on which team number i had at first. from what I saw the team had pretty good driving_ but never shot that much.</t>
  </si>
  <si>
    <t>mostly defensive during teleop_ climbs on corner</t>
  </si>
  <si>
    <t>fast_ accurate shooter. scored high. fast mover</t>
  </si>
  <si>
    <t>not sure exactly what it was doing here...</t>
  </si>
  <si>
    <t>Mostly defense_ kind of slow. No shooter.</t>
  </si>
  <si>
    <t>Pretty good all around_ no defense though.</t>
  </si>
  <si>
    <t>Good all around.</t>
  </si>
  <si>
    <t>They didn't do much of anything.</t>
  </si>
  <si>
    <t>Great defense_ no shooter or climb.</t>
  </si>
  <si>
    <t>Really good shooter_ great movement.  first level climber.  No real focus on defense.</t>
  </si>
  <si>
    <t>Not very accurate shooter_ not that good climber.</t>
  </si>
  <si>
    <t>Probably broken.</t>
  </si>
  <si>
    <t>average shooter with the possibility for defense also a fast climber</t>
  </si>
  <si>
    <t>never fired a shot only tried to play defense but did it poorly</t>
  </si>
  <si>
    <t>overall excellent robot in every way... a great pick</t>
  </si>
  <si>
    <t>average shooter and great driver..... useless if a disk goes into their hopper upside down</t>
  </si>
  <si>
    <t xml:space="preserve">great fast shooter and great driver... an excellent pick </t>
  </si>
  <si>
    <t>an under-average shooter easy 10 point climb bad at fighting against defense</t>
  </si>
  <si>
    <t>Mostly defense_ not very balanced overall.</t>
  </si>
  <si>
    <t>Fairly good_ large could be defense.  Didn't attempt climb.</t>
  </si>
  <si>
    <t>Fairly slow_ not very good shooter.</t>
  </si>
  <si>
    <t>Nothing much done y them in the match.</t>
  </si>
  <si>
    <t>No shooter_ not very good</t>
  </si>
  <si>
    <t xml:space="preserve">DIdn't do much of anything.   Not really goos at all. </t>
  </si>
  <si>
    <t>Exceptional bot.</t>
  </si>
  <si>
    <t>Did some defense as well as tried to climb in the end. Did not shoot.</t>
  </si>
  <si>
    <t>Good shooter and movement speed.</t>
  </si>
  <si>
    <t>Tried defense to help out</t>
  </si>
  <si>
    <t>Scored some and looked poised to climb but did not do so.</t>
  </si>
  <si>
    <t>Not bad. A rough n' tumble robot.</t>
  </si>
  <si>
    <t>Stopped moving during tele-operated.</t>
  </si>
  <si>
    <t>More defensive robot.</t>
  </si>
  <si>
    <t>Played with team in mind (defended for allies). Had trouble aligning themselves with feeder stations and climbing_ and driving was slow. Spent most of the round just trying to get frisbees.</t>
  </si>
  <si>
    <t>No attempt at shooting was made_ despite a shooter equipped. Probably non-functional for the time being. Tried to play defense with a swerve drive to no avail</t>
  </si>
  <si>
    <t>Shooter appeared to break_ as they did not shoot (despite having a fully loaded shooter) and smoke was coming out of their robot. Loaded very quickly and was able to cross the field pretty fast.</t>
  </si>
  <si>
    <t>Hulking goliath of a machine_ and not in a good way. Slow and tipsy like every other top-heavy robot</t>
  </si>
  <si>
    <t>#1 seed for a good reason. Very nimble and able to get around opponents_ which is good since the opposing alliance put all of their defensive players on 359. Highly skilled drivers.</t>
  </si>
  <si>
    <t>Shooter is very low to the ground and somewhat unreliable. Could be mechanical or driver error. Loading was a bit cumbersome. Climbing is fairly reliable_ but slow. Driver did well for the robot given. Purely offensive</t>
  </si>
  <si>
    <t>Drive train appeared to be broken: whenever the robot drove forward/backward_ the robot would turn counter-clockwise. The robot had a shooter</t>
  </si>
  <si>
    <t>Really serves no offensive purpose_ only played defense. Effectively kept one robot out of the game</t>
  </si>
  <si>
    <t>VERY fast and accurate shots. Very neat team. 4/5</t>
  </si>
  <si>
    <t>Very fast shots_ moved kinda slow. 4/5</t>
  </si>
  <si>
    <t>Moved very slowly. Penaltied itself. 0/5</t>
  </si>
  <si>
    <t>Didn't shoot_ spent half the game hanging from the pyramid. Barely even lifts. 1/5</t>
  </si>
  <si>
    <t>It looked lost and confused. Just moved around with no purpose. 0/5</t>
  </si>
  <si>
    <t>Moved to the loading zone_ sat there the rest of the match. 0/5</t>
  </si>
  <si>
    <t>#NAME?</t>
  </si>
  <si>
    <t>TRUE</t>
  </si>
  <si>
    <t>Order</t>
  </si>
  <si>
    <t>9-0-0</t>
  </si>
  <si>
    <t>AP</t>
  </si>
  <si>
    <t>&lt;!--[if !supportEmptyParas]--&gt; &lt;!--[endif]--&gt;</t>
  </si>
  <si>
    <t>DNP</t>
  </si>
  <si>
    <t>was defended alot</t>
  </si>
  <si>
    <t>could not get to feeders the second time</t>
  </si>
  <si>
    <t>O</t>
  </si>
  <si>
    <t>only does climbing</t>
  </si>
  <si>
    <t>did not move for last half of match</t>
  </si>
  <si>
    <t>it was defended alot</t>
  </si>
  <si>
    <t>works poorly with other teams on alliance</t>
  </si>
  <si>
    <t>inconsistent shooter and poor driver easy to block decent climber</t>
  </si>
  <si>
    <t>bad driver and shooter would not pick</t>
  </si>
  <si>
    <t>fast consistent shooter and great driver works decent against defense</t>
  </si>
  <si>
    <t>good shooter and driver hard to load disks good at climbing foul came from human player putting their hand out on the feild</t>
  </si>
  <si>
    <t>good shooter and driver dose not react well to defense</t>
  </si>
  <si>
    <t>They're good...Peoria good. They were the only robot to score points_ and they still won. 4/5</t>
  </si>
  <si>
    <t>Decent team. Had trouble shooting_ maybe could only reach midgoal. 3/5</t>
  </si>
  <si>
    <t>Basically a blockbot. All it can do is defend. Couldn't shoot or climb. Barely moved_ didn't spend enough time blocking</t>
  </si>
  <si>
    <t>Spent it's time doing defense_ but couldn't block effectively. If it was shooting it would've been better. 2/5</t>
  </si>
  <si>
    <t>They could shoot from the pyramid. Not a bad team_ just unlucky most times. 3/5</t>
  </si>
  <si>
    <t>Had a nice robot_ but got blocked the first half</t>
  </si>
  <si>
    <t>Penalty heavy match_ ARGOS got blocked a good deal of the match. 4/5</t>
  </si>
  <si>
    <t>Dropped both discs it started with_ spent 30 seconds trying to pick them back up</t>
  </si>
  <si>
    <t>Didn't shoot or climb_ just did some decent defense before sitting around for 45 seconds watching the other team win. 2/5</t>
  </si>
  <si>
    <t xml:space="preserve">took a long time to dial in shooter and human loader   </t>
  </si>
  <si>
    <t xml:space="preserve">took a while to dial in shooter   </t>
  </si>
  <si>
    <t>defended a good robot for about 15 seconds saving nearly 12 points</t>
  </si>
  <si>
    <t>spent most of time trying to shoot_ but the discs were stuck and wouldn't shoot</t>
  </si>
  <si>
    <t>very fast driving</t>
  </si>
  <si>
    <t>did nothing but drove around</t>
  </si>
  <si>
    <t>Not efficient defense bot. Might be broken.</t>
  </si>
  <si>
    <t>Discs shoot out but fly up unbalanced and fall (no high goal).</t>
  </si>
  <si>
    <t>Fast.   Quick shooter_ not very accurate.</t>
  </si>
  <si>
    <t>Awesomely powered shooter.   Defensive round_ maybe.</t>
  </si>
  <si>
    <t xml:space="preserve">Didn't do any thing but defend. </t>
  </si>
  <si>
    <t>Blocked a lot by other team. Probably could have done better.</t>
  </si>
  <si>
    <t>Just couldn't aim. Appeared to anly be able to hold 3 discs.</t>
  </si>
  <si>
    <t xml:space="preserve">Defended most of the time. Very mobile_ so defended well. </t>
  </si>
  <si>
    <t>Shoots with a tarp. Not very effective.</t>
  </si>
  <si>
    <t>Good at the mid goal not the high goal.</t>
  </si>
  <si>
    <t>Never moved the entire match just sat there dead.</t>
  </si>
  <si>
    <t>effective driving maneuverability (mechanum or omni?)   shooting takes awhile</t>
  </si>
  <si>
    <t>Deployable shooter   They have A LOT of difficulty lining to shoot</t>
  </si>
  <si>
    <r>
      <t>Select the first empty cell in column AW on the</t>
    </r>
    <r>
      <rPr>
        <b/>
        <sz val="11"/>
        <color rgb="FF00B050"/>
        <rFont val="Calibri"/>
        <family val="2"/>
        <scheme val="minor"/>
      </rPr>
      <t xml:space="preserve"> Competition Data</t>
    </r>
    <r>
      <rPr>
        <sz val="11"/>
        <color theme="1"/>
        <rFont val="Calibri"/>
        <family val="2"/>
        <scheme val="minor"/>
      </rPr>
      <t xml:space="preserve"> tab (the 1st column not shaded).  Press the GET DATA button to read the data from the text files from the scouting laptops. </t>
    </r>
  </si>
  <si>
    <t xml:space="preserve">The file names follow the format SCOUTx.txt where "x" is the number of the scouting laptop.  </t>
  </si>
  <si>
    <t xml:space="preserve">Many sheets will have summarized data.  I suggest starting from the left tabs and working to the right. </t>
  </si>
  <si>
    <t xml:space="preserve">This is the 2nd year using  technology (web pages and spreadsheets) for scouting.  </t>
  </si>
  <si>
    <t>We'll continue to learn from the process and improve for the future.</t>
  </si>
  <si>
    <t xml:space="preserve">The data from the scouting app is then pasted into text files. Each scouting laptop will save the data file with a unique name. </t>
  </si>
  <si>
    <t>The data from the laptops is copied into the "competition data" tab in this spreadsheet.</t>
  </si>
  <si>
    <t xml:space="preserve">The unique files from each laptop are saved to a thumb drive. </t>
  </si>
  <si>
    <t>https://github.com/imdunne8/GreenBeanCasserole</t>
  </si>
  <si>
    <t xml:space="preserve">The files from all laptops are then copied from the thumb drive to the directory "C:\Users\Public\Documents\Scouting\2014\[regional]\[day]\" on the master scouting laptop. </t>
  </si>
  <si>
    <t>Team Name</t>
  </si>
  <si>
    <t> Sponsors</t>
  </si>
  <si>
    <t>Location </t>
  </si>
  <si>
    <t>Children of the Corn</t>
  </si>
  <si>
    <t>West High School, City High School  &amp; Rockwell Collins</t>
  </si>
  <si>
    <t>Iowa City, IA</t>
  </si>
  <si>
    <t>Cheese Curd Herd</t>
  </si>
  <si>
    <t>UW-Platteville, John Deere, &amp; Area Schools</t>
  </si>
  <si>
    <t>Platteville, WI</t>
  </si>
  <si>
    <t>PantherTech</t>
  </si>
  <si>
    <t>Western High School, The Chrysler Foundation, The Delphi Foundation, AndyMark, Inc., Science Application International Corp. &amp;Foresite </t>
  </si>
  <si>
    <t>Swartdogs</t>
  </si>
  <si>
    <t>Cedar Falls High School, Iowa State University College of Engineering, University of Northern Iowa Physics Department, John Deere Waterloo Operations, PTC, Rockwell Collins, DISTek Integration, Inc, NCK Software, Denso International America, Inc. &amp; Viking Pump -a Unit of IDEX Corporation </t>
  </si>
  <si>
    <t>Cedar Falls, IA</t>
  </si>
  <si>
    <t>QC Elite</t>
  </si>
  <si>
    <t>Sherrard High School, Rock Island High School, Moline High School, John Deere, McLaughlin Body Co., 4H, SME &amp; Rivermont Collegiate</t>
  </si>
  <si>
    <t>Quad Cities, IL</t>
  </si>
  <si>
    <t>Iron Lions</t>
  </si>
  <si>
    <t>Linn-Mar High School, Linn-Mar Foundation, Linn-Mar Booster Club, Rockwell Collins, EHA, Iowa Fluid Power, Intermec, Master Tool Mfg, D.A.D. Mfg Inc, Marion Mixers, Bentley Manufacturing, Conveyor Engineering, Guaranty Bank &amp; Verizon </t>
  </si>
  <si>
    <t>Marion, IA</t>
  </si>
  <si>
    <t>Oriole Assault</t>
  </si>
  <si>
    <t>Hartford Union High School, GE Volunteers, MSOE (Milwaukee School of Engineering &amp; Mantz Automation</t>
  </si>
  <si>
    <t>Hartford, WI</t>
  </si>
  <si>
    <t>Channel Cats</t>
  </si>
  <si>
    <t>The Boeing Company, Bill Davis Inc., Boeing Employees Community Fund, Nidec Motor Corporation, Toyota, DCS Holdings Group, LLC, Ameren Missouri &amp; River City Robots</t>
  </si>
  <si>
    <t>O'Fallon, MO</t>
  </si>
  <si>
    <t>Metool Brigade</t>
  </si>
  <si>
    <t>O'Fallon High School, The Boeing Company, LMI Areospace, Lockheed, SAIC </t>
  </si>
  <si>
    <t>O'Fallon, IL</t>
  </si>
  <si>
    <t>RAVEN Robotics</t>
  </si>
  <si>
    <t>Francis Howell School District, The Boeing Company &amp; Boeing Employees Community Fund</t>
  </si>
  <si>
    <t>Saint Charles, MO</t>
  </si>
  <si>
    <t>Robot Casserole</t>
  </si>
  <si>
    <t>Richwoods High School, Peoria Area High Schools &amp; Caterpillar Inc. </t>
  </si>
  <si>
    <t>Chicago Knights</t>
  </si>
  <si>
    <t>Motorola Solutions Foundation, National Instruments &amp; Agape Werks, Inc &amp; Chicago Knights Robotics 4-H Club</t>
  </si>
  <si>
    <t>Chicago, IL</t>
  </si>
  <si>
    <t>Harrison Boiler Robotics</t>
  </si>
  <si>
    <t>William Henry Harrison High School, Purdue FIRST Programs, Caterpillar Inc., Unity Surgical Center, &amp; Lafayette Electronic Supply &amp; </t>
  </si>
  <si>
    <t>Argos</t>
  </si>
  <si>
    <t>Limestone Community High School &amp; Caterpillar Inc.</t>
  </si>
  <si>
    <t>Liberty Robotics</t>
  </si>
  <si>
    <t>Liberty High School, Liberty North High School, Liberty Robotics Foundation, Gary Crossley Ford, Argus Consulting, KC STEM Alliance, East Clay Rotary Club, Laird Plastics, Honeywell, KCP&amp;L, Ford Motor Company Kansas City Assembly Plant &amp; Pride Manufacturing &amp; </t>
  </si>
  <si>
    <t>Liberty, MO</t>
  </si>
  <si>
    <t>S.W.A.T.</t>
  </si>
  <si>
    <t>Smithville High School, LABCONCO, Darrell Smith, Community America Credit Union, Kansas City Power and Light &amp; Ewing Marion Kauffman Foundation</t>
  </si>
  <si>
    <t>Smithville, MO</t>
  </si>
  <si>
    <t>Team Titanium</t>
  </si>
  <si>
    <t>Lee's Summit West High School, TradeBot, Dr. Thomas G. Cates III, Northpoint Development , Intuitive Surgical, Inc., Honeywell FM&amp;T, U.S Engineering, Paradise Park, Deauville Apartments, Delmer &amp; Ruth Harris, Kastle Grinding, Venture Industrial Products, Billy Goat Industries, Trident Co. &amp; CK Enterprises </t>
  </si>
  <si>
    <t>Lee's Summit, MO</t>
  </si>
  <si>
    <t>Titan Robotics</t>
  </si>
  <si>
    <t>Illinois Mathematics and Science Academy, Pentair, &amp; Caterpillar, Inc.</t>
  </si>
  <si>
    <t>Aurora, IL</t>
  </si>
  <si>
    <t>Rockford Robotics</t>
  </si>
  <si>
    <t>Rockford Area High Schools, UTC Aerospace Systems, WOODWARD, Inc., GE Aviation, Techworks &amp; Eiger Labs</t>
  </si>
  <si>
    <t>Rockford, IL</t>
  </si>
  <si>
    <t>DERT</t>
  </si>
  <si>
    <t>Dunlap High School, Caterpillar Inc., ABB, Stellar Systems &amp; CGN and Associates </t>
  </si>
  <si>
    <t>Icarus</t>
  </si>
  <si>
    <t>Advanced Technology Services / Martin Engineering / Lahood Construction &amp; Peoria Notre Dame High School</t>
  </si>
  <si>
    <t>The Corps</t>
  </si>
  <si>
    <t>Harrisonville High School, Cass County 4-H Club, Honeywell, Baptist Missionary Transportation Ministry, Cass County Elks Lodge #2791, Sonic Drive-In Harrisonville, Universal Asset Management, Standard Tool &amp; Manufacturing, Earle M Jorgenson Company &amp; Families of Team 2164</t>
  </si>
  <si>
    <t>Harrisonville, MO</t>
  </si>
  <si>
    <t>Fondy Fire</t>
  </si>
  <si>
    <t>Fond du Lac School District, St. Mary's Springs Academy, Milwaukee School of Engineering, Moraine Park Technical College, PTC, John Deere Horicon Works, Mid-States Aluminum, Mercury Marine &amp; Excel Engineering</t>
  </si>
  <si>
    <t>Fon du Lac, WI</t>
  </si>
  <si>
    <t>PWNAGE</t>
  </si>
  <si>
    <t>Genesis Automation, Milwaukee School Of Engineering, Ace Metal Crafts, Center Tool Company, SMC, Balluff, Enersys, &amp; Youth Robotics and STEM Education Foundation</t>
  </si>
  <si>
    <t>St. Charles, IL</t>
  </si>
  <si>
    <t>Roboteers</t>
  </si>
  <si>
    <t>Tremont High School, Tazewell Area Home School, Pekin High School, Morton High School, DeeMack High School, Presision Planting &amp; Caterpillar, Inc.</t>
  </si>
  <si>
    <t>Tremont, IL</t>
  </si>
  <si>
    <t>Order 2 Chaos</t>
  </si>
  <si>
    <t>Batavia High School, Caterpillar, Inc., &amp; BHS RoboBoosters</t>
  </si>
  <si>
    <t>Batavia, IL</t>
  </si>
  <si>
    <t>Innovators Robotics</t>
  </si>
  <si>
    <t>National Defense Education Program, RPG Industries, Booz Allen Hamilton, Teradata Corporation, Midmark Corporation, Thyssenkrupp Copper and Brass Sales, RB Jergens Contractors, SAIC &amp; Innovators Robotics Inc. &amp; iSpace Science</t>
  </si>
  <si>
    <t>Dayton, OH</t>
  </si>
  <si>
    <t>Laser Team</t>
  </si>
  <si>
    <t>Camdenton High School, The Boeing Company, Camdenton R-III Afterschool Services, 4H, Speedline Technologies &amp; Lake Professional Engineering Services </t>
  </si>
  <si>
    <t>Camdenton, MO</t>
  </si>
  <si>
    <t>Flaming Monkeys</t>
  </si>
  <si>
    <t>Motorola Solutions, UTC Aerospace, Chrysler Foundation, Belvidere Township, Boone County 4-H &amp; Best Buy Children's Foundation</t>
  </si>
  <si>
    <t>Belvidere, IL</t>
  </si>
  <si>
    <t>MARS/ WARS</t>
  </si>
  <si>
    <t>Metamora Township High School, Caterpillar Inc., PTC, Metamora Industries, DAR- Tech USA &amp; Parsons Company </t>
  </si>
  <si>
    <t>Metamora, IL</t>
  </si>
  <si>
    <t>QAVTC Devils</t>
  </si>
  <si>
    <t>Quincy Senior High School, Titan, Harris, Gardner Denver &amp; QAVTC </t>
  </si>
  <si>
    <t>Quincy, IL</t>
  </si>
  <si>
    <t>Techno Ferrets</t>
  </si>
  <si>
    <t>University of Illinois Extension, Caterpillar, Inc. &amp; Knox County 4-H</t>
  </si>
  <si>
    <t>Galesburg, IL</t>
  </si>
  <si>
    <t>MetalCow</t>
  </si>
  <si>
    <t>NASA, MetalCow Robotics, jcpenney &amp; McLean County 4-H</t>
  </si>
  <si>
    <t>Bloomington, IL</t>
  </si>
  <si>
    <t>Cyborg Cats</t>
  </si>
  <si>
    <t>Westminster Christian Academy, The Boeing Company, Henry A. Jubel Memorial Foundation, The Material Works, Ltd., HTE Technologies, American Steel Fabrication &amp; Bunge North America </t>
  </si>
  <si>
    <t>Town and Country, MO</t>
  </si>
  <si>
    <t>Trident Robotics</t>
  </si>
  <si>
    <t>Warren Township High School &amp; Abbott Fund</t>
  </si>
  <si>
    <t>Gurnee, IL</t>
  </si>
  <si>
    <t>Lutheran Roboteers</t>
  </si>
  <si>
    <t>Lutheran High School -St. Charles, The Boeing Company, Beta Sigma Psi Lutheran Fraternity Alumni, Wiegmann Associates, Innoventor Engineering, jcpenney &amp; Engineering and Technology for Lutheran Youth </t>
  </si>
  <si>
    <t>St. Charles, MO</t>
  </si>
  <si>
    <t>Rambunction</t>
  </si>
  <si>
    <t>Ladue Horton Watkins High School &amp; Monsanto</t>
  </si>
  <si>
    <t>St. Louis, MO</t>
  </si>
  <si>
    <t>Stateline Robotics</t>
  </si>
  <si>
    <t>Hononegah and Belot Memorial High School, NASA, TCI, Atrona, Forest City Gear, Woodward, Blackhawk Bank, Gateway Community Bank &amp; Community Foundation of Northern Illinois </t>
  </si>
  <si>
    <t>Rockton, IL</t>
  </si>
  <si>
    <t>Nicolet F.E.A.R.</t>
  </si>
  <si>
    <t>Nicolet High School &amp; GE Volunteers of GE Healthcare</t>
  </si>
  <si>
    <t>Glendale, WI</t>
  </si>
  <si>
    <t>System Overlord Robotics</t>
  </si>
  <si>
    <t>West Branch High School, NASA, Twinkle Co, Hills Bank and Trust, Aero Rental &amp;Liberty Communications</t>
  </si>
  <si>
    <t>West Branch, IA</t>
  </si>
  <si>
    <t>Central Illinois Regional Registered Teams</t>
  </si>
  <si>
    <t>Delphi E.L.I.T.E.</t>
  </si>
  <si>
    <t>Warren, OH, USA</t>
  </si>
  <si>
    <t>MetalHeads</t>
  </si>
  <si>
    <t>Freeport, IL, USA</t>
  </si>
  <si>
    <t>N.E.W. Apple Corps Robotics</t>
  </si>
  <si>
    <t>Appleton, WI, USA</t>
  </si>
  <si>
    <t>WildStang</t>
  </si>
  <si>
    <t>Schaumburg, IL, USA</t>
  </si>
  <si>
    <t>Iowa City, IA, USA</t>
  </si>
  <si>
    <t>Platteville, WI, USA</t>
  </si>
  <si>
    <t>GRT</t>
  </si>
  <si>
    <t>Palo Alto, CA, USA</t>
  </si>
  <si>
    <t>CooneyTech</t>
  </si>
  <si>
    <t>Oconomowoc, WI, USA</t>
  </si>
  <si>
    <t>Chargers!</t>
  </si>
  <si>
    <t>Sussex, WI, USA</t>
  </si>
  <si>
    <t>CYBERHAWKS</t>
  </si>
  <si>
    <t>Hartland, WI, USA</t>
  </si>
  <si>
    <t>Thunder Robotics</t>
  </si>
  <si>
    <t>Northwood and Hatton, ND, USA</t>
  </si>
  <si>
    <t>Mukwonago B.E.A.R.s (Building Extremely Awesome Robots)</t>
  </si>
  <si>
    <t>Mukwonago, WI, USA</t>
  </si>
  <si>
    <t>Team Botman</t>
  </si>
  <si>
    <t>Richmond, KS, USA</t>
  </si>
  <si>
    <t>Hartford, WI, USA</t>
  </si>
  <si>
    <t>Paradigm Shift</t>
  </si>
  <si>
    <t>Pewaukee, WI, USA</t>
  </si>
  <si>
    <t>BadgerBOTS</t>
  </si>
  <si>
    <t>Madison, WI, USA</t>
  </si>
  <si>
    <t>Team Spyder</t>
  </si>
  <si>
    <t>Poway, CA, USA</t>
  </si>
  <si>
    <t>Winnovation</t>
  </si>
  <si>
    <t>Winnebago, IL, USA</t>
  </si>
  <si>
    <t>The Ultimate Protection Squad</t>
  </si>
  <si>
    <t>Milwaukee, WI, USA</t>
  </si>
  <si>
    <t>MORE Robotics</t>
  </si>
  <si>
    <t>Redbird Robotics</t>
  </si>
  <si>
    <t>De Pere, WI, USA</t>
  </si>
  <si>
    <t>Hilltoppers</t>
  </si>
  <si>
    <t>Peoria, IL, USA</t>
  </si>
  <si>
    <t>Rockford, IL, USA</t>
  </si>
  <si>
    <t>Dunlap, IL, USA</t>
  </si>
  <si>
    <t>C.O.R.E 2062</t>
  </si>
  <si>
    <t>Waukesha, WI, USA</t>
  </si>
  <si>
    <t>Laser Robotics</t>
  </si>
  <si>
    <t>Wales, WI, USA</t>
  </si>
  <si>
    <t>Fond du Lac, WI, USA</t>
  </si>
  <si>
    <t>BEAST Robotics</t>
  </si>
  <si>
    <t>Brookfield, WI, USA</t>
  </si>
  <si>
    <t>Blitz Team</t>
  </si>
  <si>
    <t>Bloomington, MN, USA</t>
  </si>
  <si>
    <t>Tremont, IL, USA</t>
  </si>
  <si>
    <t>Duluth East Daredevils</t>
  </si>
  <si>
    <t>Duluth, MN, USA</t>
  </si>
  <si>
    <t>Inconceivable</t>
  </si>
  <si>
    <t>Rochester, MN, USA</t>
  </si>
  <si>
    <t>WE ROBOT</t>
  </si>
  <si>
    <t>Eden Prairie, MN, USA</t>
  </si>
  <si>
    <t>Wave Robotics</t>
  </si>
  <si>
    <t>Oshkosh, WI, USA</t>
  </si>
  <si>
    <t>Riverside RoboTigers</t>
  </si>
  <si>
    <t>Nordic Storm</t>
  </si>
  <si>
    <t>Saint Peter, MN, USA</t>
  </si>
  <si>
    <t>RoboEagles</t>
  </si>
  <si>
    <t>Robotic Colonels</t>
  </si>
  <si>
    <t>Chicago, IL, USA</t>
  </si>
  <si>
    <t>HexHounds</t>
  </si>
  <si>
    <t>Cedarburg, WI, USA</t>
  </si>
  <si>
    <t>Midwest WARRIORS</t>
  </si>
  <si>
    <t>Ortonville, MN, USA</t>
  </si>
  <si>
    <t>Manitowoc County Droid Rage 3381</t>
  </si>
  <si>
    <t>Valders, WI, USA</t>
  </si>
  <si>
    <t>Robo Riot</t>
  </si>
  <si>
    <t>Sheboygan Falls, WI, USA</t>
  </si>
  <si>
    <t>Rocket Robotics</t>
  </si>
  <si>
    <t>South Milwaukee, WI, USA</t>
  </si>
  <si>
    <t>Rock'n'Robots</t>
  </si>
  <si>
    <t>Janesville, WI, USA</t>
  </si>
  <si>
    <t>Caxys</t>
  </si>
  <si>
    <t>Lake Forest, IL, USA</t>
  </si>
  <si>
    <t>Urban Robots</t>
  </si>
  <si>
    <t>Team RoXI</t>
  </si>
  <si>
    <t>Metamora, IL, USA</t>
  </si>
  <si>
    <t>Galesburg, IL, USA</t>
  </si>
  <si>
    <t>Cougar-Bots</t>
  </si>
  <si>
    <t>Gurnee, IL, USA</t>
  </si>
  <si>
    <t>STEMpunk</t>
  </si>
  <si>
    <t>Mishicot, WI, USA</t>
  </si>
  <si>
    <t>Team ASAP</t>
  </si>
  <si>
    <t>Des Moines, IA, USA</t>
  </si>
  <si>
    <t>Rockton, IL, USA</t>
  </si>
  <si>
    <t>Glendale, WI, USA</t>
  </si>
  <si>
    <t>Port PiraTech</t>
  </si>
  <si>
    <t>Port Washington, WI, USA</t>
  </si>
  <si>
    <t>The CyBears</t>
  </si>
  <si>
    <t>Byron, MN, USA</t>
  </si>
  <si>
    <t>The Teutonic Blitz</t>
  </si>
  <si>
    <t>Germantown, WI, USA</t>
  </si>
  <si>
    <t>New Berlin Blitz</t>
  </si>
  <si>
    <t>New Berlin, WI, USA</t>
  </si>
  <si>
    <t>Standard</t>
  </si>
  <si>
    <t>One</t>
  </si>
  <si>
    <t>Four</t>
  </si>
  <si>
    <t>No Truss Throw</t>
  </si>
  <si>
    <t>Minimal Defense</t>
  </si>
  <si>
    <t xml:space="preserve">scout_name_in                 </t>
  </si>
  <si>
    <t xml:space="preserve">team_number_in                </t>
  </si>
  <si>
    <t xml:space="preserve">match_number_in               </t>
  </si>
  <si>
    <t xml:space="preserve">match_type                    </t>
  </si>
  <si>
    <t xml:space="preserve">starting_ball                 </t>
  </si>
  <si>
    <t xml:space="preserve">floor_pickup                  </t>
  </si>
  <si>
    <t xml:space="preserve">in_area                       </t>
  </si>
  <si>
    <t xml:space="preserve">auto_pts_display              </t>
  </si>
  <si>
    <t xml:space="preserve">auto_miss_display             </t>
  </si>
  <si>
    <t xml:space="preserve">penalty_display1              </t>
  </si>
  <si>
    <t xml:space="preserve">technical_display1            </t>
  </si>
  <si>
    <t xml:space="preserve">Location                      </t>
  </si>
  <si>
    <t xml:space="preserve">Front_shoot                   </t>
  </si>
  <si>
    <t xml:space="preserve">Full_shoot                    </t>
  </si>
  <si>
    <t xml:space="preserve">Human_load                    </t>
  </si>
  <si>
    <t xml:space="preserve">Floor_load                    </t>
  </si>
  <si>
    <t xml:space="preserve">tele_pts_display              </t>
  </si>
  <si>
    <t xml:space="preserve">tele_miss_display             </t>
  </si>
  <si>
    <t xml:space="preserve">penalty_display2              </t>
  </si>
  <si>
    <t xml:space="preserve">technical_display2            </t>
  </si>
  <si>
    <t xml:space="preserve">driving_ability               </t>
  </si>
  <si>
    <t xml:space="preserve">robot_block                   </t>
  </si>
  <si>
    <t xml:space="preserve">robot_block_time              </t>
  </si>
  <si>
    <t xml:space="preserve">robot_pass_effectiveness      </t>
  </si>
  <si>
    <t>robot_truss_throw_effectiveness</t>
  </si>
  <si>
    <t>robot_truss_catch_effectiveness</t>
  </si>
  <si>
    <t xml:space="preserve">scout_name_in    </t>
  </si>
  <si>
    <t xml:space="preserve">team_number_in  </t>
  </si>
  <si>
    <t xml:space="preserve">match_number_in </t>
  </si>
  <si>
    <t xml:space="preserve">match_type      </t>
  </si>
  <si>
    <t xml:space="preserve">drive_type      </t>
  </si>
  <si>
    <t xml:space="preserve">drive_speed     </t>
  </si>
  <si>
    <t xml:space="preserve">number_wheels   </t>
  </si>
  <si>
    <t xml:space="preserve">low_pass       </t>
  </si>
  <si>
    <t xml:space="preserve">high_pass      </t>
  </si>
  <si>
    <t xml:space="preserve">high_goal      </t>
  </si>
  <si>
    <t xml:space="preserve">low_goal       </t>
  </si>
  <si>
    <t xml:space="preserve">low_top        </t>
  </si>
  <si>
    <t xml:space="preserve">truss_throw     </t>
  </si>
  <si>
    <t xml:space="preserve">pass_catch     </t>
  </si>
  <si>
    <t xml:space="preserve">truss_catch    </t>
  </si>
  <si>
    <t xml:space="preserve">defense         </t>
  </si>
  <si>
    <t xml:space="preserve">scout name in                 </t>
  </si>
  <si>
    <t xml:space="preserve">team number in                </t>
  </si>
  <si>
    <t xml:space="preserve">match number in               </t>
  </si>
  <si>
    <t xml:space="preserve">match type                    </t>
  </si>
  <si>
    <t xml:space="preserve">starting ball                 </t>
  </si>
  <si>
    <t xml:space="preserve">floor pickup                  </t>
  </si>
  <si>
    <t xml:space="preserve">in area                       </t>
  </si>
  <si>
    <t xml:space="preserve">auto pts display              </t>
  </si>
  <si>
    <t xml:space="preserve">auto miss display             </t>
  </si>
  <si>
    <t xml:space="preserve">penalty display1              </t>
  </si>
  <si>
    <t xml:space="preserve">technical display1            </t>
  </si>
  <si>
    <t xml:space="preserve">Front shoot                   </t>
  </si>
  <si>
    <t xml:space="preserve">Full shoot                    </t>
  </si>
  <si>
    <t xml:space="preserve">Human load                    </t>
  </si>
  <si>
    <t xml:space="preserve">Floor load                    </t>
  </si>
  <si>
    <t xml:space="preserve">tele pts display              </t>
  </si>
  <si>
    <t xml:space="preserve">tele miss display             </t>
  </si>
  <si>
    <t xml:space="preserve">penalty display2              </t>
  </si>
  <si>
    <t xml:space="preserve">technical display2            </t>
  </si>
  <si>
    <t xml:space="preserve">driving ability               </t>
  </si>
  <si>
    <t xml:space="preserve">robot block                   </t>
  </si>
  <si>
    <t xml:space="preserve">robot block time              </t>
  </si>
  <si>
    <t xml:space="preserve">scout name in    </t>
  </si>
  <si>
    <t xml:space="preserve">team number in  </t>
  </si>
  <si>
    <t xml:space="preserve">match number in </t>
  </si>
  <si>
    <t xml:space="preserve">match type      </t>
  </si>
  <si>
    <t xml:space="preserve">drive type      </t>
  </si>
  <si>
    <t xml:space="preserve">drive speed     </t>
  </si>
  <si>
    <t xml:space="preserve">number wheels   </t>
  </si>
  <si>
    <t xml:space="preserve">low pass       </t>
  </si>
  <si>
    <t xml:space="preserve">high pass      </t>
  </si>
  <si>
    <t xml:space="preserve">high goal      </t>
  </si>
  <si>
    <t xml:space="preserve">low goal       </t>
  </si>
  <si>
    <t xml:space="preserve">low top        </t>
  </si>
  <si>
    <t xml:space="preserve">truss throw     </t>
  </si>
  <si>
    <t xml:space="preserve">pass catch     </t>
  </si>
  <si>
    <t xml:space="preserve">truss catch    </t>
  </si>
  <si>
    <t>DriveTrain Comments</t>
  </si>
  <si>
    <t>Shooter Comments</t>
  </si>
  <si>
    <t>General Comments</t>
  </si>
  <si>
    <t>TimD</t>
  </si>
  <si>
    <t>average bot</t>
  </si>
  <si>
    <t>great bot</t>
  </si>
  <si>
    <t>PitScouting</t>
  </si>
  <si>
    <t>Throw Over</t>
  </si>
  <si>
    <t>basic</t>
  </si>
  <si>
    <t>average_ no range capability</t>
  </si>
  <si>
    <t xml:space="preserve">no catch_ floor pickup only. </t>
  </si>
  <si>
    <t>Robot Defense</t>
  </si>
  <si>
    <t>high goal only</t>
  </si>
  <si>
    <t>decent pass and catch capability</t>
  </si>
  <si>
    <t xml:space="preserve">pass effectiveness      </t>
  </si>
  <si>
    <t>truss throw effectiveness</t>
  </si>
  <si>
    <t>truss catch effectiveness</t>
  </si>
  <si>
    <t>Joe</t>
  </si>
  <si>
    <t>Swerve</t>
  </si>
  <si>
    <t>Two</t>
  </si>
  <si>
    <t>pneumatic wheels</t>
  </si>
  <si>
    <t>basic catapult</t>
  </si>
  <si>
    <t>weak defense</t>
  </si>
  <si>
    <t>Eight</t>
  </si>
  <si>
    <t>good controls</t>
  </si>
  <si>
    <t>repeatible shooter   automated cycles</t>
  </si>
  <si>
    <t>DJT</t>
  </si>
  <si>
    <t>Friendly Team   Like the hats</t>
  </si>
  <si>
    <t>cooperative</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</si>
</sst>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3" formatCode="_(* #,##0.00_);_(* \(#,##0.00\);_(* &quot;-&quot;??_);_(@_)"/>
    <numFmt numFmtId="164" formatCode="0.0"/>
    <numFmt numFmtId="165" formatCode="##\-##\-##"/>
    <numFmt numFmtId="166" formatCode="_(* #,##0.0_);_(* \(#,##0.0\);_(* &quot;-&quot;??_);_(@_)"/>
    <numFmt numFmtId="167" formatCode="[$-409]h:mm\ AM/PM;@"/>
    <numFmt numFmtId="168" formatCode="#,##0.0_);\(#,##0.0\)"/>
  </numFmts>
  <fonts count="34" x14ac:knownFonts="1">
    <font>
      <sz val="11"/>
      <color theme="1"/>
      <name val="Calibri"/>
      <family val="2"/>
      <scheme val="minor"/>
    </font>
    <font>
      <b/>
      <u/>
      <sz val="14"/>
      <color indexed="8"/>
      <name val="Calibri"/>
      <family val="2"/>
    </font>
    <font>
      <sz val="11"/>
      <color indexed="8"/>
      <name val="Calibri"/>
      <family val="2"/>
    </font>
    <font>
      <sz val="8"/>
      <color indexed="81"/>
      <name val="Tahoma"/>
      <family val="2"/>
    </font>
    <font>
      <u/>
      <sz val="8"/>
      <color indexed="81"/>
      <name val="Tahoma"/>
      <family val="2"/>
    </font>
    <font>
      <b/>
      <sz val="12"/>
      <color indexed="9"/>
      <name val="Arial"/>
      <family val="2"/>
    </font>
    <font>
      <sz val="9"/>
      <color indexed="8"/>
      <name val="Arial"/>
      <family val="2"/>
    </font>
    <font>
      <sz val="8"/>
      <name val="Calibri"/>
      <family val="2"/>
    </font>
    <font>
      <b/>
      <sz val="8"/>
      <color indexed="81"/>
      <name val="Tahoma"/>
      <family val="2"/>
    </font>
    <font>
      <sz val="11"/>
      <color indexed="8"/>
      <name val="Calibri"/>
      <family val="2"/>
    </font>
    <font>
      <b/>
      <sz val="12"/>
      <color rgb="FFFFFFFF"/>
      <name val="Arial"/>
      <family val="2"/>
    </font>
    <font>
      <sz val="9"/>
      <color theme="1"/>
      <name val="Arial"/>
      <family val="2"/>
    </font>
    <font>
      <b/>
      <sz val="14"/>
      <color theme="1"/>
      <name val="Calibri"/>
      <family val="2"/>
      <scheme val="minor"/>
    </font>
    <font>
      <b/>
      <sz val="14"/>
      <color rgb="FFFF0000"/>
      <name val="Calibri"/>
      <family val="2"/>
      <scheme val="minor"/>
    </font>
    <font>
      <b/>
      <sz val="11"/>
      <name val="Calibri"/>
      <family val="2"/>
      <scheme val="minor"/>
    </font>
    <font>
      <sz val="9"/>
      <color indexed="81"/>
      <name val="Tahoma"/>
      <family val="2"/>
    </font>
    <font>
      <b/>
      <sz val="9"/>
      <color indexed="81"/>
      <name val="Tahoma"/>
      <family val="2"/>
    </font>
    <font>
      <b/>
      <sz val="20"/>
      <name val="Calibri"/>
      <family val="2"/>
      <scheme val="minor"/>
    </font>
    <font>
      <b/>
      <sz val="20"/>
      <color rgb="FFFF0000"/>
      <name val="Calibri"/>
      <family val="2"/>
      <scheme val="minor"/>
    </font>
    <font>
      <b/>
      <sz val="24"/>
      <color theme="0"/>
      <name val="Calibri"/>
      <family val="2"/>
      <scheme val="minor"/>
    </font>
    <font>
      <b/>
      <sz val="20"/>
      <color theme="4"/>
      <name val="Calibri"/>
      <family val="2"/>
      <scheme val="minor"/>
    </font>
    <font>
      <b/>
      <sz val="14"/>
      <color theme="4"/>
      <name val="Calibri"/>
      <family val="2"/>
      <scheme val="minor"/>
    </font>
    <font>
      <b/>
      <sz val="11"/>
      <color rgb="FF00B050"/>
      <name val="Calibri"/>
      <family val="2"/>
      <scheme val="minor"/>
    </font>
    <font>
      <b/>
      <sz val="16"/>
      <color theme="1"/>
      <name val="Calibri"/>
      <family val="2"/>
      <scheme val="minor"/>
    </font>
    <font>
      <b/>
      <sz val="11"/>
      <color theme="1"/>
      <name val="Calibri"/>
      <family val="2"/>
      <scheme val="minor"/>
    </font>
    <font>
      <b/>
      <sz val="11"/>
      <color rgb="FFFF0000"/>
      <name val="Calibri"/>
      <family val="2"/>
      <scheme val="minor"/>
    </font>
    <font>
      <b/>
      <sz val="11"/>
      <color theme="4"/>
      <name val="Calibri"/>
      <family val="2"/>
      <scheme val="minor"/>
    </font>
    <font>
      <b/>
      <sz val="18"/>
      <color theme="1"/>
      <name val="Calibri"/>
      <family val="2"/>
      <scheme val="minor"/>
    </font>
    <font>
      <sz val="12"/>
      <color theme="1"/>
      <name val="Times New Roman"/>
      <family val="1"/>
    </font>
    <font>
      <b/>
      <sz val="11"/>
      <color rgb="FF0070C0"/>
      <name val="Calibri"/>
      <family val="2"/>
      <scheme val="minor"/>
    </font>
    <font>
      <u/>
      <sz val="11"/>
      <color theme="10"/>
      <name val="Calibri"/>
      <family val="2"/>
    </font>
    <font>
      <sz val="11"/>
      <color rgb="FF000000"/>
      <name val="Calibri"/>
      <family val="2"/>
    </font>
    <font>
      <b/>
      <sz val="14"/>
      <color theme="1"/>
      <name val="Verdana"/>
      <family val="2"/>
    </font>
    <font>
      <sz val="10"/>
      <color theme="1"/>
      <name val="Lucida Console"/>
      <family val="3"/>
    </font>
  </fonts>
  <fills count="20">
    <fill>
      <patternFill patternType="none"/>
    </fill>
    <fill>
      <patternFill patternType="gray125"/>
    </fill>
    <fill>
      <patternFill patternType="solid">
        <fgColor indexed="9"/>
        <bgColor indexed="64"/>
      </patternFill>
    </fill>
    <fill>
      <patternFill patternType="solid">
        <fgColor indexed="13"/>
        <bgColor indexed="64"/>
      </patternFill>
    </fill>
    <fill>
      <patternFill patternType="solid">
        <fgColor indexed="54"/>
        <bgColor indexed="64"/>
      </patternFill>
    </fill>
    <fill>
      <patternFill patternType="solid">
        <fgColor indexed="47"/>
        <bgColor indexed="64"/>
      </patternFill>
    </fill>
    <fill>
      <patternFill patternType="solid">
        <fgColor indexed="15"/>
        <bgColor indexed="64"/>
      </patternFill>
    </fill>
    <fill>
      <patternFill patternType="solid">
        <fgColor indexed="42"/>
        <bgColor indexed="64"/>
      </patternFill>
    </fill>
    <fill>
      <patternFill patternType="solid">
        <fgColor rgb="FF54539B"/>
        <bgColor indexed="64"/>
      </patternFill>
    </fill>
    <fill>
      <patternFill patternType="solid">
        <fgColor rgb="FFFFFFFF"/>
        <bgColor indexed="64"/>
      </patternFill>
    </fill>
    <fill>
      <patternFill patternType="solid">
        <fgColor theme="0"/>
        <bgColor indexed="64"/>
      </patternFill>
    </fill>
    <fill>
      <patternFill patternType="solid">
        <fgColor theme="2"/>
        <bgColor indexed="64"/>
      </patternFill>
    </fill>
    <fill>
      <patternFill patternType="solid">
        <fgColor rgb="FFFF0000"/>
        <bgColor indexed="64"/>
      </patternFill>
    </fill>
    <fill>
      <patternFill patternType="solid">
        <fgColor theme="4"/>
        <bgColor indexed="64"/>
      </patternFill>
    </fill>
    <fill>
      <patternFill patternType="solid">
        <fgColor theme="1" tint="0.34998626667073579"/>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FFFF00"/>
        <bgColor indexed="64"/>
      </patternFill>
    </fill>
    <fill>
      <patternFill patternType="solid">
        <fgColor theme="6" tint="0.39997558519241921"/>
        <bgColor indexed="64"/>
      </patternFill>
    </fill>
    <fill>
      <patternFill patternType="solid">
        <fgColor rgb="FF00B0F0"/>
        <bgColor indexed="64"/>
      </patternFill>
    </fill>
  </fills>
  <borders count="29">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indexed="8"/>
      </top>
      <bottom/>
      <diagonal/>
    </border>
    <border>
      <left style="thin">
        <color indexed="8"/>
      </left>
      <right/>
      <top style="thin">
        <color indexed="8"/>
      </top>
      <bottom/>
      <diagonal/>
    </border>
    <border>
      <left style="thin">
        <color indexed="8"/>
      </left>
      <right/>
      <top style="thin">
        <color indexed="8"/>
      </top>
      <bottom style="thin">
        <color indexed="8"/>
      </bottom>
      <diagonal/>
    </border>
    <border>
      <left style="thin">
        <color indexed="65"/>
      </left>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65"/>
      </left>
      <right/>
      <top style="thin">
        <color indexed="8"/>
      </top>
      <bottom/>
      <diagonal/>
    </border>
    <border>
      <left/>
      <right/>
      <top style="thin">
        <color indexed="8"/>
      </top>
      <bottom style="thin">
        <color indexed="8"/>
      </bottom>
      <diagonal/>
    </border>
    <border>
      <left style="thin">
        <color indexed="65"/>
      </left>
      <right style="thin">
        <color indexed="8"/>
      </right>
      <top style="thin">
        <color indexed="8"/>
      </top>
      <bottom/>
      <diagonal/>
    </border>
    <border>
      <left/>
      <right style="thin">
        <color indexed="8"/>
      </right>
      <top style="thin">
        <color indexed="8"/>
      </top>
      <bottom/>
      <diagonal/>
    </border>
    <border>
      <left/>
      <right style="thin">
        <color indexed="8"/>
      </right>
      <top style="thin">
        <color indexed="8"/>
      </top>
      <bottom style="thin">
        <color indexed="8"/>
      </bottom>
      <diagonal/>
    </border>
    <border>
      <left style="thin">
        <color indexed="8"/>
      </left>
      <right/>
      <top style="thin">
        <color indexed="65"/>
      </top>
      <bottom/>
      <diagonal/>
    </border>
    <border>
      <left style="thin">
        <color indexed="8"/>
      </left>
      <right/>
      <top/>
      <bottom/>
      <diagonal/>
    </border>
    <border>
      <left/>
      <right style="thin">
        <color indexed="8"/>
      </right>
      <top/>
      <bottom/>
      <diagonal/>
    </border>
    <border>
      <left/>
      <right/>
      <top style="medium">
        <color indexed="64"/>
      </top>
      <bottom style="medium">
        <color indexed="64"/>
      </bottom>
      <diagonal/>
    </border>
    <border>
      <left style="thin">
        <color indexed="8"/>
      </left>
      <right style="thin">
        <color indexed="8"/>
      </right>
      <top style="thin">
        <color indexed="8"/>
      </top>
      <bottom/>
      <diagonal/>
    </border>
    <border>
      <left style="thin">
        <color indexed="8"/>
      </left>
      <right style="thin">
        <color indexed="8"/>
      </right>
      <top/>
      <bottom/>
      <diagonal/>
    </border>
    <border>
      <left style="thick">
        <color auto="1"/>
      </left>
      <right style="thick">
        <color auto="1"/>
      </right>
      <top style="thick">
        <color auto="1"/>
      </top>
      <bottom style="thick">
        <color auto="1"/>
      </bottom>
      <diagonal/>
    </border>
    <border>
      <left style="thin">
        <color indexed="64"/>
      </left>
      <right style="thin">
        <color indexed="64"/>
      </right>
      <top style="thin">
        <color indexed="64"/>
      </top>
      <bottom style="thin">
        <color indexed="64"/>
      </bottom>
      <diagonal/>
    </border>
  </borders>
  <cellStyleXfs count="4">
    <xf numFmtId="0" fontId="0" fillId="0" borderId="0"/>
    <xf numFmtId="43" fontId="9" fillId="0" borderId="0" applyFont="0" applyFill="0" applyBorder="0" applyAlignment="0" applyProtection="0"/>
    <xf numFmtId="9" fontId="2" fillId="0" borderId="0" applyFont="0" applyFill="0" applyBorder="0" applyAlignment="0" applyProtection="0"/>
    <xf numFmtId="0" fontId="30" fillId="0" borderId="0" applyNumberFormat="0" applyFill="0" applyBorder="0" applyAlignment="0" applyProtection="0">
      <alignment vertical="top"/>
      <protection locked="0"/>
    </xf>
  </cellStyleXfs>
  <cellXfs count="209">
    <xf numFmtId="0" fontId="0" fillId="0" borderId="0" xfId="0"/>
    <xf numFmtId="0" fontId="0" fillId="0" borderId="0" xfId="0" applyAlignment="1">
      <alignment horizontal="left"/>
    </xf>
    <xf numFmtId="0" fontId="0" fillId="0" borderId="0" xfId="0" applyAlignment="1">
      <alignment wrapText="1"/>
    </xf>
    <xf numFmtId="0" fontId="0" fillId="3" borderId="0" xfId="0" applyFill="1" applyAlignment="1">
      <alignment horizontal="center" wrapText="1"/>
    </xf>
    <xf numFmtId="0" fontId="0" fillId="3" borderId="0" xfId="0" applyFill="1" applyAlignment="1">
      <alignment horizontal="center"/>
    </xf>
    <xf numFmtId="0" fontId="5" fillId="4" borderId="0" xfId="0" applyFont="1" applyFill="1" applyAlignment="1">
      <alignment horizontal="center" wrapText="1"/>
    </xf>
    <xf numFmtId="0" fontId="6" fillId="2" borderId="0" xfId="0" applyFont="1" applyFill="1" applyAlignment="1">
      <alignment horizontal="center" wrapText="1"/>
    </xf>
    <xf numFmtId="0" fontId="0" fillId="5" borderId="0" xfId="0" applyFill="1" applyAlignment="1">
      <alignment horizontal="center" wrapText="1"/>
    </xf>
    <xf numFmtId="0" fontId="0" fillId="5" borderId="0" xfId="0" applyFill="1" applyAlignment="1">
      <alignment horizontal="center"/>
    </xf>
    <xf numFmtId="0" fontId="0" fillId="6" borderId="0" xfId="0" applyFill="1" applyAlignment="1">
      <alignment horizontal="center" wrapText="1"/>
    </xf>
    <xf numFmtId="0" fontId="0" fillId="6" borderId="0" xfId="0" applyFill="1" applyAlignment="1">
      <alignment horizontal="center"/>
    </xf>
    <xf numFmtId="165" fontId="0" fillId="0" borderId="0" xfId="0" applyNumberFormat="1"/>
    <xf numFmtId="0" fontId="0" fillId="0" borderId="0" xfId="0" applyAlignment="1">
      <alignment horizontal="center"/>
    </xf>
    <xf numFmtId="0" fontId="0" fillId="0" borderId="0" xfId="0" applyFill="1" applyAlignment="1">
      <alignment horizontal="center"/>
    </xf>
    <xf numFmtId="0" fontId="0" fillId="0" borderId="0" xfId="0" applyAlignment="1">
      <alignment horizontal="center" wrapText="1"/>
    </xf>
    <xf numFmtId="9" fontId="0" fillId="7" borderId="0" xfId="2" applyFont="1" applyFill="1" applyAlignment="1">
      <alignment horizontal="center" wrapText="1"/>
    </xf>
    <xf numFmtId="9" fontId="0" fillId="7" borderId="0" xfId="2" applyFont="1" applyFill="1" applyAlignment="1">
      <alignment horizontal="center"/>
    </xf>
    <xf numFmtId="9" fontId="0" fillId="3" borderId="0" xfId="2" applyFont="1" applyFill="1" applyAlignment="1">
      <alignment horizontal="center"/>
    </xf>
    <xf numFmtId="9" fontId="0" fillId="3" borderId="0" xfId="2" applyFont="1" applyFill="1" applyAlignment="1">
      <alignment horizontal="center" wrapText="1"/>
    </xf>
    <xf numFmtId="0" fontId="0" fillId="0" borderId="12" xfId="0" applyBorder="1"/>
    <xf numFmtId="0" fontId="0" fillId="0" borderId="15" xfId="0" applyBorder="1"/>
    <xf numFmtId="0" fontId="0" fillId="0" borderId="12" xfId="0" applyBorder="1" applyAlignment="1">
      <alignment horizontal="left"/>
    </xf>
    <xf numFmtId="0" fontId="0" fillId="0" borderId="16" xfId="0" applyBorder="1" applyAlignment="1">
      <alignment horizontal="left"/>
    </xf>
    <xf numFmtId="0" fontId="0" fillId="0" borderId="12" xfId="0" applyBorder="1" applyAlignment="1">
      <alignment horizontal="center"/>
    </xf>
    <xf numFmtId="1" fontId="0" fillId="0" borderId="0" xfId="2" applyNumberFormat="1" applyFont="1" applyAlignment="1">
      <alignment horizontal="center"/>
    </xf>
    <xf numFmtId="9" fontId="0" fillId="0" borderId="11" xfId="0" applyNumberFormat="1" applyBorder="1" applyAlignment="1">
      <alignment horizontal="center"/>
    </xf>
    <xf numFmtId="9" fontId="0" fillId="0" borderId="0" xfId="0" applyNumberFormat="1" applyAlignment="1">
      <alignment horizontal="center"/>
    </xf>
    <xf numFmtId="9" fontId="0" fillId="0" borderId="17" xfId="0" applyNumberFormat="1" applyBorder="1" applyAlignment="1">
      <alignment horizontal="center"/>
    </xf>
    <xf numFmtId="166" fontId="0" fillId="3" borderId="0" xfId="1" applyNumberFormat="1" applyFont="1" applyFill="1" applyAlignment="1">
      <alignment horizontal="center" wrapText="1"/>
    </xf>
    <xf numFmtId="166" fontId="0" fillId="3" borderId="0" xfId="1" applyNumberFormat="1" applyFont="1" applyFill="1" applyAlignment="1">
      <alignment horizontal="center"/>
    </xf>
    <xf numFmtId="0" fontId="0" fillId="0" borderId="21" xfId="0" applyBorder="1"/>
    <xf numFmtId="0" fontId="0" fillId="0" borderId="22" xfId="0" applyBorder="1"/>
    <xf numFmtId="0" fontId="0" fillId="0" borderId="12" xfId="0" pivotButton="1" applyBorder="1" applyAlignment="1">
      <alignment wrapText="1"/>
    </xf>
    <xf numFmtId="0" fontId="0" fillId="0" borderId="12" xfId="0" pivotButton="1" applyBorder="1" applyAlignment="1">
      <alignment horizontal="center" wrapText="1"/>
    </xf>
    <xf numFmtId="0" fontId="0" fillId="0" borderId="16" xfId="0" applyBorder="1" applyAlignment="1">
      <alignment horizontal="center" wrapText="1"/>
    </xf>
    <xf numFmtId="0" fontId="0" fillId="0" borderId="18" xfId="0" applyBorder="1" applyAlignment="1">
      <alignment horizontal="center" wrapText="1"/>
    </xf>
    <xf numFmtId="0" fontId="0" fillId="0" borderId="12" xfId="0" pivotButton="1" applyBorder="1" applyAlignment="1">
      <alignment horizontal="center"/>
    </xf>
    <xf numFmtId="0" fontId="0" fillId="0" borderId="22" xfId="0" applyBorder="1" applyAlignment="1">
      <alignment horizontal="center"/>
    </xf>
    <xf numFmtId="0" fontId="0" fillId="0" borderId="15" xfId="0" pivotButton="1" applyBorder="1" applyAlignment="1">
      <alignment horizontal="center"/>
    </xf>
    <xf numFmtId="0" fontId="0" fillId="0" borderId="15" xfId="0" applyBorder="1" applyAlignment="1">
      <alignment horizontal="center"/>
    </xf>
    <xf numFmtId="0" fontId="0" fillId="0" borderId="13" xfId="0" applyBorder="1" applyAlignment="1">
      <alignment horizontal="center"/>
    </xf>
    <xf numFmtId="0" fontId="10" fillId="8" borderId="0" xfId="0" applyFont="1" applyFill="1" applyAlignment="1">
      <alignment horizontal="center" wrapText="1"/>
    </xf>
    <xf numFmtId="18" fontId="11" fillId="9" borderId="0" xfId="0" applyNumberFormat="1" applyFont="1" applyFill="1" applyAlignment="1">
      <alignment wrapText="1"/>
    </xf>
    <xf numFmtId="0" fontId="11" fillId="9" borderId="0" xfId="0" applyFont="1" applyFill="1" applyAlignment="1">
      <alignment horizontal="center" wrapText="1"/>
    </xf>
    <xf numFmtId="0" fontId="11" fillId="9" borderId="0" xfId="0" applyFont="1" applyFill="1" applyAlignment="1">
      <alignment wrapText="1"/>
    </xf>
    <xf numFmtId="167" fontId="0" fillId="3" borderId="0" xfId="0" applyNumberFormat="1" applyFill="1" applyAlignment="1">
      <alignment horizontal="center"/>
    </xf>
    <xf numFmtId="0" fontId="0" fillId="10" borderId="0" xfId="0" applyFill="1"/>
    <xf numFmtId="0" fontId="14" fillId="11" borderId="7" xfId="0" applyFont="1" applyFill="1" applyBorder="1" applyAlignment="1">
      <alignment vertical="top"/>
    </xf>
    <xf numFmtId="0" fontId="14" fillId="11" borderId="0" xfId="0" applyFont="1" applyFill="1" applyBorder="1" applyAlignment="1">
      <alignment vertical="top"/>
    </xf>
    <xf numFmtId="0" fontId="12" fillId="11" borderId="2" xfId="0" applyFont="1" applyFill="1" applyBorder="1" applyAlignment="1">
      <alignment horizontal="center"/>
    </xf>
    <xf numFmtId="0" fontId="0" fillId="0" borderId="0" xfId="0"/>
    <xf numFmtId="1" fontId="14" fillId="11" borderId="0" xfId="0" applyNumberFormat="1" applyFont="1" applyFill="1" applyBorder="1" applyAlignment="1">
      <alignment vertical="top"/>
    </xf>
    <xf numFmtId="0" fontId="12" fillId="11" borderId="1" xfId="0" applyFont="1" applyFill="1" applyBorder="1" applyAlignment="1">
      <alignment horizontal="left"/>
    </xf>
    <xf numFmtId="0" fontId="12" fillId="11" borderId="24" xfId="0" applyFont="1" applyFill="1" applyBorder="1" applyAlignment="1">
      <alignment horizontal="left"/>
    </xf>
    <xf numFmtId="0" fontId="0" fillId="10" borderId="0" xfId="0" applyFill="1" applyAlignment="1">
      <alignment horizontal="left"/>
    </xf>
    <xf numFmtId="0" fontId="14" fillId="11" borderId="3" xfId="0" applyFont="1" applyFill="1" applyBorder="1" applyAlignment="1">
      <alignment horizontal="center" vertical="top"/>
    </xf>
    <xf numFmtId="0" fontId="0" fillId="0" borderId="12" xfId="0" pivotButton="1" applyBorder="1" applyAlignment="1">
      <alignment horizontal="left"/>
    </xf>
    <xf numFmtId="0" fontId="0" fillId="0" borderId="11" xfId="0" applyBorder="1" applyAlignment="1">
      <alignment horizontal="center"/>
    </xf>
    <xf numFmtId="0" fontId="0" fillId="0" borderId="19" xfId="0" applyBorder="1" applyAlignment="1">
      <alignment horizontal="center"/>
    </xf>
    <xf numFmtId="0" fontId="0" fillId="0" borderId="19" xfId="0" applyNumberFormat="1" applyBorder="1" applyAlignment="1">
      <alignment horizontal="center"/>
    </xf>
    <xf numFmtId="0" fontId="0" fillId="0" borderId="23" xfId="0" applyNumberFormat="1" applyBorder="1" applyAlignment="1">
      <alignment horizontal="center"/>
    </xf>
    <xf numFmtId="0" fontId="0" fillId="0" borderId="20" xfId="0" applyNumberFormat="1" applyBorder="1" applyAlignment="1">
      <alignment horizontal="center"/>
    </xf>
    <xf numFmtId="0" fontId="0" fillId="0" borderId="11" xfId="0" applyNumberFormat="1" applyBorder="1" applyAlignment="1">
      <alignment horizontal="center"/>
    </xf>
    <xf numFmtId="0" fontId="0" fillId="0" borderId="17" xfId="0" applyNumberFormat="1" applyBorder="1" applyAlignment="1">
      <alignment horizontal="center"/>
    </xf>
    <xf numFmtId="0" fontId="0" fillId="0" borderId="0" xfId="0" applyNumberFormat="1" applyAlignment="1">
      <alignment horizontal="center"/>
    </xf>
    <xf numFmtId="0" fontId="0" fillId="0" borderId="15" xfId="0" pivotButton="1" applyBorder="1" applyAlignment="1">
      <alignment horizontal="center" wrapText="1"/>
    </xf>
    <xf numFmtId="0" fontId="0" fillId="7" borderId="0" xfId="1" applyNumberFormat="1" applyFont="1" applyFill="1" applyAlignment="1">
      <alignment horizontal="center" wrapText="1"/>
    </xf>
    <xf numFmtId="0" fontId="0" fillId="7" borderId="0" xfId="1" applyNumberFormat="1" applyFont="1" applyFill="1" applyAlignment="1">
      <alignment horizontal="center"/>
    </xf>
    <xf numFmtId="0" fontId="0" fillId="0" borderId="12" xfId="0" applyNumberFormat="1" applyBorder="1" applyAlignment="1">
      <alignment horizontal="center"/>
    </xf>
    <xf numFmtId="0" fontId="0" fillId="0" borderId="22" xfId="0" applyNumberFormat="1" applyBorder="1" applyAlignment="1">
      <alignment horizontal="center"/>
    </xf>
    <xf numFmtId="0" fontId="0" fillId="0" borderId="13" xfId="0" applyNumberFormat="1" applyBorder="1" applyAlignment="1">
      <alignment horizontal="center"/>
    </xf>
    <xf numFmtId="1" fontId="14" fillId="11" borderId="5" xfId="0" applyNumberFormat="1" applyFont="1" applyFill="1" applyBorder="1" applyAlignment="1">
      <alignment vertical="top"/>
    </xf>
    <xf numFmtId="0" fontId="14" fillId="11" borderId="0" xfId="0" applyFont="1" applyFill="1" applyBorder="1" applyAlignment="1">
      <alignment vertical="top" wrapText="1"/>
    </xf>
    <xf numFmtId="0" fontId="0" fillId="0" borderId="25" xfId="0" applyBorder="1"/>
    <xf numFmtId="0" fontId="0" fillId="0" borderId="25" xfId="0" applyNumberFormat="1" applyBorder="1"/>
    <xf numFmtId="0" fontId="0" fillId="0" borderId="15" xfId="0" applyNumberFormat="1" applyBorder="1"/>
    <xf numFmtId="9" fontId="0" fillId="0" borderId="12" xfId="0" applyNumberFormat="1" applyBorder="1" applyAlignment="1">
      <alignment horizontal="center"/>
    </xf>
    <xf numFmtId="9" fontId="0" fillId="0" borderId="22" xfId="0" applyNumberFormat="1" applyBorder="1" applyAlignment="1">
      <alignment horizontal="center"/>
    </xf>
    <xf numFmtId="9" fontId="0" fillId="0" borderId="13" xfId="0" applyNumberFormat="1" applyBorder="1" applyAlignment="1">
      <alignment horizontal="center"/>
    </xf>
    <xf numFmtId="0" fontId="0" fillId="0" borderId="0" xfId="0" applyAlignment="1">
      <alignment horizontal="left" vertical="center"/>
    </xf>
    <xf numFmtId="9" fontId="0" fillId="0" borderId="19" xfId="0" applyNumberFormat="1" applyBorder="1" applyAlignment="1">
      <alignment horizontal="center"/>
    </xf>
    <xf numFmtId="9" fontId="0" fillId="0" borderId="23" xfId="0" applyNumberFormat="1" applyBorder="1" applyAlignment="1">
      <alignment horizontal="center"/>
    </xf>
    <xf numFmtId="9" fontId="0" fillId="0" borderId="20" xfId="0" applyNumberFormat="1" applyBorder="1" applyAlignment="1">
      <alignment horizontal="center"/>
    </xf>
    <xf numFmtId="0" fontId="0" fillId="0" borderId="0" xfId="0" applyAlignment="1">
      <alignment vertical="top" wrapText="1"/>
    </xf>
    <xf numFmtId="0" fontId="0" fillId="0" borderId="15" xfId="0" applyBorder="1" applyAlignment="1">
      <alignment horizontal="center" wrapText="1"/>
    </xf>
    <xf numFmtId="0" fontId="13" fillId="11" borderId="2" xfId="0" applyFont="1" applyFill="1" applyBorder="1" applyAlignment="1">
      <alignment horizontal="center"/>
    </xf>
    <xf numFmtId="0" fontId="17" fillId="11" borderId="4" xfId="0" applyFont="1" applyFill="1" applyBorder="1" applyAlignment="1">
      <alignment horizontal="center" vertical="center" textRotation="90"/>
    </xf>
    <xf numFmtId="0" fontId="17" fillId="12" borderId="0" xfId="0" applyFont="1" applyFill="1" applyBorder="1" applyAlignment="1">
      <alignment horizontal="center" vertical="center" textRotation="90"/>
    </xf>
    <xf numFmtId="1" fontId="14" fillId="12" borderId="5" xfId="0" applyNumberFormat="1" applyFont="1" applyFill="1" applyBorder="1" applyAlignment="1">
      <alignment vertical="top"/>
    </xf>
    <xf numFmtId="9" fontId="14" fillId="12" borderId="6" xfId="2" applyFont="1" applyFill="1" applyBorder="1" applyAlignment="1">
      <alignment horizontal="center" vertical="top"/>
    </xf>
    <xf numFmtId="0" fontId="21" fillId="11" borderId="2" xfId="0" applyFont="1" applyFill="1" applyBorder="1" applyAlignment="1">
      <alignment horizontal="center"/>
    </xf>
    <xf numFmtId="1" fontId="14" fillId="13" borderId="5" xfId="0" applyNumberFormat="1" applyFont="1" applyFill="1" applyBorder="1" applyAlignment="1">
      <alignment vertical="top"/>
    </xf>
    <xf numFmtId="0" fontId="17" fillId="13" borderId="0" xfId="0" applyFont="1" applyFill="1" applyBorder="1" applyAlignment="1">
      <alignment horizontal="center" vertical="center" textRotation="90"/>
    </xf>
    <xf numFmtId="9" fontId="14" fillId="13" borderId="6" xfId="2" applyFont="1" applyFill="1" applyBorder="1" applyAlignment="1">
      <alignment horizontal="center" vertical="top"/>
    </xf>
    <xf numFmtId="0" fontId="19" fillId="14" borderId="0" xfId="0" applyFont="1" applyFill="1"/>
    <xf numFmtId="0" fontId="19" fillId="14" borderId="0" xfId="0" applyFont="1" applyFill="1" applyAlignment="1">
      <alignment horizontal="center"/>
    </xf>
    <xf numFmtId="167" fontId="19" fillId="14" borderId="0" xfId="0" applyNumberFormat="1" applyFont="1" applyFill="1" applyAlignment="1">
      <alignment horizontal="center"/>
    </xf>
    <xf numFmtId="1" fontId="14" fillId="15" borderId="0" xfId="0" applyNumberFormat="1" applyFont="1" applyFill="1" applyBorder="1" applyAlignment="1">
      <alignment vertical="top"/>
    </xf>
    <xf numFmtId="164" fontId="14" fillId="15" borderId="3" xfId="0" applyNumberFormat="1" applyFont="1" applyFill="1" applyBorder="1" applyAlignment="1">
      <alignment horizontal="center" vertical="top"/>
    </xf>
    <xf numFmtId="1" fontId="14" fillId="15" borderId="0" xfId="0" applyNumberFormat="1" applyFont="1" applyFill="1" applyBorder="1" applyAlignment="1">
      <alignment vertical="top" wrapText="1"/>
    </xf>
    <xf numFmtId="164" fontId="14" fillId="15" borderId="3" xfId="0" applyNumberFormat="1" applyFont="1" applyFill="1" applyBorder="1" applyAlignment="1">
      <alignment horizontal="center" vertical="top" wrapText="1"/>
    </xf>
    <xf numFmtId="9" fontId="14" fillId="15" borderId="3" xfId="2" applyFont="1" applyFill="1" applyBorder="1" applyAlignment="1">
      <alignment horizontal="center" vertical="top"/>
    </xf>
    <xf numFmtId="1" fontId="14" fillId="15" borderId="5" xfId="0" applyNumberFormat="1" applyFont="1" applyFill="1" applyBorder="1" applyAlignment="1">
      <alignment vertical="top"/>
    </xf>
    <xf numFmtId="9" fontId="14" fillId="15" borderId="6" xfId="2" applyFont="1" applyFill="1" applyBorder="1" applyAlignment="1">
      <alignment horizontal="center" vertical="top"/>
    </xf>
    <xf numFmtId="1" fontId="14" fillId="16" borderId="0" xfId="0" applyNumberFormat="1" applyFont="1" applyFill="1" applyBorder="1" applyAlignment="1">
      <alignment vertical="top"/>
    </xf>
    <xf numFmtId="164" fontId="14" fillId="16" borderId="3" xfId="0" applyNumberFormat="1" applyFont="1" applyFill="1" applyBorder="1" applyAlignment="1">
      <alignment horizontal="center" vertical="top"/>
    </xf>
    <xf numFmtId="1" fontId="14" fillId="16" borderId="0" xfId="0" applyNumberFormat="1" applyFont="1" applyFill="1" applyBorder="1" applyAlignment="1">
      <alignment vertical="top" wrapText="1"/>
    </xf>
    <xf numFmtId="164" fontId="14" fillId="16" borderId="3" xfId="0" applyNumberFormat="1" applyFont="1" applyFill="1" applyBorder="1" applyAlignment="1">
      <alignment horizontal="center" vertical="top" wrapText="1"/>
    </xf>
    <xf numFmtId="9" fontId="14" fillId="16" borderId="3" xfId="2" applyFont="1" applyFill="1" applyBorder="1" applyAlignment="1">
      <alignment horizontal="center" vertical="top"/>
    </xf>
    <xf numFmtId="1" fontId="14" fillId="16" borderId="5" xfId="0" applyNumberFormat="1" applyFont="1" applyFill="1" applyBorder="1" applyAlignment="1">
      <alignment vertical="top"/>
    </xf>
    <xf numFmtId="9" fontId="14" fillId="16" borderId="6" xfId="2" applyFont="1" applyFill="1" applyBorder="1" applyAlignment="1">
      <alignment horizontal="center" vertical="top"/>
    </xf>
    <xf numFmtId="9" fontId="14" fillId="11" borderId="0" xfId="2" applyFont="1" applyFill="1" applyBorder="1" applyAlignment="1">
      <alignment horizontal="center" vertical="top"/>
    </xf>
    <xf numFmtId="0" fontId="0" fillId="17" borderId="0" xfId="0" applyFill="1" applyAlignment="1">
      <alignment horizontal="left" wrapText="1"/>
    </xf>
    <xf numFmtId="0" fontId="0" fillId="17" borderId="0" xfId="0" applyFill="1" applyAlignment="1">
      <alignment horizontal="left" vertical="top" wrapText="1"/>
    </xf>
    <xf numFmtId="0" fontId="0" fillId="17" borderId="0" xfId="0" applyFill="1" applyAlignment="1">
      <alignment horizontal="left"/>
    </xf>
    <xf numFmtId="168" fontId="14" fillId="11" borderId="0" xfId="1" applyNumberFormat="1" applyFont="1" applyFill="1" applyBorder="1" applyAlignment="1">
      <alignment horizontal="center" vertical="top"/>
    </xf>
    <xf numFmtId="0" fontId="0" fillId="0" borderId="12" xfId="0" pivotButton="1" applyBorder="1" applyAlignment="1">
      <alignment horizontal="left" vertical="top"/>
    </xf>
    <xf numFmtId="0" fontId="0" fillId="0" borderId="14" xfId="0" applyBorder="1" applyAlignment="1">
      <alignment horizontal="left" vertical="top"/>
    </xf>
    <xf numFmtId="0" fontId="0" fillId="0" borderId="15" xfId="0" pivotButton="1" applyBorder="1" applyAlignment="1">
      <alignment horizontal="left"/>
    </xf>
    <xf numFmtId="0" fontId="0" fillId="0" borderId="13" xfId="0" applyBorder="1" applyAlignment="1">
      <alignment horizontal="left" vertical="top"/>
    </xf>
    <xf numFmtId="0" fontId="23" fillId="10" borderId="0" xfId="0" applyFont="1" applyFill="1"/>
    <xf numFmtId="0" fontId="0" fillId="0" borderId="15" xfId="0" applyBorder="1" applyAlignment="1">
      <alignment horizontal="left" vertical="center"/>
    </xf>
    <xf numFmtId="0" fontId="0" fillId="0" borderId="12" xfId="0" pivotButton="1" applyBorder="1" applyAlignment="1">
      <alignment horizontal="left" vertical="center"/>
    </xf>
    <xf numFmtId="0" fontId="0" fillId="0" borderId="0" xfId="0" applyAlignment="1">
      <alignment horizontal="left" vertical="top" indent="2"/>
    </xf>
    <xf numFmtId="0" fontId="0" fillId="0" borderId="26" xfId="0" applyNumberFormat="1" applyBorder="1"/>
    <xf numFmtId="0" fontId="0" fillId="0" borderId="21" xfId="0" applyBorder="1" applyAlignment="1">
      <alignment horizontal="left"/>
    </xf>
    <xf numFmtId="0" fontId="0" fillId="0" borderId="0" xfId="0" applyAlignment="1">
      <alignment horizontal="center" wrapText="1"/>
    </xf>
    <xf numFmtId="0" fontId="0" fillId="0" borderId="0" xfId="0"/>
    <xf numFmtId="0" fontId="0" fillId="17" borderId="0" xfId="0" applyFill="1" applyAlignment="1">
      <alignment horizontal="center"/>
    </xf>
    <xf numFmtId="0" fontId="14" fillId="0" borderId="27" xfId="0" applyFont="1" applyFill="1" applyBorder="1" applyAlignment="1">
      <alignment horizontal="center" vertical="top" wrapText="1"/>
    </xf>
    <xf numFmtId="9" fontId="14" fillId="0" borderId="27" xfId="2" applyFont="1" applyFill="1" applyBorder="1" applyAlignment="1">
      <alignment horizontal="center" vertical="top" wrapText="1"/>
    </xf>
    <xf numFmtId="0" fontId="0" fillId="0" borderId="27" xfId="0" applyBorder="1" applyAlignment="1">
      <alignment horizontal="center"/>
    </xf>
    <xf numFmtId="168" fontId="0" fillId="0" borderId="0" xfId="1" applyNumberFormat="1" applyFont="1" applyAlignment="1">
      <alignment horizontal="center" wrapText="1"/>
    </xf>
    <xf numFmtId="168" fontId="0" fillId="0" borderId="0" xfId="1" applyNumberFormat="1" applyFont="1" applyAlignment="1">
      <alignment horizontal="center"/>
    </xf>
    <xf numFmtId="168" fontId="14" fillId="0" borderId="27" xfId="1" applyNumberFormat="1" applyFont="1" applyFill="1" applyBorder="1" applyAlignment="1">
      <alignment horizontal="center" vertical="top" wrapText="1"/>
    </xf>
    <xf numFmtId="9" fontId="25" fillId="0" borderId="0" xfId="2" applyFont="1" applyFill="1" applyBorder="1" applyAlignment="1">
      <alignment horizontal="center" vertical="top"/>
    </xf>
    <xf numFmtId="0" fontId="25" fillId="0" borderId="0" xfId="0" applyFont="1" applyAlignment="1">
      <alignment horizontal="center" wrapText="1"/>
    </xf>
    <xf numFmtId="168" fontId="25" fillId="0" borderId="0" xfId="1" applyNumberFormat="1" applyFont="1" applyAlignment="1">
      <alignment horizontal="center" wrapText="1"/>
    </xf>
    <xf numFmtId="0" fontId="25" fillId="0" borderId="0" xfId="0" applyFont="1" applyAlignment="1">
      <alignment horizontal="center"/>
    </xf>
    <xf numFmtId="0" fontId="26" fillId="0" borderId="0" xfId="0" applyFont="1" applyAlignment="1">
      <alignment horizontal="center"/>
    </xf>
    <xf numFmtId="0" fontId="26" fillId="0" borderId="0" xfId="0" applyFont="1" applyAlignment="1">
      <alignment horizontal="center" wrapText="1"/>
    </xf>
    <xf numFmtId="0" fontId="24" fillId="0" borderId="0" xfId="0" applyFont="1" applyAlignment="1">
      <alignment horizontal="center"/>
    </xf>
    <xf numFmtId="168" fontId="24" fillId="0" borderId="0" xfId="1" applyNumberFormat="1" applyFont="1" applyAlignment="1">
      <alignment horizontal="center"/>
    </xf>
    <xf numFmtId="0" fontId="0" fillId="0" borderId="0" xfId="0" applyBorder="1" applyAlignment="1">
      <alignment horizontal="center" wrapText="1"/>
    </xf>
    <xf numFmtId="0" fontId="24" fillId="0" borderId="0" xfId="0" applyFont="1" applyBorder="1" applyAlignment="1">
      <alignment horizontal="center"/>
    </xf>
    <xf numFmtId="0" fontId="0" fillId="0" borderId="0" xfId="0" applyBorder="1" applyAlignment="1">
      <alignment horizontal="center"/>
    </xf>
    <xf numFmtId="0" fontId="26" fillId="0" borderId="0" xfId="0" applyFont="1" applyBorder="1" applyAlignment="1">
      <alignment horizontal="center"/>
    </xf>
    <xf numFmtId="0" fontId="0" fillId="0" borderId="0" xfId="0" applyAlignment="1"/>
    <xf numFmtId="0" fontId="0" fillId="0" borderId="0" xfId="0" applyAlignment="1">
      <alignment horizontal="center" wrapText="1"/>
    </xf>
    <xf numFmtId="0" fontId="0" fillId="0" borderId="0" xfId="0"/>
    <xf numFmtId="0" fontId="0" fillId="0" borderId="15" xfId="0" pivotButton="1" applyBorder="1" applyAlignment="1">
      <alignment horizontal="left" wrapText="1"/>
    </xf>
    <xf numFmtId="0" fontId="0" fillId="0" borderId="12" xfId="0" pivotButton="1" applyBorder="1" applyAlignment="1">
      <alignment horizontal="left" vertical="center" wrapText="1"/>
    </xf>
    <xf numFmtId="0" fontId="0" fillId="0" borderId="12" xfId="0" pivotButton="1" applyBorder="1" applyAlignment="1">
      <alignment horizontal="left" vertical="top" wrapText="1"/>
    </xf>
    <xf numFmtId="0" fontId="27" fillId="0" borderId="0" xfId="0" applyFont="1" applyAlignment="1">
      <alignment horizontal="center"/>
    </xf>
    <xf numFmtId="0" fontId="27" fillId="0" borderId="0" xfId="0" applyFont="1" applyAlignment="1">
      <alignment horizontal="left" wrapText="1" indent="1"/>
    </xf>
    <xf numFmtId="0" fontId="0" fillId="0" borderId="0" xfId="0" applyAlignment="1">
      <alignment horizontal="left" vertical="top" wrapText="1" indent="3"/>
    </xf>
    <xf numFmtId="0" fontId="0" fillId="0" borderId="0" xfId="0" applyAlignment="1">
      <alignment horizontal="left" wrapText="1" indent="1"/>
    </xf>
    <xf numFmtId="0" fontId="0" fillId="0" borderId="13" xfId="0" applyBorder="1" applyAlignment="1">
      <alignment horizontal="left" vertical="top" wrapText="1"/>
    </xf>
    <xf numFmtId="0" fontId="0" fillId="0" borderId="14" xfId="0" applyBorder="1" applyAlignment="1">
      <alignment horizontal="left" vertical="top" wrapText="1"/>
    </xf>
    <xf numFmtId="14" fontId="11" fillId="9" borderId="0" xfId="0" applyNumberFormat="1" applyFont="1" applyFill="1" applyAlignment="1">
      <alignment horizontal="center" wrapText="1"/>
    </xf>
    <xf numFmtId="0" fontId="0" fillId="18" borderId="0" xfId="0" applyFill="1" applyAlignment="1">
      <alignment horizontal="center" wrapText="1"/>
    </xf>
    <xf numFmtId="0" fontId="0" fillId="18" borderId="0" xfId="0" applyFill="1" applyAlignment="1">
      <alignment horizontal="center"/>
    </xf>
    <xf numFmtId="0" fontId="0" fillId="19" borderId="0" xfId="0" applyFill="1" applyAlignment="1">
      <alignment horizontal="center" wrapText="1"/>
    </xf>
    <xf numFmtId="0" fontId="0" fillId="19" borderId="0" xfId="0" applyFill="1" applyAlignment="1">
      <alignment horizontal="center"/>
    </xf>
    <xf numFmtId="0" fontId="29" fillId="0" borderId="0" xfId="0" applyFont="1" applyFill="1" applyAlignment="1">
      <alignment horizontal="center" wrapText="1"/>
    </xf>
    <xf numFmtId="168" fontId="29" fillId="0" borderId="0" xfId="1" applyNumberFormat="1" applyFont="1" applyFill="1" applyAlignment="1">
      <alignment horizontal="center" wrapText="1"/>
    </xf>
    <xf numFmtId="0" fontId="30" fillId="10" borderId="0" xfId="3" applyFill="1" applyAlignment="1" applyProtection="1">
      <alignment horizontal="left"/>
    </xf>
    <xf numFmtId="0" fontId="0" fillId="0" borderId="0" xfId="0"/>
    <xf numFmtId="0" fontId="0" fillId="0" borderId="0" xfId="0" applyAlignment="1">
      <alignment horizontal="center" wrapText="1"/>
    </xf>
    <xf numFmtId="0" fontId="0" fillId="0" borderId="0" xfId="0" applyFont="1" applyFill="1" applyBorder="1" applyAlignment="1">
      <alignment horizontal="right"/>
    </xf>
    <xf numFmtId="0" fontId="0" fillId="0" borderId="0" xfId="0" applyFont="1" applyFill="1" applyBorder="1" applyAlignment="1">
      <alignment horizontal="center"/>
    </xf>
    <xf numFmtId="0" fontId="24" fillId="0" borderId="0" xfId="0" applyFont="1" applyFill="1" applyBorder="1"/>
    <xf numFmtId="0" fontId="0" fillId="0" borderId="0" xfId="0" applyFill="1" applyBorder="1" applyAlignment="1">
      <alignment horizontal="center"/>
    </xf>
    <xf numFmtId="0" fontId="0" fillId="0" borderId="0" xfId="0" applyFill="1" applyBorder="1"/>
    <xf numFmtId="0" fontId="1" fillId="0" borderId="0" xfId="0" applyFont="1" applyFill="1" applyBorder="1" applyAlignment="1">
      <alignment horizontal="center"/>
    </xf>
    <xf numFmtId="0" fontId="0" fillId="0" borderId="0" xfId="0" applyFont="1" applyFill="1" applyBorder="1" applyAlignment="1">
      <alignment horizontal="center" vertical="center"/>
    </xf>
    <xf numFmtId="0" fontId="0" fillId="0" borderId="0" xfId="0" applyFont="1" applyFill="1" applyBorder="1" applyAlignment="1">
      <alignment horizontal="left"/>
    </xf>
    <xf numFmtId="0" fontId="0" fillId="0" borderId="0" xfId="0" applyFont="1" applyFill="1" applyBorder="1" applyAlignment="1">
      <alignment horizontal="left" vertical="center"/>
    </xf>
    <xf numFmtId="0" fontId="0" fillId="0" borderId="28" xfId="0" applyFont="1" applyFill="1" applyBorder="1" applyAlignment="1">
      <alignment horizontal="center"/>
    </xf>
    <xf numFmtId="0" fontId="0" fillId="0" borderId="28" xfId="0" applyFont="1" applyFill="1" applyBorder="1" applyAlignment="1">
      <alignment horizontal="center" vertical="center"/>
    </xf>
    <xf numFmtId="0" fontId="0" fillId="0" borderId="28" xfId="0" applyFont="1" applyFill="1" applyBorder="1" applyAlignment="1">
      <alignment horizontal="left" vertical="center"/>
    </xf>
    <xf numFmtId="0" fontId="2" fillId="0" borderId="28" xfId="0" applyFont="1" applyFill="1" applyBorder="1" applyAlignment="1">
      <alignment horizontal="center"/>
    </xf>
    <xf numFmtId="0" fontId="2" fillId="0" borderId="28" xfId="0" applyFont="1" applyFill="1" applyBorder="1" applyAlignment="1">
      <alignment horizontal="center" vertical="center"/>
    </xf>
    <xf numFmtId="0" fontId="2" fillId="0" borderId="28" xfId="0" applyFont="1" applyFill="1" applyBorder="1" applyAlignment="1">
      <alignment horizontal="left"/>
    </xf>
    <xf numFmtId="0" fontId="0" fillId="0" borderId="0" xfId="0" applyFont="1" applyFill="1" applyBorder="1"/>
    <xf numFmtId="0" fontId="32" fillId="0" borderId="0" xfId="0" applyFont="1" applyFill="1" applyBorder="1" applyAlignment="1">
      <alignment horizontal="left"/>
    </xf>
    <xf numFmtId="0" fontId="0" fillId="0" borderId="0" xfId="0" applyFont="1" applyFill="1" applyBorder="1" applyAlignment="1">
      <alignment horizontal="center" vertical="top" wrapText="1"/>
    </xf>
    <xf numFmtId="0" fontId="0" fillId="0" borderId="0" xfId="0" applyFont="1" applyFill="1" applyBorder="1" applyAlignment="1">
      <alignment horizontal="right" vertical="top" wrapText="1"/>
    </xf>
    <xf numFmtId="0" fontId="1" fillId="0" borderId="0" xfId="0" applyFont="1" applyFill="1" applyBorder="1" applyAlignment="1">
      <alignment horizontal="center" vertical="top" wrapText="1"/>
    </xf>
    <xf numFmtId="0" fontId="0" fillId="0" borderId="28" xfId="0" applyFont="1" applyFill="1" applyBorder="1" applyAlignment="1">
      <alignment horizontal="center" vertical="top" wrapText="1"/>
    </xf>
    <xf numFmtId="0" fontId="0" fillId="0" borderId="0" xfId="0" applyAlignment="1">
      <alignment horizontal="center" wrapText="1"/>
    </xf>
    <xf numFmtId="0" fontId="0" fillId="0" borderId="0" xfId="0"/>
    <xf numFmtId="0" fontId="33" fillId="0" borderId="0" xfId="0" applyFont="1" applyAlignment="1">
      <alignment vertical="center"/>
    </xf>
    <xf numFmtId="0" fontId="33" fillId="0" borderId="0" xfId="0" applyFont="1" applyAlignment="1">
      <alignment horizontal="center" wrapText="1"/>
    </xf>
    <xf numFmtId="0" fontId="10" fillId="8" borderId="0" xfId="0" applyFont="1" applyFill="1" applyAlignment="1">
      <alignment horizontal="center" vertical="center"/>
    </xf>
    <xf numFmtId="0" fontId="0" fillId="0" borderId="0" xfId="0" applyAlignment="1">
      <alignment vertical="center"/>
    </xf>
    <xf numFmtId="0" fontId="0" fillId="0" borderId="0" xfId="0" applyAlignment="1"/>
    <xf numFmtId="0" fontId="17" fillId="12" borderId="0" xfId="0" applyFont="1" applyFill="1" applyBorder="1" applyAlignment="1">
      <alignment horizontal="center" vertical="center" textRotation="90"/>
    </xf>
    <xf numFmtId="0" fontId="18" fillId="11" borderId="8" xfId="0" applyFont="1" applyFill="1" applyBorder="1" applyAlignment="1">
      <alignment horizontal="center" vertical="center" textRotation="90"/>
    </xf>
    <xf numFmtId="0" fontId="18" fillId="11" borderId="9" xfId="0" applyFont="1" applyFill="1" applyBorder="1" applyAlignment="1">
      <alignment horizontal="center" vertical="center" textRotation="90"/>
    </xf>
    <xf numFmtId="0" fontId="18" fillId="11" borderId="10" xfId="0" applyFont="1" applyFill="1" applyBorder="1" applyAlignment="1">
      <alignment horizontal="center" vertical="center" textRotation="90"/>
    </xf>
    <xf numFmtId="0" fontId="14" fillId="11" borderId="7" xfId="0" applyFont="1" applyFill="1" applyBorder="1" applyAlignment="1">
      <alignment horizontal="center" vertical="top" wrapText="1"/>
    </xf>
    <xf numFmtId="0" fontId="0" fillId="0" borderId="0" xfId="0" applyAlignment="1">
      <alignment horizontal="center" wrapText="1"/>
    </xf>
    <xf numFmtId="9" fontId="14" fillId="11" borderId="7" xfId="0" applyNumberFormat="1" applyFont="1" applyFill="1" applyBorder="1" applyAlignment="1">
      <alignment horizontal="center" vertical="top" wrapText="1"/>
    </xf>
    <xf numFmtId="0" fontId="19" fillId="13" borderId="5" xfId="0" applyFont="1" applyFill="1" applyBorder="1" applyAlignment="1">
      <alignment horizontal="center" vertical="center" wrapText="1"/>
    </xf>
    <xf numFmtId="0" fontId="20" fillId="11" borderId="8" xfId="0" applyFont="1" applyFill="1" applyBorder="1" applyAlignment="1">
      <alignment horizontal="center" vertical="center" textRotation="90"/>
    </xf>
    <xf numFmtId="0" fontId="19" fillId="12" borderId="5" xfId="0" applyFont="1" applyFill="1" applyBorder="1" applyAlignment="1">
      <alignment horizontal="center" vertical="center" wrapText="1"/>
    </xf>
    <xf numFmtId="0" fontId="28" fillId="0" borderId="0" xfId="0" applyFont="1"/>
    <xf numFmtId="0" fontId="0" fillId="0" borderId="0" xfId="0"/>
  </cellXfs>
  <cellStyles count="4">
    <cellStyle name="Comma" xfId="1" builtinId="3"/>
    <cellStyle name="Hyperlink" xfId="3" builtinId="8"/>
    <cellStyle name="Normal" xfId="0" builtinId="0"/>
    <cellStyle name="Percent" xfId="2" builtinId="5"/>
  </cellStyles>
  <dxfs count="275">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numFmt numFmtId="13" formatCode="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horizontal="center" readingOrder="0"/>
    </dxf>
    <dxf>
      <alignment wrapText="1" readingOrder="0"/>
    </dxf>
    <dxf>
      <alignment wrapText="1" readingOrder="0"/>
    </dxf>
    <dxf>
      <numFmt numFmtId="13" formatCode="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horizontal="center" readingOrder="0"/>
    </dxf>
    <dxf>
      <alignment wrapText="1" readingOrder="0"/>
    </dxf>
    <dxf>
      <alignment wrapText="1" readingOrder="0"/>
    </dxf>
    <dxf>
      <numFmt numFmtId="13" formatCode="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horizontal="center"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horizontal="center" readingOrder="0"/>
    </dxf>
    <dxf>
      <alignment wrapText="1" readingOrder="0"/>
    </dxf>
    <dxf>
      <alignment wrapText="1" readingOrder="0"/>
    </dxf>
    <dxf>
      <numFmt numFmtId="13" formatCode="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horizontal="center" readingOrder="0"/>
    </dxf>
    <dxf>
      <alignment wrapText="1" readingOrder="0"/>
    </dxf>
    <dxf>
      <alignment wrapText="1" readingOrder="0"/>
    </dxf>
    <dxf>
      <numFmt numFmtId="13" formatCode="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horizontal="center" readingOrder="0"/>
    </dxf>
    <dxf>
      <alignment wrapText="1" readingOrder="0"/>
    </dxf>
    <dxf>
      <alignment wrapText="1" readingOrder="0"/>
    </dxf>
    <dxf>
      <numFmt numFmtId="13" formatCode="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horizontal="center" readingOrder="0"/>
    </dxf>
    <dxf>
      <alignment wrapText="1" readingOrder="0"/>
    </dxf>
    <dxf>
      <alignment wrapText="1"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vertical="center" readingOrder="0"/>
    </dxf>
    <dxf>
      <alignment vertical="center"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vertical="center" readingOrder="0"/>
    </dxf>
    <dxf>
      <alignment vertical="center" readingOrder="0"/>
    </dxf>
    <dxf>
      <alignment horizontal="left" readingOrder="0"/>
    </dxf>
    <dxf>
      <alignment horizontal="left" readingOrder="0"/>
    </dxf>
    <dxf>
      <alignment vertical="top" readingOrder="0"/>
    </dxf>
    <dxf>
      <alignment vertical="top" readingOrder="0"/>
    </dxf>
    <dxf>
      <alignment wrapText="1" readingOrder="0"/>
    </dxf>
    <dxf>
      <alignment wrapText="1"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34</xdr:col>
          <xdr:colOff>171450</xdr:colOff>
          <xdr:row>0</xdr:row>
          <xdr:rowOff>104775</xdr:rowOff>
        </xdr:from>
        <xdr:to>
          <xdr:col>34</xdr:col>
          <xdr:colOff>1104900</xdr:colOff>
          <xdr:row>0</xdr:row>
          <xdr:rowOff>238125</xdr:rowOff>
        </xdr:to>
        <xdr:sp macro="" textlink="">
          <xdr:nvSpPr>
            <xdr:cNvPr id="4102" name="Button 6" hidden="1">
              <a:extLst>
                <a:ext uri="{63B3BB69-23CF-44E3-9099-C40C66FF867C}">
                  <a14:compatExt spid="_x0000_s41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Get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34</xdr:col>
          <xdr:colOff>180975</xdr:colOff>
          <xdr:row>0</xdr:row>
          <xdr:rowOff>19050</xdr:rowOff>
        </xdr:from>
        <xdr:to>
          <xdr:col>34</xdr:col>
          <xdr:colOff>1095375</xdr:colOff>
          <xdr:row>0</xdr:row>
          <xdr:rowOff>190500</xdr:rowOff>
        </xdr:to>
        <xdr:sp macro="" textlink="">
          <xdr:nvSpPr>
            <xdr:cNvPr id="21511" name="Button 7" hidden="1">
              <a:extLst>
                <a:ext uri="{63B3BB69-23CF-44E3-9099-C40C66FF867C}">
                  <a14:compatExt spid="_x0000_s2151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Get Pit Data</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FIRST Robotics User" refreshedDate="41349.52809803241" createdVersion="3" refreshedVersion="3" minRefreshableVersion="3" recordCount="944">
  <cacheSource type="worksheet">
    <worksheetSource ref="A1:BK941" sheet="Competition Data"/>
  </cacheSource>
  <cacheFields count="77">
    <cacheField name="Order Overall" numFmtId="0">
      <sharedItems containsMixedTypes="1" containsNumber="1" minValue="1" maxValue="41" count="44">
        <n v="6.5"/>
        <n v="12"/>
        <s v="DNP"/>
        <n v="7"/>
        <n v="15"/>
        <n v="14"/>
        <n v="9"/>
        <n v="2"/>
        <n v="21"/>
        <n v="8"/>
        <n v="10"/>
        <n v="4"/>
        <n v="3"/>
        <n v="23"/>
        <n v="11"/>
        <n v="13"/>
        <n v="17"/>
        <n v="25"/>
        <n v="16"/>
        <n v="6"/>
        <n v="22"/>
        <n v="24"/>
        <n v="5"/>
        <n v="19"/>
        <n v="26"/>
        <n v="18"/>
        <n v="20"/>
        <n v="1"/>
        <e v="#N/A"/>
        <n v="34" u="1"/>
        <n v="36" u="1"/>
        <n v="38" u="1"/>
        <n v="40" u="1"/>
        <n v="33" u="1"/>
        <n v="35" u="1"/>
        <n v="37" u="1"/>
        <n v="39" u="1"/>
        <n v="41" u="1"/>
        <n v="27" u="1"/>
        <n v="28" u="1"/>
        <n v="29" u="1"/>
        <n v="30" u="1"/>
        <n v="31" u="1"/>
        <n v="32" u="1"/>
      </sharedItems>
    </cacheField>
    <cacheField name="Order Total Scored" numFmtId="0">
      <sharedItems containsMixedTypes="1" containsNumber="1" containsInteger="1" minValue="1" maxValue="41" count="42">
        <n v="4"/>
        <n v="11"/>
        <n v="27"/>
        <n v="34"/>
        <n v="29"/>
        <n v="8"/>
        <n v="14"/>
        <n v="12"/>
        <n v="10"/>
        <n v="1"/>
        <n v="13"/>
        <n v="18"/>
        <n v="20"/>
        <n v="3"/>
        <n v="5"/>
        <n v="19"/>
        <n v="33"/>
        <n v="17"/>
        <n v="26"/>
        <n v="15"/>
        <n v="32"/>
        <n v="16"/>
        <n v="23"/>
        <n v="39"/>
        <n v="24"/>
        <n v="35"/>
        <n v="9"/>
        <n v="7"/>
        <n v="28"/>
        <n v="40"/>
        <n v="6"/>
        <n v="30"/>
        <n v="36"/>
        <n v="38"/>
        <n v="25"/>
        <n v="22"/>
        <n v="21"/>
        <n v="37"/>
        <n v="31"/>
        <n v="2"/>
        <e v="#N/A"/>
        <n v="41" u="1"/>
      </sharedItems>
    </cacheField>
    <cacheField name="Order Total Points" numFmtId="0">
      <sharedItems containsMixedTypes="1" containsNumber="1" containsInteger="1" minValue="1" maxValue="41" count="42">
        <n v="4"/>
        <n v="12"/>
        <n v="31"/>
        <n v="22"/>
        <n v="28"/>
        <n v="8"/>
        <n v="16"/>
        <n v="14"/>
        <n v="9"/>
        <n v="1"/>
        <n v="11"/>
        <n v="17"/>
        <n v="3"/>
        <n v="5"/>
        <n v="24"/>
        <n v="27"/>
        <n v="15"/>
        <n v="23"/>
        <n v="13"/>
        <n v="18"/>
        <n v="30"/>
        <n v="32"/>
        <n v="20"/>
        <n v="29"/>
        <n v="7"/>
        <n v="21"/>
        <n v="6"/>
        <n v="19"/>
        <n v="2"/>
        <e v="#N/A"/>
        <n v="34" u="1"/>
        <n v="36" u="1"/>
        <n v="38" u="1"/>
        <n v="40" u="1"/>
        <n v="33" u="1"/>
        <n v="35" u="1"/>
        <n v="37" u="1"/>
        <n v="39" u="1"/>
        <n v="41" u="1"/>
        <n v="25" u="1"/>
        <n v="26" u="1"/>
        <n v="10" u="1"/>
      </sharedItems>
    </cacheField>
    <cacheField name="Order Auto" numFmtId="0">
      <sharedItems containsMixedTypes="1" containsNumber="1" containsInteger="1" minValue="1" maxValue="41" count="42">
        <n v="4"/>
        <n v="9"/>
        <n v="39"/>
        <n v="29"/>
        <n v="15"/>
        <n v="10"/>
        <n v="21"/>
        <n v="19"/>
        <n v="12"/>
        <n v="1"/>
        <n v="11"/>
        <n v="13"/>
        <n v="22"/>
        <n v="3"/>
        <n v="5"/>
        <n v="8"/>
        <n v="30"/>
        <n v="14"/>
        <n v="34"/>
        <n v="16"/>
        <n v="35"/>
        <n v="23"/>
        <n v="36"/>
        <n v="38"/>
        <n v="28"/>
        <n v="25"/>
        <n v="7"/>
        <n v="31"/>
        <n v="40"/>
        <n v="6"/>
        <n v="27"/>
        <n v="32"/>
        <n v="37"/>
        <n v="18"/>
        <n v="26"/>
        <n v="20"/>
        <n v="24"/>
        <n v="33"/>
        <n v="2"/>
        <e v="#N/A"/>
        <n v="17" u="1"/>
        <n v="41" u="1"/>
      </sharedItems>
    </cacheField>
    <cacheField name="Order Teleop" numFmtId="0">
      <sharedItems containsMixedTypes="1" containsNumber="1" containsInteger="1" minValue="1" maxValue="40" count="39">
        <n v="1"/>
        <n v="18"/>
        <n v="25"/>
        <n v="8"/>
        <n v="14"/>
        <n v="10"/>
        <n v="9"/>
        <n v="4"/>
        <n v="23"/>
        <n v="15"/>
        <n v="16"/>
        <n v="5"/>
        <n v="2"/>
        <n v="21"/>
        <n v="12"/>
        <n v="11"/>
        <n v="13"/>
        <n v="24"/>
        <n v="20"/>
        <n v="6"/>
        <n v="19"/>
        <n v="7"/>
        <n v="17"/>
        <n v="3"/>
        <e v="#N/A"/>
        <n v="34" u="1"/>
        <n v="36" u="1"/>
        <n v="40" u="1"/>
        <n v="33" u="1"/>
        <n v="22" u="1"/>
        <n v="37" u="1"/>
        <n v="39" u="1"/>
        <n v="26" u="1"/>
        <n v="27" u="1"/>
        <n v="28" u="1"/>
        <n v="29" u="1"/>
        <n v="30" u="1"/>
        <n v="31" u="1"/>
        <n v="32" u="1"/>
      </sharedItems>
    </cacheField>
    <cacheField name="Order End Game" numFmtId="0">
      <sharedItems containsMixedTypes="1" containsNumber="1" containsInteger="1" minValue="1" maxValue="28"/>
    </cacheField>
    <cacheField name="Order Defense" numFmtId="0">
      <sharedItems containsMixedTypes="1" containsNumber="1" containsInteger="1" minValue="1" maxValue="33" count="34">
        <n v="12"/>
        <n v="13"/>
        <n v="14"/>
        <n v="26"/>
        <n v="5"/>
        <n v="4"/>
        <n v="8"/>
        <n v="2"/>
        <n v="23"/>
        <n v="11"/>
        <n v="20"/>
        <n v="19"/>
        <n v="18"/>
        <n v="22"/>
        <n v="1"/>
        <n v="7"/>
        <e v="#N/A"/>
        <n v="15" u="1"/>
        <n v="6" u="1"/>
        <n v="16" u="1"/>
        <n v="17" u="1"/>
        <n v="33" u="1"/>
        <n v="21" u="1"/>
        <n v="3" u="1"/>
        <n v="24" u="1"/>
        <n v="25" u="1"/>
        <n v="9" u="1"/>
        <n v="27" u="1"/>
        <n v="10" u="1"/>
        <n v="28" u="1"/>
        <n v="29" u="1"/>
        <n v="30" u="1"/>
        <n v="31" u="1"/>
        <n v="32" u="1"/>
      </sharedItems>
    </cacheField>
    <cacheField name="Robot Classification" numFmtId="0">
      <sharedItems containsMixedTypes="1" containsNumber="1" containsInteger="1" minValue="1" maxValue="25"/>
    </cacheField>
    <cacheField name="Starting Location" numFmtId="0">
      <sharedItems/>
    </cacheField>
    <cacheField name="Shoots Front Court" numFmtId="9">
      <sharedItems containsMixedTypes="1" containsNumber="1" minValue="0" maxValue="1" count="43">
        <n v="0.375"/>
        <n v="7.1428571428571425E-2"/>
        <n v="0"/>
        <n v="0.2"/>
        <n v="0.5"/>
        <n v="0.88888888888888884"/>
        <n v="0.35294117647058826"/>
        <n v="0.1"/>
        <n v="0.30769230769230771"/>
        <n v="0.14285714285714285"/>
        <n v="0.18181818181818182"/>
        <n v="0.13333333333333333"/>
        <n v="0.21428571428571427"/>
        <n v="8.3333333333333329E-2"/>
        <n v="0.2857142857142857"/>
        <n v="0.16666666666666666"/>
        <n v="0.15384615384615385"/>
        <n v="0.27272727272727271"/>
        <n v="0.25"/>
        <n v="9.0909090909090912E-2"/>
        <n v="0.41666666666666669"/>
        <n v="7.6923076923076927E-2"/>
        <e v="#N/A"/>
        <n v="9.5238095238095233E-2" u="1"/>
        <n v="0.6" u="1"/>
        <n v="0.83333333333333337" u="1"/>
        <n v="0.1111111111111111" u="1"/>
        <n v="0.23076923076923078" u="1"/>
        <n v="0.75" u="1"/>
        <n v="0.3" u="1"/>
        <n v="0.3125" u="1"/>
        <n v="0.11764705882352941" u="1"/>
        <n v="0.66666666666666663" u="1"/>
        <n v="0.44444444444444442" u="1"/>
        <n v="0.125" u="1"/>
        <n v="1" u="1"/>
        <n v="0.36842105263157893" u="1"/>
        <n v="0.10526315789473684" u="1"/>
        <n v="0.4" u="1"/>
        <n v="0.33333333333333331" u="1"/>
        <n v="0.22222222222222221" u="1"/>
        <n v="0.39130434782608697" u="1"/>
        <n v="0.5714285714285714" u="1"/>
      </sharedItems>
    </cacheField>
    <cacheField name="Shoots Full Court" numFmtId="9">
      <sharedItems containsMixedTypes="1" containsNumber="1" minValue="0" maxValue="1" count="42">
        <n v="0.375"/>
        <n v="7.1428571428571425E-2"/>
        <n v="0"/>
        <n v="0.2"/>
        <n v="0.5"/>
        <n v="0.88888888888888884"/>
        <n v="0.11764705882352941"/>
        <n v="0.1"/>
        <n v="0.30769230769230771"/>
        <n v="0.14285714285714285"/>
        <n v="0.18181818181818182"/>
        <n v="0.13333333333333333"/>
        <n v="0.21428571428571427"/>
        <n v="8.3333333333333329E-2"/>
        <n v="0.2857142857142857"/>
        <n v="0.16666666666666666"/>
        <n v="0.15384615384615385"/>
        <n v="0.27272727272727271"/>
        <n v="0.25"/>
        <n v="9.0909090909090912E-2"/>
        <n v="0.41666666666666669"/>
        <n v="7.6923076923076927E-2"/>
        <e v="#N/A"/>
        <n v="9.5238095238095233E-2" u="1"/>
        <n v="0.6" u="1"/>
        <n v="0.83333333333333337" u="1"/>
        <n v="0.1111111111111111" u="1"/>
        <n v="0.23076923076923078" u="1"/>
        <n v="0.75" u="1"/>
        <n v="0.3" u="1"/>
        <n v="0.3125" u="1"/>
        <n v="0.66666666666666663" u="1"/>
        <n v="0.44444444444444442" u="1"/>
        <n v="0.125" u="1"/>
        <n v="1" u="1"/>
        <n v="0.36842105263157893" u="1"/>
        <n v="0.10526315789473684" u="1"/>
        <n v="0.4" u="1"/>
        <n v="0.33333333333333331" u="1"/>
        <n v="0.22222222222222221" u="1"/>
        <n v="0.39130434782608697" u="1"/>
        <n v="0.5714285714285714" u="1"/>
      </sharedItems>
    </cacheField>
    <cacheField name="Loads By Human" numFmtId="9">
      <sharedItems containsMixedTypes="1" containsNumber="1" minValue="0" maxValue="1" count="45">
        <n v="0.375"/>
        <n v="7.1428571428571425E-2"/>
        <n v="0"/>
        <n v="0.2"/>
        <n v="0.5"/>
        <n v="0.88888888888888884"/>
        <n v="0.82352941176470584"/>
        <n v="0.1"/>
        <n v="0.30769230769230771"/>
        <n v="0.14285714285714285"/>
        <n v="0.18181818181818182"/>
        <n v="0.13333333333333333"/>
        <n v="0.21428571428571427"/>
        <n v="8.3333333333333329E-2"/>
        <n v="0.2857142857142857"/>
        <n v="0.16666666666666666"/>
        <n v="0.15384615384615385"/>
        <n v="0.27272727272727271"/>
        <n v="0.25"/>
        <n v="9.0909090909090912E-2"/>
        <n v="0.41666666666666669"/>
        <n v="7.6923076923076927E-2"/>
        <e v="#N/A"/>
        <n v="9.5238095238095233E-2" u="1"/>
        <n v="0.6" u="1"/>
        <n v="0.83333333333333337" u="1"/>
        <n v="0.1111111111111111" u="1"/>
        <n v="0.23076923076923078" u="1"/>
        <n v="0.75" u="1"/>
        <n v="0.76923076923076927" u="1"/>
        <n v="0.3" u="1"/>
        <n v="0.3125" u="1"/>
        <n v="0.11764705882352941" u="1"/>
        <n v="0.66666666666666663" u="1"/>
        <n v="0.44444444444444442" u="1"/>
        <n v="0.125" u="1"/>
        <n v="1" u="1"/>
        <n v="0.36842105263157893" u="1"/>
        <n v="0.10526315789473684" u="1"/>
        <n v="0.4" u="1"/>
        <n v="0.33333333333333331" u="1"/>
        <n v="0.22222222222222221" u="1"/>
        <n v="0.77777777777777779" u="1"/>
        <n v="0.39130434782608697" u="1"/>
        <n v="0.5714285714285714" u="1"/>
      </sharedItems>
    </cacheField>
    <cacheField name="Loads From Floor" numFmtId="9">
      <sharedItems containsMixedTypes="1" containsNumber="1" minValue="0" maxValue="1" count="42">
        <n v="0.375"/>
        <n v="7.1428571428571425E-2"/>
        <n v="0"/>
        <n v="0.2"/>
        <n v="0.5"/>
        <n v="0.88888888888888884"/>
        <n v="0.11764705882352941"/>
        <n v="0.1"/>
        <n v="0.30769230769230771"/>
        <n v="0.14285714285714285"/>
        <n v="0.18181818181818182"/>
        <n v="0.13333333333333333"/>
        <n v="0.21428571428571427"/>
        <n v="8.3333333333333329E-2"/>
        <n v="0.2857142857142857"/>
        <n v="0.16666666666666666"/>
        <n v="0.15384615384615385"/>
        <n v="0.27272727272727271"/>
        <n v="0.25"/>
        <n v="9.0909090909090912E-2"/>
        <n v="0.41666666666666669"/>
        <n v="7.6923076923076927E-2"/>
        <e v="#N/A"/>
        <n v="9.5238095238095233E-2" u="1"/>
        <n v="0.6" u="1"/>
        <n v="0.83333333333333337" u="1"/>
        <n v="0.1111111111111111" u="1"/>
        <n v="0.23076923076923078" u="1"/>
        <n v="0.75" u="1"/>
        <n v="0.3" u="1"/>
        <n v="0.3125" u="1"/>
        <n v="0.66666666666666663" u="1"/>
        <n v="0.44444444444444442" u="1"/>
        <n v="0.125" u="1"/>
        <n v="1" u="1"/>
        <n v="0.36842105263157893" u="1"/>
        <n v="0.10526315789473684" u="1"/>
        <n v="0.4" u="1"/>
        <n v="0.33333333333333331" u="1"/>
        <n v="0.22222222222222221" u="1"/>
        <n v="0.39130434782608697" u="1"/>
        <n v="0.5714285714285714" u="1"/>
      </sharedItems>
    </cacheField>
    <cacheField name="Can Drive Under Pyramid" numFmtId="9">
      <sharedItems containsMixedTypes="1" containsNumber="1" minValue="0" maxValue="0.7" count="39">
        <n v="0.5"/>
        <n v="0.14285714285714285"/>
        <n v="0"/>
        <n v="0.55555555555555558"/>
        <n v="0.11764705882352941"/>
        <n v="0.4"/>
        <n v="0.15384615384615385"/>
        <n v="0.35714285714285715"/>
        <n v="7.1428571428571425E-2"/>
        <n v="0.25"/>
        <n v="0.3"/>
        <n v="7.6923076923076927E-2"/>
        <n v="0.21428571428571427"/>
        <n v="0.33333333333333331"/>
        <n v="0.27272727272727271"/>
        <n v="9.0909090909090912E-2"/>
        <n v="0.1"/>
        <n v="0.30769230769230771"/>
        <n v="0.375"/>
        <n v="0.7"/>
        <e v="#N/A"/>
        <n v="0.2" u="1"/>
        <n v="0.42105263157894735" u="1"/>
        <n v="0.625" u="1"/>
        <n v="0.16666666666666666" u="1"/>
        <n v="0.1111111111111111" u="1"/>
        <n v="0.18181818181818182" u="1"/>
        <n v="0.23076923076923078" u="1"/>
        <n v="0.2857142857142857" u="1"/>
        <n v="0.3125" u="1"/>
        <n v="0.44444444444444442" u="1"/>
        <n v="0.125" u="1"/>
        <n v="0.17647058823529413" u="1"/>
        <n v="0.19047619047619047" u="1"/>
        <n v="0.45" u="1"/>
        <n v="0.45454545454545453" u="1"/>
        <n v="0.22222222222222221" u="1"/>
        <n v="0.47826086956521741" u="1"/>
        <n v="0.42857142857142855" u="1"/>
      </sharedItems>
    </cacheField>
    <cacheField name="Overall Ranking" numFmtId="166">
      <sharedItems containsSemiMixedTypes="0" containsString="0" containsNumber="1" minValue="-2" maxValue="210"/>
    </cacheField>
    <cacheField name="Automomous Ranking" numFmtId="166">
      <sharedItems containsSemiMixedTypes="0" containsString="0" containsNumber="1" minValue="0" maxValue="75"/>
    </cacheField>
    <cacheField name="Teleop Ranking" numFmtId="166">
      <sharedItems containsSemiMixedTypes="0" containsString="0" containsNumber="1" minValue="0" maxValue="121" count="107">
        <n v="54.545454545454547"/>
        <n v="61.714285714285708"/>
        <n v="60.5"/>
        <n v="12"/>
        <n v="60"/>
        <n v="109.74025974025973"/>
        <n v="46.153846153846153"/>
        <n v="32.666666666666664"/>
        <n v="1.6363636363636362"/>
        <n v="114"/>
        <n v="44.181818181818187"/>
        <n v="0"/>
        <n v="24"/>
        <n v="14.23529411764706"/>
        <n v="42"/>
        <n v="6"/>
        <n v="34.909090909090907"/>
        <n v="2"/>
        <n v="2.25"/>
        <n v="61.89473684210526"/>
        <n v="4"/>
        <n v="8"/>
        <n v="3"/>
        <n v="67.5"/>
        <n v="48"/>
        <n v="78.400000000000006"/>
        <n v="30"/>
        <n v="54"/>
        <n v="62.228571428571428"/>
        <n v="12.5"/>
        <n v="32"/>
        <n v="4.8000000000000007"/>
        <n v="1.3333333333333333"/>
        <n v="16"/>
        <n v="6.75"/>
        <n v="0.88888888888888884"/>
        <n v="36"/>
        <n v="34"/>
        <n v="48.648648648648653"/>
        <n v="13.333333333333332"/>
        <n v="21.599999999999998"/>
        <n v="2.6666666666666665"/>
        <n v="78"/>
        <n v="18.75"/>
        <n v="26.727272727272727"/>
        <n v="1.5"/>
        <n v="21.428571428571431"/>
        <n v="67.600000000000009"/>
        <n v="25.6"/>
        <n v="0.5"/>
        <n v="61.25"/>
        <n v="9"/>
        <n v="48.4"/>
        <n v="2.9411764705882355"/>
        <n v="27"/>
        <n v="40"/>
        <n v="40.5"/>
        <n v="10.285714285714285"/>
        <n v="1"/>
        <n v="24.5"/>
        <n v="18.514285714285712"/>
        <n v="19.636363636363633"/>
        <n v="36.75"/>
        <n v="18"/>
        <n v="63.375"/>
        <n v="84.521739130434781"/>
        <n v="10.799999999999999"/>
        <n v="13.5"/>
        <n v="121"/>
        <n v="7.7142857142857135"/>
        <n v="108"/>
        <n v="1.3846153846153846"/>
        <n v="37.5"/>
        <n v="0.8571428571428571"/>
        <n v="3.333333333333333"/>
        <n v="19.200000000000003"/>
        <n v="0.66666666666666663"/>
        <n v="31.225806451612904"/>
        <n v="57" u="1"/>
        <n v="31.114285714285714" u="1"/>
        <n v="54.870129870129865" u="1"/>
        <n v="27.272727272727273" u="1"/>
        <n v="6.6666666666666661" u="1"/>
        <n v="7.5974025974025974" u="1"/>
        <n v="2.5714285714285712" u="1"/>
        <n v="15" u="1"/>
        <n v="30.94736842105263" u="1"/>
        <n v="7.1176470588235299" u="1"/>
        <n v="6.25" u="1"/>
        <n v="2.7272727272727271" u="1"/>
        <n v="2.3076923076923079" u="1"/>
        <n v="2.4000000000000004" u="1"/>
        <n v="21" u="1"/>
        <n v="2.75" u="1"/>
        <n v="0.44444444444444442" u="1"/>
        <n v="30.857142857142854" u="1"/>
        <n v="0.81818181818181812" u="1"/>
        <n v="0.81818181818181823" u="1"/>
        <n v="22.090909090909093" u="1"/>
        <n v="23.076923076923077" u="1"/>
        <n v="30.25" u="1"/>
        <n v="1.125" u="1"/>
        <n v="16.333333333333332" u="1"/>
        <n v="3.375" u="1"/>
        <n v="2.0625" u="1"/>
        <n v="17.454545454545453" u="1"/>
        <n v="0.77777777777777779" u="1"/>
      </sharedItems>
    </cacheField>
    <cacheField name="End Game Ranking" numFmtId="166">
      <sharedItems containsSemiMixedTypes="0" containsString="0" containsNumber="1" containsInteger="1" minValue="0" maxValue="60"/>
    </cacheField>
    <cacheField name="Defensive Ranking" numFmtId="166">
      <sharedItems containsSemiMixedTypes="0" containsString="0" containsNumber="1" minValue="0" maxValue="38.879999999999995" count="69">
        <n v="0"/>
        <n v="4.32"/>
        <n v="6.48"/>
        <n v="14.579999999999997"/>
        <n v="1.2000000000000002"/>
        <n v="0.8"/>
        <n v="19.200000000000003"/>
        <n v="9.7199999999999989"/>
        <n v="12.8"/>
        <n v="4.8000000000000007"/>
        <n v="3.2"/>
        <n v="7.0400000000000009"/>
        <n v="28.199999999999996"/>
        <n v="3.456"/>
        <n v="0.14399999999999996"/>
        <n v="0.32399999999999995"/>
        <n v="16.68"/>
        <n v="6.1920000000000002"/>
        <n v="0.61199999999999999"/>
        <n v="0.57599999999999985"/>
        <n v="1.1159999999999999"/>
        <n v="38.879999999999995"/>
        <n v="16.079999999999998"/>
        <n v="2.52"/>
        <n v="1.728"/>
        <n v="0.18"/>
        <n v="0.86399999999999999"/>
        <n v="9.36"/>
        <n v="15.528"/>
        <n v="0.39599999999999996"/>
        <n v="1.44"/>
        <n v="0.54"/>
        <n v="0.36"/>
        <n v="17.28"/>
        <n v="2.6279999999999992"/>
        <n v="21.39492957746479"/>
        <n v="2.8960893854748604"/>
        <n v="0.64799999999999991"/>
        <n v="1.3319999999999999"/>
        <n v="15.551999999999998"/>
        <n v="1.8719999999999997"/>
        <n v="0.11025000000000001"/>
        <n v="6.9119999999999999"/>
        <n v="4.7520000000000007"/>
        <n v="4.0199999999999996"/>
        <n v="1.5839999999999999"/>
        <n v="1.1880000000000002"/>
        <n v="7.4879999999999987"/>
        <n v="0.75600000000000001"/>
        <n v="18.512873949579834"/>
        <n v="29.029189189189189"/>
        <n v="3.1679999999999997"/>
        <n v="11.015999999999998"/>
        <n v="3.7199999999999998"/>
        <n v="12.239999999999998"/>
        <n v="2.88"/>
        <n v="34.991999999999997"/>
        <n v="6.6239999999999997"/>
        <n v="0.216"/>
        <n v="6.7679999999999998"/>
        <n v="0.504"/>
        <n v="1.224"/>
        <n v="4.5" u="1"/>
        <n v="0.2" u="1"/>
        <n v="0.6" u="1"/>
        <n v="1.8" u="1"/>
        <n v="0.9" u="1"/>
        <n v="7.2" u="1"/>
        <n v="0.4" u="1"/>
      </sharedItems>
    </cacheField>
    <cacheField name="Strategic Fit" numFmtId="166">
      <sharedItems containsSemiMixedTypes="0" containsString="0" containsNumber="1" containsInteger="1" minValue="-2" maxValue="10"/>
    </cacheField>
    <cacheField name="Offense - Defense" numFmtId="166">
      <sharedItems/>
    </cacheField>
    <cacheField name="Automomous % Effective" numFmtId="9">
      <sharedItems containsSemiMixedTypes="0" containsString="0" containsNumber="1" minValue="0" maxValue="1"/>
    </cacheField>
    <cacheField name="Teleop % Effective" numFmtId="9">
      <sharedItems containsSemiMixedTypes="0" containsString="0" containsNumber="1" minValue="0" maxValue="1"/>
    </cacheField>
    <cacheField name="End Game % Effective" numFmtId="9">
      <sharedItems containsSemiMixedTypes="0" containsString="0" containsNumber="1" containsInteger="1" minValue="0" maxValue="1"/>
    </cacheField>
    <cacheField name="Defensive % Effective" numFmtId="9">
      <sharedItems containsSemiMixedTypes="0" containsString="0" containsNumber="1" minValue="0" maxValue="0.9"/>
    </cacheField>
    <cacheField name="climbing correction" numFmtId="0">
      <sharedItems containsSemiMixedTypes="0" containsString="0" containsNumber="1" containsInteger="1" minValue="0" maxValue="30"/>
    </cacheField>
    <cacheField name="Total Points" numFmtId="0">
      <sharedItems containsSemiMixedTypes="0" containsString="0" containsNumber="1" minValue="-2" maxValue="99"/>
    </cacheField>
    <cacheField name="Total Scored" numFmtId="0">
      <sharedItems containsSemiMixedTypes="0" containsString="0" containsNumber="1" containsInteger="1" minValue="0" maxValue="99"/>
    </cacheField>
    <cacheField name="Defensive Impact _x000a_(points prevented)" numFmtId="0">
      <sharedItems containsSemiMixedTypes="0" containsString="0" containsNumber="1" minValue="-2" maxValue="56.399999999999991"/>
    </cacheField>
    <cacheField name="Team Location" numFmtId="0">
      <sharedItems count="33">
        <s v="Peoria, IL"/>
        <s v="Indianapolis, IN"/>
        <s v="Kokomo, IN"/>
        <s v="Mishawaka, IN"/>
        <s v="Russiaville, IN"/>
        <s v="West Lafayette, IN"/>
        <s v="Carmel, IN"/>
        <s v="Huntington, IN"/>
        <s v="Lafayette, IN"/>
        <s v="Milwaukee, WI"/>
        <s v="Greenwood, IN"/>
        <s v="San Juan, PR"/>
        <s v="Dunlap, IL"/>
        <s v="Crown Point, IN"/>
        <s v="New Carlisle, IN"/>
        <s v="Elkhart, IN"/>
        <s v="Munster, IN"/>
        <s v="Brownsburg, IN"/>
        <s v="Trafalgar, IN"/>
        <s v="Hamilton, OH"/>
        <s v="Carrollton, KY"/>
        <s v="Portland, IN"/>
        <s v="Plainfield , IN"/>
        <s v="Connersville, IN"/>
        <s v="South Bend, IN"/>
        <s v="Knightstown, IN"/>
        <s v="Shelbyville, IN"/>
        <s v="Lafayette , IN"/>
        <s v="Danville, IN"/>
        <s v="Gary, IN"/>
        <s v="Waialua, HI"/>
        <s v="   "/>
        <e v="#N/A"/>
      </sharedItems>
    </cacheField>
    <cacheField name="Rookie" numFmtId="0">
      <sharedItems containsMixedTypes="1" containsNumber="1" containsInteger="1" minValue="0" maxValue="1"/>
    </cacheField>
    <cacheField name="QS" numFmtId="0">
      <sharedItems containsMixedTypes="1" containsNumber="1" containsInteger="1" minValue="2" maxValue="18"/>
    </cacheField>
    <cacheField name="AP" numFmtId="0">
      <sharedItems containsMixedTypes="1" containsNumber="1" containsInteger="1" minValue="24" maxValue="266"/>
    </cacheField>
    <cacheField name="CP" numFmtId="0">
      <sharedItems containsMixedTypes="1" containsNumber="1" containsInteger="1" minValue="30" maxValue="230"/>
    </cacheField>
    <cacheField name="TP" numFmtId="0">
      <sharedItems containsMixedTypes="1" containsNumber="1" containsInteger="1" minValue="62" maxValue="461"/>
    </cacheField>
    <cacheField name="Record (W-L-T)" numFmtId="0">
      <sharedItems containsMixedTypes="1" containsNumber="1" containsInteger="1" minValue="36533" maxValue="37014"/>
    </cacheField>
    <cacheField name="Played" numFmtId="0">
      <sharedItems containsMixedTypes="1" containsNumber="1" containsInteger="1" minValue="8" maxValue="9"/>
    </cacheField>
    <cacheField name="0" numFmtId="0">
      <sharedItems containsMixedTypes="1" containsNumber="1" containsInteger="1" minValue="0" maxValue="0"/>
    </cacheField>
    <cacheField name="Record_x000a_(W-L-T)" numFmtId="0">
      <sharedItems/>
    </cacheField>
    <cacheField name="FRC_x000a_Rank" numFmtId="0">
      <sharedItems containsMixedTypes="1" containsNumber="1" containsInteger="1" minValue="1" maxValue="40"/>
    </cacheField>
    <cacheField name="Agreed Rank" numFmtId="0">
      <sharedItems containsMixedTypes="1" containsNumber="1" minValue="1" maxValue="26"/>
    </cacheField>
    <cacheField name="This match" numFmtId="0">
      <sharedItems count="2">
        <b v="1"/>
        <b v="0"/>
      </sharedItems>
    </cacheField>
    <cacheField name="Order" numFmtId="0">
      <sharedItems containsMixedTypes="1" containsNumber="1" containsInteger="1" minValue="1" maxValue="6" count="13">
        <s v="Red 1"/>
        <b v="0"/>
        <s v="Red 3"/>
        <s v="Red 2"/>
        <s v="Blue 1"/>
        <s v="Blue 2"/>
        <s v="Blue 3"/>
        <n v="5" u="1"/>
        <n v="2" u="1"/>
        <n v="6" u="1"/>
        <n v="1" u="1"/>
        <n v="3" u="1"/>
        <n v="4" u="1"/>
      </sharedItems>
    </cacheField>
    <cacheField name="Automomous Weighting" numFmtId="0">
      <sharedItems containsSemiMixedTypes="0" containsString="0" containsNumber="1" containsInteger="1" minValue="3" maxValue="3"/>
    </cacheField>
    <cacheField name="Teleop Weighting" numFmtId="0">
      <sharedItems containsSemiMixedTypes="0" containsString="0" containsNumber="1" containsInteger="1" minValue="1" maxValue="2" count="2">
        <n v="2"/>
        <n v="1" u="1"/>
      </sharedItems>
    </cacheField>
    <cacheField name="End Game Weighting" numFmtId="0">
      <sharedItems containsSemiMixedTypes="0" containsString="0" containsNumber="1" containsInteger="1" minValue="2" maxValue="2"/>
    </cacheField>
    <cacheField name="Defensive Weighting" numFmtId="0">
      <sharedItems containsSemiMixedTypes="0" containsString="0" containsNumber="1" containsInteger="1" minValue="1" maxValue="1"/>
    </cacheField>
    <cacheField name="Partial Info" numFmtId="0">
      <sharedItems containsBlank="1" count="4">
        <s v=""/>
        <m/>
        <s v="x"/>
        <s v=" "/>
      </sharedItems>
    </cacheField>
    <cacheField name="Scout Name" numFmtId="0">
      <sharedItems containsBlank="1"/>
    </cacheField>
    <cacheField name="Team Number" numFmtId="0">
      <sharedItems containsString="0" containsBlank="1" containsNumber="1" containsInteger="1" minValue="12" maxValue="4846" count="43">
        <n v="1736"/>
        <n v="1756"/>
        <n v="4580"/>
        <n v="45"/>
        <n v="135"/>
        <n v="234"/>
        <n v="292"/>
        <n v="461"/>
        <n v="829"/>
        <n v="868"/>
        <n v="1024"/>
        <n v="1501"/>
        <n v="1646"/>
        <n v="1732"/>
        <n v="1741"/>
        <n v="1747"/>
        <n v="1872"/>
        <n v="2040"/>
        <n v="2171"/>
        <n v="2197"/>
        <n v="2867"/>
        <n v="3147"/>
        <n v="3176"/>
        <n v="3180"/>
        <n v="3201"/>
        <n v="3272"/>
        <n v="3301"/>
        <n v="3487"/>
        <n v="3565"/>
        <n v="3865"/>
        <n v="3947"/>
        <n v="4070"/>
        <n v="4211"/>
        <n v="4234"/>
        <n v="4272"/>
        <n v="4485"/>
        <n v="4545"/>
        <n v="4791"/>
        <n v="4846"/>
        <n v="359"/>
        <m/>
        <n v="3167" u="1"/>
        <n v="12" u="1"/>
      </sharedItems>
    </cacheField>
    <cacheField name="Match Number" numFmtId="0">
      <sharedItems containsBlank="1" containsMixedTypes="1" containsNumber="1" containsInteger="1" minValue="1" maxValue="3180" count="74">
        <n v="1"/>
        <n v="3"/>
        <n v="4"/>
        <n v="2"/>
        <n v="9"/>
        <n v="6"/>
        <n v="5"/>
        <n v="10"/>
        <n v="8"/>
        <m/>
        <n v="11"/>
        <n v="12"/>
        <n v="7"/>
        <s v="pit"/>
        <n v="13"/>
        <n v="14"/>
        <n v="15"/>
        <n v="16"/>
        <n v="17"/>
        <n v="18"/>
        <n v="19"/>
        <n v="20"/>
        <n v="21"/>
        <n v="22"/>
        <n v="23"/>
        <n v="24"/>
        <n v="25"/>
        <n v="26"/>
        <n v="27"/>
        <n v="28"/>
        <n v="30"/>
        <n v="32"/>
        <n v="33"/>
        <n v="34"/>
        <n v="35"/>
        <n v="36"/>
        <n v="37"/>
        <n v="38"/>
        <n v="39"/>
        <n v="40"/>
        <n v="41"/>
        <n v="42"/>
        <n v="43"/>
        <n v="44"/>
        <n v="45"/>
        <n v="46"/>
        <n v="47"/>
        <n v="49"/>
        <n v="50"/>
        <n v="51"/>
        <n v="52"/>
        <n v="53"/>
        <n v="54"/>
        <n v="55"/>
        <n v="56"/>
        <n v="29"/>
        <n v="31"/>
        <n v="48"/>
        <n v="57"/>
        <n v="58"/>
        <n v="59"/>
        <n v="60"/>
        <n v="61"/>
        <n v="62"/>
        <n v="63"/>
        <n v="64"/>
        <n v="65"/>
        <n v="67"/>
        <n v="68"/>
        <n v="69"/>
        <n v="70"/>
        <n v="71"/>
        <n v="66"/>
        <n v="3180" u="1"/>
      </sharedItems>
    </cacheField>
    <cacheField name="Match Type" numFmtId="0">
      <sharedItems containsBlank="1" count="6">
        <s v="Junk"/>
        <s v="Practice"/>
        <s v="Other"/>
        <s v="Qualification am"/>
        <s v="Qualification"/>
        <m/>
      </sharedItems>
    </cacheField>
    <cacheField name="Starting Disks" numFmtId="0">
      <sharedItems containsString="0" containsBlank="1" containsNumber="1" containsInteger="1" minValue="0" maxValue="4"/>
    </cacheField>
    <cacheField name="Floor Pickup" numFmtId="0">
      <sharedItems containsString="0" containsBlank="1" containsNumber="1" containsInteger="1" minValue="0" maxValue="2"/>
    </cacheField>
    <cacheField name="Auto Points Scored" numFmtId="0">
      <sharedItems containsString="0" containsBlank="1" containsNumber="1" containsInteger="1" minValue="0" maxValue="30"/>
    </cacheField>
    <cacheField name="Auto Points Missed" numFmtId="0">
      <sharedItems containsString="0" containsBlank="1" containsNumber="1" containsInteger="1" minValue="0" maxValue="18"/>
    </cacheField>
    <cacheField name="Starting Location2" numFmtId="0">
      <sharedItems containsBlank="1" containsMixedTypes="1" containsNumber="1" containsInteger="1" minValue="0" maxValue="0" count="18">
        <s v="K"/>
        <s v="A"/>
        <m/>
        <s v="I"/>
        <s v="D"/>
        <s v="N"/>
        <s v="L"/>
        <s v="E"/>
        <s v="G"/>
        <s v="M"/>
        <s v="F"/>
        <s v="C"/>
        <s v="J"/>
        <s v="H"/>
        <s v="B"/>
        <s v="P"/>
        <s v="O"/>
        <n v="0" u="1"/>
      </sharedItems>
    </cacheField>
    <cacheField name="Shoots Front Court2" numFmtId="0">
      <sharedItems containsBlank="1" containsMixedTypes="1" containsNumber="1" containsInteger="1" minValue="0" maxValue="0" count="4">
        <s v="T"/>
        <s v="F"/>
        <m/>
        <n v="0" u="1"/>
      </sharedItems>
    </cacheField>
    <cacheField name="Shoots Full Court2" numFmtId="0">
      <sharedItems containsBlank="1" containsMixedTypes="1" containsNumber="1" containsInteger="1" minValue="0" maxValue="0" count="4">
        <s v="T"/>
        <s v="F"/>
        <m/>
        <n v="0" u="1"/>
      </sharedItems>
    </cacheField>
    <cacheField name="Loads By Human2" numFmtId="0">
      <sharedItems containsBlank="1" containsMixedTypes="1" containsNumber="1" containsInteger="1" minValue="0" maxValue="0" count="4">
        <s v="T"/>
        <s v="F"/>
        <m/>
        <n v="0" u="1"/>
      </sharedItems>
    </cacheField>
    <cacheField name="Loads From Floor2" numFmtId="0">
      <sharedItems containsBlank="1" count="4">
        <s v="T"/>
        <s v="F"/>
        <m/>
        <s v="L" u="1"/>
      </sharedItems>
    </cacheField>
    <cacheField name="Teleop Points Scored" numFmtId="0">
      <sharedItems containsString="0" containsBlank="1" containsNumber="1" containsInteger="1" minValue="0" maxValue="66"/>
    </cacheField>
    <cacheField name="Teleop Points Missed" numFmtId="0">
      <sharedItems containsString="0" containsBlank="1" containsNumber="1" containsInteger="1" minValue="0" maxValue="30"/>
    </cacheField>
    <cacheField name="Driving Ability" numFmtId="0">
      <sharedItems containsString="0" containsBlank="1" containsNumber="1" containsInteger="1" minValue="0" maxValue="3"/>
    </cacheField>
    <cacheField name="Can Drive Under Pyramid2" numFmtId="0">
      <sharedItems containsBlank="1" count="3">
        <s v="F"/>
        <s v="T"/>
        <m/>
      </sharedItems>
    </cacheField>
    <cacheField name="Disk Blocking Effectiveness" numFmtId="0">
      <sharedItems containsString="0" containsBlank="1" containsNumber="1" containsInteger="1" minValue="0" maxValue="4" count="5">
        <n v="0"/>
        <n v="1"/>
        <n v="2"/>
        <n v="4"/>
        <m/>
      </sharedItems>
    </cacheField>
    <cacheField name="On Robot Defense Effectiveness" numFmtId="0">
      <sharedItems containsString="0" containsBlank="1" containsNumber="1" containsInteger="1" minValue="0" maxValue="3" count="5">
        <n v="0"/>
        <n v="2"/>
        <n v="3"/>
        <n v="1"/>
        <m/>
      </sharedItems>
    </cacheField>
    <cacheField name="Disk Blocking Time" numFmtId="0">
      <sharedItems containsString="0" containsBlank="1" containsNumber="1" containsInteger="1" minValue="0" maxValue="120"/>
    </cacheField>
    <cacheField name="On Robot Defense Time" numFmtId="0">
      <sharedItems containsString="0" containsBlank="1" containsNumber="1" containsInteger="1" minValue="0" maxValue="120"/>
    </cacheField>
    <cacheField name="End Game Points Scored" numFmtId="0">
      <sharedItems containsString="0" containsBlank="1" containsNumber="1" containsInteger="1" minValue="0" maxValue="30"/>
    </cacheField>
    <cacheField name="End Game Points Missed" numFmtId="0">
      <sharedItems containsString="0" containsBlank="1" containsNumber="1" containsInteger="1" minValue="0" maxValue="10"/>
    </cacheField>
    <cacheField name="Climb Level" numFmtId="0">
      <sharedItems containsString="0" containsBlank="1" containsNumber="1" containsInteger="1" minValue="0" maxValue="30"/>
    </cacheField>
    <cacheField name="Climb Level Attempted" numFmtId="0">
      <sharedItems containsString="0" containsBlank="1" containsNumber="1" containsInteger="1" minValue="0" maxValue="30"/>
    </cacheField>
    <cacheField name="Climb Speed" numFmtId="0">
      <sharedItems containsString="0" containsBlank="1" containsNumber="1" containsInteger="1" minValue="0" maxValue="120"/>
    </cacheField>
    <cacheField name="Penalties" numFmtId="0">
      <sharedItems containsString="0" containsBlank="1" containsNumber="1" containsInteger="1" minValue="0" maxValue="2"/>
    </cacheField>
    <cacheField name="Technicals" numFmtId="0">
      <sharedItems containsString="0" containsBlank="1" containsNumber="1" containsInteger="1" minValue="0" maxValue="1"/>
    </cacheField>
    <cacheField name="Comments" numFmtId="0">
      <sharedItems containsBlank="1" containsMixedTypes="1" containsNumber="1" containsInteger="1" minValue="0" maxValue="0" count="289">
        <m/>
        <s v="test"/>
        <s v="Spent most time near K. Turned little. No shooting. Only points from climb."/>
        <s v="50/50 shooting. fast movement_ little turning. Could do ten point climb"/>
        <s v="Mostly human players but robot scored a couple 1-pointers. Robot can't pickup disks and only gets them from human players. Scoring is a challenge due to loading system also doubles as &quot;shooter&quot; (and is also a tarp)."/>
        <s v="Great Driving and exceptional shooter. They received disks from human player but could also pick up disks."/>
        <s v="Malfunctioning (Not insulting they really had issues). But they can climb. Human player scored only 1 high goal. Illegally."/>
        <s v="they have no shooter no pickup mechanism no climber so they only go for 1 point shots"/>
        <s v="no climber no pickup no shooter they use a sheet that gets taunt to let disks slide into the 1 point goal "/>
        <s v="they have a adjustable speed shooter and use the shooter deck as a climbing mechanism they go for the high goal but make shots from our spot"/>
        <s v="good but they did not get the climb because there was a frisbee under their wheel"/>
        <s v="bad driving"/>
        <s v="They did nothing this round."/>
        <s v="Ineffective dumper."/>
        <s v="It uses a tarp to bounce disks into the low goal. "/>
        <s v="Uh oh."/>
        <s v="Little movement;no shooting"/>
        <s v="6 wheel archade_ offensive, full court shooter, top load - no pickup, 10 pt climber, 11 second cycle time "/>
        <s v="6 wheel tank_ shots from right side of pyramid, no climbing, ,,"/>
        <s v="belts_ 3 wheel, no autonomous, no climbing, prefer start back of pyramid, defensive"/>
        <s v="4 sims omni_ defensive, 10 point climber, full court shooter, &amp; 5 point shooter,"/>
        <s v="8 wheel_ 3 point autonomous prefer start &quot;back of pyramid&quot;, can shoot from left, right &amp; back of pyramid,,"/>
        <s v="6 wheel - no autonomous - defensive_ 3 level climber"/>
        <s v="Automomous no specific location - offensive - full court shooter (2 point goal) - no climbing"/>
        <s v="automomous - any position - offense - floor pickup - full court shooter - no climbing"/>
        <s v="Only good for defense. Didn't shoot_ load"/>
        <s v="Outstanding robot!! Shot the disks lightning quick with effective accuracy. Moved just as fast as it shot. 5/5 MUST HAVE"/>
        <s v="Slow_ and inaccurate. Didn't move very much at all. 1/5"/>
        <s v="Had trouble loading disks_ moves real slow"/>
        <s v="Shot it's preloaded discs_ then camped at the pyramid until the end of the match. Barely could move. 1/5"/>
        <s v="Just picked up discs and moved around the field. Did absolutely nothing but take 4 discs it couldn't shoot. 0/5"/>
        <s v="Had trouble shooting_ but decent robot. Maybe had problems. 3/5"/>
        <s v="Did not very much opportunity to shoot due to an effective defense on the opposite alliance. Driving was very nimble_ yet sloppy."/>
        <s v="Only played defense. Shot no frisbees_ and the driver seemed to stop playing the game about 45 seconds from the end."/>
        <s v="Stopped moving after autonomous period."/>
        <s v="Spent the entire game trying to get themselves loaded_ could not communicate with the human loader very well. During autonomous"/>
        <s v="Fast_ good driving"/>
        <s v="Basically a giant mobile wall. Drivers did not use this very effectively_ only stood in enemy alliance's way once during the round"/>
        <s v="Doesn't even have a built system for picking up/launching frisbees. Only a defensive robot_ with a less than great driver. Didn't have much opportunity to block frisbees"/>
        <s v="Shooter didn't seem to work very well_ dumped frisbees on the floor instead of shooting them. No outstanding qualities."/>
        <s v="The robot did not do anything just drove around for a bit."/>
        <s v="they are very good at shooting and they have excellent drivers"/>
        <s v="very good driving very fast they can also move very precisely"/>
        <s v="they are very top heavy and there were several times when I thought that they were going to tip over"/>
        <s v="Robot stopped mid-court and had trouble receiving discs from human player"/>
        <s v="Got shoved around a lot"/>
        <s v="Made every shot_ except when it got bumped at half-court"/>
        <s v="Must have had issues of some sort"/>
        <s v="Slow_ clumsy"/>
        <s v="Took a hard hit_ a human player made a 3-point goal"/>
        <s v="looks like they tried to design a multi level climber. decent climb"/>
        <s v="no show"/>
        <s v="bareley move for half of match. good pickup. not very good"/>
        <s v="Defensive based bot.   Didn't seem to have dropping mechanism_ shooter"/>
        <s v="it looks like they loat connection"/>
        <s v="good auto of shooting. shooting at pyramid is not 100%"/>
        <s v="Did bot take a shot. defensive bot. Defense is a little reckless"/>
        <s v="can only defend. has a climbing mech. caused many fouls "/>
        <s v="can't ave disc get stuff in hopper upside down or they can't shoot. took random shots outside field"/>
        <s v="drove back and forth"/>
        <s v="Takes some time for the disc to load in the hopper"/>
        <s v="They seem like an average team"/>
        <s v="Eat it up eat it up"/>
        <s v="really accurate shooting"/>
        <s v="Almost tipped over... THREE TIMES do to 1872 ramming into it_ once on the pyramid earning 1024 20 foul pts"/>
        <s v="they were absolutely terrible"/>
        <s v="they had trouble grasping the pyramid_ tilted and touching the floor when climb attempted"/>
        <s v="Half of their robot fell off 10 seconds into the match... WOW"/>
        <s v="they had trouble maneuvering and shooting... all toether pretty bad"/>
        <s v="Very slow robot appeared to be very difficult to load"/>
        <s v="very aggressive defense but not at all effective."/>
        <s v="They only climb."/>
        <s v="did not make full court 3 pointers but can make 2 pointers from full court"/>
        <s v="No show_ but their teammates won"/>
        <s v="very slow_ very weak"/>
        <s v="robot fast across field_ good with shooting 3 points"/>
        <s v="Just moves back and forth_ hardly ever making the low goal."/>
        <s v="Had trouble loading from human players. Moved quite slow."/>
        <s v="Puerto Rico!!!!"/>
        <s v="was defended alot. does not pck up disks"/>
        <s v="did not do much. not a very good driver. did not attempt any shots"/>
        <s v="only shot 2 frisbees and then climbed"/>
        <s v="did shoot or climb. scored no points at all"/>
        <s v="30 point climb_ did not attempt anything else.  But had 40 seconds left at the when they reached the 30 point level"/>
        <s v="Got hung up on the pyramid couldn't finish the climb."/>
        <s v="very bad driving. kept slamming into walls and the pyramid. broke a piece at the end"/>
        <s v="very good driver and very quick as well. it can push other robots out of the way if it is being blocked."/>
        <s v="robot was kindve moving weird"/>
        <s v="I scouted the wrong robot but this one had jerky movement and only went for the pyramid"/>
        <s v="they drove around in the same general spot and did nothing they didnt lead disks"/>
        <s v="1501 very good driving"/>
        <s v="they have a variable angle shooter they have crazy good accuracy and very good driving"/>
        <s v="their shooter took a while to load and they have no autonomus"/>
        <s v="they just played defense but they did cause a foul on another team"/>
        <s v="Played defense most of the time"/>
        <s v="weak capability.  avgerage driver &amp; sort of slow.  player defence by single side loading zone the whole time"/>
        <s v="no shooting_ slow"/>
        <s v="Bad shooting"/>
        <s v="Just... kind of terrible.  No shooter_ no climber"/>
        <s v="I don't even know what they were trying to do there... "/>
        <s v="Not much really going on here."/>
        <s v="no auto_ no climbing"/>
        <s v="dumps 1-ptrs_ don't pick this robot"/>
        <s v="Something wrong with it's movement. did not move the whole game."/>
        <s v="didn't see much of this robot"/>
        <s v="fast_ aggressive def this round. worth consideration"/>
        <s v="fast loader. accurate shooter. would recommend this one."/>
        <s v="A big moving wall. Lacks capability to handle frisbees. Managed to hang_ but just barely."/>
        <s v="The infamous tarp-robot_ it kinda reminds me of the car from the Flinstones. "/>
        <s v="Had a shooter_ but only played defense for some reason. A very bad defense"/>
        <s v="I think the shooter broke_ so then they kept a robot on the other alliance from being able to hang/score. Smart drivers"/>
        <s v="Stuck on its own side of the field_ meaning the defense on the other alliance had to cross the field to defend. Consequently"/>
        <s v="Shooter appeared to be broken_ as it was not used. Was not particularly effective in defense."/>
        <s v="Tried to help their stuck ally_ and therefore couldn't score any points."/>
        <s v="I could not tell if they were caught on a disk or blocking a team that was caught on a disk. if they were blocking_ good job."/>
        <s v="They appear to have a bad wheel this round_ as they were just going in circles."/>
        <s v="Very slow moving_ played deffence by placing themselves in middle of field and acting like an obstacle."/>
        <s v="shooter seems to depend entirely upon the angle of disks_ and can easily be disoriented by bumping into things."/>
        <s v="attempted to climb the corner of the pyramid but wasn't successful "/>
        <s v="can effectively hang on the first level of the pyramid but not a great shooter"/>
        <s v="didn't move in autonomous or teleop...connection problem?"/>
        <s v="shot 2 high goal frisbees while lifting themselves up to the first level of the pyramid in the last 10 seconds but one side of their robot touched the ground"/>
        <s v="were able to climb to first level in the last few seconds"/>
        <s v="we did freakin awesome...nuff said"/>
        <e v="#NAME?"/>
        <s v="a little slow"/>
        <s v="forced penalty on other team once"/>
        <s v="not very effective robot"/>
        <s v="just started climbing at the beginning"/>
        <s v="good at avoiding defensive robots"/>
        <s v="they only moved for 5 seconds and then stopped for rest of the match. "/>
        <s v="shooter aiming problems"/>
        <s v="was blocked alot and took a long time to load from feeders."/>
        <s v="Far too large to climb. Appears to only be able to hold 2 disks."/>
        <s v="Didnt or couldnt shoot. Played extremely little defense. didnt/couldnt climb."/>
        <s v="Didint shoot. Poor driving. climbed the pyramid at 45 seconds mark. "/>
        <s v="Really good robot. "/>
        <s v="stopped responding for 30 is h seconds.....Couldnt climb. Inaccurate shooting."/>
        <s v="Kept going back and forth and not doing anything_ also got shoved hard a bit"/>
        <s v="Got stuck half-way through match_ but hung at the end"/>
        <s v="Autonomous was okay_ but then the robot quit moving"/>
        <s v="Tipsy_ as usual Kept getting its discs knocked out of its shooter/hopper"/>
        <s v="Barely moved_ shot too low"/>
        <s v="The no-shooter"/>
        <s v="Good shooter_ but seems to only hold three discs"/>
        <s v="Slow. Got frisbees stuck_ making shooter useless. Attempted a climb"/>
        <s v="Didn't show up."/>
        <s v="Did nothing. Attempted a little defense_ which wasn't effective."/>
        <s v="moved around as if aiming the entire match_ though never shot. "/>
        <s v="Had trouble steering. Helped another team member score by defending the defender."/>
        <s v="No movement in beginning. Very bad attempts. "/>
        <s v="Moved back and forth from pyramid and disc station. Very effective."/>
        <s v="did nothing"/>
        <s v="really  good defense"/>
        <s v="they tip very easily making them vulnerable"/>
        <s v="they played only defense but they blocked 2 disks"/>
        <s v="they have no shooting capabilities but they play good defense"/>
        <s v="they blocked on one of the sides of the pyramid"/>
        <s v="they played defense even though they had the capability to play offense"/>
        <s v="they were knocked around a little but they shoot ok they can turn on a dime because of their drive train"/>
        <s v="We shot and drove well our floor pickup mechanism is good"/>
        <s v="shut down 1741 during defense. preventing about 24 pts.   "/>
        <s v="Not very effective defensive player"/>
        <s v="very inconsistent shooter "/>
        <s v="They appear to be unable to be loaded into_ but they just may not have tried"/>
        <s v="made use of some &quot;counter-defense&quot;- forcing their opponents defending robot to be unable to defend."/>
        <s v="It seems their shooter motor was non-responsive."/>
        <s v="could'nt load right"/>
        <s v="slow at shooting"/>
        <s v="good loading then  shooting quickly"/>
        <s v="play defense the whole time"/>
        <s v="shot 3 times then play defense"/>
        <s v="Their robot was spinning around a lot; seemed to be confused"/>
        <s v="stood there for like 2 min_ then got stuck under pyramid -_-"/>
        <s v="Very fast and accurate"/>
        <s v="fast and agile_ but can only score in low goal"/>
        <s v="good robot"/>
        <s v="decent defense"/>
        <s v="I think the entire match that they were trying to make their robot to dance.   Loose bumpers."/>
        <s v="Kept ramming into wall like a drunk.   Strategy was unclear."/>
        <s v="Kept clipping the floor.   Wobbled bad."/>
        <s v="Didn't attempt defensive   Dropped their discs from their robot"/>
        <s v="slow"/>
        <s v="not enough room to shoot"/>
        <s v="very slow and inaccurate. no climbing mechanism."/>
        <s v="hung around opponent feeding station."/>
        <s v="bracket fell off the robot"/>
        <s v="The robot didnt shoot at all; not in teleop or autonomous. It did have a shooting mechanism_ but it seemed to not work. When feeding frim thestation"/>
        <s v="They didnt shoot at all. The attempted a climb_ but couldnt do it or finish in time. Mainly played defense"/>
        <s v="Didnt shoot at all. Excellent defense though. Preventeed 2 robots from getting to their refill station. "/>
        <s v="Ok shooter. Had a swerve drive (I think)."/>
        <s v="Best defense all day - Tim. couldnt make any of the low goals. "/>
        <s v="shooter malfunctioned @ beginning of teleop. inaccurate shooter_ the whole thing rattled a lot."/>
        <s v="did great w/ shooting_ could've been more accurate. climber also came off when we attempted it."/>
        <s v="hands down best climber. 24 pts in auto + 30 climbing pts = 54 pts total. "/>
        <s v="good at getting to/from shooting position. needs more accurate shooting"/>
        <s v="i was confused on which team number i had at first. from what I saw the team had pretty good driving_ but never shot that much."/>
        <s v="mostly defensive during teleop_ climbs on corner"/>
        <s v="fast_ accurate shooter. scored high. fast mover"/>
        <s v="not sure exactly what it was doing here..."/>
        <s v="Mostly defense_ kind of slow. No shooter."/>
        <s v="Pretty good all around_ no defense though."/>
        <s v="Good all around."/>
        <s v="They didn't do much of anything."/>
        <s v="Great defense_ no shooter or climb."/>
        <s v="Really good shooter_ great movement.  first level climber.  No real focus on defense."/>
        <s v="Not very accurate shooter_ not that good climber."/>
        <s v="Probably broken."/>
        <s v="average shooter with the possibility for defense also a fast climber"/>
        <s v="never fired a shot only tried to play defense but did it poorly"/>
        <s v="overall excellent robot in every way... a great pick"/>
        <s v="average shooter and great driver..... useless if a disk goes into their hopper upside down"/>
        <s v="great fast shooter and great driver... an excellent pick "/>
        <s v="an under-average shooter easy 10 point climb bad at fighting against defense"/>
        <s v="didn't really do anything"/>
        <s v="stopped working halfway through   "/>
        <s v="I mean honestly_ do we really have to scout them."/>
        <s v="didn't play defense this time. ok shooter but there hopper to shooter time is a little long."/>
        <s v="did circles on the center line"/>
        <s v="played defense"/>
        <s v="easy 30 point climb"/>
        <s v="Mostly defense_ not very balanced overall."/>
        <s v="Fairly good_ large could be defense.  Didn't attempt climb."/>
        <s v="Fairly slow_ not very good shooter."/>
        <s v="Nothing much done y them in the match."/>
        <s v="No shooter_ not very good"/>
        <s v="DIdn't do much of anything.   Not really goos at all. "/>
        <s v="Exceptional bot."/>
        <s v="Did some defense as well as tried to climb in the end. Did not shoot."/>
        <s v="Good shooter and movement speed."/>
        <s v="Tried defense to help out"/>
        <s v="Scored some and looked poised to climb but did not do so."/>
        <s v="Not bad. A rough n' tumble robot."/>
        <s v="Stopped moving during tele-operated."/>
        <s v="More defensive robot."/>
        <s v="Played with team in mind (defended for allies). Had trouble aligning themselves with feeder stations and climbing_ and driving was slow. Spent most of the round just trying to get frisbees."/>
        <s v="No attempt at shooting was made_ despite a shooter equipped. Probably non-functional for the time being. Tried to play defense with a swerve drive to no avail"/>
        <s v="Shooter appeared to break_ as they did not shoot (despite having a fully loaded shooter) and smoke was coming out of their robot. Loaded very quickly and was able to cross the field pretty fast."/>
        <s v="Hulking goliath of a machine_ and not in a good way. Slow and tipsy like every other top-heavy robot"/>
        <s v="#1 seed for a good reason. Very nimble and able to get around opponents_ which is good since the opposing alliance put all of their defensive players on 359. Highly skilled drivers."/>
        <s v="Shooter is very low to the ground and somewhat unreliable. Could be mechanical or driver error. Loading was a bit cumbersome. Climbing is fairly reliable_ but slow. Driver did well for the robot given. Purely offensive"/>
        <s v="Drive train appeared to be broken: whenever the robot drove forward/backward_ the robot would turn counter-clockwise. The robot had a shooter"/>
        <s v="Really serves no offensive purpose_ only played defense. Effectively kept one robot out of the game"/>
        <s v="VERY fast and accurate shots. Very neat team. 4/5"/>
        <s v="Very fast shots_ moved kinda slow. 4/5"/>
        <s v="Moved very slowly. Penaltied itself. 0/5"/>
        <s v="Didn't shoot_ spent half the game hanging from the pyramid. Barely even lifts. 1/5"/>
        <s v="It looked lost and confused. Just moved around with no purpose. 0/5"/>
        <s v="Moved to the loading zone_ sat there the rest of the match. 0/5"/>
        <s v="was defended alot"/>
        <s v="could not get to feeders the second time"/>
        <s v="only does climbing"/>
        <s v="did not move for last half of match"/>
        <s v="it was defended alot"/>
        <s v="works poorly with other teams on alliance"/>
        <s v="inconsistent shooter and poor driver easy to block decent climber"/>
        <s v="bad driver and shooter would not pick"/>
        <s v="fast consistent shooter and great driver works decent against defense"/>
        <s v="good shooter and driver hard to load disks good at climbing foul came from human player putting their hand out on the feild"/>
        <s v="good shooter and driver dose not react well to defense"/>
        <s v="They're good...Peoria good. They were the only robot to score points_ and they still won. 4/5"/>
        <s v="Decent team. Had trouble shooting_ maybe could only reach midgoal. 3/5"/>
        <s v="Basically a blockbot. All it can do is defend. Couldn't shoot or climb. Barely moved_ didn't spend enough time blocking"/>
        <s v="Spent it's time doing defense_ but couldn't block effectively. If it was shooting it would've been better. 2/5"/>
        <s v="They could shoot from the pyramid. Not a bad team_ just unlucky most times. 3/5"/>
        <s v="Had a nice robot_ but got blocked the first half"/>
        <s v="Penalty heavy match_ ARGOS got blocked a good deal of the match. 4/5"/>
        <s v="Dropped both discs it started with_ spent 30 seconds trying to pick them back up"/>
        <s v="Didn't shoot or climb_ just did some decent defense before sitting around for 45 seconds watching the other team win. 2/5"/>
        <s v="took a long time to dial in shooter and human loader   "/>
        <s v="took a while to dial in shooter   "/>
        <s v="defended a good robot for about 15 seconds saving nearly 12 points"/>
        <s v="spent most of time trying to shoot_ but the discs were stuck and wouldn't shoot"/>
        <s v="very fast driving"/>
        <s v="did nothing but drove around"/>
        <s v="Not efficient defense bot. Might be broken."/>
        <s v="Discs shoot out but fly up unbalanced and fall (no high goal)."/>
        <s v="Fast.   Quick shooter_ not very accurate."/>
        <s v="Awesomely powered shooter.   Defensive round_ maybe."/>
        <s v="Didn't do any thing but defend. "/>
        <s v="Blocked a lot by other team. Probably could have done better."/>
        <s v="Just couldn't aim. Appeared to anly be able to hold 3 discs."/>
        <s v="Defended most of the time. Very mobile_ so defended well. "/>
        <s v="Shoots with a tarp. Not very effective."/>
        <s v="Good at the mid goal not the high goal."/>
        <s v="Never moved the entire match just sat there dead."/>
        <s v="effective driving maneuverability (mechanum or omni?)   shooting takes awhile"/>
        <s v="Deployable shooter   They have A LOT of difficulty lining to shoot"/>
        <n v="0"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44">
  <r>
    <x v="0"/>
    <x v="0"/>
    <x v="0"/>
    <x v="0"/>
    <x v="0"/>
    <n v="4"/>
    <x v="0"/>
    <n v="25"/>
    <s v="AKI"/>
    <x v="0"/>
    <x v="0"/>
    <x v="0"/>
    <x v="0"/>
    <x v="0"/>
    <n v="101.54545454545455"/>
    <n v="24"/>
    <x v="0"/>
    <n v="20"/>
    <x v="0"/>
    <n v="3"/>
    <s v="both"/>
    <n v="0.66666666666666663"/>
    <n v="0.90909090909090906"/>
    <n v="1"/>
    <n v="0"/>
    <n v="10"/>
    <n v="52"/>
    <n v="52"/>
    <n v="0"/>
    <x v="0"/>
    <n v="0"/>
    <n v="10"/>
    <n v="178"/>
    <n v="80"/>
    <n v="213"/>
    <n v="36649"/>
    <n v="8"/>
    <n v="0"/>
    <s v="05-03-00"/>
    <n v="11"/>
    <n v="6.5"/>
    <x v="0"/>
    <x v="0"/>
    <n v="3"/>
    <x v="0"/>
    <n v="2"/>
    <n v="1"/>
    <x v="0"/>
    <s v="Tim Delaney"/>
    <x v="0"/>
    <x v="0"/>
    <x v="0"/>
    <n v="2"/>
    <n v="0"/>
    <n v="12"/>
    <n v="6"/>
    <x v="0"/>
    <x v="0"/>
    <x v="0"/>
    <x v="0"/>
    <x v="0"/>
    <n v="30"/>
    <n v="3"/>
    <n v="2"/>
    <x v="0"/>
    <x v="0"/>
    <x v="0"/>
    <n v="20"/>
    <n v="0"/>
    <n v="10"/>
    <m/>
    <n v="10"/>
    <n v="10"/>
    <n v="1"/>
    <n v="0"/>
    <n v="0"/>
    <x v="0"/>
  </r>
  <r>
    <x v="0"/>
    <x v="0"/>
    <x v="0"/>
    <x v="0"/>
    <x v="0"/>
    <n v="4"/>
    <x v="0"/>
    <n v="25"/>
    <s v="AKI"/>
    <x v="0"/>
    <x v="0"/>
    <x v="0"/>
    <x v="0"/>
    <x v="0"/>
    <n v="145.71428571428572"/>
    <n v="54"/>
    <x v="1"/>
    <n v="20"/>
    <x v="0"/>
    <n v="10"/>
    <s v="offensive"/>
    <n v="1"/>
    <n v="0.8571428571428571"/>
    <n v="1"/>
    <n v="0"/>
    <n v="10"/>
    <n v="64"/>
    <n v="64"/>
    <n v="0"/>
    <x v="0"/>
    <n v="0"/>
    <n v="10"/>
    <n v="178"/>
    <n v="80"/>
    <n v="213"/>
    <n v="36649"/>
    <n v="8"/>
    <n v="0"/>
    <s v="05-03-00"/>
    <n v="11"/>
    <n v="6.5"/>
    <x v="0"/>
    <x v="0"/>
    <n v="3"/>
    <x v="0"/>
    <n v="2"/>
    <n v="1"/>
    <x v="0"/>
    <s v="Tim Delaney"/>
    <x v="0"/>
    <x v="1"/>
    <x v="0"/>
    <n v="3"/>
    <n v="2"/>
    <n v="18"/>
    <n v="0"/>
    <x v="1"/>
    <x v="1"/>
    <x v="0"/>
    <x v="0"/>
    <x v="1"/>
    <n v="36"/>
    <n v="6"/>
    <n v="2"/>
    <x v="0"/>
    <x v="0"/>
    <x v="0"/>
    <n v="0"/>
    <n v="0"/>
    <n v="10"/>
    <m/>
    <n v="10"/>
    <n v="10"/>
    <n v="1"/>
    <n v="0"/>
    <n v="0"/>
    <x v="0"/>
  </r>
  <r>
    <x v="0"/>
    <x v="0"/>
    <x v="0"/>
    <x v="0"/>
    <x v="0"/>
    <n v="4"/>
    <x v="0"/>
    <n v="25"/>
    <s v="AKI"/>
    <x v="0"/>
    <x v="0"/>
    <x v="0"/>
    <x v="0"/>
    <x v="0"/>
    <n v="80.5"/>
    <n v="0"/>
    <x v="2"/>
    <n v="20"/>
    <x v="0"/>
    <n v="0"/>
    <s v="both"/>
    <n v="0"/>
    <n v="0.91666666666666663"/>
    <n v="1"/>
    <n v="0"/>
    <n v="10"/>
    <n v="43"/>
    <n v="43"/>
    <n v="0"/>
    <x v="0"/>
    <n v="0"/>
    <n v="10"/>
    <n v="178"/>
    <n v="80"/>
    <n v="213"/>
    <n v="36649"/>
    <n v="8"/>
    <n v="0"/>
    <s v="05-03-00"/>
    <n v="11"/>
    <n v="6.5"/>
    <x v="0"/>
    <x v="0"/>
    <n v="3"/>
    <x v="0"/>
    <n v="2"/>
    <n v="1"/>
    <x v="0"/>
    <s v="Tim Delaney"/>
    <x v="0"/>
    <x v="2"/>
    <x v="0"/>
    <n v="3"/>
    <n v="0"/>
    <n v="0"/>
    <n v="0"/>
    <x v="1"/>
    <x v="0"/>
    <x v="1"/>
    <x v="0"/>
    <x v="1"/>
    <n v="33"/>
    <n v="3"/>
    <n v="2"/>
    <x v="0"/>
    <x v="0"/>
    <x v="0"/>
    <n v="30"/>
    <n v="0"/>
    <n v="10"/>
    <m/>
    <n v="10"/>
    <n v="10"/>
    <n v="1"/>
    <n v="0"/>
    <n v="0"/>
    <x v="0"/>
  </r>
  <r>
    <x v="1"/>
    <x v="1"/>
    <x v="1"/>
    <x v="1"/>
    <x v="1"/>
    <n v="8"/>
    <x v="1"/>
    <n v="13"/>
    <s v="AKI"/>
    <x v="1"/>
    <x v="1"/>
    <x v="1"/>
    <x v="1"/>
    <x v="1"/>
    <n v="41.32"/>
    <n v="5"/>
    <x v="3"/>
    <n v="20"/>
    <x v="1"/>
    <n v="0"/>
    <s v="both"/>
    <n v="0.33333333333333331"/>
    <n v="0.5"/>
    <n v="1"/>
    <n v="0.6"/>
    <n v="30"/>
    <n v="34.200000000000003"/>
    <n v="27"/>
    <n v="7.2"/>
    <x v="0"/>
    <n v="0"/>
    <n v="5"/>
    <n v="118"/>
    <n v="120"/>
    <n v="179"/>
    <n v="36927"/>
    <n v="8"/>
    <n v="0"/>
    <s v="02-05-01"/>
    <n v="34"/>
    <n v="12"/>
    <x v="1"/>
    <x v="1"/>
    <n v="3"/>
    <x v="0"/>
    <n v="2"/>
    <n v="1"/>
    <x v="0"/>
    <s v="Tim Delaney"/>
    <x v="1"/>
    <x v="0"/>
    <x v="0"/>
    <n v="3"/>
    <n v="0"/>
    <n v="5"/>
    <n v="10"/>
    <x v="1"/>
    <x v="1"/>
    <x v="1"/>
    <x v="1"/>
    <x v="1"/>
    <n v="12"/>
    <n v="12"/>
    <n v="2"/>
    <x v="0"/>
    <x v="1"/>
    <x v="1"/>
    <n v="0"/>
    <n v="30"/>
    <n v="10"/>
    <m/>
    <n v="10"/>
    <n v="30"/>
    <n v="55"/>
    <n v="0"/>
    <n v="0"/>
    <x v="0"/>
  </r>
  <r>
    <x v="1"/>
    <x v="1"/>
    <x v="1"/>
    <x v="1"/>
    <x v="1"/>
    <n v="8"/>
    <x v="1"/>
    <n v="13"/>
    <s v="AKI"/>
    <x v="1"/>
    <x v="1"/>
    <x v="1"/>
    <x v="1"/>
    <x v="1"/>
    <n v="146.47999999999999"/>
    <n v="20"/>
    <x v="4"/>
    <n v="60"/>
    <x v="2"/>
    <n v="0"/>
    <s v="both"/>
    <n v="0.66666666666666663"/>
    <n v="1"/>
    <n v="1"/>
    <n v="0.6"/>
    <n v="30"/>
    <n v="80.8"/>
    <n v="70"/>
    <n v="10.8"/>
    <x v="0"/>
    <n v="0"/>
    <n v="5"/>
    <n v="118"/>
    <n v="120"/>
    <n v="179"/>
    <n v="36927"/>
    <n v="8"/>
    <n v="0"/>
    <s v="02-05-01"/>
    <n v="34"/>
    <n v="12"/>
    <x v="1"/>
    <x v="1"/>
    <n v="3"/>
    <x v="0"/>
    <n v="2"/>
    <n v="1"/>
    <x v="0"/>
    <s v="Tim Delaney"/>
    <x v="1"/>
    <x v="3"/>
    <x v="0"/>
    <n v="3"/>
    <n v="0"/>
    <n v="10"/>
    <n v="5"/>
    <x v="1"/>
    <x v="1"/>
    <x v="1"/>
    <x v="1"/>
    <x v="1"/>
    <n v="30"/>
    <n v="0"/>
    <n v="2"/>
    <x v="0"/>
    <x v="2"/>
    <x v="1"/>
    <n v="0"/>
    <n v="45"/>
    <n v="30"/>
    <m/>
    <n v="30"/>
    <n v="30"/>
    <n v="40"/>
    <n v="0"/>
    <n v="0"/>
    <x v="0"/>
  </r>
  <r>
    <x v="1"/>
    <x v="1"/>
    <x v="1"/>
    <x v="1"/>
    <x v="1"/>
    <n v="8"/>
    <x v="1"/>
    <n v="13"/>
    <s v="AKI"/>
    <x v="1"/>
    <x v="1"/>
    <x v="1"/>
    <x v="1"/>
    <x v="1"/>
    <n v="152.12545454545455"/>
    <n v="20"/>
    <x v="0"/>
    <n v="60"/>
    <x v="3"/>
    <n v="3"/>
    <s v="both"/>
    <n v="0.66666666666666663"/>
    <n v="0.90909090909090906"/>
    <n v="1"/>
    <n v="0.9"/>
    <n v="30"/>
    <n v="86.199999999999989"/>
    <n v="70"/>
    <n v="16.199999999999996"/>
    <x v="0"/>
    <n v="0"/>
    <n v="5"/>
    <n v="118"/>
    <n v="120"/>
    <n v="179"/>
    <n v="36927"/>
    <n v="8"/>
    <n v="0"/>
    <s v="02-05-01"/>
    <n v="34"/>
    <n v="12"/>
    <x v="1"/>
    <x v="1"/>
    <n v="3"/>
    <x v="0"/>
    <n v="2"/>
    <n v="1"/>
    <x v="0"/>
    <s v="Tim Delaney"/>
    <x v="1"/>
    <x v="1"/>
    <x v="0"/>
    <n v="2"/>
    <n v="0"/>
    <n v="10"/>
    <n v="5"/>
    <x v="0"/>
    <x v="0"/>
    <x v="0"/>
    <x v="0"/>
    <x v="0"/>
    <n v="30"/>
    <n v="3"/>
    <n v="2"/>
    <x v="0"/>
    <x v="1"/>
    <x v="2"/>
    <n v="0"/>
    <n v="45"/>
    <n v="30"/>
    <m/>
    <n v="30"/>
    <n v="30"/>
    <n v="110"/>
    <n v="0"/>
    <n v="0"/>
    <x v="0"/>
  </r>
  <r>
    <x v="2"/>
    <x v="2"/>
    <x v="2"/>
    <x v="2"/>
    <x v="2"/>
    <n v="26"/>
    <x v="2"/>
    <n v="25"/>
    <s v="A"/>
    <x v="2"/>
    <x v="2"/>
    <x v="2"/>
    <x v="2"/>
    <x v="2"/>
    <n v="161.22025974025971"/>
    <n v="0"/>
    <x v="5"/>
    <n v="40"/>
    <x v="2"/>
    <n v="5"/>
    <s v="both"/>
    <n v="0"/>
    <n v="0.8441558441558441"/>
    <n v="1"/>
    <n v="0.9"/>
    <n v="20"/>
    <n v="92.2"/>
    <n v="85"/>
    <n v="7.2"/>
    <x v="1"/>
    <n v="1"/>
    <n v="8"/>
    <n v="86"/>
    <n v="80"/>
    <n v="122"/>
    <n v="36621"/>
    <n v="9"/>
    <n v="0"/>
    <s v="04-05-00"/>
    <n v="21"/>
    <s v="DNP"/>
    <x v="1"/>
    <x v="1"/>
    <n v="3"/>
    <x v="0"/>
    <n v="2"/>
    <n v="1"/>
    <x v="0"/>
    <s v="Tim Delaney"/>
    <x v="2"/>
    <x v="2"/>
    <x v="0"/>
    <n v="3"/>
    <n v="0"/>
    <n v="0"/>
    <n v="0"/>
    <x v="1"/>
    <x v="1"/>
    <x v="0"/>
    <x v="0"/>
    <x v="1"/>
    <n v="65"/>
    <n v="12"/>
    <n v="2"/>
    <x v="0"/>
    <x v="1"/>
    <x v="2"/>
    <n v="0"/>
    <n v="20"/>
    <n v="20"/>
    <m/>
    <n v="20"/>
    <n v="20"/>
    <n v="0"/>
    <n v="0"/>
    <n v="0"/>
    <x v="0"/>
  </r>
  <r>
    <x v="2"/>
    <x v="2"/>
    <x v="2"/>
    <x v="2"/>
    <x v="2"/>
    <n v="26"/>
    <x v="2"/>
    <n v="25"/>
    <s v="A"/>
    <x v="2"/>
    <x v="2"/>
    <x v="2"/>
    <x v="2"/>
    <x v="2"/>
    <n v="66.98"/>
    <n v="0"/>
    <x v="2"/>
    <n v="0"/>
    <x v="2"/>
    <n v="0"/>
    <s v="both"/>
    <n v="0"/>
    <n v="0.6875"/>
    <n v="0"/>
    <n v="0.6"/>
    <n v="0"/>
    <n v="54.8"/>
    <n v="44"/>
    <n v="10.8"/>
    <x v="1"/>
    <n v="1"/>
    <n v="8"/>
    <n v="86"/>
    <n v="80"/>
    <n v="122"/>
    <n v="36621"/>
    <n v="9"/>
    <n v="0"/>
    <s v="04-05-00"/>
    <n v="21"/>
    <s v="DNP"/>
    <x v="1"/>
    <x v="1"/>
    <n v="3"/>
    <x v="0"/>
    <n v="2"/>
    <n v="1"/>
    <x v="0"/>
    <s v="Tim Delaney"/>
    <x v="2"/>
    <x v="4"/>
    <x v="0"/>
    <n v="3"/>
    <n v="0"/>
    <n v="0"/>
    <n v="0"/>
    <x v="1"/>
    <x v="0"/>
    <x v="1"/>
    <x v="0"/>
    <x v="1"/>
    <n v="44"/>
    <n v="20"/>
    <n v="2"/>
    <x v="0"/>
    <x v="3"/>
    <x v="1"/>
    <n v="0"/>
    <n v="45"/>
    <n v="0"/>
    <m/>
    <n v="0"/>
    <n v="0"/>
    <n v="0"/>
    <n v="0"/>
    <n v="0"/>
    <x v="0"/>
  </r>
  <r>
    <x v="2"/>
    <x v="3"/>
    <x v="3"/>
    <x v="3"/>
    <x v="2"/>
    <n v="19"/>
    <x v="3"/>
    <n v="12"/>
    <s v="AKI"/>
    <x v="3"/>
    <x v="3"/>
    <x v="3"/>
    <x v="3"/>
    <x v="2"/>
    <n v="73.15384615384616"/>
    <n v="24"/>
    <x v="6"/>
    <n v="0"/>
    <x v="0"/>
    <n v="3"/>
    <s v="both"/>
    <n v="0.66666666666666663"/>
    <n v="0.76923076923076927"/>
    <n v="1"/>
    <n v="0"/>
    <n v="10"/>
    <n v="42"/>
    <n v="42"/>
    <n v="0"/>
    <x v="2"/>
    <n v="0"/>
    <n v="6"/>
    <n v="66"/>
    <n v="70"/>
    <n v="129"/>
    <n v="36590"/>
    <n v="8"/>
    <n v="0"/>
    <s v="03-05-00"/>
    <n v="32"/>
    <s v="DNP"/>
    <x v="1"/>
    <x v="1"/>
    <n v="3"/>
    <x v="0"/>
    <n v="2"/>
    <n v="1"/>
    <x v="0"/>
    <s v="Tim Delaney"/>
    <x v="3"/>
    <x v="0"/>
    <x v="0"/>
    <n v="3"/>
    <n v="0"/>
    <n v="12"/>
    <n v="6"/>
    <x v="0"/>
    <x v="0"/>
    <x v="0"/>
    <x v="0"/>
    <x v="0"/>
    <n v="30"/>
    <n v="9"/>
    <n v="2"/>
    <x v="0"/>
    <x v="0"/>
    <x v="0"/>
    <n v="20"/>
    <n v="0"/>
    <n v="0"/>
    <m/>
    <n v="0"/>
    <n v="10"/>
    <n v="20"/>
    <n v="0"/>
    <n v="0"/>
    <x v="0"/>
  </r>
  <r>
    <x v="2"/>
    <x v="4"/>
    <x v="4"/>
    <x v="4"/>
    <x v="2"/>
    <n v="25"/>
    <x v="3"/>
    <n v="4"/>
    <s v="AK"/>
    <x v="4"/>
    <x v="4"/>
    <x v="4"/>
    <x v="4"/>
    <x v="2"/>
    <n v="111.66666666666666"/>
    <n v="54"/>
    <x v="7"/>
    <n v="20"/>
    <x v="0"/>
    <n v="5"/>
    <s v="offensive"/>
    <n v="1"/>
    <n v="0.77777777777777779"/>
    <n v="1"/>
    <n v="0"/>
    <n v="10"/>
    <n v="49"/>
    <n v="49"/>
    <n v="0"/>
    <x v="3"/>
    <n v="0"/>
    <n v="8"/>
    <n v="106"/>
    <n v="120"/>
    <n v="156"/>
    <n v="36621"/>
    <n v="9"/>
    <n v="0"/>
    <s v="04-05-00"/>
    <n v="19"/>
    <s v="DNP"/>
    <x v="1"/>
    <x v="1"/>
    <n v="3"/>
    <x v="0"/>
    <n v="2"/>
    <n v="1"/>
    <x v="0"/>
    <s v="Tim Delaney"/>
    <x v="4"/>
    <x v="3"/>
    <x v="0"/>
    <n v="2"/>
    <n v="0"/>
    <n v="18"/>
    <n v="0"/>
    <x v="1"/>
    <x v="1"/>
    <x v="0"/>
    <x v="0"/>
    <x v="1"/>
    <n v="21"/>
    <n v="6"/>
    <n v="2"/>
    <x v="0"/>
    <x v="0"/>
    <x v="0"/>
    <n v="0"/>
    <n v="0"/>
    <n v="10"/>
    <m/>
    <n v="10"/>
    <n v="10"/>
    <n v="20"/>
    <n v="0"/>
    <n v="0"/>
    <x v="0"/>
  </r>
  <r>
    <x v="3"/>
    <x v="5"/>
    <x v="5"/>
    <x v="5"/>
    <x v="3"/>
    <n v="16"/>
    <x v="4"/>
    <n v="25"/>
    <s v="AKI"/>
    <x v="5"/>
    <x v="5"/>
    <x v="5"/>
    <x v="5"/>
    <x v="3"/>
    <n v="83.5"/>
    <n v="0"/>
    <x v="2"/>
    <n v="20"/>
    <x v="0"/>
    <n v="3"/>
    <s v="both"/>
    <n v="0"/>
    <n v="0.91666666666666663"/>
    <n v="1"/>
    <n v="0"/>
    <n v="10"/>
    <n v="43"/>
    <n v="43"/>
    <n v="0"/>
    <x v="1"/>
    <n v="0"/>
    <n v="12"/>
    <n v="142"/>
    <n v="110"/>
    <n v="112"/>
    <n v="36679"/>
    <n v="8"/>
    <n v="0"/>
    <s v="06-02-00"/>
    <n v="8"/>
    <n v="7"/>
    <x v="1"/>
    <x v="1"/>
    <n v="3"/>
    <x v="0"/>
    <n v="2"/>
    <n v="1"/>
    <x v="1"/>
    <s v="Tim Delaney"/>
    <x v="5"/>
    <x v="1"/>
    <x v="0"/>
    <n v="3"/>
    <n v="0"/>
    <n v="0"/>
    <n v="0"/>
    <x v="0"/>
    <x v="0"/>
    <x v="0"/>
    <x v="0"/>
    <x v="0"/>
    <n v="33"/>
    <n v="3"/>
    <n v="2"/>
    <x v="0"/>
    <x v="0"/>
    <x v="0"/>
    <n v="30"/>
    <n v="0"/>
    <n v="10"/>
    <m/>
    <n v="10"/>
    <n v="10"/>
    <n v="10"/>
    <n v="0"/>
    <n v="0"/>
    <x v="0"/>
  </r>
  <r>
    <x v="4"/>
    <x v="6"/>
    <x v="6"/>
    <x v="6"/>
    <x v="4"/>
    <n v="13"/>
    <x v="5"/>
    <n v="24"/>
    <s v="AI"/>
    <x v="6"/>
    <x v="6"/>
    <x v="6"/>
    <x v="6"/>
    <x v="4"/>
    <n v="62"/>
    <n v="5"/>
    <x v="3"/>
    <n v="40"/>
    <x v="0"/>
    <n v="5"/>
    <s v="both"/>
    <n v="0.33333333333333331"/>
    <n v="0.5"/>
    <n v="1"/>
    <n v="0"/>
    <n v="30"/>
    <n v="37"/>
    <n v="37"/>
    <n v="0"/>
    <x v="4"/>
    <n v="0"/>
    <n v="4"/>
    <n v="112"/>
    <n v="90"/>
    <n v="106"/>
    <n v="36562"/>
    <n v="8"/>
    <n v="0"/>
    <s v="02-06-00"/>
    <n v="35"/>
    <n v="15"/>
    <x v="1"/>
    <x v="1"/>
    <n v="3"/>
    <x v="0"/>
    <n v="2"/>
    <n v="1"/>
    <x v="0"/>
    <s v="Tim Delaney"/>
    <x v="6"/>
    <x v="2"/>
    <x v="0"/>
    <n v="3"/>
    <n v="0"/>
    <n v="5"/>
    <n v="10"/>
    <x v="1"/>
    <x v="1"/>
    <x v="0"/>
    <x v="0"/>
    <x v="1"/>
    <n v="12"/>
    <n v="12"/>
    <n v="2"/>
    <x v="0"/>
    <x v="0"/>
    <x v="0"/>
    <n v="0"/>
    <n v="30"/>
    <n v="20"/>
    <m/>
    <n v="20"/>
    <n v="30"/>
    <n v="55"/>
    <n v="0"/>
    <n v="0"/>
    <x v="0"/>
  </r>
  <r>
    <x v="5"/>
    <x v="7"/>
    <x v="7"/>
    <x v="7"/>
    <x v="5"/>
    <n v="14"/>
    <x v="6"/>
    <n v="21"/>
    <s v="AK"/>
    <x v="7"/>
    <x v="7"/>
    <x v="7"/>
    <x v="7"/>
    <x v="5"/>
    <n v="106.66666666666666"/>
    <n v="54"/>
    <x v="7"/>
    <n v="20"/>
    <x v="0"/>
    <n v="0"/>
    <s v="offensive"/>
    <n v="1"/>
    <n v="0.77777777777777779"/>
    <n v="1"/>
    <n v="0"/>
    <n v="10"/>
    <n v="49"/>
    <n v="49"/>
    <n v="0"/>
    <x v="5"/>
    <n v="0"/>
    <n v="8"/>
    <n v="102"/>
    <n v="90"/>
    <n v="94"/>
    <n v="36620"/>
    <n v="8"/>
    <n v="0"/>
    <s v="04-04-00"/>
    <n v="20"/>
    <n v="14"/>
    <x v="0"/>
    <x v="2"/>
    <n v="3"/>
    <x v="0"/>
    <n v="2"/>
    <n v="1"/>
    <x v="0"/>
    <s v="Tim Delaney"/>
    <x v="7"/>
    <x v="5"/>
    <x v="0"/>
    <n v="3"/>
    <n v="0"/>
    <n v="18"/>
    <n v="0"/>
    <x v="1"/>
    <x v="1"/>
    <x v="1"/>
    <x v="1"/>
    <x v="1"/>
    <n v="21"/>
    <n v="6"/>
    <n v="2"/>
    <x v="0"/>
    <x v="0"/>
    <x v="0"/>
    <n v="0"/>
    <n v="0"/>
    <n v="10"/>
    <m/>
    <n v="10"/>
    <n v="10"/>
    <n v="20"/>
    <n v="0"/>
    <n v="0"/>
    <x v="0"/>
  </r>
  <r>
    <x v="6"/>
    <x v="8"/>
    <x v="8"/>
    <x v="8"/>
    <x v="6"/>
    <n v="12"/>
    <x v="2"/>
    <n v="25"/>
    <s v="AKI"/>
    <x v="8"/>
    <x v="8"/>
    <x v="8"/>
    <x v="8"/>
    <x v="6"/>
    <n v="81.7"/>
    <n v="0"/>
    <x v="2"/>
    <n v="20"/>
    <x v="4"/>
    <n v="0"/>
    <s v="both"/>
    <n v="0"/>
    <n v="0.91666666666666663"/>
    <n v="1"/>
    <n v="0.2"/>
    <n v="10"/>
    <n v="49"/>
    <n v="43"/>
    <n v="6"/>
    <x v="1"/>
    <n v="0"/>
    <n v="14"/>
    <n v="180"/>
    <n v="140"/>
    <n v="209"/>
    <n v="36709"/>
    <n v="9"/>
    <n v="0"/>
    <s v="07-02-00"/>
    <n v="3"/>
    <n v="9"/>
    <x v="0"/>
    <x v="3"/>
    <n v="3"/>
    <x v="0"/>
    <n v="2"/>
    <n v="1"/>
    <x v="0"/>
    <s v="Tim Delaney"/>
    <x v="8"/>
    <x v="0"/>
    <x v="0"/>
    <n v="3"/>
    <n v="0"/>
    <n v="0"/>
    <n v="0"/>
    <x v="1"/>
    <x v="1"/>
    <x v="1"/>
    <x v="1"/>
    <x v="1"/>
    <n v="33"/>
    <n v="3"/>
    <n v="2"/>
    <x v="0"/>
    <x v="1"/>
    <x v="1"/>
    <n v="30"/>
    <n v="0"/>
    <n v="10"/>
    <m/>
    <n v="10"/>
    <n v="10"/>
    <n v="10"/>
    <n v="0"/>
    <n v="0"/>
    <x v="0"/>
  </r>
  <r>
    <x v="7"/>
    <x v="9"/>
    <x v="9"/>
    <x v="9"/>
    <x v="7"/>
    <n v="1"/>
    <x v="7"/>
    <n v="25"/>
    <s v="AKI"/>
    <x v="9"/>
    <x v="9"/>
    <x v="9"/>
    <x v="9"/>
    <x v="7"/>
    <n v="24.32"/>
    <n v="5"/>
    <x v="3"/>
    <n v="0"/>
    <x v="1"/>
    <n v="3"/>
    <s v="both"/>
    <n v="0.33333333333333331"/>
    <n v="0.5"/>
    <n v="1"/>
    <n v="0.6"/>
    <n v="30"/>
    <n v="24.2"/>
    <n v="17"/>
    <n v="7.2"/>
    <x v="6"/>
    <n v="0"/>
    <n v="12"/>
    <n v="142"/>
    <n v="110"/>
    <n v="418"/>
    <n v="36679"/>
    <n v="8"/>
    <n v="0"/>
    <s v="06-02-00"/>
    <n v="7"/>
    <n v="2"/>
    <x v="1"/>
    <x v="1"/>
    <n v="3"/>
    <x v="0"/>
    <n v="2"/>
    <n v="1"/>
    <x v="0"/>
    <s v="Tim Delaney"/>
    <x v="9"/>
    <x v="3"/>
    <x v="0"/>
    <n v="3"/>
    <n v="0"/>
    <n v="5"/>
    <n v="10"/>
    <x v="0"/>
    <x v="0"/>
    <x v="0"/>
    <x v="0"/>
    <x v="0"/>
    <n v="12"/>
    <n v="12"/>
    <n v="2"/>
    <x v="0"/>
    <x v="2"/>
    <x v="1"/>
    <n v="0"/>
    <n v="30"/>
    <n v="0"/>
    <m/>
    <n v="0"/>
    <n v="30"/>
    <n v="55"/>
    <n v="0"/>
    <n v="0"/>
    <x v="0"/>
  </r>
  <r>
    <x v="8"/>
    <x v="10"/>
    <x v="8"/>
    <x v="10"/>
    <x v="8"/>
    <n v="6"/>
    <x v="2"/>
    <n v="25"/>
    <s v="AKI"/>
    <x v="10"/>
    <x v="10"/>
    <x v="10"/>
    <x v="10"/>
    <x v="2"/>
    <n v="95.953846153846158"/>
    <n v="24"/>
    <x v="6"/>
    <n v="20"/>
    <x v="5"/>
    <n v="5"/>
    <s v="both"/>
    <n v="0.66666666666666663"/>
    <n v="0.76923076923076927"/>
    <n v="1"/>
    <n v="0.2"/>
    <n v="10"/>
    <n v="56"/>
    <n v="52"/>
    <n v="4"/>
    <x v="1"/>
    <n v="0"/>
    <n v="9"/>
    <n v="78"/>
    <n v="50"/>
    <n v="194"/>
    <n v="36984"/>
    <n v="8"/>
    <n v="0"/>
    <s v="04-03-01"/>
    <n v="17"/>
    <n v="21"/>
    <x v="1"/>
    <x v="1"/>
    <n v="3"/>
    <x v="0"/>
    <n v="2"/>
    <n v="1"/>
    <x v="0"/>
    <s v="Tim Delaney"/>
    <x v="10"/>
    <x v="1"/>
    <x v="0"/>
    <n v="3"/>
    <n v="0"/>
    <n v="12"/>
    <n v="6"/>
    <x v="1"/>
    <x v="1"/>
    <x v="0"/>
    <x v="0"/>
    <x v="1"/>
    <n v="30"/>
    <n v="9"/>
    <n v="2"/>
    <x v="0"/>
    <x v="1"/>
    <x v="2"/>
    <n v="20"/>
    <n v="0"/>
    <n v="10"/>
    <m/>
    <n v="10"/>
    <n v="10"/>
    <n v="20"/>
    <n v="0"/>
    <n v="0"/>
    <x v="0"/>
  </r>
  <r>
    <x v="9"/>
    <x v="11"/>
    <x v="10"/>
    <x v="11"/>
    <x v="9"/>
    <n v="9"/>
    <x v="3"/>
    <n v="25"/>
    <s v="AKI"/>
    <x v="2"/>
    <x v="2"/>
    <x v="2"/>
    <x v="2"/>
    <x v="8"/>
    <n v="106.66666666666666"/>
    <n v="54"/>
    <x v="7"/>
    <n v="20"/>
    <x v="0"/>
    <n v="0"/>
    <s v="offensive"/>
    <n v="1"/>
    <n v="0.77777777777777779"/>
    <n v="1"/>
    <n v="0"/>
    <n v="10"/>
    <n v="49"/>
    <n v="49"/>
    <n v="0"/>
    <x v="7"/>
    <n v="0"/>
    <n v="6"/>
    <n v="106"/>
    <n v="70"/>
    <n v="201"/>
    <n v="36590"/>
    <n v="8"/>
    <n v="0"/>
    <s v="03-05-00"/>
    <n v="27"/>
    <n v="8"/>
    <x v="0"/>
    <x v="4"/>
    <n v="3"/>
    <x v="0"/>
    <n v="2"/>
    <n v="1"/>
    <x v="0"/>
    <s v="Tim Delaney"/>
    <x v="11"/>
    <x v="2"/>
    <x v="0"/>
    <n v="2"/>
    <n v="0"/>
    <n v="18"/>
    <n v="0"/>
    <x v="1"/>
    <x v="0"/>
    <x v="1"/>
    <x v="0"/>
    <x v="1"/>
    <n v="21"/>
    <n v="6"/>
    <n v="2"/>
    <x v="0"/>
    <x v="1"/>
    <x v="2"/>
    <n v="0"/>
    <n v="0"/>
    <n v="10"/>
    <m/>
    <n v="10"/>
    <n v="10"/>
    <n v="20"/>
    <n v="0"/>
    <n v="0"/>
    <x v="0"/>
  </r>
  <r>
    <x v="10"/>
    <x v="12"/>
    <x v="11"/>
    <x v="12"/>
    <x v="10"/>
    <n v="20"/>
    <x v="8"/>
    <n v="25"/>
    <s v="A"/>
    <x v="2"/>
    <x v="2"/>
    <x v="2"/>
    <x v="2"/>
    <x v="9"/>
    <n v="99.7"/>
    <n v="0"/>
    <x v="2"/>
    <n v="20"/>
    <x v="6"/>
    <n v="0"/>
    <s v="both"/>
    <n v="0"/>
    <n v="0.91666666666666663"/>
    <n v="1"/>
    <n v="0.8"/>
    <n v="10"/>
    <n v="67"/>
    <n v="43"/>
    <n v="24"/>
    <x v="8"/>
    <n v="0"/>
    <n v="12"/>
    <n v="186"/>
    <n v="110"/>
    <n v="231"/>
    <n v="36680"/>
    <n v="9"/>
    <n v="0"/>
    <s v="06-03-00"/>
    <n v="5"/>
    <n v="10"/>
    <x v="1"/>
    <x v="1"/>
    <n v="3"/>
    <x v="0"/>
    <n v="2"/>
    <n v="1"/>
    <x v="0"/>
    <s v="Tim Delaney"/>
    <x v="12"/>
    <x v="6"/>
    <x v="0"/>
    <n v="3"/>
    <n v="0"/>
    <n v="0"/>
    <n v="0"/>
    <x v="1"/>
    <x v="1"/>
    <x v="1"/>
    <x v="1"/>
    <x v="1"/>
    <n v="33"/>
    <n v="3"/>
    <n v="2"/>
    <x v="0"/>
    <x v="3"/>
    <x v="1"/>
    <n v="30"/>
    <n v="0"/>
    <n v="10"/>
    <m/>
    <n v="10"/>
    <n v="10"/>
    <n v="10"/>
    <n v="0"/>
    <n v="0"/>
    <x v="0"/>
  </r>
  <r>
    <x v="11"/>
    <x v="13"/>
    <x v="12"/>
    <x v="13"/>
    <x v="11"/>
    <n v="3"/>
    <x v="7"/>
    <n v="18"/>
    <s v="AKI"/>
    <x v="11"/>
    <x v="11"/>
    <x v="11"/>
    <x v="11"/>
    <x v="2"/>
    <n v="20"/>
    <n v="5"/>
    <x v="3"/>
    <n v="0"/>
    <x v="0"/>
    <n v="3"/>
    <s v="both"/>
    <n v="0.33333333333333331"/>
    <n v="0.5"/>
    <n v="1"/>
    <n v="0"/>
    <n v="30"/>
    <n v="17"/>
    <n v="17"/>
    <n v="0"/>
    <x v="9"/>
    <n v="0"/>
    <n v="12"/>
    <n v="186"/>
    <n v="150"/>
    <n v="379"/>
    <n v="36680"/>
    <n v="9"/>
    <n v="0"/>
    <s v="06-03-00"/>
    <n v="4"/>
    <n v="4"/>
    <x v="0"/>
    <x v="5"/>
    <n v="3"/>
    <x v="0"/>
    <n v="2"/>
    <n v="1"/>
    <x v="0"/>
    <s v="Tim Delaney"/>
    <x v="13"/>
    <x v="5"/>
    <x v="0"/>
    <n v="3"/>
    <n v="0"/>
    <n v="5"/>
    <n v="10"/>
    <x v="0"/>
    <x v="0"/>
    <x v="0"/>
    <x v="0"/>
    <x v="0"/>
    <n v="12"/>
    <n v="12"/>
    <n v="2"/>
    <x v="0"/>
    <x v="0"/>
    <x v="0"/>
    <n v="0"/>
    <n v="30"/>
    <n v="0"/>
    <m/>
    <n v="0"/>
    <n v="30"/>
    <n v="55"/>
    <n v="0"/>
    <n v="0"/>
    <x v="0"/>
  </r>
  <r>
    <x v="0"/>
    <x v="0"/>
    <x v="0"/>
    <x v="0"/>
    <x v="0"/>
    <n v="4"/>
    <x v="0"/>
    <n v="25"/>
    <s v="AKI"/>
    <x v="0"/>
    <x v="0"/>
    <x v="0"/>
    <x v="0"/>
    <x v="0"/>
    <n v="95.15384615384616"/>
    <n v="24"/>
    <x v="6"/>
    <n v="20"/>
    <x v="0"/>
    <n v="5"/>
    <s v="both"/>
    <n v="0.66666666666666663"/>
    <n v="0.76923076923076927"/>
    <n v="1"/>
    <n v="0"/>
    <n v="10"/>
    <n v="52"/>
    <n v="52"/>
    <n v="0"/>
    <x v="0"/>
    <n v="0"/>
    <n v="10"/>
    <n v="178"/>
    <n v="80"/>
    <n v="213"/>
    <n v="36649"/>
    <n v="8"/>
    <n v="0"/>
    <s v="05-03-00"/>
    <n v="11"/>
    <n v="6.5"/>
    <x v="0"/>
    <x v="0"/>
    <n v="3"/>
    <x v="0"/>
    <n v="2"/>
    <n v="1"/>
    <x v="0"/>
    <s v="Tim Delaney"/>
    <x v="0"/>
    <x v="0"/>
    <x v="0"/>
    <n v="3"/>
    <n v="0"/>
    <n v="12"/>
    <n v="6"/>
    <x v="1"/>
    <x v="1"/>
    <x v="0"/>
    <x v="0"/>
    <x v="1"/>
    <n v="30"/>
    <n v="9"/>
    <n v="2"/>
    <x v="0"/>
    <x v="0"/>
    <x v="0"/>
    <n v="20"/>
    <n v="0"/>
    <n v="10"/>
    <m/>
    <n v="10"/>
    <n v="10"/>
    <n v="20"/>
    <n v="0"/>
    <n v="0"/>
    <x v="0"/>
  </r>
  <r>
    <x v="12"/>
    <x v="14"/>
    <x v="13"/>
    <x v="14"/>
    <x v="12"/>
    <n v="5"/>
    <x v="9"/>
    <n v="22"/>
    <s v="AKI"/>
    <x v="9"/>
    <x v="9"/>
    <x v="9"/>
    <x v="9"/>
    <x v="2"/>
    <n v="106.66666666666666"/>
    <n v="54"/>
    <x v="7"/>
    <n v="20"/>
    <x v="0"/>
    <n v="0"/>
    <s v="offensive"/>
    <n v="1"/>
    <n v="0.77777777777777779"/>
    <n v="1"/>
    <n v="0"/>
    <n v="10"/>
    <n v="49"/>
    <n v="49"/>
    <n v="0"/>
    <x v="10"/>
    <n v="0"/>
    <n v="14"/>
    <n v="266"/>
    <n v="140"/>
    <n v="284"/>
    <n v="36709"/>
    <n v="9"/>
    <n v="0"/>
    <s v="07-02-00"/>
    <n v="2"/>
    <n v="3"/>
    <x v="1"/>
    <x v="1"/>
    <n v="3"/>
    <x v="0"/>
    <n v="2"/>
    <n v="1"/>
    <x v="0"/>
    <s v="Tim Delaney"/>
    <x v="14"/>
    <x v="3"/>
    <x v="0"/>
    <n v="3"/>
    <n v="0"/>
    <n v="18"/>
    <n v="0"/>
    <x v="1"/>
    <x v="0"/>
    <x v="1"/>
    <x v="0"/>
    <x v="1"/>
    <n v="21"/>
    <n v="6"/>
    <n v="2"/>
    <x v="0"/>
    <x v="0"/>
    <x v="0"/>
    <n v="0"/>
    <n v="0"/>
    <n v="10"/>
    <m/>
    <n v="10"/>
    <n v="10"/>
    <n v="20"/>
    <n v="0"/>
    <n v="0"/>
    <x v="0"/>
  </r>
  <r>
    <x v="13"/>
    <x v="15"/>
    <x v="14"/>
    <x v="15"/>
    <x v="13"/>
    <n v="28"/>
    <x v="10"/>
    <n v="1"/>
    <s v="A"/>
    <x v="7"/>
    <x v="7"/>
    <x v="7"/>
    <x v="7"/>
    <x v="10"/>
    <n v="81.7"/>
    <n v="0"/>
    <x v="2"/>
    <n v="20"/>
    <x v="4"/>
    <n v="0"/>
    <s v="both"/>
    <n v="0"/>
    <n v="0.91666666666666663"/>
    <n v="1"/>
    <n v="0.2"/>
    <n v="10"/>
    <n v="49"/>
    <n v="43"/>
    <n v="6"/>
    <x v="5"/>
    <n v="0"/>
    <n v="6"/>
    <n v="94"/>
    <n v="70"/>
    <n v="99"/>
    <n v="36590"/>
    <n v="8"/>
    <n v="0"/>
    <s v="03-05-00"/>
    <n v="30"/>
    <n v="23"/>
    <x v="1"/>
    <x v="1"/>
    <n v="3"/>
    <x v="0"/>
    <n v="2"/>
    <n v="1"/>
    <x v="0"/>
    <s v="Tim Delaney"/>
    <x v="15"/>
    <x v="1"/>
    <x v="0"/>
    <n v="3"/>
    <n v="0"/>
    <n v="0"/>
    <n v="0"/>
    <x v="1"/>
    <x v="1"/>
    <x v="1"/>
    <x v="1"/>
    <x v="1"/>
    <n v="33"/>
    <n v="3"/>
    <n v="2"/>
    <x v="0"/>
    <x v="1"/>
    <x v="1"/>
    <n v="30"/>
    <n v="0"/>
    <n v="10"/>
    <m/>
    <n v="10"/>
    <n v="10"/>
    <n v="10"/>
    <n v="0"/>
    <n v="0"/>
    <x v="0"/>
  </r>
  <r>
    <x v="1"/>
    <x v="1"/>
    <x v="1"/>
    <x v="1"/>
    <x v="1"/>
    <n v="8"/>
    <x v="1"/>
    <n v="13"/>
    <s v="AKI"/>
    <x v="1"/>
    <x v="1"/>
    <x v="1"/>
    <x v="1"/>
    <x v="1"/>
    <n v="61.32"/>
    <n v="5"/>
    <x v="3"/>
    <n v="40"/>
    <x v="1"/>
    <n v="0"/>
    <s v="both"/>
    <n v="0.33333333333333331"/>
    <n v="0.5"/>
    <n v="1"/>
    <n v="0.6"/>
    <n v="30"/>
    <n v="44.2"/>
    <n v="37"/>
    <n v="7.2"/>
    <x v="0"/>
    <n v="0"/>
    <n v="5"/>
    <n v="118"/>
    <n v="120"/>
    <n v="179"/>
    <n v="36927"/>
    <n v="8"/>
    <n v="0"/>
    <s v="02-05-01"/>
    <n v="34"/>
    <n v="12"/>
    <x v="1"/>
    <x v="1"/>
    <n v="3"/>
    <x v="0"/>
    <n v="2"/>
    <n v="1"/>
    <x v="0"/>
    <s v="Tim Delaney"/>
    <x v="1"/>
    <x v="2"/>
    <x v="0"/>
    <n v="3"/>
    <n v="0"/>
    <n v="5"/>
    <n v="10"/>
    <x v="1"/>
    <x v="1"/>
    <x v="1"/>
    <x v="1"/>
    <x v="1"/>
    <n v="12"/>
    <n v="12"/>
    <n v="2"/>
    <x v="0"/>
    <x v="2"/>
    <x v="1"/>
    <n v="0"/>
    <n v="30"/>
    <n v="20"/>
    <m/>
    <n v="20"/>
    <n v="30"/>
    <n v="55"/>
    <n v="0"/>
    <n v="0"/>
    <x v="0"/>
  </r>
  <r>
    <x v="2"/>
    <x v="16"/>
    <x v="15"/>
    <x v="16"/>
    <x v="2"/>
    <n v="17"/>
    <x v="3"/>
    <n v="9"/>
    <s v="AKI"/>
    <x v="8"/>
    <x v="8"/>
    <x v="8"/>
    <x v="8"/>
    <x v="11"/>
    <n v="73.953846153846158"/>
    <n v="24"/>
    <x v="6"/>
    <n v="0"/>
    <x v="5"/>
    <n v="3"/>
    <s v="both"/>
    <n v="0.66666666666666663"/>
    <n v="0.76923076923076927"/>
    <n v="1"/>
    <n v="0.2"/>
    <n v="10"/>
    <n v="46"/>
    <n v="42"/>
    <n v="4"/>
    <x v="11"/>
    <n v="0"/>
    <n v="6"/>
    <n v="42"/>
    <n v="60"/>
    <n v="91"/>
    <n v="36589"/>
    <n v="8"/>
    <n v="0"/>
    <s v="03-04-00"/>
    <n v="33"/>
    <s v="DNP"/>
    <x v="1"/>
    <x v="1"/>
    <n v="3"/>
    <x v="0"/>
    <n v="2"/>
    <n v="1"/>
    <x v="0"/>
    <s v="Tim Delaney"/>
    <x v="16"/>
    <x v="6"/>
    <x v="0"/>
    <n v="3"/>
    <n v="0"/>
    <n v="12"/>
    <n v="6"/>
    <x v="0"/>
    <x v="0"/>
    <x v="0"/>
    <x v="0"/>
    <x v="0"/>
    <n v="30"/>
    <n v="9"/>
    <n v="2"/>
    <x v="0"/>
    <x v="1"/>
    <x v="2"/>
    <n v="20"/>
    <n v="0"/>
    <n v="0"/>
    <m/>
    <n v="0"/>
    <n v="10"/>
    <n v="20"/>
    <n v="0"/>
    <n v="0"/>
    <x v="0"/>
  </r>
  <r>
    <x v="14"/>
    <x v="17"/>
    <x v="16"/>
    <x v="17"/>
    <x v="14"/>
    <n v="21"/>
    <x v="11"/>
    <n v="11"/>
    <s v="AKI"/>
    <x v="12"/>
    <x v="12"/>
    <x v="12"/>
    <x v="12"/>
    <x v="12"/>
    <n v="111.66666666666666"/>
    <n v="54"/>
    <x v="7"/>
    <n v="20"/>
    <x v="0"/>
    <n v="5"/>
    <s v="offensive"/>
    <n v="1"/>
    <n v="0.77777777777777779"/>
    <n v="1"/>
    <n v="0"/>
    <n v="10"/>
    <n v="49"/>
    <n v="49"/>
    <n v="0"/>
    <x v="12"/>
    <n v="0"/>
    <n v="11"/>
    <n v="148"/>
    <n v="100"/>
    <n v="202"/>
    <n v="37014"/>
    <n v="9"/>
    <n v="0"/>
    <s v="05-03-01"/>
    <n v="10"/>
    <n v="11"/>
    <x v="1"/>
    <x v="1"/>
    <n v="3"/>
    <x v="0"/>
    <n v="2"/>
    <n v="1"/>
    <x v="0"/>
    <s v="Tim Delaney"/>
    <x v="17"/>
    <x v="5"/>
    <x v="0"/>
    <n v="3"/>
    <n v="0"/>
    <n v="18"/>
    <n v="0"/>
    <x v="1"/>
    <x v="1"/>
    <x v="0"/>
    <x v="0"/>
    <x v="1"/>
    <n v="21"/>
    <n v="6"/>
    <n v="2"/>
    <x v="0"/>
    <x v="1"/>
    <x v="2"/>
    <n v="0"/>
    <n v="0"/>
    <n v="10"/>
    <m/>
    <n v="10"/>
    <n v="10"/>
    <n v="20"/>
    <n v="0"/>
    <n v="0"/>
    <x v="0"/>
  </r>
  <r>
    <x v="2"/>
    <x v="18"/>
    <x v="17"/>
    <x v="18"/>
    <x v="2"/>
    <n v="15"/>
    <x v="12"/>
    <n v="25"/>
    <s v="AI"/>
    <x v="13"/>
    <x v="13"/>
    <x v="13"/>
    <x v="13"/>
    <x v="2"/>
    <n v="99.7"/>
    <n v="0"/>
    <x v="2"/>
    <n v="20"/>
    <x v="6"/>
    <n v="0"/>
    <s v="both"/>
    <n v="0"/>
    <n v="0.91666666666666663"/>
    <n v="1"/>
    <n v="0.8"/>
    <n v="10"/>
    <n v="67"/>
    <n v="43"/>
    <n v="24"/>
    <x v="13"/>
    <n v="0"/>
    <n v="2"/>
    <n v="88"/>
    <n v="90"/>
    <n v="162"/>
    <n v="36533"/>
    <n v="9"/>
    <n v="0"/>
    <s v="01-08-00"/>
    <n v="40"/>
    <s v="DNP"/>
    <x v="1"/>
    <x v="1"/>
    <n v="3"/>
    <x v="0"/>
    <n v="2"/>
    <n v="1"/>
    <x v="0"/>
    <s v="Tim Delaney"/>
    <x v="18"/>
    <x v="0"/>
    <x v="0"/>
    <n v="3"/>
    <n v="0"/>
    <n v="0"/>
    <n v="0"/>
    <x v="1"/>
    <x v="0"/>
    <x v="1"/>
    <x v="0"/>
    <x v="1"/>
    <n v="33"/>
    <n v="3"/>
    <n v="2"/>
    <x v="0"/>
    <x v="3"/>
    <x v="1"/>
    <n v="30"/>
    <n v="0"/>
    <n v="10"/>
    <m/>
    <n v="10"/>
    <n v="10"/>
    <n v="10"/>
    <n v="0"/>
    <n v="0"/>
    <x v="0"/>
  </r>
  <r>
    <x v="15"/>
    <x v="19"/>
    <x v="18"/>
    <x v="19"/>
    <x v="15"/>
    <n v="11"/>
    <x v="2"/>
    <n v="25"/>
    <s v="AKI"/>
    <x v="14"/>
    <x v="14"/>
    <x v="14"/>
    <x v="14"/>
    <x v="1"/>
    <n v="80"/>
    <n v="5"/>
    <x v="3"/>
    <n v="60"/>
    <x v="0"/>
    <n v="3"/>
    <s v="both"/>
    <n v="0.33333333333333331"/>
    <n v="0.5"/>
    <n v="1"/>
    <n v="0"/>
    <n v="30"/>
    <n v="47"/>
    <n v="47"/>
    <n v="0"/>
    <x v="14"/>
    <n v="0"/>
    <n v="4"/>
    <n v="94"/>
    <n v="70"/>
    <n v="162"/>
    <n v="36562"/>
    <n v="8"/>
    <n v="0"/>
    <s v="02-06-00"/>
    <n v="36"/>
    <n v="13"/>
    <x v="1"/>
    <x v="1"/>
    <n v="3"/>
    <x v="0"/>
    <n v="2"/>
    <n v="1"/>
    <x v="0"/>
    <s v="Tim Delaney"/>
    <x v="19"/>
    <x v="1"/>
    <x v="0"/>
    <n v="3"/>
    <n v="0"/>
    <n v="5"/>
    <n v="10"/>
    <x v="0"/>
    <x v="0"/>
    <x v="0"/>
    <x v="0"/>
    <x v="0"/>
    <n v="12"/>
    <n v="12"/>
    <n v="2"/>
    <x v="0"/>
    <x v="0"/>
    <x v="0"/>
    <n v="0"/>
    <n v="30"/>
    <n v="30"/>
    <m/>
    <n v="30"/>
    <n v="30"/>
    <n v="55"/>
    <n v="0"/>
    <n v="0"/>
    <x v="0"/>
  </r>
  <r>
    <x v="2"/>
    <x v="20"/>
    <x v="14"/>
    <x v="20"/>
    <x v="13"/>
    <n v="28"/>
    <x v="3"/>
    <n v="25"/>
    <s v="AID"/>
    <x v="1"/>
    <x v="1"/>
    <x v="1"/>
    <x v="1"/>
    <x v="2"/>
    <n v="95.15384615384616"/>
    <n v="24"/>
    <x v="6"/>
    <n v="20"/>
    <x v="0"/>
    <n v="5"/>
    <s v="both"/>
    <n v="0.66666666666666663"/>
    <n v="0.76923076923076927"/>
    <n v="1"/>
    <n v="0"/>
    <n v="10"/>
    <n v="52"/>
    <n v="52"/>
    <n v="0"/>
    <x v="15"/>
    <n v="0"/>
    <n v="10"/>
    <n v="64"/>
    <n v="70"/>
    <n v="87"/>
    <n v="36649"/>
    <n v="8"/>
    <n v="0"/>
    <s v="05-03-00"/>
    <n v="16"/>
    <s v="DNP"/>
    <x v="1"/>
    <x v="1"/>
    <n v="3"/>
    <x v="0"/>
    <n v="2"/>
    <n v="1"/>
    <x v="0"/>
    <s v="Tim Delaney"/>
    <x v="20"/>
    <x v="2"/>
    <x v="0"/>
    <n v="3"/>
    <n v="0"/>
    <n v="12"/>
    <n v="6"/>
    <x v="1"/>
    <x v="1"/>
    <x v="0"/>
    <x v="0"/>
    <x v="1"/>
    <n v="30"/>
    <n v="9"/>
    <n v="2"/>
    <x v="0"/>
    <x v="0"/>
    <x v="0"/>
    <n v="20"/>
    <n v="0"/>
    <n v="10"/>
    <m/>
    <n v="10"/>
    <n v="10"/>
    <n v="20"/>
    <n v="0"/>
    <n v="0"/>
    <x v="0"/>
  </r>
  <r>
    <x v="16"/>
    <x v="21"/>
    <x v="19"/>
    <x v="21"/>
    <x v="16"/>
    <n v="22"/>
    <x v="6"/>
    <n v="25"/>
    <s v="AK"/>
    <x v="9"/>
    <x v="9"/>
    <x v="9"/>
    <x v="9"/>
    <x v="2"/>
    <n v="109.66666666666666"/>
    <n v="54"/>
    <x v="7"/>
    <n v="20"/>
    <x v="0"/>
    <n v="3"/>
    <s v="offensive"/>
    <n v="1"/>
    <n v="0.77777777777777779"/>
    <n v="1"/>
    <n v="0"/>
    <n v="10"/>
    <n v="49"/>
    <n v="49"/>
    <n v="0"/>
    <x v="16"/>
    <n v="0"/>
    <n v="10"/>
    <n v="102"/>
    <n v="190"/>
    <n v="152"/>
    <n v="36650"/>
    <n v="9"/>
    <n v="0"/>
    <s v="05-04-00"/>
    <n v="13"/>
    <n v="17"/>
    <x v="1"/>
    <x v="1"/>
    <n v="3"/>
    <x v="0"/>
    <n v="2"/>
    <n v="1"/>
    <x v="0"/>
    <s v="Tim Delaney"/>
    <x v="21"/>
    <x v="0"/>
    <x v="0"/>
    <n v="3"/>
    <n v="0"/>
    <n v="18"/>
    <n v="0"/>
    <x v="0"/>
    <x v="0"/>
    <x v="0"/>
    <x v="0"/>
    <x v="0"/>
    <n v="21"/>
    <n v="6"/>
    <n v="2"/>
    <x v="0"/>
    <x v="0"/>
    <x v="0"/>
    <n v="0"/>
    <n v="0"/>
    <n v="10"/>
    <m/>
    <n v="10"/>
    <n v="10"/>
    <n v="20"/>
    <n v="0"/>
    <n v="0"/>
    <x v="0"/>
  </r>
  <r>
    <x v="17"/>
    <x v="22"/>
    <x v="20"/>
    <x v="22"/>
    <x v="17"/>
    <n v="28"/>
    <x v="6"/>
    <n v="17"/>
    <s v="AK"/>
    <x v="15"/>
    <x v="15"/>
    <x v="15"/>
    <x v="15"/>
    <x v="13"/>
    <n v="85.5"/>
    <n v="0"/>
    <x v="2"/>
    <n v="20"/>
    <x v="0"/>
    <n v="5"/>
    <s v="both"/>
    <n v="0"/>
    <n v="0.91666666666666663"/>
    <n v="1"/>
    <n v="0"/>
    <n v="10"/>
    <n v="43"/>
    <n v="43"/>
    <n v="0"/>
    <x v="17"/>
    <n v="0"/>
    <n v="8"/>
    <n v="82"/>
    <n v="180"/>
    <n v="228"/>
    <n v="36621"/>
    <n v="9"/>
    <n v="0"/>
    <s v="04-05-00"/>
    <n v="22"/>
    <n v="25"/>
    <x v="1"/>
    <x v="1"/>
    <n v="3"/>
    <x v="0"/>
    <n v="2"/>
    <n v="1"/>
    <x v="0"/>
    <s v="Tim Delaney"/>
    <x v="22"/>
    <x v="3"/>
    <x v="0"/>
    <n v="3"/>
    <n v="0"/>
    <n v="0"/>
    <n v="0"/>
    <x v="1"/>
    <x v="1"/>
    <x v="0"/>
    <x v="0"/>
    <x v="1"/>
    <n v="33"/>
    <n v="3"/>
    <n v="2"/>
    <x v="0"/>
    <x v="0"/>
    <x v="0"/>
    <n v="30"/>
    <n v="0"/>
    <n v="10"/>
    <m/>
    <n v="10"/>
    <n v="10"/>
    <n v="10"/>
    <n v="0"/>
    <n v="0"/>
    <x v="0"/>
  </r>
  <r>
    <x v="2"/>
    <x v="23"/>
    <x v="21"/>
    <x v="23"/>
    <x v="2"/>
    <n v="28"/>
    <x v="3"/>
    <n v="20"/>
    <s v="AI"/>
    <x v="2"/>
    <x v="2"/>
    <x v="2"/>
    <x v="2"/>
    <x v="2"/>
    <n v="77"/>
    <n v="5"/>
    <x v="3"/>
    <n v="60"/>
    <x v="0"/>
    <n v="0"/>
    <s v="both"/>
    <n v="0.33333333333333331"/>
    <n v="0.5"/>
    <n v="1"/>
    <n v="0"/>
    <n v="30"/>
    <n v="47"/>
    <n v="47"/>
    <n v="0"/>
    <x v="18"/>
    <n v="0"/>
    <n v="3"/>
    <n v="78"/>
    <n v="90"/>
    <n v="101"/>
    <n v="36898"/>
    <n v="9"/>
    <n v="0"/>
    <s v="01-07-01"/>
    <n v="38"/>
    <s v="DNP"/>
    <x v="1"/>
    <x v="1"/>
    <n v="3"/>
    <x v="0"/>
    <n v="2"/>
    <n v="1"/>
    <x v="0"/>
    <s v="Tim Delaney"/>
    <x v="23"/>
    <x v="1"/>
    <x v="0"/>
    <n v="3"/>
    <n v="0"/>
    <n v="5"/>
    <n v="10"/>
    <x v="1"/>
    <x v="0"/>
    <x v="1"/>
    <x v="0"/>
    <x v="1"/>
    <n v="12"/>
    <n v="12"/>
    <n v="2"/>
    <x v="0"/>
    <x v="0"/>
    <x v="0"/>
    <n v="0"/>
    <n v="30"/>
    <n v="30"/>
    <m/>
    <n v="30"/>
    <n v="30"/>
    <n v="55"/>
    <n v="0"/>
    <n v="0"/>
    <x v="0"/>
  </r>
  <r>
    <x v="18"/>
    <x v="24"/>
    <x v="22"/>
    <x v="24"/>
    <x v="18"/>
    <n v="27"/>
    <x v="13"/>
    <n v="19"/>
    <s v="AI"/>
    <x v="7"/>
    <x v="7"/>
    <x v="7"/>
    <x v="7"/>
    <x v="10"/>
    <n v="90.953846153846158"/>
    <n v="24"/>
    <x v="6"/>
    <n v="20"/>
    <x v="5"/>
    <n v="0"/>
    <s v="both"/>
    <n v="0.66666666666666663"/>
    <n v="0.76923076923076927"/>
    <n v="1"/>
    <n v="0.2"/>
    <n v="10"/>
    <n v="56"/>
    <n v="52"/>
    <n v="4"/>
    <x v="19"/>
    <n v="0"/>
    <n v="10"/>
    <n v="158"/>
    <n v="100"/>
    <n v="161"/>
    <n v="36649"/>
    <n v="8"/>
    <n v="0"/>
    <s v="05-03-00"/>
    <n v="12"/>
    <n v="16"/>
    <x v="1"/>
    <x v="1"/>
    <n v="3"/>
    <x v="0"/>
    <n v="2"/>
    <n v="1"/>
    <x v="0"/>
    <s v="Tim Delaney"/>
    <x v="24"/>
    <x v="2"/>
    <x v="0"/>
    <n v="3"/>
    <n v="0"/>
    <n v="12"/>
    <n v="6"/>
    <x v="1"/>
    <x v="1"/>
    <x v="1"/>
    <x v="1"/>
    <x v="1"/>
    <n v="30"/>
    <n v="9"/>
    <n v="2"/>
    <x v="0"/>
    <x v="1"/>
    <x v="1"/>
    <n v="20"/>
    <n v="0"/>
    <n v="10"/>
    <m/>
    <n v="10"/>
    <n v="10"/>
    <n v="20"/>
    <n v="0"/>
    <n v="0"/>
    <x v="0"/>
  </r>
  <r>
    <x v="2"/>
    <x v="25"/>
    <x v="23"/>
    <x v="25"/>
    <x v="2"/>
    <n v="24"/>
    <x v="3"/>
    <n v="10"/>
    <s v="AKI"/>
    <x v="16"/>
    <x v="16"/>
    <x v="16"/>
    <x v="16"/>
    <x v="2"/>
    <n v="86.666666666666657"/>
    <n v="54"/>
    <x v="7"/>
    <n v="0"/>
    <x v="0"/>
    <n v="0"/>
    <s v="offensive"/>
    <n v="1"/>
    <n v="0.77777777777777779"/>
    <n v="1"/>
    <n v="0"/>
    <n v="10"/>
    <n v="39"/>
    <n v="39"/>
    <n v="0"/>
    <x v="20"/>
    <n v="0"/>
    <n v="6"/>
    <n v="94"/>
    <n v="70"/>
    <n v="182"/>
    <n v="36590"/>
    <n v="8"/>
    <n v="0"/>
    <s v="03-05-00"/>
    <n v="29"/>
    <s v="DNP"/>
    <x v="1"/>
    <x v="1"/>
    <n v="3"/>
    <x v="0"/>
    <n v="2"/>
    <n v="1"/>
    <x v="0"/>
    <s v="Tim Delaney"/>
    <x v="25"/>
    <x v="4"/>
    <x v="0"/>
    <n v="3"/>
    <n v="0"/>
    <n v="18"/>
    <n v="0"/>
    <x v="1"/>
    <x v="1"/>
    <x v="1"/>
    <x v="1"/>
    <x v="1"/>
    <n v="21"/>
    <n v="6"/>
    <n v="2"/>
    <x v="0"/>
    <x v="2"/>
    <x v="1"/>
    <n v="0"/>
    <n v="0"/>
    <n v="0"/>
    <m/>
    <n v="0"/>
    <n v="10"/>
    <n v="20"/>
    <n v="0"/>
    <n v="0"/>
    <x v="0"/>
  </r>
  <r>
    <x v="19"/>
    <x v="26"/>
    <x v="24"/>
    <x v="26"/>
    <x v="19"/>
    <n v="10"/>
    <x v="3"/>
    <n v="16"/>
    <s v="AK"/>
    <x v="17"/>
    <x v="17"/>
    <x v="17"/>
    <x v="17"/>
    <x v="2"/>
    <n v="64.7"/>
    <n v="0"/>
    <x v="2"/>
    <n v="0"/>
    <x v="4"/>
    <n v="3"/>
    <s v="both"/>
    <n v="0"/>
    <n v="0.91666666666666663"/>
    <n v="1"/>
    <n v="0.2"/>
    <n v="10"/>
    <n v="39"/>
    <n v="33"/>
    <n v="6"/>
    <x v="21"/>
    <n v="0"/>
    <n v="7"/>
    <n v="128"/>
    <n v="40"/>
    <n v="148"/>
    <n v="36954"/>
    <n v="8"/>
    <n v="0"/>
    <s v="03-04-01"/>
    <n v="26"/>
    <n v="6"/>
    <x v="1"/>
    <x v="1"/>
    <n v="3"/>
    <x v="0"/>
    <n v="2"/>
    <n v="1"/>
    <x v="0"/>
    <s v="Tim Delaney"/>
    <x v="26"/>
    <x v="0"/>
    <x v="0"/>
    <n v="3"/>
    <n v="0"/>
    <n v="0"/>
    <n v="0"/>
    <x v="0"/>
    <x v="0"/>
    <x v="0"/>
    <x v="0"/>
    <x v="0"/>
    <n v="33"/>
    <n v="3"/>
    <n v="2"/>
    <x v="0"/>
    <x v="1"/>
    <x v="2"/>
    <n v="30"/>
    <n v="0"/>
    <n v="0"/>
    <m/>
    <n v="0"/>
    <n v="10"/>
    <n v="10"/>
    <n v="0"/>
    <n v="0"/>
    <x v="0"/>
  </r>
  <r>
    <x v="20"/>
    <x v="27"/>
    <x v="25"/>
    <x v="27"/>
    <x v="20"/>
    <n v="28"/>
    <x v="14"/>
    <n v="25"/>
    <s v="AK"/>
    <x v="10"/>
    <x v="10"/>
    <x v="10"/>
    <x v="10"/>
    <x v="14"/>
    <n v="91.72"/>
    <n v="5"/>
    <x v="3"/>
    <n v="60"/>
    <x v="7"/>
    <n v="5"/>
    <s v="both"/>
    <n v="0.33333333333333331"/>
    <n v="0.5"/>
    <n v="1"/>
    <n v="0.9"/>
    <n v="30"/>
    <n v="57.8"/>
    <n v="47"/>
    <n v="10.799999999999999"/>
    <x v="22"/>
    <n v="0"/>
    <n v="8"/>
    <n v="54"/>
    <n v="230"/>
    <n v="62"/>
    <n v="36620"/>
    <n v="8"/>
    <n v="0"/>
    <s v="04-04-00"/>
    <n v="25"/>
    <n v="22"/>
    <x v="0"/>
    <x v="6"/>
    <n v="3"/>
    <x v="0"/>
    <n v="2"/>
    <n v="1"/>
    <x v="0"/>
    <s v="Tim Delaney"/>
    <x v="27"/>
    <x v="3"/>
    <x v="0"/>
    <n v="3"/>
    <n v="0"/>
    <n v="5"/>
    <n v="10"/>
    <x v="1"/>
    <x v="1"/>
    <x v="0"/>
    <x v="0"/>
    <x v="1"/>
    <n v="12"/>
    <n v="12"/>
    <n v="2"/>
    <x v="0"/>
    <x v="1"/>
    <x v="2"/>
    <n v="0"/>
    <n v="30"/>
    <n v="30"/>
    <m/>
    <n v="30"/>
    <n v="30"/>
    <n v="55"/>
    <n v="0"/>
    <n v="0"/>
    <x v="0"/>
  </r>
  <r>
    <x v="21"/>
    <x v="28"/>
    <x v="21"/>
    <x v="19"/>
    <x v="2"/>
    <n v="28"/>
    <x v="3"/>
    <n v="2"/>
    <s v="A"/>
    <x v="2"/>
    <x v="2"/>
    <x v="2"/>
    <x v="2"/>
    <x v="2"/>
    <n v="102.95384615384616"/>
    <n v="24"/>
    <x v="6"/>
    <n v="20"/>
    <x v="8"/>
    <n v="0"/>
    <s v="both"/>
    <n v="0.66666666666666663"/>
    <n v="0.76923076923076927"/>
    <n v="1"/>
    <n v="0.8"/>
    <n v="10"/>
    <n v="68"/>
    <n v="52"/>
    <n v="16"/>
    <x v="23"/>
    <n v="0"/>
    <n v="8"/>
    <n v="58"/>
    <n v="30"/>
    <n v="138"/>
    <n v="36620"/>
    <n v="8"/>
    <n v="0"/>
    <s v="04-04-00"/>
    <n v="24"/>
    <n v="24"/>
    <x v="1"/>
    <x v="1"/>
    <n v="3"/>
    <x v="0"/>
    <n v="2"/>
    <n v="1"/>
    <x v="0"/>
    <s v="Tim Delaney"/>
    <x v="28"/>
    <x v="1"/>
    <x v="0"/>
    <n v="3"/>
    <n v="0"/>
    <n v="12"/>
    <n v="6"/>
    <x v="1"/>
    <x v="1"/>
    <x v="1"/>
    <x v="1"/>
    <x v="1"/>
    <n v="30"/>
    <n v="9"/>
    <n v="2"/>
    <x v="0"/>
    <x v="3"/>
    <x v="1"/>
    <n v="20"/>
    <n v="0"/>
    <n v="10"/>
    <m/>
    <n v="10"/>
    <n v="10"/>
    <n v="20"/>
    <n v="0"/>
    <n v="0"/>
    <x v="0"/>
  </r>
  <r>
    <x v="2"/>
    <x v="29"/>
    <x v="21"/>
    <x v="28"/>
    <x v="2"/>
    <n v="28"/>
    <x v="3"/>
    <n v="25"/>
    <s v="AKD"/>
    <x v="2"/>
    <x v="2"/>
    <x v="2"/>
    <x v="2"/>
    <x v="2"/>
    <n v="106.66666666666666"/>
    <n v="54"/>
    <x v="7"/>
    <n v="20"/>
    <x v="0"/>
    <n v="0"/>
    <s v="offensive"/>
    <n v="1"/>
    <n v="0.77777777777777779"/>
    <n v="1"/>
    <n v="0"/>
    <n v="10"/>
    <n v="49"/>
    <n v="49"/>
    <n v="0"/>
    <x v="24"/>
    <n v="0"/>
    <n v="10"/>
    <n v="78"/>
    <n v="90"/>
    <n v="178"/>
    <n v="36650"/>
    <n v="9"/>
    <n v="0"/>
    <s v="05-04-00"/>
    <n v="14"/>
    <s v="DNP"/>
    <x v="1"/>
    <x v="1"/>
    <n v="3"/>
    <x v="0"/>
    <n v="2"/>
    <n v="1"/>
    <x v="0"/>
    <s v="Tim Delaney"/>
    <x v="29"/>
    <x v="2"/>
    <x v="0"/>
    <n v="3"/>
    <n v="0"/>
    <n v="18"/>
    <n v="0"/>
    <x v="1"/>
    <x v="1"/>
    <x v="1"/>
    <x v="1"/>
    <x v="1"/>
    <n v="21"/>
    <n v="6"/>
    <n v="2"/>
    <x v="0"/>
    <x v="0"/>
    <x v="0"/>
    <n v="0"/>
    <n v="0"/>
    <n v="10"/>
    <m/>
    <n v="10"/>
    <n v="10"/>
    <n v="20"/>
    <n v="0"/>
    <n v="0"/>
    <x v="0"/>
  </r>
  <r>
    <x v="22"/>
    <x v="30"/>
    <x v="26"/>
    <x v="29"/>
    <x v="21"/>
    <n v="7"/>
    <x v="15"/>
    <n v="25"/>
    <s v="AKI"/>
    <x v="18"/>
    <x v="18"/>
    <x v="18"/>
    <x v="18"/>
    <x v="10"/>
    <n v="83.5"/>
    <n v="0"/>
    <x v="2"/>
    <n v="20"/>
    <x v="0"/>
    <n v="3"/>
    <s v="both"/>
    <n v="0"/>
    <n v="0.91666666666666663"/>
    <n v="1"/>
    <n v="0"/>
    <n v="10"/>
    <n v="43"/>
    <n v="43"/>
    <n v="0"/>
    <x v="25"/>
    <n v="0"/>
    <n v="8"/>
    <n v="160"/>
    <n v="140"/>
    <n v="237"/>
    <n v="36620"/>
    <n v="8"/>
    <n v="0"/>
    <s v="04-04-00"/>
    <n v="18"/>
    <n v="5"/>
    <x v="1"/>
    <x v="1"/>
    <n v="3"/>
    <x v="0"/>
    <n v="2"/>
    <n v="1"/>
    <x v="0"/>
    <s v="Tim Delaney"/>
    <x v="30"/>
    <x v="6"/>
    <x v="0"/>
    <n v="3"/>
    <n v="0"/>
    <n v="0"/>
    <n v="0"/>
    <x v="0"/>
    <x v="0"/>
    <x v="0"/>
    <x v="0"/>
    <x v="0"/>
    <n v="33"/>
    <n v="3"/>
    <n v="2"/>
    <x v="0"/>
    <x v="0"/>
    <x v="0"/>
    <n v="30"/>
    <n v="0"/>
    <n v="10"/>
    <m/>
    <n v="10"/>
    <n v="10"/>
    <n v="10"/>
    <n v="0"/>
    <n v="0"/>
    <x v="0"/>
  </r>
  <r>
    <x v="23"/>
    <x v="31"/>
    <x v="21"/>
    <x v="30"/>
    <x v="2"/>
    <n v="28"/>
    <x v="8"/>
    <n v="7"/>
    <s v="AKI"/>
    <x v="19"/>
    <x v="19"/>
    <x v="19"/>
    <x v="19"/>
    <x v="15"/>
    <n v="82"/>
    <n v="5"/>
    <x v="3"/>
    <n v="60"/>
    <x v="0"/>
    <n v="5"/>
    <s v="both"/>
    <n v="0.33333333333333331"/>
    <n v="0.5"/>
    <n v="1"/>
    <n v="0"/>
    <n v="30"/>
    <n v="47"/>
    <n v="47"/>
    <n v="0"/>
    <x v="26"/>
    <n v="0"/>
    <n v="10"/>
    <n v="72"/>
    <n v="80"/>
    <n v="107"/>
    <n v="36649"/>
    <n v="8"/>
    <n v="0"/>
    <s v="05-03-00"/>
    <n v="15"/>
    <n v="19"/>
    <x v="1"/>
    <x v="1"/>
    <n v="3"/>
    <x v="0"/>
    <n v="2"/>
    <n v="1"/>
    <x v="0"/>
    <s v="Tim Delaney"/>
    <x v="31"/>
    <x v="5"/>
    <x v="0"/>
    <n v="3"/>
    <n v="0"/>
    <n v="5"/>
    <n v="10"/>
    <x v="1"/>
    <x v="1"/>
    <x v="0"/>
    <x v="0"/>
    <x v="1"/>
    <n v="12"/>
    <n v="12"/>
    <n v="2"/>
    <x v="0"/>
    <x v="0"/>
    <x v="0"/>
    <n v="0"/>
    <n v="30"/>
    <n v="30"/>
    <m/>
    <n v="30"/>
    <n v="30"/>
    <n v="55"/>
    <n v="0"/>
    <n v="0"/>
    <x v="0"/>
  </r>
  <r>
    <x v="2"/>
    <x v="32"/>
    <x v="21"/>
    <x v="31"/>
    <x v="2"/>
    <n v="28"/>
    <x v="3"/>
    <n v="8"/>
    <s v="AKI"/>
    <x v="3"/>
    <x v="3"/>
    <x v="3"/>
    <x v="3"/>
    <x v="16"/>
    <n v="90.953846153846158"/>
    <n v="24"/>
    <x v="6"/>
    <n v="20"/>
    <x v="5"/>
    <n v="0"/>
    <s v="both"/>
    <n v="0.66666666666666663"/>
    <n v="0.76923076923076927"/>
    <n v="1"/>
    <n v="0.2"/>
    <n v="10"/>
    <n v="56"/>
    <n v="52"/>
    <n v="4"/>
    <x v="1"/>
    <n v="0"/>
    <n v="4"/>
    <n v="24"/>
    <n v="80"/>
    <n v="88"/>
    <n v="36562"/>
    <n v="8"/>
    <n v="0"/>
    <s v="02-06-00"/>
    <n v="37"/>
    <s v="DNP"/>
    <x v="1"/>
    <x v="1"/>
    <n v="3"/>
    <x v="0"/>
    <n v="2"/>
    <n v="1"/>
    <x v="0"/>
    <s v="Tim Delaney"/>
    <x v="32"/>
    <x v="0"/>
    <x v="0"/>
    <n v="3"/>
    <n v="0"/>
    <n v="12"/>
    <n v="6"/>
    <x v="1"/>
    <x v="0"/>
    <x v="1"/>
    <x v="0"/>
    <x v="1"/>
    <n v="30"/>
    <n v="9"/>
    <n v="2"/>
    <x v="0"/>
    <x v="1"/>
    <x v="1"/>
    <n v="20"/>
    <n v="0"/>
    <n v="10"/>
    <m/>
    <n v="10"/>
    <n v="10"/>
    <n v="20"/>
    <n v="0"/>
    <n v="0"/>
    <x v="0"/>
  </r>
  <r>
    <x v="2"/>
    <x v="33"/>
    <x v="21"/>
    <x v="32"/>
    <x v="2"/>
    <n v="28"/>
    <x v="3"/>
    <n v="14"/>
    <s v="AK"/>
    <x v="2"/>
    <x v="2"/>
    <x v="2"/>
    <x v="2"/>
    <x v="17"/>
    <n v="106.66666666666666"/>
    <n v="54"/>
    <x v="7"/>
    <n v="20"/>
    <x v="0"/>
    <n v="0"/>
    <s v="offensive"/>
    <n v="1"/>
    <n v="0.77777777777777779"/>
    <n v="1"/>
    <n v="0"/>
    <n v="10"/>
    <n v="49"/>
    <n v="49"/>
    <n v="0"/>
    <x v="1"/>
    <n v="0"/>
    <n v="6"/>
    <n v="84"/>
    <n v="90"/>
    <n v="144"/>
    <n v="36591"/>
    <n v="9"/>
    <n v="0"/>
    <s v="03-06-00"/>
    <n v="31"/>
    <s v="DNP"/>
    <x v="1"/>
    <x v="1"/>
    <n v="3"/>
    <x v="0"/>
    <n v="2"/>
    <n v="1"/>
    <x v="0"/>
    <s v="Tim Delaney"/>
    <x v="33"/>
    <x v="3"/>
    <x v="0"/>
    <n v="3"/>
    <n v="0"/>
    <n v="18"/>
    <n v="0"/>
    <x v="1"/>
    <x v="1"/>
    <x v="1"/>
    <x v="1"/>
    <x v="1"/>
    <n v="21"/>
    <n v="6"/>
    <n v="2"/>
    <x v="0"/>
    <x v="2"/>
    <x v="1"/>
    <n v="0"/>
    <n v="0"/>
    <n v="10"/>
    <m/>
    <n v="10"/>
    <n v="10"/>
    <n v="20"/>
    <n v="0"/>
    <n v="0"/>
    <x v="0"/>
  </r>
  <r>
    <x v="24"/>
    <x v="34"/>
    <x v="21"/>
    <x v="33"/>
    <x v="2"/>
    <n v="28"/>
    <x v="8"/>
    <n v="3"/>
    <s v="AK"/>
    <x v="20"/>
    <x v="20"/>
    <x v="20"/>
    <x v="20"/>
    <x v="2"/>
    <n v="84.7"/>
    <n v="0"/>
    <x v="2"/>
    <n v="20"/>
    <x v="4"/>
    <n v="3"/>
    <s v="both"/>
    <n v="0"/>
    <n v="0.91666666666666663"/>
    <n v="1"/>
    <n v="0.2"/>
    <n v="10"/>
    <n v="49"/>
    <n v="43"/>
    <n v="6"/>
    <x v="27"/>
    <n v="0"/>
    <n v="6"/>
    <n v="106"/>
    <n v="60"/>
    <n v="139"/>
    <n v="36591"/>
    <n v="9"/>
    <n v="0"/>
    <s v="03-06-00"/>
    <n v="28"/>
    <n v="26"/>
    <x v="1"/>
    <x v="1"/>
    <n v="3"/>
    <x v="0"/>
    <n v="2"/>
    <n v="1"/>
    <x v="0"/>
    <s v="Tim Delaney"/>
    <x v="34"/>
    <x v="1"/>
    <x v="0"/>
    <n v="3"/>
    <n v="0"/>
    <n v="0"/>
    <n v="0"/>
    <x v="0"/>
    <x v="0"/>
    <x v="0"/>
    <x v="0"/>
    <x v="0"/>
    <n v="33"/>
    <n v="3"/>
    <n v="2"/>
    <x v="0"/>
    <x v="1"/>
    <x v="2"/>
    <n v="30"/>
    <n v="0"/>
    <n v="10"/>
    <m/>
    <n v="10"/>
    <n v="10"/>
    <n v="10"/>
    <n v="0"/>
    <n v="0"/>
    <x v="0"/>
  </r>
  <r>
    <x v="25"/>
    <x v="35"/>
    <x v="27"/>
    <x v="34"/>
    <x v="22"/>
    <n v="23"/>
    <x v="3"/>
    <n v="25"/>
    <s v="AK"/>
    <x v="2"/>
    <x v="2"/>
    <x v="2"/>
    <x v="2"/>
    <x v="2"/>
    <n v="91.72"/>
    <n v="5"/>
    <x v="3"/>
    <n v="60"/>
    <x v="7"/>
    <n v="5"/>
    <s v="both"/>
    <n v="0.33333333333333331"/>
    <n v="0.5"/>
    <n v="1"/>
    <n v="0.9"/>
    <n v="30"/>
    <n v="57.8"/>
    <n v="47"/>
    <n v="10.799999999999999"/>
    <x v="28"/>
    <n v="1"/>
    <n v="12"/>
    <n v="144"/>
    <n v="120"/>
    <n v="169"/>
    <n v="36680"/>
    <n v="9"/>
    <n v="0"/>
    <s v="06-03-00"/>
    <n v="6"/>
    <n v="18"/>
    <x v="1"/>
    <x v="1"/>
    <n v="3"/>
    <x v="0"/>
    <n v="2"/>
    <n v="1"/>
    <x v="0"/>
    <s v="Tim Delaney"/>
    <x v="35"/>
    <x v="2"/>
    <x v="0"/>
    <n v="3"/>
    <n v="0"/>
    <n v="5"/>
    <n v="10"/>
    <x v="1"/>
    <x v="1"/>
    <x v="0"/>
    <x v="0"/>
    <x v="1"/>
    <n v="12"/>
    <n v="12"/>
    <n v="2"/>
    <x v="0"/>
    <x v="1"/>
    <x v="2"/>
    <n v="0"/>
    <n v="30"/>
    <n v="30"/>
    <m/>
    <n v="30"/>
    <n v="30"/>
    <n v="55"/>
    <n v="0"/>
    <n v="0"/>
    <x v="0"/>
  </r>
  <r>
    <x v="26"/>
    <x v="36"/>
    <x v="21"/>
    <x v="35"/>
    <x v="2"/>
    <n v="28"/>
    <x v="4"/>
    <n v="5"/>
    <s v="AKI"/>
    <x v="15"/>
    <x v="15"/>
    <x v="15"/>
    <x v="15"/>
    <x v="2"/>
    <n v="102.95384615384616"/>
    <n v="24"/>
    <x v="6"/>
    <n v="20"/>
    <x v="8"/>
    <n v="0"/>
    <s v="both"/>
    <n v="0.66666666666666663"/>
    <n v="0.76923076923076927"/>
    <n v="1"/>
    <n v="0.8"/>
    <n v="10"/>
    <n v="68"/>
    <n v="52"/>
    <n v="16"/>
    <x v="1"/>
    <n v="1"/>
    <n v="12"/>
    <n v="70"/>
    <n v="140"/>
    <n v="170"/>
    <n v="36679"/>
    <n v="8"/>
    <n v="0"/>
    <s v="06-02-00"/>
    <n v="9"/>
    <n v="20"/>
    <x v="1"/>
    <x v="1"/>
    <n v="3"/>
    <x v="0"/>
    <n v="2"/>
    <n v="1"/>
    <x v="0"/>
    <s v="Tim Delaney"/>
    <x v="36"/>
    <x v="6"/>
    <x v="0"/>
    <n v="3"/>
    <n v="0"/>
    <n v="12"/>
    <n v="6"/>
    <x v="1"/>
    <x v="0"/>
    <x v="1"/>
    <x v="0"/>
    <x v="1"/>
    <n v="30"/>
    <n v="9"/>
    <n v="2"/>
    <x v="0"/>
    <x v="3"/>
    <x v="1"/>
    <n v="20"/>
    <n v="0"/>
    <n v="10"/>
    <m/>
    <n v="10"/>
    <n v="10"/>
    <n v="20"/>
    <n v="0"/>
    <n v="0"/>
    <x v="0"/>
  </r>
  <r>
    <x v="2"/>
    <x v="2"/>
    <x v="2"/>
    <x v="2"/>
    <x v="2"/>
    <n v="26"/>
    <x v="2"/>
    <n v="25"/>
    <s v="A"/>
    <x v="2"/>
    <x v="2"/>
    <x v="2"/>
    <x v="2"/>
    <x v="2"/>
    <n v="106.66666666666666"/>
    <n v="54"/>
    <x v="7"/>
    <n v="20"/>
    <x v="0"/>
    <n v="0"/>
    <s v="offensive"/>
    <n v="1"/>
    <n v="0.77777777777777779"/>
    <n v="1"/>
    <n v="0"/>
    <n v="10"/>
    <n v="49"/>
    <n v="49"/>
    <n v="0"/>
    <x v="1"/>
    <n v="1"/>
    <n v="8"/>
    <n v="86"/>
    <n v="80"/>
    <n v="122"/>
    <n v="36621"/>
    <n v="9"/>
    <n v="0"/>
    <s v="04-05-00"/>
    <n v="21"/>
    <s v="DNP"/>
    <x v="1"/>
    <x v="1"/>
    <n v="3"/>
    <x v="0"/>
    <n v="2"/>
    <n v="1"/>
    <x v="0"/>
    <s v="Tim Delaney"/>
    <x v="2"/>
    <x v="5"/>
    <x v="0"/>
    <n v="3"/>
    <n v="0"/>
    <n v="18"/>
    <n v="0"/>
    <x v="1"/>
    <x v="1"/>
    <x v="1"/>
    <x v="1"/>
    <x v="1"/>
    <n v="21"/>
    <n v="6"/>
    <n v="2"/>
    <x v="0"/>
    <x v="0"/>
    <x v="0"/>
    <n v="0"/>
    <n v="0"/>
    <n v="10"/>
    <m/>
    <n v="10"/>
    <n v="10"/>
    <n v="20"/>
    <n v="0"/>
    <n v="0"/>
    <x v="0"/>
  </r>
  <r>
    <x v="2"/>
    <x v="37"/>
    <x v="21"/>
    <x v="36"/>
    <x v="2"/>
    <n v="28"/>
    <x v="3"/>
    <n v="6"/>
    <s v="AK"/>
    <x v="21"/>
    <x v="21"/>
    <x v="21"/>
    <x v="21"/>
    <x v="2"/>
    <n v="80.5"/>
    <n v="0"/>
    <x v="2"/>
    <n v="20"/>
    <x v="0"/>
    <n v="0"/>
    <s v="both"/>
    <n v="0"/>
    <n v="0.91666666666666663"/>
    <n v="1"/>
    <n v="0"/>
    <n v="10"/>
    <n v="43"/>
    <n v="43"/>
    <n v="0"/>
    <x v="24"/>
    <n v="1"/>
    <n v="8"/>
    <n v="82"/>
    <n v="80"/>
    <n v="145"/>
    <n v="36620"/>
    <n v="8"/>
    <n v="0"/>
    <s v="04-04-00"/>
    <n v="23"/>
    <s v="DNP"/>
    <x v="1"/>
    <x v="1"/>
    <n v="3"/>
    <x v="0"/>
    <n v="2"/>
    <n v="1"/>
    <x v="0"/>
    <s v="Tim Delaney"/>
    <x v="37"/>
    <x v="0"/>
    <x v="0"/>
    <n v="3"/>
    <n v="0"/>
    <n v="0"/>
    <n v="0"/>
    <x v="1"/>
    <x v="1"/>
    <x v="1"/>
    <x v="1"/>
    <x v="1"/>
    <n v="33"/>
    <n v="3"/>
    <n v="2"/>
    <x v="0"/>
    <x v="0"/>
    <x v="0"/>
    <n v="30"/>
    <n v="0"/>
    <n v="10"/>
    <m/>
    <n v="10"/>
    <n v="10"/>
    <n v="10"/>
    <n v="0"/>
    <n v="0"/>
    <x v="0"/>
  </r>
  <r>
    <x v="2"/>
    <x v="38"/>
    <x v="14"/>
    <x v="37"/>
    <x v="2"/>
    <n v="17"/>
    <x v="3"/>
    <n v="23"/>
    <s v="AKD"/>
    <x v="13"/>
    <x v="13"/>
    <x v="13"/>
    <x v="13"/>
    <x v="18"/>
    <n v="40"/>
    <n v="5"/>
    <x v="3"/>
    <n v="20"/>
    <x v="0"/>
    <n v="3"/>
    <s v="both"/>
    <n v="0.33333333333333331"/>
    <n v="0.5"/>
    <n v="1"/>
    <n v="0"/>
    <n v="30"/>
    <n v="27"/>
    <n v="27"/>
    <n v="0"/>
    <x v="29"/>
    <n v="1"/>
    <n v="3"/>
    <n v="74"/>
    <n v="50"/>
    <n v="162"/>
    <n v="36897"/>
    <n v="8"/>
    <n v="0"/>
    <s v="01-06-01"/>
    <n v="39"/>
    <s v="DNP"/>
    <x v="1"/>
    <x v="1"/>
    <n v="3"/>
    <x v="0"/>
    <n v="2"/>
    <n v="1"/>
    <x v="0"/>
    <s v="Tim Delaney"/>
    <x v="38"/>
    <x v="3"/>
    <x v="0"/>
    <n v="3"/>
    <n v="0"/>
    <n v="5"/>
    <n v="10"/>
    <x v="0"/>
    <x v="0"/>
    <x v="0"/>
    <x v="0"/>
    <x v="0"/>
    <n v="12"/>
    <n v="12"/>
    <n v="2"/>
    <x v="0"/>
    <x v="0"/>
    <x v="0"/>
    <n v="0"/>
    <n v="30"/>
    <n v="10"/>
    <m/>
    <n v="10"/>
    <n v="30"/>
    <n v="55"/>
    <n v="0"/>
    <n v="0"/>
    <x v="0"/>
  </r>
  <r>
    <x v="27"/>
    <x v="39"/>
    <x v="28"/>
    <x v="38"/>
    <x v="23"/>
    <n v="2"/>
    <x v="10"/>
    <n v="15"/>
    <s v="AK"/>
    <x v="2"/>
    <x v="2"/>
    <x v="2"/>
    <x v="2"/>
    <x v="19"/>
    <n v="95.15384615384616"/>
    <n v="24"/>
    <x v="6"/>
    <n v="20"/>
    <x v="0"/>
    <n v="5"/>
    <s v="both"/>
    <n v="0.66666666666666663"/>
    <n v="0.76923076923076927"/>
    <n v="1"/>
    <n v="0"/>
    <n v="10"/>
    <n v="52"/>
    <n v="52"/>
    <n v="0"/>
    <x v="30"/>
    <n v="0"/>
    <n v="18"/>
    <n v="240"/>
    <n v="140"/>
    <n v="461"/>
    <s v="9-0-0"/>
    <n v="9"/>
    <n v="0"/>
    <s v="9-0-0"/>
    <n v="1"/>
    <n v="1"/>
    <x v="1"/>
    <x v="1"/>
    <n v="3"/>
    <x v="0"/>
    <n v="2"/>
    <n v="1"/>
    <x v="0"/>
    <s v="Tim Delaney"/>
    <x v="39"/>
    <x v="6"/>
    <x v="0"/>
    <n v="3"/>
    <n v="0"/>
    <n v="12"/>
    <n v="6"/>
    <x v="1"/>
    <x v="1"/>
    <x v="0"/>
    <x v="0"/>
    <x v="1"/>
    <n v="30"/>
    <n v="9"/>
    <n v="2"/>
    <x v="0"/>
    <x v="0"/>
    <x v="0"/>
    <n v="20"/>
    <n v="0"/>
    <n v="10"/>
    <m/>
    <n v="10"/>
    <n v="10"/>
    <n v="20"/>
    <n v="0"/>
    <n v="0"/>
    <x v="0"/>
  </r>
  <r>
    <x v="5"/>
    <x v="7"/>
    <x v="7"/>
    <x v="7"/>
    <x v="5"/>
    <n v="14"/>
    <x v="6"/>
    <n v="21"/>
    <s v="AK"/>
    <x v="7"/>
    <x v="7"/>
    <x v="7"/>
    <x v="7"/>
    <x v="5"/>
    <n v="106.66666666666666"/>
    <n v="54"/>
    <x v="7"/>
    <n v="20"/>
    <x v="0"/>
    <n v="0"/>
    <s v="offensive"/>
    <n v="1"/>
    <n v="0.77777777777777779"/>
    <n v="1"/>
    <n v="0"/>
    <n v="10"/>
    <n v="49"/>
    <n v="49"/>
    <n v="0"/>
    <x v="5"/>
    <n v="0"/>
    <n v="8"/>
    <n v="102"/>
    <n v="90"/>
    <n v="94"/>
    <n v="36620"/>
    <n v="8"/>
    <n v="0"/>
    <s v="04-04-00"/>
    <n v="20"/>
    <n v="14"/>
    <x v="0"/>
    <x v="2"/>
    <n v="3"/>
    <x v="0"/>
    <n v="2"/>
    <n v="1"/>
    <x v="0"/>
    <s v="Tim Delaney"/>
    <x v="7"/>
    <x v="5"/>
    <x v="0"/>
    <n v="3"/>
    <n v="0"/>
    <n v="18"/>
    <n v="0"/>
    <x v="1"/>
    <x v="0"/>
    <x v="1"/>
    <x v="0"/>
    <x v="1"/>
    <n v="21"/>
    <n v="6"/>
    <n v="2"/>
    <x v="0"/>
    <x v="0"/>
    <x v="0"/>
    <n v="0"/>
    <n v="0"/>
    <n v="10"/>
    <m/>
    <n v="10"/>
    <n v="10"/>
    <n v="20"/>
    <n v="0"/>
    <n v="0"/>
    <x v="0"/>
  </r>
  <r>
    <x v="6"/>
    <x v="8"/>
    <x v="8"/>
    <x v="8"/>
    <x v="6"/>
    <n v="12"/>
    <x v="2"/>
    <n v="25"/>
    <s v="AKI"/>
    <x v="8"/>
    <x v="8"/>
    <x v="8"/>
    <x v="8"/>
    <x v="6"/>
    <n v="83.5"/>
    <n v="0"/>
    <x v="2"/>
    <n v="20"/>
    <x v="0"/>
    <n v="3"/>
    <s v="both"/>
    <n v="0"/>
    <n v="0.91666666666666663"/>
    <n v="1"/>
    <n v="0"/>
    <n v="10"/>
    <n v="43"/>
    <n v="43"/>
    <n v="0"/>
    <x v="1"/>
    <n v="0"/>
    <n v="14"/>
    <n v="180"/>
    <n v="140"/>
    <n v="209"/>
    <n v="36709"/>
    <n v="9"/>
    <n v="0"/>
    <s v="07-02-00"/>
    <n v="3"/>
    <n v="9"/>
    <x v="0"/>
    <x v="3"/>
    <n v="3"/>
    <x v="0"/>
    <n v="2"/>
    <n v="1"/>
    <x v="0"/>
    <s v="Tim Delaney"/>
    <x v="8"/>
    <x v="0"/>
    <x v="0"/>
    <n v="3"/>
    <n v="0"/>
    <n v="0"/>
    <n v="0"/>
    <x v="0"/>
    <x v="0"/>
    <x v="0"/>
    <x v="0"/>
    <x v="0"/>
    <n v="33"/>
    <n v="3"/>
    <n v="2"/>
    <x v="0"/>
    <x v="0"/>
    <x v="0"/>
    <n v="30"/>
    <n v="0"/>
    <n v="10"/>
    <m/>
    <n v="10"/>
    <n v="10"/>
    <n v="10"/>
    <n v="0"/>
    <n v="0"/>
    <x v="0"/>
  </r>
  <r>
    <x v="7"/>
    <x v="9"/>
    <x v="9"/>
    <x v="9"/>
    <x v="7"/>
    <n v="1"/>
    <x v="7"/>
    <n v="25"/>
    <s v="AKI"/>
    <x v="9"/>
    <x v="9"/>
    <x v="9"/>
    <x v="9"/>
    <x v="7"/>
    <n v="62"/>
    <n v="5"/>
    <x v="3"/>
    <n v="40"/>
    <x v="0"/>
    <n v="5"/>
    <s v="both"/>
    <n v="0.33333333333333331"/>
    <n v="0.5"/>
    <n v="1"/>
    <n v="0"/>
    <n v="30"/>
    <n v="37"/>
    <n v="37"/>
    <n v="0"/>
    <x v="6"/>
    <n v="0"/>
    <n v="12"/>
    <n v="142"/>
    <n v="110"/>
    <n v="418"/>
    <n v="36679"/>
    <n v="8"/>
    <n v="0"/>
    <s v="06-02-00"/>
    <n v="7"/>
    <n v="2"/>
    <x v="1"/>
    <x v="1"/>
    <n v="3"/>
    <x v="0"/>
    <n v="2"/>
    <n v="1"/>
    <x v="0"/>
    <s v="Tim Delaney"/>
    <x v="9"/>
    <x v="3"/>
    <x v="0"/>
    <n v="3"/>
    <n v="0"/>
    <n v="5"/>
    <n v="10"/>
    <x v="1"/>
    <x v="1"/>
    <x v="0"/>
    <x v="0"/>
    <x v="1"/>
    <n v="12"/>
    <n v="12"/>
    <n v="2"/>
    <x v="0"/>
    <x v="0"/>
    <x v="0"/>
    <n v="0"/>
    <n v="30"/>
    <n v="20"/>
    <m/>
    <n v="20"/>
    <n v="30"/>
    <n v="55"/>
    <n v="0"/>
    <n v="0"/>
    <x v="0"/>
  </r>
  <r>
    <x v="8"/>
    <x v="10"/>
    <x v="8"/>
    <x v="10"/>
    <x v="8"/>
    <n v="6"/>
    <x v="2"/>
    <n v="25"/>
    <s v="AKI"/>
    <x v="10"/>
    <x v="10"/>
    <x v="10"/>
    <x v="10"/>
    <x v="2"/>
    <n v="93.15384615384616"/>
    <n v="24"/>
    <x v="6"/>
    <n v="20"/>
    <x v="0"/>
    <n v="3"/>
    <s v="both"/>
    <n v="0.66666666666666663"/>
    <n v="0.76923076923076927"/>
    <n v="1"/>
    <n v="0"/>
    <n v="10"/>
    <n v="52"/>
    <n v="52"/>
    <n v="0"/>
    <x v="1"/>
    <n v="0"/>
    <n v="9"/>
    <n v="78"/>
    <n v="50"/>
    <n v="194"/>
    <n v="36984"/>
    <n v="8"/>
    <n v="0"/>
    <s v="04-03-01"/>
    <n v="17"/>
    <n v="21"/>
    <x v="1"/>
    <x v="1"/>
    <n v="3"/>
    <x v="0"/>
    <n v="2"/>
    <n v="1"/>
    <x v="0"/>
    <s v="Tim Delaney"/>
    <x v="10"/>
    <x v="1"/>
    <x v="0"/>
    <n v="3"/>
    <n v="0"/>
    <n v="12"/>
    <n v="6"/>
    <x v="0"/>
    <x v="0"/>
    <x v="0"/>
    <x v="0"/>
    <x v="0"/>
    <n v="30"/>
    <n v="9"/>
    <n v="2"/>
    <x v="0"/>
    <x v="0"/>
    <x v="0"/>
    <n v="20"/>
    <n v="0"/>
    <n v="10"/>
    <m/>
    <n v="10"/>
    <n v="10"/>
    <n v="20"/>
    <n v="0"/>
    <n v="0"/>
    <x v="0"/>
  </r>
  <r>
    <x v="9"/>
    <x v="11"/>
    <x v="10"/>
    <x v="11"/>
    <x v="9"/>
    <n v="9"/>
    <x v="3"/>
    <n v="25"/>
    <s v="AKI"/>
    <x v="2"/>
    <x v="2"/>
    <x v="2"/>
    <x v="2"/>
    <x v="8"/>
    <n v="111.66666666666666"/>
    <n v="54"/>
    <x v="7"/>
    <n v="20"/>
    <x v="0"/>
    <n v="5"/>
    <s v="offensive"/>
    <n v="1"/>
    <n v="0.77777777777777779"/>
    <n v="1"/>
    <n v="0"/>
    <n v="10"/>
    <n v="49"/>
    <n v="49"/>
    <n v="0"/>
    <x v="7"/>
    <n v="0"/>
    <n v="6"/>
    <n v="106"/>
    <n v="70"/>
    <n v="201"/>
    <n v="36590"/>
    <n v="8"/>
    <n v="0"/>
    <s v="03-05-00"/>
    <n v="27"/>
    <n v="8"/>
    <x v="0"/>
    <x v="4"/>
    <n v="3"/>
    <x v="0"/>
    <n v="2"/>
    <n v="1"/>
    <x v="0"/>
    <s v="Tim Delaney"/>
    <x v="11"/>
    <x v="2"/>
    <x v="0"/>
    <n v="3"/>
    <n v="0"/>
    <n v="18"/>
    <n v="0"/>
    <x v="1"/>
    <x v="1"/>
    <x v="0"/>
    <x v="0"/>
    <x v="1"/>
    <n v="21"/>
    <n v="6"/>
    <n v="2"/>
    <x v="0"/>
    <x v="1"/>
    <x v="1"/>
    <n v="0"/>
    <n v="0"/>
    <n v="10"/>
    <m/>
    <n v="10"/>
    <n v="10"/>
    <n v="20"/>
    <n v="0"/>
    <n v="0"/>
    <x v="0"/>
  </r>
  <r>
    <x v="10"/>
    <x v="12"/>
    <x v="11"/>
    <x v="12"/>
    <x v="10"/>
    <n v="20"/>
    <x v="8"/>
    <n v="25"/>
    <s v="A"/>
    <x v="2"/>
    <x v="2"/>
    <x v="2"/>
    <x v="2"/>
    <x v="9"/>
    <n v="85.3"/>
    <n v="0"/>
    <x v="2"/>
    <n v="20"/>
    <x v="9"/>
    <n v="0"/>
    <s v="both"/>
    <n v="0"/>
    <n v="0.91666666666666663"/>
    <n v="1"/>
    <n v="0.4"/>
    <n v="10"/>
    <n v="55"/>
    <n v="43"/>
    <n v="12"/>
    <x v="8"/>
    <n v="0"/>
    <n v="12"/>
    <n v="186"/>
    <n v="110"/>
    <n v="231"/>
    <n v="36680"/>
    <n v="9"/>
    <n v="0"/>
    <s v="06-03-00"/>
    <n v="5"/>
    <n v="10"/>
    <x v="1"/>
    <x v="1"/>
    <n v="3"/>
    <x v="0"/>
    <n v="2"/>
    <n v="1"/>
    <x v="0"/>
    <s v="Tim Delaney"/>
    <x v="12"/>
    <x v="6"/>
    <x v="0"/>
    <n v="3"/>
    <n v="0"/>
    <n v="0"/>
    <n v="0"/>
    <x v="1"/>
    <x v="0"/>
    <x v="1"/>
    <x v="0"/>
    <x v="1"/>
    <n v="33"/>
    <n v="3"/>
    <n v="2"/>
    <x v="0"/>
    <x v="2"/>
    <x v="1"/>
    <n v="30"/>
    <n v="0"/>
    <n v="10"/>
    <m/>
    <n v="10"/>
    <n v="10"/>
    <n v="10"/>
    <n v="0"/>
    <n v="0"/>
    <x v="0"/>
  </r>
  <r>
    <x v="11"/>
    <x v="13"/>
    <x v="12"/>
    <x v="13"/>
    <x v="11"/>
    <n v="3"/>
    <x v="7"/>
    <n v="18"/>
    <s v="AKI"/>
    <x v="11"/>
    <x v="11"/>
    <x v="11"/>
    <x v="11"/>
    <x v="2"/>
    <n v="26.72"/>
    <n v="5"/>
    <x v="3"/>
    <n v="0"/>
    <x v="7"/>
    <n v="0"/>
    <s v="both"/>
    <n v="0.33333333333333331"/>
    <n v="0.5"/>
    <n v="1"/>
    <n v="0.9"/>
    <n v="30"/>
    <n v="27.799999999999997"/>
    <n v="17"/>
    <n v="10.799999999999999"/>
    <x v="9"/>
    <n v="0"/>
    <n v="12"/>
    <n v="186"/>
    <n v="150"/>
    <n v="379"/>
    <n v="36680"/>
    <n v="9"/>
    <n v="0"/>
    <s v="06-03-00"/>
    <n v="4"/>
    <n v="4"/>
    <x v="0"/>
    <x v="5"/>
    <n v="3"/>
    <x v="0"/>
    <n v="2"/>
    <n v="1"/>
    <x v="0"/>
    <s v="Tim Delaney"/>
    <x v="13"/>
    <x v="5"/>
    <x v="0"/>
    <n v="3"/>
    <n v="0"/>
    <n v="5"/>
    <n v="10"/>
    <x v="1"/>
    <x v="1"/>
    <x v="1"/>
    <x v="1"/>
    <x v="1"/>
    <n v="12"/>
    <n v="12"/>
    <n v="2"/>
    <x v="0"/>
    <x v="1"/>
    <x v="2"/>
    <n v="0"/>
    <n v="30"/>
    <n v="0"/>
    <m/>
    <n v="0"/>
    <n v="30"/>
    <n v="55"/>
    <n v="0"/>
    <n v="0"/>
    <x v="0"/>
  </r>
  <r>
    <x v="0"/>
    <x v="0"/>
    <x v="0"/>
    <x v="0"/>
    <x v="0"/>
    <n v="4"/>
    <x v="0"/>
    <n v="25"/>
    <s v="AKI"/>
    <x v="0"/>
    <x v="0"/>
    <x v="0"/>
    <x v="0"/>
    <x v="0"/>
    <n v="90.953846153846158"/>
    <n v="24"/>
    <x v="6"/>
    <n v="20"/>
    <x v="5"/>
    <n v="0"/>
    <s v="both"/>
    <n v="0.66666666666666663"/>
    <n v="0.76923076923076927"/>
    <n v="1"/>
    <n v="0.2"/>
    <n v="10"/>
    <n v="56"/>
    <n v="52"/>
    <n v="4"/>
    <x v="0"/>
    <n v="0"/>
    <n v="10"/>
    <n v="178"/>
    <n v="80"/>
    <n v="213"/>
    <n v="36649"/>
    <n v="8"/>
    <n v="0"/>
    <s v="05-03-00"/>
    <n v="11"/>
    <n v="6.5"/>
    <x v="0"/>
    <x v="0"/>
    <n v="3"/>
    <x v="0"/>
    <n v="2"/>
    <n v="1"/>
    <x v="0"/>
    <s v="Tim Delaney"/>
    <x v="0"/>
    <x v="0"/>
    <x v="0"/>
    <n v="3"/>
    <n v="0"/>
    <n v="12"/>
    <n v="6"/>
    <x v="1"/>
    <x v="1"/>
    <x v="1"/>
    <x v="1"/>
    <x v="1"/>
    <n v="30"/>
    <n v="9"/>
    <n v="2"/>
    <x v="0"/>
    <x v="1"/>
    <x v="2"/>
    <n v="20"/>
    <n v="0"/>
    <n v="10"/>
    <m/>
    <n v="10"/>
    <n v="10"/>
    <n v="20"/>
    <n v="0"/>
    <n v="0"/>
    <x v="0"/>
  </r>
  <r>
    <x v="12"/>
    <x v="14"/>
    <x v="13"/>
    <x v="14"/>
    <x v="12"/>
    <n v="5"/>
    <x v="9"/>
    <n v="22"/>
    <s v="AKI"/>
    <x v="9"/>
    <x v="9"/>
    <x v="9"/>
    <x v="9"/>
    <x v="2"/>
    <n v="109.66666666666666"/>
    <n v="54"/>
    <x v="7"/>
    <n v="20"/>
    <x v="0"/>
    <n v="3"/>
    <s v="offensive"/>
    <n v="1"/>
    <n v="0.77777777777777779"/>
    <n v="1"/>
    <n v="0"/>
    <n v="10"/>
    <n v="49"/>
    <n v="49"/>
    <n v="0"/>
    <x v="10"/>
    <n v="0"/>
    <n v="14"/>
    <n v="266"/>
    <n v="140"/>
    <n v="284"/>
    <n v="36709"/>
    <n v="9"/>
    <n v="0"/>
    <s v="07-02-00"/>
    <n v="2"/>
    <n v="3"/>
    <x v="1"/>
    <x v="1"/>
    <n v="3"/>
    <x v="0"/>
    <n v="2"/>
    <n v="1"/>
    <x v="0"/>
    <s v="Tim Delaney"/>
    <x v="14"/>
    <x v="3"/>
    <x v="0"/>
    <n v="3"/>
    <n v="0"/>
    <n v="18"/>
    <n v="0"/>
    <x v="0"/>
    <x v="0"/>
    <x v="0"/>
    <x v="0"/>
    <x v="0"/>
    <n v="21"/>
    <n v="6"/>
    <n v="2"/>
    <x v="0"/>
    <x v="3"/>
    <x v="1"/>
    <n v="0"/>
    <n v="0"/>
    <n v="10"/>
    <m/>
    <n v="10"/>
    <n v="10"/>
    <n v="20"/>
    <n v="0"/>
    <n v="0"/>
    <x v="0"/>
  </r>
  <r>
    <x v="13"/>
    <x v="15"/>
    <x v="14"/>
    <x v="15"/>
    <x v="13"/>
    <n v="28"/>
    <x v="10"/>
    <n v="1"/>
    <s v="A"/>
    <x v="7"/>
    <x v="7"/>
    <x v="7"/>
    <x v="7"/>
    <x v="10"/>
    <n v="85.5"/>
    <n v="0"/>
    <x v="2"/>
    <n v="20"/>
    <x v="0"/>
    <n v="5"/>
    <s v="both"/>
    <n v="0"/>
    <n v="0.91666666666666663"/>
    <n v="1"/>
    <n v="0"/>
    <n v="10"/>
    <n v="43"/>
    <n v="43"/>
    <n v="0"/>
    <x v="5"/>
    <n v="0"/>
    <n v="6"/>
    <n v="94"/>
    <n v="70"/>
    <n v="99"/>
    <n v="36590"/>
    <n v="8"/>
    <n v="0"/>
    <s v="03-05-00"/>
    <n v="30"/>
    <n v="23"/>
    <x v="1"/>
    <x v="1"/>
    <n v="3"/>
    <x v="0"/>
    <n v="2"/>
    <n v="1"/>
    <x v="0"/>
    <s v="Tim Delaney"/>
    <x v="15"/>
    <x v="1"/>
    <x v="0"/>
    <n v="3"/>
    <n v="0"/>
    <n v="0"/>
    <n v="0"/>
    <x v="1"/>
    <x v="1"/>
    <x v="0"/>
    <x v="0"/>
    <x v="1"/>
    <n v="33"/>
    <n v="3"/>
    <n v="2"/>
    <x v="0"/>
    <x v="0"/>
    <x v="0"/>
    <n v="30"/>
    <n v="0"/>
    <n v="10"/>
    <m/>
    <n v="10"/>
    <n v="10"/>
    <n v="10"/>
    <n v="0"/>
    <n v="0"/>
    <x v="0"/>
  </r>
  <r>
    <x v="1"/>
    <x v="1"/>
    <x v="1"/>
    <x v="1"/>
    <x v="1"/>
    <n v="8"/>
    <x v="1"/>
    <n v="13"/>
    <s v="AKI"/>
    <x v="1"/>
    <x v="1"/>
    <x v="1"/>
    <x v="1"/>
    <x v="1"/>
    <n v="77"/>
    <n v="5"/>
    <x v="3"/>
    <n v="60"/>
    <x v="0"/>
    <n v="0"/>
    <s v="both"/>
    <n v="0.33333333333333331"/>
    <n v="0.5"/>
    <n v="1"/>
    <n v="0"/>
    <n v="30"/>
    <n v="47"/>
    <n v="47"/>
    <n v="0"/>
    <x v="0"/>
    <n v="0"/>
    <n v="5"/>
    <n v="118"/>
    <n v="120"/>
    <n v="179"/>
    <n v="36927"/>
    <n v="8"/>
    <n v="0"/>
    <s v="02-05-01"/>
    <n v="34"/>
    <n v="12"/>
    <x v="1"/>
    <x v="1"/>
    <n v="3"/>
    <x v="0"/>
    <n v="2"/>
    <n v="1"/>
    <x v="0"/>
    <s v="Tim Delaney"/>
    <x v="1"/>
    <x v="2"/>
    <x v="0"/>
    <n v="3"/>
    <n v="0"/>
    <n v="5"/>
    <n v="10"/>
    <x v="1"/>
    <x v="0"/>
    <x v="1"/>
    <x v="0"/>
    <x v="1"/>
    <n v="12"/>
    <n v="12"/>
    <n v="2"/>
    <x v="0"/>
    <x v="0"/>
    <x v="0"/>
    <n v="0"/>
    <n v="30"/>
    <n v="30"/>
    <m/>
    <n v="30"/>
    <n v="30"/>
    <n v="55"/>
    <n v="0"/>
    <n v="0"/>
    <x v="0"/>
  </r>
  <r>
    <x v="2"/>
    <x v="16"/>
    <x v="15"/>
    <x v="16"/>
    <x v="2"/>
    <n v="17"/>
    <x v="3"/>
    <n v="9"/>
    <s v="AKI"/>
    <x v="8"/>
    <x v="8"/>
    <x v="8"/>
    <x v="8"/>
    <x v="11"/>
    <n v="90.15384615384616"/>
    <n v="24"/>
    <x v="6"/>
    <n v="20"/>
    <x v="0"/>
    <n v="0"/>
    <s v="both"/>
    <n v="0.66666666666666663"/>
    <n v="0.76923076923076927"/>
    <n v="1"/>
    <n v="0"/>
    <n v="10"/>
    <n v="52"/>
    <n v="52"/>
    <n v="0"/>
    <x v="11"/>
    <n v="0"/>
    <n v="6"/>
    <n v="42"/>
    <n v="60"/>
    <n v="91"/>
    <n v="36589"/>
    <n v="8"/>
    <n v="0"/>
    <s v="03-04-00"/>
    <n v="33"/>
    <s v="DNP"/>
    <x v="1"/>
    <x v="1"/>
    <n v="3"/>
    <x v="0"/>
    <n v="2"/>
    <n v="1"/>
    <x v="0"/>
    <s v="Tim Delaney"/>
    <x v="16"/>
    <x v="6"/>
    <x v="0"/>
    <n v="3"/>
    <n v="0"/>
    <n v="12"/>
    <n v="6"/>
    <x v="1"/>
    <x v="1"/>
    <x v="1"/>
    <x v="1"/>
    <x v="1"/>
    <n v="30"/>
    <n v="9"/>
    <n v="2"/>
    <x v="0"/>
    <x v="0"/>
    <x v="0"/>
    <n v="20"/>
    <n v="0"/>
    <n v="10"/>
    <m/>
    <n v="10"/>
    <n v="10"/>
    <n v="20"/>
    <n v="0"/>
    <n v="0"/>
    <x v="0"/>
  </r>
  <r>
    <x v="14"/>
    <x v="17"/>
    <x v="16"/>
    <x v="17"/>
    <x v="14"/>
    <n v="21"/>
    <x v="11"/>
    <n v="11"/>
    <s v="AKI"/>
    <x v="12"/>
    <x v="12"/>
    <x v="12"/>
    <x v="12"/>
    <x v="12"/>
    <n v="109.66666666666666"/>
    <n v="54"/>
    <x v="7"/>
    <n v="20"/>
    <x v="0"/>
    <n v="3"/>
    <s v="offensive"/>
    <n v="1"/>
    <n v="0.77777777777777779"/>
    <n v="1"/>
    <n v="0"/>
    <n v="10"/>
    <n v="49"/>
    <n v="49"/>
    <n v="0"/>
    <x v="12"/>
    <n v="0"/>
    <n v="11"/>
    <n v="148"/>
    <n v="100"/>
    <n v="202"/>
    <n v="37014"/>
    <n v="9"/>
    <n v="0"/>
    <s v="05-03-01"/>
    <n v="10"/>
    <n v="11"/>
    <x v="1"/>
    <x v="1"/>
    <n v="3"/>
    <x v="0"/>
    <n v="2"/>
    <n v="1"/>
    <x v="0"/>
    <s v="Tim Delaney"/>
    <x v="17"/>
    <x v="5"/>
    <x v="0"/>
    <n v="3"/>
    <n v="0"/>
    <n v="18"/>
    <n v="0"/>
    <x v="0"/>
    <x v="0"/>
    <x v="0"/>
    <x v="0"/>
    <x v="0"/>
    <n v="21"/>
    <n v="6"/>
    <n v="2"/>
    <x v="0"/>
    <x v="0"/>
    <x v="0"/>
    <n v="0"/>
    <n v="0"/>
    <n v="10"/>
    <m/>
    <n v="10"/>
    <n v="10"/>
    <n v="20"/>
    <n v="0"/>
    <n v="0"/>
    <x v="0"/>
  </r>
  <r>
    <x v="2"/>
    <x v="18"/>
    <x v="17"/>
    <x v="18"/>
    <x v="2"/>
    <n v="15"/>
    <x v="12"/>
    <n v="25"/>
    <s v="AI"/>
    <x v="13"/>
    <x v="13"/>
    <x v="13"/>
    <x v="13"/>
    <x v="2"/>
    <n v="85.5"/>
    <n v="0"/>
    <x v="2"/>
    <n v="20"/>
    <x v="0"/>
    <n v="5"/>
    <s v="both"/>
    <n v="0"/>
    <n v="0.91666666666666663"/>
    <n v="1"/>
    <n v="0"/>
    <n v="10"/>
    <n v="43"/>
    <n v="43"/>
    <n v="0"/>
    <x v="13"/>
    <n v="0"/>
    <n v="2"/>
    <n v="88"/>
    <n v="90"/>
    <n v="162"/>
    <n v="36533"/>
    <n v="9"/>
    <n v="0"/>
    <s v="01-08-00"/>
    <n v="40"/>
    <s v="DNP"/>
    <x v="1"/>
    <x v="1"/>
    <n v="3"/>
    <x v="0"/>
    <n v="2"/>
    <n v="1"/>
    <x v="0"/>
    <s v="Tim Delaney"/>
    <x v="18"/>
    <x v="0"/>
    <x v="0"/>
    <n v="3"/>
    <n v="0"/>
    <n v="0"/>
    <n v="0"/>
    <x v="1"/>
    <x v="1"/>
    <x v="0"/>
    <x v="0"/>
    <x v="1"/>
    <n v="33"/>
    <n v="3"/>
    <n v="2"/>
    <x v="0"/>
    <x v="0"/>
    <x v="0"/>
    <n v="30"/>
    <n v="0"/>
    <n v="10"/>
    <m/>
    <n v="10"/>
    <n v="10"/>
    <n v="10"/>
    <n v="0"/>
    <n v="0"/>
    <x v="0"/>
  </r>
  <r>
    <x v="15"/>
    <x v="19"/>
    <x v="18"/>
    <x v="19"/>
    <x v="15"/>
    <n v="11"/>
    <x v="2"/>
    <n v="25"/>
    <s v="AKI"/>
    <x v="14"/>
    <x v="14"/>
    <x v="14"/>
    <x v="14"/>
    <x v="1"/>
    <n v="81.319999999999993"/>
    <n v="5"/>
    <x v="3"/>
    <n v="60"/>
    <x v="1"/>
    <n v="0"/>
    <s v="both"/>
    <n v="0.33333333333333331"/>
    <n v="0.5"/>
    <n v="1"/>
    <n v="0.6"/>
    <n v="30"/>
    <n v="54.2"/>
    <n v="47"/>
    <n v="7.2"/>
    <x v="14"/>
    <n v="0"/>
    <n v="4"/>
    <n v="94"/>
    <n v="70"/>
    <n v="162"/>
    <n v="36562"/>
    <n v="8"/>
    <n v="0"/>
    <s v="02-06-00"/>
    <n v="36"/>
    <n v="13"/>
    <x v="1"/>
    <x v="1"/>
    <n v="3"/>
    <x v="0"/>
    <n v="2"/>
    <n v="1"/>
    <x v="0"/>
    <s v="Tim Delaney"/>
    <x v="19"/>
    <x v="1"/>
    <x v="0"/>
    <n v="3"/>
    <n v="0"/>
    <n v="5"/>
    <n v="10"/>
    <x v="1"/>
    <x v="0"/>
    <x v="1"/>
    <x v="0"/>
    <x v="1"/>
    <n v="12"/>
    <n v="12"/>
    <n v="2"/>
    <x v="0"/>
    <x v="1"/>
    <x v="1"/>
    <n v="0"/>
    <n v="30"/>
    <n v="30"/>
    <m/>
    <n v="30"/>
    <n v="30"/>
    <n v="55"/>
    <n v="0"/>
    <n v="0"/>
    <x v="0"/>
  </r>
  <r>
    <x v="2"/>
    <x v="20"/>
    <x v="14"/>
    <x v="20"/>
    <x v="13"/>
    <n v="28"/>
    <x v="3"/>
    <n v="25"/>
    <s v="AID"/>
    <x v="1"/>
    <x v="1"/>
    <x v="1"/>
    <x v="1"/>
    <x v="2"/>
    <n v="93.353846153846163"/>
    <n v="24"/>
    <x v="6"/>
    <n v="20"/>
    <x v="10"/>
    <n v="0"/>
    <s v="both"/>
    <n v="0.66666666666666663"/>
    <n v="0.76923076923076927"/>
    <n v="1"/>
    <n v="0.4"/>
    <n v="10"/>
    <n v="60"/>
    <n v="52"/>
    <n v="8"/>
    <x v="15"/>
    <n v="0"/>
    <n v="10"/>
    <n v="64"/>
    <n v="70"/>
    <n v="87"/>
    <n v="36649"/>
    <n v="8"/>
    <n v="0"/>
    <s v="05-03-00"/>
    <n v="16"/>
    <s v="DNP"/>
    <x v="1"/>
    <x v="1"/>
    <n v="3"/>
    <x v="0"/>
    <n v="2"/>
    <n v="1"/>
    <x v="0"/>
    <s v="Tim Delaney"/>
    <x v="20"/>
    <x v="2"/>
    <x v="0"/>
    <n v="3"/>
    <n v="0"/>
    <n v="12"/>
    <n v="6"/>
    <x v="1"/>
    <x v="1"/>
    <x v="1"/>
    <x v="1"/>
    <x v="1"/>
    <n v="30"/>
    <n v="9"/>
    <n v="2"/>
    <x v="0"/>
    <x v="2"/>
    <x v="1"/>
    <n v="20"/>
    <n v="0"/>
    <n v="10"/>
    <m/>
    <n v="10"/>
    <n v="10"/>
    <n v="20"/>
    <n v="0"/>
    <n v="0"/>
    <x v="0"/>
  </r>
  <r>
    <x v="16"/>
    <x v="21"/>
    <x v="19"/>
    <x v="21"/>
    <x v="16"/>
    <n v="22"/>
    <x v="6"/>
    <n v="25"/>
    <s v="AK"/>
    <x v="9"/>
    <x v="9"/>
    <x v="9"/>
    <x v="9"/>
    <x v="2"/>
    <n v="106.66666666666666"/>
    <n v="54"/>
    <x v="7"/>
    <n v="20"/>
    <x v="0"/>
    <n v="0"/>
    <s v="offensive"/>
    <n v="1"/>
    <n v="0.77777777777777779"/>
    <n v="1"/>
    <n v="0"/>
    <n v="10"/>
    <n v="49"/>
    <n v="49"/>
    <n v="0"/>
    <x v="16"/>
    <n v="0"/>
    <n v="10"/>
    <n v="102"/>
    <n v="190"/>
    <n v="152"/>
    <n v="36650"/>
    <n v="9"/>
    <n v="0"/>
    <s v="05-04-00"/>
    <n v="13"/>
    <n v="17"/>
    <x v="1"/>
    <x v="1"/>
    <n v="3"/>
    <x v="0"/>
    <n v="2"/>
    <n v="1"/>
    <x v="0"/>
    <s v="Tim Delaney"/>
    <x v="21"/>
    <x v="0"/>
    <x v="0"/>
    <n v="3"/>
    <n v="0"/>
    <n v="18"/>
    <n v="0"/>
    <x v="1"/>
    <x v="1"/>
    <x v="1"/>
    <x v="1"/>
    <x v="1"/>
    <n v="21"/>
    <n v="6"/>
    <n v="2"/>
    <x v="0"/>
    <x v="1"/>
    <x v="2"/>
    <n v="0"/>
    <n v="0"/>
    <n v="10"/>
    <m/>
    <n v="10"/>
    <n v="10"/>
    <n v="20"/>
    <n v="0"/>
    <n v="0"/>
    <x v="0"/>
  </r>
  <r>
    <x v="17"/>
    <x v="22"/>
    <x v="20"/>
    <x v="22"/>
    <x v="17"/>
    <n v="28"/>
    <x v="6"/>
    <n v="17"/>
    <s v="AK"/>
    <x v="15"/>
    <x v="15"/>
    <x v="15"/>
    <x v="15"/>
    <x v="13"/>
    <n v="84.7"/>
    <n v="0"/>
    <x v="2"/>
    <n v="20"/>
    <x v="4"/>
    <n v="3"/>
    <s v="both"/>
    <n v="0"/>
    <n v="0.91666666666666663"/>
    <n v="1"/>
    <n v="0.2"/>
    <n v="10"/>
    <n v="49"/>
    <n v="43"/>
    <n v="6"/>
    <x v="17"/>
    <n v="0"/>
    <n v="8"/>
    <n v="82"/>
    <n v="180"/>
    <n v="228"/>
    <n v="36621"/>
    <n v="9"/>
    <n v="0"/>
    <s v="04-05-00"/>
    <n v="22"/>
    <n v="25"/>
    <x v="1"/>
    <x v="1"/>
    <n v="3"/>
    <x v="0"/>
    <n v="2"/>
    <n v="1"/>
    <x v="0"/>
    <s v="Tim Delaney"/>
    <x v="22"/>
    <x v="3"/>
    <x v="0"/>
    <n v="3"/>
    <n v="0"/>
    <n v="0"/>
    <n v="0"/>
    <x v="0"/>
    <x v="0"/>
    <x v="0"/>
    <x v="0"/>
    <x v="0"/>
    <n v="33"/>
    <n v="3"/>
    <n v="2"/>
    <x v="0"/>
    <x v="1"/>
    <x v="2"/>
    <n v="30"/>
    <n v="0"/>
    <n v="10"/>
    <m/>
    <n v="10"/>
    <n v="10"/>
    <n v="10"/>
    <n v="0"/>
    <n v="0"/>
    <x v="0"/>
  </r>
  <r>
    <x v="2"/>
    <x v="23"/>
    <x v="21"/>
    <x v="23"/>
    <x v="2"/>
    <n v="28"/>
    <x v="3"/>
    <n v="20"/>
    <s v="AI"/>
    <x v="2"/>
    <x v="2"/>
    <x v="2"/>
    <x v="2"/>
    <x v="2"/>
    <n v="86.32"/>
    <n v="5"/>
    <x v="3"/>
    <n v="60"/>
    <x v="1"/>
    <n v="5"/>
    <s v="both"/>
    <n v="0.33333333333333331"/>
    <n v="0.5"/>
    <n v="1"/>
    <n v="0.6"/>
    <n v="30"/>
    <n v="54.2"/>
    <n v="47"/>
    <n v="7.2"/>
    <x v="18"/>
    <n v="0"/>
    <n v="3"/>
    <n v="78"/>
    <n v="90"/>
    <n v="101"/>
    <n v="36898"/>
    <n v="9"/>
    <n v="0"/>
    <s v="01-07-01"/>
    <n v="38"/>
    <s v="DNP"/>
    <x v="1"/>
    <x v="1"/>
    <n v="3"/>
    <x v="0"/>
    <n v="2"/>
    <n v="1"/>
    <x v="0"/>
    <s v="Tim Delaney"/>
    <x v="23"/>
    <x v="1"/>
    <x v="0"/>
    <n v="3"/>
    <n v="0"/>
    <n v="5"/>
    <n v="10"/>
    <x v="1"/>
    <x v="1"/>
    <x v="0"/>
    <x v="0"/>
    <x v="1"/>
    <n v="12"/>
    <n v="12"/>
    <n v="2"/>
    <x v="0"/>
    <x v="3"/>
    <x v="1"/>
    <n v="0"/>
    <n v="30"/>
    <n v="30"/>
    <m/>
    <n v="30"/>
    <n v="30"/>
    <n v="55"/>
    <n v="0"/>
    <n v="0"/>
    <x v="0"/>
  </r>
  <r>
    <x v="18"/>
    <x v="24"/>
    <x v="22"/>
    <x v="24"/>
    <x v="18"/>
    <n v="27"/>
    <x v="13"/>
    <n v="19"/>
    <s v="AI"/>
    <x v="7"/>
    <x v="7"/>
    <x v="7"/>
    <x v="7"/>
    <x v="10"/>
    <n v="90.15384615384616"/>
    <n v="24"/>
    <x v="6"/>
    <n v="20"/>
    <x v="0"/>
    <n v="0"/>
    <s v="both"/>
    <n v="0.66666666666666663"/>
    <n v="0.76923076923076927"/>
    <n v="1"/>
    <n v="0"/>
    <n v="10"/>
    <n v="52"/>
    <n v="52"/>
    <n v="0"/>
    <x v="19"/>
    <n v="0"/>
    <n v="10"/>
    <n v="158"/>
    <n v="100"/>
    <n v="161"/>
    <n v="36649"/>
    <n v="8"/>
    <n v="0"/>
    <s v="05-03-00"/>
    <n v="12"/>
    <n v="16"/>
    <x v="1"/>
    <x v="1"/>
    <n v="3"/>
    <x v="0"/>
    <n v="2"/>
    <n v="1"/>
    <x v="0"/>
    <s v="Tim Delaney"/>
    <x v="24"/>
    <x v="2"/>
    <x v="0"/>
    <n v="3"/>
    <n v="0"/>
    <n v="12"/>
    <n v="6"/>
    <x v="1"/>
    <x v="0"/>
    <x v="1"/>
    <x v="0"/>
    <x v="1"/>
    <n v="30"/>
    <n v="9"/>
    <n v="2"/>
    <x v="0"/>
    <x v="0"/>
    <x v="0"/>
    <n v="20"/>
    <n v="0"/>
    <n v="10"/>
    <m/>
    <n v="10"/>
    <n v="10"/>
    <n v="20"/>
    <n v="0"/>
    <n v="0"/>
    <x v="0"/>
  </r>
  <r>
    <x v="2"/>
    <x v="25"/>
    <x v="23"/>
    <x v="25"/>
    <x v="2"/>
    <n v="24"/>
    <x v="3"/>
    <n v="10"/>
    <s v="AKI"/>
    <x v="16"/>
    <x v="16"/>
    <x v="16"/>
    <x v="16"/>
    <x v="2"/>
    <n v="109.66666666666666"/>
    <n v="54"/>
    <x v="7"/>
    <n v="20"/>
    <x v="0"/>
    <n v="3"/>
    <s v="offensive"/>
    <n v="1"/>
    <n v="0.77777777777777779"/>
    <n v="1"/>
    <n v="0"/>
    <n v="10"/>
    <n v="49"/>
    <n v="49"/>
    <n v="0"/>
    <x v="20"/>
    <n v="0"/>
    <n v="6"/>
    <n v="94"/>
    <n v="70"/>
    <n v="182"/>
    <n v="36590"/>
    <n v="8"/>
    <n v="0"/>
    <s v="03-05-00"/>
    <n v="29"/>
    <s v="DNP"/>
    <x v="1"/>
    <x v="1"/>
    <n v="3"/>
    <x v="0"/>
    <n v="2"/>
    <n v="1"/>
    <x v="0"/>
    <s v="Tim Delaney"/>
    <x v="25"/>
    <x v="4"/>
    <x v="0"/>
    <n v="3"/>
    <n v="0"/>
    <n v="18"/>
    <n v="0"/>
    <x v="0"/>
    <x v="0"/>
    <x v="0"/>
    <x v="0"/>
    <x v="0"/>
    <n v="21"/>
    <n v="6"/>
    <n v="2"/>
    <x v="0"/>
    <x v="0"/>
    <x v="0"/>
    <n v="0"/>
    <n v="0"/>
    <n v="10"/>
    <m/>
    <n v="10"/>
    <n v="10"/>
    <n v="20"/>
    <n v="0"/>
    <n v="0"/>
    <x v="0"/>
  </r>
  <r>
    <x v="19"/>
    <x v="26"/>
    <x v="24"/>
    <x v="26"/>
    <x v="19"/>
    <n v="10"/>
    <x v="3"/>
    <n v="16"/>
    <s v="AK"/>
    <x v="17"/>
    <x v="17"/>
    <x v="17"/>
    <x v="17"/>
    <x v="2"/>
    <n v="65.5"/>
    <n v="0"/>
    <x v="2"/>
    <n v="0"/>
    <x v="0"/>
    <n v="5"/>
    <s v="both"/>
    <n v="0"/>
    <n v="0.91666666666666663"/>
    <n v="1"/>
    <n v="0"/>
    <n v="10"/>
    <n v="33"/>
    <n v="33"/>
    <n v="0"/>
    <x v="21"/>
    <n v="0"/>
    <n v="7"/>
    <n v="128"/>
    <n v="40"/>
    <n v="148"/>
    <n v="36954"/>
    <n v="8"/>
    <n v="0"/>
    <s v="03-04-01"/>
    <n v="26"/>
    <n v="6"/>
    <x v="1"/>
    <x v="1"/>
    <n v="3"/>
    <x v="0"/>
    <n v="2"/>
    <n v="1"/>
    <x v="0"/>
    <s v="Tim Delaney"/>
    <x v="26"/>
    <x v="0"/>
    <x v="0"/>
    <n v="3"/>
    <n v="0"/>
    <n v="0"/>
    <n v="0"/>
    <x v="1"/>
    <x v="1"/>
    <x v="0"/>
    <x v="0"/>
    <x v="1"/>
    <n v="33"/>
    <n v="3"/>
    <n v="2"/>
    <x v="0"/>
    <x v="0"/>
    <x v="0"/>
    <n v="30"/>
    <n v="0"/>
    <n v="0"/>
    <m/>
    <n v="0"/>
    <n v="10"/>
    <n v="10"/>
    <n v="0"/>
    <n v="0"/>
    <x v="0"/>
  </r>
  <r>
    <x v="20"/>
    <x v="27"/>
    <x v="25"/>
    <x v="27"/>
    <x v="20"/>
    <n v="28"/>
    <x v="14"/>
    <n v="25"/>
    <s v="AK"/>
    <x v="10"/>
    <x v="10"/>
    <x v="10"/>
    <x v="10"/>
    <x v="14"/>
    <n v="20"/>
    <n v="5"/>
    <x v="3"/>
    <n v="0"/>
    <x v="0"/>
    <n v="3"/>
    <s v="both"/>
    <n v="0.33333333333333331"/>
    <n v="0.5"/>
    <n v="1"/>
    <n v="0"/>
    <n v="30"/>
    <n v="17"/>
    <n v="17"/>
    <n v="0"/>
    <x v="22"/>
    <n v="0"/>
    <n v="8"/>
    <n v="54"/>
    <n v="230"/>
    <n v="62"/>
    <n v="36620"/>
    <n v="8"/>
    <n v="0"/>
    <s v="04-04-00"/>
    <n v="25"/>
    <n v="22"/>
    <x v="0"/>
    <x v="6"/>
    <n v="3"/>
    <x v="0"/>
    <n v="2"/>
    <n v="1"/>
    <x v="0"/>
    <s v="Tim Delaney"/>
    <x v="27"/>
    <x v="3"/>
    <x v="0"/>
    <n v="3"/>
    <n v="0"/>
    <n v="5"/>
    <n v="10"/>
    <x v="0"/>
    <x v="0"/>
    <x v="0"/>
    <x v="0"/>
    <x v="0"/>
    <n v="12"/>
    <n v="12"/>
    <n v="2"/>
    <x v="0"/>
    <x v="0"/>
    <x v="0"/>
    <n v="0"/>
    <n v="30"/>
    <n v="0"/>
    <m/>
    <n v="0"/>
    <n v="30"/>
    <n v="55"/>
    <n v="0"/>
    <n v="0"/>
    <x v="0"/>
  </r>
  <r>
    <x v="21"/>
    <x v="28"/>
    <x v="21"/>
    <x v="19"/>
    <x v="2"/>
    <n v="28"/>
    <x v="3"/>
    <n v="2"/>
    <s v="A"/>
    <x v="2"/>
    <x v="2"/>
    <x v="2"/>
    <x v="2"/>
    <x v="2"/>
    <n v="95.953846153846158"/>
    <n v="24"/>
    <x v="6"/>
    <n v="20"/>
    <x v="5"/>
    <n v="5"/>
    <s v="both"/>
    <n v="0.66666666666666663"/>
    <n v="0.76923076923076927"/>
    <n v="1"/>
    <n v="0.2"/>
    <n v="10"/>
    <n v="56"/>
    <n v="52"/>
    <n v="4"/>
    <x v="23"/>
    <n v="0"/>
    <n v="8"/>
    <n v="58"/>
    <n v="30"/>
    <n v="138"/>
    <n v="36620"/>
    <n v="8"/>
    <n v="0"/>
    <s v="04-04-00"/>
    <n v="24"/>
    <n v="24"/>
    <x v="1"/>
    <x v="1"/>
    <n v="3"/>
    <x v="0"/>
    <n v="2"/>
    <n v="1"/>
    <x v="0"/>
    <s v="Tim Delaney"/>
    <x v="28"/>
    <x v="1"/>
    <x v="0"/>
    <n v="3"/>
    <n v="0"/>
    <n v="12"/>
    <n v="6"/>
    <x v="1"/>
    <x v="1"/>
    <x v="0"/>
    <x v="0"/>
    <x v="1"/>
    <n v="30"/>
    <n v="9"/>
    <n v="2"/>
    <x v="0"/>
    <x v="1"/>
    <x v="1"/>
    <n v="20"/>
    <n v="0"/>
    <n v="10"/>
    <m/>
    <n v="10"/>
    <n v="10"/>
    <n v="20"/>
    <n v="0"/>
    <n v="0"/>
    <x v="0"/>
  </r>
  <r>
    <x v="2"/>
    <x v="29"/>
    <x v="21"/>
    <x v="28"/>
    <x v="2"/>
    <n v="28"/>
    <x v="3"/>
    <n v="25"/>
    <s v="AKD"/>
    <x v="2"/>
    <x v="2"/>
    <x v="2"/>
    <x v="2"/>
    <x v="2"/>
    <n v="106.66666666666666"/>
    <n v="54"/>
    <x v="7"/>
    <n v="20"/>
    <x v="0"/>
    <n v="0"/>
    <s v="offensive"/>
    <n v="1"/>
    <n v="0.77777777777777779"/>
    <n v="1"/>
    <n v="0"/>
    <n v="10"/>
    <n v="49"/>
    <n v="49"/>
    <n v="0"/>
    <x v="24"/>
    <n v="0"/>
    <n v="10"/>
    <n v="78"/>
    <n v="90"/>
    <n v="178"/>
    <n v="36650"/>
    <n v="9"/>
    <n v="0"/>
    <s v="05-04-00"/>
    <n v="14"/>
    <s v="DNP"/>
    <x v="1"/>
    <x v="1"/>
    <n v="3"/>
    <x v="0"/>
    <n v="2"/>
    <n v="1"/>
    <x v="0"/>
    <s v="Tim Delaney"/>
    <x v="29"/>
    <x v="2"/>
    <x v="0"/>
    <n v="3"/>
    <n v="0"/>
    <n v="18"/>
    <n v="0"/>
    <x v="1"/>
    <x v="0"/>
    <x v="1"/>
    <x v="0"/>
    <x v="1"/>
    <n v="21"/>
    <n v="6"/>
    <n v="2"/>
    <x v="0"/>
    <x v="2"/>
    <x v="1"/>
    <n v="0"/>
    <n v="0"/>
    <n v="10"/>
    <m/>
    <n v="10"/>
    <n v="10"/>
    <n v="20"/>
    <n v="0"/>
    <n v="0"/>
    <x v="0"/>
  </r>
  <r>
    <x v="22"/>
    <x v="30"/>
    <x v="26"/>
    <x v="29"/>
    <x v="21"/>
    <n v="7"/>
    <x v="15"/>
    <n v="25"/>
    <s v="AKI"/>
    <x v="18"/>
    <x v="18"/>
    <x v="18"/>
    <x v="18"/>
    <x v="10"/>
    <n v="81.7"/>
    <n v="0"/>
    <x v="2"/>
    <n v="20"/>
    <x v="4"/>
    <n v="0"/>
    <s v="both"/>
    <n v="0"/>
    <n v="0.91666666666666663"/>
    <n v="1"/>
    <n v="0.2"/>
    <n v="10"/>
    <n v="49"/>
    <n v="43"/>
    <n v="6"/>
    <x v="25"/>
    <n v="0"/>
    <n v="8"/>
    <n v="160"/>
    <n v="140"/>
    <n v="237"/>
    <n v="36620"/>
    <n v="8"/>
    <n v="0"/>
    <s v="04-04-00"/>
    <n v="18"/>
    <n v="5"/>
    <x v="1"/>
    <x v="1"/>
    <n v="3"/>
    <x v="0"/>
    <n v="2"/>
    <n v="1"/>
    <x v="0"/>
    <s v="Tim Delaney"/>
    <x v="30"/>
    <x v="6"/>
    <x v="0"/>
    <n v="3"/>
    <n v="0"/>
    <n v="0"/>
    <n v="0"/>
    <x v="1"/>
    <x v="1"/>
    <x v="1"/>
    <x v="1"/>
    <x v="1"/>
    <n v="33"/>
    <n v="3"/>
    <n v="2"/>
    <x v="0"/>
    <x v="1"/>
    <x v="2"/>
    <n v="30"/>
    <n v="0"/>
    <n v="10"/>
    <m/>
    <n v="10"/>
    <n v="10"/>
    <n v="10"/>
    <n v="0"/>
    <n v="0"/>
    <x v="0"/>
  </r>
  <r>
    <x v="23"/>
    <x v="31"/>
    <x v="21"/>
    <x v="30"/>
    <x v="2"/>
    <n v="28"/>
    <x v="8"/>
    <n v="7"/>
    <s v="AKI"/>
    <x v="19"/>
    <x v="19"/>
    <x v="19"/>
    <x v="19"/>
    <x v="15"/>
    <n v="26.72"/>
    <n v="5"/>
    <x v="3"/>
    <n v="0"/>
    <x v="7"/>
    <n v="0"/>
    <s v="both"/>
    <n v="0.33333333333333331"/>
    <n v="0.5"/>
    <n v="1"/>
    <n v="0.9"/>
    <n v="30"/>
    <n v="27.799999999999997"/>
    <n v="17"/>
    <n v="10.799999999999999"/>
    <x v="26"/>
    <n v="0"/>
    <n v="10"/>
    <n v="72"/>
    <n v="80"/>
    <n v="107"/>
    <n v="36649"/>
    <n v="8"/>
    <n v="0"/>
    <s v="05-03-00"/>
    <n v="15"/>
    <n v="19"/>
    <x v="1"/>
    <x v="1"/>
    <n v="3"/>
    <x v="0"/>
    <n v="2"/>
    <n v="1"/>
    <x v="0"/>
    <s v="Tim Delaney"/>
    <x v="31"/>
    <x v="5"/>
    <x v="0"/>
    <n v="3"/>
    <n v="0"/>
    <n v="5"/>
    <n v="10"/>
    <x v="1"/>
    <x v="1"/>
    <x v="1"/>
    <x v="1"/>
    <x v="1"/>
    <n v="12"/>
    <n v="12"/>
    <n v="2"/>
    <x v="0"/>
    <x v="1"/>
    <x v="2"/>
    <n v="0"/>
    <n v="30"/>
    <n v="0"/>
    <m/>
    <n v="0"/>
    <n v="30"/>
    <n v="55"/>
    <n v="0"/>
    <n v="0"/>
    <x v="0"/>
  </r>
  <r>
    <x v="2"/>
    <x v="32"/>
    <x v="21"/>
    <x v="31"/>
    <x v="2"/>
    <n v="28"/>
    <x v="3"/>
    <n v="8"/>
    <s v="AKI"/>
    <x v="3"/>
    <x v="3"/>
    <x v="3"/>
    <x v="3"/>
    <x v="16"/>
    <n v="105.95384615384616"/>
    <n v="24"/>
    <x v="6"/>
    <n v="20"/>
    <x v="8"/>
    <n v="3"/>
    <s v="both"/>
    <n v="0.66666666666666663"/>
    <n v="0.76923076923076927"/>
    <n v="1"/>
    <n v="0.8"/>
    <n v="10"/>
    <n v="68"/>
    <n v="52"/>
    <n v="16"/>
    <x v="1"/>
    <n v="0"/>
    <n v="4"/>
    <n v="24"/>
    <n v="80"/>
    <n v="88"/>
    <n v="36562"/>
    <n v="8"/>
    <n v="0"/>
    <s v="02-06-00"/>
    <n v="37"/>
    <s v="DNP"/>
    <x v="1"/>
    <x v="1"/>
    <n v="3"/>
    <x v="0"/>
    <n v="2"/>
    <n v="1"/>
    <x v="0"/>
    <s v="Tim Delaney"/>
    <x v="32"/>
    <x v="0"/>
    <x v="0"/>
    <n v="3"/>
    <n v="0"/>
    <n v="12"/>
    <n v="6"/>
    <x v="0"/>
    <x v="0"/>
    <x v="0"/>
    <x v="0"/>
    <x v="0"/>
    <n v="30"/>
    <n v="9"/>
    <n v="2"/>
    <x v="0"/>
    <x v="3"/>
    <x v="1"/>
    <n v="20"/>
    <n v="0"/>
    <n v="10"/>
    <m/>
    <n v="10"/>
    <n v="10"/>
    <n v="20"/>
    <n v="0"/>
    <n v="0"/>
    <x v="0"/>
  </r>
  <r>
    <x v="2"/>
    <x v="33"/>
    <x v="21"/>
    <x v="32"/>
    <x v="2"/>
    <n v="28"/>
    <x v="3"/>
    <n v="14"/>
    <s v="AK"/>
    <x v="2"/>
    <x v="2"/>
    <x v="2"/>
    <x v="2"/>
    <x v="17"/>
    <n v="111.66666666666666"/>
    <n v="54"/>
    <x v="7"/>
    <n v="20"/>
    <x v="0"/>
    <n v="5"/>
    <s v="offensive"/>
    <n v="1"/>
    <n v="0.77777777777777779"/>
    <n v="1"/>
    <n v="0"/>
    <n v="10"/>
    <n v="49"/>
    <n v="49"/>
    <n v="0"/>
    <x v="1"/>
    <n v="0"/>
    <n v="6"/>
    <n v="84"/>
    <n v="90"/>
    <n v="144"/>
    <n v="36591"/>
    <n v="9"/>
    <n v="0"/>
    <s v="03-06-00"/>
    <n v="31"/>
    <s v="DNP"/>
    <x v="1"/>
    <x v="1"/>
    <n v="3"/>
    <x v="0"/>
    <n v="2"/>
    <n v="1"/>
    <x v="0"/>
    <s v="Tim Delaney"/>
    <x v="33"/>
    <x v="3"/>
    <x v="0"/>
    <n v="3"/>
    <n v="0"/>
    <n v="18"/>
    <n v="0"/>
    <x v="1"/>
    <x v="1"/>
    <x v="0"/>
    <x v="0"/>
    <x v="1"/>
    <n v="21"/>
    <n v="6"/>
    <n v="2"/>
    <x v="0"/>
    <x v="0"/>
    <x v="0"/>
    <n v="0"/>
    <n v="0"/>
    <n v="10"/>
    <m/>
    <n v="10"/>
    <n v="10"/>
    <n v="20"/>
    <n v="0"/>
    <n v="0"/>
    <x v="0"/>
  </r>
  <r>
    <x v="24"/>
    <x v="34"/>
    <x v="21"/>
    <x v="33"/>
    <x v="2"/>
    <n v="28"/>
    <x v="8"/>
    <n v="3"/>
    <s v="AK"/>
    <x v="20"/>
    <x v="20"/>
    <x v="20"/>
    <x v="20"/>
    <x v="2"/>
    <n v="80.5"/>
    <n v="0"/>
    <x v="2"/>
    <n v="20"/>
    <x v="0"/>
    <n v="0"/>
    <s v="both"/>
    <n v="0"/>
    <n v="0.91666666666666663"/>
    <n v="1"/>
    <n v="0"/>
    <n v="10"/>
    <n v="43"/>
    <n v="43"/>
    <n v="0"/>
    <x v="27"/>
    <n v="0"/>
    <n v="6"/>
    <n v="106"/>
    <n v="60"/>
    <n v="139"/>
    <n v="36591"/>
    <n v="9"/>
    <n v="0"/>
    <s v="03-06-00"/>
    <n v="28"/>
    <n v="26"/>
    <x v="1"/>
    <x v="1"/>
    <n v="3"/>
    <x v="0"/>
    <n v="2"/>
    <n v="1"/>
    <x v="0"/>
    <s v="Tim Delaney"/>
    <x v="34"/>
    <x v="1"/>
    <x v="0"/>
    <n v="3"/>
    <n v="0"/>
    <n v="0"/>
    <n v="0"/>
    <x v="1"/>
    <x v="1"/>
    <x v="1"/>
    <x v="1"/>
    <x v="1"/>
    <n v="33"/>
    <n v="3"/>
    <n v="2"/>
    <x v="0"/>
    <x v="0"/>
    <x v="0"/>
    <n v="30"/>
    <n v="0"/>
    <n v="10"/>
    <m/>
    <n v="10"/>
    <n v="10"/>
    <n v="10"/>
    <n v="0"/>
    <n v="0"/>
    <x v="0"/>
  </r>
  <r>
    <x v="25"/>
    <x v="35"/>
    <x v="27"/>
    <x v="34"/>
    <x v="22"/>
    <n v="23"/>
    <x v="3"/>
    <n v="25"/>
    <s v="AK"/>
    <x v="2"/>
    <x v="2"/>
    <x v="2"/>
    <x v="2"/>
    <x v="2"/>
    <n v="77"/>
    <n v="5"/>
    <x v="3"/>
    <n v="60"/>
    <x v="0"/>
    <n v="0"/>
    <s v="both"/>
    <n v="0.33333333333333331"/>
    <n v="0.5"/>
    <n v="1"/>
    <n v="0"/>
    <n v="30"/>
    <n v="47"/>
    <n v="47"/>
    <n v="0"/>
    <x v="28"/>
    <n v="1"/>
    <n v="12"/>
    <n v="144"/>
    <n v="120"/>
    <n v="169"/>
    <n v="36680"/>
    <n v="9"/>
    <n v="0"/>
    <s v="06-03-00"/>
    <n v="6"/>
    <n v="18"/>
    <x v="1"/>
    <x v="1"/>
    <n v="3"/>
    <x v="0"/>
    <n v="2"/>
    <n v="1"/>
    <x v="0"/>
    <s v="Tim Delaney"/>
    <x v="35"/>
    <x v="2"/>
    <x v="0"/>
    <n v="3"/>
    <n v="0"/>
    <n v="5"/>
    <n v="10"/>
    <x v="1"/>
    <x v="1"/>
    <x v="1"/>
    <x v="1"/>
    <x v="1"/>
    <n v="12"/>
    <n v="12"/>
    <n v="2"/>
    <x v="0"/>
    <x v="0"/>
    <x v="0"/>
    <n v="0"/>
    <n v="30"/>
    <n v="30"/>
    <m/>
    <n v="30"/>
    <n v="30"/>
    <n v="55"/>
    <n v="0"/>
    <n v="0"/>
    <x v="0"/>
  </r>
  <r>
    <x v="26"/>
    <x v="36"/>
    <x v="21"/>
    <x v="35"/>
    <x v="2"/>
    <n v="28"/>
    <x v="4"/>
    <n v="5"/>
    <s v="AKI"/>
    <x v="15"/>
    <x v="15"/>
    <x v="15"/>
    <x v="15"/>
    <x v="2"/>
    <n v="93.953846153846158"/>
    <n v="24"/>
    <x v="6"/>
    <n v="20"/>
    <x v="5"/>
    <n v="3"/>
    <s v="both"/>
    <n v="0.66666666666666663"/>
    <n v="0.76923076923076927"/>
    <n v="1"/>
    <n v="0.2"/>
    <n v="10"/>
    <n v="56"/>
    <n v="52"/>
    <n v="4"/>
    <x v="1"/>
    <n v="1"/>
    <n v="12"/>
    <n v="70"/>
    <n v="140"/>
    <n v="170"/>
    <n v="36679"/>
    <n v="8"/>
    <n v="0"/>
    <s v="06-02-00"/>
    <n v="9"/>
    <n v="20"/>
    <x v="1"/>
    <x v="1"/>
    <n v="3"/>
    <x v="0"/>
    <n v="2"/>
    <n v="1"/>
    <x v="0"/>
    <s v="Tim Delaney"/>
    <x v="36"/>
    <x v="6"/>
    <x v="0"/>
    <n v="3"/>
    <n v="0"/>
    <n v="12"/>
    <n v="6"/>
    <x v="0"/>
    <x v="0"/>
    <x v="0"/>
    <x v="0"/>
    <x v="0"/>
    <n v="30"/>
    <n v="9"/>
    <n v="2"/>
    <x v="0"/>
    <x v="1"/>
    <x v="1"/>
    <n v="20"/>
    <n v="0"/>
    <n v="10"/>
    <m/>
    <n v="10"/>
    <n v="10"/>
    <n v="20"/>
    <n v="0"/>
    <n v="0"/>
    <x v="0"/>
  </r>
  <r>
    <x v="2"/>
    <x v="2"/>
    <x v="2"/>
    <x v="2"/>
    <x v="2"/>
    <n v="26"/>
    <x v="2"/>
    <n v="25"/>
    <s v="A"/>
    <x v="2"/>
    <x v="2"/>
    <x v="2"/>
    <x v="2"/>
    <x v="2"/>
    <n v="111.66666666666666"/>
    <n v="54"/>
    <x v="7"/>
    <n v="20"/>
    <x v="0"/>
    <n v="5"/>
    <s v="offensive"/>
    <n v="1"/>
    <n v="0.77777777777777779"/>
    <n v="1"/>
    <n v="0"/>
    <n v="10"/>
    <n v="49"/>
    <n v="49"/>
    <n v="0"/>
    <x v="1"/>
    <n v="1"/>
    <n v="8"/>
    <n v="86"/>
    <n v="80"/>
    <n v="122"/>
    <n v="36621"/>
    <n v="9"/>
    <n v="0"/>
    <s v="04-05-00"/>
    <n v="21"/>
    <s v="DNP"/>
    <x v="1"/>
    <x v="1"/>
    <n v="3"/>
    <x v="0"/>
    <n v="2"/>
    <n v="1"/>
    <x v="0"/>
    <s v="Tim Delaney"/>
    <x v="2"/>
    <x v="5"/>
    <x v="0"/>
    <n v="3"/>
    <n v="0"/>
    <n v="18"/>
    <n v="0"/>
    <x v="1"/>
    <x v="1"/>
    <x v="0"/>
    <x v="0"/>
    <x v="1"/>
    <n v="21"/>
    <n v="6"/>
    <n v="2"/>
    <x v="0"/>
    <x v="2"/>
    <x v="1"/>
    <n v="0"/>
    <n v="0"/>
    <n v="10"/>
    <m/>
    <n v="10"/>
    <n v="10"/>
    <n v="20"/>
    <n v="0"/>
    <n v="0"/>
    <x v="0"/>
  </r>
  <r>
    <x v="2"/>
    <x v="37"/>
    <x v="21"/>
    <x v="36"/>
    <x v="2"/>
    <n v="28"/>
    <x v="3"/>
    <n v="6"/>
    <s v="AK"/>
    <x v="21"/>
    <x v="21"/>
    <x v="21"/>
    <x v="21"/>
    <x v="2"/>
    <n v="80.5"/>
    <n v="0"/>
    <x v="2"/>
    <n v="20"/>
    <x v="0"/>
    <n v="0"/>
    <s v="both"/>
    <n v="0"/>
    <n v="0.91666666666666663"/>
    <n v="1"/>
    <n v="0"/>
    <n v="10"/>
    <n v="43"/>
    <n v="43"/>
    <n v="0"/>
    <x v="24"/>
    <n v="1"/>
    <n v="8"/>
    <n v="82"/>
    <n v="80"/>
    <n v="145"/>
    <n v="36620"/>
    <n v="8"/>
    <n v="0"/>
    <s v="04-04-00"/>
    <n v="23"/>
    <s v="DNP"/>
    <x v="1"/>
    <x v="1"/>
    <n v="3"/>
    <x v="0"/>
    <n v="2"/>
    <n v="1"/>
    <x v="0"/>
    <s v="Tim Delaney"/>
    <x v="37"/>
    <x v="0"/>
    <x v="0"/>
    <n v="3"/>
    <n v="0"/>
    <n v="0"/>
    <n v="0"/>
    <x v="1"/>
    <x v="0"/>
    <x v="1"/>
    <x v="0"/>
    <x v="1"/>
    <n v="33"/>
    <n v="3"/>
    <n v="2"/>
    <x v="0"/>
    <x v="0"/>
    <x v="0"/>
    <n v="30"/>
    <n v="0"/>
    <n v="10"/>
    <m/>
    <n v="10"/>
    <n v="10"/>
    <n v="10"/>
    <n v="0"/>
    <n v="0"/>
    <x v="0"/>
  </r>
  <r>
    <x v="2"/>
    <x v="38"/>
    <x v="14"/>
    <x v="37"/>
    <x v="2"/>
    <n v="17"/>
    <x v="3"/>
    <n v="23"/>
    <s v="AKD"/>
    <x v="13"/>
    <x v="13"/>
    <x v="13"/>
    <x v="13"/>
    <x v="18"/>
    <n v="37"/>
    <n v="5"/>
    <x v="3"/>
    <n v="20"/>
    <x v="0"/>
    <n v="0"/>
    <s v="both"/>
    <n v="0.33333333333333331"/>
    <n v="0.5"/>
    <n v="1"/>
    <n v="0"/>
    <n v="30"/>
    <n v="27"/>
    <n v="27"/>
    <n v="0"/>
    <x v="29"/>
    <n v="1"/>
    <n v="3"/>
    <n v="74"/>
    <n v="50"/>
    <n v="162"/>
    <n v="36897"/>
    <n v="8"/>
    <n v="0"/>
    <s v="01-06-01"/>
    <n v="39"/>
    <s v="DNP"/>
    <x v="1"/>
    <x v="1"/>
    <n v="3"/>
    <x v="0"/>
    <n v="2"/>
    <n v="1"/>
    <x v="0"/>
    <s v="Tim Delaney"/>
    <x v="38"/>
    <x v="3"/>
    <x v="0"/>
    <n v="3"/>
    <n v="0"/>
    <n v="5"/>
    <n v="10"/>
    <x v="1"/>
    <x v="1"/>
    <x v="1"/>
    <x v="1"/>
    <x v="1"/>
    <n v="12"/>
    <n v="12"/>
    <n v="2"/>
    <x v="0"/>
    <x v="0"/>
    <x v="0"/>
    <n v="0"/>
    <n v="30"/>
    <n v="10"/>
    <m/>
    <n v="10"/>
    <n v="30"/>
    <n v="55"/>
    <n v="0"/>
    <n v="0"/>
    <x v="0"/>
  </r>
  <r>
    <x v="0"/>
    <x v="0"/>
    <x v="0"/>
    <x v="0"/>
    <x v="0"/>
    <n v="4"/>
    <x v="0"/>
    <n v="25"/>
    <s v="AKI"/>
    <x v="0"/>
    <x v="0"/>
    <x v="0"/>
    <x v="0"/>
    <x v="0"/>
    <n v="73.303030303030297"/>
    <n v="42.666666666666664"/>
    <x v="8"/>
    <n v="20"/>
    <x v="0"/>
    <n v="9"/>
    <s v="both"/>
    <n v="0.88888888888888884"/>
    <n v="0.27272727272727271"/>
    <n v="1"/>
    <n v="0"/>
    <n v="20"/>
    <n v="27"/>
    <n v="29"/>
    <n v="-2"/>
    <x v="0"/>
    <n v="0"/>
    <n v="10"/>
    <n v="178"/>
    <n v="80"/>
    <n v="213"/>
    <n v="36649"/>
    <n v="8"/>
    <n v="0"/>
    <s v="05-03-00"/>
    <n v="11"/>
    <n v="6.5"/>
    <x v="0"/>
    <x v="0"/>
    <n v="3"/>
    <x v="0"/>
    <n v="2"/>
    <n v="1"/>
    <x v="0"/>
    <s v="Tim"/>
    <x v="0"/>
    <x v="7"/>
    <x v="0"/>
    <n v="3"/>
    <n v="1"/>
    <n v="16"/>
    <n v="2"/>
    <x v="1"/>
    <x v="1"/>
    <x v="1"/>
    <x v="1"/>
    <x v="1"/>
    <n v="3"/>
    <n v="8"/>
    <n v="3"/>
    <x v="1"/>
    <x v="0"/>
    <x v="0"/>
    <n v="22"/>
    <n v="1"/>
    <n v="10"/>
    <n v="5"/>
    <n v="10"/>
    <n v="20"/>
    <n v="64"/>
    <n v="1"/>
    <n v="1"/>
    <x v="1"/>
  </r>
  <r>
    <x v="2"/>
    <x v="20"/>
    <x v="14"/>
    <x v="20"/>
    <x v="13"/>
    <n v="28"/>
    <x v="3"/>
    <n v="25"/>
    <s v="AID"/>
    <x v="1"/>
    <x v="1"/>
    <x v="1"/>
    <x v="1"/>
    <x v="2"/>
    <n v="210"/>
    <n v="36"/>
    <x v="9"/>
    <n v="60"/>
    <x v="0"/>
    <n v="0"/>
    <s v="offensive"/>
    <n v="1"/>
    <n v="1"/>
    <n v="1"/>
    <n v="0"/>
    <n v="30"/>
    <n v="99"/>
    <n v="99"/>
    <n v="0"/>
    <x v="15"/>
    <n v="0"/>
    <n v="10"/>
    <n v="64"/>
    <n v="70"/>
    <n v="87"/>
    <n v="36649"/>
    <n v="8"/>
    <n v="0"/>
    <s v="05-03-00"/>
    <n v="16"/>
    <s v="DNP"/>
    <x v="1"/>
    <x v="1"/>
    <n v="3"/>
    <x v="0"/>
    <n v="2"/>
    <n v="1"/>
    <x v="0"/>
    <s v="TD"/>
    <x v="20"/>
    <x v="8"/>
    <x v="0"/>
    <n v="3"/>
    <n v="0"/>
    <n v="12"/>
    <n v="0"/>
    <x v="1"/>
    <x v="1"/>
    <x v="1"/>
    <x v="1"/>
    <x v="1"/>
    <n v="57"/>
    <n v="0"/>
    <n v="0"/>
    <x v="0"/>
    <x v="1"/>
    <x v="1"/>
    <n v="0"/>
    <n v="0"/>
    <n v="30"/>
    <n v="0"/>
    <n v="30"/>
    <n v="30"/>
    <n v="70"/>
    <n v="0"/>
    <n v="0"/>
    <x v="1"/>
  </r>
  <r>
    <x v="1"/>
    <x v="1"/>
    <x v="1"/>
    <x v="1"/>
    <x v="1"/>
    <n v="8"/>
    <x v="1"/>
    <n v="13"/>
    <s v="AKI"/>
    <x v="1"/>
    <x v="1"/>
    <x v="1"/>
    <x v="1"/>
    <x v="1"/>
    <n v="113.8218181818182"/>
    <n v="57.600000000000009"/>
    <x v="10"/>
    <n v="0"/>
    <x v="11"/>
    <n v="5"/>
    <s v="both"/>
    <n v="0.8"/>
    <n v="0.81818181818181823"/>
    <n v="1"/>
    <n v="0.4"/>
    <n v="20"/>
    <n v="68.599999999999994"/>
    <n v="51"/>
    <n v="17.600000000000001"/>
    <x v="0"/>
    <n v="0"/>
    <n v="5"/>
    <n v="118"/>
    <n v="120"/>
    <n v="179"/>
    <n v="36927"/>
    <n v="8"/>
    <n v="0"/>
    <s v="02-05-01"/>
    <n v="34"/>
    <n v="12"/>
    <x v="1"/>
    <x v="1"/>
    <n v="3"/>
    <x v="0"/>
    <n v="2"/>
    <n v="1"/>
    <x v="0"/>
    <s v="TD"/>
    <x v="1"/>
    <x v="3"/>
    <x v="0"/>
    <n v="3"/>
    <n v="2"/>
    <n v="24"/>
    <n v="6"/>
    <x v="1"/>
    <x v="0"/>
    <x v="1"/>
    <x v="0"/>
    <x v="1"/>
    <n v="27"/>
    <n v="6"/>
    <n v="2"/>
    <x v="0"/>
    <x v="2"/>
    <x v="1"/>
    <n v="44"/>
    <n v="0"/>
    <n v="0"/>
    <n v="0"/>
    <n v="0"/>
    <n v="20"/>
    <n v="43"/>
    <n v="0"/>
    <n v="0"/>
    <x v="0"/>
  </r>
  <r>
    <x v="1"/>
    <x v="1"/>
    <x v="1"/>
    <x v="1"/>
    <x v="1"/>
    <n v="8"/>
    <x v="1"/>
    <n v="13"/>
    <s v="AKI"/>
    <x v="1"/>
    <x v="1"/>
    <x v="1"/>
    <x v="1"/>
    <x v="1"/>
    <n v="4.8000000000000007"/>
    <n v="0"/>
    <x v="11"/>
    <n v="0"/>
    <x v="9"/>
    <n v="0"/>
    <s v="defensive"/>
    <n v="0"/>
    <n v="0"/>
    <n v="0"/>
    <n v="0.2"/>
    <n v="0"/>
    <n v="24"/>
    <n v="0"/>
    <n v="24"/>
    <x v="0"/>
    <n v="0"/>
    <n v="5"/>
    <n v="118"/>
    <n v="120"/>
    <n v="179"/>
    <n v="36927"/>
    <n v="8"/>
    <n v="0"/>
    <s v="02-05-01"/>
    <n v="34"/>
    <n v="12"/>
    <x v="1"/>
    <x v="1"/>
    <n v="3"/>
    <x v="0"/>
    <n v="2"/>
    <n v="1"/>
    <x v="2"/>
    <s v="TD"/>
    <x v="1"/>
    <x v="9"/>
    <x v="0"/>
    <n v="3"/>
    <n v="0"/>
    <n v="0"/>
    <n v="0"/>
    <x v="1"/>
    <x v="1"/>
    <x v="1"/>
    <x v="1"/>
    <x v="1"/>
    <n v="0"/>
    <n v="0"/>
    <n v="0"/>
    <x v="0"/>
    <x v="1"/>
    <x v="2"/>
    <n v="120"/>
    <n v="0"/>
    <n v="0"/>
    <n v="0"/>
    <n v="0"/>
    <n v="0"/>
    <n v="0"/>
    <n v="0"/>
    <n v="0"/>
    <x v="0"/>
  </r>
  <r>
    <x v="1"/>
    <x v="1"/>
    <x v="1"/>
    <x v="1"/>
    <x v="1"/>
    <n v="8"/>
    <x v="1"/>
    <n v="13"/>
    <s v="AKI"/>
    <x v="1"/>
    <x v="1"/>
    <x v="1"/>
    <x v="1"/>
    <x v="1"/>
    <n v="28.199999999999996"/>
    <n v="0"/>
    <x v="11"/>
    <n v="0"/>
    <x v="12"/>
    <n v="0"/>
    <s v="defensive"/>
    <n v="0"/>
    <n v="0"/>
    <n v="0"/>
    <n v="0.5"/>
    <n v="0"/>
    <n v="56.399999999999991"/>
    <n v="0"/>
    <n v="56.399999999999991"/>
    <x v="0"/>
    <n v="0"/>
    <n v="5"/>
    <n v="118"/>
    <n v="120"/>
    <n v="179"/>
    <n v="36927"/>
    <n v="8"/>
    <n v="0"/>
    <s v="02-05-01"/>
    <n v="34"/>
    <n v="12"/>
    <x v="1"/>
    <x v="1"/>
    <n v="3"/>
    <x v="0"/>
    <n v="2"/>
    <n v="1"/>
    <x v="2"/>
    <s v="TD"/>
    <x v="1"/>
    <x v="9"/>
    <x v="0"/>
    <n v="3"/>
    <n v="0"/>
    <n v="0"/>
    <n v="0"/>
    <x v="1"/>
    <x v="1"/>
    <x v="1"/>
    <x v="1"/>
    <x v="1"/>
    <n v="0"/>
    <n v="0"/>
    <n v="0"/>
    <x v="0"/>
    <x v="1"/>
    <x v="2"/>
    <n v="120"/>
    <n v="90"/>
    <n v="0"/>
    <n v="0"/>
    <n v="0"/>
    <n v="0"/>
    <n v="0"/>
    <n v="0"/>
    <n v="0"/>
    <x v="0"/>
  </r>
  <r>
    <x v="1"/>
    <x v="1"/>
    <x v="1"/>
    <x v="1"/>
    <x v="1"/>
    <n v="8"/>
    <x v="1"/>
    <n v="13"/>
    <s v="AKI"/>
    <x v="1"/>
    <x v="1"/>
    <x v="1"/>
    <x v="1"/>
    <x v="1"/>
    <n v="0"/>
    <n v="0"/>
    <x v="11"/>
    <n v="0"/>
    <x v="0"/>
    <n v="0"/>
    <s v="offensive"/>
    <n v="0"/>
    <n v="0"/>
    <n v="0"/>
    <n v="0"/>
    <n v="0"/>
    <n v="0"/>
    <n v="0"/>
    <n v="0"/>
    <x v="0"/>
    <n v="0"/>
    <n v="5"/>
    <n v="118"/>
    <n v="120"/>
    <n v="179"/>
    <n v="36927"/>
    <n v="8"/>
    <n v="0"/>
    <s v="02-05-01"/>
    <n v="34"/>
    <n v="12"/>
    <x v="1"/>
    <x v="1"/>
    <n v="3"/>
    <x v="0"/>
    <n v="2"/>
    <n v="1"/>
    <x v="2"/>
    <s v="TD"/>
    <x v="1"/>
    <x v="9"/>
    <x v="0"/>
    <n v="3"/>
    <n v="0"/>
    <n v="0"/>
    <n v="0"/>
    <x v="1"/>
    <x v="1"/>
    <x v="1"/>
    <x v="1"/>
    <x v="1"/>
    <n v="0"/>
    <n v="0"/>
    <n v="0"/>
    <x v="0"/>
    <x v="3"/>
    <x v="1"/>
    <n v="0"/>
    <n v="0"/>
    <n v="0"/>
    <n v="0"/>
    <n v="0"/>
    <n v="0"/>
    <n v="0"/>
    <n v="0"/>
    <n v="0"/>
    <x v="0"/>
  </r>
  <r>
    <x v="1"/>
    <x v="1"/>
    <x v="1"/>
    <x v="1"/>
    <x v="1"/>
    <n v="8"/>
    <x v="1"/>
    <n v="13"/>
    <s v="AKI"/>
    <x v="1"/>
    <x v="1"/>
    <x v="1"/>
    <x v="1"/>
    <x v="1"/>
    <n v="0"/>
    <n v="0"/>
    <x v="11"/>
    <n v="0"/>
    <x v="0"/>
    <n v="0"/>
    <s v="offensive"/>
    <n v="0"/>
    <n v="0"/>
    <n v="0"/>
    <n v="0"/>
    <n v="0"/>
    <n v="0"/>
    <n v="0"/>
    <n v="0"/>
    <x v="0"/>
    <n v="0"/>
    <n v="5"/>
    <n v="118"/>
    <n v="120"/>
    <n v="179"/>
    <n v="36927"/>
    <n v="8"/>
    <n v="0"/>
    <s v="02-05-01"/>
    <n v="34"/>
    <n v="12"/>
    <x v="1"/>
    <x v="1"/>
    <n v="3"/>
    <x v="0"/>
    <n v="2"/>
    <n v="1"/>
    <x v="2"/>
    <s v="TD"/>
    <x v="1"/>
    <x v="9"/>
    <x v="0"/>
    <n v="3"/>
    <n v="0"/>
    <n v="0"/>
    <n v="0"/>
    <x v="1"/>
    <x v="1"/>
    <x v="1"/>
    <x v="1"/>
    <x v="1"/>
    <n v="0"/>
    <n v="0"/>
    <n v="0"/>
    <x v="0"/>
    <x v="0"/>
    <x v="0"/>
    <n v="0"/>
    <n v="0"/>
    <n v="0"/>
    <n v="0"/>
    <n v="0"/>
    <n v="0"/>
    <n v="0"/>
    <n v="0"/>
    <n v="0"/>
    <x v="0"/>
  </r>
  <r>
    <x v="1"/>
    <x v="1"/>
    <x v="1"/>
    <x v="1"/>
    <x v="1"/>
    <n v="8"/>
    <x v="1"/>
    <n v="13"/>
    <s v="AKI"/>
    <x v="1"/>
    <x v="1"/>
    <x v="1"/>
    <x v="1"/>
    <x v="1"/>
    <n v="0"/>
    <n v="0"/>
    <x v="11"/>
    <n v="0"/>
    <x v="0"/>
    <n v="0"/>
    <s v="defensive"/>
    <n v="0"/>
    <n v="0"/>
    <n v="0"/>
    <n v="0"/>
    <n v="0"/>
    <n v="0"/>
    <n v="0"/>
    <n v="0"/>
    <x v="0"/>
    <n v="0"/>
    <n v="5"/>
    <n v="118"/>
    <n v="120"/>
    <n v="179"/>
    <n v="36927"/>
    <n v="8"/>
    <n v="0"/>
    <s v="02-05-01"/>
    <n v="34"/>
    <n v="12"/>
    <x v="1"/>
    <x v="1"/>
    <n v="3"/>
    <x v="0"/>
    <n v="2"/>
    <n v="1"/>
    <x v="2"/>
    <s v="TD"/>
    <x v="1"/>
    <x v="9"/>
    <x v="0"/>
    <n v="3"/>
    <n v="0"/>
    <n v="0"/>
    <n v="0"/>
    <x v="1"/>
    <x v="1"/>
    <x v="1"/>
    <x v="1"/>
    <x v="1"/>
    <n v="0"/>
    <n v="0"/>
    <n v="0"/>
    <x v="0"/>
    <x v="0"/>
    <x v="0"/>
    <n v="0"/>
    <n v="120"/>
    <n v="0"/>
    <n v="0"/>
    <n v="0"/>
    <n v="0"/>
    <n v="0"/>
    <n v="0"/>
    <n v="0"/>
    <x v="0"/>
  </r>
  <r>
    <x v="2"/>
    <x v="29"/>
    <x v="21"/>
    <x v="28"/>
    <x v="2"/>
    <n v="28"/>
    <x v="3"/>
    <n v="25"/>
    <s v="AKD"/>
    <x v="2"/>
    <x v="2"/>
    <x v="2"/>
    <x v="2"/>
    <x v="2"/>
    <n v="106.66666666666666"/>
    <n v="54"/>
    <x v="7"/>
    <n v="20"/>
    <x v="0"/>
    <n v="0"/>
    <s v="offensive"/>
    <n v="1"/>
    <n v="0.77777777777777779"/>
    <n v="1"/>
    <n v="0"/>
    <n v="10"/>
    <n v="49"/>
    <n v="49"/>
    <n v="0"/>
    <x v="24"/>
    <n v="0"/>
    <n v="10"/>
    <n v="78"/>
    <n v="90"/>
    <n v="178"/>
    <n v="36650"/>
    <n v="9"/>
    <n v="0"/>
    <s v="05-04-00"/>
    <n v="14"/>
    <s v="DNP"/>
    <x v="1"/>
    <x v="1"/>
    <n v="3"/>
    <x v="0"/>
    <n v="2"/>
    <n v="1"/>
    <x v="0"/>
    <s v="Tim Delaney"/>
    <x v="29"/>
    <x v="2"/>
    <x v="0"/>
    <m/>
    <m/>
    <n v="18"/>
    <n v="0"/>
    <x v="2"/>
    <x v="2"/>
    <x v="2"/>
    <x v="2"/>
    <x v="2"/>
    <n v="21"/>
    <n v="6"/>
    <m/>
    <x v="2"/>
    <x v="2"/>
    <x v="1"/>
    <n v="0"/>
    <n v="0"/>
    <n v="10"/>
    <m/>
    <n v="10"/>
    <n v="10"/>
    <n v="20"/>
    <m/>
    <m/>
    <x v="0"/>
  </r>
  <r>
    <x v="22"/>
    <x v="30"/>
    <x v="26"/>
    <x v="29"/>
    <x v="21"/>
    <n v="7"/>
    <x v="15"/>
    <n v="25"/>
    <s v="AKI"/>
    <x v="18"/>
    <x v="18"/>
    <x v="18"/>
    <x v="18"/>
    <x v="10"/>
    <n v="81.7"/>
    <n v="0"/>
    <x v="2"/>
    <n v="20"/>
    <x v="4"/>
    <n v="0"/>
    <s v="both"/>
    <n v="0"/>
    <n v="0.91666666666666663"/>
    <n v="1"/>
    <n v="0.2"/>
    <n v="10"/>
    <n v="49"/>
    <n v="43"/>
    <n v="6"/>
    <x v="25"/>
    <n v="0"/>
    <n v="8"/>
    <n v="160"/>
    <n v="140"/>
    <n v="237"/>
    <n v="36620"/>
    <n v="8"/>
    <n v="0"/>
    <s v="04-04-00"/>
    <n v="18"/>
    <n v="5"/>
    <x v="1"/>
    <x v="1"/>
    <n v="3"/>
    <x v="0"/>
    <n v="2"/>
    <n v="1"/>
    <x v="0"/>
    <s v="Tim Delaney"/>
    <x v="30"/>
    <x v="6"/>
    <x v="0"/>
    <m/>
    <m/>
    <n v="0"/>
    <n v="0"/>
    <x v="2"/>
    <x v="2"/>
    <x v="2"/>
    <x v="2"/>
    <x v="2"/>
    <n v="33"/>
    <n v="3"/>
    <m/>
    <x v="2"/>
    <x v="1"/>
    <x v="2"/>
    <n v="30"/>
    <n v="0"/>
    <n v="10"/>
    <m/>
    <n v="10"/>
    <n v="10"/>
    <n v="10"/>
    <m/>
    <m/>
    <x v="0"/>
  </r>
  <r>
    <x v="23"/>
    <x v="31"/>
    <x v="21"/>
    <x v="30"/>
    <x v="2"/>
    <n v="28"/>
    <x v="8"/>
    <n v="7"/>
    <s v="AKI"/>
    <x v="19"/>
    <x v="19"/>
    <x v="19"/>
    <x v="19"/>
    <x v="15"/>
    <n v="86.72"/>
    <n v="5"/>
    <x v="3"/>
    <n v="60"/>
    <x v="7"/>
    <n v="0"/>
    <s v="both"/>
    <n v="0.33333333333333331"/>
    <n v="0.5"/>
    <n v="1"/>
    <n v="0.9"/>
    <n v="30"/>
    <n v="57.8"/>
    <n v="47"/>
    <n v="10.799999999999999"/>
    <x v="26"/>
    <n v="0"/>
    <n v="10"/>
    <n v="72"/>
    <n v="80"/>
    <n v="107"/>
    <n v="36649"/>
    <n v="8"/>
    <n v="0"/>
    <s v="05-03-00"/>
    <n v="15"/>
    <n v="19"/>
    <x v="1"/>
    <x v="1"/>
    <n v="3"/>
    <x v="0"/>
    <n v="2"/>
    <n v="1"/>
    <x v="0"/>
    <s v="Tim Delaney"/>
    <x v="31"/>
    <x v="5"/>
    <x v="0"/>
    <m/>
    <m/>
    <n v="5"/>
    <n v="10"/>
    <x v="2"/>
    <x v="2"/>
    <x v="2"/>
    <x v="2"/>
    <x v="2"/>
    <n v="12"/>
    <n v="12"/>
    <m/>
    <x v="2"/>
    <x v="1"/>
    <x v="2"/>
    <n v="0"/>
    <n v="30"/>
    <n v="30"/>
    <m/>
    <n v="30"/>
    <n v="30"/>
    <n v="55"/>
    <m/>
    <m/>
    <x v="0"/>
  </r>
  <r>
    <x v="2"/>
    <x v="32"/>
    <x v="21"/>
    <x v="31"/>
    <x v="2"/>
    <n v="28"/>
    <x v="3"/>
    <n v="8"/>
    <s v="AKI"/>
    <x v="3"/>
    <x v="3"/>
    <x v="3"/>
    <x v="3"/>
    <x v="16"/>
    <n v="102.95384615384616"/>
    <n v="24"/>
    <x v="6"/>
    <n v="20"/>
    <x v="8"/>
    <n v="0"/>
    <s v="both"/>
    <n v="0.66666666666666663"/>
    <n v="0.76923076923076927"/>
    <n v="1"/>
    <n v="0.8"/>
    <n v="10"/>
    <n v="68"/>
    <n v="52"/>
    <n v="16"/>
    <x v="1"/>
    <n v="0"/>
    <n v="4"/>
    <n v="24"/>
    <n v="80"/>
    <n v="88"/>
    <n v="36562"/>
    <n v="8"/>
    <n v="0"/>
    <s v="02-06-00"/>
    <n v="37"/>
    <s v="DNP"/>
    <x v="1"/>
    <x v="1"/>
    <n v="3"/>
    <x v="0"/>
    <n v="2"/>
    <n v="1"/>
    <x v="0"/>
    <s v="Tim Delaney"/>
    <x v="32"/>
    <x v="0"/>
    <x v="0"/>
    <m/>
    <m/>
    <n v="12"/>
    <n v="6"/>
    <x v="2"/>
    <x v="2"/>
    <x v="2"/>
    <x v="2"/>
    <x v="2"/>
    <n v="30"/>
    <n v="9"/>
    <m/>
    <x v="2"/>
    <x v="3"/>
    <x v="1"/>
    <n v="20"/>
    <n v="0"/>
    <n v="10"/>
    <m/>
    <n v="10"/>
    <n v="10"/>
    <n v="20"/>
    <m/>
    <m/>
    <x v="0"/>
  </r>
  <r>
    <x v="2"/>
    <x v="33"/>
    <x v="21"/>
    <x v="32"/>
    <x v="2"/>
    <n v="28"/>
    <x v="3"/>
    <n v="14"/>
    <s v="AK"/>
    <x v="2"/>
    <x v="2"/>
    <x v="2"/>
    <x v="2"/>
    <x v="17"/>
    <n v="106.66666666666666"/>
    <n v="54"/>
    <x v="7"/>
    <n v="20"/>
    <x v="0"/>
    <n v="0"/>
    <s v="offensive"/>
    <n v="1"/>
    <n v="0.77777777777777779"/>
    <n v="1"/>
    <n v="0"/>
    <n v="10"/>
    <n v="49"/>
    <n v="49"/>
    <n v="0"/>
    <x v="1"/>
    <n v="0"/>
    <n v="6"/>
    <n v="84"/>
    <n v="90"/>
    <n v="144"/>
    <n v="36591"/>
    <n v="9"/>
    <n v="0"/>
    <s v="03-06-00"/>
    <n v="31"/>
    <s v="DNP"/>
    <x v="1"/>
    <x v="1"/>
    <n v="3"/>
    <x v="0"/>
    <n v="2"/>
    <n v="1"/>
    <x v="0"/>
    <s v="Tim Delaney"/>
    <x v="33"/>
    <x v="3"/>
    <x v="0"/>
    <m/>
    <m/>
    <n v="18"/>
    <n v="0"/>
    <x v="2"/>
    <x v="2"/>
    <x v="2"/>
    <x v="2"/>
    <x v="2"/>
    <n v="21"/>
    <n v="6"/>
    <m/>
    <x v="2"/>
    <x v="0"/>
    <x v="0"/>
    <n v="0"/>
    <n v="0"/>
    <n v="10"/>
    <m/>
    <n v="10"/>
    <n v="10"/>
    <n v="20"/>
    <m/>
    <m/>
    <x v="0"/>
  </r>
  <r>
    <x v="24"/>
    <x v="34"/>
    <x v="21"/>
    <x v="33"/>
    <x v="2"/>
    <n v="28"/>
    <x v="8"/>
    <n v="3"/>
    <s v="AK"/>
    <x v="20"/>
    <x v="20"/>
    <x v="20"/>
    <x v="20"/>
    <x v="2"/>
    <n v="80.5"/>
    <n v="0"/>
    <x v="2"/>
    <n v="20"/>
    <x v="0"/>
    <n v="0"/>
    <s v="both"/>
    <n v="0"/>
    <n v="0.91666666666666663"/>
    <n v="1"/>
    <n v="0"/>
    <n v="10"/>
    <n v="43"/>
    <n v="43"/>
    <n v="0"/>
    <x v="27"/>
    <n v="0"/>
    <n v="6"/>
    <n v="106"/>
    <n v="60"/>
    <n v="139"/>
    <n v="36591"/>
    <n v="9"/>
    <n v="0"/>
    <s v="03-06-00"/>
    <n v="28"/>
    <n v="26"/>
    <x v="1"/>
    <x v="1"/>
    <n v="3"/>
    <x v="0"/>
    <n v="2"/>
    <n v="1"/>
    <x v="0"/>
    <s v="Tim Delaney"/>
    <x v="34"/>
    <x v="1"/>
    <x v="0"/>
    <m/>
    <m/>
    <n v="0"/>
    <n v="0"/>
    <x v="2"/>
    <x v="2"/>
    <x v="2"/>
    <x v="2"/>
    <x v="2"/>
    <n v="33"/>
    <n v="3"/>
    <m/>
    <x v="2"/>
    <x v="0"/>
    <x v="0"/>
    <n v="30"/>
    <n v="0"/>
    <n v="10"/>
    <m/>
    <n v="10"/>
    <n v="10"/>
    <n v="10"/>
    <m/>
    <m/>
    <x v="0"/>
  </r>
  <r>
    <x v="25"/>
    <x v="35"/>
    <x v="27"/>
    <x v="34"/>
    <x v="22"/>
    <n v="23"/>
    <x v="3"/>
    <n v="25"/>
    <s v="AK"/>
    <x v="2"/>
    <x v="2"/>
    <x v="2"/>
    <x v="2"/>
    <x v="2"/>
    <n v="77"/>
    <n v="5"/>
    <x v="3"/>
    <n v="60"/>
    <x v="0"/>
    <n v="0"/>
    <s v="both"/>
    <n v="0.33333333333333331"/>
    <n v="0.5"/>
    <n v="1"/>
    <n v="0"/>
    <n v="30"/>
    <n v="47"/>
    <n v="47"/>
    <n v="0"/>
    <x v="28"/>
    <n v="1"/>
    <n v="12"/>
    <n v="144"/>
    <n v="120"/>
    <n v="169"/>
    <n v="36680"/>
    <n v="9"/>
    <n v="0"/>
    <s v="06-03-00"/>
    <n v="6"/>
    <n v="18"/>
    <x v="1"/>
    <x v="1"/>
    <n v="3"/>
    <x v="0"/>
    <n v="2"/>
    <n v="1"/>
    <x v="0"/>
    <s v="Tim Delaney"/>
    <x v="35"/>
    <x v="2"/>
    <x v="0"/>
    <m/>
    <m/>
    <n v="5"/>
    <n v="10"/>
    <x v="2"/>
    <x v="2"/>
    <x v="2"/>
    <x v="2"/>
    <x v="2"/>
    <n v="12"/>
    <n v="12"/>
    <m/>
    <x v="2"/>
    <x v="0"/>
    <x v="0"/>
    <n v="0"/>
    <n v="30"/>
    <n v="30"/>
    <m/>
    <n v="30"/>
    <n v="30"/>
    <n v="55"/>
    <m/>
    <m/>
    <x v="0"/>
  </r>
  <r>
    <x v="26"/>
    <x v="36"/>
    <x v="21"/>
    <x v="35"/>
    <x v="2"/>
    <n v="28"/>
    <x v="4"/>
    <n v="5"/>
    <s v="AKI"/>
    <x v="15"/>
    <x v="15"/>
    <x v="15"/>
    <x v="15"/>
    <x v="2"/>
    <n v="90.953846153846158"/>
    <n v="24"/>
    <x v="6"/>
    <n v="20"/>
    <x v="5"/>
    <n v="0"/>
    <s v="both"/>
    <n v="0.66666666666666663"/>
    <n v="0.76923076923076927"/>
    <n v="1"/>
    <n v="0.2"/>
    <n v="10"/>
    <n v="56"/>
    <n v="52"/>
    <n v="4"/>
    <x v="1"/>
    <n v="1"/>
    <n v="12"/>
    <n v="70"/>
    <n v="140"/>
    <n v="170"/>
    <n v="36679"/>
    <n v="8"/>
    <n v="0"/>
    <s v="06-02-00"/>
    <n v="9"/>
    <n v="20"/>
    <x v="1"/>
    <x v="1"/>
    <n v="3"/>
    <x v="0"/>
    <n v="2"/>
    <n v="1"/>
    <x v="0"/>
    <s v="Tim Delaney"/>
    <x v="36"/>
    <x v="6"/>
    <x v="0"/>
    <m/>
    <m/>
    <n v="12"/>
    <n v="6"/>
    <x v="2"/>
    <x v="2"/>
    <x v="2"/>
    <x v="2"/>
    <x v="2"/>
    <n v="30"/>
    <n v="9"/>
    <m/>
    <x v="2"/>
    <x v="1"/>
    <x v="1"/>
    <n v="20"/>
    <n v="0"/>
    <n v="10"/>
    <m/>
    <n v="10"/>
    <n v="10"/>
    <n v="20"/>
    <m/>
    <m/>
    <x v="0"/>
  </r>
  <r>
    <x v="2"/>
    <x v="2"/>
    <x v="2"/>
    <x v="2"/>
    <x v="2"/>
    <n v="26"/>
    <x v="2"/>
    <n v="25"/>
    <s v="A"/>
    <x v="2"/>
    <x v="2"/>
    <x v="2"/>
    <x v="2"/>
    <x v="2"/>
    <n v="106.66666666666666"/>
    <n v="54"/>
    <x v="7"/>
    <n v="20"/>
    <x v="0"/>
    <n v="0"/>
    <s v="offensive"/>
    <n v="1"/>
    <n v="0.77777777777777779"/>
    <n v="1"/>
    <n v="0"/>
    <n v="10"/>
    <n v="49"/>
    <n v="49"/>
    <n v="0"/>
    <x v="1"/>
    <n v="1"/>
    <n v="8"/>
    <n v="86"/>
    <n v="80"/>
    <n v="122"/>
    <n v="36621"/>
    <n v="9"/>
    <n v="0"/>
    <s v="04-05-00"/>
    <n v="21"/>
    <s v="DNP"/>
    <x v="1"/>
    <x v="1"/>
    <n v="3"/>
    <x v="0"/>
    <n v="2"/>
    <n v="1"/>
    <x v="0"/>
    <s v="Tim Delaney"/>
    <x v="2"/>
    <x v="5"/>
    <x v="0"/>
    <m/>
    <m/>
    <n v="18"/>
    <n v="0"/>
    <x v="2"/>
    <x v="2"/>
    <x v="2"/>
    <x v="2"/>
    <x v="2"/>
    <n v="21"/>
    <n v="6"/>
    <m/>
    <x v="2"/>
    <x v="2"/>
    <x v="1"/>
    <n v="0"/>
    <n v="0"/>
    <n v="10"/>
    <m/>
    <n v="10"/>
    <n v="10"/>
    <n v="20"/>
    <m/>
    <m/>
    <x v="0"/>
  </r>
  <r>
    <x v="2"/>
    <x v="37"/>
    <x v="21"/>
    <x v="36"/>
    <x v="2"/>
    <n v="28"/>
    <x v="3"/>
    <n v="6"/>
    <s v="AK"/>
    <x v="21"/>
    <x v="21"/>
    <x v="21"/>
    <x v="21"/>
    <x v="2"/>
    <n v="80.5"/>
    <n v="0"/>
    <x v="2"/>
    <n v="20"/>
    <x v="0"/>
    <n v="0"/>
    <s v="both"/>
    <n v="0"/>
    <n v="0.91666666666666663"/>
    <n v="1"/>
    <n v="0"/>
    <n v="10"/>
    <n v="43"/>
    <n v="43"/>
    <n v="0"/>
    <x v="24"/>
    <n v="1"/>
    <n v="8"/>
    <n v="82"/>
    <n v="80"/>
    <n v="145"/>
    <n v="36620"/>
    <n v="8"/>
    <n v="0"/>
    <s v="04-04-00"/>
    <n v="23"/>
    <s v="DNP"/>
    <x v="1"/>
    <x v="1"/>
    <n v="3"/>
    <x v="0"/>
    <n v="2"/>
    <n v="1"/>
    <x v="0"/>
    <s v="Tim Delaney"/>
    <x v="37"/>
    <x v="0"/>
    <x v="0"/>
    <m/>
    <m/>
    <n v="0"/>
    <n v="0"/>
    <x v="2"/>
    <x v="2"/>
    <x v="2"/>
    <x v="2"/>
    <x v="2"/>
    <n v="33"/>
    <n v="3"/>
    <m/>
    <x v="2"/>
    <x v="0"/>
    <x v="0"/>
    <n v="30"/>
    <n v="0"/>
    <n v="10"/>
    <m/>
    <n v="10"/>
    <n v="10"/>
    <n v="10"/>
    <m/>
    <m/>
    <x v="0"/>
  </r>
  <r>
    <x v="2"/>
    <x v="38"/>
    <x v="14"/>
    <x v="37"/>
    <x v="2"/>
    <n v="17"/>
    <x v="3"/>
    <n v="23"/>
    <s v="AKD"/>
    <x v="13"/>
    <x v="13"/>
    <x v="13"/>
    <x v="13"/>
    <x v="18"/>
    <n v="77"/>
    <n v="5"/>
    <x v="3"/>
    <n v="60"/>
    <x v="0"/>
    <n v="0"/>
    <s v="both"/>
    <n v="0.33333333333333331"/>
    <n v="0.5"/>
    <n v="1"/>
    <n v="0"/>
    <n v="30"/>
    <n v="47"/>
    <n v="47"/>
    <n v="0"/>
    <x v="29"/>
    <n v="1"/>
    <n v="3"/>
    <n v="74"/>
    <n v="50"/>
    <n v="162"/>
    <n v="36897"/>
    <n v="8"/>
    <n v="0"/>
    <s v="01-06-01"/>
    <n v="39"/>
    <s v="DNP"/>
    <x v="1"/>
    <x v="1"/>
    <n v="3"/>
    <x v="0"/>
    <n v="2"/>
    <n v="1"/>
    <x v="0"/>
    <s v="Tim Delaney"/>
    <x v="38"/>
    <x v="3"/>
    <x v="0"/>
    <m/>
    <m/>
    <n v="5"/>
    <n v="10"/>
    <x v="2"/>
    <x v="2"/>
    <x v="2"/>
    <x v="2"/>
    <x v="2"/>
    <n v="12"/>
    <n v="12"/>
    <m/>
    <x v="2"/>
    <x v="0"/>
    <x v="0"/>
    <n v="0"/>
    <n v="30"/>
    <n v="30"/>
    <m/>
    <n v="30"/>
    <n v="30"/>
    <n v="55"/>
    <m/>
    <m/>
    <x v="0"/>
  </r>
  <r>
    <x v="0"/>
    <x v="0"/>
    <x v="0"/>
    <x v="0"/>
    <x v="0"/>
    <n v="4"/>
    <x v="0"/>
    <n v="25"/>
    <s v="AKI"/>
    <x v="0"/>
    <x v="0"/>
    <x v="0"/>
    <x v="0"/>
    <x v="0"/>
    <n v="101.54545454545455"/>
    <n v="24"/>
    <x v="0"/>
    <n v="20"/>
    <x v="0"/>
    <n v="3"/>
    <s v="both"/>
    <n v="0.66666666666666663"/>
    <n v="0.90909090909090906"/>
    <n v="1"/>
    <n v="0"/>
    <n v="10"/>
    <n v="52"/>
    <n v="52"/>
    <n v="0"/>
    <x v="0"/>
    <n v="0"/>
    <n v="10"/>
    <n v="178"/>
    <n v="80"/>
    <n v="213"/>
    <n v="36649"/>
    <n v="8"/>
    <n v="0"/>
    <s v="05-03-00"/>
    <n v="11"/>
    <n v="6.5"/>
    <x v="0"/>
    <x v="0"/>
    <n v="3"/>
    <x v="0"/>
    <n v="2"/>
    <n v="1"/>
    <x v="0"/>
    <s v="Tim Delaney"/>
    <x v="0"/>
    <x v="0"/>
    <x v="0"/>
    <n v="2"/>
    <n v="0"/>
    <n v="12"/>
    <n v="6"/>
    <x v="0"/>
    <x v="0"/>
    <x v="0"/>
    <x v="0"/>
    <x v="0"/>
    <n v="30"/>
    <n v="3"/>
    <n v="2"/>
    <x v="0"/>
    <x v="0"/>
    <x v="0"/>
    <n v="20"/>
    <n v="0"/>
    <n v="10"/>
    <m/>
    <n v="10"/>
    <n v="10"/>
    <n v="1"/>
    <n v="0"/>
    <n v="0"/>
    <x v="0"/>
  </r>
  <r>
    <x v="0"/>
    <x v="0"/>
    <x v="0"/>
    <x v="0"/>
    <x v="0"/>
    <n v="4"/>
    <x v="0"/>
    <n v="25"/>
    <s v="AKI"/>
    <x v="0"/>
    <x v="0"/>
    <x v="0"/>
    <x v="0"/>
    <x v="0"/>
    <n v="145.71428571428572"/>
    <n v="54"/>
    <x v="1"/>
    <n v="20"/>
    <x v="0"/>
    <n v="10"/>
    <s v="offensive"/>
    <n v="1"/>
    <n v="0.8571428571428571"/>
    <n v="1"/>
    <n v="0"/>
    <n v="10"/>
    <n v="64"/>
    <n v="64"/>
    <n v="0"/>
    <x v="0"/>
    <n v="0"/>
    <n v="10"/>
    <n v="178"/>
    <n v="80"/>
    <n v="213"/>
    <n v="36649"/>
    <n v="8"/>
    <n v="0"/>
    <s v="05-03-00"/>
    <n v="11"/>
    <n v="6.5"/>
    <x v="0"/>
    <x v="0"/>
    <n v="3"/>
    <x v="0"/>
    <n v="2"/>
    <n v="1"/>
    <x v="0"/>
    <s v="Tim Delaney"/>
    <x v="0"/>
    <x v="1"/>
    <x v="0"/>
    <n v="3"/>
    <n v="2"/>
    <n v="18"/>
    <n v="0"/>
    <x v="1"/>
    <x v="1"/>
    <x v="0"/>
    <x v="0"/>
    <x v="1"/>
    <n v="36"/>
    <n v="6"/>
    <n v="2"/>
    <x v="0"/>
    <x v="0"/>
    <x v="0"/>
    <n v="0"/>
    <n v="0"/>
    <n v="10"/>
    <m/>
    <n v="10"/>
    <n v="10"/>
    <n v="1"/>
    <n v="0"/>
    <n v="0"/>
    <x v="0"/>
  </r>
  <r>
    <x v="0"/>
    <x v="0"/>
    <x v="0"/>
    <x v="0"/>
    <x v="0"/>
    <n v="4"/>
    <x v="0"/>
    <n v="25"/>
    <s v="AKI"/>
    <x v="0"/>
    <x v="0"/>
    <x v="0"/>
    <x v="0"/>
    <x v="0"/>
    <n v="80.5"/>
    <n v="0"/>
    <x v="2"/>
    <n v="20"/>
    <x v="0"/>
    <n v="0"/>
    <s v="both"/>
    <n v="0"/>
    <n v="0.91666666666666663"/>
    <n v="1"/>
    <n v="0"/>
    <n v="10"/>
    <n v="43"/>
    <n v="43"/>
    <n v="0"/>
    <x v="0"/>
    <n v="0"/>
    <n v="10"/>
    <n v="178"/>
    <n v="80"/>
    <n v="213"/>
    <n v="36649"/>
    <n v="8"/>
    <n v="0"/>
    <s v="05-03-00"/>
    <n v="11"/>
    <n v="6.5"/>
    <x v="0"/>
    <x v="0"/>
    <n v="3"/>
    <x v="0"/>
    <n v="2"/>
    <n v="1"/>
    <x v="0"/>
    <s v="Tim Delaney"/>
    <x v="0"/>
    <x v="2"/>
    <x v="0"/>
    <n v="3"/>
    <n v="0"/>
    <n v="0"/>
    <n v="0"/>
    <x v="1"/>
    <x v="0"/>
    <x v="1"/>
    <x v="0"/>
    <x v="1"/>
    <n v="33"/>
    <n v="3"/>
    <n v="2"/>
    <x v="0"/>
    <x v="0"/>
    <x v="0"/>
    <n v="30"/>
    <n v="0"/>
    <n v="10"/>
    <m/>
    <n v="10"/>
    <n v="10"/>
    <n v="1"/>
    <n v="0"/>
    <n v="0"/>
    <x v="0"/>
  </r>
  <r>
    <x v="1"/>
    <x v="1"/>
    <x v="1"/>
    <x v="1"/>
    <x v="1"/>
    <n v="8"/>
    <x v="1"/>
    <n v="13"/>
    <s v="AKI"/>
    <x v="1"/>
    <x v="1"/>
    <x v="1"/>
    <x v="1"/>
    <x v="1"/>
    <n v="21.32"/>
    <n v="5"/>
    <x v="3"/>
    <n v="0"/>
    <x v="1"/>
    <n v="0"/>
    <s v="both"/>
    <n v="0.33333333333333331"/>
    <n v="0.5"/>
    <n v="1"/>
    <n v="0.6"/>
    <n v="30"/>
    <n v="24.2"/>
    <n v="17"/>
    <n v="7.2"/>
    <x v="0"/>
    <n v="0"/>
    <n v="5"/>
    <n v="118"/>
    <n v="120"/>
    <n v="179"/>
    <n v="36927"/>
    <n v="8"/>
    <n v="0"/>
    <s v="02-05-01"/>
    <n v="34"/>
    <n v="12"/>
    <x v="1"/>
    <x v="1"/>
    <n v="3"/>
    <x v="0"/>
    <n v="2"/>
    <n v="1"/>
    <x v="0"/>
    <s v="Tim Delaney"/>
    <x v="1"/>
    <x v="0"/>
    <x v="0"/>
    <n v="3"/>
    <n v="0"/>
    <n v="5"/>
    <n v="10"/>
    <x v="1"/>
    <x v="1"/>
    <x v="1"/>
    <x v="1"/>
    <x v="1"/>
    <n v="12"/>
    <n v="12"/>
    <n v="2"/>
    <x v="0"/>
    <x v="1"/>
    <x v="1"/>
    <n v="0"/>
    <n v="30"/>
    <n v="0"/>
    <m/>
    <n v="0"/>
    <n v="30"/>
    <n v="55"/>
    <n v="0"/>
    <n v="0"/>
    <x v="0"/>
  </r>
  <r>
    <x v="1"/>
    <x v="1"/>
    <x v="1"/>
    <x v="1"/>
    <x v="1"/>
    <n v="8"/>
    <x v="1"/>
    <n v="13"/>
    <s v="AKI"/>
    <x v="1"/>
    <x v="1"/>
    <x v="1"/>
    <x v="1"/>
    <x v="1"/>
    <n v="106.48"/>
    <n v="20"/>
    <x v="4"/>
    <n v="20"/>
    <x v="2"/>
    <n v="0"/>
    <s v="both"/>
    <n v="0.66666666666666663"/>
    <n v="1"/>
    <n v="1"/>
    <n v="0.6"/>
    <n v="30"/>
    <n v="60.8"/>
    <n v="50"/>
    <n v="10.8"/>
    <x v="0"/>
    <n v="0"/>
    <n v="5"/>
    <n v="118"/>
    <n v="120"/>
    <n v="179"/>
    <n v="36927"/>
    <n v="8"/>
    <n v="0"/>
    <s v="02-05-01"/>
    <n v="34"/>
    <n v="12"/>
    <x v="1"/>
    <x v="1"/>
    <n v="3"/>
    <x v="0"/>
    <n v="2"/>
    <n v="1"/>
    <x v="0"/>
    <s v="Tim Delaney"/>
    <x v="1"/>
    <x v="3"/>
    <x v="0"/>
    <n v="3"/>
    <n v="0"/>
    <n v="10"/>
    <n v="5"/>
    <x v="1"/>
    <x v="1"/>
    <x v="1"/>
    <x v="1"/>
    <x v="1"/>
    <n v="30"/>
    <n v="0"/>
    <n v="2"/>
    <x v="0"/>
    <x v="2"/>
    <x v="1"/>
    <n v="0"/>
    <n v="45"/>
    <n v="10"/>
    <m/>
    <n v="10"/>
    <n v="30"/>
    <n v="40"/>
    <n v="0"/>
    <n v="0"/>
    <x v="0"/>
  </r>
  <r>
    <x v="1"/>
    <x v="1"/>
    <x v="1"/>
    <x v="1"/>
    <x v="1"/>
    <n v="8"/>
    <x v="1"/>
    <n v="13"/>
    <s v="AKI"/>
    <x v="1"/>
    <x v="1"/>
    <x v="1"/>
    <x v="1"/>
    <x v="1"/>
    <n v="152.12545454545455"/>
    <n v="20"/>
    <x v="0"/>
    <n v="60"/>
    <x v="3"/>
    <n v="3"/>
    <s v="both"/>
    <n v="0.66666666666666663"/>
    <n v="0.90909090909090906"/>
    <n v="1"/>
    <n v="0.9"/>
    <n v="30"/>
    <n v="86.199999999999989"/>
    <n v="70"/>
    <n v="16.199999999999996"/>
    <x v="0"/>
    <n v="0"/>
    <n v="5"/>
    <n v="118"/>
    <n v="120"/>
    <n v="179"/>
    <n v="36927"/>
    <n v="8"/>
    <n v="0"/>
    <s v="02-05-01"/>
    <n v="34"/>
    <n v="12"/>
    <x v="1"/>
    <x v="1"/>
    <n v="3"/>
    <x v="0"/>
    <n v="2"/>
    <n v="1"/>
    <x v="0"/>
    <s v="Tim Delaney"/>
    <x v="1"/>
    <x v="1"/>
    <x v="0"/>
    <n v="3"/>
    <n v="0"/>
    <n v="10"/>
    <n v="5"/>
    <x v="0"/>
    <x v="0"/>
    <x v="0"/>
    <x v="0"/>
    <x v="0"/>
    <n v="30"/>
    <n v="3"/>
    <n v="2"/>
    <x v="0"/>
    <x v="1"/>
    <x v="2"/>
    <n v="0"/>
    <n v="45"/>
    <n v="30"/>
    <m/>
    <n v="30"/>
    <n v="30"/>
    <n v="110"/>
    <n v="0"/>
    <n v="0"/>
    <x v="0"/>
  </r>
  <r>
    <x v="2"/>
    <x v="2"/>
    <x v="2"/>
    <x v="2"/>
    <x v="2"/>
    <n v="26"/>
    <x v="2"/>
    <n v="25"/>
    <s v="A"/>
    <x v="2"/>
    <x v="2"/>
    <x v="2"/>
    <x v="2"/>
    <x v="2"/>
    <n v="121.22025974025973"/>
    <n v="0"/>
    <x v="5"/>
    <n v="0"/>
    <x v="2"/>
    <n v="5"/>
    <s v="both"/>
    <n v="0"/>
    <n v="0.8441558441558441"/>
    <n v="1"/>
    <n v="0.9"/>
    <n v="20"/>
    <n v="72.2"/>
    <n v="65"/>
    <n v="7.2"/>
    <x v="1"/>
    <n v="1"/>
    <n v="8"/>
    <n v="86"/>
    <n v="80"/>
    <n v="122"/>
    <n v="36621"/>
    <n v="9"/>
    <n v="0"/>
    <s v="04-05-00"/>
    <n v="21"/>
    <s v="DNP"/>
    <x v="1"/>
    <x v="1"/>
    <n v="3"/>
    <x v="0"/>
    <n v="2"/>
    <n v="1"/>
    <x v="0"/>
    <s v="Tim Delaney"/>
    <x v="2"/>
    <x v="2"/>
    <x v="0"/>
    <n v="3"/>
    <n v="0"/>
    <n v="0"/>
    <n v="0"/>
    <x v="1"/>
    <x v="1"/>
    <x v="0"/>
    <x v="0"/>
    <x v="1"/>
    <n v="65"/>
    <n v="12"/>
    <n v="2"/>
    <x v="0"/>
    <x v="1"/>
    <x v="2"/>
    <n v="0"/>
    <n v="20"/>
    <n v="0"/>
    <m/>
    <n v="0"/>
    <n v="20"/>
    <n v="0"/>
    <n v="0"/>
    <n v="0"/>
    <x v="0"/>
  </r>
  <r>
    <x v="2"/>
    <x v="2"/>
    <x v="2"/>
    <x v="2"/>
    <x v="2"/>
    <n v="26"/>
    <x v="2"/>
    <n v="25"/>
    <s v="A"/>
    <x v="2"/>
    <x v="2"/>
    <x v="2"/>
    <x v="2"/>
    <x v="2"/>
    <n v="66.98"/>
    <n v="0"/>
    <x v="2"/>
    <n v="0"/>
    <x v="2"/>
    <n v="0"/>
    <s v="both"/>
    <n v="0"/>
    <n v="0.6875"/>
    <n v="0"/>
    <n v="0.6"/>
    <n v="0"/>
    <n v="54.8"/>
    <n v="44"/>
    <n v="10.8"/>
    <x v="1"/>
    <n v="1"/>
    <n v="8"/>
    <n v="86"/>
    <n v="80"/>
    <n v="122"/>
    <n v="36621"/>
    <n v="9"/>
    <n v="0"/>
    <s v="04-05-00"/>
    <n v="21"/>
    <s v="DNP"/>
    <x v="1"/>
    <x v="1"/>
    <n v="3"/>
    <x v="0"/>
    <n v="2"/>
    <n v="1"/>
    <x v="0"/>
    <s v="Tim Delaney"/>
    <x v="2"/>
    <x v="4"/>
    <x v="0"/>
    <n v="3"/>
    <n v="0"/>
    <n v="0"/>
    <n v="0"/>
    <x v="1"/>
    <x v="0"/>
    <x v="1"/>
    <x v="0"/>
    <x v="1"/>
    <n v="44"/>
    <n v="20"/>
    <n v="2"/>
    <x v="0"/>
    <x v="3"/>
    <x v="1"/>
    <n v="0"/>
    <n v="45"/>
    <n v="0"/>
    <m/>
    <n v="0"/>
    <n v="0"/>
    <n v="0"/>
    <n v="0"/>
    <n v="0"/>
    <x v="0"/>
  </r>
  <r>
    <x v="2"/>
    <x v="3"/>
    <x v="3"/>
    <x v="3"/>
    <x v="2"/>
    <n v="19"/>
    <x v="3"/>
    <n v="12"/>
    <s v="AKI"/>
    <x v="3"/>
    <x v="3"/>
    <x v="3"/>
    <x v="3"/>
    <x v="2"/>
    <n v="93.15384615384616"/>
    <n v="24"/>
    <x v="6"/>
    <n v="20"/>
    <x v="0"/>
    <n v="3"/>
    <s v="both"/>
    <n v="0.66666666666666663"/>
    <n v="0.76923076923076927"/>
    <n v="1"/>
    <n v="0"/>
    <n v="10"/>
    <n v="52"/>
    <n v="52"/>
    <n v="0"/>
    <x v="2"/>
    <n v="0"/>
    <n v="6"/>
    <n v="66"/>
    <n v="70"/>
    <n v="129"/>
    <n v="36590"/>
    <n v="8"/>
    <n v="0"/>
    <s v="03-05-00"/>
    <n v="32"/>
    <s v="DNP"/>
    <x v="1"/>
    <x v="1"/>
    <n v="3"/>
    <x v="0"/>
    <n v="2"/>
    <n v="1"/>
    <x v="0"/>
    <s v="Tim Delaney"/>
    <x v="3"/>
    <x v="0"/>
    <x v="0"/>
    <n v="3"/>
    <n v="0"/>
    <n v="12"/>
    <n v="6"/>
    <x v="0"/>
    <x v="0"/>
    <x v="0"/>
    <x v="0"/>
    <x v="0"/>
    <n v="30"/>
    <n v="9"/>
    <n v="2"/>
    <x v="0"/>
    <x v="0"/>
    <x v="0"/>
    <n v="20"/>
    <n v="0"/>
    <n v="10"/>
    <m/>
    <n v="10"/>
    <n v="10"/>
    <n v="20"/>
    <n v="0"/>
    <n v="0"/>
    <x v="0"/>
  </r>
  <r>
    <x v="2"/>
    <x v="4"/>
    <x v="4"/>
    <x v="4"/>
    <x v="2"/>
    <n v="25"/>
    <x v="3"/>
    <n v="4"/>
    <s v="AK"/>
    <x v="4"/>
    <x v="4"/>
    <x v="4"/>
    <x v="4"/>
    <x v="2"/>
    <n v="111.66666666666666"/>
    <n v="54"/>
    <x v="7"/>
    <n v="20"/>
    <x v="0"/>
    <n v="5"/>
    <s v="offensive"/>
    <n v="1"/>
    <n v="0.77777777777777779"/>
    <n v="1"/>
    <n v="0"/>
    <n v="10"/>
    <n v="49"/>
    <n v="49"/>
    <n v="0"/>
    <x v="3"/>
    <n v="0"/>
    <n v="8"/>
    <n v="106"/>
    <n v="120"/>
    <n v="156"/>
    <n v="36621"/>
    <n v="9"/>
    <n v="0"/>
    <s v="04-05-00"/>
    <n v="19"/>
    <s v="DNP"/>
    <x v="1"/>
    <x v="1"/>
    <n v="3"/>
    <x v="0"/>
    <n v="2"/>
    <n v="1"/>
    <x v="0"/>
    <s v="Tim Delaney"/>
    <x v="4"/>
    <x v="3"/>
    <x v="0"/>
    <n v="3"/>
    <n v="0"/>
    <n v="18"/>
    <n v="0"/>
    <x v="1"/>
    <x v="1"/>
    <x v="0"/>
    <x v="0"/>
    <x v="1"/>
    <n v="21"/>
    <n v="6"/>
    <n v="2"/>
    <x v="0"/>
    <x v="0"/>
    <x v="0"/>
    <n v="0"/>
    <n v="0"/>
    <n v="10"/>
    <m/>
    <n v="10"/>
    <n v="10"/>
    <n v="20"/>
    <n v="0"/>
    <n v="0"/>
    <x v="0"/>
  </r>
  <r>
    <x v="3"/>
    <x v="5"/>
    <x v="5"/>
    <x v="5"/>
    <x v="3"/>
    <n v="16"/>
    <x v="4"/>
    <n v="25"/>
    <s v="AKI"/>
    <x v="5"/>
    <x v="5"/>
    <x v="5"/>
    <x v="5"/>
    <x v="3"/>
    <n v="83.5"/>
    <n v="0"/>
    <x v="2"/>
    <n v="20"/>
    <x v="0"/>
    <n v="3"/>
    <s v="both"/>
    <n v="0"/>
    <n v="0.91666666666666663"/>
    <n v="1"/>
    <n v="0"/>
    <n v="10"/>
    <n v="43"/>
    <n v="43"/>
    <n v="0"/>
    <x v="1"/>
    <n v="0"/>
    <n v="12"/>
    <n v="142"/>
    <n v="110"/>
    <n v="112"/>
    <n v="36679"/>
    <n v="8"/>
    <n v="0"/>
    <s v="06-02-00"/>
    <n v="8"/>
    <n v="7"/>
    <x v="1"/>
    <x v="1"/>
    <n v="3"/>
    <x v="0"/>
    <n v="2"/>
    <n v="1"/>
    <x v="0"/>
    <s v="Tim Delaney"/>
    <x v="5"/>
    <x v="1"/>
    <x v="0"/>
    <n v="3"/>
    <n v="0"/>
    <n v="0"/>
    <n v="0"/>
    <x v="0"/>
    <x v="0"/>
    <x v="0"/>
    <x v="0"/>
    <x v="0"/>
    <n v="33"/>
    <n v="3"/>
    <n v="2"/>
    <x v="0"/>
    <x v="0"/>
    <x v="0"/>
    <n v="30"/>
    <n v="0"/>
    <n v="10"/>
    <m/>
    <n v="10"/>
    <n v="10"/>
    <n v="10"/>
    <n v="0"/>
    <n v="0"/>
    <x v="0"/>
  </r>
  <r>
    <x v="4"/>
    <x v="6"/>
    <x v="6"/>
    <x v="6"/>
    <x v="4"/>
    <n v="13"/>
    <x v="5"/>
    <n v="24"/>
    <s v="AI"/>
    <x v="6"/>
    <x v="6"/>
    <x v="6"/>
    <x v="6"/>
    <x v="4"/>
    <n v="82"/>
    <n v="5"/>
    <x v="3"/>
    <n v="60"/>
    <x v="0"/>
    <n v="5"/>
    <s v="both"/>
    <n v="0.33333333333333331"/>
    <n v="0.5"/>
    <n v="1"/>
    <n v="0"/>
    <n v="30"/>
    <n v="47"/>
    <n v="47"/>
    <n v="0"/>
    <x v="4"/>
    <n v="0"/>
    <n v="4"/>
    <n v="112"/>
    <n v="90"/>
    <n v="106"/>
    <n v="36562"/>
    <n v="8"/>
    <n v="0"/>
    <s v="02-06-00"/>
    <n v="35"/>
    <n v="15"/>
    <x v="1"/>
    <x v="1"/>
    <n v="3"/>
    <x v="0"/>
    <n v="2"/>
    <n v="1"/>
    <x v="0"/>
    <s v="Tim Delaney"/>
    <x v="6"/>
    <x v="2"/>
    <x v="0"/>
    <n v="3"/>
    <n v="0"/>
    <n v="5"/>
    <n v="10"/>
    <x v="1"/>
    <x v="1"/>
    <x v="0"/>
    <x v="0"/>
    <x v="1"/>
    <n v="12"/>
    <n v="12"/>
    <n v="2"/>
    <x v="0"/>
    <x v="0"/>
    <x v="0"/>
    <n v="0"/>
    <n v="30"/>
    <n v="30"/>
    <m/>
    <n v="30"/>
    <n v="30"/>
    <n v="55"/>
    <n v="0"/>
    <n v="0"/>
    <x v="0"/>
  </r>
  <r>
    <x v="27"/>
    <x v="39"/>
    <x v="28"/>
    <x v="38"/>
    <x v="23"/>
    <n v="2"/>
    <x v="10"/>
    <n v="15"/>
    <s v="AK"/>
    <x v="2"/>
    <x v="2"/>
    <x v="2"/>
    <x v="2"/>
    <x v="19"/>
    <n v="90.15384615384616"/>
    <n v="24"/>
    <x v="6"/>
    <n v="20"/>
    <x v="0"/>
    <n v="0"/>
    <s v="both"/>
    <n v="0.66666666666666663"/>
    <n v="0.76923076923076927"/>
    <n v="1"/>
    <n v="0"/>
    <n v="10"/>
    <n v="52"/>
    <n v="52"/>
    <n v="0"/>
    <x v="30"/>
    <n v="0"/>
    <n v="18"/>
    <n v="240"/>
    <n v="140"/>
    <n v="461"/>
    <s v="9-0-0"/>
    <n v="9"/>
    <n v="0"/>
    <s v="9-0-0"/>
    <n v="1"/>
    <n v="1"/>
    <x v="1"/>
    <x v="1"/>
    <n v="3"/>
    <x v="0"/>
    <n v="2"/>
    <n v="1"/>
    <x v="0"/>
    <s v="Tim Delaney"/>
    <x v="39"/>
    <x v="6"/>
    <x v="0"/>
    <n v="3"/>
    <n v="0"/>
    <n v="12"/>
    <n v="6"/>
    <x v="1"/>
    <x v="0"/>
    <x v="1"/>
    <x v="0"/>
    <x v="1"/>
    <n v="30"/>
    <n v="9"/>
    <n v="2"/>
    <x v="0"/>
    <x v="0"/>
    <x v="0"/>
    <n v="20"/>
    <n v="0"/>
    <n v="10"/>
    <m/>
    <n v="10"/>
    <n v="10"/>
    <n v="20"/>
    <n v="0"/>
    <n v="0"/>
    <x v="0"/>
  </r>
  <r>
    <x v="5"/>
    <x v="7"/>
    <x v="7"/>
    <x v="7"/>
    <x v="5"/>
    <n v="14"/>
    <x v="6"/>
    <n v="21"/>
    <s v="AK"/>
    <x v="7"/>
    <x v="7"/>
    <x v="7"/>
    <x v="7"/>
    <x v="5"/>
    <n v="106.66666666666666"/>
    <n v="54"/>
    <x v="7"/>
    <n v="20"/>
    <x v="0"/>
    <n v="0"/>
    <s v="offensive"/>
    <n v="1"/>
    <n v="0.77777777777777779"/>
    <n v="1"/>
    <n v="0"/>
    <n v="10"/>
    <n v="49"/>
    <n v="49"/>
    <n v="0"/>
    <x v="5"/>
    <n v="0"/>
    <n v="8"/>
    <n v="102"/>
    <n v="90"/>
    <n v="94"/>
    <n v="36620"/>
    <n v="8"/>
    <n v="0"/>
    <s v="04-04-00"/>
    <n v="20"/>
    <n v="14"/>
    <x v="0"/>
    <x v="2"/>
    <n v="3"/>
    <x v="0"/>
    <n v="2"/>
    <n v="1"/>
    <x v="0"/>
    <s v="Tim Delaney"/>
    <x v="7"/>
    <x v="5"/>
    <x v="0"/>
    <n v="3"/>
    <n v="0"/>
    <n v="18"/>
    <n v="0"/>
    <x v="1"/>
    <x v="1"/>
    <x v="1"/>
    <x v="1"/>
    <x v="1"/>
    <n v="21"/>
    <n v="6"/>
    <n v="2"/>
    <x v="0"/>
    <x v="0"/>
    <x v="0"/>
    <n v="0"/>
    <n v="0"/>
    <n v="10"/>
    <m/>
    <n v="10"/>
    <n v="10"/>
    <n v="20"/>
    <n v="0"/>
    <n v="0"/>
    <x v="0"/>
  </r>
  <r>
    <x v="6"/>
    <x v="8"/>
    <x v="8"/>
    <x v="8"/>
    <x v="6"/>
    <n v="12"/>
    <x v="2"/>
    <n v="25"/>
    <s v="AKI"/>
    <x v="8"/>
    <x v="8"/>
    <x v="8"/>
    <x v="8"/>
    <x v="6"/>
    <n v="81.7"/>
    <n v="0"/>
    <x v="2"/>
    <n v="20"/>
    <x v="4"/>
    <n v="0"/>
    <s v="both"/>
    <n v="0"/>
    <n v="0.91666666666666663"/>
    <n v="1"/>
    <n v="0.2"/>
    <n v="10"/>
    <n v="49"/>
    <n v="43"/>
    <n v="6"/>
    <x v="1"/>
    <n v="0"/>
    <n v="14"/>
    <n v="180"/>
    <n v="140"/>
    <n v="209"/>
    <n v="36709"/>
    <n v="9"/>
    <n v="0"/>
    <s v="07-02-00"/>
    <n v="3"/>
    <n v="9"/>
    <x v="0"/>
    <x v="3"/>
    <n v="3"/>
    <x v="0"/>
    <n v="2"/>
    <n v="1"/>
    <x v="0"/>
    <s v="Tim Delaney"/>
    <x v="8"/>
    <x v="0"/>
    <x v="0"/>
    <n v="3"/>
    <n v="0"/>
    <n v="0"/>
    <n v="0"/>
    <x v="1"/>
    <x v="1"/>
    <x v="1"/>
    <x v="1"/>
    <x v="1"/>
    <n v="33"/>
    <n v="3"/>
    <n v="2"/>
    <x v="0"/>
    <x v="1"/>
    <x v="1"/>
    <n v="30"/>
    <n v="0"/>
    <n v="10"/>
    <m/>
    <n v="10"/>
    <n v="10"/>
    <n v="10"/>
    <n v="0"/>
    <n v="0"/>
    <x v="0"/>
  </r>
  <r>
    <x v="7"/>
    <x v="9"/>
    <x v="9"/>
    <x v="9"/>
    <x v="7"/>
    <n v="1"/>
    <x v="7"/>
    <n v="25"/>
    <s v="AKI"/>
    <x v="9"/>
    <x v="9"/>
    <x v="9"/>
    <x v="9"/>
    <x v="7"/>
    <n v="24.32"/>
    <n v="5"/>
    <x v="3"/>
    <n v="0"/>
    <x v="1"/>
    <n v="3"/>
    <s v="both"/>
    <n v="0.33333333333333331"/>
    <n v="0.5"/>
    <n v="1"/>
    <n v="0.6"/>
    <n v="30"/>
    <n v="24.2"/>
    <n v="17"/>
    <n v="7.2"/>
    <x v="6"/>
    <n v="0"/>
    <n v="12"/>
    <n v="142"/>
    <n v="110"/>
    <n v="418"/>
    <n v="36679"/>
    <n v="8"/>
    <n v="0"/>
    <s v="06-02-00"/>
    <n v="7"/>
    <n v="2"/>
    <x v="1"/>
    <x v="1"/>
    <n v="3"/>
    <x v="0"/>
    <n v="2"/>
    <n v="1"/>
    <x v="0"/>
    <s v="Tim Delaney"/>
    <x v="9"/>
    <x v="3"/>
    <x v="0"/>
    <n v="3"/>
    <n v="0"/>
    <n v="5"/>
    <n v="10"/>
    <x v="0"/>
    <x v="0"/>
    <x v="0"/>
    <x v="0"/>
    <x v="0"/>
    <n v="12"/>
    <n v="12"/>
    <n v="2"/>
    <x v="0"/>
    <x v="2"/>
    <x v="1"/>
    <n v="0"/>
    <n v="30"/>
    <n v="0"/>
    <m/>
    <n v="0"/>
    <n v="30"/>
    <n v="55"/>
    <n v="0"/>
    <n v="0"/>
    <x v="0"/>
  </r>
  <r>
    <x v="8"/>
    <x v="10"/>
    <x v="8"/>
    <x v="10"/>
    <x v="8"/>
    <n v="6"/>
    <x v="2"/>
    <n v="25"/>
    <s v="AKI"/>
    <x v="10"/>
    <x v="10"/>
    <x v="10"/>
    <x v="10"/>
    <x v="2"/>
    <n v="95.953846153846158"/>
    <n v="24"/>
    <x v="6"/>
    <n v="20"/>
    <x v="5"/>
    <n v="5"/>
    <s v="both"/>
    <n v="0.66666666666666663"/>
    <n v="0.76923076923076927"/>
    <n v="1"/>
    <n v="0.2"/>
    <n v="10"/>
    <n v="56"/>
    <n v="52"/>
    <n v="4"/>
    <x v="1"/>
    <n v="0"/>
    <n v="9"/>
    <n v="78"/>
    <n v="50"/>
    <n v="194"/>
    <n v="36984"/>
    <n v="8"/>
    <n v="0"/>
    <s v="04-03-01"/>
    <n v="17"/>
    <n v="21"/>
    <x v="1"/>
    <x v="1"/>
    <n v="3"/>
    <x v="0"/>
    <n v="2"/>
    <n v="1"/>
    <x v="0"/>
    <s v="Tim Delaney"/>
    <x v="10"/>
    <x v="1"/>
    <x v="0"/>
    <n v="3"/>
    <n v="0"/>
    <n v="12"/>
    <n v="6"/>
    <x v="1"/>
    <x v="1"/>
    <x v="0"/>
    <x v="0"/>
    <x v="1"/>
    <n v="30"/>
    <n v="9"/>
    <n v="2"/>
    <x v="0"/>
    <x v="1"/>
    <x v="2"/>
    <n v="20"/>
    <n v="0"/>
    <n v="10"/>
    <m/>
    <n v="10"/>
    <n v="10"/>
    <n v="20"/>
    <n v="0"/>
    <n v="0"/>
    <x v="0"/>
  </r>
  <r>
    <x v="9"/>
    <x v="11"/>
    <x v="10"/>
    <x v="11"/>
    <x v="9"/>
    <n v="9"/>
    <x v="3"/>
    <n v="25"/>
    <s v="AKI"/>
    <x v="2"/>
    <x v="2"/>
    <x v="2"/>
    <x v="2"/>
    <x v="8"/>
    <n v="106.66666666666666"/>
    <n v="54"/>
    <x v="7"/>
    <n v="20"/>
    <x v="0"/>
    <n v="0"/>
    <s v="offensive"/>
    <n v="1"/>
    <n v="0.77777777777777779"/>
    <n v="1"/>
    <n v="0"/>
    <n v="10"/>
    <n v="49"/>
    <n v="49"/>
    <n v="0"/>
    <x v="7"/>
    <n v="0"/>
    <n v="6"/>
    <n v="106"/>
    <n v="70"/>
    <n v="201"/>
    <n v="36590"/>
    <n v="8"/>
    <n v="0"/>
    <s v="03-05-00"/>
    <n v="27"/>
    <n v="8"/>
    <x v="0"/>
    <x v="4"/>
    <n v="3"/>
    <x v="0"/>
    <n v="2"/>
    <n v="1"/>
    <x v="0"/>
    <s v="Tim Delaney"/>
    <x v="11"/>
    <x v="2"/>
    <x v="0"/>
    <n v="3"/>
    <n v="0"/>
    <n v="18"/>
    <n v="0"/>
    <x v="1"/>
    <x v="0"/>
    <x v="1"/>
    <x v="0"/>
    <x v="1"/>
    <n v="21"/>
    <n v="6"/>
    <n v="2"/>
    <x v="0"/>
    <x v="1"/>
    <x v="2"/>
    <n v="0"/>
    <n v="0"/>
    <n v="10"/>
    <m/>
    <n v="10"/>
    <n v="10"/>
    <n v="20"/>
    <n v="0"/>
    <n v="0"/>
    <x v="0"/>
  </r>
  <r>
    <x v="10"/>
    <x v="12"/>
    <x v="11"/>
    <x v="12"/>
    <x v="10"/>
    <n v="20"/>
    <x v="8"/>
    <n v="25"/>
    <s v="A"/>
    <x v="2"/>
    <x v="2"/>
    <x v="2"/>
    <x v="2"/>
    <x v="9"/>
    <n v="99.7"/>
    <n v="0"/>
    <x v="2"/>
    <n v="20"/>
    <x v="6"/>
    <n v="0"/>
    <s v="both"/>
    <n v="0"/>
    <n v="0.91666666666666663"/>
    <n v="1"/>
    <n v="0.8"/>
    <n v="10"/>
    <n v="67"/>
    <n v="43"/>
    <n v="24"/>
    <x v="8"/>
    <n v="0"/>
    <n v="12"/>
    <n v="186"/>
    <n v="110"/>
    <n v="231"/>
    <n v="36680"/>
    <n v="9"/>
    <n v="0"/>
    <s v="06-03-00"/>
    <n v="5"/>
    <n v="10"/>
    <x v="1"/>
    <x v="1"/>
    <n v="3"/>
    <x v="0"/>
    <n v="2"/>
    <n v="1"/>
    <x v="0"/>
    <s v="Tim Delaney"/>
    <x v="12"/>
    <x v="6"/>
    <x v="0"/>
    <n v="3"/>
    <n v="0"/>
    <n v="0"/>
    <n v="0"/>
    <x v="1"/>
    <x v="1"/>
    <x v="1"/>
    <x v="1"/>
    <x v="1"/>
    <n v="33"/>
    <n v="3"/>
    <n v="2"/>
    <x v="0"/>
    <x v="3"/>
    <x v="1"/>
    <n v="30"/>
    <n v="0"/>
    <n v="10"/>
    <m/>
    <n v="10"/>
    <n v="10"/>
    <n v="10"/>
    <n v="0"/>
    <n v="0"/>
    <x v="0"/>
  </r>
  <r>
    <x v="11"/>
    <x v="13"/>
    <x v="12"/>
    <x v="13"/>
    <x v="11"/>
    <n v="3"/>
    <x v="7"/>
    <n v="18"/>
    <s v="AKI"/>
    <x v="11"/>
    <x v="11"/>
    <x v="11"/>
    <x v="11"/>
    <x v="2"/>
    <n v="20"/>
    <n v="5"/>
    <x v="3"/>
    <n v="0"/>
    <x v="0"/>
    <n v="3"/>
    <s v="both"/>
    <n v="0.33333333333333331"/>
    <n v="0.5"/>
    <n v="1"/>
    <n v="0"/>
    <n v="30"/>
    <n v="17"/>
    <n v="17"/>
    <n v="0"/>
    <x v="9"/>
    <n v="0"/>
    <n v="12"/>
    <n v="186"/>
    <n v="150"/>
    <n v="379"/>
    <n v="36680"/>
    <n v="9"/>
    <n v="0"/>
    <s v="06-03-00"/>
    <n v="4"/>
    <n v="4"/>
    <x v="0"/>
    <x v="5"/>
    <n v="3"/>
    <x v="0"/>
    <n v="2"/>
    <n v="1"/>
    <x v="0"/>
    <s v="Tim Delaney"/>
    <x v="13"/>
    <x v="5"/>
    <x v="0"/>
    <n v="3"/>
    <n v="0"/>
    <n v="5"/>
    <n v="10"/>
    <x v="0"/>
    <x v="0"/>
    <x v="0"/>
    <x v="0"/>
    <x v="0"/>
    <n v="12"/>
    <n v="12"/>
    <n v="2"/>
    <x v="0"/>
    <x v="0"/>
    <x v="0"/>
    <n v="0"/>
    <n v="30"/>
    <n v="0"/>
    <m/>
    <n v="0"/>
    <n v="30"/>
    <n v="55"/>
    <n v="0"/>
    <n v="0"/>
    <x v="0"/>
  </r>
  <r>
    <x v="0"/>
    <x v="0"/>
    <x v="0"/>
    <x v="0"/>
    <x v="0"/>
    <n v="4"/>
    <x v="0"/>
    <n v="25"/>
    <s v="AKI"/>
    <x v="0"/>
    <x v="0"/>
    <x v="0"/>
    <x v="0"/>
    <x v="0"/>
    <n v="95.15384615384616"/>
    <n v="24"/>
    <x v="6"/>
    <n v="20"/>
    <x v="0"/>
    <n v="5"/>
    <s v="both"/>
    <n v="0.66666666666666663"/>
    <n v="0.76923076923076927"/>
    <n v="1"/>
    <n v="0"/>
    <n v="10"/>
    <n v="52"/>
    <n v="52"/>
    <n v="0"/>
    <x v="0"/>
    <n v="0"/>
    <n v="10"/>
    <n v="178"/>
    <n v="80"/>
    <n v="213"/>
    <n v="36649"/>
    <n v="8"/>
    <n v="0"/>
    <s v="05-03-00"/>
    <n v="11"/>
    <n v="6.5"/>
    <x v="0"/>
    <x v="0"/>
    <n v="3"/>
    <x v="0"/>
    <n v="2"/>
    <n v="1"/>
    <x v="0"/>
    <s v="Tim Delaney"/>
    <x v="0"/>
    <x v="0"/>
    <x v="0"/>
    <n v="3"/>
    <n v="0"/>
    <n v="12"/>
    <n v="6"/>
    <x v="1"/>
    <x v="1"/>
    <x v="0"/>
    <x v="0"/>
    <x v="1"/>
    <n v="30"/>
    <n v="9"/>
    <n v="2"/>
    <x v="0"/>
    <x v="0"/>
    <x v="0"/>
    <n v="20"/>
    <n v="0"/>
    <n v="10"/>
    <m/>
    <n v="10"/>
    <n v="10"/>
    <n v="20"/>
    <n v="0"/>
    <n v="0"/>
    <x v="0"/>
  </r>
  <r>
    <x v="12"/>
    <x v="14"/>
    <x v="13"/>
    <x v="14"/>
    <x v="12"/>
    <n v="5"/>
    <x v="9"/>
    <n v="22"/>
    <s v="AKI"/>
    <x v="9"/>
    <x v="9"/>
    <x v="9"/>
    <x v="9"/>
    <x v="2"/>
    <n v="106.66666666666666"/>
    <n v="54"/>
    <x v="7"/>
    <n v="20"/>
    <x v="0"/>
    <n v="0"/>
    <s v="offensive"/>
    <n v="1"/>
    <n v="0.77777777777777779"/>
    <n v="1"/>
    <n v="0"/>
    <n v="10"/>
    <n v="49"/>
    <n v="49"/>
    <n v="0"/>
    <x v="10"/>
    <n v="0"/>
    <n v="14"/>
    <n v="266"/>
    <n v="140"/>
    <n v="284"/>
    <n v="36709"/>
    <n v="9"/>
    <n v="0"/>
    <s v="07-02-00"/>
    <n v="2"/>
    <n v="3"/>
    <x v="1"/>
    <x v="1"/>
    <n v="3"/>
    <x v="0"/>
    <n v="2"/>
    <n v="1"/>
    <x v="0"/>
    <s v="Tim Delaney"/>
    <x v="14"/>
    <x v="3"/>
    <x v="0"/>
    <n v="3"/>
    <n v="0"/>
    <n v="18"/>
    <n v="0"/>
    <x v="1"/>
    <x v="0"/>
    <x v="1"/>
    <x v="0"/>
    <x v="1"/>
    <n v="21"/>
    <n v="6"/>
    <n v="2"/>
    <x v="0"/>
    <x v="0"/>
    <x v="0"/>
    <n v="0"/>
    <n v="0"/>
    <n v="10"/>
    <m/>
    <n v="10"/>
    <n v="10"/>
    <n v="20"/>
    <n v="0"/>
    <n v="0"/>
    <x v="0"/>
  </r>
  <r>
    <x v="13"/>
    <x v="15"/>
    <x v="14"/>
    <x v="15"/>
    <x v="13"/>
    <n v="28"/>
    <x v="10"/>
    <n v="1"/>
    <s v="A"/>
    <x v="7"/>
    <x v="7"/>
    <x v="7"/>
    <x v="7"/>
    <x v="10"/>
    <n v="81.7"/>
    <n v="0"/>
    <x v="2"/>
    <n v="20"/>
    <x v="4"/>
    <n v="0"/>
    <s v="both"/>
    <n v="0"/>
    <n v="0.91666666666666663"/>
    <n v="1"/>
    <n v="0.2"/>
    <n v="10"/>
    <n v="49"/>
    <n v="43"/>
    <n v="6"/>
    <x v="5"/>
    <n v="0"/>
    <n v="6"/>
    <n v="94"/>
    <n v="70"/>
    <n v="99"/>
    <n v="36590"/>
    <n v="8"/>
    <n v="0"/>
    <s v="03-05-00"/>
    <n v="30"/>
    <n v="23"/>
    <x v="1"/>
    <x v="1"/>
    <n v="3"/>
    <x v="0"/>
    <n v="2"/>
    <n v="1"/>
    <x v="0"/>
    <s v="Tim Delaney"/>
    <x v="15"/>
    <x v="1"/>
    <x v="0"/>
    <n v="3"/>
    <n v="0"/>
    <n v="0"/>
    <n v="0"/>
    <x v="1"/>
    <x v="1"/>
    <x v="1"/>
    <x v="1"/>
    <x v="1"/>
    <n v="33"/>
    <n v="3"/>
    <n v="2"/>
    <x v="0"/>
    <x v="1"/>
    <x v="1"/>
    <n v="30"/>
    <n v="0"/>
    <n v="10"/>
    <m/>
    <n v="10"/>
    <n v="10"/>
    <n v="10"/>
    <n v="0"/>
    <n v="0"/>
    <x v="0"/>
  </r>
  <r>
    <x v="1"/>
    <x v="1"/>
    <x v="1"/>
    <x v="1"/>
    <x v="1"/>
    <n v="8"/>
    <x v="1"/>
    <n v="13"/>
    <s v="AKI"/>
    <x v="1"/>
    <x v="1"/>
    <x v="1"/>
    <x v="1"/>
    <x v="1"/>
    <n v="61.32"/>
    <n v="5"/>
    <x v="3"/>
    <n v="40"/>
    <x v="1"/>
    <n v="0"/>
    <s v="both"/>
    <n v="0.33333333333333331"/>
    <n v="0.5"/>
    <n v="1"/>
    <n v="0.6"/>
    <n v="30"/>
    <n v="44.2"/>
    <n v="37"/>
    <n v="7.2"/>
    <x v="0"/>
    <n v="0"/>
    <n v="5"/>
    <n v="118"/>
    <n v="120"/>
    <n v="179"/>
    <n v="36927"/>
    <n v="8"/>
    <n v="0"/>
    <s v="02-05-01"/>
    <n v="34"/>
    <n v="12"/>
    <x v="1"/>
    <x v="1"/>
    <n v="3"/>
    <x v="0"/>
    <n v="2"/>
    <n v="1"/>
    <x v="0"/>
    <s v="Tim Delaney"/>
    <x v="1"/>
    <x v="2"/>
    <x v="0"/>
    <n v="3"/>
    <n v="0"/>
    <n v="5"/>
    <n v="10"/>
    <x v="1"/>
    <x v="1"/>
    <x v="1"/>
    <x v="1"/>
    <x v="1"/>
    <n v="12"/>
    <n v="12"/>
    <n v="2"/>
    <x v="0"/>
    <x v="2"/>
    <x v="1"/>
    <n v="0"/>
    <n v="30"/>
    <n v="20"/>
    <m/>
    <n v="20"/>
    <n v="30"/>
    <n v="55"/>
    <n v="0"/>
    <n v="0"/>
    <x v="0"/>
  </r>
  <r>
    <x v="2"/>
    <x v="16"/>
    <x v="15"/>
    <x v="16"/>
    <x v="2"/>
    <n v="17"/>
    <x v="3"/>
    <n v="9"/>
    <s v="AKI"/>
    <x v="8"/>
    <x v="8"/>
    <x v="8"/>
    <x v="8"/>
    <x v="11"/>
    <n v="73.953846153846158"/>
    <n v="24"/>
    <x v="6"/>
    <n v="0"/>
    <x v="5"/>
    <n v="3"/>
    <s v="both"/>
    <n v="0.66666666666666663"/>
    <n v="0.76923076923076927"/>
    <n v="1"/>
    <n v="0.2"/>
    <n v="10"/>
    <n v="46"/>
    <n v="42"/>
    <n v="4"/>
    <x v="11"/>
    <n v="0"/>
    <n v="6"/>
    <n v="42"/>
    <n v="60"/>
    <n v="91"/>
    <n v="36589"/>
    <n v="8"/>
    <n v="0"/>
    <s v="03-04-00"/>
    <n v="33"/>
    <s v="DNP"/>
    <x v="1"/>
    <x v="1"/>
    <n v="3"/>
    <x v="0"/>
    <n v="2"/>
    <n v="1"/>
    <x v="0"/>
    <s v="Tim Delaney"/>
    <x v="16"/>
    <x v="6"/>
    <x v="0"/>
    <n v="3"/>
    <n v="0"/>
    <n v="12"/>
    <n v="6"/>
    <x v="0"/>
    <x v="0"/>
    <x v="0"/>
    <x v="0"/>
    <x v="0"/>
    <n v="30"/>
    <n v="9"/>
    <n v="2"/>
    <x v="0"/>
    <x v="1"/>
    <x v="2"/>
    <n v="20"/>
    <n v="0"/>
    <n v="0"/>
    <m/>
    <n v="0"/>
    <n v="10"/>
    <n v="20"/>
    <n v="0"/>
    <n v="0"/>
    <x v="0"/>
  </r>
  <r>
    <x v="14"/>
    <x v="17"/>
    <x v="16"/>
    <x v="17"/>
    <x v="14"/>
    <n v="21"/>
    <x v="11"/>
    <n v="11"/>
    <s v="AKI"/>
    <x v="12"/>
    <x v="12"/>
    <x v="12"/>
    <x v="12"/>
    <x v="12"/>
    <n v="111.66666666666666"/>
    <n v="54"/>
    <x v="7"/>
    <n v="20"/>
    <x v="0"/>
    <n v="5"/>
    <s v="offensive"/>
    <n v="1"/>
    <n v="0.77777777777777779"/>
    <n v="1"/>
    <n v="0"/>
    <n v="10"/>
    <n v="49"/>
    <n v="49"/>
    <n v="0"/>
    <x v="12"/>
    <n v="0"/>
    <n v="11"/>
    <n v="148"/>
    <n v="100"/>
    <n v="202"/>
    <n v="37014"/>
    <n v="9"/>
    <n v="0"/>
    <s v="05-03-01"/>
    <n v="10"/>
    <n v="11"/>
    <x v="1"/>
    <x v="1"/>
    <n v="3"/>
    <x v="0"/>
    <n v="2"/>
    <n v="1"/>
    <x v="0"/>
    <s v="Tim Delaney"/>
    <x v="17"/>
    <x v="5"/>
    <x v="0"/>
    <n v="3"/>
    <n v="0"/>
    <n v="18"/>
    <n v="0"/>
    <x v="1"/>
    <x v="1"/>
    <x v="0"/>
    <x v="0"/>
    <x v="1"/>
    <n v="21"/>
    <n v="6"/>
    <n v="2"/>
    <x v="0"/>
    <x v="1"/>
    <x v="2"/>
    <n v="0"/>
    <n v="0"/>
    <n v="10"/>
    <m/>
    <n v="10"/>
    <n v="10"/>
    <n v="20"/>
    <n v="0"/>
    <n v="0"/>
    <x v="0"/>
  </r>
  <r>
    <x v="2"/>
    <x v="18"/>
    <x v="17"/>
    <x v="18"/>
    <x v="2"/>
    <n v="15"/>
    <x v="12"/>
    <n v="25"/>
    <s v="AI"/>
    <x v="13"/>
    <x v="13"/>
    <x v="13"/>
    <x v="13"/>
    <x v="2"/>
    <n v="99.7"/>
    <n v="0"/>
    <x v="2"/>
    <n v="20"/>
    <x v="6"/>
    <n v="0"/>
    <s v="both"/>
    <n v="0"/>
    <n v="0.91666666666666663"/>
    <n v="1"/>
    <n v="0.8"/>
    <n v="10"/>
    <n v="67"/>
    <n v="43"/>
    <n v="24"/>
    <x v="13"/>
    <n v="0"/>
    <n v="2"/>
    <n v="88"/>
    <n v="90"/>
    <n v="162"/>
    <n v="36533"/>
    <n v="9"/>
    <n v="0"/>
    <s v="01-08-00"/>
    <n v="40"/>
    <s v="DNP"/>
    <x v="1"/>
    <x v="1"/>
    <n v="3"/>
    <x v="0"/>
    <n v="2"/>
    <n v="1"/>
    <x v="0"/>
    <s v="Tim Delaney"/>
    <x v="18"/>
    <x v="0"/>
    <x v="0"/>
    <n v="3"/>
    <n v="0"/>
    <n v="0"/>
    <n v="0"/>
    <x v="1"/>
    <x v="0"/>
    <x v="1"/>
    <x v="0"/>
    <x v="1"/>
    <n v="33"/>
    <n v="3"/>
    <n v="2"/>
    <x v="0"/>
    <x v="3"/>
    <x v="1"/>
    <n v="30"/>
    <n v="0"/>
    <n v="10"/>
    <m/>
    <n v="10"/>
    <n v="10"/>
    <n v="10"/>
    <n v="0"/>
    <n v="0"/>
    <x v="0"/>
  </r>
  <r>
    <x v="15"/>
    <x v="19"/>
    <x v="18"/>
    <x v="19"/>
    <x v="15"/>
    <n v="11"/>
    <x v="2"/>
    <n v="25"/>
    <s v="AKI"/>
    <x v="14"/>
    <x v="14"/>
    <x v="14"/>
    <x v="14"/>
    <x v="1"/>
    <n v="80"/>
    <n v="5"/>
    <x v="3"/>
    <n v="60"/>
    <x v="0"/>
    <n v="3"/>
    <s v="both"/>
    <n v="0.33333333333333331"/>
    <n v="0.5"/>
    <n v="1"/>
    <n v="0"/>
    <n v="30"/>
    <n v="47"/>
    <n v="47"/>
    <n v="0"/>
    <x v="14"/>
    <n v="0"/>
    <n v="4"/>
    <n v="94"/>
    <n v="70"/>
    <n v="162"/>
    <n v="36562"/>
    <n v="8"/>
    <n v="0"/>
    <s v="02-06-00"/>
    <n v="36"/>
    <n v="13"/>
    <x v="1"/>
    <x v="1"/>
    <n v="3"/>
    <x v="0"/>
    <n v="2"/>
    <n v="1"/>
    <x v="0"/>
    <s v="Tim Delaney"/>
    <x v="19"/>
    <x v="1"/>
    <x v="0"/>
    <n v="3"/>
    <n v="0"/>
    <n v="5"/>
    <n v="10"/>
    <x v="0"/>
    <x v="0"/>
    <x v="0"/>
    <x v="0"/>
    <x v="0"/>
    <n v="12"/>
    <n v="12"/>
    <n v="2"/>
    <x v="0"/>
    <x v="0"/>
    <x v="0"/>
    <n v="0"/>
    <n v="30"/>
    <n v="30"/>
    <m/>
    <n v="30"/>
    <n v="30"/>
    <n v="55"/>
    <n v="0"/>
    <n v="0"/>
    <x v="0"/>
  </r>
  <r>
    <x v="2"/>
    <x v="20"/>
    <x v="14"/>
    <x v="20"/>
    <x v="13"/>
    <n v="28"/>
    <x v="3"/>
    <n v="25"/>
    <s v="AID"/>
    <x v="1"/>
    <x v="1"/>
    <x v="1"/>
    <x v="1"/>
    <x v="2"/>
    <n v="95.15384615384616"/>
    <n v="24"/>
    <x v="6"/>
    <n v="20"/>
    <x v="0"/>
    <n v="5"/>
    <s v="both"/>
    <n v="0.66666666666666663"/>
    <n v="0.76923076923076927"/>
    <n v="1"/>
    <n v="0"/>
    <n v="10"/>
    <n v="52"/>
    <n v="52"/>
    <n v="0"/>
    <x v="15"/>
    <n v="0"/>
    <n v="10"/>
    <n v="64"/>
    <n v="70"/>
    <n v="87"/>
    <n v="36649"/>
    <n v="8"/>
    <n v="0"/>
    <s v="05-03-00"/>
    <n v="16"/>
    <s v="DNP"/>
    <x v="1"/>
    <x v="1"/>
    <n v="3"/>
    <x v="0"/>
    <n v="2"/>
    <n v="1"/>
    <x v="0"/>
    <s v="Tim Delaney"/>
    <x v="20"/>
    <x v="2"/>
    <x v="0"/>
    <n v="3"/>
    <n v="0"/>
    <n v="12"/>
    <n v="6"/>
    <x v="1"/>
    <x v="1"/>
    <x v="0"/>
    <x v="0"/>
    <x v="1"/>
    <n v="30"/>
    <n v="9"/>
    <n v="2"/>
    <x v="0"/>
    <x v="0"/>
    <x v="0"/>
    <n v="20"/>
    <n v="0"/>
    <n v="10"/>
    <m/>
    <n v="10"/>
    <n v="10"/>
    <n v="20"/>
    <n v="0"/>
    <n v="0"/>
    <x v="0"/>
  </r>
  <r>
    <x v="16"/>
    <x v="21"/>
    <x v="19"/>
    <x v="21"/>
    <x v="16"/>
    <n v="22"/>
    <x v="6"/>
    <n v="25"/>
    <s v="AK"/>
    <x v="9"/>
    <x v="9"/>
    <x v="9"/>
    <x v="9"/>
    <x v="2"/>
    <n v="109.66666666666666"/>
    <n v="54"/>
    <x v="7"/>
    <n v="20"/>
    <x v="0"/>
    <n v="3"/>
    <s v="offensive"/>
    <n v="1"/>
    <n v="0.77777777777777779"/>
    <n v="1"/>
    <n v="0"/>
    <n v="10"/>
    <n v="49"/>
    <n v="49"/>
    <n v="0"/>
    <x v="16"/>
    <n v="0"/>
    <n v="10"/>
    <n v="102"/>
    <n v="190"/>
    <n v="152"/>
    <n v="36650"/>
    <n v="9"/>
    <n v="0"/>
    <s v="05-04-00"/>
    <n v="13"/>
    <n v="17"/>
    <x v="1"/>
    <x v="1"/>
    <n v="3"/>
    <x v="0"/>
    <n v="2"/>
    <n v="1"/>
    <x v="0"/>
    <s v="Tim Delaney"/>
    <x v="21"/>
    <x v="0"/>
    <x v="0"/>
    <n v="3"/>
    <n v="0"/>
    <n v="18"/>
    <n v="0"/>
    <x v="0"/>
    <x v="0"/>
    <x v="0"/>
    <x v="0"/>
    <x v="0"/>
    <n v="21"/>
    <n v="6"/>
    <n v="2"/>
    <x v="0"/>
    <x v="0"/>
    <x v="0"/>
    <n v="0"/>
    <n v="0"/>
    <n v="10"/>
    <m/>
    <n v="10"/>
    <n v="10"/>
    <n v="20"/>
    <n v="0"/>
    <n v="0"/>
    <x v="0"/>
  </r>
  <r>
    <x v="17"/>
    <x v="22"/>
    <x v="20"/>
    <x v="22"/>
    <x v="17"/>
    <n v="28"/>
    <x v="6"/>
    <n v="17"/>
    <s v="AK"/>
    <x v="15"/>
    <x v="15"/>
    <x v="15"/>
    <x v="15"/>
    <x v="13"/>
    <n v="85.5"/>
    <n v="0"/>
    <x v="2"/>
    <n v="20"/>
    <x v="0"/>
    <n v="5"/>
    <s v="both"/>
    <n v="0"/>
    <n v="0.91666666666666663"/>
    <n v="1"/>
    <n v="0"/>
    <n v="10"/>
    <n v="43"/>
    <n v="43"/>
    <n v="0"/>
    <x v="17"/>
    <n v="0"/>
    <n v="8"/>
    <n v="82"/>
    <n v="180"/>
    <n v="228"/>
    <n v="36621"/>
    <n v="9"/>
    <n v="0"/>
    <s v="04-05-00"/>
    <n v="22"/>
    <n v="25"/>
    <x v="1"/>
    <x v="1"/>
    <n v="3"/>
    <x v="0"/>
    <n v="2"/>
    <n v="1"/>
    <x v="0"/>
    <s v="Tim Delaney"/>
    <x v="22"/>
    <x v="3"/>
    <x v="0"/>
    <n v="3"/>
    <n v="0"/>
    <n v="0"/>
    <n v="0"/>
    <x v="1"/>
    <x v="1"/>
    <x v="0"/>
    <x v="0"/>
    <x v="1"/>
    <n v="33"/>
    <n v="3"/>
    <n v="2"/>
    <x v="0"/>
    <x v="0"/>
    <x v="0"/>
    <n v="30"/>
    <n v="0"/>
    <n v="10"/>
    <m/>
    <n v="10"/>
    <n v="10"/>
    <n v="10"/>
    <n v="0"/>
    <n v="0"/>
    <x v="0"/>
  </r>
  <r>
    <x v="2"/>
    <x v="23"/>
    <x v="21"/>
    <x v="23"/>
    <x v="2"/>
    <n v="28"/>
    <x v="3"/>
    <n v="20"/>
    <s v="AI"/>
    <x v="2"/>
    <x v="2"/>
    <x v="2"/>
    <x v="2"/>
    <x v="2"/>
    <n v="77"/>
    <n v="5"/>
    <x v="3"/>
    <n v="60"/>
    <x v="0"/>
    <n v="0"/>
    <s v="both"/>
    <n v="0.33333333333333331"/>
    <n v="0.5"/>
    <n v="1"/>
    <n v="0"/>
    <n v="30"/>
    <n v="47"/>
    <n v="47"/>
    <n v="0"/>
    <x v="18"/>
    <n v="0"/>
    <n v="3"/>
    <n v="78"/>
    <n v="90"/>
    <n v="101"/>
    <n v="36898"/>
    <n v="9"/>
    <n v="0"/>
    <s v="01-07-01"/>
    <n v="38"/>
    <s v="DNP"/>
    <x v="1"/>
    <x v="1"/>
    <n v="3"/>
    <x v="0"/>
    <n v="2"/>
    <n v="1"/>
    <x v="0"/>
    <s v="Tim Delaney"/>
    <x v="23"/>
    <x v="1"/>
    <x v="0"/>
    <n v="3"/>
    <n v="0"/>
    <n v="5"/>
    <n v="10"/>
    <x v="1"/>
    <x v="0"/>
    <x v="1"/>
    <x v="0"/>
    <x v="1"/>
    <n v="12"/>
    <n v="12"/>
    <n v="2"/>
    <x v="0"/>
    <x v="0"/>
    <x v="0"/>
    <n v="0"/>
    <n v="30"/>
    <n v="30"/>
    <m/>
    <n v="30"/>
    <n v="30"/>
    <n v="55"/>
    <n v="0"/>
    <n v="0"/>
    <x v="0"/>
  </r>
  <r>
    <x v="18"/>
    <x v="24"/>
    <x v="22"/>
    <x v="24"/>
    <x v="18"/>
    <n v="27"/>
    <x v="13"/>
    <n v="19"/>
    <s v="AI"/>
    <x v="7"/>
    <x v="7"/>
    <x v="7"/>
    <x v="7"/>
    <x v="10"/>
    <n v="90.953846153846158"/>
    <n v="24"/>
    <x v="6"/>
    <n v="20"/>
    <x v="5"/>
    <n v="0"/>
    <s v="both"/>
    <n v="0.66666666666666663"/>
    <n v="0.76923076923076927"/>
    <n v="1"/>
    <n v="0.2"/>
    <n v="10"/>
    <n v="56"/>
    <n v="52"/>
    <n v="4"/>
    <x v="19"/>
    <n v="0"/>
    <n v="10"/>
    <n v="158"/>
    <n v="100"/>
    <n v="161"/>
    <n v="36649"/>
    <n v="8"/>
    <n v="0"/>
    <s v="05-03-00"/>
    <n v="12"/>
    <n v="16"/>
    <x v="1"/>
    <x v="1"/>
    <n v="3"/>
    <x v="0"/>
    <n v="2"/>
    <n v="1"/>
    <x v="0"/>
    <s v="Tim Delaney"/>
    <x v="24"/>
    <x v="2"/>
    <x v="0"/>
    <n v="3"/>
    <n v="0"/>
    <n v="12"/>
    <n v="6"/>
    <x v="1"/>
    <x v="1"/>
    <x v="1"/>
    <x v="1"/>
    <x v="1"/>
    <n v="30"/>
    <n v="9"/>
    <n v="2"/>
    <x v="0"/>
    <x v="1"/>
    <x v="1"/>
    <n v="20"/>
    <n v="0"/>
    <n v="10"/>
    <m/>
    <n v="10"/>
    <n v="10"/>
    <n v="20"/>
    <n v="0"/>
    <n v="0"/>
    <x v="0"/>
  </r>
  <r>
    <x v="2"/>
    <x v="25"/>
    <x v="23"/>
    <x v="25"/>
    <x v="2"/>
    <n v="24"/>
    <x v="3"/>
    <n v="10"/>
    <s v="AKI"/>
    <x v="16"/>
    <x v="16"/>
    <x v="16"/>
    <x v="16"/>
    <x v="2"/>
    <n v="86.666666666666657"/>
    <n v="54"/>
    <x v="7"/>
    <n v="0"/>
    <x v="0"/>
    <n v="0"/>
    <s v="offensive"/>
    <n v="1"/>
    <n v="0.77777777777777779"/>
    <n v="1"/>
    <n v="0"/>
    <n v="10"/>
    <n v="39"/>
    <n v="39"/>
    <n v="0"/>
    <x v="20"/>
    <n v="0"/>
    <n v="6"/>
    <n v="94"/>
    <n v="70"/>
    <n v="182"/>
    <n v="36590"/>
    <n v="8"/>
    <n v="0"/>
    <s v="03-05-00"/>
    <n v="29"/>
    <s v="DNP"/>
    <x v="1"/>
    <x v="1"/>
    <n v="3"/>
    <x v="0"/>
    <n v="2"/>
    <n v="1"/>
    <x v="0"/>
    <s v="Tim Delaney"/>
    <x v="25"/>
    <x v="4"/>
    <x v="0"/>
    <n v="3"/>
    <n v="0"/>
    <n v="18"/>
    <n v="0"/>
    <x v="1"/>
    <x v="1"/>
    <x v="1"/>
    <x v="1"/>
    <x v="1"/>
    <n v="21"/>
    <n v="6"/>
    <n v="2"/>
    <x v="0"/>
    <x v="2"/>
    <x v="1"/>
    <n v="0"/>
    <n v="0"/>
    <n v="0"/>
    <m/>
    <n v="0"/>
    <n v="10"/>
    <n v="20"/>
    <n v="0"/>
    <n v="0"/>
    <x v="0"/>
  </r>
  <r>
    <x v="19"/>
    <x v="26"/>
    <x v="24"/>
    <x v="26"/>
    <x v="19"/>
    <n v="10"/>
    <x v="3"/>
    <n v="16"/>
    <s v="AK"/>
    <x v="17"/>
    <x v="17"/>
    <x v="17"/>
    <x v="17"/>
    <x v="2"/>
    <n v="64.7"/>
    <n v="0"/>
    <x v="2"/>
    <n v="0"/>
    <x v="4"/>
    <n v="3"/>
    <s v="both"/>
    <n v="0"/>
    <n v="0.91666666666666663"/>
    <n v="1"/>
    <n v="0.2"/>
    <n v="10"/>
    <n v="39"/>
    <n v="33"/>
    <n v="6"/>
    <x v="21"/>
    <n v="0"/>
    <n v="7"/>
    <n v="128"/>
    <n v="40"/>
    <n v="148"/>
    <n v="36954"/>
    <n v="8"/>
    <n v="0"/>
    <s v="03-04-01"/>
    <n v="26"/>
    <n v="6"/>
    <x v="1"/>
    <x v="1"/>
    <n v="3"/>
    <x v="0"/>
    <n v="2"/>
    <n v="1"/>
    <x v="0"/>
    <s v="Tim Delaney"/>
    <x v="26"/>
    <x v="0"/>
    <x v="0"/>
    <n v="3"/>
    <n v="0"/>
    <n v="0"/>
    <n v="0"/>
    <x v="0"/>
    <x v="0"/>
    <x v="0"/>
    <x v="0"/>
    <x v="0"/>
    <n v="33"/>
    <n v="3"/>
    <n v="2"/>
    <x v="0"/>
    <x v="1"/>
    <x v="2"/>
    <n v="30"/>
    <n v="0"/>
    <n v="0"/>
    <m/>
    <n v="0"/>
    <n v="10"/>
    <n v="10"/>
    <n v="0"/>
    <n v="0"/>
    <x v="0"/>
  </r>
  <r>
    <x v="20"/>
    <x v="27"/>
    <x v="25"/>
    <x v="27"/>
    <x v="20"/>
    <n v="28"/>
    <x v="14"/>
    <n v="25"/>
    <s v="AK"/>
    <x v="10"/>
    <x v="10"/>
    <x v="10"/>
    <x v="10"/>
    <x v="14"/>
    <n v="91.72"/>
    <n v="5"/>
    <x v="3"/>
    <n v="60"/>
    <x v="7"/>
    <n v="5"/>
    <s v="both"/>
    <n v="0.33333333333333331"/>
    <n v="0.5"/>
    <n v="1"/>
    <n v="0.9"/>
    <n v="30"/>
    <n v="57.8"/>
    <n v="47"/>
    <n v="10.799999999999999"/>
    <x v="22"/>
    <n v="0"/>
    <n v="8"/>
    <n v="54"/>
    <n v="230"/>
    <n v="62"/>
    <n v="36620"/>
    <n v="8"/>
    <n v="0"/>
    <s v="04-04-00"/>
    <n v="25"/>
    <n v="22"/>
    <x v="0"/>
    <x v="6"/>
    <n v="3"/>
    <x v="0"/>
    <n v="2"/>
    <n v="1"/>
    <x v="0"/>
    <s v="Tim Delaney"/>
    <x v="27"/>
    <x v="3"/>
    <x v="0"/>
    <n v="3"/>
    <n v="0"/>
    <n v="5"/>
    <n v="10"/>
    <x v="1"/>
    <x v="1"/>
    <x v="0"/>
    <x v="0"/>
    <x v="1"/>
    <n v="12"/>
    <n v="12"/>
    <n v="2"/>
    <x v="0"/>
    <x v="1"/>
    <x v="2"/>
    <n v="0"/>
    <n v="30"/>
    <n v="30"/>
    <m/>
    <n v="30"/>
    <n v="30"/>
    <n v="55"/>
    <n v="0"/>
    <n v="0"/>
    <x v="0"/>
  </r>
  <r>
    <x v="21"/>
    <x v="28"/>
    <x v="21"/>
    <x v="19"/>
    <x v="2"/>
    <n v="28"/>
    <x v="3"/>
    <n v="2"/>
    <s v="A"/>
    <x v="2"/>
    <x v="2"/>
    <x v="2"/>
    <x v="2"/>
    <x v="2"/>
    <n v="102.95384615384616"/>
    <n v="24"/>
    <x v="6"/>
    <n v="20"/>
    <x v="8"/>
    <n v="0"/>
    <s v="both"/>
    <n v="0.66666666666666663"/>
    <n v="0.76923076923076927"/>
    <n v="1"/>
    <n v="0.8"/>
    <n v="10"/>
    <n v="68"/>
    <n v="52"/>
    <n v="16"/>
    <x v="23"/>
    <n v="0"/>
    <n v="8"/>
    <n v="58"/>
    <n v="30"/>
    <n v="138"/>
    <n v="36620"/>
    <n v="8"/>
    <n v="0"/>
    <s v="04-04-00"/>
    <n v="24"/>
    <n v="24"/>
    <x v="1"/>
    <x v="1"/>
    <n v="3"/>
    <x v="0"/>
    <n v="2"/>
    <n v="1"/>
    <x v="0"/>
    <s v="Tim Delaney"/>
    <x v="28"/>
    <x v="1"/>
    <x v="0"/>
    <n v="3"/>
    <n v="0"/>
    <n v="12"/>
    <n v="6"/>
    <x v="1"/>
    <x v="1"/>
    <x v="1"/>
    <x v="1"/>
    <x v="1"/>
    <n v="30"/>
    <n v="9"/>
    <n v="2"/>
    <x v="0"/>
    <x v="3"/>
    <x v="1"/>
    <n v="20"/>
    <n v="0"/>
    <n v="10"/>
    <m/>
    <n v="10"/>
    <n v="10"/>
    <n v="20"/>
    <n v="0"/>
    <n v="0"/>
    <x v="0"/>
  </r>
  <r>
    <x v="2"/>
    <x v="29"/>
    <x v="21"/>
    <x v="28"/>
    <x v="2"/>
    <n v="28"/>
    <x v="3"/>
    <n v="25"/>
    <s v="AKD"/>
    <x v="2"/>
    <x v="2"/>
    <x v="2"/>
    <x v="2"/>
    <x v="2"/>
    <n v="106.66666666666666"/>
    <n v="54"/>
    <x v="7"/>
    <n v="20"/>
    <x v="0"/>
    <n v="0"/>
    <s v="offensive"/>
    <n v="1"/>
    <n v="0.77777777777777779"/>
    <n v="1"/>
    <n v="0"/>
    <n v="10"/>
    <n v="49"/>
    <n v="49"/>
    <n v="0"/>
    <x v="24"/>
    <n v="0"/>
    <n v="10"/>
    <n v="78"/>
    <n v="90"/>
    <n v="178"/>
    <n v="36650"/>
    <n v="9"/>
    <n v="0"/>
    <s v="05-04-00"/>
    <n v="14"/>
    <s v="DNP"/>
    <x v="1"/>
    <x v="1"/>
    <n v="3"/>
    <x v="0"/>
    <n v="2"/>
    <n v="1"/>
    <x v="0"/>
    <s v="Tim Delaney"/>
    <x v="29"/>
    <x v="2"/>
    <x v="0"/>
    <n v="3"/>
    <n v="0"/>
    <n v="18"/>
    <n v="0"/>
    <x v="1"/>
    <x v="1"/>
    <x v="1"/>
    <x v="1"/>
    <x v="1"/>
    <n v="21"/>
    <n v="6"/>
    <n v="2"/>
    <x v="0"/>
    <x v="0"/>
    <x v="0"/>
    <n v="0"/>
    <n v="0"/>
    <n v="10"/>
    <m/>
    <n v="10"/>
    <n v="10"/>
    <n v="20"/>
    <n v="0"/>
    <n v="0"/>
    <x v="0"/>
  </r>
  <r>
    <x v="22"/>
    <x v="30"/>
    <x v="26"/>
    <x v="29"/>
    <x v="21"/>
    <n v="7"/>
    <x v="15"/>
    <n v="25"/>
    <s v="AKI"/>
    <x v="18"/>
    <x v="18"/>
    <x v="18"/>
    <x v="18"/>
    <x v="10"/>
    <n v="83.5"/>
    <n v="0"/>
    <x v="2"/>
    <n v="20"/>
    <x v="0"/>
    <n v="3"/>
    <s v="both"/>
    <n v="0"/>
    <n v="0.91666666666666663"/>
    <n v="1"/>
    <n v="0"/>
    <n v="10"/>
    <n v="43"/>
    <n v="43"/>
    <n v="0"/>
    <x v="25"/>
    <n v="0"/>
    <n v="8"/>
    <n v="160"/>
    <n v="140"/>
    <n v="237"/>
    <n v="36620"/>
    <n v="8"/>
    <n v="0"/>
    <s v="04-04-00"/>
    <n v="18"/>
    <n v="5"/>
    <x v="1"/>
    <x v="1"/>
    <n v="3"/>
    <x v="0"/>
    <n v="2"/>
    <n v="1"/>
    <x v="0"/>
    <s v="Tim Delaney"/>
    <x v="30"/>
    <x v="6"/>
    <x v="0"/>
    <n v="3"/>
    <n v="0"/>
    <n v="0"/>
    <n v="0"/>
    <x v="0"/>
    <x v="0"/>
    <x v="0"/>
    <x v="0"/>
    <x v="0"/>
    <n v="33"/>
    <n v="3"/>
    <n v="2"/>
    <x v="0"/>
    <x v="0"/>
    <x v="0"/>
    <n v="30"/>
    <n v="0"/>
    <n v="10"/>
    <m/>
    <n v="10"/>
    <n v="10"/>
    <n v="10"/>
    <n v="0"/>
    <n v="0"/>
    <x v="0"/>
  </r>
  <r>
    <x v="23"/>
    <x v="31"/>
    <x v="21"/>
    <x v="30"/>
    <x v="2"/>
    <n v="28"/>
    <x v="8"/>
    <n v="7"/>
    <s v="AKI"/>
    <x v="19"/>
    <x v="19"/>
    <x v="19"/>
    <x v="19"/>
    <x v="15"/>
    <n v="82"/>
    <n v="5"/>
    <x v="3"/>
    <n v="60"/>
    <x v="0"/>
    <n v="5"/>
    <s v="both"/>
    <n v="0.33333333333333331"/>
    <n v="0.5"/>
    <n v="1"/>
    <n v="0"/>
    <n v="30"/>
    <n v="47"/>
    <n v="47"/>
    <n v="0"/>
    <x v="26"/>
    <n v="0"/>
    <n v="10"/>
    <n v="72"/>
    <n v="80"/>
    <n v="107"/>
    <n v="36649"/>
    <n v="8"/>
    <n v="0"/>
    <s v="05-03-00"/>
    <n v="15"/>
    <n v="19"/>
    <x v="1"/>
    <x v="1"/>
    <n v="3"/>
    <x v="0"/>
    <n v="2"/>
    <n v="1"/>
    <x v="0"/>
    <s v="Tim Delaney"/>
    <x v="31"/>
    <x v="5"/>
    <x v="0"/>
    <n v="3"/>
    <n v="0"/>
    <n v="5"/>
    <n v="10"/>
    <x v="1"/>
    <x v="1"/>
    <x v="0"/>
    <x v="0"/>
    <x v="1"/>
    <n v="12"/>
    <n v="12"/>
    <n v="2"/>
    <x v="0"/>
    <x v="0"/>
    <x v="0"/>
    <n v="0"/>
    <n v="30"/>
    <n v="30"/>
    <m/>
    <n v="30"/>
    <n v="30"/>
    <n v="55"/>
    <n v="0"/>
    <n v="0"/>
    <x v="0"/>
  </r>
  <r>
    <x v="2"/>
    <x v="32"/>
    <x v="21"/>
    <x v="31"/>
    <x v="2"/>
    <n v="28"/>
    <x v="3"/>
    <n v="8"/>
    <s v="AKI"/>
    <x v="3"/>
    <x v="3"/>
    <x v="3"/>
    <x v="3"/>
    <x v="16"/>
    <n v="90.953846153846158"/>
    <n v="24"/>
    <x v="6"/>
    <n v="20"/>
    <x v="5"/>
    <n v="0"/>
    <s v="both"/>
    <n v="0.66666666666666663"/>
    <n v="0.76923076923076927"/>
    <n v="1"/>
    <n v="0.2"/>
    <n v="10"/>
    <n v="56"/>
    <n v="52"/>
    <n v="4"/>
    <x v="1"/>
    <n v="0"/>
    <n v="4"/>
    <n v="24"/>
    <n v="80"/>
    <n v="88"/>
    <n v="36562"/>
    <n v="8"/>
    <n v="0"/>
    <s v="02-06-00"/>
    <n v="37"/>
    <s v="DNP"/>
    <x v="1"/>
    <x v="1"/>
    <n v="3"/>
    <x v="0"/>
    <n v="2"/>
    <n v="1"/>
    <x v="0"/>
    <s v="Tim Delaney"/>
    <x v="32"/>
    <x v="0"/>
    <x v="0"/>
    <n v="3"/>
    <n v="0"/>
    <n v="12"/>
    <n v="6"/>
    <x v="1"/>
    <x v="0"/>
    <x v="1"/>
    <x v="0"/>
    <x v="1"/>
    <n v="30"/>
    <n v="9"/>
    <n v="2"/>
    <x v="0"/>
    <x v="1"/>
    <x v="1"/>
    <n v="20"/>
    <n v="0"/>
    <n v="10"/>
    <m/>
    <n v="10"/>
    <n v="10"/>
    <n v="20"/>
    <n v="0"/>
    <n v="0"/>
    <x v="0"/>
  </r>
  <r>
    <x v="2"/>
    <x v="33"/>
    <x v="21"/>
    <x v="32"/>
    <x v="2"/>
    <n v="28"/>
    <x v="3"/>
    <n v="14"/>
    <s v="AK"/>
    <x v="2"/>
    <x v="2"/>
    <x v="2"/>
    <x v="2"/>
    <x v="17"/>
    <n v="106.66666666666666"/>
    <n v="54"/>
    <x v="7"/>
    <n v="20"/>
    <x v="0"/>
    <n v="0"/>
    <s v="offensive"/>
    <n v="1"/>
    <n v="0.77777777777777779"/>
    <n v="1"/>
    <n v="0"/>
    <n v="10"/>
    <n v="49"/>
    <n v="49"/>
    <n v="0"/>
    <x v="1"/>
    <n v="0"/>
    <n v="6"/>
    <n v="84"/>
    <n v="90"/>
    <n v="144"/>
    <n v="36591"/>
    <n v="9"/>
    <n v="0"/>
    <s v="03-06-00"/>
    <n v="31"/>
    <s v="DNP"/>
    <x v="1"/>
    <x v="1"/>
    <n v="3"/>
    <x v="0"/>
    <n v="2"/>
    <n v="1"/>
    <x v="0"/>
    <s v="Tim Delaney"/>
    <x v="33"/>
    <x v="3"/>
    <x v="0"/>
    <n v="3"/>
    <n v="0"/>
    <n v="18"/>
    <n v="0"/>
    <x v="1"/>
    <x v="1"/>
    <x v="1"/>
    <x v="1"/>
    <x v="1"/>
    <n v="21"/>
    <n v="6"/>
    <n v="2"/>
    <x v="0"/>
    <x v="2"/>
    <x v="1"/>
    <n v="0"/>
    <n v="0"/>
    <n v="10"/>
    <m/>
    <n v="10"/>
    <n v="10"/>
    <n v="20"/>
    <n v="0"/>
    <n v="0"/>
    <x v="0"/>
  </r>
  <r>
    <x v="24"/>
    <x v="34"/>
    <x v="21"/>
    <x v="33"/>
    <x v="2"/>
    <n v="28"/>
    <x v="8"/>
    <n v="3"/>
    <s v="AK"/>
    <x v="20"/>
    <x v="20"/>
    <x v="20"/>
    <x v="20"/>
    <x v="2"/>
    <n v="84.7"/>
    <n v="0"/>
    <x v="2"/>
    <n v="20"/>
    <x v="4"/>
    <n v="3"/>
    <s v="both"/>
    <n v="0"/>
    <n v="0.91666666666666663"/>
    <n v="1"/>
    <n v="0.2"/>
    <n v="10"/>
    <n v="49"/>
    <n v="43"/>
    <n v="6"/>
    <x v="27"/>
    <n v="0"/>
    <n v="6"/>
    <n v="106"/>
    <n v="60"/>
    <n v="139"/>
    <n v="36591"/>
    <n v="9"/>
    <n v="0"/>
    <s v="03-06-00"/>
    <n v="28"/>
    <n v="26"/>
    <x v="1"/>
    <x v="1"/>
    <n v="3"/>
    <x v="0"/>
    <n v="2"/>
    <n v="1"/>
    <x v="0"/>
    <s v="Tim Delaney"/>
    <x v="34"/>
    <x v="1"/>
    <x v="0"/>
    <n v="3"/>
    <n v="0"/>
    <n v="0"/>
    <n v="0"/>
    <x v="0"/>
    <x v="0"/>
    <x v="0"/>
    <x v="0"/>
    <x v="0"/>
    <n v="33"/>
    <n v="3"/>
    <n v="2"/>
    <x v="0"/>
    <x v="1"/>
    <x v="2"/>
    <n v="30"/>
    <n v="0"/>
    <n v="10"/>
    <m/>
    <n v="10"/>
    <n v="10"/>
    <n v="10"/>
    <n v="0"/>
    <n v="0"/>
    <x v="0"/>
  </r>
  <r>
    <x v="25"/>
    <x v="35"/>
    <x v="27"/>
    <x v="34"/>
    <x v="22"/>
    <n v="23"/>
    <x v="3"/>
    <n v="25"/>
    <s v="AK"/>
    <x v="2"/>
    <x v="2"/>
    <x v="2"/>
    <x v="2"/>
    <x v="2"/>
    <n v="91.72"/>
    <n v="5"/>
    <x v="3"/>
    <n v="60"/>
    <x v="7"/>
    <n v="5"/>
    <s v="both"/>
    <n v="0.33333333333333331"/>
    <n v="0.5"/>
    <n v="1"/>
    <n v="0.9"/>
    <n v="30"/>
    <n v="57.8"/>
    <n v="47"/>
    <n v="10.799999999999999"/>
    <x v="28"/>
    <n v="1"/>
    <n v="12"/>
    <n v="144"/>
    <n v="120"/>
    <n v="169"/>
    <n v="36680"/>
    <n v="9"/>
    <n v="0"/>
    <s v="06-03-00"/>
    <n v="6"/>
    <n v="18"/>
    <x v="1"/>
    <x v="1"/>
    <n v="3"/>
    <x v="0"/>
    <n v="2"/>
    <n v="1"/>
    <x v="0"/>
    <s v="Tim Delaney"/>
    <x v="35"/>
    <x v="2"/>
    <x v="0"/>
    <n v="3"/>
    <n v="0"/>
    <n v="5"/>
    <n v="10"/>
    <x v="1"/>
    <x v="1"/>
    <x v="0"/>
    <x v="0"/>
    <x v="1"/>
    <n v="12"/>
    <n v="12"/>
    <n v="2"/>
    <x v="0"/>
    <x v="1"/>
    <x v="2"/>
    <n v="0"/>
    <n v="30"/>
    <n v="30"/>
    <m/>
    <n v="30"/>
    <n v="30"/>
    <n v="55"/>
    <n v="0"/>
    <n v="0"/>
    <x v="0"/>
  </r>
  <r>
    <x v="26"/>
    <x v="36"/>
    <x v="21"/>
    <x v="35"/>
    <x v="2"/>
    <n v="28"/>
    <x v="4"/>
    <n v="5"/>
    <s v="AKI"/>
    <x v="15"/>
    <x v="15"/>
    <x v="15"/>
    <x v="15"/>
    <x v="2"/>
    <n v="102.95384615384616"/>
    <n v="24"/>
    <x v="6"/>
    <n v="20"/>
    <x v="8"/>
    <n v="0"/>
    <s v="both"/>
    <n v="0.66666666666666663"/>
    <n v="0.76923076923076927"/>
    <n v="1"/>
    <n v="0.8"/>
    <n v="10"/>
    <n v="68"/>
    <n v="52"/>
    <n v="16"/>
    <x v="1"/>
    <n v="1"/>
    <n v="12"/>
    <n v="70"/>
    <n v="140"/>
    <n v="170"/>
    <n v="36679"/>
    <n v="8"/>
    <n v="0"/>
    <s v="06-02-00"/>
    <n v="9"/>
    <n v="20"/>
    <x v="1"/>
    <x v="1"/>
    <n v="3"/>
    <x v="0"/>
    <n v="2"/>
    <n v="1"/>
    <x v="0"/>
    <s v="Tim Delaney"/>
    <x v="36"/>
    <x v="6"/>
    <x v="0"/>
    <n v="3"/>
    <n v="0"/>
    <n v="12"/>
    <n v="6"/>
    <x v="1"/>
    <x v="0"/>
    <x v="1"/>
    <x v="0"/>
    <x v="1"/>
    <n v="30"/>
    <n v="9"/>
    <n v="2"/>
    <x v="0"/>
    <x v="3"/>
    <x v="1"/>
    <n v="20"/>
    <n v="0"/>
    <n v="10"/>
    <m/>
    <n v="10"/>
    <n v="10"/>
    <n v="20"/>
    <n v="0"/>
    <n v="0"/>
    <x v="0"/>
  </r>
  <r>
    <x v="2"/>
    <x v="2"/>
    <x v="2"/>
    <x v="2"/>
    <x v="2"/>
    <n v="26"/>
    <x v="2"/>
    <n v="25"/>
    <s v="A"/>
    <x v="2"/>
    <x v="2"/>
    <x v="2"/>
    <x v="2"/>
    <x v="2"/>
    <n v="106.66666666666666"/>
    <n v="54"/>
    <x v="7"/>
    <n v="20"/>
    <x v="0"/>
    <n v="0"/>
    <s v="offensive"/>
    <n v="1"/>
    <n v="0.77777777777777779"/>
    <n v="1"/>
    <n v="0"/>
    <n v="10"/>
    <n v="49"/>
    <n v="49"/>
    <n v="0"/>
    <x v="1"/>
    <n v="1"/>
    <n v="8"/>
    <n v="86"/>
    <n v="80"/>
    <n v="122"/>
    <n v="36621"/>
    <n v="9"/>
    <n v="0"/>
    <s v="04-05-00"/>
    <n v="21"/>
    <s v="DNP"/>
    <x v="1"/>
    <x v="1"/>
    <n v="3"/>
    <x v="0"/>
    <n v="2"/>
    <n v="1"/>
    <x v="0"/>
    <s v="Tim Delaney"/>
    <x v="2"/>
    <x v="5"/>
    <x v="0"/>
    <n v="3"/>
    <n v="0"/>
    <n v="18"/>
    <n v="0"/>
    <x v="1"/>
    <x v="1"/>
    <x v="1"/>
    <x v="1"/>
    <x v="1"/>
    <n v="21"/>
    <n v="6"/>
    <n v="2"/>
    <x v="0"/>
    <x v="0"/>
    <x v="0"/>
    <n v="0"/>
    <n v="0"/>
    <n v="10"/>
    <m/>
    <n v="10"/>
    <n v="10"/>
    <n v="20"/>
    <n v="0"/>
    <n v="0"/>
    <x v="0"/>
  </r>
  <r>
    <x v="2"/>
    <x v="37"/>
    <x v="21"/>
    <x v="36"/>
    <x v="2"/>
    <n v="28"/>
    <x v="3"/>
    <n v="6"/>
    <s v="AK"/>
    <x v="21"/>
    <x v="21"/>
    <x v="21"/>
    <x v="21"/>
    <x v="2"/>
    <n v="80.5"/>
    <n v="0"/>
    <x v="2"/>
    <n v="20"/>
    <x v="0"/>
    <n v="0"/>
    <s v="both"/>
    <n v="0"/>
    <n v="0.91666666666666663"/>
    <n v="1"/>
    <n v="0"/>
    <n v="10"/>
    <n v="43"/>
    <n v="43"/>
    <n v="0"/>
    <x v="24"/>
    <n v="1"/>
    <n v="8"/>
    <n v="82"/>
    <n v="80"/>
    <n v="145"/>
    <n v="36620"/>
    <n v="8"/>
    <n v="0"/>
    <s v="04-04-00"/>
    <n v="23"/>
    <s v="DNP"/>
    <x v="1"/>
    <x v="1"/>
    <n v="3"/>
    <x v="0"/>
    <n v="2"/>
    <n v="1"/>
    <x v="0"/>
    <s v="Tim Delaney"/>
    <x v="37"/>
    <x v="0"/>
    <x v="0"/>
    <n v="3"/>
    <n v="0"/>
    <n v="0"/>
    <n v="0"/>
    <x v="1"/>
    <x v="1"/>
    <x v="1"/>
    <x v="1"/>
    <x v="1"/>
    <n v="33"/>
    <n v="3"/>
    <n v="2"/>
    <x v="0"/>
    <x v="0"/>
    <x v="0"/>
    <n v="30"/>
    <n v="0"/>
    <n v="10"/>
    <m/>
    <n v="10"/>
    <n v="10"/>
    <n v="10"/>
    <n v="0"/>
    <n v="0"/>
    <x v="0"/>
  </r>
  <r>
    <x v="2"/>
    <x v="38"/>
    <x v="14"/>
    <x v="37"/>
    <x v="2"/>
    <n v="17"/>
    <x v="3"/>
    <n v="23"/>
    <s v="AKD"/>
    <x v="13"/>
    <x v="13"/>
    <x v="13"/>
    <x v="13"/>
    <x v="18"/>
    <n v="40"/>
    <n v="5"/>
    <x v="3"/>
    <n v="20"/>
    <x v="0"/>
    <n v="3"/>
    <s v="both"/>
    <n v="0.33333333333333331"/>
    <n v="0.5"/>
    <n v="1"/>
    <n v="0"/>
    <n v="30"/>
    <n v="27"/>
    <n v="27"/>
    <n v="0"/>
    <x v="29"/>
    <n v="1"/>
    <n v="3"/>
    <n v="74"/>
    <n v="50"/>
    <n v="162"/>
    <n v="36897"/>
    <n v="8"/>
    <n v="0"/>
    <s v="01-06-01"/>
    <n v="39"/>
    <s v="DNP"/>
    <x v="1"/>
    <x v="1"/>
    <n v="3"/>
    <x v="0"/>
    <n v="2"/>
    <n v="1"/>
    <x v="0"/>
    <s v="Tim Delaney"/>
    <x v="38"/>
    <x v="3"/>
    <x v="0"/>
    <n v="3"/>
    <n v="0"/>
    <n v="5"/>
    <n v="10"/>
    <x v="0"/>
    <x v="0"/>
    <x v="0"/>
    <x v="0"/>
    <x v="0"/>
    <n v="12"/>
    <n v="12"/>
    <n v="2"/>
    <x v="0"/>
    <x v="0"/>
    <x v="0"/>
    <n v="0"/>
    <n v="30"/>
    <n v="10"/>
    <m/>
    <n v="10"/>
    <n v="30"/>
    <n v="55"/>
    <n v="0"/>
    <n v="0"/>
    <x v="0"/>
  </r>
  <r>
    <x v="27"/>
    <x v="39"/>
    <x v="28"/>
    <x v="38"/>
    <x v="23"/>
    <n v="2"/>
    <x v="10"/>
    <n v="15"/>
    <s v="AK"/>
    <x v="2"/>
    <x v="2"/>
    <x v="2"/>
    <x v="2"/>
    <x v="19"/>
    <n v="95.15384615384616"/>
    <n v="24"/>
    <x v="6"/>
    <n v="20"/>
    <x v="0"/>
    <n v="5"/>
    <s v="both"/>
    <n v="0.66666666666666663"/>
    <n v="0.76923076923076927"/>
    <n v="1"/>
    <n v="0"/>
    <n v="10"/>
    <n v="52"/>
    <n v="52"/>
    <n v="0"/>
    <x v="30"/>
    <n v="0"/>
    <n v="18"/>
    <n v="240"/>
    <n v="140"/>
    <n v="461"/>
    <s v="9-0-0"/>
    <n v="9"/>
    <n v="0"/>
    <s v="9-0-0"/>
    <n v="1"/>
    <n v="1"/>
    <x v="1"/>
    <x v="1"/>
    <n v="3"/>
    <x v="0"/>
    <n v="2"/>
    <n v="1"/>
    <x v="0"/>
    <s v="Tim Delaney"/>
    <x v="39"/>
    <x v="6"/>
    <x v="0"/>
    <n v="3"/>
    <n v="0"/>
    <n v="12"/>
    <n v="6"/>
    <x v="1"/>
    <x v="1"/>
    <x v="0"/>
    <x v="0"/>
    <x v="1"/>
    <n v="30"/>
    <n v="9"/>
    <n v="2"/>
    <x v="0"/>
    <x v="0"/>
    <x v="0"/>
    <n v="20"/>
    <n v="0"/>
    <n v="10"/>
    <m/>
    <n v="10"/>
    <n v="10"/>
    <n v="20"/>
    <n v="0"/>
    <n v="0"/>
    <x v="0"/>
  </r>
  <r>
    <x v="5"/>
    <x v="7"/>
    <x v="7"/>
    <x v="7"/>
    <x v="5"/>
    <n v="14"/>
    <x v="6"/>
    <n v="21"/>
    <s v="AK"/>
    <x v="7"/>
    <x v="7"/>
    <x v="7"/>
    <x v="7"/>
    <x v="5"/>
    <n v="106.66666666666666"/>
    <n v="54"/>
    <x v="7"/>
    <n v="20"/>
    <x v="0"/>
    <n v="0"/>
    <s v="offensive"/>
    <n v="1"/>
    <n v="0.77777777777777779"/>
    <n v="1"/>
    <n v="0"/>
    <n v="10"/>
    <n v="49"/>
    <n v="49"/>
    <n v="0"/>
    <x v="5"/>
    <n v="0"/>
    <n v="8"/>
    <n v="102"/>
    <n v="90"/>
    <n v="94"/>
    <n v="36620"/>
    <n v="8"/>
    <n v="0"/>
    <s v="04-04-00"/>
    <n v="20"/>
    <n v="14"/>
    <x v="0"/>
    <x v="2"/>
    <n v="3"/>
    <x v="0"/>
    <n v="2"/>
    <n v="1"/>
    <x v="0"/>
    <s v="Tim Delaney"/>
    <x v="7"/>
    <x v="5"/>
    <x v="0"/>
    <n v="3"/>
    <n v="0"/>
    <n v="18"/>
    <n v="0"/>
    <x v="1"/>
    <x v="0"/>
    <x v="1"/>
    <x v="0"/>
    <x v="1"/>
    <n v="21"/>
    <n v="6"/>
    <n v="2"/>
    <x v="0"/>
    <x v="0"/>
    <x v="0"/>
    <n v="0"/>
    <n v="0"/>
    <n v="10"/>
    <m/>
    <n v="10"/>
    <n v="10"/>
    <n v="20"/>
    <n v="0"/>
    <n v="0"/>
    <x v="0"/>
  </r>
  <r>
    <x v="6"/>
    <x v="8"/>
    <x v="8"/>
    <x v="8"/>
    <x v="6"/>
    <n v="12"/>
    <x v="2"/>
    <n v="25"/>
    <s v="AKI"/>
    <x v="8"/>
    <x v="8"/>
    <x v="8"/>
    <x v="8"/>
    <x v="6"/>
    <n v="83.5"/>
    <n v="0"/>
    <x v="2"/>
    <n v="20"/>
    <x v="0"/>
    <n v="3"/>
    <s v="both"/>
    <n v="0"/>
    <n v="0.91666666666666663"/>
    <n v="1"/>
    <n v="0"/>
    <n v="10"/>
    <n v="43"/>
    <n v="43"/>
    <n v="0"/>
    <x v="1"/>
    <n v="0"/>
    <n v="14"/>
    <n v="180"/>
    <n v="140"/>
    <n v="209"/>
    <n v="36709"/>
    <n v="9"/>
    <n v="0"/>
    <s v="07-02-00"/>
    <n v="3"/>
    <n v="9"/>
    <x v="0"/>
    <x v="3"/>
    <n v="3"/>
    <x v="0"/>
    <n v="2"/>
    <n v="1"/>
    <x v="0"/>
    <s v="Tim Delaney"/>
    <x v="8"/>
    <x v="0"/>
    <x v="0"/>
    <n v="3"/>
    <n v="0"/>
    <n v="0"/>
    <n v="0"/>
    <x v="0"/>
    <x v="0"/>
    <x v="0"/>
    <x v="0"/>
    <x v="0"/>
    <n v="33"/>
    <n v="3"/>
    <n v="2"/>
    <x v="0"/>
    <x v="0"/>
    <x v="0"/>
    <n v="30"/>
    <n v="0"/>
    <n v="10"/>
    <m/>
    <n v="10"/>
    <n v="10"/>
    <n v="10"/>
    <n v="0"/>
    <n v="0"/>
    <x v="0"/>
  </r>
  <r>
    <x v="7"/>
    <x v="9"/>
    <x v="9"/>
    <x v="9"/>
    <x v="7"/>
    <n v="1"/>
    <x v="7"/>
    <n v="25"/>
    <s v="AKI"/>
    <x v="9"/>
    <x v="9"/>
    <x v="9"/>
    <x v="9"/>
    <x v="7"/>
    <n v="62"/>
    <n v="5"/>
    <x v="3"/>
    <n v="40"/>
    <x v="0"/>
    <n v="5"/>
    <s v="both"/>
    <n v="0.33333333333333331"/>
    <n v="0.5"/>
    <n v="1"/>
    <n v="0"/>
    <n v="30"/>
    <n v="37"/>
    <n v="37"/>
    <n v="0"/>
    <x v="6"/>
    <n v="0"/>
    <n v="12"/>
    <n v="142"/>
    <n v="110"/>
    <n v="418"/>
    <n v="36679"/>
    <n v="8"/>
    <n v="0"/>
    <s v="06-02-00"/>
    <n v="7"/>
    <n v="2"/>
    <x v="1"/>
    <x v="1"/>
    <n v="3"/>
    <x v="0"/>
    <n v="2"/>
    <n v="1"/>
    <x v="0"/>
    <s v="Tim Delaney"/>
    <x v="9"/>
    <x v="3"/>
    <x v="0"/>
    <n v="3"/>
    <n v="0"/>
    <n v="5"/>
    <n v="10"/>
    <x v="1"/>
    <x v="1"/>
    <x v="0"/>
    <x v="0"/>
    <x v="1"/>
    <n v="12"/>
    <n v="12"/>
    <n v="2"/>
    <x v="0"/>
    <x v="0"/>
    <x v="0"/>
    <n v="0"/>
    <n v="30"/>
    <n v="20"/>
    <m/>
    <n v="20"/>
    <n v="30"/>
    <n v="55"/>
    <n v="0"/>
    <n v="0"/>
    <x v="0"/>
  </r>
  <r>
    <x v="8"/>
    <x v="10"/>
    <x v="8"/>
    <x v="10"/>
    <x v="8"/>
    <n v="6"/>
    <x v="2"/>
    <n v="25"/>
    <s v="AKI"/>
    <x v="10"/>
    <x v="10"/>
    <x v="10"/>
    <x v="10"/>
    <x v="2"/>
    <n v="93.15384615384616"/>
    <n v="24"/>
    <x v="6"/>
    <n v="20"/>
    <x v="0"/>
    <n v="3"/>
    <s v="both"/>
    <n v="0.66666666666666663"/>
    <n v="0.76923076923076927"/>
    <n v="1"/>
    <n v="0"/>
    <n v="10"/>
    <n v="52"/>
    <n v="52"/>
    <n v="0"/>
    <x v="1"/>
    <n v="0"/>
    <n v="9"/>
    <n v="78"/>
    <n v="50"/>
    <n v="194"/>
    <n v="36984"/>
    <n v="8"/>
    <n v="0"/>
    <s v="04-03-01"/>
    <n v="17"/>
    <n v="21"/>
    <x v="1"/>
    <x v="1"/>
    <n v="3"/>
    <x v="0"/>
    <n v="2"/>
    <n v="1"/>
    <x v="0"/>
    <s v="Tim Delaney"/>
    <x v="10"/>
    <x v="1"/>
    <x v="0"/>
    <n v="3"/>
    <n v="0"/>
    <n v="12"/>
    <n v="6"/>
    <x v="0"/>
    <x v="0"/>
    <x v="0"/>
    <x v="0"/>
    <x v="0"/>
    <n v="30"/>
    <n v="9"/>
    <n v="2"/>
    <x v="0"/>
    <x v="0"/>
    <x v="0"/>
    <n v="20"/>
    <n v="0"/>
    <n v="10"/>
    <m/>
    <n v="10"/>
    <n v="10"/>
    <n v="20"/>
    <n v="0"/>
    <n v="0"/>
    <x v="0"/>
  </r>
  <r>
    <x v="9"/>
    <x v="11"/>
    <x v="10"/>
    <x v="11"/>
    <x v="9"/>
    <n v="9"/>
    <x v="3"/>
    <n v="25"/>
    <s v="AKI"/>
    <x v="2"/>
    <x v="2"/>
    <x v="2"/>
    <x v="2"/>
    <x v="8"/>
    <n v="111.66666666666666"/>
    <n v="54"/>
    <x v="7"/>
    <n v="20"/>
    <x v="0"/>
    <n v="5"/>
    <s v="offensive"/>
    <n v="1"/>
    <n v="0.77777777777777779"/>
    <n v="1"/>
    <n v="0"/>
    <n v="10"/>
    <n v="49"/>
    <n v="49"/>
    <n v="0"/>
    <x v="7"/>
    <n v="0"/>
    <n v="6"/>
    <n v="106"/>
    <n v="70"/>
    <n v="201"/>
    <n v="36590"/>
    <n v="8"/>
    <n v="0"/>
    <s v="03-05-00"/>
    <n v="27"/>
    <n v="8"/>
    <x v="0"/>
    <x v="4"/>
    <n v="3"/>
    <x v="0"/>
    <n v="2"/>
    <n v="1"/>
    <x v="0"/>
    <s v="Tim Delaney"/>
    <x v="11"/>
    <x v="2"/>
    <x v="0"/>
    <n v="3"/>
    <n v="0"/>
    <n v="18"/>
    <n v="0"/>
    <x v="1"/>
    <x v="1"/>
    <x v="0"/>
    <x v="0"/>
    <x v="1"/>
    <n v="21"/>
    <n v="6"/>
    <n v="2"/>
    <x v="0"/>
    <x v="1"/>
    <x v="1"/>
    <n v="0"/>
    <n v="0"/>
    <n v="10"/>
    <m/>
    <n v="10"/>
    <n v="10"/>
    <n v="20"/>
    <n v="0"/>
    <n v="0"/>
    <x v="0"/>
  </r>
  <r>
    <x v="10"/>
    <x v="12"/>
    <x v="11"/>
    <x v="12"/>
    <x v="10"/>
    <n v="20"/>
    <x v="8"/>
    <n v="25"/>
    <s v="A"/>
    <x v="2"/>
    <x v="2"/>
    <x v="2"/>
    <x v="2"/>
    <x v="9"/>
    <n v="85.3"/>
    <n v="0"/>
    <x v="2"/>
    <n v="20"/>
    <x v="9"/>
    <n v="0"/>
    <s v="both"/>
    <n v="0"/>
    <n v="0.91666666666666663"/>
    <n v="1"/>
    <n v="0.4"/>
    <n v="10"/>
    <n v="55"/>
    <n v="43"/>
    <n v="12"/>
    <x v="8"/>
    <n v="0"/>
    <n v="12"/>
    <n v="186"/>
    <n v="110"/>
    <n v="231"/>
    <n v="36680"/>
    <n v="9"/>
    <n v="0"/>
    <s v="06-03-00"/>
    <n v="5"/>
    <n v="10"/>
    <x v="1"/>
    <x v="1"/>
    <n v="3"/>
    <x v="0"/>
    <n v="2"/>
    <n v="1"/>
    <x v="0"/>
    <s v="Tim Delaney"/>
    <x v="12"/>
    <x v="6"/>
    <x v="0"/>
    <n v="3"/>
    <n v="0"/>
    <n v="0"/>
    <n v="0"/>
    <x v="1"/>
    <x v="0"/>
    <x v="1"/>
    <x v="0"/>
    <x v="1"/>
    <n v="33"/>
    <n v="3"/>
    <n v="2"/>
    <x v="0"/>
    <x v="2"/>
    <x v="1"/>
    <n v="30"/>
    <n v="0"/>
    <n v="10"/>
    <m/>
    <n v="10"/>
    <n v="10"/>
    <n v="10"/>
    <n v="0"/>
    <n v="0"/>
    <x v="0"/>
  </r>
  <r>
    <x v="11"/>
    <x v="13"/>
    <x v="12"/>
    <x v="13"/>
    <x v="11"/>
    <n v="3"/>
    <x v="7"/>
    <n v="18"/>
    <s v="AKI"/>
    <x v="11"/>
    <x v="11"/>
    <x v="11"/>
    <x v="11"/>
    <x v="2"/>
    <n v="26.72"/>
    <n v="5"/>
    <x v="3"/>
    <n v="0"/>
    <x v="7"/>
    <n v="0"/>
    <s v="both"/>
    <n v="0.33333333333333331"/>
    <n v="0.5"/>
    <n v="1"/>
    <n v="0.9"/>
    <n v="30"/>
    <n v="27.799999999999997"/>
    <n v="17"/>
    <n v="10.799999999999999"/>
    <x v="9"/>
    <n v="0"/>
    <n v="12"/>
    <n v="186"/>
    <n v="150"/>
    <n v="379"/>
    <n v="36680"/>
    <n v="9"/>
    <n v="0"/>
    <s v="06-03-00"/>
    <n v="4"/>
    <n v="4"/>
    <x v="0"/>
    <x v="5"/>
    <n v="3"/>
    <x v="0"/>
    <n v="2"/>
    <n v="1"/>
    <x v="0"/>
    <s v="Tim Delaney"/>
    <x v="13"/>
    <x v="5"/>
    <x v="0"/>
    <n v="3"/>
    <n v="0"/>
    <n v="5"/>
    <n v="10"/>
    <x v="1"/>
    <x v="1"/>
    <x v="1"/>
    <x v="1"/>
    <x v="1"/>
    <n v="12"/>
    <n v="12"/>
    <n v="2"/>
    <x v="0"/>
    <x v="1"/>
    <x v="2"/>
    <n v="0"/>
    <n v="30"/>
    <n v="0"/>
    <m/>
    <n v="0"/>
    <n v="30"/>
    <n v="55"/>
    <n v="0"/>
    <n v="0"/>
    <x v="0"/>
  </r>
  <r>
    <x v="0"/>
    <x v="0"/>
    <x v="0"/>
    <x v="0"/>
    <x v="0"/>
    <n v="4"/>
    <x v="0"/>
    <n v="25"/>
    <s v="AKI"/>
    <x v="0"/>
    <x v="0"/>
    <x v="0"/>
    <x v="0"/>
    <x v="0"/>
    <n v="90.953846153846158"/>
    <n v="24"/>
    <x v="6"/>
    <n v="20"/>
    <x v="5"/>
    <n v="0"/>
    <s v="both"/>
    <n v="0.66666666666666663"/>
    <n v="0.76923076923076927"/>
    <n v="1"/>
    <n v="0.2"/>
    <n v="10"/>
    <n v="56"/>
    <n v="52"/>
    <n v="4"/>
    <x v="0"/>
    <n v="0"/>
    <n v="10"/>
    <n v="178"/>
    <n v="80"/>
    <n v="213"/>
    <n v="36649"/>
    <n v="8"/>
    <n v="0"/>
    <s v="05-03-00"/>
    <n v="11"/>
    <n v="6.5"/>
    <x v="0"/>
    <x v="0"/>
    <n v="3"/>
    <x v="0"/>
    <n v="2"/>
    <n v="1"/>
    <x v="0"/>
    <s v="Tim Delaney"/>
    <x v="0"/>
    <x v="0"/>
    <x v="0"/>
    <n v="3"/>
    <n v="0"/>
    <n v="12"/>
    <n v="6"/>
    <x v="1"/>
    <x v="1"/>
    <x v="1"/>
    <x v="1"/>
    <x v="1"/>
    <n v="30"/>
    <n v="9"/>
    <n v="2"/>
    <x v="0"/>
    <x v="1"/>
    <x v="2"/>
    <n v="20"/>
    <n v="0"/>
    <n v="10"/>
    <m/>
    <n v="10"/>
    <n v="10"/>
    <n v="20"/>
    <n v="0"/>
    <n v="0"/>
    <x v="0"/>
  </r>
  <r>
    <x v="12"/>
    <x v="14"/>
    <x v="13"/>
    <x v="14"/>
    <x v="12"/>
    <n v="5"/>
    <x v="9"/>
    <n v="22"/>
    <s v="AKI"/>
    <x v="9"/>
    <x v="9"/>
    <x v="9"/>
    <x v="9"/>
    <x v="2"/>
    <n v="109.66666666666666"/>
    <n v="54"/>
    <x v="7"/>
    <n v="20"/>
    <x v="0"/>
    <n v="3"/>
    <s v="offensive"/>
    <n v="1"/>
    <n v="0.77777777777777779"/>
    <n v="1"/>
    <n v="0"/>
    <n v="10"/>
    <n v="49"/>
    <n v="49"/>
    <n v="0"/>
    <x v="10"/>
    <n v="0"/>
    <n v="14"/>
    <n v="266"/>
    <n v="140"/>
    <n v="284"/>
    <n v="36709"/>
    <n v="9"/>
    <n v="0"/>
    <s v="07-02-00"/>
    <n v="2"/>
    <n v="3"/>
    <x v="1"/>
    <x v="1"/>
    <n v="3"/>
    <x v="0"/>
    <n v="2"/>
    <n v="1"/>
    <x v="0"/>
    <s v="Tim Delaney"/>
    <x v="14"/>
    <x v="3"/>
    <x v="0"/>
    <n v="3"/>
    <n v="0"/>
    <n v="18"/>
    <n v="0"/>
    <x v="0"/>
    <x v="0"/>
    <x v="0"/>
    <x v="0"/>
    <x v="0"/>
    <n v="21"/>
    <n v="6"/>
    <n v="2"/>
    <x v="0"/>
    <x v="3"/>
    <x v="1"/>
    <n v="0"/>
    <n v="0"/>
    <n v="10"/>
    <m/>
    <n v="10"/>
    <n v="10"/>
    <n v="20"/>
    <n v="0"/>
    <n v="0"/>
    <x v="0"/>
  </r>
  <r>
    <x v="13"/>
    <x v="15"/>
    <x v="14"/>
    <x v="15"/>
    <x v="13"/>
    <n v="28"/>
    <x v="10"/>
    <n v="1"/>
    <s v="A"/>
    <x v="7"/>
    <x v="7"/>
    <x v="7"/>
    <x v="7"/>
    <x v="10"/>
    <n v="85.5"/>
    <n v="0"/>
    <x v="2"/>
    <n v="20"/>
    <x v="0"/>
    <n v="5"/>
    <s v="both"/>
    <n v="0"/>
    <n v="0.91666666666666663"/>
    <n v="1"/>
    <n v="0"/>
    <n v="10"/>
    <n v="43"/>
    <n v="43"/>
    <n v="0"/>
    <x v="5"/>
    <n v="0"/>
    <n v="6"/>
    <n v="94"/>
    <n v="70"/>
    <n v="99"/>
    <n v="36590"/>
    <n v="8"/>
    <n v="0"/>
    <s v="03-05-00"/>
    <n v="30"/>
    <n v="23"/>
    <x v="1"/>
    <x v="1"/>
    <n v="3"/>
    <x v="0"/>
    <n v="2"/>
    <n v="1"/>
    <x v="0"/>
    <s v="Tim Delaney"/>
    <x v="15"/>
    <x v="1"/>
    <x v="0"/>
    <n v="3"/>
    <n v="0"/>
    <n v="0"/>
    <n v="0"/>
    <x v="1"/>
    <x v="1"/>
    <x v="0"/>
    <x v="0"/>
    <x v="1"/>
    <n v="33"/>
    <n v="3"/>
    <n v="2"/>
    <x v="0"/>
    <x v="0"/>
    <x v="0"/>
    <n v="30"/>
    <n v="0"/>
    <n v="10"/>
    <m/>
    <n v="10"/>
    <n v="10"/>
    <n v="10"/>
    <n v="0"/>
    <n v="0"/>
    <x v="0"/>
  </r>
  <r>
    <x v="1"/>
    <x v="1"/>
    <x v="1"/>
    <x v="1"/>
    <x v="1"/>
    <n v="8"/>
    <x v="1"/>
    <n v="13"/>
    <s v="AKI"/>
    <x v="1"/>
    <x v="1"/>
    <x v="1"/>
    <x v="1"/>
    <x v="1"/>
    <n v="77"/>
    <n v="5"/>
    <x v="3"/>
    <n v="60"/>
    <x v="0"/>
    <n v="0"/>
    <s v="both"/>
    <n v="0.33333333333333331"/>
    <n v="0.5"/>
    <n v="1"/>
    <n v="0"/>
    <n v="30"/>
    <n v="47"/>
    <n v="47"/>
    <n v="0"/>
    <x v="0"/>
    <n v="0"/>
    <n v="5"/>
    <n v="118"/>
    <n v="120"/>
    <n v="179"/>
    <n v="36927"/>
    <n v="8"/>
    <n v="0"/>
    <s v="02-05-01"/>
    <n v="34"/>
    <n v="12"/>
    <x v="1"/>
    <x v="1"/>
    <n v="3"/>
    <x v="0"/>
    <n v="2"/>
    <n v="1"/>
    <x v="0"/>
    <s v="Tim Delaney"/>
    <x v="1"/>
    <x v="2"/>
    <x v="0"/>
    <n v="3"/>
    <n v="0"/>
    <n v="5"/>
    <n v="10"/>
    <x v="1"/>
    <x v="0"/>
    <x v="1"/>
    <x v="0"/>
    <x v="1"/>
    <n v="12"/>
    <n v="12"/>
    <n v="2"/>
    <x v="0"/>
    <x v="0"/>
    <x v="0"/>
    <n v="0"/>
    <n v="30"/>
    <n v="30"/>
    <m/>
    <n v="30"/>
    <n v="30"/>
    <n v="55"/>
    <n v="0"/>
    <n v="0"/>
    <x v="0"/>
  </r>
  <r>
    <x v="2"/>
    <x v="16"/>
    <x v="15"/>
    <x v="16"/>
    <x v="2"/>
    <n v="17"/>
    <x v="3"/>
    <n v="9"/>
    <s v="AKI"/>
    <x v="8"/>
    <x v="8"/>
    <x v="8"/>
    <x v="8"/>
    <x v="11"/>
    <n v="90.15384615384616"/>
    <n v="24"/>
    <x v="6"/>
    <n v="20"/>
    <x v="0"/>
    <n v="0"/>
    <s v="both"/>
    <n v="0.66666666666666663"/>
    <n v="0.76923076923076927"/>
    <n v="1"/>
    <n v="0"/>
    <n v="10"/>
    <n v="52"/>
    <n v="52"/>
    <n v="0"/>
    <x v="11"/>
    <n v="0"/>
    <n v="6"/>
    <n v="42"/>
    <n v="60"/>
    <n v="91"/>
    <n v="36589"/>
    <n v="8"/>
    <n v="0"/>
    <s v="03-04-00"/>
    <n v="33"/>
    <s v="DNP"/>
    <x v="1"/>
    <x v="1"/>
    <n v="3"/>
    <x v="0"/>
    <n v="2"/>
    <n v="1"/>
    <x v="0"/>
    <s v="Tim Delaney"/>
    <x v="16"/>
    <x v="6"/>
    <x v="0"/>
    <n v="3"/>
    <n v="0"/>
    <n v="12"/>
    <n v="6"/>
    <x v="1"/>
    <x v="1"/>
    <x v="1"/>
    <x v="1"/>
    <x v="1"/>
    <n v="30"/>
    <n v="9"/>
    <n v="2"/>
    <x v="0"/>
    <x v="0"/>
    <x v="0"/>
    <n v="20"/>
    <n v="0"/>
    <n v="10"/>
    <m/>
    <n v="10"/>
    <n v="10"/>
    <n v="20"/>
    <n v="0"/>
    <n v="0"/>
    <x v="0"/>
  </r>
  <r>
    <x v="14"/>
    <x v="17"/>
    <x v="16"/>
    <x v="17"/>
    <x v="14"/>
    <n v="21"/>
    <x v="11"/>
    <n v="11"/>
    <s v="AKI"/>
    <x v="12"/>
    <x v="12"/>
    <x v="12"/>
    <x v="12"/>
    <x v="12"/>
    <n v="109.66666666666666"/>
    <n v="54"/>
    <x v="7"/>
    <n v="20"/>
    <x v="0"/>
    <n v="3"/>
    <s v="offensive"/>
    <n v="1"/>
    <n v="0.77777777777777779"/>
    <n v="1"/>
    <n v="0"/>
    <n v="10"/>
    <n v="49"/>
    <n v="49"/>
    <n v="0"/>
    <x v="12"/>
    <n v="0"/>
    <n v="11"/>
    <n v="148"/>
    <n v="100"/>
    <n v="202"/>
    <n v="37014"/>
    <n v="9"/>
    <n v="0"/>
    <s v="05-03-01"/>
    <n v="10"/>
    <n v="11"/>
    <x v="1"/>
    <x v="1"/>
    <n v="3"/>
    <x v="0"/>
    <n v="2"/>
    <n v="1"/>
    <x v="0"/>
    <s v="Tim Delaney"/>
    <x v="17"/>
    <x v="5"/>
    <x v="0"/>
    <n v="3"/>
    <n v="0"/>
    <n v="18"/>
    <n v="0"/>
    <x v="0"/>
    <x v="0"/>
    <x v="0"/>
    <x v="0"/>
    <x v="0"/>
    <n v="21"/>
    <n v="6"/>
    <n v="2"/>
    <x v="0"/>
    <x v="0"/>
    <x v="0"/>
    <n v="0"/>
    <n v="0"/>
    <n v="10"/>
    <m/>
    <n v="10"/>
    <n v="10"/>
    <n v="20"/>
    <n v="0"/>
    <n v="0"/>
    <x v="0"/>
  </r>
  <r>
    <x v="2"/>
    <x v="18"/>
    <x v="17"/>
    <x v="18"/>
    <x v="2"/>
    <n v="15"/>
    <x v="12"/>
    <n v="25"/>
    <s v="AI"/>
    <x v="13"/>
    <x v="13"/>
    <x v="13"/>
    <x v="13"/>
    <x v="2"/>
    <n v="85.5"/>
    <n v="0"/>
    <x v="2"/>
    <n v="20"/>
    <x v="0"/>
    <n v="5"/>
    <s v="both"/>
    <n v="0"/>
    <n v="0.91666666666666663"/>
    <n v="1"/>
    <n v="0"/>
    <n v="10"/>
    <n v="43"/>
    <n v="43"/>
    <n v="0"/>
    <x v="13"/>
    <n v="0"/>
    <n v="2"/>
    <n v="88"/>
    <n v="90"/>
    <n v="162"/>
    <n v="36533"/>
    <n v="9"/>
    <n v="0"/>
    <s v="01-08-00"/>
    <n v="40"/>
    <s v="DNP"/>
    <x v="1"/>
    <x v="1"/>
    <n v="3"/>
    <x v="0"/>
    <n v="2"/>
    <n v="1"/>
    <x v="0"/>
    <s v="Tim Delaney"/>
    <x v="18"/>
    <x v="0"/>
    <x v="0"/>
    <n v="3"/>
    <n v="0"/>
    <n v="0"/>
    <n v="0"/>
    <x v="1"/>
    <x v="1"/>
    <x v="0"/>
    <x v="0"/>
    <x v="1"/>
    <n v="33"/>
    <n v="3"/>
    <n v="2"/>
    <x v="0"/>
    <x v="0"/>
    <x v="0"/>
    <n v="30"/>
    <n v="0"/>
    <n v="10"/>
    <m/>
    <n v="10"/>
    <n v="10"/>
    <n v="10"/>
    <n v="0"/>
    <n v="0"/>
    <x v="0"/>
  </r>
  <r>
    <x v="15"/>
    <x v="19"/>
    <x v="18"/>
    <x v="19"/>
    <x v="15"/>
    <n v="11"/>
    <x v="2"/>
    <n v="25"/>
    <s v="AKI"/>
    <x v="14"/>
    <x v="14"/>
    <x v="14"/>
    <x v="14"/>
    <x v="1"/>
    <n v="81.319999999999993"/>
    <n v="5"/>
    <x v="3"/>
    <n v="60"/>
    <x v="1"/>
    <n v="0"/>
    <s v="both"/>
    <n v="0.33333333333333331"/>
    <n v="0.5"/>
    <n v="1"/>
    <n v="0.6"/>
    <n v="30"/>
    <n v="54.2"/>
    <n v="47"/>
    <n v="7.2"/>
    <x v="14"/>
    <n v="0"/>
    <n v="4"/>
    <n v="94"/>
    <n v="70"/>
    <n v="162"/>
    <n v="36562"/>
    <n v="8"/>
    <n v="0"/>
    <s v="02-06-00"/>
    <n v="36"/>
    <n v="13"/>
    <x v="1"/>
    <x v="1"/>
    <n v="3"/>
    <x v="0"/>
    <n v="2"/>
    <n v="1"/>
    <x v="0"/>
    <s v="Tim Delaney"/>
    <x v="19"/>
    <x v="1"/>
    <x v="0"/>
    <n v="3"/>
    <n v="0"/>
    <n v="5"/>
    <n v="10"/>
    <x v="1"/>
    <x v="0"/>
    <x v="1"/>
    <x v="0"/>
    <x v="1"/>
    <n v="12"/>
    <n v="12"/>
    <n v="2"/>
    <x v="0"/>
    <x v="1"/>
    <x v="1"/>
    <n v="0"/>
    <n v="30"/>
    <n v="30"/>
    <m/>
    <n v="30"/>
    <n v="30"/>
    <n v="55"/>
    <n v="0"/>
    <n v="0"/>
    <x v="0"/>
  </r>
  <r>
    <x v="2"/>
    <x v="20"/>
    <x v="14"/>
    <x v="20"/>
    <x v="13"/>
    <n v="28"/>
    <x v="3"/>
    <n v="25"/>
    <s v="AID"/>
    <x v="1"/>
    <x v="1"/>
    <x v="1"/>
    <x v="1"/>
    <x v="2"/>
    <n v="93.353846153846163"/>
    <n v="24"/>
    <x v="6"/>
    <n v="20"/>
    <x v="10"/>
    <n v="0"/>
    <s v="both"/>
    <n v="0.66666666666666663"/>
    <n v="0.76923076923076927"/>
    <n v="1"/>
    <n v="0.4"/>
    <n v="10"/>
    <n v="60"/>
    <n v="52"/>
    <n v="8"/>
    <x v="15"/>
    <n v="0"/>
    <n v="10"/>
    <n v="64"/>
    <n v="70"/>
    <n v="87"/>
    <n v="36649"/>
    <n v="8"/>
    <n v="0"/>
    <s v="05-03-00"/>
    <n v="16"/>
    <s v="DNP"/>
    <x v="1"/>
    <x v="1"/>
    <n v="3"/>
    <x v="0"/>
    <n v="2"/>
    <n v="1"/>
    <x v="0"/>
    <s v="Tim Delaney"/>
    <x v="20"/>
    <x v="2"/>
    <x v="0"/>
    <n v="3"/>
    <n v="0"/>
    <n v="12"/>
    <n v="6"/>
    <x v="1"/>
    <x v="1"/>
    <x v="1"/>
    <x v="1"/>
    <x v="1"/>
    <n v="30"/>
    <n v="9"/>
    <n v="2"/>
    <x v="0"/>
    <x v="2"/>
    <x v="1"/>
    <n v="20"/>
    <n v="0"/>
    <n v="10"/>
    <m/>
    <n v="10"/>
    <n v="10"/>
    <n v="20"/>
    <n v="0"/>
    <n v="0"/>
    <x v="0"/>
  </r>
  <r>
    <x v="16"/>
    <x v="21"/>
    <x v="19"/>
    <x v="21"/>
    <x v="16"/>
    <n v="22"/>
    <x v="6"/>
    <n v="25"/>
    <s v="AK"/>
    <x v="9"/>
    <x v="9"/>
    <x v="9"/>
    <x v="9"/>
    <x v="2"/>
    <n v="106.66666666666666"/>
    <n v="54"/>
    <x v="7"/>
    <n v="20"/>
    <x v="0"/>
    <n v="0"/>
    <s v="offensive"/>
    <n v="1"/>
    <n v="0.77777777777777779"/>
    <n v="1"/>
    <n v="0"/>
    <n v="10"/>
    <n v="49"/>
    <n v="49"/>
    <n v="0"/>
    <x v="16"/>
    <n v="0"/>
    <n v="10"/>
    <n v="102"/>
    <n v="190"/>
    <n v="152"/>
    <n v="36650"/>
    <n v="9"/>
    <n v="0"/>
    <s v="05-04-00"/>
    <n v="13"/>
    <n v="17"/>
    <x v="1"/>
    <x v="1"/>
    <n v="3"/>
    <x v="0"/>
    <n v="2"/>
    <n v="1"/>
    <x v="0"/>
    <s v="Tim Delaney"/>
    <x v="21"/>
    <x v="0"/>
    <x v="0"/>
    <n v="3"/>
    <n v="0"/>
    <n v="18"/>
    <n v="0"/>
    <x v="1"/>
    <x v="1"/>
    <x v="1"/>
    <x v="1"/>
    <x v="1"/>
    <n v="21"/>
    <n v="6"/>
    <n v="2"/>
    <x v="0"/>
    <x v="1"/>
    <x v="2"/>
    <n v="0"/>
    <n v="0"/>
    <n v="10"/>
    <m/>
    <n v="10"/>
    <n v="10"/>
    <n v="20"/>
    <n v="0"/>
    <n v="0"/>
    <x v="0"/>
  </r>
  <r>
    <x v="17"/>
    <x v="22"/>
    <x v="20"/>
    <x v="22"/>
    <x v="17"/>
    <n v="28"/>
    <x v="6"/>
    <n v="17"/>
    <s v="AK"/>
    <x v="15"/>
    <x v="15"/>
    <x v="15"/>
    <x v="15"/>
    <x v="13"/>
    <n v="84.7"/>
    <n v="0"/>
    <x v="2"/>
    <n v="20"/>
    <x v="4"/>
    <n v="3"/>
    <s v="both"/>
    <n v="0"/>
    <n v="0.91666666666666663"/>
    <n v="1"/>
    <n v="0.2"/>
    <n v="10"/>
    <n v="49"/>
    <n v="43"/>
    <n v="6"/>
    <x v="17"/>
    <n v="0"/>
    <n v="8"/>
    <n v="82"/>
    <n v="180"/>
    <n v="228"/>
    <n v="36621"/>
    <n v="9"/>
    <n v="0"/>
    <s v="04-05-00"/>
    <n v="22"/>
    <n v="25"/>
    <x v="1"/>
    <x v="1"/>
    <n v="3"/>
    <x v="0"/>
    <n v="2"/>
    <n v="1"/>
    <x v="0"/>
    <s v="Tim Delaney"/>
    <x v="22"/>
    <x v="3"/>
    <x v="0"/>
    <n v="3"/>
    <n v="0"/>
    <n v="0"/>
    <n v="0"/>
    <x v="0"/>
    <x v="0"/>
    <x v="0"/>
    <x v="0"/>
    <x v="0"/>
    <n v="33"/>
    <n v="3"/>
    <n v="2"/>
    <x v="0"/>
    <x v="1"/>
    <x v="2"/>
    <n v="30"/>
    <n v="0"/>
    <n v="10"/>
    <m/>
    <n v="10"/>
    <n v="10"/>
    <n v="10"/>
    <n v="0"/>
    <n v="0"/>
    <x v="0"/>
  </r>
  <r>
    <x v="2"/>
    <x v="23"/>
    <x v="21"/>
    <x v="23"/>
    <x v="2"/>
    <n v="28"/>
    <x v="3"/>
    <n v="20"/>
    <s v="AI"/>
    <x v="2"/>
    <x v="2"/>
    <x v="2"/>
    <x v="2"/>
    <x v="2"/>
    <n v="86.32"/>
    <n v="5"/>
    <x v="3"/>
    <n v="60"/>
    <x v="1"/>
    <n v="5"/>
    <s v="both"/>
    <n v="0.33333333333333331"/>
    <n v="0.5"/>
    <n v="1"/>
    <n v="0.6"/>
    <n v="30"/>
    <n v="54.2"/>
    <n v="47"/>
    <n v="7.2"/>
    <x v="18"/>
    <n v="0"/>
    <n v="3"/>
    <n v="78"/>
    <n v="90"/>
    <n v="101"/>
    <n v="36898"/>
    <n v="9"/>
    <n v="0"/>
    <s v="01-07-01"/>
    <n v="38"/>
    <s v="DNP"/>
    <x v="1"/>
    <x v="1"/>
    <n v="3"/>
    <x v="0"/>
    <n v="2"/>
    <n v="1"/>
    <x v="0"/>
    <s v="Tim Delaney"/>
    <x v="23"/>
    <x v="1"/>
    <x v="0"/>
    <n v="3"/>
    <n v="0"/>
    <n v="5"/>
    <n v="10"/>
    <x v="1"/>
    <x v="1"/>
    <x v="0"/>
    <x v="0"/>
    <x v="1"/>
    <n v="12"/>
    <n v="12"/>
    <n v="2"/>
    <x v="0"/>
    <x v="3"/>
    <x v="1"/>
    <n v="0"/>
    <n v="30"/>
    <n v="30"/>
    <m/>
    <n v="30"/>
    <n v="30"/>
    <n v="55"/>
    <n v="0"/>
    <n v="0"/>
    <x v="0"/>
  </r>
  <r>
    <x v="18"/>
    <x v="24"/>
    <x v="22"/>
    <x v="24"/>
    <x v="18"/>
    <n v="27"/>
    <x v="13"/>
    <n v="19"/>
    <s v="AI"/>
    <x v="7"/>
    <x v="7"/>
    <x v="7"/>
    <x v="7"/>
    <x v="10"/>
    <n v="90.15384615384616"/>
    <n v="24"/>
    <x v="6"/>
    <n v="20"/>
    <x v="0"/>
    <n v="0"/>
    <s v="both"/>
    <n v="0.66666666666666663"/>
    <n v="0.76923076923076927"/>
    <n v="1"/>
    <n v="0"/>
    <n v="10"/>
    <n v="52"/>
    <n v="52"/>
    <n v="0"/>
    <x v="19"/>
    <n v="0"/>
    <n v="10"/>
    <n v="158"/>
    <n v="100"/>
    <n v="161"/>
    <n v="36649"/>
    <n v="8"/>
    <n v="0"/>
    <s v="05-03-00"/>
    <n v="12"/>
    <n v="16"/>
    <x v="1"/>
    <x v="1"/>
    <n v="3"/>
    <x v="0"/>
    <n v="2"/>
    <n v="1"/>
    <x v="0"/>
    <s v="Tim Delaney"/>
    <x v="24"/>
    <x v="2"/>
    <x v="0"/>
    <n v="3"/>
    <n v="0"/>
    <n v="12"/>
    <n v="6"/>
    <x v="1"/>
    <x v="0"/>
    <x v="1"/>
    <x v="0"/>
    <x v="1"/>
    <n v="30"/>
    <n v="9"/>
    <n v="2"/>
    <x v="0"/>
    <x v="0"/>
    <x v="0"/>
    <n v="20"/>
    <n v="0"/>
    <n v="10"/>
    <m/>
    <n v="10"/>
    <n v="10"/>
    <n v="20"/>
    <n v="0"/>
    <n v="0"/>
    <x v="0"/>
  </r>
  <r>
    <x v="2"/>
    <x v="25"/>
    <x v="23"/>
    <x v="25"/>
    <x v="2"/>
    <n v="24"/>
    <x v="3"/>
    <n v="10"/>
    <s v="AKI"/>
    <x v="16"/>
    <x v="16"/>
    <x v="16"/>
    <x v="16"/>
    <x v="2"/>
    <n v="109.66666666666666"/>
    <n v="54"/>
    <x v="7"/>
    <n v="20"/>
    <x v="0"/>
    <n v="3"/>
    <s v="offensive"/>
    <n v="1"/>
    <n v="0.77777777777777779"/>
    <n v="1"/>
    <n v="0"/>
    <n v="10"/>
    <n v="49"/>
    <n v="49"/>
    <n v="0"/>
    <x v="20"/>
    <n v="0"/>
    <n v="6"/>
    <n v="94"/>
    <n v="70"/>
    <n v="182"/>
    <n v="36590"/>
    <n v="8"/>
    <n v="0"/>
    <s v="03-05-00"/>
    <n v="29"/>
    <s v="DNP"/>
    <x v="1"/>
    <x v="1"/>
    <n v="3"/>
    <x v="0"/>
    <n v="2"/>
    <n v="1"/>
    <x v="0"/>
    <s v="Tim Delaney"/>
    <x v="25"/>
    <x v="4"/>
    <x v="0"/>
    <n v="3"/>
    <n v="0"/>
    <n v="18"/>
    <n v="0"/>
    <x v="0"/>
    <x v="0"/>
    <x v="0"/>
    <x v="0"/>
    <x v="0"/>
    <n v="21"/>
    <n v="6"/>
    <n v="2"/>
    <x v="0"/>
    <x v="0"/>
    <x v="0"/>
    <n v="0"/>
    <n v="0"/>
    <n v="10"/>
    <m/>
    <n v="10"/>
    <n v="10"/>
    <n v="20"/>
    <n v="0"/>
    <n v="0"/>
    <x v="0"/>
  </r>
  <r>
    <x v="19"/>
    <x v="26"/>
    <x v="24"/>
    <x v="26"/>
    <x v="19"/>
    <n v="10"/>
    <x v="3"/>
    <n v="16"/>
    <s v="AK"/>
    <x v="17"/>
    <x v="17"/>
    <x v="17"/>
    <x v="17"/>
    <x v="2"/>
    <n v="65.5"/>
    <n v="0"/>
    <x v="2"/>
    <n v="0"/>
    <x v="0"/>
    <n v="5"/>
    <s v="both"/>
    <n v="0"/>
    <n v="0.91666666666666663"/>
    <n v="1"/>
    <n v="0"/>
    <n v="10"/>
    <n v="33"/>
    <n v="33"/>
    <n v="0"/>
    <x v="21"/>
    <n v="0"/>
    <n v="7"/>
    <n v="128"/>
    <n v="40"/>
    <n v="148"/>
    <n v="36954"/>
    <n v="8"/>
    <n v="0"/>
    <s v="03-04-01"/>
    <n v="26"/>
    <n v="6"/>
    <x v="1"/>
    <x v="1"/>
    <n v="3"/>
    <x v="0"/>
    <n v="2"/>
    <n v="1"/>
    <x v="0"/>
    <s v="Tim Delaney"/>
    <x v="26"/>
    <x v="0"/>
    <x v="0"/>
    <n v="3"/>
    <n v="0"/>
    <n v="0"/>
    <n v="0"/>
    <x v="1"/>
    <x v="1"/>
    <x v="0"/>
    <x v="0"/>
    <x v="1"/>
    <n v="33"/>
    <n v="3"/>
    <n v="2"/>
    <x v="0"/>
    <x v="0"/>
    <x v="0"/>
    <n v="30"/>
    <n v="0"/>
    <n v="0"/>
    <m/>
    <n v="0"/>
    <n v="10"/>
    <n v="10"/>
    <n v="0"/>
    <n v="0"/>
    <x v="0"/>
  </r>
  <r>
    <x v="20"/>
    <x v="27"/>
    <x v="25"/>
    <x v="27"/>
    <x v="20"/>
    <n v="28"/>
    <x v="14"/>
    <n v="25"/>
    <s v="AK"/>
    <x v="10"/>
    <x v="10"/>
    <x v="10"/>
    <x v="10"/>
    <x v="14"/>
    <n v="20"/>
    <n v="5"/>
    <x v="3"/>
    <n v="0"/>
    <x v="0"/>
    <n v="3"/>
    <s v="both"/>
    <n v="0.33333333333333331"/>
    <n v="0.5"/>
    <n v="1"/>
    <n v="0"/>
    <n v="30"/>
    <n v="17"/>
    <n v="17"/>
    <n v="0"/>
    <x v="22"/>
    <n v="0"/>
    <n v="8"/>
    <n v="54"/>
    <n v="230"/>
    <n v="62"/>
    <n v="36620"/>
    <n v="8"/>
    <n v="0"/>
    <s v="04-04-00"/>
    <n v="25"/>
    <n v="22"/>
    <x v="0"/>
    <x v="6"/>
    <n v="3"/>
    <x v="0"/>
    <n v="2"/>
    <n v="1"/>
    <x v="0"/>
    <s v="Tim Delaney"/>
    <x v="27"/>
    <x v="3"/>
    <x v="0"/>
    <n v="3"/>
    <n v="0"/>
    <n v="5"/>
    <n v="10"/>
    <x v="0"/>
    <x v="0"/>
    <x v="0"/>
    <x v="0"/>
    <x v="0"/>
    <n v="12"/>
    <n v="12"/>
    <n v="2"/>
    <x v="0"/>
    <x v="0"/>
    <x v="0"/>
    <n v="0"/>
    <n v="30"/>
    <n v="0"/>
    <m/>
    <n v="0"/>
    <n v="30"/>
    <n v="55"/>
    <n v="0"/>
    <n v="0"/>
    <x v="0"/>
  </r>
  <r>
    <x v="21"/>
    <x v="28"/>
    <x v="21"/>
    <x v="19"/>
    <x v="2"/>
    <n v="28"/>
    <x v="3"/>
    <n v="2"/>
    <s v="A"/>
    <x v="2"/>
    <x v="2"/>
    <x v="2"/>
    <x v="2"/>
    <x v="2"/>
    <n v="95.953846153846158"/>
    <n v="24"/>
    <x v="6"/>
    <n v="20"/>
    <x v="5"/>
    <n v="5"/>
    <s v="both"/>
    <n v="0.66666666666666663"/>
    <n v="0.76923076923076927"/>
    <n v="1"/>
    <n v="0.2"/>
    <n v="10"/>
    <n v="56"/>
    <n v="52"/>
    <n v="4"/>
    <x v="23"/>
    <n v="0"/>
    <n v="8"/>
    <n v="58"/>
    <n v="30"/>
    <n v="138"/>
    <n v="36620"/>
    <n v="8"/>
    <n v="0"/>
    <s v="04-04-00"/>
    <n v="24"/>
    <n v="24"/>
    <x v="1"/>
    <x v="1"/>
    <n v="3"/>
    <x v="0"/>
    <n v="2"/>
    <n v="1"/>
    <x v="0"/>
    <s v="Tim Delaney"/>
    <x v="28"/>
    <x v="1"/>
    <x v="0"/>
    <n v="3"/>
    <n v="0"/>
    <n v="12"/>
    <n v="6"/>
    <x v="1"/>
    <x v="1"/>
    <x v="0"/>
    <x v="0"/>
    <x v="1"/>
    <n v="30"/>
    <n v="9"/>
    <n v="2"/>
    <x v="0"/>
    <x v="1"/>
    <x v="1"/>
    <n v="20"/>
    <n v="0"/>
    <n v="10"/>
    <m/>
    <n v="10"/>
    <n v="10"/>
    <n v="20"/>
    <n v="0"/>
    <n v="0"/>
    <x v="0"/>
  </r>
  <r>
    <x v="2"/>
    <x v="29"/>
    <x v="21"/>
    <x v="28"/>
    <x v="2"/>
    <n v="28"/>
    <x v="3"/>
    <n v="25"/>
    <s v="AKD"/>
    <x v="2"/>
    <x v="2"/>
    <x v="2"/>
    <x v="2"/>
    <x v="2"/>
    <n v="106.66666666666666"/>
    <n v="54"/>
    <x v="7"/>
    <n v="20"/>
    <x v="0"/>
    <n v="0"/>
    <s v="offensive"/>
    <n v="1"/>
    <n v="0.77777777777777779"/>
    <n v="1"/>
    <n v="0"/>
    <n v="10"/>
    <n v="49"/>
    <n v="49"/>
    <n v="0"/>
    <x v="24"/>
    <n v="0"/>
    <n v="10"/>
    <n v="78"/>
    <n v="90"/>
    <n v="178"/>
    <n v="36650"/>
    <n v="9"/>
    <n v="0"/>
    <s v="05-04-00"/>
    <n v="14"/>
    <s v="DNP"/>
    <x v="1"/>
    <x v="1"/>
    <n v="3"/>
    <x v="0"/>
    <n v="2"/>
    <n v="1"/>
    <x v="0"/>
    <s v="Tim Delaney"/>
    <x v="29"/>
    <x v="2"/>
    <x v="0"/>
    <n v="3"/>
    <n v="0"/>
    <n v="18"/>
    <n v="0"/>
    <x v="1"/>
    <x v="0"/>
    <x v="1"/>
    <x v="0"/>
    <x v="1"/>
    <n v="21"/>
    <n v="6"/>
    <n v="2"/>
    <x v="0"/>
    <x v="2"/>
    <x v="1"/>
    <n v="0"/>
    <n v="0"/>
    <n v="10"/>
    <m/>
    <n v="10"/>
    <n v="10"/>
    <n v="20"/>
    <n v="0"/>
    <n v="0"/>
    <x v="0"/>
  </r>
  <r>
    <x v="22"/>
    <x v="30"/>
    <x v="26"/>
    <x v="29"/>
    <x v="21"/>
    <n v="7"/>
    <x v="15"/>
    <n v="25"/>
    <s v="AKI"/>
    <x v="18"/>
    <x v="18"/>
    <x v="18"/>
    <x v="18"/>
    <x v="10"/>
    <n v="81.7"/>
    <n v="0"/>
    <x v="2"/>
    <n v="20"/>
    <x v="4"/>
    <n v="0"/>
    <s v="both"/>
    <n v="0"/>
    <n v="0.91666666666666663"/>
    <n v="1"/>
    <n v="0.2"/>
    <n v="10"/>
    <n v="49"/>
    <n v="43"/>
    <n v="6"/>
    <x v="25"/>
    <n v="0"/>
    <n v="8"/>
    <n v="160"/>
    <n v="140"/>
    <n v="237"/>
    <n v="36620"/>
    <n v="8"/>
    <n v="0"/>
    <s v="04-04-00"/>
    <n v="18"/>
    <n v="5"/>
    <x v="1"/>
    <x v="1"/>
    <n v="3"/>
    <x v="0"/>
    <n v="2"/>
    <n v="1"/>
    <x v="0"/>
    <s v="Tim Delaney"/>
    <x v="30"/>
    <x v="6"/>
    <x v="0"/>
    <n v="3"/>
    <n v="0"/>
    <n v="0"/>
    <n v="0"/>
    <x v="1"/>
    <x v="1"/>
    <x v="1"/>
    <x v="1"/>
    <x v="1"/>
    <n v="33"/>
    <n v="3"/>
    <n v="2"/>
    <x v="0"/>
    <x v="1"/>
    <x v="2"/>
    <n v="30"/>
    <n v="0"/>
    <n v="10"/>
    <m/>
    <n v="10"/>
    <n v="10"/>
    <n v="10"/>
    <n v="0"/>
    <n v="0"/>
    <x v="0"/>
  </r>
  <r>
    <x v="23"/>
    <x v="31"/>
    <x v="21"/>
    <x v="30"/>
    <x v="2"/>
    <n v="28"/>
    <x v="8"/>
    <n v="7"/>
    <s v="AKI"/>
    <x v="19"/>
    <x v="19"/>
    <x v="19"/>
    <x v="19"/>
    <x v="15"/>
    <n v="26.72"/>
    <n v="5"/>
    <x v="3"/>
    <n v="0"/>
    <x v="7"/>
    <n v="0"/>
    <s v="both"/>
    <n v="0.33333333333333331"/>
    <n v="0.5"/>
    <n v="1"/>
    <n v="0.9"/>
    <n v="30"/>
    <n v="27.799999999999997"/>
    <n v="17"/>
    <n v="10.799999999999999"/>
    <x v="26"/>
    <n v="0"/>
    <n v="10"/>
    <n v="72"/>
    <n v="80"/>
    <n v="107"/>
    <n v="36649"/>
    <n v="8"/>
    <n v="0"/>
    <s v="05-03-00"/>
    <n v="15"/>
    <n v="19"/>
    <x v="1"/>
    <x v="1"/>
    <n v="3"/>
    <x v="0"/>
    <n v="2"/>
    <n v="1"/>
    <x v="0"/>
    <s v="Tim Delaney"/>
    <x v="31"/>
    <x v="5"/>
    <x v="0"/>
    <n v="3"/>
    <n v="0"/>
    <n v="5"/>
    <n v="10"/>
    <x v="1"/>
    <x v="1"/>
    <x v="1"/>
    <x v="1"/>
    <x v="1"/>
    <n v="12"/>
    <n v="12"/>
    <n v="2"/>
    <x v="0"/>
    <x v="1"/>
    <x v="2"/>
    <n v="0"/>
    <n v="30"/>
    <n v="0"/>
    <m/>
    <n v="0"/>
    <n v="30"/>
    <n v="55"/>
    <n v="0"/>
    <n v="0"/>
    <x v="0"/>
  </r>
  <r>
    <x v="2"/>
    <x v="32"/>
    <x v="21"/>
    <x v="31"/>
    <x v="2"/>
    <n v="28"/>
    <x v="3"/>
    <n v="8"/>
    <s v="AKI"/>
    <x v="3"/>
    <x v="3"/>
    <x v="3"/>
    <x v="3"/>
    <x v="16"/>
    <n v="105.95384615384616"/>
    <n v="24"/>
    <x v="6"/>
    <n v="20"/>
    <x v="8"/>
    <n v="3"/>
    <s v="both"/>
    <n v="0.66666666666666663"/>
    <n v="0.76923076923076927"/>
    <n v="1"/>
    <n v="0.8"/>
    <n v="10"/>
    <n v="68"/>
    <n v="52"/>
    <n v="16"/>
    <x v="1"/>
    <n v="0"/>
    <n v="4"/>
    <n v="24"/>
    <n v="80"/>
    <n v="88"/>
    <n v="36562"/>
    <n v="8"/>
    <n v="0"/>
    <s v="02-06-00"/>
    <n v="37"/>
    <s v="DNP"/>
    <x v="1"/>
    <x v="1"/>
    <n v="3"/>
    <x v="0"/>
    <n v="2"/>
    <n v="1"/>
    <x v="0"/>
    <s v="Tim Delaney"/>
    <x v="32"/>
    <x v="0"/>
    <x v="0"/>
    <n v="3"/>
    <n v="0"/>
    <n v="12"/>
    <n v="6"/>
    <x v="0"/>
    <x v="0"/>
    <x v="0"/>
    <x v="0"/>
    <x v="0"/>
    <n v="30"/>
    <n v="9"/>
    <n v="2"/>
    <x v="0"/>
    <x v="3"/>
    <x v="1"/>
    <n v="20"/>
    <n v="0"/>
    <n v="10"/>
    <m/>
    <n v="10"/>
    <n v="10"/>
    <n v="20"/>
    <n v="0"/>
    <n v="0"/>
    <x v="0"/>
  </r>
  <r>
    <x v="2"/>
    <x v="33"/>
    <x v="21"/>
    <x v="32"/>
    <x v="2"/>
    <n v="28"/>
    <x v="3"/>
    <n v="14"/>
    <s v="AK"/>
    <x v="2"/>
    <x v="2"/>
    <x v="2"/>
    <x v="2"/>
    <x v="17"/>
    <n v="111.66666666666666"/>
    <n v="54"/>
    <x v="7"/>
    <n v="20"/>
    <x v="0"/>
    <n v="5"/>
    <s v="offensive"/>
    <n v="1"/>
    <n v="0.77777777777777779"/>
    <n v="1"/>
    <n v="0"/>
    <n v="10"/>
    <n v="49"/>
    <n v="49"/>
    <n v="0"/>
    <x v="1"/>
    <n v="0"/>
    <n v="6"/>
    <n v="84"/>
    <n v="90"/>
    <n v="144"/>
    <n v="36591"/>
    <n v="9"/>
    <n v="0"/>
    <s v="03-06-00"/>
    <n v="31"/>
    <s v="DNP"/>
    <x v="1"/>
    <x v="1"/>
    <n v="3"/>
    <x v="0"/>
    <n v="2"/>
    <n v="1"/>
    <x v="0"/>
    <s v="Tim Delaney"/>
    <x v="33"/>
    <x v="3"/>
    <x v="0"/>
    <n v="3"/>
    <n v="0"/>
    <n v="18"/>
    <n v="0"/>
    <x v="1"/>
    <x v="1"/>
    <x v="0"/>
    <x v="0"/>
    <x v="1"/>
    <n v="21"/>
    <n v="6"/>
    <n v="2"/>
    <x v="0"/>
    <x v="0"/>
    <x v="0"/>
    <n v="0"/>
    <n v="0"/>
    <n v="10"/>
    <m/>
    <n v="10"/>
    <n v="10"/>
    <n v="20"/>
    <n v="0"/>
    <n v="0"/>
    <x v="0"/>
  </r>
  <r>
    <x v="24"/>
    <x v="34"/>
    <x v="21"/>
    <x v="33"/>
    <x v="2"/>
    <n v="28"/>
    <x v="8"/>
    <n v="3"/>
    <s v="AK"/>
    <x v="20"/>
    <x v="20"/>
    <x v="20"/>
    <x v="20"/>
    <x v="2"/>
    <n v="80.5"/>
    <n v="0"/>
    <x v="2"/>
    <n v="20"/>
    <x v="0"/>
    <n v="0"/>
    <s v="both"/>
    <n v="0"/>
    <n v="0.91666666666666663"/>
    <n v="1"/>
    <n v="0"/>
    <n v="10"/>
    <n v="43"/>
    <n v="43"/>
    <n v="0"/>
    <x v="27"/>
    <n v="0"/>
    <n v="6"/>
    <n v="106"/>
    <n v="60"/>
    <n v="139"/>
    <n v="36591"/>
    <n v="9"/>
    <n v="0"/>
    <s v="03-06-00"/>
    <n v="28"/>
    <n v="26"/>
    <x v="1"/>
    <x v="1"/>
    <n v="3"/>
    <x v="0"/>
    <n v="2"/>
    <n v="1"/>
    <x v="0"/>
    <s v="Tim Delaney"/>
    <x v="34"/>
    <x v="1"/>
    <x v="0"/>
    <n v="3"/>
    <n v="0"/>
    <n v="0"/>
    <n v="0"/>
    <x v="1"/>
    <x v="1"/>
    <x v="1"/>
    <x v="1"/>
    <x v="1"/>
    <n v="33"/>
    <n v="3"/>
    <n v="2"/>
    <x v="0"/>
    <x v="0"/>
    <x v="0"/>
    <n v="30"/>
    <n v="0"/>
    <n v="10"/>
    <m/>
    <n v="10"/>
    <n v="10"/>
    <n v="10"/>
    <n v="0"/>
    <n v="0"/>
    <x v="0"/>
  </r>
  <r>
    <x v="25"/>
    <x v="35"/>
    <x v="27"/>
    <x v="34"/>
    <x v="22"/>
    <n v="23"/>
    <x v="3"/>
    <n v="25"/>
    <s v="AK"/>
    <x v="2"/>
    <x v="2"/>
    <x v="2"/>
    <x v="2"/>
    <x v="2"/>
    <n v="77"/>
    <n v="5"/>
    <x v="3"/>
    <n v="60"/>
    <x v="0"/>
    <n v="0"/>
    <s v="both"/>
    <n v="0.33333333333333331"/>
    <n v="0.5"/>
    <n v="1"/>
    <n v="0"/>
    <n v="30"/>
    <n v="47"/>
    <n v="47"/>
    <n v="0"/>
    <x v="28"/>
    <n v="1"/>
    <n v="12"/>
    <n v="144"/>
    <n v="120"/>
    <n v="169"/>
    <n v="36680"/>
    <n v="9"/>
    <n v="0"/>
    <s v="06-03-00"/>
    <n v="6"/>
    <n v="18"/>
    <x v="1"/>
    <x v="1"/>
    <n v="3"/>
    <x v="0"/>
    <n v="2"/>
    <n v="1"/>
    <x v="0"/>
    <s v="Tim Delaney"/>
    <x v="35"/>
    <x v="2"/>
    <x v="0"/>
    <n v="3"/>
    <n v="0"/>
    <n v="5"/>
    <n v="10"/>
    <x v="1"/>
    <x v="1"/>
    <x v="1"/>
    <x v="1"/>
    <x v="1"/>
    <n v="12"/>
    <n v="12"/>
    <n v="2"/>
    <x v="0"/>
    <x v="0"/>
    <x v="0"/>
    <n v="0"/>
    <n v="30"/>
    <n v="30"/>
    <m/>
    <n v="30"/>
    <n v="30"/>
    <n v="55"/>
    <n v="0"/>
    <n v="0"/>
    <x v="0"/>
  </r>
  <r>
    <x v="26"/>
    <x v="36"/>
    <x v="21"/>
    <x v="35"/>
    <x v="2"/>
    <n v="28"/>
    <x v="4"/>
    <n v="5"/>
    <s v="AKI"/>
    <x v="15"/>
    <x v="15"/>
    <x v="15"/>
    <x v="15"/>
    <x v="2"/>
    <n v="93.953846153846158"/>
    <n v="24"/>
    <x v="6"/>
    <n v="20"/>
    <x v="5"/>
    <n v="3"/>
    <s v="both"/>
    <n v="0.66666666666666663"/>
    <n v="0.76923076923076927"/>
    <n v="1"/>
    <n v="0.2"/>
    <n v="10"/>
    <n v="56"/>
    <n v="52"/>
    <n v="4"/>
    <x v="1"/>
    <n v="1"/>
    <n v="12"/>
    <n v="70"/>
    <n v="140"/>
    <n v="170"/>
    <n v="36679"/>
    <n v="8"/>
    <n v="0"/>
    <s v="06-02-00"/>
    <n v="9"/>
    <n v="20"/>
    <x v="1"/>
    <x v="1"/>
    <n v="3"/>
    <x v="0"/>
    <n v="2"/>
    <n v="1"/>
    <x v="0"/>
    <s v="Tim Delaney"/>
    <x v="36"/>
    <x v="6"/>
    <x v="0"/>
    <n v="3"/>
    <n v="0"/>
    <n v="12"/>
    <n v="6"/>
    <x v="0"/>
    <x v="0"/>
    <x v="0"/>
    <x v="0"/>
    <x v="0"/>
    <n v="30"/>
    <n v="9"/>
    <n v="2"/>
    <x v="0"/>
    <x v="1"/>
    <x v="1"/>
    <n v="20"/>
    <n v="0"/>
    <n v="10"/>
    <m/>
    <n v="10"/>
    <n v="10"/>
    <n v="20"/>
    <n v="0"/>
    <n v="0"/>
    <x v="0"/>
  </r>
  <r>
    <x v="2"/>
    <x v="2"/>
    <x v="2"/>
    <x v="2"/>
    <x v="2"/>
    <n v="26"/>
    <x v="2"/>
    <n v="25"/>
    <s v="A"/>
    <x v="2"/>
    <x v="2"/>
    <x v="2"/>
    <x v="2"/>
    <x v="2"/>
    <n v="111.66666666666666"/>
    <n v="54"/>
    <x v="7"/>
    <n v="20"/>
    <x v="0"/>
    <n v="5"/>
    <s v="offensive"/>
    <n v="1"/>
    <n v="0.77777777777777779"/>
    <n v="1"/>
    <n v="0"/>
    <n v="10"/>
    <n v="49"/>
    <n v="49"/>
    <n v="0"/>
    <x v="1"/>
    <n v="1"/>
    <n v="8"/>
    <n v="86"/>
    <n v="80"/>
    <n v="122"/>
    <n v="36621"/>
    <n v="9"/>
    <n v="0"/>
    <s v="04-05-00"/>
    <n v="21"/>
    <s v="DNP"/>
    <x v="1"/>
    <x v="1"/>
    <n v="3"/>
    <x v="0"/>
    <n v="2"/>
    <n v="1"/>
    <x v="0"/>
    <s v="Tim Delaney"/>
    <x v="2"/>
    <x v="5"/>
    <x v="0"/>
    <n v="3"/>
    <n v="0"/>
    <n v="18"/>
    <n v="0"/>
    <x v="1"/>
    <x v="1"/>
    <x v="0"/>
    <x v="0"/>
    <x v="1"/>
    <n v="21"/>
    <n v="6"/>
    <n v="2"/>
    <x v="0"/>
    <x v="2"/>
    <x v="1"/>
    <n v="0"/>
    <n v="0"/>
    <n v="10"/>
    <m/>
    <n v="10"/>
    <n v="10"/>
    <n v="20"/>
    <n v="0"/>
    <n v="0"/>
    <x v="0"/>
  </r>
  <r>
    <x v="2"/>
    <x v="37"/>
    <x v="21"/>
    <x v="36"/>
    <x v="2"/>
    <n v="28"/>
    <x v="3"/>
    <n v="6"/>
    <s v="AK"/>
    <x v="21"/>
    <x v="21"/>
    <x v="21"/>
    <x v="21"/>
    <x v="2"/>
    <n v="80.5"/>
    <n v="0"/>
    <x v="2"/>
    <n v="20"/>
    <x v="0"/>
    <n v="0"/>
    <s v="both"/>
    <n v="0"/>
    <n v="0.91666666666666663"/>
    <n v="1"/>
    <n v="0"/>
    <n v="10"/>
    <n v="43"/>
    <n v="43"/>
    <n v="0"/>
    <x v="24"/>
    <n v="1"/>
    <n v="8"/>
    <n v="82"/>
    <n v="80"/>
    <n v="145"/>
    <n v="36620"/>
    <n v="8"/>
    <n v="0"/>
    <s v="04-04-00"/>
    <n v="23"/>
    <s v="DNP"/>
    <x v="1"/>
    <x v="1"/>
    <n v="3"/>
    <x v="0"/>
    <n v="2"/>
    <n v="1"/>
    <x v="0"/>
    <s v="Tim Delaney"/>
    <x v="37"/>
    <x v="0"/>
    <x v="0"/>
    <n v="3"/>
    <n v="0"/>
    <n v="0"/>
    <n v="0"/>
    <x v="1"/>
    <x v="0"/>
    <x v="1"/>
    <x v="0"/>
    <x v="1"/>
    <n v="33"/>
    <n v="3"/>
    <n v="2"/>
    <x v="0"/>
    <x v="0"/>
    <x v="0"/>
    <n v="30"/>
    <n v="0"/>
    <n v="10"/>
    <m/>
    <n v="10"/>
    <n v="10"/>
    <n v="10"/>
    <n v="0"/>
    <n v="0"/>
    <x v="0"/>
  </r>
  <r>
    <x v="2"/>
    <x v="38"/>
    <x v="14"/>
    <x v="37"/>
    <x v="2"/>
    <n v="17"/>
    <x v="3"/>
    <n v="23"/>
    <s v="AKD"/>
    <x v="13"/>
    <x v="13"/>
    <x v="13"/>
    <x v="13"/>
    <x v="18"/>
    <n v="77"/>
    <n v="5"/>
    <x v="3"/>
    <n v="60"/>
    <x v="0"/>
    <n v="0"/>
    <s v="both"/>
    <n v="0.33333333333333331"/>
    <n v="0.5"/>
    <n v="1"/>
    <n v="0"/>
    <n v="30"/>
    <n v="47"/>
    <n v="47"/>
    <n v="0"/>
    <x v="29"/>
    <n v="1"/>
    <n v="3"/>
    <n v="74"/>
    <n v="50"/>
    <n v="162"/>
    <n v="36897"/>
    <n v="8"/>
    <n v="0"/>
    <s v="01-06-01"/>
    <n v="39"/>
    <s v="DNP"/>
    <x v="1"/>
    <x v="1"/>
    <n v="3"/>
    <x v="0"/>
    <n v="2"/>
    <n v="1"/>
    <x v="0"/>
    <s v="Tim Delaney"/>
    <x v="38"/>
    <x v="3"/>
    <x v="0"/>
    <n v="3"/>
    <n v="0"/>
    <n v="5"/>
    <n v="10"/>
    <x v="1"/>
    <x v="1"/>
    <x v="1"/>
    <x v="1"/>
    <x v="1"/>
    <n v="12"/>
    <n v="12"/>
    <n v="2"/>
    <x v="0"/>
    <x v="0"/>
    <x v="0"/>
    <n v="0"/>
    <n v="30"/>
    <n v="30"/>
    <m/>
    <n v="30"/>
    <n v="30"/>
    <n v="55"/>
    <n v="0"/>
    <n v="0"/>
    <x v="0"/>
  </r>
  <r>
    <x v="0"/>
    <x v="0"/>
    <x v="0"/>
    <x v="0"/>
    <x v="0"/>
    <n v="4"/>
    <x v="0"/>
    <n v="25"/>
    <s v="AKI"/>
    <x v="0"/>
    <x v="0"/>
    <x v="0"/>
    <x v="0"/>
    <x v="0"/>
    <n v="73.303030303030297"/>
    <n v="42.666666666666664"/>
    <x v="8"/>
    <n v="20"/>
    <x v="0"/>
    <n v="9"/>
    <s v="both"/>
    <n v="0.88888888888888884"/>
    <n v="0.27272727272727271"/>
    <n v="1"/>
    <n v="0"/>
    <n v="20"/>
    <n v="27"/>
    <n v="29"/>
    <n v="-2"/>
    <x v="0"/>
    <n v="0"/>
    <n v="10"/>
    <n v="178"/>
    <n v="80"/>
    <n v="213"/>
    <n v="36649"/>
    <n v="8"/>
    <n v="0"/>
    <s v="05-03-00"/>
    <n v="11"/>
    <n v="6.5"/>
    <x v="0"/>
    <x v="0"/>
    <n v="3"/>
    <x v="0"/>
    <n v="2"/>
    <n v="1"/>
    <x v="0"/>
    <s v="Tim Delaney"/>
    <x v="0"/>
    <x v="7"/>
    <x v="0"/>
    <n v="3"/>
    <n v="1"/>
    <n v="16"/>
    <n v="2"/>
    <x v="1"/>
    <x v="1"/>
    <x v="1"/>
    <x v="1"/>
    <x v="1"/>
    <n v="3"/>
    <n v="8"/>
    <n v="3"/>
    <x v="1"/>
    <x v="0"/>
    <x v="0"/>
    <n v="22"/>
    <n v="1"/>
    <n v="10"/>
    <n v="5"/>
    <n v="10"/>
    <n v="20"/>
    <n v="64"/>
    <n v="1"/>
    <n v="1"/>
    <x v="1"/>
  </r>
  <r>
    <x v="2"/>
    <x v="20"/>
    <x v="14"/>
    <x v="20"/>
    <x v="13"/>
    <n v="28"/>
    <x v="3"/>
    <n v="25"/>
    <s v="AID"/>
    <x v="1"/>
    <x v="1"/>
    <x v="1"/>
    <x v="1"/>
    <x v="2"/>
    <n v="210"/>
    <n v="36"/>
    <x v="9"/>
    <n v="60"/>
    <x v="0"/>
    <n v="0"/>
    <s v="offensive"/>
    <n v="1"/>
    <n v="1"/>
    <n v="1"/>
    <n v="0"/>
    <n v="30"/>
    <n v="99"/>
    <n v="99"/>
    <n v="0"/>
    <x v="15"/>
    <n v="0"/>
    <n v="10"/>
    <n v="64"/>
    <n v="70"/>
    <n v="87"/>
    <n v="36649"/>
    <n v="8"/>
    <n v="0"/>
    <s v="05-03-00"/>
    <n v="16"/>
    <s v="DNP"/>
    <x v="1"/>
    <x v="1"/>
    <n v="3"/>
    <x v="0"/>
    <n v="2"/>
    <n v="1"/>
    <x v="0"/>
    <s v="Tim Delaney"/>
    <x v="20"/>
    <x v="8"/>
    <x v="0"/>
    <n v="3"/>
    <n v="0"/>
    <n v="12"/>
    <n v="0"/>
    <x v="1"/>
    <x v="1"/>
    <x v="1"/>
    <x v="1"/>
    <x v="1"/>
    <n v="57"/>
    <n v="0"/>
    <n v="0"/>
    <x v="0"/>
    <x v="1"/>
    <x v="1"/>
    <n v="0"/>
    <n v="0"/>
    <n v="30"/>
    <n v="0"/>
    <n v="30"/>
    <n v="30"/>
    <n v="70"/>
    <n v="0"/>
    <n v="0"/>
    <x v="1"/>
  </r>
  <r>
    <x v="1"/>
    <x v="1"/>
    <x v="1"/>
    <x v="1"/>
    <x v="1"/>
    <n v="8"/>
    <x v="1"/>
    <n v="13"/>
    <s v="AKI"/>
    <x v="1"/>
    <x v="1"/>
    <x v="1"/>
    <x v="1"/>
    <x v="1"/>
    <n v="153.8218181818182"/>
    <n v="57.600000000000009"/>
    <x v="10"/>
    <n v="40"/>
    <x v="11"/>
    <n v="5"/>
    <s v="both"/>
    <n v="0.8"/>
    <n v="0.81818181818181823"/>
    <n v="1"/>
    <n v="0.4"/>
    <n v="20"/>
    <n v="88.6"/>
    <n v="71"/>
    <n v="17.600000000000001"/>
    <x v="0"/>
    <n v="0"/>
    <n v="5"/>
    <n v="118"/>
    <n v="120"/>
    <n v="179"/>
    <n v="36927"/>
    <n v="8"/>
    <n v="0"/>
    <s v="02-05-01"/>
    <n v="34"/>
    <n v="12"/>
    <x v="1"/>
    <x v="1"/>
    <n v="3"/>
    <x v="0"/>
    <n v="2"/>
    <n v="1"/>
    <x v="0"/>
    <s v="Tim Delaney"/>
    <x v="1"/>
    <x v="3"/>
    <x v="0"/>
    <n v="3"/>
    <n v="2"/>
    <n v="24"/>
    <n v="6"/>
    <x v="1"/>
    <x v="0"/>
    <x v="1"/>
    <x v="0"/>
    <x v="1"/>
    <n v="27"/>
    <n v="6"/>
    <n v="2"/>
    <x v="0"/>
    <x v="2"/>
    <x v="1"/>
    <n v="44"/>
    <n v="0"/>
    <n v="20"/>
    <n v="0"/>
    <n v="20"/>
    <n v="20"/>
    <n v="43"/>
    <n v="0"/>
    <n v="0"/>
    <x v="0"/>
  </r>
  <r>
    <x v="1"/>
    <x v="1"/>
    <x v="1"/>
    <x v="1"/>
    <x v="1"/>
    <n v="8"/>
    <x v="1"/>
    <n v="13"/>
    <s v="AKI"/>
    <x v="1"/>
    <x v="1"/>
    <x v="1"/>
    <x v="1"/>
    <x v="1"/>
    <n v="4.8000000000000007"/>
    <n v="0"/>
    <x v="11"/>
    <n v="0"/>
    <x v="9"/>
    <n v="0"/>
    <s v="defensive"/>
    <n v="0"/>
    <n v="0"/>
    <n v="0"/>
    <n v="0.2"/>
    <n v="0"/>
    <n v="24"/>
    <n v="0"/>
    <n v="24"/>
    <x v="0"/>
    <n v="0"/>
    <n v="5"/>
    <n v="118"/>
    <n v="120"/>
    <n v="179"/>
    <n v="36927"/>
    <n v="8"/>
    <n v="0"/>
    <s v="02-05-01"/>
    <n v="34"/>
    <n v="12"/>
    <x v="1"/>
    <x v="1"/>
    <n v="3"/>
    <x v="0"/>
    <n v="2"/>
    <n v="1"/>
    <x v="0"/>
    <s v="Tim Delaney"/>
    <x v="1"/>
    <x v="9"/>
    <x v="0"/>
    <n v="3"/>
    <n v="0"/>
    <n v="0"/>
    <n v="0"/>
    <x v="1"/>
    <x v="1"/>
    <x v="1"/>
    <x v="1"/>
    <x v="1"/>
    <n v="0"/>
    <n v="0"/>
    <n v="0"/>
    <x v="0"/>
    <x v="1"/>
    <x v="2"/>
    <n v="120"/>
    <n v="0"/>
    <n v="0"/>
    <n v="0"/>
    <n v="0"/>
    <n v="0"/>
    <n v="0"/>
    <n v="0"/>
    <n v="0"/>
    <x v="0"/>
  </r>
  <r>
    <x v="1"/>
    <x v="1"/>
    <x v="1"/>
    <x v="1"/>
    <x v="1"/>
    <n v="8"/>
    <x v="1"/>
    <n v="13"/>
    <s v="AKI"/>
    <x v="1"/>
    <x v="1"/>
    <x v="1"/>
    <x v="1"/>
    <x v="1"/>
    <n v="28.199999999999996"/>
    <n v="0"/>
    <x v="11"/>
    <n v="0"/>
    <x v="12"/>
    <n v="0"/>
    <s v="defensive"/>
    <n v="0"/>
    <n v="0"/>
    <n v="0"/>
    <n v="0.5"/>
    <n v="0"/>
    <n v="56.399999999999991"/>
    <n v="0"/>
    <n v="56.399999999999991"/>
    <x v="0"/>
    <n v="0"/>
    <n v="5"/>
    <n v="118"/>
    <n v="120"/>
    <n v="179"/>
    <n v="36927"/>
    <n v="8"/>
    <n v="0"/>
    <s v="02-05-01"/>
    <n v="34"/>
    <n v="12"/>
    <x v="1"/>
    <x v="1"/>
    <n v="3"/>
    <x v="0"/>
    <n v="2"/>
    <n v="1"/>
    <x v="0"/>
    <s v="Tim Delaney"/>
    <x v="1"/>
    <x v="9"/>
    <x v="0"/>
    <n v="3"/>
    <n v="0"/>
    <n v="0"/>
    <n v="0"/>
    <x v="1"/>
    <x v="1"/>
    <x v="1"/>
    <x v="1"/>
    <x v="1"/>
    <n v="0"/>
    <n v="0"/>
    <n v="0"/>
    <x v="0"/>
    <x v="1"/>
    <x v="2"/>
    <n v="120"/>
    <n v="90"/>
    <n v="0"/>
    <n v="0"/>
    <n v="0"/>
    <n v="0"/>
    <n v="0"/>
    <n v="0"/>
    <n v="0"/>
    <x v="0"/>
  </r>
  <r>
    <x v="1"/>
    <x v="1"/>
    <x v="1"/>
    <x v="1"/>
    <x v="1"/>
    <n v="8"/>
    <x v="1"/>
    <n v="13"/>
    <s v="AKI"/>
    <x v="1"/>
    <x v="1"/>
    <x v="1"/>
    <x v="1"/>
    <x v="1"/>
    <n v="0"/>
    <n v="0"/>
    <x v="11"/>
    <n v="0"/>
    <x v="0"/>
    <n v="0"/>
    <s v="offensive"/>
    <n v="0"/>
    <n v="0"/>
    <n v="0"/>
    <n v="0"/>
    <n v="0"/>
    <n v="0"/>
    <n v="0"/>
    <n v="0"/>
    <x v="0"/>
    <n v="0"/>
    <n v="5"/>
    <n v="118"/>
    <n v="120"/>
    <n v="179"/>
    <n v="36927"/>
    <n v="8"/>
    <n v="0"/>
    <s v="02-05-01"/>
    <n v="34"/>
    <n v="12"/>
    <x v="1"/>
    <x v="1"/>
    <n v="3"/>
    <x v="0"/>
    <n v="2"/>
    <n v="1"/>
    <x v="0"/>
    <s v="Tim Delaney"/>
    <x v="1"/>
    <x v="9"/>
    <x v="0"/>
    <n v="3"/>
    <n v="0"/>
    <n v="0"/>
    <n v="0"/>
    <x v="1"/>
    <x v="1"/>
    <x v="1"/>
    <x v="1"/>
    <x v="1"/>
    <n v="0"/>
    <n v="0"/>
    <n v="0"/>
    <x v="0"/>
    <x v="3"/>
    <x v="1"/>
    <n v="0"/>
    <n v="0"/>
    <n v="0"/>
    <n v="0"/>
    <n v="0"/>
    <n v="0"/>
    <n v="0"/>
    <n v="0"/>
    <n v="0"/>
    <x v="0"/>
  </r>
  <r>
    <x v="1"/>
    <x v="1"/>
    <x v="1"/>
    <x v="1"/>
    <x v="1"/>
    <n v="8"/>
    <x v="1"/>
    <n v="13"/>
    <s v="AKI"/>
    <x v="1"/>
    <x v="1"/>
    <x v="1"/>
    <x v="1"/>
    <x v="1"/>
    <n v="0"/>
    <n v="0"/>
    <x v="11"/>
    <n v="0"/>
    <x v="0"/>
    <n v="0"/>
    <s v="offensive"/>
    <n v="0"/>
    <n v="0"/>
    <n v="0"/>
    <n v="0"/>
    <n v="0"/>
    <n v="0"/>
    <n v="0"/>
    <n v="0"/>
    <x v="0"/>
    <n v="0"/>
    <n v="5"/>
    <n v="118"/>
    <n v="120"/>
    <n v="179"/>
    <n v="36927"/>
    <n v="8"/>
    <n v="0"/>
    <s v="02-05-01"/>
    <n v="34"/>
    <n v="12"/>
    <x v="1"/>
    <x v="1"/>
    <n v="3"/>
    <x v="0"/>
    <n v="2"/>
    <n v="1"/>
    <x v="0"/>
    <s v="Tim Delaney"/>
    <x v="1"/>
    <x v="9"/>
    <x v="0"/>
    <n v="3"/>
    <n v="0"/>
    <n v="0"/>
    <n v="0"/>
    <x v="1"/>
    <x v="1"/>
    <x v="1"/>
    <x v="1"/>
    <x v="1"/>
    <n v="0"/>
    <n v="0"/>
    <n v="0"/>
    <x v="0"/>
    <x v="0"/>
    <x v="0"/>
    <n v="0"/>
    <n v="0"/>
    <n v="0"/>
    <n v="0"/>
    <n v="0"/>
    <n v="0"/>
    <n v="0"/>
    <n v="0"/>
    <n v="0"/>
    <x v="0"/>
  </r>
  <r>
    <x v="1"/>
    <x v="1"/>
    <x v="1"/>
    <x v="1"/>
    <x v="1"/>
    <n v="8"/>
    <x v="1"/>
    <n v="13"/>
    <s v="AKI"/>
    <x v="1"/>
    <x v="1"/>
    <x v="1"/>
    <x v="1"/>
    <x v="1"/>
    <n v="0"/>
    <n v="0"/>
    <x v="11"/>
    <n v="0"/>
    <x v="0"/>
    <n v="0"/>
    <s v="defensive"/>
    <n v="0"/>
    <n v="0"/>
    <n v="0"/>
    <n v="0"/>
    <n v="0"/>
    <n v="0"/>
    <n v="0"/>
    <n v="0"/>
    <x v="0"/>
    <n v="0"/>
    <n v="5"/>
    <n v="118"/>
    <n v="120"/>
    <n v="179"/>
    <n v="36927"/>
    <n v="8"/>
    <n v="0"/>
    <s v="02-05-01"/>
    <n v="34"/>
    <n v="12"/>
    <x v="1"/>
    <x v="1"/>
    <n v="3"/>
    <x v="0"/>
    <n v="2"/>
    <n v="1"/>
    <x v="0"/>
    <s v="Tim Delaney"/>
    <x v="1"/>
    <x v="9"/>
    <x v="0"/>
    <n v="3"/>
    <n v="0"/>
    <n v="0"/>
    <n v="0"/>
    <x v="1"/>
    <x v="1"/>
    <x v="1"/>
    <x v="1"/>
    <x v="1"/>
    <n v="0"/>
    <n v="0"/>
    <n v="0"/>
    <x v="0"/>
    <x v="0"/>
    <x v="0"/>
    <n v="0"/>
    <n v="120"/>
    <n v="0"/>
    <n v="0"/>
    <n v="0"/>
    <n v="0"/>
    <n v="0"/>
    <n v="0"/>
    <n v="0"/>
    <x v="0"/>
  </r>
  <r>
    <x v="2"/>
    <x v="29"/>
    <x v="21"/>
    <x v="28"/>
    <x v="2"/>
    <n v="28"/>
    <x v="3"/>
    <n v="25"/>
    <s v="AKD"/>
    <x v="2"/>
    <x v="2"/>
    <x v="2"/>
    <x v="2"/>
    <x v="2"/>
    <n v="106.66666666666666"/>
    <n v="54"/>
    <x v="7"/>
    <n v="20"/>
    <x v="0"/>
    <n v="0"/>
    <s v="offensive"/>
    <n v="1"/>
    <n v="0.77777777777777779"/>
    <n v="1"/>
    <n v="0"/>
    <n v="10"/>
    <n v="49"/>
    <n v="49"/>
    <n v="0"/>
    <x v="24"/>
    <n v="0"/>
    <n v="10"/>
    <n v="78"/>
    <n v="90"/>
    <n v="178"/>
    <n v="36650"/>
    <n v="9"/>
    <n v="0"/>
    <s v="05-04-00"/>
    <n v="14"/>
    <s v="DNP"/>
    <x v="1"/>
    <x v="1"/>
    <n v="3"/>
    <x v="0"/>
    <n v="2"/>
    <n v="1"/>
    <x v="0"/>
    <s v="Tim Delaney"/>
    <x v="29"/>
    <x v="2"/>
    <x v="0"/>
    <m/>
    <m/>
    <n v="18"/>
    <n v="0"/>
    <x v="2"/>
    <x v="2"/>
    <x v="2"/>
    <x v="2"/>
    <x v="2"/>
    <n v="21"/>
    <n v="6"/>
    <m/>
    <x v="2"/>
    <x v="2"/>
    <x v="1"/>
    <n v="0"/>
    <n v="0"/>
    <n v="10"/>
    <m/>
    <n v="10"/>
    <n v="10"/>
    <n v="20"/>
    <m/>
    <m/>
    <x v="0"/>
  </r>
  <r>
    <x v="22"/>
    <x v="30"/>
    <x v="26"/>
    <x v="29"/>
    <x v="21"/>
    <n v="7"/>
    <x v="15"/>
    <n v="25"/>
    <s v="AKI"/>
    <x v="18"/>
    <x v="18"/>
    <x v="18"/>
    <x v="18"/>
    <x v="10"/>
    <n v="81.7"/>
    <n v="0"/>
    <x v="2"/>
    <n v="20"/>
    <x v="4"/>
    <n v="0"/>
    <s v="both"/>
    <n v="0"/>
    <n v="0.91666666666666663"/>
    <n v="1"/>
    <n v="0.2"/>
    <n v="10"/>
    <n v="49"/>
    <n v="43"/>
    <n v="6"/>
    <x v="25"/>
    <n v="0"/>
    <n v="8"/>
    <n v="160"/>
    <n v="140"/>
    <n v="237"/>
    <n v="36620"/>
    <n v="8"/>
    <n v="0"/>
    <s v="04-04-00"/>
    <n v="18"/>
    <n v="5"/>
    <x v="1"/>
    <x v="1"/>
    <n v="3"/>
    <x v="0"/>
    <n v="2"/>
    <n v="1"/>
    <x v="0"/>
    <s v="Tim Delaney"/>
    <x v="30"/>
    <x v="6"/>
    <x v="0"/>
    <m/>
    <m/>
    <n v="0"/>
    <n v="0"/>
    <x v="2"/>
    <x v="2"/>
    <x v="2"/>
    <x v="2"/>
    <x v="2"/>
    <n v="33"/>
    <n v="3"/>
    <m/>
    <x v="2"/>
    <x v="1"/>
    <x v="2"/>
    <n v="30"/>
    <n v="0"/>
    <n v="10"/>
    <m/>
    <n v="10"/>
    <n v="10"/>
    <n v="10"/>
    <m/>
    <m/>
    <x v="0"/>
  </r>
  <r>
    <x v="23"/>
    <x v="31"/>
    <x v="21"/>
    <x v="30"/>
    <x v="2"/>
    <n v="28"/>
    <x v="8"/>
    <n v="7"/>
    <s v="AKI"/>
    <x v="19"/>
    <x v="19"/>
    <x v="19"/>
    <x v="19"/>
    <x v="15"/>
    <n v="86.72"/>
    <n v="5"/>
    <x v="3"/>
    <n v="60"/>
    <x v="7"/>
    <n v="0"/>
    <s v="both"/>
    <n v="0.33333333333333331"/>
    <n v="0.5"/>
    <n v="1"/>
    <n v="0.9"/>
    <n v="30"/>
    <n v="57.8"/>
    <n v="47"/>
    <n v="10.799999999999999"/>
    <x v="26"/>
    <n v="0"/>
    <n v="10"/>
    <n v="72"/>
    <n v="80"/>
    <n v="107"/>
    <n v="36649"/>
    <n v="8"/>
    <n v="0"/>
    <s v="05-03-00"/>
    <n v="15"/>
    <n v="19"/>
    <x v="1"/>
    <x v="1"/>
    <n v="3"/>
    <x v="0"/>
    <n v="2"/>
    <n v="1"/>
    <x v="0"/>
    <s v="Tim Delaney"/>
    <x v="31"/>
    <x v="5"/>
    <x v="0"/>
    <m/>
    <m/>
    <n v="5"/>
    <n v="10"/>
    <x v="2"/>
    <x v="2"/>
    <x v="2"/>
    <x v="2"/>
    <x v="2"/>
    <n v="12"/>
    <n v="12"/>
    <m/>
    <x v="2"/>
    <x v="1"/>
    <x v="2"/>
    <n v="0"/>
    <n v="30"/>
    <n v="30"/>
    <m/>
    <n v="30"/>
    <n v="30"/>
    <n v="55"/>
    <m/>
    <m/>
    <x v="0"/>
  </r>
  <r>
    <x v="2"/>
    <x v="32"/>
    <x v="21"/>
    <x v="31"/>
    <x v="2"/>
    <n v="28"/>
    <x v="3"/>
    <n v="8"/>
    <s v="AKI"/>
    <x v="3"/>
    <x v="3"/>
    <x v="3"/>
    <x v="3"/>
    <x v="16"/>
    <n v="102.95384615384616"/>
    <n v="24"/>
    <x v="6"/>
    <n v="20"/>
    <x v="8"/>
    <n v="0"/>
    <s v="both"/>
    <n v="0.66666666666666663"/>
    <n v="0.76923076923076927"/>
    <n v="1"/>
    <n v="0.8"/>
    <n v="10"/>
    <n v="68"/>
    <n v="52"/>
    <n v="16"/>
    <x v="1"/>
    <n v="0"/>
    <n v="4"/>
    <n v="24"/>
    <n v="80"/>
    <n v="88"/>
    <n v="36562"/>
    <n v="8"/>
    <n v="0"/>
    <s v="02-06-00"/>
    <n v="37"/>
    <s v="DNP"/>
    <x v="1"/>
    <x v="1"/>
    <n v="3"/>
    <x v="0"/>
    <n v="2"/>
    <n v="1"/>
    <x v="0"/>
    <s v="Tim Delaney"/>
    <x v="32"/>
    <x v="0"/>
    <x v="0"/>
    <m/>
    <m/>
    <n v="12"/>
    <n v="6"/>
    <x v="2"/>
    <x v="2"/>
    <x v="2"/>
    <x v="2"/>
    <x v="2"/>
    <n v="30"/>
    <n v="9"/>
    <m/>
    <x v="2"/>
    <x v="3"/>
    <x v="1"/>
    <n v="20"/>
    <n v="0"/>
    <n v="10"/>
    <m/>
    <n v="10"/>
    <n v="10"/>
    <n v="20"/>
    <m/>
    <m/>
    <x v="0"/>
  </r>
  <r>
    <x v="2"/>
    <x v="33"/>
    <x v="21"/>
    <x v="32"/>
    <x v="2"/>
    <n v="28"/>
    <x v="3"/>
    <n v="14"/>
    <s v="AK"/>
    <x v="2"/>
    <x v="2"/>
    <x v="2"/>
    <x v="2"/>
    <x v="17"/>
    <n v="106.66666666666666"/>
    <n v="54"/>
    <x v="7"/>
    <n v="20"/>
    <x v="0"/>
    <n v="0"/>
    <s v="offensive"/>
    <n v="1"/>
    <n v="0.77777777777777779"/>
    <n v="1"/>
    <n v="0"/>
    <n v="10"/>
    <n v="49"/>
    <n v="49"/>
    <n v="0"/>
    <x v="1"/>
    <n v="0"/>
    <n v="6"/>
    <n v="84"/>
    <n v="90"/>
    <n v="144"/>
    <n v="36591"/>
    <n v="9"/>
    <n v="0"/>
    <s v="03-06-00"/>
    <n v="31"/>
    <s v="DNP"/>
    <x v="1"/>
    <x v="1"/>
    <n v="3"/>
    <x v="0"/>
    <n v="2"/>
    <n v="1"/>
    <x v="0"/>
    <s v="Tim Delaney"/>
    <x v="33"/>
    <x v="3"/>
    <x v="0"/>
    <m/>
    <m/>
    <n v="18"/>
    <n v="0"/>
    <x v="2"/>
    <x v="2"/>
    <x v="2"/>
    <x v="2"/>
    <x v="2"/>
    <n v="21"/>
    <n v="6"/>
    <m/>
    <x v="2"/>
    <x v="0"/>
    <x v="0"/>
    <n v="0"/>
    <n v="0"/>
    <n v="10"/>
    <m/>
    <n v="10"/>
    <n v="10"/>
    <n v="20"/>
    <m/>
    <m/>
    <x v="0"/>
  </r>
  <r>
    <x v="24"/>
    <x v="34"/>
    <x v="21"/>
    <x v="33"/>
    <x v="2"/>
    <n v="28"/>
    <x v="8"/>
    <n v="3"/>
    <s v="AK"/>
    <x v="20"/>
    <x v="20"/>
    <x v="20"/>
    <x v="20"/>
    <x v="2"/>
    <n v="80.5"/>
    <n v="0"/>
    <x v="2"/>
    <n v="20"/>
    <x v="0"/>
    <n v="0"/>
    <s v="both"/>
    <n v="0"/>
    <n v="0.91666666666666663"/>
    <n v="1"/>
    <n v="0"/>
    <n v="10"/>
    <n v="43"/>
    <n v="43"/>
    <n v="0"/>
    <x v="27"/>
    <n v="0"/>
    <n v="6"/>
    <n v="106"/>
    <n v="60"/>
    <n v="139"/>
    <n v="36591"/>
    <n v="9"/>
    <n v="0"/>
    <s v="03-06-00"/>
    <n v="28"/>
    <n v="26"/>
    <x v="1"/>
    <x v="1"/>
    <n v="3"/>
    <x v="0"/>
    <n v="2"/>
    <n v="1"/>
    <x v="0"/>
    <s v="Tim Delaney"/>
    <x v="34"/>
    <x v="1"/>
    <x v="0"/>
    <m/>
    <m/>
    <n v="0"/>
    <n v="0"/>
    <x v="2"/>
    <x v="2"/>
    <x v="2"/>
    <x v="2"/>
    <x v="2"/>
    <n v="33"/>
    <n v="3"/>
    <m/>
    <x v="2"/>
    <x v="0"/>
    <x v="0"/>
    <n v="30"/>
    <n v="0"/>
    <n v="10"/>
    <m/>
    <n v="10"/>
    <n v="10"/>
    <n v="10"/>
    <m/>
    <m/>
    <x v="0"/>
  </r>
  <r>
    <x v="25"/>
    <x v="35"/>
    <x v="27"/>
    <x v="34"/>
    <x v="22"/>
    <n v="23"/>
    <x v="3"/>
    <n v="25"/>
    <s v="AK"/>
    <x v="2"/>
    <x v="2"/>
    <x v="2"/>
    <x v="2"/>
    <x v="2"/>
    <n v="77"/>
    <n v="5"/>
    <x v="3"/>
    <n v="60"/>
    <x v="0"/>
    <n v="0"/>
    <s v="both"/>
    <n v="0.33333333333333331"/>
    <n v="0.5"/>
    <n v="1"/>
    <n v="0"/>
    <n v="30"/>
    <n v="47"/>
    <n v="47"/>
    <n v="0"/>
    <x v="28"/>
    <n v="1"/>
    <n v="12"/>
    <n v="144"/>
    <n v="120"/>
    <n v="169"/>
    <n v="36680"/>
    <n v="9"/>
    <n v="0"/>
    <s v="06-03-00"/>
    <n v="6"/>
    <n v="18"/>
    <x v="1"/>
    <x v="1"/>
    <n v="3"/>
    <x v="0"/>
    <n v="2"/>
    <n v="1"/>
    <x v="0"/>
    <s v="Tim Delaney"/>
    <x v="35"/>
    <x v="2"/>
    <x v="0"/>
    <m/>
    <m/>
    <n v="5"/>
    <n v="10"/>
    <x v="2"/>
    <x v="2"/>
    <x v="2"/>
    <x v="2"/>
    <x v="2"/>
    <n v="12"/>
    <n v="12"/>
    <m/>
    <x v="2"/>
    <x v="0"/>
    <x v="0"/>
    <n v="0"/>
    <n v="30"/>
    <n v="30"/>
    <m/>
    <n v="30"/>
    <n v="30"/>
    <n v="55"/>
    <m/>
    <m/>
    <x v="0"/>
  </r>
  <r>
    <x v="26"/>
    <x v="36"/>
    <x v="21"/>
    <x v="35"/>
    <x v="2"/>
    <n v="28"/>
    <x v="4"/>
    <n v="5"/>
    <s v="AKI"/>
    <x v="15"/>
    <x v="15"/>
    <x v="15"/>
    <x v="15"/>
    <x v="2"/>
    <n v="90.953846153846158"/>
    <n v="24"/>
    <x v="6"/>
    <n v="20"/>
    <x v="5"/>
    <n v="0"/>
    <s v="both"/>
    <n v="0.66666666666666663"/>
    <n v="0.76923076923076927"/>
    <n v="1"/>
    <n v="0.2"/>
    <n v="10"/>
    <n v="56"/>
    <n v="52"/>
    <n v="4"/>
    <x v="1"/>
    <n v="1"/>
    <n v="12"/>
    <n v="70"/>
    <n v="140"/>
    <n v="170"/>
    <n v="36679"/>
    <n v="8"/>
    <n v="0"/>
    <s v="06-02-00"/>
    <n v="9"/>
    <n v="20"/>
    <x v="1"/>
    <x v="1"/>
    <n v="3"/>
    <x v="0"/>
    <n v="2"/>
    <n v="1"/>
    <x v="0"/>
    <s v="Tim Delaney"/>
    <x v="36"/>
    <x v="6"/>
    <x v="0"/>
    <m/>
    <m/>
    <n v="12"/>
    <n v="6"/>
    <x v="2"/>
    <x v="2"/>
    <x v="2"/>
    <x v="2"/>
    <x v="2"/>
    <n v="30"/>
    <n v="9"/>
    <m/>
    <x v="2"/>
    <x v="1"/>
    <x v="1"/>
    <n v="20"/>
    <n v="0"/>
    <n v="10"/>
    <m/>
    <n v="10"/>
    <n v="10"/>
    <n v="20"/>
    <m/>
    <m/>
    <x v="0"/>
  </r>
  <r>
    <x v="2"/>
    <x v="2"/>
    <x v="2"/>
    <x v="2"/>
    <x v="2"/>
    <n v="26"/>
    <x v="2"/>
    <n v="25"/>
    <s v="A"/>
    <x v="2"/>
    <x v="2"/>
    <x v="2"/>
    <x v="2"/>
    <x v="2"/>
    <n v="106.66666666666666"/>
    <n v="54"/>
    <x v="7"/>
    <n v="20"/>
    <x v="0"/>
    <n v="0"/>
    <s v="offensive"/>
    <n v="1"/>
    <n v="0.77777777777777779"/>
    <n v="1"/>
    <n v="0"/>
    <n v="10"/>
    <n v="49"/>
    <n v="49"/>
    <n v="0"/>
    <x v="1"/>
    <n v="1"/>
    <n v="8"/>
    <n v="86"/>
    <n v="80"/>
    <n v="122"/>
    <n v="36621"/>
    <n v="9"/>
    <n v="0"/>
    <s v="04-05-00"/>
    <n v="21"/>
    <s v="DNP"/>
    <x v="1"/>
    <x v="1"/>
    <n v="3"/>
    <x v="0"/>
    <n v="2"/>
    <n v="1"/>
    <x v="0"/>
    <s v="Tim Delaney"/>
    <x v="2"/>
    <x v="5"/>
    <x v="0"/>
    <m/>
    <m/>
    <n v="18"/>
    <n v="0"/>
    <x v="2"/>
    <x v="2"/>
    <x v="2"/>
    <x v="2"/>
    <x v="2"/>
    <n v="21"/>
    <n v="6"/>
    <m/>
    <x v="2"/>
    <x v="2"/>
    <x v="1"/>
    <n v="0"/>
    <n v="0"/>
    <n v="10"/>
    <m/>
    <n v="10"/>
    <n v="10"/>
    <n v="20"/>
    <m/>
    <m/>
    <x v="0"/>
  </r>
  <r>
    <x v="2"/>
    <x v="37"/>
    <x v="21"/>
    <x v="36"/>
    <x v="2"/>
    <n v="28"/>
    <x v="3"/>
    <n v="6"/>
    <s v="AK"/>
    <x v="21"/>
    <x v="21"/>
    <x v="21"/>
    <x v="21"/>
    <x v="2"/>
    <n v="80.5"/>
    <n v="0"/>
    <x v="2"/>
    <n v="20"/>
    <x v="0"/>
    <n v="0"/>
    <s v="both"/>
    <n v="0"/>
    <n v="0.91666666666666663"/>
    <n v="1"/>
    <n v="0"/>
    <n v="10"/>
    <n v="43"/>
    <n v="43"/>
    <n v="0"/>
    <x v="24"/>
    <n v="1"/>
    <n v="8"/>
    <n v="82"/>
    <n v="80"/>
    <n v="145"/>
    <n v="36620"/>
    <n v="8"/>
    <n v="0"/>
    <s v="04-04-00"/>
    <n v="23"/>
    <s v="DNP"/>
    <x v="1"/>
    <x v="1"/>
    <n v="3"/>
    <x v="0"/>
    <n v="2"/>
    <n v="1"/>
    <x v="0"/>
    <s v="Tim Delaney"/>
    <x v="37"/>
    <x v="0"/>
    <x v="0"/>
    <m/>
    <m/>
    <n v="0"/>
    <n v="0"/>
    <x v="2"/>
    <x v="2"/>
    <x v="2"/>
    <x v="2"/>
    <x v="2"/>
    <n v="33"/>
    <n v="3"/>
    <m/>
    <x v="2"/>
    <x v="0"/>
    <x v="0"/>
    <n v="30"/>
    <n v="0"/>
    <n v="10"/>
    <m/>
    <n v="10"/>
    <n v="10"/>
    <n v="10"/>
    <m/>
    <m/>
    <x v="0"/>
  </r>
  <r>
    <x v="2"/>
    <x v="38"/>
    <x v="14"/>
    <x v="37"/>
    <x v="2"/>
    <n v="17"/>
    <x v="3"/>
    <n v="23"/>
    <s v="AKD"/>
    <x v="13"/>
    <x v="13"/>
    <x v="13"/>
    <x v="13"/>
    <x v="18"/>
    <n v="77"/>
    <n v="5"/>
    <x v="3"/>
    <n v="60"/>
    <x v="0"/>
    <n v="0"/>
    <s v="both"/>
    <n v="0.33333333333333331"/>
    <n v="0.5"/>
    <n v="1"/>
    <n v="0"/>
    <n v="30"/>
    <n v="47"/>
    <n v="47"/>
    <n v="0"/>
    <x v="29"/>
    <n v="1"/>
    <n v="3"/>
    <n v="74"/>
    <n v="50"/>
    <n v="162"/>
    <n v="36897"/>
    <n v="8"/>
    <n v="0"/>
    <s v="01-06-01"/>
    <n v="39"/>
    <s v="DNP"/>
    <x v="1"/>
    <x v="1"/>
    <n v="3"/>
    <x v="0"/>
    <n v="2"/>
    <n v="1"/>
    <x v="0"/>
    <s v="Tim Delaney"/>
    <x v="38"/>
    <x v="3"/>
    <x v="0"/>
    <m/>
    <m/>
    <n v="5"/>
    <n v="10"/>
    <x v="2"/>
    <x v="2"/>
    <x v="2"/>
    <x v="2"/>
    <x v="2"/>
    <n v="12"/>
    <n v="12"/>
    <m/>
    <x v="2"/>
    <x v="0"/>
    <x v="0"/>
    <n v="0"/>
    <n v="30"/>
    <n v="30"/>
    <m/>
    <n v="30"/>
    <n v="30"/>
    <n v="55"/>
    <m/>
    <m/>
    <x v="0"/>
  </r>
  <r>
    <x v="1"/>
    <x v="1"/>
    <x v="1"/>
    <x v="1"/>
    <x v="1"/>
    <n v="8"/>
    <x v="1"/>
    <n v="13"/>
    <s v="AKI"/>
    <x v="1"/>
    <x v="1"/>
    <x v="1"/>
    <x v="1"/>
    <x v="1"/>
    <n v="0"/>
    <n v="0"/>
    <x v="11"/>
    <n v="0"/>
    <x v="0"/>
    <n v="0"/>
    <s v="defensive"/>
    <n v="0"/>
    <n v="0"/>
    <n v="0"/>
    <n v="0"/>
    <n v="0"/>
    <n v="0"/>
    <n v="0"/>
    <n v="0"/>
    <x v="0"/>
    <n v="0"/>
    <n v="5"/>
    <n v="118"/>
    <n v="120"/>
    <n v="179"/>
    <n v="36927"/>
    <n v="8"/>
    <n v="0"/>
    <s v="02-05-01"/>
    <n v="34"/>
    <n v="12"/>
    <x v="1"/>
    <x v="1"/>
    <n v="3"/>
    <x v="0"/>
    <n v="2"/>
    <n v="1"/>
    <x v="0"/>
    <s v="Tim Delaney"/>
    <x v="1"/>
    <x v="9"/>
    <x v="0"/>
    <n v="0"/>
    <n v="0"/>
    <n v="0"/>
    <n v="0"/>
    <x v="1"/>
    <x v="1"/>
    <x v="1"/>
    <x v="1"/>
    <x v="1"/>
    <n v="0"/>
    <n v="0"/>
    <n v="0"/>
    <x v="0"/>
    <x v="0"/>
    <x v="0"/>
    <n v="0"/>
    <n v="120"/>
    <n v="0"/>
    <n v="0"/>
    <n v="0"/>
    <n v="0"/>
    <n v="0"/>
    <n v="0"/>
    <n v="0"/>
    <x v="0"/>
  </r>
  <r>
    <x v="2"/>
    <x v="29"/>
    <x v="21"/>
    <x v="28"/>
    <x v="2"/>
    <n v="28"/>
    <x v="3"/>
    <n v="25"/>
    <s v="AKD"/>
    <x v="2"/>
    <x v="2"/>
    <x v="2"/>
    <x v="2"/>
    <x v="2"/>
    <n v="106.66666666666666"/>
    <n v="54"/>
    <x v="7"/>
    <n v="20"/>
    <x v="0"/>
    <n v="0"/>
    <s v="offensive"/>
    <n v="1"/>
    <n v="0.77777777777777779"/>
    <n v="1"/>
    <n v="0"/>
    <n v="10"/>
    <n v="49"/>
    <n v="49"/>
    <n v="0"/>
    <x v="24"/>
    <n v="0"/>
    <n v="10"/>
    <n v="78"/>
    <n v="90"/>
    <n v="178"/>
    <n v="36650"/>
    <n v="9"/>
    <n v="0"/>
    <s v="05-04-00"/>
    <n v="14"/>
    <s v="DNP"/>
    <x v="1"/>
    <x v="1"/>
    <n v="3"/>
    <x v="0"/>
    <n v="2"/>
    <n v="1"/>
    <x v="0"/>
    <s v="Tim Delaney"/>
    <x v="29"/>
    <x v="2"/>
    <x v="0"/>
    <m/>
    <m/>
    <n v="18"/>
    <n v="0"/>
    <x v="2"/>
    <x v="2"/>
    <x v="2"/>
    <x v="2"/>
    <x v="2"/>
    <n v="21"/>
    <n v="6"/>
    <m/>
    <x v="2"/>
    <x v="2"/>
    <x v="1"/>
    <n v="0"/>
    <n v="0"/>
    <n v="10"/>
    <m/>
    <n v="10"/>
    <n v="10"/>
    <n v="20"/>
    <m/>
    <m/>
    <x v="0"/>
  </r>
  <r>
    <x v="22"/>
    <x v="30"/>
    <x v="26"/>
    <x v="29"/>
    <x v="21"/>
    <n v="7"/>
    <x v="15"/>
    <n v="25"/>
    <s v="AKI"/>
    <x v="18"/>
    <x v="18"/>
    <x v="18"/>
    <x v="18"/>
    <x v="10"/>
    <n v="81.7"/>
    <n v="0"/>
    <x v="2"/>
    <n v="20"/>
    <x v="4"/>
    <n v="0"/>
    <s v="both"/>
    <n v="0"/>
    <n v="0.91666666666666663"/>
    <n v="1"/>
    <n v="0.2"/>
    <n v="10"/>
    <n v="49"/>
    <n v="43"/>
    <n v="6"/>
    <x v="25"/>
    <n v="0"/>
    <n v="8"/>
    <n v="160"/>
    <n v="140"/>
    <n v="237"/>
    <n v="36620"/>
    <n v="8"/>
    <n v="0"/>
    <s v="04-04-00"/>
    <n v="18"/>
    <n v="5"/>
    <x v="1"/>
    <x v="1"/>
    <n v="3"/>
    <x v="0"/>
    <n v="2"/>
    <n v="1"/>
    <x v="0"/>
    <s v="Tim Delaney"/>
    <x v="30"/>
    <x v="6"/>
    <x v="0"/>
    <m/>
    <m/>
    <n v="0"/>
    <n v="0"/>
    <x v="2"/>
    <x v="2"/>
    <x v="2"/>
    <x v="2"/>
    <x v="2"/>
    <n v="33"/>
    <n v="3"/>
    <m/>
    <x v="2"/>
    <x v="1"/>
    <x v="2"/>
    <n v="30"/>
    <n v="0"/>
    <n v="10"/>
    <m/>
    <n v="10"/>
    <n v="10"/>
    <n v="10"/>
    <m/>
    <m/>
    <x v="0"/>
  </r>
  <r>
    <x v="23"/>
    <x v="31"/>
    <x v="21"/>
    <x v="30"/>
    <x v="2"/>
    <n v="28"/>
    <x v="8"/>
    <n v="7"/>
    <s v="AKI"/>
    <x v="19"/>
    <x v="19"/>
    <x v="19"/>
    <x v="19"/>
    <x v="15"/>
    <n v="86.72"/>
    <n v="5"/>
    <x v="3"/>
    <n v="60"/>
    <x v="7"/>
    <n v="0"/>
    <s v="both"/>
    <n v="0.33333333333333331"/>
    <n v="0.5"/>
    <n v="1"/>
    <n v="0.9"/>
    <n v="30"/>
    <n v="57.8"/>
    <n v="47"/>
    <n v="10.799999999999999"/>
    <x v="26"/>
    <n v="0"/>
    <n v="10"/>
    <n v="72"/>
    <n v="80"/>
    <n v="107"/>
    <n v="36649"/>
    <n v="8"/>
    <n v="0"/>
    <s v="05-03-00"/>
    <n v="15"/>
    <n v="19"/>
    <x v="1"/>
    <x v="1"/>
    <n v="3"/>
    <x v="0"/>
    <n v="2"/>
    <n v="1"/>
    <x v="0"/>
    <s v="Tim Delaney"/>
    <x v="31"/>
    <x v="5"/>
    <x v="0"/>
    <m/>
    <m/>
    <n v="5"/>
    <n v="10"/>
    <x v="2"/>
    <x v="2"/>
    <x v="2"/>
    <x v="2"/>
    <x v="2"/>
    <n v="12"/>
    <n v="12"/>
    <m/>
    <x v="2"/>
    <x v="1"/>
    <x v="2"/>
    <n v="0"/>
    <n v="30"/>
    <n v="30"/>
    <m/>
    <n v="30"/>
    <n v="30"/>
    <n v="55"/>
    <m/>
    <m/>
    <x v="0"/>
  </r>
  <r>
    <x v="2"/>
    <x v="32"/>
    <x v="21"/>
    <x v="31"/>
    <x v="2"/>
    <n v="28"/>
    <x v="3"/>
    <n v="8"/>
    <s v="AKI"/>
    <x v="3"/>
    <x v="3"/>
    <x v="3"/>
    <x v="3"/>
    <x v="16"/>
    <n v="102.95384615384616"/>
    <n v="24"/>
    <x v="6"/>
    <n v="20"/>
    <x v="8"/>
    <n v="0"/>
    <s v="both"/>
    <n v="0.66666666666666663"/>
    <n v="0.76923076923076927"/>
    <n v="1"/>
    <n v="0.8"/>
    <n v="10"/>
    <n v="68"/>
    <n v="52"/>
    <n v="16"/>
    <x v="1"/>
    <n v="0"/>
    <n v="4"/>
    <n v="24"/>
    <n v="80"/>
    <n v="88"/>
    <n v="36562"/>
    <n v="8"/>
    <n v="0"/>
    <s v="02-06-00"/>
    <n v="37"/>
    <s v="DNP"/>
    <x v="1"/>
    <x v="1"/>
    <n v="3"/>
    <x v="0"/>
    <n v="2"/>
    <n v="1"/>
    <x v="0"/>
    <s v="Tim Delaney"/>
    <x v="32"/>
    <x v="0"/>
    <x v="0"/>
    <m/>
    <m/>
    <n v="12"/>
    <n v="6"/>
    <x v="2"/>
    <x v="2"/>
    <x v="2"/>
    <x v="2"/>
    <x v="2"/>
    <n v="30"/>
    <n v="9"/>
    <m/>
    <x v="2"/>
    <x v="3"/>
    <x v="1"/>
    <n v="20"/>
    <n v="0"/>
    <n v="10"/>
    <m/>
    <n v="10"/>
    <n v="10"/>
    <n v="20"/>
    <m/>
    <m/>
    <x v="0"/>
  </r>
  <r>
    <x v="2"/>
    <x v="29"/>
    <x v="21"/>
    <x v="28"/>
    <x v="2"/>
    <n v="28"/>
    <x v="3"/>
    <n v="25"/>
    <s v="AKD"/>
    <x v="2"/>
    <x v="2"/>
    <x v="2"/>
    <x v="2"/>
    <x v="2"/>
    <n v="106.66666666666666"/>
    <n v="54"/>
    <x v="7"/>
    <n v="20"/>
    <x v="0"/>
    <n v="0"/>
    <s v="offensive"/>
    <n v="1"/>
    <n v="0.77777777777777779"/>
    <n v="1"/>
    <n v="0"/>
    <n v="10"/>
    <n v="49"/>
    <n v="49"/>
    <n v="0"/>
    <x v="24"/>
    <n v="0"/>
    <n v="10"/>
    <n v="78"/>
    <n v="90"/>
    <n v="178"/>
    <n v="36650"/>
    <n v="9"/>
    <n v="0"/>
    <s v="05-04-00"/>
    <n v="14"/>
    <s v="DNP"/>
    <x v="1"/>
    <x v="1"/>
    <n v="3"/>
    <x v="0"/>
    <n v="2"/>
    <n v="1"/>
    <x v="0"/>
    <s v="Tim Delaney"/>
    <x v="29"/>
    <x v="2"/>
    <x v="0"/>
    <m/>
    <m/>
    <n v="18"/>
    <n v="0"/>
    <x v="2"/>
    <x v="2"/>
    <x v="2"/>
    <x v="2"/>
    <x v="2"/>
    <n v="21"/>
    <n v="6"/>
    <m/>
    <x v="2"/>
    <x v="2"/>
    <x v="1"/>
    <n v="0"/>
    <n v="0"/>
    <n v="10"/>
    <m/>
    <n v="10"/>
    <n v="10"/>
    <n v="20"/>
    <m/>
    <m/>
    <x v="0"/>
  </r>
  <r>
    <x v="22"/>
    <x v="30"/>
    <x v="26"/>
    <x v="29"/>
    <x v="21"/>
    <n v="7"/>
    <x v="15"/>
    <n v="25"/>
    <s v="AKI"/>
    <x v="18"/>
    <x v="18"/>
    <x v="18"/>
    <x v="18"/>
    <x v="10"/>
    <n v="81.7"/>
    <n v="0"/>
    <x v="2"/>
    <n v="20"/>
    <x v="4"/>
    <n v="0"/>
    <s v="both"/>
    <n v="0"/>
    <n v="0.91666666666666663"/>
    <n v="1"/>
    <n v="0.2"/>
    <n v="10"/>
    <n v="49"/>
    <n v="43"/>
    <n v="6"/>
    <x v="25"/>
    <n v="0"/>
    <n v="8"/>
    <n v="160"/>
    <n v="140"/>
    <n v="237"/>
    <n v="36620"/>
    <n v="8"/>
    <n v="0"/>
    <s v="04-04-00"/>
    <n v="18"/>
    <n v="5"/>
    <x v="1"/>
    <x v="1"/>
    <n v="3"/>
    <x v="0"/>
    <n v="2"/>
    <n v="1"/>
    <x v="0"/>
    <s v="Tim Delaney"/>
    <x v="30"/>
    <x v="6"/>
    <x v="0"/>
    <m/>
    <m/>
    <n v="0"/>
    <n v="0"/>
    <x v="2"/>
    <x v="2"/>
    <x v="2"/>
    <x v="2"/>
    <x v="2"/>
    <n v="33"/>
    <n v="3"/>
    <m/>
    <x v="2"/>
    <x v="1"/>
    <x v="2"/>
    <n v="30"/>
    <n v="0"/>
    <n v="10"/>
    <m/>
    <n v="10"/>
    <n v="10"/>
    <n v="10"/>
    <m/>
    <m/>
    <x v="0"/>
  </r>
  <r>
    <x v="23"/>
    <x v="31"/>
    <x v="21"/>
    <x v="30"/>
    <x v="2"/>
    <n v="28"/>
    <x v="8"/>
    <n v="7"/>
    <s v="AKI"/>
    <x v="19"/>
    <x v="19"/>
    <x v="19"/>
    <x v="19"/>
    <x v="15"/>
    <n v="86.72"/>
    <n v="5"/>
    <x v="3"/>
    <n v="60"/>
    <x v="7"/>
    <n v="0"/>
    <s v="both"/>
    <n v="0.33333333333333331"/>
    <n v="0.5"/>
    <n v="1"/>
    <n v="0.9"/>
    <n v="30"/>
    <n v="57.8"/>
    <n v="47"/>
    <n v="10.799999999999999"/>
    <x v="26"/>
    <n v="0"/>
    <n v="10"/>
    <n v="72"/>
    <n v="80"/>
    <n v="107"/>
    <n v="36649"/>
    <n v="8"/>
    <n v="0"/>
    <s v="05-03-00"/>
    <n v="15"/>
    <n v="19"/>
    <x v="1"/>
    <x v="1"/>
    <n v="3"/>
    <x v="0"/>
    <n v="2"/>
    <n v="1"/>
    <x v="0"/>
    <s v="Tim Delaney"/>
    <x v="31"/>
    <x v="5"/>
    <x v="0"/>
    <m/>
    <m/>
    <n v="5"/>
    <n v="10"/>
    <x v="2"/>
    <x v="2"/>
    <x v="2"/>
    <x v="2"/>
    <x v="2"/>
    <n v="12"/>
    <n v="12"/>
    <m/>
    <x v="2"/>
    <x v="1"/>
    <x v="2"/>
    <n v="0"/>
    <n v="30"/>
    <n v="30"/>
    <m/>
    <n v="30"/>
    <n v="30"/>
    <n v="55"/>
    <m/>
    <m/>
    <x v="0"/>
  </r>
  <r>
    <x v="2"/>
    <x v="32"/>
    <x v="21"/>
    <x v="31"/>
    <x v="2"/>
    <n v="28"/>
    <x v="3"/>
    <n v="8"/>
    <s v="AKI"/>
    <x v="3"/>
    <x v="3"/>
    <x v="3"/>
    <x v="3"/>
    <x v="16"/>
    <n v="102.95384615384616"/>
    <n v="24"/>
    <x v="6"/>
    <n v="20"/>
    <x v="8"/>
    <n v="0"/>
    <s v="both"/>
    <n v="0.66666666666666663"/>
    <n v="0.76923076923076927"/>
    <n v="1"/>
    <n v="0.8"/>
    <n v="10"/>
    <n v="68"/>
    <n v="52"/>
    <n v="16"/>
    <x v="1"/>
    <n v="0"/>
    <n v="4"/>
    <n v="24"/>
    <n v="80"/>
    <n v="88"/>
    <n v="36562"/>
    <n v="8"/>
    <n v="0"/>
    <s v="02-06-00"/>
    <n v="37"/>
    <s v="DNP"/>
    <x v="1"/>
    <x v="1"/>
    <n v="3"/>
    <x v="0"/>
    <n v="2"/>
    <n v="1"/>
    <x v="0"/>
    <s v="Tim Delaney"/>
    <x v="32"/>
    <x v="0"/>
    <x v="0"/>
    <m/>
    <m/>
    <n v="12"/>
    <n v="6"/>
    <x v="2"/>
    <x v="2"/>
    <x v="2"/>
    <x v="2"/>
    <x v="2"/>
    <n v="30"/>
    <n v="9"/>
    <m/>
    <x v="2"/>
    <x v="3"/>
    <x v="1"/>
    <n v="20"/>
    <n v="0"/>
    <n v="10"/>
    <m/>
    <n v="10"/>
    <n v="10"/>
    <n v="20"/>
    <m/>
    <m/>
    <x v="0"/>
  </r>
  <r>
    <x v="3"/>
    <x v="5"/>
    <x v="5"/>
    <x v="5"/>
    <x v="3"/>
    <n v="16"/>
    <x v="4"/>
    <n v="25"/>
    <s v="AKI"/>
    <x v="5"/>
    <x v="5"/>
    <x v="5"/>
    <x v="5"/>
    <x v="3"/>
    <n v="18"/>
    <n v="0"/>
    <x v="11"/>
    <n v="20"/>
    <x v="0"/>
    <n v="-2"/>
    <s v="offensive"/>
    <n v="0"/>
    <n v="0"/>
    <n v="1"/>
    <n v="0"/>
    <n v="10"/>
    <n v="0"/>
    <n v="0"/>
    <n v="0"/>
    <x v="1"/>
    <n v="0"/>
    <n v="12"/>
    <n v="142"/>
    <n v="110"/>
    <n v="112"/>
    <n v="36679"/>
    <n v="8"/>
    <n v="0"/>
    <s v="06-02-00"/>
    <n v="8"/>
    <n v="7"/>
    <x v="1"/>
    <x v="1"/>
    <n v="3"/>
    <x v="0"/>
    <n v="2"/>
    <n v="1"/>
    <x v="0"/>
    <s v="Joseph"/>
    <x v="5"/>
    <x v="9"/>
    <x v="1"/>
    <n v="0"/>
    <n v="0"/>
    <n v="0"/>
    <n v="0"/>
    <x v="0"/>
    <x v="1"/>
    <x v="1"/>
    <x v="1"/>
    <x v="1"/>
    <n v="0"/>
    <n v="0"/>
    <n v="0"/>
    <x v="0"/>
    <x v="0"/>
    <x v="0"/>
    <n v="0"/>
    <n v="0"/>
    <n v="0"/>
    <n v="0"/>
    <n v="10"/>
    <n v="10"/>
    <n v="4"/>
    <n v="0"/>
    <n v="0"/>
    <x v="2"/>
  </r>
  <r>
    <x v="7"/>
    <x v="9"/>
    <x v="9"/>
    <x v="9"/>
    <x v="7"/>
    <n v="1"/>
    <x v="7"/>
    <n v="25"/>
    <s v="AKI"/>
    <x v="9"/>
    <x v="9"/>
    <x v="9"/>
    <x v="9"/>
    <x v="7"/>
    <n v="44"/>
    <n v="18"/>
    <x v="12"/>
    <n v="0"/>
    <x v="0"/>
    <n v="2"/>
    <s v="offensive"/>
    <n v="1"/>
    <n v="0.5"/>
    <n v="1"/>
    <n v="0"/>
    <n v="10"/>
    <n v="30"/>
    <n v="30"/>
    <n v="0"/>
    <x v="6"/>
    <n v="0"/>
    <n v="12"/>
    <n v="142"/>
    <n v="110"/>
    <n v="418"/>
    <n v="36679"/>
    <n v="8"/>
    <n v="0"/>
    <s v="06-02-00"/>
    <n v="7"/>
    <n v="2"/>
    <x v="1"/>
    <x v="1"/>
    <n v="3"/>
    <x v="0"/>
    <n v="2"/>
    <n v="1"/>
    <x v="0"/>
    <s v="Joseph"/>
    <x v="9"/>
    <x v="9"/>
    <x v="1"/>
    <n v="1"/>
    <n v="0"/>
    <n v="6"/>
    <n v="0"/>
    <x v="3"/>
    <x v="1"/>
    <x v="1"/>
    <x v="0"/>
    <x v="1"/>
    <n v="24"/>
    <n v="24"/>
    <n v="2"/>
    <x v="1"/>
    <x v="0"/>
    <x v="0"/>
    <n v="0"/>
    <n v="0"/>
    <n v="0"/>
    <n v="0"/>
    <n v="0"/>
    <n v="10"/>
    <n v="0"/>
    <n v="0"/>
    <n v="0"/>
    <x v="3"/>
  </r>
  <r>
    <x v="2"/>
    <x v="38"/>
    <x v="14"/>
    <x v="37"/>
    <x v="2"/>
    <n v="17"/>
    <x v="3"/>
    <n v="23"/>
    <s v="AKD"/>
    <x v="13"/>
    <x v="13"/>
    <x v="13"/>
    <x v="13"/>
    <x v="18"/>
    <n v="16.235294117647058"/>
    <n v="0"/>
    <x v="13"/>
    <n v="0"/>
    <x v="0"/>
    <n v="2"/>
    <s v="offensive"/>
    <n v="0"/>
    <n v="0.6470588235294118"/>
    <n v="0"/>
    <n v="0"/>
    <n v="0"/>
    <n v="11"/>
    <n v="11"/>
    <n v="0"/>
    <x v="29"/>
    <n v="1"/>
    <n v="3"/>
    <n v="74"/>
    <n v="50"/>
    <n v="162"/>
    <n v="36897"/>
    <n v="8"/>
    <n v="0"/>
    <s v="01-06-01"/>
    <n v="39"/>
    <s v="DNP"/>
    <x v="1"/>
    <x v="1"/>
    <n v="3"/>
    <x v="0"/>
    <n v="2"/>
    <n v="1"/>
    <x v="0"/>
    <s v="Jeremy Green"/>
    <x v="38"/>
    <x v="9"/>
    <x v="1"/>
    <n v="3"/>
    <n v="0"/>
    <n v="0"/>
    <n v="0"/>
    <x v="1"/>
    <x v="1"/>
    <x v="1"/>
    <x v="0"/>
    <x v="1"/>
    <n v="11"/>
    <n v="6"/>
    <n v="2"/>
    <x v="1"/>
    <x v="0"/>
    <x v="0"/>
    <n v="0"/>
    <n v="0"/>
    <n v="0"/>
    <n v="0"/>
    <n v="0"/>
    <n v="0"/>
    <n v="0"/>
    <n v="0"/>
    <n v="0"/>
    <x v="4"/>
  </r>
  <r>
    <x v="22"/>
    <x v="30"/>
    <x v="26"/>
    <x v="29"/>
    <x v="21"/>
    <n v="7"/>
    <x v="15"/>
    <n v="25"/>
    <s v="AKI"/>
    <x v="18"/>
    <x v="18"/>
    <x v="18"/>
    <x v="18"/>
    <x v="10"/>
    <n v="58.400000000000006"/>
    <n v="14.400000000000002"/>
    <x v="14"/>
    <n v="0"/>
    <x v="0"/>
    <n v="2"/>
    <s v="offensive"/>
    <n v="0.4"/>
    <n v="1"/>
    <n v="1"/>
    <n v="0"/>
    <n v="10"/>
    <n v="33"/>
    <n v="33"/>
    <n v="0"/>
    <x v="25"/>
    <n v="0"/>
    <n v="8"/>
    <n v="160"/>
    <n v="140"/>
    <n v="237"/>
    <n v="36620"/>
    <n v="8"/>
    <n v="0"/>
    <s v="04-04-00"/>
    <n v="18"/>
    <n v="5"/>
    <x v="1"/>
    <x v="1"/>
    <n v="3"/>
    <x v="0"/>
    <n v="2"/>
    <n v="1"/>
    <x v="0"/>
    <s v="Jeremy Green"/>
    <x v="30"/>
    <x v="10"/>
    <x v="1"/>
    <n v="3"/>
    <n v="0"/>
    <n v="12"/>
    <n v="18"/>
    <x v="0"/>
    <x v="0"/>
    <x v="1"/>
    <x v="0"/>
    <x v="0"/>
    <n v="21"/>
    <n v="0"/>
    <n v="3"/>
    <x v="1"/>
    <x v="0"/>
    <x v="0"/>
    <n v="0"/>
    <n v="0"/>
    <n v="0"/>
    <n v="5"/>
    <n v="0"/>
    <n v="10"/>
    <n v="3"/>
    <n v="0"/>
    <n v="0"/>
    <x v="5"/>
  </r>
  <r>
    <x v="4"/>
    <x v="6"/>
    <x v="6"/>
    <x v="6"/>
    <x v="4"/>
    <n v="13"/>
    <x v="5"/>
    <n v="24"/>
    <s v="AI"/>
    <x v="6"/>
    <x v="6"/>
    <x v="6"/>
    <x v="6"/>
    <x v="4"/>
    <n v="26"/>
    <n v="0"/>
    <x v="15"/>
    <n v="20"/>
    <x v="0"/>
    <n v="0"/>
    <s v="offensive"/>
    <n v="0"/>
    <n v="1"/>
    <n v="1"/>
    <n v="0"/>
    <n v="10"/>
    <n v="3"/>
    <n v="3"/>
    <n v="0"/>
    <x v="4"/>
    <n v="0"/>
    <n v="4"/>
    <n v="112"/>
    <n v="90"/>
    <n v="106"/>
    <n v="36562"/>
    <n v="8"/>
    <n v="0"/>
    <s v="02-06-00"/>
    <n v="35"/>
    <n v="15"/>
    <x v="1"/>
    <x v="1"/>
    <n v="3"/>
    <x v="0"/>
    <n v="2"/>
    <n v="1"/>
    <x v="0"/>
    <s v="Jeremy Green"/>
    <x v="6"/>
    <x v="11"/>
    <x v="1"/>
    <n v="0"/>
    <n v="0"/>
    <n v="0"/>
    <n v="0"/>
    <x v="3"/>
    <x v="1"/>
    <x v="1"/>
    <x v="1"/>
    <x v="1"/>
    <n v="3"/>
    <n v="0"/>
    <n v="0"/>
    <x v="0"/>
    <x v="0"/>
    <x v="0"/>
    <n v="0"/>
    <n v="0"/>
    <n v="0"/>
    <n v="0"/>
    <n v="10"/>
    <n v="10"/>
    <n v="10"/>
    <n v="0"/>
    <n v="0"/>
    <x v="6"/>
  </r>
  <r>
    <x v="2"/>
    <x v="38"/>
    <x v="14"/>
    <x v="37"/>
    <x v="2"/>
    <n v="17"/>
    <x v="3"/>
    <n v="23"/>
    <s v="AKD"/>
    <x v="13"/>
    <x v="13"/>
    <x v="13"/>
    <x v="13"/>
    <x v="18"/>
    <n v="0"/>
    <n v="0"/>
    <x v="11"/>
    <n v="0"/>
    <x v="0"/>
    <n v="0"/>
    <s v="offensive"/>
    <n v="0"/>
    <n v="0"/>
    <n v="0"/>
    <n v="0"/>
    <n v="0"/>
    <n v="0"/>
    <n v="0"/>
    <n v="0"/>
    <x v="31"/>
    <n v="1"/>
    <n v="3"/>
    <n v="74"/>
    <n v="50"/>
    <n v="162"/>
    <n v="36897"/>
    <n v="8"/>
    <n v="0"/>
    <s v="01-06-01"/>
    <n v="39"/>
    <s v="DNP"/>
    <x v="1"/>
    <x v="1"/>
    <n v="3"/>
    <x v="0"/>
    <n v="2"/>
    <n v="1"/>
    <x v="0"/>
    <s v="LukeMorrical"/>
    <x v="38"/>
    <x v="9"/>
    <x v="1"/>
    <n v="0"/>
    <n v="0"/>
    <n v="0"/>
    <n v="0"/>
    <x v="4"/>
    <x v="0"/>
    <x v="1"/>
    <x v="1"/>
    <x v="1"/>
    <n v="0"/>
    <n v="1"/>
    <n v="2"/>
    <x v="0"/>
    <x v="0"/>
    <x v="0"/>
    <n v="0"/>
    <n v="0"/>
    <n v="0"/>
    <n v="0"/>
    <n v="0"/>
    <n v="0"/>
    <n v="0"/>
    <n v="0"/>
    <n v="0"/>
    <x v="7"/>
  </r>
  <r>
    <x v="2"/>
    <x v="38"/>
    <x v="14"/>
    <x v="37"/>
    <x v="2"/>
    <n v="17"/>
    <x v="3"/>
    <n v="23"/>
    <s v="AKD"/>
    <x v="13"/>
    <x v="13"/>
    <x v="13"/>
    <x v="13"/>
    <x v="18"/>
    <n v="6"/>
    <n v="0"/>
    <x v="15"/>
    <n v="0"/>
    <x v="0"/>
    <n v="0"/>
    <s v="offensive"/>
    <n v="0"/>
    <n v="1"/>
    <n v="0"/>
    <n v="0"/>
    <n v="0"/>
    <n v="3"/>
    <n v="3"/>
    <n v="0"/>
    <x v="29"/>
    <n v="1"/>
    <n v="3"/>
    <n v="74"/>
    <n v="50"/>
    <n v="162"/>
    <n v="36897"/>
    <n v="8"/>
    <n v="0"/>
    <s v="01-06-01"/>
    <n v="39"/>
    <s v="DNP"/>
    <x v="1"/>
    <x v="1"/>
    <n v="3"/>
    <x v="0"/>
    <n v="2"/>
    <n v="1"/>
    <x v="0"/>
    <s v="LukeMorrical"/>
    <x v="38"/>
    <x v="9"/>
    <x v="1"/>
    <n v="0"/>
    <n v="0"/>
    <n v="0"/>
    <n v="0"/>
    <x v="5"/>
    <x v="0"/>
    <x v="1"/>
    <x v="1"/>
    <x v="1"/>
    <n v="3"/>
    <n v="0"/>
    <n v="0"/>
    <x v="0"/>
    <x v="0"/>
    <x v="0"/>
    <n v="0"/>
    <n v="0"/>
    <n v="0"/>
    <n v="0"/>
    <n v="0"/>
    <n v="0"/>
    <n v="0"/>
    <n v="0"/>
    <n v="0"/>
    <x v="8"/>
  </r>
  <r>
    <x v="22"/>
    <x v="30"/>
    <x v="26"/>
    <x v="29"/>
    <x v="21"/>
    <n v="7"/>
    <x v="15"/>
    <n v="25"/>
    <s v="AKI"/>
    <x v="18"/>
    <x v="18"/>
    <x v="18"/>
    <x v="18"/>
    <x v="10"/>
    <n v="44"/>
    <n v="0"/>
    <x v="12"/>
    <n v="20"/>
    <x v="0"/>
    <n v="0"/>
    <s v="offensive"/>
    <n v="0"/>
    <n v="1"/>
    <n v="1"/>
    <n v="0"/>
    <n v="10"/>
    <n v="12"/>
    <n v="12"/>
    <n v="0"/>
    <x v="25"/>
    <n v="0"/>
    <n v="8"/>
    <n v="160"/>
    <n v="140"/>
    <n v="237"/>
    <n v="36620"/>
    <n v="8"/>
    <n v="0"/>
    <s v="04-04-00"/>
    <n v="18"/>
    <n v="5"/>
    <x v="1"/>
    <x v="1"/>
    <n v="3"/>
    <x v="0"/>
    <n v="2"/>
    <n v="1"/>
    <x v="0"/>
    <s v="LukeMorrical"/>
    <x v="30"/>
    <x v="9"/>
    <x v="1"/>
    <n v="0"/>
    <n v="0"/>
    <n v="0"/>
    <n v="0"/>
    <x v="0"/>
    <x v="0"/>
    <x v="1"/>
    <x v="0"/>
    <x v="1"/>
    <n v="12"/>
    <n v="0"/>
    <n v="1"/>
    <x v="1"/>
    <x v="0"/>
    <x v="0"/>
    <n v="0"/>
    <n v="0"/>
    <n v="0"/>
    <n v="0"/>
    <n v="10"/>
    <n v="10"/>
    <n v="6"/>
    <n v="0"/>
    <n v="0"/>
    <x v="9"/>
  </r>
  <r>
    <x v="7"/>
    <x v="9"/>
    <x v="9"/>
    <x v="9"/>
    <x v="7"/>
    <n v="1"/>
    <x v="7"/>
    <n v="25"/>
    <s v="AKI"/>
    <x v="9"/>
    <x v="9"/>
    <x v="9"/>
    <x v="9"/>
    <x v="7"/>
    <n v="68.909090909090907"/>
    <n v="36"/>
    <x v="16"/>
    <n v="0"/>
    <x v="0"/>
    <n v="-2"/>
    <s v="offensive"/>
    <n v="1"/>
    <n v="0.72727272727272729"/>
    <n v="1"/>
    <n v="0"/>
    <n v="10"/>
    <n v="36"/>
    <n v="36"/>
    <n v="0"/>
    <x v="6"/>
    <n v="0"/>
    <n v="12"/>
    <n v="142"/>
    <n v="110"/>
    <n v="418"/>
    <n v="36679"/>
    <n v="8"/>
    <n v="0"/>
    <s v="06-02-00"/>
    <n v="7"/>
    <n v="2"/>
    <x v="1"/>
    <x v="1"/>
    <n v="3"/>
    <x v="0"/>
    <n v="2"/>
    <n v="1"/>
    <x v="0"/>
    <s v="LukeMorrical"/>
    <x v="9"/>
    <x v="9"/>
    <x v="1"/>
    <n v="3"/>
    <n v="0"/>
    <n v="12"/>
    <n v="0"/>
    <x v="0"/>
    <x v="0"/>
    <x v="1"/>
    <x v="0"/>
    <x v="1"/>
    <n v="24"/>
    <n v="9"/>
    <n v="2"/>
    <x v="0"/>
    <x v="0"/>
    <x v="0"/>
    <n v="0"/>
    <n v="0"/>
    <n v="0"/>
    <n v="0"/>
    <n v="0"/>
    <n v="10"/>
    <n v="5"/>
    <n v="0"/>
    <n v="0"/>
    <x v="10"/>
  </r>
  <r>
    <x v="0"/>
    <x v="0"/>
    <x v="0"/>
    <x v="0"/>
    <x v="0"/>
    <n v="4"/>
    <x v="0"/>
    <n v="25"/>
    <s v="AKI"/>
    <x v="0"/>
    <x v="0"/>
    <x v="0"/>
    <x v="0"/>
    <x v="0"/>
    <n v="2"/>
    <n v="0"/>
    <x v="17"/>
    <n v="0"/>
    <x v="0"/>
    <n v="0"/>
    <s v="offensive"/>
    <n v="0"/>
    <n v="0.25"/>
    <n v="0"/>
    <n v="0"/>
    <n v="0"/>
    <n v="4"/>
    <n v="4"/>
    <n v="0"/>
    <x v="0"/>
    <n v="0"/>
    <n v="10"/>
    <n v="178"/>
    <n v="80"/>
    <n v="213"/>
    <n v="36649"/>
    <n v="8"/>
    <n v="0"/>
    <s v="05-03-00"/>
    <n v="11"/>
    <n v="6.5"/>
    <x v="0"/>
    <x v="0"/>
    <n v="3"/>
    <x v="0"/>
    <n v="2"/>
    <n v="1"/>
    <x v="0"/>
    <s v="Rishab Arora"/>
    <x v="0"/>
    <x v="9"/>
    <x v="1"/>
    <n v="3"/>
    <n v="0"/>
    <n v="0"/>
    <n v="18"/>
    <x v="0"/>
    <x v="0"/>
    <x v="1"/>
    <x v="0"/>
    <x v="1"/>
    <n v="4"/>
    <n v="12"/>
    <n v="1"/>
    <x v="1"/>
    <x v="0"/>
    <x v="0"/>
    <n v="0"/>
    <n v="0"/>
    <n v="0"/>
    <n v="0"/>
    <n v="0"/>
    <n v="0"/>
    <n v="0"/>
    <n v="0"/>
    <n v="0"/>
    <x v="11"/>
  </r>
  <r>
    <x v="2"/>
    <x v="3"/>
    <x v="3"/>
    <x v="3"/>
    <x v="2"/>
    <n v="19"/>
    <x v="3"/>
    <n v="12"/>
    <s v="AKI"/>
    <x v="3"/>
    <x v="3"/>
    <x v="3"/>
    <x v="3"/>
    <x v="2"/>
    <n v="0"/>
    <n v="0"/>
    <x v="11"/>
    <n v="0"/>
    <x v="0"/>
    <n v="0"/>
    <s v="offensive"/>
    <n v="0"/>
    <n v="0"/>
    <n v="0"/>
    <n v="0"/>
    <n v="0"/>
    <n v="0"/>
    <n v="0"/>
    <n v="0"/>
    <x v="2"/>
    <n v="0"/>
    <n v="6"/>
    <n v="66"/>
    <n v="70"/>
    <n v="129"/>
    <n v="36590"/>
    <n v="8"/>
    <n v="0"/>
    <s v="03-05-00"/>
    <n v="32"/>
    <s v="DNP"/>
    <x v="1"/>
    <x v="1"/>
    <n v="3"/>
    <x v="0"/>
    <n v="2"/>
    <n v="1"/>
    <x v="0"/>
    <m/>
    <x v="3"/>
    <x v="12"/>
    <x v="1"/>
    <n v="0"/>
    <n v="0"/>
    <n v="0"/>
    <n v="0"/>
    <x v="6"/>
    <x v="1"/>
    <x v="1"/>
    <x v="1"/>
    <x v="1"/>
    <n v="0"/>
    <n v="0"/>
    <n v="0"/>
    <x v="0"/>
    <x v="0"/>
    <x v="0"/>
    <n v="0"/>
    <n v="0"/>
    <n v="0"/>
    <n v="0"/>
    <n v="0"/>
    <n v="0"/>
    <n v="0"/>
    <n v="0"/>
    <n v="0"/>
    <x v="12"/>
  </r>
  <r>
    <x v="2"/>
    <x v="38"/>
    <x v="14"/>
    <x v="37"/>
    <x v="2"/>
    <n v="17"/>
    <x v="3"/>
    <n v="23"/>
    <s v="AKD"/>
    <x v="13"/>
    <x v="13"/>
    <x v="13"/>
    <x v="13"/>
    <x v="18"/>
    <n v="0"/>
    <n v="0"/>
    <x v="11"/>
    <n v="0"/>
    <x v="0"/>
    <n v="0"/>
    <s v="offensive"/>
    <n v="0"/>
    <n v="0"/>
    <n v="0"/>
    <n v="0"/>
    <n v="0"/>
    <n v="0"/>
    <n v="0"/>
    <n v="0"/>
    <x v="29"/>
    <n v="1"/>
    <n v="3"/>
    <n v="74"/>
    <n v="50"/>
    <n v="162"/>
    <n v="36897"/>
    <n v="8"/>
    <n v="0"/>
    <s v="01-06-01"/>
    <n v="39"/>
    <s v="DNP"/>
    <x v="1"/>
    <x v="1"/>
    <n v="3"/>
    <x v="0"/>
    <n v="2"/>
    <n v="1"/>
    <x v="0"/>
    <s v="Philip Dittmeier"/>
    <x v="38"/>
    <x v="9"/>
    <x v="1"/>
    <n v="2"/>
    <n v="0"/>
    <n v="0"/>
    <n v="0"/>
    <x v="7"/>
    <x v="0"/>
    <x v="1"/>
    <x v="0"/>
    <x v="1"/>
    <n v="0"/>
    <n v="7"/>
    <n v="1"/>
    <x v="0"/>
    <x v="0"/>
    <x v="0"/>
    <n v="0"/>
    <n v="0"/>
    <n v="0"/>
    <n v="0"/>
    <n v="0"/>
    <n v="0"/>
    <n v="0"/>
    <n v="0"/>
    <n v="0"/>
    <x v="13"/>
  </r>
  <r>
    <x v="2"/>
    <x v="38"/>
    <x v="14"/>
    <x v="37"/>
    <x v="2"/>
    <n v="17"/>
    <x v="3"/>
    <n v="23"/>
    <s v="AKD"/>
    <x v="13"/>
    <x v="13"/>
    <x v="13"/>
    <x v="13"/>
    <x v="18"/>
    <n v="2"/>
    <n v="0"/>
    <x v="17"/>
    <n v="0"/>
    <x v="0"/>
    <n v="0"/>
    <s v="offensive"/>
    <n v="0"/>
    <n v="1"/>
    <n v="0"/>
    <n v="0"/>
    <n v="0"/>
    <n v="1"/>
    <n v="1"/>
    <n v="0"/>
    <x v="29"/>
    <n v="1"/>
    <n v="3"/>
    <n v="74"/>
    <n v="50"/>
    <n v="162"/>
    <n v="36897"/>
    <n v="8"/>
    <n v="0"/>
    <s v="01-06-01"/>
    <n v="39"/>
    <s v="DNP"/>
    <x v="1"/>
    <x v="1"/>
    <n v="3"/>
    <x v="0"/>
    <n v="2"/>
    <n v="1"/>
    <x v="0"/>
    <s v="Bill Paton"/>
    <x v="38"/>
    <x v="9"/>
    <x v="1"/>
    <n v="2"/>
    <n v="0"/>
    <n v="0"/>
    <n v="0"/>
    <x v="1"/>
    <x v="1"/>
    <x v="1"/>
    <x v="0"/>
    <x v="1"/>
    <n v="1"/>
    <n v="0"/>
    <n v="1"/>
    <x v="0"/>
    <x v="0"/>
    <x v="0"/>
    <n v="0"/>
    <n v="0"/>
    <n v="0"/>
    <n v="0"/>
    <n v="0"/>
    <n v="0"/>
    <n v="0"/>
    <n v="0"/>
    <n v="0"/>
    <x v="14"/>
  </r>
  <r>
    <x v="0"/>
    <x v="0"/>
    <x v="0"/>
    <x v="0"/>
    <x v="0"/>
    <n v="4"/>
    <x v="0"/>
    <n v="25"/>
    <s v="AKI"/>
    <x v="0"/>
    <x v="0"/>
    <x v="0"/>
    <x v="0"/>
    <x v="0"/>
    <n v="0"/>
    <n v="0"/>
    <x v="11"/>
    <n v="0"/>
    <x v="0"/>
    <n v="0"/>
    <s v="offensive"/>
    <n v="0"/>
    <n v="0"/>
    <n v="0"/>
    <n v="0"/>
    <n v="0"/>
    <n v="0"/>
    <n v="0"/>
    <n v="0"/>
    <x v="0"/>
    <n v="0"/>
    <n v="10"/>
    <n v="178"/>
    <n v="80"/>
    <n v="213"/>
    <n v="36649"/>
    <n v="8"/>
    <n v="0"/>
    <s v="05-03-00"/>
    <n v="11"/>
    <n v="6.5"/>
    <x v="0"/>
    <x v="0"/>
    <n v="3"/>
    <x v="0"/>
    <n v="2"/>
    <n v="1"/>
    <x v="0"/>
    <s v="Bill Paton"/>
    <x v="0"/>
    <x v="9"/>
    <x v="1"/>
    <n v="0"/>
    <n v="0"/>
    <n v="0"/>
    <n v="0"/>
    <x v="0"/>
    <x v="0"/>
    <x v="1"/>
    <x v="0"/>
    <x v="0"/>
    <n v="0"/>
    <n v="0"/>
    <n v="0"/>
    <x v="1"/>
    <x v="0"/>
    <x v="0"/>
    <n v="0"/>
    <n v="0"/>
    <n v="0"/>
    <n v="0"/>
    <n v="0"/>
    <n v="0"/>
    <n v="0"/>
    <n v="0"/>
    <n v="0"/>
    <x v="15"/>
  </r>
  <r>
    <x v="4"/>
    <x v="6"/>
    <x v="6"/>
    <x v="6"/>
    <x v="4"/>
    <n v="13"/>
    <x v="5"/>
    <n v="24"/>
    <s v="AI"/>
    <x v="6"/>
    <x v="6"/>
    <x v="6"/>
    <x v="6"/>
    <x v="4"/>
    <n v="0"/>
    <n v="0"/>
    <x v="11"/>
    <n v="0"/>
    <x v="0"/>
    <n v="0"/>
    <s v="offensive"/>
    <n v="0"/>
    <n v="0"/>
    <n v="0"/>
    <n v="0"/>
    <n v="0"/>
    <n v="0"/>
    <n v="0"/>
    <n v="0"/>
    <x v="4"/>
    <n v="0"/>
    <n v="4"/>
    <n v="112"/>
    <n v="90"/>
    <n v="106"/>
    <n v="36562"/>
    <n v="8"/>
    <n v="0"/>
    <s v="02-06-00"/>
    <n v="35"/>
    <n v="15"/>
    <x v="1"/>
    <x v="1"/>
    <n v="3"/>
    <x v="0"/>
    <n v="2"/>
    <n v="1"/>
    <x v="0"/>
    <s v="Rishab Arora"/>
    <x v="6"/>
    <x v="9"/>
    <x v="1"/>
    <n v="1"/>
    <n v="0"/>
    <n v="0"/>
    <n v="0"/>
    <x v="3"/>
    <x v="1"/>
    <x v="1"/>
    <x v="0"/>
    <x v="0"/>
    <n v="0"/>
    <n v="0"/>
    <n v="1"/>
    <x v="0"/>
    <x v="0"/>
    <x v="0"/>
    <n v="0"/>
    <n v="0"/>
    <n v="0"/>
    <n v="0"/>
    <n v="0"/>
    <n v="0"/>
    <n v="30"/>
    <n v="0"/>
    <n v="0"/>
    <x v="16"/>
  </r>
  <r>
    <x v="22"/>
    <x v="30"/>
    <x v="26"/>
    <x v="29"/>
    <x v="21"/>
    <n v="7"/>
    <x v="15"/>
    <n v="25"/>
    <s v="AKI"/>
    <x v="18"/>
    <x v="18"/>
    <x v="18"/>
    <x v="18"/>
    <x v="10"/>
    <n v="27"/>
    <n v="18"/>
    <x v="15"/>
    <n v="0"/>
    <x v="0"/>
    <n v="3"/>
    <s v="offensive"/>
    <n v="1"/>
    <n v="1"/>
    <n v="1"/>
    <n v="0"/>
    <n v="10"/>
    <n v="9"/>
    <n v="9"/>
    <n v="0"/>
    <x v="25"/>
    <n v="0"/>
    <n v="8"/>
    <n v="160"/>
    <n v="140"/>
    <n v="237"/>
    <n v="36620"/>
    <n v="8"/>
    <n v="0"/>
    <s v="04-04-00"/>
    <n v="18"/>
    <n v="5"/>
    <x v="1"/>
    <x v="1"/>
    <n v="3"/>
    <x v="0"/>
    <n v="2"/>
    <n v="1"/>
    <x v="1"/>
    <s v="Tim D "/>
    <x v="30"/>
    <x v="13"/>
    <x v="2"/>
    <n v="0"/>
    <n v="0"/>
    <n v="6"/>
    <n v="0"/>
    <x v="0"/>
    <x v="0"/>
    <x v="0"/>
    <x v="0"/>
    <x v="1"/>
    <n v="3"/>
    <n v="0"/>
    <n v="0"/>
    <x v="0"/>
    <x v="0"/>
    <x v="0"/>
    <n v="0"/>
    <n v="0"/>
    <n v="0"/>
    <n v="0"/>
    <n v="0"/>
    <n v="10"/>
    <n v="0"/>
    <n v="0"/>
    <n v="0"/>
    <x v="17"/>
  </r>
  <r>
    <x v="19"/>
    <x v="26"/>
    <x v="24"/>
    <x v="26"/>
    <x v="19"/>
    <n v="10"/>
    <x v="3"/>
    <n v="16"/>
    <s v="AK"/>
    <x v="17"/>
    <x v="17"/>
    <x v="17"/>
    <x v="17"/>
    <x v="2"/>
    <n v="20.25"/>
    <n v="18"/>
    <x v="18"/>
    <n v="0"/>
    <x v="0"/>
    <n v="0"/>
    <s v="offensive"/>
    <n v="1"/>
    <n v="0.375"/>
    <n v="0"/>
    <n v="0"/>
    <n v="0"/>
    <n v="9"/>
    <n v="9"/>
    <n v="0"/>
    <x v="21"/>
    <n v="0"/>
    <n v="7"/>
    <n v="128"/>
    <n v="40"/>
    <n v="148"/>
    <n v="36954"/>
    <n v="8"/>
    <n v="0"/>
    <s v="03-04-01"/>
    <n v="26"/>
    <n v="6"/>
    <x v="1"/>
    <x v="1"/>
    <n v="3"/>
    <x v="0"/>
    <n v="2"/>
    <n v="1"/>
    <x v="1"/>
    <s v="Tim D "/>
    <x v="26"/>
    <x v="13"/>
    <x v="2"/>
    <n v="0"/>
    <n v="0"/>
    <n v="6"/>
    <n v="0"/>
    <x v="8"/>
    <x v="0"/>
    <x v="1"/>
    <x v="0"/>
    <x v="1"/>
    <n v="3"/>
    <n v="5"/>
    <n v="0"/>
    <x v="0"/>
    <x v="0"/>
    <x v="0"/>
    <n v="0"/>
    <n v="0"/>
    <n v="0"/>
    <n v="0"/>
    <n v="0"/>
    <n v="0"/>
    <n v="0"/>
    <n v="0"/>
    <n v="0"/>
    <x v="18"/>
  </r>
  <r>
    <x v="2"/>
    <x v="25"/>
    <x v="23"/>
    <x v="25"/>
    <x v="2"/>
    <n v="24"/>
    <x v="3"/>
    <n v="10"/>
    <s v="AKI"/>
    <x v="16"/>
    <x v="16"/>
    <x v="16"/>
    <x v="16"/>
    <x v="2"/>
    <n v="2"/>
    <n v="0"/>
    <x v="17"/>
    <n v="0"/>
    <x v="0"/>
    <n v="0"/>
    <s v="offensive"/>
    <n v="0"/>
    <n v="1"/>
    <n v="0"/>
    <n v="0"/>
    <n v="0"/>
    <n v="1"/>
    <n v="1"/>
    <n v="0"/>
    <x v="20"/>
    <n v="0"/>
    <n v="6"/>
    <n v="94"/>
    <n v="70"/>
    <n v="182"/>
    <n v="36590"/>
    <n v="8"/>
    <n v="0"/>
    <s v="03-05-00"/>
    <n v="29"/>
    <s v="DNP"/>
    <x v="1"/>
    <x v="1"/>
    <n v="3"/>
    <x v="0"/>
    <n v="2"/>
    <n v="1"/>
    <x v="1"/>
    <s v="Tim D "/>
    <x v="25"/>
    <x v="13"/>
    <x v="2"/>
    <n v="0"/>
    <n v="0"/>
    <n v="0"/>
    <n v="0"/>
    <x v="1"/>
    <x v="0"/>
    <x v="1"/>
    <x v="0"/>
    <x v="1"/>
    <n v="1"/>
    <n v="0"/>
    <n v="0"/>
    <x v="0"/>
    <x v="0"/>
    <x v="0"/>
    <n v="0"/>
    <n v="0"/>
    <n v="0"/>
    <n v="0"/>
    <n v="0"/>
    <n v="0"/>
    <n v="0"/>
    <n v="0"/>
    <n v="0"/>
    <x v="19"/>
  </r>
  <r>
    <x v="2"/>
    <x v="23"/>
    <x v="21"/>
    <x v="23"/>
    <x v="2"/>
    <n v="28"/>
    <x v="3"/>
    <n v="20"/>
    <s v="AI"/>
    <x v="2"/>
    <x v="2"/>
    <x v="2"/>
    <x v="2"/>
    <x v="2"/>
    <n v="5"/>
    <n v="0"/>
    <x v="11"/>
    <n v="0"/>
    <x v="0"/>
    <n v="5"/>
    <s v="offensive"/>
    <n v="0"/>
    <n v="0"/>
    <n v="1"/>
    <n v="0"/>
    <n v="10"/>
    <n v="0"/>
    <n v="0"/>
    <n v="0"/>
    <x v="18"/>
    <n v="0"/>
    <n v="3"/>
    <n v="78"/>
    <n v="90"/>
    <n v="101"/>
    <n v="36898"/>
    <n v="9"/>
    <n v="0"/>
    <s v="01-07-01"/>
    <n v="38"/>
    <s v="DNP"/>
    <x v="1"/>
    <x v="1"/>
    <n v="3"/>
    <x v="0"/>
    <n v="2"/>
    <n v="1"/>
    <x v="1"/>
    <s v="Tim D "/>
    <x v="23"/>
    <x v="13"/>
    <x v="2"/>
    <n v="0"/>
    <n v="0"/>
    <n v="0"/>
    <n v="0"/>
    <x v="1"/>
    <x v="0"/>
    <x v="0"/>
    <x v="0"/>
    <x v="1"/>
    <n v="0"/>
    <n v="0"/>
    <n v="0"/>
    <x v="0"/>
    <x v="0"/>
    <x v="0"/>
    <n v="0"/>
    <n v="0"/>
    <n v="0"/>
    <n v="0"/>
    <n v="0"/>
    <n v="10"/>
    <n v="0"/>
    <n v="0"/>
    <n v="0"/>
    <x v="20"/>
  </r>
  <r>
    <x v="3"/>
    <x v="5"/>
    <x v="5"/>
    <x v="5"/>
    <x v="3"/>
    <n v="16"/>
    <x v="4"/>
    <n v="25"/>
    <s v="AKI"/>
    <x v="5"/>
    <x v="5"/>
    <x v="5"/>
    <x v="5"/>
    <x v="3"/>
    <n v="28"/>
    <n v="18"/>
    <x v="11"/>
    <n v="0"/>
    <x v="0"/>
    <n v="10"/>
    <s v="offensive"/>
    <n v="1"/>
    <n v="0"/>
    <n v="1"/>
    <n v="0"/>
    <n v="10"/>
    <n v="6"/>
    <n v="6"/>
    <n v="0"/>
    <x v="1"/>
    <n v="0"/>
    <n v="12"/>
    <n v="142"/>
    <n v="110"/>
    <n v="112"/>
    <n v="36679"/>
    <n v="8"/>
    <n v="0"/>
    <s v="06-02-00"/>
    <n v="8"/>
    <n v="7"/>
    <x v="1"/>
    <x v="1"/>
    <n v="3"/>
    <x v="0"/>
    <n v="2"/>
    <n v="1"/>
    <x v="1"/>
    <s v="Tim D "/>
    <x v="5"/>
    <x v="13"/>
    <x v="2"/>
    <n v="0"/>
    <n v="1"/>
    <n v="6"/>
    <n v="0"/>
    <x v="1"/>
    <x v="0"/>
    <x v="0"/>
    <x v="0"/>
    <x v="0"/>
    <n v="0"/>
    <n v="0"/>
    <n v="0"/>
    <x v="0"/>
    <x v="0"/>
    <x v="0"/>
    <n v="0"/>
    <n v="0"/>
    <n v="0"/>
    <n v="0"/>
    <n v="0"/>
    <n v="10"/>
    <n v="0"/>
    <n v="0"/>
    <n v="0"/>
    <x v="21"/>
  </r>
  <r>
    <x v="24"/>
    <x v="34"/>
    <x v="21"/>
    <x v="33"/>
    <x v="2"/>
    <n v="28"/>
    <x v="8"/>
    <n v="3"/>
    <s v="AK"/>
    <x v="20"/>
    <x v="20"/>
    <x v="20"/>
    <x v="20"/>
    <x v="2"/>
    <n v="0"/>
    <n v="0"/>
    <x v="11"/>
    <n v="0"/>
    <x v="0"/>
    <n v="0"/>
    <s v="offensive"/>
    <n v="0"/>
    <n v="0"/>
    <n v="1"/>
    <n v="0"/>
    <n v="30"/>
    <n v="0"/>
    <n v="0"/>
    <n v="0"/>
    <x v="27"/>
    <n v="0"/>
    <n v="6"/>
    <n v="106"/>
    <n v="60"/>
    <n v="139"/>
    <n v="36591"/>
    <n v="9"/>
    <n v="0"/>
    <s v="03-06-00"/>
    <n v="28"/>
    <n v="26"/>
    <x v="1"/>
    <x v="1"/>
    <n v="3"/>
    <x v="0"/>
    <n v="2"/>
    <n v="1"/>
    <x v="3"/>
    <s v="Tim D "/>
    <x v="34"/>
    <x v="13"/>
    <x v="2"/>
    <n v="0"/>
    <n v="0"/>
    <n v="0"/>
    <n v="0"/>
    <x v="1"/>
    <x v="1"/>
    <x v="1"/>
    <x v="1"/>
    <x v="1"/>
    <n v="0"/>
    <n v="0"/>
    <n v="0"/>
    <x v="0"/>
    <x v="0"/>
    <x v="0"/>
    <n v="0"/>
    <n v="0"/>
    <n v="0"/>
    <n v="0"/>
    <n v="0"/>
    <n v="30"/>
    <n v="0"/>
    <n v="0"/>
    <n v="0"/>
    <x v="22"/>
  </r>
  <r>
    <x v="2"/>
    <x v="32"/>
    <x v="21"/>
    <x v="31"/>
    <x v="2"/>
    <n v="28"/>
    <x v="3"/>
    <n v="8"/>
    <s v="AKI"/>
    <x v="3"/>
    <x v="3"/>
    <x v="3"/>
    <x v="3"/>
    <x v="16"/>
    <n v="23"/>
    <n v="18"/>
    <x v="11"/>
    <n v="0"/>
    <x v="0"/>
    <n v="5"/>
    <s v="offensive"/>
    <n v="1"/>
    <n v="0"/>
    <n v="0"/>
    <n v="0"/>
    <n v="0"/>
    <n v="6"/>
    <n v="6"/>
    <n v="0"/>
    <x v="1"/>
    <n v="0"/>
    <n v="4"/>
    <n v="24"/>
    <n v="80"/>
    <n v="88"/>
    <n v="36562"/>
    <n v="8"/>
    <n v="0"/>
    <s v="02-06-00"/>
    <n v="37"/>
    <s v="DNP"/>
    <x v="1"/>
    <x v="1"/>
    <n v="3"/>
    <x v="0"/>
    <n v="2"/>
    <n v="1"/>
    <x v="3"/>
    <s v="Tim D "/>
    <x v="32"/>
    <x v="13"/>
    <x v="2"/>
    <n v="0"/>
    <n v="0"/>
    <n v="6"/>
    <n v="0"/>
    <x v="9"/>
    <x v="0"/>
    <x v="0"/>
    <x v="0"/>
    <x v="1"/>
    <n v="0"/>
    <n v="0"/>
    <n v="0"/>
    <x v="0"/>
    <x v="0"/>
    <x v="0"/>
    <n v="0"/>
    <n v="0"/>
    <n v="0"/>
    <n v="0"/>
    <n v="0"/>
    <n v="0"/>
    <n v="0"/>
    <n v="0"/>
    <n v="0"/>
    <x v="23"/>
  </r>
  <r>
    <x v="2"/>
    <x v="3"/>
    <x v="3"/>
    <x v="3"/>
    <x v="2"/>
    <n v="19"/>
    <x v="3"/>
    <n v="12"/>
    <s v="AKI"/>
    <x v="3"/>
    <x v="3"/>
    <x v="3"/>
    <x v="3"/>
    <x v="2"/>
    <n v="29"/>
    <n v="18"/>
    <x v="15"/>
    <n v="0"/>
    <x v="0"/>
    <n v="5"/>
    <s v="offensive"/>
    <n v="1"/>
    <n v="1"/>
    <n v="0"/>
    <n v="0"/>
    <n v="0"/>
    <n v="9"/>
    <n v="9"/>
    <n v="0"/>
    <x v="2"/>
    <n v="0"/>
    <n v="6"/>
    <n v="66"/>
    <n v="70"/>
    <n v="129"/>
    <n v="36590"/>
    <n v="8"/>
    <n v="0"/>
    <s v="03-05-00"/>
    <n v="32"/>
    <s v="DNP"/>
    <x v="1"/>
    <x v="1"/>
    <n v="3"/>
    <x v="0"/>
    <n v="2"/>
    <n v="1"/>
    <x v="3"/>
    <s v="Tim D "/>
    <x v="3"/>
    <x v="13"/>
    <x v="2"/>
    <n v="0"/>
    <n v="0"/>
    <n v="6"/>
    <n v="0"/>
    <x v="9"/>
    <x v="0"/>
    <x v="0"/>
    <x v="0"/>
    <x v="0"/>
    <n v="3"/>
    <n v="0"/>
    <n v="0"/>
    <x v="0"/>
    <x v="0"/>
    <x v="0"/>
    <n v="0"/>
    <n v="0"/>
    <n v="0"/>
    <n v="0"/>
    <n v="0"/>
    <n v="0"/>
    <n v="0"/>
    <n v="0"/>
    <n v="0"/>
    <x v="24"/>
  </r>
  <r>
    <x v="3"/>
    <x v="5"/>
    <x v="5"/>
    <x v="5"/>
    <x v="3"/>
    <n v="16"/>
    <x v="4"/>
    <n v="25"/>
    <s v="AKI"/>
    <x v="5"/>
    <x v="5"/>
    <x v="5"/>
    <x v="5"/>
    <x v="3"/>
    <n v="18"/>
    <n v="0"/>
    <x v="11"/>
    <n v="20"/>
    <x v="0"/>
    <n v="-2"/>
    <s v="offensive"/>
    <n v="0"/>
    <n v="0"/>
    <n v="1"/>
    <n v="0"/>
    <n v="10"/>
    <n v="0"/>
    <n v="0"/>
    <n v="0"/>
    <x v="1"/>
    <n v="0"/>
    <n v="12"/>
    <n v="142"/>
    <n v="110"/>
    <n v="112"/>
    <n v="36679"/>
    <n v="8"/>
    <n v="0"/>
    <s v="06-02-00"/>
    <n v="8"/>
    <n v="7"/>
    <x v="1"/>
    <x v="1"/>
    <n v="3"/>
    <x v="0"/>
    <n v="2"/>
    <n v="1"/>
    <x v="3"/>
    <s v="Joseph"/>
    <x v="5"/>
    <x v="9"/>
    <x v="3"/>
    <n v="0"/>
    <n v="0"/>
    <n v="0"/>
    <n v="0"/>
    <x v="0"/>
    <x v="1"/>
    <x v="1"/>
    <x v="1"/>
    <x v="1"/>
    <n v="0"/>
    <n v="0"/>
    <n v="0"/>
    <x v="0"/>
    <x v="0"/>
    <x v="0"/>
    <n v="0"/>
    <n v="0"/>
    <n v="0"/>
    <n v="0"/>
    <n v="10"/>
    <n v="10"/>
    <n v="4"/>
    <n v="0"/>
    <n v="0"/>
    <x v="2"/>
  </r>
  <r>
    <x v="7"/>
    <x v="9"/>
    <x v="9"/>
    <x v="9"/>
    <x v="7"/>
    <n v="1"/>
    <x v="7"/>
    <n v="25"/>
    <s v="AKI"/>
    <x v="9"/>
    <x v="9"/>
    <x v="9"/>
    <x v="9"/>
    <x v="7"/>
    <n v="44"/>
    <n v="18"/>
    <x v="12"/>
    <n v="0"/>
    <x v="0"/>
    <n v="2"/>
    <s v="offensive"/>
    <n v="1"/>
    <n v="0.5"/>
    <n v="1"/>
    <n v="0"/>
    <n v="10"/>
    <n v="30"/>
    <n v="30"/>
    <n v="0"/>
    <x v="6"/>
    <n v="0"/>
    <n v="12"/>
    <n v="142"/>
    <n v="110"/>
    <n v="418"/>
    <n v="36679"/>
    <n v="8"/>
    <n v="0"/>
    <s v="06-02-00"/>
    <n v="7"/>
    <n v="2"/>
    <x v="1"/>
    <x v="1"/>
    <n v="3"/>
    <x v="0"/>
    <n v="2"/>
    <n v="1"/>
    <x v="0"/>
    <s v="Joseph"/>
    <x v="9"/>
    <x v="9"/>
    <x v="3"/>
    <n v="1"/>
    <n v="0"/>
    <n v="6"/>
    <n v="0"/>
    <x v="3"/>
    <x v="1"/>
    <x v="1"/>
    <x v="0"/>
    <x v="1"/>
    <n v="24"/>
    <n v="24"/>
    <n v="2"/>
    <x v="1"/>
    <x v="0"/>
    <x v="0"/>
    <n v="0"/>
    <n v="0"/>
    <n v="0"/>
    <n v="0"/>
    <n v="0"/>
    <n v="10"/>
    <n v="0"/>
    <n v="0"/>
    <n v="0"/>
    <x v="3"/>
  </r>
  <r>
    <x v="2"/>
    <x v="25"/>
    <x v="23"/>
    <x v="25"/>
    <x v="2"/>
    <n v="24"/>
    <x v="3"/>
    <n v="10"/>
    <s v="AKI"/>
    <x v="16"/>
    <x v="16"/>
    <x v="16"/>
    <x v="16"/>
    <x v="2"/>
    <n v="3.456"/>
    <n v="0"/>
    <x v="11"/>
    <n v="0"/>
    <x v="13"/>
    <n v="0"/>
    <s v="both"/>
    <n v="0"/>
    <n v="0"/>
    <n v="0"/>
    <n v="0.6"/>
    <n v="0"/>
    <n v="5.76"/>
    <n v="0"/>
    <n v="5.76"/>
    <x v="20"/>
    <n v="0"/>
    <n v="6"/>
    <n v="94"/>
    <n v="70"/>
    <n v="182"/>
    <n v="36590"/>
    <n v="8"/>
    <n v="0"/>
    <s v="03-05-00"/>
    <n v="29"/>
    <s v="DNP"/>
    <x v="1"/>
    <x v="1"/>
    <n v="3"/>
    <x v="0"/>
    <n v="2"/>
    <n v="1"/>
    <x v="0"/>
    <s v="Bill Paton"/>
    <x v="25"/>
    <x v="9"/>
    <x v="3"/>
    <n v="0"/>
    <n v="0"/>
    <n v="0"/>
    <n v="0"/>
    <x v="10"/>
    <x v="1"/>
    <x v="1"/>
    <x v="0"/>
    <x v="1"/>
    <n v="0"/>
    <n v="0"/>
    <n v="1"/>
    <x v="0"/>
    <x v="0"/>
    <x v="1"/>
    <n v="0"/>
    <n v="24"/>
    <n v="0"/>
    <n v="0"/>
    <n v="0"/>
    <n v="0"/>
    <n v="0"/>
    <n v="0"/>
    <n v="0"/>
    <x v="25"/>
  </r>
  <r>
    <x v="7"/>
    <x v="9"/>
    <x v="9"/>
    <x v="9"/>
    <x v="7"/>
    <n v="1"/>
    <x v="7"/>
    <n v="25"/>
    <s v="AKI"/>
    <x v="9"/>
    <x v="9"/>
    <x v="9"/>
    <x v="9"/>
    <x v="7"/>
    <n v="87.89473684210526"/>
    <n v="24"/>
    <x v="19"/>
    <n v="0"/>
    <x v="0"/>
    <n v="2"/>
    <s v="offensive"/>
    <n v="0.66666666666666663"/>
    <n v="0.73684210526315785"/>
    <n v="0"/>
    <n v="0"/>
    <n v="10"/>
    <n v="54"/>
    <n v="54"/>
    <n v="0"/>
    <x v="6"/>
    <n v="0"/>
    <n v="12"/>
    <n v="142"/>
    <n v="110"/>
    <n v="418"/>
    <n v="36679"/>
    <n v="8"/>
    <n v="0"/>
    <s v="06-02-00"/>
    <n v="7"/>
    <n v="2"/>
    <x v="1"/>
    <x v="1"/>
    <n v="3"/>
    <x v="0"/>
    <n v="2"/>
    <n v="1"/>
    <x v="0"/>
    <s v="Bill Paton"/>
    <x v="9"/>
    <x v="3"/>
    <x v="3"/>
    <n v="3"/>
    <n v="0"/>
    <n v="12"/>
    <n v="6"/>
    <x v="0"/>
    <x v="0"/>
    <x v="1"/>
    <x v="0"/>
    <x v="1"/>
    <n v="42"/>
    <n v="15"/>
    <n v="3"/>
    <x v="1"/>
    <x v="0"/>
    <x v="0"/>
    <n v="0"/>
    <n v="0"/>
    <n v="0"/>
    <n v="0"/>
    <n v="10"/>
    <n v="0"/>
    <n v="3"/>
    <n v="0"/>
    <n v="0"/>
    <x v="26"/>
  </r>
  <r>
    <x v="4"/>
    <x v="6"/>
    <x v="6"/>
    <x v="6"/>
    <x v="4"/>
    <n v="13"/>
    <x v="5"/>
    <n v="24"/>
    <s v="AI"/>
    <x v="6"/>
    <x v="6"/>
    <x v="6"/>
    <x v="6"/>
    <x v="4"/>
    <n v="4"/>
    <n v="0"/>
    <x v="20"/>
    <n v="0"/>
    <x v="0"/>
    <n v="0"/>
    <s v="offensive"/>
    <n v="0"/>
    <n v="1"/>
    <n v="0"/>
    <n v="0"/>
    <n v="10"/>
    <n v="2"/>
    <n v="2"/>
    <n v="0"/>
    <x v="4"/>
    <n v="0"/>
    <n v="4"/>
    <n v="112"/>
    <n v="90"/>
    <n v="106"/>
    <n v="36562"/>
    <n v="8"/>
    <n v="0"/>
    <s v="02-06-00"/>
    <n v="35"/>
    <n v="15"/>
    <x v="1"/>
    <x v="1"/>
    <n v="3"/>
    <x v="0"/>
    <n v="2"/>
    <n v="1"/>
    <x v="0"/>
    <s v="Bill Paton"/>
    <x v="6"/>
    <x v="1"/>
    <x v="3"/>
    <n v="2"/>
    <n v="0"/>
    <n v="0"/>
    <n v="10"/>
    <x v="3"/>
    <x v="0"/>
    <x v="1"/>
    <x v="0"/>
    <x v="1"/>
    <n v="2"/>
    <n v="0"/>
    <n v="1"/>
    <x v="0"/>
    <x v="0"/>
    <x v="0"/>
    <n v="0"/>
    <n v="0"/>
    <n v="0"/>
    <n v="0"/>
    <n v="10"/>
    <n v="0"/>
    <n v="2"/>
    <n v="0"/>
    <n v="0"/>
    <x v="27"/>
  </r>
  <r>
    <x v="17"/>
    <x v="22"/>
    <x v="20"/>
    <x v="22"/>
    <x v="17"/>
    <n v="28"/>
    <x v="6"/>
    <n v="17"/>
    <s v="AK"/>
    <x v="15"/>
    <x v="15"/>
    <x v="15"/>
    <x v="15"/>
    <x v="13"/>
    <n v="2"/>
    <n v="0"/>
    <x v="11"/>
    <n v="0"/>
    <x v="0"/>
    <n v="2"/>
    <s v="offensive"/>
    <n v="0"/>
    <n v="0"/>
    <n v="0"/>
    <n v="0"/>
    <n v="10"/>
    <n v="0"/>
    <n v="0"/>
    <n v="0"/>
    <x v="17"/>
    <n v="0"/>
    <n v="8"/>
    <n v="82"/>
    <n v="180"/>
    <n v="228"/>
    <n v="36621"/>
    <n v="9"/>
    <n v="0"/>
    <s v="04-05-00"/>
    <n v="22"/>
    <n v="25"/>
    <x v="1"/>
    <x v="1"/>
    <n v="3"/>
    <x v="0"/>
    <n v="2"/>
    <n v="1"/>
    <x v="0"/>
    <s v="Bill Paton"/>
    <x v="22"/>
    <x v="2"/>
    <x v="3"/>
    <n v="2"/>
    <n v="0"/>
    <n v="0"/>
    <n v="12"/>
    <x v="9"/>
    <x v="0"/>
    <x v="1"/>
    <x v="0"/>
    <x v="1"/>
    <n v="0"/>
    <n v="6"/>
    <n v="1"/>
    <x v="1"/>
    <x v="0"/>
    <x v="0"/>
    <n v="0"/>
    <n v="0"/>
    <n v="0"/>
    <n v="0"/>
    <n v="10"/>
    <n v="0"/>
    <n v="2"/>
    <n v="0"/>
    <n v="0"/>
    <x v="28"/>
  </r>
  <r>
    <x v="16"/>
    <x v="21"/>
    <x v="19"/>
    <x v="21"/>
    <x v="16"/>
    <n v="22"/>
    <x v="6"/>
    <n v="25"/>
    <s v="AK"/>
    <x v="9"/>
    <x v="9"/>
    <x v="9"/>
    <x v="9"/>
    <x v="2"/>
    <n v="8"/>
    <n v="0"/>
    <x v="21"/>
    <n v="0"/>
    <x v="0"/>
    <n v="0"/>
    <s v="offensive"/>
    <n v="0"/>
    <n v="0.66666666666666663"/>
    <n v="0"/>
    <n v="0"/>
    <n v="10"/>
    <n v="6"/>
    <n v="6"/>
    <n v="0"/>
    <x v="16"/>
    <n v="0"/>
    <n v="10"/>
    <n v="102"/>
    <n v="190"/>
    <n v="152"/>
    <n v="36650"/>
    <n v="9"/>
    <n v="0"/>
    <s v="05-04-00"/>
    <n v="13"/>
    <n v="17"/>
    <x v="1"/>
    <x v="1"/>
    <n v="3"/>
    <x v="0"/>
    <n v="2"/>
    <n v="1"/>
    <x v="0"/>
    <s v="Bill Paton"/>
    <x v="21"/>
    <x v="6"/>
    <x v="3"/>
    <n v="3"/>
    <n v="0"/>
    <n v="0"/>
    <n v="0"/>
    <x v="9"/>
    <x v="0"/>
    <x v="1"/>
    <x v="1"/>
    <x v="1"/>
    <n v="6"/>
    <n v="3"/>
    <n v="0"/>
    <x v="0"/>
    <x v="0"/>
    <x v="0"/>
    <n v="0"/>
    <n v="0"/>
    <n v="0"/>
    <n v="0"/>
    <n v="10"/>
    <n v="0"/>
    <n v="3"/>
    <n v="0"/>
    <n v="0"/>
    <x v="29"/>
  </r>
  <r>
    <x v="2"/>
    <x v="37"/>
    <x v="21"/>
    <x v="36"/>
    <x v="2"/>
    <n v="28"/>
    <x v="3"/>
    <n v="6"/>
    <s v="AK"/>
    <x v="21"/>
    <x v="21"/>
    <x v="21"/>
    <x v="21"/>
    <x v="2"/>
    <n v="0"/>
    <n v="0"/>
    <x v="11"/>
    <n v="0"/>
    <x v="0"/>
    <n v="0"/>
    <s v="offensive"/>
    <n v="0"/>
    <n v="0"/>
    <n v="0"/>
    <n v="0"/>
    <n v="0"/>
    <n v="0"/>
    <n v="0"/>
    <n v="0"/>
    <x v="24"/>
    <n v="1"/>
    <n v="8"/>
    <n v="82"/>
    <n v="80"/>
    <n v="145"/>
    <n v="36620"/>
    <n v="8"/>
    <n v="0"/>
    <s v="04-04-00"/>
    <n v="23"/>
    <s v="DNP"/>
    <x v="1"/>
    <x v="1"/>
    <n v="3"/>
    <x v="0"/>
    <n v="2"/>
    <n v="1"/>
    <x v="0"/>
    <s v="Bill Paton"/>
    <x v="37"/>
    <x v="5"/>
    <x v="3"/>
    <n v="0"/>
    <n v="0"/>
    <n v="0"/>
    <n v="0"/>
    <x v="9"/>
    <x v="1"/>
    <x v="1"/>
    <x v="1"/>
    <x v="0"/>
    <n v="0"/>
    <n v="0"/>
    <n v="0"/>
    <x v="0"/>
    <x v="0"/>
    <x v="0"/>
    <n v="0"/>
    <n v="0"/>
    <n v="0"/>
    <n v="0"/>
    <n v="0"/>
    <n v="0"/>
    <n v="0"/>
    <n v="0"/>
    <n v="0"/>
    <x v="30"/>
  </r>
  <r>
    <x v="5"/>
    <x v="7"/>
    <x v="7"/>
    <x v="7"/>
    <x v="5"/>
    <n v="14"/>
    <x v="6"/>
    <n v="21"/>
    <s v="AK"/>
    <x v="7"/>
    <x v="7"/>
    <x v="7"/>
    <x v="7"/>
    <x v="5"/>
    <n v="2"/>
    <n v="0"/>
    <x v="11"/>
    <n v="0"/>
    <x v="0"/>
    <n v="2"/>
    <s v="offensive"/>
    <n v="0"/>
    <n v="0"/>
    <n v="0"/>
    <n v="0"/>
    <n v="10"/>
    <n v="0"/>
    <n v="0"/>
    <n v="0"/>
    <x v="5"/>
    <n v="0"/>
    <n v="8"/>
    <n v="102"/>
    <n v="90"/>
    <n v="94"/>
    <n v="36620"/>
    <n v="8"/>
    <n v="0"/>
    <s v="04-04-00"/>
    <n v="20"/>
    <n v="14"/>
    <x v="0"/>
    <x v="2"/>
    <n v="3"/>
    <x v="0"/>
    <n v="2"/>
    <n v="1"/>
    <x v="0"/>
    <s v="Bill Paton"/>
    <x v="7"/>
    <x v="12"/>
    <x v="3"/>
    <n v="2"/>
    <n v="0"/>
    <n v="0"/>
    <n v="12"/>
    <x v="11"/>
    <x v="0"/>
    <x v="1"/>
    <x v="0"/>
    <x v="1"/>
    <n v="0"/>
    <n v="0"/>
    <n v="2"/>
    <x v="1"/>
    <x v="0"/>
    <x v="0"/>
    <n v="0"/>
    <n v="0"/>
    <n v="0"/>
    <n v="0"/>
    <n v="10"/>
    <n v="0"/>
    <n v="0"/>
    <n v="0"/>
    <n v="0"/>
    <x v="31"/>
  </r>
  <r>
    <x v="9"/>
    <x v="11"/>
    <x v="10"/>
    <x v="11"/>
    <x v="9"/>
    <n v="9"/>
    <x v="3"/>
    <n v="25"/>
    <s v="AKI"/>
    <x v="2"/>
    <x v="2"/>
    <x v="2"/>
    <x v="2"/>
    <x v="8"/>
    <n v="3"/>
    <n v="0"/>
    <x v="22"/>
    <n v="0"/>
    <x v="0"/>
    <n v="0"/>
    <s v="offensive"/>
    <n v="0"/>
    <n v="0.5"/>
    <n v="0"/>
    <n v="0"/>
    <n v="0"/>
    <n v="3"/>
    <n v="3"/>
    <n v="0"/>
    <x v="7"/>
    <n v="0"/>
    <n v="6"/>
    <n v="106"/>
    <n v="70"/>
    <n v="201"/>
    <n v="36590"/>
    <n v="8"/>
    <n v="0"/>
    <s v="03-05-00"/>
    <n v="27"/>
    <n v="8"/>
    <x v="0"/>
    <x v="4"/>
    <n v="3"/>
    <x v="0"/>
    <n v="2"/>
    <n v="1"/>
    <x v="0"/>
    <s v="Ian Spadin"/>
    <x v="11"/>
    <x v="8"/>
    <x v="3"/>
    <n v="2"/>
    <n v="0"/>
    <n v="0"/>
    <n v="12"/>
    <x v="0"/>
    <x v="0"/>
    <x v="1"/>
    <x v="0"/>
    <x v="1"/>
    <n v="3"/>
    <n v="3"/>
    <n v="2"/>
    <x v="1"/>
    <x v="0"/>
    <x v="0"/>
    <n v="0"/>
    <n v="0"/>
    <n v="0"/>
    <n v="5"/>
    <n v="0"/>
    <n v="0"/>
    <n v="0"/>
    <n v="0"/>
    <n v="0"/>
    <x v="32"/>
  </r>
  <r>
    <x v="13"/>
    <x v="15"/>
    <x v="14"/>
    <x v="15"/>
    <x v="13"/>
    <n v="28"/>
    <x v="10"/>
    <n v="1"/>
    <s v="A"/>
    <x v="7"/>
    <x v="7"/>
    <x v="7"/>
    <x v="7"/>
    <x v="10"/>
    <n v="0"/>
    <n v="0"/>
    <x v="11"/>
    <n v="0"/>
    <x v="0"/>
    <n v="0"/>
    <s v="offensive"/>
    <n v="0"/>
    <n v="0"/>
    <n v="0"/>
    <n v="0"/>
    <n v="0"/>
    <n v="0"/>
    <n v="0"/>
    <n v="0"/>
    <x v="5"/>
    <n v="0"/>
    <n v="6"/>
    <n v="94"/>
    <n v="70"/>
    <n v="99"/>
    <n v="36590"/>
    <n v="8"/>
    <n v="0"/>
    <s v="03-05-00"/>
    <n v="30"/>
    <n v="23"/>
    <x v="1"/>
    <x v="1"/>
    <n v="3"/>
    <x v="0"/>
    <n v="2"/>
    <n v="1"/>
    <x v="0"/>
    <s v="Ian Spadin"/>
    <x v="15"/>
    <x v="7"/>
    <x v="3"/>
    <n v="2"/>
    <n v="0"/>
    <n v="0"/>
    <n v="4"/>
    <x v="7"/>
    <x v="1"/>
    <x v="1"/>
    <x v="0"/>
    <x v="1"/>
    <n v="0"/>
    <n v="0"/>
    <n v="0"/>
    <x v="0"/>
    <x v="0"/>
    <x v="0"/>
    <n v="0"/>
    <n v="0"/>
    <n v="0"/>
    <n v="0"/>
    <n v="0"/>
    <n v="0"/>
    <n v="0"/>
    <n v="0"/>
    <n v="0"/>
    <x v="33"/>
  </r>
  <r>
    <x v="25"/>
    <x v="35"/>
    <x v="27"/>
    <x v="34"/>
    <x v="22"/>
    <n v="23"/>
    <x v="3"/>
    <n v="25"/>
    <s v="AK"/>
    <x v="2"/>
    <x v="2"/>
    <x v="2"/>
    <x v="2"/>
    <x v="2"/>
    <n v="18"/>
    <n v="18"/>
    <x v="11"/>
    <n v="0"/>
    <x v="0"/>
    <n v="0"/>
    <s v="offensive"/>
    <n v="1"/>
    <n v="0"/>
    <n v="0"/>
    <n v="0"/>
    <n v="0"/>
    <n v="6"/>
    <n v="6"/>
    <n v="0"/>
    <x v="28"/>
    <n v="1"/>
    <n v="12"/>
    <n v="144"/>
    <n v="120"/>
    <n v="169"/>
    <n v="36680"/>
    <n v="9"/>
    <n v="0"/>
    <s v="06-03-00"/>
    <n v="6"/>
    <n v="18"/>
    <x v="1"/>
    <x v="1"/>
    <n v="3"/>
    <x v="0"/>
    <n v="2"/>
    <n v="1"/>
    <x v="0"/>
    <s v="Ian Spadin"/>
    <x v="35"/>
    <x v="10"/>
    <x v="3"/>
    <n v="1"/>
    <n v="0"/>
    <n v="6"/>
    <n v="0"/>
    <x v="1"/>
    <x v="1"/>
    <x v="1"/>
    <x v="1"/>
    <x v="1"/>
    <n v="0"/>
    <n v="0"/>
    <n v="0"/>
    <x v="0"/>
    <x v="0"/>
    <x v="0"/>
    <n v="0"/>
    <n v="0"/>
    <n v="0"/>
    <n v="0"/>
    <n v="0"/>
    <n v="0"/>
    <n v="0"/>
    <n v="0"/>
    <n v="0"/>
    <x v="34"/>
  </r>
  <r>
    <x v="15"/>
    <x v="19"/>
    <x v="18"/>
    <x v="19"/>
    <x v="15"/>
    <n v="11"/>
    <x v="2"/>
    <n v="25"/>
    <s v="AKI"/>
    <x v="14"/>
    <x v="14"/>
    <x v="14"/>
    <x v="14"/>
    <x v="1"/>
    <n v="8"/>
    <n v="0"/>
    <x v="15"/>
    <n v="0"/>
    <x v="0"/>
    <n v="2"/>
    <s v="offensive"/>
    <n v="0"/>
    <n v="1"/>
    <n v="0"/>
    <n v="0"/>
    <n v="0"/>
    <n v="3"/>
    <n v="3"/>
    <n v="0"/>
    <x v="14"/>
    <n v="0"/>
    <n v="4"/>
    <n v="94"/>
    <n v="70"/>
    <n v="162"/>
    <n v="36562"/>
    <n v="8"/>
    <n v="0"/>
    <s v="02-06-00"/>
    <n v="36"/>
    <n v="13"/>
    <x v="1"/>
    <x v="1"/>
    <n v="3"/>
    <x v="0"/>
    <n v="2"/>
    <n v="1"/>
    <x v="0"/>
    <s v="Ian Spadin"/>
    <x v="19"/>
    <x v="10"/>
    <x v="3"/>
    <n v="2"/>
    <n v="0"/>
    <n v="0"/>
    <n v="0"/>
    <x v="12"/>
    <x v="0"/>
    <x v="1"/>
    <x v="0"/>
    <x v="1"/>
    <n v="3"/>
    <n v="0"/>
    <n v="1"/>
    <x v="1"/>
    <x v="0"/>
    <x v="0"/>
    <n v="0"/>
    <n v="0"/>
    <n v="0"/>
    <n v="0"/>
    <n v="0"/>
    <n v="0"/>
    <n v="0"/>
    <n v="0"/>
    <n v="0"/>
    <x v="35"/>
  </r>
  <r>
    <x v="27"/>
    <x v="39"/>
    <x v="28"/>
    <x v="38"/>
    <x v="23"/>
    <n v="2"/>
    <x v="10"/>
    <n v="15"/>
    <s v="AK"/>
    <x v="2"/>
    <x v="2"/>
    <x v="2"/>
    <x v="2"/>
    <x v="19"/>
    <n v="143.5"/>
    <n v="54"/>
    <x v="23"/>
    <n v="20"/>
    <x v="0"/>
    <n v="2"/>
    <s v="offensive"/>
    <n v="1"/>
    <n v="0.75"/>
    <n v="1"/>
    <n v="0"/>
    <n v="10"/>
    <n v="63"/>
    <n v="63"/>
    <n v="0"/>
    <x v="30"/>
    <n v="0"/>
    <n v="18"/>
    <n v="240"/>
    <n v="140"/>
    <n v="461"/>
    <s v="9-0-0"/>
    <n v="9"/>
    <n v="0"/>
    <s v="9-0-0"/>
    <n v="1"/>
    <n v="1"/>
    <x v="1"/>
    <x v="1"/>
    <n v="3"/>
    <x v="0"/>
    <n v="2"/>
    <n v="1"/>
    <x v="0"/>
    <s v="Ian Spadin"/>
    <x v="39"/>
    <x v="11"/>
    <x v="3"/>
    <n v="3"/>
    <n v="0"/>
    <n v="18"/>
    <n v="0"/>
    <x v="0"/>
    <x v="0"/>
    <x v="1"/>
    <x v="0"/>
    <x v="1"/>
    <n v="45"/>
    <n v="15"/>
    <n v="3"/>
    <x v="1"/>
    <x v="0"/>
    <x v="0"/>
    <n v="0"/>
    <n v="0"/>
    <n v="0"/>
    <n v="0"/>
    <n v="10"/>
    <n v="10"/>
    <n v="1"/>
    <n v="0"/>
    <n v="0"/>
    <x v="36"/>
  </r>
  <r>
    <x v="2"/>
    <x v="37"/>
    <x v="21"/>
    <x v="36"/>
    <x v="2"/>
    <n v="28"/>
    <x v="3"/>
    <n v="6"/>
    <s v="AK"/>
    <x v="21"/>
    <x v="21"/>
    <x v="21"/>
    <x v="21"/>
    <x v="2"/>
    <n v="0.8"/>
    <n v="0"/>
    <x v="11"/>
    <n v="0"/>
    <x v="5"/>
    <n v="0"/>
    <s v="offensive"/>
    <n v="0"/>
    <n v="0"/>
    <n v="0"/>
    <n v="0.4"/>
    <n v="0"/>
    <n v="2"/>
    <n v="0"/>
    <n v="2"/>
    <x v="24"/>
    <n v="1"/>
    <n v="8"/>
    <n v="82"/>
    <n v="80"/>
    <n v="145"/>
    <n v="36620"/>
    <n v="8"/>
    <n v="0"/>
    <s v="04-04-00"/>
    <n v="23"/>
    <s v="DNP"/>
    <x v="1"/>
    <x v="1"/>
    <n v="3"/>
    <x v="0"/>
    <n v="2"/>
    <n v="1"/>
    <x v="0"/>
    <s v="Ian Spadin"/>
    <x v="37"/>
    <x v="14"/>
    <x v="3"/>
    <n v="0"/>
    <n v="0"/>
    <n v="0"/>
    <n v="0"/>
    <x v="5"/>
    <x v="1"/>
    <x v="1"/>
    <x v="1"/>
    <x v="1"/>
    <n v="0"/>
    <n v="0"/>
    <n v="1"/>
    <x v="0"/>
    <x v="2"/>
    <x v="0"/>
    <n v="5"/>
    <n v="0"/>
    <n v="0"/>
    <n v="0"/>
    <n v="0"/>
    <n v="0"/>
    <n v="0"/>
    <n v="0"/>
    <n v="0"/>
    <x v="37"/>
  </r>
  <r>
    <x v="26"/>
    <x v="36"/>
    <x v="21"/>
    <x v="35"/>
    <x v="2"/>
    <n v="28"/>
    <x v="4"/>
    <n v="5"/>
    <s v="AKI"/>
    <x v="15"/>
    <x v="15"/>
    <x v="15"/>
    <x v="15"/>
    <x v="2"/>
    <n v="0"/>
    <n v="0"/>
    <x v="11"/>
    <n v="0"/>
    <x v="0"/>
    <n v="0"/>
    <s v="both"/>
    <n v="0"/>
    <n v="0"/>
    <n v="1"/>
    <n v="0"/>
    <n v="10"/>
    <n v="0"/>
    <n v="0"/>
    <n v="0"/>
    <x v="1"/>
    <n v="1"/>
    <n v="12"/>
    <n v="70"/>
    <n v="140"/>
    <n v="170"/>
    <n v="36679"/>
    <n v="8"/>
    <n v="0"/>
    <s v="06-02-00"/>
    <n v="9"/>
    <n v="20"/>
    <x v="1"/>
    <x v="1"/>
    <n v="3"/>
    <x v="0"/>
    <n v="2"/>
    <n v="1"/>
    <x v="0"/>
    <s v="Ian Spadin"/>
    <x v="36"/>
    <x v="15"/>
    <x v="3"/>
    <n v="0"/>
    <n v="0"/>
    <n v="0"/>
    <n v="0"/>
    <x v="5"/>
    <x v="1"/>
    <x v="1"/>
    <x v="1"/>
    <x v="1"/>
    <n v="0"/>
    <n v="0"/>
    <n v="1"/>
    <x v="0"/>
    <x v="1"/>
    <x v="0"/>
    <n v="0"/>
    <n v="20"/>
    <n v="0"/>
    <n v="0"/>
    <n v="0"/>
    <n v="10"/>
    <n v="2"/>
    <n v="0"/>
    <n v="0"/>
    <x v="38"/>
  </r>
  <r>
    <x v="23"/>
    <x v="31"/>
    <x v="21"/>
    <x v="30"/>
    <x v="2"/>
    <n v="28"/>
    <x v="8"/>
    <n v="7"/>
    <s v="AKI"/>
    <x v="19"/>
    <x v="19"/>
    <x v="19"/>
    <x v="19"/>
    <x v="15"/>
    <n v="-2"/>
    <n v="0"/>
    <x v="11"/>
    <n v="0"/>
    <x v="0"/>
    <n v="-2"/>
    <s v="offensive"/>
    <n v="0"/>
    <n v="0"/>
    <n v="0"/>
    <n v="0"/>
    <n v="0"/>
    <n v="0"/>
    <n v="0"/>
    <n v="0"/>
    <x v="26"/>
    <n v="0"/>
    <n v="10"/>
    <n v="72"/>
    <n v="80"/>
    <n v="107"/>
    <n v="36649"/>
    <n v="8"/>
    <n v="0"/>
    <s v="05-03-00"/>
    <n v="15"/>
    <n v="19"/>
    <x v="1"/>
    <x v="1"/>
    <n v="3"/>
    <x v="0"/>
    <n v="2"/>
    <n v="1"/>
    <x v="0"/>
    <s v="Ian Spadin"/>
    <x v="31"/>
    <x v="16"/>
    <x v="3"/>
    <n v="2"/>
    <n v="0"/>
    <n v="0"/>
    <n v="6"/>
    <x v="0"/>
    <x v="0"/>
    <x v="1"/>
    <x v="0"/>
    <x v="1"/>
    <n v="0"/>
    <n v="3"/>
    <n v="1"/>
    <x v="0"/>
    <x v="0"/>
    <x v="3"/>
    <n v="0"/>
    <n v="0"/>
    <n v="0"/>
    <n v="0"/>
    <n v="0"/>
    <n v="0"/>
    <n v="0"/>
    <n v="0"/>
    <n v="0"/>
    <x v="39"/>
  </r>
  <r>
    <x v="0"/>
    <x v="0"/>
    <x v="0"/>
    <x v="0"/>
    <x v="0"/>
    <n v="4"/>
    <x v="0"/>
    <n v="25"/>
    <s v="AKI"/>
    <x v="0"/>
    <x v="0"/>
    <x v="0"/>
    <x v="0"/>
    <x v="0"/>
    <n v="46"/>
    <n v="0"/>
    <x v="24"/>
    <n v="0"/>
    <x v="0"/>
    <n v="-2"/>
    <s v="offensive"/>
    <n v="0"/>
    <n v="1"/>
    <n v="0"/>
    <n v="0"/>
    <n v="10"/>
    <n v="24"/>
    <n v="24"/>
    <n v="0"/>
    <x v="0"/>
    <n v="0"/>
    <n v="10"/>
    <n v="178"/>
    <n v="80"/>
    <n v="213"/>
    <n v="36649"/>
    <n v="8"/>
    <n v="0"/>
    <s v="05-03-00"/>
    <n v="11"/>
    <n v="6.5"/>
    <x v="0"/>
    <x v="0"/>
    <n v="3"/>
    <x v="0"/>
    <n v="2"/>
    <n v="1"/>
    <x v="0"/>
    <s v="paige"/>
    <x v="0"/>
    <x v="17"/>
    <x v="3"/>
    <n v="3"/>
    <n v="0"/>
    <n v="0"/>
    <n v="0"/>
    <x v="0"/>
    <x v="0"/>
    <x v="1"/>
    <x v="1"/>
    <x v="0"/>
    <n v="24"/>
    <n v="0"/>
    <n v="2"/>
    <x v="0"/>
    <x v="0"/>
    <x v="0"/>
    <n v="0"/>
    <n v="0"/>
    <n v="0"/>
    <n v="0"/>
    <n v="10"/>
    <n v="0"/>
    <n v="0"/>
    <n v="0"/>
    <n v="0"/>
    <x v="0"/>
  </r>
  <r>
    <x v="2"/>
    <x v="32"/>
    <x v="21"/>
    <x v="31"/>
    <x v="2"/>
    <n v="28"/>
    <x v="3"/>
    <n v="8"/>
    <s v="AKI"/>
    <x v="3"/>
    <x v="3"/>
    <x v="3"/>
    <x v="3"/>
    <x v="16"/>
    <n v="0"/>
    <n v="0"/>
    <x v="11"/>
    <n v="0"/>
    <x v="0"/>
    <n v="0"/>
    <s v="offensive"/>
    <n v="0"/>
    <n v="0"/>
    <n v="0"/>
    <n v="0"/>
    <n v="0"/>
    <n v="0"/>
    <n v="0"/>
    <n v="0"/>
    <x v="1"/>
    <n v="0"/>
    <n v="4"/>
    <n v="24"/>
    <n v="80"/>
    <n v="88"/>
    <n v="36562"/>
    <n v="8"/>
    <n v="0"/>
    <s v="02-06-00"/>
    <n v="37"/>
    <s v="DNP"/>
    <x v="1"/>
    <x v="1"/>
    <n v="3"/>
    <x v="0"/>
    <n v="2"/>
    <n v="1"/>
    <x v="0"/>
    <s v="paige"/>
    <x v="32"/>
    <x v="18"/>
    <x v="3"/>
    <n v="0"/>
    <n v="0"/>
    <n v="0"/>
    <n v="0"/>
    <x v="1"/>
    <x v="1"/>
    <x v="1"/>
    <x v="1"/>
    <x v="1"/>
    <n v="0"/>
    <n v="0"/>
    <n v="0"/>
    <x v="0"/>
    <x v="0"/>
    <x v="0"/>
    <n v="0"/>
    <n v="0"/>
    <n v="0"/>
    <n v="0"/>
    <n v="0"/>
    <n v="0"/>
    <n v="0"/>
    <n v="0"/>
    <n v="0"/>
    <x v="40"/>
  </r>
  <r>
    <x v="12"/>
    <x v="14"/>
    <x v="13"/>
    <x v="14"/>
    <x v="12"/>
    <n v="5"/>
    <x v="9"/>
    <n v="22"/>
    <s v="AKI"/>
    <x v="9"/>
    <x v="9"/>
    <x v="9"/>
    <x v="9"/>
    <x v="2"/>
    <n v="106.5"/>
    <n v="24"/>
    <x v="2"/>
    <n v="20"/>
    <x v="0"/>
    <n v="2"/>
    <s v="offensive"/>
    <n v="0.66666666666666663"/>
    <n v="0.91666666666666663"/>
    <n v="1"/>
    <n v="0"/>
    <n v="10"/>
    <n v="45"/>
    <n v="45"/>
    <n v="0"/>
    <x v="10"/>
    <n v="0"/>
    <n v="14"/>
    <n v="266"/>
    <n v="140"/>
    <n v="284"/>
    <n v="36709"/>
    <n v="9"/>
    <n v="0"/>
    <s v="07-02-00"/>
    <n v="2"/>
    <n v="3"/>
    <x v="1"/>
    <x v="1"/>
    <n v="3"/>
    <x v="0"/>
    <n v="2"/>
    <n v="1"/>
    <x v="0"/>
    <s v="LukeMorrical"/>
    <x v="14"/>
    <x v="19"/>
    <x v="3"/>
    <n v="3"/>
    <n v="0"/>
    <n v="12"/>
    <n v="6"/>
    <x v="9"/>
    <x v="0"/>
    <x v="1"/>
    <x v="0"/>
    <x v="1"/>
    <n v="33"/>
    <n v="3"/>
    <n v="3"/>
    <x v="0"/>
    <x v="0"/>
    <x v="0"/>
    <n v="0"/>
    <n v="0"/>
    <n v="0"/>
    <n v="0"/>
    <n v="10"/>
    <n v="10"/>
    <n v="5"/>
    <n v="0"/>
    <n v="0"/>
    <x v="41"/>
  </r>
  <r>
    <x v="7"/>
    <x v="9"/>
    <x v="9"/>
    <x v="9"/>
    <x v="7"/>
    <n v="1"/>
    <x v="7"/>
    <n v="25"/>
    <s v="AKI"/>
    <x v="9"/>
    <x v="9"/>
    <x v="9"/>
    <x v="9"/>
    <x v="7"/>
    <n v="156.4"/>
    <n v="54"/>
    <x v="25"/>
    <n v="20"/>
    <x v="0"/>
    <n v="4"/>
    <s v="offensive"/>
    <n v="1"/>
    <n v="0.93333333333333335"/>
    <n v="1"/>
    <n v="0"/>
    <n v="10"/>
    <n v="60"/>
    <n v="60"/>
    <n v="0"/>
    <x v="6"/>
    <n v="0"/>
    <n v="12"/>
    <n v="142"/>
    <n v="110"/>
    <n v="418"/>
    <n v="36679"/>
    <n v="8"/>
    <n v="0"/>
    <s v="06-02-00"/>
    <n v="7"/>
    <n v="2"/>
    <x v="1"/>
    <x v="1"/>
    <n v="3"/>
    <x v="0"/>
    <n v="2"/>
    <n v="1"/>
    <x v="0"/>
    <s v="LukeMorrical"/>
    <x v="9"/>
    <x v="20"/>
    <x v="3"/>
    <n v="3"/>
    <n v="0"/>
    <n v="18"/>
    <n v="0"/>
    <x v="3"/>
    <x v="0"/>
    <x v="1"/>
    <x v="0"/>
    <x v="1"/>
    <n v="42"/>
    <n v="3"/>
    <n v="3"/>
    <x v="1"/>
    <x v="0"/>
    <x v="0"/>
    <n v="0"/>
    <n v="0"/>
    <n v="0"/>
    <n v="0"/>
    <n v="10"/>
    <n v="10"/>
    <n v="5"/>
    <n v="0"/>
    <n v="0"/>
    <x v="42"/>
  </r>
  <r>
    <x v="8"/>
    <x v="10"/>
    <x v="8"/>
    <x v="10"/>
    <x v="8"/>
    <n v="6"/>
    <x v="2"/>
    <n v="25"/>
    <s v="AKI"/>
    <x v="10"/>
    <x v="10"/>
    <x v="10"/>
    <x v="10"/>
    <x v="2"/>
    <n v="55"/>
    <n v="0"/>
    <x v="26"/>
    <n v="20"/>
    <x v="0"/>
    <n v="5"/>
    <s v="offensive"/>
    <n v="0"/>
    <n v="1"/>
    <n v="1"/>
    <n v="0"/>
    <n v="10"/>
    <n v="15"/>
    <n v="15"/>
    <n v="0"/>
    <x v="1"/>
    <n v="0"/>
    <n v="9"/>
    <n v="78"/>
    <n v="50"/>
    <n v="194"/>
    <n v="36984"/>
    <n v="8"/>
    <n v="0"/>
    <s v="04-03-01"/>
    <n v="17"/>
    <n v="21"/>
    <x v="1"/>
    <x v="1"/>
    <n v="3"/>
    <x v="0"/>
    <n v="2"/>
    <n v="1"/>
    <x v="0"/>
    <s v="LukeMorrical"/>
    <x v="10"/>
    <x v="21"/>
    <x v="3"/>
    <n v="3"/>
    <n v="0"/>
    <n v="0"/>
    <n v="8"/>
    <x v="3"/>
    <x v="1"/>
    <x v="0"/>
    <x v="0"/>
    <x v="1"/>
    <n v="15"/>
    <n v="0"/>
    <n v="1"/>
    <x v="0"/>
    <x v="0"/>
    <x v="0"/>
    <n v="0"/>
    <n v="0"/>
    <n v="0"/>
    <n v="0"/>
    <n v="10"/>
    <n v="10"/>
    <n v="12"/>
    <n v="0"/>
    <n v="0"/>
    <x v="43"/>
  </r>
  <r>
    <x v="11"/>
    <x v="13"/>
    <x v="12"/>
    <x v="13"/>
    <x v="11"/>
    <n v="3"/>
    <x v="7"/>
    <n v="18"/>
    <s v="AKI"/>
    <x v="11"/>
    <x v="11"/>
    <x v="11"/>
    <x v="11"/>
    <x v="2"/>
    <n v="56"/>
    <n v="0"/>
    <x v="27"/>
    <n v="0"/>
    <x v="0"/>
    <n v="2"/>
    <s v="offensive"/>
    <n v="0"/>
    <n v="1"/>
    <n v="0"/>
    <n v="0"/>
    <n v="10"/>
    <n v="27"/>
    <n v="27"/>
    <n v="0"/>
    <x v="9"/>
    <n v="0"/>
    <n v="12"/>
    <n v="186"/>
    <n v="150"/>
    <n v="379"/>
    <n v="36680"/>
    <n v="9"/>
    <n v="0"/>
    <s v="06-03-00"/>
    <n v="4"/>
    <n v="4"/>
    <x v="0"/>
    <x v="5"/>
    <n v="3"/>
    <x v="0"/>
    <n v="2"/>
    <n v="1"/>
    <x v="0"/>
    <s v="paige"/>
    <x v="13"/>
    <x v="22"/>
    <x v="3"/>
    <n v="2"/>
    <n v="0"/>
    <n v="0"/>
    <n v="0"/>
    <x v="1"/>
    <x v="0"/>
    <x v="1"/>
    <x v="0"/>
    <x v="1"/>
    <n v="27"/>
    <n v="0"/>
    <n v="3"/>
    <x v="0"/>
    <x v="0"/>
    <x v="3"/>
    <n v="0"/>
    <n v="0"/>
    <n v="0"/>
    <n v="10"/>
    <n v="10"/>
    <n v="0"/>
    <n v="0"/>
    <n v="0"/>
    <n v="0"/>
    <x v="0"/>
  </r>
  <r>
    <x v="2"/>
    <x v="38"/>
    <x v="14"/>
    <x v="37"/>
    <x v="2"/>
    <n v="17"/>
    <x v="3"/>
    <n v="23"/>
    <s v="AKD"/>
    <x v="13"/>
    <x v="13"/>
    <x v="13"/>
    <x v="13"/>
    <x v="18"/>
    <n v="16.235294117647058"/>
    <n v="0"/>
    <x v="13"/>
    <n v="0"/>
    <x v="0"/>
    <n v="2"/>
    <s v="offensive"/>
    <n v="0"/>
    <n v="0.6470588235294118"/>
    <n v="0"/>
    <n v="0"/>
    <n v="0"/>
    <n v="11"/>
    <n v="11"/>
    <n v="0"/>
    <x v="29"/>
    <n v="1"/>
    <n v="3"/>
    <n v="74"/>
    <n v="50"/>
    <n v="162"/>
    <n v="36897"/>
    <n v="8"/>
    <n v="0"/>
    <s v="01-06-01"/>
    <n v="39"/>
    <s v="DNP"/>
    <x v="1"/>
    <x v="1"/>
    <n v="3"/>
    <x v="0"/>
    <n v="2"/>
    <n v="1"/>
    <x v="0"/>
    <s v="Jeremy Green"/>
    <x v="38"/>
    <x v="9"/>
    <x v="3"/>
    <n v="3"/>
    <n v="0"/>
    <n v="0"/>
    <n v="0"/>
    <x v="1"/>
    <x v="1"/>
    <x v="1"/>
    <x v="0"/>
    <x v="1"/>
    <n v="11"/>
    <n v="6"/>
    <n v="2"/>
    <x v="1"/>
    <x v="0"/>
    <x v="0"/>
    <n v="0"/>
    <n v="0"/>
    <n v="0"/>
    <n v="0"/>
    <n v="0"/>
    <n v="0"/>
    <n v="0"/>
    <n v="0"/>
    <n v="0"/>
    <x v="4"/>
  </r>
  <r>
    <x v="22"/>
    <x v="30"/>
    <x v="26"/>
    <x v="29"/>
    <x v="21"/>
    <n v="7"/>
    <x v="15"/>
    <n v="25"/>
    <s v="AKI"/>
    <x v="18"/>
    <x v="18"/>
    <x v="18"/>
    <x v="18"/>
    <x v="10"/>
    <n v="58.400000000000006"/>
    <n v="14.400000000000002"/>
    <x v="14"/>
    <n v="0"/>
    <x v="0"/>
    <n v="2"/>
    <s v="offensive"/>
    <n v="0.4"/>
    <n v="1"/>
    <n v="1"/>
    <n v="0"/>
    <n v="10"/>
    <n v="33"/>
    <n v="33"/>
    <n v="0"/>
    <x v="25"/>
    <n v="0"/>
    <n v="8"/>
    <n v="160"/>
    <n v="140"/>
    <n v="237"/>
    <n v="36620"/>
    <n v="8"/>
    <n v="0"/>
    <s v="04-04-00"/>
    <n v="18"/>
    <n v="5"/>
    <x v="1"/>
    <x v="1"/>
    <n v="3"/>
    <x v="0"/>
    <n v="2"/>
    <n v="1"/>
    <x v="0"/>
    <s v="Jeremy Green"/>
    <x v="30"/>
    <x v="10"/>
    <x v="3"/>
    <n v="3"/>
    <n v="0"/>
    <n v="12"/>
    <n v="18"/>
    <x v="0"/>
    <x v="0"/>
    <x v="1"/>
    <x v="0"/>
    <x v="0"/>
    <n v="21"/>
    <n v="0"/>
    <n v="3"/>
    <x v="1"/>
    <x v="0"/>
    <x v="0"/>
    <n v="0"/>
    <n v="0"/>
    <n v="0"/>
    <n v="5"/>
    <n v="0"/>
    <n v="10"/>
    <n v="3"/>
    <n v="0"/>
    <n v="0"/>
    <x v="5"/>
  </r>
  <r>
    <x v="4"/>
    <x v="6"/>
    <x v="6"/>
    <x v="6"/>
    <x v="4"/>
    <n v="13"/>
    <x v="5"/>
    <n v="24"/>
    <s v="AI"/>
    <x v="6"/>
    <x v="6"/>
    <x v="6"/>
    <x v="6"/>
    <x v="4"/>
    <n v="26"/>
    <n v="0"/>
    <x v="15"/>
    <n v="20"/>
    <x v="0"/>
    <n v="0"/>
    <s v="offensive"/>
    <n v="0"/>
    <n v="1"/>
    <n v="1"/>
    <n v="0"/>
    <n v="10"/>
    <n v="3"/>
    <n v="3"/>
    <n v="0"/>
    <x v="4"/>
    <n v="0"/>
    <n v="4"/>
    <n v="112"/>
    <n v="90"/>
    <n v="106"/>
    <n v="36562"/>
    <n v="8"/>
    <n v="0"/>
    <s v="02-06-00"/>
    <n v="35"/>
    <n v="15"/>
    <x v="1"/>
    <x v="1"/>
    <n v="3"/>
    <x v="0"/>
    <n v="2"/>
    <n v="1"/>
    <x v="0"/>
    <s v="Jeremy Green"/>
    <x v="6"/>
    <x v="11"/>
    <x v="3"/>
    <n v="0"/>
    <n v="0"/>
    <n v="0"/>
    <n v="0"/>
    <x v="3"/>
    <x v="1"/>
    <x v="1"/>
    <x v="1"/>
    <x v="1"/>
    <n v="3"/>
    <n v="0"/>
    <n v="0"/>
    <x v="0"/>
    <x v="0"/>
    <x v="0"/>
    <n v="0"/>
    <n v="0"/>
    <n v="0"/>
    <n v="0"/>
    <n v="10"/>
    <n v="10"/>
    <n v="10"/>
    <n v="0"/>
    <n v="0"/>
    <x v="6"/>
  </r>
  <r>
    <x v="3"/>
    <x v="5"/>
    <x v="5"/>
    <x v="5"/>
    <x v="3"/>
    <n v="16"/>
    <x v="4"/>
    <n v="25"/>
    <s v="AKI"/>
    <x v="5"/>
    <x v="5"/>
    <x v="5"/>
    <x v="5"/>
    <x v="3"/>
    <n v="46.143999999999998"/>
    <n v="24"/>
    <x v="11"/>
    <n v="20"/>
    <x v="14"/>
    <n v="2"/>
    <s v="offensive"/>
    <n v="0.66666666666666663"/>
    <n v="0"/>
    <n v="1"/>
    <n v="0.3"/>
    <n v="10"/>
    <n v="12.48"/>
    <n v="12"/>
    <n v="0.47999999999999993"/>
    <x v="1"/>
    <n v="0"/>
    <n v="12"/>
    <n v="142"/>
    <n v="110"/>
    <n v="112"/>
    <n v="36679"/>
    <n v="8"/>
    <n v="0"/>
    <s v="06-02-00"/>
    <n v="8"/>
    <n v="7"/>
    <x v="1"/>
    <x v="1"/>
    <n v="3"/>
    <x v="0"/>
    <n v="2"/>
    <n v="1"/>
    <x v="0"/>
    <s v="Philip Dittmeier"/>
    <x v="5"/>
    <x v="0"/>
    <x v="3"/>
    <n v="3"/>
    <n v="0"/>
    <n v="12"/>
    <n v="6"/>
    <x v="3"/>
    <x v="0"/>
    <x v="1"/>
    <x v="1"/>
    <x v="0"/>
    <n v="0"/>
    <n v="12"/>
    <n v="2"/>
    <x v="1"/>
    <x v="0"/>
    <x v="3"/>
    <n v="0"/>
    <n v="4"/>
    <n v="0"/>
    <n v="0"/>
    <n v="10"/>
    <n v="10"/>
    <n v="3"/>
    <n v="0"/>
    <n v="0"/>
    <x v="0"/>
  </r>
  <r>
    <x v="2"/>
    <x v="20"/>
    <x v="14"/>
    <x v="20"/>
    <x v="13"/>
    <n v="28"/>
    <x v="3"/>
    <n v="25"/>
    <s v="AID"/>
    <x v="1"/>
    <x v="1"/>
    <x v="1"/>
    <x v="1"/>
    <x v="2"/>
    <n v="0"/>
    <n v="0"/>
    <x v="11"/>
    <n v="0"/>
    <x v="0"/>
    <n v="0"/>
    <s v="offensive"/>
    <n v="0"/>
    <n v="0"/>
    <n v="0"/>
    <n v="0"/>
    <n v="0"/>
    <n v="0"/>
    <n v="0"/>
    <n v="0"/>
    <x v="15"/>
    <n v="0"/>
    <n v="10"/>
    <n v="64"/>
    <n v="70"/>
    <n v="87"/>
    <n v="36649"/>
    <n v="8"/>
    <n v="0"/>
    <s v="05-03-00"/>
    <n v="16"/>
    <s v="DNP"/>
    <x v="1"/>
    <x v="1"/>
    <n v="3"/>
    <x v="0"/>
    <n v="2"/>
    <n v="1"/>
    <x v="0"/>
    <s v="Philip Dittmeier"/>
    <x v="20"/>
    <x v="3"/>
    <x v="3"/>
    <n v="0"/>
    <n v="0"/>
    <n v="0"/>
    <n v="0"/>
    <x v="3"/>
    <x v="1"/>
    <x v="1"/>
    <x v="0"/>
    <x v="1"/>
    <n v="0"/>
    <n v="0"/>
    <n v="1"/>
    <x v="0"/>
    <x v="0"/>
    <x v="0"/>
    <n v="0"/>
    <n v="0"/>
    <n v="0"/>
    <n v="0"/>
    <n v="0"/>
    <n v="0"/>
    <n v="0"/>
    <n v="0"/>
    <n v="0"/>
    <x v="44"/>
  </r>
  <r>
    <x v="6"/>
    <x v="8"/>
    <x v="8"/>
    <x v="8"/>
    <x v="6"/>
    <n v="12"/>
    <x v="2"/>
    <n v="25"/>
    <s v="AKI"/>
    <x v="8"/>
    <x v="8"/>
    <x v="8"/>
    <x v="8"/>
    <x v="6"/>
    <n v="3.3239999999999998"/>
    <n v="0"/>
    <x v="22"/>
    <n v="0"/>
    <x v="15"/>
    <n v="0"/>
    <s v="offensive"/>
    <n v="0"/>
    <n v="0.5"/>
    <n v="1"/>
    <n v="0.3"/>
    <n v="10"/>
    <n v="4.08"/>
    <n v="3"/>
    <n v="1.0799999999999998"/>
    <x v="1"/>
    <n v="0"/>
    <n v="14"/>
    <n v="180"/>
    <n v="140"/>
    <n v="209"/>
    <n v="36709"/>
    <n v="9"/>
    <n v="0"/>
    <s v="07-02-00"/>
    <n v="3"/>
    <n v="9"/>
    <x v="0"/>
    <x v="3"/>
    <n v="3"/>
    <x v="0"/>
    <n v="2"/>
    <n v="1"/>
    <x v="0"/>
    <s v="Philip Dittmeier"/>
    <x v="8"/>
    <x v="1"/>
    <x v="3"/>
    <n v="3"/>
    <n v="0"/>
    <n v="0"/>
    <n v="18"/>
    <x v="13"/>
    <x v="0"/>
    <x v="1"/>
    <x v="0"/>
    <x v="0"/>
    <n v="3"/>
    <n v="3"/>
    <n v="1"/>
    <x v="0"/>
    <x v="0"/>
    <x v="3"/>
    <n v="0"/>
    <n v="9"/>
    <n v="0"/>
    <n v="0"/>
    <n v="0"/>
    <n v="10"/>
    <n v="0"/>
    <n v="0"/>
    <n v="0"/>
    <x v="45"/>
  </r>
  <r>
    <x v="11"/>
    <x v="13"/>
    <x v="12"/>
    <x v="13"/>
    <x v="11"/>
    <n v="3"/>
    <x v="7"/>
    <n v="18"/>
    <s v="AKI"/>
    <x v="11"/>
    <x v="11"/>
    <x v="11"/>
    <x v="11"/>
    <x v="2"/>
    <n v="80.228571428571428"/>
    <n v="0"/>
    <x v="28"/>
    <n v="20"/>
    <x v="0"/>
    <n v="-2"/>
    <s v="offensive"/>
    <n v="0"/>
    <n v="0.94285714285714284"/>
    <n v="1"/>
    <n v="0"/>
    <n v="10"/>
    <n v="33"/>
    <n v="33"/>
    <n v="0"/>
    <x v="9"/>
    <n v="0"/>
    <n v="12"/>
    <n v="186"/>
    <n v="150"/>
    <n v="379"/>
    <n v="36680"/>
    <n v="9"/>
    <n v="0"/>
    <s v="06-03-00"/>
    <n v="4"/>
    <n v="4"/>
    <x v="0"/>
    <x v="5"/>
    <n v="3"/>
    <x v="0"/>
    <n v="2"/>
    <n v="1"/>
    <x v="0"/>
    <s v="Philip Dittmeier"/>
    <x v="13"/>
    <x v="2"/>
    <x v="3"/>
    <n v="3"/>
    <n v="0"/>
    <n v="0"/>
    <n v="0"/>
    <x v="0"/>
    <x v="0"/>
    <x v="1"/>
    <x v="0"/>
    <x v="1"/>
    <n v="33"/>
    <n v="2"/>
    <n v="2"/>
    <x v="0"/>
    <x v="0"/>
    <x v="0"/>
    <n v="0"/>
    <n v="0"/>
    <n v="0"/>
    <n v="0"/>
    <n v="10"/>
    <n v="10"/>
    <n v="4"/>
    <n v="0"/>
    <n v="0"/>
    <x v="46"/>
  </r>
  <r>
    <x v="2"/>
    <x v="29"/>
    <x v="21"/>
    <x v="28"/>
    <x v="2"/>
    <n v="28"/>
    <x v="3"/>
    <n v="25"/>
    <s v="AKD"/>
    <x v="2"/>
    <x v="2"/>
    <x v="2"/>
    <x v="2"/>
    <x v="2"/>
    <n v="0"/>
    <n v="0"/>
    <x v="11"/>
    <n v="0"/>
    <x v="0"/>
    <n v="0"/>
    <s v="offensive"/>
    <n v="0"/>
    <n v="0"/>
    <n v="0"/>
    <n v="0"/>
    <n v="0"/>
    <n v="0"/>
    <n v="0"/>
    <n v="0"/>
    <x v="24"/>
    <n v="0"/>
    <n v="10"/>
    <n v="78"/>
    <n v="90"/>
    <n v="178"/>
    <n v="36650"/>
    <n v="9"/>
    <n v="0"/>
    <s v="05-04-00"/>
    <n v="14"/>
    <s v="DNP"/>
    <x v="1"/>
    <x v="1"/>
    <n v="3"/>
    <x v="0"/>
    <n v="2"/>
    <n v="1"/>
    <x v="0"/>
    <s v="Philip Dittmeier"/>
    <x v="29"/>
    <x v="6"/>
    <x v="3"/>
    <n v="0"/>
    <n v="0"/>
    <n v="0"/>
    <n v="0"/>
    <x v="1"/>
    <x v="1"/>
    <x v="1"/>
    <x v="1"/>
    <x v="1"/>
    <n v="0"/>
    <n v="0"/>
    <n v="0"/>
    <x v="0"/>
    <x v="0"/>
    <x v="0"/>
    <n v="0"/>
    <n v="0"/>
    <n v="0"/>
    <n v="0"/>
    <n v="0"/>
    <n v="0"/>
    <n v="0"/>
    <n v="0"/>
    <n v="0"/>
    <x v="47"/>
  </r>
  <r>
    <x v="2"/>
    <x v="4"/>
    <x v="4"/>
    <x v="4"/>
    <x v="2"/>
    <n v="25"/>
    <x v="3"/>
    <n v="4"/>
    <s v="AK"/>
    <x v="4"/>
    <x v="4"/>
    <x v="4"/>
    <x v="4"/>
    <x v="2"/>
    <n v="0"/>
    <n v="0"/>
    <x v="11"/>
    <n v="0"/>
    <x v="0"/>
    <n v="0"/>
    <s v="offensive"/>
    <n v="0"/>
    <n v="0"/>
    <n v="0"/>
    <n v="0"/>
    <n v="0"/>
    <n v="-1"/>
    <n v="0"/>
    <n v="-1"/>
    <x v="3"/>
    <n v="0"/>
    <n v="8"/>
    <n v="106"/>
    <n v="120"/>
    <n v="156"/>
    <n v="36621"/>
    <n v="9"/>
    <n v="0"/>
    <s v="04-05-00"/>
    <n v="19"/>
    <s v="DNP"/>
    <x v="1"/>
    <x v="1"/>
    <n v="3"/>
    <x v="0"/>
    <n v="2"/>
    <n v="1"/>
    <x v="0"/>
    <s v="Philip Dittmeier"/>
    <x v="4"/>
    <x v="5"/>
    <x v="3"/>
    <n v="2"/>
    <n v="0"/>
    <n v="0"/>
    <n v="0"/>
    <x v="9"/>
    <x v="1"/>
    <x v="1"/>
    <x v="0"/>
    <x v="0"/>
    <n v="0"/>
    <n v="6"/>
    <n v="1"/>
    <x v="0"/>
    <x v="0"/>
    <x v="0"/>
    <n v="0"/>
    <n v="0"/>
    <n v="0"/>
    <n v="0"/>
    <n v="0"/>
    <n v="0"/>
    <n v="0"/>
    <n v="1"/>
    <n v="0"/>
    <x v="48"/>
  </r>
  <r>
    <x v="2"/>
    <x v="18"/>
    <x v="17"/>
    <x v="18"/>
    <x v="2"/>
    <n v="15"/>
    <x v="12"/>
    <n v="25"/>
    <s v="AI"/>
    <x v="13"/>
    <x v="13"/>
    <x v="13"/>
    <x v="13"/>
    <x v="2"/>
    <n v="0"/>
    <n v="0"/>
    <x v="11"/>
    <n v="0"/>
    <x v="0"/>
    <n v="0"/>
    <s v="offensive"/>
    <n v="0"/>
    <n v="0"/>
    <n v="0"/>
    <n v="0"/>
    <n v="0"/>
    <n v="0"/>
    <n v="0"/>
    <n v="0"/>
    <x v="13"/>
    <n v="0"/>
    <n v="2"/>
    <n v="88"/>
    <n v="90"/>
    <n v="162"/>
    <n v="36533"/>
    <n v="9"/>
    <n v="0"/>
    <s v="01-08-00"/>
    <n v="40"/>
    <s v="DNP"/>
    <x v="1"/>
    <x v="1"/>
    <n v="3"/>
    <x v="0"/>
    <n v="2"/>
    <n v="1"/>
    <x v="0"/>
    <s v="Philip Dittmeier"/>
    <x v="18"/>
    <x v="12"/>
    <x v="3"/>
    <n v="0"/>
    <n v="0"/>
    <n v="0"/>
    <n v="0"/>
    <x v="3"/>
    <x v="1"/>
    <x v="1"/>
    <x v="1"/>
    <x v="0"/>
    <n v="0"/>
    <n v="0"/>
    <n v="0"/>
    <x v="0"/>
    <x v="0"/>
    <x v="0"/>
    <n v="0"/>
    <n v="0"/>
    <n v="0"/>
    <n v="0"/>
    <n v="0"/>
    <n v="0"/>
    <n v="0"/>
    <n v="0"/>
    <n v="0"/>
    <x v="49"/>
  </r>
  <r>
    <x v="4"/>
    <x v="6"/>
    <x v="6"/>
    <x v="6"/>
    <x v="4"/>
    <n v="13"/>
    <x v="5"/>
    <n v="24"/>
    <s v="AI"/>
    <x v="6"/>
    <x v="6"/>
    <x v="6"/>
    <x v="6"/>
    <x v="4"/>
    <n v="86.5"/>
    <n v="54"/>
    <x v="29"/>
    <n v="20"/>
    <x v="0"/>
    <n v="0"/>
    <s v="offensive"/>
    <n v="1"/>
    <n v="0.625"/>
    <n v="1"/>
    <n v="0"/>
    <n v="10"/>
    <n v="28"/>
    <n v="28"/>
    <n v="0"/>
    <x v="4"/>
    <n v="0"/>
    <n v="4"/>
    <n v="112"/>
    <n v="90"/>
    <n v="106"/>
    <n v="36562"/>
    <n v="8"/>
    <n v="0"/>
    <s v="02-06-00"/>
    <n v="35"/>
    <n v="15"/>
    <x v="1"/>
    <x v="1"/>
    <n v="3"/>
    <x v="0"/>
    <n v="2"/>
    <n v="1"/>
    <x v="0"/>
    <s v="Andrew gur"/>
    <x v="6"/>
    <x v="4"/>
    <x v="3"/>
    <n v="3"/>
    <n v="0"/>
    <n v="18"/>
    <n v="0"/>
    <x v="7"/>
    <x v="1"/>
    <x v="1"/>
    <x v="0"/>
    <x v="1"/>
    <n v="10"/>
    <n v="6"/>
    <n v="1"/>
    <x v="0"/>
    <x v="0"/>
    <x v="0"/>
    <n v="0"/>
    <n v="0"/>
    <n v="0"/>
    <n v="0"/>
    <n v="10"/>
    <n v="10"/>
    <n v="7"/>
    <n v="0"/>
    <n v="0"/>
    <x v="50"/>
  </r>
  <r>
    <x v="2"/>
    <x v="29"/>
    <x v="21"/>
    <x v="28"/>
    <x v="2"/>
    <n v="28"/>
    <x v="3"/>
    <n v="25"/>
    <s v="AKD"/>
    <x v="2"/>
    <x v="2"/>
    <x v="2"/>
    <x v="2"/>
    <x v="2"/>
    <n v="0"/>
    <n v="0"/>
    <x v="11"/>
    <n v="0"/>
    <x v="0"/>
    <n v="0"/>
    <s v="offensive"/>
    <n v="0"/>
    <n v="0"/>
    <n v="0"/>
    <n v="0"/>
    <n v="0"/>
    <n v="0"/>
    <n v="0"/>
    <n v="0"/>
    <x v="24"/>
    <n v="0"/>
    <n v="10"/>
    <n v="78"/>
    <n v="90"/>
    <n v="178"/>
    <n v="36650"/>
    <n v="9"/>
    <n v="0"/>
    <s v="05-04-00"/>
    <n v="14"/>
    <s v="DNP"/>
    <x v="1"/>
    <x v="1"/>
    <n v="3"/>
    <x v="0"/>
    <n v="2"/>
    <n v="1"/>
    <x v="0"/>
    <s v="Andrew gurik"/>
    <x v="29"/>
    <x v="9"/>
    <x v="3"/>
    <n v="0"/>
    <n v="0"/>
    <n v="0"/>
    <n v="0"/>
    <x v="1"/>
    <x v="1"/>
    <x v="1"/>
    <x v="1"/>
    <x v="1"/>
    <n v="0"/>
    <n v="0"/>
    <n v="0"/>
    <x v="0"/>
    <x v="0"/>
    <x v="0"/>
    <n v="0"/>
    <n v="0"/>
    <n v="0"/>
    <n v="0"/>
    <n v="0"/>
    <n v="0"/>
    <n v="0"/>
    <n v="0"/>
    <n v="0"/>
    <x v="51"/>
  </r>
  <r>
    <x v="2"/>
    <x v="4"/>
    <x v="4"/>
    <x v="4"/>
    <x v="2"/>
    <n v="25"/>
    <x v="3"/>
    <n v="4"/>
    <s v="AK"/>
    <x v="4"/>
    <x v="4"/>
    <x v="4"/>
    <x v="4"/>
    <x v="2"/>
    <n v="0"/>
    <n v="0"/>
    <x v="11"/>
    <n v="0"/>
    <x v="0"/>
    <n v="0"/>
    <s v="offensive"/>
    <n v="0"/>
    <n v="0"/>
    <n v="0"/>
    <n v="0"/>
    <n v="10"/>
    <n v="0"/>
    <n v="0"/>
    <n v="0"/>
    <x v="3"/>
    <n v="0"/>
    <n v="8"/>
    <n v="106"/>
    <n v="120"/>
    <n v="156"/>
    <n v="36621"/>
    <n v="9"/>
    <n v="0"/>
    <s v="04-05-00"/>
    <n v="19"/>
    <s v="DNP"/>
    <x v="1"/>
    <x v="1"/>
    <n v="3"/>
    <x v="0"/>
    <n v="2"/>
    <n v="1"/>
    <x v="0"/>
    <s v="Andrew gurik"/>
    <x v="4"/>
    <x v="9"/>
    <x v="3"/>
    <n v="0"/>
    <n v="0"/>
    <n v="0"/>
    <n v="0"/>
    <x v="9"/>
    <x v="1"/>
    <x v="1"/>
    <x v="1"/>
    <x v="0"/>
    <n v="0"/>
    <n v="0"/>
    <n v="0"/>
    <x v="0"/>
    <x v="0"/>
    <x v="0"/>
    <n v="0"/>
    <n v="0"/>
    <n v="0"/>
    <n v="0"/>
    <n v="10"/>
    <n v="0"/>
    <n v="0"/>
    <n v="0"/>
    <n v="0"/>
    <x v="52"/>
  </r>
  <r>
    <x v="2"/>
    <x v="16"/>
    <x v="15"/>
    <x v="16"/>
    <x v="2"/>
    <n v="17"/>
    <x v="3"/>
    <n v="9"/>
    <s v="AKI"/>
    <x v="8"/>
    <x v="8"/>
    <x v="8"/>
    <x v="8"/>
    <x v="11"/>
    <n v="16.68"/>
    <n v="0"/>
    <x v="11"/>
    <n v="0"/>
    <x v="16"/>
    <n v="0"/>
    <s v="defensive"/>
    <n v="0"/>
    <n v="0"/>
    <n v="0"/>
    <n v="0.6"/>
    <n v="0"/>
    <n v="27.8"/>
    <n v="0"/>
    <n v="27.8"/>
    <x v="11"/>
    <n v="0"/>
    <n v="6"/>
    <n v="42"/>
    <n v="60"/>
    <n v="91"/>
    <n v="36589"/>
    <n v="8"/>
    <n v="0"/>
    <s v="03-04-00"/>
    <n v="33"/>
    <s v="DNP"/>
    <x v="1"/>
    <x v="1"/>
    <n v="3"/>
    <x v="0"/>
    <n v="2"/>
    <n v="1"/>
    <x v="0"/>
    <s v="Zach"/>
    <x v="16"/>
    <x v="10"/>
    <x v="3"/>
    <n v="0"/>
    <n v="0"/>
    <n v="0"/>
    <n v="0"/>
    <x v="9"/>
    <x v="1"/>
    <x v="1"/>
    <x v="1"/>
    <x v="1"/>
    <n v="0"/>
    <n v="0"/>
    <n v="2"/>
    <x v="0"/>
    <x v="2"/>
    <x v="1"/>
    <n v="0"/>
    <n v="120"/>
    <n v="0"/>
    <n v="0"/>
    <n v="0"/>
    <n v="0"/>
    <n v="0"/>
    <n v="0"/>
    <n v="1"/>
    <x v="53"/>
  </r>
  <r>
    <x v="2"/>
    <x v="38"/>
    <x v="14"/>
    <x v="37"/>
    <x v="2"/>
    <n v="17"/>
    <x v="3"/>
    <n v="23"/>
    <s v="AKD"/>
    <x v="13"/>
    <x v="13"/>
    <x v="13"/>
    <x v="13"/>
    <x v="18"/>
    <n v="0"/>
    <n v="0"/>
    <x v="11"/>
    <n v="0"/>
    <x v="0"/>
    <n v="0"/>
    <s v="offensive"/>
    <n v="0"/>
    <n v="0"/>
    <n v="0"/>
    <n v="0"/>
    <n v="0"/>
    <n v="0"/>
    <n v="0"/>
    <n v="0"/>
    <x v="29"/>
    <n v="1"/>
    <n v="3"/>
    <n v="74"/>
    <n v="50"/>
    <n v="162"/>
    <n v="36897"/>
    <n v="8"/>
    <n v="0"/>
    <s v="01-06-01"/>
    <n v="39"/>
    <s v="DNP"/>
    <x v="1"/>
    <x v="1"/>
    <n v="3"/>
    <x v="0"/>
    <n v="2"/>
    <n v="1"/>
    <x v="0"/>
    <s v="LukeMorrical"/>
    <x v="38"/>
    <x v="9"/>
    <x v="3"/>
    <n v="0"/>
    <n v="0"/>
    <n v="0"/>
    <n v="0"/>
    <x v="4"/>
    <x v="0"/>
    <x v="1"/>
    <x v="1"/>
    <x v="1"/>
    <n v="0"/>
    <n v="1"/>
    <n v="2"/>
    <x v="0"/>
    <x v="0"/>
    <x v="0"/>
    <n v="0"/>
    <n v="0"/>
    <n v="0"/>
    <n v="0"/>
    <n v="0"/>
    <n v="0"/>
    <n v="0"/>
    <n v="0"/>
    <n v="0"/>
    <x v="7"/>
  </r>
  <r>
    <x v="2"/>
    <x v="38"/>
    <x v="14"/>
    <x v="37"/>
    <x v="2"/>
    <n v="17"/>
    <x v="3"/>
    <n v="23"/>
    <s v="AKD"/>
    <x v="13"/>
    <x v="13"/>
    <x v="13"/>
    <x v="13"/>
    <x v="18"/>
    <n v="6"/>
    <n v="0"/>
    <x v="15"/>
    <n v="0"/>
    <x v="0"/>
    <n v="0"/>
    <s v="offensive"/>
    <n v="0"/>
    <n v="1"/>
    <n v="0"/>
    <n v="0"/>
    <n v="0"/>
    <n v="3"/>
    <n v="3"/>
    <n v="0"/>
    <x v="29"/>
    <n v="1"/>
    <n v="3"/>
    <n v="74"/>
    <n v="50"/>
    <n v="162"/>
    <n v="36897"/>
    <n v="8"/>
    <n v="0"/>
    <s v="01-06-01"/>
    <n v="39"/>
    <s v="DNP"/>
    <x v="1"/>
    <x v="1"/>
    <n v="3"/>
    <x v="0"/>
    <n v="2"/>
    <n v="1"/>
    <x v="0"/>
    <s v="LukeMorrical"/>
    <x v="38"/>
    <x v="9"/>
    <x v="3"/>
    <n v="0"/>
    <n v="0"/>
    <n v="0"/>
    <n v="0"/>
    <x v="5"/>
    <x v="0"/>
    <x v="1"/>
    <x v="1"/>
    <x v="1"/>
    <n v="3"/>
    <n v="0"/>
    <n v="0"/>
    <x v="0"/>
    <x v="0"/>
    <x v="0"/>
    <n v="0"/>
    <n v="0"/>
    <n v="0"/>
    <n v="0"/>
    <n v="0"/>
    <n v="0"/>
    <n v="0"/>
    <n v="0"/>
    <n v="0"/>
    <x v="8"/>
  </r>
  <r>
    <x v="22"/>
    <x v="30"/>
    <x v="26"/>
    <x v="29"/>
    <x v="21"/>
    <n v="7"/>
    <x v="15"/>
    <n v="25"/>
    <s v="AKI"/>
    <x v="18"/>
    <x v="18"/>
    <x v="18"/>
    <x v="18"/>
    <x v="10"/>
    <n v="44"/>
    <n v="0"/>
    <x v="12"/>
    <n v="20"/>
    <x v="0"/>
    <n v="0"/>
    <s v="offensive"/>
    <n v="0"/>
    <n v="1"/>
    <n v="1"/>
    <n v="0"/>
    <n v="10"/>
    <n v="12"/>
    <n v="12"/>
    <n v="0"/>
    <x v="25"/>
    <n v="0"/>
    <n v="8"/>
    <n v="160"/>
    <n v="140"/>
    <n v="237"/>
    <n v="36620"/>
    <n v="8"/>
    <n v="0"/>
    <s v="04-04-00"/>
    <n v="18"/>
    <n v="5"/>
    <x v="1"/>
    <x v="1"/>
    <n v="3"/>
    <x v="0"/>
    <n v="2"/>
    <n v="1"/>
    <x v="0"/>
    <s v="LukeMorrical"/>
    <x v="30"/>
    <x v="9"/>
    <x v="3"/>
    <n v="0"/>
    <n v="0"/>
    <n v="0"/>
    <n v="0"/>
    <x v="0"/>
    <x v="0"/>
    <x v="1"/>
    <x v="0"/>
    <x v="1"/>
    <n v="12"/>
    <n v="0"/>
    <n v="1"/>
    <x v="1"/>
    <x v="0"/>
    <x v="0"/>
    <n v="0"/>
    <n v="0"/>
    <n v="0"/>
    <n v="0"/>
    <n v="10"/>
    <n v="10"/>
    <n v="6"/>
    <n v="0"/>
    <n v="0"/>
    <x v="9"/>
  </r>
  <r>
    <x v="7"/>
    <x v="9"/>
    <x v="9"/>
    <x v="9"/>
    <x v="7"/>
    <n v="1"/>
    <x v="7"/>
    <n v="25"/>
    <s v="AKI"/>
    <x v="9"/>
    <x v="9"/>
    <x v="9"/>
    <x v="9"/>
    <x v="7"/>
    <n v="68.909090909090907"/>
    <n v="36"/>
    <x v="16"/>
    <n v="0"/>
    <x v="0"/>
    <n v="-2"/>
    <s v="offensive"/>
    <n v="1"/>
    <n v="0.72727272727272729"/>
    <n v="1"/>
    <n v="0"/>
    <n v="10"/>
    <n v="36"/>
    <n v="36"/>
    <n v="0"/>
    <x v="6"/>
    <n v="0"/>
    <n v="12"/>
    <n v="142"/>
    <n v="110"/>
    <n v="418"/>
    <n v="36679"/>
    <n v="8"/>
    <n v="0"/>
    <s v="06-02-00"/>
    <n v="7"/>
    <n v="2"/>
    <x v="1"/>
    <x v="1"/>
    <n v="3"/>
    <x v="0"/>
    <n v="2"/>
    <n v="1"/>
    <x v="0"/>
    <s v="LukeMorrical"/>
    <x v="9"/>
    <x v="9"/>
    <x v="3"/>
    <n v="3"/>
    <n v="0"/>
    <n v="12"/>
    <n v="0"/>
    <x v="0"/>
    <x v="0"/>
    <x v="1"/>
    <x v="0"/>
    <x v="1"/>
    <n v="24"/>
    <n v="9"/>
    <n v="2"/>
    <x v="0"/>
    <x v="0"/>
    <x v="0"/>
    <n v="0"/>
    <n v="0"/>
    <n v="0"/>
    <n v="0"/>
    <n v="0"/>
    <n v="10"/>
    <n v="5"/>
    <n v="0"/>
    <n v="0"/>
    <x v="10"/>
  </r>
  <r>
    <x v="0"/>
    <x v="0"/>
    <x v="0"/>
    <x v="0"/>
    <x v="0"/>
    <n v="4"/>
    <x v="0"/>
    <n v="25"/>
    <s v="AKI"/>
    <x v="0"/>
    <x v="0"/>
    <x v="0"/>
    <x v="0"/>
    <x v="0"/>
    <n v="2"/>
    <n v="0"/>
    <x v="17"/>
    <n v="0"/>
    <x v="0"/>
    <n v="0"/>
    <s v="offensive"/>
    <n v="0"/>
    <n v="0.25"/>
    <n v="0"/>
    <n v="0"/>
    <n v="0"/>
    <n v="4"/>
    <n v="4"/>
    <n v="0"/>
    <x v="0"/>
    <n v="0"/>
    <n v="10"/>
    <n v="178"/>
    <n v="80"/>
    <n v="213"/>
    <n v="36649"/>
    <n v="8"/>
    <n v="0"/>
    <s v="05-03-00"/>
    <n v="11"/>
    <n v="6.5"/>
    <x v="0"/>
    <x v="0"/>
    <n v="3"/>
    <x v="0"/>
    <n v="2"/>
    <n v="1"/>
    <x v="0"/>
    <s v="Rishab Arora"/>
    <x v="0"/>
    <x v="9"/>
    <x v="3"/>
    <n v="3"/>
    <n v="0"/>
    <n v="0"/>
    <n v="18"/>
    <x v="0"/>
    <x v="0"/>
    <x v="1"/>
    <x v="0"/>
    <x v="1"/>
    <n v="4"/>
    <n v="12"/>
    <n v="1"/>
    <x v="1"/>
    <x v="0"/>
    <x v="0"/>
    <n v="0"/>
    <n v="0"/>
    <n v="0"/>
    <n v="0"/>
    <n v="0"/>
    <n v="0"/>
    <n v="0"/>
    <n v="0"/>
    <n v="0"/>
    <x v="11"/>
  </r>
  <r>
    <x v="2"/>
    <x v="23"/>
    <x v="21"/>
    <x v="23"/>
    <x v="2"/>
    <n v="28"/>
    <x v="3"/>
    <n v="20"/>
    <s v="AI"/>
    <x v="2"/>
    <x v="2"/>
    <x v="2"/>
    <x v="2"/>
    <x v="2"/>
    <n v="36"/>
    <n v="36"/>
    <x v="11"/>
    <n v="0"/>
    <x v="0"/>
    <n v="0"/>
    <s v="offensive"/>
    <n v="1"/>
    <n v="0"/>
    <n v="0"/>
    <n v="0"/>
    <n v="0"/>
    <n v="12"/>
    <n v="12"/>
    <n v="0"/>
    <x v="18"/>
    <n v="0"/>
    <n v="3"/>
    <n v="78"/>
    <n v="90"/>
    <n v="101"/>
    <n v="36898"/>
    <n v="9"/>
    <n v="0"/>
    <s v="01-07-01"/>
    <n v="38"/>
    <s v="DNP"/>
    <x v="1"/>
    <x v="1"/>
    <n v="3"/>
    <x v="0"/>
    <n v="2"/>
    <n v="1"/>
    <x v="0"/>
    <s v="Nate Engstrom"/>
    <x v="23"/>
    <x v="0"/>
    <x v="3"/>
    <n v="3"/>
    <n v="0"/>
    <n v="12"/>
    <n v="0"/>
    <x v="9"/>
    <x v="1"/>
    <x v="1"/>
    <x v="1"/>
    <x v="1"/>
    <n v="0"/>
    <n v="0"/>
    <n v="0"/>
    <x v="0"/>
    <x v="0"/>
    <x v="0"/>
    <n v="0"/>
    <n v="0"/>
    <n v="0"/>
    <n v="0"/>
    <n v="0"/>
    <n v="0"/>
    <n v="0"/>
    <n v="0"/>
    <n v="0"/>
    <x v="54"/>
  </r>
  <r>
    <x v="8"/>
    <x v="10"/>
    <x v="8"/>
    <x v="10"/>
    <x v="8"/>
    <n v="6"/>
    <x v="2"/>
    <n v="25"/>
    <s v="AKI"/>
    <x v="10"/>
    <x v="10"/>
    <x v="10"/>
    <x v="10"/>
    <x v="2"/>
    <n v="32"/>
    <n v="0"/>
    <x v="30"/>
    <n v="0"/>
    <x v="0"/>
    <n v="0"/>
    <s v="offensive"/>
    <n v="0"/>
    <n v="0.8"/>
    <n v="0"/>
    <n v="0"/>
    <n v="0"/>
    <n v="20"/>
    <n v="20"/>
    <n v="0"/>
    <x v="1"/>
    <n v="0"/>
    <n v="9"/>
    <n v="78"/>
    <n v="50"/>
    <n v="194"/>
    <n v="36984"/>
    <n v="8"/>
    <n v="0"/>
    <s v="04-03-01"/>
    <n v="17"/>
    <n v="21"/>
    <x v="1"/>
    <x v="1"/>
    <n v="3"/>
    <x v="0"/>
    <n v="2"/>
    <n v="1"/>
    <x v="0"/>
    <s v="Nate Engstrom"/>
    <x v="10"/>
    <x v="3"/>
    <x v="3"/>
    <n v="3"/>
    <n v="0"/>
    <n v="0"/>
    <n v="12"/>
    <x v="3"/>
    <x v="0"/>
    <x v="1"/>
    <x v="0"/>
    <x v="1"/>
    <n v="20"/>
    <n v="5"/>
    <n v="2"/>
    <x v="0"/>
    <x v="0"/>
    <x v="0"/>
    <n v="0"/>
    <n v="0"/>
    <n v="0"/>
    <n v="0"/>
    <n v="0"/>
    <n v="0"/>
    <n v="0"/>
    <n v="0"/>
    <n v="0"/>
    <x v="55"/>
  </r>
  <r>
    <x v="10"/>
    <x v="12"/>
    <x v="11"/>
    <x v="12"/>
    <x v="10"/>
    <n v="20"/>
    <x v="8"/>
    <n v="25"/>
    <s v="A"/>
    <x v="2"/>
    <x v="2"/>
    <x v="2"/>
    <x v="2"/>
    <x v="9"/>
    <n v="6.1920000000000002"/>
    <n v="0"/>
    <x v="11"/>
    <n v="0"/>
    <x v="17"/>
    <n v="0"/>
    <s v="both"/>
    <n v="0"/>
    <n v="0"/>
    <n v="0"/>
    <n v="0.6"/>
    <n v="0"/>
    <n v="10.32"/>
    <n v="0"/>
    <n v="10.32"/>
    <x v="8"/>
    <n v="0"/>
    <n v="12"/>
    <n v="186"/>
    <n v="110"/>
    <n v="231"/>
    <n v="36680"/>
    <n v="9"/>
    <n v="0"/>
    <s v="06-03-00"/>
    <n v="5"/>
    <n v="10"/>
    <x v="1"/>
    <x v="1"/>
    <n v="3"/>
    <x v="0"/>
    <n v="2"/>
    <n v="1"/>
    <x v="0"/>
    <s v="Nate Engstrom"/>
    <x v="12"/>
    <x v="1"/>
    <x v="3"/>
    <n v="3"/>
    <n v="0"/>
    <n v="0"/>
    <n v="0"/>
    <x v="9"/>
    <x v="1"/>
    <x v="1"/>
    <x v="1"/>
    <x v="1"/>
    <n v="0"/>
    <n v="0"/>
    <n v="2"/>
    <x v="0"/>
    <x v="0"/>
    <x v="1"/>
    <n v="0"/>
    <n v="43"/>
    <n v="0"/>
    <n v="0"/>
    <n v="0"/>
    <n v="0"/>
    <n v="0"/>
    <n v="0"/>
    <n v="0"/>
    <x v="56"/>
  </r>
  <r>
    <x v="26"/>
    <x v="36"/>
    <x v="21"/>
    <x v="35"/>
    <x v="2"/>
    <n v="28"/>
    <x v="4"/>
    <n v="5"/>
    <s v="AKI"/>
    <x v="15"/>
    <x v="15"/>
    <x v="15"/>
    <x v="15"/>
    <x v="2"/>
    <n v="0"/>
    <n v="0"/>
    <x v="11"/>
    <n v="0"/>
    <x v="0"/>
    <n v="0"/>
    <s v="both"/>
    <n v="0"/>
    <n v="0"/>
    <n v="0"/>
    <n v="0"/>
    <n v="0"/>
    <n v="0"/>
    <n v="0"/>
    <n v="0"/>
    <x v="1"/>
    <n v="1"/>
    <n v="12"/>
    <n v="70"/>
    <n v="140"/>
    <n v="170"/>
    <n v="36679"/>
    <n v="8"/>
    <n v="0"/>
    <s v="06-02-00"/>
    <n v="9"/>
    <n v="20"/>
    <x v="1"/>
    <x v="1"/>
    <n v="3"/>
    <x v="0"/>
    <n v="2"/>
    <n v="1"/>
    <x v="0"/>
    <s v="Nate Engstrom"/>
    <x v="36"/>
    <x v="2"/>
    <x v="3"/>
    <n v="0"/>
    <n v="0"/>
    <n v="0"/>
    <n v="0"/>
    <x v="3"/>
    <x v="1"/>
    <x v="1"/>
    <x v="1"/>
    <x v="1"/>
    <n v="0"/>
    <n v="0"/>
    <n v="1"/>
    <x v="0"/>
    <x v="0"/>
    <x v="0"/>
    <n v="26"/>
    <n v="0"/>
    <n v="0"/>
    <n v="0"/>
    <n v="0"/>
    <n v="0"/>
    <n v="0"/>
    <n v="0"/>
    <n v="0"/>
    <x v="57"/>
  </r>
  <r>
    <x v="15"/>
    <x v="19"/>
    <x v="18"/>
    <x v="19"/>
    <x v="15"/>
    <n v="11"/>
    <x v="2"/>
    <n v="25"/>
    <s v="AKI"/>
    <x v="14"/>
    <x v="14"/>
    <x v="14"/>
    <x v="14"/>
    <x v="1"/>
    <n v="2"/>
    <n v="0"/>
    <x v="11"/>
    <n v="0"/>
    <x v="0"/>
    <n v="2"/>
    <s v="offensive"/>
    <n v="0"/>
    <n v="0"/>
    <n v="0"/>
    <n v="0"/>
    <n v="0"/>
    <n v="0"/>
    <n v="0"/>
    <n v="0"/>
    <x v="14"/>
    <n v="0"/>
    <n v="4"/>
    <n v="94"/>
    <n v="70"/>
    <n v="162"/>
    <n v="36562"/>
    <n v="8"/>
    <n v="0"/>
    <s v="02-06-00"/>
    <n v="36"/>
    <n v="13"/>
    <x v="1"/>
    <x v="1"/>
    <n v="3"/>
    <x v="0"/>
    <n v="2"/>
    <n v="1"/>
    <x v="0"/>
    <s v="Nate Engstrom"/>
    <x v="19"/>
    <x v="6"/>
    <x v="3"/>
    <n v="3"/>
    <n v="0"/>
    <n v="0"/>
    <n v="0"/>
    <x v="3"/>
    <x v="0"/>
    <x v="1"/>
    <x v="0"/>
    <x v="0"/>
    <n v="0"/>
    <n v="8"/>
    <n v="1"/>
    <x v="1"/>
    <x v="0"/>
    <x v="0"/>
    <n v="0"/>
    <n v="0"/>
    <n v="0"/>
    <n v="0"/>
    <n v="0"/>
    <n v="0"/>
    <n v="0"/>
    <n v="0"/>
    <n v="0"/>
    <x v="58"/>
  </r>
  <r>
    <x v="21"/>
    <x v="28"/>
    <x v="21"/>
    <x v="19"/>
    <x v="2"/>
    <n v="28"/>
    <x v="3"/>
    <n v="2"/>
    <s v="A"/>
    <x v="2"/>
    <x v="2"/>
    <x v="2"/>
    <x v="2"/>
    <x v="2"/>
    <n v="0"/>
    <n v="0"/>
    <x v="11"/>
    <n v="0"/>
    <x v="0"/>
    <n v="0"/>
    <s v="offensive"/>
    <n v="0"/>
    <n v="0"/>
    <n v="0"/>
    <n v="0"/>
    <n v="0"/>
    <n v="-2"/>
    <n v="0"/>
    <n v="-2"/>
    <x v="23"/>
    <n v="0"/>
    <n v="8"/>
    <n v="58"/>
    <n v="30"/>
    <n v="138"/>
    <n v="36620"/>
    <n v="8"/>
    <n v="0"/>
    <s v="04-04-00"/>
    <n v="24"/>
    <n v="24"/>
    <x v="1"/>
    <x v="1"/>
    <n v="3"/>
    <x v="0"/>
    <n v="2"/>
    <n v="1"/>
    <x v="0"/>
    <s v="Nate Engstrom"/>
    <x v="28"/>
    <x v="5"/>
    <x v="3"/>
    <n v="0"/>
    <n v="0"/>
    <n v="0"/>
    <n v="0"/>
    <x v="14"/>
    <x v="0"/>
    <x v="1"/>
    <x v="1"/>
    <x v="1"/>
    <n v="0"/>
    <n v="0"/>
    <n v="1"/>
    <x v="0"/>
    <x v="0"/>
    <x v="0"/>
    <n v="0"/>
    <n v="0"/>
    <n v="0"/>
    <n v="0"/>
    <n v="0"/>
    <n v="0"/>
    <n v="0"/>
    <n v="2"/>
    <n v="0"/>
    <x v="59"/>
  </r>
  <r>
    <x v="2"/>
    <x v="20"/>
    <x v="14"/>
    <x v="20"/>
    <x v="13"/>
    <n v="28"/>
    <x v="3"/>
    <n v="25"/>
    <s v="AID"/>
    <x v="1"/>
    <x v="1"/>
    <x v="1"/>
    <x v="1"/>
    <x v="2"/>
    <n v="2"/>
    <n v="0"/>
    <x v="17"/>
    <n v="0"/>
    <x v="0"/>
    <n v="0"/>
    <s v="offensive"/>
    <n v="0"/>
    <n v="1"/>
    <n v="0"/>
    <n v="0"/>
    <n v="0"/>
    <n v="1"/>
    <n v="1"/>
    <n v="0"/>
    <x v="15"/>
    <n v="0"/>
    <n v="10"/>
    <n v="64"/>
    <n v="70"/>
    <n v="87"/>
    <n v="36649"/>
    <n v="8"/>
    <n v="0"/>
    <s v="05-03-00"/>
    <n v="16"/>
    <s v="DNP"/>
    <x v="1"/>
    <x v="1"/>
    <n v="3"/>
    <x v="0"/>
    <n v="2"/>
    <n v="1"/>
    <x v="0"/>
    <s v="Nate Engstrom"/>
    <x v="20"/>
    <x v="12"/>
    <x v="3"/>
    <n v="2"/>
    <n v="0"/>
    <n v="0"/>
    <n v="12"/>
    <x v="1"/>
    <x v="0"/>
    <x v="1"/>
    <x v="0"/>
    <x v="1"/>
    <n v="1"/>
    <n v="0"/>
    <n v="1"/>
    <x v="0"/>
    <x v="0"/>
    <x v="0"/>
    <n v="0"/>
    <n v="0"/>
    <n v="0"/>
    <n v="0"/>
    <n v="0"/>
    <n v="0"/>
    <n v="0"/>
    <n v="0"/>
    <n v="0"/>
    <x v="60"/>
  </r>
  <r>
    <x v="4"/>
    <x v="6"/>
    <x v="6"/>
    <x v="6"/>
    <x v="4"/>
    <n v="13"/>
    <x v="5"/>
    <n v="24"/>
    <s v="AI"/>
    <x v="6"/>
    <x v="6"/>
    <x v="6"/>
    <x v="6"/>
    <x v="4"/>
    <n v="12.799999999999999"/>
    <n v="10.799999999999999"/>
    <x v="11"/>
    <n v="0"/>
    <x v="0"/>
    <n v="2"/>
    <s v="offensive"/>
    <n v="0.6"/>
    <n v="0"/>
    <n v="0"/>
    <n v="0"/>
    <n v="10"/>
    <n v="6"/>
    <n v="6"/>
    <n v="0"/>
    <x v="4"/>
    <n v="0"/>
    <n v="4"/>
    <n v="112"/>
    <n v="90"/>
    <n v="106"/>
    <n v="36562"/>
    <n v="8"/>
    <n v="0"/>
    <s v="02-06-00"/>
    <n v="35"/>
    <n v="15"/>
    <x v="1"/>
    <x v="1"/>
    <n v="3"/>
    <x v="0"/>
    <n v="2"/>
    <n v="1"/>
    <x v="0"/>
    <s v="Reed Symonds"/>
    <x v="6"/>
    <x v="8"/>
    <x v="3"/>
    <n v="3"/>
    <n v="0"/>
    <n v="6"/>
    <n v="4"/>
    <x v="3"/>
    <x v="0"/>
    <x v="1"/>
    <x v="0"/>
    <x v="1"/>
    <n v="0"/>
    <n v="6"/>
    <n v="2"/>
    <x v="1"/>
    <x v="0"/>
    <x v="0"/>
    <n v="0"/>
    <n v="0"/>
    <n v="0"/>
    <n v="0"/>
    <n v="10"/>
    <n v="0"/>
    <n v="0"/>
    <n v="0"/>
    <n v="0"/>
    <x v="61"/>
  </r>
  <r>
    <x v="0"/>
    <x v="0"/>
    <x v="0"/>
    <x v="0"/>
    <x v="0"/>
    <n v="4"/>
    <x v="0"/>
    <n v="25"/>
    <s v="AKI"/>
    <x v="0"/>
    <x v="0"/>
    <x v="0"/>
    <x v="0"/>
    <x v="0"/>
    <n v="58.943999999999996"/>
    <n v="54"/>
    <x v="31"/>
    <n v="0"/>
    <x v="14"/>
    <n v="0"/>
    <s v="offensive"/>
    <n v="1"/>
    <n v="0.4"/>
    <n v="1"/>
    <n v="0.3"/>
    <n v="10"/>
    <n v="24.48"/>
    <n v="24"/>
    <n v="0.47999999999999993"/>
    <x v="0"/>
    <n v="0"/>
    <n v="10"/>
    <n v="178"/>
    <n v="80"/>
    <n v="213"/>
    <n v="36649"/>
    <n v="8"/>
    <n v="0"/>
    <s v="05-03-00"/>
    <n v="11"/>
    <n v="6.5"/>
    <x v="0"/>
    <x v="0"/>
    <n v="3"/>
    <x v="0"/>
    <n v="2"/>
    <n v="1"/>
    <x v="0"/>
    <s v="Reed Symonds"/>
    <x v="0"/>
    <x v="4"/>
    <x v="3"/>
    <n v="3"/>
    <n v="0"/>
    <n v="18"/>
    <n v="0"/>
    <x v="0"/>
    <x v="0"/>
    <x v="1"/>
    <x v="0"/>
    <x v="0"/>
    <n v="6"/>
    <n v="9"/>
    <n v="2"/>
    <x v="1"/>
    <x v="0"/>
    <x v="3"/>
    <n v="0"/>
    <n v="4"/>
    <n v="0"/>
    <n v="0"/>
    <n v="0"/>
    <n v="10"/>
    <n v="0"/>
    <n v="0"/>
    <n v="0"/>
    <x v="62"/>
  </r>
  <r>
    <x v="11"/>
    <x v="13"/>
    <x v="12"/>
    <x v="13"/>
    <x v="11"/>
    <n v="3"/>
    <x v="7"/>
    <n v="18"/>
    <s v="AKI"/>
    <x v="11"/>
    <x v="11"/>
    <x v="11"/>
    <x v="11"/>
    <x v="2"/>
    <n v="86"/>
    <n v="24"/>
    <x v="14"/>
    <n v="20"/>
    <x v="0"/>
    <n v="0"/>
    <s v="offensive"/>
    <n v="0.66666666666666663"/>
    <n v="1"/>
    <n v="1"/>
    <n v="0"/>
    <n v="10"/>
    <n v="33"/>
    <n v="33"/>
    <n v="0"/>
    <x v="9"/>
    <n v="0"/>
    <n v="12"/>
    <n v="186"/>
    <n v="150"/>
    <n v="379"/>
    <n v="36680"/>
    <n v="9"/>
    <n v="0"/>
    <s v="06-03-00"/>
    <n v="4"/>
    <n v="4"/>
    <x v="0"/>
    <x v="5"/>
    <n v="3"/>
    <x v="0"/>
    <n v="2"/>
    <n v="1"/>
    <x v="0"/>
    <s v="Reed Symonds"/>
    <x v="13"/>
    <x v="4"/>
    <x v="3"/>
    <n v="3"/>
    <n v="0"/>
    <n v="12"/>
    <n v="6"/>
    <x v="3"/>
    <x v="0"/>
    <x v="1"/>
    <x v="0"/>
    <x v="1"/>
    <n v="21"/>
    <n v="0"/>
    <n v="2"/>
    <x v="0"/>
    <x v="0"/>
    <x v="0"/>
    <n v="0"/>
    <n v="0"/>
    <n v="0"/>
    <n v="0"/>
    <n v="10"/>
    <n v="10"/>
    <n v="1"/>
    <n v="0"/>
    <n v="0"/>
    <x v="63"/>
  </r>
  <r>
    <x v="8"/>
    <x v="10"/>
    <x v="8"/>
    <x v="10"/>
    <x v="8"/>
    <n v="6"/>
    <x v="2"/>
    <n v="25"/>
    <s v="AKI"/>
    <x v="10"/>
    <x v="10"/>
    <x v="10"/>
    <x v="10"/>
    <x v="2"/>
    <n v="30.611999999999998"/>
    <n v="0"/>
    <x v="26"/>
    <n v="0"/>
    <x v="18"/>
    <n v="0"/>
    <s v="both"/>
    <n v="0"/>
    <n v="1"/>
    <n v="1"/>
    <n v="0.3"/>
    <n v="10"/>
    <n v="17.04"/>
    <n v="15"/>
    <n v="2.04"/>
    <x v="1"/>
    <n v="0"/>
    <n v="9"/>
    <n v="78"/>
    <n v="50"/>
    <n v="194"/>
    <n v="36984"/>
    <n v="8"/>
    <n v="0"/>
    <s v="04-03-01"/>
    <n v="17"/>
    <n v="21"/>
    <x v="1"/>
    <x v="1"/>
    <n v="3"/>
    <x v="0"/>
    <n v="2"/>
    <n v="1"/>
    <x v="0"/>
    <s v="Reed Symonds"/>
    <x v="10"/>
    <x v="10"/>
    <x v="3"/>
    <n v="3"/>
    <n v="0"/>
    <n v="0"/>
    <n v="18"/>
    <x v="3"/>
    <x v="0"/>
    <x v="1"/>
    <x v="0"/>
    <x v="1"/>
    <n v="15"/>
    <n v="0"/>
    <n v="0"/>
    <x v="0"/>
    <x v="0"/>
    <x v="3"/>
    <n v="0"/>
    <n v="17"/>
    <n v="0"/>
    <n v="0"/>
    <n v="0"/>
    <n v="10"/>
    <n v="0"/>
    <n v="0"/>
    <n v="0"/>
    <x v="64"/>
  </r>
  <r>
    <x v="2"/>
    <x v="23"/>
    <x v="21"/>
    <x v="23"/>
    <x v="2"/>
    <n v="28"/>
    <x v="3"/>
    <n v="20"/>
    <s v="AI"/>
    <x v="2"/>
    <x v="2"/>
    <x v="2"/>
    <x v="2"/>
    <x v="2"/>
    <n v="0"/>
    <n v="0"/>
    <x v="11"/>
    <n v="0"/>
    <x v="0"/>
    <n v="0"/>
    <s v="both"/>
    <n v="0"/>
    <n v="0"/>
    <n v="0"/>
    <n v="0"/>
    <n v="0"/>
    <n v="0"/>
    <n v="0"/>
    <n v="0"/>
    <x v="18"/>
    <n v="0"/>
    <n v="3"/>
    <n v="78"/>
    <n v="90"/>
    <n v="101"/>
    <n v="36898"/>
    <n v="9"/>
    <n v="0"/>
    <s v="01-07-01"/>
    <n v="38"/>
    <s v="DNP"/>
    <x v="1"/>
    <x v="1"/>
    <n v="3"/>
    <x v="0"/>
    <n v="2"/>
    <n v="1"/>
    <x v="0"/>
    <s v="Reed Symonds"/>
    <x v="23"/>
    <x v="11"/>
    <x v="3"/>
    <n v="0"/>
    <n v="0"/>
    <n v="0"/>
    <n v="0"/>
    <x v="9"/>
    <x v="1"/>
    <x v="1"/>
    <x v="1"/>
    <x v="1"/>
    <n v="0"/>
    <n v="0"/>
    <n v="1"/>
    <x v="0"/>
    <x v="0"/>
    <x v="0"/>
    <n v="0"/>
    <n v="22"/>
    <n v="0"/>
    <n v="0"/>
    <n v="0"/>
    <n v="0"/>
    <n v="0"/>
    <n v="0"/>
    <n v="0"/>
    <x v="65"/>
  </r>
  <r>
    <x v="14"/>
    <x v="17"/>
    <x v="16"/>
    <x v="17"/>
    <x v="14"/>
    <n v="21"/>
    <x v="11"/>
    <n v="11"/>
    <s v="AKI"/>
    <x v="12"/>
    <x v="12"/>
    <x v="12"/>
    <x v="12"/>
    <x v="12"/>
    <n v="5"/>
    <n v="0"/>
    <x v="22"/>
    <n v="0"/>
    <x v="0"/>
    <n v="2"/>
    <s v="offensive"/>
    <n v="0"/>
    <n v="0.5"/>
    <n v="1"/>
    <n v="0"/>
    <n v="10"/>
    <n v="3"/>
    <n v="3"/>
    <n v="0"/>
    <x v="12"/>
    <n v="0"/>
    <n v="11"/>
    <n v="148"/>
    <n v="100"/>
    <n v="202"/>
    <n v="37014"/>
    <n v="9"/>
    <n v="0"/>
    <s v="05-03-01"/>
    <n v="10"/>
    <n v="11"/>
    <x v="1"/>
    <x v="1"/>
    <n v="3"/>
    <x v="0"/>
    <n v="2"/>
    <n v="1"/>
    <x v="0"/>
    <s v="Reed Symonds"/>
    <x v="17"/>
    <x v="14"/>
    <x v="3"/>
    <n v="3"/>
    <n v="0"/>
    <n v="0"/>
    <n v="18"/>
    <x v="0"/>
    <x v="0"/>
    <x v="1"/>
    <x v="0"/>
    <x v="1"/>
    <n v="3"/>
    <n v="3"/>
    <n v="3"/>
    <x v="1"/>
    <x v="0"/>
    <x v="0"/>
    <n v="0"/>
    <n v="0"/>
    <n v="0"/>
    <n v="0"/>
    <n v="0"/>
    <n v="10"/>
    <n v="11"/>
    <n v="0"/>
    <n v="0"/>
    <x v="66"/>
  </r>
  <r>
    <x v="2"/>
    <x v="18"/>
    <x v="17"/>
    <x v="18"/>
    <x v="2"/>
    <n v="15"/>
    <x v="12"/>
    <n v="25"/>
    <s v="AI"/>
    <x v="13"/>
    <x v="13"/>
    <x v="13"/>
    <x v="13"/>
    <x v="2"/>
    <n v="0"/>
    <n v="0"/>
    <x v="11"/>
    <n v="0"/>
    <x v="0"/>
    <n v="0"/>
    <s v="offensive"/>
    <n v="0"/>
    <n v="0"/>
    <n v="0"/>
    <n v="0"/>
    <n v="10"/>
    <n v="0"/>
    <n v="0"/>
    <n v="0"/>
    <x v="13"/>
    <n v="0"/>
    <n v="2"/>
    <n v="88"/>
    <n v="90"/>
    <n v="162"/>
    <n v="36533"/>
    <n v="9"/>
    <n v="0"/>
    <s v="01-08-00"/>
    <n v="40"/>
    <s v="DNP"/>
    <x v="1"/>
    <x v="1"/>
    <n v="3"/>
    <x v="0"/>
    <n v="2"/>
    <n v="1"/>
    <x v="0"/>
    <s v="Reed Symonds"/>
    <x v="18"/>
    <x v="15"/>
    <x v="3"/>
    <n v="3"/>
    <n v="0"/>
    <n v="0"/>
    <n v="0"/>
    <x v="3"/>
    <x v="1"/>
    <x v="1"/>
    <x v="1"/>
    <x v="1"/>
    <n v="0"/>
    <n v="0"/>
    <n v="1"/>
    <x v="0"/>
    <x v="0"/>
    <x v="0"/>
    <n v="0"/>
    <n v="0"/>
    <n v="0"/>
    <n v="0"/>
    <n v="10"/>
    <n v="0"/>
    <n v="10"/>
    <n v="0"/>
    <n v="0"/>
    <x v="67"/>
  </r>
  <r>
    <x v="25"/>
    <x v="35"/>
    <x v="27"/>
    <x v="34"/>
    <x v="22"/>
    <n v="23"/>
    <x v="3"/>
    <n v="25"/>
    <s v="AK"/>
    <x v="2"/>
    <x v="2"/>
    <x v="2"/>
    <x v="2"/>
    <x v="2"/>
    <n v="18.576000000000001"/>
    <n v="18"/>
    <x v="11"/>
    <n v="0"/>
    <x v="19"/>
    <n v="0"/>
    <s v="both"/>
    <n v="1"/>
    <n v="0"/>
    <n v="0"/>
    <n v="0.3"/>
    <n v="0"/>
    <n v="7.92"/>
    <n v="6"/>
    <n v="1.9199999999999997"/>
    <x v="28"/>
    <n v="1"/>
    <n v="12"/>
    <n v="144"/>
    <n v="120"/>
    <n v="169"/>
    <n v="36680"/>
    <n v="9"/>
    <n v="0"/>
    <s v="06-03-00"/>
    <n v="6"/>
    <n v="18"/>
    <x v="1"/>
    <x v="1"/>
    <n v="3"/>
    <x v="0"/>
    <n v="2"/>
    <n v="1"/>
    <x v="0"/>
    <s v="Reed Symonds"/>
    <x v="35"/>
    <x v="16"/>
    <x v="3"/>
    <n v="1"/>
    <n v="0"/>
    <n v="6"/>
    <n v="0"/>
    <x v="1"/>
    <x v="0"/>
    <x v="1"/>
    <x v="0"/>
    <x v="1"/>
    <n v="0"/>
    <n v="6"/>
    <n v="1"/>
    <x v="0"/>
    <x v="0"/>
    <x v="3"/>
    <n v="0"/>
    <n v="16"/>
    <n v="0"/>
    <n v="0"/>
    <n v="0"/>
    <n v="0"/>
    <n v="0"/>
    <n v="0"/>
    <n v="0"/>
    <x v="68"/>
  </r>
  <r>
    <x v="2"/>
    <x v="4"/>
    <x v="4"/>
    <x v="4"/>
    <x v="2"/>
    <n v="25"/>
    <x v="3"/>
    <n v="4"/>
    <s v="AK"/>
    <x v="4"/>
    <x v="4"/>
    <x v="4"/>
    <x v="4"/>
    <x v="2"/>
    <n v="6.333333333333333"/>
    <n v="0"/>
    <x v="32"/>
    <n v="0"/>
    <x v="0"/>
    <n v="5"/>
    <s v="offensive"/>
    <n v="0"/>
    <n v="0.33333333333333331"/>
    <n v="1"/>
    <n v="0"/>
    <n v="10"/>
    <n v="2"/>
    <n v="2"/>
    <n v="0"/>
    <x v="3"/>
    <n v="0"/>
    <n v="8"/>
    <n v="106"/>
    <n v="120"/>
    <n v="156"/>
    <n v="36621"/>
    <n v="9"/>
    <n v="0"/>
    <s v="04-05-00"/>
    <n v="19"/>
    <s v="DNP"/>
    <x v="1"/>
    <x v="1"/>
    <n v="3"/>
    <x v="0"/>
    <n v="2"/>
    <n v="1"/>
    <x v="0"/>
    <s v="Chris Yarnot"/>
    <x v="4"/>
    <x v="17"/>
    <x v="3"/>
    <n v="3"/>
    <n v="0"/>
    <n v="0"/>
    <n v="0"/>
    <x v="9"/>
    <x v="0"/>
    <x v="0"/>
    <x v="0"/>
    <x v="1"/>
    <n v="2"/>
    <n v="4"/>
    <n v="1"/>
    <x v="0"/>
    <x v="0"/>
    <x v="0"/>
    <n v="0"/>
    <n v="0"/>
    <n v="0"/>
    <n v="0"/>
    <n v="0"/>
    <n v="10"/>
    <n v="0"/>
    <n v="0"/>
    <n v="0"/>
    <x v="69"/>
  </r>
  <r>
    <x v="19"/>
    <x v="26"/>
    <x v="24"/>
    <x v="26"/>
    <x v="19"/>
    <n v="10"/>
    <x v="3"/>
    <n v="16"/>
    <s v="AK"/>
    <x v="17"/>
    <x v="17"/>
    <x v="17"/>
    <x v="17"/>
    <x v="2"/>
    <n v="35.116"/>
    <n v="36"/>
    <x v="11"/>
    <n v="0"/>
    <x v="20"/>
    <n v="-2"/>
    <s v="both"/>
    <n v="1"/>
    <n v="0"/>
    <n v="0"/>
    <n v="0.3"/>
    <n v="0"/>
    <n v="15.719999999999999"/>
    <n v="12"/>
    <n v="3.7199999999999998"/>
    <x v="21"/>
    <n v="0"/>
    <n v="7"/>
    <n v="128"/>
    <n v="40"/>
    <n v="148"/>
    <n v="36954"/>
    <n v="8"/>
    <n v="0"/>
    <s v="03-04-01"/>
    <n v="26"/>
    <n v="6"/>
    <x v="1"/>
    <x v="1"/>
    <n v="3"/>
    <x v="0"/>
    <n v="2"/>
    <n v="1"/>
    <x v="0"/>
    <s v="Chris Yarnot"/>
    <x v="26"/>
    <x v="18"/>
    <x v="3"/>
    <n v="0"/>
    <n v="0"/>
    <n v="12"/>
    <n v="0"/>
    <x v="0"/>
    <x v="0"/>
    <x v="1"/>
    <x v="1"/>
    <x v="1"/>
    <n v="0"/>
    <n v="0"/>
    <n v="0"/>
    <x v="0"/>
    <x v="1"/>
    <x v="3"/>
    <n v="0"/>
    <n v="31"/>
    <n v="0"/>
    <n v="0"/>
    <n v="0"/>
    <n v="0"/>
    <n v="0"/>
    <n v="0"/>
    <n v="0"/>
    <x v="70"/>
  </r>
  <r>
    <x v="20"/>
    <x v="27"/>
    <x v="25"/>
    <x v="27"/>
    <x v="20"/>
    <n v="28"/>
    <x v="14"/>
    <n v="25"/>
    <s v="AK"/>
    <x v="10"/>
    <x v="10"/>
    <x v="10"/>
    <x v="10"/>
    <x v="14"/>
    <n v="60"/>
    <n v="0"/>
    <x v="11"/>
    <n v="60"/>
    <x v="0"/>
    <n v="0"/>
    <s v="offensive"/>
    <n v="0"/>
    <n v="0"/>
    <n v="1"/>
    <n v="0"/>
    <n v="30"/>
    <n v="0"/>
    <n v="0"/>
    <n v="0"/>
    <x v="22"/>
    <n v="0"/>
    <n v="8"/>
    <n v="54"/>
    <n v="230"/>
    <n v="62"/>
    <n v="36620"/>
    <n v="8"/>
    <n v="0"/>
    <s v="04-04-00"/>
    <n v="25"/>
    <n v="22"/>
    <x v="0"/>
    <x v="6"/>
    <n v="3"/>
    <x v="0"/>
    <n v="2"/>
    <n v="1"/>
    <x v="0"/>
    <s v="Chris Yarnot"/>
    <x v="27"/>
    <x v="19"/>
    <x v="3"/>
    <n v="0"/>
    <n v="0"/>
    <n v="0"/>
    <n v="0"/>
    <x v="8"/>
    <x v="1"/>
    <x v="1"/>
    <x v="1"/>
    <x v="1"/>
    <n v="0"/>
    <n v="0"/>
    <n v="0"/>
    <x v="0"/>
    <x v="0"/>
    <x v="0"/>
    <n v="0"/>
    <n v="0"/>
    <n v="0"/>
    <n v="0"/>
    <n v="30"/>
    <n v="30"/>
    <n v="120"/>
    <n v="0"/>
    <n v="0"/>
    <x v="71"/>
  </r>
  <r>
    <x v="22"/>
    <x v="30"/>
    <x v="26"/>
    <x v="29"/>
    <x v="21"/>
    <n v="7"/>
    <x v="15"/>
    <n v="25"/>
    <s v="AKI"/>
    <x v="18"/>
    <x v="18"/>
    <x v="18"/>
    <x v="18"/>
    <x v="10"/>
    <n v="93"/>
    <n v="54"/>
    <x v="33"/>
    <n v="20"/>
    <x v="0"/>
    <n v="3"/>
    <s v="offensive"/>
    <n v="1"/>
    <n v="1"/>
    <n v="1"/>
    <n v="0"/>
    <n v="10"/>
    <n v="26"/>
    <n v="26"/>
    <n v="0"/>
    <x v="25"/>
    <n v="0"/>
    <n v="8"/>
    <n v="160"/>
    <n v="140"/>
    <n v="237"/>
    <n v="36620"/>
    <n v="8"/>
    <n v="0"/>
    <s v="04-04-00"/>
    <n v="18"/>
    <n v="5"/>
    <x v="1"/>
    <x v="1"/>
    <n v="3"/>
    <x v="0"/>
    <n v="2"/>
    <n v="1"/>
    <x v="0"/>
    <s v="Chris Yarnot"/>
    <x v="30"/>
    <x v="9"/>
    <x v="3"/>
    <n v="3"/>
    <n v="0"/>
    <n v="18"/>
    <n v="0"/>
    <x v="0"/>
    <x v="0"/>
    <x v="0"/>
    <x v="0"/>
    <x v="1"/>
    <n v="8"/>
    <n v="0"/>
    <n v="2"/>
    <x v="0"/>
    <x v="0"/>
    <x v="0"/>
    <n v="0"/>
    <n v="0"/>
    <n v="0"/>
    <n v="0"/>
    <n v="10"/>
    <n v="10"/>
    <n v="5"/>
    <n v="0"/>
    <n v="0"/>
    <x v="72"/>
  </r>
  <r>
    <x v="2"/>
    <x v="29"/>
    <x v="21"/>
    <x v="28"/>
    <x v="2"/>
    <n v="28"/>
    <x v="3"/>
    <n v="25"/>
    <s v="AKD"/>
    <x v="2"/>
    <x v="2"/>
    <x v="2"/>
    <x v="2"/>
    <x v="2"/>
    <n v="0"/>
    <n v="0"/>
    <x v="11"/>
    <n v="0"/>
    <x v="0"/>
    <n v="0"/>
    <s v="offensive"/>
    <n v="0"/>
    <n v="0"/>
    <n v="0"/>
    <n v="0"/>
    <n v="0"/>
    <n v="0"/>
    <n v="0"/>
    <n v="0"/>
    <x v="24"/>
    <n v="0"/>
    <n v="10"/>
    <n v="78"/>
    <n v="90"/>
    <n v="178"/>
    <n v="36650"/>
    <n v="9"/>
    <n v="0"/>
    <s v="05-04-00"/>
    <n v="14"/>
    <s v="DNP"/>
    <x v="1"/>
    <x v="1"/>
    <n v="3"/>
    <x v="0"/>
    <n v="2"/>
    <n v="1"/>
    <x v="0"/>
    <s v="Chris Yarnot"/>
    <x v="29"/>
    <x v="21"/>
    <x v="3"/>
    <n v="0"/>
    <n v="0"/>
    <n v="0"/>
    <n v="0"/>
    <x v="1"/>
    <x v="1"/>
    <x v="1"/>
    <x v="1"/>
    <x v="1"/>
    <n v="0"/>
    <n v="0"/>
    <n v="0"/>
    <x v="0"/>
    <x v="0"/>
    <x v="0"/>
    <n v="0"/>
    <n v="0"/>
    <n v="0"/>
    <n v="0"/>
    <n v="0"/>
    <n v="0"/>
    <n v="0"/>
    <n v="0"/>
    <n v="0"/>
    <x v="73"/>
  </r>
  <r>
    <x v="2"/>
    <x v="32"/>
    <x v="21"/>
    <x v="31"/>
    <x v="2"/>
    <n v="28"/>
    <x v="3"/>
    <n v="8"/>
    <s v="AKI"/>
    <x v="3"/>
    <x v="3"/>
    <x v="3"/>
    <x v="3"/>
    <x v="16"/>
    <n v="0"/>
    <n v="0"/>
    <x v="11"/>
    <n v="0"/>
    <x v="0"/>
    <n v="0"/>
    <s v="offensive"/>
    <n v="0"/>
    <n v="0"/>
    <n v="0"/>
    <n v="0"/>
    <n v="0"/>
    <n v="0"/>
    <n v="0"/>
    <n v="0"/>
    <x v="1"/>
    <n v="0"/>
    <n v="4"/>
    <n v="24"/>
    <n v="80"/>
    <n v="88"/>
    <n v="36562"/>
    <n v="8"/>
    <n v="0"/>
    <s v="02-06-00"/>
    <n v="37"/>
    <s v="DNP"/>
    <x v="1"/>
    <x v="1"/>
    <n v="3"/>
    <x v="0"/>
    <n v="2"/>
    <n v="1"/>
    <x v="0"/>
    <s v="Chris Yarnot"/>
    <x v="32"/>
    <x v="22"/>
    <x v="3"/>
    <n v="0"/>
    <n v="0"/>
    <n v="0"/>
    <n v="0"/>
    <x v="3"/>
    <x v="1"/>
    <x v="1"/>
    <x v="1"/>
    <x v="1"/>
    <n v="0"/>
    <n v="0"/>
    <n v="0"/>
    <x v="0"/>
    <x v="0"/>
    <x v="0"/>
    <n v="0"/>
    <n v="0"/>
    <n v="0"/>
    <n v="0"/>
    <n v="0"/>
    <n v="0"/>
    <n v="0"/>
    <n v="0"/>
    <n v="0"/>
    <x v="74"/>
  </r>
  <r>
    <x v="2"/>
    <x v="3"/>
    <x v="3"/>
    <x v="3"/>
    <x v="2"/>
    <n v="19"/>
    <x v="3"/>
    <n v="12"/>
    <s v="AKI"/>
    <x v="3"/>
    <x v="3"/>
    <x v="3"/>
    <x v="3"/>
    <x v="2"/>
    <n v="0"/>
    <n v="0"/>
    <x v="11"/>
    <n v="0"/>
    <x v="0"/>
    <n v="0"/>
    <s v="offensive"/>
    <n v="0"/>
    <n v="0"/>
    <n v="0"/>
    <n v="0"/>
    <n v="0"/>
    <n v="0"/>
    <n v="0"/>
    <n v="0"/>
    <x v="2"/>
    <n v="0"/>
    <n v="6"/>
    <n v="66"/>
    <n v="70"/>
    <n v="129"/>
    <n v="36590"/>
    <n v="8"/>
    <n v="0"/>
    <s v="03-05-00"/>
    <n v="32"/>
    <s v="DNP"/>
    <x v="1"/>
    <x v="1"/>
    <n v="3"/>
    <x v="0"/>
    <n v="2"/>
    <n v="1"/>
    <x v="0"/>
    <m/>
    <x v="3"/>
    <x v="12"/>
    <x v="3"/>
    <n v="0"/>
    <n v="0"/>
    <n v="0"/>
    <n v="0"/>
    <x v="6"/>
    <x v="1"/>
    <x v="1"/>
    <x v="1"/>
    <x v="1"/>
    <n v="0"/>
    <n v="0"/>
    <n v="0"/>
    <x v="0"/>
    <x v="0"/>
    <x v="0"/>
    <n v="0"/>
    <n v="0"/>
    <n v="0"/>
    <n v="0"/>
    <n v="0"/>
    <n v="0"/>
    <n v="0"/>
    <n v="0"/>
    <n v="0"/>
    <x v="12"/>
  </r>
  <r>
    <x v="2"/>
    <x v="38"/>
    <x v="14"/>
    <x v="37"/>
    <x v="2"/>
    <n v="17"/>
    <x v="3"/>
    <n v="23"/>
    <s v="AKD"/>
    <x v="13"/>
    <x v="13"/>
    <x v="13"/>
    <x v="13"/>
    <x v="18"/>
    <n v="0"/>
    <n v="0"/>
    <x v="11"/>
    <n v="0"/>
    <x v="0"/>
    <n v="0"/>
    <s v="offensive"/>
    <n v="0"/>
    <n v="0"/>
    <n v="0"/>
    <n v="0"/>
    <n v="0"/>
    <n v="0"/>
    <n v="0"/>
    <n v="0"/>
    <x v="29"/>
    <n v="1"/>
    <n v="3"/>
    <n v="74"/>
    <n v="50"/>
    <n v="162"/>
    <n v="36897"/>
    <n v="8"/>
    <n v="0"/>
    <s v="01-06-01"/>
    <n v="39"/>
    <s v="DNP"/>
    <x v="1"/>
    <x v="1"/>
    <n v="3"/>
    <x v="0"/>
    <n v="2"/>
    <n v="1"/>
    <x v="0"/>
    <s v="Philip Dittmeier"/>
    <x v="38"/>
    <x v="9"/>
    <x v="3"/>
    <n v="2"/>
    <n v="0"/>
    <n v="0"/>
    <n v="0"/>
    <x v="7"/>
    <x v="0"/>
    <x v="1"/>
    <x v="0"/>
    <x v="1"/>
    <n v="0"/>
    <n v="7"/>
    <n v="1"/>
    <x v="0"/>
    <x v="0"/>
    <x v="0"/>
    <n v="0"/>
    <n v="0"/>
    <n v="0"/>
    <n v="0"/>
    <n v="0"/>
    <n v="0"/>
    <n v="0"/>
    <n v="0"/>
    <n v="0"/>
    <x v="13"/>
  </r>
  <r>
    <x v="22"/>
    <x v="30"/>
    <x v="26"/>
    <x v="29"/>
    <x v="21"/>
    <n v="7"/>
    <x v="15"/>
    <n v="25"/>
    <s v="AKI"/>
    <x v="18"/>
    <x v="18"/>
    <x v="18"/>
    <x v="18"/>
    <x v="10"/>
    <n v="100.18181818181819"/>
    <n v="36"/>
    <x v="10"/>
    <n v="20"/>
    <x v="0"/>
    <n v="0"/>
    <s v="offensive"/>
    <n v="1"/>
    <n v="0.81818181818181823"/>
    <n v="1"/>
    <n v="0"/>
    <n v="10"/>
    <n v="39"/>
    <n v="39"/>
    <n v="0"/>
    <x v="25"/>
    <n v="0"/>
    <n v="8"/>
    <n v="160"/>
    <n v="140"/>
    <n v="237"/>
    <n v="36620"/>
    <n v="8"/>
    <n v="0"/>
    <s v="04-04-00"/>
    <n v="18"/>
    <n v="5"/>
    <x v="1"/>
    <x v="1"/>
    <n v="3"/>
    <x v="0"/>
    <n v="2"/>
    <n v="1"/>
    <x v="0"/>
    <s v="sanjay"/>
    <x v="30"/>
    <x v="7"/>
    <x v="3"/>
    <n v="0"/>
    <n v="0"/>
    <n v="12"/>
    <n v="0"/>
    <x v="1"/>
    <x v="1"/>
    <x v="1"/>
    <x v="1"/>
    <x v="1"/>
    <n v="27"/>
    <n v="6"/>
    <n v="0"/>
    <x v="0"/>
    <x v="0"/>
    <x v="0"/>
    <n v="0"/>
    <n v="0"/>
    <n v="0"/>
    <n v="0"/>
    <n v="10"/>
    <n v="10"/>
    <n v="11"/>
    <n v="0"/>
    <n v="0"/>
    <x v="75"/>
  </r>
  <r>
    <x v="2"/>
    <x v="38"/>
    <x v="14"/>
    <x v="37"/>
    <x v="2"/>
    <n v="17"/>
    <x v="3"/>
    <n v="23"/>
    <s v="AKD"/>
    <x v="13"/>
    <x v="13"/>
    <x v="13"/>
    <x v="13"/>
    <x v="18"/>
    <n v="2"/>
    <n v="0"/>
    <x v="17"/>
    <n v="0"/>
    <x v="0"/>
    <n v="0"/>
    <s v="offensive"/>
    <n v="0"/>
    <n v="1"/>
    <n v="0"/>
    <n v="0"/>
    <n v="0"/>
    <n v="1"/>
    <n v="1"/>
    <n v="0"/>
    <x v="29"/>
    <n v="1"/>
    <n v="3"/>
    <n v="74"/>
    <n v="50"/>
    <n v="162"/>
    <n v="36897"/>
    <n v="8"/>
    <n v="0"/>
    <s v="01-06-01"/>
    <n v="39"/>
    <s v="DNP"/>
    <x v="1"/>
    <x v="1"/>
    <n v="3"/>
    <x v="0"/>
    <n v="2"/>
    <n v="1"/>
    <x v="0"/>
    <s v="Bill Paton"/>
    <x v="38"/>
    <x v="9"/>
    <x v="3"/>
    <n v="2"/>
    <n v="0"/>
    <n v="0"/>
    <n v="0"/>
    <x v="1"/>
    <x v="1"/>
    <x v="1"/>
    <x v="0"/>
    <x v="1"/>
    <n v="1"/>
    <n v="0"/>
    <n v="1"/>
    <x v="0"/>
    <x v="0"/>
    <x v="0"/>
    <n v="0"/>
    <n v="0"/>
    <n v="0"/>
    <n v="0"/>
    <n v="0"/>
    <n v="0"/>
    <n v="0"/>
    <n v="0"/>
    <n v="0"/>
    <x v="14"/>
  </r>
  <r>
    <x v="0"/>
    <x v="0"/>
    <x v="0"/>
    <x v="0"/>
    <x v="0"/>
    <n v="4"/>
    <x v="0"/>
    <n v="25"/>
    <s v="AKI"/>
    <x v="0"/>
    <x v="0"/>
    <x v="0"/>
    <x v="0"/>
    <x v="0"/>
    <n v="0"/>
    <n v="0"/>
    <x v="11"/>
    <n v="0"/>
    <x v="0"/>
    <n v="0"/>
    <s v="offensive"/>
    <n v="0"/>
    <n v="0"/>
    <n v="0"/>
    <n v="0"/>
    <n v="0"/>
    <n v="0"/>
    <n v="0"/>
    <n v="0"/>
    <x v="0"/>
    <n v="0"/>
    <n v="10"/>
    <n v="178"/>
    <n v="80"/>
    <n v="213"/>
    <n v="36649"/>
    <n v="8"/>
    <n v="0"/>
    <s v="05-03-00"/>
    <n v="11"/>
    <n v="6.5"/>
    <x v="0"/>
    <x v="0"/>
    <n v="3"/>
    <x v="0"/>
    <n v="2"/>
    <n v="1"/>
    <x v="0"/>
    <s v="Bill Paton"/>
    <x v="0"/>
    <x v="9"/>
    <x v="3"/>
    <n v="0"/>
    <n v="0"/>
    <n v="0"/>
    <n v="0"/>
    <x v="0"/>
    <x v="0"/>
    <x v="1"/>
    <x v="0"/>
    <x v="0"/>
    <n v="0"/>
    <n v="0"/>
    <n v="0"/>
    <x v="1"/>
    <x v="0"/>
    <x v="0"/>
    <n v="0"/>
    <n v="0"/>
    <n v="0"/>
    <n v="0"/>
    <n v="0"/>
    <n v="0"/>
    <n v="0"/>
    <n v="0"/>
    <n v="0"/>
    <x v="15"/>
  </r>
  <r>
    <x v="2"/>
    <x v="38"/>
    <x v="14"/>
    <x v="37"/>
    <x v="2"/>
    <n v="17"/>
    <x v="3"/>
    <n v="23"/>
    <s v="AKD"/>
    <x v="13"/>
    <x v="13"/>
    <x v="13"/>
    <x v="13"/>
    <x v="18"/>
    <n v="0"/>
    <n v="0"/>
    <x v="11"/>
    <n v="0"/>
    <x v="0"/>
    <n v="0"/>
    <s v="offensive"/>
    <n v="0"/>
    <n v="0"/>
    <n v="0"/>
    <n v="0"/>
    <n v="0"/>
    <n v="0"/>
    <n v="0"/>
    <n v="0"/>
    <x v="29"/>
    <n v="1"/>
    <n v="3"/>
    <n v="74"/>
    <n v="50"/>
    <n v="162"/>
    <n v="36897"/>
    <n v="8"/>
    <n v="0"/>
    <s v="01-06-01"/>
    <n v="39"/>
    <s v="DNP"/>
    <x v="1"/>
    <x v="1"/>
    <n v="3"/>
    <x v="0"/>
    <n v="2"/>
    <n v="1"/>
    <x v="0"/>
    <s v="Bill Paton"/>
    <x v="38"/>
    <x v="9"/>
    <x v="3"/>
    <n v="2"/>
    <n v="0"/>
    <n v="0"/>
    <n v="0"/>
    <x v="15"/>
    <x v="1"/>
    <x v="1"/>
    <x v="0"/>
    <x v="1"/>
    <n v="0"/>
    <n v="0"/>
    <n v="1"/>
    <x v="0"/>
    <x v="0"/>
    <x v="0"/>
    <n v="0"/>
    <n v="0"/>
    <n v="0"/>
    <n v="0"/>
    <n v="0"/>
    <n v="0"/>
    <n v="0"/>
    <n v="0"/>
    <n v="0"/>
    <x v="76"/>
  </r>
  <r>
    <x v="5"/>
    <x v="7"/>
    <x v="7"/>
    <x v="7"/>
    <x v="5"/>
    <n v="14"/>
    <x v="6"/>
    <n v="21"/>
    <s v="AK"/>
    <x v="7"/>
    <x v="7"/>
    <x v="7"/>
    <x v="7"/>
    <x v="5"/>
    <n v="2"/>
    <n v="0"/>
    <x v="11"/>
    <n v="0"/>
    <x v="0"/>
    <n v="2"/>
    <s v="offensive"/>
    <n v="0"/>
    <n v="0"/>
    <n v="0"/>
    <n v="0"/>
    <n v="10"/>
    <n v="0"/>
    <n v="0"/>
    <n v="0"/>
    <x v="5"/>
    <n v="0"/>
    <n v="8"/>
    <n v="102"/>
    <n v="90"/>
    <n v="94"/>
    <n v="36620"/>
    <n v="8"/>
    <n v="0"/>
    <s v="04-04-00"/>
    <n v="20"/>
    <n v="14"/>
    <x v="0"/>
    <x v="2"/>
    <n v="3"/>
    <x v="0"/>
    <n v="2"/>
    <n v="1"/>
    <x v="0"/>
    <s v="Bill Paton"/>
    <x v="7"/>
    <x v="9"/>
    <x v="3"/>
    <n v="1"/>
    <n v="0"/>
    <n v="0"/>
    <n v="6"/>
    <x v="11"/>
    <x v="0"/>
    <x v="1"/>
    <x v="0"/>
    <x v="1"/>
    <n v="0"/>
    <n v="0"/>
    <n v="1"/>
    <x v="1"/>
    <x v="0"/>
    <x v="0"/>
    <n v="0"/>
    <n v="0"/>
    <n v="0"/>
    <n v="0"/>
    <n v="10"/>
    <n v="0"/>
    <n v="0"/>
    <n v="0"/>
    <n v="0"/>
    <x v="77"/>
  </r>
  <r>
    <x v="22"/>
    <x v="30"/>
    <x v="26"/>
    <x v="29"/>
    <x v="21"/>
    <n v="7"/>
    <x v="15"/>
    <n v="25"/>
    <s v="AKI"/>
    <x v="18"/>
    <x v="18"/>
    <x v="18"/>
    <x v="18"/>
    <x v="10"/>
    <n v="62.75"/>
    <n v="36"/>
    <x v="34"/>
    <n v="20"/>
    <x v="0"/>
    <n v="0"/>
    <s v="offensive"/>
    <n v="1"/>
    <n v="0.375"/>
    <n v="1"/>
    <n v="0"/>
    <n v="10"/>
    <n v="21"/>
    <n v="21"/>
    <n v="0"/>
    <x v="25"/>
    <n v="0"/>
    <n v="8"/>
    <n v="160"/>
    <n v="140"/>
    <n v="237"/>
    <n v="36620"/>
    <n v="8"/>
    <n v="0"/>
    <s v="04-04-00"/>
    <n v="18"/>
    <n v="5"/>
    <x v="1"/>
    <x v="1"/>
    <n v="3"/>
    <x v="0"/>
    <n v="2"/>
    <n v="1"/>
    <x v="0"/>
    <s v="ben"/>
    <x v="30"/>
    <x v="0"/>
    <x v="3"/>
    <n v="3"/>
    <n v="0"/>
    <n v="12"/>
    <n v="0"/>
    <x v="3"/>
    <x v="0"/>
    <x v="1"/>
    <x v="1"/>
    <x v="1"/>
    <n v="9"/>
    <n v="15"/>
    <n v="2"/>
    <x v="0"/>
    <x v="0"/>
    <x v="1"/>
    <n v="0"/>
    <n v="0"/>
    <n v="0"/>
    <n v="0"/>
    <n v="10"/>
    <n v="10"/>
    <n v="6"/>
    <n v="0"/>
    <n v="0"/>
    <x v="0"/>
  </r>
  <r>
    <x v="2"/>
    <x v="2"/>
    <x v="2"/>
    <x v="2"/>
    <x v="2"/>
    <n v="26"/>
    <x v="2"/>
    <n v="25"/>
    <s v="A"/>
    <x v="2"/>
    <x v="2"/>
    <x v="2"/>
    <x v="2"/>
    <x v="2"/>
    <n v="28.32"/>
    <n v="24"/>
    <x v="11"/>
    <n v="0"/>
    <x v="1"/>
    <n v="0"/>
    <s v="defensive"/>
    <n v="0.66666666666666663"/>
    <n v="0"/>
    <n v="0"/>
    <n v="0.3"/>
    <n v="0"/>
    <n v="26.4"/>
    <n v="12"/>
    <n v="14.4"/>
    <x v="1"/>
    <n v="1"/>
    <n v="8"/>
    <n v="86"/>
    <n v="80"/>
    <n v="122"/>
    <n v="36621"/>
    <n v="9"/>
    <n v="0"/>
    <s v="04-05-00"/>
    <n v="21"/>
    <s v="DNP"/>
    <x v="1"/>
    <x v="1"/>
    <n v="3"/>
    <x v="0"/>
    <n v="2"/>
    <n v="1"/>
    <x v="0"/>
    <s v="ben"/>
    <x v="2"/>
    <x v="3"/>
    <x v="3"/>
    <n v="3"/>
    <n v="0"/>
    <n v="12"/>
    <n v="6"/>
    <x v="9"/>
    <x v="1"/>
    <x v="1"/>
    <x v="1"/>
    <x v="1"/>
    <n v="0"/>
    <n v="0"/>
    <n v="0"/>
    <x v="0"/>
    <x v="0"/>
    <x v="3"/>
    <n v="0"/>
    <n v="120"/>
    <n v="0"/>
    <n v="0"/>
    <n v="0"/>
    <n v="0"/>
    <n v="0"/>
    <n v="0"/>
    <n v="0"/>
    <x v="0"/>
  </r>
  <r>
    <x v="25"/>
    <x v="35"/>
    <x v="27"/>
    <x v="34"/>
    <x v="22"/>
    <n v="23"/>
    <x v="3"/>
    <n v="25"/>
    <s v="AK"/>
    <x v="2"/>
    <x v="2"/>
    <x v="2"/>
    <x v="2"/>
    <x v="2"/>
    <n v="18"/>
    <n v="18"/>
    <x v="11"/>
    <n v="0"/>
    <x v="0"/>
    <n v="0"/>
    <s v="offensive"/>
    <n v="1"/>
    <n v="0"/>
    <n v="0"/>
    <n v="0"/>
    <n v="0"/>
    <n v="6"/>
    <n v="6"/>
    <n v="0"/>
    <x v="28"/>
    <n v="1"/>
    <n v="12"/>
    <n v="144"/>
    <n v="120"/>
    <n v="169"/>
    <n v="36680"/>
    <n v="9"/>
    <n v="0"/>
    <s v="06-03-00"/>
    <n v="6"/>
    <n v="18"/>
    <x v="1"/>
    <x v="1"/>
    <n v="3"/>
    <x v="0"/>
    <n v="2"/>
    <n v="1"/>
    <x v="0"/>
    <s v="ben"/>
    <x v="35"/>
    <x v="1"/>
    <x v="3"/>
    <n v="2"/>
    <n v="0"/>
    <n v="6"/>
    <n v="0"/>
    <x v="15"/>
    <x v="0"/>
    <x v="1"/>
    <x v="1"/>
    <x v="1"/>
    <n v="0"/>
    <n v="3"/>
    <n v="1"/>
    <x v="0"/>
    <x v="0"/>
    <x v="0"/>
    <n v="0"/>
    <n v="0"/>
    <n v="0"/>
    <n v="0"/>
    <n v="0"/>
    <n v="0"/>
    <n v="0"/>
    <n v="0"/>
    <n v="0"/>
    <x v="0"/>
  </r>
  <r>
    <x v="2"/>
    <x v="38"/>
    <x v="14"/>
    <x v="37"/>
    <x v="2"/>
    <n v="17"/>
    <x v="3"/>
    <n v="23"/>
    <s v="AKD"/>
    <x v="13"/>
    <x v="13"/>
    <x v="13"/>
    <x v="13"/>
    <x v="18"/>
    <n v="2.8888888888888888"/>
    <n v="0"/>
    <x v="35"/>
    <n v="0"/>
    <x v="0"/>
    <n v="2"/>
    <s v="offensive"/>
    <n v="0"/>
    <n v="0.22222222222222221"/>
    <n v="0"/>
    <n v="0"/>
    <n v="0"/>
    <n v="2"/>
    <n v="2"/>
    <n v="0"/>
    <x v="29"/>
    <n v="1"/>
    <n v="3"/>
    <n v="74"/>
    <n v="50"/>
    <n v="162"/>
    <n v="36897"/>
    <n v="8"/>
    <n v="0"/>
    <s v="01-06-01"/>
    <n v="39"/>
    <s v="DNP"/>
    <x v="1"/>
    <x v="1"/>
    <n v="3"/>
    <x v="0"/>
    <n v="2"/>
    <n v="1"/>
    <x v="0"/>
    <s v="ben"/>
    <x v="38"/>
    <x v="2"/>
    <x v="3"/>
    <n v="2"/>
    <n v="0"/>
    <n v="0"/>
    <n v="0"/>
    <x v="1"/>
    <x v="0"/>
    <x v="1"/>
    <x v="1"/>
    <x v="1"/>
    <n v="2"/>
    <n v="7"/>
    <n v="2"/>
    <x v="1"/>
    <x v="0"/>
    <x v="0"/>
    <n v="0"/>
    <n v="0"/>
    <n v="0"/>
    <n v="0"/>
    <n v="0"/>
    <n v="0"/>
    <n v="0"/>
    <n v="0"/>
    <n v="0"/>
    <x v="0"/>
  </r>
  <r>
    <x v="14"/>
    <x v="17"/>
    <x v="16"/>
    <x v="17"/>
    <x v="14"/>
    <n v="21"/>
    <x v="11"/>
    <n v="11"/>
    <s v="AKI"/>
    <x v="12"/>
    <x v="12"/>
    <x v="12"/>
    <x v="12"/>
    <x v="12"/>
    <n v="40"/>
    <n v="6"/>
    <x v="36"/>
    <n v="0"/>
    <x v="0"/>
    <n v="-2"/>
    <s v="offensive"/>
    <n v="0.33333333333333331"/>
    <n v="1"/>
    <n v="1"/>
    <n v="0"/>
    <n v="10"/>
    <n v="24"/>
    <n v="24"/>
    <n v="0"/>
    <x v="12"/>
    <n v="0"/>
    <n v="11"/>
    <n v="148"/>
    <n v="100"/>
    <n v="202"/>
    <n v="37014"/>
    <n v="9"/>
    <n v="0"/>
    <s v="05-03-01"/>
    <n v="10"/>
    <n v="11"/>
    <x v="1"/>
    <x v="1"/>
    <n v="3"/>
    <x v="0"/>
    <n v="2"/>
    <n v="1"/>
    <x v="0"/>
    <s v="ben"/>
    <x v="17"/>
    <x v="6"/>
    <x v="3"/>
    <n v="3"/>
    <n v="0"/>
    <n v="6"/>
    <n v="12"/>
    <x v="0"/>
    <x v="0"/>
    <x v="1"/>
    <x v="1"/>
    <x v="1"/>
    <n v="18"/>
    <n v="0"/>
    <n v="2"/>
    <x v="0"/>
    <x v="0"/>
    <x v="0"/>
    <n v="0"/>
    <n v="0"/>
    <n v="0"/>
    <n v="0"/>
    <n v="0"/>
    <n v="10"/>
    <n v="12"/>
    <n v="0"/>
    <n v="0"/>
    <x v="0"/>
  </r>
  <r>
    <x v="13"/>
    <x v="15"/>
    <x v="14"/>
    <x v="15"/>
    <x v="13"/>
    <n v="28"/>
    <x v="10"/>
    <n v="1"/>
    <s v="A"/>
    <x v="7"/>
    <x v="7"/>
    <x v="7"/>
    <x v="7"/>
    <x v="10"/>
    <n v="52.879999999999995"/>
    <n v="12"/>
    <x v="11"/>
    <n v="0"/>
    <x v="21"/>
    <n v="2"/>
    <s v="defensive"/>
    <n v="1"/>
    <n v="0"/>
    <n v="0"/>
    <n v="0.9"/>
    <n v="0"/>
    <n v="47.199999999999996"/>
    <n v="4"/>
    <n v="43.199999999999996"/>
    <x v="5"/>
    <n v="0"/>
    <n v="6"/>
    <n v="94"/>
    <n v="70"/>
    <n v="99"/>
    <n v="36590"/>
    <n v="8"/>
    <n v="0"/>
    <s v="03-05-00"/>
    <n v="30"/>
    <n v="23"/>
    <x v="1"/>
    <x v="1"/>
    <n v="3"/>
    <x v="0"/>
    <n v="2"/>
    <n v="1"/>
    <x v="0"/>
    <s v="ben"/>
    <x v="15"/>
    <x v="5"/>
    <x v="3"/>
    <n v="2"/>
    <n v="0"/>
    <n v="4"/>
    <n v="0"/>
    <x v="7"/>
    <x v="1"/>
    <x v="1"/>
    <x v="1"/>
    <x v="1"/>
    <n v="0"/>
    <n v="0"/>
    <n v="0"/>
    <x v="1"/>
    <x v="0"/>
    <x v="2"/>
    <n v="0"/>
    <n v="120"/>
    <n v="0"/>
    <n v="0"/>
    <n v="0"/>
    <n v="0"/>
    <n v="0"/>
    <n v="0"/>
    <n v="0"/>
    <x v="0"/>
  </r>
  <r>
    <x v="2"/>
    <x v="16"/>
    <x v="15"/>
    <x v="16"/>
    <x v="2"/>
    <n v="17"/>
    <x v="3"/>
    <n v="9"/>
    <s v="AKI"/>
    <x v="8"/>
    <x v="8"/>
    <x v="8"/>
    <x v="8"/>
    <x v="11"/>
    <n v="18.079999999999998"/>
    <n v="0"/>
    <x v="11"/>
    <n v="0"/>
    <x v="22"/>
    <n v="2"/>
    <s v="defensive"/>
    <n v="0"/>
    <n v="0"/>
    <n v="0"/>
    <n v="0.6"/>
    <n v="0"/>
    <n v="26.8"/>
    <n v="0"/>
    <n v="26.8"/>
    <x v="11"/>
    <n v="0"/>
    <n v="6"/>
    <n v="42"/>
    <n v="60"/>
    <n v="91"/>
    <n v="36589"/>
    <n v="8"/>
    <n v="0"/>
    <s v="03-04-00"/>
    <n v="33"/>
    <s v="DNP"/>
    <x v="1"/>
    <x v="1"/>
    <n v="3"/>
    <x v="0"/>
    <n v="2"/>
    <n v="1"/>
    <x v="0"/>
    <s v="ben"/>
    <x v="16"/>
    <x v="12"/>
    <x v="3"/>
    <n v="0"/>
    <n v="0"/>
    <n v="0"/>
    <n v="0"/>
    <x v="9"/>
    <x v="1"/>
    <x v="1"/>
    <x v="1"/>
    <x v="1"/>
    <n v="0"/>
    <n v="0"/>
    <n v="2"/>
    <x v="1"/>
    <x v="0"/>
    <x v="1"/>
    <n v="0"/>
    <n v="120"/>
    <n v="0"/>
    <n v="0"/>
    <n v="0"/>
    <n v="0"/>
    <n v="0"/>
    <n v="2"/>
    <n v="0"/>
    <x v="78"/>
  </r>
  <r>
    <x v="18"/>
    <x v="24"/>
    <x v="22"/>
    <x v="24"/>
    <x v="18"/>
    <n v="27"/>
    <x v="13"/>
    <n v="19"/>
    <s v="AI"/>
    <x v="7"/>
    <x v="7"/>
    <x v="7"/>
    <x v="7"/>
    <x v="10"/>
    <n v="36"/>
    <n v="36"/>
    <x v="11"/>
    <n v="0"/>
    <x v="0"/>
    <n v="0"/>
    <s v="offensive"/>
    <n v="1"/>
    <n v="0"/>
    <n v="0"/>
    <n v="0"/>
    <n v="0"/>
    <n v="12"/>
    <n v="12"/>
    <n v="0"/>
    <x v="19"/>
    <n v="0"/>
    <n v="10"/>
    <n v="158"/>
    <n v="100"/>
    <n v="161"/>
    <n v="36649"/>
    <n v="8"/>
    <n v="0"/>
    <s v="05-03-00"/>
    <n v="12"/>
    <n v="16"/>
    <x v="1"/>
    <x v="1"/>
    <n v="3"/>
    <x v="0"/>
    <n v="2"/>
    <n v="1"/>
    <x v="0"/>
    <s v="Nikhil Thota"/>
    <x v="24"/>
    <x v="8"/>
    <x v="3"/>
    <n v="2"/>
    <n v="0"/>
    <n v="12"/>
    <n v="0"/>
    <x v="9"/>
    <x v="0"/>
    <x v="1"/>
    <x v="0"/>
    <x v="1"/>
    <n v="0"/>
    <n v="18"/>
    <n v="2"/>
    <x v="0"/>
    <x v="0"/>
    <x v="0"/>
    <n v="0"/>
    <n v="0"/>
    <n v="0"/>
    <n v="5"/>
    <n v="0"/>
    <n v="0"/>
    <n v="0"/>
    <n v="0"/>
    <n v="0"/>
    <x v="79"/>
  </r>
  <r>
    <x v="24"/>
    <x v="34"/>
    <x v="21"/>
    <x v="33"/>
    <x v="2"/>
    <n v="28"/>
    <x v="8"/>
    <n v="3"/>
    <s v="AK"/>
    <x v="20"/>
    <x v="20"/>
    <x v="20"/>
    <x v="20"/>
    <x v="2"/>
    <n v="2.52"/>
    <n v="0"/>
    <x v="11"/>
    <n v="0"/>
    <x v="23"/>
    <n v="0"/>
    <s v="defensive"/>
    <n v="0"/>
    <n v="0"/>
    <n v="0"/>
    <n v="0.3"/>
    <n v="0"/>
    <n v="8.4"/>
    <n v="0"/>
    <n v="8.4"/>
    <x v="27"/>
    <n v="0"/>
    <n v="6"/>
    <n v="106"/>
    <n v="60"/>
    <n v="139"/>
    <n v="36591"/>
    <n v="9"/>
    <n v="0"/>
    <s v="03-06-00"/>
    <n v="28"/>
    <n v="26"/>
    <x v="1"/>
    <x v="1"/>
    <n v="3"/>
    <x v="0"/>
    <n v="2"/>
    <n v="1"/>
    <x v="0"/>
    <s v="Nikhil Thota"/>
    <x v="34"/>
    <x v="4"/>
    <x v="3"/>
    <n v="0"/>
    <n v="0"/>
    <n v="0"/>
    <n v="0"/>
    <x v="7"/>
    <x v="1"/>
    <x v="1"/>
    <x v="1"/>
    <x v="1"/>
    <n v="0"/>
    <n v="0"/>
    <n v="1"/>
    <x v="0"/>
    <x v="0"/>
    <x v="3"/>
    <n v="0"/>
    <n v="70"/>
    <n v="0"/>
    <n v="0"/>
    <n v="0"/>
    <n v="0"/>
    <n v="0"/>
    <n v="0"/>
    <n v="0"/>
    <x v="80"/>
  </r>
  <r>
    <x v="2"/>
    <x v="18"/>
    <x v="17"/>
    <x v="18"/>
    <x v="2"/>
    <n v="15"/>
    <x v="12"/>
    <n v="25"/>
    <s v="AI"/>
    <x v="13"/>
    <x v="13"/>
    <x v="13"/>
    <x v="13"/>
    <x v="2"/>
    <n v="24"/>
    <n v="0"/>
    <x v="20"/>
    <n v="20"/>
    <x v="0"/>
    <n v="0"/>
    <s v="offensive"/>
    <n v="0"/>
    <n v="1"/>
    <n v="1"/>
    <n v="0"/>
    <n v="10"/>
    <n v="2"/>
    <n v="2"/>
    <n v="0"/>
    <x v="13"/>
    <n v="0"/>
    <n v="2"/>
    <n v="88"/>
    <n v="90"/>
    <n v="162"/>
    <n v="36533"/>
    <n v="9"/>
    <n v="0"/>
    <s v="01-08-00"/>
    <n v="40"/>
    <s v="DNP"/>
    <x v="1"/>
    <x v="1"/>
    <n v="3"/>
    <x v="0"/>
    <n v="2"/>
    <n v="1"/>
    <x v="0"/>
    <s v="Nikhil Thota"/>
    <x v="18"/>
    <x v="7"/>
    <x v="3"/>
    <n v="2"/>
    <n v="0"/>
    <n v="0"/>
    <n v="0"/>
    <x v="9"/>
    <x v="0"/>
    <x v="1"/>
    <x v="1"/>
    <x v="1"/>
    <n v="2"/>
    <n v="0"/>
    <n v="1"/>
    <x v="0"/>
    <x v="0"/>
    <x v="0"/>
    <n v="0"/>
    <n v="0"/>
    <n v="0"/>
    <n v="0"/>
    <n v="10"/>
    <n v="10"/>
    <n v="11"/>
    <n v="0"/>
    <n v="0"/>
    <x v="81"/>
  </r>
  <r>
    <x v="2"/>
    <x v="2"/>
    <x v="2"/>
    <x v="2"/>
    <x v="2"/>
    <n v="26"/>
    <x v="2"/>
    <n v="25"/>
    <s v="A"/>
    <x v="2"/>
    <x v="2"/>
    <x v="2"/>
    <x v="2"/>
    <x v="2"/>
    <n v="0"/>
    <n v="0"/>
    <x v="11"/>
    <n v="0"/>
    <x v="0"/>
    <n v="0"/>
    <s v="offensive"/>
    <n v="0"/>
    <n v="0"/>
    <n v="0"/>
    <n v="0"/>
    <n v="0"/>
    <n v="0"/>
    <n v="0"/>
    <n v="0"/>
    <x v="1"/>
    <n v="1"/>
    <n v="8"/>
    <n v="86"/>
    <n v="80"/>
    <n v="122"/>
    <n v="36621"/>
    <n v="9"/>
    <n v="0"/>
    <s v="04-05-00"/>
    <n v="21"/>
    <s v="DNP"/>
    <x v="1"/>
    <x v="1"/>
    <n v="3"/>
    <x v="0"/>
    <n v="2"/>
    <n v="1"/>
    <x v="0"/>
    <s v="Nikhil Thota"/>
    <x v="2"/>
    <x v="10"/>
    <x v="3"/>
    <n v="2"/>
    <n v="0"/>
    <n v="0"/>
    <n v="0"/>
    <x v="7"/>
    <x v="1"/>
    <x v="1"/>
    <x v="0"/>
    <x v="1"/>
    <n v="0"/>
    <n v="0"/>
    <n v="2"/>
    <x v="0"/>
    <x v="0"/>
    <x v="0"/>
    <n v="0"/>
    <n v="0"/>
    <n v="0"/>
    <n v="0"/>
    <n v="0"/>
    <n v="0"/>
    <n v="0"/>
    <n v="0"/>
    <n v="0"/>
    <x v="82"/>
  </r>
  <r>
    <x v="20"/>
    <x v="27"/>
    <x v="25"/>
    <x v="27"/>
    <x v="20"/>
    <n v="28"/>
    <x v="14"/>
    <n v="25"/>
    <s v="AK"/>
    <x v="10"/>
    <x v="10"/>
    <x v="10"/>
    <x v="10"/>
    <x v="14"/>
    <n v="60"/>
    <n v="0"/>
    <x v="11"/>
    <n v="60"/>
    <x v="0"/>
    <n v="0"/>
    <s v="offensive"/>
    <n v="0"/>
    <n v="0"/>
    <n v="1"/>
    <n v="0"/>
    <n v="30"/>
    <n v="0"/>
    <n v="0"/>
    <n v="0"/>
    <x v="22"/>
    <n v="0"/>
    <n v="8"/>
    <n v="54"/>
    <n v="230"/>
    <n v="62"/>
    <n v="36620"/>
    <n v="8"/>
    <n v="0"/>
    <s v="04-04-00"/>
    <n v="25"/>
    <n v="22"/>
    <x v="0"/>
    <x v="6"/>
    <n v="3"/>
    <x v="0"/>
    <n v="2"/>
    <n v="1"/>
    <x v="0"/>
    <s v="Brittany Lee"/>
    <x v="27"/>
    <x v="11"/>
    <x v="3"/>
    <n v="2"/>
    <n v="0"/>
    <n v="0"/>
    <n v="0"/>
    <x v="1"/>
    <x v="1"/>
    <x v="1"/>
    <x v="1"/>
    <x v="1"/>
    <n v="0"/>
    <n v="0"/>
    <n v="0"/>
    <x v="0"/>
    <x v="0"/>
    <x v="0"/>
    <n v="0"/>
    <n v="0"/>
    <n v="0"/>
    <n v="0"/>
    <n v="30"/>
    <n v="30"/>
    <n v="80"/>
    <n v="0"/>
    <n v="0"/>
    <x v="83"/>
  </r>
  <r>
    <x v="5"/>
    <x v="7"/>
    <x v="7"/>
    <x v="7"/>
    <x v="5"/>
    <n v="14"/>
    <x v="6"/>
    <n v="21"/>
    <s v="AK"/>
    <x v="7"/>
    <x v="7"/>
    <x v="7"/>
    <x v="7"/>
    <x v="5"/>
    <n v="2"/>
    <n v="0"/>
    <x v="11"/>
    <n v="0"/>
    <x v="0"/>
    <n v="2"/>
    <s v="offensive"/>
    <n v="0"/>
    <n v="0"/>
    <n v="0"/>
    <n v="0"/>
    <n v="0"/>
    <n v="0"/>
    <n v="0"/>
    <n v="0"/>
    <x v="5"/>
    <n v="0"/>
    <n v="8"/>
    <n v="102"/>
    <n v="90"/>
    <n v="94"/>
    <n v="36620"/>
    <n v="8"/>
    <n v="0"/>
    <s v="04-04-00"/>
    <n v="20"/>
    <n v="14"/>
    <x v="0"/>
    <x v="2"/>
    <n v="3"/>
    <x v="0"/>
    <n v="2"/>
    <n v="1"/>
    <x v="0"/>
    <s v="Brittany Lee"/>
    <x v="7"/>
    <x v="14"/>
    <x v="3"/>
    <n v="3"/>
    <n v="0"/>
    <n v="0"/>
    <n v="6"/>
    <x v="1"/>
    <x v="0"/>
    <x v="1"/>
    <x v="0"/>
    <x v="1"/>
    <n v="0"/>
    <n v="11"/>
    <n v="0"/>
    <x v="1"/>
    <x v="0"/>
    <x v="0"/>
    <n v="0"/>
    <n v="0"/>
    <n v="0"/>
    <n v="0"/>
    <n v="0"/>
    <n v="0"/>
    <n v="0"/>
    <n v="0"/>
    <n v="0"/>
    <x v="84"/>
  </r>
  <r>
    <x v="13"/>
    <x v="15"/>
    <x v="14"/>
    <x v="15"/>
    <x v="13"/>
    <n v="28"/>
    <x v="10"/>
    <n v="1"/>
    <s v="A"/>
    <x v="7"/>
    <x v="7"/>
    <x v="7"/>
    <x v="7"/>
    <x v="10"/>
    <n v="34"/>
    <n v="0"/>
    <x v="37"/>
    <n v="0"/>
    <x v="0"/>
    <n v="0"/>
    <s v="offensive"/>
    <n v="0"/>
    <n v="1"/>
    <n v="0"/>
    <n v="0"/>
    <n v="0"/>
    <n v="17"/>
    <n v="17"/>
    <n v="0"/>
    <x v="5"/>
    <n v="0"/>
    <n v="6"/>
    <n v="94"/>
    <n v="70"/>
    <n v="99"/>
    <n v="36590"/>
    <n v="8"/>
    <n v="0"/>
    <s v="03-05-00"/>
    <n v="30"/>
    <n v="23"/>
    <x v="1"/>
    <x v="1"/>
    <n v="3"/>
    <x v="0"/>
    <n v="2"/>
    <n v="1"/>
    <x v="0"/>
    <s v="Nikhil Thota"/>
    <x v="15"/>
    <x v="15"/>
    <x v="3"/>
    <n v="2"/>
    <n v="0"/>
    <n v="0"/>
    <n v="4"/>
    <x v="7"/>
    <x v="1"/>
    <x v="1"/>
    <x v="0"/>
    <x v="0"/>
    <n v="17"/>
    <n v="0"/>
    <n v="1"/>
    <x v="0"/>
    <x v="0"/>
    <x v="0"/>
    <n v="0"/>
    <n v="0"/>
    <n v="0"/>
    <n v="0"/>
    <n v="0"/>
    <n v="0"/>
    <n v="0"/>
    <n v="0"/>
    <n v="0"/>
    <x v="85"/>
  </r>
  <r>
    <x v="11"/>
    <x v="13"/>
    <x v="12"/>
    <x v="13"/>
    <x v="11"/>
    <n v="3"/>
    <x v="7"/>
    <n v="18"/>
    <s v="AKI"/>
    <x v="11"/>
    <x v="11"/>
    <x v="11"/>
    <x v="11"/>
    <x v="2"/>
    <n v="124.64864864864865"/>
    <n v="54"/>
    <x v="38"/>
    <n v="20"/>
    <x v="0"/>
    <n v="2"/>
    <s v="offensive"/>
    <n v="1"/>
    <n v="0.81081081081081086"/>
    <n v="1"/>
    <n v="0"/>
    <n v="10"/>
    <n v="48"/>
    <n v="48"/>
    <n v="0"/>
    <x v="9"/>
    <n v="0"/>
    <n v="12"/>
    <n v="186"/>
    <n v="150"/>
    <n v="379"/>
    <n v="36680"/>
    <n v="9"/>
    <n v="0"/>
    <s v="06-03-00"/>
    <n v="4"/>
    <n v="4"/>
    <x v="0"/>
    <x v="5"/>
    <n v="3"/>
    <x v="0"/>
    <n v="2"/>
    <n v="1"/>
    <x v="0"/>
    <s v="Nikhil Thota"/>
    <x v="13"/>
    <x v="16"/>
    <x v="3"/>
    <n v="3"/>
    <n v="0"/>
    <n v="18"/>
    <n v="0"/>
    <x v="6"/>
    <x v="1"/>
    <x v="1"/>
    <x v="0"/>
    <x v="1"/>
    <n v="30"/>
    <n v="7"/>
    <n v="3"/>
    <x v="0"/>
    <x v="0"/>
    <x v="0"/>
    <n v="0"/>
    <n v="0"/>
    <n v="0"/>
    <n v="0"/>
    <n v="10"/>
    <n v="10"/>
    <n v="5"/>
    <n v="0"/>
    <n v="0"/>
    <x v="86"/>
  </r>
  <r>
    <x v="4"/>
    <x v="6"/>
    <x v="6"/>
    <x v="6"/>
    <x v="4"/>
    <n v="13"/>
    <x v="5"/>
    <n v="24"/>
    <s v="AI"/>
    <x v="6"/>
    <x v="6"/>
    <x v="6"/>
    <x v="6"/>
    <x v="4"/>
    <n v="0"/>
    <n v="0"/>
    <x v="11"/>
    <n v="0"/>
    <x v="0"/>
    <n v="0"/>
    <s v="offensive"/>
    <n v="0"/>
    <n v="0"/>
    <n v="0"/>
    <n v="0"/>
    <n v="0"/>
    <n v="0"/>
    <n v="0"/>
    <n v="0"/>
    <x v="4"/>
    <n v="0"/>
    <n v="4"/>
    <n v="112"/>
    <n v="90"/>
    <n v="106"/>
    <n v="36562"/>
    <n v="8"/>
    <n v="0"/>
    <s v="02-06-00"/>
    <n v="35"/>
    <n v="15"/>
    <x v="1"/>
    <x v="1"/>
    <n v="3"/>
    <x v="0"/>
    <n v="2"/>
    <n v="1"/>
    <x v="0"/>
    <s v="Rishab Arora"/>
    <x v="6"/>
    <x v="9"/>
    <x v="3"/>
    <n v="1"/>
    <n v="0"/>
    <n v="0"/>
    <n v="0"/>
    <x v="3"/>
    <x v="1"/>
    <x v="1"/>
    <x v="0"/>
    <x v="0"/>
    <n v="0"/>
    <n v="0"/>
    <n v="1"/>
    <x v="0"/>
    <x v="0"/>
    <x v="0"/>
    <n v="0"/>
    <n v="0"/>
    <n v="0"/>
    <n v="0"/>
    <n v="0"/>
    <n v="0"/>
    <n v="30"/>
    <n v="0"/>
    <n v="0"/>
    <x v="16"/>
  </r>
  <r>
    <x v="0"/>
    <x v="0"/>
    <x v="0"/>
    <x v="0"/>
    <x v="0"/>
    <n v="4"/>
    <x v="0"/>
    <n v="25"/>
    <s v="AKI"/>
    <x v="0"/>
    <x v="0"/>
    <x v="0"/>
    <x v="0"/>
    <x v="0"/>
    <n v="69.727999999999994"/>
    <n v="18"/>
    <x v="26"/>
    <n v="20"/>
    <x v="24"/>
    <n v="0"/>
    <s v="offensive"/>
    <n v="1"/>
    <n v="1"/>
    <n v="1"/>
    <n v="0.6"/>
    <n v="10"/>
    <n v="23.88"/>
    <n v="21"/>
    <n v="2.88"/>
    <x v="0"/>
    <n v="0"/>
    <n v="10"/>
    <n v="178"/>
    <n v="80"/>
    <n v="213"/>
    <n v="36649"/>
    <n v="8"/>
    <n v="0"/>
    <s v="05-03-00"/>
    <n v="11"/>
    <n v="6.5"/>
    <x v="0"/>
    <x v="0"/>
    <n v="3"/>
    <x v="0"/>
    <n v="2"/>
    <n v="1"/>
    <x v="0"/>
    <s v="LukeMorrical"/>
    <x v="0"/>
    <x v="0"/>
    <x v="3"/>
    <n v="3"/>
    <n v="0"/>
    <n v="6"/>
    <n v="0"/>
    <x v="0"/>
    <x v="0"/>
    <x v="1"/>
    <x v="0"/>
    <x v="0"/>
    <n v="15"/>
    <n v="0"/>
    <n v="2"/>
    <x v="1"/>
    <x v="0"/>
    <x v="1"/>
    <n v="0"/>
    <n v="12"/>
    <n v="0"/>
    <n v="0"/>
    <n v="10"/>
    <n v="10"/>
    <n v="6"/>
    <n v="0"/>
    <n v="0"/>
    <x v="87"/>
  </r>
  <r>
    <x v="2"/>
    <x v="32"/>
    <x v="21"/>
    <x v="31"/>
    <x v="2"/>
    <n v="28"/>
    <x v="3"/>
    <n v="8"/>
    <s v="AKI"/>
    <x v="3"/>
    <x v="3"/>
    <x v="3"/>
    <x v="3"/>
    <x v="16"/>
    <n v="13.513333333333332"/>
    <n v="0"/>
    <x v="39"/>
    <n v="0"/>
    <x v="25"/>
    <n v="0"/>
    <s v="offensive"/>
    <n v="0"/>
    <n v="0.66666666666666663"/>
    <n v="0"/>
    <n v="0.3"/>
    <n v="0"/>
    <n v="10.6"/>
    <n v="10"/>
    <n v="0.6"/>
    <x v="1"/>
    <n v="0"/>
    <n v="4"/>
    <n v="24"/>
    <n v="80"/>
    <n v="88"/>
    <n v="36562"/>
    <n v="8"/>
    <n v="0"/>
    <s v="02-06-00"/>
    <n v="37"/>
    <s v="DNP"/>
    <x v="1"/>
    <x v="1"/>
    <n v="3"/>
    <x v="0"/>
    <n v="2"/>
    <n v="1"/>
    <x v="0"/>
    <s v="LukeMorrical"/>
    <x v="32"/>
    <x v="3"/>
    <x v="3"/>
    <n v="3"/>
    <n v="0"/>
    <n v="0"/>
    <n v="0"/>
    <x v="7"/>
    <x v="0"/>
    <x v="1"/>
    <x v="0"/>
    <x v="1"/>
    <n v="10"/>
    <n v="5"/>
    <n v="1"/>
    <x v="0"/>
    <x v="0"/>
    <x v="3"/>
    <n v="0"/>
    <n v="5"/>
    <n v="0"/>
    <n v="0"/>
    <n v="0"/>
    <n v="0"/>
    <n v="0"/>
    <n v="0"/>
    <n v="0"/>
    <x v="88"/>
  </r>
  <r>
    <x v="2"/>
    <x v="33"/>
    <x v="21"/>
    <x v="32"/>
    <x v="2"/>
    <n v="28"/>
    <x v="3"/>
    <n v="14"/>
    <s v="AK"/>
    <x v="2"/>
    <x v="2"/>
    <x v="2"/>
    <x v="2"/>
    <x v="17"/>
    <n v="0"/>
    <n v="0"/>
    <x v="11"/>
    <n v="0"/>
    <x v="0"/>
    <n v="0"/>
    <s v="offensive"/>
    <n v="0"/>
    <n v="0"/>
    <n v="0"/>
    <n v="0"/>
    <n v="0"/>
    <n v="0"/>
    <n v="0"/>
    <n v="0"/>
    <x v="1"/>
    <n v="0"/>
    <n v="6"/>
    <n v="84"/>
    <n v="90"/>
    <n v="144"/>
    <n v="36591"/>
    <n v="9"/>
    <n v="0"/>
    <s v="03-06-00"/>
    <n v="31"/>
    <s v="DNP"/>
    <x v="1"/>
    <x v="1"/>
    <n v="3"/>
    <x v="0"/>
    <n v="2"/>
    <n v="1"/>
    <x v="0"/>
    <s v="LukeMorrical"/>
    <x v="33"/>
    <x v="1"/>
    <x v="3"/>
    <n v="0"/>
    <n v="0"/>
    <n v="0"/>
    <n v="0"/>
    <x v="1"/>
    <x v="1"/>
    <x v="1"/>
    <x v="1"/>
    <x v="1"/>
    <n v="0"/>
    <n v="0"/>
    <n v="0"/>
    <x v="0"/>
    <x v="0"/>
    <x v="0"/>
    <n v="0"/>
    <n v="0"/>
    <n v="0"/>
    <n v="0"/>
    <n v="0"/>
    <n v="0"/>
    <n v="0"/>
    <n v="0"/>
    <n v="0"/>
    <x v="89"/>
  </r>
  <r>
    <x v="9"/>
    <x v="11"/>
    <x v="10"/>
    <x v="11"/>
    <x v="9"/>
    <n v="9"/>
    <x v="3"/>
    <n v="25"/>
    <s v="AKI"/>
    <x v="2"/>
    <x v="2"/>
    <x v="2"/>
    <x v="2"/>
    <x v="8"/>
    <n v="33.463999999999999"/>
    <n v="9"/>
    <x v="40"/>
    <n v="0"/>
    <x v="26"/>
    <n v="2"/>
    <s v="offensive"/>
    <n v="0.5"/>
    <n v="0.6"/>
    <n v="0"/>
    <n v="0.6"/>
    <n v="0"/>
    <n v="25.44"/>
    <n v="24"/>
    <n v="1.44"/>
    <x v="7"/>
    <n v="0"/>
    <n v="6"/>
    <n v="106"/>
    <n v="70"/>
    <n v="201"/>
    <n v="36590"/>
    <n v="8"/>
    <n v="0"/>
    <s v="03-05-00"/>
    <n v="27"/>
    <n v="8"/>
    <x v="0"/>
    <x v="4"/>
    <n v="3"/>
    <x v="0"/>
    <n v="2"/>
    <n v="1"/>
    <x v="0"/>
    <s v="LukeMorrical"/>
    <x v="11"/>
    <x v="2"/>
    <x v="3"/>
    <n v="3"/>
    <n v="0"/>
    <n v="6"/>
    <n v="6"/>
    <x v="12"/>
    <x v="0"/>
    <x v="1"/>
    <x v="0"/>
    <x v="1"/>
    <n v="18"/>
    <n v="12"/>
    <n v="3"/>
    <x v="0"/>
    <x v="0"/>
    <x v="1"/>
    <n v="0"/>
    <n v="6"/>
    <n v="0"/>
    <n v="0"/>
    <n v="0"/>
    <n v="0"/>
    <n v="0"/>
    <n v="0"/>
    <n v="0"/>
    <x v="90"/>
  </r>
  <r>
    <x v="12"/>
    <x v="14"/>
    <x v="13"/>
    <x v="14"/>
    <x v="12"/>
    <n v="5"/>
    <x v="9"/>
    <n v="22"/>
    <s v="AKI"/>
    <x v="9"/>
    <x v="9"/>
    <x v="9"/>
    <x v="9"/>
    <x v="2"/>
    <n v="134"/>
    <n v="54"/>
    <x v="4"/>
    <n v="20"/>
    <x v="0"/>
    <n v="0"/>
    <s v="offensive"/>
    <n v="1"/>
    <n v="1"/>
    <n v="1"/>
    <n v="0"/>
    <n v="10"/>
    <n v="48"/>
    <n v="48"/>
    <n v="0"/>
    <x v="10"/>
    <n v="0"/>
    <n v="14"/>
    <n v="266"/>
    <n v="140"/>
    <n v="284"/>
    <n v="36709"/>
    <n v="9"/>
    <n v="0"/>
    <s v="07-02-00"/>
    <n v="2"/>
    <n v="3"/>
    <x v="1"/>
    <x v="1"/>
    <n v="3"/>
    <x v="0"/>
    <n v="2"/>
    <n v="1"/>
    <x v="0"/>
    <s v="LukeMorrical"/>
    <x v="14"/>
    <x v="6"/>
    <x v="3"/>
    <n v="3"/>
    <n v="0"/>
    <n v="18"/>
    <n v="0"/>
    <x v="9"/>
    <x v="0"/>
    <x v="1"/>
    <x v="0"/>
    <x v="1"/>
    <n v="30"/>
    <n v="0"/>
    <n v="0"/>
    <x v="0"/>
    <x v="0"/>
    <x v="0"/>
    <n v="0"/>
    <n v="0"/>
    <n v="0"/>
    <n v="0"/>
    <n v="10"/>
    <n v="10"/>
    <n v="7"/>
    <n v="0"/>
    <n v="0"/>
    <x v="91"/>
  </r>
  <r>
    <x v="2"/>
    <x v="3"/>
    <x v="3"/>
    <x v="3"/>
    <x v="2"/>
    <n v="19"/>
    <x v="3"/>
    <n v="12"/>
    <s v="AKI"/>
    <x v="3"/>
    <x v="3"/>
    <x v="3"/>
    <x v="3"/>
    <x v="2"/>
    <n v="3.1440000000000001"/>
    <n v="0"/>
    <x v="22"/>
    <n v="0"/>
    <x v="14"/>
    <n v="0"/>
    <s v="offensive"/>
    <n v="0"/>
    <n v="0.5"/>
    <n v="0"/>
    <n v="0.3"/>
    <n v="0"/>
    <n v="3.48"/>
    <n v="3"/>
    <n v="0.47999999999999993"/>
    <x v="2"/>
    <n v="0"/>
    <n v="6"/>
    <n v="66"/>
    <n v="70"/>
    <n v="129"/>
    <n v="36590"/>
    <n v="8"/>
    <n v="0"/>
    <s v="03-05-00"/>
    <n v="32"/>
    <s v="DNP"/>
    <x v="1"/>
    <x v="1"/>
    <n v="3"/>
    <x v="0"/>
    <n v="2"/>
    <n v="1"/>
    <x v="0"/>
    <s v="LukeMorrical"/>
    <x v="3"/>
    <x v="5"/>
    <x v="3"/>
    <n v="0"/>
    <n v="0"/>
    <n v="0"/>
    <n v="0"/>
    <x v="3"/>
    <x v="0"/>
    <x v="1"/>
    <x v="0"/>
    <x v="1"/>
    <n v="3"/>
    <n v="3"/>
    <n v="2"/>
    <x v="0"/>
    <x v="0"/>
    <x v="3"/>
    <n v="0"/>
    <n v="4"/>
    <n v="0"/>
    <n v="0"/>
    <n v="0"/>
    <n v="0"/>
    <n v="0"/>
    <n v="0"/>
    <n v="0"/>
    <x v="92"/>
  </r>
  <r>
    <x v="2"/>
    <x v="33"/>
    <x v="21"/>
    <x v="32"/>
    <x v="2"/>
    <n v="28"/>
    <x v="3"/>
    <n v="14"/>
    <s v="AK"/>
    <x v="2"/>
    <x v="2"/>
    <x v="2"/>
    <x v="2"/>
    <x v="17"/>
    <n v="9.36"/>
    <n v="0"/>
    <x v="11"/>
    <n v="0"/>
    <x v="27"/>
    <n v="0"/>
    <s v="defensive"/>
    <n v="0"/>
    <n v="0"/>
    <n v="0"/>
    <n v="0.6"/>
    <n v="0"/>
    <n v="15.6"/>
    <n v="0"/>
    <n v="15.6"/>
    <x v="1"/>
    <n v="0"/>
    <n v="6"/>
    <n v="84"/>
    <n v="90"/>
    <n v="144"/>
    <n v="36591"/>
    <n v="9"/>
    <n v="0"/>
    <s v="03-06-00"/>
    <n v="31"/>
    <s v="DNP"/>
    <x v="1"/>
    <x v="1"/>
    <n v="3"/>
    <x v="0"/>
    <n v="2"/>
    <n v="1"/>
    <x v="0"/>
    <s v="LukeMorrical"/>
    <x v="33"/>
    <x v="12"/>
    <x v="3"/>
    <n v="0"/>
    <n v="0"/>
    <n v="0"/>
    <n v="0"/>
    <x v="9"/>
    <x v="1"/>
    <x v="1"/>
    <x v="1"/>
    <x v="1"/>
    <n v="0"/>
    <n v="0"/>
    <n v="1"/>
    <x v="0"/>
    <x v="0"/>
    <x v="1"/>
    <n v="0"/>
    <n v="65"/>
    <n v="0"/>
    <n v="0"/>
    <n v="0"/>
    <n v="0"/>
    <n v="0"/>
    <n v="0"/>
    <n v="0"/>
    <x v="93"/>
  </r>
  <r>
    <x v="1"/>
    <x v="1"/>
    <x v="1"/>
    <x v="1"/>
    <x v="1"/>
    <n v="8"/>
    <x v="1"/>
    <n v="13"/>
    <s v="AKI"/>
    <x v="1"/>
    <x v="1"/>
    <x v="1"/>
    <x v="1"/>
    <x v="1"/>
    <n v="32"/>
    <n v="0"/>
    <x v="3"/>
    <n v="20"/>
    <x v="0"/>
    <n v="0"/>
    <s v="offensive"/>
    <n v="0"/>
    <n v="1"/>
    <n v="1"/>
    <n v="0"/>
    <n v="10"/>
    <n v="6"/>
    <n v="6"/>
    <n v="0"/>
    <x v="0"/>
    <n v="0"/>
    <n v="5"/>
    <n v="118"/>
    <n v="120"/>
    <n v="179"/>
    <n v="36927"/>
    <n v="8"/>
    <n v="0"/>
    <s v="02-05-01"/>
    <n v="34"/>
    <n v="12"/>
    <x v="1"/>
    <x v="1"/>
    <n v="3"/>
    <x v="0"/>
    <n v="2"/>
    <n v="1"/>
    <x v="0"/>
    <s v="Rishab Arora"/>
    <x v="1"/>
    <x v="9"/>
    <x v="3"/>
    <n v="2"/>
    <n v="0"/>
    <n v="0"/>
    <n v="6"/>
    <x v="9"/>
    <x v="1"/>
    <x v="1"/>
    <x v="0"/>
    <x v="1"/>
    <n v="6"/>
    <n v="0"/>
    <n v="2"/>
    <x v="0"/>
    <x v="0"/>
    <x v="0"/>
    <n v="0"/>
    <n v="7"/>
    <n v="0"/>
    <n v="0"/>
    <n v="10"/>
    <n v="10"/>
    <n v="5"/>
    <n v="0"/>
    <n v="0"/>
    <x v="94"/>
  </r>
  <r>
    <x v="2"/>
    <x v="25"/>
    <x v="23"/>
    <x v="25"/>
    <x v="2"/>
    <n v="24"/>
    <x v="3"/>
    <n v="10"/>
    <s v="AKI"/>
    <x v="16"/>
    <x v="16"/>
    <x v="16"/>
    <x v="16"/>
    <x v="2"/>
    <n v="15.528"/>
    <n v="0"/>
    <x v="11"/>
    <n v="0"/>
    <x v="28"/>
    <n v="0"/>
    <s v="defensive"/>
    <n v="0"/>
    <n v="0"/>
    <n v="0"/>
    <n v="0.6"/>
    <n v="0"/>
    <n v="25.880000000000003"/>
    <n v="0"/>
    <n v="25.880000000000003"/>
    <x v="20"/>
    <n v="0"/>
    <n v="6"/>
    <n v="94"/>
    <n v="70"/>
    <n v="182"/>
    <n v="36590"/>
    <n v="8"/>
    <n v="0"/>
    <s v="03-05-00"/>
    <n v="29"/>
    <s v="DNP"/>
    <x v="1"/>
    <x v="1"/>
    <n v="3"/>
    <x v="0"/>
    <n v="2"/>
    <n v="1"/>
    <x v="0"/>
    <s v="Tim D"/>
    <x v="25"/>
    <x v="4"/>
    <x v="3"/>
    <n v="0"/>
    <n v="0"/>
    <n v="0"/>
    <n v="0"/>
    <x v="1"/>
    <x v="0"/>
    <x v="1"/>
    <x v="0"/>
    <x v="1"/>
    <n v="0"/>
    <n v="1"/>
    <n v="1"/>
    <x v="0"/>
    <x v="0"/>
    <x v="1"/>
    <n v="0"/>
    <n v="112"/>
    <n v="0"/>
    <n v="0"/>
    <n v="0"/>
    <n v="0"/>
    <n v="0"/>
    <n v="1"/>
    <n v="0"/>
    <x v="95"/>
  </r>
  <r>
    <x v="22"/>
    <x v="30"/>
    <x v="26"/>
    <x v="29"/>
    <x v="21"/>
    <n v="7"/>
    <x v="15"/>
    <n v="25"/>
    <s v="AKI"/>
    <x v="18"/>
    <x v="18"/>
    <x v="18"/>
    <x v="18"/>
    <x v="10"/>
    <n v="100.18181818181819"/>
    <n v="36"/>
    <x v="10"/>
    <n v="20"/>
    <x v="0"/>
    <n v="0"/>
    <s v="offensive"/>
    <n v="1"/>
    <n v="0.81818181818181823"/>
    <n v="1"/>
    <n v="0"/>
    <n v="10"/>
    <n v="39"/>
    <n v="39"/>
    <n v="0"/>
    <x v="25"/>
    <n v="0"/>
    <n v="8"/>
    <n v="160"/>
    <n v="140"/>
    <n v="237"/>
    <n v="36620"/>
    <n v="8"/>
    <n v="0"/>
    <s v="04-04-00"/>
    <n v="18"/>
    <n v="5"/>
    <x v="1"/>
    <x v="1"/>
    <n v="3"/>
    <x v="0"/>
    <n v="2"/>
    <n v="1"/>
    <x v="0"/>
    <s v="sanjay"/>
    <x v="30"/>
    <x v="7"/>
    <x v="3"/>
    <n v="0"/>
    <n v="0"/>
    <n v="12"/>
    <n v="0"/>
    <x v="1"/>
    <x v="1"/>
    <x v="1"/>
    <x v="1"/>
    <x v="1"/>
    <n v="27"/>
    <n v="6"/>
    <n v="0"/>
    <x v="0"/>
    <x v="0"/>
    <x v="0"/>
    <n v="0"/>
    <n v="0"/>
    <n v="0"/>
    <n v="0"/>
    <n v="10"/>
    <n v="10"/>
    <n v="11"/>
    <n v="0"/>
    <n v="0"/>
    <x v="75"/>
  </r>
  <r>
    <x v="21"/>
    <x v="28"/>
    <x v="21"/>
    <x v="19"/>
    <x v="2"/>
    <n v="28"/>
    <x v="3"/>
    <n v="2"/>
    <s v="A"/>
    <x v="2"/>
    <x v="2"/>
    <x v="2"/>
    <x v="2"/>
    <x v="2"/>
    <n v="36.396000000000001"/>
    <n v="36"/>
    <x v="11"/>
    <n v="0"/>
    <x v="29"/>
    <n v="0"/>
    <s v="offensive"/>
    <n v="1"/>
    <n v="0"/>
    <n v="0"/>
    <n v="0.3"/>
    <n v="0"/>
    <n v="13.32"/>
    <n v="12"/>
    <n v="1.3199999999999998"/>
    <x v="23"/>
    <n v="0"/>
    <n v="8"/>
    <n v="58"/>
    <n v="30"/>
    <n v="138"/>
    <n v="36620"/>
    <n v="8"/>
    <n v="0"/>
    <s v="04-04-00"/>
    <n v="24"/>
    <n v="24"/>
    <x v="1"/>
    <x v="1"/>
    <n v="3"/>
    <x v="0"/>
    <n v="2"/>
    <n v="1"/>
    <x v="0"/>
    <s v="sanjay"/>
    <x v="28"/>
    <x v="10"/>
    <x v="3"/>
    <n v="0"/>
    <n v="0"/>
    <n v="12"/>
    <n v="0"/>
    <x v="1"/>
    <x v="1"/>
    <x v="1"/>
    <x v="1"/>
    <x v="1"/>
    <n v="0"/>
    <n v="0"/>
    <n v="0"/>
    <x v="0"/>
    <x v="0"/>
    <x v="3"/>
    <n v="0"/>
    <n v="11"/>
    <n v="0"/>
    <n v="0"/>
    <n v="0"/>
    <n v="0"/>
    <n v="0"/>
    <n v="0"/>
    <n v="0"/>
    <x v="96"/>
  </r>
  <r>
    <x v="17"/>
    <x v="22"/>
    <x v="20"/>
    <x v="22"/>
    <x v="17"/>
    <n v="28"/>
    <x v="6"/>
    <n v="17"/>
    <s v="AK"/>
    <x v="15"/>
    <x v="15"/>
    <x v="15"/>
    <x v="15"/>
    <x v="13"/>
    <n v="20"/>
    <n v="0"/>
    <x v="11"/>
    <n v="20"/>
    <x v="0"/>
    <n v="0"/>
    <s v="offensive"/>
    <n v="0"/>
    <n v="0"/>
    <n v="1"/>
    <n v="0"/>
    <n v="10"/>
    <n v="0"/>
    <n v="0"/>
    <n v="0"/>
    <x v="17"/>
    <n v="0"/>
    <n v="8"/>
    <n v="82"/>
    <n v="180"/>
    <n v="228"/>
    <n v="36621"/>
    <n v="9"/>
    <n v="0"/>
    <s v="04-05-00"/>
    <n v="22"/>
    <n v="25"/>
    <x v="1"/>
    <x v="1"/>
    <n v="3"/>
    <x v="0"/>
    <n v="2"/>
    <n v="1"/>
    <x v="0"/>
    <s v="Clayton"/>
    <x v="22"/>
    <x v="11"/>
    <x v="3"/>
    <n v="2"/>
    <n v="0"/>
    <n v="0"/>
    <n v="4"/>
    <x v="1"/>
    <x v="0"/>
    <x v="1"/>
    <x v="0"/>
    <x v="1"/>
    <n v="0"/>
    <n v="9"/>
    <n v="2"/>
    <x v="0"/>
    <x v="0"/>
    <x v="0"/>
    <n v="0"/>
    <n v="0"/>
    <n v="0"/>
    <n v="0"/>
    <n v="10"/>
    <n v="10"/>
    <n v="3"/>
    <n v="0"/>
    <n v="0"/>
    <x v="97"/>
  </r>
  <r>
    <x v="2"/>
    <x v="38"/>
    <x v="14"/>
    <x v="37"/>
    <x v="2"/>
    <n v="17"/>
    <x v="3"/>
    <n v="23"/>
    <s v="AKD"/>
    <x v="13"/>
    <x v="13"/>
    <x v="13"/>
    <x v="13"/>
    <x v="18"/>
    <n v="1.728"/>
    <n v="0"/>
    <x v="11"/>
    <n v="0"/>
    <x v="24"/>
    <n v="0"/>
    <s v="offensive"/>
    <n v="0"/>
    <n v="0"/>
    <n v="0"/>
    <n v="0.6"/>
    <n v="0"/>
    <n v="2.88"/>
    <n v="0"/>
    <n v="2.88"/>
    <x v="29"/>
    <n v="1"/>
    <n v="3"/>
    <n v="74"/>
    <n v="50"/>
    <n v="162"/>
    <n v="36897"/>
    <n v="8"/>
    <n v="0"/>
    <s v="01-06-01"/>
    <n v="39"/>
    <s v="DNP"/>
    <x v="1"/>
    <x v="1"/>
    <n v="3"/>
    <x v="0"/>
    <n v="2"/>
    <n v="1"/>
    <x v="0"/>
    <s v="Clayton"/>
    <x v="38"/>
    <x v="14"/>
    <x v="3"/>
    <n v="0"/>
    <n v="0"/>
    <n v="0"/>
    <n v="0"/>
    <x v="1"/>
    <x v="1"/>
    <x v="1"/>
    <x v="0"/>
    <x v="1"/>
    <n v="0"/>
    <n v="0"/>
    <n v="1"/>
    <x v="0"/>
    <x v="0"/>
    <x v="1"/>
    <n v="0"/>
    <n v="12"/>
    <n v="0"/>
    <n v="0"/>
    <n v="0"/>
    <n v="0"/>
    <n v="0"/>
    <n v="0"/>
    <n v="0"/>
    <x v="98"/>
  </r>
  <r>
    <x v="2"/>
    <x v="25"/>
    <x v="23"/>
    <x v="25"/>
    <x v="2"/>
    <n v="24"/>
    <x v="3"/>
    <n v="10"/>
    <s v="AKI"/>
    <x v="16"/>
    <x v="16"/>
    <x v="16"/>
    <x v="16"/>
    <x v="2"/>
    <n v="0"/>
    <n v="0"/>
    <x v="11"/>
    <n v="0"/>
    <x v="0"/>
    <n v="0"/>
    <s v="offensive"/>
    <n v="0"/>
    <n v="0"/>
    <n v="0"/>
    <n v="0"/>
    <n v="0"/>
    <n v="0"/>
    <n v="0"/>
    <n v="0"/>
    <x v="20"/>
    <n v="0"/>
    <n v="6"/>
    <n v="94"/>
    <n v="70"/>
    <n v="182"/>
    <n v="36590"/>
    <n v="8"/>
    <n v="0"/>
    <s v="03-05-00"/>
    <n v="29"/>
    <s v="DNP"/>
    <x v="1"/>
    <x v="1"/>
    <n v="3"/>
    <x v="0"/>
    <n v="2"/>
    <n v="1"/>
    <x v="0"/>
    <s v="Clayton"/>
    <x v="25"/>
    <x v="15"/>
    <x v="3"/>
    <n v="0"/>
    <n v="0"/>
    <n v="0"/>
    <n v="0"/>
    <x v="1"/>
    <x v="1"/>
    <x v="1"/>
    <x v="0"/>
    <x v="1"/>
    <n v="0"/>
    <n v="2"/>
    <n v="1"/>
    <x v="0"/>
    <x v="0"/>
    <x v="0"/>
    <n v="0"/>
    <n v="0"/>
    <n v="0"/>
    <n v="0"/>
    <n v="0"/>
    <n v="0"/>
    <n v="0"/>
    <n v="0"/>
    <n v="0"/>
    <x v="99"/>
  </r>
  <r>
    <x v="2"/>
    <x v="20"/>
    <x v="14"/>
    <x v="20"/>
    <x v="13"/>
    <n v="28"/>
    <x v="3"/>
    <n v="25"/>
    <s v="AID"/>
    <x v="1"/>
    <x v="1"/>
    <x v="1"/>
    <x v="1"/>
    <x v="2"/>
    <n v="0.18"/>
    <n v="0"/>
    <x v="11"/>
    <n v="0"/>
    <x v="25"/>
    <n v="0"/>
    <s v="offensive"/>
    <n v="0"/>
    <n v="0"/>
    <n v="0"/>
    <n v="0.3"/>
    <n v="0"/>
    <n v="0.6"/>
    <n v="0"/>
    <n v="0.6"/>
    <x v="15"/>
    <n v="0"/>
    <n v="10"/>
    <n v="64"/>
    <n v="70"/>
    <n v="87"/>
    <n v="36649"/>
    <n v="8"/>
    <n v="0"/>
    <s v="05-03-00"/>
    <n v="16"/>
    <s v="DNP"/>
    <x v="1"/>
    <x v="1"/>
    <n v="3"/>
    <x v="0"/>
    <n v="2"/>
    <n v="1"/>
    <x v="0"/>
    <s v="Clayton"/>
    <x v="20"/>
    <x v="16"/>
    <x v="3"/>
    <n v="0"/>
    <n v="0"/>
    <n v="0"/>
    <n v="0"/>
    <x v="1"/>
    <x v="1"/>
    <x v="1"/>
    <x v="0"/>
    <x v="1"/>
    <n v="0"/>
    <n v="0"/>
    <n v="1"/>
    <x v="0"/>
    <x v="0"/>
    <x v="3"/>
    <n v="0"/>
    <n v="5"/>
    <n v="0"/>
    <n v="0"/>
    <n v="0"/>
    <n v="0"/>
    <n v="0"/>
    <n v="0"/>
    <n v="0"/>
    <x v="100"/>
  </r>
  <r>
    <x v="2"/>
    <x v="37"/>
    <x v="21"/>
    <x v="36"/>
    <x v="2"/>
    <n v="28"/>
    <x v="3"/>
    <n v="6"/>
    <s v="AK"/>
    <x v="21"/>
    <x v="21"/>
    <x v="21"/>
    <x v="21"/>
    <x v="2"/>
    <n v="0"/>
    <n v="0"/>
    <x v="11"/>
    <n v="0"/>
    <x v="0"/>
    <n v="0"/>
    <s v="offensive"/>
    <n v="0"/>
    <n v="0"/>
    <n v="0"/>
    <n v="0"/>
    <n v="0"/>
    <n v="0"/>
    <n v="0"/>
    <n v="0"/>
    <x v="24"/>
    <n v="1"/>
    <n v="8"/>
    <n v="82"/>
    <n v="80"/>
    <n v="145"/>
    <n v="36620"/>
    <n v="8"/>
    <n v="0"/>
    <s v="04-04-00"/>
    <n v="23"/>
    <s v="DNP"/>
    <x v="1"/>
    <x v="1"/>
    <n v="3"/>
    <x v="0"/>
    <n v="2"/>
    <n v="1"/>
    <x v="0"/>
    <s v="Ian T."/>
    <x v="37"/>
    <x v="17"/>
    <x v="3"/>
    <n v="3"/>
    <n v="0"/>
    <n v="0"/>
    <n v="0"/>
    <x v="7"/>
    <x v="1"/>
    <x v="1"/>
    <x v="1"/>
    <x v="1"/>
    <n v="0"/>
    <n v="0"/>
    <n v="0"/>
    <x v="0"/>
    <x v="0"/>
    <x v="3"/>
    <n v="0"/>
    <n v="0"/>
    <n v="0"/>
    <n v="0"/>
    <n v="0"/>
    <n v="0"/>
    <n v="0"/>
    <n v="0"/>
    <n v="0"/>
    <x v="101"/>
  </r>
  <r>
    <x v="2"/>
    <x v="38"/>
    <x v="14"/>
    <x v="37"/>
    <x v="2"/>
    <n v="17"/>
    <x v="3"/>
    <n v="23"/>
    <s v="AKD"/>
    <x v="13"/>
    <x v="13"/>
    <x v="13"/>
    <x v="13"/>
    <x v="18"/>
    <n v="2.6666666666666665"/>
    <n v="0"/>
    <x v="41"/>
    <n v="0"/>
    <x v="0"/>
    <n v="0"/>
    <s v="offensive"/>
    <n v="0"/>
    <n v="0.66666666666666663"/>
    <n v="0"/>
    <n v="0"/>
    <n v="0"/>
    <n v="2"/>
    <n v="2"/>
    <n v="0"/>
    <x v="29"/>
    <n v="1"/>
    <n v="3"/>
    <n v="74"/>
    <n v="50"/>
    <n v="162"/>
    <n v="36897"/>
    <n v="8"/>
    <n v="0"/>
    <s v="01-06-01"/>
    <n v="39"/>
    <s v="DNP"/>
    <x v="1"/>
    <x v="1"/>
    <n v="3"/>
    <x v="0"/>
    <n v="2"/>
    <n v="1"/>
    <x v="0"/>
    <s v="Ian T."/>
    <x v="38"/>
    <x v="19"/>
    <x v="3"/>
    <n v="0"/>
    <n v="0"/>
    <n v="0"/>
    <n v="0"/>
    <x v="1"/>
    <x v="0"/>
    <x v="1"/>
    <x v="0"/>
    <x v="1"/>
    <n v="2"/>
    <n v="1"/>
    <n v="0"/>
    <x v="0"/>
    <x v="0"/>
    <x v="0"/>
    <n v="0"/>
    <n v="0"/>
    <n v="0"/>
    <n v="0"/>
    <n v="0"/>
    <n v="0"/>
    <n v="0"/>
    <n v="0"/>
    <n v="0"/>
    <x v="102"/>
  </r>
  <r>
    <x v="2"/>
    <x v="23"/>
    <x v="21"/>
    <x v="23"/>
    <x v="2"/>
    <n v="28"/>
    <x v="3"/>
    <n v="20"/>
    <s v="AI"/>
    <x v="2"/>
    <x v="2"/>
    <x v="2"/>
    <x v="2"/>
    <x v="2"/>
    <n v="0"/>
    <n v="0"/>
    <x v="11"/>
    <n v="0"/>
    <x v="0"/>
    <n v="0"/>
    <s v="offensive"/>
    <n v="0"/>
    <n v="0"/>
    <n v="0"/>
    <n v="0"/>
    <n v="0"/>
    <n v="0"/>
    <n v="0"/>
    <n v="0"/>
    <x v="18"/>
    <n v="0"/>
    <n v="3"/>
    <n v="78"/>
    <n v="90"/>
    <n v="101"/>
    <n v="36898"/>
    <n v="9"/>
    <n v="0"/>
    <s v="01-07-01"/>
    <n v="38"/>
    <s v="DNP"/>
    <x v="1"/>
    <x v="1"/>
    <n v="3"/>
    <x v="0"/>
    <n v="2"/>
    <n v="1"/>
    <x v="0"/>
    <s v="Ian T."/>
    <x v="23"/>
    <x v="20"/>
    <x v="3"/>
    <n v="0"/>
    <n v="0"/>
    <n v="0"/>
    <n v="0"/>
    <x v="9"/>
    <x v="1"/>
    <x v="1"/>
    <x v="1"/>
    <x v="1"/>
    <n v="0"/>
    <n v="0"/>
    <n v="0"/>
    <x v="0"/>
    <x v="0"/>
    <x v="0"/>
    <n v="0"/>
    <n v="0"/>
    <n v="0"/>
    <n v="0"/>
    <n v="0"/>
    <n v="0"/>
    <n v="0"/>
    <n v="0"/>
    <n v="0"/>
    <x v="103"/>
  </r>
  <r>
    <x v="24"/>
    <x v="34"/>
    <x v="21"/>
    <x v="33"/>
    <x v="2"/>
    <n v="28"/>
    <x v="8"/>
    <n v="3"/>
    <s v="AK"/>
    <x v="20"/>
    <x v="20"/>
    <x v="20"/>
    <x v="20"/>
    <x v="2"/>
    <n v="0"/>
    <n v="0"/>
    <x v="11"/>
    <n v="0"/>
    <x v="0"/>
    <n v="0"/>
    <s v="offensive"/>
    <n v="0"/>
    <n v="0"/>
    <n v="0"/>
    <n v="0"/>
    <n v="0"/>
    <n v="0"/>
    <n v="0"/>
    <n v="0"/>
    <x v="27"/>
    <n v="0"/>
    <n v="6"/>
    <n v="106"/>
    <n v="60"/>
    <n v="139"/>
    <n v="36591"/>
    <n v="9"/>
    <n v="0"/>
    <s v="03-06-00"/>
    <n v="28"/>
    <n v="26"/>
    <x v="1"/>
    <x v="1"/>
    <n v="3"/>
    <x v="0"/>
    <n v="2"/>
    <n v="1"/>
    <x v="0"/>
    <s v="Ian T."/>
    <x v="34"/>
    <x v="20"/>
    <x v="3"/>
    <n v="0"/>
    <n v="0"/>
    <n v="0"/>
    <n v="0"/>
    <x v="1"/>
    <x v="1"/>
    <x v="1"/>
    <x v="1"/>
    <x v="0"/>
    <n v="0"/>
    <n v="0"/>
    <n v="1"/>
    <x v="0"/>
    <x v="0"/>
    <x v="0"/>
    <n v="0"/>
    <n v="0"/>
    <n v="0"/>
    <n v="0"/>
    <n v="0"/>
    <n v="0"/>
    <n v="0"/>
    <n v="0"/>
    <n v="0"/>
    <x v="104"/>
  </r>
  <r>
    <x v="10"/>
    <x v="12"/>
    <x v="11"/>
    <x v="12"/>
    <x v="10"/>
    <n v="20"/>
    <x v="8"/>
    <n v="25"/>
    <s v="A"/>
    <x v="2"/>
    <x v="2"/>
    <x v="2"/>
    <x v="2"/>
    <x v="9"/>
    <n v="2"/>
    <n v="0"/>
    <x v="11"/>
    <n v="0"/>
    <x v="0"/>
    <n v="2"/>
    <s v="offensive"/>
    <n v="0"/>
    <n v="0"/>
    <n v="0"/>
    <n v="0"/>
    <n v="0"/>
    <n v="0"/>
    <n v="0"/>
    <n v="0"/>
    <x v="8"/>
    <n v="0"/>
    <n v="12"/>
    <n v="186"/>
    <n v="110"/>
    <n v="231"/>
    <n v="36680"/>
    <n v="9"/>
    <n v="0"/>
    <s v="06-03-00"/>
    <n v="5"/>
    <n v="10"/>
    <x v="1"/>
    <x v="1"/>
    <n v="3"/>
    <x v="0"/>
    <n v="2"/>
    <n v="1"/>
    <x v="0"/>
    <s v="Ian T."/>
    <x v="12"/>
    <x v="21"/>
    <x v="3"/>
    <n v="1"/>
    <n v="0"/>
    <n v="0"/>
    <n v="4"/>
    <x v="1"/>
    <x v="1"/>
    <x v="1"/>
    <x v="1"/>
    <x v="1"/>
    <n v="0"/>
    <n v="0"/>
    <n v="0"/>
    <x v="1"/>
    <x v="0"/>
    <x v="1"/>
    <n v="0"/>
    <n v="0"/>
    <n v="0"/>
    <n v="0"/>
    <n v="0"/>
    <n v="0"/>
    <n v="0"/>
    <n v="0"/>
    <n v="0"/>
    <x v="105"/>
  </r>
  <r>
    <x v="11"/>
    <x v="13"/>
    <x v="12"/>
    <x v="13"/>
    <x v="11"/>
    <n v="3"/>
    <x v="7"/>
    <n v="18"/>
    <s v="AKI"/>
    <x v="11"/>
    <x v="11"/>
    <x v="11"/>
    <x v="11"/>
    <x v="2"/>
    <n v="60.106666666666662"/>
    <n v="6"/>
    <x v="7"/>
    <n v="20"/>
    <x v="30"/>
    <n v="0"/>
    <s v="offensive"/>
    <n v="0.33333333333333331"/>
    <n v="0.77777777777777779"/>
    <n v="1"/>
    <n v="0.6"/>
    <n v="10"/>
    <n v="29.4"/>
    <n v="27"/>
    <n v="2.4"/>
    <x v="9"/>
    <n v="0"/>
    <n v="12"/>
    <n v="186"/>
    <n v="150"/>
    <n v="379"/>
    <n v="36680"/>
    <n v="9"/>
    <n v="0"/>
    <s v="06-03-00"/>
    <n v="4"/>
    <n v="4"/>
    <x v="0"/>
    <x v="5"/>
    <n v="3"/>
    <x v="0"/>
    <n v="2"/>
    <n v="1"/>
    <x v="0"/>
    <s v="Ian T."/>
    <x v="13"/>
    <x v="22"/>
    <x v="3"/>
    <n v="3"/>
    <n v="0"/>
    <n v="6"/>
    <n v="12"/>
    <x v="1"/>
    <x v="0"/>
    <x v="1"/>
    <x v="0"/>
    <x v="1"/>
    <n v="21"/>
    <n v="6"/>
    <n v="2"/>
    <x v="0"/>
    <x v="0"/>
    <x v="1"/>
    <n v="0"/>
    <n v="10"/>
    <n v="0"/>
    <n v="10"/>
    <n v="10"/>
    <n v="10"/>
    <n v="3"/>
    <n v="0"/>
    <n v="0"/>
    <x v="106"/>
  </r>
  <r>
    <x v="26"/>
    <x v="36"/>
    <x v="21"/>
    <x v="35"/>
    <x v="2"/>
    <n v="28"/>
    <x v="4"/>
    <n v="5"/>
    <s v="AKI"/>
    <x v="15"/>
    <x v="15"/>
    <x v="15"/>
    <x v="15"/>
    <x v="2"/>
    <n v="18.54"/>
    <n v="0"/>
    <x v="11"/>
    <n v="20"/>
    <x v="31"/>
    <n v="-2"/>
    <s v="offensive"/>
    <n v="0"/>
    <n v="0"/>
    <n v="1"/>
    <n v="0.3"/>
    <n v="10"/>
    <n v="1.8"/>
    <n v="0"/>
    <n v="1.8"/>
    <x v="1"/>
    <n v="1"/>
    <n v="12"/>
    <n v="70"/>
    <n v="140"/>
    <n v="170"/>
    <n v="36679"/>
    <n v="8"/>
    <n v="0"/>
    <s v="06-02-00"/>
    <n v="9"/>
    <n v="20"/>
    <x v="1"/>
    <x v="1"/>
    <n v="3"/>
    <x v="0"/>
    <n v="2"/>
    <n v="1"/>
    <x v="0"/>
    <s v="Ian Spadin"/>
    <x v="36"/>
    <x v="23"/>
    <x v="4"/>
    <n v="0"/>
    <n v="0"/>
    <n v="0"/>
    <n v="0"/>
    <x v="0"/>
    <x v="1"/>
    <x v="1"/>
    <x v="1"/>
    <x v="1"/>
    <n v="0"/>
    <n v="0"/>
    <n v="1"/>
    <x v="0"/>
    <x v="1"/>
    <x v="3"/>
    <n v="0"/>
    <n v="15"/>
    <n v="0"/>
    <n v="0"/>
    <n v="10"/>
    <n v="10"/>
    <n v="5"/>
    <n v="0"/>
    <n v="0"/>
    <x v="107"/>
  </r>
  <r>
    <x v="25"/>
    <x v="35"/>
    <x v="27"/>
    <x v="34"/>
    <x v="22"/>
    <n v="23"/>
    <x v="3"/>
    <n v="25"/>
    <s v="AK"/>
    <x v="2"/>
    <x v="2"/>
    <x v="2"/>
    <x v="2"/>
    <x v="2"/>
    <n v="24"/>
    <n v="24"/>
    <x v="11"/>
    <n v="0"/>
    <x v="0"/>
    <n v="0"/>
    <s v="offensive"/>
    <n v="0.66666666666666663"/>
    <n v="0"/>
    <n v="0"/>
    <n v="0"/>
    <n v="0"/>
    <n v="12"/>
    <n v="12"/>
    <n v="0"/>
    <x v="28"/>
    <n v="1"/>
    <n v="12"/>
    <n v="144"/>
    <n v="120"/>
    <n v="169"/>
    <n v="36680"/>
    <n v="9"/>
    <n v="0"/>
    <s v="06-03-00"/>
    <n v="6"/>
    <n v="18"/>
    <x v="1"/>
    <x v="1"/>
    <n v="3"/>
    <x v="0"/>
    <n v="2"/>
    <n v="1"/>
    <x v="0"/>
    <s v="Ian Spadin"/>
    <x v="35"/>
    <x v="24"/>
    <x v="4"/>
    <n v="3"/>
    <n v="0"/>
    <n v="12"/>
    <n v="6"/>
    <x v="1"/>
    <x v="0"/>
    <x v="1"/>
    <x v="0"/>
    <x v="1"/>
    <n v="0"/>
    <n v="0"/>
    <n v="1"/>
    <x v="0"/>
    <x v="0"/>
    <x v="3"/>
    <n v="0"/>
    <n v="0"/>
    <n v="0"/>
    <n v="0"/>
    <n v="0"/>
    <n v="0"/>
    <n v="0"/>
    <n v="0"/>
    <n v="0"/>
    <x v="0"/>
  </r>
  <r>
    <x v="2"/>
    <x v="38"/>
    <x v="14"/>
    <x v="37"/>
    <x v="2"/>
    <n v="17"/>
    <x v="3"/>
    <n v="23"/>
    <s v="AKD"/>
    <x v="13"/>
    <x v="13"/>
    <x v="13"/>
    <x v="13"/>
    <x v="18"/>
    <n v="2.36"/>
    <n v="0"/>
    <x v="11"/>
    <n v="0"/>
    <x v="32"/>
    <n v="2"/>
    <s v="offensive"/>
    <n v="0"/>
    <n v="0"/>
    <n v="0"/>
    <n v="0.3"/>
    <n v="0"/>
    <n v="1.2"/>
    <n v="0"/>
    <n v="1.2"/>
    <x v="29"/>
    <n v="1"/>
    <n v="3"/>
    <n v="74"/>
    <n v="50"/>
    <n v="162"/>
    <n v="36897"/>
    <n v="8"/>
    <n v="0"/>
    <s v="01-06-01"/>
    <n v="39"/>
    <s v="DNP"/>
    <x v="1"/>
    <x v="1"/>
    <n v="3"/>
    <x v="0"/>
    <n v="2"/>
    <n v="1"/>
    <x v="0"/>
    <s v="Ian Spadin"/>
    <x v="38"/>
    <x v="25"/>
    <x v="4"/>
    <n v="0"/>
    <n v="0"/>
    <n v="0"/>
    <n v="0"/>
    <x v="7"/>
    <x v="1"/>
    <x v="1"/>
    <x v="1"/>
    <x v="1"/>
    <n v="0"/>
    <n v="0"/>
    <n v="1"/>
    <x v="1"/>
    <x v="0"/>
    <x v="3"/>
    <n v="0"/>
    <n v="10"/>
    <n v="0"/>
    <n v="0"/>
    <n v="0"/>
    <n v="0"/>
    <n v="0"/>
    <n v="0"/>
    <n v="0"/>
    <x v="108"/>
  </r>
  <r>
    <x v="2"/>
    <x v="33"/>
    <x v="21"/>
    <x v="32"/>
    <x v="2"/>
    <n v="28"/>
    <x v="3"/>
    <n v="14"/>
    <s v="AK"/>
    <x v="2"/>
    <x v="2"/>
    <x v="2"/>
    <x v="2"/>
    <x v="17"/>
    <n v="2"/>
    <n v="0"/>
    <x v="11"/>
    <n v="0"/>
    <x v="0"/>
    <n v="2"/>
    <s v="offensive"/>
    <n v="0"/>
    <n v="0"/>
    <n v="0"/>
    <n v="0"/>
    <n v="0"/>
    <n v="0"/>
    <n v="0"/>
    <n v="0"/>
    <x v="1"/>
    <n v="0"/>
    <n v="6"/>
    <n v="84"/>
    <n v="90"/>
    <n v="144"/>
    <n v="36591"/>
    <n v="9"/>
    <n v="0"/>
    <s v="03-06-00"/>
    <n v="31"/>
    <s v="DNP"/>
    <x v="1"/>
    <x v="1"/>
    <n v="3"/>
    <x v="0"/>
    <n v="2"/>
    <n v="1"/>
    <x v="0"/>
    <s v="Ian Spadin"/>
    <x v="33"/>
    <x v="26"/>
    <x v="4"/>
    <n v="0"/>
    <n v="0"/>
    <n v="0"/>
    <n v="0"/>
    <x v="7"/>
    <x v="1"/>
    <x v="1"/>
    <x v="1"/>
    <x v="1"/>
    <n v="0"/>
    <n v="0"/>
    <n v="1"/>
    <x v="1"/>
    <x v="0"/>
    <x v="0"/>
    <n v="0"/>
    <n v="7"/>
    <n v="0"/>
    <n v="0"/>
    <n v="0"/>
    <n v="0"/>
    <n v="0"/>
    <n v="0"/>
    <n v="0"/>
    <x v="109"/>
  </r>
  <r>
    <x v="19"/>
    <x v="26"/>
    <x v="24"/>
    <x v="26"/>
    <x v="19"/>
    <n v="10"/>
    <x v="3"/>
    <n v="16"/>
    <s v="AK"/>
    <x v="17"/>
    <x v="17"/>
    <x v="17"/>
    <x v="17"/>
    <x v="2"/>
    <n v="54.25"/>
    <n v="54"/>
    <x v="18"/>
    <n v="0"/>
    <x v="0"/>
    <n v="-2"/>
    <s v="offensive"/>
    <n v="1"/>
    <n v="0.375"/>
    <n v="0"/>
    <n v="0"/>
    <n v="0"/>
    <n v="21"/>
    <n v="21"/>
    <n v="0"/>
    <x v="21"/>
    <n v="0"/>
    <n v="7"/>
    <n v="128"/>
    <n v="40"/>
    <n v="148"/>
    <n v="36954"/>
    <n v="8"/>
    <n v="0"/>
    <s v="03-04-01"/>
    <n v="26"/>
    <n v="6"/>
    <x v="1"/>
    <x v="1"/>
    <n v="3"/>
    <x v="0"/>
    <n v="2"/>
    <n v="1"/>
    <x v="0"/>
    <s v="Ian Spadin"/>
    <x v="26"/>
    <x v="27"/>
    <x v="4"/>
    <n v="3"/>
    <n v="0"/>
    <n v="18"/>
    <n v="0"/>
    <x v="0"/>
    <x v="0"/>
    <x v="1"/>
    <x v="0"/>
    <x v="1"/>
    <n v="3"/>
    <n v="5"/>
    <n v="2"/>
    <x v="0"/>
    <x v="0"/>
    <x v="3"/>
    <n v="0"/>
    <n v="0"/>
    <n v="0"/>
    <n v="0"/>
    <n v="0"/>
    <n v="0"/>
    <n v="0"/>
    <n v="0"/>
    <n v="0"/>
    <x v="110"/>
  </r>
  <r>
    <x v="3"/>
    <x v="5"/>
    <x v="5"/>
    <x v="5"/>
    <x v="3"/>
    <n v="16"/>
    <x v="4"/>
    <n v="25"/>
    <s v="AKI"/>
    <x v="5"/>
    <x v="5"/>
    <x v="5"/>
    <x v="5"/>
    <x v="3"/>
    <n v="28.75"/>
    <n v="0"/>
    <x v="34"/>
    <n v="20"/>
    <x v="0"/>
    <n v="2"/>
    <s v="offensive"/>
    <n v="0"/>
    <n v="0.375"/>
    <n v="1"/>
    <n v="0"/>
    <n v="10"/>
    <n v="9"/>
    <n v="9"/>
    <n v="0"/>
    <x v="1"/>
    <n v="0"/>
    <n v="12"/>
    <n v="142"/>
    <n v="110"/>
    <n v="112"/>
    <n v="36679"/>
    <n v="8"/>
    <n v="0"/>
    <s v="06-02-00"/>
    <n v="8"/>
    <n v="7"/>
    <x v="1"/>
    <x v="1"/>
    <n v="3"/>
    <x v="0"/>
    <n v="2"/>
    <n v="1"/>
    <x v="0"/>
    <s v="Ian Spadin"/>
    <x v="5"/>
    <x v="28"/>
    <x v="4"/>
    <n v="3"/>
    <n v="0"/>
    <n v="0"/>
    <n v="18"/>
    <x v="13"/>
    <x v="0"/>
    <x v="1"/>
    <x v="1"/>
    <x v="0"/>
    <n v="9"/>
    <n v="15"/>
    <n v="2"/>
    <x v="1"/>
    <x v="0"/>
    <x v="0"/>
    <n v="0"/>
    <n v="0"/>
    <n v="0"/>
    <n v="0"/>
    <n v="10"/>
    <n v="10"/>
    <n v="1"/>
    <n v="0"/>
    <n v="0"/>
    <x v="111"/>
  </r>
  <r>
    <x v="1"/>
    <x v="1"/>
    <x v="1"/>
    <x v="1"/>
    <x v="1"/>
    <n v="8"/>
    <x v="1"/>
    <n v="13"/>
    <s v="AKI"/>
    <x v="1"/>
    <x v="1"/>
    <x v="1"/>
    <x v="1"/>
    <x v="1"/>
    <n v="20.18"/>
    <n v="0"/>
    <x v="11"/>
    <n v="20"/>
    <x v="25"/>
    <n v="0"/>
    <s v="offensive"/>
    <n v="0"/>
    <n v="0"/>
    <n v="1"/>
    <n v="0.3"/>
    <n v="10"/>
    <n v="0.6"/>
    <n v="0"/>
    <n v="0.6"/>
    <x v="0"/>
    <n v="0"/>
    <n v="5"/>
    <n v="118"/>
    <n v="120"/>
    <n v="179"/>
    <n v="36927"/>
    <n v="8"/>
    <n v="0"/>
    <s v="02-05-01"/>
    <n v="34"/>
    <n v="12"/>
    <x v="1"/>
    <x v="1"/>
    <n v="3"/>
    <x v="0"/>
    <n v="2"/>
    <n v="1"/>
    <x v="0"/>
    <s v="Ian Spadin"/>
    <x v="1"/>
    <x v="29"/>
    <x v="4"/>
    <n v="0"/>
    <n v="0"/>
    <n v="0"/>
    <n v="0"/>
    <x v="6"/>
    <x v="1"/>
    <x v="1"/>
    <x v="1"/>
    <x v="1"/>
    <n v="0"/>
    <n v="0"/>
    <n v="1"/>
    <x v="0"/>
    <x v="0"/>
    <x v="3"/>
    <n v="0"/>
    <n v="5"/>
    <n v="0"/>
    <n v="0"/>
    <n v="10"/>
    <n v="10"/>
    <n v="3"/>
    <n v="0"/>
    <n v="0"/>
    <x v="112"/>
  </r>
  <r>
    <x v="15"/>
    <x v="19"/>
    <x v="18"/>
    <x v="19"/>
    <x v="15"/>
    <n v="11"/>
    <x v="2"/>
    <n v="25"/>
    <s v="AKI"/>
    <x v="14"/>
    <x v="14"/>
    <x v="14"/>
    <x v="14"/>
    <x v="1"/>
    <n v="0"/>
    <n v="0"/>
    <x v="11"/>
    <n v="0"/>
    <x v="0"/>
    <n v="0"/>
    <s v="offensive"/>
    <n v="0"/>
    <n v="0"/>
    <n v="0"/>
    <n v="0"/>
    <n v="0"/>
    <n v="0"/>
    <n v="0"/>
    <n v="0"/>
    <x v="14"/>
    <n v="0"/>
    <n v="4"/>
    <n v="94"/>
    <n v="70"/>
    <n v="162"/>
    <n v="36562"/>
    <n v="8"/>
    <n v="0"/>
    <s v="02-06-00"/>
    <n v="36"/>
    <n v="13"/>
    <x v="1"/>
    <x v="1"/>
    <n v="3"/>
    <x v="0"/>
    <n v="2"/>
    <n v="1"/>
    <x v="0"/>
    <s v="Chris Yarnot"/>
    <x v="19"/>
    <x v="30"/>
    <x v="4"/>
    <n v="2"/>
    <n v="0"/>
    <n v="0"/>
    <n v="8"/>
    <x v="9"/>
    <x v="1"/>
    <x v="1"/>
    <x v="0"/>
    <x v="1"/>
    <n v="0"/>
    <n v="0"/>
    <n v="0"/>
    <x v="0"/>
    <x v="0"/>
    <x v="0"/>
    <n v="0"/>
    <n v="0"/>
    <n v="0"/>
    <n v="0"/>
    <n v="0"/>
    <n v="0"/>
    <n v="0"/>
    <n v="0"/>
    <n v="0"/>
    <x v="113"/>
  </r>
  <r>
    <x v="2"/>
    <x v="4"/>
    <x v="4"/>
    <x v="4"/>
    <x v="2"/>
    <n v="25"/>
    <x v="3"/>
    <n v="4"/>
    <s v="AK"/>
    <x v="4"/>
    <x v="4"/>
    <x v="4"/>
    <x v="4"/>
    <x v="2"/>
    <n v="17.28"/>
    <n v="0"/>
    <x v="11"/>
    <n v="0"/>
    <x v="33"/>
    <n v="0"/>
    <s v="defensive"/>
    <n v="0"/>
    <n v="0"/>
    <n v="0"/>
    <n v="0.6"/>
    <n v="0"/>
    <n v="28.8"/>
    <n v="0"/>
    <n v="28.8"/>
    <x v="3"/>
    <n v="0"/>
    <n v="8"/>
    <n v="106"/>
    <n v="120"/>
    <n v="156"/>
    <n v="36621"/>
    <n v="9"/>
    <n v="0"/>
    <s v="04-05-00"/>
    <n v="19"/>
    <s v="DNP"/>
    <x v="1"/>
    <x v="1"/>
    <n v="3"/>
    <x v="0"/>
    <n v="2"/>
    <n v="1"/>
    <x v="0"/>
    <s v="Chris Yarnot"/>
    <x v="4"/>
    <x v="9"/>
    <x v="4"/>
    <n v="2"/>
    <n v="0"/>
    <n v="0"/>
    <n v="0"/>
    <x v="5"/>
    <x v="1"/>
    <x v="1"/>
    <x v="1"/>
    <x v="1"/>
    <n v="0"/>
    <n v="0"/>
    <n v="0"/>
    <x v="0"/>
    <x v="2"/>
    <x v="1"/>
    <n v="0"/>
    <n v="120"/>
    <n v="0"/>
    <n v="0"/>
    <n v="0"/>
    <n v="0"/>
    <n v="0"/>
    <n v="0"/>
    <n v="0"/>
    <x v="114"/>
  </r>
  <r>
    <x v="2"/>
    <x v="29"/>
    <x v="21"/>
    <x v="28"/>
    <x v="2"/>
    <n v="28"/>
    <x v="3"/>
    <n v="25"/>
    <s v="AKD"/>
    <x v="2"/>
    <x v="2"/>
    <x v="2"/>
    <x v="2"/>
    <x v="2"/>
    <n v="0"/>
    <n v="0"/>
    <x v="11"/>
    <n v="0"/>
    <x v="0"/>
    <n v="0"/>
    <s v="offensive"/>
    <n v="0"/>
    <n v="0"/>
    <n v="0"/>
    <n v="0"/>
    <n v="0"/>
    <n v="0"/>
    <n v="0"/>
    <n v="0"/>
    <x v="24"/>
    <n v="0"/>
    <n v="10"/>
    <n v="78"/>
    <n v="90"/>
    <n v="178"/>
    <n v="36650"/>
    <n v="9"/>
    <n v="0"/>
    <s v="05-04-00"/>
    <n v="14"/>
    <s v="DNP"/>
    <x v="1"/>
    <x v="1"/>
    <n v="3"/>
    <x v="0"/>
    <n v="2"/>
    <n v="1"/>
    <x v="0"/>
    <s v="Chris Yarnot"/>
    <x v="29"/>
    <x v="31"/>
    <x v="4"/>
    <n v="0"/>
    <n v="0"/>
    <n v="0"/>
    <n v="0"/>
    <x v="9"/>
    <x v="1"/>
    <x v="1"/>
    <x v="1"/>
    <x v="1"/>
    <n v="0"/>
    <n v="0"/>
    <n v="0"/>
    <x v="0"/>
    <x v="0"/>
    <x v="0"/>
    <n v="0"/>
    <n v="0"/>
    <n v="0"/>
    <n v="0"/>
    <n v="0"/>
    <n v="0"/>
    <n v="0"/>
    <n v="0"/>
    <n v="0"/>
    <x v="115"/>
  </r>
  <r>
    <x v="2"/>
    <x v="37"/>
    <x v="21"/>
    <x v="36"/>
    <x v="2"/>
    <n v="28"/>
    <x v="3"/>
    <n v="6"/>
    <s v="AK"/>
    <x v="21"/>
    <x v="21"/>
    <x v="21"/>
    <x v="21"/>
    <x v="2"/>
    <n v="2.6279999999999992"/>
    <n v="0"/>
    <x v="11"/>
    <n v="0"/>
    <x v="34"/>
    <n v="0"/>
    <s v="defensive"/>
    <n v="0"/>
    <n v="0"/>
    <n v="0"/>
    <n v="0.3"/>
    <n v="0"/>
    <n v="8.759999999999998"/>
    <n v="0"/>
    <n v="8.759999999999998"/>
    <x v="24"/>
    <n v="1"/>
    <n v="8"/>
    <n v="82"/>
    <n v="80"/>
    <n v="145"/>
    <n v="36620"/>
    <n v="8"/>
    <n v="0"/>
    <s v="04-04-00"/>
    <n v="23"/>
    <s v="DNP"/>
    <x v="1"/>
    <x v="1"/>
    <n v="3"/>
    <x v="0"/>
    <n v="2"/>
    <n v="1"/>
    <x v="0"/>
    <s v="Chris Yarnot"/>
    <x v="37"/>
    <x v="32"/>
    <x v="4"/>
    <n v="0"/>
    <n v="0"/>
    <n v="0"/>
    <n v="0"/>
    <x v="9"/>
    <x v="1"/>
    <x v="1"/>
    <x v="1"/>
    <x v="1"/>
    <n v="0"/>
    <n v="0"/>
    <n v="1"/>
    <x v="0"/>
    <x v="1"/>
    <x v="3"/>
    <n v="0"/>
    <n v="73"/>
    <n v="0"/>
    <n v="0"/>
    <n v="0"/>
    <n v="0"/>
    <n v="0"/>
    <n v="0"/>
    <n v="0"/>
    <x v="116"/>
  </r>
  <r>
    <x v="3"/>
    <x v="5"/>
    <x v="5"/>
    <x v="5"/>
    <x v="3"/>
    <n v="16"/>
    <x v="4"/>
    <n v="25"/>
    <s v="AKI"/>
    <x v="5"/>
    <x v="5"/>
    <x v="5"/>
    <x v="5"/>
    <x v="3"/>
    <n v="74"/>
    <n v="54"/>
    <x v="17"/>
    <n v="20"/>
    <x v="0"/>
    <n v="-2"/>
    <s v="offensive"/>
    <n v="1"/>
    <n v="0.33333333333333331"/>
    <n v="1"/>
    <n v="0"/>
    <n v="10"/>
    <n v="21"/>
    <n v="21"/>
    <n v="0"/>
    <x v="1"/>
    <n v="0"/>
    <n v="12"/>
    <n v="142"/>
    <n v="110"/>
    <n v="112"/>
    <n v="36679"/>
    <n v="8"/>
    <n v="0"/>
    <s v="06-02-00"/>
    <n v="8"/>
    <n v="7"/>
    <x v="1"/>
    <x v="1"/>
    <n v="3"/>
    <x v="0"/>
    <n v="2"/>
    <n v="1"/>
    <x v="0"/>
    <s v="Chris Yarnot"/>
    <x v="5"/>
    <x v="33"/>
    <x v="4"/>
    <n v="3"/>
    <n v="0"/>
    <n v="18"/>
    <n v="0"/>
    <x v="0"/>
    <x v="0"/>
    <x v="1"/>
    <x v="1"/>
    <x v="0"/>
    <n v="3"/>
    <n v="6"/>
    <n v="2"/>
    <x v="0"/>
    <x v="0"/>
    <x v="0"/>
    <n v="0"/>
    <n v="0"/>
    <n v="0"/>
    <n v="0"/>
    <n v="10"/>
    <n v="10"/>
    <n v="15"/>
    <n v="0"/>
    <n v="0"/>
    <x v="117"/>
  </r>
  <r>
    <x v="2"/>
    <x v="29"/>
    <x v="21"/>
    <x v="28"/>
    <x v="2"/>
    <n v="28"/>
    <x v="3"/>
    <n v="25"/>
    <s v="AKD"/>
    <x v="2"/>
    <x v="2"/>
    <x v="2"/>
    <x v="2"/>
    <x v="2"/>
    <n v="0"/>
    <n v="0"/>
    <x v="11"/>
    <n v="0"/>
    <x v="0"/>
    <n v="0"/>
    <s v="offensive"/>
    <n v="0"/>
    <n v="0"/>
    <n v="0"/>
    <n v="0"/>
    <n v="0"/>
    <n v="0"/>
    <n v="0"/>
    <n v="0"/>
    <x v="24"/>
    <n v="0"/>
    <n v="10"/>
    <n v="78"/>
    <n v="90"/>
    <n v="178"/>
    <n v="36650"/>
    <n v="9"/>
    <n v="0"/>
    <s v="05-04-00"/>
    <n v="14"/>
    <s v="DNP"/>
    <x v="1"/>
    <x v="1"/>
    <n v="3"/>
    <x v="0"/>
    <n v="2"/>
    <n v="1"/>
    <x v="0"/>
    <s v="Chris Yarnot"/>
    <x v="29"/>
    <x v="34"/>
    <x v="4"/>
    <n v="0"/>
    <n v="0"/>
    <n v="0"/>
    <n v="0"/>
    <x v="1"/>
    <x v="1"/>
    <x v="1"/>
    <x v="1"/>
    <x v="1"/>
    <n v="0"/>
    <n v="0"/>
    <n v="0"/>
    <x v="0"/>
    <x v="0"/>
    <x v="0"/>
    <n v="0"/>
    <n v="0"/>
    <n v="0"/>
    <n v="0"/>
    <n v="0"/>
    <n v="0"/>
    <n v="0"/>
    <n v="0"/>
    <n v="0"/>
    <x v="51"/>
  </r>
  <r>
    <x v="2"/>
    <x v="18"/>
    <x v="17"/>
    <x v="18"/>
    <x v="2"/>
    <n v="15"/>
    <x v="12"/>
    <n v="25"/>
    <s v="AI"/>
    <x v="13"/>
    <x v="13"/>
    <x v="13"/>
    <x v="13"/>
    <x v="2"/>
    <n v="6"/>
    <n v="0"/>
    <x v="15"/>
    <n v="0"/>
    <x v="0"/>
    <n v="0"/>
    <s v="offensive"/>
    <n v="0"/>
    <n v="1"/>
    <n v="1"/>
    <n v="0"/>
    <n v="10"/>
    <n v="3"/>
    <n v="3"/>
    <n v="0"/>
    <x v="13"/>
    <n v="0"/>
    <n v="2"/>
    <n v="88"/>
    <n v="90"/>
    <n v="162"/>
    <n v="36533"/>
    <n v="9"/>
    <n v="0"/>
    <s v="01-08-00"/>
    <n v="40"/>
    <s v="DNP"/>
    <x v="1"/>
    <x v="1"/>
    <n v="3"/>
    <x v="0"/>
    <n v="2"/>
    <n v="1"/>
    <x v="0"/>
    <s v="Jacey"/>
    <x v="18"/>
    <x v="35"/>
    <x v="4"/>
    <n v="3"/>
    <n v="0"/>
    <n v="0"/>
    <n v="0"/>
    <x v="7"/>
    <x v="0"/>
    <x v="1"/>
    <x v="0"/>
    <x v="1"/>
    <n v="3"/>
    <n v="0"/>
    <n v="0"/>
    <x v="0"/>
    <x v="0"/>
    <x v="0"/>
    <n v="0"/>
    <n v="0"/>
    <n v="0"/>
    <n v="0"/>
    <n v="0"/>
    <n v="10"/>
    <n v="20"/>
    <n v="0"/>
    <n v="0"/>
    <x v="118"/>
  </r>
  <r>
    <x v="4"/>
    <x v="6"/>
    <x v="6"/>
    <x v="6"/>
    <x v="4"/>
    <n v="13"/>
    <x v="5"/>
    <n v="24"/>
    <s v="AI"/>
    <x v="6"/>
    <x v="6"/>
    <x v="6"/>
    <x v="6"/>
    <x v="4"/>
    <n v="22"/>
    <n v="0"/>
    <x v="11"/>
    <n v="20"/>
    <x v="0"/>
    <n v="2"/>
    <s v="offensive"/>
    <n v="0"/>
    <n v="0"/>
    <n v="1"/>
    <n v="0"/>
    <n v="10"/>
    <n v="0"/>
    <n v="0"/>
    <n v="0"/>
    <x v="4"/>
    <n v="0"/>
    <n v="4"/>
    <n v="112"/>
    <n v="90"/>
    <n v="106"/>
    <n v="36562"/>
    <n v="8"/>
    <n v="0"/>
    <s v="02-06-00"/>
    <n v="35"/>
    <n v="15"/>
    <x v="1"/>
    <x v="1"/>
    <n v="3"/>
    <x v="0"/>
    <n v="2"/>
    <n v="1"/>
    <x v="0"/>
    <s v="Jacey"/>
    <x v="6"/>
    <x v="36"/>
    <x v="4"/>
    <n v="3"/>
    <n v="0"/>
    <n v="0"/>
    <n v="6"/>
    <x v="7"/>
    <x v="0"/>
    <x v="1"/>
    <x v="0"/>
    <x v="1"/>
    <n v="0"/>
    <n v="7"/>
    <n v="3"/>
    <x v="0"/>
    <x v="0"/>
    <x v="0"/>
    <n v="0"/>
    <n v="0"/>
    <n v="0"/>
    <n v="0"/>
    <n v="10"/>
    <n v="10"/>
    <n v="24"/>
    <n v="0"/>
    <n v="0"/>
    <x v="119"/>
  </r>
  <r>
    <x v="2"/>
    <x v="23"/>
    <x v="21"/>
    <x v="23"/>
    <x v="2"/>
    <n v="28"/>
    <x v="3"/>
    <n v="20"/>
    <s v="AI"/>
    <x v="2"/>
    <x v="2"/>
    <x v="2"/>
    <x v="2"/>
    <x v="2"/>
    <n v="0"/>
    <n v="0"/>
    <x v="11"/>
    <n v="0"/>
    <x v="0"/>
    <n v="0"/>
    <s v="offensive"/>
    <n v="0"/>
    <n v="0"/>
    <n v="0"/>
    <n v="0"/>
    <n v="0"/>
    <n v="0"/>
    <n v="0"/>
    <n v="0"/>
    <x v="18"/>
    <n v="0"/>
    <n v="3"/>
    <n v="78"/>
    <n v="90"/>
    <n v="101"/>
    <n v="36898"/>
    <n v="9"/>
    <n v="0"/>
    <s v="01-07-01"/>
    <n v="38"/>
    <s v="DNP"/>
    <x v="1"/>
    <x v="1"/>
    <n v="3"/>
    <x v="0"/>
    <n v="2"/>
    <n v="1"/>
    <x v="0"/>
    <s v="Jacey"/>
    <x v="23"/>
    <x v="37"/>
    <x v="4"/>
    <n v="0"/>
    <n v="0"/>
    <n v="0"/>
    <n v="0"/>
    <x v="3"/>
    <x v="1"/>
    <x v="1"/>
    <x v="1"/>
    <x v="1"/>
    <n v="0"/>
    <n v="0"/>
    <n v="0"/>
    <x v="0"/>
    <x v="0"/>
    <x v="0"/>
    <n v="0"/>
    <n v="0"/>
    <n v="0"/>
    <n v="0"/>
    <n v="0"/>
    <n v="0"/>
    <n v="0"/>
    <n v="0"/>
    <n v="0"/>
    <x v="120"/>
  </r>
  <r>
    <x v="27"/>
    <x v="39"/>
    <x v="28"/>
    <x v="38"/>
    <x v="23"/>
    <n v="2"/>
    <x v="10"/>
    <n v="15"/>
    <s v="AK"/>
    <x v="2"/>
    <x v="2"/>
    <x v="2"/>
    <x v="2"/>
    <x v="19"/>
    <n v="134"/>
    <n v="54"/>
    <x v="42"/>
    <n v="0"/>
    <x v="0"/>
    <n v="2"/>
    <s v="offensive"/>
    <n v="1"/>
    <n v="1"/>
    <n v="1"/>
    <n v="0"/>
    <n v="10"/>
    <n v="57"/>
    <n v="57"/>
    <n v="0"/>
    <x v="30"/>
    <n v="0"/>
    <n v="18"/>
    <n v="240"/>
    <n v="140"/>
    <n v="461"/>
    <s v="9-0-0"/>
    <n v="9"/>
    <n v="0"/>
    <s v="9-0-0"/>
    <n v="1"/>
    <n v="1"/>
    <x v="1"/>
    <x v="1"/>
    <n v="3"/>
    <x v="0"/>
    <n v="2"/>
    <n v="1"/>
    <x v="0"/>
    <s v="Jacey"/>
    <x v="39"/>
    <x v="38"/>
    <x v="4"/>
    <n v="3"/>
    <n v="0"/>
    <n v="18"/>
    <n v="0"/>
    <x v="0"/>
    <x v="0"/>
    <x v="1"/>
    <x v="0"/>
    <x v="1"/>
    <n v="39"/>
    <n v="0"/>
    <n v="3"/>
    <x v="1"/>
    <x v="0"/>
    <x v="0"/>
    <n v="0"/>
    <n v="0"/>
    <n v="0"/>
    <n v="0"/>
    <n v="0"/>
    <n v="10"/>
    <n v="12"/>
    <n v="0"/>
    <n v="0"/>
    <x v="121"/>
  </r>
  <r>
    <x v="12"/>
    <x v="14"/>
    <x v="13"/>
    <x v="14"/>
    <x v="12"/>
    <n v="5"/>
    <x v="9"/>
    <n v="22"/>
    <s v="AKI"/>
    <x v="9"/>
    <x v="9"/>
    <x v="9"/>
    <x v="9"/>
    <x v="2"/>
    <n v="110.75"/>
    <n v="72"/>
    <x v="43"/>
    <n v="20"/>
    <x v="0"/>
    <n v="0"/>
    <s v="offensive"/>
    <n v="1"/>
    <n v="0.625"/>
    <n v="1"/>
    <n v="0"/>
    <n v="10"/>
    <n v="39"/>
    <n v="39"/>
    <n v="0"/>
    <x v="10"/>
    <n v="0"/>
    <n v="14"/>
    <n v="266"/>
    <n v="140"/>
    <n v="284"/>
    <n v="36709"/>
    <n v="9"/>
    <n v="0"/>
    <s v="07-02-00"/>
    <n v="2"/>
    <n v="3"/>
    <x v="1"/>
    <x v="1"/>
    <n v="3"/>
    <x v="0"/>
    <n v="2"/>
    <n v="1"/>
    <x v="0"/>
    <s v="Jacey"/>
    <x v="14"/>
    <x v="39"/>
    <x v="4"/>
    <n v="3"/>
    <n v="0"/>
    <n v="24"/>
    <n v="0"/>
    <x v="9"/>
    <x v="0"/>
    <x v="1"/>
    <x v="0"/>
    <x v="1"/>
    <n v="15"/>
    <n v="9"/>
    <n v="2"/>
    <x v="0"/>
    <x v="0"/>
    <x v="0"/>
    <n v="0"/>
    <n v="0"/>
    <n v="0"/>
    <n v="0"/>
    <n v="10"/>
    <n v="10"/>
    <n v="9"/>
    <n v="0"/>
    <n v="0"/>
    <x v="122"/>
  </r>
  <r>
    <x v="0"/>
    <x v="0"/>
    <x v="0"/>
    <x v="0"/>
    <x v="0"/>
    <n v="4"/>
    <x v="0"/>
    <n v="25"/>
    <s v="AKI"/>
    <x v="0"/>
    <x v="0"/>
    <x v="0"/>
    <x v="0"/>
    <x v="0"/>
    <n v="136"/>
    <n v="72"/>
    <x v="14"/>
    <n v="20"/>
    <x v="0"/>
    <n v="2"/>
    <s v="offensive"/>
    <n v="1"/>
    <n v="1"/>
    <n v="1"/>
    <n v="0"/>
    <n v="10"/>
    <n v="45"/>
    <n v="45"/>
    <n v="0"/>
    <x v="0"/>
    <n v="0"/>
    <n v="10"/>
    <n v="178"/>
    <n v="80"/>
    <n v="213"/>
    <n v="36649"/>
    <n v="8"/>
    <n v="0"/>
    <s v="05-03-00"/>
    <n v="11"/>
    <n v="6.5"/>
    <x v="0"/>
    <x v="0"/>
    <n v="3"/>
    <x v="0"/>
    <n v="2"/>
    <n v="1"/>
    <x v="0"/>
    <s v="Jacey"/>
    <x v="0"/>
    <x v="40"/>
    <x v="4"/>
    <n v="4"/>
    <n v="0"/>
    <n v="24"/>
    <n v="0"/>
    <x v="0"/>
    <x v="1"/>
    <x v="1"/>
    <x v="1"/>
    <x v="1"/>
    <n v="21"/>
    <n v="0"/>
    <n v="3"/>
    <x v="1"/>
    <x v="0"/>
    <x v="0"/>
    <n v="0"/>
    <n v="0"/>
    <n v="0"/>
    <n v="0"/>
    <n v="10"/>
    <n v="10"/>
    <n v="0"/>
    <n v="0"/>
    <n v="0"/>
    <x v="123"/>
  </r>
  <r>
    <x v="21"/>
    <x v="28"/>
    <x v="21"/>
    <x v="19"/>
    <x v="2"/>
    <n v="28"/>
    <x v="3"/>
    <n v="2"/>
    <s v="A"/>
    <x v="2"/>
    <x v="2"/>
    <x v="2"/>
    <x v="2"/>
    <x v="2"/>
    <n v="0"/>
    <n v="0"/>
    <x v="11"/>
    <n v="0"/>
    <x v="0"/>
    <n v="0"/>
    <s v="offensive"/>
    <n v="0"/>
    <n v="0"/>
    <n v="0"/>
    <n v="0"/>
    <n v="0"/>
    <n v="0"/>
    <n v="0"/>
    <n v="0"/>
    <x v="23"/>
    <n v="0"/>
    <n v="8"/>
    <n v="58"/>
    <n v="30"/>
    <n v="138"/>
    <n v="36620"/>
    <n v="8"/>
    <n v="0"/>
    <s v="04-04-00"/>
    <n v="24"/>
    <n v="24"/>
    <x v="1"/>
    <x v="1"/>
    <n v="3"/>
    <x v="0"/>
    <n v="2"/>
    <n v="1"/>
    <x v="0"/>
    <s v="Jacey"/>
    <x v="28"/>
    <x v="41"/>
    <x v="4"/>
    <n v="3"/>
    <n v="0"/>
    <n v="0"/>
    <n v="0"/>
    <x v="1"/>
    <x v="1"/>
    <x v="1"/>
    <x v="1"/>
    <x v="1"/>
    <n v="0"/>
    <n v="0"/>
    <n v="0"/>
    <x v="0"/>
    <x v="0"/>
    <x v="1"/>
    <n v="0"/>
    <n v="0"/>
    <n v="0"/>
    <n v="0"/>
    <n v="0"/>
    <n v="0"/>
    <n v="0"/>
    <n v="0"/>
    <n v="0"/>
    <x v="124"/>
  </r>
  <r>
    <x v="26"/>
    <x v="36"/>
    <x v="21"/>
    <x v="35"/>
    <x v="2"/>
    <n v="28"/>
    <x v="4"/>
    <n v="5"/>
    <s v="AKI"/>
    <x v="15"/>
    <x v="15"/>
    <x v="15"/>
    <x v="15"/>
    <x v="2"/>
    <n v="41.394929577464794"/>
    <n v="0"/>
    <x v="11"/>
    <n v="20"/>
    <x v="35"/>
    <n v="0"/>
    <s v="defensive"/>
    <n v="0"/>
    <n v="0"/>
    <n v="1"/>
    <n v="0.56901408450704227"/>
    <n v="10"/>
    <n v="37.6"/>
    <n v="0"/>
    <n v="37.6"/>
    <x v="1"/>
    <n v="1"/>
    <n v="12"/>
    <n v="70"/>
    <n v="140"/>
    <n v="170"/>
    <n v="36679"/>
    <n v="8"/>
    <n v="0"/>
    <s v="06-02-00"/>
    <n v="9"/>
    <n v="20"/>
    <x v="1"/>
    <x v="1"/>
    <n v="3"/>
    <x v="0"/>
    <n v="2"/>
    <n v="1"/>
    <x v="0"/>
    <s v="Nikhil"/>
    <x v="36"/>
    <x v="42"/>
    <x v="4"/>
    <n v="3"/>
    <n v="0"/>
    <n v="0"/>
    <n v="0"/>
    <x v="3"/>
    <x v="1"/>
    <x v="1"/>
    <x v="1"/>
    <x v="1"/>
    <n v="0"/>
    <n v="0"/>
    <n v="2"/>
    <x v="0"/>
    <x v="2"/>
    <x v="1"/>
    <n v="22"/>
    <n v="120"/>
    <n v="0"/>
    <n v="0"/>
    <n v="10"/>
    <n v="10"/>
    <n v="9"/>
    <n v="0"/>
    <n v="0"/>
    <x v="125"/>
  </r>
  <r>
    <x v="15"/>
    <x v="19"/>
    <x v="18"/>
    <x v="19"/>
    <x v="15"/>
    <n v="11"/>
    <x v="2"/>
    <n v="25"/>
    <s v="AKI"/>
    <x v="14"/>
    <x v="14"/>
    <x v="14"/>
    <x v="14"/>
    <x v="1"/>
    <n v="60"/>
    <n v="54"/>
    <x v="15"/>
    <n v="0"/>
    <x v="0"/>
    <n v="0"/>
    <s v="offensive"/>
    <n v="1"/>
    <n v="0.5"/>
    <n v="1"/>
    <n v="0"/>
    <n v="10"/>
    <n v="23"/>
    <n v="24"/>
    <n v="-1"/>
    <x v="14"/>
    <n v="0"/>
    <n v="4"/>
    <n v="94"/>
    <n v="70"/>
    <n v="162"/>
    <n v="36562"/>
    <n v="8"/>
    <n v="0"/>
    <s v="02-06-00"/>
    <n v="36"/>
    <n v="13"/>
    <x v="1"/>
    <x v="1"/>
    <n v="3"/>
    <x v="0"/>
    <n v="2"/>
    <n v="1"/>
    <x v="0"/>
    <s v="Nikhil"/>
    <x v="19"/>
    <x v="43"/>
    <x v="4"/>
    <n v="3"/>
    <n v="0"/>
    <n v="18"/>
    <n v="0"/>
    <x v="9"/>
    <x v="1"/>
    <x v="1"/>
    <x v="0"/>
    <x v="1"/>
    <n v="6"/>
    <n v="6"/>
    <n v="0"/>
    <x v="0"/>
    <x v="0"/>
    <x v="0"/>
    <n v="0"/>
    <n v="0"/>
    <n v="0"/>
    <n v="0"/>
    <n v="0"/>
    <n v="10"/>
    <n v="0"/>
    <n v="1"/>
    <n v="0"/>
    <x v="126"/>
  </r>
  <r>
    <x v="2"/>
    <x v="25"/>
    <x v="23"/>
    <x v="25"/>
    <x v="2"/>
    <n v="24"/>
    <x v="3"/>
    <n v="10"/>
    <s v="AKI"/>
    <x v="16"/>
    <x v="16"/>
    <x v="16"/>
    <x v="16"/>
    <x v="2"/>
    <n v="2.8960893854748604"/>
    <n v="0"/>
    <x v="11"/>
    <n v="0"/>
    <x v="36"/>
    <n v="0"/>
    <s v="defensive"/>
    <n v="0"/>
    <n v="0"/>
    <n v="0"/>
    <n v="0.2011173184357542"/>
    <n v="0"/>
    <n v="14.4"/>
    <n v="0"/>
    <n v="14.4"/>
    <x v="20"/>
    <n v="0"/>
    <n v="6"/>
    <n v="94"/>
    <n v="70"/>
    <n v="182"/>
    <n v="36590"/>
    <n v="8"/>
    <n v="0"/>
    <s v="03-05-00"/>
    <n v="29"/>
    <s v="DNP"/>
    <x v="1"/>
    <x v="1"/>
    <n v="3"/>
    <x v="0"/>
    <n v="2"/>
    <n v="1"/>
    <x v="0"/>
    <s v="Nikhil"/>
    <x v="25"/>
    <x v="44"/>
    <x v="4"/>
    <n v="3"/>
    <n v="0"/>
    <n v="0"/>
    <n v="0"/>
    <x v="3"/>
    <x v="1"/>
    <x v="1"/>
    <x v="0"/>
    <x v="1"/>
    <n v="0"/>
    <n v="0"/>
    <n v="1"/>
    <x v="0"/>
    <x v="0"/>
    <x v="3"/>
    <n v="59"/>
    <n v="120"/>
    <n v="0"/>
    <n v="0"/>
    <n v="0"/>
    <n v="0"/>
    <n v="0"/>
    <n v="0"/>
    <n v="0"/>
    <x v="127"/>
  </r>
  <r>
    <x v="20"/>
    <x v="27"/>
    <x v="25"/>
    <x v="27"/>
    <x v="20"/>
    <n v="28"/>
    <x v="14"/>
    <n v="25"/>
    <s v="AK"/>
    <x v="10"/>
    <x v="10"/>
    <x v="10"/>
    <x v="10"/>
    <x v="14"/>
    <n v="62"/>
    <n v="0"/>
    <x v="11"/>
    <n v="60"/>
    <x v="0"/>
    <n v="2"/>
    <s v="offensive"/>
    <n v="0"/>
    <n v="0"/>
    <n v="1"/>
    <n v="0"/>
    <n v="30"/>
    <n v="0"/>
    <n v="0"/>
    <n v="0"/>
    <x v="22"/>
    <n v="0"/>
    <n v="8"/>
    <n v="54"/>
    <n v="230"/>
    <n v="62"/>
    <n v="36620"/>
    <n v="8"/>
    <n v="0"/>
    <s v="04-04-00"/>
    <n v="25"/>
    <n v="22"/>
    <x v="0"/>
    <x v="6"/>
    <n v="3"/>
    <x v="0"/>
    <n v="2"/>
    <n v="1"/>
    <x v="0"/>
    <s v="Nikhil"/>
    <x v="27"/>
    <x v="45"/>
    <x v="4"/>
    <n v="2"/>
    <n v="0"/>
    <n v="0"/>
    <n v="0"/>
    <x v="7"/>
    <x v="1"/>
    <x v="1"/>
    <x v="1"/>
    <x v="1"/>
    <n v="0"/>
    <n v="0"/>
    <n v="0"/>
    <x v="1"/>
    <x v="0"/>
    <x v="0"/>
    <n v="0"/>
    <n v="0"/>
    <n v="0"/>
    <n v="0"/>
    <n v="30"/>
    <n v="30"/>
    <n v="60"/>
    <n v="0"/>
    <n v="0"/>
    <x v="128"/>
  </r>
  <r>
    <x v="12"/>
    <x v="14"/>
    <x v="13"/>
    <x v="14"/>
    <x v="12"/>
    <n v="5"/>
    <x v="9"/>
    <n v="22"/>
    <s v="AKI"/>
    <x v="9"/>
    <x v="9"/>
    <x v="9"/>
    <x v="9"/>
    <x v="2"/>
    <n v="83.375272727272716"/>
    <n v="54"/>
    <x v="44"/>
    <n v="0"/>
    <x v="37"/>
    <n v="2"/>
    <s v="both"/>
    <n v="1"/>
    <n v="0.63636363636363635"/>
    <n v="1"/>
    <n v="0.3"/>
    <n v="10"/>
    <n v="41.16"/>
    <n v="39"/>
    <n v="2.1599999999999997"/>
    <x v="10"/>
    <n v="0"/>
    <n v="14"/>
    <n v="266"/>
    <n v="140"/>
    <n v="284"/>
    <n v="36709"/>
    <n v="9"/>
    <n v="0"/>
    <s v="07-02-00"/>
    <n v="2"/>
    <n v="3"/>
    <x v="1"/>
    <x v="1"/>
    <n v="3"/>
    <x v="0"/>
    <n v="2"/>
    <n v="1"/>
    <x v="0"/>
    <s v="Nikhil"/>
    <x v="14"/>
    <x v="46"/>
    <x v="4"/>
    <n v="3"/>
    <n v="0"/>
    <n v="18"/>
    <n v="0"/>
    <x v="3"/>
    <x v="1"/>
    <x v="1"/>
    <x v="0"/>
    <x v="1"/>
    <n v="21"/>
    <n v="12"/>
    <n v="3"/>
    <x v="0"/>
    <x v="0"/>
    <x v="3"/>
    <n v="0"/>
    <n v="18"/>
    <n v="0"/>
    <n v="0"/>
    <n v="0"/>
    <n v="10"/>
    <n v="7"/>
    <n v="0"/>
    <n v="0"/>
    <x v="129"/>
  </r>
  <r>
    <x v="6"/>
    <x v="8"/>
    <x v="8"/>
    <x v="8"/>
    <x v="6"/>
    <n v="12"/>
    <x v="2"/>
    <n v="25"/>
    <s v="AKI"/>
    <x v="8"/>
    <x v="8"/>
    <x v="8"/>
    <x v="8"/>
    <x v="6"/>
    <n v="24"/>
    <n v="24"/>
    <x v="11"/>
    <n v="0"/>
    <x v="0"/>
    <n v="0"/>
    <s v="offensive"/>
    <n v="0.66666666666666663"/>
    <n v="0"/>
    <n v="0"/>
    <n v="0"/>
    <n v="0"/>
    <n v="12"/>
    <n v="12"/>
    <n v="0"/>
    <x v="1"/>
    <n v="0"/>
    <n v="14"/>
    <n v="180"/>
    <n v="140"/>
    <n v="209"/>
    <n v="36709"/>
    <n v="9"/>
    <n v="0"/>
    <s v="07-02-00"/>
    <n v="3"/>
    <n v="9"/>
    <x v="0"/>
    <x v="3"/>
    <n v="3"/>
    <x v="0"/>
    <n v="2"/>
    <n v="1"/>
    <x v="0"/>
    <s v="Nikhil"/>
    <x v="8"/>
    <x v="9"/>
    <x v="4"/>
    <n v="3"/>
    <n v="0"/>
    <n v="12"/>
    <n v="6"/>
    <x v="9"/>
    <x v="1"/>
    <x v="1"/>
    <x v="1"/>
    <x v="1"/>
    <n v="0"/>
    <n v="0"/>
    <n v="0"/>
    <x v="0"/>
    <x v="0"/>
    <x v="0"/>
    <n v="0"/>
    <n v="0"/>
    <n v="0"/>
    <n v="0"/>
    <n v="0"/>
    <n v="0"/>
    <n v="0"/>
    <n v="0"/>
    <n v="0"/>
    <x v="130"/>
  </r>
  <r>
    <x v="9"/>
    <x v="11"/>
    <x v="10"/>
    <x v="11"/>
    <x v="9"/>
    <n v="9"/>
    <x v="3"/>
    <n v="25"/>
    <s v="AKI"/>
    <x v="2"/>
    <x v="2"/>
    <x v="2"/>
    <x v="2"/>
    <x v="8"/>
    <n v="0"/>
    <n v="0"/>
    <x v="11"/>
    <n v="0"/>
    <x v="0"/>
    <n v="0"/>
    <s v="offensive"/>
    <n v="0"/>
    <n v="0"/>
    <n v="0"/>
    <n v="0"/>
    <n v="0"/>
    <n v="0"/>
    <n v="0"/>
    <n v="0"/>
    <x v="7"/>
    <n v="0"/>
    <n v="6"/>
    <n v="106"/>
    <n v="70"/>
    <n v="201"/>
    <n v="36590"/>
    <n v="8"/>
    <n v="0"/>
    <s v="03-05-00"/>
    <n v="27"/>
    <n v="8"/>
    <x v="0"/>
    <x v="4"/>
    <n v="3"/>
    <x v="0"/>
    <n v="2"/>
    <n v="1"/>
    <x v="0"/>
    <s v="Nikhil"/>
    <x v="11"/>
    <x v="47"/>
    <x v="4"/>
    <n v="3"/>
    <n v="0"/>
    <n v="0"/>
    <n v="18"/>
    <x v="3"/>
    <x v="1"/>
    <x v="1"/>
    <x v="0"/>
    <x v="1"/>
    <n v="0"/>
    <n v="30"/>
    <n v="2"/>
    <x v="0"/>
    <x v="0"/>
    <x v="0"/>
    <n v="0"/>
    <n v="0"/>
    <n v="0"/>
    <n v="0"/>
    <n v="0"/>
    <n v="0"/>
    <n v="0"/>
    <n v="0"/>
    <n v="0"/>
    <x v="131"/>
  </r>
  <r>
    <x v="22"/>
    <x v="30"/>
    <x v="26"/>
    <x v="29"/>
    <x v="21"/>
    <n v="7"/>
    <x v="15"/>
    <n v="25"/>
    <s v="AKI"/>
    <x v="18"/>
    <x v="18"/>
    <x v="18"/>
    <x v="18"/>
    <x v="10"/>
    <n v="104"/>
    <n v="54"/>
    <x v="26"/>
    <n v="20"/>
    <x v="0"/>
    <n v="0"/>
    <s v="offensive"/>
    <n v="1"/>
    <n v="1"/>
    <n v="1"/>
    <n v="0"/>
    <n v="10"/>
    <n v="33"/>
    <n v="33"/>
    <n v="0"/>
    <x v="25"/>
    <n v="0"/>
    <n v="8"/>
    <n v="160"/>
    <n v="140"/>
    <n v="237"/>
    <n v="36620"/>
    <n v="8"/>
    <n v="0"/>
    <s v="04-04-00"/>
    <n v="18"/>
    <n v="5"/>
    <x v="1"/>
    <x v="1"/>
    <n v="3"/>
    <x v="0"/>
    <n v="2"/>
    <n v="1"/>
    <x v="0"/>
    <s v="Nikhil"/>
    <x v="30"/>
    <x v="48"/>
    <x v="4"/>
    <n v="3"/>
    <n v="0"/>
    <n v="18"/>
    <n v="0"/>
    <x v="0"/>
    <x v="1"/>
    <x v="1"/>
    <x v="0"/>
    <x v="1"/>
    <n v="15"/>
    <n v="0"/>
    <n v="3"/>
    <x v="0"/>
    <x v="0"/>
    <x v="0"/>
    <n v="0"/>
    <n v="0"/>
    <n v="0"/>
    <n v="0"/>
    <n v="10"/>
    <n v="10"/>
    <n v="6"/>
    <n v="0"/>
    <n v="0"/>
    <x v="132"/>
  </r>
  <r>
    <x v="2"/>
    <x v="4"/>
    <x v="4"/>
    <x v="4"/>
    <x v="2"/>
    <n v="25"/>
    <x v="3"/>
    <n v="4"/>
    <s v="AK"/>
    <x v="4"/>
    <x v="4"/>
    <x v="4"/>
    <x v="4"/>
    <x v="2"/>
    <n v="-0.5"/>
    <n v="0"/>
    <x v="45"/>
    <n v="0"/>
    <x v="0"/>
    <n v="-2"/>
    <s v="offensive"/>
    <n v="0"/>
    <n v="0.25"/>
    <n v="0"/>
    <n v="0"/>
    <n v="0"/>
    <n v="3"/>
    <n v="3"/>
    <n v="0"/>
    <x v="3"/>
    <n v="0"/>
    <n v="8"/>
    <n v="106"/>
    <n v="120"/>
    <n v="156"/>
    <n v="36621"/>
    <n v="9"/>
    <n v="0"/>
    <s v="04-05-00"/>
    <n v="19"/>
    <s v="DNP"/>
    <x v="1"/>
    <x v="1"/>
    <n v="3"/>
    <x v="0"/>
    <n v="2"/>
    <n v="1"/>
    <x v="0"/>
    <s v="Davante"/>
    <x v="4"/>
    <x v="49"/>
    <x v="4"/>
    <n v="2"/>
    <n v="0"/>
    <n v="0"/>
    <n v="0"/>
    <x v="0"/>
    <x v="0"/>
    <x v="1"/>
    <x v="1"/>
    <x v="0"/>
    <n v="3"/>
    <n v="9"/>
    <n v="2"/>
    <x v="0"/>
    <x v="0"/>
    <x v="0"/>
    <n v="0"/>
    <n v="0"/>
    <n v="0"/>
    <n v="0"/>
    <n v="0"/>
    <n v="0"/>
    <n v="0"/>
    <n v="0"/>
    <n v="0"/>
    <x v="133"/>
  </r>
  <r>
    <x v="21"/>
    <x v="28"/>
    <x v="21"/>
    <x v="19"/>
    <x v="2"/>
    <n v="28"/>
    <x v="3"/>
    <n v="2"/>
    <s v="A"/>
    <x v="2"/>
    <x v="2"/>
    <x v="2"/>
    <x v="2"/>
    <x v="2"/>
    <n v="0"/>
    <n v="0"/>
    <x v="11"/>
    <n v="0"/>
    <x v="0"/>
    <n v="0"/>
    <s v="offensive"/>
    <n v="0"/>
    <n v="0"/>
    <n v="0"/>
    <n v="0"/>
    <n v="0"/>
    <n v="0"/>
    <n v="0"/>
    <n v="0"/>
    <x v="23"/>
    <n v="0"/>
    <n v="8"/>
    <n v="58"/>
    <n v="30"/>
    <n v="138"/>
    <n v="36620"/>
    <n v="8"/>
    <n v="0"/>
    <s v="04-04-00"/>
    <n v="24"/>
    <n v="24"/>
    <x v="1"/>
    <x v="1"/>
    <n v="3"/>
    <x v="0"/>
    <n v="2"/>
    <n v="1"/>
    <x v="0"/>
    <s v="Davante"/>
    <x v="28"/>
    <x v="50"/>
    <x v="4"/>
    <n v="0"/>
    <n v="0"/>
    <n v="0"/>
    <n v="0"/>
    <x v="13"/>
    <x v="1"/>
    <x v="1"/>
    <x v="1"/>
    <x v="1"/>
    <n v="0"/>
    <n v="0"/>
    <n v="0"/>
    <x v="0"/>
    <x v="0"/>
    <x v="0"/>
    <n v="0"/>
    <n v="7"/>
    <n v="0"/>
    <n v="0"/>
    <n v="0"/>
    <n v="0"/>
    <n v="0"/>
    <n v="0"/>
    <n v="0"/>
    <x v="134"/>
  </r>
  <r>
    <x v="2"/>
    <x v="16"/>
    <x v="15"/>
    <x v="16"/>
    <x v="2"/>
    <n v="17"/>
    <x v="3"/>
    <n v="9"/>
    <s v="AKI"/>
    <x v="8"/>
    <x v="8"/>
    <x v="8"/>
    <x v="8"/>
    <x v="11"/>
    <n v="12"/>
    <n v="0"/>
    <x v="3"/>
    <n v="0"/>
    <x v="0"/>
    <n v="0"/>
    <s v="offensive"/>
    <n v="0"/>
    <n v="1"/>
    <n v="0"/>
    <n v="0"/>
    <n v="0"/>
    <n v="6"/>
    <n v="6"/>
    <n v="0"/>
    <x v="11"/>
    <n v="0"/>
    <n v="6"/>
    <n v="42"/>
    <n v="60"/>
    <n v="91"/>
    <n v="36589"/>
    <n v="8"/>
    <n v="0"/>
    <s v="03-04-00"/>
    <n v="33"/>
    <s v="DNP"/>
    <x v="1"/>
    <x v="1"/>
    <n v="3"/>
    <x v="0"/>
    <n v="2"/>
    <n v="1"/>
    <x v="0"/>
    <s v="Davante"/>
    <x v="16"/>
    <x v="51"/>
    <x v="4"/>
    <n v="3"/>
    <n v="0"/>
    <n v="0"/>
    <n v="0"/>
    <x v="3"/>
    <x v="1"/>
    <x v="1"/>
    <x v="0"/>
    <x v="0"/>
    <n v="6"/>
    <n v="0"/>
    <n v="2"/>
    <x v="0"/>
    <x v="0"/>
    <x v="0"/>
    <n v="0"/>
    <n v="0"/>
    <n v="0"/>
    <n v="0"/>
    <n v="0"/>
    <n v="0"/>
    <n v="0"/>
    <n v="0"/>
    <n v="0"/>
    <x v="0"/>
  </r>
  <r>
    <x v="2"/>
    <x v="2"/>
    <x v="2"/>
    <x v="2"/>
    <x v="2"/>
    <n v="26"/>
    <x v="2"/>
    <n v="25"/>
    <s v="A"/>
    <x v="2"/>
    <x v="2"/>
    <x v="2"/>
    <x v="2"/>
    <x v="2"/>
    <n v="20"/>
    <n v="0"/>
    <x v="11"/>
    <n v="20"/>
    <x v="0"/>
    <n v="0"/>
    <s v="offensive"/>
    <n v="0"/>
    <n v="0"/>
    <n v="1"/>
    <n v="0"/>
    <n v="10"/>
    <n v="0"/>
    <n v="0"/>
    <n v="0"/>
    <x v="1"/>
    <n v="1"/>
    <n v="8"/>
    <n v="86"/>
    <n v="80"/>
    <n v="122"/>
    <n v="36621"/>
    <n v="9"/>
    <n v="0"/>
    <s v="04-05-00"/>
    <n v="21"/>
    <s v="DNP"/>
    <x v="1"/>
    <x v="1"/>
    <n v="3"/>
    <x v="0"/>
    <n v="2"/>
    <n v="1"/>
    <x v="0"/>
    <s v="Davante"/>
    <x v="2"/>
    <x v="52"/>
    <x v="4"/>
    <n v="3"/>
    <n v="0"/>
    <n v="0"/>
    <n v="0"/>
    <x v="15"/>
    <x v="1"/>
    <x v="1"/>
    <x v="0"/>
    <x v="1"/>
    <n v="0"/>
    <n v="0"/>
    <n v="1"/>
    <x v="0"/>
    <x v="0"/>
    <x v="0"/>
    <n v="0"/>
    <n v="0"/>
    <n v="0"/>
    <n v="0"/>
    <n v="10"/>
    <n v="10"/>
    <n v="2"/>
    <n v="0"/>
    <n v="0"/>
    <x v="135"/>
  </r>
  <r>
    <x v="11"/>
    <x v="13"/>
    <x v="12"/>
    <x v="13"/>
    <x v="11"/>
    <n v="3"/>
    <x v="7"/>
    <n v="18"/>
    <s v="AKI"/>
    <x v="11"/>
    <x v="11"/>
    <x v="11"/>
    <x v="11"/>
    <x v="2"/>
    <n v="78"/>
    <n v="24"/>
    <x v="36"/>
    <n v="20"/>
    <x v="0"/>
    <n v="-2"/>
    <s v="offensive"/>
    <n v="0.66666666666666663"/>
    <n v="0.75"/>
    <n v="1"/>
    <n v="0"/>
    <n v="10"/>
    <n v="36"/>
    <n v="36"/>
    <n v="0"/>
    <x v="9"/>
    <n v="0"/>
    <n v="12"/>
    <n v="186"/>
    <n v="150"/>
    <n v="379"/>
    <n v="36680"/>
    <n v="9"/>
    <n v="0"/>
    <s v="06-03-00"/>
    <n v="4"/>
    <n v="4"/>
    <x v="0"/>
    <x v="5"/>
    <n v="3"/>
    <x v="0"/>
    <n v="2"/>
    <n v="1"/>
    <x v="0"/>
    <s v="Davante"/>
    <x v="13"/>
    <x v="53"/>
    <x v="4"/>
    <n v="3"/>
    <n v="0"/>
    <n v="12"/>
    <n v="6"/>
    <x v="0"/>
    <x v="1"/>
    <x v="1"/>
    <x v="0"/>
    <x v="1"/>
    <n v="24"/>
    <n v="8"/>
    <n v="2"/>
    <x v="0"/>
    <x v="0"/>
    <x v="0"/>
    <n v="0"/>
    <n v="0"/>
    <n v="0"/>
    <n v="0"/>
    <n v="10"/>
    <n v="10"/>
    <n v="3"/>
    <n v="0"/>
    <n v="0"/>
    <x v="136"/>
  </r>
  <r>
    <x v="25"/>
    <x v="35"/>
    <x v="27"/>
    <x v="34"/>
    <x v="22"/>
    <n v="23"/>
    <x v="3"/>
    <n v="25"/>
    <s v="AK"/>
    <x v="2"/>
    <x v="2"/>
    <x v="2"/>
    <x v="2"/>
    <x v="2"/>
    <n v="2"/>
    <n v="0"/>
    <x v="17"/>
    <n v="0"/>
    <x v="0"/>
    <n v="0"/>
    <s v="offensive"/>
    <n v="0"/>
    <n v="0.33333333333333331"/>
    <n v="0"/>
    <n v="0"/>
    <n v="0"/>
    <n v="3"/>
    <n v="3"/>
    <n v="0"/>
    <x v="28"/>
    <n v="1"/>
    <n v="12"/>
    <n v="144"/>
    <n v="120"/>
    <n v="169"/>
    <n v="36680"/>
    <n v="9"/>
    <n v="0"/>
    <s v="06-03-00"/>
    <n v="6"/>
    <n v="18"/>
    <x v="1"/>
    <x v="1"/>
    <n v="3"/>
    <x v="0"/>
    <n v="2"/>
    <n v="1"/>
    <x v="0"/>
    <s v="Davante"/>
    <x v="35"/>
    <x v="54"/>
    <x v="4"/>
    <n v="0"/>
    <n v="0"/>
    <n v="0"/>
    <n v="12"/>
    <x v="15"/>
    <x v="1"/>
    <x v="1"/>
    <x v="0"/>
    <x v="1"/>
    <n v="3"/>
    <n v="6"/>
    <n v="2"/>
    <x v="0"/>
    <x v="0"/>
    <x v="0"/>
    <n v="0"/>
    <n v="0"/>
    <n v="0"/>
    <n v="0"/>
    <n v="0"/>
    <n v="0"/>
    <n v="0"/>
    <n v="0"/>
    <n v="0"/>
    <x v="137"/>
  </r>
  <r>
    <x v="2"/>
    <x v="20"/>
    <x v="14"/>
    <x v="20"/>
    <x v="13"/>
    <n v="28"/>
    <x v="3"/>
    <n v="25"/>
    <s v="AID"/>
    <x v="1"/>
    <x v="1"/>
    <x v="1"/>
    <x v="1"/>
    <x v="2"/>
    <n v="0"/>
    <n v="0"/>
    <x v="11"/>
    <n v="0"/>
    <x v="0"/>
    <n v="0"/>
    <s v="offensive"/>
    <n v="0"/>
    <n v="0"/>
    <n v="0"/>
    <n v="0"/>
    <n v="0"/>
    <n v="0"/>
    <n v="0"/>
    <n v="0"/>
    <x v="15"/>
    <n v="0"/>
    <n v="10"/>
    <n v="64"/>
    <n v="70"/>
    <n v="87"/>
    <n v="36649"/>
    <n v="8"/>
    <n v="0"/>
    <s v="05-03-00"/>
    <n v="16"/>
    <s v="DNP"/>
    <x v="1"/>
    <x v="1"/>
    <n v="3"/>
    <x v="0"/>
    <n v="2"/>
    <n v="1"/>
    <x v="0"/>
    <s v="Philip Dittmeier"/>
    <x v="20"/>
    <x v="23"/>
    <x v="4"/>
    <n v="0"/>
    <n v="0"/>
    <n v="0"/>
    <n v="0"/>
    <x v="3"/>
    <x v="1"/>
    <x v="1"/>
    <x v="1"/>
    <x v="1"/>
    <n v="0"/>
    <n v="0"/>
    <n v="1"/>
    <x v="0"/>
    <x v="0"/>
    <x v="0"/>
    <n v="0"/>
    <n v="0"/>
    <n v="0"/>
    <n v="0"/>
    <n v="0"/>
    <n v="0"/>
    <n v="0"/>
    <n v="0"/>
    <n v="0"/>
    <x v="138"/>
  </r>
  <r>
    <x v="5"/>
    <x v="7"/>
    <x v="7"/>
    <x v="7"/>
    <x v="5"/>
    <n v="14"/>
    <x v="6"/>
    <n v="21"/>
    <s v="AK"/>
    <x v="7"/>
    <x v="7"/>
    <x v="7"/>
    <x v="7"/>
    <x v="5"/>
    <n v="80"/>
    <n v="54"/>
    <x v="21"/>
    <n v="20"/>
    <x v="0"/>
    <n v="-2"/>
    <s v="offensive"/>
    <n v="1"/>
    <n v="0.66666666666666663"/>
    <n v="1"/>
    <n v="0"/>
    <n v="10"/>
    <n v="24"/>
    <n v="24"/>
    <n v="0"/>
    <x v="5"/>
    <n v="0"/>
    <n v="8"/>
    <n v="102"/>
    <n v="90"/>
    <n v="94"/>
    <n v="36620"/>
    <n v="8"/>
    <n v="0"/>
    <s v="04-04-00"/>
    <n v="20"/>
    <n v="14"/>
    <x v="0"/>
    <x v="2"/>
    <n v="3"/>
    <x v="0"/>
    <n v="2"/>
    <n v="1"/>
    <x v="0"/>
    <s v="Philip Dittmeier"/>
    <x v="7"/>
    <x v="24"/>
    <x v="4"/>
    <n v="3"/>
    <n v="0"/>
    <n v="18"/>
    <n v="0"/>
    <x v="0"/>
    <x v="0"/>
    <x v="1"/>
    <x v="0"/>
    <x v="1"/>
    <n v="6"/>
    <n v="3"/>
    <n v="2"/>
    <x v="0"/>
    <x v="0"/>
    <x v="0"/>
    <n v="0"/>
    <n v="0"/>
    <n v="0"/>
    <n v="0"/>
    <n v="10"/>
    <n v="10"/>
    <n v="2"/>
    <n v="0"/>
    <n v="0"/>
    <x v="139"/>
  </r>
  <r>
    <x v="17"/>
    <x v="22"/>
    <x v="20"/>
    <x v="22"/>
    <x v="17"/>
    <n v="28"/>
    <x v="6"/>
    <n v="17"/>
    <s v="AK"/>
    <x v="15"/>
    <x v="15"/>
    <x v="15"/>
    <x v="15"/>
    <x v="13"/>
    <n v="4"/>
    <n v="4"/>
    <x v="11"/>
    <n v="0"/>
    <x v="0"/>
    <n v="0"/>
    <s v="offensive"/>
    <n v="0.33333333333333331"/>
    <n v="0"/>
    <n v="0"/>
    <n v="0"/>
    <n v="0"/>
    <n v="4"/>
    <n v="4"/>
    <n v="0"/>
    <x v="17"/>
    <n v="0"/>
    <n v="8"/>
    <n v="82"/>
    <n v="180"/>
    <n v="228"/>
    <n v="36621"/>
    <n v="9"/>
    <n v="0"/>
    <s v="04-05-00"/>
    <n v="22"/>
    <n v="25"/>
    <x v="1"/>
    <x v="1"/>
    <n v="3"/>
    <x v="0"/>
    <n v="2"/>
    <n v="1"/>
    <x v="0"/>
    <s v="Philip Dittmeier"/>
    <x v="22"/>
    <x v="25"/>
    <x v="4"/>
    <n v="3"/>
    <n v="0"/>
    <n v="4"/>
    <n v="8"/>
    <x v="9"/>
    <x v="1"/>
    <x v="1"/>
    <x v="1"/>
    <x v="1"/>
    <n v="0"/>
    <n v="0"/>
    <n v="0"/>
    <x v="0"/>
    <x v="0"/>
    <x v="0"/>
    <n v="0"/>
    <n v="0"/>
    <n v="0"/>
    <n v="0"/>
    <n v="0"/>
    <n v="0"/>
    <n v="0"/>
    <n v="0"/>
    <n v="0"/>
    <x v="140"/>
  </r>
  <r>
    <x v="8"/>
    <x v="10"/>
    <x v="8"/>
    <x v="10"/>
    <x v="8"/>
    <n v="6"/>
    <x v="2"/>
    <n v="25"/>
    <s v="AKI"/>
    <x v="10"/>
    <x v="10"/>
    <x v="10"/>
    <x v="10"/>
    <x v="2"/>
    <n v="20"/>
    <n v="0"/>
    <x v="11"/>
    <n v="20"/>
    <x v="0"/>
    <n v="0"/>
    <s v="offensive"/>
    <n v="0"/>
    <n v="0"/>
    <n v="1"/>
    <n v="0"/>
    <n v="10"/>
    <n v="0"/>
    <n v="0"/>
    <n v="0"/>
    <x v="1"/>
    <n v="0"/>
    <n v="9"/>
    <n v="78"/>
    <n v="50"/>
    <n v="194"/>
    <n v="36984"/>
    <n v="8"/>
    <n v="0"/>
    <s v="04-03-01"/>
    <n v="17"/>
    <n v="21"/>
    <x v="1"/>
    <x v="1"/>
    <n v="3"/>
    <x v="0"/>
    <n v="2"/>
    <n v="1"/>
    <x v="0"/>
    <s v="Philip Dittmeier"/>
    <x v="10"/>
    <x v="26"/>
    <x v="4"/>
    <n v="3"/>
    <n v="0"/>
    <n v="0"/>
    <n v="12"/>
    <x v="3"/>
    <x v="0"/>
    <x v="1"/>
    <x v="0"/>
    <x v="1"/>
    <n v="0"/>
    <n v="20"/>
    <n v="2"/>
    <x v="0"/>
    <x v="0"/>
    <x v="0"/>
    <n v="0"/>
    <n v="0"/>
    <n v="0"/>
    <n v="0"/>
    <n v="10"/>
    <n v="10"/>
    <n v="5"/>
    <n v="0"/>
    <n v="0"/>
    <x v="141"/>
  </r>
  <r>
    <x v="2"/>
    <x v="2"/>
    <x v="2"/>
    <x v="2"/>
    <x v="2"/>
    <n v="26"/>
    <x v="2"/>
    <n v="25"/>
    <s v="A"/>
    <x v="2"/>
    <x v="2"/>
    <x v="2"/>
    <x v="2"/>
    <x v="2"/>
    <n v="0"/>
    <n v="0"/>
    <x v="11"/>
    <n v="0"/>
    <x v="0"/>
    <n v="0"/>
    <s v="offensive"/>
    <n v="0"/>
    <n v="0"/>
    <n v="0"/>
    <n v="0"/>
    <n v="0"/>
    <n v="0"/>
    <n v="0"/>
    <n v="0"/>
    <x v="1"/>
    <n v="1"/>
    <n v="8"/>
    <n v="86"/>
    <n v="80"/>
    <n v="122"/>
    <n v="36621"/>
    <n v="9"/>
    <n v="0"/>
    <s v="04-05-00"/>
    <n v="21"/>
    <s v="DNP"/>
    <x v="1"/>
    <x v="1"/>
    <n v="3"/>
    <x v="0"/>
    <n v="2"/>
    <n v="1"/>
    <x v="0"/>
    <s v="Philip Dittmeier"/>
    <x v="2"/>
    <x v="27"/>
    <x v="4"/>
    <n v="1"/>
    <n v="0"/>
    <n v="0"/>
    <n v="0"/>
    <x v="10"/>
    <x v="0"/>
    <x v="1"/>
    <x v="1"/>
    <x v="1"/>
    <n v="0"/>
    <n v="2"/>
    <n v="0"/>
    <x v="0"/>
    <x v="0"/>
    <x v="0"/>
    <n v="0"/>
    <n v="0"/>
    <n v="0"/>
    <n v="0"/>
    <n v="0"/>
    <n v="0"/>
    <n v="0"/>
    <n v="0"/>
    <n v="0"/>
    <x v="142"/>
  </r>
  <r>
    <x v="26"/>
    <x v="36"/>
    <x v="21"/>
    <x v="35"/>
    <x v="2"/>
    <n v="28"/>
    <x v="4"/>
    <n v="5"/>
    <s v="AKI"/>
    <x v="15"/>
    <x v="15"/>
    <x v="15"/>
    <x v="15"/>
    <x v="2"/>
    <n v="18"/>
    <n v="0"/>
    <x v="11"/>
    <n v="20"/>
    <x v="0"/>
    <n v="-2"/>
    <s v="defensive"/>
    <n v="0"/>
    <n v="0"/>
    <n v="1"/>
    <n v="0"/>
    <n v="10"/>
    <n v="0"/>
    <n v="0"/>
    <n v="0"/>
    <x v="1"/>
    <n v="1"/>
    <n v="12"/>
    <n v="70"/>
    <n v="140"/>
    <n v="170"/>
    <n v="36679"/>
    <n v="8"/>
    <n v="0"/>
    <s v="06-02-00"/>
    <n v="9"/>
    <n v="20"/>
    <x v="1"/>
    <x v="1"/>
    <n v="3"/>
    <x v="0"/>
    <n v="2"/>
    <n v="1"/>
    <x v="0"/>
    <s v="Philip Dittmeier"/>
    <x v="36"/>
    <x v="28"/>
    <x v="4"/>
    <n v="0"/>
    <n v="0"/>
    <n v="0"/>
    <n v="0"/>
    <x v="0"/>
    <x v="1"/>
    <x v="1"/>
    <x v="1"/>
    <x v="1"/>
    <n v="0"/>
    <n v="0"/>
    <n v="1"/>
    <x v="0"/>
    <x v="0"/>
    <x v="0"/>
    <n v="0"/>
    <n v="50"/>
    <n v="0"/>
    <n v="0"/>
    <n v="10"/>
    <n v="10"/>
    <n v="0"/>
    <n v="0"/>
    <n v="0"/>
    <x v="143"/>
  </r>
  <r>
    <x v="11"/>
    <x v="13"/>
    <x v="12"/>
    <x v="13"/>
    <x v="11"/>
    <n v="3"/>
    <x v="7"/>
    <n v="18"/>
    <s v="AKI"/>
    <x v="11"/>
    <x v="11"/>
    <x v="11"/>
    <x v="11"/>
    <x v="2"/>
    <n v="97.428571428571431"/>
    <n v="54"/>
    <x v="46"/>
    <n v="20"/>
    <x v="0"/>
    <n v="2"/>
    <s v="offensive"/>
    <n v="1"/>
    <n v="0.7142857142857143"/>
    <n v="1"/>
    <n v="0"/>
    <n v="10"/>
    <n v="33"/>
    <n v="33"/>
    <n v="0"/>
    <x v="9"/>
    <n v="0"/>
    <n v="12"/>
    <n v="186"/>
    <n v="150"/>
    <n v="379"/>
    <n v="36680"/>
    <n v="9"/>
    <n v="0"/>
    <s v="06-03-00"/>
    <n v="4"/>
    <n v="4"/>
    <x v="0"/>
    <x v="5"/>
    <n v="3"/>
    <x v="0"/>
    <n v="2"/>
    <n v="1"/>
    <x v="0"/>
    <s v="Philip Dittmeier"/>
    <x v="13"/>
    <x v="29"/>
    <x v="4"/>
    <n v="3"/>
    <n v="0"/>
    <n v="18"/>
    <n v="0"/>
    <x v="12"/>
    <x v="0"/>
    <x v="1"/>
    <x v="0"/>
    <x v="1"/>
    <n v="15"/>
    <n v="6"/>
    <n v="3"/>
    <x v="0"/>
    <x v="0"/>
    <x v="0"/>
    <n v="0"/>
    <n v="0"/>
    <n v="0"/>
    <n v="0"/>
    <n v="10"/>
    <n v="10"/>
    <n v="0"/>
    <n v="0"/>
    <n v="0"/>
    <x v="144"/>
  </r>
  <r>
    <x v="2"/>
    <x v="2"/>
    <x v="2"/>
    <x v="2"/>
    <x v="2"/>
    <n v="26"/>
    <x v="2"/>
    <n v="25"/>
    <s v="A"/>
    <x v="2"/>
    <x v="2"/>
    <x v="2"/>
    <x v="2"/>
    <x v="2"/>
    <n v="4"/>
    <n v="0"/>
    <x v="20"/>
    <n v="0"/>
    <x v="0"/>
    <n v="0"/>
    <s v="offensive"/>
    <n v="0"/>
    <n v="1"/>
    <n v="1"/>
    <n v="0"/>
    <n v="10"/>
    <n v="2"/>
    <n v="2"/>
    <n v="0"/>
    <x v="1"/>
    <n v="1"/>
    <n v="8"/>
    <n v="86"/>
    <n v="80"/>
    <n v="122"/>
    <n v="36621"/>
    <n v="9"/>
    <n v="0"/>
    <s v="04-05-00"/>
    <n v="21"/>
    <s v="DNP"/>
    <x v="1"/>
    <x v="1"/>
    <n v="3"/>
    <x v="0"/>
    <n v="2"/>
    <n v="1"/>
    <x v="0"/>
    <s v="Joseph Gamble"/>
    <x v="2"/>
    <x v="55"/>
    <x v="4"/>
    <n v="1"/>
    <n v="0"/>
    <n v="0"/>
    <n v="6"/>
    <x v="10"/>
    <x v="0"/>
    <x v="1"/>
    <x v="0"/>
    <x v="1"/>
    <n v="2"/>
    <n v="0"/>
    <n v="1"/>
    <x v="0"/>
    <x v="0"/>
    <x v="0"/>
    <n v="0"/>
    <n v="0"/>
    <n v="0"/>
    <n v="5"/>
    <n v="0"/>
    <n v="10"/>
    <n v="0"/>
    <n v="0"/>
    <n v="0"/>
    <x v="145"/>
  </r>
  <r>
    <x v="23"/>
    <x v="31"/>
    <x v="21"/>
    <x v="30"/>
    <x v="2"/>
    <n v="28"/>
    <x v="8"/>
    <n v="7"/>
    <s v="AKI"/>
    <x v="19"/>
    <x v="19"/>
    <x v="19"/>
    <x v="19"/>
    <x v="15"/>
    <n v="0"/>
    <n v="0"/>
    <x v="11"/>
    <n v="0"/>
    <x v="0"/>
    <n v="0"/>
    <s v="offensive"/>
    <n v="0"/>
    <n v="0"/>
    <n v="0"/>
    <n v="0"/>
    <n v="0"/>
    <n v="0"/>
    <n v="0"/>
    <n v="0"/>
    <x v="26"/>
    <n v="0"/>
    <n v="10"/>
    <n v="72"/>
    <n v="80"/>
    <n v="107"/>
    <n v="36649"/>
    <n v="8"/>
    <n v="0"/>
    <s v="05-03-00"/>
    <n v="15"/>
    <n v="19"/>
    <x v="1"/>
    <x v="1"/>
    <n v="3"/>
    <x v="0"/>
    <n v="2"/>
    <n v="1"/>
    <x v="0"/>
    <s v="Joseph Gamble"/>
    <x v="31"/>
    <x v="30"/>
    <x v="4"/>
    <n v="0"/>
    <n v="0"/>
    <n v="0"/>
    <n v="0"/>
    <x v="1"/>
    <x v="1"/>
    <x v="1"/>
    <x v="1"/>
    <x v="1"/>
    <n v="0"/>
    <n v="0"/>
    <n v="0"/>
    <x v="0"/>
    <x v="0"/>
    <x v="0"/>
    <n v="0"/>
    <n v="0"/>
    <n v="0"/>
    <n v="0"/>
    <n v="0"/>
    <n v="0"/>
    <n v="0"/>
    <n v="0"/>
    <n v="0"/>
    <x v="146"/>
  </r>
  <r>
    <x v="2"/>
    <x v="23"/>
    <x v="21"/>
    <x v="23"/>
    <x v="2"/>
    <n v="28"/>
    <x v="3"/>
    <n v="20"/>
    <s v="AI"/>
    <x v="2"/>
    <x v="2"/>
    <x v="2"/>
    <x v="2"/>
    <x v="2"/>
    <n v="1.3319999999999999"/>
    <n v="0"/>
    <x v="11"/>
    <n v="0"/>
    <x v="38"/>
    <n v="0"/>
    <s v="both"/>
    <n v="0"/>
    <n v="0"/>
    <n v="0"/>
    <n v="0.3"/>
    <n v="0"/>
    <n v="4.4399999999999995"/>
    <n v="0"/>
    <n v="4.4399999999999995"/>
    <x v="18"/>
    <n v="0"/>
    <n v="3"/>
    <n v="78"/>
    <n v="90"/>
    <n v="101"/>
    <n v="36898"/>
    <n v="9"/>
    <n v="0"/>
    <s v="01-07-01"/>
    <n v="38"/>
    <s v="DNP"/>
    <x v="1"/>
    <x v="1"/>
    <n v="3"/>
    <x v="0"/>
    <n v="2"/>
    <n v="1"/>
    <x v="0"/>
    <s v="Joseph Gamble"/>
    <x v="23"/>
    <x v="56"/>
    <x v="4"/>
    <n v="3"/>
    <n v="0"/>
    <n v="0"/>
    <n v="0"/>
    <x v="1"/>
    <x v="1"/>
    <x v="1"/>
    <x v="1"/>
    <x v="1"/>
    <n v="0"/>
    <n v="0"/>
    <n v="1"/>
    <x v="0"/>
    <x v="0"/>
    <x v="3"/>
    <n v="0"/>
    <n v="37"/>
    <n v="0"/>
    <n v="0"/>
    <n v="0"/>
    <n v="0"/>
    <n v="0"/>
    <n v="0"/>
    <n v="0"/>
    <x v="147"/>
  </r>
  <r>
    <x v="17"/>
    <x v="22"/>
    <x v="20"/>
    <x v="22"/>
    <x v="17"/>
    <n v="28"/>
    <x v="6"/>
    <n v="17"/>
    <s v="AK"/>
    <x v="15"/>
    <x v="15"/>
    <x v="15"/>
    <x v="15"/>
    <x v="13"/>
    <n v="20"/>
    <n v="0"/>
    <x v="11"/>
    <n v="20"/>
    <x v="0"/>
    <n v="0"/>
    <s v="offensive"/>
    <n v="0"/>
    <n v="0"/>
    <n v="1"/>
    <n v="0"/>
    <n v="10"/>
    <n v="0"/>
    <n v="0"/>
    <n v="0"/>
    <x v="17"/>
    <n v="0"/>
    <n v="8"/>
    <n v="82"/>
    <n v="180"/>
    <n v="228"/>
    <n v="36621"/>
    <n v="9"/>
    <n v="0"/>
    <s v="04-05-00"/>
    <n v="22"/>
    <n v="25"/>
    <x v="1"/>
    <x v="1"/>
    <n v="3"/>
    <x v="0"/>
    <n v="2"/>
    <n v="1"/>
    <x v="0"/>
    <s v="Joseph Gamble"/>
    <x v="22"/>
    <x v="31"/>
    <x v="4"/>
    <n v="3"/>
    <n v="0"/>
    <n v="0"/>
    <n v="0"/>
    <x v="1"/>
    <x v="1"/>
    <x v="1"/>
    <x v="1"/>
    <x v="1"/>
    <n v="0"/>
    <n v="0"/>
    <n v="0"/>
    <x v="0"/>
    <x v="0"/>
    <x v="0"/>
    <n v="0"/>
    <n v="0"/>
    <n v="0"/>
    <n v="0"/>
    <n v="10"/>
    <n v="10"/>
    <n v="13"/>
    <n v="0"/>
    <n v="0"/>
    <x v="148"/>
  </r>
  <r>
    <x v="2"/>
    <x v="25"/>
    <x v="23"/>
    <x v="25"/>
    <x v="2"/>
    <n v="24"/>
    <x v="3"/>
    <n v="10"/>
    <s v="AKI"/>
    <x v="16"/>
    <x v="16"/>
    <x v="16"/>
    <x v="16"/>
    <x v="2"/>
    <n v="0"/>
    <n v="0"/>
    <x v="11"/>
    <n v="0"/>
    <x v="0"/>
    <n v="0"/>
    <s v="offensive"/>
    <n v="0"/>
    <n v="0"/>
    <n v="0"/>
    <n v="0"/>
    <n v="0"/>
    <n v="0"/>
    <n v="0"/>
    <n v="0"/>
    <x v="20"/>
    <n v="0"/>
    <n v="6"/>
    <n v="94"/>
    <n v="70"/>
    <n v="182"/>
    <n v="36590"/>
    <n v="8"/>
    <n v="0"/>
    <s v="03-05-00"/>
    <n v="29"/>
    <s v="DNP"/>
    <x v="1"/>
    <x v="1"/>
    <n v="3"/>
    <x v="0"/>
    <n v="2"/>
    <n v="1"/>
    <x v="0"/>
    <s v="Joseph Gamble"/>
    <x v="25"/>
    <x v="32"/>
    <x v="4"/>
    <n v="3"/>
    <n v="0"/>
    <n v="0"/>
    <n v="0"/>
    <x v="1"/>
    <x v="1"/>
    <x v="1"/>
    <x v="0"/>
    <x v="1"/>
    <n v="0"/>
    <n v="0"/>
    <n v="1"/>
    <x v="0"/>
    <x v="0"/>
    <x v="0"/>
    <n v="0"/>
    <n v="0"/>
    <n v="0"/>
    <n v="0"/>
    <n v="0"/>
    <n v="0"/>
    <n v="0"/>
    <n v="0"/>
    <n v="0"/>
    <x v="149"/>
  </r>
  <r>
    <x v="2"/>
    <x v="4"/>
    <x v="4"/>
    <x v="4"/>
    <x v="2"/>
    <n v="25"/>
    <x v="3"/>
    <n v="4"/>
    <s v="AK"/>
    <x v="4"/>
    <x v="4"/>
    <x v="4"/>
    <x v="4"/>
    <x v="2"/>
    <n v="0"/>
    <n v="0"/>
    <x v="11"/>
    <n v="0"/>
    <x v="0"/>
    <n v="0"/>
    <s v="offensive"/>
    <n v="0"/>
    <n v="0"/>
    <n v="1"/>
    <n v="0"/>
    <n v="10"/>
    <n v="0"/>
    <n v="0"/>
    <n v="0"/>
    <x v="3"/>
    <n v="0"/>
    <n v="8"/>
    <n v="106"/>
    <n v="120"/>
    <n v="156"/>
    <n v="36621"/>
    <n v="9"/>
    <n v="0"/>
    <s v="04-05-00"/>
    <n v="19"/>
    <s v="DNP"/>
    <x v="1"/>
    <x v="1"/>
    <n v="3"/>
    <x v="0"/>
    <n v="2"/>
    <n v="1"/>
    <x v="0"/>
    <s v="Joseph Gamble"/>
    <x v="4"/>
    <x v="33"/>
    <x v="4"/>
    <n v="2"/>
    <n v="0"/>
    <n v="0"/>
    <n v="0"/>
    <x v="1"/>
    <x v="1"/>
    <x v="1"/>
    <x v="1"/>
    <x v="0"/>
    <n v="0"/>
    <n v="6"/>
    <n v="0"/>
    <x v="0"/>
    <x v="0"/>
    <x v="0"/>
    <n v="0"/>
    <n v="0"/>
    <n v="0"/>
    <n v="0"/>
    <n v="0"/>
    <n v="10"/>
    <n v="0"/>
    <n v="0"/>
    <n v="0"/>
    <x v="150"/>
  </r>
  <r>
    <x v="11"/>
    <x v="13"/>
    <x v="12"/>
    <x v="13"/>
    <x v="11"/>
    <n v="3"/>
    <x v="7"/>
    <n v="18"/>
    <s v="AKI"/>
    <x v="11"/>
    <x v="11"/>
    <x v="11"/>
    <x v="11"/>
    <x v="2"/>
    <n v="143.60000000000002"/>
    <n v="54"/>
    <x v="47"/>
    <n v="20"/>
    <x v="0"/>
    <n v="2"/>
    <s v="offensive"/>
    <n v="1"/>
    <n v="0.8666666666666667"/>
    <n v="1"/>
    <n v="0"/>
    <n v="10"/>
    <n v="57"/>
    <n v="57"/>
    <n v="0"/>
    <x v="9"/>
    <n v="0"/>
    <n v="12"/>
    <n v="186"/>
    <n v="150"/>
    <n v="379"/>
    <n v="36680"/>
    <n v="9"/>
    <n v="0"/>
    <s v="06-03-00"/>
    <n v="4"/>
    <n v="4"/>
    <x v="0"/>
    <x v="5"/>
    <n v="3"/>
    <x v="0"/>
    <n v="2"/>
    <n v="1"/>
    <x v="0"/>
    <s v="Joseph Gamble"/>
    <x v="13"/>
    <x v="34"/>
    <x v="4"/>
    <n v="3"/>
    <n v="0"/>
    <n v="18"/>
    <n v="0"/>
    <x v="1"/>
    <x v="1"/>
    <x v="1"/>
    <x v="0"/>
    <x v="1"/>
    <n v="39"/>
    <n v="6"/>
    <n v="3"/>
    <x v="0"/>
    <x v="0"/>
    <x v="0"/>
    <n v="0"/>
    <n v="0"/>
    <n v="0"/>
    <n v="0"/>
    <n v="10"/>
    <n v="10"/>
    <n v="0"/>
    <n v="0"/>
    <n v="0"/>
    <x v="151"/>
  </r>
  <r>
    <x v="21"/>
    <x v="28"/>
    <x v="21"/>
    <x v="19"/>
    <x v="2"/>
    <n v="28"/>
    <x v="3"/>
    <n v="2"/>
    <s v="A"/>
    <x v="2"/>
    <x v="2"/>
    <x v="2"/>
    <x v="2"/>
    <x v="2"/>
    <n v="0"/>
    <n v="0"/>
    <x v="11"/>
    <n v="0"/>
    <x v="0"/>
    <n v="0"/>
    <s v="offensive"/>
    <n v="0"/>
    <n v="0"/>
    <n v="0"/>
    <n v="0"/>
    <n v="0"/>
    <n v="0"/>
    <n v="0"/>
    <n v="0"/>
    <x v="23"/>
    <n v="0"/>
    <n v="8"/>
    <n v="58"/>
    <n v="30"/>
    <n v="138"/>
    <n v="36620"/>
    <n v="8"/>
    <n v="0"/>
    <s v="04-04-00"/>
    <n v="24"/>
    <n v="24"/>
    <x v="1"/>
    <x v="1"/>
    <n v="3"/>
    <x v="0"/>
    <n v="2"/>
    <n v="1"/>
    <x v="0"/>
    <s v="paige"/>
    <x v="28"/>
    <x v="35"/>
    <x v="4"/>
    <n v="0"/>
    <n v="0"/>
    <n v="0"/>
    <n v="0"/>
    <x v="7"/>
    <x v="1"/>
    <x v="1"/>
    <x v="1"/>
    <x v="1"/>
    <n v="0"/>
    <n v="0"/>
    <n v="0"/>
    <x v="0"/>
    <x v="0"/>
    <x v="0"/>
    <n v="0"/>
    <n v="0"/>
    <n v="0"/>
    <n v="0"/>
    <n v="0"/>
    <n v="0"/>
    <n v="0"/>
    <n v="0"/>
    <n v="0"/>
    <x v="152"/>
  </r>
  <r>
    <x v="24"/>
    <x v="34"/>
    <x v="21"/>
    <x v="33"/>
    <x v="2"/>
    <n v="28"/>
    <x v="8"/>
    <n v="3"/>
    <s v="AK"/>
    <x v="20"/>
    <x v="20"/>
    <x v="20"/>
    <x v="20"/>
    <x v="2"/>
    <n v="37.552"/>
    <n v="0"/>
    <x v="11"/>
    <n v="20"/>
    <x v="39"/>
    <n v="2"/>
    <s v="defensive"/>
    <n v="0"/>
    <n v="0"/>
    <n v="1"/>
    <n v="0.6"/>
    <n v="10"/>
    <n v="25.919999999999998"/>
    <n v="0"/>
    <n v="25.919999999999998"/>
    <x v="27"/>
    <n v="0"/>
    <n v="6"/>
    <n v="106"/>
    <n v="60"/>
    <n v="139"/>
    <n v="36591"/>
    <n v="9"/>
    <n v="0"/>
    <s v="03-06-00"/>
    <n v="28"/>
    <n v="26"/>
    <x v="1"/>
    <x v="1"/>
    <n v="3"/>
    <x v="0"/>
    <n v="2"/>
    <n v="1"/>
    <x v="0"/>
    <s v="paige"/>
    <x v="34"/>
    <x v="36"/>
    <x v="4"/>
    <n v="0"/>
    <n v="0"/>
    <n v="0"/>
    <n v="0"/>
    <x v="9"/>
    <x v="1"/>
    <x v="1"/>
    <x v="1"/>
    <x v="1"/>
    <n v="0"/>
    <n v="0"/>
    <n v="3"/>
    <x v="0"/>
    <x v="0"/>
    <x v="1"/>
    <n v="0"/>
    <n v="108"/>
    <n v="0"/>
    <n v="0"/>
    <n v="10"/>
    <n v="10"/>
    <n v="10"/>
    <n v="0"/>
    <n v="0"/>
    <x v="153"/>
  </r>
  <r>
    <x v="19"/>
    <x v="26"/>
    <x v="24"/>
    <x v="26"/>
    <x v="19"/>
    <n v="10"/>
    <x v="3"/>
    <n v="16"/>
    <s v="AK"/>
    <x v="17"/>
    <x v="17"/>
    <x v="17"/>
    <x v="17"/>
    <x v="2"/>
    <n v="25.472000000000001"/>
    <n v="0"/>
    <x v="48"/>
    <n v="0"/>
    <x v="40"/>
    <n v="-2"/>
    <s v="offensive"/>
    <n v="0"/>
    <n v="0.8"/>
    <n v="0"/>
    <n v="0.6"/>
    <n v="0"/>
    <n v="19.12"/>
    <n v="16"/>
    <n v="3.1199999999999997"/>
    <x v="21"/>
    <n v="0"/>
    <n v="7"/>
    <n v="128"/>
    <n v="40"/>
    <n v="148"/>
    <n v="36954"/>
    <n v="8"/>
    <n v="0"/>
    <s v="03-04-01"/>
    <n v="26"/>
    <n v="6"/>
    <x v="1"/>
    <x v="1"/>
    <n v="3"/>
    <x v="0"/>
    <n v="2"/>
    <n v="1"/>
    <x v="0"/>
    <s v="paige"/>
    <x v="26"/>
    <x v="37"/>
    <x v="4"/>
    <n v="0"/>
    <n v="0"/>
    <n v="0"/>
    <n v="18"/>
    <x v="0"/>
    <x v="1"/>
    <x v="1"/>
    <x v="0"/>
    <x v="1"/>
    <n v="16"/>
    <n v="4"/>
    <n v="2"/>
    <x v="0"/>
    <x v="0"/>
    <x v="1"/>
    <n v="0"/>
    <n v="13"/>
    <n v="0"/>
    <n v="0"/>
    <n v="0"/>
    <n v="0"/>
    <n v="0"/>
    <n v="0"/>
    <n v="0"/>
    <x v="0"/>
  </r>
  <r>
    <x v="15"/>
    <x v="19"/>
    <x v="18"/>
    <x v="19"/>
    <x v="15"/>
    <n v="11"/>
    <x v="2"/>
    <n v="25"/>
    <s v="AKI"/>
    <x v="14"/>
    <x v="14"/>
    <x v="14"/>
    <x v="14"/>
    <x v="1"/>
    <n v="93.166666666666657"/>
    <n v="40.5"/>
    <x v="7"/>
    <n v="20"/>
    <x v="0"/>
    <n v="0"/>
    <s v="offensive"/>
    <n v="0.75"/>
    <n v="0.77777777777777779"/>
    <n v="1"/>
    <n v="0"/>
    <n v="10"/>
    <n v="39"/>
    <n v="39"/>
    <n v="0"/>
    <x v="14"/>
    <n v="0"/>
    <n v="4"/>
    <n v="94"/>
    <n v="70"/>
    <n v="162"/>
    <n v="36562"/>
    <n v="8"/>
    <n v="0"/>
    <s v="02-06-00"/>
    <n v="36"/>
    <n v="13"/>
    <x v="1"/>
    <x v="1"/>
    <n v="3"/>
    <x v="0"/>
    <n v="2"/>
    <n v="1"/>
    <x v="0"/>
    <s v="paige"/>
    <x v="19"/>
    <x v="37"/>
    <x v="4"/>
    <n v="0"/>
    <n v="0"/>
    <n v="18"/>
    <n v="6"/>
    <x v="1"/>
    <x v="0"/>
    <x v="1"/>
    <x v="0"/>
    <x v="0"/>
    <n v="21"/>
    <n v="6"/>
    <n v="2"/>
    <x v="0"/>
    <x v="0"/>
    <x v="0"/>
    <n v="0"/>
    <n v="0"/>
    <n v="0"/>
    <n v="0"/>
    <n v="10"/>
    <n v="10"/>
    <n v="15"/>
    <n v="0"/>
    <n v="0"/>
    <x v="0"/>
  </r>
  <r>
    <x v="16"/>
    <x v="21"/>
    <x v="19"/>
    <x v="21"/>
    <x v="16"/>
    <n v="22"/>
    <x v="6"/>
    <n v="25"/>
    <s v="AK"/>
    <x v="9"/>
    <x v="9"/>
    <x v="9"/>
    <x v="9"/>
    <x v="2"/>
    <n v="18"/>
    <n v="0"/>
    <x v="11"/>
    <n v="20"/>
    <x v="0"/>
    <n v="-2"/>
    <s v="offensive"/>
    <n v="0"/>
    <n v="0"/>
    <n v="1"/>
    <n v="0"/>
    <n v="10"/>
    <n v="0"/>
    <n v="0"/>
    <n v="0"/>
    <x v="16"/>
    <n v="0"/>
    <n v="10"/>
    <n v="102"/>
    <n v="190"/>
    <n v="152"/>
    <n v="36650"/>
    <n v="9"/>
    <n v="0"/>
    <s v="05-04-00"/>
    <n v="13"/>
    <n v="17"/>
    <x v="1"/>
    <x v="1"/>
    <n v="3"/>
    <x v="0"/>
    <n v="2"/>
    <n v="1"/>
    <x v="0"/>
    <s v="paige"/>
    <x v="21"/>
    <x v="39"/>
    <x v="4"/>
    <n v="0"/>
    <n v="0"/>
    <n v="0"/>
    <n v="0"/>
    <x v="0"/>
    <x v="1"/>
    <x v="1"/>
    <x v="0"/>
    <x v="1"/>
    <n v="0"/>
    <n v="12"/>
    <n v="2"/>
    <x v="0"/>
    <x v="0"/>
    <x v="2"/>
    <n v="0"/>
    <n v="0"/>
    <n v="0"/>
    <n v="0"/>
    <n v="10"/>
    <n v="10"/>
    <n v="0"/>
    <n v="0"/>
    <n v="0"/>
    <x v="0"/>
  </r>
  <r>
    <x v="4"/>
    <x v="6"/>
    <x v="6"/>
    <x v="6"/>
    <x v="4"/>
    <n v="13"/>
    <x v="5"/>
    <n v="24"/>
    <s v="AI"/>
    <x v="6"/>
    <x v="6"/>
    <x v="6"/>
    <x v="6"/>
    <x v="4"/>
    <n v="18.5"/>
    <n v="18"/>
    <x v="49"/>
    <n v="0"/>
    <x v="0"/>
    <n v="0"/>
    <s v="offensive"/>
    <n v="1"/>
    <n v="0.125"/>
    <n v="1"/>
    <n v="0"/>
    <n v="10"/>
    <n v="8"/>
    <n v="8"/>
    <n v="0"/>
    <x v="4"/>
    <n v="0"/>
    <n v="4"/>
    <n v="112"/>
    <n v="90"/>
    <n v="106"/>
    <n v="36562"/>
    <n v="8"/>
    <n v="0"/>
    <s v="02-06-00"/>
    <n v="35"/>
    <n v="15"/>
    <x v="1"/>
    <x v="1"/>
    <n v="3"/>
    <x v="0"/>
    <n v="2"/>
    <n v="1"/>
    <x v="0"/>
    <s v="paige"/>
    <x v="6"/>
    <x v="40"/>
    <x v="4"/>
    <n v="0"/>
    <n v="0"/>
    <n v="6"/>
    <n v="0"/>
    <x v="9"/>
    <x v="1"/>
    <x v="1"/>
    <x v="0"/>
    <x v="1"/>
    <n v="2"/>
    <n v="14"/>
    <n v="0"/>
    <x v="0"/>
    <x v="0"/>
    <x v="0"/>
    <n v="0"/>
    <n v="0"/>
    <n v="0"/>
    <n v="0"/>
    <n v="0"/>
    <n v="10"/>
    <n v="7"/>
    <n v="0"/>
    <n v="0"/>
    <x v="0"/>
  </r>
  <r>
    <x v="8"/>
    <x v="10"/>
    <x v="8"/>
    <x v="10"/>
    <x v="8"/>
    <n v="6"/>
    <x v="2"/>
    <n v="25"/>
    <s v="AKI"/>
    <x v="10"/>
    <x v="10"/>
    <x v="10"/>
    <x v="10"/>
    <x v="2"/>
    <n v="79.25"/>
    <n v="18"/>
    <x v="50"/>
    <n v="0"/>
    <x v="0"/>
    <n v="0"/>
    <s v="offensive"/>
    <n v="1"/>
    <n v="0.875"/>
    <n v="0"/>
    <n v="0"/>
    <n v="0"/>
    <n v="41"/>
    <n v="41"/>
    <n v="0"/>
    <x v="1"/>
    <n v="0"/>
    <n v="9"/>
    <n v="78"/>
    <n v="50"/>
    <n v="194"/>
    <n v="36984"/>
    <n v="8"/>
    <n v="0"/>
    <s v="04-03-01"/>
    <n v="17"/>
    <n v="21"/>
    <x v="1"/>
    <x v="1"/>
    <n v="3"/>
    <x v="0"/>
    <n v="2"/>
    <n v="1"/>
    <x v="0"/>
    <s v="LukeMorrical"/>
    <x v="10"/>
    <x v="41"/>
    <x v="4"/>
    <n v="3"/>
    <n v="0"/>
    <n v="6"/>
    <n v="0"/>
    <x v="3"/>
    <x v="0"/>
    <x v="1"/>
    <x v="0"/>
    <x v="1"/>
    <n v="35"/>
    <n v="5"/>
    <n v="2"/>
    <x v="0"/>
    <x v="0"/>
    <x v="0"/>
    <n v="0"/>
    <n v="0"/>
    <n v="0"/>
    <n v="0"/>
    <n v="0"/>
    <n v="0"/>
    <n v="0"/>
    <n v="0"/>
    <n v="0"/>
    <x v="154"/>
  </r>
  <r>
    <x v="2"/>
    <x v="16"/>
    <x v="15"/>
    <x v="16"/>
    <x v="2"/>
    <n v="17"/>
    <x v="3"/>
    <n v="9"/>
    <s v="AKI"/>
    <x v="8"/>
    <x v="8"/>
    <x v="8"/>
    <x v="8"/>
    <x v="11"/>
    <n v="0.11025000000000001"/>
    <n v="0"/>
    <x v="11"/>
    <n v="0"/>
    <x v="41"/>
    <n v="0"/>
    <s v="both"/>
    <n v="0"/>
    <n v="0"/>
    <n v="0"/>
    <n v="0.13125000000000001"/>
    <n v="0"/>
    <n v="0.84000000000000008"/>
    <n v="0"/>
    <n v="0.84000000000000008"/>
    <x v="11"/>
    <n v="0"/>
    <n v="6"/>
    <n v="42"/>
    <n v="60"/>
    <n v="91"/>
    <n v="36589"/>
    <n v="8"/>
    <n v="0"/>
    <s v="03-04-00"/>
    <n v="33"/>
    <s v="DNP"/>
    <x v="1"/>
    <x v="1"/>
    <n v="3"/>
    <x v="0"/>
    <n v="2"/>
    <n v="1"/>
    <x v="0"/>
    <s v="LukeMorrical"/>
    <x v="16"/>
    <x v="42"/>
    <x v="4"/>
    <n v="0"/>
    <n v="0"/>
    <n v="0"/>
    <n v="0"/>
    <x v="7"/>
    <x v="1"/>
    <x v="1"/>
    <x v="1"/>
    <x v="1"/>
    <n v="0"/>
    <n v="0"/>
    <n v="2"/>
    <x v="0"/>
    <x v="0"/>
    <x v="3"/>
    <n v="9"/>
    <n v="7"/>
    <n v="0"/>
    <n v="0"/>
    <n v="0"/>
    <n v="0"/>
    <n v="0"/>
    <n v="0"/>
    <n v="0"/>
    <x v="155"/>
  </r>
  <r>
    <x v="1"/>
    <x v="1"/>
    <x v="1"/>
    <x v="1"/>
    <x v="1"/>
    <n v="8"/>
    <x v="1"/>
    <n v="13"/>
    <s v="AKI"/>
    <x v="1"/>
    <x v="1"/>
    <x v="1"/>
    <x v="1"/>
    <x v="1"/>
    <n v="26.911999999999999"/>
    <n v="0"/>
    <x v="11"/>
    <n v="20"/>
    <x v="42"/>
    <n v="0"/>
    <s v="defensive"/>
    <n v="0"/>
    <n v="0"/>
    <n v="1"/>
    <n v="0.6"/>
    <n v="10"/>
    <n v="11.52"/>
    <n v="0"/>
    <n v="11.52"/>
    <x v="0"/>
    <n v="0"/>
    <n v="5"/>
    <n v="118"/>
    <n v="120"/>
    <n v="179"/>
    <n v="36927"/>
    <n v="8"/>
    <n v="0"/>
    <s v="02-05-01"/>
    <n v="34"/>
    <n v="12"/>
    <x v="1"/>
    <x v="1"/>
    <n v="3"/>
    <x v="0"/>
    <n v="2"/>
    <n v="1"/>
    <x v="0"/>
    <s v="LukeMorrical"/>
    <x v="1"/>
    <x v="43"/>
    <x v="4"/>
    <n v="0"/>
    <n v="0"/>
    <n v="0"/>
    <n v="0"/>
    <x v="3"/>
    <x v="1"/>
    <x v="1"/>
    <x v="1"/>
    <x v="1"/>
    <n v="0"/>
    <n v="0"/>
    <n v="2"/>
    <x v="0"/>
    <x v="0"/>
    <x v="1"/>
    <n v="0"/>
    <n v="48"/>
    <n v="0"/>
    <n v="0"/>
    <n v="10"/>
    <n v="10"/>
    <n v="6"/>
    <n v="0"/>
    <n v="0"/>
    <x v="156"/>
  </r>
  <r>
    <x v="2"/>
    <x v="23"/>
    <x v="21"/>
    <x v="23"/>
    <x v="2"/>
    <n v="28"/>
    <x v="3"/>
    <n v="20"/>
    <s v="AI"/>
    <x v="2"/>
    <x v="2"/>
    <x v="2"/>
    <x v="2"/>
    <x v="2"/>
    <n v="0"/>
    <n v="0"/>
    <x v="11"/>
    <n v="0"/>
    <x v="0"/>
    <n v="0"/>
    <s v="offensive"/>
    <n v="0"/>
    <n v="0"/>
    <n v="0"/>
    <n v="0"/>
    <n v="0"/>
    <n v="0"/>
    <n v="0"/>
    <n v="0"/>
    <x v="18"/>
    <n v="0"/>
    <n v="3"/>
    <n v="78"/>
    <n v="90"/>
    <n v="101"/>
    <n v="36898"/>
    <n v="9"/>
    <n v="0"/>
    <s v="01-07-01"/>
    <n v="38"/>
    <s v="DNP"/>
    <x v="1"/>
    <x v="1"/>
    <n v="3"/>
    <x v="0"/>
    <n v="2"/>
    <n v="1"/>
    <x v="0"/>
    <s v="LukeMorrical"/>
    <x v="23"/>
    <x v="44"/>
    <x v="4"/>
    <n v="0"/>
    <n v="0"/>
    <n v="0"/>
    <n v="0"/>
    <x v="9"/>
    <x v="1"/>
    <x v="1"/>
    <x v="1"/>
    <x v="1"/>
    <n v="0"/>
    <n v="0"/>
    <n v="0"/>
    <x v="0"/>
    <x v="0"/>
    <x v="0"/>
    <n v="0"/>
    <n v="8"/>
    <n v="0"/>
    <n v="0"/>
    <n v="0"/>
    <n v="0"/>
    <n v="0"/>
    <n v="0"/>
    <n v="0"/>
    <x v="157"/>
  </r>
  <r>
    <x v="2"/>
    <x v="3"/>
    <x v="3"/>
    <x v="3"/>
    <x v="2"/>
    <n v="19"/>
    <x v="3"/>
    <n v="12"/>
    <s v="AKI"/>
    <x v="3"/>
    <x v="3"/>
    <x v="3"/>
    <x v="3"/>
    <x v="2"/>
    <n v="4.7520000000000007"/>
    <n v="0"/>
    <x v="11"/>
    <n v="0"/>
    <x v="43"/>
    <n v="0"/>
    <s v="both"/>
    <n v="0"/>
    <n v="0"/>
    <n v="0"/>
    <n v="0.6"/>
    <n v="0"/>
    <n v="7.9200000000000008"/>
    <n v="0"/>
    <n v="7.9200000000000008"/>
    <x v="2"/>
    <n v="0"/>
    <n v="6"/>
    <n v="66"/>
    <n v="70"/>
    <n v="129"/>
    <n v="36590"/>
    <n v="8"/>
    <n v="0"/>
    <s v="03-05-00"/>
    <n v="32"/>
    <s v="DNP"/>
    <x v="1"/>
    <x v="1"/>
    <n v="3"/>
    <x v="0"/>
    <n v="2"/>
    <n v="1"/>
    <x v="0"/>
    <s v="LukeMorrical"/>
    <x v="3"/>
    <x v="45"/>
    <x v="4"/>
    <n v="2"/>
    <n v="0"/>
    <n v="0"/>
    <n v="0"/>
    <x v="3"/>
    <x v="0"/>
    <x v="1"/>
    <x v="0"/>
    <x v="1"/>
    <n v="0"/>
    <n v="6"/>
    <n v="2"/>
    <x v="0"/>
    <x v="0"/>
    <x v="1"/>
    <n v="0"/>
    <n v="33"/>
    <n v="0"/>
    <n v="0"/>
    <n v="0"/>
    <n v="0"/>
    <n v="0"/>
    <n v="0"/>
    <n v="0"/>
    <x v="158"/>
  </r>
  <r>
    <x v="14"/>
    <x v="17"/>
    <x v="16"/>
    <x v="17"/>
    <x v="14"/>
    <n v="21"/>
    <x v="11"/>
    <n v="11"/>
    <s v="AKI"/>
    <x v="12"/>
    <x v="12"/>
    <x v="12"/>
    <x v="12"/>
    <x v="12"/>
    <n v="15"/>
    <n v="6"/>
    <x v="51"/>
    <n v="0"/>
    <x v="0"/>
    <n v="0"/>
    <s v="offensive"/>
    <n v="0.33333333333333331"/>
    <n v="0.5"/>
    <n v="1"/>
    <n v="0"/>
    <n v="10"/>
    <n v="15"/>
    <n v="15"/>
    <n v="0"/>
    <x v="12"/>
    <n v="0"/>
    <n v="11"/>
    <n v="148"/>
    <n v="100"/>
    <n v="202"/>
    <n v="37014"/>
    <n v="9"/>
    <n v="0"/>
    <s v="05-03-01"/>
    <n v="10"/>
    <n v="11"/>
    <x v="1"/>
    <x v="1"/>
    <n v="3"/>
    <x v="0"/>
    <n v="2"/>
    <n v="1"/>
    <x v="0"/>
    <s v="LukeMorrical"/>
    <x v="17"/>
    <x v="46"/>
    <x v="4"/>
    <n v="3"/>
    <n v="0"/>
    <n v="6"/>
    <n v="12"/>
    <x v="0"/>
    <x v="0"/>
    <x v="1"/>
    <x v="0"/>
    <x v="1"/>
    <n v="9"/>
    <n v="9"/>
    <n v="3"/>
    <x v="0"/>
    <x v="0"/>
    <x v="0"/>
    <n v="0"/>
    <n v="0"/>
    <n v="0"/>
    <n v="0"/>
    <n v="0"/>
    <n v="10"/>
    <n v="0"/>
    <n v="0"/>
    <n v="0"/>
    <x v="159"/>
  </r>
  <r>
    <x v="0"/>
    <x v="0"/>
    <x v="0"/>
    <x v="0"/>
    <x v="0"/>
    <n v="4"/>
    <x v="0"/>
    <n v="25"/>
    <s v="AKI"/>
    <x v="0"/>
    <x v="0"/>
    <x v="0"/>
    <x v="0"/>
    <x v="0"/>
    <n v="124.4"/>
    <n v="54"/>
    <x v="52"/>
    <n v="20"/>
    <x v="0"/>
    <n v="2"/>
    <s v="offensive"/>
    <n v="1"/>
    <n v="0.73333333333333328"/>
    <n v="1"/>
    <n v="0"/>
    <n v="10"/>
    <n v="51"/>
    <n v="51"/>
    <n v="0"/>
    <x v="0"/>
    <n v="0"/>
    <n v="10"/>
    <n v="178"/>
    <n v="80"/>
    <n v="213"/>
    <n v="36649"/>
    <n v="8"/>
    <n v="0"/>
    <s v="05-03-00"/>
    <n v="11"/>
    <n v="6.5"/>
    <x v="0"/>
    <x v="0"/>
    <n v="3"/>
    <x v="0"/>
    <n v="2"/>
    <n v="1"/>
    <x v="0"/>
    <s v="LukeMorrical"/>
    <x v="0"/>
    <x v="57"/>
    <x v="4"/>
    <n v="3"/>
    <n v="0"/>
    <n v="18"/>
    <n v="0"/>
    <x v="3"/>
    <x v="0"/>
    <x v="1"/>
    <x v="0"/>
    <x v="0"/>
    <n v="33"/>
    <n v="12"/>
    <n v="2"/>
    <x v="1"/>
    <x v="0"/>
    <x v="0"/>
    <n v="0"/>
    <n v="0"/>
    <n v="0"/>
    <n v="0"/>
    <n v="10"/>
    <n v="10"/>
    <n v="10"/>
    <n v="0"/>
    <n v="0"/>
    <x v="160"/>
  </r>
  <r>
    <x v="23"/>
    <x v="31"/>
    <x v="21"/>
    <x v="30"/>
    <x v="2"/>
    <n v="28"/>
    <x v="8"/>
    <n v="7"/>
    <s v="AKI"/>
    <x v="19"/>
    <x v="19"/>
    <x v="19"/>
    <x v="19"/>
    <x v="15"/>
    <n v="24.32"/>
    <n v="0"/>
    <x v="11"/>
    <n v="20"/>
    <x v="1"/>
    <n v="0"/>
    <s v="defensive"/>
    <n v="0"/>
    <n v="0"/>
    <n v="1"/>
    <n v="0.3"/>
    <n v="10"/>
    <n v="14.4"/>
    <n v="0"/>
    <n v="14.4"/>
    <x v="26"/>
    <n v="0"/>
    <n v="10"/>
    <n v="72"/>
    <n v="80"/>
    <n v="107"/>
    <n v="36649"/>
    <n v="8"/>
    <n v="0"/>
    <s v="05-03-00"/>
    <n v="15"/>
    <n v="19"/>
    <x v="1"/>
    <x v="1"/>
    <n v="3"/>
    <x v="0"/>
    <n v="2"/>
    <n v="1"/>
    <x v="0"/>
    <s v="ben"/>
    <x v="31"/>
    <x v="49"/>
    <x v="4"/>
    <n v="3"/>
    <n v="0"/>
    <n v="0"/>
    <n v="0"/>
    <x v="9"/>
    <x v="0"/>
    <x v="1"/>
    <x v="1"/>
    <x v="1"/>
    <n v="0"/>
    <n v="0"/>
    <n v="1"/>
    <x v="0"/>
    <x v="0"/>
    <x v="3"/>
    <n v="0"/>
    <n v="120"/>
    <n v="0"/>
    <n v="0"/>
    <n v="10"/>
    <n v="10"/>
    <n v="0"/>
    <n v="0"/>
    <n v="0"/>
    <x v="161"/>
  </r>
  <r>
    <x v="2"/>
    <x v="37"/>
    <x v="21"/>
    <x v="36"/>
    <x v="2"/>
    <n v="28"/>
    <x v="3"/>
    <n v="6"/>
    <s v="AK"/>
    <x v="21"/>
    <x v="21"/>
    <x v="21"/>
    <x v="21"/>
    <x v="2"/>
    <n v="4.0199999999999996"/>
    <n v="0"/>
    <x v="11"/>
    <n v="0"/>
    <x v="44"/>
    <n v="0"/>
    <s v="defensive"/>
    <n v="0"/>
    <n v="0"/>
    <n v="0"/>
    <n v="0.3"/>
    <n v="0"/>
    <n v="13.4"/>
    <n v="0"/>
    <n v="13.4"/>
    <x v="24"/>
    <n v="1"/>
    <n v="8"/>
    <n v="82"/>
    <n v="80"/>
    <n v="145"/>
    <n v="36620"/>
    <n v="8"/>
    <n v="0"/>
    <s v="04-04-00"/>
    <n v="23"/>
    <s v="DNP"/>
    <x v="1"/>
    <x v="1"/>
    <n v="3"/>
    <x v="0"/>
    <n v="2"/>
    <n v="1"/>
    <x v="0"/>
    <s v="Chris Yarnot"/>
    <x v="37"/>
    <x v="50"/>
    <x v="4"/>
    <n v="0"/>
    <n v="0"/>
    <n v="0"/>
    <n v="0"/>
    <x v="9"/>
    <x v="1"/>
    <x v="1"/>
    <x v="1"/>
    <x v="1"/>
    <n v="0"/>
    <n v="0"/>
    <n v="0"/>
    <x v="0"/>
    <x v="0"/>
    <x v="3"/>
    <n v="0"/>
    <n v="120"/>
    <n v="0"/>
    <n v="0"/>
    <n v="0"/>
    <n v="0"/>
    <n v="0"/>
    <n v="1"/>
    <n v="0"/>
    <x v="162"/>
  </r>
  <r>
    <x v="4"/>
    <x v="6"/>
    <x v="6"/>
    <x v="6"/>
    <x v="4"/>
    <n v="13"/>
    <x v="5"/>
    <n v="24"/>
    <s v="AI"/>
    <x v="6"/>
    <x v="6"/>
    <x v="6"/>
    <x v="6"/>
    <x v="4"/>
    <n v="46.941176470588232"/>
    <n v="24"/>
    <x v="53"/>
    <n v="20"/>
    <x v="0"/>
    <n v="0"/>
    <s v="offensive"/>
    <n v="0.66666666666666663"/>
    <n v="0.29411764705882354"/>
    <n v="1"/>
    <n v="0"/>
    <n v="10"/>
    <n v="17"/>
    <n v="17"/>
    <n v="0"/>
    <x v="4"/>
    <n v="0"/>
    <n v="4"/>
    <n v="112"/>
    <n v="90"/>
    <n v="106"/>
    <n v="36562"/>
    <n v="8"/>
    <n v="0"/>
    <s v="02-06-00"/>
    <n v="35"/>
    <n v="15"/>
    <x v="1"/>
    <x v="1"/>
    <n v="3"/>
    <x v="0"/>
    <n v="2"/>
    <n v="1"/>
    <x v="0"/>
    <s v="Chris Yarnot"/>
    <x v="6"/>
    <x v="51"/>
    <x v="4"/>
    <n v="3"/>
    <n v="0"/>
    <n v="12"/>
    <n v="6"/>
    <x v="3"/>
    <x v="1"/>
    <x v="1"/>
    <x v="1"/>
    <x v="1"/>
    <n v="5"/>
    <n v="12"/>
    <n v="0"/>
    <x v="0"/>
    <x v="0"/>
    <x v="0"/>
    <n v="0"/>
    <n v="0"/>
    <n v="0"/>
    <n v="0"/>
    <n v="10"/>
    <n v="10"/>
    <n v="4"/>
    <n v="0"/>
    <n v="0"/>
    <x v="163"/>
  </r>
  <r>
    <x v="6"/>
    <x v="8"/>
    <x v="8"/>
    <x v="8"/>
    <x v="6"/>
    <n v="12"/>
    <x v="2"/>
    <n v="25"/>
    <s v="AKI"/>
    <x v="8"/>
    <x v="8"/>
    <x v="8"/>
    <x v="8"/>
    <x v="6"/>
    <n v="74"/>
    <n v="54"/>
    <x v="11"/>
    <n v="20"/>
    <x v="0"/>
    <n v="0"/>
    <s v="offensive"/>
    <n v="1"/>
    <n v="0"/>
    <n v="1"/>
    <n v="0"/>
    <n v="10"/>
    <n v="18"/>
    <n v="18"/>
    <n v="0"/>
    <x v="1"/>
    <n v="0"/>
    <n v="14"/>
    <n v="180"/>
    <n v="140"/>
    <n v="209"/>
    <n v="36709"/>
    <n v="9"/>
    <n v="0"/>
    <s v="07-02-00"/>
    <n v="3"/>
    <n v="9"/>
    <x v="0"/>
    <x v="3"/>
    <n v="3"/>
    <x v="0"/>
    <n v="2"/>
    <n v="1"/>
    <x v="0"/>
    <s v="Chris Yarnot"/>
    <x v="8"/>
    <x v="52"/>
    <x v="4"/>
    <n v="3"/>
    <n v="0"/>
    <n v="18"/>
    <n v="0"/>
    <x v="3"/>
    <x v="1"/>
    <x v="1"/>
    <x v="1"/>
    <x v="1"/>
    <n v="0"/>
    <n v="0"/>
    <n v="0"/>
    <x v="0"/>
    <x v="0"/>
    <x v="0"/>
    <n v="0"/>
    <n v="0"/>
    <n v="0"/>
    <n v="0"/>
    <n v="10"/>
    <n v="10"/>
    <n v="12"/>
    <n v="0"/>
    <n v="0"/>
    <x v="164"/>
  </r>
  <r>
    <x v="24"/>
    <x v="34"/>
    <x v="21"/>
    <x v="33"/>
    <x v="2"/>
    <n v="28"/>
    <x v="8"/>
    <n v="3"/>
    <s v="AK"/>
    <x v="20"/>
    <x v="20"/>
    <x v="20"/>
    <x v="20"/>
    <x v="2"/>
    <n v="17.28"/>
    <n v="0"/>
    <x v="11"/>
    <n v="0"/>
    <x v="33"/>
    <n v="0"/>
    <s v="defensive"/>
    <n v="0"/>
    <n v="0"/>
    <n v="0"/>
    <n v="0.6"/>
    <n v="0"/>
    <n v="28.8"/>
    <n v="0"/>
    <n v="28.8"/>
    <x v="27"/>
    <n v="0"/>
    <n v="6"/>
    <n v="106"/>
    <n v="60"/>
    <n v="139"/>
    <n v="36591"/>
    <n v="9"/>
    <n v="0"/>
    <s v="03-06-00"/>
    <n v="28"/>
    <n v="26"/>
    <x v="1"/>
    <x v="1"/>
    <n v="3"/>
    <x v="0"/>
    <n v="2"/>
    <n v="1"/>
    <x v="0"/>
    <s v="Chris Yarnot"/>
    <x v="34"/>
    <x v="53"/>
    <x v="4"/>
    <n v="0"/>
    <n v="0"/>
    <n v="0"/>
    <n v="0"/>
    <x v="9"/>
    <x v="1"/>
    <x v="1"/>
    <x v="1"/>
    <x v="1"/>
    <n v="0"/>
    <n v="0"/>
    <n v="2"/>
    <x v="0"/>
    <x v="0"/>
    <x v="1"/>
    <n v="0"/>
    <n v="120"/>
    <n v="0"/>
    <n v="0"/>
    <n v="0"/>
    <n v="0"/>
    <n v="0"/>
    <n v="0"/>
    <n v="0"/>
    <x v="165"/>
  </r>
  <r>
    <x v="17"/>
    <x v="22"/>
    <x v="20"/>
    <x v="22"/>
    <x v="17"/>
    <n v="28"/>
    <x v="6"/>
    <n v="17"/>
    <s v="AK"/>
    <x v="15"/>
    <x v="15"/>
    <x v="15"/>
    <x v="15"/>
    <x v="13"/>
    <n v="20"/>
    <n v="0"/>
    <x v="11"/>
    <n v="20"/>
    <x v="0"/>
    <n v="0"/>
    <s v="offensive"/>
    <n v="0"/>
    <n v="0"/>
    <n v="1"/>
    <n v="0"/>
    <n v="10"/>
    <n v="0"/>
    <n v="0"/>
    <n v="0"/>
    <x v="17"/>
    <n v="0"/>
    <n v="8"/>
    <n v="82"/>
    <n v="180"/>
    <n v="228"/>
    <n v="36621"/>
    <n v="9"/>
    <n v="0"/>
    <s v="04-05-00"/>
    <n v="22"/>
    <n v="25"/>
    <x v="1"/>
    <x v="1"/>
    <n v="3"/>
    <x v="0"/>
    <n v="2"/>
    <n v="1"/>
    <x v="0"/>
    <s v="Chris Yarnot"/>
    <x v="22"/>
    <x v="54"/>
    <x v="4"/>
    <n v="2"/>
    <n v="0"/>
    <n v="0"/>
    <n v="12"/>
    <x v="9"/>
    <x v="1"/>
    <x v="1"/>
    <x v="0"/>
    <x v="1"/>
    <n v="0"/>
    <n v="0"/>
    <n v="1"/>
    <x v="0"/>
    <x v="0"/>
    <x v="0"/>
    <n v="0"/>
    <n v="0"/>
    <n v="0"/>
    <n v="0"/>
    <n v="10"/>
    <n v="10"/>
    <n v="10"/>
    <n v="0"/>
    <n v="0"/>
    <x v="166"/>
  </r>
  <r>
    <x v="14"/>
    <x v="17"/>
    <x v="16"/>
    <x v="17"/>
    <x v="14"/>
    <n v="21"/>
    <x v="11"/>
    <n v="11"/>
    <s v="AKI"/>
    <x v="12"/>
    <x v="12"/>
    <x v="12"/>
    <x v="12"/>
    <x v="12"/>
    <n v="21.584"/>
    <n v="0"/>
    <x v="11"/>
    <n v="20"/>
    <x v="45"/>
    <n v="0"/>
    <s v="both"/>
    <n v="0"/>
    <n v="0"/>
    <n v="1"/>
    <n v="0.3"/>
    <n v="10"/>
    <n v="5.2799999999999994"/>
    <n v="0"/>
    <n v="5.2799999999999994"/>
    <x v="12"/>
    <n v="0"/>
    <n v="11"/>
    <n v="148"/>
    <n v="100"/>
    <n v="202"/>
    <n v="37014"/>
    <n v="9"/>
    <n v="0"/>
    <s v="05-03-01"/>
    <n v="10"/>
    <n v="11"/>
    <x v="1"/>
    <x v="1"/>
    <n v="3"/>
    <x v="0"/>
    <n v="2"/>
    <n v="1"/>
    <x v="0"/>
    <s v="jontae bailey"/>
    <x v="17"/>
    <x v="23"/>
    <x v="4"/>
    <n v="0"/>
    <n v="0"/>
    <n v="0"/>
    <n v="18"/>
    <x v="1"/>
    <x v="1"/>
    <x v="1"/>
    <x v="0"/>
    <x v="1"/>
    <n v="0"/>
    <n v="0"/>
    <n v="0"/>
    <x v="0"/>
    <x v="0"/>
    <x v="3"/>
    <n v="0"/>
    <n v="44"/>
    <n v="0"/>
    <n v="0"/>
    <n v="10"/>
    <n v="10"/>
    <n v="9"/>
    <n v="0"/>
    <n v="0"/>
    <x v="167"/>
  </r>
  <r>
    <x v="1"/>
    <x v="1"/>
    <x v="1"/>
    <x v="1"/>
    <x v="1"/>
    <n v="8"/>
    <x v="1"/>
    <n v="13"/>
    <s v="AKI"/>
    <x v="1"/>
    <x v="1"/>
    <x v="1"/>
    <x v="1"/>
    <x v="1"/>
    <n v="24"/>
    <n v="0"/>
    <x v="12"/>
    <n v="0"/>
    <x v="0"/>
    <n v="0"/>
    <s v="offensive"/>
    <n v="0"/>
    <n v="0.66666666666666663"/>
    <n v="1"/>
    <n v="0"/>
    <n v="10"/>
    <n v="18"/>
    <n v="18"/>
    <n v="0"/>
    <x v="0"/>
    <n v="0"/>
    <n v="5"/>
    <n v="118"/>
    <n v="120"/>
    <n v="179"/>
    <n v="36927"/>
    <n v="8"/>
    <n v="0"/>
    <s v="02-05-01"/>
    <n v="34"/>
    <n v="12"/>
    <x v="1"/>
    <x v="1"/>
    <n v="3"/>
    <x v="0"/>
    <n v="2"/>
    <n v="1"/>
    <x v="0"/>
    <s v="jontae bailey"/>
    <x v="1"/>
    <x v="23"/>
    <x v="4"/>
    <n v="0"/>
    <n v="0"/>
    <n v="0"/>
    <n v="0"/>
    <x v="6"/>
    <x v="1"/>
    <x v="1"/>
    <x v="0"/>
    <x v="1"/>
    <n v="18"/>
    <n v="9"/>
    <n v="1"/>
    <x v="0"/>
    <x v="0"/>
    <x v="0"/>
    <n v="0"/>
    <n v="0"/>
    <n v="0"/>
    <n v="0"/>
    <n v="0"/>
    <n v="10"/>
    <n v="0"/>
    <n v="0"/>
    <n v="0"/>
    <x v="0"/>
  </r>
  <r>
    <x v="22"/>
    <x v="30"/>
    <x v="26"/>
    <x v="29"/>
    <x v="21"/>
    <n v="7"/>
    <x v="15"/>
    <n v="25"/>
    <s v="AKI"/>
    <x v="18"/>
    <x v="18"/>
    <x v="18"/>
    <x v="18"/>
    <x v="10"/>
    <n v="56"/>
    <n v="9"/>
    <x v="54"/>
    <n v="20"/>
    <x v="0"/>
    <n v="0"/>
    <s v="offensive"/>
    <n v="0.5"/>
    <n v="0.75"/>
    <n v="1"/>
    <n v="0"/>
    <n v="10"/>
    <n v="24"/>
    <n v="24"/>
    <n v="0"/>
    <x v="25"/>
    <n v="0"/>
    <n v="8"/>
    <n v="160"/>
    <n v="140"/>
    <n v="237"/>
    <n v="36620"/>
    <n v="8"/>
    <n v="0"/>
    <s v="04-04-00"/>
    <n v="18"/>
    <n v="5"/>
    <x v="1"/>
    <x v="1"/>
    <n v="3"/>
    <x v="0"/>
    <n v="2"/>
    <n v="1"/>
    <x v="0"/>
    <s v="jontae bailey"/>
    <x v="30"/>
    <x v="24"/>
    <x v="4"/>
    <n v="3"/>
    <n v="0"/>
    <n v="6"/>
    <n v="6"/>
    <x v="3"/>
    <x v="1"/>
    <x v="1"/>
    <x v="0"/>
    <x v="1"/>
    <n v="18"/>
    <n v="6"/>
    <n v="2"/>
    <x v="0"/>
    <x v="0"/>
    <x v="0"/>
    <n v="0"/>
    <n v="0"/>
    <n v="0"/>
    <n v="0"/>
    <n v="10"/>
    <n v="10"/>
    <n v="6"/>
    <n v="0"/>
    <n v="0"/>
    <x v="0"/>
  </r>
  <r>
    <x v="16"/>
    <x v="21"/>
    <x v="19"/>
    <x v="21"/>
    <x v="16"/>
    <n v="22"/>
    <x v="6"/>
    <n v="25"/>
    <s v="AK"/>
    <x v="9"/>
    <x v="9"/>
    <x v="9"/>
    <x v="9"/>
    <x v="2"/>
    <n v="22"/>
    <n v="24"/>
    <x v="11"/>
    <n v="0"/>
    <x v="0"/>
    <n v="-2"/>
    <s v="offensive"/>
    <n v="0.66666666666666663"/>
    <n v="0"/>
    <n v="0"/>
    <n v="0"/>
    <n v="10"/>
    <n v="12"/>
    <n v="12"/>
    <n v="0"/>
    <x v="16"/>
    <n v="0"/>
    <n v="10"/>
    <n v="102"/>
    <n v="190"/>
    <n v="152"/>
    <n v="36650"/>
    <n v="9"/>
    <n v="0"/>
    <s v="05-04-00"/>
    <n v="13"/>
    <n v="17"/>
    <x v="1"/>
    <x v="1"/>
    <n v="3"/>
    <x v="0"/>
    <n v="2"/>
    <n v="1"/>
    <x v="0"/>
    <s v="jontae bailey"/>
    <x v="21"/>
    <x v="26"/>
    <x v="4"/>
    <n v="3"/>
    <n v="0"/>
    <n v="12"/>
    <n v="6"/>
    <x v="0"/>
    <x v="1"/>
    <x v="1"/>
    <x v="0"/>
    <x v="1"/>
    <n v="0"/>
    <n v="0"/>
    <n v="1"/>
    <x v="0"/>
    <x v="0"/>
    <x v="0"/>
    <n v="0"/>
    <n v="0"/>
    <n v="0"/>
    <n v="0"/>
    <n v="10"/>
    <n v="0"/>
    <n v="9"/>
    <n v="0"/>
    <n v="0"/>
    <x v="168"/>
  </r>
  <r>
    <x v="12"/>
    <x v="14"/>
    <x v="13"/>
    <x v="14"/>
    <x v="12"/>
    <n v="5"/>
    <x v="9"/>
    <n v="22"/>
    <s v="AKI"/>
    <x v="9"/>
    <x v="9"/>
    <x v="9"/>
    <x v="9"/>
    <x v="2"/>
    <n v="114"/>
    <n v="54"/>
    <x v="55"/>
    <n v="20"/>
    <x v="0"/>
    <n v="0"/>
    <s v="offensive"/>
    <n v="1"/>
    <n v="0.66666666666666663"/>
    <n v="1"/>
    <n v="0"/>
    <n v="10"/>
    <n v="48"/>
    <n v="48"/>
    <n v="0"/>
    <x v="10"/>
    <n v="0"/>
    <n v="14"/>
    <n v="266"/>
    <n v="140"/>
    <n v="284"/>
    <n v="36709"/>
    <n v="9"/>
    <n v="0"/>
    <s v="07-02-00"/>
    <n v="2"/>
    <n v="3"/>
    <x v="1"/>
    <x v="1"/>
    <n v="3"/>
    <x v="0"/>
    <n v="2"/>
    <n v="1"/>
    <x v="0"/>
    <s v="jontae bailey"/>
    <x v="14"/>
    <x v="27"/>
    <x v="4"/>
    <n v="3"/>
    <n v="0"/>
    <n v="18"/>
    <n v="0"/>
    <x v="3"/>
    <x v="1"/>
    <x v="1"/>
    <x v="0"/>
    <x v="1"/>
    <n v="30"/>
    <n v="15"/>
    <n v="2"/>
    <x v="0"/>
    <x v="0"/>
    <x v="0"/>
    <n v="0"/>
    <n v="0"/>
    <n v="0"/>
    <n v="0"/>
    <n v="10"/>
    <n v="10"/>
    <n v="3"/>
    <n v="0"/>
    <n v="0"/>
    <x v="169"/>
  </r>
  <r>
    <x v="24"/>
    <x v="34"/>
    <x v="21"/>
    <x v="33"/>
    <x v="2"/>
    <n v="28"/>
    <x v="8"/>
    <n v="3"/>
    <s v="AK"/>
    <x v="20"/>
    <x v="20"/>
    <x v="20"/>
    <x v="20"/>
    <x v="2"/>
    <n v="6.48"/>
    <n v="0"/>
    <x v="11"/>
    <n v="0"/>
    <x v="2"/>
    <n v="0"/>
    <s v="both"/>
    <n v="0"/>
    <n v="0"/>
    <n v="0"/>
    <n v="0.6"/>
    <n v="0"/>
    <n v="10.8"/>
    <n v="0"/>
    <n v="10.8"/>
    <x v="27"/>
    <n v="0"/>
    <n v="6"/>
    <n v="106"/>
    <n v="60"/>
    <n v="139"/>
    <n v="36591"/>
    <n v="9"/>
    <n v="0"/>
    <s v="03-06-00"/>
    <n v="28"/>
    <n v="26"/>
    <x v="1"/>
    <x v="1"/>
    <n v="3"/>
    <x v="0"/>
    <n v="2"/>
    <n v="1"/>
    <x v="0"/>
    <s v="jontae bailey"/>
    <x v="34"/>
    <x v="28"/>
    <x v="4"/>
    <n v="3"/>
    <n v="0"/>
    <n v="0"/>
    <n v="0"/>
    <x v="15"/>
    <x v="1"/>
    <x v="1"/>
    <x v="1"/>
    <x v="0"/>
    <n v="0"/>
    <n v="0"/>
    <n v="0"/>
    <x v="0"/>
    <x v="0"/>
    <x v="1"/>
    <n v="0"/>
    <n v="45"/>
    <n v="0"/>
    <n v="0"/>
    <n v="0"/>
    <n v="0"/>
    <n v="0"/>
    <n v="0"/>
    <n v="0"/>
    <x v="170"/>
  </r>
  <r>
    <x v="2"/>
    <x v="3"/>
    <x v="3"/>
    <x v="3"/>
    <x v="2"/>
    <n v="19"/>
    <x v="3"/>
    <n v="12"/>
    <s v="AKI"/>
    <x v="3"/>
    <x v="3"/>
    <x v="3"/>
    <x v="3"/>
    <x v="2"/>
    <n v="9.1880000000000006"/>
    <n v="0"/>
    <x v="21"/>
    <n v="0"/>
    <x v="46"/>
    <n v="0"/>
    <s v="both"/>
    <n v="0"/>
    <n v="0.66666666666666663"/>
    <n v="0"/>
    <n v="0.3"/>
    <n v="0"/>
    <n v="9.9600000000000009"/>
    <n v="6"/>
    <n v="3.9600000000000004"/>
    <x v="2"/>
    <n v="0"/>
    <n v="6"/>
    <n v="66"/>
    <n v="70"/>
    <n v="129"/>
    <n v="36590"/>
    <n v="8"/>
    <n v="0"/>
    <s v="03-05-00"/>
    <n v="32"/>
    <s v="DNP"/>
    <x v="1"/>
    <x v="1"/>
    <n v="3"/>
    <x v="0"/>
    <n v="2"/>
    <n v="1"/>
    <x v="0"/>
    <s v="jontae bailey"/>
    <x v="3"/>
    <x v="29"/>
    <x v="4"/>
    <n v="3"/>
    <n v="0"/>
    <n v="0"/>
    <n v="0"/>
    <x v="9"/>
    <x v="1"/>
    <x v="1"/>
    <x v="1"/>
    <x v="1"/>
    <n v="6"/>
    <n v="3"/>
    <n v="1"/>
    <x v="0"/>
    <x v="0"/>
    <x v="3"/>
    <n v="0"/>
    <n v="33"/>
    <n v="0"/>
    <n v="0"/>
    <n v="0"/>
    <n v="0"/>
    <n v="0"/>
    <n v="0"/>
    <n v="0"/>
    <x v="171"/>
  </r>
  <r>
    <x v="9"/>
    <x v="11"/>
    <x v="10"/>
    <x v="11"/>
    <x v="9"/>
    <n v="9"/>
    <x v="3"/>
    <n v="25"/>
    <s v="AKI"/>
    <x v="2"/>
    <x v="2"/>
    <x v="2"/>
    <x v="2"/>
    <x v="8"/>
    <n v="-2"/>
    <n v="0"/>
    <x v="11"/>
    <n v="0"/>
    <x v="0"/>
    <n v="-2"/>
    <s v="offensive"/>
    <n v="0"/>
    <n v="0"/>
    <n v="0"/>
    <n v="0"/>
    <n v="0"/>
    <n v="0"/>
    <n v="0"/>
    <n v="0"/>
    <x v="7"/>
    <n v="0"/>
    <n v="6"/>
    <n v="106"/>
    <n v="70"/>
    <n v="201"/>
    <n v="36590"/>
    <n v="8"/>
    <n v="0"/>
    <s v="03-05-00"/>
    <n v="27"/>
    <n v="8"/>
    <x v="0"/>
    <x v="4"/>
    <n v="3"/>
    <x v="0"/>
    <n v="2"/>
    <n v="1"/>
    <x v="0"/>
    <s v="Reed Symonds"/>
    <x v="11"/>
    <x v="55"/>
    <x v="4"/>
    <n v="3"/>
    <n v="0"/>
    <n v="0"/>
    <n v="0"/>
    <x v="0"/>
    <x v="1"/>
    <x v="1"/>
    <x v="1"/>
    <x v="1"/>
    <n v="0"/>
    <n v="0"/>
    <n v="1"/>
    <x v="0"/>
    <x v="0"/>
    <x v="0"/>
    <n v="0"/>
    <n v="0"/>
    <n v="0"/>
    <n v="0"/>
    <n v="0"/>
    <n v="0"/>
    <n v="0"/>
    <n v="0"/>
    <n v="0"/>
    <x v="172"/>
  </r>
  <r>
    <x v="2"/>
    <x v="16"/>
    <x v="15"/>
    <x v="16"/>
    <x v="2"/>
    <n v="17"/>
    <x v="3"/>
    <n v="9"/>
    <s v="AKI"/>
    <x v="8"/>
    <x v="8"/>
    <x v="8"/>
    <x v="8"/>
    <x v="11"/>
    <n v="0"/>
    <n v="0"/>
    <x v="11"/>
    <n v="0"/>
    <x v="0"/>
    <n v="0"/>
    <s v="offensive"/>
    <n v="0"/>
    <n v="0"/>
    <n v="0"/>
    <n v="0"/>
    <n v="0"/>
    <n v="0"/>
    <n v="0"/>
    <n v="0"/>
    <x v="11"/>
    <n v="0"/>
    <n v="6"/>
    <n v="42"/>
    <n v="60"/>
    <n v="91"/>
    <n v="36589"/>
    <n v="8"/>
    <n v="0"/>
    <s v="03-04-00"/>
    <n v="33"/>
    <s v="DNP"/>
    <x v="1"/>
    <x v="1"/>
    <n v="3"/>
    <x v="0"/>
    <n v="2"/>
    <n v="1"/>
    <x v="0"/>
    <s v="Reed Symonds"/>
    <x v="16"/>
    <x v="30"/>
    <x v="4"/>
    <n v="3"/>
    <n v="0"/>
    <n v="0"/>
    <n v="6"/>
    <x v="7"/>
    <x v="1"/>
    <x v="1"/>
    <x v="1"/>
    <x v="1"/>
    <n v="0"/>
    <n v="0"/>
    <n v="0"/>
    <x v="0"/>
    <x v="0"/>
    <x v="0"/>
    <n v="0"/>
    <n v="0"/>
    <n v="0"/>
    <n v="0"/>
    <n v="0"/>
    <n v="0"/>
    <n v="0"/>
    <n v="0"/>
    <n v="0"/>
    <x v="173"/>
  </r>
  <r>
    <x v="27"/>
    <x v="39"/>
    <x v="28"/>
    <x v="38"/>
    <x v="23"/>
    <n v="2"/>
    <x v="10"/>
    <n v="15"/>
    <s v="AK"/>
    <x v="2"/>
    <x v="2"/>
    <x v="2"/>
    <x v="2"/>
    <x v="19"/>
    <n v="100.372"/>
    <n v="54"/>
    <x v="56"/>
    <n v="0"/>
    <x v="40"/>
    <n v="4"/>
    <s v="offensive"/>
    <n v="1"/>
    <n v="0.75"/>
    <n v="0"/>
    <n v="0.6"/>
    <n v="0"/>
    <n v="48.12"/>
    <n v="45"/>
    <n v="3.1199999999999997"/>
    <x v="30"/>
    <n v="0"/>
    <n v="18"/>
    <n v="240"/>
    <n v="140"/>
    <n v="461"/>
    <s v="9-0-0"/>
    <n v="9"/>
    <n v="0"/>
    <s v="9-0-0"/>
    <n v="1"/>
    <n v="1"/>
    <x v="1"/>
    <x v="1"/>
    <n v="3"/>
    <x v="0"/>
    <n v="2"/>
    <n v="1"/>
    <x v="0"/>
    <s v="Reed Symonds"/>
    <x v="39"/>
    <x v="56"/>
    <x v="4"/>
    <n v="3"/>
    <n v="0"/>
    <n v="18"/>
    <n v="0"/>
    <x v="6"/>
    <x v="0"/>
    <x v="1"/>
    <x v="0"/>
    <x v="1"/>
    <n v="27"/>
    <n v="9"/>
    <n v="3"/>
    <x v="1"/>
    <x v="0"/>
    <x v="1"/>
    <n v="0"/>
    <n v="13"/>
    <n v="0"/>
    <n v="0"/>
    <n v="0"/>
    <n v="0"/>
    <n v="0"/>
    <n v="0"/>
    <n v="0"/>
    <x v="174"/>
  </r>
  <r>
    <x v="2"/>
    <x v="38"/>
    <x v="14"/>
    <x v="37"/>
    <x v="2"/>
    <n v="17"/>
    <x v="3"/>
    <n v="23"/>
    <s v="AKD"/>
    <x v="13"/>
    <x v="13"/>
    <x v="13"/>
    <x v="13"/>
    <x v="18"/>
    <n v="14.285714285714285"/>
    <n v="0"/>
    <x v="57"/>
    <n v="0"/>
    <x v="0"/>
    <n v="4"/>
    <s v="offensive"/>
    <n v="0"/>
    <n v="0.8571428571428571"/>
    <n v="0"/>
    <n v="0"/>
    <n v="0"/>
    <n v="6"/>
    <n v="6"/>
    <n v="0"/>
    <x v="29"/>
    <n v="1"/>
    <n v="3"/>
    <n v="74"/>
    <n v="50"/>
    <n v="162"/>
    <n v="36897"/>
    <n v="8"/>
    <n v="0"/>
    <s v="01-06-01"/>
    <n v="39"/>
    <s v="DNP"/>
    <x v="1"/>
    <x v="1"/>
    <n v="3"/>
    <x v="0"/>
    <n v="2"/>
    <n v="1"/>
    <x v="0"/>
    <s v="Reed Symonds"/>
    <x v="38"/>
    <x v="31"/>
    <x v="4"/>
    <n v="1"/>
    <n v="0"/>
    <n v="0"/>
    <n v="0"/>
    <x v="7"/>
    <x v="0"/>
    <x v="1"/>
    <x v="0"/>
    <x v="1"/>
    <n v="6"/>
    <n v="1"/>
    <n v="3"/>
    <x v="1"/>
    <x v="0"/>
    <x v="0"/>
    <n v="0"/>
    <n v="0"/>
    <n v="0"/>
    <n v="0"/>
    <n v="0"/>
    <n v="0"/>
    <n v="0"/>
    <n v="0"/>
    <n v="0"/>
    <x v="175"/>
  </r>
  <r>
    <x v="22"/>
    <x v="30"/>
    <x v="26"/>
    <x v="29"/>
    <x v="21"/>
    <n v="7"/>
    <x v="15"/>
    <n v="25"/>
    <s v="AKI"/>
    <x v="18"/>
    <x v="18"/>
    <x v="18"/>
    <x v="18"/>
    <x v="10"/>
    <n v="80"/>
    <n v="54"/>
    <x v="12"/>
    <n v="0"/>
    <x v="0"/>
    <n v="2"/>
    <s v="offensive"/>
    <n v="1"/>
    <n v="1"/>
    <n v="0"/>
    <n v="0"/>
    <n v="10"/>
    <n v="30"/>
    <n v="30"/>
    <n v="0"/>
    <x v="25"/>
    <n v="0"/>
    <n v="8"/>
    <n v="160"/>
    <n v="140"/>
    <n v="237"/>
    <n v="36620"/>
    <n v="8"/>
    <n v="0"/>
    <s v="04-04-00"/>
    <n v="18"/>
    <n v="5"/>
    <x v="1"/>
    <x v="1"/>
    <n v="3"/>
    <x v="0"/>
    <n v="2"/>
    <n v="1"/>
    <x v="0"/>
    <s v="Reed Symonds"/>
    <x v="30"/>
    <x v="32"/>
    <x v="4"/>
    <n v="3"/>
    <n v="0"/>
    <n v="18"/>
    <n v="0"/>
    <x v="0"/>
    <x v="0"/>
    <x v="1"/>
    <x v="0"/>
    <x v="1"/>
    <n v="12"/>
    <n v="0"/>
    <n v="3"/>
    <x v="1"/>
    <x v="0"/>
    <x v="0"/>
    <n v="0"/>
    <n v="0"/>
    <n v="0"/>
    <n v="0"/>
    <n v="10"/>
    <n v="0"/>
    <n v="0"/>
    <n v="0"/>
    <n v="0"/>
    <x v="176"/>
  </r>
  <r>
    <x v="2"/>
    <x v="16"/>
    <x v="15"/>
    <x v="16"/>
    <x v="2"/>
    <n v="17"/>
    <x v="3"/>
    <n v="9"/>
    <s v="AKI"/>
    <x v="8"/>
    <x v="8"/>
    <x v="8"/>
    <x v="8"/>
    <x v="11"/>
    <n v="7.4879999999999987"/>
    <n v="0"/>
    <x v="11"/>
    <n v="0"/>
    <x v="47"/>
    <n v="0"/>
    <s v="defensive"/>
    <n v="0"/>
    <n v="0"/>
    <n v="0"/>
    <n v="0.6"/>
    <n v="0"/>
    <n v="12.479999999999999"/>
    <n v="0"/>
    <n v="12.479999999999999"/>
    <x v="11"/>
    <n v="0"/>
    <n v="6"/>
    <n v="42"/>
    <n v="60"/>
    <n v="91"/>
    <n v="36589"/>
    <n v="8"/>
    <n v="0"/>
    <s v="03-04-00"/>
    <n v="33"/>
    <s v="DNP"/>
    <x v="1"/>
    <x v="1"/>
    <n v="3"/>
    <x v="0"/>
    <n v="2"/>
    <n v="1"/>
    <x v="0"/>
    <s v="Reed Symonds"/>
    <x v="16"/>
    <x v="33"/>
    <x v="4"/>
    <n v="2"/>
    <n v="0"/>
    <n v="0"/>
    <n v="0"/>
    <x v="7"/>
    <x v="0"/>
    <x v="1"/>
    <x v="0"/>
    <x v="1"/>
    <n v="0"/>
    <n v="0"/>
    <n v="0"/>
    <x v="0"/>
    <x v="0"/>
    <x v="1"/>
    <n v="0"/>
    <n v="52"/>
    <n v="0"/>
    <n v="0"/>
    <n v="0"/>
    <n v="0"/>
    <n v="0"/>
    <n v="0"/>
    <n v="0"/>
    <x v="177"/>
  </r>
  <r>
    <x v="2"/>
    <x v="33"/>
    <x v="21"/>
    <x v="32"/>
    <x v="2"/>
    <n v="28"/>
    <x v="3"/>
    <n v="14"/>
    <s v="AK"/>
    <x v="2"/>
    <x v="2"/>
    <x v="2"/>
    <x v="2"/>
    <x v="17"/>
    <n v="0"/>
    <n v="0"/>
    <x v="11"/>
    <n v="0"/>
    <x v="0"/>
    <n v="0"/>
    <s v="offensive"/>
    <n v="0"/>
    <n v="0"/>
    <n v="0"/>
    <n v="0"/>
    <n v="0"/>
    <n v="0"/>
    <n v="0"/>
    <n v="0"/>
    <x v="1"/>
    <n v="0"/>
    <n v="6"/>
    <n v="84"/>
    <n v="90"/>
    <n v="144"/>
    <n v="36591"/>
    <n v="9"/>
    <n v="0"/>
    <s v="03-06-00"/>
    <n v="31"/>
    <s v="DNP"/>
    <x v="1"/>
    <x v="1"/>
    <n v="3"/>
    <x v="0"/>
    <n v="2"/>
    <n v="1"/>
    <x v="0"/>
    <s v="Zach"/>
    <x v="33"/>
    <x v="34"/>
    <x v="4"/>
    <n v="0"/>
    <n v="0"/>
    <n v="0"/>
    <n v="0"/>
    <x v="1"/>
    <x v="1"/>
    <x v="1"/>
    <x v="1"/>
    <x v="1"/>
    <n v="0"/>
    <n v="0"/>
    <n v="0"/>
    <x v="0"/>
    <x v="0"/>
    <x v="0"/>
    <n v="0"/>
    <n v="0"/>
    <n v="0"/>
    <n v="0"/>
    <n v="0"/>
    <n v="0"/>
    <n v="0"/>
    <n v="0"/>
    <n v="0"/>
    <x v="178"/>
  </r>
  <r>
    <x v="17"/>
    <x v="22"/>
    <x v="20"/>
    <x v="22"/>
    <x v="17"/>
    <n v="28"/>
    <x v="6"/>
    <n v="17"/>
    <s v="AK"/>
    <x v="15"/>
    <x v="15"/>
    <x v="15"/>
    <x v="15"/>
    <x v="13"/>
    <n v="22.756"/>
    <n v="0"/>
    <x v="11"/>
    <n v="20"/>
    <x v="48"/>
    <n v="2"/>
    <s v="both"/>
    <n v="0"/>
    <n v="0"/>
    <n v="1"/>
    <n v="0.3"/>
    <n v="10"/>
    <n v="2.52"/>
    <n v="0"/>
    <n v="2.52"/>
    <x v="17"/>
    <n v="0"/>
    <n v="8"/>
    <n v="82"/>
    <n v="180"/>
    <n v="228"/>
    <n v="36621"/>
    <n v="9"/>
    <n v="0"/>
    <s v="04-05-00"/>
    <n v="22"/>
    <n v="25"/>
    <x v="1"/>
    <x v="1"/>
    <n v="3"/>
    <x v="0"/>
    <n v="2"/>
    <n v="1"/>
    <x v="0"/>
    <s v="Zach"/>
    <x v="22"/>
    <x v="35"/>
    <x v="4"/>
    <n v="0"/>
    <n v="0"/>
    <n v="0"/>
    <n v="0"/>
    <x v="9"/>
    <x v="1"/>
    <x v="1"/>
    <x v="1"/>
    <x v="1"/>
    <n v="0"/>
    <n v="0"/>
    <n v="0"/>
    <x v="1"/>
    <x v="0"/>
    <x v="3"/>
    <n v="0"/>
    <n v="21"/>
    <n v="0"/>
    <n v="0"/>
    <n v="10"/>
    <n v="10"/>
    <n v="9"/>
    <n v="0"/>
    <n v="0"/>
    <x v="179"/>
  </r>
  <r>
    <x v="2"/>
    <x v="37"/>
    <x v="21"/>
    <x v="36"/>
    <x v="2"/>
    <n v="28"/>
    <x v="3"/>
    <n v="6"/>
    <s v="AK"/>
    <x v="21"/>
    <x v="21"/>
    <x v="21"/>
    <x v="21"/>
    <x v="2"/>
    <n v="-2"/>
    <n v="0"/>
    <x v="11"/>
    <n v="0"/>
    <x v="0"/>
    <n v="-2"/>
    <s v="offensive"/>
    <n v="0"/>
    <n v="0"/>
    <n v="0"/>
    <n v="0"/>
    <n v="0"/>
    <n v="0"/>
    <n v="0"/>
    <n v="0"/>
    <x v="24"/>
    <n v="1"/>
    <n v="8"/>
    <n v="82"/>
    <n v="80"/>
    <n v="145"/>
    <n v="36620"/>
    <n v="8"/>
    <n v="0"/>
    <s v="04-04-00"/>
    <n v="23"/>
    <s v="DNP"/>
    <x v="1"/>
    <x v="1"/>
    <n v="3"/>
    <x v="0"/>
    <n v="2"/>
    <n v="1"/>
    <x v="0"/>
    <s v="Zach"/>
    <x v="37"/>
    <x v="36"/>
    <x v="4"/>
    <n v="0"/>
    <n v="0"/>
    <n v="0"/>
    <n v="0"/>
    <x v="0"/>
    <x v="1"/>
    <x v="1"/>
    <x v="1"/>
    <x v="1"/>
    <n v="0"/>
    <n v="0"/>
    <n v="1"/>
    <x v="0"/>
    <x v="0"/>
    <x v="0"/>
    <n v="0"/>
    <n v="0"/>
    <n v="0"/>
    <n v="0"/>
    <n v="0"/>
    <n v="0"/>
    <n v="0"/>
    <n v="0"/>
    <n v="0"/>
    <x v="180"/>
  </r>
  <r>
    <x v="2"/>
    <x v="18"/>
    <x v="17"/>
    <x v="18"/>
    <x v="2"/>
    <n v="15"/>
    <x v="12"/>
    <n v="25"/>
    <s v="AI"/>
    <x v="13"/>
    <x v="13"/>
    <x v="13"/>
    <x v="13"/>
    <x v="2"/>
    <n v="0"/>
    <n v="0"/>
    <x v="11"/>
    <n v="0"/>
    <x v="0"/>
    <n v="0"/>
    <s v="offensive"/>
    <n v="0"/>
    <n v="0"/>
    <n v="0"/>
    <n v="0"/>
    <n v="0"/>
    <n v="0"/>
    <n v="0"/>
    <n v="0"/>
    <x v="13"/>
    <n v="0"/>
    <n v="2"/>
    <n v="88"/>
    <n v="90"/>
    <n v="162"/>
    <n v="36533"/>
    <n v="9"/>
    <n v="0"/>
    <s v="01-08-00"/>
    <n v="40"/>
    <s v="DNP"/>
    <x v="1"/>
    <x v="1"/>
    <n v="3"/>
    <x v="0"/>
    <n v="2"/>
    <n v="1"/>
    <x v="0"/>
    <s v="Reeti P."/>
    <x v="18"/>
    <x v="23"/>
    <x v="4"/>
    <n v="0"/>
    <n v="0"/>
    <n v="0"/>
    <n v="0"/>
    <x v="3"/>
    <x v="1"/>
    <x v="1"/>
    <x v="1"/>
    <x v="1"/>
    <n v="0"/>
    <n v="0"/>
    <n v="0"/>
    <x v="0"/>
    <x v="0"/>
    <x v="0"/>
    <n v="0"/>
    <n v="0"/>
    <n v="0"/>
    <n v="0"/>
    <n v="0"/>
    <n v="0"/>
    <n v="0"/>
    <n v="0"/>
    <n v="0"/>
    <x v="181"/>
  </r>
  <r>
    <x v="2"/>
    <x v="3"/>
    <x v="3"/>
    <x v="3"/>
    <x v="2"/>
    <n v="19"/>
    <x v="3"/>
    <n v="12"/>
    <s v="AKI"/>
    <x v="3"/>
    <x v="3"/>
    <x v="3"/>
    <x v="3"/>
    <x v="2"/>
    <n v="1"/>
    <n v="0"/>
    <x v="58"/>
    <n v="0"/>
    <x v="0"/>
    <n v="0"/>
    <s v="offensive"/>
    <n v="0"/>
    <n v="0.16666666666666666"/>
    <n v="0"/>
    <n v="0"/>
    <n v="0"/>
    <n v="3"/>
    <n v="3"/>
    <n v="0"/>
    <x v="2"/>
    <n v="0"/>
    <n v="6"/>
    <n v="66"/>
    <n v="70"/>
    <n v="129"/>
    <n v="36590"/>
    <n v="8"/>
    <n v="0"/>
    <s v="03-05-00"/>
    <n v="32"/>
    <s v="DNP"/>
    <x v="1"/>
    <x v="1"/>
    <n v="3"/>
    <x v="0"/>
    <n v="2"/>
    <n v="1"/>
    <x v="0"/>
    <s v="Nikhil Thota"/>
    <x v="3"/>
    <x v="23"/>
    <x v="4"/>
    <n v="3"/>
    <n v="0"/>
    <n v="0"/>
    <n v="0"/>
    <x v="9"/>
    <x v="0"/>
    <x v="1"/>
    <x v="0"/>
    <x v="1"/>
    <n v="3"/>
    <n v="15"/>
    <n v="1"/>
    <x v="0"/>
    <x v="0"/>
    <x v="0"/>
    <n v="0"/>
    <n v="0"/>
    <n v="0"/>
    <n v="0"/>
    <n v="0"/>
    <n v="0"/>
    <n v="0"/>
    <n v="0"/>
    <n v="0"/>
    <x v="182"/>
  </r>
  <r>
    <x v="0"/>
    <x v="0"/>
    <x v="0"/>
    <x v="0"/>
    <x v="0"/>
    <n v="4"/>
    <x v="0"/>
    <n v="25"/>
    <s v="AKI"/>
    <x v="0"/>
    <x v="0"/>
    <x v="0"/>
    <x v="0"/>
    <x v="0"/>
    <n v="32.75"/>
    <n v="24"/>
    <x v="34"/>
    <n v="0"/>
    <x v="0"/>
    <n v="2"/>
    <s v="offensive"/>
    <n v="0.66666666666666663"/>
    <n v="0.375"/>
    <n v="1"/>
    <n v="0"/>
    <n v="10"/>
    <n v="21"/>
    <n v="21"/>
    <n v="0"/>
    <x v="0"/>
    <n v="0"/>
    <n v="10"/>
    <n v="178"/>
    <n v="80"/>
    <n v="213"/>
    <n v="36649"/>
    <n v="8"/>
    <n v="0"/>
    <s v="05-03-00"/>
    <n v="11"/>
    <n v="6.5"/>
    <x v="0"/>
    <x v="0"/>
    <n v="3"/>
    <x v="0"/>
    <n v="2"/>
    <n v="1"/>
    <x v="0"/>
    <s v="Nikhil Thota"/>
    <x v="0"/>
    <x v="24"/>
    <x v="4"/>
    <n v="3"/>
    <n v="0"/>
    <n v="12"/>
    <n v="6"/>
    <x v="12"/>
    <x v="1"/>
    <x v="1"/>
    <x v="0"/>
    <x v="1"/>
    <n v="9"/>
    <n v="15"/>
    <n v="0"/>
    <x v="1"/>
    <x v="0"/>
    <x v="0"/>
    <n v="0"/>
    <n v="0"/>
    <n v="0"/>
    <n v="0"/>
    <n v="0"/>
    <n v="10"/>
    <n v="0"/>
    <n v="0"/>
    <n v="0"/>
    <x v="183"/>
  </r>
  <r>
    <x v="9"/>
    <x v="11"/>
    <x v="10"/>
    <x v="11"/>
    <x v="9"/>
    <n v="9"/>
    <x v="3"/>
    <n v="25"/>
    <s v="AKI"/>
    <x v="2"/>
    <x v="2"/>
    <x v="2"/>
    <x v="2"/>
    <x v="8"/>
    <n v="22.5"/>
    <n v="0"/>
    <x v="59"/>
    <n v="0"/>
    <x v="0"/>
    <n v="-2"/>
    <s v="offensive"/>
    <n v="0"/>
    <n v="0.58333333333333337"/>
    <n v="0"/>
    <n v="0"/>
    <n v="0"/>
    <n v="20"/>
    <n v="21"/>
    <n v="-1"/>
    <x v="7"/>
    <n v="0"/>
    <n v="6"/>
    <n v="106"/>
    <n v="70"/>
    <n v="201"/>
    <n v="36590"/>
    <n v="8"/>
    <n v="0"/>
    <s v="03-05-00"/>
    <n v="27"/>
    <n v="8"/>
    <x v="0"/>
    <x v="4"/>
    <n v="3"/>
    <x v="0"/>
    <n v="2"/>
    <n v="1"/>
    <x v="0"/>
    <s v="Nikhil Thota"/>
    <x v="11"/>
    <x v="25"/>
    <x v="4"/>
    <n v="3"/>
    <n v="0"/>
    <n v="0"/>
    <n v="18"/>
    <x v="0"/>
    <x v="1"/>
    <x v="1"/>
    <x v="0"/>
    <x v="1"/>
    <n v="21"/>
    <n v="15"/>
    <n v="0"/>
    <x v="0"/>
    <x v="0"/>
    <x v="0"/>
    <n v="0"/>
    <n v="0"/>
    <n v="0"/>
    <n v="0"/>
    <n v="0"/>
    <n v="0"/>
    <n v="0"/>
    <n v="1"/>
    <n v="0"/>
    <x v="184"/>
  </r>
  <r>
    <x v="2"/>
    <x v="4"/>
    <x v="4"/>
    <x v="4"/>
    <x v="2"/>
    <n v="25"/>
    <x v="3"/>
    <n v="4"/>
    <s v="AK"/>
    <x v="4"/>
    <x v="4"/>
    <x v="4"/>
    <x v="4"/>
    <x v="2"/>
    <n v="18.512873949579834"/>
    <n v="0"/>
    <x v="11"/>
    <n v="0"/>
    <x v="49"/>
    <n v="0"/>
    <s v="defensive"/>
    <n v="0"/>
    <n v="0"/>
    <n v="0"/>
    <n v="0.50252100840336134"/>
    <n v="0"/>
    <n v="36.840000000000003"/>
    <n v="0"/>
    <n v="36.840000000000003"/>
    <x v="3"/>
    <n v="0"/>
    <n v="8"/>
    <n v="106"/>
    <n v="120"/>
    <n v="156"/>
    <n v="36621"/>
    <n v="9"/>
    <n v="0"/>
    <s v="04-05-00"/>
    <n v="19"/>
    <s v="DNP"/>
    <x v="1"/>
    <x v="1"/>
    <n v="3"/>
    <x v="0"/>
    <n v="2"/>
    <n v="1"/>
    <x v="0"/>
    <s v="Nikhil Thota"/>
    <x v="4"/>
    <x v="26"/>
    <x v="4"/>
    <n v="3"/>
    <n v="0"/>
    <n v="0"/>
    <n v="0"/>
    <x v="9"/>
    <x v="1"/>
    <x v="1"/>
    <x v="1"/>
    <x v="1"/>
    <n v="0"/>
    <n v="0"/>
    <n v="2"/>
    <x v="0"/>
    <x v="2"/>
    <x v="1"/>
    <n v="58"/>
    <n v="61"/>
    <n v="0"/>
    <n v="0"/>
    <n v="0"/>
    <n v="0"/>
    <n v="0"/>
    <n v="1"/>
    <n v="0"/>
    <x v="185"/>
  </r>
  <r>
    <x v="2"/>
    <x v="25"/>
    <x v="23"/>
    <x v="25"/>
    <x v="2"/>
    <n v="24"/>
    <x v="3"/>
    <n v="10"/>
    <s v="AKI"/>
    <x v="16"/>
    <x v="16"/>
    <x v="16"/>
    <x v="16"/>
    <x v="2"/>
    <n v="3.456"/>
    <n v="0"/>
    <x v="11"/>
    <n v="0"/>
    <x v="13"/>
    <n v="0"/>
    <s v="defensive"/>
    <n v="0"/>
    <n v="0"/>
    <n v="0"/>
    <n v="0.3"/>
    <n v="0"/>
    <n v="11.52"/>
    <n v="0"/>
    <n v="11.52"/>
    <x v="20"/>
    <n v="0"/>
    <n v="6"/>
    <n v="94"/>
    <n v="70"/>
    <n v="182"/>
    <n v="36590"/>
    <n v="8"/>
    <n v="0"/>
    <s v="03-05-00"/>
    <n v="29"/>
    <s v="DNP"/>
    <x v="1"/>
    <x v="1"/>
    <n v="3"/>
    <x v="0"/>
    <n v="2"/>
    <n v="1"/>
    <x v="0"/>
    <s v="Nikhil Thota"/>
    <x v="25"/>
    <x v="27"/>
    <x v="4"/>
    <n v="3"/>
    <n v="0"/>
    <n v="0"/>
    <n v="0"/>
    <x v="9"/>
    <x v="1"/>
    <x v="1"/>
    <x v="1"/>
    <x v="1"/>
    <n v="0"/>
    <n v="1"/>
    <n v="1"/>
    <x v="0"/>
    <x v="0"/>
    <x v="3"/>
    <n v="0"/>
    <n v="96"/>
    <n v="0"/>
    <n v="0"/>
    <n v="0"/>
    <n v="0"/>
    <n v="0"/>
    <n v="0"/>
    <n v="0"/>
    <x v="0"/>
  </r>
  <r>
    <x v="21"/>
    <x v="28"/>
    <x v="21"/>
    <x v="19"/>
    <x v="2"/>
    <n v="28"/>
    <x v="3"/>
    <n v="2"/>
    <s v="A"/>
    <x v="2"/>
    <x v="2"/>
    <x v="2"/>
    <x v="2"/>
    <x v="2"/>
    <n v="29.029189189189189"/>
    <n v="0"/>
    <x v="11"/>
    <n v="0"/>
    <x v="50"/>
    <n v="0"/>
    <s v="defensive"/>
    <n v="0"/>
    <n v="0"/>
    <n v="0"/>
    <n v="0.52972972972972976"/>
    <n v="0"/>
    <n v="54.8"/>
    <n v="0"/>
    <n v="54.8"/>
    <x v="23"/>
    <n v="0"/>
    <n v="8"/>
    <n v="58"/>
    <n v="30"/>
    <n v="138"/>
    <n v="36620"/>
    <n v="8"/>
    <n v="0"/>
    <s v="04-04-00"/>
    <n v="24"/>
    <n v="24"/>
    <x v="1"/>
    <x v="1"/>
    <n v="3"/>
    <x v="0"/>
    <n v="2"/>
    <n v="1"/>
    <x v="0"/>
    <s v="Nikhil Thota"/>
    <x v="28"/>
    <x v="28"/>
    <x v="4"/>
    <n v="2"/>
    <n v="0"/>
    <n v="0"/>
    <n v="0"/>
    <x v="11"/>
    <x v="1"/>
    <x v="1"/>
    <x v="1"/>
    <x v="1"/>
    <n v="0"/>
    <n v="0"/>
    <n v="2"/>
    <x v="0"/>
    <x v="2"/>
    <x v="1"/>
    <n v="65"/>
    <n v="120"/>
    <n v="0"/>
    <n v="0"/>
    <n v="0"/>
    <n v="0"/>
    <n v="0"/>
    <n v="0"/>
    <n v="0"/>
    <x v="186"/>
  </r>
  <r>
    <x v="14"/>
    <x v="17"/>
    <x v="16"/>
    <x v="17"/>
    <x v="14"/>
    <n v="21"/>
    <x v="11"/>
    <n v="11"/>
    <s v="AKI"/>
    <x v="12"/>
    <x v="12"/>
    <x v="12"/>
    <x v="12"/>
    <x v="12"/>
    <n v="23.5"/>
    <n v="24"/>
    <x v="45"/>
    <n v="0"/>
    <x v="0"/>
    <n v="-2"/>
    <s v="offensive"/>
    <n v="0.66666666666666663"/>
    <n v="0.25"/>
    <n v="1"/>
    <n v="0"/>
    <n v="10"/>
    <n v="15"/>
    <n v="15"/>
    <n v="0"/>
    <x v="12"/>
    <n v="0"/>
    <n v="11"/>
    <n v="148"/>
    <n v="100"/>
    <n v="202"/>
    <n v="37014"/>
    <n v="9"/>
    <n v="0"/>
    <s v="05-03-01"/>
    <n v="10"/>
    <n v="11"/>
    <x v="1"/>
    <x v="1"/>
    <n v="3"/>
    <x v="0"/>
    <n v="2"/>
    <n v="1"/>
    <x v="0"/>
    <s v="Nikhil Thota"/>
    <x v="17"/>
    <x v="29"/>
    <x v="4"/>
    <n v="3"/>
    <n v="0"/>
    <n v="12"/>
    <n v="6"/>
    <x v="0"/>
    <x v="1"/>
    <x v="1"/>
    <x v="0"/>
    <x v="1"/>
    <n v="3"/>
    <n v="9"/>
    <n v="2"/>
    <x v="0"/>
    <x v="0"/>
    <x v="0"/>
    <n v="0"/>
    <n v="0"/>
    <n v="0"/>
    <n v="0"/>
    <n v="0"/>
    <n v="10"/>
    <n v="11"/>
    <n v="0"/>
    <n v="0"/>
    <x v="0"/>
  </r>
  <r>
    <x v="18"/>
    <x v="24"/>
    <x v="22"/>
    <x v="24"/>
    <x v="18"/>
    <n v="27"/>
    <x v="13"/>
    <n v="19"/>
    <s v="AI"/>
    <x v="7"/>
    <x v="7"/>
    <x v="7"/>
    <x v="7"/>
    <x v="10"/>
    <n v="4.8719999999999999"/>
    <n v="0"/>
    <x v="58"/>
    <n v="0"/>
    <x v="40"/>
    <n v="2"/>
    <s v="offensive"/>
    <n v="0"/>
    <n v="0.25"/>
    <n v="1"/>
    <n v="0.6"/>
    <n v="10"/>
    <n v="5.1199999999999992"/>
    <n v="2"/>
    <n v="3.1199999999999997"/>
    <x v="19"/>
    <n v="0"/>
    <n v="10"/>
    <n v="158"/>
    <n v="100"/>
    <n v="161"/>
    <n v="36649"/>
    <n v="8"/>
    <n v="0"/>
    <s v="05-03-00"/>
    <n v="12"/>
    <n v="16"/>
    <x v="1"/>
    <x v="1"/>
    <n v="3"/>
    <x v="0"/>
    <n v="2"/>
    <n v="1"/>
    <x v="0"/>
    <s v="Nikhil Thota"/>
    <x v="24"/>
    <x v="55"/>
    <x v="4"/>
    <n v="2"/>
    <n v="0"/>
    <n v="0"/>
    <n v="12"/>
    <x v="13"/>
    <x v="0"/>
    <x v="1"/>
    <x v="0"/>
    <x v="1"/>
    <n v="2"/>
    <n v="6"/>
    <n v="2"/>
    <x v="1"/>
    <x v="0"/>
    <x v="1"/>
    <n v="0"/>
    <n v="13"/>
    <n v="0"/>
    <n v="0"/>
    <n v="0"/>
    <n v="10"/>
    <n v="0"/>
    <n v="0"/>
    <n v="0"/>
    <x v="0"/>
  </r>
  <r>
    <x v="4"/>
    <x v="6"/>
    <x v="6"/>
    <x v="6"/>
    <x v="4"/>
    <n v="13"/>
    <x v="5"/>
    <n v="24"/>
    <s v="AI"/>
    <x v="6"/>
    <x v="6"/>
    <x v="6"/>
    <x v="6"/>
    <x v="4"/>
    <n v="22"/>
    <n v="0"/>
    <x v="11"/>
    <n v="20"/>
    <x v="0"/>
    <n v="2"/>
    <s v="offensive"/>
    <n v="0"/>
    <n v="0"/>
    <n v="1"/>
    <n v="0"/>
    <n v="10"/>
    <n v="0"/>
    <n v="0"/>
    <n v="0"/>
    <x v="4"/>
    <n v="0"/>
    <n v="4"/>
    <n v="112"/>
    <n v="90"/>
    <n v="106"/>
    <n v="36562"/>
    <n v="8"/>
    <n v="0"/>
    <s v="02-06-00"/>
    <n v="35"/>
    <n v="15"/>
    <x v="1"/>
    <x v="1"/>
    <n v="3"/>
    <x v="0"/>
    <n v="2"/>
    <n v="1"/>
    <x v="0"/>
    <s v="Nikhil Thota"/>
    <x v="6"/>
    <x v="30"/>
    <x v="4"/>
    <n v="0"/>
    <n v="0"/>
    <n v="0"/>
    <n v="0"/>
    <x v="3"/>
    <x v="1"/>
    <x v="1"/>
    <x v="0"/>
    <x v="1"/>
    <n v="0"/>
    <n v="0"/>
    <n v="1"/>
    <x v="1"/>
    <x v="0"/>
    <x v="0"/>
    <n v="0"/>
    <n v="0"/>
    <n v="0"/>
    <n v="0"/>
    <n v="10"/>
    <n v="10"/>
    <n v="9"/>
    <n v="0"/>
    <n v="0"/>
    <x v="187"/>
  </r>
  <r>
    <x v="24"/>
    <x v="34"/>
    <x v="21"/>
    <x v="33"/>
    <x v="2"/>
    <n v="28"/>
    <x v="8"/>
    <n v="3"/>
    <s v="AK"/>
    <x v="20"/>
    <x v="20"/>
    <x v="20"/>
    <x v="20"/>
    <x v="2"/>
    <n v="3.1679999999999997"/>
    <n v="0"/>
    <x v="11"/>
    <n v="0"/>
    <x v="51"/>
    <n v="0"/>
    <s v="both"/>
    <n v="0"/>
    <n v="0"/>
    <n v="1"/>
    <n v="0.6"/>
    <n v="10"/>
    <n v="5.2799999999999994"/>
    <n v="0"/>
    <n v="5.2799999999999994"/>
    <x v="27"/>
    <n v="0"/>
    <n v="6"/>
    <n v="106"/>
    <n v="60"/>
    <n v="139"/>
    <n v="36591"/>
    <n v="9"/>
    <n v="0"/>
    <s v="03-06-00"/>
    <n v="28"/>
    <n v="26"/>
    <x v="1"/>
    <x v="1"/>
    <n v="3"/>
    <x v="0"/>
    <n v="2"/>
    <n v="1"/>
    <x v="0"/>
    <s v="Nikhil Thota"/>
    <x v="34"/>
    <x v="56"/>
    <x v="4"/>
    <n v="0"/>
    <n v="0"/>
    <n v="0"/>
    <n v="0"/>
    <x v="13"/>
    <x v="1"/>
    <x v="1"/>
    <x v="1"/>
    <x v="1"/>
    <n v="0"/>
    <n v="0"/>
    <n v="0"/>
    <x v="0"/>
    <x v="0"/>
    <x v="1"/>
    <n v="0"/>
    <n v="22"/>
    <n v="0"/>
    <n v="0"/>
    <n v="0"/>
    <n v="10"/>
    <n v="0"/>
    <n v="0"/>
    <n v="0"/>
    <x v="188"/>
  </r>
  <r>
    <x v="21"/>
    <x v="28"/>
    <x v="21"/>
    <x v="19"/>
    <x v="2"/>
    <n v="28"/>
    <x v="3"/>
    <n v="2"/>
    <s v="A"/>
    <x v="2"/>
    <x v="2"/>
    <x v="2"/>
    <x v="2"/>
    <x v="2"/>
    <n v="38.879999999999995"/>
    <n v="0"/>
    <x v="11"/>
    <n v="0"/>
    <x v="21"/>
    <n v="0"/>
    <s v="defensive"/>
    <n v="0"/>
    <n v="0"/>
    <n v="0"/>
    <n v="0.9"/>
    <n v="0"/>
    <n v="43.199999999999996"/>
    <n v="0"/>
    <n v="43.199999999999996"/>
    <x v="23"/>
    <n v="0"/>
    <n v="8"/>
    <n v="58"/>
    <n v="30"/>
    <n v="138"/>
    <n v="36620"/>
    <n v="8"/>
    <n v="0"/>
    <s v="04-04-00"/>
    <n v="24"/>
    <n v="24"/>
    <x v="1"/>
    <x v="1"/>
    <n v="3"/>
    <x v="0"/>
    <n v="2"/>
    <n v="1"/>
    <x v="0"/>
    <s v="Nikhil Thota"/>
    <x v="28"/>
    <x v="31"/>
    <x v="4"/>
    <n v="0"/>
    <n v="0"/>
    <n v="0"/>
    <n v="0"/>
    <x v="14"/>
    <x v="1"/>
    <x v="1"/>
    <x v="1"/>
    <x v="1"/>
    <n v="0"/>
    <n v="0"/>
    <n v="2"/>
    <x v="0"/>
    <x v="0"/>
    <x v="2"/>
    <n v="0"/>
    <n v="120"/>
    <n v="0"/>
    <n v="0"/>
    <n v="0"/>
    <n v="0"/>
    <n v="0"/>
    <n v="0"/>
    <n v="0"/>
    <x v="189"/>
  </r>
  <r>
    <x v="12"/>
    <x v="14"/>
    <x v="13"/>
    <x v="14"/>
    <x v="12"/>
    <n v="5"/>
    <x v="9"/>
    <n v="22"/>
    <s v="AKI"/>
    <x v="9"/>
    <x v="9"/>
    <x v="9"/>
    <x v="9"/>
    <x v="2"/>
    <n v="62.514285714285712"/>
    <n v="24"/>
    <x v="60"/>
    <n v="20"/>
    <x v="0"/>
    <n v="0"/>
    <s v="offensive"/>
    <n v="0.66666666666666663"/>
    <n v="0.51428571428571423"/>
    <n v="1"/>
    <n v="0"/>
    <n v="10"/>
    <n v="30"/>
    <n v="30"/>
    <n v="0"/>
    <x v="10"/>
    <n v="0"/>
    <n v="14"/>
    <n v="266"/>
    <n v="140"/>
    <n v="284"/>
    <n v="36709"/>
    <n v="9"/>
    <n v="0"/>
    <s v="07-02-00"/>
    <n v="2"/>
    <n v="3"/>
    <x v="1"/>
    <x v="1"/>
    <n v="3"/>
    <x v="0"/>
    <n v="2"/>
    <n v="1"/>
    <x v="0"/>
    <s v="Nikhil Thota"/>
    <x v="14"/>
    <x v="32"/>
    <x v="4"/>
    <n v="3"/>
    <n v="0"/>
    <n v="12"/>
    <n v="6"/>
    <x v="3"/>
    <x v="0"/>
    <x v="1"/>
    <x v="0"/>
    <x v="1"/>
    <n v="18"/>
    <n v="17"/>
    <n v="2"/>
    <x v="0"/>
    <x v="0"/>
    <x v="0"/>
    <n v="0"/>
    <n v="0"/>
    <n v="0"/>
    <n v="0"/>
    <n v="10"/>
    <n v="10"/>
    <n v="4"/>
    <n v="0"/>
    <n v="0"/>
    <x v="190"/>
  </r>
  <r>
    <x v="23"/>
    <x v="31"/>
    <x v="21"/>
    <x v="30"/>
    <x v="2"/>
    <n v="28"/>
    <x v="8"/>
    <n v="7"/>
    <s v="AKI"/>
    <x v="19"/>
    <x v="19"/>
    <x v="19"/>
    <x v="19"/>
    <x v="15"/>
    <n v="13.015999999999998"/>
    <n v="0"/>
    <x v="11"/>
    <n v="0"/>
    <x v="52"/>
    <n v="2"/>
    <s v="both"/>
    <n v="0"/>
    <n v="0"/>
    <n v="0"/>
    <n v="0.89999999999999991"/>
    <n v="0"/>
    <n v="12.24"/>
    <n v="0"/>
    <n v="12.24"/>
    <x v="26"/>
    <n v="0"/>
    <n v="10"/>
    <n v="72"/>
    <n v="80"/>
    <n v="107"/>
    <n v="36649"/>
    <n v="8"/>
    <n v="0"/>
    <s v="05-03-00"/>
    <n v="15"/>
    <n v="19"/>
    <x v="1"/>
    <x v="1"/>
    <n v="3"/>
    <x v="0"/>
    <n v="2"/>
    <n v="1"/>
    <x v="0"/>
    <s v="Davante Johnson"/>
    <x v="31"/>
    <x v="33"/>
    <x v="4"/>
    <n v="0"/>
    <n v="0"/>
    <n v="0"/>
    <n v="0"/>
    <x v="9"/>
    <x v="1"/>
    <x v="1"/>
    <x v="0"/>
    <x v="1"/>
    <n v="0"/>
    <n v="2"/>
    <n v="2"/>
    <x v="1"/>
    <x v="0"/>
    <x v="2"/>
    <n v="0"/>
    <n v="34"/>
    <n v="0"/>
    <n v="0"/>
    <n v="0"/>
    <n v="0"/>
    <n v="0"/>
    <n v="0"/>
    <n v="0"/>
    <x v="191"/>
  </r>
  <r>
    <x v="2"/>
    <x v="3"/>
    <x v="3"/>
    <x v="3"/>
    <x v="2"/>
    <n v="19"/>
    <x v="3"/>
    <n v="12"/>
    <s v="AKI"/>
    <x v="3"/>
    <x v="3"/>
    <x v="3"/>
    <x v="3"/>
    <x v="2"/>
    <n v="0"/>
    <n v="0"/>
    <x v="11"/>
    <n v="0"/>
    <x v="0"/>
    <n v="0"/>
    <s v="offensive"/>
    <n v="0"/>
    <n v="0"/>
    <n v="0"/>
    <n v="0"/>
    <n v="0"/>
    <n v="0"/>
    <n v="0"/>
    <n v="0"/>
    <x v="2"/>
    <n v="0"/>
    <n v="6"/>
    <n v="66"/>
    <n v="70"/>
    <n v="129"/>
    <n v="36590"/>
    <n v="8"/>
    <n v="0"/>
    <s v="03-05-00"/>
    <n v="32"/>
    <s v="DNP"/>
    <x v="1"/>
    <x v="1"/>
    <n v="3"/>
    <x v="0"/>
    <n v="2"/>
    <n v="1"/>
    <x v="0"/>
    <s v="Ian Thune"/>
    <x v="3"/>
    <x v="34"/>
    <x v="4"/>
    <n v="0"/>
    <n v="0"/>
    <n v="0"/>
    <n v="0"/>
    <x v="1"/>
    <x v="1"/>
    <x v="1"/>
    <x v="0"/>
    <x v="1"/>
    <n v="0"/>
    <n v="9"/>
    <n v="2"/>
    <x v="0"/>
    <x v="0"/>
    <x v="0"/>
    <n v="0"/>
    <n v="0"/>
    <n v="0"/>
    <n v="0"/>
    <n v="0"/>
    <n v="0"/>
    <n v="0"/>
    <n v="0"/>
    <n v="0"/>
    <x v="192"/>
  </r>
  <r>
    <x v="0"/>
    <x v="0"/>
    <x v="0"/>
    <x v="0"/>
    <x v="0"/>
    <n v="4"/>
    <x v="0"/>
    <n v="25"/>
    <s v="AKI"/>
    <x v="0"/>
    <x v="0"/>
    <x v="0"/>
    <x v="0"/>
    <x v="0"/>
    <n v="91.636363636363626"/>
    <n v="72"/>
    <x v="61"/>
    <n v="0"/>
    <x v="0"/>
    <n v="0"/>
    <s v="offensive"/>
    <n v="1"/>
    <n v="0.54545454545454541"/>
    <n v="1"/>
    <n v="0"/>
    <n v="10"/>
    <n v="42"/>
    <n v="42"/>
    <n v="0"/>
    <x v="0"/>
    <n v="0"/>
    <n v="10"/>
    <n v="178"/>
    <n v="80"/>
    <n v="213"/>
    <n v="36649"/>
    <n v="8"/>
    <n v="0"/>
    <s v="05-03-00"/>
    <n v="11"/>
    <n v="6.5"/>
    <x v="0"/>
    <x v="0"/>
    <n v="3"/>
    <x v="0"/>
    <n v="2"/>
    <n v="1"/>
    <x v="0"/>
    <s v="Ian Thune"/>
    <x v="0"/>
    <x v="35"/>
    <x v="4"/>
    <n v="3"/>
    <n v="0"/>
    <n v="24"/>
    <n v="0"/>
    <x v="12"/>
    <x v="0"/>
    <x v="1"/>
    <x v="1"/>
    <x v="0"/>
    <n v="18"/>
    <n v="15"/>
    <n v="1"/>
    <x v="0"/>
    <x v="0"/>
    <x v="3"/>
    <n v="0"/>
    <n v="0"/>
    <n v="0"/>
    <n v="0"/>
    <n v="0"/>
    <n v="10"/>
    <n v="0"/>
    <n v="0"/>
    <n v="0"/>
    <x v="193"/>
  </r>
  <r>
    <x v="20"/>
    <x v="27"/>
    <x v="25"/>
    <x v="27"/>
    <x v="20"/>
    <n v="28"/>
    <x v="14"/>
    <n v="25"/>
    <s v="AK"/>
    <x v="10"/>
    <x v="10"/>
    <x v="10"/>
    <x v="10"/>
    <x v="14"/>
    <n v="116"/>
    <n v="54"/>
    <x v="11"/>
    <n v="60"/>
    <x v="0"/>
    <n v="2"/>
    <s v="offensive"/>
    <n v="1"/>
    <n v="0"/>
    <n v="1"/>
    <n v="0"/>
    <n v="30"/>
    <n v="23"/>
    <n v="23"/>
    <n v="0"/>
    <x v="22"/>
    <n v="0"/>
    <n v="8"/>
    <n v="54"/>
    <n v="230"/>
    <n v="62"/>
    <n v="36620"/>
    <n v="8"/>
    <n v="0"/>
    <s v="04-04-00"/>
    <n v="25"/>
    <n v="22"/>
    <x v="0"/>
    <x v="6"/>
    <n v="3"/>
    <x v="0"/>
    <n v="2"/>
    <n v="1"/>
    <x v="0"/>
    <s v="Ian Thune"/>
    <x v="27"/>
    <x v="36"/>
    <x v="4"/>
    <n v="3"/>
    <n v="0"/>
    <n v="18"/>
    <n v="0"/>
    <x v="15"/>
    <x v="1"/>
    <x v="1"/>
    <x v="1"/>
    <x v="1"/>
    <n v="0"/>
    <n v="0"/>
    <n v="0"/>
    <x v="1"/>
    <x v="0"/>
    <x v="0"/>
    <n v="0"/>
    <n v="0"/>
    <n v="5"/>
    <n v="0"/>
    <n v="30"/>
    <n v="30"/>
    <n v="25"/>
    <n v="0"/>
    <n v="0"/>
    <x v="194"/>
  </r>
  <r>
    <x v="14"/>
    <x v="17"/>
    <x v="16"/>
    <x v="17"/>
    <x v="14"/>
    <n v="21"/>
    <x v="11"/>
    <n v="11"/>
    <s v="AKI"/>
    <x v="12"/>
    <x v="12"/>
    <x v="12"/>
    <x v="12"/>
    <x v="12"/>
    <n v="14"/>
    <n v="9"/>
    <x v="22"/>
    <n v="0"/>
    <x v="0"/>
    <n v="2"/>
    <s v="offensive"/>
    <n v="0.5"/>
    <n v="0.25"/>
    <n v="0"/>
    <n v="0"/>
    <n v="0"/>
    <n v="12"/>
    <n v="12"/>
    <n v="0"/>
    <x v="12"/>
    <n v="0"/>
    <n v="11"/>
    <n v="148"/>
    <n v="100"/>
    <n v="202"/>
    <n v="37014"/>
    <n v="9"/>
    <n v="0"/>
    <s v="05-03-01"/>
    <n v="10"/>
    <n v="11"/>
    <x v="1"/>
    <x v="1"/>
    <n v="3"/>
    <x v="0"/>
    <n v="2"/>
    <n v="1"/>
    <x v="0"/>
    <s v="Ian Thune"/>
    <x v="17"/>
    <x v="37"/>
    <x v="4"/>
    <n v="0"/>
    <n v="0"/>
    <n v="6"/>
    <n v="6"/>
    <x v="6"/>
    <x v="1"/>
    <x v="1"/>
    <x v="1"/>
    <x v="1"/>
    <n v="6"/>
    <n v="18"/>
    <n v="2"/>
    <x v="1"/>
    <x v="0"/>
    <x v="3"/>
    <n v="0"/>
    <n v="0"/>
    <n v="0"/>
    <n v="0"/>
    <n v="0"/>
    <n v="0"/>
    <n v="0"/>
    <n v="0"/>
    <n v="0"/>
    <x v="195"/>
  </r>
  <r>
    <x v="2"/>
    <x v="25"/>
    <x v="23"/>
    <x v="25"/>
    <x v="2"/>
    <n v="24"/>
    <x v="3"/>
    <n v="10"/>
    <s v="AKI"/>
    <x v="16"/>
    <x v="16"/>
    <x v="16"/>
    <x v="16"/>
    <x v="2"/>
    <n v="3.5839999999999996"/>
    <n v="0"/>
    <x v="17"/>
    <n v="0"/>
    <x v="45"/>
    <n v="0"/>
    <s v="offensive"/>
    <n v="0"/>
    <n v="0.33333333333333331"/>
    <n v="0"/>
    <n v="0.6"/>
    <n v="0"/>
    <n v="5.64"/>
    <n v="3"/>
    <n v="2.6399999999999997"/>
    <x v="20"/>
    <n v="0"/>
    <n v="6"/>
    <n v="94"/>
    <n v="70"/>
    <n v="182"/>
    <n v="36590"/>
    <n v="8"/>
    <n v="0"/>
    <s v="03-05-00"/>
    <n v="29"/>
    <s v="DNP"/>
    <x v="1"/>
    <x v="1"/>
    <n v="3"/>
    <x v="0"/>
    <n v="2"/>
    <n v="1"/>
    <x v="0"/>
    <s v="Ian Thune"/>
    <x v="25"/>
    <x v="38"/>
    <x v="4"/>
    <n v="0"/>
    <n v="0"/>
    <n v="0"/>
    <n v="0"/>
    <x v="3"/>
    <x v="1"/>
    <x v="1"/>
    <x v="0"/>
    <x v="1"/>
    <n v="3"/>
    <n v="6"/>
    <n v="1"/>
    <x v="0"/>
    <x v="0"/>
    <x v="1"/>
    <n v="0"/>
    <n v="11"/>
    <n v="0"/>
    <n v="0"/>
    <n v="0"/>
    <n v="0"/>
    <n v="0"/>
    <n v="0"/>
    <n v="0"/>
    <x v="196"/>
  </r>
  <r>
    <x v="13"/>
    <x v="15"/>
    <x v="14"/>
    <x v="15"/>
    <x v="13"/>
    <n v="28"/>
    <x v="10"/>
    <n v="1"/>
    <s v="A"/>
    <x v="7"/>
    <x v="7"/>
    <x v="7"/>
    <x v="7"/>
    <x v="10"/>
    <n v="25.72"/>
    <n v="0"/>
    <x v="11"/>
    <n v="20"/>
    <x v="53"/>
    <n v="2"/>
    <s v="both"/>
    <n v="0"/>
    <n v="0"/>
    <n v="1"/>
    <n v="0.6"/>
    <n v="10"/>
    <n v="6.2"/>
    <n v="0"/>
    <n v="6.2"/>
    <x v="5"/>
    <n v="0"/>
    <n v="6"/>
    <n v="94"/>
    <n v="70"/>
    <n v="99"/>
    <n v="36590"/>
    <n v="8"/>
    <n v="0"/>
    <s v="03-05-00"/>
    <n v="30"/>
    <n v="23"/>
    <x v="1"/>
    <x v="1"/>
    <n v="3"/>
    <x v="0"/>
    <n v="2"/>
    <n v="1"/>
    <x v="0"/>
    <s v="Ian Thune"/>
    <x v="15"/>
    <x v="39"/>
    <x v="4"/>
    <n v="0"/>
    <n v="0"/>
    <n v="0"/>
    <n v="0"/>
    <x v="7"/>
    <x v="1"/>
    <x v="1"/>
    <x v="0"/>
    <x v="1"/>
    <n v="0"/>
    <n v="0"/>
    <n v="2"/>
    <x v="1"/>
    <x v="0"/>
    <x v="1"/>
    <n v="0"/>
    <n v="30"/>
    <n v="0"/>
    <n v="0"/>
    <n v="10"/>
    <n v="10"/>
    <n v="10"/>
    <n v="1"/>
    <n v="0"/>
    <x v="197"/>
  </r>
  <r>
    <x v="7"/>
    <x v="9"/>
    <x v="9"/>
    <x v="9"/>
    <x v="7"/>
    <n v="1"/>
    <x v="7"/>
    <n v="25"/>
    <s v="AKI"/>
    <x v="9"/>
    <x v="9"/>
    <x v="9"/>
    <x v="9"/>
    <x v="7"/>
    <n v="108.75"/>
    <n v="54"/>
    <x v="62"/>
    <n v="20"/>
    <x v="0"/>
    <n v="-2"/>
    <s v="offensive"/>
    <n v="1"/>
    <n v="0.875"/>
    <n v="1"/>
    <n v="0"/>
    <n v="10"/>
    <n v="39"/>
    <n v="39"/>
    <n v="0"/>
    <x v="6"/>
    <n v="0"/>
    <n v="12"/>
    <n v="142"/>
    <n v="110"/>
    <n v="418"/>
    <n v="36679"/>
    <n v="8"/>
    <n v="0"/>
    <s v="06-02-00"/>
    <n v="7"/>
    <n v="2"/>
    <x v="1"/>
    <x v="1"/>
    <n v="3"/>
    <x v="0"/>
    <n v="2"/>
    <n v="1"/>
    <x v="0"/>
    <s v="Ian Thune"/>
    <x v="9"/>
    <x v="40"/>
    <x v="4"/>
    <n v="0"/>
    <n v="0"/>
    <n v="18"/>
    <n v="0"/>
    <x v="0"/>
    <x v="0"/>
    <x v="1"/>
    <x v="0"/>
    <x v="1"/>
    <n v="21"/>
    <n v="3"/>
    <n v="2"/>
    <x v="0"/>
    <x v="0"/>
    <x v="3"/>
    <n v="0"/>
    <n v="0"/>
    <n v="0"/>
    <n v="0"/>
    <n v="10"/>
    <n v="10"/>
    <n v="0"/>
    <n v="0"/>
    <n v="0"/>
    <x v="198"/>
  </r>
  <r>
    <x v="2"/>
    <x v="20"/>
    <x v="14"/>
    <x v="20"/>
    <x v="13"/>
    <n v="28"/>
    <x v="3"/>
    <n v="25"/>
    <s v="AID"/>
    <x v="1"/>
    <x v="1"/>
    <x v="1"/>
    <x v="1"/>
    <x v="2"/>
    <n v="18"/>
    <n v="18"/>
    <x v="11"/>
    <n v="0"/>
    <x v="0"/>
    <n v="0"/>
    <s v="offensive"/>
    <n v="1"/>
    <n v="0"/>
    <n v="0"/>
    <n v="0"/>
    <n v="0"/>
    <n v="6"/>
    <n v="6"/>
    <n v="0"/>
    <x v="15"/>
    <n v="0"/>
    <n v="10"/>
    <n v="64"/>
    <n v="70"/>
    <n v="87"/>
    <n v="36649"/>
    <n v="8"/>
    <n v="0"/>
    <s v="05-03-00"/>
    <n v="16"/>
    <s v="DNP"/>
    <x v="1"/>
    <x v="1"/>
    <n v="3"/>
    <x v="0"/>
    <n v="2"/>
    <n v="1"/>
    <x v="0"/>
    <s v="Ian Thune"/>
    <x v="20"/>
    <x v="41"/>
    <x v="4"/>
    <n v="0"/>
    <n v="0"/>
    <n v="6"/>
    <n v="0"/>
    <x v="7"/>
    <x v="1"/>
    <x v="1"/>
    <x v="0"/>
    <x v="1"/>
    <n v="0"/>
    <n v="0"/>
    <n v="1"/>
    <x v="0"/>
    <x v="0"/>
    <x v="0"/>
    <n v="0"/>
    <n v="0"/>
    <n v="0"/>
    <n v="0"/>
    <n v="0"/>
    <n v="0"/>
    <n v="0"/>
    <n v="0"/>
    <n v="0"/>
    <x v="199"/>
  </r>
  <r>
    <x v="2"/>
    <x v="37"/>
    <x v="21"/>
    <x v="36"/>
    <x v="2"/>
    <n v="28"/>
    <x v="3"/>
    <n v="6"/>
    <s v="AK"/>
    <x v="21"/>
    <x v="21"/>
    <x v="21"/>
    <x v="21"/>
    <x v="2"/>
    <n v="10.239999999999998"/>
    <n v="0"/>
    <x v="11"/>
    <n v="0"/>
    <x v="54"/>
    <n v="-2"/>
    <s v="defensive"/>
    <n v="0"/>
    <n v="0"/>
    <n v="0"/>
    <n v="0.6"/>
    <n v="0"/>
    <n v="20.399999999999999"/>
    <n v="0"/>
    <n v="20.399999999999999"/>
    <x v="24"/>
    <n v="1"/>
    <n v="8"/>
    <n v="82"/>
    <n v="80"/>
    <n v="145"/>
    <n v="36620"/>
    <n v="8"/>
    <n v="0"/>
    <s v="04-04-00"/>
    <n v="23"/>
    <s v="DNP"/>
    <x v="1"/>
    <x v="1"/>
    <n v="3"/>
    <x v="0"/>
    <n v="2"/>
    <n v="1"/>
    <x v="0"/>
    <s v="Clayton"/>
    <x v="37"/>
    <x v="42"/>
    <x v="4"/>
    <n v="0"/>
    <n v="0"/>
    <n v="0"/>
    <n v="0"/>
    <x v="0"/>
    <x v="1"/>
    <x v="1"/>
    <x v="1"/>
    <x v="1"/>
    <n v="0"/>
    <n v="0"/>
    <n v="1"/>
    <x v="0"/>
    <x v="1"/>
    <x v="1"/>
    <n v="0"/>
    <n v="85"/>
    <n v="0"/>
    <n v="0"/>
    <n v="0"/>
    <n v="0"/>
    <n v="0"/>
    <n v="0"/>
    <n v="0"/>
    <x v="200"/>
  </r>
  <r>
    <x v="5"/>
    <x v="7"/>
    <x v="7"/>
    <x v="7"/>
    <x v="5"/>
    <n v="14"/>
    <x v="6"/>
    <n v="21"/>
    <s v="AK"/>
    <x v="7"/>
    <x v="7"/>
    <x v="7"/>
    <x v="7"/>
    <x v="5"/>
    <n v="49"/>
    <n v="24"/>
    <x v="22"/>
    <n v="20"/>
    <x v="0"/>
    <n v="2"/>
    <s v="offensive"/>
    <n v="0.66666666666666663"/>
    <n v="0.5"/>
    <n v="1"/>
    <n v="0"/>
    <n v="10"/>
    <n v="15"/>
    <n v="15"/>
    <n v="0"/>
    <x v="5"/>
    <n v="0"/>
    <n v="8"/>
    <n v="102"/>
    <n v="90"/>
    <n v="94"/>
    <n v="36620"/>
    <n v="8"/>
    <n v="0"/>
    <s v="04-04-00"/>
    <n v="20"/>
    <n v="14"/>
    <x v="0"/>
    <x v="2"/>
    <n v="3"/>
    <x v="0"/>
    <n v="2"/>
    <n v="1"/>
    <x v="0"/>
    <s v="Clayton"/>
    <x v="7"/>
    <x v="43"/>
    <x v="4"/>
    <n v="3"/>
    <n v="0"/>
    <n v="12"/>
    <n v="6"/>
    <x v="1"/>
    <x v="1"/>
    <x v="1"/>
    <x v="0"/>
    <x v="1"/>
    <n v="3"/>
    <n v="3"/>
    <n v="1"/>
    <x v="1"/>
    <x v="0"/>
    <x v="0"/>
    <n v="0"/>
    <n v="0"/>
    <n v="0"/>
    <n v="0"/>
    <n v="10"/>
    <n v="10"/>
    <n v="3"/>
    <n v="0"/>
    <n v="0"/>
    <x v="201"/>
  </r>
  <r>
    <x v="11"/>
    <x v="13"/>
    <x v="12"/>
    <x v="13"/>
    <x v="11"/>
    <n v="3"/>
    <x v="7"/>
    <n v="18"/>
    <s v="AKI"/>
    <x v="11"/>
    <x v="11"/>
    <x v="11"/>
    <x v="11"/>
    <x v="2"/>
    <n v="94.88"/>
    <n v="54"/>
    <x v="63"/>
    <n v="20"/>
    <x v="55"/>
    <n v="0"/>
    <s v="both"/>
    <n v="1"/>
    <n v="1"/>
    <n v="1"/>
    <n v="0.6"/>
    <n v="10"/>
    <n v="31.8"/>
    <n v="27"/>
    <n v="4.8"/>
    <x v="9"/>
    <n v="0"/>
    <n v="12"/>
    <n v="186"/>
    <n v="150"/>
    <n v="379"/>
    <n v="36680"/>
    <n v="9"/>
    <n v="0"/>
    <s v="06-03-00"/>
    <n v="4"/>
    <n v="4"/>
    <x v="0"/>
    <x v="5"/>
    <n v="3"/>
    <x v="0"/>
    <n v="2"/>
    <n v="1"/>
    <x v="0"/>
    <s v="Clayton"/>
    <x v="13"/>
    <x v="44"/>
    <x v="4"/>
    <n v="3"/>
    <n v="0"/>
    <n v="18"/>
    <n v="0"/>
    <x v="12"/>
    <x v="1"/>
    <x v="1"/>
    <x v="0"/>
    <x v="1"/>
    <n v="9"/>
    <n v="0"/>
    <n v="2"/>
    <x v="0"/>
    <x v="0"/>
    <x v="1"/>
    <n v="0"/>
    <n v="20"/>
    <n v="0"/>
    <n v="0"/>
    <n v="10"/>
    <n v="10"/>
    <n v="3"/>
    <n v="0"/>
    <n v="0"/>
    <x v="202"/>
  </r>
  <r>
    <x v="2"/>
    <x v="29"/>
    <x v="21"/>
    <x v="28"/>
    <x v="2"/>
    <n v="28"/>
    <x v="3"/>
    <n v="25"/>
    <s v="AKD"/>
    <x v="2"/>
    <x v="2"/>
    <x v="2"/>
    <x v="2"/>
    <x v="2"/>
    <n v="0"/>
    <n v="0"/>
    <x v="11"/>
    <n v="0"/>
    <x v="0"/>
    <n v="0"/>
    <s v="offensive"/>
    <n v="0"/>
    <n v="0"/>
    <n v="0"/>
    <n v="0"/>
    <n v="0"/>
    <n v="0"/>
    <n v="0"/>
    <n v="0"/>
    <x v="24"/>
    <n v="0"/>
    <n v="10"/>
    <n v="78"/>
    <n v="90"/>
    <n v="178"/>
    <n v="36650"/>
    <n v="9"/>
    <n v="0"/>
    <s v="05-04-00"/>
    <n v="14"/>
    <s v="DNP"/>
    <x v="1"/>
    <x v="1"/>
    <n v="3"/>
    <x v="0"/>
    <n v="2"/>
    <n v="1"/>
    <x v="0"/>
    <s v="Clayton"/>
    <x v="29"/>
    <x v="45"/>
    <x v="4"/>
    <n v="0"/>
    <n v="0"/>
    <n v="0"/>
    <n v="0"/>
    <x v="7"/>
    <x v="1"/>
    <x v="1"/>
    <x v="1"/>
    <x v="1"/>
    <n v="0"/>
    <n v="0"/>
    <n v="0"/>
    <x v="0"/>
    <x v="0"/>
    <x v="0"/>
    <n v="0"/>
    <n v="0"/>
    <n v="0"/>
    <n v="0"/>
    <n v="0"/>
    <n v="0"/>
    <n v="0"/>
    <n v="0"/>
    <n v="0"/>
    <x v="203"/>
  </r>
  <r>
    <x v="13"/>
    <x v="15"/>
    <x v="14"/>
    <x v="15"/>
    <x v="13"/>
    <n v="28"/>
    <x v="10"/>
    <n v="1"/>
    <s v="A"/>
    <x v="7"/>
    <x v="7"/>
    <x v="7"/>
    <x v="7"/>
    <x v="10"/>
    <n v="52.991999999999997"/>
    <n v="18"/>
    <x v="11"/>
    <n v="0"/>
    <x v="56"/>
    <n v="0"/>
    <s v="defensive"/>
    <n v="1"/>
    <n v="0"/>
    <n v="0"/>
    <n v="0.9"/>
    <n v="0"/>
    <n v="44.879999999999995"/>
    <n v="6"/>
    <n v="38.879999999999995"/>
    <x v="5"/>
    <n v="0"/>
    <n v="6"/>
    <n v="94"/>
    <n v="70"/>
    <n v="99"/>
    <n v="36590"/>
    <n v="8"/>
    <n v="0"/>
    <s v="03-05-00"/>
    <n v="30"/>
    <n v="23"/>
    <x v="1"/>
    <x v="1"/>
    <n v="3"/>
    <x v="0"/>
    <n v="2"/>
    <n v="1"/>
    <x v="0"/>
    <s v="Clayton"/>
    <x v="15"/>
    <x v="46"/>
    <x v="4"/>
    <n v="3"/>
    <n v="0"/>
    <n v="6"/>
    <n v="0"/>
    <x v="1"/>
    <x v="1"/>
    <x v="1"/>
    <x v="1"/>
    <x v="1"/>
    <n v="0"/>
    <n v="0"/>
    <n v="2"/>
    <x v="0"/>
    <x v="0"/>
    <x v="2"/>
    <n v="0"/>
    <n v="108"/>
    <n v="0"/>
    <n v="0"/>
    <n v="0"/>
    <n v="0"/>
    <n v="0"/>
    <n v="0"/>
    <n v="0"/>
    <x v="204"/>
  </r>
  <r>
    <x v="11"/>
    <x v="13"/>
    <x v="12"/>
    <x v="13"/>
    <x v="11"/>
    <n v="3"/>
    <x v="7"/>
    <n v="18"/>
    <s v="AKI"/>
    <x v="11"/>
    <x v="11"/>
    <x v="11"/>
    <x v="11"/>
    <x v="2"/>
    <n v="137.375"/>
    <n v="54"/>
    <x v="64"/>
    <n v="20"/>
    <x v="0"/>
    <n v="0"/>
    <s v="offensive"/>
    <n v="1"/>
    <n v="0.8125"/>
    <n v="1"/>
    <n v="0"/>
    <n v="10"/>
    <n v="57"/>
    <n v="57"/>
    <n v="0"/>
    <x v="9"/>
    <n v="0"/>
    <n v="12"/>
    <n v="186"/>
    <n v="150"/>
    <n v="379"/>
    <n v="36680"/>
    <n v="9"/>
    <n v="0"/>
    <s v="06-03-00"/>
    <n v="4"/>
    <n v="4"/>
    <x v="0"/>
    <x v="5"/>
    <n v="3"/>
    <x v="0"/>
    <n v="2"/>
    <n v="1"/>
    <x v="0"/>
    <s v="Clayton"/>
    <x v="13"/>
    <x v="57"/>
    <x v="4"/>
    <n v="3"/>
    <n v="0"/>
    <n v="18"/>
    <n v="0"/>
    <x v="12"/>
    <x v="1"/>
    <x v="1"/>
    <x v="0"/>
    <x v="1"/>
    <n v="39"/>
    <n v="9"/>
    <n v="2"/>
    <x v="0"/>
    <x v="0"/>
    <x v="0"/>
    <n v="0"/>
    <n v="0"/>
    <n v="0"/>
    <n v="0"/>
    <n v="10"/>
    <n v="10"/>
    <n v="4"/>
    <n v="0"/>
    <n v="0"/>
    <x v="205"/>
  </r>
  <r>
    <x v="2"/>
    <x v="18"/>
    <x v="17"/>
    <x v="18"/>
    <x v="2"/>
    <n v="15"/>
    <x v="12"/>
    <n v="25"/>
    <s v="AI"/>
    <x v="13"/>
    <x v="13"/>
    <x v="13"/>
    <x v="13"/>
    <x v="2"/>
    <n v="22"/>
    <n v="0"/>
    <x v="17"/>
    <n v="20"/>
    <x v="0"/>
    <n v="0"/>
    <s v="offensive"/>
    <n v="0"/>
    <n v="0.33333333333333331"/>
    <n v="1"/>
    <n v="0"/>
    <n v="10"/>
    <n v="3"/>
    <n v="3"/>
    <n v="0"/>
    <x v="13"/>
    <n v="0"/>
    <n v="2"/>
    <n v="88"/>
    <n v="90"/>
    <n v="162"/>
    <n v="36533"/>
    <n v="9"/>
    <n v="0"/>
    <s v="01-08-00"/>
    <n v="40"/>
    <s v="DNP"/>
    <x v="1"/>
    <x v="1"/>
    <n v="3"/>
    <x v="0"/>
    <n v="2"/>
    <n v="1"/>
    <x v="0"/>
    <s v="Clayton"/>
    <x v="18"/>
    <x v="47"/>
    <x v="4"/>
    <n v="0"/>
    <n v="0"/>
    <n v="0"/>
    <n v="0"/>
    <x v="1"/>
    <x v="1"/>
    <x v="1"/>
    <x v="0"/>
    <x v="1"/>
    <n v="3"/>
    <n v="6"/>
    <n v="0"/>
    <x v="0"/>
    <x v="0"/>
    <x v="0"/>
    <n v="0"/>
    <n v="0"/>
    <n v="0"/>
    <n v="0"/>
    <n v="10"/>
    <n v="10"/>
    <n v="0"/>
    <n v="0"/>
    <n v="0"/>
    <x v="206"/>
  </r>
  <r>
    <x v="2"/>
    <x v="2"/>
    <x v="2"/>
    <x v="2"/>
    <x v="2"/>
    <n v="26"/>
    <x v="2"/>
    <n v="25"/>
    <s v="A"/>
    <x v="2"/>
    <x v="2"/>
    <x v="2"/>
    <x v="2"/>
    <x v="2"/>
    <n v="0"/>
    <n v="0"/>
    <x v="11"/>
    <n v="0"/>
    <x v="0"/>
    <n v="0"/>
    <s v="offensive"/>
    <n v="0"/>
    <n v="0"/>
    <n v="0"/>
    <n v="0"/>
    <n v="0"/>
    <n v="0"/>
    <n v="0"/>
    <n v="0"/>
    <x v="1"/>
    <n v="1"/>
    <n v="8"/>
    <n v="86"/>
    <n v="80"/>
    <n v="122"/>
    <n v="36621"/>
    <n v="9"/>
    <n v="0"/>
    <s v="04-05-00"/>
    <n v="21"/>
    <s v="DNP"/>
    <x v="1"/>
    <x v="1"/>
    <n v="3"/>
    <x v="0"/>
    <n v="2"/>
    <n v="1"/>
    <x v="0"/>
    <s v="Clayton"/>
    <x v="2"/>
    <x v="48"/>
    <x v="4"/>
    <n v="0"/>
    <n v="0"/>
    <n v="0"/>
    <n v="0"/>
    <x v="1"/>
    <x v="1"/>
    <x v="1"/>
    <x v="1"/>
    <x v="1"/>
    <n v="0"/>
    <n v="0"/>
    <n v="0"/>
    <x v="0"/>
    <x v="0"/>
    <x v="0"/>
    <n v="0"/>
    <n v="0"/>
    <n v="0"/>
    <n v="0"/>
    <n v="0"/>
    <n v="0"/>
    <n v="0"/>
    <n v="0"/>
    <n v="0"/>
    <x v="207"/>
  </r>
  <r>
    <x v="10"/>
    <x v="12"/>
    <x v="11"/>
    <x v="12"/>
    <x v="10"/>
    <n v="20"/>
    <x v="8"/>
    <n v="25"/>
    <s v="A"/>
    <x v="2"/>
    <x v="2"/>
    <x v="2"/>
    <x v="2"/>
    <x v="9"/>
    <n v="50"/>
    <n v="24"/>
    <x v="15"/>
    <n v="20"/>
    <x v="0"/>
    <n v="0"/>
    <s v="offensive"/>
    <n v="0.66666666666666663"/>
    <n v="0.5"/>
    <n v="1"/>
    <n v="0"/>
    <n v="10"/>
    <n v="18"/>
    <n v="18"/>
    <n v="0"/>
    <x v="8"/>
    <n v="0"/>
    <n v="12"/>
    <n v="186"/>
    <n v="110"/>
    <n v="231"/>
    <n v="36680"/>
    <n v="9"/>
    <n v="0"/>
    <s v="06-03-00"/>
    <n v="5"/>
    <n v="10"/>
    <x v="1"/>
    <x v="1"/>
    <n v="3"/>
    <x v="0"/>
    <n v="2"/>
    <n v="1"/>
    <x v="0"/>
    <s v="Andy Smethers"/>
    <x v="12"/>
    <x v="49"/>
    <x v="4"/>
    <n v="3"/>
    <n v="0"/>
    <n v="12"/>
    <n v="6"/>
    <x v="9"/>
    <x v="1"/>
    <x v="1"/>
    <x v="0"/>
    <x v="1"/>
    <n v="6"/>
    <n v="6"/>
    <n v="2"/>
    <x v="0"/>
    <x v="0"/>
    <x v="0"/>
    <n v="0"/>
    <n v="0"/>
    <n v="0"/>
    <n v="0"/>
    <n v="10"/>
    <n v="10"/>
    <n v="5"/>
    <n v="0"/>
    <n v="0"/>
    <x v="208"/>
  </r>
  <r>
    <x v="2"/>
    <x v="33"/>
    <x v="21"/>
    <x v="32"/>
    <x v="2"/>
    <n v="28"/>
    <x v="3"/>
    <n v="14"/>
    <s v="AK"/>
    <x v="2"/>
    <x v="2"/>
    <x v="2"/>
    <x v="2"/>
    <x v="17"/>
    <n v="0"/>
    <n v="0"/>
    <x v="11"/>
    <n v="0"/>
    <x v="0"/>
    <n v="0"/>
    <s v="offensive"/>
    <n v="0"/>
    <n v="0"/>
    <n v="0"/>
    <n v="0"/>
    <n v="0"/>
    <n v="0"/>
    <n v="0"/>
    <n v="0"/>
    <x v="1"/>
    <n v="0"/>
    <n v="6"/>
    <n v="84"/>
    <n v="90"/>
    <n v="144"/>
    <n v="36591"/>
    <n v="9"/>
    <n v="0"/>
    <s v="03-06-00"/>
    <n v="31"/>
    <s v="DNP"/>
    <x v="1"/>
    <x v="1"/>
    <n v="3"/>
    <x v="0"/>
    <n v="2"/>
    <n v="1"/>
    <x v="0"/>
    <s v="Andy Smethers"/>
    <x v="33"/>
    <x v="50"/>
    <x v="4"/>
    <n v="2"/>
    <n v="0"/>
    <n v="0"/>
    <n v="0"/>
    <x v="7"/>
    <x v="1"/>
    <x v="1"/>
    <x v="1"/>
    <x v="1"/>
    <n v="0"/>
    <n v="0"/>
    <n v="1"/>
    <x v="0"/>
    <x v="0"/>
    <x v="0"/>
    <n v="0"/>
    <n v="0"/>
    <n v="0"/>
    <n v="0"/>
    <n v="0"/>
    <n v="0"/>
    <n v="0"/>
    <n v="0"/>
    <n v="0"/>
    <x v="209"/>
  </r>
  <r>
    <x v="7"/>
    <x v="9"/>
    <x v="9"/>
    <x v="9"/>
    <x v="7"/>
    <n v="1"/>
    <x v="7"/>
    <n v="25"/>
    <s v="AKI"/>
    <x v="9"/>
    <x v="9"/>
    <x v="9"/>
    <x v="9"/>
    <x v="7"/>
    <n v="176.52173913043478"/>
    <n v="72"/>
    <x v="65"/>
    <n v="20"/>
    <x v="0"/>
    <n v="0"/>
    <s v="offensive"/>
    <n v="1"/>
    <n v="0.78260869565217395"/>
    <n v="1"/>
    <n v="0"/>
    <n v="10"/>
    <n v="78"/>
    <n v="78"/>
    <n v="0"/>
    <x v="6"/>
    <n v="0"/>
    <n v="12"/>
    <n v="142"/>
    <n v="110"/>
    <n v="418"/>
    <n v="36679"/>
    <n v="8"/>
    <n v="0"/>
    <s v="06-02-00"/>
    <n v="7"/>
    <n v="2"/>
    <x v="1"/>
    <x v="1"/>
    <n v="3"/>
    <x v="0"/>
    <n v="2"/>
    <n v="1"/>
    <x v="0"/>
    <s v="Andy Smethers"/>
    <x v="9"/>
    <x v="51"/>
    <x v="4"/>
    <n v="3"/>
    <n v="0"/>
    <n v="24"/>
    <n v="0"/>
    <x v="0"/>
    <x v="0"/>
    <x v="1"/>
    <x v="0"/>
    <x v="1"/>
    <n v="54"/>
    <n v="15"/>
    <n v="3"/>
    <x v="0"/>
    <x v="0"/>
    <x v="0"/>
    <n v="0"/>
    <n v="0"/>
    <n v="0"/>
    <n v="0"/>
    <n v="10"/>
    <n v="10"/>
    <n v="3"/>
    <n v="0"/>
    <n v="0"/>
    <x v="210"/>
  </r>
  <r>
    <x v="14"/>
    <x v="17"/>
    <x v="16"/>
    <x v="17"/>
    <x v="14"/>
    <n v="21"/>
    <x v="11"/>
    <n v="11"/>
    <s v="AKI"/>
    <x v="12"/>
    <x v="12"/>
    <x v="12"/>
    <x v="12"/>
    <x v="12"/>
    <n v="36.799999999999997"/>
    <n v="24"/>
    <x v="66"/>
    <n v="0"/>
    <x v="0"/>
    <n v="2"/>
    <s v="offensive"/>
    <n v="0.66666666666666663"/>
    <n v="0.6"/>
    <n v="1"/>
    <n v="0"/>
    <n v="10"/>
    <n v="21"/>
    <n v="21"/>
    <n v="0"/>
    <x v="12"/>
    <n v="0"/>
    <n v="11"/>
    <n v="148"/>
    <n v="100"/>
    <n v="202"/>
    <n v="37014"/>
    <n v="9"/>
    <n v="0"/>
    <s v="05-03-01"/>
    <n v="10"/>
    <n v="11"/>
    <x v="1"/>
    <x v="1"/>
    <n v="3"/>
    <x v="0"/>
    <n v="2"/>
    <n v="1"/>
    <x v="0"/>
    <s v="Andy Smethers"/>
    <x v="17"/>
    <x v="52"/>
    <x v="4"/>
    <n v="3"/>
    <n v="0"/>
    <n v="12"/>
    <n v="6"/>
    <x v="3"/>
    <x v="0"/>
    <x v="1"/>
    <x v="0"/>
    <x v="1"/>
    <n v="9"/>
    <n v="6"/>
    <n v="3"/>
    <x v="0"/>
    <x v="0"/>
    <x v="0"/>
    <n v="0"/>
    <n v="0"/>
    <n v="0"/>
    <n v="0"/>
    <n v="0"/>
    <n v="10"/>
    <n v="10"/>
    <n v="0"/>
    <n v="0"/>
    <x v="211"/>
  </r>
  <r>
    <x v="27"/>
    <x v="39"/>
    <x v="28"/>
    <x v="38"/>
    <x v="23"/>
    <n v="2"/>
    <x v="10"/>
    <n v="15"/>
    <s v="AK"/>
    <x v="2"/>
    <x v="2"/>
    <x v="2"/>
    <x v="2"/>
    <x v="19"/>
    <n v="118.5"/>
    <n v="54"/>
    <x v="56"/>
    <n v="20"/>
    <x v="0"/>
    <n v="4"/>
    <s v="offensive"/>
    <n v="1"/>
    <n v="0.75"/>
    <n v="1"/>
    <n v="0"/>
    <n v="10"/>
    <n v="45"/>
    <n v="45"/>
    <n v="0"/>
    <x v="30"/>
    <n v="0"/>
    <n v="18"/>
    <n v="240"/>
    <n v="140"/>
    <n v="461"/>
    <s v="9-0-0"/>
    <n v="9"/>
    <n v="0"/>
    <s v="9-0-0"/>
    <n v="1"/>
    <n v="1"/>
    <x v="1"/>
    <x v="1"/>
    <n v="3"/>
    <x v="0"/>
    <n v="2"/>
    <n v="1"/>
    <x v="0"/>
    <s v="Andy Smethers"/>
    <x v="39"/>
    <x v="53"/>
    <x v="4"/>
    <n v="3"/>
    <n v="0"/>
    <n v="18"/>
    <n v="0"/>
    <x v="6"/>
    <x v="0"/>
    <x v="1"/>
    <x v="0"/>
    <x v="1"/>
    <n v="27"/>
    <n v="9"/>
    <n v="3"/>
    <x v="1"/>
    <x v="0"/>
    <x v="0"/>
    <n v="0"/>
    <n v="0"/>
    <n v="0"/>
    <n v="0"/>
    <n v="10"/>
    <n v="10"/>
    <n v="4"/>
    <n v="0"/>
    <n v="0"/>
    <x v="212"/>
  </r>
  <r>
    <x v="16"/>
    <x v="21"/>
    <x v="19"/>
    <x v="21"/>
    <x v="16"/>
    <n v="22"/>
    <x v="6"/>
    <n v="25"/>
    <s v="AK"/>
    <x v="9"/>
    <x v="9"/>
    <x v="9"/>
    <x v="9"/>
    <x v="2"/>
    <n v="20"/>
    <n v="0"/>
    <x v="17"/>
    <n v="20"/>
    <x v="0"/>
    <n v="-2"/>
    <s v="offensive"/>
    <n v="0"/>
    <n v="0.33333333333333331"/>
    <n v="1"/>
    <n v="0"/>
    <n v="10"/>
    <n v="3"/>
    <n v="3"/>
    <n v="0"/>
    <x v="16"/>
    <n v="0"/>
    <n v="10"/>
    <n v="102"/>
    <n v="190"/>
    <n v="152"/>
    <n v="36650"/>
    <n v="9"/>
    <n v="0"/>
    <s v="05-04-00"/>
    <n v="13"/>
    <n v="17"/>
    <x v="1"/>
    <x v="1"/>
    <n v="3"/>
    <x v="0"/>
    <n v="2"/>
    <n v="1"/>
    <x v="0"/>
    <s v="Andy Smethers"/>
    <x v="21"/>
    <x v="54"/>
    <x v="4"/>
    <n v="2"/>
    <n v="0"/>
    <n v="0"/>
    <n v="12"/>
    <x v="0"/>
    <x v="0"/>
    <x v="1"/>
    <x v="0"/>
    <x v="1"/>
    <n v="3"/>
    <n v="6"/>
    <n v="1"/>
    <x v="0"/>
    <x v="0"/>
    <x v="0"/>
    <n v="0"/>
    <n v="0"/>
    <n v="0"/>
    <n v="0"/>
    <n v="10"/>
    <n v="10"/>
    <n v="5"/>
    <n v="0"/>
    <n v="0"/>
    <x v="213"/>
  </r>
  <r>
    <x v="23"/>
    <x v="31"/>
    <x v="21"/>
    <x v="30"/>
    <x v="2"/>
    <n v="28"/>
    <x v="8"/>
    <n v="7"/>
    <s v="AKI"/>
    <x v="19"/>
    <x v="19"/>
    <x v="19"/>
    <x v="19"/>
    <x v="15"/>
    <n v="0"/>
    <n v="0"/>
    <x v="11"/>
    <n v="0"/>
    <x v="0"/>
    <n v="0"/>
    <s v="offensive"/>
    <n v="0"/>
    <n v="0"/>
    <n v="0"/>
    <n v="0"/>
    <n v="0"/>
    <n v="0"/>
    <n v="0"/>
    <n v="0"/>
    <x v="26"/>
    <n v="0"/>
    <n v="10"/>
    <n v="72"/>
    <n v="80"/>
    <n v="107"/>
    <n v="36649"/>
    <n v="8"/>
    <n v="0"/>
    <s v="05-03-00"/>
    <n v="15"/>
    <n v="19"/>
    <x v="1"/>
    <x v="1"/>
    <n v="3"/>
    <x v="0"/>
    <n v="2"/>
    <n v="1"/>
    <x v="0"/>
    <s v="Nate Engstrom"/>
    <x v="31"/>
    <x v="23"/>
    <x v="4"/>
    <n v="3"/>
    <n v="0"/>
    <n v="0"/>
    <n v="0"/>
    <x v="9"/>
    <x v="0"/>
    <x v="1"/>
    <x v="0"/>
    <x v="1"/>
    <n v="0"/>
    <n v="0"/>
    <n v="1"/>
    <x v="0"/>
    <x v="0"/>
    <x v="0"/>
    <n v="0"/>
    <n v="0"/>
    <n v="0"/>
    <n v="0"/>
    <n v="0"/>
    <n v="0"/>
    <n v="0"/>
    <n v="0"/>
    <n v="0"/>
    <x v="214"/>
  </r>
  <r>
    <x v="6"/>
    <x v="8"/>
    <x v="8"/>
    <x v="8"/>
    <x v="6"/>
    <n v="12"/>
    <x v="2"/>
    <n v="25"/>
    <s v="AKI"/>
    <x v="8"/>
    <x v="8"/>
    <x v="8"/>
    <x v="8"/>
    <x v="6"/>
    <n v="13.5"/>
    <n v="0"/>
    <x v="67"/>
    <n v="0"/>
    <x v="0"/>
    <n v="0"/>
    <s v="offensive"/>
    <n v="0"/>
    <n v="0.75"/>
    <n v="0"/>
    <n v="0"/>
    <n v="0"/>
    <n v="9"/>
    <n v="9"/>
    <n v="0"/>
    <x v="1"/>
    <n v="0"/>
    <n v="14"/>
    <n v="180"/>
    <n v="140"/>
    <n v="209"/>
    <n v="36709"/>
    <n v="9"/>
    <n v="0"/>
    <s v="07-02-00"/>
    <n v="3"/>
    <n v="9"/>
    <x v="0"/>
    <x v="3"/>
    <n v="3"/>
    <x v="0"/>
    <n v="2"/>
    <n v="1"/>
    <x v="0"/>
    <s v="Nate Engstrom"/>
    <x v="8"/>
    <x v="24"/>
    <x v="4"/>
    <n v="3"/>
    <n v="0"/>
    <n v="0"/>
    <n v="18"/>
    <x v="3"/>
    <x v="0"/>
    <x v="1"/>
    <x v="1"/>
    <x v="0"/>
    <n v="9"/>
    <n v="3"/>
    <n v="2"/>
    <x v="0"/>
    <x v="0"/>
    <x v="0"/>
    <n v="0"/>
    <n v="0"/>
    <n v="0"/>
    <n v="0"/>
    <n v="0"/>
    <n v="0"/>
    <n v="0"/>
    <n v="0"/>
    <n v="0"/>
    <x v="215"/>
  </r>
  <r>
    <x v="7"/>
    <x v="9"/>
    <x v="9"/>
    <x v="9"/>
    <x v="7"/>
    <n v="1"/>
    <x v="7"/>
    <n v="25"/>
    <s v="AKI"/>
    <x v="9"/>
    <x v="9"/>
    <x v="9"/>
    <x v="9"/>
    <x v="7"/>
    <n v="167"/>
    <n v="24"/>
    <x v="68"/>
    <n v="20"/>
    <x v="0"/>
    <n v="2"/>
    <s v="offensive"/>
    <n v="0.66666666666666663"/>
    <n v="0.91666666666666663"/>
    <n v="1"/>
    <n v="0"/>
    <n v="10"/>
    <n v="78"/>
    <n v="78"/>
    <n v="0"/>
    <x v="6"/>
    <n v="0"/>
    <n v="12"/>
    <n v="142"/>
    <n v="110"/>
    <n v="418"/>
    <n v="36679"/>
    <n v="8"/>
    <n v="0"/>
    <s v="06-02-00"/>
    <n v="7"/>
    <n v="2"/>
    <x v="1"/>
    <x v="1"/>
    <n v="3"/>
    <x v="0"/>
    <n v="2"/>
    <n v="1"/>
    <x v="0"/>
    <s v="Nate Engstrom"/>
    <x v="9"/>
    <x v="25"/>
    <x v="4"/>
    <n v="3"/>
    <n v="0"/>
    <n v="12"/>
    <n v="6"/>
    <x v="0"/>
    <x v="0"/>
    <x v="1"/>
    <x v="0"/>
    <x v="1"/>
    <n v="66"/>
    <n v="6"/>
    <n v="3"/>
    <x v="1"/>
    <x v="0"/>
    <x v="0"/>
    <n v="0"/>
    <n v="0"/>
    <n v="0"/>
    <n v="0"/>
    <n v="10"/>
    <n v="10"/>
    <n v="4"/>
    <n v="0"/>
    <n v="0"/>
    <x v="216"/>
  </r>
  <r>
    <x v="10"/>
    <x v="12"/>
    <x v="11"/>
    <x v="12"/>
    <x v="10"/>
    <n v="20"/>
    <x v="8"/>
    <n v="25"/>
    <s v="A"/>
    <x v="2"/>
    <x v="2"/>
    <x v="2"/>
    <x v="2"/>
    <x v="9"/>
    <n v="69.5"/>
    <n v="54"/>
    <x v="67"/>
    <n v="0"/>
    <x v="0"/>
    <n v="2"/>
    <s v="offensive"/>
    <n v="1"/>
    <n v="0.75"/>
    <n v="0"/>
    <n v="0"/>
    <n v="0"/>
    <n v="26"/>
    <n v="27"/>
    <n v="-1"/>
    <x v="8"/>
    <n v="0"/>
    <n v="12"/>
    <n v="186"/>
    <n v="110"/>
    <n v="231"/>
    <n v="36680"/>
    <n v="9"/>
    <n v="0"/>
    <s v="06-03-00"/>
    <n v="5"/>
    <n v="10"/>
    <x v="1"/>
    <x v="1"/>
    <n v="3"/>
    <x v="0"/>
    <n v="2"/>
    <n v="1"/>
    <x v="0"/>
    <s v="Nate Engstrom"/>
    <x v="12"/>
    <x v="26"/>
    <x v="4"/>
    <n v="3"/>
    <n v="0"/>
    <n v="18"/>
    <n v="0"/>
    <x v="9"/>
    <x v="1"/>
    <x v="1"/>
    <x v="0"/>
    <x v="1"/>
    <n v="9"/>
    <n v="3"/>
    <n v="2"/>
    <x v="1"/>
    <x v="0"/>
    <x v="0"/>
    <n v="0"/>
    <n v="0"/>
    <n v="0"/>
    <n v="0"/>
    <n v="0"/>
    <n v="0"/>
    <n v="0"/>
    <n v="1"/>
    <n v="0"/>
    <x v="217"/>
  </r>
  <r>
    <x v="2"/>
    <x v="29"/>
    <x v="21"/>
    <x v="28"/>
    <x v="2"/>
    <n v="28"/>
    <x v="3"/>
    <n v="25"/>
    <s v="AKD"/>
    <x v="2"/>
    <x v="2"/>
    <x v="2"/>
    <x v="2"/>
    <x v="2"/>
    <n v="0"/>
    <n v="0"/>
    <x v="11"/>
    <n v="0"/>
    <x v="0"/>
    <n v="0"/>
    <s v="offensive"/>
    <n v="0"/>
    <n v="0"/>
    <n v="0"/>
    <n v="0"/>
    <n v="0"/>
    <n v="0"/>
    <n v="0"/>
    <n v="0"/>
    <x v="24"/>
    <n v="0"/>
    <n v="10"/>
    <n v="78"/>
    <n v="90"/>
    <n v="178"/>
    <n v="36650"/>
    <n v="9"/>
    <n v="0"/>
    <s v="05-04-00"/>
    <n v="14"/>
    <s v="DNP"/>
    <x v="1"/>
    <x v="1"/>
    <n v="3"/>
    <x v="0"/>
    <n v="2"/>
    <n v="1"/>
    <x v="0"/>
    <s v="Nate Engstrom"/>
    <x v="29"/>
    <x v="27"/>
    <x v="4"/>
    <n v="0"/>
    <n v="0"/>
    <n v="0"/>
    <n v="0"/>
    <x v="1"/>
    <x v="1"/>
    <x v="1"/>
    <x v="1"/>
    <x v="1"/>
    <n v="0"/>
    <n v="0"/>
    <n v="0"/>
    <x v="0"/>
    <x v="0"/>
    <x v="0"/>
    <n v="0"/>
    <n v="0"/>
    <n v="0"/>
    <n v="0"/>
    <n v="0"/>
    <n v="0"/>
    <n v="0"/>
    <n v="0"/>
    <n v="0"/>
    <x v="218"/>
  </r>
  <r>
    <x v="2"/>
    <x v="32"/>
    <x v="21"/>
    <x v="31"/>
    <x v="2"/>
    <n v="28"/>
    <x v="3"/>
    <n v="8"/>
    <s v="AKI"/>
    <x v="3"/>
    <x v="3"/>
    <x v="3"/>
    <x v="3"/>
    <x v="16"/>
    <n v="8.6239999999999988"/>
    <n v="0"/>
    <x v="11"/>
    <n v="0"/>
    <x v="57"/>
    <n v="2"/>
    <s v="defensive"/>
    <n v="0"/>
    <n v="0"/>
    <n v="0"/>
    <n v="0.6"/>
    <n v="0"/>
    <n v="11.04"/>
    <n v="0"/>
    <n v="11.04"/>
    <x v="1"/>
    <n v="0"/>
    <n v="4"/>
    <n v="24"/>
    <n v="80"/>
    <n v="88"/>
    <n v="36562"/>
    <n v="8"/>
    <n v="0"/>
    <s v="02-06-00"/>
    <n v="37"/>
    <s v="DNP"/>
    <x v="1"/>
    <x v="1"/>
    <n v="3"/>
    <x v="0"/>
    <n v="2"/>
    <n v="1"/>
    <x v="0"/>
    <s v="Nate Engstrom"/>
    <x v="32"/>
    <x v="28"/>
    <x v="4"/>
    <n v="3"/>
    <m/>
    <n v="0"/>
    <n v="0"/>
    <x v="6"/>
    <x v="1"/>
    <x v="1"/>
    <x v="1"/>
    <x v="1"/>
    <n v="0"/>
    <n v="0"/>
    <n v="2"/>
    <x v="1"/>
    <x v="0"/>
    <x v="1"/>
    <n v="0"/>
    <n v="46"/>
    <n v="0"/>
    <n v="0"/>
    <n v="0"/>
    <n v="0"/>
    <n v="0"/>
    <n v="0"/>
    <n v="0"/>
    <x v="219"/>
  </r>
  <r>
    <x v="20"/>
    <x v="27"/>
    <x v="25"/>
    <x v="27"/>
    <x v="20"/>
    <n v="28"/>
    <x v="14"/>
    <n v="25"/>
    <s v="AK"/>
    <x v="10"/>
    <x v="10"/>
    <x v="10"/>
    <x v="10"/>
    <x v="14"/>
    <n v="60"/>
    <n v="0"/>
    <x v="11"/>
    <n v="60"/>
    <x v="0"/>
    <n v="0"/>
    <s v="offensive"/>
    <n v="0"/>
    <n v="0"/>
    <n v="1"/>
    <n v="0"/>
    <n v="30"/>
    <n v="0"/>
    <n v="0"/>
    <n v="0"/>
    <x v="22"/>
    <n v="0"/>
    <n v="8"/>
    <n v="54"/>
    <n v="230"/>
    <n v="62"/>
    <n v="36620"/>
    <n v="8"/>
    <n v="0"/>
    <s v="04-04-00"/>
    <n v="25"/>
    <n v="22"/>
    <x v="0"/>
    <x v="6"/>
    <n v="3"/>
    <x v="0"/>
    <n v="2"/>
    <n v="1"/>
    <x v="0"/>
    <s v="Nate Engstrom"/>
    <x v="27"/>
    <x v="29"/>
    <x v="4"/>
    <n v="0"/>
    <n v="0"/>
    <n v="0"/>
    <n v="0"/>
    <x v="8"/>
    <x v="1"/>
    <x v="1"/>
    <x v="1"/>
    <x v="1"/>
    <n v="0"/>
    <n v="0"/>
    <n v="0"/>
    <x v="0"/>
    <x v="0"/>
    <x v="0"/>
    <n v="0"/>
    <n v="0"/>
    <n v="0"/>
    <n v="0"/>
    <n v="30"/>
    <n v="30"/>
    <n v="65"/>
    <n v="0"/>
    <n v="0"/>
    <x v="220"/>
  </r>
  <r>
    <x v="2"/>
    <x v="33"/>
    <x v="21"/>
    <x v="32"/>
    <x v="2"/>
    <n v="28"/>
    <x v="3"/>
    <n v="14"/>
    <s v="AK"/>
    <x v="2"/>
    <x v="2"/>
    <x v="2"/>
    <x v="2"/>
    <x v="17"/>
    <n v="4.32"/>
    <n v="0"/>
    <x v="11"/>
    <n v="0"/>
    <x v="1"/>
    <n v="0"/>
    <s v="both"/>
    <n v="0"/>
    <n v="0"/>
    <n v="0"/>
    <n v="0.6"/>
    <n v="0"/>
    <n v="7.2"/>
    <n v="0"/>
    <n v="7.2"/>
    <x v="1"/>
    <n v="0"/>
    <n v="6"/>
    <n v="84"/>
    <n v="90"/>
    <n v="144"/>
    <n v="36591"/>
    <n v="9"/>
    <n v="0"/>
    <s v="03-06-00"/>
    <n v="31"/>
    <s v="DNP"/>
    <x v="1"/>
    <x v="1"/>
    <n v="3"/>
    <x v="0"/>
    <n v="2"/>
    <n v="1"/>
    <x v="0"/>
    <s v="Clayton"/>
    <x v="33"/>
    <x v="55"/>
    <x v="4"/>
    <n v="3"/>
    <n v="0"/>
    <n v="0"/>
    <n v="18"/>
    <x v="0"/>
    <x v="1"/>
    <x v="1"/>
    <x v="1"/>
    <x v="1"/>
    <n v="0"/>
    <n v="0"/>
    <n v="1"/>
    <x v="1"/>
    <x v="0"/>
    <x v="1"/>
    <n v="0"/>
    <n v="30"/>
    <n v="0"/>
    <n v="0"/>
    <n v="0"/>
    <n v="0"/>
    <n v="0"/>
    <n v="0"/>
    <n v="0"/>
    <x v="221"/>
  </r>
  <r>
    <x v="19"/>
    <x v="26"/>
    <x v="24"/>
    <x v="26"/>
    <x v="19"/>
    <n v="10"/>
    <x v="3"/>
    <n v="16"/>
    <s v="AK"/>
    <x v="17"/>
    <x v="17"/>
    <x v="17"/>
    <x v="17"/>
    <x v="2"/>
    <n v="61.714285714285715"/>
    <n v="54"/>
    <x v="69"/>
    <n v="0"/>
    <x v="0"/>
    <n v="0"/>
    <s v="offensive"/>
    <n v="1"/>
    <n v="0.42857142857142855"/>
    <n v="0"/>
    <n v="0"/>
    <n v="0"/>
    <n v="27"/>
    <n v="27"/>
    <n v="0"/>
    <x v="21"/>
    <n v="0"/>
    <n v="7"/>
    <n v="128"/>
    <n v="40"/>
    <n v="148"/>
    <n v="36954"/>
    <n v="8"/>
    <n v="0"/>
    <s v="03-04-01"/>
    <n v="26"/>
    <n v="6"/>
    <x v="1"/>
    <x v="1"/>
    <n v="3"/>
    <x v="0"/>
    <n v="2"/>
    <n v="1"/>
    <x v="0"/>
    <s v="Clayton"/>
    <x v="26"/>
    <x v="30"/>
    <x v="4"/>
    <n v="3"/>
    <n v="0"/>
    <n v="18"/>
    <n v="0"/>
    <x v="1"/>
    <x v="1"/>
    <x v="1"/>
    <x v="0"/>
    <x v="1"/>
    <n v="9"/>
    <n v="12"/>
    <n v="2"/>
    <x v="0"/>
    <x v="0"/>
    <x v="0"/>
    <n v="0"/>
    <n v="0"/>
    <n v="0"/>
    <n v="0"/>
    <n v="0"/>
    <n v="0"/>
    <n v="0"/>
    <n v="0"/>
    <n v="0"/>
    <x v="222"/>
  </r>
  <r>
    <x v="16"/>
    <x v="21"/>
    <x v="19"/>
    <x v="21"/>
    <x v="16"/>
    <n v="22"/>
    <x v="6"/>
    <n v="25"/>
    <s v="AK"/>
    <x v="9"/>
    <x v="9"/>
    <x v="9"/>
    <x v="9"/>
    <x v="2"/>
    <n v="18"/>
    <n v="0"/>
    <x v="11"/>
    <n v="20"/>
    <x v="0"/>
    <n v="-2"/>
    <s v="offensive"/>
    <n v="0"/>
    <n v="0"/>
    <n v="1"/>
    <n v="0"/>
    <n v="10"/>
    <n v="0"/>
    <n v="0"/>
    <n v="0"/>
    <x v="16"/>
    <n v="0"/>
    <n v="10"/>
    <n v="102"/>
    <n v="190"/>
    <n v="152"/>
    <n v="36650"/>
    <n v="9"/>
    <n v="0"/>
    <s v="05-04-00"/>
    <n v="13"/>
    <n v="17"/>
    <x v="1"/>
    <x v="1"/>
    <n v="3"/>
    <x v="0"/>
    <n v="2"/>
    <n v="1"/>
    <x v="0"/>
    <s v="Clayton"/>
    <x v="21"/>
    <x v="31"/>
    <x v="4"/>
    <n v="0"/>
    <n v="0"/>
    <n v="0"/>
    <n v="0"/>
    <x v="0"/>
    <x v="1"/>
    <x v="1"/>
    <x v="1"/>
    <x v="1"/>
    <n v="0"/>
    <n v="3"/>
    <n v="0"/>
    <x v="0"/>
    <x v="0"/>
    <x v="0"/>
    <n v="0"/>
    <n v="0"/>
    <n v="0"/>
    <n v="0"/>
    <n v="10"/>
    <n v="10"/>
    <n v="12"/>
    <n v="0"/>
    <n v="0"/>
    <x v="223"/>
  </r>
  <r>
    <x v="2"/>
    <x v="20"/>
    <x v="14"/>
    <x v="20"/>
    <x v="13"/>
    <n v="28"/>
    <x v="3"/>
    <n v="25"/>
    <s v="AID"/>
    <x v="1"/>
    <x v="1"/>
    <x v="1"/>
    <x v="1"/>
    <x v="2"/>
    <n v="0"/>
    <n v="0"/>
    <x v="11"/>
    <n v="0"/>
    <x v="0"/>
    <n v="0"/>
    <s v="offensive"/>
    <n v="0"/>
    <n v="0"/>
    <n v="1"/>
    <n v="0"/>
    <n v="10"/>
    <n v="0"/>
    <n v="0"/>
    <n v="0"/>
    <x v="15"/>
    <n v="0"/>
    <n v="10"/>
    <n v="64"/>
    <n v="70"/>
    <n v="87"/>
    <n v="36649"/>
    <n v="8"/>
    <n v="0"/>
    <s v="05-03-00"/>
    <n v="16"/>
    <s v="DNP"/>
    <x v="1"/>
    <x v="1"/>
    <n v="3"/>
    <x v="0"/>
    <n v="2"/>
    <n v="1"/>
    <x v="0"/>
    <s v="Clayton"/>
    <x v="20"/>
    <x v="31"/>
    <x v="4"/>
    <n v="0"/>
    <n v="0"/>
    <n v="0"/>
    <n v="0"/>
    <x v="4"/>
    <x v="1"/>
    <x v="1"/>
    <x v="1"/>
    <x v="0"/>
    <n v="0"/>
    <n v="0"/>
    <n v="1"/>
    <x v="0"/>
    <x v="0"/>
    <x v="0"/>
    <n v="0"/>
    <n v="5"/>
    <n v="0"/>
    <n v="0"/>
    <n v="0"/>
    <n v="10"/>
    <n v="0"/>
    <n v="0"/>
    <n v="0"/>
    <x v="224"/>
  </r>
  <r>
    <x v="2"/>
    <x v="18"/>
    <x v="17"/>
    <x v="18"/>
    <x v="2"/>
    <n v="15"/>
    <x v="12"/>
    <n v="25"/>
    <s v="AI"/>
    <x v="13"/>
    <x v="13"/>
    <x v="13"/>
    <x v="13"/>
    <x v="2"/>
    <n v="24"/>
    <n v="0"/>
    <x v="20"/>
    <n v="20"/>
    <x v="0"/>
    <n v="0"/>
    <s v="offensive"/>
    <n v="0"/>
    <n v="1"/>
    <n v="1"/>
    <n v="0"/>
    <n v="10"/>
    <n v="2"/>
    <n v="2"/>
    <n v="0"/>
    <x v="13"/>
    <n v="0"/>
    <n v="2"/>
    <n v="88"/>
    <n v="90"/>
    <n v="162"/>
    <n v="36533"/>
    <n v="9"/>
    <n v="0"/>
    <s v="01-08-00"/>
    <n v="40"/>
    <s v="DNP"/>
    <x v="1"/>
    <x v="1"/>
    <n v="3"/>
    <x v="0"/>
    <n v="2"/>
    <n v="1"/>
    <x v="0"/>
    <s v="Clayton"/>
    <x v="18"/>
    <x v="32"/>
    <x v="4"/>
    <n v="0"/>
    <n v="0"/>
    <n v="0"/>
    <n v="0"/>
    <x v="1"/>
    <x v="1"/>
    <x v="1"/>
    <x v="1"/>
    <x v="1"/>
    <n v="2"/>
    <n v="0"/>
    <n v="1"/>
    <x v="0"/>
    <x v="0"/>
    <x v="0"/>
    <n v="0"/>
    <n v="0"/>
    <n v="0"/>
    <n v="0"/>
    <n v="10"/>
    <n v="10"/>
    <n v="10"/>
    <n v="0"/>
    <n v="0"/>
    <x v="225"/>
  </r>
  <r>
    <x v="25"/>
    <x v="35"/>
    <x v="27"/>
    <x v="34"/>
    <x v="22"/>
    <n v="23"/>
    <x v="3"/>
    <n v="25"/>
    <s v="AK"/>
    <x v="2"/>
    <x v="2"/>
    <x v="2"/>
    <x v="2"/>
    <x v="2"/>
    <n v="0"/>
    <n v="0"/>
    <x v="11"/>
    <n v="0"/>
    <x v="0"/>
    <n v="0"/>
    <s v="offensive"/>
    <n v="0"/>
    <n v="0"/>
    <n v="0"/>
    <n v="0"/>
    <n v="0"/>
    <n v="0"/>
    <n v="0"/>
    <n v="0"/>
    <x v="28"/>
    <n v="1"/>
    <n v="12"/>
    <n v="144"/>
    <n v="120"/>
    <n v="169"/>
    <n v="36680"/>
    <n v="9"/>
    <n v="0"/>
    <s v="06-03-00"/>
    <n v="6"/>
    <n v="18"/>
    <x v="1"/>
    <x v="1"/>
    <n v="3"/>
    <x v="0"/>
    <n v="2"/>
    <n v="1"/>
    <x v="0"/>
    <s v="Clayton"/>
    <x v="35"/>
    <x v="33"/>
    <x v="4"/>
    <n v="0"/>
    <n v="0"/>
    <n v="0"/>
    <n v="12"/>
    <x v="7"/>
    <x v="1"/>
    <x v="1"/>
    <x v="1"/>
    <x v="1"/>
    <n v="0"/>
    <n v="0"/>
    <n v="0"/>
    <x v="0"/>
    <x v="0"/>
    <x v="0"/>
    <n v="0"/>
    <n v="0"/>
    <n v="0"/>
    <n v="0"/>
    <n v="0"/>
    <n v="0"/>
    <n v="0"/>
    <n v="0"/>
    <n v="0"/>
    <x v="226"/>
  </r>
  <r>
    <x v="7"/>
    <x v="9"/>
    <x v="9"/>
    <x v="9"/>
    <x v="7"/>
    <n v="1"/>
    <x v="7"/>
    <n v="25"/>
    <s v="AKI"/>
    <x v="9"/>
    <x v="9"/>
    <x v="9"/>
    <x v="9"/>
    <x v="7"/>
    <n v="184"/>
    <n v="54"/>
    <x v="70"/>
    <n v="20"/>
    <x v="0"/>
    <n v="2"/>
    <s v="offensive"/>
    <n v="1"/>
    <n v="1"/>
    <n v="1"/>
    <n v="0"/>
    <n v="10"/>
    <n v="72"/>
    <n v="72"/>
    <n v="0"/>
    <x v="6"/>
    <n v="0"/>
    <n v="12"/>
    <n v="142"/>
    <n v="110"/>
    <n v="418"/>
    <n v="36679"/>
    <n v="8"/>
    <n v="0"/>
    <s v="06-02-00"/>
    <n v="7"/>
    <n v="2"/>
    <x v="1"/>
    <x v="1"/>
    <n v="3"/>
    <x v="0"/>
    <n v="2"/>
    <n v="1"/>
    <x v="0"/>
    <s v="Jeremy Green"/>
    <x v="9"/>
    <x v="34"/>
    <x v="4"/>
    <n v="3"/>
    <n v="0"/>
    <n v="18"/>
    <n v="0"/>
    <x v="9"/>
    <x v="0"/>
    <x v="1"/>
    <x v="0"/>
    <x v="1"/>
    <n v="54"/>
    <n v="0"/>
    <n v="3"/>
    <x v="0"/>
    <x v="0"/>
    <x v="0"/>
    <n v="0"/>
    <n v="0"/>
    <n v="0"/>
    <n v="0"/>
    <n v="10"/>
    <n v="10"/>
    <n v="5"/>
    <n v="0"/>
    <n v="0"/>
    <x v="227"/>
  </r>
  <r>
    <x v="2"/>
    <x v="2"/>
    <x v="2"/>
    <x v="2"/>
    <x v="2"/>
    <n v="26"/>
    <x v="2"/>
    <n v="25"/>
    <s v="A"/>
    <x v="2"/>
    <x v="2"/>
    <x v="2"/>
    <x v="2"/>
    <x v="2"/>
    <n v="20"/>
    <n v="0"/>
    <x v="11"/>
    <n v="20"/>
    <x v="0"/>
    <n v="0"/>
    <s v="offensive"/>
    <n v="0"/>
    <n v="0"/>
    <n v="1"/>
    <n v="0"/>
    <n v="10"/>
    <n v="0"/>
    <n v="0"/>
    <n v="0"/>
    <x v="1"/>
    <n v="1"/>
    <n v="8"/>
    <n v="86"/>
    <n v="80"/>
    <n v="122"/>
    <n v="36621"/>
    <n v="9"/>
    <n v="0"/>
    <s v="04-05-00"/>
    <n v="21"/>
    <s v="DNP"/>
    <x v="1"/>
    <x v="1"/>
    <n v="3"/>
    <x v="0"/>
    <n v="2"/>
    <n v="1"/>
    <x v="0"/>
    <s v="Jeremy Green"/>
    <x v="2"/>
    <x v="35"/>
    <x v="4"/>
    <n v="0"/>
    <n v="0"/>
    <n v="0"/>
    <n v="0"/>
    <x v="15"/>
    <x v="1"/>
    <x v="1"/>
    <x v="1"/>
    <x v="1"/>
    <n v="0"/>
    <n v="0"/>
    <n v="2"/>
    <x v="0"/>
    <x v="0"/>
    <x v="3"/>
    <n v="0"/>
    <n v="0"/>
    <n v="0"/>
    <n v="0"/>
    <n v="10"/>
    <n v="10"/>
    <n v="10"/>
    <n v="0"/>
    <n v="0"/>
    <x v="228"/>
  </r>
  <r>
    <x v="9"/>
    <x v="11"/>
    <x v="10"/>
    <x v="11"/>
    <x v="9"/>
    <n v="9"/>
    <x v="3"/>
    <n v="25"/>
    <s v="AKI"/>
    <x v="2"/>
    <x v="2"/>
    <x v="2"/>
    <x v="2"/>
    <x v="8"/>
    <n v="70.75"/>
    <n v="54"/>
    <x v="43"/>
    <n v="0"/>
    <x v="0"/>
    <n v="-2"/>
    <s v="offensive"/>
    <n v="1"/>
    <n v="0.625"/>
    <n v="0"/>
    <n v="0"/>
    <n v="0"/>
    <n v="33"/>
    <n v="33"/>
    <n v="0"/>
    <x v="7"/>
    <n v="0"/>
    <n v="6"/>
    <n v="106"/>
    <n v="70"/>
    <n v="201"/>
    <n v="36590"/>
    <n v="8"/>
    <n v="0"/>
    <s v="03-05-00"/>
    <n v="27"/>
    <n v="8"/>
    <x v="0"/>
    <x v="4"/>
    <n v="3"/>
    <x v="0"/>
    <n v="2"/>
    <n v="1"/>
    <x v="0"/>
    <s v="Jeremy Green"/>
    <x v="11"/>
    <x v="36"/>
    <x v="4"/>
    <n v="3"/>
    <n v="0"/>
    <n v="18"/>
    <n v="0"/>
    <x v="0"/>
    <x v="0"/>
    <x v="1"/>
    <x v="0"/>
    <x v="1"/>
    <n v="15"/>
    <n v="9"/>
    <n v="2"/>
    <x v="0"/>
    <x v="0"/>
    <x v="0"/>
    <n v="0"/>
    <n v="0"/>
    <n v="0"/>
    <n v="0"/>
    <n v="0"/>
    <n v="0"/>
    <n v="0"/>
    <n v="0"/>
    <n v="0"/>
    <x v="229"/>
  </r>
  <r>
    <x v="2"/>
    <x v="38"/>
    <x v="14"/>
    <x v="37"/>
    <x v="2"/>
    <n v="17"/>
    <x v="3"/>
    <n v="23"/>
    <s v="AKD"/>
    <x v="13"/>
    <x v="13"/>
    <x v="13"/>
    <x v="13"/>
    <x v="18"/>
    <n v="2.2160000000000002"/>
    <n v="0"/>
    <x v="11"/>
    <n v="0"/>
    <x v="58"/>
    <n v="2"/>
    <s v="offensive"/>
    <n v="0"/>
    <n v="0"/>
    <n v="0"/>
    <n v="0.3"/>
    <n v="0"/>
    <n v="0.72"/>
    <n v="0"/>
    <n v="0.72"/>
    <x v="29"/>
    <n v="1"/>
    <n v="3"/>
    <n v="74"/>
    <n v="50"/>
    <n v="162"/>
    <n v="36897"/>
    <n v="8"/>
    <n v="0"/>
    <s v="01-06-01"/>
    <n v="39"/>
    <s v="DNP"/>
    <x v="1"/>
    <x v="1"/>
    <n v="3"/>
    <x v="0"/>
    <n v="2"/>
    <n v="1"/>
    <x v="0"/>
    <s v="Jeremy Green"/>
    <x v="38"/>
    <x v="37"/>
    <x v="4"/>
    <n v="3"/>
    <n v="0"/>
    <n v="0"/>
    <n v="0"/>
    <x v="1"/>
    <x v="0"/>
    <x v="1"/>
    <x v="0"/>
    <x v="1"/>
    <n v="0"/>
    <n v="2"/>
    <n v="0"/>
    <x v="1"/>
    <x v="0"/>
    <x v="3"/>
    <n v="0"/>
    <n v="6"/>
    <n v="0"/>
    <n v="0"/>
    <n v="0"/>
    <n v="0"/>
    <n v="0"/>
    <n v="0"/>
    <n v="0"/>
    <x v="230"/>
  </r>
  <r>
    <x v="2"/>
    <x v="20"/>
    <x v="14"/>
    <x v="20"/>
    <x v="13"/>
    <n v="28"/>
    <x v="3"/>
    <n v="25"/>
    <s v="AID"/>
    <x v="1"/>
    <x v="1"/>
    <x v="1"/>
    <x v="1"/>
    <x v="2"/>
    <n v="12"/>
    <n v="12"/>
    <x v="11"/>
    <n v="0"/>
    <x v="0"/>
    <n v="0"/>
    <s v="offensive"/>
    <n v="1"/>
    <n v="0"/>
    <n v="0"/>
    <n v="0"/>
    <n v="0"/>
    <n v="4"/>
    <n v="4"/>
    <n v="0"/>
    <x v="15"/>
    <n v="0"/>
    <n v="10"/>
    <n v="64"/>
    <n v="70"/>
    <n v="87"/>
    <n v="36649"/>
    <n v="8"/>
    <n v="0"/>
    <s v="05-03-00"/>
    <n v="16"/>
    <s v="DNP"/>
    <x v="1"/>
    <x v="1"/>
    <n v="3"/>
    <x v="0"/>
    <n v="2"/>
    <n v="1"/>
    <x v="0"/>
    <s v="Jeremy Green"/>
    <x v="20"/>
    <x v="39"/>
    <x v="4"/>
    <n v="2"/>
    <n v="0"/>
    <n v="4"/>
    <n v="0"/>
    <x v="7"/>
    <x v="1"/>
    <x v="1"/>
    <x v="1"/>
    <x v="1"/>
    <n v="0"/>
    <n v="0"/>
    <n v="0"/>
    <x v="0"/>
    <x v="0"/>
    <x v="0"/>
    <n v="0"/>
    <n v="0"/>
    <n v="0"/>
    <n v="0"/>
    <n v="0"/>
    <n v="0"/>
    <n v="0"/>
    <n v="0"/>
    <n v="0"/>
    <x v="231"/>
  </r>
  <r>
    <x v="22"/>
    <x v="30"/>
    <x v="26"/>
    <x v="29"/>
    <x v="21"/>
    <n v="7"/>
    <x v="15"/>
    <n v="25"/>
    <s v="AKI"/>
    <x v="18"/>
    <x v="18"/>
    <x v="18"/>
    <x v="18"/>
    <x v="10"/>
    <n v="84.8"/>
    <n v="54"/>
    <x v="66"/>
    <n v="20"/>
    <x v="0"/>
    <n v="0"/>
    <s v="offensive"/>
    <n v="1"/>
    <n v="0.6"/>
    <n v="1"/>
    <n v="0"/>
    <n v="10"/>
    <n v="27"/>
    <n v="27"/>
    <n v="0"/>
    <x v="25"/>
    <n v="0"/>
    <n v="8"/>
    <n v="160"/>
    <n v="140"/>
    <n v="237"/>
    <n v="36620"/>
    <n v="8"/>
    <n v="0"/>
    <s v="04-04-00"/>
    <n v="18"/>
    <n v="5"/>
    <x v="1"/>
    <x v="1"/>
    <n v="3"/>
    <x v="0"/>
    <n v="2"/>
    <n v="1"/>
    <x v="0"/>
    <s v="Jeremy Green"/>
    <x v="30"/>
    <x v="39"/>
    <x v="4"/>
    <n v="3"/>
    <n v="0"/>
    <n v="18"/>
    <n v="0"/>
    <x v="9"/>
    <x v="0"/>
    <x v="1"/>
    <x v="1"/>
    <x v="0"/>
    <n v="9"/>
    <n v="6"/>
    <n v="0"/>
    <x v="0"/>
    <x v="0"/>
    <x v="0"/>
    <n v="0"/>
    <n v="0"/>
    <n v="0"/>
    <n v="0"/>
    <n v="10"/>
    <n v="10"/>
    <n v="0"/>
    <n v="0"/>
    <n v="0"/>
    <x v="232"/>
  </r>
  <r>
    <x v="2"/>
    <x v="32"/>
    <x v="21"/>
    <x v="31"/>
    <x v="2"/>
    <n v="28"/>
    <x v="3"/>
    <n v="8"/>
    <s v="AKI"/>
    <x v="3"/>
    <x v="3"/>
    <x v="3"/>
    <x v="3"/>
    <x v="16"/>
    <n v="0"/>
    <n v="0"/>
    <x v="11"/>
    <n v="0"/>
    <x v="0"/>
    <n v="0"/>
    <s v="offensive"/>
    <n v="0"/>
    <n v="0"/>
    <n v="0"/>
    <n v="0"/>
    <n v="0"/>
    <n v="0"/>
    <n v="0"/>
    <n v="0"/>
    <x v="1"/>
    <n v="0"/>
    <n v="4"/>
    <n v="24"/>
    <n v="80"/>
    <n v="88"/>
    <n v="36562"/>
    <n v="8"/>
    <n v="0"/>
    <s v="02-06-00"/>
    <n v="37"/>
    <s v="DNP"/>
    <x v="1"/>
    <x v="1"/>
    <n v="3"/>
    <x v="0"/>
    <n v="2"/>
    <n v="1"/>
    <x v="0"/>
    <s v="Jeremy Green"/>
    <x v="32"/>
    <x v="41"/>
    <x v="4"/>
    <n v="0"/>
    <n v="0"/>
    <n v="0"/>
    <n v="0"/>
    <x v="9"/>
    <x v="1"/>
    <x v="1"/>
    <x v="1"/>
    <x v="1"/>
    <n v="0"/>
    <n v="0"/>
    <n v="0"/>
    <x v="0"/>
    <x v="0"/>
    <x v="0"/>
    <n v="0"/>
    <n v="0"/>
    <n v="0"/>
    <n v="0"/>
    <n v="0"/>
    <n v="0"/>
    <n v="0"/>
    <n v="0"/>
    <n v="0"/>
    <x v="233"/>
  </r>
  <r>
    <x v="19"/>
    <x v="26"/>
    <x v="24"/>
    <x v="26"/>
    <x v="19"/>
    <n v="10"/>
    <x v="3"/>
    <n v="16"/>
    <s v="AK"/>
    <x v="17"/>
    <x v="17"/>
    <x v="17"/>
    <x v="17"/>
    <x v="2"/>
    <n v="54.96861538461539"/>
    <n v="54"/>
    <x v="71"/>
    <n v="0"/>
    <x v="45"/>
    <n v="-2"/>
    <s v="offensive"/>
    <n v="1"/>
    <n v="0.23076923076923078"/>
    <n v="0"/>
    <n v="0.6"/>
    <n v="0"/>
    <n v="23.64"/>
    <n v="21"/>
    <n v="2.6399999999999997"/>
    <x v="21"/>
    <n v="0"/>
    <n v="7"/>
    <n v="128"/>
    <n v="40"/>
    <n v="148"/>
    <n v="36954"/>
    <n v="8"/>
    <n v="0"/>
    <s v="03-04-01"/>
    <n v="26"/>
    <n v="6"/>
    <x v="1"/>
    <x v="1"/>
    <n v="3"/>
    <x v="0"/>
    <n v="2"/>
    <n v="1"/>
    <x v="0"/>
    <s v="Jeremy Green"/>
    <x v="26"/>
    <x v="41"/>
    <x v="4"/>
    <n v="3"/>
    <n v="0"/>
    <n v="18"/>
    <n v="0"/>
    <x v="0"/>
    <x v="0"/>
    <x v="1"/>
    <x v="0"/>
    <x v="0"/>
    <n v="3"/>
    <n v="10"/>
    <n v="2"/>
    <x v="0"/>
    <x v="0"/>
    <x v="1"/>
    <n v="0"/>
    <n v="11"/>
    <n v="0"/>
    <n v="0"/>
    <n v="0"/>
    <n v="0"/>
    <n v="0"/>
    <n v="0"/>
    <n v="0"/>
    <x v="234"/>
  </r>
  <r>
    <x v="17"/>
    <x v="22"/>
    <x v="20"/>
    <x v="22"/>
    <x v="17"/>
    <n v="28"/>
    <x v="6"/>
    <n v="17"/>
    <s v="AK"/>
    <x v="15"/>
    <x v="15"/>
    <x v="15"/>
    <x v="15"/>
    <x v="13"/>
    <n v="3.44"/>
    <n v="0"/>
    <x v="11"/>
    <n v="0"/>
    <x v="30"/>
    <n v="2"/>
    <s v="offensive"/>
    <n v="0"/>
    <n v="0"/>
    <n v="0"/>
    <n v="0.6"/>
    <n v="0"/>
    <n v="2.4"/>
    <n v="0"/>
    <n v="2.4"/>
    <x v="17"/>
    <n v="0"/>
    <n v="8"/>
    <n v="82"/>
    <n v="180"/>
    <n v="228"/>
    <n v="36621"/>
    <n v="9"/>
    <n v="0"/>
    <s v="04-05-00"/>
    <n v="22"/>
    <n v="25"/>
    <x v="1"/>
    <x v="1"/>
    <n v="3"/>
    <x v="0"/>
    <n v="2"/>
    <n v="1"/>
    <x v="0"/>
    <s v="Ian Spadin"/>
    <x v="22"/>
    <x v="42"/>
    <x v="4"/>
    <n v="3"/>
    <n v="0"/>
    <n v="0"/>
    <n v="12"/>
    <x v="9"/>
    <x v="0"/>
    <x v="1"/>
    <x v="0"/>
    <x v="1"/>
    <n v="0"/>
    <n v="2"/>
    <n v="1"/>
    <x v="1"/>
    <x v="0"/>
    <x v="1"/>
    <n v="0"/>
    <n v="10"/>
    <n v="0"/>
    <n v="0"/>
    <n v="0"/>
    <n v="0"/>
    <n v="0"/>
    <n v="0"/>
    <n v="0"/>
    <x v="235"/>
  </r>
  <r>
    <x v="2"/>
    <x v="33"/>
    <x v="21"/>
    <x v="32"/>
    <x v="2"/>
    <n v="28"/>
    <x v="3"/>
    <n v="14"/>
    <s v="AK"/>
    <x v="2"/>
    <x v="2"/>
    <x v="2"/>
    <x v="2"/>
    <x v="17"/>
    <n v="2.2160000000000002"/>
    <n v="0"/>
    <x v="11"/>
    <n v="0"/>
    <x v="58"/>
    <n v="2"/>
    <s v="offensive"/>
    <n v="0"/>
    <n v="0"/>
    <n v="0"/>
    <n v="0.3"/>
    <n v="0"/>
    <n v="0.72"/>
    <n v="0"/>
    <n v="0.72"/>
    <x v="1"/>
    <n v="0"/>
    <n v="6"/>
    <n v="84"/>
    <n v="90"/>
    <n v="144"/>
    <n v="36591"/>
    <n v="9"/>
    <n v="0"/>
    <s v="03-06-00"/>
    <n v="31"/>
    <s v="DNP"/>
    <x v="1"/>
    <x v="1"/>
    <n v="3"/>
    <x v="0"/>
    <n v="2"/>
    <n v="1"/>
    <x v="0"/>
    <s v="Ian Spadin"/>
    <x v="33"/>
    <x v="43"/>
    <x v="4"/>
    <n v="0"/>
    <n v="0"/>
    <n v="0"/>
    <n v="0"/>
    <x v="1"/>
    <x v="1"/>
    <x v="1"/>
    <x v="1"/>
    <x v="1"/>
    <n v="0"/>
    <n v="0"/>
    <n v="1"/>
    <x v="1"/>
    <x v="0"/>
    <x v="3"/>
    <n v="0"/>
    <n v="6"/>
    <n v="0"/>
    <n v="0"/>
    <n v="0"/>
    <n v="0"/>
    <n v="0"/>
    <n v="0"/>
    <n v="0"/>
    <x v="236"/>
  </r>
  <r>
    <x v="6"/>
    <x v="8"/>
    <x v="8"/>
    <x v="8"/>
    <x v="6"/>
    <n v="12"/>
    <x v="2"/>
    <n v="25"/>
    <s v="AKI"/>
    <x v="8"/>
    <x v="8"/>
    <x v="8"/>
    <x v="8"/>
    <x v="6"/>
    <n v="56"/>
    <n v="36"/>
    <x v="11"/>
    <n v="20"/>
    <x v="0"/>
    <n v="0"/>
    <s v="offensive"/>
    <n v="1"/>
    <n v="0"/>
    <n v="1"/>
    <n v="0"/>
    <n v="10"/>
    <n v="12"/>
    <n v="12"/>
    <n v="0"/>
    <x v="1"/>
    <n v="0"/>
    <n v="14"/>
    <n v="180"/>
    <n v="140"/>
    <n v="209"/>
    <n v="36709"/>
    <n v="9"/>
    <n v="0"/>
    <s v="07-02-00"/>
    <n v="3"/>
    <n v="9"/>
    <x v="0"/>
    <x v="3"/>
    <n v="3"/>
    <x v="0"/>
    <n v="2"/>
    <n v="1"/>
    <x v="0"/>
    <s v="Ian Spadin"/>
    <x v="8"/>
    <x v="44"/>
    <x v="4"/>
    <n v="3"/>
    <n v="0"/>
    <n v="12"/>
    <n v="0"/>
    <x v="13"/>
    <x v="1"/>
    <x v="1"/>
    <x v="1"/>
    <x v="1"/>
    <n v="0"/>
    <n v="3"/>
    <n v="0"/>
    <x v="0"/>
    <x v="0"/>
    <x v="0"/>
    <n v="0"/>
    <n v="0"/>
    <n v="0"/>
    <n v="0"/>
    <n v="10"/>
    <n v="10"/>
    <n v="5"/>
    <n v="0"/>
    <n v="0"/>
    <x v="237"/>
  </r>
  <r>
    <x v="2"/>
    <x v="4"/>
    <x v="4"/>
    <x v="4"/>
    <x v="2"/>
    <n v="25"/>
    <x v="3"/>
    <n v="4"/>
    <s v="AK"/>
    <x v="4"/>
    <x v="4"/>
    <x v="4"/>
    <x v="4"/>
    <x v="2"/>
    <n v="4"/>
    <n v="0"/>
    <x v="20"/>
    <n v="0"/>
    <x v="0"/>
    <n v="0"/>
    <s v="offensive"/>
    <n v="0"/>
    <n v="1"/>
    <n v="1"/>
    <n v="0"/>
    <n v="10"/>
    <n v="2"/>
    <n v="2"/>
    <n v="0"/>
    <x v="3"/>
    <n v="0"/>
    <n v="8"/>
    <n v="106"/>
    <n v="120"/>
    <n v="156"/>
    <n v="36621"/>
    <n v="9"/>
    <n v="0"/>
    <s v="04-05-00"/>
    <n v="19"/>
    <s v="DNP"/>
    <x v="1"/>
    <x v="1"/>
    <n v="3"/>
    <x v="0"/>
    <n v="2"/>
    <n v="1"/>
    <x v="0"/>
    <s v="Ian Spadin"/>
    <x v="4"/>
    <x v="45"/>
    <x v="4"/>
    <n v="0"/>
    <n v="0"/>
    <n v="0"/>
    <n v="0"/>
    <x v="9"/>
    <x v="0"/>
    <x v="1"/>
    <x v="1"/>
    <x v="0"/>
    <n v="2"/>
    <n v="0"/>
    <n v="1"/>
    <x v="0"/>
    <x v="0"/>
    <x v="0"/>
    <n v="0"/>
    <n v="0"/>
    <n v="0"/>
    <n v="0"/>
    <n v="0"/>
    <n v="10"/>
    <n v="0"/>
    <n v="0"/>
    <n v="0"/>
    <x v="238"/>
  </r>
  <r>
    <x v="27"/>
    <x v="39"/>
    <x v="28"/>
    <x v="38"/>
    <x v="23"/>
    <n v="2"/>
    <x v="10"/>
    <n v="15"/>
    <s v="AK"/>
    <x v="2"/>
    <x v="2"/>
    <x v="2"/>
    <x v="2"/>
    <x v="19"/>
    <n v="113.5"/>
    <n v="54"/>
    <x v="72"/>
    <n v="20"/>
    <x v="0"/>
    <n v="2"/>
    <s v="offensive"/>
    <n v="1"/>
    <n v="0.625"/>
    <n v="1"/>
    <n v="0"/>
    <n v="10"/>
    <n v="48"/>
    <n v="48"/>
    <n v="0"/>
    <x v="30"/>
    <n v="0"/>
    <n v="18"/>
    <n v="240"/>
    <n v="140"/>
    <n v="461"/>
    <s v="9-0-0"/>
    <n v="9"/>
    <n v="0"/>
    <s v="9-0-0"/>
    <n v="1"/>
    <n v="1"/>
    <x v="1"/>
    <x v="1"/>
    <n v="3"/>
    <x v="0"/>
    <n v="2"/>
    <n v="1"/>
    <x v="0"/>
    <s v="Ian Spadin"/>
    <x v="39"/>
    <x v="46"/>
    <x v="4"/>
    <n v="3"/>
    <n v="0"/>
    <n v="18"/>
    <n v="0"/>
    <x v="0"/>
    <x v="0"/>
    <x v="1"/>
    <x v="0"/>
    <x v="1"/>
    <n v="30"/>
    <n v="18"/>
    <n v="3"/>
    <x v="1"/>
    <x v="0"/>
    <x v="0"/>
    <n v="0"/>
    <n v="0"/>
    <n v="0"/>
    <n v="0"/>
    <n v="10"/>
    <n v="10"/>
    <n v="0"/>
    <n v="0"/>
    <n v="0"/>
    <x v="239"/>
  </r>
  <r>
    <x v="16"/>
    <x v="21"/>
    <x v="19"/>
    <x v="21"/>
    <x v="16"/>
    <n v="22"/>
    <x v="6"/>
    <n v="25"/>
    <s v="AK"/>
    <x v="9"/>
    <x v="9"/>
    <x v="9"/>
    <x v="9"/>
    <x v="2"/>
    <n v="44"/>
    <n v="24"/>
    <x v="11"/>
    <n v="20"/>
    <x v="0"/>
    <n v="0"/>
    <s v="offensive"/>
    <n v="0.66666666666666663"/>
    <n v="0"/>
    <n v="1"/>
    <n v="0"/>
    <n v="10"/>
    <n v="12"/>
    <n v="12"/>
    <n v="0"/>
    <x v="16"/>
    <n v="0"/>
    <n v="10"/>
    <n v="102"/>
    <n v="190"/>
    <n v="152"/>
    <n v="36650"/>
    <n v="9"/>
    <n v="0"/>
    <s v="05-04-00"/>
    <n v="13"/>
    <n v="17"/>
    <x v="1"/>
    <x v="1"/>
    <n v="3"/>
    <x v="0"/>
    <n v="2"/>
    <n v="1"/>
    <x v="0"/>
    <s v="Ian Spadin"/>
    <x v="21"/>
    <x v="57"/>
    <x v="4"/>
    <n v="3"/>
    <n v="0"/>
    <n v="12"/>
    <n v="6"/>
    <x v="6"/>
    <x v="0"/>
    <x v="1"/>
    <x v="0"/>
    <x v="1"/>
    <n v="0"/>
    <n v="9"/>
    <n v="2"/>
    <x v="0"/>
    <x v="0"/>
    <x v="0"/>
    <n v="0"/>
    <n v="0"/>
    <n v="0"/>
    <n v="0"/>
    <n v="10"/>
    <n v="10"/>
    <n v="5"/>
    <n v="0"/>
    <n v="0"/>
    <x v="240"/>
  </r>
  <r>
    <x v="2"/>
    <x v="32"/>
    <x v="21"/>
    <x v="31"/>
    <x v="2"/>
    <n v="28"/>
    <x v="3"/>
    <n v="8"/>
    <s v="AKI"/>
    <x v="3"/>
    <x v="3"/>
    <x v="3"/>
    <x v="3"/>
    <x v="16"/>
    <n v="0"/>
    <n v="0"/>
    <x v="11"/>
    <n v="0"/>
    <x v="0"/>
    <n v="0"/>
    <s v="offensive"/>
    <n v="0"/>
    <n v="0"/>
    <n v="0"/>
    <n v="0"/>
    <n v="0"/>
    <n v="0"/>
    <n v="0"/>
    <n v="0"/>
    <x v="1"/>
    <n v="0"/>
    <n v="4"/>
    <n v="24"/>
    <n v="80"/>
    <n v="88"/>
    <n v="36562"/>
    <n v="8"/>
    <n v="0"/>
    <s v="02-06-00"/>
    <n v="37"/>
    <s v="DNP"/>
    <x v="1"/>
    <x v="1"/>
    <n v="3"/>
    <x v="0"/>
    <n v="2"/>
    <n v="1"/>
    <x v="0"/>
    <s v="Ian Spadin"/>
    <x v="32"/>
    <x v="47"/>
    <x v="4"/>
    <n v="0"/>
    <n v="0"/>
    <n v="0"/>
    <n v="0"/>
    <x v="9"/>
    <x v="1"/>
    <x v="1"/>
    <x v="1"/>
    <x v="1"/>
    <n v="0"/>
    <n v="0"/>
    <n v="0"/>
    <x v="0"/>
    <x v="0"/>
    <x v="0"/>
    <n v="0"/>
    <n v="0"/>
    <n v="0"/>
    <n v="0"/>
    <n v="0"/>
    <n v="0"/>
    <n v="0"/>
    <n v="0"/>
    <n v="0"/>
    <x v="241"/>
  </r>
  <r>
    <x v="13"/>
    <x v="15"/>
    <x v="14"/>
    <x v="15"/>
    <x v="13"/>
    <n v="28"/>
    <x v="10"/>
    <n v="1"/>
    <s v="A"/>
    <x v="7"/>
    <x v="7"/>
    <x v="7"/>
    <x v="7"/>
    <x v="10"/>
    <n v="6.32"/>
    <n v="0"/>
    <x v="11"/>
    <n v="0"/>
    <x v="1"/>
    <n v="2"/>
    <s v="both"/>
    <n v="0"/>
    <n v="0"/>
    <n v="0"/>
    <n v="0.6"/>
    <n v="0"/>
    <n v="7.2"/>
    <n v="0"/>
    <n v="7.2"/>
    <x v="5"/>
    <n v="0"/>
    <n v="6"/>
    <n v="94"/>
    <n v="70"/>
    <n v="99"/>
    <n v="36590"/>
    <n v="8"/>
    <n v="0"/>
    <s v="03-05-00"/>
    <n v="30"/>
    <n v="23"/>
    <x v="1"/>
    <x v="1"/>
    <n v="3"/>
    <x v="0"/>
    <n v="2"/>
    <n v="1"/>
    <x v="0"/>
    <s v="Ian Spadin"/>
    <x v="15"/>
    <x v="48"/>
    <x v="4"/>
    <n v="3"/>
    <n v="0"/>
    <n v="0"/>
    <n v="12"/>
    <x v="7"/>
    <x v="0"/>
    <x v="1"/>
    <x v="1"/>
    <x v="1"/>
    <n v="0"/>
    <n v="0"/>
    <n v="2"/>
    <x v="1"/>
    <x v="0"/>
    <x v="1"/>
    <n v="0"/>
    <n v="30"/>
    <n v="0"/>
    <n v="0"/>
    <n v="0"/>
    <n v="0"/>
    <n v="0"/>
    <n v="0"/>
    <n v="0"/>
    <x v="242"/>
  </r>
  <r>
    <x v="12"/>
    <x v="14"/>
    <x v="13"/>
    <x v="14"/>
    <x v="12"/>
    <n v="5"/>
    <x v="9"/>
    <n v="22"/>
    <s v="AKI"/>
    <x v="9"/>
    <x v="9"/>
    <x v="9"/>
    <x v="9"/>
    <x v="2"/>
    <n v="78"/>
    <n v="54"/>
    <x v="12"/>
    <n v="0"/>
    <x v="0"/>
    <n v="0"/>
    <s v="offensive"/>
    <n v="1"/>
    <n v="1"/>
    <n v="0"/>
    <n v="0"/>
    <n v="10"/>
    <n v="30"/>
    <n v="30"/>
    <n v="0"/>
    <x v="10"/>
    <n v="0"/>
    <n v="14"/>
    <n v="266"/>
    <n v="140"/>
    <n v="284"/>
    <n v="36709"/>
    <n v="9"/>
    <n v="0"/>
    <s v="07-02-00"/>
    <n v="2"/>
    <n v="3"/>
    <x v="1"/>
    <x v="1"/>
    <n v="3"/>
    <x v="0"/>
    <n v="2"/>
    <n v="1"/>
    <x v="0"/>
    <s v="Bill Paton"/>
    <x v="14"/>
    <x v="49"/>
    <x v="4"/>
    <n v="3"/>
    <n v="0"/>
    <n v="18"/>
    <n v="0"/>
    <x v="1"/>
    <x v="0"/>
    <x v="1"/>
    <x v="0"/>
    <x v="1"/>
    <n v="12"/>
    <n v="0"/>
    <n v="2"/>
    <x v="0"/>
    <x v="0"/>
    <x v="0"/>
    <n v="0"/>
    <n v="0"/>
    <n v="0"/>
    <n v="0"/>
    <n v="10"/>
    <n v="0"/>
    <n v="3"/>
    <n v="0"/>
    <n v="0"/>
    <x v="243"/>
  </r>
  <r>
    <x v="3"/>
    <x v="5"/>
    <x v="5"/>
    <x v="5"/>
    <x v="3"/>
    <n v="16"/>
    <x v="4"/>
    <n v="25"/>
    <s v="AKI"/>
    <x v="5"/>
    <x v="5"/>
    <x v="5"/>
    <x v="5"/>
    <x v="3"/>
    <n v="58"/>
    <n v="54"/>
    <x v="17"/>
    <n v="0"/>
    <x v="0"/>
    <n v="2"/>
    <s v="offensive"/>
    <n v="1"/>
    <n v="0.33333333333333331"/>
    <n v="0"/>
    <n v="0"/>
    <n v="10"/>
    <n v="21"/>
    <n v="21"/>
    <n v="0"/>
    <x v="1"/>
    <n v="0"/>
    <n v="12"/>
    <n v="142"/>
    <n v="110"/>
    <n v="112"/>
    <n v="36679"/>
    <n v="8"/>
    <n v="0"/>
    <s v="06-02-00"/>
    <n v="8"/>
    <n v="7"/>
    <x v="1"/>
    <x v="1"/>
    <n v="3"/>
    <x v="0"/>
    <n v="2"/>
    <n v="1"/>
    <x v="0"/>
    <s v="Bill Paton"/>
    <x v="5"/>
    <x v="50"/>
    <x v="4"/>
    <n v="3"/>
    <n v="0"/>
    <n v="18"/>
    <n v="0"/>
    <x v="1"/>
    <x v="0"/>
    <x v="1"/>
    <x v="1"/>
    <x v="0"/>
    <n v="3"/>
    <n v="6"/>
    <n v="2"/>
    <x v="1"/>
    <x v="0"/>
    <x v="0"/>
    <n v="0"/>
    <n v="0"/>
    <n v="0"/>
    <n v="0"/>
    <n v="10"/>
    <n v="0"/>
    <n v="4"/>
    <n v="0"/>
    <n v="0"/>
    <x v="244"/>
  </r>
  <r>
    <x v="2"/>
    <x v="25"/>
    <x v="23"/>
    <x v="25"/>
    <x v="2"/>
    <n v="24"/>
    <x v="3"/>
    <n v="10"/>
    <s v="AKI"/>
    <x v="16"/>
    <x v="16"/>
    <x v="16"/>
    <x v="16"/>
    <x v="2"/>
    <n v="6"/>
    <n v="0"/>
    <x v="15"/>
    <n v="0"/>
    <x v="0"/>
    <n v="0"/>
    <s v="both"/>
    <n v="0"/>
    <n v="1"/>
    <n v="0"/>
    <n v="0"/>
    <n v="0"/>
    <n v="2"/>
    <n v="3"/>
    <n v="-1"/>
    <x v="20"/>
    <n v="0"/>
    <n v="6"/>
    <n v="94"/>
    <n v="70"/>
    <n v="182"/>
    <n v="36590"/>
    <n v="8"/>
    <n v="0"/>
    <s v="03-05-00"/>
    <n v="29"/>
    <s v="DNP"/>
    <x v="1"/>
    <x v="1"/>
    <n v="3"/>
    <x v="0"/>
    <n v="2"/>
    <n v="1"/>
    <x v="0"/>
    <s v="Bill Paton"/>
    <x v="25"/>
    <x v="51"/>
    <x v="4"/>
    <n v="3"/>
    <n v="0"/>
    <n v="0"/>
    <n v="0"/>
    <x v="1"/>
    <x v="0"/>
    <x v="1"/>
    <x v="0"/>
    <x v="1"/>
    <n v="3"/>
    <n v="0"/>
    <n v="1"/>
    <x v="0"/>
    <x v="0"/>
    <x v="0"/>
    <n v="17"/>
    <n v="0"/>
    <n v="0"/>
    <n v="0"/>
    <n v="0"/>
    <n v="0"/>
    <n v="0"/>
    <n v="1"/>
    <n v="0"/>
    <x v="245"/>
  </r>
  <r>
    <x v="2"/>
    <x v="20"/>
    <x v="14"/>
    <x v="20"/>
    <x v="13"/>
    <n v="28"/>
    <x v="3"/>
    <n v="25"/>
    <s v="AID"/>
    <x v="1"/>
    <x v="1"/>
    <x v="1"/>
    <x v="1"/>
    <x v="2"/>
    <n v="0"/>
    <n v="0"/>
    <x v="11"/>
    <n v="0"/>
    <x v="0"/>
    <n v="0"/>
    <s v="offensive"/>
    <n v="0"/>
    <n v="0"/>
    <n v="0"/>
    <n v="0"/>
    <n v="10"/>
    <n v="0"/>
    <n v="0"/>
    <n v="0"/>
    <x v="15"/>
    <n v="0"/>
    <n v="10"/>
    <n v="64"/>
    <n v="70"/>
    <n v="87"/>
    <n v="36649"/>
    <n v="8"/>
    <n v="0"/>
    <s v="05-03-00"/>
    <n v="16"/>
    <s v="DNP"/>
    <x v="1"/>
    <x v="1"/>
    <n v="3"/>
    <x v="0"/>
    <n v="2"/>
    <n v="1"/>
    <x v="0"/>
    <s v="Bill Paton"/>
    <x v="20"/>
    <x v="52"/>
    <x v="4"/>
    <n v="3"/>
    <n v="0"/>
    <n v="0"/>
    <n v="4"/>
    <x v="1"/>
    <x v="1"/>
    <x v="1"/>
    <x v="0"/>
    <x v="1"/>
    <n v="0"/>
    <n v="0"/>
    <n v="1"/>
    <x v="0"/>
    <x v="0"/>
    <x v="0"/>
    <n v="9"/>
    <n v="0"/>
    <n v="0"/>
    <n v="0"/>
    <n v="10"/>
    <n v="0"/>
    <n v="6"/>
    <n v="0"/>
    <n v="0"/>
    <x v="246"/>
  </r>
  <r>
    <x v="10"/>
    <x v="12"/>
    <x v="11"/>
    <x v="12"/>
    <x v="10"/>
    <n v="20"/>
    <x v="8"/>
    <n v="25"/>
    <s v="A"/>
    <x v="2"/>
    <x v="2"/>
    <x v="2"/>
    <x v="2"/>
    <x v="9"/>
    <n v="6"/>
    <n v="6"/>
    <x v="11"/>
    <n v="0"/>
    <x v="0"/>
    <n v="0"/>
    <s v="offensive"/>
    <n v="0.33333333333333331"/>
    <n v="0"/>
    <n v="0"/>
    <n v="0"/>
    <n v="10"/>
    <n v="6"/>
    <n v="6"/>
    <n v="0"/>
    <x v="8"/>
    <n v="0"/>
    <n v="12"/>
    <n v="186"/>
    <n v="110"/>
    <n v="231"/>
    <n v="36680"/>
    <n v="9"/>
    <n v="0"/>
    <s v="06-03-00"/>
    <n v="5"/>
    <n v="10"/>
    <x v="1"/>
    <x v="1"/>
    <n v="3"/>
    <x v="0"/>
    <n v="2"/>
    <n v="1"/>
    <x v="0"/>
    <s v="Bill Paton"/>
    <x v="12"/>
    <x v="54"/>
    <x v="4"/>
    <n v="3"/>
    <n v="0"/>
    <n v="6"/>
    <n v="12"/>
    <x v="9"/>
    <x v="1"/>
    <x v="1"/>
    <x v="1"/>
    <x v="1"/>
    <n v="0"/>
    <n v="0"/>
    <n v="1"/>
    <x v="0"/>
    <x v="0"/>
    <x v="0"/>
    <n v="0"/>
    <n v="0"/>
    <n v="0"/>
    <n v="0"/>
    <n v="10"/>
    <n v="0"/>
    <n v="0"/>
    <n v="0"/>
    <n v="0"/>
    <x v="247"/>
  </r>
  <r>
    <x v="2"/>
    <x v="29"/>
    <x v="21"/>
    <x v="28"/>
    <x v="2"/>
    <n v="28"/>
    <x v="3"/>
    <n v="25"/>
    <s v="AKD"/>
    <x v="2"/>
    <x v="2"/>
    <x v="2"/>
    <x v="2"/>
    <x v="2"/>
    <n v="0"/>
    <n v="0"/>
    <x v="11"/>
    <n v="0"/>
    <x v="0"/>
    <n v="0"/>
    <s v="offensive"/>
    <n v="0"/>
    <n v="0"/>
    <n v="0"/>
    <n v="0"/>
    <n v="0"/>
    <n v="0"/>
    <n v="0"/>
    <n v="0"/>
    <x v="24"/>
    <n v="0"/>
    <n v="10"/>
    <n v="78"/>
    <n v="90"/>
    <n v="178"/>
    <n v="36650"/>
    <n v="9"/>
    <n v="0"/>
    <s v="05-04-00"/>
    <n v="14"/>
    <s v="DNP"/>
    <x v="1"/>
    <x v="1"/>
    <n v="3"/>
    <x v="0"/>
    <n v="2"/>
    <n v="1"/>
    <x v="0"/>
    <s v="Bill Paton"/>
    <x v="29"/>
    <x v="54"/>
    <x v="4"/>
    <n v="0"/>
    <n v="0"/>
    <n v="0"/>
    <n v="0"/>
    <x v="4"/>
    <x v="1"/>
    <x v="1"/>
    <x v="0"/>
    <x v="1"/>
    <n v="0"/>
    <n v="0"/>
    <n v="0"/>
    <x v="0"/>
    <x v="0"/>
    <x v="0"/>
    <n v="0"/>
    <n v="0"/>
    <n v="0"/>
    <n v="0"/>
    <n v="0"/>
    <n v="0"/>
    <n v="0"/>
    <n v="0"/>
    <n v="0"/>
    <x v="248"/>
  </r>
  <r>
    <x v="26"/>
    <x v="36"/>
    <x v="21"/>
    <x v="35"/>
    <x v="2"/>
    <n v="28"/>
    <x v="4"/>
    <n v="5"/>
    <s v="AKI"/>
    <x v="15"/>
    <x v="15"/>
    <x v="15"/>
    <x v="15"/>
    <x v="2"/>
    <n v="18.54"/>
    <n v="0"/>
    <x v="11"/>
    <n v="20"/>
    <x v="31"/>
    <n v="-2"/>
    <s v="offensive"/>
    <n v="0"/>
    <n v="0"/>
    <n v="1"/>
    <n v="0.3"/>
    <n v="10"/>
    <n v="1.8"/>
    <n v="0"/>
    <n v="1.8"/>
    <x v="1"/>
    <n v="1"/>
    <n v="12"/>
    <n v="70"/>
    <n v="140"/>
    <n v="170"/>
    <n v="36679"/>
    <n v="8"/>
    <n v="0"/>
    <s v="06-02-00"/>
    <n v="9"/>
    <n v="20"/>
    <x v="1"/>
    <x v="1"/>
    <n v="3"/>
    <x v="0"/>
    <n v="2"/>
    <n v="1"/>
    <x v="0"/>
    <s v="Ian Spadin"/>
    <x v="36"/>
    <x v="23"/>
    <x v="4"/>
    <n v="0"/>
    <n v="0"/>
    <n v="0"/>
    <n v="0"/>
    <x v="0"/>
    <x v="1"/>
    <x v="1"/>
    <x v="1"/>
    <x v="1"/>
    <n v="0"/>
    <n v="0"/>
    <n v="1"/>
    <x v="0"/>
    <x v="1"/>
    <x v="3"/>
    <n v="0"/>
    <n v="15"/>
    <n v="0"/>
    <n v="0"/>
    <n v="10"/>
    <n v="10"/>
    <n v="5"/>
    <n v="0"/>
    <n v="0"/>
    <x v="107"/>
  </r>
  <r>
    <x v="25"/>
    <x v="35"/>
    <x v="27"/>
    <x v="34"/>
    <x v="22"/>
    <n v="23"/>
    <x v="3"/>
    <n v="25"/>
    <s v="AK"/>
    <x v="2"/>
    <x v="2"/>
    <x v="2"/>
    <x v="2"/>
    <x v="2"/>
    <n v="24"/>
    <n v="24"/>
    <x v="11"/>
    <n v="0"/>
    <x v="0"/>
    <n v="0"/>
    <s v="offensive"/>
    <n v="0.66666666666666663"/>
    <n v="0"/>
    <n v="0"/>
    <n v="0"/>
    <n v="0"/>
    <n v="12"/>
    <n v="12"/>
    <n v="0"/>
    <x v="28"/>
    <n v="1"/>
    <n v="12"/>
    <n v="144"/>
    <n v="120"/>
    <n v="169"/>
    <n v="36680"/>
    <n v="9"/>
    <n v="0"/>
    <s v="06-03-00"/>
    <n v="6"/>
    <n v="18"/>
    <x v="1"/>
    <x v="1"/>
    <n v="3"/>
    <x v="0"/>
    <n v="2"/>
    <n v="1"/>
    <x v="0"/>
    <s v="Ian Spadin"/>
    <x v="35"/>
    <x v="24"/>
    <x v="4"/>
    <n v="3"/>
    <n v="0"/>
    <n v="12"/>
    <n v="6"/>
    <x v="1"/>
    <x v="0"/>
    <x v="1"/>
    <x v="0"/>
    <x v="1"/>
    <n v="0"/>
    <n v="0"/>
    <n v="1"/>
    <x v="0"/>
    <x v="0"/>
    <x v="3"/>
    <n v="0"/>
    <n v="0"/>
    <n v="0"/>
    <n v="0"/>
    <n v="0"/>
    <n v="0"/>
    <n v="0"/>
    <n v="0"/>
    <n v="0"/>
    <x v="0"/>
  </r>
  <r>
    <x v="2"/>
    <x v="38"/>
    <x v="14"/>
    <x v="37"/>
    <x v="2"/>
    <n v="17"/>
    <x v="3"/>
    <n v="23"/>
    <s v="AKD"/>
    <x v="13"/>
    <x v="13"/>
    <x v="13"/>
    <x v="13"/>
    <x v="18"/>
    <n v="2.36"/>
    <n v="0"/>
    <x v="11"/>
    <n v="0"/>
    <x v="32"/>
    <n v="2"/>
    <s v="offensive"/>
    <n v="0"/>
    <n v="0"/>
    <n v="0"/>
    <n v="0.3"/>
    <n v="0"/>
    <n v="1.2"/>
    <n v="0"/>
    <n v="1.2"/>
    <x v="29"/>
    <n v="1"/>
    <n v="3"/>
    <n v="74"/>
    <n v="50"/>
    <n v="162"/>
    <n v="36897"/>
    <n v="8"/>
    <n v="0"/>
    <s v="01-06-01"/>
    <n v="39"/>
    <s v="DNP"/>
    <x v="1"/>
    <x v="1"/>
    <n v="3"/>
    <x v="0"/>
    <n v="2"/>
    <n v="1"/>
    <x v="0"/>
    <s v="Ian Spadin"/>
    <x v="38"/>
    <x v="25"/>
    <x v="4"/>
    <n v="0"/>
    <n v="0"/>
    <n v="0"/>
    <n v="0"/>
    <x v="7"/>
    <x v="1"/>
    <x v="1"/>
    <x v="1"/>
    <x v="1"/>
    <n v="0"/>
    <n v="0"/>
    <n v="1"/>
    <x v="1"/>
    <x v="0"/>
    <x v="3"/>
    <n v="0"/>
    <n v="10"/>
    <n v="0"/>
    <n v="0"/>
    <n v="0"/>
    <n v="0"/>
    <n v="0"/>
    <n v="0"/>
    <n v="0"/>
    <x v="108"/>
  </r>
  <r>
    <x v="2"/>
    <x v="33"/>
    <x v="21"/>
    <x v="32"/>
    <x v="2"/>
    <n v="28"/>
    <x v="3"/>
    <n v="14"/>
    <s v="AK"/>
    <x v="2"/>
    <x v="2"/>
    <x v="2"/>
    <x v="2"/>
    <x v="17"/>
    <n v="2"/>
    <n v="0"/>
    <x v="11"/>
    <n v="0"/>
    <x v="0"/>
    <n v="2"/>
    <s v="offensive"/>
    <n v="0"/>
    <n v="0"/>
    <n v="0"/>
    <n v="0"/>
    <n v="0"/>
    <n v="0"/>
    <n v="0"/>
    <n v="0"/>
    <x v="1"/>
    <n v="0"/>
    <n v="6"/>
    <n v="84"/>
    <n v="90"/>
    <n v="144"/>
    <n v="36591"/>
    <n v="9"/>
    <n v="0"/>
    <s v="03-06-00"/>
    <n v="31"/>
    <s v="DNP"/>
    <x v="1"/>
    <x v="1"/>
    <n v="3"/>
    <x v="0"/>
    <n v="2"/>
    <n v="1"/>
    <x v="0"/>
    <s v="Ian Spadin"/>
    <x v="33"/>
    <x v="26"/>
    <x v="4"/>
    <n v="0"/>
    <n v="0"/>
    <n v="0"/>
    <n v="0"/>
    <x v="7"/>
    <x v="1"/>
    <x v="1"/>
    <x v="1"/>
    <x v="1"/>
    <n v="0"/>
    <n v="0"/>
    <n v="1"/>
    <x v="1"/>
    <x v="0"/>
    <x v="0"/>
    <n v="0"/>
    <n v="7"/>
    <n v="0"/>
    <n v="0"/>
    <n v="0"/>
    <n v="0"/>
    <n v="0"/>
    <n v="0"/>
    <n v="0"/>
    <x v="109"/>
  </r>
  <r>
    <x v="19"/>
    <x v="26"/>
    <x v="24"/>
    <x v="26"/>
    <x v="19"/>
    <n v="10"/>
    <x v="3"/>
    <n v="16"/>
    <s v="AK"/>
    <x v="17"/>
    <x v="17"/>
    <x v="17"/>
    <x v="17"/>
    <x v="2"/>
    <n v="54.25"/>
    <n v="54"/>
    <x v="18"/>
    <n v="0"/>
    <x v="0"/>
    <n v="-2"/>
    <s v="offensive"/>
    <n v="1"/>
    <n v="0.375"/>
    <n v="0"/>
    <n v="0"/>
    <n v="0"/>
    <n v="21"/>
    <n v="21"/>
    <n v="0"/>
    <x v="21"/>
    <n v="0"/>
    <n v="7"/>
    <n v="128"/>
    <n v="40"/>
    <n v="148"/>
    <n v="36954"/>
    <n v="8"/>
    <n v="0"/>
    <s v="03-04-01"/>
    <n v="26"/>
    <n v="6"/>
    <x v="1"/>
    <x v="1"/>
    <n v="3"/>
    <x v="0"/>
    <n v="2"/>
    <n v="1"/>
    <x v="0"/>
    <s v="Ian Spadin"/>
    <x v="26"/>
    <x v="27"/>
    <x v="4"/>
    <n v="3"/>
    <n v="0"/>
    <n v="18"/>
    <n v="0"/>
    <x v="0"/>
    <x v="0"/>
    <x v="1"/>
    <x v="0"/>
    <x v="1"/>
    <n v="3"/>
    <n v="5"/>
    <n v="2"/>
    <x v="0"/>
    <x v="0"/>
    <x v="3"/>
    <n v="0"/>
    <n v="0"/>
    <n v="0"/>
    <n v="0"/>
    <n v="0"/>
    <n v="0"/>
    <n v="0"/>
    <n v="0"/>
    <n v="0"/>
    <x v="110"/>
  </r>
  <r>
    <x v="3"/>
    <x v="5"/>
    <x v="5"/>
    <x v="5"/>
    <x v="3"/>
    <n v="16"/>
    <x v="4"/>
    <n v="25"/>
    <s v="AKI"/>
    <x v="5"/>
    <x v="5"/>
    <x v="5"/>
    <x v="5"/>
    <x v="3"/>
    <n v="28.75"/>
    <n v="0"/>
    <x v="34"/>
    <n v="20"/>
    <x v="0"/>
    <n v="2"/>
    <s v="offensive"/>
    <n v="0"/>
    <n v="0.375"/>
    <n v="1"/>
    <n v="0"/>
    <n v="10"/>
    <n v="9"/>
    <n v="9"/>
    <n v="0"/>
    <x v="1"/>
    <n v="0"/>
    <n v="12"/>
    <n v="142"/>
    <n v="110"/>
    <n v="112"/>
    <n v="36679"/>
    <n v="8"/>
    <n v="0"/>
    <s v="06-02-00"/>
    <n v="8"/>
    <n v="7"/>
    <x v="1"/>
    <x v="1"/>
    <n v="3"/>
    <x v="0"/>
    <n v="2"/>
    <n v="1"/>
    <x v="0"/>
    <s v="Ian Spadin"/>
    <x v="5"/>
    <x v="28"/>
    <x v="4"/>
    <n v="3"/>
    <n v="0"/>
    <n v="0"/>
    <n v="18"/>
    <x v="13"/>
    <x v="0"/>
    <x v="1"/>
    <x v="1"/>
    <x v="0"/>
    <n v="9"/>
    <n v="15"/>
    <n v="2"/>
    <x v="1"/>
    <x v="0"/>
    <x v="0"/>
    <n v="0"/>
    <n v="0"/>
    <n v="0"/>
    <n v="0"/>
    <n v="10"/>
    <n v="10"/>
    <n v="1"/>
    <n v="0"/>
    <n v="0"/>
    <x v="111"/>
  </r>
  <r>
    <x v="1"/>
    <x v="1"/>
    <x v="1"/>
    <x v="1"/>
    <x v="1"/>
    <n v="8"/>
    <x v="1"/>
    <n v="13"/>
    <s v="AKI"/>
    <x v="1"/>
    <x v="1"/>
    <x v="1"/>
    <x v="1"/>
    <x v="1"/>
    <n v="20.18"/>
    <n v="0"/>
    <x v="11"/>
    <n v="20"/>
    <x v="25"/>
    <n v="0"/>
    <s v="offensive"/>
    <n v="0"/>
    <n v="0"/>
    <n v="1"/>
    <n v="0.3"/>
    <n v="10"/>
    <n v="0.6"/>
    <n v="0"/>
    <n v="0.6"/>
    <x v="0"/>
    <n v="0"/>
    <n v="5"/>
    <n v="118"/>
    <n v="120"/>
    <n v="179"/>
    <n v="36927"/>
    <n v="8"/>
    <n v="0"/>
    <s v="02-05-01"/>
    <n v="34"/>
    <n v="12"/>
    <x v="1"/>
    <x v="1"/>
    <n v="3"/>
    <x v="0"/>
    <n v="2"/>
    <n v="1"/>
    <x v="0"/>
    <s v="Ian Spadin"/>
    <x v="1"/>
    <x v="29"/>
    <x v="4"/>
    <n v="0"/>
    <n v="0"/>
    <n v="0"/>
    <n v="0"/>
    <x v="6"/>
    <x v="1"/>
    <x v="1"/>
    <x v="1"/>
    <x v="1"/>
    <n v="0"/>
    <n v="0"/>
    <n v="1"/>
    <x v="0"/>
    <x v="0"/>
    <x v="3"/>
    <n v="0"/>
    <n v="5"/>
    <n v="0"/>
    <n v="0"/>
    <n v="10"/>
    <n v="10"/>
    <n v="3"/>
    <n v="0"/>
    <n v="0"/>
    <x v="112"/>
  </r>
  <r>
    <x v="15"/>
    <x v="19"/>
    <x v="18"/>
    <x v="19"/>
    <x v="15"/>
    <n v="11"/>
    <x v="2"/>
    <n v="25"/>
    <s v="AKI"/>
    <x v="14"/>
    <x v="14"/>
    <x v="14"/>
    <x v="14"/>
    <x v="1"/>
    <n v="0"/>
    <n v="0"/>
    <x v="11"/>
    <n v="0"/>
    <x v="0"/>
    <n v="0"/>
    <s v="offensive"/>
    <n v="0"/>
    <n v="0"/>
    <n v="0"/>
    <n v="0"/>
    <n v="0"/>
    <n v="0"/>
    <n v="0"/>
    <n v="0"/>
    <x v="14"/>
    <n v="0"/>
    <n v="4"/>
    <n v="94"/>
    <n v="70"/>
    <n v="162"/>
    <n v="36562"/>
    <n v="8"/>
    <n v="0"/>
    <s v="02-06-00"/>
    <n v="36"/>
    <n v="13"/>
    <x v="1"/>
    <x v="1"/>
    <n v="3"/>
    <x v="0"/>
    <n v="2"/>
    <n v="1"/>
    <x v="0"/>
    <s v="Chris Yarnot"/>
    <x v="19"/>
    <x v="30"/>
    <x v="4"/>
    <n v="2"/>
    <n v="0"/>
    <n v="0"/>
    <n v="8"/>
    <x v="9"/>
    <x v="1"/>
    <x v="1"/>
    <x v="0"/>
    <x v="1"/>
    <n v="0"/>
    <n v="0"/>
    <n v="0"/>
    <x v="0"/>
    <x v="0"/>
    <x v="0"/>
    <n v="0"/>
    <n v="0"/>
    <n v="0"/>
    <n v="0"/>
    <n v="0"/>
    <n v="0"/>
    <n v="0"/>
    <n v="0"/>
    <n v="0"/>
    <x v="113"/>
  </r>
  <r>
    <x v="2"/>
    <x v="4"/>
    <x v="4"/>
    <x v="4"/>
    <x v="2"/>
    <n v="25"/>
    <x v="3"/>
    <n v="4"/>
    <s v="AK"/>
    <x v="4"/>
    <x v="4"/>
    <x v="4"/>
    <x v="4"/>
    <x v="2"/>
    <n v="17.28"/>
    <n v="0"/>
    <x v="11"/>
    <n v="0"/>
    <x v="33"/>
    <n v="0"/>
    <s v="defensive"/>
    <n v="0"/>
    <n v="0"/>
    <n v="0"/>
    <n v="0.6"/>
    <n v="0"/>
    <n v="28.8"/>
    <n v="0"/>
    <n v="28.8"/>
    <x v="3"/>
    <n v="0"/>
    <n v="8"/>
    <n v="106"/>
    <n v="120"/>
    <n v="156"/>
    <n v="36621"/>
    <n v="9"/>
    <n v="0"/>
    <s v="04-05-00"/>
    <n v="19"/>
    <s v="DNP"/>
    <x v="1"/>
    <x v="1"/>
    <n v="3"/>
    <x v="0"/>
    <n v="2"/>
    <n v="1"/>
    <x v="0"/>
    <s v="Chris Yarnot"/>
    <x v="4"/>
    <x v="9"/>
    <x v="4"/>
    <n v="2"/>
    <n v="0"/>
    <n v="0"/>
    <n v="0"/>
    <x v="5"/>
    <x v="1"/>
    <x v="1"/>
    <x v="1"/>
    <x v="1"/>
    <n v="0"/>
    <n v="0"/>
    <n v="0"/>
    <x v="0"/>
    <x v="2"/>
    <x v="1"/>
    <n v="0"/>
    <n v="120"/>
    <n v="0"/>
    <n v="0"/>
    <n v="0"/>
    <n v="0"/>
    <n v="0"/>
    <n v="0"/>
    <n v="0"/>
    <x v="114"/>
  </r>
  <r>
    <x v="2"/>
    <x v="29"/>
    <x v="21"/>
    <x v="28"/>
    <x v="2"/>
    <n v="28"/>
    <x v="3"/>
    <n v="25"/>
    <s v="AKD"/>
    <x v="2"/>
    <x v="2"/>
    <x v="2"/>
    <x v="2"/>
    <x v="2"/>
    <n v="0"/>
    <n v="0"/>
    <x v="11"/>
    <n v="0"/>
    <x v="0"/>
    <n v="0"/>
    <s v="offensive"/>
    <n v="0"/>
    <n v="0"/>
    <n v="0"/>
    <n v="0"/>
    <n v="0"/>
    <n v="0"/>
    <n v="0"/>
    <n v="0"/>
    <x v="24"/>
    <n v="0"/>
    <n v="10"/>
    <n v="78"/>
    <n v="90"/>
    <n v="178"/>
    <n v="36650"/>
    <n v="9"/>
    <n v="0"/>
    <s v="05-04-00"/>
    <n v="14"/>
    <s v="DNP"/>
    <x v="1"/>
    <x v="1"/>
    <n v="3"/>
    <x v="0"/>
    <n v="2"/>
    <n v="1"/>
    <x v="0"/>
    <s v="Chris Yarnot"/>
    <x v="29"/>
    <x v="31"/>
    <x v="4"/>
    <n v="0"/>
    <n v="0"/>
    <n v="0"/>
    <n v="0"/>
    <x v="9"/>
    <x v="1"/>
    <x v="1"/>
    <x v="1"/>
    <x v="1"/>
    <n v="0"/>
    <n v="0"/>
    <n v="0"/>
    <x v="0"/>
    <x v="0"/>
    <x v="0"/>
    <n v="0"/>
    <n v="0"/>
    <n v="0"/>
    <n v="0"/>
    <n v="0"/>
    <n v="0"/>
    <n v="0"/>
    <n v="0"/>
    <n v="0"/>
    <x v="115"/>
  </r>
  <r>
    <x v="2"/>
    <x v="37"/>
    <x v="21"/>
    <x v="36"/>
    <x v="2"/>
    <n v="28"/>
    <x v="3"/>
    <n v="6"/>
    <s v="AK"/>
    <x v="21"/>
    <x v="21"/>
    <x v="21"/>
    <x v="21"/>
    <x v="2"/>
    <n v="2.6279999999999992"/>
    <n v="0"/>
    <x v="11"/>
    <n v="0"/>
    <x v="34"/>
    <n v="0"/>
    <s v="defensive"/>
    <n v="0"/>
    <n v="0"/>
    <n v="0"/>
    <n v="0.3"/>
    <n v="0"/>
    <n v="8.759999999999998"/>
    <n v="0"/>
    <n v="8.759999999999998"/>
    <x v="24"/>
    <n v="1"/>
    <n v="8"/>
    <n v="82"/>
    <n v="80"/>
    <n v="145"/>
    <n v="36620"/>
    <n v="8"/>
    <n v="0"/>
    <s v="04-04-00"/>
    <n v="23"/>
    <s v="DNP"/>
    <x v="1"/>
    <x v="1"/>
    <n v="3"/>
    <x v="0"/>
    <n v="2"/>
    <n v="1"/>
    <x v="0"/>
    <s v="Chris Yarnot"/>
    <x v="37"/>
    <x v="32"/>
    <x v="4"/>
    <n v="0"/>
    <n v="0"/>
    <n v="0"/>
    <n v="0"/>
    <x v="9"/>
    <x v="1"/>
    <x v="1"/>
    <x v="1"/>
    <x v="1"/>
    <n v="0"/>
    <n v="0"/>
    <n v="1"/>
    <x v="0"/>
    <x v="1"/>
    <x v="3"/>
    <n v="0"/>
    <n v="73"/>
    <n v="0"/>
    <n v="0"/>
    <n v="0"/>
    <n v="0"/>
    <n v="0"/>
    <n v="0"/>
    <n v="0"/>
    <x v="116"/>
  </r>
  <r>
    <x v="3"/>
    <x v="5"/>
    <x v="5"/>
    <x v="5"/>
    <x v="3"/>
    <n v="16"/>
    <x v="4"/>
    <n v="25"/>
    <s v="AKI"/>
    <x v="5"/>
    <x v="5"/>
    <x v="5"/>
    <x v="5"/>
    <x v="3"/>
    <n v="74"/>
    <n v="54"/>
    <x v="17"/>
    <n v="20"/>
    <x v="0"/>
    <n v="-2"/>
    <s v="offensive"/>
    <n v="1"/>
    <n v="0.33333333333333331"/>
    <n v="1"/>
    <n v="0"/>
    <n v="10"/>
    <n v="21"/>
    <n v="21"/>
    <n v="0"/>
    <x v="1"/>
    <n v="0"/>
    <n v="12"/>
    <n v="142"/>
    <n v="110"/>
    <n v="112"/>
    <n v="36679"/>
    <n v="8"/>
    <n v="0"/>
    <s v="06-02-00"/>
    <n v="8"/>
    <n v="7"/>
    <x v="1"/>
    <x v="1"/>
    <n v="3"/>
    <x v="0"/>
    <n v="2"/>
    <n v="1"/>
    <x v="0"/>
    <s v="Chris Yarnot"/>
    <x v="5"/>
    <x v="33"/>
    <x v="4"/>
    <n v="3"/>
    <n v="0"/>
    <n v="18"/>
    <n v="0"/>
    <x v="0"/>
    <x v="0"/>
    <x v="1"/>
    <x v="1"/>
    <x v="0"/>
    <n v="3"/>
    <n v="6"/>
    <n v="2"/>
    <x v="0"/>
    <x v="0"/>
    <x v="0"/>
    <n v="0"/>
    <n v="0"/>
    <n v="0"/>
    <n v="0"/>
    <n v="10"/>
    <n v="10"/>
    <n v="15"/>
    <n v="0"/>
    <n v="0"/>
    <x v="117"/>
  </r>
  <r>
    <x v="2"/>
    <x v="29"/>
    <x v="21"/>
    <x v="28"/>
    <x v="2"/>
    <n v="28"/>
    <x v="3"/>
    <n v="25"/>
    <s v="AKD"/>
    <x v="2"/>
    <x v="2"/>
    <x v="2"/>
    <x v="2"/>
    <x v="2"/>
    <n v="0"/>
    <n v="0"/>
    <x v="11"/>
    <n v="0"/>
    <x v="0"/>
    <n v="0"/>
    <s v="offensive"/>
    <n v="0"/>
    <n v="0"/>
    <n v="0"/>
    <n v="0"/>
    <n v="0"/>
    <n v="0"/>
    <n v="0"/>
    <n v="0"/>
    <x v="24"/>
    <n v="0"/>
    <n v="10"/>
    <n v="78"/>
    <n v="90"/>
    <n v="178"/>
    <n v="36650"/>
    <n v="9"/>
    <n v="0"/>
    <s v="05-04-00"/>
    <n v="14"/>
    <s v="DNP"/>
    <x v="1"/>
    <x v="1"/>
    <n v="3"/>
    <x v="0"/>
    <n v="2"/>
    <n v="1"/>
    <x v="0"/>
    <s v="Chris Yarnot"/>
    <x v="29"/>
    <x v="34"/>
    <x v="4"/>
    <n v="0"/>
    <n v="0"/>
    <n v="0"/>
    <n v="0"/>
    <x v="1"/>
    <x v="1"/>
    <x v="1"/>
    <x v="1"/>
    <x v="1"/>
    <n v="0"/>
    <n v="0"/>
    <n v="0"/>
    <x v="0"/>
    <x v="0"/>
    <x v="0"/>
    <n v="0"/>
    <n v="0"/>
    <n v="0"/>
    <n v="0"/>
    <n v="0"/>
    <n v="0"/>
    <n v="0"/>
    <n v="0"/>
    <n v="0"/>
    <x v="51"/>
  </r>
  <r>
    <x v="2"/>
    <x v="18"/>
    <x v="17"/>
    <x v="18"/>
    <x v="2"/>
    <n v="15"/>
    <x v="12"/>
    <n v="25"/>
    <s v="AI"/>
    <x v="13"/>
    <x v="13"/>
    <x v="13"/>
    <x v="13"/>
    <x v="2"/>
    <n v="6"/>
    <n v="0"/>
    <x v="15"/>
    <n v="0"/>
    <x v="0"/>
    <n v="0"/>
    <s v="offensive"/>
    <n v="0"/>
    <n v="1"/>
    <n v="1"/>
    <n v="0"/>
    <n v="10"/>
    <n v="3"/>
    <n v="3"/>
    <n v="0"/>
    <x v="13"/>
    <n v="0"/>
    <n v="2"/>
    <n v="88"/>
    <n v="90"/>
    <n v="162"/>
    <n v="36533"/>
    <n v="9"/>
    <n v="0"/>
    <s v="01-08-00"/>
    <n v="40"/>
    <s v="DNP"/>
    <x v="1"/>
    <x v="1"/>
    <n v="3"/>
    <x v="0"/>
    <n v="2"/>
    <n v="1"/>
    <x v="0"/>
    <s v="Jacey"/>
    <x v="18"/>
    <x v="35"/>
    <x v="4"/>
    <n v="3"/>
    <n v="0"/>
    <n v="0"/>
    <n v="0"/>
    <x v="7"/>
    <x v="0"/>
    <x v="1"/>
    <x v="0"/>
    <x v="1"/>
    <n v="3"/>
    <n v="0"/>
    <n v="0"/>
    <x v="0"/>
    <x v="0"/>
    <x v="0"/>
    <n v="0"/>
    <n v="0"/>
    <n v="0"/>
    <n v="0"/>
    <n v="0"/>
    <n v="10"/>
    <n v="20"/>
    <n v="0"/>
    <n v="0"/>
    <x v="118"/>
  </r>
  <r>
    <x v="4"/>
    <x v="6"/>
    <x v="6"/>
    <x v="6"/>
    <x v="4"/>
    <n v="13"/>
    <x v="5"/>
    <n v="24"/>
    <s v="AI"/>
    <x v="6"/>
    <x v="6"/>
    <x v="6"/>
    <x v="6"/>
    <x v="4"/>
    <n v="22"/>
    <n v="0"/>
    <x v="11"/>
    <n v="20"/>
    <x v="0"/>
    <n v="2"/>
    <s v="offensive"/>
    <n v="0"/>
    <n v="0"/>
    <n v="1"/>
    <n v="0"/>
    <n v="10"/>
    <n v="0"/>
    <n v="0"/>
    <n v="0"/>
    <x v="4"/>
    <n v="0"/>
    <n v="4"/>
    <n v="112"/>
    <n v="90"/>
    <n v="106"/>
    <n v="36562"/>
    <n v="8"/>
    <n v="0"/>
    <s v="02-06-00"/>
    <n v="35"/>
    <n v="15"/>
    <x v="1"/>
    <x v="1"/>
    <n v="3"/>
    <x v="0"/>
    <n v="2"/>
    <n v="1"/>
    <x v="0"/>
    <s v="Jacey"/>
    <x v="6"/>
    <x v="36"/>
    <x v="4"/>
    <n v="3"/>
    <n v="0"/>
    <n v="0"/>
    <n v="6"/>
    <x v="7"/>
    <x v="0"/>
    <x v="1"/>
    <x v="0"/>
    <x v="1"/>
    <n v="0"/>
    <n v="7"/>
    <n v="3"/>
    <x v="0"/>
    <x v="0"/>
    <x v="0"/>
    <n v="0"/>
    <n v="0"/>
    <n v="0"/>
    <n v="0"/>
    <n v="10"/>
    <n v="10"/>
    <n v="24"/>
    <n v="0"/>
    <n v="0"/>
    <x v="119"/>
  </r>
  <r>
    <x v="2"/>
    <x v="23"/>
    <x v="21"/>
    <x v="23"/>
    <x v="2"/>
    <n v="28"/>
    <x v="3"/>
    <n v="20"/>
    <s v="AI"/>
    <x v="2"/>
    <x v="2"/>
    <x v="2"/>
    <x v="2"/>
    <x v="2"/>
    <n v="0"/>
    <n v="0"/>
    <x v="11"/>
    <n v="0"/>
    <x v="0"/>
    <n v="0"/>
    <s v="offensive"/>
    <n v="0"/>
    <n v="0"/>
    <n v="0"/>
    <n v="0"/>
    <n v="0"/>
    <n v="0"/>
    <n v="0"/>
    <n v="0"/>
    <x v="18"/>
    <n v="0"/>
    <n v="3"/>
    <n v="78"/>
    <n v="90"/>
    <n v="101"/>
    <n v="36898"/>
    <n v="9"/>
    <n v="0"/>
    <s v="01-07-01"/>
    <n v="38"/>
    <s v="DNP"/>
    <x v="1"/>
    <x v="1"/>
    <n v="3"/>
    <x v="0"/>
    <n v="2"/>
    <n v="1"/>
    <x v="0"/>
    <s v="Jacey"/>
    <x v="23"/>
    <x v="37"/>
    <x v="4"/>
    <n v="0"/>
    <n v="0"/>
    <n v="0"/>
    <n v="0"/>
    <x v="3"/>
    <x v="1"/>
    <x v="1"/>
    <x v="1"/>
    <x v="1"/>
    <n v="0"/>
    <n v="0"/>
    <n v="0"/>
    <x v="0"/>
    <x v="0"/>
    <x v="0"/>
    <n v="0"/>
    <n v="0"/>
    <n v="0"/>
    <n v="0"/>
    <n v="0"/>
    <n v="0"/>
    <n v="0"/>
    <n v="0"/>
    <n v="0"/>
    <x v="120"/>
  </r>
  <r>
    <x v="27"/>
    <x v="39"/>
    <x v="28"/>
    <x v="38"/>
    <x v="23"/>
    <n v="2"/>
    <x v="10"/>
    <n v="15"/>
    <s v="AK"/>
    <x v="2"/>
    <x v="2"/>
    <x v="2"/>
    <x v="2"/>
    <x v="19"/>
    <n v="134"/>
    <n v="54"/>
    <x v="42"/>
    <n v="0"/>
    <x v="0"/>
    <n v="2"/>
    <s v="offensive"/>
    <n v="1"/>
    <n v="1"/>
    <n v="1"/>
    <n v="0"/>
    <n v="10"/>
    <n v="57"/>
    <n v="57"/>
    <n v="0"/>
    <x v="30"/>
    <n v="0"/>
    <n v="18"/>
    <n v="240"/>
    <n v="140"/>
    <n v="461"/>
    <s v="9-0-0"/>
    <n v="9"/>
    <n v="0"/>
    <s v="9-0-0"/>
    <n v="1"/>
    <n v="1"/>
    <x v="1"/>
    <x v="1"/>
    <n v="3"/>
    <x v="0"/>
    <n v="2"/>
    <n v="1"/>
    <x v="0"/>
    <s v="Jacey"/>
    <x v="39"/>
    <x v="38"/>
    <x v="4"/>
    <n v="3"/>
    <n v="0"/>
    <n v="18"/>
    <n v="0"/>
    <x v="0"/>
    <x v="0"/>
    <x v="1"/>
    <x v="0"/>
    <x v="1"/>
    <n v="39"/>
    <n v="0"/>
    <n v="3"/>
    <x v="1"/>
    <x v="0"/>
    <x v="0"/>
    <n v="0"/>
    <n v="0"/>
    <n v="0"/>
    <n v="0"/>
    <n v="0"/>
    <n v="10"/>
    <n v="12"/>
    <n v="0"/>
    <n v="0"/>
    <x v="121"/>
  </r>
  <r>
    <x v="12"/>
    <x v="14"/>
    <x v="13"/>
    <x v="14"/>
    <x v="12"/>
    <n v="5"/>
    <x v="9"/>
    <n v="22"/>
    <s v="AKI"/>
    <x v="9"/>
    <x v="9"/>
    <x v="9"/>
    <x v="9"/>
    <x v="2"/>
    <n v="110.75"/>
    <n v="72"/>
    <x v="43"/>
    <n v="20"/>
    <x v="0"/>
    <n v="0"/>
    <s v="offensive"/>
    <n v="1"/>
    <n v="0.625"/>
    <n v="1"/>
    <n v="0"/>
    <n v="10"/>
    <n v="39"/>
    <n v="39"/>
    <n v="0"/>
    <x v="10"/>
    <n v="0"/>
    <n v="14"/>
    <n v="266"/>
    <n v="140"/>
    <n v="284"/>
    <n v="36709"/>
    <n v="9"/>
    <n v="0"/>
    <s v="07-02-00"/>
    <n v="2"/>
    <n v="3"/>
    <x v="1"/>
    <x v="1"/>
    <n v="3"/>
    <x v="0"/>
    <n v="2"/>
    <n v="1"/>
    <x v="0"/>
    <s v="Jacey"/>
    <x v="14"/>
    <x v="39"/>
    <x v="4"/>
    <n v="3"/>
    <n v="0"/>
    <n v="24"/>
    <n v="0"/>
    <x v="9"/>
    <x v="0"/>
    <x v="1"/>
    <x v="0"/>
    <x v="1"/>
    <n v="15"/>
    <n v="9"/>
    <n v="2"/>
    <x v="0"/>
    <x v="0"/>
    <x v="0"/>
    <n v="0"/>
    <n v="0"/>
    <n v="0"/>
    <n v="0"/>
    <n v="10"/>
    <n v="10"/>
    <n v="9"/>
    <n v="0"/>
    <n v="0"/>
    <x v="122"/>
  </r>
  <r>
    <x v="0"/>
    <x v="0"/>
    <x v="0"/>
    <x v="0"/>
    <x v="0"/>
    <n v="4"/>
    <x v="0"/>
    <n v="25"/>
    <s v="AKI"/>
    <x v="0"/>
    <x v="0"/>
    <x v="0"/>
    <x v="0"/>
    <x v="0"/>
    <n v="136"/>
    <n v="72"/>
    <x v="14"/>
    <n v="20"/>
    <x v="0"/>
    <n v="2"/>
    <s v="offensive"/>
    <n v="1"/>
    <n v="1"/>
    <n v="1"/>
    <n v="0"/>
    <n v="10"/>
    <n v="45"/>
    <n v="45"/>
    <n v="0"/>
    <x v="0"/>
    <n v="0"/>
    <n v="10"/>
    <n v="178"/>
    <n v="80"/>
    <n v="213"/>
    <n v="36649"/>
    <n v="8"/>
    <n v="0"/>
    <s v="05-03-00"/>
    <n v="11"/>
    <n v="6.5"/>
    <x v="0"/>
    <x v="0"/>
    <n v="3"/>
    <x v="0"/>
    <n v="2"/>
    <n v="1"/>
    <x v="0"/>
    <s v="Jacey"/>
    <x v="0"/>
    <x v="40"/>
    <x v="4"/>
    <n v="4"/>
    <n v="0"/>
    <n v="24"/>
    <n v="0"/>
    <x v="0"/>
    <x v="1"/>
    <x v="1"/>
    <x v="1"/>
    <x v="1"/>
    <n v="21"/>
    <n v="0"/>
    <n v="3"/>
    <x v="1"/>
    <x v="0"/>
    <x v="0"/>
    <n v="0"/>
    <n v="0"/>
    <n v="0"/>
    <n v="0"/>
    <n v="10"/>
    <n v="10"/>
    <n v="0"/>
    <n v="0"/>
    <n v="0"/>
    <x v="123"/>
  </r>
  <r>
    <x v="21"/>
    <x v="28"/>
    <x v="21"/>
    <x v="19"/>
    <x v="2"/>
    <n v="28"/>
    <x v="3"/>
    <n v="2"/>
    <s v="A"/>
    <x v="2"/>
    <x v="2"/>
    <x v="2"/>
    <x v="2"/>
    <x v="2"/>
    <n v="0"/>
    <n v="0"/>
    <x v="11"/>
    <n v="0"/>
    <x v="0"/>
    <n v="0"/>
    <s v="offensive"/>
    <n v="0"/>
    <n v="0"/>
    <n v="0"/>
    <n v="0"/>
    <n v="0"/>
    <n v="0"/>
    <n v="0"/>
    <n v="0"/>
    <x v="23"/>
    <n v="0"/>
    <n v="8"/>
    <n v="58"/>
    <n v="30"/>
    <n v="138"/>
    <n v="36620"/>
    <n v="8"/>
    <n v="0"/>
    <s v="04-04-00"/>
    <n v="24"/>
    <n v="24"/>
    <x v="1"/>
    <x v="1"/>
    <n v="3"/>
    <x v="0"/>
    <n v="2"/>
    <n v="1"/>
    <x v="0"/>
    <s v="Jacey"/>
    <x v="28"/>
    <x v="41"/>
    <x v="4"/>
    <n v="3"/>
    <n v="0"/>
    <n v="0"/>
    <n v="0"/>
    <x v="1"/>
    <x v="1"/>
    <x v="1"/>
    <x v="1"/>
    <x v="1"/>
    <n v="0"/>
    <n v="0"/>
    <n v="0"/>
    <x v="0"/>
    <x v="0"/>
    <x v="1"/>
    <n v="0"/>
    <n v="0"/>
    <n v="0"/>
    <n v="0"/>
    <n v="0"/>
    <n v="0"/>
    <n v="0"/>
    <n v="0"/>
    <n v="0"/>
    <x v="124"/>
  </r>
  <r>
    <x v="26"/>
    <x v="36"/>
    <x v="21"/>
    <x v="35"/>
    <x v="2"/>
    <n v="28"/>
    <x v="4"/>
    <n v="5"/>
    <s v="AKI"/>
    <x v="15"/>
    <x v="15"/>
    <x v="15"/>
    <x v="15"/>
    <x v="2"/>
    <n v="41.394929577464794"/>
    <n v="0"/>
    <x v="11"/>
    <n v="20"/>
    <x v="35"/>
    <n v="0"/>
    <s v="defensive"/>
    <n v="0"/>
    <n v="0"/>
    <n v="1"/>
    <n v="0.56901408450704227"/>
    <n v="10"/>
    <n v="37.6"/>
    <n v="0"/>
    <n v="37.6"/>
    <x v="1"/>
    <n v="1"/>
    <n v="12"/>
    <n v="70"/>
    <n v="140"/>
    <n v="170"/>
    <n v="36679"/>
    <n v="8"/>
    <n v="0"/>
    <s v="06-02-00"/>
    <n v="9"/>
    <n v="20"/>
    <x v="1"/>
    <x v="1"/>
    <n v="3"/>
    <x v="0"/>
    <n v="2"/>
    <n v="1"/>
    <x v="0"/>
    <s v="Nikhil"/>
    <x v="36"/>
    <x v="42"/>
    <x v="4"/>
    <n v="3"/>
    <n v="0"/>
    <n v="0"/>
    <n v="0"/>
    <x v="3"/>
    <x v="1"/>
    <x v="1"/>
    <x v="1"/>
    <x v="1"/>
    <n v="0"/>
    <n v="0"/>
    <n v="2"/>
    <x v="0"/>
    <x v="2"/>
    <x v="1"/>
    <n v="22"/>
    <n v="120"/>
    <n v="0"/>
    <n v="0"/>
    <n v="10"/>
    <n v="10"/>
    <n v="9"/>
    <n v="0"/>
    <n v="0"/>
    <x v="125"/>
  </r>
  <r>
    <x v="15"/>
    <x v="19"/>
    <x v="18"/>
    <x v="19"/>
    <x v="15"/>
    <n v="11"/>
    <x v="2"/>
    <n v="25"/>
    <s v="AKI"/>
    <x v="14"/>
    <x v="14"/>
    <x v="14"/>
    <x v="14"/>
    <x v="1"/>
    <n v="60"/>
    <n v="54"/>
    <x v="15"/>
    <n v="0"/>
    <x v="0"/>
    <n v="0"/>
    <s v="offensive"/>
    <n v="1"/>
    <n v="0.5"/>
    <n v="1"/>
    <n v="0"/>
    <n v="10"/>
    <n v="23"/>
    <n v="24"/>
    <n v="-1"/>
    <x v="14"/>
    <n v="0"/>
    <n v="4"/>
    <n v="94"/>
    <n v="70"/>
    <n v="162"/>
    <n v="36562"/>
    <n v="8"/>
    <n v="0"/>
    <s v="02-06-00"/>
    <n v="36"/>
    <n v="13"/>
    <x v="1"/>
    <x v="1"/>
    <n v="3"/>
    <x v="0"/>
    <n v="2"/>
    <n v="1"/>
    <x v="0"/>
    <s v="Nikhil"/>
    <x v="19"/>
    <x v="43"/>
    <x v="4"/>
    <n v="3"/>
    <n v="0"/>
    <n v="18"/>
    <n v="0"/>
    <x v="9"/>
    <x v="1"/>
    <x v="1"/>
    <x v="0"/>
    <x v="1"/>
    <n v="6"/>
    <n v="6"/>
    <n v="0"/>
    <x v="0"/>
    <x v="0"/>
    <x v="0"/>
    <n v="0"/>
    <n v="0"/>
    <n v="0"/>
    <n v="0"/>
    <n v="0"/>
    <n v="10"/>
    <n v="0"/>
    <n v="1"/>
    <n v="0"/>
    <x v="126"/>
  </r>
  <r>
    <x v="2"/>
    <x v="25"/>
    <x v="23"/>
    <x v="25"/>
    <x v="2"/>
    <n v="24"/>
    <x v="3"/>
    <n v="10"/>
    <s v="AKI"/>
    <x v="16"/>
    <x v="16"/>
    <x v="16"/>
    <x v="16"/>
    <x v="2"/>
    <n v="2.8960893854748604"/>
    <n v="0"/>
    <x v="11"/>
    <n v="0"/>
    <x v="36"/>
    <n v="0"/>
    <s v="defensive"/>
    <n v="0"/>
    <n v="0"/>
    <n v="0"/>
    <n v="0.2011173184357542"/>
    <n v="0"/>
    <n v="14.4"/>
    <n v="0"/>
    <n v="14.4"/>
    <x v="20"/>
    <n v="0"/>
    <n v="6"/>
    <n v="94"/>
    <n v="70"/>
    <n v="182"/>
    <n v="36590"/>
    <n v="8"/>
    <n v="0"/>
    <s v="03-05-00"/>
    <n v="29"/>
    <s v="DNP"/>
    <x v="1"/>
    <x v="1"/>
    <n v="3"/>
    <x v="0"/>
    <n v="2"/>
    <n v="1"/>
    <x v="0"/>
    <s v="Nikhil"/>
    <x v="25"/>
    <x v="44"/>
    <x v="4"/>
    <n v="3"/>
    <n v="0"/>
    <n v="0"/>
    <n v="0"/>
    <x v="3"/>
    <x v="1"/>
    <x v="1"/>
    <x v="0"/>
    <x v="1"/>
    <n v="0"/>
    <n v="0"/>
    <n v="1"/>
    <x v="0"/>
    <x v="0"/>
    <x v="3"/>
    <n v="59"/>
    <n v="120"/>
    <n v="0"/>
    <n v="0"/>
    <n v="0"/>
    <n v="0"/>
    <n v="0"/>
    <n v="0"/>
    <n v="0"/>
    <x v="127"/>
  </r>
  <r>
    <x v="20"/>
    <x v="27"/>
    <x v="25"/>
    <x v="27"/>
    <x v="20"/>
    <n v="28"/>
    <x v="14"/>
    <n v="25"/>
    <s v="AK"/>
    <x v="10"/>
    <x v="10"/>
    <x v="10"/>
    <x v="10"/>
    <x v="14"/>
    <n v="62"/>
    <n v="0"/>
    <x v="11"/>
    <n v="60"/>
    <x v="0"/>
    <n v="2"/>
    <s v="offensive"/>
    <n v="0"/>
    <n v="0"/>
    <n v="1"/>
    <n v="0"/>
    <n v="30"/>
    <n v="0"/>
    <n v="0"/>
    <n v="0"/>
    <x v="22"/>
    <n v="0"/>
    <n v="8"/>
    <n v="54"/>
    <n v="230"/>
    <n v="62"/>
    <n v="36620"/>
    <n v="8"/>
    <n v="0"/>
    <s v="04-04-00"/>
    <n v="25"/>
    <n v="22"/>
    <x v="0"/>
    <x v="6"/>
    <n v="3"/>
    <x v="0"/>
    <n v="2"/>
    <n v="1"/>
    <x v="0"/>
    <s v="Nikhil"/>
    <x v="27"/>
    <x v="45"/>
    <x v="4"/>
    <n v="2"/>
    <n v="0"/>
    <n v="0"/>
    <n v="0"/>
    <x v="7"/>
    <x v="1"/>
    <x v="1"/>
    <x v="1"/>
    <x v="1"/>
    <n v="0"/>
    <n v="0"/>
    <n v="0"/>
    <x v="1"/>
    <x v="0"/>
    <x v="0"/>
    <n v="0"/>
    <n v="0"/>
    <n v="0"/>
    <n v="0"/>
    <n v="30"/>
    <n v="30"/>
    <n v="60"/>
    <n v="0"/>
    <n v="0"/>
    <x v="128"/>
  </r>
  <r>
    <x v="12"/>
    <x v="14"/>
    <x v="13"/>
    <x v="14"/>
    <x v="12"/>
    <n v="5"/>
    <x v="9"/>
    <n v="22"/>
    <s v="AKI"/>
    <x v="9"/>
    <x v="9"/>
    <x v="9"/>
    <x v="9"/>
    <x v="2"/>
    <n v="83.375272727272716"/>
    <n v="54"/>
    <x v="44"/>
    <n v="0"/>
    <x v="37"/>
    <n v="2"/>
    <s v="both"/>
    <n v="1"/>
    <n v="0.63636363636363635"/>
    <n v="1"/>
    <n v="0.3"/>
    <n v="10"/>
    <n v="41.16"/>
    <n v="39"/>
    <n v="2.1599999999999997"/>
    <x v="10"/>
    <n v="0"/>
    <n v="14"/>
    <n v="266"/>
    <n v="140"/>
    <n v="284"/>
    <n v="36709"/>
    <n v="9"/>
    <n v="0"/>
    <s v="07-02-00"/>
    <n v="2"/>
    <n v="3"/>
    <x v="1"/>
    <x v="1"/>
    <n v="3"/>
    <x v="0"/>
    <n v="2"/>
    <n v="1"/>
    <x v="0"/>
    <s v="Nikhil"/>
    <x v="14"/>
    <x v="46"/>
    <x v="4"/>
    <n v="3"/>
    <n v="0"/>
    <n v="18"/>
    <n v="0"/>
    <x v="3"/>
    <x v="1"/>
    <x v="1"/>
    <x v="0"/>
    <x v="1"/>
    <n v="21"/>
    <n v="12"/>
    <n v="3"/>
    <x v="0"/>
    <x v="0"/>
    <x v="3"/>
    <n v="0"/>
    <n v="18"/>
    <n v="0"/>
    <n v="0"/>
    <n v="0"/>
    <n v="10"/>
    <n v="7"/>
    <n v="0"/>
    <n v="0"/>
    <x v="129"/>
  </r>
  <r>
    <x v="6"/>
    <x v="8"/>
    <x v="8"/>
    <x v="8"/>
    <x v="6"/>
    <n v="12"/>
    <x v="2"/>
    <n v="25"/>
    <s v="AKI"/>
    <x v="8"/>
    <x v="8"/>
    <x v="8"/>
    <x v="8"/>
    <x v="6"/>
    <n v="24"/>
    <n v="24"/>
    <x v="11"/>
    <n v="0"/>
    <x v="0"/>
    <n v="0"/>
    <s v="offensive"/>
    <n v="0.66666666666666663"/>
    <n v="0"/>
    <n v="0"/>
    <n v="0"/>
    <n v="0"/>
    <n v="12"/>
    <n v="12"/>
    <n v="0"/>
    <x v="1"/>
    <n v="0"/>
    <n v="14"/>
    <n v="180"/>
    <n v="140"/>
    <n v="209"/>
    <n v="36709"/>
    <n v="9"/>
    <n v="0"/>
    <s v="07-02-00"/>
    <n v="3"/>
    <n v="9"/>
    <x v="0"/>
    <x v="3"/>
    <n v="3"/>
    <x v="0"/>
    <n v="2"/>
    <n v="1"/>
    <x v="0"/>
    <s v="Nikhil"/>
    <x v="8"/>
    <x v="9"/>
    <x v="4"/>
    <n v="3"/>
    <n v="0"/>
    <n v="12"/>
    <n v="6"/>
    <x v="9"/>
    <x v="1"/>
    <x v="1"/>
    <x v="1"/>
    <x v="1"/>
    <n v="0"/>
    <n v="0"/>
    <n v="0"/>
    <x v="0"/>
    <x v="0"/>
    <x v="0"/>
    <n v="0"/>
    <n v="0"/>
    <n v="0"/>
    <n v="0"/>
    <n v="0"/>
    <n v="0"/>
    <n v="0"/>
    <n v="0"/>
    <n v="0"/>
    <x v="130"/>
  </r>
  <r>
    <x v="9"/>
    <x v="11"/>
    <x v="10"/>
    <x v="11"/>
    <x v="9"/>
    <n v="9"/>
    <x v="3"/>
    <n v="25"/>
    <s v="AKI"/>
    <x v="2"/>
    <x v="2"/>
    <x v="2"/>
    <x v="2"/>
    <x v="8"/>
    <n v="0"/>
    <n v="0"/>
    <x v="11"/>
    <n v="0"/>
    <x v="0"/>
    <n v="0"/>
    <s v="offensive"/>
    <n v="0"/>
    <n v="0"/>
    <n v="0"/>
    <n v="0"/>
    <n v="0"/>
    <n v="0"/>
    <n v="0"/>
    <n v="0"/>
    <x v="7"/>
    <n v="0"/>
    <n v="6"/>
    <n v="106"/>
    <n v="70"/>
    <n v="201"/>
    <n v="36590"/>
    <n v="8"/>
    <n v="0"/>
    <s v="03-05-00"/>
    <n v="27"/>
    <n v="8"/>
    <x v="0"/>
    <x v="4"/>
    <n v="3"/>
    <x v="0"/>
    <n v="2"/>
    <n v="1"/>
    <x v="0"/>
    <s v="Nikhil"/>
    <x v="11"/>
    <x v="47"/>
    <x v="4"/>
    <n v="3"/>
    <n v="0"/>
    <n v="0"/>
    <n v="18"/>
    <x v="3"/>
    <x v="1"/>
    <x v="1"/>
    <x v="0"/>
    <x v="1"/>
    <n v="0"/>
    <n v="30"/>
    <n v="2"/>
    <x v="0"/>
    <x v="0"/>
    <x v="0"/>
    <n v="0"/>
    <n v="0"/>
    <n v="0"/>
    <n v="0"/>
    <n v="0"/>
    <n v="0"/>
    <n v="0"/>
    <n v="0"/>
    <n v="0"/>
    <x v="131"/>
  </r>
  <r>
    <x v="22"/>
    <x v="30"/>
    <x v="26"/>
    <x v="29"/>
    <x v="21"/>
    <n v="7"/>
    <x v="15"/>
    <n v="25"/>
    <s v="AKI"/>
    <x v="18"/>
    <x v="18"/>
    <x v="18"/>
    <x v="18"/>
    <x v="10"/>
    <n v="104"/>
    <n v="54"/>
    <x v="26"/>
    <n v="20"/>
    <x v="0"/>
    <n v="0"/>
    <s v="offensive"/>
    <n v="1"/>
    <n v="1"/>
    <n v="1"/>
    <n v="0"/>
    <n v="10"/>
    <n v="33"/>
    <n v="33"/>
    <n v="0"/>
    <x v="25"/>
    <n v="0"/>
    <n v="8"/>
    <n v="160"/>
    <n v="140"/>
    <n v="237"/>
    <n v="36620"/>
    <n v="8"/>
    <n v="0"/>
    <s v="04-04-00"/>
    <n v="18"/>
    <n v="5"/>
    <x v="1"/>
    <x v="1"/>
    <n v="3"/>
    <x v="0"/>
    <n v="2"/>
    <n v="1"/>
    <x v="0"/>
    <s v="Nikhil"/>
    <x v="30"/>
    <x v="48"/>
    <x v="4"/>
    <n v="3"/>
    <n v="0"/>
    <n v="18"/>
    <n v="0"/>
    <x v="0"/>
    <x v="1"/>
    <x v="1"/>
    <x v="0"/>
    <x v="1"/>
    <n v="15"/>
    <n v="0"/>
    <n v="3"/>
    <x v="0"/>
    <x v="0"/>
    <x v="0"/>
    <n v="0"/>
    <n v="0"/>
    <n v="0"/>
    <n v="0"/>
    <n v="10"/>
    <n v="10"/>
    <n v="6"/>
    <n v="0"/>
    <n v="0"/>
    <x v="132"/>
  </r>
  <r>
    <x v="2"/>
    <x v="4"/>
    <x v="4"/>
    <x v="4"/>
    <x v="2"/>
    <n v="25"/>
    <x v="3"/>
    <n v="4"/>
    <s v="AK"/>
    <x v="4"/>
    <x v="4"/>
    <x v="4"/>
    <x v="4"/>
    <x v="2"/>
    <n v="-0.5"/>
    <n v="0"/>
    <x v="45"/>
    <n v="0"/>
    <x v="0"/>
    <n v="-2"/>
    <s v="offensive"/>
    <n v="0"/>
    <n v="0.25"/>
    <n v="0"/>
    <n v="0"/>
    <n v="0"/>
    <n v="3"/>
    <n v="3"/>
    <n v="0"/>
    <x v="3"/>
    <n v="0"/>
    <n v="8"/>
    <n v="106"/>
    <n v="120"/>
    <n v="156"/>
    <n v="36621"/>
    <n v="9"/>
    <n v="0"/>
    <s v="04-05-00"/>
    <n v="19"/>
    <s v="DNP"/>
    <x v="1"/>
    <x v="1"/>
    <n v="3"/>
    <x v="0"/>
    <n v="2"/>
    <n v="1"/>
    <x v="0"/>
    <s v="Davante"/>
    <x v="4"/>
    <x v="49"/>
    <x v="4"/>
    <n v="2"/>
    <n v="0"/>
    <n v="0"/>
    <n v="0"/>
    <x v="0"/>
    <x v="0"/>
    <x v="1"/>
    <x v="1"/>
    <x v="0"/>
    <n v="3"/>
    <n v="9"/>
    <n v="2"/>
    <x v="0"/>
    <x v="0"/>
    <x v="0"/>
    <n v="0"/>
    <n v="0"/>
    <n v="0"/>
    <n v="0"/>
    <n v="0"/>
    <n v="0"/>
    <n v="0"/>
    <n v="0"/>
    <n v="0"/>
    <x v="133"/>
  </r>
  <r>
    <x v="21"/>
    <x v="28"/>
    <x v="21"/>
    <x v="19"/>
    <x v="2"/>
    <n v="28"/>
    <x v="3"/>
    <n v="2"/>
    <s v="A"/>
    <x v="2"/>
    <x v="2"/>
    <x v="2"/>
    <x v="2"/>
    <x v="2"/>
    <n v="0"/>
    <n v="0"/>
    <x v="11"/>
    <n v="0"/>
    <x v="0"/>
    <n v="0"/>
    <s v="offensive"/>
    <n v="0"/>
    <n v="0"/>
    <n v="0"/>
    <n v="0"/>
    <n v="0"/>
    <n v="0"/>
    <n v="0"/>
    <n v="0"/>
    <x v="23"/>
    <n v="0"/>
    <n v="8"/>
    <n v="58"/>
    <n v="30"/>
    <n v="138"/>
    <n v="36620"/>
    <n v="8"/>
    <n v="0"/>
    <s v="04-04-00"/>
    <n v="24"/>
    <n v="24"/>
    <x v="1"/>
    <x v="1"/>
    <n v="3"/>
    <x v="0"/>
    <n v="2"/>
    <n v="1"/>
    <x v="0"/>
    <s v="Davante"/>
    <x v="28"/>
    <x v="50"/>
    <x v="4"/>
    <n v="0"/>
    <n v="0"/>
    <n v="0"/>
    <n v="0"/>
    <x v="13"/>
    <x v="1"/>
    <x v="1"/>
    <x v="1"/>
    <x v="1"/>
    <n v="0"/>
    <n v="0"/>
    <n v="0"/>
    <x v="0"/>
    <x v="0"/>
    <x v="0"/>
    <n v="0"/>
    <n v="7"/>
    <n v="0"/>
    <n v="0"/>
    <n v="0"/>
    <n v="0"/>
    <n v="0"/>
    <n v="0"/>
    <n v="0"/>
    <x v="134"/>
  </r>
  <r>
    <x v="2"/>
    <x v="16"/>
    <x v="15"/>
    <x v="16"/>
    <x v="2"/>
    <n v="17"/>
    <x v="3"/>
    <n v="9"/>
    <s v="AKI"/>
    <x v="8"/>
    <x v="8"/>
    <x v="8"/>
    <x v="8"/>
    <x v="11"/>
    <n v="12"/>
    <n v="0"/>
    <x v="3"/>
    <n v="0"/>
    <x v="0"/>
    <n v="0"/>
    <s v="offensive"/>
    <n v="0"/>
    <n v="1"/>
    <n v="0"/>
    <n v="0"/>
    <n v="0"/>
    <n v="6"/>
    <n v="6"/>
    <n v="0"/>
    <x v="11"/>
    <n v="0"/>
    <n v="6"/>
    <n v="42"/>
    <n v="60"/>
    <n v="91"/>
    <n v="36589"/>
    <n v="8"/>
    <n v="0"/>
    <s v="03-04-00"/>
    <n v="33"/>
    <s v="DNP"/>
    <x v="1"/>
    <x v="1"/>
    <n v="3"/>
    <x v="0"/>
    <n v="2"/>
    <n v="1"/>
    <x v="0"/>
    <s v="Davante"/>
    <x v="16"/>
    <x v="51"/>
    <x v="4"/>
    <n v="3"/>
    <n v="0"/>
    <n v="0"/>
    <n v="0"/>
    <x v="3"/>
    <x v="1"/>
    <x v="1"/>
    <x v="0"/>
    <x v="0"/>
    <n v="6"/>
    <n v="0"/>
    <n v="2"/>
    <x v="0"/>
    <x v="0"/>
    <x v="0"/>
    <n v="0"/>
    <n v="0"/>
    <n v="0"/>
    <n v="0"/>
    <n v="0"/>
    <n v="0"/>
    <n v="0"/>
    <n v="0"/>
    <n v="0"/>
    <x v="0"/>
  </r>
  <r>
    <x v="2"/>
    <x v="2"/>
    <x v="2"/>
    <x v="2"/>
    <x v="2"/>
    <n v="26"/>
    <x v="2"/>
    <n v="25"/>
    <s v="A"/>
    <x v="2"/>
    <x v="2"/>
    <x v="2"/>
    <x v="2"/>
    <x v="2"/>
    <n v="20"/>
    <n v="0"/>
    <x v="11"/>
    <n v="20"/>
    <x v="0"/>
    <n v="0"/>
    <s v="offensive"/>
    <n v="0"/>
    <n v="0"/>
    <n v="1"/>
    <n v="0"/>
    <n v="10"/>
    <n v="0"/>
    <n v="0"/>
    <n v="0"/>
    <x v="1"/>
    <n v="1"/>
    <n v="8"/>
    <n v="86"/>
    <n v="80"/>
    <n v="122"/>
    <n v="36621"/>
    <n v="9"/>
    <n v="0"/>
    <s v="04-05-00"/>
    <n v="21"/>
    <s v="DNP"/>
    <x v="1"/>
    <x v="1"/>
    <n v="3"/>
    <x v="0"/>
    <n v="2"/>
    <n v="1"/>
    <x v="0"/>
    <s v="Davante"/>
    <x v="2"/>
    <x v="52"/>
    <x v="4"/>
    <n v="3"/>
    <n v="0"/>
    <n v="0"/>
    <n v="0"/>
    <x v="15"/>
    <x v="1"/>
    <x v="1"/>
    <x v="0"/>
    <x v="1"/>
    <n v="0"/>
    <n v="0"/>
    <n v="1"/>
    <x v="0"/>
    <x v="0"/>
    <x v="0"/>
    <n v="0"/>
    <n v="0"/>
    <n v="0"/>
    <n v="0"/>
    <n v="10"/>
    <n v="10"/>
    <n v="2"/>
    <n v="0"/>
    <n v="0"/>
    <x v="135"/>
  </r>
  <r>
    <x v="11"/>
    <x v="13"/>
    <x v="12"/>
    <x v="13"/>
    <x v="11"/>
    <n v="3"/>
    <x v="7"/>
    <n v="18"/>
    <s v="AKI"/>
    <x v="11"/>
    <x v="11"/>
    <x v="11"/>
    <x v="11"/>
    <x v="2"/>
    <n v="78"/>
    <n v="24"/>
    <x v="36"/>
    <n v="20"/>
    <x v="0"/>
    <n v="-2"/>
    <s v="offensive"/>
    <n v="0.66666666666666663"/>
    <n v="0.75"/>
    <n v="1"/>
    <n v="0"/>
    <n v="10"/>
    <n v="36"/>
    <n v="36"/>
    <n v="0"/>
    <x v="9"/>
    <n v="0"/>
    <n v="12"/>
    <n v="186"/>
    <n v="150"/>
    <n v="379"/>
    <n v="36680"/>
    <n v="9"/>
    <n v="0"/>
    <s v="06-03-00"/>
    <n v="4"/>
    <n v="4"/>
    <x v="0"/>
    <x v="5"/>
    <n v="3"/>
    <x v="0"/>
    <n v="2"/>
    <n v="1"/>
    <x v="0"/>
    <s v="Davante"/>
    <x v="13"/>
    <x v="53"/>
    <x v="4"/>
    <n v="3"/>
    <n v="0"/>
    <n v="12"/>
    <n v="6"/>
    <x v="0"/>
    <x v="1"/>
    <x v="1"/>
    <x v="0"/>
    <x v="1"/>
    <n v="24"/>
    <n v="8"/>
    <n v="2"/>
    <x v="0"/>
    <x v="0"/>
    <x v="0"/>
    <n v="0"/>
    <n v="0"/>
    <n v="0"/>
    <n v="0"/>
    <n v="10"/>
    <n v="10"/>
    <n v="3"/>
    <n v="0"/>
    <n v="0"/>
    <x v="136"/>
  </r>
  <r>
    <x v="25"/>
    <x v="35"/>
    <x v="27"/>
    <x v="34"/>
    <x v="22"/>
    <n v="23"/>
    <x v="3"/>
    <n v="25"/>
    <s v="AK"/>
    <x v="2"/>
    <x v="2"/>
    <x v="2"/>
    <x v="2"/>
    <x v="2"/>
    <n v="2"/>
    <n v="0"/>
    <x v="17"/>
    <n v="0"/>
    <x v="0"/>
    <n v="0"/>
    <s v="offensive"/>
    <n v="0"/>
    <n v="0.33333333333333331"/>
    <n v="0"/>
    <n v="0"/>
    <n v="0"/>
    <n v="3"/>
    <n v="3"/>
    <n v="0"/>
    <x v="28"/>
    <n v="1"/>
    <n v="12"/>
    <n v="144"/>
    <n v="120"/>
    <n v="169"/>
    <n v="36680"/>
    <n v="9"/>
    <n v="0"/>
    <s v="06-03-00"/>
    <n v="6"/>
    <n v="18"/>
    <x v="1"/>
    <x v="1"/>
    <n v="3"/>
    <x v="0"/>
    <n v="2"/>
    <n v="1"/>
    <x v="0"/>
    <s v="Davante"/>
    <x v="35"/>
    <x v="54"/>
    <x v="4"/>
    <n v="0"/>
    <n v="0"/>
    <n v="0"/>
    <n v="12"/>
    <x v="15"/>
    <x v="1"/>
    <x v="1"/>
    <x v="0"/>
    <x v="1"/>
    <n v="3"/>
    <n v="6"/>
    <n v="2"/>
    <x v="0"/>
    <x v="0"/>
    <x v="0"/>
    <n v="0"/>
    <n v="0"/>
    <n v="0"/>
    <n v="0"/>
    <n v="0"/>
    <n v="0"/>
    <n v="0"/>
    <n v="0"/>
    <n v="0"/>
    <x v="137"/>
  </r>
  <r>
    <x v="15"/>
    <x v="19"/>
    <x v="18"/>
    <x v="19"/>
    <x v="15"/>
    <n v="11"/>
    <x v="2"/>
    <n v="25"/>
    <s v="AKI"/>
    <x v="14"/>
    <x v="14"/>
    <x v="14"/>
    <x v="14"/>
    <x v="1"/>
    <n v="20"/>
    <n v="0"/>
    <x v="11"/>
    <n v="20"/>
    <x v="0"/>
    <n v="0"/>
    <s v="offensive"/>
    <n v="0"/>
    <n v="0"/>
    <n v="1"/>
    <n v="0"/>
    <n v="10"/>
    <n v="0"/>
    <n v="0"/>
    <n v="0"/>
    <x v="14"/>
    <n v="0"/>
    <n v="4"/>
    <n v="94"/>
    <n v="70"/>
    <n v="162"/>
    <n v="36562"/>
    <n v="8"/>
    <n v="0"/>
    <s v="02-06-00"/>
    <n v="36"/>
    <n v="13"/>
    <x v="1"/>
    <x v="1"/>
    <n v="3"/>
    <x v="0"/>
    <n v="2"/>
    <n v="1"/>
    <x v="0"/>
    <s v="Nikhil Thota"/>
    <x v="19"/>
    <x v="58"/>
    <x v="4"/>
    <n v="3"/>
    <n v="0"/>
    <n v="0"/>
    <n v="0"/>
    <x v="9"/>
    <x v="0"/>
    <x v="1"/>
    <x v="1"/>
    <x v="1"/>
    <n v="0"/>
    <n v="9"/>
    <n v="1"/>
    <x v="0"/>
    <x v="0"/>
    <x v="0"/>
    <n v="0"/>
    <n v="0"/>
    <n v="0"/>
    <n v="0"/>
    <n v="10"/>
    <n v="10"/>
    <n v="7"/>
    <n v="0"/>
    <n v="0"/>
    <x v="249"/>
  </r>
  <r>
    <x v="4"/>
    <x v="6"/>
    <x v="6"/>
    <x v="6"/>
    <x v="4"/>
    <n v="13"/>
    <x v="5"/>
    <n v="24"/>
    <s v="AI"/>
    <x v="6"/>
    <x v="6"/>
    <x v="6"/>
    <x v="6"/>
    <x v="4"/>
    <n v="20.857142857142858"/>
    <n v="0"/>
    <x v="73"/>
    <n v="20"/>
    <x v="0"/>
    <n v="0"/>
    <s v="offensive"/>
    <n v="0"/>
    <n v="0.14285714285714285"/>
    <n v="1"/>
    <n v="0"/>
    <n v="10"/>
    <n v="3"/>
    <n v="3"/>
    <n v="0"/>
    <x v="4"/>
    <n v="0"/>
    <n v="4"/>
    <n v="112"/>
    <n v="90"/>
    <n v="106"/>
    <n v="36562"/>
    <n v="8"/>
    <n v="0"/>
    <s v="02-06-00"/>
    <n v="35"/>
    <n v="15"/>
    <x v="1"/>
    <x v="1"/>
    <n v="3"/>
    <x v="0"/>
    <n v="2"/>
    <n v="1"/>
    <x v="0"/>
    <s v="Nikhil Thota"/>
    <x v="6"/>
    <x v="59"/>
    <x v="4"/>
    <n v="3"/>
    <n v="0"/>
    <n v="0"/>
    <n v="18"/>
    <x v="3"/>
    <x v="1"/>
    <x v="1"/>
    <x v="0"/>
    <x v="1"/>
    <n v="3"/>
    <n v="18"/>
    <n v="2"/>
    <x v="0"/>
    <x v="0"/>
    <x v="0"/>
    <n v="0"/>
    <n v="0"/>
    <n v="0"/>
    <n v="0"/>
    <n v="10"/>
    <n v="10"/>
    <n v="5"/>
    <n v="0"/>
    <n v="0"/>
    <x v="249"/>
  </r>
  <r>
    <x v="8"/>
    <x v="10"/>
    <x v="8"/>
    <x v="10"/>
    <x v="8"/>
    <n v="6"/>
    <x v="2"/>
    <n v="25"/>
    <s v="AKI"/>
    <x v="10"/>
    <x v="10"/>
    <x v="10"/>
    <x v="10"/>
    <x v="2"/>
    <n v="60"/>
    <n v="0"/>
    <x v="55"/>
    <n v="20"/>
    <x v="0"/>
    <n v="0"/>
    <s v="offensive"/>
    <n v="0"/>
    <n v="1"/>
    <n v="1"/>
    <n v="0"/>
    <n v="10"/>
    <n v="20"/>
    <n v="20"/>
    <n v="0"/>
    <x v="1"/>
    <n v="0"/>
    <n v="9"/>
    <n v="78"/>
    <n v="50"/>
    <n v="194"/>
    <n v="36984"/>
    <n v="8"/>
    <n v="0"/>
    <s v="04-03-01"/>
    <n v="17"/>
    <n v="21"/>
    <x v="1"/>
    <x v="1"/>
    <n v="3"/>
    <x v="0"/>
    <n v="2"/>
    <n v="1"/>
    <x v="0"/>
    <s v="Nikhil Thota"/>
    <x v="10"/>
    <x v="60"/>
    <x v="4"/>
    <n v="3"/>
    <n v="0"/>
    <n v="0"/>
    <n v="12"/>
    <x v="3"/>
    <x v="1"/>
    <x v="1"/>
    <x v="0"/>
    <x v="1"/>
    <n v="20"/>
    <n v="0"/>
    <n v="2"/>
    <x v="0"/>
    <x v="0"/>
    <x v="0"/>
    <n v="0"/>
    <n v="0"/>
    <n v="0"/>
    <n v="0"/>
    <n v="10"/>
    <n v="10"/>
    <n v="13"/>
    <n v="0"/>
    <n v="0"/>
    <x v="250"/>
  </r>
  <r>
    <x v="20"/>
    <x v="27"/>
    <x v="25"/>
    <x v="27"/>
    <x v="20"/>
    <n v="28"/>
    <x v="14"/>
    <n v="25"/>
    <s v="AK"/>
    <x v="10"/>
    <x v="10"/>
    <x v="10"/>
    <x v="10"/>
    <x v="14"/>
    <n v="60"/>
    <n v="0"/>
    <x v="11"/>
    <n v="60"/>
    <x v="0"/>
    <n v="0"/>
    <s v="offensive"/>
    <n v="0"/>
    <n v="0"/>
    <n v="1"/>
    <n v="0"/>
    <n v="30"/>
    <n v="0"/>
    <n v="0"/>
    <n v="0"/>
    <x v="22"/>
    <n v="0"/>
    <n v="8"/>
    <n v="54"/>
    <n v="230"/>
    <n v="62"/>
    <n v="36620"/>
    <n v="8"/>
    <n v="0"/>
    <s v="04-04-00"/>
    <n v="25"/>
    <n v="22"/>
    <x v="0"/>
    <x v="6"/>
    <n v="3"/>
    <x v="0"/>
    <n v="2"/>
    <n v="1"/>
    <x v="0"/>
    <s v="Nikhil Thota"/>
    <x v="27"/>
    <x v="61"/>
    <x v="4"/>
    <n v="2"/>
    <n v="0"/>
    <n v="0"/>
    <n v="0"/>
    <x v="16"/>
    <x v="1"/>
    <x v="1"/>
    <x v="1"/>
    <x v="1"/>
    <n v="0"/>
    <n v="0"/>
    <n v="0"/>
    <x v="0"/>
    <x v="0"/>
    <x v="0"/>
    <n v="0"/>
    <n v="0"/>
    <n v="0"/>
    <n v="0"/>
    <n v="30"/>
    <n v="30"/>
    <n v="75"/>
    <n v="0"/>
    <n v="0"/>
    <x v="251"/>
  </r>
  <r>
    <x v="14"/>
    <x v="17"/>
    <x v="16"/>
    <x v="17"/>
    <x v="14"/>
    <n v="21"/>
    <x v="11"/>
    <n v="11"/>
    <s v="AKI"/>
    <x v="12"/>
    <x v="12"/>
    <x v="12"/>
    <x v="12"/>
    <x v="12"/>
    <n v="80.768000000000001"/>
    <n v="54"/>
    <x v="11"/>
    <n v="20"/>
    <x v="59"/>
    <n v="0"/>
    <s v="defensive"/>
    <n v="1"/>
    <n v="0"/>
    <n v="1"/>
    <n v="0.6"/>
    <n v="10"/>
    <n v="29.28"/>
    <n v="18"/>
    <n v="11.28"/>
    <x v="12"/>
    <n v="0"/>
    <n v="11"/>
    <n v="148"/>
    <n v="100"/>
    <n v="202"/>
    <n v="37014"/>
    <n v="9"/>
    <n v="0"/>
    <s v="05-03-01"/>
    <n v="10"/>
    <n v="11"/>
    <x v="1"/>
    <x v="1"/>
    <n v="3"/>
    <x v="0"/>
    <n v="2"/>
    <n v="1"/>
    <x v="0"/>
    <s v="Nikhil Thota"/>
    <x v="17"/>
    <x v="62"/>
    <x v="4"/>
    <n v="3"/>
    <n v="0"/>
    <n v="18"/>
    <n v="0"/>
    <x v="0"/>
    <x v="1"/>
    <x v="1"/>
    <x v="0"/>
    <x v="1"/>
    <n v="0"/>
    <n v="12"/>
    <n v="2"/>
    <x v="1"/>
    <x v="0"/>
    <x v="1"/>
    <n v="0"/>
    <n v="47"/>
    <n v="0"/>
    <n v="0"/>
    <n v="10"/>
    <n v="10"/>
    <n v="12"/>
    <n v="0"/>
    <n v="0"/>
    <x v="0"/>
  </r>
  <r>
    <x v="25"/>
    <x v="35"/>
    <x v="27"/>
    <x v="34"/>
    <x v="22"/>
    <n v="23"/>
    <x v="3"/>
    <n v="25"/>
    <s v="AK"/>
    <x v="2"/>
    <x v="2"/>
    <x v="2"/>
    <x v="2"/>
    <x v="2"/>
    <n v="34"/>
    <n v="36"/>
    <x v="11"/>
    <n v="0"/>
    <x v="0"/>
    <n v="-2"/>
    <s v="offensive"/>
    <n v="1"/>
    <n v="0"/>
    <n v="0"/>
    <n v="0"/>
    <n v="0"/>
    <n v="12"/>
    <n v="12"/>
    <n v="0"/>
    <x v="28"/>
    <n v="1"/>
    <n v="12"/>
    <n v="144"/>
    <n v="120"/>
    <n v="169"/>
    <n v="36680"/>
    <n v="9"/>
    <n v="0"/>
    <s v="06-03-00"/>
    <n v="6"/>
    <n v="18"/>
    <x v="1"/>
    <x v="1"/>
    <n v="3"/>
    <x v="0"/>
    <n v="2"/>
    <n v="1"/>
    <x v="0"/>
    <s v="Nikhil Thota"/>
    <x v="35"/>
    <x v="63"/>
    <x v="4"/>
    <n v="3"/>
    <n v="0"/>
    <n v="12"/>
    <n v="0"/>
    <x v="0"/>
    <x v="1"/>
    <x v="1"/>
    <x v="0"/>
    <x v="1"/>
    <n v="0"/>
    <n v="3"/>
    <n v="0"/>
    <x v="0"/>
    <x v="0"/>
    <x v="0"/>
    <n v="0"/>
    <n v="0"/>
    <n v="0"/>
    <n v="0"/>
    <n v="0"/>
    <n v="0"/>
    <n v="0"/>
    <n v="0"/>
    <n v="0"/>
    <x v="252"/>
  </r>
  <r>
    <x v="9"/>
    <x v="11"/>
    <x v="10"/>
    <x v="11"/>
    <x v="9"/>
    <n v="9"/>
    <x v="3"/>
    <n v="25"/>
    <s v="AKI"/>
    <x v="2"/>
    <x v="2"/>
    <x v="2"/>
    <x v="2"/>
    <x v="8"/>
    <n v="62.5"/>
    <n v="24"/>
    <x v="56"/>
    <n v="0"/>
    <x v="0"/>
    <n v="-2"/>
    <s v="offensive"/>
    <n v="0.66666666666666663"/>
    <n v="0.75"/>
    <n v="0"/>
    <n v="0"/>
    <n v="0"/>
    <n v="39"/>
    <n v="39"/>
    <n v="0"/>
    <x v="7"/>
    <n v="0"/>
    <n v="6"/>
    <n v="106"/>
    <n v="70"/>
    <n v="201"/>
    <n v="36590"/>
    <n v="8"/>
    <n v="0"/>
    <s v="03-05-00"/>
    <n v="27"/>
    <n v="8"/>
    <x v="0"/>
    <x v="4"/>
    <n v="3"/>
    <x v="0"/>
    <n v="2"/>
    <n v="1"/>
    <x v="0"/>
    <s v="Nikhil Thota"/>
    <x v="11"/>
    <x v="64"/>
    <x v="4"/>
    <n v="3"/>
    <n v="0"/>
    <n v="12"/>
    <n v="6"/>
    <x v="0"/>
    <x v="1"/>
    <x v="1"/>
    <x v="0"/>
    <x v="1"/>
    <n v="27"/>
    <n v="9"/>
    <n v="0"/>
    <x v="0"/>
    <x v="0"/>
    <x v="0"/>
    <n v="0"/>
    <n v="0"/>
    <n v="0"/>
    <n v="0"/>
    <n v="0"/>
    <n v="0"/>
    <n v="0"/>
    <n v="0"/>
    <n v="0"/>
    <x v="0"/>
  </r>
  <r>
    <x v="8"/>
    <x v="10"/>
    <x v="8"/>
    <x v="10"/>
    <x v="8"/>
    <n v="6"/>
    <x v="2"/>
    <n v="25"/>
    <s v="AKI"/>
    <x v="10"/>
    <x v="10"/>
    <x v="10"/>
    <x v="10"/>
    <x v="2"/>
    <n v="3.333333333333333"/>
    <n v="0"/>
    <x v="74"/>
    <n v="0"/>
    <x v="0"/>
    <n v="0"/>
    <s v="offensive"/>
    <n v="0"/>
    <n v="0.33333333333333331"/>
    <n v="1"/>
    <n v="0"/>
    <n v="10"/>
    <n v="5"/>
    <n v="5"/>
    <n v="0"/>
    <x v="1"/>
    <n v="0"/>
    <n v="9"/>
    <n v="78"/>
    <n v="50"/>
    <n v="194"/>
    <n v="36984"/>
    <n v="8"/>
    <n v="0"/>
    <s v="04-03-01"/>
    <n v="17"/>
    <n v="21"/>
    <x v="1"/>
    <x v="1"/>
    <n v="3"/>
    <x v="0"/>
    <n v="2"/>
    <n v="1"/>
    <x v="0"/>
    <s v="Nikhil Thota"/>
    <x v="10"/>
    <x v="65"/>
    <x v="4"/>
    <n v="3"/>
    <n v="0"/>
    <n v="0"/>
    <n v="12"/>
    <x v="3"/>
    <x v="1"/>
    <x v="1"/>
    <x v="0"/>
    <x v="1"/>
    <n v="5"/>
    <n v="10"/>
    <n v="2"/>
    <x v="0"/>
    <x v="0"/>
    <x v="0"/>
    <n v="0"/>
    <n v="0"/>
    <n v="0"/>
    <n v="0"/>
    <n v="0"/>
    <n v="10"/>
    <n v="15"/>
    <n v="0"/>
    <n v="0"/>
    <x v="253"/>
  </r>
  <r>
    <x v="18"/>
    <x v="24"/>
    <x v="22"/>
    <x v="24"/>
    <x v="18"/>
    <n v="27"/>
    <x v="13"/>
    <n v="19"/>
    <s v="AI"/>
    <x v="7"/>
    <x v="7"/>
    <x v="7"/>
    <x v="7"/>
    <x v="10"/>
    <n v="2"/>
    <n v="0"/>
    <x v="11"/>
    <n v="0"/>
    <x v="0"/>
    <n v="2"/>
    <s v="offensive"/>
    <n v="0"/>
    <n v="0"/>
    <n v="0"/>
    <n v="0"/>
    <n v="0"/>
    <n v="0"/>
    <n v="0"/>
    <n v="0"/>
    <x v="19"/>
    <n v="0"/>
    <n v="10"/>
    <n v="158"/>
    <n v="100"/>
    <n v="161"/>
    <n v="36649"/>
    <n v="8"/>
    <n v="0"/>
    <s v="05-03-00"/>
    <n v="12"/>
    <n v="16"/>
    <x v="1"/>
    <x v="1"/>
    <n v="3"/>
    <x v="0"/>
    <n v="2"/>
    <n v="1"/>
    <x v="0"/>
    <s v="Nikhil Thota"/>
    <x v="24"/>
    <x v="66"/>
    <x v="4"/>
    <n v="3"/>
    <n v="0"/>
    <n v="0"/>
    <n v="12"/>
    <x v="3"/>
    <x v="1"/>
    <x v="1"/>
    <x v="1"/>
    <x v="1"/>
    <n v="0"/>
    <n v="0"/>
    <n v="1"/>
    <x v="1"/>
    <x v="0"/>
    <x v="0"/>
    <n v="0"/>
    <n v="0"/>
    <n v="0"/>
    <n v="0"/>
    <n v="0"/>
    <n v="0"/>
    <n v="0"/>
    <n v="0"/>
    <n v="0"/>
    <x v="254"/>
  </r>
  <r>
    <x v="4"/>
    <x v="6"/>
    <x v="6"/>
    <x v="6"/>
    <x v="4"/>
    <n v="13"/>
    <x v="5"/>
    <n v="24"/>
    <s v="AI"/>
    <x v="6"/>
    <x v="6"/>
    <x v="6"/>
    <x v="6"/>
    <x v="4"/>
    <n v="111.36"/>
    <n v="75"/>
    <x v="33"/>
    <n v="20"/>
    <x v="32"/>
    <n v="0"/>
    <s v="both"/>
    <n v="0.83333333333333337"/>
    <n v="0.66666666666666663"/>
    <n v="1"/>
    <n v="0.15"/>
    <n v="10"/>
    <n v="44.4"/>
    <n v="42"/>
    <n v="2.4"/>
    <x v="4"/>
    <n v="0"/>
    <n v="4"/>
    <n v="112"/>
    <n v="90"/>
    <n v="106"/>
    <n v="36562"/>
    <n v="8"/>
    <n v="0"/>
    <s v="02-06-00"/>
    <n v="35"/>
    <n v="15"/>
    <x v="1"/>
    <x v="1"/>
    <n v="3"/>
    <x v="0"/>
    <n v="2"/>
    <n v="1"/>
    <x v="0"/>
    <s v="Andy Smethers"/>
    <x v="6"/>
    <x v="67"/>
    <x v="4"/>
    <n v="3"/>
    <n v="0"/>
    <n v="30"/>
    <n v="6"/>
    <x v="3"/>
    <x v="0"/>
    <x v="1"/>
    <x v="0"/>
    <x v="1"/>
    <n v="12"/>
    <n v="6"/>
    <n v="1"/>
    <x v="0"/>
    <x v="0"/>
    <x v="3"/>
    <n v="20"/>
    <n v="20"/>
    <n v="0"/>
    <n v="0"/>
    <n v="10"/>
    <n v="10"/>
    <n v="10"/>
    <n v="0"/>
    <n v="0"/>
    <x v="255"/>
  </r>
  <r>
    <x v="25"/>
    <x v="35"/>
    <x v="27"/>
    <x v="34"/>
    <x v="22"/>
    <n v="23"/>
    <x v="3"/>
    <n v="25"/>
    <s v="AK"/>
    <x v="2"/>
    <x v="2"/>
    <x v="2"/>
    <x v="2"/>
    <x v="2"/>
    <n v="6"/>
    <n v="0"/>
    <x v="21"/>
    <n v="0"/>
    <x v="0"/>
    <n v="-2"/>
    <s v="offensive"/>
    <n v="0"/>
    <n v="0.66666666666666663"/>
    <n v="0"/>
    <n v="0"/>
    <n v="0"/>
    <n v="5"/>
    <n v="6"/>
    <n v="-1"/>
    <x v="28"/>
    <n v="1"/>
    <n v="12"/>
    <n v="144"/>
    <n v="120"/>
    <n v="169"/>
    <n v="36680"/>
    <n v="9"/>
    <n v="0"/>
    <s v="06-03-00"/>
    <n v="6"/>
    <n v="18"/>
    <x v="1"/>
    <x v="1"/>
    <n v="3"/>
    <x v="0"/>
    <n v="2"/>
    <n v="1"/>
    <x v="0"/>
    <s v="Andy Smethers"/>
    <x v="35"/>
    <x v="68"/>
    <x v="4"/>
    <n v="3"/>
    <n v="0"/>
    <n v="0"/>
    <n v="18"/>
    <x v="0"/>
    <x v="0"/>
    <x v="1"/>
    <x v="0"/>
    <x v="1"/>
    <n v="6"/>
    <n v="3"/>
    <n v="1"/>
    <x v="0"/>
    <x v="0"/>
    <x v="0"/>
    <n v="0"/>
    <n v="0"/>
    <n v="0"/>
    <n v="0"/>
    <n v="0"/>
    <n v="0"/>
    <n v="0"/>
    <n v="1"/>
    <n v="0"/>
    <x v="256"/>
  </r>
  <r>
    <x v="9"/>
    <x v="11"/>
    <x v="10"/>
    <x v="11"/>
    <x v="9"/>
    <n v="9"/>
    <x v="3"/>
    <n v="25"/>
    <s v="AKI"/>
    <x v="2"/>
    <x v="2"/>
    <x v="2"/>
    <x v="2"/>
    <x v="8"/>
    <n v="81"/>
    <n v="54"/>
    <x v="54"/>
    <n v="0"/>
    <x v="0"/>
    <n v="0"/>
    <s v="offensive"/>
    <n v="1"/>
    <n v="0.75"/>
    <n v="1"/>
    <n v="0"/>
    <n v="10"/>
    <n v="36"/>
    <n v="36"/>
    <n v="0"/>
    <x v="7"/>
    <n v="0"/>
    <n v="6"/>
    <n v="106"/>
    <n v="70"/>
    <n v="201"/>
    <n v="36590"/>
    <n v="8"/>
    <n v="0"/>
    <s v="03-05-00"/>
    <n v="27"/>
    <n v="8"/>
    <x v="0"/>
    <x v="4"/>
    <n v="3"/>
    <x v="0"/>
    <n v="2"/>
    <n v="1"/>
    <x v="0"/>
    <s v="Andy Smethers"/>
    <x v="11"/>
    <x v="69"/>
    <x v="4"/>
    <n v="3"/>
    <n v="0"/>
    <n v="18"/>
    <n v="0"/>
    <x v="0"/>
    <x v="0"/>
    <x v="1"/>
    <x v="0"/>
    <x v="1"/>
    <n v="18"/>
    <n v="6"/>
    <n v="3"/>
    <x v="0"/>
    <x v="0"/>
    <x v="0"/>
    <n v="0"/>
    <n v="0"/>
    <n v="0"/>
    <n v="0"/>
    <n v="0"/>
    <n v="10"/>
    <n v="0"/>
    <n v="0"/>
    <n v="0"/>
    <x v="257"/>
  </r>
  <r>
    <x v="6"/>
    <x v="8"/>
    <x v="8"/>
    <x v="8"/>
    <x v="6"/>
    <n v="12"/>
    <x v="2"/>
    <n v="25"/>
    <s v="AKI"/>
    <x v="8"/>
    <x v="8"/>
    <x v="8"/>
    <x v="8"/>
    <x v="6"/>
    <n v="62.75"/>
    <n v="24"/>
    <x v="43"/>
    <n v="20"/>
    <x v="0"/>
    <n v="0"/>
    <s v="offensive"/>
    <n v="0.66666666666666663"/>
    <n v="0.625"/>
    <n v="1"/>
    <n v="0"/>
    <n v="10"/>
    <n v="26"/>
    <n v="27"/>
    <n v="-1"/>
    <x v="1"/>
    <n v="0"/>
    <n v="14"/>
    <n v="180"/>
    <n v="140"/>
    <n v="209"/>
    <n v="36709"/>
    <n v="9"/>
    <n v="0"/>
    <s v="07-02-00"/>
    <n v="3"/>
    <n v="9"/>
    <x v="0"/>
    <x v="3"/>
    <n v="3"/>
    <x v="0"/>
    <n v="2"/>
    <n v="1"/>
    <x v="0"/>
    <s v="Andy Smethers"/>
    <x v="8"/>
    <x v="70"/>
    <x v="4"/>
    <n v="3"/>
    <n v="0"/>
    <n v="12"/>
    <n v="6"/>
    <x v="3"/>
    <x v="1"/>
    <x v="1"/>
    <x v="0"/>
    <x v="1"/>
    <n v="15"/>
    <n v="9"/>
    <n v="2"/>
    <x v="0"/>
    <x v="0"/>
    <x v="0"/>
    <n v="0"/>
    <n v="0"/>
    <n v="0"/>
    <n v="0"/>
    <n v="10"/>
    <n v="10"/>
    <n v="8"/>
    <n v="0"/>
    <n v="1"/>
    <x v="258"/>
  </r>
  <r>
    <x v="1"/>
    <x v="1"/>
    <x v="1"/>
    <x v="1"/>
    <x v="1"/>
    <n v="8"/>
    <x v="1"/>
    <n v="13"/>
    <s v="AKI"/>
    <x v="1"/>
    <x v="1"/>
    <x v="1"/>
    <x v="1"/>
    <x v="1"/>
    <n v="110"/>
    <n v="54"/>
    <x v="36"/>
    <n v="20"/>
    <x v="0"/>
    <n v="0"/>
    <s v="offensive"/>
    <n v="1"/>
    <n v="1"/>
    <n v="1"/>
    <n v="0"/>
    <n v="10"/>
    <n v="36"/>
    <n v="36"/>
    <n v="0"/>
    <x v="0"/>
    <n v="0"/>
    <n v="5"/>
    <n v="118"/>
    <n v="120"/>
    <n v="179"/>
    <n v="36927"/>
    <n v="8"/>
    <n v="0"/>
    <s v="02-05-01"/>
    <n v="34"/>
    <n v="12"/>
    <x v="1"/>
    <x v="1"/>
    <n v="3"/>
    <x v="0"/>
    <n v="2"/>
    <n v="1"/>
    <x v="0"/>
    <s v="Andy Smethers"/>
    <x v="1"/>
    <x v="71"/>
    <x v="4"/>
    <n v="3"/>
    <n v="0"/>
    <n v="18"/>
    <n v="0"/>
    <x v="0"/>
    <x v="0"/>
    <x v="1"/>
    <x v="0"/>
    <x v="1"/>
    <n v="18"/>
    <n v="0"/>
    <n v="2"/>
    <x v="1"/>
    <x v="0"/>
    <x v="0"/>
    <n v="0"/>
    <n v="0"/>
    <n v="0"/>
    <n v="0"/>
    <n v="10"/>
    <n v="10"/>
    <n v="5"/>
    <n v="0"/>
    <n v="0"/>
    <x v="259"/>
  </r>
  <r>
    <x v="1"/>
    <x v="1"/>
    <x v="1"/>
    <x v="1"/>
    <x v="1"/>
    <n v="8"/>
    <x v="1"/>
    <n v="13"/>
    <s v="AKI"/>
    <x v="1"/>
    <x v="1"/>
    <x v="1"/>
    <x v="1"/>
    <x v="1"/>
    <n v="64.5"/>
    <n v="24"/>
    <x v="56"/>
    <n v="0"/>
    <x v="0"/>
    <n v="0"/>
    <s v="offensive"/>
    <n v="0.66666666666666663"/>
    <n v="0.75"/>
    <n v="0"/>
    <n v="0"/>
    <n v="0"/>
    <n v="39"/>
    <n v="39"/>
    <n v="0"/>
    <x v="0"/>
    <n v="0"/>
    <n v="5"/>
    <n v="118"/>
    <n v="120"/>
    <n v="179"/>
    <n v="36927"/>
    <n v="8"/>
    <n v="0"/>
    <s v="02-05-01"/>
    <n v="34"/>
    <n v="12"/>
    <x v="1"/>
    <x v="1"/>
    <n v="3"/>
    <x v="0"/>
    <n v="2"/>
    <n v="1"/>
    <x v="0"/>
    <s v="Bill Paton"/>
    <x v="1"/>
    <x v="58"/>
    <x v="4"/>
    <n v="3"/>
    <n v="0"/>
    <n v="12"/>
    <n v="6"/>
    <x v="0"/>
    <x v="0"/>
    <x v="1"/>
    <x v="0"/>
    <x v="1"/>
    <n v="27"/>
    <n v="9"/>
    <n v="2"/>
    <x v="1"/>
    <x v="0"/>
    <x v="0"/>
    <n v="0"/>
    <n v="0"/>
    <n v="0"/>
    <n v="0"/>
    <n v="0"/>
    <n v="0"/>
    <n v="0"/>
    <n v="0"/>
    <n v="0"/>
    <x v="260"/>
  </r>
  <r>
    <x v="18"/>
    <x v="24"/>
    <x v="22"/>
    <x v="24"/>
    <x v="18"/>
    <n v="27"/>
    <x v="13"/>
    <n v="19"/>
    <s v="AI"/>
    <x v="7"/>
    <x v="7"/>
    <x v="7"/>
    <x v="7"/>
    <x v="10"/>
    <n v="7"/>
    <n v="6"/>
    <x v="58"/>
    <n v="0"/>
    <x v="0"/>
    <n v="0"/>
    <s v="offensive"/>
    <n v="0.5"/>
    <n v="0.25"/>
    <n v="0"/>
    <n v="0"/>
    <n v="10"/>
    <n v="6"/>
    <n v="6"/>
    <n v="0"/>
    <x v="19"/>
    <n v="0"/>
    <n v="10"/>
    <n v="158"/>
    <n v="100"/>
    <n v="161"/>
    <n v="36649"/>
    <n v="8"/>
    <n v="0"/>
    <s v="05-03-00"/>
    <n v="12"/>
    <n v="16"/>
    <x v="1"/>
    <x v="1"/>
    <n v="3"/>
    <x v="0"/>
    <n v="2"/>
    <n v="1"/>
    <x v="0"/>
    <s v="Bill Paton"/>
    <x v="24"/>
    <x v="59"/>
    <x v="4"/>
    <n v="2"/>
    <n v="0"/>
    <n v="4"/>
    <n v="4"/>
    <x v="3"/>
    <x v="0"/>
    <x v="1"/>
    <x v="0"/>
    <x v="0"/>
    <n v="2"/>
    <n v="6"/>
    <n v="2"/>
    <x v="0"/>
    <x v="0"/>
    <x v="0"/>
    <n v="0"/>
    <n v="0"/>
    <n v="0"/>
    <n v="0"/>
    <n v="10"/>
    <n v="0"/>
    <n v="0"/>
    <n v="0"/>
    <n v="0"/>
    <x v="261"/>
  </r>
  <r>
    <x v="26"/>
    <x v="36"/>
    <x v="21"/>
    <x v="35"/>
    <x v="2"/>
    <n v="28"/>
    <x v="4"/>
    <n v="5"/>
    <s v="AKI"/>
    <x v="15"/>
    <x v="15"/>
    <x v="15"/>
    <x v="15"/>
    <x v="2"/>
    <n v="0"/>
    <n v="0"/>
    <x v="11"/>
    <n v="0"/>
    <x v="0"/>
    <n v="0"/>
    <s v="offensive"/>
    <n v="0"/>
    <n v="0"/>
    <n v="0"/>
    <n v="0"/>
    <n v="0"/>
    <n v="0"/>
    <n v="0"/>
    <n v="0"/>
    <x v="1"/>
    <n v="1"/>
    <n v="12"/>
    <n v="70"/>
    <n v="140"/>
    <n v="170"/>
    <n v="36679"/>
    <n v="8"/>
    <n v="0"/>
    <s v="06-02-00"/>
    <n v="9"/>
    <n v="20"/>
    <x v="1"/>
    <x v="1"/>
    <n v="3"/>
    <x v="0"/>
    <n v="2"/>
    <n v="1"/>
    <x v="0"/>
    <s v="Bill Paton"/>
    <x v="36"/>
    <x v="60"/>
    <x v="4"/>
    <n v="0"/>
    <n v="0"/>
    <n v="0"/>
    <n v="0"/>
    <x v="1"/>
    <x v="1"/>
    <x v="1"/>
    <x v="1"/>
    <x v="1"/>
    <n v="0"/>
    <n v="0"/>
    <n v="1"/>
    <x v="0"/>
    <x v="0"/>
    <x v="0"/>
    <n v="0"/>
    <n v="14"/>
    <n v="0"/>
    <n v="0"/>
    <n v="0"/>
    <n v="0"/>
    <n v="0"/>
    <n v="0"/>
    <n v="0"/>
    <x v="262"/>
  </r>
  <r>
    <x v="5"/>
    <x v="7"/>
    <x v="7"/>
    <x v="7"/>
    <x v="5"/>
    <n v="14"/>
    <x v="6"/>
    <n v="21"/>
    <s v="AK"/>
    <x v="7"/>
    <x v="7"/>
    <x v="7"/>
    <x v="7"/>
    <x v="5"/>
    <n v="-1.496"/>
    <n v="0"/>
    <x v="11"/>
    <n v="0"/>
    <x v="60"/>
    <n v="-2"/>
    <s v="offensive"/>
    <n v="0"/>
    <n v="0"/>
    <n v="0"/>
    <n v="0.3"/>
    <n v="0"/>
    <n v="1.6800000000000002"/>
    <n v="0"/>
    <n v="1.6800000000000002"/>
    <x v="5"/>
    <n v="0"/>
    <n v="8"/>
    <n v="102"/>
    <n v="90"/>
    <n v="94"/>
    <n v="36620"/>
    <n v="8"/>
    <n v="0"/>
    <s v="04-04-00"/>
    <n v="20"/>
    <n v="14"/>
    <x v="0"/>
    <x v="2"/>
    <n v="3"/>
    <x v="0"/>
    <n v="2"/>
    <n v="1"/>
    <x v="0"/>
    <s v="Bill Paton"/>
    <x v="7"/>
    <x v="61"/>
    <x v="4"/>
    <n v="2"/>
    <n v="0"/>
    <n v="0"/>
    <n v="12"/>
    <x v="0"/>
    <x v="0"/>
    <x v="1"/>
    <x v="1"/>
    <x v="0"/>
    <n v="0"/>
    <n v="0"/>
    <n v="0"/>
    <x v="0"/>
    <x v="0"/>
    <x v="3"/>
    <n v="0"/>
    <n v="14"/>
    <n v="0"/>
    <n v="0"/>
    <n v="0"/>
    <n v="0"/>
    <n v="0"/>
    <n v="0"/>
    <n v="0"/>
    <x v="263"/>
  </r>
  <r>
    <x v="16"/>
    <x v="21"/>
    <x v="19"/>
    <x v="21"/>
    <x v="16"/>
    <n v="22"/>
    <x v="6"/>
    <n v="25"/>
    <s v="AK"/>
    <x v="9"/>
    <x v="9"/>
    <x v="9"/>
    <x v="9"/>
    <x v="2"/>
    <n v="71.2"/>
    <n v="54"/>
    <x v="75"/>
    <n v="0"/>
    <x v="0"/>
    <n v="-2"/>
    <s v="offensive"/>
    <n v="1"/>
    <n v="0.8"/>
    <n v="0"/>
    <n v="0"/>
    <n v="10"/>
    <n v="30"/>
    <n v="30"/>
    <n v="0"/>
    <x v="16"/>
    <n v="0"/>
    <n v="10"/>
    <n v="102"/>
    <n v="190"/>
    <n v="152"/>
    <n v="36650"/>
    <n v="9"/>
    <n v="0"/>
    <s v="05-04-00"/>
    <n v="13"/>
    <n v="17"/>
    <x v="1"/>
    <x v="1"/>
    <n v="3"/>
    <x v="0"/>
    <n v="2"/>
    <n v="1"/>
    <x v="0"/>
    <s v="Bill Paton"/>
    <x v="21"/>
    <x v="62"/>
    <x v="4"/>
    <n v="3"/>
    <n v="0"/>
    <n v="18"/>
    <n v="0"/>
    <x v="0"/>
    <x v="0"/>
    <x v="1"/>
    <x v="0"/>
    <x v="1"/>
    <n v="12"/>
    <n v="3"/>
    <n v="2"/>
    <x v="0"/>
    <x v="0"/>
    <x v="0"/>
    <n v="0"/>
    <n v="0"/>
    <n v="0"/>
    <n v="0"/>
    <n v="10"/>
    <n v="0"/>
    <n v="0"/>
    <n v="0"/>
    <n v="0"/>
    <x v="264"/>
  </r>
  <r>
    <x v="25"/>
    <x v="35"/>
    <x v="27"/>
    <x v="34"/>
    <x v="22"/>
    <n v="23"/>
    <x v="3"/>
    <n v="25"/>
    <s v="AK"/>
    <x v="2"/>
    <x v="2"/>
    <x v="2"/>
    <x v="2"/>
    <x v="2"/>
    <n v="34"/>
    <n v="36"/>
    <x v="11"/>
    <n v="0"/>
    <x v="0"/>
    <n v="-2"/>
    <s v="offensive"/>
    <n v="1"/>
    <n v="0"/>
    <n v="0"/>
    <n v="0"/>
    <n v="0"/>
    <n v="12"/>
    <n v="12"/>
    <n v="0"/>
    <x v="28"/>
    <n v="1"/>
    <n v="12"/>
    <n v="144"/>
    <n v="120"/>
    <n v="169"/>
    <n v="36680"/>
    <n v="9"/>
    <n v="0"/>
    <s v="06-03-00"/>
    <n v="6"/>
    <n v="18"/>
    <x v="1"/>
    <x v="1"/>
    <n v="3"/>
    <x v="0"/>
    <n v="2"/>
    <n v="1"/>
    <x v="0"/>
    <s v="Bill Paton"/>
    <x v="35"/>
    <x v="63"/>
    <x v="4"/>
    <n v="3"/>
    <n v="0"/>
    <n v="12"/>
    <n v="0"/>
    <x v="0"/>
    <x v="1"/>
    <x v="1"/>
    <x v="0"/>
    <x v="1"/>
    <n v="0"/>
    <n v="0"/>
    <n v="2"/>
    <x v="0"/>
    <x v="0"/>
    <x v="0"/>
    <n v="0"/>
    <n v="0"/>
    <n v="0"/>
    <n v="0"/>
    <n v="0"/>
    <n v="0"/>
    <n v="0"/>
    <n v="0"/>
    <n v="0"/>
    <x v="265"/>
  </r>
  <r>
    <x v="1"/>
    <x v="1"/>
    <x v="1"/>
    <x v="1"/>
    <x v="1"/>
    <n v="8"/>
    <x v="1"/>
    <n v="13"/>
    <s v="AKI"/>
    <x v="1"/>
    <x v="1"/>
    <x v="1"/>
    <x v="1"/>
    <x v="1"/>
    <n v="74.75"/>
    <n v="54"/>
    <x v="43"/>
    <n v="0"/>
    <x v="0"/>
    <n v="2"/>
    <s v="offensive"/>
    <n v="1"/>
    <n v="0.625"/>
    <n v="0"/>
    <n v="0"/>
    <n v="0"/>
    <n v="33"/>
    <n v="33"/>
    <n v="0"/>
    <x v="0"/>
    <n v="0"/>
    <n v="5"/>
    <n v="118"/>
    <n v="120"/>
    <n v="179"/>
    <n v="36927"/>
    <n v="8"/>
    <n v="0"/>
    <s v="02-05-01"/>
    <n v="34"/>
    <n v="12"/>
    <x v="1"/>
    <x v="1"/>
    <n v="3"/>
    <x v="0"/>
    <n v="2"/>
    <n v="1"/>
    <x v="0"/>
    <s v="Bill Paton"/>
    <x v="1"/>
    <x v="64"/>
    <x v="4"/>
    <n v="3"/>
    <n v="0"/>
    <n v="18"/>
    <n v="0"/>
    <x v="6"/>
    <x v="0"/>
    <x v="1"/>
    <x v="0"/>
    <x v="1"/>
    <n v="15"/>
    <n v="9"/>
    <n v="2"/>
    <x v="1"/>
    <x v="0"/>
    <x v="0"/>
    <n v="0"/>
    <n v="0"/>
    <n v="0"/>
    <n v="0"/>
    <n v="0"/>
    <n v="0"/>
    <n v="0"/>
    <n v="0"/>
    <n v="0"/>
    <x v="266"/>
  </r>
  <r>
    <x v="23"/>
    <x v="31"/>
    <x v="21"/>
    <x v="30"/>
    <x v="2"/>
    <n v="28"/>
    <x v="8"/>
    <n v="7"/>
    <s v="AKI"/>
    <x v="19"/>
    <x v="19"/>
    <x v="19"/>
    <x v="19"/>
    <x v="15"/>
    <n v="0"/>
    <n v="0"/>
    <x v="11"/>
    <n v="0"/>
    <x v="0"/>
    <n v="0"/>
    <s v="offensive"/>
    <n v="0"/>
    <n v="0"/>
    <n v="0"/>
    <n v="0"/>
    <n v="10"/>
    <n v="0"/>
    <n v="0"/>
    <n v="0"/>
    <x v="26"/>
    <n v="0"/>
    <n v="10"/>
    <n v="72"/>
    <n v="80"/>
    <n v="107"/>
    <n v="36649"/>
    <n v="8"/>
    <n v="0"/>
    <s v="05-03-00"/>
    <n v="15"/>
    <n v="19"/>
    <x v="1"/>
    <x v="1"/>
    <n v="3"/>
    <x v="0"/>
    <n v="2"/>
    <n v="1"/>
    <x v="0"/>
    <s v="Bill Paton"/>
    <x v="31"/>
    <x v="65"/>
    <x v="4"/>
    <n v="2"/>
    <n v="0"/>
    <n v="0"/>
    <n v="0"/>
    <x v="3"/>
    <x v="1"/>
    <x v="1"/>
    <x v="1"/>
    <x v="0"/>
    <n v="0"/>
    <n v="0"/>
    <n v="0"/>
    <x v="0"/>
    <x v="0"/>
    <x v="0"/>
    <n v="0"/>
    <n v="0"/>
    <n v="0"/>
    <n v="0"/>
    <n v="10"/>
    <n v="0"/>
    <n v="0"/>
    <n v="0"/>
    <n v="0"/>
    <x v="267"/>
  </r>
  <r>
    <x v="10"/>
    <x v="12"/>
    <x v="11"/>
    <x v="12"/>
    <x v="10"/>
    <n v="20"/>
    <x v="8"/>
    <n v="25"/>
    <s v="A"/>
    <x v="2"/>
    <x v="2"/>
    <x v="2"/>
    <x v="2"/>
    <x v="9"/>
    <n v="0"/>
    <n v="0"/>
    <x v="11"/>
    <n v="0"/>
    <x v="0"/>
    <n v="0"/>
    <s v="both"/>
    <n v="0"/>
    <n v="0"/>
    <n v="0"/>
    <n v="0"/>
    <n v="0"/>
    <n v="0"/>
    <n v="0"/>
    <n v="0"/>
    <x v="8"/>
    <n v="0"/>
    <n v="12"/>
    <n v="186"/>
    <n v="110"/>
    <n v="231"/>
    <n v="36680"/>
    <n v="9"/>
    <n v="0"/>
    <s v="06-03-00"/>
    <n v="5"/>
    <n v="10"/>
    <x v="1"/>
    <x v="1"/>
    <n v="3"/>
    <x v="0"/>
    <n v="2"/>
    <n v="1"/>
    <x v="0"/>
    <s v="Bill Paton"/>
    <x v="12"/>
    <x v="66"/>
    <x v="4"/>
    <n v="0"/>
    <n v="0"/>
    <n v="0"/>
    <n v="0"/>
    <x v="9"/>
    <x v="1"/>
    <x v="1"/>
    <x v="1"/>
    <x v="1"/>
    <n v="0"/>
    <n v="0"/>
    <n v="1"/>
    <x v="0"/>
    <x v="0"/>
    <x v="1"/>
    <n v="23"/>
    <n v="0"/>
    <n v="0"/>
    <n v="0"/>
    <n v="0"/>
    <n v="0"/>
    <n v="0"/>
    <n v="0"/>
    <n v="0"/>
    <x v="268"/>
  </r>
  <r>
    <x v="15"/>
    <x v="19"/>
    <x v="18"/>
    <x v="19"/>
    <x v="15"/>
    <n v="11"/>
    <x v="2"/>
    <n v="25"/>
    <s v="AKI"/>
    <x v="14"/>
    <x v="14"/>
    <x v="14"/>
    <x v="14"/>
    <x v="1"/>
    <n v="60"/>
    <n v="24"/>
    <x v="33"/>
    <n v="20"/>
    <x v="0"/>
    <n v="0"/>
    <s v="offensive"/>
    <n v="0.66666666666666663"/>
    <n v="0.66666666666666663"/>
    <n v="1"/>
    <n v="0"/>
    <n v="10"/>
    <n v="24"/>
    <n v="24"/>
    <n v="0"/>
    <x v="14"/>
    <n v="0"/>
    <n v="4"/>
    <n v="94"/>
    <n v="70"/>
    <n v="162"/>
    <n v="36562"/>
    <n v="8"/>
    <n v="0"/>
    <s v="02-06-00"/>
    <n v="36"/>
    <n v="13"/>
    <x v="1"/>
    <x v="1"/>
    <n v="3"/>
    <x v="0"/>
    <n v="2"/>
    <n v="1"/>
    <x v="0"/>
    <s v="ben"/>
    <x v="19"/>
    <x v="72"/>
    <x v="4"/>
    <n v="3"/>
    <n v="0"/>
    <n v="12"/>
    <n v="6"/>
    <x v="9"/>
    <x v="0"/>
    <x v="1"/>
    <x v="0"/>
    <x v="1"/>
    <n v="12"/>
    <n v="6"/>
    <n v="2"/>
    <x v="0"/>
    <x v="0"/>
    <x v="0"/>
    <n v="0"/>
    <n v="0"/>
    <n v="0"/>
    <n v="0"/>
    <n v="10"/>
    <n v="10"/>
    <n v="11"/>
    <n v="0"/>
    <n v="0"/>
    <x v="269"/>
  </r>
  <r>
    <x v="4"/>
    <x v="6"/>
    <x v="6"/>
    <x v="6"/>
    <x v="4"/>
    <n v="13"/>
    <x v="5"/>
    <n v="24"/>
    <s v="AI"/>
    <x v="6"/>
    <x v="6"/>
    <x v="6"/>
    <x v="6"/>
    <x v="4"/>
    <n v="56"/>
    <n v="24"/>
    <x v="3"/>
    <n v="20"/>
    <x v="0"/>
    <n v="0"/>
    <s v="offensive"/>
    <n v="0.66666666666666663"/>
    <n v="0.5"/>
    <n v="1"/>
    <n v="0"/>
    <n v="10"/>
    <n v="24"/>
    <n v="24"/>
    <n v="0"/>
    <x v="4"/>
    <n v="0"/>
    <n v="4"/>
    <n v="112"/>
    <n v="90"/>
    <n v="106"/>
    <n v="36562"/>
    <n v="8"/>
    <n v="0"/>
    <s v="02-06-00"/>
    <n v="35"/>
    <n v="15"/>
    <x v="1"/>
    <x v="1"/>
    <n v="3"/>
    <x v="0"/>
    <n v="2"/>
    <n v="1"/>
    <x v="0"/>
    <s v="ben"/>
    <x v="6"/>
    <x v="67"/>
    <x v="4"/>
    <n v="3"/>
    <n v="0"/>
    <n v="12"/>
    <n v="6"/>
    <x v="3"/>
    <x v="0"/>
    <x v="1"/>
    <x v="0"/>
    <x v="1"/>
    <n v="12"/>
    <n v="12"/>
    <n v="2"/>
    <x v="0"/>
    <x v="0"/>
    <x v="0"/>
    <n v="0"/>
    <n v="0"/>
    <n v="0"/>
    <n v="0"/>
    <n v="10"/>
    <n v="10"/>
    <n v="0"/>
    <n v="0"/>
    <n v="0"/>
    <x v="270"/>
  </r>
  <r>
    <x v="10"/>
    <x v="12"/>
    <x v="11"/>
    <x v="12"/>
    <x v="10"/>
    <n v="20"/>
    <x v="8"/>
    <n v="25"/>
    <s v="A"/>
    <x v="2"/>
    <x v="2"/>
    <x v="2"/>
    <x v="2"/>
    <x v="9"/>
    <n v="6"/>
    <n v="6"/>
    <x v="11"/>
    <n v="0"/>
    <x v="0"/>
    <n v="0"/>
    <s v="offensive"/>
    <n v="0.33333333333333331"/>
    <n v="0"/>
    <n v="1"/>
    <n v="0"/>
    <n v="10"/>
    <n v="6"/>
    <n v="6"/>
    <n v="0"/>
    <x v="8"/>
    <n v="0"/>
    <n v="12"/>
    <n v="186"/>
    <n v="110"/>
    <n v="231"/>
    <n v="36680"/>
    <n v="9"/>
    <n v="0"/>
    <s v="06-03-00"/>
    <n v="5"/>
    <n v="10"/>
    <x v="1"/>
    <x v="1"/>
    <n v="3"/>
    <x v="0"/>
    <n v="2"/>
    <n v="1"/>
    <x v="0"/>
    <s v="ben"/>
    <x v="12"/>
    <x v="68"/>
    <x v="4"/>
    <m/>
    <n v="0"/>
    <n v="6"/>
    <n v="12"/>
    <x v="9"/>
    <x v="1"/>
    <x v="1"/>
    <x v="1"/>
    <x v="1"/>
    <n v="0"/>
    <n v="0"/>
    <n v="0"/>
    <x v="0"/>
    <x v="0"/>
    <x v="1"/>
    <n v="0"/>
    <n v="0"/>
    <n v="0"/>
    <n v="0"/>
    <n v="0"/>
    <n v="10"/>
    <n v="0"/>
    <n v="0"/>
    <n v="0"/>
    <x v="271"/>
  </r>
  <r>
    <x v="16"/>
    <x v="21"/>
    <x v="19"/>
    <x v="21"/>
    <x v="16"/>
    <n v="22"/>
    <x v="6"/>
    <n v="25"/>
    <s v="AK"/>
    <x v="9"/>
    <x v="9"/>
    <x v="9"/>
    <x v="9"/>
    <x v="2"/>
    <n v="47"/>
    <n v="24"/>
    <x v="11"/>
    <n v="20"/>
    <x v="0"/>
    <n v="3"/>
    <s v="offensive"/>
    <n v="0.66666666666666663"/>
    <n v="0"/>
    <n v="1"/>
    <n v="0"/>
    <n v="10"/>
    <n v="12"/>
    <n v="12"/>
    <n v="0"/>
    <x v="16"/>
    <n v="0"/>
    <n v="10"/>
    <n v="102"/>
    <n v="190"/>
    <n v="152"/>
    <n v="36650"/>
    <n v="9"/>
    <n v="0"/>
    <s v="05-04-00"/>
    <n v="13"/>
    <n v="17"/>
    <x v="1"/>
    <x v="1"/>
    <n v="3"/>
    <x v="0"/>
    <n v="2"/>
    <n v="1"/>
    <x v="0"/>
    <s v="ben"/>
    <x v="21"/>
    <x v="69"/>
    <x v="4"/>
    <n v="3"/>
    <n v="0"/>
    <n v="12"/>
    <n v="6"/>
    <x v="0"/>
    <x v="1"/>
    <x v="0"/>
    <x v="0"/>
    <x v="1"/>
    <n v="0"/>
    <n v="0"/>
    <n v="1"/>
    <x v="0"/>
    <x v="0"/>
    <x v="0"/>
    <n v="0"/>
    <n v="0"/>
    <n v="0"/>
    <n v="0"/>
    <n v="10"/>
    <n v="10"/>
    <n v="11"/>
    <n v="0"/>
    <n v="0"/>
    <x v="272"/>
  </r>
  <r>
    <x v="6"/>
    <x v="8"/>
    <x v="8"/>
    <x v="8"/>
    <x v="6"/>
    <n v="12"/>
    <x v="2"/>
    <n v="25"/>
    <s v="AKI"/>
    <x v="8"/>
    <x v="8"/>
    <x v="8"/>
    <x v="8"/>
    <x v="6"/>
    <n v="66.75"/>
    <n v="24"/>
    <x v="43"/>
    <n v="20"/>
    <x v="0"/>
    <n v="4"/>
    <s v="offensive"/>
    <n v="0.66666666666666663"/>
    <n v="0.625"/>
    <n v="1"/>
    <n v="0"/>
    <n v="10"/>
    <n v="26"/>
    <n v="27"/>
    <n v="-1"/>
    <x v="1"/>
    <n v="0"/>
    <n v="14"/>
    <n v="180"/>
    <n v="140"/>
    <n v="209"/>
    <n v="36709"/>
    <n v="9"/>
    <n v="0"/>
    <s v="07-02-00"/>
    <n v="3"/>
    <n v="9"/>
    <x v="0"/>
    <x v="3"/>
    <n v="3"/>
    <x v="0"/>
    <n v="2"/>
    <n v="1"/>
    <x v="0"/>
    <s v="ben"/>
    <x v="8"/>
    <x v="70"/>
    <x v="4"/>
    <n v="3"/>
    <n v="0"/>
    <n v="12"/>
    <n v="6"/>
    <x v="3"/>
    <x v="0"/>
    <x v="1"/>
    <x v="0"/>
    <x v="1"/>
    <n v="15"/>
    <n v="9"/>
    <n v="3"/>
    <x v="1"/>
    <x v="0"/>
    <x v="0"/>
    <n v="0"/>
    <n v="0"/>
    <n v="0"/>
    <n v="0"/>
    <n v="10"/>
    <n v="10"/>
    <n v="4"/>
    <n v="1"/>
    <n v="0"/>
    <x v="273"/>
  </r>
  <r>
    <x v="23"/>
    <x v="31"/>
    <x v="21"/>
    <x v="30"/>
    <x v="2"/>
    <n v="28"/>
    <x v="8"/>
    <n v="7"/>
    <s v="AKI"/>
    <x v="19"/>
    <x v="19"/>
    <x v="19"/>
    <x v="19"/>
    <x v="15"/>
    <n v="4.32"/>
    <n v="0"/>
    <x v="11"/>
    <n v="0"/>
    <x v="1"/>
    <n v="0"/>
    <s v="defensive"/>
    <n v="0"/>
    <n v="0"/>
    <n v="0"/>
    <n v="0.3"/>
    <n v="0"/>
    <n v="14.4"/>
    <n v="0"/>
    <n v="14.4"/>
    <x v="26"/>
    <n v="0"/>
    <n v="10"/>
    <n v="72"/>
    <n v="80"/>
    <n v="107"/>
    <n v="36649"/>
    <n v="8"/>
    <n v="0"/>
    <s v="05-03-00"/>
    <n v="15"/>
    <n v="19"/>
    <x v="1"/>
    <x v="1"/>
    <n v="3"/>
    <x v="0"/>
    <n v="2"/>
    <n v="1"/>
    <x v="0"/>
    <s v="ben"/>
    <x v="31"/>
    <x v="71"/>
    <x v="4"/>
    <n v="3"/>
    <n v="0"/>
    <n v="0"/>
    <n v="0"/>
    <x v="9"/>
    <x v="1"/>
    <x v="1"/>
    <x v="1"/>
    <x v="1"/>
    <n v="0"/>
    <n v="0"/>
    <n v="1"/>
    <x v="0"/>
    <x v="0"/>
    <x v="3"/>
    <n v="0"/>
    <n v="120"/>
    <n v="0"/>
    <n v="0"/>
    <n v="0"/>
    <n v="0"/>
    <n v="0"/>
    <n v="0"/>
    <n v="0"/>
    <x v="274"/>
  </r>
  <r>
    <x v="14"/>
    <x v="17"/>
    <x v="16"/>
    <x v="17"/>
    <x v="14"/>
    <n v="21"/>
    <x v="11"/>
    <n v="11"/>
    <s v="AKI"/>
    <x v="12"/>
    <x v="12"/>
    <x v="12"/>
    <x v="12"/>
    <x v="12"/>
    <n v="21.584"/>
    <n v="0"/>
    <x v="11"/>
    <n v="20"/>
    <x v="45"/>
    <n v="0"/>
    <s v="both"/>
    <n v="0"/>
    <n v="0"/>
    <n v="1"/>
    <n v="0.3"/>
    <n v="10"/>
    <n v="5.2799999999999994"/>
    <n v="0"/>
    <n v="5.2799999999999994"/>
    <x v="12"/>
    <n v="0"/>
    <n v="11"/>
    <n v="148"/>
    <n v="100"/>
    <n v="202"/>
    <n v="37014"/>
    <n v="9"/>
    <n v="0"/>
    <s v="05-03-01"/>
    <n v="10"/>
    <n v="11"/>
    <x v="1"/>
    <x v="1"/>
    <n v="3"/>
    <x v="0"/>
    <n v="2"/>
    <n v="1"/>
    <x v="0"/>
    <s v="jontae bailey"/>
    <x v="17"/>
    <x v="23"/>
    <x v="4"/>
    <n v="0"/>
    <n v="0"/>
    <n v="0"/>
    <n v="18"/>
    <x v="1"/>
    <x v="1"/>
    <x v="1"/>
    <x v="0"/>
    <x v="1"/>
    <n v="0"/>
    <n v="0"/>
    <n v="0"/>
    <x v="0"/>
    <x v="0"/>
    <x v="3"/>
    <n v="0"/>
    <n v="44"/>
    <n v="0"/>
    <n v="0"/>
    <n v="10"/>
    <n v="10"/>
    <n v="9"/>
    <n v="0"/>
    <n v="0"/>
    <x v="167"/>
  </r>
  <r>
    <x v="1"/>
    <x v="1"/>
    <x v="1"/>
    <x v="1"/>
    <x v="1"/>
    <n v="8"/>
    <x v="1"/>
    <n v="13"/>
    <s v="AKI"/>
    <x v="1"/>
    <x v="1"/>
    <x v="1"/>
    <x v="1"/>
    <x v="1"/>
    <n v="24"/>
    <n v="0"/>
    <x v="12"/>
    <n v="0"/>
    <x v="0"/>
    <n v="0"/>
    <s v="offensive"/>
    <n v="0"/>
    <n v="0.66666666666666663"/>
    <n v="1"/>
    <n v="0"/>
    <n v="10"/>
    <n v="18"/>
    <n v="18"/>
    <n v="0"/>
    <x v="0"/>
    <n v="0"/>
    <n v="5"/>
    <n v="118"/>
    <n v="120"/>
    <n v="179"/>
    <n v="36927"/>
    <n v="8"/>
    <n v="0"/>
    <s v="02-05-01"/>
    <n v="34"/>
    <n v="12"/>
    <x v="1"/>
    <x v="1"/>
    <n v="3"/>
    <x v="0"/>
    <n v="2"/>
    <n v="1"/>
    <x v="0"/>
    <s v="jontae bailey"/>
    <x v="1"/>
    <x v="23"/>
    <x v="4"/>
    <n v="0"/>
    <n v="0"/>
    <n v="0"/>
    <n v="0"/>
    <x v="6"/>
    <x v="1"/>
    <x v="1"/>
    <x v="0"/>
    <x v="1"/>
    <n v="18"/>
    <n v="9"/>
    <n v="1"/>
    <x v="0"/>
    <x v="0"/>
    <x v="0"/>
    <n v="0"/>
    <n v="0"/>
    <n v="0"/>
    <n v="0"/>
    <n v="0"/>
    <n v="10"/>
    <n v="0"/>
    <n v="0"/>
    <n v="0"/>
    <x v="0"/>
  </r>
  <r>
    <x v="22"/>
    <x v="30"/>
    <x v="26"/>
    <x v="29"/>
    <x v="21"/>
    <n v="7"/>
    <x v="15"/>
    <n v="25"/>
    <s v="AKI"/>
    <x v="18"/>
    <x v="18"/>
    <x v="18"/>
    <x v="18"/>
    <x v="10"/>
    <n v="56"/>
    <n v="9"/>
    <x v="54"/>
    <n v="20"/>
    <x v="0"/>
    <n v="0"/>
    <s v="offensive"/>
    <n v="0.5"/>
    <n v="0.75"/>
    <n v="1"/>
    <n v="0"/>
    <n v="10"/>
    <n v="24"/>
    <n v="24"/>
    <n v="0"/>
    <x v="25"/>
    <n v="0"/>
    <n v="8"/>
    <n v="160"/>
    <n v="140"/>
    <n v="237"/>
    <n v="36620"/>
    <n v="8"/>
    <n v="0"/>
    <s v="04-04-00"/>
    <n v="18"/>
    <n v="5"/>
    <x v="1"/>
    <x v="1"/>
    <n v="3"/>
    <x v="0"/>
    <n v="2"/>
    <n v="1"/>
    <x v="0"/>
    <s v="jontae bailey"/>
    <x v="30"/>
    <x v="24"/>
    <x v="4"/>
    <n v="3"/>
    <n v="0"/>
    <n v="6"/>
    <n v="6"/>
    <x v="3"/>
    <x v="1"/>
    <x v="1"/>
    <x v="0"/>
    <x v="1"/>
    <n v="18"/>
    <n v="6"/>
    <n v="2"/>
    <x v="0"/>
    <x v="0"/>
    <x v="0"/>
    <n v="0"/>
    <n v="0"/>
    <n v="0"/>
    <n v="0"/>
    <n v="10"/>
    <n v="10"/>
    <n v="6"/>
    <n v="0"/>
    <n v="0"/>
    <x v="0"/>
  </r>
  <r>
    <x v="16"/>
    <x v="21"/>
    <x v="19"/>
    <x v="21"/>
    <x v="16"/>
    <n v="22"/>
    <x v="6"/>
    <n v="25"/>
    <s v="AK"/>
    <x v="9"/>
    <x v="9"/>
    <x v="9"/>
    <x v="9"/>
    <x v="2"/>
    <n v="22"/>
    <n v="24"/>
    <x v="11"/>
    <n v="0"/>
    <x v="0"/>
    <n v="-2"/>
    <s v="offensive"/>
    <n v="0.66666666666666663"/>
    <n v="0"/>
    <n v="0"/>
    <n v="0"/>
    <n v="10"/>
    <n v="12"/>
    <n v="12"/>
    <n v="0"/>
    <x v="16"/>
    <n v="0"/>
    <n v="10"/>
    <n v="102"/>
    <n v="190"/>
    <n v="152"/>
    <n v="36650"/>
    <n v="9"/>
    <n v="0"/>
    <s v="05-04-00"/>
    <n v="13"/>
    <n v="17"/>
    <x v="1"/>
    <x v="1"/>
    <n v="3"/>
    <x v="0"/>
    <n v="2"/>
    <n v="1"/>
    <x v="0"/>
    <s v="jontae bailey"/>
    <x v="21"/>
    <x v="26"/>
    <x v="4"/>
    <n v="3"/>
    <n v="0"/>
    <n v="12"/>
    <n v="6"/>
    <x v="0"/>
    <x v="1"/>
    <x v="1"/>
    <x v="0"/>
    <x v="1"/>
    <n v="0"/>
    <n v="0"/>
    <n v="1"/>
    <x v="0"/>
    <x v="0"/>
    <x v="0"/>
    <n v="0"/>
    <n v="0"/>
    <n v="0"/>
    <n v="0"/>
    <n v="10"/>
    <n v="0"/>
    <n v="9"/>
    <n v="0"/>
    <n v="0"/>
    <x v="168"/>
  </r>
  <r>
    <x v="12"/>
    <x v="14"/>
    <x v="13"/>
    <x v="14"/>
    <x v="12"/>
    <n v="5"/>
    <x v="9"/>
    <n v="22"/>
    <s v="AKI"/>
    <x v="9"/>
    <x v="9"/>
    <x v="9"/>
    <x v="9"/>
    <x v="2"/>
    <n v="114"/>
    <n v="54"/>
    <x v="55"/>
    <n v="20"/>
    <x v="0"/>
    <n v="0"/>
    <s v="offensive"/>
    <n v="1"/>
    <n v="0.66666666666666663"/>
    <n v="1"/>
    <n v="0"/>
    <n v="10"/>
    <n v="48"/>
    <n v="48"/>
    <n v="0"/>
    <x v="10"/>
    <n v="0"/>
    <n v="14"/>
    <n v="266"/>
    <n v="140"/>
    <n v="284"/>
    <n v="36709"/>
    <n v="9"/>
    <n v="0"/>
    <s v="07-02-00"/>
    <n v="2"/>
    <n v="3"/>
    <x v="1"/>
    <x v="1"/>
    <n v="3"/>
    <x v="0"/>
    <n v="2"/>
    <n v="1"/>
    <x v="0"/>
    <s v="jontae bailey"/>
    <x v="14"/>
    <x v="27"/>
    <x v="4"/>
    <n v="3"/>
    <n v="0"/>
    <n v="18"/>
    <n v="0"/>
    <x v="3"/>
    <x v="1"/>
    <x v="1"/>
    <x v="0"/>
    <x v="1"/>
    <n v="30"/>
    <n v="15"/>
    <n v="2"/>
    <x v="0"/>
    <x v="0"/>
    <x v="0"/>
    <n v="0"/>
    <n v="0"/>
    <n v="0"/>
    <n v="0"/>
    <n v="10"/>
    <n v="10"/>
    <n v="3"/>
    <n v="0"/>
    <n v="0"/>
    <x v="169"/>
  </r>
  <r>
    <x v="24"/>
    <x v="34"/>
    <x v="21"/>
    <x v="33"/>
    <x v="2"/>
    <n v="28"/>
    <x v="8"/>
    <n v="3"/>
    <s v="AK"/>
    <x v="20"/>
    <x v="20"/>
    <x v="20"/>
    <x v="20"/>
    <x v="2"/>
    <n v="6.48"/>
    <n v="0"/>
    <x v="11"/>
    <n v="0"/>
    <x v="2"/>
    <n v="0"/>
    <s v="both"/>
    <n v="0"/>
    <n v="0"/>
    <n v="0"/>
    <n v="0.6"/>
    <n v="0"/>
    <n v="10.8"/>
    <n v="0"/>
    <n v="10.8"/>
    <x v="27"/>
    <n v="0"/>
    <n v="6"/>
    <n v="106"/>
    <n v="60"/>
    <n v="139"/>
    <n v="36591"/>
    <n v="9"/>
    <n v="0"/>
    <s v="03-06-00"/>
    <n v="28"/>
    <n v="26"/>
    <x v="1"/>
    <x v="1"/>
    <n v="3"/>
    <x v="0"/>
    <n v="2"/>
    <n v="1"/>
    <x v="0"/>
    <s v="jontae bailey"/>
    <x v="34"/>
    <x v="28"/>
    <x v="4"/>
    <n v="3"/>
    <n v="0"/>
    <n v="0"/>
    <n v="0"/>
    <x v="15"/>
    <x v="1"/>
    <x v="1"/>
    <x v="1"/>
    <x v="0"/>
    <n v="0"/>
    <n v="0"/>
    <n v="0"/>
    <x v="0"/>
    <x v="0"/>
    <x v="1"/>
    <n v="0"/>
    <n v="45"/>
    <n v="0"/>
    <n v="0"/>
    <n v="0"/>
    <n v="0"/>
    <n v="0"/>
    <n v="0"/>
    <n v="0"/>
    <x v="170"/>
  </r>
  <r>
    <x v="2"/>
    <x v="3"/>
    <x v="3"/>
    <x v="3"/>
    <x v="2"/>
    <n v="19"/>
    <x v="3"/>
    <n v="12"/>
    <s v="AKI"/>
    <x v="3"/>
    <x v="3"/>
    <x v="3"/>
    <x v="3"/>
    <x v="2"/>
    <n v="9.1880000000000006"/>
    <n v="0"/>
    <x v="21"/>
    <n v="0"/>
    <x v="46"/>
    <n v="0"/>
    <s v="both"/>
    <n v="0"/>
    <n v="0.66666666666666663"/>
    <n v="0"/>
    <n v="0.3"/>
    <n v="0"/>
    <n v="9.9600000000000009"/>
    <n v="6"/>
    <n v="3.9600000000000004"/>
    <x v="2"/>
    <n v="0"/>
    <n v="6"/>
    <n v="66"/>
    <n v="70"/>
    <n v="129"/>
    <n v="36590"/>
    <n v="8"/>
    <n v="0"/>
    <s v="03-05-00"/>
    <n v="32"/>
    <s v="DNP"/>
    <x v="1"/>
    <x v="1"/>
    <n v="3"/>
    <x v="0"/>
    <n v="2"/>
    <n v="1"/>
    <x v="0"/>
    <s v="jontae bailey"/>
    <x v="3"/>
    <x v="29"/>
    <x v="4"/>
    <n v="3"/>
    <n v="0"/>
    <n v="0"/>
    <n v="0"/>
    <x v="9"/>
    <x v="1"/>
    <x v="1"/>
    <x v="1"/>
    <x v="1"/>
    <n v="6"/>
    <n v="3"/>
    <n v="1"/>
    <x v="0"/>
    <x v="0"/>
    <x v="3"/>
    <n v="0"/>
    <n v="33"/>
    <n v="0"/>
    <n v="0"/>
    <n v="0"/>
    <n v="0"/>
    <n v="0"/>
    <n v="0"/>
    <n v="0"/>
    <x v="171"/>
  </r>
  <r>
    <x v="9"/>
    <x v="11"/>
    <x v="10"/>
    <x v="11"/>
    <x v="9"/>
    <n v="9"/>
    <x v="3"/>
    <n v="25"/>
    <s v="AKI"/>
    <x v="2"/>
    <x v="2"/>
    <x v="2"/>
    <x v="2"/>
    <x v="8"/>
    <n v="-2"/>
    <n v="0"/>
    <x v="11"/>
    <n v="0"/>
    <x v="0"/>
    <n v="-2"/>
    <s v="offensive"/>
    <n v="0"/>
    <n v="0"/>
    <n v="0"/>
    <n v="0"/>
    <n v="0"/>
    <n v="0"/>
    <n v="0"/>
    <n v="0"/>
    <x v="7"/>
    <n v="0"/>
    <n v="6"/>
    <n v="106"/>
    <n v="70"/>
    <n v="201"/>
    <n v="36590"/>
    <n v="8"/>
    <n v="0"/>
    <s v="03-05-00"/>
    <n v="27"/>
    <n v="8"/>
    <x v="0"/>
    <x v="4"/>
    <n v="3"/>
    <x v="0"/>
    <n v="2"/>
    <n v="1"/>
    <x v="0"/>
    <s v="Reed Symonds"/>
    <x v="11"/>
    <x v="55"/>
    <x v="4"/>
    <n v="3"/>
    <n v="0"/>
    <n v="0"/>
    <n v="0"/>
    <x v="0"/>
    <x v="1"/>
    <x v="1"/>
    <x v="1"/>
    <x v="1"/>
    <n v="0"/>
    <n v="0"/>
    <n v="1"/>
    <x v="0"/>
    <x v="0"/>
    <x v="0"/>
    <n v="0"/>
    <n v="0"/>
    <n v="0"/>
    <n v="0"/>
    <n v="0"/>
    <n v="0"/>
    <n v="0"/>
    <n v="0"/>
    <n v="0"/>
    <x v="172"/>
  </r>
  <r>
    <x v="2"/>
    <x v="16"/>
    <x v="15"/>
    <x v="16"/>
    <x v="2"/>
    <n v="17"/>
    <x v="3"/>
    <n v="9"/>
    <s v="AKI"/>
    <x v="8"/>
    <x v="8"/>
    <x v="8"/>
    <x v="8"/>
    <x v="11"/>
    <n v="0"/>
    <n v="0"/>
    <x v="11"/>
    <n v="0"/>
    <x v="0"/>
    <n v="0"/>
    <s v="offensive"/>
    <n v="0"/>
    <n v="0"/>
    <n v="0"/>
    <n v="0"/>
    <n v="0"/>
    <n v="0"/>
    <n v="0"/>
    <n v="0"/>
    <x v="11"/>
    <n v="0"/>
    <n v="6"/>
    <n v="42"/>
    <n v="60"/>
    <n v="91"/>
    <n v="36589"/>
    <n v="8"/>
    <n v="0"/>
    <s v="03-04-00"/>
    <n v="33"/>
    <s v="DNP"/>
    <x v="1"/>
    <x v="1"/>
    <n v="3"/>
    <x v="0"/>
    <n v="2"/>
    <n v="1"/>
    <x v="0"/>
    <s v="Reed Symonds"/>
    <x v="16"/>
    <x v="30"/>
    <x v="4"/>
    <n v="3"/>
    <n v="0"/>
    <n v="0"/>
    <n v="6"/>
    <x v="7"/>
    <x v="1"/>
    <x v="1"/>
    <x v="1"/>
    <x v="1"/>
    <n v="0"/>
    <n v="0"/>
    <n v="0"/>
    <x v="0"/>
    <x v="0"/>
    <x v="0"/>
    <n v="0"/>
    <n v="0"/>
    <n v="0"/>
    <n v="0"/>
    <n v="0"/>
    <n v="0"/>
    <n v="0"/>
    <n v="0"/>
    <n v="0"/>
    <x v="173"/>
  </r>
  <r>
    <x v="27"/>
    <x v="39"/>
    <x v="28"/>
    <x v="38"/>
    <x v="23"/>
    <n v="2"/>
    <x v="10"/>
    <n v="15"/>
    <s v="AK"/>
    <x v="2"/>
    <x v="2"/>
    <x v="2"/>
    <x v="2"/>
    <x v="19"/>
    <n v="100.372"/>
    <n v="54"/>
    <x v="56"/>
    <n v="0"/>
    <x v="40"/>
    <n v="4"/>
    <s v="offensive"/>
    <n v="1"/>
    <n v="0.75"/>
    <n v="0"/>
    <n v="0.6"/>
    <n v="0"/>
    <n v="48.12"/>
    <n v="45"/>
    <n v="3.1199999999999997"/>
    <x v="30"/>
    <n v="0"/>
    <n v="18"/>
    <n v="240"/>
    <n v="140"/>
    <n v="461"/>
    <s v="9-0-0"/>
    <n v="9"/>
    <n v="0"/>
    <s v="9-0-0"/>
    <n v="1"/>
    <n v="1"/>
    <x v="1"/>
    <x v="1"/>
    <n v="3"/>
    <x v="0"/>
    <n v="2"/>
    <n v="1"/>
    <x v="0"/>
    <s v="Reed Symonds"/>
    <x v="39"/>
    <x v="56"/>
    <x v="4"/>
    <n v="3"/>
    <n v="0"/>
    <n v="18"/>
    <n v="0"/>
    <x v="6"/>
    <x v="0"/>
    <x v="1"/>
    <x v="0"/>
    <x v="1"/>
    <n v="27"/>
    <n v="9"/>
    <n v="3"/>
    <x v="1"/>
    <x v="0"/>
    <x v="1"/>
    <n v="0"/>
    <n v="13"/>
    <n v="0"/>
    <n v="0"/>
    <n v="0"/>
    <n v="0"/>
    <n v="0"/>
    <n v="0"/>
    <n v="0"/>
    <x v="174"/>
  </r>
  <r>
    <x v="2"/>
    <x v="38"/>
    <x v="14"/>
    <x v="37"/>
    <x v="2"/>
    <n v="17"/>
    <x v="3"/>
    <n v="23"/>
    <s v="AKD"/>
    <x v="13"/>
    <x v="13"/>
    <x v="13"/>
    <x v="13"/>
    <x v="18"/>
    <n v="14.285714285714285"/>
    <n v="0"/>
    <x v="57"/>
    <n v="0"/>
    <x v="0"/>
    <n v="4"/>
    <s v="offensive"/>
    <n v="0"/>
    <n v="0.8571428571428571"/>
    <n v="0"/>
    <n v="0"/>
    <n v="0"/>
    <n v="6"/>
    <n v="6"/>
    <n v="0"/>
    <x v="29"/>
    <n v="1"/>
    <n v="3"/>
    <n v="74"/>
    <n v="50"/>
    <n v="162"/>
    <n v="36897"/>
    <n v="8"/>
    <n v="0"/>
    <s v="01-06-01"/>
    <n v="39"/>
    <s v="DNP"/>
    <x v="1"/>
    <x v="1"/>
    <n v="3"/>
    <x v="0"/>
    <n v="2"/>
    <n v="1"/>
    <x v="0"/>
    <s v="Reed Symonds"/>
    <x v="38"/>
    <x v="31"/>
    <x v="4"/>
    <n v="1"/>
    <n v="0"/>
    <n v="0"/>
    <n v="0"/>
    <x v="7"/>
    <x v="0"/>
    <x v="1"/>
    <x v="0"/>
    <x v="1"/>
    <n v="6"/>
    <n v="1"/>
    <n v="3"/>
    <x v="1"/>
    <x v="0"/>
    <x v="0"/>
    <n v="0"/>
    <n v="0"/>
    <n v="0"/>
    <n v="0"/>
    <n v="0"/>
    <n v="0"/>
    <n v="0"/>
    <n v="0"/>
    <n v="0"/>
    <x v="175"/>
  </r>
  <r>
    <x v="22"/>
    <x v="30"/>
    <x v="26"/>
    <x v="29"/>
    <x v="21"/>
    <n v="7"/>
    <x v="15"/>
    <n v="25"/>
    <s v="AKI"/>
    <x v="18"/>
    <x v="18"/>
    <x v="18"/>
    <x v="18"/>
    <x v="10"/>
    <n v="80"/>
    <n v="54"/>
    <x v="12"/>
    <n v="0"/>
    <x v="0"/>
    <n v="2"/>
    <s v="offensive"/>
    <n v="1"/>
    <n v="1"/>
    <n v="0"/>
    <n v="0"/>
    <n v="10"/>
    <n v="30"/>
    <n v="30"/>
    <n v="0"/>
    <x v="25"/>
    <n v="0"/>
    <n v="8"/>
    <n v="160"/>
    <n v="140"/>
    <n v="237"/>
    <n v="36620"/>
    <n v="8"/>
    <n v="0"/>
    <s v="04-04-00"/>
    <n v="18"/>
    <n v="5"/>
    <x v="1"/>
    <x v="1"/>
    <n v="3"/>
    <x v="0"/>
    <n v="2"/>
    <n v="1"/>
    <x v="0"/>
    <s v="Reed Symonds"/>
    <x v="30"/>
    <x v="32"/>
    <x v="4"/>
    <n v="3"/>
    <n v="0"/>
    <n v="18"/>
    <n v="0"/>
    <x v="0"/>
    <x v="0"/>
    <x v="1"/>
    <x v="0"/>
    <x v="1"/>
    <n v="12"/>
    <n v="0"/>
    <n v="3"/>
    <x v="1"/>
    <x v="0"/>
    <x v="0"/>
    <n v="0"/>
    <n v="0"/>
    <n v="0"/>
    <n v="0"/>
    <n v="10"/>
    <n v="0"/>
    <n v="0"/>
    <n v="0"/>
    <n v="0"/>
    <x v="176"/>
  </r>
  <r>
    <x v="2"/>
    <x v="16"/>
    <x v="15"/>
    <x v="16"/>
    <x v="2"/>
    <n v="17"/>
    <x v="3"/>
    <n v="9"/>
    <s v="AKI"/>
    <x v="8"/>
    <x v="8"/>
    <x v="8"/>
    <x v="8"/>
    <x v="11"/>
    <n v="7.4879999999999987"/>
    <n v="0"/>
    <x v="11"/>
    <n v="0"/>
    <x v="47"/>
    <n v="0"/>
    <s v="defensive"/>
    <n v="0"/>
    <n v="0"/>
    <n v="0"/>
    <n v="0.6"/>
    <n v="0"/>
    <n v="12.479999999999999"/>
    <n v="0"/>
    <n v="12.479999999999999"/>
    <x v="11"/>
    <n v="0"/>
    <n v="6"/>
    <n v="42"/>
    <n v="60"/>
    <n v="91"/>
    <n v="36589"/>
    <n v="8"/>
    <n v="0"/>
    <s v="03-04-00"/>
    <n v="33"/>
    <s v="DNP"/>
    <x v="1"/>
    <x v="1"/>
    <n v="3"/>
    <x v="0"/>
    <n v="2"/>
    <n v="1"/>
    <x v="0"/>
    <s v="Reed Symonds"/>
    <x v="16"/>
    <x v="33"/>
    <x v="4"/>
    <n v="2"/>
    <n v="0"/>
    <n v="0"/>
    <n v="0"/>
    <x v="7"/>
    <x v="0"/>
    <x v="1"/>
    <x v="0"/>
    <x v="1"/>
    <n v="0"/>
    <n v="0"/>
    <n v="0"/>
    <x v="0"/>
    <x v="0"/>
    <x v="1"/>
    <n v="0"/>
    <n v="52"/>
    <n v="0"/>
    <n v="0"/>
    <n v="0"/>
    <n v="0"/>
    <n v="0"/>
    <n v="0"/>
    <n v="0"/>
    <x v="177"/>
  </r>
  <r>
    <x v="2"/>
    <x v="33"/>
    <x v="21"/>
    <x v="32"/>
    <x v="2"/>
    <n v="28"/>
    <x v="3"/>
    <n v="14"/>
    <s v="AK"/>
    <x v="2"/>
    <x v="2"/>
    <x v="2"/>
    <x v="2"/>
    <x v="17"/>
    <n v="0"/>
    <n v="0"/>
    <x v="11"/>
    <n v="0"/>
    <x v="0"/>
    <n v="0"/>
    <s v="offensive"/>
    <n v="0"/>
    <n v="0"/>
    <n v="0"/>
    <n v="0"/>
    <n v="0"/>
    <n v="0"/>
    <n v="0"/>
    <n v="0"/>
    <x v="1"/>
    <n v="0"/>
    <n v="6"/>
    <n v="84"/>
    <n v="90"/>
    <n v="144"/>
    <n v="36591"/>
    <n v="9"/>
    <n v="0"/>
    <s v="03-06-00"/>
    <n v="31"/>
    <s v="DNP"/>
    <x v="1"/>
    <x v="1"/>
    <n v="3"/>
    <x v="0"/>
    <n v="2"/>
    <n v="1"/>
    <x v="0"/>
    <s v="Zach"/>
    <x v="33"/>
    <x v="34"/>
    <x v="4"/>
    <n v="0"/>
    <n v="0"/>
    <n v="0"/>
    <n v="0"/>
    <x v="1"/>
    <x v="1"/>
    <x v="1"/>
    <x v="1"/>
    <x v="1"/>
    <n v="0"/>
    <n v="0"/>
    <n v="0"/>
    <x v="0"/>
    <x v="0"/>
    <x v="0"/>
    <n v="0"/>
    <n v="0"/>
    <n v="0"/>
    <n v="0"/>
    <n v="0"/>
    <n v="0"/>
    <n v="0"/>
    <n v="0"/>
    <n v="0"/>
    <x v="178"/>
  </r>
  <r>
    <x v="17"/>
    <x v="22"/>
    <x v="20"/>
    <x v="22"/>
    <x v="17"/>
    <n v="28"/>
    <x v="6"/>
    <n v="17"/>
    <s v="AK"/>
    <x v="15"/>
    <x v="15"/>
    <x v="15"/>
    <x v="15"/>
    <x v="13"/>
    <n v="22.756"/>
    <n v="0"/>
    <x v="11"/>
    <n v="20"/>
    <x v="48"/>
    <n v="2"/>
    <s v="both"/>
    <n v="0"/>
    <n v="0"/>
    <n v="1"/>
    <n v="0.3"/>
    <n v="10"/>
    <n v="2.52"/>
    <n v="0"/>
    <n v="2.52"/>
    <x v="17"/>
    <n v="0"/>
    <n v="8"/>
    <n v="82"/>
    <n v="180"/>
    <n v="228"/>
    <n v="36621"/>
    <n v="9"/>
    <n v="0"/>
    <s v="04-05-00"/>
    <n v="22"/>
    <n v="25"/>
    <x v="1"/>
    <x v="1"/>
    <n v="3"/>
    <x v="0"/>
    <n v="2"/>
    <n v="1"/>
    <x v="0"/>
    <s v="Zach"/>
    <x v="22"/>
    <x v="35"/>
    <x v="4"/>
    <n v="0"/>
    <n v="0"/>
    <n v="0"/>
    <n v="0"/>
    <x v="9"/>
    <x v="1"/>
    <x v="1"/>
    <x v="1"/>
    <x v="1"/>
    <n v="0"/>
    <n v="0"/>
    <n v="0"/>
    <x v="1"/>
    <x v="0"/>
    <x v="3"/>
    <n v="0"/>
    <n v="21"/>
    <n v="0"/>
    <n v="0"/>
    <n v="10"/>
    <n v="10"/>
    <n v="9"/>
    <n v="0"/>
    <n v="0"/>
    <x v="179"/>
  </r>
  <r>
    <x v="2"/>
    <x v="37"/>
    <x v="21"/>
    <x v="36"/>
    <x v="2"/>
    <n v="28"/>
    <x v="3"/>
    <n v="6"/>
    <s v="AK"/>
    <x v="21"/>
    <x v="21"/>
    <x v="21"/>
    <x v="21"/>
    <x v="2"/>
    <n v="-2"/>
    <n v="0"/>
    <x v="11"/>
    <n v="0"/>
    <x v="0"/>
    <n v="-2"/>
    <s v="offensive"/>
    <n v="0"/>
    <n v="0"/>
    <n v="0"/>
    <n v="0"/>
    <n v="0"/>
    <n v="0"/>
    <n v="0"/>
    <n v="0"/>
    <x v="24"/>
    <n v="1"/>
    <n v="8"/>
    <n v="82"/>
    <n v="80"/>
    <n v="145"/>
    <n v="36620"/>
    <n v="8"/>
    <n v="0"/>
    <s v="04-04-00"/>
    <n v="23"/>
    <s v="DNP"/>
    <x v="1"/>
    <x v="1"/>
    <n v="3"/>
    <x v="0"/>
    <n v="2"/>
    <n v="1"/>
    <x v="0"/>
    <s v="Zach"/>
    <x v="37"/>
    <x v="36"/>
    <x v="4"/>
    <n v="0"/>
    <n v="0"/>
    <n v="0"/>
    <n v="0"/>
    <x v="0"/>
    <x v="1"/>
    <x v="1"/>
    <x v="1"/>
    <x v="1"/>
    <n v="0"/>
    <n v="0"/>
    <n v="1"/>
    <x v="0"/>
    <x v="0"/>
    <x v="0"/>
    <n v="0"/>
    <n v="0"/>
    <n v="0"/>
    <n v="0"/>
    <n v="0"/>
    <n v="0"/>
    <n v="0"/>
    <n v="0"/>
    <n v="0"/>
    <x v="180"/>
  </r>
  <r>
    <x v="1"/>
    <x v="1"/>
    <x v="1"/>
    <x v="1"/>
    <x v="1"/>
    <n v="8"/>
    <x v="1"/>
    <n v="13"/>
    <s v="AKI"/>
    <x v="1"/>
    <x v="1"/>
    <x v="1"/>
    <x v="1"/>
    <x v="1"/>
    <n v="23.224"/>
    <n v="0"/>
    <x v="11"/>
    <n v="20"/>
    <x v="61"/>
    <n v="2"/>
    <s v="both"/>
    <n v="0"/>
    <n v="0"/>
    <n v="1"/>
    <n v="0.3"/>
    <n v="10"/>
    <n v="4.08"/>
    <n v="0"/>
    <n v="4.08"/>
    <x v="0"/>
    <n v="0"/>
    <n v="5"/>
    <n v="118"/>
    <n v="120"/>
    <n v="179"/>
    <n v="36927"/>
    <n v="8"/>
    <n v="0"/>
    <s v="02-05-01"/>
    <n v="34"/>
    <n v="12"/>
    <x v="1"/>
    <x v="1"/>
    <n v="3"/>
    <x v="0"/>
    <n v="2"/>
    <n v="1"/>
    <x v="0"/>
    <s v="Zach"/>
    <x v="1"/>
    <x v="37"/>
    <x v="4"/>
    <n v="1"/>
    <n v="0"/>
    <n v="0"/>
    <n v="6"/>
    <x v="12"/>
    <x v="1"/>
    <x v="1"/>
    <x v="0"/>
    <x v="1"/>
    <n v="0"/>
    <n v="0"/>
    <n v="2"/>
    <x v="1"/>
    <x v="0"/>
    <x v="3"/>
    <n v="0"/>
    <n v="34"/>
    <n v="0"/>
    <n v="0"/>
    <n v="10"/>
    <n v="10"/>
    <n v="2"/>
    <n v="0"/>
    <n v="0"/>
    <x v="275"/>
  </r>
  <r>
    <x v="18"/>
    <x v="24"/>
    <x v="22"/>
    <x v="24"/>
    <x v="18"/>
    <n v="27"/>
    <x v="13"/>
    <n v="19"/>
    <s v="AI"/>
    <x v="7"/>
    <x v="7"/>
    <x v="7"/>
    <x v="7"/>
    <x v="10"/>
    <n v="18"/>
    <n v="18"/>
    <x v="11"/>
    <n v="0"/>
    <x v="0"/>
    <n v="0"/>
    <s v="offensive"/>
    <n v="1"/>
    <n v="0"/>
    <n v="1"/>
    <n v="0"/>
    <n v="10"/>
    <n v="6"/>
    <n v="6"/>
    <n v="0"/>
    <x v="19"/>
    <n v="0"/>
    <n v="10"/>
    <n v="158"/>
    <n v="100"/>
    <n v="161"/>
    <n v="36649"/>
    <n v="8"/>
    <n v="0"/>
    <s v="05-03-00"/>
    <n v="12"/>
    <n v="16"/>
    <x v="1"/>
    <x v="1"/>
    <n v="3"/>
    <x v="0"/>
    <n v="2"/>
    <n v="1"/>
    <x v="0"/>
    <s v="Zach"/>
    <x v="24"/>
    <x v="38"/>
    <x v="4"/>
    <n v="1"/>
    <n v="0"/>
    <n v="6"/>
    <n v="0"/>
    <x v="15"/>
    <x v="1"/>
    <x v="1"/>
    <x v="0"/>
    <x v="1"/>
    <n v="0"/>
    <n v="6"/>
    <n v="0"/>
    <x v="0"/>
    <x v="0"/>
    <x v="0"/>
    <n v="0"/>
    <n v="0"/>
    <n v="0"/>
    <n v="0"/>
    <n v="0"/>
    <n v="10"/>
    <n v="0"/>
    <n v="0"/>
    <n v="0"/>
    <x v="276"/>
  </r>
  <r>
    <x v="6"/>
    <x v="8"/>
    <x v="8"/>
    <x v="8"/>
    <x v="6"/>
    <n v="12"/>
    <x v="2"/>
    <n v="25"/>
    <s v="AKI"/>
    <x v="8"/>
    <x v="8"/>
    <x v="8"/>
    <x v="8"/>
    <x v="6"/>
    <n v="26.666666666666668"/>
    <n v="24"/>
    <x v="76"/>
    <n v="0"/>
    <x v="0"/>
    <n v="2"/>
    <s v="offensive"/>
    <n v="0.66666666666666663"/>
    <n v="0.1111111111111111"/>
    <n v="1"/>
    <n v="0"/>
    <n v="10"/>
    <n v="15"/>
    <n v="15"/>
    <n v="0"/>
    <x v="1"/>
    <n v="0"/>
    <n v="14"/>
    <n v="180"/>
    <n v="140"/>
    <n v="209"/>
    <n v="36709"/>
    <n v="9"/>
    <n v="0"/>
    <s v="07-02-00"/>
    <n v="3"/>
    <n v="9"/>
    <x v="0"/>
    <x v="3"/>
    <n v="3"/>
    <x v="0"/>
    <n v="2"/>
    <n v="1"/>
    <x v="0"/>
    <s v="Zach"/>
    <x v="8"/>
    <x v="39"/>
    <x v="4"/>
    <n v="3"/>
    <n v="0"/>
    <n v="12"/>
    <n v="6"/>
    <x v="9"/>
    <x v="1"/>
    <x v="1"/>
    <x v="0"/>
    <x v="1"/>
    <n v="3"/>
    <n v="24"/>
    <n v="2"/>
    <x v="1"/>
    <x v="0"/>
    <x v="0"/>
    <n v="0"/>
    <n v="0"/>
    <n v="0"/>
    <n v="0"/>
    <n v="0"/>
    <n v="10"/>
    <n v="9"/>
    <n v="0"/>
    <n v="0"/>
    <x v="277"/>
  </r>
  <r>
    <x v="14"/>
    <x v="17"/>
    <x v="16"/>
    <x v="17"/>
    <x v="14"/>
    <n v="21"/>
    <x v="11"/>
    <n v="11"/>
    <s v="AKI"/>
    <x v="12"/>
    <x v="12"/>
    <x v="12"/>
    <x v="12"/>
    <x v="12"/>
    <n v="42.084000000000003"/>
    <n v="40.5"/>
    <x v="11"/>
    <n v="0"/>
    <x v="45"/>
    <n v="0"/>
    <s v="offensive"/>
    <n v="0.75"/>
    <n v="0"/>
    <n v="0"/>
    <n v="0.6"/>
    <n v="0"/>
    <n v="20.64"/>
    <n v="18"/>
    <n v="2.6399999999999997"/>
    <x v="12"/>
    <n v="0"/>
    <n v="11"/>
    <n v="148"/>
    <n v="100"/>
    <n v="202"/>
    <n v="37014"/>
    <n v="9"/>
    <n v="0"/>
    <s v="05-03-01"/>
    <n v="10"/>
    <n v="11"/>
    <x v="1"/>
    <x v="1"/>
    <n v="3"/>
    <x v="0"/>
    <n v="2"/>
    <n v="1"/>
    <x v="0"/>
    <s v="Zach"/>
    <x v="17"/>
    <x v="40"/>
    <x v="4"/>
    <n v="4"/>
    <n v="0"/>
    <n v="18"/>
    <n v="6"/>
    <x v="9"/>
    <x v="1"/>
    <x v="1"/>
    <x v="0"/>
    <x v="0"/>
    <n v="0"/>
    <n v="0"/>
    <n v="0"/>
    <x v="0"/>
    <x v="0"/>
    <x v="1"/>
    <n v="0"/>
    <n v="11"/>
    <n v="0"/>
    <n v="0"/>
    <n v="0"/>
    <n v="0"/>
    <n v="0"/>
    <n v="0"/>
    <n v="0"/>
    <x v="278"/>
  </r>
  <r>
    <x v="24"/>
    <x v="34"/>
    <x v="21"/>
    <x v="33"/>
    <x v="2"/>
    <n v="28"/>
    <x v="8"/>
    <n v="3"/>
    <s v="AK"/>
    <x v="20"/>
    <x v="20"/>
    <x v="20"/>
    <x v="20"/>
    <x v="2"/>
    <n v="0"/>
    <n v="0"/>
    <x v="11"/>
    <n v="0"/>
    <x v="0"/>
    <n v="0"/>
    <s v="defensive"/>
    <n v="0"/>
    <n v="0"/>
    <n v="1"/>
    <n v="0"/>
    <n v="10"/>
    <n v="0"/>
    <n v="0"/>
    <n v="0"/>
    <x v="27"/>
    <n v="0"/>
    <n v="6"/>
    <n v="106"/>
    <n v="60"/>
    <n v="139"/>
    <n v="36591"/>
    <n v="9"/>
    <n v="0"/>
    <s v="03-06-00"/>
    <n v="28"/>
    <n v="26"/>
    <x v="1"/>
    <x v="1"/>
    <n v="3"/>
    <x v="0"/>
    <n v="2"/>
    <n v="1"/>
    <x v="0"/>
    <s v="Zach"/>
    <x v="34"/>
    <x v="41"/>
    <x v="4"/>
    <n v="0"/>
    <n v="0"/>
    <n v="0"/>
    <n v="0"/>
    <x v="9"/>
    <x v="1"/>
    <x v="1"/>
    <x v="1"/>
    <x v="1"/>
    <n v="0"/>
    <n v="0"/>
    <n v="1"/>
    <x v="0"/>
    <x v="0"/>
    <x v="0"/>
    <n v="0"/>
    <n v="66"/>
    <n v="0"/>
    <n v="0"/>
    <n v="0"/>
    <n v="10"/>
    <n v="0"/>
    <n v="0"/>
    <n v="0"/>
    <x v="279"/>
  </r>
  <r>
    <x v="22"/>
    <x v="30"/>
    <x v="26"/>
    <x v="29"/>
    <x v="21"/>
    <n v="7"/>
    <x v="15"/>
    <n v="25"/>
    <s v="AKI"/>
    <x v="18"/>
    <x v="18"/>
    <x v="18"/>
    <x v="18"/>
    <x v="10"/>
    <n v="26"/>
    <n v="6"/>
    <x v="11"/>
    <n v="20"/>
    <x v="0"/>
    <n v="0"/>
    <s v="offensive"/>
    <n v="0.33333333333333331"/>
    <n v="0"/>
    <n v="1"/>
    <n v="0"/>
    <n v="10"/>
    <n v="6"/>
    <n v="6"/>
    <n v="0"/>
    <x v="25"/>
    <n v="0"/>
    <n v="8"/>
    <n v="160"/>
    <n v="140"/>
    <n v="237"/>
    <n v="36620"/>
    <n v="8"/>
    <n v="0"/>
    <s v="04-04-00"/>
    <n v="18"/>
    <n v="5"/>
    <x v="1"/>
    <x v="1"/>
    <n v="3"/>
    <x v="0"/>
    <n v="2"/>
    <n v="1"/>
    <x v="0"/>
    <s v="Joseph Gamble"/>
    <x v="30"/>
    <x v="42"/>
    <x v="4"/>
    <n v="1"/>
    <n v="0"/>
    <n v="6"/>
    <n v="12"/>
    <x v="3"/>
    <x v="1"/>
    <x v="1"/>
    <x v="0"/>
    <x v="1"/>
    <n v="0"/>
    <n v="6"/>
    <n v="2"/>
    <x v="0"/>
    <x v="0"/>
    <x v="0"/>
    <n v="0"/>
    <n v="0"/>
    <n v="0"/>
    <n v="0"/>
    <n v="10"/>
    <n v="10"/>
    <n v="0"/>
    <n v="0"/>
    <n v="0"/>
    <x v="280"/>
  </r>
  <r>
    <x v="16"/>
    <x v="21"/>
    <x v="19"/>
    <x v="21"/>
    <x v="16"/>
    <n v="22"/>
    <x v="6"/>
    <n v="25"/>
    <s v="AK"/>
    <x v="9"/>
    <x v="9"/>
    <x v="9"/>
    <x v="9"/>
    <x v="2"/>
    <n v="38"/>
    <n v="18"/>
    <x v="11"/>
    <n v="20"/>
    <x v="0"/>
    <n v="0"/>
    <s v="offensive"/>
    <n v="1"/>
    <n v="0"/>
    <n v="1"/>
    <n v="0"/>
    <n v="10"/>
    <n v="6"/>
    <n v="6"/>
    <n v="0"/>
    <x v="16"/>
    <n v="0"/>
    <n v="10"/>
    <n v="102"/>
    <n v="190"/>
    <n v="152"/>
    <n v="36650"/>
    <n v="9"/>
    <n v="0"/>
    <s v="05-04-00"/>
    <n v="13"/>
    <n v="17"/>
    <x v="1"/>
    <x v="1"/>
    <n v="3"/>
    <x v="0"/>
    <n v="2"/>
    <n v="1"/>
    <x v="0"/>
    <s v="Joseph Gamble"/>
    <x v="21"/>
    <x v="43"/>
    <x v="4"/>
    <n v="3"/>
    <n v="0"/>
    <n v="6"/>
    <n v="0"/>
    <x v="6"/>
    <x v="1"/>
    <x v="1"/>
    <x v="0"/>
    <x v="1"/>
    <n v="0"/>
    <n v="15"/>
    <n v="1"/>
    <x v="0"/>
    <x v="0"/>
    <x v="0"/>
    <n v="0"/>
    <n v="0"/>
    <n v="0"/>
    <n v="0"/>
    <n v="10"/>
    <n v="10"/>
    <n v="0"/>
    <n v="0"/>
    <n v="0"/>
    <x v="281"/>
  </r>
  <r>
    <x v="10"/>
    <x v="12"/>
    <x v="11"/>
    <x v="12"/>
    <x v="10"/>
    <n v="20"/>
    <x v="8"/>
    <n v="25"/>
    <s v="A"/>
    <x v="2"/>
    <x v="2"/>
    <x v="2"/>
    <x v="2"/>
    <x v="9"/>
    <n v="8"/>
    <n v="6"/>
    <x v="11"/>
    <n v="0"/>
    <x v="0"/>
    <n v="2"/>
    <s v="defensive"/>
    <n v="0.33333333333333331"/>
    <n v="0"/>
    <n v="0"/>
    <n v="0"/>
    <n v="0"/>
    <n v="6"/>
    <n v="6"/>
    <n v="0"/>
    <x v="8"/>
    <n v="0"/>
    <n v="12"/>
    <n v="186"/>
    <n v="110"/>
    <n v="231"/>
    <n v="36680"/>
    <n v="9"/>
    <n v="0"/>
    <s v="06-03-00"/>
    <n v="5"/>
    <n v="10"/>
    <x v="1"/>
    <x v="1"/>
    <n v="3"/>
    <x v="0"/>
    <n v="2"/>
    <n v="1"/>
    <x v="0"/>
    <s v="Joseph Gamble"/>
    <x v="12"/>
    <x v="44"/>
    <x v="4"/>
    <n v="3"/>
    <n v="0"/>
    <n v="6"/>
    <n v="12"/>
    <x v="9"/>
    <x v="0"/>
    <x v="1"/>
    <x v="1"/>
    <x v="1"/>
    <n v="0"/>
    <n v="0"/>
    <n v="2"/>
    <x v="1"/>
    <x v="0"/>
    <x v="0"/>
    <n v="0"/>
    <n v="74"/>
    <n v="0"/>
    <n v="0"/>
    <n v="0"/>
    <n v="0"/>
    <n v="0"/>
    <n v="0"/>
    <n v="0"/>
    <x v="282"/>
  </r>
  <r>
    <x v="2"/>
    <x v="38"/>
    <x v="14"/>
    <x v="37"/>
    <x v="2"/>
    <n v="17"/>
    <x v="3"/>
    <n v="23"/>
    <s v="AKD"/>
    <x v="13"/>
    <x v="13"/>
    <x v="13"/>
    <x v="13"/>
    <x v="18"/>
    <n v="2"/>
    <n v="0"/>
    <x v="11"/>
    <n v="0"/>
    <x v="0"/>
    <n v="2"/>
    <s v="offensive"/>
    <n v="0"/>
    <n v="0"/>
    <n v="0"/>
    <n v="0"/>
    <n v="0"/>
    <n v="0"/>
    <n v="0"/>
    <n v="0"/>
    <x v="29"/>
    <n v="1"/>
    <n v="3"/>
    <n v="74"/>
    <n v="50"/>
    <n v="162"/>
    <n v="36897"/>
    <n v="8"/>
    <n v="0"/>
    <s v="01-06-01"/>
    <n v="39"/>
    <s v="DNP"/>
    <x v="1"/>
    <x v="1"/>
    <n v="3"/>
    <x v="0"/>
    <n v="2"/>
    <n v="1"/>
    <x v="0"/>
    <s v="Joseph Gamble"/>
    <x v="38"/>
    <x v="45"/>
    <x v="4"/>
    <n v="2"/>
    <n v="0"/>
    <n v="0"/>
    <n v="0"/>
    <x v="1"/>
    <x v="1"/>
    <x v="1"/>
    <x v="0"/>
    <x v="1"/>
    <n v="0"/>
    <n v="3"/>
    <n v="1"/>
    <x v="1"/>
    <x v="0"/>
    <x v="0"/>
    <n v="0"/>
    <n v="0"/>
    <n v="0"/>
    <n v="0"/>
    <n v="0"/>
    <n v="0"/>
    <n v="0"/>
    <n v="0"/>
    <n v="0"/>
    <x v="283"/>
  </r>
  <r>
    <x v="3"/>
    <x v="5"/>
    <x v="5"/>
    <x v="5"/>
    <x v="3"/>
    <n v="16"/>
    <x v="4"/>
    <n v="25"/>
    <s v="AKI"/>
    <x v="5"/>
    <x v="5"/>
    <x v="5"/>
    <x v="5"/>
    <x v="3"/>
    <n v="78"/>
    <n v="54"/>
    <x v="17"/>
    <n v="20"/>
    <x v="0"/>
    <n v="2"/>
    <s v="offensive"/>
    <n v="1"/>
    <n v="0.33333333333333331"/>
    <n v="1"/>
    <n v="0"/>
    <n v="10"/>
    <n v="21"/>
    <n v="21"/>
    <n v="0"/>
    <x v="1"/>
    <n v="0"/>
    <n v="12"/>
    <n v="142"/>
    <n v="110"/>
    <n v="112"/>
    <n v="36679"/>
    <n v="8"/>
    <n v="0"/>
    <s v="06-02-00"/>
    <n v="8"/>
    <n v="7"/>
    <x v="1"/>
    <x v="1"/>
    <n v="3"/>
    <x v="0"/>
    <n v="2"/>
    <n v="1"/>
    <x v="0"/>
    <s v="Brittany Lee"/>
    <x v="5"/>
    <x v="46"/>
    <x v="4"/>
    <n v="3"/>
    <n v="0"/>
    <n v="18"/>
    <n v="0"/>
    <x v="3"/>
    <x v="0"/>
    <x v="1"/>
    <x v="1"/>
    <x v="0"/>
    <n v="3"/>
    <n v="6"/>
    <n v="2"/>
    <x v="1"/>
    <x v="0"/>
    <x v="0"/>
    <n v="0"/>
    <n v="0"/>
    <n v="0"/>
    <n v="0"/>
    <n v="10"/>
    <n v="10"/>
    <n v="3"/>
    <n v="0"/>
    <n v="0"/>
    <x v="0"/>
  </r>
  <r>
    <x v="19"/>
    <x v="26"/>
    <x v="24"/>
    <x v="26"/>
    <x v="19"/>
    <n v="10"/>
    <x v="3"/>
    <n v="16"/>
    <s v="AK"/>
    <x v="17"/>
    <x v="17"/>
    <x v="17"/>
    <x v="17"/>
    <x v="2"/>
    <n v="37.225806451612904"/>
    <n v="6"/>
    <x v="77"/>
    <n v="0"/>
    <x v="0"/>
    <n v="0"/>
    <s v="offensive"/>
    <n v="0.33333333333333331"/>
    <n v="0.70967741935483875"/>
    <n v="0"/>
    <n v="0"/>
    <n v="0"/>
    <n v="28"/>
    <n v="28"/>
    <n v="0"/>
    <x v="21"/>
    <n v="0"/>
    <n v="7"/>
    <n v="128"/>
    <n v="40"/>
    <n v="148"/>
    <n v="36954"/>
    <n v="8"/>
    <n v="0"/>
    <s v="03-04-01"/>
    <n v="26"/>
    <n v="6"/>
    <x v="1"/>
    <x v="1"/>
    <n v="3"/>
    <x v="0"/>
    <n v="2"/>
    <n v="1"/>
    <x v="0"/>
    <s v="Brittany Lee"/>
    <x v="26"/>
    <x v="57"/>
    <x v="4"/>
    <n v="3"/>
    <n v="0"/>
    <n v="6"/>
    <n v="12"/>
    <x v="12"/>
    <x v="0"/>
    <x v="1"/>
    <x v="0"/>
    <x v="1"/>
    <n v="22"/>
    <n v="9"/>
    <n v="2"/>
    <x v="0"/>
    <x v="0"/>
    <x v="0"/>
    <n v="0"/>
    <n v="0"/>
    <n v="0"/>
    <n v="0"/>
    <n v="0"/>
    <n v="0"/>
    <n v="0"/>
    <n v="0"/>
    <n v="0"/>
    <x v="284"/>
  </r>
  <r>
    <x v="2"/>
    <x v="29"/>
    <x v="21"/>
    <x v="28"/>
    <x v="2"/>
    <n v="28"/>
    <x v="3"/>
    <n v="25"/>
    <s v="AKD"/>
    <x v="2"/>
    <x v="2"/>
    <x v="2"/>
    <x v="2"/>
    <x v="2"/>
    <n v="-2"/>
    <n v="0"/>
    <x v="11"/>
    <n v="0"/>
    <x v="0"/>
    <n v="-2"/>
    <s v="offensive"/>
    <n v="0"/>
    <n v="0"/>
    <n v="0"/>
    <n v="0"/>
    <n v="0"/>
    <n v="0"/>
    <n v="0"/>
    <n v="0"/>
    <x v="24"/>
    <n v="0"/>
    <n v="10"/>
    <n v="78"/>
    <n v="90"/>
    <n v="178"/>
    <n v="36650"/>
    <n v="9"/>
    <n v="0"/>
    <s v="05-04-00"/>
    <n v="14"/>
    <s v="DNP"/>
    <x v="1"/>
    <x v="1"/>
    <n v="3"/>
    <x v="0"/>
    <n v="2"/>
    <n v="1"/>
    <x v="0"/>
    <s v="Brittany Lee"/>
    <x v="29"/>
    <x v="47"/>
    <x v="4"/>
    <n v="0"/>
    <n v="0"/>
    <n v="0"/>
    <n v="0"/>
    <x v="0"/>
    <x v="1"/>
    <x v="1"/>
    <x v="1"/>
    <x v="1"/>
    <n v="0"/>
    <n v="0"/>
    <n v="0"/>
    <x v="0"/>
    <x v="0"/>
    <x v="0"/>
    <n v="0"/>
    <n v="0"/>
    <n v="0"/>
    <n v="0"/>
    <n v="0"/>
    <n v="0"/>
    <n v="0"/>
    <n v="0"/>
    <n v="0"/>
    <x v="285"/>
  </r>
  <r>
    <x v="15"/>
    <x v="19"/>
    <x v="18"/>
    <x v="19"/>
    <x v="15"/>
    <n v="11"/>
    <x v="2"/>
    <n v="25"/>
    <s v="AKI"/>
    <x v="14"/>
    <x v="14"/>
    <x v="14"/>
    <x v="14"/>
    <x v="1"/>
    <n v="21.5"/>
    <n v="0"/>
    <x v="45"/>
    <n v="20"/>
    <x v="0"/>
    <n v="0"/>
    <s v="offensive"/>
    <n v="0"/>
    <n v="0.25"/>
    <n v="1"/>
    <n v="0"/>
    <n v="10"/>
    <n v="3"/>
    <n v="3"/>
    <n v="0"/>
    <x v="14"/>
    <n v="0"/>
    <n v="4"/>
    <n v="94"/>
    <n v="70"/>
    <n v="162"/>
    <n v="36562"/>
    <n v="8"/>
    <n v="0"/>
    <s v="02-06-00"/>
    <n v="36"/>
    <n v="13"/>
    <x v="1"/>
    <x v="1"/>
    <n v="3"/>
    <x v="0"/>
    <n v="2"/>
    <n v="1"/>
    <x v="0"/>
    <s v="Reeti P."/>
    <x v="19"/>
    <x v="48"/>
    <x v="4"/>
    <n v="0"/>
    <n v="0"/>
    <n v="0"/>
    <n v="18"/>
    <x v="9"/>
    <x v="0"/>
    <x v="1"/>
    <x v="0"/>
    <x v="1"/>
    <n v="3"/>
    <n v="9"/>
    <n v="2"/>
    <x v="0"/>
    <x v="0"/>
    <x v="0"/>
    <n v="0"/>
    <n v="0"/>
    <n v="0"/>
    <n v="0"/>
    <n v="10"/>
    <n v="10"/>
    <n v="5"/>
    <n v="0"/>
    <n v="0"/>
    <x v="286"/>
  </r>
  <r>
    <x v="18"/>
    <x v="24"/>
    <x v="22"/>
    <x v="24"/>
    <x v="18"/>
    <n v="27"/>
    <x v="13"/>
    <n v="19"/>
    <s v="AI"/>
    <x v="7"/>
    <x v="7"/>
    <x v="7"/>
    <x v="7"/>
    <x v="10"/>
    <n v="31"/>
    <n v="9"/>
    <x v="11"/>
    <n v="20"/>
    <x v="0"/>
    <n v="2"/>
    <s v="offensive"/>
    <n v="0.5"/>
    <n v="0"/>
    <n v="1"/>
    <n v="0"/>
    <n v="10"/>
    <n v="16"/>
    <n v="16"/>
    <n v="0"/>
    <x v="19"/>
    <n v="0"/>
    <n v="10"/>
    <n v="158"/>
    <n v="100"/>
    <n v="161"/>
    <n v="36649"/>
    <n v="8"/>
    <n v="0"/>
    <s v="05-03-00"/>
    <n v="12"/>
    <n v="16"/>
    <x v="1"/>
    <x v="1"/>
    <n v="3"/>
    <x v="0"/>
    <n v="2"/>
    <n v="1"/>
    <x v="0"/>
    <s v="Reeti P."/>
    <x v="24"/>
    <x v="49"/>
    <x v="4"/>
    <n v="0"/>
    <n v="0"/>
    <n v="6"/>
    <n v="6"/>
    <x v="7"/>
    <x v="1"/>
    <x v="1"/>
    <x v="0"/>
    <x v="1"/>
    <n v="0"/>
    <n v="0"/>
    <n v="2"/>
    <x v="1"/>
    <x v="0"/>
    <x v="0"/>
    <n v="0"/>
    <n v="0"/>
    <n v="10"/>
    <n v="0"/>
    <n v="10"/>
    <n v="10"/>
    <n v="0"/>
    <n v="0"/>
    <n v="0"/>
    <x v="287"/>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Data" updatedVersion="3" asteriskTotals="1" showMemberPropertyTips="0" itemPrintTitles="1" createdVersion="1" indent="0" compact="0" compactData="0" gridDropZones="1" chartFormat="1">
  <location ref="A7:D54" firstHeaderRow="2" firstDataRow="2" firstDataCol="3" rowPageCount="3" colPageCount="1"/>
  <pivotFields count="77">
    <pivotField dataField="1" compact="0" outline="0" subtotalTop="0" showAll="0" includeNewItemsInFilter="1" defaultSubtotal="0">
      <items count="44">
        <item x="27"/>
        <item x="7"/>
        <item x="12"/>
        <item x="11"/>
        <item x="22"/>
        <item x="19"/>
        <item x="3"/>
        <item x="9"/>
        <item x="6"/>
        <item x="10"/>
        <item x="14"/>
        <item x="1"/>
        <item x="15"/>
        <item x="5"/>
        <item x="4"/>
        <item x="18"/>
        <item x="16"/>
        <item x="25"/>
        <item x="23"/>
        <item x="26"/>
        <item x="8"/>
        <item x="20"/>
        <item x="13"/>
        <item x="21"/>
        <item x="17"/>
        <item x="24"/>
        <item m="1" x="38"/>
        <item m="1" x="39"/>
        <item m="1" x="40"/>
        <item m="1" x="41"/>
        <item m="1" x="42"/>
        <item m="1" x="43"/>
        <item m="1" x="33"/>
        <item m="1" x="29"/>
        <item m="1" x="34"/>
        <item m="1" x="30"/>
        <item m="1" x="35"/>
        <item m="1" x="31"/>
        <item m="1" x="36"/>
        <item m="1" x="32"/>
        <item x="28"/>
        <item m="1" x="37"/>
        <item x="2"/>
        <item x="0"/>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numFmtId="166" outline="0" subtotalTop="0" showAll="0" includeNewItemsInFilter="1" defaultSubtotal="0"/>
    <pivotField compact="0" outline="0" subtotalTop="0" showAll="0" includeNewItemsInFilter="1" defaultSubtotal="0"/>
    <pivotField compact="0" numFmtId="9" outline="0" subtotalTop="0" showAll="0" includeNewItemsInFilter="1"/>
    <pivotField compact="0" numFmtId="9" outline="0" subtotalTop="0" showAll="0" includeNewItemsInFilter="1"/>
    <pivotField compact="0" numFmtId="9" outline="0" subtotalTop="0" showAll="0" includeNewItemsInFilter="1"/>
    <pivotField compact="0" numFmtId="9"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axis="axisPage" compact="0" outline="0" subtotalTop="0" showAll="0" includeNewItemsInFilter="1" defaultSubtotal="0">
      <items count="2">
        <item x="1"/>
        <item x="0"/>
      </items>
    </pivotField>
    <pivotField axis="axisRow" compact="0" outline="0" subtotalTop="0" showAll="0" includeNewItemsInFilter="1" sortType="ascending" defaultSubtotal="0">
      <items count="13">
        <item m="1" x="10"/>
        <item m="1" x="8"/>
        <item m="1" x="11"/>
        <item m="1" x="12"/>
        <item m="1" x="7"/>
        <item m="1" x="9"/>
        <item x="4"/>
        <item x="5"/>
        <item x="6"/>
        <item x="0"/>
        <item x="3"/>
        <item x="2"/>
        <item x="1"/>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5">
        <item x="2"/>
        <item x="0"/>
        <item x="1"/>
        <item x="3"/>
        <item t="default"/>
      </items>
    </pivotField>
    <pivotField compact="0" outline="0" subtotalTop="0" showAll="0" includeNewItemsInFilter="1"/>
    <pivotField axis="axisRow" compact="0" outline="0" subtotalTop="0" showAll="0" includeNewItemsInFilter="1" sortType="ascending" defaultSubtotal="0">
      <items count="43">
        <item m="1" x="42"/>
        <item x="3"/>
        <item x="4"/>
        <item x="5"/>
        <item x="6"/>
        <item x="39"/>
        <item x="7"/>
        <item x="8"/>
        <item x="9"/>
        <item x="10"/>
        <item x="11"/>
        <item x="12"/>
        <item x="13"/>
        <item x="0"/>
        <item x="14"/>
        <item x="15"/>
        <item x="1"/>
        <item x="16"/>
        <item x="17"/>
        <item x="18"/>
        <item x="19"/>
        <item x="20"/>
        <item x="21"/>
        <item m="1" x="41"/>
        <item x="22"/>
        <item x="23"/>
        <item x="24"/>
        <item x="25"/>
        <item x="26"/>
        <item x="27"/>
        <item x="28"/>
        <item x="29"/>
        <item x="30"/>
        <item x="31"/>
        <item x="32"/>
        <item x="33"/>
        <item x="34"/>
        <item x="35"/>
        <item x="36"/>
        <item x="2"/>
        <item x="37"/>
        <item x="38"/>
        <item x="40"/>
      </items>
    </pivotField>
    <pivotField compact="0" outline="0" subtotalTop="0" showAll="0" includeNewItemsInFilter="1">
      <items count="75">
        <item x="0"/>
        <item x="3"/>
        <item x="1"/>
        <item x="2"/>
        <item x="6"/>
        <item x="5"/>
        <item x="4"/>
        <item x="9"/>
        <item x="7"/>
        <item x="8"/>
        <item x="10"/>
        <item x="11"/>
        <item x="12"/>
        <item x="13"/>
        <item m="1" x="73"/>
        <item x="14"/>
        <item x="15"/>
        <item x="16"/>
        <item x="17"/>
        <item x="18"/>
        <item x="19"/>
        <item x="20"/>
        <item x="21"/>
        <item x="22"/>
        <item x="23"/>
        <item x="24"/>
        <item x="25"/>
        <item x="26"/>
        <item x="27"/>
        <item x="28"/>
        <item x="29"/>
        <item x="55"/>
        <item x="30"/>
        <item x="31"/>
        <item x="32"/>
        <item x="33"/>
        <item x="34"/>
        <item x="35"/>
        <item x="36"/>
        <item x="37"/>
        <item x="38"/>
        <item x="39"/>
        <item x="40"/>
        <item x="41"/>
        <item x="42"/>
        <item x="43"/>
        <item x="44"/>
        <item x="45"/>
        <item x="46"/>
        <item x="47"/>
        <item x="48"/>
        <item x="49"/>
        <item x="50"/>
        <item x="51"/>
        <item x="52"/>
        <item x="53"/>
        <item x="54"/>
        <item x="56"/>
        <item x="57"/>
        <item x="58"/>
        <item x="59"/>
        <item x="60"/>
        <item x="61"/>
        <item x="62"/>
        <item x="63"/>
        <item x="64"/>
        <item x="65"/>
        <item x="66"/>
        <item x="67"/>
        <item x="68"/>
        <item x="69"/>
        <item x="70"/>
        <item x="71"/>
        <item x="72"/>
        <item t="default"/>
      </items>
    </pivotField>
    <pivotField axis="axisPage" compact="0" outline="0" subtotalTop="0" showAll="0" includeNewItemsInFilter="1">
      <items count="7">
        <item x="5"/>
        <item x="1"/>
        <item x="4"/>
        <item x="0"/>
        <item x="2"/>
        <item x="3"/>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Row" compact="0" outline="0" subtotalTop="0" showAll="0" includeNewItemsInFilter="1">
      <items count="290">
        <item x="1"/>
        <item h="1" x="0"/>
        <item x="2"/>
        <item x="3"/>
        <item x="4"/>
        <item x="5"/>
        <item x="6"/>
        <item x="7"/>
        <item x="8"/>
        <item x="9"/>
        <item x="10"/>
        <item x="12"/>
        <item x="13"/>
        <item x="14"/>
        <item x="15"/>
        <item x="16"/>
        <item x="11"/>
        <item x="17"/>
        <item x="18"/>
        <item x="19"/>
        <item x="20"/>
        <item x="21"/>
        <item x="22"/>
        <item x="23"/>
        <item x="24"/>
        <item x="25"/>
        <item x="26"/>
        <item x="27"/>
        <item x="28"/>
        <item x="29"/>
        <item x="30"/>
        <item x="31"/>
        <item x="32"/>
        <item x="33"/>
        <item x="34"/>
        <item x="35"/>
        <item x="44"/>
        <item x="45"/>
        <item x="46"/>
        <item x="47"/>
        <item x="48"/>
        <item x="49"/>
        <item x="50"/>
        <item x="51"/>
        <item x="52"/>
        <item x="53"/>
        <item x="54"/>
        <item x="55"/>
        <item x="56"/>
        <item x="57"/>
        <item x="58"/>
        <item x="59"/>
        <item x="60"/>
        <item x="61"/>
        <item x="62"/>
        <item x="63"/>
        <item x="64"/>
        <item x="65"/>
        <item m="1" x="288"/>
        <item x="76"/>
        <item x="77"/>
        <item x="78"/>
        <item x="79"/>
        <item x="80"/>
        <item x="81"/>
        <item x="87"/>
        <item x="88"/>
        <item x="89"/>
        <item x="90"/>
        <item x="91"/>
        <item x="92"/>
        <item x="93"/>
        <item x="94"/>
        <item x="95"/>
        <item x="75"/>
        <item x="96"/>
        <item x="97"/>
        <item x="98"/>
        <item x="99"/>
        <item x="36"/>
        <item x="37"/>
        <item x="38"/>
        <item x="39"/>
        <item x="40"/>
        <item x="41"/>
        <item x="42"/>
        <item x="43"/>
        <item x="66"/>
        <item x="67"/>
        <item x="68"/>
        <item x="69"/>
        <item x="70"/>
        <item x="71"/>
        <item x="72"/>
        <item x="73"/>
        <item x="74"/>
        <item x="82"/>
        <item x="83"/>
        <item x="84"/>
        <item x="85"/>
        <item x="86"/>
        <item x="100"/>
        <item x="101"/>
        <item x="102"/>
        <item x="103"/>
        <item x="104"/>
        <item x="105"/>
        <item x="106"/>
        <item x="107"/>
        <item x="108"/>
        <item x="109"/>
        <item x="110"/>
        <item x="111"/>
        <item x="112"/>
        <item x="138"/>
        <item x="139"/>
        <item x="140"/>
        <item x="141"/>
        <item x="142"/>
        <item x="143"/>
        <item x="144"/>
        <item x="167"/>
        <item x="168"/>
        <item x="169"/>
        <item x="170"/>
        <item x="171"/>
        <item x="172"/>
        <item x="181"/>
        <item x="214"/>
        <item x="215"/>
        <item x="216"/>
        <item x="217"/>
        <item x="218"/>
        <item x="219"/>
        <item x="220"/>
        <item x="113"/>
        <item x="114"/>
        <item x="115"/>
        <item x="116"/>
        <item x="117"/>
        <item x="118"/>
        <item x="119"/>
        <item x="120"/>
        <item x="121"/>
        <item x="122"/>
        <item x="123"/>
        <item x="124"/>
        <item x="125"/>
        <item x="126"/>
        <item x="127"/>
        <item x="128"/>
        <item x="129"/>
        <item x="130"/>
        <item x="131"/>
        <item x="132"/>
        <item x="133"/>
        <item x="134"/>
        <item x="135"/>
        <item x="136"/>
        <item x="137"/>
        <item x="145"/>
        <item x="146"/>
        <item x="147"/>
        <item x="148"/>
        <item x="149"/>
        <item x="150"/>
        <item x="151"/>
        <item x="152"/>
        <item x="153"/>
        <item x="154"/>
        <item x="155"/>
        <item x="156"/>
        <item x="157"/>
        <item x="158"/>
        <item x="159"/>
        <item x="160"/>
        <item x="161"/>
        <item x="162"/>
        <item x="163"/>
        <item x="164"/>
        <item x="165"/>
        <item x="166"/>
        <item x="173"/>
        <item x="174"/>
        <item x="175"/>
        <item x="176"/>
        <item x="177"/>
        <item x="178"/>
        <item x="179"/>
        <item x="180"/>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t="default"/>
      </items>
    </pivotField>
  </pivotFields>
  <rowFields count="3">
    <field x="42"/>
    <field x="49"/>
    <field x="76"/>
  </rowFields>
  <rowItems count="46">
    <i>
      <x v="6"/>
      <x v="10"/>
      <x v="32"/>
    </i>
    <i r="2">
      <x v="68"/>
    </i>
    <i r="2">
      <x v="126"/>
    </i>
    <i r="2">
      <x v="153"/>
    </i>
    <i r="2">
      <x v="192"/>
    </i>
    <i r="2">
      <x v="230"/>
    </i>
    <i r="2">
      <x v="258"/>
    </i>
    <i>
      <x v="7"/>
      <x v="12"/>
      <x v="38"/>
    </i>
    <i r="2">
      <x v="55"/>
    </i>
    <i r="2">
      <x v="100"/>
    </i>
    <i r="2">
      <x v="107"/>
    </i>
    <i r="2">
      <x v="120"/>
    </i>
    <i r="2">
      <x v="158"/>
    </i>
    <i r="2">
      <x v="166"/>
    </i>
    <i r="2">
      <x v="210"/>
    </i>
    <i r="2">
      <x v="213"/>
    </i>
    <i>
      <x v="8"/>
      <x v="29"/>
      <x v="92"/>
    </i>
    <i r="2">
      <x v="97"/>
    </i>
    <i r="2">
      <x v="134"/>
    </i>
    <i r="2">
      <x v="150"/>
    </i>
    <i r="2">
      <x v="202"/>
    </i>
    <i r="2">
      <x v="252"/>
    </i>
    <i>
      <x v="9"/>
      <x v="13"/>
      <x/>
    </i>
    <i r="2">
      <x v="14"/>
    </i>
    <i r="2">
      <x v="16"/>
    </i>
    <i r="2">
      <x v="54"/>
    </i>
    <i r="2">
      <x v="65"/>
    </i>
    <i r="2">
      <x v="145"/>
    </i>
    <i r="2">
      <x v="175"/>
    </i>
    <i r="2">
      <x v="191"/>
    </i>
    <i r="2">
      <x v="201"/>
    </i>
    <i>
      <x v="10"/>
      <x v="7"/>
      <x v="37"/>
    </i>
    <i r="2">
      <x v="129"/>
    </i>
    <i r="2">
      <x v="152"/>
    </i>
    <i r="2">
      <x v="179"/>
    </i>
    <i r="2">
      <x v="238"/>
    </i>
    <i r="2">
      <x v="259"/>
    </i>
    <i r="2">
      <x v="274"/>
    </i>
    <i r="2">
      <x v="278"/>
    </i>
    <i>
      <x v="11"/>
      <x v="6"/>
      <x v="31"/>
    </i>
    <i r="2">
      <x v="60"/>
    </i>
    <i r="2">
      <x v="98"/>
    </i>
    <i r="2">
      <x v="115"/>
    </i>
    <i r="2">
      <x v="209"/>
    </i>
    <i r="2">
      <x v="264"/>
    </i>
    <i t="grand">
      <x/>
    </i>
  </rowItems>
  <colItems count="1">
    <i/>
  </colItems>
  <pageFields count="3">
    <pageField fld="41" item="1" hier="-1"/>
    <pageField fld="51" hier="-1"/>
    <pageField fld="47" hier="0"/>
  </pageFields>
  <dataFields count="1">
    <dataField name="Count of Order Overall" fld="0" subtotal="count" baseField="0" baseItem="0"/>
  </dataFields>
  <formats count="26">
    <format dxfId="274">
      <pivotArea field="51" type="button" dataOnly="0" labelOnly="1" outline="0" axis="axisPage" fieldPosition="1"/>
    </format>
    <format dxfId="273">
      <pivotArea field="50" type="button" dataOnly="0" labelOnly="1" outline="0"/>
    </format>
    <format dxfId="272">
      <pivotArea field="76" type="button" dataOnly="0" labelOnly="1" outline="0" axis="axisRow" fieldPosition="2"/>
    </format>
    <format dxfId="271">
      <pivotArea dataOnly="0" labelOnly="1" grandRow="1" outline="0" fieldPosition="0"/>
    </format>
    <format dxfId="270">
      <pivotArea field="76" type="button" dataOnly="0" labelOnly="1" outline="0" axis="axisRow" fieldPosition="2"/>
    </format>
    <format dxfId="269">
      <pivotArea field="0" type="button" dataOnly="0" labelOnly="1" outline="0"/>
    </format>
    <format dxfId="268">
      <pivotArea dataOnly="0" labelOnly="1" outline="0" fieldPosition="0">
        <references count="1">
          <reference field="47" count="0"/>
        </references>
      </pivotArea>
    </format>
    <format dxfId="267">
      <pivotArea field="49" type="button" dataOnly="0" labelOnly="1" outline="0" axis="axisRow" fieldPosition="1"/>
    </format>
    <format dxfId="266">
      <pivotArea dataOnly="0" labelOnly="1" outline="0" fieldPosition="0">
        <references count="1">
          <reference field="47" count="0"/>
        </references>
      </pivotArea>
    </format>
    <format dxfId="265">
      <pivotArea field="41" type="button" dataOnly="0" labelOnly="1" outline="0" axis="axisPage" fieldPosition="0"/>
    </format>
    <format dxfId="264">
      <pivotArea field="51" type="button" dataOnly="0" labelOnly="1" outline="0" axis="axisPage" fieldPosition="1"/>
    </format>
    <format dxfId="263">
      <pivotArea field="47" type="button" dataOnly="0" labelOnly="1" outline="0" axis="axisPage" fieldPosition="2"/>
    </format>
    <format dxfId="262">
      <pivotArea type="origin" dataOnly="0" labelOnly="1" outline="0" fieldPosition="0"/>
    </format>
    <format dxfId="261">
      <pivotArea field="49" type="button" dataOnly="0" labelOnly="1" outline="0" axis="axisRow" fieldPosition="1"/>
    </format>
    <format dxfId="260">
      <pivotArea dataOnly="0" labelOnly="1" outline="0" fieldPosition="0">
        <references count="1">
          <reference field="49" count="41">
            <x v="1"/>
            <x v="2"/>
            <x v="3"/>
            <x v="4"/>
            <x v="5"/>
            <x v="6"/>
            <x v="7"/>
            <x v="8"/>
            <x v="9"/>
            <x v="10"/>
            <x v="11"/>
            <x v="12"/>
            <x v="13"/>
            <x v="14"/>
            <x v="15"/>
            <x v="16"/>
            <x v="17"/>
            <x v="18"/>
            <x v="19"/>
            <x v="20"/>
            <x v="21"/>
            <x v="22"/>
            <x v="23"/>
            <x v="24"/>
            <x v="25"/>
            <x v="26"/>
            <x v="27"/>
            <x v="28"/>
            <x v="29"/>
            <x v="30"/>
            <x v="31"/>
            <x v="32"/>
            <x v="33"/>
            <x v="34"/>
            <x v="35"/>
            <x v="36"/>
            <x v="37"/>
            <x v="38"/>
            <x v="39"/>
            <x v="40"/>
            <x v="41"/>
          </reference>
        </references>
      </pivotArea>
    </format>
    <format dxfId="259">
      <pivotArea dataOnly="0" labelOnly="1" grandRow="1" outline="0" fieldPosition="0"/>
    </format>
    <format dxfId="258">
      <pivotArea field="42" type="button" dataOnly="0" labelOnly="1" outline="0" axis="axisRow" fieldPosition="0"/>
    </format>
    <format dxfId="257">
      <pivotArea field="49" type="button" dataOnly="0" labelOnly="1" outline="0" axis="axisRow" fieldPosition="1"/>
    </format>
    <format dxfId="256">
      <pivotArea field="76" type="button" dataOnly="0" labelOnly="1" outline="0" axis="axisRow" fieldPosition="2"/>
    </format>
    <format dxfId="255">
      <pivotArea dataOnly="0" labelOnly="1" grandRow="1" outline="0" fieldPosition="0"/>
    </format>
    <format dxfId="254">
      <pivotArea dataOnly="0" labelOnly="1" outline="0" fieldPosition="0">
        <references count="3">
          <reference field="42" count="1" selected="0">
            <x v="11"/>
          </reference>
          <reference field="49" count="1" selected="0">
            <x v="41"/>
          </reference>
          <reference field="76" count="11">
            <x v="4"/>
            <x v="7"/>
            <x v="8"/>
            <x v="12"/>
            <x v="13"/>
            <x v="59"/>
            <x v="77"/>
            <x v="103"/>
            <x v="109"/>
            <x v="184"/>
            <x v="231"/>
          </reference>
        </references>
      </pivotArea>
    </format>
    <format dxfId="253">
      <pivotArea dataOnly="0" labelOnly="1" outline="0" fieldPosition="0">
        <references count="3">
          <reference field="42" count="1" selected="0">
            <x v="10"/>
          </reference>
          <reference field="49" count="1" selected="0">
            <x v="38"/>
          </reference>
          <reference field="76" count="5">
            <x v="49"/>
            <x v="81"/>
            <x v="108"/>
            <x v="119"/>
            <x v="147"/>
          </reference>
        </references>
      </pivotArea>
    </format>
    <format dxfId="252">
      <pivotArea dataOnly="0" labelOnly="1" outline="0" fieldPosition="0">
        <references count="3">
          <reference field="42" count="1" selected="0">
            <x v="9"/>
          </reference>
          <reference field="49" count="1" selected="0">
            <x v="15"/>
          </reference>
          <reference field="76" count="5">
            <x v="33"/>
            <x v="99"/>
            <x v="205"/>
            <x v="212"/>
            <x v="243"/>
          </reference>
        </references>
      </pivotArea>
    </format>
    <format dxfId="251">
      <pivotArea dataOnly="0" labelOnly="1" outline="0" fieldPosition="0">
        <references count="3">
          <reference field="42" count="1" selected="0">
            <x v="8"/>
          </reference>
          <reference field="49" count="1" selected="0">
            <x v="13"/>
          </reference>
          <reference field="76" count="9">
            <x v="0"/>
            <x v="14"/>
            <x v="16"/>
            <x v="54"/>
            <x v="65"/>
            <x v="145"/>
            <x v="175"/>
            <x v="191"/>
            <x v="201"/>
          </reference>
        </references>
      </pivotArea>
    </format>
    <format dxfId="250">
      <pivotArea dataOnly="0" labelOnly="1" outline="0" fieldPosition="0">
        <references count="3">
          <reference field="42" count="1" selected="0">
            <x v="7"/>
          </reference>
          <reference field="49" count="1" selected="0">
            <x v="9"/>
          </reference>
          <reference field="76" count="5">
            <x v="47"/>
            <x v="56"/>
            <x v="86"/>
            <x v="117"/>
            <x v="169"/>
          </reference>
        </references>
      </pivotArea>
    </format>
    <format dxfId="249">
      <pivotArea dataOnly="0" labelOnly="1" outline="0" fieldPosition="0">
        <references count="3">
          <reference field="42" count="1" selected="0">
            <x v="6"/>
          </reference>
          <reference field="49" count="1" selected="0">
            <x v="28"/>
          </reference>
          <reference field="76" count="5">
            <x v="18"/>
            <x v="91"/>
            <x v="111"/>
            <x v="223"/>
            <x v="235"/>
          </reference>
        </references>
      </pivotArea>
    </format>
  </formats>
  <pivotTableStyleInfo showRowHeaders="1" showColHeaders="1" showRowStripes="0" showColStripes="0" showLastColumn="1"/>
</pivotTableDefinition>
</file>

<file path=xl/pivotTables/pivotTable2.xml><?xml version="1.0" encoding="utf-8"?>
<pivotTableDefinition xmlns="http://schemas.openxmlformats.org/spreadsheetml/2006/main" name="PivotTable1" cacheId="0" applyNumberFormats="0" applyBorderFormats="0" applyFontFormats="0" applyPatternFormats="0" applyAlignmentFormats="0" applyWidthHeightFormats="1" dataCaption="Data" updatedVersion="3" asteriskTotals="1" showMemberPropertyTips="0" itemPrintTitles="1" createdVersion="1" indent="0" compact="0" compactData="0" gridDropZones="1" chartFormat="1">
  <location ref="A5:D296" firstHeaderRow="2" firstDataRow="2" firstDataCol="3" rowPageCount="3" colPageCount="1"/>
  <pivotFields count="77">
    <pivotField axis="axisRow" dataField="1" compact="0" outline="0" subtotalTop="0" showAll="0" includeNewItemsInFilter="1" defaultSubtotal="0">
      <items count="44">
        <item x="27"/>
        <item x="7"/>
        <item x="12"/>
        <item x="11"/>
        <item x="22"/>
        <item x="19"/>
        <item x="3"/>
        <item x="9"/>
        <item x="6"/>
        <item x="10"/>
        <item x="14"/>
        <item x="1"/>
        <item x="15"/>
        <item x="5"/>
        <item x="4"/>
        <item x="18"/>
        <item x="16"/>
        <item x="25"/>
        <item x="23"/>
        <item x="26"/>
        <item x="8"/>
        <item x="20"/>
        <item x="13"/>
        <item x="21"/>
        <item x="17"/>
        <item x="24"/>
        <item m="1" x="38"/>
        <item m="1" x="39"/>
        <item m="1" x="40"/>
        <item m="1" x="41"/>
        <item m="1" x="42"/>
        <item m="1" x="43"/>
        <item m="1" x="33"/>
        <item m="1" x="29"/>
        <item m="1" x="34"/>
        <item m="1" x="30"/>
        <item m="1" x="35"/>
        <item m="1" x="31"/>
        <item m="1" x="36"/>
        <item m="1" x="32"/>
        <item x="28"/>
        <item m="1" x="37"/>
        <item x="2"/>
        <item x="0"/>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numFmtId="166" outline="0" subtotalTop="0" showAll="0" includeNewItemsInFilter="1" defaultSubtotal="0"/>
    <pivotField compact="0" outline="0" subtotalTop="0" showAll="0" includeNewItemsInFilter="1" defaultSubtotal="0"/>
    <pivotField compact="0" numFmtId="9" outline="0" subtotalTop="0" showAll="0" includeNewItemsInFilter="1"/>
    <pivotField compact="0" numFmtId="9" outline="0" subtotalTop="0" showAll="0" includeNewItemsInFilter="1"/>
    <pivotField compact="0" numFmtId="9" outline="0" subtotalTop="0" showAll="0" includeNewItemsInFilter="1"/>
    <pivotField compact="0" numFmtId="9"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axis="axisPage" compact="0" outline="0" subtotalTop="0" showAll="0" includeNewItemsInFilter="1" defaultSubtotal="0">
      <items count="2">
        <item x="1"/>
        <item x="0"/>
      </items>
    </pivotField>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5">
        <item x="2"/>
        <item x="0"/>
        <item x="1"/>
        <item x="3"/>
        <item t="default"/>
      </items>
    </pivotField>
    <pivotField compact="0" outline="0" subtotalTop="0" showAll="0" includeNewItemsInFilter="1"/>
    <pivotField axis="axisRow" compact="0" outline="0" subtotalTop="0" showAll="0" includeNewItemsInFilter="1" sortType="ascending" defaultSubtotal="0">
      <items count="43">
        <item m="1" x="42"/>
        <item x="3"/>
        <item x="4"/>
        <item x="5"/>
        <item x="6"/>
        <item x="39"/>
        <item x="7"/>
        <item x="8"/>
        <item x="9"/>
        <item x="10"/>
        <item x="11"/>
        <item x="12"/>
        <item x="13"/>
        <item x="0"/>
        <item x="14"/>
        <item x="15"/>
        <item x="1"/>
        <item x="16"/>
        <item x="17"/>
        <item x="18"/>
        <item x="19"/>
        <item x="20"/>
        <item x="21"/>
        <item m="1" x="41"/>
        <item x="22"/>
        <item x="23"/>
        <item x="24"/>
        <item x="25"/>
        <item x="26"/>
        <item x="27"/>
        <item x="28"/>
        <item x="29"/>
        <item x="30"/>
        <item x="31"/>
        <item x="32"/>
        <item x="33"/>
        <item x="34"/>
        <item x="35"/>
        <item x="36"/>
        <item x="2"/>
        <item x="37"/>
        <item x="38"/>
        <item x="40"/>
      </items>
    </pivotField>
    <pivotField compact="0" outline="0" subtotalTop="0" showAll="0" includeNewItemsInFilter="1">
      <items count="75">
        <item x="0"/>
        <item x="3"/>
        <item x="1"/>
        <item x="2"/>
        <item x="6"/>
        <item x="5"/>
        <item x="4"/>
        <item x="9"/>
        <item x="7"/>
        <item x="8"/>
        <item x="10"/>
        <item x="11"/>
        <item x="12"/>
        <item x="13"/>
        <item m="1" x="73"/>
        <item x="14"/>
        <item x="15"/>
        <item x="16"/>
        <item x="17"/>
        <item x="18"/>
        <item x="19"/>
        <item x="20"/>
        <item x="21"/>
        <item x="22"/>
        <item x="23"/>
        <item x="24"/>
        <item x="25"/>
        <item x="26"/>
        <item x="27"/>
        <item x="28"/>
        <item x="29"/>
        <item x="55"/>
        <item x="30"/>
        <item x="31"/>
        <item x="32"/>
        <item x="33"/>
        <item x="34"/>
        <item x="35"/>
        <item x="36"/>
        <item x="37"/>
        <item x="38"/>
        <item x="39"/>
        <item x="40"/>
        <item x="41"/>
        <item x="42"/>
        <item x="43"/>
        <item x="44"/>
        <item x="45"/>
        <item x="46"/>
        <item x="47"/>
        <item x="48"/>
        <item x="49"/>
        <item x="50"/>
        <item x="51"/>
        <item x="52"/>
        <item x="53"/>
        <item x="54"/>
        <item x="56"/>
        <item x="57"/>
        <item x="58"/>
        <item x="59"/>
        <item x="60"/>
        <item x="61"/>
        <item x="62"/>
        <item x="63"/>
        <item x="64"/>
        <item x="65"/>
        <item x="66"/>
        <item x="67"/>
        <item x="68"/>
        <item x="69"/>
        <item x="70"/>
        <item x="71"/>
        <item x="72"/>
        <item t="default"/>
      </items>
    </pivotField>
    <pivotField axis="axisPage" compact="0" outline="0" subtotalTop="0" showAll="0" includeNewItemsInFilter="1">
      <items count="7">
        <item x="5"/>
        <item x="1"/>
        <item x="4"/>
        <item x="0"/>
        <item x="2"/>
        <item x="3"/>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Row" compact="0" outline="0" subtotalTop="0" showAll="0" includeNewItemsInFilter="1">
      <items count="290">
        <item x="1"/>
        <item h="1" x="0"/>
        <item x="2"/>
        <item x="3"/>
        <item x="4"/>
        <item x="5"/>
        <item x="6"/>
        <item x="7"/>
        <item x="8"/>
        <item x="9"/>
        <item x="10"/>
        <item x="12"/>
        <item x="13"/>
        <item x="14"/>
        <item x="15"/>
        <item x="16"/>
        <item x="11"/>
        <item x="17"/>
        <item x="18"/>
        <item x="19"/>
        <item x="20"/>
        <item x="21"/>
        <item x="22"/>
        <item x="23"/>
        <item x="24"/>
        <item x="25"/>
        <item x="26"/>
        <item x="27"/>
        <item x="28"/>
        <item x="29"/>
        <item x="30"/>
        <item x="31"/>
        <item x="32"/>
        <item x="33"/>
        <item x="34"/>
        <item x="35"/>
        <item x="44"/>
        <item x="45"/>
        <item x="46"/>
        <item x="47"/>
        <item x="48"/>
        <item x="49"/>
        <item x="50"/>
        <item x="51"/>
        <item x="52"/>
        <item x="53"/>
        <item x="54"/>
        <item x="55"/>
        <item x="56"/>
        <item x="57"/>
        <item x="58"/>
        <item x="59"/>
        <item x="60"/>
        <item x="61"/>
        <item x="62"/>
        <item x="63"/>
        <item x="64"/>
        <item x="65"/>
        <item m="1" x="288"/>
        <item x="76"/>
        <item x="77"/>
        <item x="78"/>
        <item x="79"/>
        <item x="80"/>
        <item x="81"/>
        <item x="87"/>
        <item x="88"/>
        <item x="89"/>
        <item x="90"/>
        <item x="91"/>
        <item x="92"/>
        <item x="93"/>
        <item x="94"/>
        <item x="95"/>
        <item x="75"/>
        <item x="96"/>
        <item x="97"/>
        <item x="98"/>
        <item x="99"/>
        <item x="36"/>
        <item x="37"/>
        <item x="38"/>
        <item x="39"/>
        <item x="40"/>
        <item x="41"/>
        <item x="42"/>
        <item x="43"/>
        <item x="66"/>
        <item x="67"/>
        <item x="68"/>
        <item x="69"/>
        <item x="70"/>
        <item x="71"/>
        <item x="72"/>
        <item x="73"/>
        <item x="74"/>
        <item x="82"/>
        <item x="83"/>
        <item x="84"/>
        <item x="85"/>
        <item x="86"/>
        <item x="100"/>
        <item x="101"/>
        <item x="102"/>
        <item x="103"/>
        <item x="104"/>
        <item x="105"/>
        <item x="106"/>
        <item x="107"/>
        <item x="108"/>
        <item x="109"/>
        <item x="110"/>
        <item x="111"/>
        <item x="112"/>
        <item x="138"/>
        <item x="139"/>
        <item x="140"/>
        <item x="141"/>
        <item x="142"/>
        <item x="143"/>
        <item x="144"/>
        <item x="167"/>
        <item x="168"/>
        <item x="169"/>
        <item x="170"/>
        <item x="171"/>
        <item x="172"/>
        <item x="181"/>
        <item x="214"/>
        <item x="215"/>
        <item x="216"/>
        <item x="217"/>
        <item x="218"/>
        <item x="219"/>
        <item x="220"/>
        <item x="113"/>
        <item x="114"/>
        <item x="115"/>
        <item x="116"/>
        <item x="117"/>
        <item x="118"/>
        <item x="119"/>
        <item x="120"/>
        <item x="121"/>
        <item x="122"/>
        <item x="123"/>
        <item x="124"/>
        <item x="125"/>
        <item x="126"/>
        <item x="127"/>
        <item x="128"/>
        <item x="129"/>
        <item x="130"/>
        <item x="131"/>
        <item x="132"/>
        <item x="133"/>
        <item x="134"/>
        <item x="135"/>
        <item x="136"/>
        <item x="137"/>
        <item x="145"/>
        <item x="146"/>
        <item x="147"/>
        <item x="148"/>
        <item x="149"/>
        <item x="150"/>
        <item x="151"/>
        <item x="152"/>
        <item x="153"/>
        <item x="154"/>
        <item x="155"/>
        <item x="156"/>
        <item x="157"/>
        <item x="158"/>
        <item x="159"/>
        <item x="160"/>
        <item x="161"/>
        <item x="162"/>
        <item x="163"/>
        <item x="164"/>
        <item x="165"/>
        <item x="166"/>
        <item x="173"/>
        <item x="174"/>
        <item x="175"/>
        <item x="176"/>
        <item x="177"/>
        <item x="178"/>
        <item x="179"/>
        <item x="180"/>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t="default"/>
      </items>
    </pivotField>
  </pivotFields>
  <rowFields count="3">
    <field x="49"/>
    <field x="0"/>
    <field x="76"/>
  </rowFields>
  <rowItems count="290">
    <i>
      <x v="1"/>
      <x v="42"/>
      <x v="11"/>
    </i>
    <i r="2">
      <x v="24"/>
    </i>
    <i r="2">
      <x v="70"/>
    </i>
    <i r="2">
      <x v="125"/>
    </i>
    <i r="2">
      <x v="173"/>
    </i>
    <i r="2">
      <x v="190"/>
    </i>
    <i r="2">
      <x v="200"/>
    </i>
    <i>
      <x v="2"/>
      <x v="42"/>
      <x v="40"/>
    </i>
    <i r="2">
      <x v="44"/>
    </i>
    <i r="2">
      <x v="90"/>
    </i>
    <i r="2">
      <x v="136"/>
    </i>
    <i r="2">
      <x v="155"/>
    </i>
    <i r="2">
      <x v="165"/>
    </i>
    <i r="2">
      <x v="193"/>
    </i>
    <i r="2">
      <x v="239"/>
    </i>
    <i>
      <x v="3"/>
      <x v="6"/>
      <x v="2"/>
    </i>
    <i r="2">
      <x v="21"/>
    </i>
    <i r="2">
      <x v="112"/>
    </i>
    <i r="2">
      <x v="139"/>
    </i>
    <i r="2">
      <x v="245"/>
    </i>
    <i>
      <x v="4"/>
      <x v="14"/>
      <x v="6"/>
    </i>
    <i r="2">
      <x v="15"/>
    </i>
    <i r="2">
      <x v="27"/>
    </i>
    <i r="2">
      <x v="42"/>
    </i>
    <i r="2">
      <x v="53"/>
    </i>
    <i r="2">
      <x v="141"/>
    </i>
    <i r="2">
      <x v="178"/>
    </i>
    <i r="2">
      <x v="195"/>
    </i>
    <i r="2">
      <x v="250"/>
    </i>
    <i r="2">
      <x v="256"/>
    </i>
    <i r="2">
      <x v="271"/>
    </i>
    <i>
      <x v="5"/>
      <x/>
      <x v="79"/>
    </i>
    <i r="2">
      <x v="143"/>
    </i>
    <i r="2">
      <x v="183"/>
    </i>
    <i r="2">
      <x v="220"/>
    </i>
    <i r="2">
      <x v="240"/>
    </i>
    <i>
      <x v="6"/>
      <x v="13"/>
      <x v="31"/>
    </i>
    <i r="2">
      <x v="60"/>
    </i>
    <i r="2">
      <x v="98"/>
    </i>
    <i r="2">
      <x v="115"/>
    </i>
    <i r="2">
      <x v="209"/>
    </i>
    <i r="2">
      <x v="264"/>
    </i>
    <i>
      <x v="7"/>
      <x v="8"/>
      <x v="37"/>
    </i>
    <i r="2">
      <x v="129"/>
    </i>
    <i r="2">
      <x v="152"/>
    </i>
    <i r="2">
      <x v="179"/>
    </i>
    <i r="2">
      <x v="238"/>
    </i>
    <i r="2">
      <x v="259"/>
    </i>
    <i r="2">
      <x v="274"/>
    </i>
    <i r="2">
      <x v="278"/>
    </i>
    <i>
      <x v="8"/>
      <x v="1"/>
      <x v="3"/>
    </i>
    <i r="2">
      <x v="10"/>
    </i>
    <i r="2">
      <x v="26"/>
    </i>
    <i r="2">
      <x v="85"/>
    </i>
    <i r="2">
      <x v="130"/>
    </i>
    <i r="2">
      <x v="206"/>
    </i>
    <i r="2">
      <x v="218"/>
    </i>
    <i r="2">
      <x v="228"/>
    </i>
    <i>
      <x v="9"/>
      <x v="20"/>
      <x v="47"/>
    </i>
    <i r="2">
      <x v="56"/>
    </i>
    <i r="2">
      <x v="86"/>
    </i>
    <i r="2">
      <x v="117"/>
    </i>
    <i r="2">
      <x v="169"/>
    </i>
    <i r="2">
      <x v="251"/>
    </i>
    <i r="2">
      <x v="254"/>
    </i>
    <i>
      <x v="10"/>
      <x v="7"/>
      <x v="32"/>
    </i>
    <i r="2">
      <x v="68"/>
    </i>
    <i r="2">
      <x v="126"/>
    </i>
    <i r="2">
      <x v="153"/>
    </i>
    <i r="2">
      <x v="192"/>
    </i>
    <i r="2">
      <x v="230"/>
    </i>
    <i r="2">
      <x v="258"/>
    </i>
    <i>
      <x v="11"/>
      <x v="9"/>
      <x v="48"/>
    </i>
    <i r="2">
      <x v="106"/>
    </i>
    <i r="2">
      <x v="131"/>
    </i>
    <i r="2">
      <x v="216"/>
    </i>
    <i r="2">
      <x v="248"/>
    </i>
    <i r="2">
      <x v="269"/>
    </i>
    <i r="2">
      <x v="272"/>
    </i>
    <i r="2">
      <x v="283"/>
    </i>
    <i>
      <x v="12"/>
      <x v="3"/>
      <x v="38"/>
    </i>
    <i r="2">
      <x v="55"/>
    </i>
    <i r="2">
      <x v="100"/>
    </i>
    <i r="2">
      <x v="107"/>
    </i>
    <i r="2">
      <x v="120"/>
    </i>
    <i r="2">
      <x v="158"/>
    </i>
    <i r="2">
      <x v="166"/>
    </i>
    <i r="2">
      <x v="210"/>
    </i>
    <i r="2">
      <x v="213"/>
    </i>
    <i>
      <x v="13"/>
      <x v="43"/>
      <x/>
    </i>
    <i r="2">
      <x v="14"/>
    </i>
    <i r="2">
      <x v="16"/>
    </i>
    <i r="2">
      <x v="54"/>
    </i>
    <i r="2">
      <x v="65"/>
    </i>
    <i r="2">
      <x v="145"/>
    </i>
    <i r="2">
      <x v="175"/>
    </i>
    <i r="2">
      <x v="191"/>
    </i>
    <i r="2">
      <x v="201"/>
    </i>
    <i>
      <x v="14"/>
      <x v="2"/>
      <x v="69"/>
    </i>
    <i r="2">
      <x v="84"/>
    </i>
    <i r="2">
      <x v="123"/>
    </i>
    <i r="2">
      <x v="144"/>
    </i>
    <i r="2">
      <x v="151"/>
    </i>
    <i r="2">
      <x v="198"/>
    </i>
    <i r="2">
      <x v="244"/>
    </i>
    <i>
      <x v="15"/>
      <x v="22"/>
      <x v="33"/>
    </i>
    <i r="2">
      <x v="99"/>
    </i>
    <i r="2">
      <x v="205"/>
    </i>
    <i r="2">
      <x v="212"/>
    </i>
    <i r="2">
      <x v="243"/>
    </i>
    <i>
      <x v="16"/>
      <x v="11"/>
      <x v="72"/>
    </i>
    <i r="2">
      <x v="113"/>
    </i>
    <i r="2">
      <x v="171"/>
    </i>
    <i r="2">
      <x v="260"/>
    </i>
    <i r="2">
      <x v="261"/>
    </i>
    <i r="2">
      <x v="267"/>
    </i>
    <i r="2">
      <x v="276"/>
    </i>
    <i>
      <x v="17"/>
      <x v="42"/>
      <x v="45"/>
    </i>
    <i r="2">
      <x v="61"/>
    </i>
    <i r="2">
      <x v="170"/>
    </i>
    <i r="2">
      <x v="182"/>
    </i>
    <i r="2">
      <x v="186"/>
    </i>
    <i>
      <x v="18"/>
      <x v="10"/>
      <x v="87"/>
    </i>
    <i r="2">
      <x v="121"/>
    </i>
    <i r="2">
      <x v="174"/>
    </i>
    <i r="2">
      <x v="203"/>
    </i>
    <i r="2">
      <x v="219"/>
    </i>
    <i r="2">
      <x v="279"/>
    </i>
    <i>
      <x v="19"/>
      <x v="42"/>
      <x v="41"/>
    </i>
    <i r="2">
      <x v="64"/>
    </i>
    <i r="2">
      <x v="88"/>
    </i>
    <i r="2">
      <x v="127"/>
    </i>
    <i r="2">
      <x v="140"/>
    </i>
    <i r="2">
      <x v="214"/>
    </i>
    <i r="2">
      <x v="226"/>
    </i>
    <i>
      <x v="20"/>
      <x v="12"/>
      <x v="35"/>
    </i>
    <i r="2">
      <x v="50"/>
    </i>
    <i r="2">
      <x v="135"/>
    </i>
    <i r="2">
      <x v="148"/>
    </i>
    <i r="2">
      <x v="250"/>
    </i>
    <i r="2">
      <x v="270"/>
    </i>
    <i r="2">
      <x v="287"/>
    </i>
    <i>
      <x v="21"/>
      <x v="42"/>
      <x/>
    </i>
    <i r="2">
      <x v="36"/>
    </i>
    <i r="2">
      <x v="52"/>
    </i>
    <i r="2">
      <x v="101"/>
    </i>
    <i r="2">
      <x v="114"/>
    </i>
    <i r="2">
      <x v="207"/>
    </i>
    <i r="2">
      <x v="225"/>
    </i>
    <i r="2">
      <x v="232"/>
    </i>
    <i r="2">
      <x v="247"/>
    </i>
    <i>
      <x v="22"/>
      <x v="16"/>
      <x v="29"/>
    </i>
    <i r="2">
      <x v="122"/>
    </i>
    <i r="2">
      <x v="221"/>
    </i>
    <i r="2">
      <x v="224"/>
    </i>
    <i r="2">
      <x v="241"/>
    </i>
    <i r="2">
      <x v="265"/>
    </i>
    <i r="2">
      <x v="273"/>
    </i>
    <i r="2">
      <x v="282"/>
    </i>
    <i>
      <x v="24"/>
      <x v="24"/>
      <x v="28"/>
    </i>
    <i r="2">
      <x v="76"/>
    </i>
    <i r="2">
      <x v="116"/>
    </i>
    <i r="2">
      <x v="163"/>
    </i>
    <i r="2">
      <x v="181"/>
    </i>
    <i r="2">
      <x v="188"/>
    </i>
    <i r="2">
      <x v="236"/>
    </i>
    <i>
      <x v="25"/>
      <x v="42"/>
      <x v="20"/>
    </i>
    <i r="2">
      <x v="46"/>
    </i>
    <i r="2">
      <x v="57"/>
    </i>
    <i r="2">
      <x v="104"/>
    </i>
    <i r="2">
      <x v="142"/>
    </i>
    <i r="2">
      <x v="162"/>
    </i>
    <i r="2">
      <x v="172"/>
    </i>
    <i>
      <x v="26"/>
      <x v="15"/>
      <x v="62"/>
    </i>
    <i r="2">
      <x v="255"/>
    </i>
    <i r="2">
      <x v="262"/>
    </i>
    <i r="2">
      <x v="277"/>
    </i>
    <i r="2">
      <x v="288"/>
    </i>
    <i>
      <x v="27"/>
      <x v="42"/>
      <x v="19"/>
    </i>
    <i r="2">
      <x v="25"/>
    </i>
    <i r="2">
      <x v="73"/>
    </i>
    <i r="2">
      <x v="78"/>
    </i>
    <i r="2">
      <x v="149"/>
    </i>
    <i r="2">
      <x v="164"/>
    </i>
    <i r="2">
      <x v="204"/>
    </i>
    <i r="2">
      <x v="246"/>
    </i>
    <i>
      <x v="28"/>
      <x v="5"/>
      <x v="18"/>
    </i>
    <i r="2">
      <x v="91"/>
    </i>
    <i r="2">
      <x v="111"/>
    </i>
    <i r="2">
      <x v="223"/>
    </i>
    <i r="2">
      <x v="235"/>
    </i>
    <i r="2">
      <x v="285"/>
    </i>
    <i>
      <x v="29"/>
      <x v="21"/>
      <x v="92"/>
    </i>
    <i r="2">
      <x v="97"/>
    </i>
    <i r="2">
      <x v="134"/>
    </i>
    <i r="2">
      <x v="150"/>
    </i>
    <i r="2">
      <x v="202"/>
    </i>
    <i r="2">
      <x v="252"/>
    </i>
    <i>
      <x v="30"/>
      <x v="23"/>
      <x v="51"/>
    </i>
    <i r="2">
      <x v="75"/>
    </i>
    <i r="2">
      <x v="146"/>
    </i>
    <i r="2">
      <x v="156"/>
    </i>
    <i r="2">
      <x v="167"/>
    </i>
    <i r="2">
      <x v="194"/>
    </i>
    <i r="2">
      <x v="197"/>
    </i>
    <i>
      <x v="31"/>
      <x v="42"/>
      <x v="39"/>
    </i>
    <i r="2">
      <x v="43"/>
    </i>
    <i r="2">
      <x v="94"/>
    </i>
    <i r="2">
      <x v="132"/>
    </i>
    <i r="2">
      <x v="137"/>
    </i>
    <i r="2">
      <x v="211"/>
    </i>
    <i r="2">
      <x v="249"/>
    </i>
    <i r="2">
      <x v="286"/>
    </i>
    <i>
      <x v="32"/>
      <x v="4"/>
      <x v="5"/>
    </i>
    <i r="2">
      <x v="9"/>
    </i>
    <i r="2">
      <x v="17"/>
    </i>
    <i r="2">
      <x v="74"/>
    </i>
    <i r="2">
      <x v="93"/>
    </i>
    <i r="2">
      <x v="154"/>
    </i>
    <i r="2">
      <x v="185"/>
    </i>
    <i r="2">
      <x v="233"/>
    </i>
    <i r="2">
      <x v="281"/>
    </i>
    <i>
      <x v="33"/>
      <x v="18"/>
      <x v="82"/>
    </i>
    <i r="2">
      <x v="128"/>
    </i>
    <i r="2">
      <x v="161"/>
    </i>
    <i r="2">
      <x v="176"/>
    </i>
    <i r="2">
      <x v="199"/>
    </i>
    <i r="2">
      <x v="268"/>
    </i>
    <i r="2">
      <x v="275"/>
    </i>
    <i>
      <x v="34"/>
      <x v="42"/>
      <x v="23"/>
    </i>
    <i r="2">
      <x v="66"/>
    </i>
    <i r="2">
      <x v="83"/>
    </i>
    <i r="2">
      <x v="95"/>
    </i>
    <i r="2">
      <x v="133"/>
    </i>
    <i r="2">
      <x v="234"/>
    </i>
    <i r="2">
      <x v="242"/>
    </i>
    <i>
      <x v="35"/>
      <x v="42"/>
      <x v="67"/>
    </i>
    <i r="2">
      <x v="71"/>
    </i>
    <i r="2">
      <x v="110"/>
    </i>
    <i r="2">
      <x v="187"/>
    </i>
    <i r="2">
      <x v="217"/>
    </i>
    <i r="2">
      <x v="222"/>
    </i>
    <i r="2">
      <x v="237"/>
    </i>
    <i>
      <x v="36"/>
      <x v="25"/>
      <x v="22"/>
    </i>
    <i r="2">
      <x v="63"/>
    </i>
    <i r="2">
      <x v="105"/>
    </i>
    <i r="2">
      <x v="124"/>
    </i>
    <i r="2">
      <x v="168"/>
    </i>
    <i r="2">
      <x v="180"/>
    </i>
    <i r="2">
      <x v="196"/>
    </i>
    <i r="2">
      <x v="280"/>
    </i>
    <i>
      <x v="37"/>
      <x v="17"/>
      <x v="34"/>
    </i>
    <i r="2">
      <x v="89"/>
    </i>
    <i r="2">
      <x v="159"/>
    </i>
    <i r="2">
      <x v="227"/>
    </i>
    <i r="2">
      <x v="253"/>
    </i>
    <i r="2">
      <x v="257"/>
    </i>
    <i r="2">
      <x v="266"/>
    </i>
    <i>
      <x v="38"/>
      <x v="19"/>
      <x v="49"/>
    </i>
    <i r="2">
      <x v="81"/>
    </i>
    <i r="2">
      <x v="108"/>
    </i>
    <i r="2">
      <x v="119"/>
    </i>
    <i r="2">
      <x v="147"/>
    </i>
    <i r="2">
      <x v="263"/>
    </i>
    <i>
      <x v="39"/>
      <x v="42"/>
      <x v="96"/>
    </i>
    <i r="2">
      <x v="118"/>
    </i>
    <i r="2">
      <x v="157"/>
    </i>
    <i r="2">
      <x v="160"/>
    </i>
    <i r="2">
      <x v="215"/>
    </i>
    <i r="2">
      <x v="229"/>
    </i>
    <i>
      <x v="40"/>
      <x v="42"/>
      <x v="30"/>
    </i>
    <i r="2">
      <x v="80"/>
    </i>
    <i r="2">
      <x v="102"/>
    </i>
    <i r="2">
      <x v="138"/>
    </i>
    <i r="2">
      <x v="177"/>
    </i>
    <i r="2">
      <x v="189"/>
    </i>
    <i r="2">
      <x v="208"/>
    </i>
    <i>
      <x v="41"/>
      <x v="42"/>
      <x v="4"/>
    </i>
    <i r="2">
      <x v="7"/>
    </i>
    <i r="2">
      <x v="8"/>
    </i>
    <i r="2">
      <x v="12"/>
    </i>
    <i r="2">
      <x v="13"/>
    </i>
    <i r="2">
      <x v="59"/>
    </i>
    <i r="2">
      <x v="77"/>
    </i>
    <i r="2">
      <x v="103"/>
    </i>
    <i r="2">
      <x v="109"/>
    </i>
    <i r="2">
      <x v="184"/>
    </i>
    <i r="2">
      <x v="231"/>
    </i>
    <i r="2">
      <x v="284"/>
    </i>
    <i t="grand">
      <x/>
    </i>
  </rowItems>
  <colItems count="1">
    <i/>
  </colItems>
  <pageFields count="3">
    <pageField fld="41" hier="-1"/>
    <pageField fld="51" hier="-1"/>
    <pageField fld="47" hier="0"/>
  </pageFields>
  <dataFields count="1">
    <dataField name="Count of Order Overall" fld="0" subtotal="count" baseField="0" baseItem="0"/>
  </dataFields>
  <formats count="100">
    <format dxfId="248">
      <pivotArea field="51" type="button" dataOnly="0" labelOnly="1" outline="0" axis="axisPage" fieldPosition="1"/>
    </format>
    <format dxfId="247">
      <pivotArea field="50" type="button" dataOnly="0" labelOnly="1" outline="0"/>
    </format>
    <format dxfId="246">
      <pivotArea field="76" type="button" dataOnly="0" labelOnly="1" outline="0" axis="axisRow" fieldPosition="2"/>
    </format>
    <format dxfId="245">
      <pivotArea dataOnly="0" labelOnly="1" grandRow="1" outline="0" fieldPosition="0"/>
    </format>
    <format dxfId="244">
      <pivotArea dataOnly="0" labelOnly="1" outline="0" fieldPosition="0">
        <references count="3">
          <reference field="0" count="1" selected="0">
            <x v="0"/>
          </reference>
          <reference field="49" count="1" selected="0">
            <x v="21"/>
          </reference>
          <reference field="76" count="0"/>
        </references>
      </pivotArea>
    </format>
    <format dxfId="243">
      <pivotArea dataOnly="0" labelOnly="1" outline="0" fieldPosition="0">
        <references count="3">
          <reference field="0" count="1" selected="0">
            <x v="1"/>
          </reference>
          <reference field="49" count="1" selected="0">
            <x v="2"/>
          </reference>
          <reference field="76" count="1">
            <x v="1"/>
          </reference>
        </references>
      </pivotArea>
    </format>
    <format dxfId="242">
      <pivotArea dataOnly="0" labelOnly="1" outline="0" fieldPosition="0">
        <references count="3">
          <reference field="0" count="1" selected="0">
            <x v="2"/>
          </reference>
          <reference field="49" count="1" selected="0">
            <x v="18"/>
          </reference>
          <reference field="76" count="1">
            <x v="1"/>
          </reference>
        </references>
      </pivotArea>
    </format>
    <format dxfId="241">
      <pivotArea dataOnly="0" labelOnly="1" outline="0" fieldPosition="0">
        <references count="3">
          <reference field="0" count="1" selected="0">
            <x v="3"/>
          </reference>
          <reference field="49" count="1" selected="0">
            <x v="10"/>
          </reference>
          <reference field="76" count="1">
            <x v="1"/>
          </reference>
        </references>
      </pivotArea>
    </format>
    <format dxfId="240">
      <pivotArea dataOnly="0" labelOnly="1" outline="0" fieldPosition="0">
        <references count="3">
          <reference field="0" count="1" selected="0">
            <x v="4"/>
          </reference>
          <reference field="49" count="1" selected="0">
            <x v="35"/>
          </reference>
          <reference field="76" count="1">
            <x v="1"/>
          </reference>
        </references>
      </pivotArea>
    </format>
    <format dxfId="239">
      <pivotArea dataOnly="0" labelOnly="1" outline="0" fieldPosition="0">
        <references count="3">
          <reference field="0" count="1" selected="0">
            <x v="5"/>
          </reference>
          <reference field="49" count="1" selected="0">
            <x v="14"/>
          </reference>
          <reference field="76" count="1">
            <x v="1"/>
          </reference>
        </references>
      </pivotArea>
    </format>
    <format dxfId="238">
      <pivotArea dataOnly="0" labelOnly="1" outline="0" fieldPosition="0">
        <references count="3">
          <reference field="0" count="1" selected="0">
            <x v="5"/>
          </reference>
          <reference field="49" count="1" selected="0">
            <x v="22"/>
          </reference>
          <reference field="76" count="1">
            <x v="1"/>
          </reference>
        </references>
      </pivotArea>
    </format>
    <format dxfId="237">
      <pivotArea dataOnly="0" labelOnly="1" outline="0" fieldPosition="0">
        <references count="3">
          <reference field="0" count="1" selected="0">
            <x v="7"/>
          </reference>
          <reference field="49" count="1" selected="0">
            <x v="31"/>
          </reference>
          <reference field="76" count="1">
            <x v="1"/>
          </reference>
        </references>
      </pivotArea>
    </format>
    <format dxfId="236">
      <pivotArea dataOnly="0" labelOnly="1" outline="0" fieldPosition="0">
        <references count="3">
          <reference field="0" count="1" selected="0">
            <x v="8"/>
          </reference>
          <reference field="49" count="1" selected="0">
            <x v="6"/>
          </reference>
          <reference field="76" count="1">
            <x v="1"/>
          </reference>
        </references>
      </pivotArea>
    </format>
    <format dxfId="235">
      <pivotArea dataOnly="0" labelOnly="1" outline="0" fieldPosition="0">
        <references count="3">
          <reference field="0" count="1" selected="0">
            <x v="9"/>
          </reference>
          <reference field="49" count="1" selected="0">
            <x v="27"/>
          </reference>
          <reference field="76" count="1">
            <x v="1"/>
          </reference>
        </references>
      </pivotArea>
    </format>
    <format dxfId="234">
      <pivotArea dataOnly="0" labelOnly="1" outline="0" fieldPosition="0">
        <references count="3">
          <reference field="0" count="1" selected="0">
            <x v="10"/>
          </reference>
          <reference field="49" count="1" selected="0">
            <x v="39"/>
          </reference>
          <reference field="76" count="1">
            <x v="1"/>
          </reference>
        </references>
      </pivotArea>
    </format>
    <format dxfId="233">
      <pivotArea dataOnly="0" labelOnly="1" outline="0" fieldPosition="0">
        <references count="3">
          <reference field="0" count="1" selected="0">
            <x v="11"/>
          </reference>
          <reference field="49" count="1" selected="0">
            <x v="34"/>
          </reference>
          <reference field="76" count="1">
            <x v="1"/>
          </reference>
        </references>
      </pivotArea>
    </format>
    <format dxfId="232">
      <pivotArea dataOnly="0" labelOnly="1" outline="0" fieldPosition="0">
        <references count="3">
          <reference field="0" count="1" selected="0">
            <x v="12"/>
          </reference>
          <reference field="49" count="1" selected="0">
            <x v="37"/>
          </reference>
          <reference field="76" count="1">
            <x v="1"/>
          </reference>
        </references>
      </pivotArea>
    </format>
    <format dxfId="231">
      <pivotArea dataOnly="0" labelOnly="1" outline="0" fieldPosition="0">
        <references count="3">
          <reference field="0" count="1" selected="0">
            <x v="13"/>
          </reference>
          <reference field="49" count="1" selected="0">
            <x v="30"/>
          </reference>
          <reference field="76" count="1">
            <x v="1"/>
          </reference>
        </references>
      </pivotArea>
    </format>
    <format dxfId="230">
      <pivotArea dataOnly="0" labelOnly="1" outline="0" fieldPosition="0">
        <references count="3">
          <reference field="0" count="1" selected="0">
            <x v="14"/>
          </reference>
          <reference field="49" count="1" selected="0">
            <x v="25"/>
          </reference>
          <reference field="76" count="1">
            <x v="1"/>
          </reference>
        </references>
      </pivotArea>
    </format>
    <format dxfId="229">
      <pivotArea dataOnly="0" labelOnly="1" outline="0" fieldPosition="0">
        <references count="3">
          <reference field="0" count="1" selected="0">
            <x v="15"/>
          </reference>
          <reference field="49" count="1" selected="0">
            <x v="20"/>
          </reference>
          <reference field="76" count="1">
            <x v="1"/>
          </reference>
        </references>
      </pivotArea>
    </format>
    <format dxfId="228">
      <pivotArea dataOnly="0" labelOnly="1" outline="0" fieldPosition="0">
        <references count="3">
          <reference field="0" count="1" selected="0">
            <x v="16"/>
          </reference>
          <reference field="49" count="1" selected="0">
            <x v="38"/>
          </reference>
          <reference field="76" count="1">
            <x v="1"/>
          </reference>
        </references>
      </pivotArea>
    </format>
    <format dxfId="227">
      <pivotArea dataOnly="0" labelOnly="1" outline="0" fieldPosition="0">
        <references count="3">
          <reference field="0" count="1" selected="0">
            <x v="17"/>
          </reference>
          <reference field="49" count="1" selected="0">
            <x v="13"/>
          </reference>
          <reference field="76" count="0"/>
        </references>
      </pivotArea>
    </format>
    <format dxfId="226">
      <pivotArea dataOnly="0" labelOnly="1" outline="0" fieldPosition="0">
        <references count="3">
          <reference field="0" count="1" selected="0">
            <x v="18"/>
          </reference>
          <reference field="49" count="1" selected="0">
            <x v="9"/>
          </reference>
          <reference field="76" count="1">
            <x v="1"/>
          </reference>
        </references>
      </pivotArea>
    </format>
    <format dxfId="225">
      <pivotArea dataOnly="0" labelOnly="1" outline="0" fieldPosition="0">
        <references count="3">
          <reference field="0" count="1" selected="0">
            <x v="19"/>
          </reference>
          <reference field="49" count="1" selected="0">
            <x v="5"/>
          </reference>
          <reference field="76" count="1">
            <x v="1"/>
          </reference>
        </references>
      </pivotArea>
    </format>
    <format dxfId="224">
      <pivotArea dataOnly="0" labelOnly="1" outline="0" fieldPosition="0">
        <references count="3">
          <reference field="0" count="1" selected="0">
            <x v="20"/>
          </reference>
          <reference field="49" count="1" selected="0">
            <x v="26"/>
          </reference>
          <reference field="76" count="1">
            <x v="1"/>
          </reference>
        </references>
      </pivotArea>
    </format>
    <format dxfId="223">
      <pivotArea dataOnly="0" labelOnly="1" outline="0" fieldPosition="0">
        <references count="3">
          <reference field="0" count="1" selected="0">
            <x v="21"/>
          </reference>
          <reference field="49" count="1" selected="0">
            <x v="33"/>
          </reference>
          <reference field="76" count="1">
            <x v="1"/>
          </reference>
        </references>
      </pivotArea>
    </format>
    <format dxfId="222">
      <pivotArea dataOnly="0" labelOnly="1" outline="0" fieldPosition="0">
        <references count="3">
          <reference field="0" count="1" selected="0">
            <x v="22"/>
          </reference>
          <reference field="49" count="1" selected="0">
            <x v="11"/>
          </reference>
          <reference field="76" count="1">
            <x v="1"/>
          </reference>
        </references>
      </pivotArea>
    </format>
    <format dxfId="221">
      <pivotArea dataOnly="0" labelOnly="1" outline="0" fieldPosition="0">
        <references count="3">
          <reference field="0" count="1" selected="0">
            <x v="23"/>
          </reference>
          <reference field="49" count="1" selected="0">
            <x v="19"/>
          </reference>
          <reference field="76" count="1">
            <x v="1"/>
          </reference>
        </references>
      </pivotArea>
    </format>
    <format dxfId="220">
      <pivotArea dataOnly="0" labelOnly="1" outline="0" fieldPosition="0">
        <references count="3">
          <reference field="0" count="1" selected="0">
            <x v="24"/>
          </reference>
          <reference field="49" count="1" selected="0">
            <x v="17"/>
          </reference>
          <reference field="76" count="1">
            <x v="1"/>
          </reference>
        </references>
      </pivotArea>
    </format>
    <format dxfId="219">
      <pivotArea dataOnly="0" labelOnly="1" outline="0" fieldPosition="0">
        <references count="3">
          <reference field="0" count="1" selected="0">
            <x v="25"/>
          </reference>
          <reference field="49" count="1" selected="0">
            <x v="1"/>
          </reference>
          <reference field="76" count="1">
            <x v="1"/>
          </reference>
        </references>
      </pivotArea>
    </format>
    <format dxfId="218">
      <pivotArea dataOnly="0" labelOnly="1" outline="0" fieldPosition="0">
        <references count="3">
          <reference field="0" count="1" selected="0">
            <x v="26"/>
          </reference>
          <reference field="49" count="1" selected="0">
            <x v="4"/>
          </reference>
          <reference field="76" count="1">
            <x v="1"/>
          </reference>
        </references>
      </pivotArea>
    </format>
    <format dxfId="217">
      <pivotArea dataOnly="0" labelOnly="1" outline="0" fieldPosition="0">
        <references count="3">
          <reference field="0" count="1" selected="0">
            <x v="27"/>
          </reference>
          <reference field="49" count="1" selected="0">
            <x v="16"/>
          </reference>
          <reference field="76" count="1">
            <x v="1"/>
          </reference>
        </references>
      </pivotArea>
    </format>
    <format dxfId="216">
      <pivotArea dataOnly="0" labelOnly="1" outline="0" fieldPosition="0">
        <references count="3">
          <reference field="0" count="1" selected="0">
            <x v="28"/>
          </reference>
          <reference field="49" count="1" selected="0">
            <x v="24"/>
          </reference>
          <reference field="76" count="1">
            <x v="1"/>
          </reference>
        </references>
      </pivotArea>
    </format>
    <format dxfId="215">
      <pivotArea dataOnly="0" labelOnly="1" outline="0" fieldPosition="0">
        <references count="3">
          <reference field="0" count="1" selected="0">
            <x v="29"/>
          </reference>
          <reference field="49" count="1" selected="0">
            <x v="15"/>
          </reference>
          <reference field="76" count="1">
            <x v="1"/>
          </reference>
        </references>
      </pivotArea>
    </format>
    <format dxfId="214">
      <pivotArea dataOnly="0" labelOnly="1" outline="0" fieldPosition="0">
        <references count="3">
          <reference field="0" count="1" selected="0">
            <x v="30"/>
          </reference>
          <reference field="49" count="1" selected="0">
            <x v="32"/>
          </reference>
          <reference field="76" count="1">
            <x v="1"/>
          </reference>
        </references>
      </pivotArea>
    </format>
    <format dxfId="213">
      <pivotArea dataOnly="0" labelOnly="1" outline="0" fieldPosition="0">
        <references count="3">
          <reference field="0" count="1" selected="0">
            <x v="31"/>
          </reference>
          <reference field="49" count="1" selected="0">
            <x v="7"/>
          </reference>
          <reference field="76" count="1">
            <x v="1"/>
          </reference>
        </references>
      </pivotArea>
    </format>
    <format dxfId="212">
      <pivotArea dataOnly="0" labelOnly="1" outline="0" fieldPosition="0">
        <references count="3">
          <reference field="0" count="1" selected="0">
            <x v="32"/>
          </reference>
          <reference field="49" count="1" selected="0">
            <x v="36"/>
          </reference>
          <reference field="76" count="1">
            <x v="1"/>
          </reference>
        </references>
      </pivotArea>
    </format>
    <format dxfId="211">
      <pivotArea dataOnly="0" labelOnly="1" outline="0" fieldPosition="0">
        <references count="3">
          <reference field="0" count="1" selected="0">
            <x v="33"/>
          </reference>
          <reference field="49" count="1" selected="0">
            <x v="3"/>
          </reference>
          <reference field="76" count="1">
            <x v="1"/>
          </reference>
        </references>
      </pivotArea>
    </format>
    <format dxfId="210">
      <pivotArea dataOnly="0" labelOnly="1" outline="0" fieldPosition="0">
        <references count="3">
          <reference field="0" count="1" selected="0">
            <x v="34"/>
          </reference>
          <reference field="49" count="1" selected="0">
            <x v="40"/>
          </reference>
          <reference field="76" count="1">
            <x v="1"/>
          </reference>
        </references>
      </pivotArea>
    </format>
    <format dxfId="209">
      <pivotArea dataOnly="0" labelOnly="1" outline="0" fieldPosition="0">
        <references count="3">
          <reference field="0" count="1" selected="0">
            <x v="35"/>
          </reference>
          <reference field="49" count="1" selected="0">
            <x v="29"/>
          </reference>
          <reference field="76" count="1">
            <x v="1"/>
          </reference>
        </references>
      </pivotArea>
    </format>
    <format dxfId="208">
      <pivotArea dataOnly="0" labelOnly="1" outline="0" fieldPosition="0">
        <references count="3">
          <reference field="0" count="1" selected="0">
            <x v="36"/>
          </reference>
          <reference field="49" count="1" selected="0">
            <x v="41"/>
          </reference>
          <reference field="76" count="1">
            <x v="1"/>
          </reference>
        </references>
      </pivotArea>
    </format>
    <format dxfId="207">
      <pivotArea dataOnly="0" labelOnly="1" outline="0" fieldPosition="0">
        <references count="3">
          <reference field="0" count="1" selected="0">
            <x v="37"/>
          </reference>
          <reference field="49" count="1" selected="0">
            <x v="28"/>
          </reference>
          <reference field="76" count="1">
            <x v="1"/>
          </reference>
        </references>
      </pivotArea>
    </format>
    <format dxfId="206">
      <pivotArea dataOnly="0" labelOnly="1" outline="0" fieldPosition="0">
        <references count="3">
          <reference field="0" count="1" selected="0">
            <x v="38"/>
          </reference>
          <reference field="49" count="1" selected="0">
            <x v="8"/>
          </reference>
          <reference field="76" count="1">
            <x v="1"/>
          </reference>
        </references>
      </pivotArea>
    </format>
    <format dxfId="205">
      <pivotArea dataOnly="0" labelOnly="1" outline="0" fieldPosition="0">
        <references count="3">
          <reference field="0" count="1" selected="0">
            <x v="39"/>
          </reference>
          <reference field="49" count="1" selected="0">
            <x v="12"/>
          </reference>
          <reference field="76" count="1">
            <x v="1"/>
          </reference>
        </references>
      </pivotArea>
    </format>
    <format dxfId="204">
      <pivotArea dataOnly="0" labelOnly="1" outline="0" fieldPosition="0">
        <references count="3">
          <reference field="0" count="1" selected="0">
            <x v="40"/>
          </reference>
          <reference field="49" count="1" selected="0">
            <x v="42"/>
          </reference>
          <reference field="76" count="1">
            <x v="1"/>
          </reference>
        </references>
      </pivotArea>
    </format>
    <format dxfId="203">
      <pivotArea field="76" type="button" dataOnly="0" labelOnly="1" outline="0" axis="axisRow" fieldPosition="2"/>
    </format>
    <format dxfId="202">
      <pivotArea dataOnly="0" labelOnly="1" outline="0" fieldPosition="0">
        <references count="3">
          <reference field="0" count="1" selected="0">
            <x v="0"/>
          </reference>
          <reference field="49" count="1" selected="0">
            <x v="21"/>
          </reference>
          <reference field="76" count="0"/>
        </references>
      </pivotArea>
    </format>
    <format dxfId="201">
      <pivotArea dataOnly="0" labelOnly="1" outline="0" fieldPosition="0">
        <references count="3">
          <reference field="0" count="1" selected="0">
            <x v="1"/>
          </reference>
          <reference field="49" count="1" selected="0">
            <x v="2"/>
          </reference>
          <reference field="76" count="1">
            <x v="1"/>
          </reference>
        </references>
      </pivotArea>
    </format>
    <format dxfId="200">
      <pivotArea dataOnly="0" labelOnly="1" outline="0" fieldPosition="0">
        <references count="3">
          <reference field="0" count="1" selected="0">
            <x v="2"/>
          </reference>
          <reference field="49" count="1" selected="0">
            <x v="18"/>
          </reference>
          <reference field="76" count="1">
            <x v="1"/>
          </reference>
        </references>
      </pivotArea>
    </format>
    <format dxfId="199">
      <pivotArea dataOnly="0" labelOnly="1" outline="0" fieldPosition="0">
        <references count="3">
          <reference field="0" count="1" selected="0">
            <x v="3"/>
          </reference>
          <reference field="49" count="1" selected="0">
            <x v="10"/>
          </reference>
          <reference field="76" count="1">
            <x v="1"/>
          </reference>
        </references>
      </pivotArea>
    </format>
    <format dxfId="198">
      <pivotArea dataOnly="0" labelOnly="1" outline="0" fieldPosition="0">
        <references count="3">
          <reference field="0" count="1" selected="0">
            <x v="4"/>
          </reference>
          <reference field="49" count="1" selected="0">
            <x v="35"/>
          </reference>
          <reference field="76" count="1">
            <x v="1"/>
          </reference>
        </references>
      </pivotArea>
    </format>
    <format dxfId="197">
      <pivotArea dataOnly="0" labelOnly="1" outline="0" fieldPosition="0">
        <references count="3">
          <reference field="0" count="1" selected="0">
            <x v="5"/>
          </reference>
          <reference field="49" count="1" selected="0">
            <x v="14"/>
          </reference>
          <reference field="76" count="1">
            <x v="1"/>
          </reference>
        </references>
      </pivotArea>
    </format>
    <format dxfId="196">
      <pivotArea dataOnly="0" labelOnly="1" outline="0" fieldPosition="0">
        <references count="3">
          <reference field="0" count="1" selected="0">
            <x v="5"/>
          </reference>
          <reference field="49" count="1" selected="0">
            <x v="22"/>
          </reference>
          <reference field="76" count="1">
            <x v="1"/>
          </reference>
        </references>
      </pivotArea>
    </format>
    <format dxfId="195">
      <pivotArea dataOnly="0" labelOnly="1" outline="0" fieldPosition="0">
        <references count="3">
          <reference field="0" count="1" selected="0">
            <x v="7"/>
          </reference>
          <reference field="49" count="1" selected="0">
            <x v="31"/>
          </reference>
          <reference field="76" count="1">
            <x v="1"/>
          </reference>
        </references>
      </pivotArea>
    </format>
    <format dxfId="194">
      <pivotArea dataOnly="0" labelOnly="1" outline="0" fieldPosition="0">
        <references count="3">
          <reference field="0" count="1" selected="0">
            <x v="8"/>
          </reference>
          <reference field="49" count="1" selected="0">
            <x v="6"/>
          </reference>
          <reference field="76" count="1">
            <x v="1"/>
          </reference>
        </references>
      </pivotArea>
    </format>
    <format dxfId="193">
      <pivotArea dataOnly="0" labelOnly="1" outline="0" fieldPosition="0">
        <references count="3">
          <reference field="0" count="1" selected="0">
            <x v="9"/>
          </reference>
          <reference field="49" count="1" selected="0">
            <x v="27"/>
          </reference>
          <reference field="76" count="1">
            <x v="1"/>
          </reference>
        </references>
      </pivotArea>
    </format>
    <format dxfId="192">
      <pivotArea dataOnly="0" labelOnly="1" outline="0" fieldPosition="0">
        <references count="3">
          <reference field="0" count="1" selected="0">
            <x v="10"/>
          </reference>
          <reference field="49" count="1" selected="0">
            <x v="39"/>
          </reference>
          <reference field="76" count="1">
            <x v="1"/>
          </reference>
        </references>
      </pivotArea>
    </format>
    <format dxfId="191">
      <pivotArea dataOnly="0" labelOnly="1" outline="0" fieldPosition="0">
        <references count="3">
          <reference field="0" count="1" selected="0">
            <x v="11"/>
          </reference>
          <reference field="49" count="1" selected="0">
            <x v="34"/>
          </reference>
          <reference field="76" count="1">
            <x v="1"/>
          </reference>
        </references>
      </pivotArea>
    </format>
    <format dxfId="190">
      <pivotArea dataOnly="0" labelOnly="1" outline="0" fieldPosition="0">
        <references count="3">
          <reference field="0" count="1" selected="0">
            <x v="12"/>
          </reference>
          <reference field="49" count="1" selected="0">
            <x v="37"/>
          </reference>
          <reference field="76" count="1">
            <x v="1"/>
          </reference>
        </references>
      </pivotArea>
    </format>
    <format dxfId="189">
      <pivotArea dataOnly="0" labelOnly="1" outline="0" fieldPosition="0">
        <references count="3">
          <reference field="0" count="1" selected="0">
            <x v="13"/>
          </reference>
          <reference field="49" count="1" selected="0">
            <x v="30"/>
          </reference>
          <reference field="76" count="1">
            <x v="1"/>
          </reference>
        </references>
      </pivotArea>
    </format>
    <format dxfId="188">
      <pivotArea dataOnly="0" labelOnly="1" outline="0" fieldPosition="0">
        <references count="3">
          <reference field="0" count="1" selected="0">
            <x v="14"/>
          </reference>
          <reference field="49" count="1" selected="0">
            <x v="25"/>
          </reference>
          <reference field="76" count="1">
            <x v="1"/>
          </reference>
        </references>
      </pivotArea>
    </format>
    <format dxfId="187">
      <pivotArea dataOnly="0" labelOnly="1" outline="0" fieldPosition="0">
        <references count="3">
          <reference field="0" count="1" selected="0">
            <x v="15"/>
          </reference>
          <reference field="49" count="1" selected="0">
            <x v="20"/>
          </reference>
          <reference field="76" count="1">
            <x v="1"/>
          </reference>
        </references>
      </pivotArea>
    </format>
    <format dxfId="186">
      <pivotArea dataOnly="0" labelOnly="1" outline="0" fieldPosition="0">
        <references count="3">
          <reference field="0" count="1" selected="0">
            <x v="16"/>
          </reference>
          <reference field="49" count="1" selected="0">
            <x v="38"/>
          </reference>
          <reference field="76" count="1">
            <x v="1"/>
          </reference>
        </references>
      </pivotArea>
    </format>
    <format dxfId="185">
      <pivotArea dataOnly="0" labelOnly="1" outline="0" fieldPosition="0">
        <references count="3">
          <reference field="0" count="1" selected="0">
            <x v="17"/>
          </reference>
          <reference field="49" count="1" selected="0">
            <x v="13"/>
          </reference>
          <reference field="76" count="0"/>
        </references>
      </pivotArea>
    </format>
    <format dxfId="184">
      <pivotArea dataOnly="0" labelOnly="1" outline="0" fieldPosition="0">
        <references count="3">
          <reference field="0" count="1" selected="0">
            <x v="18"/>
          </reference>
          <reference field="49" count="1" selected="0">
            <x v="9"/>
          </reference>
          <reference field="76" count="1">
            <x v="1"/>
          </reference>
        </references>
      </pivotArea>
    </format>
    <format dxfId="183">
      <pivotArea dataOnly="0" labelOnly="1" outline="0" fieldPosition="0">
        <references count="3">
          <reference field="0" count="1" selected="0">
            <x v="19"/>
          </reference>
          <reference field="49" count="1" selected="0">
            <x v="5"/>
          </reference>
          <reference field="76" count="1">
            <x v="1"/>
          </reference>
        </references>
      </pivotArea>
    </format>
    <format dxfId="182">
      <pivotArea dataOnly="0" labelOnly="1" outline="0" fieldPosition="0">
        <references count="3">
          <reference field="0" count="1" selected="0">
            <x v="20"/>
          </reference>
          <reference field="49" count="1" selected="0">
            <x v="26"/>
          </reference>
          <reference field="76" count="1">
            <x v="1"/>
          </reference>
        </references>
      </pivotArea>
    </format>
    <format dxfId="181">
      <pivotArea dataOnly="0" labelOnly="1" outline="0" fieldPosition="0">
        <references count="3">
          <reference field="0" count="1" selected="0">
            <x v="21"/>
          </reference>
          <reference field="49" count="1" selected="0">
            <x v="33"/>
          </reference>
          <reference field="76" count="1">
            <x v="1"/>
          </reference>
        </references>
      </pivotArea>
    </format>
    <format dxfId="180">
      <pivotArea dataOnly="0" labelOnly="1" outline="0" fieldPosition="0">
        <references count="3">
          <reference field="0" count="1" selected="0">
            <x v="22"/>
          </reference>
          <reference field="49" count="1" selected="0">
            <x v="11"/>
          </reference>
          <reference field="76" count="1">
            <x v="1"/>
          </reference>
        </references>
      </pivotArea>
    </format>
    <format dxfId="179">
      <pivotArea dataOnly="0" labelOnly="1" outline="0" fieldPosition="0">
        <references count="3">
          <reference field="0" count="1" selected="0">
            <x v="23"/>
          </reference>
          <reference field="49" count="1" selected="0">
            <x v="19"/>
          </reference>
          <reference field="76" count="1">
            <x v="1"/>
          </reference>
        </references>
      </pivotArea>
    </format>
    <format dxfId="178">
      <pivotArea dataOnly="0" labelOnly="1" outline="0" fieldPosition="0">
        <references count="3">
          <reference field="0" count="1" selected="0">
            <x v="24"/>
          </reference>
          <reference field="49" count="1" selected="0">
            <x v="17"/>
          </reference>
          <reference field="76" count="1">
            <x v="1"/>
          </reference>
        </references>
      </pivotArea>
    </format>
    <format dxfId="177">
      <pivotArea dataOnly="0" labelOnly="1" outline="0" fieldPosition="0">
        <references count="3">
          <reference field="0" count="1" selected="0">
            <x v="25"/>
          </reference>
          <reference field="49" count="1" selected="0">
            <x v="1"/>
          </reference>
          <reference field="76" count="1">
            <x v="1"/>
          </reference>
        </references>
      </pivotArea>
    </format>
    <format dxfId="176">
      <pivotArea dataOnly="0" labelOnly="1" outline="0" fieldPosition="0">
        <references count="3">
          <reference field="0" count="1" selected="0">
            <x v="26"/>
          </reference>
          <reference field="49" count="1" selected="0">
            <x v="4"/>
          </reference>
          <reference field="76" count="1">
            <x v="1"/>
          </reference>
        </references>
      </pivotArea>
    </format>
    <format dxfId="175">
      <pivotArea dataOnly="0" labelOnly="1" outline="0" fieldPosition="0">
        <references count="3">
          <reference field="0" count="1" selected="0">
            <x v="27"/>
          </reference>
          <reference field="49" count="1" selected="0">
            <x v="16"/>
          </reference>
          <reference field="76" count="1">
            <x v="1"/>
          </reference>
        </references>
      </pivotArea>
    </format>
    <format dxfId="174">
      <pivotArea dataOnly="0" labelOnly="1" outline="0" fieldPosition="0">
        <references count="3">
          <reference field="0" count="1" selected="0">
            <x v="28"/>
          </reference>
          <reference field="49" count="1" selected="0">
            <x v="24"/>
          </reference>
          <reference field="76" count="1">
            <x v="1"/>
          </reference>
        </references>
      </pivotArea>
    </format>
    <format dxfId="173">
      <pivotArea dataOnly="0" labelOnly="1" outline="0" fieldPosition="0">
        <references count="3">
          <reference field="0" count="1" selected="0">
            <x v="29"/>
          </reference>
          <reference field="49" count="1" selected="0">
            <x v="15"/>
          </reference>
          <reference field="76" count="1">
            <x v="1"/>
          </reference>
        </references>
      </pivotArea>
    </format>
    <format dxfId="172">
      <pivotArea dataOnly="0" labelOnly="1" outline="0" fieldPosition="0">
        <references count="3">
          <reference field="0" count="1" selected="0">
            <x v="30"/>
          </reference>
          <reference field="49" count="1" selected="0">
            <x v="32"/>
          </reference>
          <reference field="76" count="1">
            <x v="1"/>
          </reference>
        </references>
      </pivotArea>
    </format>
    <format dxfId="171">
      <pivotArea dataOnly="0" labelOnly="1" outline="0" fieldPosition="0">
        <references count="3">
          <reference field="0" count="1" selected="0">
            <x v="31"/>
          </reference>
          <reference field="49" count="1" selected="0">
            <x v="7"/>
          </reference>
          <reference field="76" count="1">
            <x v="1"/>
          </reference>
        </references>
      </pivotArea>
    </format>
    <format dxfId="170">
      <pivotArea dataOnly="0" labelOnly="1" outline="0" fieldPosition="0">
        <references count="3">
          <reference field="0" count="1" selected="0">
            <x v="32"/>
          </reference>
          <reference field="49" count="1" selected="0">
            <x v="36"/>
          </reference>
          <reference field="76" count="1">
            <x v="1"/>
          </reference>
        </references>
      </pivotArea>
    </format>
    <format dxfId="169">
      <pivotArea dataOnly="0" labelOnly="1" outline="0" fieldPosition="0">
        <references count="3">
          <reference field="0" count="1" selected="0">
            <x v="33"/>
          </reference>
          <reference field="49" count="1" selected="0">
            <x v="3"/>
          </reference>
          <reference field="76" count="1">
            <x v="1"/>
          </reference>
        </references>
      </pivotArea>
    </format>
    <format dxfId="168">
      <pivotArea dataOnly="0" labelOnly="1" outline="0" fieldPosition="0">
        <references count="3">
          <reference field="0" count="1" selected="0">
            <x v="34"/>
          </reference>
          <reference field="49" count="1" selected="0">
            <x v="40"/>
          </reference>
          <reference field="76" count="1">
            <x v="1"/>
          </reference>
        </references>
      </pivotArea>
    </format>
    <format dxfId="167">
      <pivotArea dataOnly="0" labelOnly="1" outline="0" fieldPosition="0">
        <references count="3">
          <reference field="0" count="1" selected="0">
            <x v="35"/>
          </reference>
          <reference field="49" count="1" selected="0">
            <x v="29"/>
          </reference>
          <reference field="76" count="1">
            <x v="1"/>
          </reference>
        </references>
      </pivotArea>
    </format>
    <format dxfId="166">
      <pivotArea dataOnly="0" labelOnly="1" outline="0" fieldPosition="0">
        <references count="3">
          <reference field="0" count="1" selected="0">
            <x v="36"/>
          </reference>
          <reference field="49" count="1" selected="0">
            <x v="41"/>
          </reference>
          <reference field="76" count="1">
            <x v="1"/>
          </reference>
        </references>
      </pivotArea>
    </format>
    <format dxfId="165">
      <pivotArea dataOnly="0" labelOnly="1" outline="0" fieldPosition="0">
        <references count="3">
          <reference field="0" count="1" selected="0">
            <x v="37"/>
          </reference>
          <reference field="49" count="1" selected="0">
            <x v="28"/>
          </reference>
          <reference field="76" count="1">
            <x v="1"/>
          </reference>
        </references>
      </pivotArea>
    </format>
    <format dxfId="164">
      <pivotArea dataOnly="0" labelOnly="1" outline="0" fieldPosition="0">
        <references count="3">
          <reference field="0" count="1" selected="0">
            <x v="38"/>
          </reference>
          <reference field="49" count="1" selected="0">
            <x v="8"/>
          </reference>
          <reference field="76" count="1">
            <x v="1"/>
          </reference>
        </references>
      </pivotArea>
    </format>
    <format dxfId="163">
      <pivotArea dataOnly="0" labelOnly="1" outline="0" fieldPosition="0">
        <references count="3">
          <reference field="0" count="1" selected="0">
            <x v="39"/>
          </reference>
          <reference field="49" count="1" selected="0">
            <x v="12"/>
          </reference>
          <reference field="76" count="1">
            <x v="1"/>
          </reference>
        </references>
      </pivotArea>
    </format>
    <format dxfId="162">
      <pivotArea dataOnly="0" labelOnly="1" outline="0" fieldPosition="0">
        <references count="3">
          <reference field="0" count="1" selected="0">
            <x v="40"/>
          </reference>
          <reference field="49" count="1" selected="0">
            <x v="42"/>
          </reference>
          <reference field="76" count="1">
            <x v="1"/>
          </reference>
        </references>
      </pivotArea>
    </format>
    <format dxfId="161">
      <pivotArea field="0" type="button" dataOnly="0" labelOnly="1" outline="0" axis="axisRow" fieldPosition="1"/>
    </format>
    <format dxfId="160">
      <pivotArea dataOnly="0" labelOnly="1" outline="0" fieldPosition="0">
        <references count="1">
          <reference field="0" count="0"/>
        </references>
      </pivotArea>
    </format>
    <format dxfId="159">
      <pivotArea dataOnly="0" labelOnly="1" outline="0" fieldPosition="0">
        <references count="2">
          <reference field="0" count="1" selected="0">
            <x v="40"/>
          </reference>
          <reference field="49" count="1">
            <x v="42"/>
          </reference>
        </references>
      </pivotArea>
    </format>
    <format dxfId="158">
      <pivotArea dataOnly="0" labelOnly="1" outline="0" fieldPosition="0">
        <references count="1">
          <reference field="47" count="0"/>
        </references>
      </pivotArea>
    </format>
    <format dxfId="157">
      <pivotArea field="49" type="button" dataOnly="0" labelOnly="1" outline="0" axis="axisRow" fieldPosition="0"/>
    </format>
    <format dxfId="156">
      <pivotArea dataOnly="0" labelOnly="1" outline="0" fieldPosition="0">
        <references count="1">
          <reference field="47" count="0"/>
        </references>
      </pivotArea>
    </format>
    <format dxfId="155">
      <pivotArea field="41" type="button" dataOnly="0" labelOnly="1" outline="0" axis="axisPage" fieldPosition="0"/>
    </format>
    <format dxfId="154">
      <pivotArea field="51" type="button" dataOnly="0" labelOnly="1" outline="0" axis="axisPage" fieldPosition="1"/>
    </format>
    <format dxfId="153">
      <pivotArea field="47" type="button" dataOnly="0" labelOnly="1" outline="0" axis="axisPage" fieldPosition="2"/>
    </format>
    <format dxfId="152">
      <pivotArea type="origin" dataOnly="0" labelOnly="1" outline="0" fieldPosition="0"/>
    </format>
    <format dxfId="151">
      <pivotArea field="49" type="button" dataOnly="0" labelOnly="1" outline="0" axis="axisRow" fieldPosition="0"/>
    </format>
    <format dxfId="150">
      <pivotArea dataOnly="0" labelOnly="1" outline="0" fieldPosition="0">
        <references count="1">
          <reference field="49" count="41">
            <x v="1"/>
            <x v="2"/>
            <x v="3"/>
            <x v="4"/>
            <x v="5"/>
            <x v="6"/>
            <x v="7"/>
            <x v="8"/>
            <x v="9"/>
            <x v="10"/>
            <x v="11"/>
            <x v="12"/>
            <x v="13"/>
            <x v="14"/>
            <x v="15"/>
            <x v="16"/>
            <x v="17"/>
            <x v="18"/>
            <x v="19"/>
            <x v="20"/>
            <x v="21"/>
            <x v="22"/>
            <x v="23"/>
            <x v="24"/>
            <x v="25"/>
            <x v="26"/>
            <x v="27"/>
            <x v="28"/>
            <x v="29"/>
            <x v="30"/>
            <x v="31"/>
            <x v="32"/>
            <x v="33"/>
            <x v="34"/>
            <x v="35"/>
            <x v="36"/>
            <x v="37"/>
            <x v="38"/>
            <x v="39"/>
            <x v="40"/>
            <x v="41"/>
          </reference>
        </references>
      </pivotArea>
    </format>
    <format dxfId="149">
      <pivotArea dataOnly="0" labelOnly="1" grandRow="1" outline="0" fieldPosition="0"/>
    </format>
  </formats>
  <pivotTableStyleInfo showRowHeaders="1" showColHeaders="1" showRowStripes="0" showColStripes="0" showLastColumn="1"/>
</pivotTableDefinition>
</file>

<file path=xl/pivotTables/pivotTable3.xml><?xml version="1.0" encoding="utf-8"?>
<pivotTableDefinition xmlns="http://schemas.openxmlformats.org/spreadsheetml/2006/main" name="PivotTable1" cacheId="0" dataPosition="0" applyNumberFormats="0" applyBorderFormats="0" applyFontFormats="0" applyPatternFormats="0" applyAlignmentFormats="0" applyWidthHeightFormats="1" dataCaption="Data" updatedVersion="3" asteriskTotals="1" showMemberPropertyTips="0" colGrandTotals="0" itemPrintTitles="1" createdVersion="1" indent="0" compact="0" compactData="0" gridDropZones="1">
  <location ref="A4:D47" firstHeaderRow="1" firstDataRow="2" firstDataCol="1" rowPageCount="2" colPageCount="1"/>
  <pivotFields count="77">
    <pivotField compact="0" outline="0" subtotalTop="0" showAll="0" includeNewItemsInFilter="1" defaultSubtotal="0">
      <items count="44">
        <item x="27"/>
        <item x="7"/>
        <item x="12"/>
        <item x="11"/>
        <item x="19"/>
        <item x="3"/>
        <item x="6"/>
        <item x="14"/>
        <item x="1"/>
        <item x="15"/>
        <item x="5"/>
        <item x="4"/>
        <item x="23"/>
        <item x="8"/>
        <item x="20"/>
        <item x="17"/>
        <item x="24"/>
        <item m="1" x="40"/>
        <item m="1" x="42"/>
        <item m="1" x="43"/>
        <item m="1" x="29"/>
        <item m="1" x="34"/>
        <item m="1" x="35"/>
        <item m="1" x="31"/>
        <item m="1" x="36"/>
        <item m="1" x="32"/>
        <item x="28"/>
        <item m="1" x="30"/>
        <item m="1" x="41"/>
        <item m="1" x="38"/>
        <item x="21"/>
        <item x="9"/>
        <item x="10"/>
        <item x="22"/>
        <item x="25"/>
        <item m="1" x="39"/>
        <item x="26"/>
        <item x="13"/>
        <item x="18"/>
        <item m="1" x="33"/>
        <item x="16"/>
        <item m="1" x="37"/>
        <item x="2"/>
        <item x="0"/>
      </items>
    </pivotField>
    <pivotField compact="0" outline="0" subtotalTop="0" showAll="0" includeNewItemsInFilter="1" defaultSubtotal="0">
      <items count="42">
        <item x="9"/>
        <item x="39"/>
        <item x="13"/>
        <item x="26"/>
        <item x="17"/>
        <item x="11"/>
        <item x="22"/>
        <item x="24"/>
        <item x="16"/>
        <item x="3"/>
        <item x="25"/>
        <item x="32"/>
        <item x="33"/>
        <item x="23"/>
        <item x="29"/>
        <item x="40"/>
        <item x="36"/>
        <item x="20"/>
        <item x="37"/>
        <item x="35"/>
        <item x="38"/>
        <item x="31"/>
        <item x="4"/>
        <item x="12"/>
        <item x="34"/>
        <item x="6"/>
        <item x="0"/>
        <item x="27"/>
        <item x="28"/>
        <item x="8"/>
        <item x="1"/>
        <item x="2"/>
        <item x="15"/>
        <item x="10"/>
        <item x="7"/>
        <item x="14"/>
        <item x="19"/>
        <item x="30"/>
        <item x="21"/>
        <item x="5"/>
        <item x="18"/>
        <item m="1" x="41"/>
      </items>
    </pivotField>
    <pivotField compact="0" outline="0" subtotalTop="0" showAll="0" includeNewItemsInFilter="1" defaultSubtotal="0">
      <items count="42">
        <item x="9"/>
        <item x="28"/>
        <item x="12"/>
        <item x="0"/>
        <item x="13"/>
        <item x="26"/>
        <item x="24"/>
        <item x="5"/>
        <item m="1" x="41"/>
        <item x="10"/>
        <item x="1"/>
        <item x="7"/>
        <item x="14"/>
        <item m="1" x="39"/>
        <item m="1" x="40"/>
        <item x="15"/>
        <item x="20"/>
        <item x="2"/>
        <item x="21"/>
        <item m="1" x="34"/>
        <item m="1" x="35"/>
        <item m="1" x="31"/>
        <item m="1" x="36"/>
        <item m="1" x="32"/>
        <item m="1" x="37"/>
        <item m="1" x="33"/>
        <item x="29"/>
        <item x="23"/>
        <item m="1" x="30"/>
        <item x="17"/>
        <item x="4"/>
        <item x="18"/>
        <item x="25"/>
        <item x="16"/>
        <item x="6"/>
        <item x="8"/>
        <item x="27"/>
        <item x="3"/>
        <item x="22"/>
        <item x="11"/>
        <item x="19"/>
        <item m="1" x="38"/>
      </items>
    </pivotField>
    <pivotField compact="0" outline="0" subtotalTop="0" showAll="0" includeNewItemsInFilter="1" defaultSubtotal="0">
      <items count="42">
        <item x="9"/>
        <item x="5"/>
        <item x="10"/>
        <item x="8"/>
        <item x="11"/>
        <item x="17"/>
        <item x="12"/>
        <item x="27"/>
        <item x="39"/>
        <item x="29"/>
        <item x="34"/>
        <item x="37"/>
        <item x="20"/>
        <item x="30"/>
        <item x="2"/>
        <item x="15"/>
        <item x="0"/>
        <item x="28"/>
        <item x="26"/>
        <item x="31"/>
        <item x="23"/>
        <item x="22"/>
        <item x="13"/>
        <item x="25"/>
        <item x="36"/>
        <item x="38"/>
        <item x="16"/>
        <item x="14"/>
        <item x="32"/>
        <item x="6"/>
        <item x="24"/>
        <item x="35"/>
        <item x="21"/>
        <item x="3"/>
        <item x="33"/>
        <item x="7"/>
        <item x="19"/>
        <item x="1"/>
        <item x="4"/>
        <item m="1" x="40"/>
        <item m="1" x="41"/>
        <item x="18"/>
      </items>
    </pivotField>
    <pivotField compact="0" outline="0" subtotalTop="0" showAll="0" includeNewItemsInFilter="1" defaultSubtotal="0">
      <items count="39">
        <item x="0"/>
        <item x="12"/>
        <item x="14"/>
        <item x="16"/>
        <item x="13"/>
        <item m="1" x="29"/>
        <item x="8"/>
        <item m="1" x="38"/>
        <item x="24"/>
        <item x="21"/>
        <item x="7"/>
        <item x="5"/>
        <item m="1" x="36"/>
        <item x="6"/>
        <item m="1" x="34"/>
        <item x="4"/>
        <item x="11"/>
        <item x="20"/>
        <item x="23"/>
        <item x="10"/>
        <item m="1" x="33"/>
        <item x="19"/>
        <item x="1"/>
        <item m="1" x="32"/>
        <item x="22"/>
        <item x="9"/>
        <item x="3"/>
        <item m="1" x="37"/>
        <item x="18"/>
        <item x="15"/>
        <item m="1" x="35"/>
        <item m="1" x="27"/>
        <item m="1" x="28"/>
        <item m="1" x="31"/>
        <item x="17"/>
        <item x="2"/>
        <item m="1" x="30"/>
        <item m="1" x="26"/>
        <item m="1" x="25"/>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defaultSubtotal="0">
      <items count="43">
        <item x="15"/>
        <item m="1" x="26"/>
        <item x="2"/>
        <item m="1" x="35"/>
        <item x="4"/>
        <item x="22"/>
        <item m="1" x="27"/>
        <item m="1" x="32"/>
        <item m="1" x="39"/>
        <item m="1" x="40"/>
        <item x="12"/>
        <item m="1" x="37"/>
        <item m="1" x="38"/>
        <item m="1" x="24"/>
        <item x="14"/>
        <item x="3"/>
        <item m="1" x="31"/>
        <item m="1" x="36"/>
        <item x="9"/>
        <item m="1" x="23"/>
        <item m="1" x="28"/>
        <item x="10"/>
        <item x="18"/>
        <item m="1" x="34"/>
        <item x="8"/>
        <item m="1" x="42"/>
        <item m="1" x="41"/>
        <item x="19"/>
        <item m="1" x="25"/>
        <item m="1" x="33"/>
        <item x="7"/>
        <item m="1" x="29"/>
        <item x="1"/>
        <item m="1" x="30"/>
        <item x="0"/>
        <item x="5"/>
        <item x="6"/>
        <item x="11"/>
        <item x="13"/>
        <item x="16"/>
        <item x="17"/>
        <item x="20"/>
        <item x="21"/>
      </items>
    </pivotField>
    <pivotField compact="0" outline="0" subtotalTop="0" showAll="0" includeNewItemsInFilter="1" defaultSubtotal="0">
      <items count="42">
        <item x="15"/>
        <item m="1" x="26"/>
        <item x="2"/>
        <item m="1" x="34"/>
        <item x="4"/>
        <item x="22"/>
        <item m="1" x="27"/>
        <item m="1" x="31"/>
        <item m="1" x="38"/>
        <item m="1" x="39"/>
        <item x="12"/>
        <item m="1" x="36"/>
        <item m="1" x="37"/>
        <item x="18"/>
        <item m="1" x="24"/>
        <item x="14"/>
        <item x="3"/>
        <item x="6"/>
        <item m="1" x="35"/>
        <item x="9"/>
        <item m="1" x="23"/>
        <item m="1" x="28"/>
        <item x="10"/>
        <item m="1" x="33"/>
        <item x="8"/>
        <item m="1" x="41"/>
        <item m="1" x="40"/>
        <item x="19"/>
        <item m="1" x="25"/>
        <item x="16"/>
        <item m="1" x="32"/>
        <item x="7"/>
        <item m="1" x="29"/>
        <item x="1"/>
        <item m="1" x="30"/>
        <item x="0"/>
        <item x="5"/>
        <item x="11"/>
        <item x="13"/>
        <item x="17"/>
        <item x="20"/>
        <item x="21"/>
      </items>
    </pivotField>
    <pivotField compact="0" outline="0" subtotalTop="0" showAll="0" includeNewItemsInFilter="1" defaultSubtotal="0">
      <items count="45">
        <item x="15"/>
        <item m="1" x="26"/>
        <item x="2"/>
        <item m="1" x="36"/>
        <item x="4"/>
        <item x="22"/>
        <item m="1" x="27"/>
        <item m="1" x="33"/>
        <item m="1" x="28"/>
        <item m="1" x="40"/>
        <item m="1" x="41"/>
        <item x="12"/>
        <item m="1" x="38"/>
        <item m="1" x="39"/>
        <item x="18"/>
        <item m="1" x="24"/>
        <item x="14"/>
        <item x="3"/>
        <item m="1" x="32"/>
        <item m="1" x="42"/>
        <item m="1" x="37"/>
        <item x="9"/>
        <item m="1" x="23"/>
        <item x="10"/>
        <item m="1" x="35"/>
        <item x="8"/>
        <item m="1" x="44"/>
        <item m="1" x="43"/>
        <item x="19"/>
        <item m="1" x="25"/>
        <item m="1" x="29"/>
        <item m="1" x="34"/>
        <item x="7"/>
        <item m="1" x="30"/>
        <item x="1"/>
        <item m="1" x="31"/>
        <item x="0"/>
        <item x="5"/>
        <item x="6"/>
        <item x="11"/>
        <item x="13"/>
        <item x="16"/>
        <item x="17"/>
        <item x="20"/>
        <item x="21"/>
      </items>
    </pivotField>
    <pivotField compact="0" outline="0" subtotalTop="0" showAll="0" includeNewItemsInFilter="1" defaultSubtotal="0">
      <items count="42">
        <item x="15"/>
        <item m="1" x="26"/>
        <item x="2"/>
        <item m="1" x="34"/>
        <item x="4"/>
        <item x="22"/>
        <item m="1" x="27"/>
        <item m="1" x="31"/>
        <item x="18"/>
        <item m="1" x="38"/>
        <item m="1" x="39"/>
        <item x="12"/>
        <item m="1" x="36"/>
        <item m="1" x="37"/>
        <item m="1" x="24"/>
        <item x="14"/>
        <item x="3"/>
        <item x="6"/>
        <item m="1" x="35"/>
        <item x="9"/>
        <item m="1" x="23"/>
        <item m="1" x="28"/>
        <item x="10"/>
        <item m="1" x="33"/>
        <item x="8"/>
        <item m="1" x="41"/>
        <item m="1" x="40"/>
        <item x="19"/>
        <item m="1" x="25"/>
        <item x="16"/>
        <item m="1" x="32"/>
        <item x="7"/>
        <item m="1" x="29"/>
        <item x="1"/>
        <item m="1" x="30"/>
        <item x="0"/>
        <item x="5"/>
        <item x="11"/>
        <item x="13"/>
        <item x="17"/>
        <item x="20"/>
        <item x="21"/>
      </items>
    </pivotField>
    <pivotField compact="0" outline="0" subtotalTop="0" showAll="0" includeNewItemsInFilter="1">
      <items count="40">
        <item m="1" x="24"/>
        <item x="2"/>
        <item x="20"/>
        <item m="1" x="27"/>
        <item x="13"/>
        <item m="1" x="25"/>
        <item m="1" x="28"/>
        <item m="1" x="30"/>
        <item x="9"/>
        <item x="5"/>
        <item m="1" x="32"/>
        <item m="1" x="36"/>
        <item m="1" x="22"/>
        <item m="1" x="38"/>
        <item x="1"/>
        <item m="1" x="34"/>
        <item x="0"/>
        <item m="1" x="35"/>
        <item x="17"/>
        <item m="1" x="31"/>
        <item m="1" x="33"/>
        <item m="1" x="37"/>
        <item x="6"/>
        <item x="7"/>
        <item x="16"/>
        <item x="10"/>
        <item m="1" x="26"/>
        <item m="1" x="21"/>
        <item m="1" x="29"/>
        <item x="14"/>
        <item m="1" x="23"/>
        <item x="3"/>
        <item x="4"/>
        <item x="8"/>
        <item x="11"/>
        <item x="12"/>
        <item x="15"/>
        <item x="18"/>
        <item x="19"/>
        <item t="default"/>
      </items>
    </pivotField>
    <pivotField compact="0" outline="0" subtotalTop="0" showAll="0" includeNewItemsInFilter="1"/>
    <pivotField compact="0" outline="0" subtotalTop="0" showAll="0" includeNewItemsInFilter="1"/>
    <pivotField compact="0" outline="0" subtotalTop="0" showAll="0" includeNewItemsInFilter="1" defaultSubtotal="0">
      <items count="107">
        <item x="51"/>
        <item x="22"/>
        <item x="11"/>
        <item m="1" x="89"/>
        <item m="1" x="84"/>
        <item m="1" x="93"/>
        <item x="49"/>
        <item m="1" x="83"/>
        <item m="1" x="104"/>
        <item m="1" x="90"/>
        <item m="1" x="106"/>
        <item m="1" x="97"/>
        <item m="1" x="81"/>
        <item m="1" x="95"/>
        <item m="1" x="100"/>
        <item x="15"/>
        <item x="26"/>
        <item m="1" x="80"/>
        <item m="1" x="99"/>
        <item m="1" x="102"/>
        <item m="1" x="96"/>
        <item m="1" x="78"/>
        <item m="1" x="98"/>
        <item x="3"/>
        <item m="1" x="87"/>
        <item m="1" x="92"/>
        <item m="1" x="105"/>
        <item x="58"/>
        <item m="1" x="101"/>
        <item m="1" x="86"/>
        <item x="17"/>
        <item x="20"/>
        <item x="45"/>
        <item m="1" x="79"/>
        <item m="1" x="88"/>
        <item x="33"/>
        <item m="1" x="91"/>
        <item m="1" x="85"/>
        <item m="1" x="103"/>
        <item m="1" x="94"/>
        <item x="63"/>
        <item m="1" x="82"/>
        <item x="66"/>
        <item x="0"/>
        <item x="1"/>
        <item x="2"/>
        <item x="4"/>
        <item x="5"/>
        <item x="6"/>
        <item x="7"/>
        <item x="8"/>
        <item x="9"/>
        <item x="10"/>
        <item x="12"/>
        <item x="13"/>
        <item x="14"/>
        <item x="16"/>
        <item x="18"/>
        <item x="19"/>
        <item x="21"/>
        <item x="28"/>
        <item x="29"/>
        <item x="30"/>
        <item x="31"/>
        <item x="35"/>
        <item x="34"/>
        <item x="36"/>
        <item x="39"/>
        <item x="40"/>
        <item x="23"/>
        <item x="24"/>
        <item x="25"/>
        <item x="27"/>
        <item x="32"/>
        <item x="37"/>
        <item x="38"/>
        <item x="41"/>
        <item x="46"/>
        <item x="54"/>
        <item x="55"/>
        <item x="67"/>
        <item x="68"/>
        <item x="42"/>
        <item x="43"/>
        <item x="44"/>
        <item x="47"/>
        <item x="48"/>
        <item x="50"/>
        <item x="52"/>
        <item x="53"/>
        <item x="56"/>
        <item x="57"/>
        <item x="59"/>
        <item x="60"/>
        <item x="61"/>
        <item x="62"/>
        <item x="64"/>
        <item x="65"/>
        <item x="69"/>
        <item x="70"/>
        <item x="71"/>
        <item x="72"/>
        <item x="73"/>
        <item x="74"/>
        <item x="75"/>
        <item x="76"/>
        <item x="77"/>
      </items>
    </pivotField>
    <pivotField compact="0" outline="0" subtotalTop="0" showAll="0" includeNewItemsInFilter="1"/>
    <pivotField compact="0" outline="0" subtotalTop="0" showAll="0" includeNewItemsInFilter="1"/>
    <pivotField compact="0" numFmtId="166" outline="0" subtotalTop="0" showAll="0" includeNewItemsInFilter="1" defaultSubtotal="0"/>
    <pivotField compact="0" outline="0" subtotalTop="0" showAll="0" includeNewItemsInFilter="1" defaultSubtotal="0"/>
    <pivotField compact="0" numFmtId="9" outline="0" subtotalTop="0" showAll="0" includeNewItemsInFilter="1"/>
    <pivotField compact="0" numFmtId="9" outline="0" subtotalTop="0" showAll="0" includeNewItemsInFilter="1"/>
    <pivotField compact="0" numFmtId="9" outline="0" subtotalTop="0" showAll="0" includeNewItemsInFilter="1"/>
    <pivotField compact="0" numFmtId="9"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items count="3">
        <item m="1" x="1"/>
        <item x="0"/>
        <item t="default"/>
      </items>
    </pivotField>
    <pivotField compact="0" outline="0" subtotalTop="0" showAll="0" includeNewItemsInFilter="1"/>
    <pivotField compact="0" outline="0" subtotalTop="0" showAll="0" includeNewItemsInFilter="1"/>
    <pivotField axis="axisPage" compact="0" outline="0" subtotalTop="0" showAll="0" includeNewItemsInFilter="1">
      <items count="5">
        <item x="2"/>
        <item x="0"/>
        <item x="1"/>
        <item x="3"/>
        <item t="default"/>
      </items>
    </pivotField>
    <pivotField compact="0" outline="0" subtotalTop="0" showAll="0" includeNewItemsInFilter="1"/>
    <pivotField axis="axisRow" compact="0" outline="0" subtotalTop="0" showAll="0" includeNewItemsInFilter="1" defaultSubtotal="0">
      <items count="43">
        <item x="3"/>
        <item x="4"/>
        <item x="5"/>
        <item x="6"/>
        <item x="39"/>
        <item x="7"/>
        <item x="8"/>
        <item x="9"/>
        <item x="10"/>
        <item x="11"/>
        <item x="12"/>
        <item x="13"/>
        <item x="0"/>
        <item x="14"/>
        <item x="15"/>
        <item x="1"/>
        <item x="16"/>
        <item x="17"/>
        <item x="18"/>
        <item x="19"/>
        <item x="20"/>
        <item x="21"/>
        <item x="22"/>
        <item x="23"/>
        <item x="24"/>
        <item x="25"/>
        <item x="26"/>
        <item x="27"/>
        <item x="28"/>
        <item x="29"/>
        <item x="30"/>
        <item x="31"/>
        <item x="32"/>
        <item x="33"/>
        <item x="34"/>
        <item x="35"/>
        <item x="36"/>
        <item x="2"/>
        <item x="37"/>
        <item x="38"/>
        <item x="40"/>
        <item m="1" x="42"/>
        <item m="1" x="41"/>
      </items>
    </pivotField>
    <pivotField compact="0" outline="0" subtotalTop="0" showAll="0" includeNewItemsInFilter="1"/>
    <pivotField axis="axisPage" compact="0" outline="0" subtotalTop="0" multipleItemSelectionAllowed="1" showAll="0" includeNewItemsInFilter="1">
      <items count="7">
        <item x="0"/>
        <item x="1"/>
        <item x="4"/>
        <item x="5"/>
        <item x="2"/>
        <item x="3"/>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axis="axisCol" dataField="1" compact="0" outline="0" subtotalTop="0" showAll="0" includeNewItemsInFilter="1" defaultSubtotal="0">
      <items count="4">
        <item x="1"/>
        <item x="0"/>
        <item x="2"/>
        <item m="1" x="3"/>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49"/>
  </rowFields>
  <rowItems count="4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t="grand">
      <x/>
    </i>
  </rowItems>
  <colFields count="1">
    <field x="60"/>
  </colFields>
  <colItems count="3">
    <i>
      <x/>
    </i>
    <i>
      <x v="1"/>
    </i>
    <i>
      <x v="2"/>
    </i>
  </colItems>
  <pageFields count="2">
    <pageField fld="51" hier="-1"/>
    <pageField fld="47" item="1" hier="0"/>
  </pageFields>
  <dataFields count="1">
    <dataField name="Count of Loads From Floor2" fld="60" subtotal="count" showDataAs="percentOfRow" baseField="0" baseItem="0" numFmtId="9"/>
  </dataFields>
  <formats count="20">
    <format dxfId="148">
      <pivotArea field="44" type="button" dataOnly="0" labelOnly="1" outline="0"/>
    </format>
    <format dxfId="147">
      <pivotArea field="16" type="button" dataOnly="0" labelOnly="1" outline="0"/>
    </format>
    <format dxfId="146">
      <pivotArea type="all" dataOnly="0" outline="0" fieldPosition="0"/>
    </format>
    <format dxfId="145">
      <pivotArea field="4" type="button" dataOnly="0" labelOnly="1" outline="0"/>
    </format>
    <format dxfId="144">
      <pivotArea field="3" type="button" dataOnly="0" labelOnly="1" outline="0"/>
    </format>
    <format dxfId="143">
      <pivotArea field="2" type="button" dataOnly="0" labelOnly="1" outline="0"/>
    </format>
    <format dxfId="142">
      <pivotArea field="1" type="button" dataOnly="0" labelOnly="1" outline="0"/>
    </format>
    <format dxfId="141">
      <pivotArea field="10" type="button" dataOnly="0" labelOnly="1" outline="0"/>
    </format>
    <format dxfId="140">
      <pivotArea field="11" type="button" dataOnly="0" labelOnly="1" outline="0"/>
    </format>
    <format dxfId="139">
      <pivotArea field="12" type="button" dataOnly="0" labelOnly="1" outline="0"/>
    </format>
    <format dxfId="138">
      <pivotArea field="47" type="button" dataOnly="0" labelOnly="1" outline="0" axis="axisPage" fieldPosition="1"/>
    </format>
    <format dxfId="137">
      <pivotArea dataOnly="0" labelOnly="1" outline="0" fieldPosition="0">
        <references count="1">
          <reference field="47" count="1">
            <x v="1"/>
          </reference>
        </references>
      </pivotArea>
    </format>
    <format dxfId="136">
      <pivotArea field="0" type="button" dataOnly="0" labelOnly="1" outline="0"/>
    </format>
    <format dxfId="135">
      <pivotArea field="49" type="button" dataOnly="0" labelOnly="1" outline="0" axis="axisRow" fieldPosition="0"/>
    </format>
    <format dxfId="134">
      <pivotArea type="origin" dataOnly="0" labelOnly="1" outline="0" fieldPosition="0"/>
    </format>
    <format dxfId="133">
      <pivotArea field="13" type="button" dataOnly="0" labelOnly="1" outline="0"/>
    </format>
    <format dxfId="132">
      <pivotArea field="9" type="button" dataOnly="0" labelOnly="1" outline="0"/>
    </format>
    <format dxfId="131">
      <pivotArea field="-2" type="button" dataOnly="0" labelOnly="1" outline="0" axis="axisValues" fieldPosition="0"/>
    </format>
    <format dxfId="130">
      <pivotArea type="topRight" dataOnly="0" labelOnly="1" outline="0" fieldPosition="0"/>
    </format>
    <format dxfId="129">
      <pivotArea outline="0" fieldPosition="0">
        <references count="1">
          <reference field="4294967294" count="1">
            <x v="0"/>
          </reference>
        </references>
      </pivotArea>
    </format>
  </formats>
  <pivotTableStyleInfo showRowHeaders="1" showColHeaders="1" showRowStripes="0" showColStripes="0" showLastColumn="1"/>
</pivotTableDefinition>
</file>

<file path=xl/pivotTables/pivotTable4.xml><?xml version="1.0" encoding="utf-8"?>
<pivotTableDefinition xmlns="http://schemas.openxmlformats.org/spreadsheetml/2006/main" name="PivotTable1" cacheId="0" dataPosition="0" applyNumberFormats="0" applyBorderFormats="0" applyFontFormats="0" applyPatternFormats="0" applyAlignmentFormats="0" applyWidthHeightFormats="1" dataCaption="Data" updatedVersion="3" asteriskTotals="1" showMemberPropertyTips="0" colGrandTotals="0" itemPrintTitles="1" createdVersion="1" indent="0" compact="0" compactData="0" gridDropZones="1">
  <location ref="A4:D47" firstHeaderRow="1" firstDataRow="2" firstDataCol="1" rowPageCount="2" colPageCount="1"/>
  <pivotFields count="77">
    <pivotField compact="0" outline="0" subtotalTop="0" showAll="0" includeNewItemsInFilter="1" defaultSubtotal="0">
      <items count="44">
        <item x="27"/>
        <item x="7"/>
        <item x="12"/>
        <item x="11"/>
        <item x="19"/>
        <item x="3"/>
        <item x="6"/>
        <item x="14"/>
        <item x="1"/>
        <item x="15"/>
        <item x="5"/>
        <item x="4"/>
        <item x="23"/>
        <item x="8"/>
        <item x="20"/>
        <item x="17"/>
        <item x="24"/>
        <item m="1" x="40"/>
        <item m="1" x="42"/>
        <item m="1" x="43"/>
        <item m="1" x="29"/>
        <item m="1" x="34"/>
        <item m="1" x="35"/>
        <item m="1" x="31"/>
        <item m="1" x="36"/>
        <item m="1" x="32"/>
        <item x="28"/>
        <item m="1" x="30"/>
        <item m="1" x="41"/>
        <item m="1" x="38"/>
        <item x="21"/>
        <item x="9"/>
        <item x="10"/>
        <item x="22"/>
        <item x="25"/>
        <item m="1" x="39"/>
        <item x="26"/>
        <item x="13"/>
        <item x="18"/>
        <item m="1" x="33"/>
        <item x="16"/>
        <item m="1" x="37"/>
        <item x="2"/>
        <item x="0"/>
      </items>
    </pivotField>
    <pivotField compact="0" outline="0" subtotalTop="0" showAll="0" includeNewItemsInFilter="1" defaultSubtotal="0">
      <items count="42">
        <item x="9"/>
        <item x="39"/>
        <item x="13"/>
        <item x="26"/>
        <item x="17"/>
        <item x="11"/>
        <item x="22"/>
        <item x="24"/>
        <item x="16"/>
        <item x="3"/>
        <item x="25"/>
        <item x="32"/>
        <item x="33"/>
        <item x="23"/>
        <item x="29"/>
        <item x="40"/>
        <item x="36"/>
        <item x="20"/>
        <item x="37"/>
        <item x="35"/>
        <item x="38"/>
        <item x="31"/>
        <item x="4"/>
        <item x="12"/>
        <item x="34"/>
        <item x="6"/>
        <item x="0"/>
        <item x="27"/>
        <item x="28"/>
        <item x="8"/>
        <item x="1"/>
        <item x="2"/>
        <item x="15"/>
        <item x="10"/>
        <item x="7"/>
        <item x="14"/>
        <item x="19"/>
        <item x="30"/>
        <item x="21"/>
        <item x="5"/>
        <item x="18"/>
        <item m="1" x="41"/>
      </items>
    </pivotField>
    <pivotField compact="0" outline="0" subtotalTop="0" showAll="0" includeNewItemsInFilter="1" defaultSubtotal="0">
      <items count="42">
        <item x="9"/>
        <item x="28"/>
        <item x="12"/>
        <item x="0"/>
        <item x="13"/>
        <item x="26"/>
        <item x="24"/>
        <item x="5"/>
        <item m="1" x="41"/>
        <item x="10"/>
        <item x="1"/>
        <item x="7"/>
        <item x="14"/>
        <item m="1" x="39"/>
        <item m="1" x="40"/>
        <item x="15"/>
        <item x="20"/>
        <item x="2"/>
        <item x="21"/>
        <item m="1" x="34"/>
        <item m="1" x="35"/>
        <item m="1" x="31"/>
        <item m="1" x="36"/>
        <item m="1" x="32"/>
        <item m="1" x="37"/>
        <item m="1" x="33"/>
        <item x="29"/>
        <item x="23"/>
        <item m="1" x="30"/>
        <item x="17"/>
        <item x="4"/>
        <item x="18"/>
        <item x="25"/>
        <item x="16"/>
        <item x="6"/>
        <item x="8"/>
        <item x="27"/>
        <item x="3"/>
        <item x="22"/>
        <item x="11"/>
        <item x="19"/>
        <item m="1" x="38"/>
      </items>
    </pivotField>
    <pivotField compact="0" outline="0" subtotalTop="0" showAll="0" includeNewItemsInFilter="1" defaultSubtotal="0">
      <items count="42">
        <item x="9"/>
        <item x="5"/>
        <item x="10"/>
        <item x="8"/>
        <item x="11"/>
        <item x="17"/>
        <item x="12"/>
        <item x="27"/>
        <item x="39"/>
        <item x="29"/>
        <item x="34"/>
        <item x="37"/>
        <item x="20"/>
        <item x="30"/>
        <item x="2"/>
        <item x="15"/>
        <item x="0"/>
        <item x="28"/>
        <item x="26"/>
        <item x="31"/>
        <item x="23"/>
        <item x="22"/>
        <item x="13"/>
        <item x="25"/>
        <item x="36"/>
        <item x="38"/>
        <item x="16"/>
        <item x="14"/>
        <item x="32"/>
        <item x="6"/>
        <item x="24"/>
        <item x="35"/>
        <item x="21"/>
        <item x="3"/>
        <item x="33"/>
        <item x="7"/>
        <item x="19"/>
        <item x="1"/>
        <item x="4"/>
        <item m="1" x="40"/>
        <item m="1" x="41"/>
        <item x="18"/>
      </items>
    </pivotField>
    <pivotField compact="0" outline="0" subtotalTop="0" showAll="0" includeNewItemsInFilter="1" defaultSubtotal="0">
      <items count="39">
        <item x="0"/>
        <item x="12"/>
        <item x="14"/>
        <item x="16"/>
        <item x="13"/>
        <item m="1" x="29"/>
        <item x="8"/>
        <item m="1" x="38"/>
        <item x="24"/>
        <item x="21"/>
        <item x="7"/>
        <item x="5"/>
        <item m="1" x="36"/>
        <item x="6"/>
        <item m="1" x="34"/>
        <item x="4"/>
        <item x="11"/>
        <item x="20"/>
        <item x="23"/>
        <item x="10"/>
        <item m="1" x="33"/>
        <item x="19"/>
        <item x="1"/>
        <item m="1" x="32"/>
        <item x="22"/>
        <item x="9"/>
        <item x="3"/>
        <item m="1" x="37"/>
        <item x="18"/>
        <item x="15"/>
        <item m="1" x="35"/>
        <item m="1" x="27"/>
        <item m="1" x="28"/>
        <item m="1" x="31"/>
        <item x="17"/>
        <item x="2"/>
        <item m="1" x="30"/>
        <item m="1" x="26"/>
        <item m="1" x="25"/>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defaultSubtotal="0">
      <items count="43">
        <item x="15"/>
        <item m="1" x="26"/>
        <item x="2"/>
        <item m="1" x="35"/>
        <item x="4"/>
        <item x="22"/>
        <item m="1" x="27"/>
        <item m="1" x="32"/>
        <item m="1" x="39"/>
        <item m="1" x="40"/>
        <item x="12"/>
        <item m="1" x="37"/>
        <item m="1" x="38"/>
        <item m="1" x="24"/>
        <item x="14"/>
        <item x="3"/>
        <item m="1" x="31"/>
        <item m="1" x="36"/>
        <item x="9"/>
        <item m="1" x="23"/>
        <item m="1" x="28"/>
        <item x="10"/>
        <item x="18"/>
        <item m="1" x="34"/>
        <item x="8"/>
        <item m="1" x="42"/>
        <item m="1" x="41"/>
        <item x="19"/>
        <item m="1" x="25"/>
        <item m="1" x="33"/>
        <item x="7"/>
        <item m="1" x="29"/>
        <item x="1"/>
        <item m="1" x="30"/>
        <item x="0"/>
        <item x="5"/>
        <item x="6"/>
        <item x="11"/>
        <item x="13"/>
        <item x="16"/>
        <item x="17"/>
        <item x="20"/>
        <item x="21"/>
      </items>
    </pivotField>
    <pivotField compact="0" outline="0" subtotalTop="0" showAll="0" includeNewItemsInFilter="1" defaultSubtotal="0">
      <items count="42">
        <item x="15"/>
        <item m="1" x="26"/>
        <item x="2"/>
        <item m="1" x="34"/>
        <item x="4"/>
        <item x="22"/>
        <item m="1" x="27"/>
        <item m="1" x="31"/>
        <item m="1" x="38"/>
        <item m="1" x="39"/>
        <item x="12"/>
        <item m="1" x="36"/>
        <item m="1" x="37"/>
        <item x="18"/>
        <item m="1" x="24"/>
        <item x="14"/>
        <item x="3"/>
        <item x="6"/>
        <item m="1" x="35"/>
        <item x="9"/>
        <item m="1" x="23"/>
        <item m="1" x="28"/>
        <item x="10"/>
        <item m="1" x="33"/>
        <item x="8"/>
        <item m="1" x="41"/>
        <item m="1" x="40"/>
        <item x="19"/>
        <item m="1" x="25"/>
        <item x="16"/>
        <item m="1" x="32"/>
        <item x="7"/>
        <item m="1" x="29"/>
        <item x="1"/>
        <item m="1" x="30"/>
        <item x="0"/>
        <item x="5"/>
        <item x="11"/>
        <item x="13"/>
        <item x="17"/>
        <item x="20"/>
        <item x="21"/>
      </items>
    </pivotField>
    <pivotField compact="0" outline="0" subtotalTop="0" showAll="0" includeNewItemsInFilter="1" defaultSubtotal="0">
      <items count="45">
        <item x="15"/>
        <item m="1" x="26"/>
        <item x="2"/>
        <item m="1" x="36"/>
        <item x="4"/>
        <item x="22"/>
        <item m="1" x="27"/>
        <item m="1" x="33"/>
        <item m="1" x="28"/>
        <item m="1" x="40"/>
        <item m="1" x="41"/>
        <item x="12"/>
        <item m="1" x="38"/>
        <item m="1" x="39"/>
        <item x="18"/>
        <item m="1" x="24"/>
        <item x="14"/>
        <item x="3"/>
        <item m="1" x="32"/>
        <item m="1" x="42"/>
        <item m="1" x="37"/>
        <item x="9"/>
        <item m="1" x="23"/>
        <item x="10"/>
        <item m="1" x="35"/>
        <item x="8"/>
        <item m="1" x="44"/>
        <item m="1" x="43"/>
        <item x="19"/>
        <item m="1" x="25"/>
        <item m="1" x="29"/>
        <item m="1" x="34"/>
        <item x="7"/>
        <item m="1" x="30"/>
        <item x="1"/>
        <item m="1" x="31"/>
        <item x="0"/>
        <item x="5"/>
        <item x="6"/>
        <item x="11"/>
        <item x="13"/>
        <item x="16"/>
        <item x="17"/>
        <item x="20"/>
        <item x="21"/>
      </items>
    </pivotField>
    <pivotField compact="0" outline="0" subtotalTop="0" showAll="0" includeNewItemsInFilter="1" defaultSubtotal="0">
      <items count="42">
        <item x="15"/>
        <item m="1" x="26"/>
        <item x="2"/>
        <item m="1" x="34"/>
        <item x="4"/>
        <item x="22"/>
        <item m="1" x="27"/>
        <item m="1" x="31"/>
        <item x="18"/>
        <item m="1" x="38"/>
        <item m="1" x="39"/>
        <item x="12"/>
        <item m="1" x="36"/>
        <item m="1" x="37"/>
        <item m="1" x="24"/>
        <item x="14"/>
        <item x="3"/>
        <item x="6"/>
        <item m="1" x="35"/>
        <item x="9"/>
        <item m="1" x="23"/>
        <item m="1" x="28"/>
        <item x="10"/>
        <item m="1" x="33"/>
        <item x="8"/>
        <item m="1" x="41"/>
        <item m="1" x="40"/>
        <item x="19"/>
        <item m="1" x="25"/>
        <item x="16"/>
        <item m="1" x="32"/>
        <item x="7"/>
        <item m="1" x="29"/>
        <item x="1"/>
        <item m="1" x="30"/>
        <item x="0"/>
        <item x="5"/>
        <item x="11"/>
        <item x="13"/>
        <item x="17"/>
        <item x="20"/>
        <item x="21"/>
      </items>
    </pivotField>
    <pivotField compact="0" outline="0" subtotalTop="0" showAll="0" includeNewItemsInFilter="1">
      <items count="40">
        <item m="1" x="24"/>
        <item x="2"/>
        <item x="20"/>
        <item m="1" x="27"/>
        <item x="13"/>
        <item m="1" x="25"/>
        <item m="1" x="28"/>
        <item m="1" x="30"/>
        <item x="9"/>
        <item x="5"/>
        <item m="1" x="32"/>
        <item m="1" x="36"/>
        <item m="1" x="22"/>
        <item m="1" x="38"/>
        <item x="1"/>
        <item m="1" x="34"/>
        <item x="0"/>
        <item m="1" x="35"/>
        <item x="17"/>
        <item m="1" x="31"/>
        <item m="1" x="33"/>
        <item m="1" x="37"/>
        <item x="6"/>
        <item x="7"/>
        <item x="16"/>
        <item x="10"/>
        <item m="1" x="26"/>
        <item m="1" x="21"/>
        <item m="1" x="29"/>
        <item x="14"/>
        <item m="1" x="23"/>
        <item x="3"/>
        <item x="4"/>
        <item x="8"/>
        <item x="11"/>
        <item x="12"/>
        <item x="15"/>
        <item x="18"/>
        <item x="19"/>
        <item t="default"/>
      </items>
    </pivotField>
    <pivotField compact="0" outline="0" subtotalTop="0" showAll="0" includeNewItemsInFilter="1"/>
    <pivotField compact="0" outline="0" subtotalTop="0" showAll="0" includeNewItemsInFilter="1"/>
    <pivotField compact="0" outline="0" subtotalTop="0" showAll="0" includeNewItemsInFilter="1" defaultSubtotal="0">
      <items count="107">
        <item x="51"/>
        <item x="22"/>
        <item x="11"/>
        <item m="1" x="89"/>
        <item m="1" x="84"/>
        <item m="1" x="93"/>
        <item x="49"/>
        <item m="1" x="83"/>
        <item m="1" x="104"/>
        <item m="1" x="90"/>
        <item m="1" x="106"/>
        <item m="1" x="97"/>
        <item m="1" x="81"/>
        <item m="1" x="95"/>
        <item m="1" x="100"/>
        <item x="15"/>
        <item x="26"/>
        <item m="1" x="80"/>
        <item m="1" x="99"/>
        <item m="1" x="102"/>
        <item m="1" x="96"/>
        <item m="1" x="78"/>
        <item m="1" x="98"/>
        <item x="3"/>
        <item m="1" x="87"/>
        <item m="1" x="92"/>
        <item m="1" x="105"/>
        <item x="58"/>
        <item m="1" x="101"/>
        <item m="1" x="86"/>
        <item x="17"/>
        <item x="20"/>
        <item x="45"/>
        <item m="1" x="79"/>
        <item m="1" x="88"/>
        <item x="33"/>
        <item m="1" x="91"/>
        <item m="1" x="85"/>
        <item m="1" x="103"/>
        <item m="1" x="94"/>
        <item x="63"/>
        <item m="1" x="82"/>
        <item x="66"/>
        <item x="0"/>
        <item x="1"/>
        <item x="2"/>
        <item x="4"/>
        <item x="5"/>
        <item x="6"/>
        <item x="7"/>
        <item x="8"/>
        <item x="9"/>
        <item x="10"/>
        <item x="12"/>
        <item x="13"/>
        <item x="14"/>
        <item x="16"/>
        <item x="18"/>
        <item x="19"/>
        <item x="21"/>
        <item x="28"/>
        <item x="29"/>
        <item x="30"/>
        <item x="31"/>
        <item x="35"/>
        <item x="34"/>
        <item x="36"/>
        <item x="39"/>
        <item x="40"/>
        <item x="23"/>
        <item x="24"/>
        <item x="25"/>
        <item x="27"/>
        <item x="32"/>
        <item x="37"/>
        <item x="38"/>
        <item x="41"/>
        <item x="46"/>
        <item x="54"/>
        <item x="55"/>
        <item x="67"/>
        <item x="68"/>
        <item x="42"/>
        <item x="43"/>
        <item x="44"/>
        <item x="47"/>
        <item x="48"/>
        <item x="50"/>
        <item x="52"/>
        <item x="53"/>
        <item x="56"/>
        <item x="57"/>
        <item x="59"/>
        <item x="60"/>
        <item x="61"/>
        <item x="62"/>
        <item x="64"/>
        <item x="65"/>
        <item x="69"/>
        <item x="70"/>
        <item x="71"/>
        <item x="72"/>
        <item x="73"/>
        <item x="74"/>
        <item x="75"/>
        <item x="76"/>
        <item x="77"/>
      </items>
    </pivotField>
    <pivotField compact="0" outline="0" subtotalTop="0" showAll="0" includeNewItemsInFilter="1"/>
    <pivotField compact="0" outline="0" subtotalTop="0" showAll="0" includeNewItemsInFilter="1"/>
    <pivotField compact="0" numFmtId="166" outline="0" subtotalTop="0" showAll="0" includeNewItemsInFilter="1" defaultSubtotal="0"/>
    <pivotField compact="0" outline="0" subtotalTop="0" showAll="0" includeNewItemsInFilter="1" defaultSubtotal="0"/>
    <pivotField compact="0" numFmtId="9" outline="0" subtotalTop="0" showAll="0" includeNewItemsInFilter="1"/>
    <pivotField compact="0" numFmtId="9" outline="0" subtotalTop="0" showAll="0" includeNewItemsInFilter="1"/>
    <pivotField compact="0" numFmtId="9" outline="0" subtotalTop="0" showAll="0" includeNewItemsInFilter="1"/>
    <pivotField compact="0" numFmtId="9"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items count="3">
        <item m="1" x="1"/>
        <item x="0"/>
        <item t="default"/>
      </items>
    </pivotField>
    <pivotField compact="0" outline="0" subtotalTop="0" showAll="0" includeNewItemsInFilter="1"/>
    <pivotField compact="0" outline="0" subtotalTop="0" showAll="0" includeNewItemsInFilter="1"/>
    <pivotField axis="axisPage" compact="0" outline="0" subtotalTop="0" showAll="0" includeNewItemsInFilter="1">
      <items count="5">
        <item x="2"/>
        <item x="0"/>
        <item x="1"/>
        <item x="3"/>
        <item t="default"/>
      </items>
    </pivotField>
    <pivotField compact="0" outline="0" subtotalTop="0" showAll="0" includeNewItemsInFilter="1"/>
    <pivotField axis="axisRow" compact="0" outline="0" subtotalTop="0" showAll="0" includeNewItemsInFilter="1" defaultSubtotal="0">
      <items count="43">
        <item x="3"/>
        <item x="4"/>
        <item x="5"/>
        <item x="6"/>
        <item x="39"/>
        <item x="7"/>
        <item x="8"/>
        <item x="9"/>
        <item x="10"/>
        <item x="11"/>
        <item x="12"/>
        <item x="13"/>
        <item x="0"/>
        <item x="14"/>
        <item x="15"/>
        <item x="1"/>
        <item x="16"/>
        <item x="17"/>
        <item x="18"/>
        <item x="19"/>
        <item x="20"/>
        <item x="21"/>
        <item x="22"/>
        <item x="23"/>
        <item x="24"/>
        <item x="25"/>
        <item x="26"/>
        <item x="27"/>
        <item x="28"/>
        <item x="29"/>
        <item x="30"/>
        <item x="31"/>
        <item x="32"/>
        <item x="33"/>
        <item x="34"/>
        <item x="35"/>
        <item x="36"/>
        <item x="2"/>
        <item x="37"/>
        <item x="38"/>
        <item x="40"/>
        <item m="1" x="42"/>
        <item m="1" x="41"/>
      </items>
    </pivotField>
    <pivotField compact="0" outline="0" subtotalTop="0" showAll="0" includeNewItemsInFilter="1"/>
    <pivotField axis="axisPage" compact="0" outline="0" subtotalTop="0" showAll="0" includeNewItemsInFilter="1">
      <items count="7">
        <item x="0"/>
        <item x="1"/>
        <item x="4"/>
        <item x="5"/>
        <item x="2"/>
        <item x="3"/>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axis="axisCol" dataField="1" compact="0" outline="0" subtotalTop="0" showAll="0" includeNewItemsInFilter="1" defaultSubtotal="0">
      <items count="4">
        <item x="1"/>
        <item x="0"/>
        <item x="2"/>
        <item m="1" x="3"/>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49"/>
  </rowFields>
  <rowItems count="4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t="grand">
      <x/>
    </i>
  </rowItems>
  <colFields count="1">
    <field x="58"/>
  </colFields>
  <colItems count="3">
    <i>
      <x/>
    </i>
    <i>
      <x v="1"/>
    </i>
    <i>
      <x v="2"/>
    </i>
  </colItems>
  <pageFields count="2">
    <pageField fld="51" hier="-1"/>
    <pageField fld="47" item="1" hier="0"/>
  </pageFields>
  <dataFields count="1">
    <dataField name="Count of Shoots Full Court2" fld="58" subtotal="count" showDataAs="percentOfRow" baseField="0" baseItem="0" numFmtId="9"/>
  </dataFields>
  <formats count="20">
    <format dxfId="128">
      <pivotArea field="44" type="button" dataOnly="0" labelOnly="1" outline="0"/>
    </format>
    <format dxfId="127">
      <pivotArea field="16" type="button" dataOnly="0" labelOnly="1" outline="0"/>
    </format>
    <format dxfId="126">
      <pivotArea type="all" dataOnly="0" outline="0" fieldPosition="0"/>
    </format>
    <format dxfId="125">
      <pivotArea field="4" type="button" dataOnly="0" labelOnly="1" outline="0"/>
    </format>
    <format dxfId="124">
      <pivotArea field="3" type="button" dataOnly="0" labelOnly="1" outline="0"/>
    </format>
    <format dxfId="123">
      <pivotArea field="2" type="button" dataOnly="0" labelOnly="1" outline="0"/>
    </format>
    <format dxfId="122">
      <pivotArea field="1" type="button" dataOnly="0" labelOnly="1" outline="0"/>
    </format>
    <format dxfId="121">
      <pivotArea field="10" type="button" dataOnly="0" labelOnly="1" outline="0"/>
    </format>
    <format dxfId="120">
      <pivotArea field="11" type="button" dataOnly="0" labelOnly="1" outline="0"/>
    </format>
    <format dxfId="119">
      <pivotArea field="12" type="button" dataOnly="0" labelOnly="1" outline="0"/>
    </format>
    <format dxfId="118">
      <pivotArea field="47" type="button" dataOnly="0" labelOnly="1" outline="0" axis="axisPage" fieldPosition="1"/>
    </format>
    <format dxfId="117">
      <pivotArea dataOnly="0" labelOnly="1" outline="0" fieldPosition="0">
        <references count="1">
          <reference field="47" count="1">
            <x v="1"/>
          </reference>
        </references>
      </pivotArea>
    </format>
    <format dxfId="116">
      <pivotArea field="0" type="button" dataOnly="0" labelOnly="1" outline="0"/>
    </format>
    <format dxfId="115">
      <pivotArea field="49" type="button" dataOnly="0" labelOnly="1" outline="0" axis="axisRow" fieldPosition="0"/>
    </format>
    <format dxfId="114">
      <pivotArea type="origin" dataOnly="0" labelOnly="1" outline="0" fieldPosition="0"/>
    </format>
    <format dxfId="113">
      <pivotArea field="13" type="button" dataOnly="0" labelOnly="1" outline="0"/>
    </format>
    <format dxfId="112">
      <pivotArea field="9" type="button" dataOnly="0" labelOnly="1" outline="0"/>
    </format>
    <format dxfId="111">
      <pivotArea field="-2" type="button" dataOnly="0" labelOnly="1" outline="0" axis="axisValues" fieldPosition="0"/>
    </format>
    <format dxfId="110">
      <pivotArea type="topRight" dataOnly="0" labelOnly="1" outline="0" fieldPosition="0"/>
    </format>
    <format dxfId="109">
      <pivotArea outline="0" fieldPosition="0">
        <references count="1">
          <reference field="4294967294" count="1">
            <x v="0"/>
          </reference>
        </references>
      </pivotArea>
    </format>
  </formats>
  <pivotTableStyleInfo showRowHeaders="1" showColHeaders="1" showRowStripes="0" showColStripes="0" showLastColumn="1"/>
</pivotTableDefinition>
</file>

<file path=xl/pivotTables/pivotTable5.xml><?xml version="1.0" encoding="utf-8"?>
<pivotTableDefinition xmlns="http://schemas.openxmlformats.org/spreadsheetml/2006/main" name="PivotTable1" cacheId="0" dataPosition="0" applyNumberFormats="0" applyBorderFormats="0" applyFontFormats="0" applyPatternFormats="0" applyAlignmentFormats="0" applyWidthHeightFormats="1" dataCaption="Data" updatedVersion="3" asteriskTotals="1" showMemberPropertyTips="0" colGrandTotals="0" itemPrintTitles="1" createdVersion="1" indent="0" compact="0" compactData="0" gridDropZones="1">
  <location ref="A4:D47" firstHeaderRow="1" firstDataRow="2" firstDataCol="1" rowPageCount="2" colPageCount="1"/>
  <pivotFields count="77">
    <pivotField compact="0" outline="0" subtotalTop="0" showAll="0" includeNewItemsInFilter="1" defaultSubtotal="0">
      <items count="44">
        <item x="27"/>
        <item x="7"/>
        <item x="12"/>
        <item x="11"/>
        <item x="19"/>
        <item x="3"/>
        <item x="6"/>
        <item x="14"/>
        <item x="1"/>
        <item x="15"/>
        <item x="5"/>
        <item x="4"/>
        <item x="23"/>
        <item x="8"/>
        <item x="20"/>
        <item x="17"/>
        <item x="24"/>
        <item m="1" x="40"/>
        <item m="1" x="42"/>
        <item m="1" x="43"/>
        <item m="1" x="29"/>
        <item m="1" x="34"/>
        <item m="1" x="35"/>
        <item m="1" x="31"/>
        <item m="1" x="36"/>
        <item m="1" x="32"/>
        <item x="28"/>
        <item m="1" x="30"/>
        <item m="1" x="41"/>
        <item m="1" x="38"/>
        <item x="21"/>
        <item x="9"/>
        <item x="10"/>
        <item x="22"/>
        <item x="25"/>
        <item m="1" x="39"/>
        <item x="26"/>
        <item x="13"/>
        <item x="18"/>
        <item m="1" x="33"/>
        <item x="16"/>
        <item m="1" x="37"/>
        <item x="2"/>
        <item x="0"/>
      </items>
    </pivotField>
    <pivotField compact="0" outline="0" subtotalTop="0" showAll="0" includeNewItemsInFilter="1" defaultSubtotal="0">
      <items count="42">
        <item x="9"/>
        <item x="39"/>
        <item x="13"/>
        <item x="26"/>
        <item x="17"/>
        <item x="11"/>
        <item x="22"/>
        <item x="24"/>
        <item x="16"/>
        <item x="3"/>
        <item x="25"/>
        <item x="32"/>
        <item x="33"/>
        <item x="23"/>
        <item x="29"/>
        <item x="40"/>
        <item x="36"/>
        <item x="20"/>
        <item x="37"/>
        <item x="35"/>
        <item x="38"/>
        <item x="31"/>
        <item x="4"/>
        <item x="12"/>
        <item x="34"/>
        <item x="6"/>
        <item x="0"/>
        <item x="27"/>
        <item x="28"/>
        <item x="8"/>
        <item x="1"/>
        <item x="2"/>
        <item x="15"/>
        <item x="10"/>
        <item x="7"/>
        <item x="14"/>
        <item x="19"/>
        <item x="30"/>
        <item x="21"/>
        <item x="5"/>
        <item x="18"/>
        <item m="1" x="41"/>
      </items>
    </pivotField>
    <pivotField compact="0" outline="0" subtotalTop="0" showAll="0" includeNewItemsInFilter="1" defaultSubtotal="0">
      <items count="42">
        <item x="9"/>
        <item x="28"/>
        <item x="12"/>
        <item x="0"/>
        <item x="13"/>
        <item x="26"/>
        <item x="24"/>
        <item x="5"/>
        <item m="1" x="41"/>
        <item x="10"/>
        <item x="1"/>
        <item x="7"/>
        <item x="14"/>
        <item m="1" x="39"/>
        <item m="1" x="40"/>
        <item x="15"/>
        <item x="20"/>
        <item x="2"/>
        <item x="21"/>
        <item m="1" x="34"/>
        <item m="1" x="35"/>
        <item m="1" x="31"/>
        <item m="1" x="36"/>
        <item m="1" x="32"/>
        <item m="1" x="37"/>
        <item m="1" x="33"/>
        <item x="29"/>
        <item x="23"/>
        <item m="1" x="30"/>
        <item x="17"/>
        <item x="4"/>
        <item x="18"/>
        <item x="25"/>
        <item x="16"/>
        <item x="6"/>
        <item x="8"/>
        <item x="27"/>
        <item x="3"/>
        <item x="22"/>
        <item x="11"/>
        <item x="19"/>
        <item m="1" x="38"/>
      </items>
    </pivotField>
    <pivotField compact="0" outline="0" subtotalTop="0" showAll="0" includeNewItemsInFilter="1" defaultSubtotal="0">
      <items count="42">
        <item x="9"/>
        <item x="5"/>
        <item x="10"/>
        <item x="8"/>
        <item x="11"/>
        <item x="17"/>
        <item x="12"/>
        <item x="27"/>
        <item x="39"/>
        <item x="29"/>
        <item x="34"/>
        <item x="37"/>
        <item x="20"/>
        <item x="30"/>
        <item x="2"/>
        <item x="15"/>
        <item x="0"/>
        <item x="28"/>
        <item x="26"/>
        <item x="31"/>
        <item x="23"/>
        <item x="22"/>
        <item x="13"/>
        <item x="25"/>
        <item x="36"/>
        <item x="38"/>
        <item x="16"/>
        <item x="14"/>
        <item x="32"/>
        <item x="6"/>
        <item x="24"/>
        <item x="35"/>
        <item x="21"/>
        <item x="3"/>
        <item x="33"/>
        <item x="7"/>
        <item x="19"/>
        <item x="1"/>
        <item x="4"/>
        <item m="1" x="40"/>
        <item m="1" x="41"/>
        <item x="18"/>
      </items>
    </pivotField>
    <pivotField compact="0" outline="0" subtotalTop="0" showAll="0" includeNewItemsInFilter="1" defaultSubtotal="0">
      <items count="39">
        <item x="0"/>
        <item x="12"/>
        <item x="14"/>
        <item x="16"/>
        <item x="13"/>
        <item m="1" x="29"/>
        <item x="8"/>
        <item m="1" x="38"/>
        <item x="24"/>
        <item x="21"/>
        <item x="7"/>
        <item x="5"/>
        <item m="1" x="36"/>
        <item x="6"/>
        <item m="1" x="34"/>
        <item x="4"/>
        <item x="11"/>
        <item x="20"/>
        <item x="23"/>
        <item x="10"/>
        <item m="1" x="33"/>
        <item x="19"/>
        <item x="1"/>
        <item m="1" x="32"/>
        <item x="22"/>
        <item x="9"/>
        <item x="3"/>
        <item m="1" x="37"/>
        <item x="18"/>
        <item x="15"/>
        <item m="1" x="35"/>
        <item m="1" x="27"/>
        <item m="1" x="28"/>
        <item m="1" x="31"/>
        <item x="17"/>
        <item x="2"/>
        <item m="1" x="30"/>
        <item m="1" x="26"/>
        <item m="1" x="25"/>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defaultSubtotal="0">
      <items count="43">
        <item x="15"/>
        <item m="1" x="26"/>
        <item x="2"/>
        <item m="1" x="35"/>
        <item x="4"/>
        <item x="22"/>
        <item m="1" x="27"/>
        <item m="1" x="32"/>
        <item m="1" x="39"/>
        <item m="1" x="40"/>
        <item x="12"/>
        <item m="1" x="37"/>
        <item m="1" x="38"/>
        <item m="1" x="24"/>
        <item x="14"/>
        <item x="3"/>
        <item m="1" x="31"/>
        <item m="1" x="36"/>
        <item x="9"/>
        <item m="1" x="23"/>
        <item m="1" x="28"/>
        <item x="10"/>
        <item x="18"/>
        <item m="1" x="34"/>
        <item x="8"/>
        <item m="1" x="42"/>
        <item m="1" x="41"/>
        <item x="19"/>
        <item m="1" x="25"/>
        <item m="1" x="33"/>
        <item x="7"/>
        <item m="1" x="29"/>
        <item x="1"/>
        <item m="1" x="30"/>
        <item x="0"/>
        <item x="5"/>
        <item x="6"/>
        <item x="11"/>
        <item x="13"/>
        <item x="16"/>
        <item x="17"/>
        <item x="20"/>
        <item x="21"/>
      </items>
    </pivotField>
    <pivotField compact="0" outline="0" subtotalTop="0" showAll="0" includeNewItemsInFilter="1" defaultSubtotal="0">
      <items count="42">
        <item x="15"/>
        <item m="1" x="26"/>
        <item x="2"/>
        <item m="1" x="34"/>
        <item x="4"/>
        <item x="22"/>
        <item m="1" x="27"/>
        <item m="1" x="31"/>
        <item m="1" x="38"/>
        <item m="1" x="39"/>
        <item x="12"/>
        <item m="1" x="36"/>
        <item m="1" x="37"/>
        <item x="18"/>
        <item m="1" x="24"/>
        <item x="14"/>
        <item x="3"/>
        <item x="6"/>
        <item m="1" x="35"/>
        <item x="9"/>
        <item m="1" x="23"/>
        <item m="1" x="28"/>
        <item x="10"/>
        <item m="1" x="33"/>
        <item x="8"/>
        <item m="1" x="41"/>
        <item m="1" x="40"/>
        <item x="19"/>
        <item m="1" x="25"/>
        <item x="16"/>
        <item m="1" x="32"/>
        <item x="7"/>
        <item m="1" x="29"/>
        <item x="1"/>
        <item m="1" x="30"/>
        <item x="0"/>
        <item x="5"/>
        <item x="11"/>
        <item x="13"/>
        <item x="17"/>
        <item x="20"/>
        <item x="21"/>
      </items>
    </pivotField>
    <pivotField compact="0" outline="0" subtotalTop="0" showAll="0" includeNewItemsInFilter="1" defaultSubtotal="0">
      <items count="45">
        <item x="15"/>
        <item m="1" x="26"/>
        <item x="2"/>
        <item m="1" x="36"/>
        <item x="4"/>
        <item x="22"/>
        <item m="1" x="27"/>
        <item m="1" x="33"/>
        <item m="1" x="28"/>
        <item m="1" x="40"/>
        <item m="1" x="41"/>
        <item x="12"/>
        <item m="1" x="38"/>
        <item m="1" x="39"/>
        <item x="18"/>
        <item m="1" x="24"/>
        <item x="14"/>
        <item x="3"/>
        <item m="1" x="32"/>
        <item m="1" x="42"/>
        <item m="1" x="37"/>
        <item x="9"/>
        <item m="1" x="23"/>
        <item x="10"/>
        <item m="1" x="35"/>
        <item x="8"/>
        <item m="1" x="44"/>
        <item m="1" x="43"/>
        <item x="19"/>
        <item m="1" x="25"/>
        <item m="1" x="29"/>
        <item m="1" x="34"/>
        <item x="7"/>
        <item m="1" x="30"/>
        <item x="1"/>
        <item m="1" x="31"/>
        <item x="0"/>
        <item x="5"/>
        <item x="6"/>
        <item x="11"/>
        <item x="13"/>
        <item x="16"/>
        <item x="17"/>
        <item x="20"/>
        <item x="21"/>
      </items>
    </pivotField>
    <pivotField compact="0" outline="0" subtotalTop="0" showAll="0" includeNewItemsInFilter="1" defaultSubtotal="0">
      <items count="42">
        <item x="15"/>
        <item m="1" x="26"/>
        <item x="2"/>
        <item m="1" x="34"/>
        <item x="4"/>
        <item x="22"/>
        <item m="1" x="27"/>
        <item m="1" x="31"/>
        <item x="18"/>
        <item m="1" x="38"/>
        <item m="1" x="39"/>
        <item x="12"/>
        <item m="1" x="36"/>
        <item m="1" x="37"/>
        <item m="1" x="24"/>
        <item x="14"/>
        <item x="3"/>
        <item x="6"/>
        <item m="1" x="35"/>
        <item x="9"/>
        <item m="1" x="23"/>
        <item m="1" x="28"/>
        <item x="10"/>
        <item m="1" x="33"/>
        <item x="8"/>
        <item m="1" x="41"/>
        <item m="1" x="40"/>
        <item x="19"/>
        <item m="1" x="25"/>
        <item x="16"/>
        <item m="1" x="32"/>
        <item x="7"/>
        <item m="1" x="29"/>
        <item x="1"/>
        <item m="1" x="30"/>
        <item x="0"/>
        <item x="5"/>
        <item x="11"/>
        <item x="13"/>
        <item x="17"/>
        <item x="20"/>
        <item x="21"/>
      </items>
    </pivotField>
    <pivotField compact="0" outline="0" subtotalTop="0" showAll="0" includeNewItemsInFilter="1">
      <items count="40">
        <item m="1" x="24"/>
        <item x="2"/>
        <item x="20"/>
        <item m="1" x="27"/>
        <item x="13"/>
        <item m="1" x="25"/>
        <item m="1" x="28"/>
        <item m="1" x="30"/>
        <item x="9"/>
        <item x="5"/>
        <item m="1" x="32"/>
        <item m="1" x="36"/>
        <item m="1" x="22"/>
        <item m="1" x="38"/>
        <item x="1"/>
        <item m="1" x="34"/>
        <item x="0"/>
        <item m="1" x="35"/>
        <item x="17"/>
        <item m="1" x="31"/>
        <item m="1" x="33"/>
        <item m="1" x="37"/>
        <item x="6"/>
        <item x="7"/>
        <item x="16"/>
        <item x="10"/>
        <item m="1" x="26"/>
        <item m="1" x="21"/>
        <item m="1" x="29"/>
        <item x="14"/>
        <item m="1" x="23"/>
        <item x="3"/>
        <item x="4"/>
        <item x="8"/>
        <item x="11"/>
        <item x="12"/>
        <item x="15"/>
        <item x="18"/>
        <item x="19"/>
        <item t="default"/>
      </items>
    </pivotField>
    <pivotField compact="0" outline="0" subtotalTop="0" showAll="0" includeNewItemsInFilter="1"/>
    <pivotField compact="0" outline="0" subtotalTop="0" showAll="0" includeNewItemsInFilter="1"/>
    <pivotField compact="0" outline="0" subtotalTop="0" showAll="0" includeNewItemsInFilter="1" defaultSubtotal="0">
      <items count="107">
        <item x="51"/>
        <item x="22"/>
        <item x="11"/>
        <item m="1" x="89"/>
        <item m="1" x="84"/>
        <item m="1" x="93"/>
        <item x="49"/>
        <item m="1" x="83"/>
        <item m="1" x="104"/>
        <item m="1" x="90"/>
        <item m="1" x="106"/>
        <item m="1" x="97"/>
        <item m="1" x="81"/>
        <item m="1" x="95"/>
        <item m="1" x="100"/>
        <item x="15"/>
        <item x="26"/>
        <item m="1" x="80"/>
        <item m="1" x="99"/>
        <item m="1" x="102"/>
        <item m="1" x="96"/>
        <item m="1" x="78"/>
        <item m="1" x="98"/>
        <item x="3"/>
        <item m="1" x="87"/>
        <item m="1" x="92"/>
        <item m="1" x="105"/>
        <item x="58"/>
        <item m="1" x="101"/>
        <item m="1" x="86"/>
        <item x="17"/>
        <item x="20"/>
        <item x="45"/>
        <item m="1" x="79"/>
        <item m="1" x="88"/>
        <item x="33"/>
        <item m="1" x="91"/>
        <item m="1" x="85"/>
        <item m="1" x="103"/>
        <item m="1" x="94"/>
        <item x="63"/>
        <item m="1" x="82"/>
        <item x="66"/>
        <item x="0"/>
        <item x="1"/>
        <item x="2"/>
        <item x="4"/>
        <item x="5"/>
        <item x="6"/>
        <item x="7"/>
        <item x="8"/>
        <item x="9"/>
        <item x="10"/>
        <item x="12"/>
        <item x="13"/>
        <item x="14"/>
        <item x="16"/>
        <item x="18"/>
        <item x="19"/>
        <item x="21"/>
        <item x="28"/>
        <item x="29"/>
        <item x="30"/>
        <item x="31"/>
        <item x="35"/>
        <item x="34"/>
        <item x="36"/>
        <item x="39"/>
        <item x="40"/>
        <item x="23"/>
        <item x="24"/>
        <item x="25"/>
        <item x="27"/>
        <item x="32"/>
        <item x="37"/>
        <item x="38"/>
        <item x="41"/>
        <item x="46"/>
        <item x="54"/>
        <item x="55"/>
        <item x="67"/>
        <item x="68"/>
        <item x="42"/>
        <item x="43"/>
        <item x="44"/>
        <item x="47"/>
        <item x="48"/>
        <item x="50"/>
        <item x="52"/>
        <item x="53"/>
        <item x="56"/>
        <item x="57"/>
        <item x="59"/>
        <item x="60"/>
        <item x="61"/>
        <item x="62"/>
        <item x="64"/>
        <item x="65"/>
        <item x="69"/>
        <item x="70"/>
        <item x="71"/>
        <item x="72"/>
        <item x="73"/>
        <item x="74"/>
        <item x="75"/>
        <item x="76"/>
        <item x="77"/>
      </items>
    </pivotField>
    <pivotField compact="0" outline="0" subtotalTop="0" showAll="0" includeNewItemsInFilter="1"/>
    <pivotField compact="0" outline="0" subtotalTop="0" showAll="0" includeNewItemsInFilter="1"/>
    <pivotField compact="0" numFmtId="166" outline="0" subtotalTop="0" showAll="0" includeNewItemsInFilter="1" defaultSubtotal="0"/>
    <pivotField compact="0" outline="0" subtotalTop="0" showAll="0" includeNewItemsInFilter="1" defaultSubtotal="0"/>
    <pivotField compact="0" numFmtId="9" outline="0" subtotalTop="0" showAll="0" includeNewItemsInFilter="1"/>
    <pivotField compact="0" numFmtId="9" outline="0" subtotalTop="0" showAll="0" includeNewItemsInFilter="1"/>
    <pivotField compact="0" numFmtId="9" outline="0" subtotalTop="0" showAll="0" includeNewItemsInFilter="1"/>
    <pivotField compact="0" numFmtId="9"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items count="3">
        <item m="1" x="1"/>
        <item x="0"/>
        <item t="default"/>
      </items>
    </pivotField>
    <pivotField compact="0" outline="0" subtotalTop="0" showAll="0" includeNewItemsInFilter="1"/>
    <pivotField compact="0" outline="0" subtotalTop="0" showAll="0" includeNewItemsInFilter="1"/>
    <pivotField axis="axisPage" compact="0" outline="0" subtotalTop="0" showAll="0" includeNewItemsInFilter="1">
      <items count="5">
        <item x="2"/>
        <item x="0"/>
        <item x="1"/>
        <item x="3"/>
        <item t="default"/>
      </items>
    </pivotField>
    <pivotField compact="0" outline="0" subtotalTop="0" showAll="0" includeNewItemsInFilter="1"/>
    <pivotField axis="axisRow" compact="0" outline="0" subtotalTop="0" showAll="0" includeNewItemsInFilter="1" defaultSubtotal="0">
      <items count="43">
        <item x="3"/>
        <item x="4"/>
        <item x="5"/>
        <item x="6"/>
        <item x="39"/>
        <item x="7"/>
        <item x="8"/>
        <item x="9"/>
        <item x="10"/>
        <item x="11"/>
        <item x="12"/>
        <item x="13"/>
        <item x="0"/>
        <item x="14"/>
        <item x="15"/>
        <item x="1"/>
        <item x="16"/>
        <item x="17"/>
        <item x="18"/>
        <item x="19"/>
        <item x="20"/>
        <item x="21"/>
        <item x="22"/>
        <item x="23"/>
        <item x="24"/>
        <item x="25"/>
        <item x="26"/>
        <item x="27"/>
        <item x="28"/>
        <item x="29"/>
        <item x="30"/>
        <item x="31"/>
        <item x="32"/>
        <item x="33"/>
        <item x="34"/>
        <item x="35"/>
        <item x="36"/>
        <item x="2"/>
        <item x="37"/>
        <item x="38"/>
        <item x="40"/>
        <item m="1" x="42"/>
        <item m="1" x="41"/>
      </items>
    </pivotField>
    <pivotField compact="0" outline="0" subtotalTop="0" showAll="0" includeNewItemsInFilter="1"/>
    <pivotField axis="axisPage" compact="0" outline="0" subtotalTop="0" showAll="0" includeNewItemsInFilter="1">
      <items count="7">
        <item x="0"/>
        <item x="1"/>
        <item x="4"/>
        <item x="5"/>
        <item x="2"/>
        <item x="3"/>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axis="axisCol" dataField="1" compact="0" outline="0" subtotalTop="0" showAll="0" includeNewItemsInFilter="1" defaultSubtotal="0">
      <items count="4">
        <item x="1"/>
        <item x="0"/>
        <item x="2"/>
        <item m="1" x="3"/>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49"/>
  </rowFields>
  <rowItems count="4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t="grand">
      <x/>
    </i>
  </rowItems>
  <colFields count="1">
    <field x="57"/>
  </colFields>
  <colItems count="3">
    <i>
      <x/>
    </i>
    <i>
      <x v="1"/>
    </i>
    <i>
      <x v="2"/>
    </i>
  </colItems>
  <pageFields count="2">
    <pageField fld="51" hier="-1"/>
    <pageField fld="47" item="1" hier="0"/>
  </pageFields>
  <dataFields count="1">
    <dataField name="Count of Shoots Front Court2" fld="57" subtotal="count" showDataAs="percentOfRow" baseField="0" baseItem="0" numFmtId="9"/>
  </dataFields>
  <formats count="20">
    <format dxfId="108">
      <pivotArea field="44" type="button" dataOnly="0" labelOnly="1" outline="0"/>
    </format>
    <format dxfId="107">
      <pivotArea field="16" type="button" dataOnly="0" labelOnly="1" outline="0"/>
    </format>
    <format dxfId="106">
      <pivotArea type="all" dataOnly="0" outline="0" fieldPosition="0"/>
    </format>
    <format dxfId="105">
      <pivotArea field="4" type="button" dataOnly="0" labelOnly="1" outline="0"/>
    </format>
    <format dxfId="104">
      <pivotArea field="3" type="button" dataOnly="0" labelOnly="1" outline="0"/>
    </format>
    <format dxfId="103">
      <pivotArea field="2" type="button" dataOnly="0" labelOnly="1" outline="0"/>
    </format>
    <format dxfId="102">
      <pivotArea field="1" type="button" dataOnly="0" labelOnly="1" outline="0"/>
    </format>
    <format dxfId="101">
      <pivotArea field="10" type="button" dataOnly="0" labelOnly="1" outline="0"/>
    </format>
    <format dxfId="100">
      <pivotArea field="11" type="button" dataOnly="0" labelOnly="1" outline="0"/>
    </format>
    <format dxfId="99">
      <pivotArea field="12" type="button" dataOnly="0" labelOnly="1" outline="0"/>
    </format>
    <format dxfId="98">
      <pivotArea field="47" type="button" dataOnly="0" labelOnly="1" outline="0" axis="axisPage" fieldPosition="1"/>
    </format>
    <format dxfId="97">
      <pivotArea dataOnly="0" labelOnly="1" outline="0" fieldPosition="0">
        <references count="1">
          <reference field="47" count="1">
            <x v="1"/>
          </reference>
        </references>
      </pivotArea>
    </format>
    <format dxfId="96">
      <pivotArea field="0" type="button" dataOnly="0" labelOnly="1" outline="0"/>
    </format>
    <format dxfId="95">
      <pivotArea field="49" type="button" dataOnly="0" labelOnly="1" outline="0" axis="axisRow" fieldPosition="0"/>
    </format>
    <format dxfId="94">
      <pivotArea type="origin" dataOnly="0" labelOnly="1" outline="0" fieldPosition="0"/>
    </format>
    <format dxfId="93">
      <pivotArea field="13" type="button" dataOnly="0" labelOnly="1" outline="0"/>
    </format>
    <format dxfId="92">
      <pivotArea field="9" type="button" dataOnly="0" labelOnly="1" outline="0"/>
    </format>
    <format dxfId="91">
      <pivotArea field="-2" type="button" dataOnly="0" labelOnly="1" outline="0" axis="axisValues" fieldPosition="0"/>
    </format>
    <format dxfId="90">
      <pivotArea type="topRight" dataOnly="0" labelOnly="1" outline="0" fieldPosition="0"/>
    </format>
    <format dxfId="89">
      <pivotArea outline="0" fieldPosition="0">
        <references count="1">
          <reference field="4294967294" count="1">
            <x v="0"/>
          </reference>
        </references>
      </pivotArea>
    </format>
  </formats>
  <pivotTableStyleInfo showRowHeaders="1" showColHeaders="1" showRowStripes="0" showColStripes="0" showLastColumn="1"/>
</pivotTableDefinition>
</file>

<file path=xl/pivotTables/pivotTable6.xml><?xml version="1.0" encoding="utf-8"?>
<pivotTableDefinition xmlns="http://schemas.openxmlformats.org/spreadsheetml/2006/main" name="PivotTable1" cacheId="0" dataPosition="0" applyNumberFormats="0" applyBorderFormats="0" applyFontFormats="0" applyPatternFormats="0" applyAlignmentFormats="0" applyWidthHeightFormats="1" dataCaption="Data" updatedVersion="3" asteriskTotals="1" showMemberPropertyTips="0" colGrandTotals="0" itemPrintTitles="1" createdVersion="1" indent="0" compact="0" compactData="0" gridDropZones="1">
  <location ref="C4:T47" firstHeaderRow="1" firstDataRow="2" firstDataCol="1" rowPageCount="2" colPageCount="1"/>
  <pivotFields count="77">
    <pivotField compact="0" outline="0" subtotalTop="0" showAll="0" includeNewItemsInFilter="1" defaultSubtotal="0">
      <items count="44">
        <item x="27"/>
        <item x="7"/>
        <item x="12"/>
        <item x="11"/>
        <item x="19"/>
        <item x="3"/>
        <item x="6"/>
        <item x="14"/>
        <item x="1"/>
        <item x="15"/>
        <item x="5"/>
        <item x="4"/>
        <item x="23"/>
        <item x="8"/>
        <item x="20"/>
        <item x="17"/>
        <item x="24"/>
        <item m="1" x="40"/>
        <item m="1" x="42"/>
        <item m="1" x="43"/>
        <item m="1" x="29"/>
        <item m="1" x="34"/>
        <item m="1" x="35"/>
        <item m="1" x="31"/>
        <item m="1" x="36"/>
        <item m="1" x="32"/>
        <item x="28"/>
        <item m="1" x="30"/>
        <item m="1" x="41"/>
        <item m="1" x="38"/>
        <item x="21"/>
        <item x="9"/>
        <item x="10"/>
        <item x="22"/>
        <item x="25"/>
        <item m="1" x="39"/>
        <item x="26"/>
        <item x="13"/>
        <item x="18"/>
        <item m="1" x="33"/>
        <item x="16"/>
        <item m="1" x="37"/>
        <item x="2"/>
        <item x="0"/>
      </items>
    </pivotField>
    <pivotField compact="0" outline="0" subtotalTop="0" showAll="0" includeNewItemsInFilter="1" defaultSubtotal="0">
      <items count="42">
        <item x="9"/>
        <item x="39"/>
        <item x="13"/>
        <item x="26"/>
        <item x="17"/>
        <item x="11"/>
        <item x="22"/>
        <item x="24"/>
        <item x="16"/>
        <item x="3"/>
        <item x="25"/>
        <item x="32"/>
        <item x="33"/>
        <item x="23"/>
        <item x="29"/>
        <item x="40"/>
        <item x="36"/>
        <item x="20"/>
        <item x="37"/>
        <item x="35"/>
        <item x="38"/>
        <item x="31"/>
        <item x="4"/>
        <item x="12"/>
        <item x="34"/>
        <item x="6"/>
        <item x="0"/>
        <item x="27"/>
        <item x="28"/>
        <item x="8"/>
        <item x="1"/>
        <item x="2"/>
        <item x="15"/>
        <item x="10"/>
        <item x="7"/>
        <item x="14"/>
        <item x="19"/>
        <item x="30"/>
        <item x="21"/>
        <item x="5"/>
        <item x="18"/>
        <item m="1" x="41"/>
      </items>
    </pivotField>
    <pivotField compact="0" outline="0" subtotalTop="0" showAll="0" includeNewItemsInFilter="1" defaultSubtotal="0">
      <items count="42">
        <item x="9"/>
        <item x="28"/>
        <item x="12"/>
        <item x="0"/>
        <item x="13"/>
        <item x="26"/>
        <item x="24"/>
        <item x="5"/>
        <item m="1" x="41"/>
        <item x="10"/>
        <item x="1"/>
        <item x="7"/>
        <item x="14"/>
        <item m="1" x="39"/>
        <item m="1" x="40"/>
        <item x="15"/>
        <item x="20"/>
        <item x="2"/>
        <item x="21"/>
        <item m="1" x="34"/>
        <item m="1" x="35"/>
        <item m="1" x="31"/>
        <item m="1" x="36"/>
        <item m="1" x="32"/>
        <item m="1" x="37"/>
        <item m="1" x="33"/>
        <item x="29"/>
        <item x="23"/>
        <item m="1" x="30"/>
        <item x="17"/>
        <item x="4"/>
        <item x="18"/>
        <item x="25"/>
        <item x="16"/>
        <item x="6"/>
        <item x="8"/>
        <item x="27"/>
        <item x="3"/>
        <item x="22"/>
        <item x="11"/>
        <item x="19"/>
        <item m="1" x="38"/>
      </items>
    </pivotField>
    <pivotField compact="0" outline="0" subtotalTop="0" showAll="0" includeNewItemsInFilter="1" defaultSubtotal="0">
      <items count="42">
        <item x="9"/>
        <item x="5"/>
        <item x="10"/>
        <item x="8"/>
        <item x="11"/>
        <item x="17"/>
        <item x="12"/>
        <item x="27"/>
        <item x="39"/>
        <item x="29"/>
        <item x="34"/>
        <item x="37"/>
        <item x="20"/>
        <item x="30"/>
        <item x="2"/>
        <item x="15"/>
        <item x="0"/>
        <item x="28"/>
        <item x="26"/>
        <item x="31"/>
        <item x="23"/>
        <item x="22"/>
        <item x="13"/>
        <item x="25"/>
        <item x="36"/>
        <item x="38"/>
        <item x="16"/>
        <item x="14"/>
        <item x="32"/>
        <item x="6"/>
        <item x="24"/>
        <item x="35"/>
        <item x="21"/>
        <item x="3"/>
        <item x="33"/>
        <item x="7"/>
        <item x="19"/>
        <item x="1"/>
        <item x="4"/>
        <item m="1" x="40"/>
        <item m="1" x="41"/>
        <item x="18"/>
      </items>
    </pivotField>
    <pivotField compact="0" outline="0" subtotalTop="0" showAll="0" includeNewItemsInFilter="1" defaultSubtotal="0">
      <items count="39">
        <item x="0"/>
        <item x="12"/>
        <item x="14"/>
        <item x="16"/>
        <item x="13"/>
        <item m="1" x="29"/>
        <item x="8"/>
        <item m="1" x="38"/>
        <item x="24"/>
        <item x="21"/>
        <item x="7"/>
        <item x="5"/>
        <item m="1" x="36"/>
        <item x="6"/>
        <item m="1" x="34"/>
        <item x="4"/>
        <item x="11"/>
        <item x="20"/>
        <item x="23"/>
        <item x="10"/>
        <item m="1" x="33"/>
        <item x="19"/>
        <item x="1"/>
        <item m="1" x="32"/>
        <item x="22"/>
        <item x="9"/>
        <item x="3"/>
        <item m="1" x="37"/>
        <item x="18"/>
        <item x="15"/>
        <item m="1" x="35"/>
        <item m="1" x="27"/>
        <item m="1" x="28"/>
        <item m="1" x="31"/>
        <item x="17"/>
        <item x="2"/>
        <item m="1" x="30"/>
        <item m="1" x="26"/>
        <item m="1" x="25"/>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defaultSubtotal="0">
      <items count="43">
        <item x="15"/>
        <item m="1" x="26"/>
        <item x="2"/>
        <item m="1" x="35"/>
        <item x="4"/>
        <item x="22"/>
        <item m="1" x="27"/>
        <item m="1" x="32"/>
        <item m="1" x="39"/>
        <item m="1" x="40"/>
        <item x="12"/>
        <item m="1" x="37"/>
        <item m="1" x="38"/>
        <item m="1" x="24"/>
        <item x="14"/>
        <item x="3"/>
        <item m="1" x="31"/>
        <item m="1" x="36"/>
        <item x="9"/>
        <item m="1" x="23"/>
        <item m="1" x="28"/>
        <item x="10"/>
        <item x="18"/>
        <item m="1" x="34"/>
        <item x="8"/>
        <item m="1" x="42"/>
        <item m="1" x="41"/>
        <item x="19"/>
        <item m="1" x="25"/>
        <item m="1" x="33"/>
        <item x="7"/>
        <item m="1" x="29"/>
        <item x="1"/>
        <item m="1" x="30"/>
        <item x="0"/>
        <item x="5"/>
        <item x="6"/>
        <item x="11"/>
        <item x="13"/>
        <item x="16"/>
        <item x="17"/>
        <item x="20"/>
        <item x="21"/>
      </items>
    </pivotField>
    <pivotField compact="0" outline="0" subtotalTop="0" showAll="0" includeNewItemsInFilter="1" defaultSubtotal="0">
      <items count="42">
        <item x="15"/>
        <item m="1" x="26"/>
        <item x="2"/>
        <item m="1" x="34"/>
        <item x="4"/>
        <item x="22"/>
        <item m="1" x="27"/>
        <item m="1" x="31"/>
        <item m="1" x="38"/>
        <item m="1" x="39"/>
        <item x="12"/>
        <item m="1" x="36"/>
        <item m="1" x="37"/>
        <item x="18"/>
        <item m="1" x="24"/>
        <item x="14"/>
        <item x="3"/>
        <item x="6"/>
        <item m="1" x="35"/>
        <item x="9"/>
        <item m="1" x="23"/>
        <item m="1" x="28"/>
        <item x="10"/>
        <item m="1" x="33"/>
        <item x="8"/>
        <item m="1" x="41"/>
        <item m="1" x="40"/>
        <item x="19"/>
        <item m="1" x="25"/>
        <item x="16"/>
        <item m="1" x="32"/>
        <item x="7"/>
        <item m="1" x="29"/>
        <item x="1"/>
        <item m="1" x="30"/>
        <item x="0"/>
        <item x="5"/>
        <item x="11"/>
        <item x="13"/>
        <item x="17"/>
        <item x="20"/>
        <item x="21"/>
      </items>
    </pivotField>
    <pivotField compact="0" outline="0" subtotalTop="0" showAll="0" includeNewItemsInFilter="1" defaultSubtotal="0">
      <items count="45">
        <item x="15"/>
        <item m="1" x="26"/>
        <item x="2"/>
        <item m="1" x="36"/>
        <item x="4"/>
        <item x="22"/>
        <item m="1" x="27"/>
        <item m="1" x="33"/>
        <item m="1" x="28"/>
        <item m="1" x="40"/>
        <item m="1" x="41"/>
        <item x="12"/>
        <item m="1" x="38"/>
        <item m="1" x="39"/>
        <item x="18"/>
        <item m="1" x="24"/>
        <item x="14"/>
        <item x="3"/>
        <item m="1" x="32"/>
        <item m="1" x="42"/>
        <item m="1" x="37"/>
        <item x="9"/>
        <item m="1" x="23"/>
        <item x="10"/>
        <item m="1" x="35"/>
        <item x="8"/>
        <item m="1" x="44"/>
        <item m="1" x="43"/>
        <item x="19"/>
        <item m="1" x="25"/>
        <item m="1" x="29"/>
        <item m="1" x="34"/>
        <item x="7"/>
        <item m="1" x="30"/>
        <item x="1"/>
        <item m="1" x="31"/>
        <item x="0"/>
        <item x="5"/>
        <item x="6"/>
        <item x="11"/>
        <item x="13"/>
        <item x="16"/>
        <item x="17"/>
        <item x="20"/>
        <item x="21"/>
      </items>
    </pivotField>
    <pivotField compact="0" outline="0" subtotalTop="0" showAll="0" includeNewItemsInFilter="1" defaultSubtotal="0">
      <items count="42">
        <item x="15"/>
        <item m="1" x="26"/>
        <item x="2"/>
        <item m="1" x="34"/>
        <item x="4"/>
        <item x="22"/>
        <item m="1" x="27"/>
        <item m="1" x="31"/>
        <item x="18"/>
        <item m="1" x="38"/>
        <item m="1" x="39"/>
        <item x="12"/>
        <item m="1" x="36"/>
        <item m="1" x="37"/>
        <item m="1" x="24"/>
        <item x="14"/>
        <item x="3"/>
        <item x="6"/>
        <item m="1" x="35"/>
        <item x="9"/>
        <item m="1" x="23"/>
        <item m="1" x="28"/>
        <item x="10"/>
        <item m="1" x="33"/>
        <item x="8"/>
        <item m="1" x="41"/>
        <item m="1" x="40"/>
        <item x="19"/>
        <item m="1" x="25"/>
        <item x="16"/>
        <item m="1" x="32"/>
        <item x="7"/>
        <item m="1" x="29"/>
        <item x="1"/>
        <item m="1" x="30"/>
        <item x="0"/>
        <item x="5"/>
        <item x="11"/>
        <item x="13"/>
        <item x="17"/>
        <item x="20"/>
        <item x="21"/>
      </items>
    </pivotField>
    <pivotField compact="0" outline="0" subtotalTop="0" showAll="0" includeNewItemsInFilter="1">
      <items count="40">
        <item m="1" x="24"/>
        <item x="2"/>
        <item x="20"/>
        <item m="1" x="27"/>
        <item x="13"/>
        <item m="1" x="25"/>
        <item m="1" x="28"/>
        <item m="1" x="30"/>
        <item x="9"/>
        <item x="5"/>
        <item m="1" x="32"/>
        <item m="1" x="36"/>
        <item m="1" x="22"/>
        <item m="1" x="38"/>
        <item x="1"/>
        <item m="1" x="34"/>
        <item x="0"/>
        <item m="1" x="35"/>
        <item x="17"/>
        <item m="1" x="31"/>
        <item m="1" x="33"/>
        <item m="1" x="37"/>
        <item x="6"/>
        <item x="7"/>
        <item x="16"/>
        <item x="10"/>
        <item m="1" x="26"/>
        <item m="1" x="21"/>
        <item m="1" x="29"/>
        <item x="14"/>
        <item m="1" x="23"/>
        <item x="3"/>
        <item x="4"/>
        <item x="8"/>
        <item x="11"/>
        <item x="12"/>
        <item x="15"/>
        <item x="18"/>
        <item x="19"/>
        <item t="default"/>
      </items>
    </pivotField>
    <pivotField compact="0" outline="0" subtotalTop="0" showAll="0" includeNewItemsInFilter="1"/>
    <pivotField compact="0" outline="0" subtotalTop="0" showAll="0" includeNewItemsInFilter="1"/>
    <pivotField compact="0" outline="0" subtotalTop="0" showAll="0" includeNewItemsInFilter="1" defaultSubtotal="0">
      <items count="107">
        <item x="51"/>
        <item x="22"/>
        <item x="11"/>
        <item m="1" x="89"/>
        <item m="1" x="84"/>
        <item m="1" x="93"/>
        <item x="49"/>
        <item m="1" x="83"/>
        <item m="1" x="104"/>
        <item m="1" x="90"/>
        <item m="1" x="106"/>
        <item m="1" x="97"/>
        <item m="1" x="81"/>
        <item m="1" x="95"/>
        <item m="1" x="100"/>
        <item x="15"/>
        <item x="26"/>
        <item m="1" x="80"/>
        <item m="1" x="99"/>
        <item m="1" x="102"/>
        <item m="1" x="96"/>
        <item m="1" x="78"/>
        <item m="1" x="98"/>
        <item x="3"/>
        <item m="1" x="87"/>
        <item m="1" x="92"/>
        <item m="1" x="105"/>
        <item x="58"/>
        <item m="1" x="101"/>
        <item m="1" x="86"/>
        <item x="17"/>
        <item x="20"/>
        <item x="45"/>
        <item m="1" x="79"/>
        <item m="1" x="88"/>
        <item x="33"/>
        <item m="1" x="91"/>
        <item m="1" x="85"/>
        <item m="1" x="103"/>
        <item m="1" x="94"/>
        <item x="63"/>
        <item m="1" x="82"/>
        <item x="66"/>
        <item x="0"/>
        <item x="1"/>
        <item x="2"/>
        <item x="4"/>
        <item x="5"/>
        <item x="6"/>
        <item x="7"/>
        <item x="8"/>
        <item x="9"/>
        <item x="10"/>
        <item x="12"/>
        <item x="13"/>
        <item x="14"/>
        <item x="16"/>
        <item x="18"/>
        <item x="19"/>
        <item x="21"/>
        <item x="28"/>
        <item x="29"/>
        <item x="30"/>
        <item x="31"/>
        <item x="35"/>
        <item x="34"/>
        <item x="36"/>
        <item x="39"/>
        <item x="40"/>
        <item x="23"/>
        <item x="24"/>
        <item x="25"/>
        <item x="27"/>
        <item x="32"/>
        <item x="37"/>
        <item x="38"/>
        <item x="41"/>
        <item x="46"/>
        <item x="54"/>
        <item x="55"/>
        <item x="67"/>
        <item x="68"/>
        <item x="42"/>
        <item x="43"/>
        <item x="44"/>
        <item x="47"/>
        <item x="48"/>
        <item x="50"/>
        <item x="52"/>
        <item x="53"/>
        <item x="56"/>
        <item x="57"/>
        <item x="59"/>
        <item x="60"/>
        <item x="61"/>
        <item x="62"/>
        <item x="64"/>
        <item x="65"/>
        <item x="69"/>
        <item x="70"/>
        <item x="71"/>
        <item x="72"/>
        <item x="73"/>
        <item x="74"/>
        <item x="75"/>
        <item x="76"/>
        <item x="77"/>
      </items>
    </pivotField>
    <pivotField compact="0" outline="0" subtotalTop="0" showAll="0" includeNewItemsInFilter="1"/>
    <pivotField compact="0" outline="0" subtotalTop="0" showAll="0" includeNewItemsInFilter="1"/>
    <pivotField compact="0" numFmtId="166" outline="0" subtotalTop="0" showAll="0" includeNewItemsInFilter="1" defaultSubtotal="0"/>
    <pivotField compact="0" outline="0" subtotalTop="0" showAll="0" includeNewItemsInFilter="1" defaultSubtotal="0"/>
    <pivotField compact="0" numFmtId="9" outline="0" subtotalTop="0" showAll="0" includeNewItemsInFilter="1"/>
    <pivotField compact="0" numFmtId="9" outline="0" subtotalTop="0" showAll="0" includeNewItemsInFilter="1"/>
    <pivotField compact="0" numFmtId="9" outline="0" subtotalTop="0" showAll="0" includeNewItemsInFilter="1"/>
    <pivotField compact="0" numFmtId="9"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items count="3">
        <item m="1" x="1"/>
        <item x="0"/>
        <item t="default"/>
      </items>
    </pivotField>
    <pivotField compact="0" outline="0" subtotalTop="0" showAll="0" includeNewItemsInFilter="1"/>
    <pivotField compact="0" outline="0" subtotalTop="0" showAll="0" includeNewItemsInFilter="1"/>
    <pivotField axis="axisPage" compact="0" outline="0" subtotalTop="0" showAll="0" includeNewItemsInFilter="1">
      <items count="5">
        <item x="2"/>
        <item x="0"/>
        <item x="1"/>
        <item x="3"/>
        <item t="default"/>
      </items>
    </pivotField>
    <pivotField compact="0" outline="0" subtotalTop="0" showAll="0" includeNewItemsInFilter="1"/>
    <pivotField axis="axisRow" compact="0" outline="0" subtotalTop="0" showAll="0" includeNewItemsInFilter="1" defaultSubtotal="0">
      <items count="43">
        <item x="3"/>
        <item x="4"/>
        <item x="5"/>
        <item x="6"/>
        <item x="39"/>
        <item x="7"/>
        <item x="8"/>
        <item x="9"/>
        <item x="10"/>
        <item x="11"/>
        <item x="12"/>
        <item x="13"/>
        <item x="0"/>
        <item x="14"/>
        <item x="15"/>
        <item x="1"/>
        <item x="16"/>
        <item x="17"/>
        <item x="18"/>
        <item x="19"/>
        <item x="20"/>
        <item x="21"/>
        <item x="22"/>
        <item x="23"/>
        <item x="24"/>
        <item x="25"/>
        <item x="26"/>
        <item x="27"/>
        <item x="28"/>
        <item x="29"/>
        <item x="30"/>
        <item x="31"/>
        <item x="32"/>
        <item x="33"/>
        <item x="34"/>
        <item x="35"/>
        <item x="36"/>
        <item x="2"/>
        <item x="37"/>
        <item x="38"/>
        <item x="40"/>
        <item m="1" x="42"/>
        <item m="1" x="41"/>
      </items>
    </pivotField>
    <pivotField compact="0" outline="0" subtotalTop="0" showAll="0" includeNewItemsInFilter="1"/>
    <pivotField axis="axisPage" compact="0" outline="0" subtotalTop="0" showAll="0" includeNewItemsInFilter="1">
      <items count="7">
        <item x="0"/>
        <item x="1"/>
        <item x="4"/>
        <item x="5"/>
        <item x="2"/>
        <item x="3"/>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Col" dataField="1" compact="0" outline="0" subtotalTop="0" showAll="0" includeNewItemsInFilter="1" defaultSubtotal="0">
      <items count="18">
        <item x="1"/>
        <item x="0"/>
        <item x="2"/>
        <item x="3"/>
        <item x="4"/>
        <item x="5"/>
        <item x="6"/>
        <item x="7"/>
        <item x="8"/>
        <item x="9"/>
        <item x="10"/>
        <item x="11"/>
        <item x="12"/>
        <item x="13"/>
        <item x="14"/>
        <item m="1" x="17"/>
        <item x="15"/>
        <item x="16"/>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49"/>
  </rowFields>
  <rowItems count="4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t="grand">
      <x/>
    </i>
  </rowItems>
  <colFields count="1">
    <field x="56"/>
  </colFields>
  <colItems count="17">
    <i>
      <x/>
    </i>
    <i>
      <x v="1"/>
    </i>
    <i>
      <x v="2"/>
    </i>
    <i>
      <x v="3"/>
    </i>
    <i>
      <x v="4"/>
    </i>
    <i>
      <x v="5"/>
    </i>
    <i>
      <x v="6"/>
    </i>
    <i>
      <x v="7"/>
    </i>
    <i>
      <x v="8"/>
    </i>
    <i>
      <x v="9"/>
    </i>
    <i>
      <x v="10"/>
    </i>
    <i>
      <x v="11"/>
    </i>
    <i>
      <x v="12"/>
    </i>
    <i>
      <x v="13"/>
    </i>
    <i>
      <x v="14"/>
    </i>
    <i>
      <x v="16"/>
    </i>
    <i>
      <x v="17"/>
    </i>
  </colItems>
  <pageFields count="2">
    <pageField fld="51" hier="-1"/>
    <pageField fld="47" item="1" hier="0"/>
  </pageFields>
  <dataFields count="1">
    <dataField name="Count of Starting Location2" fld="56" subtotal="count" baseField="0" baseItem="0"/>
  </dataFields>
  <formats count="19">
    <format dxfId="88">
      <pivotArea field="44" type="button" dataOnly="0" labelOnly="1" outline="0"/>
    </format>
    <format dxfId="87">
      <pivotArea field="16" type="button" dataOnly="0" labelOnly="1" outline="0"/>
    </format>
    <format dxfId="86">
      <pivotArea type="all" dataOnly="0" outline="0" fieldPosition="0"/>
    </format>
    <format dxfId="85">
      <pivotArea field="4" type="button" dataOnly="0" labelOnly="1" outline="0"/>
    </format>
    <format dxfId="84">
      <pivotArea field="3" type="button" dataOnly="0" labelOnly="1" outline="0"/>
    </format>
    <format dxfId="83">
      <pivotArea field="2" type="button" dataOnly="0" labelOnly="1" outline="0"/>
    </format>
    <format dxfId="82">
      <pivotArea field="1" type="button" dataOnly="0" labelOnly="1" outline="0"/>
    </format>
    <format dxfId="81">
      <pivotArea field="10" type="button" dataOnly="0" labelOnly="1" outline="0"/>
    </format>
    <format dxfId="80">
      <pivotArea field="11" type="button" dataOnly="0" labelOnly="1" outline="0"/>
    </format>
    <format dxfId="79">
      <pivotArea field="12" type="button" dataOnly="0" labelOnly="1" outline="0"/>
    </format>
    <format dxfId="78">
      <pivotArea field="47" type="button" dataOnly="0" labelOnly="1" outline="0" axis="axisPage" fieldPosition="1"/>
    </format>
    <format dxfId="77">
      <pivotArea dataOnly="0" labelOnly="1" outline="0" fieldPosition="0">
        <references count="1">
          <reference field="47" count="1">
            <x v="1"/>
          </reference>
        </references>
      </pivotArea>
    </format>
    <format dxfId="76">
      <pivotArea field="0" type="button" dataOnly="0" labelOnly="1" outline="0"/>
    </format>
    <format dxfId="75">
      <pivotArea field="49" type="button" dataOnly="0" labelOnly="1" outline="0" axis="axisRow" fieldPosition="0"/>
    </format>
    <format dxfId="74">
      <pivotArea type="origin" dataOnly="0" labelOnly="1" outline="0" fieldPosition="0"/>
    </format>
    <format dxfId="73">
      <pivotArea field="13" type="button" dataOnly="0" labelOnly="1" outline="0"/>
    </format>
    <format dxfId="72">
      <pivotArea field="9" type="button" dataOnly="0" labelOnly="1" outline="0"/>
    </format>
    <format dxfId="71">
      <pivotArea field="-2" type="button" dataOnly="0" labelOnly="1" outline="0" axis="axisValues" fieldPosition="0"/>
    </format>
    <format dxfId="70">
      <pivotArea type="topRight" dataOnly="0" labelOnly="1" outline="0" fieldPosition="0"/>
    </format>
  </formats>
  <pivotTableStyleInfo showRowHeaders="1" showColHeaders="1" showRowStripes="0" showColStripes="0" showLastColumn="1"/>
</pivotTableDefinition>
</file>

<file path=xl/pivotTables/pivotTable7.xml><?xml version="1.0" encoding="utf-8"?>
<pivotTableDefinition xmlns="http://schemas.openxmlformats.org/spreadsheetml/2006/main" name="PivotTable1" cacheId="0" dataPosition="0" applyNumberFormats="0" applyBorderFormats="0" applyFontFormats="0" applyPatternFormats="0" applyAlignmentFormats="0" applyWidthHeightFormats="1" dataCaption="Data" updatedVersion="3" asteriskTotals="1" showMemberPropertyTips="0" colGrandTotals="0" itemPrintTitles="1" createdVersion="1" indent="0" compact="0" compactData="0" gridDropZones="1">
  <location ref="A4:D47" firstHeaderRow="1" firstDataRow="2" firstDataCol="1" rowPageCount="2" colPageCount="1"/>
  <pivotFields count="77">
    <pivotField compact="0" outline="0" subtotalTop="0" showAll="0" includeNewItemsInFilter="1" defaultSubtotal="0">
      <items count="44">
        <item x="27"/>
        <item x="7"/>
        <item x="12"/>
        <item x="11"/>
        <item x="19"/>
        <item x="3"/>
        <item x="6"/>
        <item x="14"/>
        <item x="1"/>
        <item x="15"/>
        <item x="5"/>
        <item x="4"/>
        <item x="23"/>
        <item x="8"/>
        <item x="20"/>
        <item x="17"/>
        <item x="24"/>
        <item m="1" x="40"/>
        <item m="1" x="42"/>
        <item m="1" x="43"/>
        <item m="1" x="29"/>
        <item m="1" x="34"/>
        <item m="1" x="35"/>
        <item m="1" x="31"/>
        <item m="1" x="36"/>
        <item m="1" x="32"/>
        <item x="28"/>
        <item m="1" x="30"/>
        <item m="1" x="41"/>
        <item m="1" x="38"/>
        <item x="21"/>
        <item x="9"/>
        <item x="10"/>
        <item x="22"/>
        <item x="25"/>
        <item m="1" x="39"/>
        <item x="26"/>
        <item x="13"/>
        <item x="18"/>
        <item m="1" x="33"/>
        <item x="16"/>
        <item m="1" x="37"/>
        <item x="2"/>
        <item x="0"/>
      </items>
    </pivotField>
    <pivotField compact="0" outline="0" subtotalTop="0" showAll="0" includeNewItemsInFilter="1" defaultSubtotal="0">
      <items count="42">
        <item x="9"/>
        <item x="39"/>
        <item x="13"/>
        <item x="26"/>
        <item x="17"/>
        <item x="11"/>
        <item x="22"/>
        <item x="24"/>
        <item x="16"/>
        <item x="3"/>
        <item x="25"/>
        <item x="32"/>
        <item x="33"/>
        <item x="23"/>
        <item x="29"/>
        <item x="40"/>
        <item x="36"/>
        <item x="20"/>
        <item x="37"/>
        <item x="35"/>
        <item x="38"/>
        <item x="31"/>
        <item x="4"/>
        <item x="12"/>
        <item x="34"/>
        <item x="6"/>
        <item x="0"/>
        <item x="27"/>
        <item x="28"/>
        <item x="8"/>
        <item x="1"/>
        <item x="2"/>
        <item x="15"/>
        <item x="10"/>
        <item x="7"/>
        <item x="14"/>
        <item x="19"/>
        <item x="30"/>
        <item x="21"/>
        <item x="5"/>
        <item x="18"/>
        <item m="1" x="41"/>
      </items>
    </pivotField>
    <pivotField compact="0" outline="0" subtotalTop="0" showAll="0" includeNewItemsInFilter="1" defaultSubtotal="0">
      <items count="42">
        <item x="9"/>
        <item x="28"/>
        <item x="12"/>
        <item x="0"/>
        <item x="13"/>
        <item x="26"/>
        <item x="24"/>
        <item x="5"/>
        <item m="1" x="41"/>
        <item x="10"/>
        <item x="1"/>
        <item x="7"/>
        <item x="14"/>
        <item m="1" x="39"/>
        <item m="1" x="40"/>
        <item x="15"/>
        <item x="20"/>
        <item x="2"/>
        <item x="21"/>
        <item m="1" x="34"/>
        <item m="1" x="35"/>
        <item m="1" x="31"/>
        <item m="1" x="36"/>
        <item m="1" x="32"/>
        <item m="1" x="37"/>
        <item m="1" x="33"/>
        <item x="29"/>
        <item x="23"/>
        <item m="1" x="30"/>
        <item x="17"/>
        <item x="4"/>
        <item x="18"/>
        <item x="25"/>
        <item x="16"/>
        <item x="6"/>
        <item x="8"/>
        <item x="27"/>
        <item x="3"/>
        <item x="22"/>
        <item x="11"/>
        <item x="19"/>
        <item m="1" x="38"/>
      </items>
    </pivotField>
    <pivotField compact="0" outline="0" subtotalTop="0" showAll="0" includeNewItemsInFilter="1" defaultSubtotal="0">
      <items count="42">
        <item x="9"/>
        <item x="5"/>
        <item x="10"/>
        <item x="8"/>
        <item x="11"/>
        <item x="17"/>
        <item x="12"/>
        <item x="27"/>
        <item x="39"/>
        <item x="29"/>
        <item x="34"/>
        <item x="37"/>
        <item x="20"/>
        <item x="30"/>
        <item x="2"/>
        <item x="15"/>
        <item x="0"/>
        <item x="28"/>
        <item x="26"/>
        <item x="31"/>
        <item x="23"/>
        <item x="22"/>
        <item x="13"/>
        <item x="25"/>
        <item x="36"/>
        <item x="38"/>
        <item x="16"/>
        <item x="14"/>
        <item x="32"/>
        <item x="6"/>
        <item x="24"/>
        <item x="35"/>
        <item x="21"/>
        <item x="3"/>
        <item x="33"/>
        <item x="7"/>
        <item x="19"/>
        <item x="1"/>
        <item x="4"/>
        <item m="1" x="40"/>
        <item m="1" x="41"/>
        <item x="18"/>
      </items>
    </pivotField>
    <pivotField compact="0" outline="0" subtotalTop="0" showAll="0" includeNewItemsInFilter="1" defaultSubtotal="0">
      <items count="39">
        <item x="0"/>
        <item x="12"/>
        <item x="14"/>
        <item x="16"/>
        <item x="13"/>
        <item m="1" x="29"/>
        <item x="8"/>
        <item m="1" x="38"/>
        <item x="24"/>
        <item x="21"/>
        <item x="7"/>
        <item x="5"/>
        <item m="1" x="36"/>
        <item x="6"/>
        <item m="1" x="34"/>
        <item x="4"/>
        <item x="11"/>
        <item x="20"/>
        <item x="23"/>
        <item x="10"/>
        <item m="1" x="33"/>
        <item x="19"/>
        <item x="1"/>
        <item m="1" x="32"/>
        <item x="22"/>
        <item x="9"/>
        <item x="3"/>
        <item m="1" x="37"/>
        <item x="18"/>
        <item x="15"/>
        <item m="1" x="35"/>
        <item m="1" x="27"/>
        <item m="1" x="28"/>
        <item m="1" x="31"/>
        <item x="17"/>
        <item x="2"/>
        <item m="1" x="30"/>
        <item m="1" x="26"/>
        <item m="1" x="25"/>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defaultSubtotal="0">
      <items count="43">
        <item x="15"/>
        <item m="1" x="26"/>
        <item x="2"/>
        <item m="1" x="35"/>
        <item x="4"/>
        <item x="22"/>
        <item m="1" x="27"/>
        <item m="1" x="32"/>
        <item m="1" x="39"/>
        <item m="1" x="40"/>
        <item x="12"/>
        <item m="1" x="37"/>
        <item m="1" x="38"/>
        <item m="1" x="24"/>
        <item x="14"/>
        <item x="3"/>
        <item m="1" x="31"/>
        <item m="1" x="36"/>
        <item x="9"/>
        <item m="1" x="23"/>
        <item m="1" x="28"/>
        <item x="10"/>
        <item x="18"/>
        <item m="1" x="34"/>
        <item x="8"/>
        <item m="1" x="42"/>
        <item m="1" x="41"/>
        <item x="19"/>
        <item m="1" x="25"/>
        <item m="1" x="33"/>
        <item x="7"/>
        <item m="1" x="29"/>
        <item x="1"/>
        <item m="1" x="30"/>
        <item x="0"/>
        <item x="5"/>
        <item x="6"/>
        <item x="11"/>
        <item x="13"/>
        <item x="16"/>
        <item x="17"/>
        <item x="20"/>
        <item x="21"/>
      </items>
    </pivotField>
    <pivotField compact="0" outline="0" subtotalTop="0" showAll="0" includeNewItemsInFilter="1" defaultSubtotal="0">
      <items count="42">
        <item x="15"/>
        <item m="1" x="26"/>
        <item x="2"/>
        <item m="1" x="34"/>
        <item x="4"/>
        <item x="22"/>
        <item m="1" x="27"/>
        <item m="1" x="31"/>
        <item m="1" x="38"/>
        <item m="1" x="39"/>
        <item x="12"/>
        <item m="1" x="36"/>
        <item m="1" x="37"/>
        <item x="18"/>
        <item m="1" x="24"/>
        <item x="14"/>
        <item x="3"/>
        <item x="6"/>
        <item m="1" x="35"/>
        <item x="9"/>
        <item m="1" x="23"/>
        <item m="1" x="28"/>
        <item x="10"/>
        <item m="1" x="33"/>
        <item x="8"/>
        <item m="1" x="41"/>
        <item m="1" x="40"/>
        <item x="19"/>
        <item m="1" x="25"/>
        <item x="16"/>
        <item m="1" x="32"/>
        <item x="7"/>
        <item m="1" x="29"/>
        <item x="1"/>
        <item m="1" x="30"/>
        <item x="0"/>
        <item x="5"/>
        <item x="11"/>
        <item x="13"/>
        <item x="17"/>
        <item x="20"/>
        <item x="21"/>
      </items>
    </pivotField>
    <pivotField compact="0" outline="0" subtotalTop="0" showAll="0" includeNewItemsInFilter="1" defaultSubtotal="0">
      <items count="45">
        <item x="15"/>
        <item m="1" x="26"/>
        <item x="2"/>
        <item m="1" x="36"/>
        <item x="4"/>
        <item x="22"/>
        <item m="1" x="27"/>
        <item m="1" x="33"/>
        <item m="1" x="28"/>
        <item m="1" x="40"/>
        <item m="1" x="41"/>
        <item x="12"/>
        <item m="1" x="38"/>
        <item m="1" x="39"/>
        <item x="18"/>
        <item m="1" x="24"/>
        <item x="14"/>
        <item x="3"/>
        <item m="1" x="32"/>
        <item m="1" x="42"/>
        <item m="1" x="37"/>
        <item x="9"/>
        <item m="1" x="23"/>
        <item x="10"/>
        <item m="1" x="35"/>
        <item x="8"/>
        <item m="1" x="44"/>
        <item m="1" x="43"/>
        <item x="19"/>
        <item m="1" x="25"/>
        <item m="1" x="29"/>
        <item m="1" x="34"/>
        <item x="7"/>
        <item m="1" x="30"/>
        <item x="1"/>
        <item m="1" x="31"/>
        <item x="0"/>
        <item x="5"/>
        <item x="6"/>
        <item x="11"/>
        <item x="13"/>
        <item x="16"/>
        <item x="17"/>
        <item x="20"/>
        <item x="21"/>
      </items>
    </pivotField>
    <pivotField compact="0" outline="0" subtotalTop="0" showAll="0" includeNewItemsInFilter="1" defaultSubtotal="0">
      <items count="42">
        <item x="15"/>
        <item m="1" x="26"/>
        <item x="2"/>
        <item m="1" x="34"/>
        <item x="4"/>
        <item x="22"/>
        <item m="1" x="27"/>
        <item m="1" x="31"/>
        <item x="18"/>
        <item m="1" x="38"/>
        <item m="1" x="39"/>
        <item x="12"/>
        <item m="1" x="36"/>
        <item m="1" x="37"/>
        <item m="1" x="24"/>
        <item x="14"/>
        <item x="3"/>
        <item x="6"/>
        <item m="1" x="35"/>
        <item x="9"/>
        <item m="1" x="23"/>
        <item m="1" x="28"/>
        <item x="10"/>
        <item m="1" x="33"/>
        <item x="8"/>
        <item m="1" x="41"/>
        <item m="1" x="40"/>
        <item x="19"/>
        <item m="1" x="25"/>
        <item x="16"/>
        <item m="1" x="32"/>
        <item x="7"/>
        <item m="1" x="29"/>
        <item x="1"/>
        <item m="1" x="30"/>
        <item x="0"/>
        <item x="5"/>
        <item x="11"/>
        <item x="13"/>
        <item x="17"/>
        <item x="20"/>
        <item x="21"/>
      </items>
    </pivotField>
    <pivotField compact="0" outline="0" subtotalTop="0" showAll="0" includeNewItemsInFilter="1">
      <items count="40">
        <item m="1" x="24"/>
        <item x="2"/>
        <item x="20"/>
        <item m="1" x="27"/>
        <item x="13"/>
        <item m="1" x="25"/>
        <item m="1" x="28"/>
        <item m="1" x="30"/>
        <item x="9"/>
        <item x="5"/>
        <item m="1" x="32"/>
        <item m="1" x="36"/>
        <item m="1" x="22"/>
        <item m="1" x="38"/>
        <item x="1"/>
        <item m="1" x="34"/>
        <item x="0"/>
        <item m="1" x="35"/>
        <item x="17"/>
        <item m="1" x="31"/>
        <item m="1" x="33"/>
        <item m="1" x="37"/>
        <item x="6"/>
        <item x="7"/>
        <item x="16"/>
        <item x="10"/>
        <item m="1" x="26"/>
        <item m="1" x="21"/>
        <item m="1" x="29"/>
        <item x="14"/>
        <item m="1" x="23"/>
        <item x="3"/>
        <item x="4"/>
        <item x="8"/>
        <item x="11"/>
        <item x="12"/>
        <item x="15"/>
        <item x="18"/>
        <item x="19"/>
        <item t="default"/>
      </items>
    </pivotField>
    <pivotField compact="0" outline="0" subtotalTop="0" showAll="0" includeNewItemsInFilter="1"/>
    <pivotField compact="0" outline="0" subtotalTop="0" showAll="0" includeNewItemsInFilter="1"/>
    <pivotField compact="0" outline="0" subtotalTop="0" showAll="0" includeNewItemsInFilter="1" defaultSubtotal="0">
      <items count="107">
        <item x="51"/>
        <item x="22"/>
        <item x="11"/>
        <item m="1" x="89"/>
        <item m="1" x="84"/>
        <item m="1" x="93"/>
        <item x="49"/>
        <item m="1" x="83"/>
        <item m="1" x="104"/>
        <item m="1" x="90"/>
        <item m="1" x="106"/>
        <item m="1" x="97"/>
        <item m="1" x="81"/>
        <item m="1" x="95"/>
        <item m="1" x="100"/>
        <item x="15"/>
        <item x="26"/>
        <item m="1" x="80"/>
        <item m="1" x="99"/>
        <item m="1" x="102"/>
        <item m="1" x="96"/>
        <item m="1" x="78"/>
        <item m="1" x="98"/>
        <item x="3"/>
        <item m="1" x="87"/>
        <item m="1" x="92"/>
        <item m="1" x="105"/>
        <item x="58"/>
        <item m="1" x="101"/>
        <item m="1" x="86"/>
        <item x="17"/>
        <item x="20"/>
        <item x="45"/>
        <item m="1" x="79"/>
        <item m="1" x="88"/>
        <item x="33"/>
        <item m="1" x="91"/>
        <item m="1" x="85"/>
        <item m="1" x="103"/>
        <item m="1" x="94"/>
        <item x="63"/>
        <item m="1" x="82"/>
        <item x="66"/>
        <item x="0"/>
        <item x="1"/>
        <item x="2"/>
        <item x="4"/>
        <item x="5"/>
        <item x="6"/>
        <item x="7"/>
        <item x="8"/>
        <item x="9"/>
        <item x="10"/>
        <item x="12"/>
        <item x="13"/>
        <item x="14"/>
        <item x="16"/>
        <item x="18"/>
        <item x="19"/>
        <item x="21"/>
        <item x="28"/>
        <item x="29"/>
        <item x="30"/>
        <item x="31"/>
        <item x="35"/>
        <item x="34"/>
        <item x="36"/>
        <item x="39"/>
        <item x="40"/>
        <item x="23"/>
        <item x="24"/>
        <item x="25"/>
        <item x="27"/>
        <item x="32"/>
        <item x="37"/>
        <item x="38"/>
        <item x="41"/>
        <item x="46"/>
        <item x="54"/>
        <item x="55"/>
        <item x="67"/>
        <item x="68"/>
        <item x="42"/>
        <item x="43"/>
        <item x="44"/>
        <item x="47"/>
        <item x="48"/>
        <item x="50"/>
        <item x="52"/>
        <item x="53"/>
        <item x="56"/>
        <item x="57"/>
        <item x="59"/>
        <item x="60"/>
        <item x="61"/>
        <item x="62"/>
        <item x="64"/>
        <item x="65"/>
        <item x="69"/>
        <item x="70"/>
        <item x="71"/>
        <item x="72"/>
        <item x="73"/>
        <item x="74"/>
        <item x="75"/>
        <item x="76"/>
        <item x="77"/>
      </items>
    </pivotField>
    <pivotField compact="0" outline="0" subtotalTop="0" showAll="0" includeNewItemsInFilter="1"/>
    <pivotField compact="0" outline="0" subtotalTop="0" showAll="0" includeNewItemsInFilter="1"/>
    <pivotField compact="0" numFmtId="166" outline="0" subtotalTop="0" showAll="0" includeNewItemsInFilter="1" defaultSubtotal="0"/>
    <pivotField compact="0" outline="0" subtotalTop="0" showAll="0" includeNewItemsInFilter="1" defaultSubtotal="0"/>
    <pivotField compact="0" numFmtId="9" outline="0" subtotalTop="0" showAll="0" includeNewItemsInFilter="1"/>
    <pivotField compact="0" numFmtId="9" outline="0" subtotalTop="0" showAll="0" includeNewItemsInFilter="1"/>
    <pivotField compact="0" numFmtId="9" outline="0" subtotalTop="0" showAll="0" includeNewItemsInFilter="1"/>
    <pivotField compact="0" numFmtId="9"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items count="3">
        <item m="1" x="1"/>
        <item x="0"/>
        <item t="default"/>
      </items>
    </pivotField>
    <pivotField compact="0" outline="0" subtotalTop="0" showAll="0" includeNewItemsInFilter="1"/>
    <pivotField compact="0" outline="0" subtotalTop="0" showAll="0" includeNewItemsInFilter="1"/>
    <pivotField axis="axisPage" compact="0" outline="0" subtotalTop="0" showAll="0" includeNewItemsInFilter="1">
      <items count="5">
        <item x="2"/>
        <item x="0"/>
        <item x="1"/>
        <item x="3"/>
        <item t="default"/>
      </items>
    </pivotField>
    <pivotField compact="0" outline="0" subtotalTop="0" showAll="0" includeNewItemsInFilter="1"/>
    <pivotField axis="axisRow" compact="0" outline="0" subtotalTop="0" showAll="0" includeNewItemsInFilter="1" defaultSubtotal="0">
      <items count="43">
        <item x="3"/>
        <item x="4"/>
        <item x="5"/>
        <item x="6"/>
        <item x="39"/>
        <item x="7"/>
        <item x="8"/>
        <item x="9"/>
        <item x="10"/>
        <item x="11"/>
        <item x="12"/>
        <item x="13"/>
        <item x="0"/>
        <item x="14"/>
        <item x="15"/>
        <item x="1"/>
        <item x="16"/>
        <item x="17"/>
        <item x="18"/>
        <item x="19"/>
        <item x="20"/>
        <item x="21"/>
        <item x="22"/>
        <item x="23"/>
        <item x="24"/>
        <item x="25"/>
        <item x="26"/>
        <item x="27"/>
        <item x="28"/>
        <item x="29"/>
        <item x="30"/>
        <item x="31"/>
        <item x="32"/>
        <item x="33"/>
        <item x="34"/>
        <item x="35"/>
        <item x="36"/>
        <item x="2"/>
        <item x="37"/>
        <item x="38"/>
        <item x="40"/>
        <item m="1" x="42"/>
        <item m="1" x="41"/>
      </items>
    </pivotField>
    <pivotField compact="0" outline="0" subtotalTop="0" showAll="0" includeNewItemsInFilter="1"/>
    <pivotField axis="axisPage" compact="0" outline="0" subtotalTop="0" showAll="0" includeNewItemsInFilter="1">
      <items count="7">
        <item x="0"/>
        <item x="1"/>
        <item x="4"/>
        <item x="5"/>
        <item x="2"/>
        <item x="3"/>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axis="axisCol" dataField="1" compact="0" outline="0" subtotalTop="0" showAll="0" includeNewItemsInFilter="1" defaultSubtotal="0">
      <items count="4">
        <item x="1"/>
        <item x="0"/>
        <item x="2"/>
        <item m="1" x="3"/>
      </items>
    </pivotField>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49"/>
  </rowFields>
  <rowItems count="4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t="grand">
      <x/>
    </i>
  </rowItems>
  <colFields count="1">
    <field x="59"/>
  </colFields>
  <colItems count="3">
    <i>
      <x/>
    </i>
    <i>
      <x v="1"/>
    </i>
    <i>
      <x v="2"/>
    </i>
  </colItems>
  <pageFields count="2">
    <pageField fld="51" hier="-1"/>
    <pageField fld="47" item="1" hier="0"/>
  </pageFields>
  <dataFields count="1">
    <dataField name="Count of Loads By Human2" fld="59" subtotal="count" showDataAs="percentOfRow" baseField="0" baseItem="0" numFmtId="9"/>
  </dataFields>
  <formats count="20">
    <format dxfId="69">
      <pivotArea field="44" type="button" dataOnly="0" labelOnly="1" outline="0"/>
    </format>
    <format dxfId="68">
      <pivotArea field="16" type="button" dataOnly="0" labelOnly="1" outline="0"/>
    </format>
    <format dxfId="67">
      <pivotArea type="all" dataOnly="0" outline="0" fieldPosition="0"/>
    </format>
    <format dxfId="66">
      <pivotArea field="4" type="button" dataOnly="0" labelOnly="1" outline="0"/>
    </format>
    <format dxfId="65">
      <pivotArea field="3" type="button" dataOnly="0" labelOnly="1" outline="0"/>
    </format>
    <format dxfId="64">
      <pivotArea field="2" type="button" dataOnly="0" labelOnly="1" outline="0"/>
    </format>
    <format dxfId="63">
      <pivotArea field="1" type="button" dataOnly="0" labelOnly="1" outline="0"/>
    </format>
    <format dxfId="62">
      <pivotArea field="10" type="button" dataOnly="0" labelOnly="1" outline="0"/>
    </format>
    <format dxfId="61">
      <pivotArea field="11" type="button" dataOnly="0" labelOnly="1" outline="0"/>
    </format>
    <format dxfId="60">
      <pivotArea field="12" type="button" dataOnly="0" labelOnly="1" outline="0"/>
    </format>
    <format dxfId="59">
      <pivotArea field="47" type="button" dataOnly="0" labelOnly="1" outline="0" axis="axisPage" fieldPosition="1"/>
    </format>
    <format dxfId="58">
      <pivotArea dataOnly="0" labelOnly="1" outline="0" fieldPosition="0">
        <references count="1">
          <reference field="47" count="1">
            <x v="1"/>
          </reference>
        </references>
      </pivotArea>
    </format>
    <format dxfId="57">
      <pivotArea field="0" type="button" dataOnly="0" labelOnly="1" outline="0"/>
    </format>
    <format dxfId="56">
      <pivotArea field="49" type="button" dataOnly="0" labelOnly="1" outline="0" axis="axisRow" fieldPosition="0"/>
    </format>
    <format dxfId="55">
      <pivotArea type="origin" dataOnly="0" labelOnly="1" outline="0" fieldPosition="0"/>
    </format>
    <format dxfId="54">
      <pivotArea field="13" type="button" dataOnly="0" labelOnly="1" outline="0"/>
    </format>
    <format dxfId="53">
      <pivotArea field="9" type="button" dataOnly="0" labelOnly="1" outline="0"/>
    </format>
    <format dxfId="52">
      <pivotArea field="-2" type="button" dataOnly="0" labelOnly="1" outline="0" axis="axisValues" fieldPosition="0"/>
    </format>
    <format dxfId="51">
      <pivotArea type="topRight" dataOnly="0" labelOnly="1" outline="0" fieldPosition="0"/>
    </format>
    <format dxfId="50">
      <pivotArea outline="0" fieldPosition="0">
        <references count="1">
          <reference field="4294967294" count="1">
            <x v="0"/>
          </reference>
        </references>
      </pivotArea>
    </format>
  </formats>
  <pivotTableStyleInfo showRowHeaders="1" showColHeaders="1" showRowStripes="0" showColStripes="0" showLastColumn="1"/>
</pivotTableDefinition>
</file>

<file path=xl/pivotTables/pivotTable8.xml><?xml version="1.0" encoding="utf-8"?>
<pivotTableDefinition xmlns="http://schemas.openxmlformats.org/spreadsheetml/2006/main" name="PivotTable1" cacheId="0" dataPosition="0" applyNumberFormats="0" applyBorderFormats="0" applyFontFormats="0" applyPatternFormats="0" applyAlignmentFormats="0" applyWidthHeightFormats="1" dataCaption="Data" updatedVersion="3" asteriskTotals="1" showMemberPropertyTips="0" colGrandTotals="0" itemPrintTitles="1" createdVersion="1" indent="0" compact="0" compactData="0" gridDropZones="1">
  <location ref="A4:D47" firstHeaderRow="1" firstDataRow="2" firstDataCol="1" rowPageCount="2" colPageCount="1"/>
  <pivotFields count="77">
    <pivotField compact="0" outline="0" subtotalTop="0" showAll="0" includeNewItemsInFilter="1" defaultSubtotal="0">
      <items count="44">
        <item x="27"/>
        <item x="7"/>
        <item x="12"/>
        <item x="11"/>
        <item x="19"/>
        <item x="3"/>
        <item x="6"/>
        <item x="14"/>
        <item x="1"/>
        <item x="15"/>
        <item x="5"/>
        <item x="4"/>
        <item x="23"/>
        <item x="8"/>
        <item x="20"/>
        <item x="17"/>
        <item x="24"/>
        <item m="1" x="40"/>
        <item m="1" x="42"/>
        <item m="1" x="43"/>
        <item m="1" x="29"/>
        <item m="1" x="34"/>
        <item m="1" x="35"/>
        <item m="1" x="31"/>
        <item m="1" x="36"/>
        <item m="1" x="32"/>
        <item x="28"/>
        <item m="1" x="30"/>
        <item m="1" x="41"/>
        <item m="1" x="38"/>
        <item x="21"/>
        <item x="9"/>
        <item x="10"/>
        <item x="22"/>
        <item x="25"/>
        <item m="1" x="39"/>
        <item x="26"/>
        <item x="13"/>
        <item x="18"/>
        <item m="1" x="33"/>
        <item x="16"/>
        <item m="1" x="37"/>
        <item x="2"/>
        <item x="0"/>
      </items>
    </pivotField>
    <pivotField compact="0" outline="0" subtotalTop="0" showAll="0" includeNewItemsInFilter="1" defaultSubtotal="0">
      <items count="42">
        <item x="9"/>
        <item x="39"/>
        <item x="13"/>
        <item x="26"/>
        <item x="17"/>
        <item x="11"/>
        <item x="22"/>
        <item x="24"/>
        <item x="16"/>
        <item x="3"/>
        <item x="25"/>
        <item x="32"/>
        <item x="33"/>
        <item x="23"/>
        <item x="29"/>
        <item x="40"/>
        <item x="36"/>
        <item x="20"/>
        <item x="37"/>
        <item x="35"/>
        <item x="38"/>
        <item x="31"/>
        <item x="4"/>
        <item x="12"/>
        <item x="34"/>
        <item x="6"/>
        <item x="0"/>
        <item x="27"/>
        <item x="28"/>
        <item x="8"/>
        <item x="1"/>
        <item x="2"/>
        <item x="15"/>
        <item x="10"/>
        <item x="7"/>
        <item x="14"/>
        <item x="19"/>
        <item x="30"/>
        <item x="21"/>
        <item x="5"/>
        <item x="18"/>
        <item m="1" x="41"/>
      </items>
    </pivotField>
    <pivotField compact="0" outline="0" subtotalTop="0" showAll="0" includeNewItemsInFilter="1" defaultSubtotal="0">
      <items count="42">
        <item x="9"/>
        <item x="28"/>
        <item x="12"/>
        <item x="0"/>
        <item x="13"/>
        <item x="26"/>
        <item x="24"/>
        <item x="5"/>
        <item m="1" x="41"/>
        <item x="10"/>
        <item x="1"/>
        <item x="7"/>
        <item x="14"/>
        <item m="1" x="39"/>
        <item m="1" x="40"/>
        <item x="15"/>
        <item x="20"/>
        <item x="2"/>
        <item x="21"/>
        <item m="1" x="34"/>
        <item m="1" x="35"/>
        <item m="1" x="31"/>
        <item m="1" x="36"/>
        <item m="1" x="32"/>
        <item m="1" x="37"/>
        <item m="1" x="33"/>
        <item x="29"/>
        <item x="23"/>
        <item m="1" x="30"/>
        <item x="17"/>
        <item x="4"/>
        <item x="18"/>
        <item x="25"/>
        <item x="16"/>
        <item x="6"/>
        <item x="8"/>
        <item x="27"/>
        <item x="3"/>
        <item x="22"/>
        <item x="11"/>
        <item x="19"/>
        <item m="1" x="38"/>
      </items>
    </pivotField>
    <pivotField compact="0" outline="0" subtotalTop="0" showAll="0" includeNewItemsInFilter="1" defaultSubtotal="0">
      <items count="42">
        <item x="9"/>
        <item x="5"/>
        <item x="10"/>
        <item x="8"/>
        <item x="11"/>
        <item x="17"/>
        <item x="12"/>
        <item x="27"/>
        <item x="39"/>
        <item x="29"/>
        <item x="34"/>
        <item x="37"/>
        <item x="20"/>
        <item x="30"/>
        <item x="2"/>
        <item x="15"/>
        <item x="0"/>
        <item x="28"/>
        <item x="26"/>
        <item x="31"/>
        <item x="23"/>
        <item x="22"/>
        <item x="13"/>
        <item x="25"/>
        <item x="36"/>
        <item x="38"/>
        <item x="16"/>
        <item x="14"/>
        <item x="32"/>
        <item x="6"/>
        <item x="24"/>
        <item x="35"/>
        <item x="21"/>
        <item x="3"/>
        <item x="33"/>
        <item x="7"/>
        <item x="19"/>
        <item x="1"/>
        <item x="4"/>
        <item m="1" x="40"/>
        <item m="1" x="41"/>
        <item x="18"/>
      </items>
    </pivotField>
    <pivotField compact="0" outline="0" subtotalTop="0" showAll="0" includeNewItemsInFilter="1" defaultSubtotal="0">
      <items count="39">
        <item x="0"/>
        <item x="12"/>
        <item x="14"/>
        <item x="16"/>
        <item x="13"/>
        <item m="1" x="29"/>
        <item x="8"/>
        <item m="1" x="38"/>
        <item x="24"/>
        <item x="21"/>
        <item x="7"/>
        <item x="5"/>
        <item m="1" x="36"/>
        <item x="6"/>
        <item m="1" x="34"/>
        <item x="4"/>
        <item x="11"/>
        <item x="20"/>
        <item x="23"/>
        <item x="10"/>
        <item m="1" x="33"/>
        <item x="19"/>
        <item x="1"/>
        <item m="1" x="32"/>
        <item x="22"/>
        <item x="9"/>
        <item x="3"/>
        <item m="1" x="37"/>
        <item x="18"/>
        <item x="15"/>
        <item m="1" x="35"/>
        <item m="1" x="27"/>
        <item m="1" x="28"/>
        <item m="1" x="31"/>
        <item x="17"/>
        <item x="2"/>
        <item m="1" x="30"/>
        <item m="1" x="26"/>
        <item m="1" x="25"/>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defaultSubtotal="0">
      <items count="43">
        <item x="15"/>
        <item m="1" x="26"/>
        <item x="2"/>
        <item m="1" x="35"/>
        <item x="4"/>
        <item x="22"/>
        <item m="1" x="27"/>
        <item m="1" x="32"/>
        <item m="1" x="39"/>
        <item m="1" x="40"/>
        <item x="12"/>
        <item m="1" x="37"/>
        <item m="1" x="38"/>
        <item m="1" x="24"/>
        <item x="14"/>
        <item x="3"/>
        <item m="1" x="31"/>
        <item m="1" x="36"/>
        <item x="9"/>
        <item m="1" x="23"/>
        <item m="1" x="28"/>
        <item x="10"/>
        <item x="18"/>
        <item m="1" x="34"/>
        <item x="8"/>
        <item m="1" x="42"/>
        <item m="1" x="41"/>
        <item x="19"/>
        <item m="1" x="25"/>
        <item m="1" x="33"/>
        <item x="7"/>
        <item m="1" x="29"/>
        <item x="1"/>
        <item m="1" x="30"/>
        <item x="0"/>
        <item x="5"/>
        <item x="6"/>
        <item x="11"/>
        <item x="13"/>
        <item x="16"/>
        <item x="17"/>
        <item x="20"/>
        <item x="21"/>
      </items>
    </pivotField>
    <pivotField compact="0" outline="0" subtotalTop="0" showAll="0" includeNewItemsInFilter="1" defaultSubtotal="0">
      <items count="42">
        <item x="15"/>
        <item m="1" x="26"/>
        <item x="2"/>
        <item m="1" x="34"/>
        <item x="4"/>
        <item x="22"/>
        <item m="1" x="27"/>
        <item m="1" x="31"/>
        <item m="1" x="38"/>
        <item m="1" x="39"/>
        <item x="12"/>
        <item m="1" x="36"/>
        <item m="1" x="37"/>
        <item x="18"/>
        <item m="1" x="24"/>
        <item x="14"/>
        <item x="3"/>
        <item x="6"/>
        <item m="1" x="35"/>
        <item x="9"/>
        <item m="1" x="23"/>
        <item m="1" x="28"/>
        <item x="10"/>
        <item m="1" x="33"/>
        <item x="8"/>
        <item m="1" x="41"/>
        <item m="1" x="40"/>
        <item x="19"/>
        <item m="1" x="25"/>
        <item x="16"/>
        <item m="1" x="32"/>
        <item x="7"/>
        <item m="1" x="29"/>
        <item x="1"/>
        <item m="1" x="30"/>
        <item x="0"/>
        <item x="5"/>
        <item x="11"/>
        <item x="13"/>
        <item x="17"/>
        <item x="20"/>
        <item x="21"/>
      </items>
    </pivotField>
    <pivotField compact="0" outline="0" subtotalTop="0" showAll="0" includeNewItemsInFilter="1" defaultSubtotal="0">
      <items count="45">
        <item x="15"/>
        <item m="1" x="26"/>
        <item x="2"/>
        <item m="1" x="36"/>
        <item x="4"/>
        <item x="22"/>
        <item m="1" x="27"/>
        <item m="1" x="33"/>
        <item m="1" x="28"/>
        <item m="1" x="40"/>
        <item m="1" x="41"/>
        <item x="12"/>
        <item m="1" x="38"/>
        <item m="1" x="39"/>
        <item x="18"/>
        <item m="1" x="24"/>
        <item x="14"/>
        <item x="3"/>
        <item m="1" x="32"/>
        <item m="1" x="42"/>
        <item m="1" x="37"/>
        <item x="9"/>
        <item m="1" x="23"/>
        <item x="10"/>
        <item m="1" x="35"/>
        <item x="8"/>
        <item m="1" x="44"/>
        <item m="1" x="43"/>
        <item x="19"/>
        <item m="1" x="25"/>
        <item m="1" x="29"/>
        <item m="1" x="34"/>
        <item x="7"/>
        <item m="1" x="30"/>
        <item x="1"/>
        <item m="1" x="31"/>
        <item x="0"/>
        <item x="5"/>
        <item x="6"/>
        <item x="11"/>
        <item x="13"/>
        <item x="16"/>
        <item x="17"/>
        <item x="20"/>
        <item x="21"/>
      </items>
    </pivotField>
    <pivotField compact="0" outline="0" subtotalTop="0" showAll="0" includeNewItemsInFilter="1" defaultSubtotal="0">
      <items count="42">
        <item x="15"/>
        <item m="1" x="26"/>
        <item x="2"/>
        <item m="1" x="34"/>
        <item x="4"/>
        <item x="22"/>
        <item m="1" x="27"/>
        <item m="1" x="31"/>
        <item x="18"/>
        <item m="1" x="38"/>
        <item m="1" x="39"/>
        <item x="12"/>
        <item m="1" x="36"/>
        <item m="1" x="37"/>
        <item m="1" x="24"/>
        <item x="14"/>
        <item x="3"/>
        <item x="6"/>
        <item m="1" x="35"/>
        <item x="9"/>
        <item m="1" x="23"/>
        <item m="1" x="28"/>
        <item x="10"/>
        <item m="1" x="33"/>
        <item x="8"/>
        <item m="1" x="41"/>
        <item m="1" x="40"/>
        <item x="19"/>
        <item m="1" x="25"/>
        <item x="16"/>
        <item m="1" x="32"/>
        <item x="7"/>
        <item m="1" x="29"/>
        <item x="1"/>
        <item m="1" x="30"/>
        <item x="0"/>
        <item x="5"/>
        <item x="11"/>
        <item x="13"/>
        <item x="17"/>
        <item x="20"/>
        <item x="21"/>
      </items>
    </pivotField>
    <pivotField compact="0" outline="0" subtotalTop="0" showAll="0" includeNewItemsInFilter="1">
      <items count="40">
        <item m="1" x="24"/>
        <item x="2"/>
        <item x="20"/>
        <item m="1" x="27"/>
        <item x="13"/>
        <item m="1" x="25"/>
        <item m="1" x="28"/>
        <item m="1" x="30"/>
        <item x="9"/>
        <item x="5"/>
        <item m="1" x="32"/>
        <item m="1" x="36"/>
        <item m="1" x="22"/>
        <item m="1" x="38"/>
        <item x="1"/>
        <item m="1" x="34"/>
        <item x="0"/>
        <item m="1" x="35"/>
        <item x="17"/>
        <item m="1" x="31"/>
        <item m="1" x="33"/>
        <item m="1" x="37"/>
        <item x="6"/>
        <item x="7"/>
        <item x="16"/>
        <item x="10"/>
        <item m="1" x="26"/>
        <item m="1" x="21"/>
        <item m="1" x="29"/>
        <item x="14"/>
        <item m="1" x="23"/>
        <item x="3"/>
        <item x="4"/>
        <item x="8"/>
        <item x="11"/>
        <item x="12"/>
        <item x="15"/>
        <item x="18"/>
        <item x="19"/>
        <item t="default"/>
      </items>
    </pivotField>
    <pivotField compact="0" outline="0" subtotalTop="0" showAll="0" includeNewItemsInFilter="1"/>
    <pivotField compact="0" outline="0" subtotalTop="0" showAll="0" includeNewItemsInFilter="1"/>
    <pivotField compact="0" outline="0" subtotalTop="0" showAll="0" includeNewItemsInFilter="1" defaultSubtotal="0">
      <items count="107">
        <item x="51"/>
        <item x="22"/>
        <item x="11"/>
        <item m="1" x="89"/>
        <item m="1" x="84"/>
        <item m="1" x="93"/>
        <item x="49"/>
        <item m="1" x="83"/>
        <item m="1" x="104"/>
        <item m="1" x="90"/>
        <item m="1" x="106"/>
        <item m="1" x="97"/>
        <item m="1" x="81"/>
        <item m="1" x="95"/>
        <item m="1" x="100"/>
        <item x="15"/>
        <item x="26"/>
        <item m="1" x="80"/>
        <item m="1" x="99"/>
        <item m="1" x="102"/>
        <item m="1" x="96"/>
        <item m="1" x="78"/>
        <item m="1" x="98"/>
        <item x="3"/>
        <item m="1" x="87"/>
        <item m="1" x="92"/>
        <item m="1" x="105"/>
        <item x="58"/>
        <item m="1" x="101"/>
        <item m="1" x="86"/>
        <item x="17"/>
        <item x="20"/>
        <item x="45"/>
        <item m="1" x="79"/>
        <item m="1" x="88"/>
        <item x="33"/>
        <item m="1" x="91"/>
        <item m="1" x="85"/>
        <item m="1" x="103"/>
        <item m="1" x="94"/>
        <item x="63"/>
        <item m="1" x="82"/>
        <item x="66"/>
        <item x="0"/>
        <item x="1"/>
        <item x="2"/>
        <item x="4"/>
        <item x="5"/>
        <item x="6"/>
        <item x="7"/>
        <item x="8"/>
        <item x="9"/>
        <item x="10"/>
        <item x="12"/>
        <item x="13"/>
        <item x="14"/>
        <item x="16"/>
        <item x="18"/>
        <item x="19"/>
        <item x="21"/>
        <item x="28"/>
        <item x="29"/>
        <item x="30"/>
        <item x="31"/>
        <item x="35"/>
        <item x="34"/>
        <item x="36"/>
        <item x="39"/>
        <item x="40"/>
        <item x="23"/>
        <item x="24"/>
        <item x="25"/>
        <item x="27"/>
        <item x="32"/>
        <item x="37"/>
        <item x="38"/>
        <item x="41"/>
        <item x="46"/>
        <item x="54"/>
        <item x="55"/>
        <item x="67"/>
        <item x="68"/>
        <item x="42"/>
        <item x="43"/>
        <item x="44"/>
        <item x="47"/>
        <item x="48"/>
        <item x="50"/>
        <item x="52"/>
        <item x="53"/>
        <item x="56"/>
        <item x="57"/>
        <item x="59"/>
        <item x="60"/>
        <item x="61"/>
        <item x="62"/>
        <item x="64"/>
        <item x="65"/>
        <item x="69"/>
        <item x="70"/>
        <item x="71"/>
        <item x="72"/>
        <item x="73"/>
        <item x="74"/>
        <item x="75"/>
        <item x="76"/>
        <item x="77"/>
      </items>
    </pivotField>
    <pivotField compact="0" outline="0" subtotalTop="0" showAll="0" includeNewItemsInFilter="1"/>
    <pivotField compact="0" outline="0" subtotalTop="0" showAll="0" includeNewItemsInFilter="1"/>
    <pivotField compact="0" numFmtId="166" outline="0" subtotalTop="0" showAll="0" includeNewItemsInFilter="1" defaultSubtotal="0"/>
    <pivotField compact="0" outline="0" subtotalTop="0" showAll="0" includeNewItemsInFilter="1" defaultSubtotal="0"/>
    <pivotField compact="0" numFmtId="9" outline="0" subtotalTop="0" showAll="0" includeNewItemsInFilter="1"/>
    <pivotField compact="0" numFmtId="9" outline="0" subtotalTop="0" showAll="0" includeNewItemsInFilter="1"/>
    <pivotField compact="0" numFmtId="9" outline="0" subtotalTop="0" showAll="0" includeNewItemsInFilter="1"/>
    <pivotField compact="0" numFmtId="9"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items count="3">
        <item m="1" x="1"/>
        <item x="0"/>
        <item t="default"/>
      </items>
    </pivotField>
    <pivotField compact="0" outline="0" subtotalTop="0" showAll="0" includeNewItemsInFilter="1"/>
    <pivotField compact="0" outline="0" subtotalTop="0" showAll="0" includeNewItemsInFilter="1"/>
    <pivotField axis="axisPage" compact="0" outline="0" subtotalTop="0" showAll="0" includeNewItemsInFilter="1">
      <items count="5">
        <item x="2"/>
        <item x="0"/>
        <item x="1"/>
        <item x="3"/>
        <item t="default"/>
      </items>
    </pivotField>
    <pivotField compact="0" outline="0" subtotalTop="0" showAll="0" includeNewItemsInFilter="1"/>
    <pivotField axis="axisRow" compact="0" outline="0" subtotalTop="0" showAll="0" includeNewItemsInFilter="1" defaultSubtotal="0">
      <items count="43">
        <item x="3"/>
        <item x="4"/>
        <item x="5"/>
        <item x="6"/>
        <item x="39"/>
        <item x="7"/>
        <item x="8"/>
        <item x="9"/>
        <item x="10"/>
        <item x="11"/>
        <item x="12"/>
        <item x="13"/>
        <item x="0"/>
        <item x="14"/>
        <item x="15"/>
        <item x="1"/>
        <item x="16"/>
        <item x="17"/>
        <item x="18"/>
        <item x="19"/>
        <item x="20"/>
        <item x="21"/>
        <item x="22"/>
        <item x="23"/>
        <item x="24"/>
        <item x="25"/>
        <item x="26"/>
        <item x="27"/>
        <item x="28"/>
        <item x="29"/>
        <item x="30"/>
        <item x="31"/>
        <item x="32"/>
        <item x="33"/>
        <item x="34"/>
        <item x="35"/>
        <item x="36"/>
        <item x="2"/>
        <item x="37"/>
        <item x="38"/>
        <item x="40"/>
        <item m="1" x="42"/>
        <item m="1" x="41"/>
      </items>
    </pivotField>
    <pivotField compact="0" outline="0" subtotalTop="0" showAll="0" includeNewItemsInFilter="1"/>
    <pivotField axis="axisPage" compact="0" outline="0" subtotalTop="0" showAll="0" includeNewItemsInFilter="1">
      <items count="7">
        <item x="0"/>
        <item x="1"/>
        <item x="4"/>
        <item x="5"/>
        <item x="2"/>
        <item x="3"/>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axis="axisCol" dataField="1" compact="0" outline="0" subtotalTop="0" showAll="0" includeNewItemsInFilter="1" defaultSubtotal="0">
      <items count="3">
        <item x="0"/>
        <item x="1"/>
        <item x="2"/>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49"/>
  </rowFields>
  <rowItems count="4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t="grand">
      <x/>
    </i>
  </rowItems>
  <colFields count="1">
    <field x="64"/>
  </colFields>
  <colItems count="3">
    <i>
      <x/>
    </i>
    <i>
      <x v="1"/>
    </i>
    <i>
      <x v="2"/>
    </i>
  </colItems>
  <pageFields count="2">
    <pageField fld="51" hier="-1"/>
    <pageField fld="47" item="1" hier="0"/>
  </pageFields>
  <dataFields count="1">
    <dataField name="Count of Can Drive Under Pyramid2" fld="64" subtotal="count" showDataAs="percentOfRow" baseField="0" baseItem="0" numFmtId="9"/>
  </dataFields>
  <formats count="20">
    <format dxfId="49">
      <pivotArea field="44" type="button" dataOnly="0" labelOnly="1" outline="0"/>
    </format>
    <format dxfId="48">
      <pivotArea field="16" type="button" dataOnly="0" labelOnly="1" outline="0"/>
    </format>
    <format dxfId="47">
      <pivotArea type="all" dataOnly="0" outline="0" fieldPosition="0"/>
    </format>
    <format dxfId="46">
      <pivotArea field="4" type="button" dataOnly="0" labelOnly="1" outline="0"/>
    </format>
    <format dxfId="45">
      <pivotArea field="3" type="button" dataOnly="0" labelOnly="1" outline="0"/>
    </format>
    <format dxfId="44">
      <pivotArea field="2" type="button" dataOnly="0" labelOnly="1" outline="0"/>
    </format>
    <format dxfId="43">
      <pivotArea field="1" type="button" dataOnly="0" labelOnly="1" outline="0"/>
    </format>
    <format dxfId="42">
      <pivotArea field="10" type="button" dataOnly="0" labelOnly="1" outline="0"/>
    </format>
    <format dxfId="41">
      <pivotArea field="11" type="button" dataOnly="0" labelOnly="1" outline="0"/>
    </format>
    <format dxfId="40">
      <pivotArea field="12" type="button" dataOnly="0" labelOnly="1" outline="0"/>
    </format>
    <format dxfId="39">
      <pivotArea field="47" type="button" dataOnly="0" labelOnly="1" outline="0" axis="axisPage" fieldPosition="1"/>
    </format>
    <format dxfId="38">
      <pivotArea dataOnly="0" labelOnly="1" outline="0" fieldPosition="0">
        <references count="1">
          <reference field="47" count="1">
            <x v="1"/>
          </reference>
        </references>
      </pivotArea>
    </format>
    <format dxfId="37">
      <pivotArea field="0" type="button" dataOnly="0" labelOnly="1" outline="0"/>
    </format>
    <format dxfId="36">
      <pivotArea field="49" type="button" dataOnly="0" labelOnly="1" outline="0" axis="axisRow" fieldPosition="0"/>
    </format>
    <format dxfId="35">
      <pivotArea type="origin" dataOnly="0" labelOnly="1" outline="0" fieldPosition="0"/>
    </format>
    <format dxfId="34">
      <pivotArea field="13" type="button" dataOnly="0" labelOnly="1" outline="0"/>
    </format>
    <format dxfId="33">
      <pivotArea field="9" type="button" dataOnly="0" labelOnly="1" outline="0"/>
    </format>
    <format dxfId="32">
      <pivotArea field="-2" type="button" dataOnly="0" labelOnly="1" outline="0" axis="axisValues" fieldPosition="0"/>
    </format>
    <format dxfId="31">
      <pivotArea type="topRight" dataOnly="0" labelOnly="1" outline="0" fieldPosition="0"/>
    </format>
    <format dxfId="30">
      <pivotArea outline="0" fieldPosition="0">
        <references count="1">
          <reference field="4294967294" count="1">
            <x v="0"/>
          </reference>
        </references>
      </pivotArea>
    </format>
  </formats>
  <pivotTableStyleInfo showRowHeaders="1" showColHeaders="1" showRowStripes="0" showColStripes="0" showLastColumn="1"/>
</pivotTableDefinition>
</file>

<file path=xl/pivotTables/pivotTable9.xml><?xml version="1.0" encoding="utf-8"?>
<pivotTableDefinition xmlns="http://schemas.openxmlformats.org/spreadsheetml/2006/main" name="PivotTable1" cacheId="0" dataPosition="0" applyNumberFormats="0" applyBorderFormats="0" applyFontFormats="0" applyPatternFormats="0" applyAlignmentFormats="0" applyWidthHeightFormats="1" dataCaption="Data" updatedVersion="3" asteriskTotals="1" showMemberPropertyTips="0" colGrandTotals="0" itemPrintTitles="1" createdVersion="1" indent="0" compact="0" compactData="0" gridDropZones="1">
  <location ref="A4:D47" firstHeaderRow="1" firstDataRow="2" firstDataCol="1" rowPageCount="2" colPageCount="1"/>
  <pivotFields count="77">
    <pivotField compact="0" outline="0" subtotalTop="0" showAll="0" includeNewItemsInFilter="1" defaultSubtotal="0">
      <items count="44">
        <item x="27"/>
        <item x="7"/>
        <item x="12"/>
        <item x="11"/>
        <item x="19"/>
        <item x="3"/>
        <item x="6"/>
        <item x="14"/>
        <item x="1"/>
        <item x="15"/>
        <item x="5"/>
        <item x="4"/>
        <item x="23"/>
        <item x="8"/>
        <item x="20"/>
        <item x="17"/>
        <item x="24"/>
        <item m="1" x="40"/>
        <item m="1" x="42"/>
        <item m="1" x="43"/>
        <item m="1" x="29"/>
        <item m="1" x="34"/>
        <item m="1" x="35"/>
        <item m="1" x="31"/>
        <item m="1" x="36"/>
        <item m="1" x="32"/>
        <item x="28"/>
        <item m="1" x="30"/>
        <item m="1" x="41"/>
        <item m="1" x="38"/>
        <item x="21"/>
        <item x="9"/>
        <item x="10"/>
        <item x="22"/>
        <item x="25"/>
        <item m="1" x="39"/>
        <item x="26"/>
        <item x="13"/>
        <item x="18"/>
        <item m="1" x="33"/>
        <item x="16"/>
        <item m="1" x="37"/>
        <item x="2"/>
        <item x="0"/>
      </items>
    </pivotField>
    <pivotField compact="0" outline="0" subtotalTop="0" showAll="0" includeNewItemsInFilter="1" defaultSubtotal="0">
      <items count="42">
        <item x="9"/>
        <item x="39"/>
        <item x="13"/>
        <item x="26"/>
        <item x="17"/>
        <item x="11"/>
        <item x="22"/>
        <item x="24"/>
        <item x="16"/>
        <item x="3"/>
        <item x="25"/>
        <item x="32"/>
        <item x="33"/>
        <item x="23"/>
        <item x="29"/>
        <item x="40"/>
        <item x="36"/>
        <item x="20"/>
        <item x="37"/>
        <item x="35"/>
        <item x="38"/>
        <item x="31"/>
        <item x="4"/>
        <item x="12"/>
        <item x="34"/>
        <item x="6"/>
        <item x="0"/>
        <item x="27"/>
        <item x="28"/>
        <item x="8"/>
        <item x="1"/>
        <item x="2"/>
        <item x="15"/>
        <item x="10"/>
        <item x="7"/>
        <item x="14"/>
        <item x="19"/>
        <item x="30"/>
        <item x="21"/>
        <item x="5"/>
        <item x="18"/>
        <item m="1" x="41"/>
      </items>
    </pivotField>
    <pivotField compact="0" outline="0" subtotalTop="0" showAll="0" includeNewItemsInFilter="1" defaultSubtotal="0">
      <items count="42">
        <item x="9"/>
        <item x="28"/>
        <item x="12"/>
        <item x="0"/>
        <item x="13"/>
        <item x="26"/>
        <item x="24"/>
        <item x="5"/>
        <item m="1" x="41"/>
        <item x="10"/>
        <item x="1"/>
        <item x="7"/>
        <item x="14"/>
        <item m="1" x="39"/>
        <item m="1" x="40"/>
        <item x="15"/>
        <item x="20"/>
        <item x="2"/>
        <item x="21"/>
        <item m="1" x="34"/>
        <item m="1" x="35"/>
        <item m="1" x="31"/>
        <item m="1" x="36"/>
        <item m="1" x="32"/>
        <item m="1" x="37"/>
        <item m="1" x="33"/>
        <item x="29"/>
        <item x="23"/>
        <item m="1" x="30"/>
        <item x="17"/>
        <item x="4"/>
        <item x="18"/>
        <item x="25"/>
        <item x="16"/>
        <item x="6"/>
        <item x="8"/>
        <item x="27"/>
        <item x="3"/>
        <item x="22"/>
        <item x="11"/>
        <item x="19"/>
        <item m="1" x="38"/>
      </items>
    </pivotField>
    <pivotField compact="0" outline="0" subtotalTop="0" showAll="0" includeNewItemsInFilter="1" defaultSubtotal="0">
      <items count="42">
        <item x="9"/>
        <item x="5"/>
        <item x="10"/>
        <item x="8"/>
        <item x="11"/>
        <item x="17"/>
        <item x="12"/>
        <item x="27"/>
        <item x="39"/>
        <item x="29"/>
        <item x="34"/>
        <item x="37"/>
        <item x="20"/>
        <item x="30"/>
        <item x="2"/>
        <item x="15"/>
        <item x="0"/>
        <item x="28"/>
        <item x="26"/>
        <item x="31"/>
        <item x="23"/>
        <item x="22"/>
        <item x="13"/>
        <item x="25"/>
        <item x="36"/>
        <item x="38"/>
        <item x="16"/>
        <item x="14"/>
        <item x="32"/>
        <item x="6"/>
        <item x="24"/>
        <item x="35"/>
        <item x="21"/>
        <item x="3"/>
        <item x="33"/>
        <item x="7"/>
        <item x="19"/>
        <item x="1"/>
        <item x="4"/>
        <item m="1" x="40"/>
        <item m="1" x="41"/>
        <item x="18"/>
      </items>
    </pivotField>
    <pivotField compact="0" outline="0" subtotalTop="0" showAll="0" includeNewItemsInFilter="1" defaultSubtotal="0">
      <items count="39">
        <item x="0"/>
        <item x="12"/>
        <item x="14"/>
        <item x="16"/>
        <item x="13"/>
        <item m="1" x="29"/>
        <item x="8"/>
        <item m="1" x="38"/>
        <item x="24"/>
        <item x="21"/>
        <item x="7"/>
        <item x="5"/>
        <item m="1" x="36"/>
        <item x="6"/>
        <item m="1" x="34"/>
        <item x="4"/>
        <item x="11"/>
        <item x="20"/>
        <item x="23"/>
        <item x="10"/>
        <item m="1" x="33"/>
        <item x="19"/>
        <item x="1"/>
        <item m="1" x="32"/>
        <item x="22"/>
        <item x="9"/>
        <item x="3"/>
        <item m="1" x="37"/>
        <item x="18"/>
        <item x="15"/>
        <item m="1" x="35"/>
        <item m="1" x="27"/>
        <item m="1" x="28"/>
        <item m="1" x="31"/>
        <item x="17"/>
        <item x="2"/>
        <item m="1" x="30"/>
        <item m="1" x="26"/>
        <item m="1" x="25"/>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defaultSubtotal="0">
      <items count="43">
        <item x="15"/>
        <item m="1" x="26"/>
        <item x="2"/>
        <item m="1" x="35"/>
        <item x="4"/>
        <item x="22"/>
        <item m="1" x="27"/>
        <item m="1" x="32"/>
        <item m="1" x="39"/>
        <item m="1" x="40"/>
        <item x="12"/>
        <item m="1" x="37"/>
        <item m="1" x="38"/>
        <item m="1" x="24"/>
        <item x="14"/>
        <item x="3"/>
        <item m="1" x="31"/>
        <item m="1" x="36"/>
        <item x="9"/>
        <item m="1" x="23"/>
        <item m="1" x="28"/>
        <item x="10"/>
        <item x="18"/>
        <item m="1" x="34"/>
        <item x="8"/>
        <item m="1" x="42"/>
        <item m="1" x="41"/>
        <item x="19"/>
        <item m="1" x="25"/>
        <item m="1" x="33"/>
        <item x="7"/>
        <item m="1" x="29"/>
        <item x="1"/>
        <item m="1" x="30"/>
        <item x="0"/>
        <item x="5"/>
        <item x="6"/>
        <item x="11"/>
        <item x="13"/>
        <item x="16"/>
        <item x="17"/>
        <item x="20"/>
        <item x="21"/>
      </items>
    </pivotField>
    <pivotField compact="0" outline="0" subtotalTop="0" showAll="0" includeNewItemsInFilter="1" defaultSubtotal="0">
      <items count="42">
        <item x="15"/>
        <item m="1" x="26"/>
        <item x="2"/>
        <item m="1" x="34"/>
        <item x="4"/>
        <item x="22"/>
        <item m="1" x="27"/>
        <item m="1" x="31"/>
        <item m="1" x="38"/>
        <item m="1" x="39"/>
        <item x="12"/>
        <item m="1" x="36"/>
        <item m="1" x="37"/>
        <item x="18"/>
        <item m="1" x="24"/>
        <item x="14"/>
        <item x="3"/>
        <item x="6"/>
        <item m="1" x="35"/>
        <item x="9"/>
        <item m="1" x="23"/>
        <item m="1" x="28"/>
        <item x="10"/>
        <item m="1" x="33"/>
        <item x="8"/>
        <item m="1" x="41"/>
        <item m="1" x="40"/>
        <item x="19"/>
        <item m="1" x="25"/>
        <item x="16"/>
        <item m="1" x="32"/>
        <item x="7"/>
        <item m="1" x="29"/>
        <item x="1"/>
        <item m="1" x="30"/>
        <item x="0"/>
        <item x="5"/>
        <item x="11"/>
        <item x="13"/>
        <item x="17"/>
        <item x="20"/>
        <item x="21"/>
      </items>
    </pivotField>
    <pivotField compact="0" outline="0" subtotalTop="0" showAll="0" includeNewItemsInFilter="1" defaultSubtotal="0">
      <items count="45">
        <item x="15"/>
        <item m="1" x="26"/>
        <item x="2"/>
        <item m="1" x="36"/>
        <item x="4"/>
        <item x="22"/>
        <item m="1" x="27"/>
        <item m="1" x="33"/>
        <item m="1" x="28"/>
        <item m="1" x="40"/>
        <item m="1" x="41"/>
        <item x="12"/>
        <item m="1" x="38"/>
        <item m="1" x="39"/>
        <item x="18"/>
        <item m="1" x="24"/>
        <item x="14"/>
        <item x="3"/>
        <item m="1" x="32"/>
        <item m="1" x="42"/>
        <item m="1" x="37"/>
        <item x="9"/>
        <item m="1" x="23"/>
        <item x="10"/>
        <item m="1" x="35"/>
        <item x="8"/>
        <item m="1" x="44"/>
        <item m="1" x="43"/>
        <item x="19"/>
        <item m="1" x="25"/>
        <item m="1" x="29"/>
        <item m="1" x="34"/>
        <item x="7"/>
        <item m="1" x="30"/>
        <item x="1"/>
        <item m="1" x="31"/>
        <item x="0"/>
        <item x="5"/>
        <item x="6"/>
        <item x="11"/>
        <item x="13"/>
        <item x="16"/>
        <item x="17"/>
        <item x="20"/>
        <item x="21"/>
      </items>
    </pivotField>
    <pivotField compact="0" outline="0" subtotalTop="0" showAll="0" includeNewItemsInFilter="1" defaultSubtotal="0">
      <items count="42">
        <item x="15"/>
        <item m="1" x="26"/>
        <item x="2"/>
        <item m="1" x="34"/>
        <item x="4"/>
        <item x="22"/>
        <item m="1" x="27"/>
        <item m="1" x="31"/>
        <item x="18"/>
        <item m="1" x="38"/>
        <item m="1" x="39"/>
        <item x="12"/>
        <item m="1" x="36"/>
        <item m="1" x="37"/>
        <item m="1" x="24"/>
        <item x="14"/>
        <item x="3"/>
        <item x="6"/>
        <item m="1" x="35"/>
        <item x="9"/>
        <item m="1" x="23"/>
        <item m="1" x="28"/>
        <item x="10"/>
        <item m="1" x="33"/>
        <item x="8"/>
        <item m="1" x="41"/>
        <item m="1" x="40"/>
        <item x="19"/>
        <item m="1" x="25"/>
        <item x="16"/>
        <item m="1" x="32"/>
        <item x="7"/>
        <item m="1" x="29"/>
        <item x="1"/>
        <item m="1" x="30"/>
        <item x="0"/>
        <item x="5"/>
        <item x="11"/>
        <item x="13"/>
        <item x="17"/>
        <item x="20"/>
        <item x="21"/>
      </items>
    </pivotField>
    <pivotField compact="0" outline="0" subtotalTop="0" showAll="0" includeNewItemsInFilter="1">
      <items count="40">
        <item m="1" x="24"/>
        <item x="2"/>
        <item x="20"/>
        <item m="1" x="27"/>
        <item x="13"/>
        <item m="1" x="25"/>
        <item m="1" x="28"/>
        <item m="1" x="30"/>
        <item x="9"/>
        <item x="5"/>
        <item m="1" x="32"/>
        <item m="1" x="36"/>
        <item m="1" x="22"/>
        <item m="1" x="38"/>
        <item x="1"/>
        <item m="1" x="34"/>
        <item x="0"/>
        <item m="1" x="35"/>
        <item x="17"/>
        <item m="1" x="31"/>
        <item m="1" x="33"/>
        <item m="1" x="37"/>
        <item x="6"/>
        <item x="7"/>
        <item x="16"/>
        <item x="10"/>
        <item m="1" x="26"/>
        <item m="1" x="21"/>
        <item m="1" x="29"/>
        <item x="14"/>
        <item m="1" x="23"/>
        <item x="3"/>
        <item x="4"/>
        <item x="8"/>
        <item x="11"/>
        <item x="12"/>
        <item x="15"/>
        <item x="18"/>
        <item x="19"/>
        <item t="default"/>
      </items>
    </pivotField>
    <pivotField compact="0" outline="0" subtotalTop="0" showAll="0" includeNewItemsInFilter="1"/>
    <pivotField compact="0" outline="0" subtotalTop="0" showAll="0" includeNewItemsInFilter="1"/>
    <pivotField compact="0" outline="0" subtotalTop="0" showAll="0" includeNewItemsInFilter="1" defaultSubtotal="0">
      <items count="107">
        <item x="51"/>
        <item x="22"/>
        <item x="11"/>
        <item m="1" x="89"/>
        <item m="1" x="84"/>
        <item m="1" x="93"/>
        <item x="49"/>
        <item m="1" x="83"/>
        <item m="1" x="104"/>
        <item m="1" x="90"/>
        <item m="1" x="106"/>
        <item m="1" x="97"/>
        <item m="1" x="81"/>
        <item m="1" x="95"/>
        <item m="1" x="100"/>
        <item x="15"/>
        <item x="26"/>
        <item m="1" x="80"/>
        <item m="1" x="99"/>
        <item m="1" x="102"/>
        <item m="1" x="96"/>
        <item m="1" x="78"/>
        <item m="1" x="98"/>
        <item x="3"/>
        <item m="1" x="87"/>
        <item m="1" x="92"/>
        <item m="1" x="105"/>
        <item x="58"/>
        <item m="1" x="101"/>
        <item m="1" x="86"/>
        <item x="17"/>
        <item x="20"/>
        <item x="45"/>
        <item m="1" x="79"/>
        <item m="1" x="88"/>
        <item x="33"/>
        <item m="1" x="91"/>
        <item m="1" x="85"/>
        <item m="1" x="103"/>
        <item m="1" x="94"/>
        <item x="63"/>
        <item m="1" x="82"/>
        <item x="66"/>
        <item x="0"/>
        <item x="1"/>
        <item x="2"/>
        <item x="4"/>
        <item x="5"/>
        <item x="6"/>
        <item x="7"/>
        <item x="8"/>
        <item x="9"/>
        <item x="10"/>
        <item x="12"/>
        <item x="13"/>
        <item x="14"/>
        <item x="16"/>
        <item x="18"/>
        <item x="19"/>
        <item x="21"/>
        <item x="28"/>
        <item x="29"/>
        <item x="30"/>
        <item x="31"/>
        <item x="35"/>
        <item x="34"/>
        <item x="36"/>
        <item x="39"/>
        <item x="40"/>
        <item x="23"/>
        <item x="24"/>
        <item x="25"/>
        <item x="27"/>
        <item x="32"/>
        <item x="37"/>
        <item x="38"/>
        <item x="41"/>
        <item x="46"/>
        <item x="54"/>
        <item x="55"/>
        <item x="67"/>
        <item x="68"/>
        <item x="42"/>
        <item x="43"/>
        <item x="44"/>
        <item x="47"/>
        <item x="48"/>
        <item x="50"/>
        <item x="52"/>
        <item x="53"/>
        <item x="56"/>
        <item x="57"/>
        <item x="59"/>
        <item x="60"/>
        <item x="61"/>
        <item x="62"/>
        <item x="64"/>
        <item x="65"/>
        <item x="69"/>
        <item x="70"/>
        <item x="71"/>
        <item x="72"/>
        <item x="73"/>
        <item x="74"/>
        <item x="75"/>
        <item x="76"/>
        <item x="77"/>
      </items>
    </pivotField>
    <pivotField compact="0" outline="0" subtotalTop="0" showAll="0" includeNewItemsInFilter="1"/>
    <pivotField compact="0" outline="0" subtotalTop="0" showAll="0" includeNewItemsInFilter="1"/>
    <pivotField compact="0" numFmtId="166" outline="0" subtotalTop="0" showAll="0" includeNewItemsInFilter="1" defaultSubtotal="0"/>
    <pivotField compact="0" outline="0" subtotalTop="0" showAll="0" includeNewItemsInFilter="1" defaultSubtotal="0"/>
    <pivotField compact="0" numFmtId="9" outline="0" subtotalTop="0" showAll="0" includeNewItemsInFilter="1"/>
    <pivotField compact="0" numFmtId="9" outline="0" subtotalTop="0" showAll="0" includeNewItemsInFilter="1"/>
    <pivotField compact="0" numFmtId="9" outline="0" subtotalTop="0" showAll="0" includeNewItemsInFilter="1"/>
    <pivotField compact="0" numFmtId="9"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items count="3">
        <item m="1" x="1"/>
        <item x="0"/>
        <item t="default"/>
      </items>
    </pivotField>
    <pivotField compact="0" outline="0" subtotalTop="0" showAll="0" includeNewItemsInFilter="1"/>
    <pivotField compact="0" outline="0" subtotalTop="0" showAll="0" includeNewItemsInFilter="1"/>
    <pivotField axis="axisPage" compact="0" outline="0" subtotalTop="0" showAll="0" includeNewItemsInFilter="1">
      <items count="5">
        <item x="2"/>
        <item x="0"/>
        <item x="1"/>
        <item x="3"/>
        <item t="default"/>
      </items>
    </pivotField>
    <pivotField compact="0" outline="0" subtotalTop="0" showAll="0" includeNewItemsInFilter="1"/>
    <pivotField axis="axisRow" compact="0" outline="0" subtotalTop="0" showAll="0" includeNewItemsInFilter="1" defaultSubtotal="0">
      <items count="43">
        <item x="3"/>
        <item x="4"/>
        <item x="5"/>
        <item x="6"/>
        <item x="39"/>
        <item x="7"/>
        <item x="8"/>
        <item x="9"/>
        <item x="10"/>
        <item x="11"/>
        <item x="12"/>
        <item x="13"/>
        <item x="0"/>
        <item x="14"/>
        <item x="15"/>
        <item x="1"/>
        <item x="16"/>
        <item x="17"/>
        <item x="18"/>
        <item x="19"/>
        <item x="20"/>
        <item x="21"/>
        <item x="22"/>
        <item x="23"/>
        <item x="24"/>
        <item x="25"/>
        <item x="26"/>
        <item x="27"/>
        <item x="28"/>
        <item x="29"/>
        <item x="30"/>
        <item x="31"/>
        <item x="32"/>
        <item x="33"/>
        <item x="34"/>
        <item x="35"/>
        <item x="36"/>
        <item x="2"/>
        <item x="37"/>
        <item x="38"/>
        <item x="40"/>
        <item m="1" x="42"/>
        <item m="1" x="41"/>
      </items>
    </pivotField>
    <pivotField compact="0" outline="0" subtotalTop="0" showAll="0" includeNewItemsInFilter="1"/>
    <pivotField axis="axisPage" compact="0" outline="0" subtotalTop="0" showAll="0" includeNewItemsInFilter="1">
      <items count="7">
        <item x="0"/>
        <item x="1"/>
        <item x="4"/>
        <item x="5"/>
        <item x="2"/>
        <item x="3"/>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axis="axisCol" dataField="1" compact="0" outline="0" subtotalTop="0" showAll="0" includeNewItemsInFilter="1" defaultSubtotal="0">
      <items count="4">
        <item x="1"/>
        <item x="0"/>
        <item x="2"/>
        <item m="1" x="3"/>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49"/>
  </rowFields>
  <rowItems count="4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t="grand">
      <x/>
    </i>
  </rowItems>
  <colFields count="1">
    <field x="60"/>
  </colFields>
  <colItems count="3">
    <i>
      <x/>
    </i>
    <i>
      <x v="1"/>
    </i>
    <i>
      <x v="2"/>
    </i>
  </colItems>
  <pageFields count="2">
    <pageField fld="51" hier="-1"/>
    <pageField fld="47" item="1" hier="0"/>
  </pageFields>
  <dataFields count="1">
    <dataField name="Count of Loads From Floor2" fld="60" subtotal="count" showDataAs="percentOfRow" baseField="0" baseItem="0" numFmtId="9"/>
  </dataFields>
  <formats count="20">
    <format dxfId="29">
      <pivotArea field="44" type="button" dataOnly="0" labelOnly="1" outline="0"/>
    </format>
    <format dxfId="28">
      <pivotArea field="16" type="button" dataOnly="0" labelOnly="1" outline="0"/>
    </format>
    <format dxfId="27">
      <pivotArea type="all" dataOnly="0" outline="0" fieldPosition="0"/>
    </format>
    <format dxfId="26">
      <pivotArea field="4" type="button" dataOnly="0" labelOnly="1" outline="0"/>
    </format>
    <format dxfId="25">
      <pivotArea field="3" type="button" dataOnly="0" labelOnly="1" outline="0"/>
    </format>
    <format dxfId="24">
      <pivotArea field="2" type="button" dataOnly="0" labelOnly="1" outline="0"/>
    </format>
    <format dxfId="23">
      <pivotArea field="1" type="button" dataOnly="0" labelOnly="1" outline="0"/>
    </format>
    <format dxfId="22">
      <pivotArea field="10" type="button" dataOnly="0" labelOnly="1" outline="0"/>
    </format>
    <format dxfId="21">
      <pivotArea field="11" type="button" dataOnly="0" labelOnly="1" outline="0"/>
    </format>
    <format dxfId="20">
      <pivotArea field="12" type="button" dataOnly="0" labelOnly="1" outline="0"/>
    </format>
    <format dxfId="19">
      <pivotArea field="47" type="button" dataOnly="0" labelOnly="1" outline="0" axis="axisPage" fieldPosition="1"/>
    </format>
    <format dxfId="18">
      <pivotArea dataOnly="0" labelOnly="1" outline="0" fieldPosition="0">
        <references count="1">
          <reference field="47" count="1">
            <x v="1"/>
          </reference>
        </references>
      </pivotArea>
    </format>
    <format dxfId="17">
      <pivotArea field="0" type="button" dataOnly="0" labelOnly="1" outline="0"/>
    </format>
    <format dxfId="16">
      <pivotArea field="49" type="button" dataOnly="0" labelOnly="1" outline="0" axis="axisRow" fieldPosition="0"/>
    </format>
    <format dxfId="15">
      <pivotArea type="origin" dataOnly="0" labelOnly="1" outline="0" fieldPosition="0"/>
    </format>
    <format dxfId="14">
      <pivotArea field="13" type="button" dataOnly="0" labelOnly="1" outline="0"/>
    </format>
    <format dxfId="13">
      <pivotArea field="9" type="button" dataOnly="0" labelOnly="1" outline="0"/>
    </format>
    <format dxfId="12">
      <pivotArea field="-2" type="button" dataOnly="0" labelOnly="1" outline="0" axis="axisValues" fieldPosition="0"/>
    </format>
    <format dxfId="11">
      <pivotArea type="topRight" dataOnly="0" labelOnly="1" outline="0" fieldPosition="0"/>
    </format>
    <format dxfId="10">
      <pivotArea outline="0" fieldPosition="0">
        <references count="1">
          <reference field="4294967294" count="1">
            <x v="0"/>
          </reference>
        </references>
      </pivotArea>
    </format>
  </formats>
  <pivotTableStyleInfo showRowHeaders="1" showColHeaders="1" showRowStripes="0" showColStripes="0" showLastColumn="1"/>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19"/>
  <sheetViews>
    <sheetView workbookViewId="0">
      <selection activeCell="B20" sqref="B20"/>
    </sheetView>
  </sheetViews>
  <sheetFormatPr defaultColWidth="9.140625" defaultRowHeight="15" x14ac:dyDescent="0.25"/>
  <cols>
    <col min="1" max="1" width="5.5703125" style="54" customWidth="1"/>
    <col min="2" max="16384" width="9.140625" style="46"/>
  </cols>
  <sheetData>
    <row r="1" spans="1:2" ht="21" x14ac:dyDescent="0.35">
      <c r="B1" s="120" t="s">
        <v>90</v>
      </c>
    </row>
    <row r="3" spans="1:2" x14ac:dyDescent="0.25">
      <c r="A3" s="54">
        <v>1</v>
      </c>
      <c r="B3" s="54" t="s">
        <v>88</v>
      </c>
    </row>
    <row r="4" spans="1:2" x14ac:dyDescent="0.25">
      <c r="B4" s="166" t="s">
        <v>425</v>
      </c>
    </row>
    <row r="6" spans="1:2" x14ac:dyDescent="0.25">
      <c r="A6" s="54">
        <v>2</v>
      </c>
      <c r="B6" s="46" t="s">
        <v>422</v>
      </c>
    </row>
    <row r="7" spans="1:2" x14ac:dyDescent="0.25">
      <c r="B7" s="46" t="s">
        <v>418</v>
      </c>
    </row>
    <row r="9" spans="1:2" x14ac:dyDescent="0.25">
      <c r="A9" s="54">
        <v>3</v>
      </c>
      <c r="B9" s="46" t="s">
        <v>424</v>
      </c>
    </row>
    <row r="10" spans="1:2" x14ac:dyDescent="0.25">
      <c r="B10" s="46" t="s">
        <v>426</v>
      </c>
    </row>
    <row r="12" spans="1:2" x14ac:dyDescent="0.25">
      <c r="A12" s="54">
        <v>4</v>
      </c>
      <c r="B12" s="46" t="s">
        <v>423</v>
      </c>
    </row>
    <row r="13" spans="1:2" x14ac:dyDescent="0.25">
      <c r="B13" s="46" t="s">
        <v>417</v>
      </c>
    </row>
    <row r="15" spans="1:2" x14ac:dyDescent="0.25">
      <c r="A15" s="54">
        <v>5</v>
      </c>
      <c r="B15" s="46" t="s">
        <v>419</v>
      </c>
    </row>
    <row r="16" spans="1:2" x14ac:dyDescent="0.25">
      <c r="B16" s="46" t="s">
        <v>89</v>
      </c>
    </row>
    <row r="18" spans="1:2" x14ac:dyDescent="0.25">
      <c r="A18" s="54">
        <v>6</v>
      </c>
      <c r="B18" s="46" t="s">
        <v>420</v>
      </c>
    </row>
    <row r="19" spans="1:2" x14ac:dyDescent="0.25">
      <c r="B19" s="46" t="s">
        <v>421</v>
      </c>
    </row>
  </sheetData>
  <phoneticPr fontId="7"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AE90"/>
  <sheetViews>
    <sheetView zoomScale="82" zoomScaleNormal="82" workbookViewId="0">
      <selection activeCell="E8" sqref="E8"/>
    </sheetView>
  </sheetViews>
  <sheetFormatPr defaultRowHeight="15" x14ac:dyDescent="0.25"/>
  <cols>
    <col min="1" max="1" width="9.140625" style="50"/>
    <col min="2" max="2" width="10.7109375" bestFit="1" customWidth="1"/>
    <col min="6" max="6" width="13.28515625" customWidth="1"/>
    <col min="7" max="7" width="13.7109375" customWidth="1"/>
    <col min="8" max="8" width="33.28515625" customWidth="1"/>
    <col min="9" max="9" width="6.5703125" style="12" customWidth="1"/>
    <col min="10" max="10" width="9.140625" style="50"/>
    <col min="11" max="11" width="10.7109375" style="50" bestFit="1" customWidth="1"/>
    <col min="12" max="14" width="9.140625" style="50"/>
    <col min="15" max="15" width="13.28515625" style="50" customWidth="1"/>
    <col min="16" max="16" width="13.7109375" style="50" customWidth="1"/>
    <col min="17" max="17" width="33.28515625" style="50" customWidth="1"/>
    <col min="18" max="18" width="6.5703125" style="12" customWidth="1"/>
    <col min="20" max="20" width="15.42578125" style="12" customWidth="1"/>
    <col min="21" max="21" width="11.7109375" style="12" customWidth="1"/>
    <col min="22" max="22" width="2.7109375" style="50" customWidth="1"/>
    <col min="23" max="24" width="9.42578125" bestFit="1" customWidth="1"/>
    <col min="25" max="25" width="1.85546875" customWidth="1"/>
    <col min="26" max="27" width="9.42578125" bestFit="1" customWidth="1"/>
    <col min="28" max="28" width="15" style="12" customWidth="1"/>
  </cols>
  <sheetData>
    <row r="1" spans="1:31" ht="31.5" x14ac:dyDescent="0.5">
      <c r="A1" s="94"/>
      <c r="B1" s="94"/>
      <c r="C1" s="94"/>
      <c r="D1" s="94"/>
      <c r="E1" s="94" t="s">
        <v>50</v>
      </c>
      <c r="F1" s="94"/>
      <c r="G1" s="94"/>
      <c r="H1" s="94" t="s">
        <v>44</v>
      </c>
      <c r="I1" s="95"/>
      <c r="J1" s="94">
        <v>1</v>
      </c>
      <c r="K1" s="94"/>
      <c r="L1" s="94"/>
      <c r="M1" s="94"/>
      <c r="N1" s="94"/>
      <c r="O1" s="94"/>
      <c r="P1" s="94"/>
      <c r="Q1" s="96">
        <f>IF(H1="Qualification",VLOOKUP(J1,$W$4:$X$90,2,FALSE),VLOOKUP(J1,$Z$4:$AB$14,2,FALSE))</f>
        <v>0.375</v>
      </c>
      <c r="R1" s="95"/>
    </row>
    <row r="2" spans="1:31" ht="32.25" thickBot="1" x14ac:dyDescent="0.3">
      <c r="A2" s="206" t="s">
        <v>81</v>
      </c>
      <c r="B2" s="206"/>
      <c r="C2" s="206"/>
      <c r="D2" s="206"/>
      <c r="E2" s="206"/>
      <c r="F2" s="206"/>
      <c r="G2" s="206"/>
      <c r="H2" s="206"/>
      <c r="I2" s="206"/>
      <c r="J2" s="204" t="s">
        <v>83</v>
      </c>
      <c r="K2" s="204"/>
      <c r="L2" s="204"/>
      <c r="M2" s="204"/>
      <c r="N2" s="204"/>
      <c r="O2" s="204"/>
      <c r="P2" s="204"/>
      <c r="Q2" s="204"/>
      <c r="R2" s="204"/>
      <c r="T2" s="41" t="s">
        <v>44</v>
      </c>
      <c r="U2" s="41"/>
    </row>
    <row r="3" spans="1:31" ht="19.5" customHeight="1" thickBot="1" x14ac:dyDescent="0.35">
      <c r="A3" s="198" t="s">
        <v>80</v>
      </c>
      <c r="B3" s="85">
        <f>T5</f>
        <v>1736</v>
      </c>
      <c r="C3" s="52" t="e">
        <f>#REF!</f>
        <v>#REF!</v>
      </c>
      <c r="D3" s="53"/>
      <c r="E3" s="53"/>
      <c r="F3" s="53" t="e">
        <f>VLOOKUP($B$3,#REF!,10,FALSE)</f>
        <v>#REF!</v>
      </c>
      <c r="G3" s="53"/>
      <c r="H3" s="53" t="e">
        <f>#REF!</f>
        <v>#REF!</v>
      </c>
      <c r="I3" s="49" t="e">
        <f>VLOOKUP($B$3,#REF!,2,FALSE)</f>
        <v>#REF!</v>
      </c>
      <c r="J3" s="205" t="s">
        <v>84</v>
      </c>
      <c r="K3" s="90">
        <f>T8</f>
        <v>3301</v>
      </c>
      <c r="L3" s="52" t="e">
        <f>#REF!</f>
        <v>#REF!</v>
      </c>
      <c r="M3" s="53"/>
      <c r="N3" s="53"/>
      <c r="O3" s="53" t="e">
        <f>VLOOKUP($B$3,#REF!,10,FALSE)</f>
        <v>#REF!</v>
      </c>
      <c r="P3" s="53"/>
      <c r="Q3" s="53" t="e">
        <f>#REF!</f>
        <v>#REF!</v>
      </c>
      <c r="R3" s="49" t="e">
        <f>VLOOKUP($K$3,#REF!,2,FALSE)</f>
        <v>#REF!</v>
      </c>
      <c r="T3" s="41" t="s">
        <v>75</v>
      </c>
      <c r="U3" s="41"/>
      <c r="W3" s="194" t="s">
        <v>44</v>
      </c>
      <c r="X3" s="195"/>
      <c r="Z3" s="194" t="s">
        <v>75</v>
      </c>
      <c r="AA3" s="195"/>
      <c r="AB3" s="196"/>
      <c r="AD3" s="41" t="s">
        <v>49</v>
      </c>
      <c r="AE3" s="41" t="s">
        <v>50</v>
      </c>
    </row>
    <row r="4" spans="1:31" x14ac:dyDescent="0.25">
      <c r="A4" s="199"/>
      <c r="B4" s="47" t="b">
        <f>GetPic(B3)</f>
        <v>0</v>
      </c>
      <c r="C4" s="47"/>
      <c r="D4" s="47"/>
      <c r="E4" s="47"/>
      <c r="F4" s="47"/>
      <c r="G4" s="47"/>
      <c r="H4" s="51" t="e">
        <f>#REF!</f>
        <v>#REF!</v>
      </c>
      <c r="I4" s="55" t="e">
        <f>VLOOKUP($B$3,#REF!,14,FALSE)</f>
        <v>#REF!</v>
      </c>
      <c r="J4" s="199"/>
      <c r="K4" s="47" t="b">
        <f>GetPic(K3)</f>
        <v>0</v>
      </c>
      <c r="L4" s="47"/>
      <c r="M4" s="47"/>
      <c r="N4" s="47"/>
      <c r="O4" s="47"/>
      <c r="P4" s="47"/>
      <c r="Q4" s="51" t="e">
        <f>#REF!</f>
        <v>#REF!</v>
      </c>
      <c r="R4" s="55" t="e">
        <f>VLOOKUP($K$3,#REF!,14,FALSE)</f>
        <v>#REF!</v>
      </c>
      <c r="W4" s="43">
        <v>1</v>
      </c>
      <c r="X4" s="42">
        <v>0.375</v>
      </c>
      <c r="Z4" s="43">
        <v>5</v>
      </c>
      <c r="AA4" s="42">
        <v>0.58402777777777781</v>
      </c>
      <c r="AB4" s="43" t="s">
        <v>64</v>
      </c>
    </row>
    <row r="5" spans="1:31" x14ac:dyDescent="0.25">
      <c r="A5" s="199"/>
      <c r="B5" s="48"/>
      <c r="C5" s="48"/>
      <c r="D5" s="48"/>
      <c r="E5" s="48"/>
      <c r="F5" s="48"/>
      <c r="G5" s="48"/>
      <c r="H5" s="51" t="e">
        <f>#REF!</f>
        <v>#REF!</v>
      </c>
      <c r="I5" s="55" t="e">
        <f>VLOOKUP($B$3,#REF!,3,FALSE)</f>
        <v>#REF!</v>
      </c>
      <c r="J5" s="199"/>
      <c r="K5" s="48"/>
      <c r="L5" s="48"/>
      <c r="M5" s="48"/>
      <c r="N5" s="48"/>
      <c r="O5" s="48"/>
      <c r="P5" s="48"/>
      <c r="Q5" s="51" t="e">
        <f>#REF!</f>
        <v>#REF!</v>
      </c>
      <c r="R5" s="55" t="e">
        <f>VLOOKUP($K$3,#REF!,3,FALSE)</f>
        <v>#REF!</v>
      </c>
      <c r="S5">
        <f>VLOOKUP(Match!$J$1,'FRC Site Data'!$B$45:$K$124,2,FALSE)</f>
        <v>1736</v>
      </c>
      <c r="T5" s="43">
        <f>IF($H$1="Qualification",VLOOKUP(Match!$J$1,'FRC Site Data'!$B$45:$K$124,2,FALSE),IF($H$1="Elimination",VLOOKUP(Match!$J$1,'FRC Site Data'!$C$128:$L$142,2,FALSE)))</f>
        <v>1736</v>
      </c>
      <c r="U5" s="12" t="s">
        <v>51</v>
      </c>
      <c r="W5" s="43">
        <v>2</v>
      </c>
      <c r="X5" s="42">
        <v>0.37916666666666665</v>
      </c>
      <c r="Z5" s="43">
        <v>6</v>
      </c>
      <c r="AA5" s="42">
        <v>0.58819444444444446</v>
      </c>
      <c r="AB5" s="43" t="s">
        <v>65</v>
      </c>
    </row>
    <row r="6" spans="1:31" x14ac:dyDescent="0.25">
      <c r="A6" s="199"/>
      <c r="B6" s="48"/>
      <c r="C6" s="48"/>
      <c r="D6" s="48"/>
      <c r="E6" s="48"/>
      <c r="F6" s="48"/>
      <c r="G6" s="48"/>
      <c r="H6" s="51" t="e">
        <f>#REF!</f>
        <v>#REF!</v>
      </c>
      <c r="I6" s="55" t="e">
        <f>VLOOKUP($B$3,#REF!,4,FALSE)</f>
        <v>#REF!</v>
      </c>
      <c r="J6" s="199"/>
      <c r="K6" s="48"/>
      <c r="L6" s="48"/>
      <c r="M6" s="48"/>
      <c r="N6" s="48"/>
      <c r="O6" s="48"/>
      <c r="P6" s="48"/>
      <c r="Q6" s="51" t="e">
        <f>#REF!</f>
        <v>#REF!</v>
      </c>
      <c r="R6" s="55" t="e">
        <f>VLOOKUP($K$3,#REF!,4,FALSE)</f>
        <v>#REF!</v>
      </c>
      <c r="T6" s="43">
        <f>IF($H$1="Qualification",VLOOKUP(Match!$J$1,'FRC Site Data'!$B$45:$K$124,3,FALSE),IF($H$1="Elimination",VLOOKUP(Match!$J$1,'FRC Site Data'!$C$128:$L$142,3,FALSE)))</f>
        <v>234</v>
      </c>
      <c r="U6" s="12" t="s">
        <v>52</v>
      </c>
      <c r="W6" s="43">
        <v>3</v>
      </c>
      <c r="X6" s="42">
        <v>0.38611111111111113</v>
      </c>
      <c r="Z6" s="43">
        <v>7</v>
      </c>
      <c r="AA6" s="42">
        <v>0.59236111111111112</v>
      </c>
      <c r="AB6" s="43" t="s">
        <v>66</v>
      </c>
    </row>
    <row r="7" spans="1:31" x14ac:dyDescent="0.25">
      <c r="A7" s="199"/>
      <c r="B7" s="48"/>
      <c r="C7" s="48"/>
      <c r="D7" s="48"/>
      <c r="E7" s="48"/>
      <c r="F7" s="48"/>
      <c r="G7" s="48"/>
      <c r="H7" s="51" t="e">
        <f>#REF!</f>
        <v>#REF!</v>
      </c>
      <c r="I7" s="55" t="e">
        <f>VLOOKUP($B$3,#REF!,5,FALSE)</f>
        <v>#REF!</v>
      </c>
      <c r="J7" s="199"/>
      <c r="K7" s="48"/>
      <c r="L7" s="48"/>
      <c r="M7" s="48"/>
      <c r="N7" s="48"/>
      <c r="O7" s="48"/>
      <c r="P7" s="48"/>
      <c r="Q7" s="51" t="e">
        <f>#REF!</f>
        <v>#REF!</v>
      </c>
      <c r="R7" s="55" t="e">
        <f>VLOOKUP($K$3,#REF!,5,FALSE)</f>
        <v>#REF!</v>
      </c>
      <c r="T7" s="43">
        <f>IF($H$1="Qualification",VLOOKUP(Match!$J$1,'FRC Site Data'!$B$45:$K$124,4,FALSE),IF($H$1="Elimination",VLOOKUP(Match!$J$1,'FRC Site Data'!$C$128:$L$142,4,FALSE)))</f>
        <v>3180</v>
      </c>
      <c r="U7" s="12" t="s">
        <v>53</v>
      </c>
      <c r="W7" s="43">
        <v>4</v>
      </c>
      <c r="X7" s="42">
        <v>0.3923611111111111</v>
      </c>
      <c r="Z7" s="43">
        <v>8</v>
      </c>
      <c r="AA7" s="42">
        <v>0.59791666666666665</v>
      </c>
      <c r="AB7" s="43" t="s">
        <v>67</v>
      </c>
    </row>
    <row r="8" spans="1:31" x14ac:dyDescent="0.25">
      <c r="A8" s="199"/>
      <c r="B8" s="48"/>
      <c r="C8" s="48"/>
      <c r="D8" s="48"/>
      <c r="E8" s="48"/>
      <c r="F8" s="48"/>
      <c r="G8" s="48"/>
      <c r="H8" s="51" t="e">
        <f>#REF!</f>
        <v>#REF!</v>
      </c>
      <c r="I8" s="55" t="e">
        <f>VLOOKUP($B$3,#REF!,6,FALSE)</f>
        <v>#REF!</v>
      </c>
      <c r="J8" s="199"/>
      <c r="K8" s="48"/>
      <c r="L8" s="48"/>
      <c r="M8" s="48"/>
      <c r="N8" s="48"/>
      <c r="O8" s="48"/>
      <c r="P8" s="48"/>
      <c r="Q8" s="51" t="e">
        <f>#REF!</f>
        <v>#REF!</v>
      </c>
      <c r="R8" s="55" t="e">
        <f>VLOOKUP($K$3,#REF!,6,FALSE)</f>
        <v>#REF!</v>
      </c>
      <c r="S8">
        <v>6</v>
      </c>
      <c r="T8" s="43">
        <f>IF($H$1="Qualification",VLOOKUP(Match!$J$1,'FRC Site Data'!$B$45:$K$124,5,FALSE),IF($H$1="Elimination",VLOOKUP(Match!$J$1,'FRC Site Data'!$C$128:$L$142,5,FALSE)))</f>
        <v>3301</v>
      </c>
      <c r="U8" s="12" t="s">
        <v>54</v>
      </c>
      <c r="W8" s="43">
        <v>5</v>
      </c>
      <c r="X8" s="42">
        <v>0.3972222222222222</v>
      </c>
      <c r="Z8" s="43">
        <v>9</v>
      </c>
      <c r="AA8" s="42">
        <v>0.60555555555555551</v>
      </c>
      <c r="AB8" s="43" t="s">
        <v>68</v>
      </c>
    </row>
    <row r="9" spans="1:31" x14ac:dyDescent="0.25">
      <c r="A9" s="199"/>
      <c r="B9" s="48"/>
      <c r="C9" s="48"/>
      <c r="D9" s="48"/>
      <c r="E9" s="48"/>
      <c r="F9" s="48"/>
      <c r="G9" s="48"/>
      <c r="H9" s="51" t="e">
        <f>#REF!</f>
        <v>#REF!</v>
      </c>
      <c r="I9" s="55" t="e">
        <f>VLOOKUP($B$3,#REF!,7,FALSE)</f>
        <v>#REF!</v>
      </c>
      <c r="J9" s="199"/>
      <c r="K9" s="48"/>
      <c r="L9" s="48"/>
      <c r="M9" s="48"/>
      <c r="N9" s="48"/>
      <c r="O9" s="48"/>
      <c r="P9" s="48"/>
      <c r="Q9" s="51" t="e">
        <f>#REF!</f>
        <v>#REF!</v>
      </c>
      <c r="R9" s="55" t="e">
        <f>VLOOKUP($K$3,#REF!,7,FALSE)</f>
        <v>#REF!</v>
      </c>
      <c r="T9" s="43">
        <f>IF($H$1="Qualification",VLOOKUP(Match!$J$1,'FRC Site Data'!$B$45:$K$124,6,FALSE),IF($H$1="Elimination",VLOOKUP(Match!$J$1,'FRC Site Data'!$C$128:$L$142,6,FALSE)))</f>
        <v>3947</v>
      </c>
      <c r="U9" s="12" t="s">
        <v>55</v>
      </c>
      <c r="W9" s="43">
        <v>6</v>
      </c>
      <c r="X9" s="42">
        <v>0.40277777777777773</v>
      </c>
      <c r="Z9" s="43">
        <v>13</v>
      </c>
      <c r="AA9" s="42">
        <v>0.61041666666666672</v>
      </c>
      <c r="AB9" s="43" t="s">
        <v>69</v>
      </c>
    </row>
    <row r="10" spans="1:31" x14ac:dyDescent="0.25">
      <c r="A10" s="199"/>
      <c r="B10" s="48"/>
      <c r="C10" s="48"/>
      <c r="D10" s="48"/>
      <c r="E10" s="48"/>
      <c r="F10" s="48"/>
      <c r="G10" s="48"/>
      <c r="H10" s="51" t="e">
        <f>#REF!</f>
        <v>#REF!</v>
      </c>
      <c r="I10" s="55" t="e">
        <f>VLOOKUP($B$3,#REF!,8,FALSE)</f>
        <v>#REF!</v>
      </c>
      <c r="J10" s="199"/>
      <c r="K10" s="48"/>
      <c r="L10" s="48"/>
      <c r="M10" s="48"/>
      <c r="N10" s="48"/>
      <c r="O10" s="48"/>
      <c r="P10" s="48"/>
      <c r="Q10" s="51" t="e">
        <f>#REF!</f>
        <v>#REF!</v>
      </c>
      <c r="R10" s="55" t="e">
        <f>VLOOKUP($K$3,#REF!,8,FALSE)</f>
        <v>#REF!</v>
      </c>
      <c r="T10" s="43">
        <f>IF($H$1="Qualification",VLOOKUP(Match!$J$1,'FRC Site Data'!$B$45:$K$124,7,FALSE),IF($H$1="Elimination",VLOOKUP(Match!$J$1,'FRC Site Data'!$C$128:$L$142,7,FALSE)))</f>
        <v>3272</v>
      </c>
      <c r="U10" s="12" t="s">
        <v>56</v>
      </c>
      <c r="W10" s="43">
        <v>7</v>
      </c>
      <c r="X10" s="42">
        <v>0.40902777777777777</v>
      </c>
      <c r="Z10" s="43">
        <v>14</v>
      </c>
      <c r="AA10" s="42">
        <v>0.62569444444444444</v>
      </c>
      <c r="AB10" s="43" t="s">
        <v>70</v>
      </c>
    </row>
    <row r="11" spans="1:31" x14ac:dyDescent="0.25">
      <c r="A11" s="199"/>
      <c r="B11" s="48"/>
      <c r="C11" s="48"/>
      <c r="D11" s="48"/>
      <c r="E11" s="48"/>
      <c r="F11" s="48"/>
      <c r="G11" s="48"/>
      <c r="H11" s="51" t="e">
        <f>#REF!</f>
        <v>#REF!</v>
      </c>
      <c r="I11" s="55" t="e">
        <f>VLOOKUP($B$3,#REF!,9,FALSE)</f>
        <v>#REF!</v>
      </c>
      <c r="J11" s="199"/>
      <c r="K11" s="48"/>
      <c r="L11" s="48"/>
      <c r="M11" s="48"/>
      <c r="N11" s="48"/>
      <c r="O11" s="48"/>
      <c r="P11" s="48"/>
      <c r="Q11" s="51" t="e">
        <f>#REF!</f>
        <v>#REF!</v>
      </c>
      <c r="R11" s="55" t="e">
        <f>VLOOKUP($K$3,#REF!,9,FALSE)</f>
        <v>#REF!</v>
      </c>
      <c r="W11" s="43">
        <v>8</v>
      </c>
      <c r="X11" s="42">
        <v>0.41388888888888892</v>
      </c>
      <c r="Z11" s="43">
        <v>15</v>
      </c>
      <c r="AA11" s="42">
        <v>0.63124999999999998</v>
      </c>
      <c r="AB11" s="43" t="s">
        <v>71</v>
      </c>
    </row>
    <row r="12" spans="1:31" x14ac:dyDescent="0.25">
      <c r="A12" s="199"/>
      <c r="B12" s="48"/>
      <c r="C12" s="48"/>
      <c r="D12" s="48"/>
      <c r="E12" s="48"/>
      <c r="F12" s="48"/>
      <c r="G12" s="48"/>
      <c r="H12" s="97" t="e">
        <f>#REF!</f>
        <v>#REF!</v>
      </c>
      <c r="I12" s="98" t="e">
        <f>VLOOKUP($B$3,#REF!,17,FALSE)</f>
        <v>#REF!</v>
      </c>
      <c r="J12" s="199"/>
      <c r="K12" s="48"/>
      <c r="L12" s="48"/>
      <c r="M12" s="48"/>
      <c r="N12" s="48"/>
      <c r="O12" s="48"/>
      <c r="P12" s="48"/>
      <c r="Q12" s="104" t="e">
        <f>#REF!</f>
        <v>#REF!</v>
      </c>
      <c r="R12" s="105" t="e">
        <f>VLOOKUP($K$3,#REF!,17,FALSE)</f>
        <v>#REF!</v>
      </c>
      <c r="W12" s="43">
        <v>9</v>
      </c>
      <c r="X12" s="42">
        <v>0.42083333333333334</v>
      </c>
      <c r="Z12" s="43">
        <v>16</v>
      </c>
      <c r="AA12" s="42">
        <v>0.63541666666666663</v>
      </c>
      <c r="AB12" s="43" t="s">
        <v>72</v>
      </c>
    </row>
    <row r="13" spans="1:31" x14ac:dyDescent="0.25">
      <c r="A13" s="199"/>
      <c r="B13" s="48"/>
      <c r="C13" s="48"/>
      <c r="D13" s="48"/>
      <c r="E13" s="48"/>
      <c r="F13" s="48"/>
      <c r="G13" s="48"/>
      <c r="H13" s="97" t="e">
        <f>#REF!</f>
        <v>#REF!</v>
      </c>
      <c r="I13" s="98" t="e">
        <f>VLOOKUP($B$3,#REF!,18,FALSE)</f>
        <v>#REF!</v>
      </c>
      <c r="J13" s="199"/>
      <c r="K13" s="48"/>
      <c r="L13" s="48"/>
      <c r="M13" s="48"/>
      <c r="N13" s="48"/>
      <c r="O13" s="48"/>
      <c r="P13" s="48"/>
      <c r="Q13" s="104" t="e">
        <f>#REF!</f>
        <v>#REF!</v>
      </c>
      <c r="R13" s="105" t="e">
        <f>VLOOKUP($K$3,#REF!,18,FALSE)</f>
        <v>#REF!</v>
      </c>
      <c r="W13" s="43">
        <v>10</v>
      </c>
      <c r="X13" s="42">
        <v>0.42777777777777781</v>
      </c>
      <c r="Z13" s="43">
        <v>19</v>
      </c>
      <c r="AA13" s="42">
        <v>0.65555555555555556</v>
      </c>
      <c r="AB13" s="43" t="s">
        <v>73</v>
      </c>
    </row>
    <row r="14" spans="1:31" x14ac:dyDescent="0.25">
      <c r="A14" s="199"/>
      <c r="B14" s="48"/>
      <c r="C14" s="48"/>
      <c r="D14" s="48"/>
      <c r="E14" s="48"/>
      <c r="F14" s="48"/>
      <c r="G14" s="48"/>
      <c r="H14" s="99" t="e">
        <f>#REF!</f>
        <v>#REF!</v>
      </c>
      <c r="I14" s="98" t="e">
        <f>VLOOKUP($B$3,#REF!,26,FALSE)</f>
        <v>#REF!</v>
      </c>
      <c r="J14" s="199"/>
      <c r="K14" s="48"/>
      <c r="L14" s="48"/>
      <c r="M14" s="48"/>
      <c r="N14" s="48"/>
      <c r="O14" s="48"/>
      <c r="P14" s="48"/>
      <c r="Q14" s="106" t="e">
        <f>#REF!</f>
        <v>#REF!</v>
      </c>
      <c r="R14" s="105" t="e">
        <f>VLOOKUP($K$3,#REF!,26,FALSE)</f>
        <v>#REF!</v>
      </c>
      <c r="T14" s="43">
        <v>1736</v>
      </c>
      <c r="U14" s="12" t="s">
        <v>51</v>
      </c>
      <c r="W14" s="43">
        <v>11</v>
      </c>
      <c r="X14" s="42">
        <v>0.43333333333333335</v>
      </c>
      <c r="Z14" s="43">
        <v>20</v>
      </c>
      <c r="AA14" s="42">
        <v>0.65833333333333333</v>
      </c>
      <c r="AB14" s="43" t="s">
        <v>74</v>
      </c>
    </row>
    <row r="15" spans="1:31" x14ac:dyDescent="0.25">
      <c r="A15" s="199"/>
      <c r="B15" s="48"/>
      <c r="C15" s="48"/>
      <c r="D15" s="48"/>
      <c r="E15" s="48"/>
      <c r="F15" s="48"/>
      <c r="G15" s="48"/>
      <c r="H15" s="97" t="e">
        <f>#REF!</f>
        <v>#REF!</v>
      </c>
      <c r="I15" s="98" t="e">
        <f>VLOOKUP($B$3,#REF!,27,FALSE)</f>
        <v>#REF!</v>
      </c>
      <c r="J15" s="199"/>
      <c r="K15" s="48"/>
      <c r="L15" s="48"/>
      <c r="M15" s="48"/>
      <c r="N15" s="48"/>
      <c r="O15" s="48"/>
      <c r="P15" s="48"/>
      <c r="Q15" s="104" t="e">
        <f>#REF!</f>
        <v>#REF!</v>
      </c>
      <c r="R15" s="105" t="e">
        <f>VLOOKUP($K$3,#REF!,27,FALSE)</f>
        <v>#REF!</v>
      </c>
      <c r="T15" s="43">
        <v>829</v>
      </c>
      <c r="U15" s="12" t="s">
        <v>52</v>
      </c>
      <c r="W15" s="43">
        <v>12</v>
      </c>
      <c r="X15" s="42">
        <v>0.43888888888888888</v>
      </c>
    </row>
    <row r="16" spans="1:31" x14ac:dyDescent="0.25">
      <c r="A16" s="199"/>
      <c r="B16" s="48"/>
      <c r="C16" s="48"/>
      <c r="D16" s="48"/>
      <c r="E16" s="48"/>
      <c r="F16" s="48"/>
      <c r="G16" s="48"/>
      <c r="H16" s="97" t="e">
        <f>#REF!</f>
        <v>#REF!</v>
      </c>
      <c r="I16" s="98" t="e">
        <f>VLOOKUP($B$3,#REF!,28,FALSE)</f>
        <v>#REF!</v>
      </c>
      <c r="J16" s="199"/>
      <c r="K16" s="48"/>
      <c r="L16" s="48"/>
      <c r="M16" s="48"/>
      <c r="N16" s="48"/>
      <c r="O16" s="48"/>
      <c r="P16" s="48"/>
      <c r="Q16" s="104" t="e">
        <f>#REF!</f>
        <v>#REF!</v>
      </c>
      <c r="R16" s="105" t="e">
        <f>VLOOKUP($K$3,#REF!,28,FALSE)</f>
        <v>#REF!</v>
      </c>
      <c r="T16" s="43">
        <v>461</v>
      </c>
      <c r="U16" s="12" t="s">
        <v>53</v>
      </c>
      <c r="W16" s="43">
        <v>13</v>
      </c>
      <c r="X16" s="42">
        <v>0.44375000000000003</v>
      </c>
    </row>
    <row r="17" spans="1:28" s="2" customFormat="1" x14ac:dyDescent="0.25">
      <c r="A17" s="199"/>
      <c r="B17" s="72"/>
      <c r="C17" s="72"/>
      <c r="D17" s="72"/>
      <c r="E17" s="72"/>
      <c r="F17" s="72"/>
      <c r="G17" s="72"/>
      <c r="H17" s="99" t="e">
        <f>#REF!</f>
        <v>#REF!</v>
      </c>
      <c r="I17" s="100" t="e">
        <f>VLOOKUP($B$3,#REF!,29,FALSE)</f>
        <v>#REF!</v>
      </c>
      <c r="J17" s="199"/>
      <c r="K17" s="72"/>
      <c r="L17" s="72"/>
      <c r="M17" s="72"/>
      <c r="N17" s="72"/>
      <c r="O17" s="72"/>
      <c r="P17" s="72"/>
      <c r="Q17" s="106" t="e">
        <f>#REF!</f>
        <v>#REF!</v>
      </c>
      <c r="R17" s="107" t="e">
        <f>VLOOKUP($K$3,#REF!,29,FALSE)</f>
        <v>#REF!</v>
      </c>
      <c r="S17" s="2">
        <v>1</v>
      </c>
      <c r="T17" s="43">
        <v>359</v>
      </c>
      <c r="U17" s="12" t="s">
        <v>54</v>
      </c>
      <c r="W17" s="43">
        <v>14</v>
      </c>
      <c r="X17" s="42">
        <v>0.45763888888888887</v>
      </c>
      <c r="Y17"/>
      <c r="Z17"/>
      <c r="AA17"/>
      <c r="AB17" s="12"/>
    </row>
    <row r="18" spans="1:28" x14ac:dyDescent="0.25">
      <c r="A18" s="199"/>
      <c r="B18" s="48"/>
      <c r="C18" s="48"/>
      <c r="D18" s="48"/>
      <c r="E18" s="48"/>
      <c r="F18" s="48"/>
      <c r="G18" s="48"/>
      <c r="H18" s="97" t="e">
        <f>#REF!</f>
        <v>#REF!</v>
      </c>
      <c r="I18" s="98" t="e">
        <f>VLOOKUP($B$3,#REF!,30,FALSE)</f>
        <v>#REF!</v>
      </c>
      <c r="J18" s="199"/>
      <c r="K18" s="48"/>
      <c r="L18" s="48"/>
      <c r="M18" s="48"/>
      <c r="N18" s="48"/>
      <c r="O18" s="48"/>
      <c r="P18" s="48"/>
      <c r="Q18" s="104" t="e">
        <f>#REF!</f>
        <v>#REF!</v>
      </c>
      <c r="R18" s="105" t="e">
        <f>VLOOKUP($K$3,#REF!,30,FALSE)</f>
        <v>#REF!</v>
      </c>
      <c r="T18" s="43">
        <v>868</v>
      </c>
      <c r="U18" s="12" t="s">
        <v>55</v>
      </c>
      <c r="W18" s="43">
        <v>15</v>
      </c>
      <c r="X18" s="42">
        <v>0.46180555555555558</v>
      </c>
    </row>
    <row r="19" spans="1:28" ht="15.75" thickBot="1" x14ac:dyDescent="0.3">
      <c r="A19" s="200"/>
      <c r="B19" s="48"/>
      <c r="C19" s="48"/>
      <c r="D19" s="48"/>
      <c r="E19" s="48"/>
      <c r="F19" s="48"/>
      <c r="G19" s="48"/>
      <c r="H19" s="97" t="e">
        <f>#REF!</f>
        <v>#REF!</v>
      </c>
      <c r="I19" s="98" t="e">
        <f>VLOOKUP($B$3,#REF!,31,FALSE)</f>
        <v>#REF!</v>
      </c>
      <c r="J19" s="200"/>
      <c r="K19" s="48"/>
      <c r="L19" s="48"/>
      <c r="M19" s="48"/>
      <c r="N19" s="48"/>
      <c r="O19" s="48"/>
      <c r="P19" s="48"/>
      <c r="Q19" s="104" t="e">
        <f>#REF!</f>
        <v>#REF!</v>
      </c>
      <c r="R19" s="105" t="e">
        <f>VLOOKUP($K$3,#REF!,31,FALSE)</f>
        <v>#REF!</v>
      </c>
      <c r="T19" s="43">
        <v>1747</v>
      </c>
      <c r="U19" s="12" t="s">
        <v>56</v>
      </c>
      <c r="W19" s="43">
        <v>16</v>
      </c>
      <c r="X19" s="42">
        <v>0.46666666666666662</v>
      </c>
      <c r="Y19" s="2"/>
      <c r="Z19" s="2"/>
      <c r="AA19" s="2"/>
      <c r="AB19" s="14"/>
    </row>
    <row r="20" spans="1:28" ht="15" customHeight="1" x14ac:dyDescent="0.25">
      <c r="A20" s="201" t="e">
        <f>#REF!</f>
        <v>#REF!</v>
      </c>
      <c r="B20" s="201" t="e">
        <f>#REF!</f>
        <v>#REF!</v>
      </c>
      <c r="C20" s="203" t="e">
        <f>#REF!</f>
        <v>#REF!</v>
      </c>
      <c r="D20" s="203" t="e">
        <f>#REF!</f>
        <v>#REF!</v>
      </c>
      <c r="E20" s="203" t="e">
        <f>#REF!</f>
        <v>#REF!</v>
      </c>
      <c r="F20" s="203" t="e">
        <f>#REF!</f>
        <v>#REF!</v>
      </c>
      <c r="G20" s="201" t="e">
        <f>#REF!</f>
        <v>#REF!</v>
      </c>
      <c r="H20" s="97" t="e">
        <f>#REF!</f>
        <v>#REF!</v>
      </c>
      <c r="I20" s="101" t="e">
        <f>VLOOKUP($B$3,#REF!,32,FALSE)</f>
        <v>#REF!</v>
      </c>
      <c r="J20" s="201" t="e">
        <f>#REF!</f>
        <v>#REF!</v>
      </c>
      <c r="K20" s="201" t="e">
        <f>#REF!</f>
        <v>#REF!</v>
      </c>
      <c r="L20" s="203" t="e">
        <f>#REF!</f>
        <v>#REF!</v>
      </c>
      <c r="M20" s="203" t="e">
        <f>#REF!</f>
        <v>#REF!</v>
      </c>
      <c r="N20" s="203" t="e">
        <f>#REF!</f>
        <v>#REF!</v>
      </c>
      <c r="O20" s="203" t="e">
        <f>#REF!</f>
        <v>#REF!</v>
      </c>
      <c r="P20" s="201" t="e">
        <f>#REF!</f>
        <v>#REF!</v>
      </c>
      <c r="Q20" s="104" t="e">
        <f>#REF!</f>
        <v>#REF!</v>
      </c>
      <c r="R20" s="108" t="e">
        <f>VLOOKUP($K$3,#REF!,32,FALSE)</f>
        <v>#REF!</v>
      </c>
      <c r="W20" s="43">
        <v>17</v>
      </c>
      <c r="X20" s="42">
        <v>0.47152777777777777</v>
      </c>
    </row>
    <row r="21" spans="1:28" s="50" customFormat="1" x14ac:dyDescent="0.25">
      <c r="A21" s="202"/>
      <c r="B21" s="202"/>
      <c r="C21" s="202"/>
      <c r="D21" s="202"/>
      <c r="E21" s="202"/>
      <c r="F21" s="202"/>
      <c r="G21" s="202"/>
      <c r="H21" s="97" t="e">
        <f>#REF!</f>
        <v>#REF!</v>
      </c>
      <c r="I21" s="101" t="e">
        <f>VLOOKUP($B$3,#REF!,33,FALSE)</f>
        <v>#REF!</v>
      </c>
      <c r="J21" s="202"/>
      <c r="K21" s="202"/>
      <c r="L21" s="202"/>
      <c r="M21" s="202"/>
      <c r="N21" s="202"/>
      <c r="O21" s="202"/>
      <c r="P21" s="202"/>
      <c r="Q21" s="104" t="e">
        <f>#REF!</f>
        <v>#REF!</v>
      </c>
      <c r="R21" s="108" t="e">
        <f>VLOOKUP($K$3,#REF!,33,FALSE)</f>
        <v>#REF!</v>
      </c>
      <c r="T21" s="43">
        <v>1736</v>
      </c>
      <c r="U21" s="12" t="s">
        <v>51</v>
      </c>
      <c r="W21" s="43">
        <v>18</v>
      </c>
      <c r="X21" s="42">
        <v>0.47638888888888892</v>
      </c>
      <c r="Y21"/>
      <c r="Z21"/>
      <c r="AA21"/>
      <c r="AB21" s="12"/>
    </row>
    <row r="22" spans="1:28" x14ac:dyDescent="0.25">
      <c r="A22" s="115" t="e">
        <f>VLOOKUP($B$3,#REF!,39,FALSE)</f>
        <v>#REF!</v>
      </c>
      <c r="B22" s="111" t="e">
        <f>VLOOKUP($B$3,#REF!,2,FALSE)</f>
        <v>#REF!</v>
      </c>
      <c r="C22" s="111" t="e">
        <f>VLOOKUP($B$3,#REF!,4,FALSE)</f>
        <v>#REF!</v>
      </c>
      <c r="D22" s="111" t="e">
        <f>VLOOKUP($B$3,#REF!,5,FALSE)</f>
        <v>#REF!</v>
      </c>
      <c r="E22" s="111" t="e">
        <f>VLOOKUP($B$3,#REF!,6,FALSE)</f>
        <v>#REF!</v>
      </c>
      <c r="F22" s="111" t="e">
        <f>VLOOKUP($B$3,#REF!,7,FALSE)</f>
        <v>#REF!</v>
      </c>
      <c r="G22" s="111" t="e">
        <f>VLOOKUP($B$3,#REF!,7,FALSE)</f>
        <v>#REF!</v>
      </c>
      <c r="H22" s="97" t="e">
        <f>#REF!</f>
        <v>#REF!</v>
      </c>
      <c r="I22" s="101" t="e">
        <f>VLOOKUP($B$3,#REF!,34,FALSE)</f>
        <v>#REF!</v>
      </c>
      <c r="J22" s="115" t="e">
        <f>VLOOKUP($K$3,#REF!,39,FALSE)</f>
        <v>#REF!</v>
      </c>
      <c r="K22" s="111" t="e">
        <f>VLOOKUP($K$3,#REF!,2,FALSE)</f>
        <v>#REF!</v>
      </c>
      <c r="L22" s="111" t="e">
        <f>VLOOKUP($K$3,#REF!,4,FALSE)</f>
        <v>#REF!</v>
      </c>
      <c r="M22" s="111" t="e">
        <f>VLOOKUP($K$3,#REF!,5,FALSE)</f>
        <v>#REF!</v>
      </c>
      <c r="N22" s="111" t="e">
        <f>VLOOKUP($K$3,#REF!,6,FALSE)</f>
        <v>#REF!</v>
      </c>
      <c r="O22" s="111" t="e">
        <f>VLOOKUP($K$3,#REF!,7,FALSE)</f>
        <v>#REF!</v>
      </c>
      <c r="P22" s="111" t="e">
        <f>VLOOKUP($K$3,#REF!,7,FALSE)</f>
        <v>#REF!</v>
      </c>
      <c r="Q22" s="104" t="e">
        <f>#REF!</f>
        <v>#REF!</v>
      </c>
      <c r="R22" s="108" t="e">
        <f>VLOOKUP($K$3,#REF!,34,FALSE)</f>
        <v>#REF!</v>
      </c>
      <c r="T22" s="43">
        <v>829</v>
      </c>
      <c r="U22" s="12" t="s">
        <v>52</v>
      </c>
      <c r="W22" s="43">
        <v>19</v>
      </c>
      <c r="X22" s="42">
        <v>0.48125000000000001</v>
      </c>
    </row>
    <row r="23" spans="1:28" ht="15.75" thickBot="1" x14ac:dyDescent="0.3">
      <c r="A23" s="86"/>
      <c r="B23" s="71"/>
      <c r="C23" s="71"/>
      <c r="D23" s="71"/>
      <c r="E23" s="71"/>
      <c r="F23" s="71"/>
      <c r="G23" s="71"/>
      <c r="H23" s="102" t="e">
        <f>#REF!</f>
        <v>#REF!</v>
      </c>
      <c r="I23" s="103" t="e">
        <f>VLOOKUP($B$3,#REF!,35,FALSE)</f>
        <v>#REF!</v>
      </c>
      <c r="J23" s="86"/>
      <c r="K23" s="71"/>
      <c r="L23" s="71"/>
      <c r="M23" s="71"/>
      <c r="N23" s="71"/>
      <c r="O23" s="71"/>
      <c r="P23" s="71"/>
      <c r="Q23" s="109" t="e">
        <f>#REF!</f>
        <v>#REF!</v>
      </c>
      <c r="R23" s="110" t="e">
        <f>VLOOKUP($K$3,#REF!,35,FALSE)</f>
        <v>#REF!</v>
      </c>
      <c r="T23" s="43">
        <v>461</v>
      </c>
      <c r="U23" s="12" t="s">
        <v>53</v>
      </c>
      <c r="W23" s="43">
        <v>20</v>
      </c>
      <c r="X23" s="42">
        <v>0.48680555555555555</v>
      </c>
      <c r="Y23" s="50"/>
      <c r="Z23" s="50"/>
      <c r="AA23" s="50"/>
    </row>
    <row r="24" spans="1:28" s="50" customFormat="1" ht="15.75" thickBot="1" x14ac:dyDescent="0.3">
      <c r="A24" s="87"/>
      <c r="B24" s="88"/>
      <c r="C24" s="88"/>
      <c r="D24" s="88"/>
      <c r="E24" s="88"/>
      <c r="F24" s="88"/>
      <c r="G24" s="88"/>
      <c r="H24" s="88"/>
      <c r="I24" s="89"/>
      <c r="J24" s="92"/>
      <c r="K24" s="91"/>
      <c r="L24" s="91"/>
      <c r="M24" s="91"/>
      <c r="N24" s="91"/>
      <c r="O24" s="91"/>
      <c r="P24" s="91"/>
      <c r="Q24" s="91"/>
      <c r="R24" s="93"/>
      <c r="S24" s="50">
        <v>2</v>
      </c>
      <c r="T24" s="43">
        <v>1741</v>
      </c>
      <c r="U24" s="12" t="s">
        <v>54</v>
      </c>
      <c r="W24" s="43">
        <v>21</v>
      </c>
      <c r="X24" s="42">
        <v>0.4916666666666667</v>
      </c>
      <c r="Y24"/>
      <c r="Z24"/>
      <c r="AA24"/>
      <c r="AB24" s="12"/>
    </row>
    <row r="25" spans="1:28" ht="19.5" customHeight="1" thickBot="1" x14ac:dyDescent="0.35">
      <c r="A25" s="198" t="s">
        <v>82</v>
      </c>
      <c r="B25" s="85">
        <f>T6</f>
        <v>234</v>
      </c>
      <c r="C25" s="52" t="e">
        <f>#REF!</f>
        <v>#REF!</v>
      </c>
      <c r="D25" s="53"/>
      <c r="E25" s="53"/>
      <c r="F25" s="53" t="e">
        <f>VLOOKUP($B$3,#REF!,10,FALSE)</f>
        <v>#REF!</v>
      </c>
      <c r="G25" s="53"/>
      <c r="H25" s="53" t="e">
        <f>#REF!</f>
        <v>#REF!</v>
      </c>
      <c r="I25" s="49" t="e">
        <f>VLOOKUP($B$25,#REF!,2,FALSE)</f>
        <v>#REF!</v>
      </c>
      <c r="J25" s="205" t="s">
        <v>85</v>
      </c>
      <c r="K25" s="90">
        <f>T9</f>
        <v>3947</v>
      </c>
      <c r="L25" s="52" t="e">
        <f>#REF!</f>
        <v>#REF!</v>
      </c>
      <c r="M25" s="53"/>
      <c r="N25" s="53"/>
      <c r="O25" s="53" t="e">
        <f>VLOOKUP($B$3,#REF!,10,FALSE)</f>
        <v>#REF!</v>
      </c>
      <c r="P25" s="53"/>
      <c r="Q25" s="53" t="e">
        <f>#REF!</f>
        <v>#REF!</v>
      </c>
      <c r="R25" s="49" t="e">
        <f>VLOOKUP($K$25,#REF!,2,FALSE)</f>
        <v>#REF!</v>
      </c>
      <c r="T25" s="43">
        <v>3147</v>
      </c>
      <c r="U25" s="12" t="s">
        <v>55</v>
      </c>
      <c r="W25" s="43">
        <v>22</v>
      </c>
      <c r="X25" s="42">
        <v>0.54166666666666663</v>
      </c>
    </row>
    <row r="26" spans="1:28" x14ac:dyDescent="0.25">
      <c r="A26" s="199"/>
      <c r="B26" s="47" t="b">
        <f>GetPic(B25)</f>
        <v>0</v>
      </c>
      <c r="C26" s="47"/>
      <c r="D26" s="47"/>
      <c r="E26" s="47"/>
      <c r="F26" s="47"/>
      <c r="G26" s="47"/>
      <c r="H26" s="51" t="e">
        <f>#REF!</f>
        <v>#REF!</v>
      </c>
      <c r="I26" s="55" t="e">
        <f>VLOOKUP($B$25,#REF!,14,FALSE)</f>
        <v>#REF!</v>
      </c>
      <c r="J26" s="199"/>
      <c r="K26" s="47" t="b">
        <f>GetPic(K25)</f>
        <v>0</v>
      </c>
      <c r="L26" s="47"/>
      <c r="M26" s="47"/>
      <c r="N26" s="47"/>
      <c r="O26" s="47"/>
      <c r="P26" s="47"/>
      <c r="Q26" s="51" t="e">
        <f>#REF!</f>
        <v>#REF!</v>
      </c>
      <c r="R26" s="55" t="e">
        <f>VLOOKUP($K$25,#REF!,14,FALSE)</f>
        <v>#REF!</v>
      </c>
      <c r="T26" s="43">
        <v>234</v>
      </c>
      <c r="U26" s="12" t="s">
        <v>56</v>
      </c>
      <c r="W26" s="43">
        <v>23</v>
      </c>
      <c r="X26" s="42">
        <v>0.54166666666666663</v>
      </c>
      <c r="Y26" s="50"/>
      <c r="Z26" s="50"/>
      <c r="AA26" s="50"/>
    </row>
    <row r="27" spans="1:28" x14ac:dyDescent="0.25">
      <c r="A27" s="199"/>
      <c r="B27" s="48"/>
      <c r="C27" s="48"/>
      <c r="D27" s="48"/>
      <c r="E27" s="48"/>
      <c r="F27" s="48"/>
      <c r="G27" s="48"/>
      <c r="H27" s="51" t="e">
        <f>#REF!</f>
        <v>#REF!</v>
      </c>
      <c r="I27" s="55" t="e">
        <f>VLOOKUP($B$25,#REF!,3,FALSE)</f>
        <v>#REF!</v>
      </c>
      <c r="J27" s="199"/>
      <c r="K27" s="48"/>
      <c r="L27" s="48"/>
      <c r="M27" s="48"/>
      <c r="N27" s="48"/>
      <c r="O27" s="48"/>
      <c r="P27" s="48"/>
      <c r="Q27" s="51" t="e">
        <f>#REF!</f>
        <v>#REF!</v>
      </c>
      <c r="R27" s="55" t="e">
        <f>VLOOKUP($K$25,#REF!,3,FALSE)</f>
        <v>#REF!</v>
      </c>
      <c r="W27" s="43">
        <v>24</v>
      </c>
      <c r="X27" s="42">
        <v>0.54166666666666663</v>
      </c>
    </row>
    <row r="28" spans="1:28" x14ac:dyDescent="0.25">
      <c r="A28" s="199"/>
      <c r="B28" s="48"/>
      <c r="C28" s="48"/>
      <c r="D28" s="48"/>
      <c r="E28" s="48"/>
      <c r="F28" s="48"/>
      <c r="G28" s="48"/>
      <c r="H28" s="51" t="e">
        <f>#REF!</f>
        <v>#REF!</v>
      </c>
      <c r="I28" s="55" t="e">
        <f>VLOOKUP($B$25,#REF!,4,FALSE)</f>
        <v>#REF!</v>
      </c>
      <c r="J28" s="199"/>
      <c r="K28" s="48"/>
      <c r="L28" s="48"/>
      <c r="M28" s="48"/>
      <c r="N28" s="48"/>
      <c r="O28" s="48"/>
      <c r="P28" s="48"/>
      <c r="Q28" s="51" t="e">
        <f>#REF!</f>
        <v>#REF!</v>
      </c>
      <c r="R28" s="55" t="e">
        <f>VLOOKUP($K$25,#REF!,4,FALSE)</f>
        <v>#REF!</v>
      </c>
      <c r="T28" s="43">
        <v>1736</v>
      </c>
      <c r="W28" s="43">
        <v>25</v>
      </c>
      <c r="X28" s="42">
        <v>0.54722222222222217</v>
      </c>
    </row>
    <row r="29" spans="1:28" x14ac:dyDescent="0.25">
      <c r="A29" s="199"/>
      <c r="B29" s="48"/>
      <c r="C29" s="48"/>
      <c r="D29" s="48"/>
      <c r="E29" s="48"/>
      <c r="F29" s="48"/>
      <c r="G29" s="48"/>
      <c r="H29" s="51" t="e">
        <f>#REF!</f>
        <v>#REF!</v>
      </c>
      <c r="I29" s="55" t="e">
        <f>VLOOKUP($B$25,#REF!,5,FALSE)</f>
        <v>#REF!</v>
      </c>
      <c r="J29" s="199"/>
      <c r="K29" s="48"/>
      <c r="L29" s="48"/>
      <c r="M29" s="48"/>
      <c r="N29" s="48"/>
      <c r="O29" s="48"/>
      <c r="P29" s="48"/>
      <c r="Q29" s="51" t="e">
        <f>#REF!</f>
        <v>#REF!</v>
      </c>
      <c r="R29" s="55" t="e">
        <f>VLOOKUP($K$25,#REF!,5,FALSE)</f>
        <v>#REF!</v>
      </c>
      <c r="T29" s="43">
        <v>829</v>
      </c>
      <c r="W29" s="43">
        <v>26</v>
      </c>
      <c r="X29" s="42">
        <v>0.55138888888888882</v>
      </c>
    </row>
    <row r="30" spans="1:28" x14ac:dyDescent="0.25">
      <c r="A30" s="199"/>
      <c r="B30" s="48"/>
      <c r="C30" s="48"/>
      <c r="D30" s="48"/>
      <c r="E30" s="48"/>
      <c r="F30" s="48"/>
      <c r="G30" s="48"/>
      <c r="H30" s="51" t="e">
        <f>#REF!</f>
        <v>#REF!</v>
      </c>
      <c r="I30" s="55" t="e">
        <f>VLOOKUP($B$25,#REF!,6,FALSE)</f>
        <v>#REF!</v>
      </c>
      <c r="J30" s="199"/>
      <c r="K30" s="48"/>
      <c r="L30" s="48"/>
      <c r="M30" s="48"/>
      <c r="N30" s="48"/>
      <c r="O30" s="48"/>
      <c r="P30" s="48"/>
      <c r="Q30" s="51" t="e">
        <f>#REF!</f>
        <v>#REF!</v>
      </c>
      <c r="R30" s="55" t="e">
        <f>VLOOKUP($K$25,#REF!,6,FALSE)</f>
        <v>#REF!</v>
      </c>
      <c r="T30" s="43">
        <v>461</v>
      </c>
      <c r="W30" s="43">
        <v>27</v>
      </c>
      <c r="X30" s="42">
        <v>0.55625000000000002</v>
      </c>
    </row>
    <row r="31" spans="1:28" x14ac:dyDescent="0.25">
      <c r="A31" s="199"/>
      <c r="B31" s="48"/>
      <c r="C31" s="48"/>
      <c r="D31" s="48"/>
      <c r="E31" s="48"/>
      <c r="F31" s="48"/>
      <c r="G31" s="48"/>
      <c r="H31" s="51" t="e">
        <f>#REF!</f>
        <v>#REF!</v>
      </c>
      <c r="I31" s="55" t="e">
        <f>VLOOKUP($B$25,#REF!,7,FALSE)</f>
        <v>#REF!</v>
      </c>
      <c r="J31" s="199"/>
      <c r="K31" s="48"/>
      <c r="L31" s="48"/>
      <c r="M31" s="48"/>
      <c r="N31" s="48"/>
      <c r="O31" s="48"/>
      <c r="P31" s="48"/>
      <c r="Q31" s="51" t="e">
        <f>#REF!</f>
        <v>#REF!</v>
      </c>
      <c r="R31" s="55" t="e">
        <f>VLOOKUP($K$25,#REF!,7,FALSE)</f>
        <v>#REF!</v>
      </c>
      <c r="S31">
        <v>4</v>
      </c>
      <c r="T31" s="43">
        <v>2040</v>
      </c>
      <c r="W31" s="43">
        <v>28</v>
      </c>
      <c r="X31" s="42">
        <v>0.56111111111111112</v>
      </c>
    </row>
    <row r="32" spans="1:28" x14ac:dyDescent="0.25">
      <c r="A32" s="199"/>
      <c r="B32" s="48"/>
      <c r="C32" s="48"/>
      <c r="D32" s="48"/>
      <c r="E32" s="48"/>
      <c r="F32" s="48"/>
      <c r="G32" s="48"/>
      <c r="H32" s="51" t="e">
        <f>#REF!</f>
        <v>#REF!</v>
      </c>
      <c r="I32" s="55" t="e">
        <f>VLOOKUP($B$25,#REF!,8,FALSE)</f>
        <v>#REF!</v>
      </c>
      <c r="J32" s="199"/>
      <c r="K32" s="48"/>
      <c r="L32" s="48"/>
      <c r="M32" s="48"/>
      <c r="N32" s="48"/>
      <c r="O32" s="48"/>
      <c r="P32" s="48"/>
      <c r="Q32" s="51" t="e">
        <f>#REF!</f>
        <v>#REF!</v>
      </c>
      <c r="R32" s="55" t="e">
        <f>VLOOKUP($K$25,#REF!,8,FALSE)</f>
        <v>#REF!</v>
      </c>
      <c r="T32" s="43">
        <v>45</v>
      </c>
      <c r="W32" s="43">
        <v>29</v>
      </c>
      <c r="X32" s="42">
        <v>0.56527777777777777</v>
      </c>
    </row>
    <row r="33" spans="1:24" x14ac:dyDescent="0.25">
      <c r="A33" s="199"/>
      <c r="B33" s="48"/>
      <c r="C33" s="48"/>
      <c r="D33" s="48"/>
      <c r="E33" s="48"/>
      <c r="F33" s="48"/>
      <c r="G33" s="48"/>
      <c r="H33" s="51" t="e">
        <f>#REF!</f>
        <v>#REF!</v>
      </c>
      <c r="I33" s="55" t="e">
        <f>VLOOKUP($B$25,#REF!,9,FALSE)</f>
        <v>#REF!</v>
      </c>
      <c r="J33" s="199"/>
      <c r="K33" s="48"/>
      <c r="L33" s="48"/>
      <c r="M33" s="48"/>
      <c r="N33" s="48"/>
      <c r="O33" s="48"/>
      <c r="P33" s="48"/>
      <c r="Q33" s="51" t="e">
        <f>#REF!</f>
        <v>#REF!</v>
      </c>
      <c r="R33" s="55" t="e">
        <f>VLOOKUP($K$25,#REF!,9,FALSE)</f>
        <v>#REF!</v>
      </c>
      <c r="T33" s="43">
        <v>3301</v>
      </c>
      <c r="W33" s="43">
        <v>30</v>
      </c>
      <c r="X33" s="42">
        <v>0.57013888888888886</v>
      </c>
    </row>
    <row r="34" spans="1:24" x14ac:dyDescent="0.25">
      <c r="A34" s="199"/>
      <c r="B34" s="48"/>
      <c r="C34" s="48"/>
      <c r="D34" s="48"/>
      <c r="E34" s="48"/>
      <c r="F34" s="48"/>
      <c r="G34" s="48"/>
      <c r="H34" s="97" t="e">
        <f>#REF!</f>
        <v>#REF!</v>
      </c>
      <c r="I34" s="98" t="e">
        <f>VLOOKUP($B$25,#REF!,17,FALSE)</f>
        <v>#REF!</v>
      </c>
      <c r="J34" s="199"/>
      <c r="K34" s="48"/>
      <c r="L34" s="48"/>
      <c r="M34" s="48"/>
      <c r="N34" s="48"/>
      <c r="O34" s="48"/>
      <c r="P34" s="48"/>
      <c r="Q34" s="104" t="e">
        <f>#REF!</f>
        <v>#REF!</v>
      </c>
      <c r="R34" s="105" t="e">
        <f>VLOOKUP($K$25,#REF!,17,FALSE)</f>
        <v>#REF!</v>
      </c>
      <c r="W34" s="43">
        <v>31</v>
      </c>
      <c r="X34" s="42">
        <v>0.57430555555555551</v>
      </c>
    </row>
    <row r="35" spans="1:24" x14ac:dyDescent="0.25">
      <c r="A35" s="199"/>
      <c r="B35" s="48"/>
      <c r="C35" s="48"/>
      <c r="D35" s="48"/>
      <c r="E35" s="48"/>
      <c r="F35" s="48"/>
      <c r="G35" s="48"/>
      <c r="H35" s="97" t="e">
        <f>#REF!</f>
        <v>#REF!</v>
      </c>
      <c r="I35" s="98" t="e">
        <f>VLOOKUP($B$25,#REF!,18,FALSE)</f>
        <v>#REF!</v>
      </c>
      <c r="J35" s="199"/>
      <c r="K35" s="48"/>
      <c r="L35" s="48"/>
      <c r="M35" s="48"/>
      <c r="N35" s="48"/>
      <c r="O35" s="48"/>
      <c r="P35" s="48"/>
      <c r="Q35" s="104" t="e">
        <f>#REF!</f>
        <v>#REF!</v>
      </c>
      <c r="R35" s="105" t="e">
        <f>VLOOKUP($K$25,#REF!,18,FALSE)</f>
        <v>#REF!</v>
      </c>
      <c r="T35" s="43">
        <v>1736</v>
      </c>
      <c r="W35" s="43">
        <v>32</v>
      </c>
      <c r="X35" s="42">
        <v>0.57916666666666672</v>
      </c>
    </row>
    <row r="36" spans="1:24" x14ac:dyDescent="0.25">
      <c r="A36" s="199"/>
      <c r="B36" s="48"/>
      <c r="C36" s="48"/>
      <c r="D36" s="48"/>
      <c r="E36" s="48"/>
      <c r="F36" s="48"/>
      <c r="G36" s="48"/>
      <c r="H36" s="99" t="e">
        <f>#REF!</f>
        <v>#REF!</v>
      </c>
      <c r="I36" s="98" t="e">
        <f>VLOOKUP($B$25,#REF!,26,FALSE)</f>
        <v>#REF!</v>
      </c>
      <c r="J36" s="199"/>
      <c r="K36" s="48"/>
      <c r="L36" s="48"/>
      <c r="M36" s="48"/>
      <c r="N36" s="48"/>
      <c r="O36" s="48"/>
      <c r="P36" s="48"/>
      <c r="Q36" s="106" t="e">
        <f>#REF!</f>
        <v>#REF!</v>
      </c>
      <c r="R36" s="105" t="e">
        <f>VLOOKUP($K$25,#REF!,26,FALSE)</f>
        <v>#REF!</v>
      </c>
      <c r="T36" s="43">
        <v>829</v>
      </c>
      <c r="W36" s="43">
        <v>33</v>
      </c>
      <c r="X36" s="42">
        <v>0.58472222222222225</v>
      </c>
    </row>
    <row r="37" spans="1:24" x14ac:dyDescent="0.25">
      <c r="A37" s="199"/>
      <c r="B37" s="48"/>
      <c r="C37" s="48"/>
      <c r="D37" s="48"/>
      <c r="E37" s="48"/>
      <c r="F37" s="48"/>
      <c r="G37" s="48"/>
      <c r="H37" s="97" t="e">
        <f>#REF!</f>
        <v>#REF!</v>
      </c>
      <c r="I37" s="98" t="e">
        <f>VLOOKUP($B$25,#REF!,27,FALSE)</f>
        <v>#REF!</v>
      </c>
      <c r="J37" s="199"/>
      <c r="K37" s="48"/>
      <c r="L37" s="48"/>
      <c r="M37" s="48"/>
      <c r="N37" s="48"/>
      <c r="O37" s="48"/>
      <c r="P37" s="48"/>
      <c r="Q37" s="104" t="e">
        <f>#REF!</f>
        <v>#REF!</v>
      </c>
      <c r="R37" s="105" t="e">
        <f>VLOOKUP($K$25,#REF!,27,FALSE)</f>
        <v>#REF!</v>
      </c>
      <c r="T37" s="43">
        <v>461</v>
      </c>
      <c r="W37" s="43">
        <v>34</v>
      </c>
      <c r="X37" s="42">
        <v>0.59166666666666667</v>
      </c>
    </row>
    <row r="38" spans="1:24" x14ac:dyDescent="0.25">
      <c r="A38" s="199"/>
      <c r="B38" s="48"/>
      <c r="C38" s="48"/>
      <c r="D38" s="48"/>
      <c r="E38" s="48"/>
      <c r="F38" s="48"/>
      <c r="G38" s="48"/>
      <c r="H38" s="97" t="e">
        <f>#REF!</f>
        <v>#REF!</v>
      </c>
      <c r="I38" s="98" t="e">
        <f>VLOOKUP($B$25,#REF!,28,FALSE)</f>
        <v>#REF!</v>
      </c>
      <c r="J38" s="199"/>
      <c r="K38" s="48"/>
      <c r="L38" s="48"/>
      <c r="M38" s="48"/>
      <c r="N38" s="48"/>
      <c r="O38" s="48"/>
      <c r="P38" s="48"/>
      <c r="Q38" s="104" t="e">
        <f>#REF!</f>
        <v>#REF!</v>
      </c>
      <c r="R38" s="105" t="e">
        <f>VLOOKUP($K$25,#REF!,28,FALSE)</f>
        <v>#REF!</v>
      </c>
      <c r="S38">
        <v>5</v>
      </c>
      <c r="T38" s="43">
        <v>3947</v>
      </c>
      <c r="W38" s="43">
        <v>35</v>
      </c>
      <c r="X38" s="42">
        <v>0.59652777777777777</v>
      </c>
    </row>
    <row r="39" spans="1:24" x14ac:dyDescent="0.25">
      <c r="A39" s="199"/>
      <c r="B39" s="72"/>
      <c r="C39" s="72"/>
      <c r="D39" s="72"/>
      <c r="E39" s="72"/>
      <c r="F39" s="72"/>
      <c r="G39" s="72"/>
      <c r="H39" s="99" t="e">
        <f>#REF!</f>
        <v>#REF!</v>
      </c>
      <c r="I39" s="100" t="e">
        <f>VLOOKUP($B$25,#REF!,29,FALSE)</f>
        <v>#REF!</v>
      </c>
      <c r="J39" s="199"/>
      <c r="K39" s="72"/>
      <c r="L39" s="72"/>
      <c r="M39" s="72"/>
      <c r="N39" s="72"/>
      <c r="O39" s="72"/>
      <c r="P39" s="72"/>
      <c r="Q39" s="106" t="e">
        <f>#REF!</f>
        <v>#REF!</v>
      </c>
      <c r="R39" s="107" t="e">
        <f>VLOOKUP($K$25,#REF!,29,FALSE)</f>
        <v>#REF!</v>
      </c>
      <c r="T39" s="43">
        <v>2197</v>
      </c>
      <c r="W39" s="43">
        <v>36</v>
      </c>
      <c r="X39" s="42">
        <v>0.60277777777777775</v>
      </c>
    </row>
    <row r="40" spans="1:24" x14ac:dyDescent="0.25">
      <c r="A40" s="199"/>
      <c r="B40" s="48"/>
      <c r="C40" s="48"/>
      <c r="D40" s="48"/>
      <c r="E40" s="48"/>
      <c r="F40" s="48"/>
      <c r="G40" s="48"/>
      <c r="H40" s="97" t="e">
        <f>#REF!</f>
        <v>#REF!</v>
      </c>
      <c r="I40" s="98" t="e">
        <f>VLOOKUP($B$25,#REF!,30,FALSE)</f>
        <v>#REF!</v>
      </c>
      <c r="J40" s="199"/>
      <c r="K40" s="48"/>
      <c r="L40" s="48"/>
      <c r="M40" s="48"/>
      <c r="N40" s="48"/>
      <c r="O40" s="48"/>
      <c r="P40" s="48"/>
      <c r="Q40" s="104" t="e">
        <f>#REF!</f>
        <v>#REF!</v>
      </c>
      <c r="R40" s="105" t="e">
        <f>VLOOKUP($K$25,#REF!,30,FALSE)</f>
        <v>#REF!</v>
      </c>
      <c r="T40" s="43">
        <v>1024</v>
      </c>
      <c r="W40" s="43">
        <v>37</v>
      </c>
      <c r="X40" s="42">
        <v>0.63055555555555554</v>
      </c>
    </row>
    <row r="41" spans="1:24" ht="15.75" thickBot="1" x14ac:dyDescent="0.3">
      <c r="A41" s="200"/>
      <c r="B41" s="48"/>
      <c r="C41" s="48"/>
      <c r="D41" s="48"/>
      <c r="E41" s="48"/>
      <c r="F41" s="48"/>
      <c r="G41" s="48"/>
      <c r="H41" s="97" t="e">
        <f>#REF!</f>
        <v>#REF!</v>
      </c>
      <c r="I41" s="98" t="e">
        <f>VLOOKUP($B$25,#REF!,31,FALSE)</f>
        <v>#REF!</v>
      </c>
      <c r="J41" s="200"/>
      <c r="K41" s="48"/>
      <c r="L41" s="48"/>
      <c r="M41" s="48"/>
      <c r="N41" s="48"/>
      <c r="O41" s="48"/>
      <c r="P41" s="48"/>
      <c r="Q41" s="104" t="e">
        <f>#REF!</f>
        <v>#REF!</v>
      </c>
      <c r="R41" s="105" t="e">
        <f>VLOOKUP($K$25,#REF!,31,FALSE)</f>
        <v>#REF!</v>
      </c>
      <c r="W41" s="43">
        <v>38</v>
      </c>
      <c r="X41" s="42">
        <v>0.64027777777777783</v>
      </c>
    </row>
    <row r="42" spans="1:24" x14ac:dyDescent="0.25">
      <c r="A42" s="201" t="e">
        <f>#REF!</f>
        <v>#REF!</v>
      </c>
      <c r="B42" s="201" t="e">
        <f>#REF!</f>
        <v>#REF!</v>
      </c>
      <c r="C42" s="203" t="e">
        <f>#REF!</f>
        <v>#REF!</v>
      </c>
      <c r="D42" s="203" t="e">
        <f>#REF!</f>
        <v>#REF!</v>
      </c>
      <c r="E42" s="203" t="e">
        <f>#REF!</f>
        <v>#REF!</v>
      </c>
      <c r="F42" s="203" t="e">
        <f>#REF!</f>
        <v>#REF!</v>
      </c>
      <c r="G42" s="201" t="e">
        <f>#REF!</f>
        <v>#REF!</v>
      </c>
      <c r="H42" s="97" t="e">
        <f>#REF!</f>
        <v>#REF!</v>
      </c>
      <c r="I42" s="101" t="e">
        <f>VLOOKUP($B$25,#REF!,32,FALSE)</f>
        <v>#REF!</v>
      </c>
      <c r="J42" s="201" t="e">
        <f>#REF!</f>
        <v>#REF!</v>
      </c>
      <c r="K42" s="201" t="e">
        <f>#REF!</f>
        <v>#REF!</v>
      </c>
      <c r="L42" s="203" t="e">
        <f>#REF!</f>
        <v>#REF!</v>
      </c>
      <c r="M42" s="203" t="e">
        <f>#REF!</f>
        <v>#REF!</v>
      </c>
      <c r="N42" s="203" t="e">
        <f>#REF!</f>
        <v>#REF!</v>
      </c>
      <c r="O42" s="203" t="e">
        <f>#REF!</f>
        <v>#REF!</v>
      </c>
      <c r="P42" s="201" t="e">
        <f>#REF!</f>
        <v>#REF!</v>
      </c>
      <c r="Q42" s="104" t="e">
        <f>#REF!</f>
        <v>#REF!</v>
      </c>
      <c r="R42" s="108" t="e">
        <f>VLOOKUP($K$25,#REF!,32,FALSE)</f>
        <v>#REF!</v>
      </c>
      <c r="T42" s="43"/>
      <c r="W42" s="43">
        <v>39</v>
      </c>
      <c r="X42" s="42">
        <v>0.65</v>
      </c>
    </row>
    <row r="43" spans="1:24" x14ac:dyDescent="0.25">
      <c r="A43" s="202"/>
      <c r="B43" s="202"/>
      <c r="C43" s="202"/>
      <c r="D43" s="202"/>
      <c r="E43" s="202"/>
      <c r="F43" s="202"/>
      <c r="G43" s="202"/>
      <c r="H43" s="97" t="e">
        <f>#REF!</f>
        <v>#REF!</v>
      </c>
      <c r="I43" s="101" t="e">
        <f>VLOOKUP($B$25,#REF!,33,FALSE)</f>
        <v>#REF!</v>
      </c>
      <c r="J43" s="202"/>
      <c r="K43" s="202"/>
      <c r="L43" s="202"/>
      <c r="M43" s="202"/>
      <c r="N43" s="202"/>
      <c r="O43" s="202"/>
      <c r="P43" s="202"/>
      <c r="Q43" s="104" t="e">
        <f>#REF!</f>
        <v>#REF!</v>
      </c>
      <c r="R43" s="108" t="e">
        <f>VLOOKUP($K$25,#REF!,33,FALSE)</f>
        <v>#REF!</v>
      </c>
      <c r="T43" s="43"/>
      <c r="W43" s="43">
        <v>40</v>
      </c>
      <c r="X43" s="42">
        <v>0.65486111111111112</v>
      </c>
    </row>
    <row r="44" spans="1:24" x14ac:dyDescent="0.25">
      <c r="A44" s="115" t="e">
        <f>VLOOKUP($B$25,#REF!,39,FALSE)</f>
        <v>#REF!</v>
      </c>
      <c r="B44" s="111" t="e">
        <f>VLOOKUP($B$25,#REF!,2,FALSE)</f>
        <v>#REF!</v>
      </c>
      <c r="C44" s="111" t="e">
        <f>VLOOKUP($B$25,#REF!,4,FALSE)</f>
        <v>#REF!</v>
      </c>
      <c r="D44" s="111" t="e">
        <f>VLOOKUP($B$25,#REF!,5,FALSE)</f>
        <v>#REF!</v>
      </c>
      <c r="E44" s="111" t="e">
        <f>VLOOKUP($B$25,#REF!,6,FALSE)</f>
        <v>#REF!</v>
      </c>
      <c r="F44" s="111" t="e">
        <f>VLOOKUP($B$25,#REF!,7,FALSE)</f>
        <v>#REF!</v>
      </c>
      <c r="G44" s="111" t="e">
        <f>VLOOKUP($B$25,#REF!,7,FALSE)</f>
        <v>#REF!</v>
      </c>
      <c r="H44" s="97" t="e">
        <f>#REF!</f>
        <v>#REF!</v>
      </c>
      <c r="I44" s="101" t="e">
        <f>VLOOKUP($B$25,#REF!,34,FALSE)</f>
        <v>#REF!</v>
      </c>
      <c r="J44" s="115" t="e">
        <f>VLOOKUP($K$3,#REF!,39,FALSE)</f>
        <v>#REF!</v>
      </c>
      <c r="K44" s="111" t="e">
        <f>VLOOKUP($K$3,#REF!,2,FALSE)</f>
        <v>#REF!</v>
      </c>
      <c r="L44" s="111" t="e">
        <f>VLOOKUP($K$3,#REF!,4,FALSE)</f>
        <v>#REF!</v>
      </c>
      <c r="M44" s="111" t="e">
        <f>VLOOKUP($K$3,#REF!,5,FALSE)</f>
        <v>#REF!</v>
      </c>
      <c r="N44" s="111" t="e">
        <f>VLOOKUP($K$3,#REF!,6,FALSE)</f>
        <v>#REF!</v>
      </c>
      <c r="O44" s="111" t="e">
        <f>VLOOKUP($K$3,#REF!,7,FALSE)</f>
        <v>#REF!</v>
      </c>
      <c r="P44" s="111" t="e">
        <f>VLOOKUP($K$3,#REF!,7,FALSE)</f>
        <v>#REF!</v>
      </c>
      <c r="Q44" s="104" t="e">
        <f>#REF!</f>
        <v>#REF!</v>
      </c>
      <c r="R44" s="108" t="e">
        <f>VLOOKUP($K$3,#REF!,34,FALSE)</f>
        <v>#REF!</v>
      </c>
      <c r="T44" s="43"/>
      <c r="W44" s="43">
        <v>41</v>
      </c>
      <c r="X44" s="42">
        <v>0.65972222222222221</v>
      </c>
    </row>
    <row r="45" spans="1:24" ht="15.75" thickBot="1" x14ac:dyDescent="0.3">
      <c r="A45" s="86"/>
      <c r="B45" s="71"/>
      <c r="C45" s="71"/>
      <c r="D45" s="71"/>
      <c r="E45" s="71"/>
      <c r="F45" s="71"/>
      <c r="G45" s="71"/>
      <c r="H45" s="102" t="e">
        <f>#REF!</f>
        <v>#REF!</v>
      </c>
      <c r="I45" s="103" t="e">
        <f>VLOOKUP($B$25,#REF!,35,FALSE)</f>
        <v>#REF!</v>
      </c>
      <c r="J45" s="86"/>
      <c r="K45" s="71"/>
      <c r="L45" s="71"/>
      <c r="M45" s="71"/>
      <c r="N45" s="71"/>
      <c r="O45" s="71"/>
      <c r="P45" s="71"/>
      <c r="Q45" s="109" t="e">
        <f>#REF!</f>
        <v>#REF!</v>
      </c>
      <c r="R45" s="110" t="e">
        <f>VLOOKUP($K$3,#REF!,35,FALSE)</f>
        <v>#REF!</v>
      </c>
      <c r="T45" s="43"/>
      <c r="W45" s="43">
        <v>42</v>
      </c>
      <c r="X45" s="42">
        <v>0.6645833333333333</v>
      </c>
    </row>
    <row r="46" spans="1:24" ht="15.75" thickBot="1" x14ac:dyDescent="0.3">
      <c r="A46" s="197"/>
      <c r="B46" s="196"/>
      <c r="C46" s="196"/>
      <c r="D46" s="196"/>
      <c r="E46" s="196"/>
      <c r="F46" s="196"/>
      <c r="G46" s="196"/>
      <c r="H46" s="196"/>
      <c r="I46" s="196"/>
      <c r="J46" s="92"/>
      <c r="K46" s="91"/>
      <c r="L46" s="91"/>
      <c r="M46" s="91"/>
      <c r="N46" s="91"/>
      <c r="O46" s="91"/>
      <c r="P46" s="91"/>
      <c r="Q46" s="91"/>
      <c r="R46" s="93"/>
      <c r="T46" s="43"/>
      <c r="W46" s="43">
        <v>43</v>
      </c>
      <c r="X46" s="42">
        <v>0.67083333333333339</v>
      </c>
    </row>
    <row r="47" spans="1:24" ht="19.5" customHeight="1" thickBot="1" x14ac:dyDescent="0.35">
      <c r="A47" s="198" t="s">
        <v>82</v>
      </c>
      <c r="B47" s="85">
        <f>T7</f>
        <v>3180</v>
      </c>
      <c r="C47" s="52" t="e">
        <f>#REF!</f>
        <v>#REF!</v>
      </c>
      <c r="D47" s="53"/>
      <c r="E47" s="53"/>
      <c r="F47" s="53" t="e">
        <f>VLOOKUP($B$3,#REF!,10,FALSE)</f>
        <v>#REF!</v>
      </c>
      <c r="G47" s="53"/>
      <c r="H47" s="53" t="e">
        <f>#REF!</f>
        <v>#REF!</v>
      </c>
      <c r="I47" s="49" t="e">
        <f>VLOOKUP($B$47,#REF!,2,FALSE)</f>
        <v>#REF!</v>
      </c>
      <c r="J47" s="205" t="s">
        <v>86</v>
      </c>
      <c r="K47" s="90">
        <f>T10</f>
        <v>3272</v>
      </c>
      <c r="L47" s="52" t="e">
        <f>#REF!</f>
        <v>#REF!</v>
      </c>
      <c r="M47" s="53"/>
      <c r="N47" s="53"/>
      <c r="O47" s="53" t="e">
        <f>VLOOKUP($B$3,#REF!,10,FALSE)</f>
        <v>#REF!</v>
      </c>
      <c r="P47" s="53"/>
      <c r="Q47" s="53" t="e">
        <f>#REF!</f>
        <v>#REF!</v>
      </c>
      <c r="R47" s="49" t="e">
        <f>VLOOKUP($K$47,#REF!,2,FALSE)</f>
        <v>#REF!</v>
      </c>
      <c r="T47" s="43"/>
      <c r="W47" s="43">
        <v>44</v>
      </c>
      <c r="X47" s="42">
        <v>0.67499999999999993</v>
      </c>
    </row>
    <row r="48" spans="1:24" x14ac:dyDescent="0.25">
      <c r="A48" s="199"/>
      <c r="B48" s="47" t="b">
        <f>GetPic(B47)</f>
        <v>0</v>
      </c>
      <c r="C48" s="47"/>
      <c r="D48" s="47"/>
      <c r="E48" s="47"/>
      <c r="F48" s="47"/>
      <c r="G48" s="47"/>
      <c r="H48" s="51" t="e">
        <f>#REF!</f>
        <v>#REF!</v>
      </c>
      <c r="I48" s="55" t="e">
        <f>VLOOKUP($B$47,#REF!,14,FALSE)</f>
        <v>#REF!</v>
      </c>
      <c r="J48" s="199"/>
      <c r="K48" s="47" t="b">
        <f>GetPic(K47)</f>
        <v>0</v>
      </c>
      <c r="L48" s="47"/>
      <c r="M48" s="47"/>
      <c r="N48" s="47"/>
      <c r="O48" s="47"/>
      <c r="P48" s="47"/>
      <c r="Q48" s="51" t="e">
        <f>#REF!</f>
        <v>#REF!</v>
      </c>
      <c r="R48" s="55" t="e">
        <f>VLOOKUP($K$47,#REF!,14,FALSE)</f>
        <v>#REF!</v>
      </c>
      <c r="W48" s="43">
        <v>45</v>
      </c>
      <c r="X48" s="42">
        <v>0.68055555555555547</v>
      </c>
    </row>
    <row r="49" spans="1:24" x14ac:dyDescent="0.25">
      <c r="A49" s="199"/>
      <c r="B49" s="48"/>
      <c r="C49" s="48"/>
      <c r="D49" s="48"/>
      <c r="E49" s="48"/>
      <c r="F49" s="48"/>
      <c r="G49" s="48"/>
      <c r="H49" s="51" t="e">
        <f>#REF!</f>
        <v>#REF!</v>
      </c>
      <c r="I49" s="55" t="e">
        <f>VLOOKUP($B$47,#REF!,3,FALSE)</f>
        <v>#REF!</v>
      </c>
      <c r="J49" s="199"/>
      <c r="K49" s="48"/>
      <c r="L49" s="48"/>
      <c r="M49" s="48"/>
      <c r="N49" s="48"/>
      <c r="O49" s="48"/>
      <c r="P49" s="48"/>
      <c r="Q49" s="51" t="e">
        <f>#REF!</f>
        <v>#REF!</v>
      </c>
      <c r="R49" s="55" t="e">
        <f>VLOOKUP($K$47,#REF!,3,FALSE)</f>
        <v>#REF!</v>
      </c>
      <c r="W49" s="43">
        <v>46</v>
      </c>
      <c r="X49" s="42">
        <v>0.6875</v>
      </c>
    </row>
    <row r="50" spans="1:24" x14ac:dyDescent="0.25">
      <c r="A50" s="199"/>
      <c r="B50" s="48"/>
      <c r="C50" s="48"/>
      <c r="D50" s="48"/>
      <c r="E50" s="48"/>
      <c r="F50" s="48"/>
      <c r="G50" s="48"/>
      <c r="H50" s="51" t="e">
        <f>#REF!</f>
        <v>#REF!</v>
      </c>
      <c r="I50" s="55" t="e">
        <f>VLOOKUP($B$47,#REF!,4,FALSE)</f>
        <v>#REF!</v>
      </c>
      <c r="J50" s="199"/>
      <c r="K50" s="48"/>
      <c r="L50" s="48"/>
      <c r="M50" s="48"/>
      <c r="N50" s="48"/>
      <c r="O50" s="48"/>
      <c r="P50" s="48"/>
      <c r="Q50" s="51" t="e">
        <f>#REF!</f>
        <v>#REF!</v>
      </c>
      <c r="R50" s="55" t="e">
        <f>VLOOKUP($K$47,#REF!,4,FALSE)</f>
        <v>#REF!</v>
      </c>
      <c r="W50" s="43">
        <v>47</v>
      </c>
      <c r="X50" s="42">
        <v>0.69166666666666676</v>
      </c>
    </row>
    <row r="51" spans="1:24" x14ac:dyDescent="0.25">
      <c r="A51" s="199"/>
      <c r="B51" s="48"/>
      <c r="C51" s="48"/>
      <c r="D51" s="48"/>
      <c r="E51" s="48"/>
      <c r="F51" s="48"/>
      <c r="G51" s="48"/>
      <c r="H51" s="51" t="e">
        <f>#REF!</f>
        <v>#REF!</v>
      </c>
      <c r="I51" s="55" t="e">
        <f>VLOOKUP($B$47,#REF!,5,FALSE)</f>
        <v>#REF!</v>
      </c>
      <c r="J51" s="199"/>
      <c r="K51" s="48"/>
      <c r="L51" s="48"/>
      <c r="M51" s="48"/>
      <c r="N51" s="48"/>
      <c r="O51" s="48"/>
      <c r="P51" s="48"/>
      <c r="Q51" s="51" t="e">
        <f>#REF!</f>
        <v>#REF!</v>
      </c>
      <c r="R51" s="55" t="e">
        <f>VLOOKUP($K$47,#REF!,5,FALSE)</f>
        <v>#REF!</v>
      </c>
      <c r="W51" s="43">
        <v>48</v>
      </c>
      <c r="X51" s="42">
        <v>0.6958333333333333</v>
      </c>
    </row>
    <row r="52" spans="1:24" x14ac:dyDescent="0.25">
      <c r="A52" s="199"/>
      <c r="B52" s="48"/>
      <c r="C52" s="48"/>
      <c r="D52" s="48"/>
      <c r="E52" s="48"/>
      <c r="F52" s="48"/>
      <c r="G52" s="48"/>
      <c r="H52" s="51" t="e">
        <f>#REF!</f>
        <v>#REF!</v>
      </c>
      <c r="I52" s="55" t="e">
        <f>VLOOKUP($B$47,#REF!,6,FALSE)</f>
        <v>#REF!</v>
      </c>
      <c r="J52" s="199"/>
      <c r="K52" s="48"/>
      <c r="L52" s="48"/>
      <c r="M52" s="48"/>
      <c r="N52" s="48"/>
      <c r="O52" s="48"/>
      <c r="P52" s="48"/>
      <c r="Q52" s="51" t="e">
        <f>#REF!</f>
        <v>#REF!</v>
      </c>
      <c r="R52" s="55" t="e">
        <f>VLOOKUP($K$47,#REF!,6,FALSE)</f>
        <v>#REF!</v>
      </c>
      <c r="W52" s="43">
        <v>49</v>
      </c>
      <c r="X52" s="42">
        <v>0.7006944444444444</v>
      </c>
    </row>
    <row r="53" spans="1:24" x14ac:dyDescent="0.25">
      <c r="A53" s="199"/>
      <c r="B53" s="48"/>
      <c r="C53" s="48"/>
      <c r="D53" s="48"/>
      <c r="E53" s="48"/>
      <c r="F53" s="48"/>
      <c r="G53" s="48"/>
      <c r="H53" s="51" t="e">
        <f>#REF!</f>
        <v>#REF!</v>
      </c>
      <c r="I53" s="55" t="e">
        <f>VLOOKUP($B$47,#REF!,7,FALSE)</f>
        <v>#REF!</v>
      </c>
      <c r="J53" s="199"/>
      <c r="K53" s="48"/>
      <c r="L53" s="48"/>
      <c r="M53" s="48"/>
      <c r="N53" s="48">
        <f>N25</f>
        <v>0</v>
      </c>
      <c r="O53" s="48"/>
      <c r="P53" s="48"/>
      <c r="Q53" s="51" t="e">
        <f>#REF!</f>
        <v>#REF!</v>
      </c>
      <c r="R53" s="55" t="e">
        <f>VLOOKUP($K$47,#REF!,7,FALSE)</f>
        <v>#REF!</v>
      </c>
      <c r="W53" s="43">
        <v>50</v>
      </c>
      <c r="X53" s="42">
        <v>0.7055555555555556</v>
      </c>
    </row>
    <row r="54" spans="1:24" x14ac:dyDescent="0.25">
      <c r="A54" s="199"/>
      <c r="B54" s="48"/>
      <c r="C54" s="48"/>
      <c r="D54" s="48"/>
      <c r="E54" s="48"/>
      <c r="F54" s="48"/>
      <c r="G54" s="48"/>
      <c r="H54" s="51" t="e">
        <f>#REF!</f>
        <v>#REF!</v>
      </c>
      <c r="I54" s="55" t="e">
        <f>VLOOKUP($B$47,#REF!,8,FALSE)</f>
        <v>#REF!</v>
      </c>
      <c r="J54" s="199"/>
      <c r="K54" s="48"/>
      <c r="L54" s="48"/>
      <c r="M54" s="48"/>
      <c r="N54" s="48"/>
      <c r="O54" s="48"/>
      <c r="P54" s="48"/>
      <c r="Q54" s="51" t="e">
        <f>#REF!</f>
        <v>#REF!</v>
      </c>
      <c r="R54" s="55" t="e">
        <f>VLOOKUP($K$47,#REF!,8,FALSE)</f>
        <v>#REF!</v>
      </c>
      <c r="W54" s="43">
        <v>51</v>
      </c>
      <c r="X54" s="42">
        <v>0.7104166666666667</v>
      </c>
    </row>
    <row r="55" spans="1:24" x14ac:dyDescent="0.25">
      <c r="A55" s="199"/>
      <c r="B55" s="48"/>
      <c r="C55" s="48"/>
      <c r="D55" s="48"/>
      <c r="E55" s="48"/>
      <c r="F55" s="48"/>
      <c r="G55" s="48"/>
      <c r="H55" s="51" t="e">
        <f>#REF!</f>
        <v>#REF!</v>
      </c>
      <c r="I55" s="55" t="e">
        <f>VLOOKUP($B$47,#REF!,9,FALSE)</f>
        <v>#REF!</v>
      </c>
      <c r="J55" s="199"/>
      <c r="K55" s="48"/>
      <c r="L55" s="48"/>
      <c r="M55" s="48"/>
      <c r="N55" s="48"/>
      <c r="O55" s="48"/>
      <c r="P55" s="48"/>
      <c r="Q55" s="51" t="e">
        <f>#REF!</f>
        <v>#REF!</v>
      </c>
      <c r="R55" s="55" t="e">
        <f>VLOOKUP($K$47,#REF!,9,FALSE)</f>
        <v>#REF!</v>
      </c>
      <c r="W55" s="43">
        <v>52</v>
      </c>
      <c r="X55" s="42">
        <v>0.71388888888888891</v>
      </c>
    </row>
    <row r="56" spans="1:24" x14ac:dyDescent="0.25">
      <c r="A56" s="199"/>
      <c r="B56" s="48"/>
      <c r="C56" s="48"/>
      <c r="D56" s="48"/>
      <c r="E56" s="48"/>
      <c r="F56" s="48"/>
      <c r="G56" s="48"/>
      <c r="H56" s="97" t="e">
        <f>#REF!</f>
        <v>#REF!</v>
      </c>
      <c r="I56" s="98" t="e">
        <f>VLOOKUP($B$47,#REF!,17,FALSE)</f>
        <v>#REF!</v>
      </c>
      <c r="J56" s="199"/>
      <c r="K56" s="48"/>
      <c r="L56" s="48"/>
      <c r="M56" s="48"/>
      <c r="N56" s="48"/>
      <c r="O56" s="48"/>
      <c r="P56" s="48"/>
      <c r="Q56" s="104" t="e">
        <f>#REF!</f>
        <v>#REF!</v>
      </c>
      <c r="R56" s="105" t="e">
        <f>VLOOKUP($K$47,#REF!,17,FALSE)</f>
        <v>#REF!</v>
      </c>
      <c r="W56" s="43">
        <v>53</v>
      </c>
      <c r="X56" s="42">
        <v>0.71875</v>
      </c>
    </row>
    <row r="57" spans="1:24" x14ac:dyDescent="0.25">
      <c r="A57" s="199"/>
      <c r="B57" s="48"/>
      <c r="C57" s="48"/>
      <c r="D57" s="48"/>
      <c r="E57" s="48"/>
      <c r="F57" s="48"/>
      <c r="G57" s="48"/>
      <c r="H57" s="97" t="e">
        <f>#REF!</f>
        <v>#REF!</v>
      </c>
      <c r="I57" s="98" t="e">
        <f>VLOOKUP($B$47,#REF!,18,FALSE)</f>
        <v>#REF!</v>
      </c>
      <c r="J57" s="199"/>
      <c r="K57" s="48"/>
      <c r="L57" s="48"/>
      <c r="M57" s="48"/>
      <c r="N57" s="48"/>
      <c r="O57" s="48"/>
      <c r="P57" s="48"/>
      <c r="Q57" s="104" t="e">
        <f>#REF!</f>
        <v>#REF!</v>
      </c>
      <c r="R57" s="105" t="e">
        <f>VLOOKUP($K$47,#REF!,18,FALSE)</f>
        <v>#REF!</v>
      </c>
      <c r="W57" s="43">
        <v>54</v>
      </c>
      <c r="X57" s="42">
        <v>0.72361111111111109</v>
      </c>
    </row>
    <row r="58" spans="1:24" x14ac:dyDescent="0.25">
      <c r="A58" s="199"/>
      <c r="B58" s="48"/>
      <c r="C58" s="48"/>
      <c r="D58" s="48"/>
      <c r="E58" s="48"/>
      <c r="F58" s="48"/>
      <c r="G58" s="48"/>
      <c r="H58" s="99" t="e">
        <f>#REF!</f>
        <v>#REF!</v>
      </c>
      <c r="I58" s="98" t="e">
        <f>VLOOKUP($B$47,#REF!,26,FALSE)</f>
        <v>#REF!</v>
      </c>
      <c r="J58" s="199"/>
      <c r="K58" s="48"/>
      <c r="L58" s="48"/>
      <c r="M58" s="48"/>
      <c r="N58" s="48"/>
      <c r="O58" s="48"/>
      <c r="P58" s="48"/>
      <c r="Q58" s="106" t="e">
        <f>#REF!</f>
        <v>#REF!</v>
      </c>
      <c r="R58" s="105" t="e">
        <f>VLOOKUP($K$47,#REF!,26,FALSE)</f>
        <v>#REF!</v>
      </c>
      <c r="W58" s="43">
        <v>55</v>
      </c>
      <c r="X58" s="42">
        <v>0.72916666666666663</v>
      </c>
    </row>
    <row r="59" spans="1:24" x14ac:dyDescent="0.25">
      <c r="A59" s="199"/>
      <c r="B59" s="48"/>
      <c r="C59" s="48"/>
      <c r="D59" s="48"/>
      <c r="E59" s="48"/>
      <c r="F59" s="48"/>
      <c r="G59" s="48"/>
      <c r="H59" s="97" t="e">
        <f>#REF!</f>
        <v>#REF!</v>
      </c>
      <c r="I59" s="98" t="e">
        <f>VLOOKUP($B$47,#REF!,27,FALSE)</f>
        <v>#REF!</v>
      </c>
      <c r="J59" s="199"/>
      <c r="K59" s="48"/>
      <c r="L59" s="48"/>
      <c r="M59" s="48"/>
      <c r="N59" s="48"/>
      <c r="O59" s="48"/>
      <c r="P59" s="48"/>
      <c r="Q59" s="104" t="e">
        <f>#REF!</f>
        <v>#REF!</v>
      </c>
      <c r="R59" s="105" t="e">
        <f>VLOOKUP($K$47,#REF!,27,FALSE)</f>
        <v>#REF!</v>
      </c>
      <c r="W59" s="43">
        <v>56</v>
      </c>
      <c r="X59" s="42">
        <v>0.73541666666666661</v>
      </c>
    </row>
    <row r="60" spans="1:24" x14ac:dyDescent="0.25">
      <c r="A60" s="199"/>
      <c r="B60" s="48"/>
      <c r="C60" s="48"/>
      <c r="D60" s="48"/>
      <c r="E60" s="48"/>
      <c r="F60" s="48"/>
      <c r="G60" s="48"/>
      <c r="H60" s="97" t="e">
        <f>#REF!</f>
        <v>#REF!</v>
      </c>
      <c r="I60" s="98" t="e">
        <f>VLOOKUP($B$47,#REF!,28,FALSE)</f>
        <v>#REF!</v>
      </c>
      <c r="J60" s="199"/>
      <c r="K60" s="48"/>
      <c r="L60" s="48"/>
      <c r="M60" s="48"/>
      <c r="N60" s="48"/>
      <c r="O60" s="48"/>
      <c r="P60" s="48"/>
      <c r="Q60" s="104" t="e">
        <f>#REF!</f>
        <v>#REF!</v>
      </c>
      <c r="R60" s="105" t="e">
        <f>VLOOKUP($K$47,#REF!,28,FALSE)</f>
        <v>#REF!</v>
      </c>
      <c r="W60" s="43">
        <v>57</v>
      </c>
      <c r="X60" s="42">
        <v>0.74097222222222225</v>
      </c>
    </row>
    <row r="61" spans="1:24" x14ac:dyDescent="0.25">
      <c r="A61" s="199"/>
      <c r="B61" s="72"/>
      <c r="C61" s="72"/>
      <c r="D61" s="72"/>
      <c r="E61" s="72"/>
      <c r="F61" s="72"/>
      <c r="G61" s="72"/>
      <c r="H61" s="99" t="e">
        <f>#REF!</f>
        <v>#REF!</v>
      </c>
      <c r="I61" s="100" t="e">
        <f>VLOOKUP($B$47,#REF!,29,FALSE)</f>
        <v>#REF!</v>
      </c>
      <c r="J61" s="199"/>
      <c r="K61" s="72"/>
      <c r="L61" s="72"/>
      <c r="M61" s="72"/>
      <c r="N61" s="72"/>
      <c r="O61" s="72"/>
      <c r="P61" s="72"/>
      <c r="Q61" s="106" t="e">
        <f>#REF!</f>
        <v>#REF!</v>
      </c>
      <c r="R61" s="107" t="e">
        <f>VLOOKUP($K$47,#REF!,29,FALSE)</f>
        <v>#REF!</v>
      </c>
      <c r="W61" s="43">
        <v>58</v>
      </c>
      <c r="X61" s="42">
        <v>0.74652777777777779</v>
      </c>
    </row>
    <row r="62" spans="1:24" x14ac:dyDescent="0.25">
      <c r="A62" s="199"/>
      <c r="B62" s="48"/>
      <c r="C62" s="48"/>
      <c r="D62" s="48"/>
      <c r="E62" s="48"/>
      <c r="F62" s="48"/>
      <c r="G62" s="48"/>
      <c r="H62" s="97" t="e">
        <f>#REF!</f>
        <v>#REF!</v>
      </c>
      <c r="I62" s="98" t="e">
        <f>VLOOKUP($B$47,#REF!,30,FALSE)</f>
        <v>#REF!</v>
      </c>
      <c r="J62" s="199"/>
      <c r="K62" s="48"/>
      <c r="L62" s="48"/>
      <c r="M62" s="48"/>
      <c r="N62" s="48"/>
      <c r="O62" s="48"/>
      <c r="P62" s="48"/>
      <c r="Q62" s="104" t="e">
        <f>#REF!</f>
        <v>#REF!</v>
      </c>
      <c r="R62" s="105" t="e">
        <f>VLOOKUP($K$47,#REF!,30,FALSE)</f>
        <v>#REF!</v>
      </c>
      <c r="W62" s="43">
        <v>59</v>
      </c>
      <c r="X62" s="42">
        <v>0.75138888888888899</v>
      </c>
    </row>
    <row r="63" spans="1:24" ht="15.75" thickBot="1" x14ac:dyDescent="0.3">
      <c r="A63" s="200"/>
      <c r="B63" s="48"/>
      <c r="C63" s="48"/>
      <c r="D63" s="48"/>
      <c r="E63" s="48"/>
      <c r="F63" s="48"/>
      <c r="G63" s="48"/>
      <c r="H63" s="97" t="e">
        <f>#REF!</f>
        <v>#REF!</v>
      </c>
      <c r="I63" s="98" t="e">
        <f>VLOOKUP($B$47,#REF!,31,FALSE)</f>
        <v>#REF!</v>
      </c>
      <c r="J63" s="200"/>
      <c r="K63" s="48"/>
      <c r="L63" s="48"/>
      <c r="M63" s="48"/>
      <c r="N63" s="48"/>
      <c r="O63" s="48"/>
      <c r="P63" s="48"/>
      <c r="Q63" s="104" t="e">
        <f>#REF!</f>
        <v>#REF!</v>
      </c>
      <c r="R63" s="105" t="e">
        <f>VLOOKUP($K$47,#REF!,31,FALSE)</f>
        <v>#REF!</v>
      </c>
      <c r="W63" s="43">
        <v>60</v>
      </c>
      <c r="X63" s="42">
        <v>0.75555555555555554</v>
      </c>
    </row>
    <row r="64" spans="1:24" x14ac:dyDescent="0.25">
      <c r="A64" s="201" t="e">
        <f>#REF!</f>
        <v>#REF!</v>
      </c>
      <c r="B64" s="201" t="e">
        <f>#REF!</f>
        <v>#REF!</v>
      </c>
      <c r="C64" s="203" t="e">
        <f>#REF!</f>
        <v>#REF!</v>
      </c>
      <c r="D64" s="203" t="e">
        <f>#REF!</f>
        <v>#REF!</v>
      </c>
      <c r="E64" s="203" t="e">
        <f>#REF!</f>
        <v>#REF!</v>
      </c>
      <c r="F64" s="203" t="e">
        <f>#REF!</f>
        <v>#REF!</v>
      </c>
      <c r="G64" s="201" t="e">
        <f>#REF!</f>
        <v>#REF!</v>
      </c>
      <c r="H64" s="97" t="e">
        <f>#REF!</f>
        <v>#REF!</v>
      </c>
      <c r="I64" s="101" t="e">
        <f>VLOOKUP($B$47,#REF!,32,FALSE)</f>
        <v>#REF!</v>
      </c>
      <c r="J64" s="201" t="e">
        <f>#REF!</f>
        <v>#REF!</v>
      </c>
      <c r="K64" s="201" t="e">
        <f>#REF!</f>
        <v>#REF!</v>
      </c>
      <c r="L64" s="203" t="e">
        <f>#REF!</f>
        <v>#REF!</v>
      </c>
      <c r="M64" s="203" t="e">
        <f>#REF!</f>
        <v>#REF!</v>
      </c>
      <c r="N64" s="203" t="e">
        <f>#REF!</f>
        <v>#REF!</v>
      </c>
      <c r="O64" s="203" t="e">
        <f>#REF!</f>
        <v>#REF!</v>
      </c>
      <c r="P64" s="201" t="e">
        <f>#REF!</f>
        <v>#REF!</v>
      </c>
      <c r="Q64" s="104" t="e">
        <f>#REF!</f>
        <v>#REF!</v>
      </c>
      <c r="R64" s="108" t="e">
        <f>VLOOKUP($K$47,#REF!,32,FALSE)</f>
        <v>#REF!</v>
      </c>
      <c r="W64" s="43">
        <v>61</v>
      </c>
      <c r="X64" s="42">
        <v>0.76041666666666663</v>
      </c>
    </row>
    <row r="65" spans="1:24" x14ac:dyDescent="0.25">
      <c r="A65" s="202"/>
      <c r="B65" s="202"/>
      <c r="C65" s="202"/>
      <c r="D65" s="202"/>
      <c r="E65" s="202"/>
      <c r="F65" s="202"/>
      <c r="G65" s="202"/>
      <c r="H65" s="97" t="e">
        <f>#REF!</f>
        <v>#REF!</v>
      </c>
      <c r="I65" s="101" t="e">
        <f>VLOOKUP($B$47,#REF!,33,FALSE)</f>
        <v>#REF!</v>
      </c>
      <c r="J65" s="202"/>
      <c r="K65" s="202"/>
      <c r="L65" s="202"/>
      <c r="M65" s="202"/>
      <c r="N65" s="202"/>
      <c r="O65" s="202"/>
      <c r="P65" s="202"/>
      <c r="Q65" s="104" t="e">
        <f>#REF!</f>
        <v>#REF!</v>
      </c>
      <c r="R65" s="108" t="e">
        <f>VLOOKUP($K$47,#REF!,33,FALSE)</f>
        <v>#REF!</v>
      </c>
      <c r="W65" s="43">
        <v>62</v>
      </c>
      <c r="X65" s="42">
        <v>0.375</v>
      </c>
    </row>
    <row r="66" spans="1:24" x14ac:dyDescent="0.25">
      <c r="A66" s="115" t="e">
        <f>VLOOKUP($B$47,#REF!,39,FALSE)</f>
        <v>#REF!</v>
      </c>
      <c r="B66" s="111" t="e">
        <f>VLOOKUP($B$47,#REF!,2,FALSE)</f>
        <v>#REF!</v>
      </c>
      <c r="C66" s="111" t="e">
        <f>VLOOKUP($B$47,#REF!,4,FALSE)</f>
        <v>#REF!</v>
      </c>
      <c r="D66" s="111" t="e">
        <f>VLOOKUP($B$47,#REF!,5,FALSE)</f>
        <v>#REF!</v>
      </c>
      <c r="E66" s="111" t="e">
        <f>VLOOKUP($B$47,#REF!,6,FALSE)</f>
        <v>#REF!</v>
      </c>
      <c r="F66" s="111" t="e">
        <f>VLOOKUP($B$47,#REF!,7,FALSE)</f>
        <v>#REF!</v>
      </c>
      <c r="G66" s="111" t="e">
        <f>VLOOKUP($B$47,#REF!,7,FALSE)</f>
        <v>#REF!</v>
      </c>
      <c r="H66" s="97" t="e">
        <f>#REF!</f>
        <v>#REF!</v>
      </c>
      <c r="I66" s="101" t="e">
        <f>VLOOKUP($B$47,#REF!,34,FALSE)</f>
        <v>#REF!</v>
      </c>
      <c r="J66" s="115" t="e">
        <f>VLOOKUP($K$3,#REF!,39,FALSE)</f>
        <v>#REF!</v>
      </c>
      <c r="K66" s="111" t="e">
        <f>VLOOKUP($K$3,#REF!,2,FALSE)</f>
        <v>#REF!</v>
      </c>
      <c r="L66" s="111" t="e">
        <f>VLOOKUP($K$3,#REF!,4,FALSE)</f>
        <v>#REF!</v>
      </c>
      <c r="M66" s="111" t="e">
        <f>VLOOKUP($K$3,#REF!,5,FALSE)</f>
        <v>#REF!</v>
      </c>
      <c r="N66" s="111" t="e">
        <f>VLOOKUP($K$3,#REF!,6,FALSE)</f>
        <v>#REF!</v>
      </c>
      <c r="O66" s="111" t="e">
        <f>VLOOKUP($K$3,#REF!,7,FALSE)</f>
        <v>#REF!</v>
      </c>
      <c r="P66" s="111" t="e">
        <f>VLOOKUP($K$3,#REF!,7,FALSE)</f>
        <v>#REF!</v>
      </c>
      <c r="Q66" s="104" t="e">
        <f>#REF!</f>
        <v>#REF!</v>
      </c>
      <c r="R66" s="108" t="e">
        <f>VLOOKUP($K$47,#REF!,34,FALSE)</f>
        <v>#REF!</v>
      </c>
      <c r="W66" s="43">
        <v>63</v>
      </c>
      <c r="X66" s="42">
        <v>0.37361111111111112</v>
      </c>
    </row>
    <row r="67" spans="1:24" ht="15.75" thickBot="1" x14ac:dyDescent="0.3">
      <c r="A67" s="86"/>
      <c r="B67" s="71"/>
      <c r="C67" s="71"/>
      <c r="D67" s="71"/>
      <c r="E67" s="71"/>
      <c r="F67" s="71"/>
      <c r="G67" s="71"/>
      <c r="H67" s="102" t="e">
        <f>#REF!</f>
        <v>#REF!</v>
      </c>
      <c r="I67" s="103" t="e">
        <f>VLOOKUP($B$47,#REF!,35,FALSE)</f>
        <v>#REF!</v>
      </c>
      <c r="J67" s="86"/>
      <c r="K67" s="71"/>
      <c r="L67" s="71"/>
      <c r="M67" s="71"/>
      <c r="N67" s="71"/>
      <c r="O67" s="71"/>
      <c r="P67" s="71"/>
      <c r="Q67" s="109" t="e">
        <f>#REF!</f>
        <v>#REF!</v>
      </c>
      <c r="R67" s="110" t="e">
        <f>VLOOKUP($K$47,#REF!,35,FALSE)</f>
        <v>#REF!</v>
      </c>
      <c r="W67" s="43">
        <v>64</v>
      </c>
      <c r="X67" s="42">
        <v>0.37777777777777777</v>
      </c>
    </row>
    <row r="68" spans="1:24" x14ac:dyDescent="0.25">
      <c r="W68" s="43">
        <v>65</v>
      </c>
      <c r="X68" s="42">
        <v>0.38194444444444442</v>
      </c>
    </row>
    <row r="69" spans="1:24" x14ac:dyDescent="0.25">
      <c r="W69" s="43">
        <v>66</v>
      </c>
      <c r="X69" s="42">
        <v>0.38611111111111113</v>
      </c>
    </row>
    <row r="70" spans="1:24" x14ac:dyDescent="0.25">
      <c r="W70" s="43">
        <v>67</v>
      </c>
      <c r="X70" s="42">
        <v>0.39166666666666666</v>
      </c>
    </row>
    <row r="71" spans="1:24" x14ac:dyDescent="0.25">
      <c r="W71" s="43">
        <v>68</v>
      </c>
      <c r="X71" s="42">
        <v>0.39861111111111108</v>
      </c>
    </row>
    <row r="72" spans="1:24" x14ac:dyDescent="0.25">
      <c r="W72" s="43">
        <v>69</v>
      </c>
      <c r="X72" s="42">
        <v>0.40208333333333335</v>
      </c>
    </row>
    <row r="73" spans="1:24" x14ac:dyDescent="0.25">
      <c r="W73" s="43">
        <v>70</v>
      </c>
      <c r="X73" s="42">
        <v>0.40833333333333338</v>
      </c>
    </row>
    <row r="74" spans="1:24" x14ac:dyDescent="0.25">
      <c r="W74" s="43">
        <v>71</v>
      </c>
      <c r="X74" s="42">
        <v>0.41319444444444442</v>
      </c>
    </row>
    <row r="75" spans="1:24" x14ac:dyDescent="0.25">
      <c r="W75" s="43">
        <v>72</v>
      </c>
      <c r="X75" s="42">
        <v>0.41805555555555557</v>
      </c>
    </row>
    <row r="76" spans="1:24" x14ac:dyDescent="0.25">
      <c r="W76" s="43">
        <v>73</v>
      </c>
      <c r="X76" s="42">
        <v>0.42222222222222222</v>
      </c>
    </row>
    <row r="77" spans="1:24" x14ac:dyDescent="0.25">
      <c r="W77" s="43">
        <v>74</v>
      </c>
      <c r="X77" s="42">
        <v>0.4284722222222222</v>
      </c>
    </row>
    <row r="78" spans="1:24" x14ac:dyDescent="0.25">
      <c r="W78" s="43">
        <v>75</v>
      </c>
      <c r="X78" s="42">
        <v>0.43333333333333335</v>
      </c>
    </row>
    <row r="79" spans="1:24" x14ac:dyDescent="0.25">
      <c r="W79" s="43">
        <v>76</v>
      </c>
      <c r="X79" s="42">
        <v>0.4375</v>
      </c>
    </row>
    <row r="80" spans="1:24" x14ac:dyDescent="0.25">
      <c r="W80" s="43">
        <v>77</v>
      </c>
      <c r="X80" s="42">
        <v>0.44236111111111115</v>
      </c>
    </row>
    <row r="81" spans="23:24" x14ac:dyDescent="0.25">
      <c r="W81" s="43">
        <v>78</v>
      </c>
      <c r="X81" s="42">
        <v>0.45</v>
      </c>
    </row>
    <row r="82" spans="23:24" x14ac:dyDescent="0.25">
      <c r="W82" s="43">
        <v>79</v>
      </c>
      <c r="X82" s="42">
        <v>0.4548611111111111</v>
      </c>
    </row>
    <row r="83" spans="23:24" x14ac:dyDescent="0.25">
      <c r="W83" s="43">
        <v>80</v>
      </c>
      <c r="X83" s="42">
        <v>0.46180555555555558</v>
      </c>
    </row>
    <row r="84" spans="23:24" x14ac:dyDescent="0.25">
      <c r="W84" s="43">
        <v>81</v>
      </c>
      <c r="X84" s="42">
        <v>0.46597222222222223</v>
      </c>
    </row>
    <row r="85" spans="23:24" x14ac:dyDescent="0.25">
      <c r="W85" s="43">
        <v>82</v>
      </c>
      <c r="X85" s="42">
        <v>0.47013888888888888</v>
      </c>
    </row>
    <row r="86" spans="23:24" x14ac:dyDescent="0.25">
      <c r="W86" s="43">
        <v>83</v>
      </c>
      <c r="X86" s="42">
        <v>0.47500000000000003</v>
      </c>
    </row>
    <row r="87" spans="23:24" x14ac:dyDescent="0.25">
      <c r="W87" s="43">
        <v>84</v>
      </c>
      <c r="X87" s="42">
        <v>0.47916666666666669</v>
      </c>
    </row>
    <row r="88" spans="23:24" x14ac:dyDescent="0.25">
      <c r="W88" s="43">
        <v>85</v>
      </c>
      <c r="X88" s="42">
        <v>0.48333333333333334</v>
      </c>
    </row>
    <row r="89" spans="23:24" x14ac:dyDescent="0.25">
      <c r="W89" s="43">
        <v>86</v>
      </c>
      <c r="X89" s="42">
        <v>0.48749999999999999</v>
      </c>
    </row>
    <row r="90" spans="23:24" x14ac:dyDescent="0.25">
      <c r="W90" s="43">
        <v>87</v>
      </c>
      <c r="X90" s="42">
        <v>0.4909722222222222</v>
      </c>
    </row>
  </sheetData>
  <mergeCells count="53">
    <mergeCell ref="A64:A65"/>
    <mergeCell ref="O42:O43"/>
    <mergeCell ref="P42:P43"/>
    <mergeCell ref="K64:K65"/>
    <mergeCell ref="L64:L65"/>
    <mergeCell ref="M64:M65"/>
    <mergeCell ref="N64:N65"/>
    <mergeCell ref="O64:O65"/>
    <mergeCell ref="P64:P65"/>
    <mergeCell ref="G64:G65"/>
    <mergeCell ref="K42:K43"/>
    <mergeCell ref="L42:L43"/>
    <mergeCell ref="M42:M43"/>
    <mergeCell ref="N42:N43"/>
    <mergeCell ref="J42:J43"/>
    <mergeCell ref="J64:J65"/>
    <mergeCell ref="B64:B65"/>
    <mergeCell ref="C64:C65"/>
    <mergeCell ref="D64:D65"/>
    <mergeCell ref="E64:E65"/>
    <mergeCell ref="F64:F65"/>
    <mergeCell ref="A47:A63"/>
    <mergeCell ref="J2:R2"/>
    <mergeCell ref="J3:J19"/>
    <mergeCell ref="J25:J41"/>
    <mergeCell ref="J47:J63"/>
    <mergeCell ref="A20:A21"/>
    <mergeCell ref="C20:C21"/>
    <mergeCell ref="D20:D21"/>
    <mergeCell ref="E20:E21"/>
    <mergeCell ref="F20:F21"/>
    <mergeCell ref="G20:G21"/>
    <mergeCell ref="B20:B21"/>
    <mergeCell ref="J20:J21"/>
    <mergeCell ref="K20:K21"/>
    <mergeCell ref="A3:A19"/>
    <mergeCell ref="A2:I2"/>
    <mergeCell ref="Z3:AB3"/>
    <mergeCell ref="W3:X3"/>
    <mergeCell ref="A46:I46"/>
    <mergeCell ref="A25:A41"/>
    <mergeCell ref="B42:B43"/>
    <mergeCell ref="C42:C43"/>
    <mergeCell ref="D42:D43"/>
    <mergeCell ref="E42:E43"/>
    <mergeCell ref="F42:F43"/>
    <mergeCell ref="G42:G43"/>
    <mergeCell ref="A42:A43"/>
    <mergeCell ref="L20:L21"/>
    <mergeCell ref="M20:M21"/>
    <mergeCell ref="N20:N21"/>
    <mergeCell ref="O20:O21"/>
    <mergeCell ref="P20:P21"/>
  </mergeCells>
  <phoneticPr fontId="7" type="noConversion"/>
  <conditionalFormatting sqref="T5:T10">
    <cfRule type="cellIs" dxfId="9" priority="9" operator="equal">
      <formula>1736</formula>
    </cfRule>
  </conditionalFormatting>
  <conditionalFormatting sqref="T14:T19">
    <cfRule type="cellIs" dxfId="8" priority="8" operator="equal">
      <formula>1736</formula>
    </cfRule>
  </conditionalFormatting>
  <conditionalFormatting sqref="T21:T26">
    <cfRule type="cellIs" dxfId="7" priority="7" operator="equal">
      <formula>1736</formula>
    </cfRule>
  </conditionalFormatting>
  <conditionalFormatting sqref="T28:T33">
    <cfRule type="cellIs" dxfId="6" priority="6" operator="equal">
      <formula>1736</formula>
    </cfRule>
  </conditionalFormatting>
  <conditionalFormatting sqref="T35:T40">
    <cfRule type="cellIs" dxfId="5" priority="5" operator="equal">
      <formula>1736</formula>
    </cfRule>
  </conditionalFormatting>
  <conditionalFormatting sqref="T42:T47">
    <cfRule type="cellIs" dxfId="4" priority="4" operator="equal">
      <formula>1736</formula>
    </cfRule>
  </conditionalFormatting>
  <conditionalFormatting sqref="T5:T10">
    <cfRule type="cellIs" dxfId="3" priority="3" operator="equal">
      <formula>1736</formula>
    </cfRule>
  </conditionalFormatting>
  <conditionalFormatting sqref="T5:T10">
    <cfRule type="cellIs" dxfId="2" priority="2" operator="equal">
      <formula>1736</formula>
    </cfRule>
  </conditionalFormatting>
  <conditionalFormatting sqref="T5:T10">
    <cfRule type="cellIs" dxfId="1" priority="1" operator="equal">
      <formula>1736</formula>
    </cfRule>
  </conditionalFormatting>
  <dataValidations count="3">
    <dataValidation type="list" allowBlank="1" showInputMessage="1" showErrorMessage="1" sqref="H1 O1 T2:U2">
      <formula1>$T$2:$T$3</formula1>
    </dataValidation>
    <dataValidation type="list" allowBlank="1" showDropDown="1" showInputMessage="1" showErrorMessage="1" sqref="P1">
      <formula1>#REF!</formula1>
    </dataValidation>
    <dataValidation type="list" allowBlank="1" showDropDown="1" showInputMessage="1" showErrorMessage="1" sqref="J1">
      <formula1>$W$4:$W$90</formula1>
    </dataValidation>
  </dataValidations>
  <printOptions horizontalCentered="1"/>
  <pageMargins left="0.25" right="0.25" top="0.25" bottom="0.25" header="0" footer="0"/>
  <pageSetup scale="54" orientation="landscape" horizontalDpi="4294967293" verticalDpi="4294967293"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BH10"/>
  <sheetViews>
    <sheetView workbookViewId="0">
      <selection activeCell="E8" sqref="E8"/>
    </sheetView>
  </sheetViews>
  <sheetFormatPr defaultColWidth="9.140625" defaultRowHeight="15" x14ac:dyDescent="0.25"/>
  <cols>
    <col min="1" max="1" width="9.140625" style="12"/>
    <col min="2" max="2" width="10" style="12" customWidth="1"/>
    <col min="3" max="5" width="9.140625" style="12"/>
    <col min="6" max="6" width="23.5703125" style="12" customWidth="1"/>
    <col min="7" max="7" width="16.42578125" style="12" customWidth="1"/>
    <col min="8" max="9" width="11.7109375" style="133" customWidth="1"/>
    <col min="10" max="10" width="15" style="133" customWidth="1"/>
    <col min="11" max="11" width="9.140625" style="145"/>
    <col min="12" max="12" width="18.5703125" style="145" customWidth="1"/>
    <col min="13" max="14" width="10.7109375" style="145" customWidth="1"/>
    <col min="15" max="60" width="9.140625" style="145"/>
    <col min="61" max="16384" width="9.140625" style="12"/>
  </cols>
  <sheetData>
    <row r="1" spans="1:60" s="126" customFormat="1" x14ac:dyDescent="0.25">
      <c r="G1" s="148"/>
      <c r="H1" s="132"/>
      <c r="I1" s="132"/>
      <c r="J1" s="132"/>
      <c r="K1" s="143"/>
      <c r="L1" s="143"/>
      <c r="M1" s="143"/>
      <c r="N1" s="143"/>
      <c r="O1" s="143"/>
      <c r="P1" s="143"/>
      <c r="Q1" s="143"/>
      <c r="R1" s="143"/>
      <c r="S1" s="143"/>
      <c r="T1" s="143"/>
      <c r="U1" s="143"/>
      <c r="V1" s="143"/>
      <c r="W1" s="143"/>
      <c r="X1" s="143"/>
      <c r="Y1" s="143"/>
      <c r="Z1" s="143"/>
      <c r="AA1" s="143"/>
      <c r="AB1" s="143"/>
      <c r="AC1" s="143"/>
      <c r="AD1" s="143"/>
      <c r="AE1" s="143"/>
      <c r="AF1" s="143"/>
      <c r="AG1" s="143"/>
      <c r="AH1" s="143"/>
      <c r="AI1" s="143"/>
      <c r="AJ1" s="143"/>
      <c r="AK1" s="143"/>
      <c r="AL1" s="143"/>
      <c r="AM1" s="143"/>
      <c r="AN1" s="143"/>
      <c r="AO1" s="143"/>
      <c r="AP1" s="143"/>
      <c r="AQ1" s="143"/>
      <c r="AR1" s="143"/>
      <c r="AS1" s="143"/>
      <c r="AT1" s="143"/>
      <c r="AU1" s="143"/>
      <c r="AV1" s="143"/>
      <c r="AW1" s="143"/>
      <c r="AX1" s="143"/>
      <c r="AY1" s="143"/>
      <c r="AZ1" s="143"/>
      <c r="BA1" s="143"/>
      <c r="BB1" s="143"/>
      <c r="BC1" s="143"/>
      <c r="BD1" s="143"/>
      <c r="BE1" s="143"/>
      <c r="BF1" s="143"/>
      <c r="BG1" s="143"/>
      <c r="BH1" s="143"/>
    </row>
    <row r="2" spans="1:60" s="141" customFormat="1" ht="23.25" x14ac:dyDescent="0.35">
      <c r="B2" s="153" t="s">
        <v>50</v>
      </c>
      <c r="C2" s="153">
        <v>1</v>
      </c>
      <c r="H2" s="142"/>
      <c r="I2" s="142"/>
      <c r="J2" s="142"/>
      <c r="K2" s="144"/>
      <c r="L2" s="144"/>
      <c r="M2" s="144"/>
      <c r="N2" s="144"/>
      <c r="O2" s="144"/>
      <c r="P2" s="144"/>
      <c r="Q2" s="144"/>
      <c r="R2" s="144"/>
      <c r="S2" s="144"/>
      <c r="T2" s="144"/>
      <c r="U2" s="144"/>
      <c r="V2" s="144"/>
      <c r="W2" s="144"/>
      <c r="X2" s="144"/>
      <c r="Y2" s="144"/>
      <c r="Z2" s="144"/>
      <c r="AA2" s="144"/>
      <c r="AB2" s="144"/>
      <c r="AC2" s="144"/>
      <c r="AD2" s="144"/>
      <c r="AE2" s="144"/>
      <c r="AF2" s="144"/>
      <c r="AG2" s="144"/>
      <c r="AH2" s="144"/>
      <c r="AI2" s="144"/>
      <c r="AJ2" s="144"/>
      <c r="AK2" s="144"/>
      <c r="AL2" s="144"/>
      <c r="AM2" s="144"/>
      <c r="AN2" s="144"/>
      <c r="AO2" s="144"/>
      <c r="AP2" s="144"/>
      <c r="AQ2" s="144"/>
      <c r="AR2" s="144"/>
      <c r="AS2" s="144"/>
      <c r="AT2" s="144"/>
      <c r="AU2" s="144"/>
      <c r="AV2" s="144"/>
      <c r="AW2" s="144"/>
      <c r="AX2" s="144"/>
      <c r="AY2" s="144"/>
      <c r="AZ2" s="144"/>
      <c r="BA2" s="144"/>
      <c r="BB2" s="144"/>
      <c r="BC2" s="144"/>
      <c r="BD2" s="144"/>
      <c r="BE2" s="144"/>
      <c r="BF2" s="144"/>
      <c r="BG2" s="144"/>
      <c r="BH2" s="144"/>
    </row>
    <row r="3" spans="1:60" ht="15.75" thickBot="1" x14ac:dyDescent="0.3"/>
    <row r="4" spans="1:60" s="131" customFormat="1" ht="16.5" thickTop="1" thickBot="1" x14ac:dyDescent="0.3">
      <c r="A4" s="129"/>
      <c r="B4" s="129" t="s">
        <v>18</v>
      </c>
      <c r="C4" s="129"/>
      <c r="D4" s="130"/>
      <c r="E4" s="130"/>
      <c r="F4" s="130"/>
      <c r="G4" s="134"/>
      <c r="H4" s="134"/>
      <c r="I4" s="134"/>
      <c r="J4" s="134"/>
      <c r="K4" s="134"/>
      <c r="L4" s="134"/>
      <c r="M4" s="134"/>
      <c r="N4" s="134"/>
      <c r="O4" s="145"/>
      <c r="P4" s="145"/>
      <c r="Q4" s="145"/>
      <c r="R4" s="145"/>
      <c r="S4" s="145"/>
      <c r="T4" s="145"/>
      <c r="U4" s="145"/>
      <c r="V4" s="145"/>
      <c r="W4" s="145"/>
      <c r="X4" s="145"/>
      <c r="Y4" s="145"/>
      <c r="Z4" s="145"/>
      <c r="AA4" s="145"/>
      <c r="AB4" s="145"/>
      <c r="AC4" s="145"/>
      <c r="AD4" s="145"/>
      <c r="AE4" s="145"/>
      <c r="AF4" s="145"/>
      <c r="AG4" s="145"/>
      <c r="AH4" s="145"/>
      <c r="AI4" s="145"/>
      <c r="AJ4" s="145"/>
      <c r="AK4" s="145"/>
      <c r="AL4" s="145"/>
      <c r="AM4" s="145"/>
      <c r="AN4" s="145"/>
      <c r="AO4" s="145"/>
      <c r="AP4" s="145"/>
      <c r="AQ4" s="145"/>
      <c r="AR4" s="145"/>
      <c r="AS4" s="145"/>
      <c r="AT4" s="145"/>
      <c r="AU4" s="145"/>
      <c r="AV4" s="145"/>
      <c r="AW4" s="145"/>
      <c r="AX4" s="145"/>
      <c r="AY4" s="145"/>
      <c r="AZ4" s="145"/>
      <c r="BA4" s="145"/>
      <c r="BB4" s="145"/>
      <c r="BC4" s="145"/>
      <c r="BD4" s="145"/>
      <c r="BE4" s="145"/>
      <c r="BF4" s="145"/>
      <c r="BG4" s="145"/>
      <c r="BH4" s="145"/>
    </row>
    <row r="5" spans="1:60" s="126" customFormat="1" ht="15.75" thickTop="1" x14ac:dyDescent="0.25">
      <c r="A5" s="136" t="s">
        <v>104</v>
      </c>
      <c r="B5" s="136">
        <f>Match!T5</f>
        <v>1736</v>
      </c>
      <c r="C5" s="135"/>
      <c r="D5" s="136"/>
      <c r="E5" s="136"/>
      <c r="F5" s="136"/>
      <c r="G5" s="137"/>
      <c r="H5" s="137"/>
      <c r="I5" s="137"/>
      <c r="J5" s="137"/>
      <c r="K5" s="137"/>
      <c r="L5" s="137"/>
      <c r="M5" s="137"/>
      <c r="N5" s="137"/>
      <c r="O5" s="143"/>
      <c r="P5" s="143"/>
      <c r="Q5" s="143"/>
      <c r="R5" s="143"/>
      <c r="S5" s="143"/>
      <c r="T5" s="143"/>
      <c r="U5" s="143"/>
      <c r="V5" s="143"/>
      <c r="W5" s="143"/>
      <c r="X5" s="143"/>
      <c r="Y5" s="143"/>
      <c r="Z5" s="143"/>
      <c r="AA5" s="143"/>
      <c r="AB5" s="143"/>
      <c r="AC5" s="143"/>
      <c r="AD5" s="143"/>
      <c r="AE5" s="143"/>
      <c r="AF5" s="143"/>
      <c r="AG5" s="143"/>
      <c r="AH5" s="143"/>
      <c r="AI5" s="143"/>
      <c r="AJ5" s="143"/>
      <c r="AK5" s="143"/>
      <c r="AL5" s="143"/>
      <c r="AM5" s="143"/>
      <c r="AN5" s="143"/>
      <c r="AO5" s="143"/>
      <c r="AP5" s="143"/>
      <c r="AQ5" s="143"/>
      <c r="AR5" s="143"/>
      <c r="AS5" s="143"/>
      <c r="AT5" s="143"/>
      <c r="AU5" s="143"/>
      <c r="AV5" s="143"/>
      <c r="AW5" s="143"/>
      <c r="AX5" s="143"/>
      <c r="AY5" s="143"/>
      <c r="AZ5" s="143"/>
      <c r="BA5" s="143"/>
      <c r="BB5" s="143"/>
      <c r="BC5" s="143"/>
      <c r="BD5" s="143"/>
      <c r="BE5" s="143"/>
      <c r="BF5" s="143"/>
      <c r="BG5" s="143"/>
      <c r="BH5" s="143"/>
    </row>
    <row r="6" spans="1:60" x14ac:dyDescent="0.25">
      <c r="A6" s="138"/>
      <c r="B6" s="136">
        <f>Match!T6</f>
        <v>234</v>
      </c>
      <c r="C6" s="135"/>
      <c r="D6" s="136"/>
      <c r="E6" s="136"/>
      <c r="F6" s="136"/>
      <c r="G6" s="137"/>
      <c r="H6" s="137"/>
      <c r="I6" s="137"/>
      <c r="J6" s="137"/>
      <c r="K6" s="137"/>
      <c r="L6" s="137"/>
      <c r="M6" s="137"/>
      <c r="N6" s="137"/>
    </row>
    <row r="7" spans="1:60" x14ac:dyDescent="0.25">
      <c r="A7" s="138"/>
      <c r="B7" s="136">
        <f>Match!T7</f>
        <v>3180</v>
      </c>
      <c r="C7" s="135"/>
      <c r="D7" s="136"/>
      <c r="E7" s="136"/>
      <c r="F7" s="136"/>
      <c r="G7" s="137"/>
      <c r="H7" s="137"/>
      <c r="I7" s="137"/>
      <c r="J7" s="137"/>
      <c r="K7" s="137"/>
      <c r="L7" s="137"/>
      <c r="M7" s="137"/>
      <c r="N7" s="137"/>
    </row>
    <row r="8" spans="1:60" s="139" customFormat="1" x14ac:dyDescent="0.25">
      <c r="A8" s="139" t="s">
        <v>105</v>
      </c>
      <c r="B8" s="140">
        <f>Match!T8</f>
        <v>3301</v>
      </c>
      <c r="C8" s="140"/>
      <c r="D8" s="140"/>
      <c r="E8" s="140"/>
      <c r="F8" s="164"/>
      <c r="G8" s="165"/>
      <c r="H8" s="165"/>
      <c r="I8" s="165"/>
      <c r="J8" s="165"/>
      <c r="K8" s="165"/>
      <c r="L8" s="165"/>
      <c r="M8" s="165"/>
      <c r="N8" s="165"/>
      <c r="O8" s="146"/>
      <c r="P8" s="146"/>
      <c r="Q8" s="146"/>
      <c r="R8" s="146"/>
      <c r="S8" s="146"/>
      <c r="T8" s="146"/>
      <c r="U8" s="146"/>
      <c r="V8" s="146"/>
      <c r="W8" s="146"/>
      <c r="X8" s="146"/>
      <c r="Y8" s="146"/>
      <c r="Z8" s="146"/>
      <c r="AA8" s="146"/>
      <c r="AB8" s="146"/>
      <c r="AC8" s="146"/>
      <c r="AD8" s="146"/>
      <c r="AE8" s="146"/>
      <c r="AF8" s="146"/>
      <c r="AG8" s="146"/>
      <c r="AH8" s="146"/>
      <c r="AI8" s="146"/>
      <c r="AJ8" s="146"/>
      <c r="AK8" s="146"/>
      <c r="AL8" s="146"/>
      <c r="AM8" s="146"/>
      <c r="AN8" s="146"/>
      <c r="AO8" s="146"/>
      <c r="AP8" s="146"/>
      <c r="AQ8" s="146"/>
      <c r="AR8" s="146"/>
      <c r="AS8" s="146"/>
      <c r="AT8" s="146"/>
      <c r="AU8" s="146"/>
      <c r="AV8" s="146"/>
      <c r="AW8" s="146"/>
      <c r="AX8" s="146"/>
      <c r="AY8" s="146"/>
      <c r="AZ8" s="146"/>
      <c r="BA8" s="146"/>
      <c r="BB8" s="146"/>
      <c r="BC8" s="146"/>
      <c r="BD8" s="146"/>
      <c r="BE8" s="146"/>
      <c r="BF8" s="146"/>
      <c r="BG8" s="146"/>
      <c r="BH8" s="146"/>
    </row>
    <row r="9" spans="1:60" s="139" customFormat="1" x14ac:dyDescent="0.25">
      <c r="B9" s="140">
        <f>Match!T9</f>
        <v>3947</v>
      </c>
      <c r="C9" s="140"/>
      <c r="D9" s="140"/>
      <c r="E9" s="140"/>
      <c r="F9" s="164"/>
      <c r="G9" s="165"/>
      <c r="H9" s="165"/>
      <c r="I9" s="165"/>
      <c r="J9" s="165"/>
      <c r="K9" s="165"/>
      <c r="L9" s="165"/>
      <c r="M9" s="165"/>
      <c r="N9" s="165"/>
      <c r="O9" s="146"/>
      <c r="P9" s="146"/>
      <c r="Q9" s="146"/>
      <c r="R9" s="146"/>
      <c r="S9" s="146"/>
      <c r="T9" s="146"/>
      <c r="U9" s="146"/>
      <c r="V9" s="146"/>
      <c r="W9" s="146"/>
      <c r="X9" s="146"/>
      <c r="Y9" s="146"/>
      <c r="Z9" s="146"/>
      <c r="AA9" s="146"/>
      <c r="AB9" s="146"/>
      <c r="AC9" s="146"/>
      <c r="AD9" s="146"/>
      <c r="AE9" s="146"/>
      <c r="AF9" s="146"/>
      <c r="AG9" s="146"/>
      <c r="AH9" s="146"/>
      <c r="AI9" s="146"/>
      <c r="AJ9" s="146"/>
      <c r="AK9" s="146"/>
      <c r="AL9" s="146"/>
      <c r="AM9" s="146"/>
      <c r="AN9" s="146"/>
      <c r="AO9" s="146"/>
      <c r="AP9" s="146"/>
      <c r="AQ9" s="146"/>
      <c r="AR9" s="146"/>
      <c r="AS9" s="146"/>
      <c r="AT9" s="146"/>
      <c r="AU9" s="146"/>
      <c r="AV9" s="146"/>
      <c r="AW9" s="146"/>
      <c r="AX9" s="146"/>
      <c r="AY9" s="146"/>
      <c r="AZ9" s="146"/>
      <c r="BA9" s="146"/>
      <c r="BB9" s="146"/>
      <c r="BC9" s="146"/>
      <c r="BD9" s="146"/>
      <c r="BE9" s="146"/>
      <c r="BF9" s="146"/>
      <c r="BG9" s="146"/>
      <c r="BH9" s="146"/>
    </row>
    <row r="10" spans="1:60" s="139" customFormat="1" x14ac:dyDescent="0.25">
      <c r="B10" s="140">
        <f>Match!T10</f>
        <v>3272</v>
      </c>
      <c r="C10" s="140"/>
      <c r="D10" s="140"/>
      <c r="E10" s="140"/>
      <c r="F10" s="164"/>
      <c r="G10" s="165"/>
      <c r="H10" s="165"/>
      <c r="I10" s="165"/>
      <c r="J10" s="165"/>
      <c r="K10" s="165"/>
      <c r="L10" s="165"/>
      <c r="M10" s="165"/>
      <c r="N10" s="165"/>
      <c r="O10" s="146"/>
      <c r="P10" s="146"/>
      <c r="Q10" s="146"/>
      <c r="R10" s="146"/>
      <c r="S10" s="146"/>
      <c r="T10" s="146"/>
      <c r="U10" s="146"/>
      <c r="V10" s="146"/>
      <c r="W10" s="146"/>
      <c r="X10" s="146"/>
      <c r="Y10" s="146"/>
      <c r="Z10" s="146"/>
      <c r="AA10" s="146"/>
      <c r="AB10" s="146"/>
      <c r="AC10" s="146"/>
      <c r="AD10" s="146"/>
      <c r="AE10" s="146"/>
      <c r="AF10" s="146"/>
      <c r="AG10" s="146"/>
      <c r="AH10" s="146"/>
      <c r="AI10" s="146"/>
      <c r="AJ10" s="146"/>
      <c r="AK10" s="146"/>
      <c r="AL10" s="146"/>
      <c r="AM10" s="146"/>
      <c r="AN10" s="146"/>
      <c r="AO10" s="146"/>
      <c r="AP10" s="146"/>
      <c r="AQ10" s="146"/>
      <c r="AR10" s="146"/>
      <c r="AS10" s="146"/>
      <c r="AT10" s="146"/>
      <c r="AU10" s="146"/>
      <c r="AV10" s="146"/>
      <c r="AW10" s="146"/>
      <c r="AX10" s="146"/>
      <c r="AY10" s="146"/>
      <c r="AZ10" s="146"/>
      <c r="BA10" s="146"/>
      <c r="BB10" s="146"/>
      <c r="BC10" s="146"/>
      <c r="BD10" s="146"/>
      <c r="BE10" s="146"/>
      <c r="BF10" s="146"/>
      <c r="BG10" s="146"/>
      <c r="BH10" s="146"/>
    </row>
  </sheetData>
  <printOptions horizontalCentered="1"/>
  <pageMargins left="0.25" right="0.25" top="1" bottom="1" header="0.5" footer="0.5"/>
  <pageSetup scale="76" orientation="landscape"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I258"/>
  <sheetViews>
    <sheetView workbookViewId="0">
      <selection activeCell="C3" sqref="C3"/>
    </sheetView>
  </sheetViews>
  <sheetFormatPr defaultColWidth="9.140625" defaultRowHeight="15" x14ac:dyDescent="0.25"/>
  <cols>
    <col min="1" max="1" width="16.5703125" style="1" bestFit="1" customWidth="1"/>
    <col min="2" max="2" width="11.28515625" style="79" customWidth="1"/>
    <col min="3" max="3" width="143.7109375" style="155" customWidth="1"/>
    <col min="4" max="4" width="5.42578125" style="149" customWidth="1"/>
    <col min="5" max="5" width="15.7109375" style="149" customWidth="1"/>
    <col min="6" max="6" width="17.5703125" style="149" customWidth="1"/>
    <col min="7" max="7" width="45.85546875" style="149" bestFit="1" customWidth="1"/>
    <col min="8" max="16384" width="9.140625" style="149"/>
  </cols>
  <sheetData>
    <row r="1" spans="1:9" ht="23.25" x14ac:dyDescent="0.35">
      <c r="A1" s="153" t="s">
        <v>50</v>
      </c>
      <c r="B1" s="153">
        <f>Match!J1</f>
        <v>1</v>
      </c>
      <c r="C1" s="154"/>
      <c r="D1" s="153"/>
    </row>
    <row r="3" spans="1:9" x14ac:dyDescent="0.25">
      <c r="A3" s="118" t="s">
        <v>141</v>
      </c>
      <c r="B3" s="20" t="s">
        <v>371</v>
      </c>
    </row>
    <row r="4" spans="1:9" x14ac:dyDescent="0.25">
      <c r="A4" s="150" t="s">
        <v>28</v>
      </c>
      <c r="B4" s="20" t="s">
        <v>76</v>
      </c>
    </row>
    <row r="5" spans="1:9" x14ac:dyDescent="0.25">
      <c r="A5" s="118" t="s">
        <v>47</v>
      </c>
      <c r="B5" s="121" t="s">
        <v>76</v>
      </c>
    </row>
    <row r="6" spans="1:9" x14ac:dyDescent="0.25">
      <c r="B6" s="149"/>
      <c r="C6" s="156"/>
    </row>
    <row r="7" spans="1:9" s="2" customFormat="1" x14ac:dyDescent="0.25">
      <c r="A7" s="56" t="s">
        <v>87</v>
      </c>
      <c r="B7" s="22"/>
      <c r="C7" s="22"/>
      <c r="D7" s="73"/>
      <c r="E7" s="149"/>
      <c r="F7" s="149"/>
      <c r="G7" s="149"/>
      <c r="H7" s="149"/>
      <c r="I7" s="149"/>
    </row>
    <row r="8" spans="1:9" s="2" customFormat="1" ht="30" x14ac:dyDescent="0.25">
      <c r="A8" s="32" t="s">
        <v>372</v>
      </c>
      <c r="B8" s="151" t="s">
        <v>5</v>
      </c>
      <c r="C8" s="152" t="s">
        <v>6</v>
      </c>
      <c r="D8" s="73" t="s">
        <v>79</v>
      </c>
    </row>
    <row r="9" spans="1:9" x14ac:dyDescent="0.25">
      <c r="A9" s="19" t="s">
        <v>54</v>
      </c>
      <c r="B9" s="21">
        <v>1501</v>
      </c>
      <c r="C9" s="19" t="s">
        <v>150</v>
      </c>
      <c r="D9" s="74">
        <v>1</v>
      </c>
    </row>
    <row r="10" spans="1:9" x14ac:dyDescent="0.25">
      <c r="A10" s="30"/>
      <c r="B10" s="125"/>
      <c r="C10" s="31" t="s">
        <v>189</v>
      </c>
      <c r="D10" s="124">
        <v>1</v>
      </c>
    </row>
    <row r="11" spans="1:9" x14ac:dyDescent="0.25">
      <c r="A11" s="30"/>
      <c r="B11" s="125"/>
      <c r="C11" s="31" t="s">
        <v>247</v>
      </c>
      <c r="D11" s="124">
        <v>2</v>
      </c>
    </row>
    <row r="12" spans="1:9" x14ac:dyDescent="0.25">
      <c r="A12" s="30"/>
      <c r="B12" s="125"/>
      <c r="C12" s="31" t="s">
        <v>273</v>
      </c>
      <c r="D12" s="124">
        <v>2</v>
      </c>
    </row>
    <row r="13" spans="1:9" x14ac:dyDescent="0.25">
      <c r="A13" s="30"/>
      <c r="B13" s="125"/>
      <c r="C13" s="31" t="s">
        <v>312</v>
      </c>
      <c r="D13" s="124">
        <v>1</v>
      </c>
    </row>
    <row r="14" spans="1:9" x14ac:dyDescent="0.25">
      <c r="A14" s="30"/>
      <c r="B14" s="125"/>
      <c r="C14" s="31" t="s">
        <v>350</v>
      </c>
      <c r="D14" s="124">
        <v>1</v>
      </c>
    </row>
    <row r="15" spans="1:9" x14ac:dyDescent="0.25">
      <c r="A15" s="30"/>
      <c r="B15" s="125"/>
      <c r="C15" s="31" t="s">
        <v>386</v>
      </c>
      <c r="D15" s="124">
        <v>1</v>
      </c>
    </row>
    <row r="16" spans="1:9" x14ac:dyDescent="0.25">
      <c r="A16" s="19" t="s">
        <v>55</v>
      </c>
      <c r="B16" s="21">
        <v>1732</v>
      </c>
      <c r="C16" s="19" t="s">
        <v>165</v>
      </c>
      <c r="D16" s="74">
        <v>1</v>
      </c>
    </row>
    <row r="17" spans="1:4" x14ac:dyDescent="0.25">
      <c r="A17" s="30"/>
      <c r="B17" s="125"/>
      <c r="C17" s="31" t="s">
        <v>183</v>
      </c>
      <c r="D17" s="124">
        <v>1</v>
      </c>
    </row>
    <row r="18" spans="1:4" x14ac:dyDescent="0.25">
      <c r="A18" s="30"/>
      <c r="B18" s="125"/>
      <c r="C18" s="31" t="s">
        <v>221</v>
      </c>
      <c r="D18" s="124">
        <v>1</v>
      </c>
    </row>
    <row r="19" spans="1:4" x14ac:dyDescent="0.25">
      <c r="A19" s="30"/>
      <c r="B19" s="125"/>
      <c r="C19" s="31" t="s">
        <v>228</v>
      </c>
      <c r="D19" s="124">
        <v>1</v>
      </c>
    </row>
    <row r="20" spans="1:4" x14ac:dyDescent="0.25">
      <c r="A20" s="30"/>
      <c r="B20" s="125"/>
      <c r="C20" s="31" t="s">
        <v>241</v>
      </c>
      <c r="D20" s="124">
        <v>1</v>
      </c>
    </row>
    <row r="21" spans="1:4" x14ac:dyDescent="0.25">
      <c r="A21" s="30"/>
      <c r="B21" s="125"/>
      <c r="C21" s="31" t="s">
        <v>278</v>
      </c>
      <c r="D21" s="124">
        <v>2</v>
      </c>
    </row>
    <row r="22" spans="1:4" x14ac:dyDescent="0.25">
      <c r="A22" s="30"/>
      <c r="B22" s="125"/>
      <c r="C22" s="31" t="s">
        <v>286</v>
      </c>
      <c r="D22" s="124">
        <v>1</v>
      </c>
    </row>
    <row r="23" spans="1:4" x14ac:dyDescent="0.25">
      <c r="A23" s="30"/>
      <c r="B23" s="125"/>
      <c r="C23" s="31" t="s">
        <v>330</v>
      </c>
      <c r="D23" s="124">
        <v>1</v>
      </c>
    </row>
    <row r="24" spans="1:4" x14ac:dyDescent="0.25">
      <c r="A24" s="30"/>
      <c r="B24" s="125"/>
      <c r="C24" s="31" t="s">
        <v>333</v>
      </c>
      <c r="D24" s="124">
        <v>1</v>
      </c>
    </row>
    <row r="25" spans="1:4" x14ac:dyDescent="0.25">
      <c r="A25" s="19" t="s">
        <v>56</v>
      </c>
      <c r="B25" s="21">
        <v>3487</v>
      </c>
      <c r="C25" s="19" t="s">
        <v>213</v>
      </c>
      <c r="D25" s="74">
        <v>1</v>
      </c>
    </row>
    <row r="26" spans="1:4" x14ac:dyDescent="0.25">
      <c r="A26" s="30"/>
      <c r="B26" s="125"/>
      <c r="C26" s="31" t="s">
        <v>218</v>
      </c>
      <c r="D26" s="124">
        <v>1</v>
      </c>
    </row>
    <row r="27" spans="1:4" x14ac:dyDescent="0.25">
      <c r="A27" s="30"/>
      <c r="B27" s="125"/>
      <c r="C27" s="31" t="s">
        <v>255</v>
      </c>
      <c r="D27" s="124">
        <v>1</v>
      </c>
    </row>
    <row r="28" spans="1:4" x14ac:dyDescent="0.25">
      <c r="A28" s="30"/>
      <c r="B28" s="125"/>
      <c r="C28" s="31" t="s">
        <v>270</v>
      </c>
      <c r="D28" s="124">
        <v>2</v>
      </c>
    </row>
    <row r="29" spans="1:4" x14ac:dyDescent="0.25">
      <c r="A29" s="30"/>
      <c r="B29" s="125"/>
      <c r="C29" s="31" t="s">
        <v>322</v>
      </c>
      <c r="D29" s="124">
        <v>1</v>
      </c>
    </row>
    <row r="30" spans="1:4" x14ac:dyDescent="0.25">
      <c r="A30" s="30"/>
      <c r="B30" s="125"/>
      <c r="C30" s="31" t="s">
        <v>380</v>
      </c>
      <c r="D30" s="124">
        <v>1</v>
      </c>
    </row>
    <row r="31" spans="1:4" x14ac:dyDescent="0.25">
      <c r="A31" s="19" t="s">
        <v>51</v>
      </c>
      <c r="B31" s="21">
        <v>1736</v>
      </c>
      <c r="C31" s="19" t="s">
        <v>43</v>
      </c>
      <c r="D31" s="74">
        <v>2</v>
      </c>
    </row>
    <row r="32" spans="1:4" x14ac:dyDescent="0.25">
      <c r="A32" s="30"/>
      <c r="B32" s="125"/>
      <c r="C32" s="31" t="s">
        <v>123</v>
      </c>
      <c r="D32" s="124">
        <v>2</v>
      </c>
    </row>
    <row r="33" spans="1:4" x14ac:dyDescent="0.25">
      <c r="A33" s="30"/>
      <c r="B33" s="125"/>
      <c r="C33" s="31" t="s">
        <v>125</v>
      </c>
      <c r="D33" s="124">
        <v>2</v>
      </c>
    </row>
    <row r="34" spans="1:4" x14ac:dyDescent="0.25">
      <c r="A34" s="30"/>
      <c r="B34" s="125"/>
      <c r="C34" s="31" t="s">
        <v>182</v>
      </c>
      <c r="D34" s="124">
        <v>1</v>
      </c>
    </row>
    <row r="35" spans="1:4" x14ac:dyDescent="0.25">
      <c r="A35" s="30"/>
      <c r="B35" s="125"/>
      <c r="C35" s="31" t="s">
        <v>186</v>
      </c>
      <c r="D35" s="124">
        <v>1</v>
      </c>
    </row>
    <row r="36" spans="1:4" x14ac:dyDescent="0.25">
      <c r="A36" s="30"/>
      <c r="B36" s="125"/>
      <c r="C36" s="31" t="s">
        <v>266</v>
      </c>
      <c r="D36" s="124">
        <v>2</v>
      </c>
    </row>
    <row r="37" spans="1:4" x14ac:dyDescent="0.25">
      <c r="A37" s="30"/>
      <c r="B37" s="125"/>
      <c r="C37" s="31" t="s">
        <v>295</v>
      </c>
      <c r="D37" s="124">
        <v>1</v>
      </c>
    </row>
    <row r="38" spans="1:4" x14ac:dyDescent="0.25">
      <c r="A38" s="30"/>
      <c r="B38" s="125"/>
      <c r="C38" s="31" t="s">
        <v>311</v>
      </c>
      <c r="D38" s="124">
        <v>1</v>
      </c>
    </row>
    <row r="39" spans="1:4" x14ac:dyDescent="0.25">
      <c r="A39" s="30"/>
      <c r="B39" s="125"/>
      <c r="C39" s="31" t="s">
        <v>321</v>
      </c>
      <c r="D39" s="124">
        <v>1</v>
      </c>
    </row>
    <row r="40" spans="1:4" x14ac:dyDescent="0.25">
      <c r="A40" s="19" t="s">
        <v>52</v>
      </c>
      <c r="B40" s="21">
        <v>829</v>
      </c>
      <c r="C40" s="19" t="s">
        <v>164</v>
      </c>
      <c r="D40" s="74">
        <v>1</v>
      </c>
    </row>
    <row r="41" spans="1:4" x14ac:dyDescent="0.25">
      <c r="A41" s="30"/>
      <c r="B41" s="125"/>
      <c r="C41" s="31" t="s">
        <v>250</v>
      </c>
      <c r="D41" s="124">
        <v>1</v>
      </c>
    </row>
    <row r="42" spans="1:4" x14ac:dyDescent="0.25">
      <c r="A42" s="30"/>
      <c r="B42" s="125"/>
      <c r="C42" s="31" t="s">
        <v>272</v>
      </c>
      <c r="D42" s="124">
        <v>2</v>
      </c>
    </row>
    <row r="43" spans="1:4" x14ac:dyDescent="0.25">
      <c r="A43" s="30"/>
      <c r="B43" s="125"/>
      <c r="C43" s="31" t="s">
        <v>299</v>
      </c>
      <c r="D43" s="124">
        <v>1</v>
      </c>
    </row>
    <row r="44" spans="1:4" x14ac:dyDescent="0.25">
      <c r="A44" s="30"/>
      <c r="B44" s="125"/>
      <c r="C44" s="31" t="s">
        <v>358</v>
      </c>
      <c r="D44" s="124">
        <v>1</v>
      </c>
    </row>
    <row r="45" spans="1:4" x14ac:dyDescent="0.25">
      <c r="A45" s="30"/>
      <c r="B45" s="125"/>
      <c r="C45" s="31" t="s">
        <v>387</v>
      </c>
      <c r="D45" s="124">
        <v>1</v>
      </c>
    </row>
    <row r="46" spans="1:4" x14ac:dyDescent="0.25">
      <c r="A46" s="30"/>
      <c r="B46" s="125"/>
      <c r="C46" s="31" t="s">
        <v>402</v>
      </c>
      <c r="D46" s="124">
        <v>1</v>
      </c>
    </row>
    <row r="47" spans="1:4" x14ac:dyDescent="0.25">
      <c r="A47" s="30"/>
      <c r="B47" s="125"/>
      <c r="C47" s="31" t="s">
        <v>406</v>
      </c>
      <c r="D47" s="124">
        <v>1</v>
      </c>
    </row>
    <row r="48" spans="1:4" x14ac:dyDescent="0.25">
      <c r="A48" s="19" t="s">
        <v>53</v>
      </c>
      <c r="B48" s="21">
        <v>461</v>
      </c>
      <c r="C48" s="19" t="s">
        <v>149</v>
      </c>
      <c r="D48" s="74">
        <v>1</v>
      </c>
    </row>
    <row r="49" spans="1:4" x14ac:dyDescent="0.25">
      <c r="A49" s="30"/>
      <c r="B49" s="125"/>
      <c r="C49" s="31" t="s">
        <v>157</v>
      </c>
      <c r="D49" s="124">
        <v>1</v>
      </c>
    </row>
    <row r="50" spans="1:4" x14ac:dyDescent="0.25">
      <c r="A50" s="30"/>
      <c r="B50" s="125"/>
      <c r="C50" s="31" t="s">
        <v>219</v>
      </c>
      <c r="D50" s="124">
        <v>1</v>
      </c>
    </row>
    <row r="51" spans="1:4" x14ac:dyDescent="0.25">
      <c r="A51" s="30"/>
      <c r="B51" s="125"/>
      <c r="C51" s="31" t="s">
        <v>236</v>
      </c>
      <c r="D51" s="124">
        <v>1</v>
      </c>
    </row>
    <row r="52" spans="1:4" x14ac:dyDescent="0.25">
      <c r="A52" s="30"/>
      <c r="B52" s="125"/>
      <c r="C52" s="31" t="s">
        <v>329</v>
      </c>
      <c r="D52" s="124">
        <v>1</v>
      </c>
    </row>
    <row r="53" spans="1:4" x14ac:dyDescent="0.25">
      <c r="A53" s="30"/>
      <c r="B53" s="125"/>
      <c r="C53" s="31" t="s">
        <v>392</v>
      </c>
      <c r="D53" s="124">
        <v>1</v>
      </c>
    </row>
    <row r="54" spans="1:4" x14ac:dyDescent="0.25">
      <c r="A54" s="157" t="s">
        <v>7</v>
      </c>
      <c r="B54" s="158"/>
      <c r="C54" s="158"/>
      <c r="D54" s="75">
        <v>54</v>
      </c>
    </row>
    <row r="55" spans="1:4" x14ac:dyDescent="0.25">
      <c r="A55"/>
      <c r="B55"/>
      <c r="C55" s="156"/>
      <c r="D55"/>
    </row>
    <row r="56" spans="1:4" x14ac:dyDescent="0.25">
      <c r="A56"/>
      <c r="B56"/>
      <c r="C56" s="156"/>
      <c r="D56"/>
    </row>
    <row r="57" spans="1:4" x14ac:dyDescent="0.25">
      <c r="A57"/>
      <c r="B57"/>
      <c r="C57" s="156"/>
      <c r="D57"/>
    </row>
    <row r="58" spans="1:4" x14ac:dyDescent="0.25">
      <c r="A58"/>
      <c r="B58"/>
      <c r="C58" s="156"/>
      <c r="D58"/>
    </row>
    <row r="59" spans="1:4" x14ac:dyDescent="0.25">
      <c r="A59"/>
      <c r="B59"/>
      <c r="C59" s="156"/>
      <c r="D59"/>
    </row>
    <row r="60" spans="1:4" x14ac:dyDescent="0.25">
      <c r="A60"/>
      <c r="B60"/>
      <c r="C60" s="156"/>
      <c r="D60"/>
    </row>
    <row r="61" spans="1:4" x14ac:dyDescent="0.25">
      <c r="A61"/>
      <c r="B61"/>
      <c r="C61" s="156"/>
      <c r="D61"/>
    </row>
    <row r="62" spans="1:4" x14ac:dyDescent="0.25">
      <c r="A62"/>
      <c r="B62"/>
      <c r="C62" s="156"/>
      <c r="D62"/>
    </row>
    <row r="63" spans="1:4" x14ac:dyDescent="0.25">
      <c r="A63"/>
      <c r="B63"/>
      <c r="C63" s="156"/>
      <c r="D63"/>
    </row>
    <row r="64" spans="1:4" x14ac:dyDescent="0.25">
      <c r="A64"/>
      <c r="B64"/>
      <c r="C64" s="156"/>
      <c r="D64"/>
    </row>
    <row r="65" spans="1:4" x14ac:dyDescent="0.25">
      <c r="A65"/>
      <c r="B65"/>
      <c r="C65" s="156"/>
      <c r="D65"/>
    </row>
    <row r="66" spans="1:4" x14ac:dyDescent="0.25">
      <c r="A66"/>
      <c r="B66"/>
      <c r="C66" s="156"/>
      <c r="D66"/>
    </row>
    <row r="67" spans="1:4" x14ac:dyDescent="0.25">
      <c r="A67"/>
      <c r="B67"/>
      <c r="C67" s="156"/>
      <c r="D67"/>
    </row>
    <row r="68" spans="1:4" x14ac:dyDescent="0.25">
      <c r="A68"/>
      <c r="B68"/>
      <c r="C68" s="156"/>
      <c r="D68"/>
    </row>
    <row r="69" spans="1:4" x14ac:dyDescent="0.25">
      <c r="A69"/>
      <c r="B69"/>
      <c r="C69" s="156"/>
      <c r="D69"/>
    </row>
    <row r="70" spans="1:4" x14ac:dyDescent="0.25">
      <c r="A70"/>
      <c r="B70"/>
      <c r="C70" s="156"/>
      <c r="D70"/>
    </row>
    <row r="71" spans="1:4" x14ac:dyDescent="0.25">
      <c r="A71"/>
      <c r="B71"/>
      <c r="C71" s="156"/>
      <c r="D71"/>
    </row>
    <row r="72" spans="1:4" x14ac:dyDescent="0.25">
      <c r="A72"/>
      <c r="B72"/>
      <c r="C72" s="156"/>
      <c r="D72"/>
    </row>
    <row r="73" spans="1:4" x14ac:dyDescent="0.25">
      <c r="A73"/>
      <c r="B73"/>
      <c r="C73" s="156"/>
      <c r="D73"/>
    </row>
    <row r="74" spans="1:4" x14ac:dyDescent="0.25">
      <c r="A74"/>
      <c r="B74"/>
      <c r="C74" s="156"/>
      <c r="D74"/>
    </row>
    <row r="75" spans="1:4" x14ac:dyDescent="0.25">
      <c r="A75"/>
      <c r="B75"/>
      <c r="C75" s="156"/>
      <c r="D75"/>
    </row>
    <row r="76" spans="1:4" x14ac:dyDescent="0.25">
      <c r="A76"/>
      <c r="B76"/>
      <c r="C76" s="156"/>
      <c r="D76"/>
    </row>
    <row r="77" spans="1:4" x14ac:dyDescent="0.25">
      <c r="A77"/>
      <c r="B77"/>
      <c r="C77" s="156"/>
      <c r="D77"/>
    </row>
    <row r="78" spans="1:4" x14ac:dyDescent="0.25">
      <c r="A78"/>
      <c r="B78"/>
      <c r="C78" s="156"/>
      <c r="D78"/>
    </row>
    <row r="79" spans="1:4" x14ac:dyDescent="0.25">
      <c r="A79"/>
      <c r="B79"/>
      <c r="C79" s="156"/>
      <c r="D79"/>
    </row>
    <row r="80" spans="1:4" x14ac:dyDescent="0.25">
      <c r="A80"/>
      <c r="B80"/>
      <c r="C80" s="156"/>
      <c r="D80"/>
    </row>
    <row r="81" spans="1:4" x14ac:dyDescent="0.25">
      <c r="A81"/>
      <c r="B81"/>
      <c r="C81" s="156"/>
      <c r="D81"/>
    </row>
    <row r="82" spans="1:4" x14ac:dyDescent="0.25">
      <c r="A82"/>
      <c r="B82"/>
      <c r="C82" s="156"/>
      <c r="D82"/>
    </row>
    <row r="83" spans="1:4" x14ac:dyDescent="0.25">
      <c r="A83"/>
      <c r="B83"/>
      <c r="C83" s="156"/>
      <c r="D83"/>
    </row>
    <row r="84" spans="1:4" x14ac:dyDescent="0.25">
      <c r="A84"/>
      <c r="B84"/>
      <c r="C84" s="156"/>
      <c r="D84"/>
    </row>
    <row r="85" spans="1:4" x14ac:dyDescent="0.25">
      <c r="A85"/>
      <c r="B85"/>
      <c r="C85" s="156"/>
      <c r="D85"/>
    </row>
    <row r="86" spans="1:4" x14ac:dyDescent="0.25">
      <c r="A86"/>
      <c r="B86"/>
      <c r="C86" s="156"/>
      <c r="D86"/>
    </row>
    <row r="87" spans="1:4" x14ac:dyDescent="0.25">
      <c r="A87"/>
      <c r="B87"/>
      <c r="C87" s="156"/>
      <c r="D87"/>
    </row>
    <row r="88" spans="1:4" x14ac:dyDescent="0.25">
      <c r="A88"/>
      <c r="B88"/>
      <c r="C88" s="156"/>
      <c r="D88"/>
    </row>
    <row r="89" spans="1:4" x14ac:dyDescent="0.25">
      <c r="A89"/>
      <c r="B89"/>
      <c r="C89" s="156"/>
      <c r="D89"/>
    </row>
    <row r="90" spans="1:4" x14ac:dyDescent="0.25">
      <c r="A90"/>
      <c r="B90"/>
      <c r="C90" s="156"/>
      <c r="D90"/>
    </row>
    <row r="91" spans="1:4" x14ac:dyDescent="0.25">
      <c r="A91"/>
      <c r="B91"/>
      <c r="C91" s="156"/>
      <c r="D91"/>
    </row>
    <row r="92" spans="1:4" x14ac:dyDescent="0.25">
      <c r="A92"/>
      <c r="B92"/>
      <c r="C92" s="156"/>
      <c r="D92"/>
    </row>
    <row r="93" spans="1:4" x14ac:dyDescent="0.25">
      <c r="A93"/>
      <c r="B93"/>
      <c r="C93" s="156"/>
      <c r="D93"/>
    </row>
    <row r="94" spans="1:4" x14ac:dyDescent="0.25">
      <c r="A94"/>
      <c r="B94"/>
      <c r="C94" s="156"/>
      <c r="D94"/>
    </row>
    <row r="95" spans="1:4" x14ac:dyDescent="0.25">
      <c r="A95"/>
      <c r="B95"/>
      <c r="C95" s="156"/>
      <c r="D95"/>
    </row>
    <row r="96" spans="1:4" x14ac:dyDescent="0.25">
      <c r="A96"/>
      <c r="B96"/>
      <c r="C96" s="156"/>
      <c r="D96"/>
    </row>
    <row r="97" spans="1:4" x14ac:dyDescent="0.25">
      <c r="A97"/>
      <c r="B97"/>
      <c r="C97" s="156"/>
      <c r="D97"/>
    </row>
    <row r="98" spans="1:4" x14ac:dyDescent="0.25">
      <c r="A98"/>
      <c r="B98"/>
      <c r="C98" s="156"/>
      <c r="D98"/>
    </row>
    <row r="99" spans="1:4" x14ac:dyDescent="0.25">
      <c r="A99"/>
      <c r="B99"/>
      <c r="C99" s="156"/>
      <c r="D99"/>
    </row>
    <row r="100" spans="1:4" x14ac:dyDescent="0.25">
      <c r="A100"/>
      <c r="B100"/>
      <c r="C100" s="156"/>
      <c r="D100"/>
    </row>
    <row r="101" spans="1:4" x14ac:dyDescent="0.25">
      <c r="A101"/>
      <c r="B101"/>
      <c r="C101" s="156"/>
      <c r="D101"/>
    </row>
    <row r="102" spans="1:4" x14ac:dyDescent="0.25">
      <c r="A102"/>
      <c r="B102"/>
      <c r="C102" s="156"/>
      <c r="D102"/>
    </row>
    <row r="103" spans="1:4" x14ac:dyDescent="0.25">
      <c r="A103"/>
      <c r="B103"/>
      <c r="C103" s="156"/>
      <c r="D103"/>
    </row>
    <row r="104" spans="1:4" x14ac:dyDescent="0.25">
      <c r="A104"/>
      <c r="B104"/>
      <c r="C104" s="156"/>
      <c r="D104"/>
    </row>
    <row r="105" spans="1:4" x14ac:dyDescent="0.25">
      <c r="A105"/>
      <c r="B105"/>
      <c r="C105" s="156"/>
      <c r="D105"/>
    </row>
    <row r="106" spans="1:4" x14ac:dyDescent="0.25">
      <c r="A106"/>
      <c r="B106"/>
      <c r="C106" s="156"/>
      <c r="D106"/>
    </row>
    <row r="107" spans="1:4" x14ac:dyDescent="0.25">
      <c r="A107"/>
      <c r="B107"/>
      <c r="C107" s="156"/>
      <c r="D107"/>
    </row>
    <row r="108" spans="1:4" x14ac:dyDescent="0.25">
      <c r="A108"/>
      <c r="B108"/>
      <c r="C108" s="156"/>
      <c r="D108"/>
    </row>
    <row r="109" spans="1:4" x14ac:dyDescent="0.25">
      <c r="A109"/>
      <c r="B109"/>
      <c r="C109" s="156"/>
      <c r="D109"/>
    </row>
    <row r="110" spans="1:4" x14ac:dyDescent="0.25">
      <c r="A110"/>
      <c r="B110"/>
      <c r="C110" s="156"/>
      <c r="D110"/>
    </row>
    <row r="111" spans="1:4" x14ac:dyDescent="0.25">
      <c r="A111"/>
      <c r="B111"/>
      <c r="C111" s="156"/>
      <c r="D111"/>
    </row>
    <row r="112" spans="1:4" x14ac:dyDescent="0.25">
      <c r="A112"/>
      <c r="B112"/>
      <c r="C112" s="156"/>
      <c r="D112"/>
    </row>
    <row r="113" spans="1:4" x14ac:dyDescent="0.25">
      <c r="A113"/>
      <c r="B113"/>
      <c r="C113" s="156"/>
      <c r="D113"/>
    </row>
    <row r="114" spans="1:4" x14ac:dyDescent="0.25">
      <c r="A114"/>
      <c r="B114"/>
      <c r="C114" s="156"/>
      <c r="D114"/>
    </row>
    <row r="115" spans="1:4" x14ac:dyDescent="0.25">
      <c r="A115"/>
      <c r="B115"/>
      <c r="C115" s="156"/>
      <c r="D115"/>
    </row>
    <row r="116" spans="1:4" x14ac:dyDescent="0.25">
      <c r="A116"/>
      <c r="B116"/>
      <c r="C116" s="156"/>
      <c r="D116"/>
    </row>
    <row r="117" spans="1:4" x14ac:dyDescent="0.25">
      <c r="A117"/>
      <c r="B117"/>
      <c r="C117" s="156"/>
      <c r="D117"/>
    </row>
    <row r="118" spans="1:4" x14ac:dyDescent="0.25">
      <c r="A118"/>
      <c r="B118"/>
      <c r="C118" s="156"/>
      <c r="D118"/>
    </row>
    <row r="119" spans="1:4" x14ac:dyDescent="0.25">
      <c r="A119"/>
      <c r="B119"/>
      <c r="C119" s="156"/>
      <c r="D119"/>
    </row>
    <row r="120" spans="1:4" x14ac:dyDescent="0.25">
      <c r="A120"/>
      <c r="B120"/>
      <c r="C120" s="156"/>
      <c r="D120"/>
    </row>
    <row r="121" spans="1:4" x14ac:dyDescent="0.25">
      <c r="A121"/>
      <c r="B121"/>
      <c r="C121" s="156"/>
      <c r="D121"/>
    </row>
    <row r="122" spans="1:4" x14ac:dyDescent="0.25">
      <c r="A122"/>
      <c r="B122"/>
      <c r="C122" s="156"/>
      <c r="D122"/>
    </row>
    <row r="123" spans="1:4" x14ac:dyDescent="0.25">
      <c r="A123"/>
      <c r="B123"/>
      <c r="C123" s="156"/>
      <c r="D123"/>
    </row>
    <row r="124" spans="1:4" x14ac:dyDescent="0.25">
      <c r="A124"/>
      <c r="B124"/>
      <c r="C124" s="156"/>
      <c r="D124"/>
    </row>
    <row r="125" spans="1:4" x14ac:dyDescent="0.25">
      <c r="A125"/>
      <c r="B125"/>
      <c r="C125" s="156"/>
      <c r="D125"/>
    </row>
    <row r="126" spans="1:4" x14ac:dyDescent="0.25">
      <c r="A126"/>
      <c r="B126"/>
      <c r="C126" s="156"/>
      <c r="D126"/>
    </row>
    <row r="127" spans="1:4" x14ac:dyDescent="0.25">
      <c r="A127"/>
      <c r="B127"/>
      <c r="C127" s="156"/>
      <c r="D127"/>
    </row>
    <row r="128" spans="1:4" x14ac:dyDescent="0.25">
      <c r="A128"/>
      <c r="B128"/>
      <c r="C128" s="156"/>
      <c r="D128"/>
    </row>
    <row r="129" spans="1:4" x14ac:dyDescent="0.25">
      <c r="A129"/>
      <c r="B129"/>
      <c r="C129" s="156"/>
      <c r="D129"/>
    </row>
    <row r="130" spans="1:4" x14ac:dyDescent="0.25">
      <c r="A130"/>
      <c r="B130"/>
      <c r="C130" s="156"/>
      <c r="D130"/>
    </row>
    <row r="131" spans="1:4" x14ac:dyDescent="0.25">
      <c r="A131"/>
      <c r="B131"/>
      <c r="C131" s="156"/>
      <c r="D131"/>
    </row>
    <row r="132" spans="1:4" x14ac:dyDescent="0.25">
      <c r="A132"/>
      <c r="B132"/>
      <c r="C132" s="156"/>
      <c r="D132"/>
    </row>
    <row r="133" spans="1:4" x14ac:dyDescent="0.25">
      <c r="A133"/>
      <c r="B133"/>
      <c r="C133" s="156"/>
      <c r="D133"/>
    </row>
    <row r="134" spans="1:4" x14ac:dyDescent="0.25">
      <c r="A134"/>
      <c r="B134"/>
      <c r="C134" s="156"/>
      <c r="D134"/>
    </row>
    <row r="135" spans="1:4" x14ac:dyDescent="0.25">
      <c r="A135"/>
      <c r="B135"/>
      <c r="C135" s="156"/>
      <c r="D135"/>
    </row>
    <row r="136" spans="1:4" x14ac:dyDescent="0.25">
      <c r="A136"/>
      <c r="B136"/>
      <c r="C136" s="156"/>
      <c r="D136"/>
    </row>
    <row r="137" spans="1:4" x14ac:dyDescent="0.25">
      <c r="A137"/>
      <c r="B137"/>
      <c r="C137" s="156"/>
      <c r="D137"/>
    </row>
    <row r="138" spans="1:4" x14ac:dyDescent="0.25">
      <c r="A138"/>
      <c r="B138"/>
      <c r="C138" s="156"/>
      <c r="D138"/>
    </row>
    <row r="139" spans="1:4" x14ac:dyDescent="0.25">
      <c r="A139"/>
      <c r="B139"/>
      <c r="C139" s="156"/>
      <c r="D139"/>
    </row>
    <row r="140" spans="1:4" x14ac:dyDescent="0.25">
      <c r="A140"/>
      <c r="B140"/>
      <c r="C140" s="156"/>
      <c r="D140"/>
    </row>
    <row r="141" spans="1:4" x14ac:dyDescent="0.25">
      <c r="A141"/>
      <c r="B141"/>
      <c r="C141" s="156"/>
      <c r="D141"/>
    </row>
    <row r="142" spans="1:4" x14ac:dyDescent="0.25">
      <c r="A142"/>
      <c r="B142"/>
      <c r="C142" s="156"/>
      <c r="D142"/>
    </row>
    <row r="143" spans="1:4" x14ac:dyDescent="0.25">
      <c r="A143"/>
      <c r="B143"/>
      <c r="C143" s="156"/>
      <c r="D143"/>
    </row>
    <row r="144" spans="1:4" x14ac:dyDescent="0.25">
      <c r="A144"/>
      <c r="B144"/>
      <c r="C144" s="156"/>
      <c r="D144"/>
    </row>
    <row r="145" spans="1:4" x14ac:dyDescent="0.25">
      <c r="A145"/>
      <c r="B145"/>
      <c r="C145" s="156"/>
      <c r="D145"/>
    </row>
    <row r="146" spans="1:4" x14ac:dyDescent="0.25">
      <c r="A146"/>
      <c r="B146"/>
      <c r="C146" s="156"/>
      <c r="D146"/>
    </row>
    <row r="147" spans="1:4" x14ac:dyDescent="0.25">
      <c r="A147"/>
      <c r="B147"/>
      <c r="C147" s="156"/>
      <c r="D147"/>
    </row>
    <row r="148" spans="1:4" x14ac:dyDescent="0.25">
      <c r="A148"/>
      <c r="B148"/>
      <c r="C148" s="156"/>
      <c r="D148"/>
    </row>
    <row r="149" spans="1:4" x14ac:dyDescent="0.25">
      <c r="A149"/>
      <c r="B149"/>
      <c r="C149" s="156"/>
      <c r="D149"/>
    </row>
    <row r="150" spans="1:4" x14ac:dyDescent="0.25">
      <c r="A150"/>
      <c r="B150"/>
      <c r="C150" s="156"/>
      <c r="D150"/>
    </row>
    <row r="151" spans="1:4" x14ac:dyDescent="0.25">
      <c r="A151"/>
      <c r="B151"/>
      <c r="C151" s="156"/>
      <c r="D151"/>
    </row>
    <row r="152" spans="1:4" x14ac:dyDescent="0.25">
      <c r="A152"/>
      <c r="B152"/>
      <c r="C152" s="156"/>
      <c r="D152"/>
    </row>
    <row r="153" spans="1:4" x14ac:dyDescent="0.25">
      <c r="A153"/>
      <c r="B153"/>
      <c r="C153" s="156"/>
      <c r="D153"/>
    </row>
    <row r="154" spans="1:4" x14ac:dyDescent="0.25">
      <c r="A154"/>
      <c r="B154"/>
      <c r="C154" s="156"/>
      <c r="D154"/>
    </row>
    <row r="155" spans="1:4" x14ac:dyDescent="0.25">
      <c r="A155"/>
      <c r="B155"/>
      <c r="C155" s="156"/>
      <c r="D155"/>
    </row>
    <row r="156" spans="1:4" x14ac:dyDescent="0.25">
      <c r="A156"/>
      <c r="B156"/>
      <c r="C156" s="156"/>
      <c r="D156"/>
    </row>
    <row r="157" spans="1:4" x14ac:dyDescent="0.25">
      <c r="A157"/>
      <c r="B157"/>
      <c r="C157" s="156"/>
      <c r="D157"/>
    </row>
    <row r="158" spans="1:4" x14ac:dyDescent="0.25">
      <c r="A158"/>
      <c r="B158"/>
      <c r="C158" s="156"/>
      <c r="D158"/>
    </row>
    <row r="159" spans="1:4" x14ac:dyDescent="0.25">
      <c r="A159"/>
      <c r="B159"/>
      <c r="C159" s="156"/>
      <c r="D159"/>
    </row>
    <row r="160" spans="1:4" x14ac:dyDescent="0.25">
      <c r="A160"/>
      <c r="B160"/>
      <c r="C160" s="156"/>
      <c r="D160"/>
    </row>
    <row r="161" spans="1:4" x14ac:dyDescent="0.25">
      <c r="A161"/>
      <c r="B161"/>
      <c r="C161" s="156"/>
      <c r="D161"/>
    </row>
    <row r="162" spans="1:4" x14ac:dyDescent="0.25">
      <c r="A162"/>
      <c r="B162"/>
      <c r="C162" s="156"/>
      <c r="D162"/>
    </row>
    <row r="163" spans="1:4" x14ac:dyDescent="0.25">
      <c r="A163"/>
      <c r="B163"/>
      <c r="C163" s="156"/>
      <c r="D163"/>
    </row>
    <row r="164" spans="1:4" x14ac:dyDescent="0.25">
      <c r="A164"/>
      <c r="B164"/>
      <c r="C164" s="156"/>
      <c r="D164"/>
    </row>
    <row r="165" spans="1:4" x14ac:dyDescent="0.25">
      <c r="A165"/>
      <c r="B165"/>
      <c r="C165" s="156"/>
      <c r="D165"/>
    </row>
    <row r="166" spans="1:4" x14ac:dyDescent="0.25">
      <c r="A166"/>
      <c r="B166"/>
      <c r="C166" s="156"/>
      <c r="D166"/>
    </row>
    <row r="167" spans="1:4" x14ac:dyDescent="0.25">
      <c r="A167"/>
      <c r="B167"/>
      <c r="C167" s="156"/>
      <c r="D167"/>
    </row>
    <row r="168" spans="1:4" x14ac:dyDescent="0.25">
      <c r="A168"/>
      <c r="B168"/>
      <c r="C168" s="156"/>
      <c r="D168"/>
    </row>
    <row r="169" spans="1:4" x14ac:dyDescent="0.25">
      <c r="A169"/>
      <c r="B169"/>
      <c r="C169" s="156"/>
      <c r="D169"/>
    </row>
    <row r="170" spans="1:4" x14ac:dyDescent="0.25">
      <c r="A170"/>
      <c r="B170"/>
      <c r="C170" s="156"/>
      <c r="D170"/>
    </row>
    <row r="171" spans="1:4" x14ac:dyDescent="0.25">
      <c r="A171"/>
      <c r="B171"/>
      <c r="C171" s="156"/>
      <c r="D171"/>
    </row>
    <row r="172" spans="1:4" x14ac:dyDescent="0.25">
      <c r="A172"/>
      <c r="B172"/>
      <c r="C172" s="156"/>
      <c r="D172"/>
    </row>
    <row r="173" spans="1:4" x14ac:dyDescent="0.25">
      <c r="A173"/>
      <c r="B173"/>
      <c r="C173" s="156"/>
      <c r="D173"/>
    </row>
    <row r="174" spans="1:4" x14ac:dyDescent="0.25">
      <c r="A174"/>
      <c r="B174"/>
      <c r="C174" s="156"/>
      <c r="D174"/>
    </row>
    <row r="175" spans="1:4" x14ac:dyDescent="0.25">
      <c r="A175"/>
      <c r="B175"/>
      <c r="C175" s="156"/>
      <c r="D175"/>
    </row>
    <row r="176" spans="1:4" x14ac:dyDescent="0.25">
      <c r="A176"/>
      <c r="B176"/>
      <c r="C176" s="156"/>
      <c r="D176"/>
    </row>
    <row r="177" spans="1:4" x14ac:dyDescent="0.25">
      <c r="A177"/>
      <c r="B177"/>
      <c r="C177" s="156"/>
      <c r="D177"/>
    </row>
    <row r="178" spans="1:4" x14ac:dyDescent="0.25">
      <c r="A178"/>
      <c r="B178"/>
      <c r="C178" s="156"/>
      <c r="D178"/>
    </row>
    <row r="179" spans="1:4" x14ac:dyDescent="0.25">
      <c r="A179"/>
      <c r="B179"/>
      <c r="C179" s="156"/>
      <c r="D179"/>
    </row>
    <row r="180" spans="1:4" x14ac:dyDescent="0.25">
      <c r="A180"/>
      <c r="B180"/>
      <c r="C180" s="156"/>
      <c r="D180"/>
    </row>
    <row r="181" spans="1:4" x14ac:dyDescent="0.25">
      <c r="A181"/>
      <c r="B181"/>
      <c r="C181" s="156"/>
      <c r="D181"/>
    </row>
    <row r="182" spans="1:4" x14ac:dyDescent="0.25">
      <c r="A182"/>
      <c r="B182"/>
      <c r="C182" s="156"/>
      <c r="D182"/>
    </row>
    <row r="183" spans="1:4" x14ac:dyDescent="0.25">
      <c r="A183"/>
      <c r="B183"/>
      <c r="C183" s="156"/>
      <c r="D183"/>
    </row>
    <row r="184" spans="1:4" x14ac:dyDescent="0.25">
      <c r="A184"/>
      <c r="B184"/>
      <c r="C184" s="156"/>
      <c r="D184"/>
    </row>
    <row r="185" spans="1:4" x14ac:dyDescent="0.25">
      <c r="A185"/>
      <c r="B185"/>
      <c r="C185" s="156"/>
      <c r="D185"/>
    </row>
    <row r="186" spans="1:4" x14ac:dyDescent="0.25">
      <c r="A186"/>
      <c r="B186"/>
      <c r="C186" s="156"/>
      <c r="D186"/>
    </row>
    <row r="187" spans="1:4" x14ac:dyDescent="0.25">
      <c r="A187"/>
      <c r="B187"/>
      <c r="C187" s="156"/>
      <c r="D187"/>
    </row>
    <row r="188" spans="1:4" x14ac:dyDescent="0.25">
      <c r="A188"/>
      <c r="B188"/>
      <c r="C188" s="156"/>
      <c r="D188"/>
    </row>
    <row r="189" spans="1:4" x14ac:dyDescent="0.25">
      <c r="A189"/>
      <c r="B189"/>
      <c r="C189" s="156"/>
      <c r="D189"/>
    </row>
    <row r="190" spans="1:4" x14ac:dyDescent="0.25">
      <c r="A190"/>
      <c r="B190"/>
      <c r="C190" s="156"/>
      <c r="D190"/>
    </row>
    <row r="191" spans="1:4" x14ac:dyDescent="0.25">
      <c r="A191"/>
      <c r="B191"/>
      <c r="C191" s="156"/>
      <c r="D191"/>
    </row>
    <row r="192" spans="1:4" x14ac:dyDescent="0.25">
      <c r="A192"/>
      <c r="B192"/>
      <c r="C192" s="156"/>
      <c r="D192"/>
    </row>
    <row r="193" spans="1:4" x14ac:dyDescent="0.25">
      <c r="A193"/>
      <c r="B193"/>
      <c r="C193" s="156"/>
      <c r="D193"/>
    </row>
    <row r="194" spans="1:4" x14ac:dyDescent="0.25">
      <c r="A194"/>
      <c r="B194"/>
      <c r="C194" s="156"/>
      <c r="D194"/>
    </row>
    <row r="195" spans="1:4" x14ac:dyDescent="0.25">
      <c r="A195"/>
      <c r="B195"/>
      <c r="C195" s="156"/>
      <c r="D195"/>
    </row>
    <row r="196" spans="1:4" x14ac:dyDescent="0.25">
      <c r="A196"/>
      <c r="B196"/>
      <c r="C196" s="156"/>
      <c r="D196"/>
    </row>
    <row r="197" spans="1:4" x14ac:dyDescent="0.25">
      <c r="A197"/>
      <c r="B197"/>
      <c r="C197" s="156"/>
      <c r="D197"/>
    </row>
    <row r="198" spans="1:4" x14ac:dyDescent="0.25">
      <c r="A198"/>
      <c r="B198"/>
      <c r="C198" s="156"/>
      <c r="D198"/>
    </row>
    <row r="199" spans="1:4" x14ac:dyDescent="0.25">
      <c r="A199"/>
      <c r="B199"/>
      <c r="C199" s="156"/>
      <c r="D199"/>
    </row>
    <row r="200" spans="1:4" x14ac:dyDescent="0.25">
      <c r="A200"/>
      <c r="B200"/>
      <c r="C200" s="156"/>
      <c r="D200"/>
    </row>
    <row r="201" spans="1:4" x14ac:dyDescent="0.25">
      <c r="A201"/>
      <c r="B201"/>
      <c r="C201" s="156"/>
      <c r="D201"/>
    </row>
    <row r="202" spans="1:4" x14ac:dyDescent="0.25">
      <c r="A202"/>
      <c r="B202"/>
      <c r="C202" s="156"/>
      <c r="D202"/>
    </row>
    <row r="203" spans="1:4" x14ac:dyDescent="0.25">
      <c r="A203"/>
      <c r="B203"/>
      <c r="C203" s="156"/>
      <c r="D203"/>
    </row>
    <row r="204" spans="1:4" x14ac:dyDescent="0.25">
      <c r="A204"/>
      <c r="B204"/>
      <c r="C204" s="156"/>
      <c r="D204"/>
    </row>
    <row r="205" spans="1:4" x14ac:dyDescent="0.25">
      <c r="A205"/>
      <c r="B205"/>
      <c r="C205" s="156"/>
      <c r="D205"/>
    </row>
    <row r="206" spans="1:4" x14ac:dyDescent="0.25">
      <c r="A206"/>
      <c r="B206"/>
      <c r="C206" s="156"/>
      <c r="D206"/>
    </row>
    <row r="207" spans="1:4" x14ac:dyDescent="0.25">
      <c r="A207"/>
      <c r="B207"/>
      <c r="C207" s="156"/>
      <c r="D207"/>
    </row>
    <row r="208" spans="1:4" x14ac:dyDescent="0.25">
      <c r="A208"/>
      <c r="B208"/>
      <c r="C208" s="156"/>
      <c r="D208"/>
    </row>
    <row r="209" spans="1:4" x14ac:dyDescent="0.25">
      <c r="A209"/>
      <c r="B209"/>
      <c r="C209" s="156"/>
      <c r="D209"/>
    </row>
    <row r="210" spans="1:4" x14ac:dyDescent="0.25">
      <c r="A210"/>
      <c r="B210"/>
      <c r="C210" s="156"/>
      <c r="D210"/>
    </row>
    <row r="211" spans="1:4" x14ac:dyDescent="0.25">
      <c r="A211"/>
      <c r="B211"/>
      <c r="C211" s="156"/>
      <c r="D211"/>
    </row>
    <row r="212" spans="1:4" x14ac:dyDescent="0.25">
      <c r="A212"/>
      <c r="B212"/>
      <c r="C212" s="156"/>
      <c r="D212"/>
    </row>
    <row r="213" spans="1:4" x14ac:dyDescent="0.25">
      <c r="A213"/>
      <c r="B213"/>
      <c r="C213" s="156"/>
      <c r="D213"/>
    </row>
    <row r="214" spans="1:4" x14ac:dyDescent="0.25">
      <c r="A214"/>
      <c r="B214"/>
      <c r="C214" s="156"/>
      <c r="D214"/>
    </row>
    <row r="215" spans="1:4" x14ac:dyDescent="0.25">
      <c r="A215"/>
      <c r="B215"/>
      <c r="C215" s="156"/>
      <c r="D215"/>
    </row>
    <row r="216" spans="1:4" x14ac:dyDescent="0.25">
      <c r="A216"/>
      <c r="B216"/>
      <c r="C216" s="156"/>
      <c r="D216"/>
    </row>
    <row r="217" spans="1:4" x14ac:dyDescent="0.25">
      <c r="A217"/>
      <c r="B217"/>
      <c r="C217" s="156"/>
      <c r="D217"/>
    </row>
    <row r="218" spans="1:4" x14ac:dyDescent="0.25">
      <c r="A218"/>
      <c r="B218"/>
      <c r="C218" s="156"/>
      <c r="D218"/>
    </row>
    <row r="219" spans="1:4" x14ac:dyDescent="0.25">
      <c r="A219"/>
      <c r="B219"/>
      <c r="C219" s="156"/>
      <c r="D219"/>
    </row>
    <row r="220" spans="1:4" x14ac:dyDescent="0.25">
      <c r="A220"/>
      <c r="B220"/>
      <c r="C220" s="156"/>
      <c r="D220"/>
    </row>
    <row r="221" spans="1:4" x14ac:dyDescent="0.25">
      <c r="A221"/>
      <c r="B221"/>
      <c r="C221" s="156"/>
      <c r="D221"/>
    </row>
    <row r="222" spans="1:4" x14ac:dyDescent="0.25">
      <c r="A222"/>
      <c r="B222"/>
      <c r="C222" s="156"/>
      <c r="D222"/>
    </row>
    <row r="223" spans="1:4" x14ac:dyDescent="0.25">
      <c r="A223"/>
      <c r="B223"/>
      <c r="C223" s="156"/>
      <c r="D223"/>
    </row>
    <row r="224" spans="1:4" x14ac:dyDescent="0.25">
      <c r="A224"/>
      <c r="B224"/>
      <c r="C224" s="156"/>
      <c r="D224"/>
    </row>
    <row r="225" spans="1:4" x14ac:dyDescent="0.25">
      <c r="A225"/>
      <c r="B225"/>
      <c r="C225" s="156"/>
      <c r="D225"/>
    </row>
    <row r="226" spans="1:4" x14ac:dyDescent="0.25">
      <c r="A226"/>
      <c r="B226"/>
      <c r="C226" s="156"/>
      <c r="D226"/>
    </row>
    <row r="227" spans="1:4" x14ac:dyDescent="0.25">
      <c r="A227"/>
      <c r="B227"/>
      <c r="C227" s="156"/>
      <c r="D227"/>
    </row>
    <row r="228" spans="1:4" x14ac:dyDescent="0.25">
      <c r="A228"/>
      <c r="B228"/>
      <c r="C228" s="156"/>
      <c r="D228"/>
    </row>
    <row r="229" spans="1:4" x14ac:dyDescent="0.25">
      <c r="A229"/>
      <c r="B229"/>
      <c r="C229" s="156"/>
      <c r="D229"/>
    </row>
    <row r="230" spans="1:4" x14ac:dyDescent="0.25">
      <c r="A230"/>
      <c r="B230"/>
      <c r="C230" s="156"/>
      <c r="D230"/>
    </row>
    <row r="231" spans="1:4" x14ac:dyDescent="0.25">
      <c r="A231"/>
      <c r="B231"/>
      <c r="C231" s="156"/>
      <c r="D231"/>
    </row>
    <row r="232" spans="1:4" x14ac:dyDescent="0.25">
      <c r="A232"/>
      <c r="B232"/>
      <c r="C232" s="156"/>
      <c r="D232"/>
    </row>
    <row r="233" spans="1:4" x14ac:dyDescent="0.25">
      <c r="A233"/>
      <c r="B233"/>
      <c r="C233" s="156"/>
      <c r="D233"/>
    </row>
    <row r="234" spans="1:4" x14ac:dyDescent="0.25">
      <c r="A234"/>
      <c r="B234"/>
      <c r="C234" s="156"/>
      <c r="D234"/>
    </row>
    <row r="235" spans="1:4" x14ac:dyDescent="0.25">
      <c r="A235"/>
      <c r="B235"/>
      <c r="C235" s="156"/>
      <c r="D235"/>
    </row>
    <row r="236" spans="1:4" x14ac:dyDescent="0.25">
      <c r="A236"/>
      <c r="B236"/>
      <c r="C236" s="156"/>
      <c r="D236"/>
    </row>
    <row r="237" spans="1:4" x14ac:dyDescent="0.25">
      <c r="A237"/>
      <c r="B237"/>
      <c r="C237" s="156"/>
      <c r="D237"/>
    </row>
    <row r="238" spans="1:4" x14ac:dyDescent="0.25">
      <c r="A238"/>
      <c r="B238"/>
      <c r="C238" s="156"/>
      <c r="D238"/>
    </row>
    <row r="239" spans="1:4" x14ac:dyDescent="0.25">
      <c r="A239"/>
      <c r="B239"/>
      <c r="C239" s="156"/>
      <c r="D239"/>
    </row>
    <row r="240" spans="1:4" x14ac:dyDescent="0.25">
      <c r="A240"/>
      <c r="B240"/>
      <c r="C240" s="156"/>
      <c r="D240"/>
    </row>
    <row r="241" spans="1:4" x14ac:dyDescent="0.25">
      <c r="A241"/>
      <c r="B241"/>
      <c r="C241" s="156"/>
      <c r="D241"/>
    </row>
    <row r="242" spans="1:4" x14ac:dyDescent="0.25">
      <c r="A242"/>
      <c r="B242"/>
      <c r="C242" s="156"/>
      <c r="D242"/>
    </row>
    <row r="243" spans="1:4" x14ac:dyDescent="0.25">
      <c r="A243"/>
      <c r="B243"/>
      <c r="C243" s="156"/>
      <c r="D243"/>
    </row>
    <row r="244" spans="1:4" x14ac:dyDescent="0.25">
      <c r="A244"/>
      <c r="B244"/>
      <c r="C244" s="156"/>
      <c r="D244"/>
    </row>
    <row r="245" spans="1:4" x14ac:dyDescent="0.25">
      <c r="A245"/>
      <c r="B245"/>
      <c r="C245" s="156"/>
      <c r="D245"/>
    </row>
    <row r="246" spans="1:4" x14ac:dyDescent="0.25">
      <c r="A246"/>
      <c r="B246"/>
      <c r="C246" s="156"/>
      <c r="D246"/>
    </row>
    <row r="247" spans="1:4" x14ac:dyDescent="0.25">
      <c r="A247"/>
      <c r="B247"/>
      <c r="C247" s="156"/>
      <c r="D247"/>
    </row>
    <row r="248" spans="1:4" x14ac:dyDescent="0.25">
      <c r="A248"/>
      <c r="B248"/>
      <c r="C248" s="156"/>
      <c r="D248"/>
    </row>
    <row r="249" spans="1:4" x14ac:dyDescent="0.25">
      <c r="A249"/>
      <c r="B249"/>
      <c r="C249" s="156"/>
      <c r="D249"/>
    </row>
    <row r="250" spans="1:4" x14ac:dyDescent="0.25">
      <c r="A250"/>
      <c r="B250"/>
      <c r="C250" s="156"/>
      <c r="D250"/>
    </row>
    <row r="251" spans="1:4" x14ac:dyDescent="0.25">
      <c r="A251"/>
      <c r="B251"/>
      <c r="C251" s="156"/>
      <c r="D251"/>
    </row>
    <row r="252" spans="1:4" x14ac:dyDescent="0.25">
      <c r="A252"/>
      <c r="B252"/>
      <c r="C252" s="156"/>
      <c r="D252"/>
    </row>
    <row r="253" spans="1:4" x14ac:dyDescent="0.25">
      <c r="A253"/>
      <c r="B253"/>
      <c r="C253" s="156"/>
      <c r="D253"/>
    </row>
    <row r="254" spans="1:4" x14ac:dyDescent="0.25">
      <c r="A254"/>
      <c r="B254"/>
      <c r="C254" s="156"/>
      <c r="D254"/>
    </row>
    <row r="255" spans="1:4" x14ac:dyDescent="0.25">
      <c r="A255"/>
      <c r="B255"/>
      <c r="C255" s="156"/>
      <c r="D255"/>
    </row>
    <row r="256" spans="1:4" x14ac:dyDescent="0.25">
      <c r="A256"/>
      <c r="B256"/>
      <c r="C256" s="156"/>
      <c r="D256"/>
    </row>
    <row r="257" spans="1:4" x14ac:dyDescent="0.25">
      <c r="A257"/>
      <c r="B257"/>
      <c r="C257" s="156"/>
      <c r="D257"/>
    </row>
    <row r="258" spans="1:4" x14ac:dyDescent="0.25">
      <c r="A258"/>
      <c r="B258"/>
      <c r="C258" s="156"/>
      <c r="D258"/>
    </row>
  </sheetData>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I296"/>
  <sheetViews>
    <sheetView workbookViewId="0">
      <selection activeCell="A11" sqref="A11"/>
    </sheetView>
  </sheetViews>
  <sheetFormatPr defaultColWidth="9.140625" defaultRowHeight="15" x14ac:dyDescent="0.25"/>
  <cols>
    <col min="1" max="1" width="16.5703125" style="1" bestFit="1" customWidth="1"/>
    <col min="2" max="2" width="15.5703125" style="79" customWidth="1"/>
    <col min="3" max="3" width="131.140625" style="123" bestFit="1" customWidth="1"/>
    <col min="4" max="4" width="5.42578125" style="50" customWidth="1"/>
    <col min="5" max="5" width="15.7109375" style="50" customWidth="1"/>
    <col min="6" max="6" width="17.5703125" style="50" customWidth="1"/>
    <col min="7" max="7" width="45.85546875" style="50" bestFit="1" customWidth="1"/>
    <col min="8" max="16384" width="9.140625" style="50"/>
  </cols>
  <sheetData>
    <row r="1" spans="1:9" x14ac:dyDescent="0.25">
      <c r="A1" s="118" t="s">
        <v>141</v>
      </c>
      <c r="B1" s="20" t="s">
        <v>76</v>
      </c>
    </row>
    <row r="2" spans="1:9" x14ac:dyDescent="0.25">
      <c r="A2" s="150" t="s">
        <v>28</v>
      </c>
      <c r="B2" s="20" t="s">
        <v>76</v>
      </c>
    </row>
    <row r="3" spans="1:9" x14ac:dyDescent="0.25">
      <c r="A3" s="118" t="s">
        <v>47</v>
      </c>
      <c r="B3" s="121" t="s">
        <v>76</v>
      </c>
    </row>
    <row r="4" spans="1:9" x14ac:dyDescent="0.25">
      <c r="B4"/>
      <c r="C4"/>
      <c r="D4"/>
      <c r="E4"/>
      <c r="F4"/>
      <c r="G4"/>
      <c r="H4"/>
      <c r="I4"/>
    </row>
    <row r="5" spans="1:9" s="2" customFormat="1" x14ac:dyDescent="0.25">
      <c r="A5" s="56" t="s">
        <v>87</v>
      </c>
      <c r="B5" s="22"/>
      <c r="C5" s="22"/>
      <c r="D5" s="73"/>
      <c r="E5"/>
      <c r="F5"/>
      <c r="G5"/>
      <c r="H5"/>
      <c r="I5"/>
    </row>
    <row r="6" spans="1:9" x14ac:dyDescent="0.25">
      <c r="A6" s="122" t="s">
        <v>5</v>
      </c>
      <c r="B6" s="56" t="s">
        <v>48</v>
      </c>
      <c r="C6" s="116" t="s">
        <v>6</v>
      </c>
      <c r="D6" s="73" t="s">
        <v>79</v>
      </c>
      <c r="E6"/>
      <c r="F6"/>
      <c r="G6"/>
      <c r="H6"/>
      <c r="I6"/>
    </row>
    <row r="7" spans="1:9" x14ac:dyDescent="0.25">
      <c r="A7" s="21">
        <v>45</v>
      </c>
      <c r="B7" s="21" t="s">
        <v>376</v>
      </c>
      <c r="C7" s="19" t="s">
        <v>119</v>
      </c>
      <c r="D7" s="74">
        <v>2</v>
      </c>
      <c r="E7"/>
      <c r="F7"/>
      <c r="G7"/>
      <c r="H7"/>
      <c r="I7"/>
    </row>
    <row r="8" spans="1:9" x14ac:dyDescent="0.25">
      <c r="A8" s="125"/>
      <c r="B8" s="125"/>
      <c r="C8" s="31" t="s">
        <v>140</v>
      </c>
      <c r="D8" s="124">
        <v>1</v>
      </c>
      <c r="E8"/>
      <c r="F8"/>
      <c r="G8"/>
      <c r="H8"/>
      <c r="I8"/>
    </row>
    <row r="9" spans="1:9" x14ac:dyDescent="0.25">
      <c r="A9" s="125"/>
      <c r="B9" s="125"/>
      <c r="C9" s="31" t="s">
        <v>191</v>
      </c>
      <c r="D9" s="124">
        <v>1</v>
      </c>
      <c r="E9"/>
      <c r="F9"/>
      <c r="G9"/>
      <c r="H9"/>
      <c r="I9"/>
    </row>
    <row r="10" spans="1:9" x14ac:dyDescent="0.25">
      <c r="A10" s="125"/>
      <c r="B10" s="125"/>
      <c r="C10" s="31" t="s">
        <v>246</v>
      </c>
      <c r="D10" s="124">
        <v>2</v>
      </c>
      <c r="E10"/>
      <c r="F10"/>
      <c r="G10"/>
      <c r="H10"/>
      <c r="I10"/>
    </row>
    <row r="11" spans="1:9" x14ac:dyDescent="0.25">
      <c r="A11" s="125"/>
      <c r="B11" s="125"/>
      <c r="C11" s="31" t="s">
        <v>293</v>
      </c>
      <c r="D11" s="124">
        <v>1</v>
      </c>
      <c r="E11"/>
      <c r="F11"/>
      <c r="G11"/>
      <c r="H11"/>
      <c r="I11"/>
    </row>
    <row r="12" spans="1:9" x14ac:dyDescent="0.25">
      <c r="A12" s="125"/>
      <c r="B12" s="125"/>
      <c r="C12" s="31" t="s">
        <v>310</v>
      </c>
      <c r="D12" s="124">
        <v>1</v>
      </c>
      <c r="E12"/>
      <c r="F12"/>
      <c r="G12"/>
      <c r="H12"/>
      <c r="I12"/>
    </row>
    <row r="13" spans="1:9" x14ac:dyDescent="0.25">
      <c r="A13" s="125"/>
      <c r="B13" s="125"/>
      <c r="C13" s="31" t="s">
        <v>320</v>
      </c>
      <c r="D13" s="124">
        <v>1</v>
      </c>
      <c r="E13"/>
      <c r="F13"/>
      <c r="G13"/>
      <c r="H13"/>
      <c r="I13"/>
    </row>
    <row r="14" spans="1:9" x14ac:dyDescent="0.25">
      <c r="A14" s="21">
        <v>135</v>
      </c>
      <c r="B14" s="21" t="s">
        <v>376</v>
      </c>
      <c r="C14" s="19" t="s">
        <v>167</v>
      </c>
      <c r="D14" s="74">
        <v>1</v>
      </c>
      <c r="E14"/>
      <c r="F14"/>
      <c r="G14"/>
      <c r="H14"/>
      <c r="I14"/>
    </row>
    <row r="15" spans="1:9" x14ac:dyDescent="0.25">
      <c r="A15" s="125"/>
      <c r="B15" s="125"/>
      <c r="C15" s="31" t="s">
        <v>171</v>
      </c>
      <c r="D15" s="124">
        <v>1</v>
      </c>
      <c r="E15"/>
      <c r="F15"/>
      <c r="G15"/>
      <c r="H15"/>
      <c r="I15"/>
    </row>
    <row r="16" spans="1:9" x14ac:dyDescent="0.25">
      <c r="A16" s="125"/>
      <c r="B16" s="125"/>
      <c r="C16" s="31" t="s">
        <v>211</v>
      </c>
      <c r="D16" s="124">
        <v>1</v>
      </c>
      <c r="E16"/>
      <c r="F16"/>
      <c r="G16"/>
      <c r="H16"/>
      <c r="I16"/>
    </row>
    <row r="17" spans="1:9" x14ac:dyDescent="0.25">
      <c r="A17" s="125"/>
      <c r="B17" s="125"/>
      <c r="C17" s="31" t="s">
        <v>257</v>
      </c>
      <c r="D17" s="124">
        <v>2</v>
      </c>
      <c r="E17"/>
      <c r="F17"/>
      <c r="G17"/>
      <c r="H17"/>
      <c r="I17"/>
    </row>
    <row r="18" spans="1:9" x14ac:dyDescent="0.25">
      <c r="A18" s="125"/>
      <c r="B18" s="125"/>
      <c r="C18" s="31" t="s">
        <v>275</v>
      </c>
      <c r="D18" s="124">
        <v>2</v>
      </c>
      <c r="E18"/>
      <c r="F18"/>
      <c r="G18"/>
      <c r="H18"/>
      <c r="I18"/>
    </row>
    <row r="19" spans="1:9" x14ac:dyDescent="0.25">
      <c r="A19" s="125"/>
      <c r="B19" s="125"/>
      <c r="C19" s="31" t="s">
        <v>285</v>
      </c>
      <c r="D19" s="124">
        <v>1</v>
      </c>
      <c r="E19"/>
      <c r="F19"/>
      <c r="G19"/>
      <c r="H19"/>
      <c r="I19"/>
    </row>
    <row r="20" spans="1:9" x14ac:dyDescent="0.25">
      <c r="A20" s="125"/>
      <c r="B20" s="125"/>
      <c r="C20" s="31" t="s">
        <v>313</v>
      </c>
      <c r="D20" s="124">
        <v>1</v>
      </c>
      <c r="E20"/>
      <c r="F20"/>
      <c r="G20"/>
      <c r="H20"/>
      <c r="I20"/>
    </row>
    <row r="21" spans="1:9" x14ac:dyDescent="0.25">
      <c r="A21" s="125"/>
      <c r="B21" s="125"/>
      <c r="C21" s="31" t="s">
        <v>359</v>
      </c>
      <c r="D21" s="124">
        <v>1</v>
      </c>
      <c r="E21"/>
      <c r="F21"/>
      <c r="G21"/>
      <c r="H21"/>
      <c r="I21"/>
    </row>
    <row r="22" spans="1:9" x14ac:dyDescent="0.25">
      <c r="A22" s="21">
        <v>234</v>
      </c>
      <c r="B22" s="21">
        <v>7</v>
      </c>
      <c r="C22" s="19" t="s">
        <v>106</v>
      </c>
      <c r="D22" s="74">
        <v>2</v>
      </c>
      <c r="E22"/>
      <c r="F22"/>
      <c r="G22"/>
      <c r="H22"/>
      <c r="I22"/>
    </row>
    <row r="23" spans="1:9" x14ac:dyDescent="0.25">
      <c r="A23" s="125"/>
      <c r="B23" s="125"/>
      <c r="C23" s="31" t="s">
        <v>133</v>
      </c>
      <c r="D23" s="124">
        <v>1</v>
      </c>
      <c r="E23"/>
      <c r="F23"/>
      <c r="G23"/>
      <c r="H23"/>
      <c r="I23"/>
    </row>
    <row r="24" spans="1:9" x14ac:dyDescent="0.25">
      <c r="A24" s="125"/>
      <c r="B24" s="125"/>
      <c r="C24" s="31" t="s">
        <v>233</v>
      </c>
      <c r="D24" s="124">
        <v>2</v>
      </c>
      <c r="E24"/>
      <c r="F24"/>
      <c r="G24"/>
      <c r="H24"/>
      <c r="I24"/>
    </row>
    <row r="25" spans="1:9" x14ac:dyDescent="0.25">
      <c r="A25" s="125"/>
      <c r="B25" s="125"/>
      <c r="C25" s="31" t="s">
        <v>260</v>
      </c>
      <c r="D25" s="124">
        <v>2</v>
      </c>
      <c r="E25"/>
      <c r="F25"/>
      <c r="G25"/>
      <c r="H25"/>
      <c r="I25"/>
    </row>
    <row r="26" spans="1:9" x14ac:dyDescent="0.25">
      <c r="A26" s="125"/>
      <c r="B26" s="125"/>
      <c r="C26" s="31" t="s">
        <v>365</v>
      </c>
      <c r="D26" s="124">
        <v>1</v>
      </c>
      <c r="E26"/>
      <c r="F26"/>
      <c r="G26"/>
      <c r="H26"/>
      <c r="I26"/>
    </row>
    <row r="27" spans="1:9" x14ac:dyDescent="0.25">
      <c r="A27" s="21">
        <v>292</v>
      </c>
      <c r="B27" s="21">
        <v>15</v>
      </c>
      <c r="C27" s="19" t="s">
        <v>111</v>
      </c>
      <c r="D27" s="74">
        <v>2</v>
      </c>
      <c r="E27"/>
      <c r="F27"/>
      <c r="G27"/>
      <c r="H27"/>
      <c r="I27"/>
    </row>
    <row r="28" spans="1:9" x14ac:dyDescent="0.25">
      <c r="A28" s="125"/>
      <c r="B28" s="125"/>
      <c r="C28" s="31" t="s">
        <v>124</v>
      </c>
      <c r="D28" s="124">
        <v>2</v>
      </c>
      <c r="E28"/>
      <c r="F28"/>
      <c r="G28"/>
      <c r="H28"/>
      <c r="I28"/>
    </row>
    <row r="29" spans="1:9" x14ac:dyDescent="0.25">
      <c r="A29" s="125"/>
      <c r="B29" s="125"/>
      <c r="C29" s="31" t="s">
        <v>144</v>
      </c>
      <c r="D29" s="124">
        <v>1</v>
      </c>
      <c r="E29"/>
      <c r="F29"/>
      <c r="G29"/>
      <c r="H29"/>
      <c r="I29"/>
    </row>
    <row r="30" spans="1:9" x14ac:dyDescent="0.25">
      <c r="A30" s="125"/>
      <c r="B30" s="125"/>
      <c r="C30" s="31" t="s">
        <v>169</v>
      </c>
      <c r="D30" s="124">
        <v>1</v>
      </c>
      <c r="E30"/>
      <c r="F30"/>
      <c r="G30"/>
      <c r="H30"/>
      <c r="I30"/>
    </row>
    <row r="31" spans="1:9" x14ac:dyDescent="0.25">
      <c r="A31" s="125"/>
      <c r="B31" s="125"/>
      <c r="C31" s="31" t="s">
        <v>181</v>
      </c>
      <c r="D31" s="124">
        <v>1</v>
      </c>
      <c r="E31"/>
      <c r="F31"/>
      <c r="G31"/>
      <c r="H31"/>
      <c r="I31"/>
    </row>
    <row r="32" spans="1:9" x14ac:dyDescent="0.25">
      <c r="A32" s="125"/>
      <c r="B32" s="125"/>
      <c r="C32" s="31" t="s">
        <v>262</v>
      </c>
      <c r="D32" s="124">
        <v>2</v>
      </c>
      <c r="E32"/>
      <c r="F32"/>
      <c r="G32"/>
      <c r="H32"/>
      <c r="I32"/>
    </row>
    <row r="33" spans="1:9" x14ac:dyDescent="0.25">
      <c r="A33" s="125"/>
      <c r="B33" s="125"/>
      <c r="C33" s="31" t="s">
        <v>298</v>
      </c>
      <c r="D33" s="124">
        <v>1</v>
      </c>
      <c r="E33"/>
      <c r="F33"/>
      <c r="G33"/>
      <c r="H33"/>
      <c r="I33"/>
    </row>
    <row r="34" spans="1:9" x14ac:dyDescent="0.25">
      <c r="A34" s="125"/>
      <c r="B34" s="125"/>
      <c r="C34" s="31" t="s">
        <v>315</v>
      </c>
      <c r="D34" s="124">
        <v>1</v>
      </c>
      <c r="E34"/>
      <c r="F34"/>
      <c r="G34"/>
      <c r="H34"/>
      <c r="I34"/>
    </row>
    <row r="35" spans="1:9" x14ac:dyDescent="0.25">
      <c r="A35" s="125"/>
      <c r="B35" s="125"/>
      <c r="C35" s="31" t="s">
        <v>377</v>
      </c>
      <c r="D35" s="124">
        <v>1</v>
      </c>
      <c r="E35"/>
      <c r="F35"/>
      <c r="G35"/>
      <c r="H35"/>
      <c r="I35"/>
    </row>
    <row r="36" spans="1:9" x14ac:dyDescent="0.25">
      <c r="A36" s="125"/>
      <c r="B36" s="125"/>
      <c r="C36" s="31" t="s">
        <v>384</v>
      </c>
      <c r="D36" s="124">
        <v>1</v>
      </c>
      <c r="E36"/>
      <c r="F36"/>
      <c r="G36"/>
      <c r="H36"/>
      <c r="I36"/>
    </row>
    <row r="37" spans="1:9" x14ac:dyDescent="0.25">
      <c r="A37" s="125"/>
      <c r="B37" s="125"/>
      <c r="C37" s="31" t="s">
        <v>399</v>
      </c>
      <c r="D37" s="124">
        <v>1</v>
      </c>
      <c r="E37"/>
      <c r="F37"/>
      <c r="G37"/>
      <c r="H37"/>
      <c r="I37"/>
    </row>
    <row r="38" spans="1:9" x14ac:dyDescent="0.25">
      <c r="A38" s="21">
        <v>359</v>
      </c>
      <c r="B38" s="21">
        <v>1</v>
      </c>
      <c r="C38" s="19" t="s">
        <v>200</v>
      </c>
      <c r="D38" s="74">
        <v>1</v>
      </c>
      <c r="E38"/>
      <c r="F38"/>
      <c r="G38"/>
      <c r="H38"/>
      <c r="I38"/>
    </row>
    <row r="39" spans="1:9" x14ac:dyDescent="0.25">
      <c r="A39" s="125"/>
      <c r="B39" s="125"/>
      <c r="C39" s="31" t="s">
        <v>264</v>
      </c>
      <c r="D39" s="124">
        <v>2</v>
      </c>
      <c r="E39"/>
      <c r="F39"/>
      <c r="G39"/>
      <c r="H39"/>
      <c r="I39"/>
    </row>
    <row r="40" spans="1:9" x14ac:dyDescent="0.25">
      <c r="A40" s="125"/>
      <c r="B40" s="125"/>
      <c r="C40" s="31" t="s">
        <v>303</v>
      </c>
      <c r="D40" s="124">
        <v>2</v>
      </c>
      <c r="E40"/>
      <c r="F40"/>
      <c r="G40"/>
      <c r="H40"/>
      <c r="I40"/>
    </row>
    <row r="41" spans="1:9" x14ac:dyDescent="0.25">
      <c r="A41" s="125"/>
      <c r="B41" s="125"/>
      <c r="C41" s="31" t="s">
        <v>340</v>
      </c>
      <c r="D41" s="124">
        <v>1</v>
      </c>
      <c r="E41"/>
      <c r="F41"/>
      <c r="G41"/>
      <c r="H41"/>
      <c r="I41"/>
    </row>
    <row r="42" spans="1:9" x14ac:dyDescent="0.25">
      <c r="A42" s="125"/>
      <c r="B42" s="125"/>
      <c r="C42" s="31" t="s">
        <v>360</v>
      </c>
      <c r="D42" s="124">
        <v>1</v>
      </c>
      <c r="E42"/>
      <c r="F42"/>
      <c r="G42"/>
      <c r="H42"/>
      <c r="I42"/>
    </row>
    <row r="43" spans="1:9" x14ac:dyDescent="0.25">
      <c r="A43" s="21">
        <v>461</v>
      </c>
      <c r="B43" s="21">
        <v>14</v>
      </c>
      <c r="C43" s="19" t="s">
        <v>149</v>
      </c>
      <c r="D43" s="74">
        <v>1</v>
      </c>
      <c r="E43"/>
      <c r="F43"/>
      <c r="G43"/>
      <c r="H43"/>
      <c r="I43"/>
    </row>
    <row r="44" spans="1:9" x14ac:dyDescent="0.25">
      <c r="A44" s="125"/>
      <c r="B44" s="125"/>
      <c r="C44" s="31" t="s">
        <v>157</v>
      </c>
      <c r="D44" s="124">
        <v>1</v>
      </c>
      <c r="E44"/>
      <c r="F44"/>
      <c r="G44"/>
      <c r="H44"/>
      <c r="I44"/>
    </row>
    <row r="45" spans="1:9" x14ac:dyDescent="0.25">
      <c r="A45" s="125"/>
      <c r="B45" s="125"/>
      <c r="C45" s="31" t="s">
        <v>219</v>
      </c>
      <c r="D45" s="124">
        <v>1</v>
      </c>
      <c r="E45"/>
      <c r="F45"/>
      <c r="G45"/>
      <c r="H45"/>
      <c r="I45"/>
    </row>
    <row r="46" spans="1:9" x14ac:dyDescent="0.25">
      <c r="A46" s="125"/>
      <c r="B46" s="125"/>
      <c r="C46" s="31" t="s">
        <v>236</v>
      </c>
      <c r="D46" s="124">
        <v>1</v>
      </c>
      <c r="E46"/>
      <c r="F46"/>
      <c r="G46"/>
      <c r="H46"/>
      <c r="I46"/>
    </row>
    <row r="47" spans="1:9" x14ac:dyDescent="0.25">
      <c r="A47" s="125"/>
      <c r="B47" s="125"/>
      <c r="C47" s="31" t="s">
        <v>329</v>
      </c>
      <c r="D47" s="124">
        <v>1</v>
      </c>
      <c r="E47"/>
      <c r="F47"/>
      <c r="G47"/>
      <c r="H47"/>
      <c r="I47"/>
    </row>
    <row r="48" spans="1:9" x14ac:dyDescent="0.25">
      <c r="A48" s="125"/>
      <c r="B48" s="125"/>
      <c r="C48" s="31" t="s">
        <v>392</v>
      </c>
      <c r="D48" s="124">
        <v>1</v>
      </c>
      <c r="E48"/>
      <c r="F48"/>
      <c r="G48"/>
      <c r="H48"/>
      <c r="I48"/>
    </row>
    <row r="49" spans="1:9" x14ac:dyDescent="0.25">
      <c r="A49" s="21">
        <v>829</v>
      </c>
      <c r="B49" s="21">
        <v>9</v>
      </c>
      <c r="C49" s="19" t="s">
        <v>164</v>
      </c>
      <c r="D49" s="74">
        <v>1</v>
      </c>
      <c r="E49"/>
      <c r="F49"/>
      <c r="G49"/>
      <c r="H49"/>
      <c r="I49"/>
    </row>
    <row r="50" spans="1:9" x14ac:dyDescent="0.25">
      <c r="A50" s="125"/>
      <c r="B50" s="125"/>
      <c r="C50" s="31" t="s">
        <v>250</v>
      </c>
      <c r="D50" s="124">
        <v>1</v>
      </c>
      <c r="E50"/>
      <c r="F50"/>
      <c r="G50"/>
    </row>
    <row r="51" spans="1:9" x14ac:dyDescent="0.25">
      <c r="A51" s="125"/>
      <c r="B51" s="125"/>
      <c r="C51" s="31" t="s">
        <v>272</v>
      </c>
      <c r="D51" s="124">
        <v>2</v>
      </c>
      <c r="E51"/>
      <c r="F51"/>
      <c r="G51"/>
    </row>
    <row r="52" spans="1:9" x14ac:dyDescent="0.25">
      <c r="A52" s="125"/>
      <c r="B52" s="125"/>
      <c r="C52" s="31" t="s">
        <v>299</v>
      </c>
      <c r="D52" s="124">
        <v>1</v>
      </c>
      <c r="E52"/>
      <c r="F52"/>
      <c r="G52"/>
    </row>
    <row r="53" spans="1:9" x14ac:dyDescent="0.25">
      <c r="A53" s="125"/>
      <c r="B53" s="125"/>
      <c r="C53" s="31" t="s">
        <v>358</v>
      </c>
      <c r="D53" s="124">
        <v>1</v>
      </c>
      <c r="E53"/>
      <c r="F53"/>
      <c r="G53"/>
    </row>
    <row r="54" spans="1:9" x14ac:dyDescent="0.25">
      <c r="A54" s="125"/>
      <c r="B54" s="125"/>
      <c r="C54" s="31" t="s">
        <v>387</v>
      </c>
      <c r="D54" s="124">
        <v>1</v>
      </c>
      <c r="E54"/>
      <c r="F54"/>
      <c r="G54"/>
    </row>
    <row r="55" spans="1:9" x14ac:dyDescent="0.25">
      <c r="A55" s="125"/>
      <c r="B55" s="125"/>
      <c r="C55" s="31" t="s">
        <v>402</v>
      </c>
      <c r="D55" s="124">
        <v>1</v>
      </c>
      <c r="E55"/>
      <c r="F55"/>
      <c r="G55"/>
    </row>
    <row r="56" spans="1:9" x14ac:dyDescent="0.25">
      <c r="A56" s="125"/>
      <c r="B56" s="125"/>
      <c r="C56" s="31" t="s">
        <v>406</v>
      </c>
      <c r="D56" s="124">
        <v>1</v>
      </c>
      <c r="E56"/>
      <c r="F56"/>
      <c r="G56"/>
    </row>
    <row r="57" spans="1:9" x14ac:dyDescent="0.25">
      <c r="A57" s="21">
        <v>868</v>
      </c>
      <c r="B57" s="21">
        <v>2</v>
      </c>
      <c r="C57" s="19" t="s">
        <v>108</v>
      </c>
      <c r="D57" s="74">
        <v>2</v>
      </c>
      <c r="E57"/>
      <c r="F57"/>
      <c r="G57"/>
    </row>
    <row r="58" spans="1:9" x14ac:dyDescent="0.25">
      <c r="A58" s="125"/>
      <c r="B58" s="125"/>
      <c r="C58" s="31" t="s">
        <v>117</v>
      </c>
      <c r="D58" s="124">
        <v>2</v>
      </c>
      <c r="E58"/>
      <c r="F58"/>
      <c r="G58"/>
    </row>
    <row r="59" spans="1:9" x14ac:dyDescent="0.25">
      <c r="A59" s="125"/>
      <c r="B59" s="125"/>
      <c r="C59" s="31" t="s">
        <v>143</v>
      </c>
      <c r="D59" s="124">
        <v>1</v>
      </c>
      <c r="E59"/>
      <c r="F59"/>
      <c r="G59"/>
    </row>
    <row r="60" spans="1:9" x14ac:dyDescent="0.25">
      <c r="A60" s="125"/>
      <c r="B60" s="125"/>
      <c r="C60" s="31" t="s">
        <v>206</v>
      </c>
      <c r="D60" s="124">
        <v>1</v>
      </c>
      <c r="E60"/>
      <c r="F60"/>
      <c r="G60"/>
    </row>
    <row r="61" spans="1:9" x14ac:dyDescent="0.25">
      <c r="A61" s="125"/>
      <c r="B61" s="125"/>
      <c r="C61" s="31" t="s">
        <v>251</v>
      </c>
      <c r="D61" s="124">
        <v>1</v>
      </c>
      <c r="E61"/>
      <c r="F61"/>
      <c r="G61"/>
    </row>
    <row r="62" spans="1:9" x14ac:dyDescent="0.25">
      <c r="A62" s="125"/>
      <c r="B62" s="125"/>
      <c r="C62" s="31" t="s">
        <v>326</v>
      </c>
      <c r="D62" s="124">
        <v>1</v>
      </c>
      <c r="E62"/>
      <c r="F62"/>
      <c r="G62"/>
    </row>
    <row r="63" spans="1:9" x14ac:dyDescent="0.25">
      <c r="A63" s="125"/>
      <c r="B63" s="125"/>
      <c r="C63" s="31" t="s">
        <v>338</v>
      </c>
      <c r="D63" s="124">
        <v>1</v>
      </c>
      <c r="E63"/>
      <c r="F63"/>
      <c r="G63"/>
    </row>
    <row r="64" spans="1:9" x14ac:dyDescent="0.25">
      <c r="A64" s="125"/>
      <c r="B64" s="125"/>
      <c r="C64" s="31" t="s">
        <v>348</v>
      </c>
      <c r="D64" s="124">
        <v>1</v>
      </c>
      <c r="E64"/>
      <c r="F64"/>
      <c r="G64"/>
    </row>
    <row r="65" spans="1:7" x14ac:dyDescent="0.25">
      <c r="A65" s="21">
        <v>1024</v>
      </c>
      <c r="B65" s="21">
        <v>21</v>
      </c>
      <c r="C65" s="19" t="s">
        <v>174</v>
      </c>
      <c r="D65" s="74">
        <v>1</v>
      </c>
      <c r="E65"/>
      <c r="F65"/>
      <c r="G65"/>
    </row>
    <row r="66" spans="1:7" x14ac:dyDescent="0.25">
      <c r="A66" s="125"/>
      <c r="B66" s="125"/>
      <c r="C66" s="31" t="s">
        <v>184</v>
      </c>
      <c r="D66" s="124">
        <v>1</v>
      </c>
      <c r="E66"/>
      <c r="F66"/>
      <c r="G66"/>
    </row>
    <row r="67" spans="1:7" x14ac:dyDescent="0.25">
      <c r="A67" s="125"/>
      <c r="B67" s="125"/>
      <c r="C67" s="31" t="s">
        <v>207</v>
      </c>
      <c r="D67" s="124">
        <v>1</v>
      </c>
      <c r="E67"/>
      <c r="F67"/>
      <c r="G67"/>
    </row>
    <row r="68" spans="1:7" x14ac:dyDescent="0.25">
      <c r="A68" s="125"/>
      <c r="B68" s="125"/>
      <c r="C68" s="31" t="s">
        <v>238</v>
      </c>
      <c r="D68" s="124">
        <v>1</v>
      </c>
      <c r="E68"/>
      <c r="F68"/>
      <c r="G68"/>
    </row>
    <row r="69" spans="1:7" x14ac:dyDescent="0.25">
      <c r="A69" s="125"/>
      <c r="B69" s="125"/>
      <c r="C69" s="31" t="s">
        <v>289</v>
      </c>
      <c r="D69" s="124">
        <v>1</v>
      </c>
      <c r="E69"/>
      <c r="F69"/>
      <c r="G69"/>
    </row>
    <row r="70" spans="1:7" x14ac:dyDescent="0.25">
      <c r="A70" s="125"/>
      <c r="B70" s="125"/>
      <c r="C70" s="31" t="s">
        <v>378</v>
      </c>
      <c r="D70" s="124">
        <v>1</v>
      </c>
      <c r="E70"/>
      <c r="F70"/>
      <c r="G70"/>
    </row>
    <row r="71" spans="1:7" x14ac:dyDescent="0.25">
      <c r="A71" s="125"/>
      <c r="B71" s="125"/>
      <c r="C71" s="31" t="s">
        <v>382</v>
      </c>
      <c r="D71" s="124">
        <v>1</v>
      </c>
      <c r="E71"/>
      <c r="F71"/>
      <c r="G71"/>
    </row>
    <row r="72" spans="1:7" x14ac:dyDescent="0.25">
      <c r="A72" s="21">
        <v>1501</v>
      </c>
      <c r="B72" s="21">
        <v>8</v>
      </c>
      <c r="C72" s="19" t="s">
        <v>150</v>
      </c>
      <c r="D72" s="74">
        <v>1</v>
      </c>
      <c r="E72"/>
      <c r="F72"/>
      <c r="G72"/>
    </row>
    <row r="73" spans="1:7" x14ac:dyDescent="0.25">
      <c r="A73" s="125"/>
      <c r="B73" s="125"/>
      <c r="C73" s="31" t="s">
        <v>189</v>
      </c>
      <c r="D73" s="124">
        <v>1</v>
      </c>
      <c r="E73"/>
      <c r="F73"/>
      <c r="G73"/>
    </row>
    <row r="74" spans="1:7" x14ac:dyDescent="0.25">
      <c r="A74" s="125"/>
      <c r="B74" s="125"/>
      <c r="C74" s="31" t="s">
        <v>247</v>
      </c>
      <c r="D74" s="124">
        <v>2</v>
      </c>
      <c r="E74"/>
      <c r="F74"/>
      <c r="G74"/>
    </row>
    <row r="75" spans="1:7" x14ac:dyDescent="0.25">
      <c r="A75" s="125"/>
      <c r="B75" s="125"/>
      <c r="C75" s="31" t="s">
        <v>273</v>
      </c>
      <c r="D75" s="124">
        <v>2</v>
      </c>
      <c r="E75"/>
      <c r="F75"/>
      <c r="G75"/>
    </row>
    <row r="76" spans="1:7" x14ac:dyDescent="0.25">
      <c r="A76" s="125"/>
      <c r="B76" s="125"/>
      <c r="C76" s="31" t="s">
        <v>312</v>
      </c>
      <c r="D76" s="124">
        <v>1</v>
      </c>
      <c r="E76"/>
      <c r="F76"/>
      <c r="G76"/>
    </row>
    <row r="77" spans="1:7" x14ac:dyDescent="0.25">
      <c r="A77" s="125"/>
      <c r="B77" s="125"/>
      <c r="C77" s="31" t="s">
        <v>350</v>
      </c>
      <c r="D77" s="124">
        <v>1</v>
      </c>
      <c r="E77"/>
      <c r="F77"/>
      <c r="G77"/>
    </row>
    <row r="78" spans="1:7" x14ac:dyDescent="0.25">
      <c r="A78" s="125"/>
      <c r="B78" s="125"/>
      <c r="C78" s="31" t="s">
        <v>386</v>
      </c>
      <c r="D78" s="124">
        <v>1</v>
      </c>
      <c r="E78"/>
      <c r="F78"/>
      <c r="G78"/>
    </row>
    <row r="79" spans="1:7" x14ac:dyDescent="0.25">
      <c r="A79" s="21">
        <v>1646</v>
      </c>
      <c r="B79" s="21">
        <v>10</v>
      </c>
      <c r="C79" s="19" t="s">
        <v>175</v>
      </c>
      <c r="D79" s="74">
        <v>1</v>
      </c>
      <c r="E79"/>
      <c r="F79"/>
      <c r="G79"/>
    </row>
    <row r="80" spans="1:7" x14ac:dyDescent="0.25">
      <c r="A80" s="125"/>
      <c r="B80" s="125"/>
      <c r="C80" s="31" t="s">
        <v>227</v>
      </c>
      <c r="D80" s="124">
        <v>1</v>
      </c>
      <c r="E80"/>
      <c r="F80"/>
      <c r="G80"/>
    </row>
    <row r="81" spans="1:7" x14ac:dyDescent="0.25">
      <c r="A81" s="125"/>
      <c r="B81" s="125"/>
      <c r="C81" s="31" t="s">
        <v>252</v>
      </c>
      <c r="D81" s="124">
        <v>1</v>
      </c>
      <c r="E81"/>
      <c r="F81"/>
      <c r="G81"/>
    </row>
    <row r="82" spans="1:7" x14ac:dyDescent="0.25">
      <c r="A82" s="125"/>
      <c r="B82" s="125"/>
      <c r="C82" s="31" t="s">
        <v>336</v>
      </c>
      <c r="D82" s="124">
        <v>1</v>
      </c>
      <c r="E82"/>
      <c r="F82"/>
      <c r="G82"/>
    </row>
    <row r="83" spans="1:7" x14ac:dyDescent="0.25">
      <c r="A83" s="125"/>
      <c r="B83" s="125"/>
      <c r="C83" s="31" t="s">
        <v>368</v>
      </c>
      <c r="D83" s="124">
        <v>1</v>
      </c>
      <c r="E83"/>
      <c r="F83"/>
      <c r="G83"/>
    </row>
    <row r="84" spans="1:7" x14ac:dyDescent="0.25">
      <c r="A84" s="125"/>
      <c r="B84" s="125"/>
      <c r="C84" s="31" t="s">
        <v>397</v>
      </c>
      <c r="D84" s="124">
        <v>1</v>
      </c>
      <c r="E84"/>
      <c r="F84"/>
      <c r="G84"/>
    </row>
    <row r="85" spans="1:7" x14ac:dyDescent="0.25">
      <c r="A85" s="125"/>
      <c r="B85" s="125"/>
      <c r="C85" s="31" t="s">
        <v>400</v>
      </c>
      <c r="D85" s="124">
        <v>1</v>
      </c>
      <c r="E85"/>
      <c r="F85"/>
      <c r="G85"/>
    </row>
    <row r="86" spans="1:7" x14ac:dyDescent="0.25">
      <c r="A86" s="125"/>
      <c r="B86" s="125"/>
      <c r="C86" s="31" t="s">
        <v>411</v>
      </c>
      <c r="D86" s="124">
        <v>1</v>
      </c>
      <c r="E86"/>
      <c r="F86"/>
      <c r="G86"/>
    </row>
    <row r="87" spans="1:7" x14ac:dyDescent="0.25">
      <c r="A87" s="21">
        <v>1732</v>
      </c>
      <c r="B87" s="21">
        <v>4</v>
      </c>
      <c r="C87" s="19" t="s">
        <v>165</v>
      </c>
      <c r="D87" s="74">
        <v>1</v>
      </c>
      <c r="E87"/>
      <c r="F87"/>
      <c r="G87"/>
    </row>
    <row r="88" spans="1:7" x14ac:dyDescent="0.25">
      <c r="A88" s="125"/>
      <c r="B88" s="125"/>
      <c r="C88" s="31" t="s">
        <v>183</v>
      </c>
      <c r="D88" s="124">
        <v>1</v>
      </c>
      <c r="E88"/>
      <c r="F88"/>
      <c r="G88"/>
    </row>
    <row r="89" spans="1:7" x14ac:dyDescent="0.25">
      <c r="A89" s="125"/>
      <c r="B89" s="125"/>
      <c r="C89" s="31" t="s">
        <v>221</v>
      </c>
      <c r="D89" s="124">
        <v>1</v>
      </c>
      <c r="E89"/>
      <c r="F89"/>
      <c r="G89"/>
    </row>
    <row r="90" spans="1:7" x14ac:dyDescent="0.25">
      <c r="A90" s="125"/>
      <c r="B90" s="125"/>
      <c r="C90" s="31" t="s">
        <v>228</v>
      </c>
      <c r="D90" s="124">
        <v>1</v>
      </c>
      <c r="E90"/>
      <c r="F90"/>
      <c r="G90"/>
    </row>
    <row r="91" spans="1:7" x14ac:dyDescent="0.25">
      <c r="A91" s="125"/>
      <c r="B91" s="125"/>
      <c r="C91" s="31" t="s">
        <v>241</v>
      </c>
      <c r="D91" s="124">
        <v>1</v>
      </c>
      <c r="E91"/>
      <c r="F91"/>
      <c r="G91"/>
    </row>
    <row r="92" spans="1:7" x14ac:dyDescent="0.25">
      <c r="A92" s="125"/>
      <c r="B92" s="125"/>
      <c r="C92" s="31" t="s">
        <v>278</v>
      </c>
      <c r="D92" s="124">
        <v>2</v>
      </c>
      <c r="E92"/>
      <c r="F92"/>
      <c r="G92"/>
    </row>
    <row r="93" spans="1:7" x14ac:dyDescent="0.25">
      <c r="A93" s="125"/>
      <c r="B93" s="125"/>
      <c r="C93" s="31" t="s">
        <v>286</v>
      </c>
      <c r="D93" s="124">
        <v>1</v>
      </c>
      <c r="E93"/>
      <c r="F93"/>
      <c r="G93"/>
    </row>
    <row r="94" spans="1:7" x14ac:dyDescent="0.25">
      <c r="A94" s="125"/>
      <c r="B94" s="125"/>
      <c r="C94" s="31" t="s">
        <v>330</v>
      </c>
      <c r="D94" s="124">
        <v>1</v>
      </c>
      <c r="E94"/>
      <c r="F94"/>
      <c r="G94"/>
    </row>
    <row r="95" spans="1:7" x14ac:dyDescent="0.25">
      <c r="A95" s="125"/>
      <c r="B95" s="125"/>
      <c r="C95" s="31" t="s">
        <v>333</v>
      </c>
      <c r="D95" s="124">
        <v>1</v>
      </c>
      <c r="E95"/>
      <c r="F95"/>
      <c r="G95"/>
    </row>
    <row r="96" spans="1:7" x14ac:dyDescent="0.25">
      <c r="A96" s="21">
        <v>1736</v>
      </c>
      <c r="B96" s="21">
        <v>6.5</v>
      </c>
      <c r="C96" s="19" t="s">
        <v>43</v>
      </c>
      <c r="D96" s="74">
        <v>2</v>
      </c>
      <c r="E96"/>
      <c r="F96"/>
      <c r="G96"/>
    </row>
    <row r="97" spans="1:7" x14ac:dyDescent="0.25">
      <c r="A97" s="125"/>
      <c r="B97" s="125"/>
      <c r="C97" s="31" t="s">
        <v>123</v>
      </c>
      <c r="D97" s="124">
        <v>2</v>
      </c>
      <c r="E97"/>
      <c r="F97"/>
      <c r="G97"/>
    </row>
    <row r="98" spans="1:7" x14ac:dyDescent="0.25">
      <c r="A98" s="125"/>
      <c r="B98" s="125"/>
      <c r="C98" s="31" t="s">
        <v>125</v>
      </c>
      <c r="D98" s="124">
        <v>2</v>
      </c>
      <c r="E98"/>
      <c r="F98"/>
      <c r="G98"/>
    </row>
    <row r="99" spans="1:7" x14ac:dyDescent="0.25">
      <c r="A99" s="125"/>
      <c r="B99" s="125"/>
      <c r="C99" s="31" t="s">
        <v>182</v>
      </c>
      <c r="D99" s="124">
        <v>1</v>
      </c>
      <c r="E99"/>
      <c r="F99"/>
      <c r="G99"/>
    </row>
    <row r="100" spans="1:7" x14ac:dyDescent="0.25">
      <c r="A100" s="125"/>
      <c r="B100" s="125"/>
      <c r="C100" s="31" t="s">
        <v>186</v>
      </c>
      <c r="D100" s="124">
        <v>1</v>
      </c>
      <c r="E100"/>
      <c r="F100"/>
      <c r="G100"/>
    </row>
    <row r="101" spans="1:7" x14ac:dyDescent="0.25">
      <c r="A101" s="125"/>
      <c r="B101" s="125"/>
      <c r="C101" s="31" t="s">
        <v>266</v>
      </c>
      <c r="D101" s="124">
        <v>2</v>
      </c>
      <c r="E101"/>
      <c r="F101"/>
      <c r="G101"/>
    </row>
    <row r="102" spans="1:7" x14ac:dyDescent="0.25">
      <c r="A102" s="125"/>
      <c r="B102" s="125"/>
      <c r="C102" s="31" t="s">
        <v>295</v>
      </c>
      <c r="D102" s="124">
        <v>1</v>
      </c>
      <c r="E102"/>
      <c r="F102"/>
      <c r="G102"/>
    </row>
    <row r="103" spans="1:7" x14ac:dyDescent="0.25">
      <c r="A103" s="125"/>
      <c r="B103" s="125"/>
      <c r="C103" s="31" t="s">
        <v>311</v>
      </c>
      <c r="D103" s="124">
        <v>1</v>
      </c>
      <c r="E103"/>
      <c r="F103"/>
      <c r="G103"/>
    </row>
    <row r="104" spans="1:7" x14ac:dyDescent="0.25">
      <c r="A104" s="125"/>
      <c r="B104" s="125"/>
      <c r="C104" s="31" t="s">
        <v>321</v>
      </c>
      <c r="D104" s="124">
        <v>1</v>
      </c>
      <c r="E104"/>
      <c r="F104"/>
      <c r="G104"/>
    </row>
    <row r="105" spans="1:7" x14ac:dyDescent="0.25">
      <c r="A105" s="21">
        <v>1741</v>
      </c>
      <c r="B105" s="21">
        <v>3</v>
      </c>
      <c r="C105" s="19" t="s">
        <v>190</v>
      </c>
      <c r="D105" s="74">
        <v>1</v>
      </c>
      <c r="E105"/>
      <c r="F105"/>
      <c r="G105"/>
    </row>
    <row r="106" spans="1:7" x14ac:dyDescent="0.25">
      <c r="A106" s="125"/>
      <c r="B106" s="125"/>
      <c r="C106" s="31" t="s">
        <v>205</v>
      </c>
      <c r="D106" s="124">
        <v>1</v>
      </c>
      <c r="E106"/>
      <c r="F106"/>
      <c r="G106"/>
    </row>
    <row r="107" spans="1:7" x14ac:dyDescent="0.25">
      <c r="A107" s="125"/>
      <c r="B107" s="125"/>
      <c r="C107" s="31" t="s">
        <v>244</v>
      </c>
      <c r="D107" s="124">
        <v>2</v>
      </c>
      <c r="E107"/>
      <c r="F107"/>
      <c r="G107"/>
    </row>
    <row r="108" spans="1:7" x14ac:dyDescent="0.25">
      <c r="A108" s="125"/>
      <c r="B108" s="125"/>
      <c r="C108" s="31" t="s">
        <v>265</v>
      </c>
      <c r="D108" s="124">
        <v>2</v>
      </c>
      <c r="E108"/>
      <c r="F108"/>
      <c r="G108"/>
    </row>
    <row r="109" spans="1:7" x14ac:dyDescent="0.25">
      <c r="A109" s="125"/>
      <c r="B109" s="125"/>
      <c r="C109" s="31" t="s">
        <v>271</v>
      </c>
      <c r="D109" s="124">
        <v>2</v>
      </c>
      <c r="E109"/>
      <c r="F109"/>
      <c r="G109"/>
    </row>
    <row r="110" spans="1:7" x14ac:dyDescent="0.25">
      <c r="A110" s="125"/>
      <c r="B110" s="125"/>
      <c r="C110" s="31" t="s">
        <v>318</v>
      </c>
      <c r="D110" s="124">
        <v>1</v>
      </c>
      <c r="E110"/>
      <c r="F110"/>
      <c r="G110"/>
    </row>
    <row r="111" spans="1:7" x14ac:dyDescent="0.25">
      <c r="A111" s="125"/>
      <c r="B111" s="125"/>
      <c r="C111" s="31" t="s">
        <v>364</v>
      </c>
      <c r="D111" s="124">
        <v>1</v>
      </c>
      <c r="E111"/>
      <c r="F111"/>
      <c r="G111"/>
    </row>
    <row r="112" spans="1:7" x14ac:dyDescent="0.25">
      <c r="A112" s="21">
        <v>1747</v>
      </c>
      <c r="B112" s="21">
        <v>23</v>
      </c>
      <c r="C112" s="19" t="s">
        <v>151</v>
      </c>
      <c r="D112" s="74">
        <v>1</v>
      </c>
      <c r="E112"/>
      <c r="F112"/>
      <c r="G112"/>
    </row>
    <row r="113" spans="1:7" x14ac:dyDescent="0.25">
      <c r="A113" s="125"/>
      <c r="B113" s="125"/>
      <c r="C113" s="31" t="s">
        <v>220</v>
      </c>
      <c r="D113" s="124">
        <v>1</v>
      </c>
      <c r="E113"/>
      <c r="F113"/>
      <c r="G113"/>
    </row>
    <row r="114" spans="1:7" x14ac:dyDescent="0.25">
      <c r="A114" s="125"/>
      <c r="B114" s="125"/>
      <c r="C114" s="31" t="s">
        <v>325</v>
      </c>
      <c r="D114" s="124">
        <v>1</v>
      </c>
      <c r="E114"/>
      <c r="F114"/>
      <c r="G114"/>
    </row>
    <row r="115" spans="1:7" x14ac:dyDescent="0.25">
      <c r="A115" s="125"/>
      <c r="B115" s="125"/>
      <c r="C115" s="31" t="s">
        <v>332</v>
      </c>
      <c r="D115" s="124">
        <v>1</v>
      </c>
      <c r="E115"/>
      <c r="F115"/>
      <c r="G115"/>
    </row>
    <row r="116" spans="1:7" x14ac:dyDescent="0.25">
      <c r="A116" s="125"/>
      <c r="B116" s="125"/>
      <c r="C116" s="31" t="s">
        <v>363</v>
      </c>
      <c r="D116" s="124">
        <v>1</v>
      </c>
      <c r="E116"/>
      <c r="F116"/>
      <c r="G116"/>
    </row>
    <row r="117" spans="1:7" x14ac:dyDescent="0.25">
      <c r="A117" s="21">
        <v>1756</v>
      </c>
      <c r="B117" s="21">
        <v>12</v>
      </c>
      <c r="C117" s="19" t="s">
        <v>193</v>
      </c>
      <c r="D117" s="74">
        <v>1</v>
      </c>
      <c r="E117"/>
      <c r="F117"/>
      <c r="G117"/>
    </row>
    <row r="118" spans="1:7" x14ac:dyDescent="0.25">
      <c r="A118" s="125"/>
      <c r="B118" s="125"/>
      <c r="C118" s="31" t="s">
        <v>234</v>
      </c>
      <c r="D118" s="124">
        <v>2</v>
      </c>
      <c r="E118"/>
      <c r="F118"/>
      <c r="G118"/>
    </row>
    <row r="119" spans="1:7" x14ac:dyDescent="0.25">
      <c r="A119" s="125"/>
      <c r="B119" s="125"/>
      <c r="C119" s="31" t="s">
        <v>291</v>
      </c>
      <c r="D119" s="124">
        <v>1</v>
      </c>
      <c r="E119"/>
      <c r="F119"/>
      <c r="G119"/>
    </row>
    <row r="120" spans="1:7" x14ac:dyDescent="0.25">
      <c r="A120" s="125"/>
      <c r="B120" s="125"/>
      <c r="C120" s="31" t="s">
        <v>388</v>
      </c>
      <c r="D120" s="124">
        <v>1</v>
      </c>
      <c r="E120"/>
      <c r="F120"/>
      <c r="G120"/>
    </row>
    <row r="121" spans="1:7" x14ac:dyDescent="0.25">
      <c r="A121" s="125"/>
      <c r="B121" s="125"/>
      <c r="C121" s="31" t="s">
        <v>389</v>
      </c>
      <c r="D121" s="124">
        <v>1</v>
      </c>
      <c r="E121"/>
      <c r="F121"/>
      <c r="G121"/>
    </row>
    <row r="122" spans="1:7" x14ac:dyDescent="0.25">
      <c r="A122" s="125"/>
      <c r="B122" s="125"/>
      <c r="C122" s="31" t="s">
        <v>395</v>
      </c>
      <c r="D122" s="124">
        <v>1</v>
      </c>
      <c r="E122"/>
      <c r="F122"/>
      <c r="G122"/>
    </row>
    <row r="123" spans="1:7" x14ac:dyDescent="0.25">
      <c r="A123" s="125"/>
      <c r="B123" s="125"/>
      <c r="C123" s="31" t="s">
        <v>404</v>
      </c>
      <c r="D123" s="124">
        <v>1</v>
      </c>
      <c r="E123"/>
      <c r="F123"/>
      <c r="G123"/>
    </row>
    <row r="124" spans="1:7" x14ac:dyDescent="0.25">
      <c r="A124" s="21">
        <v>1872</v>
      </c>
      <c r="B124" s="21" t="s">
        <v>376</v>
      </c>
      <c r="C124" s="19" t="s">
        <v>172</v>
      </c>
      <c r="D124" s="74">
        <v>1</v>
      </c>
      <c r="E124"/>
      <c r="F124"/>
      <c r="G124"/>
    </row>
    <row r="125" spans="1:7" x14ac:dyDescent="0.25">
      <c r="A125" s="125"/>
      <c r="B125" s="125"/>
      <c r="C125" s="31" t="s">
        <v>158</v>
      </c>
      <c r="D125" s="124">
        <v>1</v>
      </c>
      <c r="E125"/>
      <c r="F125"/>
      <c r="G125"/>
    </row>
    <row r="126" spans="1:7" x14ac:dyDescent="0.25">
      <c r="A126" s="125"/>
      <c r="B126" s="125"/>
      <c r="C126" s="31" t="s">
        <v>290</v>
      </c>
      <c r="D126" s="124">
        <v>1</v>
      </c>
      <c r="E126"/>
      <c r="F126"/>
      <c r="G126"/>
    </row>
    <row r="127" spans="1:7" x14ac:dyDescent="0.25">
      <c r="A127" s="125"/>
      <c r="B127" s="125"/>
      <c r="C127" s="31" t="s">
        <v>302</v>
      </c>
      <c r="D127" s="124">
        <v>2</v>
      </c>
      <c r="E127"/>
      <c r="F127"/>
      <c r="G127"/>
    </row>
    <row r="128" spans="1:7" x14ac:dyDescent="0.25">
      <c r="A128" s="125"/>
      <c r="B128" s="125"/>
      <c r="C128" s="31" t="s">
        <v>306</v>
      </c>
      <c r="D128" s="124">
        <v>2</v>
      </c>
      <c r="E128"/>
      <c r="F128"/>
      <c r="G128"/>
    </row>
    <row r="129" spans="1:7" x14ac:dyDescent="0.25">
      <c r="A129" s="21">
        <v>2040</v>
      </c>
      <c r="B129" s="21">
        <v>11</v>
      </c>
      <c r="C129" s="19" t="s">
        <v>208</v>
      </c>
      <c r="D129" s="74">
        <v>1</v>
      </c>
      <c r="E129"/>
      <c r="F129"/>
      <c r="G129"/>
    </row>
    <row r="130" spans="1:7" x14ac:dyDescent="0.25">
      <c r="A130" s="125"/>
      <c r="B130" s="125"/>
      <c r="C130" s="31" t="s">
        <v>242</v>
      </c>
      <c r="D130" s="124">
        <v>2</v>
      </c>
      <c r="E130"/>
      <c r="F130"/>
      <c r="G130"/>
    </row>
    <row r="131" spans="1:7" x14ac:dyDescent="0.25">
      <c r="A131" s="125"/>
      <c r="B131" s="125"/>
      <c r="C131" s="31" t="s">
        <v>294</v>
      </c>
      <c r="D131" s="124">
        <v>1</v>
      </c>
      <c r="E131"/>
      <c r="F131"/>
      <c r="G131"/>
    </row>
    <row r="132" spans="1:7" x14ac:dyDescent="0.25">
      <c r="A132" s="125"/>
      <c r="B132" s="125"/>
      <c r="C132" s="31" t="s">
        <v>323</v>
      </c>
      <c r="D132" s="124">
        <v>1</v>
      </c>
      <c r="E132"/>
      <c r="F132"/>
      <c r="G132"/>
    </row>
    <row r="133" spans="1:7" x14ac:dyDescent="0.25">
      <c r="A133" s="125"/>
      <c r="B133" s="125"/>
      <c r="C133" s="31" t="s">
        <v>339</v>
      </c>
      <c r="D133" s="124">
        <v>1</v>
      </c>
      <c r="E133"/>
      <c r="F133"/>
      <c r="G133"/>
    </row>
    <row r="134" spans="1:7" x14ac:dyDescent="0.25">
      <c r="A134" s="125"/>
      <c r="B134" s="125"/>
      <c r="C134" s="31" t="s">
        <v>407</v>
      </c>
      <c r="D134" s="124">
        <v>1</v>
      </c>
      <c r="E134"/>
      <c r="F134"/>
      <c r="G134"/>
    </row>
    <row r="135" spans="1:7" x14ac:dyDescent="0.25">
      <c r="A135" s="21">
        <v>2171</v>
      </c>
      <c r="B135" s="21" t="s">
        <v>376</v>
      </c>
      <c r="C135" s="19" t="s">
        <v>168</v>
      </c>
      <c r="D135" s="74">
        <v>1</v>
      </c>
      <c r="E135"/>
      <c r="F135"/>
      <c r="G135"/>
    </row>
    <row r="136" spans="1:7" x14ac:dyDescent="0.25">
      <c r="A136" s="125"/>
      <c r="B136" s="125"/>
      <c r="C136" s="31" t="s">
        <v>161</v>
      </c>
      <c r="D136" s="124">
        <v>1</v>
      </c>
      <c r="E136"/>
      <c r="F136"/>
      <c r="G136"/>
    </row>
    <row r="137" spans="1:7" x14ac:dyDescent="0.25">
      <c r="A137" s="125"/>
      <c r="B137" s="125"/>
      <c r="C137" s="31" t="s">
        <v>209</v>
      </c>
      <c r="D137" s="124">
        <v>1</v>
      </c>
      <c r="E137"/>
      <c r="F137"/>
      <c r="G137"/>
    </row>
    <row r="138" spans="1:7" x14ac:dyDescent="0.25">
      <c r="A138" s="125"/>
      <c r="B138" s="125"/>
      <c r="C138" s="31" t="s">
        <v>248</v>
      </c>
      <c r="D138" s="124">
        <v>1</v>
      </c>
      <c r="E138"/>
      <c r="F138"/>
      <c r="G138"/>
    </row>
    <row r="139" spans="1:7" x14ac:dyDescent="0.25">
      <c r="A139" s="125"/>
      <c r="B139" s="125"/>
      <c r="C139" s="31" t="s">
        <v>261</v>
      </c>
      <c r="D139" s="124">
        <v>2</v>
      </c>
      <c r="E139"/>
      <c r="F139"/>
      <c r="G139"/>
    </row>
    <row r="140" spans="1:7" x14ac:dyDescent="0.25">
      <c r="A140" s="125"/>
      <c r="B140" s="125"/>
      <c r="C140" s="31" t="s">
        <v>334</v>
      </c>
      <c r="D140" s="124">
        <v>1</v>
      </c>
      <c r="E140"/>
      <c r="F140"/>
      <c r="G140"/>
    </row>
    <row r="141" spans="1:7" x14ac:dyDescent="0.25">
      <c r="A141" s="125"/>
      <c r="B141" s="125"/>
      <c r="C141" s="31" t="s">
        <v>346</v>
      </c>
      <c r="D141" s="124">
        <v>1</v>
      </c>
      <c r="E141"/>
      <c r="F141"/>
      <c r="G141"/>
    </row>
    <row r="142" spans="1:7" x14ac:dyDescent="0.25">
      <c r="A142" s="21">
        <v>2197</v>
      </c>
      <c r="B142" s="21">
        <v>13</v>
      </c>
      <c r="C142" s="19" t="s">
        <v>154</v>
      </c>
      <c r="D142" s="74">
        <v>1</v>
      </c>
      <c r="E142"/>
      <c r="F142"/>
      <c r="G142"/>
    </row>
    <row r="143" spans="1:7" x14ac:dyDescent="0.25">
      <c r="A143" s="125"/>
      <c r="B143" s="125"/>
      <c r="C143" s="31" t="s">
        <v>177</v>
      </c>
      <c r="D143" s="124">
        <v>1</v>
      </c>
      <c r="E143"/>
      <c r="F143"/>
      <c r="G143"/>
    </row>
    <row r="144" spans="1:7" x14ac:dyDescent="0.25">
      <c r="A144" s="125"/>
      <c r="B144" s="125"/>
      <c r="C144" s="31" t="s">
        <v>256</v>
      </c>
      <c r="D144" s="124">
        <v>2</v>
      </c>
      <c r="E144"/>
      <c r="F144"/>
      <c r="G144"/>
    </row>
    <row r="145" spans="1:7" x14ac:dyDescent="0.25">
      <c r="A145" s="125"/>
      <c r="B145" s="125"/>
      <c r="C145" s="31" t="s">
        <v>268</v>
      </c>
      <c r="D145" s="124">
        <v>2</v>
      </c>
      <c r="E145"/>
      <c r="F145"/>
      <c r="G145"/>
    </row>
    <row r="146" spans="1:7" x14ac:dyDescent="0.25">
      <c r="A146" s="125"/>
      <c r="B146" s="125"/>
      <c r="C146" s="31" t="s">
        <v>377</v>
      </c>
      <c r="D146" s="124">
        <v>1</v>
      </c>
      <c r="E146"/>
      <c r="F146"/>
      <c r="G146"/>
    </row>
    <row r="147" spans="1:7" x14ac:dyDescent="0.25">
      <c r="A147" s="125"/>
      <c r="B147" s="125"/>
      <c r="C147" s="31" t="s">
        <v>398</v>
      </c>
      <c r="D147" s="124">
        <v>1</v>
      </c>
      <c r="E147"/>
      <c r="F147"/>
      <c r="G147"/>
    </row>
    <row r="148" spans="1:7" x14ac:dyDescent="0.25">
      <c r="A148" s="125"/>
      <c r="B148" s="125"/>
      <c r="C148" s="31" t="s">
        <v>415</v>
      </c>
      <c r="D148" s="124">
        <v>1</v>
      </c>
      <c r="E148"/>
      <c r="F148"/>
      <c r="G148"/>
    </row>
    <row r="149" spans="1:7" x14ac:dyDescent="0.25">
      <c r="A149" s="21">
        <v>2867</v>
      </c>
      <c r="B149" s="21" t="s">
        <v>376</v>
      </c>
      <c r="C149" s="19" t="s">
        <v>43</v>
      </c>
      <c r="D149" s="74">
        <v>2</v>
      </c>
      <c r="E149"/>
      <c r="F149"/>
      <c r="G149"/>
    </row>
    <row r="150" spans="1:7" x14ac:dyDescent="0.25">
      <c r="A150" s="125"/>
      <c r="B150" s="125"/>
      <c r="C150" s="31" t="s">
        <v>162</v>
      </c>
      <c r="D150" s="124">
        <v>1</v>
      </c>
      <c r="E150"/>
      <c r="F150"/>
      <c r="G150"/>
    </row>
    <row r="151" spans="1:7" x14ac:dyDescent="0.25">
      <c r="A151" s="125"/>
      <c r="B151" s="125"/>
      <c r="C151" s="31" t="s">
        <v>180</v>
      </c>
      <c r="D151" s="124">
        <v>1</v>
      </c>
      <c r="E151"/>
      <c r="F151"/>
      <c r="G151"/>
    </row>
    <row r="152" spans="1:7" x14ac:dyDescent="0.25">
      <c r="A152" s="125"/>
      <c r="B152" s="125"/>
      <c r="C152" s="31" t="s">
        <v>222</v>
      </c>
      <c r="D152" s="124">
        <v>1</v>
      </c>
      <c r="E152"/>
      <c r="F152"/>
      <c r="G152"/>
    </row>
    <row r="153" spans="1:7" x14ac:dyDescent="0.25">
      <c r="A153" s="125"/>
      <c r="B153" s="125"/>
      <c r="C153" s="31" t="s">
        <v>235</v>
      </c>
      <c r="D153" s="124">
        <v>1</v>
      </c>
      <c r="E153"/>
      <c r="F153"/>
      <c r="G153"/>
    </row>
    <row r="154" spans="1:7" x14ac:dyDescent="0.25">
      <c r="A154" s="125"/>
      <c r="B154" s="125"/>
      <c r="C154" s="31" t="s">
        <v>327</v>
      </c>
      <c r="D154" s="124">
        <v>1</v>
      </c>
      <c r="E154"/>
      <c r="F154"/>
      <c r="G154"/>
    </row>
    <row r="155" spans="1:7" x14ac:dyDescent="0.25">
      <c r="A155" s="125"/>
      <c r="B155" s="125"/>
      <c r="C155" s="31" t="s">
        <v>345</v>
      </c>
      <c r="D155" s="124">
        <v>1</v>
      </c>
      <c r="E155"/>
      <c r="F155"/>
      <c r="G155"/>
    </row>
    <row r="156" spans="1:7" x14ac:dyDescent="0.25">
      <c r="A156" s="125"/>
      <c r="B156" s="125"/>
      <c r="C156" s="31" t="s">
        <v>352</v>
      </c>
      <c r="D156" s="124">
        <v>1</v>
      </c>
      <c r="E156"/>
      <c r="F156"/>
      <c r="G156"/>
    </row>
    <row r="157" spans="1:7" x14ac:dyDescent="0.25">
      <c r="A157" s="125"/>
      <c r="B157" s="125"/>
      <c r="C157" s="31" t="s">
        <v>367</v>
      </c>
      <c r="D157" s="124">
        <v>1</v>
      </c>
      <c r="E157"/>
      <c r="F157"/>
      <c r="G157"/>
    </row>
    <row r="158" spans="1:7" x14ac:dyDescent="0.25">
      <c r="A158" s="21">
        <v>3147</v>
      </c>
      <c r="B158" s="21">
        <v>17</v>
      </c>
      <c r="C158" s="19" t="s">
        <v>146</v>
      </c>
      <c r="D158" s="74">
        <v>1</v>
      </c>
      <c r="E158"/>
      <c r="F158"/>
      <c r="G158"/>
    </row>
    <row r="159" spans="1:7" x14ac:dyDescent="0.25">
      <c r="A159" s="125"/>
      <c r="B159" s="125"/>
      <c r="C159" s="31" t="s">
        <v>243</v>
      </c>
      <c r="D159" s="124">
        <v>2</v>
      </c>
      <c r="E159"/>
      <c r="F159"/>
      <c r="G159"/>
    </row>
    <row r="160" spans="1:7" x14ac:dyDescent="0.25">
      <c r="A160" s="125"/>
      <c r="B160" s="125"/>
      <c r="C160" s="31" t="s">
        <v>341</v>
      </c>
      <c r="D160" s="124">
        <v>1</v>
      </c>
    </row>
    <row r="161" spans="1:4" x14ac:dyDescent="0.25">
      <c r="A161" s="125"/>
      <c r="B161" s="125"/>
      <c r="C161" s="31" t="s">
        <v>344</v>
      </c>
      <c r="D161" s="124">
        <v>1</v>
      </c>
    </row>
    <row r="162" spans="1:4" x14ac:dyDescent="0.25">
      <c r="A162" s="125"/>
      <c r="B162" s="125"/>
      <c r="C162" s="31" t="s">
        <v>361</v>
      </c>
      <c r="D162" s="124">
        <v>1</v>
      </c>
    </row>
    <row r="163" spans="1:4" x14ac:dyDescent="0.25">
      <c r="A163" s="125"/>
      <c r="B163" s="125"/>
      <c r="C163" s="31" t="s">
        <v>393</v>
      </c>
      <c r="D163" s="124">
        <v>1</v>
      </c>
    </row>
    <row r="164" spans="1:4" x14ac:dyDescent="0.25">
      <c r="A164" s="125"/>
      <c r="B164" s="125"/>
      <c r="C164" s="31" t="s">
        <v>401</v>
      </c>
      <c r="D164" s="124">
        <v>1</v>
      </c>
    </row>
    <row r="165" spans="1:4" x14ac:dyDescent="0.25">
      <c r="A165" s="125"/>
      <c r="B165" s="125"/>
      <c r="C165" s="31" t="s">
        <v>410</v>
      </c>
      <c r="D165" s="124">
        <v>1</v>
      </c>
    </row>
    <row r="166" spans="1:4" x14ac:dyDescent="0.25">
      <c r="A166" s="21">
        <v>3176</v>
      </c>
      <c r="B166" s="21">
        <v>25</v>
      </c>
      <c r="C166" s="19" t="s">
        <v>145</v>
      </c>
      <c r="D166" s="74">
        <v>1</v>
      </c>
    </row>
    <row r="167" spans="1:4" x14ac:dyDescent="0.25">
      <c r="A167" s="125"/>
      <c r="B167" s="125"/>
      <c r="C167" s="31" t="s">
        <v>197</v>
      </c>
      <c r="D167" s="124">
        <v>1</v>
      </c>
    </row>
    <row r="168" spans="1:4" x14ac:dyDescent="0.25">
      <c r="A168" s="125"/>
      <c r="B168" s="125"/>
      <c r="C168" s="31" t="s">
        <v>237</v>
      </c>
      <c r="D168" s="124">
        <v>1</v>
      </c>
    </row>
    <row r="169" spans="1:4" x14ac:dyDescent="0.25">
      <c r="A169" s="125"/>
      <c r="B169" s="125"/>
      <c r="C169" s="31" t="s">
        <v>283</v>
      </c>
      <c r="D169" s="124">
        <v>1</v>
      </c>
    </row>
    <row r="170" spans="1:4" x14ac:dyDescent="0.25">
      <c r="A170" s="125"/>
      <c r="B170" s="125"/>
      <c r="C170" s="31" t="s">
        <v>301</v>
      </c>
      <c r="D170" s="124">
        <v>1</v>
      </c>
    </row>
    <row r="171" spans="1:4" x14ac:dyDescent="0.25">
      <c r="A171" s="125"/>
      <c r="B171" s="125"/>
      <c r="C171" s="31" t="s">
        <v>308</v>
      </c>
      <c r="D171" s="124">
        <v>2</v>
      </c>
    </row>
    <row r="172" spans="1:4" x14ac:dyDescent="0.25">
      <c r="A172" s="125"/>
      <c r="B172" s="125"/>
      <c r="C172" s="31" t="s">
        <v>356</v>
      </c>
      <c r="D172" s="124">
        <v>1</v>
      </c>
    </row>
    <row r="173" spans="1:4" x14ac:dyDescent="0.25">
      <c r="A173" s="21">
        <v>3180</v>
      </c>
      <c r="B173" s="21" t="s">
        <v>376</v>
      </c>
      <c r="C173" s="19" t="s">
        <v>132</v>
      </c>
      <c r="D173" s="74">
        <v>1</v>
      </c>
    </row>
    <row r="174" spans="1:4" x14ac:dyDescent="0.25">
      <c r="A174" s="125"/>
      <c r="B174" s="125"/>
      <c r="C174" s="31" t="s">
        <v>173</v>
      </c>
      <c r="D174" s="124">
        <v>1</v>
      </c>
    </row>
    <row r="175" spans="1:4" x14ac:dyDescent="0.25">
      <c r="A175" s="125"/>
      <c r="B175" s="125"/>
      <c r="C175" s="31" t="s">
        <v>185</v>
      </c>
      <c r="D175" s="124">
        <v>1</v>
      </c>
    </row>
    <row r="176" spans="1:4" x14ac:dyDescent="0.25">
      <c r="A176" s="125"/>
      <c r="B176" s="125"/>
      <c r="C176" s="31" t="s">
        <v>225</v>
      </c>
      <c r="D176" s="124">
        <v>1</v>
      </c>
    </row>
    <row r="177" spans="1:4" x14ac:dyDescent="0.25">
      <c r="A177" s="125"/>
      <c r="B177" s="125"/>
      <c r="C177" s="31" t="s">
        <v>263</v>
      </c>
      <c r="D177" s="124">
        <v>2</v>
      </c>
    </row>
    <row r="178" spans="1:4" x14ac:dyDescent="0.25">
      <c r="A178" s="125"/>
      <c r="B178" s="125"/>
      <c r="C178" s="31" t="s">
        <v>282</v>
      </c>
      <c r="D178" s="124">
        <v>1</v>
      </c>
    </row>
    <row r="179" spans="1:4" x14ac:dyDescent="0.25">
      <c r="A179" s="125"/>
      <c r="B179" s="125"/>
      <c r="C179" s="31" t="s">
        <v>292</v>
      </c>
      <c r="D179" s="124">
        <v>1</v>
      </c>
    </row>
    <row r="180" spans="1:4" x14ac:dyDescent="0.25">
      <c r="A180" s="21">
        <v>3201</v>
      </c>
      <c r="B180" s="21">
        <v>16</v>
      </c>
      <c r="C180" s="19" t="s">
        <v>159</v>
      </c>
      <c r="D180" s="74">
        <v>1</v>
      </c>
    </row>
    <row r="181" spans="1:4" x14ac:dyDescent="0.25">
      <c r="A181" s="125"/>
      <c r="B181" s="125"/>
      <c r="C181" s="31" t="s">
        <v>383</v>
      </c>
      <c r="D181" s="124">
        <v>1</v>
      </c>
    </row>
    <row r="182" spans="1:4" x14ac:dyDescent="0.25">
      <c r="A182" s="125"/>
      <c r="B182" s="125"/>
      <c r="C182" s="31" t="s">
        <v>390</v>
      </c>
      <c r="D182" s="124">
        <v>1</v>
      </c>
    </row>
    <row r="183" spans="1:4" x14ac:dyDescent="0.25">
      <c r="A183" s="125"/>
      <c r="B183" s="125"/>
      <c r="C183" s="31" t="s">
        <v>405</v>
      </c>
      <c r="D183" s="124">
        <v>1</v>
      </c>
    </row>
    <row r="184" spans="1:4" x14ac:dyDescent="0.25">
      <c r="A184" s="125"/>
      <c r="B184" s="125"/>
      <c r="C184" s="31" t="s">
        <v>416</v>
      </c>
      <c r="D184" s="124">
        <v>1</v>
      </c>
    </row>
    <row r="185" spans="1:4" x14ac:dyDescent="0.25">
      <c r="A185" s="21">
        <v>3272</v>
      </c>
      <c r="B185" s="21" t="s">
        <v>376</v>
      </c>
      <c r="C185" s="19" t="s">
        <v>131</v>
      </c>
      <c r="D185" s="74">
        <v>1</v>
      </c>
    </row>
    <row r="186" spans="1:4" x14ac:dyDescent="0.25">
      <c r="A186" s="125"/>
      <c r="B186" s="125"/>
      <c r="C186" s="31" t="s">
        <v>142</v>
      </c>
      <c r="D186" s="124">
        <v>1</v>
      </c>
    </row>
    <row r="187" spans="1:4" x14ac:dyDescent="0.25">
      <c r="A187" s="125"/>
      <c r="B187" s="125"/>
      <c r="C187" s="31" t="s">
        <v>194</v>
      </c>
      <c r="D187" s="124">
        <v>1</v>
      </c>
    </row>
    <row r="188" spans="1:4" x14ac:dyDescent="0.25">
      <c r="A188" s="125"/>
      <c r="B188" s="125"/>
      <c r="C188" s="31" t="s">
        <v>199</v>
      </c>
      <c r="D188" s="124">
        <v>1</v>
      </c>
    </row>
    <row r="189" spans="1:4" x14ac:dyDescent="0.25">
      <c r="A189" s="125"/>
      <c r="B189" s="125"/>
      <c r="C189" s="31" t="s">
        <v>269</v>
      </c>
      <c r="D189" s="124">
        <v>2</v>
      </c>
    </row>
    <row r="190" spans="1:4" x14ac:dyDescent="0.25">
      <c r="A190" s="125"/>
      <c r="B190" s="125"/>
      <c r="C190" s="31" t="s">
        <v>284</v>
      </c>
      <c r="D190" s="124">
        <v>1</v>
      </c>
    </row>
    <row r="191" spans="1:4" x14ac:dyDescent="0.25">
      <c r="A191" s="125"/>
      <c r="B191" s="125"/>
      <c r="C191" s="31" t="s">
        <v>324</v>
      </c>
      <c r="D191" s="124">
        <v>1</v>
      </c>
    </row>
    <row r="192" spans="1:4" x14ac:dyDescent="0.25">
      <c r="A192" s="125"/>
      <c r="B192" s="125"/>
      <c r="C192" s="31" t="s">
        <v>366</v>
      </c>
      <c r="D192" s="124">
        <v>1</v>
      </c>
    </row>
    <row r="193" spans="1:4" x14ac:dyDescent="0.25">
      <c r="A193" s="21">
        <v>3301</v>
      </c>
      <c r="B193" s="21">
        <v>6</v>
      </c>
      <c r="C193" s="19" t="s">
        <v>130</v>
      </c>
      <c r="D193" s="74">
        <v>1</v>
      </c>
    </row>
    <row r="194" spans="1:4" x14ac:dyDescent="0.25">
      <c r="A194" s="125"/>
      <c r="B194" s="125"/>
      <c r="C194" s="31" t="s">
        <v>212</v>
      </c>
      <c r="D194" s="124">
        <v>1</v>
      </c>
    </row>
    <row r="195" spans="1:4" x14ac:dyDescent="0.25">
      <c r="A195" s="125"/>
      <c r="B195" s="125"/>
      <c r="C195" s="31" t="s">
        <v>232</v>
      </c>
      <c r="D195" s="124">
        <v>2</v>
      </c>
    </row>
    <row r="196" spans="1:4" x14ac:dyDescent="0.25">
      <c r="A196" s="125"/>
      <c r="B196" s="125"/>
      <c r="C196" s="31" t="s">
        <v>343</v>
      </c>
      <c r="D196" s="124">
        <v>1</v>
      </c>
    </row>
    <row r="197" spans="1:4" x14ac:dyDescent="0.25">
      <c r="A197" s="125"/>
      <c r="B197" s="125"/>
      <c r="C197" s="31" t="s">
        <v>355</v>
      </c>
      <c r="D197" s="124">
        <v>1</v>
      </c>
    </row>
    <row r="198" spans="1:4" x14ac:dyDescent="0.25">
      <c r="A198" s="125"/>
      <c r="B198" s="125"/>
      <c r="C198" s="31" t="s">
        <v>413</v>
      </c>
      <c r="D198" s="124">
        <v>1</v>
      </c>
    </row>
    <row r="199" spans="1:4" x14ac:dyDescent="0.25">
      <c r="A199" s="21">
        <v>3487</v>
      </c>
      <c r="B199" s="21">
        <v>22</v>
      </c>
      <c r="C199" s="19" t="s">
        <v>213</v>
      </c>
      <c r="D199" s="74">
        <v>1</v>
      </c>
    </row>
    <row r="200" spans="1:4" x14ac:dyDescent="0.25">
      <c r="A200" s="125"/>
      <c r="B200" s="125"/>
      <c r="C200" s="31" t="s">
        <v>218</v>
      </c>
      <c r="D200" s="124">
        <v>1</v>
      </c>
    </row>
    <row r="201" spans="1:4" x14ac:dyDescent="0.25">
      <c r="A201" s="125"/>
      <c r="B201" s="125"/>
      <c r="C201" s="31" t="s">
        <v>255</v>
      </c>
      <c r="D201" s="124">
        <v>1</v>
      </c>
    </row>
    <row r="202" spans="1:4" x14ac:dyDescent="0.25">
      <c r="A202" s="125"/>
      <c r="B202" s="125"/>
      <c r="C202" s="31" t="s">
        <v>270</v>
      </c>
      <c r="D202" s="124">
        <v>2</v>
      </c>
    </row>
    <row r="203" spans="1:4" x14ac:dyDescent="0.25">
      <c r="A203" s="125"/>
      <c r="B203" s="125"/>
      <c r="C203" s="31" t="s">
        <v>322</v>
      </c>
      <c r="D203" s="124">
        <v>1</v>
      </c>
    </row>
    <row r="204" spans="1:4" x14ac:dyDescent="0.25">
      <c r="A204" s="125"/>
      <c r="B204" s="125"/>
      <c r="C204" s="31" t="s">
        <v>380</v>
      </c>
      <c r="D204" s="124">
        <v>1</v>
      </c>
    </row>
    <row r="205" spans="1:4" x14ac:dyDescent="0.25">
      <c r="A205" s="21">
        <v>3565</v>
      </c>
      <c r="B205" s="21">
        <v>24</v>
      </c>
      <c r="C205" s="19" t="s">
        <v>179</v>
      </c>
      <c r="D205" s="74">
        <v>1</v>
      </c>
    </row>
    <row r="206" spans="1:4" x14ac:dyDescent="0.25">
      <c r="A206" s="125"/>
      <c r="B206" s="125"/>
      <c r="C206" s="31" t="s">
        <v>196</v>
      </c>
      <c r="D206" s="124">
        <v>1</v>
      </c>
    </row>
    <row r="207" spans="1:4" x14ac:dyDescent="0.25">
      <c r="A207" s="125"/>
      <c r="B207" s="125"/>
      <c r="C207" s="31" t="s">
        <v>370</v>
      </c>
      <c r="D207" s="124">
        <v>2</v>
      </c>
    </row>
    <row r="208" spans="1:4" x14ac:dyDescent="0.25">
      <c r="A208" s="125"/>
      <c r="B208" s="125"/>
      <c r="C208" s="31" t="s">
        <v>276</v>
      </c>
      <c r="D208" s="124">
        <v>2</v>
      </c>
    </row>
    <row r="209" spans="1:4" x14ac:dyDescent="0.25">
      <c r="A209" s="125"/>
      <c r="B209" s="125"/>
      <c r="C209" s="31" t="s">
        <v>287</v>
      </c>
      <c r="D209" s="124">
        <v>1</v>
      </c>
    </row>
    <row r="210" spans="1:4" x14ac:dyDescent="0.25">
      <c r="A210" s="125"/>
      <c r="B210" s="125"/>
      <c r="C210" s="31" t="s">
        <v>314</v>
      </c>
      <c r="D210" s="124">
        <v>1</v>
      </c>
    </row>
    <row r="211" spans="1:4" x14ac:dyDescent="0.25">
      <c r="A211" s="125"/>
      <c r="B211" s="125"/>
      <c r="C211" s="31" t="s">
        <v>317</v>
      </c>
      <c r="D211" s="124">
        <v>1</v>
      </c>
    </row>
    <row r="212" spans="1:4" x14ac:dyDescent="0.25">
      <c r="A212" s="21">
        <v>3865</v>
      </c>
      <c r="B212" s="21" t="s">
        <v>376</v>
      </c>
      <c r="C212" s="19" t="s">
        <v>166</v>
      </c>
      <c r="D212" s="74">
        <v>1</v>
      </c>
    </row>
    <row r="213" spans="1:4" x14ac:dyDescent="0.25">
      <c r="A213" s="125"/>
      <c r="B213" s="125"/>
      <c r="C213" s="31" t="s">
        <v>170</v>
      </c>
      <c r="D213" s="124">
        <v>3</v>
      </c>
    </row>
    <row r="214" spans="1:4" x14ac:dyDescent="0.25">
      <c r="A214" s="125"/>
      <c r="B214" s="125"/>
      <c r="C214" s="31" t="s">
        <v>215</v>
      </c>
      <c r="D214" s="124">
        <v>1</v>
      </c>
    </row>
    <row r="215" spans="1:4" x14ac:dyDescent="0.25">
      <c r="A215" s="125"/>
      <c r="B215" s="125"/>
      <c r="C215" s="31" t="s">
        <v>253</v>
      </c>
      <c r="D215" s="124">
        <v>1</v>
      </c>
    </row>
    <row r="216" spans="1:4" x14ac:dyDescent="0.25">
      <c r="A216" s="125"/>
      <c r="B216" s="125"/>
      <c r="C216" s="31" t="s">
        <v>258</v>
      </c>
      <c r="D216" s="124">
        <v>2</v>
      </c>
    </row>
    <row r="217" spans="1:4" x14ac:dyDescent="0.25">
      <c r="A217" s="125"/>
      <c r="B217" s="125"/>
      <c r="C217" s="31" t="s">
        <v>331</v>
      </c>
      <c r="D217" s="124">
        <v>1</v>
      </c>
    </row>
    <row r="218" spans="1:4" x14ac:dyDescent="0.25">
      <c r="A218" s="125"/>
      <c r="B218" s="125"/>
      <c r="C218" s="31" t="s">
        <v>369</v>
      </c>
      <c r="D218" s="124">
        <v>1</v>
      </c>
    </row>
    <row r="219" spans="1:4" x14ac:dyDescent="0.25">
      <c r="A219" s="125"/>
      <c r="B219" s="125"/>
      <c r="C219" s="31" t="s">
        <v>414</v>
      </c>
      <c r="D219" s="124">
        <v>1</v>
      </c>
    </row>
    <row r="220" spans="1:4" x14ac:dyDescent="0.25">
      <c r="A220" s="21">
        <v>3947</v>
      </c>
      <c r="B220" s="21">
        <v>5</v>
      </c>
      <c r="C220" s="19" t="s">
        <v>110</v>
      </c>
      <c r="D220" s="74">
        <v>2</v>
      </c>
    </row>
    <row r="221" spans="1:4" x14ac:dyDescent="0.25">
      <c r="A221" s="125"/>
      <c r="B221" s="125"/>
      <c r="C221" s="31" t="s">
        <v>116</v>
      </c>
      <c r="D221" s="124">
        <v>2</v>
      </c>
    </row>
    <row r="222" spans="1:4" x14ac:dyDescent="0.25">
      <c r="A222" s="125"/>
      <c r="B222" s="125"/>
      <c r="C222" s="31" t="s">
        <v>129</v>
      </c>
      <c r="D222" s="124">
        <v>1</v>
      </c>
    </row>
    <row r="223" spans="1:4" x14ac:dyDescent="0.25">
      <c r="A223" s="125"/>
      <c r="B223" s="125"/>
      <c r="C223" s="31" t="s">
        <v>195</v>
      </c>
      <c r="D223" s="124">
        <v>2</v>
      </c>
    </row>
    <row r="224" spans="1:4" x14ac:dyDescent="0.25">
      <c r="A224" s="125"/>
      <c r="B224" s="125"/>
      <c r="C224" s="31" t="s">
        <v>214</v>
      </c>
      <c r="D224" s="124">
        <v>1</v>
      </c>
    </row>
    <row r="225" spans="1:4" x14ac:dyDescent="0.25">
      <c r="A225" s="125"/>
      <c r="B225" s="125"/>
      <c r="C225" s="31" t="s">
        <v>274</v>
      </c>
      <c r="D225" s="124">
        <v>2</v>
      </c>
    </row>
    <row r="226" spans="1:4" x14ac:dyDescent="0.25">
      <c r="A226" s="125"/>
      <c r="B226" s="125"/>
      <c r="C226" s="31" t="s">
        <v>305</v>
      </c>
      <c r="D226" s="124">
        <v>2</v>
      </c>
    </row>
    <row r="227" spans="1:4" x14ac:dyDescent="0.25">
      <c r="A227" s="125"/>
      <c r="B227" s="125"/>
      <c r="C227" s="31" t="s">
        <v>353</v>
      </c>
      <c r="D227" s="124">
        <v>1</v>
      </c>
    </row>
    <row r="228" spans="1:4" x14ac:dyDescent="0.25">
      <c r="A228" s="125"/>
      <c r="B228" s="125"/>
      <c r="C228" s="31" t="s">
        <v>409</v>
      </c>
      <c r="D228" s="124">
        <v>1</v>
      </c>
    </row>
    <row r="229" spans="1:4" x14ac:dyDescent="0.25">
      <c r="A229" s="21">
        <v>4070</v>
      </c>
      <c r="B229" s="21">
        <v>19</v>
      </c>
      <c r="C229" s="19" t="s">
        <v>203</v>
      </c>
      <c r="D229" s="74">
        <v>1</v>
      </c>
    </row>
    <row r="230" spans="1:4" x14ac:dyDescent="0.25">
      <c r="A230" s="125"/>
      <c r="B230" s="125"/>
      <c r="C230" s="31" t="s">
        <v>249</v>
      </c>
      <c r="D230" s="124">
        <v>1</v>
      </c>
    </row>
    <row r="231" spans="1:4" x14ac:dyDescent="0.25">
      <c r="A231" s="125"/>
      <c r="B231" s="125"/>
      <c r="C231" s="31" t="s">
        <v>281</v>
      </c>
      <c r="D231" s="124">
        <v>1</v>
      </c>
    </row>
    <row r="232" spans="1:4" x14ac:dyDescent="0.25">
      <c r="A232" s="125"/>
      <c r="B232" s="125"/>
      <c r="C232" s="31" t="s">
        <v>296</v>
      </c>
      <c r="D232" s="124">
        <v>1</v>
      </c>
    </row>
    <row r="233" spans="1:4" x14ac:dyDescent="0.25">
      <c r="A233" s="125"/>
      <c r="B233" s="125"/>
      <c r="C233" s="31" t="s">
        <v>319</v>
      </c>
      <c r="D233" s="124">
        <v>1</v>
      </c>
    </row>
    <row r="234" spans="1:4" x14ac:dyDescent="0.25">
      <c r="A234" s="125"/>
      <c r="B234" s="125"/>
      <c r="C234" s="31" t="s">
        <v>396</v>
      </c>
      <c r="D234" s="124">
        <v>1</v>
      </c>
    </row>
    <row r="235" spans="1:4" x14ac:dyDescent="0.25">
      <c r="A235" s="125"/>
      <c r="B235" s="125"/>
      <c r="C235" s="31" t="s">
        <v>403</v>
      </c>
      <c r="D235" s="124">
        <v>1</v>
      </c>
    </row>
    <row r="236" spans="1:4" x14ac:dyDescent="0.25">
      <c r="A236" s="21">
        <v>4211</v>
      </c>
      <c r="B236" s="21" t="s">
        <v>376</v>
      </c>
      <c r="C236" s="19" t="s">
        <v>139</v>
      </c>
      <c r="D236" s="74">
        <v>1</v>
      </c>
    </row>
    <row r="237" spans="1:4" x14ac:dyDescent="0.25">
      <c r="A237" s="125"/>
      <c r="B237" s="125"/>
      <c r="C237" s="31" t="s">
        <v>187</v>
      </c>
      <c r="D237" s="124">
        <v>1</v>
      </c>
    </row>
    <row r="238" spans="1:4" x14ac:dyDescent="0.25">
      <c r="A238" s="125"/>
      <c r="B238" s="125"/>
      <c r="C238" s="31" t="s">
        <v>204</v>
      </c>
      <c r="D238" s="124">
        <v>1</v>
      </c>
    </row>
    <row r="239" spans="1:4" x14ac:dyDescent="0.25">
      <c r="A239" s="125"/>
      <c r="B239" s="125"/>
      <c r="C239" s="31" t="s">
        <v>216</v>
      </c>
      <c r="D239" s="124">
        <v>1</v>
      </c>
    </row>
    <row r="240" spans="1:4" x14ac:dyDescent="0.25">
      <c r="A240" s="125"/>
      <c r="B240" s="125"/>
      <c r="C240" s="31" t="s">
        <v>254</v>
      </c>
      <c r="D240" s="124">
        <v>1</v>
      </c>
    </row>
    <row r="241" spans="1:4" x14ac:dyDescent="0.25">
      <c r="A241" s="125"/>
      <c r="B241" s="125"/>
      <c r="C241" s="31" t="s">
        <v>354</v>
      </c>
      <c r="D241" s="124">
        <v>1</v>
      </c>
    </row>
    <row r="242" spans="1:4" x14ac:dyDescent="0.25">
      <c r="A242" s="125"/>
      <c r="B242" s="125"/>
      <c r="C242" s="31" t="s">
        <v>362</v>
      </c>
      <c r="D242" s="124">
        <v>1</v>
      </c>
    </row>
    <row r="243" spans="1:4" x14ac:dyDescent="0.25">
      <c r="A243" s="21">
        <v>4234</v>
      </c>
      <c r="B243" s="21" t="s">
        <v>376</v>
      </c>
      <c r="C243" s="19" t="s">
        <v>188</v>
      </c>
      <c r="D243" s="74">
        <v>1</v>
      </c>
    </row>
    <row r="244" spans="1:4" x14ac:dyDescent="0.25">
      <c r="A244" s="125"/>
      <c r="B244" s="125"/>
      <c r="C244" s="31" t="s">
        <v>192</v>
      </c>
      <c r="D244" s="124">
        <v>1</v>
      </c>
    </row>
    <row r="245" spans="1:4" x14ac:dyDescent="0.25">
      <c r="A245" s="125"/>
      <c r="B245" s="125"/>
      <c r="C245" s="31" t="s">
        <v>231</v>
      </c>
      <c r="D245" s="124">
        <v>2</v>
      </c>
    </row>
    <row r="246" spans="1:4" x14ac:dyDescent="0.25">
      <c r="A246" s="125"/>
      <c r="B246" s="125"/>
      <c r="C246" s="31" t="s">
        <v>307</v>
      </c>
      <c r="D246" s="124">
        <v>2</v>
      </c>
    </row>
    <row r="247" spans="1:4" x14ac:dyDescent="0.25">
      <c r="A247" s="125"/>
      <c r="B247" s="125"/>
      <c r="C247" s="31" t="s">
        <v>337</v>
      </c>
      <c r="D247" s="124">
        <v>1</v>
      </c>
    </row>
    <row r="248" spans="1:4" x14ac:dyDescent="0.25">
      <c r="A248" s="125"/>
      <c r="B248" s="125"/>
      <c r="C248" s="31" t="s">
        <v>342</v>
      </c>
      <c r="D248" s="124">
        <v>1</v>
      </c>
    </row>
    <row r="249" spans="1:4" x14ac:dyDescent="0.25">
      <c r="A249" s="125"/>
      <c r="B249" s="125"/>
      <c r="C249" s="31" t="s">
        <v>357</v>
      </c>
      <c r="D249" s="124">
        <v>1</v>
      </c>
    </row>
    <row r="250" spans="1:4" x14ac:dyDescent="0.25">
      <c r="A250" s="21">
        <v>4272</v>
      </c>
      <c r="B250" s="21">
        <v>26</v>
      </c>
      <c r="C250" s="19" t="s">
        <v>137</v>
      </c>
      <c r="D250" s="74">
        <v>1</v>
      </c>
    </row>
    <row r="251" spans="1:4" x14ac:dyDescent="0.25">
      <c r="A251" s="125"/>
      <c r="B251" s="125"/>
      <c r="C251" s="31" t="s">
        <v>160</v>
      </c>
      <c r="D251" s="124">
        <v>1</v>
      </c>
    </row>
    <row r="252" spans="1:4" x14ac:dyDescent="0.25">
      <c r="A252" s="125"/>
      <c r="B252" s="125"/>
      <c r="C252" s="31" t="s">
        <v>226</v>
      </c>
      <c r="D252" s="124">
        <v>1</v>
      </c>
    </row>
    <row r="253" spans="1:4" x14ac:dyDescent="0.25">
      <c r="A253" s="125"/>
      <c r="B253" s="125"/>
      <c r="C253" s="31" t="s">
        <v>245</v>
      </c>
      <c r="D253" s="124">
        <v>2</v>
      </c>
    </row>
    <row r="254" spans="1:4" x14ac:dyDescent="0.25">
      <c r="A254" s="125"/>
      <c r="B254" s="125"/>
      <c r="C254" s="31" t="s">
        <v>288</v>
      </c>
      <c r="D254" s="124">
        <v>1</v>
      </c>
    </row>
    <row r="255" spans="1:4" x14ac:dyDescent="0.25">
      <c r="A255" s="125"/>
      <c r="B255" s="125"/>
      <c r="C255" s="31" t="s">
        <v>300</v>
      </c>
      <c r="D255" s="124">
        <v>1</v>
      </c>
    </row>
    <row r="256" spans="1:4" x14ac:dyDescent="0.25">
      <c r="A256" s="125"/>
      <c r="B256" s="125"/>
      <c r="C256" s="31" t="s">
        <v>316</v>
      </c>
      <c r="D256" s="124">
        <v>1</v>
      </c>
    </row>
    <row r="257" spans="1:4" x14ac:dyDescent="0.25">
      <c r="A257" s="125"/>
      <c r="B257" s="125"/>
      <c r="C257" s="31" t="s">
        <v>408</v>
      </c>
      <c r="D257" s="124">
        <v>1</v>
      </c>
    </row>
    <row r="258" spans="1:4" x14ac:dyDescent="0.25">
      <c r="A258" s="21">
        <v>4485</v>
      </c>
      <c r="B258" s="21">
        <v>18</v>
      </c>
      <c r="C258" s="19" t="s">
        <v>152</v>
      </c>
      <c r="D258" s="74">
        <v>1</v>
      </c>
    </row>
    <row r="259" spans="1:4" x14ac:dyDescent="0.25">
      <c r="A259" s="125"/>
      <c r="B259" s="125"/>
      <c r="C259" s="31" t="s">
        <v>210</v>
      </c>
      <c r="D259" s="124">
        <v>1</v>
      </c>
    </row>
    <row r="260" spans="1:4" x14ac:dyDescent="0.25">
      <c r="A260" s="125"/>
      <c r="B260" s="125"/>
      <c r="C260" s="31" t="s">
        <v>279</v>
      </c>
      <c r="D260" s="124">
        <v>2</v>
      </c>
    </row>
    <row r="261" spans="1:4" x14ac:dyDescent="0.25">
      <c r="A261" s="125"/>
      <c r="B261" s="125"/>
      <c r="C261" s="31" t="s">
        <v>347</v>
      </c>
      <c r="D261" s="124">
        <v>1</v>
      </c>
    </row>
    <row r="262" spans="1:4" x14ac:dyDescent="0.25">
      <c r="A262" s="125"/>
      <c r="B262" s="125"/>
      <c r="C262" s="31" t="s">
        <v>381</v>
      </c>
      <c r="D262" s="124">
        <v>1</v>
      </c>
    </row>
    <row r="263" spans="1:4" x14ac:dyDescent="0.25">
      <c r="A263" s="125"/>
      <c r="B263" s="125"/>
      <c r="C263" s="31" t="s">
        <v>385</v>
      </c>
      <c r="D263" s="124">
        <v>1</v>
      </c>
    </row>
    <row r="264" spans="1:4" x14ac:dyDescent="0.25">
      <c r="A264" s="125"/>
      <c r="B264" s="125"/>
      <c r="C264" s="31" t="s">
        <v>394</v>
      </c>
      <c r="D264" s="124">
        <v>1</v>
      </c>
    </row>
    <row r="265" spans="1:4" x14ac:dyDescent="0.25">
      <c r="A265" s="21">
        <v>4545</v>
      </c>
      <c r="B265" s="21">
        <v>20</v>
      </c>
      <c r="C265" s="19" t="s">
        <v>176</v>
      </c>
      <c r="D265" s="74">
        <v>1</v>
      </c>
    </row>
    <row r="266" spans="1:4" x14ac:dyDescent="0.25">
      <c r="A266" s="125"/>
      <c r="B266" s="125"/>
      <c r="C266" s="31" t="s">
        <v>202</v>
      </c>
      <c r="D266" s="124">
        <v>1</v>
      </c>
    </row>
    <row r="267" spans="1:4" x14ac:dyDescent="0.25">
      <c r="A267" s="125"/>
      <c r="B267" s="125"/>
      <c r="C267" s="31" t="s">
        <v>229</v>
      </c>
      <c r="D267" s="124">
        <v>2</v>
      </c>
    </row>
    <row r="268" spans="1:4" x14ac:dyDescent="0.25">
      <c r="A268" s="125"/>
      <c r="B268" s="125"/>
      <c r="C268" s="31" t="s">
        <v>240</v>
      </c>
      <c r="D268" s="124">
        <v>1</v>
      </c>
    </row>
    <row r="269" spans="1:4" x14ac:dyDescent="0.25">
      <c r="A269" s="125"/>
      <c r="B269" s="125"/>
      <c r="C269" s="31" t="s">
        <v>267</v>
      </c>
      <c r="D269" s="124">
        <v>2</v>
      </c>
    </row>
    <row r="270" spans="1:4" x14ac:dyDescent="0.25">
      <c r="A270" s="125"/>
      <c r="B270" s="125"/>
      <c r="C270" s="31" t="s">
        <v>391</v>
      </c>
      <c r="D270" s="124">
        <v>1</v>
      </c>
    </row>
    <row r="271" spans="1:4" x14ac:dyDescent="0.25">
      <c r="A271" s="21">
        <v>4580</v>
      </c>
      <c r="B271" s="21" t="s">
        <v>376</v>
      </c>
      <c r="C271" s="19" t="s">
        <v>217</v>
      </c>
      <c r="D271" s="74">
        <v>1</v>
      </c>
    </row>
    <row r="272" spans="1:4" x14ac:dyDescent="0.25">
      <c r="A272" s="125"/>
      <c r="B272" s="125"/>
      <c r="C272" s="31" t="s">
        <v>239</v>
      </c>
      <c r="D272" s="124">
        <v>1</v>
      </c>
    </row>
    <row r="273" spans="1:4" x14ac:dyDescent="0.25">
      <c r="A273" s="125"/>
      <c r="B273" s="125"/>
      <c r="C273" s="31" t="s">
        <v>277</v>
      </c>
      <c r="D273" s="124">
        <v>2</v>
      </c>
    </row>
    <row r="274" spans="1:4" x14ac:dyDescent="0.25">
      <c r="A274" s="125"/>
      <c r="B274" s="125"/>
      <c r="C274" s="31" t="s">
        <v>280</v>
      </c>
      <c r="D274" s="124">
        <v>1</v>
      </c>
    </row>
    <row r="275" spans="1:4" x14ac:dyDescent="0.25">
      <c r="A275" s="125"/>
      <c r="B275" s="125"/>
      <c r="C275" s="31" t="s">
        <v>335</v>
      </c>
      <c r="D275" s="124">
        <v>1</v>
      </c>
    </row>
    <row r="276" spans="1:4" x14ac:dyDescent="0.25">
      <c r="A276" s="125"/>
      <c r="B276" s="125"/>
      <c r="C276" s="31" t="s">
        <v>349</v>
      </c>
      <c r="D276" s="124">
        <v>1</v>
      </c>
    </row>
    <row r="277" spans="1:4" x14ac:dyDescent="0.25">
      <c r="A277" s="21">
        <v>4791</v>
      </c>
      <c r="B277" s="21" t="s">
        <v>376</v>
      </c>
      <c r="C277" s="19" t="s">
        <v>147</v>
      </c>
      <c r="D277" s="74">
        <v>1</v>
      </c>
    </row>
    <row r="278" spans="1:4" x14ac:dyDescent="0.25">
      <c r="A278" s="125"/>
      <c r="B278" s="125"/>
      <c r="C278" s="31" t="s">
        <v>201</v>
      </c>
      <c r="D278" s="124">
        <v>1</v>
      </c>
    </row>
    <row r="279" spans="1:4" x14ac:dyDescent="0.25">
      <c r="A279" s="125"/>
      <c r="B279" s="125"/>
      <c r="C279" s="31" t="s">
        <v>223</v>
      </c>
      <c r="D279" s="124">
        <v>1</v>
      </c>
    </row>
    <row r="280" spans="1:4" x14ac:dyDescent="0.25">
      <c r="A280" s="125"/>
      <c r="B280" s="125"/>
      <c r="C280" s="31" t="s">
        <v>259</v>
      </c>
      <c r="D280" s="124">
        <v>2</v>
      </c>
    </row>
    <row r="281" spans="1:4" x14ac:dyDescent="0.25">
      <c r="A281" s="125"/>
      <c r="B281" s="125"/>
      <c r="C281" s="31" t="s">
        <v>297</v>
      </c>
      <c r="D281" s="124">
        <v>1</v>
      </c>
    </row>
    <row r="282" spans="1:4" x14ac:dyDescent="0.25">
      <c r="A282" s="125"/>
      <c r="B282" s="125"/>
      <c r="C282" s="31" t="s">
        <v>309</v>
      </c>
      <c r="D282" s="124">
        <v>2</v>
      </c>
    </row>
    <row r="283" spans="1:4" x14ac:dyDescent="0.25">
      <c r="A283" s="125"/>
      <c r="B283" s="125"/>
      <c r="C283" s="31" t="s">
        <v>328</v>
      </c>
      <c r="D283" s="124">
        <v>1</v>
      </c>
    </row>
    <row r="284" spans="1:4" x14ac:dyDescent="0.25">
      <c r="A284" s="21">
        <v>4846</v>
      </c>
      <c r="B284" s="21" t="s">
        <v>376</v>
      </c>
      <c r="C284" s="19" t="s">
        <v>109</v>
      </c>
      <c r="D284" s="74">
        <v>2</v>
      </c>
    </row>
    <row r="285" spans="1:4" x14ac:dyDescent="0.25">
      <c r="A285" s="125"/>
      <c r="B285" s="125"/>
      <c r="C285" s="31" t="s">
        <v>113</v>
      </c>
      <c r="D285" s="124">
        <v>2</v>
      </c>
    </row>
    <row r="286" spans="1:4" x14ac:dyDescent="0.25">
      <c r="A286" s="125"/>
      <c r="B286" s="125"/>
      <c r="C286" s="31" t="s">
        <v>115</v>
      </c>
      <c r="D286" s="124">
        <v>2</v>
      </c>
    </row>
    <row r="287" spans="1:4" x14ac:dyDescent="0.25">
      <c r="A287" s="125"/>
      <c r="B287" s="125"/>
      <c r="C287" s="31" t="s">
        <v>121</v>
      </c>
      <c r="D287" s="124">
        <v>2</v>
      </c>
    </row>
    <row r="288" spans="1:4" x14ac:dyDescent="0.25">
      <c r="A288" s="125"/>
      <c r="B288" s="125"/>
      <c r="C288" s="31" t="s">
        <v>122</v>
      </c>
      <c r="D288" s="124">
        <v>2</v>
      </c>
    </row>
    <row r="289" spans="1:4" x14ac:dyDescent="0.25">
      <c r="A289" s="125"/>
      <c r="B289" s="125"/>
      <c r="C289" s="31" t="s">
        <v>156</v>
      </c>
      <c r="D289" s="124">
        <v>1</v>
      </c>
    </row>
    <row r="290" spans="1:4" x14ac:dyDescent="0.25">
      <c r="A290" s="125"/>
      <c r="B290" s="125"/>
      <c r="C290" s="31" t="s">
        <v>198</v>
      </c>
      <c r="D290" s="124">
        <v>1</v>
      </c>
    </row>
    <row r="291" spans="1:4" x14ac:dyDescent="0.25">
      <c r="A291" s="125"/>
      <c r="B291" s="125"/>
      <c r="C291" s="31" t="s">
        <v>224</v>
      </c>
      <c r="D291" s="124">
        <v>1</v>
      </c>
    </row>
    <row r="292" spans="1:4" x14ac:dyDescent="0.25">
      <c r="A292" s="125"/>
      <c r="B292" s="125"/>
      <c r="C292" s="31" t="s">
        <v>230</v>
      </c>
      <c r="D292" s="124">
        <v>2</v>
      </c>
    </row>
    <row r="293" spans="1:4" x14ac:dyDescent="0.25">
      <c r="A293" s="125"/>
      <c r="B293" s="125"/>
      <c r="C293" s="31" t="s">
        <v>304</v>
      </c>
      <c r="D293" s="124">
        <v>2</v>
      </c>
    </row>
    <row r="294" spans="1:4" x14ac:dyDescent="0.25">
      <c r="A294" s="125"/>
      <c r="B294" s="125"/>
      <c r="C294" s="31" t="s">
        <v>351</v>
      </c>
      <c r="D294" s="124">
        <v>1</v>
      </c>
    </row>
    <row r="295" spans="1:4" x14ac:dyDescent="0.25">
      <c r="A295" s="125"/>
      <c r="B295" s="125"/>
      <c r="C295" s="31" t="s">
        <v>412</v>
      </c>
      <c r="D295" s="124">
        <v>1</v>
      </c>
    </row>
    <row r="296" spans="1:4" x14ac:dyDescent="0.25">
      <c r="A296" s="119" t="s">
        <v>7</v>
      </c>
      <c r="B296" s="117"/>
      <c r="C296" s="117"/>
      <c r="D296" s="75">
        <v>354</v>
      </c>
    </row>
  </sheetData>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K146"/>
  <sheetViews>
    <sheetView zoomScale="74" zoomScaleNormal="74" workbookViewId="0">
      <pane ySplit="6" topLeftCell="A7" activePane="bottomLeft" state="frozen"/>
      <selection activeCell="A9" sqref="A9"/>
      <selection pane="bottomLeft" activeCell="C13" sqref="C13"/>
    </sheetView>
  </sheetViews>
  <sheetFormatPr defaultColWidth="9.140625" defaultRowHeight="15" x14ac:dyDescent="0.25"/>
  <cols>
    <col min="1" max="1" width="20.28515625" style="12" bestFit="1" customWidth="1"/>
    <col min="2" max="2" width="10.140625" style="12" bestFit="1" customWidth="1"/>
    <col min="3" max="5" width="9.28515625" style="12" bestFit="1" customWidth="1"/>
    <col min="6" max="12" width="8.5703125" style="12" customWidth="1"/>
    <col min="13" max="29" width="8.5703125" style="50" customWidth="1"/>
    <col min="30" max="38" width="5.7109375" style="50" customWidth="1"/>
    <col min="39" max="16384" width="9.140625" style="50"/>
  </cols>
  <sheetData>
    <row r="1" spans="1:37" x14ac:dyDescent="0.25">
      <c r="A1" s="38" t="s">
        <v>28</v>
      </c>
      <c r="B1" s="39" t="s">
        <v>76</v>
      </c>
    </row>
    <row r="2" spans="1:37" s="2" customFormat="1" x14ac:dyDescent="0.25">
      <c r="A2" s="65" t="s">
        <v>47</v>
      </c>
      <c r="B2" s="84"/>
    </row>
    <row r="3" spans="1:37" s="2" customFormat="1" x14ac:dyDescent="0.25"/>
    <row r="4" spans="1:37" s="2" customFormat="1" ht="30" x14ac:dyDescent="0.25">
      <c r="A4" s="33" t="s">
        <v>92</v>
      </c>
      <c r="B4" s="36" t="s">
        <v>91</v>
      </c>
      <c r="C4" s="34"/>
      <c r="D4" s="35"/>
      <c r="E4"/>
      <c r="F4"/>
      <c r="G4"/>
      <c r="H4"/>
      <c r="I4"/>
      <c r="J4"/>
      <c r="K4"/>
      <c r="L4"/>
      <c r="M4"/>
      <c r="N4"/>
      <c r="O4"/>
      <c r="P4"/>
      <c r="Q4"/>
      <c r="R4"/>
      <c r="S4"/>
      <c r="T4"/>
      <c r="U4"/>
      <c r="V4"/>
      <c r="W4"/>
      <c r="X4"/>
      <c r="Y4"/>
      <c r="Z4" s="50"/>
      <c r="AA4" s="50"/>
    </row>
    <row r="5" spans="1:37" s="83" customFormat="1" x14ac:dyDescent="0.25">
      <c r="A5" s="33" t="s">
        <v>5</v>
      </c>
      <c r="B5" s="23" t="s">
        <v>46</v>
      </c>
      <c r="C5" s="57" t="s">
        <v>42</v>
      </c>
      <c r="D5" s="58" t="s">
        <v>29</v>
      </c>
      <c r="E5"/>
      <c r="F5"/>
      <c r="G5"/>
      <c r="H5"/>
      <c r="I5"/>
      <c r="J5"/>
      <c r="K5"/>
      <c r="L5"/>
      <c r="M5"/>
      <c r="N5"/>
      <c r="O5"/>
      <c r="P5"/>
      <c r="Q5"/>
      <c r="R5"/>
      <c r="S5"/>
      <c r="T5"/>
      <c r="U5"/>
      <c r="V5"/>
      <c r="W5"/>
      <c r="X5"/>
      <c r="Y5"/>
      <c r="Z5" s="50"/>
      <c r="AA5" s="50"/>
      <c r="AB5" s="2"/>
      <c r="AC5" s="2"/>
      <c r="AD5" s="2"/>
      <c r="AE5" s="2"/>
      <c r="AF5" s="2"/>
      <c r="AG5" s="2"/>
      <c r="AH5" s="2"/>
      <c r="AI5" s="2"/>
      <c r="AJ5" s="2"/>
      <c r="AK5" s="2"/>
    </row>
    <row r="6" spans="1:37" s="2" customFormat="1" x14ac:dyDescent="0.25">
      <c r="A6" s="23">
        <v>45</v>
      </c>
      <c r="B6" s="76">
        <v>0.8</v>
      </c>
      <c r="C6" s="25">
        <v>0.2</v>
      </c>
      <c r="D6" s="80">
        <v>0</v>
      </c>
      <c r="E6"/>
      <c r="F6"/>
      <c r="G6"/>
      <c r="H6"/>
      <c r="I6"/>
      <c r="J6"/>
      <c r="K6"/>
      <c r="L6"/>
      <c r="M6"/>
      <c r="N6"/>
      <c r="O6"/>
      <c r="P6"/>
      <c r="Q6"/>
      <c r="R6"/>
      <c r="S6"/>
      <c r="T6"/>
      <c r="U6"/>
      <c r="V6"/>
      <c r="W6"/>
      <c r="X6"/>
      <c r="Y6"/>
      <c r="Z6" s="50"/>
      <c r="AA6" s="50"/>
    </row>
    <row r="7" spans="1:37" x14ac:dyDescent="0.25">
      <c r="A7" s="37">
        <v>135</v>
      </c>
      <c r="B7" s="77">
        <v>0.5</v>
      </c>
      <c r="C7" s="26">
        <v>0.5</v>
      </c>
      <c r="D7" s="81">
        <v>0</v>
      </c>
      <c r="E7"/>
      <c r="F7"/>
      <c r="G7"/>
      <c r="H7"/>
      <c r="I7"/>
      <c r="J7"/>
      <c r="K7"/>
      <c r="L7"/>
      <c r="M7"/>
      <c r="N7"/>
      <c r="O7"/>
      <c r="P7"/>
      <c r="Q7"/>
      <c r="R7"/>
      <c r="S7"/>
      <c r="T7"/>
      <c r="U7"/>
      <c r="V7"/>
      <c r="W7"/>
      <c r="X7"/>
      <c r="Y7"/>
    </row>
    <row r="8" spans="1:37" x14ac:dyDescent="0.25">
      <c r="A8" s="37">
        <v>234</v>
      </c>
      <c r="B8" s="77">
        <v>0.1111111111111111</v>
      </c>
      <c r="C8" s="26">
        <v>0.88888888888888884</v>
      </c>
      <c r="D8" s="81">
        <v>0</v>
      </c>
      <c r="E8"/>
      <c r="F8"/>
      <c r="G8"/>
      <c r="H8"/>
      <c r="I8"/>
      <c r="J8"/>
      <c r="K8"/>
      <c r="L8"/>
      <c r="M8"/>
      <c r="N8"/>
      <c r="O8"/>
      <c r="P8"/>
      <c r="Q8"/>
      <c r="R8"/>
      <c r="S8"/>
      <c r="T8"/>
      <c r="U8"/>
      <c r="V8"/>
      <c r="W8"/>
      <c r="X8"/>
      <c r="Y8"/>
    </row>
    <row r="9" spans="1:37" x14ac:dyDescent="0.25">
      <c r="A9" s="37">
        <v>292</v>
      </c>
      <c r="B9" s="77">
        <v>0.88235294117647056</v>
      </c>
      <c r="C9" s="26">
        <v>0.11764705882352941</v>
      </c>
      <c r="D9" s="81">
        <v>0</v>
      </c>
      <c r="E9"/>
      <c r="F9"/>
      <c r="G9"/>
      <c r="H9"/>
      <c r="I9"/>
      <c r="J9"/>
      <c r="K9"/>
      <c r="L9"/>
      <c r="M9"/>
      <c r="N9"/>
      <c r="O9"/>
      <c r="P9"/>
      <c r="Q9"/>
      <c r="R9"/>
      <c r="S9"/>
      <c r="T9"/>
      <c r="U9"/>
      <c r="V9"/>
      <c r="W9"/>
      <c r="X9"/>
      <c r="Y9"/>
    </row>
    <row r="10" spans="1:37" x14ac:dyDescent="0.25">
      <c r="A10" s="37">
        <v>359</v>
      </c>
      <c r="B10" s="77">
        <v>1</v>
      </c>
      <c r="C10" s="26">
        <v>0</v>
      </c>
      <c r="D10" s="81">
        <v>0</v>
      </c>
      <c r="E10"/>
      <c r="F10"/>
      <c r="G10"/>
      <c r="H10"/>
      <c r="I10"/>
      <c r="J10"/>
      <c r="K10"/>
      <c r="L10"/>
      <c r="M10"/>
      <c r="N10"/>
      <c r="O10"/>
      <c r="P10"/>
      <c r="Q10"/>
      <c r="R10"/>
      <c r="S10"/>
      <c r="T10"/>
      <c r="U10"/>
      <c r="V10"/>
      <c r="W10"/>
      <c r="X10"/>
      <c r="Y10"/>
    </row>
    <row r="11" spans="1:37" x14ac:dyDescent="0.25">
      <c r="A11" s="37">
        <v>461</v>
      </c>
      <c r="B11" s="77">
        <v>0.9</v>
      </c>
      <c r="C11" s="26">
        <v>0.1</v>
      </c>
      <c r="D11" s="81">
        <v>0</v>
      </c>
      <c r="E11"/>
      <c r="F11"/>
      <c r="G11"/>
      <c r="H11"/>
      <c r="I11"/>
      <c r="J11"/>
      <c r="K11"/>
      <c r="L11"/>
      <c r="M11"/>
      <c r="N11"/>
      <c r="O11"/>
      <c r="P11"/>
      <c r="Q11"/>
      <c r="R11"/>
      <c r="S11"/>
      <c r="T11"/>
      <c r="U11"/>
      <c r="V11"/>
      <c r="W11"/>
      <c r="X11"/>
      <c r="Y11"/>
    </row>
    <row r="12" spans="1:37" x14ac:dyDescent="0.25">
      <c r="A12" s="37">
        <v>829</v>
      </c>
      <c r="B12" s="77">
        <v>0.69230769230769229</v>
      </c>
      <c r="C12" s="26">
        <v>0.30769230769230771</v>
      </c>
      <c r="D12" s="81">
        <v>0</v>
      </c>
      <c r="E12"/>
      <c r="F12"/>
      <c r="G12"/>
      <c r="H12"/>
      <c r="I12"/>
      <c r="J12"/>
      <c r="K12"/>
      <c r="L12"/>
      <c r="M12"/>
      <c r="N12"/>
      <c r="O12"/>
      <c r="P12"/>
      <c r="Q12"/>
      <c r="R12"/>
      <c r="S12"/>
      <c r="T12"/>
      <c r="U12"/>
      <c r="V12"/>
      <c r="W12"/>
      <c r="X12"/>
      <c r="Y12"/>
    </row>
    <row r="13" spans="1:37" x14ac:dyDescent="0.25">
      <c r="A13" s="37">
        <v>868</v>
      </c>
      <c r="B13" s="77">
        <v>0.8571428571428571</v>
      </c>
      <c r="C13" s="26">
        <v>0.14285714285714285</v>
      </c>
      <c r="D13" s="81">
        <v>0</v>
      </c>
      <c r="E13"/>
      <c r="F13"/>
      <c r="G13"/>
      <c r="H13"/>
      <c r="I13"/>
      <c r="J13"/>
      <c r="K13"/>
      <c r="L13"/>
      <c r="M13"/>
      <c r="N13"/>
      <c r="O13"/>
      <c r="P13"/>
      <c r="Q13"/>
      <c r="R13"/>
      <c r="S13"/>
      <c r="T13"/>
      <c r="U13"/>
      <c r="V13"/>
      <c r="W13"/>
      <c r="X13"/>
      <c r="Y13"/>
    </row>
    <row r="14" spans="1:37" x14ac:dyDescent="0.25">
      <c r="A14" s="37">
        <v>1024</v>
      </c>
      <c r="B14" s="77">
        <v>0.81818181818181823</v>
      </c>
      <c r="C14" s="26">
        <v>0.18181818181818182</v>
      </c>
      <c r="D14" s="81">
        <v>0</v>
      </c>
      <c r="E14"/>
      <c r="F14"/>
      <c r="G14"/>
      <c r="H14"/>
      <c r="I14"/>
      <c r="J14"/>
      <c r="K14"/>
      <c r="L14"/>
      <c r="M14"/>
      <c r="N14"/>
      <c r="O14"/>
      <c r="P14"/>
      <c r="Q14"/>
      <c r="R14"/>
      <c r="S14"/>
      <c r="T14"/>
      <c r="U14"/>
      <c r="V14"/>
      <c r="W14"/>
      <c r="X14"/>
      <c r="Y14"/>
    </row>
    <row r="15" spans="1:37" x14ac:dyDescent="0.25">
      <c r="A15" s="37">
        <v>1501</v>
      </c>
      <c r="B15" s="77">
        <v>1</v>
      </c>
      <c r="C15" s="26">
        <v>0</v>
      </c>
      <c r="D15" s="81">
        <v>0</v>
      </c>
      <c r="E15"/>
      <c r="F15"/>
      <c r="G15"/>
      <c r="H15"/>
      <c r="I15"/>
      <c r="J15"/>
      <c r="K15"/>
      <c r="L15"/>
      <c r="M15"/>
      <c r="N15"/>
      <c r="O15"/>
      <c r="P15"/>
      <c r="Q15"/>
      <c r="R15"/>
      <c r="S15"/>
      <c r="T15"/>
      <c r="U15"/>
      <c r="V15"/>
      <c r="W15"/>
      <c r="X15"/>
      <c r="Y15"/>
    </row>
    <row r="16" spans="1:37" x14ac:dyDescent="0.25">
      <c r="A16" s="37">
        <v>1646</v>
      </c>
      <c r="B16" s="77">
        <v>1</v>
      </c>
      <c r="C16" s="26">
        <v>0</v>
      </c>
      <c r="D16" s="81">
        <v>0</v>
      </c>
      <c r="E16"/>
      <c r="F16"/>
      <c r="G16"/>
      <c r="H16"/>
      <c r="I16"/>
      <c r="J16"/>
      <c r="K16"/>
      <c r="L16"/>
      <c r="M16"/>
      <c r="N16"/>
      <c r="O16"/>
      <c r="P16"/>
      <c r="Q16"/>
      <c r="R16"/>
      <c r="S16"/>
      <c r="T16"/>
      <c r="U16"/>
      <c r="V16"/>
      <c r="W16"/>
      <c r="X16"/>
      <c r="Y16"/>
    </row>
    <row r="17" spans="1:25" x14ac:dyDescent="0.25">
      <c r="A17" s="37">
        <v>1732</v>
      </c>
      <c r="B17" s="77">
        <v>0.8666666666666667</v>
      </c>
      <c r="C17" s="26">
        <v>0.13333333333333333</v>
      </c>
      <c r="D17" s="81">
        <v>0</v>
      </c>
      <c r="E17"/>
      <c r="F17"/>
      <c r="G17"/>
      <c r="H17"/>
      <c r="I17"/>
      <c r="J17"/>
      <c r="K17"/>
      <c r="L17"/>
      <c r="M17"/>
      <c r="N17"/>
      <c r="O17"/>
      <c r="P17"/>
      <c r="Q17"/>
      <c r="R17"/>
      <c r="S17"/>
      <c r="T17"/>
      <c r="U17"/>
      <c r="V17"/>
      <c r="W17"/>
      <c r="X17"/>
      <c r="Y17"/>
    </row>
    <row r="18" spans="1:25" x14ac:dyDescent="0.25">
      <c r="A18" s="37">
        <v>1736</v>
      </c>
      <c r="B18" s="77">
        <v>0.625</v>
      </c>
      <c r="C18" s="26">
        <v>0.375</v>
      </c>
      <c r="D18" s="81">
        <v>0</v>
      </c>
      <c r="E18"/>
      <c r="F18"/>
      <c r="G18"/>
      <c r="H18"/>
      <c r="I18"/>
      <c r="J18"/>
      <c r="K18"/>
      <c r="L18"/>
      <c r="M18"/>
      <c r="N18"/>
      <c r="O18"/>
      <c r="P18"/>
      <c r="Q18"/>
      <c r="R18"/>
      <c r="S18"/>
      <c r="T18"/>
      <c r="U18"/>
      <c r="V18"/>
      <c r="W18"/>
      <c r="X18"/>
      <c r="Y18"/>
    </row>
    <row r="19" spans="1:25" x14ac:dyDescent="0.25">
      <c r="A19" s="37">
        <v>1741</v>
      </c>
      <c r="B19" s="77">
        <v>0.8571428571428571</v>
      </c>
      <c r="C19" s="26">
        <v>0.14285714285714285</v>
      </c>
      <c r="D19" s="81">
        <v>0</v>
      </c>
      <c r="E19"/>
      <c r="F19"/>
      <c r="G19"/>
      <c r="H19"/>
      <c r="I19"/>
      <c r="J19"/>
      <c r="K19"/>
      <c r="L19"/>
      <c r="M19"/>
      <c r="N19"/>
      <c r="O19"/>
      <c r="P19"/>
      <c r="Q19"/>
      <c r="R19"/>
      <c r="S19"/>
      <c r="T19"/>
      <c r="U19"/>
      <c r="V19"/>
      <c r="W19"/>
      <c r="X19"/>
      <c r="Y19"/>
    </row>
    <row r="20" spans="1:25" x14ac:dyDescent="0.25">
      <c r="A20" s="37">
        <v>1747</v>
      </c>
      <c r="B20" s="77">
        <v>0.9</v>
      </c>
      <c r="C20" s="26">
        <v>0.1</v>
      </c>
      <c r="D20" s="81">
        <v>0</v>
      </c>
      <c r="E20"/>
      <c r="F20"/>
      <c r="G20"/>
      <c r="H20"/>
      <c r="I20"/>
      <c r="J20"/>
      <c r="K20"/>
      <c r="L20"/>
      <c r="M20"/>
      <c r="N20"/>
      <c r="O20"/>
      <c r="P20"/>
      <c r="Q20"/>
      <c r="R20"/>
      <c r="S20"/>
      <c r="T20"/>
      <c r="U20"/>
      <c r="V20"/>
      <c r="W20"/>
      <c r="X20"/>
      <c r="Y20"/>
    </row>
    <row r="21" spans="1:25" x14ac:dyDescent="0.25">
      <c r="A21" s="37">
        <v>1756</v>
      </c>
      <c r="B21" s="77">
        <v>0.9285714285714286</v>
      </c>
      <c r="C21" s="26">
        <v>7.1428571428571425E-2</v>
      </c>
      <c r="D21" s="81">
        <v>0</v>
      </c>
      <c r="E21"/>
      <c r="F21"/>
      <c r="G21"/>
      <c r="H21"/>
      <c r="I21"/>
      <c r="J21"/>
      <c r="K21"/>
      <c r="L21"/>
      <c r="M21"/>
      <c r="N21"/>
      <c r="O21"/>
      <c r="P21"/>
      <c r="Q21"/>
      <c r="R21"/>
      <c r="S21"/>
      <c r="T21"/>
      <c r="U21"/>
      <c r="V21"/>
      <c r="W21"/>
      <c r="X21"/>
      <c r="Y21"/>
    </row>
    <row r="22" spans="1:25" x14ac:dyDescent="0.25">
      <c r="A22" s="37">
        <v>1872</v>
      </c>
      <c r="B22" s="77">
        <v>0.69230769230769229</v>
      </c>
      <c r="C22" s="26">
        <v>0.30769230769230771</v>
      </c>
      <c r="D22" s="81">
        <v>0</v>
      </c>
      <c r="E22"/>
      <c r="F22"/>
      <c r="G22"/>
      <c r="H22"/>
      <c r="I22"/>
      <c r="J22"/>
      <c r="K22"/>
      <c r="L22"/>
      <c r="M22"/>
      <c r="N22"/>
      <c r="O22"/>
      <c r="P22"/>
      <c r="Q22"/>
      <c r="R22"/>
      <c r="S22"/>
      <c r="T22"/>
      <c r="U22"/>
      <c r="V22"/>
      <c r="W22"/>
      <c r="X22"/>
      <c r="Y22"/>
    </row>
    <row r="23" spans="1:25" x14ac:dyDescent="0.25">
      <c r="A23" s="37">
        <v>2040</v>
      </c>
      <c r="B23" s="77">
        <v>0.7857142857142857</v>
      </c>
      <c r="C23" s="26">
        <v>0.21428571428571427</v>
      </c>
      <c r="D23" s="81">
        <v>0</v>
      </c>
      <c r="E23"/>
      <c r="F23"/>
      <c r="G23"/>
      <c r="H23"/>
      <c r="I23"/>
      <c r="J23"/>
      <c r="K23"/>
      <c r="L23"/>
      <c r="M23"/>
      <c r="N23"/>
      <c r="O23"/>
      <c r="P23"/>
      <c r="Q23"/>
      <c r="R23"/>
      <c r="S23"/>
      <c r="T23"/>
      <c r="U23"/>
      <c r="V23"/>
      <c r="W23"/>
      <c r="X23"/>
      <c r="Y23"/>
    </row>
    <row r="24" spans="1:25" x14ac:dyDescent="0.25">
      <c r="A24" s="37">
        <v>2171</v>
      </c>
      <c r="B24" s="77">
        <v>0.91666666666666663</v>
      </c>
      <c r="C24" s="26">
        <v>8.3333333333333329E-2</v>
      </c>
      <c r="D24" s="81">
        <v>0</v>
      </c>
      <c r="E24"/>
      <c r="F24"/>
      <c r="G24"/>
      <c r="H24"/>
      <c r="I24"/>
      <c r="J24"/>
      <c r="K24"/>
      <c r="L24"/>
      <c r="M24"/>
      <c r="N24"/>
      <c r="O24"/>
      <c r="P24"/>
      <c r="Q24"/>
      <c r="R24"/>
      <c r="S24"/>
      <c r="T24"/>
      <c r="U24"/>
      <c r="V24"/>
      <c r="W24"/>
      <c r="X24"/>
      <c r="Y24"/>
    </row>
    <row r="25" spans="1:25" x14ac:dyDescent="0.25">
      <c r="A25" s="37">
        <v>2197</v>
      </c>
      <c r="B25" s="77">
        <v>0.7142857142857143</v>
      </c>
      <c r="C25" s="26">
        <v>0.2857142857142857</v>
      </c>
      <c r="D25" s="81">
        <v>0</v>
      </c>
      <c r="E25"/>
      <c r="F25"/>
      <c r="G25"/>
      <c r="H25"/>
      <c r="I25"/>
      <c r="J25"/>
      <c r="K25"/>
      <c r="L25"/>
      <c r="M25"/>
      <c r="N25"/>
      <c r="O25"/>
      <c r="P25"/>
      <c r="Q25"/>
      <c r="R25"/>
      <c r="S25"/>
      <c r="T25"/>
      <c r="U25"/>
      <c r="V25"/>
      <c r="W25"/>
      <c r="X25"/>
      <c r="Y25"/>
    </row>
    <row r="26" spans="1:25" x14ac:dyDescent="0.25">
      <c r="A26" s="37">
        <v>2867</v>
      </c>
      <c r="B26" s="77">
        <v>0.9285714285714286</v>
      </c>
      <c r="C26" s="26">
        <v>7.1428571428571425E-2</v>
      </c>
      <c r="D26" s="81">
        <v>0</v>
      </c>
      <c r="E26"/>
      <c r="F26"/>
      <c r="G26"/>
      <c r="H26"/>
      <c r="I26"/>
      <c r="J26"/>
      <c r="K26"/>
      <c r="L26"/>
      <c r="M26"/>
      <c r="N26"/>
      <c r="O26"/>
      <c r="P26"/>
      <c r="Q26"/>
      <c r="R26"/>
      <c r="S26"/>
      <c r="T26"/>
      <c r="U26"/>
      <c r="V26"/>
      <c r="W26"/>
      <c r="X26"/>
      <c r="Y26"/>
    </row>
    <row r="27" spans="1:25" x14ac:dyDescent="0.25">
      <c r="A27" s="37">
        <v>3147</v>
      </c>
      <c r="B27" s="77">
        <v>0.8571428571428571</v>
      </c>
      <c r="C27" s="26">
        <v>0.14285714285714285</v>
      </c>
      <c r="D27" s="81">
        <v>0</v>
      </c>
      <c r="E27"/>
      <c r="F27"/>
      <c r="G27"/>
      <c r="H27"/>
      <c r="I27"/>
      <c r="J27"/>
      <c r="K27"/>
      <c r="L27"/>
      <c r="M27"/>
      <c r="N27"/>
      <c r="O27"/>
      <c r="P27"/>
      <c r="Q27"/>
      <c r="R27"/>
      <c r="S27"/>
      <c r="T27"/>
      <c r="U27"/>
      <c r="V27"/>
      <c r="W27"/>
      <c r="X27"/>
      <c r="Y27"/>
    </row>
    <row r="28" spans="1:25" x14ac:dyDescent="0.25">
      <c r="A28" s="37">
        <v>3176</v>
      </c>
      <c r="B28" s="77">
        <v>0.83333333333333337</v>
      </c>
      <c r="C28" s="26">
        <v>0.16666666666666666</v>
      </c>
      <c r="D28" s="81">
        <v>0</v>
      </c>
      <c r="E28"/>
      <c r="F28"/>
      <c r="G28"/>
      <c r="H28"/>
      <c r="I28"/>
      <c r="J28"/>
      <c r="K28"/>
      <c r="L28"/>
      <c r="M28"/>
      <c r="N28"/>
      <c r="O28"/>
      <c r="P28"/>
      <c r="Q28"/>
      <c r="R28"/>
      <c r="S28"/>
      <c r="T28"/>
      <c r="U28"/>
      <c r="V28"/>
      <c r="W28"/>
      <c r="X28"/>
      <c r="Y28"/>
    </row>
    <row r="29" spans="1:25" x14ac:dyDescent="0.25">
      <c r="A29" s="37">
        <v>3180</v>
      </c>
      <c r="B29" s="77">
        <v>1</v>
      </c>
      <c r="C29" s="26">
        <v>0</v>
      </c>
      <c r="D29" s="81">
        <v>0</v>
      </c>
      <c r="E29"/>
      <c r="F29"/>
      <c r="G29"/>
      <c r="H29"/>
      <c r="I29"/>
      <c r="J29"/>
      <c r="K29"/>
      <c r="L29"/>
      <c r="M29"/>
      <c r="N29"/>
      <c r="O29"/>
      <c r="P29"/>
      <c r="Q29"/>
      <c r="R29"/>
      <c r="S29"/>
      <c r="T29"/>
      <c r="U29"/>
      <c r="V29"/>
      <c r="W29"/>
      <c r="X29"/>
      <c r="Y29"/>
    </row>
    <row r="30" spans="1:25" x14ac:dyDescent="0.25">
      <c r="A30" s="37">
        <v>3201</v>
      </c>
      <c r="B30" s="77">
        <v>0.9</v>
      </c>
      <c r="C30" s="26">
        <v>0.1</v>
      </c>
      <c r="D30" s="81">
        <v>0</v>
      </c>
      <c r="E30"/>
      <c r="F30"/>
      <c r="G30"/>
      <c r="H30"/>
      <c r="I30"/>
      <c r="J30"/>
      <c r="K30"/>
      <c r="L30"/>
      <c r="M30"/>
      <c r="N30"/>
      <c r="O30"/>
      <c r="P30"/>
      <c r="Q30"/>
      <c r="R30"/>
      <c r="S30"/>
      <c r="T30"/>
      <c r="U30"/>
      <c r="V30"/>
      <c r="W30"/>
      <c r="X30"/>
      <c r="Y30"/>
    </row>
    <row r="31" spans="1:25" x14ac:dyDescent="0.25">
      <c r="A31" s="37">
        <v>3272</v>
      </c>
      <c r="B31" s="77">
        <v>0.84615384615384615</v>
      </c>
      <c r="C31" s="26">
        <v>0.15384615384615385</v>
      </c>
      <c r="D31" s="81">
        <v>0</v>
      </c>
      <c r="E31"/>
      <c r="F31"/>
      <c r="G31"/>
      <c r="H31"/>
      <c r="I31"/>
      <c r="J31"/>
      <c r="K31"/>
      <c r="L31"/>
      <c r="M31"/>
      <c r="N31"/>
      <c r="O31"/>
      <c r="P31"/>
      <c r="Q31"/>
      <c r="R31"/>
      <c r="S31"/>
      <c r="T31"/>
      <c r="U31"/>
      <c r="V31"/>
      <c r="W31"/>
      <c r="X31"/>
      <c r="Y31"/>
    </row>
    <row r="32" spans="1:25" x14ac:dyDescent="0.25">
      <c r="A32" s="37">
        <v>3301</v>
      </c>
      <c r="B32" s="77">
        <v>0.72727272727272729</v>
      </c>
      <c r="C32" s="26">
        <v>0.27272727272727271</v>
      </c>
      <c r="D32" s="81">
        <v>0</v>
      </c>
      <c r="E32"/>
      <c r="F32"/>
      <c r="G32"/>
      <c r="H32"/>
      <c r="I32"/>
      <c r="J32"/>
      <c r="K32"/>
      <c r="L32"/>
      <c r="M32"/>
      <c r="N32"/>
      <c r="O32"/>
      <c r="P32"/>
      <c r="Q32"/>
      <c r="R32"/>
      <c r="S32"/>
      <c r="T32"/>
      <c r="U32"/>
      <c r="V32"/>
      <c r="W32"/>
      <c r="X32"/>
      <c r="Y32"/>
    </row>
    <row r="33" spans="1:25" x14ac:dyDescent="0.25">
      <c r="A33" s="37">
        <v>3487</v>
      </c>
      <c r="B33" s="77">
        <v>0.81818181818181823</v>
      </c>
      <c r="C33" s="26">
        <v>0.18181818181818182</v>
      </c>
      <c r="D33" s="81">
        <v>0</v>
      </c>
      <c r="E33"/>
      <c r="F33"/>
      <c r="G33"/>
      <c r="H33"/>
      <c r="I33"/>
      <c r="J33"/>
      <c r="K33"/>
      <c r="L33"/>
      <c r="M33"/>
      <c r="N33"/>
      <c r="O33"/>
      <c r="P33"/>
      <c r="Q33"/>
      <c r="R33"/>
      <c r="S33"/>
      <c r="T33"/>
      <c r="U33"/>
      <c r="V33"/>
      <c r="W33"/>
      <c r="X33"/>
      <c r="Y33"/>
    </row>
    <row r="34" spans="1:25" x14ac:dyDescent="0.25">
      <c r="A34" s="37">
        <v>3565</v>
      </c>
      <c r="B34" s="77">
        <v>1</v>
      </c>
      <c r="C34" s="26">
        <v>0</v>
      </c>
      <c r="D34" s="81">
        <v>0</v>
      </c>
      <c r="E34"/>
      <c r="F34"/>
      <c r="G34"/>
      <c r="H34"/>
      <c r="I34"/>
      <c r="J34"/>
      <c r="K34"/>
      <c r="L34"/>
      <c r="M34"/>
      <c r="N34"/>
      <c r="O34"/>
      <c r="P34"/>
      <c r="Q34"/>
      <c r="R34"/>
      <c r="S34"/>
      <c r="T34"/>
      <c r="U34"/>
      <c r="V34"/>
      <c r="W34"/>
      <c r="X34"/>
      <c r="Y34"/>
    </row>
    <row r="35" spans="1:25" x14ac:dyDescent="0.25">
      <c r="A35" s="37">
        <v>3865</v>
      </c>
      <c r="B35" s="77">
        <v>1</v>
      </c>
      <c r="C35" s="26">
        <v>0</v>
      </c>
      <c r="D35" s="81">
        <v>0</v>
      </c>
      <c r="E35"/>
      <c r="F35"/>
      <c r="G35"/>
      <c r="H35"/>
      <c r="I35"/>
      <c r="J35"/>
      <c r="K35"/>
      <c r="L35"/>
      <c r="M35"/>
      <c r="N35"/>
      <c r="O35"/>
      <c r="P35"/>
      <c r="Q35"/>
      <c r="R35"/>
      <c r="S35"/>
      <c r="T35"/>
      <c r="U35"/>
      <c r="V35"/>
      <c r="W35"/>
      <c r="X35"/>
      <c r="Y35"/>
    </row>
    <row r="36" spans="1:25" x14ac:dyDescent="0.25">
      <c r="A36" s="37">
        <v>3947</v>
      </c>
      <c r="B36" s="77">
        <v>0.75</v>
      </c>
      <c r="C36" s="26">
        <v>0.25</v>
      </c>
      <c r="D36" s="81">
        <v>0</v>
      </c>
      <c r="E36"/>
      <c r="F36"/>
      <c r="G36"/>
      <c r="H36"/>
      <c r="I36"/>
      <c r="J36"/>
      <c r="K36"/>
      <c r="L36"/>
      <c r="M36"/>
      <c r="N36"/>
      <c r="O36"/>
      <c r="P36"/>
      <c r="Q36"/>
      <c r="R36"/>
      <c r="S36"/>
      <c r="T36"/>
      <c r="U36"/>
      <c r="V36"/>
      <c r="W36"/>
      <c r="X36"/>
      <c r="Y36"/>
    </row>
    <row r="37" spans="1:25" x14ac:dyDescent="0.25">
      <c r="A37" s="37">
        <v>4070</v>
      </c>
      <c r="B37" s="77">
        <v>0.90909090909090906</v>
      </c>
      <c r="C37" s="26">
        <v>9.0909090909090912E-2</v>
      </c>
      <c r="D37" s="81">
        <v>0</v>
      </c>
      <c r="E37"/>
      <c r="F37"/>
      <c r="G37"/>
      <c r="H37"/>
      <c r="I37"/>
      <c r="J37"/>
      <c r="K37"/>
      <c r="L37"/>
      <c r="M37"/>
      <c r="N37"/>
      <c r="O37"/>
      <c r="P37"/>
      <c r="Q37"/>
      <c r="R37"/>
      <c r="S37"/>
      <c r="T37"/>
      <c r="U37"/>
      <c r="V37"/>
      <c r="W37"/>
      <c r="X37"/>
      <c r="Y37"/>
    </row>
    <row r="38" spans="1:25" x14ac:dyDescent="0.25">
      <c r="A38" s="37">
        <v>4211</v>
      </c>
      <c r="B38" s="77">
        <v>0.8</v>
      </c>
      <c r="C38" s="26">
        <v>0.2</v>
      </c>
      <c r="D38" s="81">
        <v>0</v>
      </c>
      <c r="E38"/>
      <c r="F38"/>
      <c r="G38"/>
      <c r="H38"/>
      <c r="I38"/>
      <c r="J38"/>
      <c r="K38"/>
      <c r="L38"/>
      <c r="M38"/>
      <c r="N38"/>
      <c r="O38"/>
      <c r="P38"/>
      <c r="Q38"/>
      <c r="R38"/>
      <c r="S38"/>
      <c r="T38"/>
      <c r="U38"/>
      <c r="V38"/>
      <c r="W38"/>
      <c r="X38"/>
      <c r="Y38"/>
    </row>
    <row r="39" spans="1:25" x14ac:dyDescent="0.25">
      <c r="A39" s="37">
        <v>4234</v>
      </c>
      <c r="B39" s="77">
        <v>1</v>
      </c>
      <c r="C39" s="26">
        <v>0</v>
      </c>
      <c r="D39" s="81">
        <v>0</v>
      </c>
      <c r="E39"/>
      <c r="F39"/>
      <c r="G39"/>
      <c r="H39"/>
      <c r="I39"/>
      <c r="J39"/>
      <c r="K39"/>
      <c r="L39"/>
      <c r="M39"/>
      <c r="N39"/>
      <c r="O39"/>
      <c r="P39"/>
      <c r="Q39"/>
      <c r="R39"/>
      <c r="S39"/>
      <c r="T39"/>
      <c r="U39"/>
      <c r="V39"/>
      <c r="W39"/>
      <c r="X39"/>
      <c r="Y39"/>
    </row>
    <row r="40" spans="1:25" x14ac:dyDescent="0.25">
      <c r="A40" s="37">
        <v>4272</v>
      </c>
      <c r="B40" s="77">
        <v>0.58333333333333337</v>
      </c>
      <c r="C40" s="26">
        <v>0.41666666666666669</v>
      </c>
      <c r="D40" s="81">
        <v>0</v>
      </c>
      <c r="E40"/>
      <c r="F40"/>
      <c r="G40"/>
      <c r="H40"/>
      <c r="I40"/>
      <c r="J40"/>
      <c r="K40"/>
      <c r="L40"/>
      <c r="M40"/>
      <c r="N40"/>
      <c r="O40"/>
      <c r="P40"/>
      <c r="Q40"/>
      <c r="R40"/>
      <c r="S40"/>
      <c r="T40"/>
      <c r="U40"/>
      <c r="V40"/>
      <c r="W40"/>
      <c r="X40"/>
      <c r="Y40"/>
    </row>
    <row r="41" spans="1:25" x14ac:dyDescent="0.25">
      <c r="A41" s="37">
        <v>4485</v>
      </c>
      <c r="B41" s="77">
        <v>1</v>
      </c>
      <c r="C41" s="26">
        <v>0</v>
      </c>
      <c r="D41" s="81">
        <v>0</v>
      </c>
      <c r="E41"/>
      <c r="F41"/>
      <c r="G41"/>
      <c r="H41"/>
      <c r="I41"/>
      <c r="J41"/>
      <c r="K41"/>
      <c r="L41"/>
      <c r="M41"/>
      <c r="N41"/>
      <c r="O41"/>
      <c r="P41"/>
      <c r="Q41"/>
      <c r="R41"/>
      <c r="S41"/>
      <c r="T41"/>
      <c r="U41"/>
      <c r="V41"/>
      <c r="W41"/>
      <c r="X41"/>
      <c r="Y41"/>
    </row>
    <row r="42" spans="1:25" x14ac:dyDescent="0.25">
      <c r="A42" s="37">
        <v>4545</v>
      </c>
      <c r="B42" s="77">
        <v>0.83333333333333337</v>
      </c>
      <c r="C42" s="26">
        <v>0.16666666666666666</v>
      </c>
      <c r="D42" s="81">
        <v>0</v>
      </c>
      <c r="E42"/>
      <c r="F42"/>
      <c r="G42"/>
      <c r="H42"/>
      <c r="I42"/>
      <c r="J42"/>
      <c r="K42"/>
      <c r="L42"/>
      <c r="M42"/>
      <c r="N42"/>
      <c r="O42"/>
      <c r="P42"/>
      <c r="Q42"/>
      <c r="R42"/>
      <c r="S42"/>
      <c r="T42"/>
      <c r="U42"/>
      <c r="V42"/>
      <c r="W42"/>
      <c r="X42"/>
      <c r="Y42"/>
    </row>
    <row r="43" spans="1:25" x14ac:dyDescent="0.25">
      <c r="A43" s="37">
        <v>4580</v>
      </c>
      <c r="B43" s="77">
        <v>1</v>
      </c>
      <c r="C43" s="26">
        <v>0</v>
      </c>
      <c r="D43" s="81">
        <v>0</v>
      </c>
      <c r="E43"/>
      <c r="F43"/>
      <c r="G43"/>
      <c r="H43"/>
      <c r="I43"/>
      <c r="J43"/>
      <c r="K43"/>
      <c r="L43"/>
      <c r="M43"/>
      <c r="N43"/>
      <c r="O43"/>
      <c r="P43"/>
      <c r="Q43"/>
      <c r="R43"/>
      <c r="S43"/>
      <c r="T43"/>
      <c r="U43"/>
      <c r="V43"/>
      <c r="W43"/>
      <c r="X43"/>
      <c r="Y43"/>
    </row>
    <row r="44" spans="1:25" x14ac:dyDescent="0.25">
      <c r="A44" s="37">
        <v>4791</v>
      </c>
      <c r="B44" s="77">
        <v>0.92307692307692313</v>
      </c>
      <c r="C44" s="26">
        <v>7.6923076923076927E-2</v>
      </c>
      <c r="D44" s="81">
        <v>0</v>
      </c>
      <c r="E44"/>
      <c r="F44"/>
      <c r="G44"/>
      <c r="H44"/>
      <c r="I44"/>
      <c r="J44"/>
      <c r="K44"/>
      <c r="L44"/>
      <c r="M44"/>
      <c r="N44"/>
      <c r="O44"/>
      <c r="P44"/>
      <c r="Q44"/>
      <c r="R44"/>
      <c r="S44"/>
      <c r="T44"/>
      <c r="U44"/>
      <c r="V44"/>
      <c r="W44"/>
      <c r="X44"/>
      <c r="Y44"/>
    </row>
    <row r="45" spans="1:25" x14ac:dyDescent="0.25">
      <c r="A45" s="37">
        <v>4846</v>
      </c>
      <c r="B45" s="77">
        <v>0.91666666666666663</v>
      </c>
      <c r="C45" s="26">
        <v>8.3333333333333329E-2</v>
      </c>
      <c r="D45" s="81">
        <v>0</v>
      </c>
      <c r="E45"/>
      <c r="F45"/>
      <c r="G45"/>
      <c r="H45"/>
      <c r="I45"/>
      <c r="J45"/>
      <c r="K45"/>
      <c r="L45"/>
      <c r="M45"/>
      <c r="N45"/>
      <c r="O45"/>
      <c r="P45"/>
      <c r="Q45"/>
      <c r="R45"/>
      <c r="S45"/>
      <c r="T45"/>
      <c r="U45"/>
      <c r="V45"/>
      <c r="W45"/>
      <c r="X45"/>
      <c r="Y45"/>
    </row>
    <row r="46" spans="1:25" x14ac:dyDescent="0.25">
      <c r="A46" s="37" t="s">
        <v>29</v>
      </c>
      <c r="B46" s="77" t="e">
        <v>#DIV/0!</v>
      </c>
      <c r="C46" s="26" t="e">
        <v>#DIV/0!</v>
      </c>
      <c r="D46" s="81" t="e">
        <v>#DIV/0!</v>
      </c>
      <c r="E46"/>
      <c r="F46"/>
      <c r="G46"/>
      <c r="H46"/>
      <c r="I46"/>
      <c r="J46"/>
      <c r="K46"/>
      <c r="L46"/>
      <c r="M46"/>
      <c r="N46"/>
      <c r="O46"/>
      <c r="P46"/>
      <c r="Q46"/>
      <c r="R46"/>
      <c r="S46"/>
      <c r="T46"/>
      <c r="U46"/>
      <c r="V46"/>
      <c r="W46"/>
      <c r="X46"/>
      <c r="Y46"/>
    </row>
    <row r="47" spans="1:25" x14ac:dyDescent="0.25">
      <c r="A47" s="40" t="s">
        <v>7</v>
      </c>
      <c r="B47" s="78">
        <v>0.8424908424908425</v>
      </c>
      <c r="C47" s="27">
        <v>0.1575091575091575</v>
      </c>
      <c r="D47" s="82">
        <v>0</v>
      </c>
      <c r="E47"/>
      <c r="F47"/>
      <c r="G47"/>
      <c r="H47"/>
      <c r="I47"/>
      <c r="J47"/>
      <c r="K47"/>
      <c r="L47"/>
      <c r="M47"/>
      <c r="N47"/>
      <c r="O47"/>
      <c r="P47"/>
      <c r="Q47"/>
      <c r="R47"/>
      <c r="S47"/>
      <c r="T47"/>
      <c r="U47"/>
      <c r="V47"/>
      <c r="W47"/>
      <c r="X47"/>
      <c r="Y47"/>
    </row>
    <row r="48" spans="1:25" x14ac:dyDescent="0.25">
      <c r="A48"/>
      <c r="B48"/>
      <c r="C48"/>
      <c r="D48"/>
      <c r="E48"/>
      <c r="F48"/>
      <c r="G48"/>
      <c r="H48"/>
      <c r="I48"/>
      <c r="J48"/>
      <c r="K48"/>
      <c r="L48"/>
      <c r="M48"/>
      <c r="N48"/>
      <c r="O48"/>
      <c r="P48"/>
      <c r="Q48"/>
      <c r="R48"/>
      <c r="S48"/>
      <c r="T48"/>
      <c r="U48"/>
      <c r="V48"/>
      <c r="W48"/>
      <c r="X48"/>
      <c r="Y48"/>
    </row>
    <row r="49" spans="1:25" x14ac:dyDescent="0.25">
      <c r="A49"/>
      <c r="B49"/>
      <c r="C49"/>
      <c r="D49"/>
      <c r="E49"/>
      <c r="F49"/>
      <c r="G49"/>
      <c r="H49"/>
      <c r="I49"/>
      <c r="J49"/>
      <c r="K49"/>
      <c r="L49"/>
      <c r="M49"/>
      <c r="N49"/>
      <c r="O49"/>
      <c r="P49"/>
      <c r="Q49"/>
      <c r="R49"/>
      <c r="S49"/>
      <c r="T49"/>
      <c r="U49"/>
      <c r="V49"/>
      <c r="W49"/>
      <c r="X49"/>
      <c r="Y49"/>
    </row>
    <row r="50" spans="1:25" x14ac:dyDescent="0.25">
      <c r="A50" s="50"/>
      <c r="B50" s="50"/>
      <c r="C50" s="50"/>
      <c r="D50" s="50"/>
      <c r="E50" s="50"/>
      <c r="F50" s="50"/>
      <c r="G50" s="50"/>
      <c r="H50" s="50"/>
      <c r="I50" s="50"/>
      <c r="J50" s="50"/>
      <c r="K50" s="50"/>
      <c r="L50" s="50"/>
    </row>
    <row r="51" spans="1:25" x14ac:dyDescent="0.25">
      <c r="A51" s="50"/>
      <c r="B51" s="50"/>
      <c r="C51" s="50"/>
      <c r="D51" s="50"/>
      <c r="E51" s="50"/>
      <c r="F51" s="50"/>
      <c r="G51" s="50"/>
      <c r="H51" s="50"/>
      <c r="I51" s="50"/>
      <c r="J51" s="50"/>
      <c r="K51" s="50"/>
      <c r="L51" s="50"/>
    </row>
    <row r="52" spans="1:25" x14ac:dyDescent="0.25">
      <c r="A52" s="50"/>
      <c r="B52" s="50"/>
      <c r="C52" s="50"/>
      <c r="D52" s="50"/>
      <c r="E52" s="50"/>
      <c r="F52" s="50"/>
      <c r="G52" s="50"/>
      <c r="H52" s="50"/>
      <c r="I52" s="50"/>
      <c r="J52" s="50"/>
      <c r="K52" s="50"/>
      <c r="L52" s="50"/>
    </row>
    <row r="53" spans="1:25" x14ac:dyDescent="0.25">
      <c r="A53" s="50"/>
      <c r="B53" s="50"/>
      <c r="C53" s="50"/>
      <c r="D53" s="50"/>
      <c r="E53" s="50"/>
      <c r="F53" s="50"/>
      <c r="G53" s="50"/>
      <c r="H53" s="50"/>
      <c r="I53" s="50"/>
      <c r="J53" s="50"/>
      <c r="K53" s="50"/>
      <c r="L53" s="50"/>
    </row>
    <row r="54" spans="1:25" x14ac:dyDescent="0.25">
      <c r="A54" s="50"/>
      <c r="B54" s="50"/>
      <c r="C54" s="50"/>
      <c r="D54" s="50"/>
      <c r="E54" s="50"/>
      <c r="F54" s="50"/>
      <c r="G54" s="50"/>
      <c r="H54" s="50"/>
      <c r="I54" s="50"/>
      <c r="J54" s="50"/>
      <c r="K54" s="50"/>
      <c r="L54" s="50"/>
    </row>
    <row r="55" spans="1:25" x14ac:dyDescent="0.25">
      <c r="A55" s="50"/>
      <c r="B55" s="50"/>
      <c r="C55" s="50"/>
      <c r="D55" s="50"/>
      <c r="E55" s="50"/>
      <c r="F55" s="50"/>
      <c r="G55" s="50"/>
      <c r="H55" s="50"/>
      <c r="I55" s="50"/>
      <c r="J55" s="50"/>
      <c r="K55" s="50"/>
      <c r="L55" s="50"/>
    </row>
    <row r="56" spans="1:25" x14ac:dyDescent="0.25">
      <c r="A56" s="50"/>
      <c r="B56" s="50"/>
      <c r="C56" s="50"/>
      <c r="D56" s="50"/>
      <c r="E56" s="50"/>
      <c r="F56" s="50"/>
      <c r="G56" s="50"/>
      <c r="H56" s="50"/>
      <c r="I56" s="50"/>
      <c r="J56" s="50"/>
      <c r="K56" s="50"/>
      <c r="L56" s="50"/>
    </row>
    <row r="57" spans="1:25" x14ac:dyDescent="0.25">
      <c r="A57" s="50"/>
      <c r="B57" s="50"/>
      <c r="C57" s="50"/>
      <c r="D57" s="50"/>
      <c r="E57" s="50"/>
      <c r="F57" s="50"/>
      <c r="G57" s="50"/>
      <c r="H57" s="50"/>
      <c r="I57" s="50"/>
      <c r="J57" s="50"/>
      <c r="K57" s="50"/>
      <c r="L57" s="50"/>
    </row>
    <row r="58" spans="1:25" x14ac:dyDescent="0.25">
      <c r="A58" s="50"/>
      <c r="B58" s="50"/>
      <c r="C58" s="50"/>
      <c r="D58" s="50"/>
      <c r="E58" s="50"/>
      <c r="F58" s="50"/>
      <c r="G58" s="50"/>
      <c r="H58" s="50"/>
      <c r="I58" s="50"/>
      <c r="J58" s="50"/>
      <c r="K58" s="50"/>
      <c r="L58" s="50"/>
    </row>
    <row r="59" spans="1:25" x14ac:dyDescent="0.25">
      <c r="A59" s="50"/>
      <c r="B59" s="50"/>
      <c r="C59" s="50"/>
      <c r="D59" s="50"/>
      <c r="E59" s="50"/>
      <c r="F59" s="50"/>
      <c r="G59" s="50"/>
      <c r="H59" s="50"/>
      <c r="I59" s="50"/>
      <c r="J59" s="50"/>
      <c r="K59" s="50"/>
      <c r="L59" s="50"/>
    </row>
    <row r="60" spans="1:25" x14ac:dyDescent="0.25">
      <c r="A60" s="50"/>
      <c r="B60" s="50"/>
      <c r="C60" s="50"/>
      <c r="D60" s="50"/>
      <c r="E60" s="50"/>
      <c r="F60" s="50"/>
      <c r="G60" s="50"/>
      <c r="H60" s="50"/>
      <c r="I60" s="50"/>
      <c r="J60" s="50"/>
      <c r="K60" s="50"/>
      <c r="L60" s="50"/>
    </row>
    <row r="61" spans="1:25" x14ac:dyDescent="0.25">
      <c r="A61" s="50"/>
      <c r="B61" s="50"/>
      <c r="C61" s="50"/>
      <c r="D61" s="50"/>
      <c r="E61" s="50"/>
      <c r="F61" s="50"/>
      <c r="G61" s="50"/>
      <c r="H61" s="50"/>
      <c r="I61" s="50"/>
      <c r="J61" s="50"/>
      <c r="K61" s="50"/>
      <c r="L61" s="50"/>
    </row>
    <row r="62" spans="1:25" x14ac:dyDescent="0.25">
      <c r="A62" s="50"/>
      <c r="B62" s="50"/>
      <c r="C62" s="50"/>
      <c r="D62" s="50"/>
      <c r="E62" s="50"/>
      <c r="F62" s="50"/>
      <c r="G62" s="50"/>
      <c r="H62" s="50"/>
      <c r="I62" s="50"/>
      <c r="J62" s="50"/>
      <c r="K62" s="50"/>
      <c r="L62" s="50"/>
    </row>
    <row r="63" spans="1:25" x14ac:dyDescent="0.25">
      <c r="A63" s="50"/>
      <c r="B63" s="50"/>
      <c r="C63" s="50"/>
      <c r="D63" s="50"/>
      <c r="E63" s="50"/>
      <c r="F63" s="50"/>
      <c r="G63" s="50"/>
      <c r="H63" s="50"/>
      <c r="I63" s="50"/>
      <c r="J63" s="50"/>
      <c r="K63" s="50"/>
      <c r="L63" s="50"/>
    </row>
    <row r="64" spans="1:25" x14ac:dyDescent="0.25">
      <c r="A64" s="50"/>
      <c r="B64" s="50"/>
      <c r="C64" s="50"/>
      <c r="D64" s="50"/>
      <c r="E64" s="50"/>
      <c r="F64" s="50"/>
      <c r="G64" s="50"/>
      <c r="H64" s="50"/>
      <c r="I64" s="50"/>
      <c r="J64" s="50"/>
      <c r="K64" s="50"/>
      <c r="L64" s="50"/>
    </row>
    <row r="65" spans="1:12" x14ac:dyDescent="0.25">
      <c r="A65" s="50"/>
      <c r="B65" s="50"/>
      <c r="C65" s="50"/>
      <c r="D65" s="50"/>
      <c r="E65" s="50"/>
      <c r="F65" s="50"/>
      <c r="G65" s="50"/>
      <c r="H65" s="50"/>
      <c r="I65" s="50"/>
      <c r="J65" s="50"/>
      <c r="K65" s="50"/>
      <c r="L65" s="50"/>
    </row>
    <row r="66" spans="1:12" x14ac:dyDescent="0.25">
      <c r="A66" s="50"/>
      <c r="B66" s="50"/>
      <c r="C66" s="50"/>
      <c r="D66" s="50"/>
      <c r="E66" s="50"/>
      <c r="F66" s="50"/>
      <c r="G66" s="50"/>
      <c r="H66" s="50"/>
      <c r="I66" s="50"/>
      <c r="J66" s="50"/>
      <c r="K66" s="50"/>
      <c r="L66" s="50"/>
    </row>
    <row r="67" spans="1:12" x14ac:dyDescent="0.25">
      <c r="A67" s="50"/>
      <c r="B67" s="50"/>
      <c r="C67" s="50"/>
      <c r="D67" s="50"/>
      <c r="E67" s="50"/>
      <c r="F67" s="50"/>
      <c r="G67" s="50"/>
      <c r="H67" s="50"/>
      <c r="I67" s="50"/>
      <c r="J67" s="50"/>
      <c r="K67" s="50"/>
      <c r="L67" s="50"/>
    </row>
    <row r="68" spans="1:12" x14ac:dyDescent="0.25">
      <c r="A68" s="50"/>
      <c r="B68" s="50"/>
      <c r="C68" s="50"/>
      <c r="D68" s="50"/>
      <c r="E68" s="50"/>
      <c r="F68" s="50"/>
      <c r="G68" s="50"/>
      <c r="H68" s="50"/>
      <c r="I68" s="50"/>
      <c r="J68" s="50"/>
      <c r="K68" s="50"/>
      <c r="L68" s="50"/>
    </row>
    <row r="69" spans="1:12" x14ac:dyDescent="0.25">
      <c r="A69" s="50"/>
      <c r="B69" s="50"/>
      <c r="C69" s="50"/>
      <c r="D69" s="50"/>
      <c r="E69" s="50"/>
      <c r="F69" s="50"/>
      <c r="G69" s="50"/>
      <c r="H69" s="50"/>
      <c r="I69" s="50"/>
      <c r="J69" s="50"/>
      <c r="K69" s="50"/>
      <c r="L69" s="50"/>
    </row>
    <row r="70" spans="1:12" x14ac:dyDescent="0.25">
      <c r="A70" s="50"/>
      <c r="B70" s="50"/>
      <c r="C70" s="50"/>
      <c r="D70" s="50"/>
      <c r="E70" s="50"/>
      <c r="F70" s="50"/>
      <c r="G70" s="50"/>
      <c r="H70" s="50"/>
      <c r="I70" s="50"/>
      <c r="J70" s="50"/>
      <c r="K70" s="50"/>
      <c r="L70" s="50"/>
    </row>
    <row r="71" spans="1:12" x14ac:dyDescent="0.25">
      <c r="A71" s="50"/>
      <c r="B71" s="50"/>
      <c r="C71" s="50"/>
      <c r="D71" s="50"/>
      <c r="E71" s="50"/>
      <c r="F71" s="50"/>
      <c r="G71" s="50"/>
      <c r="H71" s="50"/>
      <c r="I71" s="50"/>
      <c r="J71" s="50"/>
      <c r="K71" s="50"/>
      <c r="L71" s="50"/>
    </row>
    <row r="72" spans="1:12" x14ac:dyDescent="0.25">
      <c r="A72" s="50"/>
      <c r="B72" s="50"/>
      <c r="C72" s="50"/>
      <c r="D72" s="50"/>
      <c r="E72" s="50"/>
      <c r="F72" s="50"/>
      <c r="G72" s="50"/>
      <c r="H72" s="50"/>
      <c r="I72" s="50"/>
      <c r="J72" s="50"/>
      <c r="K72" s="50"/>
      <c r="L72" s="50"/>
    </row>
    <row r="73" spans="1:12" x14ac:dyDescent="0.25">
      <c r="A73" s="50"/>
      <c r="B73" s="50"/>
      <c r="C73" s="50"/>
      <c r="D73" s="50"/>
      <c r="E73" s="50"/>
      <c r="F73" s="50"/>
      <c r="G73" s="50"/>
      <c r="H73" s="50"/>
      <c r="I73" s="50"/>
      <c r="J73" s="50"/>
      <c r="K73" s="50"/>
      <c r="L73" s="50"/>
    </row>
    <row r="74" spans="1:12" x14ac:dyDescent="0.25">
      <c r="A74" s="50"/>
      <c r="B74" s="50"/>
      <c r="C74" s="50"/>
      <c r="D74" s="50"/>
      <c r="E74" s="50"/>
      <c r="F74" s="50"/>
      <c r="G74" s="50"/>
      <c r="H74" s="50"/>
      <c r="I74" s="50"/>
      <c r="J74" s="50"/>
      <c r="K74" s="50"/>
      <c r="L74" s="50"/>
    </row>
    <row r="75" spans="1:12" x14ac:dyDescent="0.25">
      <c r="A75" s="50"/>
      <c r="B75" s="50"/>
      <c r="C75" s="50"/>
      <c r="D75" s="50"/>
      <c r="E75" s="50"/>
      <c r="F75" s="50"/>
      <c r="G75" s="50"/>
      <c r="H75" s="50"/>
      <c r="I75" s="50"/>
      <c r="J75" s="50"/>
      <c r="K75" s="50"/>
      <c r="L75" s="50"/>
    </row>
    <row r="76" spans="1:12" x14ac:dyDescent="0.25">
      <c r="A76" s="50"/>
      <c r="B76" s="50"/>
      <c r="C76" s="50"/>
      <c r="D76" s="50"/>
      <c r="E76" s="50"/>
      <c r="F76" s="50"/>
      <c r="G76" s="50"/>
      <c r="H76" s="50"/>
      <c r="I76" s="50"/>
      <c r="J76" s="50"/>
      <c r="K76" s="50"/>
      <c r="L76" s="50"/>
    </row>
    <row r="77" spans="1:12" x14ac:dyDescent="0.25">
      <c r="A77" s="50"/>
      <c r="B77" s="50"/>
      <c r="C77" s="50"/>
      <c r="D77" s="50"/>
      <c r="E77" s="50"/>
      <c r="F77" s="50"/>
      <c r="G77" s="50"/>
      <c r="H77" s="50"/>
      <c r="I77" s="50"/>
      <c r="J77" s="50"/>
      <c r="K77" s="50"/>
      <c r="L77" s="50"/>
    </row>
    <row r="78" spans="1:12" x14ac:dyDescent="0.25">
      <c r="A78" s="50"/>
      <c r="B78" s="50"/>
      <c r="C78" s="50"/>
      <c r="D78" s="50"/>
      <c r="E78" s="50"/>
      <c r="F78" s="50"/>
      <c r="G78" s="50"/>
      <c r="H78" s="50"/>
      <c r="I78" s="50"/>
      <c r="J78" s="50"/>
      <c r="K78" s="50"/>
      <c r="L78" s="50"/>
    </row>
    <row r="79" spans="1:12" x14ac:dyDescent="0.25">
      <c r="A79" s="50"/>
      <c r="B79" s="50"/>
      <c r="C79" s="50"/>
      <c r="D79" s="50"/>
      <c r="E79" s="50"/>
      <c r="F79" s="50"/>
      <c r="G79" s="50"/>
      <c r="H79" s="50"/>
      <c r="I79" s="50"/>
      <c r="J79" s="50"/>
      <c r="K79" s="50"/>
      <c r="L79" s="50"/>
    </row>
    <row r="80" spans="1:12" x14ac:dyDescent="0.25">
      <c r="A80" s="50"/>
      <c r="B80" s="50"/>
      <c r="C80" s="50"/>
      <c r="D80" s="50"/>
      <c r="E80" s="50"/>
      <c r="F80" s="50"/>
      <c r="G80" s="50"/>
      <c r="H80" s="50"/>
      <c r="I80" s="50"/>
      <c r="J80" s="50"/>
      <c r="K80" s="50"/>
      <c r="L80" s="50"/>
    </row>
    <row r="81" spans="1:12" x14ac:dyDescent="0.25">
      <c r="A81" s="50"/>
      <c r="B81" s="50"/>
      <c r="C81" s="50"/>
      <c r="D81" s="50"/>
      <c r="E81" s="50"/>
      <c r="F81" s="50"/>
      <c r="G81" s="50"/>
      <c r="H81" s="50"/>
      <c r="I81" s="50"/>
      <c r="J81" s="50"/>
      <c r="K81" s="50"/>
      <c r="L81" s="50"/>
    </row>
    <row r="82" spans="1:12" x14ac:dyDescent="0.25">
      <c r="A82" s="50"/>
      <c r="B82" s="50"/>
      <c r="C82" s="50"/>
      <c r="D82" s="50"/>
      <c r="E82" s="50"/>
      <c r="F82" s="50"/>
      <c r="G82" s="50"/>
      <c r="H82" s="50"/>
      <c r="I82" s="50"/>
      <c r="J82" s="50"/>
      <c r="K82" s="50"/>
      <c r="L82" s="50"/>
    </row>
    <row r="83" spans="1:12" x14ac:dyDescent="0.25">
      <c r="A83" s="50"/>
      <c r="B83" s="50"/>
      <c r="C83" s="50"/>
      <c r="D83" s="50"/>
      <c r="E83" s="50"/>
      <c r="F83" s="50"/>
      <c r="G83" s="50"/>
      <c r="H83" s="50"/>
      <c r="I83" s="50"/>
      <c r="J83" s="50"/>
      <c r="K83" s="50"/>
      <c r="L83" s="50"/>
    </row>
    <row r="84" spans="1:12" x14ac:dyDescent="0.25">
      <c r="A84" s="50"/>
      <c r="B84" s="50"/>
      <c r="C84" s="50"/>
      <c r="D84" s="50"/>
      <c r="E84" s="50"/>
      <c r="F84" s="50"/>
      <c r="G84" s="50"/>
      <c r="H84" s="50"/>
      <c r="I84" s="50"/>
      <c r="J84" s="50"/>
      <c r="K84" s="50"/>
      <c r="L84" s="50"/>
    </row>
    <row r="85" spans="1:12" x14ac:dyDescent="0.25">
      <c r="A85" s="50"/>
      <c r="B85" s="50"/>
      <c r="C85" s="50"/>
      <c r="D85" s="50"/>
      <c r="E85" s="50"/>
      <c r="F85" s="50"/>
      <c r="G85" s="50"/>
      <c r="H85" s="50"/>
      <c r="I85" s="50"/>
      <c r="J85" s="50"/>
      <c r="K85" s="50"/>
      <c r="L85" s="50"/>
    </row>
    <row r="86" spans="1:12" x14ac:dyDescent="0.25">
      <c r="A86" s="50"/>
      <c r="B86" s="50"/>
      <c r="C86" s="50"/>
      <c r="D86" s="50"/>
      <c r="E86" s="50"/>
      <c r="F86" s="50"/>
      <c r="G86" s="50"/>
      <c r="H86" s="50"/>
      <c r="I86" s="50"/>
      <c r="J86" s="50"/>
      <c r="K86" s="50"/>
      <c r="L86" s="50"/>
    </row>
    <row r="87" spans="1:12" x14ac:dyDescent="0.25">
      <c r="A87" s="50"/>
      <c r="B87" s="50"/>
      <c r="C87" s="50"/>
      <c r="D87" s="50"/>
      <c r="E87" s="50"/>
      <c r="F87" s="50"/>
      <c r="G87" s="50"/>
      <c r="H87" s="50"/>
      <c r="I87" s="50"/>
      <c r="J87" s="50"/>
      <c r="K87" s="50"/>
      <c r="L87" s="50"/>
    </row>
    <row r="88" spans="1:12" x14ac:dyDescent="0.25">
      <c r="A88" s="50"/>
      <c r="B88" s="50"/>
      <c r="C88" s="50"/>
      <c r="D88" s="50"/>
      <c r="E88" s="50"/>
      <c r="F88" s="50"/>
      <c r="G88" s="50"/>
      <c r="H88" s="50"/>
      <c r="I88" s="50"/>
      <c r="J88" s="50"/>
      <c r="K88" s="50"/>
      <c r="L88" s="50"/>
    </row>
    <row r="89" spans="1:12" x14ac:dyDescent="0.25">
      <c r="A89" s="50"/>
      <c r="B89" s="50"/>
      <c r="C89" s="50"/>
      <c r="D89" s="50"/>
      <c r="E89" s="50"/>
      <c r="F89" s="50"/>
      <c r="G89" s="50"/>
      <c r="H89" s="50"/>
      <c r="I89" s="50"/>
      <c r="J89" s="50"/>
      <c r="K89" s="50"/>
      <c r="L89" s="50"/>
    </row>
    <row r="90" spans="1:12" x14ac:dyDescent="0.25">
      <c r="A90" s="50"/>
      <c r="B90" s="50"/>
      <c r="C90" s="50"/>
      <c r="D90" s="50"/>
      <c r="E90" s="50"/>
      <c r="F90" s="50"/>
      <c r="G90" s="50"/>
      <c r="H90" s="50"/>
      <c r="I90" s="50"/>
      <c r="J90" s="50"/>
      <c r="K90" s="50"/>
      <c r="L90" s="50"/>
    </row>
    <row r="91" spans="1:12" x14ac:dyDescent="0.25">
      <c r="A91" s="50"/>
      <c r="B91" s="50"/>
      <c r="C91" s="50"/>
      <c r="D91" s="50"/>
      <c r="E91" s="50"/>
      <c r="F91" s="50"/>
      <c r="G91" s="50"/>
      <c r="H91" s="50"/>
      <c r="I91" s="50"/>
      <c r="J91" s="50"/>
      <c r="K91" s="50"/>
      <c r="L91" s="50"/>
    </row>
    <row r="92" spans="1:12" x14ac:dyDescent="0.25">
      <c r="A92" s="50"/>
      <c r="B92" s="50"/>
      <c r="C92" s="50"/>
      <c r="D92" s="50"/>
      <c r="E92" s="50"/>
      <c r="F92" s="50"/>
      <c r="G92" s="50"/>
      <c r="H92" s="50"/>
      <c r="I92" s="50"/>
      <c r="J92" s="50"/>
      <c r="K92" s="50"/>
      <c r="L92" s="50"/>
    </row>
    <row r="93" spans="1:12" x14ac:dyDescent="0.25">
      <c r="A93" s="50"/>
      <c r="B93" s="50"/>
      <c r="C93" s="50"/>
      <c r="D93" s="50"/>
      <c r="E93" s="50"/>
      <c r="F93" s="50"/>
      <c r="G93" s="50"/>
      <c r="H93" s="50"/>
      <c r="I93" s="50"/>
      <c r="J93" s="50"/>
      <c r="K93" s="50"/>
      <c r="L93" s="50"/>
    </row>
    <row r="94" spans="1:12" x14ac:dyDescent="0.25">
      <c r="A94" s="50"/>
      <c r="B94" s="50"/>
      <c r="C94" s="50"/>
      <c r="D94" s="50"/>
      <c r="E94" s="50"/>
      <c r="F94" s="50"/>
      <c r="G94" s="50"/>
      <c r="H94" s="50"/>
      <c r="I94" s="50"/>
      <c r="J94" s="50"/>
      <c r="K94" s="50"/>
      <c r="L94" s="50"/>
    </row>
    <row r="95" spans="1:12" x14ac:dyDescent="0.25">
      <c r="A95" s="50"/>
      <c r="B95" s="50"/>
      <c r="C95" s="50"/>
      <c r="D95" s="50"/>
      <c r="E95" s="50"/>
      <c r="F95" s="50"/>
      <c r="G95" s="50"/>
      <c r="H95" s="50"/>
      <c r="I95" s="50"/>
      <c r="J95" s="50"/>
      <c r="K95" s="50"/>
      <c r="L95" s="50"/>
    </row>
    <row r="96" spans="1:12" x14ac:dyDescent="0.25">
      <c r="A96" s="50"/>
      <c r="B96" s="50"/>
      <c r="C96" s="50"/>
      <c r="D96" s="50"/>
      <c r="E96" s="50"/>
      <c r="F96" s="50"/>
      <c r="G96" s="50"/>
      <c r="H96" s="50"/>
      <c r="I96" s="50"/>
      <c r="J96" s="50"/>
      <c r="K96" s="50"/>
      <c r="L96" s="50"/>
    </row>
    <row r="97" spans="1:12" x14ac:dyDescent="0.25">
      <c r="A97" s="50"/>
      <c r="B97" s="50"/>
      <c r="C97" s="50"/>
      <c r="D97" s="50"/>
      <c r="E97" s="50"/>
      <c r="F97" s="50"/>
      <c r="G97" s="50"/>
      <c r="H97" s="50"/>
      <c r="I97" s="50"/>
      <c r="J97" s="50"/>
      <c r="K97" s="50"/>
      <c r="L97" s="50"/>
    </row>
    <row r="98" spans="1:12" x14ac:dyDescent="0.25">
      <c r="A98" s="50"/>
      <c r="B98" s="50"/>
      <c r="C98" s="50"/>
      <c r="D98" s="50"/>
      <c r="E98" s="50"/>
      <c r="F98" s="50"/>
      <c r="G98" s="50"/>
      <c r="H98" s="50"/>
      <c r="I98" s="50"/>
      <c r="J98" s="50"/>
      <c r="K98" s="50"/>
      <c r="L98" s="50"/>
    </row>
    <row r="99" spans="1:12" x14ac:dyDescent="0.25">
      <c r="A99" s="50"/>
      <c r="B99" s="50"/>
      <c r="C99" s="50"/>
      <c r="D99" s="50"/>
      <c r="E99" s="50"/>
      <c r="F99" s="50"/>
      <c r="G99" s="50"/>
      <c r="H99" s="50"/>
      <c r="I99" s="50"/>
      <c r="J99" s="50"/>
      <c r="K99" s="50"/>
      <c r="L99" s="50"/>
    </row>
    <row r="100" spans="1:12" x14ac:dyDescent="0.25">
      <c r="A100" s="50"/>
      <c r="B100" s="50"/>
      <c r="C100" s="50"/>
      <c r="D100" s="50"/>
      <c r="E100" s="50"/>
      <c r="F100" s="50"/>
      <c r="G100" s="50"/>
      <c r="H100" s="50"/>
      <c r="I100" s="50"/>
      <c r="J100" s="50"/>
      <c r="K100" s="50"/>
      <c r="L100" s="50"/>
    </row>
    <row r="101" spans="1:12" x14ac:dyDescent="0.25">
      <c r="A101" s="50"/>
      <c r="B101" s="50"/>
      <c r="C101" s="50"/>
      <c r="D101" s="50"/>
      <c r="E101" s="50"/>
      <c r="F101" s="50"/>
      <c r="G101" s="50"/>
      <c r="H101" s="50"/>
      <c r="I101" s="50"/>
      <c r="J101" s="50"/>
      <c r="K101" s="50"/>
      <c r="L101" s="50"/>
    </row>
    <row r="102" spans="1:12" x14ac:dyDescent="0.25">
      <c r="A102" s="50"/>
      <c r="B102" s="50"/>
      <c r="C102" s="50"/>
      <c r="D102" s="50"/>
      <c r="E102" s="50"/>
      <c r="F102" s="50"/>
      <c r="G102" s="50"/>
      <c r="H102" s="50"/>
      <c r="I102" s="50"/>
      <c r="J102" s="50"/>
      <c r="K102" s="50"/>
      <c r="L102" s="50"/>
    </row>
    <row r="103" spans="1:12" x14ac:dyDescent="0.25">
      <c r="A103" s="50"/>
      <c r="B103" s="50"/>
      <c r="C103" s="50"/>
      <c r="D103" s="50"/>
      <c r="E103" s="50"/>
      <c r="F103" s="50"/>
      <c r="G103" s="50"/>
      <c r="H103" s="50"/>
      <c r="I103" s="50"/>
      <c r="J103" s="50"/>
      <c r="K103" s="50"/>
      <c r="L103" s="50"/>
    </row>
    <row r="104" spans="1:12" x14ac:dyDescent="0.25">
      <c r="A104" s="50"/>
      <c r="B104" s="50"/>
      <c r="C104" s="50"/>
      <c r="D104" s="50"/>
      <c r="E104" s="50"/>
      <c r="F104" s="50"/>
      <c r="G104" s="50"/>
      <c r="H104" s="50"/>
      <c r="I104" s="50"/>
      <c r="J104" s="50"/>
      <c r="K104" s="50"/>
      <c r="L104" s="50"/>
    </row>
    <row r="105" spans="1:12" x14ac:dyDescent="0.25">
      <c r="A105" s="50"/>
      <c r="B105" s="50"/>
      <c r="C105" s="50"/>
      <c r="D105" s="50"/>
      <c r="E105" s="50"/>
      <c r="F105" s="50"/>
      <c r="G105" s="50"/>
      <c r="H105" s="50"/>
      <c r="I105" s="50"/>
      <c r="J105" s="50"/>
      <c r="K105" s="50"/>
      <c r="L105" s="50"/>
    </row>
    <row r="106" spans="1:12" x14ac:dyDescent="0.25">
      <c r="A106" s="50"/>
      <c r="B106" s="50"/>
      <c r="C106" s="50"/>
      <c r="D106" s="50"/>
      <c r="E106" s="50"/>
      <c r="F106" s="50"/>
      <c r="G106" s="50"/>
      <c r="H106" s="50"/>
      <c r="I106" s="50"/>
      <c r="J106" s="50"/>
      <c r="K106" s="50"/>
      <c r="L106" s="50"/>
    </row>
    <row r="107" spans="1:12" x14ac:dyDescent="0.25">
      <c r="A107" s="50"/>
      <c r="B107" s="50"/>
      <c r="C107" s="50"/>
      <c r="D107" s="50"/>
      <c r="E107" s="50"/>
      <c r="F107" s="50"/>
      <c r="G107" s="50"/>
      <c r="H107" s="50"/>
      <c r="I107" s="50"/>
      <c r="J107" s="50"/>
      <c r="K107" s="50"/>
      <c r="L107" s="50"/>
    </row>
    <row r="108" spans="1:12" x14ac:dyDescent="0.25">
      <c r="A108" s="50"/>
      <c r="B108" s="50"/>
      <c r="C108" s="50"/>
      <c r="D108" s="50"/>
      <c r="E108" s="50"/>
      <c r="F108" s="50"/>
      <c r="G108" s="50"/>
      <c r="H108" s="50"/>
      <c r="I108" s="50"/>
      <c r="J108" s="50"/>
      <c r="K108" s="50"/>
      <c r="L108" s="50"/>
    </row>
    <row r="109" spans="1:12" x14ac:dyDescent="0.25">
      <c r="A109" s="50"/>
      <c r="B109" s="50"/>
      <c r="C109" s="50"/>
      <c r="D109" s="50"/>
      <c r="E109" s="50"/>
      <c r="F109" s="50"/>
      <c r="G109" s="50"/>
      <c r="H109" s="50"/>
      <c r="I109" s="50"/>
      <c r="J109" s="50"/>
      <c r="K109" s="50"/>
      <c r="L109" s="50"/>
    </row>
    <row r="110" spans="1:12" x14ac:dyDescent="0.25">
      <c r="A110" s="50"/>
      <c r="B110" s="50"/>
      <c r="C110" s="50"/>
      <c r="D110" s="50"/>
      <c r="E110" s="50"/>
      <c r="F110" s="50"/>
      <c r="G110" s="50"/>
      <c r="H110" s="50"/>
      <c r="I110" s="50"/>
      <c r="J110" s="50"/>
      <c r="K110" s="50"/>
      <c r="L110" s="50"/>
    </row>
    <row r="111" spans="1:12" x14ac:dyDescent="0.25">
      <c r="A111" s="50"/>
      <c r="B111" s="50"/>
      <c r="C111" s="50"/>
      <c r="D111" s="50"/>
      <c r="E111" s="50"/>
      <c r="F111" s="50"/>
      <c r="G111" s="50"/>
      <c r="H111" s="50"/>
      <c r="I111" s="50"/>
      <c r="J111" s="50"/>
      <c r="K111" s="50"/>
      <c r="L111" s="50"/>
    </row>
    <row r="112" spans="1:12" x14ac:dyDescent="0.25">
      <c r="A112" s="50"/>
      <c r="B112" s="50"/>
      <c r="C112" s="50"/>
      <c r="D112" s="50"/>
      <c r="E112" s="50"/>
      <c r="F112" s="50"/>
      <c r="G112" s="50"/>
      <c r="H112" s="50"/>
      <c r="I112" s="50"/>
      <c r="J112" s="50"/>
      <c r="K112" s="50"/>
      <c r="L112" s="50"/>
    </row>
    <row r="113" spans="1:12" x14ac:dyDescent="0.25">
      <c r="A113" s="50"/>
      <c r="B113" s="50"/>
      <c r="C113" s="50"/>
      <c r="D113" s="50"/>
      <c r="E113" s="50"/>
      <c r="F113" s="50"/>
      <c r="G113" s="50"/>
      <c r="H113" s="50"/>
      <c r="I113" s="50"/>
      <c r="J113" s="50"/>
      <c r="K113" s="50"/>
      <c r="L113" s="50"/>
    </row>
    <row r="114" spans="1:12" x14ac:dyDescent="0.25">
      <c r="A114" s="50"/>
      <c r="B114" s="50"/>
      <c r="C114" s="50"/>
      <c r="D114" s="50"/>
      <c r="E114" s="50"/>
      <c r="F114" s="50"/>
      <c r="G114" s="50"/>
      <c r="H114" s="50"/>
      <c r="I114" s="50"/>
      <c r="J114" s="50"/>
      <c r="K114" s="50"/>
      <c r="L114" s="50"/>
    </row>
    <row r="115" spans="1:12" x14ac:dyDescent="0.25">
      <c r="A115" s="50"/>
      <c r="B115" s="50"/>
      <c r="C115" s="50"/>
      <c r="D115" s="50"/>
      <c r="E115" s="50"/>
      <c r="F115" s="50"/>
      <c r="G115" s="50"/>
      <c r="H115" s="50"/>
      <c r="I115" s="50"/>
      <c r="J115" s="50"/>
      <c r="K115" s="50"/>
      <c r="L115" s="50"/>
    </row>
    <row r="116" spans="1:12" x14ac:dyDescent="0.25">
      <c r="A116" s="50"/>
      <c r="B116" s="50"/>
      <c r="C116" s="50"/>
      <c r="D116" s="50"/>
      <c r="E116" s="50"/>
      <c r="F116" s="50"/>
      <c r="G116" s="50"/>
      <c r="H116" s="50"/>
      <c r="I116" s="50"/>
      <c r="J116" s="50"/>
      <c r="K116" s="50"/>
      <c r="L116" s="50"/>
    </row>
    <row r="117" spans="1:12" x14ac:dyDescent="0.25">
      <c r="A117" s="50"/>
      <c r="B117" s="50"/>
      <c r="C117" s="50"/>
      <c r="D117" s="50"/>
      <c r="E117" s="50"/>
      <c r="F117" s="50"/>
      <c r="G117" s="50"/>
      <c r="H117" s="50"/>
      <c r="I117" s="50"/>
      <c r="J117" s="50"/>
      <c r="K117" s="50"/>
      <c r="L117" s="50"/>
    </row>
    <row r="118" spans="1:12" x14ac:dyDescent="0.25">
      <c r="A118" s="50"/>
      <c r="B118" s="50"/>
      <c r="C118" s="50"/>
      <c r="D118" s="50"/>
      <c r="E118" s="50"/>
      <c r="F118" s="50"/>
      <c r="G118" s="50"/>
      <c r="H118" s="50"/>
      <c r="I118" s="50"/>
      <c r="J118" s="50"/>
      <c r="K118" s="50"/>
      <c r="L118" s="50"/>
    </row>
    <row r="119" spans="1:12" x14ac:dyDescent="0.25">
      <c r="A119" s="50"/>
      <c r="B119" s="50"/>
      <c r="C119" s="50"/>
      <c r="D119" s="50"/>
      <c r="E119" s="50"/>
      <c r="F119" s="50"/>
      <c r="G119" s="50"/>
      <c r="H119" s="50"/>
      <c r="I119" s="50"/>
      <c r="J119" s="50"/>
      <c r="K119" s="50"/>
      <c r="L119" s="50"/>
    </row>
    <row r="120" spans="1:12" x14ac:dyDescent="0.25">
      <c r="A120" s="50"/>
      <c r="B120" s="50"/>
      <c r="C120" s="50"/>
      <c r="D120" s="50"/>
      <c r="E120" s="50"/>
      <c r="F120" s="50"/>
      <c r="G120" s="50"/>
      <c r="H120" s="50"/>
      <c r="I120" s="50"/>
      <c r="J120" s="50"/>
      <c r="K120" s="50"/>
      <c r="L120" s="50"/>
    </row>
    <row r="121" spans="1:12" x14ac:dyDescent="0.25">
      <c r="A121" s="50"/>
      <c r="B121" s="50"/>
      <c r="C121" s="50"/>
      <c r="D121" s="50"/>
      <c r="E121" s="50"/>
      <c r="F121" s="50"/>
      <c r="G121" s="50"/>
      <c r="H121" s="50"/>
      <c r="I121" s="50"/>
      <c r="J121" s="50"/>
      <c r="K121" s="50"/>
      <c r="L121" s="50"/>
    </row>
    <row r="122" spans="1:12" x14ac:dyDescent="0.25">
      <c r="A122" s="50"/>
      <c r="B122" s="50"/>
      <c r="C122" s="50"/>
      <c r="D122" s="50"/>
      <c r="E122" s="50"/>
      <c r="F122" s="50"/>
      <c r="G122" s="50"/>
      <c r="H122" s="50"/>
      <c r="I122" s="50"/>
      <c r="J122" s="50"/>
      <c r="K122" s="50"/>
      <c r="L122" s="50"/>
    </row>
    <row r="123" spans="1:12" x14ac:dyDescent="0.25">
      <c r="A123" s="50"/>
      <c r="B123" s="50"/>
      <c r="C123" s="50"/>
      <c r="D123" s="50"/>
      <c r="E123" s="50"/>
      <c r="F123" s="50"/>
      <c r="G123" s="50"/>
      <c r="H123" s="50"/>
      <c r="I123" s="50"/>
      <c r="J123" s="50"/>
      <c r="K123" s="50"/>
      <c r="L123" s="50"/>
    </row>
    <row r="124" spans="1:12" x14ac:dyDescent="0.25">
      <c r="A124" s="50"/>
      <c r="B124" s="50"/>
      <c r="C124" s="50"/>
      <c r="D124" s="50"/>
      <c r="E124" s="50"/>
      <c r="F124" s="50"/>
      <c r="G124" s="50"/>
      <c r="H124" s="50"/>
      <c r="I124" s="50"/>
      <c r="J124" s="50"/>
      <c r="K124" s="50"/>
      <c r="L124" s="50"/>
    </row>
    <row r="125" spans="1:12" x14ac:dyDescent="0.25">
      <c r="A125" s="50"/>
      <c r="B125" s="50"/>
      <c r="C125" s="50"/>
      <c r="D125" s="50"/>
      <c r="E125" s="50"/>
      <c r="F125" s="50"/>
      <c r="G125" s="50"/>
      <c r="H125" s="50"/>
      <c r="I125" s="50"/>
      <c r="J125" s="50"/>
      <c r="K125" s="50"/>
      <c r="L125" s="50"/>
    </row>
    <row r="126" spans="1:12" x14ac:dyDescent="0.25">
      <c r="A126" s="50"/>
      <c r="B126" s="50"/>
      <c r="C126" s="50"/>
      <c r="D126" s="50"/>
      <c r="E126" s="50"/>
      <c r="F126" s="50"/>
      <c r="G126" s="50"/>
      <c r="H126" s="50"/>
      <c r="I126" s="50"/>
      <c r="J126" s="50"/>
      <c r="K126" s="50"/>
      <c r="L126" s="50"/>
    </row>
    <row r="127" spans="1:12" x14ac:dyDescent="0.25">
      <c r="A127" s="50"/>
      <c r="B127" s="50"/>
      <c r="C127" s="50"/>
      <c r="D127" s="50"/>
      <c r="E127" s="50"/>
      <c r="F127" s="50"/>
      <c r="G127" s="50"/>
      <c r="H127" s="50"/>
      <c r="I127" s="50"/>
      <c r="J127" s="50"/>
      <c r="K127" s="50"/>
      <c r="L127" s="50"/>
    </row>
    <row r="128" spans="1:12" x14ac:dyDescent="0.25">
      <c r="A128" s="50"/>
      <c r="B128" s="50"/>
      <c r="C128" s="50"/>
      <c r="D128" s="50"/>
      <c r="E128" s="50"/>
      <c r="F128" s="50"/>
      <c r="G128" s="50"/>
      <c r="H128" s="50"/>
      <c r="I128" s="50"/>
      <c r="J128" s="50"/>
      <c r="K128" s="50"/>
      <c r="L128" s="50"/>
    </row>
    <row r="129" spans="1:12" x14ac:dyDescent="0.25">
      <c r="A129" s="50"/>
      <c r="B129" s="50"/>
      <c r="C129" s="50"/>
      <c r="D129" s="50"/>
      <c r="E129" s="50"/>
      <c r="F129" s="50"/>
      <c r="G129" s="50"/>
      <c r="H129" s="50"/>
      <c r="I129" s="50"/>
      <c r="J129" s="50"/>
      <c r="K129" s="50"/>
      <c r="L129" s="50"/>
    </row>
    <row r="130" spans="1:12" x14ac:dyDescent="0.25">
      <c r="A130" s="50"/>
      <c r="B130" s="50"/>
      <c r="C130" s="50"/>
      <c r="D130" s="50"/>
      <c r="E130" s="50"/>
      <c r="F130" s="50"/>
      <c r="G130" s="50"/>
      <c r="H130" s="50"/>
      <c r="I130" s="50"/>
      <c r="J130" s="50"/>
      <c r="K130" s="50"/>
      <c r="L130" s="50"/>
    </row>
    <row r="131" spans="1:12" x14ac:dyDescent="0.25">
      <c r="A131" s="50"/>
      <c r="B131" s="50"/>
      <c r="C131" s="50"/>
      <c r="D131" s="50"/>
      <c r="E131" s="50"/>
      <c r="F131" s="50"/>
      <c r="G131" s="50"/>
      <c r="H131" s="50"/>
      <c r="I131" s="50"/>
      <c r="J131" s="50"/>
      <c r="K131" s="50"/>
      <c r="L131" s="50"/>
    </row>
    <row r="132" spans="1:12" x14ac:dyDescent="0.25">
      <c r="A132" s="50"/>
      <c r="B132" s="50"/>
      <c r="C132" s="50"/>
      <c r="D132" s="50"/>
      <c r="E132" s="50"/>
      <c r="F132" s="50"/>
      <c r="G132" s="50"/>
      <c r="H132" s="50"/>
      <c r="I132" s="50"/>
      <c r="J132" s="50"/>
      <c r="K132" s="50"/>
      <c r="L132" s="50"/>
    </row>
    <row r="133" spans="1:12" x14ac:dyDescent="0.25">
      <c r="A133" s="50"/>
      <c r="B133" s="50"/>
      <c r="C133" s="50"/>
      <c r="D133" s="50"/>
      <c r="E133" s="50"/>
      <c r="F133" s="50"/>
      <c r="G133" s="50"/>
      <c r="H133" s="50"/>
      <c r="I133" s="50"/>
      <c r="J133" s="50"/>
      <c r="K133" s="50"/>
      <c r="L133" s="50"/>
    </row>
    <row r="134" spans="1:12" x14ac:dyDescent="0.25">
      <c r="A134" s="50"/>
      <c r="B134" s="50"/>
      <c r="C134" s="50"/>
      <c r="D134" s="50"/>
      <c r="E134" s="50"/>
      <c r="F134" s="50"/>
      <c r="G134" s="50"/>
      <c r="H134" s="50"/>
      <c r="I134" s="50"/>
      <c r="J134" s="50"/>
      <c r="K134" s="50"/>
      <c r="L134" s="50"/>
    </row>
    <row r="135" spans="1:12" x14ac:dyDescent="0.25">
      <c r="A135" s="50"/>
      <c r="B135" s="50"/>
      <c r="C135" s="50"/>
      <c r="D135" s="50"/>
      <c r="E135" s="50"/>
      <c r="F135" s="50"/>
      <c r="G135" s="50"/>
      <c r="H135" s="50"/>
      <c r="I135" s="50"/>
      <c r="J135" s="50"/>
      <c r="K135" s="50"/>
      <c r="L135" s="50"/>
    </row>
    <row r="136" spans="1:12" x14ac:dyDescent="0.25">
      <c r="A136" s="50"/>
      <c r="B136" s="50"/>
      <c r="C136" s="50"/>
      <c r="D136" s="50"/>
      <c r="E136" s="50"/>
      <c r="F136" s="50"/>
      <c r="G136" s="50"/>
      <c r="H136" s="50"/>
      <c r="I136" s="50"/>
      <c r="J136" s="50"/>
      <c r="K136" s="50"/>
      <c r="L136" s="50"/>
    </row>
    <row r="137" spans="1:12" x14ac:dyDescent="0.25">
      <c r="A137" s="50"/>
      <c r="B137" s="50"/>
      <c r="C137" s="50"/>
      <c r="D137" s="50"/>
      <c r="E137" s="50"/>
      <c r="F137" s="50"/>
      <c r="G137" s="50"/>
      <c r="H137" s="50"/>
      <c r="I137" s="50"/>
      <c r="J137" s="50"/>
      <c r="K137" s="50"/>
      <c r="L137" s="50"/>
    </row>
    <row r="138" spans="1:12" x14ac:dyDescent="0.25">
      <c r="A138" s="50"/>
      <c r="B138" s="50"/>
      <c r="C138" s="50"/>
      <c r="D138" s="50"/>
      <c r="E138" s="50"/>
      <c r="F138" s="50"/>
      <c r="G138" s="50"/>
      <c r="H138" s="50"/>
      <c r="I138" s="50"/>
      <c r="J138" s="50"/>
      <c r="K138" s="50"/>
      <c r="L138" s="50"/>
    </row>
    <row r="139" spans="1:12" x14ac:dyDescent="0.25">
      <c r="A139" s="50"/>
      <c r="B139" s="50"/>
      <c r="C139" s="50"/>
      <c r="D139" s="50"/>
      <c r="E139" s="50"/>
      <c r="F139" s="50"/>
      <c r="G139" s="50"/>
      <c r="H139" s="50"/>
      <c r="I139" s="50"/>
      <c r="J139" s="50"/>
      <c r="K139" s="50"/>
      <c r="L139" s="50"/>
    </row>
    <row r="140" spans="1:12" x14ac:dyDescent="0.25">
      <c r="A140" s="50"/>
      <c r="B140" s="50"/>
      <c r="C140" s="50"/>
      <c r="D140" s="50"/>
      <c r="E140" s="50"/>
      <c r="F140" s="50"/>
      <c r="G140" s="50"/>
      <c r="H140" s="50"/>
      <c r="I140" s="50"/>
      <c r="J140" s="50"/>
      <c r="K140" s="50"/>
      <c r="L140" s="50"/>
    </row>
    <row r="141" spans="1:12" x14ac:dyDescent="0.25">
      <c r="A141" s="50"/>
      <c r="B141" s="50"/>
      <c r="C141" s="50"/>
      <c r="D141" s="50"/>
      <c r="E141" s="50"/>
      <c r="F141" s="50"/>
      <c r="G141" s="50"/>
      <c r="H141" s="50"/>
      <c r="I141" s="50"/>
      <c r="J141" s="50"/>
      <c r="K141" s="50"/>
      <c r="L141" s="50"/>
    </row>
    <row r="142" spans="1:12" x14ac:dyDescent="0.25">
      <c r="A142" s="50"/>
      <c r="B142" s="50"/>
      <c r="C142" s="50"/>
      <c r="D142" s="50"/>
      <c r="E142" s="50"/>
      <c r="F142" s="50"/>
      <c r="G142" s="50"/>
      <c r="H142" s="50"/>
      <c r="I142" s="50"/>
      <c r="J142" s="50"/>
      <c r="K142" s="50"/>
      <c r="L142" s="50"/>
    </row>
    <row r="143" spans="1:12" x14ac:dyDescent="0.25">
      <c r="A143" s="50"/>
      <c r="B143" s="50"/>
      <c r="C143" s="50"/>
      <c r="D143" s="50"/>
      <c r="E143" s="50"/>
      <c r="F143" s="50"/>
      <c r="G143" s="50"/>
      <c r="H143" s="50"/>
      <c r="I143" s="50"/>
      <c r="J143" s="50"/>
      <c r="K143" s="50"/>
      <c r="L143" s="50"/>
    </row>
    <row r="144" spans="1:12" x14ac:dyDescent="0.25">
      <c r="A144" s="50"/>
      <c r="B144" s="50"/>
      <c r="C144" s="50"/>
      <c r="D144" s="50"/>
      <c r="E144" s="50"/>
      <c r="F144" s="50"/>
      <c r="G144" s="50"/>
      <c r="H144" s="50"/>
      <c r="I144" s="50"/>
      <c r="J144" s="50"/>
      <c r="K144" s="50"/>
      <c r="L144" s="50"/>
    </row>
    <row r="145" spans="1:12" x14ac:dyDescent="0.25">
      <c r="A145" s="50"/>
      <c r="B145" s="50"/>
      <c r="C145" s="50"/>
      <c r="D145" s="50"/>
      <c r="E145" s="50"/>
      <c r="F145" s="50"/>
      <c r="G145" s="50"/>
      <c r="H145" s="50"/>
      <c r="I145" s="50"/>
      <c r="J145" s="50"/>
      <c r="K145" s="50"/>
      <c r="L145" s="50"/>
    </row>
    <row r="146" spans="1:12" x14ac:dyDescent="0.25">
      <c r="A146" s="50"/>
      <c r="B146" s="50"/>
      <c r="C146" s="50"/>
      <c r="D146" s="50"/>
      <c r="E146" s="50"/>
      <c r="F146" s="50"/>
      <c r="G146" s="50"/>
      <c r="H146" s="50"/>
      <c r="I146" s="50"/>
      <c r="J146" s="50"/>
      <c r="K146" s="50"/>
      <c r="L146" s="50"/>
    </row>
  </sheetData>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K146"/>
  <sheetViews>
    <sheetView zoomScale="74" zoomScaleNormal="74" workbookViewId="0">
      <pane ySplit="6" topLeftCell="A7" activePane="bottomLeft" state="frozen"/>
      <selection activeCell="A9" sqref="A9"/>
      <selection pane="bottomLeft" activeCell="A9" sqref="A9"/>
    </sheetView>
  </sheetViews>
  <sheetFormatPr defaultColWidth="9.140625" defaultRowHeight="15" x14ac:dyDescent="0.25"/>
  <cols>
    <col min="1" max="1" width="20.28515625" style="12" bestFit="1" customWidth="1"/>
    <col min="2" max="2" width="10.140625" style="12" bestFit="1" customWidth="1"/>
    <col min="3" max="5" width="9.28515625" style="12" bestFit="1" customWidth="1"/>
    <col min="6" max="12" width="8.5703125" style="12" customWidth="1"/>
    <col min="13" max="29" width="8.5703125" style="50" customWidth="1"/>
    <col min="30" max="38" width="5.7109375" style="50" customWidth="1"/>
    <col min="39" max="16384" width="9.140625" style="50"/>
  </cols>
  <sheetData>
    <row r="1" spans="1:37" x14ac:dyDescent="0.25">
      <c r="A1" s="38" t="s">
        <v>28</v>
      </c>
      <c r="B1" s="39" t="s">
        <v>76</v>
      </c>
    </row>
    <row r="2" spans="1:37" s="2" customFormat="1" x14ac:dyDescent="0.25">
      <c r="A2" s="65" t="s">
        <v>47</v>
      </c>
      <c r="B2" s="84"/>
    </row>
    <row r="3" spans="1:37" s="2" customFormat="1" x14ac:dyDescent="0.25"/>
    <row r="4" spans="1:37" s="2" customFormat="1" ht="30" x14ac:dyDescent="0.25">
      <c r="A4" s="33" t="s">
        <v>102</v>
      </c>
      <c r="B4" s="36" t="s">
        <v>101</v>
      </c>
      <c r="C4" s="34"/>
      <c r="D4" s="35"/>
      <c r="E4"/>
      <c r="F4"/>
      <c r="G4"/>
      <c r="H4"/>
      <c r="I4"/>
      <c r="J4"/>
      <c r="K4"/>
      <c r="L4"/>
      <c r="M4"/>
      <c r="N4"/>
      <c r="O4"/>
      <c r="P4"/>
      <c r="Q4"/>
      <c r="R4"/>
      <c r="S4"/>
      <c r="T4"/>
      <c r="U4"/>
      <c r="V4"/>
      <c r="W4"/>
      <c r="X4"/>
      <c r="Y4"/>
      <c r="Z4"/>
      <c r="AA4"/>
    </row>
    <row r="5" spans="1:37" s="83" customFormat="1" x14ac:dyDescent="0.25">
      <c r="A5" s="33" t="s">
        <v>5</v>
      </c>
      <c r="B5" s="23" t="s">
        <v>46</v>
      </c>
      <c r="C5" s="57" t="s">
        <v>42</v>
      </c>
      <c r="D5" s="58" t="s">
        <v>29</v>
      </c>
      <c r="E5"/>
      <c r="F5"/>
      <c r="G5"/>
      <c r="H5"/>
      <c r="I5"/>
      <c r="J5"/>
      <c r="K5"/>
      <c r="L5"/>
      <c r="M5"/>
      <c r="N5"/>
      <c r="O5"/>
      <c r="P5"/>
      <c r="Q5"/>
      <c r="R5"/>
      <c r="S5"/>
      <c r="T5"/>
      <c r="U5"/>
      <c r="V5"/>
      <c r="W5"/>
      <c r="X5"/>
      <c r="Y5"/>
      <c r="Z5"/>
      <c r="AA5"/>
      <c r="AB5" s="2"/>
      <c r="AC5" s="2"/>
      <c r="AD5" s="2"/>
      <c r="AE5" s="2"/>
      <c r="AF5" s="2"/>
      <c r="AG5" s="2"/>
      <c r="AH5" s="2"/>
      <c r="AI5" s="2"/>
      <c r="AJ5" s="2"/>
      <c r="AK5" s="2"/>
    </row>
    <row r="6" spans="1:37" s="2" customFormat="1" x14ac:dyDescent="0.25">
      <c r="A6" s="23">
        <v>45</v>
      </c>
      <c r="B6" s="76">
        <v>0.8</v>
      </c>
      <c r="C6" s="25">
        <v>0.2</v>
      </c>
      <c r="D6" s="80">
        <v>0</v>
      </c>
      <c r="E6"/>
      <c r="F6"/>
      <c r="G6"/>
      <c r="H6"/>
      <c r="I6"/>
      <c r="J6"/>
      <c r="K6"/>
      <c r="L6"/>
      <c r="M6"/>
      <c r="N6"/>
      <c r="O6"/>
      <c r="P6"/>
      <c r="Q6"/>
      <c r="R6"/>
      <c r="S6"/>
      <c r="T6"/>
      <c r="U6"/>
      <c r="V6"/>
      <c r="W6"/>
      <c r="X6"/>
      <c r="Y6"/>
      <c r="Z6"/>
      <c r="AA6"/>
    </row>
    <row r="7" spans="1:37" x14ac:dyDescent="0.25">
      <c r="A7" s="37">
        <v>135</v>
      </c>
      <c r="B7" s="77">
        <v>0.75</v>
      </c>
      <c r="C7" s="26">
        <v>0.25</v>
      </c>
      <c r="D7" s="81">
        <v>0</v>
      </c>
      <c r="E7"/>
      <c r="F7"/>
      <c r="G7"/>
      <c r="H7"/>
      <c r="I7"/>
      <c r="J7"/>
      <c r="K7"/>
      <c r="L7"/>
      <c r="M7"/>
      <c r="N7"/>
      <c r="O7"/>
      <c r="P7"/>
      <c r="Q7"/>
      <c r="R7"/>
      <c r="S7"/>
      <c r="T7"/>
      <c r="U7"/>
      <c r="V7"/>
      <c r="W7"/>
      <c r="X7"/>
      <c r="Y7"/>
      <c r="Z7"/>
      <c r="AA7"/>
    </row>
    <row r="8" spans="1:37" x14ac:dyDescent="0.25">
      <c r="A8" s="37">
        <v>234</v>
      </c>
      <c r="B8" s="77">
        <v>0.88888888888888884</v>
      </c>
      <c r="C8" s="26">
        <v>0.1111111111111111</v>
      </c>
      <c r="D8" s="81">
        <v>0</v>
      </c>
      <c r="E8"/>
      <c r="F8"/>
      <c r="G8"/>
      <c r="H8"/>
      <c r="I8"/>
      <c r="J8"/>
      <c r="K8"/>
      <c r="L8"/>
      <c r="M8"/>
      <c r="N8"/>
      <c r="O8"/>
      <c r="P8"/>
      <c r="Q8"/>
      <c r="R8"/>
      <c r="S8"/>
      <c r="T8"/>
      <c r="U8"/>
      <c r="V8"/>
      <c r="W8"/>
      <c r="X8"/>
      <c r="Y8"/>
      <c r="Z8"/>
      <c r="AA8"/>
    </row>
    <row r="9" spans="1:37" x14ac:dyDescent="0.25">
      <c r="A9" s="37">
        <v>292</v>
      </c>
      <c r="B9" s="77">
        <v>0.88235294117647056</v>
      </c>
      <c r="C9" s="26">
        <v>0.11764705882352941</v>
      </c>
      <c r="D9" s="81">
        <v>0</v>
      </c>
      <c r="E9"/>
      <c r="F9"/>
      <c r="G9"/>
      <c r="H9"/>
      <c r="I9"/>
      <c r="J9"/>
      <c r="K9"/>
      <c r="L9"/>
      <c r="M9"/>
      <c r="N9"/>
      <c r="O9"/>
      <c r="P9"/>
      <c r="Q9"/>
      <c r="R9"/>
      <c r="S9"/>
      <c r="T9"/>
      <c r="U9"/>
      <c r="V9"/>
      <c r="W9"/>
      <c r="X9"/>
      <c r="Y9"/>
      <c r="Z9"/>
      <c r="AA9"/>
    </row>
    <row r="10" spans="1:37" x14ac:dyDescent="0.25">
      <c r="A10" s="37">
        <v>359</v>
      </c>
      <c r="B10" s="77">
        <v>0.8</v>
      </c>
      <c r="C10" s="26">
        <v>0.2</v>
      </c>
      <c r="D10" s="81">
        <v>0</v>
      </c>
      <c r="E10"/>
      <c r="F10"/>
      <c r="G10"/>
      <c r="H10"/>
      <c r="I10"/>
      <c r="J10"/>
      <c r="K10"/>
      <c r="L10"/>
      <c r="M10"/>
      <c r="N10"/>
      <c r="O10"/>
      <c r="P10"/>
      <c r="Q10"/>
      <c r="R10"/>
      <c r="S10"/>
      <c r="T10"/>
      <c r="U10"/>
      <c r="V10"/>
      <c r="W10"/>
      <c r="X10"/>
      <c r="Y10"/>
      <c r="Z10"/>
      <c r="AA10"/>
    </row>
    <row r="11" spans="1:37" x14ac:dyDescent="0.25">
      <c r="A11" s="37">
        <v>461</v>
      </c>
      <c r="B11" s="77">
        <v>1</v>
      </c>
      <c r="C11" s="26">
        <v>0</v>
      </c>
      <c r="D11" s="81">
        <v>0</v>
      </c>
      <c r="E11"/>
      <c r="F11"/>
      <c r="G11"/>
      <c r="H11"/>
      <c r="I11"/>
      <c r="J11"/>
      <c r="K11"/>
      <c r="L11"/>
      <c r="M11"/>
      <c r="N11"/>
      <c r="O11"/>
      <c r="P11"/>
      <c r="Q11"/>
      <c r="R11"/>
      <c r="S11"/>
      <c r="T11"/>
      <c r="U11"/>
      <c r="V11"/>
      <c r="W11"/>
      <c r="X11"/>
      <c r="Y11"/>
      <c r="Z11"/>
      <c r="AA11"/>
    </row>
    <row r="12" spans="1:37" x14ac:dyDescent="0.25">
      <c r="A12" s="37">
        <v>829</v>
      </c>
      <c r="B12" s="77">
        <v>0.84615384615384615</v>
      </c>
      <c r="C12" s="26">
        <v>0.15384615384615385</v>
      </c>
      <c r="D12" s="81">
        <v>0</v>
      </c>
      <c r="E12"/>
      <c r="F12"/>
      <c r="G12"/>
      <c r="H12"/>
      <c r="I12"/>
      <c r="J12"/>
      <c r="K12"/>
      <c r="L12"/>
      <c r="M12"/>
      <c r="N12"/>
      <c r="O12"/>
      <c r="P12"/>
      <c r="Q12"/>
      <c r="R12"/>
      <c r="S12"/>
      <c r="T12"/>
      <c r="U12"/>
      <c r="V12"/>
      <c r="W12"/>
      <c r="X12"/>
      <c r="Y12"/>
      <c r="Z12"/>
      <c r="AA12"/>
    </row>
    <row r="13" spans="1:37" x14ac:dyDescent="0.25">
      <c r="A13" s="37">
        <v>868</v>
      </c>
      <c r="B13" s="77">
        <v>0.7142857142857143</v>
      </c>
      <c r="C13" s="26">
        <v>0.2857142857142857</v>
      </c>
      <c r="D13" s="81">
        <v>0</v>
      </c>
      <c r="E13"/>
      <c r="F13"/>
      <c r="G13"/>
      <c r="H13"/>
      <c r="I13"/>
      <c r="J13"/>
      <c r="K13"/>
      <c r="L13"/>
      <c r="M13"/>
      <c r="N13"/>
      <c r="O13"/>
      <c r="P13"/>
      <c r="Q13"/>
      <c r="R13"/>
      <c r="S13"/>
      <c r="T13"/>
      <c r="U13"/>
      <c r="V13"/>
      <c r="W13"/>
      <c r="X13"/>
      <c r="Y13"/>
      <c r="Z13"/>
      <c r="AA13"/>
    </row>
    <row r="14" spans="1:37" x14ac:dyDescent="0.25">
      <c r="A14" s="37">
        <v>1024</v>
      </c>
      <c r="B14" s="77">
        <v>0.54545454545454541</v>
      </c>
      <c r="C14" s="26">
        <v>0.45454545454545453</v>
      </c>
      <c r="D14" s="81">
        <v>0</v>
      </c>
      <c r="E14"/>
      <c r="F14"/>
      <c r="G14"/>
      <c r="H14"/>
      <c r="I14"/>
      <c r="J14"/>
      <c r="K14"/>
      <c r="L14"/>
      <c r="M14"/>
      <c r="N14"/>
      <c r="O14"/>
      <c r="P14"/>
      <c r="Q14"/>
      <c r="R14"/>
      <c r="S14"/>
      <c r="T14"/>
      <c r="U14"/>
      <c r="V14"/>
      <c r="W14"/>
      <c r="X14"/>
      <c r="Y14"/>
      <c r="Z14"/>
      <c r="AA14"/>
    </row>
    <row r="15" spans="1:37" x14ac:dyDescent="0.25">
      <c r="A15" s="37">
        <v>1501</v>
      </c>
      <c r="B15" s="77">
        <v>0.8571428571428571</v>
      </c>
      <c r="C15" s="26">
        <v>0.14285714285714285</v>
      </c>
      <c r="D15" s="81">
        <v>0</v>
      </c>
      <c r="E15"/>
      <c r="F15"/>
      <c r="G15"/>
      <c r="H15"/>
      <c r="I15"/>
      <c r="J15"/>
      <c r="K15"/>
      <c r="L15"/>
      <c r="M15"/>
      <c r="N15"/>
      <c r="O15"/>
      <c r="P15"/>
      <c r="Q15"/>
      <c r="R15"/>
      <c r="S15"/>
      <c r="T15"/>
      <c r="U15"/>
      <c r="V15"/>
      <c r="W15"/>
      <c r="X15"/>
      <c r="Y15"/>
      <c r="Z15"/>
      <c r="AA15"/>
    </row>
    <row r="16" spans="1:37" x14ac:dyDescent="0.25">
      <c r="A16" s="37">
        <v>1646</v>
      </c>
      <c r="B16" s="77">
        <v>1</v>
      </c>
      <c r="C16" s="26">
        <v>0</v>
      </c>
      <c r="D16" s="81">
        <v>0</v>
      </c>
      <c r="E16"/>
      <c r="F16"/>
      <c r="G16"/>
      <c r="H16"/>
      <c r="I16"/>
      <c r="J16"/>
      <c r="K16"/>
      <c r="L16"/>
      <c r="M16"/>
      <c r="N16"/>
      <c r="O16"/>
      <c r="P16"/>
      <c r="Q16"/>
      <c r="R16"/>
      <c r="S16"/>
      <c r="T16"/>
      <c r="U16"/>
      <c r="V16"/>
      <c r="W16"/>
      <c r="X16"/>
      <c r="Y16"/>
      <c r="Z16"/>
      <c r="AA16"/>
    </row>
    <row r="17" spans="1:27" x14ac:dyDescent="0.25">
      <c r="A17" s="37">
        <v>1732</v>
      </c>
      <c r="B17" s="77">
        <v>0.8666666666666667</v>
      </c>
      <c r="C17" s="26">
        <v>0.13333333333333333</v>
      </c>
      <c r="D17" s="81">
        <v>0</v>
      </c>
      <c r="E17"/>
      <c r="F17"/>
      <c r="G17"/>
      <c r="H17"/>
      <c r="I17"/>
      <c r="J17"/>
      <c r="K17"/>
      <c r="L17"/>
      <c r="M17"/>
      <c r="N17"/>
      <c r="O17"/>
      <c r="P17"/>
      <c r="Q17"/>
      <c r="R17"/>
      <c r="S17"/>
      <c r="T17"/>
      <c r="U17"/>
      <c r="V17"/>
      <c r="W17"/>
      <c r="X17"/>
      <c r="Y17"/>
      <c r="Z17"/>
      <c r="AA17"/>
    </row>
    <row r="18" spans="1:27" x14ac:dyDescent="0.25">
      <c r="A18" s="37">
        <v>1736</v>
      </c>
      <c r="B18" s="77">
        <v>0.75</v>
      </c>
      <c r="C18" s="26">
        <v>0.25</v>
      </c>
      <c r="D18" s="81">
        <v>0</v>
      </c>
      <c r="E18"/>
      <c r="F18"/>
      <c r="G18"/>
      <c r="H18"/>
      <c r="I18"/>
      <c r="J18"/>
      <c r="K18"/>
      <c r="L18"/>
      <c r="M18"/>
      <c r="N18"/>
      <c r="O18"/>
      <c r="P18"/>
      <c r="Q18"/>
      <c r="R18"/>
      <c r="S18"/>
      <c r="T18"/>
      <c r="U18"/>
      <c r="V18"/>
      <c r="W18"/>
      <c r="X18"/>
      <c r="Y18"/>
      <c r="Z18"/>
      <c r="AA18"/>
    </row>
    <row r="19" spans="1:27" x14ac:dyDescent="0.25">
      <c r="A19" s="37">
        <v>1741</v>
      </c>
      <c r="B19" s="77">
        <v>0.8571428571428571</v>
      </c>
      <c r="C19" s="26">
        <v>0.14285714285714285</v>
      </c>
      <c r="D19" s="81">
        <v>0</v>
      </c>
      <c r="E19"/>
      <c r="F19"/>
      <c r="G19"/>
      <c r="H19"/>
      <c r="I19"/>
      <c r="J19"/>
      <c r="K19"/>
      <c r="L19"/>
      <c r="M19"/>
      <c r="N19"/>
      <c r="O19"/>
      <c r="P19"/>
      <c r="Q19"/>
      <c r="R19"/>
      <c r="S19"/>
      <c r="T19"/>
      <c r="U19"/>
      <c r="V19"/>
      <c r="W19"/>
      <c r="X19"/>
      <c r="Y19"/>
      <c r="Z19"/>
      <c r="AA19"/>
    </row>
    <row r="20" spans="1:27" x14ac:dyDescent="0.25">
      <c r="A20" s="37">
        <v>1747</v>
      </c>
      <c r="B20" s="77">
        <v>0.8</v>
      </c>
      <c r="C20" s="26">
        <v>0.2</v>
      </c>
      <c r="D20" s="81">
        <v>0</v>
      </c>
      <c r="E20"/>
      <c r="F20"/>
      <c r="G20"/>
      <c r="H20"/>
      <c r="I20"/>
      <c r="J20"/>
      <c r="K20"/>
      <c r="L20"/>
      <c r="M20"/>
      <c r="N20"/>
      <c r="O20"/>
      <c r="P20"/>
      <c r="Q20"/>
      <c r="R20"/>
      <c r="S20"/>
      <c r="T20"/>
      <c r="U20"/>
      <c r="V20"/>
      <c r="W20"/>
      <c r="X20"/>
      <c r="Y20"/>
      <c r="Z20"/>
      <c r="AA20"/>
    </row>
    <row r="21" spans="1:27" x14ac:dyDescent="0.25">
      <c r="A21" s="37">
        <v>1756</v>
      </c>
      <c r="B21" s="77">
        <v>0.9285714285714286</v>
      </c>
      <c r="C21" s="26">
        <v>7.1428571428571425E-2</v>
      </c>
      <c r="D21" s="81">
        <v>0</v>
      </c>
      <c r="E21"/>
      <c r="F21"/>
      <c r="G21"/>
      <c r="H21"/>
      <c r="I21"/>
      <c r="J21"/>
      <c r="K21"/>
      <c r="L21"/>
      <c r="M21"/>
      <c r="N21"/>
      <c r="O21"/>
      <c r="P21"/>
      <c r="Q21"/>
      <c r="R21"/>
      <c r="S21"/>
      <c r="T21"/>
      <c r="U21"/>
      <c r="V21"/>
      <c r="W21"/>
      <c r="X21"/>
      <c r="Y21"/>
      <c r="Z21"/>
      <c r="AA21"/>
    </row>
    <row r="22" spans="1:27" x14ac:dyDescent="0.25">
      <c r="A22" s="37">
        <v>1872</v>
      </c>
      <c r="B22" s="77">
        <v>0.84615384615384615</v>
      </c>
      <c r="C22" s="26">
        <v>0.15384615384615385</v>
      </c>
      <c r="D22" s="81">
        <v>0</v>
      </c>
      <c r="E22"/>
      <c r="F22"/>
      <c r="G22"/>
      <c r="H22"/>
      <c r="I22"/>
      <c r="J22"/>
      <c r="K22"/>
      <c r="L22"/>
      <c r="M22"/>
      <c r="N22"/>
      <c r="O22"/>
      <c r="P22"/>
      <c r="Q22"/>
      <c r="R22"/>
      <c r="S22"/>
      <c r="T22"/>
      <c r="U22"/>
      <c r="V22"/>
      <c r="W22"/>
      <c r="X22"/>
      <c r="Y22"/>
      <c r="Z22"/>
      <c r="AA22"/>
    </row>
    <row r="23" spans="1:27" x14ac:dyDescent="0.25">
      <c r="A23" s="37">
        <v>2040</v>
      </c>
      <c r="B23" s="77">
        <v>0.7142857142857143</v>
      </c>
      <c r="C23" s="26">
        <v>0.2857142857142857</v>
      </c>
      <c r="D23" s="81">
        <v>0</v>
      </c>
      <c r="E23"/>
      <c r="F23"/>
      <c r="G23"/>
      <c r="H23"/>
      <c r="I23"/>
      <c r="J23"/>
      <c r="K23"/>
      <c r="L23"/>
      <c r="M23"/>
      <c r="N23"/>
      <c r="O23"/>
      <c r="P23"/>
      <c r="Q23"/>
      <c r="R23"/>
      <c r="S23"/>
      <c r="T23"/>
      <c r="U23"/>
      <c r="V23"/>
      <c r="W23"/>
      <c r="X23"/>
      <c r="Y23"/>
      <c r="Z23"/>
      <c r="AA23"/>
    </row>
    <row r="24" spans="1:27" x14ac:dyDescent="0.25">
      <c r="A24" s="37">
        <v>2171</v>
      </c>
      <c r="B24" s="77">
        <v>0.83333333333333337</v>
      </c>
      <c r="C24" s="26">
        <v>0.16666666666666666</v>
      </c>
      <c r="D24" s="81">
        <v>0</v>
      </c>
      <c r="E24"/>
      <c r="F24"/>
      <c r="G24"/>
      <c r="H24"/>
      <c r="I24"/>
      <c r="J24"/>
      <c r="K24"/>
      <c r="L24"/>
      <c r="M24"/>
      <c r="N24"/>
      <c r="O24"/>
      <c r="P24"/>
      <c r="Q24"/>
      <c r="R24"/>
      <c r="S24"/>
      <c r="T24"/>
      <c r="U24"/>
      <c r="V24"/>
      <c r="W24"/>
      <c r="X24"/>
      <c r="Y24"/>
      <c r="Z24"/>
      <c r="AA24"/>
    </row>
    <row r="25" spans="1:27" x14ac:dyDescent="0.25">
      <c r="A25" s="37">
        <v>2197</v>
      </c>
      <c r="B25" s="77">
        <v>0.8571428571428571</v>
      </c>
      <c r="C25" s="26">
        <v>0.14285714285714285</v>
      </c>
      <c r="D25" s="81">
        <v>0</v>
      </c>
      <c r="E25"/>
      <c r="F25"/>
      <c r="G25"/>
      <c r="H25"/>
      <c r="I25"/>
      <c r="J25"/>
      <c r="K25"/>
      <c r="L25"/>
      <c r="M25"/>
      <c r="N25"/>
      <c r="O25"/>
      <c r="P25"/>
      <c r="Q25"/>
      <c r="R25"/>
      <c r="S25"/>
      <c r="T25"/>
      <c r="U25"/>
      <c r="V25"/>
      <c r="W25"/>
      <c r="X25"/>
      <c r="Y25"/>
      <c r="Z25"/>
      <c r="AA25"/>
    </row>
    <row r="26" spans="1:27" x14ac:dyDescent="0.25">
      <c r="A26" s="37">
        <v>2867</v>
      </c>
      <c r="B26" s="77">
        <v>0.8571428571428571</v>
      </c>
      <c r="C26" s="26">
        <v>0.14285714285714285</v>
      </c>
      <c r="D26" s="81">
        <v>0</v>
      </c>
      <c r="E26"/>
      <c r="F26"/>
      <c r="G26"/>
      <c r="H26"/>
      <c r="I26"/>
      <c r="J26"/>
      <c r="K26"/>
      <c r="L26"/>
      <c r="M26"/>
      <c r="N26"/>
      <c r="O26"/>
      <c r="P26"/>
      <c r="Q26"/>
      <c r="R26"/>
      <c r="S26"/>
      <c r="T26"/>
      <c r="U26"/>
      <c r="V26"/>
      <c r="W26"/>
      <c r="X26"/>
      <c r="Y26"/>
      <c r="Z26"/>
      <c r="AA26"/>
    </row>
    <row r="27" spans="1:27" x14ac:dyDescent="0.25">
      <c r="A27" s="37">
        <v>3147</v>
      </c>
      <c r="B27" s="77">
        <v>0.7857142857142857</v>
      </c>
      <c r="C27" s="26">
        <v>0.21428571428571427</v>
      </c>
      <c r="D27" s="81">
        <v>0</v>
      </c>
      <c r="E27"/>
      <c r="F27"/>
      <c r="G27"/>
      <c r="H27"/>
      <c r="I27"/>
      <c r="J27"/>
      <c r="K27"/>
      <c r="L27"/>
      <c r="M27"/>
      <c r="N27"/>
      <c r="O27"/>
      <c r="P27"/>
      <c r="Q27"/>
      <c r="R27"/>
      <c r="S27"/>
      <c r="T27"/>
      <c r="U27"/>
      <c r="V27"/>
      <c r="W27"/>
      <c r="X27"/>
      <c r="Y27"/>
      <c r="Z27"/>
      <c r="AA27"/>
    </row>
    <row r="28" spans="1:27" x14ac:dyDescent="0.25">
      <c r="A28" s="37">
        <v>3176</v>
      </c>
      <c r="B28" s="77">
        <v>0.66666666666666663</v>
      </c>
      <c r="C28" s="26">
        <v>0.33333333333333331</v>
      </c>
      <c r="D28" s="81">
        <v>0</v>
      </c>
      <c r="E28"/>
      <c r="F28"/>
      <c r="G28"/>
      <c r="H28"/>
      <c r="I28"/>
      <c r="J28"/>
      <c r="K28"/>
      <c r="L28"/>
      <c r="M28"/>
      <c r="N28"/>
      <c r="O28"/>
      <c r="P28"/>
      <c r="Q28"/>
      <c r="R28"/>
      <c r="S28"/>
      <c r="T28"/>
      <c r="U28"/>
      <c r="V28"/>
      <c r="W28"/>
      <c r="X28"/>
      <c r="Y28"/>
      <c r="Z28"/>
      <c r="AA28"/>
    </row>
    <row r="29" spans="1:27" x14ac:dyDescent="0.25">
      <c r="A29" s="37">
        <v>3180</v>
      </c>
      <c r="B29" s="77">
        <v>0.81818181818181823</v>
      </c>
      <c r="C29" s="26">
        <v>0.18181818181818182</v>
      </c>
      <c r="D29" s="81">
        <v>0</v>
      </c>
      <c r="E29"/>
      <c r="F29"/>
      <c r="G29"/>
      <c r="H29"/>
      <c r="I29"/>
      <c r="J29"/>
      <c r="K29"/>
      <c r="L29"/>
      <c r="M29"/>
      <c r="N29"/>
      <c r="O29"/>
      <c r="P29"/>
      <c r="Q29"/>
      <c r="R29"/>
      <c r="S29"/>
      <c r="T29"/>
      <c r="U29"/>
      <c r="V29"/>
      <c r="W29"/>
      <c r="X29"/>
      <c r="Y29"/>
      <c r="Z29"/>
      <c r="AA29"/>
    </row>
    <row r="30" spans="1:27" x14ac:dyDescent="0.25">
      <c r="A30" s="37">
        <v>3201</v>
      </c>
      <c r="B30" s="77">
        <v>1</v>
      </c>
      <c r="C30" s="26">
        <v>0</v>
      </c>
      <c r="D30" s="81">
        <v>0</v>
      </c>
      <c r="E30"/>
      <c r="F30"/>
      <c r="G30"/>
      <c r="H30"/>
      <c r="I30"/>
      <c r="J30"/>
      <c r="K30"/>
      <c r="L30"/>
      <c r="M30"/>
      <c r="N30"/>
      <c r="O30"/>
      <c r="P30"/>
      <c r="Q30"/>
      <c r="R30"/>
      <c r="S30"/>
      <c r="T30"/>
      <c r="U30"/>
      <c r="V30"/>
      <c r="W30"/>
      <c r="X30"/>
      <c r="Y30"/>
      <c r="Z30"/>
      <c r="AA30"/>
    </row>
    <row r="31" spans="1:27" x14ac:dyDescent="0.25">
      <c r="A31" s="37">
        <v>3272</v>
      </c>
      <c r="B31" s="77">
        <v>0.84615384615384615</v>
      </c>
      <c r="C31" s="26">
        <v>0.15384615384615385</v>
      </c>
      <c r="D31" s="81">
        <v>0</v>
      </c>
      <c r="E31"/>
      <c r="F31"/>
      <c r="G31"/>
      <c r="H31"/>
      <c r="I31"/>
      <c r="J31"/>
      <c r="K31"/>
      <c r="L31"/>
      <c r="M31"/>
      <c r="N31"/>
      <c r="O31"/>
      <c r="P31"/>
      <c r="Q31"/>
      <c r="R31"/>
      <c r="S31"/>
      <c r="T31"/>
      <c r="U31"/>
      <c r="V31"/>
      <c r="W31"/>
      <c r="X31"/>
      <c r="Y31"/>
      <c r="Z31"/>
      <c r="AA31"/>
    </row>
    <row r="32" spans="1:27" x14ac:dyDescent="0.25">
      <c r="A32" s="37">
        <v>3301</v>
      </c>
      <c r="B32" s="77">
        <v>0.63636363636363635</v>
      </c>
      <c r="C32" s="26">
        <v>0.36363636363636365</v>
      </c>
      <c r="D32" s="81">
        <v>0</v>
      </c>
      <c r="E32"/>
      <c r="F32"/>
      <c r="G32"/>
      <c r="H32"/>
      <c r="I32"/>
      <c r="J32"/>
      <c r="K32"/>
      <c r="L32"/>
      <c r="M32"/>
      <c r="N32"/>
      <c r="O32"/>
      <c r="P32"/>
      <c r="Q32"/>
      <c r="R32"/>
      <c r="S32"/>
      <c r="T32"/>
      <c r="U32"/>
      <c r="V32"/>
      <c r="W32"/>
      <c r="X32"/>
      <c r="Y32"/>
      <c r="Z32"/>
      <c r="AA32"/>
    </row>
    <row r="33" spans="1:27" x14ac:dyDescent="0.25">
      <c r="A33" s="37">
        <v>3487</v>
      </c>
      <c r="B33" s="77">
        <v>0.63636363636363635</v>
      </c>
      <c r="C33" s="26">
        <v>0.36363636363636365</v>
      </c>
      <c r="D33" s="81">
        <v>0</v>
      </c>
      <c r="E33"/>
      <c r="F33"/>
      <c r="G33"/>
      <c r="H33"/>
      <c r="I33"/>
      <c r="J33"/>
      <c r="K33"/>
      <c r="L33"/>
      <c r="M33"/>
      <c r="N33"/>
      <c r="O33"/>
      <c r="P33"/>
      <c r="Q33"/>
      <c r="R33"/>
      <c r="S33"/>
      <c r="T33"/>
      <c r="U33"/>
      <c r="V33"/>
      <c r="W33"/>
      <c r="X33"/>
      <c r="Y33"/>
      <c r="Z33"/>
      <c r="AA33"/>
    </row>
    <row r="34" spans="1:27" x14ac:dyDescent="0.25">
      <c r="A34" s="37">
        <v>3565</v>
      </c>
      <c r="B34" s="77">
        <v>0.84615384615384615</v>
      </c>
      <c r="C34" s="26">
        <v>0.15384615384615385</v>
      </c>
      <c r="D34" s="81">
        <v>0</v>
      </c>
      <c r="E34"/>
      <c r="F34"/>
      <c r="G34"/>
      <c r="H34"/>
      <c r="I34"/>
      <c r="J34"/>
      <c r="K34"/>
      <c r="L34"/>
      <c r="M34"/>
      <c r="N34"/>
      <c r="O34"/>
      <c r="P34"/>
      <c r="Q34"/>
      <c r="R34"/>
      <c r="S34"/>
      <c r="T34"/>
      <c r="U34"/>
      <c r="V34"/>
      <c r="W34"/>
      <c r="X34"/>
      <c r="Y34"/>
      <c r="Z34"/>
      <c r="AA34"/>
    </row>
    <row r="35" spans="1:27" x14ac:dyDescent="0.25">
      <c r="A35" s="37">
        <v>3865</v>
      </c>
      <c r="B35" s="77">
        <v>1</v>
      </c>
      <c r="C35" s="26">
        <v>0</v>
      </c>
      <c r="D35" s="81">
        <v>0</v>
      </c>
      <c r="E35"/>
      <c r="F35"/>
      <c r="G35"/>
      <c r="H35"/>
      <c r="I35"/>
      <c r="J35"/>
      <c r="K35"/>
      <c r="L35"/>
      <c r="M35"/>
      <c r="N35"/>
      <c r="O35"/>
      <c r="P35"/>
      <c r="Q35"/>
      <c r="R35"/>
      <c r="S35"/>
      <c r="T35"/>
      <c r="U35"/>
      <c r="V35"/>
      <c r="W35"/>
      <c r="X35"/>
      <c r="Y35"/>
      <c r="Z35"/>
      <c r="AA35"/>
    </row>
    <row r="36" spans="1:27" x14ac:dyDescent="0.25">
      <c r="A36" s="37">
        <v>3947</v>
      </c>
      <c r="B36" s="77">
        <v>0.85</v>
      </c>
      <c r="C36" s="26">
        <v>0.15</v>
      </c>
      <c r="D36" s="81">
        <v>0</v>
      </c>
      <c r="E36"/>
      <c r="F36"/>
      <c r="G36"/>
      <c r="H36"/>
      <c r="I36"/>
      <c r="J36"/>
      <c r="K36"/>
      <c r="L36"/>
      <c r="M36"/>
      <c r="N36"/>
      <c r="O36"/>
      <c r="P36"/>
      <c r="Q36"/>
      <c r="R36"/>
      <c r="S36"/>
      <c r="T36"/>
      <c r="U36"/>
      <c r="V36"/>
      <c r="W36"/>
      <c r="X36"/>
      <c r="Y36"/>
      <c r="Z36"/>
      <c r="AA36"/>
    </row>
    <row r="37" spans="1:27" x14ac:dyDescent="0.25">
      <c r="A37" s="37">
        <v>4070</v>
      </c>
      <c r="B37" s="77">
        <v>0.81818181818181823</v>
      </c>
      <c r="C37" s="26">
        <v>0.18181818181818182</v>
      </c>
      <c r="D37" s="81">
        <v>0</v>
      </c>
      <c r="E37"/>
      <c r="F37"/>
      <c r="G37"/>
      <c r="H37"/>
      <c r="I37"/>
      <c r="J37"/>
      <c r="K37"/>
      <c r="L37"/>
      <c r="M37"/>
      <c r="N37"/>
      <c r="O37"/>
      <c r="P37"/>
      <c r="Q37"/>
      <c r="R37"/>
      <c r="S37"/>
      <c r="T37"/>
      <c r="U37"/>
      <c r="V37"/>
      <c r="W37"/>
      <c r="X37"/>
      <c r="Y37"/>
      <c r="Z37"/>
      <c r="AA37"/>
    </row>
    <row r="38" spans="1:27" x14ac:dyDescent="0.25">
      <c r="A38" s="37">
        <v>4211</v>
      </c>
      <c r="B38" s="77">
        <v>0.8</v>
      </c>
      <c r="C38" s="26">
        <v>0.2</v>
      </c>
      <c r="D38" s="81">
        <v>0</v>
      </c>
      <c r="E38"/>
      <c r="F38"/>
      <c r="G38"/>
      <c r="H38"/>
      <c r="I38"/>
      <c r="J38"/>
      <c r="K38"/>
      <c r="L38"/>
      <c r="M38"/>
      <c r="N38"/>
      <c r="O38"/>
      <c r="P38"/>
      <c r="Q38"/>
      <c r="R38"/>
      <c r="S38"/>
      <c r="T38"/>
      <c r="U38"/>
      <c r="V38"/>
      <c r="W38"/>
      <c r="X38"/>
      <c r="Y38"/>
      <c r="Z38"/>
      <c r="AA38"/>
    </row>
    <row r="39" spans="1:27" x14ac:dyDescent="0.25">
      <c r="A39" s="37">
        <v>4234</v>
      </c>
      <c r="B39" s="77">
        <v>0.84615384615384615</v>
      </c>
      <c r="C39" s="26">
        <v>0.15384615384615385</v>
      </c>
      <c r="D39" s="81">
        <v>0</v>
      </c>
      <c r="E39"/>
      <c r="F39"/>
      <c r="G39"/>
      <c r="H39"/>
      <c r="I39"/>
      <c r="J39"/>
      <c r="K39"/>
      <c r="L39"/>
      <c r="M39"/>
      <c r="N39"/>
      <c r="O39"/>
      <c r="P39"/>
      <c r="Q39"/>
      <c r="R39"/>
      <c r="S39"/>
      <c r="T39"/>
      <c r="U39"/>
      <c r="V39"/>
      <c r="W39"/>
      <c r="X39"/>
      <c r="Y39"/>
      <c r="Z39"/>
      <c r="AA39"/>
    </row>
    <row r="40" spans="1:27" x14ac:dyDescent="0.25">
      <c r="A40" s="37">
        <v>4272</v>
      </c>
      <c r="B40" s="77">
        <v>0.83333333333333337</v>
      </c>
      <c r="C40" s="26">
        <v>0.16666666666666666</v>
      </c>
      <c r="D40" s="81">
        <v>0</v>
      </c>
      <c r="E40"/>
      <c r="F40"/>
      <c r="G40"/>
      <c r="H40"/>
      <c r="I40"/>
      <c r="J40"/>
      <c r="K40"/>
      <c r="L40"/>
      <c r="M40"/>
      <c r="N40"/>
      <c r="O40"/>
      <c r="P40"/>
      <c r="Q40"/>
      <c r="R40"/>
      <c r="S40"/>
      <c r="T40"/>
      <c r="U40"/>
      <c r="V40"/>
      <c r="W40"/>
      <c r="X40"/>
      <c r="Y40"/>
      <c r="Z40"/>
      <c r="AA40"/>
    </row>
    <row r="41" spans="1:27" x14ac:dyDescent="0.25">
      <c r="A41" s="37">
        <v>4485</v>
      </c>
      <c r="B41" s="77">
        <v>0.8666666666666667</v>
      </c>
      <c r="C41" s="26">
        <v>0.13333333333333333</v>
      </c>
      <c r="D41" s="81">
        <v>0</v>
      </c>
      <c r="E41"/>
      <c r="F41"/>
      <c r="G41"/>
      <c r="H41"/>
      <c r="I41"/>
      <c r="J41"/>
      <c r="K41"/>
      <c r="L41"/>
      <c r="M41"/>
      <c r="N41"/>
      <c r="O41"/>
      <c r="P41"/>
      <c r="Q41"/>
      <c r="R41"/>
      <c r="S41"/>
      <c r="T41"/>
      <c r="U41"/>
      <c r="V41"/>
      <c r="W41"/>
      <c r="X41"/>
      <c r="Y41"/>
      <c r="Z41"/>
      <c r="AA41"/>
    </row>
    <row r="42" spans="1:27" x14ac:dyDescent="0.25">
      <c r="A42" s="37">
        <v>4545</v>
      </c>
      <c r="B42" s="77">
        <v>0.83333333333333337</v>
      </c>
      <c r="C42" s="26">
        <v>0.16666666666666666</v>
      </c>
      <c r="D42" s="81">
        <v>0</v>
      </c>
      <c r="E42"/>
      <c r="F42"/>
      <c r="G42"/>
      <c r="H42"/>
      <c r="I42"/>
      <c r="J42"/>
      <c r="K42"/>
      <c r="L42"/>
      <c r="M42"/>
      <c r="N42"/>
      <c r="O42"/>
      <c r="P42"/>
      <c r="Q42"/>
      <c r="R42"/>
      <c r="S42"/>
      <c r="T42"/>
      <c r="U42"/>
      <c r="V42"/>
      <c r="W42"/>
      <c r="X42"/>
      <c r="Y42"/>
      <c r="Z42"/>
      <c r="AA42"/>
    </row>
    <row r="43" spans="1:27" x14ac:dyDescent="0.25">
      <c r="A43" s="37">
        <v>4580</v>
      </c>
      <c r="B43" s="77">
        <v>0.75</v>
      </c>
      <c r="C43" s="26">
        <v>0.25</v>
      </c>
      <c r="D43" s="81">
        <v>0</v>
      </c>
      <c r="E43"/>
      <c r="F43"/>
      <c r="G43"/>
      <c r="H43"/>
      <c r="I43"/>
      <c r="J43"/>
      <c r="K43"/>
      <c r="L43"/>
      <c r="M43"/>
      <c r="N43"/>
      <c r="O43"/>
      <c r="P43"/>
      <c r="Q43"/>
      <c r="R43"/>
      <c r="S43"/>
      <c r="T43"/>
      <c r="U43"/>
      <c r="V43"/>
      <c r="W43"/>
      <c r="X43"/>
      <c r="Y43"/>
      <c r="Z43"/>
      <c r="AA43"/>
    </row>
    <row r="44" spans="1:27" x14ac:dyDescent="0.25">
      <c r="A44" s="37">
        <v>4791</v>
      </c>
      <c r="B44" s="77">
        <v>1</v>
      </c>
      <c r="C44" s="26">
        <v>0</v>
      </c>
      <c r="D44" s="81">
        <v>0</v>
      </c>
      <c r="E44"/>
      <c r="F44"/>
      <c r="G44"/>
      <c r="H44"/>
      <c r="I44"/>
      <c r="J44"/>
      <c r="K44"/>
      <c r="L44"/>
      <c r="M44"/>
      <c r="N44"/>
      <c r="O44"/>
      <c r="P44"/>
      <c r="Q44"/>
      <c r="R44"/>
      <c r="S44"/>
      <c r="T44"/>
      <c r="U44"/>
      <c r="V44"/>
      <c r="W44"/>
      <c r="X44"/>
      <c r="Y44"/>
      <c r="Z44"/>
      <c r="AA44"/>
    </row>
    <row r="45" spans="1:27" x14ac:dyDescent="0.25">
      <c r="A45" s="37">
        <v>4846</v>
      </c>
      <c r="B45" s="77">
        <v>0.91666666666666663</v>
      </c>
      <c r="C45" s="26">
        <v>8.3333333333333329E-2</v>
      </c>
      <c r="D45" s="81">
        <v>0</v>
      </c>
      <c r="E45"/>
      <c r="F45"/>
      <c r="G45"/>
      <c r="H45"/>
      <c r="I45"/>
      <c r="J45"/>
      <c r="K45"/>
      <c r="L45"/>
      <c r="M45"/>
      <c r="N45"/>
      <c r="O45"/>
      <c r="P45"/>
      <c r="Q45"/>
      <c r="R45"/>
      <c r="S45"/>
      <c r="T45"/>
      <c r="U45"/>
      <c r="V45"/>
      <c r="W45"/>
      <c r="X45"/>
      <c r="Y45"/>
      <c r="Z45"/>
      <c r="AA45"/>
    </row>
    <row r="46" spans="1:27" x14ac:dyDescent="0.25">
      <c r="A46" s="37" t="s">
        <v>29</v>
      </c>
      <c r="B46" s="77" t="e">
        <v>#DIV/0!</v>
      </c>
      <c r="C46" s="26" t="e">
        <v>#DIV/0!</v>
      </c>
      <c r="D46" s="81" t="e">
        <v>#DIV/0!</v>
      </c>
      <c r="E46"/>
      <c r="F46"/>
      <c r="G46"/>
      <c r="H46"/>
      <c r="I46"/>
      <c r="J46"/>
      <c r="K46"/>
      <c r="L46"/>
      <c r="M46"/>
      <c r="N46"/>
      <c r="O46"/>
      <c r="P46"/>
      <c r="Q46"/>
      <c r="R46"/>
      <c r="S46"/>
      <c r="T46"/>
      <c r="U46"/>
      <c r="V46"/>
      <c r="W46"/>
      <c r="X46"/>
      <c r="Y46"/>
      <c r="Z46"/>
      <c r="AA46"/>
    </row>
    <row r="47" spans="1:27" x14ac:dyDescent="0.25">
      <c r="A47" s="40" t="s">
        <v>7</v>
      </c>
      <c r="B47" s="78">
        <v>0.83333333333333337</v>
      </c>
      <c r="C47" s="27">
        <v>0.16666666666666666</v>
      </c>
      <c r="D47" s="82">
        <v>0</v>
      </c>
      <c r="E47"/>
      <c r="F47"/>
      <c r="G47"/>
      <c r="H47"/>
      <c r="I47"/>
      <c r="J47"/>
      <c r="K47"/>
      <c r="L47"/>
      <c r="M47"/>
      <c r="N47"/>
      <c r="O47"/>
      <c r="P47"/>
      <c r="Q47"/>
      <c r="R47"/>
      <c r="S47"/>
      <c r="T47"/>
      <c r="U47"/>
      <c r="V47"/>
      <c r="W47"/>
      <c r="X47"/>
      <c r="Y47"/>
      <c r="Z47"/>
      <c r="AA47"/>
    </row>
    <row r="48" spans="1:27" x14ac:dyDescent="0.25">
      <c r="A48"/>
      <c r="B48"/>
      <c r="C48"/>
      <c r="D48"/>
      <c r="E48"/>
      <c r="F48"/>
      <c r="G48"/>
      <c r="H48"/>
      <c r="I48"/>
      <c r="J48"/>
      <c r="K48"/>
      <c r="L48"/>
      <c r="M48"/>
      <c r="N48"/>
      <c r="O48"/>
      <c r="P48"/>
      <c r="Q48"/>
      <c r="R48"/>
      <c r="S48"/>
      <c r="T48"/>
      <c r="U48"/>
      <c r="V48"/>
      <c r="W48"/>
      <c r="X48"/>
      <c r="Y48"/>
      <c r="Z48"/>
      <c r="AA48"/>
    </row>
    <row r="49" spans="1:27" x14ac:dyDescent="0.25">
      <c r="A49"/>
      <c r="B49"/>
      <c r="C49"/>
      <c r="D49"/>
      <c r="E49"/>
      <c r="F49"/>
      <c r="G49"/>
      <c r="H49"/>
      <c r="I49"/>
      <c r="J49"/>
      <c r="K49"/>
      <c r="L49"/>
      <c r="M49"/>
      <c r="N49"/>
      <c r="O49"/>
      <c r="P49"/>
      <c r="Q49"/>
      <c r="R49"/>
      <c r="S49"/>
      <c r="T49"/>
      <c r="U49"/>
      <c r="V49"/>
      <c r="W49"/>
      <c r="X49"/>
      <c r="Y49"/>
      <c r="Z49"/>
      <c r="AA49"/>
    </row>
    <row r="50" spans="1:27" x14ac:dyDescent="0.25">
      <c r="A50" s="50"/>
      <c r="B50" s="50"/>
      <c r="C50" s="50"/>
      <c r="D50" s="50"/>
      <c r="E50" s="50"/>
      <c r="F50" s="50"/>
      <c r="G50" s="50"/>
      <c r="H50" s="50"/>
      <c r="I50" s="50"/>
      <c r="J50" s="50"/>
      <c r="K50" s="50"/>
      <c r="L50" s="50"/>
    </row>
    <row r="51" spans="1:27" x14ac:dyDescent="0.25">
      <c r="A51" s="50"/>
      <c r="B51" s="50"/>
      <c r="C51" s="50"/>
      <c r="D51" s="50"/>
      <c r="E51" s="50"/>
      <c r="F51" s="50"/>
      <c r="G51" s="50"/>
      <c r="H51" s="50"/>
      <c r="I51" s="50"/>
      <c r="J51" s="50"/>
      <c r="K51" s="50"/>
      <c r="L51" s="50"/>
    </row>
    <row r="52" spans="1:27" x14ac:dyDescent="0.25">
      <c r="A52" s="50"/>
      <c r="B52" s="50"/>
      <c r="C52" s="50"/>
      <c r="D52" s="50"/>
      <c r="E52" s="50"/>
      <c r="F52" s="50"/>
      <c r="G52" s="50"/>
      <c r="H52" s="50"/>
      <c r="I52" s="50"/>
      <c r="J52" s="50"/>
      <c r="K52" s="50"/>
      <c r="L52" s="50"/>
    </row>
    <row r="53" spans="1:27" x14ac:dyDescent="0.25">
      <c r="A53" s="50"/>
      <c r="B53" s="50"/>
      <c r="C53" s="50"/>
      <c r="D53" s="50"/>
      <c r="E53" s="50"/>
      <c r="F53" s="50"/>
      <c r="G53" s="50"/>
      <c r="H53" s="50"/>
      <c r="I53" s="50"/>
      <c r="J53" s="50"/>
      <c r="K53" s="50"/>
      <c r="L53" s="50"/>
    </row>
    <row r="54" spans="1:27" x14ac:dyDescent="0.25">
      <c r="A54" s="50"/>
      <c r="B54" s="50"/>
      <c r="C54" s="50"/>
      <c r="D54" s="50"/>
      <c r="E54" s="50"/>
      <c r="F54" s="50"/>
      <c r="G54" s="50"/>
      <c r="H54" s="50"/>
      <c r="I54" s="50"/>
      <c r="J54" s="50"/>
      <c r="K54" s="50"/>
      <c r="L54" s="50"/>
    </row>
    <row r="55" spans="1:27" x14ac:dyDescent="0.25">
      <c r="A55" s="50"/>
      <c r="B55" s="50"/>
      <c r="C55" s="50"/>
      <c r="D55" s="50"/>
      <c r="E55" s="50"/>
      <c r="F55" s="50"/>
      <c r="G55" s="50"/>
      <c r="H55" s="50"/>
      <c r="I55" s="50"/>
      <c r="J55" s="50"/>
      <c r="K55" s="50"/>
      <c r="L55" s="50"/>
    </row>
    <row r="56" spans="1:27" x14ac:dyDescent="0.25">
      <c r="A56" s="50"/>
      <c r="B56" s="50"/>
      <c r="C56" s="50"/>
      <c r="D56" s="50"/>
      <c r="E56" s="50"/>
      <c r="F56" s="50"/>
      <c r="G56" s="50"/>
      <c r="H56" s="50"/>
      <c r="I56" s="50"/>
      <c r="J56" s="50"/>
      <c r="K56" s="50"/>
      <c r="L56" s="50"/>
    </row>
    <row r="57" spans="1:27" x14ac:dyDescent="0.25">
      <c r="A57" s="50"/>
      <c r="B57" s="50"/>
      <c r="C57" s="50"/>
      <c r="D57" s="50"/>
      <c r="E57" s="50"/>
      <c r="F57" s="50"/>
      <c r="G57" s="50"/>
      <c r="H57" s="50"/>
      <c r="I57" s="50"/>
      <c r="J57" s="50"/>
      <c r="K57" s="50"/>
      <c r="L57" s="50"/>
    </row>
    <row r="58" spans="1:27" x14ac:dyDescent="0.25">
      <c r="A58" s="50"/>
      <c r="B58" s="50"/>
      <c r="C58" s="50"/>
      <c r="D58" s="50"/>
      <c r="E58" s="50"/>
      <c r="F58" s="50"/>
      <c r="G58" s="50"/>
      <c r="H58" s="50"/>
      <c r="I58" s="50"/>
      <c r="J58" s="50"/>
      <c r="K58" s="50"/>
      <c r="L58" s="50"/>
    </row>
    <row r="59" spans="1:27" x14ac:dyDescent="0.25">
      <c r="A59" s="50"/>
      <c r="B59" s="50"/>
      <c r="C59" s="50"/>
      <c r="D59" s="50"/>
      <c r="E59" s="50"/>
      <c r="F59" s="50"/>
      <c r="G59" s="50"/>
      <c r="H59" s="50"/>
      <c r="I59" s="50"/>
      <c r="J59" s="50"/>
      <c r="K59" s="50"/>
      <c r="L59" s="50"/>
    </row>
    <row r="60" spans="1:27" x14ac:dyDescent="0.25">
      <c r="A60" s="50"/>
      <c r="B60" s="50"/>
      <c r="C60" s="50"/>
      <c r="D60" s="50"/>
      <c r="E60" s="50"/>
      <c r="F60" s="50"/>
      <c r="G60" s="50"/>
      <c r="H60" s="50"/>
      <c r="I60" s="50"/>
      <c r="J60" s="50"/>
      <c r="K60" s="50"/>
      <c r="L60" s="50"/>
    </row>
    <row r="61" spans="1:27" x14ac:dyDescent="0.25">
      <c r="A61" s="50"/>
      <c r="B61" s="50"/>
      <c r="C61" s="50"/>
      <c r="D61" s="50"/>
      <c r="E61" s="50"/>
      <c r="F61" s="50"/>
      <c r="G61" s="50"/>
      <c r="H61" s="50"/>
      <c r="I61" s="50"/>
      <c r="J61" s="50"/>
      <c r="K61" s="50"/>
      <c r="L61" s="50"/>
    </row>
    <row r="62" spans="1:27" x14ac:dyDescent="0.25">
      <c r="A62" s="50"/>
      <c r="B62" s="50"/>
      <c r="C62" s="50"/>
      <c r="D62" s="50"/>
      <c r="E62" s="50"/>
      <c r="F62" s="50"/>
      <c r="G62" s="50"/>
      <c r="H62" s="50"/>
      <c r="I62" s="50"/>
      <c r="J62" s="50"/>
      <c r="K62" s="50"/>
      <c r="L62" s="50"/>
    </row>
    <row r="63" spans="1:27" x14ac:dyDescent="0.25">
      <c r="A63" s="50"/>
      <c r="B63" s="50"/>
      <c r="C63" s="50"/>
      <c r="D63" s="50"/>
      <c r="E63" s="50"/>
      <c r="F63" s="50"/>
      <c r="G63" s="50"/>
      <c r="H63" s="50"/>
      <c r="I63" s="50"/>
      <c r="J63" s="50"/>
      <c r="K63" s="50"/>
      <c r="L63" s="50"/>
    </row>
    <row r="64" spans="1:27" x14ac:dyDescent="0.25">
      <c r="A64" s="50"/>
      <c r="B64" s="50"/>
      <c r="C64" s="50"/>
      <c r="D64" s="50"/>
      <c r="E64" s="50"/>
      <c r="F64" s="50"/>
      <c r="G64" s="50"/>
      <c r="H64" s="50"/>
      <c r="I64" s="50"/>
      <c r="J64" s="50"/>
      <c r="K64" s="50"/>
      <c r="L64" s="50"/>
    </row>
    <row r="65" spans="1:12" x14ac:dyDescent="0.25">
      <c r="A65" s="50"/>
      <c r="B65" s="50"/>
      <c r="C65" s="50"/>
      <c r="D65" s="50"/>
      <c r="E65" s="50"/>
      <c r="F65" s="50"/>
      <c r="G65" s="50"/>
      <c r="H65" s="50"/>
      <c r="I65" s="50"/>
      <c r="J65" s="50"/>
      <c r="K65" s="50"/>
      <c r="L65" s="50"/>
    </row>
    <row r="66" spans="1:12" x14ac:dyDescent="0.25">
      <c r="A66" s="50"/>
      <c r="B66" s="50"/>
      <c r="C66" s="50"/>
      <c r="D66" s="50"/>
      <c r="E66" s="50"/>
      <c r="F66" s="50"/>
      <c r="G66" s="50"/>
      <c r="H66" s="50"/>
      <c r="I66" s="50"/>
      <c r="J66" s="50"/>
      <c r="K66" s="50"/>
      <c r="L66" s="50"/>
    </row>
    <row r="67" spans="1:12" x14ac:dyDescent="0.25">
      <c r="A67" s="50"/>
      <c r="B67" s="50"/>
      <c r="C67" s="50"/>
      <c r="D67" s="50"/>
      <c r="E67" s="50"/>
      <c r="F67" s="50"/>
      <c r="G67" s="50"/>
      <c r="H67" s="50"/>
      <c r="I67" s="50"/>
      <c r="J67" s="50"/>
      <c r="K67" s="50"/>
      <c r="L67" s="50"/>
    </row>
    <row r="68" spans="1:12" x14ac:dyDescent="0.25">
      <c r="A68" s="50"/>
      <c r="B68" s="50"/>
      <c r="C68" s="50"/>
      <c r="D68" s="50"/>
      <c r="E68" s="50"/>
      <c r="F68" s="50"/>
      <c r="G68" s="50"/>
      <c r="H68" s="50"/>
      <c r="I68" s="50"/>
      <c r="J68" s="50"/>
      <c r="K68" s="50"/>
      <c r="L68" s="50"/>
    </row>
    <row r="69" spans="1:12" x14ac:dyDescent="0.25">
      <c r="A69" s="50"/>
      <c r="B69" s="50"/>
      <c r="C69" s="50"/>
      <c r="D69" s="50"/>
      <c r="E69" s="50"/>
      <c r="F69" s="50"/>
      <c r="G69" s="50"/>
      <c r="H69" s="50"/>
      <c r="I69" s="50"/>
      <c r="J69" s="50"/>
      <c r="K69" s="50"/>
      <c r="L69" s="50"/>
    </row>
    <row r="70" spans="1:12" x14ac:dyDescent="0.25">
      <c r="A70" s="50"/>
      <c r="B70" s="50"/>
      <c r="C70" s="50"/>
      <c r="D70" s="50"/>
      <c r="E70" s="50"/>
      <c r="F70" s="50"/>
      <c r="G70" s="50"/>
      <c r="H70" s="50"/>
      <c r="I70" s="50"/>
      <c r="J70" s="50"/>
      <c r="K70" s="50"/>
      <c r="L70" s="50"/>
    </row>
    <row r="71" spans="1:12" x14ac:dyDescent="0.25">
      <c r="A71" s="50"/>
      <c r="B71" s="50"/>
      <c r="C71" s="50"/>
      <c r="D71" s="50"/>
      <c r="E71" s="50"/>
      <c r="F71" s="50"/>
      <c r="G71" s="50"/>
      <c r="H71" s="50"/>
      <c r="I71" s="50"/>
      <c r="J71" s="50"/>
      <c r="K71" s="50"/>
      <c r="L71" s="50"/>
    </row>
    <row r="72" spans="1:12" x14ac:dyDescent="0.25">
      <c r="A72" s="50"/>
      <c r="B72" s="50"/>
      <c r="C72" s="50"/>
      <c r="D72" s="50"/>
      <c r="E72" s="50"/>
      <c r="F72" s="50"/>
      <c r="G72" s="50"/>
      <c r="H72" s="50"/>
      <c r="I72" s="50"/>
      <c r="J72" s="50"/>
      <c r="K72" s="50"/>
      <c r="L72" s="50"/>
    </row>
    <row r="73" spans="1:12" x14ac:dyDescent="0.25">
      <c r="A73" s="50"/>
      <c r="B73" s="50"/>
      <c r="C73" s="50"/>
      <c r="D73" s="50"/>
      <c r="E73" s="50"/>
      <c r="F73" s="50"/>
      <c r="G73" s="50"/>
      <c r="H73" s="50"/>
      <c r="I73" s="50"/>
      <c r="J73" s="50"/>
      <c r="K73" s="50"/>
      <c r="L73" s="50"/>
    </row>
    <row r="74" spans="1:12" x14ac:dyDescent="0.25">
      <c r="A74" s="50"/>
      <c r="B74" s="50"/>
      <c r="C74" s="50"/>
      <c r="D74" s="50"/>
      <c r="E74" s="50"/>
      <c r="F74" s="50"/>
      <c r="G74" s="50"/>
      <c r="H74" s="50"/>
      <c r="I74" s="50"/>
      <c r="J74" s="50"/>
      <c r="K74" s="50"/>
      <c r="L74" s="50"/>
    </row>
    <row r="75" spans="1:12" x14ac:dyDescent="0.25">
      <c r="A75" s="50"/>
      <c r="B75" s="50"/>
      <c r="C75" s="50"/>
      <c r="D75" s="50"/>
      <c r="E75" s="50"/>
      <c r="F75" s="50"/>
      <c r="G75" s="50"/>
      <c r="H75" s="50"/>
      <c r="I75" s="50"/>
      <c r="J75" s="50"/>
      <c r="K75" s="50"/>
      <c r="L75" s="50"/>
    </row>
    <row r="76" spans="1:12" x14ac:dyDescent="0.25">
      <c r="A76" s="50"/>
      <c r="B76" s="50"/>
      <c r="C76" s="50"/>
      <c r="D76" s="50"/>
      <c r="E76" s="50"/>
      <c r="F76" s="50"/>
      <c r="G76" s="50"/>
      <c r="H76" s="50"/>
      <c r="I76" s="50"/>
      <c r="J76" s="50"/>
      <c r="K76" s="50"/>
      <c r="L76" s="50"/>
    </row>
    <row r="77" spans="1:12" x14ac:dyDescent="0.25">
      <c r="A77" s="50"/>
      <c r="B77" s="50"/>
      <c r="C77" s="50"/>
      <c r="D77" s="50"/>
      <c r="E77" s="50"/>
      <c r="F77" s="50"/>
      <c r="G77" s="50"/>
      <c r="H77" s="50"/>
      <c r="I77" s="50"/>
      <c r="J77" s="50"/>
      <c r="K77" s="50"/>
      <c r="L77" s="50"/>
    </row>
    <row r="78" spans="1:12" x14ac:dyDescent="0.25">
      <c r="A78" s="50"/>
      <c r="B78" s="50"/>
      <c r="C78" s="50"/>
      <c r="D78" s="50"/>
      <c r="E78" s="50"/>
      <c r="F78" s="50"/>
      <c r="G78" s="50"/>
      <c r="H78" s="50"/>
      <c r="I78" s="50"/>
      <c r="J78" s="50"/>
      <c r="K78" s="50"/>
      <c r="L78" s="50"/>
    </row>
    <row r="79" spans="1:12" x14ac:dyDescent="0.25">
      <c r="A79" s="50"/>
      <c r="B79" s="50"/>
      <c r="C79" s="50"/>
      <c r="D79" s="50"/>
      <c r="E79" s="50"/>
      <c r="F79" s="50"/>
      <c r="G79" s="50"/>
      <c r="H79" s="50"/>
      <c r="I79" s="50"/>
      <c r="J79" s="50"/>
      <c r="K79" s="50"/>
      <c r="L79" s="50"/>
    </row>
    <row r="80" spans="1:12" x14ac:dyDescent="0.25">
      <c r="A80" s="50"/>
      <c r="B80" s="50"/>
      <c r="C80" s="50"/>
      <c r="D80" s="50"/>
      <c r="E80" s="50"/>
      <c r="F80" s="50"/>
      <c r="G80" s="50"/>
      <c r="H80" s="50"/>
      <c r="I80" s="50"/>
      <c r="J80" s="50"/>
      <c r="K80" s="50"/>
      <c r="L80" s="50"/>
    </row>
    <row r="81" spans="1:12" x14ac:dyDescent="0.25">
      <c r="A81" s="50"/>
      <c r="B81" s="50"/>
      <c r="C81" s="50"/>
      <c r="D81" s="50"/>
      <c r="E81" s="50"/>
      <c r="F81" s="50"/>
      <c r="G81" s="50"/>
      <c r="H81" s="50"/>
      <c r="I81" s="50"/>
      <c r="J81" s="50"/>
      <c r="K81" s="50"/>
      <c r="L81" s="50"/>
    </row>
    <row r="82" spans="1:12" x14ac:dyDescent="0.25">
      <c r="A82" s="50"/>
      <c r="B82" s="50"/>
      <c r="C82" s="50"/>
      <c r="D82" s="50"/>
      <c r="E82" s="50"/>
      <c r="F82" s="50"/>
      <c r="G82" s="50"/>
      <c r="H82" s="50"/>
      <c r="I82" s="50"/>
      <c r="J82" s="50"/>
      <c r="K82" s="50"/>
      <c r="L82" s="50"/>
    </row>
    <row r="83" spans="1:12" x14ac:dyDescent="0.25">
      <c r="A83" s="50"/>
      <c r="B83" s="50"/>
      <c r="C83" s="50"/>
      <c r="D83" s="50"/>
      <c r="E83" s="50"/>
      <c r="F83" s="50"/>
      <c r="G83" s="50"/>
      <c r="H83" s="50"/>
      <c r="I83" s="50"/>
      <c r="J83" s="50"/>
      <c r="K83" s="50"/>
      <c r="L83" s="50"/>
    </row>
    <row r="84" spans="1:12" x14ac:dyDescent="0.25">
      <c r="A84" s="50"/>
      <c r="B84" s="50"/>
      <c r="C84" s="50"/>
      <c r="D84" s="50"/>
      <c r="E84" s="50"/>
      <c r="F84" s="50"/>
      <c r="G84" s="50"/>
      <c r="H84" s="50"/>
      <c r="I84" s="50"/>
      <c r="J84" s="50"/>
      <c r="K84" s="50"/>
      <c r="L84" s="50"/>
    </row>
    <row r="85" spans="1:12" x14ac:dyDescent="0.25">
      <c r="A85" s="50"/>
      <c r="B85" s="50"/>
      <c r="C85" s="50"/>
      <c r="D85" s="50"/>
      <c r="E85" s="50"/>
      <c r="F85" s="50"/>
      <c r="G85" s="50"/>
      <c r="H85" s="50"/>
      <c r="I85" s="50"/>
      <c r="J85" s="50"/>
      <c r="K85" s="50"/>
      <c r="L85" s="50"/>
    </row>
    <row r="86" spans="1:12" x14ac:dyDescent="0.25">
      <c r="A86" s="50"/>
      <c r="B86" s="50"/>
      <c r="C86" s="50"/>
      <c r="D86" s="50"/>
      <c r="E86" s="50"/>
      <c r="F86" s="50"/>
      <c r="G86" s="50"/>
      <c r="H86" s="50"/>
      <c r="I86" s="50"/>
      <c r="J86" s="50"/>
      <c r="K86" s="50"/>
      <c r="L86" s="50"/>
    </row>
    <row r="87" spans="1:12" x14ac:dyDescent="0.25">
      <c r="A87" s="50"/>
      <c r="B87" s="50"/>
      <c r="C87" s="50"/>
      <c r="D87" s="50"/>
      <c r="E87" s="50"/>
      <c r="F87" s="50"/>
      <c r="G87" s="50"/>
      <c r="H87" s="50"/>
      <c r="I87" s="50"/>
      <c r="J87" s="50"/>
      <c r="K87" s="50"/>
      <c r="L87" s="50"/>
    </row>
    <row r="88" spans="1:12" x14ac:dyDescent="0.25">
      <c r="A88" s="50"/>
      <c r="B88" s="50"/>
      <c r="C88" s="50"/>
      <c r="D88" s="50"/>
      <c r="E88" s="50"/>
      <c r="F88" s="50"/>
      <c r="G88" s="50"/>
      <c r="H88" s="50"/>
      <c r="I88" s="50"/>
      <c r="J88" s="50"/>
      <c r="K88" s="50"/>
      <c r="L88" s="50"/>
    </row>
    <row r="89" spans="1:12" x14ac:dyDescent="0.25">
      <c r="A89" s="50"/>
      <c r="B89" s="50"/>
      <c r="C89" s="50"/>
      <c r="D89" s="50"/>
      <c r="E89" s="50"/>
      <c r="F89" s="50"/>
      <c r="G89" s="50"/>
      <c r="H89" s="50"/>
      <c r="I89" s="50"/>
      <c r="J89" s="50"/>
      <c r="K89" s="50"/>
      <c r="L89" s="50"/>
    </row>
    <row r="90" spans="1:12" x14ac:dyDescent="0.25">
      <c r="A90" s="50"/>
      <c r="B90" s="50"/>
      <c r="C90" s="50"/>
      <c r="D90" s="50"/>
      <c r="E90" s="50"/>
      <c r="F90" s="50"/>
      <c r="G90" s="50"/>
      <c r="H90" s="50"/>
      <c r="I90" s="50"/>
      <c r="J90" s="50"/>
      <c r="K90" s="50"/>
      <c r="L90" s="50"/>
    </row>
    <row r="91" spans="1:12" x14ac:dyDescent="0.25">
      <c r="A91" s="50"/>
      <c r="B91" s="50"/>
      <c r="C91" s="50"/>
      <c r="D91" s="50"/>
      <c r="E91" s="50"/>
      <c r="F91" s="50"/>
      <c r="G91" s="50"/>
      <c r="H91" s="50"/>
      <c r="I91" s="50"/>
      <c r="J91" s="50"/>
      <c r="K91" s="50"/>
      <c r="L91" s="50"/>
    </row>
    <row r="92" spans="1:12" x14ac:dyDescent="0.25">
      <c r="A92" s="50"/>
      <c r="B92" s="50"/>
      <c r="C92" s="50"/>
      <c r="D92" s="50"/>
      <c r="E92" s="50"/>
      <c r="F92" s="50"/>
      <c r="G92" s="50"/>
      <c r="H92" s="50"/>
      <c r="I92" s="50"/>
      <c r="J92" s="50"/>
      <c r="K92" s="50"/>
      <c r="L92" s="50"/>
    </row>
    <row r="93" spans="1:12" x14ac:dyDescent="0.25">
      <c r="A93" s="50"/>
      <c r="B93" s="50"/>
      <c r="C93" s="50"/>
      <c r="D93" s="50"/>
      <c r="E93" s="50"/>
      <c r="F93" s="50"/>
      <c r="G93" s="50"/>
      <c r="H93" s="50"/>
      <c r="I93" s="50"/>
      <c r="J93" s="50"/>
      <c r="K93" s="50"/>
      <c r="L93" s="50"/>
    </row>
    <row r="94" spans="1:12" x14ac:dyDescent="0.25">
      <c r="A94" s="50"/>
      <c r="B94" s="50"/>
      <c r="C94" s="50"/>
      <c r="D94" s="50"/>
      <c r="E94" s="50"/>
      <c r="F94" s="50"/>
      <c r="G94" s="50"/>
      <c r="H94" s="50"/>
      <c r="I94" s="50"/>
      <c r="J94" s="50"/>
      <c r="K94" s="50"/>
      <c r="L94" s="50"/>
    </row>
    <row r="95" spans="1:12" x14ac:dyDescent="0.25">
      <c r="A95" s="50"/>
      <c r="B95" s="50"/>
      <c r="C95" s="50"/>
      <c r="D95" s="50"/>
      <c r="E95" s="50"/>
      <c r="F95" s="50"/>
      <c r="G95" s="50"/>
      <c r="H95" s="50"/>
      <c r="I95" s="50"/>
      <c r="J95" s="50"/>
      <c r="K95" s="50"/>
      <c r="L95" s="50"/>
    </row>
    <row r="96" spans="1:12" x14ac:dyDescent="0.25">
      <c r="A96" s="50"/>
      <c r="B96" s="50"/>
      <c r="C96" s="50"/>
      <c r="D96" s="50"/>
      <c r="E96" s="50"/>
      <c r="F96" s="50"/>
      <c r="G96" s="50"/>
      <c r="H96" s="50"/>
      <c r="I96" s="50"/>
      <c r="J96" s="50"/>
      <c r="K96" s="50"/>
      <c r="L96" s="50"/>
    </row>
    <row r="97" spans="1:12" x14ac:dyDescent="0.25">
      <c r="A97" s="50"/>
      <c r="B97" s="50"/>
      <c r="C97" s="50"/>
      <c r="D97" s="50"/>
      <c r="E97" s="50"/>
      <c r="F97" s="50"/>
      <c r="G97" s="50"/>
      <c r="H97" s="50"/>
      <c r="I97" s="50"/>
      <c r="J97" s="50"/>
      <c r="K97" s="50"/>
      <c r="L97" s="50"/>
    </row>
    <row r="98" spans="1:12" x14ac:dyDescent="0.25">
      <c r="A98" s="50"/>
      <c r="B98" s="50"/>
      <c r="C98" s="50"/>
      <c r="D98" s="50"/>
      <c r="E98" s="50"/>
      <c r="F98" s="50"/>
      <c r="G98" s="50"/>
      <c r="H98" s="50"/>
      <c r="I98" s="50"/>
      <c r="J98" s="50"/>
      <c r="K98" s="50"/>
      <c r="L98" s="50"/>
    </row>
    <row r="99" spans="1:12" x14ac:dyDescent="0.25">
      <c r="A99" s="50"/>
      <c r="B99" s="50"/>
      <c r="C99" s="50"/>
      <c r="D99" s="50"/>
      <c r="E99" s="50"/>
      <c r="F99" s="50"/>
      <c r="G99" s="50"/>
      <c r="H99" s="50"/>
      <c r="I99" s="50"/>
      <c r="J99" s="50"/>
      <c r="K99" s="50"/>
      <c r="L99" s="50"/>
    </row>
    <row r="100" spans="1:12" x14ac:dyDescent="0.25">
      <c r="A100" s="50"/>
      <c r="B100" s="50"/>
      <c r="C100" s="50"/>
      <c r="D100" s="50"/>
      <c r="E100" s="50"/>
      <c r="F100" s="50"/>
      <c r="G100" s="50"/>
      <c r="H100" s="50"/>
      <c r="I100" s="50"/>
      <c r="J100" s="50"/>
      <c r="K100" s="50"/>
      <c r="L100" s="50"/>
    </row>
    <row r="101" spans="1:12" x14ac:dyDescent="0.25">
      <c r="A101" s="50"/>
      <c r="B101" s="50"/>
      <c r="C101" s="50"/>
      <c r="D101" s="50"/>
      <c r="E101" s="50"/>
      <c r="F101" s="50"/>
      <c r="G101" s="50"/>
      <c r="H101" s="50"/>
      <c r="I101" s="50"/>
      <c r="J101" s="50"/>
      <c r="K101" s="50"/>
      <c r="L101" s="50"/>
    </row>
    <row r="102" spans="1:12" x14ac:dyDescent="0.25">
      <c r="A102" s="50"/>
      <c r="B102" s="50"/>
      <c r="C102" s="50"/>
      <c r="D102" s="50"/>
      <c r="E102" s="50"/>
      <c r="F102" s="50"/>
      <c r="G102" s="50"/>
      <c r="H102" s="50"/>
      <c r="I102" s="50"/>
      <c r="J102" s="50"/>
      <c r="K102" s="50"/>
      <c r="L102" s="50"/>
    </row>
    <row r="103" spans="1:12" x14ac:dyDescent="0.25">
      <c r="A103" s="50"/>
      <c r="B103" s="50"/>
      <c r="C103" s="50"/>
      <c r="D103" s="50"/>
      <c r="E103" s="50"/>
      <c r="F103" s="50"/>
      <c r="G103" s="50"/>
      <c r="H103" s="50"/>
      <c r="I103" s="50"/>
      <c r="J103" s="50"/>
      <c r="K103" s="50"/>
      <c r="L103" s="50"/>
    </row>
    <row r="104" spans="1:12" x14ac:dyDescent="0.25">
      <c r="A104" s="50"/>
      <c r="B104" s="50"/>
      <c r="C104" s="50"/>
      <c r="D104" s="50"/>
      <c r="E104" s="50"/>
      <c r="F104" s="50"/>
      <c r="G104" s="50"/>
      <c r="H104" s="50"/>
      <c r="I104" s="50"/>
      <c r="J104" s="50"/>
      <c r="K104" s="50"/>
      <c r="L104" s="50"/>
    </row>
    <row r="105" spans="1:12" x14ac:dyDescent="0.25">
      <c r="A105" s="50"/>
      <c r="B105" s="50"/>
      <c r="C105" s="50"/>
      <c r="D105" s="50"/>
      <c r="E105" s="50"/>
      <c r="F105" s="50"/>
      <c r="G105" s="50"/>
      <c r="H105" s="50"/>
      <c r="I105" s="50"/>
      <c r="J105" s="50"/>
      <c r="K105" s="50"/>
      <c r="L105" s="50"/>
    </row>
    <row r="106" spans="1:12" x14ac:dyDescent="0.25">
      <c r="A106" s="50"/>
      <c r="B106" s="50"/>
      <c r="C106" s="50"/>
      <c r="D106" s="50"/>
      <c r="E106" s="50"/>
      <c r="F106" s="50"/>
      <c r="G106" s="50"/>
      <c r="H106" s="50"/>
      <c r="I106" s="50"/>
      <c r="J106" s="50"/>
      <c r="K106" s="50"/>
      <c r="L106" s="50"/>
    </row>
    <row r="107" spans="1:12" x14ac:dyDescent="0.25">
      <c r="A107" s="50"/>
      <c r="B107" s="50"/>
      <c r="C107" s="50"/>
      <c r="D107" s="50"/>
      <c r="E107" s="50"/>
      <c r="F107" s="50"/>
      <c r="G107" s="50"/>
      <c r="H107" s="50"/>
      <c r="I107" s="50"/>
      <c r="J107" s="50"/>
      <c r="K107" s="50"/>
      <c r="L107" s="50"/>
    </row>
    <row r="108" spans="1:12" x14ac:dyDescent="0.25">
      <c r="A108" s="50"/>
      <c r="B108" s="50"/>
      <c r="C108" s="50"/>
      <c r="D108" s="50"/>
      <c r="E108" s="50"/>
      <c r="F108" s="50"/>
      <c r="G108" s="50"/>
      <c r="H108" s="50"/>
      <c r="I108" s="50"/>
      <c r="J108" s="50"/>
      <c r="K108" s="50"/>
      <c r="L108" s="50"/>
    </row>
    <row r="109" spans="1:12" x14ac:dyDescent="0.25">
      <c r="A109" s="50"/>
      <c r="B109" s="50"/>
      <c r="C109" s="50"/>
      <c r="D109" s="50"/>
      <c r="E109" s="50"/>
      <c r="F109" s="50"/>
      <c r="G109" s="50"/>
      <c r="H109" s="50"/>
      <c r="I109" s="50"/>
      <c r="J109" s="50"/>
      <c r="K109" s="50"/>
      <c r="L109" s="50"/>
    </row>
    <row r="110" spans="1:12" x14ac:dyDescent="0.25">
      <c r="A110" s="50"/>
      <c r="B110" s="50"/>
      <c r="C110" s="50"/>
      <c r="D110" s="50"/>
      <c r="E110" s="50"/>
      <c r="F110" s="50"/>
      <c r="G110" s="50"/>
      <c r="H110" s="50"/>
      <c r="I110" s="50"/>
      <c r="J110" s="50"/>
      <c r="K110" s="50"/>
      <c r="L110" s="50"/>
    </row>
    <row r="111" spans="1:12" x14ac:dyDescent="0.25">
      <c r="A111" s="50"/>
      <c r="B111" s="50"/>
      <c r="C111" s="50"/>
      <c r="D111" s="50"/>
      <c r="E111" s="50"/>
      <c r="F111" s="50"/>
      <c r="G111" s="50"/>
      <c r="H111" s="50"/>
      <c r="I111" s="50"/>
      <c r="J111" s="50"/>
      <c r="K111" s="50"/>
      <c r="L111" s="50"/>
    </row>
    <row r="112" spans="1:12" x14ac:dyDescent="0.25">
      <c r="A112" s="50"/>
      <c r="B112" s="50"/>
      <c r="C112" s="50"/>
      <c r="D112" s="50"/>
      <c r="E112" s="50"/>
      <c r="F112" s="50"/>
      <c r="G112" s="50"/>
      <c r="H112" s="50"/>
      <c r="I112" s="50"/>
      <c r="J112" s="50"/>
      <c r="K112" s="50"/>
      <c r="L112" s="50"/>
    </row>
    <row r="113" spans="1:12" x14ac:dyDescent="0.25">
      <c r="A113" s="50"/>
      <c r="B113" s="50"/>
      <c r="C113" s="50"/>
      <c r="D113" s="50"/>
      <c r="E113" s="50"/>
      <c r="F113" s="50"/>
      <c r="G113" s="50"/>
      <c r="H113" s="50"/>
      <c r="I113" s="50"/>
      <c r="J113" s="50"/>
      <c r="K113" s="50"/>
      <c r="L113" s="50"/>
    </row>
    <row r="114" spans="1:12" x14ac:dyDescent="0.25">
      <c r="A114" s="50"/>
      <c r="B114" s="50"/>
      <c r="C114" s="50"/>
      <c r="D114" s="50"/>
      <c r="E114" s="50"/>
      <c r="F114" s="50"/>
      <c r="G114" s="50"/>
      <c r="H114" s="50"/>
      <c r="I114" s="50"/>
      <c r="J114" s="50"/>
      <c r="K114" s="50"/>
      <c r="L114" s="50"/>
    </row>
    <row r="115" spans="1:12" x14ac:dyDescent="0.25">
      <c r="A115" s="50"/>
      <c r="B115" s="50"/>
      <c r="C115" s="50"/>
      <c r="D115" s="50"/>
      <c r="E115" s="50"/>
      <c r="F115" s="50"/>
      <c r="G115" s="50"/>
      <c r="H115" s="50"/>
      <c r="I115" s="50"/>
      <c r="J115" s="50"/>
      <c r="K115" s="50"/>
      <c r="L115" s="50"/>
    </row>
    <row r="116" spans="1:12" x14ac:dyDescent="0.25">
      <c r="A116" s="50"/>
      <c r="B116" s="50"/>
      <c r="C116" s="50"/>
      <c r="D116" s="50"/>
      <c r="E116" s="50"/>
      <c r="F116" s="50"/>
      <c r="G116" s="50"/>
      <c r="H116" s="50"/>
      <c r="I116" s="50"/>
      <c r="J116" s="50"/>
      <c r="K116" s="50"/>
      <c r="L116" s="50"/>
    </row>
    <row r="117" spans="1:12" x14ac:dyDescent="0.25">
      <c r="A117" s="50"/>
      <c r="B117" s="50"/>
      <c r="C117" s="50"/>
      <c r="D117" s="50"/>
      <c r="E117" s="50"/>
      <c r="F117" s="50"/>
      <c r="G117" s="50"/>
      <c r="H117" s="50"/>
      <c r="I117" s="50"/>
      <c r="J117" s="50"/>
      <c r="K117" s="50"/>
      <c r="L117" s="50"/>
    </row>
    <row r="118" spans="1:12" x14ac:dyDescent="0.25">
      <c r="A118" s="50"/>
      <c r="B118" s="50"/>
      <c r="C118" s="50"/>
      <c r="D118" s="50"/>
      <c r="E118" s="50"/>
      <c r="F118" s="50"/>
      <c r="G118" s="50"/>
      <c r="H118" s="50"/>
      <c r="I118" s="50"/>
      <c r="J118" s="50"/>
      <c r="K118" s="50"/>
      <c r="L118" s="50"/>
    </row>
    <row r="119" spans="1:12" x14ac:dyDescent="0.25">
      <c r="A119" s="50"/>
      <c r="B119" s="50"/>
      <c r="C119" s="50"/>
      <c r="D119" s="50"/>
      <c r="E119" s="50"/>
      <c r="F119" s="50"/>
      <c r="G119" s="50"/>
      <c r="H119" s="50"/>
      <c r="I119" s="50"/>
      <c r="J119" s="50"/>
      <c r="K119" s="50"/>
      <c r="L119" s="50"/>
    </row>
    <row r="120" spans="1:12" x14ac:dyDescent="0.25">
      <c r="A120" s="50"/>
      <c r="B120" s="50"/>
      <c r="C120" s="50"/>
      <c r="D120" s="50"/>
      <c r="E120" s="50"/>
      <c r="F120" s="50"/>
      <c r="G120" s="50"/>
      <c r="H120" s="50"/>
      <c r="I120" s="50"/>
      <c r="J120" s="50"/>
      <c r="K120" s="50"/>
      <c r="L120" s="50"/>
    </row>
    <row r="121" spans="1:12" x14ac:dyDescent="0.25">
      <c r="A121" s="50"/>
      <c r="B121" s="50"/>
      <c r="C121" s="50"/>
      <c r="D121" s="50"/>
      <c r="E121" s="50"/>
      <c r="F121" s="50"/>
      <c r="G121" s="50"/>
      <c r="H121" s="50"/>
      <c r="I121" s="50"/>
      <c r="J121" s="50"/>
      <c r="K121" s="50"/>
      <c r="L121" s="50"/>
    </row>
    <row r="122" spans="1:12" x14ac:dyDescent="0.25">
      <c r="A122" s="50"/>
      <c r="B122" s="50"/>
      <c r="C122" s="50"/>
      <c r="D122" s="50"/>
      <c r="E122" s="50"/>
      <c r="F122" s="50"/>
      <c r="G122" s="50"/>
      <c r="H122" s="50"/>
      <c r="I122" s="50"/>
      <c r="J122" s="50"/>
      <c r="K122" s="50"/>
      <c r="L122" s="50"/>
    </row>
    <row r="123" spans="1:12" x14ac:dyDescent="0.25">
      <c r="A123" s="50"/>
      <c r="B123" s="50"/>
      <c r="C123" s="50"/>
      <c r="D123" s="50"/>
      <c r="E123" s="50"/>
      <c r="F123" s="50"/>
      <c r="G123" s="50"/>
      <c r="H123" s="50"/>
      <c r="I123" s="50"/>
      <c r="J123" s="50"/>
      <c r="K123" s="50"/>
      <c r="L123" s="50"/>
    </row>
    <row r="124" spans="1:12" x14ac:dyDescent="0.25">
      <c r="A124" s="50"/>
      <c r="B124" s="50"/>
      <c r="C124" s="50"/>
      <c r="D124" s="50"/>
      <c r="E124" s="50"/>
      <c r="F124" s="50"/>
      <c r="G124" s="50"/>
      <c r="H124" s="50"/>
      <c r="I124" s="50"/>
      <c r="J124" s="50"/>
      <c r="K124" s="50"/>
      <c r="L124" s="50"/>
    </row>
    <row r="125" spans="1:12" x14ac:dyDescent="0.25">
      <c r="A125" s="50"/>
      <c r="B125" s="50"/>
      <c r="C125" s="50"/>
      <c r="D125" s="50"/>
      <c r="E125" s="50"/>
      <c r="F125" s="50"/>
      <c r="G125" s="50"/>
      <c r="H125" s="50"/>
      <c r="I125" s="50"/>
      <c r="J125" s="50"/>
      <c r="K125" s="50"/>
      <c r="L125" s="50"/>
    </row>
    <row r="126" spans="1:12" x14ac:dyDescent="0.25">
      <c r="A126" s="50"/>
      <c r="B126" s="50"/>
      <c r="C126" s="50"/>
      <c r="D126" s="50"/>
      <c r="E126" s="50"/>
      <c r="F126" s="50"/>
      <c r="G126" s="50"/>
      <c r="H126" s="50"/>
      <c r="I126" s="50"/>
      <c r="J126" s="50"/>
      <c r="K126" s="50"/>
      <c r="L126" s="50"/>
    </row>
    <row r="127" spans="1:12" x14ac:dyDescent="0.25">
      <c r="A127" s="50"/>
      <c r="B127" s="50"/>
      <c r="C127" s="50"/>
      <c r="D127" s="50"/>
      <c r="E127" s="50"/>
      <c r="F127" s="50"/>
      <c r="G127" s="50"/>
      <c r="H127" s="50"/>
      <c r="I127" s="50"/>
      <c r="J127" s="50"/>
      <c r="K127" s="50"/>
      <c r="L127" s="50"/>
    </row>
    <row r="128" spans="1:12" x14ac:dyDescent="0.25">
      <c r="A128" s="50"/>
      <c r="B128" s="50"/>
      <c r="C128" s="50"/>
      <c r="D128" s="50"/>
      <c r="E128" s="50"/>
      <c r="F128" s="50"/>
      <c r="G128" s="50"/>
      <c r="H128" s="50"/>
      <c r="I128" s="50"/>
      <c r="J128" s="50"/>
      <c r="K128" s="50"/>
      <c r="L128" s="50"/>
    </row>
    <row r="129" spans="1:12" x14ac:dyDescent="0.25">
      <c r="A129" s="50"/>
      <c r="B129" s="50"/>
      <c r="C129" s="50"/>
      <c r="D129" s="50"/>
      <c r="E129" s="50"/>
      <c r="F129" s="50"/>
      <c r="G129" s="50"/>
      <c r="H129" s="50"/>
      <c r="I129" s="50"/>
      <c r="J129" s="50"/>
      <c r="K129" s="50"/>
      <c r="L129" s="50"/>
    </row>
    <row r="130" spans="1:12" x14ac:dyDescent="0.25">
      <c r="A130" s="50"/>
      <c r="B130" s="50"/>
      <c r="C130" s="50"/>
      <c r="D130" s="50"/>
      <c r="E130" s="50"/>
      <c r="F130" s="50"/>
      <c r="G130" s="50"/>
      <c r="H130" s="50"/>
      <c r="I130" s="50"/>
      <c r="J130" s="50"/>
      <c r="K130" s="50"/>
      <c r="L130" s="50"/>
    </row>
    <row r="131" spans="1:12" x14ac:dyDescent="0.25">
      <c r="A131" s="50"/>
      <c r="B131" s="50"/>
      <c r="C131" s="50"/>
      <c r="D131" s="50"/>
      <c r="E131" s="50"/>
      <c r="F131" s="50"/>
      <c r="G131" s="50"/>
      <c r="H131" s="50"/>
      <c r="I131" s="50"/>
      <c r="J131" s="50"/>
      <c r="K131" s="50"/>
      <c r="L131" s="50"/>
    </row>
    <row r="132" spans="1:12" x14ac:dyDescent="0.25">
      <c r="A132" s="50"/>
      <c r="B132" s="50"/>
      <c r="C132" s="50"/>
      <c r="D132" s="50"/>
      <c r="E132" s="50"/>
      <c r="F132" s="50"/>
      <c r="G132" s="50"/>
      <c r="H132" s="50"/>
      <c r="I132" s="50"/>
      <c r="J132" s="50"/>
      <c r="K132" s="50"/>
      <c r="L132" s="50"/>
    </row>
    <row r="133" spans="1:12" x14ac:dyDescent="0.25">
      <c r="A133" s="50"/>
      <c r="B133" s="50"/>
      <c r="C133" s="50"/>
      <c r="D133" s="50"/>
      <c r="E133" s="50"/>
      <c r="F133" s="50"/>
      <c r="G133" s="50"/>
      <c r="H133" s="50"/>
      <c r="I133" s="50"/>
      <c r="J133" s="50"/>
      <c r="K133" s="50"/>
      <c r="L133" s="50"/>
    </row>
    <row r="134" spans="1:12" x14ac:dyDescent="0.25">
      <c r="A134" s="50"/>
      <c r="B134" s="50"/>
      <c r="C134" s="50"/>
      <c r="D134" s="50"/>
      <c r="E134" s="50"/>
      <c r="F134" s="50"/>
      <c r="G134" s="50"/>
      <c r="H134" s="50"/>
      <c r="I134" s="50"/>
      <c r="J134" s="50"/>
      <c r="K134" s="50"/>
      <c r="L134" s="50"/>
    </row>
    <row r="135" spans="1:12" x14ac:dyDescent="0.25">
      <c r="A135" s="50"/>
      <c r="B135" s="50"/>
      <c r="C135" s="50"/>
      <c r="D135" s="50"/>
      <c r="E135" s="50"/>
      <c r="F135" s="50"/>
      <c r="G135" s="50"/>
      <c r="H135" s="50"/>
      <c r="I135" s="50"/>
      <c r="J135" s="50"/>
      <c r="K135" s="50"/>
      <c r="L135" s="50"/>
    </row>
    <row r="136" spans="1:12" x14ac:dyDescent="0.25">
      <c r="A136" s="50"/>
      <c r="B136" s="50"/>
      <c r="C136" s="50"/>
      <c r="D136" s="50"/>
      <c r="E136" s="50"/>
      <c r="F136" s="50"/>
      <c r="G136" s="50"/>
      <c r="H136" s="50"/>
      <c r="I136" s="50"/>
      <c r="J136" s="50"/>
      <c r="K136" s="50"/>
      <c r="L136" s="50"/>
    </row>
    <row r="137" spans="1:12" x14ac:dyDescent="0.25">
      <c r="A137" s="50"/>
      <c r="B137" s="50"/>
      <c r="C137" s="50"/>
      <c r="D137" s="50"/>
      <c r="E137" s="50"/>
      <c r="F137" s="50"/>
      <c r="G137" s="50"/>
      <c r="H137" s="50"/>
      <c r="I137" s="50"/>
      <c r="J137" s="50"/>
      <c r="K137" s="50"/>
      <c r="L137" s="50"/>
    </row>
    <row r="138" spans="1:12" x14ac:dyDescent="0.25">
      <c r="A138" s="50"/>
      <c r="B138" s="50"/>
      <c r="C138" s="50"/>
      <c r="D138" s="50"/>
      <c r="E138" s="50"/>
      <c r="F138" s="50"/>
      <c r="G138" s="50"/>
      <c r="H138" s="50"/>
      <c r="I138" s="50"/>
      <c r="J138" s="50"/>
      <c r="K138" s="50"/>
      <c r="L138" s="50"/>
    </row>
    <row r="139" spans="1:12" x14ac:dyDescent="0.25">
      <c r="A139" s="50"/>
      <c r="B139" s="50"/>
      <c r="C139" s="50"/>
      <c r="D139" s="50"/>
      <c r="E139" s="50"/>
      <c r="F139" s="50"/>
      <c r="G139" s="50"/>
      <c r="H139" s="50"/>
      <c r="I139" s="50"/>
      <c r="J139" s="50"/>
      <c r="K139" s="50"/>
      <c r="L139" s="50"/>
    </row>
    <row r="140" spans="1:12" x14ac:dyDescent="0.25">
      <c r="A140" s="50"/>
      <c r="B140" s="50"/>
      <c r="C140" s="50"/>
      <c r="D140" s="50"/>
      <c r="E140" s="50"/>
      <c r="F140" s="50"/>
      <c r="G140" s="50"/>
      <c r="H140" s="50"/>
      <c r="I140" s="50"/>
      <c r="J140" s="50"/>
      <c r="K140" s="50"/>
      <c r="L140" s="50"/>
    </row>
    <row r="141" spans="1:12" x14ac:dyDescent="0.25">
      <c r="A141" s="50"/>
      <c r="B141" s="50"/>
      <c r="C141" s="50"/>
      <c r="D141" s="50"/>
      <c r="E141" s="50"/>
      <c r="F141" s="50"/>
      <c r="G141" s="50"/>
      <c r="H141" s="50"/>
      <c r="I141" s="50"/>
      <c r="J141" s="50"/>
      <c r="K141" s="50"/>
      <c r="L141" s="50"/>
    </row>
    <row r="142" spans="1:12" x14ac:dyDescent="0.25">
      <c r="A142" s="50"/>
      <c r="B142" s="50"/>
      <c r="C142" s="50"/>
      <c r="D142" s="50"/>
      <c r="E142" s="50"/>
      <c r="F142" s="50"/>
      <c r="G142" s="50"/>
      <c r="H142" s="50"/>
      <c r="I142" s="50"/>
      <c r="J142" s="50"/>
      <c r="K142" s="50"/>
      <c r="L142" s="50"/>
    </row>
    <row r="143" spans="1:12" x14ac:dyDescent="0.25">
      <c r="A143" s="50"/>
      <c r="B143" s="50"/>
      <c r="C143" s="50"/>
      <c r="D143" s="50"/>
      <c r="E143" s="50"/>
      <c r="F143" s="50"/>
      <c r="G143" s="50"/>
      <c r="H143" s="50"/>
      <c r="I143" s="50"/>
      <c r="J143" s="50"/>
      <c r="K143" s="50"/>
      <c r="L143" s="50"/>
    </row>
    <row r="144" spans="1:12" x14ac:dyDescent="0.25">
      <c r="A144" s="50"/>
      <c r="B144" s="50"/>
      <c r="C144" s="50"/>
      <c r="D144" s="50"/>
      <c r="E144" s="50"/>
      <c r="F144" s="50"/>
      <c r="G144" s="50"/>
      <c r="H144" s="50"/>
      <c r="I144" s="50"/>
      <c r="J144" s="50"/>
      <c r="K144" s="50"/>
      <c r="L144" s="50"/>
    </row>
    <row r="145" spans="1:12" x14ac:dyDescent="0.25">
      <c r="A145" s="50"/>
      <c r="B145" s="50"/>
      <c r="C145" s="50"/>
      <c r="D145" s="50"/>
      <c r="E145" s="50"/>
      <c r="F145" s="50"/>
      <c r="G145" s="50"/>
      <c r="H145" s="50"/>
      <c r="I145" s="50"/>
      <c r="J145" s="50"/>
      <c r="K145" s="50"/>
      <c r="L145" s="50"/>
    </row>
    <row r="146" spans="1:12" x14ac:dyDescent="0.25">
      <c r="A146" s="50"/>
      <c r="B146" s="50"/>
      <c r="C146" s="50"/>
      <c r="D146" s="50"/>
      <c r="E146" s="50"/>
      <c r="F146" s="50"/>
      <c r="G146" s="50"/>
      <c r="H146" s="50"/>
      <c r="I146" s="50"/>
      <c r="J146" s="50"/>
      <c r="K146" s="50"/>
      <c r="L146" s="50"/>
    </row>
  </sheetData>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K146"/>
  <sheetViews>
    <sheetView zoomScale="74" zoomScaleNormal="74" workbookViewId="0">
      <pane ySplit="6" topLeftCell="A7" activePane="bottomLeft" state="frozen"/>
      <selection activeCell="A9" sqref="A9"/>
      <selection pane="bottomLeft" activeCell="A9" sqref="A9"/>
    </sheetView>
  </sheetViews>
  <sheetFormatPr defaultColWidth="9.140625" defaultRowHeight="15" x14ac:dyDescent="0.25"/>
  <cols>
    <col min="1" max="1" width="20.28515625" style="12" bestFit="1" customWidth="1"/>
    <col min="2" max="2" width="10.140625" style="12" bestFit="1" customWidth="1"/>
    <col min="3" max="5" width="9.28515625" style="12" bestFit="1" customWidth="1"/>
    <col min="6" max="12" width="8.5703125" style="12" customWidth="1"/>
    <col min="13" max="29" width="8.5703125" style="50" customWidth="1"/>
    <col min="30" max="38" width="5.7109375" style="50" customWidth="1"/>
    <col min="39" max="16384" width="9.140625" style="50"/>
  </cols>
  <sheetData>
    <row r="1" spans="1:37" x14ac:dyDescent="0.25">
      <c r="A1" s="38" t="s">
        <v>28</v>
      </c>
      <c r="B1" s="39" t="s">
        <v>76</v>
      </c>
    </row>
    <row r="2" spans="1:37" s="2" customFormat="1" x14ac:dyDescent="0.25">
      <c r="A2" s="65" t="s">
        <v>47</v>
      </c>
      <c r="B2" s="84"/>
    </row>
    <row r="3" spans="1:37" s="2" customFormat="1" x14ac:dyDescent="0.25"/>
    <row r="4" spans="1:37" s="2" customFormat="1" ht="30" x14ac:dyDescent="0.25">
      <c r="A4" s="33" t="s">
        <v>100</v>
      </c>
      <c r="B4" s="36" t="s">
        <v>99</v>
      </c>
      <c r="C4" s="34"/>
      <c r="D4" s="35"/>
      <c r="E4"/>
      <c r="F4"/>
      <c r="G4"/>
      <c r="H4"/>
      <c r="I4"/>
      <c r="J4"/>
      <c r="K4"/>
      <c r="L4"/>
      <c r="M4"/>
      <c r="N4"/>
      <c r="O4"/>
      <c r="P4"/>
      <c r="Q4"/>
      <c r="R4"/>
      <c r="S4"/>
      <c r="T4"/>
      <c r="U4"/>
      <c r="V4"/>
      <c r="W4"/>
      <c r="X4"/>
      <c r="Y4"/>
      <c r="Z4"/>
      <c r="AA4"/>
    </row>
    <row r="5" spans="1:37" s="83" customFormat="1" x14ac:dyDescent="0.25">
      <c r="A5" s="33" t="s">
        <v>5</v>
      </c>
      <c r="B5" s="23" t="s">
        <v>46</v>
      </c>
      <c r="C5" s="57" t="s">
        <v>42</v>
      </c>
      <c r="D5" s="58" t="s">
        <v>29</v>
      </c>
      <c r="E5"/>
      <c r="F5"/>
      <c r="G5"/>
      <c r="H5"/>
      <c r="I5"/>
      <c r="J5"/>
      <c r="K5"/>
      <c r="L5"/>
      <c r="M5"/>
      <c r="N5"/>
      <c r="O5"/>
      <c r="P5"/>
      <c r="Q5"/>
      <c r="R5"/>
      <c r="S5"/>
      <c r="T5"/>
      <c r="U5"/>
      <c r="V5"/>
      <c r="W5"/>
      <c r="X5"/>
      <c r="Y5"/>
      <c r="Z5"/>
      <c r="AA5"/>
      <c r="AB5" s="2"/>
      <c r="AC5" s="2"/>
      <c r="AD5" s="2"/>
      <c r="AE5" s="2"/>
      <c r="AF5" s="2"/>
      <c r="AG5" s="2"/>
      <c r="AH5" s="2"/>
      <c r="AI5" s="2"/>
      <c r="AJ5" s="2"/>
      <c r="AK5" s="2"/>
    </row>
    <row r="6" spans="1:37" s="2" customFormat="1" x14ac:dyDescent="0.25">
      <c r="A6" s="23">
        <v>45</v>
      </c>
      <c r="B6" s="76">
        <v>0.5</v>
      </c>
      <c r="C6" s="25">
        <v>0.5</v>
      </c>
      <c r="D6" s="80">
        <v>0</v>
      </c>
      <c r="E6"/>
      <c r="F6"/>
      <c r="G6"/>
      <c r="H6"/>
      <c r="I6"/>
      <c r="J6"/>
      <c r="K6"/>
      <c r="L6"/>
      <c r="M6"/>
      <c r="N6"/>
      <c r="O6"/>
      <c r="P6"/>
      <c r="Q6"/>
      <c r="R6"/>
      <c r="S6"/>
      <c r="T6"/>
      <c r="U6"/>
      <c r="V6"/>
      <c r="W6"/>
      <c r="X6"/>
      <c r="Y6"/>
      <c r="Z6"/>
      <c r="AA6"/>
    </row>
    <row r="7" spans="1:37" x14ac:dyDescent="0.25">
      <c r="A7" s="37">
        <v>135</v>
      </c>
      <c r="B7" s="77">
        <v>0.66666666666666663</v>
      </c>
      <c r="C7" s="26">
        <v>0.33333333333333331</v>
      </c>
      <c r="D7" s="81">
        <v>0</v>
      </c>
      <c r="E7"/>
      <c r="F7"/>
      <c r="G7"/>
      <c r="H7"/>
      <c r="I7"/>
      <c r="J7"/>
      <c r="K7"/>
      <c r="L7"/>
      <c r="M7"/>
      <c r="N7"/>
      <c r="O7"/>
      <c r="P7"/>
      <c r="Q7"/>
      <c r="R7"/>
      <c r="S7"/>
      <c r="T7"/>
      <c r="U7"/>
      <c r="V7"/>
      <c r="W7"/>
      <c r="X7"/>
      <c r="Y7"/>
      <c r="Z7"/>
      <c r="AA7"/>
    </row>
    <row r="8" spans="1:37" x14ac:dyDescent="0.25">
      <c r="A8" s="37">
        <v>234</v>
      </c>
      <c r="B8" s="77">
        <v>0.1111111111111111</v>
      </c>
      <c r="C8" s="26">
        <v>0.88888888888888884</v>
      </c>
      <c r="D8" s="81">
        <v>0</v>
      </c>
      <c r="E8"/>
      <c r="F8"/>
      <c r="G8"/>
      <c r="H8"/>
      <c r="I8"/>
      <c r="J8"/>
      <c r="K8"/>
      <c r="L8"/>
      <c r="M8"/>
      <c r="N8"/>
      <c r="O8"/>
      <c r="P8"/>
      <c r="Q8"/>
      <c r="R8"/>
      <c r="S8"/>
      <c r="T8"/>
      <c r="U8"/>
      <c r="V8"/>
      <c r="W8"/>
      <c r="X8"/>
      <c r="Y8"/>
      <c r="Z8"/>
      <c r="AA8"/>
    </row>
    <row r="9" spans="1:37" x14ac:dyDescent="0.25">
      <c r="A9" s="37">
        <v>292</v>
      </c>
      <c r="B9" s="77">
        <v>0.6470588235294118</v>
      </c>
      <c r="C9" s="26">
        <v>0.35294117647058826</v>
      </c>
      <c r="D9" s="81">
        <v>0</v>
      </c>
      <c r="E9"/>
      <c r="F9"/>
      <c r="G9"/>
      <c r="H9"/>
      <c r="I9"/>
      <c r="J9"/>
      <c r="K9"/>
      <c r="L9"/>
      <c r="M9"/>
      <c r="N9"/>
      <c r="O9"/>
      <c r="P9"/>
      <c r="Q9"/>
      <c r="R9"/>
      <c r="S9"/>
      <c r="T9"/>
      <c r="U9"/>
      <c r="V9"/>
      <c r="W9"/>
      <c r="X9"/>
      <c r="Y9"/>
      <c r="Z9"/>
      <c r="AA9"/>
    </row>
    <row r="10" spans="1:37" x14ac:dyDescent="0.25">
      <c r="A10" s="37">
        <v>359</v>
      </c>
      <c r="B10" s="77">
        <v>0.2</v>
      </c>
      <c r="C10" s="26">
        <v>0.8</v>
      </c>
      <c r="D10" s="81">
        <v>0</v>
      </c>
      <c r="E10"/>
      <c r="F10"/>
      <c r="G10"/>
      <c r="H10"/>
      <c r="I10"/>
      <c r="J10"/>
      <c r="K10"/>
      <c r="L10"/>
      <c r="M10"/>
      <c r="N10"/>
      <c r="O10"/>
      <c r="P10"/>
      <c r="Q10"/>
      <c r="R10"/>
      <c r="S10"/>
      <c r="T10"/>
      <c r="U10"/>
      <c r="V10"/>
      <c r="W10"/>
      <c r="X10"/>
      <c r="Y10"/>
      <c r="Z10"/>
      <c r="AA10"/>
    </row>
    <row r="11" spans="1:37" x14ac:dyDescent="0.25">
      <c r="A11" s="37">
        <v>461</v>
      </c>
      <c r="B11" s="77">
        <v>0.3</v>
      </c>
      <c r="C11" s="26">
        <v>0.7</v>
      </c>
      <c r="D11" s="81">
        <v>0</v>
      </c>
      <c r="E11"/>
      <c r="F11"/>
      <c r="G11"/>
      <c r="H11"/>
      <c r="I11"/>
      <c r="J11"/>
      <c r="K11"/>
      <c r="L11"/>
      <c r="M11"/>
      <c r="N11"/>
      <c r="O11"/>
      <c r="P11"/>
      <c r="Q11"/>
      <c r="R11"/>
      <c r="S11"/>
      <c r="T11"/>
      <c r="U11"/>
      <c r="V11"/>
      <c r="W11"/>
      <c r="X11"/>
      <c r="Y11"/>
      <c r="Z11"/>
      <c r="AA11"/>
    </row>
    <row r="12" spans="1:37" x14ac:dyDescent="0.25">
      <c r="A12" s="37">
        <v>829</v>
      </c>
      <c r="B12" s="77">
        <v>0.61538461538461542</v>
      </c>
      <c r="C12" s="26">
        <v>0.38461538461538464</v>
      </c>
      <c r="D12" s="81">
        <v>0</v>
      </c>
      <c r="E12"/>
      <c r="F12"/>
      <c r="G12"/>
      <c r="H12"/>
      <c r="I12"/>
      <c r="J12"/>
      <c r="K12"/>
      <c r="L12"/>
      <c r="M12"/>
      <c r="N12"/>
      <c r="O12"/>
      <c r="P12"/>
      <c r="Q12"/>
      <c r="R12"/>
      <c r="S12"/>
      <c r="T12"/>
      <c r="U12"/>
      <c r="V12"/>
      <c r="W12"/>
      <c r="X12"/>
      <c r="Y12"/>
      <c r="Z12"/>
      <c r="AA12"/>
    </row>
    <row r="13" spans="1:37" x14ac:dyDescent="0.25">
      <c r="A13" s="37">
        <v>868</v>
      </c>
      <c r="B13" s="77">
        <v>0.2857142857142857</v>
      </c>
      <c r="C13" s="26">
        <v>0.7142857142857143</v>
      </c>
      <c r="D13" s="81">
        <v>0</v>
      </c>
      <c r="E13"/>
      <c r="F13"/>
      <c r="G13"/>
      <c r="H13"/>
      <c r="I13"/>
      <c r="J13"/>
      <c r="K13"/>
      <c r="L13"/>
      <c r="M13"/>
      <c r="N13"/>
      <c r="O13"/>
      <c r="P13"/>
      <c r="Q13"/>
      <c r="R13"/>
      <c r="S13"/>
      <c r="T13"/>
      <c r="U13"/>
      <c r="V13"/>
      <c r="W13"/>
      <c r="X13"/>
      <c r="Y13"/>
      <c r="Z13"/>
      <c r="AA13"/>
    </row>
    <row r="14" spans="1:37" x14ac:dyDescent="0.25">
      <c r="A14" s="37">
        <v>1024</v>
      </c>
      <c r="B14" s="77">
        <v>0.45454545454545453</v>
      </c>
      <c r="C14" s="26">
        <v>0.54545454545454541</v>
      </c>
      <c r="D14" s="81">
        <v>0</v>
      </c>
      <c r="E14"/>
      <c r="F14"/>
      <c r="G14"/>
      <c r="H14"/>
      <c r="I14"/>
      <c r="J14"/>
      <c r="K14"/>
      <c r="L14"/>
      <c r="M14"/>
      <c r="N14"/>
      <c r="O14"/>
      <c r="P14"/>
      <c r="Q14"/>
      <c r="R14"/>
      <c r="S14"/>
      <c r="T14"/>
      <c r="U14"/>
      <c r="V14"/>
      <c r="W14"/>
      <c r="X14"/>
      <c r="Y14"/>
      <c r="Z14"/>
      <c r="AA14"/>
    </row>
    <row r="15" spans="1:37" x14ac:dyDescent="0.25">
      <c r="A15" s="37">
        <v>1501</v>
      </c>
      <c r="B15" s="77">
        <v>0.5714285714285714</v>
      </c>
      <c r="C15" s="26">
        <v>0.42857142857142855</v>
      </c>
      <c r="D15" s="81">
        <v>0</v>
      </c>
      <c r="E15"/>
      <c r="F15"/>
      <c r="G15"/>
      <c r="H15"/>
      <c r="I15"/>
      <c r="J15"/>
      <c r="K15"/>
      <c r="L15"/>
      <c r="M15"/>
      <c r="N15"/>
      <c r="O15"/>
      <c r="P15"/>
      <c r="Q15"/>
      <c r="R15"/>
      <c r="S15"/>
      <c r="T15"/>
      <c r="U15"/>
      <c r="V15"/>
      <c r="W15"/>
      <c r="X15"/>
      <c r="Y15"/>
      <c r="Z15"/>
      <c r="AA15"/>
    </row>
    <row r="16" spans="1:37" x14ac:dyDescent="0.25">
      <c r="A16" s="37">
        <v>1646</v>
      </c>
      <c r="B16" s="77">
        <v>0.75</v>
      </c>
      <c r="C16" s="26">
        <v>0.25</v>
      </c>
      <c r="D16" s="81">
        <v>0</v>
      </c>
      <c r="E16"/>
      <c r="F16"/>
      <c r="G16"/>
      <c r="H16"/>
      <c r="I16"/>
      <c r="J16"/>
      <c r="K16"/>
      <c r="L16"/>
      <c r="M16"/>
      <c r="N16"/>
      <c r="O16"/>
      <c r="P16"/>
      <c r="Q16"/>
      <c r="R16"/>
      <c r="S16"/>
      <c r="T16"/>
      <c r="U16"/>
      <c r="V16"/>
      <c r="W16"/>
      <c r="X16"/>
      <c r="Y16"/>
      <c r="Z16"/>
      <c r="AA16"/>
    </row>
    <row r="17" spans="1:27" x14ac:dyDescent="0.25">
      <c r="A17" s="37">
        <v>1732</v>
      </c>
      <c r="B17" s="77">
        <v>0.53333333333333333</v>
      </c>
      <c r="C17" s="26">
        <v>0.46666666666666667</v>
      </c>
      <c r="D17" s="81">
        <v>0</v>
      </c>
      <c r="E17"/>
      <c r="F17"/>
      <c r="G17"/>
      <c r="H17"/>
      <c r="I17"/>
      <c r="J17"/>
      <c r="K17"/>
      <c r="L17"/>
      <c r="M17"/>
      <c r="N17"/>
      <c r="O17"/>
      <c r="P17"/>
      <c r="Q17"/>
      <c r="R17"/>
      <c r="S17"/>
      <c r="T17"/>
      <c r="U17"/>
      <c r="V17"/>
      <c r="W17"/>
      <c r="X17"/>
      <c r="Y17"/>
      <c r="Z17"/>
      <c r="AA17"/>
    </row>
    <row r="18" spans="1:27" x14ac:dyDescent="0.25">
      <c r="A18" s="37">
        <v>1736</v>
      </c>
      <c r="B18" s="77">
        <v>0.45833333333333331</v>
      </c>
      <c r="C18" s="26">
        <v>0.54166666666666663</v>
      </c>
      <c r="D18" s="81">
        <v>0</v>
      </c>
      <c r="E18"/>
      <c r="F18"/>
      <c r="G18"/>
      <c r="H18"/>
      <c r="I18"/>
      <c r="J18"/>
      <c r="K18"/>
      <c r="L18"/>
      <c r="M18"/>
      <c r="N18"/>
      <c r="O18"/>
      <c r="P18"/>
      <c r="Q18"/>
      <c r="R18"/>
      <c r="S18"/>
      <c r="T18"/>
      <c r="U18"/>
      <c r="V18"/>
      <c r="W18"/>
      <c r="X18"/>
      <c r="Y18"/>
      <c r="Z18"/>
      <c r="AA18"/>
    </row>
    <row r="19" spans="1:27" x14ac:dyDescent="0.25">
      <c r="A19" s="37">
        <v>1741</v>
      </c>
      <c r="B19" s="77">
        <v>0.2857142857142857</v>
      </c>
      <c r="C19" s="26">
        <v>0.7142857142857143</v>
      </c>
      <c r="D19" s="81">
        <v>0</v>
      </c>
      <c r="E19"/>
      <c r="F19"/>
      <c r="G19"/>
      <c r="H19"/>
      <c r="I19"/>
      <c r="J19"/>
      <c r="K19"/>
      <c r="L19"/>
      <c r="M19"/>
      <c r="N19"/>
      <c r="O19"/>
      <c r="P19"/>
      <c r="Q19"/>
      <c r="R19"/>
      <c r="S19"/>
      <c r="T19"/>
      <c r="U19"/>
      <c r="V19"/>
      <c r="W19"/>
      <c r="X19"/>
      <c r="Y19"/>
      <c r="Z19"/>
      <c r="AA19"/>
    </row>
    <row r="20" spans="1:27" x14ac:dyDescent="0.25">
      <c r="A20" s="37">
        <v>1747</v>
      </c>
      <c r="B20" s="77">
        <v>0.9</v>
      </c>
      <c r="C20" s="26">
        <v>0.1</v>
      </c>
      <c r="D20" s="81">
        <v>0</v>
      </c>
      <c r="E20"/>
      <c r="F20"/>
      <c r="G20"/>
      <c r="H20"/>
      <c r="I20"/>
      <c r="J20"/>
      <c r="K20"/>
      <c r="L20"/>
      <c r="M20"/>
      <c r="N20"/>
      <c r="O20"/>
      <c r="P20"/>
      <c r="Q20"/>
      <c r="R20"/>
      <c r="S20"/>
      <c r="T20"/>
      <c r="U20"/>
      <c r="V20"/>
      <c r="W20"/>
      <c r="X20"/>
      <c r="Y20"/>
      <c r="Z20"/>
      <c r="AA20"/>
    </row>
    <row r="21" spans="1:27" x14ac:dyDescent="0.25">
      <c r="A21" s="37">
        <v>1756</v>
      </c>
      <c r="B21" s="77">
        <v>0.6785714285714286</v>
      </c>
      <c r="C21" s="26">
        <v>0.32142857142857145</v>
      </c>
      <c r="D21" s="81">
        <v>0</v>
      </c>
      <c r="E21"/>
      <c r="F21"/>
      <c r="G21"/>
      <c r="H21"/>
      <c r="I21"/>
      <c r="J21"/>
      <c r="K21"/>
      <c r="L21"/>
      <c r="M21"/>
      <c r="N21"/>
      <c r="O21"/>
      <c r="P21"/>
      <c r="Q21"/>
      <c r="R21"/>
      <c r="S21"/>
      <c r="T21"/>
      <c r="U21"/>
      <c r="V21"/>
      <c r="W21"/>
      <c r="X21"/>
      <c r="Y21"/>
      <c r="Z21"/>
      <c r="AA21"/>
    </row>
    <row r="22" spans="1:27" x14ac:dyDescent="0.25">
      <c r="A22" s="37">
        <v>1872</v>
      </c>
      <c r="B22" s="77">
        <v>0.69230769230769229</v>
      </c>
      <c r="C22" s="26">
        <v>0.30769230769230771</v>
      </c>
      <c r="D22" s="81">
        <v>0</v>
      </c>
      <c r="E22"/>
      <c r="F22"/>
      <c r="G22"/>
      <c r="H22"/>
      <c r="I22"/>
      <c r="J22"/>
      <c r="K22"/>
      <c r="L22"/>
      <c r="M22"/>
      <c r="N22"/>
      <c r="O22"/>
      <c r="P22"/>
      <c r="Q22"/>
      <c r="R22"/>
      <c r="S22"/>
      <c r="T22"/>
      <c r="U22"/>
      <c r="V22"/>
      <c r="W22"/>
      <c r="X22"/>
      <c r="Y22"/>
      <c r="Z22"/>
      <c r="AA22"/>
    </row>
    <row r="23" spans="1:27" x14ac:dyDescent="0.25">
      <c r="A23" s="37">
        <v>2040</v>
      </c>
      <c r="B23" s="77">
        <v>0.5714285714285714</v>
      </c>
      <c r="C23" s="26">
        <v>0.42857142857142855</v>
      </c>
      <c r="D23" s="81">
        <v>0</v>
      </c>
      <c r="E23"/>
      <c r="F23"/>
      <c r="G23"/>
      <c r="H23"/>
      <c r="I23"/>
      <c r="J23"/>
      <c r="K23"/>
      <c r="L23"/>
      <c r="M23"/>
      <c r="N23"/>
      <c r="O23"/>
      <c r="P23"/>
      <c r="Q23"/>
      <c r="R23"/>
      <c r="S23"/>
      <c r="T23"/>
      <c r="U23"/>
      <c r="V23"/>
      <c r="W23"/>
      <c r="X23"/>
      <c r="Y23"/>
      <c r="Z23"/>
      <c r="AA23"/>
    </row>
    <row r="24" spans="1:27" x14ac:dyDescent="0.25">
      <c r="A24" s="37">
        <v>2171</v>
      </c>
      <c r="B24" s="77">
        <v>0.58333333333333337</v>
      </c>
      <c r="C24" s="26">
        <v>0.41666666666666669</v>
      </c>
      <c r="D24" s="81">
        <v>0</v>
      </c>
      <c r="E24"/>
      <c r="F24"/>
      <c r="G24"/>
      <c r="H24"/>
      <c r="I24"/>
      <c r="J24"/>
      <c r="K24"/>
      <c r="L24"/>
      <c r="M24"/>
      <c r="N24"/>
      <c r="O24"/>
      <c r="P24"/>
      <c r="Q24"/>
      <c r="R24"/>
      <c r="S24"/>
      <c r="T24"/>
      <c r="U24"/>
      <c r="V24"/>
      <c r="W24"/>
      <c r="X24"/>
      <c r="Y24"/>
      <c r="Z24"/>
      <c r="AA24"/>
    </row>
    <row r="25" spans="1:27" x14ac:dyDescent="0.25">
      <c r="A25" s="37">
        <v>2197</v>
      </c>
      <c r="B25" s="77">
        <v>0.2857142857142857</v>
      </c>
      <c r="C25" s="26">
        <v>0.7142857142857143</v>
      </c>
      <c r="D25" s="81">
        <v>0</v>
      </c>
      <c r="E25"/>
      <c r="F25"/>
      <c r="G25"/>
      <c r="H25"/>
      <c r="I25"/>
      <c r="J25"/>
      <c r="K25"/>
      <c r="L25"/>
      <c r="M25"/>
      <c r="N25"/>
      <c r="O25"/>
      <c r="P25"/>
      <c r="Q25"/>
      <c r="R25"/>
      <c r="S25"/>
      <c r="T25"/>
      <c r="U25"/>
      <c r="V25"/>
      <c r="W25"/>
      <c r="X25"/>
      <c r="Y25"/>
      <c r="Z25"/>
      <c r="AA25"/>
    </row>
    <row r="26" spans="1:27" x14ac:dyDescent="0.25">
      <c r="A26" s="37">
        <v>2867</v>
      </c>
      <c r="B26" s="77">
        <v>0.9285714285714286</v>
      </c>
      <c r="C26" s="26">
        <v>7.1428571428571425E-2</v>
      </c>
      <c r="D26" s="81">
        <v>0</v>
      </c>
      <c r="E26"/>
      <c r="F26"/>
      <c r="G26"/>
      <c r="H26"/>
      <c r="I26"/>
      <c r="J26"/>
      <c r="K26"/>
      <c r="L26"/>
      <c r="M26"/>
      <c r="N26"/>
      <c r="O26"/>
      <c r="P26"/>
      <c r="Q26"/>
      <c r="R26"/>
      <c r="S26"/>
      <c r="T26"/>
      <c r="U26"/>
      <c r="V26"/>
      <c r="W26"/>
      <c r="X26"/>
      <c r="Y26"/>
      <c r="Z26"/>
      <c r="AA26"/>
    </row>
    <row r="27" spans="1:27" x14ac:dyDescent="0.25">
      <c r="A27" s="37">
        <v>3147</v>
      </c>
      <c r="B27" s="77">
        <v>0.5714285714285714</v>
      </c>
      <c r="C27" s="26">
        <v>0.42857142857142855</v>
      </c>
      <c r="D27" s="81">
        <v>0</v>
      </c>
      <c r="E27"/>
      <c r="F27"/>
      <c r="G27"/>
      <c r="H27"/>
      <c r="I27"/>
      <c r="J27"/>
      <c r="K27"/>
      <c r="L27"/>
      <c r="M27"/>
      <c r="N27"/>
      <c r="O27"/>
      <c r="P27"/>
      <c r="Q27"/>
      <c r="R27"/>
      <c r="S27"/>
      <c r="T27"/>
      <c r="U27"/>
      <c r="V27"/>
      <c r="W27"/>
      <c r="X27"/>
      <c r="Y27"/>
      <c r="Z27"/>
      <c r="AA27"/>
    </row>
    <row r="28" spans="1:27" x14ac:dyDescent="0.25">
      <c r="A28" s="37">
        <v>3176</v>
      </c>
      <c r="B28" s="77">
        <v>0.58333333333333337</v>
      </c>
      <c r="C28" s="26">
        <v>0.41666666666666669</v>
      </c>
      <c r="D28" s="81">
        <v>0</v>
      </c>
      <c r="E28"/>
      <c r="F28"/>
      <c r="G28"/>
      <c r="H28"/>
      <c r="I28"/>
      <c r="J28"/>
      <c r="K28"/>
      <c r="L28"/>
      <c r="M28"/>
      <c r="N28"/>
      <c r="O28"/>
      <c r="P28"/>
      <c r="Q28"/>
      <c r="R28"/>
      <c r="S28"/>
      <c r="T28"/>
      <c r="U28"/>
      <c r="V28"/>
      <c r="W28"/>
      <c r="X28"/>
      <c r="Y28"/>
      <c r="Z28"/>
      <c r="AA28"/>
    </row>
    <row r="29" spans="1:27" x14ac:dyDescent="0.25">
      <c r="A29" s="37">
        <v>3180</v>
      </c>
      <c r="B29" s="77">
        <v>0.81818181818181823</v>
      </c>
      <c r="C29" s="26">
        <v>0.18181818181818182</v>
      </c>
      <c r="D29" s="81">
        <v>0</v>
      </c>
      <c r="E29"/>
      <c r="F29"/>
      <c r="G29"/>
      <c r="H29"/>
      <c r="I29"/>
      <c r="J29"/>
      <c r="K29"/>
      <c r="L29"/>
      <c r="M29"/>
      <c r="N29"/>
      <c r="O29"/>
      <c r="P29"/>
      <c r="Q29"/>
      <c r="R29"/>
      <c r="S29"/>
      <c r="T29"/>
      <c r="U29"/>
      <c r="V29"/>
      <c r="W29"/>
      <c r="X29"/>
      <c r="Y29"/>
      <c r="Z29"/>
      <c r="AA29"/>
    </row>
    <row r="30" spans="1:27" x14ac:dyDescent="0.25">
      <c r="A30" s="37">
        <v>3201</v>
      </c>
      <c r="B30" s="77">
        <v>0.5</v>
      </c>
      <c r="C30" s="26">
        <v>0.5</v>
      </c>
      <c r="D30" s="81">
        <v>0</v>
      </c>
      <c r="E30"/>
      <c r="F30"/>
      <c r="G30"/>
      <c r="H30"/>
      <c r="I30"/>
      <c r="J30"/>
      <c r="K30"/>
      <c r="L30"/>
      <c r="M30"/>
      <c r="N30"/>
      <c r="O30"/>
      <c r="P30"/>
      <c r="Q30"/>
      <c r="R30"/>
      <c r="S30"/>
      <c r="T30"/>
      <c r="U30"/>
      <c r="V30"/>
      <c r="W30"/>
      <c r="X30"/>
      <c r="Y30"/>
      <c r="Z30"/>
      <c r="AA30"/>
    </row>
    <row r="31" spans="1:27" x14ac:dyDescent="0.25">
      <c r="A31" s="37">
        <v>3272</v>
      </c>
      <c r="B31" s="77">
        <v>0.69230769230769229</v>
      </c>
      <c r="C31" s="26">
        <v>0.30769230769230771</v>
      </c>
      <c r="D31" s="81">
        <v>0</v>
      </c>
      <c r="E31"/>
      <c r="F31"/>
      <c r="G31"/>
      <c r="H31"/>
      <c r="I31"/>
      <c r="J31"/>
      <c r="K31"/>
      <c r="L31"/>
      <c r="M31"/>
      <c r="N31"/>
      <c r="O31"/>
      <c r="P31"/>
      <c r="Q31"/>
      <c r="R31"/>
      <c r="S31"/>
      <c r="T31"/>
      <c r="U31"/>
      <c r="V31"/>
      <c r="W31"/>
      <c r="X31"/>
      <c r="Y31"/>
      <c r="Z31"/>
      <c r="AA31"/>
    </row>
    <row r="32" spans="1:27" x14ac:dyDescent="0.25">
      <c r="A32" s="37">
        <v>3301</v>
      </c>
      <c r="B32" s="77">
        <v>0.36363636363636365</v>
      </c>
      <c r="C32" s="26">
        <v>0.63636363636363635</v>
      </c>
      <c r="D32" s="81">
        <v>0</v>
      </c>
      <c r="E32"/>
      <c r="F32"/>
      <c r="G32"/>
      <c r="H32"/>
      <c r="I32"/>
      <c r="J32"/>
      <c r="K32"/>
      <c r="L32"/>
      <c r="M32"/>
      <c r="N32"/>
      <c r="O32"/>
      <c r="P32"/>
      <c r="Q32"/>
      <c r="R32"/>
      <c r="S32"/>
      <c r="T32"/>
      <c r="U32"/>
      <c r="V32"/>
      <c r="W32"/>
      <c r="X32"/>
      <c r="Y32"/>
      <c r="Z32"/>
      <c r="AA32"/>
    </row>
    <row r="33" spans="1:27" x14ac:dyDescent="0.25">
      <c r="A33" s="37">
        <v>3487</v>
      </c>
      <c r="B33" s="77">
        <v>0.81818181818181823</v>
      </c>
      <c r="C33" s="26">
        <v>0.18181818181818182</v>
      </c>
      <c r="D33" s="81">
        <v>0</v>
      </c>
      <c r="E33"/>
      <c r="F33"/>
      <c r="G33"/>
      <c r="H33"/>
      <c r="I33"/>
      <c r="J33"/>
      <c r="K33"/>
      <c r="L33"/>
      <c r="M33"/>
      <c r="N33"/>
      <c r="O33"/>
      <c r="P33"/>
      <c r="Q33"/>
      <c r="R33"/>
      <c r="S33"/>
      <c r="T33"/>
      <c r="U33"/>
      <c r="V33"/>
      <c r="W33"/>
      <c r="X33"/>
      <c r="Y33"/>
      <c r="Z33"/>
      <c r="AA33"/>
    </row>
    <row r="34" spans="1:27" x14ac:dyDescent="0.25">
      <c r="A34" s="37">
        <v>3565</v>
      </c>
      <c r="B34" s="77">
        <v>0.92307692307692313</v>
      </c>
      <c r="C34" s="26">
        <v>7.6923076923076927E-2</v>
      </c>
      <c r="D34" s="81">
        <v>0</v>
      </c>
      <c r="E34"/>
      <c r="F34"/>
      <c r="G34"/>
      <c r="H34"/>
      <c r="I34"/>
      <c r="J34"/>
      <c r="K34"/>
      <c r="L34"/>
      <c r="M34"/>
      <c r="N34"/>
      <c r="O34"/>
      <c r="P34"/>
      <c r="Q34"/>
      <c r="R34"/>
      <c r="S34"/>
      <c r="T34"/>
      <c r="U34"/>
      <c r="V34"/>
      <c r="W34"/>
      <c r="X34"/>
      <c r="Y34"/>
      <c r="Z34"/>
      <c r="AA34"/>
    </row>
    <row r="35" spans="1:27" x14ac:dyDescent="0.25">
      <c r="A35" s="37">
        <v>3865</v>
      </c>
      <c r="B35" s="77">
        <v>0.8666666666666667</v>
      </c>
      <c r="C35" s="26">
        <v>0.13333333333333333</v>
      </c>
      <c r="D35" s="81">
        <v>0</v>
      </c>
      <c r="E35"/>
      <c r="F35"/>
      <c r="G35"/>
      <c r="H35"/>
      <c r="I35"/>
      <c r="J35"/>
      <c r="K35"/>
      <c r="L35"/>
      <c r="M35"/>
      <c r="N35"/>
      <c r="O35"/>
      <c r="P35"/>
      <c r="Q35"/>
      <c r="R35"/>
      <c r="S35"/>
      <c r="T35"/>
      <c r="U35"/>
      <c r="V35"/>
      <c r="W35"/>
      <c r="X35"/>
      <c r="Y35"/>
      <c r="Z35"/>
      <c r="AA35"/>
    </row>
    <row r="36" spans="1:27" x14ac:dyDescent="0.25">
      <c r="A36" s="37">
        <v>3947</v>
      </c>
      <c r="B36" s="77">
        <v>0.45</v>
      </c>
      <c r="C36" s="26">
        <v>0.55000000000000004</v>
      </c>
      <c r="D36" s="81">
        <v>0</v>
      </c>
      <c r="E36"/>
      <c r="F36"/>
      <c r="G36"/>
      <c r="H36"/>
      <c r="I36"/>
      <c r="J36"/>
      <c r="K36"/>
      <c r="L36"/>
      <c r="M36"/>
      <c r="N36"/>
      <c r="O36"/>
      <c r="P36"/>
      <c r="Q36"/>
      <c r="R36"/>
      <c r="S36"/>
      <c r="T36"/>
      <c r="U36"/>
      <c r="V36"/>
      <c r="W36"/>
      <c r="X36"/>
      <c r="Y36"/>
      <c r="Z36"/>
      <c r="AA36"/>
    </row>
    <row r="37" spans="1:27" x14ac:dyDescent="0.25">
      <c r="A37" s="37">
        <v>4070</v>
      </c>
      <c r="B37" s="77">
        <v>0.72727272727272729</v>
      </c>
      <c r="C37" s="26">
        <v>0.27272727272727271</v>
      </c>
      <c r="D37" s="81">
        <v>0</v>
      </c>
      <c r="E37"/>
      <c r="F37"/>
      <c r="G37"/>
      <c r="H37"/>
      <c r="I37"/>
      <c r="J37"/>
      <c r="K37"/>
      <c r="L37"/>
      <c r="M37"/>
      <c r="N37"/>
      <c r="O37"/>
      <c r="P37"/>
      <c r="Q37"/>
      <c r="R37"/>
      <c r="S37"/>
      <c r="T37"/>
      <c r="U37"/>
      <c r="V37"/>
      <c r="W37"/>
      <c r="X37"/>
      <c r="Y37"/>
      <c r="Z37"/>
      <c r="AA37"/>
    </row>
    <row r="38" spans="1:27" x14ac:dyDescent="0.25">
      <c r="A38" s="37">
        <v>4211</v>
      </c>
      <c r="B38" s="77">
        <v>0.5</v>
      </c>
      <c r="C38" s="26">
        <v>0.5</v>
      </c>
      <c r="D38" s="81">
        <v>0</v>
      </c>
      <c r="E38"/>
      <c r="F38"/>
      <c r="G38"/>
      <c r="H38"/>
      <c r="I38"/>
      <c r="J38"/>
      <c r="K38"/>
      <c r="L38"/>
      <c r="M38"/>
      <c r="N38"/>
      <c r="O38"/>
      <c r="P38"/>
      <c r="Q38"/>
      <c r="R38"/>
      <c r="S38"/>
      <c r="T38"/>
      <c r="U38"/>
      <c r="V38"/>
      <c r="W38"/>
      <c r="X38"/>
      <c r="Y38"/>
      <c r="Z38"/>
      <c r="AA38"/>
    </row>
    <row r="39" spans="1:27" x14ac:dyDescent="0.25">
      <c r="A39" s="37">
        <v>4234</v>
      </c>
      <c r="B39" s="77">
        <v>1</v>
      </c>
      <c r="C39" s="26">
        <v>0</v>
      </c>
      <c r="D39" s="81">
        <v>0</v>
      </c>
      <c r="E39"/>
      <c r="F39"/>
      <c r="G39"/>
      <c r="H39"/>
      <c r="I39"/>
      <c r="J39"/>
      <c r="K39"/>
      <c r="L39"/>
      <c r="M39"/>
      <c r="N39"/>
      <c r="O39"/>
      <c r="P39"/>
      <c r="Q39"/>
      <c r="R39"/>
      <c r="S39"/>
      <c r="T39"/>
      <c r="U39"/>
      <c r="V39"/>
      <c r="W39"/>
      <c r="X39"/>
      <c r="Y39"/>
      <c r="Z39"/>
      <c r="AA39"/>
    </row>
    <row r="40" spans="1:27" x14ac:dyDescent="0.25">
      <c r="A40" s="37">
        <v>4272</v>
      </c>
      <c r="B40" s="77">
        <v>0.83333333333333337</v>
      </c>
      <c r="C40" s="26">
        <v>0.16666666666666666</v>
      </c>
      <c r="D40" s="81">
        <v>0</v>
      </c>
      <c r="E40"/>
      <c r="F40"/>
      <c r="G40"/>
      <c r="H40"/>
      <c r="I40"/>
      <c r="J40"/>
      <c r="K40"/>
      <c r="L40"/>
      <c r="M40"/>
      <c r="N40"/>
      <c r="O40"/>
      <c r="P40"/>
      <c r="Q40"/>
      <c r="R40"/>
      <c r="S40"/>
      <c r="T40"/>
      <c r="U40"/>
      <c r="V40"/>
      <c r="W40"/>
      <c r="X40"/>
      <c r="Y40"/>
      <c r="Z40"/>
      <c r="AA40"/>
    </row>
    <row r="41" spans="1:27" x14ac:dyDescent="0.25">
      <c r="A41" s="37">
        <v>4485</v>
      </c>
      <c r="B41" s="77">
        <v>0.66666666666666663</v>
      </c>
      <c r="C41" s="26">
        <v>0.33333333333333331</v>
      </c>
      <c r="D41" s="81">
        <v>0</v>
      </c>
      <c r="E41"/>
      <c r="F41"/>
      <c r="G41"/>
      <c r="H41"/>
      <c r="I41"/>
      <c r="J41"/>
      <c r="K41"/>
      <c r="L41"/>
      <c r="M41"/>
      <c r="N41"/>
      <c r="O41"/>
      <c r="P41"/>
      <c r="Q41"/>
      <c r="R41"/>
      <c r="S41"/>
      <c r="T41"/>
      <c r="U41"/>
      <c r="V41"/>
      <c r="W41"/>
      <c r="X41"/>
      <c r="Y41"/>
      <c r="Z41"/>
      <c r="AA41"/>
    </row>
    <row r="42" spans="1:27" x14ac:dyDescent="0.25">
      <c r="A42" s="37">
        <v>4545</v>
      </c>
      <c r="B42" s="77">
        <v>0.66666666666666663</v>
      </c>
      <c r="C42" s="26">
        <v>0.33333333333333331</v>
      </c>
      <c r="D42" s="81">
        <v>0</v>
      </c>
      <c r="E42"/>
      <c r="F42"/>
      <c r="G42"/>
      <c r="H42"/>
      <c r="I42"/>
      <c r="J42"/>
      <c r="K42"/>
      <c r="L42"/>
      <c r="M42"/>
      <c r="N42"/>
      <c r="O42"/>
      <c r="P42"/>
      <c r="Q42"/>
      <c r="R42"/>
      <c r="S42"/>
      <c r="T42"/>
      <c r="U42"/>
      <c r="V42"/>
      <c r="W42"/>
      <c r="X42"/>
      <c r="Y42"/>
      <c r="Z42"/>
      <c r="AA42"/>
    </row>
    <row r="43" spans="1:27" x14ac:dyDescent="0.25">
      <c r="A43" s="37">
        <v>4580</v>
      </c>
      <c r="B43" s="77">
        <v>0.75</v>
      </c>
      <c r="C43" s="26">
        <v>0.25</v>
      </c>
      <c r="D43" s="81">
        <v>0</v>
      </c>
      <c r="E43"/>
      <c r="F43"/>
      <c r="G43"/>
      <c r="H43"/>
      <c r="I43"/>
      <c r="J43"/>
      <c r="K43"/>
      <c r="L43"/>
      <c r="M43"/>
      <c r="N43"/>
      <c r="O43"/>
      <c r="P43"/>
      <c r="Q43"/>
      <c r="R43"/>
      <c r="S43"/>
      <c r="T43"/>
      <c r="U43"/>
      <c r="V43"/>
      <c r="W43"/>
      <c r="X43"/>
      <c r="Y43"/>
      <c r="Z43"/>
      <c r="AA43"/>
    </row>
    <row r="44" spans="1:27" x14ac:dyDescent="0.25">
      <c r="A44" s="37">
        <v>4791</v>
      </c>
      <c r="B44" s="77">
        <v>0.84615384615384615</v>
      </c>
      <c r="C44" s="26">
        <v>0.15384615384615385</v>
      </c>
      <c r="D44" s="81">
        <v>0</v>
      </c>
      <c r="E44"/>
      <c r="F44"/>
      <c r="G44"/>
      <c r="H44"/>
      <c r="I44"/>
      <c r="J44"/>
      <c r="K44"/>
      <c r="L44"/>
      <c r="M44"/>
      <c r="N44"/>
      <c r="O44"/>
      <c r="P44"/>
      <c r="Q44"/>
      <c r="R44"/>
      <c r="S44"/>
      <c r="T44"/>
      <c r="U44"/>
      <c r="V44"/>
      <c r="W44"/>
      <c r="X44"/>
      <c r="Y44"/>
      <c r="Z44"/>
      <c r="AA44"/>
    </row>
    <row r="45" spans="1:27" x14ac:dyDescent="0.25">
      <c r="A45" s="37">
        <v>4846</v>
      </c>
      <c r="B45" s="77">
        <v>0.45833333333333331</v>
      </c>
      <c r="C45" s="26">
        <v>0.54166666666666663</v>
      </c>
      <c r="D45" s="81">
        <v>0</v>
      </c>
      <c r="E45"/>
      <c r="F45"/>
      <c r="G45"/>
      <c r="H45"/>
      <c r="I45"/>
      <c r="J45"/>
      <c r="K45"/>
      <c r="L45"/>
      <c r="M45"/>
      <c r="N45"/>
      <c r="O45"/>
      <c r="P45"/>
      <c r="Q45"/>
      <c r="R45"/>
      <c r="S45"/>
      <c r="T45"/>
      <c r="U45"/>
      <c r="V45"/>
      <c r="W45"/>
      <c r="X45"/>
      <c r="Y45"/>
      <c r="Z45"/>
      <c r="AA45"/>
    </row>
    <row r="46" spans="1:27" x14ac:dyDescent="0.25">
      <c r="A46" s="37" t="s">
        <v>29</v>
      </c>
      <c r="B46" s="77" t="e">
        <v>#DIV/0!</v>
      </c>
      <c r="C46" s="26" t="e">
        <v>#DIV/0!</v>
      </c>
      <c r="D46" s="81" t="e">
        <v>#DIV/0!</v>
      </c>
      <c r="E46"/>
      <c r="F46"/>
      <c r="G46"/>
      <c r="H46"/>
      <c r="I46"/>
      <c r="J46"/>
      <c r="K46"/>
      <c r="L46"/>
      <c r="M46"/>
      <c r="N46"/>
      <c r="O46"/>
      <c r="P46"/>
      <c r="Q46"/>
      <c r="R46"/>
      <c r="S46"/>
      <c r="T46"/>
      <c r="U46"/>
      <c r="V46"/>
      <c r="W46"/>
      <c r="X46"/>
      <c r="Y46"/>
      <c r="Z46"/>
      <c r="AA46"/>
    </row>
    <row r="47" spans="1:27" x14ac:dyDescent="0.25">
      <c r="A47" s="40" t="s">
        <v>7</v>
      </c>
      <c r="B47" s="78">
        <v>0.60256410256410253</v>
      </c>
      <c r="C47" s="27">
        <v>0.39743589743589741</v>
      </c>
      <c r="D47" s="82">
        <v>0</v>
      </c>
      <c r="E47"/>
      <c r="F47"/>
      <c r="G47"/>
      <c r="H47"/>
      <c r="I47"/>
      <c r="J47"/>
      <c r="K47"/>
      <c r="L47"/>
      <c r="M47"/>
      <c r="N47"/>
      <c r="O47"/>
      <c r="P47"/>
      <c r="Q47"/>
      <c r="R47"/>
      <c r="S47"/>
      <c r="T47"/>
      <c r="U47"/>
      <c r="V47"/>
      <c r="W47"/>
      <c r="X47"/>
      <c r="Y47"/>
      <c r="Z47"/>
      <c r="AA47"/>
    </row>
    <row r="48" spans="1:27" x14ac:dyDescent="0.25">
      <c r="A48"/>
      <c r="B48"/>
      <c r="C48"/>
      <c r="D48"/>
      <c r="E48"/>
      <c r="F48"/>
      <c r="G48"/>
      <c r="H48"/>
      <c r="I48"/>
      <c r="J48"/>
      <c r="K48"/>
      <c r="L48"/>
      <c r="M48"/>
      <c r="N48"/>
      <c r="O48"/>
      <c r="P48"/>
      <c r="Q48"/>
      <c r="R48"/>
      <c r="S48"/>
      <c r="T48"/>
      <c r="U48"/>
      <c r="V48"/>
      <c r="W48"/>
      <c r="X48"/>
      <c r="Y48"/>
      <c r="Z48"/>
      <c r="AA48"/>
    </row>
    <row r="49" spans="1:27" x14ac:dyDescent="0.25">
      <c r="A49"/>
      <c r="B49"/>
      <c r="C49"/>
      <c r="D49"/>
      <c r="E49"/>
      <c r="F49"/>
      <c r="G49"/>
      <c r="H49"/>
      <c r="I49"/>
      <c r="J49"/>
      <c r="K49"/>
      <c r="L49"/>
      <c r="M49"/>
      <c r="N49"/>
      <c r="O49"/>
      <c r="P49"/>
      <c r="Q49"/>
      <c r="R49"/>
      <c r="S49"/>
      <c r="T49"/>
      <c r="U49"/>
      <c r="V49"/>
      <c r="W49"/>
      <c r="X49"/>
      <c r="Y49"/>
      <c r="Z49"/>
      <c r="AA49"/>
    </row>
    <row r="50" spans="1:27" x14ac:dyDescent="0.25">
      <c r="A50" s="50"/>
      <c r="B50" s="50"/>
      <c r="C50" s="50"/>
      <c r="D50" s="50"/>
      <c r="E50" s="50"/>
      <c r="F50" s="50"/>
      <c r="G50" s="50"/>
      <c r="H50" s="50"/>
      <c r="I50" s="50"/>
      <c r="J50" s="50"/>
      <c r="K50" s="50"/>
      <c r="L50" s="50"/>
    </row>
    <row r="51" spans="1:27" x14ac:dyDescent="0.25">
      <c r="A51" s="50"/>
      <c r="B51" s="50"/>
      <c r="C51" s="50"/>
      <c r="D51" s="50"/>
      <c r="E51" s="50"/>
      <c r="F51" s="50"/>
      <c r="G51" s="50"/>
      <c r="H51" s="50"/>
      <c r="I51" s="50"/>
      <c r="J51" s="50"/>
      <c r="K51" s="50"/>
      <c r="L51" s="50"/>
    </row>
    <row r="52" spans="1:27" x14ac:dyDescent="0.25">
      <c r="A52" s="50"/>
      <c r="B52" s="50"/>
      <c r="C52" s="50"/>
      <c r="D52" s="50"/>
      <c r="E52" s="50"/>
      <c r="F52" s="50"/>
      <c r="G52" s="50"/>
      <c r="H52" s="50"/>
      <c r="I52" s="50"/>
      <c r="J52" s="50"/>
      <c r="K52" s="50"/>
      <c r="L52" s="50"/>
    </row>
    <row r="53" spans="1:27" x14ac:dyDescent="0.25">
      <c r="A53" s="50"/>
      <c r="B53" s="50"/>
      <c r="C53" s="50"/>
      <c r="D53" s="50"/>
      <c r="E53" s="50"/>
      <c r="F53" s="50"/>
      <c r="G53" s="50"/>
      <c r="H53" s="50"/>
      <c r="I53" s="50"/>
      <c r="J53" s="50"/>
      <c r="K53" s="50"/>
      <c r="L53" s="50"/>
    </row>
    <row r="54" spans="1:27" x14ac:dyDescent="0.25">
      <c r="A54" s="50"/>
      <c r="B54" s="50"/>
      <c r="C54" s="50"/>
      <c r="D54" s="50"/>
      <c r="E54" s="50"/>
      <c r="F54" s="50"/>
      <c r="G54" s="50"/>
      <c r="H54" s="50"/>
      <c r="I54" s="50"/>
      <c r="J54" s="50"/>
      <c r="K54" s="50"/>
      <c r="L54" s="50"/>
    </row>
    <row r="55" spans="1:27" x14ac:dyDescent="0.25">
      <c r="A55" s="50"/>
      <c r="B55" s="50"/>
      <c r="C55" s="50"/>
      <c r="D55" s="50"/>
      <c r="E55" s="50"/>
      <c r="F55" s="50"/>
      <c r="G55" s="50"/>
      <c r="H55" s="50"/>
      <c r="I55" s="50"/>
      <c r="J55" s="50"/>
      <c r="K55" s="50"/>
      <c r="L55" s="50"/>
    </row>
    <row r="56" spans="1:27" x14ac:dyDescent="0.25">
      <c r="A56" s="50"/>
      <c r="B56" s="50"/>
      <c r="C56" s="50"/>
      <c r="D56" s="50"/>
      <c r="E56" s="50"/>
      <c r="F56" s="50"/>
      <c r="G56" s="50"/>
      <c r="H56" s="50"/>
      <c r="I56" s="50"/>
      <c r="J56" s="50"/>
      <c r="K56" s="50"/>
      <c r="L56" s="50"/>
    </row>
    <row r="57" spans="1:27" x14ac:dyDescent="0.25">
      <c r="A57" s="50"/>
      <c r="B57" s="50"/>
      <c r="C57" s="50"/>
      <c r="D57" s="50"/>
      <c r="E57" s="50"/>
      <c r="F57" s="50"/>
      <c r="G57" s="50"/>
      <c r="H57" s="50"/>
      <c r="I57" s="50"/>
      <c r="J57" s="50"/>
      <c r="K57" s="50"/>
      <c r="L57" s="50"/>
    </row>
    <row r="58" spans="1:27" x14ac:dyDescent="0.25">
      <c r="A58" s="50"/>
      <c r="B58" s="50"/>
      <c r="C58" s="50"/>
      <c r="D58" s="50"/>
      <c r="E58" s="50"/>
      <c r="F58" s="50"/>
      <c r="G58" s="50"/>
      <c r="H58" s="50"/>
      <c r="I58" s="50"/>
      <c r="J58" s="50"/>
      <c r="K58" s="50"/>
      <c r="L58" s="50"/>
    </row>
    <row r="59" spans="1:27" x14ac:dyDescent="0.25">
      <c r="A59" s="50"/>
      <c r="B59" s="50"/>
      <c r="C59" s="50"/>
      <c r="D59" s="50"/>
      <c r="E59" s="50"/>
      <c r="F59" s="50"/>
      <c r="G59" s="50"/>
      <c r="H59" s="50"/>
      <c r="I59" s="50"/>
      <c r="J59" s="50"/>
      <c r="K59" s="50"/>
      <c r="L59" s="50"/>
    </row>
    <row r="60" spans="1:27" x14ac:dyDescent="0.25">
      <c r="A60" s="50"/>
      <c r="B60" s="50"/>
      <c r="C60" s="50"/>
      <c r="D60" s="50"/>
      <c r="E60" s="50"/>
      <c r="F60" s="50"/>
      <c r="G60" s="50"/>
      <c r="H60" s="50"/>
      <c r="I60" s="50"/>
      <c r="J60" s="50"/>
      <c r="K60" s="50"/>
      <c r="L60" s="50"/>
    </row>
    <row r="61" spans="1:27" x14ac:dyDescent="0.25">
      <c r="A61" s="50"/>
      <c r="B61" s="50"/>
      <c r="C61" s="50"/>
      <c r="D61" s="50"/>
      <c r="E61" s="50"/>
      <c r="F61" s="50"/>
      <c r="G61" s="50"/>
      <c r="H61" s="50"/>
      <c r="I61" s="50"/>
      <c r="J61" s="50"/>
      <c r="K61" s="50"/>
      <c r="L61" s="50"/>
    </row>
    <row r="62" spans="1:27" x14ac:dyDescent="0.25">
      <c r="A62" s="50"/>
      <c r="B62" s="50"/>
      <c r="C62" s="50"/>
      <c r="D62" s="50"/>
      <c r="E62" s="50"/>
      <c r="F62" s="50"/>
      <c r="G62" s="50"/>
      <c r="H62" s="50"/>
      <c r="I62" s="50"/>
      <c r="J62" s="50"/>
      <c r="K62" s="50"/>
      <c r="L62" s="50"/>
    </row>
    <row r="63" spans="1:27" x14ac:dyDescent="0.25">
      <c r="A63" s="50"/>
      <c r="B63" s="50"/>
      <c r="C63" s="50"/>
      <c r="D63" s="50"/>
      <c r="E63" s="50"/>
      <c r="F63" s="50"/>
      <c r="G63" s="50"/>
      <c r="H63" s="50"/>
      <c r="I63" s="50"/>
      <c r="J63" s="50"/>
      <c r="K63" s="50"/>
      <c r="L63" s="50"/>
    </row>
    <row r="64" spans="1:27" x14ac:dyDescent="0.25">
      <c r="A64" s="50"/>
      <c r="B64" s="50"/>
      <c r="C64" s="50"/>
      <c r="D64" s="50"/>
      <c r="E64" s="50"/>
      <c r="F64" s="50"/>
      <c r="G64" s="50"/>
      <c r="H64" s="50"/>
      <c r="I64" s="50"/>
      <c r="J64" s="50"/>
      <c r="K64" s="50"/>
      <c r="L64" s="50"/>
    </row>
    <row r="65" spans="1:12" x14ac:dyDescent="0.25">
      <c r="A65" s="50"/>
      <c r="B65" s="50"/>
      <c r="C65" s="50"/>
      <c r="D65" s="50"/>
      <c r="E65" s="50"/>
      <c r="F65" s="50"/>
      <c r="G65" s="50"/>
      <c r="H65" s="50"/>
      <c r="I65" s="50"/>
      <c r="J65" s="50"/>
      <c r="K65" s="50"/>
      <c r="L65" s="50"/>
    </row>
    <row r="66" spans="1:12" x14ac:dyDescent="0.25">
      <c r="A66" s="50"/>
      <c r="B66" s="50"/>
      <c r="C66" s="50"/>
      <c r="D66" s="50"/>
      <c r="E66" s="50"/>
      <c r="F66" s="50"/>
      <c r="G66" s="50"/>
      <c r="H66" s="50"/>
      <c r="I66" s="50"/>
      <c r="J66" s="50"/>
      <c r="K66" s="50"/>
      <c r="L66" s="50"/>
    </row>
    <row r="67" spans="1:12" x14ac:dyDescent="0.25">
      <c r="A67" s="50"/>
      <c r="B67" s="50"/>
      <c r="C67" s="50"/>
      <c r="D67" s="50"/>
      <c r="E67" s="50"/>
      <c r="F67" s="50"/>
      <c r="G67" s="50"/>
      <c r="H67" s="50"/>
      <c r="I67" s="50"/>
      <c r="J67" s="50"/>
      <c r="K67" s="50"/>
      <c r="L67" s="50"/>
    </row>
    <row r="68" spans="1:12" x14ac:dyDescent="0.25">
      <c r="A68" s="50"/>
      <c r="B68" s="50"/>
      <c r="C68" s="50"/>
      <c r="D68" s="50"/>
      <c r="E68" s="50"/>
      <c r="F68" s="50"/>
      <c r="G68" s="50"/>
      <c r="H68" s="50"/>
      <c r="I68" s="50"/>
      <c r="J68" s="50"/>
      <c r="K68" s="50"/>
      <c r="L68" s="50"/>
    </row>
    <row r="69" spans="1:12" x14ac:dyDescent="0.25">
      <c r="A69" s="50"/>
      <c r="B69" s="50"/>
      <c r="C69" s="50"/>
      <c r="D69" s="50"/>
      <c r="E69" s="50"/>
      <c r="F69" s="50"/>
      <c r="G69" s="50"/>
      <c r="H69" s="50"/>
      <c r="I69" s="50"/>
      <c r="J69" s="50"/>
      <c r="K69" s="50"/>
      <c r="L69" s="50"/>
    </row>
    <row r="70" spans="1:12" x14ac:dyDescent="0.25">
      <c r="A70" s="50"/>
      <c r="B70" s="50"/>
      <c r="C70" s="50"/>
      <c r="D70" s="50"/>
      <c r="E70" s="50"/>
      <c r="F70" s="50"/>
      <c r="G70" s="50"/>
      <c r="H70" s="50"/>
      <c r="I70" s="50"/>
      <c r="J70" s="50"/>
      <c r="K70" s="50"/>
      <c r="L70" s="50"/>
    </row>
    <row r="71" spans="1:12" x14ac:dyDescent="0.25">
      <c r="A71" s="50"/>
      <c r="B71" s="50"/>
      <c r="C71" s="50"/>
      <c r="D71" s="50"/>
      <c r="E71" s="50"/>
      <c r="F71" s="50"/>
      <c r="G71" s="50"/>
      <c r="H71" s="50"/>
      <c r="I71" s="50"/>
      <c r="J71" s="50"/>
      <c r="K71" s="50"/>
      <c r="L71" s="50"/>
    </row>
    <row r="72" spans="1:12" x14ac:dyDescent="0.25">
      <c r="A72" s="50"/>
      <c r="B72" s="50"/>
      <c r="C72" s="50"/>
      <c r="D72" s="50"/>
      <c r="E72" s="50"/>
      <c r="F72" s="50"/>
      <c r="G72" s="50"/>
      <c r="H72" s="50"/>
      <c r="I72" s="50"/>
      <c r="J72" s="50"/>
      <c r="K72" s="50"/>
      <c r="L72" s="50"/>
    </row>
    <row r="73" spans="1:12" x14ac:dyDescent="0.25">
      <c r="A73" s="50"/>
      <c r="B73" s="50"/>
      <c r="C73" s="50"/>
      <c r="D73" s="50"/>
      <c r="E73" s="50"/>
      <c r="F73" s="50"/>
      <c r="G73" s="50"/>
      <c r="H73" s="50"/>
      <c r="I73" s="50"/>
      <c r="J73" s="50"/>
      <c r="K73" s="50"/>
      <c r="L73" s="50"/>
    </row>
    <row r="74" spans="1:12" x14ac:dyDescent="0.25">
      <c r="A74" s="50"/>
      <c r="B74" s="50"/>
      <c r="C74" s="50"/>
      <c r="D74" s="50"/>
      <c r="E74" s="50"/>
      <c r="F74" s="50"/>
      <c r="G74" s="50"/>
      <c r="H74" s="50"/>
      <c r="I74" s="50"/>
      <c r="J74" s="50"/>
      <c r="K74" s="50"/>
      <c r="L74" s="50"/>
    </row>
    <row r="75" spans="1:12" x14ac:dyDescent="0.25">
      <c r="A75" s="50"/>
      <c r="B75" s="50"/>
      <c r="C75" s="50"/>
      <c r="D75" s="50"/>
      <c r="E75" s="50"/>
      <c r="F75" s="50"/>
      <c r="G75" s="50"/>
      <c r="H75" s="50"/>
      <c r="I75" s="50"/>
      <c r="J75" s="50"/>
      <c r="K75" s="50"/>
      <c r="L75" s="50"/>
    </row>
    <row r="76" spans="1:12" x14ac:dyDescent="0.25">
      <c r="A76" s="50"/>
      <c r="B76" s="50"/>
      <c r="C76" s="50"/>
      <c r="D76" s="50"/>
      <c r="E76" s="50"/>
      <c r="F76" s="50"/>
      <c r="G76" s="50"/>
      <c r="H76" s="50"/>
      <c r="I76" s="50"/>
      <c r="J76" s="50"/>
      <c r="K76" s="50"/>
      <c r="L76" s="50"/>
    </row>
    <row r="77" spans="1:12" x14ac:dyDescent="0.25">
      <c r="A77" s="50"/>
      <c r="B77" s="50"/>
      <c r="C77" s="50"/>
      <c r="D77" s="50"/>
      <c r="E77" s="50"/>
      <c r="F77" s="50"/>
      <c r="G77" s="50"/>
      <c r="H77" s="50"/>
      <c r="I77" s="50"/>
      <c r="J77" s="50"/>
      <c r="K77" s="50"/>
      <c r="L77" s="50"/>
    </row>
    <row r="78" spans="1:12" x14ac:dyDescent="0.25">
      <c r="A78" s="50"/>
      <c r="B78" s="50"/>
      <c r="C78" s="50"/>
      <c r="D78" s="50"/>
      <c r="E78" s="50"/>
      <c r="F78" s="50"/>
      <c r="G78" s="50"/>
      <c r="H78" s="50"/>
      <c r="I78" s="50"/>
      <c r="J78" s="50"/>
      <c r="K78" s="50"/>
      <c r="L78" s="50"/>
    </row>
    <row r="79" spans="1:12" x14ac:dyDescent="0.25">
      <c r="A79" s="50"/>
      <c r="B79" s="50"/>
      <c r="C79" s="50"/>
      <c r="D79" s="50"/>
      <c r="E79" s="50"/>
      <c r="F79" s="50"/>
      <c r="G79" s="50"/>
      <c r="H79" s="50"/>
      <c r="I79" s="50"/>
      <c r="J79" s="50"/>
      <c r="K79" s="50"/>
      <c r="L79" s="50"/>
    </row>
    <row r="80" spans="1:12" x14ac:dyDescent="0.25">
      <c r="A80" s="50"/>
      <c r="B80" s="50"/>
      <c r="C80" s="50"/>
      <c r="D80" s="50"/>
      <c r="E80" s="50"/>
      <c r="F80" s="50"/>
      <c r="G80" s="50"/>
      <c r="H80" s="50"/>
      <c r="I80" s="50"/>
      <c r="J80" s="50"/>
      <c r="K80" s="50"/>
      <c r="L80" s="50"/>
    </row>
    <row r="81" spans="1:12" x14ac:dyDescent="0.25">
      <c r="A81" s="50"/>
      <c r="B81" s="50"/>
      <c r="C81" s="50"/>
      <c r="D81" s="50"/>
      <c r="E81" s="50"/>
      <c r="F81" s="50"/>
      <c r="G81" s="50"/>
      <c r="H81" s="50"/>
      <c r="I81" s="50"/>
      <c r="J81" s="50"/>
      <c r="K81" s="50"/>
      <c r="L81" s="50"/>
    </row>
    <row r="82" spans="1:12" x14ac:dyDescent="0.25">
      <c r="A82" s="50"/>
      <c r="B82" s="50"/>
      <c r="C82" s="50"/>
      <c r="D82" s="50"/>
      <c r="E82" s="50"/>
      <c r="F82" s="50"/>
      <c r="G82" s="50"/>
      <c r="H82" s="50"/>
      <c r="I82" s="50"/>
      <c r="J82" s="50"/>
      <c r="K82" s="50"/>
      <c r="L82" s="50"/>
    </row>
    <row r="83" spans="1:12" x14ac:dyDescent="0.25">
      <c r="A83" s="50"/>
      <c r="B83" s="50"/>
      <c r="C83" s="50"/>
      <c r="D83" s="50"/>
      <c r="E83" s="50"/>
      <c r="F83" s="50"/>
      <c r="G83" s="50"/>
      <c r="H83" s="50"/>
      <c r="I83" s="50"/>
      <c r="J83" s="50"/>
      <c r="K83" s="50"/>
      <c r="L83" s="50"/>
    </row>
    <row r="84" spans="1:12" x14ac:dyDescent="0.25">
      <c r="A84" s="50"/>
      <c r="B84" s="50"/>
      <c r="C84" s="50"/>
      <c r="D84" s="50"/>
      <c r="E84" s="50"/>
      <c r="F84" s="50"/>
      <c r="G84" s="50"/>
      <c r="H84" s="50"/>
      <c r="I84" s="50"/>
      <c r="J84" s="50"/>
      <c r="K84" s="50"/>
      <c r="L84" s="50"/>
    </row>
    <row r="85" spans="1:12" x14ac:dyDescent="0.25">
      <c r="A85" s="50"/>
      <c r="B85" s="50"/>
      <c r="C85" s="50"/>
      <c r="D85" s="50"/>
      <c r="E85" s="50"/>
      <c r="F85" s="50"/>
      <c r="G85" s="50"/>
      <c r="H85" s="50"/>
      <c r="I85" s="50"/>
      <c r="J85" s="50"/>
      <c r="K85" s="50"/>
      <c r="L85" s="50"/>
    </row>
    <row r="86" spans="1:12" x14ac:dyDescent="0.25">
      <c r="A86" s="50"/>
      <c r="B86" s="50"/>
      <c r="C86" s="50"/>
      <c r="D86" s="50"/>
      <c r="E86" s="50"/>
      <c r="F86" s="50"/>
      <c r="G86" s="50"/>
      <c r="H86" s="50"/>
      <c r="I86" s="50"/>
      <c r="J86" s="50"/>
      <c r="K86" s="50"/>
      <c r="L86" s="50"/>
    </row>
    <row r="87" spans="1:12" x14ac:dyDescent="0.25">
      <c r="A87" s="50"/>
      <c r="B87" s="50"/>
      <c r="C87" s="50"/>
      <c r="D87" s="50"/>
      <c r="E87" s="50"/>
      <c r="F87" s="50"/>
      <c r="G87" s="50"/>
      <c r="H87" s="50"/>
      <c r="I87" s="50"/>
      <c r="J87" s="50"/>
      <c r="K87" s="50"/>
      <c r="L87" s="50"/>
    </row>
    <row r="88" spans="1:12" x14ac:dyDescent="0.25">
      <c r="A88" s="50"/>
      <c r="B88" s="50"/>
      <c r="C88" s="50"/>
      <c r="D88" s="50"/>
      <c r="E88" s="50"/>
      <c r="F88" s="50"/>
      <c r="G88" s="50"/>
      <c r="H88" s="50"/>
      <c r="I88" s="50"/>
      <c r="J88" s="50"/>
      <c r="K88" s="50"/>
      <c r="L88" s="50"/>
    </row>
    <row r="89" spans="1:12" x14ac:dyDescent="0.25">
      <c r="A89" s="50"/>
      <c r="B89" s="50"/>
      <c r="C89" s="50"/>
      <c r="D89" s="50"/>
      <c r="E89" s="50"/>
      <c r="F89" s="50"/>
      <c r="G89" s="50"/>
      <c r="H89" s="50"/>
      <c r="I89" s="50"/>
      <c r="J89" s="50"/>
      <c r="K89" s="50"/>
      <c r="L89" s="50"/>
    </row>
    <row r="90" spans="1:12" x14ac:dyDescent="0.25">
      <c r="A90" s="50"/>
      <c r="B90" s="50"/>
      <c r="C90" s="50"/>
      <c r="D90" s="50"/>
      <c r="E90" s="50"/>
      <c r="F90" s="50"/>
      <c r="G90" s="50"/>
      <c r="H90" s="50"/>
      <c r="I90" s="50"/>
      <c r="J90" s="50"/>
      <c r="K90" s="50"/>
      <c r="L90" s="50"/>
    </row>
    <row r="91" spans="1:12" x14ac:dyDescent="0.25">
      <c r="A91" s="50"/>
      <c r="B91" s="50"/>
      <c r="C91" s="50"/>
      <c r="D91" s="50"/>
      <c r="E91" s="50"/>
      <c r="F91" s="50"/>
      <c r="G91" s="50"/>
      <c r="H91" s="50"/>
      <c r="I91" s="50"/>
      <c r="J91" s="50"/>
      <c r="K91" s="50"/>
      <c r="L91" s="50"/>
    </row>
    <row r="92" spans="1:12" x14ac:dyDescent="0.25">
      <c r="A92" s="50"/>
      <c r="B92" s="50"/>
      <c r="C92" s="50"/>
      <c r="D92" s="50"/>
      <c r="E92" s="50"/>
      <c r="F92" s="50"/>
      <c r="G92" s="50"/>
      <c r="H92" s="50"/>
      <c r="I92" s="50"/>
      <c r="J92" s="50"/>
      <c r="K92" s="50"/>
      <c r="L92" s="50"/>
    </row>
    <row r="93" spans="1:12" x14ac:dyDescent="0.25">
      <c r="A93" s="50"/>
      <c r="B93" s="50"/>
      <c r="C93" s="50"/>
      <c r="D93" s="50"/>
      <c r="E93" s="50"/>
      <c r="F93" s="50"/>
      <c r="G93" s="50"/>
      <c r="H93" s="50"/>
      <c r="I93" s="50"/>
      <c r="J93" s="50"/>
      <c r="K93" s="50"/>
      <c r="L93" s="50"/>
    </row>
    <row r="94" spans="1:12" x14ac:dyDescent="0.25">
      <c r="A94" s="50"/>
      <c r="B94" s="50"/>
      <c r="C94" s="50"/>
      <c r="D94" s="50"/>
      <c r="E94" s="50"/>
      <c r="F94" s="50"/>
      <c r="G94" s="50"/>
      <c r="H94" s="50"/>
      <c r="I94" s="50"/>
      <c r="J94" s="50"/>
      <c r="K94" s="50"/>
      <c r="L94" s="50"/>
    </row>
    <row r="95" spans="1:12" x14ac:dyDescent="0.25">
      <c r="A95" s="50"/>
      <c r="B95" s="50"/>
      <c r="C95" s="50"/>
      <c r="D95" s="50"/>
      <c r="E95" s="50"/>
      <c r="F95" s="50"/>
      <c r="G95" s="50"/>
      <c r="H95" s="50"/>
      <c r="I95" s="50"/>
      <c r="J95" s="50"/>
      <c r="K95" s="50"/>
      <c r="L95" s="50"/>
    </row>
    <row r="96" spans="1:12" x14ac:dyDescent="0.25">
      <c r="A96" s="50"/>
      <c r="B96" s="50"/>
      <c r="C96" s="50"/>
      <c r="D96" s="50"/>
      <c r="E96" s="50"/>
      <c r="F96" s="50"/>
      <c r="G96" s="50"/>
      <c r="H96" s="50"/>
      <c r="I96" s="50"/>
      <c r="J96" s="50"/>
      <c r="K96" s="50"/>
      <c r="L96" s="50"/>
    </row>
    <row r="97" spans="1:12" x14ac:dyDescent="0.25">
      <c r="A97" s="50"/>
      <c r="B97" s="50"/>
      <c r="C97" s="50"/>
      <c r="D97" s="50"/>
      <c r="E97" s="50"/>
      <c r="F97" s="50"/>
      <c r="G97" s="50"/>
      <c r="H97" s="50"/>
      <c r="I97" s="50"/>
      <c r="J97" s="50"/>
      <c r="K97" s="50"/>
      <c r="L97" s="50"/>
    </row>
    <row r="98" spans="1:12" x14ac:dyDescent="0.25">
      <c r="A98" s="50"/>
      <c r="B98" s="50"/>
      <c r="C98" s="50"/>
      <c r="D98" s="50"/>
      <c r="E98" s="50"/>
      <c r="F98" s="50"/>
      <c r="G98" s="50"/>
      <c r="H98" s="50"/>
      <c r="I98" s="50"/>
      <c r="J98" s="50"/>
      <c r="K98" s="50"/>
      <c r="L98" s="50"/>
    </row>
    <row r="99" spans="1:12" x14ac:dyDescent="0.25">
      <c r="A99" s="50"/>
      <c r="B99" s="50"/>
      <c r="C99" s="50"/>
      <c r="D99" s="50"/>
      <c r="E99" s="50"/>
      <c r="F99" s="50"/>
      <c r="G99" s="50"/>
      <c r="H99" s="50"/>
      <c r="I99" s="50"/>
      <c r="J99" s="50"/>
      <c r="K99" s="50"/>
      <c r="L99" s="50"/>
    </row>
    <row r="100" spans="1:12" x14ac:dyDescent="0.25">
      <c r="A100" s="50"/>
      <c r="B100" s="50"/>
      <c r="C100" s="50"/>
      <c r="D100" s="50"/>
      <c r="E100" s="50"/>
      <c r="F100" s="50"/>
      <c r="G100" s="50"/>
      <c r="H100" s="50"/>
      <c r="I100" s="50"/>
      <c r="J100" s="50"/>
      <c r="K100" s="50"/>
      <c r="L100" s="50"/>
    </row>
    <row r="101" spans="1:12" x14ac:dyDescent="0.25">
      <c r="A101" s="50"/>
      <c r="B101" s="50"/>
      <c r="C101" s="50"/>
      <c r="D101" s="50"/>
      <c r="E101" s="50"/>
      <c r="F101" s="50"/>
      <c r="G101" s="50"/>
      <c r="H101" s="50"/>
      <c r="I101" s="50"/>
      <c r="J101" s="50"/>
      <c r="K101" s="50"/>
      <c r="L101" s="50"/>
    </row>
    <row r="102" spans="1:12" x14ac:dyDescent="0.25">
      <c r="A102" s="50"/>
      <c r="B102" s="50"/>
      <c r="C102" s="50"/>
      <c r="D102" s="50"/>
      <c r="E102" s="50"/>
      <c r="F102" s="50"/>
      <c r="G102" s="50"/>
      <c r="H102" s="50"/>
      <c r="I102" s="50"/>
      <c r="J102" s="50"/>
      <c r="K102" s="50"/>
      <c r="L102" s="50"/>
    </row>
    <row r="103" spans="1:12" x14ac:dyDescent="0.25">
      <c r="A103" s="50"/>
      <c r="B103" s="50"/>
      <c r="C103" s="50"/>
      <c r="D103" s="50"/>
      <c r="E103" s="50"/>
      <c r="F103" s="50"/>
      <c r="G103" s="50"/>
      <c r="H103" s="50"/>
      <c r="I103" s="50"/>
      <c r="J103" s="50"/>
      <c r="K103" s="50"/>
      <c r="L103" s="50"/>
    </row>
    <row r="104" spans="1:12" x14ac:dyDescent="0.25">
      <c r="A104" s="50"/>
      <c r="B104" s="50"/>
      <c r="C104" s="50"/>
      <c r="D104" s="50"/>
      <c r="E104" s="50"/>
      <c r="F104" s="50"/>
      <c r="G104" s="50"/>
      <c r="H104" s="50"/>
      <c r="I104" s="50"/>
      <c r="J104" s="50"/>
      <c r="K104" s="50"/>
      <c r="L104" s="50"/>
    </row>
    <row r="105" spans="1:12" x14ac:dyDescent="0.25">
      <c r="A105" s="50"/>
      <c r="B105" s="50"/>
      <c r="C105" s="50"/>
      <c r="D105" s="50"/>
      <c r="E105" s="50"/>
      <c r="F105" s="50"/>
      <c r="G105" s="50"/>
      <c r="H105" s="50"/>
      <c r="I105" s="50"/>
      <c r="J105" s="50"/>
      <c r="K105" s="50"/>
      <c r="L105" s="50"/>
    </row>
    <row r="106" spans="1:12" x14ac:dyDescent="0.25">
      <c r="A106" s="50"/>
      <c r="B106" s="50"/>
      <c r="C106" s="50"/>
      <c r="D106" s="50"/>
      <c r="E106" s="50"/>
      <c r="F106" s="50"/>
      <c r="G106" s="50"/>
      <c r="H106" s="50"/>
      <c r="I106" s="50"/>
      <c r="J106" s="50"/>
      <c r="K106" s="50"/>
      <c r="L106" s="50"/>
    </row>
    <row r="107" spans="1:12" x14ac:dyDescent="0.25">
      <c r="A107" s="50"/>
      <c r="B107" s="50"/>
      <c r="C107" s="50"/>
      <c r="D107" s="50"/>
      <c r="E107" s="50"/>
      <c r="F107" s="50"/>
      <c r="G107" s="50"/>
      <c r="H107" s="50"/>
      <c r="I107" s="50"/>
      <c r="J107" s="50"/>
      <c r="K107" s="50"/>
      <c r="L107" s="50"/>
    </row>
    <row r="108" spans="1:12" x14ac:dyDescent="0.25">
      <c r="A108" s="50"/>
      <c r="B108" s="50"/>
      <c r="C108" s="50"/>
      <c r="D108" s="50"/>
      <c r="E108" s="50"/>
      <c r="F108" s="50"/>
      <c r="G108" s="50"/>
      <c r="H108" s="50"/>
      <c r="I108" s="50"/>
      <c r="J108" s="50"/>
      <c r="K108" s="50"/>
      <c r="L108" s="50"/>
    </row>
    <row r="109" spans="1:12" x14ac:dyDescent="0.25">
      <c r="A109" s="50"/>
      <c r="B109" s="50"/>
      <c r="C109" s="50"/>
      <c r="D109" s="50"/>
      <c r="E109" s="50"/>
      <c r="F109" s="50"/>
      <c r="G109" s="50"/>
      <c r="H109" s="50"/>
      <c r="I109" s="50"/>
      <c r="J109" s="50"/>
      <c r="K109" s="50"/>
      <c r="L109" s="50"/>
    </row>
    <row r="110" spans="1:12" x14ac:dyDescent="0.25">
      <c r="A110" s="50"/>
      <c r="B110" s="50"/>
      <c r="C110" s="50"/>
      <c r="D110" s="50"/>
      <c r="E110" s="50"/>
      <c r="F110" s="50"/>
      <c r="G110" s="50"/>
      <c r="H110" s="50"/>
      <c r="I110" s="50"/>
      <c r="J110" s="50"/>
      <c r="K110" s="50"/>
      <c r="L110" s="50"/>
    </row>
    <row r="111" spans="1:12" x14ac:dyDescent="0.25">
      <c r="A111" s="50"/>
      <c r="B111" s="50"/>
      <c r="C111" s="50"/>
      <c r="D111" s="50"/>
      <c r="E111" s="50"/>
      <c r="F111" s="50"/>
      <c r="G111" s="50"/>
      <c r="H111" s="50"/>
      <c r="I111" s="50"/>
      <c r="J111" s="50"/>
      <c r="K111" s="50"/>
      <c r="L111" s="50"/>
    </row>
    <row r="112" spans="1:12" x14ac:dyDescent="0.25">
      <c r="A112" s="50"/>
      <c r="B112" s="50"/>
      <c r="C112" s="50"/>
      <c r="D112" s="50"/>
      <c r="E112" s="50"/>
      <c r="F112" s="50"/>
      <c r="G112" s="50"/>
      <c r="H112" s="50"/>
      <c r="I112" s="50"/>
      <c r="J112" s="50"/>
      <c r="K112" s="50"/>
      <c r="L112" s="50"/>
    </row>
    <row r="113" spans="1:12" x14ac:dyDescent="0.25">
      <c r="A113" s="50"/>
      <c r="B113" s="50"/>
      <c r="C113" s="50"/>
      <c r="D113" s="50"/>
      <c r="E113" s="50"/>
      <c r="F113" s="50"/>
      <c r="G113" s="50"/>
      <c r="H113" s="50"/>
      <c r="I113" s="50"/>
      <c r="J113" s="50"/>
      <c r="K113" s="50"/>
      <c r="L113" s="50"/>
    </row>
    <row r="114" spans="1:12" x14ac:dyDescent="0.25">
      <c r="A114" s="50"/>
      <c r="B114" s="50"/>
      <c r="C114" s="50"/>
      <c r="D114" s="50"/>
      <c r="E114" s="50"/>
      <c r="F114" s="50"/>
      <c r="G114" s="50"/>
      <c r="H114" s="50"/>
      <c r="I114" s="50"/>
      <c r="J114" s="50"/>
      <c r="K114" s="50"/>
      <c r="L114" s="50"/>
    </row>
    <row r="115" spans="1:12" x14ac:dyDescent="0.25">
      <c r="A115" s="50"/>
      <c r="B115" s="50"/>
      <c r="C115" s="50"/>
      <c r="D115" s="50"/>
      <c r="E115" s="50"/>
      <c r="F115" s="50"/>
      <c r="G115" s="50"/>
      <c r="H115" s="50"/>
      <c r="I115" s="50"/>
      <c r="J115" s="50"/>
      <c r="K115" s="50"/>
      <c r="L115" s="50"/>
    </row>
    <row r="116" spans="1:12" x14ac:dyDescent="0.25">
      <c r="A116" s="50"/>
      <c r="B116" s="50"/>
      <c r="C116" s="50"/>
      <c r="D116" s="50"/>
      <c r="E116" s="50"/>
      <c r="F116" s="50"/>
      <c r="G116" s="50"/>
      <c r="H116" s="50"/>
      <c r="I116" s="50"/>
      <c r="J116" s="50"/>
      <c r="K116" s="50"/>
      <c r="L116" s="50"/>
    </row>
    <row r="117" spans="1:12" x14ac:dyDescent="0.25">
      <c r="A117" s="50"/>
      <c r="B117" s="50"/>
      <c r="C117" s="50"/>
      <c r="D117" s="50"/>
      <c r="E117" s="50"/>
      <c r="F117" s="50"/>
      <c r="G117" s="50"/>
      <c r="H117" s="50"/>
      <c r="I117" s="50"/>
      <c r="J117" s="50"/>
      <c r="K117" s="50"/>
      <c r="L117" s="50"/>
    </row>
    <row r="118" spans="1:12" x14ac:dyDescent="0.25">
      <c r="A118" s="50"/>
      <c r="B118" s="50"/>
      <c r="C118" s="50"/>
      <c r="D118" s="50"/>
      <c r="E118" s="50"/>
      <c r="F118" s="50"/>
      <c r="G118" s="50"/>
      <c r="H118" s="50"/>
      <c r="I118" s="50"/>
      <c r="J118" s="50"/>
      <c r="K118" s="50"/>
      <c r="L118" s="50"/>
    </row>
    <row r="119" spans="1:12" x14ac:dyDescent="0.25">
      <c r="A119" s="50"/>
      <c r="B119" s="50"/>
      <c r="C119" s="50"/>
      <c r="D119" s="50"/>
      <c r="E119" s="50"/>
      <c r="F119" s="50"/>
      <c r="G119" s="50"/>
      <c r="H119" s="50"/>
      <c r="I119" s="50"/>
      <c r="J119" s="50"/>
      <c r="K119" s="50"/>
      <c r="L119" s="50"/>
    </row>
    <row r="120" spans="1:12" x14ac:dyDescent="0.25">
      <c r="A120" s="50"/>
      <c r="B120" s="50"/>
      <c r="C120" s="50"/>
      <c r="D120" s="50"/>
      <c r="E120" s="50"/>
      <c r="F120" s="50"/>
      <c r="G120" s="50"/>
      <c r="H120" s="50"/>
      <c r="I120" s="50"/>
      <c r="J120" s="50"/>
      <c r="K120" s="50"/>
      <c r="L120" s="50"/>
    </row>
    <row r="121" spans="1:12" x14ac:dyDescent="0.25">
      <c r="A121" s="50"/>
      <c r="B121" s="50"/>
      <c r="C121" s="50"/>
      <c r="D121" s="50"/>
      <c r="E121" s="50"/>
      <c r="F121" s="50"/>
      <c r="G121" s="50"/>
      <c r="H121" s="50"/>
      <c r="I121" s="50"/>
      <c r="J121" s="50"/>
      <c r="K121" s="50"/>
      <c r="L121" s="50"/>
    </row>
    <row r="122" spans="1:12" x14ac:dyDescent="0.25">
      <c r="A122" s="50"/>
      <c r="B122" s="50"/>
      <c r="C122" s="50"/>
      <c r="D122" s="50"/>
      <c r="E122" s="50"/>
      <c r="F122" s="50"/>
      <c r="G122" s="50"/>
      <c r="H122" s="50"/>
      <c r="I122" s="50"/>
      <c r="J122" s="50"/>
      <c r="K122" s="50"/>
      <c r="L122" s="50"/>
    </row>
    <row r="123" spans="1:12" x14ac:dyDescent="0.25">
      <c r="A123" s="50"/>
      <c r="B123" s="50"/>
      <c r="C123" s="50"/>
      <c r="D123" s="50"/>
      <c r="E123" s="50"/>
      <c r="F123" s="50"/>
      <c r="G123" s="50"/>
      <c r="H123" s="50"/>
      <c r="I123" s="50"/>
      <c r="J123" s="50"/>
      <c r="K123" s="50"/>
      <c r="L123" s="50"/>
    </row>
    <row r="124" spans="1:12" x14ac:dyDescent="0.25">
      <c r="A124" s="50"/>
      <c r="B124" s="50"/>
      <c r="C124" s="50"/>
      <c r="D124" s="50"/>
      <c r="E124" s="50"/>
      <c r="F124" s="50"/>
      <c r="G124" s="50"/>
      <c r="H124" s="50"/>
      <c r="I124" s="50"/>
      <c r="J124" s="50"/>
      <c r="K124" s="50"/>
      <c r="L124" s="50"/>
    </row>
    <row r="125" spans="1:12" x14ac:dyDescent="0.25">
      <c r="A125" s="50"/>
      <c r="B125" s="50"/>
      <c r="C125" s="50"/>
      <c r="D125" s="50"/>
      <c r="E125" s="50"/>
      <c r="F125" s="50"/>
      <c r="G125" s="50"/>
      <c r="H125" s="50"/>
      <c r="I125" s="50"/>
      <c r="J125" s="50"/>
      <c r="K125" s="50"/>
      <c r="L125" s="50"/>
    </row>
    <row r="126" spans="1:12" x14ac:dyDescent="0.25">
      <c r="A126" s="50"/>
      <c r="B126" s="50"/>
      <c r="C126" s="50"/>
      <c r="D126" s="50"/>
      <c r="E126" s="50"/>
      <c r="F126" s="50"/>
      <c r="G126" s="50"/>
      <c r="H126" s="50"/>
      <c r="I126" s="50"/>
      <c r="J126" s="50"/>
      <c r="K126" s="50"/>
      <c r="L126" s="50"/>
    </row>
    <row r="127" spans="1:12" x14ac:dyDescent="0.25">
      <c r="A127" s="50"/>
      <c r="B127" s="50"/>
      <c r="C127" s="50"/>
      <c r="D127" s="50"/>
      <c r="E127" s="50"/>
      <c r="F127" s="50"/>
      <c r="G127" s="50"/>
      <c r="H127" s="50"/>
      <c r="I127" s="50"/>
      <c r="J127" s="50"/>
      <c r="K127" s="50"/>
      <c r="L127" s="50"/>
    </row>
    <row r="128" spans="1:12" x14ac:dyDescent="0.25">
      <c r="A128" s="50"/>
      <c r="B128" s="50"/>
      <c r="C128" s="50"/>
      <c r="D128" s="50"/>
      <c r="E128" s="50"/>
      <c r="F128" s="50"/>
      <c r="G128" s="50"/>
      <c r="H128" s="50"/>
      <c r="I128" s="50"/>
      <c r="J128" s="50"/>
      <c r="K128" s="50"/>
      <c r="L128" s="50"/>
    </row>
    <row r="129" spans="1:12" x14ac:dyDescent="0.25">
      <c r="A129" s="50"/>
      <c r="B129" s="50"/>
      <c r="C129" s="50"/>
      <c r="D129" s="50"/>
      <c r="E129" s="50"/>
      <c r="F129" s="50"/>
      <c r="G129" s="50"/>
      <c r="H129" s="50"/>
      <c r="I129" s="50"/>
      <c r="J129" s="50"/>
      <c r="K129" s="50"/>
      <c r="L129" s="50"/>
    </row>
    <row r="130" spans="1:12" x14ac:dyDescent="0.25">
      <c r="A130" s="50"/>
      <c r="B130" s="50"/>
      <c r="C130" s="50"/>
      <c r="D130" s="50"/>
      <c r="E130" s="50"/>
      <c r="F130" s="50"/>
      <c r="G130" s="50"/>
      <c r="H130" s="50"/>
      <c r="I130" s="50"/>
      <c r="J130" s="50"/>
      <c r="K130" s="50"/>
      <c r="L130" s="50"/>
    </row>
    <row r="131" spans="1:12" x14ac:dyDescent="0.25">
      <c r="A131" s="50"/>
      <c r="B131" s="50"/>
      <c r="C131" s="50"/>
      <c r="D131" s="50"/>
      <c r="E131" s="50"/>
      <c r="F131" s="50"/>
      <c r="G131" s="50"/>
      <c r="H131" s="50"/>
      <c r="I131" s="50"/>
      <c r="J131" s="50"/>
      <c r="K131" s="50"/>
      <c r="L131" s="50"/>
    </row>
    <row r="132" spans="1:12" x14ac:dyDescent="0.25">
      <c r="A132" s="50"/>
      <c r="B132" s="50"/>
      <c r="C132" s="50"/>
      <c r="D132" s="50"/>
      <c r="E132" s="50"/>
      <c r="F132" s="50"/>
      <c r="G132" s="50"/>
      <c r="H132" s="50"/>
      <c r="I132" s="50"/>
      <c r="J132" s="50"/>
      <c r="K132" s="50"/>
      <c r="L132" s="50"/>
    </row>
    <row r="133" spans="1:12" x14ac:dyDescent="0.25">
      <c r="A133" s="50"/>
      <c r="B133" s="50"/>
      <c r="C133" s="50"/>
      <c r="D133" s="50"/>
      <c r="E133" s="50"/>
      <c r="F133" s="50"/>
      <c r="G133" s="50"/>
      <c r="H133" s="50"/>
      <c r="I133" s="50"/>
      <c r="J133" s="50"/>
      <c r="K133" s="50"/>
      <c r="L133" s="50"/>
    </row>
    <row r="134" spans="1:12" x14ac:dyDescent="0.25">
      <c r="A134" s="50"/>
      <c r="B134" s="50"/>
      <c r="C134" s="50"/>
      <c r="D134" s="50"/>
      <c r="E134" s="50"/>
      <c r="F134" s="50"/>
      <c r="G134" s="50"/>
      <c r="H134" s="50"/>
      <c r="I134" s="50"/>
      <c r="J134" s="50"/>
      <c r="K134" s="50"/>
      <c r="L134" s="50"/>
    </row>
    <row r="135" spans="1:12" x14ac:dyDescent="0.25">
      <c r="A135" s="50"/>
      <c r="B135" s="50"/>
      <c r="C135" s="50"/>
      <c r="D135" s="50"/>
      <c r="E135" s="50"/>
      <c r="F135" s="50"/>
      <c r="G135" s="50"/>
      <c r="H135" s="50"/>
      <c r="I135" s="50"/>
      <c r="J135" s="50"/>
      <c r="K135" s="50"/>
      <c r="L135" s="50"/>
    </row>
    <row r="136" spans="1:12" x14ac:dyDescent="0.25">
      <c r="A136" s="50"/>
      <c r="B136" s="50"/>
      <c r="C136" s="50"/>
      <c r="D136" s="50"/>
      <c r="E136" s="50"/>
      <c r="F136" s="50"/>
      <c r="G136" s="50"/>
      <c r="H136" s="50"/>
      <c r="I136" s="50"/>
      <c r="J136" s="50"/>
      <c r="K136" s="50"/>
      <c r="L136" s="50"/>
    </row>
    <row r="137" spans="1:12" x14ac:dyDescent="0.25">
      <c r="A137" s="50"/>
      <c r="B137" s="50"/>
      <c r="C137" s="50"/>
      <c r="D137" s="50"/>
      <c r="E137" s="50"/>
      <c r="F137" s="50"/>
      <c r="G137" s="50"/>
      <c r="H137" s="50"/>
      <c r="I137" s="50"/>
      <c r="J137" s="50"/>
      <c r="K137" s="50"/>
      <c r="L137" s="50"/>
    </row>
    <row r="138" spans="1:12" x14ac:dyDescent="0.25">
      <c r="A138" s="50"/>
      <c r="B138" s="50"/>
      <c r="C138" s="50"/>
      <c r="D138" s="50"/>
      <c r="E138" s="50"/>
      <c r="F138" s="50"/>
      <c r="G138" s="50"/>
      <c r="H138" s="50"/>
      <c r="I138" s="50"/>
      <c r="J138" s="50"/>
      <c r="K138" s="50"/>
      <c r="L138" s="50"/>
    </row>
    <row r="139" spans="1:12" x14ac:dyDescent="0.25">
      <c r="A139" s="50"/>
      <c r="B139" s="50"/>
      <c r="C139" s="50"/>
      <c r="D139" s="50"/>
      <c r="E139" s="50"/>
      <c r="F139" s="50"/>
      <c r="G139" s="50"/>
      <c r="H139" s="50"/>
      <c r="I139" s="50"/>
      <c r="J139" s="50"/>
      <c r="K139" s="50"/>
      <c r="L139" s="50"/>
    </row>
    <row r="140" spans="1:12" x14ac:dyDescent="0.25">
      <c r="A140" s="50"/>
      <c r="B140" s="50"/>
      <c r="C140" s="50"/>
      <c r="D140" s="50"/>
      <c r="E140" s="50"/>
      <c r="F140" s="50"/>
      <c r="G140" s="50"/>
      <c r="H140" s="50"/>
      <c r="I140" s="50"/>
      <c r="J140" s="50"/>
      <c r="K140" s="50"/>
      <c r="L140" s="50"/>
    </row>
    <row r="141" spans="1:12" x14ac:dyDescent="0.25">
      <c r="A141" s="50"/>
      <c r="B141" s="50"/>
      <c r="C141" s="50"/>
      <c r="D141" s="50"/>
      <c r="E141" s="50"/>
      <c r="F141" s="50"/>
      <c r="G141" s="50"/>
      <c r="H141" s="50"/>
      <c r="I141" s="50"/>
      <c r="J141" s="50"/>
      <c r="K141" s="50"/>
      <c r="L141" s="50"/>
    </row>
    <row r="142" spans="1:12" x14ac:dyDescent="0.25">
      <c r="A142" s="50"/>
      <c r="B142" s="50"/>
      <c r="C142" s="50"/>
      <c r="D142" s="50"/>
      <c r="E142" s="50"/>
      <c r="F142" s="50"/>
      <c r="G142" s="50"/>
      <c r="H142" s="50"/>
      <c r="I142" s="50"/>
      <c r="J142" s="50"/>
      <c r="K142" s="50"/>
      <c r="L142" s="50"/>
    </row>
    <row r="143" spans="1:12" x14ac:dyDescent="0.25">
      <c r="A143" s="50"/>
      <c r="B143" s="50"/>
      <c r="C143" s="50"/>
      <c r="D143" s="50"/>
      <c r="E143" s="50"/>
      <c r="F143" s="50"/>
      <c r="G143" s="50"/>
      <c r="H143" s="50"/>
      <c r="I143" s="50"/>
      <c r="J143" s="50"/>
      <c r="K143" s="50"/>
      <c r="L143" s="50"/>
    </row>
    <row r="144" spans="1:12" x14ac:dyDescent="0.25">
      <c r="A144" s="50"/>
      <c r="B144" s="50"/>
      <c r="C144" s="50"/>
      <c r="D144" s="50"/>
      <c r="E144" s="50"/>
      <c r="F144" s="50"/>
      <c r="G144" s="50"/>
      <c r="H144" s="50"/>
      <c r="I144" s="50"/>
      <c r="J144" s="50"/>
      <c r="K144" s="50"/>
      <c r="L144" s="50"/>
    </row>
    <row r="145" spans="1:12" x14ac:dyDescent="0.25">
      <c r="A145" s="50"/>
      <c r="B145" s="50"/>
      <c r="C145" s="50"/>
      <c r="D145" s="50"/>
      <c r="E145" s="50"/>
      <c r="F145" s="50"/>
      <c r="G145" s="50"/>
      <c r="H145" s="50"/>
      <c r="I145" s="50"/>
      <c r="J145" s="50"/>
      <c r="K145" s="50"/>
      <c r="L145" s="50"/>
    </row>
    <row r="146" spans="1:12" x14ac:dyDescent="0.25">
      <c r="A146" s="50"/>
      <c r="B146" s="50"/>
      <c r="C146" s="50"/>
      <c r="D146" s="50"/>
      <c r="E146" s="50"/>
      <c r="F146" s="50"/>
      <c r="G146" s="50"/>
      <c r="H146" s="50"/>
      <c r="I146" s="50"/>
      <c r="J146" s="50"/>
      <c r="K146" s="50"/>
      <c r="L146" s="50"/>
    </row>
  </sheetData>
  <pageMargins left="0.75" right="0.75" top="1" bottom="1" header="0.5" footer="0.5"/>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M146"/>
  <sheetViews>
    <sheetView zoomScale="74" zoomScaleNormal="74" workbookViewId="0">
      <pane ySplit="6" topLeftCell="A7" activePane="bottomLeft" state="frozen"/>
      <selection activeCell="A9" sqref="A9"/>
      <selection pane="bottomLeft" activeCell="A9" sqref="A9"/>
    </sheetView>
  </sheetViews>
  <sheetFormatPr defaultColWidth="9.140625" defaultRowHeight="15" x14ac:dyDescent="0.25"/>
  <cols>
    <col min="1" max="2" width="9.140625" style="114"/>
    <col min="3" max="3" width="20.28515625" style="12" bestFit="1" customWidth="1"/>
    <col min="4" max="4" width="10.140625" style="12" bestFit="1" customWidth="1"/>
    <col min="5" max="7" width="9.28515625" style="12" bestFit="1" customWidth="1"/>
    <col min="8" max="14" width="8.5703125" style="12" customWidth="1"/>
    <col min="15" max="31" width="8.5703125" style="50" customWidth="1"/>
    <col min="32" max="40" width="5.7109375" style="50" customWidth="1"/>
    <col min="41" max="16384" width="9.140625" style="50"/>
  </cols>
  <sheetData>
    <row r="1" spans="1:39" x14ac:dyDescent="0.25">
      <c r="C1" s="38" t="s">
        <v>28</v>
      </c>
      <c r="D1" s="39" t="s">
        <v>76</v>
      </c>
    </row>
    <row r="2" spans="1:39" s="2" customFormat="1" x14ac:dyDescent="0.25">
      <c r="A2" s="112"/>
      <c r="B2" s="112"/>
      <c r="C2" s="65" t="s">
        <v>47</v>
      </c>
      <c r="D2" s="84"/>
    </row>
    <row r="3" spans="1:39" s="2" customFormat="1" x14ac:dyDescent="0.25">
      <c r="A3" s="112"/>
      <c r="B3" s="112"/>
    </row>
    <row r="4" spans="1:39" s="2" customFormat="1" ht="30" x14ac:dyDescent="0.25">
      <c r="A4" s="112"/>
      <c r="B4" s="112"/>
      <c r="C4" s="33" t="s">
        <v>98</v>
      </c>
      <c r="D4" s="36" t="s">
        <v>97</v>
      </c>
      <c r="E4" s="34"/>
      <c r="F4" s="34"/>
      <c r="G4" s="34"/>
      <c r="H4" s="34"/>
      <c r="I4" s="34"/>
      <c r="J4" s="34"/>
      <c r="K4" s="34"/>
      <c r="L4" s="34"/>
      <c r="M4" s="34"/>
      <c r="N4" s="34"/>
      <c r="O4" s="34"/>
      <c r="P4" s="34"/>
      <c r="Q4" s="34"/>
      <c r="R4" s="34"/>
      <c r="S4" s="34"/>
      <c r="T4" s="35"/>
      <c r="U4"/>
      <c r="V4"/>
      <c r="W4"/>
      <c r="X4"/>
      <c r="Y4"/>
      <c r="Z4"/>
      <c r="AA4"/>
      <c r="AB4" s="50"/>
      <c r="AC4" s="50"/>
    </row>
    <row r="5" spans="1:39" s="83" customFormat="1" x14ac:dyDescent="0.25">
      <c r="A5" s="113"/>
      <c r="B5" s="113"/>
      <c r="C5" s="33" t="s">
        <v>5</v>
      </c>
      <c r="D5" s="23" t="s">
        <v>45</v>
      </c>
      <c r="E5" s="57" t="s">
        <v>41</v>
      </c>
      <c r="F5" s="57" t="s">
        <v>29</v>
      </c>
      <c r="G5" s="57" t="s">
        <v>107</v>
      </c>
      <c r="H5" s="57" t="s">
        <v>112</v>
      </c>
      <c r="I5" s="57" t="s">
        <v>114</v>
      </c>
      <c r="J5" s="57" t="s">
        <v>118</v>
      </c>
      <c r="K5" s="57" t="s">
        <v>120</v>
      </c>
      <c r="L5" s="57" t="s">
        <v>127</v>
      </c>
      <c r="M5" s="57" t="s">
        <v>138</v>
      </c>
      <c r="N5" s="57" t="s">
        <v>46</v>
      </c>
      <c r="O5" s="57" t="s">
        <v>148</v>
      </c>
      <c r="P5" s="57" t="s">
        <v>153</v>
      </c>
      <c r="Q5" s="57" t="s">
        <v>163</v>
      </c>
      <c r="R5" s="57" t="s">
        <v>178</v>
      </c>
      <c r="S5" s="57" t="s">
        <v>155</v>
      </c>
      <c r="T5" s="58" t="s">
        <v>379</v>
      </c>
      <c r="U5"/>
      <c r="V5"/>
      <c r="W5"/>
      <c r="X5"/>
      <c r="Y5"/>
      <c r="Z5"/>
      <c r="AA5"/>
      <c r="AB5" s="50"/>
      <c r="AC5" s="50"/>
      <c r="AD5" s="2"/>
      <c r="AE5" s="2"/>
      <c r="AF5" s="2"/>
      <c r="AG5" s="2"/>
      <c r="AH5" s="2"/>
      <c r="AI5" s="2"/>
      <c r="AJ5" s="2"/>
      <c r="AK5" s="2"/>
      <c r="AL5" s="2"/>
      <c r="AM5" s="2"/>
    </row>
    <row r="6" spans="1:39" s="2" customFormat="1" x14ac:dyDescent="0.25">
      <c r="A6" s="112">
        <f>C6</f>
        <v>45</v>
      </c>
      <c r="B6" s="112" t="str">
        <f>CONCATENATE(IF(D6&gt;0,$D$5,""),IF(E6&gt;0,$E$5,""),IF(F6&gt;0,$F$5,""),IF(G6&gt;0,$G$5,""),IF(H6&gt;0,$H$5,""))</f>
        <v>AKI</v>
      </c>
      <c r="C6" s="23">
        <v>45</v>
      </c>
      <c r="D6" s="68">
        <v>1</v>
      </c>
      <c r="E6" s="62">
        <v>2</v>
      </c>
      <c r="F6" s="62"/>
      <c r="G6" s="62">
        <v>2</v>
      </c>
      <c r="H6" s="62"/>
      <c r="I6" s="62"/>
      <c r="J6" s="62">
        <v>2</v>
      </c>
      <c r="K6" s="62"/>
      <c r="L6" s="62"/>
      <c r="M6" s="62">
        <v>3</v>
      </c>
      <c r="N6" s="62"/>
      <c r="O6" s="62"/>
      <c r="P6" s="62"/>
      <c r="Q6" s="62"/>
      <c r="R6" s="62"/>
      <c r="S6" s="62"/>
      <c r="T6" s="59"/>
      <c r="U6"/>
      <c r="V6"/>
      <c r="W6"/>
      <c r="X6"/>
      <c r="Y6"/>
      <c r="Z6"/>
      <c r="AA6"/>
      <c r="AB6" s="50"/>
      <c r="AC6" s="50"/>
    </row>
    <row r="7" spans="1:39" x14ac:dyDescent="0.25">
      <c r="A7" s="112">
        <f t="shared" ref="A7:A47" si="0">C7</f>
        <v>135</v>
      </c>
      <c r="B7" s="112" t="str">
        <f t="shared" ref="B7:B47" si="1">CONCATENATE(IF(D7&gt;0,$D$5,""),IF(E7&gt;0,$E$5,""),IF(F7&gt;0,$F$5,""),IF(G7&gt;0,$G$5,""),IF(H7&gt;0,$H$5,""))</f>
        <v>AK</v>
      </c>
      <c r="C7" s="37">
        <v>135</v>
      </c>
      <c r="D7" s="69">
        <v>3</v>
      </c>
      <c r="E7" s="64">
        <v>2</v>
      </c>
      <c r="F7" s="64"/>
      <c r="G7" s="64"/>
      <c r="H7" s="64"/>
      <c r="I7" s="64">
        <v>2</v>
      </c>
      <c r="J7" s="64"/>
      <c r="K7" s="64"/>
      <c r="L7" s="64"/>
      <c r="M7" s="64">
        <v>5</v>
      </c>
      <c r="N7" s="64"/>
      <c r="O7" s="64"/>
      <c r="P7" s="64"/>
      <c r="Q7" s="64"/>
      <c r="R7" s="64"/>
      <c r="S7" s="64"/>
      <c r="T7" s="60"/>
      <c r="U7"/>
      <c r="V7"/>
      <c r="W7"/>
      <c r="X7"/>
      <c r="Y7"/>
      <c r="Z7"/>
      <c r="AA7"/>
    </row>
    <row r="8" spans="1:39" x14ac:dyDescent="0.25">
      <c r="A8" s="112">
        <f t="shared" si="0"/>
        <v>234</v>
      </c>
      <c r="B8" s="112" t="str">
        <f t="shared" si="1"/>
        <v>AKI</v>
      </c>
      <c r="C8" s="37">
        <v>234</v>
      </c>
      <c r="D8" s="69">
        <v>1</v>
      </c>
      <c r="E8" s="64">
        <v>4</v>
      </c>
      <c r="F8" s="64"/>
      <c r="G8" s="64">
        <v>2</v>
      </c>
      <c r="H8" s="64"/>
      <c r="I8" s="64"/>
      <c r="J8" s="64"/>
      <c r="K8" s="64"/>
      <c r="L8" s="64"/>
      <c r="M8" s="64"/>
      <c r="N8" s="64"/>
      <c r="O8" s="64"/>
      <c r="P8" s="64"/>
      <c r="Q8" s="64">
        <v>2</v>
      </c>
      <c r="R8" s="64"/>
      <c r="S8" s="64"/>
      <c r="T8" s="60"/>
      <c r="U8"/>
      <c r="V8"/>
      <c r="W8"/>
      <c r="X8"/>
      <c r="Y8"/>
      <c r="Z8"/>
      <c r="AA8"/>
    </row>
    <row r="9" spans="1:39" x14ac:dyDescent="0.25">
      <c r="A9" s="112">
        <f t="shared" si="0"/>
        <v>292</v>
      </c>
      <c r="B9" s="112" t="str">
        <f t="shared" si="1"/>
        <v>AI</v>
      </c>
      <c r="C9" s="37">
        <v>292</v>
      </c>
      <c r="D9" s="69">
        <v>2</v>
      </c>
      <c r="E9" s="64"/>
      <c r="F9" s="64"/>
      <c r="G9" s="64">
        <v>11</v>
      </c>
      <c r="H9" s="64"/>
      <c r="I9" s="64"/>
      <c r="J9" s="64"/>
      <c r="K9" s="64">
        <v>3</v>
      </c>
      <c r="L9" s="64"/>
      <c r="M9" s="64">
        <v>1</v>
      </c>
      <c r="N9" s="64"/>
      <c r="O9" s="64"/>
      <c r="P9" s="64"/>
      <c r="Q9" s="64"/>
      <c r="R9" s="64"/>
      <c r="S9" s="64"/>
      <c r="T9" s="60"/>
      <c r="U9"/>
      <c r="V9"/>
      <c r="W9"/>
      <c r="X9"/>
      <c r="Y9"/>
      <c r="Z9"/>
      <c r="AA9"/>
    </row>
    <row r="10" spans="1:39" x14ac:dyDescent="0.25">
      <c r="A10" s="112">
        <f t="shared" si="0"/>
        <v>359</v>
      </c>
      <c r="B10" s="112" t="str">
        <f t="shared" si="1"/>
        <v>AK</v>
      </c>
      <c r="C10" s="37">
        <v>359</v>
      </c>
      <c r="D10" s="69">
        <v>3</v>
      </c>
      <c r="E10" s="64">
        <v>4</v>
      </c>
      <c r="F10" s="64"/>
      <c r="G10" s="64"/>
      <c r="H10" s="64"/>
      <c r="I10" s="64"/>
      <c r="J10" s="64">
        <v>3</v>
      </c>
      <c r="K10" s="64"/>
      <c r="L10" s="64"/>
      <c r="M10" s="64"/>
      <c r="N10" s="64"/>
      <c r="O10" s="64"/>
      <c r="P10" s="64"/>
      <c r="Q10" s="64"/>
      <c r="R10" s="64"/>
      <c r="S10" s="64"/>
      <c r="T10" s="60"/>
      <c r="U10"/>
      <c r="V10"/>
      <c r="W10"/>
      <c r="X10"/>
      <c r="Y10"/>
      <c r="Z10"/>
      <c r="AA10"/>
    </row>
    <row r="11" spans="1:39" x14ac:dyDescent="0.25">
      <c r="A11" s="112">
        <f t="shared" si="0"/>
        <v>461</v>
      </c>
      <c r="B11" s="112" t="str">
        <f t="shared" si="1"/>
        <v>AK</v>
      </c>
      <c r="C11" s="37">
        <v>461</v>
      </c>
      <c r="D11" s="69">
        <v>6</v>
      </c>
      <c r="E11" s="64">
        <v>2</v>
      </c>
      <c r="F11" s="64"/>
      <c r="G11" s="64"/>
      <c r="H11" s="64"/>
      <c r="I11" s="64"/>
      <c r="J11" s="64"/>
      <c r="K11" s="64"/>
      <c r="L11" s="64"/>
      <c r="M11" s="64"/>
      <c r="N11" s="64"/>
      <c r="O11" s="64">
        <v>2</v>
      </c>
      <c r="P11" s="64"/>
      <c r="Q11" s="64"/>
      <c r="R11" s="64"/>
      <c r="S11" s="64"/>
      <c r="T11" s="60"/>
      <c r="U11"/>
      <c r="V11"/>
      <c r="W11"/>
      <c r="X11"/>
      <c r="Y11"/>
      <c r="Z11"/>
      <c r="AA11"/>
    </row>
    <row r="12" spans="1:39" x14ac:dyDescent="0.25">
      <c r="A12" s="112">
        <f t="shared" si="0"/>
        <v>829</v>
      </c>
      <c r="B12" s="112" t="str">
        <f t="shared" si="1"/>
        <v>AKI</v>
      </c>
      <c r="C12" s="37">
        <v>829</v>
      </c>
      <c r="D12" s="69">
        <v>2</v>
      </c>
      <c r="E12" s="64">
        <v>2</v>
      </c>
      <c r="F12" s="64"/>
      <c r="G12" s="64">
        <v>4</v>
      </c>
      <c r="H12" s="64"/>
      <c r="I12" s="64"/>
      <c r="J12" s="64"/>
      <c r="K12" s="64"/>
      <c r="L12" s="64"/>
      <c r="M12" s="64">
        <v>3</v>
      </c>
      <c r="N12" s="64"/>
      <c r="O12" s="64"/>
      <c r="P12" s="64"/>
      <c r="Q12" s="64">
        <v>2</v>
      </c>
      <c r="R12" s="64"/>
      <c r="S12" s="64"/>
      <c r="T12" s="60"/>
      <c r="U12"/>
      <c r="V12"/>
      <c r="W12"/>
      <c r="X12"/>
      <c r="Y12"/>
      <c r="Z12"/>
      <c r="AA12"/>
    </row>
    <row r="13" spans="1:39" x14ac:dyDescent="0.25">
      <c r="A13" s="112">
        <f t="shared" si="0"/>
        <v>868</v>
      </c>
      <c r="B13" s="112" t="str">
        <f t="shared" si="1"/>
        <v>AKI</v>
      </c>
      <c r="C13" s="37">
        <v>868</v>
      </c>
      <c r="D13" s="69">
        <v>2</v>
      </c>
      <c r="E13" s="64">
        <v>8</v>
      </c>
      <c r="F13" s="64"/>
      <c r="G13" s="64">
        <v>3</v>
      </c>
      <c r="H13" s="64"/>
      <c r="I13" s="64"/>
      <c r="J13" s="64"/>
      <c r="K13" s="64"/>
      <c r="L13" s="64"/>
      <c r="M13" s="64">
        <v>1</v>
      </c>
      <c r="N13" s="64"/>
      <c r="O13" s="64"/>
      <c r="P13" s="64"/>
      <c r="Q13" s="64"/>
      <c r="R13" s="64"/>
      <c r="S13" s="64"/>
      <c r="T13" s="60"/>
      <c r="U13"/>
      <c r="V13"/>
      <c r="W13"/>
      <c r="X13"/>
      <c r="Y13"/>
      <c r="Z13"/>
      <c r="AA13"/>
    </row>
    <row r="14" spans="1:39" x14ac:dyDescent="0.25">
      <c r="A14" s="112">
        <f t="shared" si="0"/>
        <v>1024</v>
      </c>
      <c r="B14" s="112" t="str">
        <f t="shared" si="1"/>
        <v>AKI</v>
      </c>
      <c r="C14" s="37">
        <v>1024</v>
      </c>
      <c r="D14" s="69">
        <v>2</v>
      </c>
      <c r="E14" s="64">
        <v>2</v>
      </c>
      <c r="F14" s="64"/>
      <c r="G14" s="64">
        <v>7</v>
      </c>
      <c r="H14" s="64"/>
      <c r="I14" s="64"/>
      <c r="J14" s="64"/>
      <c r="K14" s="64"/>
      <c r="L14" s="64"/>
      <c r="M14" s="64"/>
      <c r="N14" s="64"/>
      <c r="O14" s="64"/>
      <c r="P14" s="64"/>
      <c r="Q14" s="64"/>
      <c r="R14" s="64"/>
      <c r="S14" s="64"/>
      <c r="T14" s="60"/>
      <c r="U14"/>
      <c r="V14"/>
      <c r="W14"/>
      <c r="X14"/>
      <c r="Y14"/>
      <c r="Z14"/>
      <c r="AA14"/>
    </row>
    <row r="15" spans="1:39" x14ac:dyDescent="0.25">
      <c r="A15" s="112">
        <f t="shared" si="0"/>
        <v>1501</v>
      </c>
      <c r="B15" s="112" t="str">
        <f t="shared" si="1"/>
        <v>AKI</v>
      </c>
      <c r="C15" s="37">
        <v>1501</v>
      </c>
      <c r="D15" s="69">
        <v>4</v>
      </c>
      <c r="E15" s="64">
        <v>7</v>
      </c>
      <c r="F15" s="64"/>
      <c r="G15" s="64">
        <v>2</v>
      </c>
      <c r="H15" s="64"/>
      <c r="I15" s="64"/>
      <c r="J15" s="64"/>
      <c r="K15" s="64"/>
      <c r="L15" s="64"/>
      <c r="M15" s="64"/>
      <c r="N15" s="64"/>
      <c r="O15" s="64"/>
      <c r="P15" s="64">
        <v>1</v>
      </c>
      <c r="Q15" s="64"/>
      <c r="R15" s="64"/>
      <c r="S15" s="64"/>
      <c r="T15" s="60"/>
      <c r="U15"/>
      <c r="V15"/>
      <c r="W15"/>
      <c r="X15"/>
      <c r="Y15"/>
      <c r="Z15"/>
      <c r="AA15"/>
    </row>
    <row r="16" spans="1:39" x14ac:dyDescent="0.25">
      <c r="A16" s="112">
        <f t="shared" si="0"/>
        <v>1646</v>
      </c>
      <c r="B16" s="112" t="str">
        <f t="shared" si="1"/>
        <v>A</v>
      </c>
      <c r="C16" s="37">
        <v>1646</v>
      </c>
      <c r="D16" s="69">
        <v>5</v>
      </c>
      <c r="E16" s="64"/>
      <c r="F16" s="64"/>
      <c r="G16" s="64"/>
      <c r="H16" s="64"/>
      <c r="I16" s="64"/>
      <c r="J16" s="64"/>
      <c r="K16" s="64"/>
      <c r="L16" s="64"/>
      <c r="M16" s="64">
        <v>7</v>
      </c>
      <c r="N16" s="64"/>
      <c r="O16" s="64"/>
      <c r="P16" s="64"/>
      <c r="Q16" s="64"/>
      <c r="R16" s="64"/>
      <c r="S16" s="64"/>
      <c r="T16" s="60"/>
      <c r="U16"/>
      <c r="V16"/>
      <c r="W16"/>
      <c r="X16"/>
      <c r="Y16"/>
      <c r="Z16"/>
      <c r="AA16"/>
    </row>
    <row r="17" spans="1:27" x14ac:dyDescent="0.25">
      <c r="A17" s="112">
        <f t="shared" si="0"/>
        <v>1732</v>
      </c>
      <c r="B17" s="112" t="str">
        <f t="shared" si="1"/>
        <v>AKI</v>
      </c>
      <c r="C17" s="37">
        <v>1732</v>
      </c>
      <c r="D17" s="69">
        <v>5</v>
      </c>
      <c r="E17" s="64">
        <v>5</v>
      </c>
      <c r="F17" s="64"/>
      <c r="G17" s="64">
        <v>1</v>
      </c>
      <c r="H17" s="64"/>
      <c r="I17" s="64"/>
      <c r="J17" s="64">
        <v>1</v>
      </c>
      <c r="K17" s="64"/>
      <c r="L17" s="64"/>
      <c r="M17" s="64"/>
      <c r="N17" s="64"/>
      <c r="O17" s="64"/>
      <c r="P17" s="64">
        <v>3</v>
      </c>
      <c r="Q17" s="64"/>
      <c r="R17" s="64"/>
      <c r="S17" s="64"/>
      <c r="T17" s="60"/>
      <c r="U17"/>
      <c r="V17"/>
      <c r="W17"/>
      <c r="X17"/>
      <c r="Y17"/>
      <c r="Z17"/>
      <c r="AA17"/>
    </row>
    <row r="18" spans="1:27" x14ac:dyDescent="0.25">
      <c r="A18" s="112">
        <f t="shared" si="0"/>
        <v>1736</v>
      </c>
      <c r="B18" s="112" t="str">
        <f t="shared" si="1"/>
        <v>AKI</v>
      </c>
      <c r="C18" s="37">
        <v>1736</v>
      </c>
      <c r="D18" s="69">
        <v>10</v>
      </c>
      <c r="E18" s="64">
        <v>11</v>
      </c>
      <c r="F18" s="64"/>
      <c r="G18" s="64">
        <v>1</v>
      </c>
      <c r="H18" s="64"/>
      <c r="I18" s="64"/>
      <c r="J18" s="64"/>
      <c r="K18" s="64"/>
      <c r="L18" s="64"/>
      <c r="M18" s="64"/>
      <c r="N18" s="64"/>
      <c r="O18" s="64"/>
      <c r="P18" s="64">
        <v>2</v>
      </c>
      <c r="Q18" s="64"/>
      <c r="R18" s="64"/>
      <c r="S18" s="64"/>
      <c r="T18" s="60"/>
      <c r="U18"/>
      <c r="V18"/>
      <c r="W18"/>
      <c r="X18"/>
      <c r="Y18"/>
      <c r="Z18"/>
      <c r="AA18"/>
    </row>
    <row r="19" spans="1:27" x14ac:dyDescent="0.25">
      <c r="A19" s="112">
        <f t="shared" si="0"/>
        <v>1741</v>
      </c>
      <c r="B19" s="112" t="str">
        <f t="shared" si="1"/>
        <v>AKI</v>
      </c>
      <c r="C19" s="37">
        <v>1741</v>
      </c>
      <c r="D19" s="69">
        <v>3</v>
      </c>
      <c r="E19" s="64">
        <v>2</v>
      </c>
      <c r="F19" s="64"/>
      <c r="G19" s="64">
        <v>5</v>
      </c>
      <c r="H19" s="64"/>
      <c r="I19" s="64"/>
      <c r="J19" s="64"/>
      <c r="K19" s="64"/>
      <c r="L19" s="64"/>
      <c r="M19" s="64">
        <v>4</v>
      </c>
      <c r="N19" s="64"/>
      <c r="O19" s="64"/>
      <c r="P19" s="64"/>
      <c r="Q19" s="64"/>
      <c r="R19" s="64"/>
      <c r="S19" s="64"/>
      <c r="T19" s="60"/>
      <c r="U19"/>
      <c r="V19"/>
      <c r="W19"/>
      <c r="X19"/>
      <c r="Y19"/>
      <c r="Z19"/>
      <c r="AA19"/>
    </row>
    <row r="20" spans="1:27" x14ac:dyDescent="0.25">
      <c r="A20" s="112">
        <f t="shared" si="0"/>
        <v>1747</v>
      </c>
      <c r="B20" s="112" t="str">
        <f t="shared" si="1"/>
        <v>A</v>
      </c>
      <c r="C20" s="37">
        <v>1747</v>
      </c>
      <c r="D20" s="69">
        <v>5</v>
      </c>
      <c r="E20" s="64"/>
      <c r="F20" s="64"/>
      <c r="G20" s="64"/>
      <c r="H20" s="64"/>
      <c r="I20" s="64"/>
      <c r="J20" s="64"/>
      <c r="K20" s="64">
        <v>5</v>
      </c>
      <c r="L20" s="64"/>
      <c r="M20" s="64"/>
      <c r="N20" s="64"/>
      <c r="O20" s="64"/>
      <c r="P20" s="64"/>
      <c r="Q20" s="64"/>
      <c r="R20" s="64"/>
      <c r="S20" s="64"/>
      <c r="T20" s="60"/>
      <c r="U20"/>
      <c r="V20"/>
      <c r="W20"/>
      <c r="X20"/>
      <c r="Y20"/>
      <c r="Z20"/>
      <c r="AA20"/>
    </row>
    <row r="21" spans="1:27" x14ac:dyDescent="0.25">
      <c r="A21" s="112">
        <f t="shared" si="0"/>
        <v>1756</v>
      </c>
      <c r="B21" s="112" t="str">
        <f t="shared" si="1"/>
        <v>AKI</v>
      </c>
      <c r="C21" s="37">
        <v>1756</v>
      </c>
      <c r="D21" s="69">
        <v>16</v>
      </c>
      <c r="E21" s="64">
        <v>4</v>
      </c>
      <c r="F21" s="64"/>
      <c r="G21" s="64">
        <v>1</v>
      </c>
      <c r="H21" s="64"/>
      <c r="I21" s="64"/>
      <c r="J21" s="64">
        <v>5</v>
      </c>
      <c r="K21" s="64"/>
      <c r="L21" s="64"/>
      <c r="M21" s="64">
        <v>1</v>
      </c>
      <c r="N21" s="64"/>
      <c r="O21" s="64"/>
      <c r="P21" s="64">
        <v>1</v>
      </c>
      <c r="Q21" s="64"/>
      <c r="R21" s="64"/>
      <c r="S21" s="64"/>
      <c r="T21" s="60"/>
      <c r="U21"/>
      <c r="V21"/>
      <c r="W21"/>
      <c r="X21"/>
      <c r="Y21"/>
      <c r="Z21"/>
      <c r="AA21"/>
    </row>
    <row r="22" spans="1:27" x14ac:dyDescent="0.25">
      <c r="A22" s="112">
        <f t="shared" si="0"/>
        <v>1872</v>
      </c>
      <c r="B22" s="112" t="str">
        <f t="shared" si="1"/>
        <v>AKI</v>
      </c>
      <c r="C22" s="37">
        <v>1872</v>
      </c>
      <c r="D22" s="69">
        <v>2</v>
      </c>
      <c r="E22" s="64">
        <v>2</v>
      </c>
      <c r="F22" s="64"/>
      <c r="G22" s="64">
        <v>2</v>
      </c>
      <c r="H22" s="64"/>
      <c r="I22" s="64"/>
      <c r="J22" s="64"/>
      <c r="K22" s="64">
        <v>5</v>
      </c>
      <c r="L22" s="64"/>
      <c r="M22" s="64">
        <v>2</v>
      </c>
      <c r="N22" s="64"/>
      <c r="O22" s="64"/>
      <c r="P22" s="64"/>
      <c r="Q22" s="64"/>
      <c r="R22" s="64"/>
      <c r="S22" s="64"/>
      <c r="T22" s="60"/>
      <c r="U22"/>
      <c r="V22"/>
      <c r="W22"/>
      <c r="X22"/>
      <c r="Y22"/>
      <c r="Z22"/>
      <c r="AA22"/>
    </row>
    <row r="23" spans="1:27" x14ac:dyDescent="0.25">
      <c r="A23" s="112">
        <f t="shared" si="0"/>
        <v>2040</v>
      </c>
      <c r="B23" s="112" t="str">
        <f t="shared" si="1"/>
        <v>AKI</v>
      </c>
      <c r="C23" s="37">
        <v>2040</v>
      </c>
      <c r="D23" s="69">
        <v>4</v>
      </c>
      <c r="E23" s="64">
        <v>7</v>
      </c>
      <c r="F23" s="64"/>
      <c r="G23" s="64">
        <v>1</v>
      </c>
      <c r="H23" s="64"/>
      <c r="I23" s="64"/>
      <c r="J23" s="64">
        <v>1</v>
      </c>
      <c r="K23" s="64"/>
      <c r="L23" s="64"/>
      <c r="M23" s="64">
        <v>1</v>
      </c>
      <c r="N23" s="64"/>
      <c r="O23" s="64"/>
      <c r="P23" s="64"/>
      <c r="Q23" s="64"/>
      <c r="R23" s="64"/>
      <c r="S23" s="64"/>
      <c r="T23" s="60"/>
      <c r="U23"/>
      <c r="V23"/>
      <c r="W23"/>
      <c r="X23"/>
      <c r="Y23"/>
      <c r="Z23"/>
      <c r="AA23"/>
    </row>
    <row r="24" spans="1:27" x14ac:dyDescent="0.25">
      <c r="A24" s="112">
        <f t="shared" si="0"/>
        <v>2171</v>
      </c>
      <c r="B24" s="112" t="str">
        <f t="shared" si="1"/>
        <v>AI</v>
      </c>
      <c r="C24" s="37">
        <v>2171</v>
      </c>
      <c r="D24" s="69">
        <v>6</v>
      </c>
      <c r="E24" s="64"/>
      <c r="F24" s="64"/>
      <c r="G24" s="64">
        <v>3</v>
      </c>
      <c r="H24" s="64"/>
      <c r="I24" s="64"/>
      <c r="J24" s="64"/>
      <c r="K24" s="64">
        <v>2</v>
      </c>
      <c r="L24" s="64"/>
      <c r="M24" s="64">
        <v>1</v>
      </c>
      <c r="N24" s="64"/>
      <c r="O24" s="64"/>
      <c r="P24" s="64"/>
      <c r="Q24" s="64"/>
      <c r="R24" s="64"/>
      <c r="S24" s="64"/>
      <c r="T24" s="60"/>
      <c r="U24"/>
      <c r="V24"/>
      <c r="W24"/>
      <c r="X24"/>
      <c r="Y24"/>
      <c r="Z24"/>
      <c r="AA24"/>
    </row>
    <row r="25" spans="1:27" x14ac:dyDescent="0.25">
      <c r="A25" s="112">
        <f t="shared" si="0"/>
        <v>2197</v>
      </c>
      <c r="B25" s="112" t="str">
        <f t="shared" si="1"/>
        <v>AKI</v>
      </c>
      <c r="C25" s="37">
        <v>2197</v>
      </c>
      <c r="D25" s="69">
        <v>3</v>
      </c>
      <c r="E25" s="64">
        <v>2</v>
      </c>
      <c r="F25" s="64"/>
      <c r="G25" s="64">
        <v>1</v>
      </c>
      <c r="H25" s="64"/>
      <c r="I25" s="64"/>
      <c r="J25" s="64"/>
      <c r="K25" s="64"/>
      <c r="L25" s="64"/>
      <c r="M25" s="64">
        <v>7</v>
      </c>
      <c r="N25" s="64"/>
      <c r="O25" s="64"/>
      <c r="P25" s="64">
        <v>1</v>
      </c>
      <c r="Q25" s="64"/>
      <c r="R25" s="64"/>
      <c r="S25" s="64"/>
      <c r="T25" s="60"/>
      <c r="U25"/>
      <c r="V25"/>
      <c r="W25"/>
      <c r="X25"/>
      <c r="Y25"/>
      <c r="Z25"/>
      <c r="AA25"/>
    </row>
    <row r="26" spans="1:27" x14ac:dyDescent="0.25">
      <c r="A26" s="112">
        <f t="shared" si="0"/>
        <v>2867</v>
      </c>
      <c r="B26" s="112" t="str">
        <f t="shared" si="1"/>
        <v>AID</v>
      </c>
      <c r="C26" s="37">
        <v>2867</v>
      </c>
      <c r="D26" s="69">
        <v>9</v>
      </c>
      <c r="E26" s="64"/>
      <c r="F26" s="64"/>
      <c r="G26" s="64">
        <v>2</v>
      </c>
      <c r="H26" s="64">
        <v>1</v>
      </c>
      <c r="I26" s="64"/>
      <c r="J26" s="64"/>
      <c r="K26" s="64">
        <v>2</v>
      </c>
      <c r="L26" s="64"/>
      <c r="M26" s="64"/>
      <c r="N26" s="64"/>
      <c r="O26" s="64"/>
      <c r="P26" s="64"/>
      <c r="Q26" s="64"/>
      <c r="R26" s="64"/>
      <c r="S26" s="64"/>
      <c r="T26" s="60"/>
      <c r="U26"/>
      <c r="V26"/>
      <c r="W26"/>
      <c r="X26"/>
      <c r="Y26"/>
      <c r="Z26"/>
      <c r="AA26"/>
    </row>
    <row r="27" spans="1:27" x14ac:dyDescent="0.25">
      <c r="A27" s="112">
        <f t="shared" si="0"/>
        <v>3147</v>
      </c>
      <c r="B27" s="112" t="str">
        <f t="shared" si="1"/>
        <v>AK</v>
      </c>
      <c r="C27" s="37">
        <v>3147</v>
      </c>
      <c r="D27" s="69">
        <v>2</v>
      </c>
      <c r="E27" s="64">
        <v>9</v>
      </c>
      <c r="F27" s="64"/>
      <c r="G27" s="64"/>
      <c r="H27" s="64"/>
      <c r="I27" s="64"/>
      <c r="J27" s="64">
        <v>2</v>
      </c>
      <c r="K27" s="64"/>
      <c r="L27" s="64"/>
      <c r="M27" s="64">
        <v>1</v>
      </c>
      <c r="N27" s="64"/>
      <c r="O27" s="64"/>
      <c r="P27" s="64"/>
      <c r="Q27" s="64"/>
      <c r="R27" s="64"/>
      <c r="S27" s="64"/>
      <c r="T27" s="60"/>
      <c r="U27"/>
      <c r="V27"/>
      <c r="W27"/>
      <c r="X27"/>
      <c r="Y27"/>
      <c r="Z27"/>
      <c r="AA27"/>
    </row>
    <row r="28" spans="1:27" x14ac:dyDescent="0.25">
      <c r="A28" s="112">
        <f t="shared" si="0"/>
        <v>3176</v>
      </c>
      <c r="B28" s="112" t="str">
        <f t="shared" si="1"/>
        <v>AK</v>
      </c>
      <c r="C28" s="37">
        <v>3176</v>
      </c>
      <c r="D28" s="69">
        <v>4</v>
      </c>
      <c r="E28" s="64">
        <v>2</v>
      </c>
      <c r="F28" s="64"/>
      <c r="G28" s="64"/>
      <c r="H28" s="64"/>
      <c r="I28" s="64"/>
      <c r="J28" s="64"/>
      <c r="K28" s="64"/>
      <c r="L28" s="64"/>
      <c r="M28" s="64">
        <v>6</v>
      </c>
      <c r="N28" s="64"/>
      <c r="O28" s="64"/>
      <c r="P28" s="64"/>
      <c r="Q28" s="64"/>
      <c r="R28" s="64"/>
      <c r="S28" s="64"/>
      <c r="T28" s="60"/>
      <c r="U28"/>
      <c r="V28"/>
      <c r="W28"/>
      <c r="X28"/>
      <c r="Y28"/>
      <c r="Z28"/>
      <c r="AA28"/>
    </row>
    <row r="29" spans="1:27" x14ac:dyDescent="0.25">
      <c r="A29" s="112">
        <f t="shared" si="0"/>
        <v>3180</v>
      </c>
      <c r="B29" s="112" t="str">
        <f t="shared" si="1"/>
        <v>AI</v>
      </c>
      <c r="C29" s="37">
        <v>3180</v>
      </c>
      <c r="D29" s="69">
        <v>5</v>
      </c>
      <c r="E29" s="64"/>
      <c r="F29" s="64"/>
      <c r="G29" s="64">
        <v>2</v>
      </c>
      <c r="H29" s="64"/>
      <c r="I29" s="64"/>
      <c r="J29" s="64"/>
      <c r="K29" s="64"/>
      <c r="L29" s="64"/>
      <c r="M29" s="64">
        <v>4</v>
      </c>
      <c r="N29" s="64"/>
      <c r="O29" s="64"/>
      <c r="P29" s="64"/>
      <c r="Q29" s="64"/>
      <c r="R29" s="64"/>
      <c r="S29" s="64"/>
      <c r="T29" s="60"/>
      <c r="U29"/>
      <c r="V29"/>
      <c r="W29"/>
      <c r="X29"/>
      <c r="Y29"/>
      <c r="Z29"/>
      <c r="AA29"/>
    </row>
    <row r="30" spans="1:27" x14ac:dyDescent="0.25">
      <c r="A30" s="112">
        <f t="shared" si="0"/>
        <v>3201</v>
      </c>
      <c r="B30" s="112" t="str">
        <f t="shared" si="1"/>
        <v>AI</v>
      </c>
      <c r="C30" s="37">
        <v>3201</v>
      </c>
      <c r="D30" s="69">
        <v>4</v>
      </c>
      <c r="E30" s="64"/>
      <c r="F30" s="64"/>
      <c r="G30" s="64">
        <v>2</v>
      </c>
      <c r="H30" s="64"/>
      <c r="I30" s="64"/>
      <c r="J30" s="64"/>
      <c r="K30" s="64">
        <v>1</v>
      </c>
      <c r="L30" s="64"/>
      <c r="M30" s="64">
        <v>1</v>
      </c>
      <c r="N30" s="64"/>
      <c r="O30" s="64"/>
      <c r="P30" s="64"/>
      <c r="Q30" s="64">
        <v>1</v>
      </c>
      <c r="R30" s="64"/>
      <c r="S30" s="64">
        <v>1</v>
      </c>
      <c r="T30" s="60"/>
      <c r="U30"/>
      <c r="V30"/>
      <c r="W30"/>
      <c r="X30"/>
      <c r="Y30"/>
      <c r="Z30"/>
      <c r="AA30"/>
    </row>
    <row r="31" spans="1:27" x14ac:dyDescent="0.25">
      <c r="A31" s="112">
        <f t="shared" si="0"/>
        <v>3272</v>
      </c>
      <c r="B31" s="112" t="str">
        <f t="shared" si="1"/>
        <v>AKI</v>
      </c>
      <c r="C31" s="37">
        <v>3272</v>
      </c>
      <c r="D31" s="69">
        <v>6</v>
      </c>
      <c r="E31" s="64">
        <v>2</v>
      </c>
      <c r="F31" s="64"/>
      <c r="G31" s="64">
        <v>3</v>
      </c>
      <c r="H31" s="64"/>
      <c r="I31" s="64"/>
      <c r="J31" s="64"/>
      <c r="K31" s="64"/>
      <c r="L31" s="64"/>
      <c r="M31" s="64">
        <v>1</v>
      </c>
      <c r="N31" s="64">
        <v>1</v>
      </c>
      <c r="O31" s="64"/>
      <c r="P31" s="64"/>
      <c r="Q31" s="64"/>
      <c r="R31" s="64"/>
      <c r="S31" s="64"/>
      <c r="T31" s="60"/>
      <c r="U31"/>
      <c r="V31"/>
      <c r="W31"/>
      <c r="X31"/>
      <c r="Y31"/>
      <c r="Z31"/>
      <c r="AA31"/>
    </row>
    <row r="32" spans="1:27" x14ac:dyDescent="0.25">
      <c r="A32" s="112">
        <f t="shared" si="0"/>
        <v>3301</v>
      </c>
      <c r="B32" s="112" t="str">
        <f t="shared" si="1"/>
        <v>AK</v>
      </c>
      <c r="C32" s="37">
        <v>3301</v>
      </c>
      <c r="D32" s="69">
        <v>3</v>
      </c>
      <c r="E32" s="64">
        <v>7</v>
      </c>
      <c r="F32" s="64"/>
      <c r="G32" s="64"/>
      <c r="H32" s="64"/>
      <c r="I32" s="64"/>
      <c r="J32" s="64"/>
      <c r="K32" s="64"/>
      <c r="L32" s="64"/>
      <c r="M32" s="64"/>
      <c r="N32" s="64"/>
      <c r="O32" s="64"/>
      <c r="P32" s="64">
        <v>1</v>
      </c>
      <c r="Q32" s="64"/>
      <c r="R32" s="64"/>
      <c r="S32" s="64"/>
      <c r="T32" s="60"/>
      <c r="U32"/>
      <c r="V32"/>
      <c r="W32"/>
      <c r="X32"/>
      <c r="Y32"/>
      <c r="Z32"/>
      <c r="AA32"/>
    </row>
    <row r="33" spans="1:27" x14ac:dyDescent="0.25">
      <c r="A33" s="112">
        <f t="shared" si="0"/>
        <v>3487</v>
      </c>
      <c r="B33" s="112" t="str">
        <f t="shared" si="1"/>
        <v>AK</v>
      </c>
      <c r="C33" s="37">
        <v>3487</v>
      </c>
      <c r="D33" s="69">
        <v>3</v>
      </c>
      <c r="E33" s="64">
        <v>2</v>
      </c>
      <c r="F33" s="64"/>
      <c r="G33" s="64"/>
      <c r="H33" s="64"/>
      <c r="I33" s="64"/>
      <c r="J33" s="64"/>
      <c r="K33" s="64">
        <v>2</v>
      </c>
      <c r="L33" s="64">
        <v>2</v>
      </c>
      <c r="M33" s="64"/>
      <c r="N33" s="64"/>
      <c r="O33" s="64"/>
      <c r="P33" s="64"/>
      <c r="Q33" s="64"/>
      <c r="R33" s="64"/>
      <c r="S33" s="64">
        <v>1</v>
      </c>
      <c r="T33" s="60">
        <v>1</v>
      </c>
      <c r="U33"/>
      <c r="V33"/>
      <c r="W33"/>
      <c r="X33"/>
      <c r="Y33"/>
      <c r="Z33"/>
      <c r="AA33"/>
    </row>
    <row r="34" spans="1:27" x14ac:dyDescent="0.25">
      <c r="A34" s="112">
        <f t="shared" si="0"/>
        <v>3565</v>
      </c>
      <c r="B34" s="112" t="str">
        <f t="shared" si="1"/>
        <v>A</v>
      </c>
      <c r="C34" s="37">
        <v>3565</v>
      </c>
      <c r="D34" s="69">
        <v>7</v>
      </c>
      <c r="E34" s="64"/>
      <c r="F34" s="64"/>
      <c r="G34" s="64"/>
      <c r="H34" s="64"/>
      <c r="I34" s="64"/>
      <c r="J34" s="64"/>
      <c r="K34" s="64">
        <v>1</v>
      </c>
      <c r="L34" s="64"/>
      <c r="M34" s="64"/>
      <c r="N34" s="64"/>
      <c r="O34" s="64">
        <v>1</v>
      </c>
      <c r="P34" s="64"/>
      <c r="Q34" s="64">
        <v>2</v>
      </c>
      <c r="R34" s="64">
        <v>2</v>
      </c>
      <c r="S34" s="64"/>
      <c r="T34" s="60"/>
      <c r="U34"/>
      <c r="V34"/>
      <c r="W34"/>
      <c r="X34"/>
      <c r="Y34"/>
      <c r="Z34"/>
      <c r="AA34"/>
    </row>
    <row r="35" spans="1:27" x14ac:dyDescent="0.25">
      <c r="A35" s="112">
        <f t="shared" si="0"/>
        <v>3865</v>
      </c>
      <c r="B35" s="112" t="str">
        <f t="shared" si="1"/>
        <v>AKD</v>
      </c>
      <c r="C35" s="37">
        <v>3865</v>
      </c>
      <c r="D35" s="69">
        <v>10</v>
      </c>
      <c r="E35" s="64">
        <v>1</v>
      </c>
      <c r="F35" s="64"/>
      <c r="G35" s="64"/>
      <c r="H35" s="64">
        <v>1</v>
      </c>
      <c r="I35" s="64"/>
      <c r="J35" s="64"/>
      <c r="K35" s="64">
        <v>1</v>
      </c>
      <c r="L35" s="64"/>
      <c r="M35" s="64">
        <v>2</v>
      </c>
      <c r="N35" s="64"/>
      <c r="O35" s="64"/>
      <c r="P35" s="64"/>
      <c r="Q35" s="64"/>
      <c r="R35" s="64"/>
      <c r="S35" s="64"/>
      <c r="T35" s="60"/>
      <c r="U35"/>
      <c r="V35"/>
      <c r="W35"/>
      <c r="X35"/>
      <c r="Y35"/>
      <c r="Z35"/>
      <c r="AA35"/>
    </row>
    <row r="36" spans="1:27" x14ac:dyDescent="0.25">
      <c r="A36" s="112">
        <f t="shared" si="0"/>
        <v>3947</v>
      </c>
      <c r="B36" s="112" t="str">
        <f t="shared" si="1"/>
        <v>AKI</v>
      </c>
      <c r="C36" s="37">
        <v>3947</v>
      </c>
      <c r="D36" s="69">
        <v>4</v>
      </c>
      <c r="E36" s="64">
        <v>11</v>
      </c>
      <c r="F36" s="64"/>
      <c r="G36" s="64">
        <v>4</v>
      </c>
      <c r="H36" s="64"/>
      <c r="I36" s="64"/>
      <c r="J36" s="64"/>
      <c r="K36" s="64"/>
      <c r="L36" s="64"/>
      <c r="M36" s="64">
        <v>1</v>
      </c>
      <c r="N36" s="64"/>
      <c r="O36" s="64"/>
      <c r="P36" s="64"/>
      <c r="Q36" s="64"/>
      <c r="R36" s="64"/>
      <c r="S36" s="64"/>
      <c r="T36" s="60"/>
      <c r="U36"/>
      <c r="V36"/>
      <c r="W36"/>
      <c r="X36"/>
      <c r="Y36"/>
      <c r="Z36"/>
      <c r="AA36"/>
    </row>
    <row r="37" spans="1:27" x14ac:dyDescent="0.25">
      <c r="A37" s="112">
        <f t="shared" si="0"/>
        <v>4070</v>
      </c>
      <c r="B37" s="112" t="str">
        <f t="shared" si="1"/>
        <v>AKI</v>
      </c>
      <c r="C37" s="37">
        <v>4070</v>
      </c>
      <c r="D37" s="69">
        <v>5</v>
      </c>
      <c r="E37" s="64">
        <v>1</v>
      </c>
      <c r="F37" s="64"/>
      <c r="G37" s="64">
        <v>1</v>
      </c>
      <c r="H37" s="64"/>
      <c r="I37" s="64"/>
      <c r="J37" s="64"/>
      <c r="K37" s="64"/>
      <c r="L37" s="64"/>
      <c r="M37" s="64">
        <v>4</v>
      </c>
      <c r="N37" s="64"/>
      <c r="O37" s="64"/>
      <c r="P37" s="64"/>
      <c r="Q37" s="64"/>
      <c r="R37" s="64"/>
      <c r="S37" s="64"/>
      <c r="T37" s="60"/>
      <c r="U37"/>
      <c r="V37"/>
      <c r="W37"/>
      <c r="X37"/>
      <c r="Y37"/>
      <c r="Z37"/>
      <c r="AA37"/>
    </row>
    <row r="38" spans="1:27" x14ac:dyDescent="0.25">
      <c r="A38" s="112">
        <f t="shared" si="0"/>
        <v>4211</v>
      </c>
      <c r="B38" s="112" t="str">
        <f t="shared" si="1"/>
        <v>AKI</v>
      </c>
      <c r="C38" s="37">
        <v>4211</v>
      </c>
      <c r="D38" s="69">
        <v>3</v>
      </c>
      <c r="E38" s="64">
        <v>2</v>
      </c>
      <c r="F38" s="64"/>
      <c r="G38" s="64">
        <v>1</v>
      </c>
      <c r="H38" s="64"/>
      <c r="I38" s="64"/>
      <c r="J38" s="64">
        <v>1</v>
      </c>
      <c r="K38" s="64">
        <v>1</v>
      </c>
      <c r="L38" s="64"/>
      <c r="M38" s="64">
        <v>2</v>
      </c>
      <c r="N38" s="64"/>
      <c r="O38" s="64"/>
      <c r="P38" s="64"/>
      <c r="Q38" s="64"/>
      <c r="R38" s="64"/>
      <c r="S38" s="64"/>
      <c r="T38" s="60"/>
      <c r="U38"/>
      <c r="V38"/>
      <c r="W38"/>
      <c r="X38"/>
      <c r="Y38"/>
      <c r="Z38"/>
      <c r="AA38"/>
    </row>
    <row r="39" spans="1:27" x14ac:dyDescent="0.25">
      <c r="A39" s="112">
        <f t="shared" si="0"/>
        <v>4234</v>
      </c>
      <c r="B39" s="112" t="str">
        <f t="shared" si="1"/>
        <v>AK</v>
      </c>
      <c r="C39" s="37">
        <v>4234</v>
      </c>
      <c r="D39" s="69">
        <v>8</v>
      </c>
      <c r="E39" s="64">
        <v>1</v>
      </c>
      <c r="F39" s="64"/>
      <c r="G39" s="64"/>
      <c r="H39" s="64"/>
      <c r="I39" s="64"/>
      <c r="J39" s="64"/>
      <c r="K39" s="64">
        <v>3</v>
      </c>
      <c r="L39" s="64"/>
      <c r="M39" s="64">
        <v>1</v>
      </c>
      <c r="N39" s="64"/>
      <c r="O39" s="64"/>
      <c r="P39" s="64"/>
      <c r="Q39" s="64"/>
      <c r="R39" s="64"/>
      <c r="S39" s="64"/>
      <c r="T39" s="60"/>
      <c r="U39"/>
      <c r="V39"/>
      <c r="W39"/>
      <c r="X39"/>
      <c r="Y39"/>
      <c r="Z39"/>
      <c r="AA39"/>
    </row>
    <row r="40" spans="1:27" x14ac:dyDescent="0.25">
      <c r="A40" s="112">
        <f t="shared" si="0"/>
        <v>4272</v>
      </c>
      <c r="B40" s="112" t="str">
        <f t="shared" si="1"/>
        <v>AK</v>
      </c>
      <c r="C40" s="37">
        <v>4272</v>
      </c>
      <c r="D40" s="69">
        <v>3</v>
      </c>
      <c r="E40" s="64">
        <v>2</v>
      </c>
      <c r="F40" s="64"/>
      <c r="G40" s="64"/>
      <c r="H40" s="64"/>
      <c r="I40" s="64"/>
      <c r="J40" s="64"/>
      <c r="K40" s="64">
        <v>1</v>
      </c>
      <c r="L40" s="64"/>
      <c r="M40" s="64">
        <v>3</v>
      </c>
      <c r="N40" s="64"/>
      <c r="O40" s="64"/>
      <c r="P40" s="64"/>
      <c r="Q40" s="64">
        <v>1</v>
      </c>
      <c r="R40" s="64"/>
      <c r="S40" s="64">
        <v>2</v>
      </c>
      <c r="T40" s="60"/>
      <c r="U40"/>
      <c r="V40"/>
      <c r="W40"/>
      <c r="X40"/>
      <c r="Y40"/>
      <c r="Z40"/>
      <c r="AA40"/>
    </row>
    <row r="41" spans="1:27" x14ac:dyDescent="0.25">
      <c r="A41" s="112">
        <f t="shared" si="0"/>
        <v>4485</v>
      </c>
      <c r="B41" s="112" t="str">
        <f t="shared" si="1"/>
        <v>AK</v>
      </c>
      <c r="C41" s="37">
        <v>4485</v>
      </c>
      <c r="D41" s="69">
        <v>8</v>
      </c>
      <c r="E41" s="64">
        <v>3</v>
      </c>
      <c r="F41" s="64"/>
      <c r="G41" s="64"/>
      <c r="H41" s="64"/>
      <c r="I41" s="64"/>
      <c r="J41" s="64"/>
      <c r="K41" s="64">
        <v>1</v>
      </c>
      <c r="L41" s="64"/>
      <c r="M41" s="64"/>
      <c r="N41" s="64"/>
      <c r="O41" s="64"/>
      <c r="P41" s="64"/>
      <c r="Q41" s="64"/>
      <c r="R41" s="64"/>
      <c r="S41" s="64">
        <v>3</v>
      </c>
      <c r="T41" s="60"/>
      <c r="U41"/>
      <c r="V41"/>
      <c r="W41"/>
      <c r="X41"/>
      <c r="Y41"/>
      <c r="Z41"/>
      <c r="AA41"/>
    </row>
    <row r="42" spans="1:27" x14ac:dyDescent="0.25">
      <c r="A42" s="112">
        <f t="shared" si="0"/>
        <v>4545</v>
      </c>
      <c r="B42" s="112" t="str">
        <f t="shared" si="1"/>
        <v>AKI</v>
      </c>
      <c r="C42" s="37">
        <v>4545</v>
      </c>
      <c r="D42" s="69">
        <v>3</v>
      </c>
      <c r="E42" s="64">
        <v>5</v>
      </c>
      <c r="F42" s="64"/>
      <c r="G42" s="64">
        <v>3</v>
      </c>
      <c r="H42" s="64"/>
      <c r="I42" s="64">
        <v>1</v>
      </c>
      <c r="J42" s="64"/>
      <c r="K42" s="64"/>
      <c r="L42" s="64"/>
      <c r="M42" s="64"/>
      <c r="N42" s="64"/>
      <c r="O42" s="64"/>
      <c r="P42" s="64"/>
      <c r="Q42" s="64"/>
      <c r="R42" s="64"/>
      <c r="S42" s="64"/>
      <c r="T42" s="60"/>
      <c r="U42"/>
      <c r="V42"/>
      <c r="W42"/>
      <c r="X42"/>
      <c r="Y42"/>
      <c r="Z42"/>
      <c r="AA42"/>
    </row>
    <row r="43" spans="1:27" x14ac:dyDescent="0.25">
      <c r="A43" s="112">
        <f t="shared" si="0"/>
        <v>4580</v>
      </c>
      <c r="B43" s="112" t="str">
        <f t="shared" si="1"/>
        <v>A</v>
      </c>
      <c r="C43" s="37">
        <v>4580</v>
      </c>
      <c r="D43" s="69">
        <v>9</v>
      </c>
      <c r="E43" s="64"/>
      <c r="F43" s="64"/>
      <c r="G43" s="64"/>
      <c r="H43" s="64"/>
      <c r="I43" s="64"/>
      <c r="J43" s="64"/>
      <c r="K43" s="64">
        <v>1</v>
      </c>
      <c r="L43" s="64"/>
      <c r="M43" s="64">
        <v>1</v>
      </c>
      <c r="N43" s="64">
        <v>2</v>
      </c>
      <c r="O43" s="64"/>
      <c r="P43" s="64"/>
      <c r="Q43" s="64"/>
      <c r="R43" s="64"/>
      <c r="S43" s="64">
        <v>3</v>
      </c>
      <c r="T43" s="60"/>
      <c r="U43"/>
      <c r="V43"/>
      <c r="W43"/>
      <c r="X43"/>
      <c r="Y43"/>
      <c r="Z43"/>
      <c r="AA43"/>
    </row>
    <row r="44" spans="1:27" x14ac:dyDescent="0.25">
      <c r="A44" s="112">
        <f t="shared" si="0"/>
        <v>4791</v>
      </c>
      <c r="B44" s="112" t="str">
        <f t="shared" si="1"/>
        <v>AK</v>
      </c>
      <c r="C44" s="37">
        <v>4791</v>
      </c>
      <c r="D44" s="69">
        <v>4</v>
      </c>
      <c r="E44" s="64">
        <v>3</v>
      </c>
      <c r="F44" s="64"/>
      <c r="G44" s="64"/>
      <c r="H44" s="64"/>
      <c r="I44" s="64">
        <v>1</v>
      </c>
      <c r="J44" s="64"/>
      <c r="K44" s="64">
        <v>1</v>
      </c>
      <c r="L44" s="64"/>
      <c r="M44" s="64">
        <v>4</v>
      </c>
      <c r="N44" s="64"/>
      <c r="O44" s="64"/>
      <c r="P44" s="64"/>
      <c r="Q44" s="64"/>
      <c r="R44" s="64"/>
      <c r="S44" s="64"/>
      <c r="T44" s="60"/>
      <c r="U44"/>
      <c r="V44"/>
      <c r="W44"/>
      <c r="X44"/>
      <c r="Y44"/>
      <c r="Z44"/>
      <c r="AA44"/>
    </row>
    <row r="45" spans="1:27" x14ac:dyDescent="0.25">
      <c r="A45" s="112">
        <f t="shared" si="0"/>
        <v>4846</v>
      </c>
      <c r="B45" s="112" t="str">
        <f t="shared" si="1"/>
        <v>AKD</v>
      </c>
      <c r="C45" s="37">
        <v>4846</v>
      </c>
      <c r="D45" s="69">
        <v>11</v>
      </c>
      <c r="E45" s="64">
        <v>2</v>
      </c>
      <c r="F45" s="64"/>
      <c r="G45" s="64"/>
      <c r="H45" s="64">
        <v>2</v>
      </c>
      <c r="I45" s="64">
        <v>2</v>
      </c>
      <c r="J45" s="64"/>
      <c r="K45" s="64">
        <v>6</v>
      </c>
      <c r="L45" s="64"/>
      <c r="M45" s="64"/>
      <c r="N45" s="64"/>
      <c r="O45" s="64"/>
      <c r="P45" s="64"/>
      <c r="Q45" s="64"/>
      <c r="R45" s="64"/>
      <c r="S45" s="64">
        <v>1</v>
      </c>
      <c r="T45" s="60"/>
      <c r="U45"/>
      <c r="V45"/>
      <c r="W45"/>
      <c r="X45"/>
      <c r="Y45"/>
      <c r="Z45"/>
      <c r="AA45"/>
    </row>
    <row r="46" spans="1:27" x14ac:dyDescent="0.25">
      <c r="A46" s="112" t="str">
        <f t="shared" si="0"/>
        <v>(blank)</v>
      </c>
      <c r="B46" s="112" t="str">
        <f t="shared" si="1"/>
        <v/>
      </c>
      <c r="C46" s="37" t="s">
        <v>29</v>
      </c>
      <c r="D46" s="69"/>
      <c r="E46" s="64"/>
      <c r="F46" s="64"/>
      <c r="G46" s="64"/>
      <c r="H46" s="64"/>
      <c r="I46" s="64"/>
      <c r="J46" s="64"/>
      <c r="K46" s="64"/>
      <c r="L46" s="64"/>
      <c r="M46" s="64"/>
      <c r="N46" s="64"/>
      <c r="O46" s="64"/>
      <c r="P46" s="64"/>
      <c r="Q46" s="64"/>
      <c r="R46" s="64"/>
      <c r="S46" s="64"/>
      <c r="T46" s="60"/>
      <c r="U46"/>
      <c r="V46"/>
      <c r="W46"/>
      <c r="X46"/>
      <c r="Y46"/>
      <c r="Z46"/>
      <c r="AA46"/>
    </row>
    <row r="47" spans="1:27" ht="30" x14ac:dyDescent="0.25">
      <c r="A47" s="112" t="str">
        <f t="shared" si="0"/>
        <v>Grand Total</v>
      </c>
      <c r="B47" s="112" t="str">
        <f t="shared" si="1"/>
        <v>AKID</v>
      </c>
      <c r="C47" s="40" t="s">
        <v>7</v>
      </c>
      <c r="D47" s="70">
        <v>196</v>
      </c>
      <c r="E47" s="63">
        <v>119</v>
      </c>
      <c r="F47" s="63"/>
      <c r="G47" s="63">
        <v>64</v>
      </c>
      <c r="H47" s="63">
        <v>4</v>
      </c>
      <c r="I47" s="63">
        <v>6</v>
      </c>
      <c r="J47" s="63">
        <v>15</v>
      </c>
      <c r="K47" s="63">
        <v>36</v>
      </c>
      <c r="L47" s="63">
        <v>2</v>
      </c>
      <c r="M47" s="63">
        <v>67</v>
      </c>
      <c r="N47" s="63">
        <v>3</v>
      </c>
      <c r="O47" s="63">
        <v>3</v>
      </c>
      <c r="P47" s="63">
        <v>9</v>
      </c>
      <c r="Q47" s="63">
        <v>8</v>
      </c>
      <c r="R47" s="63">
        <v>2</v>
      </c>
      <c r="S47" s="63">
        <v>11</v>
      </c>
      <c r="T47" s="61">
        <v>1</v>
      </c>
      <c r="U47"/>
      <c r="V47"/>
      <c r="W47"/>
      <c r="X47"/>
      <c r="Y47"/>
      <c r="Z47"/>
      <c r="AA47"/>
    </row>
    <row r="48" spans="1:27" x14ac:dyDescent="0.25">
      <c r="C48"/>
      <c r="D48"/>
      <c r="E48"/>
      <c r="F48"/>
      <c r="G48"/>
      <c r="H48"/>
      <c r="I48"/>
      <c r="J48"/>
      <c r="K48"/>
      <c r="L48"/>
      <c r="M48"/>
      <c r="N48"/>
      <c r="O48"/>
      <c r="P48"/>
      <c r="Q48"/>
      <c r="R48"/>
      <c r="S48"/>
      <c r="T48"/>
      <c r="U48"/>
      <c r="V48"/>
      <c r="W48"/>
      <c r="X48"/>
      <c r="Y48"/>
      <c r="Z48"/>
      <c r="AA48"/>
    </row>
    <row r="49" spans="3:27" x14ac:dyDescent="0.25">
      <c r="C49"/>
      <c r="D49"/>
      <c r="E49"/>
      <c r="F49"/>
      <c r="G49"/>
      <c r="H49"/>
      <c r="I49"/>
      <c r="J49"/>
      <c r="K49"/>
      <c r="L49"/>
      <c r="M49"/>
      <c r="N49"/>
      <c r="O49"/>
      <c r="P49"/>
      <c r="Q49"/>
      <c r="R49"/>
      <c r="S49"/>
      <c r="T49"/>
      <c r="U49"/>
      <c r="V49"/>
      <c r="W49"/>
      <c r="X49"/>
      <c r="Y49"/>
      <c r="Z49"/>
      <c r="AA49"/>
    </row>
    <row r="50" spans="3:27" x14ac:dyDescent="0.25">
      <c r="C50" s="50"/>
      <c r="D50" s="50"/>
      <c r="E50" s="50"/>
      <c r="F50" s="50"/>
      <c r="G50" s="50"/>
      <c r="H50" s="50"/>
      <c r="I50" s="50"/>
      <c r="J50" s="50"/>
      <c r="K50" s="50"/>
      <c r="L50" s="50"/>
      <c r="M50" s="50"/>
      <c r="N50" s="50"/>
    </row>
    <row r="51" spans="3:27" x14ac:dyDescent="0.25">
      <c r="C51" s="50"/>
      <c r="D51" s="50"/>
      <c r="E51" s="50"/>
      <c r="F51" s="50"/>
      <c r="G51" s="50"/>
      <c r="H51" s="50"/>
      <c r="I51" s="50"/>
      <c r="J51" s="50"/>
      <c r="K51" s="50"/>
      <c r="L51" s="50"/>
      <c r="M51" s="50"/>
      <c r="N51" s="50"/>
    </row>
    <row r="52" spans="3:27" x14ac:dyDescent="0.25">
      <c r="C52" s="50"/>
      <c r="D52" s="50"/>
      <c r="E52" s="50"/>
      <c r="F52" s="50"/>
      <c r="G52" s="50"/>
      <c r="H52" s="50"/>
      <c r="I52" s="50"/>
      <c r="J52" s="50"/>
      <c r="K52" s="50"/>
      <c r="L52" s="50"/>
      <c r="M52" s="50"/>
      <c r="N52" s="50"/>
    </row>
    <row r="53" spans="3:27" x14ac:dyDescent="0.25">
      <c r="C53" s="50"/>
      <c r="D53" s="50"/>
      <c r="E53" s="50"/>
      <c r="F53" s="50"/>
      <c r="G53" s="50"/>
      <c r="H53" s="50"/>
      <c r="I53" s="50"/>
      <c r="J53" s="50"/>
      <c r="K53" s="50"/>
      <c r="L53" s="50"/>
      <c r="M53" s="50"/>
      <c r="N53" s="50"/>
    </row>
    <row r="54" spans="3:27" x14ac:dyDescent="0.25">
      <c r="C54" s="50"/>
      <c r="D54" s="50"/>
      <c r="E54" s="50"/>
      <c r="F54" s="50"/>
      <c r="G54" s="50"/>
      <c r="H54" s="50"/>
      <c r="I54" s="50"/>
      <c r="J54" s="50"/>
      <c r="K54" s="50"/>
      <c r="L54" s="50"/>
      <c r="M54" s="50"/>
      <c r="N54" s="50"/>
    </row>
    <row r="55" spans="3:27" x14ac:dyDescent="0.25">
      <c r="C55" s="50"/>
      <c r="D55" s="50"/>
      <c r="E55" s="50"/>
      <c r="F55" s="50"/>
      <c r="G55" s="50"/>
      <c r="H55" s="50"/>
      <c r="I55" s="50"/>
      <c r="J55" s="50"/>
      <c r="K55" s="50"/>
      <c r="L55" s="50"/>
      <c r="M55" s="50"/>
      <c r="N55" s="50"/>
    </row>
    <row r="56" spans="3:27" x14ac:dyDescent="0.25">
      <c r="C56" s="50"/>
      <c r="D56" s="50"/>
      <c r="E56" s="50"/>
      <c r="F56" s="50"/>
      <c r="G56" s="50"/>
      <c r="H56" s="50"/>
      <c r="I56" s="50"/>
      <c r="J56" s="50"/>
      <c r="K56" s="50"/>
      <c r="L56" s="50"/>
      <c r="M56" s="50"/>
      <c r="N56" s="50"/>
    </row>
    <row r="57" spans="3:27" x14ac:dyDescent="0.25">
      <c r="C57" s="50"/>
      <c r="D57" s="50"/>
      <c r="E57" s="50"/>
      <c r="F57" s="50"/>
      <c r="G57" s="50"/>
      <c r="H57" s="50"/>
      <c r="I57" s="50"/>
      <c r="J57" s="50"/>
      <c r="K57" s="50"/>
      <c r="L57" s="50"/>
      <c r="M57" s="50"/>
      <c r="N57" s="50"/>
    </row>
    <row r="58" spans="3:27" x14ac:dyDescent="0.25">
      <c r="C58" s="50"/>
      <c r="D58" s="50"/>
      <c r="E58" s="50"/>
      <c r="F58" s="50"/>
      <c r="G58" s="50"/>
      <c r="H58" s="50"/>
      <c r="I58" s="50"/>
      <c r="J58" s="50"/>
      <c r="K58" s="50"/>
      <c r="L58" s="50"/>
      <c r="M58" s="50"/>
      <c r="N58" s="50"/>
    </row>
    <row r="59" spans="3:27" x14ac:dyDescent="0.25">
      <c r="C59" s="50"/>
      <c r="D59" s="50"/>
      <c r="E59" s="50"/>
      <c r="F59" s="50"/>
      <c r="G59" s="50"/>
      <c r="H59" s="50"/>
      <c r="I59" s="50"/>
      <c r="J59" s="50"/>
      <c r="K59" s="50"/>
      <c r="L59" s="50"/>
      <c r="M59" s="50"/>
      <c r="N59" s="50"/>
    </row>
    <row r="60" spans="3:27" x14ac:dyDescent="0.25">
      <c r="C60" s="50"/>
      <c r="D60" s="50"/>
      <c r="E60" s="50"/>
      <c r="F60" s="50"/>
      <c r="G60" s="50"/>
      <c r="H60" s="50"/>
      <c r="I60" s="50"/>
      <c r="J60" s="50"/>
      <c r="K60" s="50"/>
      <c r="L60" s="50"/>
      <c r="M60" s="50"/>
      <c r="N60" s="50"/>
    </row>
    <row r="61" spans="3:27" x14ac:dyDescent="0.25">
      <c r="C61" s="50"/>
      <c r="D61" s="50"/>
      <c r="E61" s="50"/>
      <c r="F61" s="50"/>
      <c r="G61" s="50"/>
      <c r="H61" s="50"/>
      <c r="I61" s="50"/>
      <c r="J61" s="50"/>
      <c r="K61" s="50"/>
      <c r="L61" s="50"/>
      <c r="M61" s="50"/>
      <c r="N61" s="50"/>
    </row>
    <row r="62" spans="3:27" x14ac:dyDescent="0.25">
      <c r="C62" s="50"/>
      <c r="D62" s="50"/>
      <c r="E62" s="50"/>
      <c r="F62" s="50"/>
      <c r="G62" s="50"/>
      <c r="H62" s="50"/>
      <c r="I62" s="50"/>
      <c r="J62" s="50"/>
      <c r="K62" s="50"/>
      <c r="L62" s="50"/>
      <c r="M62" s="50"/>
      <c r="N62" s="50"/>
    </row>
    <row r="63" spans="3:27" x14ac:dyDescent="0.25">
      <c r="C63" s="50"/>
      <c r="D63" s="50"/>
      <c r="E63" s="50"/>
      <c r="F63" s="50"/>
      <c r="G63" s="50"/>
      <c r="H63" s="50"/>
      <c r="I63" s="50"/>
      <c r="J63" s="50"/>
      <c r="K63" s="50"/>
      <c r="L63" s="50"/>
      <c r="M63" s="50"/>
      <c r="N63" s="50"/>
    </row>
    <row r="64" spans="3:27" x14ac:dyDescent="0.25">
      <c r="C64" s="50"/>
      <c r="D64" s="50"/>
      <c r="E64" s="50"/>
      <c r="F64" s="50"/>
      <c r="G64" s="50"/>
      <c r="H64" s="50"/>
      <c r="I64" s="50"/>
      <c r="J64" s="50"/>
      <c r="K64" s="50"/>
      <c r="L64" s="50"/>
      <c r="M64" s="50"/>
      <c r="N64" s="50"/>
    </row>
    <row r="65" spans="3:14" x14ac:dyDescent="0.25">
      <c r="C65" s="50"/>
      <c r="D65" s="50"/>
      <c r="E65" s="50"/>
      <c r="F65" s="50"/>
      <c r="G65" s="50"/>
      <c r="H65" s="50"/>
      <c r="I65" s="50"/>
      <c r="J65" s="50"/>
      <c r="K65" s="50"/>
      <c r="L65" s="50"/>
      <c r="M65" s="50"/>
      <c r="N65" s="50"/>
    </row>
    <row r="66" spans="3:14" x14ac:dyDescent="0.25">
      <c r="C66" s="50"/>
      <c r="D66" s="50"/>
      <c r="E66" s="50"/>
      <c r="F66" s="50"/>
      <c r="G66" s="50"/>
      <c r="H66" s="50"/>
      <c r="I66" s="50"/>
      <c r="J66" s="50"/>
      <c r="K66" s="50"/>
      <c r="L66" s="50"/>
      <c r="M66" s="50"/>
      <c r="N66" s="50"/>
    </row>
    <row r="67" spans="3:14" x14ac:dyDescent="0.25">
      <c r="C67" s="50"/>
      <c r="D67" s="50"/>
      <c r="E67" s="50"/>
      <c r="F67" s="50"/>
      <c r="G67" s="50"/>
      <c r="H67" s="50"/>
      <c r="I67" s="50"/>
      <c r="J67" s="50"/>
      <c r="K67" s="50"/>
      <c r="L67" s="50"/>
      <c r="M67" s="50"/>
      <c r="N67" s="50"/>
    </row>
    <row r="68" spans="3:14" x14ac:dyDescent="0.25">
      <c r="C68" s="50"/>
      <c r="D68" s="50"/>
      <c r="E68" s="50"/>
      <c r="F68" s="50"/>
      <c r="G68" s="50"/>
      <c r="H68" s="50"/>
      <c r="I68" s="50"/>
      <c r="J68" s="50"/>
      <c r="K68" s="50"/>
      <c r="L68" s="50"/>
      <c r="M68" s="50"/>
      <c r="N68" s="50"/>
    </row>
    <row r="69" spans="3:14" x14ac:dyDescent="0.25">
      <c r="C69" s="50"/>
      <c r="D69" s="50"/>
      <c r="E69" s="50"/>
      <c r="F69" s="50"/>
      <c r="G69" s="50"/>
      <c r="H69" s="50"/>
      <c r="I69" s="50"/>
      <c r="J69" s="50"/>
      <c r="K69" s="50"/>
      <c r="L69" s="50"/>
      <c r="M69" s="50"/>
      <c r="N69" s="50"/>
    </row>
    <row r="70" spans="3:14" x14ac:dyDescent="0.25">
      <c r="C70" s="50"/>
      <c r="D70" s="50"/>
      <c r="E70" s="50"/>
      <c r="F70" s="50"/>
      <c r="G70" s="50"/>
      <c r="H70" s="50"/>
      <c r="I70" s="50"/>
      <c r="J70" s="50"/>
      <c r="K70" s="50"/>
      <c r="L70" s="50"/>
      <c r="M70" s="50"/>
      <c r="N70" s="50"/>
    </row>
    <row r="71" spans="3:14" x14ac:dyDescent="0.25">
      <c r="C71" s="50"/>
      <c r="D71" s="50"/>
      <c r="E71" s="50"/>
      <c r="F71" s="50"/>
      <c r="G71" s="50"/>
      <c r="H71" s="50"/>
      <c r="I71" s="50"/>
      <c r="J71" s="50"/>
      <c r="K71" s="50"/>
      <c r="L71" s="50"/>
      <c r="M71" s="50"/>
      <c r="N71" s="50"/>
    </row>
    <row r="72" spans="3:14" x14ac:dyDescent="0.25">
      <c r="C72" s="50"/>
      <c r="D72" s="50"/>
      <c r="E72" s="50"/>
      <c r="F72" s="50"/>
      <c r="G72" s="50"/>
      <c r="H72" s="50"/>
      <c r="I72" s="50"/>
      <c r="J72" s="50"/>
      <c r="K72" s="50"/>
      <c r="L72" s="50"/>
      <c r="M72" s="50"/>
      <c r="N72" s="50"/>
    </row>
    <row r="73" spans="3:14" x14ac:dyDescent="0.25">
      <c r="C73" s="50"/>
      <c r="D73" s="50"/>
      <c r="E73" s="50"/>
      <c r="F73" s="50"/>
      <c r="G73" s="50"/>
      <c r="H73" s="50"/>
      <c r="I73" s="50"/>
      <c r="J73" s="50"/>
      <c r="K73" s="50"/>
      <c r="L73" s="50"/>
      <c r="M73" s="50"/>
      <c r="N73" s="50"/>
    </row>
    <row r="74" spans="3:14" x14ac:dyDescent="0.25">
      <c r="C74" s="50"/>
      <c r="D74" s="50"/>
      <c r="E74" s="50"/>
      <c r="F74" s="50"/>
      <c r="G74" s="50"/>
      <c r="H74" s="50"/>
      <c r="I74" s="50"/>
      <c r="J74" s="50"/>
      <c r="K74" s="50"/>
      <c r="L74" s="50"/>
      <c r="M74" s="50"/>
      <c r="N74" s="50"/>
    </row>
    <row r="75" spans="3:14" x14ac:dyDescent="0.25">
      <c r="C75" s="50"/>
      <c r="D75" s="50"/>
      <c r="E75" s="50"/>
      <c r="F75" s="50"/>
      <c r="G75" s="50"/>
      <c r="H75" s="50"/>
      <c r="I75" s="50"/>
      <c r="J75" s="50"/>
      <c r="K75" s="50"/>
      <c r="L75" s="50"/>
      <c r="M75" s="50"/>
      <c r="N75" s="50"/>
    </row>
    <row r="76" spans="3:14" x14ac:dyDescent="0.25">
      <c r="C76" s="50"/>
      <c r="D76" s="50"/>
      <c r="E76" s="50"/>
      <c r="F76" s="50"/>
      <c r="G76" s="50"/>
      <c r="H76" s="50"/>
      <c r="I76" s="50"/>
      <c r="J76" s="50"/>
      <c r="K76" s="50"/>
      <c r="L76" s="50"/>
      <c r="M76" s="50"/>
      <c r="N76" s="50"/>
    </row>
    <row r="77" spans="3:14" x14ac:dyDescent="0.25">
      <c r="C77" s="50"/>
      <c r="D77" s="50"/>
      <c r="E77" s="50"/>
      <c r="F77" s="50"/>
      <c r="G77" s="50"/>
      <c r="H77" s="50"/>
      <c r="I77" s="50"/>
      <c r="J77" s="50"/>
      <c r="K77" s="50"/>
      <c r="L77" s="50"/>
      <c r="M77" s="50"/>
      <c r="N77" s="50"/>
    </row>
    <row r="78" spans="3:14" x14ac:dyDescent="0.25">
      <c r="C78" s="50"/>
      <c r="D78" s="50"/>
      <c r="E78" s="50"/>
      <c r="F78" s="50"/>
      <c r="G78" s="50"/>
      <c r="H78" s="50"/>
      <c r="I78" s="50"/>
      <c r="J78" s="50"/>
      <c r="K78" s="50"/>
      <c r="L78" s="50"/>
      <c r="M78" s="50"/>
      <c r="N78" s="50"/>
    </row>
    <row r="79" spans="3:14" x14ac:dyDescent="0.25">
      <c r="C79" s="50"/>
      <c r="D79" s="50"/>
      <c r="E79" s="50"/>
      <c r="F79" s="50"/>
      <c r="G79" s="50"/>
      <c r="H79" s="50"/>
      <c r="I79" s="50"/>
      <c r="J79" s="50"/>
      <c r="K79" s="50"/>
      <c r="L79" s="50"/>
      <c r="M79" s="50"/>
      <c r="N79" s="50"/>
    </row>
    <row r="80" spans="3:14" x14ac:dyDescent="0.25">
      <c r="C80" s="50"/>
      <c r="D80" s="50"/>
      <c r="E80" s="50"/>
      <c r="F80" s="50"/>
      <c r="G80" s="50"/>
      <c r="H80" s="50"/>
      <c r="I80" s="50"/>
      <c r="J80" s="50"/>
      <c r="K80" s="50"/>
      <c r="L80" s="50"/>
      <c r="M80" s="50"/>
      <c r="N80" s="50"/>
    </row>
    <row r="81" spans="3:14" x14ac:dyDescent="0.25">
      <c r="C81" s="50"/>
      <c r="D81" s="50"/>
      <c r="E81" s="50"/>
      <c r="F81" s="50"/>
      <c r="G81" s="50"/>
      <c r="H81" s="50"/>
      <c r="I81" s="50"/>
      <c r="J81" s="50"/>
      <c r="K81" s="50"/>
      <c r="L81" s="50"/>
      <c r="M81" s="50"/>
      <c r="N81" s="50"/>
    </row>
    <row r="82" spans="3:14" x14ac:dyDescent="0.25">
      <c r="C82" s="50"/>
      <c r="D82" s="50"/>
      <c r="E82" s="50"/>
      <c r="F82" s="50"/>
      <c r="G82" s="50"/>
      <c r="H82" s="50"/>
      <c r="I82" s="50"/>
      <c r="J82" s="50"/>
      <c r="K82" s="50"/>
      <c r="L82" s="50"/>
      <c r="M82" s="50"/>
      <c r="N82" s="50"/>
    </row>
    <row r="83" spans="3:14" x14ac:dyDescent="0.25">
      <c r="C83" s="50"/>
      <c r="D83" s="50"/>
      <c r="E83" s="50"/>
      <c r="F83" s="50"/>
      <c r="G83" s="50"/>
      <c r="H83" s="50"/>
      <c r="I83" s="50"/>
      <c r="J83" s="50"/>
      <c r="K83" s="50"/>
      <c r="L83" s="50"/>
      <c r="M83" s="50"/>
      <c r="N83" s="50"/>
    </row>
    <row r="84" spans="3:14" x14ac:dyDescent="0.25">
      <c r="C84" s="50"/>
      <c r="D84" s="50"/>
      <c r="E84" s="50"/>
      <c r="F84" s="50"/>
      <c r="G84" s="50"/>
      <c r="H84" s="50"/>
      <c r="I84" s="50"/>
      <c r="J84" s="50"/>
      <c r="K84" s="50"/>
      <c r="L84" s="50"/>
      <c r="M84" s="50"/>
      <c r="N84" s="50"/>
    </row>
    <row r="85" spans="3:14" x14ac:dyDescent="0.25">
      <c r="C85" s="50"/>
      <c r="D85" s="50"/>
      <c r="E85" s="50"/>
      <c r="F85" s="50"/>
      <c r="G85" s="50"/>
      <c r="H85" s="50"/>
      <c r="I85" s="50"/>
      <c r="J85" s="50"/>
      <c r="K85" s="50"/>
      <c r="L85" s="50"/>
      <c r="M85" s="50"/>
      <c r="N85" s="50"/>
    </row>
    <row r="86" spans="3:14" x14ac:dyDescent="0.25">
      <c r="C86" s="50"/>
      <c r="D86" s="50"/>
      <c r="E86" s="50"/>
      <c r="F86" s="50"/>
      <c r="G86" s="50"/>
      <c r="H86" s="50"/>
      <c r="I86" s="50"/>
      <c r="J86" s="50"/>
      <c r="K86" s="50"/>
      <c r="L86" s="50"/>
      <c r="M86" s="50"/>
      <c r="N86" s="50"/>
    </row>
    <row r="87" spans="3:14" x14ac:dyDescent="0.25">
      <c r="C87" s="50"/>
      <c r="D87" s="50"/>
      <c r="E87" s="50"/>
      <c r="F87" s="50"/>
      <c r="G87" s="50"/>
      <c r="H87" s="50"/>
      <c r="I87" s="50"/>
      <c r="J87" s="50"/>
      <c r="K87" s="50"/>
      <c r="L87" s="50"/>
      <c r="M87" s="50"/>
      <c r="N87" s="50"/>
    </row>
    <row r="88" spans="3:14" x14ac:dyDescent="0.25">
      <c r="C88" s="50"/>
      <c r="D88" s="50"/>
      <c r="E88" s="50"/>
      <c r="F88" s="50"/>
      <c r="G88" s="50"/>
      <c r="H88" s="50"/>
      <c r="I88" s="50"/>
      <c r="J88" s="50"/>
      <c r="K88" s="50"/>
      <c r="L88" s="50"/>
      <c r="M88" s="50"/>
      <c r="N88" s="50"/>
    </row>
    <row r="89" spans="3:14" x14ac:dyDescent="0.25">
      <c r="C89" s="50"/>
      <c r="D89" s="50"/>
      <c r="E89" s="50"/>
      <c r="F89" s="50"/>
      <c r="G89" s="50"/>
      <c r="H89" s="50"/>
      <c r="I89" s="50"/>
      <c r="J89" s="50"/>
      <c r="K89" s="50"/>
      <c r="L89" s="50"/>
      <c r="M89" s="50"/>
      <c r="N89" s="50"/>
    </row>
    <row r="90" spans="3:14" x14ac:dyDescent="0.25">
      <c r="C90" s="50"/>
      <c r="D90" s="50"/>
      <c r="E90" s="50"/>
      <c r="F90" s="50"/>
      <c r="G90" s="50"/>
      <c r="H90" s="50"/>
      <c r="I90" s="50"/>
      <c r="J90" s="50"/>
      <c r="K90" s="50"/>
      <c r="L90" s="50"/>
      <c r="M90" s="50"/>
      <c r="N90" s="50"/>
    </row>
    <row r="91" spans="3:14" x14ac:dyDescent="0.25">
      <c r="C91" s="50"/>
      <c r="D91" s="50"/>
      <c r="E91" s="50"/>
      <c r="F91" s="50"/>
      <c r="G91" s="50"/>
      <c r="H91" s="50"/>
      <c r="I91" s="50"/>
      <c r="J91" s="50"/>
      <c r="K91" s="50"/>
      <c r="L91" s="50"/>
      <c r="M91" s="50"/>
      <c r="N91" s="50"/>
    </row>
    <row r="92" spans="3:14" x14ac:dyDescent="0.25">
      <c r="C92" s="50"/>
      <c r="D92" s="50"/>
      <c r="E92" s="50"/>
      <c r="F92" s="50"/>
      <c r="G92" s="50"/>
      <c r="H92" s="50"/>
      <c r="I92" s="50"/>
      <c r="J92" s="50"/>
      <c r="K92" s="50"/>
      <c r="L92" s="50"/>
      <c r="M92" s="50"/>
      <c r="N92" s="50"/>
    </row>
    <row r="93" spans="3:14" x14ac:dyDescent="0.25">
      <c r="C93" s="50"/>
      <c r="D93" s="50"/>
      <c r="E93" s="50"/>
      <c r="F93" s="50"/>
      <c r="G93" s="50"/>
      <c r="H93" s="50"/>
      <c r="I93" s="50"/>
      <c r="J93" s="50"/>
      <c r="K93" s="50"/>
      <c r="L93" s="50"/>
      <c r="M93" s="50"/>
      <c r="N93" s="50"/>
    </row>
    <row r="94" spans="3:14" x14ac:dyDescent="0.25">
      <c r="C94" s="50"/>
      <c r="D94" s="50"/>
      <c r="E94" s="50"/>
      <c r="F94" s="50"/>
      <c r="G94" s="50"/>
      <c r="H94" s="50"/>
      <c r="I94" s="50"/>
      <c r="J94" s="50"/>
      <c r="K94" s="50"/>
      <c r="L94" s="50"/>
      <c r="M94" s="50"/>
      <c r="N94" s="50"/>
    </row>
    <row r="95" spans="3:14" x14ac:dyDescent="0.25">
      <c r="C95" s="50"/>
      <c r="D95" s="50"/>
      <c r="E95" s="50"/>
      <c r="F95" s="50"/>
      <c r="G95" s="50"/>
      <c r="H95" s="50"/>
      <c r="I95" s="50"/>
      <c r="J95" s="50"/>
      <c r="K95" s="50"/>
      <c r="L95" s="50"/>
      <c r="M95" s="50"/>
      <c r="N95" s="50"/>
    </row>
    <row r="96" spans="3:14" x14ac:dyDescent="0.25">
      <c r="C96" s="50"/>
      <c r="D96" s="50"/>
      <c r="E96" s="50"/>
      <c r="F96" s="50"/>
      <c r="G96" s="50"/>
      <c r="H96" s="50"/>
      <c r="I96" s="50"/>
      <c r="J96" s="50"/>
      <c r="K96" s="50"/>
      <c r="L96" s="50"/>
      <c r="M96" s="50"/>
      <c r="N96" s="50"/>
    </row>
    <row r="97" spans="3:14" x14ac:dyDescent="0.25">
      <c r="C97" s="50"/>
      <c r="D97" s="50"/>
      <c r="E97" s="50"/>
      <c r="F97" s="50"/>
      <c r="G97" s="50"/>
      <c r="H97" s="50"/>
      <c r="I97" s="50"/>
      <c r="J97" s="50"/>
      <c r="K97" s="50"/>
      <c r="L97" s="50"/>
      <c r="M97" s="50"/>
      <c r="N97" s="50"/>
    </row>
    <row r="98" spans="3:14" x14ac:dyDescent="0.25">
      <c r="C98" s="50"/>
      <c r="D98" s="50"/>
      <c r="E98" s="50"/>
      <c r="F98" s="50"/>
      <c r="G98" s="50"/>
      <c r="H98" s="50"/>
      <c r="I98" s="50"/>
      <c r="J98" s="50"/>
      <c r="K98" s="50"/>
      <c r="L98" s="50"/>
      <c r="M98" s="50"/>
      <c r="N98" s="50"/>
    </row>
    <row r="99" spans="3:14" x14ac:dyDescent="0.25">
      <c r="C99" s="50"/>
      <c r="D99" s="50"/>
      <c r="E99" s="50"/>
      <c r="F99" s="50"/>
      <c r="G99" s="50"/>
      <c r="H99" s="50"/>
      <c r="I99" s="50"/>
      <c r="J99" s="50"/>
      <c r="K99" s="50"/>
      <c r="L99" s="50"/>
      <c r="M99" s="50"/>
      <c r="N99" s="50"/>
    </row>
    <row r="100" spans="3:14" x14ac:dyDescent="0.25">
      <c r="C100" s="50"/>
      <c r="D100" s="50"/>
      <c r="E100" s="50"/>
      <c r="F100" s="50"/>
      <c r="G100" s="50"/>
      <c r="H100" s="50"/>
      <c r="I100" s="50"/>
      <c r="J100" s="50"/>
      <c r="K100" s="50"/>
      <c r="L100" s="50"/>
      <c r="M100" s="50"/>
      <c r="N100" s="50"/>
    </row>
    <row r="101" spans="3:14" x14ac:dyDescent="0.25">
      <c r="C101" s="50"/>
      <c r="D101" s="50"/>
      <c r="E101" s="50"/>
      <c r="F101" s="50"/>
      <c r="G101" s="50"/>
      <c r="H101" s="50"/>
      <c r="I101" s="50"/>
      <c r="J101" s="50"/>
      <c r="K101" s="50"/>
      <c r="L101" s="50"/>
      <c r="M101" s="50"/>
      <c r="N101" s="50"/>
    </row>
    <row r="102" spans="3:14" x14ac:dyDescent="0.25">
      <c r="C102" s="50"/>
      <c r="D102" s="50"/>
      <c r="E102" s="50"/>
      <c r="F102" s="50"/>
      <c r="G102" s="50"/>
      <c r="H102" s="50"/>
      <c r="I102" s="50"/>
      <c r="J102" s="50"/>
      <c r="K102" s="50"/>
      <c r="L102" s="50"/>
      <c r="M102" s="50"/>
      <c r="N102" s="50"/>
    </row>
    <row r="103" spans="3:14" x14ac:dyDescent="0.25">
      <c r="C103" s="50"/>
      <c r="D103" s="50"/>
      <c r="E103" s="50"/>
      <c r="F103" s="50"/>
      <c r="G103" s="50"/>
      <c r="H103" s="50"/>
      <c r="I103" s="50"/>
      <c r="J103" s="50"/>
      <c r="K103" s="50"/>
      <c r="L103" s="50"/>
      <c r="M103" s="50"/>
      <c r="N103" s="50"/>
    </row>
    <row r="104" spans="3:14" x14ac:dyDescent="0.25">
      <c r="C104" s="50"/>
      <c r="D104" s="50"/>
      <c r="E104" s="50"/>
      <c r="F104" s="50"/>
      <c r="G104" s="50"/>
      <c r="H104" s="50"/>
      <c r="I104" s="50"/>
      <c r="J104" s="50"/>
      <c r="K104" s="50"/>
      <c r="L104" s="50"/>
      <c r="M104" s="50"/>
      <c r="N104" s="50"/>
    </row>
    <row r="105" spans="3:14" x14ac:dyDescent="0.25">
      <c r="C105" s="50"/>
      <c r="D105" s="50"/>
      <c r="E105" s="50"/>
      <c r="F105" s="50"/>
      <c r="G105" s="50"/>
      <c r="H105" s="50"/>
      <c r="I105" s="50"/>
      <c r="J105" s="50"/>
      <c r="K105" s="50"/>
      <c r="L105" s="50"/>
      <c r="M105" s="50"/>
      <c r="N105" s="50"/>
    </row>
    <row r="106" spans="3:14" x14ac:dyDescent="0.25">
      <c r="C106" s="50"/>
      <c r="D106" s="50"/>
      <c r="E106" s="50"/>
      <c r="F106" s="50"/>
      <c r="G106" s="50"/>
      <c r="H106" s="50"/>
      <c r="I106" s="50"/>
      <c r="J106" s="50"/>
      <c r="K106" s="50"/>
      <c r="L106" s="50"/>
      <c r="M106" s="50"/>
      <c r="N106" s="50"/>
    </row>
    <row r="107" spans="3:14" x14ac:dyDescent="0.25">
      <c r="C107" s="50"/>
      <c r="D107" s="50"/>
      <c r="E107" s="50"/>
      <c r="F107" s="50"/>
      <c r="G107" s="50"/>
      <c r="H107" s="50"/>
      <c r="I107" s="50"/>
      <c r="J107" s="50"/>
      <c r="K107" s="50"/>
      <c r="L107" s="50"/>
      <c r="M107" s="50"/>
      <c r="N107" s="50"/>
    </row>
    <row r="108" spans="3:14" x14ac:dyDescent="0.25">
      <c r="C108" s="50"/>
      <c r="D108" s="50"/>
      <c r="E108" s="50"/>
      <c r="F108" s="50"/>
      <c r="G108" s="50"/>
      <c r="H108" s="50"/>
      <c r="I108" s="50"/>
      <c r="J108" s="50"/>
      <c r="K108" s="50"/>
      <c r="L108" s="50"/>
      <c r="M108" s="50"/>
      <c r="N108" s="50"/>
    </row>
    <row r="109" spans="3:14" x14ac:dyDescent="0.25">
      <c r="C109" s="50"/>
      <c r="D109" s="50"/>
      <c r="E109" s="50"/>
      <c r="F109" s="50"/>
      <c r="G109" s="50"/>
      <c r="H109" s="50"/>
      <c r="I109" s="50"/>
      <c r="J109" s="50"/>
      <c r="K109" s="50"/>
      <c r="L109" s="50"/>
      <c r="M109" s="50"/>
      <c r="N109" s="50"/>
    </row>
    <row r="110" spans="3:14" x14ac:dyDescent="0.25">
      <c r="C110" s="50"/>
      <c r="D110" s="50"/>
      <c r="E110" s="50"/>
      <c r="F110" s="50"/>
      <c r="G110" s="50"/>
      <c r="H110" s="50"/>
      <c r="I110" s="50"/>
      <c r="J110" s="50"/>
      <c r="K110" s="50"/>
      <c r="L110" s="50"/>
      <c r="M110" s="50"/>
      <c r="N110" s="50"/>
    </row>
    <row r="111" spans="3:14" x14ac:dyDescent="0.25">
      <c r="C111" s="50"/>
      <c r="D111" s="50"/>
      <c r="E111" s="50"/>
      <c r="F111" s="50"/>
      <c r="G111" s="50"/>
      <c r="H111" s="50"/>
      <c r="I111" s="50"/>
      <c r="J111" s="50"/>
      <c r="K111" s="50"/>
      <c r="L111" s="50"/>
      <c r="M111" s="50"/>
      <c r="N111" s="50"/>
    </row>
    <row r="112" spans="3:14" x14ac:dyDescent="0.25">
      <c r="C112" s="50"/>
      <c r="D112" s="50"/>
      <c r="E112" s="50"/>
      <c r="F112" s="50"/>
      <c r="G112" s="50"/>
      <c r="H112" s="50"/>
      <c r="I112" s="50"/>
      <c r="J112" s="50"/>
      <c r="K112" s="50"/>
      <c r="L112" s="50"/>
      <c r="M112" s="50"/>
      <c r="N112" s="50"/>
    </row>
    <row r="113" spans="3:14" x14ac:dyDescent="0.25">
      <c r="C113" s="50"/>
      <c r="D113" s="50"/>
      <c r="E113" s="50"/>
      <c r="F113" s="50"/>
      <c r="G113" s="50"/>
      <c r="H113" s="50"/>
      <c r="I113" s="50"/>
      <c r="J113" s="50"/>
      <c r="K113" s="50"/>
      <c r="L113" s="50"/>
      <c r="M113" s="50"/>
      <c r="N113" s="50"/>
    </row>
    <row r="114" spans="3:14" x14ac:dyDescent="0.25">
      <c r="C114" s="50"/>
      <c r="D114" s="50"/>
      <c r="E114" s="50"/>
      <c r="F114" s="50"/>
      <c r="G114" s="50"/>
      <c r="H114" s="50"/>
      <c r="I114" s="50"/>
      <c r="J114" s="50"/>
      <c r="K114" s="50"/>
      <c r="L114" s="50"/>
      <c r="M114" s="50"/>
      <c r="N114" s="50"/>
    </row>
    <row r="115" spans="3:14" x14ac:dyDescent="0.25">
      <c r="C115" s="50"/>
      <c r="D115" s="50"/>
      <c r="E115" s="50"/>
      <c r="F115" s="50"/>
      <c r="G115" s="50"/>
      <c r="H115" s="50"/>
      <c r="I115" s="50"/>
      <c r="J115" s="50"/>
      <c r="K115" s="50"/>
      <c r="L115" s="50"/>
      <c r="M115" s="50"/>
      <c r="N115" s="50"/>
    </row>
    <row r="116" spans="3:14" x14ac:dyDescent="0.25">
      <c r="C116" s="50"/>
      <c r="D116" s="50"/>
      <c r="E116" s="50"/>
      <c r="F116" s="50"/>
      <c r="G116" s="50"/>
      <c r="H116" s="50"/>
      <c r="I116" s="50"/>
      <c r="J116" s="50"/>
      <c r="K116" s="50"/>
      <c r="L116" s="50"/>
      <c r="M116" s="50"/>
      <c r="N116" s="50"/>
    </row>
    <row r="117" spans="3:14" x14ac:dyDescent="0.25">
      <c r="C117" s="50"/>
      <c r="D117" s="50"/>
      <c r="E117" s="50"/>
      <c r="F117" s="50"/>
      <c r="G117" s="50"/>
      <c r="H117" s="50"/>
      <c r="I117" s="50"/>
      <c r="J117" s="50"/>
      <c r="K117" s="50"/>
      <c r="L117" s="50"/>
      <c r="M117" s="50"/>
      <c r="N117" s="50"/>
    </row>
    <row r="118" spans="3:14" x14ac:dyDescent="0.25">
      <c r="C118" s="50"/>
      <c r="D118" s="50"/>
      <c r="E118" s="50"/>
      <c r="F118" s="50"/>
      <c r="G118" s="50"/>
      <c r="H118" s="50"/>
      <c r="I118" s="50"/>
      <c r="J118" s="50"/>
      <c r="K118" s="50"/>
      <c r="L118" s="50"/>
      <c r="M118" s="50"/>
      <c r="N118" s="50"/>
    </row>
    <row r="119" spans="3:14" x14ac:dyDescent="0.25">
      <c r="C119" s="50"/>
      <c r="D119" s="50"/>
      <c r="E119" s="50"/>
      <c r="F119" s="50"/>
      <c r="G119" s="50"/>
      <c r="H119" s="50"/>
      <c r="I119" s="50"/>
      <c r="J119" s="50"/>
      <c r="K119" s="50"/>
      <c r="L119" s="50"/>
      <c r="M119" s="50"/>
      <c r="N119" s="50"/>
    </row>
    <row r="120" spans="3:14" x14ac:dyDescent="0.25">
      <c r="C120" s="50"/>
      <c r="D120" s="50"/>
      <c r="E120" s="50"/>
      <c r="F120" s="50"/>
      <c r="G120" s="50"/>
      <c r="H120" s="50"/>
      <c r="I120" s="50"/>
      <c r="J120" s="50"/>
      <c r="K120" s="50"/>
      <c r="L120" s="50"/>
      <c r="M120" s="50"/>
      <c r="N120" s="50"/>
    </row>
    <row r="121" spans="3:14" x14ac:dyDescent="0.25">
      <c r="C121" s="50"/>
      <c r="D121" s="50"/>
      <c r="E121" s="50"/>
      <c r="F121" s="50"/>
      <c r="G121" s="50"/>
      <c r="H121" s="50"/>
      <c r="I121" s="50"/>
      <c r="J121" s="50"/>
      <c r="K121" s="50"/>
      <c r="L121" s="50"/>
      <c r="M121" s="50"/>
      <c r="N121" s="50"/>
    </row>
    <row r="122" spans="3:14" x14ac:dyDescent="0.25">
      <c r="C122" s="50"/>
      <c r="D122" s="50"/>
      <c r="E122" s="50"/>
      <c r="F122" s="50"/>
      <c r="G122" s="50"/>
      <c r="H122" s="50"/>
      <c r="I122" s="50"/>
      <c r="J122" s="50"/>
      <c r="K122" s="50"/>
      <c r="L122" s="50"/>
      <c r="M122" s="50"/>
      <c r="N122" s="50"/>
    </row>
    <row r="123" spans="3:14" x14ac:dyDescent="0.25">
      <c r="C123" s="50"/>
      <c r="D123" s="50"/>
      <c r="E123" s="50"/>
      <c r="F123" s="50"/>
      <c r="G123" s="50"/>
      <c r="H123" s="50"/>
      <c r="I123" s="50"/>
      <c r="J123" s="50"/>
      <c r="K123" s="50"/>
      <c r="L123" s="50"/>
      <c r="M123" s="50"/>
      <c r="N123" s="50"/>
    </row>
    <row r="124" spans="3:14" x14ac:dyDescent="0.25">
      <c r="C124" s="50"/>
      <c r="D124" s="50"/>
      <c r="E124" s="50"/>
      <c r="F124" s="50"/>
      <c r="G124" s="50"/>
      <c r="H124" s="50"/>
      <c r="I124" s="50"/>
      <c r="J124" s="50"/>
      <c r="K124" s="50"/>
      <c r="L124" s="50"/>
      <c r="M124" s="50"/>
      <c r="N124" s="50"/>
    </row>
    <row r="125" spans="3:14" x14ac:dyDescent="0.25">
      <c r="C125" s="50"/>
      <c r="D125" s="50"/>
      <c r="E125" s="50"/>
      <c r="F125" s="50"/>
      <c r="G125" s="50"/>
      <c r="H125" s="50"/>
      <c r="I125" s="50"/>
      <c r="J125" s="50"/>
      <c r="K125" s="50"/>
      <c r="L125" s="50"/>
      <c r="M125" s="50"/>
      <c r="N125" s="50"/>
    </row>
    <row r="126" spans="3:14" x14ac:dyDescent="0.25">
      <c r="C126" s="50"/>
      <c r="D126" s="50"/>
      <c r="E126" s="50"/>
      <c r="F126" s="50"/>
      <c r="G126" s="50"/>
      <c r="H126" s="50"/>
      <c r="I126" s="50"/>
      <c r="J126" s="50"/>
      <c r="K126" s="50"/>
      <c r="L126" s="50"/>
      <c r="M126" s="50"/>
      <c r="N126" s="50"/>
    </row>
    <row r="127" spans="3:14" x14ac:dyDescent="0.25">
      <c r="C127" s="50"/>
      <c r="D127" s="50"/>
      <c r="E127" s="50"/>
      <c r="F127" s="50"/>
      <c r="G127" s="50"/>
      <c r="H127" s="50"/>
      <c r="I127" s="50"/>
      <c r="J127" s="50"/>
      <c r="K127" s="50"/>
      <c r="L127" s="50"/>
      <c r="M127" s="50"/>
      <c r="N127" s="50"/>
    </row>
    <row r="128" spans="3:14" x14ac:dyDescent="0.25">
      <c r="C128" s="50"/>
      <c r="D128" s="50"/>
      <c r="E128" s="50"/>
      <c r="F128" s="50"/>
      <c r="G128" s="50"/>
      <c r="H128" s="50"/>
      <c r="I128" s="50"/>
      <c r="J128" s="50"/>
      <c r="K128" s="50"/>
      <c r="L128" s="50"/>
      <c r="M128" s="50"/>
      <c r="N128" s="50"/>
    </row>
    <row r="129" spans="3:14" x14ac:dyDescent="0.25">
      <c r="C129" s="50"/>
      <c r="D129" s="50"/>
      <c r="E129" s="50"/>
      <c r="F129" s="50"/>
      <c r="G129" s="50"/>
      <c r="H129" s="50"/>
      <c r="I129" s="50"/>
      <c r="J129" s="50"/>
      <c r="K129" s="50"/>
      <c r="L129" s="50"/>
      <c r="M129" s="50"/>
      <c r="N129" s="50"/>
    </row>
    <row r="130" spans="3:14" x14ac:dyDescent="0.25">
      <c r="C130" s="50"/>
      <c r="D130" s="50"/>
      <c r="E130" s="50"/>
      <c r="F130" s="50"/>
      <c r="G130" s="50"/>
      <c r="H130" s="50"/>
      <c r="I130" s="50"/>
      <c r="J130" s="50"/>
      <c r="K130" s="50"/>
      <c r="L130" s="50"/>
      <c r="M130" s="50"/>
      <c r="N130" s="50"/>
    </row>
    <row r="131" spans="3:14" x14ac:dyDescent="0.25">
      <c r="C131" s="50"/>
      <c r="D131" s="50"/>
      <c r="E131" s="50"/>
      <c r="F131" s="50"/>
      <c r="G131" s="50"/>
      <c r="H131" s="50"/>
      <c r="I131" s="50"/>
      <c r="J131" s="50"/>
      <c r="K131" s="50"/>
      <c r="L131" s="50"/>
      <c r="M131" s="50"/>
      <c r="N131" s="50"/>
    </row>
    <row r="132" spans="3:14" x14ac:dyDescent="0.25">
      <c r="C132" s="50"/>
      <c r="D132" s="50"/>
      <c r="E132" s="50"/>
      <c r="F132" s="50"/>
      <c r="G132" s="50"/>
      <c r="H132" s="50"/>
      <c r="I132" s="50"/>
      <c r="J132" s="50"/>
      <c r="K132" s="50"/>
      <c r="L132" s="50"/>
      <c r="M132" s="50"/>
      <c r="N132" s="50"/>
    </row>
    <row r="133" spans="3:14" x14ac:dyDescent="0.25">
      <c r="C133" s="50"/>
      <c r="D133" s="50"/>
      <c r="E133" s="50"/>
      <c r="F133" s="50"/>
      <c r="G133" s="50"/>
      <c r="H133" s="50"/>
      <c r="I133" s="50"/>
      <c r="J133" s="50"/>
      <c r="K133" s="50"/>
      <c r="L133" s="50"/>
      <c r="M133" s="50"/>
      <c r="N133" s="50"/>
    </row>
    <row r="134" spans="3:14" x14ac:dyDescent="0.25">
      <c r="C134" s="50"/>
      <c r="D134" s="50"/>
      <c r="E134" s="50"/>
      <c r="F134" s="50"/>
      <c r="G134" s="50"/>
      <c r="H134" s="50"/>
      <c r="I134" s="50"/>
      <c r="J134" s="50"/>
      <c r="K134" s="50"/>
      <c r="L134" s="50"/>
      <c r="M134" s="50"/>
      <c r="N134" s="50"/>
    </row>
    <row r="135" spans="3:14" x14ac:dyDescent="0.25">
      <c r="C135" s="50"/>
      <c r="D135" s="50"/>
      <c r="E135" s="50"/>
      <c r="F135" s="50"/>
      <c r="G135" s="50"/>
      <c r="H135" s="50"/>
      <c r="I135" s="50"/>
      <c r="J135" s="50"/>
      <c r="K135" s="50"/>
      <c r="L135" s="50"/>
      <c r="M135" s="50"/>
      <c r="N135" s="50"/>
    </row>
    <row r="136" spans="3:14" x14ac:dyDescent="0.25">
      <c r="C136" s="50"/>
      <c r="D136" s="50"/>
      <c r="E136" s="50"/>
      <c r="F136" s="50"/>
      <c r="G136" s="50"/>
      <c r="H136" s="50"/>
      <c r="I136" s="50"/>
      <c r="J136" s="50"/>
      <c r="K136" s="50"/>
      <c r="L136" s="50"/>
      <c r="M136" s="50"/>
      <c r="N136" s="50"/>
    </row>
    <row r="137" spans="3:14" x14ac:dyDescent="0.25">
      <c r="C137" s="50"/>
      <c r="D137" s="50"/>
      <c r="E137" s="50"/>
      <c r="F137" s="50"/>
      <c r="G137" s="50"/>
      <c r="H137" s="50"/>
      <c r="I137" s="50"/>
      <c r="J137" s="50"/>
      <c r="K137" s="50"/>
      <c r="L137" s="50"/>
      <c r="M137" s="50"/>
      <c r="N137" s="50"/>
    </row>
    <row r="138" spans="3:14" x14ac:dyDescent="0.25">
      <c r="C138" s="50"/>
      <c r="D138" s="50"/>
      <c r="E138" s="50"/>
      <c r="F138" s="50"/>
      <c r="G138" s="50"/>
      <c r="H138" s="50"/>
      <c r="I138" s="50"/>
      <c r="J138" s="50"/>
      <c r="K138" s="50"/>
      <c r="L138" s="50"/>
      <c r="M138" s="50"/>
      <c r="N138" s="50"/>
    </row>
    <row r="139" spans="3:14" x14ac:dyDescent="0.25">
      <c r="C139" s="50"/>
      <c r="D139" s="50"/>
      <c r="E139" s="50"/>
      <c r="F139" s="50"/>
      <c r="G139" s="50"/>
      <c r="H139" s="50"/>
      <c r="I139" s="50"/>
      <c r="J139" s="50"/>
      <c r="K139" s="50"/>
      <c r="L139" s="50"/>
      <c r="M139" s="50"/>
      <c r="N139" s="50"/>
    </row>
    <row r="140" spans="3:14" x14ac:dyDescent="0.25">
      <c r="C140" s="50"/>
      <c r="D140" s="50"/>
      <c r="E140" s="50"/>
      <c r="F140" s="50"/>
      <c r="G140" s="50"/>
      <c r="H140" s="50"/>
      <c r="I140" s="50"/>
      <c r="J140" s="50"/>
      <c r="K140" s="50"/>
      <c r="L140" s="50"/>
      <c r="M140" s="50"/>
      <c r="N140" s="50"/>
    </row>
    <row r="141" spans="3:14" x14ac:dyDescent="0.25">
      <c r="C141" s="50"/>
      <c r="D141" s="50"/>
      <c r="E141" s="50"/>
      <c r="F141" s="50"/>
      <c r="G141" s="50"/>
      <c r="H141" s="50"/>
      <c r="I141" s="50"/>
      <c r="J141" s="50"/>
      <c r="K141" s="50"/>
      <c r="L141" s="50"/>
      <c r="M141" s="50"/>
      <c r="N141" s="50"/>
    </row>
    <row r="142" spans="3:14" x14ac:dyDescent="0.25">
      <c r="C142" s="50"/>
      <c r="D142" s="50"/>
      <c r="E142" s="50"/>
      <c r="F142" s="50"/>
      <c r="G142" s="50"/>
      <c r="H142" s="50"/>
      <c r="I142" s="50"/>
      <c r="J142" s="50"/>
      <c r="K142" s="50"/>
      <c r="L142" s="50"/>
      <c r="M142" s="50"/>
      <c r="N142" s="50"/>
    </row>
    <row r="143" spans="3:14" x14ac:dyDescent="0.25">
      <c r="C143" s="50"/>
      <c r="D143" s="50"/>
      <c r="E143" s="50"/>
      <c r="F143" s="50"/>
      <c r="G143" s="50"/>
      <c r="H143" s="50"/>
      <c r="I143" s="50"/>
      <c r="J143" s="50"/>
      <c r="K143" s="50"/>
      <c r="L143" s="50"/>
      <c r="M143" s="50"/>
      <c r="N143" s="50"/>
    </row>
    <row r="144" spans="3:14" x14ac:dyDescent="0.25">
      <c r="C144" s="50"/>
      <c r="D144" s="50"/>
      <c r="E144" s="50"/>
      <c r="F144" s="50"/>
      <c r="G144" s="50"/>
      <c r="H144" s="50"/>
      <c r="I144" s="50"/>
      <c r="J144" s="50"/>
      <c r="K144" s="50"/>
      <c r="L144" s="50"/>
      <c r="M144" s="50"/>
      <c r="N144" s="50"/>
    </row>
    <row r="145" spans="3:14" x14ac:dyDescent="0.25">
      <c r="C145" s="50"/>
      <c r="D145" s="50"/>
      <c r="E145" s="50"/>
      <c r="F145" s="50"/>
      <c r="G145" s="50"/>
      <c r="H145" s="50"/>
      <c r="I145" s="50"/>
      <c r="J145" s="50"/>
      <c r="K145" s="50"/>
      <c r="L145" s="50"/>
      <c r="M145" s="50"/>
      <c r="N145" s="50"/>
    </row>
    <row r="146" spans="3:14" x14ac:dyDescent="0.25">
      <c r="C146" s="50"/>
      <c r="D146" s="50"/>
      <c r="E146" s="50"/>
      <c r="F146" s="50"/>
      <c r="G146" s="50"/>
      <c r="H146" s="50"/>
      <c r="I146" s="50"/>
      <c r="J146" s="50"/>
      <c r="K146" s="50"/>
      <c r="L146" s="50"/>
      <c r="M146" s="50"/>
      <c r="N146" s="50"/>
    </row>
  </sheetData>
  <pageMargins left="0.75" right="0.75" top="1" bottom="1" header="0.5" footer="0.5"/>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K146"/>
  <sheetViews>
    <sheetView zoomScale="74" zoomScaleNormal="74" workbookViewId="0">
      <pane ySplit="6" topLeftCell="A7" activePane="bottomLeft" state="frozen"/>
      <selection activeCell="A9" sqref="A9"/>
      <selection pane="bottomLeft" activeCell="A9" sqref="A9"/>
    </sheetView>
  </sheetViews>
  <sheetFormatPr defaultColWidth="9.140625" defaultRowHeight="15" x14ac:dyDescent="0.25"/>
  <cols>
    <col min="1" max="1" width="20.28515625" style="12" bestFit="1" customWidth="1"/>
    <col min="2" max="2" width="10.140625" style="12" bestFit="1" customWidth="1"/>
    <col min="3" max="5" width="9.28515625" style="12" bestFit="1" customWidth="1"/>
    <col min="6" max="12" width="8.5703125" style="12" customWidth="1"/>
    <col min="13" max="29" width="8.5703125" style="50" customWidth="1"/>
    <col min="30" max="38" width="5.7109375" style="50" customWidth="1"/>
    <col min="39" max="16384" width="9.140625" style="50"/>
  </cols>
  <sheetData>
    <row r="1" spans="1:37" x14ac:dyDescent="0.25">
      <c r="A1" s="38" t="s">
        <v>28</v>
      </c>
      <c r="B1" s="39" t="s">
        <v>76</v>
      </c>
    </row>
    <row r="2" spans="1:37" s="2" customFormat="1" x14ac:dyDescent="0.25">
      <c r="A2" s="65" t="s">
        <v>47</v>
      </c>
      <c r="B2" s="84"/>
    </row>
    <row r="3" spans="1:37" s="2" customFormat="1" x14ac:dyDescent="0.25"/>
    <row r="4" spans="1:37" s="2" customFormat="1" ht="30" x14ac:dyDescent="0.25">
      <c r="A4" s="33" t="s">
        <v>96</v>
      </c>
      <c r="B4" s="36" t="s">
        <v>95</v>
      </c>
      <c r="C4" s="34"/>
      <c r="D4" s="35"/>
      <c r="E4"/>
      <c r="F4"/>
      <c r="G4"/>
      <c r="H4"/>
      <c r="I4"/>
      <c r="J4"/>
      <c r="K4"/>
      <c r="L4"/>
      <c r="M4"/>
      <c r="N4"/>
      <c r="O4"/>
      <c r="P4"/>
      <c r="Q4"/>
      <c r="R4"/>
      <c r="S4"/>
      <c r="T4"/>
      <c r="U4"/>
      <c r="V4"/>
      <c r="W4"/>
      <c r="X4"/>
      <c r="Y4"/>
      <c r="Z4"/>
      <c r="AA4"/>
    </row>
    <row r="5" spans="1:37" s="83" customFormat="1" x14ac:dyDescent="0.25">
      <c r="A5" s="33" t="s">
        <v>5</v>
      </c>
      <c r="B5" s="23" t="s">
        <v>46</v>
      </c>
      <c r="C5" s="57" t="s">
        <v>42</v>
      </c>
      <c r="D5" s="58" t="s">
        <v>29</v>
      </c>
      <c r="E5"/>
      <c r="F5"/>
      <c r="G5"/>
      <c r="H5"/>
      <c r="I5"/>
      <c r="J5"/>
      <c r="K5"/>
      <c r="L5"/>
      <c r="M5"/>
      <c r="N5"/>
      <c r="O5"/>
      <c r="P5"/>
      <c r="Q5"/>
      <c r="R5"/>
      <c r="S5"/>
      <c r="T5"/>
      <c r="U5"/>
      <c r="V5"/>
      <c r="W5"/>
      <c r="X5"/>
      <c r="Y5"/>
      <c r="Z5"/>
      <c r="AA5"/>
      <c r="AB5" s="2"/>
      <c r="AC5" s="2"/>
      <c r="AD5" s="2"/>
      <c r="AE5" s="2"/>
      <c r="AF5" s="2"/>
      <c r="AG5" s="2"/>
      <c r="AH5" s="2"/>
      <c r="AI5" s="2"/>
      <c r="AJ5" s="2"/>
      <c r="AK5" s="2"/>
    </row>
    <row r="6" spans="1:37" s="2" customFormat="1" x14ac:dyDescent="0.25">
      <c r="A6" s="23">
        <v>45</v>
      </c>
      <c r="B6" s="76">
        <v>0.4</v>
      </c>
      <c r="C6" s="25">
        <v>0.6</v>
      </c>
      <c r="D6" s="80">
        <v>0</v>
      </c>
      <c r="E6"/>
      <c r="F6"/>
      <c r="G6"/>
      <c r="H6"/>
      <c r="I6"/>
      <c r="J6"/>
      <c r="K6"/>
      <c r="L6"/>
      <c r="M6"/>
      <c r="N6"/>
      <c r="O6"/>
      <c r="P6"/>
      <c r="Q6"/>
      <c r="R6"/>
      <c r="S6"/>
      <c r="T6"/>
      <c r="U6"/>
      <c r="V6"/>
      <c r="W6"/>
      <c r="X6"/>
      <c r="Y6"/>
      <c r="Z6"/>
      <c r="AA6"/>
    </row>
    <row r="7" spans="1:37" x14ac:dyDescent="0.25">
      <c r="A7" s="37">
        <v>135</v>
      </c>
      <c r="B7" s="77">
        <v>0.66666666666666663</v>
      </c>
      <c r="C7" s="26">
        <v>0.33333333333333331</v>
      </c>
      <c r="D7" s="81">
        <v>0</v>
      </c>
      <c r="E7"/>
      <c r="F7"/>
      <c r="G7"/>
      <c r="H7"/>
      <c r="I7"/>
      <c r="J7"/>
      <c r="K7"/>
      <c r="L7"/>
      <c r="M7"/>
      <c r="N7"/>
      <c r="O7"/>
      <c r="P7"/>
      <c r="Q7"/>
      <c r="R7"/>
      <c r="S7"/>
      <c r="T7"/>
      <c r="U7"/>
      <c r="V7"/>
      <c r="W7"/>
      <c r="X7"/>
      <c r="Y7"/>
      <c r="Z7"/>
      <c r="AA7"/>
    </row>
    <row r="8" spans="1:37" x14ac:dyDescent="0.25">
      <c r="A8" s="37">
        <v>234</v>
      </c>
      <c r="B8" s="77">
        <v>0.88888888888888884</v>
      </c>
      <c r="C8" s="26">
        <v>0.1111111111111111</v>
      </c>
      <c r="D8" s="81">
        <v>0</v>
      </c>
      <c r="E8"/>
      <c r="F8"/>
      <c r="G8"/>
      <c r="H8"/>
      <c r="I8"/>
      <c r="J8"/>
      <c r="K8"/>
      <c r="L8"/>
      <c r="M8"/>
      <c r="N8"/>
      <c r="O8"/>
      <c r="P8"/>
      <c r="Q8"/>
      <c r="R8"/>
      <c r="S8"/>
      <c r="T8"/>
      <c r="U8"/>
      <c r="V8"/>
      <c r="W8"/>
      <c r="X8"/>
      <c r="Y8"/>
      <c r="Z8"/>
      <c r="AA8"/>
    </row>
    <row r="9" spans="1:37" x14ac:dyDescent="0.25">
      <c r="A9" s="37">
        <v>292</v>
      </c>
      <c r="B9" s="77">
        <v>0.17647058823529413</v>
      </c>
      <c r="C9" s="26">
        <v>0.82352941176470584</v>
      </c>
      <c r="D9" s="81">
        <v>0</v>
      </c>
      <c r="E9"/>
      <c r="F9"/>
      <c r="G9"/>
      <c r="H9"/>
      <c r="I9"/>
      <c r="J9"/>
      <c r="K9"/>
      <c r="L9"/>
      <c r="M9"/>
      <c r="N9"/>
      <c r="O9"/>
      <c r="P9"/>
      <c r="Q9"/>
      <c r="R9"/>
      <c r="S9"/>
      <c r="T9"/>
      <c r="U9"/>
      <c r="V9"/>
      <c r="W9"/>
      <c r="X9"/>
      <c r="Y9"/>
      <c r="Z9"/>
      <c r="AA9"/>
    </row>
    <row r="10" spans="1:37" x14ac:dyDescent="0.25">
      <c r="A10" s="37">
        <v>359</v>
      </c>
      <c r="B10" s="77">
        <v>0</v>
      </c>
      <c r="C10" s="26">
        <v>1</v>
      </c>
      <c r="D10" s="81">
        <v>0</v>
      </c>
      <c r="E10"/>
      <c r="F10"/>
      <c r="G10"/>
      <c r="H10"/>
      <c r="I10"/>
      <c r="J10"/>
      <c r="K10"/>
      <c r="L10"/>
      <c r="M10"/>
      <c r="N10"/>
      <c r="O10"/>
      <c r="P10"/>
      <c r="Q10"/>
      <c r="R10"/>
      <c r="S10"/>
      <c r="T10"/>
      <c r="U10"/>
      <c r="V10"/>
      <c r="W10"/>
      <c r="X10"/>
      <c r="Y10"/>
      <c r="Z10"/>
      <c r="AA10"/>
    </row>
    <row r="11" spans="1:37" x14ac:dyDescent="0.25">
      <c r="A11" s="37">
        <v>461</v>
      </c>
      <c r="B11" s="77">
        <v>0.3</v>
      </c>
      <c r="C11" s="26">
        <v>0.7</v>
      </c>
      <c r="D11" s="81">
        <v>0</v>
      </c>
      <c r="E11"/>
      <c r="F11"/>
      <c r="G11"/>
      <c r="H11"/>
      <c r="I11"/>
      <c r="J11"/>
      <c r="K11"/>
      <c r="L11"/>
      <c r="M11"/>
      <c r="N11"/>
      <c r="O11"/>
      <c r="P11"/>
      <c r="Q11"/>
      <c r="R11"/>
      <c r="S11"/>
      <c r="T11"/>
      <c r="U11"/>
      <c r="V11"/>
      <c r="W11"/>
      <c r="X11"/>
      <c r="Y11"/>
      <c r="Z11"/>
      <c r="AA11"/>
    </row>
    <row r="12" spans="1:37" x14ac:dyDescent="0.25">
      <c r="A12" s="37">
        <v>829</v>
      </c>
      <c r="B12" s="77">
        <v>0.53846153846153844</v>
      </c>
      <c r="C12" s="26">
        <v>0.46153846153846156</v>
      </c>
      <c r="D12" s="81">
        <v>0</v>
      </c>
      <c r="E12"/>
      <c r="F12"/>
      <c r="G12"/>
      <c r="H12"/>
      <c r="I12"/>
      <c r="J12"/>
      <c r="K12"/>
      <c r="L12"/>
      <c r="M12"/>
      <c r="N12"/>
      <c r="O12"/>
      <c r="P12"/>
      <c r="Q12"/>
      <c r="R12"/>
      <c r="S12"/>
      <c r="T12"/>
      <c r="U12"/>
      <c r="V12"/>
      <c r="W12"/>
      <c r="X12"/>
      <c r="Y12"/>
      <c r="Z12"/>
      <c r="AA12"/>
    </row>
    <row r="13" spans="1:37" x14ac:dyDescent="0.25">
      <c r="A13" s="37">
        <v>868</v>
      </c>
      <c r="B13" s="77">
        <v>0</v>
      </c>
      <c r="C13" s="26">
        <v>1</v>
      </c>
      <c r="D13" s="81">
        <v>0</v>
      </c>
      <c r="E13"/>
      <c r="F13"/>
      <c r="G13"/>
      <c r="H13"/>
      <c r="I13"/>
      <c r="J13"/>
      <c r="K13"/>
      <c r="L13"/>
      <c r="M13"/>
      <c r="N13"/>
      <c r="O13"/>
      <c r="P13"/>
      <c r="Q13"/>
      <c r="R13"/>
      <c r="S13"/>
      <c r="T13"/>
      <c r="U13"/>
      <c r="V13"/>
      <c r="W13"/>
      <c r="X13"/>
      <c r="Y13"/>
      <c r="Z13"/>
      <c r="AA13"/>
    </row>
    <row r="14" spans="1:37" x14ac:dyDescent="0.25">
      <c r="A14" s="37">
        <v>1024</v>
      </c>
      <c r="B14" s="77">
        <v>0</v>
      </c>
      <c r="C14" s="26">
        <v>1</v>
      </c>
      <c r="D14" s="81">
        <v>0</v>
      </c>
      <c r="E14"/>
      <c r="F14"/>
      <c r="G14"/>
      <c r="H14"/>
      <c r="I14"/>
      <c r="J14"/>
      <c r="K14"/>
      <c r="L14"/>
      <c r="M14"/>
      <c r="N14"/>
      <c r="O14"/>
      <c r="P14"/>
      <c r="Q14"/>
      <c r="R14"/>
      <c r="S14"/>
      <c r="T14"/>
      <c r="U14"/>
      <c r="V14"/>
      <c r="W14"/>
      <c r="X14"/>
      <c r="Y14"/>
      <c r="Z14"/>
      <c r="AA14"/>
    </row>
    <row r="15" spans="1:37" x14ac:dyDescent="0.25">
      <c r="A15" s="37">
        <v>1501</v>
      </c>
      <c r="B15" s="77">
        <v>0.14285714285714285</v>
      </c>
      <c r="C15" s="26">
        <v>0.8571428571428571</v>
      </c>
      <c r="D15" s="81">
        <v>0</v>
      </c>
      <c r="E15"/>
      <c r="F15"/>
      <c r="G15"/>
      <c r="H15"/>
      <c r="I15"/>
      <c r="J15"/>
      <c r="K15"/>
      <c r="L15"/>
      <c r="M15"/>
      <c r="N15"/>
      <c r="O15"/>
      <c r="P15"/>
      <c r="Q15"/>
      <c r="R15"/>
      <c r="S15"/>
      <c r="T15"/>
      <c r="U15"/>
      <c r="V15"/>
      <c r="W15"/>
      <c r="X15"/>
      <c r="Y15"/>
      <c r="Z15"/>
      <c r="AA15"/>
    </row>
    <row r="16" spans="1:37" x14ac:dyDescent="0.25">
      <c r="A16" s="37">
        <v>1646</v>
      </c>
      <c r="B16" s="77">
        <v>0.66666666666666663</v>
      </c>
      <c r="C16" s="26">
        <v>0.33333333333333331</v>
      </c>
      <c r="D16" s="81">
        <v>0</v>
      </c>
      <c r="E16"/>
      <c r="F16"/>
      <c r="G16"/>
      <c r="H16"/>
      <c r="I16"/>
      <c r="J16"/>
      <c r="K16"/>
      <c r="L16"/>
      <c r="M16"/>
      <c r="N16"/>
      <c r="O16"/>
      <c r="P16"/>
      <c r="Q16"/>
      <c r="R16"/>
      <c r="S16"/>
      <c r="T16"/>
      <c r="U16"/>
      <c r="V16"/>
      <c r="W16"/>
      <c r="X16"/>
      <c r="Y16"/>
      <c r="Z16"/>
      <c r="AA16"/>
    </row>
    <row r="17" spans="1:27" x14ac:dyDescent="0.25">
      <c r="A17" s="37">
        <v>1732</v>
      </c>
      <c r="B17" s="77">
        <v>0.13333333333333333</v>
      </c>
      <c r="C17" s="26">
        <v>0.8666666666666667</v>
      </c>
      <c r="D17" s="81">
        <v>0</v>
      </c>
      <c r="E17"/>
      <c r="F17"/>
      <c r="G17"/>
      <c r="H17"/>
      <c r="I17"/>
      <c r="J17"/>
      <c r="K17"/>
      <c r="L17"/>
      <c r="M17"/>
      <c r="N17"/>
      <c r="O17"/>
      <c r="P17"/>
      <c r="Q17"/>
      <c r="R17"/>
      <c r="S17"/>
      <c r="T17"/>
      <c r="U17"/>
      <c r="V17"/>
      <c r="W17"/>
      <c r="X17"/>
      <c r="Y17"/>
      <c r="Z17"/>
      <c r="AA17"/>
    </row>
    <row r="18" spans="1:27" x14ac:dyDescent="0.25">
      <c r="A18" s="37">
        <v>1736</v>
      </c>
      <c r="B18" s="77">
        <v>0.33333333333333331</v>
      </c>
      <c r="C18" s="26">
        <v>0.66666666666666663</v>
      </c>
      <c r="D18" s="81">
        <v>0</v>
      </c>
      <c r="E18"/>
      <c r="F18"/>
      <c r="G18"/>
      <c r="H18"/>
      <c r="I18"/>
      <c r="J18"/>
      <c r="K18"/>
      <c r="L18"/>
      <c r="M18"/>
      <c r="N18"/>
      <c r="O18"/>
      <c r="P18"/>
      <c r="Q18"/>
      <c r="R18"/>
      <c r="S18"/>
      <c r="T18"/>
      <c r="U18"/>
      <c r="V18"/>
      <c r="W18"/>
      <c r="X18"/>
      <c r="Y18"/>
      <c r="Z18"/>
      <c r="AA18"/>
    </row>
    <row r="19" spans="1:27" x14ac:dyDescent="0.25">
      <c r="A19" s="37">
        <v>1741</v>
      </c>
      <c r="B19" s="77">
        <v>0</v>
      </c>
      <c r="C19" s="26">
        <v>1</v>
      </c>
      <c r="D19" s="81">
        <v>0</v>
      </c>
      <c r="E19"/>
      <c r="F19"/>
      <c r="G19"/>
      <c r="H19"/>
      <c r="I19"/>
      <c r="J19"/>
      <c r="K19"/>
      <c r="L19"/>
      <c r="M19"/>
      <c r="N19"/>
      <c r="O19"/>
      <c r="P19"/>
      <c r="Q19"/>
      <c r="R19"/>
      <c r="S19"/>
      <c r="T19"/>
      <c r="U19"/>
      <c r="V19"/>
      <c r="W19"/>
      <c r="X19"/>
      <c r="Y19"/>
      <c r="Z19"/>
      <c r="AA19"/>
    </row>
    <row r="20" spans="1:27" x14ac:dyDescent="0.25">
      <c r="A20" s="37">
        <v>1747</v>
      </c>
      <c r="B20" s="77">
        <v>0.5</v>
      </c>
      <c r="C20" s="26">
        <v>0.5</v>
      </c>
      <c r="D20" s="81">
        <v>0</v>
      </c>
      <c r="E20"/>
      <c r="F20"/>
      <c r="G20"/>
      <c r="H20"/>
      <c r="I20"/>
      <c r="J20"/>
      <c r="K20"/>
      <c r="L20"/>
      <c r="M20"/>
      <c r="N20"/>
      <c r="O20"/>
      <c r="P20"/>
      <c r="Q20"/>
      <c r="R20"/>
      <c r="S20"/>
      <c r="T20"/>
      <c r="U20"/>
      <c r="V20"/>
      <c r="W20"/>
      <c r="X20"/>
      <c r="Y20"/>
      <c r="Z20"/>
      <c r="AA20"/>
    </row>
    <row r="21" spans="1:27" x14ac:dyDescent="0.25">
      <c r="A21" s="37">
        <v>1756</v>
      </c>
      <c r="B21" s="77">
        <v>0.5357142857142857</v>
      </c>
      <c r="C21" s="26">
        <v>0.4642857142857143</v>
      </c>
      <c r="D21" s="81">
        <v>0</v>
      </c>
      <c r="E21"/>
      <c r="F21"/>
      <c r="G21"/>
      <c r="H21"/>
      <c r="I21"/>
      <c r="J21"/>
      <c r="K21"/>
      <c r="L21"/>
      <c r="M21"/>
      <c r="N21"/>
      <c r="O21"/>
      <c r="P21"/>
      <c r="Q21"/>
      <c r="R21"/>
      <c r="S21"/>
      <c r="T21"/>
      <c r="U21"/>
      <c r="V21"/>
      <c r="W21"/>
      <c r="X21"/>
      <c r="Y21"/>
      <c r="Z21"/>
      <c r="AA21"/>
    </row>
    <row r="22" spans="1:27" x14ac:dyDescent="0.25">
      <c r="A22" s="37">
        <v>1872</v>
      </c>
      <c r="B22" s="77">
        <v>0.53846153846153844</v>
      </c>
      <c r="C22" s="26">
        <v>0.46153846153846156</v>
      </c>
      <c r="D22" s="81">
        <v>0</v>
      </c>
      <c r="E22"/>
      <c r="F22"/>
      <c r="G22"/>
      <c r="H22"/>
      <c r="I22"/>
      <c r="J22"/>
      <c r="K22"/>
      <c r="L22"/>
      <c r="M22"/>
      <c r="N22"/>
      <c r="O22"/>
      <c r="P22"/>
      <c r="Q22"/>
      <c r="R22"/>
      <c r="S22"/>
      <c r="T22"/>
      <c r="U22"/>
      <c r="V22"/>
      <c r="W22"/>
      <c r="X22"/>
      <c r="Y22"/>
      <c r="Z22"/>
      <c r="AA22"/>
    </row>
    <row r="23" spans="1:27" x14ac:dyDescent="0.25">
      <c r="A23" s="37">
        <v>2040</v>
      </c>
      <c r="B23" s="77">
        <v>0.14285714285714285</v>
      </c>
      <c r="C23" s="26">
        <v>0.8571428571428571</v>
      </c>
      <c r="D23" s="81">
        <v>0</v>
      </c>
      <c r="E23"/>
      <c r="F23"/>
      <c r="G23"/>
      <c r="H23"/>
      <c r="I23"/>
      <c r="J23"/>
      <c r="K23"/>
      <c r="L23"/>
      <c r="M23"/>
      <c r="N23"/>
      <c r="O23"/>
      <c r="P23"/>
      <c r="Q23"/>
      <c r="R23"/>
      <c r="S23"/>
      <c r="T23"/>
      <c r="U23"/>
      <c r="V23"/>
      <c r="W23"/>
      <c r="X23"/>
      <c r="Y23"/>
      <c r="Z23"/>
      <c r="AA23"/>
    </row>
    <row r="24" spans="1:27" x14ac:dyDescent="0.25">
      <c r="A24" s="37">
        <v>2171</v>
      </c>
      <c r="B24" s="77">
        <v>0.41666666666666669</v>
      </c>
      <c r="C24" s="26">
        <v>0.58333333333333337</v>
      </c>
      <c r="D24" s="81">
        <v>0</v>
      </c>
      <c r="E24"/>
      <c r="F24"/>
      <c r="G24"/>
      <c r="H24"/>
      <c r="I24"/>
      <c r="J24"/>
      <c r="K24"/>
      <c r="L24"/>
      <c r="M24"/>
      <c r="N24"/>
      <c r="O24"/>
      <c r="P24"/>
      <c r="Q24"/>
      <c r="R24"/>
      <c r="S24"/>
      <c r="T24"/>
      <c r="U24"/>
      <c r="V24"/>
      <c r="W24"/>
      <c r="X24"/>
      <c r="Y24"/>
      <c r="Z24"/>
      <c r="AA24"/>
    </row>
    <row r="25" spans="1:27" x14ac:dyDescent="0.25">
      <c r="A25" s="37">
        <v>2197</v>
      </c>
      <c r="B25" s="77">
        <v>7.1428571428571425E-2</v>
      </c>
      <c r="C25" s="26">
        <v>0.9285714285714286</v>
      </c>
      <c r="D25" s="81">
        <v>0</v>
      </c>
      <c r="E25"/>
      <c r="F25"/>
      <c r="G25"/>
      <c r="H25"/>
      <c r="I25"/>
      <c r="J25"/>
      <c r="K25"/>
      <c r="L25"/>
      <c r="M25"/>
      <c r="N25"/>
      <c r="O25"/>
      <c r="P25"/>
      <c r="Q25"/>
      <c r="R25"/>
      <c r="S25"/>
      <c r="T25"/>
      <c r="U25"/>
      <c r="V25"/>
      <c r="W25"/>
      <c r="X25"/>
      <c r="Y25"/>
      <c r="Z25"/>
      <c r="AA25"/>
    </row>
    <row r="26" spans="1:27" x14ac:dyDescent="0.25">
      <c r="A26" s="37">
        <v>2867</v>
      </c>
      <c r="B26" s="77">
        <v>0.5</v>
      </c>
      <c r="C26" s="26">
        <v>0.5</v>
      </c>
      <c r="D26" s="81">
        <v>0</v>
      </c>
      <c r="E26"/>
      <c r="F26"/>
      <c r="G26"/>
      <c r="H26"/>
      <c r="I26"/>
      <c r="J26"/>
      <c r="K26"/>
      <c r="L26"/>
      <c r="M26"/>
      <c r="N26"/>
      <c r="O26"/>
      <c r="P26"/>
      <c r="Q26"/>
      <c r="R26"/>
      <c r="S26"/>
      <c r="T26"/>
      <c r="U26"/>
      <c r="V26"/>
      <c r="W26"/>
      <c r="X26"/>
      <c r="Y26"/>
      <c r="Z26"/>
      <c r="AA26"/>
    </row>
    <row r="27" spans="1:27" x14ac:dyDescent="0.25">
      <c r="A27" s="37">
        <v>3147</v>
      </c>
      <c r="B27" s="77">
        <v>0.2857142857142857</v>
      </c>
      <c r="C27" s="26">
        <v>0.7142857142857143</v>
      </c>
      <c r="D27" s="81">
        <v>0</v>
      </c>
      <c r="E27"/>
      <c r="F27"/>
      <c r="G27"/>
      <c r="H27"/>
      <c r="I27"/>
      <c r="J27"/>
      <c r="K27"/>
      <c r="L27"/>
      <c r="M27"/>
      <c r="N27"/>
      <c r="O27"/>
      <c r="P27"/>
      <c r="Q27"/>
      <c r="R27"/>
      <c r="S27"/>
      <c r="T27"/>
      <c r="U27"/>
      <c r="V27"/>
      <c r="W27"/>
      <c r="X27"/>
      <c r="Y27"/>
      <c r="Z27"/>
      <c r="AA27"/>
    </row>
    <row r="28" spans="1:27" x14ac:dyDescent="0.25">
      <c r="A28" s="37">
        <v>3176</v>
      </c>
      <c r="B28" s="77">
        <v>0.33333333333333331</v>
      </c>
      <c r="C28" s="26">
        <v>0.66666666666666663</v>
      </c>
      <c r="D28" s="81">
        <v>0</v>
      </c>
      <c r="E28"/>
      <c r="F28"/>
      <c r="G28"/>
      <c r="H28"/>
      <c r="I28"/>
      <c r="J28"/>
      <c r="K28"/>
      <c r="L28"/>
      <c r="M28"/>
      <c r="N28"/>
      <c r="O28"/>
      <c r="P28"/>
      <c r="Q28"/>
      <c r="R28"/>
      <c r="S28"/>
      <c r="T28"/>
      <c r="U28"/>
      <c r="V28"/>
      <c r="W28"/>
      <c r="X28"/>
      <c r="Y28"/>
      <c r="Z28"/>
      <c r="AA28"/>
    </row>
    <row r="29" spans="1:27" x14ac:dyDescent="0.25">
      <c r="A29" s="37">
        <v>3180</v>
      </c>
      <c r="B29" s="77">
        <v>0.63636363636363635</v>
      </c>
      <c r="C29" s="26">
        <v>0.36363636363636365</v>
      </c>
      <c r="D29" s="81">
        <v>0</v>
      </c>
      <c r="E29"/>
      <c r="F29"/>
      <c r="G29"/>
      <c r="H29"/>
      <c r="I29"/>
      <c r="J29"/>
      <c r="K29"/>
      <c r="L29"/>
      <c r="M29"/>
      <c r="N29"/>
      <c r="O29"/>
      <c r="P29"/>
      <c r="Q29"/>
      <c r="R29"/>
      <c r="S29"/>
      <c r="T29"/>
      <c r="U29"/>
      <c r="V29"/>
      <c r="W29"/>
      <c r="X29"/>
      <c r="Y29"/>
      <c r="Z29"/>
      <c r="AA29"/>
    </row>
    <row r="30" spans="1:27" x14ac:dyDescent="0.25">
      <c r="A30" s="37">
        <v>3201</v>
      </c>
      <c r="B30" s="77">
        <v>0.3</v>
      </c>
      <c r="C30" s="26">
        <v>0.7</v>
      </c>
      <c r="D30" s="81">
        <v>0</v>
      </c>
      <c r="E30"/>
      <c r="F30"/>
      <c r="G30"/>
      <c r="H30"/>
      <c r="I30"/>
      <c r="J30"/>
      <c r="K30"/>
      <c r="L30"/>
      <c r="M30"/>
      <c r="N30"/>
      <c r="O30"/>
      <c r="P30"/>
      <c r="Q30"/>
      <c r="R30"/>
      <c r="S30"/>
      <c r="T30"/>
      <c r="U30"/>
      <c r="V30"/>
      <c r="W30"/>
      <c r="X30"/>
      <c r="Y30"/>
      <c r="Z30"/>
      <c r="AA30"/>
    </row>
    <row r="31" spans="1:27" x14ac:dyDescent="0.25">
      <c r="A31" s="37">
        <v>3272</v>
      </c>
      <c r="B31" s="77">
        <v>0.23076923076923078</v>
      </c>
      <c r="C31" s="26">
        <v>0.76923076923076927</v>
      </c>
      <c r="D31" s="81">
        <v>0</v>
      </c>
      <c r="E31"/>
      <c r="F31"/>
      <c r="G31"/>
      <c r="H31"/>
      <c r="I31"/>
      <c r="J31"/>
      <c r="K31"/>
      <c r="L31"/>
      <c r="M31"/>
      <c r="N31"/>
      <c r="O31"/>
      <c r="P31"/>
      <c r="Q31"/>
      <c r="R31"/>
      <c r="S31"/>
      <c r="T31"/>
      <c r="U31"/>
      <c r="V31"/>
      <c r="W31"/>
      <c r="X31"/>
      <c r="Y31"/>
      <c r="Z31"/>
      <c r="AA31"/>
    </row>
    <row r="32" spans="1:27" x14ac:dyDescent="0.25">
      <c r="A32" s="37">
        <v>3301</v>
      </c>
      <c r="B32" s="77">
        <v>9.0909090909090912E-2</v>
      </c>
      <c r="C32" s="26">
        <v>0.90909090909090906</v>
      </c>
      <c r="D32" s="81">
        <v>0</v>
      </c>
      <c r="E32"/>
      <c r="F32"/>
      <c r="G32"/>
      <c r="H32"/>
      <c r="I32"/>
      <c r="J32"/>
      <c r="K32"/>
      <c r="L32"/>
      <c r="M32"/>
      <c r="N32"/>
      <c r="O32"/>
      <c r="P32"/>
      <c r="Q32"/>
      <c r="R32"/>
      <c r="S32"/>
      <c r="T32"/>
      <c r="U32"/>
      <c r="V32"/>
      <c r="W32"/>
      <c r="X32"/>
      <c r="Y32"/>
      <c r="Z32"/>
      <c r="AA32"/>
    </row>
    <row r="33" spans="1:27" x14ac:dyDescent="0.25">
      <c r="A33" s="37">
        <v>3487</v>
      </c>
      <c r="B33" s="77">
        <v>0.63636363636363635</v>
      </c>
      <c r="C33" s="26">
        <v>0.36363636363636365</v>
      </c>
      <c r="D33" s="81">
        <v>0</v>
      </c>
      <c r="E33"/>
      <c r="F33"/>
      <c r="G33"/>
      <c r="H33"/>
      <c r="I33"/>
      <c r="J33"/>
      <c r="K33"/>
      <c r="L33"/>
      <c r="M33"/>
      <c r="N33"/>
      <c r="O33"/>
      <c r="P33"/>
      <c r="Q33"/>
      <c r="R33"/>
      <c r="S33"/>
      <c r="T33"/>
      <c r="U33"/>
      <c r="V33"/>
      <c r="W33"/>
      <c r="X33"/>
      <c r="Y33"/>
      <c r="Z33"/>
      <c r="AA33"/>
    </row>
    <row r="34" spans="1:27" x14ac:dyDescent="0.25">
      <c r="A34" s="37">
        <v>3565</v>
      </c>
      <c r="B34" s="77">
        <v>0.84615384615384615</v>
      </c>
      <c r="C34" s="26">
        <v>0.15384615384615385</v>
      </c>
      <c r="D34" s="81">
        <v>0</v>
      </c>
      <c r="E34"/>
      <c r="F34"/>
      <c r="G34"/>
      <c r="H34"/>
      <c r="I34"/>
      <c r="J34"/>
      <c r="K34"/>
      <c r="L34"/>
      <c r="M34"/>
      <c r="N34"/>
      <c r="O34"/>
      <c r="P34"/>
      <c r="Q34"/>
      <c r="R34"/>
      <c r="S34"/>
      <c r="T34"/>
      <c r="U34"/>
      <c r="V34"/>
      <c r="W34"/>
      <c r="X34"/>
      <c r="Y34"/>
      <c r="Z34"/>
      <c r="AA34"/>
    </row>
    <row r="35" spans="1:27" x14ac:dyDescent="0.25">
      <c r="A35" s="37">
        <v>3865</v>
      </c>
      <c r="B35" s="77">
        <v>0.8</v>
      </c>
      <c r="C35" s="26">
        <v>0.2</v>
      </c>
      <c r="D35" s="81">
        <v>0</v>
      </c>
      <c r="E35"/>
      <c r="F35"/>
      <c r="G35"/>
      <c r="H35"/>
      <c r="I35"/>
      <c r="J35"/>
      <c r="K35"/>
      <c r="L35"/>
      <c r="M35"/>
      <c r="N35"/>
      <c r="O35"/>
      <c r="P35"/>
      <c r="Q35"/>
      <c r="R35"/>
      <c r="S35"/>
      <c r="T35"/>
      <c r="U35"/>
      <c r="V35"/>
      <c r="W35"/>
      <c r="X35"/>
      <c r="Y35"/>
      <c r="Z35"/>
      <c r="AA35"/>
    </row>
    <row r="36" spans="1:27" x14ac:dyDescent="0.25">
      <c r="A36" s="37">
        <v>3947</v>
      </c>
      <c r="B36" s="77">
        <v>0.3</v>
      </c>
      <c r="C36" s="26">
        <v>0.7</v>
      </c>
      <c r="D36" s="81">
        <v>0</v>
      </c>
      <c r="E36"/>
      <c r="F36"/>
      <c r="G36"/>
      <c r="H36"/>
      <c r="I36"/>
      <c r="J36"/>
      <c r="K36"/>
      <c r="L36"/>
      <c r="M36"/>
      <c r="N36"/>
      <c r="O36"/>
      <c r="P36"/>
      <c r="Q36"/>
      <c r="R36"/>
      <c r="S36"/>
      <c r="T36"/>
      <c r="U36"/>
      <c r="V36"/>
      <c r="W36"/>
      <c r="X36"/>
      <c r="Y36"/>
      <c r="Z36"/>
      <c r="AA36"/>
    </row>
    <row r="37" spans="1:27" x14ac:dyDescent="0.25">
      <c r="A37" s="37">
        <v>4070</v>
      </c>
      <c r="B37" s="77">
        <v>0.54545454545454541</v>
      </c>
      <c r="C37" s="26">
        <v>0.45454545454545453</v>
      </c>
      <c r="D37" s="81">
        <v>0</v>
      </c>
      <c r="E37"/>
      <c r="F37"/>
      <c r="G37"/>
      <c r="H37"/>
      <c r="I37"/>
      <c r="J37"/>
      <c r="K37"/>
      <c r="L37"/>
      <c r="M37"/>
      <c r="N37"/>
      <c r="O37"/>
      <c r="P37"/>
      <c r="Q37"/>
      <c r="R37"/>
      <c r="S37"/>
      <c r="T37"/>
      <c r="U37"/>
      <c r="V37"/>
      <c r="W37"/>
      <c r="X37"/>
      <c r="Y37"/>
      <c r="Z37"/>
      <c r="AA37"/>
    </row>
    <row r="38" spans="1:27" x14ac:dyDescent="0.25">
      <c r="A38" s="37">
        <v>4211</v>
      </c>
      <c r="B38" s="77">
        <v>0.5</v>
      </c>
      <c r="C38" s="26">
        <v>0.5</v>
      </c>
      <c r="D38" s="81">
        <v>0</v>
      </c>
      <c r="E38"/>
      <c r="F38"/>
      <c r="G38"/>
      <c r="H38"/>
      <c r="I38"/>
      <c r="J38"/>
      <c r="K38"/>
      <c r="L38"/>
      <c r="M38"/>
      <c r="N38"/>
      <c r="O38"/>
      <c r="P38"/>
      <c r="Q38"/>
      <c r="R38"/>
      <c r="S38"/>
      <c r="T38"/>
      <c r="U38"/>
      <c r="V38"/>
      <c r="W38"/>
      <c r="X38"/>
      <c r="Y38"/>
      <c r="Z38"/>
      <c r="AA38"/>
    </row>
    <row r="39" spans="1:27" x14ac:dyDescent="0.25">
      <c r="A39" s="37">
        <v>4234</v>
      </c>
      <c r="B39" s="77">
        <v>0.84615384615384615</v>
      </c>
      <c r="C39" s="26">
        <v>0.15384615384615385</v>
      </c>
      <c r="D39" s="81">
        <v>0</v>
      </c>
      <c r="E39"/>
      <c r="F39"/>
      <c r="G39"/>
      <c r="H39"/>
      <c r="I39"/>
      <c r="J39"/>
      <c r="K39"/>
      <c r="L39"/>
      <c r="M39"/>
      <c r="N39"/>
      <c r="O39"/>
      <c r="P39"/>
      <c r="Q39"/>
      <c r="R39"/>
      <c r="S39"/>
      <c r="T39"/>
      <c r="U39"/>
      <c r="V39"/>
      <c r="W39"/>
      <c r="X39"/>
      <c r="Y39"/>
      <c r="Z39"/>
      <c r="AA39"/>
    </row>
    <row r="40" spans="1:27" x14ac:dyDescent="0.25">
      <c r="A40" s="37">
        <v>4272</v>
      </c>
      <c r="B40" s="77">
        <v>0.83333333333333337</v>
      </c>
      <c r="C40" s="26">
        <v>0.16666666666666666</v>
      </c>
      <c r="D40" s="81">
        <v>0</v>
      </c>
      <c r="E40"/>
      <c r="F40"/>
      <c r="G40"/>
      <c r="H40"/>
      <c r="I40"/>
      <c r="J40"/>
      <c r="K40"/>
      <c r="L40"/>
      <c r="M40"/>
      <c r="N40"/>
      <c r="O40"/>
      <c r="P40"/>
      <c r="Q40"/>
      <c r="R40"/>
      <c r="S40"/>
      <c r="T40"/>
      <c r="U40"/>
      <c r="V40"/>
      <c r="W40"/>
      <c r="X40"/>
      <c r="Y40"/>
      <c r="Z40"/>
      <c r="AA40"/>
    </row>
    <row r="41" spans="1:27" x14ac:dyDescent="0.25">
      <c r="A41" s="37">
        <v>4485</v>
      </c>
      <c r="B41" s="77">
        <v>0.33333333333333331</v>
      </c>
      <c r="C41" s="26">
        <v>0.66666666666666663</v>
      </c>
      <c r="D41" s="81">
        <v>0</v>
      </c>
      <c r="E41"/>
      <c r="F41"/>
      <c r="G41"/>
      <c r="H41"/>
      <c r="I41"/>
      <c r="J41"/>
      <c r="K41"/>
      <c r="L41"/>
      <c r="M41"/>
      <c r="N41"/>
      <c r="O41"/>
      <c r="P41"/>
      <c r="Q41"/>
      <c r="R41"/>
      <c r="S41"/>
      <c r="T41"/>
      <c r="U41"/>
      <c r="V41"/>
      <c r="W41"/>
      <c r="X41"/>
      <c r="Y41"/>
      <c r="Z41"/>
      <c r="AA41"/>
    </row>
    <row r="42" spans="1:27" x14ac:dyDescent="0.25">
      <c r="A42" s="37">
        <v>4545</v>
      </c>
      <c r="B42" s="77">
        <v>0.66666666666666663</v>
      </c>
      <c r="C42" s="26">
        <v>0.33333333333333331</v>
      </c>
      <c r="D42" s="81">
        <v>0</v>
      </c>
      <c r="E42"/>
      <c r="F42"/>
      <c r="G42"/>
      <c r="H42"/>
      <c r="I42"/>
      <c r="J42"/>
      <c r="K42"/>
      <c r="L42"/>
      <c r="M42"/>
      <c r="N42"/>
      <c r="O42"/>
      <c r="P42"/>
      <c r="Q42"/>
      <c r="R42"/>
      <c r="S42"/>
      <c r="T42"/>
      <c r="U42"/>
      <c r="V42"/>
      <c r="W42"/>
      <c r="X42"/>
      <c r="Y42"/>
      <c r="Z42"/>
      <c r="AA42"/>
    </row>
    <row r="43" spans="1:27" x14ac:dyDescent="0.25">
      <c r="A43" s="37">
        <v>4580</v>
      </c>
      <c r="B43" s="77">
        <v>0.375</v>
      </c>
      <c r="C43" s="26">
        <v>0.625</v>
      </c>
      <c r="D43" s="81">
        <v>0</v>
      </c>
      <c r="E43"/>
      <c r="F43"/>
      <c r="G43"/>
      <c r="H43"/>
      <c r="I43"/>
      <c r="J43"/>
      <c r="K43"/>
      <c r="L43"/>
      <c r="M43"/>
      <c r="N43"/>
      <c r="O43"/>
      <c r="P43"/>
      <c r="Q43"/>
      <c r="R43"/>
      <c r="S43"/>
      <c r="T43"/>
      <c r="U43"/>
      <c r="V43"/>
      <c r="W43"/>
      <c r="X43"/>
      <c r="Y43"/>
      <c r="Z43"/>
      <c r="AA43"/>
    </row>
    <row r="44" spans="1:27" x14ac:dyDescent="0.25">
      <c r="A44" s="37">
        <v>4791</v>
      </c>
      <c r="B44" s="77">
        <v>0.84615384615384615</v>
      </c>
      <c r="C44" s="26">
        <v>0.15384615384615385</v>
      </c>
      <c r="D44" s="81">
        <v>0</v>
      </c>
      <c r="E44"/>
      <c r="F44"/>
      <c r="G44"/>
      <c r="H44"/>
      <c r="I44"/>
      <c r="J44"/>
      <c r="K44"/>
      <c r="L44"/>
      <c r="M44"/>
      <c r="N44"/>
      <c r="O44"/>
      <c r="P44"/>
      <c r="Q44"/>
      <c r="R44"/>
      <c r="S44"/>
      <c r="T44"/>
      <c r="U44"/>
      <c r="V44"/>
      <c r="W44"/>
      <c r="X44"/>
      <c r="Y44"/>
      <c r="Z44"/>
      <c r="AA44"/>
    </row>
    <row r="45" spans="1:27" x14ac:dyDescent="0.25">
      <c r="A45" s="37">
        <v>4846</v>
      </c>
      <c r="B45" s="77">
        <v>0.375</v>
      </c>
      <c r="C45" s="26">
        <v>0.625</v>
      </c>
      <c r="D45" s="81">
        <v>0</v>
      </c>
      <c r="E45"/>
      <c r="F45"/>
      <c r="G45"/>
      <c r="H45"/>
      <c r="I45"/>
      <c r="J45"/>
      <c r="K45"/>
      <c r="L45"/>
      <c r="M45"/>
      <c r="N45"/>
      <c r="O45"/>
      <c r="P45"/>
      <c r="Q45"/>
      <c r="R45"/>
      <c r="S45"/>
      <c r="T45"/>
      <c r="U45"/>
      <c r="V45"/>
      <c r="W45"/>
      <c r="X45"/>
      <c r="Y45"/>
      <c r="Z45"/>
      <c r="AA45"/>
    </row>
    <row r="46" spans="1:27" x14ac:dyDescent="0.25">
      <c r="A46" s="37" t="s">
        <v>29</v>
      </c>
      <c r="B46" s="77" t="e">
        <v>#DIV/0!</v>
      </c>
      <c r="C46" s="26" t="e">
        <v>#DIV/0!</v>
      </c>
      <c r="D46" s="81" t="e">
        <v>#DIV/0!</v>
      </c>
      <c r="E46"/>
      <c r="F46"/>
      <c r="G46"/>
      <c r="H46"/>
      <c r="I46"/>
      <c r="J46"/>
      <c r="K46"/>
      <c r="L46"/>
      <c r="M46"/>
      <c r="N46"/>
      <c r="O46"/>
      <c r="P46"/>
      <c r="Q46"/>
      <c r="R46"/>
      <c r="S46"/>
      <c r="T46"/>
      <c r="U46"/>
      <c r="V46"/>
      <c r="W46"/>
      <c r="X46"/>
      <c r="Y46"/>
      <c r="Z46"/>
      <c r="AA46"/>
    </row>
    <row r="47" spans="1:27" x14ac:dyDescent="0.25">
      <c r="A47" s="40" t="s">
        <v>7</v>
      </c>
      <c r="B47" s="78">
        <v>0.41025641025641024</v>
      </c>
      <c r="C47" s="27">
        <v>0.58974358974358976</v>
      </c>
      <c r="D47" s="82">
        <v>0</v>
      </c>
      <c r="E47"/>
      <c r="F47"/>
      <c r="G47"/>
      <c r="H47"/>
      <c r="I47"/>
      <c r="J47"/>
      <c r="K47"/>
      <c r="L47"/>
      <c r="M47"/>
      <c r="N47"/>
      <c r="O47"/>
      <c r="P47"/>
      <c r="Q47"/>
      <c r="R47"/>
      <c r="S47"/>
      <c r="T47"/>
      <c r="U47"/>
      <c r="V47"/>
      <c r="W47"/>
      <c r="X47"/>
      <c r="Y47"/>
      <c r="Z47"/>
      <c r="AA47"/>
    </row>
    <row r="48" spans="1:27" x14ac:dyDescent="0.25">
      <c r="A48"/>
      <c r="B48"/>
      <c r="C48"/>
      <c r="D48"/>
      <c r="E48"/>
      <c r="F48"/>
      <c r="G48"/>
      <c r="H48"/>
      <c r="I48"/>
      <c r="J48"/>
      <c r="K48"/>
      <c r="L48"/>
      <c r="M48"/>
      <c r="N48"/>
      <c r="O48"/>
      <c r="P48"/>
      <c r="Q48"/>
      <c r="R48"/>
      <c r="S48"/>
      <c r="T48"/>
      <c r="U48"/>
      <c r="V48"/>
      <c r="W48"/>
      <c r="X48"/>
      <c r="Y48"/>
      <c r="Z48"/>
      <c r="AA48"/>
    </row>
    <row r="49" spans="1:27" x14ac:dyDescent="0.25">
      <c r="A49"/>
      <c r="B49"/>
      <c r="C49"/>
      <c r="D49"/>
      <c r="E49"/>
      <c r="F49"/>
      <c r="G49"/>
      <c r="H49"/>
      <c r="I49"/>
      <c r="J49"/>
      <c r="K49"/>
      <c r="L49"/>
      <c r="M49"/>
      <c r="N49"/>
      <c r="O49"/>
      <c r="P49"/>
      <c r="Q49"/>
      <c r="R49"/>
      <c r="S49"/>
      <c r="T49"/>
      <c r="U49"/>
      <c r="V49"/>
      <c r="W49"/>
      <c r="X49"/>
      <c r="Y49"/>
      <c r="Z49"/>
      <c r="AA49"/>
    </row>
    <row r="50" spans="1:27" x14ac:dyDescent="0.25">
      <c r="A50" s="50"/>
      <c r="B50" s="50"/>
      <c r="C50" s="50"/>
      <c r="D50" s="50"/>
      <c r="E50" s="50"/>
      <c r="F50" s="50"/>
      <c r="G50" s="50"/>
      <c r="H50" s="50"/>
      <c r="I50" s="50"/>
      <c r="J50" s="50"/>
      <c r="K50" s="50"/>
      <c r="L50" s="50"/>
    </row>
    <row r="51" spans="1:27" x14ac:dyDescent="0.25">
      <c r="A51" s="50"/>
      <c r="B51" s="50"/>
      <c r="C51" s="50"/>
      <c r="D51" s="50"/>
      <c r="E51" s="50"/>
      <c r="F51" s="50"/>
      <c r="G51" s="50"/>
      <c r="H51" s="50"/>
      <c r="I51" s="50"/>
      <c r="J51" s="50"/>
      <c r="K51" s="50"/>
      <c r="L51" s="50"/>
    </row>
    <row r="52" spans="1:27" x14ac:dyDescent="0.25">
      <c r="A52" s="50"/>
      <c r="B52" s="50"/>
      <c r="C52" s="50"/>
      <c r="D52" s="50"/>
      <c r="E52" s="50"/>
      <c r="F52" s="50"/>
      <c r="G52" s="50"/>
      <c r="H52" s="50"/>
      <c r="I52" s="50"/>
      <c r="J52" s="50"/>
      <c r="K52" s="50"/>
      <c r="L52" s="50"/>
    </row>
    <row r="53" spans="1:27" x14ac:dyDescent="0.25">
      <c r="A53" s="50"/>
      <c r="B53" s="50"/>
      <c r="C53" s="50"/>
      <c r="D53" s="50"/>
      <c r="E53" s="50"/>
      <c r="F53" s="50"/>
      <c r="G53" s="50"/>
      <c r="H53" s="50"/>
      <c r="I53" s="50"/>
      <c r="J53" s="50"/>
      <c r="K53" s="50"/>
      <c r="L53" s="50"/>
    </row>
    <row r="54" spans="1:27" x14ac:dyDescent="0.25">
      <c r="A54" s="50"/>
      <c r="B54" s="50"/>
      <c r="C54" s="50"/>
      <c r="D54" s="50"/>
      <c r="E54" s="50"/>
      <c r="F54" s="50"/>
      <c r="G54" s="50"/>
      <c r="H54" s="50"/>
      <c r="I54" s="50"/>
      <c r="J54" s="50"/>
      <c r="K54" s="50"/>
      <c r="L54" s="50"/>
    </row>
    <row r="55" spans="1:27" x14ac:dyDescent="0.25">
      <c r="A55" s="50"/>
      <c r="B55" s="50"/>
      <c r="C55" s="50"/>
      <c r="D55" s="50"/>
      <c r="E55" s="50"/>
      <c r="F55" s="50"/>
      <c r="G55" s="50"/>
      <c r="H55" s="50"/>
      <c r="I55" s="50"/>
      <c r="J55" s="50"/>
      <c r="K55" s="50"/>
      <c r="L55" s="50"/>
    </row>
    <row r="56" spans="1:27" x14ac:dyDescent="0.25">
      <c r="A56" s="50"/>
      <c r="B56" s="50"/>
      <c r="C56" s="50"/>
      <c r="D56" s="50"/>
      <c r="E56" s="50"/>
      <c r="F56" s="50"/>
      <c r="G56" s="50"/>
      <c r="H56" s="50"/>
      <c r="I56" s="50"/>
      <c r="J56" s="50"/>
      <c r="K56" s="50"/>
      <c r="L56" s="50"/>
    </row>
    <row r="57" spans="1:27" x14ac:dyDescent="0.25">
      <c r="A57" s="50"/>
      <c r="B57" s="50"/>
      <c r="C57" s="50"/>
      <c r="D57" s="50"/>
      <c r="E57" s="50"/>
      <c r="F57" s="50"/>
      <c r="G57" s="50"/>
      <c r="H57" s="50"/>
      <c r="I57" s="50"/>
      <c r="J57" s="50"/>
      <c r="K57" s="50"/>
      <c r="L57" s="50"/>
    </row>
    <row r="58" spans="1:27" x14ac:dyDescent="0.25">
      <c r="A58" s="50"/>
      <c r="B58" s="50"/>
      <c r="C58" s="50"/>
      <c r="D58" s="50"/>
      <c r="E58" s="50"/>
      <c r="F58" s="50"/>
      <c r="G58" s="50"/>
      <c r="H58" s="50"/>
      <c r="I58" s="50"/>
      <c r="J58" s="50"/>
      <c r="K58" s="50"/>
      <c r="L58" s="50"/>
    </row>
    <row r="59" spans="1:27" x14ac:dyDescent="0.25">
      <c r="A59" s="50"/>
      <c r="B59" s="50"/>
      <c r="C59" s="50"/>
      <c r="D59" s="50"/>
      <c r="E59" s="50"/>
      <c r="F59" s="50"/>
      <c r="G59" s="50"/>
      <c r="H59" s="50"/>
      <c r="I59" s="50"/>
      <c r="J59" s="50"/>
      <c r="K59" s="50"/>
      <c r="L59" s="50"/>
    </row>
    <row r="60" spans="1:27" x14ac:dyDescent="0.25">
      <c r="A60" s="50"/>
      <c r="B60" s="50"/>
      <c r="C60" s="50"/>
      <c r="D60" s="50"/>
      <c r="E60" s="50"/>
      <c r="F60" s="50"/>
      <c r="G60" s="50"/>
      <c r="H60" s="50"/>
      <c r="I60" s="50"/>
      <c r="J60" s="50"/>
      <c r="K60" s="50"/>
      <c r="L60" s="50"/>
    </row>
    <row r="61" spans="1:27" x14ac:dyDescent="0.25">
      <c r="A61" s="50"/>
      <c r="B61" s="50"/>
      <c r="C61" s="50"/>
      <c r="D61" s="50"/>
      <c r="E61" s="50"/>
      <c r="F61" s="50"/>
      <c r="G61" s="50"/>
      <c r="H61" s="50"/>
      <c r="I61" s="50"/>
      <c r="J61" s="50"/>
      <c r="K61" s="50"/>
      <c r="L61" s="50"/>
    </row>
    <row r="62" spans="1:27" x14ac:dyDescent="0.25">
      <c r="A62" s="50"/>
      <c r="B62" s="50"/>
      <c r="C62" s="50"/>
      <c r="D62" s="50"/>
      <c r="E62" s="50"/>
      <c r="F62" s="50"/>
      <c r="G62" s="50"/>
      <c r="H62" s="50"/>
      <c r="I62" s="50"/>
      <c r="J62" s="50"/>
      <c r="K62" s="50"/>
      <c r="L62" s="50"/>
    </row>
    <row r="63" spans="1:27" x14ac:dyDescent="0.25">
      <c r="A63" s="50"/>
      <c r="B63" s="50"/>
      <c r="C63" s="50"/>
      <c r="D63" s="50"/>
      <c r="E63" s="50"/>
      <c r="F63" s="50"/>
      <c r="G63" s="50"/>
      <c r="H63" s="50"/>
      <c r="I63" s="50"/>
      <c r="J63" s="50"/>
      <c r="K63" s="50"/>
      <c r="L63" s="50"/>
    </row>
    <row r="64" spans="1:27" x14ac:dyDescent="0.25">
      <c r="A64" s="50"/>
      <c r="B64" s="50"/>
      <c r="C64" s="50"/>
      <c r="D64" s="50"/>
      <c r="E64" s="50"/>
      <c r="F64" s="50"/>
      <c r="G64" s="50"/>
      <c r="H64" s="50"/>
      <c r="I64" s="50"/>
      <c r="J64" s="50"/>
      <c r="K64" s="50"/>
      <c r="L64" s="50"/>
    </row>
    <row r="65" spans="1:12" x14ac:dyDescent="0.25">
      <c r="A65" s="50"/>
      <c r="B65" s="50"/>
      <c r="C65" s="50"/>
      <c r="D65" s="50"/>
      <c r="E65" s="50"/>
      <c r="F65" s="50"/>
      <c r="G65" s="50"/>
      <c r="H65" s="50"/>
      <c r="I65" s="50"/>
      <c r="J65" s="50"/>
      <c r="K65" s="50"/>
      <c r="L65" s="50"/>
    </row>
    <row r="66" spans="1:12" x14ac:dyDescent="0.25">
      <c r="A66" s="50"/>
      <c r="B66" s="50"/>
      <c r="C66" s="50"/>
      <c r="D66" s="50"/>
      <c r="E66" s="50"/>
      <c r="F66" s="50"/>
      <c r="G66" s="50"/>
      <c r="H66" s="50"/>
      <c r="I66" s="50"/>
      <c r="J66" s="50"/>
      <c r="K66" s="50"/>
      <c r="L66" s="50"/>
    </row>
    <row r="67" spans="1:12" x14ac:dyDescent="0.25">
      <c r="A67" s="50"/>
      <c r="B67" s="50"/>
      <c r="C67" s="50"/>
      <c r="D67" s="50"/>
      <c r="E67" s="50"/>
      <c r="F67" s="50"/>
      <c r="G67" s="50"/>
      <c r="H67" s="50"/>
      <c r="I67" s="50"/>
      <c r="J67" s="50"/>
      <c r="K67" s="50"/>
      <c r="L67" s="50"/>
    </row>
    <row r="68" spans="1:12" x14ac:dyDescent="0.25">
      <c r="A68" s="50"/>
      <c r="B68" s="50"/>
      <c r="C68" s="50"/>
      <c r="D68" s="50"/>
      <c r="E68" s="50"/>
      <c r="F68" s="50"/>
      <c r="G68" s="50"/>
      <c r="H68" s="50"/>
      <c r="I68" s="50"/>
      <c r="J68" s="50"/>
      <c r="K68" s="50"/>
      <c r="L68" s="50"/>
    </row>
    <row r="69" spans="1:12" x14ac:dyDescent="0.25">
      <c r="A69" s="50"/>
      <c r="B69" s="50"/>
      <c r="C69" s="50"/>
      <c r="D69" s="50"/>
      <c r="E69" s="50"/>
      <c r="F69" s="50"/>
      <c r="G69" s="50"/>
      <c r="H69" s="50"/>
      <c r="I69" s="50"/>
      <c r="J69" s="50"/>
      <c r="K69" s="50"/>
      <c r="L69" s="50"/>
    </row>
    <row r="70" spans="1:12" x14ac:dyDescent="0.25">
      <c r="A70" s="50"/>
      <c r="B70" s="50"/>
      <c r="C70" s="50"/>
      <c r="D70" s="50"/>
      <c r="E70" s="50"/>
      <c r="F70" s="50"/>
      <c r="G70" s="50"/>
      <c r="H70" s="50"/>
      <c r="I70" s="50"/>
      <c r="J70" s="50"/>
      <c r="K70" s="50"/>
      <c r="L70" s="50"/>
    </row>
    <row r="71" spans="1:12" x14ac:dyDescent="0.25">
      <c r="A71" s="50"/>
      <c r="B71" s="50"/>
      <c r="C71" s="50"/>
      <c r="D71" s="50"/>
      <c r="E71" s="50"/>
      <c r="F71" s="50"/>
      <c r="G71" s="50"/>
      <c r="H71" s="50"/>
      <c r="I71" s="50"/>
      <c r="J71" s="50"/>
      <c r="K71" s="50"/>
      <c r="L71" s="50"/>
    </row>
    <row r="72" spans="1:12" x14ac:dyDescent="0.25">
      <c r="A72" s="50"/>
      <c r="B72" s="50"/>
      <c r="C72" s="50"/>
      <c r="D72" s="50"/>
      <c r="E72" s="50"/>
      <c r="F72" s="50"/>
      <c r="G72" s="50"/>
      <c r="H72" s="50"/>
      <c r="I72" s="50"/>
      <c r="J72" s="50"/>
      <c r="K72" s="50"/>
      <c r="L72" s="50"/>
    </row>
    <row r="73" spans="1:12" x14ac:dyDescent="0.25">
      <c r="A73" s="50"/>
      <c r="B73" s="50"/>
      <c r="C73" s="50"/>
      <c r="D73" s="50"/>
      <c r="E73" s="50"/>
      <c r="F73" s="50"/>
      <c r="G73" s="50"/>
      <c r="H73" s="50"/>
      <c r="I73" s="50"/>
      <c r="J73" s="50"/>
      <c r="K73" s="50"/>
      <c r="L73" s="50"/>
    </row>
    <row r="74" spans="1:12" x14ac:dyDescent="0.25">
      <c r="A74" s="50"/>
      <c r="B74" s="50"/>
      <c r="C74" s="50"/>
      <c r="D74" s="50"/>
      <c r="E74" s="50"/>
      <c r="F74" s="50"/>
      <c r="G74" s="50"/>
      <c r="H74" s="50"/>
      <c r="I74" s="50"/>
      <c r="J74" s="50"/>
      <c r="K74" s="50"/>
      <c r="L74" s="50"/>
    </row>
    <row r="75" spans="1:12" x14ac:dyDescent="0.25">
      <c r="A75" s="50"/>
      <c r="B75" s="50"/>
      <c r="C75" s="50"/>
      <c r="D75" s="50"/>
      <c r="E75" s="50"/>
      <c r="F75" s="50"/>
      <c r="G75" s="50"/>
      <c r="H75" s="50"/>
      <c r="I75" s="50"/>
      <c r="J75" s="50"/>
      <c r="K75" s="50"/>
      <c r="L75" s="50"/>
    </row>
    <row r="76" spans="1:12" x14ac:dyDescent="0.25">
      <c r="A76" s="50"/>
      <c r="B76" s="50"/>
      <c r="C76" s="50"/>
      <c r="D76" s="50"/>
      <c r="E76" s="50"/>
      <c r="F76" s="50"/>
      <c r="G76" s="50"/>
      <c r="H76" s="50"/>
      <c r="I76" s="50"/>
      <c r="J76" s="50"/>
      <c r="K76" s="50"/>
      <c r="L76" s="50"/>
    </row>
    <row r="77" spans="1:12" x14ac:dyDescent="0.25">
      <c r="A77" s="50"/>
      <c r="B77" s="50"/>
      <c r="C77" s="50"/>
      <c r="D77" s="50"/>
      <c r="E77" s="50"/>
      <c r="F77" s="50"/>
      <c r="G77" s="50"/>
      <c r="H77" s="50"/>
      <c r="I77" s="50"/>
      <c r="J77" s="50"/>
      <c r="K77" s="50"/>
      <c r="L77" s="50"/>
    </row>
    <row r="78" spans="1:12" x14ac:dyDescent="0.25">
      <c r="A78" s="50"/>
      <c r="B78" s="50"/>
      <c r="C78" s="50"/>
      <c r="D78" s="50"/>
      <c r="E78" s="50"/>
      <c r="F78" s="50"/>
      <c r="G78" s="50"/>
      <c r="H78" s="50"/>
      <c r="I78" s="50"/>
      <c r="J78" s="50"/>
      <c r="K78" s="50"/>
      <c r="L78" s="50"/>
    </row>
    <row r="79" spans="1:12" x14ac:dyDescent="0.25">
      <c r="A79" s="50"/>
      <c r="B79" s="50"/>
      <c r="C79" s="50"/>
      <c r="D79" s="50"/>
      <c r="E79" s="50"/>
      <c r="F79" s="50"/>
      <c r="G79" s="50"/>
      <c r="H79" s="50"/>
      <c r="I79" s="50"/>
      <c r="J79" s="50"/>
      <c r="K79" s="50"/>
      <c r="L79" s="50"/>
    </row>
    <row r="80" spans="1:12" x14ac:dyDescent="0.25">
      <c r="A80" s="50"/>
      <c r="B80" s="50"/>
      <c r="C80" s="50"/>
      <c r="D80" s="50"/>
      <c r="E80" s="50"/>
      <c r="F80" s="50"/>
      <c r="G80" s="50"/>
      <c r="H80" s="50"/>
      <c r="I80" s="50"/>
      <c r="J80" s="50"/>
      <c r="K80" s="50"/>
      <c r="L80" s="50"/>
    </row>
    <row r="81" spans="1:12" x14ac:dyDescent="0.25">
      <c r="A81" s="50"/>
      <c r="B81" s="50"/>
      <c r="C81" s="50"/>
      <c r="D81" s="50"/>
      <c r="E81" s="50"/>
      <c r="F81" s="50"/>
      <c r="G81" s="50"/>
      <c r="H81" s="50"/>
      <c r="I81" s="50"/>
      <c r="J81" s="50"/>
      <c r="K81" s="50"/>
      <c r="L81" s="50"/>
    </row>
    <row r="82" spans="1:12" x14ac:dyDescent="0.25">
      <c r="A82" s="50"/>
      <c r="B82" s="50"/>
      <c r="C82" s="50"/>
      <c r="D82" s="50"/>
      <c r="E82" s="50"/>
      <c r="F82" s="50"/>
      <c r="G82" s="50"/>
      <c r="H82" s="50"/>
      <c r="I82" s="50"/>
      <c r="J82" s="50"/>
      <c r="K82" s="50"/>
      <c r="L82" s="50"/>
    </row>
    <row r="83" spans="1:12" x14ac:dyDescent="0.25">
      <c r="A83" s="50"/>
      <c r="B83" s="50"/>
      <c r="C83" s="50"/>
      <c r="D83" s="50"/>
      <c r="E83" s="50"/>
      <c r="F83" s="50"/>
      <c r="G83" s="50"/>
      <c r="H83" s="50"/>
      <c r="I83" s="50"/>
      <c r="J83" s="50"/>
      <c r="K83" s="50"/>
      <c r="L83" s="50"/>
    </row>
    <row r="84" spans="1:12" x14ac:dyDescent="0.25">
      <c r="A84" s="50"/>
      <c r="B84" s="50"/>
      <c r="C84" s="50"/>
      <c r="D84" s="50"/>
      <c r="E84" s="50"/>
      <c r="F84" s="50"/>
      <c r="G84" s="50"/>
      <c r="H84" s="50"/>
      <c r="I84" s="50"/>
      <c r="J84" s="50"/>
      <c r="K84" s="50"/>
      <c r="L84" s="50"/>
    </row>
    <row r="85" spans="1:12" x14ac:dyDescent="0.25">
      <c r="A85" s="50"/>
      <c r="B85" s="50"/>
      <c r="C85" s="50"/>
      <c r="D85" s="50"/>
      <c r="E85" s="50"/>
      <c r="F85" s="50"/>
      <c r="G85" s="50"/>
      <c r="H85" s="50"/>
      <c r="I85" s="50"/>
      <c r="J85" s="50"/>
      <c r="K85" s="50"/>
      <c r="L85" s="50"/>
    </row>
    <row r="86" spans="1:12" x14ac:dyDescent="0.25">
      <c r="A86" s="50"/>
      <c r="B86" s="50"/>
      <c r="C86" s="50"/>
      <c r="D86" s="50"/>
      <c r="E86" s="50"/>
      <c r="F86" s="50"/>
      <c r="G86" s="50"/>
      <c r="H86" s="50"/>
      <c r="I86" s="50"/>
      <c r="J86" s="50"/>
      <c r="K86" s="50"/>
      <c r="L86" s="50"/>
    </row>
    <row r="87" spans="1:12" x14ac:dyDescent="0.25">
      <c r="A87" s="50"/>
      <c r="B87" s="50"/>
      <c r="C87" s="50"/>
      <c r="D87" s="50"/>
      <c r="E87" s="50"/>
      <c r="F87" s="50"/>
      <c r="G87" s="50"/>
      <c r="H87" s="50"/>
      <c r="I87" s="50"/>
      <c r="J87" s="50"/>
      <c r="K87" s="50"/>
      <c r="L87" s="50"/>
    </row>
    <row r="88" spans="1:12" x14ac:dyDescent="0.25">
      <c r="A88" s="50"/>
      <c r="B88" s="50"/>
      <c r="C88" s="50"/>
      <c r="D88" s="50"/>
      <c r="E88" s="50"/>
      <c r="F88" s="50"/>
      <c r="G88" s="50"/>
      <c r="H88" s="50"/>
      <c r="I88" s="50"/>
      <c r="J88" s="50"/>
      <c r="K88" s="50"/>
      <c r="L88" s="50"/>
    </row>
    <row r="89" spans="1:12" x14ac:dyDescent="0.25">
      <c r="A89" s="50"/>
      <c r="B89" s="50"/>
      <c r="C89" s="50"/>
      <c r="D89" s="50"/>
      <c r="E89" s="50"/>
      <c r="F89" s="50"/>
      <c r="G89" s="50"/>
      <c r="H89" s="50"/>
      <c r="I89" s="50"/>
      <c r="J89" s="50"/>
      <c r="K89" s="50"/>
      <c r="L89" s="50"/>
    </row>
    <row r="90" spans="1:12" x14ac:dyDescent="0.25">
      <c r="A90" s="50"/>
      <c r="B90" s="50"/>
      <c r="C90" s="50"/>
      <c r="D90" s="50"/>
      <c r="E90" s="50"/>
      <c r="F90" s="50"/>
      <c r="G90" s="50"/>
      <c r="H90" s="50"/>
      <c r="I90" s="50"/>
      <c r="J90" s="50"/>
      <c r="K90" s="50"/>
      <c r="L90" s="50"/>
    </row>
    <row r="91" spans="1:12" x14ac:dyDescent="0.25">
      <c r="A91" s="50"/>
      <c r="B91" s="50"/>
      <c r="C91" s="50"/>
      <c r="D91" s="50"/>
      <c r="E91" s="50"/>
      <c r="F91" s="50"/>
      <c r="G91" s="50"/>
      <c r="H91" s="50"/>
      <c r="I91" s="50"/>
      <c r="J91" s="50"/>
      <c r="K91" s="50"/>
      <c r="L91" s="50"/>
    </row>
    <row r="92" spans="1:12" x14ac:dyDescent="0.25">
      <c r="A92" s="50"/>
      <c r="B92" s="50"/>
      <c r="C92" s="50"/>
      <c r="D92" s="50"/>
      <c r="E92" s="50"/>
      <c r="F92" s="50"/>
      <c r="G92" s="50"/>
      <c r="H92" s="50"/>
      <c r="I92" s="50"/>
      <c r="J92" s="50"/>
      <c r="K92" s="50"/>
      <c r="L92" s="50"/>
    </row>
    <row r="93" spans="1:12" x14ac:dyDescent="0.25">
      <c r="A93" s="50"/>
      <c r="B93" s="50"/>
      <c r="C93" s="50"/>
      <c r="D93" s="50"/>
      <c r="E93" s="50"/>
      <c r="F93" s="50"/>
      <c r="G93" s="50"/>
      <c r="H93" s="50"/>
      <c r="I93" s="50"/>
      <c r="J93" s="50"/>
      <c r="K93" s="50"/>
      <c r="L93" s="50"/>
    </row>
    <row r="94" spans="1:12" x14ac:dyDescent="0.25">
      <c r="A94" s="50"/>
      <c r="B94" s="50"/>
      <c r="C94" s="50"/>
      <c r="D94" s="50"/>
      <c r="E94" s="50"/>
      <c r="F94" s="50"/>
      <c r="G94" s="50"/>
      <c r="H94" s="50"/>
      <c r="I94" s="50"/>
      <c r="J94" s="50"/>
      <c r="K94" s="50"/>
      <c r="L94" s="50"/>
    </row>
    <row r="95" spans="1:12" x14ac:dyDescent="0.25">
      <c r="A95" s="50"/>
      <c r="B95" s="50"/>
      <c r="C95" s="50"/>
      <c r="D95" s="50"/>
      <c r="E95" s="50"/>
      <c r="F95" s="50"/>
      <c r="G95" s="50"/>
      <c r="H95" s="50"/>
      <c r="I95" s="50"/>
      <c r="J95" s="50"/>
      <c r="K95" s="50"/>
      <c r="L95" s="50"/>
    </row>
    <row r="96" spans="1:12" x14ac:dyDescent="0.25">
      <c r="A96" s="50"/>
      <c r="B96" s="50"/>
      <c r="C96" s="50"/>
      <c r="D96" s="50"/>
      <c r="E96" s="50"/>
      <c r="F96" s="50"/>
      <c r="G96" s="50"/>
      <c r="H96" s="50"/>
      <c r="I96" s="50"/>
      <c r="J96" s="50"/>
      <c r="K96" s="50"/>
      <c r="L96" s="50"/>
    </row>
    <row r="97" spans="1:12" x14ac:dyDescent="0.25">
      <c r="A97" s="50"/>
      <c r="B97" s="50"/>
      <c r="C97" s="50"/>
      <c r="D97" s="50"/>
      <c r="E97" s="50"/>
      <c r="F97" s="50"/>
      <c r="G97" s="50"/>
      <c r="H97" s="50"/>
      <c r="I97" s="50"/>
      <c r="J97" s="50"/>
      <c r="K97" s="50"/>
      <c r="L97" s="50"/>
    </row>
    <row r="98" spans="1:12" x14ac:dyDescent="0.25">
      <c r="A98" s="50"/>
      <c r="B98" s="50"/>
      <c r="C98" s="50"/>
      <c r="D98" s="50"/>
      <c r="E98" s="50"/>
      <c r="F98" s="50"/>
      <c r="G98" s="50"/>
      <c r="H98" s="50"/>
      <c r="I98" s="50"/>
      <c r="J98" s="50"/>
      <c r="K98" s="50"/>
      <c r="L98" s="50"/>
    </row>
    <row r="99" spans="1:12" x14ac:dyDescent="0.25">
      <c r="A99" s="50"/>
      <c r="B99" s="50"/>
      <c r="C99" s="50"/>
      <c r="D99" s="50"/>
      <c r="E99" s="50"/>
      <c r="F99" s="50"/>
      <c r="G99" s="50"/>
      <c r="H99" s="50"/>
      <c r="I99" s="50"/>
      <c r="J99" s="50"/>
      <c r="K99" s="50"/>
      <c r="L99" s="50"/>
    </row>
    <row r="100" spans="1:12" x14ac:dyDescent="0.25">
      <c r="A100" s="50"/>
      <c r="B100" s="50"/>
      <c r="C100" s="50"/>
      <c r="D100" s="50"/>
      <c r="E100" s="50"/>
      <c r="F100" s="50"/>
      <c r="G100" s="50"/>
      <c r="H100" s="50"/>
      <c r="I100" s="50"/>
      <c r="J100" s="50"/>
      <c r="K100" s="50"/>
      <c r="L100" s="50"/>
    </row>
    <row r="101" spans="1:12" x14ac:dyDescent="0.25">
      <c r="A101" s="50"/>
      <c r="B101" s="50"/>
      <c r="C101" s="50"/>
      <c r="D101" s="50"/>
      <c r="E101" s="50"/>
      <c r="F101" s="50"/>
      <c r="G101" s="50"/>
      <c r="H101" s="50"/>
      <c r="I101" s="50"/>
      <c r="J101" s="50"/>
      <c r="K101" s="50"/>
      <c r="L101" s="50"/>
    </row>
    <row r="102" spans="1:12" x14ac:dyDescent="0.25">
      <c r="A102" s="50"/>
      <c r="B102" s="50"/>
      <c r="C102" s="50"/>
      <c r="D102" s="50"/>
      <c r="E102" s="50"/>
      <c r="F102" s="50"/>
      <c r="G102" s="50"/>
      <c r="H102" s="50"/>
      <c r="I102" s="50"/>
      <c r="J102" s="50"/>
      <c r="K102" s="50"/>
      <c r="L102" s="50"/>
    </row>
    <row r="103" spans="1:12" x14ac:dyDescent="0.25">
      <c r="A103" s="50"/>
      <c r="B103" s="50"/>
      <c r="C103" s="50"/>
      <c r="D103" s="50"/>
      <c r="E103" s="50"/>
      <c r="F103" s="50"/>
      <c r="G103" s="50"/>
      <c r="H103" s="50"/>
      <c r="I103" s="50"/>
      <c r="J103" s="50"/>
      <c r="K103" s="50"/>
      <c r="L103" s="50"/>
    </row>
    <row r="104" spans="1:12" x14ac:dyDescent="0.25">
      <c r="A104" s="50"/>
      <c r="B104" s="50"/>
      <c r="C104" s="50"/>
      <c r="D104" s="50"/>
      <c r="E104" s="50"/>
      <c r="F104" s="50"/>
      <c r="G104" s="50"/>
      <c r="H104" s="50"/>
      <c r="I104" s="50"/>
      <c r="J104" s="50"/>
      <c r="K104" s="50"/>
      <c r="L104" s="50"/>
    </row>
    <row r="105" spans="1:12" x14ac:dyDescent="0.25">
      <c r="A105" s="50"/>
      <c r="B105" s="50"/>
      <c r="C105" s="50"/>
      <c r="D105" s="50"/>
      <c r="E105" s="50"/>
      <c r="F105" s="50"/>
      <c r="G105" s="50"/>
      <c r="H105" s="50"/>
      <c r="I105" s="50"/>
      <c r="J105" s="50"/>
      <c r="K105" s="50"/>
      <c r="L105" s="50"/>
    </row>
    <row r="106" spans="1:12" x14ac:dyDescent="0.25">
      <c r="A106" s="50"/>
      <c r="B106" s="50"/>
      <c r="C106" s="50"/>
      <c r="D106" s="50"/>
      <c r="E106" s="50"/>
      <c r="F106" s="50"/>
      <c r="G106" s="50"/>
      <c r="H106" s="50"/>
      <c r="I106" s="50"/>
      <c r="J106" s="50"/>
      <c r="K106" s="50"/>
      <c r="L106" s="50"/>
    </row>
    <row r="107" spans="1:12" x14ac:dyDescent="0.25">
      <c r="A107" s="50"/>
      <c r="B107" s="50"/>
      <c r="C107" s="50"/>
      <c r="D107" s="50"/>
      <c r="E107" s="50"/>
      <c r="F107" s="50"/>
      <c r="G107" s="50"/>
      <c r="H107" s="50"/>
      <c r="I107" s="50"/>
      <c r="J107" s="50"/>
      <c r="K107" s="50"/>
      <c r="L107" s="50"/>
    </row>
    <row r="108" spans="1:12" x14ac:dyDescent="0.25">
      <c r="A108" s="50"/>
      <c r="B108" s="50"/>
      <c r="C108" s="50"/>
      <c r="D108" s="50"/>
      <c r="E108" s="50"/>
      <c r="F108" s="50"/>
      <c r="G108" s="50"/>
      <c r="H108" s="50"/>
      <c r="I108" s="50"/>
      <c r="J108" s="50"/>
      <c r="K108" s="50"/>
      <c r="L108" s="50"/>
    </row>
    <row r="109" spans="1:12" x14ac:dyDescent="0.25">
      <c r="A109" s="50"/>
      <c r="B109" s="50"/>
      <c r="C109" s="50"/>
      <c r="D109" s="50"/>
      <c r="E109" s="50"/>
      <c r="F109" s="50"/>
      <c r="G109" s="50"/>
      <c r="H109" s="50"/>
      <c r="I109" s="50"/>
      <c r="J109" s="50"/>
      <c r="K109" s="50"/>
      <c r="L109" s="50"/>
    </row>
    <row r="110" spans="1:12" x14ac:dyDescent="0.25">
      <c r="A110" s="50"/>
      <c r="B110" s="50"/>
      <c r="C110" s="50"/>
      <c r="D110" s="50"/>
      <c r="E110" s="50"/>
      <c r="F110" s="50"/>
      <c r="G110" s="50"/>
      <c r="H110" s="50"/>
      <c r="I110" s="50"/>
      <c r="J110" s="50"/>
      <c r="K110" s="50"/>
      <c r="L110" s="50"/>
    </row>
    <row r="111" spans="1:12" x14ac:dyDescent="0.25">
      <c r="A111" s="50"/>
      <c r="B111" s="50"/>
      <c r="C111" s="50"/>
      <c r="D111" s="50"/>
      <c r="E111" s="50"/>
      <c r="F111" s="50"/>
      <c r="G111" s="50"/>
      <c r="H111" s="50"/>
      <c r="I111" s="50"/>
      <c r="J111" s="50"/>
      <c r="K111" s="50"/>
      <c r="L111" s="50"/>
    </row>
    <row r="112" spans="1:12" x14ac:dyDescent="0.25">
      <c r="A112" s="50"/>
      <c r="B112" s="50"/>
      <c r="C112" s="50"/>
      <c r="D112" s="50"/>
      <c r="E112" s="50"/>
      <c r="F112" s="50"/>
      <c r="G112" s="50"/>
      <c r="H112" s="50"/>
      <c r="I112" s="50"/>
      <c r="J112" s="50"/>
      <c r="K112" s="50"/>
      <c r="L112" s="50"/>
    </row>
    <row r="113" spans="1:12" x14ac:dyDescent="0.25">
      <c r="A113" s="50"/>
      <c r="B113" s="50"/>
      <c r="C113" s="50"/>
      <c r="D113" s="50"/>
      <c r="E113" s="50"/>
      <c r="F113" s="50"/>
      <c r="G113" s="50"/>
      <c r="H113" s="50"/>
      <c r="I113" s="50"/>
      <c r="J113" s="50"/>
      <c r="K113" s="50"/>
      <c r="L113" s="50"/>
    </row>
    <row r="114" spans="1:12" x14ac:dyDescent="0.25">
      <c r="A114" s="50"/>
      <c r="B114" s="50"/>
      <c r="C114" s="50"/>
      <c r="D114" s="50"/>
      <c r="E114" s="50"/>
      <c r="F114" s="50"/>
      <c r="G114" s="50"/>
      <c r="H114" s="50"/>
      <c r="I114" s="50"/>
      <c r="J114" s="50"/>
      <c r="K114" s="50"/>
      <c r="L114" s="50"/>
    </row>
    <row r="115" spans="1:12" x14ac:dyDescent="0.25">
      <c r="A115" s="50"/>
      <c r="B115" s="50"/>
      <c r="C115" s="50"/>
      <c r="D115" s="50"/>
      <c r="E115" s="50"/>
      <c r="F115" s="50"/>
      <c r="G115" s="50"/>
      <c r="H115" s="50"/>
      <c r="I115" s="50"/>
      <c r="J115" s="50"/>
      <c r="K115" s="50"/>
      <c r="L115" s="50"/>
    </row>
    <row r="116" spans="1:12" x14ac:dyDescent="0.25">
      <c r="A116" s="50"/>
      <c r="B116" s="50"/>
      <c r="C116" s="50"/>
      <c r="D116" s="50"/>
      <c r="E116" s="50"/>
      <c r="F116" s="50"/>
      <c r="G116" s="50"/>
      <c r="H116" s="50"/>
      <c r="I116" s="50"/>
      <c r="J116" s="50"/>
      <c r="K116" s="50"/>
      <c r="L116" s="50"/>
    </row>
    <row r="117" spans="1:12" x14ac:dyDescent="0.25">
      <c r="A117" s="50"/>
      <c r="B117" s="50"/>
      <c r="C117" s="50"/>
      <c r="D117" s="50"/>
      <c r="E117" s="50"/>
      <c r="F117" s="50"/>
      <c r="G117" s="50"/>
      <c r="H117" s="50"/>
      <c r="I117" s="50"/>
      <c r="J117" s="50"/>
      <c r="K117" s="50"/>
      <c r="L117" s="50"/>
    </row>
    <row r="118" spans="1:12" x14ac:dyDescent="0.25">
      <c r="A118" s="50"/>
      <c r="B118" s="50"/>
      <c r="C118" s="50"/>
      <c r="D118" s="50"/>
      <c r="E118" s="50"/>
      <c r="F118" s="50"/>
      <c r="G118" s="50"/>
      <c r="H118" s="50"/>
      <c r="I118" s="50"/>
      <c r="J118" s="50"/>
      <c r="K118" s="50"/>
      <c r="L118" s="50"/>
    </row>
    <row r="119" spans="1:12" x14ac:dyDescent="0.25">
      <c r="A119" s="50"/>
      <c r="B119" s="50"/>
      <c r="C119" s="50"/>
      <c r="D119" s="50"/>
      <c r="E119" s="50"/>
      <c r="F119" s="50"/>
      <c r="G119" s="50"/>
      <c r="H119" s="50"/>
      <c r="I119" s="50"/>
      <c r="J119" s="50"/>
      <c r="K119" s="50"/>
      <c r="L119" s="50"/>
    </row>
    <row r="120" spans="1:12" x14ac:dyDescent="0.25">
      <c r="A120" s="50"/>
      <c r="B120" s="50"/>
      <c r="C120" s="50"/>
      <c r="D120" s="50"/>
      <c r="E120" s="50"/>
      <c r="F120" s="50"/>
      <c r="G120" s="50"/>
      <c r="H120" s="50"/>
      <c r="I120" s="50"/>
      <c r="J120" s="50"/>
      <c r="K120" s="50"/>
      <c r="L120" s="50"/>
    </row>
    <row r="121" spans="1:12" x14ac:dyDescent="0.25">
      <c r="A121" s="50"/>
      <c r="B121" s="50"/>
      <c r="C121" s="50"/>
      <c r="D121" s="50"/>
      <c r="E121" s="50"/>
      <c r="F121" s="50"/>
      <c r="G121" s="50"/>
      <c r="H121" s="50"/>
      <c r="I121" s="50"/>
      <c r="J121" s="50"/>
      <c r="K121" s="50"/>
      <c r="L121" s="50"/>
    </row>
    <row r="122" spans="1:12" x14ac:dyDescent="0.25">
      <c r="A122" s="50"/>
      <c r="B122" s="50"/>
      <c r="C122" s="50"/>
      <c r="D122" s="50"/>
      <c r="E122" s="50"/>
      <c r="F122" s="50"/>
      <c r="G122" s="50"/>
      <c r="H122" s="50"/>
      <c r="I122" s="50"/>
      <c r="J122" s="50"/>
      <c r="K122" s="50"/>
      <c r="L122" s="50"/>
    </row>
    <row r="123" spans="1:12" x14ac:dyDescent="0.25">
      <c r="A123" s="50"/>
      <c r="B123" s="50"/>
      <c r="C123" s="50"/>
      <c r="D123" s="50"/>
      <c r="E123" s="50"/>
      <c r="F123" s="50"/>
      <c r="G123" s="50"/>
      <c r="H123" s="50"/>
      <c r="I123" s="50"/>
      <c r="J123" s="50"/>
      <c r="K123" s="50"/>
      <c r="L123" s="50"/>
    </row>
    <row r="124" spans="1:12" x14ac:dyDescent="0.25">
      <c r="A124" s="50"/>
      <c r="B124" s="50"/>
      <c r="C124" s="50"/>
      <c r="D124" s="50"/>
      <c r="E124" s="50"/>
      <c r="F124" s="50"/>
      <c r="G124" s="50"/>
      <c r="H124" s="50"/>
      <c r="I124" s="50"/>
      <c r="J124" s="50"/>
      <c r="K124" s="50"/>
      <c r="L124" s="50"/>
    </row>
    <row r="125" spans="1:12" x14ac:dyDescent="0.25">
      <c r="A125" s="50"/>
      <c r="B125" s="50"/>
      <c r="C125" s="50"/>
      <c r="D125" s="50"/>
      <c r="E125" s="50"/>
      <c r="F125" s="50"/>
      <c r="G125" s="50"/>
      <c r="H125" s="50"/>
      <c r="I125" s="50"/>
      <c r="J125" s="50"/>
      <c r="K125" s="50"/>
      <c r="L125" s="50"/>
    </row>
    <row r="126" spans="1:12" x14ac:dyDescent="0.25">
      <c r="A126" s="50"/>
      <c r="B126" s="50"/>
      <c r="C126" s="50"/>
      <c r="D126" s="50"/>
      <c r="E126" s="50"/>
      <c r="F126" s="50"/>
      <c r="G126" s="50"/>
      <c r="H126" s="50"/>
      <c r="I126" s="50"/>
      <c r="J126" s="50"/>
      <c r="K126" s="50"/>
      <c r="L126" s="50"/>
    </row>
    <row r="127" spans="1:12" x14ac:dyDescent="0.25">
      <c r="A127" s="50"/>
      <c r="B127" s="50"/>
      <c r="C127" s="50"/>
      <c r="D127" s="50"/>
      <c r="E127" s="50"/>
      <c r="F127" s="50"/>
      <c r="G127" s="50"/>
      <c r="H127" s="50"/>
      <c r="I127" s="50"/>
      <c r="J127" s="50"/>
      <c r="K127" s="50"/>
      <c r="L127" s="50"/>
    </row>
    <row r="128" spans="1:12" x14ac:dyDescent="0.25">
      <c r="A128" s="50"/>
      <c r="B128" s="50"/>
      <c r="C128" s="50"/>
      <c r="D128" s="50"/>
      <c r="E128" s="50"/>
      <c r="F128" s="50"/>
      <c r="G128" s="50"/>
      <c r="H128" s="50"/>
      <c r="I128" s="50"/>
      <c r="J128" s="50"/>
      <c r="K128" s="50"/>
      <c r="L128" s="50"/>
    </row>
    <row r="129" spans="1:12" x14ac:dyDescent="0.25">
      <c r="A129" s="50"/>
      <c r="B129" s="50"/>
      <c r="C129" s="50"/>
      <c r="D129" s="50"/>
      <c r="E129" s="50"/>
      <c r="F129" s="50"/>
      <c r="G129" s="50"/>
      <c r="H129" s="50"/>
      <c r="I129" s="50"/>
      <c r="J129" s="50"/>
      <c r="K129" s="50"/>
      <c r="L129" s="50"/>
    </row>
    <row r="130" spans="1:12" x14ac:dyDescent="0.25">
      <c r="A130" s="50"/>
      <c r="B130" s="50"/>
      <c r="C130" s="50"/>
      <c r="D130" s="50"/>
      <c r="E130" s="50"/>
      <c r="F130" s="50"/>
      <c r="G130" s="50"/>
      <c r="H130" s="50"/>
      <c r="I130" s="50"/>
      <c r="J130" s="50"/>
      <c r="K130" s="50"/>
      <c r="L130" s="50"/>
    </row>
    <row r="131" spans="1:12" x14ac:dyDescent="0.25">
      <c r="A131" s="50"/>
      <c r="B131" s="50"/>
      <c r="C131" s="50"/>
      <c r="D131" s="50"/>
      <c r="E131" s="50"/>
      <c r="F131" s="50"/>
      <c r="G131" s="50"/>
      <c r="H131" s="50"/>
      <c r="I131" s="50"/>
      <c r="J131" s="50"/>
      <c r="K131" s="50"/>
      <c r="L131" s="50"/>
    </row>
    <row r="132" spans="1:12" x14ac:dyDescent="0.25">
      <c r="A132" s="50"/>
      <c r="B132" s="50"/>
      <c r="C132" s="50"/>
      <c r="D132" s="50"/>
      <c r="E132" s="50"/>
      <c r="F132" s="50"/>
      <c r="G132" s="50"/>
      <c r="H132" s="50"/>
      <c r="I132" s="50"/>
      <c r="J132" s="50"/>
      <c r="K132" s="50"/>
      <c r="L132" s="50"/>
    </row>
    <row r="133" spans="1:12" x14ac:dyDescent="0.25">
      <c r="A133" s="50"/>
      <c r="B133" s="50"/>
      <c r="C133" s="50"/>
      <c r="D133" s="50"/>
      <c r="E133" s="50"/>
      <c r="F133" s="50"/>
      <c r="G133" s="50"/>
      <c r="H133" s="50"/>
      <c r="I133" s="50"/>
      <c r="J133" s="50"/>
      <c r="K133" s="50"/>
      <c r="L133" s="50"/>
    </row>
    <row r="134" spans="1:12" x14ac:dyDescent="0.25">
      <c r="A134" s="50"/>
      <c r="B134" s="50"/>
      <c r="C134" s="50"/>
      <c r="D134" s="50"/>
      <c r="E134" s="50"/>
      <c r="F134" s="50"/>
      <c r="G134" s="50"/>
      <c r="H134" s="50"/>
      <c r="I134" s="50"/>
      <c r="J134" s="50"/>
      <c r="K134" s="50"/>
      <c r="L134" s="50"/>
    </row>
    <row r="135" spans="1:12" x14ac:dyDescent="0.25">
      <c r="A135" s="50"/>
      <c r="B135" s="50"/>
      <c r="C135" s="50"/>
      <c r="D135" s="50"/>
      <c r="E135" s="50"/>
      <c r="F135" s="50"/>
      <c r="G135" s="50"/>
      <c r="H135" s="50"/>
      <c r="I135" s="50"/>
      <c r="J135" s="50"/>
      <c r="K135" s="50"/>
      <c r="L135" s="50"/>
    </row>
    <row r="136" spans="1:12" x14ac:dyDescent="0.25">
      <c r="A136" s="50"/>
      <c r="B136" s="50"/>
      <c r="C136" s="50"/>
      <c r="D136" s="50"/>
      <c r="E136" s="50"/>
      <c r="F136" s="50"/>
      <c r="G136" s="50"/>
      <c r="H136" s="50"/>
      <c r="I136" s="50"/>
      <c r="J136" s="50"/>
      <c r="K136" s="50"/>
      <c r="L136" s="50"/>
    </row>
    <row r="137" spans="1:12" x14ac:dyDescent="0.25">
      <c r="A137" s="50"/>
      <c r="B137" s="50"/>
      <c r="C137" s="50"/>
      <c r="D137" s="50"/>
      <c r="E137" s="50"/>
      <c r="F137" s="50"/>
      <c r="G137" s="50"/>
      <c r="H137" s="50"/>
      <c r="I137" s="50"/>
      <c r="J137" s="50"/>
      <c r="K137" s="50"/>
      <c r="L137" s="50"/>
    </row>
    <row r="138" spans="1:12" x14ac:dyDescent="0.25">
      <c r="A138" s="50"/>
      <c r="B138" s="50"/>
      <c r="C138" s="50"/>
      <c r="D138" s="50"/>
      <c r="E138" s="50"/>
      <c r="F138" s="50"/>
      <c r="G138" s="50"/>
      <c r="H138" s="50"/>
      <c r="I138" s="50"/>
      <c r="J138" s="50"/>
      <c r="K138" s="50"/>
      <c r="L138" s="50"/>
    </row>
    <row r="139" spans="1:12" x14ac:dyDescent="0.25">
      <c r="A139" s="50"/>
      <c r="B139" s="50"/>
      <c r="C139" s="50"/>
      <c r="D139" s="50"/>
      <c r="E139" s="50"/>
      <c r="F139" s="50"/>
      <c r="G139" s="50"/>
      <c r="H139" s="50"/>
      <c r="I139" s="50"/>
      <c r="J139" s="50"/>
      <c r="K139" s="50"/>
      <c r="L139" s="50"/>
    </row>
    <row r="140" spans="1:12" x14ac:dyDescent="0.25">
      <c r="A140" s="50"/>
      <c r="B140" s="50"/>
      <c r="C140" s="50"/>
      <c r="D140" s="50"/>
      <c r="E140" s="50"/>
      <c r="F140" s="50"/>
      <c r="G140" s="50"/>
      <c r="H140" s="50"/>
      <c r="I140" s="50"/>
      <c r="J140" s="50"/>
      <c r="K140" s="50"/>
      <c r="L140" s="50"/>
    </row>
    <row r="141" spans="1:12" x14ac:dyDescent="0.25">
      <c r="A141" s="50"/>
      <c r="B141" s="50"/>
      <c r="C141" s="50"/>
      <c r="D141" s="50"/>
      <c r="E141" s="50"/>
      <c r="F141" s="50"/>
      <c r="G141" s="50"/>
      <c r="H141" s="50"/>
      <c r="I141" s="50"/>
      <c r="J141" s="50"/>
      <c r="K141" s="50"/>
      <c r="L141" s="50"/>
    </row>
    <row r="142" spans="1:12" x14ac:dyDescent="0.25">
      <c r="A142" s="50"/>
      <c r="B142" s="50"/>
      <c r="C142" s="50"/>
      <c r="D142" s="50"/>
      <c r="E142" s="50"/>
      <c r="F142" s="50"/>
      <c r="G142" s="50"/>
      <c r="H142" s="50"/>
      <c r="I142" s="50"/>
      <c r="J142" s="50"/>
      <c r="K142" s="50"/>
      <c r="L142" s="50"/>
    </row>
    <row r="143" spans="1:12" x14ac:dyDescent="0.25">
      <c r="A143" s="50"/>
      <c r="B143" s="50"/>
      <c r="C143" s="50"/>
      <c r="D143" s="50"/>
      <c r="E143" s="50"/>
      <c r="F143" s="50"/>
      <c r="G143" s="50"/>
      <c r="H143" s="50"/>
      <c r="I143" s="50"/>
      <c r="J143" s="50"/>
      <c r="K143" s="50"/>
      <c r="L143" s="50"/>
    </row>
    <row r="144" spans="1:12" x14ac:dyDescent="0.25">
      <c r="A144" s="50"/>
      <c r="B144" s="50"/>
      <c r="C144" s="50"/>
      <c r="D144" s="50"/>
      <c r="E144" s="50"/>
      <c r="F144" s="50"/>
      <c r="G144" s="50"/>
      <c r="H144" s="50"/>
      <c r="I144" s="50"/>
      <c r="J144" s="50"/>
      <c r="K144" s="50"/>
      <c r="L144" s="50"/>
    </row>
    <row r="145" spans="1:12" x14ac:dyDescent="0.25">
      <c r="A145" s="50"/>
      <c r="B145" s="50"/>
      <c r="C145" s="50"/>
      <c r="D145" s="50"/>
      <c r="E145" s="50"/>
      <c r="F145" s="50"/>
      <c r="G145" s="50"/>
      <c r="H145" s="50"/>
      <c r="I145" s="50"/>
      <c r="J145" s="50"/>
      <c r="K145" s="50"/>
      <c r="L145" s="50"/>
    </row>
    <row r="146" spans="1:12" x14ac:dyDescent="0.25">
      <c r="A146" s="50"/>
      <c r="B146" s="50"/>
      <c r="C146" s="50"/>
      <c r="D146" s="50"/>
      <c r="E146" s="50"/>
      <c r="F146" s="50"/>
      <c r="G146" s="50"/>
      <c r="H146" s="50"/>
      <c r="I146" s="50"/>
      <c r="J146" s="50"/>
      <c r="K146" s="50"/>
      <c r="L146" s="50"/>
    </row>
  </sheetData>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K146"/>
  <sheetViews>
    <sheetView zoomScale="74" zoomScaleNormal="74" workbookViewId="0">
      <pane ySplit="6" topLeftCell="A7" activePane="bottomLeft" state="frozen"/>
      <selection activeCell="A9" sqref="A9"/>
      <selection pane="bottomLeft" activeCell="A9" sqref="A9"/>
    </sheetView>
  </sheetViews>
  <sheetFormatPr defaultColWidth="9.140625" defaultRowHeight="15" x14ac:dyDescent="0.25"/>
  <cols>
    <col min="1" max="1" width="20.28515625" style="12" bestFit="1" customWidth="1"/>
    <col min="2" max="2" width="16.140625" style="12" bestFit="1" customWidth="1"/>
    <col min="3" max="3" width="8" style="12" bestFit="1" customWidth="1"/>
    <col min="4" max="4" width="9.28515625" style="12" bestFit="1" customWidth="1"/>
    <col min="5" max="12" width="8.5703125" style="12" customWidth="1"/>
    <col min="13" max="29" width="8.5703125" style="50" customWidth="1"/>
    <col min="30" max="38" width="5.7109375" style="50" customWidth="1"/>
    <col min="39" max="16384" width="9.140625" style="50"/>
  </cols>
  <sheetData>
    <row r="1" spans="1:37" x14ac:dyDescent="0.25">
      <c r="A1" s="38" t="s">
        <v>28</v>
      </c>
      <c r="B1" s="39" t="s">
        <v>76</v>
      </c>
    </row>
    <row r="2" spans="1:37" s="2" customFormat="1" x14ac:dyDescent="0.25">
      <c r="A2" s="65" t="s">
        <v>47</v>
      </c>
      <c r="B2" s="84"/>
    </row>
    <row r="3" spans="1:37" s="2" customFormat="1" x14ac:dyDescent="0.25"/>
    <row r="4" spans="1:37" s="2" customFormat="1" ht="30" x14ac:dyDescent="0.25">
      <c r="A4" s="33" t="s">
        <v>94</v>
      </c>
      <c r="B4" s="36" t="s">
        <v>93</v>
      </c>
      <c r="C4" s="34"/>
      <c r="D4" s="35"/>
      <c r="E4"/>
      <c r="F4"/>
      <c r="G4"/>
      <c r="H4"/>
      <c r="I4"/>
      <c r="J4"/>
      <c r="K4"/>
      <c r="L4"/>
      <c r="M4"/>
      <c r="N4"/>
      <c r="O4"/>
      <c r="P4"/>
      <c r="Q4"/>
      <c r="R4"/>
      <c r="S4"/>
    </row>
    <row r="5" spans="1:37" s="83" customFormat="1" x14ac:dyDescent="0.25">
      <c r="A5" s="33" t="s">
        <v>5</v>
      </c>
      <c r="B5" s="23" t="s">
        <v>46</v>
      </c>
      <c r="C5" s="57" t="s">
        <v>42</v>
      </c>
      <c r="D5" s="58" t="s">
        <v>29</v>
      </c>
      <c r="E5"/>
      <c r="F5"/>
      <c r="G5"/>
      <c r="H5"/>
      <c r="I5"/>
      <c r="J5"/>
      <c r="K5"/>
      <c r="L5"/>
      <c r="M5"/>
      <c r="N5"/>
      <c r="O5"/>
      <c r="P5"/>
      <c r="Q5"/>
      <c r="R5"/>
      <c r="S5"/>
      <c r="T5" s="2"/>
      <c r="U5" s="2"/>
      <c r="V5" s="2"/>
      <c r="W5" s="2"/>
      <c r="X5" s="2"/>
      <c r="Y5" s="2"/>
      <c r="Z5" s="2"/>
      <c r="AA5" s="2"/>
      <c r="AB5" s="2"/>
      <c r="AC5" s="2"/>
      <c r="AD5" s="2"/>
      <c r="AE5" s="2"/>
      <c r="AF5" s="2"/>
      <c r="AG5" s="2"/>
      <c r="AH5" s="2"/>
      <c r="AI5" s="2"/>
      <c r="AJ5" s="2"/>
      <c r="AK5" s="2"/>
    </row>
    <row r="6" spans="1:37" s="2" customFormat="1" x14ac:dyDescent="0.25">
      <c r="A6" s="23">
        <v>45</v>
      </c>
      <c r="B6" s="76">
        <v>1</v>
      </c>
      <c r="C6" s="25">
        <v>0</v>
      </c>
      <c r="D6" s="80">
        <v>0</v>
      </c>
      <c r="E6"/>
      <c r="F6"/>
      <c r="G6"/>
      <c r="H6"/>
      <c r="I6"/>
      <c r="J6"/>
      <c r="K6"/>
      <c r="L6"/>
      <c r="M6"/>
      <c r="N6"/>
      <c r="O6"/>
      <c r="P6"/>
      <c r="Q6"/>
      <c r="R6"/>
      <c r="S6"/>
    </row>
    <row r="7" spans="1:37" x14ac:dyDescent="0.25">
      <c r="A7" s="37">
        <v>135</v>
      </c>
      <c r="B7" s="77">
        <v>1</v>
      </c>
      <c r="C7" s="26">
        <v>0</v>
      </c>
      <c r="D7" s="81">
        <v>0</v>
      </c>
      <c r="E7"/>
      <c r="F7"/>
      <c r="G7"/>
      <c r="H7"/>
      <c r="I7"/>
      <c r="J7"/>
      <c r="K7"/>
      <c r="L7"/>
      <c r="M7"/>
      <c r="N7"/>
      <c r="O7"/>
      <c r="P7"/>
      <c r="Q7"/>
      <c r="R7"/>
      <c r="S7"/>
    </row>
    <row r="8" spans="1:37" x14ac:dyDescent="0.25">
      <c r="A8" s="37">
        <v>234</v>
      </c>
      <c r="B8" s="77">
        <v>0.44444444444444442</v>
      </c>
      <c r="C8" s="26">
        <v>0.55555555555555558</v>
      </c>
      <c r="D8" s="81">
        <v>0</v>
      </c>
      <c r="E8"/>
      <c r="F8"/>
      <c r="G8"/>
      <c r="H8"/>
      <c r="I8"/>
      <c r="J8"/>
      <c r="K8"/>
      <c r="L8"/>
      <c r="M8"/>
      <c r="N8"/>
      <c r="O8"/>
      <c r="P8"/>
      <c r="Q8"/>
      <c r="R8"/>
      <c r="S8"/>
    </row>
    <row r="9" spans="1:37" x14ac:dyDescent="0.25">
      <c r="A9" s="37">
        <v>292</v>
      </c>
      <c r="B9" s="77">
        <v>0.88235294117647056</v>
      </c>
      <c r="C9" s="26">
        <v>0.11764705882352941</v>
      </c>
      <c r="D9" s="81">
        <v>0</v>
      </c>
      <c r="E9"/>
      <c r="F9"/>
      <c r="G9"/>
      <c r="H9"/>
      <c r="I9"/>
      <c r="J9"/>
      <c r="K9"/>
      <c r="L9"/>
      <c r="M9"/>
      <c r="N9"/>
      <c r="O9"/>
      <c r="P9"/>
      <c r="Q9"/>
      <c r="R9"/>
      <c r="S9"/>
    </row>
    <row r="10" spans="1:37" x14ac:dyDescent="0.25">
      <c r="A10" s="37">
        <v>359</v>
      </c>
      <c r="B10" s="77">
        <v>0.3</v>
      </c>
      <c r="C10" s="26">
        <v>0.7</v>
      </c>
      <c r="D10" s="81">
        <v>0</v>
      </c>
      <c r="E10"/>
      <c r="F10"/>
      <c r="G10"/>
      <c r="H10"/>
      <c r="I10"/>
      <c r="J10"/>
      <c r="K10"/>
      <c r="L10"/>
      <c r="M10"/>
      <c r="N10"/>
      <c r="O10"/>
      <c r="P10"/>
      <c r="Q10"/>
      <c r="R10"/>
      <c r="S10"/>
    </row>
    <row r="11" spans="1:37" x14ac:dyDescent="0.25">
      <c r="A11" s="37">
        <v>461</v>
      </c>
      <c r="B11" s="77">
        <v>0.6</v>
      </c>
      <c r="C11" s="26">
        <v>0.4</v>
      </c>
      <c r="D11" s="81">
        <v>0</v>
      </c>
      <c r="E11"/>
      <c r="F11"/>
      <c r="G11"/>
      <c r="H11"/>
      <c r="I11"/>
      <c r="J11"/>
      <c r="K11"/>
      <c r="L11"/>
      <c r="M11"/>
      <c r="N11"/>
      <c r="O11"/>
      <c r="P11"/>
      <c r="Q11"/>
      <c r="R11"/>
      <c r="S11"/>
    </row>
    <row r="12" spans="1:37" x14ac:dyDescent="0.25">
      <c r="A12" s="37">
        <v>829</v>
      </c>
      <c r="B12" s="77">
        <v>0.84615384615384615</v>
      </c>
      <c r="C12" s="26">
        <v>0.15384615384615385</v>
      </c>
      <c r="D12" s="81">
        <v>0</v>
      </c>
      <c r="E12"/>
      <c r="F12"/>
      <c r="G12"/>
      <c r="H12"/>
      <c r="I12"/>
      <c r="J12"/>
      <c r="K12"/>
      <c r="L12"/>
      <c r="M12"/>
      <c r="N12"/>
      <c r="O12"/>
      <c r="P12"/>
      <c r="Q12"/>
      <c r="R12"/>
      <c r="S12"/>
    </row>
    <row r="13" spans="1:37" x14ac:dyDescent="0.25">
      <c r="A13" s="37">
        <v>868</v>
      </c>
      <c r="B13" s="77">
        <v>0.6428571428571429</v>
      </c>
      <c r="C13" s="26">
        <v>0.35714285714285715</v>
      </c>
      <c r="D13" s="81">
        <v>0</v>
      </c>
      <c r="E13"/>
      <c r="F13"/>
      <c r="G13"/>
      <c r="H13"/>
      <c r="I13"/>
      <c r="J13"/>
      <c r="K13"/>
      <c r="L13"/>
      <c r="M13"/>
      <c r="N13"/>
      <c r="O13"/>
      <c r="P13"/>
      <c r="Q13"/>
      <c r="R13"/>
      <c r="S13"/>
    </row>
    <row r="14" spans="1:37" x14ac:dyDescent="0.25">
      <c r="A14" s="37">
        <v>1024</v>
      </c>
      <c r="B14" s="77">
        <v>1</v>
      </c>
      <c r="C14" s="26">
        <v>0</v>
      </c>
      <c r="D14" s="81">
        <v>0</v>
      </c>
      <c r="E14"/>
      <c r="F14"/>
      <c r="G14"/>
      <c r="H14"/>
      <c r="I14"/>
      <c r="J14"/>
      <c r="K14"/>
      <c r="L14"/>
      <c r="M14"/>
      <c r="N14"/>
      <c r="O14"/>
      <c r="P14"/>
      <c r="Q14"/>
      <c r="R14"/>
      <c r="S14"/>
    </row>
    <row r="15" spans="1:37" x14ac:dyDescent="0.25">
      <c r="A15" s="37">
        <v>1501</v>
      </c>
      <c r="B15" s="77">
        <v>0.9285714285714286</v>
      </c>
      <c r="C15" s="26">
        <v>7.1428571428571425E-2</v>
      </c>
      <c r="D15" s="81">
        <v>0</v>
      </c>
      <c r="E15"/>
      <c r="F15"/>
      <c r="G15"/>
      <c r="H15"/>
      <c r="I15"/>
      <c r="J15"/>
      <c r="K15"/>
      <c r="L15"/>
      <c r="M15"/>
      <c r="N15"/>
      <c r="O15"/>
      <c r="P15"/>
      <c r="Q15"/>
      <c r="R15"/>
      <c r="S15"/>
    </row>
    <row r="16" spans="1:37" x14ac:dyDescent="0.25">
      <c r="A16" s="37">
        <v>1646</v>
      </c>
      <c r="B16" s="77">
        <v>0.75</v>
      </c>
      <c r="C16" s="26">
        <v>0.25</v>
      </c>
      <c r="D16" s="81">
        <v>0</v>
      </c>
      <c r="E16"/>
      <c r="F16"/>
      <c r="G16"/>
      <c r="H16"/>
      <c r="I16"/>
      <c r="J16"/>
      <c r="K16"/>
      <c r="L16"/>
      <c r="M16"/>
      <c r="N16"/>
      <c r="O16"/>
      <c r="P16"/>
      <c r="Q16"/>
      <c r="R16"/>
      <c r="S16"/>
    </row>
    <row r="17" spans="1:19" x14ac:dyDescent="0.25">
      <c r="A17" s="37">
        <v>1732</v>
      </c>
      <c r="B17" s="77">
        <v>1</v>
      </c>
      <c r="C17" s="26">
        <v>0</v>
      </c>
      <c r="D17" s="81">
        <v>0</v>
      </c>
      <c r="E17"/>
      <c r="F17"/>
      <c r="G17"/>
      <c r="H17"/>
      <c r="I17"/>
      <c r="J17"/>
      <c r="K17"/>
      <c r="L17"/>
      <c r="M17"/>
      <c r="N17"/>
      <c r="O17"/>
      <c r="P17"/>
      <c r="Q17"/>
      <c r="R17"/>
      <c r="S17"/>
    </row>
    <row r="18" spans="1:19" x14ac:dyDescent="0.25">
      <c r="A18" s="37">
        <v>1736</v>
      </c>
      <c r="B18" s="77">
        <v>0.5</v>
      </c>
      <c r="C18" s="26">
        <v>0.5</v>
      </c>
      <c r="D18" s="81">
        <v>0</v>
      </c>
      <c r="E18"/>
      <c r="F18"/>
      <c r="G18"/>
      <c r="H18"/>
      <c r="I18"/>
      <c r="J18"/>
      <c r="K18"/>
      <c r="L18"/>
      <c r="M18"/>
      <c r="N18"/>
      <c r="O18"/>
      <c r="P18"/>
      <c r="Q18"/>
      <c r="R18"/>
      <c r="S18"/>
    </row>
    <row r="19" spans="1:19" x14ac:dyDescent="0.25">
      <c r="A19" s="37">
        <v>1741</v>
      </c>
      <c r="B19" s="77">
        <v>1</v>
      </c>
      <c r="C19" s="26">
        <v>0</v>
      </c>
      <c r="D19" s="81">
        <v>0</v>
      </c>
      <c r="E19"/>
      <c r="F19"/>
      <c r="G19"/>
      <c r="H19"/>
      <c r="I19"/>
      <c r="J19"/>
      <c r="K19"/>
      <c r="L19"/>
      <c r="M19"/>
      <c r="N19"/>
      <c r="O19"/>
      <c r="P19"/>
      <c r="Q19"/>
      <c r="R19"/>
      <c r="S19"/>
    </row>
    <row r="20" spans="1:19" x14ac:dyDescent="0.25">
      <c r="A20" s="37">
        <v>1747</v>
      </c>
      <c r="B20" s="77">
        <v>0.7</v>
      </c>
      <c r="C20" s="26">
        <v>0.3</v>
      </c>
      <c r="D20" s="81">
        <v>0</v>
      </c>
      <c r="E20"/>
      <c r="F20"/>
      <c r="G20"/>
      <c r="H20"/>
      <c r="I20"/>
      <c r="J20"/>
      <c r="K20"/>
      <c r="L20"/>
      <c r="M20"/>
      <c r="N20"/>
      <c r="O20"/>
      <c r="P20"/>
      <c r="Q20"/>
      <c r="R20"/>
      <c r="S20"/>
    </row>
    <row r="21" spans="1:19" x14ac:dyDescent="0.25">
      <c r="A21" s="37">
        <v>1756</v>
      </c>
      <c r="B21" s="77">
        <v>0.8571428571428571</v>
      </c>
      <c r="C21" s="26">
        <v>0.14285714285714285</v>
      </c>
      <c r="D21" s="81">
        <v>0</v>
      </c>
      <c r="E21"/>
      <c r="F21"/>
      <c r="G21"/>
      <c r="H21"/>
      <c r="I21"/>
      <c r="J21"/>
      <c r="K21"/>
      <c r="L21"/>
      <c r="M21"/>
      <c r="N21"/>
      <c r="O21"/>
      <c r="P21"/>
      <c r="Q21"/>
      <c r="R21"/>
      <c r="S21"/>
    </row>
    <row r="22" spans="1:19" x14ac:dyDescent="0.25">
      <c r="A22" s="37">
        <v>1872</v>
      </c>
      <c r="B22" s="77">
        <v>0.92307692307692313</v>
      </c>
      <c r="C22" s="26">
        <v>7.6923076923076927E-2</v>
      </c>
      <c r="D22" s="81">
        <v>0</v>
      </c>
      <c r="E22"/>
      <c r="F22"/>
      <c r="G22"/>
      <c r="H22"/>
      <c r="I22"/>
      <c r="J22"/>
      <c r="K22"/>
      <c r="L22"/>
      <c r="M22"/>
      <c r="N22"/>
      <c r="O22"/>
      <c r="P22"/>
      <c r="Q22"/>
      <c r="R22"/>
      <c r="S22"/>
    </row>
    <row r="23" spans="1:19" x14ac:dyDescent="0.25">
      <c r="A23" s="37">
        <v>2040</v>
      </c>
      <c r="B23" s="77">
        <v>0.7857142857142857</v>
      </c>
      <c r="C23" s="26">
        <v>0.21428571428571427</v>
      </c>
      <c r="D23" s="81">
        <v>0</v>
      </c>
      <c r="E23"/>
      <c r="F23"/>
      <c r="G23"/>
      <c r="H23"/>
      <c r="I23"/>
      <c r="J23"/>
      <c r="K23"/>
      <c r="L23"/>
      <c r="M23"/>
      <c r="N23"/>
      <c r="O23"/>
      <c r="P23"/>
      <c r="Q23"/>
      <c r="R23"/>
      <c r="S23"/>
    </row>
    <row r="24" spans="1:19" x14ac:dyDescent="0.25">
      <c r="A24" s="37">
        <v>2171</v>
      </c>
      <c r="B24" s="77">
        <v>1</v>
      </c>
      <c r="C24" s="26">
        <v>0</v>
      </c>
      <c r="D24" s="81">
        <v>0</v>
      </c>
      <c r="E24"/>
      <c r="F24"/>
      <c r="G24"/>
      <c r="H24"/>
      <c r="I24"/>
      <c r="J24"/>
      <c r="K24"/>
      <c r="L24"/>
      <c r="M24"/>
      <c r="N24"/>
      <c r="O24"/>
      <c r="P24"/>
      <c r="Q24"/>
      <c r="R24"/>
      <c r="S24"/>
    </row>
    <row r="25" spans="1:19" x14ac:dyDescent="0.25">
      <c r="A25" s="37">
        <v>2197</v>
      </c>
      <c r="B25" s="77">
        <v>0.8571428571428571</v>
      </c>
      <c r="C25" s="26">
        <v>0.14285714285714285</v>
      </c>
      <c r="D25" s="81">
        <v>0</v>
      </c>
      <c r="E25"/>
      <c r="F25"/>
      <c r="G25"/>
      <c r="H25"/>
      <c r="I25"/>
      <c r="J25"/>
      <c r="K25"/>
      <c r="L25"/>
      <c r="M25"/>
      <c r="N25"/>
      <c r="O25"/>
      <c r="P25"/>
      <c r="Q25"/>
      <c r="R25"/>
      <c r="S25"/>
    </row>
    <row r="26" spans="1:19" x14ac:dyDescent="0.25">
      <c r="A26" s="37">
        <v>2867</v>
      </c>
      <c r="B26" s="77">
        <v>1</v>
      </c>
      <c r="C26" s="26">
        <v>0</v>
      </c>
      <c r="D26" s="81">
        <v>0</v>
      </c>
      <c r="E26"/>
      <c r="F26"/>
      <c r="G26"/>
      <c r="H26"/>
      <c r="I26"/>
      <c r="J26"/>
      <c r="K26"/>
      <c r="L26"/>
      <c r="M26"/>
      <c r="N26"/>
      <c r="O26"/>
      <c r="P26"/>
      <c r="Q26"/>
      <c r="R26"/>
      <c r="S26"/>
    </row>
    <row r="27" spans="1:19" x14ac:dyDescent="0.25">
      <c r="A27" s="37">
        <v>3147</v>
      </c>
      <c r="B27" s="77">
        <v>1</v>
      </c>
      <c r="C27" s="26">
        <v>0</v>
      </c>
      <c r="D27" s="81">
        <v>0</v>
      </c>
      <c r="E27"/>
      <c r="F27"/>
      <c r="G27"/>
      <c r="H27"/>
      <c r="I27"/>
      <c r="J27"/>
      <c r="K27"/>
      <c r="L27"/>
      <c r="M27"/>
      <c r="N27"/>
      <c r="O27"/>
      <c r="P27"/>
      <c r="Q27"/>
      <c r="R27"/>
      <c r="S27"/>
    </row>
    <row r="28" spans="1:19" x14ac:dyDescent="0.25">
      <c r="A28" s="37">
        <v>3176</v>
      </c>
      <c r="B28" s="77">
        <v>0.66666666666666663</v>
      </c>
      <c r="C28" s="26">
        <v>0.33333333333333331</v>
      </c>
      <c r="D28" s="81">
        <v>0</v>
      </c>
      <c r="E28"/>
      <c r="F28"/>
      <c r="G28"/>
      <c r="H28"/>
      <c r="I28"/>
      <c r="J28"/>
      <c r="K28"/>
      <c r="L28"/>
      <c r="M28"/>
      <c r="N28"/>
      <c r="O28"/>
      <c r="P28"/>
      <c r="Q28"/>
      <c r="R28"/>
      <c r="S28"/>
    </row>
    <row r="29" spans="1:19" x14ac:dyDescent="0.25">
      <c r="A29" s="37">
        <v>3180</v>
      </c>
      <c r="B29" s="77">
        <v>1</v>
      </c>
      <c r="C29" s="26">
        <v>0</v>
      </c>
      <c r="D29" s="81">
        <v>0</v>
      </c>
      <c r="E29"/>
      <c r="F29"/>
      <c r="G29"/>
      <c r="H29"/>
      <c r="I29"/>
      <c r="J29"/>
      <c r="K29"/>
      <c r="L29"/>
      <c r="M29"/>
      <c r="N29"/>
      <c r="O29"/>
      <c r="P29"/>
      <c r="Q29"/>
      <c r="R29"/>
      <c r="S29"/>
    </row>
    <row r="30" spans="1:19" x14ac:dyDescent="0.25">
      <c r="A30" s="37">
        <v>3201</v>
      </c>
      <c r="B30" s="77">
        <v>0.7</v>
      </c>
      <c r="C30" s="26">
        <v>0.3</v>
      </c>
      <c r="D30" s="81">
        <v>0</v>
      </c>
      <c r="E30"/>
      <c r="F30"/>
      <c r="G30"/>
      <c r="H30"/>
      <c r="I30"/>
      <c r="J30"/>
      <c r="K30"/>
      <c r="L30"/>
      <c r="M30"/>
      <c r="N30"/>
      <c r="O30"/>
      <c r="P30"/>
      <c r="Q30"/>
      <c r="R30"/>
      <c r="S30"/>
    </row>
    <row r="31" spans="1:19" x14ac:dyDescent="0.25">
      <c r="A31" s="37">
        <v>3272</v>
      </c>
      <c r="B31" s="77">
        <v>1</v>
      </c>
      <c r="C31" s="26">
        <v>0</v>
      </c>
      <c r="D31" s="81">
        <v>0</v>
      </c>
      <c r="E31"/>
      <c r="F31"/>
      <c r="G31"/>
      <c r="H31"/>
      <c r="I31"/>
      <c r="J31"/>
      <c r="K31"/>
      <c r="L31"/>
      <c r="M31"/>
      <c r="N31"/>
      <c r="O31"/>
      <c r="P31"/>
      <c r="Q31"/>
      <c r="R31"/>
      <c r="S31"/>
    </row>
    <row r="32" spans="1:19" x14ac:dyDescent="0.25">
      <c r="A32" s="37">
        <v>3301</v>
      </c>
      <c r="B32" s="77">
        <v>1</v>
      </c>
      <c r="C32" s="26">
        <v>0</v>
      </c>
      <c r="D32" s="81">
        <v>0</v>
      </c>
      <c r="E32"/>
      <c r="F32"/>
      <c r="G32"/>
      <c r="H32"/>
      <c r="I32"/>
      <c r="J32"/>
      <c r="K32"/>
      <c r="L32"/>
      <c r="M32"/>
      <c r="N32"/>
      <c r="O32"/>
      <c r="P32"/>
      <c r="Q32"/>
      <c r="R32"/>
      <c r="S32"/>
    </row>
    <row r="33" spans="1:19" x14ac:dyDescent="0.25">
      <c r="A33" s="37">
        <v>3487</v>
      </c>
      <c r="B33" s="77">
        <v>0.72727272727272729</v>
      </c>
      <c r="C33" s="26">
        <v>0.27272727272727271</v>
      </c>
      <c r="D33" s="81">
        <v>0</v>
      </c>
      <c r="E33"/>
      <c r="F33"/>
      <c r="G33"/>
      <c r="H33"/>
      <c r="I33"/>
      <c r="J33"/>
      <c r="K33"/>
      <c r="L33"/>
      <c r="M33"/>
      <c r="N33"/>
      <c r="O33"/>
      <c r="P33"/>
      <c r="Q33"/>
      <c r="R33"/>
      <c r="S33"/>
    </row>
    <row r="34" spans="1:19" x14ac:dyDescent="0.25">
      <c r="A34" s="37">
        <v>3565</v>
      </c>
      <c r="B34" s="77">
        <v>1</v>
      </c>
      <c r="C34" s="26">
        <v>0</v>
      </c>
      <c r="D34" s="81">
        <v>0</v>
      </c>
      <c r="E34"/>
      <c r="F34"/>
      <c r="G34"/>
      <c r="H34"/>
      <c r="I34"/>
      <c r="J34"/>
      <c r="K34"/>
      <c r="L34"/>
      <c r="M34"/>
      <c r="N34"/>
      <c r="O34"/>
      <c r="P34"/>
      <c r="Q34"/>
      <c r="R34"/>
      <c r="S34"/>
    </row>
    <row r="35" spans="1:19" x14ac:dyDescent="0.25">
      <c r="A35" s="37">
        <v>3865</v>
      </c>
      <c r="B35" s="77">
        <v>1</v>
      </c>
      <c r="C35" s="26">
        <v>0</v>
      </c>
      <c r="D35" s="81">
        <v>0</v>
      </c>
      <c r="E35"/>
      <c r="F35"/>
      <c r="G35"/>
      <c r="H35"/>
      <c r="I35"/>
      <c r="J35"/>
      <c r="K35"/>
      <c r="L35"/>
      <c r="M35"/>
      <c r="N35"/>
      <c r="O35"/>
      <c r="P35"/>
      <c r="Q35"/>
      <c r="R35"/>
      <c r="S35"/>
    </row>
    <row r="36" spans="1:19" x14ac:dyDescent="0.25">
      <c r="A36" s="37">
        <v>3947</v>
      </c>
      <c r="B36" s="77">
        <v>0.7</v>
      </c>
      <c r="C36" s="26">
        <v>0.3</v>
      </c>
      <c r="D36" s="81">
        <v>0</v>
      </c>
      <c r="E36"/>
      <c r="F36"/>
      <c r="G36"/>
      <c r="H36"/>
      <c r="I36"/>
      <c r="J36"/>
      <c r="K36"/>
      <c r="L36"/>
      <c r="M36"/>
      <c r="N36"/>
      <c r="O36"/>
      <c r="P36"/>
      <c r="Q36"/>
      <c r="R36"/>
      <c r="S36"/>
    </row>
    <row r="37" spans="1:19" x14ac:dyDescent="0.25">
      <c r="A37" s="37">
        <v>4070</v>
      </c>
      <c r="B37" s="77">
        <v>0.90909090909090906</v>
      </c>
      <c r="C37" s="26">
        <v>9.0909090909090912E-2</v>
      </c>
      <c r="D37" s="81">
        <v>0</v>
      </c>
      <c r="E37"/>
      <c r="F37"/>
      <c r="G37"/>
      <c r="H37"/>
      <c r="I37"/>
      <c r="J37"/>
      <c r="K37"/>
      <c r="L37"/>
      <c r="M37"/>
      <c r="N37"/>
      <c r="O37"/>
      <c r="P37"/>
      <c r="Q37"/>
      <c r="R37"/>
      <c r="S37"/>
    </row>
    <row r="38" spans="1:19" x14ac:dyDescent="0.25">
      <c r="A38" s="37">
        <v>4211</v>
      </c>
      <c r="B38" s="77">
        <v>0.9</v>
      </c>
      <c r="C38" s="26">
        <v>0.1</v>
      </c>
      <c r="D38" s="81">
        <v>0</v>
      </c>
      <c r="E38"/>
      <c r="F38"/>
      <c r="G38"/>
      <c r="H38"/>
      <c r="I38"/>
      <c r="J38"/>
      <c r="K38"/>
      <c r="L38"/>
      <c r="M38"/>
      <c r="N38"/>
      <c r="O38"/>
      <c r="P38"/>
      <c r="Q38"/>
      <c r="R38"/>
      <c r="S38"/>
    </row>
    <row r="39" spans="1:19" x14ac:dyDescent="0.25">
      <c r="A39" s="37">
        <v>4234</v>
      </c>
      <c r="B39" s="77">
        <v>0.69230769230769229</v>
      </c>
      <c r="C39" s="26">
        <v>0.30769230769230771</v>
      </c>
      <c r="D39" s="81">
        <v>0</v>
      </c>
      <c r="E39"/>
      <c r="F39"/>
      <c r="G39"/>
      <c r="H39"/>
      <c r="I39"/>
      <c r="J39"/>
      <c r="K39"/>
      <c r="L39"/>
      <c r="M39"/>
      <c r="N39"/>
      <c r="O39"/>
      <c r="P39"/>
      <c r="Q39"/>
      <c r="R39"/>
      <c r="S39"/>
    </row>
    <row r="40" spans="1:19" x14ac:dyDescent="0.25">
      <c r="A40" s="37">
        <v>4272</v>
      </c>
      <c r="B40" s="77">
        <v>1</v>
      </c>
      <c r="C40" s="26">
        <v>0</v>
      </c>
      <c r="D40" s="81">
        <v>0</v>
      </c>
      <c r="E40"/>
      <c r="F40"/>
      <c r="G40"/>
      <c r="H40"/>
      <c r="I40"/>
      <c r="J40"/>
      <c r="K40"/>
      <c r="L40"/>
      <c r="M40"/>
      <c r="N40"/>
      <c r="O40"/>
      <c r="P40"/>
      <c r="Q40"/>
      <c r="R40"/>
      <c r="S40"/>
    </row>
    <row r="41" spans="1:19" x14ac:dyDescent="0.25">
      <c r="A41" s="37">
        <v>4485</v>
      </c>
      <c r="B41" s="77">
        <v>1</v>
      </c>
      <c r="C41" s="26">
        <v>0</v>
      </c>
      <c r="D41" s="81">
        <v>0</v>
      </c>
      <c r="E41"/>
      <c r="F41"/>
      <c r="G41"/>
      <c r="H41"/>
      <c r="I41"/>
      <c r="J41"/>
      <c r="K41"/>
      <c r="L41"/>
      <c r="M41"/>
      <c r="N41"/>
      <c r="O41"/>
      <c r="P41"/>
      <c r="Q41"/>
      <c r="R41"/>
      <c r="S41"/>
    </row>
    <row r="42" spans="1:19" x14ac:dyDescent="0.25">
      <c r="A42" s="37">
        <v>4545</v>
      </c>
      <c r="B42" s="77">
        <v>1</v>
      </c>
      <c r="C42" s="26">
        <v>0</v>
      </c>
      <c r="D42" s="81">
        <v>0</v>
      </c>
      <c r="E42"/>
      <c r="F42"/>
      <c r="G42"/>
      <c r="H42"/>
      <c r="I42"/>
      <c r="J42"/>
      <c r="K42"/>
      <c r="L42"/>
      <c r="M42"/>
      <c r="N42"/>
      <c r="O42"/>
      <c r="P42"/>
      <c r="Q42"/>
      <c r="R42"/>
      <c r="S42"/>
    </row>
    <row r="43" spans="1:19" x14ac:dyDescent="0.25">
      <c r="A43" s="37">
        <v>4580</v>
      </c>
      <c r="B43" s="77">
        <v>1</v>
      </c>
      <c r="C43" s="26">
        <v>0</v>
      </c>
      <c r="D43" s="81">
        <v>0</v>
      </c>
      <c r="E43"/>
      <c r="F43"/>
      <c r="G43"/>
      <c r="H43"/>
      <c r="I43"/>
      <c r="J43"/>
      <c r="K43"/>
      <c r="L43"/>
      <c r="M43"/>
      <c r="N43"/>
      <c r="O43"/>
      <c r="P43"/>
      <c r="Q43"/>
      <c r="R43"/>
      <c r="S43"/>
    </row>
    <row r="44" spans="1:19" x14ac:dyDescent="0.25">
      <c r="A44" s="37">
        <v>4791</v>
      </c>
      <c r="B44" s="77">
        <v>1</v>
      </c>
      <c r="C44" s="26">
        <v>0</v>
      </c>
      <c r="D44" s="81">
        <v>0</v>
      </c>
      <c r="E44"/>
      <c r="F44"/>
      <c r="G44"/>
      <c r="H44"/>
      <c r="I44"/>
      <c r="J44"/>
      <c r="K44"/>
      <c r="L44"/>
      <c r="M44"/>
      <c r="N44"/>
      <c r="O44"/>
      <c r="P44"/>
      <c r="Q44"/>
      <c r="R44"/>
      <c r="S44"/>
    </row>
    <row r="45" spans="1:19" x14ac:dyDescent="0.25">
      <c r="A45" s="37">
        <v>4846</v>
      </c>
      <c r="B45" s="77">
        <v>0.625</v>
      </c>
      <c r="C45" s="26">
        <v>0.375</v>
      </c>
      <c r="D45" s="81">
        <v>0</v>
      </c>
      <c r="E45"/>
      <c r="F45"/>
      <c r="G45"/>
      <c r="H45"/>
      <c r="I45"/>
      <c r="J45"/>
      <c r="K45"/>
      <c r="L45"/>
      <c r="M45"/>
      <c r="N45"/>
      <c r="O45"/>
      <c r="P45"/>
      <c r="Q45"/>
      <c r="R45"/>
      <c r="S45"/>
    </row>
    <row r="46" spans="1:19" x14ac:dyDescent="0.25">
      <c r="A46" s="37" t="s">
        <v>29</v>
      </c>
      <c r="B46" s="77" t="e">
        <v>#DIV/0!</v>
      </c>
      <c r="C46" s="26" t="e">
        <v>#DIV/0!</v>
      </c>
      <c r="D46" s="81" t="e">
        <v>#DIV/0!</v>
      </c>
      <c r="E46"/>
      <c r="F46"/>
      <c r="G46"/>
      <c r="H46"/>
      <c r="I46"/>
      <c r="J46"/>
      <c r="K46"/>
      <c r="L46"/>
      <c r="M46"/>
      <c r="N46"/>
      <c r="O46"/>
      <c r="P46"/>
      <c r="Q46"/>
      <c r="R46"/>
      <c r="S46"/>
    </row>
    <row r="47" spans="1:19" x14ac:dyDescent="0.25">
      <c r="A47" s="40" t="s">
        <v>7</v>
      </c>
      <c r="B47" s="78">
        <v>0.84432234432234432</v>
      </c>
      <c r="C47" s="27">
        <v>0.15567765567765568</v>
      </c>
      <c r="D47" s="82">
        <v>0</v>
      </c>
      <c r="E47"/>
      <c r="F47"/>
      <c r="G47"/>
      <c r="H47"/>
      <c r="I47"/>
      <c r="J47"/>
      <c r="K47"/>
      <c r="L47"/>
      <c r="M47"/>
      <c r="N47"/>
      <c r="O47"/>
      <c r="P47"/>
      <c r="Q47"/>
      <c r="R47"/>
      <c r="S47"/>
    </row>
    <row r="48" spans="1:19" x14ac:dyDescent="0.25">
      <c r="A48"/>
      <c r="B48"/>
      <c r="C48"/>
      <c r="D48"/>
      <c r="E48"/>
      <c r="F48"/>
      <c r="G48"/>
      <c r="H48"/>
      <c r="I48"/>
      <c r="J48"/>
      <c r="K48"/>
      <c r="L48"/>
      <c r="M48"/>
      <c r="N48"/>
      <c r="O48"/>
      <c r="P48"/>
      <c r="Q48"/>
      <c r="R48"/>
      <c r="S48"/>
    </row>
    <row r="49" spans="1:19" x14ac:dyDescent="0.25">
      <c r="A49"/>
      <c r="B49"/>
      <c r="C49"/>
      <c r="D49"/>
      <c r="E49"/>
      <c r="F49"/>
      <c r="G49"/>
      <c r="H49"/>
      <c r="I49"/>
      <c r="J49"/>
      <c r="K49"/>
      <c r="L49"/>
      <c r="M49"/>
      <c r="N49"/>
      <c r="O49"/>
      <c r="P49"/>
      <c r="Q49"/>
      <c r="R49"/>
      <c r="S49"/>
    </row>
    <row r="50" spans="1:19" x14ac:dyDescent="0.25">
      <c r="A50" s="50"/>
      <c r="B50" s="50"/>
      <c r="C50" s="50"/>
      <c r="D50" s="50"/>
      <c r="E50" s="50"/>
      <c r="F50" s="50"/>
      <c r="G50" s="50"/>
      <c r="H50" s="50"/>
      <c r="I50" s="50"/>
      <c r="J50" s="50"/>
      <c r="K50" s="50"/>
      <c r="L50" s="50"/>
    </row>
    <row r="51" spans="1:19" x14ac:dyDescent="0.25">
      <c r="A51" s="50"/>
      <c r="B51" s="50"/>
      <c r="C51" s="50"/>
      <c r="D51" s="50"/>
      <c r="E51" s="50"/>
      <c r="F51" s="50"/>
      <c r="G51" s="50"/>
      <c r="H51" s="50"/>
      <c r="I51" s="50"/>
      <c r="J51" s="50"/>
      <c r="K51" s="50"/>
      <c r="L51" s="50"/>
    </row>
    <row r="52" spans="1:19" x14ac:dyDescent="0.25">
      <c r="A52" s="50"/>
      <c r="B52" s="50"/>
      <c r="C52" s="50"/>
      <c r="D52" s="50"/>
      <c r="E52" s="50"/>
      <c r="F52" s="50"/>
      <c r="G52" s="50"/>
      <c r="H52" s="50"/>
      <c r="I52" s="50"/>
      <c r="J52" s="50"/>
      <c r="K52" s="50"/>
      <c r="L52" s="50"/>
    </row>
    <row r="53" spans="1:19" x14ac:dyDescent="0.25">
      <c r="A53" s="50"/>
      <c r="B53" s="50"/>
      <c r="C53" s="50"/>
      <c r="D53" s="50"/>
      <c r="E53" s="50"/>
      <c r="F53" s="50"/>
      <c r="G53" s="50"/>
      <c r="H53" s="50"/>
      <c r="I53" s="50"/>
      <c r="J53" s="50"/>
      <c r="K53" s="50"/>
      <c r="L53" s="50"/>
    </row>
    <row r="54" spans="1:19" x14ac:dyDescent="0.25">
      <c r="A54" s="50"/>
      <c r="B54" s="50"/>
      <c r="C54" s="50"/>
      <c r="D54" s="50"/>
      <c r="E54" s="50"/>
      <c r="F54" s="50"/>
      <c r="G54" s="50"/>
      <c r="H54" s="50"/>
      <c r="I54" s="50"/>
      <c r="J54" s="50"/>
      <c r="K54" s="50"/>
      <c r="L54" s="50"/>
    </row>
    <row r="55" spans="1:19" x14ac:dyDescent="0.25">
      <c r="A55" s="50"/>
      <c r="B55" s="50"/>
      <c r="C55" s="50"/>
      <c r="D55" s="50"/>
      <c r="E55" s="50"/>
      <c r="F55" s="50"/>
      <c r="G55" s="50"/>
      <c r="H55" s="50"/>
      <c r="I55" s="50"/>
      <c r="J55" s="50"/>
      <c r="K55" s="50"/>
      <c r="L55" s="50"/>
    </row>
    <row r="56" spans="1:19" x14ac:dyDescent="0.25">
      <c r="A56" s="50"/>
      <c r="B56" s="50"/>
      <c r="C56" s="50"/>
      <c r="D56" s="50"/>
      <c r="E56" s="50"/>
      <c r="F56" s="50"/>
      <c r="G56" s="50"/>
      <c r="H56" s="50"/>
      <c r="I56" s="50"/>
      <c r="J56" s="50"/>
      <c r="K56" s="50"/>
      <c r="L56" s="50"/>
    </row>
    <row r="57" spans="1:19" x14ac:dyDescent="0.25">
      <c r="A57" s="50"/>
      <c r="B57" s="50"/>
      <c r="C57" s="50"/>
      <c r="D57" s="50"/>
      <c r="E57" s="50"/>
      <c r="F57" s="50"/>
      <c r="G57" s="50"/>
      <c r="H57" s="50"/>
      <c r="I57" s="50"/>
      <c r="J57" s="50"/>
      <c r="K57" s="50"/>
      <c r="L57" s="50"/>
    </row>
    <row r="58" spans="1:19" x14ac:dyDescent="0.25">
      <c r="A58" s="50"/>
      <c r="B58" s="50"/>
      <c r="C58" s="50"/>
      <c r="D58" s="50"/>
      <c r="E58" s="50"/>
      <c r="F58" s="50"/>
      <c r="G58" s="50"/>
      <c r="H58" s="50"/>
      <c r="I58" s="50"/>
      <c r="J58" s="50"/>
      <c r="K58" s="50"/>
      <c r="L58" s="50"/>
    </row>
    <row r="59" spans="1:19" x14ac:dyDescent="0.25">
      <c r="A59" s="50"/>
      <c r="B59" s="50"/>
      <c r="C59" s="50"/>
      <c r="D59" s="50"/>
      <c r="E59" s="50"/>
      <c r="F59" s="50"/>
      <c r="G59" s="50"/>
      <c r="H59" s="50"/>
      <c r="I59" s="50"/>
      <c r="J59" s="50"/>
      <c r="K59" s="50"/>
      <c r="L59" s="50"/>
    </row>
    <row r="60" spans="1:19" x14ac:dyDescent="0.25">
      <c r="A60" s="50"/>
      <c r="B60" s="50"/>
      <c r="C60" s="50"/>
      <c r="D60" s="50"/>
      <c r="E60" s="50"/>
      <c r="F60" s="50"/>
      <c r="G60" s="50"/>
      <c r="H60" s="50"/>
      <c r="I60" s="50"/>
      <c r="J60" s="50"/>
      <c r="K60" s="50"/>
      <c r="L60" s="50"/>
    </row>
    <row r="61" spans="1:19" x14ac:dyDescent="0.25">
      <c r="A61" s="50"/>
      <c r="B61" s="50"/>
      <c r="C61" s="50"/>
      <c r="D61" s="50"/>
      <c r="E61" s="50"/>
      <c r="F61" s="50"/>
      <c r="G61" s="50"/>
      <c r="H61" s="50"/>
      <c r="I61" s="50"/>
      <c r="J61" s="50"/>
      <c r="K61" s="50"/>
      <c r="L61" s="50"/>
    </row>
    <row r="62" spans="1:19" x14ac:dyDescent="0.25">
      <c r="A62" s="50"/>
      <c r="B62" s="50"/>
      <c r="C62" s="50"/>
      <c r="D62" s="50"/>
      <c r="E62" s="50"/>
      <c r="F62" s="50"/>
      <c r="G62" s="50"/>
      <c r="H62" s="50"/>
      <c r="I62" s="50"/>
      <c r="J62" s="50"/>
      <c r="K62" s="50"/>
      <c r="L62" s="50"/>
    </row>
    <row r="63" spans="1:19" x14ac:dyDescent="0.25">
      <c r="A63" s="50"/>
      <c r="B63" s="50"/>
      <c r="C63" s="50"/>
      <c r="D63" s="50"/>
      <c r="E63" s="50"/>
      <c r="F63" s="50"/>
      <c r="G63" s="50"/>
      <c r="H63" s="50"/>
      <c r="I63" s="50"/>
      <c r="J63" s="50"/>
      <c r="K63" s="50"/>
      <c r="L63" s="50"/>
    </row>
    <row r="64" spans="1:19" x14ac:dyDescent="0.25">
      <c r="A64" s="50"/>
      <c r="B64" s="50"/>
      <c r="C64" s="50"/>
      <c r="D64" s="50"/>
      <c r="E64" s="50"/>
      <c r="F64" s="50"/>
      <c r="G64" s="50"/>
      <c r="H64" s="50"/>
      <c r="I64" s="50"/>
      <c r="J64" s="50"/>
      <c r="K64" s="50"/>
      <c r="L64" s="50"/>
    </row>
    <row r="65" spans="1:12" x14ac:dyDescent="0.25">
      <c r="A65" s="50"/>
      <c r="B65" s="50"/>
      <c r="C65" s="50"/>
      <c r="D65" s="50"/>
      <c r="E65" s="50"/>
      <c r="F65" s="50"/>
      <c r="G65" s="50"/>
      <c r="H65" s="50"/>
      <c r="I65" s="50"/>
      <c r="J65" s="50"/>
      <c r="K65" s="50"/>
      <c r="L65" s="50"/>
    </row>
    <row r="66" spans="1:12" x14ac:dyDescent="0.25">
      <c r="A66" s="50"/>
      <c r="B66" s="50"/>
      <c r="C66" s="50"/>
      <c r="D66" s="50"/>
      <c r="E66" s="50"/>
      <c r="F66" s="50"/>
      <c r="G66" s="50"/>
      <c r="H66" s="50"/>
      <c r="I66" s="50"/>
      <c r="J66" s="50"/>
      <c r="K66" s="50"/>
      <c r="L66" s="50"/>
    </row>
    <row r="67" spans="1:12" x14ac:dyDescent="0.25">
      <c r="A67" s="50"/>
      <c r="B67" s="50"/>
      <c r="C67" s="50"/>
      <c r="D67" s="50"/>
      <c r="E67" s="50"/>
      <c r="F67" s="50"/>
      <c r="G67" s="50"/>
      <c r="H67" s="50"/>
      <c r="I67" s="50"/>
      <c r="J67" s="50"/>
      <c r="K67" s="50"/>
      <c r="L67" s="50"/>
    </row>
    <row r="68" spans="1:12" x14ac:dyDescent="0.25">
      <c r="A68" s="50"/>
      <c r="B68" s="50"/>
      <c r="C68" s="50"/>
      <c r="D68" s="50"/>
      <c r="E68" s="50"/>
      <c r="F68" s="50"/>
      <c r="G68" s="50"/>
      <c r="H68" s="50"/>
      <c r="I68" s="50"/>
      <c r="J68" s="50"/>
      <c r="K68" s="50"/>
      <c r="L68" s="50"/>
    </row>
    <row r="69" spans="1:12" x14ac:dyDescent="0.25">
      <c r="A69" s="50"/>
      <c r="B69" s="50"/>
      <c r="C69" s="50"/>
      <c r="D69" s="50"/>
      <c r="E69" s="50"/>
      <c r="F69" s="50"/>
      <c r="G69" s="50"/>
      <c r="H69" s="50"/>
      <c r="I69" s="50"/>
      <c r="J69" s="50"/>
      <c r="K69" s="50"/>
      <c r="L69" s="50"/>
    </row>
    <row r="70" spans="1:12" x14ac:dyDescent="0.25">
      <c r="A70" s="50"/>
      <c r="B70" s="50"/>
      <c r="C70" s="50"/>
      <c r="D70" s="50"/>
      <c r="E70" s="50"/>
      <c r="F70" s="50"/>
      <c r="G70" s="50"/>
      <c r="H70" s="50"/>
      <c r="I70" s="50"/>
      <c r="J70" s="50"/>
      <c r="K70" s="50"/>
      <c r="L70" s="50"/>
    </row>
    <row r="71" spans="1:12" x14ac:dyDescent="0.25">
      <c r="A71" s="50"/>
      <c r="B71" s="50"/>
      <c r="C71" s="50"/>
      <c r="D71" s="50"/>
      <c r="E71" s="50"/>
      <c r="F71" s="50"/>
      <c r="G71" s="50"/>
      <c r="H71" s="50"/>
      <c r="I71" s="50"/>
      <c r="J71" s="50"/>
      <c r="K71" s="50"/>
      <c r="L71" s="50"/>
    </row>
    <row r="72" spans="1:12" x14ac:dyDescent="0.25">
      <c r="A72" s="50"/>
      <c r="B72" s="50"/>
      <c r="C72" s="50"/>
      <c r="D72" s="50"/>
      <c r="E72" s="50"/>
      <c r="F72" s="50"/>
      <c r="G72" s="50"/>
      <c r="H72" s="50"/>
      <c r="I72" s="50"/>
      <c r="J72" s="50"/>
      <c r="K72" s="50"/>
      <c r="L72" s="50"/>
    </row>
    <row r="73" spans="1:12" x14ac:dyDescent="0.25">
      <c r="A73" s="50"/>
      <c r="B73" s="50"/>
      <c r="C73" s="50"/>
      <c r="D73" s="50"/>
      <c r="E73" s="50"/>
      <c r="F73" s="50"/>
      <c r="G73" s="50"/>
      <c r="H73" s="50"/>
      <c r="I73" s="50"/>
      <c r="J73" s="50"/>
      <c r="K73" s="50"/>
      <c r="L73" s="50"/>
    </row>
    <row r="74" spans="1:12" x14ac:dyDescent="0.25">
      <c r="A74" s="50"/>
      <c r="B74" s="50"/>
      <c r="C74" s="50"/>
      <c r="D74" s="50"/>
      <c r="E74" s="50"/>
      <c r="F74" s="50"/>
      <c r="G74" s="50"/>
      <c r="H74" s="50"/>
      <c r="I74" s="50"/>
      <c r="J74" s="50"/>
      <c r="K74" s="50"/>
      <c r="L74" s="50"/>
    </row>
    <row r="75" spans="1:12" x14ac:dyDescent="0.25">
      <c r="A75" s="50"/>
      <c r="B75" s="50"/>
      <c r="C75" s="50"/>
      <c r="D75" s="50"/>
      <c r="E75" s="50"/>
      <c r="F75" s="50"/>
      <c r="G75" s="50"/>
      <c r="H75" s="50"/>
      <c r="I75" s="50"/>
      <c r="J75" s="50"/>
      <c r="K75" s="50"/>
      <c r="L75" s="50"/>
    </row>
    <row r="76" spans="1:12" x14ac:dyDescent="0.25">
      <c r="A76" s="50"/>
      <c r="B76" s="50"/>
      <c r="C76" s="50"/>
      <c r="D76" s="50"/>
      <c r="E76" s="50"/>
      <c r="F76" s="50"/>
      <c r="G76" s="50"/>
      <c r="H76" s="50"/>
      <c r="I76" s="50"/>
      <c r="J76" s="50"/>
      <c r="K76" s="50"/>
      <c r="L76" s="50"/>
    </row>
    <row r="77" spans="1:12" x14ac:dyDescent="0.25">
      <c r="A77" s="50"/>
      <c r="B77" s="50"/>
      <c r="C77" s="50"/>
      <c r="D77" s="50"/>
      <c r="E77" s="50"/>
      <c r="F77" s="50"/>
      <c r="G77" s="50"/>
      <c r="H77" s="50"/>
      <c r="I77" s="50"/>
      <c r="J77" s="50"/>
      <c r="K77" s="50"/>
      <c r="L77" s="50"/>
    </row>
    <row r="78" spans="1:12" x14ac:dyDescent="0.25">
      <c r="A78" s="50"/>
      <c r="B78" s="50"/>
      <c r="C78" s="50"/>
      <c r="D78" s="50"/>
      <c r="E78" s="50"/>
      <c r="F78" s="50"/>
      <c r="G78" s="50"/>
      <c r="H78" s="50"/>
      <c r="I78" s="50"/>
      <c r="J78" s="50"/>
      <c r="K78" s="50"/>
      <c r="L78" s="50"/>
    </row>
    <row r="79" spans="1:12" x14ac:dyDescent="0.25">
      <c r="A79" s="50"/>
      <c r="B79" s="50"/>
      <c r="C79" s="50"/>
      <c r="D79" s="50"/>
      <c r="E79" s="50"/>
      <c r="F79" s="50"/>
      <c r="G79" s="50"/>
      <c r="H79" s="50"/>
      <c r="I79" s="50"/>
      <c r="J79" s="50"/>
      <c r="K79" s="50"/>
      <c r="L79" s="50"/>
    </row>
    <row r="80" spans="1:12" x14ac:dyDescent="0.25">
      <c r="A80" s="50"/>
      <c r="B80" s="50"/>
      <c r="C80" s="50"/>
      <c r="D80" s="50"/>
      <c r="E80" s="50"/>
      <c r="F80" s="50"/>
      <c r="G80" s="50"/>
      <c r="H80" s="50"/>
      <c r="I80" s="50"/>
      <c r="J80" s="50"/>
      <c r="K80" s="50"/>
      <c r="L80" s="50"/>
    </row>
    <row r="81" spans="1:12" x14ac:dyDescent="0.25">
      <c r="A81" s="50"/>
      <c r="B81" s="50"/>
      <c r="C81" s="50"/>
      <c r="D81" s="50"/>
      <c r="E81" s="50"/>
      <c r="F81" s="50"/>
      <c r="G81" s="50"/>
      <c r="H81" s="50"/>
      <c r="I81" s="50"/>
      <c r="J81" s="50"/>
      <c r="K81" s="50"/>
      <c r="L81" s="50"/>
    </row>
    <row r="82" spans="1:12" x14ac:dyDescent="0.25">
      <c r="A82" s="50"/>
      <c r="B82" s="50"/>
      <c r="C82" s="50"/>
      <c r="D82" s="50"/>
      <c r="E82" s="50"/>
      <c r="F82" s="50"/>
      <c r="G82" s="50"/>
      <c r="H82" s="50"/>
      <c r="I82" s="50"/>
      <c r="J82" s="50"/>
      <c r="K82" s="50"/>
      <c r="L82" s="50"/>
    </row>
    <row r="83" spans="1:12" x14ac:dyDescent="0.25">
      <c r="A83" s="50"/>
      <c r="B83" s="50"/>
      <c r="C83" s="50"/>
      <c r="D83" s="50"/>
      <c r="E83" s="50"/>
      <c r="F83" s="50"/>
      <c r="G83" s="50"/>
      <c r="H83" s="50"/>
      <c r="I83" s="50"/>
      <c r="J83" s="50"/>
      <c r="K83" s="50"/>
      <c r="L83" s="50"/>
    </row>
    <row r="84" spans="1:12" x14ac:dyDescent="0.25">
      <c r="A84" s="50"/>
      <c r="B84" s="50"/>
      <c r="C84" s="50"/>
      <c r="D84" s="50"/>
      <c r="E84" s="50"/>
      <c r="F84" s="50"/>
      <c r="G84" s="50"/>
      <c r="H84" s="50"/>
      <c r="I84" s="50"/>
      <c r="J84" s="50"/>
      <c r="K84" s="50"/>
      <c r="L84" s="50"/>
    </row>
    <row r="85" spans="1:12" x14ac:dyDescent="0.25">
      <c r="A85" s="50"/>
      <c r="B85" s="50"/>
      <c r="C85" s="50"/>
      <c r="D85" s="50"/>
      <c r="E85" s="50"/>
      <c r="F85" s="50"/>
      <c r="G85" s="50"/>
      <c r="H85" s="50"/>
      <c r="I85" s="50"/>
      <c r="J85" s="50"/>
      <c r="K85" s="50"/>
      <c r="L85" s="50"/>
    </row>
    <row r="86" spans="1:12" x14ac:dyDescent="0.25">
      <c r="A86" s="50"/>
      <c r="B86" s="50"/>
      <c r="C86" s="50"/>
      <c r="D86" s="50"/>
      <c r="E86" s="50"/>
      <c r="F86" s="50"/>
      <c r="G86" s="50"/>
      <c r="H86" s="50"/>
      <c r="I86" s="50"/>
      <c r="J86" s="50"/>
      <c r="K86" s="50"/>
      <c r="L86" s="50"/>
    </row>
    <row r="87" spans="1:12" x14ac:dyDescent="0.25">
      <c r="A87" s="50"/>
      <c r="B87" s="50"/>
      <c r="C87" s="50"/>
      <c r="D87" s="50"/>
      <c r="E87" s="50"/>
      <c r="F87" s="50"/>
      <c r="G87" s="50"/>
      <c r="H87" s="50"/>
      <c r="I87" s="50"/>
      <c r="J87" s="50"/>
      <c r="K87" s="50"/>
      <c r="L87" s="50"/>
    </row>
    <row r="88" spans="1:12" x14ac:dyDescent="0.25">
      <c r="A88" s="50"/>
      <c r="B88" s="50"/>
      <c r="C88" s="50"/>
      <c r="D88" s="50"/>
      <c r="E88" s="50"/>
      <c r="F88" s="50"/>
      <c r="G88" s="50"/>
      <c r="H88" s="50"/>
      <c r="I88" s="50"/>
      <c r="J88" s="50"/>
      <c r="K88" s="50"/>
      <c r="L88" s="50"/>
    </row>
    <row r="89" spans="1:12" x14ac:dyDescent="0.25">
      <c r="A89" s="50"/>
      <c r="B89" s="50"/>
      <c r="C89" s="50"/>
      <c r="D89" s="50"/>
      <c r="E89" s="50"/>
      <c r="F89" s="50"/>
      <c r="G89" s="50"/>
      <c r="H89" s="50"/>
      <c r="I89" s="50"/>
      <c r="J89" s="50"/>
      <c r="K89" s="50"/>
      <c r="L89" s="50"/>
    </row>
    <row r="90" spans="1:12" x14ac:dyDescent="0.25">
      <c r="A90" s="50"/>
      <c r="B90" s="50"/>
      <c r="C90" s="50"/>
      <c r="D90" s="50"/>
      <c r="E90" s="50"/>
      <c r="F90" s="50"/>
      <c r="G90" s="50"/>
      <c r="H90" s="50"/>
      <c r="I90" s="50"/>
      <c r="J90" s="50"/>
      <c r="K90" s="50"/>
      <c r="L90" s="50"/>
    </row>
    <row r="91" spans="1:12" x14ac:dyDescent="0.25">
      <c r="A91" s="50"/>
      <c r="B91" s="50"/>
      <c r="C91" s="50"/>
      <c r="D91" s="50"/>
      <c r="E91" s="50"/>
      <c r="F91" s="50"/>
      <c r="G91" s="50"/>
      <c r="H91" s="50"/>
      <c r="I91" s="50"/>
      <c r="J91" s="50"/>
      <c r="K91" s="50"/>
      <c r="L91" s="50"/>
    </row>
    <row r="92" spans="1:12" x14ac:dyDescent="0.25">
      <c r="A92" s="50"/>
      <c r="B92" s="50"/>
      <c r="C92" s="50"/>
      <c r="D92" s="50"/>
      <c r="E92" s="50"/>
      <c r="F92" s="50"/>
      <c r="G92" s="50"/>
      <c r="H92" s="50"/>
      <c r="I92" s="50"/>
      <c r="J92" s="50"/>
      <c r="K92" s="50"/>
      <c r="L92" s="50"/>
    </row>
    <row r="93" spans="1:12" x14ac:dyDescent="0.25">
      <c r="A93" s="50"/>
      <c r="B93" s="50"/>
      <c r="C93" s="50"/>
      <c r="D93" s="50"/>
      <c r="E93" s="50"/>
      <c r="F93" s="50"/>
      <c r="G93" s="50"/>
      <c r="H93" s="50"/>
      <c r="I93" s="50"/>
      <c r="J93" s="50"/>
      <c r="K93" s="50"/>
      <c r="L93" s="50"/>
    </row>
    <row r="94" spans="1:12" x14ac:dyDescent="0.25">
      <c r="A94" s="50"/>
      <c r="B94" s="50"/>
      <c r="C94" s="50"/>
      <c r="D94" s="50"/>
      <c r="E94" s="50"/>
      <c r="F94" s="50"/>
      <c r="G94" s="50"/>
      <c r="H94" s="50"/>
      <c r="I94" s="50"/>
      <c r="J94" s="50"/>
      <c r="K94" s="50"/>
      <c r="L94" s="50"/>
    </row>
    <row r="95" spans="1:12" x14ac:dyDescent="0.25">
      <c r="A95" s="50"/>
      <c r="B95" s="50"/>
      <c r="C95" s="50"/>
      <c r="D95" s="50"/>
      <c r="E95" s="50"/>
      <c r="F95" s="50"/>
      <c r="G95" s="50"/>
      <c r="H95" s="50"/>
      <c r="I95" s="50"/>
      <c r="J95" s="50"/>
      <c r="K95" s="50"/>
      <c r="L95" s="50"/>
    </row>
    <row r="96" spans="1:12" x14ac:dyDescent="0.25">
      <c r="A96" s="50"/>
      <c r="B96" s="50"/>
      <c r="C96" s="50"/>
      <c r="D96" s="50"/>
      <c r="E96" s="50"/>
      <c r="F96" s="50"/>
      <c r="G96" s="50"/>
      <c r="H96" s="50"/>
      <c r="I96" s="50"/>
      <c r="J96" s="50"/>
      <c r="K96" s="50"/>
      <c r="L96" s="50"/>
    </row>
    <row r="97" spans="1:12" x14ac:dyDescent="0.25">
      <c r="A97" s="50"/>
      <c r="B97" s="50"/>
      <c r="C97" s="50"/>
      <c r="D97" s="50"/>
      <c r="E97" s="50"/>
      <c r="F97" s="50"/>
      <c r="G97" s="50"/>
      <c r="H97" s="50"/>
      <c r="I97" s="50"/>
      <c r="J97" s="50"/>
      <c r="K97" s="50"/>
      <c r="L97" s="50"/>
    </row>
    <row r="98" spans="1:12" x14ac:dyDescent="0.25">
      <c r="A98" s="50"/>
      <c r="B98" s="50"/>
      <c r="C98" s="50"/>
      <c r="D98" s="50"/>
      <c r="E98" s="50"/>
      <c r="F98" s="50"/>
      <c r="G98" s="50"/>
      <c r="H98" s="50"/>
      <c r="I98" s="50"/>
      <c r="J98" s="50"/>
      <c r="K98" s="50"/>
      <c r="L98" s="50"/>
    </row>
    <row r="99" spans="1:12" x14ac:dyDescent="0.25">
      <c r="A99" s="50"/>
      <c r="B99" s="50"/>
      <c r="C99" s="50"/>
      <c r="D99" s="50"/>
      <c r="E99" s="50"/>
      <c r="F99" s="50"/>
      <c r="G99" s="50"/>
      <c r="H99" s="50"/>
      <c r="I99" s="50"/>
      <c r="J99" s="50"/>
      <c r="K99" s="50"/>
      <c r="L99" s="50"/>
    </row>
    <row r="100" spans="1:12" x14ac:dyDescent="0.25">
      <c r="A100" s="50"/>
      <c r="B100" s="50"/>
      <c r="C100" s="50"/>
      <c r="D100" s="50"/>
      <c r="E100" s="50"/>
      <c r="F100" s="50"/>
      <c r="G100" s="50"/>
      <c r="H100" s="50"/>
      <c r="I100" s="50"/>
      <c r="J100" s="50"/>
      <c r="K100" s="50"/>
      <c r="L100" s="50"/>
    </row>
    <row r="101" spans="1:12" x14ac:dyDescent="0.25">
      <c r="A101" s="50"/>
      <c r="B101" s="50"/>
      <c r="C101" s="50"/>
      <c r="D101" s="50"/>
      <c r="E101" s="50"/>
      <c r="F101" s="50"/>
      <c r="G101" s="50"/>
      <c r="H101" s="50"/>
      <c r="I101" s="50"/>
      <c r="J101" s="50"/>
      <c r="K101" s="50"/>
      <c r="L101" s="50"/>
    </row>
    <row r="102" spans="1:12" x14ac:dyDescent="0.25">
      <c r="A102" s="50"/>
      <c r="B102" s="50"/>
      <c r="C102" s="50"/>
      <c r="D102" s="50"/>
      <c r="E102" s="50"/>
      <c r="F102" s="50"/>
      <c r="G102" s="50"/>
      <c r="H102" s="50"/>
      <c r="I102" s="50"/>
      <c r="J102" s="50"/>
      <c r="K102" s="50"/>
      <c r="L102" s="50"/>
    </row>
    <row r="103" spans="1:12" x14ac:dyDescent="0.25">
      <c r="A103" s="50"/>
      <c r="B103" s="50"/>
      <c r="C103" s="50"/>
      <c r="D103" s="50"/>
      <c r="E103" s="50"/>
      <c r="F103" s="50"/>
      <c r="G103" s="50"/>
      <c r="H103" s="50"/>
      <c r="I103" s="50"/>
      <c r="J103" s="50"/>
      <c r="K103" s="50"/>
      <c r="L103" s="50"/>
    </row>
    <row r="104" spans="1:12" x14ac:dyDescent="0.25">
      <c r="A104" s="50"/>
      <c r="B104" s="50"/>
      <c r="C104" s="50"/>
      <c r="D104" s="50"/>
      <c r="E104" s="50"/>
      <c r="F104" s="50"/>
      <c r="G104" s="50"/>
      <c r="H104" s="50"/>
      <c r="I104" s="50"/>
      <c r="J104" s="50"/>
      <c r="K104" s="50"/>
      <c r="L104" s="50"/>
    </row>
    <row r="105" spans="1:12" x14ac:dyDescent="0.25">
      <c r="A105" s="50"/>
      <c r="B105" s="50"/>
      <c r="C105" s="50"/>
      <c r="D105" s="50"/>
      <c r="E105" s="50"/>
      <c r="F105" s="50"/>
      <c r="G105" s="50"/>
      <c r="H105" s="50"/>
      <c r="I105" s="50"/>
      <c r="J105" s="50"/>
      <c r="K105" s="50"/>
      <c r="L105" s="50"/>
    </row>
    <row r="106" spans="1:12" x14ac:dyDescent="0.25">
      <c r="A106" s="50"/>
      <c r="B106" s="50"/>
      <c r="C106" s="50"/>
      <c r="D106" s="50"/>
      <c r="E106" s="50"/>
      <c r="F106" s="50"/>
      <c r="G106" s="50"/>
      <c r="H106" s="50"/>
      <c r="I106" s="50"/>
      <c r="J106" s="50"/>
      <c r="K106" s="50"/>
      <c r="L106" s="50"/>
    </row>
    <row r="107" spans="1:12" x14ac:dyDescent="0.25">
      <c r="A107" s="50"/>
      <c r="B107" s="50"/>
      <c r="C107" s="50"/>
      <c r="D107" s="50"/>
      <c r="E107" s="50"/>
      <c r="F107" s="50"/>
      <c r="G107" s="50"/>
      <c r="H107" s="50"/>
      <c r="I107" s="50"/>
      <c r="J107" s="50"/>
      <c r="K107" s="50"/>
      <c r="L107" s="50"/>
    </row>
    <row r="108" spans="1:12" x14ac:dyDescent="0.25">
      <c r="A108" s="50"/>
      <c r="B108" s="50"/>
      <c r="C108" s="50"/>
      <c r="D108" s="50"/>
      <c r="E108" s="50"/>
      <c r="F108" s="50"/>
      <c r="G108" s="50"/>
      <c r="H108" s="50"/>
      <c r="I108" s="50"/>
      <c r="J108" s="50"/>
      <c r="K108" s="50"/>
      <c r="L108" s="50"/>
    </row>
    <row r="109" spans="1:12" x14ac:dyDescent="0.25">
      <c r="A109" s="50"/>
      <c r="B109" s="50"/>
      <c r="C109" s="50"/>
      <c r="D109" s="50"/>
      <c r="E109" s="50"/>
      <c r="F109" s="50"/>
      <c r="G109" s="50"/>
      <c r="H109" s="50"/>
      <c r="I109" s="50"/>
      <c r="J109" s="50"/>
      <c r="K109" s="50"/>
      <c r="L109" s="50"/>
    </row>
    <row r="110" spans="1:12" x14ac:dyDescent="0.25">
      <c r="A110" s="50"/>
      <c r="B110" s="50"/>
      <c r="C110" s="50"/>
      <c r="D110" s="50"/>
      <c r="E110" s="50"/>
      <c r="F110" s="50"/>
      <c r="G110" s="50"/>
      <c r="H110" s="50"/>
      <c r="I110" s="50"/>
      <c r="J110" s="50"/>
      <c r="K110" s="50"/>
      <c r="L110" s="50"/>
    </row>
    <row r="111" spans="1:12" x14ac:dyDescent="0.25">
      <c r="A111" s="50"/>
      <c r="B111" s="50"/>
      <c r="C111" s="50"/>
      <c r="D111" s="50"/>
      <c r="E111" s="50"/>
      <c r="F111" s="50"/>
      <c r="G111" s="50"/>
      <c r="H111" s="50"/>
      <c r="I111" s="50"/>
      <c r="J111" s="50"/>
      <c r="K111" s="50"/>
      <c r="L111" s="50"/>
    </row>
    <row r="112" spans="1:12" x14ac:dyDescent="0.25">
      <c r="A112" s="50"/>
      <c r="B112" s="50"/>
      <c r="C112" s="50"/>
      <c r="D112" s="50"/>
      <c r="E112" s="50"/>
      <c r="F112" s="50"/>
      <c r="G112" s="50"/>
      <c r="H112" s="50"/>
      <c r="I112" s="50"/>
      <c r="J112" s="50"/>
      <c r="K112" s="50"/>
      <c r="L112" s="50"/>
    </row>
    <row r="113" spans="1:12" x14ac:dyDescent="0.25">
      <c r="A113" s="50"/>
      <c r="B113" s="50"/>
      <c r="C113" s="50"/>
      <c r="D113" s="50"/>
      <c r="E113" s="50"/>
      <c r="F113" s="50"/>
      <c r="G113" s="50"/>
      <c r="H113" s="50"/>
      <c r="I113" s="50"/>
      <c r="J113" s="50"/>
      <c r="K113" s="50"/>
      <c r="L113" s="50"/>
    </row>
    <row r="114" spans="1:12" x14ac:dyDescent="0.25">
      <c r="A114" s="50"/>
      <c r="B114" s="50"/>
      <c r="C114" s="50"/>
      <c r="D114" s="50"/>
      <c r="E114" s="50"/>
      <c r="F114" s="50"/>
      <c r="G114" s="50"/>
      <c r="H114" s="50"/>
      <c r="I114" s="50"/>
      <c r="J114" s="50"/>
      <c r="K114" s="50"/>
      <c r="L114" s="50"/>
    </row>
    <row r="115" spans="1:12" x14ac:dyDescent="0.25">
      <c r="A115" s="50"/>
      <c r="B115" s="50"/>
      <c r="C115" s="50"/>
      <c r="D115" s="50"/>
      <c r="E115" s="50"/>
      <c r="F115" s="50"/>
      <c r="G115" s="50"/>
      <c r="H115" s="50"/>
      <c r="I115" s="50"/>
      <c r="J115" s="50"/>
      <c r="K115" s="50"/>
      <c r="L115" s="50"/>
    </row>
    <row r="116" spans="1:12" x14ac:dyDescent="0.25">
      <c r="A116" s="50"/>
      <c r="B116" s="50"/>
      <c r="C116" s="50"/>
      <c r="D116" s="50"/>
      <c r="E116" s="50"/>
      <c r="F116" s="50"/>
      <c r="G116" s="50"/>
      <c r="H116" s="50"/>
      <c r="I116" s="50"/>
      <c r="J116" s="50"/>
      <c r="K116" s="50"/>
      <c r="L116" s="50"/>
    </row>
    <row r="117" spans="1:12" x14ac:dyDescent="0.25">
      <c r="A117" s="50"/>
      <c r="B117" s="50"/>
      <c r="C117" s="50"/>
      <c r="D117" s="50"/>
      <c r="E117" s="50"/>
      <c r="F117" s="50"/>
      <c r="G117" s="50"/>
      <c r="H117" s="50"/>
      <c r="I117" s="50"/>
      <c r="J117" s="50"/>
      <c r="K117" s="50"/>
      <c r="L117" s="50"/>
    </row>
    <row r="118" spans="1:12" x14ac:dyDescent="0.25">
      <c r="A118" s="50"/>
      <c r="B118" s="50"/>
      <c r="C118" s="50"/>
      <c r="D118" s="50"/>
      <c r="E118" s="50"/>
      <c r="F118" s="50"/>
      <c r="G118" s="50"/>
      <c r="H118" s="50"/>
      <c r="I118" s="50"/>
      <c r="J118" s="50"/>
      <c r="K118" s="50"/>
      <c r="L118" s="50"/>
    </row>
    <row r="119" spans="1:12" x14ac:dyDescent="0.25">
      <c r="A119" s="50"/>
      <c r="B119" s="50"/>
      <c r="C119" s="50"/>
      <c r="D119" s="50"/>
      <c r="E119" s="50"/>
      <c r="F119" s="50"/>
      <c r="G119" s="50"/>
      <c r="H119" s="50"/>
      <c r="I119" s="50"/>
      <c r="J119" s="50"/>
      <c r="K119" s="50"/>
      <c r="L119" s="50"/>
    </row>
    <row r="120" spans="1:12" x14ac:dyDescent="0.25">
      <c r="A120" s="50"/>
      <c r="B120" s="50"/>
      <c r="C120" s="50"/>
      <c r="D120" s="50"/>
      <c r="E120" s="50"/>
      <c r="F120" s="50"/>
      <c r="G120" s="50"/>
      <c r="H120" s="50"/>
      <c r="I120" s="50"/>
      <c r="J120" s="50"/>
      <c r="K120" s="50"/>
      <c r="L120" s="50"/>
    </row>
    <row r="121" spans="1:12" x14ac:dyDescent="0.25">
      <c r="A121" s="50"/>
      <c r="B121" s="50"/>
      <c r="C121" s="50"/>
      <c r="D121" s="50"/>
      <c r="E121" s="50"/>
      <c r="F121" s="50"/>
      <c r="G121" s="50"/>
      <c r="H121" s="50"/>
      <c r="I121" s="50"/>
      <c r="J121" s="50"/>
      <c r="K121" s="50"/>
      <c r="L121" s="50"/>
    </row>
    <row r="122" spans="1:12" x14ac:dyDescent="0.25">
      <c r="A122" s="50"/>
      <c r="B122" s="50"/>
      <c r="C122" s="50"/>
      <c r="D122" s="50"/>
      <c r="E122" s="50"/>
      <c r="F122" s="50"/>
      <c r="G122" s="50"/>
      <c r="H122" s="50"/>
      <c r="I122" s="50"/>
      <c r="J122" s="50"/>
      <c r="K122" s="50"/>
      <c r="L122" s="50"/>
    </row>
    <row r="123" spans="1:12" x14ac:dyDescent="0.25">
      <c r="A123" s="50"/>
      <c r="B123" s="50"/>
      <c r="C123" s="50"/>
      <c r="D123" s="50"/>
      <c r="E123" s="50"/>
      <c r="F123" s="50"/>
      <c r="G123" s="50"/>
      <c r="H123" s="50"/>
      <c r="I123" s="50"/>
      <c r="J123" s="50"/>
      <c r="K123" s="50"/>
      <c r="L123" s="50"/>
    </row>
    <row r="124" spans="1:12" x14ac:dyDescent="0.25">
      <c r="A124" s="50"/>
      <c r="B124" s="50"/>
      <c r="C124" s="50"/>
      <c r="D124" s="50"/>
      <c r="E124" s="50"/>
      <c r="F124" s="50"/>
      <c r="G124" s="50"/>
      <c r="H124" s="50"/>
      <c r="I124" s="50"/>
      <c r="J124" s="50"/>
      <c r="K124" s="50"/>
      <c r="L124" s="50"/>
    </row>
    <row r="125" spans="1:12" x14ac:dyDescent="0.25">
      <c r="A125" s="50"/>
      <c r="B125" s="50"/>
      <c r="C125" s="50"/>
      <c r="D125" s="50"/>
      <c r="E125" s="50"/>
      <c r="F125" s="50"/>
      <c r="G125" s="50"/>
      <c r="H125" s="50"/>
      <c r="I125" s="50"/>
      <c r="J125" s="50"/>
      <c r="K125" s="50"/>
      <c r="L125" s="50"/>
    </row>
    <row r="126" spans="1:12" x14ac:dyDescent="0.25">
      <c r="A126" s="50"/>
      <c r="B126" s="50"/>
      <c r="C126" s="50"/>
      <c r="D126" s="50"/>
      <c r="E126" s="50"/>
      <c r="F126" s="50"/>
      <c r="G126" s="50"/>
      <c r="H126" s="50"/>
      <c r="I126" s="50"/>
      <c r="J126" s="50"/>
      <c r="K126" s="50"/>
      <c r="L126" s="50"/>
    </row>
    <row r="127" spans="1:12" x14ac:dyDescent="0.25">
      <c r="A127" s="50"/>
      <c r="B127" s="50"/>
      <c r="C127" s="50"/>
      <c r="D127" s="50"/>
      <c r="E127" s="50"/>
      <c r="F127" s="50"/>
      <c r="G127" s="50"/>
      <c r="H127" s="50"/>
      <c r="I127" s="50"/>
      <c r="J127" s="50"/>
      <c r="K127" s="50"/>
      <c r="L127" s="50"/>
    </row>
    <row r="128" spans="1:12" x14ac:dyDescent="0.25">
      <c r="A128" s="50"/>
      <c r="B128" s="50"/>
      <c r="C128" s="50"/>
      <c r="D128" s="50"/>
      <c r="E128" s="50"/>
      <c r="F128" s="50"/>
      <c r="G128" s="50"/>
      <c r="H128" s="50"/>
      <c r="I128" s="50"/>
      <c r="J128" s="50"/>
      <c r="K128" s="50"/>
      <c r="L128" s="50"/>
    </row>
    <row r="129" spans="1:12" x14ac:dyDescent="0.25">
      <c r="A129" s="50"/>
      <c r="B129" s="50"/>
      <c r="C129" s="50"/>
      <c r="D129" s="50"/>
      <c r="E129" s="50"/>
      <c r="F129" s="50"/>
      <c r="G129" s="50"/>
      <c r="H129" s="50"/>
      <c r="I129" s="50"/>
      <c r="J129" s="50"/>
      <c r="K129" s="50"/>
      <c r="L129" s="50"/>
    </row>
    <row r="130" spans="1:12" x14ac:dyDescent="0.25">
      <c r="A130" s="50"/>
      <c r="B130" s="50"/>
      <c r="C130" s="50"/>
      <c r="D130" s="50"/>
      <c r="E130" s="50"/>
      <c r="F130" s="50"/>
      <c r="G130" s="50"/>
      <c r="H130" s="50"/>
      <c r="I130" s="50"/>
      <c r="J130" s="50"/>
      <c r="K130" s="50"/>
      <c r="L130" s="50"/>
    </row>
    <row r="131" spans="1:12" x14ac:dyDescent="0.25">
      <c r="A131" s="50"/>
      <c r="B131" s="50"/>
      <c r="C131" s="50"/>
      <c r="D131" s="50"/>
      <c r="E131" s="50"/>
      <c r="F131" s="50"/>
      <c r="G131" s="50"/>
      <c r="H131" s="50"/>
      <c r="I131" s="50"/>
      <c r="J131" s="50"/>
      <c r="K131" s="50"/>
      <c r="L131" s="50"/>
    </row>
    <row r="132" spans="1:12" x14ac:dyDescent="0.25">
      <c r="A132" s="50"/>
      <c r="B132" s="50"/>
      <c r="C132" s="50"/>
      <c r="D132" s="50"/>
      <c r="E132" s="50"/>
      <c r="F132" s="50"/>
      <c r="G132" s="50"/>
      <c r="H132" s="50"/>
      <c r="I132" s="50"/>
      <c r="J132" s="50"/>
      <c r="K132" s="50"/>
      <c r="L132" s="50"/>
    </row>
    <row r="133" spans="1:12" x14ac:dyDescent="0.25">
      <c r="A133" s="50"/>
      <c r="B133" s="50"/>
      <c r="C133" s="50"/>
      <c r="D133" s="50"/>
      <c r="E133" s="50"/>
      <c r="F133" s="50"/>
      <c r="G133" s="50"/>
      <c r="H133" s="50"/>
      <c r="I133" s="50"/>
      <c r="J133" s="50"/>
      <c r="K133" s="50"/>
      <c r="L133" s="50"/>
    </row>
    <row r="134" spans="1:12" x14ac:dyDescent="0.25">
      <c r="A134" s="50"/>
      <c r="B134" s="50"/>
      <c r="C134" s="50"/>
      <c r="D134" s="50"/>
      <c r="E134" s="50"/>
      <c r="F134" s="50"/>
      <c r="G134" s="50"/>
      <c r="H134" s="50"/>
      <c r="I134" s="50"/>
      <c r="J134" s="50"/>
      <c r="K134" s="50"/>
      <c r="L134" s="50"/>
    </row>
    <row r="135" spans="1:12" x14ac:dyDescent="0.25">
      <c r="A135" s="50"/>
      <c r="B135" s="50"/>
      <c r="C135" s="50"/>
      <c r="D135" s="50"/>
      <c r="E135" s="50"/>
      <c r="F135" s="50"/>
      <c r="G135" s="50"/>
      <c r="H135" s="50"/>
      <c r="I135" s="50"/>
      <c r="J135" s="50"/>
      <c r="K135" s="50"/>
      <c r="L135" s="50"/>
    </row>
    <row r="136" spans="1:12" x14ac:dyDescent="0.25">
      <c r="A136" s="50"/>
      <c r="B136" s="50"/>
      <c r="C136" s="50"/>
      <c r="D136" s="50"/>
      <c r="E136" s="50"/>
      <c r="F136" s="50"/>
      <c r="G136" s="50"/>
      <c r="H136" s="50"/>
      <c r="I136" s="50"/>
      <c r="J136" s="50"/>
      <c r="K136" s="50"/>
      <c r="L136" s="50"/>
    </row>
    <row r="137" spans="1:12" x14ac:dyDescent="0.25">
      <c r="A137" s="50"/>
      <c r="B137" s="50"/>
      <c r="C137" s="50"/>
      <c r="D137" s="50"/>
      <c r="E137" s="50"/>
      <c r="F137" s="50"/>
      <c r="G137" s="50"/>
      <c r="H137" s="50"/>
      <c r="I137" s="50"/>
      <c r="J137" s="50"/>
      <c r="K137" s="50"/>
      <c r="L137" s="50"/>
    </row>
    <row r="138" spans="1:12" x14ac:dyDescent="0.25">
      <c r="A138" s="50"/>
      <c r="B138" s="50"/>
      <c r="C138" s="50"/>
      <c r="D138" s="50"/>
      <c r="E138" s="50"/>
      <c r="F138" s="50"/>
      <c r="G138" s="50"/>
      <c r="H138" s="50"/>
      <c r="I138" s="50"/>
      <c r="J138" s="50"/>
      <c r="K138" s="50"/>
      <c r="L138" s="50"/>
    </row>
    <row r="139" spans="1:12" x14ac:dyDescent="0.25">
      <c r="A139" s="50"/>
      <c r="B139" s="50"/>
      <c r="C139" s="50"/>
      <c r="D139" s="50"/>
      <c r="E139" s="50"/>
      <c r="F139" s="50"/>
      <c r="G139" s="50"/>
      <c r="H139" s="50"/>
      <c r="I139" s="50"/>
      <c r="J139" s="50"/>
      <c r="K139" s="50"/>
      <c r="L139" s="50"/>
    </row>
    <row r="140" spans="1:12" x14ac:dyDescent="0.25">
      <c r="A140" s="50"/>
      <c r="B140" s="50"/>
      <c r="C140" s="50"/>
      <c r="D140" s="50"/>
      <c r="E140" s="50"/>
      <c r="F140" s="50"/>
      <c r="G140" s="50"/>
      <c r="H140" s="50"/>
      <c r="I140" s="50"/>
      <c r="J140" s="50"/>
      <c r="K140" s="50"/>
      <c r="L140" s="50"/>
    </row>
    <row r="141" spans="1:12" x14ac:dyDescent="0.25">
      <c r="A141" s="50"/>
      <c r="B141" s="50"/>
      <c r="C141" s="50"/>
      <c r="D141" s="50"/>
      <c r="E141" s="50"/>
      <c r="F141" s="50"/>
      <c r="G141" s="50"/>
      <c r="H141" s="50"/>
      <c r="I141" s="50"/>
      <c r="J141" s="50"/>
      <c r="K141" s="50"/>
      <c r="L141" s="50"/>
    </row>
    <row r="142" spans="1:12" x14ac:dyDescent="0.25">
      <c r="A142" s="50"/>
      <c r="B142" s="50"/>
      <c r="C142" s="50"/>
      <c r="D142" s="50"/>
      <c r="E142" s="50"/>
      <c r="F142" s="50"/>
      <c r="G142" s="50"/>
      <c r="H142" s="50"/>
      <c r="I142" s="50"/>
      <c r="J142" s="50"/>
      <c r="K142" s="50"/>
      <c r="L142" s="50"/>
    </row>
    <row r="143" spans="1:12" x14ac:dyDescent="0.25">
      <c r="A143" s="50"/>
      <c r="B143" s="50"/>
      <c r="C143" s="50"/>
      <c r="D143" s="50"/>
      <c r="E143" s="50"/>
      <c r="F143" s="50"/>
      <c r="G143" s="50"/>
      <c r="H143" s="50"/>
      <c r="I143" s="50"/>
      <c r="J143" s="50"/>
      <c r="K143" s="50"/>
      <c r="L143" s="50"/>
    </row>
    <row r="144" spans="1:12" x14ac:dyDescent="0.25">
      <c r="A144" s="50"/>
      <c r="B144" s="50"/>
      <c r="C144" s="50"/>
      <c r="D144" s="50"/>
      <c r="E144" s="50"/>
      <c r="F144" s="50"/>
      <c r="G144" s="50"/>
      <c r="H144" s="50"/>
      <c r="I144" s="50"/>
      <c r="J144" s="50"/>
      <c r="K144" s="50"/>
      <c r="L144" s="50"/>
    </row>
    <row r="145" spans="1:12" x14ac:dyDescent="0.25">
      <c r="A145" s="50"/>
      <c r="B145" s="50"/>
      <c r="C145" s="50"/>
      <c r="D145" s="50"/>
      <c r="E145" s="50"/>
      <c r="F145" s="50"/>
      <c r="G145" s="50"/>
      <c r="H145" s="50"/>
      <c r="I145" s="50"/>
      <c r="J145" s="50"/>
      <c r="K145" s="50"/>
      <c r="L145" s="50"/>
    </row>
    <row r="146" spans="1:12" x14ac:dyDescent="0.25">
      <c r="A146" s="50"/>
      <c r="B146" s="50"/>
      <c r="C146" s="50"/>
      <c r="D146" s="50"/>
      <c r="E146" s="50"/>
      <c r="F146" s="50"/>
      <c r="G146" s="50"/>
      <c r="H146" s="50"/>
      <c r="I146" s="50"/>
      <c r="J146" s="50"/>
      <c r="K146" s="50"/>
      <c r="L146" s="50"/>
    </row>
  </sheetData>
  <pageMargins left="0.75" right="0.75" top="1" bottom="1" header="0.5" footer="0.5"/>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L146"/>
  <sheetViews>
    <sheetView zoomScale="74" zoomScaleNormal="74" workbookViewId="0">
      <pane ySplit="6" topLeftCell="A7" activePane="bottomLeft" state="frozen"/>
      <selection activeCell="A9" sqref="A9"/>
      <selection pane="bottomLeft" activeCell="A9" sqref="A9"/>
    </sheetView>
  </sheetViews>
  <sheetFormatPr defaultColWidth="9.140625" defaultRowHeight="15" x14ac:dyDescent="0.25"/>
  <cols>
    <col min="1" max="1" width="20.28515625" style="12" bestFit="1" customWidth="1"/>
    <col min="2" max="2" width="10.140625" style="12" bestFit="1" customWidth="1"/>
    <col min="3" max="5" width="9.28515625" style="12" bestFit="1" customWidth="1"/>
    <col min="6" max="12" width="8.5703125" style="12" customWidth="1"/>
    <col min="13" max="29" width="8.5703125" style="50" customWidth="1"/>
    <col min="30" max="38" width="5.7109375" style="50" customWidth="1"/>
    <col min="39" max="16384" width="9.140625" style="50"/>
  </cols>
  <sheetData>
    <row r="1" spans="1:38" x14ac:dyDescent="0.25">
      <c r="A1" s="38" t="s">
        <v>28</v>
      </c>
      <c r="B1" s="39" t="s">
        <v>76</v>
      </c>
    </row>
    <row r="2" spans="1:38" s="2" customFormat="1" x14ac:dyDescent="0.25">
      <c r="A2" s="65" t="s">
        <v>47</v>
      </c>
      <c r="B2" s="84"/>
    </row>
    <row r="3" spans="1:38" s="2" customFormat="1" x14ac:dyDescent="0.25"/>
    <row r="4" spans="1:38" s="2" customFormat="1" ht="30" x14ac:dyDescent="0.25">
      <c r="A4" s="33" t="s">
        <v>92</v>
      </c>
      <c r="B4" s="36" t="s">
        <v>91</v>
      </c>
      <c r="C4" s="34"/>
      <c r="D4" s="35"/>
      <c r="E4"/>
      <c r="F4"/>
      <c r="G4"/>
      <c r="H4"/>
      <c r="I4"/>
      <c r="J4"/>
      <c r="K4"/>
      <c r="L4"/>
      <c r="M4"/>
      <c r="N4"/>
      <c r="O4"/>
      <c r="P4"/>
      <c r="Q4"/>
      <c r="R4"/>
      <c r="S4"/>
      <c r="T4"/>
      <c r="U4"/>
      <c r="V4"/>
      <c r="W4"/>
      <c r="X4"/>
      <c r="Y4"/>
      <c r="Z4"/>
      <c r="AA4"/>
    </row>
    <row r="5" spans="1:38" s="83" customFormat="1" x14ac:dyDescent="0.25">
      <c r="A5" s="33" t="s">
        <v>5</v>
      </c>
      <c r="B5" s="23" t="s">
        <v>46</v>
      </c>
      <c r="C5" s="57" t="s">
        <v>42</v>
      </c>
      <c r="D5" s="58" t="s">
        <v>29</v>
      </c>
      <c r="E5"/>
      <c r="F5"/>
      <c r="G5"/>
      <c r="H5"/>
      <c r="I5"/>
      <c r="J5"/>
      <c r="K5"/>
      <c r="L5"/>
      <c r="M5"/>
      <c r="N5"/>
      <c r="O5"/>
      <c r="P5"/>
      <c r="Q5"/>
      <c r="R5"/>
      <c r="S5"/>
      <c r="T5"/>
      <c r="U5"/>
      <c r="V5"/>
      <c r="W5"/>
      <c r="X5"/>
      <c r="Y5"/>
      <c r="Z5"/>
      <c r="AA5"/>
      <c r="AB5" s="2"/>
      <c r="AC5" s="2"/>
      <c r="AD5" s="2"/>
      <c r="AE5" s="2"/>
      <c r="AF5" s="2"/>
      <c r="AG5" s="2"/>
      <c r="AH5" s="2"/>
      <c r="AI5" s="2"/>
      <c r="AJ5" s="2"/>
      <c r="AK5" s="2"/>
    </row>
    <row r="6" spans="1:38" s="2" customFormat="1" x14ac:dyDescent="0.25">
      <c r="A6" s="23">
        <v>45</v>
      </c>
      <c r="B6" s="76">
        <v>0.8</v>
      </c>
      <c r="C6" s="25">
        <v>0.2</v>
      </c>
      <c r="D6" s="80">
        <v>0</v>
      </c>
      <c r="E6"/>
      <c r="F6"/>
      <c r="G6"/>
      <c r="H6"/>
      <c r="I6"/>
      <c r="J6"/>
      <c r="K6"/>
      <c r="L6"/>
      <c r="M6"/>
      <c r="N6"/>
      <c r="O6"/>
      <c r="P6"/>
      <c r="Q6"/>
      <c r="R6"/>
      <c r="S6"/>
      <c r="T6"/>
      <c r="U6"/>
      <c r="V6"/>
      <c r="W6"/>
      <c r="X6"/>
      <c r="Y6"/>
      <c r="Z6"/>
      <c r="AA6"/>
    </row>
    <row r="7" spans="1:38" x14ac:dyDescent="0.25">
      <c r="A7" s="37">
        <v>135</v>
      </c>
      <c r="B7" s="77">
        <v>0.5</v>
      </c>
      <c r="C7" s="26">
        <v>0.5</v>
      </c>
      <c r="D7" s="81">
        <v>0</v>
      </c>
      <c r="E7"/>
      <c r="F7"/>
      <c r="G7"/>
      <c r="H7"/>
      <c r="I7"/>
      <c r="J7"/>
      <c r="K7"/>
      <c r="L7"/>
      <c r="M7"/>
      <c r="N7"/>
      <c r="O7"/>
      <c r="P7"/>
      <c r="Q7"/>
      <c r="R7"/>
      <c r="S7"/>
      <c r="T7"/>
      <c r="U7"/>
      <c r="V7"/>
      <c r="W7"/>
      <c r="X7"/>
      <c r="Y7"/>
      <c r="Z7"/>
      <c r="AA7"/>
      <c r="AB7"/>
      <c r="AC7"/>
      <c r="AD7"/>
      <c r="AE7"/>
      <c r="AF7"/>
      <c r="AG7"/>
      <c r="AH7"/>
      <c r="AI7"/>
      <c r="AJ7"/>
      <c r="AK7"/>
      <c r="AL7"/>
    </row>
    <row r="8" spans="1:38" x14ac:dyDescent="0.25">
      <c r="A8" s="37">
        <v>234</v>
      </c>
      <c r="B8" s="77">
        <v>0.1111111111111111</v>
      </c>
      <c r="C8" s="26">
        <v>0.88888888888888884</v>
      </c>
      <c r="D8" s="81">
        <v>0</v>
      </c>
      <c r="E8"/>
      <c r="F8"/>
      <c r="G8"/>
      <c r="H8"/>
      <c r="I8"/>
      <c r="J8"/>
      <c r="K8"/>
      <c r="L8"/>
      <c r="M8"/>
      <c r="N8"/>
      <c r="O8"/>
      <c r="P8"/>
      <c r="Q8"/>
      <c r="R8"/>
      <c r="S8"/>
      <c r="T8"/>
      <c r="U8"/>
      <c r="V8"/>
      <c r="W8"/>
      <c r="X8"/>
      <c r="Y8"/>
      <c r="Z8"/>
      <c r="AA8"/>
      <c r="AB8"/>
      <c r="AC8"/>
      <c r="AD8"/>
      <c r="AE8"/>
      <c r="AF8"/>
      <c r="AG8"/>
      <c r="AH8"/>
      <c r="AI8"/>
      <c r="AJ8"/>
      <c r="AK8"/>
      <c r="AL8"/>
    </row>
    <row r="9" spans="1:38" x14ac:dyDescent="0.25">
      <c r="A9" s="37">
        <v>292</v>
      </c>
      <c r="B9" s="77">
        <v>0.88235294117647056</v>
      </c>
      <c r="C9" s="26">
        <v>0.11764705882352941</v>
      </c>
      <c r="D9" s="81">
        <v>0</v>
      </c>
      <c r="E9"/>
      <c r="F9"/>
      <c r="G9"/>
      <c r="H9"/>
      <c r="I9"/>
      <c r="J9"/>
      <c r="K9"/>
      <c r="L9"/>
      <c r="M9"/>
      <c r="N9"/>
      <c r="O9"/>
      <c r="P9"/>
      <c r="Q9"/>
      <c r="R9"/>
      <c r="S9"/>
      <c r="T9"/>
      <c r="U9"/>
      <c r="V9"/>
      <c r="W9"/>
      <c r="X9"/>
      <c r="Y9"/>
      <c r="Z9"/>
      <c r="AA9"/>
      <c r="AB9"/>
      <c r="AC9"/>
      <c r="AD9"/>
      <c r="AE9"/>
      <c r="AF9"/>
      <c r="AG9"/>
      <c r="AH9"/>
      <c r="AI9"/>
      <c r="AJ9"/>
      <c r="AK9"/>
      <c r="AL9"/>
    </row>
    <row r="10" spans="1:38" x14ac:dyDescent="0.25">
      <c r="A10" s="37">
        <v>359</v>
      </c>
      <c r="B10" s="77">
        <v>1</v>
      </c>
      <c r="C10" s="26">
        <v>0</v>
      </c>
      <c r="D10" s="81">
        <v>0</v>
      </c>
      <c r="E10"/>
      <c r="F10"/>
      <c r="G10"/>
      <c r="H10"/>
      <c r="I10"/>
      <c r="J10"/>
      <c r="K10"/>
      <c r="L10"/>
      <c r="M10"/>
      <c r="N10"/>
      <c r="O10"/>
      <c r="P10"/>
      <c r="Q10"/>
      <c r="R10"/>
      <c r="S10"/>
      <c r="T10"/>
      <c r="U10"/>
      <c r="V10"/>
      <c r="W10"/>
      <c r="X10"/>
      <c r="Y10"/>
      <c r="Z10"/>
      <c r="AA10"/>
      <c r="AB10"/>
      <c r="AC10"/>
      <c r="AD10"/>
      <c r="AE10"/>
      <c r="AF10"/>
      <c r="AG10"/>
      <c r="AH10"/>
      <c r="AI10"/>
      <c r="AJ10"/>
      <c r="AK10"/>
      <c r="AL10"/>
    </row>
    <row r="11" spans="1:38" x14ac:dyDescent="0.25">
      <c r="A11" s="37">
        <v>461</v>
      </c>
      <c r="B11" s="77">
        <v>0.9</v>
      </c>
      <c r="C11" s="26">
        <v>0.1</v>
      </c>
      <c r="D11" s="81">
        <v>0</v>
      </c>
      <c r="E11"/>
      <c r="F11"/>
      <c r="G11"/>
      <c r="H11"/>
      <c r="I11"/>
      <c r="J11"/>
      <c r="K11"/>
      <c r="L11"/>
      <c r="M11"/>
      <c r="N11"/>
      <c r="O11"/>
      <c r="P11"/>
      <c r="Q11"/>
      <c r="R11"/>
      <c r="S11"/>
      <c r="T11"/>
      <c r="U11"/>
      <c r="V11"/>
      <c r="W11"/>
      <c r="X11"/>
      <c r="Y11"/>
      <c r="Z11"/>
      <c r="AA11"/>
      <c r="AB11"/>
      <c r="AC11"/>
      <c r="AD11"/>
      <c r="AE11"/>
      <c r="AF11"/>
      <c r="AG11"/>
      <c r="AH11"/>
      <c r="AI11"/>
      <c r="AJ11"/>
      <c r="AK11"/>
      <c r="AL11"/>
    </row>
    <row r="12" spans="1:38" x14ac:dyDescent="0.25">
      <c r="A12" s="37">
        <v>829</v>
      </c>
      <c r="B12" s="77">
        <v>0.69230769230769229</v>
      </c>
      <c r="C12" s="26">
        <v>0.30769230769230771</v>
      </c>
      <c r="D12" s="81">
        <v>0</v>
      </c>
      <c r="E12"/>
      <c r="F12"/>
      <c r="G12"/>
      <c r="H12"/>
      <c r="I12"/>
      <c r="J12"/>
      <c r="K12"/>
      <c r="L12"/>
      <c r="M12"/>
      <c r="N12"/>
      <c r="O12"/>
      <c r="P12"/>
      <c r="Q12"/>
      <c r="R12"/>
      <c r="S12"/>
      <c r="T12"/>
      <c r="U12"/>
      <c r="V12"/>
      <c r="W12"/>
      <c r="X12"/>
      <c r="Y12"/>
      <c r="Z12"/>
      <c r="AA12"/>
      <c r="AB12"/>
      <c r="AC12"/>
      <c r="AD12"/>
      <c r="AE12"/>
      <c r="AF12"/>
      <c r="AG12"/>
      <c r="AH12"/>
      <c r="AI12"/>
      <c r="AJ12"/>
      <c r="AK12"/>
      <c r="AL12"/>
    </row>
    <row r="13" spans="1:38" x14ac:dyDescent="0.25">
      <c r="A13" s="37">
        <v>868</v>
      </c>
      <c r="B13" s="77">
        <v>0.8571428571428571</v>
      </c>
      <c r="C13" s="26">
        <v>0.14285714285714285</v>
      </c>
      <c r="D13" s="81">
        <v>0</v>
      </c>
      <c r="E13"/>
      <c r="F13"/>
      <c r="G13"/>
      <c r="H13"/>
      <c r="I13"/>
      <c r="J13"/>
      <c r="K13"/>
      <c r="L13"/>
      <c r="M13"/>
      <c r="N13"/>
      <c r="O13"/>
      <c r="P13"/>
      <c r="Q13"/>
      <c r="R13"/>
      <c r="S13"/>
      <c r="T13"/>
      <c r="U13"/>
      <c r="V13"/>
      <c r="W13"/>
      <c r="X13"/>
      <c r="Y13"/>
      <c r="Z13"/>
      <c r="AA13"/>
      <c r="AB13"/>
      <c r="AC13"/>
      <c r="AD13"/>
      <c r="AE13"/>
      <c r="AF13"/>
      <c r="AG13"/>
      <c r="AH13"/>
      <c r="AI13"/>
      <c r="AJ13"/>
      <c r="AK13"/>
      <c r="AL13"/>
    </row>
    <row r="14" spans="1:38" x14ac:dyDescent="0.25">
      <c r="A14" s="37">
        <v>1024</v>
      </c>
      <c r="B14" s="77">
        <v>0.81818181818181823</v>
      </c>
      <c r="C14" s="26">
        <v>0.18181818181818182</v>
      </c>
      <c r="D14" s="81">
        <v>0</v>
      </c>
      <c r="E14"/>
      <c r="F14"/>
      <c r="G14"/>
      <c r="H14"/>
      <c r="I14"/>
      <c r="J14"/>
      <c r="K14"/>
      <c r="L14"/>
      <c r="M14"/>
      <c r="N14"/>
      <c r="O14"/>
      <c r="P14"/>
      <c r="Q14"/>
      <c r="R14"/>
      <c r="S14"/>
      <c r="T14"/>
      <c r="U14"/>
      <c r="V14"/>
      <c r="W14"/>
      <c r="X14"/>
      <c r="Y14"/>
      <c r="Z14"/>
      <c r="AA14"/>
      <c r="AB14"/>
      <c r="AC14"/>
      <c r="AD14"/>
      <c r="AE14"/>
      <c r="AF14"/>
      <c r="AG14"/>
      <c r="AH14"/>
      <c r="AI14"/>
      <c r="AJ14"/>
      <c r="AK14"/>
      <c r="AL14"/>
    </row>
    <row r="15" spans="1:38" x14ac:dyDescent="0.25">
      <c r="A15" s="37">
        <v>1501</v>
      </c>
      <c r="B15" s="77">
        <v>1</v>
      </c>
      <c r="C15" s="26">
        <v>0</v>
      </c>
      <c r="D15" s="81">
        <v>0</v>
      </c>
      <c r="E15"/>
      <c r="F15"/>
      <c r="G15"/>
      <c r="H15"/>
      <c r="I15"/>
      <c r="J15"/>
      <c r="K15"/>
      <c r="L15"/>
      <c r="M15"/>
      <c r="N15"/>
      <c r="O15"/>
      <c r="P15"/>
      <c r="Q15"/>
      <c r="R15"/>
      <c r="S15"/>
      <c r="T15"/>
      <c r="U15"/>
      <c r="V15"/>
      <c r="W15"/>
      <c r="X15"/>
      <c r="Y15"/>
      <c r="Z15"/>
      <c r="AA15"/>
      <c r="AB15"/>
      <c r="AC15"/>
      <c r="AD15"/>
      <c r="AE15"/>
      <c r="AF15"/>
      <c r="AG15"/>
      <c r="AH15"/>
      <c r="AI15"/>
      <c r="AJ15"/>
      <c r="AK15"/>
      <c r="AL15"/>
    </row>
    <row r="16" spans="1:38" x14ac:dyDescent="0.25">
      <c r="A16" s="37">
        <v>1646</v>
      </c>
      <c r="B16" s="77">
        <v>1</v>
      </c>
      <c r="C16" s="26">
        <v>0</v>
      </c>
      <c r="D16" s="81">
        <v>0</v>
      </c>
      <c r="E16"/>
      <c r="F16"/>
      <c r="G16"/>
      <c r="H16"/>
      <c r="I16"/>
      <c r="J16"/>
      <c r="K16"/>
      <c r="L16"/>
      <c r="M16"/>
      <c r="N16"/>
      <c r="O16"/>
      <c r="P16"/>
      <c r="Q16"/>
      <c r="R16"/>
      <c r="S16"/>
      <c r="T16"/>
      <c r="U16"/>
      <c r="V16"/>
      <c r="W16"/>
      <c r="X16"/>
      <c r="Y16"/>
      <c r="Z16"/>
      <c r="AA16"/>
      <c r="AB16"/>
      <c r="AC16"/>
      <c r="AD16"/>
      <c r="AE16"/>
      <c r="AF16"/>
      <c r="AG16"/>
      <c r="AH16"/>
      <c r="AI16"/>
      <c r="AJ16"/>
      <c r="AK16"/>
      <c r="AL16"/>
    </row>
    <row r="17" spans="1:38" x14ac:dyDescent="0.25">
      <c r="A17" s="37">
        <v>1732</v>
      </c>
      <c r="B17" s="77">
        <v>0.8666666666666667</v>
      </c>
      <c r="C17" s="26">
        <v>0.13333333333333333</v>
      </c>
      <c r="D17" s="81">
        <v>0</v>
      </c>
      <c r="E17"/>
      <c r="F17"/>
      <c r="G17"/>
      <c r="H17"/>
      <c r="I17"/>
      <c r="J17"/>
      <c r="K17"/>
      <c r="L17"/>
      <c r="M17"/>
      <c r="N17"/>
      <c r="O17"/>
      <c r="P17"/>
      <c r="Q17"/>
      <c r="R17"/>
      <c r="S17"/>
      <c r="T17"/>
      <c r="U17"/>
      <c r="V17"/>
      <c r="W17"/>
      <c r="X17"/>
      <c r="Y17"/>
      <c r="Z17"/>
      <c r="AA17"/>
      <c r="AB17"/>
      <c r="AC17"/>
      <c r="AD17"/>
      <c r="AE17"/>
      <c r="AF17"/>
      <c r="AG17"/>
      <c r="AH17"/>
      <c r="AI17"/>
      <c r="AJ17"/>
      <c r="AK17"/>
      <c r="AL17"/>
    </row>
    <row r="18" spans="1:38" x14ac:dyDescent="0.25">
      <c r="A18" s="37">
        <v>1736</v>
      </c>
      <c r="B18" s="77">
        <v>0.625</v>
      </c>
      <c r="C18" s="26">
        <v>0.375</v>
      </c>
      <c r="D18" s="81">
        <v>0</v>
      </c>
      <c r="E18"/>
      <c r="F18"/>
      <c r="G18"/>
      <c r="H18"/>
      <c r="I18"/>
      <c r="J18"/>
      <c r="K18"/>
      <c r="L18"/>
      <c r="M18"/>
      <c r="N18"/>
      <c r="O18"/>
      <c r="P18"/>
      <c r="Q18"/>
      <c r="R18"/>
      <c r="S18"/>
      <c r="T18"/>
      <c r="U18"/>
      <c r="V18"/>
      <c r="W18"/>
      <c r="X18"/>
      <c r="Y18"/>
      <c r="Z18"/>
      <c r="AA18"/>
      <c r="AB18"/>
      <c r="AC18"/>
      <c r="AD18"/>
      <c r="AE18"/>
      <c r="AF18"/>
      <c r="AG18"/>
      <c r="AH18"/>
      <c r="AI18"/>
      <c r="AJ18"/>
      <c r="AK18"/>
      <c r="AL18"/>
    </row>
    <row r="19" spans="1:38" x14ac:dyDescent="0.25">
      <c r="A19" s="37">
        <v>1741</v>
      </c>
      <c r="B19" s="77">
        <v>0.8571428571428571</v>
      </c>
      <c r="C19" s="26">
        <v>0.14285714285714285</v>
      </c>
      <c r="D19" s="81">
        <v>0</v>
      </c>
      <c r="E19"/>
      <c r="F19"/>
      <c r="G19"/>
      <c r="H19"/>
      <c r="I19"/>
      <c r="J19"/>
      <c r="K19"/>
      <c r="L19"/>
      <c r="M19"/>
      <c r="N19"/>
      <c r="O19"/>
      <c r="P19"/>
      <c r="Q19"/>
      <c r="R19"/>
      <c r="S19"/>
      <c r="T19"/>
      <c r="U19"/>
      <c r="V19"/>
      <c r="W19"/>
      <c r="X19"/>
      <c r="Y19"/>
      <c r="Z19"/>
      <c r="AA19"/>
      <c r="AB19"/>
      <c r="AC19"/>
      <c r="AD19"/>
      <c r="AE19"/>
      <c r="AF19"/>
      <c r="AG19"/>
      <c r="AH19"/>
      <c r="AI19"/>
      <c r="AJ19"/>
      <c r="AK19"/>
      <c r="AL19"/>
    </row>
    <row r="20" spans="1:38" x14ac:dyDescent="0.25">
      <c r="A20" s="37">
        <v>1747</v>
      </c>
      <c r="B20" s="77">
        <v>0.9</v>
      </c>
      <c r="C20" s="26">
        <v>0.1</v>
      </c>
      <c r="D20" s="81">
        <v>0</v>
      </c>
      <c r="E20"/>
      <c r="F20"/>
      <c r="G20"/>
      <c r="H20"/>
      <c r="I20"/>
      <c r="J20"/>
      <c r="K20"/>
      <c r="L20"/>
      <c r="M20"/>
      <c r="N20"/>
      <c r="O20"/>
      <c r="P20"/>
      <c r="Q20"/>
      <c r="R20"/>
      <c r="S20"/>
      <c r="T20"/>
      <c r="U20"/>
      <c r="V20"/>
      <c r="W20"/>
      <c r="X20"/>
      <c r="Y20"/>
      <c r="Z20"/>
      <c r="AA20"/>
      <c r="AB20"/>
      <c r="AC20"/>
      <c r="AD20"/>
      <c r="AE20"/>
      <c r="AF20"/>
      <c r="AG20"/>
      <c r="AH20"/>
      <c r="AI20"/>
      <c r="AJ20"/>
      <c r="AK20"/>
      <c r="AL20"/>
    </row>
    <row r="21" spans="1:38" x14ac:dyDescent="0.25">
      <c r="A21" s="37">
        <v>1756</v>
      </c>
      <c r="B21" s="77">
        <v>0.9285714285714286</v>
      </c>
      <c r="C21" s="26">
        <v>7.1428571428571425E-2</v>
      </c>
      <c r="D21" s="81">
        <v>0</v>
      </c>
      <c r="E21"/>
      <c r="F21"/>
      <c r="G21"/>
      <c r="H21"/>
      <c r="I21"/>
      <c r="J21"/>
      <c r="K21"/>
      <c r="L21"/>
      <c r="M21"/>
      <c r="N21"/>
      <c r="O21"/>
      <c r="P21"/>
      <c r="Q21"/>
      <c r="R21"/>
      <c r="S21"/>
      <c r="T21"/>
      <c r="U21"/>
      <c r="V21"/>
      <c r="W21"/>
      <c r="X21"/>
      <c r="Y21"/>
      <c r="Z21"/>
      <c r="AA21"/>
      <c r="AB21"/>
      <c r="AC21"/>
      <c r="AD21"/>
      <c r="AE21"/>
      <c r="AF21"/>
      <c r="AG21"/>
      <c r="AH21"/>
      <c r="AI21"/>
      <c r="AJ21"/>
      <c r="AK21"/>
      <c r="AL21"/>
    </row>
    <row r="22" spans="1:38" x14ac:dyDescent="0.25">
      <c r="A22" s="37">
        <v>1872</v>
      </c>
      <c r="B22" s="77">
        <v>0.69230769230769229</v>
      </c>
      <c r="C22" s="26">
        <v>0.30769230769230771</v>
      </c>
      <c r="D22" s="81">
        <v>0</v>
      </c>
      <c r="E22"/>
      <c r="F22"/>
      <c r="G22"/>
      <c r="H22"/>
      <c r="I22"/>
      <c r="J22"/>
      <c r="K22"/>
      <c r="L22"/>
      <c r="M22"/>
      <c r="N22"/>
      <c r="O22"/>
      <c r="P22"/>
      <c r="Q22"/>
      <c r="R22"/>
      <c r="S22"/>
      <c r="T22"/>
      <c r="U22"/>
      <c r="V22"/>
      <c r="W22"/>
      <c r="X22"/>
      <c r="Y22"/>
      <c r="Z22"/>
      <c r="AA22"/>
      <c r="AB22"/>
      <c r="AC22"/>
      <c r="AD22"/>
      <c r="AE22"/>
      <c r="AF22"/>
      <c r="AG22"/>
      <c r="AH22"/>
      <c r="AI22"/>
      <c r="AJ22"/>
      <c r="AK22"/>
      <c r="AL22"/>
    </row>
    <row r="23" spans="1:38" x14ac:dyDescent="0.25">
      <c r="A23" s="37">
        <v>2040</v>
      </c>
      <c r="B23" s="77">
        <v>0.7857142857142857</v>
      </c>
      <c r="C23" s="26">
        <v>0.21428571428571427</v>
      </c>
      <c r="D23" s="81">
        <v>0</v>
      </c>
      <c r="E23"/>
      <c r="F23"/>
      <c r="G23"/>
      <c r="H23"/>
      <c r="I23"/>
      <c r="J23"/>
      <c r="K23"/>
      <c r="L23"/>
      <c r="M23"/>
      <c r="N23"/>
      <c r="O23"/>
      <c r="P23"/>
      <c r="Q23"/>
      <c r="R23"/>
      <c r="S23"/>
      <c r="T23"/>
      <c r="U23"/>
      <c r="V23"/>
      <c r="W23"/>
      <c r="X23"/>
      <c r="Y23"/>
      <c r="Z23"/>
      <c r="AA23"/>
      <c r="AB23"/>
      <c r="AC23"/>
      <c r="AD23"/>
      <c r="AE23"/>
      <c r="AF23"/>
      <c r="AG23"/>
      <c r="AH23"/>
      <c r="AI23"/>
      <c r="AJ23"/>
      <c r="AK23"/>
      <c r="AL23"/>
    </row>
    <row r="24" spans="1:38" x14ac:dyDescent="0.25">
      <c r="A24" s="37">
        <v>2171</v>
      </c>
      <c r="B24" s="77">
        <v>0.91666666666666663</v>
      </c>
      <c r="C24" s="26">
        <v>8.3333333333333329E-2</v>
      </c>
      <c r="D24" s="81">
        <v>0</v>
      </c>
      <c r="E24"/>
      <c r="F24"/>
      <c r="G24"/>
      <c r="H24"/>
      <c r="I24"/>
      <c r="J24"/>
      <c r="K24"/>
      <c r="L24"/>
      <c r="M24"/>
      <c r="N24"/>
      <c r="O24"/>
      <c r="P24"/>
      <c r="Q24"/>
      <c r="R24"/>
      <c r="S24"/>
      <c r="T24"/>
      <c r="U24"/>
      <c r="V24"/>
      <c r="W24"/>
      <c r="X24"/>
      <c r="Y24"/>
      <c r="Z24"/>
      <c r="AA24"/>
      <c r="AB24"/>
      <c r="AC24"/>
      <c r="AD24"/>
      <c r="AE24"/>
      <c r="AF24"/>
      <c r="AG24"/>
      <c r="AH24"/>
      <c r="AI24"/>
      <c r="AJ24"/>
      <c r="AK24"/>
      <c r="AL24"/>
    </row>
    <row r="25" spans="1:38" x14ac:dyDescent="0.25">
      <c r="A25" s="37">
        <v>2197</v>
      </c>
      <c r="B25" s="77">
        <v>0.7142857142857143</v>
      </c>
      <c r="C25" s="26">
        <v>0.2857142857142857</v>
      </c>
      <c r="D25" s="81">
        <v>0</v>
      </c>
      <c r="E25"/>
      <c r="F25"/>
      <c r="G25"/>
      <c r="H25"/>
      <c r="I25"/>
      <c r="J25"/>
      <c r="K25"/>
      <c r="L25"/>
      <c r="M25"/>
      <c r="N25"/>
      <c r="O25"/>
      <c r="P25"/>
      <c r="Q25"/>
      <c r="R25"/>
      <c r="S25"/>
      <c r="T25"/>
      <c r="U25"/>
      <c r="V25"/>
      <c r="W25"/>
      <c r="X25"/>
      <c r="Y25"/>
      <c r="Z25"/>
      <c r="AA25"/>
      <c r="AB25"/>
      <c r="AC25"/>
      <c r="AD25"/>
      <c r="AE25"/>
      <c r="AF25"/>
      <c r="AG25"/>
      <c r="AH25"/>
      <c r="AI25"/>
      <c r="AJ25"/>
      <c r="AK25"/>
      <c r="AL25"/>
    </row>
    <row r="26" spans="1:38" x14ac:dyDescent="0.25">
      <c r="A26" s="37">
        <v>2867</v>
      </c>
      <c r="B26" s="77">
        <v>0.9285714285714286</v>
      </c>
      <c r="C26" s="26">
        <v>7.1428571428571425E-2</v>
      </c>
      <c r="D26" s="81">
        <v>0</v>
      </c>
      <c r="E26"/>
      <c r="F26"/>
      <c r="G26"/>
      <c r="H26"/>
      <c r="I26"/>
      <c r="J26"/>
      <c r="K26"/>
      <c r="L26"/>
      <c r="M26"/>
      <c r="N26"/>
      <c r="O26"/>
      <c r="P26"/>
      <c r="Q26"/>
      <c r="R26"/>
      <c r="S26"/>
      <c r="T26"/>
      <c r="U26"/>
      <c r="V26"/>
      <c r="W26"/>
      <c r="X26"/>
      <c r="Y26"/>
      <c r="Z26"/>
      <c r="AA26"/>
      <c r="AB26"/>
      <c r="AC26"/>
      <c r="AD26"/>
      <c r="AE26"/>
      <c r="AF26"/>
      <c r="AG26"/>
      <c r="AH26"/>
      <c r="AI26"/>
      <c r="AJ26"/>
      <c r="AK26"/>
      <c r="AL26"/>
    </row>
    <row r="27" spans="1:38" x14ac:dyDescent="0.25">
      <c r="A27" s="37">
        <v>3147</v>
      </c>
      <c r="B27" s="77">
        <v>0.8571428571428571</v>
      </c>
      <c r="C27" s="26">
        <v>0.14285714285714285</v>
      </c>
      <c r="D27" s="81">
        <v>0</v>
      </c>
      <c r="E27"/>
      <c r="F27"/>
      <c r="G27"/>
      <c r="H27"/>
      <c r="I27"/>
      <c r="J27"/>
      <c r="K27"/>
      <c r="L27"/>
      <c r="M27"/>
      <c r="N27"/>
      <c r="O27"/>
      <c r="P27"/>
      <c r="Q27"/>
      <c r="R27"/>
      <c r="S27"/>
      <c r="T27"/>
      <c r="U27"/>
      <c r="V27"/>
      <c r="W27"/>
      <c r="X27"/>
      <c r="Y27"/>
      <c r="Z27"/>
      <c r="AA27"/>
      <c r="AB27"/>
      <c r="AC27"/>
      <c r="AD27"/>
      <c r="AE27"/>
      <c r="AF27"/>
      <c r="AG27"/>
      <c r="AH27"/>
      <c r="AI27"/>
      <c r="AJ27"/>
      <c r="AK27"/>
      <c r="AL27"/>
    </row>
    <row r="28" spans="1:38" x14ac:dyDescent="0.25">
      <c r="A28" s="37">
        <v>3176</v>
      </c>
      <c r="B28" s="77">
        <v>0.83333333333333337</v>
      </c>
      <c r="C28" s="26">
        <v>0.16666666666666666</v>
      </c>
      <c r="D28" s="81">
        <v>0</v>
      </c>
      <c r="E28"/>
      <c r="F28"/>
      <c r="G28"/>
      <c r="H28"/>
      <c r="I28"/>
      <c r="J28"/>
      <c r="K28"/>
      <c r="L28"/>
      <c r="M28"/>
      <c r="N28"/>
      <c r="O28"/>
      <c r="P28"/>
      <c r="Q28"/>
      <c r="R28"/>
      <c r="S28"/>
      <c r="T28"/>
      <c r="U28"/>
      <c r="V28"/>
      <c r="W28"/>
      <c r="X28"/>
      <c r="Y28"/>
      <c r="Z28"/>
      <c r="AA28"/>
      <c r="AB28"/>
      <c r="AC28"/>
      <c r="AD28"/>
      <c r="AE28"/>
      <c r="AF28"/>
      <c r="AG28"/>
      <c r="AH28"/>
      <c r="AI28"/>
      <c r="AJ28"/>
      <c r="AK28"/>
      <c r="AL28"/>
    </row>
    <row r="29" spans="1:38" x14ac:dyDescent="0.25">
      <c r="A29" s="37">
        <v>3180</v>
      </c>
      <c r="B29" s="77">
        <v>1</v>
      </c>
      <c r="C29" s="26">
        <v>0</v>
      </c>
      <c r="D29" s="81">
        <v>0</v>
      </c>
      <c r="E29"/>
      <c r="F29"/>
      <c r="G29"/>
      <c r="H29"/>
      <c r="I29"/>
      <c r="J29"/>
      <c r="K29"/>
      <c r="L29"/>
      <c r="M29"/>
      <c r="N29"/>
      <c r="O29"/>
      <c r="P29"/>
      <c r="Q29"/>
      <c r="R29"/>
      <c r="S29"/>
      <c r="T29"/>
      <c r="U29"/>
      <c r="V29"/>
      <c r="W29"/>
      <c r="X29"/>
      <c r="Y29"/>
      <c r="Z29"/>
      <c r="AA29"/>
      <c r="AB29"/>
      <c r="AC29"/>
      <c r="AD29"/>
      <c r="AE29"/>
      <c r="AF29"/>
      <c r="AG29"/>
      <c r="AH29"/>
      <c r="AI29"/>
      <c r="AJ29"/>
      <c r="AK29"/>
      <c r="AL29"/>
    </row>
    <row r="30" spans="1:38" x14ac:dyDescent="0.25">
      <c r="A30" s="37">
        <v>3201</v>
      </c>
      <c r="B30" s="77">
        <v>0.9</v>
      </c>
      <c r="C30" s="26">
        <v>0.1</v>
      </c>
      <c r="D30" s="81">
        <v>0</v>
      </c>
      <c r="E30"/>
      <c r="F30"/>
      <c r="G30"/>
      <c r="H30"/>
      <c r="I30"/>
      <c r="J30"/>
      <c r="K30"/>
      <c r="L30"/>
      <c r="M30"/>
      <c r="N30"/>
      <c r="O30"/>
      <c r="P30"/>
      <c r="Q30"/>
      <c r="R30"/>
      <c r="S30"/>
      <c r="T30"/>
      <c r="U30"/>
      <c r="V30"/>
      <c r="W30"/>
      <c r="X30"/>
      <c r="Y30"/>
      <c r="Z30"/>
      <c r="AA30"/>
      <c r="AB30"/>
      <c r="AC30"/>
      <c r="AD30"/>
      <c r="AE30"/>
      <c r="AF30"/>
      <c r="AG30"/>
      <c r="AH30"/>
      <c r="AI30"/>
      <c r="AJ30"/>
      <c r="AK30"/>
      <c r="AL30"/>
    </row>
    <row r="31" spans="1:38" x14ac:dyDescent="0.25">
      <c r="A31" s="37">
        <v>3272</v>
      </c>
      <c r="B31" s="77">
        <v>0.84615384615384615</v>
      </c>
      <c r="C31" s="26">
        <v>0.15384615384615385</v>
      </c>
      <c r="D31" s="81">
        <v>0</v>
      </c>
      <c r="E31"/>
      <c r="F31"/>
      <c r="G31"/>
      <c r="H31"/>
      <c r="I31"/>
      <c r="J31"/>
      <c r="K31"/>
      <c r="L31"/>
      <c r="M31"/>
      <c r="N31"/>
      <c r="O31"/>
      <c r="P31"/>
      <c r="Q31"/>
      <c r="R31"/>
      <c r="S31"/>
      <c r="T31"/>
      <c r="U31"/>
      <c r="V31"/>
      <c r="W31"/>
      <c r="X31"/>
      <c r="Y31"/>
      <c r="Z31"/>
      <c r="AA31"/>
      <c r="AB31"/>
      <c r="AC31"/>
      <c r="AD31"/>
      <c r="AE31"/>
      <c r="AF31"/>
      <c r="AG31"/>
      <c r="AH31"/>
      <c r="AI31"/>
      <c r="AJ31"/>
      <c r="AK31"/>
      <c r="AL31"/>
    </row>
    <row r="32" spans="1:38" x14ac:dyDescent="0.25">
      <c r="A32" s="37">
        <v>3301</v>
      </c>
      <c r="B32" s="77">
        <v>0.72727272727272729</v>
      </c>
      <c r="C32" s="26">
        <v>0.27272727272727271</v>
      </c>
      <c r="D32" s="81">
        <v>0</v>
      </c>
      <c r="E32"/>
      <c r="F32"/>
      <c r="G32"/>
      <c r="H32"/>
      <c r="I32"/>
      <c r="J32"/>
      <c r="K32"/>
      <c r="L32"/>
      <c r="M32"/>
      <c r="N32"/>
      <c r="O32"/>
      <c r="P32"/>
      <c r="Q32"/>
      <c r="R32"/>
      <c r="S32"/>
      <c r="T32"/>
      <c r="U32"/>
      <c r="V32"/>
      <c r="W32"/>
      <c r="X32"/>
      <c r="Y32"/>
      <c r="Z32"/>
      <c r="AA32"/>
      <c r="AB32"/>
      <c r="AC32"/>
      <c r="AD32"/>
      <c r="AE32"/>
      <c r="AF32"/>
      <c r="AG32"/>
      <c r="AH32"/>
      <c r="AI32"/>
      <c r="AJ32"/>
      <c r="AK32"/>
      <c r="AL32"/>
    </row>
    <row r="33" spans="1:38" x14ac:dyDescent="0.25">
      <c r="A33" s="37">
        <v>3487</v>
      </c>
      <c r="B33" s="77">
        <v>0.81818181818181823</v>
      </c>
      <c r="C33" s="26">
        <v>0.18181818181818182</v>
      </c>
      <c r="D33" s="81">
        <v>0</v>
      </c>
      <c r="E33"/>
      <c r="F33"/>
      <c r="G33"/>
      <c r="H33"/>
      <c r="I33"/>
      <c r="J33"/>
      <c r="K33"/>
      <c r="L33"/>
      <c r="M33"/>
      <c r="N33"/>
      <c r="O33"/>
      <c r="P33"/>
      <c r="Q33"/>
      <c r="R33"/>
      <c r="S33"/>
      <c r="T33"/>
      <c r="U33"/>
      <c r="V33"/>
      <c r="W33"/>
      <c r="X33"/>
      <c r="Y33"/>
      <c r="Z33"/>
      <c r="AA33"/>
      <c r="AB33"/>
      <c r="AC33"/>
      <c r="AD33"/>
      <c r="AE33"/>
      <c r="AF33"/>
      <c r="AG33"/>
      <c r="AH33"/>
      <c r="AI33"/>
      <c r="AJ33"/>
      <c r="AK33"/>
      <c r="AL33"/>
    </row>
    <row r="34" spans="1:38" x14ac:dyDescent="0.25">
      <c r="A34" s="37">
        <v>3565</v>
      </c>
      <c r="B34" s="77">
        <v>1</v>
      </c>
      <c r="C34" s="26">
        <v>0</v>
      </c>
      <c r="D34" s="81">
        <v>0</v>
      </c>
      <c r="E34"/>
      <c r="F34"/>
      <c r="G34"/>
      <c r="H34"/>
      <c r="I34"/>
      <c r="J34"/>
      <c r="K34"/>
      <c r="L34"/>
      <c r="M34"/>
      <c r="N34"/>
      <c r="O34"/>
      <c r="P34"/>
      <c r="Q34"/>
      <c r="R34"/>
      <c r="S34"/>
      <c r="T34"/>
      <c r="U34"/>
      <c r="V34"/>
      <c r="W34"/>
      <c r="X34"/>
      <c r="Y34"/>
      <c r="Z34"/>
      <c r="AA34"/>
      <c r="AB34"/>
      <c r="AC34"/>
      <c r="AD34"/>
      <c r="AE34"/>
      <c r="AF34"/>
      <c r="AG34"/>
      <c r="AH34"/>
      <c r="AI34"/>
      <c r="AJ34"/>
      <c r="AK34"/>
      <c r="AL34"/>
    </row>
    <row r="35" spans="1:38" x14ac:dyDescent="0.25">
      <c r="A35" s="37">
        <v>3865</v>
      </c>
      <c r="B35" s="77">
        <v>1</v>
      </c>
      <c r="C35" s="26">
        <v>0</v>
      </c>
      <c r="D35" s="81">
        <v>0</v>
      </c>
      <c r="E35"/>
      <c r="F35"/>
      <c r="G35"/>
      <c r="H35"/>
      <c r="I35"/>
      <c r="J35"/>
      <c r="K35"/>
      <c r="L35"/>
      <c r="M35"/>
      <c r="N35"/>
      <c r="O35"/>
      <c r="P35"/>
      <c r="Q35"/>
      <c r="R35"/>
      <c r="S35"/>
      <c r="T35"/>
      <c r="U35"/>
      <c r="V35"/>
      <c r="W35"/>
      <c r="X35"/>
      <c r="Y35"/>
      <c r="Z35"/>
      <c r="AA35"/>
      <c r="AB35"/>
      <c r="AC35"/>
      <c r="AD35"/>
      <c r="AE35"/>
      <c r="AF35"/>
      <c r="AG35"/>
      <c r="AH35"/>
      <c r="AI35"/>
      <c r="AJ35"/>
      <c r="AK35"/>
      <c r="AL35"/>
    </row>
    <row r="36" spans="1:38" x14ac:dyDescent="0.25">
      <c r="A36" s="37">
        <v>3947</v>
      </c>
      <c r="B36" s="77">
        <v>0.75</v>
      </c>
      <c r="C36" s="26">
        <v>0.25</v>
      </c>
      <c r="D36" s="81">
        <v>0</v>
      </c>
      <c r="E36"/>
      <c r="F36"/>
      <c r="G36"/>
      <c r="H36"/>
      <c r="I36"/>
      <c r="J36"/>
      <c r="K36"/>
      <c r="L36"/>
      <c r="M36"/>
      <c r="N36"/>
      <c r="O36"/>
      <c r="P36"/>
      <c r="Q36"/>
      <c r="R36"/>
      <c r="S36"/>
      <c r="T36"/>
      <c r="U36"/>
      <c r="V36"/>
      <c r="W36"/>
      <c r="X36"/>
      <c r="Y36"/>
      <c r="Z36"/>
      <c r="AA36"/>
      <c r="AB36"/>
      <c r="AC36"/>
      <c r="AD36"/>
      <c r="AE36"/>
      <c r="AF36"/>
      <c r="AG36"/>
      <c r="AH36"/>
      <c r="AI36"/>
      <c r="AJ36"/>
      <c r="AK36"/>
      <c r="AL36"/>
    </row>
    <row r="37" spans="1:38" x14ac:dyDescent="0.25">
      <c r="A37" s="37">
        <v>4070</v>
      </c>
      <c r="B37" s="77">
        <v>0.90909090909090906</v>
      </c>
      <c r="C37" s="26">
        <v>9.0909090909090912E-2</v>
      </c>
      <c r="D37" s="81">
        <v>0</v>
      </c>
      <c r="E37"/>
      <c r="F37"/>
      <c r="G37"/>
      <c r="H37"/>
      <c r="I37"/>
      <c r="J37"/>
      <c r="K37"/>
      <c r="L37"/>
      <c r="M37"/>
      <c r="N37"/>
      <c r="O37"/>
      <c r="P37"/>
      <c r="Q37"/>
      <c r="R37"/>
      <c r="S37"/>
      <c r="T37"/>
      <c r="U37"/>
      <c r="V37"/>
      <c r="W37"/>
      <c r="X37"/>
      <c r="Y37"/>
      <c r="Z37"/>
      <c r="AA37"/>
      <c r="AB37"/>
      <c r="AC37"/>
      <c r="AD37"/>
      <c r="AE37"/>
      <c r="AF37"/>
      <c r="AG37"/>
      <c r="AH37"/>
      <c r="AI37"/>
      <c r="AJ37"/>
      <c r="AK37"/>
      <c r="AL37"/>
    </row>
    <row r="38" spans="1:38" x14ac:dyDescent="0.25">
      <c r="A38" s="37">
        <v>4211</v>
      </c>
      <c r="B38" s="77">
        <v>0.8</v>
      </c>
      <c r="C38" s="26">
        <v>0.2</v>
      </c>
      <c r="D38" s="81">
        <v>0</v>
      </c>
      <c r="E38"/>
      <c r="F38"/>
      <c r="G38"/>
      <c r="H38"/>
      <c r="I38"/>
      <c r="J38"/>
      <c r="K38"/>
      <c r="L38"/>
      <c r="M38"/>
      <c r="N38"/>
      <c r="O38"/>
      <c r="P38"/>
      <c r="Q38"/>
      <c r="R38"/>
      <c r="S38"/>
      <c r="T38"/>
      <c r="U38"/>
      <c r="V38"/>
      <c r="W38"/>
      <c r="X38"/>
      <c r="Y38"/>
      <c r="Z38"/>
      <c r="AA38"/>
      <c r="AB38"/>
      <c r="AC38"/>
      <c r="AD38"/>
      <c r="AE38"/>
      <c r="AF38"/>
      <c r="AG38"/>
      <c r="AH38"/>
      <c r="AI38"/>
      <c r="AJ38"/>
      <c r="AK38"/>
      <c r="AL38"/>
    </row>
    <row r="39" spans="1:38" x14ac:dyDescent="0.25">
      <c r="A39" s="37">
        <v>4234</v>
      </c>
      <c r="B39" s="77">
        <v>1</v>
      </c>
      <c r="C39" s="26">
        <v>0</v>
      </c>
      <c r="D39" s="81">
        <v>0</v>
      </c>
      <c r="E39"/>
      <c r="F39"/>
      <c r="G39"/>
      <c r="H39"/>
      <c r="I39"/>
      <c r="J39"/>
      <c r="K39"/>
      <c r="L39"/>
      <c r="M39"/>
      <c r="N39"/>
      <c r="O39"/>
      <c r="P39"/>
      <c r="Q39"/>
      <c r="R39"/>
      <c r="S39"/>
      <c r="T39"/>
      <c r="U39"/>
      <c r="V39"/>
      <c r="W39"/>
      <c r="X39"/>
      <c r="Y39"/>
      <c r="Z39"/>
      <c r="AA39"/>
      <c r="AB39"/>
      <c r="AC39"/>
      <c r="AD39"/>
      <c r="AE39"/>
      <c r="AF39"/>
      <c r="AG39"/>
      <c r="AH39"/>
      <c r="AI39"/>
      <c r="AJ39"/>
      <c r="AK39"/>
      <c r="AL39"/>
    </row>
    <row r="40" spans="1:38" x14ac:dyDescent="0.25">
      <c r="A40" s="37">
        <v>4272</v>
      </c>
      <c r="B40" s="77">
        <v>0.58333333333333337</v>
      </c>
      <c r="C40" s="26">
        <v>0.41666666666666669</v>
      </c>
      <c r="D40" s="81">
        <v>0</v>
      </c>
      <c r="E40"/>
      <c r="F40"/>
      <c r="G40"/>
      <c r="H40"/>
      <c r="I40"/>
      <c r="J40"/>
      <c r="K40"/>
      <c r="L40"/>
      <c r="M40"/>
      <c r="N40"/>
      <c r="O40"/>
      <c r="P40"/>
      <c r="Q40"/>
      <c r="R40"/>
      <c r="S40"/>
      <c r="T40"/>
      <c r="U40"/>
      <c r="V40"/>
      <c r="W40"/>
      <c r="X40"/>
      <c r="Y40"/>
      <c r="Z40"/>
      <c r="AA40"/>
      <c r="AB40"/>
      <c r="AC40"/>
      <c r="AD40"/>
      <c r="AE40"/>
      <c r="AF40"/>
      <c r="AG40"/>
      <c r="AH40"/>
      <c r="AI40"/>
      <c r="AJ40"/>
      <c r="AK40"/>
      <c r="AL40"/>
    </row>
    <row r="41" spans="1:38" x14ac:dyDescent="0.25">
      <c r="A41" s="37">
        <v>4485</v>
      </c>
      <c r="B41" s="77">
        <v>1</v>
      </c>
      <c r="C41" s="26">
        <v>0</v>
      </c>
      <c r="D41" s="81">
        <v>0</v>
      </c>
      <c r="E41"/>
      <c r="F41"/>
      <c r="G41"/>
      <c r="H41"/>
      <c r="I41"/>
      <c r="J41"/>
      <c r="K41"/>
      <c r="L41"/>
      <c r="M41"/>
      <c r="N41"/>
      <c r="O41"/>
      <c r="P41"/>
      <c r="Q41"/>
      <c r="R41"/>
      <c r="S41"/>
      <c r="T41"/>
      <c r="U41"/>
      <c r="V41"/>
      <c r="W41"/>
      <c r="X41"/>
      <c r="Y41"/>
      <c r="Z41"/>
      <c r="AA41"/>
      <c r="AB41"/>
      <c r="AC41"/>
      <c r="AD41"/>
      <c r="AE41"/>
      <c r="AF41"/>
      <c r="AG41"/>
      <c r="AH41"/>
      <c r="AI41"/>
      <c r="AJ41"/>
      <c r="AK41"/>
      <c r="AL41"/>
    </row>
    <row r="42" spans="1:38" x14ac:dyDescent="0.25">
      <c r="A42" s="37">
        <v>4545</v>
      </c>
      <c r="B42" s="77">
        <v>0.83333333333333337</v>
      </c>
      <c r="C42" s="26">
        <v>0.16666666666666666</v>
      </c>
      <c r="D42" s="81">
        <v>0</v>
      </c>
      <c r="E42"/>
      <c r="F42"/>
      <c r="G42"/>
      <c r="H42"/>
      <c r="I42"/>
      <c r="J42"/>
      <c r="K42"/>
      <c r="L42"/>
      <c r="M42"/>
      <c r="N42"/>
      <c r="O42"/>
      <c r="P42"/>
      <c r="Q42"/>
      <c r="R42"/>
      <c r="S42"/>
      <c r="T42"/>
      <c r="U42"/>
      <c r="V42"/>
      <c r="W42"/>
      <c r="X42"/>
      <c r="Y42"/>
      <c r="Z42"/>
      <c r="AA42"/>
      <c r="AB42"/>
      <c r="AC42"/>
      <c r="AD42"/>
      <c r="AE42"/>
      <c r="AF42"/>
      <c r="AG42"/>
      <c r="AH42"/>
      <c r="AI42"/>
      <c r="AJ42"/>
      <c r="AK42"/>
      <c r="AL42"/>
    </row>
    <row r="43" spans="1:38" x14ac:dyDescent="0.25">
      <c r="A43" s="37">
        <v>4580</v>
      </c>
      <c r="B43" s="77">
        <v>1</v>
      </c>
      <c r="C43" s="26">
        <v>0</v>
      </c>
      <c r="D43" s="81">
        <v>0</v>
      </c>
      <c r="E43"/>
      <c r="F43"/>
      <c r="G43"/>
      <c r="H43"/>
      <c r="I43"/>
      <c r="J43"/>
      <c r="K43"/>
      <c r="L43"/>
      <c r="M43"/>
      <c r="N43"/>
      <c r="O43"/>
      <c r="P43"/>
      <c r="Q43"/>
      <c r="R43"/>
      <c r="S43"/>
      <c r="T43"/>
      <c r="U43"/>
      <c r="V43"/>
      <c r="W43"/>
      <c r="X43"/>
      <c r="Y43"/>
      <c r="Z43"/>
      <c r="AA43"/>
      <c r="AB43"/>
      <c r="AC43"/>
      <c r="AD43"/>
      <c r="AE43"/>
      <c r="AF43"/>
      <c r="AG43"/>
      <c r="AH43"/>
      <c r="AI43"/>
      <c r="AJ43"/>
      <c r="AK43"/>
      <c r="AL43"/>
    </row>
    <row r="44" spans="1:38" x14ac:dyDescent="0.25">
      <c r="A44" s="37">
        <v>4791</v>
      </c>
      <c r="B44" s="77">
        <v>0.92307692307692313</v>
      </c>
      <c r="C44" s="26">
        <v>7.6923076923076927E-2</v>
      </c>
      <c r="D44" s="81">
        <v>0</v>
      </c>
      <c r="E44"/>
      <c r="F44"/>
      <c r="G44"/>
      <c r="H44"/>
      <c r="I44"/>
      <c r="J44"/>
      <c r="K44"/>
      <c r="L44"/>
      <c r="M44"/>
      <c r="N44"/>
      <c r="O44"/>
      <c r="P44"/>
      <c r="Q44"/>
      <c r="R44"/>
      <c r="S44"/>
      <c r="T44"/>
      <c r="U44"/>
      <c r="V44"/>
      <c r="W44"/>
      <c r="X44"/>
      <c r="Y44"/>
      <c r="Z44"/>
      <c r="AA44"/>
      <c r="AB44"/>
      <c r="AC44"/>
      <c r="AD44"/>
      <c r="AE44"/>
      <c r="AF44"/>
      <c r="AG44"/>
      <c r="AH44"/>
      <c r="AI44"/>
      <c r="AJ44"/>
      <c r="AK44"/>
      <c r="AL44"/>
    </row>
    <row r="45" spans="1:38" x14ac:dyDescent="0.25">
      <c r="A45" s="37">
        <v>4846</v>
      </c>
      <c r="B45" s="77">
        <v>0.91666666666666663</v>
      </c>
      <c r="C45" s="26">
        <v>8.3333333333333329E-2</v>
      </c>
      <c r="D45" s="81">
        <v>0</v>
      </c>
      <c r="E45"/>
      <c r="F45"/>
      <c r="G45"/>
      <c r="H45"/>
      <c r="I45"/>
      <c r="J45"/>
      <c r="K45"/>
      <c r="L45"/>
      <c r="M45"/>
      <c r="N45"/>
      <c r="O45"/>
      <c r="P45"/>
      <c r="Q45"/>
      <c r="R45"/>
      <c r="S45"/>
      <c r="T45"/>
      <c r="U45"/>
      <c r="V45"/>
      <c r="W45"/>
      <c r="X45"/>
      <c r="Y45"/>
      <c r="Z45"/>
      <c r="AA45"/>
      <c r="AB45"/>
      <c r="AC45"/>
      <c r="AD45"/>
      <c r="AE45"/>
      <c r="AF45"/>
      <c r="AG45"/>
      <c r="AH45"/>
      <c r="AI45"/>
      <c r="AJ45"/>
      <c r="AK45"/>
      <c r="AL45"/>
    </row>
    <row r="46" spans="1:38" x14ac:dyDescent="0.25">
      <c r="A46" s="37" t="s">
        <v>29</v>
      </c>
      <c r="B46" s="77" t="e">
        <v>#DIV/0!</v>
      </c>
      <c r="C46" s="26" t="e">
        <v>#DIV/0!</v>
      </c>
      <c r="D46" s="81" t="e">
        <v>#DIV/0!</v>
      </c>
      <c r="E46"/>
      <c r="F46"/>
      <c r="G46"/>
      <c r="H46"/>
      <c r="I46"/>
      <c r="J46"/>
      <c r="K46"/>
      <c r="L46"/>
      <c r="M46"/>
      <c r="N46"/>
      <c r="O46"/>
      <c r="P46"/>
      <c r="Q46"/>
      <c r="R46"/>
      <c r="S46"/>
      <c r="T46"/>
      <c r="U46"/>
      <c r="V46"/>
      <c r="W46"/>
      <c r="X46"/>
      <c r="Y46"/>
      <c r="Z46"/>
      <c r="AA46"/>
      <c r="AB46"/>
      <c r="AC46"/>
      <c r="AD46"/>
      <c r="AE46"/>
      <c r="AF46"/>
      <c r="AG46"/>
      <c r="AH46"/>
      <c r="AI46"/>
      <c r="AJ46"/>
      <c r="AK46"/>
      <c r="AL46"/>
    </row>
    <row r="47" spans="1:38" x14ac:dyDescent="0.25">
      <c r="A47" s="40" t="s">
        <v>7</v>
      </c>
      <c r="B47" s="78">
        <v>0.8424908424908425</v>
      </c>
      <c r="C47" s="27">
        <v>0.1575091575091575</v>
      </c>
      <c r="D47" s="82">
        <v>0</v>
      </c>
      <c r="E47"/>
      <c r="F47"/>
      <c r="G47"/>
      <c r="H47"/>
      <c r="I47"/>
      <c r="J47"/>
      <c r="K47"/>
      <c r="L47"/>
      <c r="M47"/>
      <c r="N47"/>
      <c r="O47"/>
      <c r="P47"/>
      <c r="Q47"/>
      <c r="R47"/>
      <c r="S47"/>
      <c r="T47"/>
      <c r="U47"/>
      <c r="V47"/>
      <c r="W47"/>
      <c r="X47"/>
      <c r="Y47"/>
      <c r="Z47"/>
      <c r="AA47"/>
      <c r="AB47"/>
      <c r="AC47"/>
      <c r="AD47"/>
      <c r="AE47"/>
      <c r="AF47"/>
      <c r="AG47"/>
      <c r="AH47"/>
      <c r="AI47"/>
      <c r="AJ47"/>
      <c r="AK47"/>
      <c r="AL47"/>
    </row>
    <row r="48" spans="1:38" x14ac:dyDescent="0.25">
      <c r="A48"/>
      <c r="B48"/>
      <c r="C48"/>
      <c r="D48"/>
      <c r="E48"/>
      <c r="F48"/>
      <c r="G48"/>
      <c r="H48"/>
      <c r="I48"/>
      <c r="J48"/>
      <c r="K48"/>
      <c r="L48"/>
      <c r="M48"/>
      <c r="N48"/>
      <c r="O48"/>
      <c r="P48"/>
      <c r="Q48"/>
      <c r="R48"/>
      <c r="S48"/>
      <c r="T48"/>
      <c r="U48"/>
      <c r="V48"/>
      <c r="W48"/>
      <c r="X48"/>
      <c r="Y48"/>
      <c r="Z48"/>
      <c r="AA48"/>
      <c r="AB48"/>
      <c r="AC48"/>
      <c r="AD48"/>
      <c r="AE48"/>
      <c r="AF48"/>
      <c r="AG48"/>
      <c r="AH48"/>
      <c r="AI48"/>
      <c r="AJ48"/>
      <c r="AK48"/>
      <c r="AL48"/>
    </row>
    <row r="49" spans="1:27" x14ac:dyDescent="0.25">
      <c r="A49"/>
      <c r="B49"/>
      <c r="C49"/>
      <c r="D49"/>
      <c r="E49"/>
      <c r="F49"/>
      <c r="G49"/>
      <c r="H49"/>
      <c r="I49"/>
      <c r="J49"/>
      <c r="K49"/>
      <c r="L49"/>
      <c r="M49"/>
      <c r="N49"/>
      <c r="O49"/>
      <c r="P49"/>
      <c r="Q49"/>
      <c r="R49"/>
      <c r="S49"/>
      <c r="T49"/>
      <c r="U49"/>
      <c r="V49"/>
      <c r="W49"/>
      <c r="X49"/>
      <c r="Y49"/>
      <c r="Z49"/>
      <c r="AA49"/>
    </row>
    <row r="50" spans="1:27" x14ac:dyDescent="0.25">
      <c r="A50"/>
      <c r="B50"/>
      <c r="C50"/>
      <c r="D50"/>
      <c r="E50"/>
      <c r="F50"/>
      <c r="G50"/>
      <c r="H50"/>
      <c r="I50"/>
      <c r="J50"/>
      <c r="K50"/>
      <c r="L50"/>
      <c r="M50"/>
      <c r="N50"/>
    </row>
    <row r="51" spans="1:27" x14ac:dyDescent="0.25">
      <c r="A51"/>
      <c r="B51"/>
      <c r="C51"/>
      <c r="D51"/>
      <c r="E51"/>
      <c r="F51"/>
      <c r="G51"/>
      <c r="H51"/>
      <c r="I51"/>
      <c r="J51"/>
      <c r="K51"/>
      <c r="L51"/>
      <c r="M51"/>
      <c r="N51"/>
    </row>
    <row r="52" spans="1:27" x14ac:dyDescent="0.25">
      <c r="A52"/>
      <c r="B52"/>
      <c r="C52"/>
      <c r="D52"/>
      <c r="E52"/>
      <c r="F52"/>
      <c r="G52"/>
      <c r="H52"/>
      <c r="I52"/>
      <c r="J52"/>
      <c r="K52"/>
      <c r="L52"/>
      <c r="M52"/>
      <c r="N52"/>
    </row>
    <row r="53" spans="1:27" x14ac:dyDescent="0.25">
      <c r="A53"/>
      <c r="B53"/>
      <c r="C53"/>
      <c r="D53"/>
      <c r="E53"/>
      <c r="F53"/>
      <c r="G53"/>
      <c r="H53"/>
      <c r="I53"/>
      <c r="J53"/>
      <c r="K53"/>
      <c r="L53"/>
      <c r="M53"/>
      <c r="N53"/>
    </row>
    <row r="54" spans="1:27" x14ac:dyDescent="0.25">
      <c r="A54"/>
      <c r="B54"/>
      <c r="C54"/>
      <c r="D54"/>
      <c r="E54"/>
      <c r="F54"/>
      <c r="G54"/>
      <c r="H54"/>
      <c r="I54"/>
      <c r="J54"/>
      <c r="K54"/>
      <c r="L54"/>
      <c r="M54"/>
      <c r="N54"/>
    </row>
    <row r="55" spans="1:27" x14ac:dyDescent="0.25">
      <c r="A55"/>
      <c r="B55"/>
      <c r="C55"/>
      <c r="D55"/>
      <c r="E55"/>
      <c r="F55"/>
      <c r="G55"/>
      <c r="H55"/>
      <c r="I55"/>
      <c r="J55"/>
      <c r="K55"/>
      <c r="L55"/>
      <c r="M55"/>
      <c r="N55"/>
    </row>
    <row r="56" spans="1:27" x14ac:dyDescent="0.25">
      <c r="A56"/>
      <c r="B56"/>
      <c r="C56"/>
      <c r="D56"/>
      <c r="E56"/>
      <c r="F56"/>
      <c r="G56"/>
      <c r="H56"/>
      <c r="I56"/>
      <c r="J56"/>
      <c r="K56"/>
      <c r="L56"/>
      <c r="M56"/>
      <c r="N56"/>
    </row>
    <row r="57" spans="1:27" x14ac:dyDescent="0.25">
      <c r="A57"/>
      <c r="B57"/>
      <c r="C57"/>
      <c r="D57"/>
      <c r="E57"/>
      <c r="F57"/>
      <c r="G57"/>
      <c r="H57"/>
      <c r="I57"/>
      <c r="J57"/>
      <c r="K57"/>
      <c r="L57"/>
      <c r="M57"/>
      <c r="N57"/>
    </row>
    <row r="58" spans="1:27" x14ac:dyDescent="0.25">
      <c r="A58"/>
      <c r="B58"/>
      <c r="C58"/>
      <c r="D58"/>
      <c r="E58"/>
      <c r="F58"/>
      <c r="G58"/>
      <c r="H58"/>
      <c r="I58"/>
      <c r="J58"/>
      <c r="K58"/>
      <c r="L58"/>
      <c r="M58"/>
      <c r="N58"/>
    </row>
    <row r="59" spans="1:27" x14ac:dyDescent="0.25">
      <c r="A59"/>
      <c r="B59"/>
      <c r="C59"/>
      <c r="D59"/>
      <c r="E59"/>
      <c r="F59"/>
      <c r="G59"/>
      <c r="H59"/>
      <c r="I59"/>
      <c r="J59"/>
      <c r="K59"/>
      <c r="L59"/>
      <c r="M59"/>
      <c r="N59"/>
    </row>
    <row r="60" spans="1:27" x14ac:dyDescent="0.25">
      <c r="A60"/>
      <c r="B60"/>
      <c r="C60"/>
      <c r="D60"/>
      <c r="E60"/>
      <c r="F60"/>
      <c r="G60"/>
      <c r="H60"/>
      <c r="I60"/>
      <c r="J60"/>
      <c r="K60"/>
      <c r="L60"/>
      <c r="M60"/>
      <c r="N60"/>
    </row>
    <row r="61" spans="1:27" x14ac:dyDescent="0.25">
      <c r="A61"/>
      <c r="B61"/>
      <c r="C61"/>
      <c r="D61"/>
      <c r="E61"/>
      <c r="F61"/>
      <c r="G61"/>
      <c r="H61"/>
      <c r="I61"/>
      <c r="J61"/>
      <c r="K61"/>
      <c r="L61"/>
      <c r="M61"/>
      <c r="N61"/>
    </row>
    <row r="62" spans="1:27" x14ac:dyDescent="0.25">
      <c r="A62"/>
      <c r="B62"/>
      <c r="C62"/>
      <c r="D62"/>
      <c r="E62"/>
      <c r="F62"/>
      <c r="G62"/>
      <c r="H62"/>
      <c r="I62"/>
      <c r="J62"/>
      <c r="K62"/>
      <c r="L62"/>
      <c r="M62"/>
      <c r="N62"/>
    </row>
    <row r="63" spans="1:27" x14ac:dyDescent="0.25">
      <c r="A63"/>
      <c r="B63"/>
      <c r="C63"/>
      <c r="D63"/>
      <c r="E63"/>
      <c r="F63"/>
      <c r="G63"/>
      <c r="H63"/>
      <c r="I63"/>
      <c r="J63"/>
      <c r="K63"/>
      <c r="L63"/>
      <c r="M63"/>
      <c r="N63"/>
    </row>
    <row r="64" spans="1:27" x14ac:dyDescent="0.25">
      <c r="A64"/>
      <c r="B64"/>
      <c r="C64"/>
      <c r="D64"/>
      <c r="E64"/>
      <c r="F64"/>
      <c r="G64"/>
      <c r="H64"/>
      <c r="I64"/>
      <c r="J64"/>
      <c r="K64"/>
      <c r="L64"/>
      <c r="M64"/>
      <c r="N64"/>
    </row>
    <row r="65" spans="1:14" x14ac:dyDescent="0.25">
      <c r="A65"/>
      <c r="B65"/>
      <c r="C65"/>
      <c r="D65"/>
      <c r="E65"/>
      <c r="F65"/>
      <c r="G65"/>
      <c r="H65"/>
      <c r="I65"/>
      <c r="J65"/>
      <c r="K65"/>
      <c r="L65"/>
      <c r="M65"/>
      <c r="N65"/>
    </row>
    <row r="66" spans="1:14" x14ac:dyDescent="0.25">
      <c r="A66"/>
      <c r="B66"/>
      <c r="C66"/>
      <c r="D66"/>
      <c r="E66"/>
      <c r="F66"/>
      <c r="G66"/>
      <c r="H66"/>
      <c r="I66"/>
      <c r="J66"/>
      <c r="K66"/>
      <c r="L66"/>
      <c r="M66"/>
      <c r="N66"/>
    </row>
    <row r="67" spans="1:14" x14ac:dyDescent="0.25">
      <c r="A67"/>
      <c r="B67"/>
      <c r="C67"/>
      <c r="D67"/>
      <c r="E67"/>
      <c r="F67"/>
      <c r="G67"/>
      <c r="H67"/>
      <c r="I67"/>
      <c r="J67"/>
      <c r="K67"/>
      <c r="L67"/>
      <c r="M67"/>
      <c r="N67"/>
    </row>
    <row r="68" spans="1:14" x14ac:dyDescent="0.25">
      <c r="A68"/>
      <c r="B68"/>
      <c r="C68"/>
      <c r="D68"/>
      <c r="E68"/>
      <c r="F68"/>
      <c r="G68"/>
      <c r="H68"/>
      <c r="I68"/>
      <c r="J68"/>
      <c r="K68"/>
      <c r="L68"/>
      <c r="M68"/>
      <c r="N68"/>
    </row>
    <row r="69" spans="1:14" x14ac:dyDescent="0.25">
      <c r="A69"/>
      <c r="B69"/>
      <c r="C69"/>
      <c r="D69"/>
      <c r="E69"/>
      <c r="F69"/>
      <c r="G69"/>
      <c r="H69"/>
      <c r="I69"/>
      <c r="J69"/>
      <c r="K69"/>
      <c r="L69"/>
      <c r="M69"/>
      <c r="N69"/>
    </row>
    <row r="70" spans="1:14" x14ac:dyDescent="0.25">
      <c r="A70"/>
      <c r="B70"/>
      <c r="C70"/>
      <c r="D70"/>
      <c r="E70"/>
      <c r="F70"/>
      <c r="G70"/>
      <c r="H70"/>
      <c r="I70"/>
      <c r="J70"/>
      <c r="K70"/>
      <c r="L70"/>
      <c r="M70"/>
      <c r="N70"/>
    </row>
    <row r="71" spans="1:14" x14ac:dyDescent="0.25">
      <c r="A71"/>
      <c r="B71"/>
      <c r="C71"/>
      <c r="D71"/>
      <c r="E71"/>
      <c r="F71"/>
      <c r="G71"/>
      <c r="H71"/>
      <c r="I71"/>
      <c r="J71"/>
      <c r="K71"/>
      <c r="L71"/>
      <c r="M71"/>
      <c r="N71"/>
    </row>
    <row r="72" spans="1:14" x14ac:dyDescent="0.25">
      <c r="A72"/>
      <c r="B72"/>
      <c r="C72"/>
      <c r="D72"/>
      <c r="E72"/>
      <c r="F72"/>
      <c r="G72"/>
      <c r="H72"/>
      <c r="I72"/>
      <c r="J72"/>
      <c r="K72"/>
      <c r="L72"/>
      <c r="M72"/>
      <c r="N72"/>
    </row>
    <row r="73" spans="1:14" x14ac:dyDescent="0.25">
      <c r="A73"/>
      <c r="B73"/>
      <c r="C73"/>
      <c r="D73"/>
      <c r="E73"/>
      <c r="F73"/>
      <c r="G73"/>
      <c r="H73"/>
      <c r="I73"/>
      <c r="J73"/>
      <c r="K73"/>
      <c r="L73"/>
      <c r="M73"/>
      <c r="N73"/>
    </row>
    <row r="74" spans="1:14" x14ac:dyDescent="0.25">
      <c r="A74"/>
      <c r="B74"/>
      <c r="C74"/>
      <c r="D74"/>
      <c r="E74"/>
      <c r="F74"/>
      <c r="G74"/>
      <c r="H74"/>
      <c r="I74"/>
      <c r="J74"/>
      <c r="K74"/>
      <c r="L74"/>
      <c r="M74"/>
      <c r="N74"/>
    </row>
    <row r="75" spans="1:14" x14ac:dyDescent="0.25">
      <c r="A75"/>
      <c r="B75"/>
      <c r="C75"/>
      <c r="D75"/>
      <c r="E75"/>
      <c r="F75"/>
      <c r="G75"/>
      <c r="H75"/>
      <c r="I75"/>
      <c r="J75"/>
      <c r="K75"/>
      <c r="L75"/>
      <c r="M75"/>
      <c r="N75"/>
    </row>
    <row r="76" spans="1:14" x14ac:dyDescent="0.25">
      <c r="A76"/>
      <c r="B76"/>
      <c r="C76"/>
      <c r="D76"/>
      <c r="E76"/>
      <c r="F76"/>
      <c r="G76"/>
      <c r="H76"/>
      <c r="I76"/>
      <c r="J76"/>
      <c r="K76"/>
      <c r="L76"/>
      <c r="M76"/>
      <c r="N76"/>
    </row>
    <row r="77" spans="1:14" x14ac:dyDescent="0.25">
      <c r="A77"/>
      <c r="B77"/>
      <c r="C77"/>
      <c r="D77"/>
      <c r="E77"/>
      <c r="F77"/>
      <c r="G77"/>
      <c r="H77"/>
      <c r="I77"/>
      <c r="J77"/>
      <c r="K77"/>
      <c r="L77"/>
      <c r="M77"/>
      <c r="N77"/>
    </row>
    <row r="78" spans="1:14" x14ac:dyDescent="0.25">
      <c r="A78"/>
      <c r="B78"/>
      <c r="C78"/>
      <c r="D78"/>
      <c r="E78"/>
      <c r="F78"/>
      <c r="G78"/>
      <c r="H78"/>
      <c r="I78"/>
      <c r="J78"/>
      <c r="K78"/>
      <c r="L78"/>
      <c r="M78"/>
      <c r="N78"/>
    </row>
    <row r="79" spans="1:14" x14ac:dyDescent="0.25">
      <c r="A79"/>
      <c r="B79"/>
      <c r="C79"/>
      <c r="D79"/>
      <c r="E79"/>
      <c r="F79"/>
      <c r="G79"/>
      <c r="H79"/>
      <c r="I79"/>
      <c r="J79"/>
      <c r="K79"/>
      <c r="L79"/>
      <c r="M79"/>
      <c r="N79"/>
    </row>
    <row r="80" spans="1:14" x14ac:dyDescent="0.25">
      <c r="A80"/>
      <c r="B80"/>
      <c r="C80"/>
      <c r="D80"/>
      <c r="E80"/>
      <c r="F80"/>
      <c r="G80"/>
      <c r="H80"/>
      <c r="I80"/>
      <c r="J80"/>
      <c r="K80"/>
      <c r="L80"/>
      <c r="M80"/>
      <c r="N80"/>
    </row>
    <row r="81" spans="1:14" x14ac:dyDescent="0.25">
      <c r="A81"/>
      <c r="B81"/>
      <c r="C81"/>
      <c r="D81"/>
      <c r="E81"/>
      <c r="F81"/>
      <c r="G81"/>
      <c r="H81"/>
      <c r="I81"/>
      <c r="J81"/>
      <c r="K81"/>
      <c r="L81"/>
      <c r="M81"/>
      <c r="N81"/>
    </row>
    <row r="82" spans="1:14" x14ac:dyDescent="0.25">
      <c r="A82"/>
      <c r="B82"/>
      <c r="C82"/>
      <c r="D82"/>
      <c r="E82"/>
      <c r="F82"/>
      <c r="G82"/>
      <c r="H82"/>
      <c r="I82"/>
      <c r="J82"/>
      <c r="K82"/>
      <c r="L82"/>
      <c r="M82"/>
      <c r="N82"/>
    </row>
    <row r="83" spans="1:14" x14ac:dyDescent="0.25">
      <c r="A83"/>
      <c r="B83"/>
      <c r="C83"/>
      <c r="D83"/>
      <c r="E83"/>
      <c r="F83"/>
      <c r="G83"/>
      <c r="H83"/>
      <c r="I83"/>
      <c r="J83"/>
      <c r="K83"/>
      <c r="L83"/>
      <c r="M83"/>
      <c r="N83"/>
    </row>
    <row r="84" spans="1:14" x14ac:dyDescent="0.25">
      <c r="A84"/>
      <c r="B84"/>
      <c r="C84"/>
      <c r="D84"/>
      <c r="E84"/>
      <c r="F84"/>
      <c r="G84"/>
      <c r="H84"/>
      <c r="I84"/>
      <c r="J84"/>
      <c r="K84"/>
      <c r="L84"/>
      <c r="M84"/>
      <c r="N84"/>
    </row>
    <row r="85" spans="1:14" x14ac:dyDescent="0.25">
      <c r="A85"/>
      <c r="B85"/>
      <c r="C85"/>
      <c r="D85"/>
      <c r="E85"/>
      <c r="F85"/>
      <c r="G85"/>
      <c r="H85"/>
      <c r="I85"/>
      <c r="J85"/>
      <c r="K85"/>
      <c r="L85"/>
      <c r="M85"/>
      <c r="N85"/>
    </row>
    <row r="86" spans="1:14" x14ac:dyDescent="0.25">
      <c r="A86"/>
      <c r="B86"/>
      <c r="C86"/>
      <c r="D86"/>
      <c r="E86"/>
      <c r="F86"/>
      <c r="G86"/>
      <c r="H86"/>
      <c r="I86"/>
      <c r="J86"/>
      <c r="K86"/>
      <c r="L86"/>
      <c r="M86"/>
      <c r="N86"/>
    </row>
    <row r="87" spans="1:14" x14ac:dyDescent="0.25">
      <c r="A87"/>
      <c r="B87"/>
      <c r="C87"/>
      <c r="D87"/>
      <c r="E87"/>
      <c r="F87"/>
      <c r="G87"/>
      <c r="H87"/>
      <c r="I87"/>
      <c r="J87"/>
      <c r="K87"/>
      <c r="L87"/>
      <c r="M87"/>
      <c r="N87"/>
    </row>
    <row r="88" spans="1:14" x14ac:dyDescent="0.25">
      <c r="A88"/>
      <c r="B88"/>
      <c r="C88"/>
      <c r="D88"/>
      <c r="E88"/>
      <c r="F88"/>
      <c r="G88"/>
      <c r="H88"/>
      <c r="I88"/>
      <c r="J88"/>
      <c r="K88"/>
      <c r="L88"/>
      <c r="M88"/>
      <c r="N88"/>
    </row>
    <row r="89" spans="1:14" x14ac:dyDescent="0.25">
      <c r="A89"/>
      <c r="B89"/>
      <c r="C89"/>
      <c r="D89"/>
      <c r="E89"/>
      <c r="F89"/>
      <c r="G89"/>
      <c r="H89"/>
      <c r="I89"/>
      <c r="J89"/>
      <c r="K89"/>
      <c r="L89"/>
      <c r="M89"/>
      <c r="N89"/>
    </row>
    <row r="90" spans="1:14" x14ac:dyDescent="0.25">
      <c r="A90"/>
      <c r="B90"/>
      <c r="C90"/>
      <c r="D90"/>
      <c r="E90"/>
      <c r="F90"/>
      <c r="G90"/>
      <c r="H90"/>
      <c r="I90"/>
      <c r="J90"/>
      <c r="K90"/>
      <c r="L90"/>
      <c r="M90"/>
      <c r="N90"/>
    </row>
    <row r="91" spans="1:14" x14ac:dyDescent="0.25">
      <c r="A91"/>
      <c r="B91"/>
      <c r="C91"/>
      <c r="D91"/>
      <c r="E91"/>
      <c r="F91"/>
      <c r="G91"/>
      <c r="H91"/>
      <c r="I91"/>
      <c r="J91"/>
      <c r="K91"/>
      <c r="L91"/>
      <c r="M91"/>
    </row>
    <row r="92" spans="1:14" x14ac:dyDescent="0.25">
      <c r="A92"/>
      <c r="B92"/>
      <c r="C92"/>
      <c r="D92"/>
      <c r="E92"/>
      <c r="F92"/>
      <c r="G92"/>
      <c r="H92"/>
      <c r="I92"/>
      <c r="J92"/>
      <c r="K92"/>
      <c r="L92"/>
      <c r="M92"/>
    </row>
    <row r="93" spans="1:14" x14ac:dyDescent="0.25">
      <c r="A93"/>
      <c r="B93"/>
      <c r="C93"/>
      <c r="D93"/>
      <c r="E93"/>
      <c r="F93"/>
      <c r="G93"/>
      <c r="H93"/>
      <c r="I93"/>
      <c r="J93"/>
      <c r="K93"/>
      <c r="L93"/>
      <c r="M93"/>
    </row>
    <row r="94" spans="1:14" x14ac:dyDescent="0.25">
      <c r="A94"/>
      <c r="B94"/>
      <c r="C94"/>
      <c r="D94"/>
      <c r="E94"/>
      <c r="F94"/>
      <c r="G94"/>
      <c r="H94"/>
      <c r="I94"/>
      <c r="J94"/>
      <c r="K94"/>
      <c r="L94"/>
      <c r="M94"/>
    </row>
    <row r="95" spans="1:14" x14ac:dyDescent="0.25">
      <c r="A95"/>
      <c r="B95"/>
      <c r="C95"/>
      <c r="D95"/>
      <c r="E95"/>
      <c r="F95"/>
      <c r="G95"/>
      <c r="H95"/>
      <c r="I95"/>
      <c r="J95"/>
      <c r="K95"/>
      <c r="L95"/>
      <c r="M95"/>
    </row>
    <row r="96" spans="1:14" x14ac:dyDescent="0.25">
      <c r="A96"/>
      <c r="B96"/>
      <c r="C96"/>
      <c r="D96"/>
      <c r="E96"/>
      <c r="F96"/>
      <c r="G96"/>
      <c r="H96"/>
      <c r="I96"/>
      <c r="J96"/>
      <c r="K96"/>
      <c r="L96"/>
      <c r="M96"/>
    </row>
    <row r="97" spans="1:12" x14ac:dyDescent="0.25">
      <c r="A97"/>
      <c r="B97"/>
      <c r="C97"/>
      <c r="D97"/>
      <c r="E97"/>
      <c r="F97"/>
      <c r="G97"/>
      <c r="H97"/>
      <c r="I97"/>
      <c r="J97"/>
      <c r="K97"/>
      <c r="L97"/>
    </row>
    <row r="98" spans="1:12" x14ac:dyDescent="0.25">
      <c r="A98"/>
      <c r="B98"/>
      <c r="C98"/>
      <c r="D98"/>
      <c r="E98"/>
      <c r="F98"/>
      <c r="G98"/>
      <c r="H98"/>
      <c r="I98"/>
      <c r="J98"/>
      <c r="K98"/>
      <c r="L98"/>
    </row>
    <row r="99" spans="1:12" x14ac:dyDescent="0.25">
      <c r="A99"/>
      <c r="B99"/>
      <c r="C99"/>
      <c r="D99"/>
      <c r="E99"/>
      <c r="F99"/>
      <c r="G99"/>
      <c r="H99"/>
      <c r="I99"/>
      <c r="J99"/>
      <c r="K99"/>
      <c r="L99"/>
    </row>
    <row r="100" spans="1:12" x14ac:dyDescent="0.25">
      <c r="A100"/>
      <c r="B100"/>
      <c r="C100"/>
      <c r="D100"/>
      <c r="E100"/>
      <c r="F100"/>
      <c r="G100"/>
      <c r="H100"/>
      <c r="I100"/>
      <c r="J100"/>
      <c r="K100"/>
      <c r="L100"/>
    </row>
    <row r="101" spans="1:12" x14ac:dyDescent="0.25">
      <c r="A101" s="50"/>
      <c r="B101" s="50"/>
      <c r="C101" s="50"/>
      <c r="D101" s="50"/>
      <c r="E101" s="50"/>
      <c r="F101" s="50"/>
      <c r="G101" s="50"/>
      <c r="H101" s="50"/>
      <c r="I101" s="50"/>
      <c r="J101" s="50"/>
      <c r="K101" s="50"/>
      <c r="L101" s="50"/>
    </row>
    <row r="102" spans="1:12" x14ac:dyDescent="0.25">
      <c r="A102" s="50"/>
      <c r="B102" s="50"/>
      <c r="C102" s="50"/>
      <c r="D102" s="50"/>
      <c r="E102" s="50"/>
      <c r="F102" s="50"/>
      <c r="G102" s="50"/>
      <c r="H102" s="50"/>
      <c r="I102" s="50"/>
      <c r="J102" s="50"/>
      <c r="K102" s="50"/>
      <c r="L102" s="50"/>
    </row>
    <row r="103" spans="1:12" x14ac:dyDescent="0.25">
      <c r="A103" s="50"/>
      <c r="B103" s="50"/>
      <c r="C103" s="50"/>
      <c r="D103" s="50"/>
      <c r="E103" s="50"/>
      <c r="F103" s="50"/>
      <c r="G103" s="50"/>
      <c r="H103" s="50"/>
      <c r="I103" s="50"/>
      <c r="J103" s="50"/>
      <c r="K103" s="50"/>
      <c r="L103" s="50"/>
    </row>
    <row r="104" spans="1:12" x14ac:dyDescent="0.25">
      <c r="A104" s="50"/>
      <c r="B104" s="50"/>
      <c r="C104" s="50"/>
      <c r="D104" s="50"/>
      <c r="E104" s="50"/>
      <c r="F104" s="50"/>
      <c r="G104" s="50"/>
      <c r="H104" s="50"/>
      <c r="I104" s="50"/>
      <c r="J104" s="50"/>
      <c r="K104" s="50"/>
      <c r="L104" s="50"/>
    </row>
    <row r="105" spans="1:12" x14ac:dyDescent="0.25">
      <c r="A105" s="50"/>
      <c r="B105" s="50"/>
      <c r="C105" s="50"/>
      <c r="D105" s="50"/>
      <c r="E105" s="50"/>
      <c r="F105" s="50"/>
      <c r="G105" s="50"/>
      <c r="H105" s="50"/>
      <c r="I105" s="50"/>
      <c r="J105" s="50"/>
      <c r="K105" s="50"/>
      <c r="L105" s="50"/>
    </row>
    <row r="106" spans="1:12" x14ac:dyDescent="0.25">
      <c r="A106" s="50"/>
      <c r="B106" s="50"/>
      <c r="C106" s="50"/>
      <c r="D106" s="50"/>
      <c r="E106" s="50"/>
      <c r="F106" s="50"/>
      <c r="G106" s="50"/>
      <c r="H106" s="50"/>
      <c r="I106" s="50"/>
      <c r="J106" s="50"/>
      <c r="K106" s="50"/>
      <c r="L106" s="50"/>
    </row>
    <row r="107" spans="1:12" x14ac:dyDescent="0.25">
      <c r="A107" s="50"/>
      <c r="B107" s="50"/>
      <c r="C107" s="50"/>
      <c r="D107" s="50"/>
      <c r="E107" s="50"/>
      <c r="F107" s="50"/>
      <c r="G107" s="50"/>
      <c r="H107" s="50"/>
      <c r="I107" s="50"/>
      <c r="J107" s="50"/>
      <c r="K107" s="50"/>
      <c r="L107" s="50"/>
    </row>
    <row r="108" spans="1:12" x14ac:dyDescent="0.25">
      <c r="A108" s="50"/>
      <c r="B108" s="50"/>
      <c r="C108" s="50"/>
      <c r="D108" s="50"/>
      <c r="E108" s="50"/>
      <c r="F108" s="50"/>
      <c r="G108" s="50"/>
      <c r="H108" s="50"/>
      <c r="I108" s="50"/>
      <c r="J108" s="50"/>
      <c r="K108" s="50"/>
      <c r="L108" s="50"/>
    </row>
    <row r="109" spans="1:12" x14ac:dyDescent="0.25">
      <c r="A109" s="50"/>
      <c r="B109" s="50"/>
      <c r="C109" s="50"/>
      <c r="D109" s="50"/>
      <c r="E109" s="50"/>
      <c r="F109" s="50"/>
      <c r="G109" s="50"/>
      <c r="H109" s="50"/>
      <c r="I109" s="50"/>
      <c r="J109" s="50"/>
      <c r="K109" s="50"/>
      <c r="L109" s="50"/>
    </row>
    <row r="110" spans="1:12" x14ac:dyDescent="0.25">
      <c r="A110" s="50"/>
      <c r="B110" s="50"/>
      <c r="C110" s="50"/>
      <c r="D110" s="50"/>
      <c r="E110" s="50"/>
      <c r="F110" s="50"/>
      <c r="G110" s="50"/>
      <c r="H110" s="50"/>
      <c r="I110" s="50"/>
      <c r="J110" s="50"/>
      <c r="K110" s="50"/>
      <c r="L110" s="50"/>
    </row>
    <row r="111" spans="1:12" x14ac:dyDescent="0.25">
      <c r="A111" s="50"/>
      <c r="B111" s="50"/>
      <c r="C111" s="50"/>
      <c r="D111" s="50"/>
      <c r="E111" s="50"/>
      <c r="F111" s="50"/>
      <c r="G111" s="50"/>
      <c r="H111" s="50"/>
      <c r="I111" s="50"/>
      <c r="J111" s="50"/>
      <c r="K111" s="50"/>
      <c r="L111" s="50"/>
    </row>
    <row r="112" spans="1:12" x14ac:dyDescent="0.25">
      <c r="A112" s="50"/>
      <c r="B112" s="50"/>
      <c r="C112" s="50"/>
      <c r="D112" s="50"/>
      <c r="E112" s="50"/>
      <c r="F112" s="50"/>
      <c r="G112" s="50"/>
      <c r="H112" s="50"/>
      <c r="I112" s="50"/>
      <c r="J112" s="50"/>
      <c r="K112" s="50"/>
      <c r="L112" s="50"/>
    </row>
    <row r="113" spans="1:12" x14ac:dyDescent="0.25">
      <c r="A113" s="50"/>
      <c r="B113" s="50"/>
      <c r="C113" s="50"/>
      <c r="D113" s="50"/>
      <c r="E113" s="50"/>
      <c r="F113" s="50"/>
      <c r="G113" s="50"/>
      <c r="H113" s="50"/>
      <c r="I113" s="50"/>
      <c r="J113" s="50"/>
      <c r="K113" s="50"/>
      <c r="L113" s="50"/>
    </row>
    <row r="114" spans="1:12" x14ac:dyDescent="0.25">
      <c r="A114" s="50"/>
      <c r="B114" s="50"/>
      <c r="C114" s="50"/>
      <c r="D114" s="50"/>
      <c r="E114" s="50"/>
      <c r="F114" s="50"/>
      <c r="G114" s="50"/>
      <c r="H114" s="50"/>
      <c r="I114" s="50"/>
      <c r="J114" s="50"/>
      <c r="K114" s="50"/>
      <c r="L114" s="50"/>
    </row>
    <row r="115" spans="1:12" x14ac:dyDescent="0.25">
      <c r="A115" s="50"/>
      <c r="B115" s="50"/>
      <c r="C115" s="50"/>
      <c r="D115" s="50"/>
      <c r="E115" s="50"/>
      <c r="F115" s="50"/>
      <c r="G115" s="50"/>
      <c r="H115" s="50"/>
      <c r="I115" s="50"/>
      <c r="J115" s="50"/>
      <c r="K115" s="50"/>
      <c r="L115" s="50"/>
    </row>
    <row r="116" spans="1:12" x14ac:dyDescent="0.25">
      <c r="A116" s="50"/>
      <c r="B116" s="50"/>
      <c r="C116" s="50"/>
      <c r="D116" s="50"/>
      <c r="E116" s="50"/>
      <c r="F116" s="50"/>
      <c r="G116" s="50"/>
      <c r="H116" s="50"/>
      <c r="I116" s="50"/>
      <c r="J116" s="50"/>
      <c r="K116" s="50"/>
      <c r="L116" s="50"/>
    </row>
    <row r="117" spans="1:12" x14ac:dyDescent="0.25">
      <c r="A117" s="50"/>
      <c r="B117" s="50"/>
      <c r="C117" s="50"/>
      <c r="D117" s="50"/>
      <c r="E117" s="50"/>
      <c r="F117" s="50"/>
      <c r="G117" s="50"/>
      <c r="H117" s="50"/>
      <c r="I117" s="50"/>
      <c r="J117" s="50"/>
      <c r="K117" s="50"/>
      <c r="L117" s="50"/>
    </row>
    <row r="118" spans="1:12" x14ac:dyDescent="0.25">
      <c r="A118" s="50"/>
      <c r="B118" s="50"/>
      <c r="C118" s="50"/>
      <c r="D118" s="50"/>
      <c r="E118" s="50"/>
      <c r="F118" s="50"/>
      <c r="G118" s="50"/>
      <c r="H118" s="50"/>
      <c r="I118" s="50"/>
      <c r="J118" s="50"/>
      <c r="K118" s="50"/>
      <c r="L118" s="50"/>
    </row>
    <row r="119" spans="1:12" x14ac:dyDescent="0.25">
      <c r="A119" s="50"/>
      <c r="B119" s="50"/>
      <c r="C119" s="50"/>
      <c r="D119" s="50"/>
      <c r="E119" s="50"/>
      <c r="F119" s="50"/>
      <c r="G119" s="50"/>
      <c r="H119" s="50"/>
      <c r="I119" s="50"/>
      <c r="J119" s="50"/>
      <c r="K119" s="50"/>
      <c r="L119" s="50"/>
    </row>
    <row r="120" spans="1:12" x14ac:dyDescent="0.25">
      <c r="A120" s="50"/>
      <c r="B120" s="50"/>
      <c r="C120" s="50"/>
      <c r="D120" s="50"/>
      <c r="E120" s="50"/>
      <c r="F120" s="50"/>
      <c r="G120" s="50"/>
      <c r="H120" s="50"/>
      <c r="I120" s="50"/>
      <c r="J120" s="50"/>
      <c r="K120" s="50"/>
      <c r="L120" s="50"/>
    </row>
    <row r="121" spans="1:12" x14ac:dyDescent="0.25">
      <c r="A121" s="50"/>
      <c r="B121" s="50"/>
      <c r="C121" s="50"/>
      <c r="D121" s="50"/>
      <c r="E121" s="50"/>
      <c r="F121" s="50"/>
      <c r="G121" s="50"/>
      <c r="H121" s="50"/>
      <c r="I121" s="50"/>
      <c r="J121" s="50"/>
      <c r="K121" s="50"/>
      <c r="L121" s="50"/>
    </row>
    <row r="122" spans="1:12" x14ac:dyDescent="0.25">
      <c r="A122" s="50"/>
      <c r="B122" s="50"/>
      <c r="C122" s="50"/>
      <c r="D122" s="50"/>
      <c r="E122" s="50"/>
      <c r="F122" s="50"/>
      <c r="G122" s="50"/>
      <c r="H122" s="50"/>
      <c r="I122" s="50"/>
      <c r="J122" s="50"/>
      <c r="K122" s="50"/>
      <c r="L122" s="50"/>
    </row>
    <row r="123" spans="1:12" x14ac:dyDescent="0.25">
      <c r="A123" s="50"/>
      <c r="B123" s="50"/>
      <c r="C123" s="50"/>
      <c r="D123" s="50"/>
      <c r="E123" s="50"/>
      <c r="F123" s="50"/>
      <c r="G123" s="50"/>
      <c r="H123" s="50"/>
      <c r="I123" s="50"/>
      <c r="J123" s="50"/>
      <c r="K123" s="50"/>
      <c r="L123" s="50"/>
    </row>
    <row r="124" spans="1:12" x14ac:dyDescent="0.25">
      <c r="A124" s="50"/>
      <c r="B124" s="50"/>
      <c r="C124" s="50"/>
      <c r="D124" s="50"/>
      <c r="E124" s="50"/>
      <c r="F124" s="50"/>
      <c r="G124" s="50"/>
      <c r="H124" s="50"/>
      <c r="I124" s="50"/>
      <c r="J124" s="50"/>
      <c r="K124" s="50"/>
      <c r="L124" s="50"/>
    </row>
    <row r="125" spans="1:12" x14ac:dyDescent="0.25">
      <c r="A125" s="50"/>
      <c r="B125" s="50"/>
      <c r="C125" s="50"/>
      <c r="D125" s="50"/>
      <c r="E125" s="50"/>
      <c r="F125" s="50"/>
      <c r="G125" s="50"/>
      <c r="H125" s="50"/>
      <c r="I125" s="50"/>
      <c r="J125" s="50"/>
      <c r="K125" s="50"/>
      <c r="L125" s="50"/>
    </row>
    <row r="126" spans="1:12" x14ac:dyDescent="0.25">
      <c r="A126" s="50"/>
      <c r="B126" s="50"/>
      <c r="C126" s="50"/>
      <c r="D126" s="50"/>
      <c r="E126" s="50"/>
      <c r="F126" s="50"/>
      <c r="G126" s="50"/>
      <c r="H126" s="50"/>
      <c r="I126" s="50"/>
      <c r="J126" s="50"/>
      <c r="K126" s="50"/>
      <c r="L126" s="50"/>
    </row>
    <row r="127" spans="1:12" x14ac:dyDescent="0.25">
      <c r="A127" s="50"/>
      <c r="B127" s="50"/>
      <c r="C127" s="50"/>
      <c r="D127" s="50"/>
      <c r="E127" s="50"/>
      <c r="F127" s="50"/>
      <c r="G127" s="50"/>
      <c r="H127" s="50"/>
      <c r="I127" s="50"/>
      <c r="J127" s="50"/>
      <c r="K127" s="50"/>
      <c r="L127" s="50"/>
    </row>
    <row r="128" spans="1:12" x14ac:dyDescent="0.25">
      <c r="A128" s="50"/>
      <c r="B128" s="50"/>
      <c r="C128" s="50"/>
      <c r="D128" s="50"/>
      <c r="E128" s="50"/>
      <c r="F128" s="50"/>
      <c r="G128" s="50"/>
      <c r="H128" s="50"/>
      <c r="I128" s="50"/>
      <c r="J128" s="50"/>
      <c r="K128" s="50"/>
      <c r="L128" s="50"/>
    </row>
    <row r="129" spans="1:12" x14ac:dyDescent="0.25">
      <c r="A129" s="50"/>
      <c r="B129" s="50"/>
      <c r="C129" s="50"/>
      <c r="D129" s="50"/>
      <c r="E129" s="50"/>
      <c r="F129" s="50"/>
      <c r="G129" s="50"/>
      <c r="H129" s="50"/>
      <c r="I129" s="50"/>
      <c r="J129" s="50"/>
      <c r="K129" s="50"/>
      <c r="L129" s="50"/>
    </row>
    <row r="130" spans="1:12" x14ac:dyDescent="0.25">
      <c r="A130" s="50"/>
      <c r="B130" s="50"/>
      <c r="C130" s="50"/>
      <c r="D130" s="50"/>
      <c r="E130" s="50"/>
      <c r="F130" s="50"/>
      <c r="G130" s="50"/>
      <c r="H130" s="50"/>
      <c r="I130" s="50"/>
      <c r="J130" s="50"/>
      <c r="K130" s="50"/>
      <c r="L130" s="50"/>
    </row>
    <row r="131" spans="1:12" x14ac:dyDescent="0.25">
      <c r="A131" s="50"/>
      <c r="B131" s="50"/>
      <c r="C131" s="50"/>
      <c r="D131" s="50"/>
      <c r="E131" s="50"/>
      <c r="F131" s="50"/>
      <c r="G131" s="50"/>
      <c r="H131" s="50"/>
      <c r="I131" s="50"/>
      <c r="J131" s="50"/>
      <c r="K131" s="50"/>
      <c r="L131" s="50"/>
    </row>
    <row r="132" spans="1:12" x14ac:dyDescent="0.25">
      <c r="A132" s="50"/>
      <c r="B132" s="50"/>
      <c r="C132" s="50"/>
      <c r="D132" s="50"/>
      <c r="E132" s="50"/>
      <c r="F132" s="50"/>
      <c r="G132" s="50"/>
      <c r="H132" s="50"/>
      <c r="I132" s="50"/>
      <c r="J132" s="50"/>
      <c r="K132" s="50"/>
      <c r="L132" s="50"/>
    </row>
    <row r="133" spans="1:12" x14ac:dyDescent="0.25">
      <c r="A133" s="50"/>
      <c r="B133" s="50"/>
      <c r="C133" s="50"/>
      <c r="D133" s="50"/>
      <c r="E133" s="50"/>
      <c r="F133" s="50"/>
      <c r="G133" s="50"/>
      <c r="H133" s="50"/>
      <c r="I133" s="50"/>
      <c r="J133" s="50"/>
      <c r="K133" s="50"/>
      <c r="L133" s="50"/>
    </row>
    <row r="134" spans="1:12" x14ac:dyDescent="0.25">
      <c r="A134" s="50"/>
      <c r="B134" s="50"/>
      <c r="C134" s="50"/>
      <c r="D134" s="50"/>
      <c r="E134" s="50"/>
      <c r="F134" s="50"/>
      <c r="G134" s="50"/>
      <c r="H134" s="50"/>
      <c r="I134" s="50"/>
      <c r="J134" s="50"/>
      <c r="K134" s="50"/>
      <c r="L134" s="50"/>
    </row>
    <row r="135" spans="1:12" x14ac:dyDescent="0.25">
      <c r="A135" s="50"/>
      <c r="B135" s="50"/>
      <c r="C135" s="50"/>
      <c r="D135" s="50"/>
      <c r="E135" s="50"/>
      <c r="F135" s="50"/>
      <c r="G135" s="50"/>
      <c r="H135" s="50"/>
      <c r="I135" s="50"/>
      <c r="J135" s="50"/>
      <c r="K135" s="50"/>
      <c r="L135" s="50"/>
    </row>
    <row r="136" spans="1:12" x14ac:dyDescent="0.25">
      <c r="A136" s="50"/>
      <c r="B136" s="50"/>
      <c r="C136" s="50"/>
      <c r="D136" s="50"/>
      <c r="E136" s="50"/>
      <c r="F136" s="50"/>
      <c r="G136" s="50"/>
      <c r="H136" s="50"/>
      <c r="I136" s="50"/>
      <c r="J136" s="50"/>
      <c r="K136" s="50"/>
      <c r="L136" s="50"/>
    </row>
    <row r="137" spans="1:12" x14ac:dyDescent="0.25">
      <c r="A137" s="50"/>
      <c r="B137" s="50"/>
      <c r="C137" s="50"/>
      <c r="D137" s="50"/>
      <c r="E137" s="50"/>
      <c r="F137" s="50"/>
      <c r="G137" s="50"/>
      <c r="H137" s="50"/>
      <c r="I137" s="50"/>
      <c r="J137" s="50"/>
      <c r="K137" s="50"/>
      <c r="L137" s="50"/>
    </row>
    <row r="138" spans="1:12" x14ac:dyDescent="0.25">
      <c r="A138" s="50"/>
      <c r="B138" s="50"/>
      <c r="C138" s="50"/>
      <c r="D138" s="50"/>
      <c r="E138" s="50"/>
      <c r="F138" s="50"/>
      <c r="G138" s="50"/>
      <c r="H138" s="50"/>
      <c r="I138" s="50"/>
      <c r="J138" s="50"/>
      <c r="K138" s="50"/>
      <c r="L138" s="50"/>
    </row>
    <row r="139" spans="1:12" x14ac:dyDescent="0.25">
      <c r="A139" s="50"/>
      <c r="B139" s="50"/>
      <c r="C139" s="50"/>
      <c r="D139" s="50"/>
      <c r="E139" s="50"/>
      <c r="F139" s="50"/>
      <c r="G139" s="50"/>
      <c r="H139" s="50"/>
      <c r="I139" s="50"/>
      <c r="J139" s="50"/>
      <c r="K139" s="50"/>
      <c r="L139" s="50"/>
    </row>
    <row r="140" spans="1:12" x14ac:dyDescent="0.25">
      <c r="A140" s="50"/>
      <c r="B140" s="50"/>
      <c r="C140" s="50"/>
      <c r="D140" s="50"/>
      <c r="E140" s="50"/>
      <c r="F140" s="50"/>
      <c r="G140" s="50"/>
      <c r="H140" s="50"/>
      <c r="I140" s="50"/>
      <c r="J140" s="50"/>
      <c r="K140" s="50"/>
      <c r="L140" s="50"/>
    </row>
    <row r="141" spans="1:12" x14ac:dyDescent="0.25">
      <c r="A141" s="50"/>
      <c r="B141" s="50"/>
      <c r="C141" s="50"/>
      <c r="D141" s="50"/>
      <c r="E141" s="50"/>
      <c r="F141" s="50"/>
      <c r="G141" s="50"/>
      <c r="H141" s="50"/>
      <c r="I141" s="50"/>
      <c r="J141" s="50"/>
      <c r="K141" s="50"/>
      <c r="L141" s="50"/>
    </row>
    <row r="142" spans="1:12" x14ac:dyDescent="0.25">
      <c r="A142" s="50"/>
      <c r="B142" s="50"/>
      <c r="C142" s="50"/>
      <c r="D142" s="50"/>
      <c r="E142" s="50"/>
      <c r="F142" s="50"/>
      <c r="G142" s="50"/>
      <c r="H142" s="50"/>
      <c r="I142" s="50"/>
      <c r="J142" s="50"/>
      <c r="K142" s="50"/>
      <c r="L142" s="50"/>
    </row>
    <row r="143" spans="1:12" x14ac:dyDescent="0.25">
      <c r="A143" s="50"/>
      <c r="B143" s="50"/>
      <c r="C143" s="50"/>
      <c r="D143" s="50"/>
      <c r="E143" s="50"/>
      <c r="F143" s="50"/>
      <c r="G143" s="50"/>
      <c r="H143" s="50"/>
      <c r="I143" s="50"/>
      <c r="J143" s="50"/>
      <c r="K143" s="50"/>
      <c r="L143" s="50"/>
    </row>
    <row r="144" spans="1:12" x14ac:dyDescent="0.25">
      <c r="A144" s="50"/>
      <c r="B144" s="50"/>
      <c r="C144" s="50"/>
      <c r="D144" s="50"/>
      <c r="E144" s="50"/>
      <c r="F144" s="50"/>
      <c r="G144" s="50"/>
      <c r="H144" s="50"/>
      <c r="I144" s="50"/>
      <c r="J144" s="50"/>
      <c r="K144" s="50"/>
      <c r="L144" s="50"/>
    </row>
    <row r="145" spans="1:12" x14ac:dyDescent="0.25">
      <c r="A145" s="50"/>
      <c r="B145" s="50"/>
      <c r="C145" s="50"/>
      <c r="D145" s="50"/>
      <c r="E145" s="50"/>
      <c r="F145" s="50"/>
      <c r="G145" s="50"/>
      <c r="H145" s="50"/>
      <c r="I145" s="50"/>
      <c r="J145" s="50"/>
      <c r="K145" s="50"/>
      <c r="L145" s="50"/>
    </row>
    <row r="146" spans="1:12" x14ac:dyDescent="0.25">
      <c r="A146" s="50"/>
      <c r="B146" s="50"/>
      <c r="C146" s="50"/>
      <c r="D146" s="50"/>
      <c r="E146" s="50"/>
      <c r="F146" s="50"/>
      <c r="G146" s="50"/>
      <c r="H146" s="50"/>
      <c r="I146" s="50"/>
      <c r="J146" s="50"/>
      <c r="K146" s="50"/>
      <c r="L146" s="50"/>
    </row>
  </sheetData>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indexed="11"/>
  </sheetPr>
  <dimension ref="A1:BS946"/>
  <sheetViews>
    <sheetView topLeftCell="AF1" zoomScaleNormal="100" workbookViewId="0">
      <pane ySplit="1" topLeftCell="A2" activePane="bottomLeft" state="frozen"/>
      <selection pane="bottomLeft" activeCell="AK12" sqref="AK12"/>
    </sheetView>
  </sheetViews>
  <sheetFormatPr defaultRowHeight="15" x14ac:dyDescent="0.25"/>
  <cols>
    <col min="1" max="1" width="9.85546875" style="29" customWidth="1"/>
    <col min="2" max="2" width="13" style="29" customWidth="1"/>
    <col min="3" max="7" width="10.42578125" style="29" customWidth="1"/>
    <col min="8" max="8" width="13.140625" style="16" customWidth="1"/>
    <col min="9" max="11" width="10.5703125" style="16" customWidth="1"/>
    <col min="12" max="12" width="10.5703125" style="67" customWidth="1"/>
    <col min="13" max="14" width="10.5703125" style="17" customWidth="1"/>
    <col min="15" max="15" width="18.140625" style="4" customWidth="1"/>
    <col min="16" max="16" width="18.5703125" style="4" customWidth="1"/>
    <col min="17" max="17" width="7.140625" style="4" customWidth="1"/>
    <col min="18" max="24" width="6.85546875" style="10" customWidth="1"/>
    <col min="25" max="25" width="10.28515625" style="10" customWidth="1"/>
    <col min="26" max="26" width="7.85546875" style="10" customWidth="1"/>
    <col min="27" max="27" width="7.85546875" style="163" customWidth="1"/>
    <col min="28" max="29" width="11.85546875" style="161" customWidth="1"/>
    <col min="30" max="30" width="13.140625" style="8" customWidth="1"/>
    <col min="31" max="33" width="10.5703125" style="8" customWidth="1"/>
    <col min="34" max="34" width="7.28515625" style="8" customWidth="1"/>
    <col min="35" max="35" width="18" style="13" customWidth="1"/>
    <col min="36" max="37" width="12.28515625" style="12" customWidth="1"/>
    <col min="38" max="38" width="15.5703125" style="12" customWidth="1"/>
    <col min="39" max="47" width="12.28515625" style="12" customWidth="1"/>
    <col min="48" max="48" width="13.28515625" style="12" customWidth="1"/>
    <col min="49" max="49" width="14" style="12" customWidth="1"/>
    <col min="50" max="50" width="12.28515625" style="12" customWidth="1"/>
    <col min="51" max="51" width="14.42578125" style="12" customWidth="1"/>
    <col min="52" max="52" width="13.140625" style="24" customWidth="1"/>
    <col min="53" max="53" width="14.7109375" style="12" customWidth="1"/>
    <col min="54" max="54" width="12.28515625" style="12" customWidth="1"/>
    <col min="55" max="55" width="13.5703125" style="24" customWidth="1"/>
    <col min="56" max="56" width="14.140625" style="12" customWidth="1"/>
    <col min="57" max="57" width="14.28515625" style="12" customWidth="1"/>
    <col min="58" max="58" width="9.140625" style="12"/>
    <col min="59" max="59" width="11.85546875" style="12" customWidth="1"/>
    <col min="60" max="60" width="12.28515625" style="12" customWidth="1"/>
    <col min="61" max="61" width="11.5703125" style="12" customWidth="1"/>
    <col min="62" max="62" width="11.85546875" style="12" customWidth="1"/>
    <col min="63" max="63" width="56" style="1" customWidth="1"/>
    <col min="64" max="76" width="12.28515625" customWidth="1"/>
  </cols>
  <sheetData>
    <row r="1" spans="1:71" s="2" customFormat="1" ht="50.1" customHeight="1" x14ac:dyDescent="0.25">
      <c r="A1" s="28" t="s">
        <v>11</v>
      </c>
      <c r="B1" s="28" t="s">
        <v>8</v>
      </c>
      <c r="C1" s="28" t="s">
        <v>9</v>
      </c>
      <c r="D1" s="28" t="s">
        <v>31</v>
      </c>
      <c r="E1" s="28" t="s">
        <v>10</v>
      </c>
      <c r="F1" s="28" t="s">
        <v>78</v>
      </c>
      <c r="G1" s="28" t="s">
        <v>103</v>
      </c>
      <c r="H1" s="15" t="s">
        <v>32</v>
      </c>
      <c r="I1" s="15" t="s">
        <v>33</v>
      </c>
      <c r="J1" s="15" t="s">
        <v>34</v>
      </c>
      <c r="K1" s="15" t="s">
        <v>35</v>
      </c>
      <c r="L1" s="66" t="s">
        <v>77</v>
      </c>
      <c r="M1" s="18" t="s">
        <v>37</v>
      </c>
      <c r="N1" s="18" t="s">
        <v>38</v>
      </c>
      <c r="O1" s="3" t="s">
        <v>15</v>
      </c>
      <c r="P1" s="3" t="s">
        <v>16</v>
      </c>
      <c r="Q1" s="3" t="s">
        <v>4</v>
      </c>
      <c r="R1" s="9" t="str">
        <f>'FRC Site Data'!C2</f>
        <v>QS</v>
      </c>
      <c r="S1" s="9" t="str">
        <f>'FRC Site Data'!D2</f>
        <v>AP</v>
      </c>
      <c r="T1" s="9" t="str">
        <f>'FRC Site Data'!E2</f>
        <v>CP</v>
      </c>
      <c r="U1" s="9" t="str">
        <f>'FRC Site Data'!F2</f>
        <v>TP</v>
      </c>
      <c r="V1" s="9" t="str">
        <f>'FRC Site Data'!G2</f>
        <v>Record (W-L-T)</v>
      </c>
      <c r="W1" s="9" t="str">
        <f>'FRC Site Data'!I2</f>
        <v>Played</v>
      </c>
      <c r="X1" s="9">
        <f>'FRC Site Data'!J2</f>
        <v>0</v>
      </c>
      <c r="Y1" s="9" t="str">
        <f>'FRC Site Data'!K2</f>
        <v>Record
(W-L-T)</v>
      </c>
      <c r="Z1" s="9" t="str">
        <f>'FRC Site Data'!L2</f>
        <v>FRC
Rank</v>
      </c>
      <c r="AA1" s="162" t="e">
        <f>'CIR Team Info'!#REF!</f>
        <v>#REF!</v>
      </c>
      <c r="AB1" s="160" t="s">
        <v>141</v>
      </c>
      <c r="AC1" s="160" t="s">
        <v>372</v>
      </c>
      <c r="AD1" s="7" t="s">
        <v>12</v>
      </c>
      <c r="AE1" s="7" t="s">
        <v>13</v>
      </c>
      <c r="AF1" s="7" t="s">
        <v>30</v>
      </c>
      <c r="AG1" s="7" t="s">
        <v>14</v>
      </c>
      <c r="AH1" s="7" t="s">
        <v>47</v>
      </c>
      <c r="AI1" s="193" t="s">
        <v>692</v>
      </c>
      <c r="AJ1" s="193" t="s">
        <v>693</v>
      </c>
      <c r="AK1" s="193" t="s">
        <v>694</v>
      </c>
      <c r="AL1" s="193" t="s">
        <v>695</v>
      </c>
      <c r="AM1" s="193" t="s">
        <v>696</v>
      </c>
      <c r="AN1" s="193" t="s">
        <v>697</v>
      </c>
      <c r="AO1" s="193" t="s">
        <v>698</v>
      </c>
      <c r="AP1" s="193" t="s">
        <v>699</v>
      </c>
      <c r="AQ1" s="193" t="s">
        <v>700</v>
      </c>
      <c r="AR1" s="193" t="s">
        <v>701</v>
      </c>
      <c r="AS1" s="193" t="s">
        <v>702</v>
      </c>
      <c r="AT1" s="193" t="s">
        <v>661</v>
      </c>
      <c r="AU1" s="193" t="s">
        <v>703</v>
      </c>
      <c r="AV1" s="193" t="s">
        <v>704</v>
      </c>
      <c r="AW1" s="193" t="s">
        <v>705</v>
      </c>
      <c r="AX1" s="193" t="s">
        <v>706</v>
      </c>
      <c r="AY1" s="193" t="s">
        <v>707</v>
      </c>
      <c r="AZ1" s="193" t="s">
        <v>708</v>
      </c>
      <c r="BA1" s="193" t="s">
        <v>709</v>
      </c>
      <c r="BB1" s="193" t="s">
        <v>710</v>
      </c>
      <c r="BC1" s="193" t="s">
        <v>711</v>
      </c>
      <c r="BD1" s="193" t="s">
        <v>712</v>
      </c>
      <c r="BE1" s="193" t="s">
        <v>713</v>
      </c>
      <c r="BF1" s="193" t="s">
        <v>743</v>
      </c>
      <c r="BG1" s="193" t="s">
        <v>744</v>
      </c>
      <c r="BH1" s="193" t="s">
        <v>745</v>
      </c>
      <c r="BI1" s="193" t="s">
        <v>6</v>
      </c>
      <c r="BJ1" s="168"/>
      <c r="BK1" s="168"/>
      <c r="BL1" s="168"/>
      <c r="BS1" s="127"/>
    </row>
    <row r="2" spans="1:71" x14ac:dyDescent="0.25">
      <c r="A2" s="29" t="e">
        <f t="shared" ref="A2:A61" si="0">SUM(B2:F2)</f>
        <v>#REF!</v>
      </c>
      <c r="B2" s="29" t="e">
        <f>H2*AD2*#REF!</f>
        <v>#REF!</v>
      </c>
      <c r="C2" s="29" t="e">
        <f>I2*AE2*#REF!</f>
        <v>#REF!</v>
      </c>
      <c r="D2" s="29" t="e">
        <f>J2*AF2*#REF!</f>
        <v>#REF!</v>
      </c>
      <c r="E2" s="29" t="e">
        <f t="shared" ref="E2:E61" si="1">K2*O2</f>
        <v>#REF!</v>
      </c>
      <c r="F2" s="29" t="e">
        <f>IF(#REF!&gt;0,5)-2*COUNTIF(#REF!,"K")+5*COUNTIF(#REF!,"T")+IF(#REF!=3,2)+IF(#REF!="T",2)</f>
        <v>#REF!</v>
      </c>
      <c r="G2" s="29" t="e">
        <f>IF((#REF!+#REF!)&gt;45,"defensive",IF((#REF!+#REF!)&gt;15,"both","offensive"))</f>
        <v>#REF!</v>
      </c>
      <c r="H2" s="16" t="e">
        <f>IF((#REF!+#REF!)=0,0,#REF!/(#REF!+#REF!))</f>
        <v>#REF!</v>
      </c>
      <c r="I2" s="16" t="e">
        <f>IF((#REF!+#REF!)=0,0,#REF!/(#REF!+#REF!))</f>
        <v>#REF!</v>
      </c>
      <c r="J2" s="16" t="e">
        <f>IF(L2=0,0,#REF!/L2)</f>
        <v>#REF!</v>
      </c>
      <c r="K2" s="16" t="e">
        <f>IF((#REF!+#REF!)=0,0,((#REF!*#REF!*0.2)+(#REF!*#REF!*0.3))/(#REF!+#REF!))</f>
        <v>#REF!</v>
      </c>
      <c r="L2" s="67" t="e">
        <f>IF(#REF!&gt;#REF!,#REF!,#REF!)</f>
        <v>#REF!</v>
      </c>
      <c r="M2" s="4" t="e">
        <f>#REF!+#REF!+#REF!+O2</f>
        <v>#REF!</v>
      </c>
      <c r="N2" s="4" t="e">
        <f>#REF!+#REF!+#REF!</f>
        <v>#REF!</v>
      </c>
      <c r="O2" s="4" t="e">
        <f>(#REF!*0.2*#REF!*30/30)+(#REF!*0.3*#REF!*12/30)-#REF!-#REF!</f>
        <v>#REF!</v>
      </c>
      <c r="P2" s="4" t="e">
        <f>VLOOKUP(#REF!,'CIR Team Info'!$C$5:$E$44,2,FALSE)</f>
        <v>#REF!</v>
      </c>
      <c r="Q2" s="4" t="e">
        <f>VLOOKUP(#REF!,'CIR Team Info'!$C$5:$E$44,3,FALSE)</f>
        <v>#REF!</v>
      </c>
      <c r="R2" s="10" t="e">
        <f>VLOOKUP(#REF!,'FRC Site Data'!$B$3:$L$42,2,FALSE)</f>
        <v>#REF!</v>
      </c>
      <c r="S2" s="10" t="e">
        <f>VLOOKUP(#REF!,'FRC Site Data'!$B$3:$L$42,3,FALSE)</f>
        <v>#REF!</v>
      </c>
      <c r="T2" s="10" t="e">
        <f>VLOOKUP(#REF!,'FRC Site Data'!$B$3:$L$42,4,FALSE)</f>
        <v>#REF!</v>
      </c>
      <c r="U2" s="10" t="e">
        <f>VLOOKUP(#REF!,'FRC Site Data'!$B$3:$L$42,5,FALSE)</f>
        <v>#REF!</v>
      </c>
      <c r="V2" s="10" t="e">
        <f>VLOOKUP(#REF!,'FRC Site Data'!$B$3:$L$42,6,FALSE)</f>
        <v>#REF!</v>
      </c>
      <c r="W2" s="10" t="e">
        <f>VLOOKUP(#REF!,'FRC Site Data'!$B$3:$L$42,8,FALSE)</f>
        <v>#REF!</v>
      </c>
      <c r="X2" s="10" t="e">
        <f>VLOOKUP(#REF!,'FRC Site Data'!$B$3:$L$42,9,FALSE)</f>
        <v>#REF!</v>
      </c>
      <c r="Y2" s="10" t="e">
        <f>VLOOKUP(#REF!,'FRC Site Data'!$B$3:$L$42,10,FALSE)</f>
        <v>#REF!</v>
      </c>
      <c r="Z2" s="10" t="e">
        <f>VLOOKUP(#REF!,'FRC Site Data'!$B$3:$L$42,11,FALSE)</f>
        <v>#REF!</v>
      </c>
      <c r="AA2" s="10" t="e">
        <f>VLOOKUP(#REF!,'CIR Team Info'!$C$5:$E$44,4,FALSE)</f>
        <v>#REF!</v>
      </c>
      <c r="AB2" s="161" t="b">
        <f>ISNUMBER(VLOOKUP(#REF!,Match!$T$5:$T$10,1,FALSE))</f>
        <v>0</v>
      </c>
      <c r="AC2" s="161" t="b">
        <f>IF(AB2=TRUE,(VLOOKUP(#REF!,Match!$T$5:$U$10,2,FALSE)))</f>
        <v>0</v>
      </c>
      <c r="AD2" s="8">
        <v>3</v>
      </c>
      <c r="AE2" s="8">
        <v>2</v>
      </c>
      <c r="AF2" s="8">
        <v>2</v>
      </c>
      <c r="AG2" s="8">
        <v>1</v>
      </c>
      <c r="AH2" s="8" t="e">
        <f>IF(#REF!="Other","x","")</f>
        <v>#REF!</v>
      </c>
      <c r="AI2" s="12" t="s">
        <v>732</v>
      </c>
      <c r="AJ2" s="12">
        <v>4545</v>
      </c>
      <c r="AK2" s="12">
        <v>1</v>
      </c>
      <c r="AL2" s="12" t="s">
        <v>44</v>
      </c>
      <c r="AM2" s="12" t="s">
        <v>42</v>
      </c>
      <c r="AN2" s="12" t="s">
        <v>46</v>
      </c>
      <c r="AO2" s="12" t="s">
        <v>42</v>
      </c>
      <c r="AP2" s="12">
        <v>20</v>
      </c>
      <c r="AQ2" s="12">
        <v>0</v>
      </c>
      <c r="AR2" s="12">
        <v>0</v>
      </c>
      <c r="AS2" s="12">
        <v>0</v>
      </c>
      <c r="AT2" s="12" t="s">
        <v>120</v>
      </c>
      <c r="AU2" s="12" t="s">
        <v>42</v>
      </c>
      <c r="AV2" s="12" t="s">
        <v>46</v>
      </c>
      <c r="AW2" s="12" t="s">
        <v>42</v>
      </c>
      <c r="AX2" s="12" t="s">
        <v>42</v>
      </c>
      <c r="AY2" s="12">
        <v>33</v>
      </c>
      <c r="AZ2" s="12">
        <v>30</v>
      </c>
      <c r="BA2" s="12">
        <v>0</v>
      </c>
      <c r="BB2" s="12">
        <v>0</v>
      </c>
      <c r="BC2" s="12">
        <v>2</v>
      </c>
      <c r="BD2" s="12">
        <v>2</v>
      </c>
      <c r="BE2" s="12">
        <v>25</v>
      </c>
      <c r="BF2" s="12">
        <v>31</v>
      </c>
      <c r="BG2" s="12">
        <v>23</v>
      </c>
      <c r="BH2" s="12">
        <v>43</v>
      </c>
      <c r="BI2" s="12" t="s">
        <v>733</v>
      </c>
      <c r="BK2" s="12"/>
      <c r="BS2" s="127"/>
    </row>
    <row r="3" spans="1:71" x14ac:dyDescent="0.25">
      <c r="A3" s="29" t="e">
        <f t="shared" si="0"/>
        <v>#REF!</v>
      </c>
      <c r="B3" s="29" t="e">
        <f>H3*AD3*#REF!</f>
        <v>#REF!</v>
      </c>
      <c r="C3" s="29" t="e">
        <f>I3*AE3*#REF!</f>
        <v>#REF!</v>
      </c>
      <c r="D3" s="29" t="e">
        <f>J3*AF3*#REF!</f>
        <v>#REF!</v>
      </c>
      <c r="E3" s="29" t="e">
        <f t="shared" si="1"/>
        <v>#REF!</v>
      </c>
      <c r="F3" s="29" t="e">
        <f>IF(#REF!&gt;0,5)-2*COUNTIF(#REF!,"K")+5*COUNTIF(#REF!,"T")+IF(#REF!=3,2)+IF(#REF!="T",2)</f>
        <v>#REF!</v>
      </c>
      <c r="G3" s="29" t="e">
        <f>IF((#REF!+#REF!)&gt;45,"defensive",IF((#REF!+#REF!)&gt;15,"both","offensive"))</f>
        <v>#REF!</v>
      </c>
      <c r="H3" s="16" t="e">
        <f>IF((#REF!+#REF!)=0,0,#REF!/(#REF!+#REF!))</f>
        <v>#REF!</v>
      </c>
      <c r="I3" s="16" t="e">
        <f>IF((#REF!+#REF!)=0,0,#REF!/(#REF!+#REF!))</f>
        <v>#REF!</v>
      </c>
      <c r="J3" s="16" t="e">
        <f>IF(L3=0,0,#REF!/L3)</f>
        <v>#REF!</v>
      </c>
      <c r="K3" s="16" t="e">
        <f>IF((#REF!+#REF!)=0,0,((#REF!*#REF!*0.2)+(#REF!*#REF!*0.3))/(#REF!+#REF!))</f>
        <v>#REF!</v>
      </c>
      <c r="L3" s="67" t="e">
        <f>IF(#REF!&gt;#REF!,#REF!,#REF!)</f>
        <v>#REF!</v>
      </c>
      <c r="M3" s="4" t="e">
        <f>#REF!+#REF!+#REF!+O3</f>
        <v>#REF!</v>
      </c>
      <c r="N3" s="4" t="e">
        <f>#REF!+#REF!+#REF!</f>
        <v>#REF!</v>
      </c>
      <c r="O3" s="4" t="e">
        <f>(#REF!*0.2*#REF!*30/30)+(#REF!*0.3*#REF!*12/30)-#REF!-#REF!</f>
        <v>#REF!</v>
      </c>
      <c r="P3" s="4" t="e">
        <f>VLOOKUP(#REF!,'CIR Team Info'!$C$5:$E$44,2,FALSE)</f>
        <v>#REF!</v>
      </c>
      <c r="Q3" s="4" t="e">
        <f>VLOOKUP(#REF!,'CIR Team Info'!$C$5:$E$44,3,FALSE)</f>
        <v>#REF!</v>
      </c>
      <c r="R3" s="10" t="e">
        <f>VLOOKUP(#REF!,'FRC Site Data'!$B$3:$L$42,2,FALSE)</f>
        <v>#REF!</v>
      </c>
      <c r="S3" s="10" t="e">
        <f>VLOOKUP(#REF!,'FRC Site Data'!$B$3:$L$42,3,FALSE)</f>
        <v>#REF!</v>
      </c>
      <c r="T3" s="10" t="e">
        <f>VLOOKUP(#REF!,'FRC Site Data'!$B$3:$L$42,4,FALSE)</f>
        <v>#REF!</v>
      </c>
      <c r="U3" s="10" t="e">
        <f>VLOOKUP(#REF!,'FRC Site Data'!$B$3:$L$42,5,FALSE)</f>
        <v>#REF!</v>
      </c>
      <c r="V3" s="10" t="e">
        <f>VLOOKUP(#REF!,'FRC Site Data'!$B$3:$L$42,6,FALSE)</f>
        <v>#REF!</v>
      </c>
      <c r="W3" s="10" t="e">
        <f>VLOOKUP(#REF!,'FRC Site Data'!$B$3:$L$42,8,FALSE)</f>
        <v>#REF!</v>
      </c>
      <c r="X3" s="10" t="e">
        <f>VLOOKUP(#REF!,'FRC Site Data'!$B$3:$L$42,9,FALSE)</f>
        <v>#REF!</v>
      </c>
      <c r="Y3" s="10" t="e">
        <f>VLOOKUP(#REF!,'FRC Site Data'!$B$3:$L$42,10,FALSE)</f>
        <v>#REF!</v>
      </c>
      <c r="Z3" s="10" t="e">
        <f>VLOOKUP(#REF!,'FRC Site Data'!$B$3:$L$42,11,FALSE)</f>
        <v>#REF!</v>
      </c>
      <c r="AA3" s="10" t="e">
        <f>VLOOKUP(#REF!,'CIR Team Info'!$C$5:$E$44,4,FALSE)</f>
        <v>#REF!</v>
      </c>
      <c r="AB3" s="161" t="b">
        <f>ISNUMBER(VLOOKUP(#REF!,Match!$T$5:$T$10,1,FALSE))</f>
        <v>0</v>
      </c>
      <c r="AC3" s="161" t="b">
        <f>IF(AB3=TRUE,(VLOOKUP(#REF!,Match!$T$5:$U$10,2,FALSE)))</f>
        <v>0</v>
      </c>
      <c r="AD3" s="8">
        <v>3</v>
      </c>
      <c r="AE3" s="8">
        <v>2</v>
      </c>
      <c r="AF3" s="8">
        <v>2</v>
      </c>
      <c r="AG3" s="8">
        <v>1</v>
      </c>
      <c r="AH3" s="8" t="e">
        <f>IF(#REF!="Other","x","")</f>
        <v>#REF!</v>
      </c>
      <c r="AI3" s="12" t="s">
        <v>732</v>
      </c>
      <c r="AJ3" s="12">
        <v>8756</v>
      </c>
      <c r="AK3" s="12">
        <v>2</v>
      </c>
      <c r="AL3" s="12" t="s">
        <v>44</v>
      </c>
      <c r="AM3" s="12" t="s">
        <v>42</v>
      </c>
      <c r="AN3" s="12" t="s">
        <v>46</v>
      </c>
      <c r="AO3" s="12" t="s">
        <v>42</v>
      </c>
      <c r="AP3" s="12">
        <v>25</v>
      </c>
      <c r="AQ3" s="12">
        <v>0</v>
      </c>
      <c r="AR3" s="12">
        <v>0</v>
      </c>
      <c r="AS3" s="12">
        <v>0</v>
      </c>
      <c r="AT3" s="12" t="s">
        <v>46</v>
      </c>
      <c r="AU3" s="12" t="s">
        <v>46</v>
      </c>
      <c r="AV3" s="12" t="s">
        <v>42</v>
      </c>
      <c r="AW3" s="12" t="s">
        <v>42</v>
      </c>
      <c r="AX3" s="12" t="s">
        <v>42</v>
      </c>
      <c r="AY3" s="12">
        <v>90</v>
      </c>
      <c r="AZ3" s="12">
        <v>0</v>
      </c>
      <c r="BA3" s="12">
        <v>0</v>
      </c>
      <c r="BB3" s="12">
        <v>0</v>
      </c>
      <c r="BC3" s="12">
        <v>3</v>
      </c>
      <c r="BD3" s="12">
        <v>1</v>
      </c>
      <c r="BE3" s="12">
        <v>15</v>
      </c>
      <c r="BF3" s="12">
        <v>38</v>
      </c>
      <c r="BG3" s="12">
        <v>40</v>
      </c>
      <c r="BH3" s="12">
        <v>42</v>
      </c>
      <c r="BI3" s="12" t="s">
        <v>734</v>
      </c>
      <c r="BK3" s="12"/>
      <c r="BS3" s="127"/>
    </row>
    <row r="4" spans="1:71" x14ac:dyDescent="0.25">
      <c r="A4" s="29" t="e">
        <f t="shared" si="0"/>
        <v>#REF!</v>
      </c>
      <c r="B4" s="29" t="e">
        <f>H4*AD4*#REF!</f>
        <v>#REF!</v>
      </c>
      <c r="C4" s="29" t="e">
        <f>I4*AE4*#REF!</f>
        <v>#REF!</v>
      </c>
      <c r="D4" s="29" t="e">
        <f>J4*AF4*#REF!</f>
        <v>#REF!</v>
      </c>
      <c r="E4" s="29" t="e">
        <f t="shared" si="1"/>
        <v>#REF!</v>
      </c>
      <c r="F4" s="29" t="e">
        <f>IF(#REF!&gt;0,5)-2*COUNTIF(#REF!,"K")+5*COUNTIF(#REF!,"T")+IF(#REF!=3,2)+IF(#REF!="T",2)</f>
        <v>#REF!</v>
      </c>
      <c r="G4" s="29" t="e">
        <f>IF((#REF!+#REF!)&gt;45,"defensive",IF((#REF!+#REF!)&gt;15,"both","offensive"))</f>
        <v>#REF!</v>
      </c>
      <c r="H4" s="16" t="e">
        <f>IF((#REF!+#REF!)=0,0,#REF!/(#REF!+#REF!))</f>
        <v>#REF!</v>
      </c>
      <c r="I4" s="16" t="e">
        <f>IF((#REF!+#REF!)=0,0,#REF!/(#REF!+#REF!))</f>
        <v>#REF!</v>
      </c>
      <c r="J4" s="16" t="e">
        <f>IF(L4=0,0,#REF!/L4)</f>
        <v>#REF!</v>
      </c>
      <c r="K4" s="16" t="e">
        <f>IF((#REF!+#REF!)=0,0,((#REF!*#REF!*0.2)+(#REF!*#REF!*0.3))/(#REF!+#REF!))</f>
        <v>#REF!</v>
      </c>
      <c r="L4" s="67" t="e">
        <f>IF(#REF!&gt;#REF!,#REF!,#REF!)</f>
        <v>#REF!</v>
      </c>
      <c r="M4" s="4" t="e">
        <f>#REF!+#REF!+#REF!+O4</f>
        <v>#REF!</v>
      </c>
      <c r="N4" s="4" t="e">
        <f>#REF!+#REF!+#REF!</f>
        <v>#REF!</v>
      </c>
      <c r="O4" s="4" t="e">
        <f>(#REF!*0.2*#REF!*30/30)+(#REF!*0.3*#REF!*12/30)-#REF!-#REF!</f>
        <v>#REF!</v>
      </c>
      <c r="P4" s="4" t="e">
        <f>VLOOKUP(#REF!,'CIR Team Info'!$C$5:$E$44,2,FALSE)</f>
        <v>#REF!</v>
      </c>
      <c r="Q4" s="4" t="e">
        <f>VLOOKUP(#REF!,'CIR Team Info'!$C$5:$E$44,3,FALSE)</f>
        <v>#REF!</v>
      </c>
      <c r="R4" s="10" t="e">
        <f>VLOOKUP(#REF!,'FRC Site Data'!$B$3:$L$42,2,FALSE)</f>
        <v>#REF!</v>
      </c>
      <c r="S4" s="10" t="e">
        <f>VLOOKUP(#REF!,'FRC Site Data'!$B$3:$L$42,3,FALSE)</f>
        <v>#REF!</v>
      </c>
      <c r="T4" s="10" t="e">
        <f>VLOOKUP(#REF!,'FRC Site Data'!$B$3:$L$42,4,FALSE)</f>
        <v>#REF!</v>
      </c>
      <c r="U4" s="10" t="e">
        <f>VLOOKUP(#REF!,'FRC Site Data'!$B$3:$L$42,5,FALSE)</f>
        <v>#REF!</v>
      </c>
      <c r="V4" s="10" t="e">
        <f>VLOOKUP(#REF!,'FRC Site Data'!$B$3:$L$42,6,FALSE)</f>
        <v>#REF!</v>
      </c>
      <c r="W4" s="10" t="e">
        <f>VLOOKUP(#REF!,'FRC Site Data'!$B$3:$L$42,8,FALSE)</f>
        <v>#REF!</v>
      </c>
      <c r="X4" s="10" t="e">
        <f>VLOOKUP(#REF!,'FRC Site Data'!$B$3:$L$42,9,FALSE)</f>
        <v>#REF!</v>
      </c>
      <c r="Y4" s="10" t="e">
        <f>VLOOKUP(#REF!,'FRC Site Data'!$B$3:$L$42,10,FALSE)</f>
        <v>#REF!</v>
      </c>
      <c r="Z4" s="10" t="e">
        <f>VLOOKUP(#REF!,'FRC Site Data'!$B$3:$L$42,11,FALSE)</f>
        <v>#REF!</v>
      </c>
      <c r="AA4" s="10" t="e">
        <f>VLOOKUP(#REF!,'CIR Team Info'!$C$5:$E$44,4,FALSE)</f>
        <v>#REF!</v>
      </c>
      <c r="AB4" s="161" t="b">
        <f>ISNUMBER(VLOOKUP(#REF!,Match!$T$5:$T$10,1,FALSE))</f>
        <v>0</v>
      </c>
      <c r="AC4" s="161" t="b">
        <f>IF(AB4=TRUE,(VLOOKUP(#REF!,Match!$T$5:$U$10,2,FALSE)))</f>
        <v>0</v>
      </c>
      <c r="AD4" s="8">
        <v>3</v>
      </c>
      <c r="AE4" s="8">
        <v>2</v>
      </c>
      <c r="AF4" s="8">
        <v>2</v>
      </c>
      <c r="AG4" s="8">
        <v>1</v>
      </c>
      <c r="AH4" s="8" t="e">
        <f>IF(#REF!="Other","x","")</f>
        <v>#REF!</v>
      </c>
      <c r="BA4" s="24"/>
      <c r="BC4" s="12"/>
      <c r="BS4" s="127"/>
    </row>
    <row r="5" spans="1:71" x14ac:dyDescent="0.25">
      <c r="A5" s="29" t="e">
        <f t="shared" si="0"/>
        <v>#REF!</v>
      </c>
      <c r="B5" s="29" t="e">
        <f>H5*AD5*#REF!</f>
        <v>#REF!</v>
      </c>
      <c r="C5" s="29" t="e">
        <f>I5*AE5*#REF!</f>
        <v>#REF!</v>
      </c>
      <c r="D5" s="29" t="e">
        <f>J5*AF5*#REF!</f>
        <v>#REF!</v>
      </c>
      <c r="E5" s="29" t="e">
        <f t="shared" si="1"/>
        <v>#REF!</v>
      </c>
      <c r="F5" s="29" t="e">
        <f>IF(#REF!&gt;0,5)-2*COUNTIF(#REF!,"K")+5*COUNTIF(#REF!,"T")+IF(#REF!=3,2)+IF(#REF!="T",2)</f>
        <v>#REF!</v>
      </c>
      <c r="G5" s="29" t="e">
        <f>IF((#REF!+#REF!)&gt;45,"defensive",IF((#REF!+#REF!)&gt;15,"both","offensive"))</f>
        <v>#REF!</v>
      </c>
      <c r="H5" s="16" t="e">
        <f>IF((#REF!+#REF!)=0,0,#REF!/(#REF!+#REF!))</f>
        <v>#REF!</v>
      </c>
      <c r="I5" s="16" t="e">
        <f>IF((#REF!+#REF!)=0,0,#REF!/(#REF!+#REF!))</f>
        <v>#REF!</v>
      </c>
      <c r="J5" s="16" t="e">
        <f>IF(L5=0,0,#REF!/L5)</f>
        <v>#REF!</v>
      </c>
      <c r="K5" s="16" t="e">
        <f>IF((#REF!+#REF!)=0,0,((#REF!*#REF!*0.2)+(#REF!*#REF!*0.3))/(#REF!+#REF!))</f>
        <v>#REF!</v>
      </c>
      <c r="L5" s="67" t="e">
        <f>IF(#REF!&gt;#REF!,#REF!,#REF!)</f>
        <v>#REF!</v>
      </c>
      <c r="M5" s="4" t="e">
        <f>#REF!+#REF!+#REF!+O5</f>
        <v>#REF!</v>
      </c>
      <c r="N5" s="4" t="e">
        <f>#REF!+#REF!+#REF!</f>
        <v>#REF!</v>
      </c>
      <c r="O5" s="4" t="e">
        <f>(#REF!*0.2*#REF!*30/30)+(#REF!*0.3*#REF!*12/30)-#REF!-#REF!</f>
        <v>#REF!</v>
      </c>
      <c r="P5" s="4" t="e">
        <f>VLOOKUP(#REF!,'CIR Team Info'!$C$5:$E$44,2,FALSE)</f>
        <v>#REF!</v>
      </c>
      <c r="Q5" s="4" t="e">
        <f>VLOOKUP(#REF!,'CIR Team Info'!$C$5:$E$44,3,FALSE)</f>
        <v>#REF!</v>
      </c>
      <c r="R5" s="10" t="e">
        <f>VLOOKUP(#REF!,'FRC Site Data'!$B$3:$L$42,2,FALSE)</f>
        <v>#REF!</v>
      </c>
      <c r="S5" s="10" t="e">
        <f>VLOOKUP(#REF!,'FRC Site Data'!$B$3:$L$42,3,FALSE)</f>
        <v>#REF!</v>
      </c>
      <c r="T5" s="10" t="e">
        <f>VLOOKUP(#REF!,'FRC Site Data'!$B$3:$L$42,4,FALSE)</f>
        <v>#REF!</v>
      </c>
      <c r="U5" s="10" t="e">
        <f>VLOOKUP(#REF!,'FRC Site Data'!$B$3:$L$42,5,FALSE)</f>
        <v>#REF!</v>
      </c>
      <c r="V5" s="10" t="e">
        <f>VLOOKUP(#REF!,'FRC Site Data'!$B$3:$L$42,6,FALSE)</f>
        <v>#REF!</v>
      </c>
      <c r="W5" s="10" t="e">
        <f>VLOOKUP(#REF!,'FRC Site Data'!$B$3:$L$42,8,FALSE)</f>
        <v>#REF!</v>
      </c>
      <c r="X5" s="10" t="e">
        <f>VLOOKUP(#REF!,'FRC Site Data'!$B$3:$L$42,9,FALSE)</f>
        <v>#REF!</v>
      </c>
      <c r="Y5" s="10" t="e">
        <f>VLOOKUP(#REF!,'FRC Site Data'!$B$3:$L$42,10,FALSE)</f>
        <v>#REF!</v>
      </c>
      <c r="Z5" s="10" t="e">
        <f>VLOOKUP(#REF!,'FRC Site Data'!$B$3:$L$42,11,FALSE)</f>
        <v>#REF!</v>
      </c>
      <c r="AA5" s="10" t="e">
        <f>VLOOKUP(#REF!,'CIR Team Info'!$C$5:$E$44,4,FALSE)</f>
        <v>#REF!</v>
      </c>
      <c r="AB5" s="161" t="b">
        <f>ISNUMBER(VLOOKUP(#REF!,Match!$T$5:$T$10,1,FALSE))</f>
        <v>0</v>
      </c>
      <c r="AC5" s="161" t="b">
        <f>IF(AB5=TRUE,(VLOOKUP(#REF!,Match!$T$5:$U$10,2,FALSE)))</f>
        <v>0</v>
      </c>
      <c r="AD5" s="8">
        <v>3</v>
      </c>
      <c r="AE5" s="8">
        <v>2</v>
      </c>
      <c r="AF5" s="8">
        <v>2</v>
      </c>
      <c r="AG5" s="8">
        <v>1</v>
      </c>
      <c r="AH5" s="8" t="e">
        <f>IF(#REF!="Other","x","")</f>
        <v>#REF!</v>
      </c>
      <c r="BA5" s="24"/>
      <c r="BC5" s="12"/>
      <c r="BS5" s="127"/>
    </row>
    <row r="6" spans="1:71" x14ac:dyDescent="0.25">
      <c r="A6" s="29" t="e">
        <f t="shared" si="0"/>
        <v>#REF!</v>
      </c>
      <c r="B6" s="29" t="e">
        <f>H6*AD6*#REF!</f>
        <v>#REF!</v>
      </c>
      <c r="C6" s="29" t="e">
        <f>I6*AE6*#REF!</f>
        <v>#REF!</v>
      </c>
      <c r="D6" s="29" t="e">
        <f>J6*AF6*#REF!</f>
        <v>#REF!</v>
      </c>
      <c r="E6" s="29" t="e">
        <f t="shared" si="1"/>
        <v>#REF!</v>
      </c>
      <c r="F6" s="29" t="e">
        <f>IF(#REF!&gt;0,5)-2*COUNTIF(#REF!,"K")+5*COUNTIF(#REF!,"T")+IF(#REF!=3,2)+IF(#REF!="T",2)</f>
        <v>#REF!</v>
      </c>
      <c r="G6" s="29" t="e">
        <f>IF((#REF!+#REF!)&gt;45,"defensive",IF((#REF!+#REF!)&gt;15,"both","offensive"))</f>
        <v>#REF!</v>
      </c>
      <c r="H6" s="16" t="e">
        <f>IF((#REF!+#REF!)=0,0,#REF!/(#REF!+#REF!))</f>
        <v>#REF!</v>
      </c>
      <c r="I6" s="16" t="e">
        <f>IF((#REF!+#REF!)=0,0,#REF!/(#REF!+#REF!))</f>
        <v>#REF!</v>
      </c>
      <c r="J6" s="16" t="e">
        <f>IF(L6=0,0,#REF!/L6)</f>
        <v>#REF!</v>
      </c>
      <c r="K6" s="16" t="e">
        <f>IF((#REF!+#REF!)=0,0,((#REF!*#REF!*0.2)+(#REF!*#REF!*0.3))/(#REF!+#REF!))</f>
        <v>#REF!</v>
      </c>
      <c r="L6" s="67" t="e">
        <f>IF(#REF!&gt;#REF!,#REF!,#REF!)</f>
        <v>#REF!</v>
      </c>
      <c r="M6" s="4" t="e">
        <f>#REF!+#REF!+#REF!+O6</f>
        <v>#REF!</v>
      </c>
      <c r="N6" s="4" t="e">
        <f>#REF!+#REF!+#REF!</f>
        <v>#REF!</v>
      </c>
      <c r="O6" s="4" t="e">
        <f>(#REF!*0.2*#REF!*30/30)+(#REF!*0.3*#REF!*12/30)-#REF!-#REF!</f>
        <v>#REF!</v>
      </c>
      <c r="P6" s="4" t="e">
        <f>VLOOKUP(#REF!,'CIR Team Info'!$C$5:$E$44,2,FALSE)</f>
        <v>#REF!</v>
      </c>
      <c r="Q6" s="4" t="e">
        <f>VLOOKUP(#REF!,'CIR Team Info'!$C$5:$E$44,3,FALSE)</f>
        <v>#REF!</v>
      </c>
      <c r="R6" s="10" t="e">
        <f>VLOOKUP(#REF!,'FRC Site Data'!$B$3:$L$42,2,FALSE)</f>
        <v>#REF!</v>
      </c>
      <c r="S6" s="10" t="e">
        <f>VLOOKUP(#REF!,'FRC Site Data'!$B$3:$L$42,3,FALSE)</f>
        <v>#REF!</v>
      </c>
      <c r="T6" s="10" t="e">
        <f>VLOOKUP(#REF!,'FRC Site Data'!$B$3:$L$42,4,FALSE)</f>
        <v>#REF!</v>
      </c>
      <c r="U6" s="10" t="e">
        <f>VLOOKUP(#REF!,'FRC Site Data'!$B$3:$L$42,5,FALSE)</f>
        <v>#REF!</v>
      </c>
      <c r="V6" s="10" t="e">
        <f>VLOOKUP(#REF!,'FRC Site Data'!$B$3:$L$42,6,FALSE)</f>
        <v>#REF!</v>
      </c>
      <c r="W6" s="10" t="e">
        <f>VLOOKUP(#REF!,'FRC Site Data'!$B$3:$L$42,8,FALSE)</f>
        <v>#REF!</v>
      </c>
      <c r="X6" s="10" t="e">
        <f>VLOOKUP(#REF!,'FRC Site Data'!$B$3:$L$42,9,FALSE)</f>
        <v>#REF!</v>
      </c>
      <c r="Y6" s="10" t="e">
        <f>VLOOKUP(#REF!,'FRC Site Data'!$B$3:$L$42,10,FALSE)</f>
        <v>#REF!</v>
      </c>
      <c r="Z6" s="10" t="e">
        <f>VLOOKUP(#REF!,'FRC Site Data'!$B$3:$L$42,11,FALSE)</f>
        <v>#REF!</v>
      </c>
      <c r="AA6" s="10" t="e">
        <f>VLOOKUP(#REF!,'CIR Team Info'!$C$5:$E$44,4,FALSE)</f>
        <v>#REF!</v>
      </c>
      <c r="AB6" s="161" t="b">
        <f>ISNUMBER(VLOOKUP(#REF!,Match!$T$5:$T$10,1,FALSE))</f>
        <v>0</v>
      </c>
      <c r="AC6" s="161" t="b">
        <f>IF(AB6=TRUE,(VLOOKUP(#REF!,Match!$T$5:$U$10,2,FALSE)))</f>
        <v>0</v>
      </c>
      <c r="AD6" s="8">
        <v>3</v>
      </c>
      <c r="AE6" s="8">
        <v>2</v>
      </c>
      <c r="AF6" s="8">
        <v>2</v>
      </c>
      <c r="AG6" s="8">
        <v>1</v>
      </c>
      <c r="AH6" s="8" t="e">
        <f>IF(#REF!="Other","x","")</f>
        <v>#REF!</v>
      </c>
      <c r="BA6" s="24"/>
      <c r="BC6" s="12"/>
      <c r="BK6" s="12"/>
      <c r="BS6" s="127"/>
    </row>
    <row r="7" spans="1:71" x14ac:dyDescent="0.25">
      <c r="A7" s="29" t="e">
        <f t="shared" si="0"/>
        <v>#REF!</v>
      </c>
      <c r="B7" s="29" t="e">
        <f>H7*AD7*#REF!</f>
        <v>#REF!</v>
      </c>
      <c r="C7" s="29" t="e">
        <f>I7*AE7*#REF!</f>
        <v>#REF!</v>
      </c>
      <c r="D7" s="29" t="e">
        <f>J7*AF7*#REF!</f>
        <v>#REF!</v>
      </c>
      <c r="E7" s="29" t="e">
        <f t="shared" si="1"/>
        <v>#REF!</v>
      </c>
      <c r="F7" s="29" t="e">
        <f>IF(#REF!&gt;0,5)-2*COUNTIF(#REF!,"K")+5*COUNTIF(#REF!,"T")+IF(#REF!=3,2)+IF(#REF!="T",2)</f>
        <v>#REF!</v>
      </c>
      <c r="G7" s="29" t="e">
        <f>IF((#REF!+#REF!)&gt;45,"defensive",IF((#REF!+#REF!)&gt;15,"both","offensive"))</f>
        <v>#REF!</v>
      </c>
      <c r="H7" s="16" t="e">
        <f>IF((#REF!+#REF!)=0,0,#REF!/(#REF!+#REF!))</f>
        <v>#REF!</v>
      </c>
      <c r="I7" s="16" t="e">
        <f>IF((#REF!+#REF!)=0,0,#REF!/(#REF!+#REF!))</f>
        <v>#REF!</v>
      </c>
      <c r="J7" s="16" t="e">
        <f>IF(L7=0,0,#REF!/L7)</f>
        <v>#REF!</v>
      </c>
      <c r="K7" s="16" t="e">
        <f>IF((#REF!+#REF!)=0,0,((#REF!*#REF!*0.2)+(#REF!*#REF!*0.3))/(#REF!+#REF!))</f>
        <v>#REF!</v>
      </c>
      <c r="L7" s="67" t="e">
        <f>IF(#REF!&gt;#REF!,#REF!,#REF!)</f>
        <v>#REF!</v>
      </c>
      <c r="M7" s="4" t="e">
        <f>#REF!+#REF!+#REF!+O7</f>
        <v>#REF!</v>
      </c>
      <c r="N7" s="4" t="e">
        <f>#REF!+#REF!+#REF!</f>
        <v>#REF!</v>
      </c>
      <c r="O7" s="4" t="e">
        <f>(#REF!*0.2*#REF!*30/30)+(#REF!*0.3*#REF!*12/30)-#REF!-#REF!</f>
        <v>#REF!</v>
      </c>
      <c r="P7" s="4" t="e">
        <f>VLOOKUP(#REF!,'CIR Team Info'!$C$5:$E$44,2,FALSE)</f>
        <v>#REF!</v>
      </c>
      <c r="Q7" s="4" t="e">
        <f>VLOOKUP(#REF!,'CIR Team Info'!$C$5:$E$44,3,FALSE)</f>
        <v>#REF!</v>
      </c>
      <c r="R7" s="10" t="e">
        <f>VLOOKUP(#REF!,'FRC Site Data'!$B$3:$L$42,2,FALSE)</f>
        <v>#REF!</v>
      </c>
      <c r="S7" s="10" t="e">
        <f>VLOOKUP(#REF!,'FRC Site Data'!$B$3:$L$42,3,FALSE)</f>
        <v>#REF!</v>
      </c>
      <c r="T7" s="10" t="e">
        <f>VLOOKUP(#REF!,'FRC Site Data'!$B$3:$L$42,4,FALSE)</f>
        <v>#REF!</v>
      </c>
      <c r="U7" s="10" t="e">
        <f>VLOOKUP(#REF!,'FRC Site Data'!$B$3:$L$42,5,FALSE)</f>
        <v>#REF!</v>
      </c>
      <c r="V7" s="10" t="e">
        <f>VLOOKUP(#REF!,'FRC Site Data'!$B$3:$L$42,6,FALSE)</f>
        <v>#REF!</v>
      </c>
      <c r="W7" s="10" t="e">
        <f>VLOOKUP(#REF!,'FRC Site Data'!$B$3:$L$42,8,FALSE)</f>
        <v>#REF!</v>
      </c>
      <c r="X7" s="10" t="e">
        <f>VLOOKUP(#REF!,'FRC Site Data'!$B$3:$L$42,9,FALSE)</f>
        <v>#REF!</v>
      </c>
      <c r="Y7" s="10" t="e">
        <f>VLOOKUP(#REF!,'FRC Site Data'!$B$3:$L$42,10,FALSE)</f>
        <v>#REF!</v>
      </c>
      <c r="Z7" s="10" t="e">
        <f>VLOOKUP(#REF!,'FRC Site Data'!$B$3:$L$42,11,FALSE)</f>
        <v>#REF!</v>
      </c>
      <c r="AA7" s="10" t="e">
        <f>VLOOKUP(#REF!,'CIR Team Info'!$C$5:$E$44,4,FALSE)</f>
        <v>#REF!</v>
      </c>
      <c r="AB7" s="161" t="b">
        <f>ISNUMBER(VLOOKUP(#REF!,Match!$T$5:$T$10,1,FALSE))</f>
        <v>0</v>
      </c>
      <c r="AC7" s="161" t="b">
        <f>IF(AB7=TRUE,(VLOOKUP(#REF!,Match!$T$5:$U$10,2,FALSE)))</f>
        <v>0</v>
      </c>
      <c r="AD7" s="8">
        <v>3</v>
      </c>
      <c r="AE7" s="8">
        <v>2</v>
      </c>
      <c r="AF7" s="8">
        <v>2</v>
      </c>
      <c r="AG7" s="8">
        <v>1</v>
      </c>
      <c r="AH7" s="8" t="e">
        <f>IF(#REF!="Other","x","")</f>
        <v>#REF!</v>
      </c>
      <c r="BA7" s="24"/>
      <c r="BC7" s="12"/>
      <c r="BK7" s="12"/>
      <c r="BS7" s="127"/>
    </row>
    <row r="8" spans="1:71" x14ac:dyDescent="0.25">
      <c r="A8" s="29" t="e">
        <f t="shared" si="0"/>
        <v>#REF!</v>
      </c>
      <c r="B8" s="29" t="e">
        <f>H8*AD8*#REF!</f>
        <v>#REF!</v>
      </c>
      <c r="C8" s="29" t="e">
        <f>I8*AE8*#REF!</f>
        <v>#REF!</v>
      </c>
      <c r="D8" s="29" t="e">
        <f>J8*AF8*#REF!</f>
        <v>#REF!</v>
      </c>
      <c r="E8" s="29" t="e">
        <f t="shared" si="1"/>
        <v>#REF!</v>
      </c>
      <c r="F8" s="29" t="e">
        <f>IF(#REF!&gt;0,5)-2*COUNTIF(#REF!,"K")+5*COUNTIF(#REF!,"T")+IF(#REF!=3,2)+IF(#REF!="T",2)</f>
        <v>#REF!</v>
      </c>
      <c r="G8" s="29" t="e">
        <f>IF((#REF!+#REF!)&gt;45,"defensive",IF((#REF!+#REF!)&gt;15,"both","offensive"))</f>
        <v>#REF!</v>
      </c>
      <c r="H8" s="16" t="e">
        <f>IF((#REF!+#REF!)=0,0,#REF!/(#REF!+#REF!))</f>
        <v>#REF!</v>
      </c>
      <c r="I8" s="16" t="e">
        <f>IF((#REF!+#REF!)=0,0,#REF!/(#REF!+#REF!))</f>
        <v>#REF!</v>
      </c>
      <c r="J8" s="16" t="e">
        <f>IF(L8=0,0,#REF!/L8)</f>
        <v>#REF!</v>
      </c>
      <c r="K8" s="16" t="e">
        <f>IF((#REF!+#REF!)=0,0,((#REF!*#REF!*0.2)+(#REF!*#REF!*0.3))/(#REF!+#REF!))</f>
        <v>#REF!</v>
      </c>
      <c r="L8" s="67" t="e">
        <f>IF(#REF!&gt;#REF!,#REF!,#REF!)</f>
        <v>#REF!</v>
      </c>
      <c r="M8" s="4" t="e">
        <f>#REF!+#REF!+#REF!+O8</f>
        <v>#REF!</v>
      </c>
      <c r="N8" s="4" t="e">
        <f>#REF!+#REF!+#REF!</f>
        <v>#REF!</v>
      </c>
      <c r="O8" s="4" t="e">
        <f>(#REF!*0.2*#REF!*30/30)+(#REF!*0.3*#REF!*12/30)-#REF!-#REF!</f>
        <v>#REF!</v>
      </c>
      <c r="P8" s="4" t="e">
        <f>VLOOKUP(#REF!,'CIR Team Info'!$C$5:$E$44,2,FALSE)</f>
        <v>#REF!</v>
      </c>
      <c r="Q8" s="4" t="e">
        <f>VLOOKUP(#REF!,'CIR Team Info'!$C$5:$E$44,3,FALSE)</f>
        <v>#REF!</v>
      </c>
      <c r="R8" s="10" t="e">
        <f>VLOOKUP(#REF!,'FRC Site Data'!$B$3:$L$42,2,FALSE)</f>
        <v>#REF!</v>
      </c>
      <c r="S8" s="10" t="e">
        <f>VLOOKUP(#REF!,'FRC Site Data'!$B$3:$L$42,3,FALSE)</f>
        <v>#REF!</v>
      </c>
      <c r="T8" s="10" t="e">
        <f>VLOOKUP(#REF!,'FRC Site Data'!$B$3:$L$42,4,FALSE)</f>
        <v>#REF!</v>
      </c>
      <c r="U8" s="10" t="e">
        <f>VLOOKUP(#REF!,'FRC Site Data'!$B$3:$L$42,5,FALSE)</f>
        <v>#REF!</v>
      </c>
      <c r="V8" s="10" t="e">
        <f>VLOOKUP(#REF!,'FRC Site Data'!$B$3:$L$42,6,FALSE)</f>
        <v>#REF!</v>
      </c>
      <c r="W8" s="10" t="e">
        <f>VLOOKUP(#REF!,'FRC Site Data'!$B$3:$L$42,8,FALSE)</f>
        <v>#REF!</v>
      </c>
      <c r="X8" s="10" t="e">
        <f>VLOOKUP(#REF!,'FRC Site Data'!$B$3:$L$42,9,FALSE)</f>
        <v>#REF!</v>
      </c>
      <c r="Y8" s="10" t="e">
        <f>VLOOKUP(#REF!,'FRC Site Data'!$B$3:$L$42,10,FALSE)</f>
        <v>#REF!</v>
      </c>
      <c r="Z8" s="10" t="e">
        <f>VLOOKUP(#REF!,'FRC Site Data'!$B$3:$L$42,11,FALSE)</f>
        <v>#REF!</v>
      </c>
      <c r="AA8" s="10" t="e">
        <f>VLOOKUP(#REF!,'CIR Team Info'!$C$5:$E$44,4,FALSE)</f>
        <v>#REF!</v>
      </c>
      <c r="AB8" s="161" t="b">
        <f>ISNUMBER(VLOOKUP(#REF!,Match!$T$5:$T$10,1,FALSE))</f>
        <v>0</v>
      </c>
      <c r="AC8" s="161" t="b">
        <f>IF(AB8=TRUE,(VLOOKUP(#REF!,Match!$T$5:$U$10,2,FALSE)))</f>
        <v>0</v>
      </c>
      <c r="AD8" s="8">
        <v>3</v>
      </c>
      <c r="AE8" s="8">
        <v>2</v>
      </c>
      <c r="AF8" s="8">
        <v>2</v>
      </c>
      <c r="AG8" s="8">
        <v>1</v>
      </c>
      <c r="BA8" s="24"/>
      <c r="BC8" s="12"/>
      <c r="BS8" s="127"/>
    </row>
    <row r="9" spans="1:71" x14ac:dyDescent="0.25">
      <c r="A9" s="29" t="e">
        <f t="shared" si="0"/>
        <v>#REF!</v>
      </c>
      <c r="B9" s="29" t="e">
        <f>H9*AD9*#REF!</f>
        <v>#REF!</v>
      </c>
      <c r="C9" s="29" t="e">
        <f>I9*AE9*#REF!</f>
        <v>#REF!</v>
      </c>
      <c r="D9" s="29" t="e">
        <f>J9*AF9*#REF!</f>
        <v>#REF!</v>
      </c>
      <c r="E9" s="29" t="e">
        <f t="shared" si="1"/>
        <v>#REF!</v>
      </c>
      <c r="F9" s="29" t="e">
        <f>IF(#REF!&gt;0,5)-2*COUNTIF(#REF!,"K")+5*COUNTIF(#REF!,"T")+IF(#REF!=3,2)+IF(#REF!="T",2)</f>
        <v>#REF!</v>
      </c>
      <c r="G9" s="29" t="e">
        <f>IF((#REF!+#REF!)&gt;45,"defensive",IF((#REF!+#REF!)&gt;15,"both","offensive"))</f>
        <v>#REF!</v>
      </c>
      <c r="H9" s="16" t="e">
        <f>IF((#REF!+#REF!)=0,0,#REF!/(#REF!+#REF!))</f>
        <v>#REF!</v>
      </c>
      <c r="I9" s="16" t="e">
        <f>IF((#REF!+#REF!)=0,0,#REF!/(#REF!+#REF!))</f>
        <v>#REF!</v>
      </c>
      <c r="J9" s="16" t="e">
        <f>IF(L9=0,0,#REF!/L9)</f>
        <v>#REF!</v>
      </c>
      <c r="K9" s="16" t="e">
        <f>IF((#REF!+#REF!)=0,0,((#REF!*#REF!*0.2)+(#REF!*#REF!*0.3))/(#REF!+#REF!))</f>
        <v>#REF!</v>
      </c>
      <c r="L9" s="67" t="e">
        <f>IF(#REF!&gt;#REF!,#REF!,#REF!)</f>
        <v>#REF!</v>
      </c>
      <c r="M9" s="4" t="e">
        <f>#REF!+#REF!+#REF!+O9</f>
        <v>#REF!</v>
      </c>
      <c r="N9" s="4" t="e">
        <f>#REF!+#REF!+#REF!</f>
        <v>#REF!</v>
      </c>
      <c r="O9" s="4" t="e">
        <f>(#REF!*0.2*#REF!*30/30)+(#REF!*0.3*#REF!*12/30)-#REF!-#REF!</f>
        <v>#REF!</v>
      </c>
      <c r="P9" s="4" t="e">
        <f>VLOOKUP(#REF!,'CIR Team Info'!$C$5:$E$44,2,FALSE)</f>
        <v>#REF!</v>
      </c>
      <c r="Q9" s="4" t="e">
        <f>VLOOKUP(#REF!,'CIR Team Info'!$C$5:$E$44,3,FALSE)</f>
        <v>#REF!</v>
      </c>
      <c r="R9" s="10" t="e">
        <f>VLOOKUP(#REF!,'FRC Site Data'!$B$3:$L$42,2,FALSE)</f>
        <v>#REF!</v>
      </c>
      <c r="S9" s="10" t="e">
        <f>VLOOKUP(#REF!,'FRC Site Data'!$B$3:$L$42,3,FALSE)</f>
        <v>#REF!</v>
      </c>
      <c r="T9" s="10" t="e">
        <f>VLOOKUP(#REF!,'FRC Site Data'!$B$3:$L$42,4,FALSE)</f>
        <v>#REF!</v>
      </c>
      <c r="U9" s="10" t="e">
        <f>VLOOKUP(#REF!,'FRC Site Data'!$B$3:$L$42,5,FALSE)</f>
        <v>#REF!</v>
      </c>
      <c r="V9" s="10" t="e">
        <f>VLOOKUP(#REF!,'FRC Site Data'!$B$3:$L$42,6,FALSE)</f>
        <v>#REF!</v>
      </c>
      <c r="W9" s="10" t="e">
        <f>VLOOKUP(#REF!,'FRC Site Data'!$B$3:$L$42,8,FALSE)</f>
        <v>#REF!</v>
      </c>
      <c r="X9" s="10" t="e">
        <f>VLOOKUP(#REF!,'FRC Site Data'!$B$3:$L$42,9,FALSE)</f>
        <v>#REF!</v>
      </c>
      <c r="Y9" s="10" t="e">
        <f>VLOOKUP(#REF!,'FRC Site Data'!$B$3:$L$42,10,FALSE)</f>
        <v>#REF!</v>
      </c>
      <c r="Z9" s="10" t="e">
        <f>VLOOKUP(#REF!,'FRC Site Data'!$B$3:$L$42,11,FALSE)</f>
        <v>#REF!</v>
      </c>
      <c r="AA9" s="10" t="e">
        <f>VLOOKUP(#REF!,'CIR Team Info'!$C$5:$E$44,4,FALSE)</f>
        <v>#REF!</v>
      </c>
      <c r="AB9" s="161" t="b">
        <f>ISNUMBER(VLOOKUP(#REF!,Match!$T$5:$T$10,1,FALSE))</f>
        <v>0</v>
      </c>
      <c r="AC9" s="161" t="b">
        <f>IF(AB9=TRUE,(VLOOKUP(#REF!,Match!$T$5:$U$10,2,FALSE)))</f>
        <v>0</v>
      </c>
      <c r="AD9" s="8">
        <v>3</v>
      </c>
      <c r="AE9" s="8">
        <v>2</v>
      </c>
      <c r="AF9" s="8">
        <v>2</v>
      </c>
      <c r="AG9" s="8">
        <v>1</v>
      </c>
      <c r="AH9" s="8" t="e">
        <f>IF(#REF!="Other","x","")</f>
        <v>#REF!</v>
      </c>
      <c r="BA9" s="24"/>
      <c r="BC9" s="12"/>
      <c r="BS9" s="127"/>
    </row>
    <row r="10" spans="1:71" x14ac:dyDescent="0.25">
      <c r="A10" s="29" t="e">
        <f t="shared" si="0"/>
        <v>#VALUE!</v>
      </c>
      <c r="B10" s="29" t="e">
        <f t="shared" ref="B10:B69" si="2">H10*AD10*AO2</f>
        <v>#VALUE!</v>
      </c>
      <c r="C10" s="29" t="e">
        <f t="shared" ref="C10:C69" si="3">I10*AE10*AV2</f>
        <v>#VALUE!</v>
      </c>
      <c r="D10" s="29">
        <f t="shared" ref="D10:D69" si="4">J10*AF10*BF2</f>
        <v>46</v>
      </c>
      <c r="E10" s="29" t="e">
        <f t="shared" si="1"/>
        <v>#VALUE!</v>
      </c>
      <c r="F10" s="29">
        <f t="shared" ref="F10:F37" si="5">IF(AN2&gt;0,5)-2*COUNTIF(AQ2,"K")+5*COUNTIF(AS2,"T")+IF(AX2=3,2)+IF(AY2="T",2)</f>
        <v>5</v>
      </c>
      <c r="G10" s="29" t="str">
        <f t="shared" ref="G10:G37" si="6">IF((BB2+BC2)&gt;45,"defensive",IF((BB2+BC2)&gt;15,"both","offensive"))</f>
        <v>offensive</v>
      </c>
      <c r="H10" s="16" t="e">
        <f t="shared" ref="H10:H68" si="7">IF((AO2+AP2)=0,0,AO2/(AO2+AP2))</f>
        <v>#VALUE!</v>
      </c>
      <c r="I10" s="16" t="e">
        <f t="shared" ref="I10:I68" si="8">IF((AV2+AW2)=0,0,AV2/(AV2+AW2))</f>
        <v>#VALUE!</v>
      </c>
      <c r="J10" s="16">
        <f t="shared" ref="J10:J69" si="9">IF(L10=0,0,BG2/L10)</f>
        <v>0.74193548387096775</v>
      </c>
      <c r="K10" s="16">
        <f t="shared" ref="K10:K37" si="10">IF((BB2+BC2)=0,0,((AZ2*BB2*0.2)+(BA2*BC2*0.3))/(BB2+BC2))</f>
        <v>0</v>
      </c>
      <c r="L10" s="67">
        <f t="shared" ref="L10:L37" si="11">IF(BF2&gt;BG2,BF2,BG2)</f>
        <v>31</v>
      </c>
      <c r="M10" s="4" t="e">
        <f t="shared" ref="M10:M69" si="12">AO2+AV2+BD2+O10</f>
        <v>#VALUE!</v>
      </c>
      <c r="N10" s="4" t="e">
        <f t="shared" ref="N10:N37" si="13">AO2+AV2+BD2</f>
        <v>#VALUE!</v>
      </c>
      <c r="O10" s="4" t="e">
        <f t="shared" ref="O10:O37" si="14">(AZ2*0.2*BB2*30/30)+(BA2*0.3*BC2*12/30)-BI2-BJ2</f>
        <v>#VALUE!</v>
      </c>
      <c r="P10" s="4" t="e">
        <f>VLOOKUP(AJ2,'CIR Team Info'!$C$5:$E$44,2,FALSE)</f>
        <v>#N/A</v>
      </c>
      <c r="Q10" s="4" t="e">
        <f>VLOOKUP(AJ2,'CIR Team Info'!$C$5:$E$44,3,FALSE)</f>
        <v>#N/A</v>
      </c>
      <c r="R10" s="10">
        <f>VLOOKUP(AJ2,'FRC Site Data'!$B$3:$L$42,2,FALSE)</f>
        <v>12</v>
      </c>
      <c r="S10" s="10">
        <f>VLOOKUP(AJ2,'FRC Site Data'!$B$3:$L$42,3,FALSE)</f>
        <v>70</v>
      </c>
      <c r="T10" s="10">
        <f>VLOOKUP(AJ2,'FRC Site Data'!$B$3:$L$42,4,FALSE)</f>
        <v>140</v>
      </c>
      <c r="U10" s="10">
        <f>VLOOKUP(AJ2,'FRC Site Data'!$B$3:$L$42,5,FALSE)</f>
        <v>170</v>
      </c>
      <c r="V10" s="10">
        <f>VLOOKUP(AJ2,'FRC Site Data'!$B$3:$L$42,6,FALSE)</f>
        <v>36679</v>
      </c>
      <c r="W10" s="10">
        <f>VLOOKUP(AJ2,'FRC Site Data'!$B$3:$L$42,8,FALSE)</f>
        <v>8</v>
      </c>
      <c r="X10" s="10">
        <f>VLOOKUP(AJ2,'FRC Site Data'!$B$3:$L$42,9,FALSE)</f>
        <v>0</v>
      </c>
      <c r="Y10" s="10" t="str">
        <f>VLOOKUP(AJ2,'FRC Site Data'!$B$3:$L$42,10,FALSE)</f>
        <v>06-02-00</v>
      </c>
      <c r="Z10" s="10">
        <f>VLOOKUP(AJ2,'FRC Site Data'!$B$3:$L$42,11,FALSE)</f>
        <v>9</v>
      </c>
      <c r="AA10" s="10" t="e">
        <f>VLOOKUP(AJ2,'CIR Team Info'!$C$5:$E$44,4,FALSE)</f>
        <v>#N/A</v>
      </c>
      <c r="AB10" s="161" t="b">
        <f>ISNUMBER(VLOOKUP(AJ2,Match!$T$5:$T$10,1,FALSE))</f>
        <v>0</v>
      </c>
      <c r="AC10" s="161" t="b">
        <f>IF(AB10=TRUE,(VLOOKUP($AJ2,Match!$T$5:$U$10,2,FALSE)))</f>
        <v>0</v>
      </c>
      <c r="AD10" s="8">
        <v>3</v>
      </c>
      <c r="AE10" s="8">
        <v>2</v>
      </c>
      <c r="AF10" s="8">
        <v>2</v>
      </c>
      <c r="AG10" s="8">
        <v>1</v>
      </c>
      <c r="AH10" s="8" t="str">
        <f t="shared" ref="AH10:AH39" si="15">IF(AL2="Other","x","")</f>
        <v/>
      </c>
      <c r="BA10" s="24"/>
      <c r="BC10" s="12"/>
      <c r="BS10" s="127"/>
    </row>
    <row r="11" spans="1:71" x14ac:dyDescent="0.25">
      <c r="A11" s="29" t="e">
        <f t="shared" si="0"/>
        <v>#VALUE!</v>
      </c>
      <c r="B11" s="29" t="e">
        <f t="shared" si="2"/>
        <v>#VALUE!</v>
      </c>
      <c r="C11" s="29" t="e">
        <f t="shared" si="3"/>
        <v>#VALUE!</v>
      </c>
      <c r="D11" s="29">
        <f t="shared" si="4"/>
        <v>76</v>
      </c>
      <c r="E11" s="29" t="e">
        <f t="shared" si="1"/>
        <v>#VALUE!</v>
      </c>
      <c r="F11" s="29">
        <f t="shared" si="5"/>
        <v>5</v>
      </c>
      <c r="G11" s="29" t="str">
        <f t="shared" si="6"/>
        <v>offensive</v>
      </c>
      <c r="H11" s="16" t="e">
        <f t="shared" si="7"/>
        <v>#VALUE!</v>
      </c>
      <c r="I11" s="16" t="e">
        <f t="shared" si="8"/>
        <v>#VALUE!</v>
      </c>
      <c r="J11" s="16">
        <f t="shared" si="9"/>
        <v>1</v>
      </c>
      <c r="K11" s="16">
        <f t="shared" si="10"/>
        <v>0</v>
      </c>
      <c r="L11" s="67">
        <f t="shared" si="11"/>
        <v>40</v>
      </c>
      <c r="M11" s="4" t="e">
        <f t="shared" si="12"/>
        <v>#VALUE!</v>
      </c>
      <c r="N11" s="4" t="e">
        <f t="shared" si="13"/>
        <v>#VALUE!</v>
      </c>
      <c r="O11" s="4" t="e">
        <f t="shared" si="14"/>
        <v>#VALUE!</v>
      </c>
      <c r="P11" s="4" t="e">
        <f>VLOOKUP(AJ3,'CIR Team Info'!$C$5:$E$44,2,FALSE)</f>
        <v>#N/A</v>
      </c>
      <c r="Q11" s="4" t="e">
        <f>VLOOKUP(AJ3,'CIR Team Info'!$C$5:$E$44,3,FALSE)</f>
        <v>#N/A</v>
      </c>
      <c r="R11" s="10" t="e">
        <f>VLOOKUP(AJ3,'FRC Site Data'!$B$3:$L$42,2,FALSE)</f>
        <v>#N/A</v>
      </c>
      <c r="S11" s="10" t="e">
        <f>VLOOKUP(AJ3,'FRC Site Data'!$B$3:$L$42,3,FALSE)</f>
        <v>#N/A</v>
      </c>
      <c r="T11" s="10" t="e">
        <f>VLOOKUP(AJ3,'FRC Site Data'!$B$3:$L$42,4,FALSE)</f>
        <v>#N/A</v>
      </c>
      <c r="U11" s="10" t="e">
        <f>VLOOKUP(AJ3,'FRC Site Data'!$B$3:$L$42,5,FALSE)</f>
        <v>#N/A</v>
      </c>
      <c r="V11" s="10" t="e">
        <f>VLOOKUP(AJ3,'FRC Site Data'!$B$3:$L$42,6,FALSE)</f>
        <v>#N/A</v>
      </c>
      <c r="W11" s="10" t="e">
        <f>VLOOKUP(AJ3,'FRC Site Data'!$B$3:$L$42,8,FALSE)</f>
        <v>#N/A</v>
      </c>
      <c r="X11" s="10" t="e">
        <f>VLOOKUP(AJ3,'FRC Site Data'!$B$3:$L$42,9,FALSE)</f>
        <v>#N/A</v>
      </c>
      <c r="Y11" s="10" t="e">
        <f>VLOOKUP(AJ3,'FRC Site Data'!$B$3:$L$42,10,FALSE)</f>
        <v>#N/A</v>
      </c>
      <c r="Z11" s="10" t="e">
        <f>VLOOKUP(AJ3,'FRC Site Data'!$B$3:$L$42,11,FALSE)</f>
        <v>#N/A</v>
      </c>
      <c r="AA11" s="10" t="e">
        <f>VLOOKUP(AJ3,'CIR Team Info'!$C$5:$E$44,4,FALSE)</f>
        <v>#N/A</v>
      </c>
      <c r="AB11" s="161" t="b">
        <f>ISNUMBER(VLOOKUP(AJ3,Match!$T$5:$T$10,1,FALSE))</f>
        <v>0</v>
      </c>
      <c r="AC11" s="161" t="b">
        <f>IF(AB11=TRUE,(VLOOKUP($AJ3,Match!$T$5:$U$10,2,FALSE)))</f>
        <v>0</v>
      </c>
      <c r="AD11" s="8">
        <v>3</v>
      </c>
      <c r="AE11" s="8">
        <v>2</v>
      </c>
      <c r="AF11" s="8">
        <v>2</v>
      </c>
      <c r="AG11" s="8">
        <v>1</v>
      </c>
      <c r="AH11" s="8" t="str">
        <f t="shared" si="15"/>
        <v/>
      </c>
      <c r="BA11" s="24"/>
      <c r="BC11" s="12"/>
      <c r="BS11" s="127"/>
    </row>
    <row r="12" spans="1:71" x14ac:dyDescent="0.25">
      <c r="A12" s="29">
        <f t="shared" si="0"/>
        <v>0</v>
      </c>
      <c r="B12" s="29">
        <f t="shared" si="2"/>
        <v>0</v>
      </c>
      <c r="C12" s="29">
        <f t="shared" si="3"/>
        <v>0</v>
      </c>
      <c r="D12" s="29">
        <f t="shared" si="4"/>
        <v>0</v>
      </c>
      <c r="E12" s="29">
        <f t="shared" si="1"/>
        <v>0</v>
      </c>
      <c r="F12" s="29">
        <f t="shared" si="5"/>
        <v>0</v>
      </c>
      <c r="G12" s="29" t="str">
        <f t="shared" si="6"/>
        <v>offensive</v>
      </c>
      <c r="H12" s="16">
        <f t="shared" si="7"/>
        <v>0</v>
      </c>
      <c r="I12" s="16">
        <f t="shared" si="8"/>
        <v>0</v>
      </c>
      <c r="J12" s="16">
        <f t="shared" si="9"/>
        <v>0</v>
      </c>
      <c r="K12" s="16">
        <f t="shared" si="10"/>
        <v>0</v>
      </c>
      <c r="L12" s="67">
        <f t="shared" si="11"/>
        <v>0</v>
      </c>
      <c r="M12" s="4">
        <f t="shared" si="12"/>
        <v>0</v>
      </c>
      <c r="N12" s="4">
        <f t="shared" si="13"/>
        <v>0</v>
      </c>
      <c r="O12" s="4">
        <f t="shared" si="14"/>
        <v>0</v>
      </c>
      <c r="P12" s="4" t="e">
        <f>VLOOKUP(AJ4,'CIR Team Info'!$C$5:$E$44,2,FALSE)</f>
        <v>#N/A</v>
      </c>
      <c r="Q12" s="4" t="e">
        <f>VLOOKUP(AJ4,'CIR Team Info'!$C$5:$E$44,3,FALSE)</f>
        <v>#N/A</v>
      </c>
      <c r="R12" s="10" t="e">
        <f>VLOOKUP(AJ4,'FRC Site Data'!$B$3:$L$42,2,FALSE)</f>
        <v>#N/A</v>
      </c>
      <c r="S12" s="10" t="e">
        <f>VLOOKUP(AJ4,'FRC Site Data'!$B$3:$L$42,3,FALSE)</f>
        <v>#N/A</v>
      </c>
      <c r="T12" s="10" t="e">
        <f>VLOOKUP(AJ4,'FRC Site Data'!$B$3:$L$42,4,FALSE)</f>
        <v>#N/A</v>
      </c>
      <c r="U12" s="10" t="e">
        <f>VLOOKUP(AJ4,'FRC Site Data'!$B$3:$L$42,5,FALSE)</f>
        <v>#N/A</v>
      </c>
      <c r="V12" s="10" t="e">
        <f>VLOOKUP(AJ4,'FRC Site Data'!$B$3:$L$42,6,FALSE)</f>
        <v>#N/A</v>
      </c>
      <c r="W12" s="10" t="e">
        <f>VLOOKUP(AJ4,'FRC Site Data'!$B$3:$L$42,8,FALSE)</f>
        <v>#N/A</v>
      </c>
      <c r="X12" s="10" t="e">
        <f>VLOOKUP(AJ4,'FRC Site Data'!$B$3:$L$42,9,FALSE)</f>
        <v>#N/A</v>
      </c>
      <c r="Y12" s="10" t="e">
        <f>VLOOKUP(AJ4,'FRC Site Data'!$B$3:$L$42,10,FALSE)</f>
        <v>#N/A</v>
      </c>
      <c r="Z12" s="10" t="e">
        <f>VLOOKUP(AJ4,'FRC Site Data'!$B$3:$L$42,11,FALSE)</f>
        <v>#N/A</v>
      </c>
      <c r="AA12" s="10" t="e">
        <f>VLOOKUP(AJ4,'CIR Team Info'!$C$5:$E$44,4,FALSE)</f>
        <v>#N/A</v>
      </c>
      <c r="AB12" s="161" t="b">
        <f>ISNUMBER(VLOOKUP(AJ4,Match!$T$5:$T$10,1,FALSE))</f>
        <v>0</v>
      </c>
      <c r="AC12" s="161" t="b">
        <f>IF(AB12=TRUE,(VLOOKUP($AJ4,Match!$T$5:$U$10,2,FALSE)))</f>
        <v>0</v>
      </c>
      <c r="AD12" s="8">
        <v>3</v>
      </c>
      <c r="AE12" s="8">
        <v>2</v>
      </c>
      <c r="AF12" s="8">
        <v>2</v>
      </c>
      <c r="AG12" s="8">
        <v>1</v>
      </c>
      <c r="AH12" s="8" t="str">
        <f t="shared" si="15"/>
        <v/>
      </c>
      <c r="BA12" s="24"/>
      <c r="BC12" s="12"/>
      <c r="BS12" s="127"/>
    </row>
    <row r="13" spans="1:71" x14ac:dyDescent="0.25">
      <c r="A13" s="29">
        <f t="shared" si="0"/>
        <v>0</v>
      </c>
      <c r="B13" s="29">
        <f t="shared" si="2"/>
        <v>0</v>
      </c>
      <c r="C13" s="29">
        <f t="shared" si="3"/>
        <v>0</v>
      </c>
      <c r="D13" s="29">
        <f t="shared" si="4"/>
        <v>0</v>
      </c>
      <c r="E13" s="29">
        <f t="shared" si="1"/>
        <v>0</v>
      </c>
      <c r="F13" s="29">
        <f t="shared" si="5"/>
        <v>0</v>
      </c>
      <c r="G13" s="29" t="str">
        <f t="shared" si="6"/>
        <v>offensive</v>
      </c>
      <c r="H13" s="16">
        <f t="shared" si="7"/>
        <v>0</v>
      </c>
      <c r="I13" s="16">
        <f t="shared" si="8"/>
        <v>0</v>
      </c>
      <c r="J13" s="16">
        <f t="shared" si="9"/>
        <v>0</v>
      </c>
      <c r="K13" s="16">
        <f t="shared" si="10"/>
        <v>0</v>
      </c>
      <c r="L13" s="67">
        <f t="shared" si="11"/>
        <v>0</v>
      </c>
      <c r="M13" s="4">
        <f t="shared" si="12"/>
        <v>0</v>
      </c>
      <c r="N13" s="4">
        <f t="shared" si="13"/>
        <v>0</v>
      </c>
      <c r="O13" s="4">
        <f t="shared" si="14"/>
        <v>0</v>
      </c>
      <c r="P13" s="4" t="e">
        <f>VLOOKUP(AJ5,'CIR Team Info'!$C$5:$E$44,2,FALSE)</f>
        <v>#N/A</v>
      </c>
      <c r="Q13" s="4" t="e">
        <f>VLOOKUP(AJ5,'CIR Team Info'!$C$5:$E$44,3,FALSE)</f>
        <v>#N/A</v>
      </c>
      <c r="R13" s="10" t="e">
        <f>VLOOKUP(AJ5,'FRC Site Data'!$B$3:$L$42,2,FALSE)</f>
        <v>#N/A</v>
      </c>
      <c r="S13" s="10" t="e">
        <f>VLOOKUP(AJ5,'FRC Site Data'!$B$3:$L$42,3,FALSE)</f>
        <v>#N/A</v>
      </c>
      <c r="T13" s="10" t="e">
        <f>VLOOKUP(AJ5,'FRC Site Data'!$B$3:$L$42,4,FALSE)</f>
        <v>#N/A</v>
      </c>
      <c r="U13" s="10" t="e">
        <f>VLOOKUP(AJ5,'FRC Site Data'!$B$3:$L$42,5,FALSE)</f>
        <v>#N/A</v>
      </c>
      <c r="V13" s="10" t="e">
        <f>VLOOKUP(AJ5,'FRC Site Data'!$B$3:$L$42,6,FALSE)</f>
        <v>#N/A</v>
      </c>
      <c r="W13" s="10" t="e">
        <f>VLOOKUP(AJ5,'FRC Site Data'!$B$3:$L$42,8,FALSE)</f>
        <v>#N/A</v>
      </c>
      <c r="X13" s="10" t="e">
        <f>VLOOKUP(AJ5,'FRC Site Data'!$B$3:$L$42,9,FALSE)</f>
        <v>#N/A</v>
      </c>
      <c r="Y13" s="10" t="e">
        <f>VLOOKUP(AJ5,'FRC Site Data'!$B$3:$L$42,10,FALSE)</f>
        <v>#N/A</v>
      </c>
      <c r="Z13" s="10" t="e">
        <f>VLOOKUP(AJ5,'FRC Site Data'!$B$3:$L$42,11,FALSE)</f>
        <v>#N/A</v>
      </c>
      <c r="AA13" s="10" t="e">
        <f>VLOOKUP(AJ5,'CIR Team Info'!$C$5:$E$44,4,FALSE)</f>
        <v>#N/A</v>
      </c>
      <c r="AB13" s="161" t="b">
        <f>ISNUMBER(VLOOKUP(AJ5,Match!$T$5:$T$10,1,FALSE))</f>
        <v>0</v>
      </c>
      <c r="AC13" s="161" t="b">
        <f>IF(AB13=TRUE,(VLOOKUP($AJ5,Match!$T$5:$U$10,2,FALSE)))</f>
        <v>0</v>
      </c>
      <c r="AD13" s="8">
        <v>3</v>
      </c>
      <c r="AE13" s="8">
        <v>2</v>
      </c>
      <c r="AF13" s="8">
        <v>2</v>
      </c>
      <c r="AG13" s="8">
        <v>1</v>
      </c>
      <c r="AH13" s="8" t="str">
        <f t="shared" si="15"/>
        <v/>
      </c>
      <c r="BA13" s="24"/>
      <c r="BC13" s="12"/>
      <c r="BS13" s="127"/>
    </row>
    <row r="14" spans="1:71" x14ac:dyDescent="0.25">
      <c r="A14" s="29">
        <f t="shared" si="0"/>
        <v>0</v>
      </c>
      <c r="B14" s="29">
        <f t="shared" si="2"/>
        <v>0</v>
      </c>
      <c r="C14" s="29">
        <f t="shared" si="3"/>
        <v>0</v>
      </c>
      <c r="D14" s="29">
        <f t="shared" si="4"/>
        <v>0</v>
      </c>
      <c r="E14" s="29">
        <f t="shared" si="1"/>
        <v>0</v>
      </c>
      <c r="F14" s="29">
        <f t="shared" si="5"/>
        <v>0</v>
      </c>
      <c r="G14" s="29" t="str">
        <f t="shared" si="6"/>
        <v>offensive</v>
      </c>
      <c r="H14" s="16">
        <f t="shared" si="7"/>
        <v>0</v>
      </c>
      <c r="I14" s="16">
        <f t="shared" si="8"/>
        <v>0</v>
      </c>
      <c r="J14" s="16">
        <f t="shared" si="9"/>
        <v>0</v>
      </c>
      <c r="K14" s="16">
        <f t="shared" si="10"/>
        <v>0</v>
      </c>
      <c r="L14" s="67">
        <f t="shared" si="11"/>
        <v>0</v>
      </c>
      <c r="M14" s="4">
        <f t="shared" si="12"/>
        <v>0</v>
      </c>
      <c r="N14" s="4">
        <f t="shared" si="13"/>
        <v>0</v>
      </c>
      <c r="O14" s="4">
        <f t="shared" si="14"/>
        <v>0</v>
      </c>
      <c r="P14" s="4" t="e">
        <f>VLOOKUP(AJ6,'CIR Team Info'!$C$5:$E$44,2,FALSE)</f>
        <v>#N/A</v>
      </c>
      <c r="Q14" s="4" t="e">
        <f>VLOOKUP(AJ6,'CIR Team Info'!$C$5:$E$44,3,FALSE)</f>
        <v>#N/A</v>
      </c>
      <c r="R14" s="10" t="e">
        <f>VLOOKUP(AJ6,'FRC Site Data'!$B$3:$L$42,2,FALSE)</f>
        <v>#N/A</v>
      </c>
      <c r="S14" s="10" t="e">
        <f>VLOOKUP(AJ6,'FRC Site Data'!$B$3:$L$42,3,FALSE)</f>
        <v>#N/A</v>
      </c>
      <c r="T14" s="10" t="e">
        <f>VLOOKUP(AJ6,'FRC Site Data'!$B$3:$L$42,4,FALSE)</f>
        <v>#N/A</v>
      </c>
      <c r="U14" s="10" t="e">
        <f>VLOOKUP(AJ6,'FRC Site Data'!$B$3:$L$42,5,FALSE)</f>
        <v>#N/A</v>
      </c>
      <c r="V14" s="10" t="e">
        <f>VLOOKUP(AJ6,'FRC Site Data'!$B$3:$L$42,6,FALSE)</f>
        <v>#N/A</v>
      </c>
      <c r="W14" s="10" t="e">
        <f>VLOOKUP(AJ6,'FRC Site Data'!$B$3:$L$42,8,FALSE)</f>
        <v>#N/A</v>
      </c>
      <c r="X14" s="10" t="e">
        <f>VLOOKUP(AJ6,'FRC Site Data'!$B$3:$L$42,9,FALSE)</f>
        <v>#N/A</v>
      </c>
      <c r="Y14" s="10" t="e">
        <f>VLOOKUP(AJ6,'FRC Site Data'!$B$3:$L$42,10,FALSE)</f>
        <v>#N/A</v>
      </c>
      <c r="Z14" s="10" t="e">
        <f>VLOOKUP(AJ6,'FRC Site Data'!$B$3:$L$42,11,FALSE)</f>
        <v>#N/A</v>
      </c>
      <c r="AA14" s="10" t="e">
        <f>VLOOKUP(AJ6,'CIR Team Info'!$C$5:$E$44,4,FALSE)</f>
        <v>#N/A</v>
      </c>
      <c r="AB14" s="161" t="b">
        <f>ISNUMBER(VLOOKUP(AJ6,Match!$T$5:$T$10,1,FALSE))</f>
        <v>0</v>
      </c>
      <c r="AC14" s="161" t="b">
        <f>IF(AB14=TRUE,(VLOOKUP($AJ6,Match!$T$5:$U$10,2,FALSE)))</f>
        <v>0</v>
      </c>
      <c r="AD14" s="8">
        <v>3</v>
      </c>
      <c r="AE14" s="8">
        <v>2</v>
      </c>
      <c r="AF14" s="8">
        <v>2</v>
      </c>
      <c r="AG14" s="8">
        <v>1</v>
      </c>
      <c r="AH14" s="8" t="str">
        <f t="shared" si="15"/>
        <v/>
      </c>
      <c r="BA14" s="24"/>
      <c r="BC14" s="12"/>
      <c r="BS14" s="127"/>
    </row>
    <row r="15" spans="1:71" x14ac:dyDescent="0.25">
      <c r="A15" s="29">
        <f t="shared" si="0"/>
        <v>0</v>
      </c>
      <c r="B15" s="29">
        <f t="shared" si="2"/>
        <v>0</v>
      </c>
      <c r="C15" s="29">
        <f t="shared" si="3"/>
        <v>0</v>
      </c>
      <c r="D15" s="29">
        <f t="shared" si="4"/>
        <v>0</v>
      </c>
      <c r="E15" s="29">
        <f t="shared" si="1"/>
        <v>0</v>
      </c>
      <c r="F15" s="29">
        <f t="shared" si="5"/>
        <v>0</v>
      </c>
      <c r="G15" s="29" t="str">
        <f t="shared" si="6"/>
        <v>offensive</v>
      </c>
      <c r="H15" s="16">
        <f t="shared" si="7"/>
        <v>0</v>
      </c>
      <c r="I15" s="16">
        <f t="shared" si="8"/>
        <v>0</v>
      </c>
      <c r="J15" s="16">
        <f t="shared" si="9"/>
        <v>0</v>
      </c>
      <c r="K15" s="16">
        <f t="shared" si="10"/>
        <v>0</v>
      </c>
      <c r="L15" s="67">
        <f t="shared" si="11"/>
        <v>0</v>
      </c>
      <c r="M15" s="4">
        <f t="shared" si="12"/>
        <v>0</v>
      </c>
      <c r="N15" s="4">
        <f t="shared" si="13"/>
        <v>0</v>
      </c>
      <c r="O15" s="4">
        <f t="shared" si="14"/>
        <v>0</v>
      </c>
      <c r="P15" s="4" t="e">
        <f>VLOOKUP(AJ7,'CIR Team Info'!$C$5:$E$44,2,FALSE)</f>
        <v>#N/A</v>
      </c>
      <c r="Q15" s="4" t="e">
        <f>VLOOKUP(AJ7,'CIR Team Info'!$C$5:$E$44,3,FALSE)</f>
        <v>#N/A</v>
      </c>
      <c r="R15" s="10" t="e">
        <f>VLOOKUP(AJ7,'FRC Site Data'!$B$3:$L$42,2,FALSE)</f>
        <v>#N/A</v>
      </c>
      <c r="S15" s="10" t="e">
        <f>VLOOKUP(AJ7,'FRC Site Data'!$B$3:$L$42,3,FALSE)</f>
        <v>#N/A</v>
      </c>
      <c r="T15" s="10" t="e">
        <f>VLOOKUP(AJ7,'FRC Site Data'!$B$3:$L$42,4,FALSE)</f>
        <v>#N/A</v>
      </c>
      <c r="U15" s="10" t="e">
        <f>VLOOKUP(AJ7,'FRC Site Data'!$B$3:$L$42,5,FALSE)</f>
        <v>#N/A</v>
      </c>
      <c r="V15" s="10" t="e">
        <f>VLOOKUP(AJ7,'FRC Site Data'!$B$3:$L$42,6,FALSE)</f>
        <v>#N/A</v>
      </c>
      <c r="W15" s="10" t="e">
        <f>VLOOKUP(AJ7,'FRC Site Data'!$B$3:$L$42,8,FALSE)</f>
        <v>#N/A</v>
      </c>
      <c r="X15" s="10" t="e">
        <f>VLOOKUP(AJ7,'FRC Site Data'!$B$3:$L$42,9,FALSE)</f>
        <v>#N/A</v>
      </c>
      <c r="Y15" s="10" t="e">
        <f>VLOOKUP(AJ7,'FRC Site Data'!$B$3:$L$42,10,FALSE)</f>
        <v>#N/A</v>
      </c>
      <c r="Z15" s="10" t="e">
        <f>VLOOKUP(AJ7,'FRC Site Data'!$B$3:$L$42,11,FALSE)</f>
        <v>#N/A</v>
      </c>
      <c r="AA15" s="10" t="e">
        <f>VLOOKUP(AJ7,'CIR Team Info'!$C$5:$E$44,4,FALSE)</f>
        <v>#N/A</v>
      </c>
      <c r="AB15" s="161" t="b">
        <f>ISNUMBER(VLOOKUP(AJ7,Match!$T$5:$T$10,1,FALSE))</f>
        <v>0</v>
      </c>
      <c r="AC15" s="161" t="b">
        <f>IF(AB15=TRUE,(VLOOKUP($AJ7,Match!$T$5:$U$10,2,FALSE)))</f>
        <v>0</v>
      </c>
      <c r="AD15" s="8">
        <v>3</v>
      </c>
      <c r="AE15" s="8">
        <v>2</v>
      </c>
      <c r="AF15" s="8">
        <v>2</v>
      </c>
      <c r="AG15" s="8">
        <v>1</v>
      </c>
      <c r="AH15" s="8" t="str">
        <f t="shared" si="15"/>
        <v/>
      </c>
      <c r="BA15" s="24"/>
      <c r="BC15" s="12"/>
      <c r="BS15" s="127"/>
    </row>
    <row r="16" spans="1:71" x14ac:dyDescent="0.25">
      <c r="A16" s="29">
        <f t="shared" si="0"/>
        <v>0</v>
      </c>
      <c r="B16" s="29">
        <f t="shared" si="2"/>
        <v>0</v>
      </c>
      <c r="C16" s="29">
        <f t="shared" si="3"/>
        <v>0</v>
      </c>
      <c r="D16" s="29">
        <f t="shared" si="4"/>
        <v>0</v>
      </c>
      <c r="E16" s="29">
        <f t="shared" si="1"/>
        <v>0</v>
      </c>
      <c r="F16" s="29">
        <f t="shared" si="5"/>
        <v>0</v>
      </c>
      <c r="G16" s="29" t="str">
        <f t="shared" si="6"/>
        <v>offensive</v>
      </c>
      <c r="H16" s="16">
        <f t="shared" si="7"/>
        <v>0</v>
      </c>
      <c r="I16" s="16">
        <f t="shared" si="8"/>
        <v>0</v>
      </c>
      <c r="J16" s="16">
        <f t="shared" si="9"/>
        <v>0</v>
      </c>
      <c r="K16" s="16">
        <f t="shared" si="10"/>
        <v>0</v>
      </c>
      <c r="L16" s="67">
        <f t="shared" si="11"/>
        <v>0</v>
      </c>
      <c r="M16" s="4">
        <f t="shared" si="12"/>
        <v>0</v>
      </c>
      <c r="N16" s="4">
        <f t="shared" si="13"/>
        <v>0</v>
      </c>
      <c r="O16" s="4">
        <f t="shared" si="14"/>
        <v>0</v>
      </c>
      <c r="P16" s="4" t="e">
        <f>VLOOKUP(AJ8,'CIR Team Info'!$C$5:$E$44,2,FALSE)</f>
        <v>#N/A</v>
      </c>
      <c r="Q16" s="4" t="e">
        <f>VLOOKUP(AJ8,'CIR Team Info'!$C$5:$E$44,3,FALSE)</f>
        <v>#N/A</v>
      </c>
      <c r="R16" s="10" t="e">
        <f>VLOOKUP(AJ8,'FRC Site Data'!$B$3:$L$42,2,FALSE)</f>
        <v>#N/A</v>
      </c>
      <c r="S16" s="10" t="e">
        <f>VLOOKUP(AJ8,'FRC Site Data'!$B$3:$L$42,3,FALSE)</f>
        <v>#N/A</v>
      </c>
      <c r="T16" s="10" t="e">
        <f>VLOOKUP(AJ8,'FRC Site Data'!$B$3:$L$42,4,FALSE)</f>
        <v>#N/A</v>
      </c>
      <c r="U16" s="10" t="e">
        <f>VLOOKUP(AJ8,'FRC Site Data'!$B$3:$L$42,5,FALSE)</f>
        <v>#N/A</v>
      </c>
      <c r="V16" s="10" t="e">
        <f>VLOOKUP(AJ8,'FRC Site Data'!$B$3:$L$42,6,FALSE)</f>
        <v>#N/A</v>
      </c>
      <c r="W16" s="10" t="e">
        <f>VLOOKUP(AJ8,'FRC Site Data'!$B$3:$L$42,8,FALSE)</f>
        <v>#N/A</v>
      </c>
      <c r="X16" s="10" t="e">
        <f>VLOOKUP(AJ8,'FRC Site Data'!$B$3:$L$42,9,FALSE)</f>
        <v>#N/A</v>
      </c>
      <c r="Y16" s="10" t="e">
        <f>VLOOKUP(AJ8,'FRC Site Data'!$B$3:$L$42,10,FALSE)</f>
        <v>#N/A</v>
      </c>
      <c r="Z16" s="10" t="e">
        <f>VLOOKUP(AJ8,'FRC Site Data'!$B$3:$L$42,11,FALSE)</f>
        <v>#N/A</v>
      </c>
      <c r="AA16" s="10" t="e">
        <f>VLOOKUP(AJ8,'CIR Team Info'!$C$5:$E$44,4,FALSE)</f>
        <v>#N/A</v>
      </c>
      <c r="AB16" s="161" t="b">
        <f>ISNUMBER(VLOOKUP(AJ8,Match!$T$5:$T$10,1,FALSE))</f>
        <v>0</v>
      </c>
      <c r="AC16" s="161" t="b">
        <f>IF(AB16=TRUE,(VLOOKUP($AJ8,Match!$T$5:$U$10,2,FALSE)))</f>
        <v>0</v>
      </c>
      <c r="AD16" s="8">
        <v>3</v>
      </c>
      <c r="AE16" s="8">
        <v>2</v>
      </c>
      <c r="AF16" s="8">
        <v>2</v>
      </c>
      <c r="AG16" s="8">
        <v>1</v>
      </c>
      <c r="AH16" s="8" t="str">
        <f t="shared" si="15"/>
        <v/>
      </c>
      <c r="BA16" s="24"/>
      <c r="BC16" s="12"/>
      <c r="BS16" s="127"/>
    </row>
    <row r="17" spans="1:71" x14ac:dyDescent="0.25">
      <c r="A17" s="29">
        <f t="shared" si="0"/>
        <v>0</v>
      </c>
      <c r="B17" s="29">
        <f t="shared" si="2"/>
        <v>0</v>
      </c>
      <c r="C17" s="29">
        <f t="shared" si="3"/>
        <v>0</v>
      </c>
      <c r="D17" s="29">
        <f t="shared" si="4"/>
        <v>0</v>
      </c>
      <c r="E17" s="29">
        <f t="shared" si="1"/>
        <v>0</v>
      </c>
      <c r="F17" s="29">
        <f t="shared" si="5"/>
        <v>0</v>
      </c>
      <c r="G17" s="29" t="str">
        <f t="shared" si="6"/>
        <v>offensive</v>
      </c>
      <c r="H17" s="16">
        <f t="shared" si="7"/>
        <v>0</v>
      </c>
      <c r="I17" s="16">
        <f t="shared" si="8"/>
        <v>0</v>
      </c>
      <c r="J17" s="16">
        <f t="shared" si="9"/>
        <v>0</v>
      </c>
      <c r="K17" s="16">
        <f t="shared" si="10"/>
        <v>0</v>
      </c>
      <c r="L17" s="67">
        <f t="shared" si="11"/>
        <v>0</v>
      </c>
      <c r="M17" s="4">
        <f t="shared" si="12"/>
        <v>0</v>
      </c>
      <c r="N17" s="4">
        <f t="shared" si="13"/>
        <v>0</v>
      </c>
      <c r="O17" s="4">
        <f t="shared" si="14"/>
        <v>0</v>
      </c>
      <c r="P17" s="4" t="e">
        <f>VLOOKUP(AJ9,'CIR Team Info'!$C$5:$E$44,2,FALSE)</f>
        <v>#N/A</v>
      </c>
      <c r="Q17" s="4" t="e">
        <f>VLOOKUP(AJ9,'CIR Team Info'!$C$5:$E$44,3,FALSE)</f>
        <v>#N/A</v>
      </c>
      <c r="R17" s="10" t="e">
        <f>VLOOKUP(AJ9,'FRC Site Data'!$B$3:$L$42,2,FALSE)</f>
        <v>#N/A</v>
      </c>
      <c r="S17" s="10" t="e">
        <f>VLOOKUP(AJ9,'FRC Site Data'!$B$3:$L$42,3,FALSE)</f>
        <v>#N/A</v>
      </c>
      <c r="T17" s="10" t="e">
        <f>VLOOKUP(AJ9,'FRC Site Data'!$B$3:$L$42,4,FALSE)</f>
        <v>#N/A</v>
      </c>
      <c r="U17" s="10" t="e">
        <f>VLOOKUP(AJ9,'FRC Site Data'!$B$3:$L$42,5,FALSE)</f>
        <v>#N/A</v>
      </c>
      <c r="V17" s="10" t="e">
        <f>VLOOKUP(AJ9,'FRC Site Data'!$B$3:$L$42,6,FALSE)</f>
        <v>#N/A</v>
      </c>
      <c r="W17" s="10" t="e">
        <f>VLOOKUP(AJ9,'FRC Site Data'!$B$3:$L$42,8,FALSE)</f>
        <v>#N/A</v>
      </c>
      <c r="X17" s="10" t="e">
        <f>VLOOKUP(AJ9,'FRC Site Data'!$B$3:$L$42,9,FALSE)</f>
        <v>#N/A</v>
      </c>
      <c r="Y17" s="10" t="e">
        <f>VLOOKUP(AJ9,'FRC Site Data'!$B$3:$L$42,10,FALSE)</f>
        <v>#N/A</v>
      </c>
      <c r="Z17" s="10" t="e">
        <f>VLOOKUP(AJ9,'FRC Site Data'!$B$3:$L$42,11,FALSE)</f>
        <v>#N/A</v>
      </c>
      <c r="AA17" s="10" t="e">
        <f>VLOOKUP(AJ9,'CIR Team Info'!$C$5:$E$44,4,FALSE)</f>
        <v>#N/A</v>
      </c>
      <c r="AB17" s="161" t="b">
        <f>ISNUMBER(VLOOKUP(AJ9,Match!$T$5:$T$10,1,FALSE))</f>
        <v>0</v>
      </c>
      <c r="AC17" s="161" t="b">
        <f>IF(AB17=TRUE,(VLOOKUP($AJ9,Match!$T$5:$U$10,2,FALSE)))</f>
        <v>0</v>
      </c>
      <c r="AD17" s="8">
        <v>3</v>
      </c>
      <c r="AE17" s="8">
        <v>2</v>
      </c>
      <c r="AF17" s="8">
        <v>2</v>
      </c>
      <c r="AG17" s="8">
        <v>1</v>
      </c>
      <c r="AH17" s="8" t="str">
        <f t="shared" si="15"/>
        <v/>
      </c>
      <c r="BA17" s="24"/>
      <c r="BC17" s="12"/>
      <c r="BS17" s="127"/>
    </row>
    <row r="18" spans="1:71" x14ac:dyDescent="0.25">
      <c r="A18" s="29">
        <f t="shared" si="0"/>
        <v>0</v>
      </c>
      <c r="B18" s="29">
        <f t="shared" si="2"/>
        <v>0</v>
      </c>
      <c r="C18" s="29">
        <f t="shared" si="3"/>
        <v>0</v>
      </c>
      <c r="D18" s="29">
        <f t="shared" si="4"/>
        <v>0</v>
      </c>
      <c r="E18" s="29">
        <f t="shared" si="1"/>
        <v>0</v>
      </c>
      <c r="F18" s="29">
        <f t="shared" si="5"/>
        <v>0</v>
      </c>
      <c r="G18" s="29" t="str">
        <f t="shared" si="6"/>
        <v>offensive</v>
      </c>
      <c r="H18" s="16">
        <f t="shared" si="7"/>
        <v>0</v>
      </c>
      <c r="I18" s="16">
        <f t="shared" si="8"/>
        <v>0</v>
      </c>
      <c r="J18" s="16">
        <f t="shared" si="9"/>
        <v>0</v>
      </c>
      <c r="K18" s="16">
        <f t="shared" si="10"/>
        <v>0</v>
      </c>
      <c r="L18" s="67">
        <f t="shared" si="11"/>
        <v>0</v>
      </c>
      <c r="M18" s="4">
        <f t="shared" si="12"/>
        <v>0</v>
      </c>
      <c r="N18" s="4">
        <f t="shared" si="13"/>
        <v>0</v>
      </c>
      <c r="O18" s="4">
        <f t="shared" si="14"/>
        <v>0</v>
      </c>
      <c r="P18" s="4" t="e">
        <f>VLOOKUP(AJ10,'CIR Team Info'!$C$5:$E$44,2,FALSE)</f>
        <v>#N/A</v>
      </c>
      <c r="Q18" s="4" t="e">
        <f>VLOOKUP(AJ10,'CIR Team Info'!$C$5:$E$44,3,FALSE)</f>
        <v>#N/A</v>
      </c>
      <c r="R18" s="10" t="e">
        <f>VLOOKUP(AJ10,'FRC Site Data'!$B$3:$L$42,2,FALSE)</f>
        <v>#N/A</v>
      </c>
      <c r="S18" s="10" t="e">
        <f>VLOOKUP(AJ10,'FRC Site Data'!$B$3:$L$42,3,FALSE)</f>
        <v>#N/A</v>
      </c>
      <c r="T18" s="10" t="e">
        <f>VLOOKUP(AJ10,'FRC Site Data'!$B$3:$L$42,4,FALSE)</f>
        <v>#N/A</v>
      </c>
      <c r="U18" s="10" t="e">
        <f>VLOOKUP(AJ10,'FRC Site Data'!$B$3:$L$42,5,FALSE)</f>
        <v>#N/A</v>
      </c>
      <c r="V18" s="10" t="e">
        <f>VLOOKUP(AJ10,'FRC Site Data'!$B$3:$L$42,6,FALSE)</f>
        <v>#N/A</v>
      </c>
      <c r="W18" s="10" t="e">
        <f>VLOOKUP(AJ10,'FRC Site Data'!$B$3:$L$42,8,FALSE)</f>
        <v>#N/A</v>
      </c>
      <c r="X18" s="10" t="e">
        <f>VLOOKUP(AJ10,'FRC Site Data'!$B$3:$L$42,9,FALSE)</f>
        <v>#N/A</v>
      </c>
      <c r="Y18" s="10" t="e">
        <f>VLOOKUP(AJ10,'FRC Site Data'!$B$3:$L$42,10,FALSE)</f>
        <v>#N/A</v>
      </c>
      <c r="Z18" s="10" t="e">
        <f>VLOOKUP(AJ10,'FRC Site Data'!$B$3:$L$42,11,FALSE)</f>
        <v>#N/A</v>
      </c>
      <c r="AA18" s="10" t="e">
        <f>VLOOKUP(AJ10,'CIR Team Info'!$C$5:$E$44,4,FALSE)</f>
        <v>#N/A</v>
      </c>
      <c r="AB18" s="161" t="b">
        <f>ISNUMBER(VLOOKUP(AJ10,Match!$T$5:$T$10,1,FALSE))</f>
        <v>0</v>
      </c>
      <c r="AC18" s="161" t="b">
        <f>IF(AB18=TRUE,(VLOOKUP($AJ10,Match!$T$5:$U$10,2,FALSE)))</f>
        <v>0</v>
      </c>
      <c r="AD18" s="8">
        <v>3</v>
      </c>
      <c r="AE18" s="8">
        <v>2</v>
      </c>
      <c r="AF18" s="8">
        <v>2</v>
      </c>
      <c r="AG18" s="8">
        <v>1</v>
      </c>
      <c r="AH18" s="8" t="str">
        <f t="shared" si="15"/>
        <v/>
      </c>
      <c r="BA18" s="24"/>
      <c r="BC18" s="12"/>
      <c r="BS18" s="127"/>
    </row>
    <row r="19" spans="1:71" x14ac:dyDescent="0.25">
      <c r="A19" s="29">
        <f t="shared" si="0"/>
        <v>0</v>
      </c>
      <c r="B19" s="29">
        <f t="shared" si="2"/>
        <v>0</v>
      </c>
      <c r="C19" s="29">
        <f t="shared" si="3"/>
        <v>0</v>
      </c>
      <c r="D19" s="29">
        <f t="shared" si="4"/>
        <v>0</v>
      </c>
      <c r="E19" s="29">
        <f t="shared" si="1"/>
        <v>0</v>
      </c>
      <c r="F19" s="29">
        <f t="shared" si="5"/>
        <v>0</v>
      </c>
      <c r="G19" s="29" t="str">
        <f t="shared" si="6"/>
        <v>offensive</v>
      </c>
      <c r="H19" s="16">
        <f t="shared" si="7"/>
        <v>0</v>
      </c>
      <c r="I19" s="16">
        <f t="shared" si="8"/>
        <v>0</v>
      </c>
      <c r="J19" s="16">
        <f t="shared" si="9"/>
        <v>0</v>
      </c>
      <c r="K19" s="16">
        <f t="shared" si="10"/>
        <v>0</v>
      </c>
      <c r="L19" s="67">
        <f t="shared" si="11"/>
        <v>0</v>
      </c>
      <c r="M19" s="4">
        <f t="shared" si="12"/>
        <v>0</v>
      </c>
      <c r="N19" s="4">
        <f t="shared" si="13"/>
        <v>0</v>
      </c>
      <c r="O19" s="4">
        <f t="shared" si="14"/>
        <v>0</v>
      </c>
      <c r="P19" s="4" t="e">
        <f>VLOOKUP(AJ11,'CIR Team Info'!$C$5:$E$44,2,FALSE)</f>
        <v>#N/A</v>
      </c>
      <c r="Q19" s="4" t="e">
        <f>VLOOKUP(AJ11,'CIR Team Info'!$C$5:$E$44,3,FALSE)</f>
        <v>#N/A</v>
      </c>
      <c r="R19" s="10" t="e">
        <f>VLOOKUP(AJ11,'FRC Site Data'!$B$3:$L$42,2,FALSE)</f>
        <v>#N/A</v>
      </c>
      <c r="S19" s="10" t="e">
        <f>VLOOKUP(AJ11,'FRC Site Data'!$B$3:$L$42,3,FALSE)</f>
        <v>#N/A</v>
      </c>
      <c r="T19" s="10" t="e">
        <f>VLOOKUP(AJ11,'FRC Site Data'!$B$3:$L$42,4,FALSE)</f>
        <v>#N/A</v>
      </c>
      <c r="U19" s="10" t="e">
        <f>VLOOKUP(AJ11,'FRC Site Data'!$B$3:$L$42,5,FALSE)</f>
        <v>#N/A</v>
      </c>
      <c r="V19" s="10" t="e">
        <f>VLOOKUP(AJ11,'FRC Site Data'!$B$3:$L$42,6,FALSE)</f>
        <v>#N/A</v>
      </c>
      <c r="W19" s="10" t="e">
        <f>VLOOKUP(AJ11,'FRC Site Data'!$B$3:$L$42,8,FALSE)</f>
        <v>#N/A</v>
      </c>
      <c r="X19" s="10" t="e">
        <f>VLOOKUP(AJ11,'FRC Site Data'!$B$3:$L$42,9,FALSE)</f>
        <v>#N/A</v>
      </c>
      <c r="Y19" s="10" t="e">
        <f>VLOOKUP(AJ11,'FRC Site Data'!$B$3:$L$42,10,FALSE)</f>
        <v>#N/A</v>
      </c>
      <c r="Z19" s="10" t="e">
        <f>VLOOKUP(AJ11,'FRC Site Data'!$B$3:$L$42,11,FALSE)</f>
        <v>#N/A</v>
      </c>
      <c r="AA19" s="10" t="e">
        <f>VLOOKUP(AJ11,'CIR Team Info'!$C$5:$E$44,4,FALSE)</f>
        <v>#N/A</v>
      </c>
      <c r="AB19" s="161" t="b">
        <f>ISNUMBER(VLOOKUP(AJ11,Match!$T$5:$T$10,1,FALSE))</f>
        <v>0</v>
      </c>
      <c r="AC19" s="161" t="b">
        <f>IF(AB19=TRUE,(VLOOKUP($AJ11,Match!$T$5:$U$10,2,FALSE)))</f>
        <v>0</v>
      </c>
      <c r="AD19" s="8">
        <v>3</v>
      </c>
      <c r="AE19" s="8">
        <v>2</v>
      </c>
      <c r="AF19" s="8">
        <v>2</v>
      </c>
      <c r="AG19" s="8">
        <v>1</v>
      </c>
      <c r="AH19" s="8" t="str">
        <f t="shared" si="15"/>
        <v/>
      </c>
      <c r="BA19" s="24"/>
      <c r="BC19" s="12"/>
      <c r="BS19" s="127"/>
    </row>
    <row r="20" spans="1:71" x14ac:dyDescent="0.25">
      <c r="A20" s="29">
        <f t="shared" si="0"/>
        <v>0</v>
      </c>
      <c r="B20" s="29">
        <f t="shared" si="2"/>
        <v>0</v>
      </c>
      <c r="C20" s="29">
        <f t="shared" si="3"/>
        <v>0</v>
      </c>
      <c r="D20" s="29">
        <f t="shared" si="4"/>
        <v>0</v>
      </c>
      <c r="E20" s="29">
        <f t="shared" si="1"/>
        <v>0</v>
      </c>
      <c r="F20" s="29">
        <f t="shared" si="5"/>
        <v>0</v>
      </c>
      <c r="G20" s="29" t="str">
        <f t="shared" si="6"/>
        <v>offensive</v>
      </c>
      <c r="H20" s="16">
        <f t="shared" si="7"/>
        <v>0</v>
      </c>
      <c r="I20" s="16">
        <f t="shared" si="8"/>
        <v>0</v>
      </c>
      <c r="J20" s="16">
        <f t="shared" si="9"/>
        <v>0</v>
      </c>
      <c r="K20" s="16">
        <f t="shared" si="10"/>
        <v>0</v>
      </c>
      <c r="L20" s="67">
        <f t="shared" si="11"/>
        <v>0</v>
      </c>
      <c r="M20" s="4">
        <f t="shared" si="12"/>
        <v>0</v>
      </c>
      <c r="N20" s="4">
        <f t="shared" si="13"/>
        <v>0</v>
      </c>
      <c r="O20" s="4">
        <f t="shared" si="14"/>
        <v>0</v>
      </c>
      <c r="P20" s="4" t="e">
        <f>VLOOKUP(AJ12,'CIR Team Info'!$C$5:$E$44,2,FALSE)</f>
        <v>#N/A</v>
      </c>
      <c r="Q20" s="4" t="e">
        <f>VLOOKUP(AJ12,'CIR Team Info'!$C$5:$E$44,3,FALSE)</f>
        <v>#N/A</v>
      </c>
      <c r="R20" s="10" t="e">
        <f>VLOOKUP(AJ12,'FRC Site Data'!$B$3:$L$42,2,FALSE)</f>
        <v>#N/A</v>
      </c>
      <c r="S20" s="10" t="e">
        <f>VLOOKUP(AJ12,'FRC Site Data'!$B$3:$L$42,3,FALSE)</f>
        <v>#N/A</v>
      </c>
      <c r="T20" s="10" t="e">
        <f>VLOOKUP(AJ12,'FRC Site Data'!$B$3:$L$42,4,FALSE)</f>
        <v>#N/A</v>
      </c>
      <c r="U20" s="10" t="e">
        <f>VLOOKUP(AJ12,'FRC Site Data'!$B$3:$L$42,5,FALSE)</f>
        <v>#N/A</v>
      </c>
      <c r="V20" s="10" t="e">
        <f>VLOOKUP(AJ12,'FRC Site Data'!$B$3:$L$42,6,FALSE)</f>
        <v>#N/A</v>
      </c>
      <c r="W20" s="10" t="e">
        <f>VLOOKUP(AJ12,'FRC Site Data'!$B$3:$L$42,8,FALSE)</f>
        <v>#N/A</v>
      </c>
      <c r="X20" s="10" t="e">
        <f>VLOOKUP(AJ12,'FRC Site Data'!$B$3:$L$42,9,FALSE)</f>
        <v>#N/A</v>
      </c>
      <c r="Y20" s="10" t="e">
        <f>VLOOKUP(AJ12,'FRC Site Data'!$B$3:$L$42,10,FALSE)</f>
        <v>#N/A</v>
      </c>
      <c r="Z20" s="10" t="e">
        <f>VLOOKUP(AJ12,'FRC Site Data'!$B$3:$L$42,11,FALSE)</f>
        <v>#N/A</v>
      </c>
      <c r="AA20" s="10" t="e">
        <f>VLOOKUP(AJ12,'CIR Team Info'!$C$5:$E$44,4,FALSE)</f>
        <v>#N/A</v>
      </c>
      <c r="AB20" s="161" t="b">
        <f>ISNUMBER(VLOOKUP(AJ12,Match!$T$5:$T$10,1,FALSE))</f>
        <v>0</v>
      </c>
      <c r="AC20" s="161" t="b">
        <f>IF(AB20=TRUE,(VLOOKUP($AJ12,Match!$T$5:$U$10,2,FALSE)))</f>
        <v>0</v>
      </c>
      <c r="AD20" s="8">
        <v>3</v>
      </c>
      <c r="AE20" s="8">
        <v>2</v>
      </c>
      <c r="AF20" s="8">
        <v>2</v>
      </c>
      <c r="AG20" s="8">
        <v>1</v>
      </c>
      <c r="AH20" s="8" t="str">
        <f t="shared" si="15"/>
        <v/>
      </c>
      <c r="BA20" s="24"/>
      <c r="BC20" s="12"/>
      <c r="BS20" s="127"/>
    </row>
    <row r="21" spans="1:71" x14ac:dyDescent="0.25">
      <c r="A21" s="29">
        <f t="shared" si="0"/>
        <v>0</v>
      </c>
      <c r="B21" s="29">
        <f t="shared" si="2"/>
        <v>0</v>
      </c>
      <c r="C21" s="29">
        <f t="shared" si="3"/>
        <v>0</v>
      </c>
      <c r="D21" s="29">
        <f t="shared" si="4"/>
        <v>0</v>
      </c>
      <c r="E21" s="29">
        <f t="shared" si="1"/>
        <v>0</v>
      </c>
      <c r="F21" s="29">
        <f t="shared" si="5"/>
        <v>0</v>
      </c>
      <c r="G21" s="29" t="str">
        <f t="shared" si="6"/>
        <v>offensive</v>
      </c>
      <c r="H21" s="16">
        <f t="shared" si="7"/>
        <v>0</v>
      </c>
      <c r="I21" s="16">
        <f t="shared" si="8"/>
        <v>0</v>
      </c>
      <c r="J21" s="16">
        <f t="shared" si="9"/>
        <v>0</v>
      </c>
      <c r="K21" s="16">
        <f t="shared" si="10"/>
        <v>0</v>
      </c>
      <c r="L21" s="67">
        <f t="shared" si="11"/>
        <v>0</v>
      </c>
      <c r="M21" s="4">
        <f t="shared" si="12"/>
        <v>0</v>
      </c>
      <c r="N21" s="4">
        <f t="shared" si="13"/>
        <v>0</v>
      </c>
      <c r="O21" s="4">
        <f t="shared" si="14"/>
        <v>0</v>
      </c>
      <c r="P21" s="4" t="e">
        <f>VLOOKUP(AJ13,'CIR Team Info'!$C$5:$E$44,2,FALSE)</f>
        <v>#N/A</v>
      </c>
      <c r="Q21" s="4" t="e">
        <f>VLOOKUP(AJ13,'CIR Team Info'!$C$5:$E$44,3,FALSE)</f>
        <v>#N/A</v>
      </c>
      <c r="R21" s="10" t="e">
        <f>VLOOKUP(AJ13,'FRC Site Data'!$B$3:$L$42,2,FALSE)</f>
        <v>#N/A</v>
      </c>
      <c r="S21" s="10" t="e">
        <f>VLOOKUP(AJ13,'FRC Site Data'!$B$3:$L$42,3,FALSE)</f>
        <v>#N/A</v>
      </c>
      <c r="T21" s="10" t="e">
        <f>VLOOKUP(AJ13,'FRC Site Data'!$B$3:$L$42,4,FALSE)</f>
        <v>#N/A</v>
      </c>
      <c r="U21" s="10" t="e">
        <f>VLOOKUP(AJ13,'FRC Site Data'!$B$3:$L$42,5,FALSE)</f>
        <v>#N/A</v>
      </c>
      <c r="V21" s="10" t="e">
        <f>VLOOKUP(AJ13,'FRC Site Data'!$B$3:$L$42,6,FALSE)</f>
        <v>#N/A</v>
      </c>
      <c r="W21" s="10" t="e">
        <f>VLOOKUP(AJ13,'FRC Site Data'!$B$3:$L$42,8,FALSE)</f>
        <v>#N/A</v>
      </c>
      <c r="X21" s="10" t="e">
        <f>VLOOKUP(AJ13,'FRC Site Data'!$B$3:$L$42,9,FALSE)</f>
        <v>#N/A</v>
      </c>
      <c r="Y21" s="10" t="e">
        <f>VLOOKUP(AJ13,'FRC Site Data'!$B$3:$L$42,10,FALSE)</f>
        <v>#N/A</v>
      </c>
      <c r="Z21" s="10" t="e">
        <f>VLOOKUP(AJ13,'FRC Site Data'!$B$3:$L$42,11,FALSE)</f>
        <v>#N/A</v>
      </c>
      <c r="AA21" s="10" t="e">
        <f>VLOOKUP(AJ13,'CIR Team Info'!$C$5:$E$44,4,FALSE)</f>
        <v>#N/A</v>
      </c>
      <c r="AB21" s="161" t="b">
        <f>ISNUMBER(VLOOKUP(AJ13,Match!$T$5:$T$10,1,FALSE))</f>
        <v>0</v>
      </c>
      <c r="AC21" s="161" t="b">
        <f>IF(AB21=TRUE,(VLOOKUP($AJ13,Match!$T$5:$U$10,2,FALSE)))</f>
        <v>0</v>
      </c>
      <c r="AD21" s="8">
        <v>3</v>
      </c>
      <c r="AE21" s="8">
        <v>2</v>
      </c>
      <c r="AF21" s="8">
        <v>2</v>
      </c>
      <c r="AG21" s="8">
        <v>1</v>
      </c>
      <c r="AH21" s="8" t="str">
        <f t="shared" si="15"/>
        <v/>
      </c>
      <c r="BA21" s="24"/>
      <c r="BC21" s="12"/>
      <c r="BS21" s="127"/>
    </row>
    <row r="22" spans="1:71" x14ac:dyDescent="0.25">
      <c r="A22" s="29">
        <f t="shared" si="0"/>
        <v>0</v>
      </c>
      <c r="B22" s="29">
        <f t="shared" si="2"/>
        <v>0</v>
      </c>
      <c r="C22" s="29">
        <f t="shared" si="3"/>
        <v>0</v>
      </c>
      <c r="D22" s="29">
        <f t="shared" si="4"/>
        <v>0</v>
      </c>
      <c r="E22" s="29">
        <f t="shared" si="1"/>
        <v>0</v>
      </c>
      <c r="F22" s="29">
        <f t="shared" si="5"/>
        <v>0</v>
      </c>
      <c r="G22" s="29" t="str">
        <f t="shared" si="6"/>
        <v>offensive</v>
      </c>
      <c r="H22" s="16">
        <f t="shared" si="7"/>
        <v>0</v>
      </c>
      <c r="I22" s="16">
        <f t="shared" si="8"/>
        <v>0</v>
      </c>
      <c r="J22" s="16">
        <f t="shared" si="9"/>
        <v>0</v>
      </c>
      <c r="K22" s="16">
        <f t="shared" si="10"/>
        <v>0</v>
      </c>
      <c r="L22" s="67">
        <f t="shared" si="11"/>
        <v>0</v>
      </c>
      <c r="M22" s="4">
        <f t="shared" si="12"/>
        <v>0</v>
      </c>
      <c r="N22" s="4">
        <f t="shared" si="13"/>
        <v>0</v>
      </c>
      <c r="O22" s="4">
        <f t="shared" si="14"/>
        <v>0</v>
      </c>
      <c r="P22" s="4" t="e">
        <f>VLOOKUP(AJ14,'CIR Team Info'!$C$5:$E$44,2,FALSE)</f>
        <v>#N/A</v>
      </c>
      <c r="Q22" s="4" t="e">
        <f>VLOOKUP(AJ14,'CIR Team Info'!$C$5:$E$44,3,FALSE)</f>
        <v>#N/A</v>
      </c>
      <c r="R22" s="10" t="e">
        <f>VLOOKUP(AJ14,'FRC Site Data'!$B$3:$L$42,2,FALSE)</f>
        <v>#N/A</v>
      </c>
      <c r="S22" s="10" t="e">
        <f>VLOOKUP(AJ14,'FRC Site Data'!$B$3:$L$42,3,FALSE)</f>
        <v>#N/A</v>
      </c>
      <c r="T22" s="10" t="e">
        <f>VLOOKUP(AJ14,'FRC Site Data'!$B$3:$L$42,4,FALSE)</f>
        <v>#N/A</v>
      </c>
      <c r="U22" s="10" t="e">
        <f>VLOOKUP(AJ14,'FRC Site Data'!$B$3:$L$42,5,FALSE)</f>
        <v>#N/A</v>
      </c>
      <c r="V22" s="10" t="e">
        <f>VLOOKUP(AJ14,'FRC Site Data'!$B$3:$L$42,6,FALSE)</f>
        <v>#N/A</v>
      </c>
      <c r="W22" s="10" t="e">
        <f>VLOOKUP(AJ14,'FRC Site Data'!$B$3:$L$42,8,FALSE)</f>
        <v>#N/A</v>
      </c>
      <c r="X22" s="10" t="e">
        <f>VLOOKUP(AJ14,'FRC Site Data'!$B$3:$L$42,9,FALSE)</f>
        <v>#N/A</v>
      </c>
      <c r="Y22" s="10" t="e">
        <f>VLOOKUP(AJ14,'FRC Site Data'!$B$3:$L$42,10,FALSE)</f>
        <v>#N/A</v>
      </c>
      <c r="Z22" s="10" t="e">
        <f>VLOOKUP(AJ14,'FRC Site Data'!$B$3:$L$42,11,FALSE)</f>
        <v>#N/A</v>
      </c>
      <c r="AA22" s="10" t="e">
        <f>VLOOKUP(AJ14,'CIR Team Info'!$C$5:$E$44,4,FALSE)</f>
        <v>#N/A</v>
      </c>
      <c r="AB22" s="161" t="b">
        <f>ISNUMBER(VLOOKUP(AJ14,Match!$T$5:$T$10,1,FALSE))</f>
        <v>0</v>
      </c>
      <c r="AC22" s="161" t="b">
        <f>IF(AB22=TRUE,(VLOOKUP($AJ14,Match!$T$5:$U$10,2,FALSE)))</f>
        <v>0</v>
      </c>
      <c r="AD22" s="8">
        <v>3</v>
      </c>
      <c r="AE22" s="8">
        <v>2</v>
      </c>
      <c r="AF22" s="8">
        <v>2</v>
      </c>
      <c r="AG22" s="8">
        <v>1</v>
      </c>
      <c r="AH22" s="8" t="str">
        <f t="shared" si="15"/>
        <v/>
      </c>
      <c r="BA22" s="24"/>
      <c r="BC22" s="12"/>
      <c r="BS22" s="127"/>
    </row>
    <row r="23" spans="1:71" x14ac:dyDescent="0.25">
      <c r="A23" s="29">
        <f t="shared" si="0"/>
        <v>0</v>
      </c>
      <c r="B23" s="29">
        <f t="shared" si="2"/>
        <v>0</v>
      </c>
      <c r="C23" s="29">
        <f t="shared" si="3"/>
        <v>0</v>
      </c>
      <c r="D23" s="29">
        <f t="shared" si="4"/>
        <v>0</v>
      </c>
      <c r="E23" s="29">
        <f t="shared" si="1"/>
        <v>0</v>
      </c>
      <c r="F23" s="29">
        <f t="shared" si="5"/>
        <v>0</v>
      </c>
      <c r="G23" s="29" t="str">
        <f t="shared" si="6"/>
        <v>offensive</v>
      </c>
      <c r="H23" s="16">
        <f t="shared" si="7"/>
        <v>0</v>
      </c>
      <c r="I23" s="16">
        <f t="shared" si="8"/>
        <v>0</v>
      </c>
      <c r="J23" s="16">
        <f t="shared" si="9"/>
        <v>0</v>
      </c>
      <c r="K23" s="16">
        <f t="shared" si="10"/>
        <v>0</v>
      </c>
      <c r="L23" s="67">
        <f t="shared" si="11"/>
        <v>0</v>
      </c>
      <c r="M23" s="4">
        <f t="shared" si="12"/>
        <v>0</v>
      </c>
      <c r="N23" s="4">
        <f t="shared" si="13"/>
        <v>0</v>
      </c>
      <c r="O23" s="4">
        <f t="shared" si="14"/>
        <v>0</v>
      </c>
      <c r="P23" s="4" t="e">
        <f>VLOOKUP(AJ15,'CIR Team Info'!$C$5:$E$44,2,FALSE)</f>
        <v>#N/A</v>
      </c>
      <c r="Q23" s="4" t="e">
        <f>VLOOKUP(AJ15,'CIR Team Info'!$C$5:$E$44,3,FALSE)</f>
        <v>#N/A</v>
      </c>
      <c r="R23" s="10" t="e">
        <f>VLOOKUP(AJ15,'FRC Site Data'!$B$3:$L$42,2,FALSE)</f>
        <v>#N/A</v>
      </c>
      <c r="S23" s="10" t="e">
        <f>VLOOKUP(AJ15,'FRC Site Data'!$B$3:$L$42,3,FALSE)</f>
        <v>#N/A</v>
      </c>
      <c r="T23" s="10" t="e">
        <f>VLOOKUP(AJ15,'FRC Site Data'!$B$3:$L$42,4,FALSE)</f>
        <v>#N/A</v>
      </c>
      <c r="U23" s="10" t="e">
        <f>VLOOKUP(AJ15,'FRC Site Data'!$B$3:$L$42,5,FALSE)</f>
        <v>#N/A</v>
      </c>
      <c r="V23" s="10" t="e">
        <f>VLOOKUP(AJ15,'FRC Site Data'!$B$3:$L$42,6,FALSE)</f>
        <v>#N/A</v>
      </c>
      <c r="W23" s="10" t="e">
        <f>VLOOKUP(AJ15,'FRC Site Data'!$B$3:$L$42,8,FALSE)</f>
        <v>#N/A</v>
      </c>
      <c r="X23" s="10" t="e">
        <f>VLOOKUP(AJ15,'FRC Site Data'!$B$3:$L$42,9,FALSE)</f>
        <v>#N/A</v>
      </c>
      <c r="Y23" s="10" t="e">
        <f>VLOOKUP(AJ15,'FRC Site Data'!$B$3:$L$42,10,FALSE)</f>
        <v>#N/A</v>
      </c>
      <c r="Z23" s="10" t="e">
        <f>VLOOKUP(AJ15,'FRC Site Data'!$B$3:$L$42,11,FALSE)</f>
        <v>#N/A</v>
      </c>
      <c r="AA23" s="10" t="e">
        <f>VLOOKUP(AJ15,'CIR Team Info'!$C$5:$E$44,4,FALSE)</f>
        <v>#N/A</v>
      </c>
      <c r="AB23" s="161" t="b">
        <f>ISNUMBER(VLOOKUP(AJ15,Match!$T$5:$T$10,1,FALSE))</f>
        <v>0</v>
      </c>
      <c r="AC23" s="161" t="b">
        <f>IF(AB23=TRUE,(VLOOKUP($AJ15,Match!$T$5:$U$10,2,FALSE)))</f>
        <v>0</v>
      </c>
      <c r="AD23" s="8">
        <v>3</v>
      </c>
      <c r="AE23" s="8">
        <v>2</v>
      </c>
      <c r="AF23" s="8">
        <v>2</v>
      </c>
      <c r="AG23" s="8">
        <v>1</v>
      </c>
      <c r="AH23" s="8" t="str">
        <f t="shared" si="15"/>
        <v/>
      </c>
      <c r="BA23" s="24"/>
      <c r="BC23" s="12"/>
      <c r="BS23" s="127"/>
    </row>
    <row r="24" spans="1:71" x14ac:dyDescent="0.25">
      <c r="A24" s="29">
        <f t="shared" si="0"/>
        <v>0</v>
      </c>
      <c r="B24" s="29">
        <f t="shared" si="2"/>
        <v>0</v>
      </c>
      <c r="C24" s="29">
        <f t="shared" si="3"/>
        <v>0</v>
      </c>
      <c r="D24" s="29">
        <f t="shared" si="4"/>
        <v>0</v>
      </c>
      <c r="E24" s="29">
        <f t="shared" si="1"/>
        <v>0</v>
      </c>
      <c r="F24" s="29">
        <f t="shared" si="5"/>
        <v>0</v>
      </c>
      <c r="G24" s="29" t="str">
        <f t="shared" si="6"/>
        <v>offensive</v>
      </c>
      <c r="H24" s="16">
        <f t="shared" si="7"/>
        <v>0</v>
      </c>
      <c r="I24" s="16">
        <f t="shared" si="8"/>
        <v>0</v>
      </c>
      <c r="J24" s="16">
        <f t="shared" si="9"/>
        <v>0</v>
      </c>
      <c r="K24" s="16">
        <f t="shared" si="10"/>
        <v>0</v>
      </c>
      <c r="L24" s="67">
        <f t="shared" si="11"/>
        <v>0</v>
      </c>
      <c r="M24" s="4">
        <f t="shared" si="12"/>
        <v>0</v>
      </c>
      <c r="N24" s="4">
        <f t="shared" si="13"/>
        <v>0</v>
      </c>
      <c r="O24" s="4">
        <f t="shared" si="14"/>
        <v>0</v>
      </c>
      <c r="P24" s="4" t="e">
        <f>VLOOKUP(AJ16,'CIR Team Info'!$C$5:$E$44,2,FALSE)</f>
        <v>#N/A</v>
      </c>
      <c r="Q24" s="4" t="e">
        <f>VLOOKUP(AJ16,'CIR Team Info'!$C$5:$E$44,3,FALSE)</f>
        <v>#N/A</v>
      </c>
      <c r="R24" s="10" t="e">
        <f>VLOOKUP(AJ16,'FRC Site Data'!$B$3:$L$42,2,FALSE)</f>
        <v>#N/A</v>
      </c>
      <c r="S24" s="10" t="e">
        <f>VLOOKUP(AJ16,'FRC Site Data'!$B$3:$L$42,3,FALSE)</f>
        <v>#N/A</v>
      </c>
      <c r="T24" s="10" t="e">
        <f>VLOOKUP(AJ16,'FRC Site Data'!$B$3:$L$42,4,FALSE)</f>
        <v>#N/A</v>
      </c>
      <c r="U24" s="10" t="e">
        <f>VLOOKUP(AJ16,'FRC Site Data'!$B$3:$L$42,5,FALSE)</f>
        <v>#N/A</v>
      </c>
      <c r="V24" s="10" t="e">
        <f>VLOOKUP(AJ16,'FRC Site Data'!$B$3:$L$42,6,FALSE)</f>
        <v>#N/A</v>
      </c>
      <c r="W24" s="10" t="e">
        <f>VLOOKUP(AJ16,'FRC Site Data'!$B$3:$L$42,8,FALSE)</f>
        <v>#N/A</v>
      </c>
      <c r="X24" s="10" t="e">
        <f>VLOOKUP(AJ16,'FRC Site Data'!$B$3:$L$42,9,FALSE)</f>
        <v>#N/A</v>
      </c>
      <c r="Y24" s="10" t="e">
        <f>VLOOKUP(AJ16,'FRC Site Data'!$B$3:$L$42,10,FALSE)</f>
        <v>#N/A</v>
      </c>
      <c r="Z24" s="10" t="e">
        <f>VLOOKUP(AJ16,'FRC Site Data'!$B$3:$L$42,11,FALSE)</f>
        <v>#N/A</v>
      </c>
      <c r="AA24" s="10" t="e">
        <f>VLOOKUP(AJ16,'CIR Team Info'!$C$5:$E$44,4,FALSE)</f>
        <v>#N/A</v>
      </c>
      <c r="AB24" s="161" t="b">
        <f>ISNUMBER(VLOOKUP(AJ16,Match!$T$5:$T$10,1,FALSE))</f>
        <v>0</v>
      </c>
      <c r="AC24" s="161" t="b">
        <f>IF(AB24=TRUE,(VLOOKUP($AJ16,Match!$T$5:$U$10,2,FALSE)))</f>
        <v>0</v>
      </c>
      <c r="AD24" s="8">
        <v>3</v>
      </c>
      <c r="AE24" s="8">
        <v>2</v>
      </c>
      <c r="AF24" s="8">
        <v>2</v>
      </c>
      <c r="AG24" s="8">
        <v>1</v>
      </c>
      <c r="AH24" s="8" t="str">
        <f t="shared" si="15"/>
        <v/>
      </c>
      <c r="BA24" s="24"/>
      <c r="BC24" s="12"/>
      <c r="BS24" s="127"/>
    </row>
    <row r="25" spans="1:71" x14ac:dyDescent="0.25">
      <c r="A25" s="29">
        <f t="shared" si="0"/>
        <v>0</v>
      </c>
      <c r="B25" s="29">
        <f t="shared" si="2"/>
        <v>0</v>
      </c>
      <c r="C25" s="29">
        <f t="shared" si="3"/>
        <v>0</v>
      </c>
      <c r="D25" s="29">
        <f t="shared" si="4"/>
        <v>0</v>
      </c>
      <c r="E25" s="29">
        <f t="shared" si="1"/>
        <v>0</v>
      </c>
      <c r="F25" s="29">
        <f t="shared" si="5"/>
        <v>0</v>
      </c>
      <c r="G25" s="29" t="str">
        <f t="shared" si="6"/>
        <v>offensive</v>
      </c>
      <c r="H25" s="16">
        <f t="shared" si="7"/>
        <v>0</v>
      </c>
      <c r="I25" s="16">
        <f t="shared" si="8"/>
        <v>0</v>
      </c>
      <c r="J25" s="16">
        <f t="shared" si="9"/>
        <v>0</v>
      </c>
      <c r="K25" s="16">
        <f t="shared" si="10"/>
        <v>0</v>
      </c>
      <c r="L25" s="67">
        <f t="shared" si="11"/>
        <v>0</v>
      </c>
      <c r="M25" s="4">
        <f t="shared" si="12"/>
        <v>0</v>
      </c>
      <c r="N25" s="4">
        <f t="shared" si="13"/>
        <v>0</v>
      </c>
      <c r="O25" s="4">
        <f t="shared" si="14"/>
        <v>0</v>
      </c>
      <c r="P25" s="4" t="e">
        <f>VLOOKUP(AJ17,'CIR Team Info'!$C$5:$E$44,2,FALSE)</f>
        <v>#N/A</v>
      </c>
      <c r="Q25" s="4" t="e">
        <f>VLOOKUP(AJ17,'CIR Team Info'!$C$5:$E$44,3,FALSE)</f>
        <v>#N/A</v>
      </c>
      <c r="R25" s="10" t="e">
        <f>VLOOKUP(AJ17,'FRC Site Data'!$B$3:$L$42,2,FALSE)</f>
        <v>#N/A</v>
      </c>
      <c r="S25" s="10" t="e">
        <f>VLOOKUP(AJ17,'FRC Site Data'!$B$3:$L$42,3,FALSE)</f>
        <v>#N/A</v>
      </c>
      <c r="T25" s="10" t="e">
        <f>VLOOKUP(AJ17,'FRC Site Data'!$B$3:$L$42,4,FALSE)</f>
        <v>#N/A</v>
      </c>
      <c r="U25" s="10" t="e">
        <f>VLOOKUP(AJ17,'FRC Site Data'!$B$3:$L$42,5,FALSE)</f>
        <v>#N/A</v>
      </c>
      <c r="V25" s="10" t="e">
        <f>VLOOKUP(AJ17,'FRC Site Data'!$B$3:$L$42,6,FALSE)</f>
        <v>#N/A</v>
      </c>
      <c r="W25" s="10" t="e">
        <f>VLOOKUP(AJ17,'FRC Site Data'!$B$3:$L$42,8,FALSE)</f>
        <v>#N/A</v>
      </c>
      <c r="X25" s="10" t="e">
        <f>VLOOKUP(AJ17,'FRC Site Data'!$B$3:$L$42,9,FALSE)</f>
        <v>#N/A</v>
      </c>
      <c r="Y25" s="10" t="e">
        <f>VLOOKUP(AJ17,'FRC Site Data'!$B$3:$L$42,10,FALSE)</f>
        <v>#N/A</v>
      </c>
      <c r="Z25" s="10" t="e">
        <f>VLOOKUP(AJ17,'FRC Site Data'!$B$3:$L$42,11,FALSE)</f>
        <v>#N/A</v>
      </c>
      <c r="AA25" s="10" t="e">
        <f>VLOOKUP(AJ17,'CIR Team Info'!$C$5:$E$44,4,FALSE)</f>
        <v>#N/A</v>
      </c>
      <c r="AB25" s="161" t="b">
        <f>ISNUMBER(VLOOKUP(AJ17,Match!$T$5:$T$10,1,FALSE))</f>
        <v>0</v>
      </c>
      <c r="AC25" s="161" t="b">
        <f>IF(AB25=TRUE,(VLOOKUP($AJ17,Match!$T$5:$U$10,2,FALSE)))</f>
        <v>0</v>
      </c>
      <c r="AD25" s="8">
        <v>3</v>
      </c>
      <c r="AE25" s="8">
        <v>2</v>
      </c>
      <c r="AF25" s="8">
        <v>2</v>
      </c>
      <c r="AG25" s="8">
        <v>1</v>
      </c>
      <c r="AH25" s="8" t="str">
        <f t="shared" si="15"/>
        <v/>
      </c>
      <c r="BA25" s="24"/>
      <c r="BC25" s="12"/>
      <c r="BS25" s="127"/>
    </row>
    <row r="26" spans="1:71" x14ac:dyDescent="0.25">
      <c r="A26" s="29">
        <f t="shared" si="0"/>
        <v>0</v>
      </c>
      <c r="B26" s="29">
        <f t="shared" si="2"/>
        <v>0</v>
      </c>
      <c r="C26" s="29">
        <f t="shared" si="3"/>
        <v>0</v>
      </c>
      <c r="D26" s="29">
        <f t="shared" si="4"/>
        <v>0</v>
      </c>
      <c r="E26" s="29">
        <f t="shared" si="1"/>
        <v>0</v>
      </c>
      <c r="F26" s="29">
        <f t="shared" si="5"/>
        <v>0</v>
      </c>
      <c r="G26" s="29" t="str">
        <f t="shared" si="6"/>
        <v>offensive</v>
      </c>
      <c r="H26" s="16">
        <f t="shared" si="7"/>
        <v>0</v>
      </c>
      <c r="I26" s="16">
        <f t="shared" si="8"/>
        <v>0</v>
      </c>
      <c r="J26" s="16">
        <f t="shared" si="9"/>
        <v>0</v>
      </c>
      <c r="K26" s="16">
        <f t="shared" si="10"/>
        <v>0</v>
      </c>
      <c r="L26" s="67">
        <f t="shared" si="11"/>
        <v>0</v>
      </c>
      <c r="M26" s="4">
        <f t="shared" si="12"/>
        <v>0</v>
      </c>
      <c r="N26" s="4">
        <f t="shared" si="13"/>
        <v>0</v>
      </c>
      <c r="O26" s="4">
        <f t="shared" si="14"/>
        <v>0</v>
      </c>
      <c r="P26" s="4" t="e">
        <f>VLOOKUP(AJ18,'CIR Team Info'!$C$5:$E$44,2,FALSE)</f>
        <v>#N/A</v>
      </c>
      <c r="Q26" s="4" t="e">
        <f>VLOOKUP(AJ18,'CIR Team Info'!$C$5:$E$44,3,FALSE)</f>
        <v>#N/A</v>
      </c>
      <c r="R26" s="10" t="e">
        <f>VLOOKUP(AJ18,'FRC Site Data'!$B$3:$L$42,2,FALSE)</f>
        <v>#N/A</v>
      </c>
      <c r="S26" s="10" t="e">
        <f>VLOOKUP(AJ18,'FRC Site Data'!$B$3:$L$42,3,FALSE)</f>
        <v>#N/A</v>
      </c>
      <c r="T26" s="10" t="e">
        <f>VLOOKUP(AJ18,'FRC Site Data'!$B$3:$L$42,4,FALSE)</f>
        <v>#N/A</v>
      </c>
      <c r="U26" s="10" t="e">
        <f>VLOOKUP(AJ18,'FRC Site Data'!$B$3:$L$42,5,FALSE)</f>
        <v>#N/A</v>
      </c>
      <c r="V26" s="10" t="e">
        <f>VLOOKUP(AJ18,'FRC Site Data'!$B$3:$L$42,6,FALSE)</f>
        <v>#N/A</v>
      </c>
      <c r="W26" s="10" t="e">
        <f>VLOOKUP(AJ18,'FRC Site Data'!$B$3:$L$42,8,FALSE)</f>
        <v>#N/A</v>
      </c>
      <c r="X26" s="10" t="e">
        <f>VLOOKUP(AJ18,'FRC Site Data'!$B$3:$L$42,9,FALSE)</f>
        <v>#N/A</v>
      </c>
      <c r="Y26" s="10" t="e">
        <f>VLOOKUP(AJ18,'FRC Site Data'!$B$3:$L$42,10,FALSE)</f>
        <v>#N/A</v>
      </c>
      <c r="Z26" s="10" t="e">
        <f>VLOOKUP(AJ18,'FRC Site Data'!$B$3:$L$42,11,FALSE)</f>
        <v>#N/A</v>
      </c>
      <c r="AA26" s="10" t="e">
        <f>VLOOKUP(AJ18,'CIR Team Info'!$C$5:$E$44,4,FALSE)</f>
        <v>#N/A</v>
      </c>
      <c r="AB26" s="161" t="b">
        <f>ISNUMBER(VLOOKUP(AJ18,Match!$T$5:$T$10,1,FALSE))</f>
        <v>0</v>
      </c>
      <c r="AC26" s="161" t="b">
        <f>IF(AB26=TRUE,(VLOOKUP($AJ18,Match!$T$5:$U$10,2,FALSE)))</f>
        <v>0</v>
      </c>
      <c r="AD26" s="8">
        <v>3</v>
      </c>
      <c r="AE26" s="8">
        <v>2</v>
      </c>
      <c r="AF26" s="8">
        <v>2</v>
      </c>
      <c r="AG26" s="8">
        <v>1</v>
      </c>
      <c r="AH26" s="8" t="str">
        <f t="shared" si="15"/>
        <v/>
      </c>
      <c r="BA26" s="24"/>
      <c r="BC26" s="12"/>
      <c r="BS26" s="127"/>
    </row>
    <row r="27" spans="1:71" x14ac:dyDescent="0.25">
      <c r="A27" s="29">
        <f t="shared" si="0"/>
        <v>0</v>
      </c>
      <c r="B27" s="29">
        <f t="shared" si="2"/>
        <v>0</v>
      </c>
      <c r="C27" s="29">
        <f t="shared" si="3"/>
        <v>0</v>
      </c>
      <c r="D27" s="29">
        <f t="shared" si="4"/>
        <v>0</v>
      </c>
      <c r="E27" s="29">
        <f t="shared" si="1"/>
        <v>0</v>
      </c>
      <c r="F27" s="29">
        <f t="shared" si="5"/>
        <v>0</v>
      </c>
      <c r="G27" s="29" t="str">
        <f t="shared" si="6"/>
        <v>offensive</v>
      </c>
      <c r="H27" s="16">
        <f t="shared" si="7"/>
        <v>0</v>
      </c>
      <c r="I27" s="16">
        <f t="shared" si="8"/>
        <v>0</v>
      </c>
      <c r="J27" s="16">
        <f t="shared" si="9"/>
        <v>0</v>
      </c>
      <c r="K27" s="16">
        <f t="shared" si="10"/>
        <v>0</v>
      </c>
      <c r="L27" s="67">
        <f t="shared" si="11"/>
        <v>0</v>
      </c>
      <c r="M27" s="4">
        <f t="shared" si="12"/>
        <v>0</v>
      </c>
      <c r="N27" s="4">
        <f t="shared" si="13"/>
        <v>0</v>
      </c>
      <c r="O27" s="4">
        <f t="shared" si="14"/>
        <v>0</v>
      </c>
      <c r="P27" s="4" t="e">
        <f>VLOOKUP(AJ19,'CIR Team Info'!$C$5:$E$44,2,FALSE)</f>
        <v>#N/A</v>
      </c>
      <c r="Q27" s="4" t="e">
        <f>VLOOKUP(AJ19,'CIR Team Info'!$C$5:$E$44,3,FALSE)</f>
        <v>#N/A</v>
      </c>
      <c r="R27" s="10" t="e">
        <f>VLOOKUP(AJ19,'FRC Site Data'!$B$3:$L$42,2,FALSE)</f>
        <v>#N/A</v>
      </c>
      <c r="S27" s="10" t="e">
        <f>VLOOKUP(AJ19,'FRC Site Data'!$B$3:$L$42,3,FALSE)</f>
        <v>#N/A</v>
      </c>
      <c r="T27" s="10" t="e">
        <f>VLOOKUP(AJ19,'FRC Site Data'!$B$3:$L$42,4,FALSE)</f>
        <v>#N/A</v>
      </c>
      <c r="U27" s="10" t="e">
        <f>VLOOKUP(AJ19,'FRC Site Data'!$B$3:$L$42,5,FALSE)</f>
        <v>#N/A</v>
      </c>
      <c r="V27" s="10" t="e">
        <f>VLOOKUP(AJ19,'FRC Site Data'!$B$3:$L$42,6,FALSE)</f>
        <v>#N/A</v>
      </c>
      <c r="W27" s="10" t="e">
        <f>VLOOKUP(AJ19,'FRC Site Data'!$B$3:$L$42,8,FALSE)</f>
        <v>#N/A</v>
      </c>
      <c r="X27" s="10" t="e">
        <f>VLOOKUP(AJ19,'FRC Site Data'!$B$3:$L$42,9,FALSE)</f>
        <v>#N/A</v>
      </c>
      <c r="Y27" s="10" t="e">
        <f>VLOOKUP(AJ19,'FRC Site Data'!$B$3:$L$42,10,FALSE)</f>
        <v>#N/A</v>
      </c>
      <c r="Z27" s="10" t="e">
        <f>VLOOKUP(AJ19,'FRC Site Data'!$B$3:$L$42,11,FALSE)</f>
        <v>#N/A</v>
      </c>
      <c r="AA27" s="10" t="e">
        <f>VLOOKUP(AJ19,'CIR Team Info'!$C$5:$E$44,4,FALSE)</f>
        <v>#N/A</v>
      </c>
      <c r="AB27" s="161" t="b">
        <f>ISNUMBER(VLOOKUP(AJ19,Match!$T$5:$T$10,1,FALSE))</f>
        <v>0</v>
      </c>
      <c r="AC27" s="161" t="b">
        <f>IF(AB27=TRUE,(VLOOKUP($AJ19,Match!$T$5:$U$10,2,FALSE)))</f>
        <v>0</v>
      </c>
      <c r="AD27" s="8">
        <v>3</v>
      </c>
      <c r="AE27" s="8">
        <v>2</v>
      </c>
      <c r="AF27" s="8">
        <v>2</v>
      </c>
      <c r="AG27" s="8">
        <v>1</v>
      </c>
      <c r="AH27" s="8" t="str">
        <f t="shared" si="15"/>
        <v/>
      </c>
      <c r="BA27" s="24"/>
      <c r="BC27" s="12"/>
      <c r="BS27" s="127"/>
    </row>
    <row r="28" spans="1:71" x14ac:dyDescent="0.25">
      <c r="A28" s="29">
        <f t="shared" si="0"/>
        <v>0</v>
      </c>
      <c r="B28" s="29">
        <f t="shared" si="2"/>
        <v>0</v>
      </c>
      <c r="C28" s="29">
        <f t="shared" si="3"/>
        <v>0</v>
      </c>
      <c r="D28" s="29">
        <f t="shared" si="4"/>
        <v>0</v>
      </c>
      <c r="E28" s="29">
        <f t="shared" si="1"/>
        <v>0</v>
      </c>
      <c r="F28" s="29">
        <f t="shared" si="5"/>
        <v>0</v>
      </c>
      <c r="G28" s="29" t="str">
        <f t="shared" si="6"/>
        <v>offensive</v>
      </c>
      <c r="H28" s="16">
        <f t="shared" si="7"/>
        <v>0</v>
      </c>
      <c r="I28" s="16">
        <f t="shared" si="8"/>
        <v>0</v>
      </c>
      <c r="J28" s="16">
        <f t="shared" si="9"/>
        <v>0</v>
      </c>
      <c r="K28" s="16">
        <f t="shared" si="10"/>
        <v>0</v>
      </c>
      <c r="L28" s="67">
        <f t="shared" si="11"/>
        <v>0</v>
      </c>
      <c r="M28" s="4">
        <f t="shared" si="12"/>
        <v>0</v>
      </c>
      <c r="N28" s="4">
        <f t="shared" si="13"/>
        <v>0</v>
      </c>
      <c r="O28" s="4">
        <f t="shared" si="14"/>
        <v>0</v>
      </c>
      <c r="P28" s="4" t="e">
        <f>VLOOKUP(AJ20,'CIR Team Info'!$C$5:$E$44,2,FALSE)</f>
        <v>#N/A</v>
      </c>
      <c r="Q28" s="4" t="e">
        <f>VLOOKUP(AJ20,'CIR Team Info'!$C$5:$E$44,3,FALSE)</f>
        <v>#N/A</v>
      </c>
      <c r="R28" s="10" t="e">
        <f>VLOOKUP(AJ20,'FRC Site Data'!$B$3:$L$42,2,FALSE)</f>
        <v>#N/A</v>
      </c>
      <c r="S28" s="10" t="e">
        <f>VLOOKUP(AJ20,'FRC Site Data'!$B$3:$L$42,3,FALSE)</f>
        <v>#N/A</v>
      </c>
      <c r="T28" s="10" t="e">
        <f>VLOOKUP(AJ20,'FRC Site Data'!$B$3:$L$42,4,FALSE)</f>
        <v>#N/A</v>
      </c>
      <c r="U28" s="10" t="e">
        <f>VLOOKUP(AJ20,'FRC Site Data'!$B$3:$L$42,5,FALSE)</f>
        <v>#N/A</v>
      </c>
      <c r="V28" s="10" t="e">
        <f>VLOOKUP(AJ20,'FRC Site Data'!$B$3:$L$42,6,FALSE)</f>
        <v>#N/A</v>
      </c>
      <c r="W28" s="10" t="e">
        <f>VLOOKUP(AJ20,'FRC Site Data'!$B$3:$L$42,8,FALSE)</f>
        <v>#N/A</v>
      </c>
      <c r="X28" s="10" t="e">
        <f>VLOOKUP(AJ20,'FRC Site Data'!$B$3:$L$42,9,FALSE)</f>
        <v>#N/A</v>
      </c>
      <c r="Y28" s="10" t="e">
        <f>VLOOKUP(AJ20,'FRC Site Data'!$B$3:$L$42,10,FALSE)</f>
        <v>#N/A</v>
      </c>
      <c r="Z28" s="10" t="e">
        <f>VLOOKUP(AJ20,'FRC Site Data'!$B$3:$L$42,11,FALSE)</f>
        <v>#N/A</v>
      </c>
      <c r="AA28" s="10" t="e">
        <f>VLOOKUP(AJ20,'CIR Team Info'!$C$5:$E$44,4,FALSE)</f>
        <v>#N/A</v>
      </c>
      <c r="AB28" s="161" t="b">
        <f>ISNUMBER(VLOOKUP(AJ20,Match!$T$5:$T$10,1,FALSE))</f>
        <v>0</v>
      </c>
      <c r="AC28" s="161" t="b">
        <f>IF(AB28=TRUE,(VLOOKUP($AJ20,Match!$T$5:$U$10,2,FALSE)))</f>
        <v>0</v>
      </c>
      <c r="AD28" s="8">
        <v>3</v>
      </c>
      <c r="AE28" s="8">
        <v>2</v>
      </c>
      <c r="AF28" s="8">
        <v>2</v>
      </c>
      <c r="AG28" s="8">
        <v>1</v>
      </c>
      <c r="AH28" s="8" t="str">
        <f t="shared" si="15"/>
        <v/>
      </c>
      <c r="BA28" s="24"/>
      <c r="BC28" s="12"/>
      <c r="BS28" s="127"/>
    </row>
    <row r="29" spans="1:71" x14ac:dyDescent="0.25">
      <c r="A29" s="29">
        <f t="shared" si="0"/>
        <v>0</v>
      </c>
      <c r="B29" s="29">
        <f t="shared" si="2"/>
        <v>0</v>
      </c>
      <c r="C29" s="29">
        <f t="shared" si="3"/>
        <v>0</v>
      </c>
      <c r="D29" s="29">
        <f t="shared" si="4"/>
        <v>0</v>
      </c>
      <c r="E29" s="29">
        <f t="shared" si="1"/>
        <v>0</v>
      </c>
      <c r="F29" s="29">
        <f t="shared" si="5"/>
        <v>0</v>
      </c>
      <c r="G29" s="29" t="str">
        <f t="shared" si="6"/>
        <v>offensive</v>
      </c>
      <c r="H29" s="16">
        <f t="shared" si="7"/>
        <v>0</v>
      </c>
      <c r="I29" s="16">
        <f t="shared" si="8"/>
        <v>0</v>
      </c>
      <c r="J29" s="16">
        <f t="shared" si="9"/>
        <v>0</v>
      </c>
      <c r="K29" s="16">
        <f t="shared" si="10"/>
        <v>0</v>
      </c>
      <c r="L29" s="67">
        <f t="shared" si="11"/>
        <v>0</v>
      </c>
      <c r="M29" s="4">
        <f t="shared" si="12"/>
        <v>0</v>
      </c>
      <c r="N29" s="4">
        <f t="shared" si="13"/>
        <v>0</v>
      </c>
      <c r="O29" s="4">
        <f t="shared" si="14"/>
        <v>0</v>
      </c>
      <c r="P29" s="4" t="e">
        <f>VLOOKUP(AJ21,'CIR Team Info'!$C$5:$E$44,2,FALSE)</f>
        <v>#N/A</v>
      </c>
      <c r="Q29" s="4" t="e">
        <f>VLOOKUP(AJ21,'CIR Team Info'!$C$5:$E$44,3,FALSE)</f>
        <v>#N/A</v>
      </c>
      <c r="R29" s="10" t="e">
        <f>VLOOKUP(AJ21,'FRC Site Data'!$B$3:$L$42,2,FALSE)</f>
        <v>#N/A</v>
      </c>
      <c r="S29" s="10" t="e">
        <f>VLOOKUP(AJ21,'FRC Site Data'!$B$3:$L$42,3,FALSE)</f>
        <v>#N/A</v>
      </c>
      <c r="T29" s="10" t="e">
        <f>VLOOKUP(AJ21,'FRC Site Data'!$B$3:$L$42,4,FALSE)</f>
        <v>#N/A</v>
      </c>
      <c r="U29" s="10" t="e">
        <f>VLOOKUP(AJ21,'FRC Site Data'!$B$3:$L$42,5,FALSE)</f>
        <v>#N/A</v>
      </c>
      <c r="V29" s="10" t="e">
        <f>VLOOKUP(AJ21,'FRC Site Data'!$B$3:$L$42,6,FALSE)</f>
        <v>#N/A</v>
      </c>
      <c r="W29" s="10" t="e">
        <f>VLOOKUP(AJ21,'FRC Site Data'!$B$3:$L$42,8,FALSE)</f>
        <v>#N/A</v>
      </c>
      <c r="X29" s="10" t="e">
        <f>VLOOKUP(AJ21,'FRC Site Data'!$B$3:$L$42,9,FALSE)</f>
        <v>#N/A</v>
      </c>
      <c r="Y29" s="10" t="e">
        <f>VLOOKUP(AJ21,'FRC Site Data'!$B$3:$L$42,10,FALSE)</f>
        <v>#N/A</v>
      </c>
      <c r="Z29" s="10" t="e">
        <f>VLOOKUP(AJ21,'FRC Site Data'!$B$3:$L$42,11,FALSE)</f>
        <v>#N/A</v>
      </c>
      <c r="AA29" s="10" t="e">
        <f>VLOOKUP(AJ21,'CIR Team Info'!$C$5:$E$44,4,FALSE)</f>
        <v>#N/A</v>
      </c>
      <c r="AB29" s="161" t="b">
        <f>ISNUMBER(VLOOKUP(AJ21,Match!$T$5:$T$10,1,FALSE))</f>
        <v>0</v>
      </c>
      <c r="AC29" s="161" t="b">
        <f>IF(AB29=TRUE,(VLOOKUP($AJ21,Match!$T$5:$U$10,2,FALSE)))</f>
        <v>0</v>
      </c>
      <c r="AD29" s="8">
        <v>3</v>
      </c>
      <c r="AE29" s="8">
        <v>2</v>
      </c>
      <c r="AF29" s="8">
        <v>2</v>
      </c>
      <c r="AG29" s="8">
        <v>1</v>
      </c>
      <c r="AH29" s="8" t="str">
        <f t="shared" si="15"/>
        <v/>
      </c>
      <c r="BA29" s="24"/>
      <c r="BC29" s="12"/>
      <c r="BS29" s="127"/>
    </row>
    <row r="30" spans="1:71" x14ac:dyDescent="0.25">
      <c r="A30" s="29">
        <f t="shared" si="0"/>
        <v>0</v>
      </c>
      <c r="B30" s="29">
        <f t="shared" si="2"/>
        <v>0</v>
      </c>
      <c r="C30" s="29">
        <f t="shared" si="3"/>
        <v>0</v>
      </c>
      <c r="D30" s="29">
        <f t="shared" si="4"/>
        <v>0</v>
      </c>
      <c r="E30" s="29">
        <f t="shared" si="1"/>
        <v>0</v>
      </c>
      <c r="F30" s="29">
        <f t="shared" si="5"/>
        <v>0</v>
      </c>
      <c r="G30" s="29" t="str">
        <f t="shared" si="6"/>
        <v>offensive</v>
      </c>
      <c r="H30" s="16">
        <f t="shared" si="7"/>
        <v>0</v>
      </c>
      <c r="I30" s="16">
        <f t="shared" si="8"/>
        <v>0</v>
      </c>
      <c r="J30" s="16">
        <f t="shared" si="9"/>
        <v>0</v>
      </c>
      <c r="K30" s="16">
        <f t="shared" si="10"/>
        <v>0</v>
      </c>
      <c r="L30" s="67">
        <f t="shared" si="11"/>
        <v>0</v>
      </c>
      <c r="M30" s="4">
        <f t="shared" si="12"/>
        <v>0</v>
      </c>
      <c r="N30" s="4">
        <f t="shared" si="13"/>
        <v>0</v>
      </c>
      <c r="O30" s="4">
        <f t="shared" si="14"/>
        <v>0</v>
      </c>
      <c r="P30" s="4" t="e">
        <f>VLOOKUP(AJ22,'CIR Team Info'!$C$5:$E$44,2,FALSE)</f>
        <v>#N/A</v>
      </c>
      <c r="Q30" s="4" t="e">
        <f>VLOOKUP(AJ22,'CIR Team Info'!$C$5:$E$44,3,FALSE)</f>
        <v>#N/A</v>
      </c>
      <c r="R30" s="10" t="e">
        <f>VLOOKUP(AJ22,'FRC Site Data'!$B$3:$L$42,2,FALSE)</f>
        <v>#N/A</v>
      </c>
      <c r="S30" s="10" t="e">
        <f>VLOOKUP(AJ22,'FRC Site Data'!$B$3:$L$42,3,FALSE)</f>
        <v>#N/A</v>
      </c>
      <c r="T30" s="10" t="e">
        <f>VLOOKUP(AJ22,'FRC Site Data'!$B$3:$L$42,4,FALSE)</f>
        <v>#N/A</v>
      </c>
      <c r="U30" s="10" t="e">
        <f>VLOOKUP(AJ22,'FRC Site Data'!$B$3:$L$42,5,FALSE)</f>
        <v>#N/A</v>
      </c>
      <c r="V30" s="10" t="e">
        <f>VLOOKUP(AJ22,'FRC Site Data'!$B$3:$L$42,6,FALSE)</f>
        <v>#N/A</v>
      </c>
      <c r="W30" s="10" t="e">
        <f>VLOOKUP(AJ22,'FRC Site Data'!$B$3:$L$42,8,FALSE)</f>
        <v>#N/A</v>
      </c>
      <c r="X30" s="10" t="e">
        <f>VLOOKUP(AJ22,'FRC Site Data'!$B$3:$L$42,9,FALSE)</f>
        <v>#N/A</v>
      </c>
      <c r="Y30" s="10" t="e">
        <f>VLOOKUP(AJ22,'FRC Site Data'!$B$3:$L$42,10,FALSE)</f>
        <v>#N/A</v>
      </c>
      <c r="Z30" s="10" t="e">
        <f>VLOOKUP(AJ22,'FRC Site Data'!$B$3:$L$42,11,FALSE)</f>
        <v>#N/A</v>
      </c>
      <c r="AA30" s="10" t="e">
        <f>VLOOKUP(AJ22,'CIR Team Info'!$C$5:$E$44,4,FALSE)</f>
        <v>#N/A</v>
      </c>
      <c r="AB30" s="161" t="b">
        <f>ISNUMBER(VLOOKUP(AJ22,Match!$T$5:$T$10,1,FALSE))</f>
        <v>0</v>
      </c>
      <c r="AC30" s="161" t="b">
        <f>IF(AB30=TRUE,(VLOOKUP($AJ22,Match!$T$5:$U$10,2,FALSE)))</f>
        <v>0</v>
      </c>
      <c r="AD30" s="8">
        <v>3</v>
      </c>
      <c r="AE30" s="8">
        <v>2</v>
      </c>
      <c r="AF30" s="8">
        <v>2</v>
      </c>
      <c r="AG30" s="8">
        <v>1</v>
      </c>
      <c r="AH30" s="8" t="str">
        <f t="shared" si="15"/>
        <v/>
      </c>
      <c r="BA30" s="24"/>
      <c r="BC30" s="12"/>
      <c r="BS30" s="127"/>
    </row>
    <row r="31" spans="1:71" x14ac:dyDescent="0.25">
      <c r="A31" s="29">
        <f t="shared" si="0"/>
        <v>0</v>
      </c>
      <c r="B31" s="29">
        <f t="shared" si="2"/>
        <v>0</v>
      </c>
      <c r="C31" s="29">
        <f t="shared" si="3"/>
        <v>0</v>
      </c>
      <c r="D31" s="29">
        <f t="shared" si="4"/>
        <v>0</v>
      </c>
      <c r="E31" s="29">
        <f t="shared" si="1"/>
        <v>0</v>
      </c>
      <c r="F31" s="29">
        <f t="shared" si="5"/>
        <v>0</v>
      </c>
      <c r="G31" s="29" t="str">
        <f t="shared" si="6"/>
        <v>offensive</v>
      </c>
      <c r="H31" s="16">
        <f t="shared" si="7"/>
        <v>0</v>
      </c>
      <c r="I31" s="16">
        <f t="shared" si="8"/>
        <v>0</v>
      </c>
      <c r="J31" s="16">
        <f t="shared" si="9"/>
        <v>0</v>
      </c>
      <c r="K31" s="16">
        <f t="shared" si="10"/>
        <v>0</v>
      </c>
      <c r="L31" s="67">
        <f t="shared" si="11"/>
        <v>0</v>
      </c>
      <c r="M31" s="4">
        <f t="shared" si="12"/>
        <v>0</v>
      </c>
      <c r="N31" s="4">
        <f t="shared" si="13"/>
        <v>0</v>
      </c>
      <c r="O31" s="4">
        <f t="shared" si="14"/>
        <v>0</v>
      </c>
      <c r="P31" s="4" t="e">
        <f>VLOOKUP(AJ23,'CIR Team Info'!$C$5:$E$44,2,FALSE)</f>
        <v>#N/A</v>
      </c>
      <c r="Q31" s="4" t="e">
        <f>VLOOKUP(AJ23,'CIR Team Info'!$C$5:$E$44,3,FALSE)</f>
        <v>#N/A</v>
      </c>
      <c r="R31" s="10" t="e">
        <f>VLOOKUP(AJ23,'FRC Site Data'!$B$3:$L$42,2,FALSE)</f>
        <v>#N/A</v>
      </c>
      <c r="S31" s="10" t="e">
        <f>VLOOKUP(AJ23,'FRC Site Data'!$B$3:$L$42,3,FALSE)</f>
        <v>#N/A</v>
      </c>
      <c r="T31" s="10" t="e">
        <f>VLOOKUP(AJ23,'FRC Site Data'!$B$3:$L$42,4,FALSE)</f>
        <v>#N/A</v>
      </c>
      <c r="U31" s="10" t="e">
        <f>VLOOKUP(AJ23,'FRC Site Data'!$B$3:$L$42,5,FALSE)</f>
        <v>#N/A</v>
      </c>
      <c r="V31" s="10" t="e">
        <f>VLOOKUP(AJ23,'FRC Site Data'!$B$3:$L$42,6,FALSE)</f>
        <v>#N/A</v>
      </c>
      <c r="W31" s="10" t="e">
        <f>VLOOKUP(AJ23,'FRC Site Data'!$B$3:$L$42,8,FALSE)</f>
        <v>#N/A</v>
      </c>
      <c r="X31" s="10" t="e">
        <f>VLOOKUP(AJ23,'FRC Site Data'!$B$3:$L$42,9,FALSE)</f>
        <v>#N/A</v>
      </c>
      <c r="Y31" s="10" t="e">
        <f>VLOOKUP(AJ23,'FRC Site Data'!$B$3:$L$42,10,FALSE)</f>
        <v>#N/A</v>
      </c>
      <c r="Z31" s="10" t="e">
        <f>VLOOKUP(AJ23,'FRC Site Data'!$B$3:$L$42,11,FALSE)</f>
        <v>#N/A</v>
      </c>
      <c r="AA31" s="10" t="e">
        <f>VLOOKUP(AJ23,'CIR Team Info'!$C$5:$E$44,4,FALSE)</f>
        <v>#N/A</v>
      </c>
      <c r="AB31" s="161" t="b">
        <f>ISNUMBER(VLOOKUP(AJ23,Match!$T$5:$T$10,1,FALSE))</f>
        <v>0</v>
      </c>
      <c r="AC31" s="161" t="b">
        <f>IF(AB31=TRUE,(VLOOKUP($AJ23,Match!$T$5:$U$10,2,FALSE)))</f>
        <v>0</v>
      </c>
      <c r="AD31" s="8">
        <v>3</v>
      </c>
      <c r="AE31" s="8">
        <v>2</v>
      </c>
      <c r="AF31" s="8">
        <v>2</v>
      </c>
      <c r="AG31" s="8">
        <v>1</v>
      </c>
      <c r="AH31" s="8" t="str">
        <f t="shared" si="15"/>
        <v/>
      </c>
      <c r="BA31" s="24"/>
      <c r="BC31" s="12"/>
      <c r="BS31" s="127"/>
    </row>
    <row r="32" spans="1:71" x14ac:dyDescent="0.25">
      <c r="A32" s="29">
        <f t="shared" si="0"/>
        <v>0</v>
      </c>
      <c r="B32" s="29">
        <f t="shared" si="2"/>
        <v>0</v>
      </c>
      <c r="C32" s="29">
        <f t="shared" si="3"/>
        <v>0</v>
      </c>
      <c r="D32" s="29">
        <f t="shared" si="4"/>
        <v>0</v>
      </c>
      <c r="E32" s="29">
        <f t="shared" si="1"/>
        <v>0</v>
      </c>
      <c r="F32" s="29">
        <f t="shared" si="5"/>
        <v>0</v>
      </c>
      <c r="G32" s="29" t="str">
        <f t="shared" si="6"/>
        <v>offensive</v>
      </c>
      <c r="H32" s="16">
        <f t="shared" si="7"/>
        <v>0</v>
      </c>
      <c r="I32" s="16">
        <f t="shared" si="8"/>
        <v>0</v>
      </c>
      <c r="J32" s="16">
        <f t="shared" si="9"/>
        <v>0</v>
      </c>
      <c r="K32" s="16">
        <f t="shared" si="10"/>
        <v>0</v>
      </c>
      <c r="L32" s="67">
        <f t="shared" si="11"/>
        <v>0</v>
      </c>
      <c r="M32" s="4">
        <f t="shared" si="12"/>
        <v>0</v>
      </c>
      <c r="N32" s="4">
        <f t="shared" si="13"/>
        <v>0</v>
      </c>
      <c r="O32" s="4">
        <f t="shared" si="14"/>
        <v>0</v>
      </c>
      <c r="P32" s="4" t="e">
        <f>VLOOKUP(AJ24,'CIR Team Info'!$C$5:$E$44,2,FALSE)</f>
        <v>#N/A</v>
      </c>
      <c r="Q32" s="4" t="e">
        <f>VLOOKUP(AJ24,'CIR Team Info'!$C$5:$E$44,3,FALSE)</f>
        <v>#N/A</v>
      </c>
      <c r="R32" s="10" t="e">
        <f>VLOOKUP(AJ24,'FRC Site Data'!$B$3:$L$42,2,FALSE)</f>
        <v>#N/A</v>
      </c>
      <c r="S32" s="10" t="e">
        <f>VLOOKUP(AJ24,'FRC Site Data'!$B$3:$L$42,3,FALSE)</f>
        <v>#N/A</v>
      </c>
      <c r="T32" s="10" t="e">
        <f>VLOOKUP(AJ24,'FRC Site Data'!$B$3:$L$42,4,FALSE)</f>
        <v>#N/A</v>
      </c>
      <c r="U32" s="10" t="e">
        <f>VLOOKUP(AJ24,'FRC Site Data'!$B$3:$L$42,5,FALSE)</f>
        <v>#N/A</v>
      </c>
      <c r="V32" s="10" t="e">
        <f>VLOOKUP(AJ24,'FRC Site Data'!$B$3:$L$42,6,FALSE)</f>
        <v>#N/A</v>
      </c>
      <c r="W32" s="10" t="e">
        <f>VLOOKUP(AJ24,'FRC Site Data'!$B$3:$L$42,8,FALSE)</f>
        <v>#N/A</v>
      </c>
      <c r="X32" s="10" t="e">
        <f>VLOOKUP(AJ24,'FRC Site Data'!$B$3:$L$42,9,FALSE)</f>
        <v>#N/A</v>
      </c>
      <c r="Y32" s="10" t="e">
        <f>VLOOKUP(AJ24,'FRC Site Data'!$B$3:$L$42,10,FALSE)</f>
        <v>#N/A</v>
      </c>
      <c r="Z32" s="10" t="e">
        <f>VLOOKUP(AJ24,'FRC Site Data'!$B$3:$L$42,11,FALSE)</f>
        <v>#N/A</v>
      </c>
      <c r="AA32" s="10" t="e">
        <f>VLOOKUP(AJ24,'CIR Team Info'!$C$5:$E$44,4,FALSE)</f>
        <v>#N/A</v>
      </c>
      <c r="AB32" s="161" t="b">
        <f>ISNUMBER(VLOOKUP(AJ24,Match!$T$5:$T$10,1,FALSE))</f>
        <v>0</v>
      </c>
      <c r="AC32" s="161" t="b">
        <f>IF(AB32=TRUE,(VLOOKUP($AJ24,Match!$T$5:$U$10,2,FALSE)))</f>
        <v>0</v>
      </c>
      <c r="AD32" s="8">
        <v>3</v>
      </c>
      <c r="AE32" s="8">
        <v>2</v>
      </c>
      <c r="AF32" s="8">
        <v>2</v>
      </c>
      <c r="AG32" s="8">
        <v>1</v>
      </c>
      <c r="AH32" s="8" t="str">
        <f t="shared" si="15"/>
        <v/>
      </c>
      <c r="BA32" s="24"/>
      <c r="BC32" s="12"/>
      <c r="BS32" s="127"/>
    </row>
    <row r="33" spans="1:71" x14ac:dyDescent="0.25">
      <c r="A33" s="29">
        <f t="shared" si="0"/>
        <v>0</v>
      </c>
      <c r="B33" s="29">
        <f t="shared" si="2"/>
        <v>0</v>
      </c>
      <c r="C33" s="29">
        <f t="shared" si="3"/>
        <v>0</v>
      </c>
      <c r="D33" s="29">
        <f t="shared" si="4"/>
        <v>0</v>
      </c>
      <c r="E33" s="29">
        <f t="shared" si="1"/>
        <v>0</v>
      </c>
      <c r="F33" s="29">
        <f t="shared" si="5"/>
        <v>0</v>
      </c>
      <c r="G33" s="29" t="str">
        <f t="shared" si="6"/>
        <v>offensive</v>
      </c>
      <c r="H33" s="16">
        <f t="shared" si="7"/>
        <v>0</v>
      </c>
      <c r="I33" s="16">
        <f t="shared" si="8"/>
        <v>0</v>
      </c>
      <c r="J33" s="16">
        <f t="shared" si="9"/>
        <v>0</v>
      </c>
      <c r="K33" s="16">
        <f t="shared" si="10"/>
        <v>0</v>
      </c>
      <c r="L33" s="67">
        <f t="shared" si="11"/>
        <v>0</v>
      </c>
      <c r="M33" s="4">
        <f t="shared" si="12"/>
        <v>0</v>
      </c>
      <c r="N33" s="4">
        <f t="shared" si="13"/>
        <v>0</v>
      </c>
      <c r="O33" s="4">
        <f t="shared" si="14"/>
        <v>0</v>
      </c>
      <c r="P33" s="4" t="e">
        <f>VLOOKUP(AJ25,'CIR Team Info'!$C$5:$E$44,2,FALSE)</f>
        <v>#N/A</v>
      </c>
      <c r="Q33" s="4" t="e">
        <f>VLOOKUP(AJ25,'CIR Team Info'!$C$5:$E$44,3,FALSE)</f>
        <v>#N/A</v>
      </c>
      <c r="R33" s="10" t="e">
        <f>VLOOKUP(AJ25,'FRC Site Data'!$B$3:$L$42,2,FALSE)</f>
        <v>#N/A</v>
      </c>
      <c r="S33" s="10" t="e">
        <f>VLOOKUP(AJ25,'FRC Site Data'!$B$3:$L$42,3,FALSE)</f>
        <v>#N/A</v>
      </c>
      <c r="T33" s="10" t="e">
        <f>VLOOKUP(AJ25,'FRC Site Data'!$B$3:$L$42,4,FALSE)</f>
        <v>#N/A</v>
      </c>
      <c r="U33" s="10" t="e">
        <f>VLOOKUP(AJ25,'FRC Site Data'!$B$3:$L$42,5,FALSE)</f>
        <v>#N/A</v>
      </c>
      <c r="V33" s="10" t="e">
        <f>VLOOKUP(AJ25,'FRC Site Data'!$B$3:$L$42,6,FALSE)</f>
        <v>#N/A</v>
      </c>
      <c r="W33" s="10" t="e">
        <f>VLOOKUP(AJ25,'FRC Site Data'!$B$3:$L$42,8,FALSE)</f>
        <v>#N/A</v>
      </c>
      <c r="X33" s="10" t="e">
        <f>VLOOKUP(AJ25,'FRC Site Data'!$B$3:$L$42,9,FALSE)</f>
        <v>#N/A</v>
      </c>
      <c r="Y33" s="10" t="e">
        <f>VLOOKUP(AJ25,'FRC Site Data'!$B$3:$L$42,10,FALSE)</f>
        <v>#N/A</v>
      </c>
      <c r="Z33" s="10" t="e">
        <f>VLOOKUP(AJ25,'FRC Site Data'!$B$3:$L$42,11,FALSE)</f>
        <v>#N/A</v>
      </c>
      <c r="AA33" s="10" t="e">
        <f>VLOOKUP(AJ25,'CIR Team Info'!$C$5:$E$44,4,FALSE)</f>
        <v>#N/A</v>
      </c>
      <c r="AB33" s="161" t="b">
        <f>ISNUMBER(VLOOKUP(AJ25,Match!$T$5:$T$10,1,FALSE))</f>
        <v>0</v>
      </c>
      <c r="AC33" s="161" t="b">
        <f>IF(AB33=TRUE,(VLOOKUP($AJ25,Match!$T$5:$U$10,2,FALSE)))</f>
        <v>0</v>
      </c>
      <c r="AD33" s="8">
        <v>3</v>
      </c>
      <c r="AE33" s="8">
        <v>2</v>
      </c>
      <c r="AF33" s="8">
        <v>2</v>
      </c>
      <c r="AG33" s="8">
        <v>1</v>
      </c>
      <c r="AH33" s="8" t="str">
        <f t="shared" si="15"/>
        <v/>
      </c>
      <c r="BA33" s="24"/>
      <c r="BC33" s="12"/>
      <c r="BS33" s="127"/>
    </row>
    <row r="34" spans="1:71" x14ac:dyDescent="0.25">
      <c r="A34" s="29">
        <f t="shared" si="0"/>
        <v>0</v>
      </c>
      <c r="B34" s="29">
        <f t="shared" si="2"/>
        <v>0</v>
      </c>
      <c r="C34" s="29">
        <f t="shared" si="3"/>
        <v>0</v>
      </c>
      <c r="D34" s="29">
        <f t="shared" si="4"/>
        <v>0</v>
      </c>
      <c r="E34" s="29">
        <f t="shared" si="1"/>
        <v>0</v>
      </c>
      <c r="F34" s="29">
        <f t="shared" si="5"/>
        <v>0</v>
      </c>
      <c r="G34" s="29" t="str">
        <f t="shared" si="6"/>
        <v>offensive</v>
      </c>
      <c r="H34" s="16">
        <f t="shared" si="7"/>
        <v>0</v>
      </c>
      <c r="I34" s="16">
        <f t="shared" si="8"/>
        <v>0</v>
      </c>
      <c r="J34" s="16">
        <f t="shared" si="9"/>
        <v>0</v>
      </c>
      <c r="K34" s="16">
        <f t="shared" si="10"/>
        <v>0</v>
      </c>
      <c r="L34" s="67">
        <f t="shared" si="11"/>
        <v>0</v>
      </c>
      <c r="M34" s="4">
        <f t="shared" si="12"/>
        <v>0</v>
      </c>
      <c r="N34" s="4">
        <f t="shared" si="13"/>
        <v>0</v>
      </c>
      <c r="O34" s="4">
        <f t="shared" si="14"/>
        <v>0</v>
      </c>
      <c r="P34" s="4" t="e">
        <f>VLOOKUP(AJ26,'CIR Team Info'!$C$5:$E$44,2,FALSE)</f>
        <v>#N/A</v>
      </c>
      <c r="Q34" s="4" t="e">
        <f>VLOOKUP(AJ26,'CIR Team Info'!$C$5:$E$44,3,FALSE)</f>
        <v>#N/A</v>
      </c>
      <c r="R34" s="10" t="e">
        <f>VLOOKUP(AJ26,'FRC Site Data'!$B$3:$L$42,2,FALSE)</f>
        <v>#N/A</v>
      </c>
      <c r="S34" s="10" t="e">
        <f>VLOOKUP(AJ26,'FRC Site Data'!$B$3:$L$42,3,FALSE)</f>
        <v>#N/A</v>
      </c>
      <c r="T34" s="10" t="e">
        <f>VLOOKUP(AJ26,'FRC Site Data'!$B$3:$L$42,4,FALSE)</f>
        <v>#N/A</v>
      </c>
      <c r="U34" s="10" t="e">
        <f>VLOOKUP(AJ26,'FRC Site Data'!$B$3:$L$42,5,FALSE)</f>
        <v>#N/A</v>
      </c>
      <c r="V34" s="10" t="e">
        <f>VLOOKUP(AJ26,'FRC Site Data'!$B$3:$L$42,6,FALSE)</f>
        <v>#N/A</v>
      </c>
      <c r="W34" s="10" t="e">
        <f>VLOOKUP(AJ26,'FRC Site Data'!$B$3:$L$42,8,FALSE)</f>
        <v>#N/A</v>
      </c>
      <c r="X34" s="10" t="e">
        <f>VLOOKUP(AJ26,'FRC Site Data'!$B$3:$L$42,9,FALSE)</f>
        <v>#N/A</v>
      </c>
      <c r="Y34" s="10" t="e">
        <f>VLOOKUP(AJ26,'FRC Site Data'!$B$3:$L$42,10,FALSE)</f>
        <v>#N/A</v>
      </c>
      <c r="Z34" s="10" t="e">
        <f>VLOOKUP(AJ26,'FRC Site Data'!$B$3:$L$42,11,FALSE)</f>
        <v>#N/A</v>
      </c>
      <c r="AA34" s="10" t="e">
        <f>VLOOKUP(AJ26,'CIR Team Info'!$C$5:$E$44,4,FALSE)</f>
        <v>#N/A</v>
      </c>
      <c r="AB34" s="161" t="b">
        <f>ISNUMBER(VLOOKUP(AJ26,Match!$T$5:$T$10,1,FALSE))</f>
        <v>0</v>
      </c>
      <c r="AC34" s="161" t="b">
        <f>IF(AB34=TRUE,(VLOOKUP($AJ26,Match!$T$5:$U$10,2,FALSE)))</f>
        <v>0</v>
      </c>
      <c r="AD34" s="8">
        <v>3</v>
      </c>
      <c r="AE34" s="8">
        <v>2</v>
      </c>
      <c r="AF34" s="8">
        <v>2</v>
      </c>
      <c r="AG34" s="8">
        <v>1</v>
      </c>
      <c r="AH34" s="8" t="str">
        <f t="shared" si="15"/>
        <v/>
      </c>
      <c r="BA34" s="24"/>
      <c r="BC34" s="12"/>
      <c r="BS34" s="127"/>
    </row>
    <row r="35" spans="1:71" x14ac:dyDescent="0.25">
      <c r="A35" s="29">
        <f t="shared" si="0"/>
        <v>0</v>
      </c>
      <c r="B35" s="29">
        <f t="shared" si="2"/>
        <v>0</v>
      </c>
      <c r="C35" s="29">
        <f t="shared" si="3"/>
        <v>0</v>
      </c>
      <c r="D35" s="29">
        <f t="shared" si="4"/>
        <v>0</v>
      </c>
      <c r="E35" s="29">
        <f t="shared" si="1"/>
        <v>0</v>
      </c>
      <c r="F35" s="29">
        <f t="shared" si="5"/>
        <v>0</v>
      </c>
      <c r="G35" s="29" t="str">
        <f t="shared" si="6"/>
        <v>offensive</v>
      </c>
      <c r="H35" s="16">
        <f t="shared" si="7"/>
        <v>0</v>
      </c>
      <c r="I35" s="16">
        <f t="shared" si="8"/>
        <v>0</v>
      </c>
      <c r="J35" s="16">
        <f t="shared" si="9"/>
        <v>0</v>
      </c>
      <c r="K35" s="16">
        <f t="shared" si="10"/>
        <v>0</v>
      </c>
      <c r="L35" s="67">
        <f t="shared" si="11"/>
        <v>0</v>
      </c>
      <c r="M35" s="4">
        <f t="shared" si="12"/>
        <v>0</v>
      </c>
      <c r="N35" s="4">
        <f t="shared" si="13"/>
        <v>0</v>
      </c>
      <c r="O35" s="4">
        <f t="shared" si="14"/>
        <v>0</v>
      </c>
      <c r="P35" s="4" t="e">
        <f>VLOOKUP(AJ27,'CIR Team Info'!$C$5:$E$44,2,FALSE)</f>
        <v>#N/A</v>
      </c>
      <c r="Q35" s="4" t="e">
        <f>VLOOKUP(AJ27,'CIR Team Info'!$C$5:$E$44,3,FALSE)</f>
        <v>#N/A</v>
      </c>
      <c r="R35" s="10" t="e">
        <f>VLOOKUP(AJ27,'FRC Site Data'!$B$3:$L$42,2,FALSE)</f>
        <v>#N/A</v>
      </c>
      <c r="S35" s="10" t="e">
        <f>VLOOKUP(AJ27,'FRC Site Data'!$B$3:$L$42,3,FALSE)</f>
        <v>#N/A</v>
      </c>
      <c r="T35" s="10" t="e">
        <f>VLOOKUP(AJ27,'FRC Site Data'!$B$3:$L$42,4,FALSE)</f>
        <v>#N/A</v>
      </c>
      <c r="U35" s="10" t="e">
        <f>VLOOKUP(AJ27,'FRC Site Data'!$B$3:$L$42,5,FALSE)</f>
        <v>#N/A</v>
      </c>
      <c r="V35" s="10" t="e">
        <f>VLOOKUP(AJ27,'FRC Site Data'!$B$3:$L$42,6,FALSE)</f>
        <v>#N/A</v>
      </c>
      <c r="W35" s="10" t="e">
        <f>VLOOKUP(AJ27,'FRC Site Data'!$B$3:$L$42,8,FALSE)</f>
        <v>#N/A</v>
      </c>
      <c r="X35" s="10" t="e">
        <f>VLOOKUP(AJ27,'FRC Site Data'!$B$3:$L$42,9,FALSE)</f>
        <v>#N/A</v>
      </c>
      <c r="Y35" s="10" t="e">
        <f>VLOOKUP(AJ27,'FRC Site Data'!$B$3:$L$42,10,FALSE)</f>
        <v>#N/A</v>
      </c>
      <c r="Z35" s="10" t="e">
        <f>VLOOKUP(AJ27,'FRC Site Data'!$B$3:$L$42,11,FALSE)</f>
        <v>#N/A</v>
      </c>
      <c r="AA35" s="10" t="e">
        <f>VLOOKUP(AJ27,'CIR Team Info'!$C$5:$E$44,4,FALSE)</f>
        <v>#N/A</v>
      </c>
      <c r="AB35" s="161" t="b">
        <f>ISNUMBER(VLOOKUP(AJ27,Match!$T$5:$T$10,1,FALSE))</f>
        <v>0</v>
      </c>
      <c r="AC35" s="161" t="b">
        <f>IF(AB35=TRUE,(VLOOKUP($AJ27,Match!$T$5:$U$10,2,FALSE)))</f>
        <v>0</v>
      </c>
      <c r="AD35" s="8">
        <v>3</v>
      </c>
      <c r="AE35" s="8">
        <v>2</v>
      </c>
      <c r="AF35" s="8">
        <v>2</v>
      </c>
      <c r="AG35" s="8">
        <v>1</v>
      </c>
      <c r="AH35" s="8" t="str">
        <f t="shared" si="15"/>
        <v/>
      </c>
      <c r="BA35" s="24"/>
      <c r="BC35" s="12"/>
      <c r="BS35" s="127"/>
    </row>
    <row r="36" spans="1:71" x14ac:dyDescent="0.25">
      <c r="A36" s="29">
        <f t="shared" si="0"/>
        <v>0</v>
      </c>
      <c r="B36" s="29">
        <f t="shared" si="2"/>
        <v>0</v>
      </c>
      <c r="C36" s="29">
        <f t="shared" si="3"/>
        <v>0</v>
      </c>
      <c r="D36" s="29">
        <f t="shared" si="4"/>
        <v>0</v>
      </c>
      <c r="E36" s="29">
        <f t="shared" si="1"/>
        <v>0</v>
      </c>
      <c r="F36" s="29">
        <f t="shared" si="5"/>
        <v>0</v>
      </c>
      <c r="G36" s="29" t="str">
        <f t="shared" si="6"/>
        <v>offensive</v>
      </c>
      <c r="H36" s="16">
        <f t="shared" si="7"/>
        <v>0</v>
      </c>
      <c r="I36" s="16">
        <f t="shared" si="8"/>
        <v>0</v>
      </c>
      <c r="J36" s="16">
        <f t="shared" si="9"/>
        <v>0</v>
      </c>
      <c r="K36" s="16">
        <f t="shared" si="10"/>
        <v>0</v>
      </c>
      <c r="L36" s="67">
        <f t="shared" si="11"/>
        <v>0</v>
      </c>
      <c r="M36" s="4">
        <f t="shared" si="12"/>
        <v>0</v>
      </c>
      <c r="N36" s="4">
        <f t="shared" si="13"/>
        <v>0</v>
      </c>
      <c r="O36" s="4">
        <f t="shared" si="14"/>
        <v>0</v>
      </c>
      <c r="P36" s="4" t="e">
        <f>VLOOKUP(AJ28,'CIR Team Info'!$C$5:$E$44,2,FALSE)</f>
        <v>#N/A</v>
      </c>
      <c r="Q36" s="4" t="e">
        <f>VLOOKUP(AJ28,'CIR Team Info'!$C$5:$E$44,3,FALSE)</f>
        <v>#N/A</v>
      </c>
      <c r="R36" s="10" t="e">
        <f>VLOOKUP(AJ28,'FRC Site Data'!$B$3:$L$42,2,FALSE)</f>
        <v>#N/A</v>
      </c>
      <c r="S36" s="10" t="e">
        <f>VLOOKUP(AJ28,'FRC Site Data'!$B$3:$L$42,3,FALSE)</f>
        <v>#N/A</v>
      </c>
      <c r="T36" s="10" t="e">
        <f>VLOOKUP(AJ28,'FRC Site Data'!$B$3:$L$42,4,FALSE)</f>
        <v>#N/A</v>
      </c>
      <c r="U36" s="10" t="e">
        <f>VLOOKUP(AJ28,'FRC Site Data'!$B$3:$L$42,5,FALSE)</f>
        <v>#N/A</v>
      </c>
      <c r="V36" s="10" t="e">
        <f>VLOOKUP(AJ28,'FRC Site Data'!$B$3:$L$42,6,FALSE)</f>
        <v>#N/A</v>
      </c>
      <c r="W36" s="10" t="e">
        <f>VLOOKUP(AJ28,'FRC Site Data'!$B$3:$L$42,8,FALSE)</f>
        <v>#N/A</v>
      </c>
      <c r="X36" s="10" t="e">
        <f>VLOOKUP(AJ28,'FRC Site Data'!$B$3:$L$42,9,FALSE)</f>
        <v>#N/A</v>
      </c>
      <c r="Y36" s="10" t="e">
        <f>VLOOKUP(AJ28,'FRC Site Data'!$B$3:$L$42,10,FALSE)</f>
        <v>#N/A</v>
      </c>
      <c r="Z36" s="10" t="e">
        <f>VLOOKUP(AJ28,'FRC Site Data'!$B$3:$L$42,11,FALSE)</f>
        <v>#N/A</v>
      </c>
      <c r="AA36" s="10" t="e">
        <f>VLOOKUP(AJ28,'CIR Team Info'!$C$5:$E$44,4,FALSE)</f>
        <v>#N/A</v>
      </c>
      <c r="AB36" s="161" t="b">
        <f>ISNUMBER(VLOOKUP(AJ28,Match!$T$5:$T$10,1,FALSE))</f>
        <v>0</v>
      </c>
      <c r="AC36" s="161" t="b">
        <f>IF(AB36=TRUE,(VLOOKUP($AJ28,Match!$T$5:$U$10,2,FALSE)))</f>
        <v>0</v>
      </c>
      <c r="AD36" s="8">
        <v>3</v>
      </c>
      <c r="AE36" s="8">
        <v>2</v>
      </c>
      <c r="AF36" s="8">
        <v>2</v>
      </c>
      <c r="AG36" s="8">
        <v>1</v>
      </c>
      <c r="AH36" s="8" t="str">
        <f t="shared" si="15"/>
        <v/>
      </c>
      <c r="BA36" s="24"/>
      <c r="BC36" s="12"/>
      <c r="BS36" s="127"/>
    </row>
    <row r="37" spans="1:71" x14ac:dyDescent="0.25">
      <c r="A37" s="29">
        <f t="shared" si="0"/>
        <v>0</v>
      </c>
      <c r="B37" s="29">
        <f t="shared" si="2"/>
        <v>0</v>
      </c>
      <c r="C37" s="29">
        <f t="shared" si="3"/>
        <v>0</v>
      </c>
      <c r="D37" s="29">
        <f t="shared" si="4"/>
        <v>0</v>
      </c>
      <c r="E37" s="29">
        <f t="shared" si="1"/>
        <v>0</v>
      </c>
      <c r="F37" s="29">
        <f t="shared" si="5"/>
        <v>0</v>
      </c>
      <c r="G37" s="29" t="str">
        <f t="shared" si="6"/>
        <v>offensive</v>
      </c>
      <c r="H37" s="16">
        <f t="shared" si="7"/>
        <v>0</v>
      </c>
      <c r="I37" s="16">
        <f t="shared" si="8"/>
        <v>0</v>
      </c>
      <c r="J37" s="16">
        <f t="shared" si="9"/>
        <v>0</v>
      </c>
      <c r="K37" s="16">
        <f t="shared" si="10"/>
        <v>0</v>
      </c>
      <c r="L37" s="67">
        <f t="shared" si="11"/>
        <v>0</v>
      </c>
      <c r="M37" s="4">
        <f t="shared" si="12"/>
        <v>0</v>
      </c>
      <c r="N37" s="4">
        <f t="shared" si="13"/>
        <v>0</v>
      </c>
      <c r="O37" s="4">
        <f t="shared" si="14"/>
        <v>0</v>
      </c>
      <c r="P37" s="4" t="e">
        <f>VLOOKUP(AJ29,'CIR Team Info'!$C$5:$E$44,2,FALSE)</f>
        <v>#N/A</v>
      </c>
      <c r="Q37" s="4" t="e">
        <f>VLOOKUP(AJ29,'CIR Team Info'!$C$5:$E$44,3,FALSE)</f>
        <v>#N/A</v>
      </c>
      <c r="R37" s="10" t="e">
        <f>VLOOKUP(AJ29,'FRC Site Data'!$B$3:$L$42,2,FALSE)</f>
        <v>#N/A</v>
      </c>
      <c r="S37" s="10" t="e">
        <f>VLOOKUP(AJ29,'FRC Site Data'!$B$3:$L$42,3,FALSE)</f>
        <v>#N/A</v>
      </c>
      <c r="T37" s="10" t="e">
        <f>VLOOKUP(AJ29,'FRC Site Data'!$B$3:$L$42,4,FALSE)</f>
        <v>#N/A</v>
      </c>
      <c r="U37" s="10" t="e">
        <f>VLOOKUP(AJ29,'FRC Site Data'!$B$3:$L$42,5,FALSE)</f>
        <v>#N/A</v>
      </c>
      <c r="V37" s="10" t="e">
        <f>VLOOKUP(AJ29,'FRC Site Data'!$B$3:$L$42,6,FALSE)</f>
        <v>#N/A</v>
      </c>
      <c r="W37" s="10" t="e">
        <f>VLOOKUP(AJ29,'FRC Site Data'!$B$3:$L$42,8,FALSE)</f>
        <v>#N/A</v>
      </c>
      <c r="X37" s="10" t="e">
        <f>VLOOKUP(AJ29,'FRC Site Data'!$B$3:$L$42,9,FALSE)</f>
        <v>#N/A</v>
      </c>
      <c r="Y37" s="10" t="e">
        <f>VLOOKUP(AJ29,'FRC Site Data'!$B$3:$L$42,10,FALSE)</f>
        <v>#N/A</v>
      </c>
      <c r="Z37" s="10" t="e">
        <f>VLOOKUP(AJ29,'FRC Site Data'!$B$3:$L$42,11,FALSE)</f>
        <v>#N/A</v>
      </c>
      <c r="AA37" s="10" t="e">
        <f>VLOOKUP(AJ29,'CIR Team Info'!$C$5:$E$44,4,FALSE)</f>
        <v>#N/A</v>
      </c>
      <c r="AB37" s="161" t="b">
        <f>ISNUMBER(VLOOKUP(AJ29,Match!$T$5:$T$10,1,FALSE))</f>
        <v>0</v>
      </c>
      <c r="AC37" s="161" t="b">
        <f>IF(AB37=TRUE,(VLOOKUP($AJ29,Match!$T$5:$U$10,2,FALSE)))</f>
        <v>0</v>
      </c>
      <c r="AD37" s="8">
        <v>3</v>
      </c>
      <c r="AE37" s="8">
        <v>2</v>
      </c>
      <c r="AF37" s="8">
        <v>2</v>
      </c>
      <c r="AG37" s="8">
        <v>1</v>
      </c>
      <c r="AH37" s="8" t="str">
        <f t="shared" si="15"/>
        <v/>
      </c>
      <c r="BA37" s="24"/>
      <c r="BC37" s="12"/>
      <c r="BS37" s="127"/>
    </row>
    <row r="38" spans="1:71" x14ac:dyDescent="0.25">
      <c r="A38" s="29">
        <f t="shared" si="0"/>
        <v>0</v>
      </c>
      <c r="B38" s="29">
        <f t="shared" si="2"/>
        <v>0</v>
      </c>
      <c r="C38" s="29">
        <f t="shared" si="3"/>
        <v>0</v>
      </c>
      <c r="D38" s="29">
        <f t="shared" si="4"/>
        <v>0</v>
      </c>
      <c r="E38" s="29">
        <f t="shared" si="1"/>
        <v>0</v>
      </c>
      <c r="F38" s="29">
        <f t="shared" ref="F38:F61" si="16">IF(AN30&gt;0,5)-2*COUNTIF(AQ30,"K")+5*COUNTIF(AS30,"T")+IF(AX30=3,2)+IF(AY30="T",2)</f>
        <v>0</v>
      </c>
      <c r="G38" s="29" t="str">
        <f t="shared" ref="G38:G61" si="17">IF((BB30+BC30)&gt;45,"defensive",IF((BB30+BC30)&gt;15,"both","offensive"))</f>
        <v>offensive</v>
      </c>
      <c r="H38" s="16">
        <f t="shared" si="7"/>
        <v>0</v>
      </c>
      <c r="I38" s="16">
        <f t="shared" si="8"/>
        <v>0</v>
      </c>
      <c r="J38" s="16">
        <f t="shared" si="9"/>
        <v>0</v>
      </c>
      <c r="K38" s="16">
        <f t="shared" ref="K38:K61" si="18">IF((BB30+BC30)=0,0,((AZ30*BB30*0.2)+(BA30*BC30*0.3))/(BB30+BC30))</f>
        <v>0</v>
      </c>
      <c r="L38" s="67">
        <f t="shared" ref="L38:L61" si="19">IF(BF30&gt;BG30,BF30,BG30)</f>
        <v>0</v>
      </c>
      <c r="M38" s="4">
        <f t="shared" si="12"/>
        <v>0</v>
      </c>
      <c r="N38" s="4">
        <f t="shared" ref="N38:N60" si="20">AO30+AV30+BD30</f>
        <v>0</v>
      </c>
      <c r="O38" s="4">
        <f t="shared" ref="O38:O61" si="21">(AZ30*0.2*BB30*30/30)+(BA30*0.3*BC30*12/30)-BI30-BJ30</f>
        <v>0</v>
      </c>
      <c r="P38" s="4" t="e">
        <f>VLOOKUP(AJ30,'CIR Team Info'!$C$5:$E$44,2,FALSE)</f>
        <v>#N/A</v>
      </c>
      <c r="Q38" s="4" t="e">
        <f>VLOOKUP(AJ30,'CIR Team Info'!$C$5:$E$44,3,FALSE)</f>
        <v>#N/A</v>
      </c>
      <c r="R38" s="10" t="e">
        <f>VLOOKUP(AJ30,'FRC Site Data'!$B$3:$L$42,2,FALSE)</f>
        <v>#N/A</v>
      </c>
      <c r="S38" s="10" t="e">
        <f>VLOOKUP(AJ30,'FRC Site Data'!$B$3:$L$42,3,FALSE)</f>
        <v>#N/A</v>
      </c>
      <c r="T38" s="10" t="e">
        <f>VLOOKUP(AJ30,'FRC Site Data'!$B$3:$L$42,4,FALSE)</f>
        <v>#N/A</v>
      </c>
      <c r="U38" s="10" t="e">
        <f>VLOOKUP(AJ30,'FRC Site Data'!$B$3:$L$42,5,FALSE)</f>
        <v>#N/A</v>
      </c>
      <c r="V38" s="10" t="e">
        <f>VLOOKUP(AJ30,'FRC Site Data'!$B$3:$L$42,6,FALSE)</f>
        <v>#N/A</v>
      </c>
      <c r="W38" s="10" t="e">
        <f>VLOOKUP(AJ30,'FRC Site Data'!$B$3:$L$42,8,FALSE)</f>
        <v>#N/A</v>
      </c>
      <c r="X38" s="10" t="e">
        <f>VLOOKUP(AJ30,'FRC Site Data'!$B$3:$L$42,9,FALSE)</f>
        <v>#N/A</v>
      </c>
      <c r="Y38" s="10" t="e">
        <f>VLOOKUP(AJ30,'FRC Site Data'!$B$3:$L$42,10,FALSE)</f>
        <v>#N/A</v>
      </c>
      <c r="Z38" s="10" t="e">
        <f>VLOOKUP(AJ30,'FRC Site Data'!$B$3:$L$42,11,FALSE)</f>
        <v>#N/A</v>
      </c>
      <c r="AA38" s="10" t="e">
        <f>VLOOKUP(AJ30,'CIR Team Info'!$C$5:$E$44,4,FALSE)</f>
        <v>#N/A</v>
      </c>
      <c r="AB38" s="161" t="b">
        <f>ISNUMBER(VLOOKUP(AJ30,Match!$T$5:$T$10,1,FALSE))</f>
        <v>0</v>
      </c>
      <c r="AC38" s="161" t="b">
        <f>IF(AB38=TRUE,(VLOOKUP($AJ30,Match!$T$5:$U$10,2,FALSE)))</f>
        <v>0</v>
      </c>
      <c r="AD38" s="8">
        <v>3</v>
      </c>
      <c r="AE38" s="8">
        <v>2</v>
      </c>
      <c r="AF38" s="8">
        <v>2</v>
      </c>
      <c r="AG38" s="8">
        <v>1</v>
      </c>
      <c r="AH38" s="8" t="str">
        <f t="shared" si="15"/>
        <v/>
      </c>
      <c r="BA38" s="24"/>
      <c r="BC38" s="12"/>
      <c r="BS38" s="127"/>
    </row>
    <row r="39" spans="1:71" x14ac:dyDescent="0.25">
      <c r="A39" s="29">
        <f t="shared" si="0"/>
        <v>0</v>
      </c>
      <c r="B39" s="29">
        <f t="shared" si="2"/>
        <v>0</v>
      </c>
      <c r="C39" s="29">
        <f t="shared" si="3"/>
        <v>0</v>
      </c>
      <c r="D39" s="29">
        <f t="shared" si="4"/>
        <v>0</v>
      </c>
      <c r="E39" s="29">
        <f t="shared" si="1"/>
        <v>0</v>
      </c>
      <c r="F39" s="29">
        <f t="shared" si="16"/>
        <v>0</v>
      </c>
      <c r="G39" s="29" t="str">
        <f t="shared" si="17"/>
        <v>offensive</v>
      </c>
      <c r="H39" s="16">
        <f t="shared" si="7"/>
        <v>0</v>
      </c>
      <c r="I39" s="16">
        <f t="shared" si="8"/>
        <v>0</v>
      </c>
      <c r="J39" s="16">
        <f t="shared" si="9"/>
        <v>0</v>
      </c>
      <c r="K39" s="16">
        <f t="shared" si="18"/>
        <v>0</v>
      </c>
      <c r="L39" s="67">
        <f t="shared" si="19"/>
        <v>0</v>
      </c>
      <c r="M39" s="4">
        <f t="shared" si="12"/>
        <v>0</v>
      </c>
      <c r="N39" s="4">
        <f t="shared" si="20"/>
        <v>0</v>
      </c>
      <c r="O39" s="4">
        <f t="shared" si="21"/>
        <v>0</v>
      </c>
      <c r="P39" s="4" t="e">
        <f>VLOOKUP(AJ31,'CIR Team Info'!$C$5:$E$44,2,FALSE)</f>
        <v>#N/A</v>
      </c>
      <c r="Q39" s="4" t="e">
        <f>VLOOKUP(AJ31,'CIR Team Info'!$C$5:$E$44,3,FALSE)</f>
        <v>#N/A</v>
      </c>
      <c r="R39" s="10" t="e">
        <f>VLOOKUP(AJ31,'FRC Site Data'!$B$3:$L$42,2,FALSE)</f>
        <v>#N/A</v>
      </c>
      <c r="S39" s="10" t="e">
        <f>VLOOKUP(AJ31,'FRC Site Data'!$B$3:$L$42,3,FALSE)</f>
        <v>#N/A</v>
      </c>
      <c r="T39" s="10" t="e">
        <f>VLOOKUP(AJ31,'FRC Site Data'!$B$3:$L$42,4,FALSE)</f>
        <v>#N/A</v>
      </c>
      <c r="U39" s="10" t="e">
        <f>VLOOKUP(AJ31,'FRC Site Data'!$B$3:$L$42,5,FALSE)</f>
        <v>#N/A</v>
      </c>
      <c r="V39" s="10" t="e">
        <f>VLOOKUP(AJ31,'FRC Site Data'!$B$3:$L$42,6,FALSE)</f>
        <v>#N/A</v>
      </c>
      <c r="W39" s="10" t="e">
        <f>VLOOKUP(AJ31,'FRC Site Data'!$B$3:$L$42,8,FALSE)</f>
        <v>#N/A</v>
      </c>
      <c r="X39" s="10" t="e">
        <f>VLOOKUP(AJ31,'FRC Site Data'!$B$3:$L$42,9,FALSE)</f>
        <v>#N/A</v>
      </c>
      <c r="Y39" s="10" t="e">
        <f>VLOOKUP(AJ31,'FRC Site Data'!$B$3:$L$42,10,FALSE)</f>
        <v>#N/A</v>
      </c>
      <c r="Z39" s="10" t="e">
        <f>VLOOKUP(AJ31,'FRC Site Data'!$B$3:$L$42,11,FALSE)</f>
        <v>#N/A</v>
      </c>
      <c r="AA39" s="10" t="e">
        <f>VLOOKUP(AJ31,'CIR Team Info'!$C$5:$E$44,4,FALSE)</f>
        <v>#N/A</v>
      </c>
      <c r="AB39" s="161" t="b">
        <f>ISNUMBER(VLOOKUP(AJ31,Match!$T$5:$T$10,1,FALSE))</f>
        <v>0</v>
      </c>
      <c r="AC39" s="161" t="b">
        <f>IF(AB39=TRUE,(VLOOKUP($AJ31,Match!$T$5:$U$10,2,FALSE)))</f>
        <v>0</v>
      </c>
      <c r="AD39" s="8">
        <v>3</v>
      </c>
      <c r="AE39" s="8">
        <v>2</v>
      </c>
      <c r="AF39" s="8">
        <v>2</v>
      </c>
      <c r="AG39" s="8">
        <v>1</v>
      </c>
      <c r="AH39" s="8" t="str">
        <f t="shared" si="15"/>
        <v/>
      </c>
      <c r="BA39" s="24"/>
      <c r="BC39" s="12"/>
      <c r="BS39" s="127"/>
    </row>
    <row r="40" spans="1:71" x14ac:dyDescent="0.25">
      <c r="A40" s="29">
        <f t="shared" si="0"/>
        <v>0</v>
      </c>
      <c r="B40" s="29">
        <f t="shared" si="2"/>
        <v>0</v>
      </c>
      <c r="C40" s="29">
        <f t="shared" si="3"/>
        <v>0</v>
      </c>
      <c r="D40" s="29">
        <f t="shared" si="4"/>
        <v>0</v>
      </c>
      <c r="E40" s="29">
        <f t="shared" si="1"/>
        <v>0</v>
      </c>
      <c r="F40" s="29">
        <f t="shared" si="16"/>
        <v>0</v>
      </c>
      <c r="G40" s="29" t="str">
        <f t="shared" si="17"/>
        <v>offensive</v>
      </c>
      <c r="H40" s="16">
        <f t="shared" si="7"/>
        <v>0</v>
      </c>
      <c r="I40" s="16">
        <f t="shared" si="8"/>
        <v>0</v>
      </c>
      <c r="J40" s="16">
        <f t="shared" si="9"/>
        <v>0</v>
      </c>
      <c r="K40" s="16">
        <f t="shared" si="18"/>
        <v>0</v>
      </c>
      <c r="L40" s="67">
        <f t="shared" si="19"/>
        <v>0</v>
      </c>
      <c r="M40" s="4">
        <f t="shared" si="12"/>
        <v>0</v>
      </c>
      <c r="N40" s="4">
        <f t="shared" si="20"/>
        <v>0</v>
      </c>
      <c r="O40" s="4">
        <f t="shared" si="21"/>
        <v>0</v>
      </c>
      <c r="P40" s="4" t="e">
        <f>VLOOKUP(AJ32,'CIR Team Info'!$C$5:$E$44,2,FALSE)</f>
        <v>#N/A</v>
      </c>
      <c r="Q40" s="4" t="e">
        <f>VLOOKUP(AJ32,'CIR Team Info'!$C$5:$E$44,3,FALSE)</f>
        <v>#N/A</v>
      </c>
      <c r="R40" s="10" t="e">
        <f>VLOOKUP(AJ32,'FRC Site Data'!$B$3:$L$42,2,FALSE)</f>
        <v>#N/A</v>
      </c>
      <c r="S40" s="10" t="e">
        <f>VLOOKUP(AJ32,'FRC Site Data'!$B$3:$L$42,3,FALSE)</f>
        <v>#N/A</v>
      </c>
      <c r="T40" s="10" t="e">
        <f>VLOOKUP(AJ32,'FRC Site Data'!$B$3:$L$42,4,FALSE)</f>
        <v>#N/A</v>
      </c>
      <c r="U40" s="10" t="e">
        <f>VLOOKUP(AJ32,'FRC Site Data'!$B$3:$L$42,5,FALSE)</f>
        <v>#N/A</v>
      </c>
      <c r="V40" s="10" t="e">
        <f>VLOOKUP(AJ32,'FRC Site Data'!$B$3:$L$42,6,FALSE)</f>
        <v>#N/A</v>
      </c>
      <c r="W40" s="10" t="e">
        <f>VLOOKUP(AJ32,'FRC Site Data'!$B$3:$L$42,8,FALSE)</f>
        <v>#N/A</v>
      </c>
      <c r="X40" s="10" t="e">
        <f>VLOOKUP(AJ32,'FRC Site Data'!$B$3:$L$42,9,FALSE)</f>
        <v>#N/A</v>
      </c>
      <c r="Y40" s="10" t="e">
        <f>VLOOKUP(AJ32,'FRC Site Data'!$B$3:$L$42,10,FALSE)</f>
        <v>#N/A</v>
      </c>
      <c r="Z40" s="10" t="e">
        <f>VLOOKUP(AJ32,'FRC Site Data'!$B$3:$L$42,11,FALSE)</f>
        <v>#N/A</v>
      </c>
      <c r="AA40" s="10" t="e">
        <f>VLOOKUP(AJ32,'CIR Team Info'!$C$5:$E$44,4,FALSE)</f>
        <v>#N/A</v>
      </c>
      <c r="AB40" s="161" t="b">
        <f>ISNUMBER(VLOOKUP(AJ32,Match!$T$5:$T$10,1,FALSE))</f>
        <v>0</v>
      </c>
      <c r="AC40" s="161" t="b">
        <f>IF(AB40=TRUE,(VLOOKUP($AJ32,Match!$T$5:$U$10,2,FALSE)))</f>
        <v>0</v>
      </c>
      <c r="AD40" s="8">
        <v>3</v>
      </c>
      <c r="AE40" s="8">
        <v>2</v>
      </c>
      <c r="AF40" s="8">
        <v>2</v>
      </c>
      <c r="AG40" s="8">
        <v>1</v>
      </c>
      <c r="AH40" s="8" t="str">
        <f t="shared" ref="AH40:AH71" si="22">IF(AL32="Other","x","")</f>
        <v/>
      </c>
      <c r="BA40" s="24"/>
      <c r="BC40" s="12"/>
      <c r="BS40" s="127"/>
    </row>
    <row r="41" spans="1:71" x14ac:dyDescent="0.25">
      <c r="A41" s="29">
        <f t="shared" si="0"/>
        <v>0</v>
      </c>
      <c r="B41" s="29">
        <f t="shared" si="2"/>
        <v>0</v>
      </c>
      <c r="C41" s="29">
        <f t="shared" si="3"/>
        <v>0</v>
      </c>
      <c r="D41" s="29">
        <f t="shared" si="4"/>
        <v>0</v>
      </c>
      <c r="E41" s="29">
        <f t="shared" si="1"/>
        <v>0</v>
      </c>
      <c r="F41" s="29">
        <f t="shared" si="16"/>
        <v>0</v>
      </c>
      <c r="G41" s="29" t="str">
        <f t="shared" si="17"/>
        <v>offensive</v>
      </c>
      <c r="H41" s="16">
        <f t="shared" si="7"/>
        <v>0</v>
      </c>
      <c r="I41" s="16">
        <f t="shared" si="8"/>
        <v>0</v>
      </c>
      <c r="J41" s="16">
        <f t="shared" si="9"/>
        <v>0</v>
      </c>
      <c r="K41" s="16">
        <f t="shared" si="18"/>
        <v>0</v>
      </c>
      <c r="L41" s="67">
        <f t="shared" si="19"/>
        <v>0</v>
      </c>
      <c r="M41" s="4">
        <f t="shared" si="12"/>
        <v>0</v>
      </c>
      <c r="N41" s="4">
        <f t="shared" si="20"/>
        <v>0</v>
      </c>
      <c r="O41" s="4">
        <f t="shared" si="21"/>
        <v>0</v>
      </c>
      <c r="P41" s="4" t="e">
        <f>VLOOKUP(AJ33,'CIR Team Info'!$C$5:$E$44,2,FALSE)</f>
        <v>#N/A</v>
      </c>
      <c r="Q41" s="4" t="e">
        <f>VLOOKUP(AJ33,'CIR Team Info'!$C$5:$E$44,3,FALSE)</f>
        <v>#N/A</v>
      </c>
      <c r="R41" s="10" t="e">
        <f>VLOOKUP(AJ33,'FRC Site Data'!$B$3:$L$42,2,FALSE)</f>
        <v>#N/A</v>
      </c>
      <c r="S41" s="10" t="e">
        <f>VLOOKUP(AJ33,'FRC Site Data'!$B$3:$L$42,3,FALSE)</f>
        <v>#N/A</v>
      </c>
      <c r="T41" s="10" t="e">
        <f>VLOOKUP(AJ33,'FRC Site Data'!$B$3:$L$42,4,FALSE)</f>
        <v>#N/A</v>
      </c>
      <c r="U41" s="10" t="e">
        <f>VLOOKUP(AJ33,'FRC Site Data'!$B$3:$L$42,5,FALSE)</f>
        <v>#N/A</v>
      </c>
      <c r="V41" s="10" t="e">
        <f>VLOOKUP(AJ33,'FRC Site Data'!$B$3:$L$42,6,FALSE)</f>
        <v>#N/A</v>
      </c>
      <c r="W41" s="10" t="e">
        <f>VLOOKUP(AJ33,'FRC Site Data'!$B$3:$L$42,8,FALSE)</f>
        <v>#N/A</v>
      </c>
      <c r="X41" s="10" t="e">
        <f>VLOOKUP(AJ33,'FRC Site Data'!$B$3:$L$42,9,FALSE)</f>
        <v>#N/A</v>
      </c>
      <c r="Y41" s="10" t="e">
        <f>VLOOKUP(AJ33,'FRC Site Data'!$B$3:$L$42,10,FALSE)</f>
        <v>#N/A</v>
      </c>
      <c r="Z41" s="10" t="e">
        <f>VLOOKUP(AJ33,'FRC Site Data'!$B$3:$L$42,11,FALSE)</f>
        <v>#N/A</v>
      </c>
      <c r="AA41" s="10" t="e">
        <f>VLOOKUP(AJ33,'CIR Team Info'!$C$5:$E$44,4,FALSE)</f>
        <v>#N/A</v>
      </c>
      <c r="AB41" s="161" t="b">
        <f>ISNUMBER(VLOOKUP(AJ33,Match!$T$5:$T$10,1,FALSE))</f>
        <v>0</v>
      </c>
      <c r="AC41" s="161" t="b">
        <f>IF(AB41=TRUE,(VLOOKUP($AJ33,Match!$T$5:$U$10,2,FALSE)))</f>
        <v>0</v>
      </c>
      <c r="AD41" s="8">
        <v>3</v>
      </c>
      <c r="AE41" s="8">
        <v>2</v>
      </c>
      <c r="AF41" s="8">
        <v>2</v>
      </c>
      <c r="AG41" s="8">
        <v>1</v>
      </c>
      <c r="AH41" s="8" t="str">
        <f t="shared" si="22"/>
        <v/>
      </c>
      <c r="BA41" s="24"/>
      <c r="BC41" s="12"/>
      <c r="BS41" s="127"/>
    </row>
    <row r="42" spans="1:71" x14ac:dyDescent="0.25">
      <c r="A42" s="29">
        <f t="shared" si="0"/>
        <v>0</v>
      </c>
      <c r="B42" s="29">
        <f t="shared" si="2"/>
        <v>0</v>
      </c>
      <c r="C42" s="29">
        <f t="shared" si="3"/>
        <v>0</v>
      </c>
      <c r="D42" s="29">
        <f t="shared" si="4"/>
        <v>0</v>
      </c>
      <c r="E42" s="29">
        <f t="shared" si="1"/>
        <v>0</v>
      </c>
      <c r="F42" s="29">
        <f t="shared" si="16"/>
        <v>0</v>
      </c>
      <c r="G42" s="29" t="str">
        <f t="shared" si="17"/>
        <v>offensive</v>
      </c>
      <c r="H42" s="16">
        <f t="shared" si="7"/>
        <v>0</v>
      </c>
      <c r="I42" s="16">
        <f t="shared" si="8"/>
        <v>0</v>
      </c>
      <c r="J42" s="16">
        <f t="shared" si="9"/>
        <v>0</v>
      </c>
      <c r="K42" s="16">
        <f t="shared" si="18"/>
        <v>0</v>
      </c>
      <c r="L42" s="67">
        <f t="shared" si="19"/>
        <v>0</v>
      </c>
      <c r="M42" s="4">
        <f t="shared" si="12"/>
        <v>0</v>
      </c>
      <c r="N42" s="4">
        <f t="shared" si="20"/>
        <v>0</v>
      </c>
      <c r="O42" s="4">
        <f t="shared" si="21"/>
        <v>0</v>
      </c>
      <c r="P42" s="4" t="e">
        <f>VLOOKUP(AJ34,'CIR Team Info'!$C$5:$E$44,2,FALSE)</f>
        <v>#N/A</v>
      </c>
      <c r="Q42" s="4" t="e">
        <f>VLOOKUP(AJ34,'CIR Team Info'!$C$5:$E$44,3,FALSE)</f>
        <v>#N/A</v>
      </c>
      <c r="R42" s="10" t="e">
        <f>VLOOKUP(AJ34,'FRC Site Data'!$B$3:$L$42,2,FALSE)</f>
        <v>#N/A</v>
      </c>
      <c r="S42" s="10" t="e">
        <f>VLOOKUP(AJ34,'FRC Site Data'!$B$3:$L$42,3,FALSE)</f>
        <v>#N/A</v>
      </c>
      <c r="T42" s="10" t="e">
        <f>VLOOKUP(AJ34,'FRC Site Data'!$B$3:$L$42,4,FALSE)</f>
        <v>#N/A</v>
      </c>
      <c r="U42" s="10" t="e">
        <f>VLOOKUP(AJ34,'FRC Site Data'!$B$3:$L$42,5,FALSE)</f>
        <v>#N/A</v>
      </c>
      <c r="V42" s="10" t="e">
        <f>VLOOKUP(AJ34,'FRC Site Data'!$B$3:$L$42,6,FALSE)</f>
        <v>#N/A</v>
      </c>
      <c r="W42" s="10" t="e">
        <f>VLOOKUP(AJ34,'FRC Site Data'!$B$3:$L$42,8,FALSE)</f>
        <v>#N/A</v>
      </c>
      <c r="X42" s="10" t="e">
        <f>VLOOKUP(AJ34,'FRC Site Data'!$B$3:$L$42,9,FALSE)</f>
        <v>#N/A</v>
      </c>
      <c r="Y42" s="10" t="e">
        <f>VLOOKUP(AJ34,'FRC Site Data'!$B$3:$L$42,10,FALSE)</f>
        <v>#N/A</v>
      </c>
      <c r="Z42" s="10" t="e">
        <f>VLOOKUP(AJ34,'FRC Site Data'!$B$3:$L$42,11,FALSE)</f>
        <v>#N/A</v>
      </c>
      <c r="AA42" s="10" t="e">
        <f>VLOOKUP(AJ34,'CIR Team Info'!$C$5:$E$44,4,FALSE)</f>
        <v>#N/A</v>
      </c>
      <c r="AB42" s="161" t="b">
        <f>ISNUMBER(VLOOKUP(AJ34,Match!$T$5:$T$10,1,FALSE))</f>
        <v>0</v>
      </c>
      <c r="AC42" s="161" t="b">
        <f>IF(AB42=TRUE,(VLOOKUP($AJ34,Match!$T$5:$U$10,2,FALSE)))</f>
        <v>0</v>
      </c>
      <c r="AD42" s="8">
        <v>3</v>
      </c>
      <c r="AE42" s="8">
        <v>2</v>
      </c>
      <c r="AF42" s="8">
        <v>2</v>
      </c>
      <c r="AG42" s="8">
        <v>1</v>
      </c>
      <c r="AH42" s="8" t="str">
        <f t="shared" si="22"/>
        <v/>
      </c>
      <c r="BA42" s="24"/>
      <c r="BC42" s="12"/>
      <c r="BS42" s="127"/>
    </row>
    <row r="43" spans="1:71" x14ac:dyDescent="0.25">
      <c r="A43" s="29">
        <f t="shared" si="0"/>
        <v>0</v>
      </c>
      <c r="B43" s="29">
        <f t="shared" si="2"/>
        <v>0</v>
      </c>
      <c r="C43" s="29">
        <f t="shared" si="3"/>
        <v>0</v>
      </c>
      <c r="D43" s="29">
        <f t="shared" si="4"/>
        <v>0</v>
      </c>
      <c r="E43" s="29">
        <f t="shared" si="1"/>
        <v>0</v>
      </c>
      <c r="F43" s="29">
        <f t="shared" si="16"/>
        <v>0</v>
      </c>
      <c r="G43" s="29" t="str">
        <f t="shared" si="17"/>
        <v>offensive</v>
      </c>
      <c r="H43" s="16">
        <f t="shared" si="7"/>
        <v>0</v>
      </c>
      <c r="I43" s="16">
        <f t="shared" si="8"/>
        <v>0</v>
      </c>
      <c r="J43" s="16">
        <f t="shared" si="9"/>
        <v>0</v>
      </c>
      <c r="K43" s="16">
        <f t="shared" si="18"/>
        <v>0</v>
      </c>
      <c r="L43" s="67">
        <f t="shared" si="19"/>
        <v>0</v>
      </c>
      <c r="M43" s="4">
        <f t="shared" si="12"/>
        <v>0</v>
      </c>
      <c r="N43" s="4">
        <f t="shared" si="20"/>
        <v>0</v>
      </c>
      <c r="O43" s="4">
        <f t="shared" si="21"/>
        <v>0</v>
      </c>
      <c r="P43" s="4" t="e">
        <f>VLOOKUP(AJ35,'CIR Team Info'!$C$5:$E$44,2,FALSE)</f>
        <v>#N/A</v>
      </c>
      <c r="Q43" s="4" t="e">
        <f>VLOOKUP(AJ35,'CIR Team Info'!$C$5:$E$44,3,FALSE)</f>
        <v>#N/A</v>
      </c>
      <c r="R43" s="10" t="e">
        <f>VLOOKUP(AJ35,'FRC Site Data'!$B$3:$L$42,2,FALSE)</f>
        <v>#N/A</v>
      </c>
      <c r="S43" s="10" t="e">
        <f>VLOOKUP(AJ35,'FRC Site Data'!$B$3:$L$42,3,FALSE)</f>
        <v>#N/A</v>
      </c>
      <c r="T43" s="10" t="e">
        <f>VLOOKUP(AJ35,'FRC Site Data'!$B$3:$L$42,4,FALSE)</f>
        <v>#N/A</v>
      </c>
      <c r="U43" s="10" t="e">
        <f>VLOOKUP(AJ35,'FRC Site Data'!$B$3:$L$42,5,FALSE)</f>
        <v>#N/A</v>
      </c>
      <c r="V43" s="10" t="e">
        <f>VLOOKUP(AJ35,'FRC Site Data'!$B$3:$L$42,6,FALSE)</f>
        <v>#N/A</v>
      </c>
      <c r="W43" s="10" t="e">
        <f>VLOOKUP(AJ35,'FRC Site Data'!$B$3:$L$42,8,FALSE)</f>
        <v>#N/A</v>
      </c>
      <c r="X43" s="10" t="e">
        <f>VLOOKUP(AJ35,'FRC Site Data'!$B$3:$L$42,9,FALSE)</f>
        <v>#N/A</v>
      </c>
      <c r="Y43" s="10" t="e">
        <f>VLOOKUP(AJ35,'FRC Site Data'!$B$3:$L$42,10,FALSE)</f>
        <v>#N/A</v>
      </c>
      <c r="Z43" s="10" t="e">
        <f>VLOOKUP(AJ35,'FRC Site Data'!$B$3:$L$42,11,FALSE)</f>
        <v>#N/A</v>
      </c>
      <c r="AA43" s="10" t="e">
        <f>VLOOKUP(AJ35,'CIR Team Info'!$C$5:$E$44,4,FALSE)</f>
        <v>#N/A</v>
      </c>
      <c r="AB43" s="161" t="b">
        <f>ISNUMBER(VLOOKUP(AJ35,Match!$T$5:$T$10,1,FALSE))</f>
        <v>0</v>
      </c>
      <c r="AC43" s="161" t="b">
        <f>IF(AB43=TRUE,(VLOOKUP($AJ35,Match!$T$5:$U$10,2,FALSE)))</f>
        <v>0</v>
      </c>
      <c r="AD43" s="8">
        <v>3</v>
      </c>
      <c r="AE43" s="8">
        <v>2</v>
      </c>
      <c r="AF43" s="8">
        <v>2</v>
      </c>
      <c r="AG43" s="8">
        <v>1</v>
      </c>
      <c r="AH43" s="8" t="str">
        <f t="shared" si="22"/>
        <v/>
      </c>
      <c r="BA43" s="24"/>
      <c r="BC43" s="12"/>
      <c r="BS43" s="127"/>
    </row>
    <row r="44" spans="1:71" x14ac:dyDescent="0.25">
      <c r="A44" s="29">
        <f t="shared" si="0"/>
        <v>0</v>
      </c>
      <c r="B44" s="29">
        <f t="shared" si="2"/>
        <v>0</v>
      </c>
      <c r="C44" s="29">
        <f t="shared" si="3"/>
        <v>0</v>
      </c>
      <c r="D44" s="29">
        <f t="shared" si="4"/>
        <v>0</v>
      </c>
      <c r="E44" s="29">
        <f t="shared" si="1"/>
        <v>0</v>
      </c>
      <c r="F44" s="29">
        <f t="shared" si="16"/>
        <v>0</v>
      </c>
      <c r="G44" s="29" t="str">
        <f t="shared" si="17"/>
        <v>offensive</v>
      </c>
      <c r="H44" s="16">
        <f t="shared" si="7"/>
        <v>0</v>
      </c>
      <c r="I44" s="16">
        <f t="shared" si="8"/>
        <v>0</v>
      </c>
      <c r="J44" s="16">
        <f t="shared" si="9"/>
        <v>0</v>
      </c>
      <c r="K44" s="16">
        <f t="shared" si="18"/>
        <v>0</v>
      </c>
      <c r="L44" s="67">
        <f t="shared" si="19"/>
        <v>0</v>
      </c>
      <c r="M44" s="4">
        <f t="shared" si="12"/>
        <v>0</v>
      </c>
      <c r="N44" s="4">
        <f t="shared" si="20"/>
        <v>0</v>
      </c>
      <c r="O44" s="4">
        <f t="shared" si="21"/>
        <v>0</v>
      </c>
      <c r="P44" s="4" t="e">
        <f>VLOOKUP(AJ36,'CIR Team Info'!$C$5:$E$44,2,FALSE)</f>
        <v>#N/A</v>
      </c>
      <c r="Q44" s="4" t="e">
        <f>VLOOKUP(AJ36,'CIR Team Info'!$C$5:$E$44,3,FALSE)</f>
        <v>#N/A</v>
      </c>
      <c r="R44" s="10" t="e">
        <f>VLOOKUP(AJ36,'FRC Site Data'!$B$3:$L$42,2,FALSE)</f>
        <v>#N/A</v>
      </c>
      <c r="S44" s="10" t="e">
        <f>VLOOKUP(AJ36,'FRC Site Data'!$B$3:$L$42,3,FALSE)</f>
        <v>#N/A</v>
      </c>
      <c r="T44" s="10" t="e">
        <f>VLOOKUP(AJ36,'FRC Site Data'!$B$3:$L$42,4,FALSE)</f>
        <v>#N/A</v>
      </c>
      <c r="U44" s="10" t="e">
        <f>VLOOKUP(AJ36,'FRC Site Data'!$B$3:$L$42,5,FALSE)</f>
        <v>#N/A</v>
      </c>
      <c r="V44" s="10" t="e">
        <f>VLOOKUP(AJ36,'FRC Site Data'!$B$3:$L$42,6,FALSE)</f>
        <v>#N/A</v>
      </c>
      <c r="W44" s="10" t="e">
        <f>VLOOKUP(AJ36,'FRC Site Data'!$B$3:$L$42,8,FALSE)</f>
        <v>#N/A</v>
      </c>
      <c r="X44" s="10" t="e">
        <f>VLOOKUP(AJ36,'FRC Site Data'!$B$3:$L$42,9,FALSE)</f>
        <v>#N/A</v>
      </c>
      <c r="Y44" s="10" t="e">
        <f>VLOOKUP(AJ36,'FRC Site Data'!$B$3:$L$42,10,FALSE)</f>
        <v>#N/A</v>
      </c>
      <c r="Z44" s="10" t="e">
        <f>VLOOKUP(AJ36,'FRC Site Data'!$B$3:$L$42,11,FALSE)</f>
        <v>#N/A</v>
      </c>
      <c r="AA44" s="10" t="e">
        <f>VLOOKUP(AJ36,'CIR Team Info'!$C$5:$E$44,4,FALSE)</f>
        <v>#N/A</v>
      </c>
      <c r="AB44" s="161" t="b">
        <f>ISNUMBER(VLOOKUP(AJ36,Match!$T$5:$T$10,1,FALSE))</f>
        <v>0</v>
      </c>
      <c r="AC44" s="161" t="b">
        <f>IF(AB44=TRUE,(VLOOKUP($AJ36,Match!$T$5:$U$10,2,FALSE)))</f>
        <v>0</v>
      </c>
      <c r="AD44" s="8">
        <v>3</v>
      </c>
      <c r="AE44" s="8">
        <v>2</v>
      </c>
      <c r="AF44" s="8">
        <v>2</v>
      </c>
      <c r="AG44" s="8">
        <v>1</v>
      </c>
      <c r="AH44" s="8" t="str">
        <f t="shared" si="22"/>
        <v/>
      </c>
      <c r="BA44" s="24"/>
      <c r="BC44" s="12"/>
      <c r="BS44" s="127"/>
    </row>
    <row r="45" spans="1:71" x14ac:dyDescent="0.25">
      <c r="A45" s="29">
        <f t="shared" si="0"/>
        <v>0</v>
      </c>
      <c r="B45" s="29">
        <f t="shared" si="2"/>
        <v>0</v>
      </c>
      <c r="C45" s="29">
        <f t="shared" si="3"/>
        <v>0</v>
      </c>
      <c r="D45" s="29">
        <f t="shared" si="4"/>
        <v>0</v>
      </c>
      <c r="E45" s="29">
        <f t="shared" si="1"/>
        <v>0</v>
      </c>
      <c r="F45" s="29">
        <f t="shared" si="16"/>
        <v>0</v>
      </c>
      <c r="G45" s="29" t="str">
        <f t="shared" si="17"/>
        <v>offensive</v>
      </c>
      <c r="H45" s="16">
        <f t="shared" si="7"/>
        <v>0</v>
      </c>
      <c r="I45" s="16">
        <f t="shared" si="8"/>
        <v>0</v>
      </c>
      <c r="J45" s="16">
        <f t="shared" si="9"/>
        <v>0</v>
      </c>
      <c r="K45" s="16">
        <f t="shared" si="18"/>
        <v>0</v>
      </c>
      <c r="L45" s="67">
        <f t="shared" si="19"/>
        <v>0</v>
      </c>
      <c r="M45" s="4">
        <f t="shared" si="12"/>
        <v>0</v>
      </c>
      <c r="N45" s="4">
        <f t="shared" si="20"/>
        <v>0</v>
      </c>
      <c r="O45" s="4">
        <f t="shared" si="21"/>
        <v>0</v>
      </c>
      <c r="P45" s="4" t="e">
        <f>VLOOKUP(AJ37,'CIR Team Info'!$C$5:$E$44,2,FALSE)</f>
        <v>#N/A</v>
      </c>
      <c r="Q45" s="4" t="e">
        <f>VLOOKUP(AJ37,'CIR Team Info'!$C$5:$E$44,3,FALSE)</f>
        <v>#N/A</v>
      </c>
      <c r="R45" s="10" t="e">
        <f>VLOOKUP(AJ37,'FRC Site Data'!$B$3:$L$42,2,FALSE)</f>
        <v>#N/A</v>
      </c>
      <c r="S45" s="10" t="e">
        <f>VLOOKUP(AJ37,'FRC Site Data'!$B$3:$L$42,3,FALSE)</f>
        <v>#N/A</v>
      </c>
      <c r="T45" s="10" t="e">
        <f>VLOOKUP(AJ37,'FRC Site Data'!$B$3:$L$42,4,FALSE)</f>
        <v>#N/A</v>
      </c>
      <c r="U45" s="10" t="e">
        <f>VLOOKUP(AJ37,'FRC Site Data'!$B$3:$L$42,5,FALSE)</f>
        <v>#N/A</v>
      </c>
      <c r="V45" s="10" t="e">
        <f>VLOOKUP(AJ37,'FRC Site Data'!$B$3:$L$42,6,FALSE)</f>
        <v>#N/A</v>
      </c>
      <c r="W45" s="10" t="e">
        <f>VLOOKUP(AJ37,'FRC Site Data'!$B$3:$L$42,8,FALSE)</f>
        <v>#N/A</v>
      </c>
      <c r="X45" s="10" t="e">
        <f>VLOOKUP(AJ37,'FRC Site Data'!$B$3:$L$42,9,FALSE)</f>
        <v>#N/A</v>
      </c>
      <c r="Y45" s="10" t="e">
        <f>VLOOKUP(AJ37,'FRC Site Data'!$B$3:$L$42,10,FALSE)</f>
        <v>#N/A</v>
      </c>
      <c r="Z45" s="10" t="e">
        <f>VLOOKUP(AJ37,'FRC Site Data'!$B$3:$L$42,11,FALSE)</f>
        <v>#N/A</v>
      </c>
      <c r="AA45" s="10" t="e">
        <f>VLOOKUP(AJ37,'CIR Team Info'!$C$5:$E$44,4,FALSE)</f>
        <v>#N/A</v>
      </c>
      <c r="AB45" s="161" t="b">
        <f>ISNUMBER(VLOOKUP(AJ37,Match!$T$5:$T$10,1,FALSE))</f>
        <v>0</v>
      </c>
      <c r="AC45" s="161" t="b">
        <f>IF(AB45=TRUE,(VLOOKUP($AJ37,Match!$T$5:$U$10,2,FALSE)))</f>
        <v>0</v>
      </c>
      <c r="AD45" s="8">
        <v>3</v>
      </c>
      <c r="AE45" s="8">
        <v>2</v>
      </c>
      <c r="AF45" s="8">
        <v>2</v>
      </c>
      <c r="AG45" s="8">
        <v>1</v>
      </c>
      <c r="AH45" s="8" t="str">
        <f t="shared" si="22"/>
        <v/>
      </c>
      <c r="BA45" s="24"/>
      <c r="BC45" s="12"/>
      <c r="BS45" s="127"/>
    </row>
    <row r="46" spans="1:71" x14ac:dyDescent="0.25">
      <c r="A46" s="29">
        <f t="shared" si="0"/>
        <v>0</v>
      </c>
      <c r="B46" s="29">
        <f t="shared" si="2"/>
        <v>0</v>
      </c>
      <c r="C46" s="29">
        <f t="shared" si="3"/>
        <v>0</v>
      </c>
      <c r="D46" s="29">
        <f t="shared" si="4"/>
        <v>0</v>
      </c>
      <c r="E46" s="29">
        <f t="shared" si="1"/>
        <v>0</v>
      </c>
      <c r="F46" s="29">
        <f t="shared" si="16"/>
        <v>0</v>
      </c>
      <c r="G46" s="29" t="str">
        <f t="shared" si="17"/>
        <v>offensive</v>
      </c>
      <c r="H46" s="16">
        <f t="shared" si="7"/>
        <v>0</v>
      </c>
      <c r="I46" s="16">
        <f t="shared" si="8"/>
        <v>0</v>
      </c>
      <c r="J46" s="16">
        <f t="shared" si="9"/>
        <v>0</v>
      </c>
      <c r="K46" s="16">
        <f t="shared" si="18"/>
        <v>0</v>
      </c>
      <c r="L46" s="67">
        <f t="shared" si="19"/>
        <v>0</v>
      </c>
      <c r="M46" s="4">
        <f t="shared" si="12"/>
        <v>0</v>
      </c>
      <c r="N46" s="4">
        <f t="shared" si="20"/>
        <v>0</v>
      </c>
      <c r="O46" s="4">
        <f t="shared" si="21"/>
        <v>0</v>
      </c>
      <c r="P46" s="4" t="e">
        <f>VLOOKUP(AJ38,'CIR Team Info'!$C$5:$E$44,2,FALSE)</f>
        <v>#N/A</v>
      </c>
      <c r="Q46" s="4" t="e">
        <f>VLOOKUP(AJ38,'CIR Team Info'!$C$5:$E$44,3,FALSE)</f>
        <v>#N/A</v>
      </c>
      <c r="R46" s="10" t="e">
        <f>VLOOKUP(AJ38,'FRC Site Data'!$B$3:$L$42,2,FALSE)</f>
        <v>#N/A</v>
      </c>
      <c r="S46" s="10" t="e">
        <f>VLOOKUP(AJ38,'FRC Site Data'!$B$3:$L$42,3,FALSE)</f>
        <v>#N/A</v>
      </c>
      <c r="T46" s="10" t="e">
        <f>VLOOKUP(AJ38,'FRC Site Data'!$B$3:$L$42,4,FALSE)</f>
        <v>#N/A</v>
      </c>
      <c r="U46" s="10" t="e">
        <f>VLOOKUP(AJ38,'FRC Site Data'!$B$3:$L$42,5,FALSE)</f>
        <v>#N/A</v>
      </c>
      <c r="V46" s="10" t="e">
        <f>VLOOKUP(AJ38,'FRC Site Data'!$B$3:$L$42,6,FALSE)</f>
        <v>#N/A</v>
      </c>
      <c r="W46" s="10" t="e">
        <f>VLOOKUP(AJ38,'FRC Site Data'!$B$3:$L$42,8,FALSE)</f>
        <v>#N/A</v>
      </c>
      <c r="X46" s="10" t="e">
        <f>VLOOKUP(AJ38,'FRC Site Data'!$B$3:$L$42,9,FALSE)</f>
        <v>#N/A</v>
      </c>
      <c r="Y46" s="10" t="e">
        <f>VLOOKUP(AJ38,'FRC Site Data'!$B$3:$L$42,10,FALSE)</f>
        <v>#N/A</v>
      </c>
      <c r="Z46" s="10" t="e">
        <f>VLOOKUP(AJ38,'FRC Site Data'!$B$3:$L$42,11,FALSE)</f>
        <v>#N/A</v>
      </c>
      <c r="AA46" s="10" t="e">
        <f>VLOOKUP(AJ38,'CIR Team Info'!$C$5:$E$44,4,FALSE)</f>
        <v>#N/A</v>
      </c>
      <c r="AB46" s="161" t="b">
        <f>ISNUMBER(VLOOKUP(AJ38,Match!$T$5:$T$10,1,FALSE))</f>
        <v>0</v>
      </c>
      <c r="AC46" s="161" t="b">
        <f>IF(AB46=TRUE,(VLOOKUP($AJ38,Match!$T$5:$U$10,2,FALSE)))</f>
        <v>0</v>
      </c>
      <c r="AD46" s="8">
        <v>3</v>
      </c>
      <c r="AE46" s="8">
        <v>2</v>
      </c>
      <c r="AF46" s="8">
        <v>2</v>
      </c>
      <c r="AG46" s="8">
        <v>1</v>
      </c>
      <c r="AH46" s="8" t="str">
        <f t="shared" si="22"/>
        <v/>
      </c>
      <c r="BA46" s="24"/>
      <c r="BC46" s="12"/>
      <c r="BS46" s="127"/>
    </row>
    <row r="47" spans="1:71" x14ac:dyDescent="0.25">
      <c r="A47" s="29">
        <f t="shared" si="0"/>
        <v>0</v>
      </c>
      <c r="B47" s="29">
        <f t="shared" si="2"/>
        <v>0</v>
      </c>
      <c r="C47" s="29">
        <f t="shared" si="3"/>
        <v>0</v>
      </c>
      <c r="D47" s="29">
        <f t="shared" si="4"/>
        <v>0</v>
      </c>
      <c r="E47" s="29">
        <f t="shared" si="1"/>
        <v>0</v>
      </c>
      <c r="F47" s="29">
        <f t="shared" si="16"/>
        <v>0</v>
      </c>
      <c r="G47" s="29" t="str">
        <f t="shared" si="17"/>
        <v>offensive</v>
      </c>
      <c r="H47" s="16">
        <f t="shared" si="7"/>
        <v>0</v>
      </c>
      <c r="I47" s="16">
        <f t="shared" si="8"/>
        <v>0</v>
      </c>
      <c r="J47" s="16">
        <f t="shared" si="9"/>
        <v>0</v>
      </c>
      <c r="K47" s="16">
        <f t="shared" si="18"/>
        <v>0</v>
      </c>
      <c r="L47" s="67">
        <f t="shared" si="19"/>
        <v>0</v>
      </c>
      <c r="M47" s="4">
        <f t="shared" si="12"/>
        <v>0</v>
      </c>
      <c r="N47" s="4">
        <f t="shared" si="20"/>
        <v>0</v>
      </c>
      <c r="O47" s="4">
        <f t="shared" si="21"/>
        <v>0</v>
      </c>
      <c r="P47" s="4" t="e">
        <f>VLOOKUP(AJ39,'CIR Team Info'!$C$5:$E$44,2,FALSE)</f>
        <v>#N/A</v>
      </c>
      <c r="Q47" s="4" t="e">
        <f>VLOOKUP(AJ39,'CIR Team Info'!$C$5:$E$44,3,FALSE)</f>
        <v>#N/A</v>
      </c>
      <c r="R47" s="10" t="e">
        <f>VLOOKUP(AJ39,'FRC Site Data'!$B$3:$L$42,2,FALSE)</f>
        <v>#N/A</v>
      </c>
      <c r="S47" s="10" t="e">
        <f>VLOOKUP(AJ39,'FRC Site Data'!$B$3:$L$42,3,FALSE)</f>
        <v>#N/A</v>
      </c>
      <c r="T47" s="10" t="e">
        <f>VLOOKUP(AJ39,'FRC Site Data'!$B$3:$L$42,4,FALSE)</f>
        <v>#N/A</v>
      </c>
      <c r="U47" s="10" t="e">
        <f>VLOOKUP(AJ39,'FRC Site Data'!$B$3:$L$42,5,FALSE)</f>
        <v>#N/A</v>
      </c>
      <c r="V47" s="10" t="e">
        <f>VLOOKUP(AJ39,'FRC Site Data'!$B$3:$L$42,6,FALSE)</f>
        <v>#N/A</v>
      </c>
      <c r="W47" s="10" t="e">
        <f>VLOOKUP(AJ39,'FRC Site Data'!$B$3:$L$42,8,FALSE)</f>
        <v>#N/A</v>
      </c>
      <c r="X47" s="10" t="e">
        <f>VLOOKUP(AJ39,'FRC Site Data'!$B$3:$L$42,9,FALSE)</f>
        <v>#N/A</v>
      </c>
      <c r="Y47" s="10" t="e">
        <f>VLOOKUP(AJ39,'FRC Site Data'!$B$3:$L$42,10,FALSE)</f>
        <v>#N/A</v>
      </c>
      <c r="Z47" s="10" t="e">
        <f>VLOOKUP(AJ39,'FRC Site Data'!$B$3:$L$42,11,FALSE)</f>
        <v>#N/A</v>
      </c>
      <c r="AA47" s="10" t="e">
        <f>VLOOKUP(AJ39,'CIR Team Info'!$C$5:$E$44,4,FALSE)</f>
        <v>#N/A</v>
      </c>
      <c r="AB47" s="161" t="b">
        <f>ISNUMBER(VLOOKUP(AJ39,Match!$T$5:$T$10,1,FALSE))</f>
        <v>0</v>
      </c>
      <c r="AC47" s="161" t="b">
        <f>IF(AB47=TRUE,(VLOOKUP($AJ39,Match!$T$5:$U$10,2,FALSE)))</f>
        <v>0</v>
      </c>
      <c r="AD47" s="8">
        <v>3</v>
      </c>
      <c r="AE47" s="8">
        <v>2</v>
      </c>
      <c r="AF47" s="8">
        <v>2</v>
      </c>
      <c r="AG47" s="8">
        <v>1</v>
      </c>
      <c r="AH47" s="8" t="str">
        <f t="shared" si="22"/>
        <v/>
      </c>
      <c r="BA47" s="24"/>
      <c r="BC47" s="12"/>
      <c r="BS47" s="127"/>
    </row>
    <row r="48" spans="1:71" x14ac:dyDescent="0.25">
      <c r="A48" s="29">
        <f t="shared" si="0"/>
        <v>0</v>
      </c>
      <c r="B48" s="29">
        <f t="shared" si="2"/>
        <v>0</v>
      </c>
      <c r="C48" s="29">
        <f t="shared" si="3"/>
        <v>0</v>
      </c>
      <c r="D48" s="29">
        <f t="shared" si="4"/>
        <v>0</v>
      </c>
      <c r="E48" s="29">
        <f t="shared" si="1"/>
        <v>0</v>
      </c>
      <c r="F48" s="29">
        <f t="shared" si="16"/>
        <v>0</v>
      </c>
      <c r="G48" s="29" t="str">
        <f t="shared" si="17"/>
        <v>offensive</v>
      </c>
      <c r="H48" s="16">
        <f t="shared" si="7"/>
        <v>0</v>
      </c>
      <c r="I48" s="16">
        <f t="shared" si="8"/>
        <v>0</v>
      </c>
      <c r="J48" s="16">
        <f t="shared" si="9"/>
        <v>0</v>
      </c>
      <c r="K48" s="16">
        <f t="shared" si="18"/>
        <v>0</v>
      </c>
      <c r="L48" s="67">
        <f t="shared" si="19"/>
        <v>0</v>
      </c>
      <c r="M48" s="4">
        <f t="shared" si="12"/>
        <v>0</v>
      </c>
      <c r="N48" s="4">
        <f t="shared" si="20"/>
        <v>0</v>
      </c>
      <c r="O48" s="4">
        <f t="shared" si="21"/>
        <v>0</v>
      </c>
      <c r="P48" s="4" t="e">
        <f>VLOOKUP(AJ40,'CIR Team Info'!$C$5:$E$44,2,FALSE)</f>
        <v>#N/A</v>
      </c>
      <c r="Q48" s="4" t="e">
        <f>VLOOKUP(AJ40,'CIR Team Info'!$C$5:$E$44,3,FALSE)</f>
        <v>#N/A</v>
      </c>
      <c r="R48" s="10" t="e">
        <f>VLOOKUP(AJ40,'FRC Site Data'!$B$3:$L$42,2,FALSE)</f>
        <v>#N/A</v>
      </c>
      <c r="S48" s="10" t="e">
        <f>VLOOKUP(AJ40,'FRC Site Data'!$B$3:$L$42,3,FALSE)</f>
        <v>#N/A</v>
      </c>
      <c r="T48" s="10" t="e">
        <f>VLOOKUP(AJ40,'FRC Site Data'!$B$3:$L$42,4,FALSE)</f>
        <v>#N/A</v>
      </c>
      <c r="U48" s="10" t="e">
        <f>VLOOKUP(AJ40,'FRC Site Data'!$B$3:$L$42,5,FALSE)</f>
        <v>#N/A</v>
      </c>
      <c r="V48" s="10" t="e">
        <f>VLOOKUP(AJ40,'FRC Site Data'!$B$3:$L$42,6,FALSE)</f>
        <v>#N/A</v>
      </c>
      <c r="W48" s="10" t="e">
        <f>VLOOKUP(AJ40,'FRC Site Data'!$B$3:$L$42,8,FALSE)</f>
        <v>#N/A</v>
      </c>
      <c r="X48" s="10" t="e">
        <f>VLOOKUP(AJ40,'FRC Site Data'!$B$3:$L$42,9,FALSE)</f>
        <v>#N/A</v>
      </c>
      <c r="Y48" s="10" t="e">
        <f>VLOOKUP(AJ40,'FRC Site Data'!$B$3:$L$42,10,FALSE)</f>
        <v>#N/A</v>
      </c>
      <c r="Z48" s="10" t="e">
        <f>VLOOKUP(AJ40,'FRC Site Data'!$B$3:$L$42,11,FALSE)</f>
        <v>#N/A</v>
      </c>
      <c r="AA48" s="10" t="e">
        <f>VLOOKUP(AJ40,'CIR Team Info'!$C$5:$E$44,4,FALSE)</f>
        <v>#N/A</v>
      </c>
      <c r="AB48" s="161" t="b">
        <f>ISNUMBER(VLOOKUP(AJ40,Match!$T$5:$T$10,1,FALSE))</f>
        <v>0</v>
      </c>
      <c r="AC48" s="161" t="b">
        <f>IF(AB48=TRUE,(VLOOKUP($AJ40,Match!$T$5:$U$10,2,FALSE)))</f>
        <v>0</v>
      </c>
      <c r="AD48" s="8">
        <v>3</v>
      </c>
      <c r="AE48" s="8">
        <v>2</v>
      </c>
      <c r="AF48" s="8">
        <v>2</v>
      </c>
      <c r="AG48" s="8">
        <v>1</v>
      </c>
      <c r="AH48" s="8" t="str">
        <f t="shared" si="22"/>
        <v/>
      </c>
      <c r="BA48" s="24"/>
      <c r="BC48" s="12"/>
      <c r="BS48" s="127"/>
    </row>
    <row r="49" spans="1:71" x14ac:dyDescent="0.25">
      <c r="A49" s="29">
        <f t="shared" si="0"/>
        <v>0</v>
      </c>
      <c r="B49" s="29">
        <f t="shared" si="2"/>
        <v>0</v>
      </c>
      <c r="C49" s="29">
        <f t="shared" si="3"/>
        <v>0</v>
      </c>
      <c r="D49" s="29">
        <f t="shared" si="4"/>
        <v>0</v>
      </c>
      <c r="E49" s="29">
        <f t="shared" si="1"/>
        <v>0</v>
      </c>
      <c r="F49" s="29">
        <f t="shared" si="16"/>
        <v>0</v>
      </c>
      <c r="G49" s="29" t="str">
        <f t="shared" si="17"/>
        <v>offensive</v>
      </c>
      <c r="H49" s="16">
        <f t="shared" si="7"/>
        <v>0</v>
      </c>
      <c r="I49" s="16">
        <f t="shared" si="8"/>
        <v>0</v>
      </c>
      <c r="J49" s="16">
        <f t="shared" si="9"/>
        <v>0</v>
      </c>
      <c r="K49" s="16">
        <f t="shared" si="18"/>
        <v>0</v>
      </c>
      <c r="L49" s="67">
        <f t="shared" si="19"/>
        <v>0</v>
      </c>
      <c r="M49" s="4">
        <f t="shared" si="12"/>
        <v>0</v>
      </c>
      <c r="N49" s="4">
        <f t="shared" si="20"/>
        <v>0</v>
      </c>
      <c r="O49" s="4">
        <f t="shared" si="21"/>
        <v>0</v>
      </c>
      <c r="P49" s="4" t="e">
        <f>VLOOKUP(AJ41,'CIR Team Info'!$C$5:$E$44,2,FALSE)</f>
        <v>#N/A</v>
      </c>
      <c r="Q49" s="4" t="e">
        <f>VLOOKUP(AJ41,'CIR Team Info'!$C$5:$E$44,3,FALSE)</f>
        <v>#N/A</v>
      </c>
      <c r="R49" s="10" t="e">
        <f>VLOOKUP(AJ41,'FRC Site Data'!$B$3:$L$42,2,FALSE)</f>
        <v>#N/A</v>
      </c>
      <c r="S49" s="10" t="e">
        <f>VLOOKUP(AJ41,'FRC Site Data'!$B$3:$L$42,3,FALSE)</f>
        <v>#N/A</v>
      </c>
      <c r="T49" s="10" t="e">
        <f>VLOOKUP(AJ41,'FRC Site Data'!$B$3:$L$42,4,FALSE)</f>
        <v>#N/A</v>
      </c>
      <c r="U49" s="10" t="e">
        <f>VLOOKUP(AJ41,'FRC Site Data'!$B$3:$L$42,5,FALSE)</f>
        <v>#N/A</v>
      </c>
      <c r="V49" s="10" t="e">
        <f>VLOOKUP(AJ41,'FRC Site Data'!$B$3:$L$42,6,FALSE)</f>
        <v>#N/A</v>
      </c>
      <c r="W49" s="10" t="e">
        <f>VLOOKUP(AJ41,'FRC Site Data'!$B$3:$L$42,8,FALSE)</f>
        <v>#N/A</v>
      </c>
      <c r="X49" s="10" t="e">
        <f>VLOOKUP(AJ41,'FRC Site Data'!$B$3:$L$42,9,FALSE)</f>
        <v>#N/A</v>
      </c>
      <c r="Y49" s="10" t="e">
        <f>VLOOKUP(AJ41,'FRC Site Data'!$B$3:$L$42,10,FALSE)</f>
        <v>#N/A</v>
      </c>
      <c r="Z49" s="10" t="e">
        <f>VLOOKUP(AJ41,'FRC Site Data'!$B$3:$L$42,11,FALSE)</f>
        <v>#N/A</v>
      </c>
      <c r="AA49" s="10" t="e">
        <f>VLOOKUP(AJ41,'CIR Team Info'!$C$5:$E$44,4,FALSE)</f>
        <v>#N/A</v>
      </c>
      <c r="AB49" s="161" t="b">
        <f>ISNUMBER(VLOOKUP(AJ41,Match!$T$5:$T$10,1,FALSE))</f>
        <v>0</v>
      </c>
      <c r="AC49" s="161" t="b">
        <f>IF(AB49=TRUE,(VLOOKUP($AJ41,Match!$T$5:$U$10,2,FALSE)))</f>
        <v>0</v>
      </c>
      <c r="AD49" s="8">
        <v>3</v>
      </c>
      <c r="AE49" s="8">
        <v>2</v>
      </c>
      <c r="AF49" s="8">
        <v>2</v>
      </c>
      <c r="AG49" s="8">
        <v>1</v>
      </c>
      <c r="AH49" s="8" t="str">
        <f t="shared" si="22"/>
        <v/>
      </c>
      <c r="BA49" s="24"/>
      <c r="BC49" s="12"/>
      <c r="BS49" s="127"/>
    </row>
    <row r="50" spans="1:71" x14ac:dyDescent="0.25">
      <c r="A50" s="29">
        <f t="shared" si="0"/>
        <v>0</v>
      </c>
      <c r="B50" s="29">
        <f t="shared" si="2"/>
        <v>0</v>
      </c>
      <c r="C50" s="29">
        <f t="shared" si="3"/>
        <v>0</v>
      </c>
      <c r="D50" s="29">
        <f t="shared" si="4"/>
        <v>0</v>
      </c>
      <c r="E50" s="29">
        <f t="shared" si="1"/>
        <v>0</v>
      </c>
      <c r="F50" s="29">
        <f t="shared" si="16"/>
        <v>0</v>
      </c>
      <c r="G50" s="29" t="str">
        <f t="shared" si="17"/>
        <v>offensive</v>
      </c>
      <c r="H50" s="16">
        <f t="shared" si="7"/>
        <v>0</v>
      </c>
      <c r="I50" s="16">
        <f t="shared" si="8"/>
        <v>0</v>
      </c>
      <c r="J50" s="16">
        <f t="shared" si="9"/>
        <v>0</v>
      </c>
      <c r="K50" s="16">
        <f t="shared" si="18"/>
        <v>0</v>
      </c>
      <c r="L50" s="67">
        <f t="shared" si="19"/>
        <v>0</v>
      </c>
      <c r="M50" s="4">
        <f t="shared" si="12"/>
        <v>0</v>
      </c>
      <c r="N50" s="4">
        <f t="shared" si="20"/>
        <v>0</v>
      </c>
      <c r="O50" s="4">
        <f t="shared" si="21"/>
        <v>0</v>
      </c>
      <c r="P50" s="4" t="e">
        <f>VLOOKUP(AJ42,'CIR Team Info'!$C$5:$E$44,2,FALSE)</f>
        <v>#N/A</v>
      </c>
      <c r="Q50" s="4" t="e">
        <f>VLOOKUP(AJ42,'CIR Team Info'!$C$5:$E$44,3,FALSE)</f>
        <v>#N/A</v>
      </c>
      <c r="R50" s="10" t="e">
        <f>VLOOKUP(AJ42,'FRC Site Data'!$B$3:$L$42,2,FALSE)</f>
        <v>#N/A</v>
      </c>
      <c r="S50" s="10" t="e">
        <f>VLOOKUP(AJ42,'FRC Site Data'!$B$3:$L$42,3,FALSE)</f>
        <v>#N/A</v>
      </c>
      <c r="T50" s="10" t="e">
        <f>VLOOKUP(AJ42,'FRC Site Data'!$B$3:$L$42,4,FALSE)</f>
        <v>#N/A</v>
      </c>
      <c r="U50" s="10" t="e">
        <f>VLOOKUP(AJ42,'FRC Site Data'!$B$3:$L$42,5,FALSE)</f>
        <v>#N/A</v>
      </c>
      <c r="V50" s="10" t="e">
        <f>VLOOKUP(AJ42,'FRC Site Data'!$B$3:$L$42,6,FALSE)</f>
        <v>#N/A</v>
      </c>
      <c r="W50" s="10" t="e">
        <f>VLOOKUP(AJ42,'FRC Site Data'!$B$3:$L$42,8,FALSE)</f>
        <v>#N/A</v>
      </c>
      <c r="X50" s="10" t="e">
        <f>VLOOKUP(AJ42,'FRC Site Data'!$B$3:$L$42,9,FALSE)</f>
        <v>#N/A</v>
      </c>
      <c r="Y50" s="10" t="e">
        <f>VLOOKUP(AJ42,'FRC Site Data'!$B$3:$L$42,10,FALSE)</f>
        <v>#N/A</v>
      </c>
      <c r="Z50" s="10" t="e">
        <f>VLOOKUP(AJ42,'FRC Site Data'!$B$3:$L$42,11,FALSE)</f>
        <v>#N/A</v>
      </c>
      <c r="AA50" s="10" t="e">
        <f>VLOOKUP(AJ42,'CIR Team Info'!$C$5:$E$44,4,FALSE)</f>
        <v>#N/A</v>
      </c>
      <c r="AB50" s="161" t="b">
        <f>ISNUMBER(VLOOKUP(AJ42,Match!$T$5:$T$10,1,FALSE))</f>
        <v>0</v>
      </c>
      <c r="AC50" s="161" t="b">
        <f>IF(AB50=TRUE,(VLOOKUP($AJ42,Match!$T$5:$U$10,2,FALSE)))</f>
        <v>0</v>
      </c>
      <c r="AD50" s="8">
        <v>3</v>
      </c>
      <c r="AE50" s="8">
        <v>2</v>
      </c>
      <c r="AF50" s="8">
        <v>2</v>
      </c>
      <c r="AG50" s="8">
        <v>1</v>
      </c>
      <c r="AH50" s="8" t="str">
        <f t="shared" si="22"/>
        <v/>
      </c>
      <c r="BA50" s="24"/>
      <c r="BC50" s="12"/>
      <c r="BS50" s="127"/>
    </row>
    <row r="51" spans="1:71" x14ac:dyDescent="0.25">
      <c r="A51" s="29">
        <f t="shared" si="0"/>
        <v>0</v>
      </c>
      <c r="B51" s="29">
        <f t="shared" si="2"/>
        <v>0</v>
      </c>
      <c r="C51" s="29">
        <f t="shared" si="3"/>
        <v>0</v>
      </c>
      <c r="D51" s="29">
        <f t="shared" si="4"/>
        <v>0</v>
      </c>
      <c r="E51" s="29">
        <f t="shared" si="1"/>
        <v>0</v>
      </c>
      <c r="F51" s="29">
        <f t="shared" si="16"/>
        <v>0</v>
      </c>
      <c r="G51" s="29" t="str">
        <f t="shared" si="17"/>
        <v>offensive</v>
      </c>
      <c r="H51" s="16">
        <f t="shared" si="7"/>
        <v>0</v>
      </c>
      <c r="I51" s="16">
        <f t="shared" si="8"/>
        <v>0</v>
      </c>
      <c r="J51" s="16">
        <f t="shared" si="9"/>
        <v>0</v>
      </c>
      <c r="K51" s="16">
        <f t="shared" si="18"/>
        <v>0</v>
      </c>
      <c r="L51" s="67">
        <f t="shared" si="19"/>
        <v>0</v>
      </c>
      <c r="M51" s="4">
        <f t="shared" si="12"/>
        <v>0</v>
      </c>
      <c r="N51" s="4">
        <f t="shared" si="20"/>
        <v>0</v>
      </c>
      <c r="O51" s="4">
        <f t="shared" si="21"/>
        <v>0</v>
      </c>
      <c r="P51" s="4" t="e">
        <f>VLOOKUP(AJ43,'CIR Team Info'!$C$5:$E$44,2,FALSE)</f>
        <v>#N/A</v>
      </c>
      <c r="Q51" s="4" t="e">
        <f>VLOOKUP(AJ43,'CIR Team Info'!$C$5:$E$44,3,FALSE)</f>
        <v>#N/A</v>
      </c>
      <c r="R51" s="10" t="e">
        <f>VLOOKUP(AJ43,'FRC Site Data'!$B$3:$L$42,2,FALSE)</f>
        <v>#N/A</v>
      </c>
      <c r="S51" s="10" t="e">
        <f>VLOOKUP(AJ43,'FRC Site Data'!$B$3:$L$42,3,FALSE)</f>
        <v>#N/A</v>
      </c>
      <c r="T51" s="10" t="e">
        <f>VLOOKUP(AJ43,'FRC Site Data'!$B$3:$L$42,4,FALSE)</f>
        <v>#N/A</v>
      </c>
      <c r="U51" s="10" t="e">
        <f>VLOOKUP(AJ43,'FRC Site Data'!$B$3:$L$42,5,FALSE)</f>
        <v>#N/A</v>
      </c>
      <c r="V51" s="10" t="e">
        <f>VLOOKUP(AJ43,'FRC Site Data'!$B$3:$L$42,6,FALSE)</f>
        <v>#N/A</v>
      </c>
      <c r="W51" s="10" t="e">
        <f>VLOOKUP(AJ43,'FRC Site Data'!$B$3:$L$42,8,FALSE)</f>
        <v>#N/A</v>
      </c>
      <c r="X51" s="10" t="e">
        <f>VLOOKUP(AJ43,'FRC Site Data'!$B$3:$L$42,9,FALSE)</f>
        <v>#N/A</v>
      </c>
      <c r="Y51" s="10" t="e">
        <f>VLOOKUP(AJ43,'FRC Site Data'!$B$3:$L$42,10,FALSE)</f>
        <v>#N/A</v>
      </c>
      <c r="Z51" s="10" t="e">
        <f>VLOOKUP(AJ43,'FRC Site Data'!$B$3:$L$42,11,FALSE)</f>
        <v>#N/A</v>
      </c>
      <c r="AA51" s="10" t="e">
        <f>VLOOKUP(AJ43,'CIR Team Info'!$C$5:$E$44,4,FALSE)</f>
        <v>#N/A</v>
      </c>
      <c r="AB51" s="161" t="b">
        <f>ISNUMBER(VLOOKUP(AJ43,Match!$T$5:$T$10,1,FALSE))</f>
        <v>0</v>
      </c>
      <c r="AC51" s="161" t="b">
        <f>IF(AB51=TRUE,(VLOOKUP($AJ43,Match!$T$5:$U$10,2,FALSE)))</f>
        <v>0</v>
      </c>
      <c r="AD51" s="8">
        <v>3</v>
      </c>
      <c r="AE51" s="8">
        <v>2</v>
      </c>
      <c r="AF51" s="8">
        <v>2</v>
      </c>
      <c r="AG51" s="8">
        <v>1</v>
      </c>
      <c r="AH51" s="8" t="str">
        <f t="shared" si="22"/>
        <v/>
      </c>
      <c r="BA51" s="24"/>
      <c r="BC51" s="12"/>
      <c r="BS51" s="127"/>
    </row>
    <row r="52" spans="1:71" x14ac:dyDescent="0.25">
      <c r="A52" s="29">
        <f t="shared" si="0"/>
        <v>0</v>
      </c>
      <c r="B52" s="29">
        <f t="shared" si="2"/>
        <v>0</v>
      </c>
      <c r="C52" s="29">
        <f t="shared" si="3"/>
        <v>0</v>
      </c>
      <c r="D52" s="29">
        <f t="shared" si="4"/>
        <v>0</v>
      </c>
      <c r="E52" s="29">
        <f t="shared" si="1"/>
        <v>0</v>
      </c>
      <c r="F52" s="29">
        <f t="shared" si="16"/>
        <v>0</v>
      </c>
      <c r="G52" s="29" t="str">
        <f t="shared" si="17"/>
        <v>offensive</v>
      </c>
      <c r="H52" s="16">
        <f t="shared" si="7"/>
        <v>0</v>
      </c>
      <c r="I52" s="16">
        <f t="shared" si="8"/>
        <v>0</v>
      </c>
      <c r="J52" s="16">
        <f t="shared" si="9"/>
        <v>0</v>
      </c>
      <c r="K52" s="16">
        <f t="shared" si="18"/>
        <v>0</v>
      </c>
      <c r="L52" s="67">
        <f t="shared" si="19"/>
        <v>0</v>
      </c>
      <c r="M52" s="4">
        <f t="shared" si="12"/>
        <v>0</v>
      </c>
      <c r="N52" s="4">
        <f t="shared" si="20"/>
        <v>0</v>
      </c>
      <c r="O52" s="4">
        <f t="shared" si="21"/>
        <v>0</v>
      </c>
      <c r="P52" s="4" t="e">
        <f>VLOOKUP(AJ44,'CIR Team Info'!$C$5:$E$44,2,FALSE)</f>
        <v>#N/A</v>
      </c>
      <c r="Q52" s="4" t="e">
        <f>VLOOKUP(AJ44,'CIR Team Info'!$C$5:$E$44,3,FALSE)</f>
        <v>#N/A</v>
      </c>
      <c r="R52" s="10" t="e">
        <f>VLOOKUP(AJ44,'FRC Site Data'!$B$3:$L$42,2,FALSE)</f>
        <v>#N/A</v>
      </c>
      <c r="S52" s="10" t="e">
        <f>VLOOKUP(AJ44,'FRC Site Data'!$B$3:$L$42,3,FALSE)</f>
        <v>#N/A</v>
      </c>
      <c r="T52" s="10" t="e">
        <f>VLOOKUP(AJ44,'FRC Site Data'!$B$3:$L$42,4,FALSE)</f>
        <v>#N/A</v>
      </c>
      <c r="U52" s="10" t="e">
        <f>VLOOKUP(AJ44,'FRC Site Data'!$B$3:$L$42,5,FALSE)</f>
        <v>#N/A</v>
      </c>
      <c r="V52" s="10" t="e">
        <f>VLOOKUP(AJ44,'FRC Site Data'!$B$3:$L$42,6,FALSE)</f>
        <v>#N/A</v>
      </c>
      <c r="W52" s="10" t="e">
        <f>VLOOKUP(AJ44,'FRC Site Data'!$B$3:$L$42,8,FALSE)</f>
        <v>#N/A</v>
      </c>
      <c r="X52" s="10" t="e">
        <f>VLOOKUP(AJ44,'FRC Site Data'!$B$3:$L$42,9,FALSE)</f>
        <v>#N/A</v>
      </c>
      <c r="Y52" s="10" t="e">
        <f>VLOOKUP(AJ44,'FRC Site Data'!$B$3:$L$42,10,FALSE)</f>
        <v>#N/A</v>
      </c>
      <c r="Z52" s="10" t="e">
        <f>VLOOKUP(AJ44,'FRC Site Data'!$B$3:$L$42,11,FALSE)</f>
        <v>#N/A</v>
      </c>
      <c r="AA52" s="10" t="e">
        <f>VLOOKUP(AJ44,'CIR Team Info'!$C$5:$E$44,4,FALSE)</f>
        <v>#N/A</v>
      </c>
      <c r="AB52" s="161" t="b">
        <f>ISNUMBER(VLOOKUP(AJ44,Match!$T$5:$T$10,1,FALSE))</f>
        <v>0</v>
      </c>
      <c r="AC52" s="161" t="b">
        <f>IF(AB52=TRUE,(VLOOKUP($AJ44,Match!$T$5:$U$10,2,FALSE)))</f>
        <v>0</v>
      </c>
      <c r="AD52" s="8">
        <v>3</v>
      </c>
      <c r="AE52" s="8">
        <v>2</v>
      </c>
      <c r="AF52" s="8">
        <v>2</v>
      </c>
      <c r="AG52" s="8">
        <v>1</v>
      </c>
      <c r="AH52" s="8" t="str">
        <f t="shared" si="22"/>
        <v/>
      </c>
      <c r="BA52" s="24"/>
      <c r="BC52" s="12"/>
      <c r="BS52" s="127"/>
    </row>
    <row r="53" spans="1:71" x14ac:dyDescent="0.25">
      <c r="A53" s="29">
        <f t="shared" si="0"/>
        <v>0</v>
      </c>
      <c r="B53" s="29">
        <f t="shared" si="2"/>
        <v>0</v>
      </c>
      <c r="C53" s="29">
        <f t="shared" si="3"/>
        <v>0</v>
      </c>
      <c r="D53" s="29">
        <f t="shared" si="4"/>
        <v>0</v>
      </c>
      <c r="E53" s="29">
        <f t="shared" si="1"/>
        <v>0</v>
      </c>
      <c r="F53" s="29">
        <f t="shared" si="16"/>
        <v>0</v>
      </c>
      <c r="G53" s="29" t="str">
        <f t="shared" si="17"/>
        <v>offensive</v>
      </c>
      <c r="H53" s="16">
        <f t="shared" si="7"/>
        <v>0</v>
      </c>
      <c r="I53" s="16">
        <f t="shared" si="8"/>
        <v>0</v>
      </c>
      <c r="J53" s="16">
        <f t="shared" si="9"/>
        <v>0</v>
      </c>
      <c r="K53" s="16">
        <f t="shared" si="18"/>
        <v>0</v>
      </c>
      <c r="L53" s="67">
        <f t="shared" si="19"/>
        <v>0</v>
      </c>
      <c r="M53" s="4">
        <f t="shared" si="12"/>
        <v>0</v>
      </c>
      <c r="N53" s="4">
        <f t="shared" si="20"/>
        <v>0</v>
      </c>
      <c r="O53" s="4">
        <f t="shared" si="21"/>
        <v>0</v>
      </c>
      <c r="P53" s="4" t="e">
        <f>VLOOKUP(AJ45,'CIR Team Info'!$C$5:$E$44,2,FALSE)</f>
        <v>#N/A</v>
      </c>
      <c r="Q53" s="4" t="e">
        <f>VLOOKUP(AJ45,'CIR Team Info'!$C$5:$E$44,3,FALSE)</f>
        <v>#N/A</v>
      </c>
      <c r="R53" s="10" t="e">
        <f>VLOOKUP(AJ45,'FRC Site Data'!$B$3:$L$42,2,FALSE)</f>
        <v>#N/A</v>
      </c>
      <c r="S53" s="10" t="e">
        <f>VLOOKUP(AJ45,'FRC Site Data'!$B$3:$L$42,3,FALSE)</f>
        <v>#N/A</v>
      </c>
      <c r="T53" s="10" t="e">
        <f>VLOOKUP(AJ45,'FRC Site Data'!$B$3:$L$42,4,FALSE)</f>
        <v>#N/A</v>
      </c>
      <c r="U53" s="10" t="e">
        <f>VLOOKUP(AJ45,'FRC Site Data'!$B$3:$L$42,5,FALSE)</f>
        <v>#N/A</v>
      </c>
      <c r="V53" s="10" t="e">
        <f>VLOOKUP(AJ45,'FRC Site Data'!$B$3:$L$42,6,FALSE)</f>
        <v>#N/A</v>
      </c>
      <c r="W53" s="10" t="e">
        <f>VLOOKUP(AJ45,'FRC Site Data'!$B$3:$L$42,8,FALSE)</f>
        <v>#N/A</v>
      </c>
      <c r="X53" s="10" t="e">
        <f>VLOOKUP(AJ45,'FRC Site Data'!$B$3:$L$42,9,FALSE)</f>
        <v>#N/A</v>
      </c>
      <c r="Y53" s="10" t="e">
        <f>VLOOKUP(AJ45,'FRC Site Data'!$B$3:$L$42,10,FALSE)</f>
        <v>#N/A</v>
      </c>
      <c r="Z53" s="10" t="e">
        <f>VLOOKUP(AJ45,'FRC Site Data'!$B$3:$L$42,11,FALSE)</f>
        <v>#N/A</v>
      </c>
      <c r="AA53" s="10" t="e">
        <f>VLOOKUP(AJ45,'CIR Team Info'!$C$5:$E$44,4,FALSE)</f>
        <v>#N/A</v>
      </c>
      <c r="AB53" s="161" t="b">
        <f>ISNUMBER(VLOOKUP(AJ45,Match!$T$5:$T$10,1,FALSE))</f>
        <v>0</v>
      </c>
      <c r="AC53" s="161" t="b">
        <f>IF(AB53=TRUE,(VLOOKUP($AJ45,Match!$T$5:$U$10,2,FALSE)))</f>
        <v>0</v>
      </c>
      <c r="AD53" s="8">
        <v>3</v>
      </c>
      <c r="AE53" s="8">
        <v>2</v>
      </c>
      <c r="AF53" s="8">
        <v>2</v>
      </c>
      <c r="AG53" s="8">
        <v>1</v>
      </c>
      <c r="AH53" s="8" t="str">
        <f t="shared" si="22"/>
        <v/>
      </c>
      <c r="BA53" s="24"/>
      <c r="BC53" s="12"/>
      <c r="BS53" s="127"/>
    </row>
    <row r="54" spans="1:71" x14ac:dyDescent="0.25">
      <c r="A54" s="29">
        <f t="shared" si="0"/>
        <v>0</v>
      </c>
      <c r="B54" s="29">
        <f t="shared" si="2"/>
        <v>0</v>
      </c>
      <c r="C54" s="29">
        <f t="shared" si="3"/>
        <v>0</v>
      </c>
      <c r="D54" s="29">
        <f t="shared" si="4"/>
        <v>0</v>
      </c>
      <c r="E54" s="29">
        <f t="shared" si="1"/>
        <v>0</v>
      </c>
      <c r="F54" s="29">
        <f t="shared" si="16"/>
        <v>0</v>
      </c>
      <c r="G54" s="29" t="str">
        <f t="shared" si="17"/>
        <v>offensive</v>
      </c>
      <c r="H54" s="16">
        <f t="shared" si="7"/>
        <v>0</v>
      </c>
      <c r="I54" s="16">
        <f t="shared" si="8"/>
        <v>0</v>
      </c>
      <c r="J54" s="16">
        <f t="shared" si="9"/>
        <v>0</v>
      </c>
      <c r="K54" s="16">
        <f t="shared" si="18"/>
        <v>0</v>
      </c>
      <c r="L54" s="67">
        <f t="shared" si="19"/>
        <v>0</v>
      </c>
      <c r="M54" s="4">
        <f t="shared" si="12"/>
        <v>0</v>
      </c>
      <c r="N54" s="4">
        <f t="shared" si="20"/>
        <v>0</v>
      </c>
      <c r="O54" s="4">
        <f t="shared" si="21"/>
        <v>0</v>
      </c>
      <c r="P54" s="4" t="e">
        <f>VLOOKUP(AJ46,'CIR Team Info'!$C$5:$E$44,2,FALSE)</f>
        <v>#N/A</v>
      </c>
      <c r="Q54" s="4" t="e">
        <f>VLOOKUP(AJ46,'CIR Team Info'!$C$5:$E$44,3,FALSE)</f>
        <v>#N/A</v>
      </c>
      <c r="R54" s="10" t="e">
        <f>VLOOKUP(AJ46,'FRC Site Data'!$B$3:$L$42,2,FALSE)</f>
        <v>#N/A</v>
      </c>
      <c r="S54" s="10" t="e">
        <f>VLOOKUP(AJ46,'FRC Site Data'!$B$3:$L$42,3,FALSE)</f>
        <v>#N/A</v>
      </c>
      <c r="T54" s="10" t="e">
        <f>VLOOKUP(AJ46,'FRC Site Data'!$B$3:$L$42,4,FALSE)</f>
        <v>#N/A</v>
      </c>
      <c r="U54" s="10" t="e">
        <f>VLOOKUP(AJ46,'FRC Site Data'!$B$3:$L$42,5,FALSE)</f>
        <v>#N/A</v>
      </c>
      <c r="V54" s="10" t="e">
        <f>VLOOKUP(AJ46,'FRC Site Data'!$B$3:$L$42,6,FALSE)</f>
        <v>#N/A</v>
      </c>
      <c r="W54" s="10" t="e">
        <f>VLOOKUP(AJ46,'FRC Site Data'!$B$3:$L$42,8,FALSE)</f>
        <v>#N/A</v>
      </c>
      <c r="X54" s="10" t="e">
        <f>VLOOKUP(AJ46,'FRC Site Data'!$B$3:$L$42,9,FALSE)</f>
        <v>#N/A</v>
      </c>
      <c r="Y54" s="10" t="e">
        <f>VLOOKUP(AJ46,'FRC Site Data'!$B$3:$L$42,10,FALSE)</f>
        <v>#N/A</v>
      </c>
      <c r="Z54" s="10" t="e">
        <f>VLOOKUP(AJ46,'FRC Site Data'!$B$3:$L$42,11,FALSE)</f>
        <v>#N/A</v>
      </c>
      <c r="AA54" s="10" t="e">
        <f>VLOOKUP(AJ46,'CIR Team Info'!$C$5:$E$44,4,FALSE)</f>
        <v>#N/A</v>
      </c>
      <c r="AB54" s="161" t="b">
        <f>ISNUMBER(VLOOKUP(AJ46,Match!$T$5:$T$10,1,FALSE))</f>
        <v>0</v>
      </c>
      <c r="AC54" s="161" t="b">
        <f>IF(AB54=TRUE,(VLOOKUP($AJ46,Match!$T$5:$U$10,2,FALSE)))</f>
        <v>0</v>
      </c>
      <c r="AD54" s="8">
        <v>3</v>
      </c>
      <c r="AE54" s="8">
        <v>2</v>
      </c>
      <c r="AF54" s="8">
        <v>2</v>
      </c>
      <c r="AG54" s="8">
        <v>1</v>
      </c>
      <c r="AH54" s="8" t="str">
        <f t="shared" si="22"/>
        <v/>
      </c>
      <c r="BA54" s="24"/>
      <c r="BC54" s="12"/>
      <c r="BS54" s="127"/>
    </row>
    <row r="55" spans="1:71" x14ac:dyDescent="0.25">
      <c r="A55" s="29">
        <f t="shared" si="0"/>
        <v>0</v>
      </c>
      <c r="B55" s="29">
        <f t="shared" si="2"/>
        <v>0</v>
      </c>
      <c r="C55" s="29">
        <f t="shared" si="3"/>
        <v>0</v>
      </c>
      <c r="D55" s="29">
        <f t="shared" si="4"/>
        <v>0</v>
      </c>
      <c r="E55" s="29">
        <f t="shared" si="1"/>
        <v>0</v>
      </c>
      <c r="F55" s="29">
        <f t="shared" si="16"/>
        <v>0</v>
      </c>
      <c r="G55" s="29" t="str">
        <f t="shared" si="17"/>
        <v>offensive</v>
      </c>
      <c r="H55" s="16">
        <f t="shared" si="7"/>
        <v>0</v>
      </c>
      <c r="I55" s="16">
        <f t="shared" si="8"/>
        <v>0</v>
      </c>
      <c r="J55" s="16">
        <f t="shared" si="9"/>
        <v>0</v>
      </c>
      <c r="K55" s="16">
        <f t="shared" si="18"/>
        <v>0</v>
      </c>
      <c r="L55" s="67">
        <f t="shared" si="19"/>
        <v>0</v>
      </c>
      <c r="M55" s="4">
        <f t="shared" si="12"/>
        <v>0</v>
      </c>
      <c r="N55" s="4">
        <f t="shared" si="20"/>
        <v>0</v>
      </c>
      <c r="O55" s="4">
        <f t="shared" si="21"/>
        <v>0</v>
      </c>
      <c r="P55" s="4" t="e">
        <f>VLOOKUP(AJ47,'CIR Team Info'!$C$5:$E$44,2,FALSE)</f>
        <v>#N/A</v>
      </c>
      <c r="Q55" s="4" t="e">
        <f>VLOOKUP(AJ47,'CIR Team Info'!$C$5:$E$44,3,FALSE)</f>
        <v>#N/A</v>
      </c>
      <c r="R55" s="10" t="e">
        <f>VLOOKUP(AJ47,'FRC Site Data'!$B$3:$L$42,2,FALSE)</f>
        <v>#N/A</v>
      </c>
      <c r="S55" s="10" t="e">
        <f>VLOOKUP(AJ47,'FRC Site Data'!$B$3:$L$42,3,FALSE)</f>
        <v>#N/A</v>
      </c>
      <c r="T55" s="10" t="e">
        <f>VLOOKUP(AJ47,'FRC Site Data'!$B$3:$L$42,4,FALSE)</f>
        <v>#N/A</v>
      </c>
      <c r="U55" s="10" t="e">
        <f>VLOOKUP(AJ47,'FRC Site Data'!$B$3:$L$42,5,FALSE)</f>
        <v>#N/A</v>
      </c>
      <c r="V55" s="10" t="e">
        <f>VLOOKUP(AJ47,'FRC Site Data'!$B$3:$L$42,6,FALSE)</f>
        <v>#N/A</v>
      </c>
      <c r="W55" s="10" t="e">
        <f>VLOOKUP(AJ47,'FRC Site Data'!$B$3:$L$42,8,FALSE)</f>
        <v>#N/A</v>
      </c>
      <c r="X55" s="10" t="e">
        <f>VLOOKUP(AJ47,'FRC Site Data'!$B$3:$L$42,9,FALSE)</f>
        <v>#N/A</v>
      </c>
      <c r="Y55" s="10" t="e">
        <f>VLOOKUP(AJ47,'FRC Site Data'!$B$3:$L$42,10,FALSE)</f>
        <v>#N/A</v>
      </c>
      <c r="Z55" s="10" t="e">
        <f>VLOOKUP(AJ47,'FRC Site Data'!$B$3:$L$42,11,FALSE)</f>
        <v>#N/A</v>
      </c>
      <c r="AA55" s="10" t="e">
        <f>VLOOKUP(AJ47,'CIR Team Info'!$C$5:$E$44,4,FALSE)</f>
        <v>#N/A</v>
      </c>
      <c r="AB55" s="161" t="b">
        <f>ISNUMBER(VLOOKUP(AJ47,Match!$T$5:$T$10,1,FALSE))</f>
        <v>0</v>
      </c>
      <c r="AC55" s="161" t="b">
        <f>IF(AB55=TRUE,(VLOOKUP($AJ47,Match!$T$5:$U$10,2,FALSE)))</f>
        <v>0</v>
      </c>
      <c r="AD55" s="8">
        <v>3</v>
      </c>
      <c r="AE55" s="8">
        <v>2</v>
      </c>
      <c r="AF55" s="8">
        <v>2</v>
      </c>
      <c r="AG55" s="8">
        <v>1</v>
      </c>
      <c r="AH55" s="8" t="str">
        <f t="shared" si="22"/>
        <v/>
      </c>
      <c r="BA55" s="24"/>
      <c r="BC55" s="12"/>
      <c r="BS55" s="127"/>
    </row>
    <row r="56" spans="1:71" x14ac:dyDescent="0.25">
      <c r="A56" s="29">
        <f t="shared" si="0"/>
        <v>0</v>
      </c>
      <c r="B56" s="29">
        <f t="shared" si="2"/>
        <v>0</v>
      </c>
      <c r="C56" s="29">
        <f t="shared" si="3"/>
        <v>0</v>
      </c>
      <c r="D56" s="29">
        <f t="shared" si="4"/>
        <v>0</v>
      </c>
      <c r="E56" s="29">
        <f t="shared" si="1"/>
        <v>0</v>
      </c>
      <c r="F56" s="29">
        <f t="shared" si="16"/>
        <v>0</v>
      </c>
      <c r="G56" s="29" t="str">
        <f t="shared" si="17"/>
        <v>offensive</v>
      </c>
      <c r="H56" s="16">
        <f t="shared" si="7"/>
        <v>0</v>
      </c>
      <c r="I56" s="16">
        <f t="shared" si="8"/>
        <v>0</v>
      </c>
      <c r="J56" s="16">
        <f t="shared" si="9"/>
        <v>0</v>
      </c>
      <c r="K56" s="16">
        <f t="shared" si="18"/>
        <v>0</v>
      </c>
      <c r="L56" s="67">
        <f t="shared" si="19"/>
        <v>0</v>
      </c>
      <c r="M56" s="4">
        <f t="shared" si="12"/>
        <v>0</v>
      </c>
      <c r="N56" s="4">
        <f t="shared" si="20"/>
        <v>0</v>
      </c>
      <c r="O56" s="4">
        <f t="shared" si="21"/>
        <v>0</v>
      </c>
      <c r="P56" s="4" t="e">
        <f>VLOOKUP(AJ48,'CIR Team Info'!$C$5:$E$44,2,FALSE)</f>
        <v>#N/A</v>
      </c>
      <c r="Q56" s="4" t="e">
        <f>VLOOKUP(AJ48,'CIR Team Info'!$C$5:$E$44,3,FALSE)</f>
        <v>#N/A</v>
      </c>
      <c r="R56" s="10" t="e">
        <f>VLOOKUP(AJ48,'FRC Site Data'!$B$3:$L$42,2,FALSE)</f>
        <v>#N/A</v>
      </c>
      <c r="S56" s="10" t="e">
        <f>VLOOKUP(AJ48,'FRC Site Data'!$B$3:$L$42,3,FALSE)</f>
        <v>#N/A</v>
      </c>
      <c r="T56" s="10" t="e">
        <f>VLOOKUP(AJ48,'FRC Site Data'!$B$3:$L$42,4,FALSE)</f>
        <v>#N/A</v>
      </c>
      <c r="U56" s="10" t="e">
        <f>VLOOKUP(AJ48,'FRC Site Data'!$B$3:$L$42,5,FALSE)</f>
        <v>#N/A</v>
      </c>
      <c r="V56" s="10" t="e">
        <f>VLOOKUP(AJ48,'FRC Site Data'!$B$3:$L$42,6,FALSE)</f>
        <v>#N/A</v>
      </c>
      <c r="W56" s="10" t="e">
        <f>VLOOKUP(AJ48,'FRC Site Data'!$B$3:$L$42,8,FALSE)</f>
        <v>#N/A</v>
      </c>
      <c r="X56" s="10" t="e">
        <f>VLOOKUP(AJ48,'FRC Site Data'!$B$3:$L$42,9,FALSE)</f>
        <v>#N/A</v>
      </c>
      <c r="Y56" s="10" t="e">
        <f>VLOOKUP(AJ48,'FRC Site Data'!$B$3:$L$42,10,FALSE)</f>
        <v>#N/A</v>
      </c>
      <c r="Z56" s="10" t="e">
        <f>VLOOKUP(AJ48,'FRC Site Data'!$B$3:$L$42,11,FALSE)</f>
        <v>#N/A</v>
      </c>
      <c r="AA56" s="10" t="e">
        <f>VLOOKUP(AJ48,'CIR Team Info'!$C$5:$E$44,4,FALSE)</f>
        <v>#N/A</v>
      </c>
      <c r="AB56" s="161" t="b">
        <f>ISNUMBER(VLOOKUP(AJ48,Match!$T$5:$T$10,1,FALSE))</f>
        <v>0</v>
      </c>
      <c r="AC56" s="161" t="b">
        <f>IF(AB56=TRUE,(VLOOKUP($AJ48,Match!$T$5:$U$10,2,FALSE)))</f>
        <v>0</v>
      </c>
      <c r="AD56" s="8">
        <v>3</v>
      </c>
      <c r="AE56" s="8">
        <v>2</v>
      </c>
      <c r="AF56" s="8">
        <v>2</v>
      </c>
      <c r="AG56" s="8">
        <v>1</v>
      </c>
      <c r="AH56" s="8" t="str">
        <f t="shared" si="22"/>
        <v/>
      </c>
      <c r="BA56" s="24"/>
      <c r="BC56" s="12"/>
      <c r="BS56" s="127"/>
    </row>
    <row r="57" spans="1:71" x14ac:dyDescent="0.25">
      <c r="A57" s="29">
        <f t="shared" si="0"/>
        <v>0</v>
      </c>
      <c r="B57" s="29">
        <f t="shared" si="2"/>
        <v>0</v>
      </c>
      <c r="C57" s="29">
        <f t="shared" si="3"/>
        <v>0</v>
      </c>
      <c r="D57" s="29">
        <f t="shared" si="4"/>
        <v>0</v>
      </c>
      <c r="E57" s="29">
        <f t="shared" si="1"/>
        <v>0</v>
      </c>
      <c r="F57" s="29">
        <f t="shared" si="16"/>
        <v>0</v>
      </c>
      <c r="G57" s="29" t="str">
        <f t="shared" si="17"/>
        <v>offensive</v>
      </c>
      <c r="H57" s="16">
        <f t="shared" si="7"/>
        <v>0</v>
      </c>
      <c r="I57" s="16">
        <f t="shared" si="8"/>
        <v>0</v>
      </c>
      <c r="J57" s="16">
        <f t="shared" si="9"/>
        <v>0</v>
      </c>
      <c r="K57" s="16">
        <f t="shared" si="18"/>
        <v>0</v>
      </c>
      <c r="L57" s="67">
        <f t="shared" si="19"/>
        <v>0</v>
      </c>
      <c r="M57" s="4">
        <f t="shared" si="12"/>
        <v>0</v>
      </c>
      <c r="N57" s="4">
        <f t="shared" si="20"/>
        <v>0</v>
      </c>
      <c r="O57" s="4">
        <f t="shared" si="21"/>
        <v>0</v>
      </c>
      <c r="P57" s="4" t="e">
        <f>VLOOKUP(AJ49,'CIR Team Info'!$C$5:$E$44,2,FALSE)</f>
        <v>#N/A</v>
      </c>
      <c r="Q57" s="4" t="e">
        <f>VLOOKUP(AJ49,'CIR Team Info'!$C$5:$E$44,3,FALSE)</f>
        <v>#N/A</v>
      </c>
      <c r="R57" s="10" t="e">
        <f>VLOOKUP(AJ49,'FRC Site Data'!$B$3:$L$42,2,FALSE)</f>
        <v>#N/A</v>
      </c>
      <c r="S57" s="10" t="e">
        <f>VLOOKUP(AJ49,'FRC Site Data'!$B$3:$L$42,3,FALSE)</f>
        <v>#N/A</v>
      </c>
      <c r="T57" s="10" t="e">
        <f>VLOOKUP(AJ49,'FRC Site Data'!$B$3:$L$42,4,FALSE)</f>
        <v>#N/A</v>
      </c>
      <c r="U57" s="10" t="e">
        <f>VLOOKUP(AJ49,'FRC Site Data'!$B$3:$L$42,5,FALSE)</f>
        <v>#N/A</v>
      </c>
      <c r="V57" s="10" t="e">
        <f>VLOOKUP(AJ49,'FRC Site Data'!$B$3:$L$42,6,FALSE)</f>
        <v>#N/A</v>
      </c>
      <c r="W57" s="10" t="e">
        <f>VLOOKUP(AJ49,'FRC Site Data'!$B$3:$L$42,8,FALSE)</f>
        <v>#N/A</v>
      </c>
      <c r="X57" s="10" t="e">
        <f>VLOOKUP(AJ49,'FRC Site Data'!$B$3:$L$42,9,FALSE)</f>
        <v>#N/A</v>
      </c>
      <c r="Y57" s="10" t="e">
        <f>VLOOKUP(AJ49,'FRC Site Data'!$B$3:$L$42,10,FALSE)</f>
        <v>#N/A</v>
      </c>
      <c r="Z57" s="10" t="e">
        <f>VLOOKUP(AJ49,'FRC Site Data'!$B$3:$L$42,11,FALSE)</f>
        <v>#N/A</v>
      </c>
      <c r="AA57" s="10" t="e">
        <f>VLOOKUP(AJ49,'CIR Team Info'!$C$5:$E$44,4,FALSE)</f>
        <v>#N/A</v>
      </c>
      <c r="AB57" s="161" t="b">
        <f>ISNUMBER(VLOOKUP(AJ49,Match!$T$5:$T$10,1,FALSE))</f>
        <v>0</v>
      </c>
      <c r="AC57" s="161" t="b">
        <f>IF(AB57=TRUE,(VLOOKUP($AJ49,Match!$T$5:$U$10,2,FALSE)))</f>
        <v>0</v>
      </c>
      <c r="AD57" s="8">
        <v>3</v>
      </c>
      <c r="AE57" s="8">
        <v>2</v>
      </c>
      <c r="AF57" s="8">
        <v>2</v>
      </c>
      <c r="AG57" s="8">
        <v>1</v>
      </c>
      <c r="AH57" s="8" t="str">
        <f t="shared" si="22"/>
        <v/>
      </c>
      <c r="BA57" s="24"/>
      <c r="BC57" s="12"/>
      <c r="BS57" s="127"/>
    </row>
    <row r="58" spans="1:71" x14ac:dyDescent="0.25">
      <c r="A58" s="29">
        <f t="shared" si="0"/>
        <v>0</v>
      </c>
      <c r="B58" s="29">
        <f t="shared" si="2"/>
        <v>0</v>
      </c>
      <c r="C58" s="29">
        <f t="shared" si="3"/>
        <v>0</v>
      </c>
      <c r="D58" s="29">
        <f t="shared" si="4"/>
        <v>0</v>
      </c>
      <c r="E58" s="29">
        <f t="shared" si="1"/>
        <v>0</v>
      </c>
      <c r="F58" s="29">
        <f t="shared" si="16"/>
        <v>0</v>
      </c>
      <c r="G58" s="29" t="str">
        <f t="shared" si="17"/>
        <v>offensive</v>
      </c>
      <c r="H58" s="16">
        <f t="shared" si="7"/>
        <v>0</v>
      </c>
      <c r="I58" s="16">
        <f t="shared" si="8"/>
        <v>0</v>
      </c>
      <c r="J58" s="16">
        <f t="shared" si="9"/>
        <v>0</v>
      </c>
      <c r="K58" s="16">
        <f t="shared" si="18"/>
        <v>0</v>
      </c>
      <c r="L58" s="67">
        <f t="shared" si="19"/>
        <v>0</v>
      </c>
      <c r="M58" s="4">
        <f t="shared" si="12"/>
        <v>0</v>
      </c>
      <c r="N58" s="4">
        <f t="shared" si="20"/>
        <v>0</v>
      </c>
      <c r="O58" s="4">
        <f t="shared" si="21"/>
        <v>0</v>
      </c>
      <c r="P58" s="4" t="e">
        <f>VLOOKUP(AJ50,'CIR Team Info'!$C$5:$E$44,2,FALSE)</f>
        <v>#N/A</v>
      </c>
      <c r="Q58" s="4" t="e">
        <f>VLOOKUP(AJ50,'CIR Team Info'!$C$5:$E$44,3,FALSE)</f>
        <v>#N/A</v>
      </c>
      <c r="R58" s="10" t="e">
        <f>VLOOKUP(AJ50,'FRC Site Data'!$B$3:$L$42,2,FALSE)</f>
        <v>#N/A</v>
      </c>
      <c r="S58" s="10" t="e">
        <f>VLOOKUP(AJ50,'FRC Site Data'!$B$3:$L$42,3,FALSE)</f>
        <v>#N/A</v>
      </c>
      <c r="T58" s="10" t="e">
        <f>VLOOKUP(AJ50,'FRC Site Data'!$B$3:$L$42,4,FALSE)</f>
        <v>#N/A</v>
      </c>
      <c r="U58" s="10" t="e">
        <f>VLOOKUP(AJ50,'FRC Site Data'!$B$3:$L$42,5,FALSE)</f>
        <v>#N/A</v>
      </c>
      <c r="V58" s="10" t="e">
        <f>VLOOKUP(AJ50,'FRC Site Data'!$B$3:$L$42,6,FALSE)</f>
        <v>#N/A</v>
      </c>
      <c r="W58" s="10" t="e">
        <f>VLOOKUP(AJ50,'FRC Site Data'!$B$3:$L$42,8,FALSE)</f>
        <v>#N/A</v>
      </c>
      <c r="X58" s="10" t="e">
        <f>VLOOKUP(AJ50,'FRC Site Data'!$B$3:$L$42,9,FALSE)</f>
        <v>#N/A</v>
      </c>
      <c r="Y58" s="10" t="e">
        <f>VLOOKUP(AJ50,'FRC Site Data'!$B$3:$L$42,10,FALSE)</f>
        <v>#N/A</v>
      </c>
      <c r="Z58" s="10" t="e">
        <f>VLOOKUP(AJ50,'FRC Site Data'!$B$3:$L$42,11,FALSE)</f>
        <v>#N/A</v>
      </c>
      <c r="AA58" s="10" t="e">
        <f>VLOOKUP(AJ50,'CIR Team Info'!$C$5:$E$44,4,FALSE)</f>
        <v>#N/A</v>
      </c>
      <c r="AB58" s="161" t="b">
        <f>ISNUMBER(VLOOKUP(AJ50,Match!$T$5:$T$10,1,FALSE))</f>
        <v>0</v>
      </c>
      <c r="AC58" s="161" t="b">
        <f>IF(AB58=TRUE,(VLOOKUP($AJ50,Match!$T$5:$U$10,2,FALSE)))</f>
        <v>0</v>
      </c>
      <c r="AD58" s="8">
        <v>3</v>
      </c>
      <c r="AE58" s="8">
        <v>2</v>
      </c>
      <c r="AF58" s="8">
        <v>2</v>
      </c>
      <c r="AG58" s="8">
        <v>1</v>
      </c>
      <c r="AH58" s="8" t="str">
        <f t="shared" si="22"/>
        <v/>
      </c>
      <c r="BA58" s="24"/>
      <c r="BC58" s="12"/>
      <c r="BS58" s="127"/>
    </row>
    <row r="59" spans="1:71" x14ac:dyDescent="0.25">
      <c r="A59" s="29">
        <f t="shared" si="0"/>
        <v>0</v>
      </c>
      <c r="B59" s="29">
        <f t="shared" si="2"/>
        <v>0</v>
      </c>
      <c r="C59" s="29">
        <f t="shared" si="3"/>
        <v>0</v>
      </c>
      <c r="D59" s="29">
        <f t="shared" si="4"/>
        <v>0</v>
      </c>
      <c r="E59" s="29">
        <f t="shared" si="1"/>
        <v>0</v>
      </c>
      <c r="F59" s="29">
        <f t="shared" si="16"/>
        <v>0</v>
      </c>
      <c r="G59" s="29" t="str">
        <f t="shared" si="17"/>
        <v>offensive</v>
      </c>
      <c r="H59" s="16">
        <f t="shared" si="7"/>
        <v>0</v>
      </c>
      <c r="I59" s="16">
        <f t="shared" si="8"/>
        <v>0</v>
      </c>
      <c r="J59" s="16">
        <f t="shared" si="9"/>
        <v>0</v>
      </c>
      <c r="K59" s="16">
        <f t="shared" si="18"/>
        <v>0</v>
      </c>
      <c r="L59" s="67">
        <f t="shared" si="19"/>
        <v>0</v>
      </c>
      <c r="M59" s="4">
        <f t="shared" si="12"/>
        <v>0</v>
      </c>
      <c r="N59" s="4">
        <f t="shared" si="20"/>
        <v>0</v>
      </c>
      <c r="O59" s="4">
        <f t="shared" si="21"/>
        <v>0</v>
      </c>
      <c r="P59" s="4" t="e">
        <f>VLOOKUP(AJ51,'CIR Team Info'!$C$5:$E$44,2,FALSE)</f>
        <v>#N/A</v>
      </c>
      <c r="Q59" s="4" t="e">
        <f>VLOOKUP(AJ51,'CIR Team Info'!$C$5:$E$44,3,FALSE)</f>
        <v>#N/A</v>
      </c>
      <c r="R59" s="10" t="e">
        <f>VLOOKUP(AJ51,'FRC Site Data'!$B$3:$L$42,2,FALSE)</f>
        <v>#N/A</v>
      </c>
      <c r="S59" s="10" t="e">
        <f>VLOOKUP(AJ51,'FRC Site Data'!$B$3:$L$42,3,FALSE)</f>
        <v>#N/A</v>
      </c>
      <c r="T59" s="10" t="e">
        <f>VLOOKUP(AJ51,'FRC Site Data'!$B$3:$L$42,4,FALSE)</f>
        <v>#N/A</v>
      </c>
      <c r="U59" s="10" t="e">
        <f>VLOOKUP(AJ51,'FRC Site Data'!$B$3:$L$42,5,FALSE)</f>
        <v>#N/A</v>
      </c>
      <c r="V59" s="10" t="e">
        <f>VLOOKUP(AJ51,'FRC Site Data'!$B$3:$L$42,6,FALSE)</f>
        <v>#N/A</v>
      </c>
      <c r="W59" s="10" t="e">
        <f>VLOOKUP(AJ51,'FRC Site Data'!$B$3:$L$42,8,FALSE)</f>
        <v>#N/A</v>
      </c>
      <c r="X59" s="10" t="e">
        <f>VLOOKUP(AJ51,'FRC Site Data'!$B$3:$L$42,9,FALSE)</f>
        <v>#N/A</v>
      </c>
      <c r="Y59" s="10" t="e">
        <f>VLOOKUP(AJ51,'FRC Site Data'!$B$3:$L$42,10,FALSE)</f>
        <v>#N/A</v>
      </c>
      <c r="Z59" s="10" t="e">
        <f>VLOOKUP(AJ51,'FRC Site Data'!$B$3:$L$42,11,FALSE)</f>
        <v>#N/A</v>
      </c>
      <c r="AA59" s="10" t="e">
        <f>VLOOKUP(AJ51,'CIR Team Info'!$C$5:$E$44,4,FALSE)</f>
        <v>#N/A</v>
      </c>
      <c r="AB59" s="161" t="b">
        <f>ISNUMBER(VLOOKUP(AJ51,Match!$T$5:$T$10,1,FALSE))</f>
        <v>0</v>
      </c>
      <c r="AC59" s="161" t="b">
        <f>IF(AB59=TRUE,(VLOOKUP($AJ51,Match!$T$5:$U$10,2,FALSE)))</f>
        <v>0</v>
      </c>
      <c r="AD59" s="8">
        <v>3</v>
      </c>
      <c r="AE59" s="8">
        <v>2</v>
      </c>
      <c r="AF59" s="8">
        <v>2</v>
      </c>
      <c r="AG59" s="8">
        <v>1</v>
      </c>
      <c r="AH59" s="8" t="str">
        <f t="shared" si="22"/>
        <v/>
      </c>
      <c r="BA59" s="24"/>
      <c r="BC59" s="12"/>
      <c r="BS59" s="127"/>
    </row>
    <row r="60" spans="1:71" x14ac:dyDescent="0.25">
      <c r="A60" s="29">
        <f t="shared" si="0"/>
        <v>0</v>
      </c>
      <c r="B60" s="29">
        <f t="shared" si="2"/>
        <v>0</v>
      </c>
      <c r="C60" s="29">
        <f t="shared" si="3"/>
        <v>0</v>
      </c>
      <c r="D60" s="29">
        <f t="shared" si="4"/>
        <v>0</v>
      </c>
      <c r="E60" s="29">
        <f t="shared" si="1"/>
        <v>0</v>
      </c>
      <c r="F60" s="29">
        <f t="shared" si="16"/>
        <v>0</v>
      </c>
      <c r="G60" s="29" t="str">
        <f t="shared" si="17"/>
        <v>offensive</v>
      </c>
      <c r="H60" s="16">
        <f t="shared" si="7"/>
        <v>0</v>
      </c>
      <c r="I60" s="16">
        <f t="shared" si="8"/>
        <v>0</v>
      </c>
      <c r="J60" s="16">
        <f t="shared" si="9"/>
        <v>0</v>
      </c>
      <c r="K60" s="16">
        <f t="shared" si="18"/>
        <v>0</v>
      </c>
      <c r="L60" s="67">
        <f t="shared" si="19"/>
        <v>0</v>
      </c>
      <c r="M60" s="4">
        <f t="shared" si="12"/>
        <v>0</v>
      </c>
      <c r="N60" s="4">
        <f t="shared" si="20"/>
        <v>0</v>
      </c>
      <c r="O60" s="4">
        <f t="shared" si="21"/>
        <v>0</v>
      </c>
      <c r="P60" s="4" t="e">
        <f>VLOOKUP(AJ52,'CIR Team Info'!$C$5:$E$44,2,FALSE)</f>
        <v>#N/A</v>
      </c>
      <c r="Q60" s="4" t="e">
        <f>VLOOKUP(AJ52,'CIR Team Info'!$C$5:$E$44,3,FALSE)</f>
        <v>#N/A</v>
      </c>
      <c r="R60" s="10" t="e">
        <f>VLOOKUP(AJ52,'FRC Site Data'!$B$3:$L$42,2,FALSE)</f>
        <v>#N/A</v>
      </c>
      <c r="S60" s="10" t="e">
        <f>VLOOKUP(AJ52,'FRC Site Data'!$B$3:$L$42,3,FALSE)</f>
        <v>#N/A</v>
      </c>
      <c r="T60" s="10" t="e">
        <f>VLOOKUP(AJ52,'FRC Site Data'!$B$3:$L$42,4,FALSE)</f>
        <v>#N/A</v>
      </c>
      <c r="U60" s="10" t="e">
        <f>VLOOKUP(AJ52,'FRC Site Data'!$B$3:$L$42,5,FALSE)</f>
        <v>#N/A</v>
      </c>
      <c r="V60" s="10" t="e">
        <f>VLOOKUP(AJ52,'FRC Site Data'!$B$3:$L$42,6,FALSE)</f>
        <v>#N/A</v>
      </c>
      <c r="W60" s="10" t="e">
        <f>VLOOKUP(AJ52,'FRC Site Data'!$B$3:$L$42,8,FALSE)</f>
        <v>#N/A</v>
      </c>
      <c r="X60" s="10" t="e">
        <f>VLOOKUP(AJ52,'FRC Site Data'!$B$3:$L$42,9,FALSE)</f>
        <v>#N/A</v>
      </c>
      <c r="Y60" s="10" t="e">
        <f>VLOOKUP(AJ52,'FRC Site Data'!$B$3:$L$42,10,FALSE)</f>
        <v>#N/A</v>
      </c>
      <c r="Z60" s="10" t="e">
        <f>VLOOKUP(AJ52,'FRC Site Data'!$B$3:$L$42,11,FALSE)</f>
        <v>#N/A</v>
      </c>
      <c r="AA60" s="10" t="e">
        <f>VLOOKUP(AJ52,'CIR Team Info'!$C$5:$E$44,4,FALSE)</f>
        <v>#N/A</v>
      </c>
      <c r="AB60" s="161" t="b">
        <f>ISNUMBER(VLOOKUP(AJ52,Match!$T$5:$T$10,1,FALSE))</f>
        <v>0</v>
      </c>
      <c r="AC60" s="161" t="b">
        <f>IF(AB60=TRUE,(VLOOKUP($AJ52,Match!$T$5:$U$10,2,FALSE)))</f>
        <v>0</v>
      </c>
      <c r="AD60" s="8">
        <v>3</v>
      </c>
      <c r="AE60" s="8">
        <v>2</v>
      </c>
      <c r="AF60" s="8">
        <v>2</v>
      </c>
      <c r="AG60" s="8">
        <v>1</v>
      </c>
      <c r="AH60" s="8" t="str">
        <f t="shared" si="22"/>
        <v/>
      </c>
      <c r="BA60" s="24"/>
      <c r="BC60" s="12"/>
      <c r="BS60" s="127"/>
    </row>
    <row r="61" spans="1:71" x14ac:dyDescent="0.25">
      <c r="A61" s="29">
        <f t="shared" si="0"/>
        <v>0</v>
      </c>
      <c r="B61" s="29">
        <f t="shared" si="2"/>
        <v>0</v>
      </c>
      <c r="C61" s="29">
        <f t="shared" si="3"/>
        <v>0</v>
      </c>
      <c r="D61" s="29">
        <f t="shared" si="4"/>
        <v>0</v>
      </c>
      <c r="E61" s="29">
        <f t="shared" si="1"/>
        <v>0</v>
      </c>
      <c r="F61" s="29">
        <f t="shared" si="16"/>
        <v>0</v>
      </c>
      <c r="G61" s="29" t="str">
        <f t="shared" si="17"/>
        <v>offensive</v>
      </c>
      <c r="H61" s="16">
        <f t="shared" si="7"/>
        <v>0</v>
      </c>
      <c r="I61" s="16">
        <f t="shared" si="8"/>
        <v>0</v>
      </c>
      <c r="J61" s="16">
        <f t="shared" si="9"/>
        <v>0</v>
      </c>
      <c r="K61" s="16">
        <f t="shared" si="18"/>
        <v>0</v>
      </c>
      <c r="L61" s="67">
        <f t="shared" si="19"/>
        <v>0</v>
      </c>
      <c r="M61" s="4">
        <f t="shared" si="12"/>
        <v>0</v>
      </c>
      <c r="N61" s="4">
        <f t="shared" ref="N61:N124" si="23">AO53+AV53+BD53</f>
        <v>0</v>
      </c>
      <c r="O61" s="4">
        <f t="shared" si="21"/>
        <v>0</v>
      </c>
      <c r="P61" s="4" t="e">
        <f>VLOOKUP(AJ53,'CIR Team Info'!$C$5:$E$44,2,FALSE)</f>
        <v>#N/A</v>
      </c>
      <c r="Q61" s="4" t="e">
        <f>VLOOKUP(AJ53,'CIR Team Info'!$C$5:$E$44,3,FALSE)</f>
        <v>#N/A</v>
      </c>
      <c r="R61" s="10" t="e">
        <f>VLOOKUP(AJ53,'FRC Site Data'!$B$3:$L$42,2,FALSE)</f>
        <v>#N/A</v>
      </c>
      <c r="S61" s="10" t="e">
        <f>VLOOKUP(AJ53,'FRC Site Data'!$B$3:$L$42,3,FALSE)</f>
        <v>#N/A</v>
      </c>
      <c r="T61" s="10" t="e">
        <f>VLOOKUP(AJ53,'FRC Site Data'!$B$3:$L$42,4,FALSE)</f>
        <v>#N/A</v>
      </c>
      <c r="U61" s="10" t="e">
        <f>VLOOKUP(AJ53,'FRC Site Data'!$B$3:$L$42,5,FALSE)</f>
        <v>#N/A</v>
      </c>
      <c r="V61" s="10" t="e">
        <f>VLOOKUP(AJ53,'FRC Site Data'!$B$3:$L$42,6,FALSE)</f>
        <v>#N/A</v>
      </c>
      <c r="W61" s="10" t="e">
        <f>VLOOKUP(AJ53,'FRC Site Data'!$B$3:$L$42,8,FALSE)</f>
        <v>#N/A</v>
      </c>
      <c r="X61" s="10" t="e">
        <f>VLOOKUP(AJ53,'FRC Site Data'!$B$3:$L$42,9,FALSE)</f>
        <v>#N/A</v>
      </c>
      <c r="Y61" s="10" t="e">
        <f>VLOOKUP(AJ53,'FRC Site Data'!$B$3:$L$42,10,FALSE)</f>
        <v>#N/A</v>
      </c>
      <c r="Z61" s="10" t="e">
        <f>VLOOKUP(AJ53,'FRC Site Data'!$B$3:$L$42,11,FALSE)</f>
        <v>#N/A</v>
      </c>
      <c r="AA61" s="10" t="e">
        <f>VLOOKUP(AJ53,'CIR Team Info'!$C$5:$E$44,4,FALSE)</f>
        <v>#N/A</v>
      </c>
      <c r="AB61" s="161" t="b">
        <f>ISNUMBER(VLOOKUP(AJ53,Match!$T$5:$T$10,1,FALSE))</f>
        <v>0</v>
      </c>
      <c r="AC61" s="161" t="b">
        <f>IF(AB61=TRUE,(VLOOKUP($AJ53,Match!$T$5:$U$10,2,FALSE)))</f>
        <v>0</v>
      </c>
      <c r="AD61" s="8">
        <v>3</v>
      </c>
      <c r="AE61" s="8">
        <v>2</v>
      </c>
      <c r="AF61" s="8">
        <v>2</v>
      </c>
      <c r="AG61" s="8">
        <v>1</v>
      </c>
      <c r="AH61" s="8" t="str">
        <f t="shared" si="22"/>
        <v/>
      </c>
      <c r="BA61" s="24"/>
      <c r="BC61" s="12"/>
      <c r="BS61" s="127"/>
    </row>
    <row r="62" spans="1:71" x14ac:dyDescent="0.25">
      <c r="A62" s="29">
        <f t="shared" ref="A62:A125" si="24">SUM(B62:F62)</f>
        <v>0</v>
      </c>
      <c r="B62" s="29">
        <f t="shared" si="2"/>
        <v>0</v>
      </c>
      <c r="C62" s="29">
        <f t="shared" si="3"/>
        <v>0</v>
      </c>
      <c r="D62" s="29">
        <f t="shared" si="4"/>
        <v>0</v>
      </c>
      <c r="E62" s="29">
        <f t="shared" ref="E62:E125" si="25">K62*O62</f>
        <v>0</v>
      </c>
      <c r="F62" s="29">
        <f t="shared" ref="F62:F125" si="26">IF(AN54&gt;0,5)-2*COUNTIF(AQ54,"K")+5*COUNTIF(AS54,"T")+IF(AX54=3,2)+IF(AY54="T",2)</f>
        <v>0</v>
      </c>
      <c r="G62" s="29" t="str">
        <f t="shared" ref="G62:G125" si="27">IF((BB54+BC54)&gt;45,"defensive",IF((BB54+BC54)&gt;15,"both","offensive"))</f>
        <v>offensive</v>
      </c>
      <c r="H62" s="16">
        <f t="shared" si="7"/>
        <v>0</v>
      </c>
      <c r="I62" s="16">
        <f t="shared" si="8"/>
        <v>0</v>
      </c>
      <c r="J62" s="16">
        <f t="shared" si="9"/>
        <v>0</v>
      </c>
      <c r="K62" s="16">
        <f t="shared" ref="K62:K125" si="28">IF((BB54+BC54)=0,0,((AZ54*BB54*0.2)+(BA54*BC54*0.3))/(BB54+BC54))</f>
        <v>0</v>
      </c>
      <c r="L62" s="67">
        <f t="shared" ref="L62:L125" si="29">IF(BF54&gt;BG54,BF54,BG54)</f>
        <v>0</v>
      </c>
      <c r="M62" s="4">
        <f t="shared" si="12"/>
        <v>0</v>
      </c>
      <c r="N62" s="4">
        <f t="shared" si="23"/>
        <v>0</v>
      </c>
      <c r="O62" s="4">
        <f t="shared" ref="O62:O125" si="30">(AZ54*0.2*BB54*30/30)+(BA54*0.3*BC54*12/30)-BI54-BJ54</f>
        <v>0</v>
      </c>
      <c r="P62" s="4" t="e">
        <f>VLOOKUP(AJ54,'CIR Team Info'!$C$5:$E$44,2,FALSE)</f>
        <v>#N/A</v>
      </c>
      <c r="Q62" s="4" t="e">
        <f>VLOOKUP(AJ54,'CIR Team Info'!$C$5:$E$44,3,FALSE)</f>
        <v>#N/A</v>
      </c>
      <c r="R62" s="10" t="e">
        <f>VLOOKUP(AJ54,'FRC Site Data'!$B$3:$L$42,2,FALSE)</f>
        <v>#N/A</v>
      </c>
      <c r="S62" s="10" t="e">
        <f>VLOOKUP(AJ54,'FRC Site Data'!$B$3:$L$42,3,FALSE)</f>
        <v>#N/A</v>
      </c>
      <c r="T62" s="10" t="e">
        <f>VLOOKUP(AJ54,'FRC Site Data'!$B$3:$L$42,4,FALSE)</f>
        <v>#N/A</v>
      </c>
      <c r="U62" s="10" t="e">
        <f>VLOOKUP(AJ54,'FRC Site Data'!$B$3:$L$42,5,FALSE)</f>
        <v>#N/A</v>
      </c>
      <c r="V62" s="10" t="e">
        <f>VLOOKUP(AJ54,'FRC Site Data'!$B$3:$L$42,6,FALSE)</f>
        <v>#N/A</v>
      </c>
      <c r="W62" s="10" t="e">
        <f>VLOOKUP(AJ54,'FRC Site Data'!$B$3:$L$42,8,FALSE)</f>
        <v>#N/A</v>
      </c>
      <c r="X62" s="10" t="e">
        <f>VLOOKUP(AJ54,'FRC Site Data'!$B$3:$L$42,9,FALSE)</f>
        <v>#N/A</v>
      </c>
      <c r="Y62" s="10" t="e">
        <f>VLOOKUP(AJ54,'FRC Site Data'!$B$3:$L$42,10,FALSE)</f>
        <v>#N/A</v>
      </c>
      <c r="Z62" s="10" t="e">
        <f>VLOOKUP(AJ54,'FRC Site Data'!$B$3:$L$42,11,FALSE)</f>
        <v>#N/A</v>
      </c>
      <c r="AA62" s="10" t="e">
        <f>VLOOKUP(AJ54,'CIR Team Info'!$C$5:$E$44,4,FALSE)</f>
        <v>#N/A</v>
      </c>
      <c r="AB62" s="161" t="b">
        <f>ISNUMBER(VLOOKUP(AJ54,Match!$T$5:$T$10,1,FALSE))</f>
        <v>0</v>
      </c>
      <c r="AC62" s="161" t="b">
        <f>IF(AB62=TRUE,(VLOOKUP($AJ54,Match!$T$5:$U$10,2,FALSE)))</f>
        <v>0</v>
      </c>
      <c r="AD62" s="8">
        <v>3</v>
      </c>
      <c r="AE62" s="8">
        <v>2</v>
      </c>
      <c r="AF62" s="8">
        <v>2</v>
      </c>
      <c r="AG62" s="8">
        <v>1</v>
      </c>
      <c r="AH62" s="8" t="str">
        <f t="shared" si="22"/>
        <v/>
      </c>
      <c r="BA62" s="24"/>
      <c r="BC62" s="12"/>
      <c r="BS62" s="127"/>
    </row>
    <row r="63" spans="1:71" x14ac:dyDescent="0.25">
      <c r="A63" s="29">
        <f t="shared" si="24"/>
        <v>0</v>
      </c>
      <c r="B63" s="29">
        <f t="shared" si="2"/>
        <v>0</v>
      </c>
      <c r="C63" s="29">
        <f t="shared" si="3"/>
        <v>0</v>
      </c>
      <c r="D63" s="29">
        <f t="shared" si="4"/>
        <v>0</v>
      </c>
      <c r="E63" s="29">
        <f t="shared" si="25"/>
        <v>0</v>
      </c>
      <c r="F63" s="29">
        <f t="shared" si="26"/>
        <v>0</v>
      </c>
      <c r="G63" s="29" t="str">
        <f t="shared" si="27"/>
        <v>offensive</v>
      </c>
      <c r="H63" s="16">
        <f t="shared" si="7"/>
        <v>0</v>
      </c>
      <c r="I63" s="16">
        <f t="shared" si="8"/>
        <v>0</v>
      </c>
      <c r="J63" s="16">
        <f t="shared" si="9"/>
        <v>0</v>
      </c>
      <c r="K63" s="16">
        <f t="shared" si="28"/>
        <v>0</v>
      </c>
      <c r="L63" s="67">
        <f t="shared" si="29"/>
        <v>0</v>
      </c>
      <c r="M63" s="4">
        <f t="shared" si="12"/>
        <v>0</v>
      </c>
      <c r="N63" s="4">
        <f t="shared" si="23"/>
        <v>0</v>
      </c>
      <c r="O63" s="4">
        <f t="shared" si="30"/>
        <v>0</v>
      </c>
      <c r="P63" s="4" t="e">
        <f>VLOOKUP(AJ55,'CIR Team Info'!$C$5:$E$44,2,FALSE)</f>
        <v>#N/A</v>
      </c>
      <c r="Q63" s="4" t="e">
        <f>VLOOKUP(AJ55,'CIR Team Info'!$C$5:$E$44,3,FALSE)</f>
        <v>#N/A</v>
      </c>
      <c r="R63" s="10" t="e">
        <f>VLOOKUP(AJ55,'FRC Site Data'!$B$3:$L$42,2,FALSE)</f>
        <v>#N/A</v>
      </c>
      <c r="S63" s="10" t="e">
        <f>VLOOKUP(AJ55,'FRC Site Data'!$B$3:$L$42,3,FALSE)</f>
        <v>#N/A</v>
      </c>
      <c r="T63" s="10" t="e">
        <f>VLOOKUP(AJ55,'FRC Site Data'!$B$3:$L$42,4,FALSE)</f>
        <v>#N/A</v>
      </c>
      <c r="U63" s="10" t="e">
        <f>VLOOKUP(AJ55,'FRC Site Data'!$B$3:$L$42,5,FALSE)</f>
        <v>#N/A</v>
      </c>
      <c r="V63" s="10" t="e">
        <f>VLOOKUP(AJ55,'FRC Site Data'!$B$3:$L$42,6,FALSE)</f>
        <v>#N/A</v>
      </c>
      <c r="W63" s="10" t="e">
        <f>VLOOKUP(AJ55,'FRC Site Data'!$B$3:$L$42,8,FALSE)</f>
        <v>#N/A</v>
      </c>
      <c r="X63" s="10" t="e">
        <f>VLOOKUP(AJ55,'FRC Site Data'!$B$3:$L$42,9,FALSE)</f>
        <v>#N/A</v>
      </c>
      <c r="Y63" s="10" t="e">
        <f>VLOOKUP(AJ55,'FRC Site Data'!$B$3:$L$42,10,FALSE)</f>
        <v>#N/A</v>
      </c>
      <c r="Z63" s="10" t="e">
        <f>VLOOKUP(AJ55,'FRC Site Data'!$B$3:$L$42,11,FALSE)</f>
        <v>#N/A</v>
      </c>
      <c r="AA63" s="10" t="e">
        <f>VLOOKUP(AJ55,'CIR Team Info'!$C$5:$E$44,4,FALSE)</f>
        <v>#N/A</v>
      </c>
      <c r="AB63" s="161" t="b">
        <f>ISNUMBER(VLOOKUP(AJ55,Match!$T$5:$T$10,1,FALSE))</f>
        <v>0</v>
      </c>
      <c r="AC63" s="161" t="b">
        <f>IF(AB63=TRUE,(VLOOKUP($AJ55,Match!$T$5:$U$10,2,FALSE)))</f>
        <v>0</v>
      </c>
      <c r="AD63" s="8">
        <v>3</v>
      </c>
      <c r="AE63" s="8">
        <v>2</v>
      </c>
      <c r="AF63" s="8">
        <v>2</v>
      </c>
      <c r="AG63" s="8">
        <v>1</v>
      </c>
      <c r="AH63" s="8" t="str">
        <f t="shared" si="22"/>
        <v/>
      </c>
      <c r="BA63" s="24"/>
      <c r="BC63" s="12"/>
      <c r="BS63" s="127"/>
    </row>
    <row r="64" spans="1:71" x14ac:dyDescent="0.25">
      <c r="A64" s="29">
        <f t="shared" si="24"/>
        <v>0</v>
      </c>
      <c r="B64" s="29">
        <f t="shared" si="2"/>
        <v>0</v>
      </c>
      <c r="C64" s="29">
        <f t="shared" si="3"/>
        <v>0</v>
      </c>
      <c r="D64" s="29">
        <f t="shared" si="4"/>
        <v>0</v>
      </c>
      <c r="E64" s="29">
        <f t="shared" si="25"/>
        <v>0</v>
      </c>
      <c r="F64" s="29">
        <f t="shared" si="26"/>
        <v>0</v>
      </c>
      <c r="G64" s="29" t="str">
        <f t="shared" si="27"/>
        <v>offensive</v>
      </c>
      <c r="H64" s="16">
        <f t="shared" si="7"/>
        <v>0</v>
      </c>
      <c r="I64" s="16">
        <f t="shared" si="8"/>
        <v>0</v>
      </c>
      <c r="J64" s="16">
        <f t="shared" si="9"/>
        <v>0</v>
      </c>
      <c r="K64" s="16">
        <f t="shared" si="28"/>
        <v>0</v>
      </c>
      <c r="L64" s="67">
        <f t="shared" si="29"/>
        <v>0</v>
      </c>
      <c r="M64" s="4">
        <f t="shared" si="12"/>
        <v>0</v>
      </c>
      <c r="N64" s="4">
        <f t="shared" si="23"/>
        <v>0</v>
      </c>
      <c r="O64" s="4">
        <f t="shared" si="30"/>
        <v>0</v>
      </c>
      <c r="P64" s="4" t="e">
        <f>VLOOKUP(AJ56,'CIR Team Info'!$C$5:$E$44,2,FALSE)</f>
        <v>#N/A</v>
      </c>
      <c r="Q64" s="4" t="e">
        <f>VLOOKUP(AJ56,'CIR Team Info'!$C$5:$E$44,3,FALSE)</f>
        <v>#N/A</v>
      </c>
      <c r="R64" s="10" t="e">
        <f>VLOOKUP(AJ56,'FRC Site Data'!$B$3:$L$42,2,FALSE)</f>
        <v>#N/A</v>
      </c>
      <c r="S64" s="10" t="e">
        <f>VLOOKUP(AJ56,'FRC Site Data'!$B$3:$L$42,3,FALSE)</f>
        <v>#N/A</v>
      </c>
      <c r="T64" s="10" t="e">
        <f>VLOOKUP(AJ56,'FRC Site Data'!$B$3:$L$42,4,FALSE)</f>
        <v>#N/A</v>
      </c>
      <c r="U64" s="10" t="e">
        <f>VLOOKUP(AJ56,'FRC Site Data'!$B$3:$L$42,5,FALSE)</f>
        <v>#N/A</v>
      </c>
      <c r="V64" s="10" t="e">
        <f>VLOOKUP(AJ56,'FRC Site Data'!$B$3:$L$42,6,FALSE)</f>
        <v>#N/A</v>
      </c>
      <c r="W64" s="10" t="e">
        <f>VLOOKUP(AJ56,'FRC Site Data'!$B$3:$L$42,8,FALSE)</f>
        <v>#N/A</v>
      </c>
      <c r="X64" s="10" t="e">
        <f>VLOOKUP(AJ56,'FRC Site Data'!$B$3:$L$42,9,FALSE)</f>
        <v>#N/A</v>
      </c>
      <c r="Y64" s="10" t="e">
        <f>VLOOKUP(AJ56,'FRC Site Data'!$B$3:$L$42,10,FALSE)</f>
        <v>#N/A</v>
      </c>
      <c r="Z64" s="10" t="e">
        <f>VLOOKUP(AJ56,'FRC Site Data'!$B$3:$L$42,11,FALSE)</f>
        <v>#N/A</v>
      </c>
      <c r="AA64" s="10" t="e">
        <f>VLOOKUP(AJ56,'CIR Team Info'!$C$5:$E$44,4,FALSE)</f>
        <v>#N/A</v>
      </c>
      <c r="AB64" s="161" t="b">
        <f>ISNUMBER(VLOOKUP(AJ56,Match!$T$5:$T$10,1,FALSE))</f>
        <v>0</v>
      </c>
      <c r="AC64" s="161" t="b">
        <f>IF(AB64=TRUE,(VLOOKUP($AJ56,Match!$T$5:$U$10,2,FALSE)))</f>
        <v>0</v>
      </c>
      <c r="AD64" s="8">
        <v>3</v>
      </c>
      <c r="AE64" s="8">
        <v>2</v>
      </c>
      <c r="AF64" s="8">
        <v>2</v>
      </c>
      <c r="AG64" s="8">
        <v>1</v>
      </c>
      <c r="AH64" s="8" t="str">
        <f t="shared" si="22"/>
        <v/>
      </c>
      <c r="BA64" s="24"/>
      <c r="BC64" s="12"/>
      <c r="BS64" s="127"/>
    </row>
    <row r="65" spans="1:71" x14ac:dyDescent="0.25">
      <c r="A65" s="29">
        <f t="shared" si="24"/>
        <v>0</v>
      </c>
      <c r="B65" s="29">
        <f t="shared" si="2"/>
        <v>0</v>
      </c>
      <c r="C65" s="29">
        <f t="shared" si="3"/>
        <v>0</v>
      </c>
      <c r="D65" s="29">
        <f t="shared" si="4"/>
        <v>0</v>
      </c>
      <c r="E65" s="29">
        <f t="shared" si="25"/>
        <v>0</v>
      </c>
      <c r="F65" s="29">
        <f t="shared" si="26"/>
        <v>0</v>
      </c>
      <c r="G65" s="29" t="str">
        <f t="shared" si="27"/>
        <v>offensive</v>
      </c>
      <c r="H65" s="16">
        <f t="shared" si="7"/>
        <v>0</v>
      </c>
      <c r="I65" s="16">
        <f t="shared" si="8"/>
        <v>0</v>
      </c>
      <c r="J65" s="16">
        <f t="shared" si="9"/>
        <v>0</v>
      </c>
      <c r="K65" s="16">
        <f t="shared" si="28"/>
        <v>0</v>
      </c>
      <c r="L65" s="67">
        <f t="shared" si="29"/>
        <v>0</v>
      </c>
      <c r="M65" s="4">
        <f t="shared" si="12"/>
        <v>0</v>
      </c>
      <c r="N65" s="4">
        <f t="shared" si="23"/>
        <v>0</v>
      </c>
      <c r="O65" s="4">
        <f t="shared" si="30"/>
        <v>0</v>
      </c>
      <c r="P65" s="4" t="e">
        <f>VLOOKUP(AJ57,'CIR Team Info'!$C$5:$E$44,2,FALSE)</f>
        <v>#N/A</v>
      </c>
      <c r="Q65" s="4" t="e">
        <f>VLOOKUP(AJ57,'CIR Team Info'!$C$5:$E$44,3,FALSE)</f>
        <v>#N/A</v>
      </c>
      <c r="R65" s="10" t="e">
        <f>VLOOKUP(AJ57,'FRC Site Data'!$B$3:$L$42,2,FALSE)</f>
        <v>#N/A</v>
      </c>
      <c r="S65" s="10" t="e">
        <f>VLOOKUP(AJ57,'FRC Site Data'!$B$3:$L$42,3,FALSE)</f>
        <v>#N/A</v>
      </c>
      <c r="T65" s="10" t="e">
        <f>VLOOKUP(AJ57,'FRC Site Data'!$B$3:$L$42,4,FALSE)</f>
        <v>#N/A</v>
      </c>
      <c r="U65" s="10" t="e">
        <f>VLOOKUP(AJ57,'FRC Site Data'!$B$3:$L$42,5,FALSE)</f>
        <v>#N/A</v>
      </c>
      <c r="V65" s="10" t="e">
        <f>VLOOKUP(AJ57,'FRC Site Data'!$B$3:$L$42,6,FALSE)</f>
        <v>#N/A</v>
      </c>
      <c r="W65" s="10" t="e">
        <f>VLOOKUP(AJ57,'FRC Site Data'!$B$3:$L$42,8,FALSE)</f>
        <v>#N/A</v>
      </c>
      <c r="X65" s="10" t="e">
        <f>VLOOKUP(AJ57,'FRC Site Data'!$B$3:$L$42,9,FALSE)</f>
        <v>#N/A</v>
      </c>
      <c r="Y65" s="10" t="e">
        <f>VLOOKUP(AJ57,'FRC Site Data'!$B$3:$L$42,10,FALSE)</f>
        <v>#N/A</v>
      </c>
      <c r="Z65" s="10" t="e">
        <f>VLOOKUP(AJ57,'FRC Site Data'!$B$3:$L$42,11,FALSE)</f>
        <v>#N/A</v>
      </c>
      <c r="AA65" s="10" t="e">
        <f>VLOOKUP(AJ57,'CIR Team Info'!$C$5:$E$44,4,FALSE)</f>
        <v>#N/A</v>
      </c>
      <c r="AB65" s="161" t="b">
        <f>ISNUMBER(VLOOKUP(AJ57,Match!$T$5:$T$10,1,FALSE))</f>
        <v>0</v>
      </c>
      <c r="AC65" s="161" t="b">
        <f>IF(AB65=TRUE,(VLOOKUP($AJ57,Match!$T$5:$U$10,2,FALSE)))</f>
        <v>0</v>
      </c>
      <c r="AD65" s="8">
        <v>3</v>
      </c>
      <c r="AE65" s="8">
        <v>2</v>
      </c>
      <c r="AF65" s="8">
        <v>2</v>
      </c>
      <c r="AG65" s="8">
        <v>1</v>
      </c>
      <c r="AH65" s="8" t="str">
        <f t="shared" si="22"/>
        <v/>
      </c>
      <c r="BA65" s="24"/>
      <c r="BC65" s="12"/>
      <c r="BS65" s="127"/>
    </row>
    <row r="66" spans="1:71" x14ac:dyDescent="0.25">
      <c r="A66" s="29">
        <f t="shared" si="24"/>
        <v>0</v>
      </c>
      <c r="B66" s="29">
        <f t="shared" si="2"/>
        <v>0</v>
      </c>
      <c r="C66" s="29">
        <f t="shared" si="3"/>
        <v>0</v>
      </c>
      <c r="D66" s="29">
        <f t="shared" si="4"/>
        <v>0</v>
      </c>
      <c r="E66" s="29">
        <f t="shared" si="25"/>
        <v>0</v>
      </c>
      <c r="F66" s="29">
        <f t="shared" si="26"/>
        <v>0</v>
      </c>
      <c r="G66" s="29" t="str">
        <f t="shared" si="27"/>
        <v>offensive</v>
      </c>
      <c r="H66" s="16">
        <f t="shared" si="7"/>
        <v>0</v>
      </c>
      <c r="I66" s="16">
        <f t="shared" si="8"/>
        <v>0</v>
      </c>
      <c r="J66" s="16">
        <f t="shared" si="9"/>
        <v>0</v>
      </c>
      <c r="K66" s="16">
        <f t="shared" si="28"/>
        <v>0</v>
      </c>
      <c r="L66" s="67">
        <f t="shared" si="29"/>
        <v>0</v>
      </c>
      <c r="M66" s="4">
        <f t="shared" si="12"/>
        <v>0</v>
      </c>
      <c r="N66" s="4">
        <f t="shared" si="23"/>
        <v>0</v>
      </c>
      <c r="O66" s="4">
        <f t="shared" si="30"/>
        <v>0</v>
      </c>
      <c r="P66" s="4" t="e">
        <f>VLOOKUP(AJ58,'CIR Team Info'!$C$5:$E$44,2,FALSE)</f>
        <v>#N/A</v>
      </c>
      <c r="Q66" s="4" t="e">
        <f>VLOOKUP(AJ58,'CIR Team Info'!$C$5:$E$44,3,FALSE)</f>
        <v>#N/A</v>
      </c>
      <c r="R66" s="10" t="e">
        <f>VLOOKUP(AJ58,'FRC Site Data'!$B$3:$L$42,2,FALSE)</f>
        <v>#N/A</v>
      </c>
      <c r="S66" s="10" t="e">
        <f>VLOOKUP(AJ58,'FRC Site Data'!$B$3:$L$42,3,FALSE)</f>
        <v>#N/A</v>
      </c>
      <c r="T66" s="10" t="e">
        <f>VLOOKUP(AJ58,'FRC Site Data'!$B$3:$L$42,4,FALSE)</f>
        <v>#N/A</v>
      </c>
      <c r="U66" s="10" t="e">
        <f>VLOOKUP(AJ58,'FRC Site Data'!$B$3:$L$42,5,FALSE)</f>
        <v>#N/A</v>
      </c>
      <c r="V66" s="10" t="e">
        <f>VLOOKUP(AJ58,'FRC Site Data'!$B$3:$L$42,6,FALSE)</f>
        <v>#N/A</v>
      </c>
      <c r="W66" s="10" t="e">
        <f>VLOOKUP(AJ58,'FRC Site Data'!$B$3:$L$42,8,FALSE)</f>
        <v>#N/A</v>
      </c>
      <c r="X66" s="10" t="e">
        <f>VLOOKUP(AJ58,'FRC Site Data'!$B$3:$L$42,9,FALSE)</f>
        <v>#N/A</v>
      </c>
      <c r="Y66" s="10" t="e">
        <f>VLOOKUP(AJ58,'FRC Site Data'!$B$3:$L$42,10,FALSE)</f>
        <v>#N/A</v>
      </c>
      <c r="Z66" s="10" t="e">
        <f>VLOOKUP(AJ58,'FRC Site Data'!$B$3:$L$42,11,FALSE)</f>
        <v>#N/A</v>
      </c>
      <c r="AA66" s="10" t="e">
        <f>VLOOKUP(AJ58,'CIR Team Info'!$C$5:$E$44,4,FALSE)</f>
        <v>#N/A</v>
      </c>
      <c r="AB66" s="161" t="b">
        <f>ISNUMBER(VLOOKUP(AJ58,Match!$T$5:$T$10,1,FALSE))</f>
        <v>0</v>
      </c>
      <c r="AC66" s="161" t="b">
        <f>IF(AB66=TRUE,(VLOOKUP($AJ58,Match!$T$5:$U$10,2,FALSE)))</f>
        <v>0</v>
      </c>
      <c r="AD66" s="8">
        <v>3</v>
      </c>
      <c r="AE66" s="8">
        <v>2</v>
      </c>
      <c r="AF66" s="8">
        <v>2</v>
      </c>
      <c r="AG66" s="8">
        <v>1</v>
      </c>
      <c r="AH66" s="8" t="str">
        <f t="shared" si="22"/>
        <v/>
      </c>
      <c r="BA66" s="24"/>
      <c r="BC66" s="12"/>
      <c r="BS66" s="127"/>
    </row>
    <row r="67" spans="1:71" x14ac:dyDescent="0.25">
      <c r="A67" s="29">
        <f t="shared" si="24"/>
        <v>0</v>
      </c>
      <c r="B67" s="29">
        <f t="shared" si="2"/>
        <v>0</v>
      </c>
      <c r="C67" s="29">
        <f t="shared" si="3"/>
        <v>0</v>
      </c>
      <c r="D67" s="29">
        <f t="shared" si="4"/>
        <v>0</v>
      </c>
      <c r="E67" s="29">
        <f t="shared" si="25"/>
        <v>0</v>
      </c>
      <c r="F67" s="29">
        <f t="shared" si="26"/>
        <v>0</v>
      </c>
      <c r="G67" s="29" t="str">
        <f t="shared" si="27"/>
        <v>offensive</v>
      </c>
      <c r="H67" s="16">
        <f t="shared" si="7"/>
        <v>0</v>
      </c>
      <c r="I67" s="16">
        <f t="shared" si="8"/>
        <v>0</v>
      </c>
      <c r="J67" s="16">
        <f t="shared" si="9"/>
        <v>0</v>
      </c>
      <c r="K67" s="16">
        <f t="shared" si="28"/>
        <v>0</v>
      </c>
      <c r="L67" s="67">
        <f t="shared" si="29"/>
        <v>0</v>
      </c>
      <c r="M67" s="4">
        <f t="shared" si="12"/>
        <v>0</v>
      </c>
      <c r="N67" s="4">
        <f t="shared" si="23"/>
        <v>0</v>
      </c>
      <c r="O67" s="4">
        <f t="shared" si="30"/>
        <v>0</v>
      </c>
      <c r="P67" s="4" t="e">
        <f>VLOOKUP(AJ59,'CIR Team Info'!$C$5:$E$44,2,FALSE)</f>
        <v>#N/A</v>
      </c>
      <c r="Q67" s="4" t="e">
        <f>VLOOKUP(AJ59,'CIR Team Info'!$C$5:$E$44,3,FALSE)</f>
        <v>#N/A</v>
      </c>
      <c r="R67" s="10" t="e">
        <f>VLOOKUP(AJ59,'FRC Site Data'!$B$3:$L$42,2,FALSE)</f>
        <v>#N/A</v>
      </c>
      <c r="S67" s="10" t="e">
        <f>VLOOKUP(AJ59,'FRC Site Data'!$B$3:$L$42,3,FALSE)</f>
        <v>#N/A</v>
      </c>
      <c r="T67" s="10" t="e">
        <f>VLOOKUP(AJ59,'FRC Site Data'!$B$3:$L$42,4,FALSE)</f>
        <v>#N/A</v>
      </c>
      <c r="U67" s="10" t="e">
        <f>VLOOKUP(AJ59,'FRC Site Data'!$B$3:$L$42,5,FALSE)</f>
        <v>#N/A</v>
      </c>
      <c r="V67" s="10" t="e">
        <f>VLOOKUP(AJ59,'FRC Site Data'!$B$3:$L$42,6,FALSE)</f>
        <v>#N/A</v>
      </c>
      <c r="W67" s="10" t="e">
        <f>VLOOKUP(AJ59,'FRC Site Data'!$B$3:$L$42,8,FALSE)</f>
        <v>#N/A</v>
      </c>
      <c r="X67" s="10" t="e">
        <f>VLOOKUP(AJ59,'FRC Site Data'!$B$3:$L$42,9,FALSE)</f>
        <v>#N/A</v>
      </c>
      <c r="Y67" s="10" t="e">
        <f>VLOOKUP(AJ59,'FRC Site Data'!$B$3:$L$42,10,FALSE)</f>
        <v>#N/A</v>
      </c>
      <c r="Z67" s="10" t="e">
        <f>VLOOKUP(AJ59,'FRC Site Data'!$B$3:$L$42,11,FALSE)</f>
        <v>#N/A</v>
      </c>
      <c r="AA67" s="10" t="e">
        <f>VLOOKUP(AJ59,'CIR Team Info'!$C$5:$E$44,4,FALSE)</f>
        <v>#N/A</v>
      </c>
      <c r="AB67" s="161" t="b">
        <f>ISNUMBER(VLOOKUP(AJ59,Match!$T$5:$T$10,1,FALSE))</f>
        <v>0</v>
      </c>
      <c r="AC67" s="161" t="b">
        <f>IF(AB67=TRUE,(VLOOKUP($AJ59,Match!$T$5:$U$10,2,FALSE)))</f>
        <v>0</v>
      </c>
      <c r="AD67" s="8">
        <v>3</v>
      </c>
      <c r="AE67" s="8">
        <v>2</v>
      </c>
      <c r="AF67" s="8">
        <v>2</v>
      </c>
      <c r="AG67" s="8">
        <v>1</v>
      </c>
      <c r="AH67" s="8" t="str">
        <f t="shared" si="22"/>
        <v/>
      </c>
      <c r="BA67" s="24"/>
      <c r="BC67" s="12"/>
      <c r="BS67" s="127"/>
    </row>
    <row r="68" spans="1:71" x14ac:dyDescent="0.25">
      <c r="A68" s="29">
        <f t="shared" si="24"/>
        <v>0</v>
      </c>
      <c r="B68" s="29">
        <f t="shared" si="2"/>
        <v>0</v>
      </c>
      <c r="C68" s="29">
        <f t="shared" si="3"/>
        <v>0</v>
      </c>
      <c r="D68" s="29">
        <f t="shared" si="4"/>
        <v>0</v>
      </c>
      <c r="E68" s="29">
        <f t="shared" si="25"/>
        <v>0</v>
      </c>
      <c r="F68" s="29">
        <f t="shared" si="26"/>
        <v>0</v>
      </c>
      <c r="G68" s="29" t="str">
        <f t="shared" si="27"/>
        <v>offensive</v>
      </c>
      <c r="H68" s="16">
        <f t="shared" si="7"/>
        <v>0</v>
      </c>
      <c r="I68" s="16">
        <f t="shared" si="8"/>
        <v>0</v>
      </c>
      <c r="J68" s="16">
        <f t="shared" si="9"/>
        <v>0</v>
      </c>
      <c r="K68" s="16">
        <f t="shared" si="28"/>
        <v>0</v>
      </c>
      <c r="L68" s="67">
        <f t="shared" si="29"/>
        <v>0</v>
      </c>
      <c r="M68" s="4">
        <f t="shared" si="12"/>
        <v>0</v>
      </c>
      <c r="N68" s="4">
        <f t="shared" si="23"/>
        <v>0</v>
      </c>
      <c r="O68" s="4">
        <f t="shared" si="30"/>
        <v>0</v>
      </c>
      <c r="P68" s="4" t="e">
        <f>VLOOKUP(AJ60,'CIR Team Info'!$C$5:$E$44,2,FALSE)</f>
        <v>#N/A</v>
      </c>
      <c r="Q68" s="4" t="e">
        <f>VLOOKUP(AJ60,'CIR Team Info'!$C$5:$E$44,3,FALSE)</f>
        <v>#N/A</v>
      </c>
      <c r="R68" s="10" t="e">
        <f>VLOOKUP(AJ60,'FRC Site Data'!$B$3:$L$42,2,FALSE)</f>
        <v>#N/A</v>
      </c>
      <c r="S68" s="10" t="e">
        <f>VLOOKUP(AJ60,'FRC Site Data'!$B$3:$L$42,3,FALSE)</f>
        <v>#N/A</v>
      </c>
      <c r="T68" s="10" t="e">
        <f>VLOOKUP(AJ60,'FRC Site Data'!$B$3:$L$42,4,FALSE)</f>
        <v>#N/A</v>
      </c>
      <c r="U68" s="10" t="e">
        <f>VLOOKUP(AJ60,'FRC Site Data'!$B$3:$L$42,5,FALSE)</f>
        <v>#N/A</v>
      </c>
      <c r="V68" s="10" t="e">
        <f>VLOOKUP(AJ60,'FRC Site Data'!$B$3:$L$42,6,FALSE)</f>
        <v>#N/A</v>
      </c>
      <c r="W68" s="10" t="e">
        <f>VLOOKUP(AJ60,'FRC Site Data'!$B$3:$L$42,8,FALSE)</f>
        <v>#N/A</v>
      </c>
      <c r="X68" s="10" t="e">
        <f>VLOOKUP(AJ60,'FRC Site Data'!$B$3:$L$42,9,FALSE)</f>
        <v>#N/A</v>
      </c>
      <c r="Y68" s="10" t="e">
        <f>VLOOKUP(AJ60,'FRC Site Data'!$B$3:$L$42,10,FALSE)</f>
        <v>#N/A</v>
      </c>
      <c r="Z68" s="10" t="e">
        <f>VLOOKUP(AJ60,'FRC Site Data'!$B$3:$L$42,11,FALSE)</f>
        <v>#N/A</v>
      </c>
      <c r="AA68" s="10" t="e">
        <f>VLOOKUP(AJ60,'CIR Team Info'!$C$5:$E$44,4,FALSE)</f>
        <v>#N/A</v>
      </c>
      <c r="AB68" s="161" t="b">
        <f>ISNUMBER(VLOOKUP(AJ60,Match!$T$5:$T$10,1,FALSE))</f>
        <v>0</v>
      </c>
      <c r="AC68" s="161" t="b">
        <f>IF(AB68=TRUE,(VLOOKUP($AJ60,Match!$T$5:$U$10,2,FALSE)))</f>
        <v>0</v>
      </c>
      <c r="AD68" s="8">
        <v>3</v>
      </c>
      <c r="AE68" s="8">
        <v>2</v>
      </c>
      <c r="AF68" s="8">
        <v>2</v>
      </c>
      <c r="AG68" s="8">
        <v>1</v>
      </c>
      <c r="AH68" s="8" t="str">
        <f t="shared" si="22"/>
        <v/>
      </c>
      <c r="BA68" s="24"/>
      <c r="BC68" s="12"/>
      <c r="BS68" s="127"/>
    </row>
    <row r="69" spans="1:71" x14ac:dyDescent="0.25">
      <c r="A69" s="29">
        <f t="shared" si="24"/>
        <v>0</v>
      </c>
      <c r="B69" s="29">
        <f t="shared" si="2"/>
        <v>0</v>
      </c>
      <c r="C69" s="29">
        <f t="shared" si="3"/>
        <v>0</v>
      </c>
      <c r="D69" s="29">
        <f t="shared" si="4"/>
        <v>0</v>
      </c>
      <c r="E69" s="29">
        <f t="shared" si="25"/>
        <v>0</v>
      </c>
      <c r="F69" s="29">
        <f t="shared" si="26"/>
        <v>0</v>
      </c>
      <c r="G69" s="29" t="str">
        <f t="shared" si="27"/>
        <v>offensive</v>
      </c>
      <c r="H69" s="16">
        <f t="shared" ref="H69:H132" si="31">IF((AO61+AP61)=0,0,AO61/(AO61+AP61))</f>
        <v>0</v>
      </c>
      <c r="I69" s="16">
        <f t="shared" ref="I69:I132" si="32">IF((AV61+AW61)=0,0,AV61/(AV61+AW61))</f>
        <v>0</v>
      </c>
      <c r="J69" s="16">
        <f t="shared" si="9"/>
        <v>0</v>
      </c>
      <c r="K69" s="16">
        <f t="shared" si="28"/>
        <v>0</v>
      </c>
      <c r="L69" s="67">
        <f t="shared" si="29"/>
        <v>0</v>
      </c>
      <c r="M69" s="4">
        <f t="shared" si="12"/>
        <v>0</v>
      </c>
      <c r="N69" s="4">
        <f t="shared" si="23"/>
        <v>0</v>
      </c>
      <c r="O69" s="4">
        <f t="shared" si="30"/>
        <v>0</v>
      </c>
      <c r="P69" s="4" t="e">
        <f>VLOOKUP(AJ61,'CIR Team Info'!$C$5:$E$44,2,FALSE)</f>
        <v>#N/A</v>
      </c>
      <c r="Q69" s="4" t="e">
        <f>VLOOKUP(AJ61,'CIR Team Info'!$C$5:$E$44,3,FALSE)</f>
        <v>#N/A</v>
      </c>
      <c r="R69" s="10" t="e">
        <f>VLOOKUP(AJ61,'FRC Site Data'!$B$3:$L$42,2,FALSE)</f>
        <v>#N/A</v>
      </c>
      <c r="S69" s="10" t="e">
        <f>VLOOKUP(AJ61,'FRC Site Data'!$B$3:$L$42,3,FALSE)</f>
        <v>#N/A</v>
      </c>
      <c r="T69" s="10" t="e">
        <f>VLOOKUP(AJ61,'FRC Site Data'!$B$3:$L$42,4,FALSE)</f>
        <v>#N/A</v>
      </c>
      <c r="U69" s="10" t="e">
        <f>VLOOKUP(AJ61,'FRC Site Data'!$B$3:$L$42,5,FALSE)</f>
        <v>#N/A</v>
      </c>
      <c r="V69" s="10" t="e">
        <f>VLOOKUP(AJ61,'FRC Site Data'!$B$3:$L$42,6,FALSE)</f>
        <v>#N/A</v>
      </c>
      <c r="W69" s="10" t="e">
        <f>VLOOKUP(AJ61,'FRC Site Data'!$B$3:$L$42,8,FALSE)</f>
        <v>#N/A</v>
      </c>
      <c r="X69" s="10" t="e">
        <f>VLOOKUP(AJ61,'FRC Site Data'!$B$3:$L$42,9,FALSE)</f>
        <v>#N/A</v>
      </c>
      <c r="Y69" s="10" t="e">
        <f>VLOOKUP(AJ61,'FRC Site Data'!$B$3:$L$42,10,FALSE)</f>
        <v>#N/A</v>
      </c>
      <c r="Z69" s="10" t="e">
        <f>VLOOKUP(AJ61,'FRC Site Data'!$B$3:$L$42,11,FALSE)</f>
        <v>#N/A</v>
      </c>
      <c r="AA69" s="10" t="e">
        <f>VLOOKUP(AJ61,'CIR Team Info'!$C$5:$E$44,4,FALSE)</f>
        <v>#N/A</v>
      </c>
      <c r="AB69" s="161" t="b">
        <f>ISNUMBER(VLOOKUP(AJ61,Match!$T$5:$T$10,1,FALSE))</f>
        <v>0</v>
      </c>
      <c r="AC69" s="161" t="b">
        <f>IF(AB69=TRUE,(VLOOKUP($AJ61,Match!$T$5:$U$10,2,FALSE)))</f>
        <v>0</v>
      </c>
      <c r="AD69" s="8">
        <v>3</v>
      </c>
      <c r="AE69" s="8">
        <v>2</v>
      </c>
      <c r="AF69" s="8">
        <v>2</v>
      </c>
      <c r="AG69" s="8">
        <v>1</v>
      </c>
      <c r="AH69" s="8" t="str">
        <f t="shared" si="22"/>
        <v/>
      </c>
      <c r="BA69" s="24"/>
      <c r="BC69" s="12"/>
      <c r="BS69" s="127"/>
    </row>
    <row r="70" spans="1:71" x14ac:dyDescent="0.25">
      <c r="A70" s="29">
        <f t="shared" si="24"/>
        <v>0</v>
      </c>
      <c r="B70" s="29">
        <f t="shared" ref="B70:B133" si="33">H70*AD70*AO62</f>
        <v>0</v>
      </c>
      <c r="C70" s="29">
        <f t="shared" ref="C70:C133" si="34">I70*AE70*AV62</f>
        <v>0</v>
      </c>
      <c r="D70" s="29">
        <f t="shared" ref="D70:D133" si="35">J70*AF70*BF62</f>
        <v>0</v>
      </c>
      <c r="E70" s="29">
        <f t="shared" si="25"/>
        <v>0</v>
      </c>
      <c r="F70" s="29">
        <f t="shared" si="26"/>
        <v>0</v>
      </c>
      <c r="G70" s="29" t="str">
        <f t="shared" si="27"/>
        <v>offensive</v>
      </c>
      <c r="H70" s="16">
        <f t="shared" si="31"/>
        <v>0</v>
      </c>
      <c r="I70" s="16">
        <f t="shared" si="32"/>
        <v>0</v>
      </c>
      <c r="J70" s="16">
        <f t="shared" ref="J70:J133" si="36">IF(L70=0,0,BG62/L70)</f>
        <v>0</v>
      </c>
      <c r="K70" s="16">
        <f t="shared" si="28"/>
        <v>0</v>
      </c>
      <c r="L70" s="67">
        <f t="shared" si="29"/>
        <v>0</v>
      </c>
      <c r="M70" s="4">
        <f t="shared" ref="M70:M133" si="37">AO62+AV62+BD62+O70</f>
        <v>0</v>
      </c>
      <c r="N70" s="4">
        <f t="shared" si="23"/>
        <v>0</v>
      </c>
      <c r="O70" s="4">
        <f t="shared" si="30"/>
        <v>0</v>
      </c>
      <c r="P70" s="4" t="e">
        <f>VLOOKUP(AJ62,'CIR Team Info'!$C$5:$E$44,2,FALSE)</f>
        <v>#N/A</v>
      </c>
      <c r="Q70" s="4" t="e">
        <f>VLOOKUP(AJ62,'CIR Team Info'!$C$5:$E$44,3,FALSE)</f>
        <v>#N/A</v>
      </c>
      <c r="R70" s="10" t="e">
        <f>VLOOKUP(AJ62,'FRC Site Data'!$B$3:$L$42,2,FALSE)</f>
        <v>#N/A</v>
      </c>
      <c r="S70" s="10" t="e">
        <f>VLOOKUP(AJ62,'FRC Site Data'!$B$3:$L$42,3,FALSE)</f>
        <v>#N/A</v>
      </c>
      <c r="T70" s="10" t="e">
        <f>VLOOKUP(AJ62,'FRC Site Data'!$B$3:$L$42,4,FALSE)</f>
        <v>#N/A</v>
      </c>
      <c r="U70" s="10" t="e">
        <f>VLOOKUP(AJ62,'FRC Site Data'!$B$3:$L$42,5,FALSE)</f>
        <v>#N/A</v>
      </c>
      <c r="V70" s="10" t="e">
        <f>VLOOKUP(AJ62,'FRC Site Data'!$B$3:$L$42,6,FALSE)</f>
        <v>#N/A</v>
      </c>
      <c r="W70" s="10" t="e">
        <f>VLOOKUP(AJ62,'FRC Site Data'!$B$3:$L$42,8,FALSE)</f>
        <v>#N/A</v>
      </c>
      <c r="X70" s="10" t="e">
        <f>VLOOKUP(AJ62,'FRC Site Data'!$B$3:$L$42,9,FALSE)</f>
        <v>#N/A</v>
      </c>
      <c r="Y70" s="10" t="e">
        <f>VLOOKUP(AJ62,'FRC Site Data'!$B$3:$L$42,10,FALSE)</f>
        <v>#N/A</v>
      </c>
      <c r="Z70" s="10" t="e">
        <f>VLOOKUP(AJ62,'FRC Site Data'!$B$3:$L$42,11,FALSE)</f>
        <v>#N/A</v>
      </c>
      <c r="AA70" s="10" t="e">
        <f>VLOOKUP(AJ62,'CIR Team Info'!$C$5:$E$44,4,FALSE)</f>
        <v>#N/A</v>
      </c>
      <c r="AB70" s="161" t="b">
        <f>ISNUMBER(VLOOKUP(AJ62,Match!$T$5:$T$10,1,FALSE))</f>
        <v>0</v>
      </c>
      <c r="AC70" s="161" t="b">
        <f>IF(AB70=TRUE,(VLOOKUP($AJ62,Match!$T$5:$U$10,2,FALSE)))</f>
        <v>0</v>
      </c>
      <c r="AD70" s="8">
        <v>3</v>
      </c>
      <c r="AE70" s="8">
        <v>2</v>
      </c>
      <c r="AF70" s="8">
        <v>2</v>
      </c>
      <c r="AG70" s="8">
        <v>1</v>
      </c>
      <c r="AH70" s="8" t="str">
        <f t="shared" si="22"/>
        <v/>
      </c>
      <c r="BA70" s="24"/>
      <c r="BC70" s="12"/>
      <c r="BS70" s="127"/>
    </row>
    <row r="71" spans="1:71" x14ac:dyDescent="0.25">
      <c r="A71" s="29">
        <f t="shared" si="24"/>
        <v>0</v>
      </c>
      <c r="B71" s="29">
        <f t="shared" si="33"/>
        <v>0</v>
      </c>
      <c r="C71" s="29">
        <f t="shared" si="34"/>
        <v>0</v>
      </c>
      <c r="D71" s="29">
        <f t="shared" si="35"/>
        <v>0</v>
      </c>
      <c r="E71" s="29">
        <f t="shared" si="25"/>
        <v>0</v>
      </c>
      <c r="F71" s="29">
        <f t="shared" si="26"/>
        <v>0</v>
      </c>
      <c r="G71" s="29" t="str">
        <f t="shared" si="27"/>
        <v>offensive</v>
      </c>
      <c r="H71" s="16">
        <f t="shared" si="31"/>
        <v>0</v>
      </c>
      <c r="I71" s="16">
        <f t="shared" si="32"/>
        <v>0</v>
      </c>
      <c r="J71" s="16">
        <f t="shared" si="36"/>
        <v>0</v>
      </c>
      <c r="K71" s="16">
        <f t="shared" si="28"/>
        <v>0</v>
      </c>
      <c r="L71" s="67">
        <f t="shared" si="29"/>
        <v>0</v>
      </c>
      <c r="M71" s="4">
        <f t="shared" si="37"/>
        <v>0</v>
      </c>
      <c r="N71" s="4">
        <f t="shared" si="23"/>
        <v>0</v>
      </c>
      <c r="O71" s="4">
        <f t="shared" si="30"/>
        <v>0</v>
      </c>
      <c r="P71" s="4" t="e">
        <f>VLOOKUP(AJ63,'CIR Team Info'!$C$5:$E$44,2,FALSE)</f>
        <v>#N/A</v>
      </c>
      <c r="Q71" s="4" t="e">
        <f>VLOOKUP(AJ63,'CIR Team Info'!$C$5:$E$44,3,FALSE)</f>
        <v>#N/A</v>
      </c>
      <c r="R71" s="10" t="e">
        <f>VLOOKUP(AJ63,'FRC Site Data'!$B$3:$L$42,2,FALSE)</f>
        <v>#N/A</v>
      </c>
      <c r="S71" s="10" t="e">
        <f>VLOOKUP(AJ63,'FRC Site Data'!$B$3:$L$42,3,FALSE)</f>
        <v>#N/A</v>
      </c>
      <c r="T71" s="10" t="e">
        <f>VLOOKUP(AJ63,'FRC Site Data'!$B$3:$L$42,4,FALSE)</f>
        <v>#N/A</v>
      </c>
      <c r="U71" s="10" t="e">
        <f>VLOOKUP(AJ63,'FRC Site Data'!$B$3:$L$42,5,FALSE)</f>
        <v>#N/A</v>
      </c>
      <c r="V71" s="10" t="e">
        <f>VLOOKUP(AJ63,'FRC Site Data'!$B$3:$L$42,6,FALSE)</f>
        <v>#N/A</v>
      </c>
      <c r="W71" s="10" t="e">
        <f>VLOOKUP(AJ63,'FRC Site Data'!$B$3:$L$42,8,FALSE)</f>
        <v>#N/A</v>
      </c>
      <c r="X71" s="10" t="e">
        <f>VLOOKUP(AJ63,'FRC Site Data'!$B$3:$L$42,9,FALSE)</f>
        <v>#N/A</v>
      </c>
      <c r="Y71" s="10" t="e">
        <f>VLOOKUP(AJ63,'FRC Site Data'!$B$3:$L$42,10,FALSE)</f>
        <v>#N/A</v>
      </c>
      <c r="Z71" s="10" t="e">
        <f>VLOOKUP(AJ63,'FRC Site Data'!$B$3:$L$42,11,FALSE)</f>
        <v>#N/A</v>
      </c>
      <c r="AA71" s="10" t="e">
        <f>VLOOKUP(AJ63,'CIR Team Info'!$C$5:$E$44,4,FALSE)</f>
        <v>#N/A</v>
      </c>
      <c r="AB71" s="161" t="b">
        <f>ISNUMBER(VLOOKUP(AJ63,Match!$T$5:$T$10,1,FALSE))</f>
        <v>0</v>
      </c>
      <c r="AC71" s="161" t="b">
        <f>IF(AB71=TRUE,(VLOOKUP($AJ63,Match!$T$5:$U$10,2,FALSE)))</f>
        <v>0</v>
      </c>
      <c r="AD71" s="8">
        <v>3</v>
      </c>
      <c r="AE71" s="8">
        <v>2</v>
      </c>
      <c r="AF71" s="8">
        <v>2</v>
      </c>
      <c r="AG71" s="8">
        <v>1</v>
      </c>
      <c r="AH71" s="8" t="str">
        <f t="shared" si="22"/>
        <v/>
      </c>
      <c r="BA71" s="24"/>
      <c r="BC71" s="12"/>
      <c r="BS71" s="127"/>
    </row>
    <row r="72" spans="1:71" x14ac:dyDescent="0.25">
      <c r="A72" s="29">
        <f t="shared" si="24"/>
        <v>0</v>
      </c>
      <c r="B72" s="29">
        <f t="shared" si="33"/>
        <v>0</v>
      </c>
      <c r="C72" s="29">
        <f t="shared" si="34"/>
        <v>0</v>
      </c>
      <c r="D72" s="29">
        <f t="shared" si="35"/>
        <v>0</v>
      </c>
      <c r="E72" s="29">
        <f t="shared" si="25"/>
        <v>0</v>
      </c>
      <c r="F72" s="29">
        <f t="shared" si="26"/>
        <v>0</v>
      </c>
      <c r="G72" s="29" t="str">
        <f t="shared" si="27"/>
        <v>offensive</v>
      </c>
      <c r="H72" s="16">
        <f t="shared" si="31"/>
        <v>0</v>
      </c>
      <c r="I72" s="16">
        <f t="shared" si="32"/>
        <v>0</v>
      </c>
      <c r="J72" s="16">
        <f t="shared" si="36"/>
        <v>0</v>
      </c>
      <c r="K72" s="16">
        <f t="shared" si="28"/>
        <v>0</v>
      </c>
      <c r="L72" s="67">
        <f t="shared" si="29"/>
        <v>0</v>
      </c>
      <c r="M72" s="4">
        <f t="shared" si="37"/>
        <v>0</v>
      </c>
      <c r="N72" s="4">
        <f t="shared" si="23"/>
        <v>0</v>
      </c>
      <c r="O72" s="4">
        <f t="shared" si="30"/>
        <v>0</v>
      </c>
      <c r="P72" s="4" t="e">
        <f>VLOOKUP(AJ64,'CIR Team Info'!$C$5:$E$44,2,FALSE)</f>
        <v>#N/A</v>
      </c>
      <c r="Q72" s="4" t="e">
        <f>VLOOKUP(AJ64,'CIR Team Info'!$C$5:$E$44,3,FALSE)</f>
        <v>#N/A</v>
      </c>
      <c r="R72" s="10" t="e">
        <f>VLOOKUP(AJ64,'FRC Site Data'!$B$3:$L$42,2,FALSE)</f>
        <v>#N/A</v>
      </c>
      <c r="S72" s="10" t="e">
        <f>VLOOKUP(AJ64,'FRC Site Data'!$B$3:$L$42,3,FALSE)</f>
        <v>#N/A</v>
      </c>
      <c r="T72" s="10" t="e">
        <f>VLOOKUP(AJ64,'FRC Site Data'!$B$3:$L$42,4,FALSE)</f>
        <v>#N/A</v>
      </c>
      <c r="U72" s="10" t="e">
        <f>VLOOKUP(AJ64,'FRC Site Data'!$B$3:$L$42,5,FALSE)</f>
        <v>#N/A</v>
      </c>
      <c r="V72" s="10" t="e">
        <f>VLOOKUP(AJ64,'FRC Site Data'!$B$3:$L$42,6,FALSE)</f>
        <v>#N/A</v>
      </c>
      <c r="W72" s="10" t="e">
        <f>VLOOKUP(AJ64,'FRC Site Data'!$B$3:$L$42,8,FALSE)</f>
        <v>#N/A</v>
      </c>
      <c r="X72" s="10" t="e">
        <f>VLOOKUP(AJ64,'FRC Site Data'!$B$3:$L$42,9,FALSE)</f>
        <v>#N/A</v>
      </c>
      <c r="Y72" s="10" t="e">
        <f>VLOOKUP(AJ64,'FRC Site Data'!$B$3:$L$42,10,FALSE)</f>
        <v>#N/A</v>
      </c>
      <c r="Z72" s="10" t="e">
        <f>VLOOKUP(AJ64,'FRC Site Data'!$B$3:$L$42,11,FALSE)</f>
        <v>#N/A</v>
      </c>
      <c r="AA72" s="10" t="e">
        <f>VLOOKUP(AJ64,'CIR Team Info'!$C$5:$E$44,4,FALSE)</f>
        <v>#N/A</v>
      </c>
      <c r="AB72" s="161" t="b">
        <f>ISNUMBER(VLOOKUP(AJ64,Match!$T$5:$T$10,1,FALSE))</f>
        <v>0</v>
      </c>
      <c r="AC72" s="161" t="b">
        <f>IF(AB72=TRUE,(VLOOKUP($AJ64,Match!$T$5:$U$10,2,FALSE)))</f>
        <v>0</v>
      </c>
      <c r="AD72" s="8">
        <v>3</v>
      </c>
      <c r="AE72" s="8">
        <v>2</v>
      </c>
      <c r="AF72" s="8">
        <v>2</v>
      </c>
      <c r="AG72" s="8">
        <v>1</v>
      </c>
      <c r="AH72" s="8" t="str">
        <f t="shared" ref="AH72:AH83" si="38">IF(AL64="Other","x","")</f>
        <v/>
      </c>
      <c r="BA72" s="24"/>
      <c r="BC72" s="12"/>
      <c r="BS72" s="127"/>
    </row>
    <row r="73" spans="1:71" x14ac:dyDescent="0.25">
      <c r="A73" s="29">
        <f t="shared" si="24"/>
        <v>0</v>
      </c>
      <c r="B73" s="29">
        <f t="shared" si="33"/>
        <v>0</v>
      </c>
      <c r="C73" s="29">
        <f t="shared" si="34"/>
        <v>0</v>
      </c>
      <c r="D73" s="29">
        <f t="shared" si="35"/>
        <v>0</v>
      </c>
      <c r="E73" s="29">
        <f t="shared" si="25"/>
        <v>0</v>
      </c>
      <c r="F73" s="29">
        <f t="shared" si="26"/>
        <v>0</v>
      </c>
      <c r="G73" s="29" t="str">
        <f t="shared" si="27"/>
        <v>offensive</v>
      </c>
      <c r="H73" s="16">
        <f t="shared" si="31"/>
        <v>0</v>
      </c>
      <c r="I73" s="16">
        <f t="shared" si="32"/>
        <v>0</v>
      </c>
      <c r="J73" s="16">
        <f t="shared" si="36"/>
        <v>0</v>
      </c>
      <c r="K73" s="16">
        <f t="shared" si="28"/>
        <v>0</v>
      </c>
      <c r="L73" s="67">
        <f t="shared" si="29"/>
        <v>0</v>
      </c>
      <c r="M73" s="4">
        <f t="shared" si="37"/>
        <v>0</v>
      </c>
      <c r="N73" s="4">
        <f t="shared" si="23"/>
        <v>0</v>
      </c>
      <c r="O73" s="4">
        <f t="shared" si="30"/>
        <v>0</v>
      </c>
      <c r="P73" s="4" t="e">
        <f>VLOOKUP(AJ65,'CIR Team Info'!$C$5:$E$44,2,FALSE)</f>
        <v>#N/A</v>
      </c>
      <c r="Q73" s="4" t="e">
        <f>VLOOKUP(AJ65,'CIR Team Info'!$C$5:$E$44,3,FALSE)</f>
        <v>#N/A</v>
      </c>
      <c r="R73" s="10" t="e">
        <f>VLOOKUP(AJ65,'FRC Site Data'!$B$3:$L$42,2,FALSE)</f>
        <v>#N/A</v>
      </c>
      <c r="S73" s="10" t="e">
        <f>VLOOKUP(AJ65,'FRC Site Data'!$B$3:$L$42,3,FALSE)</f>
        <v>#N/A</v>
      </c>
      <c r="T73" s="10" t="e">
        <f>VLOOKUP(AJ65,'FRC Site Data'!$B$3:$L$42,4,FALSE)</f>
        <v>#N/A</v>
      </c>
      <c r="U73" s="10" t="e">
        <f>VLOOKUP(AJ65,'FRC Site Data'!$B$3:$L$42,5,FALSE)</f>
        <v>#N/A</v>
      </c>
      <c r="V73" s="10" t="e">
        <f>VLOOKUP(AJ65,'FRC Site Data'!$B$3:$L$42,6,FALSE)</f>
        <v>#N/A</v>
      </c>
      <c r="W73" s="10" t="e">
        <f>VLOOKUP(AJ65,'FRC Site Data'!$B$3:$L$42,8,FALSE)</f>
        <v>#N/A</v>
      </c>
      <c r="X73" s="10" t="e">
        <f>VLOOKUP(AJ65,'FRC Site Data'!$B$3:$L$42,9,FALSE)</f>
        <v>#N/A</v>
      </c>
      <c r="Y73" s="10" t="e">
        <f>VLOOKUP(AJ65,'FRC Site Data'!$B$3:$L$42,10,FALSE)</f>
        <v>#N/A</v>
      </c>
      <c r="Z73" s="10" t="e">
        <f>VLOOKUP(AJ65,'FRC Site Data'!$B$3:$L$42,11,FALSE)</f>
        <v>#N/A</v>
      </c>
      <c r="AA73" s="10" t="e">
        <f>VLOOKUP(AJ65,'CIR Team Info'!$C$5:$E$44,4,FALSE)</f>
        <v>#N/A</v>
      </c>
      <c r="AB73" s="161" t="b">
        <f>ISNUMBER(VLOOKUP(AJ65,Match!$T$5:$T$10,1,FALSE))</f>
        <v>0</v>
      </c>
      <c r="AC73" s="161" t="b">
        <f>IF(AB73=TRUE,(VLOOKUP($AJ65,Match!$T$5:$U$10,2,FALSE)))</f>
        <v>0</v>
      </c>
      <c r="AD73" s="8">
        <v>3</v>
      </c>
      <c r="AE73" s="8">
        <v>2</v>
      </c>
      <c r="AF73" s="8">
        <v>2</v>
      </c>
      <c r="AG73" s="8">
        <v>1</v>
      </c>
      <c r="AH73" s="8" t="str">
        <f t="shared" si="38"/>
        <v/>
      </c>
      <c r="BA73" s="24"/>
      <c r="BS73" s="127"/>
    </row>
    <row r="74" spans="1:71" x14ac:dyDescent="0.25">
      <c r="A74" s="29">
        <f t="shared" si="24"/>
        <v>0</v>
      </c>
      <c r="B74" s="29">
        <f t="shared" si="33"/>
        <v>0</v>
      </c>
      <c r="C74" s="29">
        <f t="shared" si="34"/>
        <v>0</v>
      </c>
      <c r="D74" s="29">
        <f t="shared" si="35"/>
        <v>0</v>
      </c>
      <c r="E74" s="29">
        <f t="shared" si="25"/>
        <v>0</v>
      </c>
      <c r="F74" s="29">
        <f t="shared" si="26"/>
        <v>0</v>
      </c>
      <c r="G74" s="29" t="str">
        <f t="shared" si="27"/>
        <v>offensive</v>
      </c>
      <c r="H74" s="16">
        <f t="shared" si="31"/>
        <v>0</v>
      </c>
      <c r="I74" s="16">
        <f t="shared" si="32"/>
        <v>0</v>
      </c>
      <c r="J74" s="16">
        <f t="shared" si="36"/>
        <v>0</v>
      </c>
      <c r="K74" s="16">
        <f t="shared" si="28"/>
        <v>0</v>
      </c>
      <c r="L74" s="67">
        <f t="shared" si="29"/>
        <v>0</v>
      </c>
      <c r="M74" s="4">
        <f t="shared" si="37"/>
        <v>0</v>
      </c>
      <c r="N74" s="4">
        <f t="shared" si="23"/>
        <v>0</v>
      </c>
      <c r="O74" s="4">
        <f t="shared" si="30"/>
        <v>0</v>
      </c>
      <c r="P74" s="4" t="e">
        <f>VLOOKUP(AJ66,'CIR Team Info'!$C$5:$E$44,2,FALSE)</f>
        <v>#N/A</v>
      </c>
      <c r="Q74" s="4" t="e">
        <f>VLOOKUP(AJ66,'CIR Team Info'!$C$5:$E$44,3,FALSE)</f>
        <v>#N/A</v>
      </c>
      <c r="R74" s="10" t="e">
        <f>VLOOKUP(AJ66,'FRC Site Data'!$B$3:$L$42,2,FALSE)</f>
        <v>#N/A</v>
      </c>
      <c r="S74" s="10" t="e">
        <f>VLOOKUP(AJ66,'FRC Site Data'!$B$3:$L$42,3,FALSE)</f>
        <v>#N/A</v>
      </c>
      <c r="T74" s="10" t="e">
        <f>VLOOKUP(AJ66,'FRC Site Data'!$B$3:$L$42,4,FALSE)</f>
        <v>#N/A</v>
      </c>
      <c r="U74" s="10" t="e">
        <f>VLOOKUP(AJ66,'FRC Site Data'!$B$3:$L$42,5,FALSE)</f>
        <v>#N/A</v>
      </c>
      <c r="V74" s="10" t="e">
        <f>VLOOKUP(AJ66,'FRC Site Data'!$B$3:$L$42,6,FALSE)</f>
        <v>#N/A</v>
      </c>
      <c r="W74" s="10" t="e">
        <f>VLOOKUP(AJ66,'FRC Site Data'!$B$3:$L$42,8,FALSE)</f>
        <v>#N/A</v>
      </c>
      <c r="X74" s="10" t="e">
        <f>VLOOKUP(AJ66,'FRC Site Data'!$B$3:$L$42,9,FALSE)</f>
        <v>#N/A</v>
      </c>
      <c r="Y74" s="10" t="e">
        <f>VLOOKUP(AJ66,'FRC Site Data'!$B$3:$L$42,10,FALSE)</f>
        <v>#N/A</v>
      </c>
      <c r="Z74" s="10" t="e">
        <f>VLOOKUP(AJ66,'FRC Site Data'!$B$3:$L$42,11,FALSE)</f>
        <v>#N/A</v>
      </c>
      <c r="AA74" s="10" t="e">
        <f>VLOOKUP(AJ66,'CIR Team Info'!$C$5:$E$44,4,FALSE)</f>
        <v>#N/A</v>
      </c>
      <c r="AB74" s="161" t="b">
        <f>ISNUMBER(VLOOKUP(AJ66,Match!$T$5:$T$10,1,FALSE))</f>
        <v>0</v>
      </c>
      <c r="AC74" s="161" t="b">
        <f>IF(AB74=TRUE,(VLOOKUP($AJ66,Match!$T$5:$U$10,2,FALSE)))</f>
        <v>0</v>
      </c>
      <c r="AD74" s="8">
        <v>3</v>
      </c>
      <c r="AE74" s="8">
        <v>2</v>
      </c>
      <c r="AF74" s="8">
        <v>2</v>
      </c>
      <c r="AG74" s="8">
        <v>1</v>
      </c>
      <c r="AH74" s="8" t="str">
        <f t="shared" si="38"/>
        <v/>
      </c>
      <c r="BA74" s="24"/>
      <c r="BS74" s="127"/>
    </row>
    <row r="75" spans="1:71" x14ac:dyDescent="0.25">
      <c r="A75" s="29">
        <f t="shared" si="24"/>
        <v>0</v>
      </c>
      <c r="B75" s="29">
        <f t="shared" si="33"/>
        <v>0</v>
      </c>
      <c r="C75" s="29">
        <f t="shared" si="34"/>
        <v>0</v>
      </c>
      <c r="D75" s="29">
        <f t="shared" si="35"/>
        <v>0</v>
      </c>
      <c r="E75" s="29">
        <f t="shared" si="25"/>
        <v>0</v>
      </c>
      <c r="F75" s="29">
        <f t="shared" si="26"/>
        <v>0</v>
      </c>
      <c r="G75" s="29" t="str">
        <f t="shared" si="27"/>
        <v>offensive</v>
      </c>
      <c r="H75" s="16">
        <f t="shared" si="31"/>
        <v>0</v>
      </c>
      <c r="I75" s="16">
        <f t="shared" si="32"/>
        <v>0</v>
      </c>
      <c r="J75" s="16">
        <f t="shared" si="36"/>
        <v>0</v>
      </c>
      <c r="K75" s="16">
        <f t="shared" si="28"/>
        <v>0</v>
      </c>
      <c r="L75" s="67">
        <f t="shared" si="29"/>
        <v>0</v>
      </c>
      <c r="M75" s="4">
        <f t="shared" si="37"/>
        <v>0</v>
      </c>
      <c r="N75" s="4">
        <f t="shared" si="23"/>
        <v>0</v>
      </c>
      <c r="O75" s="4">
        <f t="shared" si="30"/>
        <v>0</v>
      </c>
      <c r="P75" s="4" t="e">
        <f>VLOOKUP(AJ67,'CIR Team Info'!$C$5:$E$44,2,FALSE)</f>
        <v>#N/A</v>
      </c>
      <c r="Q75" s="4" t="e">
        <f>VLOOKUP(AJ67,'CIR Team Info'!$C$5:$E$44,3,FALSE)</f>
        <v>#N/A</v>
      </c>
      <c r="R75" s="10" t="e">
        <f>VLOOKUP(AJ67,'FRC Site Data'!$B$3:$L$42,2,FALSE)</f>
        <v>#N/A</v>
      </c>
      <c r="S75" s="10" t="e">
        <f>VLOOKUP(AJ67,'FRC Site Data'!$B$3:$L$42,3,FALSE)</f>
        <v>#N/A</v>
      </c>
      <c r="T75" s="10" t="e">
        <f>VLOOKUP(AJ67,'FRC Site Data'!$B$3:$L$42,4,FALSE)</f>
        <v>#N/A</v>
      </c>
      <c r="U75" s="10" t="e">
        <f>VLOOKUP(AJ67,'FRC Site Data'!$B$3:$L$42,5,FALSE)</f>
        <v>#N/A</v>
      </c>
      <c r="V75" s="10" t="e">
        <f>VLOOKUP(AJ67,'FRC Site Data'!$B$3:$L$42,6,FALSE)</f>
        <v>#N/A</v>
      </c>
      <c r="W75" s="10" t="e">
        <f>VLOOKUP(AJ67,'FRC Site Data'!$B$3:$L$42,8,FALSE)</f>
        <v>#N/A</v>
      </c>
      <c r="X75" s="10" t="e">
        <f>VLOOKUP(AJ67,'FRC Site Data'!$B$3:$L$42,9,FALSE)</f>
        <v>#N/A</v>
      </c>
      <c r="Y75" s="10" t="e">
        <f>VLOOKUP(AJ67,'FRC Site Data'!$B$3:$L$42,10,FALSE)</f>
        <v>#N/A</v>
      </c>
      <c r="Z75" s="10" t="e">
        <f>VLOOKUP(AJ67,'FRC Site Data'!$B$3:$L$42,11,FALSE)</f>
        <v>#N/A</v>
      </c>
      <c r="AA75" s="10" t="e">
        <f>VLOOKUP(AJ67,'CIR Team Info'!$C$5:$E$44,4,FALSE)</f>
        <v>#N/A</v>
      </c>
      <c r="AB75" s="161" t="b">
        <f>ISNUMBER(VLOOKUP(AJ67,Match!$T$5:$T$10,1,FALSE))</f>
        <v>0</v>
      </c>
      <c r="AC75" s="161" t="b">
        <f>IF(AB75=TRUE,(VLOOKUP($AJ67,Match!$T$5:$U$10,2,FALSE)))</f>
        <v>0</v>
      </c>
      <c r="AD75" s="8">
        <v>3</v>
      </c>
      <c r="AE75" s="8">
        <v>2</v>
      </c>
      <c r="AF75" s="8">
        <v>2</v>
      </c>
      <c r="AG75" s="8">
        <v>1</v>
      </c>
      <c r="AH75" s="8" t="str">
        <f t="shared" si="38"/>
        <v/>
      </c>
      <c r="BA75" s="24"/>
      <c r="BS75" s="127"/>
    </row>
    <row r="76" spans="1:71" x14ac:dyDescent="0.25">
      <c r="A76" s="29">
        <f t="shared" si="24"/>
        <v>0</v>
      </c>
      <c r="B76" s="29">
        <f t="shared" si="33"/>
        <v>0</v>
      </c>
      <c r="C76" s="29">
        <f t="shared" si="34"/>
        <v>0</v>
      </c>
      <c r="D76" s="29">
        <f t="shared" si="35"/>
        <v>0</v>
      </c>
      <c r="E76" s="29">
        <f t="shared" si="25"/>
        <v>0</v>
      </c>
      <c r="F76" s="29">
        <f t="shared" si="26"/>
        <v>0</v>
      </c>
      <c r="G76" s="29" t="str">
        <f t="shared" si="27"/>
        <v>offensive</v>
      </c>
      <c r="H76" s="16">
        <f t="shared" si="31"/>
        <v>0</v>
      </c>
      <c r="I76" s="16">
        <f t="shared" si="32"/>
        <v>0</v>
      </c>
      <c r="J76" s="16">
        <f t="shared" si="36"/>
        <v>0</v>
      </c>
      <c r="K76" s="16">
        <f t="shared" si="28"/>
        <v>0</v>
      </c>
      <c r="L76" s="67">
        <f t="shared" si="29"/>
        <v>0</v>
      </c>
      <c r="M76" s="4">
        <f t="shared" si="37"/>
        <v>0</v>
      </c>
      <c r="N76" s="4">
        <f t="shared" si="23"/>
        <v>0</v>
      </c>
      <c r="O76" s="4">
        <f t="shared" si="30"/>
        <v>0</v>
      </c>
      <c r="P76" s="4" t="e">
        <f>VLOOKUP(AJ68,'CIR Team Info'!$C$5:$E$44,2,FALSE)</f>
        <v>#N/A</v>
      </c>
      <c r="Q76" s="4" t="e">
        <f>VLOOKUP(AJ68,'CIR Team Info'!$C$5:$E$44,3,FALSE)</f>
        <v>#N/A</v>
      </c>
      <c r="R76" s="10" t="e">
        <f>VLOOKUP(AJ68,'FRC Site Data'!$B$3:$L$42,2,FALSE)</f>
        <v>#N/A</v>
      </c>
      <c r="S76" s="10" t="e">
        <f>VLOOKUP(AJ68,'FRC Site Data'!$B$3:$L$42,3,FALSE)</f>
        <v>#N/A</v>
      </c>
      <c r="T76" s="10" t="e">
        <f>VLOOKUP(AJ68,'FRC Site Data'!$B$3:$L$42,4,FALSE)</f>
        <v>#N/A</v>
      </c>
      <c r="U76" s="10" t="e">
        <f>VLOOKUP(AJ68,'FRC Site Data'!$B$3:$L$42,5,FALSE)</f>
        <v>#N/A</v>
      </c>
      <c r="V76" s="10" t="e">
        <f>VLOOKUP(AJ68,'FRC Site Data'!$B$3:$L$42,6,FALSE)</f>
        <v>#N/A</v>
      </c>
      <c r="W76" s="10" t="e">
        <f>VLOOKUP(AJ68,'FRC Site Data'!$B$3:$L$42,8,FALSE)</f>
        <v>#N/A</v>
      </c>
      <c r="X76" s="10" t="e">
        <f>VLOOKUP(AJ68,'FRC Site Data'!$B$3:$L$42,9,FALSE)</f>
        <v>#N/A</v>
      </c>
      <c r="Y76" s="10" t="e">
        <f>VLOOKUP(AJ68,'FRC Site Data'!$B$3:$L$42,10,FALSE)</f>
        <v>#N/A</v>
      </c>
      <c r="Z76" s="10" t="e">
        <f>VLOOKUP(AJ68,'FRC Site Data'!$B$3:$L$42,11,FALSE)</f>
        <v>#N/A</v>
      </c>
      <c r="AA76" s="10" t="e">
        <f>VLOOKUP(AJ68,'CIR Team Info'!$C$5:$E$44,4,FALSE)</f>
        <v>#N/A</v>
      </c>
      <c r="AB76" s="161" t="b">
        <f>ISNUMBER(VLOOKUP(AJ68,Match!$T$5:$T$10,1,FALSE))</f>
        <v>0</v>
      </c>
      <c r="AC76" s="161" t="b">
        <f>IF(AB76=TRUE,(VLOOKUP($AJ68,Match!$T$5:$U$10,2,FALSE)))</f>
        <v>0</v>
      </c>
      <c r="AD76" s="8">
        <v>3</v>
      </c>
      <c r="AE76" s="8">
        <v>2</v>
      </c>
      <c r="AF76" s="8">
        <v>2</v>
      </c>
      <c r="AG76" s="8">
        <v>1</v>
      </c>
      <c r="AH76" s="8" t="str">
        <f t="shared" si="38"/>
        <v/>
      </c>
      <c r="BA76" s="24"/>
      <c r="BS76" s="127"/>
    </row>
    <row r="77" spans="1:71" x14ac:dyDescent="0.25">
      <c r="A77" s="29">
        <f t="shared" si="24"/>
        <v>0</v>
      </c>
      <c r="B77" s="29">
        <f t="shared" si="33"/>
        <v>0</v>
      </c>
      <c r="C77" s="29">
        <f t="shared" si="34"/>
        <v>0</v>
      </c>
      <c r="D77" s="29">
        <f t="shared" si="35"/>
        <v>0</v>
      </c>
      <c r="E77" s="29">
        <f t="shared" si="25"/>
        <v>0</v>
      </c>
      <c r="F77" s="29">
        <f t="shared" si="26"/>
        <v>0</v>
      </c>
      <c r="G77" s="29" t="str">
        <f t="shared" si="27"/>
        <v>offensive</v>
      </c>
      <c r="H77" s="16">
        <f t="shared" si="31"/>
        <v>0</v>
      </c>
      <c r="I77" s="16">
        <f t="shared" si="32"/>
        <v>0</v>
      </c>
      <c r="J77" s="16">
        <f t="shared" si="36"/>
        <v>0</v>
      </c>
      <c r="K77" s="16">
        <f t="shared" si="28"/>
        <v>0</v>
      </c>
      <c r="L77" s="67">
        <f t="shared" si="29"/>
        <v>0</v>
      </c>
      <c r="M77" s="4">
        <f t="shared" si="37"/>
        <v>0</v>
      </c>
      <c r="N77" s="4">
        <f t="shared" si="23"/>
        <v>0</v>
      </c>
      <c r="O77" s="4">
        <f t="shared" si="30"/>
        <v>0</v>
      </c>
      <c r="P77" s="4" t="e">
        <f>VLOOKUP(AJ69,'CIR Team Info'!$C$5:$E$44,2,FALSE)</f>
        <v>#N/A</v>
      </c>
      <c r="Q77" s="4" t="e">
        <f>VLOOKUP(AJ69,'CIR Team Info'!$C$5:$E$44,3,FALSE)</f>
        <v>#N/A</v>
      </c>
      <c r="R77" s="10" t="e">
        <f>VLOOKUP(AJ69,'FRC Site Data'!$B$3:$L$42,2,FALSE)</f>
        <v>#N/A</v>
      </c>
      <c r="S77" s="10" t="e">
        <f>VLOOKUP(AJ69,'FRC Site Data'!$B$3:$L$42,3,FALSE)</f>
        <v>#N/A</v>
      </c>
      <c r="T77" s="10" t="e">
        <f>VLOOKUP(AJ69,'FRC Site Data'!$B$3:$L$42,4,FALSE)</f>
        <v>#N/A</v>
      </c>
      <c r="U77" s="10" t="e">
        <f>VLOOKUP(AJ69,'FRC Site Data'!$B$3:$L$42,5,FALSE)</f>
        <v>#N/A</v>
      </c>
      <c r="V77" s="10" t="e">
        <f>VLOOKUP(AJ69,'FRC Site Data'!$B$3:$L$42,6,FALSE)</f>
        <v>#N/A</v>
      </c>
      <c r="W77" s="10" t="e">
        <f>VLOOKUP(AJ69,'FRC Site Data'!$B$3:$L$42,8,FALSE)</f>
        <v>#N/A</v>
      </c>
      <c r="X77" s="10" t="e">
        <f>VLOOKUP(AJ69,'FRC Site Data'!$B$3:$L$42,9,FALSE)</f>
        <v>#N/A</v>
      </c>
      <c r="Y77" s="10" t="e">
        <f>VLOOKUP(AJ69,'FRC Site Data'!$B$3:$L$42,10,FALSE)</f>
        <v>#N/A</v>
      </c>
      <c r="Z77" s="10" t="e">
        <f>VLOOKUP(AJ69,'FRC Site Data'!$B$3:$L$42,11,FALSE)</f>
        <v>#N/A</v>
      </c>
      <c r="AA77" s="10" t="e">
        <f>VLOOKUP(AJ69,'CIR Team Info'!$C$5:$E$44,4,FALSE)</f>
        <v>#N/A</v>
      </c>
      <c r="AB77" s="161" t="b">
        <f>ISNUMBER(VLOOKUP(AJ69,Match!$T$5:$T$10,1,FALSE))</f>
        <v>0</v>
      </c>
      <c r="AC77" s="161" t="b">
        <f>IF(AB77=TRUE,(VLOOKUP($AJ69,Match!$T$5:$U$10,2,FALSE)))</f>
        <v>0</v>
      </c>
      <c r="AD77" s="8">
        <v>3</v>
      </c>
      <c r="AE77" s="8">
        <v>2</v>
      </c>
      <c r="AF77" s="8">
        <v>2</v>
      </c>
      <c r="AG77" s="8">
        <v>1</v>
      </c>
      <c r="AH77" s="8" t="str">
        <f t="shared" si="38"/>
        <v/>
      </c>
      <c r="BA77" s="24"/>
      <c r="BS77" s="127"/>
    </row>
    <row r="78" spans="1:71" x14ac:dyDescent="0.25">
      <c r="A78" s="29">
        <f t="shared" si="24"/>
        <v>0</v>
      </c>
      <c r="B78" s="29">
        <f t="shared" si="33"/>
        <v>0</v>
      </c>
      <c r="C78" s="29">
        <f t="shared" si="34"/>
        <v>0</v>
      </c>
      <c r="D78" s="29">
        <f t="shared" si="35"/>
        <v>0</v>
      </c>
      <c r="E78" s="29">
        <f t="shared" si="25"/>
        <v>0</v>
      </c>
      <c r="F78" s="29">
        <f t="shared" si="26"/>
        <v>0</v>
      </c>
      <c r="G78" s="29" t="str">
        <f t="shared" si="27"/>
        <v>offensive</v>
      </c>
      <c r="H78" s="16">
        <f t="shared" si="31"/>
        <v>0</v>
      </c>
      <c r="I78" s="16">
        <f t="shared" si="32"/>
        <v>0</v>
      </c>
      <c r="J78" s="16">
        <f t="shared" si="36"/>
        <v>0</v>
      </c>
      <c r="K78" s="16">
        <f t="shared" si="28"/>
        <v>0</v>
      </c>
      <c r="L78" s="67">
        <f t="shared" si="29"/>
        <v>0</v>
      </c>
      <c r="M78" s="4">
        <f t="shared" si="37"/>
        <v>0</v>
      </c>
      <c r="N78" s="4">
        <f t="shared" si="23"/>
        <v>0</v>
      </c>
      <c r="O78" s="4">
        <f t="shared" si="30"/>
        <v>0</v>
      </c>
      <c r="P78" s="4" t="e">
        <f>VLOOKUP(AJ70,'CIR Team Info'!$C$5:$E$44,2,FALSE)</f>
        <v>#N/A</v>
      </c>
      <c r="Q78" s="4" t="e">
        <f>VLOOKUP(AJ70,'CIR Team Info'!$C$5:$E$44,3,FALSE)</f>
        <v>#N/A</v>
      </c>
      <c r="R78" s="10" t="e">
        <f>VLOOKUP(AJ70,'FRC Site Data'!$B$3:$L$42,2,FALSE)</f>
        <v>#N/A</v>
      </c>
      <c r="S78" s="10" t="e">
        <f>VLOOKUP(AJ70,'FRC Site Data'!$B$3:$L$42,3,FALSE)</f>
        <v>#N/A</v>
      </c>
      <c r="T78" s="10" t="e">
        <f>VLOOKUP(AJ70,'FRC Site Data'!$B$3:$L$42,4,FALSE)</f>
        <v>#N/A</v>
      </c>
      <c r="U78" s="10" t="e">
        <f>VLOOKUP(AJ70,'FRC Site Data'!$B$3:$L$42,5,FALSE)</f>
        <v>#N/A</v>
      </c>
      <c r="V78" s="10" t="e">
        <f>VLOOKUP(AJ70,'FRC Site Data'!$B$3:$L$42,6,FALSE)</f>
        <v>#N/A</v>
      </c>
      <c r="W78" s="10" t="e">
        <f>VLOOKUP(AJ70,'FRC Site Data'!$B$3:$L$42,8,FALSE)</f>
        <v>#N/A</v>
      </c>
      <c r="X78" s="10" t="e">
        <f>VLOOKUP(AJ70,'FRC Site Data'!$B$3:$L$42,9,FALSE)</f>
        <v>#N/A</v>
      </c>
      <c r="Y78" s="10" t="e">
        <f>VLOOKUP(AJ70,'FRC Site Data'!$B$3:$L$42,10,FALSE)</f>
        <v>#N/A</v>
      </c>
      <c r="Z78" s="10" t="e">
        <f>VLOOKUP(AJ70,'FRC Site Data'!$B$3:$L$42,11,FALSE)</f>
        <v>#N/A</v>
      </c>
      <c r="AA78" s="10" t="e">
        <f>VLOOKUP(AJ70,'CIR Team Info'!$C$5:$E$44,4,FALSE)</f>
        <v>#N/A</v>
      </c>
      <c r="AB78" s="161" t="b">
        <f>ISNUMBER(VLOOKUP(AJ70,Match!$T$5:$T$10,1,FALSE))</f>
        <v>0</v>
      </c>
      <c r="AC78" s="161" t="b">
        <f>IF(AB78=TRUE,(VLOOKUP($AJ70,Match!$T$5:$U$10,2,FALSE)))</f>
        <v>0</v>
      </c>
      <c r="AD78" s="8">
        <v>3</v>
      </c>
      <c r="AE78" s="8">
        <v>2</v>
      </c>
      <c r="AF78" s="8">
        <v>2</v>
      </c>
      <c r="AG78" s="8">
        <v>1</v>
      </c>
      <c r="AH78" s="8" t="str">
        <f t="shared" si="38"/>
        <v/>
      </c>
      <c r="BA78" s="24"/>
      <c r="BS78" s="127"/>
    </row>
    <row r="79" spans="1:71" x14ac:dyDescent="0.25">
      <c r="A79" s="29">
        <f t="shared" si="24"/>
        <v>0</v>
      </c>
      <c r="B79" s="29">
        <f t="shared" si="33"/>
        <v>0</v>
      </c>
      <c r="C79" s="29">
        <f t="shared" si="34"/>
        <v>0</v>
      </c>
      <c r="D79" s="29">
        <f t="shared" si="35"/>
        <v>0</v>
      </c>
      <c r="E79" s="29">
        <f t="shared" si="25"/>
        <v>0</v>
      </c>
      <c r="F79" s="29">
        <f t="shared" si="26"/>
        <v>0</v>
      </c>
      <c r="G79" s="29" t="str">
        <f t="shared" si="27"/>
        <v>offensive</v>
      </c>
      <c r="H79" s="16">
        <f t="shared" si="31"/>
        <v>0</v>
      </c>
      <c r="I79" s="16">
        <f t="shared" si="32"/>
        <v>0</v>
      </c>
      <c r="J79" s="16">
        <f t="shared" si="36"/>
        <v>0</v>
      </c>
      <c r="K79" s="16">
        <f t="shared" si="28"/>
        <v>0</v>
      </c>
      <c r="L79" s="67">
        <f t="shared" si="29"/>
        <v>0</v>
      </c>
      <c r="M79" s="4">
        <f t="shared" si="37"/>
        <v>0</v>
      </c>
      <c r="N79" s="4">
        <f t="shared" si="23"/>
        <v>0</v>
      </c>
      <c r="O79" s="4">
        <f t="shared" si="30"/>
        <v>0</v>
      </c>
      <c r="P79" s="4" t="e">
        <f>VLOOKUP(AJ71,'CIR Team Info'!$C$5:$E$44,2,FALSE)</f>
        <v>#N/A</v>
      </c>
      <c r="Q79" s="4" t="e">
        <f>VLOOKUP(AJ71,'CIR Team Info'!$C$5:$E$44,3,FALSE)</f>
        <v>#N/A</v>
      </c>
      <c r="R79" s="10" t="e">
        <f>VLOOKUP(AJ71,'FRC Site Data'!$B$3:$L$42,2,FALSE)</f>
        <v>#N/A</v>
      </c>
      <c r="S79" s="10" t="e">
        <f>VLOOKUP(AJ71,'FRC Site Data'!$B$3:$L$42,3,FALSE)</f>
        <v>#N/A</v>
      </c>
      <c r="T79" s="10" t="e">
        <f>VLOOKUP(AJ71,'FRC Site Data'!$B$3:$L$42,4,FALSE)</f>
        <v>#N/A</v>
      </c>
      <c r="U79" s="10" t="e">
        <f>VLOOKUP(AJ71,'FRC Site Data'!$B$3:$L$42,5,FALSE)</f>
        <v>#N/A</v>
      </c>
      <c r="V79" s="10" t="e">
        <f>VLOOKUP(AJ71,'FRC Site Data'!$B$3:$L$42,6,FALSE)</f>
        <v>#N/A</v>
      </c>
      <c r="W79" s="10" t="e">
        <f>VLOOKUP(AJ71,'FRC Site Data'!$B$3:$L$42,8,FALSE)</f>
        <v>#N/A</v>
      </c>
      <c r="X79" s="10" t="e">
        <f>VLOOKUP(AJ71,'FRC Site Data'!$B$3:$L$42,9,FALSE)</f>
        <v>#N/A</v>
      </c>
      <c r="Y79" s="10" t="e">
        <f>VLOOKUP(AJ71,'FRC Site Data'!$B$3:$L$42,10,FALSE)</f>
        <v>#N/A</v>
      </c>
      <c r="Z79" s="10" t="e">
        <f>VLOOKUP(AJ71,'FRC Site Data'!$B$3:$L$42,11,FALSE)</f>
        <v>#N/A</v>
      </c>
      <c r="AA79" s="10" t="e">
        <f>VLOOKUP(AJ71,'CIR Team Info'!$C$5:$E$44,4,FALSE)</f>
        <v>#N/A</v>
      </c>
      <c r="AB79" s="161" t="b">
        <f>ISNUMBER(VLOOKUP(AJ71,Match!$T$5:$T$10,1,FALSE))</f>
        <v>0</v>
      </c>
      <c r="AC79" s="161" t="b">
        <f>IF(AB79=TRUE,(VLOOKUP($AJ71,Match!$T$5:$U$10,2,FALSE)))</f>
        <v>0</v>
      </c>
      <c r="AD79" s="8">
        <v>3</v>
      </c>
      <c r="AE79" s="8">
        <v>2</v>
      </c>
      <c r="AF79" s="8">
        <v>2</v>
      </c>
      <c r="AG79" s="8">
        <v>1</v>
      </c>
      <c r="AH79" s="8" t="str">
        <f t="shared" si="38"/>
        <v/>
      </c>
      <c r="BA79" s="24"/>
      <c r="BS79" s="127"/>
    </row>
    <row r="80" spans="1:71" x14ac:dyDescent="0.25">
      <c r="A80" s="29">
        <f t="shared" si="24"/>
        <v>0</v>
      </c>
      <c r="B80" s="29">
        <f t="shared" si="33"/>
        <v>0</v>
      </c>
      <c r="C80" s="29">
        <f t="shared" si="34"/>
        <v>0</v>
      </c>
      <c r="D80" s="29">
        <f t="shared" si="35"/>
        <v>0</v>
      </c>
      <c r="E80" s="29">
        <f t="shared" si="25"/>
        <v>0</v>
      </c>
      <c r="F80" s="29">
        <f t="shared" si="26"/>
        <v>0</v>
      </c>
      <c r="G80" s="29" t="str">
        <f t="shared" si="27"/>
        <v>offensive</v>
      </c>
      <c r="H80" s="16">
        <f t="shared" si="31"/>
        <v>0</v>
      </c>
      <c r="I80" s="16">
        <f t="shared" si="32"/>
        <v>0</v>
      </c>
      <c r="J80" s="16">
        <f t="shared" si="36"/>
        <v>0</v>
      </c>
      <c r="K80" s="16">
        <f t="shared" si="28"/>
        <v>0</v>
      </c>
      <c r="L80" s="67">
        <f t="shared" si="29"/>
        <v>0</v>
      </c>
      <c r="M80" s="4">
        <f t="shared" si="37"/>
        <v>0</v>
      </c>
      <c r="N80" s="4">
        <f t="shared" si="23"/>
        <v>0</v>
      </c>
      <c r="O80" s="4">
        <f t="shared" si="30"/>
        <v>0</v>
      </c>
      <c r="P80" s="4" t="e">
        <f>VLOOKUP(AJ72,'CIR Team Info'!$C$5:$E$44,2,FALSE)</f>
        <v>#N/A</v>
      </c>
      <c r="Q80" s="4" t="e">
        <f>VLOOKUP(AJ72,'CIR Team Info'!$C$5:$E$44,3,FALSE)</f>
        <v>#N/A</v>
      </c>
      <c r="R80" s="10" t="e">
        <f>VLOOKUP(AJ72,'FRC Site Data'!$B$3:$L$42,2,FALSE)</f>
        <v>#N/A</v>
      </c>
      <c r="S80" s="10" t="e">
        <f>VLOOKUP(AJ72,'FRC Site Data'!$B$3:$L$42,3,FALSE)</f>
        <v>#N/A</v>
      </c>
      <c r="T80" s="10" t="e">
        <f>VLOOKUP(AJ72,'FRC Site Data'!$B$3:$L$42,4,FALSE)</f>
        <v>#N/A</v>
      </c>
      <c r="U80" s="10" t="e">
        <f>VLOOKUP(AJ72,'FRC Site Data'!$B$3:$L$42,5,FALSE)</f>
        <v>#N/A</v>
      </c>
      <c r="V80" s="10" t="e">
        <f>VLOOKUP(AJ72,'FRC Site Data'!$B$3:$L$42,6,FALSE)</f>
        <v>#N/A</v>
      </c>
      <c r="W80" s="10" t="e">
        <f>VLOOKUP(AJ72,'FRC Site Data'!$B$3:$L$42,8,FALSE)</f>
        <v>#N/A</v>
      </c>
      <c r="X80" s="10" t="e">
        <f>VLOOKUP(AJ72,'FRC Site Data'!$B$3:$L$42,9,FALSE)</f>
        <v>#N/A</v>
      </c>
      <c r="Y80" s="10" t="e">
        <f>VLOOKUP(AJ72,'FRC Site Data'!$B$3:$L$42,10,FALSE)</f>
        <v>#N/A</v>
      </c>
      <c r="Z80" s="10" t="e">
        <f>VLOOKUP(AJ72,'FRC Site Data'!$B$3:$L$42,11,FALSE)</f>
        <v>#N/A</v>
      </c>
      <c r="AA80" s="10" t="e">
        <f>VLOOKUP(AJ72,'CIR Team Info'!$C$5:$E$44,4,FALSE)</f>
        <v>#N/A</v>
      </c>
      <c r="AB80" s="161" t="b">
        <f>ISNUMBER(VLOOKUP(AJ72,Match!$T$5:$T$10,1,FALSE))</f>
        <v>0</v>
      </c>
      <c r="AC80" s="161" t="b">
        <f>IF(AB80=TRUE,(VLOOKUP($AJ72,Match!$T$5:$U$10,2,FALSE)))</f>
        <v>0</v>
      </c>
      <c r="AD80" s="8">
        <v>3</v>
      </c>
      <c r="AE80" s="8">
        <v>2</v>
      </c>
      <c r="AF80" s="8">
        <v>2</v>
      </c>
      <c r="AG80" s="8">
        <v>1</v>
      </c>
      <c r="AH80" s="8" t="str">
        <f t="shared" si="38"/>
        <v/>
      </c>
      <c r="BA80" s="24"/>
      <c r="BS80" s="127"/>
    </row>
    <row r="81" spans="1:71" x14ac:dyDescent="0.25">
      <c r="A81" s="29">
        <f t="shared" si="24"/>
        <v>0</v>
      </c>
      <c r="B81" s="29">
        <f t="shared" si="33"/>
        <v>0</v>
      </c>
      <c r="C81" s="29">
        <f t="shared" si="34"/>
        <v>0</v>
      </c>
      <c r="D81" s="29">
        <f t="shared" si="35"/>
        <v>0</v>
      </c>
      <c r="E81" s="29">
        <f t="shared" si="25"/>
        <v>0</v>
      </c>
      <c r="F81" s="29">
        <f t="shared" si="26"/>
        <v>0</v>
      </c>
      <c r="G81" s="29" t="str">
        <f t="shared" si="27"/>
        <v>offensive</v>
      </c>
      <c r="H81" s="16">
        <f t="shared" si="31"/>
        <v>0</v>
      </c>
      <c r="I81" s="16">
        <f t="shared" si="32"/>
        <v>0</v>
      </c>
      <c r="J81" s="16">
        <f t="shared" si="36"/>
        <v>0</v>
      </c>
      <c r="K81" s="16">
        <f t="shared" si="28"/>
        <v>0</v>
      </c>
      <c r="L81" s="67">
        <f t="shared" si="29"/>
        <v>0</v>
      </c>
      <c r="M81" s="4">
        <f t="shared" si="37"/>
        <v>0</v>
      </c>
      <c r="N81" s="4">
        <f t="shared" si="23"/>
        <v>0</v>
      </c>
      <c r="O81" s="4">
        <f t="shared" si="30"/>
        <v>0</v>
      </c>
      <c r="P81" s="4" t="e">
        <f>VLOOKUP(AJ73,'CIR Team Info'!$C$5:$E$44,2,FALSE)</f>
        <v>#N/A</v>
      </c>
      <c r="Q81" s="4" t="e">
        <f>VLOOKUP(AJ73,'CIR Team Info'!$C$5:$E$44,3,FALSE)</f>
        <v>#N/A</v>
      </c>
      <c r="R81" s="10" t="e">
        <f>VLOOKUP(AJ73,'FRC Site Data'!$B$3:$L$42,2,FALSE)</f>
        <v>#N/A</v>
      </c>
      <c r="S81" s="10" t="e">
        <f>VLOOKUP(AJ73,'FRC Site Data'!$B$3:$L$42,3,FALSE)</f>
        <v>#N/A</v>
      </c>
      <c r="T81" s="10" t="e">
        <f>VLOOKUP(AJ73,'FRC Site Data'!$B$3:$L$42,4,FALSE)</f>
        <v>#N/A</v>
      </c>
      <c r="U81" s="10" t="e">
        <f>VLOOKUP(AJ73,'FRC Site Data'!$B$3:$L$42,5,FALSE)</f>
        <v>#N/A</v>
      </c>
      <c r="V81" s="10" t="e">
        <f>VLOOKUP(AJ73,'FRC Site Data'!$B$3:$L$42,6,FALSE)</f>
        <v>#N/A</v>
      </c>
      <c r="W81" s="10" t="e">
        <f>VLOOKUP(AJ73,'FRC Site Data'!$B$3:$L$42,8,FALSE)</f>
        <v>#N/A</v>
      </c>
      <c r="X81" s="10" t="e">
        <f>VLOOKUP(AJ73,'FRC Site Data'!$B$3:$L$42,9,FALSE)</f>
        <v>#N/A</v>
      </c>
      <c r="Y81" s="10" t="e">
        <f>VLOOKUP(AJ73,'FRC Site Data'!$B$3:$L$42,10,FALSE)</f>
        <v>#N/A</v>
      </c>
      <c r="Z81" s="10" t="e">
        <f>VLOOKUP(AJ73,'FRC Site Data'!$B$3:$L$42,11,FALSE)</f>
        <v>#N/A</v>
      </c>
      <c r="AA81" s="10" t="e">
        <f>VLOOKUP(AJ73,'CIR Team Info'!$C$5:$E$44,4,FALSE)</f>
        <v>#N/A</v>
      </c>
      <c r="AB81" s="161" t="b">
        <f>ISNUMBER(VLOOKUP(AJ73,Match!$T$5:$T$10,1,FALSE))</f>
        <v>0</v>
      </c>
      <c r="AC81" s="161" t="b">
        <f>IF(AB81=TRUE,(VLOOKUP($AJ73,Match!$T$5:$U$10,2,FALSE)))</f>
        <v>0</v>
      </c>
      <c r="AD81" s="8">
        <v>3</v>
      </c>
      <c r="AE81" s="8">
        <v>2</v>
      </c>
      <c r="AF81" s="8">
        <v>2</v>
      </c>
      <c r="AG81" s="8">
        <v>1</v>
      </c>
      <c r="AH81" s="8" t="str">
        <f t="shared" si="38"/>
        <v/>
      </c>
      <c r="BA81" s="24"/>
      <c r="BC81" s="12"/>
      <c r="BS81" s="127"/>
    </row>
    <row r="82" spans="1:71" x14ac:dyDescent="0.25">
      <c r="A82" s="29">
        <f t="shared" si="24"/>
        <v>0</v>
      </c>
      <c r="B82" s="29">
        <f t="shared" si="33"/>
        <v>0</v>
      </c>
      <c r="C82" s="29">
        <f t="shared" si="34"/>
        <v>0</v>
      </c>
      <c r="D82" s="29">
        <f t="shared" si="35"/>
        <v>0</v>
      </c>
      <c r="E82" s="29">
        <f t="shared" si="25"/>
        <v>0</v>
      </c>
      <c r="F82" s="29">
        <f t="shared" si="26"/>
        <v>0</v>
      </c>
      <c r="G82" s="29" t="str">
        <f t="shared" si="27"/>
        <v>offensive</v>
      </c>
      <c r="H82" s="16">
        <f t="shared" si="31"/>
        <v>0</v>
      </c>
      <c r="I82" s="16">
        <f t="shared" si="32"/>
        <v>0</v>
      </c>
      <c r="J82" s="16">
        <f t="shared" si="36"/>
        <v>0</v>
      </c>
      <c r="K82" s="16">
        <f t="shared" si="28"/>
        <v>0</v>
      </c>
      <c r="L82" s="67">
        <f t="shared" si="29"/>
        <v>0</v>
      </c>
      <c r="M82" s="4">
        <f t="shared" si="37"/>
        <v>0</v>
      </c>
      <c r="N82" s="4">
        <f t="shared" si="23"/>
        <v>0</v>
      </c>
      <c r="O82" s="4">
        <f t="shared" si="30"/>
        <v>0</v>
      </c>
      <c r="P82" s="4" t="e">
        <f>VLOOKUP(AJ74,'CIR Team Info'!$C$5:$E$44,2,FALSE)</f>
        <v>#N/A</v>
      </c>
      <c r="Q82" s="4" t="e">
        <f>VLOOKUP(AJ74,'CIR Team Info'!$C$5:$E$44,3,FALSE)</f>
        <v>#N/A</v>
      </c>
      <c r="R82" s="10" t="e">
        <f>VLOOKUP(AJ74,'FRC Site Data'!$B$3:$L$42,2,FALSE)</f>
        <v>#N/A</v>
      </c>
      <c r="S82" s="10" t="e">
        <f>VLOOKUP(AJ74,'FRC Site Data'!$B$3:$L$42,3,FALSE)</f>
        <v>#N/A</v>
      </c>
      <c r="T82" s="10" t="e">
        <f>VLOOKUP(AJ74,'FRC Site Data'!$B$3:$L$42,4,FALSE)</f>
        <v>#N/A</v>
      </c>
      <c r="U82" s="10" t="e">
        <f>VLOOKUP(AJ74,'FRC Site Data'!$B$3:$L$42,5,FALSE)</f>
        <v>#N/A</v>
      </c>
      <c r="V82" s="10" t="e">
        <f>VLOOKUP(AJ74,'FRC Site Data'!$B$3:$L$42,6,FALSE)</f>
        <v>#N/A</v>
      </c>
      <c r="W82" s="10" t="e">
        <f>VLOOKUP(AJ74,'FRC Site Data'!$B$3:$L$42,8,FALSE)</f>
        <v>#N/A</v>
      </c>
      <c r="X82" s="10" t="e">
        <f>VLOOKUP(AJ74,'FRC Site Data'!$B$3:$L$42,9,FALSE)</f>
        <v>#N/A</v>
      </c>
      <c r="Y82" s="10" t="e">
        <f>VLOOKUP(AJ74,'FRC Site Data'!$B$3:$L$42,10,FALSE)</f>
        <v>#N/A</v>
      </c>
      <c r="Z82" s="10" t="e">
        <f>VLOOKUP(AJ74,'FRC Site Data'!$B$3:$L$42,11,FALSE)</f>
        <v>#N/A</v>
      </c>
      <c r="AA82" s="10" t="e">
        <f>VLOOKUP(AJ74,'CIR Team Info'!$C$5:$E$44,4,FALSE)</f>
        <v>#N/A</v>
      </c>
      <c r="AB82" s="161" t="b">
        <f>ISNUMBER(VLOOKUP(AJ74,Match!$T$5:$T$10,1,FALSE))</f>
        <v>0</v>
      </c>
      <c r="AC82" s="161" t="b">
        <f>IF(AB82=TRUE,(VLOOKUP($AJ74,Match!$T$5:$U$10,2,FALSE)))</f>
        <v>0</v>
      </c>
      <c r="AD82" s="8">
        <v>3</v>
      </c>
      <c r="AE82" s="8">
        <v>2</v>
      </c>
      <c r="AF82" s="8">
        <v>2</v>
      </c>
      <c r="AG82" s="8">
        <v>1</v>
      </c>
      <c r="AH82" s="8" t="str">
        <f t="shared" si="38"/>
        <v/>
      </c>
      <c r="BA82" s="24"/>
      <c r="BC82" s="12"/>
      <c r="BS82" s="127"/>
    </row>
    <row r="83" spans="1:71" x14ac:dyDescent="0.25">
      <c r="A83" s="29">
        <f t="shared" si="24"/>
        <v>0</v>
      </c>
      <c r="B83" s="29">
        <f t="shared" si="33"/>
        <v>0</v>
      </c>
      <c r="C83" s="29">
        <f t="shared" si="34"/>
        <v>0</v>
      </c>
      <c r="D83" s="29">
        <f t="shared" si="35"/>
        <v>0</v>
      </c>
      <c r="E83" s="29">
        <f t="shared" si="25"/>
        <v>0</v>
      </c>
      <c r="F83" s="29">
        <f t="shared" si="26"/>
        <v>0</v>
      </c>
      <c r="G83" s="29" t="str">
        <f t="shared" si="27"/>
        <v>offensive</v>
      </c>
      <c r="H83" s="16">
        <f t="shared" si="31"/>
        <v>0</v>
      </c>
      <c r="I83" s="16">
        <f t="shared" si="32"/>
        <v>0</v>
      </c>
      <c r="J83" s="16">
        <f t="shared" si="36"/>
        <v>0</v>
      </c>
      <c r="K83" s="16">
        <f t="shared" si="28"/>
        <v>0</v>
      </c>
      <c r="L83" s="67">
        <f t="shared" si="29"/>
        <v>0</v>
      </c>
      <c r="M83" s="4">
        <f t="shared" si="37"/>
        <v>0</v>
      </c>
      <c r="N83" s="4">
        <f t="shared" si="23"/>
        <v>0</v>
      </c>
      <c r="O83" s="4">
        <f t="shared" si="30"/>
        <v>0</v>
      </c>
      <c r="P83" s="4" t="e">
        <f>VLOOKUP(AJ75,'CIR Team Info'!$C$5:$E$44,2,FALSE)</f>
        <v>#N/A</v>
      </c>
      <c r="Q83" s="4" t="e">
        <f>VLOOKUP(AJ75,'CIR Team Info'!$C$5:$E$44,3,FALSE)</f>
        <v>#N/A</v>
      </c>
      <c r="R83" s="10" t="e">
        <f>VLOOKUP(AJ75,'FRC Site Data'!$B$3:$L$42,2,FALSE)</f>
        <v>#N/A</v>
      </c>
      <c r="S83" s="10" t="e">
        <f>VLOOKUP(AJ75,'FRC Site Data'!$B$3:$L$42,3,FALSE)</f>
        <v>#N/A</v>
      </c>
      <c r="T83" s="10" t="e">
        <f>VLOOKUP(AJ75,'FRC Site Data'!$B$3:$L$42,4,FALSE)</f>
        <v>#N/A</v>
      </c>
      <c r="U83" s="10" t="e">
        <f>VLOOKUP(AJ75,'FRC Site Data'!$B$3:$L$42,5,FALSE)</f>
        <v>#N/A</v>
      </c>
      <c r="V83" s="10" t="e">
        <f>VLOOKUP(AJ75,'FRC Site Data'!$B$3:$L$42,6,FALSE)</f>
        <v>#N/A</v>
      </c>
      <c r="W83" s="10" t="e">
        <f>VLOOKUP(AJ75,'FRC Site Data'!$B$3:$L$42,8,FALSE)</f>
        <v>#N/A</v>
      </c>
      <c r="X83" s="10" t="e">
        <f>VLOOKUP(AJ75,'FRC Site Data'!$B$3:$L$42,9,FALSE)</f>
        <v>#N/A</v>
      </c>
      <c r="Y83" s="10" t="e">
        <f>VLOOKUP(AJ75,'FRC Site Data'!$B$3:$L$42,10,FALSE)</f>
        <v>#N/A</v>
      </c>
      <c r="Z83" s="10" t="e">
        <f>VLOOKUP(AJ75,'FRC Site Data'!$B$3:$L$42,11,FALSE)</f>
        <v>#N/A</v>
      </c>
      <c r="AA83" s="10" t="e">
        <f>VLOOKUP(AJ75,'CIR Team Info'!$C$5:$E$44,4,FALSE)</f>
        <v>#N/A</v>
      </c>
      <c r="AB83" s="161" t="b">
        <f>ISNUMBER(VLOOKUP(AJ75,Match!$T$5:$T$10,1,FALSE))</f>
        <v>0</v>
      </c>
      <c r="AC83" s="161" t="b">
        <f>IF(AB83=TRUE,(VLOOKUP($AJ75,Match!$T$5:$U$10,2,FALSE)))</f>
        <v>0</v>
      </c>
      <c r="AD83" s="8">
        <v>3</v>
      </c>
      <c r="AE83" s="8">
        <v>2</v>
      </c>
      <c r="AF83" s="8">
        <v>2</v>
      </c>
      <c r="AG83" s="8">
        <v>1</v>
      </c>
      <c r="AH83" s="8" t="str">
        <f t="shared" si="38"/>
        <v/>
      </c>
      <c r="BA83" s="24"/>
      <c r="BC83" s="12"/>
      <c r="BS83" s="127"/>
    </row>
    <row r="84" spans="1:71" x14ac:dyDescent="0.25">
      <c r="A84" s="29">
        <f t="shared" si="24"/>
        <v>0</v>
      </c>
      <c r="B84" s="29">
        <f t="shared" si="33"/>
        <v>0</v>
      </c>
      <c r="C84" s="29">
        <f t="shared" si="34"/>
        <v>0</v>
      </c>
      <c r="D84" s="29">
        <f t="shared" si="35"/>
        <v>0</v>
      </c>
      <c r="E84" s="29">
        <f t="shared" si="25"/>
        <v>0</v>
      </c>
      <c r="F84" s="29">
        <f t="shared" si="26"/>
        <v>0</v>
      </c>
      <c r="G84" s="29" t="str">
        <f t="shared" si="27"/>
        <v>offensive</v>
      </c>
      <c r="H84" s="16">
        <f t="shared" si="31"/>
        <v>0</v>
      </c>
      <c r="I84" s="16">
        <f t="shared" si="32"/>
        <v>0</v>
      </c>
      <c r="J84" s="16">
        <f t="shared" si="36"/>
        <v>0</v>
      </c>
      <c r="K84" s="16">
        <f t="shared" si="28"/>
        <v>0</v>
      </c>
      <c r="L84" s="67">
        <f t="shared" si="29"/>
        <v>0</v>
      </c>
      <c r="M84" s="4">
        <f t="shared" si="37"/>
        <v>0</v>
      </c>
      <c r="N84" s="4">
        <f t="shared" si="23"/>
        <v>0</v>
      </c>
      <c r="O84" s="4">
        <f t="shared" si="30"/>
        <v>0</v>
      </c>
      <c r="P84" s="4" t="e">
        <f>VLOOKUP(AJ76,'CIR Team Info'!$C$5:$E$44,2,FALSE)</f>
        <v>#N/A</v>
      </c>
      <c r="Q84" s="4" t="e">
        <f>VLOOKUP(AJ76,'CIR Team Info'!$C$5:$E$44,3,FALSE)</f>
        <v>#N/A</v>
      </c>
      <c r="R84" s="10" t="e">
        <f>VLOOKUP(AJ76,'FRC Site Data'!$B$3:$L$42,2,FALSE)</f>
        <v>#N/A</v>
      </c>
      <c r="S84" s="10" t="e">
        <f>VLOOKUP(AJ76,'FRC Site Data'!$B$3:$L$42,3,FALSE)</f>
        <v>#N/A</v>
      </c>
      <c r="T84" s="10" t="e">
        <f>VLOOKUP(AJ76,'FRC Site Data'!$B$3:$L$42,4,FALSE)</f>
        <v>#N/A</v>
      </c>
      <c r="U84" s="10" t="e">
        <f>VLOOKUP(AJ76,'FRC Site Data'!$B$3:$L$42,5,FALSE)</f>
        <v>#N/A</v>
      </c>
      <c r="V84" s="10" t="e">
        <f>VLOOKUP(AJ76,'FRC Site Data'!$B$3:$L$42,6,FALSE)</f>
        <v>#N/A</v>
      </c>
      <c r="W84" s="10" t="e">
        <f>VLOOKUP(AJ76,'FRC Site Data'!$B$3:$L$42,8,FALSE)</f>
        <v>#N/A</v>
      </c>
      <c r="X84" s="10" t="e">
        <f>VLOOKUP(AJ76,'FRC Site Data'!$B$3:$L$42,9,FALSE)</f>
        <v>#N/A</v>
      </c>
      <c r="Y84" s="10" t="e">
        <f>VLOOKUP(AJ76,'FRC Site Data'!$B$3:$L$42,10,FALSE)</f>
        <v>#N/A</v>
      </c>
      <c r="Z84" s="10" t="e">
        <f>VLOOKUP(AJ76,'FRC Site Data'!$B$3:$L$42,11,FALSE)</f>
        <v>#N/A</v>
      </c>
      <c r="AA84" s="10" t="e">
        <f>VLOOKUP(AJ76,'CIR Team Info'!$C$5:$E$44,4,FALSE)</f>
        <v>#N/A</v>
      </c>
      <c r="AB84" s="161" t="b">
        <f>ISNUMBER(VLOOKUP(AJ76,Match!$T$5:$T$10,1,FALSE))</f>
        <v>0</v>
      </c>
      <c r="AC84" s="161" t="b">
        <f>IF(AB84=TRUE,(VLOOKUP($AJ76,Match!$T$5:$U$10,2,FALSE)))</f>
        <v>0</v>
      </c>
      <c r="AD84" s="8">
        <v>3</v>
      </c>
      <c r="AE84" s="8">
        <v>2</v>
      </c>
      <c r="AF84" s="8">
        <v>2</v>
      </c>
      <c r="AG84" s="8">
        <v>1</v>
      </c>
      <c r="AH84" s="8" t="s">
        <v>36</v>
      </c>
      <c r="BA84" s="24"/>
      <c r="BC84" s="12"/>
      <c r="BS84" s="127"/>
    </row>
    <row r="85" spans="1:71" x14ac:dyDescent="0.25">
      <c r="A85" s="29">
        <f t="shared" si="24"/>
        <v>0</v>
      </c>
      <c r="B85" s="29">
        <f t="shared" si="33"/>
        <v>0</v>
      </c>
      <c r="C85" s="29">
        <f t="shared" si="34"/>
        <v>0</v>
      </c>
      <c r="D85" s="29">
        <f t="shared" si="35"/>
        <v>0</v>
      </c>
      <c r="E85" s="29">
        <f t="shared" si="25"/>
        <v>0</v>
      </c>
      <c r="F85" s="29">
        <f t="shared" si="26"/>
        <v>0</v>
      </c>
      <c r="G85" s="29" t="str">
        <f t="shared" si="27"/>
        <v>offensive</v>
      </c>
      <c r="H85" s="16">
        <f t="shared" si="31"/>
        <v>0</v>
      </c>
      <c r="I85" s="16">
        <f t="shared" si="32"/>
        <v>0</v>
      </c>
      <c r="J85" s="16">
        <f t="shared" si="36"/>
        <v>0</v>
      </c>
      <c r="K85" s="16">
        <f t="shared" si="28"/>
        <v>0</v>
      </c>
      <c r="L85" s="67">
        <f t="shared" si="29"/>
        <v>0</v>
      </c>
      <c r="M85" s="4">
        <f t="shared" si="37"/>
        <v>0</v>
      </c>
      <c r="N85" s="4">
        <f t="shared" si="23"/>
        <v>0</v>
      </c>
      <c r="O85" s="4">
        <f t="shared" si="30"/>
        <v>0</v>
      </c>
      <c r="P85" s="4" t="e">
        <f>VLOOKUP(AJ77,'CIR Team Info'!$C$5:$E$44,2,FALSE)</f>
        <v>#N/A</v>
      </c>
      <c r="Q85" s="4" t="e">
        <f>VLOOKUP(AJ77,'CIR Team Info'!$C$5:$E$44,3,FALSE)</f>
        <v>#N/A</v>
      </c>
      <c r="R85" s="10" t="e">
        <f>VLOOKUP(AJ77,'FRC Site Data'!$B$3:$L$42,2,FALSE)</f>
        <v>#N/A</v>
      </c>
      <c r="S85" s="10" t="e">
        <f>VLOOKUP(AJ77,'FRC Site Data'!$B$3:$L$42,3,FALSE)</f>
        <v>#N/A</v>
      </c>
      <c r="T85" s="10" t="e">
        <f>VLOOKUP(AJ77,'FRC Site Data'!$B$3:$L$42,4,FALSE)</f>
        <v>#N/A</v>
      </c>
      <c r="U85" s="10" t="e">
        <f>VLOOKUP(AJ77,'FRC Site Data'!$B$3:$L$42,5,FALSE)</f>
        <v>#N/A</v>
      </c>
      <c r="V85" s="10" t="e">
        <f>VLOOKUP(AJ77,'FRC Site Data'!$B$3:$L$42,6,FALSE)</f>
        <v>#N/A</v>
      </c>
      <c r="W85" s="10" t="e">
        <f>VLOOKUP(AJ77,'FRC Site Data'!$B$3:$L$42,8,FALSE)</f>
        <v>#N/A</v>
      </c>
      <c r="X85" s="10" t="e">
        <f>VLOOKUP(AJ77,'FRC Site Data'!$B$3:$L$42,9,FALSE)</f>
        <v>#N/A</v>
      </c>
      <c r="Y85" s="10" t="e">
        <f>VLOOKUP(AJ77,'FRC Site Data'!$B$3:$L$42,10,FALSE)</f>
        <v>#N/A</v>
      </c>
      <c r="Z85" s="10" t="e">
        <f>VLOOKUP(AJ77,'FRC Site Data'!$B$3:$L$42,11,FALSE)</f>
        <v>#N/A</v>
      </c>
      <c r="AA85" s="10" t="e">
        <f>VLOOKUP(AJ77,'CIR Team Info'!$C$5:$E$44,4,FALSE)</f>
        <v>#N/A</v>
      </c>
      <c r="AB85" s="161" t="b">
        <f>ISNUMBER(VLOOKUP(AJ77,Match!$T$5:$T$10,1,FALSE))</f>
        <v>0</v>
      </c>
      <c r="AC85" s="161" t="b">
        <f>IF(AB85=TRUE,(VLOOKUP($AJ77,Match!$T$5:$U$10,2,FALSE)))</f>
        <v>0</v>
      </c>
      <c r="AD85" s="8">
        <v>3</v>
      </c>
      <c r="AE85" s="8">
        <v>2</v>
      </c>
      <c r="AF85" s="8">
        <v>2</v>
      </c>
      <c r="AG85" s="8">
        <v>1</v>
      </c>
      <c r="AH85" s="8" t="s">
        <v>36</v>
      </c>
      <c r="BA85" s="24"/>
      <c r="BC85" s="12"/>
      <c r="BS85" s="127"/>
    </row>
    <row r="86" spans="1:71" x14ac:dyDescent="0.25">
      <c r="A86" s="29">
        <f t="shared" si="24"/>
        <v>0</v>
      </c>
      <c r="B86" s="29">
        <f t="shared" si="33"/>
        <v>0</v>
      </c>
      <c r="C86" s="29">
        <f t="shared" si="34"/>
        <v>0</v>
      </c>
      <c r="D86" s="29">
        <f t="shared" si="35"/>
        <v>0</v>
      </c>
      <c r="E86" s="29">
        <f t="shared" si="25"/>
        <v>0</v>
      </c>
      <c r="F86" s="29">
        <f t="shared" si="26"/>
        <v>0</v>
      </c>
      <c r="G86" s="29" t="str">
        <f t="shared" si="27"/>
        <v>offensive</v>
      </c>
      <c r="H86" s="16">
        <f t="shared" si="31"/>
        <v>0</v>
      </c>
      <c r="I86" s="16">
        <f t="shared" si="32"/>
        <v>0</v>
      </c>
      <c r="J86" s="16">
        <f t="shared" si="36"/>
        <v>0</v>
      </c>
      <c r="K86" s="16">
        <f t="shared" si="28"/>
        <v>0</v>
      </c>
      <c r="L86" s="67">
        <f t="shared" si="29"/>
        <v>0</v>
      </c>
      <c r="M86" s="4">
        <f t="shared" si="37"/>
        <v>0</v>
      </c>
      <c r="N86" s="4">
        <f t="shared" si="23"/>
        <v>0</v>
      </c>
      <c r="O86" s="4">
        <f t="shared" si="30"/>
        <v>0</v>
      </c>
      <c r="P86" s="4" t="e">
        <f>VLOOKUP(AJ78,'CIR Team Info'!$C$5:$E$44,2,FALSE)</f>
        <v>#N/A</v>
      </c>
      <c r="Q86" s="4" t="e">
        <f>VLOOKUP(AJ78,'CIR Team Info'!$C$5:$E$44,3,FALSE)</f>
        <v>#N/A</v>
      </c>
      <c r="R86" s="10" t="e">
        <f>VLOOKUP(AJ78,'FRC Site Data'!$B$3:$L$42,2,FALSE)</f>
        <v>#N/A</v>
      </c>
      <c r="S86" s="10" t="e">
        <f>VLOOKUP(AJ78,'FRC Site Data'!$B$3:$L$42,3,FALSE)</f>
        <v>#N/A</v>
      </c>
      <c r="T86" s="10" t="e">
        <f>VLOOKUP(AJ78,'FRC Site Data'!$B$3:$L$42,4,FALSE)</f>
        <v>#N/A</v>
      </c>
      <c r="U86" s="10" t="e">
        <f>VLOOKUP(AJ78,'FRC Site Data'!$B$3:$L$42,5,FALSE)</f>
        <v>#N/A</v>
      </c>
      <c r="V86" s="10" t="e">
        <f>VLOOKUP(AJ78,'FRC Site Data'!$B$3:$L$42,6,FALSE)</f>
        <v>#N/A</v>
      </c>
      <c r="W86" s="10" t="e">
        <f>VLOOKUP(AJ78,'FRC Site Data'!$B$3:$L$42,8,FALSE)</f>
        <v>#N/A</v>
      </c>
      <c r="X86" s="10" t="e">
        <f>VLOOKUP(AJ78,'FRC Site Data'!$B$3:$L$42,9,FALSE)</f>
        <v>#N/A</v>
      </c>
      <c r="Y86" s="10" t="e">
        <f>VLOOKUP(AJ78,'FRC Site Data'!$B$3:$L$42,10,FALSE)</f>
        <v>#N/A</v>
      </c>
      <c r="Z86" s="10" t="e">
        <f>VLOOKUP(AJ78,'FRC Site Data'!$B$3:$L$42,11,FALSE)</f>
        <v>#N/A</v>
      </c>
      <c r="AA86" s="10" t="e">
        <f>VLOOKUP(AJ78,'CIR Team Info'!$C$5:$E$44,4,FALSE)</f>
        <v>#N/A</v>
      </c>
      <c r="AB86" s="161" t="b">
        <f>ISNUMBER(VLOOKUP(AJ78,Match!$T$5:$T$10,1,FALSE))</f>
        <v>0</v>
      </c>
      <c r="AC86" s="161" t="b">
        <f>IF(AB86=TRUE,(VLOOKUP($AJ78,Match!$T$5:$U$10,2,FALSE)))</f>
        <v>0</v>
      </c>
      <c r="AD86" s="8">
        <v>3</v>
      </c>
      <c r="AE86" s="8">
        <v>2</v>
      </c>
      <c r="AF86" s="8">
        <v>2</v>
      </c>
      <c r="AG86" s="8">
        <v>1</v>
      </c>
      <c r="AH86" s="8" t="s">
        <v>36</v>
      </c>
      <c r="BA86" s="24"/>
      <c r="BC86" s="12"/>
      <c r="BS86" s="127"/>
    </row>
    <row r="87" spans="1:71" x14ac:dyDescent="0.25">
      <c r="A87" s="29">
        <f t="shared" si="24"/>
        <v>0</v>
      </c>
      <c r="B87" s="29">
        <f t="shared" si="33"/>
        <v>0</v>
      </c>
      <c r="C87" s="29">
        <f t="shared" si="34"/>
        <v>0</v>
      </c>
      <c r="D87" s="29">
        <f t="shared" si="35"/>
        <v>0</v>
      </c>
      <c r="E87" s="29">
        <f t="shared" si="25"/>
        <v>0</v>
      </c>
      <c r="F87" s="29">
        <f t="shared" si="26"/>
        <v>0</v>
      </c>
      <c r="G87" s="29" t="str">
        <f t="shared" si="27"/>
        <v>offensive</v>
      </c>
      <c r="H87" s="16">
        <f t="shared" si="31"/>
        <v>0</v>
      </c>
      <c r="I87" s="16">
        <f t="shared" si="32"/>
        <v>0</v>
      </c>
      <c r="J87" s="16">
        <f t="shared" si="36"/>
        <v>0</v>
      </c>
      <c r="K87" s="16">
        <f t="shared" si="28"/>
        <v>0</v>
      </c>
      <c r="L87" s="67">
        <f t="shared" si="29"/>
        <v>0</v>
      </c>
      <c r="M87" s="4">
        <f t="shared" si="37"/>
        <v>0</v>
      </c>
      <c r="N87" s="4">
        <f t="shared" si="23"/>
        <v>0</v>
      </c>
      <c r="O87" s="4">
        <f t="shared" si="30"/>
        <v>0</v>
      </c>
      <c r="P87" s="4" t="e">
        <f>VLOOKUP(AJ79,'CIR Team Info'!$C$5:$E$44,2,FALSE)</f>
        <v>#N/A</v>
      </c>
      <c r="Q87" s="4" t="e">
        <f>VLOOKUP(AJ79,'CIR Team Info'!$C$5:$E$44,3,FALSE)</f>
        <v>#N/A</v>
      </c>
      <c r="R87" s="10" t="e">
        <f>VLOOKUP(AJ79,'FRC Site Data'!$B$3:$L$42,2,FALSE)</f>
        <v>#N/A</v>
      </c>
      <c r="S87" s="10" t="e">
        <f>VLOOKUP(AJ79,'FRC Site Data'!$B$3:$L$42,3,FALSE)</f>
        <v>#N/A</v>
      </c>
      <c r="T87" s="10" t="e">
        <f>VLOOKUP(AJ79,'FRC Site Data'!$B$3:$L$42,4,FALSE)</f>
        <v>#N/A</v>
      </c>
      <c r="U87" s="10" t="e">
        <f>VLOOKUP(AJ79,'FRC Site Data'!$B$3:$L$42,5,FALSE)</f>
        <v>#N/A</v>
      </c>
      <c r="V87" s="10" t="e">
        <f>VLOOKUP(AJ79,'FRC Site Data'!$B$3:$L$42,6,FALSE)</f>
        <v>#N/A</v>
      </c>
      <c r="W87" s="10" t="e">
        <f>VLOOKUP(AJ79,'FRC Site Data'!$B$3:$L$42,8,FALSE)</f>
        <v>#N/A</v>
      </c>
      <c r="X87" s="10" t="e">
        <f>VLOOKUP(AJ79,'FRC Site Data'!$B$3:$L$42,9,FALSE)</f>
        <v>#N/A</v>
      </c>
      <c r="Y87" s="10" t="e">
        <f>VLOOKUP(AJ79,'FRC Site Data'!$B$3:$L$42,10,FALSE)</f>
        <v>#N/A</v>
      </c>
      <c r="Z87" s="10" t="e">
        <f>VLOOKUP(AJ79,'FRC Site Data'!$B$3:$L$42,11,FALSE)</f>
        <v>#N/A</v>
      </c>
      <c r="AA87" s="10" t="e">
        <f>VLOOKUP(AJ79,'CIR Team Info'!$C$5:$E$44,4,FALSE)</f>
        <v>#N/A</v>
      </c>
      <c r="AB87" s="161" t="b">
        <f>ISNUMBER(VLOOKUP(AJ79,Match!$T$5:$T$10,1,FALSE))</f>
        <v>0</v>
      </c>
      <c r="AC87" s="161" t="b">
        <f>IF(AB87=TRUE,(VLOOKUP($AJ79,Match!$T$5:$U$10,2,FALSE)))</f>
        <v>0</v>
      </c>
      <c r="AD87" s="8">
        <v>3</v>
      </c>
      <c r="AE87" s="8">
        <v>2</v>
      </c>
      <c r="AF87" s="8">
        <v>2</v>
      </c>
      <c r="AG87" s="8">
        <v>1</v>
      </c>
      <c r="AH87" s="8" t="s">
        <v>36</v>
      </c>
      <c r="BA87" s="24"/>
      <c r="BC87" s="12"/>
      <c r="BS87" s="127"/>
    </row>
    <row r="88" spans="1:71" x14ac:dyDescent="0.25">
      <c r="A88" s="29">
        <f t="shared" si="24"/>
        <v>0</v>
      </c>
      <c r="B88" s="29">
        <f t="shared" si="33"/>
        <v>0</v>
      </c>
      <c r="C88" s="29">
        <f t="shared" si="34"/>
        <v>0</v>
      </c>
      <c r="D88" s="29">
        <f t="shared" si="35"/>
        <v>0</v>
      </c>
      <c r="E88" s="29">
        <f t="shared" si="25"/>
        <v>0</v>
      </c>
      <c r="F88" s="29">
        <f t="shared" si="26"/>
        <v>0</v>
      </c>
      <c r="G88" s="29" t="str">
        <f t="shared" si="27"/>
        <v>offensive</v>
      </c>
      <c r="H88" s="16">
        <f t="shared" si="31"/>
        <v>0</v>
      </c>
      <c r="I88" s="16">
        <f t="shared" si="32"/>
        <v>0</v>
      </c>
      <c r="J88" s="16">
        <f t="shared" si="36"/>
        <v>0</v>
      </c>
      <c r="K88" s="16">
        <f t="shared" si="28"/>
        <v>0</v>
      </c>
      <c r="L88" s="67">
        <f t="shared" si="29"/>
        <v>0</v>
      </c>
      <c r="M88" s="4">
        <f t="shared" si="37"/>
        <v>0</v>
      </c>
      <c r="N88" s="4">
        <f t="shared" si="23"/>
        <v>0</v>
      </c>
      <c r="O88" s="4">
        <f t="shared" si="30"/>
        <v>0</v>
      </c>
      <c r="P88" s="4" t="e">
        <f>VLOOKUP(AJ80,'CIR Team Info'!$C$5:$E$44,2,FALSE)</f>
        <v>#N/A</v>
      </c>
      <c r="Q88" s="4" t="e">
        <f>VLOOKUP(AJ80,'CIR Team Info'!$C$5:$E$44,3,FALSE)</f>
        <v>#N/A</v>
      </c>
      <c r="R88" s="10" t="e">
        <f>VLOOKUP(AJ80,'FRC Site Data'!$B$3:$L$42,2,FALSE)</f>
        <v>#N/A</v>
      </c>
      <c r="S88" s="10" t="e">
        <f>VLOOKUP(AJ80,'FRC Site Data'!$B$3:$L$42,3,FALSE)</f>
        <v>#N/A</v>
      </c>
      <c r="T88" s="10" t="e">
        <f>VLOOKUP(AJ80,'FRC Site Data'!$B$3:$L$42,4,FALSE)</f>
        <v>#N/A</v>
      </c>
      <c r="U88" s="10" t="e">
        <f>VLOOKUP(AJ80,'FRC Site Data'!$B$3:$L$42,5,FALSE)</f>
        <v>#N/A</v>
      </c>
      <c r="V88" s="10" t="e">
        <f>VLOOKUP(AJ80,'FRC Site Data'!$B$3:$L$42,6,FALSE)</f>
        <v>#N/A</v>
      </c>
      <c r="W88" s="10" t="e">
        <f>VLOOKUP(AJ80,'FRC Site Data'!$B$3:$L$42,8,FALSE)</f>
        <v>#N/A</v>
      </c>
      <c r="X88" s="10" t="e">
        <f>VLOOKUP(AJ80,'FRC Site Data'!$B$3:$L$42,9,FALSE)</f>
        <v>#N/A</v>
      </c>
      <c r="Y88" s="10" t="e">
        <f>VLOOKUP(AJ80,'FRC Site Data'!$B$3:$L$42,10,FALSE)</f>
        <v>#N/A</v>
      </c>
      <c r="Z88" s="10" t="e">
        <f>VLOOKUP(AJ80,'FRC Site Data'!$B$3:$L$42,11,FALSE)</f>
        <v>#N/A</v>
      </c>
      <c r="AA88" s="10" t="e">
        <f>VLOOKUP(AJ80,'CIR Team Info'!$C$5:$E$44,4,FALSE)</f>
        <v>#N/A</v>
      </c>
      <c r="AB88" s="161" t="b">
        <f>ISNUMBER(VLOOKUP(AJ80,Match!$T$5:$T$10,1,FALSE))</f>
        <v>0</v>
      </c>
      <c r="AC88" s="161" t="b">
        <f>IF(AB88=TRUE,(VLOOKUP($AJ80,Match!$T$5:$U$10,2,FALSE)))</f>
        <v>0</v>
      </c>
      <c r="AD88" s="8">
        <v>3</v>
      </c>
      <c r="AE88" s="8">
        <v>2</v>
      </c>
      <c r="AF88" s="8">
        <v>2</v>
      </c>
      <c r="AG88" s="8">
        <v>1</v>
      </c>
      <c r="AH88" s="8" t="s">
        <v>36</v>
      </c>
      <c r="BA88" s="24"/>
      <c r="BC88" s="12"/>
      <c r="BS88" s="127"/>
    </row>
    <row r="89" spans="1:71" x14ac:dyDescent="0.25">
      <c r="A89" s="29">
        <f t="shared" si="24"/>
        <v>0</v>
      </c>
      <c r="B89" s="29">
        <f t="shared" si="33"/>
        <v>0</v>
      </c>
      <c r="C89" s="29">
        <f t="shared" si="34"/>
        <v>0</v>
      </c>
      <c r="D89" s="29">
        <f t="shared" si="35"/>
        <v>0</v>
      </c>
      <c r="E89" s="29">
        <f t="shared" si="25"/>
        <v>0</v>
      </c>
      <c r="F89" s="29">
        <f t="shared" si="26"/>
        <v>0</v>
      </c>
      <c r="G89" s="29" t="str">
        <f t="shared" si="27"/>
        <v>offensive</v>
      </c>
      <c r="H89" s="16">
        <f t="shared" si="31"/>
        <v>0</v>
      </c>
      <c r="I89" s="16">
        <f t="shared" si="32"/>
        <v>0</v>
      </c>
      <c r="J89" s="16">
        <f t="shared" si="36"/>
        <v>0</v>
      </c>
      <c r="K89" s="16">
        <f t="shared" si="28"/>
        <v>0</v>
      </c>
      <c r="L89" s="67">
        <f t="shared" si="29"/>
        <v>0</v>
      </c>
      <c r="M89" s="4">
        <f t="shared" si="37"/>
        <v>0</v>
      </c>
      <c r="N89" s="4">
        <f t="shared" si="23"/>
        <v>0</v>
      </c>
      <c r="O89" s="4">
        <f t="shared" si="30"/>
        <v>0</v>
      </c>
      <c r="P89" s="4" t="e">
        <f>VLOOKUP(AJ81,'CIR Team Info'!$C$5:$E$44,2,FALSE)</f>
        <v>#N/A</v>
      </c>
      <c r="Q89" s="4" t="e">
        <f>VLOOKUP(AJ81,'CIR Team Info'!$C$5:$E$44,3,FALSE)</f>
        <v>#N/A</v>
      </c>
      <c r="R89" s="10" t="e">
        <f>VLOOKUP(AJ81,'FRC Site Data'!$B$3:$L$42,2,FALSE)</f>
        <v>#N/A</v>
      </c>
      <c r="S89" s="10" t="e">
        <f>VLOOKUP(AJ81,'FRC Site Data'!$B$3:$L$42,3,FALSE)</f>
        <v>#N/A</v>
      </c>
      <c r="T89" s="10" t="e">
        <f>VLOOKUP(AJ81,'FRC Site Data'!$B$3:$L$42,4,FALSE)</f>
        <v>#N/A</v>
      </c>
      <c r="U89" s="10" t="e">
        <f>VLOOKUP(AJ81,'FRC Site Data'!$B$3:$L$42,5,FALSE)</f>
        <v>#N/A</v>
      </c>
      <c r="V89" s="10" t="e">
        <f>VLOOKUP(AJ81,'FRC Site Data'!$B$3:$L$42,6,FALSE)</f>
        <v>#N/A</v>
      </c>
      <c r="W89" s="10" t="e">
        <f>VLOOKUP(AJ81,'FRC Site Data'!$B$3:$L$42,8,FALSE)</f>
        <v>#N/A</v>
      </c>
      <c r="X89" s="10" t="e">
        <f>VLOOKUP(AJ81,'FRC Site Data'!$B$3:$L$42,9,FALSE)</f>
        <v>#N/A</v>
      </c>
      <c r="Y89" s="10" t="e">
        <f>VLOOKUP(AJ81,'FRC Site Data'!$B$3:$L$42,10,FALSE)</f>
        <v>#N/A</v>
      </c>
      <c r="Z89" s="10" t="e">
        <f>VLOOKUP(AJ81,'FRC Site Data'!$B$3:$L$42,11,FALSE)</f>
        <v>#N/A</v>
      </c>
      <c r="AA89" s="10" t="e">
        <f>VLOOKUP(AJ81,'CIR Team Info'!$C$5:$E$44,4,FALSE)</f>
        <v>#N/A</v>
      </c>
      <c r="AB89" s="161" t="b">
        <f>ISNUMBER(VLOOKUP(AJ81,Match!$T$5:$T$10,1,FALSE))</f>
        <v>0</v>
      </c>
      <c r="AC89" s="161" t="b">
        <f>IF(AB89=TRUE,(VLOOKUP($AJ81,Match!$T$5:$U$10,2,FALSE)))</f>
        <v>0</v>
      </c>
      <c r="AD89" s="8">
        <v>3</v>
      </c>
      <c r="AE89" s="8">
        <v>2</v>
      </c>
      <c r="AF89" s="8">
        <v>2</v>
      </c>
      <c r="AG89" s="8">
        <v>1</v>
      </c>
      <c r="AH89" s="8" t="str">
        <f t="shared" ref="AH89:AH152" si="39">IF(AL81="Other","x","")</f>
        <v/>
      </c>
      <c r="BA89" s="24"/>
      <c r="BC89" s="12"/>
      <c r="BS89" s="127"/>
    </row>
    <row r="90" spans="1:71" x14ac:dyDescent="0.25">
      <c r="A90" s="29">
        <f t="shared" si="24"/>
        <v>0</v>
      </c>
      <c r="B90" s="29">
        <f t="shared" si="33"/>
        <v>0</v>
      </c>
      <c r="C90" s="29">
        <f t="shared" si="34"/>
        <v>0</v>
      </c>
      <c r="D90" s="29">
        <f t="shared" si="35"/>
        <v>0</v>
      </c>
      <c r="E90" s="29">
        <f t="shared" si="25"/>
        <v>0</v>
      </c>
      <c r="F90" s="29">
        <f t="shared" si="26"/>
        <v>0</v>
      </c>
      <c r="G90" s="29" t="str">
        <f t="shared" si="27"/>
        <v>offensive</v>
      </c>
      <c r="H90" s="16">
        <f t="shared" si="31"/>
        <v>0</v>
      </c>
      <c r="I90" s="16">
        <f t="shared" si="32"/>
        <v>0</v>
      </c>
      <c r="J90" s="16">
        <f t="shared" si="36"/>
        <v>0</v>
      </c>
      <c r="K90" s="16">
        <f t="shared" si="28"/>
        <v>0</v>
      </c>
      <c r="L90" s="67">
        <f t="shared" si="29"/>
        <v>0</v>
      </c>
      <c r="M90" s="4">
        <f t="shared" si="37"/>
        <v>0</v>
      </c>
      <c r="N90" s="4">
        <f t="shared" si="23"/>
        <v>0</v>
      </c>
      <c r="O90" s="4">
        <f t="shared" si="30"/>
        <v>0</v>
      </c>
      <c r="P90" s="4" t="e">
        <f>VLOOKUP(AJ82,'CIR Team Info'!$C$5:$E$44,2,FALSE)</f>
        <v>#N/A</v>
      </c>
      <c r="Q90" s="4" t="e">
        <f>VLOOKUP(AJ82,'CIR Team Info'!$C$5:$E$44,3,FALSE)</f>
        <v>#N/A</v>
      </c>
      <c r="R90" s="10" t="e">
        <f>VLOOKUP(AJ82,'FRC Site Data'!$B$3:$L$42,2,FALSE)</f>
        <v>#N/A</v>
      </c>
      <c r="S90" s="10" t="e">
        <f>VLOOKUP(AJ82,'FRC Site Data'!$B$3:$L$42,3,FALSE)</f>
        <v>#N/A</v>
      </c>
      <c r="T90" s="10" t="e">
        <f>VLOOKUP(AJ82,'FRC Site Data'!$B$3:$L$42,4,FALSE)</f>
        <v>#N/A</v>
      </c>
      <c r="U90" s="10" t="e">
        <f>VLOOKUP(AJ82,'FRC Site Data'!$B$3:$L$42,5,FALSE)</f>
        <v>#N/A</v>
      </c>
      <c r="V90" s="10" t="e">
        <f>VLOOKUP(AJ82,'FRC Site Data'!$B$3:$L$42,6,FALSE)</f>
        <v>#N/A</v>
      </c>
      <c r="W90" s="10" t="e">
        <f>VLOOKUP(AJ82,'FRC Site Data'!$B$3:$L$42,8,FALSE)</f>
        <v>#N/A</v>
      </c>
      <c r="X90" s="10" t="e">
        <f>VLOOKUP(AJ82,'FRC Site Data'!$B$3:$L$42,9,FALSE)</f>
        <v>#N/A</v>
      </c>
      <c r="Y90" s="10" t="e">
        <f>VLOOKUP(AJ82,'FRC Site Data'!$B$3:$L$42,10,FALSE)</f>
        <v>#N/A</v>
      </c>
      <c r="Z90" s="10" t="e">
        <f>VLOOKUP(AJ82,'FRC Site Data'!$B$3:$L$42,11,FALSE)</f>
        <v>#N/A</v>
      </c>
      <c r="AA90" s="10" t="e">
        <f>VLOOKUP(AJ82,'CIR Team Info'!$C$5:$E$44,4,FALSE)</f>
        <v>#N/A</v>
      </c>
      <c r="AB90" s="161" t="b">
        <f>ISNUMBER(VLOOKUP(AJ82,Match!$T$5:$T$10,1,FALSE))</f>
        <v>0</v>
      </c>
      <c r="AC90" s="161" t="b">
        <f>IF(AB90=TRUE,(VLOOKUP($AJ82,Match!$T$5:$U$10,2,FALSE)))</f>
        <v>0</v>
      </c>
      <c r="AD90" s="8">
        <v>3</v>
      </c>
      <c r="AE90" s="8">
        <v>2</v>
      </c>
      <c r="AF90" s="8">
        <v>2</v>
      </c>
      <c r="AG90" s="8">
        <v>1</v>
      </c>
      <c r="AH90" s="8" t="str">
        <f t="shared" si="39"/>
        <v/>
      </c>
      <c r="BA90" s="24"/>
      <c r="BC90" s="12"/>
      <c r="BS90" s="127"/>
    </row>
    <row r="91" spans="1:71" x14ac:dyDescent="0.25">
      <c r="A91" s="29">
        <f t="shared" si="24"/>
        <v>0</v>
      </c>
      <c r="B91" s="29">
        <f t="shared" si="33"/>
        <v>0</v>
      </c>
      <c r="C91" s="29">
        <f t="shared" si="34"/>
        <v>0</v>
      </c>
      <c r="D91" s="29">
        <f t="shared" si="35"/>
        <v>0</v>
      </c>
      <c r="E91" s="29">
        <f t="shared" si="25"/>
        <v>0</v>
      </c>
      <c r="F91" s="29">
        <f t="shared" si="26"/>
        <v>0</v>
      </c>
      <c r="G91" s="29" t="str">
        <f t="shared" si="27"/>
        <v>offensive</v>
      </c>
      <c r="H91" s="16">
        <f t="shared" si="31"/>
        <v>0</v>
      </c>
      <c r="I91" s="16">
        <f t="shared" si="32"/>
        <v>0</v>
      </c>
      <c r="J91" s="16">
        <f t="shared" si="36"/>
        <v>0</v>
      </c>
      <c r="K91" s="16">
        <f t="shared" si="28"/>
        <v>0</v>
      </c>
      <c r="L91" s="67">
        <f t="shared" si="29"/>
        <v>0</v>
      </c>
      <c r="M91" s="4">
        <f t="shared" si="37"/>
        <v>0</v>
      </c>
      <c r="N91" s="4">
        <f t="shared" si="23"/>
        <v>0</v>
      </c>
      <c r="O91" s="4">
        <f t="shared" si="30"/>
        <v>0</v>
      </c>
      <c r="P91" s="4" t="e">
        <f>VLOOKUP(AJ83,'CIR Team Info'!$C$5:$E$44,2,FALSE)</f>
        <v>#N/A</v>
      </c>
      <c r="Q91" s="4" t="e">
        <f>VLOOKUP(AJ83,'CIR Team Info'!$C$5:$E$44,3,FALSE)</f>
        <v>#N/A</v>
      </c>
      <c r="R91" s="10" t="e">
        <f>VLOOKUP(AJ83,'FRC Site Data'!$B$3:$L$42,2,FALSE)</f>
        <v>#N/A</v>
      </c>
      <c r="S91" s="10" t="e">
        <f>VLOOKUP(AJ83,'FRC Site Data'!$B$3:$L$42,3,FALSE)</f>
        <v>#N/A</v>
      </c>
      <c r="T91" s="10" t="e">
        <f>VLOOKUP(AJ83,'FRC Site Data'!$B$3:$L$42,4,FALSE)</f>
        <v>#N/A</v>
      </c>
      <c r="U91" s="10" t="e">
        <f>VLOOKUP(AJ83,'FRC Site Data'!$B$3:$L$42,5,FALSE)</f>
        <v>#N/A</v>
      </c>
      <c r="V91" s="10" t="e">
        <f>VLOOKUP(AJ83,'FRC Site Data'!$B$3:$L$42,6,FALSE)</f>
        <v>#N/A</v>
      </c>
      <c r="W91" s="10" t="e">
        <f>VLOOKUP(AJ83,'FRC Site Data'!$B$3:$L$42,8,FALSE)</f>
        <v>#N/A</v>
      </c>
      <c r="X91" s="10" t="e">
        <f>VLOOKUP(AJ83,'FRC Site Data'!$B$3:$L$42,9,FALSE)</f>
        <v>#N/A</v>
      </c>
      <c r="Y91" s="10" t="e">
        <f>VLOOKUP(AJ83,'FRC Site Data'!$B$3:$L$42,10,FALSE)</f>
        <v>#N/A</v>
      </c>
      <c r="Z91" s="10" t="e">
        <f>VLOOKUP(AJ83,'FRC Site Data'!$B$3:$L$42,11,FALSE)</f>
        <v>#N/A</v>
      </c>
      <c r="AA91" s="10" t="e">
        <f>VLOOKUP(AJ83,'CIR Team Info'!$C$5:$E$44,4,FALSE)</f>
        <v>#N/A</v>
      </c>
      <c r="AB91" s="161" t="b">
        <f>ISNUMBER(VLOOKUP(AJ83,Match!$T$5:$T$10,1,FALSE))</f>
        <v>0</v>
      </c>
      <c r="AC91" s="161" t="b">
        <f>IF(AB91=TRUE,(VLOOKUP($AJ83,Match!$T$5:$U$10,2,FALSE)))</f>
        <v>0</v>
      </c>
      <c r="AD91" s="8">
        <v>3</v>
      </c>
      <c r="AE91" s="8">
        <v>2</v>
      </c>
      <c r="AF91" s="8">
        <v>2</v>
      </c>
      <c r="AG91" s="8">
        <v>1</v>
      </c>
      <c r="AH91" s="8" t="str">
        <f t="shared" si="39"/>
        <v/>
      </c>
      <c r="BA91" s="24"/>
      <c r="BC91" s="12"/>
      <c r="BS91" s="127"/>
    </row>
    <row r="92" spans="1:71" x14ac:dyDescent="0.25">
      <c r="A92" s="29">
        <f t="shared" si="24"/>
        <v>0</v>
      </c>
      <c r="B92" s="29">
        <f t="shared" si="33"/>
        <v>0</v>
      </c>
      <c r="C92" s="29">
        <f t="shared" si="34"/>
        <v>0</v>
      </c>
      <c r="D92" s="29">
        <f t="shared" si="35"/>
        <v>0</v>
      </c>
      <c r="E92" s="29">
        <f t="shared" si="25"/>
        <v>0</v>
      </c>
      <c r="F92" s="29">
        <f t="shared" si="26"/>
        <v>0</v>
      </c>
      <c r="G92" s="29" t="str">
        <f t="shared" si="27"/>
        <v>offensive</v>
      </c>
      <c r="H92" s="16">
        <f t="shared" si="31"/>
        <v>0</v>
      </c>
      <c r="I92" s="16">
        <f t="shared" si="32"/>
        <v>0</v>
      </c>
      <c r="J92" s="16">
        <f t="shared" si="36"/>
        <v>0</v>
      </c>
      <c r="K92" s="16">
        <f t="shared" si="28"/>
        <v>0</v>
      </c>
      <c r="L92" s="67">
        <f t="shared" si="29"/>
        <v>0</v>
      </c>
      <c r="M92" s="4">
        <f t="shared" si="37"/>
        <v>0</v>
      </c>
      <c r="N92" s="4">
        <f t="shared" si="23"/>
        <v>0</v>
      </c>
      <c r="O92" s="4">
        <f t="shared" si="30"/>
        <v>0</v>
      </c>
      <c r="P92" s="4" t="e">
        <f>VLOOKUP(AJ84,'CIR Team Info'!$C$5:$E$44,2,FALSE)</f>
        <v>#N/A</v>
      </c>
      <c r="Q92" s="4" t="e">
        <f>VLOOKUP(AJ84,'CIR Team Info'!$C$5:$E$44,3,FALSE)</f>
        <v>#N/A</v>
      </c>
      <c r="R92" s="10" t="e">
        <f>VLOOKUP(AJ84,'FRC Site Data'!$B$3:$L$42,2,FALSE)</f>
        <v>#N/A</v>
      </c>
      <c r="S92" s="10" t="e">
        <f>VLOOKUP(AJ84,'FRC Site Data'!$B$3:$L$42,3,FALSE)</f>
        <v>#N/A</v>
      </c>
      <c r="T92" s="10" t="e">
        <f>VLOOKUP(AJ84,'FRC Site Data'!$B$3:$L$42,4,FALSE)</f>
        <v>#N/A</v>
      </c>
      <c r="U92" s="10" t="e">
        <f>VLOOKUP(AJ84,'FRC Site Data'!$B$3:$L$42,5,FALSE)</f>
        <v>#N/A</v>
      </c>
      <c r="V92" s="10" t="e">
        <f>VLOOKUP(AJ84,'FRC Site Data'!$B$3:$L$42,6,FALSE)</f>
        <v>#N/A</v>
      </c>
      <c r="W92" s="10" t="e">
        <f>VLOOKUP(AJ84,'FRC Site Data'!$B$3:$L$42,8,FALSE)</f>
        <v>#N/A</v>
      </c>
      <c r="X92" s="10" t="e">
        <f>VLOOKUP(AJ84,'FRC Site Data'!$B$3:$L$42,9,FALSE)</f>
        <v>#N/A</v>
      </c>
      <c r="Y92" s="10" t="e">
        <f>VLOOKUP(AJ84,'FRC Site Data'!$B$3:$L$42,10,FALSE)</f>
        <v>#N/A</v>
      </c>
      <c r="Z92" s="10" t="e">
        <f>VLOOKUP(AJ84,'FRC Site Data'!$B$3:$L$42,11,FALSE)</f>
        <v>#N/A</v>
      </c>
      <c r="AA92" s="10" t="e">
        <f>VLOOKUP(AJ84,'CIR Team Info'!$C$5:$E$44,4,FALSE)</f>
        <v>#N/A</v>
      </c>
      <c r="AB92" s="161" t="b">
        <f>ISNUMBER(VLOOKUP(AJ84,Match!$T$5:$T$10,1,FALSE))</f>
        <v>0</v>
      </c>
      <c r="AC92" s="161" t="b">
        <f>IF(AB92=TRUE,(VLOOKUP($AJ84,Match!$T$5:$U$10,2,FALSE)))</f>
        <v>0</v>
      </c>
      <c r="AD92" s="8">
        <v>3</v>
      </c>
      <c r="AE92" s="8">
        <v>2</v>
      </c>
      <c r="AF92" s="8">
        <v>2</v>
      </c>
      <c r="AG92" s="8">
        <v>1</v>
      </c>
      <c r="AH92" s="8" t="str">
        <f t="shared" si="39"/>
        <v/>
      </c>
      <c r="BA92" s="24"/>
      <c r="BC92" s="12"/>
      <c r="BS92" s="127"/>
    </row>
    <row r="93" spans="1:71" x14ac:dyDescent="0.25">
      <c r="A93" s="29">
        <f t="shared" si="24"/>
        <v>0</v>
      </c>
      <c r="B93" s="29">
        <f t="shared" si="33"/>
        <v>0</v>
      </c>
      <c r="C93" s="29">
        <f t="shared" si="34"/>
        <v>0</v>
      </c>
      <c r="D93" s="29">
        <f t="shared" si="35"/>
        <v>0</v>
      </c>
      <c r="E93" s="29">
        <f t="shared" si="25"/>
        <v>0</v>
      </c>
      <c r="F93" s="29">
        <f t="shared" si="26"/>
        <v>0</v>
      </c>
      <c r="G93" s="29" t="str">
        <f t="shared" si="27"/>
        <v>offensive</v>
      </c>
      <c r="H93" s="16">
        <f t="shared" si="31"/>
        <v>0</v>
      </c>
      <c r="I93" s="16">
        <f t="shared" si="32"/>
        <v>0</v>
      </c>
      <c r="J93" s="16">
        <f t="shared" si="36"/>
        <v>0</v>
      </c>
      <c r="K93" s="16">
        <f t="shared" si="28"/>
        <v>0</v>
      </c>
      <c r="L93" s="67">
        <f t="shared" si="29"/>
        <v>0</v>
      </c>
      <c r="M93" s="4">
        <f t="shared" si="37"/>
        <v>0</v>
      </c>
      <c r="N93" s="4">
        <f t="shared" si="23"/>
        <v>0</v>
      </c>
      <c r="O93" s="4">
        <f t="shared" si="30"/>
        <v>0</v>
      </c>
      <c r="P93" s="4" t="e">
        <f>VLOOKUP(AJ85,'CIR Team Info'!$C$5:$E$44,2,FALSE)</f>
        <v>#N/A</v>
      </c>
      <c r="Q93" s="4" t="e">
        <f>VLOOKUP(AJ85,'CIR Team Info'!$C$5:$E$44,3,FALSE)</f>
        <v>#N/A</v>
      </c>
      <c r="R93" s="10" t="e">
        <f>VLOOKUP(AJ85,'FRC Site Data'!$B$3:$L$42,2,FALSE)</f>
        <v>#N/A</v>
      </c>
      <c r="S93" s="10" t="e">
        <f>VLOOKUP(AJ85,'FRC Site Data'!$B$3:$L$42,3,FALSE)</f>
        <v>#N/A</v>
      </c>
      <c r="T93" s="10" t="e">
        <f>VLOOKUP(AJ85,'FRC Site Data'!$B$3:$L$42,4,FALSE)</f>
        <v>#N/A</v>
      </c>
      <c r="U93" s="10" t="e">
        <f>VLOOKUP(AJ85,'FRC Site Data'!$B$3:$L$42,5,FALSE)</f>
        <v>#N/A</v>
      </c>
      <c r="V93" s="10" t="e">
        <f>VLOOKUP(AJ85,'FRC Site Data'!$B$3:$L$42,6,FALSE)</f>
        <v>#N/A</v>
      </c>
      <c r="W93" s="10" t="e">
        <f>VLOOKUP(AJ85,'FRC Site Data'!$B$3:$L$42,8,FALSE)</f>
        <v>#N/A</v>
      </c>
      <c r="X93" s="10" t="e">
        <f>VLOOKUP(AJ85,'FRC Site Data'!$B$3:$L$42,9,FALSE)</f>
        <v>#N/A</v>
      </c>
      <c r="Y93" s="10" t="e">
        <f>VLOOKUP(AJ85,'FRC Site Data'!$B$3:$L$42,10,FALSE)</f>
        <v>#N/A</v>
      </c>
      <c r="Z93" s="10" t="e">
        <f>VLOOKUP(AJ85,'FRC Site Data'!$B$3:$L$42,11,FALSE)</f>
        <v>#N/A</v>
      </c>
      <c r="AA93" s="10" t="e">
        <f>VLOOKUP(AJ85,'CIR Team Info'!$C$5:$E$44,4,FALSE)</f>
        <v>#N/A</v>
      </c>
      <c r="AB93" s="161" t="b">
        <f>ISNUMBER(VLOOKUP(AJ85,Match!$T$5:$T$10,1,FALSE))</f>
        <v>0</v>
      </c>
      <c r="AC93" s="161" t="b">
        <f>IF(AB93=TRUE,(VLOOKUP($AJ85,Match!$T$5:$U$10,2,FALSE)))</f>
        <v>0</v>
      </c>
      <c r="AD93" s="8">
        <v>3</v>
      </c>
      <c r="AE93" s="8">
        <v>2</v>
      </c>
      <c r="AF93" s="8">
        <v>2</v>
      </c>
      <c r="AG93" s="8">
        <v>1</v>
      </c>
      <c r="AH93" s="8" t="str">
        <f t="shared" si="39"/>
        <v/>
      </c>
      <c r="BA93" s="24"/>
      <c r="BC93" s="12"/>
      <c r="BS93" s="127"/>
    </row>
    <row r="94" spans="1:71" x14ac:dyDescent="0.25">
      <c r="A94" s="29">
        <f t="shared" si="24"/>
        <v>0</v>
      </c>
      <c r="B94" s="29">
        <f t="shared" si="33"/>
        <v>0</v>
      </c>
      <c r="C94" s="29">
        <f t="shared" si="34"/>
        <v>0</v>
      </c>
      <c r="D94" s="29">
        <f t="shared" si="35"/>
        <v>0</v>
      </c>
      <c r="E94" s="29">
        <f t="shared" si="25"/>
        <v>0</v>
      </c>
      <c r="F94" s="29">
        <f t="shared" si="26"/>
        <v>0</v>
      </c>
      <c r="G94" s="29" t="str">
        <f t="shared" si="27"/>
        <v>offensive</v>
      </c>
      <c r="H94" s="16">
        <f t="shared" si="31"/>
        <v>0</v>
      </c>
      <c r="I94" s="16">
        <f t="shared" si="32"/>
        <v>0</v>
      </c>
      <c r="J94" s="16">
        <f t="shared" si="36"/>
        <v>0</v>
      </c>
      <c r="K94" s="16">
        <f t="shared" si="28"/>
        <v>0</v>
      </c>
      <c r="L94" s="67">
        <f t="shared" si="29"/>
        <v>0</v>
      </c>
      <c r="M94" s="4">
        <f t="shared" si="37"/>
        <v>0</v>
      </c>
      <c r="N94" s="4">
        <f t="shared" si="23"/>
        <v>0</v>
      </c>
      <c r="O94" s="4">
        <f t="shared" si="30"/>
        <v>0</v>
      </c>
      <c r="P94" s="4" t="e">
        <f>VLOOKUP(AJ86,'CIR Team Info'!$C$5:$E$44,2,FALSE)</f>
        <v>#N/A</v>
      </c>
      <c r="Q94" s="4" t="e">
        <f>VLOOKUP(AJ86,'CIR Team Info'!$C$5:$E$44,3,FALSE)</f>
        <v>#N/A</v>
      </c>
      <c r="R94" s="10" t="e">
        <f>VLOOKUP(AJ86,'FRC Site Data'!$B$3:$L$42,2,FALSE)</f>
        <v>#N/A</v>
      </c>
      <c r="S94" s="10" t="e">
        <f>VLOOKUP(AJ86,'FRC Site Data'!$B$3:$L$42,3,FALSE)</f>
        <v>#N/A</v>
      </c>
      <c r="T94" s="10" t="e">
        <f>VLOOKUP(AJ86,'FRC Site Data'!$B$3:$L$42,4,FALSE)</f>
        <v>#N/A</v>
      </c>
      <c r="U94" s="10" t="e">
        <f>VLOOKUP(AJ86,'FRC Site Data'!$B$3:$L$42,5,FALSE)</f>
        <v>#N/A</v>
      </c>
      <c r="V94" s="10" t="e">
        <f>VLOOKUP(AJ86,'FRC Site Data'!$B$3:$L$42,6,FALSE)</f>
        <v>#N/A</v>
      </c>
      <c r="W94" s="10" t="e">
        <f>VLOOKUP(AJ86,'FRC Site Data'!$B$3:$L$42,8,FALSE)</f>
        <v>#N/A</v>
      </c>
      <c r="X94" s="10" t="e">
        <f>VLOOKUP(AJ86,'FRC Site Data'!$B$3:$L$42,9,FALSE)</f>
        <v>#N/A</v>
      </c>
      <c r="Y94" s="10" t="e">
        <f>VLOOKUP(AJ86,'FRC Site Data'!$B$3:$L$42,10,FALSE)</f>
        <v>#N/A</v>
      </c>
      <c r="Z94" s="10" t="e">
        <f>VLOOKUP(AJ86,'FRC Site Data'!$B$3:$L$42,11,FALSE)</f>
        <v>#N/A</v>
      </c>
      <c r="AA94" s="10" t="e">
        <f>VLOOKUP(AJ86,'CIR Team Info'!$C$5:$E$44,4,FALSE)</f>
        <v>#N/A</v>
      </c>
      <c r="AB94" s="161" t="b">
        <f>ISNUMBER(VLOOKUP($AJ86,Match!$T$5:$T$10,1,FALSE))</f>
        <v>0</v>
      </c>
      <c r="AC94" s="161" t="b">
        <f>IF(AB94=TRUE,(VLOOKUP($AJ86,Match!$T$5:$U$10,2,FALSE)))</f>
        <v>0</v>
      </c>
      <c r="AD94" s="8">
        <v>3</v>
      </c>
      <c r="AE94" s="8">
        <v>2</v>
      </c>
      <c r="AF94" s="8">
        <v>2</v>
      </c>
      <c r="AG94" s="8">
        <v>1</v>
      </c>
      <c r="AH94" s="8" t="str">
        <f t="shared" si="39"/>
        <v/>
      </c>
      <c r="BA94" s="24"/>
      <c r="BC94" s="12"/>
      <c r="BS94" s="127"/>
    </row>
    <row r="95" spans="1:71" x14ac:dyDescent="0.25">
      <c r="A95" s="29">
        <f t="shared" si="24"/>
        <v>0</v>
      </c>
      <c r="B95" s="29">
        <f t="shared" si="33"/>
        <v>0</v>
      </c>
      <c r="C95" s="29">
        <f t="shared" si="34"/>
        <v>0</v>
      </c>
      <c r="D95" s="29">
        <f t="shared" si="35"/>
        <v>0</v>
      </c>
      <c r="E95" s="29">
        <f t="shared" si="25"/>
        <v>0</v>
      </c>
      <c r="F95" s="29">
        <f t="shared" si="26"/>
        <v>0</v>
      </c>
      <c r="G95" s="29" t="str">
        <f t="shared" si="27"/>
        <v>offensive</v>
      </c>
      <c r="H95" s="16">
        <f t="shared" si="31"/>
        <v>0</v>
      </c>
      <c r="I95" s="16">
        <f t="shared" si="32"/>
        <v>0</v>
      </c>
      <c r="J95" s="16">
        <f t="shared" si="36"/>
        <v>0</v>
      </c>
      <c r="K95" s="16">
        <f t="shared" si="28"/>
        <v>0</v>
      </c>
      <c r="L95" s="67">
        <f t="shared" si="29"/>
        <v>0</v>
      </c>
      <c r="M95" s="4">
        <f t="shared" si="37"/>
        <v>0</v>
      </c>
      <c r="N95" s="4">
        <f t="shared" si="23"/>
        <v>0</v>
      </c>
      <c r="O95" s="4">
        <f t="shared" si="30"/>
        <v>0</v>
      </c>
      <c r="P95" s="4" t="e">
        <f>VLOOKUP(AJ87,'CIR Team Info'!$C$5:$E$44,2,FALSE)</f>
        <v>#N/A</v>
      </c>
      <c r="Q95" s="4" t="e">
        <f>VLOOKUP(AJ87,'CIR Team Info'!$C$5:$E$44,3,FALSE)</f>
        <v>#N/A</v>
      </c>
      <c r="R95" s="10" t="e">
        <f>VLOOKUP(AJ87,'FRC Site Data'!$B$3:$L$42,2,FALSE)</f>
        <v>#N/A</v>
      </c>
      <c r="S95" s="10" t="e">
        <f>VLOOKUP(AJ87,'FRC Site Data'!$B$3:$L$42,3,FALSE)</f>
        <v>#N/A</v>
      </c>
      <c r="T95" s="10" t="e">
        <f>VLOOKUP(AJ87,'FRC Site Data'!$B$3:$L$42,4,FALSE)</f>
        <v>#N/A</v>
      </c>
      <c r="U95" s="10" t="e">
        <f>VLOOKUP(AJ87,'FRC Site Data'!$B$3:$L$42,5,FALSE)</f>
        <v>#N/A</v>
      </c>
      <c r="V95" s="10" t="e">
        <f>VLOOKUP(AJ87,'FRC Site Data'!$B$3:$L$42,6,FALSE)</f>
        <v>#N/A</v>
      </c>
      <c r="W95" s="10" t="e">
        <f>VLOOKUP(AJ87,'FRC Site Data'!$B$3:$L$42,8,FALSE)</f>
        <v>#N/A</v>
      </c>
      <c r="X95" s="10" t="e">
        <f>VLOOKUP(AJ87,'FRC Site Data'!$B$3:$L$42,9,FALSE)</f>
        <v>#N/A</v>
      </c>
      <c r="Y95" s="10" t="e">
        <f>VLOOKUP(AJ87,'FRC Site Data'!$B$3:$L$42,10,FALSE)</f>
        <v>#N/A</v>
      </c>
      <c r="Z95" s="10" t="e">
        <f>VLOOKUP(AJ87,'FRC Site Data'!$B$3:$L$42,11,FALSE)</f>
        <v>#N/A</v>
      </c>
      <c r="AA95" s="10" t="e">
        <f>VLOOKUP(AJ87,'CIR Team Info'!$C$5:$E$44,4,FALSE)</f>
        <v>#N/A</v>
      </c>
      <c r="AB95" s="161" t="b">
        <f>ISNUMBER(VLOOKUP(AJ87,Match!$T$5:$T$10,1,FALSE))</f>
        <v>0</v>
      </c>
      <c r="AC95" s="161" t="b">
        <f>IF(AB95=TRUE,(VLOOKUP($AJ87,Match!$T$5:$U$10,2,FALSE)))</f>
        <v>0</v>
      </c>
      <c r="AD95" s="8">
        <v>3</v>
      </c>
      <c r="AE95" s="8">
        <v>2</v>
      </c>
      <c r="AF95" s="8">
        <v>2</v>
      </c>
      <c r="AG95" s="8">
        <v>1</v>
      </c>
      <c r="AH95" s="8" t="str">
        <f t="shared" si="39"/>
        <v/>
      </c>
      <c r="BA95" s="24"/>
      <c r="BC95" s="12"/>
      <c r="BS95" s="127"/>
    </row>
    <row r="96" spans="1:71" x14ac:dyDescent="0.25">
      <c r="A96" s="29">
        <f t="shared" si="24"/>
        <v>0</v>
      </c>
      <c r="B96" s="29">
        <f t="shared" si="33"/>
        <v>0</v>
      </c>
      <c r="C96" s="29">
        <f t="shared" si="34"/>
        <v>0</v>
      </c>
      <c r="D96" s="29">
        <f t="shared" si="35"/>
        <v>0</v>
      </c>
      <c r="E96" s="29">
        <f t="shared" si="25"/>
        <v>0</v>
      </c>
      <c r="F96" s="29">
        <f t="shared" si="26"/>
        <v>0</v>
      </c>
      <c r="G96" s="29" t="str">
        <f t="shared" si="27"/>
        <v>offensive</v>
      </c>
      <c r="H96" s="16">
        <f t="shared" si="31"/>
        <v>0</v>
      </c>
      <c r="I96" s="16">
        <f t="shared" si="32"/>
        <v>0</v>
      </c>
      <c r="J96" s="16">
        <f t="shared" si="36"/>
        <v>0</v>
      </c>
      <c r="K96" s="16">
        <f t="shared" si="28"/>
        <v>0</v>
      </c>
      <c r="L96" s="67">
        <f t="shared" si="29"/>
        <v>0</v>
      </c>
      <c r="M96" s="4">
        <f t="shared" si="37"/>
        <v>0</v>
      </c>
      <c r="N96" s="4">
        <f t="shared" si="23"/>
        <v>0</v>
      </c>
      <c r="O96" s="4">
        <f t="shared" si="30"/>
        <v>0</v>
      </c>
      <c r="P96" s="4" t="e">
        <f>VLOOKUP(AJ88,'CIR Team Info'!$C$5:$E$44,2,FALSE)</f>
        <v>#N/A</v>
      </c>
      <c r="Q96" s="4" t="e">
        <f>VLOOKUP(AJ88,'CIR Team Info'!$C$5:$E$44,3,FALSE)</f>
        <v>#N/A</v>
      </c>
      <c r="R96" s="10" t="e">
        <f>VLOOKUP(AJ88,'FRC Site Data'!$B$3:$L$42,2,FALSE)</f>
        <v>#N/A</v>
      </c>
      <c r="S96" s="10" t="e">
        <f>VLOOKUP(AJ88,'FRC Site Data'!$B$3:$L$42,3,FALSE)</f>
        <v>#N/A</v>
      </c>
      <c r="T96" s="10" t="e">
        <f>VLOOKUP(AJ88,'FRC Site Data'!$B$3:$L$42,4,FALSE)</f>
        <v>#N/A</v>
      </c>
      <c r="U96" s="10" t="e">
        <f>VLOOKUP(AJ88,'FRC Site Data'!$B$3:$L$42,5,FALSE)</f>
        <v>#N/A</v>
      </c>
      <c r="V96" s="10" t="e">
        <f>VLOOKUP(AJ88,'FRC Site Data'!$B$3:$L$42,6,FALSE)</f>
        <v>#N/A</v>
      </c>
      <c r="W96" s="10" t="e">
        <f>VLOOKUP(AJ88,'FRC Site Data'!$B$3:$L$42,8,FALSE)</f>
        <v>#N/A</v>
      </c>
      <c r="X96" s="10" t="e">
        <f>VLOOKUP(AJ88,'FRC Site Data'!$B$3:$L$42,9,FALSE)</f>
        <v>#N/A</v>
      </c>
      <c r="Y96" s="10" t="e">
        <f>VLOOKUP(AJ88,'FRC Site Data'!$B$3:$L$42,10,FALSE)</f>
        <v>#N/A</v>
      </c>
      <c r="Z96" s="10" t="e">
        <f>VLOOKUP(AJ88,'FRC Site Data'!$B$3:$L$42,11,FALSE)</f>
        <v>#N/A</v>
      </c>
      <c r="AA96" s="10" t="e">
        <f>VLOOKUP(AJ88,'CIR Team Info'!$C$5:$E$44,4,FALSE)</f>
        <v>#N/A</v>
      </c>
      <c r="AB96" s="161" t="b">
        <f>ISNUMBER(VLOOKUP(AJ88,Match!$T$5:$T$10,1,FALSE))</f>
        <v>0</v>
      </c>
      <c r="AC96" s="161" t="b">
        <f>IF(AB96=TRUE,(VLOOKUP($AJ88,Match!$T$5:$U$10,2,FALSE)))</f>
        <v>0</v>
      </c>
      <c r="AD96" s="8">
        <v>3</v>
      </c>
      <c r="AE96" s="8">
        <v>2</v>
      </c>
      <c r="AF96" s="8">
        <v>2</v>
      </c>
      <c r="AG96" s="8">
        <v>1</v>
      </c>
      <c r="AH96" s="8" t="str">
        <f t="shared" si="39"/>
        <v/>
      </c>
      <c r="BA96" s="24"/>
      <c r="BC96" s="12"/>
      <c r="BS96" s="127"/>
    </row>
    <row r="97" spans="1:71" x14ac:dyDescent="0.25">
      <c r="A97" s="29">
        <f t="shared" si="24"/>
        <v>0</v>
      </c>
      <c r="B97" s="29">
        <f t="shared" si="33"/>
        <v>0</v>
      </c>
      <c r="C97" s="29">
        <f t="shared" si="34"/>
        <v>0</v>
      </c>
      <c r="D97" s="29">
        <f t="shared" si="35"/>
        <v>0</v>
      </c>
      <c r="E97" s="29">
        <f t="shared" si="25"/>
        <v>0</v>
      </c>
      <c r="F97" s="29">
        <f t="shared" si="26"/>
        <v>0</v>
      </c>
      <c r="G97" s="29" t="str">
        <f t="shared" si="27"/>
        <v>offensive</v>
      </c>
      <c r="H97" s="16">
        <f t="shared" si="31"/>
        <v>0</v>
      </c>
      <c r="I97" s="16">
        <f t="shared" si="32"/>
        <v>0</v>
      </c>
      <c r="J97" s="16">
        <f t="shared" si="36"/>
        <v>0</v>
      </c>
      <c r="K97" s="16">
        <f t="shared" si="28"/>
        <v>0</v>
      </c>
      <c r="L97" s="67">
        <f t="shared" si="29"/>
        <v>0</v>
      </c>
      <c r="M97" s="4">
        <f t="shared" si="37"/>
        <v>0</v>
      </c>
      <c r="N97" s="4">
        <f t="shared" si="23"/>
        <v>0</v>
      </c>
      <c r="O97" s="4">
        <f t="shared" si="30"/>
        <v>0</v>
      </c>
      <c r="P97" s="4" t="e">
        <f>VLOOKUP(AJ89,'CIR Team Info'!$C$5:$E$44,2,FALSE)</f>
        <v>#N/A</v>
      </c>
      <c r="Q97" s="4" t="e">
        <f>VLOOKUP(AJ89,'CIR Team Info'!$C$5:$E$44,3,FALSE)</f>
        <v>#N/A</v>
      </c>
      <c r="R97" s="10" t="e">
        <f>VLOOKUP(AJ89,'FRC Site Data'!$B$3:$L$42,2,FALSE)</f>
        <v>#N/A</v>
      </c>
      <c r="S97" s="10" t="e">
        <f>VLOOKUP(AJ89,'FRC Site Data'!$B$3:$L$42,3,FALSE)</f>
        <v>#N/A</v>
      </c>
      <c r="T97" s="10" t="e">
        <f>VLOOKUP(AJ89,'FRC Site Data'!$B$3:$L$42,4,FALSE)</f>
        <v>#N/A</v>
      </c>
      <c r="U97" s="10" t="e">
        <f>VLOOKUP(AJ89,'FRC Site Data'!$B$3:$L$42,5,FALSE)</f>
        <v>#N/A</v>
      </c>
      <c r="V97" s="10" t="e">
        <f>VLOOKUP(AJ89,'FRC Site Data'!$B$3:$L$42,6,FALSE)</f>
        <v>#N/A</v>
      </c>
      <c r="W97" s="10" t="e">
        <f>VLOOKUP(AJ89,'FRC Site Data'!$B$3:$L$42,8,FALSE)</f>
        <v>#N/A</v>
      </c>
      <c r="X97" s="10" t="e">
        <f>VLOOKUP(AJ89,'FRC Site Data'!$B$3:$L$42,9,FALSE)</f>
        <v>#N/A</v>
      </c>
      <c r="Y97" s="10" t="e">
        <f>VLOOKUP(AJ89,'FRC Site Data'!$B$3:$L$42,10,FALSE)</f>
        <v>#N/A</v>
      </c>
      <c r="Z97" s="10" t="e">
        <f>VLOOKUP(AJ89,'FRC Site Data'!$B$3:$L$42,11,FALSE)</f>
        <v>#N/A</v>
      </c>
      <c r="AA97" s="10" t="e">
        <f>VLOOKUP(AJ89,'CIR Team Info'!$C$5:$E$44,4,FALSE)</f>
        <v>#N/A</v>
      </c>
      <c r="AB97" s="161" t="b">
        <f>ISNUMBER(VLOOKUP(AJ89,Match!$T$5:$T$10,1,FALSE))</f>
        <v>0</v>
      </c>
      <c r="AC97" s="161" t="b">
        <f>IF(AB97=TRUE,(VLOOKUP($AJ89,Match!$T$5:$U$10,2,FALSE)))</f>
        <v>0</v>
      </c>
      <c r="AD97" s="8">
        <v>3</v>
      </c>
      <c r="AE97" s="8">
        <v>2</v>
      </c>
      <c r="AF97" s="8">
        <v>2</v>
      </c>
      <c r="AG97" s="8">
        <v>1</v>
      </c>
      <c r="AH97" s="8" t="str">
        <f t="shared" si="39"/>
        <v/>
      </c>
      <c r="BA97" s="24"/>
      <c r="BC97" s="12"/>
      <c r="BS97" s="127"/>
    </row>
    <row r="98" spans="1:71" x14ac:dyDescent="0.25">
      <c r="A98" s="29">
        <f t="shared" si="24"/>
        <v>0</v>
      </c>
      <c r="B98" s="29">
        <f t="shared" si="33"/>
        <v>0</v>
      </c>
      <c r="C98" s="29">
        <f t="shared" si="34"/>
        <v>0</v>
      </c>
      <c r="D98" s="29">
        <f t="shared" si="35"/>
        <v>0</v>
      </c>
      <c r="E98" s="29">
        <f t="shared" si="25"/>
        <v>0</v>
      </c>
      <c r="F98" s="29">
        <f t="shared" si="26"/>
        <v>0</v>
      </c>
      <c r="G98" s="29" t="str">
        <f t="shared" si="27"/>
        <v>offensive</v>
      </c>
      <c r="H98" s="16">
        <f t="shared" si="31"/>
        <v>0</v>
      </c>
      <c r="I98" s="16">
        <f t="shared" si="32"/>
        <v>0</v>
      </c>
      <c r="J98" s="16">
        <f t="shared" si="36"/>
        <v>0</v>
      </c>
      <c r="K98" s="16">
        <f t="shared" si="28"/>
        <v>0</v>
      </c>
      <c r="L98" s="67">
        <f t="shared" si="29"/>
        <v>0</v>
      </c>
      <c r="M98" s="4">
        <f t="shared" si="37"/>
        <v>0</v>
      </c>
      <c r="N98" s="4">
        <f t="shared" si="23"/>
        <v>0</v>
      </c>
      <c r="O98" s="4">
        <f t="shared" si="30"/>
        <v>0</v>
      </c>
      <c r="P98" s="4" t="e">
        <f>VLOOKUP(AJ90,'CIR Team Info'!$C$5:$E$44,2,FALSE)</f>
        <v>#N/A</v>
      </c>
      <c r="Q98" s="4" t="e">
        <f>VLOOKUP(AJ90,'CIR Team Info'!$C$5:$E$44,3,FALSE)</f>
        <v>#N/A</v>
      </c>
      <c r="R98" s="10" t="e">
        <f>VLOOKUP(AJ90,'FRC Site Data'!$B$3:$L$42,2,FALSE)</f>
        <v>#N/A</v>
      </c>
      <c r="S98" s="10" t="e">
        <f>VLOOKUP(AJ90,'FRC Site Data'!$B$3:$L$42,3,FALSE)</f>
        <v>#N/A</v>
      </c>
      <c r="T98" s="10" t="e">
        <f>VLOOKUP(AJ90,'FRC Site Data'!$B$3:$L$42,4,FALSE)</f>
        <v>#N/A</v>
      </c>
      <c r="U98" s="10" t="e">
        <f>VLOOKUP(AJ90,'FRC Site Data'!$B$3:$L$42,5,FALSE)</f>
        <v>#N/A</v>
      </c>
      <c r="V98" s="10" t="e">
        <f>VLOOKUP(AJ90,'FRC Site Data'!$B$3:$L$42,6,FALSE)</f>
        <v>#N/A</v>
      </c>
      <c r="W98" s="10" t="e">
        <f>VLOOKUP(AJ90,'FRC Site Data'!$B$3:$L$42,8,FALSE)</f>
        <v>#N/A</v>
      </c>
      <c r="X98" s="10" t="e">
        <f>VLOOKUP(AJ90,'FRC Site Data'!$B$3:$L$42,9,FALSE)</f>
        <v>#N/A</v>
      </c>
      <c r="Y98" s="10" t="e">
        <f>VLOOKUP(AJ90,'FRC Site Data'!$B$3:$L$42,10,FALSE)</f>
        <v>#N/A</v>
      </c>
      <c r="Z98" s="10" t="e">
        <f>VLOOKUP(AJ90,'FRC Site Data'!$B$3:$L$42,11,FALSE)</f>
        <v>#N/A</v>
      </c>
      <c r="AA98" s="10" t="e">
        <f>VLOOKUP(AJ90,'CIR Team Info'!$C$5:$E$44,4,FALSE)</f>
        <v>#N/A</v>
      </c>
      <c r="AB98" s="161" t="b">
        <f>ISNUMBER(VLOOKUP(AJ90,Match!$T$5:$T$10,1,FALSE))</f>
        <v>0</v>
      </c>
      <c r="AC98" s="161" t="b">
        <f>IF(AB98=TRUE,(VLOOKUP($AJ90,Match!$T$5:$U$10,2,FALSE)))</f>
        <v>0</v>
      </c>
      <c r="AD98" s="8">
        <v>3</v>
      </c>
      <c r="AE98" s="8">
        <v>2</v>
      </c>
      <c r="AF98" s="8">
        <v>2</v>
      </c>
      <c r="AG98" s="8">
        <v>1</v>
      </c>
      <c r="AH98" s="8" t="str">
        <f t="shared" si="39"/>
        <v/>
      </c>
      <c r="BA98" s="24"/>
      <c r="BC98" s="12"/>
      <c r="BS98" s="127"/>
    </row>
    <row r="99" spans="1:71" x14ac:dyDescent="0.25">
      <c r="A99" s="29">
        <f t="shared" si="24"/>
        <v>0</v>
      </c>
      <c r="B99" s="29">
        <f t="shared" si="33"/>
        <v>0</v>
      </c>
      <c r="C99" s="29">
        <f t="shared" si="34"/>
        <v>0</v>
      </c>
      <c r="D99" s="29">
        <f t="shared" si="35"/>
        <v>0</v>
      </c>
      <c r="E99" s="29">
        <f t="shared" si="25"/>
        <v>0</v>
      </c>
      <c r="F99" s="29">
        <f t="shared" si="26"/>
        <v>0</v>
      </c>
      <c r="G99" s="29" t="str">
        <f t="shared" si="27"/>
        <v>offensive</v>
      </c>
      <c r="H99" s="16">
        <f t="shared" si="31"/>
        <v>0</v>
      </c>
      <c r="I99" s="16">
        <f t="shared" si="32"/>
        <v>0</v>
      </c>
      <c r="J99" s="16">
        <f t="shared" si="36"/>
        <v>0</v>
      </c>
      <c r="K99" s="16">
        <f t="shared" si="28"/>
        <v>0</v>
      </c>
      <c r="L99" s="67">
        <f t="shared" si="29"/>
        <v>0</v>
      </c>
      <c r="M99" s="4">
        <f t="shared" si="37"/>
        <v>0</v>
      </c>
      <c r="N99" s="4">
        <f t="shared" si="23"/>
        <v>0</v>
      </c>
      <c r="O99" s="4">
        <f t="shared" si="30"/>
        <v>0</v>
      </c>
      <c r="P99" s="4" t="e">
        <f>VLOOKUP(AJ91,'CIR Team Info'!$C$5:$E$44,2,FALSE)</f>
        <v>#N/A</v>
      </c>
      <c r="Q99" s="4" t="e">
        <f>VLOOKUP(AJ91,'CIR Team Info'!$C$5:$E$44,3,FALSE)</f>
        <v>#N/A</v>
      </c>
      <c r="R99" s="10" t="e">
        <f>VLOOKUP(AJ91,'FRC Site Data'!$B$3:$L$42,2,FALSE)</f>
        <v>#N/A</v>
      </c>
      <c r="S99" s="10" t="e">
        <f>VLOOKUP(AJ91,'FRC Site Data'!$B$3:$L$42,3,FALSE)</f>
        <v>#N/A</v>
      </c>
      <c r="T99" s="10" t="e">
        <f>VLOOKUP(AJ91,'FRC Site Data'!$B$3:$L$42,4,FALSE)</f>
        <v>#N/A</v>
      </c>
      <c r="U99" s="10" t="e">
        <f>VLOOKUP(AJ91,'FRC Site Data'!$B$3:$L$42,5,FALSE)</f>
        <v>#N/A</v>
      </c>
      <c r="V99" s="10" t="e">
        <f>VLOOKUP(AJ91,'FRC Site Data'!$B$3:$L$42,6,FALSE)</f>
        <v>#N/A</v>
      </c>
      <c r="W99" s="10" t="e">
        <f>VLOOKUP(AJ91,'FRC Site Data'!$B$3:$L$42,8,FALSE)</f>
        <v>#N/A</v>
      </c>
      <c r="X99" s="10" t="e">
        <f>VLOOKUP(AJ91,'FRC Site Data'!$B$3:$L$42,9,FALSE)</f>
        <v>#N/A</v>
      </c>
      <c r="Y99" s="10" t="e">
        <f>VLOOKUP(AJ91,'FRC Site Data'!$B$3:$L$42,10,FALSE)</f>
        <v>#N/A</v>
      </c>
      <c r="Z99" s="10" t="e">
        <f>VLOOKUP(AJ91,'FRC Site Data'!$B$3:$L$42,11,FALSE)</f>
        <v>#N/A</v>
      </c>
      <c r="AA99" s="10" t="e">
        <f>VLOOKUP(AJ91,'CIR Team Info'!$C$5:$E$44,4,FALSE)</f>
        <v>#N/A</v>
      </c>
      <c r="AB99" s="161" t="b">
        <f>ISNUMBER(VLOOKUP(AJ91,Match!$T$5:$T$10,1,FALSE))</f>
        <v>0</v>
      </c>
      <c r="AC99" s="161" t="b">
        <f>IF(AB99=TRUE,(VLOOKUP($AJ91,Match!$T$5:$U$10,2,FALSE)))</f>
        <v>0</v>
      </c>
      <c r="AD99" s="8">
        <v>3</v>
      </c>
      <c r="AE99" s="8">
        <v>2</v>
      </c>
      <c r="AF99" s="8">
        <v>2</v>
      </c>
      <c r="AG99" s="8">
        <v>1</v>
      </c>
      <c r="AH99" s="8" t="str">
        <f t="shared" si="39"/>
        <v/>
      </c>
      <c r="BA99" s="24"/>
      <c r="BC99" s="12"/>
      <c r="BS99" s="127"/>
    </row>
    <row r="100" spans="1:71" x14ac:dyDescent="0.25">
      <c r="A100" s="29">
        <f t="shared" si="24"/>
        <v>0</v>
      </c>
      <c r="B100" s="29">
        <f t="shared" si="33"/>
        <v>0</v>
      </c>
      <c r="C100" s="29">
        <f t="shared" si="34"/>
        <v>0</v>
      </c>
      <c r="D100" s="29">
        <f t="shared" si="35"/>
        <v>0</v>
      </c>
      <c r="E100" s="29">
        <f t="shared" si="25"/>
        <v>0</v>
      </c>
      <c r="F100" s="29">
        <f t="shared" si="26"/>
        <v>0</v>
      </c>
      <c r="G100" s="29" t="str">
        <f t="shared" si="27"/>
        <v>offensive</v>
      </c>
      <c r="H100" s="16">
        <f t="shared" si="31"/>
        <v>0</v>
      </c>
      <c r="I100" s="16">
        <f t="shared" si="32"/>
        <v>0</v>
      </c>
      <c r="J100" s="16">
        <f t="shared" si="36"/>
        <v>0</v>
      </c>
      <c r="K100" s="16">
        <f t="shared" si="28"/>
        <v>0</v>
      </c>
      <c r="L100" s="67">
        <f t="shared" si="29"/>
        <v>0</v>
      </c>
      <c r="M100" s="4">
        <f t="shared" si="37"/>
        <v>0</v>
      </c>
      <c r="N100" s="4">
        <f t="shared" si="23"/>
        <v>0</v>
      </c>
      <c r="O100" s="4">
        <f t="shared" si="30"/>
        <v>0</v>
      </c>
      <c r="P100" s="4" t="e">
        <f>VLOOKUP(AJ92,'CIR Team Info'!$C$5:$E$44,2,FALSE)</f>
        <v>#N/A</v>
      </c>
      <c r="Q100" s="4" t="e">
        <f>VLOOKUP(AJ92,'CIR Team Info'!$C$5:$E$44,3,FALSE)</f>
        <v>#N/A</v>
      </c>
      <c r="R100" s="10" t="e">
        <f>VLOOKUP(AJ92,'FRC Site Data'!$B$3:$L$42,2,FALSE)</f>
        <v>#N/A</v>
      </c>
      <c r="S100" s="10" t="e">
        <f>VLOOKUP(AJ92,'FRC Site Data'!$B$3:$L$42,3,FALSE)</f>
        <v>#N/A</v>
      </c>
      <c r="T100" s="10" t="e">
        <f>VLOOKUP(AJ92,'FRC Site Data'!$B$3:$L$42,4,FALSE)</f>
        <v>#N/A</v>
      </c>
      <c r="U100" s="10" t="e">
        <f>VLOOKUP(AJ92,'FRC Site Data'!$B$3:$L$42,5,FALSE)</f>
        <v>#N/A</v>
      </c>
      <c r="V100" s="10" t="e">
        <f>VLOOKUP(AJ92,'FRC Site Data'!$B$3:$L$42,6,FALSE)</f>
        <v>#N/A</v>
      </c>
      <c r="W100" s="10" t="e">
        <f>VLOOKUP(AJ92,'FRC Site Data'!$B$3:$L$42,8,FALSE)</f>
        <v>#N/A</v>
      </c>
      <c r="X100" s="10" t="e">
        <f>VLOOKUP(AJ92,'FRC Site Data'!$B$3:$L$42,9,FALSE)</f>
        <v>#N/A</v>
      </c>
      <c r="Y100" s="10" t="e">
        <f>VLOOKUP(AJ92,'FRC Site Data'!$B$3:$L$42,10,FALSE)</f>
        <v>#N/A</v>
      </c>
      <c r="Z100" s="10" t="e">
        <f>VLOOKUP(AJ92,'FRC Site Data'!$B$3:$L$42,11,FALSE)</f>
        <v>#N/A</v>
      </c>
      <c r="AA100" s="10" t="e">
        <f>VLOOKUP(AJ92,'CIR Team Info'!$C$5:$E$44,4,FALSE)</f>
        <v>#N/A</v>
      </c>
      <c r="AB100" s="161" t="b">
        <f>ISNUMBER(VLOOKUP(AJ92,Match!$T$5:$T$10,1,FALSE))</f>
        <v>0</v>
      </c>
      <c r="AC100" s="161" t="b">
        <f>IF(AB100=TRUE,(VLOOKUP($AJ92,Match!$T$5:$U$10,2,FALSE)))</f>
        <v>0</v>
      </c>
      <c r="AD100" s="8">
        <v>3</v>
      </c>
      <c r="AE100" s="8">
        <v>2</v>
      </c>
      <c r="AF100" s="8">
        <v>2</v>
      </c>
      <c r="AG100" s="8">
        <v>1</v>
      </c>
      <c r="AH100" s="8" t="str">
        <f t="shared" si="39"/>
        <v/>
      </c>
      <c r="BA100" s="24"/>
      <c r="BC100" s="12"/>
      <c r="BS100" s="127"/>
    </row>
    <row r="101" spans="1:71" x14ac:dyDescent="0.25">
      <c r="A101" s="29">
        <f t="shared" si="24"/>
        <v>0</v>
      </c>
      <c r="B101" s="29">
        <f t="shared" si="33"/>
        <v>0</v>
      </c>
      <c r="C101" s="29">
        <f t="shared" si="34"/>
        <v>0</v>
      </c>
      <c r="D101" s="29">
        <f t="shared" si="35"/>
        <v>0</v>
      </c>
      <c r="E101" s="29">
        <f t="shared" si="25"/>
        <v>0</v>
      </c>
      <c r="F101" s="29">
        <f t="shared" si="26"/>
        <v>0</v>
      </c>
      <c r="G101" s="29" t="str">
        <f t="shared" si="27"/>
        <v>offensive</v>
      </c>
      <c r="H101" s="16">
        <f t="shared" si="31"/>
        <v>0</v>
      </c>
      <c r="I101" s="16">
        <f t="shared" si="32"/>
        <v>0</v>
      </c>
      <c r="J101" s="16">
        <f t="shared" si="36"/>
        <v>0</v>
      </c>
      <c r="K101" s="16">
        <f t="shared" si="28"/>
        <v>0</v>
      </c>
      <c r="L101" s="67">
        <f t="shared" si="29"/>
        <v>0</v>
      </c>
      <c r="M101" s="4">
        <f t="shared" si="37"/>
        <v>0</v>
      </c>
      <c r="N101" s="4">
        <f t="shared" si="23"/>
        <v>0</v>
      </c>
      <c r="O101" s="4">
        <f t="shared" si="30"/>
        <v>0</v>
      </c>
      <c r="P101" s="4" t="e">
        <f>VLOOKUP(AJ93,'CIR Team Info'!$C$5:$E$44,2,FALSE)</f>
        <v>#N/A</v>
      </c>
      <c r="Q101" s="4" t="e">
        <f>VLOOKUP(AJ93,'CIR Team Info'!$C$5:$E$44,3,FALSE)</f>
        <v>#N/A</v>
      </c>
      <c r="R101" s="10" t="e">
        <f>VLOOKUP(AJ93,'FRC Site Data'!$B$3:$L$42,2,FALSE)</f>
        <v>#N/A</v>
      </c>
      <c r="S101" s="10" t="e">
        <f>VLOOKUP(AJ93,'FRC Site Data'!$B$3:$L$42,3,FALSE)</f>
        <v>#N/A</v>
      </c>
      <c r="T101" s="10" t="e">
        <f>VLOOKUP(AJ93,'FRC Site Data'!$B$3:$L$42,4,FALSE)</f>
        <v>#N/A</v>
      </c>
      <c r="U101" s="10" t="e">
        <f>VLOOKUP(AJ93,'FRC Site Data'!$B$3:$L$42,5,FALSE)</f>
        <v>#N/A</v>
      </c>
      <c r="V101" s="10" t="e">
        <f>VLOOKUP(AJ93,'FRC Site Data'!$B$3:$L$42,6,FALSE)</f>
        <v>#N/A</v>
      </c>
      <c r="W101" s="10" t="e">
        <f>VLOOKUP(AJ93,'FRC Site Data'!$B$3:$L$42,8,FALSE)</f>
        <v>#N/A</v>
      </c>
      <c r="X101" s="10" t="e">
        <f>VLOOKUP(AJ93,'FRC Site Data'!$B$3:$L$42,9,FALSE)</f>
        <v>#N/A</v>
      </c>
      <c r="Y101" s="10" t="e">
        <f>VLOOKUP(AJ93,'FRC Site Data'!$B$3:$L$42,10,FALSE)</f>
        <v>#N/A</v>
      </c>
      <c r="Z101" s="10" t="e">
        <f>VLOOKUP(AJ93,'FRC Site Data'!$B$3:$L$42,11,FALSE)</f>
        <v>#N/A</v>
      </c>
      <c r="AA101" s="10" t="e">
        <f>VLOOKUP(AJ93,'CIR Team Info'!$C$5:$E$44,4,FALSE)</f>
        <v>#N/A</v>
      </c>
      <c r="AB101" s="161" t="b">
        <f>ISNUMBER(VLOOKUP(AJ93,Match!$T$5:$T$10,1,FALSE))</f>
        <v>0</v>
      </c>
      <c r="AC101" s="161" t="b">
        <f>IF(AB101=TRUE,(VLOOKUP($AJ93,Match!$T$5:$U$10,2,FALSE)))</f>
        <v>0</v>
      </c>
      <c r="AD101" s="8">
        <v>3</v>
      </c>
      <c r="AE101" s="8">
        <v>2</v>
      </c>
      <c r="AF101" s="8">
        <v>2</v>
      </c>
      <c r="AG101" s="8">
        <v>1</v>
      </c>
      <c r="AH101" s="8" t="str">
        <f t="shared" si="39"/>
        <v/>
      </c>
      <c r="BA101" s="24"/>
      <c r="BC101" s="12"/>
      <c r="BS101" s="127"/>
    </row>
    <row r="102" spans="1:71" x14ac:dyDescent="0.25">
      <c r="A102" s="29">
        <f t="shared" si="24"/>
        <v>0</v>
      </c>
      <c r="B102" s="29">
        <f t="shared" si="33"/>
        <v>0</v>
      </c>
      <c r="C102" s="29">
        <f t="shared" si="34"/>
        <v>0</v>
      </c>
      <c r="D102" s="29">
        <f t="shared" si="35"/>
        <v>0</v>
      </c>
      <c r="E102" s="29">
        <f t="shared" si="25"/>
        <v>0</v>
      </c>
      <c r="F102" s="29">
        <f t="shared" si="26"/>
        <v>0</v>
      </c>
      <c r="G102" s="29" t="str">
        <f t="shared" si="27"/>
        <v>offensive</v>
      </c>
      <c r="H102" s="16">
        <f t="shared" si="31"/>
        <v>0</v>
      </c>
      <c r="I102" s="16">
        <f t="shared" si="32"/>
        <v>0</v>
      </c>
      <c r="J102" s="16">
        <f t="shared" si="36"/>
        <v>0</v>
      </c>
      <c r="K102" s="16">
        <f t="shared" si="28"/>
        <v>0</v>
      </c>
      <c r="L102" s="67">
        <f t="shared" si="29"/>
        <v>0</v>
      </c>
      <c r="M102" s="4">
        <f t="shared" si="37"/>
        <v>0</v>
      </c>
      <c r="N102" s="4">
        <f t="shared" si="23"/>
        <v>0</v>
      </c>
      <c r="O102" s="4">
        <f t="shared" si="30"/>
        <v>0</v>
      </c>
      <c r="P102" s="4" t="e">
        <f>VLOOKUP(AJ94,'CIR Team Info'!$C$5:$E$44,2,FALSE)</f>
        <v>#N/A</v>
      </c>
      <c r="Q102" s="4" t="e">
        <f>VLOOKUP(AJ94,'CIR Team Info'!$C$5:$E$44,3,FALSE)</f>
        <v>#N/A</v>
      </c>
      <c r="R102" s="10" t="e">
        <f>VLOOKUP(AJ94,'FRC Site Data'!$B$3:$L$42,2,FALSE)</f>
        <v>#N/A</v>
      </c>
      <c r="S102" s="10" t="e">
        <f>VLOOKUP(AJ94,'FRC Site Data'!$B$3:$L$42,3,FALSE)</f>
        <v>#N/A</v>
      </c>
      <c r="T102" s="10" t="e">
        <f>VLOOKUP(AJ94,'FRC Site Data'!$B$3:$L$42,4,FALSE)</f>
        <v>#N/A</v>
      </c>
      <c r="U102" s="10" t="e">
        <f>VLOOKUP(AJ94,'FRC Site Data'!$B$3:$L$42,5,FALSE)</f>
        <v>#N/A</v>
      </c>
      <c r="V102" s="10" t="e">
        <f>VLOOKUP(AJ94,'FRC Site Data'!$B$3:$L$42,6,FALSE)</f>
        <v>#N/A</v>
      </c>
      <c r="W102" s="10" t="e">
        <f>VLOOKUP(AJ94,'FRC Site Data'!$B$3:$L$42,8,FALSE)</f>
        <v>#N/A</v>
      </c>
      <c r="X102" s="10" t="e">
        <f>VLOOKUP(AJ94,'FRC Site Data'!$B$3:$L$42,9,FALSE)</f>
        <v>#N/A</v>
      </c>
      <c r="Y102" s="10" t="e">
        <f>VLOOKUP(AJ94,'FRC Site Data'!$B$3:$L$42,10,FALSE)</f>
        <v>#N/A</v>
      </c>
      <c r="Z102" s="10" t="e">
        <f>VLOOKUP(AJ94,'FRC Site Data'!$B$3:$L$42,11,FALSE)</f>
        <v>#N/A</v>
      </c>
      <c r="AA102" s="10" t="e">
        <f>VLOOKUP(AJ94,'CIR Team Info'!$C$5:$E$44,4,FALSE)</f>
        <v>#N/A</v>
      </c>
      <c r="AB102" s="161" t="b">
        <f>ISNUMBER(VLOOKUP(AJ94,Match!$T$5:$T$10,1,FALSE))</f>
        <v>0</v>
      </c>
      <c r="AC102" s="161" t="b">
        <f>IF(AB102=TRUE,(VLOOKUP($AJ94,Match!$T$5:$U$10,2,FALSE)))</f>
        <v>0</v>
      </c>
      <c r="AD102" s="8">
        <v>3</v>
      </c>
      <c r="AE102" s="8">
        <v>2</v>
      </c>
      <c r="AF102" s="8">
        <v>2</v>
      </c>
      <c r="AG102" s="8">
        <v>1</v>
      </c>
      <c r="AH102" s="8" t="str">
        <f t="shared" si="39"/>
        <v/>
      </c>
      <c r="BA102" s="24"/>
      <c r="BC102" s="12"/>
      <c r="BS102" s="127"/>
    </row>
    <row r="103" spans="1:71" x14ac:dyDescent="0.25">
      <c r="A103" s="29">
        <f t="shared" si="24"/>
        <v>0</v>
      </c>
      <c r="B103" s="29">
        <f t="shared" si="33"/>
        <v>0</v>
      </c>
      <c r="C103" s="29">
        <f t="shared" si="34"/>
        <v>0</v>
      </c>
      <c r="D103" s="29">
        <f t="shared" si="35"/>
        <v>0</v>
      </c>
      <c r="E103" s="29">
        <f t="shared" si="25"/>
        <v>0</v>
      </c>
      <c r="F103" s="29">
        <f t="shared" si="26"/>
        <v>0</v>
      </c>
      <c r="G103" s="29" t="str">
        <f t="shared" si="27"/>
        <v>offensive</v>
      </c>
      <c r="H103" s="16">
        <f t="shared" si="31"/>
        <v>0</v>
      </c>
      <c r="I103" s="16">
        <f t="shared" si="32"/>
        <v>0</v>
      </c>
      <c r="J103" s="16">
        <f t="shared" si="36"/>
        <v>0</v>
      </c>
      <c r="K103" s="16">
        <f t="shared" si="28"/>
        <v>0</v>
      </c>
      <c r="L103" s="67">
        <f t="shared" si="29"/>
        <v>0</v>
      </c>
      <c r="M103" s="4">
        <f t="shared" si="37"/>
        <v>0</v>
      </c>
      <c r="N103" s="4">
        <f t="shared" si="23"/>
        <v>0</v>
      </c>
      <c r="O103" s="4">
        <f t="shared" si="30"/>
        <v>0</v>
      </c>
      <c r="P103" s="4" t="e">
        <f>VLOOKUP(AJ95,'CIR Team Info'!$C$5:$E$44,2,FALSE)</f>
        <v>#N/A</v>
      </c>
      <c r="Q103" s="4" t="e">
        <f>VLOOKUP(AJ95,'CIR Team Info'!$C$5:$E$44,3,FALSE)</f>
        <v>#N/A</v>
      </c>
      <c r="R103" s="10" t="e">
        <f>VLOOKUP(AJ95,'FRC Site Data'!$B$3:$L$42,2,FALSE)</f>
        <v>#N/A</v>
      </c>
      <c r="S103" s="10" t="e">
        <f>VLOOKUP(AJ95,'FRC Site Data'!$B$3:$L$42,3,FALSE)</f>
        <v>#N/A</v>
      </c>
      <c r="T103" s="10" t="e">
        <f>VLOOKUP(AJ95,'FRC Site Data'!$B$3:$L$42,4,FALSE)</f>
        <v>#N/A</v>
      </c>
      <c r="U103" s="10" t="e">
        <f>VLOOKUP(AJ95,'FRC Site Data'!$B$3:$L$42,5,FALSE)</f>
        <v>#N/A</v>
      </c>
      <c r="V103" s="10" t="e">
        <f>VLOOKUP(AJ95,'FRC Site Data'!$B$3:$L$42,6,FALSE)</f>
        <v>#N/A</v>
      </c>
      <c r="W103" s="10" t="e">
        <f>VLOOKUP(AJ95,'FRC Site Data'!$B$3:$L$42,8,FALSE)</f>
        <v>#N/A</v>
      </c>
      <c r="X103" s="10" t="e">
        <f>VLOOKUP(AJ95,'FRC Site Data'!$B$3:$L$42,9,FALSE)</f>
        <v>#N/A</v>
      </c>
      <c r="Y103" s="10" t="e">
        <f>VLOOKUP(AJ95,'FRC Site Data'!$B$3:$L$42,10,FALSE)</f>
        <v>#N/A</v>
      </c>
      <c r="Z103" s="10" t="e">
        <f>VLOOKUP(AJ95,'FRC Site Data'!$B$3:$L$42,11,FALSE)</f>
        <v>#N/A</v>
      </c>
      <c r="AA103" s="10" t="e">
        <f>VLOOKUP(AJ95,'CIR Team Info'!$C$5:$E$44,4,FALSE)</f>
        <v>#N/A</v>
      </c>
      <c r="AB103" s="161" t="b">
        <f>ISNUMBER(VLOOKUP(AJ95,Match!$T$5:$T$10,1,FALSE))</f>
        <v>0</v>
      </c>
      <c r="AC103" s="161" t="b">
        <f>IF(AB103=TRUE,(VLOOKUP($AJ95,Match!$T$5:$U$10,2,FALSE)))</f>
        <v>0</v>
      </c>
      <c r="AD103" s="8">
        <v>3</v>
      </c>
      <c r="AE103" s="8">
        <v>2</v>
      </c>
      <c r="AF103" s="8">
        <v>2</v>
      </c>
      <c r="AG103" s="8">
        <v>1</v>
      </c>
      <c r="AH103" s="8" t="str">
        <f t="shared" si="39"/>
        <v/>
      </c>
      <c r="BA103" s="24"/>
      <c r="BC103" s="12"/>
      <c r="BS103" s="127"/>
    </row>
    <row r="104" spans="1:71" x14ac:dyDescent="0.25">
      <c r="A104" s="29">
        <f t="shared" si="24"/>
        <v>0</v>
      </c>
      <c r="B104" s="29">
        <f t="shared" si="33"/>
        <v>0</v>
      </c>
      <c r="C104" s="29">
        <f t="shared" si="34"/>
        <v>0</v>
      </c>
      <c r="D104" s="29">
        <f t="shared" si="35"/>
        <v>0</v>
      </c>
      <c r="E104" s="29">
        <f t="shared" si="25"/>
        <v>0</v>
      </c>
      <c r="F104" s="29">
        <f t="shared" si="26"/>
        <v>0</v>
      </c>
      <c r="G104" s="29" t="str">
        <f t="shared" si="27"/>
        <v>offensive</v>
      </c>
      <c r="H104" s="16">
        <f t="shared" si="31"/>
        <v>0</v>
      </c>
      <c r="I104" s="16">
        <f t="shared" si="32"/>
        <v>0</v>
      </c>
      <c r="J104" s="16">
        <f t="shared" si="36"/>
        <v>0</v>
      </c>
      <c r="K104" s="16">
        <f t="shared" si="28"/>
        <v>0</v>
      </c>
      <c r="L104" s="67">
        <f t="shared" si="29"/>
        <v>0</v>
      </c>
      <c r="M104" s="4">
        <f t="shared" si="37"/>
        <v>0</v>
      </c>
      <c r="N104" s="4">
        <f t="shared" si="23"/>
        <v>0</v>
      </c>
      <c r="O104" s="4">
        <f t="shared" si="30"/>
        <v>0</v>
      </c>
      <c r="P104" s="4" t="e">
        <f>VLOOKUP(AJ96,'CIR Team Info'!$C$5:$E$44,2,FALSE)</f>
        <v>#N/A</v>
      </c>
      <c r="Q104" s="4" t="e">
        <f>VLOOKUP(AJ96,'CIR Team Info'!$C$5:$E$44,3,FALSE)</f>
        <v>#N/A</v>
      </c>
      <c r="R104" s="10" t="e">
        <f>VLOOKUP(AJ96,'FRC Site Data'!$B$3:$L$42,2,FALSE)</f>
        <v>#N/A</v>
      </c>
      <c r="S104" s="10" t="e">
        <f>VLOOKUP(AJ96,'FRC Site Data'!$B$3:$L$42,3,FALSE)</f>
        <v>#N/A</v>
      </c>
      <c r="T104" s="10" t="e">
        <f>VLOOKUP(AJ96,'FRC Site Data'!$B$3:$L$42,4,FALSE)</f>
        <v>#N/A</v>
      </c>
      <c r="U104" s="10" t="e">
        <f>VLOOKUP(AJ96,'FRC Site Data'!$B$3:$L$42,5,FALSE)</f>
        <v>#N/A</v>
      </c>
      <c r="V104" s="10" t="e">
        <f>VLOOKUP(AJ96,'FRC Site Data'!$B$3:$L$42,6,FALSE)</f>
        <v>#N/A</v>
      </c>
      <c r="W104" s="10" t="e">
        <f>VLOOKUP(AJ96,'FRC Site Data'!$B$3:$L$42,8,FALSE)</f>
        <v>#N/A</v>
      </c>
      <c r="X104" s="10" t="e">
        <f>VLOOKUP(AJ96,'FRC Site Data'!$B$3:$L$42,9,FALSE)</f>
        <v>#N/A</v>
      </c>
      <c r="Y104" s="10" t="e">
        <f>VLOOKUP(AJ96,'FRC Site Data'!$B$3:$L$42,10,FALSE)</f>
        <v>#N/A</v>
      </c>
      <c r="Z104" s="10" t="e">
        <f>VLOOKUP(AJ96,'FRC Site Data'!$B$3:$L$42,11,FALSE)</f>
        <v>#N/A</v>
      </c>
      <c r="AA104" s="10" t="e">
        <f>VLOOKUP(AJ96,'CIR Team Info'!$C$5:$E$44,4,FALSE)</f>
        <v>#N/A</v>
      </c>
      <c r="AB104" s="161" t="b">
        <f>ISNUMBER(VLOOKUP(AJ96,Match!$T$5:$T$10,1,FALSE))</f>
        <v>0</v>
      </c>
      <c r="AC104" s="161" t="b">
        <f>IF(AB104=TRUE,(VLOOKUP($AJ96,Match!$T$5:$U$10,2,FALSE)))</f>
        <v>0</v>
      </c>
      <c r="AD104" s="8">
        <v>3</v>
      </c>
      <c r="AE104" s="8">
        <v>2</v>
      </c>
      <c r="AF104" s="8">
        <v>2</v>
      </c>
      <c r="AG104" s="8">
        <v>1</v>
      </c>
      <c r="AH104" s="8" t="str">
        <f t="shared" si="39"/>
        <v/>
      </c>
      <c r="BA104" s="24"/>
      <c r="BC104" s="12"/>
      <c r="BS104" s="127"/>
    </row>
    <row r="105" spans="1:71" x14ac:dyDescent="0.25">
      <c r="A105" s="29">
        <f t="shared" si="24"/>
        <v>0</v>
      </c>
      <c r="B105" s="29">
        <f t="shared" si="33"/>
        <v>0</v>
      </c>
      <c r="C105" s="29">
        <f t="shared" si="34"/>
        <v>0</v>
      </c>
      <c r="D105" s="29">
        <f t="shared" si="35"/>
        <v>0</v>
      </c>
      <c r="E105" s="29">
        <f t="shared" si="25"/>
        <v>0</v>
      </c>
      <c r="F105" s="29">
        <f t="shared" si="26"/>
        <v>0</v>
      </c>
      <c r="G105" s="29" t="str">
        <f t="shared" si="27"/>
        <v>offensive</v>
      </c>
      <c r="H105" s="16">
        <f t="shared" si="31"/>
        <v>0</v>
      </c>
      <c r="I105" s="16">
        <f t="shared" si="32"/>
        <v>0</v>
      </c>
      <c r="J105" s="16">
        <f t="shared" si="36"/>
        <v>0</v>
      </c>
      <c r="K105" s="16">
        <f t="shared" si="28"/>
        <v>0</v>
      </c>
      <c r="L105" s="67">
        <f t="shared" si="29"/>
        <v>0</v>
      </c>
      <c r="M105" s="4">
        <f t="shared" si="37"/>
        <v>0</v>
      </c>
      <c r="N105" s="4">
        <f t="shared" si="23"/>
        <v>0</v>
      </c>
      <c r="O105" s="4">
        <f t="shared" si="30"/>
        <v>0</v>
      </c>
      <c r="P105" s="4" t="e">
        <f>VLOOKUP(AJ97,'CIR Team Info'!$C$5:$E$44,2,FALSE)</f>
        <v>#N/A</v>
      </c>
      <c r="Q105" s="4" t="e">
        <f>VLOOKUP(AJ97,'CIR Team Info'!$C$5:$E$44,3,FALSE)</f>
        <v>#N/A</v>
      </c>
      <c r="R105" s="10" t="e">
        <f>VLOOKUP(AJ97,'FRC Site Data'!$B$3:$L$42,2,FALSE)</f>
        <v>#N/A</v>
      </c>
      <c r="S105" s="10" t="e">
        <f>VLOOKUP(AJ97,'FRC Site Data'!$B$3:$L$42,3,FALSE)</f>
        <v>#N/A</v>
      </c>
      <c r="T105" s="10" t="e">
        <f>VLOOKUP(AJ97,'FRC Site Data'!$B$3:$L$42,4,FALSE)</f>
        <v>#N/A</v>
      </c>
      <c r="U105" s="10" t="e">
        <f>VLOOKUP(AJ97,'FRC Site Data'!$B$3:$L$42,5,FALSE)</f>
        <v>#N/A</v>
      </c>
      <c r="V105" s="10" t="e">
        <f>VLOOKUP(AJ97,'FRC Site Data'!$B$3:$L$42,6,FALSE)</f>
        <v>#N/A</v>
      </c>
      <c r="W105" s="10" t="e">
        <f>VLOOKUP(AJ97,'FRC Site Data'!$B$3:$L$42,8,FALSE)</f>
        <v>#N/A</v>
      </c>
      <c r="X105" s="10" t="e">
        <f>VLOOKUP(AJ97,'FRC Site Data'!$B$3:$L$42,9,FALSE)</f>
        <v>#N/A</v>
      </c>
      <c r="Y105" s="10" t="e">
        <f>VLOOKUP(AJ97,'FRC Site Data'!$B$3:$L$42,10,FALSE)</f>
        <v>#N/A</v>
      </c>
      <c r="Z105" s="10" t="e">
        <f>VLOOKUP(AJ97,'FRC Site Data'!$B$3:$L$42,11,FALSE)</f>
        <v>#N/A</v>
      </c>
      <c r="AA105" s="10" t="e">
        <f>VLOOKUP(AJ97,'CIR Team Info'!$C$5:$E$44,4,FALSE)</f>
        <v>#N/A</v>
      </c>
      <c r="AB105" s="161" t="b">
        <f>ISNUMBER(VLOOKUP(AJ97,Match!$T$5:$T$10,1,FALSE))</f>
        <v>0</v>
      </c>
      <c r="AC105" s="161" t="b">
        <f>IF(AB105=TRUE,(VLOOKUP($AJ97,Match!$T$5:$U$10,2,FALSE)))</f>
        <v>0</v>
      </c>
      <c r="AD105" s="8">
        <v>3</v>
      </c>
      <c r="AE105" s="8">
        <v>2</v>
      </c>
      <c r="AF105" s="8">
        <v>2</v>
      </c>
      <c r="AG105" s="8">
        <v>1</v>
      </c>
      <c r="AH105" s="8" t="str">
        <f t="shared" si="39"/>
        <v/>
      </c>
      <c r="BA105" s="24"/>
      <c r="BC105" s="12"/>
      <c r="BS105" s="127"/>
    </row>
    <row r="106" spans="1:71" x14ac:dyDescent="0.25">
      <c r="A106" s="29">
        <f t="shared" si="24"/>
        <v>0</v>
      </c>
      <c r="B106" s="29">
        <f t="shared" si="33"/>
        <v>0</v>
      </c>
      <c r="C106" s="29">
        <f t="shared" si="34"/>
        <v>0</v>
      </c>
      <c r="D106" s="29">
        <f t="shared" si="35"/>
        <v>0</v>
      </c>
      <c r="E106" s="29">
        <f t="shared" si="25"/>
        <v>0</v>
      </c>
      <c r="F106" s="29">
        <f t="shared" si="26"/>
        <v>0</v>
      </c>
      <c r="G106" s="29" t="str">
        <f t="shared" si="27"/>
        <v>offensive</v>
      </c>
      <c r="H106" s="16">
        <f t="shared" si="31"/>
        <v>0</v>
      </c>
      <c r="I106" s="16">
        <f t="shared" si="32"/>
        <v>0</v>
      </c>
      <c r="J106" s="16">
        <f t="shared" si="36"/>
        <v>0</v>
      </c>
      <c r="K106" s="16">
        <f t="shared" si="28"/>
        <v>0</v>
      </c>
      <c r="L106" s="67">
        <f t="shared" si="29"/>
        <v>0</v>
      </c>
      <c r="M106" s="4">
        <f t="shared" si="37"/>
        <v>0</v>
      </c>
      <c r="N106" s="4">
        <f t="shared" si="23"/>
        <v>0</v>
      </c>
      <c r="O106" s="4">
        <f t="shared" si="30"/>
        <v>0</v>
      </c>
      <c r="P106" s="4" t="e">
        <f>VLOOKUP(AJ98,'CIR Team Info'!$C$5:$E$44,2,FALSE)</f>
        <v>#N/A</v>
      </c>
      <c r="Q106" s="4" t="e">
        <f>VLOOKUP(AJ98,'CIR Team Info'!$C$5:$E$44,3,FALSE)</f>
        <v>#N/A</v>
      </c>
      <c r="R106" s="10" t="e">
        <f>VLOOKUP(AJ98,'FRC Site Data'!$B$3:$L$42,2,FALSE)</f>
        <v>#N/A</v>
      </c>
      <c r="S106" s="10" t="e">
        <f>VLOOKUP(AJ98,'FRC Site Data'!$B$3:$L$42,3,FALSE)</f>
        <v>#N/A</v>
      </c>
      <c r="T106" s="10" t="e">
        <f>VLOOKUP(AJ98,'FRC Site Data'!$B$3:$L$42,4,FALSE)</f>
        <v>#N/A</v>
      </c>
      <c r="U106" s="10" t="e">
        <f>VLOOKUP(AJ98,'FRC Site Data'!$B$3:$L$42,5,FALSE)</f>
        <v>#N/A</v>
      </c>
      <c r="V106" s="10" t="e">
        <f>VLOOKUP(AJ98,'FRC Site Data'!$B$3:$L$42,6,FALSE)</f>
        <v>#N/A</v>
      </c>
      <c r="W106" s="10" t="e">
        <f>VLOOKUP(AJ98,'FRC Site Data'!$B$3:$L$42,8,FALSE)</f>
        <v>#N/A</v>
      </c>
      <c r="X106" s="10" t="e">
        <f>VLOOKUP(AJ98,'FRC Site Data'!$B$3:$L$42,9,FALSE)</f>
        <v>#N/A</v>
      </c>
      <c r="Y106" s="10" t="e">
        <f>VLOOKUP(AJ98,'FRC Site Data'!$B$3:$L$42,10,FALSE)</f>
        <v>#N/A</v>
      </c>
      <c r="Z106" s="10" t="e">
        <f>VLOOKUP(AJ98,'FRC Site Data'!$B$3:$L$42,11,FALSE)</f>
        <v>#N/A</v>
      </c>
      <c r="AA106" s="10" t="e">
        <f>VLOOKUP(AJ98,'CIR Team Info'!$C$5:$E$44,4,FALSE)</f>
        <v>#N/A</v>
      </c>
      <c r="AB106" s="161" t="b">
        <f>ISNUMBER(VLOOKUP(AJ98,Match!$T$5:$T$10,1,FALSE))</f>
        <v>0</v>
      </c>
      <c r="AC106" s="161" t="b">
        <f>IF(AB106=TRUE,(VLOOKUP($AJ98,Match!$T$5:$U$10,2,FALSE)))</f>
        <v>0</v>
      </c>
      <c r="AD106" s="8">
        <v>3</v>
      </c>
      <c r="AE106" s="8">
        <v>2</v>
      </c>
      <c r="AF106" s="8">
        <v>2</v>
      </c>
      <c r="AG106" s="8">
        <v>1</v>
      </c>
      <c r="AH106" s="8" t="str">
        <f t="shared" si="39"/>
        <v/>
      </c>
      <c r="BA106" s="24"/>
      <c r="BC106" s="12"/>
      <c r="BS106" s="127"/>
    </row>
    <row r="107" spans="1:71" x14ac:dyDescent="0.25">
      <c r="A107" s="29">
        <f t="shared" si="24"/>
        <v>0</v>
      </c>
      <c r="B107" s="29">
        <f t="shared" si="33"/>
        <v>0</v>
      </c>
      <c r="C107" s="29">
        <f t="shared" si="34"/>
        <v>0</v>
      </c>
      <c r="D107" s="29">
        <f t="shared" si="35"/>
        <v>0</v>
      </c>
      <c r="E107" s="29">
        <f t="shared" si="25"/>
        <v>0</v>
      </c>
      <c r="F107" s="29">
        <f t="shared" si="26"/>
        <v>0</v>
      </c>
      <c r="G107" s="29" t="str">
        <f t="shared" si="27"/>
        <v>offensive</v>
      </c>
      <c r="H107" s="16">
        <f t="shared" si="31"/>
        <v>0</v>
      </c>
      <c r="I107" s="16">
        <f t="shared" si="32"/>
        <v>0</v>
      </c>
      <c r="J107" s="16">
        <f t="shared" si="36"/>
        <v>0</v>
      </c>
      <c r="K107" s="16">
        <f t="shared" si="28"/>
        <v>0</v>
      </c>
      <c r="L107" s="67">
        <f t="shared" si="29"/>
        <v>0</v>
      </c>
      <c r="M107" s="4">
        <f t="shared" si="37"/>
        <v>0</v>
      </c>
      <c r="N107" s="4">
        <f t="shared" si="23"/>
        <v>0</v>
      </c>
      <c r="O107" s="4">
        <f t="shared" si="30"/>
        <v>0</v>
      </c>
      <c r="P107" s="4" t="e">
        <f>VLOOKUP(AJ99,'CIR Team Info'!$C$5:$E$44,2,FALSE)</f>
        <v>#N/A</v>
      </c>
      <c r="Q107" s="4" t="e">
        <f>VLOOKUP(AJ99,'CIR Team Info'!$C$5:$E$44,3,FALSE)</f>
        <v>#N/A</v>
      </c>
      <c r="R107" s="10" t="e">
        <f>VLOOKUP(AJ99,'FRC Site Data'!$B$3:$L$42,2,FALSE)</f>
        <v>#N/A</v>
      </c>
      <c r="S107" s="10" t="e">
        <f>VLOOKUP(AJ99,'FRC Site Data'!$B$3:$L$42,3,FALSE)</f>
        <v>#N/A</v>
      </c>
      <c r="T107" s="10" t="e">
        <f>VLOOKUP(AJ99,'FRC Site Data'!$B$3:$L$42,4,FALSE)</f>
        <v>#N/A</v>
      </c>
      <c r="U107" s="10" t="e">
        <f>VLOOKUP(AJ99,'FRC Site Data'!$B$3:$L$42,5,FALSE)</f>
        <v>#N/A</v>
      </c>
      <c r="V107" s="10" t="e">
        <f>VLOOKUP(AJ99,'FRC Site Data'!$B$3:$L$42,6,FALSE)</f>
        <v>#N/A</v>
      </c>
      <c r="W107" s="10" t="e">
        <f>VLOOKUP(AJ99,'FRC Site Data'!$B$3:$L$42,8,FALSE)</f>
        <v>#N/A</v>
      </c>
      <c r="X107" s="10" t="e">
        <f>VLOOKUP(AJ99,'FRC Site Data'!$B$3:$L$42,9,FALSE)</f>
        <v>#N/A</v>
      </c>
      <c r="Y107" s="10" t="e">
        <f>VLOOKUP(AJ99,'FRC Site Data'!$B$3:$L$42,10,FALSE)</f>
        <v>#N/A</v>
      </c>
      <c r="Z107" s="10" t="e">
        <f>VLOOKUP(AJ99,'FRC Site Data'!$B$3:$L$42,11,FALSE)</f>
        <v>#N/A</v>
      </c>
      <c r="AA107" s="10" t="e">
        <f>VLOOKUP(AJ99,'CIR Team Info'!$C$5:$E$44,4,FALSE)</f>
        <v>#N/A</v>
      </c>
      <c r="AB107" s="161" t="b">
        <f>ISNUMBER(VLOOKUP(AJ99,Match!$T$5:$T$10,1,FALSE))</f>
        <v>0</v>
      </c>
      <c r="AC107" s="161" t="b">
        <f>IF(AB107=TRUE,(VLOOKUP($AJ99,Match!$T$5:$U$10,2,FALSE)))</f>
        <v>0</v>
      </c>
      <c r="AD107" s="8">
        <v>3</v>
      </c>
      <c r="AE107" s="8">
        <v>2</v>
      </c>
      <c r="AF107" s="8">
        <v>2</v>
      </c>
      <c r="AG107" s="8">
        <v>1</v>
      </c>
      <c r="AH107" s="8" t="str">
        <f t="shared" si="39"/>
        <v/>
      </c>
      <c r="BA107" s="24"/>
      <c r="BC107" s="12"/>
      <c r="BS107" s="127"/>
    </row>
    <row r="108" spans="1:71" x14ac:dyDescent="0.25">
      <c r="A108" s="29">
        <f t="shared" si="24"/>
        <v>0</v>
      </c>
      <c r="B108" s="29">
        <f t="shared" si="33"/>
        <v>0</v>
      </c>
      <c r="C108" s="29">
        <f t="shared" si="34"/>
        <v>0</v>
      </c>
      <c r="D108" s="29">
        <f t="shared" si="35"/>
        <v>0</v>
      </c>
      <c r="E108" s="29">
        <f t="shared" si="25"/>
        <v>0</v>
      </c>
      <c r="F108" s="29">
        <f t="shared" si="26"/>
        <v>0</v>
      </c>
      <c r="G108" s="29" t="str">
        <f t="shared" si="27"/>
        <v>offensive</v>
      </c>
      <c r="H108" s="16">
        <f t="shared" si="31"/>
        <v>0</v>
      </c>
      <c r="I108" s="16">
        <f t="shared" si="32"/>
        <v>0</v>
      </c>
      <c r="J108" s="16">
        <f t="shared" si="36"/>
        <v>0</v>
      </c>
      <c r="K108" s="16">
        <f t="shared" si="28"/>
        <v>0</v>
      </c>
      <c r="L108" s="67">
        <f t="shared" si="29"/>
        <v>0</v>
      </c>
      <c r="M108" s="4">
        <f t="shared" si="37"/>
        <v>0</v>
      </c>
      <c r="N108" s="4">
        <f t="shared" si="23"/>
        <v>0</v>
      </c>
      <c r="O108" s="4">
        <f t="shared" si="30"/>
        <v>0</v>
      </c>
      <c r="P108" s="4" t="e">
        <f>VLOOKUP(AJ100,'CIR Team Info'!$C$5:$E$44,2,FALSE)</f>
        <v>#N/A</v>
      </c>
      <c r="Q108" s="4" t="e">
        <f>VLOOKUP(AJ100,'CIR Team Info'!$C$5:$E$44,3,FALSE)</f>
        <v>#N/A</v>
      </c>
      <c r="R108" s="10" t="e">
        <f>VLOOKUP(AJ100,'FRC Site Data'!$B$3:$L$42,2,FALSE)</f>
        <v>#N/A</v>
      </c>
      <c r="S108" s="10" t="e">
        <f>VLOOKUP(AJ100,'FRC Site Data'!$B$3:$L$42,3,FALSE)</f>
        <v>#N/A</v>
      </c>
      <c r="T108" s="10" t="e">
        <f>VLOOKUP(AJ100,'FRC Site Data'!$B$3:$L$42,4,FALSE)</f>
        <v>#N/A</v>
      </c>
      <c r="U108" s="10" t="e">
        <f>VLOOKUP(AJ100,'FRC Site Data'!$B$3:$L$42,5,FALSE)</f>
        <v>#N/A</v>
      </c>
      <c r="V108" s="10" t="e">
        <f>VLOOKUP(AJ100,'FRC Site Data'!$B$3:$L$42,6,FALSE)</f>
        <v>#N/A</v>
      </c>
      <c r="W108" s="10" t="e">
        <f>VLOOKUP(AJ100,'FRC Site Data'!$B$3:$L$42,8,FALSE)</f>
        <v>#N/A</v>
      </c>
      <c r="X108" s="10" t="e">
        <f>VLOOKUP(AJ100,'FRC Site Data'!$B$3:$L$42,9,FALSE)</f>
        <v>#N/A</v>
      </c>
      <c r="Y108" s="10" t="e">
        <f>VLOOKUP(AJ100,'FRC Site Data'!$B$3:$L$42,10,FALSE)</f>
        <v>#N/A</v>
      </c>
      <c r="Z108" s="10" t="e">
        <f>VLOOKUP(AJ100,'FRC Site Data'!$B$3:$L$42,11,FALSE)</f>
        <v>#N/A</v>
      </c>
      <c r="AA108" s="10" t="e">
        <f>VLOOKUP(AJ100,'CIR Team Info'!$C$5:$E$44,4,FALSE)</f>
        <v>#N/A</v>
      </c>
      <c r="AB108" s="161" t="b">
        <f>ISNUMBER(VLOOKUP(AJ100,Match!$T$5:$T$10,1,FALSE))</f>
        <v>0</v>
      </c>
      <c r="AC108" s="161" t="b">
        <f>IF(AB108=TRUE,(VLOOKUP($AJ100,Match!$T$5:$U$10,2,FALSE)))</f>
        <v>0</v>
      </c>
      <c r="AD108" s="8">
        <v>3</v>
      </c>
      <c r="AE108" s="8">
        <v>2</v>
      </c>
      <c r="AF108" s="8">
        <v>2</v>
      </c>
      <c r="AG108" s="8">
        <v>1</v>
      </c>
      <c r="AH108" s="8" t="str">
        <f t="shared" si="39"/>
        <v/>
      </c>
      <c r="BA108" s="24"/>
      <c r="BC108" s="12"/>
      <c r="BS108" s="127"/>
    </row>
    <row r="109" spans="1:71" x14ac:dyDescent="0.25">
      <c r="A109" s="29">
        <f t="shared" si="24"/>
        <v>0</v>
      </c>
      <c r="B109" s="29">
        <f t="shared" si="33"/>
        <v>0</v>
      </c>
      <c r="C109" s="29">
        <f t="shared" si="34"/>
        <v>0</v>
      </c>
      <c r="D109" s="29">
        <f t="shared" si="35"/>
        <v>0</v>
      </c>
      <c r="E109" s="29">
        <f t="shared" si="25"/>
        <v>0</v>
      </c>
      <c r="F109" s="29">
        <f t="shared" si="26"/>
        <v>0</v>
      </c>
      <c r="G109" s="29" t="str">
        <f t="shared" si="27"/>
        <v>offensive</v>
      </c>
      <c r="H109" s="16">
        <f t="shared" si="31"/>
        <v>0</v>
      </c>
      <c r="I109" s="16">
        <f t="shared" si="32"/>
        <v>0</v>
      </c>
      <c r="J109" s="16">
        <f t="shared" si="36"/>
        <v>0</v>
      </c>
      <c r="K109" s="16">
        <f t="shared" si="28"/>
        <v>0</v>
      </c>
      <c r="L109" s="67">
        <f t="shared" si="29"/>
        <v>0</v>
      </c>
      <c r="M109" s="4">
        <f t="shared" si="37"/>
        <v>0</v>
      </c>
      <c r="N109" s="4">
        <f t="shared" si="23"/>
        <v>0</v>
      </c>
      <c r="O109" s="4">
        <f t="shared" si="30"/>
        <v>0</v>
      </c>
      <c r="P109" s="4" t="e">
        <f>VLOOKUP(AJ101,'CIR Team Info'!$C$5:$E$44,2,FALSE)</f>
        <v>#N/A</v>
      </c>
      <c r="Q109" s="4" t="e">
        <f>VLOOKUP(AJ101,'CIR Team Info'!$C$5:$E$44,3,FALSE)</f>
        <v>#N/A</v>
      </c>
      <c r="R109" s="10" t="e">
        <f>VLOOKUP(AJ101,'FRC Site Data'!$B$3:$L$42,2,FALSE)</f>
        <v>#N/A</v>
      </c>
      <c r="S109" s="10" t="e">
        <f>VLOOKUP(AJ101,'FRC Site Data'!$B$3:$L$42,3,FALSE)</f>
        <v>#N/A</v>
      </c>
      <c r="T109" s="10" t="e">
        <f>VLOOKUP(AJ101,'FRC Site Data'!$B$3:$L$42,4,FALSE)</f>
        <v>#N/A</v>
      </c>
      <c r="U109" s="10" t="e">
        <f>VLOOKUP(AJ101,'FRC Site Data'!$B$3:$L$42,5,FALSE)</f>
        <v>#N/A</v>
      </c>
      <c r="V109" s="10" t="e">
        <f>VLOOKUP(AJ101,'FRC Site Data'!$B$3:$L$42,6,FALSE)</f>
        <v>#N/A</v>
      </c>
      <c r="W109" s="10" t="e">
        <f>VLOOKUP(AJ101,'FRC Site Data'!$B$3:$L$42,8,FALSE)</f>
        <v>#N/A</v>
      </c>
      <c r="X109" s="10" t="e">
        <f>VLOOKUP(AJ101,'FRC Site Data'!$B$3:$L$42,9,FALSE)</f>
        <v>#N/A</v>
      </c>
      <c r="Y109" s="10" t="e">
        <f>VLOOKUP(AJ101,'FRC Site Data'!$B$3:$L$42,10,FALSE)</f>
        <v>#N/A</v>
      </c>
      <c r="Z109" s="10" t="e">
        <f>VLOOKUP(AJ101,'FRC Site Data'!$B$3:$L$42,11,FALSE)</f>
        <v>#N/A</v>
      </c>
      <c r="AA109" s="10" t="e">
        <f>VLOOKUP(AJ101,'CIR Team Info'!$C$5:$E$44,4,FALSE)</f>
        <v>#N/A</v>
      </c>
      <c r="AB109" s="161" t="b">
        <f>ISNUMBER(VLOOKUP(AJ101,Match!$T$5:$T$10,1,FALSE))</f>
        <v>0</v>
      </c>
      <c r="AC109" s="161" t="b">
        <f>IF(AB109=TRUE,(VLOOKUP($AJ101,Match!$T$5:$U$10,2,FALSE)))</f>
        <v>0</v>
      </c>
      <c r="AD109" s="8">
        <v>3</v>
      </c>
      <c r="AE109" s="8">
        <v>2</v>
      </c>
      <c r="AF109" s="8">
        <v>2</v>
      </c>
      <c r="AG109" s="8">
        <v>1</v>
      </c>
      <c r="AH109" s="8" t="str">
        <f t="shared" si="39"/>
        <v/>
      </c>
      <c r="BA109" s="24"/>
      <c r="BC109" s="12"/>
      <c r="BS109" s="127"/>
    </row>
    <row r="110" spans="1:71" x14ac:dyDescent="0.25">
      <c r="A110" s="29">
        <f t="shared" si="24"/>
        <v>0</v>
      </c>
      <c r="B110" s="29">
        <f t="shared" si="33"/>
        <v>0</v>
      </c>
      <c r="C110" s="29">
        <f t="shared" si="34"/>
        <v>0</v>
      </c>
      <c r="D110" s="29">
        <f t="shared" si="35"/>
        <v>0</v>
      </c>
      <c r="E110" s="29">
        <f t="shared" si="25"/>
        <v>0</v>
      </c>
      <c r="F110" s="29">
        <f t="shared" si="26"/>
        <v>0</v>
      </c>
      <c r="G110" s="29" t="str">
        <f t="shared" si="27"/>
        <v>offensive</v>
      </c>
      <c r="H110" s="16">
        <f t="shared" si="31"/>
        <v>0</v>
      </c>
      <c r="I110" s="16">
        <f t="shared" si="32"/>
        <v>0</v>
      </c>
      <c r="J110" s="16">
        <f t="shared" si="36"/>
        <v>0</v>
      </c>
      <c r="K110" s="16">
        <f t="shared" si="28"/>
        <v>0</v>
      </c>
      <c r="L110" s="67">
        <f t="shared" si="29"/>
        <v>0</v>
      </c>
      <c r="M110" s="4">
        <f t="shared" si="37"/>
        <v>0</v>
      </c>
      <c r="N110" s="4">
        <f t="shared" si="23"/>
        <v>0</v>
      </c>
      <c r="O110" s="4">
        <f t="shared" si="30"/>
        <v>0</v>
      </c>
      <c r="P110" s="4" t="e">
        <f>VLOOKUP(AJ102,'CIR Team Info'!$C$5:$E$44,2,FALSE)</f>
        <v>#N/A</v>
      </c>
      <c r="Q110" s="4" t="e">
        <f>VLOOKUP(AJ102,'CIR Team Info'!$C$5:$E$44,3,FALSE)</f>
        <v>#N/A</v>
      </c>
      <c r="R110" s="10" t="e">
        <f>VLOOKUP(AJ102,'FRC Site Data'!$B$3:$L$42,2,FALSE)</f>
        <v>#N/A</v>
      </c>
      <c r="S110" s="10" t="e">
        <f>VLOOKUP(AJ102,'FRC Site Data'!$B$3:$L$42,3,FALSE)</f>
        <v>#N/A</v>
      </c>
      <c r="T110" s="10" t="e">
        <f>VLOOKUP(AJ102,'FRC Site Data'!$B$3:$L$42,4,FALSE)</f>
        <v>#N/A</v>
      </c>
      <c r="U110" s="10" t="e">
        <f>VLOOKUP(AJ102,'FRC Site Data'!$B$3:$L$42,5,FALSE)</f>
        <v>#N/A</v>
      </c>
      <c r="V110" s="10" t="e">
        <f>VLOOKUP(AJ102,'FRC Site Data'!$B$3:$L$42,6,FALSE)</f>
        <v>#N/A</v>
      </c>
      <c r="W110" s="10" t="e">
        <f>VLOOKUP(AJ102,'FRC Site Data'!$B$3:$L$42,8,FALSE)</f>
        <v>#N/A</v>
      </c>
      <c r="X110" s="10" t="e">
        <f>VLOOKUP(AJ102,'FRC Site Data'!$B$3:$L$42,9,FALSE)</f>
        <v>#N/A</v>
      </c>
      <c r="Y110" s="10" t="e">
        <f>VLOOKUP(AJ102,'FRC Site Data'!$B$3:$L$42,10,FALSE)</f>
        <v>#N/A</v>
      </c>
      <c r="Z110" s="10" t="e">
        <f>VLOOKUP(AJ102,'FRC Site Data'!$B$3:$L$42,11,FALSE)</f>
        <v>#N/A</v>
      </c>
      <c r="AA110" s="10" t="e">
        <f>VLOOKUP(AJ102,'CIR Team Info'!$C$5:$E$44,4,FALSE)</f>
        <v>#N/A</v>
      </c>
      <c r="AB110" s="161" t="b">
        <f>ISNUMBER(VLOOKUP(AJ102,Match!$T$5:$T$10,1,FALSE))</f>
        <v>0</v>
      </c>
      <c r="AC110" s="161" t="b">
        <f>IF(AB110=TRUE,(VLOOKUP($AJ102,Match!$T$5:$U$10,2,FALSE)))</f>
        <v>0</v>
      </c>
      <c r="AD110" s="8">
        <v>3</v>
      </c>
      <c r="AE110" s="8">
        <v>2</v>
      </c>
      <c r="AF110" s="8">
        <v>2</v>
      </c>
      <c r="AG110" s="8">
        <v>1</v>
      </c>
      <c r="AH110" s="8" t="str">
        <f t="shared" si="39"/>
        <v/>
      </c>
      <c r="BA110" s="24"/>
      <c r="BC110" s="12"/>
      <c r="BS110" s="127"/>
    </row>
    <row r="111" spans="1:71" x14ac:dyDescent="0.25">
      <c r="A111" s="29">
        <f t="shared" si="24"/>
        <v>0</v>
      </c>
      <c r="B111" s="29">
        <f t="shared" si="33"/>
        <v>0</v>
      </c>
      <c r="C111" s="29">
        <f t="shared" si="34"/>
        <v>0</v>
      </c>
      <c r="D111" s="29">
        <f t="shared" si="35"/>
        <v>0</v>
      </c>
      <c r="E111" s="29">
        <f t="shared" si="25"/>
        <v>0</v>
      </c>
      <c r="F111" s="29">
        <f t="shared" si="26"/>
        <v>0</v>
      </c>
      <c r="G111" s="29" t="str">
        <f t="shared" si="27"/>
        <v>offensive</v>
      </c>
      <c r="H111" s="16">
        <f t="shared" si="31"/>
        <v>0</v>
      </c>
      <c r="I111" s="16">
        <f t="shared" si="32"/>
        <v>0</v>
      </c>
      <c r="J111" s="16">
        <f t="shared" si="36"/>
        <v>0</v>
      </c>
      <c r="K111" s="16">
        <f t="shared" si="28"/>
        <v>0</v>
      </c>
      <c r="L111" s="67">
        <f t="shared" si="29"/>
        <v>0</v>
      </c>
      <c r="M111" s="4">
        <f t="shared" si="37"/>
        <v>0</v>
      </c>
      <c r="N111" s="4">
        <f t="shared" si="23"/>
        <v>0</v>
      </c>
      <c r="O111" s="4">
        <f t="shared" si="30"/>
        <v>0</v>
      </c>
      <c r="P111" s="4" t="e">
        <f>VLOOKUP(AJ103,'CIR Team Info'!$C$5:$E$44,2,FALSE)</f>
        <v>#N/A</v>
      </c>
      <c r="Q111" s="4" t="e">
        <f>VLOOKUP(AJ103,'CIR Team Info'!$C$5:$E$44,3,FALSE)</f>
        <v>#N/A</v>
      </c>
      <c r="R111" s="10" t="e">
        <f>VLOOKUP(AJ103,'FRC Site Data'!$B$3:$L$42,2,FALSE)</f>
        <v>#N/A</v>
      </c>
      <c r="S111" s="10" t="e">
        <f>VLOOKUP(AJ103,'FRC Site Data'!$B$3:$L$42,3,FALSE)</f>
        <v>#N/A</v>
      </c>
      <c r="T111" s="10" t="e">
        <f>VLOOKUP(AJ103,'FRC Site Data'!$B$3:$L$42,4,FALSE)</f>
        <v>#N/A</v>
      </c>
      <c r="U111" s="10" t="e">
        <f>VLOOKUP(AJ103,'FRC Site Data'!$B$3:$L$42,5,FALSE)</f>
        <v>#N/A</v>
      </c>
      <c r="V111" s="10" t="e">
        <f>VLOOKUP(AJ103,'FRC Site Data'!$B$3:$L$42,6,FALSE)</f>
        <v>#N/A</v>
      </c>
      <c r="W111" s="10" t="e">
        <f>VLOOKUP(AJ103,'FRC Site Data'!$B$3:$L$42,8,FALSE)</f>
        <v>#N/A</v>
      </c>
      <c r="X111" s="10" t="e">
        <f>VLOOKUP(AJ103,'FRC Site Data'!$B$3:$L$42,9,FALSE)</f>
        <v>#N/A</v>
      </c>
      <c r="Y111" s="10" t="e">
        <f>VLOOKUP(AJ103,'FRC Site Data'!$B$3:$L$42,10,FALSE)</f>
        <v>#N/A</v>
      </c>
      <c r="Z111" s="10" t="e">
        <f>VLOOKUP(AJ103,'FRC Site Data'!$B$3:$L$42,11,FALSE)</f>
        <v>#N/A</v>
      </c>
      <c r="AA111" s="10" t="e">
        <f>VLOOKUP(AJ103,'CIR Team Info'!$C$5:$E$44,4,FALSE)</f>
        <v>#N/A</v>
      </c>
      <c r="AB111" s="161" t="b">
        <f>ISNUMBER(VLOOKUP(AJ103,Match!$T$5:$T$10,1,FALSE))</f>
        <v>0</v>
      </c>
      <c r="AC111" s="161" t="b">
        <f>IF(AB111=TRUE,(VLOOKUP($AJ103,Match!$T$5:$U$10,2,FALSE)))</f>
        <v>0</v>
      </c>
      <c r="AD111" s="8">
        <v>3</v>
      </c>
      <c r="AE111" s="8">
        <v>2</v>
      </c>
      <c r="AF111" s="8">
        <v>2</v>
      </c>
      <c r="AG111" s="8">
        <v>1</v>
      </c>
      <c r="AH111" s="8" t="str">
        <f t="shared" si="39"/>
        <v/>
      </c>
      <c r="BA111" s="24"/>
      <c r="BC111" s="12"/>
      <c r="BS111" s="127"/>
    </row>
    <row r="112" spans="1:71" x14ac:dyDescent="0.25">
      <c r="A112" s="29">
        <f t="shared" si="24"/>
        <v>0</v>
      </c>
      <c r="B112" s="29">
        <f t="shared" si="33"/>
        <v>0</v>
      </c>
      <c r="C112" s="29">
        <f t="shared" si="34"/>
        <v>0</v>
      </c>
      <c r="D112" s="29">
        <f t="shared" si="35"/>
        <v>0</v>
      </c>
      <c r="E112" s="29">
        <f t="shared" si="25"/>
        <v>0</v>
      </c>
      <c r="F112" s="29">
        <f t="shared" si="26"/>
        <v>0</v>
      </c>
      <c r="G112" s="29" t="str">
        <f t="shared" si="27"/>
        <v>offensive</v>
      </c>
      <c r="H112" s="16">
        <f t="shared" si="31"/>
        <v>0</v>
      </c>
      <c r="I112" s="16">
        <f t="shared" si="32"/>
        <v>0</v>
      </c>
      <c r="J112" s="16">
        <f t="shared" si="36"/>
        <v>0</v>
      </c>
      <c r="K112" s="16">
        <f t="shared" si="28"/>
        <v>0</v>
      </c>
      <c r="L112" s="67">
        <f t="shared" si="29"/>
        <v>0</v>
      </c>
      <c r="M112" s="4">
        <f t="shared" si="37"/>
        <v>0</v>
      </c>
      <c r="N112" s="4">
        <f t="shared" si="23"/>
        <v>0</v>
      </c>
      <c r="O112" s="4">
        <f t="shared" si="30"/>
        <v>0</v>
      </c>
      <c r="P112" s="4" t="e">
        <f>VLOOKUP(AJ104,'CIR Team Info'!$C$5:$E$44,2,FALSE)</f>
        <v>#N/A</v>
      </c>
      <c r="Q112" s="4" t="e">
        <f>VLOOKUP(AJ104,'CIR Team Info'!$C$5:$E$44,3,FALSE)</f>
        <v>#N/A</v>
      </c>
      <c r="R112" s="10" t="e">
        <f>VLOOKUP(AJ104,'FRC Site Data'!$B$3:$L$42,2,FALSE)</f>
        <v>#N/A</v>
      </c>
      <c r="S112" s="10" t="e">
        <f>VLOOKUP(AJ104,'FRC Site Data'!$B$3:$L$42,3,FALSE)</f>
        <v>#N/A</v>
      </c>
      <c r="T112" s="10" t="e">
        <f>VLOOKUP(AJ104,'FRC Site Data'!$B$3:$L$42,4,FALSE)</f>
        <v>#N/A</v>
      </c>
      <c r="U112" s="10" t="e">
        <f>VLOOKUP(AJ104,'FRC Site Data'!$B$3:$L$42,5,FALSE)</f>
        <v>#N/A</v>
      </c>
      <c r="V112" s="10" t="e">
        <f>VLOOKUP(AJ104,'FRC Site Data'!$B$3:$L$42,6,FALSE)</f>
        <v>#N/A</v>
      </c>
      <c r="W112" s="10" t="e">
        <f>VLOOKUP(AJ104,'FRC Site Data'!$B$3:$L$42,8,FALSE)</f>
        <v>#N/A</v>
      </c>
      <c r="X112" s="10" t="e">
        <f>VLOOKUP(AJ104,'FRC Site Data'!$B$3:$L$42,9,FALSE)</f>
        <v>#N/A</v>
      </c>
      <c r="Y112" s="10" t="e">
        <f>VLOOKUP(AJ104,'FRC Site Data'!$B$3:$L$42,10,FALSE)</f>
        <v>#N/A</v>
      </c>
      <c r="Z112" s="10" t="e">
        <f>VLOOKUP(AJ104,'FRC Site Data'!$B$3:$L$42,11,FALSE)</f>
        <v>#N/A</v>
      </c>
      <c r="AA112" s="10" t="e">
        <f>VLOOKUP(AJ104,'CIR Team Info'!$C$5:$E$44,4,FALSE)</f>
        <v>#N/A</v>
      </c>
      <c r="AB112" s="161" t="b">
        <f>ISNUMBER(VLOOKUP(AJ104,Match!$T$5:$T$10,1,FALSE))</f>
        <v>0</v>
      </c>
      <c r="AC112" s="161" t="b">
        <f>IF(AB112=TRUE,(VLOOKUP($AJ104,Match!$T$5:$U$10,2,FALSE)))</f>
        <v>0</v>
      </c>
      <c r="AD112" s="8">
        <v>3</v>
      </c>
      <c r="AE112" s="8">
        <v>2</v>
      </c>
      <c r="AF112" s="8">
        <v>2</v>
      </c>
      <c r="AG112" s="8">
        <v>1</v>
      </c>
      <c r="AH112" s="8" t="str">
        <f t="shared" si="39"/>
        <v/>
      </c>
      <c r="BA112" s="24"/>
      <c r="BC112" s="12"/>
      <c r="BS112" s="127"/>
    </row>
    <row r="113" spans="1:71" x14ac:dyDescent="0.25">
      <c r="A113" s="29">
        <f t="shared" si="24"/>
        <v>0</v>
      </c>
      <c r="B113" s="29">
        <f t="shared" si="33"/>
        <v>0</v>
      </c>
      <c r="C113" s="29">
        <f t="shared" si="34"/>
        <v>0</v>
      </c>
      <c r="D113" s="29">
        <f t="shared" si="35"/>
        <v>0</v>
      </c>
      <c r="E113" s="29">
        <f t="shared" si="25"/>
        <v>0</v>
      </c>
      <c r="F113" s="29">
        <f t="shared" si="26"/>
        <v>0</v>
      </c>
      <c r="G113" s="29" t="str">
        <f t="shared" si="27"/>
        <v>offensive</v>
      </c>
      <c r="H113" s="16">
        <f t="shared" si="31"/>
        <v>0</v>
      </c>
      <c r="I113" s="16">
        <f t="shared" si="32"/>
        <v>0</v>
      </c>
      <c r="J113" s="16">
        <f t="shared" si="36"/>
        <v>0</v>
      </c>
      <c r="K113" s="16">
        <f t="shared" si="28"/>
        <v>0</v>
      </c>
      <c r="L113" s="67">
        <f t="shared" si="29"/>
        <v>0</v>
      </c>
      <c r="M113" s="4">
        <f t="shared" si="37"/>
        <v>0</v>
      </c>
      <c r="N113" s="4">
        <f t="shared" si="23"/>
        <v>0</v>
      </c>
      <c r="O113" s="4">
        <f t="shared" si="30"/>
        <v>0</v>
      </c>
      <c r="P113" s="4" t="e">
        <f>VLOOKUP(AJ105,'CIR Team Info'!$C$5:$E$44,2,FALSE)</f>
        <v>#N/A</v>
      </c>
      <c r="Q113" s="4" t="e">
        <f>VLOOKUP(AJ105,'CIR Team Info'!$C$5:$E$44,3,FALSE)</f>
        <v>#N/A</v>
      </c>
      <c r="R113" s="10" t="e">
        <f>VLOOKUP(AJ105,'FRC Site Data'!$B$3:$L$42,2,FALSE)</f>
        <v>#N/A</v>
      </c>
      <c r="S113" s="10" t="e">
        <f>VLOOKUP(AJ105,'FRC Site Data'!$B$3:$L$42,3,FALSE)</f>
        <v>#N/A</v>
      </c>
      <c r="T113" s="10" t="e">
        <f>VLOOKUP(AJ105,'FRC Site Data'!$B$3:$L$42,4,FALSE)</f>
        <v>#N/A</v>
      </c>
      <c r="U113" s="10" t="e">
        <f>VLOOKUP(AJ105,'FRC Site Data'!$B$3:$L$42,5,FALSE)</f>
        <v>#N/A</v>
      </c>
      <c r="V113" s="10" t="e">
        <f>VLOOKUP(AJ105,'FRC Site Data'!$B$3:$L$42,6,FALSE)</f>
        <v>#N/A</v>
      </c>
      <c r="W113" s="10" t="e">
        <f>VLOOKUP(AJ105,'FRC Site Data'!$B$3:$L$42,8,FALSE)</f>
        <v>#N/A</v>
      </c>
      <c r="X113" s="10" t="e">
        <f>VLOOKUP(AJ105,'FRC Site Data'!$B$3:$L$42,9,FALSE)</f>
        <v>#N/A</v>
      </c>
      <c r="Y113" s="10" t="e">
        <f>VLOOKUP(AJ105,'FRC Site Data'!$B$3:$L$42,10,FALSE)</f>
        <v>#N/A</v>
      </c>
      <c r="Z113" s="10" t="e">
        <f>VLOOKUP(AJ105,'FRC Site Data'!$B$3:$L$42,11,FALSE)</f>
        <v>#N/A</v>
      </c>
      <c r="AA113" s="10" t="e">
        <f>VLOOKUP(AJ105,'CIR Team Info'!$C$5:$E$44,4,FALSE)</f>
        <v>#N/A</v>
      </c>
      <c r="AB113" s="161" t="b">
        <f>ISNUMBER(VLOOKUP(AJ105,Match!$T$5:$T$10,1,FALSE))</f>
        <v>0</v>
      </c>
      <c r="AC113" s="161" t="b">
        <f>IF(AB113=TRUE,(VLOOKUP($AJ105,Match!$T$5:$U$10,2,FALSE)))</f>
        <v>0</v>
      </c>
      <c r="AD113" s="8">
        <v>3</v>
      </c>
      <c r="AE113" s="8">
        <v>2</v>
      </c>
      <c r="AF113" s="8">
        <v>2</v>
      </c>
      <c r="AG113" s="8">
        <v>1</v>
      </c>
      <c r="AH113" s="8" t="str">
        <f t="shared" si="39"/>
        <v/>
      </c>
      <c r="BA113" s="24"/>
      <c r="BC113" s="12"/>
      <c r="BS113" s="127"/>
    </row>
    <row r="114" spans="1:71" x14ac:dyDescent="0.25">
      <c r="A114" s="29">
        <f t="shared" si="24"/>
        <v>0</v>
      </c>
      <c r="B114" s="29">
        <f t="shared" si="33"/>
        <v>0</v>
      </c>
      <c r="C114" s="29">
        <f t="shared" si="34"/>
        <v>0</v>
      </c>
      <c r="D114" s="29">
        <f t="shared" si="35"/>
        <v>0</v>
      </c>
      <c r="E114" s="29">
        <f t="shared" si="25"/>
        <v>0</v>
      </c>
      <c r="F114" s="29">
        <f t="shared" si="26"/>
        <v>0</v>
      </c>
      <c r="G114" s="29" t="str">
        <f t="shared" si="27"/>
        <v>offensive</v>
      </c>
      <c r="H114" s="16">
        <f t="shared" si="31"/>
        <v>0</v>
      </c>
      <c r="I114" s="16">
        <f t="shared" si="32"/>
        <v>0</v>
      </c>
      <c r="J114" s="16">
        <f t="shared" si="36"/>
        <v>0</v>
      </c>
      <c r="K114" s="16">
        <f t="shared" si="28"/>
        <v>0</v>
      </c>
      <c r="L114" s="67">
        <f t="shared" si="29"/>
        <v>0</v>
      </c>
      <c r="M114" s="4">
        <f t="shared" si="37"/>
        <v>0</v>
      </c>
      <c r="N114" s="4">
        <f t="shared" si="23"/>
        <v>0</v>
      </c>
      <c r="O114" s="4">
        <f t="shared" si="30"/>
        <v>0</v>
      </c>
      <c r="P114" s="4" t="e">
        <f>VLOOKUP(AJ106,'CIR Team Info'!$C$5:$E$44,2,FALSE)</f>
        <v>#N/A</v>
      </c>
      <c r="Q114" s="4" t="e">
        <f>VLOOKUP(AJ106,'CIR Team Info'!$C$5:$E$44,3,FALSE)</f>
        <v>#N/A</v>
      </c>
      <c r="R114" s="10" t="e">
        <f>VLOOKUP(AJ106,'FRC Site Data'!$B$3:$L$42,2,FALSE)</f>
        <v>#N/A</v>
      </c>
      <c r="S114" s="10" t="e">
        <f>VLOOKUP(AJ106,'FRC Site Data'!$B$3:$L$42,3,FALSE)</f>
        <v>#N/A</v>
      </c>
      <c r="T114" s="10" t="e">
        <f>VLOOKUP(AJ106,'FRC Site Data'!$B$3:$L$42,4,FALSE)</f>
        <v>#N/A</v>
      </c>
      <c r="U114" s="10" t="e">
        <f>VLOOKUP(AJ106,'FRC Site Data'!$B$3:$L$42,5,FALSE)</f>
        <v>#N/A</v>
      </c>
      <c r="V114" s="10" t="e">
        <f>VLOOKUP(AJ106,'FRC Site Data'!$B$3:$L$42,6,FALSE)</f>
        <v>#N/A</v>
      </c>
      <c r="W114" s="10" t="e">
        <f>VLOOKUP(AJ106,'FRC Site Data'!$B$3:$L$42,8,FALSE)</f>
        <v>#N/A</v>
      </c>
      <c r="X114" s="10" t="e">
        <f>VLOOKUP(AJ106,'FRC Site Data'!$B$3:$L$42,9,FALSE)</f>
        <v>#N/A</v>
      </c>
      <c r="Y114" s="10" t="e">
        <f>VLOOKUP(AJ106,'FRC Site Data'!$B$3:$L$42,10,FALSE)</f>
        <v>#N/A</v>
      </c>
      <c r="Z114" s="10" t="e">
        <f>VLOOKUP(AJ106,'FRC Site Data'!$B$3:$L$42,11,FALSE)</f>
        <v>#N/A</v>
      </c>
      <c r="AA114" s="10" t="e">
        <f>VLOOKUP(AJ106,'CIR Team Info'!$C$5:$E$44,4,FALSE)</f>
        <v>#N/A</v>
      </c>
      <c r="AB114" s="161" t="b">
        <f>ISNUMBER(VLOOKUP(AJ106,Match!$T$5:$T$10,1,FALSE))</f>
        <v>0</v>
      </c>
      <c r="AC114" s="161" t="b">
        <f>IF(AB114=TRUE,(VLOOKUP($AJ106,Match!$T$5:$U$10,2,FALSE)))</f>
        <v>0</v>
      </c>
      <c r="AD114" s="8">
        <v>3</v>
      </c>
      <c r="AE114" s="8">
        <v>2</v>
      </c>
      <c r="AF114" s="8">
        <v>2</v>
      </c>
      <c r="AG114" s="8">
        <v>1</v>
      </c>
      <c r="AH114" s="8" t="str">
        <f t="shared" si="39"/>
        <v/>
      </c>
      <c r="BA114" s="24"/>
      <c r="BC114" s="12"/>
      <c r="BS114" s="127"/>
    </row>
    <row r="115" spans="1:71" x14ac:dyDescent="0.25">
      <c r="A115" s="29">
        <f t="shared" si="24"/>
        <v>0</v>
      </c>
      <c r="B115" s="29">
        <f t="shared" si="33"/>
        <v>0</v>
      </c>
      <c r="C115" s="29">
        <f t="shared" si="34"/>
        <v>0</v>
      </c>
      <c r="D115" s="29">
        <f t="shared" si="35"/>
        <v>0</v>
      </c>
      <c r="E115" s="29">
        <f t="shared" si="25"/>
        <v>0</v>
      </c>
      <c r="F115" s="29">
        <f t="shared" si="26"/>
        <v>0</v>
      </c>
      <c r="G115" s="29" t="str">
        <f t="shared" si="27"/>
        <v>offensive</v>
      </c>
      <c r="H115" s="16">
        <f t="shared" si="31"/>
        <v>0</v>
      </c>
      <c r="I115" s="16">
        <f t="shared" si="32"/>
        <v>0</v>
      </c>
      <c r="J115" s="16">
        <f t="shared" si="36"/>
        <v>0</v>
      </c>
      <c r="K115" s="16">
        <f t="shared" si="28"/>
        <v>0</v>
      </c>
      <c r="L115" s="67">
        <f t="shared" si="29"/>
        <v>0</v>
      </c>
      <c r="M115" s="4">
        <f t="shared" si="37"/>
        <v>0</v>
      </c>
      <c r="N115" s="4">
        <f t="shared" si="23"/>
        <v>0</v>
      </c>
      <c r="O115" s="4">
        <f t="shared" si="30"/>
        <v>0</v>
      </c>
      <c r="P115" s="4" t="e">
        <f>VLOOKUP(AJ107,'CIR Team Info'!$C$5:$E$44,2,FALSE)</f>
        <v>#N/A</v>
      </c>
      <c r="Q115" s="4" t="e">
        <f>VLOOKUP(AJ107,'CIR Team Info'!$C$5:$E$44,3,FALSE)</f>
        <v>#N/A</v>
      </c>
      <c r="R115" s="10" t="e">
        <f>VLOOKUP(AJ107,'FRC Site Data'!$B$3:$L$42,2,FALSE)</f>
        <v>#N/A</v>
      </c>
      <c r="S115" s="10" t="e">
        <f>VLOOKUP(AJ107,'FRC Site Data'!$B$3:$L$42,3,FALSE)</f>
        <v>#N/A</v>
      </c>
      <c r="T115" s="10" t="e">
        <f>VLOOKUP(AJ107,'FRC Site Data'!$B$3:$L$42,4,FALSE)</f>
        <v>#N/A</v>
      </c>
      <c r="U115" s="10" t="e">
        <f>VLOOKUP(AJ107,'FRC Site Data'!$B$3:$L$42,5,FALSE)</f>
        <v>#N/A</v>
      </c>
      <c r="V115" s="10" t="e">
        <f>VLOOKUP(AJ107,'FRC Site Data'!$B$3:$L$42,6,FALSE)</f>
        <v>#N/A</v>
      </c>
      <c r="W115" s="10" t="e">
        <f>VLOOKUP(AJ107,'FRC Site Data'!$B$3:$L$42,8,FALSE)</f>
        <v>#N/A</v>
      </c>
      <c r="X115" s="10" t="e">
        <f>VLOOKUP(AJ107,'FRC Site Data'!$B$3:$L$42,9,FALSE)</f>
        <v>#N/A</v>
      </c>
      <c r="Y115" s="10" t="e">
        <f>VLOOKUP(AJ107,'FRC Site Data'!$B$3:$L$42,10,FALSE)</f>
        <v>#N/A</v>
      </c>
      <c r="Z115" s="10" t="e">
        <f>VLOOKUP(AJ107,'FRC Site Data'!$B$3:$L$42,11,FALSE)</f>
        <v>#N/A</v>
      </c>
      <c r="AA115" s="10" t="e">
        <f>VLOOKUP(AJ107,'CIR Team Info'!$C$5:$E$44,4,FALSE)</f>
        <v>#N/A</v>
      </c>
      <c r="AB115" s="161" t="b">
        <f>ISNUMBER(VLOOKUP(AJ107,Match!$T$5:$T$10,1,FALSE))</f>
        <v>0</v>
      </c>
      <c r="AC115" s="161" t="b">
        <f>IF(AB115=TRUE,(VLOOKUP($AJ107,Match!$T$5:$U$10,2,FALSE)))</f>
        <v>0</v>
      </c>
      <c r="AD115" s="8">
        <v>3</v>
      </c>
      <c r="AE115" s="8">
        <v>2</v>
      </c>
      <c r="AF115" s="8">
        <v>2</v>
      </c>
      <c r="AG115" s="8">
        <v>1</v>
      </c>
      <c r="AH115" s="8" t="str">
        <f t="shared" si="39"/>
        <v/>
      </c>
      <c r="BA115" s="24"/>
      <c r="BC115" s="12"/>
      <c r="BS115" s="127"/>
    </row>
    <row r="116" spans="1:71" x14ac:dyDescent="0.25">
      <c r="A116" s="29">
        <f t="shared" si="24"/>
        <v>0</v>
      </c>
      <c r="B116" s="29">
        <f t="shared" si="33"/>
        <v>0</v>
      </c>
      <c r="C116" s="29">
        <f t="shared" si="34"/>
        <v>0</v>
      </c>
      <c r="D116" s="29">
        <f t="shared" si="35"/>
        <v>0</v>
      </c>
      <c r="E116" s="29">
        <f t="shared" si="25"/>
        <v>0</v>
      </c>
      <c r="F116" s="29">
        <f t="shared" si="26"/>
        <v>0</v>
      </c>
      <c r="G116" s="29" t="str">
        <f t="shared" si="27"/>
        <v>offensive</v>
      </c>
      <c r="H116" s="16">
        <f t="shared" si="31"/>
        <v>0</v>
      </c>
      <c r="I116" s="16">
        <f t="shared" si="32"/>
        <v>0</v>
      </c>
      <c r="J116" s="16">
        <f t="shared" si="36"/>
        <v>0</v>
      </c>
      <c r="K116" s="16">
        <f t="shared" si="28"/>
        <v>0</v>
      </c>
      <c r="L116" s="67">
        <f t="shared" si="29"/>
        <v>0</v>
      </c>
      <c r="M116" s="4">
        <f t="shared" si="37"/>
        <v>0</v>
      </c>
      <c r="N116" s="4">
        <f t="shared" si="23"/>
        <v>0</v>
      </c>
      <c r="O116" s="4">
        <f t="shared" si="30"/>
        <v>0</v>
      </c>
      <c r="P116" s="4" t="e">
        <f>VLOOKUP(AJ108,'CIR Team Info'!$C$5:$E$44,2,FALSE)</f>
        <v>#N/A</v>
      </c>
      <c r="Q116" s="4" t="e">
        <f>VLOOKUP(AJ108,'CIR Team Info'!$C$5:$E$44,3,FALSE)</f>
        <v>#N/A</v>
      </c>
      <c r="R116" s="10" t="e">
        <f>VLOOKUP(AJ108,'FRC Site Data'!$B$3:$L$42,2,FALSE)</f>
        <v>#N/A</v>
      </c>
      <c r="S116" s="10" t="e">
        <f>VLOOKUP(AJ108,'FRC Site Data'!$B$3:$L$42,3,FALSE)</f>
        <v>#N/A</v>
      </c>
      <c r="T116" s="10" t="e">
        <f>VLOOKUP(AJ108,'FRC Site Data'!$B$3:$L$42,4,FALSE)</f>
        <v>#N/A</v>
      </c>
      <c r="U116" s="10" t="e">
        <f>VLOOKUP(AJ108,'FRC Site Data'!$B$3:$L$42,5,FALSE)</f>
        <v>#N/A</v>
      </c>
      <c r="V116" s="10" t="e">
        <f>VLOOKUP(AJ108,'FRC Site Data'!$B$3:$L$42,6,FALSE)</f>
        <v>#N/A</v>
      </c>
      <c r="W116" s="10" t="e">
        <f>VLOOKUP(AJ108,'FRC Site Data'!$B$3:$L$42,8,FALSE)</f>
        <v>#N/A</v>
      </c>
      <c r="X116" s="10" t="e">
        <f>VLOOKUP(AJ108,'FRC Site Data'!$B$3:$L$42,9,FALSE)</f>
        <v>#N/A</v>
      </c>
      <c r="Y116" s="10" t="e">
        <f>VLOOKUP(AJ108,'FRC Site Data'!$B$3:$L$42,10,FALSE)</f>
        <v>#N/A</v>
      </c>
      <c r="Z116" s="10" t="e">
        <f>VLOOKUP(AJ108,'FRC Site Data'!$B$3:$L$42,11,FALSE)</f>
        <v>#N/A</v>
      </c>
      <c r="AA116" s="10" t="e">
        <f>VLOOKUP(AJ108,'CIR Team Info'!$C$5:$E$44,4,FALSE)</f>
        <v>#N/A</v>
      </c>
      <c r="AB116" s="161" t="b">
        <f>ISNUMBER(VLOOKUP(AJ108,Match!$T$5:$T$10,1,FALSE))</f>
        <v>0</v>
      </c>
      <c r="AC116" s="161" t="b">
        <f>IF(AB116=TRUE,(VLOOKUP($AJ108,Match!$T$5:$U$10,2,FALSE)))</f>
        <v>0</v>
      </c>
      <c r="AD116" s="8">
        <v>3</v>
      </c>
      <c r="AE116" s="8">
        <v>2</v>
      </c>
      <c r="AF116" s="8">
        <v>2</v>
      </c>
      <c r="AG116" s="8">
        <v>1</v>
      </c>
      <c r="AH116" s="8" t="str">
        <f t="shared" si="39"/>
        <v/>
      </c>
      <c r="BA116" s="24"/>
      <c r="BC116" s="12"/>
      <c r="BS116" s="127"/>
    </row>
    <row r="117" spans="1:71" x14ac:dyDescent="0.25">
      <c r="A117" s="29">
        <f t="shared" si="24"/>
        <v>0</v>
      </c>
      <c r="B117" s="29">
        <f t="shared" si="33"/>
        <v>0</v>
      </c>
      <c r="C117" s="29">
        <f t="shared" si="34"/>
        <v>0</v>
      </c>
      <c r="D117" s="29">
        <f t="shared" si="35"/>
        <v>0</v>
      </c>
      <c r="E117" s="29">
        <f t="shared" si="25"/>
        <v>0</v>
      </c>
      <c r="F117" s="29">
        <f t="shared" si="26"/>
        <v>0</v>
      </c>
      <c r="G117" s="29" t="str">
        <f t="shared" si="27"/>
        <v>offensive</v>
      </c>
      <c r="H117" s="16">
        <f t="shared" si="31"/>
        <v>0</v>
      </c>
      <c r="I117" s="16">
        <f t="shared" si="32"/>
        <v>0</v>
      </c>
      <c r="J117" s="16">
        <f t="shared" si="36"/>
        <v>0</v>
      </c>
      <c r="K117" s="16">
        <f t="shared" si="28"/>
        <v>0</v>
      </c>
      <c r="L117" s="67">
        <f t="shared" si="29"/>
        <v>0</v>
      </c>
      <c r="M117" s="4">
        <f t="shared" si="37"/>
        <v>0</v>
      </c>
      <c r="N117" s="4">
        <f t="shared" si="23"/>
        <v>0</v>
      </c>
      <c r="O117" s="4">
        <f t="shared" si="30"/>
        <v>0</v>
      </c>
      <c r="P117" s="4" t="e">
        <f>VLOOKUP(AJ109,'CIR Team Info'!$C$5:$E$44,2,FALSE)</f>
        <v>#N/A</v>
      </c>
      <c r="Q117" s="4" t="e">
        <f>VLOOKUP(AJ109,'CIR Team Info'!$C$5:$E$44,3,FALSE)</f>
        <v>#N/A</v>
      </c>
      <c r="R117" s="10" t="e">
        <f>VLOOKUP(AJ109,'FRC Site Data'!$B$3:$L$42,2,FALSE)</f>
        <v>#N/A</v>
      </c>
      <c r="S117" s="10" t="e">
        <f>VLOOKUP(AJ109,'FRC Site Data'!$B$3:$L$42,3,FALSE)</f>
        <v>#N/A</v>
      </c>
      <c r="T117" s="10" t="e">
        <f>VLOOKUP(AJ109,'FRC Site Data'!$B$3:$L$42,4,FALSE)</f>
        <v>#N/A</v>
      </c>
      <c r="U117" s="10" t="e">
        <f>VLOOKUP(AJ109,'FRC Site Data'!$B$3:$L$42,5,FALSE)</f>
        <v>#N/A</v>
      </c>
      <c r="V117" s="10" t="e">
        <f>VLOOKUP(AJ109,'FRC Site Data'!$B$3:$L$42,6,FALSE)</f>
        <v>#N/A</v>
      </c>
      <c r="W117" s="10" t="e">
        <f>VLOOKUP(AJ109,'FRC Site Data'!$B$3:$L$42,8,FALSE)</f>
        <v>#N/A</v>
      </c>
      <c r="X117" s="10" t="e">
        <f>VLOOKUP(AJ109,'FRC Site Data'!$B$3:$L$42,9,FALSE)</f>
        <v>#N/A</v>
      </c>
      <c r="Y117" s="10" t="e">
        <f>VLOOKUP(AJ109,'FRC Site Data'!$B$3:$L$42,10,FALSE)</f>
        <v>#N/A</v>
      </c>
      <c r="Z117" s="10" t="e">
        <f>VLOOKUP(AJ109,'FRC Site Data'!$B$3:$L$42,11,FALSE)</f>
        <v>#N/A</v>
      </c>
      <c r="AA117" s="10" t="e">
        <f>VLOOKUP(AJ109,'CIR Team Info'!$C$5:$E$44,4,FALSE)</f>
        <v>#N/A</v>
      </c>
      <c r="AB117" s="161" t="b">
        <f>ISNUMBER(VLOOKUP(AJ109,Match!$T$5:$T$10,1,FALSE))</f>
        <v>0</v>
      </c>
      <c r="AC117" s="161" t="b">
        <f>IF(AB117=TRUE,(VLOOKUP($AJ109,Match!$T$5:$U$10,2,FALSE)))</f>
        <v>0</v>
      </c>
      <c r="AD117" s="8">
        <v>3</v>
      </c>
      <c r="AE117" s="8">
        <v>2</v>
      </c>
      <c r="AF117" s="8">
        <v>2</v>
      </c>
      <c r="AG117" s="8">
        <v>1</v>
      </c>
      <c r="AH117" s="8" t="str">
        <f t="shared" si="39"/>
        <v/>
      </c>
      <c r="BA117" s="24"/>
      <c r="BC117" s="12"/>
      <c r="BS117" s="127"/>
    </row>
    <row r="118" spans="1:71" x14ac:dyDescent="0.25">
      <c r="A118" s="29">
        <f t="shared" si="24"/>
        <v>0</v>
      </c>
      <c r="B118" s="29">
        <f t="shared" si="33"/>
        <v>0</v>
      </c>
      <c r="C118" s="29">
        <f t="shared" si="34"/>
        <v>0</v>
      </c>
      <c r="D118" s="29">
        <f t="shared" si="35"/>
        <v>0</v>
      </c>
      <c r="E118" s="29">
        <f t="shared" si="25"/>
        <v>0</v>
      </c>
      <c r="F118" s="29">
        <f t="shared" si="26"/>
        <v>0</v>
      </c>
      <c r="G118" s="29" t="str">
        <f t="shared" si="27"/>
        <v>offensive</v>
      </c>
      <c r="H118" s="16">
        <f t="shared" si="31"/>
        <v>0</v>
      </c>
      <c r="I118" s="16">
        <f t="shared" si="32"/>
        <v>0</v>
      </c>
      <c r="J118" s="16">
        <f t="shared" si="36"/>
        <v>0</v>
      </c>
      <c r="K118" s="16">
        <f t="shared" si="28"/>
        <v>0</v>
      </c>
      <c r="L118" s="67">
        <f t="shared" si="29"/>
        <v>0</v>
      </c>
      <c r="M118" s="4">
        <f t="shared" si="37"/>
        <v>0</v>
      </c>
      <c r="N118" s="4">
        <f t="shared" si="23"/>
        <v>0</v>
      </c>
      <c r="O118" s="4">
        <f t="shared" si="30"/>
        <v>0</v>
      </c>
      <c r="P118" s="4" t="e">
        <f>VLOOKUP(AJ110,'CIR Team Info'!$C$5:$E$44,2,FALSE)</f>
        <v>#N/A</v>
      </c>
      <c r="Q118" s="4" t="e">
        <f>VLOOKUP(AJ110,'CIR Team Info'!$C$5:$E$44,3,FALSE)</f>
        <v>#N/A</v>
      </c>
      <c r="R118" s="10" t="e">
        <f>VLOOKUP(AJ110,'FRC Site Data'!$B$3:$L$42,2,FALSE)</f>
        <v>#N/A</v>
      </c>
      <c r="S118" s="10" t="e">
        <f>VLOOKUP(AJ110,'FRC Site Data'!$B$3:$L$42,3,FALSE)</f>
        <v>#N/A</v>
      </c>
      <c r="T118" s="10" t="e">
        <f>VLOOKUP(AJ110,'FRC Site Data'!$B$3:$L$42,4,FALSE)</f>
        <v>#N/A</v>
      </c>
      <c r="U118" s="10" t="e">
        <f>VLOOKUP(AJ110,'FRC Site Data'!$B$3:$L$42,5,FALSE)</f>
        <v>#N/A</v>
      </c>
      <c r="V118" s="10" t="e">
        <f>VLOOKUP(AJ110,'FRC Site Data'!$B$3:$L$42,6,FALSE)</f>
        <v>#N/A</v>
      </c>
      <c r="W118" s="10" t="e">
        <f>VLOOKUP(AJ110,'FRC Site Data'!$B$3:$L$42,8,FALSE)</f>
        <v>#N/A</v>
      </c>
      <c r="X118" s="10" t="e">
        <f>VLOOKUP(AJ110,'FRC Site Data'!$B$3:$L$42,9,FALSE)</f>
        <v>#N/A</v>
      </c>
      <c r="Y118" s="10" t="e">
        <f>VLOOKUP(AJ110,'FRC Site Data'!$B$3:$L$42,10,FALSE)</f>
        <v>#N/A</v>
      </c>
      <c r="Z118" s="10" t="e">
        <f>VLOOKUP(AJ110,'FRC Site Data'!$B$3:$L$42,11,FALSE)</f>
        <v>#N/A</v>
      </c>
      <c r="AA118" s="10" t="e">
        <f>VLOOKUP(AJ110,'CIR Team Info'!$C$5:$E$44,4,FALSE)</f>
        <v>#N/A</v>
      </c>
      <c r="AB118" s="161" t="b">
        <f>ISNUMBER(VLOOKUP(AJ110,Match!$T$5:$T$10,1,FALSE))</f>
        <v>0</v>
      </c>
      <c r="AC118" s="161" t="b">
        <f>IF(AB118=TRUE,(VLOOKUP($AJ110,Match!$T$5:$U$10,2,FALSE)))</f>
        <v>0</v>
      </c>
      <c r="AD118" s="8">
        <v>3</v>
      </c>
      <c r="AE118" s="8">
        <v>2</v>
      </c>
      <c r="AF118" s="8">
        <v>2</v>
      </c>
      <c r="AG118" s="8">
        <v>1</v>
      </c>
      <c r="AH118" s="8" t="str">
        <f t="shared" si="39"/>
        <v/>
      </c>
      <c r="BA118" s="24"/>
      <c r="BC118" s="12"/>
      <c r="BS118" s="127"/>
    </row>
    <row r="119" spans="1:71" x14ac:dyDescent="0.25">
      <c r="A119" s="29">
        <f t="shared" si="24"/>
        <v>0</v>
      </c>
      <c r="B119" s="29">
        <f t="shared" si="33"/>
        <v>0</v>
      </c>
      <c r="C119" s="29">
        <f t="shared" si="34"/>
        <v>0</v>
      </c>
      <c r="D119" s="29">
        <f t="shared" si="35"/>
        <v>0</v>
      </c>
      <c r="E119" s="29">
        <f t="shared" si="25"/>
        <v>0</v>
      </c>
      <c r="F119" s="29">
        <f t="shared" si="26"/>
        <v>0</v>
      </c>
      <c r="G119" s="29" t="str">
        <f t="shared" si="27"/>
        <v>offensive</v>
      </c>
      <c r="H119" s="16">
        <f t="shared" si="31"/>
        <v>0</v>
      </c>
      <c r="I119" s="16">
        <f t="shared" si="32"/>
        <v>0</v>
      </c>
      <c r="J119" s="16">
        <f t="shared" si="36"/>
        <v>0</v>
      </c>
      <c r="K119" s="16">
        <f t="shared" si="28"/>
        <v>0</v>
      </c>
      <c r="L119" s="67">
        <f t="shared" si="29"/>
        <v>0</v>
      </c>
      <c r="M119" s="4">
        <f t="shared" si="37"/>
        <v>0</v>
      </c>
      <c r="N119" s="4">
        <f t="shared" si="23"/>
        <v>0</v>
      </c>
      <c r="O119" s="4">
        <f t="shared" si="30"/>
        <v>0</v>
      </c>
      <c r="P119" s="4" t="e">
        <f>VLOOKUP(AJ111,'CIR Team Info'!$C$5:$E$44,2,FALSE)</f>
        <v>#N/A</v>
      </c>
      <c r="Q119" s="4" t="e">
        <f>VLOOKUP(AJ111,'CIR Team Info'!$C$5:$E$44,3,FALSE)</f>
        <v>#N/A</v>
      </c>
      <c r="R119" s="10" t="e">
        <f>VLOOKUP(AJ111,'FRC Site Data'!$B$3:$L$42,2,FALSE)</f>
        <v>#N/A</v>
      </c>
      <c r="S119" s="10" t="e">
        <f>VLOOKUP(AJ111,'FRC Site Data'!$B$3:$L$42,3,FALSE)</f>
        <v>#N/A</v>
      </c>
      <c r="T119" s="10" t="e">
        <f>VLOOKUP(AJ111,'FRC Site Data'!$B$3:$L$42,4,FALSE)</f>
        <v>#N/A</v>
      </c>
      <c r="U119" s="10" t="e">
        <f>VLOOKUP(AJ111,'FRC Site Data'!$B$3:$L$42,5,FALSE)</f>
        <v>#N/A</v>
      </c>
      <c r="V119" s="10" t="e">
        <f>VLOOKUP(AJ111,'FRC Site Data'!$B$3:$L$42,6,FALSE)</f>
        <v>#N/A</v>
      </c>
      <c r="W119" s="10" t="e">
        <f>VLOOKUP(AJ111,'FRC Site Data'!$B$3:$L$42,8,FALSE)</f>
        <v>#N/A</v>
      </c>
      <c r="X119" s="10" t="e">
        <f>VLOOKUP(AJ111,'FRC Site Data'!$B$3:$L$42,9,FALSE)</f>
        <v>#N/A</v>
      </c>
      <c r="Y119" s="10" t="e">
        <f>VLOOKUP(AJ111,'FRC Site Data'!$B$3:$L$42,10,FALSE)</f>
        <v>#N/A</v>
      </c>
      <c r="Z119" s="10" t="e">
        <f>VLOOKUP(AJ111,'FRC Site Data'!$B$3:$L$42,11,FALSE)</f>
        <v>#N/A</v>
      </c>
      <c r="AA119" s="10" t="e">
        <f>VLOOKUP(AJ111,'CIR Team Info'!$C$5:$E$44,4,FALSE)</f>
        <v>#N/A</v>
      </c>
      <c r="AB119" s="161" t="b">
        <f>ISNUMBER(VLOOKUP(AJ111,Match!$T$5:$T$10,1,FALSE))</f>
        <v>0</v>
      </c>
      <c r="AC119" s="161" t="b">
        <f>IF(AB119=TRUE,(VLOOKUP($AJ111,Match!$T$5:$U$10,2,FALSE)))</f>
        <v>0</v>
      </c>
      <c r="AD119" s="8">
        <v>3</v>
      </c>
      <c r="AE119" s="8">
        <v>2</v>
      </c>
      <c r="AF119" s="8">
        <v>2</v>
      </c>
      <c r="AG119" s="8">
        <v>1</v>
      </c>
      <c r="AH119" s="8" t="str">
        <f t="shared" si="39"/>
        <v/>
      </c>
      <c r="BA119" s="24"/>
      <c r="BC119" s="12"/>
      <c r="BS119" s="127"/>
    </row>
    <row r="120" spans="1:71" x14ac:dyDescent="0.25">
      <c r="A120" s="29">
        <f t="shared" si="24"/>
        <v>0</v>
      </c>
      <c r="B120" s="29">
        <f t="shared" si="33"/>
        <v>0</v>
      </c>
      <c r="C120" s="29">
        <f t="shared" si="34"/>
        <v>0</v>
      </c>
      <c r="D120" s="29">
        <f t="shared" si="35"/>
        <v>0</v>
      </c>
      <c r="E120" s="29">
        <f t="shared" si="25"/>
        <v>0</v>
      </c>
      <c r="F120" s="29">
        <f t="shared" si="26"/>
        <v>0</v>
      </c>
      <c r="G120" s="29" t="str">
        <f t="shared" si="27"/>
        <v>offensive</v>
      </c>
      <c r="H120" s="16">
        <f t="shared" si="31"/>
        <v>0</v>
      </c>
      <c r="I120" s="16">
        <f t="shared" si="32"/>
        <v>0</v>
      </c>
      <c r="J120" s="16">
        <f t="shared" si="36"/>
        <v>0</v>
      </c>
      <c r="K120" s="16">
        <f t="shared" si="28"/>
        <v>0</v>
      </c>
      <c r="L120" s="67">
        <f t="shared" si="29"/>
        <v>0</v>
      </c>
      <c r="M120" s="4">
        <f t="shared" si="37"/>
        <v>0</v>
      </c>
      <c r="N120" s="4">
        <f t="shared" si="23"/>
        <v>0</v>
      </c>
      <c r="O120" s="4">
        <f t="shared" si="30"/>
        <v>0</v>
      </c>
      <c r="P120" s="4" t="e">
        <f>VLOOKUP(AJ112,'CIR Team Info'!$C$5:$E$44,2,FALSE)</f>
        <v>#N/A</v>
      </c>
      <c r="Q120" s="4" t="e">
        <f>VLOOKUP(AJ112,'CIR Team Info'!$C$5:$E$44,3,FALSE)</f>
        <v>#N/A</v>
      </c>
      <c r="R120" s="10" t="e">
        <f>VLOOKUP(AJ112,'FRC Site Data'!$B$3:$L$42,2,FALSE)</f>
        <v>#N/A</v>
      </c>
      <c r="S120" s="10" t="e">
        <f>VLOOKUP(AJ112,'FRC Site Data'!$B$3:$L$42,3,FALSE)</f>
        <v>#N/A</v>
      </c>
      <c r="T120" s="10" t="e">
        <f>VLOOKUP(AJ112,'FRC Site Data'!$B$3:$L$42,4,FALSE)</f>
        <v>#N/A</v>
      </c>
      <c r="U120" s="10" t="e">
        <f>VLOOKUP(AJ112,'FRC Site Data'!$B$3:$L$42,5,FALSE)</f>
        <v>#N/A</v>
      </c>
      <c r="V120" s="10" t="e">
        <f>VLOOKUP(AJ112,'FRC Site Data'!$B$3:$L$42,6,FALSE)</f>
        <v>#N/A</v>
      </c>
      <c r="W120" s="10" t="e">
        <f>VLOOKUP(AJ112,'FRC Site Data'!$B$3:$L$42,8,FALSE)</f>
        <v>#N/A</v>
      </c>
      <c r="X120" s="10" t="e">
        <f>VLOOKUP(AJ112,'FRC Site Data'!$B$3:$L$42,9,FALSE)</f>
        <v>#N/A</v>
      </c>
      <c r="Y120" s="10" t="e">
        <f>VLOOKUP(AJ112,'FRC Site Data'!$B$3:$L$42,10,FALSE)</f>
        <v>#N/A</v>
      </c>
      <c r="Z120" s="10" t="e">
        <f>VLOOKUP(AJ112,'FRC Site Data'!$B$3:$L$42,11,FALSE)</f>
        <v>#N/A</v>
      </c>
      <c r="AA120" s="10" t="e">
        <f>VLOOKUP(AJ112,'CIR Team Info'!$C$5:$E$44,4,FALSE)</f>
        <v>#N/A</v>
      </c>
      <c r="AB120" s="161" t="b">
        <f>ISNUMBER(VLOOKUP(AJ112,Match!$T$5:$T$10,1,FALSE))</f>
        <v>0</v>
      </c>
      <c r="AC120" s="161" t="b">
        <f>IF(AB120=TRUE,(VLOOKUP($AJ112,Match!$T$5:$U$10,2,FALSE)))</f>
        <v>0</v>
      </c>
      <c r="AD120" s="8">
        <v>3</v>
      </c>
      <c r="AE120" s="8">
        <v>2</v>
      </c>
      <c r="AF120" s="8">
        <v>2</v>
      </c>
      <c r="AG120" s="8">
        <v>1</v>
      </c>
      <c r="AH120" s="8" t="str">
        <f t="shared" si="39"/>
        <v/>
      </c>
      <c r="BA120" s="24"/>
      <c r="BC120" s="12"/>
      <c r="BS120" s="127"/>
    </row>
    <row r="121" spans="1:71" x14ac:dyDescent="0.25">
      <c r="A121" s="29">
        <f t="shared" si="24"/>
        <v>0</v>
      </c>
      <c r="B121" s="29">
        <f t="shared" si="33"/>
        <v>0</v>
      </c>
      <c r="C121" s="29">
        <f t="shared" si="34"/>
        <v>0</v>
      </c>
      <c r="D121" s="29">
        <f t="shared" si="35"/>
        <v>0</v>
      </c>
      <c r="E121" s="29">
        <f t="shared" si="25"/>
        <v>0</v>
      </c>
      <c r="F121" s="29">
        <f t="shared" si="26"/>
        <v>0</v>
      </c>
      <c r="G121" s="29" t="str">
        <f t="shared" si="27"/>
        <v>offensive</v>
      </c>
      <c r="H121" s="16">
        <f t="shared" si="31"/>
        <v>0</v>
      </c>
      <c r="I121" s="16">
        <f t="shared" si="32"/>
        <v>0</v>
      </c>
      <c r="J121" s="16">
        <f t="shared" si="36"/>
        <v>0</v>
      </c>
      <c r="K121" s="16">
        <f t="shared" si="28"/>
        <v>0</v>
      </c>
      <c r="L121" s="67">
        <f t="shared" si="29"/>
        <v>0</v>
      </c>
      <c r="M121" s="4">
        <f t="shared" si="37"/>
        <v>0</v>
      </c>
      <c r="N121" s="4">
        <f t="shared" si="23"/>
        <v>0</v>
      </c>
      <c r="O121" s="4">
        <f t="shared" si="30"/>
        <v>0</v>
      </c>
      <c r="P121" s="4" t="e">
        <f>VLOOKUP(AJ113,'CIR Team Info'!$C$5:$E$44,2,FALSE)</f>
        <v>#N/A</v>
      </c>
      <c r="Q121" s="4" t="e">
        <f>VLOOKUP(AJ113,'CIR Team Info'!$C$5:$E$44,3,FALSE)</f>
        <v>#N/A</v>
      </c>
      <c r="R121" s="10" t="e">
        <f>VLOOKUP(AJ113,'FRC Site Data'!$B$3:$L$42,2,FALSE)</f>
        <v>#N/A</v>
      </c>
      <c r="S121" s="10" t="e">
        <f>VLOOKUP(AJ113,'FRC Site Data'!$B$3:$L$42,3,FALSE)</f>
        <v>#N/A</v>
      </c>
      <c r="T121" s="10" t="e">
        <f>VLOOKUP(AJ113,'FRC Site Data'!$B$3:$L$42,4,FALSE)</f>
        <v>#N/A</v>
      </c>
      <c r="U121" s="10" t="e">
        <f>VLOOKUP(AJ113,'FRC Site Data'!$B$3:$L$42,5,FALSE)</f>
        <v>#N/A</v>
      </c>
      <c r="V121" s="10" t="e">
        <f>VLOOKUP(AJ113,'FRC Site Data'!$B$3:$L$42,6,FALSE)</f>
        <v>#N/A</v>
      </c>
      <c r="W121" s="10" t="e">
        <f>VLOOKUP(AJ113,'FRC Site Data'!$B$3:$L$42,8,FALSE)</f>
        <v>#N/A</v>
      </c>
      <c r="X121" s="10" t="e">
        <f>VLOOKUP(AJ113,'FRC Site Data'!$B$3:$L$42,9,FALSE)</f>
        <v>#N/A</v>
      </c>
      <c r="Y121" s="10" t="e">
        <f>VLOOKUP(AJ113,'FRC Site Data'!$B$3:$L$42,10,FALSE)</f>
        <v>#N/A</v>
      </c>
      <c r="Z121" s="10" t="e">
        <f>VLOOKUP(AJ113,'FRC Site Data'!$B$3:$L$42,11,FALSE)</f>
        <v>#N/A</v>
      </c>
      <c r="AA121" s="10" t="e">
        <f>VLOOKUP(AJ113,'CIR Team Info'!$C$5:$E$44,4,FALSE)</f>
        <v>#N/A</v>
      </c>
      <c r="AB121" s="161" t="b">
        <f>ISNUMBER(VLOOKUP(AJ113,Match!$T$5:$T$10,1,FALSE))</f>
        <v>0</v>
      </c>
      <c r="AC121" s="161" t="b">
        <f>IF(AB121=TRUE,(VLOOKUP($AJ113,Match!$T$5:$U$10,2,FALSE)))</f>
        <v>0</v>
      </c>
      <c r="AD121" s="8">
        <v>3</v>
      </c>
      <c r="AE121" s="8">
        <v>2</v>
      </c>
      <c r="AF121" s="8">
        <v>2</v>
      </c>
      <c r="AG121" s="8">
        <v>1</v>
      </c>
      <c r="AH121" s="8" t="str">
        <f t="shared" si="39"/>
        <v/>
      </c>
      <c r="BA121" s="24"/>
      <c r="BC121" s="12"/>
      <c r="BS121" s="127"/>
    </row>
    <row r="122" spans="1:71" x14ac:dyDescent="0.25">
      <c r="A122" s="29">
        <f t="shared" si="24"/>
        <v>0</v>
      </c>
      <c r="B122" s="29">
        <f t="shared" si="33"/>
        <v>0</v>
      </c>
      <c r="C122" s="29">
        <f t="shared" si="34"/>
        <v>0</v>
      </c>
      <c r="D122" s="29">
        <f t="shared" si="35"/>
        <v>0</v>
      </c>
      <c r="E122" s="29">
        <f t="shared" si="25"/>
        <v>0</v>
      </c>
      <c r="F122" s="29">
        <f t="shared" si="26"/>
        <v>0</v>
      </c>
      <c r="G122" s="29" t="str">
        <f t="shared" si="27"/>
        <v>offensive</v>
      </c>
      <c r="H122" s="16">
        <f t="shared" si="31"/>
        <v>0</v>
      </c>
      <c r="I122" s="16">
        <f t="shared" si="32"/>
        <v>0</v>
      </c>
      <c r="J122" s="16">
        <f t="shared" si="36"/>
        <v>0</v>
      </c>
      <c r="K122" s="16">
        <f t="shared" si="28"/>
        <v>0</v>
      </c>
      <c r="L122" s="67">
        <f t="shared" si="29"/>
        <v>0</v>
      </c>
      <c r="M122" s="4">
        <f t="shared" si="37"/>
        <v>0</v>
      </c>
      <c r="N122" s="4">
        <f t="shared" si="23"/>
        <v>0</v>
      </c>
      <c r="O122" s="4">
        <f t="shared" si="30"/>
        <v>0</v>
      </c>
      <c r="P122" s="4" t="e">
        <f>VLOOKUP(AJ114,'CIR Team Info'!$C$5:$E$44,2,FALSE)</f>
        <v>#N/A</v>
      </c>
      <c r="Q122" s="4" t="e">
        <f>VLOOKUP(AJ114,'CIR Team Info'!$C$5:$E$44,3,FALSE)</f>
        <v>#N/A</v>
      </c>
      <c r="R122" s="10" t="e">
        <f>VLOOKUP(AJ114,'FRC Site Data'!$B$3:$L$42,2,FALSE)</f>
        <v>#N/A</v>
      </c>
      <c r="S122" s="10" t="e">
        <f>VLOOKUP(AJ114,'FRC Site Data'!$B$3:$L$42,3,FALSE)</f>
        <v>#N/A</v>
      </c>
      <c r="T122" s="10" t="e">
        <f>VLOOKUP(AJ114,'FRC Site Data'!$B$3:$L$42,4,FALSE)</f>
        <v>#N/A</v>
      </c>
      <c r="U122" s="10" t="e">
        <f>VLOOKUP(AJ114,'FRC Site Data'!$B$3:$L$42,5,FALSE)</f>
        <v>#N/A</v>
      </c>
      <c r="V122" s="10" t="e">
        <f>VLOOKUP(AJ114,'FRC Site Data'!$B$3:$L$42,6,FALSE)</f>
        <v>#N/A</v>
      </c>
      <c r="W122" s="10" t="e">
        <f>VLOOKUP(AJ114,'FRC Site Data'!$B$3:$L$42,8,FALSE)</f>
        <v>#N/A</v>
      </c>
      <c r="X122" s="10" t="e">
        <f>VLOOKUP(AJ114,'FRC Site Data'!$B$3:$L$42,9,FALSE)</f>
        <v>#N/A</v>
      </c>
      <c r="Y122" s="10" t="e">
        <f>VLOOKUP(AJ114,'FRC Site Data'!$B$3:$L$42,10,FALSE)</f>
        <v>#N/A</v>
      </c>
      <c r="Z122" s="10" t="e">
        <f>VLOOKUP(AJ114,'FRC Site Data'!$B$3:$L$42,11,FALSE)</f>
        <v>#N/A</v>
      </c>
      <c r="AA122" s="10" t="e">
        <f>VLOOKUP(AJ114,'CIR Team Info'!$C$5:$E$44,4,FALSE)</f>
        <v>#N/A</v>
      </c>
      <c r="AB122" s="161" t="b">
        <f>ISNUMBER(VLOOKUP(AJ114,Match!$T$5:$T$10,1,FALSE))</f>
        <v>0</v>
      </c>
      <c r="AC122" s="161" t="b">
        <f>IF(AB122=TRUE,(VLOOKUP($AJ114,Match!$T$5:$U$10,2,FALSE)))</f>
        <v>0</v>
      </c>
      <c r="AD122" s="8">
        <v>3</v>
      </c>
      <c r="AE122" s="8">
        <v>2</v>
      </c>
      <c r="AF122" s="8">
        <v>2</v>
      </c>
      <c r="AG122" s="8">
        <v>1</v>
      </c>
      <c r="AH122" s="8" t="str">
        <f t="shared" si="39"/>
        <v/>
      </c>
      <c r="BA122" s="24"/>
      <c r="BC122" s="12"/>
      <c r="BS122" s="127"/>
    </row>
    <row r="123" spans="1:71" x14ac:dyDescent="0.25">
      <c r="A123" s="29">
        <f t="shared" si="24"/>
        <v>0</v>
      </c>
      <c r="B123" s="29">
        <f t="shared" si="33"/>
        <v>0</v>
      </c>
      <c r="C123" s="29">
        <f t="shared" si="34"/>
        <v>0</v>
      </c>
      <c r="D123" s="29">
        <f t="shared" si="35"/>
        <v>0</v>
      </c>
      <c r="E123" s="29">
        <f t="shared" si="25"/>
        <v>0</v>
      </c>
      <c r="F123" s="29">
        <f t="shared" si="26"/>
        <v>0</v>
      </c>
      <c r="G123" s="29" t="str">
        <f t="shared" si="27"/>
        <v>offensive</v>
      </c>
      <c r="H123" s="16">
        <f t="shared" si="31"/>
        <v>0</v>
      </c>
      <c r="I123" s="16">
        <f t="shared" si="32"/>
        <v>0</v>
      </c>
      <c r="J123" s="16">
        <f t="shared" si="36"/>
        <v>0</v>
      </c>
      <c r="K123" s="16">
        <f t="shared" si="28"/>
        <v>0</v>
      </c>
      <c r="L123" s="67">
        <f t="shared" si="29"/>
        <v>0</v>
      </c>
      <c r="M123" s="4">
        <f t="shared" si="37"/>
        <v>0</v>
      </c>
      <c r="N123" s="4">
        <f t="shared" si="23"/>
        <v>0</v>
      </c>
      <c r="O123" s="4">
        <f t="shared" si="30"/>
        <v>0</v>
      </c>
      <c r="P123" s="4" t="e">
        <f>VLOOKUP(AJ115,'CIR Team Info'!$C$5:$E$44,2,FALSE)</f>
        <v>#N/A</v>
      </c>
      <c r="Q123" s="4" t="e">
        <f>VLOOKUP(AJ115,'CIR Team Info'!$C$5:$E$44,3,FALSE)</f>
        <v>#N/A</v>
      </c>
      <c r="R123" s="10" t="e">
        <f>VLOOKUP(AJ115,'FRC Site Data'!$B$3:$L$42,2,FALSE)</f>
        <v>#N/A</v>
      </c>
      <c r="S123" s="10" t="e">
        <f>VLOOKUP(AJ115,'FRC Site Data'!$B$3:$L$42,3,FALSE)</f>
        <v>#N/A</v>
      </c>
      <c r="T123" s="10" t="e">
        <f>VLOOKUP(AJ115,'FRC Site Data'!$B$3:$L$42,4,FALSE)</f>
        <v>#N/A</v>
      </c>
      <c r="U123" s="10" t="e">
        <f>VLOOKUP(AJ115,'FRC Site Data'!$B$3:$L$42,5,FALSE)</f>
        <v>#N/A</v>
      </c>
      <c r="V123" s="10" t="e">
        <f>VLOOKUP(AJ115,'FRC Site Data'!$B$3:$L$42,6,FALSE)</f>
        <v>#N/A</v>
      </c>
      <c r="W123" s="10" t="e">
        <f>VLOOKUP(AJ115,'FRC Site Data'!$B$3:$L$42,8,FALSE)</f>
        <v>#N/A</v>
      </c>
      <c r="X123" s="10" t="e">
        <f>VLOOKUP(AJ115,'FRC Site Data'!$B$3:$L$42,9,FALSE)</f>
        <v>#N/A</v>
      </c>
      <c r="Y123" s="10" t="e">
        <f>VLOOKUP(AJ115,'FRC Site Data'!$B$3:$L$42,10,FALSE)</f>
        <v>#N/A</v>
      </c>
      <c r="Z123" s="10" t="e">
        <f>VLOOKUP(AJ115,'FRC Site Data'!$B$3:$L$42,11,FALSE)</f>
        <v>#N/A</v>
      </c>
      <c r="AA123" s="10" t="e">
        <f>VLOOKUP(AJ115,'CIR Team Info'!$C$5:$E$44,4,FALSE)</f>
        <v>#N/A</v>
      </c>
      <c r="AB123" s="161" t="b">
        <f>ISNUMBER(VLOOKUP(AJ115,Match!$T$5:$T$10,1,FALSE))</f>
        <v>0</v>
      </c>
      <c r="AC123" s="161" t="b">
        <f>IF(AB123=TRUE,(VLOOKUP($AJ115,Match!$T$5:$U$10,2,FALSE)))</f>
        <v>0</v>
      </c>
      <c r="AD123" s="8">
        <v>3</v>
      </c>
      <c r="AE123" s="8">
        <v>2</v>
      </c>
      <c r="AF123" s="8">
        <v>2</v>
      </c>
      <c r="AG123" s="8">
        <v>1</v>
      </c>
      <c r="AH123" s="8" t="str">
        <f t="shared" si="39"/>
        <v/>
      </c>
      <c r="BA123" s="24"/>
      <c r="BC123" s="12"/>
      <c r="BS123" s="127"/>
    </row>
    <row r="124" spans="1:71" x14ac:dyDescent="0.25">
      <c r="A124" s="29">
        <f t="shared" si="24"/>
        <v>0</v>
      </c>
      <c r="B124" s="29">
        <f t="shared" si="33"/>
        <v>0</v>
      </c>
      <c r="C124" s="29">
        <f t="shared" si="34"/>
        <v>0</v>
      </c>
      <c r="D124" s="29">
        <f t="shared" si="35"/>
        <v>0</v>
      </c>
      <c r="E124" s="29">
        <f t="shared" si="25"/>
        <v>0</v>
      </c>
      <c r="F124" s="29">
        <f t="shared" si="26"/>
        <v>0</v>
      </c>
      <c r="G124" s="29" t="str">
        <f t="shared" si="27"/>
        <v>offensive</v>
      </c>
      <c r="H124" s="16">
        <f t="shared" si="31"/>
        <v>0</v>
      </c>
      <c r="I124" s="16">
        <f t="shared" si="32"/>
        <v>0</v>
      </c>
      <c r="J124" s="16">
        <f t="shared" si="36"/>
        <v>0</v>
      </c>
      <c r="K124" s="16">
        <f t="shared" si="28"/>
        <v>0</v>
      </c>
      <c r="L124" s="67">
        <f t="shared" si="29"/>
        <v>0</v>
      </c>
      <c r="M124" s="4">
        <f t="shared" si="37"/>
        <v>0</v>
      </c>
      <c r="N124" s="4">
        <f t="shared" si="23"/>
        <v>0</v>
      </c>
      <c r="O124" s="4">
        <f t="shared" si="30"/>
        <v>0</v>
      </c>
      <c r="P124" s="4" t="e">
        <f>VLOOKUP(AJ116,'CIR Team Info'!$C$5:$E$44,2,FALSE)</f>
        <v>#N/A</v>
      </c>
      <c r="Q124" s="4" t="e">
        <f>VLOOKUP(AJ116,'CIR Team Info'!$C$5:$E$44,3,FALSE)</f>
        <v>#N/A</v>
      </c>
      <c r="R124" s="10" t="e">
        <f>VLOOKUP(AJ116,'FRC Site Data'!$B$3:$L$42,2,FALSE)</f>
        <v>#N/A</v>
      </c>
      <c r="S124" s="10" t="e">
        <f>VLOOKUP(AJ116,'FRC Site Data'!$B$3:$L$42,3,FALSE)</f>
        <v>#N/A</v>
      </c>
      <c r="T124" s="10" t="e">
        <f>VLOOKUP(AJ116,'FRC Site Data'!$B$3:$L$42,4,FALSE)</f>
        <v>#N/A</v>
      </c>
      <c r="U124" s="10" t="e">
        <f>VLOOKUP(AJ116,'FRC Site Data'!$B$3:$L$42,5,FALSE)</f>
        <v>#N/A</v>
      </c>
      <c r="V124" s="10" t="e">
        <f>VLOOKUP(AJ116,'FRC Site Data'!$B$3:$L$42,6,FALSE)</f>
        <v>#N/A</v>
      </c>
      <c r="W124" s="10" t="e">
        <f>VLOOKUP(AJ116,'FRC Site Data'!$B$3:$L$42,8,FALSE)</f>
        <v>#N/A</v>
      </c>
      <c r="X124" s="10" t="e">
        <f>VLOOKUP(AJ116,'FRC Site Data'!$B$3:$L$42,9,FALSE)</f>
        <v>#N/A</v>
      </c>
      <c r="Y124" s="10" t="e">
        <f>VLOOKUP(AJ116,'FRC Site Data'!$B$3:$L$42,10,FALSE)</f>
        <v>#N/A</v>
      </c>
      <c r="Z124" s="10" t="e">
        <f>VLOOKUP(AJ116,'FRC Site Data'!$B$3:$L$42,11,FALSE)</f>
        <v>#N/A</v>
      </c>
      <c r="AA124" s="10" t="e">
        <f>VLOOKUP(AJ116,'CIR Team Info'!$C$5:$E$44,4,FALSE)</f>
        <v>#N/A</v>
      </c>
      <c r="AB124" s="161" t="b">
        <f>ISNUMBER(VLOOKUP(AJ116,Match!$T$5:$T$10,1,FALSE))</f>
        <v>0</v>
      </c>
      <c r="AC124" s="161" t="b">
        <f>IF(AB124=TRUE,(VLOOKUP($AJ116,Match!$T$5:$U$10,2,FALSE)))</f>
        <v>0</v>
      </c>
      <c r="AD124" s="8">
        <v>3</v>
      </c>
      <c r="AE124" s="8">
        <v>2</v>
      </c>
      <c r="AF124" s="8">
        <v>2</v>
      </c>
      <c r="AG124" s="8">
        <v>1</v>
      </c>
      <c r="AH124" s="8" t="str">
        <f t="shared" si="39"/>
        <v/>
      </c>
      <c r="BA124" s="24"/>
      <c r="BC124" s="12"/>
      <c r="BS124" s="127"/>
    </row>
    <row r="125" spans="1:71" x14ac:dyDescent="0.25">
      <c r="A125" s="29">
        <f t="shared" si="24"/>
        <v>0</v>
      </c>
      <c r="B125" s="29">
        <f t="shared" si="33"/>
        <v>0</v>
      </c>
      <c r="C125" s="29">
        <f t="shared" si="34"/>
        <v>0</v>
      </c>
      <c r="D125" s="29">
        <f t="shared" si="35"/>
        <v>0</v>
      </c>
      <c r="E125" s="29">
        <f t="shared" si="25"/>
        <v>0</v>
      </c>
      <c r="F125" s="29">
        <f t="shared" si="26"/>
        <v>0</v>
      </c>
      <c r="G125" s="29" t="str">
        <f t="shared" si="27"/>
        <v>offensive</v>
      </c>
      <c r="H125" s="16">
        <f t="shared" si="31"/>
        <v>0</v>
      </c>
      <c r="I125" s="16">
        <f t="shared" si="32"/>
        <v>0</v>
      </c>
      <c r="J125" s="16">
        <f t="shared" si="36"/>
        <v>0</v>
      </c>
      <c r="K125" s="16">
        <f t="shared" si="28"/>
        <v>0</v>
      </c>
      <c r="L125" s="67">
        <f t="shared" si="29"/>
        <v>0</v>
      </c>
      <c r="M125" s="4">
        <f t="shared" si="37"/>
        <v>0</v>
      </c>
      <c r="N125" s="4">
        <f t="shared" ref="N125:N188" si="40">AO117+AV117+BD117</f>
        <v>0</v>
      </c>
      <c r="O125" s="4">
        <f t="shared" si="30"/>
        <v>0</v>
      </c>
      <c r="P125" s="4" t="e">
        <f>VLOOKUP(AJ117,'CIR Team Info'!$C$5:$E$44,2,FALSE)</f>
        <v>#N/A</v>
      </c>
      <c r="Q125" s="4" t="e">
        <f>VLOOKUP(AJ117,'CIR Team Info'!$C$5:$E$44,3,FALSE)</f>
        <v>#N/A</v>
      </c>
      <c r="R125" s="10" t="e">
        <f>VLOOKUP(AJ117,'FRC Site Data'!$B$3:$L$42,2,FALSE)</f>
        <v>#N/A</v>
      </c>
      <c r="S125" s="10" t="e">
        <f>VLOOKUP(AJ117,'FRC Site Data'!$B$3:$L$42,3,FALSE)</f>
        <v>#N/A</v>
      </c>
      <c r="T125" s="10" t="e">
        <f>VLOOKUP(AJ117,'FRC Site Data'!$B$3:$L$42,4,FALSE)</f>
        <v>#N/A</v>
      </c>
      <c r="U125" s="10" t="e">
        <f>VLOOKUP(AJ117,'FRC Site Data'!$B$3:$L$42,5,FALSE)</f>
        <v>#N/A</v>
      </c>
      <c r="V125" s="10" t="e">
        <f>VLOOKUP(AJ117,'FRC Site Data'!$B$3:$L$42,6,FALSE)</f>
        <v>#N/A</v>
      </c>
      <c r="W125" s="10" t="e">
        <f>VLOOKUP(AJ117,'FRC Site Data'!$B$3:$L$42,8,FALSE)</f>
        <v>#N/A</v>
      </c>
      <c r="X125" s="10" t="e">
        <f>VLOOKUP(AJ117,'FRC Site Data'!$B$3:$L$42,9,FALSE)</f>
        <v>#N/A</v>
      </c>
      <c r="Y125" s="10" t="e">
        <f>VLOOKUP(AJ117,'FRC Site Data'!$B$3:$L$42,10,FALSE)</f>
        <v>#N/A</v>
      </c>
      <c r="Z125" s="10" t="e">
        <f>VLOOKUP(AJ117,'FRC Site Data'!$B$3:$L$42,11,FALSE)</f>
        <v>#N/A</v>
      </c>
      <c r="AA125" s="10" t="e">
        <f>VLOOKUP(AJ117,'CIR Team Info'!$C$5:$E$44,4,FALSE)</f>
        <v>#N/A</v>
      </c>
      <c r="AB125" s="161" t="b">
        <f>ISNUMBER(VLOOKUP(AJ117,Match!$T$5:$T$10,1,FALSE))</f>
        <v>0</v>
      </c>
      <c r="AC125" s="161" t="b">
        <f>IF(AB125=TRUE,(VLOOKUP($AJ117,Match!$T$5:$U$10,2,FALSE)))</f>
        <v>0</v>
      </c>
      <c r="AD125" s="8">
        <v>3</v>
      </c>
      <c r="AE125" s="8">
        <v>2</v>
      </c>
      <c r="AF125" s="8">
        <v>2</v>
      </c>
      <c r="AG125" s="8">
        <v>1</v>
      </c>
      <c r="AH125" s="8" t="str">
        <f t="shared" si="39"/>
        <v/>
      </c>
      <c r="BA125" s="24"/>
      <c r="BC125" s="12"/>
      <c r="BS125" s="127"/>
    </row>
    <row r="126" spans="1:71" x14ac:dyDescent="0.25">
      <c r="A126" s="29">
        <f t="shared" ref="A126:A189" si="41">SUM(B126:F126)</f>
        <v>0</v>
      </c>
      <c r="B126" s="29">
        <f t="shared" si="33"/>
        <v>0</v>
      </c>
      <c r="C126" s="29">
        <f t="shared" si="34"/>
        <v>0</v>
      </c>
      <c r="D126" s="29">
        <f t="shared" si="35"/>
        <v>0</v>
      </c>
      <c r="E126" s="29">
        <f t="shared" ref="E126:E189" si="42">K126*O126</f>
        <v>0</v>
      </c>
      <c r="F126" s="29">
        <f t="shared" ref="F126:F189" si="43">IF(AN118&gt;0,5)-2*COUNTIF(AQ118,"K")+5*COUNTIF(AS118,"T")+IF(AX118=3,2)+IF(AY118="T",2)</f>
        <v>0</v>
      </c>
      <c r="G126" s="29" t="str">
        <f t="shared" ref="G126:G189" si="44">IF((BB118+BC118)&gt;45,"defensive",IF((BB118+BC118)&gt;15,"both","offensive"))</f>
        <v>offensive</v>
      </c>
      <c r="H126" s="16">
        <f t="shared" si="31"/>
        <v>0</v>
      </c>
      <c r="I126" s="16">
        <f t="shared" si="32"/>
        <v>0</v>
      </c>
      <c r="J126" s="16">
        <f t="shared" si="36"/>
        <v>0</v>
      </c>
      <c r="K126" s="16">
        <f t="shared" ref="K126:K189" si="45">IF((BB118+BC118)=0,0,((AZ118*BB118*0.2)+(BA118*BC118*0.3))/(BB118+BC118))</f>
        <v>0</v>
      </c>
      <c r="L126" s="67">
        <f t="shared" ref="L126:L189" si="46">IF(BF118&gt;BG118,BF118,BG118)</f>
        <v>0</v>
      </c>
      <c r="M126" s="4">
        <f t="shared" si="37"/>
        <v>0</v>
      </c>
      <c r="N126" s="4">
        <f t="shared" si="40"/>
        <v>0</v>
      </c>
      <c r="O126" s="4">
        <f t="shared" ref="O126:O189" si="47">(AZ118*0.2*BB118*30/30)+(BA118*0.3*BC118*12/30)-BI118-BJ118</f>
        <v>0</v>
      </c>
      <c r="P126" s="4" t="e">
        <f>VLOOKUP(AJ118,'CIR Team Info'!$C$5:$E$44,2,FALSE)</f>
        <v>#N/A</v>
      </c>
      <c r="Q126" s="4" t="e">
        <f>VLOOKUP(AJ118,'CIR Team Info'!$C$5:$E$44,3,FALSE)</f>
        <v>#N/A</v>
      </c>
      <c r="R126" s="10" t="e">
        <f>VLOOKUP(AJ118,'FRC Site Data'!$B$3:$L$42,2,FALSE)</f>
        <v>#N/A</v>
      </c>
      <c r="S126" s="10" t="e">
        <f>VLOOKUP(AJ118,'FRC Site Data'!$B$3:$L$42,3,FALSE)</f>
        <v>#N/A</v>
      </c>
      <c r="T126" s="10" t="e">
        <f>VLOOKUP(AJ118,'FRC Site Data'!$B$3:$L$42,4,FALSE)</f>
        <v>#N/A</v>
      </c>
      <c r="U126" s="10" t="e">
        <f>VLOOKUP(AJ118,'FRC Site Data'!$B$3:$L$42,5,FALSE)</f>
        <v>#N/A</v>
      </c>
      <c r="V126" s="10" t="e">
        <f>VLOOKUP(AJ118,'FRC Site Data'!$B$3:$L$42,6,FALSE)</f>
        <v>#N/A</v>
      </c>
      <c r="W126" s="10" t="e">
        <f>VLOOKUP(AJ118,'FRC Site Data'!$B$3:$L$42,8,FALSE)</f>
        <v>#N/A</v>
      </c>
      <c r="X126" s="10" t="e">
        <f>VLOOKUP(AJ118,'FRC Site Data'!$B$3:$L$42,9,FALSE)</f>
        <v>#N/A</v>
      </c>
      <c r="Y126" s="10" t="e">
        <f>VLOOKUP(AJ118,'FRC Site Data'!$B$3:$L$42,10,FALSE)</f>
        <v>#N/A</v>
      </c>
      <c r="Z126" s="10" t="e">
        <f>VLOOKUP(AJ118,'FRC Site Data'!$B$3:$L$42,11,FALSE)</f>
        <v>#N/A</v>
      </c>
      <c r="AA126" s="10" t="e">
        <f>VLOOKUP(AJ118,'CIR Team Info'!$C$5:$E$44,4,FALSE)</f>
        <v>#N/A</v>
      </c>
      <c r="AB126" s="161" t="b">
        <f>ISNUMBER(VLOOKUP(AJ118,Match!$T$5:$T$10,1,FALSE))</f>
        <v>0</v>
      </c>
      <c r="AC126" s="161" t="b">
        <f>IF(AB126=TRUE,(VLOOKUP($AJ118,Match!$T$5:$U$10,2,FALSE)))</f>
        <v>0</v>
      </c>
      <c r="AD126" s="8">
        <v>3</v>
      </c>
      <c r="AE126" s="8">
        <v>2</v>
      </c>
      <c r="AF126" s="8">
        <v>2</v>
      </c>
      <c r="AG126" s="8">
        <v>1</v>
      </c>
      <c r="AH126" s="8" t="str">
        <f t="shared" si="39"/>
        <v/>
      </c>
      <c r="BA126" s="24"/>
      <c r="BC126" s="12"/>
      <c r="BS126" s="127"/>
    </row>
    <row r="127" spans="1:71" x14ac:dyDescent="0.25">
      <c r="A127" s="29">
        <f t="shared" si="41"/>
        <v>0</v>
      </c>
      <c r="B127" s="29">
        <f t="shared" si="33"/>
        <v>0</v>
      </c>
      <c r="C127" s="29">
        <f t="shared" si="34"/>
        <v>0</v>
      </c>
      <c r="D127" s="29">
        <f t="shared" si="35"/>
        <v>0</v>
      </c>
      <c r="E127" s="29">
        <f t="shared" si="42"/>
        <v>0</v>
      </c>
      <c r="F127" s="29">
        <f t="shared" si="43"/>
        <v>0</v>
      </c>
      <c r="G127" s="29" t="str">
        <f t="shared" si="44"/>
        <v>offensive</v>
      </c>
      <c r="H127" s="16">
        <f t="shared" si="31"/>
        <v>0</v>
      </c>
      <c r="I127" s="16">
        <f t="shared" si="32"/>
        <v>0</v>
      </c>
      <c r="J127" s="16">
        <f t="shared" si="36"/>
        <v>0</v>
      </c>
      <c r="K127" s="16">
        <f t="shared" si="45"/>
        <v>0</v>
      </c>
      <c r="L127" s="67">
        <f t="shared" si="46"/>
        <v>0</v>
      </c>
      <c r="M127" s="4">
        <f t="shared" si="37"/>
        <v>0</v>
      </c>
      <c r="N127" s="4">
        <f t="shared" si="40"/>
        <v>0</v>
      </c>
      <c r="O127" s="4">
        <f t="shared" si="47"/>
        <v>0</v>
      </c>
      <c r="P127" s="4" t="e">
        <f>VLOOKUP(AJ119,'CIR Team Info'!$C$5:$E$44,2,FALSE)</f>
        <v>#N/A</v>
      </c>
      <c r="Q127" s="4" t="e">
        <f>VLOOKUP(AJ119,'CIR Team Info'!$C$5:$E$44,3,FALSE)</f>
        <v>#N/A</v>
      </c>
      <c r="R127" s="10" t="e">
        <f>VLOOKUP(AJ119,'FRC Site Data'!$B$3:$L$42,2,FALSE)</f>
        <v>#N/A</v>
      </c>
      <c r="S127" s="10" t="e">
        <f>VLOOKUP(AJ119,'FRC Site Data'!$B$3:$L$42,3,FALSE)</f>
        <v>#N/A</v>
      </c>
      <c r="T127" s="10" t="e">
        <f>VLOOKUP(AJ119,'FRC Site Data'!$B$3:$L$42,4,FALSE)</f>
        <v>#N/A</v>
      </c>
      <c r="U127" s="10" t="e">
        <f>VLOOKUP(AJ119,'FRC Site Data'!$B$3:$L$42,5,FALSE)</f>
        <v>#N/A</v>
      </c>
      <c r="V127" s="10" t="e">
        <f>VLOOKUP(AJ119,'FRC Site Data'!$B$3:$L$42,6,FALSE)</f>
        <v>#N/A</v>
      </c>
      <c r="W127" s="10" t="e">
        <f>VLOOKUP(AJ119,'FRC Site Data'!$B$3:$L$42,8,FALSE)</f>
        <v>#N/A</v>
      </c>
      <c r="X127" s="10" t="e">
        <f>VLOOKUP(AJ119,'FRC Site Data'!$B$3:$L$42,9,FALSE)</f>
        <v>#N/A</v>
      </c>
      <c r="Y127" s="10" t="e">
        <f>VLOOKUP(AJ119,'FRC Site Data'!$B$3:$L$42,10,FALSE)</f>
        <v>#N/A</v>
      </c>
      <c r="Z127" s="10" t="e">
        <f>VLOOKUP(AJ119,'FRC Site Data'!$B$3:$L$42,11,FALSE)</f>
        <v>#N/A</v>
      </c>
      <c r="AA127" s="10" t="e">
        <f>VLOOKUP(AJ119,'CIR Team Info'!$C$5:$E$44,4,FALSE)</f>
        <v>#N/A</v>
      </c>
      <c r="AB127" s="161" t="b">
        <f>ISNUMBER(VLOOKUP(AJ119,Match!$T$5:$T$10,1,FALSE))</f>
        <v>0</v>
      </c>
      <c r="AC127" s="161" t="b">
        <f>IF(AB127=TRUE,(VLOOKUP($AJ119,Match!$T$5:$U$10,2,FALSE)))</f>
        <v>0</v>
      </c>
      <c r="AD127" s="8">
        <v>3</v>
      </c>
      <c r="AE127" s="8">
        <v>2</v>
      </c>
      <c r="AF127" s="8">
        <v>2</v>
      </c>
      <c r="AG127" s="8">
        <v>1</v>
      </c>
      <c r="AH127" s="8" t="str">
        <f t="shared" si="39"/>
        <v/>
      </c>
      <c r="BA127" s="24"/>
      <c r="BC127" s="12"/>
      <c r="BS127" s="127"/>
    </row>
    <row r="128" spans="1:71" x14ac:dyDescent="0.25">
      <c r="A128" s="29">
        <f t="shared" si="41"/>
        <v>0</v>
      </c>
      <c r="B128" s="29">
        <f t="shared" si="33"/>
        <v>0</v>
      </c>
      <c r="C128" s="29">
        <f t="shared" si="34"/>
        <v>0</v>
      </c>
      <c r="D128" s="29">
        <f t="shared" si="35"/>
        <v>0</v>
      </c>
      <c r="E128" s="29">
        <f t="shared" si="42"/>
        <v>0</v>
      </c>
      <c r="F128" s="29">
        <f t="shared" si="43"/>
        <v>0</v>
      </c>
      <c r="G128" s="29" t="str">
        <f t="shared" si="44"/>
        <v>offensive</v>
      </c>
      <c r="H128" s="16">
        <f t="shared" si="31"/>
        <v>0</v>
      </c>
      <c r="I128" s="16">
        <f t="shared" si="32"/>
        <v>0</v>
      </c>
      <c r="J128" s="16">
        <f t="shared" si="36"/>
        <v>0</v>
      </c>
      <c r="K128" s="16">
        <f t="shared" si="45"/>
        <v>0</v>
      </c>
      <c r="L128" s="67">
        <f t="shared" si="46"/>
        <v>0</v>
      </c>
      <c r="M128" s="4">
        <f t="shared" si="37"/>
        <v>0</v>
      </c>
      <c r="N128" s="4">
        <f t="shared" si="40"/>
        <v>0</v>
      </c>
      <c r="O128" s="4">
        <f t="shared" si="47"/>
        <v>0</v>
      </c>
      <c r="P128" s="4" t="e">
        <f>VLOOKUP(AJ120,'CIR Team Info'!$C$5:$E$44,2,FALSE)</f>
        <v>#N/A</v>
      </c>
      <c r="Q128" s="4" t="e">
        <f>VLOOKUP(AJ120,'CIR Team Info'!$C$5:$E$44,3,FALSE)</f>
        <v>#N/A</v>
      </c>
      <c r="R128" s="10" t="e">
        <f>VLOOKUP(AJ120,'FRC Site Data'!$B$3:$L$42,2,FALSE)</f>
        <v>#N/A</v>
      </c>
      <c r="S128" s="10" t="e">
        <f>VLOOKUP(AJ120,'FRC Site Data'!$B$3:$L$42,3,FALSE)</f>
        <v>#N/A</v>
      </c>
      <c r="T128" s="10" t="e">
        <f>VLOOKUP(AJ120,'FRC Site Data'!$B$3:$L$42,4,FALSE)</f>
        <v>#N/A</v>
      </c>
      <c r="U128" s="10" t="e">
        <f>VLOOKUP(AJ120,'FRC Site Data'!$B$3:$L$42,5,FALSE)</f>
        <v>#N/A</v>
      </c>
      <c r="V128" s="10" t="e">
        <f>VLOOKUP(AJ120,'FRC Site Data'!$B$3:$L$42,6,FALSE)</f>
        <v>#N/A</v>
      </c>
      <c r="W128" s="10" t="e">
        <f>VLOOKUP(AJ120,'FRC Site Data'!$B$3:$L$42,8,FALSE)</f>
        <v>#N/A</v>
      </c>
      <c r="X128" s="10" t="e">
        <f>VLOOKUP(AJ120,'FRC Site Data'!$B$3:$L$42,9,FALSE)</f>
        <v>#N/A</v>
      </c>
      <c r="Y128" s="10" t="e">
        <f>VLOOKUP(AJ120,'FRC Site Data'!$B$3:$L$42,10,FALSE)</f>
        <v>#N/A</v>
      </c>
      <c r="Z128" s="10" t="e">
        <f>VLOOKUP(AJ120,'FRC Site Data'!$B$3:$L$42,11,FALSE)</f>
        <v>#N/A</v>
      </c>
      <c r="AA128" s="10" t="e">
        <f>VLOOKUP(AJ120,'CIR Team Info'!$C$5:$E$44,4,FALSE)</f>
        <v>#N/A</v>
      </c>
      <c r="AB128" s="161" t="b">
        <f>ISNUMBER(VLOOKUP(AJ120,Match!$T$5:$T$10,1,FALSE))</f>
        <v>0</v>
      </c>
      <c r="AC128" s="161" t="b">
        <f>IF(AB128=TRUE,(VLOOKUP($AJ120,Match!$T$5:$U$10,2,FALSE)))</f>
        <v>0</v>
      </c>
      <c r="AD128" s="8">
        <v>3</v>
      </c>
      <c r="AE128" s="8">
        <v>2</v>
      </c>
      <c r="AF128" s="8">
        <v>2</v>
      </c>
      <c r="AG128" s="8">
        <v>1</v>
      </c>
      <c r="AH128" s="8" t="str">
        <f t="shared" si="39"/>
        <v/>
      </c>
      <c r="BA128" s="24"/>
      <c r="BC128" s="12"/>
      <c r="BS128" s="127"/>
    </row>
    <row r="129" spans="1:71" x14ac:dyDescent="0.25">
      <c r="A129" s="29">
        <f t="shared" si="41"/>
        <v>0</v>
      </c>
      <c r="B129" s="29">
        <f t="shared" si="33"/>
        <v>0</v>
      </c>
      <c r="C129" s="29">
        <f t="shared" si="34"/>
        <v>0</v>
      </c>
      <c r="D129" s="29">
        <f t="shared" si="35"/>
        <v>0</v>
      </c>
      <c r="E129" s="29">
        <f t="shared" si="42"/>
        <v>0</v>
      </c>
      <c r="F129" s="29">
        <f t="shared" si="43"/>
        <v>0</v>
      </c>
      <c r="G129" s="29" t="str">
        <f t="shared" si="44"/>
        <v>offensive</v>
      </c>
      <c r="H129" s="16">
        <f t="shared" si="31"/>
        <v>0</v>
      </c>
      <c r="I129" s="16">
        <f t="shared" si="32"/>
        <v>0</v>
      </c>
      <c r="J129" s="16">
        <f t="shared" si="36"/>
        <v>0</v>
      </c>
      <c r="K129" s="16">
        <f t="shared" si="45"/>
        <v>0</v>
      </c>
      <c r="L129" s="67">
        <f t="shared" si="46"/>
        <v>0</v>
      </c>
      <c r="M129" s="4">
        <f t="shared" si="37"/>
        <v>0</v>
      </c>
      <c r="N129" s="4">
        <f t="shared" si="40"/>
        <v>0</v>
      </c>
      <c r="O129" s="4">
        <f t="shared" si="47"/>
        <v>0</v>
      </c>
      <c r="P129" s="4" t="e">
        <f>VLOOKUP(AJ121,'CIR Team Info'!$C$5:$E$44,2,FALSE)</f>
        <v>#N/A</v>
      </c>
      <c r="Q129" s="4" t="e">
        <f>VLOOKUP(AJ121,'CIR Team Info'!$C$5:$E$44,3,FALSE)</f>
        <v>#N/A</v>
      </c>
      <c r="R129" s="10" t="e">
        <f>VLOOKUP(AJ121,'FRC Site Data'!$B$3:$L$42,2,FALSE)</f>
        <v>#N/A</v>
      </c>
      <c r="S129" s="10" t="e">
        <f>VLOOKUP(AJ121,'FRC Site Data'!$B$3:$L$42,3,FALSE)</f>
        <v>#N/A</v>
      </c>
      <c r="T129" s="10" t="e">
        <f>VLOOKUP(AJ121,'FRC Site Data'!$B$3:$L$42,4,FALSE)</f>
        <v>#N/A</v>
      </c>
      <c r="U129" s="10" t="e">
        <f>VLOOKUP(AJ121,'FRC Site Data'!$B$3:$L$42,5,FALSE)</f>
        <v>#N/A</v>
      </c>
      <c r="V129" s="10" t="e">
        <f>VLOOKUP(AJ121,'FRC Site Data'!$B$3:$L$42,6,FALSE)</f>
        <v>#N/A</v>
      </c>
      <c r="W129" s="10" t="e">
        <f>VLOOKUP(AJ121,'FRC Site Data'!$B$3:$L$42,8,FALSE)</f>
        <v>#N/A</v>
      </c>
      <c r="X129" s="10" t="e">
        <f>VLOOKUP(AJ121,'FRC Site Data'!$B$3:$L$42,9,FALSE)</f>
        <v>#N/A</v>
      </c>
      <c r="Y129" s="10" t="e">
        <f>VLOOKUP(AJ121,'FRC Site Data'!$B$3:$L$42,10,FALSE)</f>
        <v>#N/A</v>
      </c>
      <c r="Z129" s="10" t="e">
        <f>VLOOKUP(AJ121,'FRC Site Data'!$B$3:$L$42,11,FALSE)</f>
        <v>#N/A</v>
      </c>
      <c r="AA129" s="10" t="e">
        <f>VLOOKUP(AJ121,'CIR Team Info'!$C$5:$E$44,4,FALSE)</f>
        <v>#N/A</v>
      </c>
      <c r="AB129" s="161" t="b">
        <f>ISNUMBER(VLOOKUP(AJ121,Match!$T$5:$T$10,1,FALSE))</f>
        <v>0</v>
      </c>
      <c r="AC129" s="161" t="b">
        <f>IF(AB129=TRUE,(VLOOKUP($AJ121,Match!$T$5:$U$10,2,FALSE)))</f>
        <v>0</v>
      </c>
      <c r="AD129" s="8">
        <v>3</v>
      </c>
      <c r="AE129" s="8">
        <v>2</v>
      </c>
      <c r="AF129" s="8">
        <v>2</v>
      </c>
      <c r="AG129" s="8">
        <v>1</v>
      </c>
      <c r="AH129" s="8" t="str">
        <f t="shared" si="39"/>
        <v/>
      </c>
      <c r="BA129" s="24"/>
      <c r="BC129" s="12"/>
      <c r="BS129" s="127"/>
    </row>
    <row r="130" spans="1:71" x14ac:dyDescent="0.25">
      <c r="A130" s="29">
        <f t="shared" si="41"/>
        <v>0</v>
      </c>
      <c r="B130" s="29">
        <f t="shared" si="33"/>
        <v>0</v>
      </c>
      <c r="C130" s="29">
        <f t="shared" si="34"/>
        <v>0</v>
      </c>
      <c r="D130" s="29">
        <f t="shared" si="35"/>
        <v>0</v>
      </c>
      <c r="E130" s="29">
        <f t="shared" si="42"/>
        <v>0</v>
      </c>
      <c r="F130" s="29">
        <f t="shared" si="43"/>
        <v>0</v>
      </c>
      <c r="G130" s="29" t="str">
        <f t="shared" si="44"/>
        <v>offensive</v>
      </c>
      <c r="H130" s="16">
        <f t="shared" si="31"/>
        <v>0</v>
      </c>
      <c r="I130" s="16">
        <f t="shared" si="32"/>
        <v>0</v>
      </c>
      <c r="J130" s="16">
        <f t="shared" si="36"/>
        <v>0</v>
      </c>
      <c r="K130" s="16">
        <f t="shared" si="45"/>
        <v>0</v>
      </c>
      <c r="L130" s="67">
        <f t="shared" si="46"/>
        <v>0</v>
      </c>
      <c r="M130" s="4">
        <f t="shared" si="37"/>
        <v>0</v>
      </c>
      <c r="N130" s="4">
        <f t="shared" si="40"/>
        <v>0</v>
      </c>
      <c r="O130" s="4">
        <f t="shared" si="47"/>
        <v>0</v>
      </c>
      <c r="P130" s="4" t="e">
        <f>VLOOKUP(AJ122,'CIR Team Info'!$C$5:$E$44,2,FALSE)</f>
        <v>#N/A</v>
      </c>
      <c r="Q130" s="4" t="e">
        <f>VLOOKUP(AJ122,'CIR Team Info'!$C$5:$E$44,3,FALSE)</f>
        <v>#N/A</v>
      </c>
      <c r="R130" s="10" t="e">
        <f>VLOOKUP(AJ122,'FRC Site Data'!$B$3:$L$42,2,FALSE)</f>
        <v>#N/A</v>
      </c>
      <c r="S130" s="10" t="e">
        <f>VLOOKUP(AJ122,'FRC Site Data'!$B$3:$L$42,3,FALSE)</f>
        <v>#N/A</v>
      </c>
      <c r="T130" s="10" t="e">
        <f>VLOOKUP(AJ122,'FRC Site Data'!$B$3:$L$42,4,FALSE)</f>
        <v>#N/A</v>
      </c>
      <c r="U130" s="10" t="e">
        <f>VLOOKUP(AJ122,'FRC Site Data'!$B$3:$L$42,5,FALSE)</f>
        <v>#N/A</v>
      </c>
      <c r="V130" s="10" t="e">
        <f>VLOOKUP(AJ122,'FRC Site Data'!$B$3:$L$42,6,FALSE)</f>
        <v>#N/A</v>
      </c>
      <c r="W130" s="10" t="e">
        <f>VLOOKUP(AJ122,'FRC Site Data'!$B$3:$L$42,8,FALSE)</f>
        <v>#N/A</v>
      </c>
      <c r="X130" s="10" t="e">
        <f>VLOOKUP(AJ122,'FRC Site Data'!$B$3:$L$42,9,FALSE)</f>
        <v>#N/A</v>
      </c>
      <c r="Y130" s="10" t="e">
        <f>VLOOKUP(AJ122,'FRC Site Data'!$B$3:$L$42,10,FALSE)</f>
        <v>#N/A</v>
      </c>
      <c r="Z130" s="10" t="e">
        <f>VLOOKUP(AJ122,'FRC Site Data'!$B$3:$L$42,11,FALSE)</f>
        <v>#N/A</v>
      </c>
      <c r="AA130" s="10" t="e">
        <f>VLOOKUP(AJ122,'CIR Team Info'!$C$5:$E$44,4,FALSE)</f>
        <v>#N/A</v>
      </c>
      <c r="AB130" s="161" t="b">
        <f>ISNUMBER(VLOOKUP(AJ122,Match!$T$5:$T$10,1,FALSE))</f>
        <v>0</v>
      </c>
      <c r="AC130" s="161" t="b">
        <f>IF(AB130=TRUE,(VLOOKUP($AJ122,Match!$T$5:$U$10,2,FALSE)))</f>
        <v>0</v>
      </c>
      <c r="AD130" s="8">
        <v>3</v>
      </c>
      <c r="AE130" s="8">
        <v>2</v>
      </c>
      <c r="AF130" s="8">
        <v>2</v>
      </c>
      <c r="AG130" s="8">
        <v>1</v>
      </c>
      <c r="AH130" s="8" t="str">
        <f t="shared" si="39"/>
        <v/>
      </c>
      <c r="BA130" s="24"/>
      <c r="BC130" s="12"/>
      <c r="BS130" s="127"/>
    </row>
    <row r="131" spans="1:71" x14ac:dyDescent="0.25">
      <c r="A131" s="29">
        <f t="shared" si="41"/>
        <v>0</v>
      </c>
      <c r="B131" s="29">
        <f t="shared" si="33"/>
        <v>0</v>
      </c>
      <c r="C131" s="29">
        <f t="shared" si="34"/>
        <v>0</v>
      </c>
      <c r="D131" s="29">
        <f t="shared" si="35"/>
        <v>0</v>
      </c>
      <c r="E131" s="29">
        <f t="shared" si="42"/>
        <v>0</v>
      </c>
      <c r="F131" s="29">
        <f t="shared" si="43"/>
        <v>0</v>
      </c>
      <c r="G131" s="29" t="str">
        <f t="shared" si="44"/>
        <v>offensive</v>
      </c>
      <c r="H131" s="16">
        <f t="shared" si="31"/>
        <v>0</v>
      </c>
      <c r="I131" s="16">
        <f t="shared" si="32"/>
        <v>0</v>
      </c>
      <c r="J131" s="16">
        <f t="shared" si="36"/>
        <v>0</v>
      </c>
      <c r="K131" s="16">
        <f t="shared" si="45"/>
        <v>0</v>
      </c>
      <c r="L131" s="67">
        <f t="shared" si="46"/>
        <v>0</v>
      </c>
      <c r="M131" s="4">
        <f t="shared" si="37"/>
        <v>0</v>
      </c>
      <c r="N131" s="4">
        <f t="shared" si="40"/>
        <v>0</v>
      </c>
      <c r="O131" s="4">
        <f t="shared" si="47"/>
        <v>0</v>
      </c>
      <c r="P131" s="4" t="e">
        <f>VLOOKUP(AJ123,'CIR Team Info'!$C$5:$E$44,2,FALSE)</f>
        <v>#N/A</v>
      </c>
      <c r="Q131" s="4" t="e">
        <f>VLOOKUP(AJ123,'CIR Team Info'!$C$5:$E$44,3,FALSE)</f>
        <v>#N/A</v>
      </c>
      <c r="R131" s="10" t="e">
        <f>VLOOKUP(AJ123,'FRC Site Data'!$B$3:$L$42,2,FALSE)</f>
        <v>#N/A</v>
      </c>
      <c r="S131" s="10" t="e">
        <f>VLOOKUP(AJ123,'FRC Site Data'!$B$3:$L$42,3,FALSE)</f>
        <v>#N/A</v>
      </c>
      <c r="T131" s="10" t="e">
        <f>VLOOKUP(AJ123,'FRC Site Data'!$B$3:$L$42,4,FALSE)</f>
        <v>#N/A</v>
      </c>
      <c r="U131" s="10" t="e">
        <f>VLOOKUP(AJ123,'FRC Site Data'!$B$3:$L$42,5,FALSE)</f>
        <v>#N/A</v>
      </c>
      <c r="V131" s="10" t="e">
        <f>VLOOKUP(AJ123,'FRC Site Data'!$B$3:$L$42,6,FALSE)</f>
        <v>#N/A</v>
      </c>
      <c r="W131" s="10" t="e">
        <f>VLOOKUP(AJ123,'FRC Site Data'!$B$3:$L$42,8,FALSE)</f>
        <v>#N/A</v>
      </c>
      <c r="X131" s="10" t="e">
        <f>VLOOKUP(AJ123,'FRC Site Data'!$B$3:$L$42,9,FALSE)</f>
        <v>#N/A</v>
      </c>
      <c r="Y131" s="10" t="e">
        <f>VLOOKUP(AJ123,'FRC Site Data'!$B$3:$L$42,10,FALSE)</f>
        <v>#N/A</v>
      </c>
      <c r="Z131" s="10" t="e">
        <f>VLOOKUP(AJ123,'FRC Site Data'!$B$3:$L$42,11,FALSE)</f>
        <v>#N/A</v>
      </c>
      <c r="AA131" s="10" t="e">
        <f>VLOOKUP(AJ123,'CIR Team Info'!$C$5:$E$44,4,FALSE)</f>
        <v>#N/A</v>
      </c>
      <c r="AB131" s="161" t="b">
        <f>ISNUMBER(VLOOKUP(AJ123,Match!$T$5:$T$10,1,FALSE))</f>
        <v>0</v>
      </c>
      <c r="AC131" s="161" t="b">
        <f>IF(AB131=TRUE,(VLOOKUP($AJ123,Match!$T$5:$U$10,2,FALSE)))</f>
        <v>0</v>
      </c>
      <c r="AD131" s="8">
        <v>3</v>
      </c>
      <c r="AE131" s="8">
        <v>2</v>
      </c>
      <c r="AF131" s="8">
        <v>2</v>
      </c>
      <c r="AG131" s="8">
        <v>1</v>
      </c>
      <c r="AH131" s="8" t="str">
        <f t="shared" si="39"/>
        <v/>
      </c>
      <c r="BA131" s="24"/>
      <c r="BC131" s="12"/>
      <c r="BS131" s="127"/>
    </row>
    <row r="132" spans="1:71" x14ac:dyDescent="0.25">
      <c r="A132" s="29">
        <f t="shared" si="41"/>
        <v>0</v>
      </c>
      <c r="B132" s="29">
        <f t="shared" si="33"/>
        <v>0</v>
      </c>
      <c r="C132" s="29">
        <f t="shared" si="34"/>
        <v>0</v>
      </c>
      <c r="D132" s="29">
        <f t="shared" si="35"/>
        <v>0</v>
      </c>
      <c r="E132" s="29">
        <f t="shared" si="42"/>
        <v>0</v>
      </c>
      <c r="F132" s="29">
        <f t="shared" si="43"/>
        <v>0</v>
      </c>
      <c r="G132" s="29" t="str">
        <f t="shared" si="44"/>
        <v>offensive</v>
      </c>
      <c r="H132" s="16">
        <f t="shared" si="31"/>
        <v>0</v>
      </c>
      <c r="I132" s="16">
        <f t="shared" si="32"/>
        <v>0</v>
      </c>
      <c r="J132" s="16">
        <f t="shared" si="36"/>
        <v>0</v>
      </c>
      <c r="K132" s="16">
        <f t="shared" si="45"/>
        <v>0</v>
      </c>
      <c r="L132" s="67">
        <f t="shared" si="46"/>
        <v>0</v>
      </c>
      <c r="M132" s="4">
        <f t="shared" si="37"/>
        <v>0</v>
      </c>
      <c r="N132" s="4">
        <f t="shared" si="40"/>
        <v>0</v>
      </c>
      <c r="O132" s="4">
        <f t="shared" si="47"/>
        <v>0</v>
      </c>
      <c r="P132" s="4" t="e">
        <f>VLOOKUP(AJ124,'CIR Team Info'!$C$5:$E$44,2,FALSE)</f>
        <v>#N/A</v>
      </c>
      <c r="Q132" s="4" t="e">
        <f>VLOOKUP(AJ124,'CIR Team Info'!$C$5:$E$44,3,FALSE)</f>
        <v>#N/A</v>
      </c>
      <c r="R132" s="10" t="e">
        <f>VLOOKUP(AJ124,'FRC Site Data'!$B$3:$L$42,2,FALSE)</f>
        <v>#N/A</v>
      </c>
      <c r="S132" s="10" t="e">
        <f>VLOOKUP(AJ124,'FRC Site Data'!$B$3:$L$42,3,FALSE)</f>
        <v>#N/A</v>
      </c>
      <c r="T132" s="10" t="e">
        <f>VLOOKUP(AJ124,'FRC Site Data'!$B$3:$L$42,4,FALSE)</f>
        <v>#N/A</v>
      </c>
      <c r="U132" s="10" t="e">
        <f>VLOOKUP(AJ124,'FRC Site Data'!$B$3:$L$42,5,FALSE)</f>
        <v>#N/A</v>
      </c>
      <c r="V132" s="10" t="e">
        <f>VLOOKUP(AJ124,'FRC Site Data'!$B$3:$L$42,6,FALSE)</f>
        <v>#N/A</v>
      </c>
      <c r="W132" s="10" t="e">
        <f>VLOOKUP(AJ124,'FRC Site Data'!$B$3:$L$42,8,FALSE)</f>
        <v>#N/A</v>
      </c>
      <c r="X132" s="10" t="e">
        <f>VLOOKUP(AJ124,'FRC Site Data'!$B$3:$L$42,9,FALSE)</f>
        <v>#N/A</v>
      </c>
      <c r="Y132" s="10" t="e">
        <f>VLOOKUP(AJ124,'FRC Site Data'!$B$3:$L$42,10,FALSE)</f>
        <v>#N/A</v>
      </c>
      <c r="Z132" s="10" t="e">
        <f>VLOOKUP(AJ124,'FRC Site Data'!$B$3:$L$42,11,FALSE)</f>
        <v>#N/A</v>
      </c>
      <c r="AA132" s="10" t="e">
        <f>VLOOKUP(AJ124,'CIR Team Info'!$C$5:$E$44,4,FALSE)</f>
        <v>#N/A</v>
      </c>
      <c r="AB132" s="161" t="b">
        <f>ISNUMBER(VLOOKUP(AJ124,Match!$T$5:$T$10,1,FALSE))</f>
        <v>0</v>
      </c>
      <c r="AC132" s="161" t="b">
        <f>IF(AB132=TRUE,(VLOOKUP($AJ124,Match!$T$5:$U$10,2,FALSE)))</f>
        <v>0</v>
      </c>
      <c r="AD132" s="8">
        <v>3</v>
      </c>
      <c r="AE132" s="8">
        <v>2</v>
      </c>
      <c r="AF132" s="8">
        <v>2</v>
      </c>
      <c r="AG132" s="8">
        <v>1</v>
      </c>
      <c r="AH132" s="8" t="str">
        <f t="shared" si="39"/>
        <v/>
      </c>
      <c r="BA132" s="24"/>
      <c r="BC132" s="12"/>
      <c r="BS132" s="127"/>
    </row>
    <row r="133" spans="1:71" x14ac:dyDescent="0.25">
      <c r="A133" s="29">
        <f t="shared" si="41"/>
        <v>0</v>
      </c>
      <c r="B133" s="29">
        <f t="shared" si="33"/>
        <v>0</v>
      </c>
      <c r="C133" s="29">
        <f t="shared" si="34"/>
        <v>0</v>
      </c>
      <c r="D133" s="29">
        <f t="shared" si="35"/>
        <v>0</v>
      </c>
      <c r="E133" s="29">
        <f t="shared" si="42"/>
        <v>0</v>
      </c>
      <c r="F133" s="29">
        <f t="shared" si="43"/>
        <v>0</v>
      </c>
      <c r="G133" s="29" t="str">
        <f t="shared" si="44"/>
        <v>offensive</v>
      </c>
      <c r="H133" s="16">
        <f t="shared" ref="H133:H196" si="48">IF((AO125+AP125)=0,0,AO125/(AO125+AP125))</f>
        <v>0</v>
      </c>
      <c r="I133" s="16">
        <f t="shared" ref="I133:I196" si="49">IF((AV125+AW125)=0,0,AV125/(AV125+AW125))</f>
        <v>0</v>
      </c>
      <c r="J133" s="16">
        <f t="shared" si="36"/>
        <v>0</v>
      </c>
      <c r="K133" s="16">
        <f t="shared" si="45"/>
        <v>0</v>
      </c>
      <c r="L133" s="67">
        <f t="shared" si="46"/>
        <v>0</v>
      </c>
      <c r="M133" s="4">
        <f t="shared" si="37"/>
        <v>0</v>
      </c>
      <c r="N133" s="4">
        <f t="shared" si="40"/>
        <v>0</v>
      </c>
      <c r="O133" s="4">
        <f t="shared" si="47"/>
        <v>0</v>
      </c>
      <c r="P133" s="4" t="e">
        <f>VLOOKUP(AJ125,'CIR Team Info'!$C$5:$E$44,2,FALSE)</f>
        <v>#N/A</v>
      </c>
      <c r="Q133" s="4" t="e">
        <f>VLOOKUP(AJ125,'CIR Team Info'!$C$5:$E$44,3,FALSE)</f>
        <v>#N/A</v>
      </c>
      <c r="R133" s="10" t="e">
        <f>VLOOKUP(AJ125,'FRC Site Data'!$B$3:$L$42,2,FALSE)</f>
        <v>#N/A</v>
      </c>
      <c r="S133" s="10" t="e">
        <f>VLOOKUP(AJ125,'FRC Site Data'!$B$3:$L$42,3,FALSE)</f>
        <v>#N/A</v>
      </c>
      <c r="T133" s="10" t="e">
        <f>VLOOKUP(AJ125,'FRC Site Data'!$B$3:$L$42,4,FALSE)</f>
        <v>#N/A</v>
      </c>
      <c r="U133" s="10" t="e">
        <f>VLOOKUP(AJ125,'FRC Site Data'!$B$3:$L$42,5,FALSE)</f>
        <v>#N/A</v>
      </c>
      <c r="V133" s="10" t="e">
        <f>VLOOKUP(AJ125,'FRC Site Data'!$B$3:$L$42,6,FALSE)</f>
        <v>#N/A</v>
      </c>
      <c r="W133" s="10" t="e">
        <f>VLOOKUP(AJ125,'FRC Site Data'!$B$3:$L$42,8,FALSE)</f>
        <v>#N/A</v>
      </c>
      <c r="X133" s="10" t="e">
        <f>VLOOKUP(AJ125,'FRC Site Data'!$B$3:$L$42,9,FALSE)</f>
        <v>#N/A</v>
      </c>
      <c r="Y133" s="10" t="e">
        <f>VLOOKUP(AJ125,'FRC Site Data'!$B$3:$L$42,10,FALSE)</f>
        <v>#N/A</v>
      </c>
      <c r="Z133" s="10" t="e">
        <f>VLOOKUP(AJ125,'FRC Site Data'!$B$3:$L$42,11,FALSE)</f>
        <v>#N/A</v>
      </c>
      <c r="AA133" s="10" t="e">
        <f>VLOOKUP(AJ125,'CIR Team Info'!$C$5:$E$44,4,FALSE)</f>
        <v>#N/A</v>
      </c>
      <c r="AB133" s="161" t="b">
        <f>ISNUMBER(VLOOKUP(AJ125,Match!$T$5:$T$10,1,FALSE))</f>
        <v>0</v>
      </c>
      <c r="AC133" s="161" t="b">
        <f>IF(AB133=TRUE,(VLOOKUP($AJ125,Match!$T$5:$U$10,2,FALSE)))</f>
        <v>0</v>
      </c>
      <c r="AD133" s="8">
        <v>3</v>
      </c>
      <c r="AE133" s="8">
        <v>2</v>
      </c>
      <c r="AF133" s="8">
        <v>2</v>
      </c>
      <c r="AG133" s="8">
        <v>1</v>
      </c>
      <c r="AH133" s="8" t="str">
        <f t="shared" si="39"/>
        <v/>
      </c>
      <c r="BA133" s="24"/>
      <c r="BC133" s="12"/>
      <c r="BS133" s="127"/>
    </row>
    <row r="134" spans="1:71" x14ac:dyDescent="0.25">
      <c r="A134" s="29">
        <f t="shared" si="41"/>
        <v>0</v>
      </c>
      <c r="B134" s="29">
        <f t="shared" ref="B134:B197" si="50">H134*AD134*AO126</f>
        <v>0</v>
      </c>
      <c r="C134" s="29">
        <f t="shared" ref="C134:C197" si="51">I134*AE134*AV126</f>
        <v>0</v>
      </c>
      <c r="D134" s="29">
        <f t="shared" ref="D134:D197" si="52">J134*AF134*BF126</f>
        <v>0</v>
      </c>
      <c r="E134" s="29">
        <f t="shared" si="42"/>
        <v>0</v>
      </c>
      <c r="F134" s="29">
        <f t="shared" si="43"/>
        <v>0</v>
      </c>
      <c r="G134" s="29" t="str">
        <f t="shared" si="44"/>
        <v>offensive</v>
      </c>
      <c r="H134" s="16">
        <f t="shared" si="48"/>
        <v>0</v>
      </c>
      <c r="I134" s="16">
        <f t="shared" si="49"/>
        <v>0</v>
      </c>
      <c r="J134" s="16">
        <f t="shared" ref="J134:J197" si="53">IF(L134=0,0,BG126/L134)</f>
        <v>0</v>
      </c>
      <c r="K134" s="16">
        <f t="shared" si="45"/>
        <v>0</v>
      </c>
      <c r="L134" s="67">
        <f t="shared" si="46"/>
        <v>0</v>
      </c>
      <c r="M134" s="4">
        <f t="shared" ref="M134:M197" si="54">AO126+AV126+BD126+O134</f>
        <v>0</v>
      </c>
      <c r="N134" s="4">
        <f t="shared" si="40"/>
        <v>0</v>
      </c>
      <c r="O134" s="4">
        <f t="shared" si="47"/>
        <v>0</v>
      </c>
      <c r="P134" s="4" t="e">
        <f>VLOOKUP(AJ126,'CIR Team Info'!$C$5:$E$44,2,FALSE)</f>
        <v>#N/A</v>
      </c>
      <c r="Q134" s="4" t="e">
        <f>VLOOKUP(AJ126,'CIR Team Info'!$C$5:$E$44,3,FALSE)</f>
        <v>#N/A</v>
      </c>
      <c r="R134" s="10" t="e">
        <f>VLOOKUP(AJ126,'FRC Site Data'!$B$3:$L$42,2,FALSE)</f>
        <v>#N/A</v>
      </c>
      <c r="S134" s="10" t="e">
        <f>VLOOKUP(AJ126,'FRC Site Data'!$B$3:$L$42,3,FALSE)</f>
        <v>#N/A</v>
      </c>
      <c r="T134" s="10" t="e">
        <f>VLOOKUP(AJ126,'FRC Site Data'!$B$3:$L$42,4,FALSE)</f>
        <v>#N/A</v>
      </c>
      <c r="U134" s="10" t="e">
        <f>VLOOKUP(AJ126,'FRC Site Data'!$B$3:$L$42,5,FALSE)</f>
        <v>#N/A</v>
      </c>
      <c r="V134" s="10" t="e">
        <f>VLOOKUP(AJ126,'FRC Site Data'!$B$3:$L$42,6,FALSE)</f>
        <v>#N/A</v>
      </c>
      <c r="W134" s="10" t="e">
        <f>VLOOKUP(AJ126,'FRC Site Data'!$B$3:$L$42,8,FALSE)</f>
        <v>#N/A</v>
      </c>
      <c r="X134" s="10" t="e">
        <f>VLOOKUP(AJ126,'FRC Site Data'!$B$3:$L$42,9,FALSE)</f>
        <v>#N/A</v>
      </c>
      <c r="Y134" s="10" t="e">
        <f>VLOOKUP(AJ126,'FRC Site Data'!$B$3:$L$42,10,FALSE)</f>
        <v>#N/A</v>
      </c>
      <c r="Z134" s="10" t="e">
        <f>VLOOKUP(AJ126,'FRC Site Data'!$B$3:$L$42,11,FALSE)</f>
        <v>#N/A</v>
      </c>
      <c r="AA134" s="10" t="e">
        <f>VLOOKUP(AJ126,'CIR Team Info'!$C$5:$E$44,4,FALSE)</f>
        <v>#N/A</v>
      </c>
      <c r="AB134" s="161" t="b">
        <f>ISNUMBER(VLOOKUP(AJ126,Match!$T$5:$T$10,1,FALSE))</f>
        <v>0</v>
      </c>
      <c r="AC134" s="161" t="b">
        <f>IF(AB134=TRUE,(VLOOKUP($AJ126,Match!$T$5:$U$10,2,FALSE)))</f>
        <v>0</v>
      </c>
      <c r="AD134" s="8">
        <v>3</v>
      </c>
      <c r="AE134" s="8">
        <v>2</v>
      </c>
      <c r="AF134" s="8">
        <v>2</v>
      </c>
      <c r="AG134" s="8">
        <v>1</v>
      </c>
      <c r="AH134" s="8" t="str">
        <f t="shared" si="39"/>
        <v/>
      </c>
      <c r="BA134" s="24"/>
      <c r="BC134" s="12"/>
      <c r="BS134" s="127"/>
    </row>
    <row r="135" spans="1:71" x14ac:dyDescent="0.25">
      <c r="A135" s="29">
        <f t="shared" si="41"/>
        <v>0</v>
      </c>
      <c r="B135" s="29">
        <f t="shared" si="50"/>
        <v>0</v>
      </c>
      <c r="C135" s="29">
        <f t="shared" si="51"/>
        <v>0</v>
      </c>
      <c r="D135" s="29">
        <f t="shared" si="52"/>
        <v>0</v>
      </c>
      <c r="E135" s="29">
        <f t="shared" si="42"/>
        <v>0</v>
      </c>
      <c r="F135" s="29">
        <f t="shared" si="43"/>
        <v>0</v>
      </c>
      <c r="G135" s="29" t="str">
        <f t="shared" si="44"/>
        <v>offensive</v>
      </c>
      <c r="H135" s="16">
        <f t="shared" si="48"/>
        <v>0</v>
      </c>
      <c r="I135" s="16">
        <f t="shared" si="49"/>
        <v>0</v>
      </c>
      <c r="J135" s="16">
        <f t="shared" si="53"/>
        <v>0</v>
      </c>
      <c r="K135" s="16">
        <f t="shared" si="45"/>
        <v>0</v>
      </c>
      <c r="L135" s="67">
        <f t="shared" si="46"/>
        <v>0</v>
      </c>
      <c r="M135" s="4">
        <f t="shared" si="54"/>
        <v>0</v>
      </c>
      <c r="N135" s="4">
        <f t="shared" si="40"/>
        <v>0</v>
      </c>
      <c r="O135" s="4">
        <f t="shared" si="47"/>
        <v>0</v>
      </c>
      <c r="P135" s="4" t="e">
        <f>VLOOKUP(AJ127,'CIR Team Info'!$C$5:$E$44,2,FALSE)</f>
        <v>#N/A</v>
      </c>
      <c r="Q135" s="4" t="e">
        <f>VLOOKUP(AJ127,'CIR Team Info'!$C$5:$E$44,3,FALSE)</f>
        <v>#N/A</v>
      </c>
      <c r="R135" s="10" t="e">
        <f>VLOOKUP(AJ127,'FRC Site Data'!$B$3:$L$42,2,FALSE)</f>
        <v>#N/A</v>
      </c>
      <c r="S135" s="10" t="e">
        <f>VLOOKUP(AJ127,'FRC Site Data'!$B$3:$L$42,3,FALSE)</f>
        <v>#N/A</v>
      </c>
      <c r="T135" s="10" t="e">
        <f>VLOOKUP(AJ127,'FRC Site Data'!$B$3:$L$42,4,FALSE)</f>
        <v>#N/A</v>
      </c>
      <c r="U135" s="10" t="e">
        <f>VLOOKUP(AJ127,'FRC Site Data'!$B$3:$L$42,5,FALSE)</f>
        <v>#N/A</v>
      </c>
      <c r="V135" s="10" t="e">
        <f>VLOOKUP(AJ127,'FRC Site Data'!$B$3:$L$42,6,FALSE)</f>
        <v>#N/A</v>
      </c>
      <c r="W135" s="10" t="e">
        <f>VLOOKUP(AJ127,'FRC Site Data'!$B$3:$L$42,8,FALSE)</f>
        <v>#N/A</v>
      </c>
      <c r="X135" s="10" t="e">
        <f>VLOOKUP(AJ127,'FRC Site Data'!$B$3:$L$42,9,FALSE)</f>
        <v>#N/A</v>
      </c>
      <c r="Y135" s="10" t="e">
        <f>VLOOKUP(AJ127,'FRC Site Data'!$B$3:$L$42,10,FALSE)</f>
        <v>#N/A</v>
      </c>
      <c r="Z135" s="10" t="e">
        <f>VLOOKUP(AJ127,'FRC Site Data'!$B$3:$L$42,11,FALSE)</f>
        <v>#N/A</v>
      </c>
      <c r="AA135" s="10" t="e">
        <f>VLOOKUP(AJ127,'CIR Team Info'!$C$5:$E$44,4,FALSE)</f>
        <v>#N/A</v>
      </c>
      <c r="AB135" s="161" t="b">
        <f>ISNUMBER(VLOOKUP(AJ127,Match!$T$5:$T$10,1,FALSE))</f>
        <v>0</v>
      </c>
      <c r="AC135" s="161" t="b">
        <f>IF(AB135=TRUE,(VLOOKUP($AJ127,Match!$T$5:$U$10,2,FALSE)))</f>
        <v>0</v>
      </c>
      <c r="AD135" s="8">
        <v>3</v>
      </c>
      <c r="AE135" s="8">
        <v>2</v>
      </c>
      <c r="AF135" s="8">
        <v>2</v>
      </c>
      <c r="AG135" s="8">
        <v>1</v>
      </c>
      <c r="AH135" s="8" t="str">
        <f t="shared" si="39"/>
        <v/>
      </c>
      <c r="BA135" s="24"/>
      <c r="BC135" s="12"/>
      <c r="BS135" s="127"/>
    </row>
    <row r="136" spans="1:71" x14ac:dyDescent="0.25">
      <c r="A136" s="29">
        <f t="shared" si="41"/>
        <v>0</v>
      </c>
      <c r="B136" s="29">
        <f t="shared" si="50"/>
        <v>0</v>
      </c>
      <c r="C136" s="29">
        <f t="shared" si="51"/>
        <v>0</v>
      </c>
      <c r="D136" s="29">
        <f t="shared" si="52"/>
        <v>0</v>
      </c>
      <c r="E136" s="29">
        <f t="shared" si="42"/>
        <v>0</v>
      </c>
      <c r="F136" s="29">
        <f t="shared" si="43"/>
        <v>0</v>
      </c>
      <c r="G136" s="29" t="str">
        <f t="shared" si="44"/>
        <v>offensive</v>
      </c>
      <c r="H136" s="16">
        <f t="shared" si="48"/>
        <v>0</v>
      </c>
      <c r="I136" s="16">
        <f t="shared" si="49"/>
        <v>0</v>
      </c>
      <c r="J136" s="16">
        <f t="shared" si="53"/>
        <v>0</v>
      </c>
      <c r="K136" s="16">
        <f t="shared" si="45"/>
        <v>0</v>
      </c>
      <c r="L136" s="67">
        <f t="shared" si="46"/>
        <v>0</v>
      </c>
      <c r="M136" s="4">
        <f t="shared" si="54"/>
        <v>0</v>
      </c>
      <c r="N136" s="4">
        <f t="shared" si="40"/>
        <v>0</v>
      </c>
      <c r="O136" s="4">
        <f t="shared" si="47"/>
        <v>0</v>
      </c>
      <c r="P136" s="4" t="e">
        <f>VLOOKUP(AJ128,'CIR Team Info'!$C$5:$E$44,2,FALSE)</f>
        <v>#N/A</v>
      </c>
      <c r="Q136" s="4" t="e">
        <f>VLOOKUP(AJ128,'CIR Team Info'!$C$5:$E$44,3,FALSE)</f>
        <v>#N/A</v>
      </c>
      <c r="R136" s="10" t="e">
        <f>VLOOKUP(AJ128,'FRC Site Data'!$B$3:$L$42,2,FALSE)</f>
        <v>#N/A</v>
      </c>
      <c r="S136" s="10" t="e">
        <f>VLOOKUP(AJ128,'FRC Site Data'!$B$3:$L$42,3,FALSE)</f>
        <v>#N/A</v>
      </c>
      <c r="T136" s="10" t="e">
        <f>VLOOKUP(AJ128,'FRC Site Data'!$B$3:$L$42,4,FALSE)</f>
        <v>#N/A</v>
      </c>
      <c r="U136" s="10" t="e">
        <f>VLOOKUP(AJ128,'FRC Site Data'!$B$3:$L$42,5,FALSE)</f>
        <v>#N/A</v>
      </c>
      <c r="V136" s="10" t="e">
        <f>VLOOKUP(AJ128,'FRC Site Data'!$B$3:$L$42,6,FALSE)</f>
        <v>#N/A</v>
      </c>
      <c r="W136" s="10" t="e">
        <f>VLOOKUP(AJ128,'FRC Site Data'!$B$3:$L$42,8,FALSE)</f>
        <v>#N/A</v>
      </c>
      <c r="X136" s="10" t="e">
        <f>VLOOKUP(AJ128,'FRC Site Data'!$B$3:$L$42,9,FALSE)</f>
        <v>#N/A</v>
      </c>
      <c r="Y136" s="10" t="e">
        <f>VLOOKUP(AJ128,'FRC Site Data'!$B$3:$L$42,10,FALSE)</f>
        <v>#N/A</v>
      </c>
      <c r="Z136" s="10" t="e">
        <f>VLOOKUP(AJ128,'FRC Site Data'!$B$3:$L$42,11,FALSE)</f>
        <v>#N/A</v>
      </c>
      <c r="AA136" s="10" t="e">
        <f>VLOOKUP(AJ128,'CIR Team Info'!$C$5:$E$44,4,FALSE)</f>
        <v>#N/A</v>
      </c>
      <c r="AB136" s="161" t="b">
        <f>ISNUMBER(VLOOKUP(AJ128,Match!$T$5:$T$10,1,FALSE))</f>
        <v>0</v>
      </c>
      <c r="AC136" s="161" t="b">
        <f>IF(AB136=TRUE,(VLOOKUP($AJ128,Match!$T$5:$U$10,2,FALSE)))</f>
        <v>0</v>
      </c>
      <c r="AD136" s="8">
        <v>3</v>
      </c>
      <c r="AE136" s="8">
        <v>2</v>
      </c>
      <c r="AF136" s="8">
        <v>2</v>
      </c>
      <c r="AG136" s="8">
        <v>1</v>
      </c>
      <c r="AH136" s="8" t="str">
        <f t="shared" si="39"/>
        <v/>
      </c>
      <c r="BA136" s="24"/>
      <c r="BC136" s="12"/>
      <c r="BS136" s="127"/>
    </row>
    <row r="137" spans="1:71" x14ac:dyDescent="0.25">
      <c r="A137" s="29">
        <f t="shared" si="41"/>
        <v>0</v>
      </c>
      <c r="B137" s="29">
        <f t="shared" si="50"/>
        <v>0</v>
      </c>
      <c r="C137" s="29">
        <f t="shared" si="51"/>
        <v>0</v>
      </c>
      <c r="D137" s="29">
        <f t="shared" si="52"/>
        <v>0</v>
      </c>
      <c r="E137" s="29">
        <f t="shared" si="42"/>
        <v>0</v>
      </c>
      <c r="F137" s="29">
        <f t="shared" si="43"/>
        <v>0</v>
      </c>
      <c r="G137" s="29" t="str">
        <f t="shared" si="44"/>
        <v>offensive</v>
      </c>
      <c r="H137" s="16">
        <f t="shared" si="48"/>
        <v>0</v>
      </c>
      <c r="I137" s="16">
        <f t="shared" si="49"/>
        <v>0</v>
      </c>
      <c r="J137" s="16">
        <f t="shared" si="53"/>
        <v>0</v>
      </c>
      <c r="K137" s="16">
        <f t="shared" si="45"/>
        <v>0</v>
      </c>
      <c r="L137" s="67">
        <f t="shared" si="46"/>
        <v>0</v>
      </c>
      <c r="M137" s="4">
        <f t="shared" si="54"/>
        <v>0</v>
      </c>
      <c r="N137" s="4">
        <f t="shared" si="40"/>
        <v>0</v>
      </c>
      <c r="O137" s="4">
        <f t="shared" si="47"/>
        <v>0</v>
      </c>
      <c r="P137" s="4" t="e">
        <f>VLOOKUP(AJ129,'CIR Team Info'!$C$5:$E$44,2,FALSE)</f>
        <v>#N/A</v>
      </c>
      <c r="Q137" s="4" t="e">
        <f>VLOOKUP(AJ129,'CIR Team Info'!$C$5:$E$44,3,FALSE)</f>
        <v>#N/A</v>
      </c>
      <c r="R137" s="10" t="e">
        <f>VLOOKUP(AJ129,'FRC Site Data'!$B$3:$L$42,2,FALSE)</f>
        <v>#N/A</v>
      </c>
      <c r="S137" s="10" t="e">
        <f>VLOOKUP(AJ129,'FRC Site Data'!$B$3:$L$42,3,FALSE)</f>
        <v>#N/A</v>
      </c>
      <c r="T137" s="10" t="e">
        <f>VLOOKUP(AJ129,'FRC Site Data'!$B$3:$L$42,4,FALSE)</f>
        <v>#N/A</v>
      </c>
      <c r="U137" s="10" t="e">
        <f>VLOOKUP(AJ129,'FRC Site Data'!$B$3:$L$42,5,FALSE)</f>
        <v>#N/A</v>
      </c>
      <c r="V137" s="10" t="e">
        <f>VLOOKUP(AJ129,'FRC Site Data'!$B$3:$L$42,6,FALSE)</f>
        <v>#N/A</v>
      </c>
      <c r="W137" s="10" t="e">
        <f>VLOOKUP(AJ129,'FRC Site Data'!$B$3:$L$42,8,FALSE)</f>
        <v>#N/A</v>
      </c>
      <c r="X137" s="10" t="e">
        <f>VLOOKUP(AJ129,'FRC Site Data'!$B$3:$L$42,9,FALSE)</f>
        <v>#N/A</v>
      </c>
      <c r="Y137" s="10" t="e">
        <f>VLOOKUP(AJ129,'FRC Site Data'!$B$3:$L$42,10,FALSE)</f>
        <v>#N/A</v>
      </c>
      <c r="Z137" s="10" t="e">
        <f>VLOOKUP(AJ129,'FRC Site Data'!$B$3:$L$42,11,FALSE)</f>
        <v>#N/A</v>
      </c>
      <c r="AA137" s="10" t="e">
        <f>VLOOKUP(AJ129,'CIR Team Info'!$C$5:$E$44,4,FALSE)</f>
        <v>#N/A</v>
      </c>
      <c r="AB137" s="161" t="b">
        <f>ISNUMBER(VLOOKUP(AJ129,Match!$T$5:$T$10,1,FALSE))</f>
        <v>0</v>
      </c>
      <c r="AC137" s="161" t="b">
        <f>IF(AB137=TRUE,(VLOOKUP($AJ129,Match!$T$5:$U$10,2,FALSE)))</f>
        <v>0</v>
      </c>
      <c r="AD137" s="8">
        <v>3</v>
      </c>
      <c r="AE137" s="8">
        <v>2</v>
      </c>
      <c r="AF137" s="8">
        <v>2</v>
      </c>
      <c r="AG137" s="8">
        <v>1</v>
      </c>
      <c r="AH137" s="8" t="str">
        <f t="shared" si="39"/>
        <v/>
      </c>
      <c r="BA137" s="24"/>
      <c r="BC137" s="12"/>
      <c r="BS137" s="127"/>
    </row>
    <row r="138" spans="1:71" x14ac:dyDescent="0.25">
      <c r="A138" s="29">
        <f t="shared" si="41"/>
        <v>0</v>
      </c>
      <c r="B138" s="29">
        <f t="shared" si="50"/>
        <v>0</v>
      </c>
      <c r="C138" s="29">
        <f t="shared" si="51"/>
        <v>0</v>
      </c>
      <c r="D138" s="29">
        <f t="shared" si="52"/>
        <v>0</v>
      </c>
      <c r="E138" s="29">
        <f t="shared" si="42"/>
        <v>0</v>
      </c>
      <c r="F138" s="29">
        <f t="shared" si="43"/>
        <v>0</v>
      </c>
      <c r="G138" s="29" t="str">
        <f t="shared" si="44"/>
        <v>offensive</v>
      </c>
      <c r="H138" s="16">
        <f t="shared" si="48"/>
        <v>0</v>
      </c>
      <c r="I138" s="16">
        <f t="shared" si="49"/>
        <v>0</v>
      </c>
      <c r="J138" s="16">
        <f t="shared" si="53"/>
        <v>0</v>
      </c>
      <c r="K138" s="16">
        <f t="shared" si="45"/>
        <v>0</v>
      </c>
      <c r="L138" s="67">
        <f t="shared" si="46"/>
        <v>0</v>
      </c>
      <c r="M138" s="4">
        <f t="shared" si="54"/>
        <v>0</v>
      </c>
      <c r="N138" s="4">
        <f t="shared" si="40"/>
        <v>0</v>
      </c>
      <c r="O138" s="4">
        <f t="shared" si="47"/>
        <v>0</v>
      </c>
      <c r="P138" s="4" t="e">
        <f>VLOOKUP(AJ130,'CIR Team Info'!$C$5:$E$44,2,FALSE)</f>
        <v>#N/A</v>
      </c>
      <c r="Q138" s="4" t="e">
        <f>VLOOKUP(AJ130,'CIR Team Info'!$C$5:$E$44,3,FALSE)</f>
        <v>#N/A</v>
      </c>
      <c r="R138" s="10" t="e">
        <f>VLOOKUP(AJ130,'FRC Site Data'!$B$3:$L$42,2,FALSE)</f>
        <v>#N/A</v>
      </c>
      <c r="S138" s="10" t="e">
        <f>VLOOKUP(AJ130,'FRC Site Data'!$B$3:$L$42,3,FALSE)</f>
        <v>#N/A</v>
      </c>
      <c r="T138" s="10" t="e">
        <f>VLOOKUP(AJ130,'FRC Site Data'!$B$3:$L$42,4,FALSE)</f>
        <v>#N/A</v>
      </c>
      <c r="U138" s="10" t="e">
        <f>VLOOKUP(AJ130,'FRC Site Data'!$B$3:$L$42,5,FALSE)</f>
        <v>#N/A</v>
      </c>
      <c r="V138" s="10" t="e">
        <f>VLOOKUP(AJ130,'FRC Site Data'!$B$3:$L$42,6,FALSE)</f>
        <v>#N/A</v>
      </c>
      <c r="W138" s="10" t="e">
        <f>VLOOKUP(AJ130,'FRC Site Data'!$B$3:$L$42,8,FALSE)</f>
        <v>#N/A</v>
      </c>
      <c r="X138" s="10" t="e">
        <f>VLOOKUP(AJ130,'FRC Site Data'!$B$3:$L$42,9,FALSE)</f>
        <v>#N/A</v>
      </c>
      <c r="Y138" s="10" t="e">
        <f>VLOOKUP(AJ130,'FRC Site Data'!$B$3:$L$42,10,FALSE)</f>
        <v>#N/A</v>
      </c>
      <c r="Z138" s="10" t="e">
        <f>VLOOKUP(AJ130,'FRC Site Data'!$B$3:$L$42,11,FALSE)</f>
        <v>#N/A</v>
      </c>
      <c r="AA138" s="10" t="e">
        <f>VLOOKUP(AJ130,'CIR Team Info'!$C$5:$E$44,4,FALSE)</f>
        <v>#N/A</v>
      </c>
      <c r="AB138" s="161" t="b">
        <f>ISNUMBER(VLOOKUP(AJ130,Match!$T$5:$T$10,1,FALSE))</f>
        <v>0</v>
      </c>
      <c r="AC138" s="161" t="b">
        <f>IF(AB138=TRUE,(VLOOKUP($AJ130,Match!$T$5:$U$10,2,FALSE)))</f>
        <v>0</v>
      </c>
      <c r="AD138" s="8">
        <v>3</v>
      </c>
      <c r="AE138" s="8">
        <v>2</v>
      </c>
      <c r="AF138" s="8">
        <v>2</v>
      </c>
      <c r="AG138" s="8">
        <v>1</v>
      </c>
      <c r="AH138" s="8" t="str">
        <f t="shared" si="39"/>
        <v/>
      </c>
      <c r="BA138" s="24"/>
      <c r="BC138" s="12"/>
      <c r="BS138" s="127"/>
    </row>
    <row r="139" spans="1:71" x14ac:dyDescent="0.25">
      <c r="A139" s="29">
        <f t="shared" si="41"/>
        <v>0</v>
      </c>
      <c r="B139" s="29">
        <f t="shared" si="50"/>
        <v>0</v>
      </c>
      <c r="C139" s="29">
        <f t="shared" si="51"/>
        <v>0</v>
      </c>
      <c r="D139" s="29">
        <f t="shared" si="52"/>
        <v>0</v>
      </c>
      <c r="E139" s="29">
        <f t="shared" si="42"/>
        <v>0</v>
      </c>
      <c r="F139" s="29">
        <f t="shared" si="43"/>
        <v>0</v>
      </c>
      <c r="G139" s="29" t="str">
        <f t="shared" si="44"/>
        <v>offensive</v>
      </c>
      <c r="H139" s="16">
        <f t="shared" si="48"/>
        <v>0</v>
      </c>
      <c r="I139" s="16">
        <f t="shared" si="49"/>
        <v>0</v>
      </c>
      <c r="J139" s="16">
        <f t="shared" si="53"/>
        <v>0</v>
      </c>
      <c r="K139" s="16">
        <f t="shared" si="45"/>
        <v>0</v>
      </c>
      <c r="L139" s="67">
        <f t="shared" si="46"/>
        <v>0</v>
      </c>
      <c r="M139" s="4">
        <f t="shared" si="54"/>
        <v>0</v>
      </c>
      <c r="N139" s="4">
        <f t="shared" si="40"/>
        <v>0</v>
      </c>
      <c r="O139" s="4">
        <f t="shared" si="47"/>
        <v>0</v>
      </c>
      <c r="P139" s="4" t="e">
        <f>VLOOKUP(AJ131,'CIR Team Info'!$C$5:$E$44,2,FALSE)</f>
        <v>#N/A</v>
      </c>
      <c r="Q139" s="4" t="e">
        <f>VLOOKUP(AJ131,'CIR Team Info'!$C$5:$E$44,3,FALSE)</f>
        <v>#N/A</v>
      </c>
      <c r="R139" s="10" t="e">
        <f>VLOOKUP(AJ131,'FRC Site Data'!$B$3:$L$42,2,FALSE)</f>
        <v>#N/A</v>
      </c>
      <c r="S139" s="10" t="e">
        <f>VLOOKUP(AJ131,'FRC Site Data'!$B$3:$L$42,3,FALSE)</f>
        <v>#N/A</v>
      </c>
      <c r="T139" s="10" t="e">
        <f>VLOOKUP(AJ131,'FRC Site Data'!$B$3:$L$42,4,FALSE)</f>
        <v>#N/A</v>
      </c>
      <c r="U139" s="10" t="e">
        <f>VLOOKUP(AJ131,'FRC Site Data'!$B$3:$L$42,5,FALSE)</f>
        <v>#N/A</v>
      </c>
      <c r="V139" s="10" t="e">
        <f>VLOOKUP(AJ131,'FRC Site Data'!$B$3:$L$42,6,FALSE)</f>
        <v>#N/A</v>
      </c>
      <c r="W139" s="10" t="e">
        <f>VLOOKUP(AJ131,'FRC Site Data'!$B$3:$L$42,8,FALSE)</f>
        <v>#N/A</v>
      </c>
      <c r="X139" s="10" t="e">
        <f>VLOOKUP(AJ131,'FRC Site Data'!$B$3:$L$42,9,FALSE)</f>
        <v>#N/A</v>
      </c>
      <c r="Y139" s="10" t="e">
        <f>VLOOKUP(AJ131,'FRC Site Data'!$B$3:$L$42,10,FALSE)</f>
        <v>#N/A</v>
      </c>
      <c r="Z139" s="10" t="e">
        <f>VLOOKUP(AJ131,'FRC Site Data'!$B$3:$L$42,11,FALSE)</f>
        <v>#N/A</v>
      </c>
      <c r="AA139" s="10" t="e">
        <f>VLOOKUP(AJ131,'CIR Team Info'!$C$5:$E$44,4,FALSE)</f>
        <v>#N/A</v>
      </c>
      <c r="AB139" s="161" t="b">
        <f>ISNUMBER(VLOOKUP(AJ131,Match!$T$5:$T$10,1,FALSE))</f>
        <v>0</v>
      </c>
      <c r="AC139" s="161" t="b">
        <f>IF(AB139=TRUE,(VLOOKUP($AJ131,Match!$T$5:$U$10,2,FALSE)))</f>
        <v>0</v>
      </c>
      <c r="AD139" s="8">
        <v>3</v>
      </c>
      <c r="AE139" s="8">
        <v>2</v>
      </c>
      <c r="AF139" s="8">
        <v>2</v>
      </c>
      <c r="AG139" s="8">
        <v>1</v>
      </c>
      <c r="AH139" s="8" t="str">
        <f t="shared" si="39"/>
        <v/>
      </c>
      <c r="BA139" s="24"/>
      <c r="BC139" s="12"/>
      <c r="BS139" s="127"/>
    </row>
    <row r="140" spans="1:71" x14ac:dyDescent="0.25">
      <c r="A140" s="29">
        <f t="shared" si="41"/>
        <v>0</v>
      </c>
      <c r="B140" s="29">
        <f t="shared" si="50"/>
        <v>0</v>
      </c>
      <c r="C140" s="29">
        <f t="shared" si="51"/>
        <v>0</v>
      </c>
      <c r="D140" s="29">
        <f t="shared" si="52"/>
        <v>0</v>
      </c>
      <c r="E140" s="29">
        <f t="shared" si="42"/>
        <v>0</v>
      </c>
      <c r="F140" s="29">
        <f t="shared" si="43"/>
        <v>0</v>
      </c>
      <c r="G140" s="29" t="str">
        <f t="shared" si="44"/>
        <v>offensive</v>
      </c>
      <c r="H140" s="16">
        <f t="shared" si="48"/>
        <v>0</v>
      </c>
      <c r="I140" s="16">
        <f t="shared" si="49"/>
        <v>0</v>
      </c>
      <c r="J140" s="16">
        <f t="shared" si="53"/>
        <v>0</v>
      </c>
      <c r="K140" s="16">
        <f t="shared" si="45"/>
        <v>0</v>
      </c>
      <c r="L140" s="67">
        <f t="shared" si="46"/>
        <v>0</v>
      </c>
      <c r="M140" s="4">
        <f t="shared" si="54"/>
        <v>0</v>
      </c>
      <c r="N140" s="4">
        <f t="shared" si="40"/>
        <v>0</v>
      </c>
      <c r="O140" s="4">
        <f t="shared" si="47"/>
        <v>0</v>
      </c>
      <c r="P140" s="4" t="e">
        <f>VLOOKUP(AJ132,'CIR Team Info'!$C$5:$E$44,2,FALSE)</f>
        <v>#N/A</v>
      </c>
      <c r="Q140" s="4" t="e">
        <f>VLOOKUP(AJ132,'CIR Team Info'!$C$5:$E$44,3,FALSE)</f>
        <v>#N/A</v>
      </c>
      <c r="R140" s="10" t="e">
        <f>VLOOKUP(AJ132,'FRC Site Data'!$B$3:$L$42,2,FALSE)</f>
        <v>#N/A</v>
      </c>
      <c r="S140" s="10" t="e">
        <f>VLOOKUP(AJ132,'FRC Site Data'!$B$3:$L$42,3,FALSE)</f>
        <v>#N/A</v>
      </c>
      <c r="T140" s="10" t="e">
        <f>VLOOKUP(AJ132,'FRC Site Data'!$B$3:$L$42,4,FALSE)</f>
        <v>#N/A</v>
      </c>
      <c r="U140" s="10" t="e">
        <f>VLOOKUP(AJ132,'FRC Site Data'!$B$3:$L$42,5,FALSE)</f>
        <v>#N/A</v>
      </c>
      <c r="V140" s="10" t="e">
        <f>VLOOKUP(AJ132,'FRC Site Data'!$B$3:$L$42,6,FALSE)</f>
        <v>#N/A</v>
      </c>
      <c r="W140" s="10" t="e">
        <f>VLOOKUP(AJ132,'FRC Site Data'!$B$3:$L$42,8,FALSE)</f>
        <v>#N/A</v>
      </c>
      <c r="X140" s="10" t="e">
        <f>VLOOKUP(AJ132,'FRC Site Data'!$B$3:$L$42,9,FALSE)</f>
        <v>#N/A</v>
      </c>
      <c r="Y140" s="10" t="e">
        <f>VLOOKUP(AJ132,'FRC Site Data'!$B$3:$L$42,10,FALSE)</f>
        <v>#N/A</v>
      </c>
      <c r="Z140" s="10" t="e">
        <f>VLOOKUP(AJ132,'FRC Site Data'!$B$3:$L$42,11,FALSE)</f>
        <v>#N/A</v>
      </c>
      <c r="AA140" s="10" t="e">
        <f>VLOOKUP(AJ132,'CIR Team Info'!$C$5:$E$44,4,FALSE)</f>
        <v>#N/A</v>
      </c>
      <c r="AB140" s="161" t="b">
        <f>ISNUMBER(VLOOKUP(AJ132,Match!$T$5:$T$10,1,FALSE))</f>
        <v>0</v>
      </c>
      <c r="AC140" s="161" t="b">
        <f>IF(AB140=TRUE,(VLOOKUP($AJ132,Match!$T$5:$U$10,2,FALSE)))</f>
        <v>0</v>
      </c>
      <c r="AD140" s="8">
        <v>3</v>
      </c>
      <c r="AE140" s="8">
        <v>2</v>
      </c>
      <c r="AF140" s="8">
        <v>2</v>
      </c>
      <c r="AG140" s="8">
        <v>1</v>
      </c>
      <c r="AH140" s="8" t="str">
        <f t="shared" si="39"/>
        <v/>
      </c>
      <c r="BA140" s="24"/>
      <c r="BC140" s="12"/>
      <c r="BS140" s="127"/>
    </row>
    <row r="141" spans="1:71" x14ac:dyDescent="0.25">
      <c r="A141" s="29">
        <f t="shared" si="41"/>
        <v>0</v>
      </c>
      <c r="B141" s="29">
        <f t="shared" si="50"/>
        <v>0</v>
      </c>
      <c r="C141" s="29">
        <f t="shared" si="51"/>
        <v>0</v>
      </c>
      <c r="D141" s="29">
        <f t="shared" si="52"/>
        <v>0</v>
      </c>
      <c r="E141" s="29">
        <f t="shared" si="42"/>
        <v>0</v>
      </c>
      <c r="F141" s="29">
        <f t="shared" si="43"/>
        <v>0</v>
      </c>
      <c r="G141" s="29" t="str">
        <f t="shared" si="44"/>
        <v>offensive</v>
      </c>
      <c r="H141" s="16">
        <f t="shared" si="48"/>
        <v>0</v>
      </c>
      <c r="I141" s="16">
        <f t="shared" si="49"/>
        <v>0</v>
      </c>
      <c r="J141" s="16">
        <f t="shared" si="53"/>
        <v>0</v>
      </c>
      <c r="K141" s="16">
        <f t="shared" si="45"/>
        <v>0</v>
      </c>
      <c r="L141" s="67">
        <f t="shared" si="46"/>
        <v>0</v>
      </c>
      <c r="M141" s="4">
        <f t="shared" si="54"/>
        <v>0</v>
      </c>
      <c r="N141" s="4">
        <f t="shared" si="40"/>
        <v>0</v>
      </c>
      <c r="O141" s="4">
        <f t="shared" si="47"/>
        <v>0</v>
      </c>
      <c r="P141" s="4" t="e">
        <f>VLOOKUP(AJ133,'CIR Team Info'!$C$5:$E$44,2,FALSE)</f>
        <v>#N/A</v>
      </c>
      <c r="Q141" s="4" t="e">
        <f>VLOOKUP(AJ133,'CIR Team Info'!$C$5:$E$44,3,FALSE)</f>
        <v>#N/A</v>
      </c>
      <c r="R141" s="10" t="e">
        <f>VLOOKUP(AJ133,'FRC Site Data'!$B$3:$L$42,2,FALSE)</f>
        <v>#N/A</v>
      </c>
      <c r="S141" s="10" t="e">
        <f>VLOOKUP(AJ133,'FRC Site Data'!$B$3:$L$42,3,FALSE)</f>
        <v>#N/A</v>
      </c>
      <c r="T141" s="10" t="e">
        <f>VLOOKUP(AJ133,'FRC Site Data'!$B$3:$L$42,4,FALSE)</f>
        <v>#N/A</v>
      </c>
      <c r="U141" s="10" t="e">
        <f>VLOOKUP(AJ133,'FRC Site Data'!$B$3:$L$42,5,FALSE)</f>
        <v>#N/A</v>
      </c>
      <c r="V141" s="10" t="e">
        <f>VLOOKUP(AJ133,'FRC Site Data'!$B$3:$L$42,6,FALSE)</f>
        <v>#N/A</v>
      </c>
      <c r="W141" s="10" t="e">
        <f>VLOOKUP(AJ133,'FRC Site Data'!$B$3:$L$42,8,FALSE)</f>
        <v>#N/A</v>
      </c>
      <c r="X141" s="10" t="e">
        <f>VLOOKUP(AJ133,'FRC Site Data'!$B$3:$L$42,9,FALSE)</f>
        <v>#N/A</v>
      </c>
      <c r="Y141" s="10" t="e">
        <f>VLOOKUP(AJ133,'FRC Site Data'!$B$3:$L$42,10,FALSE)</f>
        <v>#N/A</v>
      </c>
      <c r="Z141" s="10" t="e">
        <f>VLOOKUP(AJ133,'FRC Site Data'!$B$3:$L$42,11,FALSE)</f>
        <v>#N/A</v>
      </c>
      <c r="AA141" s="10" t="e">
        <f>VLOOKUP(AJ133,'CIR Team Info'!$C$5:$E$44,4,FALSE)</f>
        <v>#N/A</v>
      </c>
      <c r="AB141" s="161" t="b">
        <f>ISNUMBER(VLOOKUP(AJ133,Match!$T$5:$T$10,1,FALSE))</f>
        <v>0</v>
      </c>
      <c r="AC141" s="161" t="b">
        <f>IF(AB141=TRUE,(VLOOKUP($AJ133,Match!$T$5:$U$10,2,FALSE)))</f>
        <v>0</v>
      </c>
      <c r="AD141" s="8">
        <v>3</v>
      </c>
      <c r="AE141" s="8">
        <v>2</v>
      </c>
      <c r="AF141" s="8">
        <v>2</v>
      </c>
      <c r="AG141" s="8">
        <v>1</v>
      </c>
      <c r="AH141" s="8" t="str">
        <f t="shared" si="39"/>
        <v/>
      </c>
      <c r="BA141" s="24"/>
      <c r="BC141" s="12"/>
      <c r="BS141" s="127"/>
    </row>
    <row r="142" spans="1:71" x14ac:dyDescent="0.25">
      <c r="A142" s="29">
        <f t="shared" si="41"/>
        <v>0</v>
      </c>
      <c r="B142" s="29">
        <f t="shared" si="50"/>
        <v>0</v>
      </c>
      <c r="C142" s="29">
        <f t="shared" si="51"/>
        <v>0</v>
      </c>
      <c r="D142" s="29">
        <f t="shared" si="52"/>
        <v>0</v>
      </c>
      <c r="E142" s="29">
        <f t="shared" si="42"/>
        <v>0</v>
      </c>
      <c r="F142" s="29">
        <f t="shared" si="43"/>
        <v>0</v>
      </c>
      <c r="G142" s="29" t="str">
        <f t="shared" si="44"/>
        <v>offensive</v>
      </c>
      <c r="H142" s="16">
        <f t="shared" si="48"/>
        <v>0</v>
      </c>
      <c r="I142" s="16">
        <f t="shared" si="49"/>
        <v>0</v>
      </c>
      <c r="J142" s="16">
        <f t="shared" si="53"/>
        <v>0</v>
      </c>
      <c r="K142" s="16">
        <f t="shared" si="45"/>
        <v>0</v>
      </c>
      <c r="L142" s="67">
        <f t="shared" si="46"/>
        <v>0</v>
      </c>
      <c r="M142" s="4">
        <f t="shared" si="54"/>
        <v>0</v>
      </c>
      <c r="N142" s="4">
        <f t="shared" si="40"/>
        <v>0</v>
      </c>
      <c r="O142" s="4">
        <f t="shared" si="47"/>
        <v>0</v>
      </c>
      <c r="P142" s="4" t="e">
        <f>VLOOKUP(AJ134,'CIR Team Info'!$C$5:$E$44,2,FALSE)</f>
        <v>#N/A</v>
      </c>
      <c r="Q142" s="4" t="e">
        <f>VLOOKUP(AJ134,'CIR Team Info'!$C$5:$E$44,3,FALSE)</f>
        <v>#N/A</v>
      </c>
      <c r="R142" s="10" t="e">
        <f>VLOOKUP(AJ134,'FRC Site Data'!$B$3:$L$42,2,FALSE)</f>
        <v>#N/A</v>
      </c>
      <c r="S142" s="10" t="e">
        <f>VLOOKUP(AJ134,'FRC Site Data'!$B$3:$L$42,3,FALSE)</f>
        <v>#N/A</v>
      </c>
      <c r="T142" s="10" t="e">
        <f>VLOOKUP(AJ134,'FRC Site Data'!$B$3:$L$42,4,FALSE)</f>
        <v>#N/A</v>
      </c>
      <c r="U142" s="10" t="e">
        <f>VLOOKUP(AJ134,'FRC Site Data'!$B$3:$L$42,5,FALSE)</f>
        <v>#N/A</v>
      </c>
      <c r="V142" s="10" t="e">
        <f>VLOOKUP(AJ134,'FRC Site Data'!$B$3:$L$42,6,FALSE)</f>
        <v>#N/A</v>
      </c>
      <c r="W142" s="10" t="e">
        <f>VLOOKUP(AJ134,'FRC Site Data'!$B$3:$L$42,8,FALSE)</f>
        <v>#N/A</v>
      </c>
      <c r="X142" s="10" t="e">
        <f>VLOOKUP(AJ134,'FRC Site Data'!$B$3:$L$42,9,FALSE)</f>
        <v>#N/A</v>
      </c>
      <c r="Y142" s="10" t="e">
        <f>VLOOKUP(AJ134,'FRC Site Data'!$B$3:$L$42,10,FALSE)</f>
        <v>#N/A</v>
      </c>
      <c r="Z142" s="10" t="e">
        <f>VLOOKUP(AJ134,'FRC Site Data'!$B$3:$L$42,11,FALSE)</f>
        <v>#N/A</v>
      </c>
      <c r="AA142" s="10" t="e">
        <f>VLOOKUP(AJ134,'CIR Team Info'!$C$5:$E$44,4,FALSE)</f>
        <v>#N/A</v>
      </c>
      <c r="AB142" s="161" t="b">
        <f>ISNUMBER(VLOOKUP(AJ134,Match!$T$5:$T$10,1,FALSE))</f>
        <v>0</v>
      </c>
      <c r="AC142" s="161" t="b">
        <f>IF(AB142=TRUE,(VLOOKUP($AJ134,Match!$T$5:$U$10,2,FALSE)))</f>
        <v>0</v>
      </c>
      <c r="AD142" s="8">
        <v>3</v>
      </c>
      <c r="AE142" s="8">
        <v>2</v>
      </c>
      <c r="AF142" s="8">
        <v>2</v>
      </c>
      <c r="AG142" s="8">
        <v>1</v>
      </c>
      <c r="AH142" s="8" t="str">
        <f t="shared" si="39"/>
        <v/>
      </c>
      <c r="BA142" s="24"/>
      <c r="BC142" s="12"/>
      <c r="BS142" s="127"/>
    </row>
    <row r="143" spans="1:71" x14ac:dyDescent="0.25">
      <c r="A143" s="29">
        <f t="shared" si="41"/>
        <v>0</v>
      </c>
      <c r="B143" s="29">
        <f t="shared" si="50"/>
        <v>0</v>
      </c>
      <c r="C143" s="29">
        <f t="shared" si="51"/>
        <v>0</v>
      </c>
      <c r="D143" s="29">
        <f t="shared" si="52"/>
        <v>0</v>
      </c>
      <c r="E143" s="29">
        <f t="shared" si="42"/>
        <v>0</v>
      </c>
      <c r="F143" s="29">
        <f t="shared" si="43"/>
        <v>0</v>
      </c>
      <c r="G143" s="29" t="str">
        <f t="shared" si="44"/>
        <v>offensive</v>
      </c>
      <c r="H143" s="16">
        <f t="shared" si="48"/>
        <v>0</v>
      </c>
      <c r="I143" s="16">
        <f t="shared" si="49"/>
        <v>0</v>
      </c>
      <c r="J143" s="16">
        <f t="shared" si="53"/>
        <v>0</v>
      </c>
      <c r="K143" s="16">
        <f t="shared" si="45"/>
        <v>0</v>
      </c>
      <c r="L143" s="67">
        <f t="shared" si="46"/>
        <v>0</v>
      </c>
      <c r="M143" s="4">
        <f t="shared" si="54"/>
        <v>0</v>
      </c>
      <c r="N143" s="4">
        <f t="shared" si="40"/>
        <v>0</v>
      </c>
      <c r="O143" s="4">
        <f t="shared" si="47"/>
        <v>0</v>
      </c>
      <c r="P143" s="4" t="e">
        <f>VLOOKUP(AJ135,'CIR Team Info'!$C$5:$E$44,2,FALSE)</f>
        <v>#N/A</v>
      </c>
      <c r="Q143" s="4" t="e">
        <f>VLOOKUP(AJ135,'CIR Team Info'!$C$5:$E$44,3,FALSE)</f>
        <v>#N/A</v>
      </c>
      <c r="R143" s="10" t="e">
        <f>VLOOKUP(AJ135,'FRC Site Data'!$B$3:$L$42,2,FALSE)</f>
        <v>#N/A</v>
      </c>
      <c r="S143" s="10" t="e">
        <f>VLOOKUP(AJ135,'FRC Site Data'!$B$3:$L$42,3,FALSE)</f>
        <v>#N/A</v>
      </c>
      <c r="T143" s="10" t="e">
        <f>VLOOKUP(AJ135,'FRC Site Data'!$B$3:$L$42,4,FALSE)</f>
        <v>#N/A</v>
      </c>
      <c r="U143" s="10" t="e">
        <f>VLOOKUP(AJ135,'FRC Site Data'!$B$3:$L$42,5,FALSE)</f>
        <v>#N/A</v>
      </c>
      <c r="V143" s="10" t="e">
        <f>VLOOKUP(AJ135,'FRC Site Data'!$B$3:$L$42,6,FALSE)</f>
        <v>#N/A</v>
      </c>
      <c r="W143" s="10" t="e">
        <f>VLOOKUP(AJ135,'FRC Site Data'!$B$3:$L$42,8,FALSE)</f>
        <v>#N/A</v>
      </c>
      <c r="X143" s="10" t="e">
        <f>VLOOKUP(AJ135,'FRC Site Data'!$B$3:$L$42,9,FALSE)</f>
        <v>#N/A</v>
      </c>
      <c r="Y143" s="10" t="e">
        <f>VLOOKUP(AJ135,'FRC Site Data'!$B$3:$L$42,10,FALSE)</f>
        <v>#N/A</v>
      </c>
      <c r="Z143" s="10" t="e">
        <f>VLOOKUP(AJ135,'FRC Site Data'!$B$3:$L$42,11,FALSE)</f>
        <v>#N/A</v>
      </c>
      <c r="AA143" s="10" t="e">
        <f>VLOOKUP(AJ135,'CIR Team Info'!$C$5:$E$44,4,FALSE)</f>
        <v>#N/A</v>
      </c>
      <c r="AB143" s="161" t="b">
        <f>ISNUMBER(VLOOKUP(AJ135,Match!$T$5:$T$10,1,FALSE))</f>
        <v>0</v>
      </c>
      <c r="AC143" s="161" t="b">
        <f>IF(AB143=TRUE,(VLOOKUP($AJ135,Match!$T$5:$U$10,2,FALSE)))</f>
        <v>0</v>
      </c>
      <c r="AD143" s="8">
        <v>3</v>
      </c>
      <c r="AE143" s="8">
        <v>2</v>
      </c>
      <c r="AF143" s="8">
        <v>2</v>
      </c>
      <c r="AG143" s="8">
        <v>1</v>
      </c>
      <c r="AH143" s="8" t="str">
        <f t="shared" si="39"/>
        <v/>
      </c>
      <c r="BA143" s="24"/>
      <c r="BC143" s="12"/>
      <c r="BS143" s="127"/>
    </row>
    <row r="144" spans="1:71" x14ac:dyDescent="0.25">
      <c r="A144" s="29">
        <f t="shared" si="41"/>
        <v>0</v>
      </c>
      <c r="B144" s="29">
        <f t="shared" si="50"/>
        <v>0</v>
      </c>
      <c r="C144" s="29">
        <f t="shared" si="51"/>
        <v>0</v>
      </c>
      <c r="D144" s="29">
        <f t="shared" si="52"/>
        <v>0</v>
      </c>
      <c r="E144" s="29">
        <f t="shared" si="42"/>
        <v>0</v>
      </c>
      <c r="F144" s="29">
        <f t="shared" si="43"/>
        <v>0</v>
      </c>
      <c r="G144" s="29" t="str">
        <f t="shared" si="44"/>
        <v>offensive</v>
      </c>
      <c r="H144" s="16">
        <f t="shared" si="48"/>
        <v>0</v>
      </c>
      <c r="I144" s="16">
        <f t="shared" si="49"/>
        <v>0</v>
      </c>
      <c r="J144" s="16">
        <f t="shared" si="53"/>
        <v>0</v>
      </c>
      <c r="K144" s="16">
        <f t="shared" si="45"/>
        <v>0</v>
      </c>
      <c r="L144" s="67">
        <f t="shared" si="46"/>
        <v>0</v>
      </c>
      <c r="M144" s="4">
        <f t="shared" si="54"/>
        <v>0</v>
      </c>
      <c r="N144" s="4">
        <f t="shared" si="40"/>
        <v>0</v>
      </c>
      <c r="O144" s="4">
        <f t="shared" si="47"/>
        <v>0</v>
      </c>
      <c r="P144" s="4" t="e">
        <f>VLOOKUP(AJ136,'CIR Team Info'!$C$5:$E$44,2,FALSE)</f>
        <v>#N/A</v>
      </c>
      <c r="Q144" s="4" t="e">
        <f>VLOOKUP(AJ136,'CIR Team Info'!$C$5:$E$44,3,FALSE)</f>
        <v>#N/A</v>
      </c>
      <c r="R144" s="10" t="e">
        <f>VLOOKUP(AJ136,'FRC Site Data'!$B$3:$L$42,2,FALSE)</f>
        <v>#N/A</v>
      </c>
      <c r="S144" s="10" t="e">
        <f>VLOOKUP(AJ136,'FRC Site Data'!$B$3:$L$42,3,FALSE)</f>
        <v>#N/A</v>
      </c>
      <c r="T144" s="10" t="e">
        <f>VLOOKUP(AJ136,'FRC Site Data'!$B$3:$L$42,4,FALSE)</f>
        <v>#N/A</v>
      </c>
      <c r="U144" s="10" t="e">
        <f>VLOOKUP(AJ136,'FRC Site Data'!$B$3:$L$42,5,FALSE)</f>
        <v>#N/A</v>
      </c>
      <c r="V144" s="10" t="e">
        <f>VLOOKUP(AJ136,'FRC Site Data'!$B$3:$L$42,6,FALSE)</f>
        <v>#N/A</v>
      </c>
      <c r="W144" s="10" t="e">
        <f>VLOOKUP(AJ136,'FRC Site Data'!$B$3:$L$42,8,FALSE)</f>
        <v>#N/A</v>
      </c>
      <c r="X144" s="10" t="e">
        <f>VLOOKUP(AJ136,'FRC Site Data'!$B$3:$L$42,9,FALSE)</f>
        <v>#N/A</v>
      </c>
      <c r="Y144" s="10" t="e">
        <f>VLOOKUP(AJ136,'FRC Site Data'!$B$3:$L$42,10,FALSE)</f>
        <v>#N/A</v>
      </c>
      <c r="Z144" s="10" t="e">
        <f>VLOOKUP(AJ136,'FRC Site Data'!$B$3:$L$42,11,FALSE)</f>
        <v>#N/A</v>
      </c>
      <c r="AA144" s="10" t="e">
        <f>VLOOKUP(AJ136,'CIR Team Info'!$C$5:$E$44,4,FALSE)</f>
        <v>#N/A</v>
      </c>
      <c r="AB144" s="161" t="b">
        <f>ISNUMBER(VLOOKUP(AJ136,Match!$T$5:$T$10,1,FALSE))</f>
        <v>0</v>
      </c>
      <c r="AC144" s="161" t="b">
        <f>IF(AB144=TRUE,(VLOOKUP($AJ136,Match!$T$5:$U$10,2,FALSE)))</f>
        <v>0</v>
      </c>
      <c r="AD144" s="8">
        <v>3</v>
      </c>
      <c r="AE144" s="8">
        <v>2</v>
      </c>
      <c r="AF144" s="8">
        <v>2</v>
      </c>
      <c r="AG144" s="8">
        <v>1</v>
      </c>
      <c r="AH144" s="8" t="str">
        <f t="shared" si="39"/>
        <v/>
      </c>
      <c r="BA144" s="24"/>
      <c r="BC144" s="12"/>
      <c r="BS144" s="127"/>
    </row>
    <row r="145" spans="1:71" x14ac:dyDescent="0.25">
      <c r="A145" s="29">
        <f t="shared" si="41"/>
        <v>0</v>
      </c>
      <c r="B145" s="29">
        <f t="shared" si="50"/>
        <v>0</v>
      </c>
      <c r="C145" s="29">
        <f t="shared" si="51"/>
        <v>0</v>
      </c>
      <c r="D145" s="29">
        <f t="shared" si="52"/>
        <v>0</v>
      </c>
      <c r="E145" s="29">
        <f t="shared" si="42"/>
        <v>0</v>
      </c>
      <c r="F145" s="29">
        <f t="shared" si="43"/>
        <v>0</v>
      </c>
      <c r="G145" s="29" t="str">
        <f t="shared" si="44"/>
        <v>offensive</v>
      </c>
      <c r="H145" s="16">
        <f t="shared" si="48"/>
        <v>0</v>
      </c>
      <c r="I145" s="16">
        <f t="shared" si="49"/>
        <v>0</v>
      </c>
      <c r="J145" s="16">
        <f t="shared" si="53"/>
        <v>0</v>
      </c>
      <c r="K145" s="16">
        <f t="shared" si="45"/>
        <v>0</v>
      </c>
      <c r="L145" s="67">
        <f t="shared" si="46"/>
        <v>0</v>
      </c>
      <c r="M145" s="4">
        <f t="shared" si="54"/>
        <v>0</v>
      </c>
      <c r="N145" s="4">
        <f t="shared" si="40"/>
        <v>0</v>
      </c>
      <c r="O145" s="4">
        <f t="shared" si="47"/>
        <v>0</v>
      </c>
      <c r="P145" s="4" t="e">
        <f>VLOOKUP(AJ137,'CIR Team Info'!$C$5:$E$44,2,FALSE)</f>
        <v>#N/A</v>
      </c>
      <c r="Q145" s="4" t="e">
        <f>VLOOKUP(AJ137,'CIR Team Info'!$C$5:$E$44,3,FALSE)</f>
        <v>#N/A</v>
      </c>
      <c r="R145" s="10" t="e">
        <f>VLOOKUP(AJ137,'FRC Site Data'!$B$3:$L$42,2,FALSE)</f>
        <v>#N/A</v>
      </c>
      <c r="S145" s="10" t="e">
        <f>VLOOKUP(AJ137,'FRC Site Data'!$B$3:$L$42,3,FALSE)</f>
        <v>#N/A</v>
      </c>
      <c r="T145" s="10" t="e">
        <f>VLOOKUP(AJ137,'FRC Site Data'!$B$3:$L$42,4,FALSE)</f>
        <v>#N/A</v>
      </c>
      <c r="U145" s="10" t="e">
        <f>VLOOKUP(AJ137,'FRC Site Data'!$B$3:$L$42,5,FALSE)</f>
        <v>#N/A</v>
      </c>
      <c r="V145" s="10" t="e">
        <f>VLOOKUP(AJ137,'FRC Site Data'!$B$3:$L$42,6,FALSE)</f>
        <v>#N/A</v>
      </c>
      <c r="W145" s="10" t="e">
        <f>VLOOKUP(AJ137,'FRC Site Data'!$B$3:$L$42,8,FALSE)</f>
        <v>#N/A</v>
      </c>
      <c r="X145" s="10" t="e">
        <f>VLOOKUP(AJ137,'FRC Site Data'!$B$3:$L$42,9,FALSE)</f>
        <v>#N/A</v>
      </c>
      <c r="Y145" s="10" t="e">
        <f>VLOOKUP(AJ137,'FRC Site Data'!$B$3:$L$42,10,FALSE)</f>
        <v>#N/A</v>
      </c>
      <c r="Z145" s="10" t="e">
        <f>VLOOKUP(AJ137,'FRC Site Data'!$B$3:$L$42,11,FALSE)</f>
        <v>#N/A</v>
      </c>
      <c r="AA145" s="10" t="e">
        <f>VLOOKUP(AJ137,'CIR Team Info'!$C$5:$E$44,4,FALSE)</f>
        <v>#N/A</v>
      </c>
      <c r="AB145" s="161" t="b">
        <f>ISNUMBER(VLOOKUP(AJ137,Match!$T$5:$T$10,1,FALSE))</f>
        <v>0</v>
      </c>
      <c r="AC145" s="161" t="b">
        <f>IF(AB145=TRUE,(VLOOKUP($AJ137,Match!$T$5:$U$10,2,FALSE)))</f>
        <v>0</v>
      </c>
      <c r="AD145" s="8">
        <v>3</v>
      </c>
      <c r="AE145" s="8">
        <v>2</v>
      </c>
      <c r="AF145" s="8">
        <v>2</v>
      </c>
      <c r="AG145" s="8">
        <v>1</v>
      </c>
      <c r="AH145" s="8" t="str">
        <f t="shared" si="39"/>
        <v/>
      </c>
      <c r="BA145" s="24"/>
      <c r="BC145" s="12"/>
      <c r="BS145" s="127"/>
    </row>
    <row r="146" spans="1:71" x14ac:dyDescent="0.25">
      <c r="A146" s="29">
        <f t="shared" si="41"/>
        <v>0</v>
      </c>
      <c r="B146" s="29">
        <f t="shared" si="50"/>
        <v>0</v>
      </c>
      <c r="C146" s="29">
        <f t="shared" si="51"/>
        <v>0</v>
      </c>
      <c r="D146" s="29">
        <f t="shared" si="52"/>
        <v>0</v>
      </c>
      <c r="E146" s="29">
        <f t="shared" si="42"/>
        <v>0</v>
      </c>
      <c r="F146" s="29">
        <f t="shared" si="43"/>
        <v>0</v>
      </c>
      <c r="G146" s="29" t="str">
        <f t="shared" si="44"/>
        <v>offensive</v>
      </c>
      <c r="H146" s="16">
        <f t="shared" si="48"/>
        <v>0</v>
      </c>
      <c r="I146" s="16">
        <f t="shared" si="49"/>
        <v>0</v>
      </c>
      <c r="J146" s="16">
        <f t="shared" si="53"/>
        <v>0</v>
      </c>
      <c r="K146" s="16">
        <f t="shared" si="45"/>
        <v>0</v>
      </c>
      <c r="L146" s="67">
        <f t="shared" si="46"/>
        <v>0</v>
      </c>
      <c r="M146" s="4">
        <f t="shared" si="54"/>
        <v>0</v>
      </c>
      <c r="N146" s="4">
        <f t="shared" si="40"/>
        <v>0</v>
      </c>
      <c r="O146" s="4">
        <f t="shared" si="47"/>
        <v>0</v>
      </c>
      <c r="P146" s="4" t="e">
        <f>VLOOKUP(AJ138,'CIR Team Info'!$C$5:$E$44,2,FALSE)</f>
        <v>#N/A</v>
      </c>
      <c r="Q146" s="4" t="e">
        <f>VLOOKUP(AJ138,'CIR Team Info'!$C$5:$E$44,3,FALSE)</f>
        <v>#N/A</v>
      </c>
      <c r="R146" s="10" t="e">
        <f>VLOOKUP(AJ138,'FRC Site Data'!$B$3:$L$42,2,FALSE)</f>
        <v>#N/A</v>
      </c>
      <c r="S146" s="10" t="e">
        <f>VLOOKUP(AJ138,'FRC Site Data'!$B$3:$L$42,3,FALSE)</f>
        <v>#N/A</v>
      </c>
      <c r="T146" s="10" t="e">
        <f>VLOOKUP(AJ138,'FRC Site Data'!$B$3:$L$42,4,FALSE)</f>
        <v>#N/A</v>
      </c>
      <c r="U146" s="10" t="e">
        <f>VLOOKUP(AJ138,'FRC Site Data'!$B$3:$L$42,5,FALSE)</f>
        <v>#N/A</v>
      </c>
      <c r="V146" s="10" t="e">
        <f>VLOOKUP(AJ138,'FRC Site Data'!$B$3:$L$42,6,FALSE)</f>
        <v>#N/A</v>
      </c>
      <c r="W146" s="10" t="e">
        <f>VLOOKUP(AJ138,'FRC Site Data'!$B$3:$L$42,8,FALSE)</f>
        <v>#N/A</v>
      </c>
      <c r="X146" s="10" t="e">
        <f>VLOOKUP(AJ138,'FRC Site Data'!$B$3:$L$42,9,FALSE)</f>
        <v>#N/A</v>
      </c>
      <c r="Y146" s="10" t="e">
        <f>VLOOKUP(AJ138,'FRC Site Data'!$B$3:$L$42,10,FALSE)</f>
        <v>#N/A</v>
      </c>
      <c r="Z146" s="10" t="e">
        <f>VLOOKUP(AJ138,'FRC Site Data'!$B$3:$L$42,11,FALSE)</f>
        <v>#N/A</v>
      </c>
      <c r="AA146" s="10" t="e">
        <f>VLOOKUP(AJ138,'CIR Team Info'!$C$5:$E$44,4,FALSE)</f>
        <v>#N/A</v>
      </c>
      <c r="AB146" s="161" t="b">
        <f>ISNUMBER(VLOOKUP(AJ138,Match!$T$5:$T$10,1,FALSE))</f>
        <v>0</v>
      </c>
      <c r="AC146" s="161" t="b">
        <f>IF(AB146=TRUE,(VLOOKUP($AJ138,Match!$T$5:$U$10,2,FALSE)))</f>
        <v>0</v>
      </c>
      <c r="AD146" s="8">
        <v>3</v>
      </c>
      <c r="AE146" s="8">
        <v>2</v>
      </c>
      <c r="AF146" s="8">
        <v>2</v>
      </c>
      <c r="AG146" s="8">
        <v>1</v>
      </c>
      <c r="AH146" s="8" t="str">
        <f t="shared" si="39"/>
        <v/>
      </c>
      <c r="BA146" s="24"/>
      <c r="BC146" s="12"/>
      <c r="BS146" s="127"/>
    </row>
    <row r="147" spans="1:71" x14ac:dyDescent="0.25">
      <c r="A147" s="29">
        <f t="shared" si="41"/>
        <v>0</v>
      </c>
      <c r="B147" s="29">
        <f t="shared" si="50"/>
        <v>0</v>
      </c>
      <c r="C147" s="29">
        <f t="shared" si="51"/>
        <v>0</v>
      </c>
      <c r="D147" s="29">
        <f t="shared" si="52"/>
        <v>0</v>
      </c>
      <c r="E147" s="29">
        <f t="shared" si="42"/>
        <v>0</v>
      </c>
      <c r="F147" s="29">
        <f t="shared" si="43"/>
        <v>0</v>
      </c>
      <c r="G147" s="29" t="str">
        <f t="shared" si="44"/>
        <v>offensive</v>
      </c>
      <c r="H147" s="16">
        <f t="shared" si="48"/>
        <v>0</v>
      </c>
      <c r="I147" s="16">
        <f t="shared" si="49"/>
        <v>0</v>
      </c>
      <c r="J147" s="16">
        <f t="shared" si="53"/>
        <v>0</v>
      </c>
      <c r="K147" s="16">
        <f t="shared" si="45"/>
        <v>0</v>
      </c>
      <c r="L147" s="67">
        <f t="shared" si="46"/>
        <v>0</v>
      </c>
      <c r="M147" s="4">
        <f t="shared" si="54"/>
        <v>0</v>
      </c>
      <c r="N147" s="4">
        <f t="shared" si="40"/>
        <v>0</v>
      </c>
      <c r="O147" s="4">
        <f t="shared" si="47"/>
        <v>0</v>
      </c>
      <c r="P147" s="4" t="e">
        <f>VLOOKUP(AJ139,'CIR Team Info'!$C$5:$E$44,2,FALSE)</f>
        <v>#N/A</v>
      </c>
      <c r="Q147" s="4" t="e">
        <f>VLOOKUP(AJ139,'CIR Team Info'!$C$5:$E$44,3,FALSE)</f>
        <v>#N/A</v>
      </c>
      <c r="R147" s="10" t="e">
        <f>VLOOKUP(AJ139,'FRC Site Data'!$B$3:$L$42,2,FALSE)</f>
        <v>#N/A</v>
      </c>
      <c r="S147" s="10" t="e">
        <f>VLOOKUP(AJ139,'FRC Site Data'!$B$3:$L$42,3,FALSE)</f>
        <v>#N/A</v>
      </c>
      <c r="T147" s="10" t="e">
        <f>VLOOKUP(AJ139,'FRC Site Data'!$B$3:$L$42,4,FALSE)</f>
        <v>#N/A</v>
      </c>
      <c r="U147" s="10" t="e">
        <f>VLOOKUP(AJ139,'FRC Site Data'!$B$3:$L$42,5,FALSE)</f>
        <v>#N/A</v>
      </c>
      <c r="V147" s="10" t="e">
        <f>VLOOKUP(AJ139,'FRC Site Data'!$B$3:$L$42,6,FALSE)</f>
        <v>#N/A</v>
      </c>
      <c r="W147" s="10" t="e">
        <f>VLOOKUP(AJ139,'FRC Site Data'!$B$3:$L$42,8,FALSE)</f>
        <v>#N/A</v>
      </c>
      <c r="X147" s="10" t="e">
        <f>VLOOKUP(AJ139,'FRC Site Data'!$B$3:$L$42,9,FALSE)</f>
        <v>#N/A</v>
      </c>
      <c r="Y147" s="10" t="e">
        <f>VLOOKUP(AJ139,'FRC Site Data'!$B$3:$L$42,10,FALSE)</f>
        <v>#N/A</v>
      </c>
      <c r="Z147" s="10" t="e">
        <f>VLOOKUP(AJ139,'FRC Site Data'!$B$3:$L$42,11,FALSE)</f>
        <v>#N/A</v>
      </c>
      <c r="AA147" s="10" t="e">
        <f>VLOOKUP(AJ139,'CIR Team Info'!$C$5:$E$44,4,FALSE)</f>
        <v>#N/A</v>
      </c>
      <c r="AB147" s="161" t="b">
        <f>ISNUMBER(VLOOKUP(AJ139,Match!$T$5:$T$10,1,FALSE))</f>
        <v>0</v>
      </c>
      <c r="AC147" s="161" t="b">
        <f>IF(AB147=TRUE,(VLOOKUP($AJ139,Match!$T$5:$U$10,2,FALSE)))</f>
        <v>0</v>
      </c>
      <c r="AD147" s="8">
        <v>3</v>
      </c>
      <c r="AE147" s="8">
        <v>2</v>
      </c>
      <c r="AF147" s="8">
        <v>2</v>
      </c>
      <c r="AG147" s="8">
        <v>1</v>
      </c>
      <c r="AH147" s="8" t="str">
        <f t="shared" si="39"/>
        <v/>
      </c>
      <c r="BA147" s="24"/>
      <c r="BC147" s="12"/>
      <c r="BS147" s="127"/>
    </row>
    <row r="148" spans="1:71" x14ac:dyDescent="0.25">
      <c r="A148" s="29">
        <f t="shared" si="41"/>
        <v>0</v>
      </c>
      <c r="B148" s="29">
        <f t="shared" si="50"/>
        <v>0</v>
      </c>
      <c r="C148" s="29">
        <f t="shared" si="51"/>
        <v>0</v>
      </c>
      <c r="D148" s="29">
        <f t="shared" si="52"/>
        <v>0</v>
      </c>
      <c r="E148" s="29">
        <f t="shared" si="42"/>
        <v>0</v>
      </c>
      <c r="F148" s="29">
        <f t="shared" si="43"/>
        <v>0</v>
      </c>
      <c r="G148" s="29" t="str">
        <f t="shared" si="44"/>
        <v>offensive</v>
      </c>
      <c r="H148" s="16">
        <f t="shared" si="48"/>
        <v>0</v>
      </c>
      <c r="I148" s="16">
        <f t="shared" si="49"/>
        <v>0</v>
      </c>
      <c r="J148" s="16">
        <f t="shared" si="53"/>
        <v>0</v>
      </c>
      <c r="K148" s="16">
        <f t="shared" si="45"/>
        <v>0</v>
      </c>
      <c r="L148" s="67">
        <f t="shared" si="46"/>
        <v>0</v>
      </c>
      <c r="M148" s="4">
        <f t="shared" si="54"/>
        <v>0</v>
      </c>
      <c r="N148" s="4">
        <f t="shared" si="40"/>
        <v>0</v>
      </c>
      <c r="O148" s="4">
        <f t="shared" si="47"/>
        <v>0</v>
      </c>
      <c r="P148" s="4" t="e">
        <f>VLOOKUP(AJ140,'CIR Team Info'!$C$5:$E$44,2,FALSE)</f>
        <v>#N/A</v>
      </c>
      <c r="Q148" s="4" t="e">
        <f>VLOOKUP(AJ140,'CIR Team Info'!$C$5:$E$44,3,FALSE)</f>
        <v>#N/A</v>
      </c>
      <c r="R148" s="10" t="e">
        <f>VLOOKUP(AJ140,'FRC Site Data'!$B$3:$L$42,2,FALSE)</f>
        <v>#N/A</v>
      </c>
      <c r="S148" s="10" t="e">
        <f>VLOOKUP(AJ140,'FRC Site Data'!$B$3:$L$42,3,FALSE)</f>
        <v>#N/A</v>
      </c>
      <c r="T148" s="10" t="e">
        <f>VLOOKUP(AJ140,'FRC Site Data'!$B$3:$L$42,4,FALSE)</f>
        <v>#N/A</v>
      </c>
      <c r="U148" s="10" t="e">
        <f>VLOOKUP(AJ140,'FRC Site Data'!$B$3:$L$42,5,FALSE)</f>
        <v>#N/A</v>
      </c>
      <c r="V148" s="10" t="e">
        <f>VLOOKUP(AJ140,'FRC Site Data'!$B$3:$L$42,6,FALSE)</f>
        <v>#N/A</v>
      </c>
      <c r="W148" s="10" t="e">
        <f>VLOOKUP(AJ140,'FRC Site Data'!$B$3:$L$42,8,FALSE)</f>
        <v>#N/A</v>
      </c>
      <c r="X148" s="10" t="e">
        <f>VLOOKUP(AJ140,'FRC Site Data'!$B$3:$L$42,9,FALSE)</f>
        <v>#N/A</v>
      </c>
      <c r="Y148" s="10" t="e">
        <f>VLOOKUP(AJ140,'FRC Site Data'!$B$3:$L$42,10,FALSE)</f>
        <v>#N/A</v>
      </c>
      <c r="Z148" s="10" t="e">
        <f>VLOOKUP(AJ140,'FRC Site Data'!$B$3:$L$42,11,FALSE)</f>
        <v>#N/A</v>
      </c>
      <c r="AA148" s="10" t="e">
        <f>VLOOKUP(AJ140,'CIR Team Info'!$C$5:$E$44,4,FALSE)</f>
        <v>#N/A</v>
      </c>
      <c r="AB148" s="161" t="b">
        <f>ISNUMBER(VLOOKUP(AJ140,Match!$T$5:$T$10,1,FALSE))</f>
        <v>0</v>
      </c>
      <c r="AC148" s="161" t="b">
        <f>IF(AB148=TRUE,(VLOOKUP($AJ140,Match!$T$5:$U$10,2,FALSE)))</f>
        <v>0</v>
      </c>
      <c r="AD148" s="8">
        <v>3</v>
      </c>
      <c r="AE148" s="8">
        <v>2</v>
      </c>
      <c r="AF148" s="8">
        <v>2</v>
      </c>
      <c r="AG148" s="8">
        <v>1</v>
      </c>
      <c r="AH148" s="8" t="str">
        <f t="shared" si="39"/>
        <v/>
      </c>
      <c r="BA148" s="24"/>
      <c r="BC148" s="12"/>
      <c r="BS148" s="127"/>
    </row>
    <row r="149" spans="1:71" x14ac:dyDescent="0.25">
      <c r="A149" s="29">
        <f t="shared" si="41"/>
        <v>0</v>
      </c>
      <c r="B149" s="29">
        <f t="shared" si="50"/>
        <v>0</v>
      </c>
      <c r="C149" s="29">
        <f t="shared" si="51"/>
        <v>0</v>
      </c>
      <c r="D149" s="29">
        <f t="shared" si="52"/>
        <v>0</v>
      </c>
      <c r="E149" s="29">
        <f t="shared" si="42"/>
        <v>0</v>
      </c>
      <c r="F149" s="29">
        <f t="shared" si="43"/>
        <v>0</v>
      </c>
      <c r="G149" s="29" t="str">
        <f t="shared" si="44"/>
        <v>offensive</v>
      </c>
      <c r="H149" s="16">
        <f t="shared" si="48"/>
        <v>0</v>
      </c>
      <c r="I149" s="16">
        <f t="shared" si="49"/>
        <v>0</v>
      </c>
      <c r="J149" s="16">
        <f t="shared" si="53"/>
        <v>0</v>
      </c>
      <c r="K149" s="16">
        <f t="shared" si="45"/>
        <v>0</v>
      </c>
      <c r="L149" s="67">
        <f t="shared" si="46"/>
        <v>0</v>
      </c>
      <c r="M149" s="4">
        <f t="shared" si="54"/>
        <v>0</v>
      </c>
      <c r="N149" s="4">
        <f t="shared" si="40"/>
        <v>0</v>
      </c>
      <c r="O149" s="4">
        <f t="shared" si="47"/>
        <v>0</v>
      </c>
      <c r="P149" s="4" t="e">
        <f>VLOOKUP(AJ141,'CIR Team Info'!$C$5:$E$44,2,FALSE)</f>
        <v>#N/A</v>
      </c>
      <c r="Q149" s="4" t="e">
        <f>VLOOKUP(AJ141,'CIR Team Info'!$C$5:$E$44,3,FALSE)</f>
        <v>#N/A</v>
      </c>
      <c r="R149" s="10" t="e">
        <f>VLOOKUP(AJ141,'FRC Site Data'!$B$3:$L$42,2,FALSE)</f>
        <v>#N/A</v>
      </c>
      <c r="S149" s="10" t="e">
        <f>VLOOKUP(AJ141,'FRC Site Data'!$B$3:$L$42,3,FALSE)</f>
        <v>#N/A</v>
      </c>
      <c r="T149" s="10" t="e">
        <f>VLOOKUP(AJ141,'FRC Site Data'!$B$3:$L$42,4,FALSE)</f>
        <v>#N/A</v>
      </c>
      <c r="U149" s="10" t="e">
        <f>VLOOKUP(AJ141,'FRC Site Data'!$B$3:$L$42,5,FALSE)</f>
        <v>#N/A</v>
      </c>
      <c r="V149" s="10" t="e">
        <f>VLOOKUP(AJ141,'FRC Site Data'!$B$3:$L$42,6,FALSE)</f>
        <v>#N/A</v>
      </c>
      <c r="W149" s="10" t="e">
        <f>VLOOKUP(AJ141,'FRC Site Data'!$B$3:$L$42,8,FALSE)</f>
        <v>#N/A</v>
      </c>
      <c r="X149" s="10" t="e">
        <f>VLOOKUP(AJ141,'FRC Site Data'!$B$3:$L$42,9,FALSE)</f>
        <v>#N/A</v>
      </c>
      <c r="Y149" s="10" t="e">
        <f>VLOOKUP(AJ141,'FRC Site Data'!$B$3:$L$42,10,FALSE)</f>
        <v>#N/A</v>
      </c>
      <c r="Z149" s="10" t="e">
        <f>VLOOKUP(AJ141,'FRC Site Data'!$B$3:$L$42,11,FALSE)</f>
        <v>#N/A</v>
      </c>
      <c r="AA149" s="10" t="e">
        <f>VLOOKUP(AJ141,'CIR Team Info'!$C$5:$E$44,4,FALSE)</f>
        <v>#N/A</v>
      </c>
      <c r="AB149" s="161" t="b">
        <f>ISNUMBER(VLOOKUP(AJ141,Match!$T$5:$T$10,1,FALSE))</f>
        <v>0</v>
      </c>
      <c r="AC149" s="161" t="b">
        <f>IF(AB149=TRUE,(VLOOKUP($AJ141,Match!$T$5:$U$10,2,FALSE)))</f>
        <v>0</v>
      </c>
      <c r="AD149" s="8">
        <v>3</v>
      </c>
      <c r="AE149" s="8">
        <v>2</v>
      </c>
      <c r="AF149" s="8">
        <v>2</v>
      </c>
      <c r="AG149" s="8">
        <v>1</v>
      </c>
      <c r="AH149" s="8" t="str">
        <f t="shared" si="39"/>
        <v/>
      </c>
      <c r="BA149" s="24"/>
      <c r="BC149" s="12"/>
      <c r="BS149" s="127"/>
    </row>
    <row r="150" spans="1:71" x14ac:dyDescent="0.25">
      <c r="A150" s="29">
        <f t="shared" si="41"/>
        <v>0</v>
      </c>
      <c r="B150" s="29">
        <f t="shared" si="50"/>
        <v>0</v>
      </c>
      <c r="C150" s="29">
        <f t="shared" si="51"/>
        <v>0</v>
      </c>
      <c r="D150" s="29">
        <f t="shared" si="52"/>
        <v>0</v>
      </c>
      <c r="E150" s="29">
        <f t="shared" si="42"/>
        <v>0</v>
      </c>
      <c r="F150" s="29">
        <f t="shared" si="43"/>
        <v>0</v>
      </c>
      <c r="G150" s="29" t="str">
        <f t="shared" si="44"/>
        <v>offensive</v>
      </c>
      <c r="H150" s="16">
        <f t="shared" si="48"/>
        <v>0</v>
      </c>
      <c r="I150" s="16">
        <f t="shared" si="49"/>
        <v>0</v>
      </c>
      <c r="J150" s="16">
        <f t="shared" si="53"/>
        <v>0</v>
      </c>
      <c r="K150" s="16">
        <f t="shared" si="45"/>
        <v>0</v>
      </c>
      <c r="L150" s="67">
        <f t="shared" si="46"/>
        <v>0</v>
      </c>
      <c r="M150" s="4">
        <f t="shared" si="54"/>
        <v>0</v>
      </c>
      <c r="N150" s="4">
        <f t="shared" si="40"/>
        <v>0</v>
      </c>
      <c r="O150" s="4">
        <f t="shared" si="47"/>
        <v>0</v>
      </c>
      <c r="P150" s="4" t="e">
        <f>VLOOKUP(AJ142,'CIR Team Info'!$C$5:$E$44,2,FALSE)</f>
        <v>#N/A</v>
      </c>
      <c r="Q150" s="4" t="e">
        <f>VLOOKUP(AJ142,'CIR Team Info'!$C$5:$E$44,3,FALSE)</f>
        <v>#N/A</v>
      </c>
      <c r="R150" s="10" t="e">
        <f>VLOOKUP(AJ142,'FRC Site Data'!$B$3:$L$42,2,FALSE)</f>
        <v>#N/A</v>
      </c>
      <c r="S150" s="10" t="e">
        <f>VLOOKUP(AJ142,'FRC Site Data'!$B$3:$L$42,3,FALSE)</f>
        <v>#N/A</v>
      </c>
      <c r="T150" s="10" t="e">
        <f>VLOOKUP(AJ142,'FRC Site Data'!$B$3:$L$42,4,FALSE)</f>
        <v>#N/A</v>
      </c>
      <c r="U150" s="10" t="e">
        <f>VLOOKUP(AJ142,'FRC Site Data'!$B$3:$L$42,5,FALSE)</f>
        <v>#N/A</v>
      </c>
      <c r="V150" s="10" t="e">
        <f>VLOOKUP(AJ142,'FRC Site Data'!$B$3:$L$42,6,FALSE)</f>
        <v>#N/A</v>
      </c>
      <c r="W150" s="10" t="e">
        <f>VLOOKUP(AJ142,'FRC Site Data'!$B$3:$L$42,8,FALSE)</f>
        <v>#N/A</v>
      </c>
      <c r="X150" s="10" t="e">
        <f>VLOOKUP(AJ142,'FRC Site Data'!$B$3:$L$42,9,FALSE)</f>
        <v>#N/A</v>
      </c>
      <c r="Y150" s="10" t="e">
        <f>VLOOKUP(AJ142,'FRC Site Data'!$B$3:$L$42,10,FALSE)</f>
        <v>#N/A</v>
      </c>
      <c r="Z150" s="10" t="e">
        <f>VLOOKUP(AJ142,'FRC Site Data'!$B$3:$L$42,11,FALSE)</f>
        <v>#N/A</v>
      </c>
      <c r="AA150" s="10" t="e">
        <f>VLOOKUP(AJ142,'CIR Team Info'!$C$5:$E$44,4,FALSE)</f>
        <v>#N/A</v>
      </c>
      <c r="AB150" s="161" t="b">
        <f>ISNUMBER(VLOOKUP(AJ142,Match!$T$5:$T$10,1,FALSE))</f>
        <v>0</v>
      </c>
      <c r="AC150" s="161" t="b">
        <f>IF(AB150=TRUE,(VLOOKUP($AJ142,Match!$T$5:$U$10,2,FALSE)))</f>
        <v>0</v>
      </c>
      <c r="AD150" s="8">
        <v>3</v>
      </c>
      <c r="AE150" s="8">
        <v>2</v>
      </c>
      <c r="AF150" s="8">
        <v>2</v>
      </c>
      <c r="AG150" s="8">
        <v>1</v>
      </c>
      <c r="AH150" s="8" t="str">
        <f t="shared" si="39"/>
        <v/>
      </c>
      <c r="BA150" s="24"/>
      <c r="BC150" s="12"/>
      <c r="BS150" s="127"/>
    </row>
    <row r="151" spans="1:71" x14ac:dyDescent="0.25">
      <c r="A151" s="29">
        <f t="shared" si="41"/>
        <v>0</v>
      </c>
      <c r="B151" s="29">
        <f t="shared" si="50"/>
        <v>0</v>
      </c>
      <c r="C151" s="29">
        <f t="shared" si="51"/>
        <v>0</v>
      </c>
      <c r="D151" s="29">
        <f t="shared" si="52"/>
        <v>0</v>
      </c>
      <c r="E151" s="29">
        <f t="shared" si="42"/>
        <v>0</v>
      </c>
      <c r="F151" s="29">
        <f t="shared" si="43"/>
        <v>0</v>
      </c>
      <c r="G151" s="29" t="str">
        <f t="shared" si="44"/>
        <v>offensive</v>
      </c>
      <c r="H151" s="16">
        <f t="shared" si="48"/>
        <v>0</v>
      </c>
      <c r="I151" s="16">
        <f t="shared" si="49"/>
        <v>0</v>
      </c>
      <c r="J151" s="16">
        <f t="shared" si="53"/>
        <v>0</v>
      </c>
      <c r="K151" s="16">
        <f t="shared" si="45"/>
        <v>0</v>
      </c>
      <c r="L151" s="67">
        <f t="shared" si="46"/>
        <v>0</v>
      </c>
      <c r="M151" s="4">
        <f t="shared" si="54"/>
        <v>0</v>
      </c>
      <c r="N151" s="4">
        <f t="shared" si="40"/>
        <v>0</v>
      </c>
      <c r="O151" s="4">
        <f t="shared" si="47"/>
        <v>0</v>
      </c>
      <c r="P151" s="4" t="e">
        <f>VLOOKUP(AJ143,'CIR Team Info'!$C$5:$E$44,2,FALSE)</f>
        <v>#N/A</v>
      </c>
      <c r="Q151" s="4" t="e">
        <f>VLOOKUP(AJ143,'CIR Team Info'!$C$5:$E$44,3,FALSE)</f>
        <v>#N/A</v>
      </c>
      <c r="R151" s="10" t="e">
        <f>VLOOKUP(AJ143,'FRC Site Data'!$B$3:$L$42,2,FALSE)</f>
        <v>#N/A</v>
      </c>
      <c r="S151" s="10" t="e">
        <f>VLOOKUP(AJ143,'FRC Site Data'!$B$3:$L$42,3,FALSE)</f>
        <v>#N/A</v>
      </c>
      <c r="T151" s="10" t="e">
        <f>VLOOKUP(AJ143,'FRC Site Data'!$B$3:$L$42,4,FALSE)</f>
        <v>#N/A</v>
      </c>
      <c r="U151" s="10" t="e">
        <f>VLOOKUP(AJ143,'FRC Site Data'!$B$3:$L$42,5,FALSE)</f>
        <v>#N/A</v>
      </c>
      <c r="V151" s="10" t="e">
        <f>VLOOKUP(AJ143,'FRC Site Data'!$B$3:$L$42,6,FALSE)</f>
        <v>#N/A</v>
      </c>
      <c r="W151" s="10" t="e">
        <f>VLOOKUP(AJ143,'FRC Site Data'!$B$3:$L$42,8,FALSE)</f>
        <v>#N/A</v>
      </c>
      <c r="X151" s="10" t="e">
        <f>VLOOKUP(AJ143,'FRC Site Data'!$B$3:$L$42,9,FALSE)</f>
        <v>#N/A</v>
      </c>
      <c r="Y151" s="10" t="e">
        <f>VLOOKUP(AJ143,'FRC Site Data'!$B$3:$L$42,10,FALSE)</f>
        <v>#N/A</v>
      </c>
      <c r="Z151" s="10" t="e">
        <f>VLOOKUP(AJ143,'FRC Site Data'!$B$3:$L$42,11,FALSE)</f>
        <v>#N/A</v>
      </c>
      <c r="AA151" s="10" t="e">
        <f>VLOOKUP(AJ143,'CIR Team Info'!$C$5:$E$44,4,FALSE)</f>
        <v>#N/A</v>
      </c>
      <c r="AB151" s="161" t="b">
        <f>ISNUMBER(VLOOKUP(AJ143,Match!$T$5:$T$10,1,FALSE))</f>
        <v>0</v>
      </c>
      <c r="AC151" s="161" t="b">
        <f>IF(AB151=TRUE,(VLOOKUP($AJ143,Match!$T$5:$U$10,2,FALSE)))</f>
        <v>0</v>
      </c>
      <c r="AD151" s="8">
        <v>3</v>
      </c>
      <c r="AE151" s="8">
        <v>2</v>
      </c>
      <c r="AF151" s="8">
        <v>2</v>
      </c>
      <c r="AG151" s="8">
        <v>1</v>
      </c>
      <c r="AH151" s="8" t="str">
        <f t="shared" si="39"/>
        <v/>
      </c>
      <c r="BA151" s="24"/>
      <c r="BC151" s="12"/>
      <c r="BS151" s="127"/>
    </row>
    <row r="152" spans="1:71" x14ac:dyDescent="0.25">
      <c r="A152" s="29">
        <f t="shared" si="41"/>
        <v>0</v>
      </c>
      <c r="B152" s="29">
        <f t="shared" si="50"/>
        <v>0</v>
      </c>
      <c r="C152" s="29">
        <f t="shared" si="51"/>
        <v>0</v>
      </c>
      <c r="D152" s="29">
        <f t="shared" si="52"/>
        <v>0</v>
      </c>
      <c r="E152" s="29">
        <f t="shared" si="42"/>
        <v>0</v>
      </c>
      <c r="F152" s="29">
        <f t="shared" si="43"/>
        <v>0</v>
      </c>
      <c r="G152" s="29" t="str">
        <f t="shared" si="44"/>
        <v>offensive</v>
      </c>
      <c r="H152" s="16">
        <f t="shared" si="48"/>
        <v>0</v>
      </c>
      <c r="I152" s="16">
        <f t="shared" si="49"/>
        <v>0</v>
      </c>
      <c r="J152" s="16">
        <f t="shared" si="53"/>
        <v>0</v>
      </c>
      <c r="K152" s="16">
        <f t="shared" si="45"/>
        <v>0</v>
      </c>
      <c r="L152" s="67">
        <f t="shared" si="46"/>
        <v>0</v>
      </c>
      <c r="M152" s="4">
        <f t="shared" si="54"/>
        <v>0</v>
      </c>
      <c r="N152" s="4">
        <f t="shared" si="40"/>
        <v>0</v>
      </c>
      <c r="O152" s="4">
        <f t="shared" si="47"/>
        <v>0</v>
      </c>
      <c r="P152" s="4" t="e">
        <f>VLOOKUP(AJ144,'CIR Team Info'!$C$5:$E$44,2,FALSE)</f>
        <v>#N/A</v>
      </c>
      <c r="Q152" s="4" t="e">
        <f>VLOOKUP(AJ144,'CIR Team Info'!$C$5:$E$44,3,FALSE)</f>
        <v>#N/A</v>
      </c>
      <c r="R152" s="10" t="e">
        <f>VLOOKUP(AJ144,'FRC Site Data'!$B$3:$L$42,2,FALSE)</f>
        <v>#N/A</v>
      </c>
      <c r="S152" s="10" t="e">
        <f>VLOOKUP(AJ144,'FRC Site Data'!$B$3:$L$42,3,FALSE)</f>
        <v>#N/A</v>
      </c>
      <c r="T152" s="10" t="e">
        <f>VLOOKUP(AJ144,'FRC Site Data'!$B$3:$L$42,4,FALSE)</f>
        <v>#N/A</v>
      </c>
      <c r="U152" s="10" t="e">
        <f>VLOOKUP(AJ144,'FRC Site Data'!$B$3:$L$42,5,FALSE)</f>
        <v>#N/A</v>
      </c>
      <c r="V152" s="10" t="e">
        <f>VLOOKUP(AJ144,'FRC Site Data'!$B$3:$L$42,6,FALSE)</f>
        <v>#N/A</v>
      </c>
      <c r="W152" s="10" t="e">
        <f>VLOOKUP(AJ144,'FRC Site Data'!$B$3:$L$42,8,FALSE)</f>
        <v>#N/A</v>
      </c>
      <c r="X152" s="10" t="e">
        <f>VLOOKUP(AJ144,'FRC Site Data'!$B$3:$L$42,9,FALSE)</f>
        <v>#N/A</v>
      </c>
      <c r="Y152" s="10" t="e">
        <f>VLOOKUP(AJ144,'FRC Site Data'!$B$3:$L$42,10,FALSE)</f>
        <v>#N/A</v>
      </c>
      <c r="Z152" s="10" t="e">
        <f>VLOOKUP(AJ144,'FRC Site Data'!$B$3:$L$42,11,FALSE)</f>
        <v>#N/A</v>
      </c>
      <c r="AA152" s="10" t="e">
        <f>VLOOKUP(AJ144,'CIR Team Info'!$C$5:$E$44,4,FALSE)</f>
        <v>#N/A</v>
      </c>
      <c r="AB152" s="161" t="b">
        <f>ISNUMBER(VLOOKUP(AJ144,Match!$T$5:$T$10,1,FALSE))</f>
        <v>0</v>
      </c>
      <c r="AC152" s="161" t="b">
        <f>IF(AB152=TRUE,(VLOOKUP($AJ144,Match!$T$5:$U$10,2,FALSE)))</f>
        <v>0</v>
      </c>
      <c r="AD152" s="8">
        <v>3</v>
      </c>
      <c r="AE152" s="8">
        <v>2</v>
      </c>
      <c r="AF152" s="8">
        <v>2</v>
      </c>
      <c r="AG152" s="8">
        <v>1</v>
      </c>
      <c r="AH152" s="8" t="str">
        <f t="shared" si="39"/>
        <v/>
      </c>
      <c r="BA152" s="24"/>
      <c r="BC152" s="12"/>
      <c r="BS152" s="127"/>
    </row>
    <row r="153" spans="1:71" x14ac:dyDescent="0.25">
      <c r="A153" s="29">
        <f t="shared" si="41"/>
        <v>0</v>
      </c>
      <c r="B153" s="29">
        <f t="shared" si="50"/>
        <v>0</v>
      </c>
      <c r="C153" s="29">
        <f t="shared" si="51"/>
        <v>0</v>
      </c>
      <c r="D153" s="29">
        <f t="shared" si="52"/>
        <v>0</v>
      </c>
      <c r="E153" s="29">
        <f t="shared" si="42"/>
        <v>0</v>
      </c>
      <c r="F153" s="29">
        <f t="shared" si="43"/>
        <v>0</v>
      </c>
      <c r="G153" s="29" t="str">
        <f t="shared" si="44"/>
        <v>offensive</v>
      </c>
      <c r="H153" s="16">
        <f t="shared" si="48"/>
        <v>0</v>
      </c>
      <c r="I153" s="16">
        <f t="shared" si="49"/>
        <v>0</v>
      </c>
      <c r="J153" s="16">
        <f t="shared" si="53"/>
        <v>0</v>
      </c>
      <c r="K153" s="16">
        <f t="shared" si="45"/>
        <v>0</v>
      </c>
      <c r="L153" s="67">
        <f t="shared" si="46"/>
        <v>0</v>
      </c>
      <c r="M153" s="4">
        <f t="shared" si="54"/>
        <v>0</v>
      </c>
      <c r="N153" s="4">
        <f t="shared" si="40"/>
        <v>0</v>
      </c>
      <c r="O153" s="4">
        <f t="shared" si="47"/>
        <v>0</v>
      </c>
      <c r="P153" s="4" t="e">
        <f>VLOOKUP(AJ145,'CIR Team Info'!$C$5:$E$44,2,FALSE)</f>
        <v>#N/A</v>
      </c>
      <c r="Q153" s="4" t="e">
        <f>VLOOKUP(AJ145,'CIR Team Info'!$C$5:$E$44,3,FALSE)</f>
        <v>#N/A</v>
      </c>
      <c r="R153" s="10" t="e">
        <f>VLOOKUP(AJ145,'FRC Site Data'!$B$3:$L$42,2,FALSE)</f>
        <v>#N/A</v>
      </c>
      <c r="S153" s="10" t="e">
        <f>VLOOKUP(AJ145,'FRC Site Data'!$B$3:$L$42,3,FALSE)</f>
        <v>#N/A</v>
      </c>
      <c r="T153" s="10" t="e">
        <f>VLOOKUP(AJ145,'FRC Site Data'!$B$3:$L$42,4,FALSE)</f>
        <v>#N/A</v>
      </c>
      <c r="U153" s="10" t="e">
        <f>VLOOKUP(AJ145,'FRC Site Data'!$B$3:$L$42,5,FALSE)</f>
        <v>#N/A</v>
      </c>
      <c r="V153" s="10" t="e">
        <f>VLOOKUP(AJ145,'FRC Site Data'!$B$3:$L$42,6,FALSE)</f>
        <v>#N/A</v>
      </c>
      <c r="W153" s="10" t="e">
        <f>VLOOKUP(AJ145,'FRC Site Data'!$B$3:$L$42,8,FALSE)</f>
        <v>#N/A</v>
      </c>
      <c r="X153" s="10" t="e">
        <f>VLOOKUP(AJ145,'FRC Site Data'!$B$3:$L$42,9,FALSE)</f>
        <v>#N/A</v>
      </c>
      <c r="Y153" s="10" t="e">
        <f>VLOOKUP(AJ145,'FRC Site Data'!$B$3:$L$42,10,FALSE)</f>
        <v>#N/A</v>
      </c>
      <c r="Z153" s="10" t="e">
        <f>VLOOKUP(AJ145,'FRC Site Data'!$B$3:$L$42,11,FALSE)</f>
        <v>#N/A</v>
      </c>
      <c r="AA153" s="10" t="e">
        <f>VLOOKUP(AJ145,'CIR Team Info'!$C$5:$E$44,4,FALSE)</f>
        <v>#N/A</v>
      </c>
      <c r="AB153" s="161" t="b">
        <f>ISNUMBER(VLOOKUP(AJ145,Match!$T$5:$T$10,1,FALSE))</f>
        <v>0</v>
      </c>
      <c r="AC153" s="161" t="b">
        <f>IF(AB153=TRUE,(VLOOKUP($AJ145,Match!$T$5:$U$10,2,FALSE)))</f>
        <v>0</v>
      </c>
      <c r="AD153" s="8">
        <v>3</v>
      </c>
      <c r="AE153" s="8">
        <v>2</v>
      </c>
      <c r="AF153" s="8">
        <v>2</v>
      </c>
      <c r="AG153" s="8">
        <v>1</v>
      </c>
      <c r="AH153" s="8" t="str">
        <f t="shared" ref="AH153:AH215" si="55">IF(AL145="Other","x","")</f>
        <v/>
      </c>
      <c r="BA153" s="24"/>
      <c r="BC153" s="12"/>
      <c r="BS153" s="127"/>
    </row>
    <row r="154" spans="1:71" x14ac:dyDescent="0.25">
      <c r="A154" s="29">
        <f t="shared" si="41"/>
        <v>0</v>
      </c>
      <c r="B154" s="29">
        <f t="shared" si="50"/>
        <v>0</v>
      </c>
      <c r="C154" s="29">
        <f t="shared" si="51"/>
        <v>0</v>
      </c>
      <c r="D154" s="29">
        <f t="shared" si="52"/>
        <v>0</v>
      </c>
      <c r="E154" s="29">
        <f t="shared" si="42"/>
        <v>0</v>
      </c>
      <c r="F154" s="29">
        <f t="shared" si="43"/>
        <v>0</v>
      </c>
      <c r="G154" s="29" t="str">
        <f t="shared" si="44"/>
        <v>offensive</v>
      </c>
      <c r="H154" s="16">
        <f t="shared" si="48"/>
        <v>0</v>
      </c>
      <c r="I154" s="16">
        <f t="shared" si="49"/>
        <v>0</v>
      </c>
      <c r="J154" s="16">
        <f t="shared" si="53"/>
        <v>0</v>
      </c>
      <c r="K154" s="16">
        <f t="shared" si="45"/>
        <v>0</v>
      </c>
      <c r="L154" s="67">
        <f t="shared" si="46"/>
        <v>0</v>
      </c>
      <c r="M154" s="4">
        <f t="shared" si="54"/>
        <v>0</v>
      </c>
      <c r="N154" s="4">
        <f t="shared" si="40"/>
        <v>0</v>
      </c>
      <c r="O154" s="4">
        <f t="shared" si="47"/>
        <v>0</v>
      </c>
      <c r="P154" s="4" t="e">
        <f>VLOOKUP(AJ146,'CIR Team Info'!$C$5:$E$44,2,FALSE)</f>
        <v>#N/A</v>
      </c>
      <c r="Q154" s="4" t="e">
        <f>VLOOKUP(AJ146,'CIR Team Info'!$C$5:$E$44,3,FALSE)</f>
        <v>#N/A</v>
      </c>
      <c r="R154" s="10" t="e">
        <f>VLOOKUP(AJ146,'FRC Site Data'!$B$3:$L$42,2,FALSE)</f>
        <v>#N/A</v>
      </c>
      <c r="S154" s="10" t="e">
        <f>VLOOKUP(AJ146,'FRC Site Data'!$B$3:$L$42,3,FALSE)</f>
        <v>#N/A</v>
      </c>
      <c r="T154" s="10" t="e">
        <f>VLOOKUP(AJ146,'FRC Site Data'!$B$3:$L$42,4,FALSE)</f>
        <v>#N/A</v>
      </c>
      <c r="U154" s="10" t="e">
        <f>VLOOKUP(AJ146,'FRC Site Data'!$B$3:$L$42,5,FALSE)</f>
        <v>#N/A</v>
      </c>
      <c r="V154" s="10" t="e">
        <f>VLOOKUP(AJ146,'FRC Site Data'!$B$3:$L$42,6,FALSE)</f>
        <v>#N/A</v>
      </c>
      <c r="W154" s="10" t="e">
        <f>VLOOKUP(AJ146,'FRC Site Data'!$B$3:$L$42,8,FALSE)</f>
        <v>#N/A</v>
      </c>
      <c r="X154" s="10" t="e">
        <f>VLOOKUP(AJ146,'FRC Site Data'!$B$3:$L$42,9,FALSE)</f>
        <v>#N/A</v>
      </c>
      <c r="Y154" s="10" t="e">
        <f>VLOOKUP(AJ146,'FRC Site Data'!$B$3:$L$42,10,FALSE)</f>
        <v>#N/A</v>
      </c>
      <c r="Z154" s="10" t="e">
        <f>VLOOKUP(AJ146,'FRC Site Data'!$B$3:$L$42,11,FALSE)</f>
        <v>#N/A</v>
      </c>
      <c r="AA154" s="10" t="e">
        <f>VLOOKUP(AJ146,'CIR Team Info'!$C$5:$E$44,4,FALSE)</f>
        <v>#N/A</v>
      </c>
      <c r="AB154" s="161" t="b">
        <f>ISNUMBER(VLOOKUP(AJ146,Match!$T$5:$T$10,1,FALSE))</f>
        <v>0</v>
      </c>
      <c r="AC154" s="161" t="b">
        <f>IF(AB154=TRUE,(VLOOKUP($AJ146,Match!$T$5:$U$10,2,FALSE)))</f>
        <v>0</v>
      </c>
      <c r="AD154" s="8">
        <v>3</v>
      </c>
      <c r="AE154" s="8">
        <v>2</v>
      </c>
      <c r="AF154" s="8">
        <v>2</v>
      </c>
      <c r="AG154" s="8">
        <v>1</v>
      </c>
      <c r="AH154" s="8" t="str">
        <f t="shared" si="55"/>
        <v/>
      </c>
      <c r="BA154" s="24"/>
      <c r="BC154" s="12"/>
      <c r="BS154" s="127"/>
    </row>
    <row r="155" spans="1:71" x14ac:dyDescent="0.25">
      <c r="A155" s="29">
        <f t="shared" si="41"/>
        <v>0</v>
      </c>
      <c r="B155" s="29">
        <f t="shared" si="50"/>
        <v>0</v>
      </c>
      <c r="C155" s="29">
        <f t="shared" si="51"/>
        <v>0</v>
      </c>
      <c r="D155" s="29">
        <f t="shared" si="52"/>
        <v>0</v>
      </c>
      <c r="E155" s="29">
        <f t="shared" si="42"/>
        <v>0</v>
      </c>
      <c r="F155" s="29">
        <f t="shared" si="43"/>
        <v>0</v>
      </c>
      <c r="G155" s="29" t="str">
        <f t="shared" si="44"/>
        <v>offensive</v>
      </c>
      <c r="H155" s="16">
        <f t="shared" si="48"/>
        <v>0</v>
      </c>
      <c r="I155" s="16">
        <f t="shared" si="49"/>
        <v>0</v>
      </c>
      <c r="J155" s="16">
        <f t="shared" si="53"/>
        <v>0</v>
      </c>
      <c r="K155" s="16">
        <f t="shared" si="45"/>
        <v>0</v>
      </c>
      <c r="L155" s="67">
        <f t="shared" si="46"/>
        <v>0</v>
      </c>
      <c r="M155" s="4">
        <f t="shared" si="54"/>
        <v>0</v>
      </c>
      <c r="N155" s="4">
        <f t="shared" si="40"/>
        <v>0</v>
      </c>
      <c r="O155" s="4">
        <f t="shared" si="47"/>
        <v>0</v>
      </c>
      <c r="P155" s="4" t="e">
        <f>VLOOKUP(AJ147,'CIR Team Info'!$C$5:$E$44,2,FALSE)</f>
        <v>#N/A</v>
      </c>
      <c r="Q155" s="4" t="e">
        <f>VLOOKUP(AJ147,'CIR Team Info'!$C$5:$E$44,3,FALSE)</f>
        <v>#N/A</v>
      </c>
      <c r="R155" s="10" t="e">
        <f>VLOOKUP(AJ147,'FRC Site Data'!$B$3:$L$42,2,FALSE)</f>
        <v>#N/A</v>
      </c>
      <c r="S155" s="10" t="e">
        <f>VLOOKUP(AJ147,'FRC Site Data'!$B$3:$L$42,3,FALSE)</f>
        <v>#N/A</v>
      </c>
      <c r="T155" s="10" t="e">
        <f>VLOOKUP(AJ147,'FRC Site Data'!$B$3:$L$42,4,FALSE)</f>
        <v>#N/A</v>
      </c>
      <c r="U155" s="10" t="e">
        <f>VLOOKUP(AJ147,'FRC Site Data'!$B$3:$L$42,5,FALSE)</f>
        <v>#N/A</v>
      </c>
      <c r="V155" s="10" t="e">
        <f>VLOOKUP(AJ147,'FRC Site Data'!$B$3:$L$42,6,FALSE)</f>
        <v>#N/A</v>
      </c>
      <c r="W155" s="10" t="e">
        <f>VLOOKUP(AJ147,'FRC Site Data'!$B$3:$L$42,8,FALSE)</f>
        <v>#N/A</v>
      </c>
      <c r="X155" s="10" t="e">
        <f>VLOOKUP(AJ147,'FRC Site Data'!$B$3:$L$42,9,FALSE)</f>
        <v>#N/A</v>
      </c>
      <c r="Y155" s="10" t="e">
        <f>VLOOKUP(AJ147,'FRC Site Data'!$B$3:$L$42,10,FALSE)</f>
        <v>#N/A</v>
      </c>
      <c r="Z155" s="10" t="e">
        <f>VLOOKUP(AJ147,'FRC Site Data'!$B$3:$L$42,11,FALSE)</f>
        <v>#N/A</v>
      </c>
      <c r="AA155" s="10" t="e">
        <f>VLOOKUP(AJ147,'CIR Team Info'!$C$5:$E$44,4,FALSE)</f>
        <v>#N/A</v>
      </c>
      <c r="AB155" s="161" t="b">
        <f>ISNUMBER(VLOOKUP(AJ147,Match!$T$5:$T$10,1,FALSE))</f>
        <v>0</v>
      </c>
      <c r="AC155" s="161" t="b">
        <f>IF(AB155=TRUE,(VLOOKUP($AJ147,Match!$T$5:$U$10,2,FALSE)))</f>
        <v>0</v>
      </c>
      <c r="AD155" s="8">
        <v>3</v>
      </c>
      <c r="AE155" s="8">
        <v>2</v>
      </c>
      <c r="AF155" s="8">
        <v>2</v>
      </c>
      <c r="AG155" s="8">
        <v>1</v>
      </c>
      <c r="AH155" s="8" t="str">
        <f t="shared" si="55"/>
        <v/>
      </c>
      <c r="BA155" s="24"/>
      <c r="BC155" s="12"/>
      <c r="BS155" s="127"/>
    </row>
    <row r="156" spans="1:71" x14ac:dyDescent="0.25">
      <c r="A156" s="29">
        <f t="shared" si="41"/>
        <v>0</v>
      </c>
      <c r="B156" s="29">
        <f t="shared" si="50"/>
        <v>0</v>
      </c>
      <c r="C156" s="29">
        <f t="shared" si="51"/>
        <v>0</v>
      </c>
      <c r="D156" s="29">
        <f t="shared" si="52"/>
        <v>0</v>
      </c>
      <c r="E156" s="29">
        <f t="shared" si="42"/>
        <v>0</v>
      </c>
      <c r="F156" s="29">
        <f t="shared" si="43"/>
        <v>0</v>
      </c>
      <c r="G156" s="29" t="str">
        <f t="shared" si="44"/>
        <v>offensive</v>
      </c>
      <c r="H156" s="16">
        <f t="shared" si="48"/>
        <v>0</v>
      </c>
      <c r="I156" s="16">
        <f t="shared" si="49"/>
        <v>0</v>
      </c>
      <c r="J156" s="16">
        <f t="shared" si="53"/>
        <v>0</v>
      </c>
      <c r="K156" s="16">
        <f t="shared" si="45"/>
        <v>0</v>
      </c>
      <c r="L156" s="67">
        <f t="shared" si="46"/>
        <v>0</v>
      </c>
      <c r="M156" s="4">
        <f t="shared" si="54"/>
        <v>0</v>
      </c>
      <c r="N156" s="4">
        <f t="shared" si="40"/>
        <v>0</v>
      </c>
      <c r="O156" s="4">
        <f t="shared" si="47"/>
        <v>0</v>
      </c>
      <c r="P156" s="4" t="e">
        <f>VLOOKUP(AJ148,'CIR Team Info'!$C$5:$E$44,2,FALSE)</f>
        <v>#N/A</v>
      </c>
      <c r="Q156" s="4" t="e">
        <f>VLOOKUP(AJ148,'CIR Team Info'!$C$5:$E$44,3,FALSE)</f>
        <v>#N/A</v>
      </c>
      <c r="R156" s="10" t="e">
        <f>VLOOKUP(AJ148,'FRC Site Data'!$B$3:$L$42,2,FALSE)</f>
        <v>#N/A</v>
      </c>
      <c r="S156" s="10" t="e">
        <f>VLOOKUP(AJ148,'FRC Site Data'!$B$3:$L$42,3,FALSE)</f>
        <v>#N/A</v>
      </c>
      <c r="T156" s="10" t="e">
        <f>VLOOKUP(AJ148,'FRC Site Data'!$B$3:$L$42,4,FALSE)</f>
        <v>#N/A</v>
      </c>
      <c r="U156" s="10" t="e">
        <f>VLOOKUP(AJ148,'FRC Site Data'!$B$3:$L$42,5,FALSE)</f>
        <v>#N/A</v>
      </c>
      <c r="V156" s="10" t="e">
        <f>VLOOKUP(AJ148,'FRC Site Data'!$B$3:$L$42,6,FALSE)</f>
        <v>#N/A</v>
      </c>
      <c r="W156" s="10" t="e">
        <f>VLOOKUP(AJ148,'FRC Site Data'!$B$3:$L$42,8,FALSE)</f>
        <v>#N/A</v>
      </c>
      <c r="X156" s="10" t="e">
        <f>VLOOKUP(AJ148,'FRC Site Data'!$B$3:$L$42,9,FALSE)</f>
        <v>#N/A</v>
      </c>
      <c r="Y156" s="10" t="e">
        <f>VLOOKUP(AJ148,'FRC Site Data'!$B$3:$L$42,10,FALSE)</f>
        <v>#N/A</v>
      </c>
      <c r="Z156" s="10" t="e">
        <f>VLOOKUP(AJ148,'FRC Site Data'!$B$3:$L$42,11,FALSE)</f>
        <v>#N/A</v>
      </c>
      <c r="AA156" s="10" t="e">
        <f>VLOOKUP(AJ148,'CIR Team Info'!$C$5:$E$44,4,FALSE)</f>
        <v>#N/A</v>
      </c>
      <c r="AB156" s="161" t="b">
        <f>ISNUMBER(VLOOKUP(AJ148,Match!$T$5:$T$10,1,FALSE))</f>
        <v>0</v>
      </c>
      <c r="AC156" s="161" t="b">
        <f>IF(AB156=TRUE,(VLOOKUP($AJ148,Match!$T$5:$U$10,2,FALSE)))</f>
        <v>0</v>
      </c>
      <c r="AD156" s="8">
        <v>3</v>
      </c>
      <c r="AE156" s="8">
        <v>2</v>
      </c>
      <c r="AF156" s="8">
        <v>2</v>
      </c>
      <c r="AG156" s="8">
        <v>1</v>
      </c>
      <c r="AH156" s="8" t="str">
        <f t="shared" si="55"/>
        <v/>
      </c>
      <c r="BA156" s="24"/>
      <c r="BC156" s="12"/>
      <c r="BS156" s="127"/>
    </row>
    <row r="157" spans="1:71" x14ac:dyDescent="0.25">
      <c r="A157" s="29">
        <f t="shared" si="41"/>
        <v>0</v>
      </c>
      <c r="B157" s="29">
        <f t="shared" si="50"/>
        <v>0</v>
      </c>
      <c r="C157" s="29">
        <f t="shared" si="51"/>
        <v>0</v>
      </c>
      <c r="D157" s="29">
        <f t="shared" si="52"/>
        <v>0</v>
      </c>
      <c r="E157" s="29">
        <f t="shared" si="42"/>
        <v>0</v>
      </c>
      <c r="F157" s="29">
        <f t="shared" si="43"/>
        <v>0</v>
      </c>
      <c r="G157" s="29" t="str">
        <f t="shared" si="44"/>
        <v>offensive</v>
      </c>
      <c r="H157" s="16">
        <f t="shared" si="48"/>
        <v>0</v>
      </c>
      <c r="I157" s="16">
        <f t="shared" si="49"/>
        <v>0</v>
      </c>
      <c r="J157" s="16">
        <f t="shared" si="53"/>
        <v>0</v>
      </c>
      <c r="K157" s="16">
        <f t="shared" si="45"/>
        <v>0</v>
      </c>
      <c r="L157" s="67">
        <f t="shared" si="46"/>
        <v>0</v>
      </c>
      <c r="M157" s="4">
        <f t="shared" si="54"/>
        <v>0</v>
      </c>
      <c r="N157" s="4">
        <f t="shared" si="40"/>
        <v>0</v>
      </c>
      <c r="O157" s="4">
        <f t="shared" si="47"/>
        <v>0</v>
      </c>
      <c r="P157" s="4" t="e">
        <f>VLOOKUP(AJ149,'CIR Team Info'!$C$5:$E$44,2,FALSE)</f>
        <v>#N/A</v>
      </c>
      <c r="Q157" s="4" t="e">
        <f>VLOOKUP(AJ149,'CIR Team Info'!$C$5:$E$44,3,FALSE)</f>
        <v>#N/A</v>
      </c>
      <c r="R157" s="10" t="e">
        <f>VLOOKUP(AJ149,'FRC Site Data'!$B$3:$L$42,2,FALSE)</f>
        <v>#N/A</v>
      </c>
      <c r="S157" s="10" t="e">
        <f>VLOOKUP(AJ149,'FRC Site Data'!$B$3:$L$42,3,FALSE)</f>
        <v>#N/A</v>
      </c>
      <c r="T157" s="10" t="e">
        <f>VLOOKUP(AJ149,'FRC Site Data'!$B$3:$L$42,4,FALSE)</f>
        <v>#N/A</v>
      </c>
      <c r="U157" s="10" t="e">
        <f>VLOOKUP(AJ149,'FRC Site Data'!$B$3:$L$42,5,FALSE)</f>
        <v>#N/A</v>
      </c>
      <c r="V157" s="10" t="e">
        <f>VLOOKUP(AJ149,'FRC Site Data'!$B$3:$L$42,6,FALSE)</f>
        <v>#N/A</v>
      </c>
      <c r="W157" s="10" t="e">
        <f>VLOOKUP(AJ149,'FRC Site Data'!$B$3:$L$42,8,FALSE)</f>
        <v>#N/A</v>
      </c>
      <c r="X157" s="10" t="e">
        <f>VLOOKUP(AJ149,'FRC Site Data'!$B$3:$L$42,9,FALSE)</f>
        <v>#N/A</v>
      </c>
      <c r="Y157" s="10" t="e">
        <f>VLOOKUP(AJ149,'FRC Site Data'!$B$3:$L$42,10,FALSE)</f>
        <v>#N/A</v>
      </c>
      <c r="Z157" s="10" t="e">
        <f>VLOOKUP(AJ149,'FRC Site Data'!$B$3:$L$42,11,FALSE)</f>
        <v>#N/A</v>
      </c>
      <c r="AA157" s="10" t="e">
        <f>VLOOKUP(AJ149,'CIR Team Info'!$C$5:$E$44,4,FALSE)</f>
        <v>#N/A</v>
      </c>
      <c r="AB157" s="161" t="b">
        <f>ISNUMBER(VLOOKUP(AJ149,Match!$T$5:$T$10,1,FALSE))</f>
        <v>0</v>
      </c>
      <c r="AC157" s="161" t="b">
        <f>IF(AB157=TRUE,(VLOOKUP($AJ149,Match!$T$5:$U$10,2,FALSE)))</f>
        <v>0</v>
      </c>
      <c r="AD157" s="8">
        <v>3</v>
      </c>
      <c r="AE157" s="8">
        <v>2</v>
      </c>
      <c r="AF157" s="8">
        <v>2</v>
      </c>
      <c r="AG157" s="8">
        <v>1</v>
      </c>
      <c r="AH157" s="8" t="str">
        <f t="shared" si="55"/>
        <v/>
      </c>
      <c r="BA157" s="24"/>
      <c r="BC157" s="12"/>
      <c r="BS157" s="127"/>
    </row>
    <row r="158" spans="1:71" x14ac:dyDescent="0.25">
      <c r="A158" s="29">
        <f t="shared" si="41"/>
        <v>0</v>
      </c>
      <c r="B158" s="29">
        <f t="shared" si="50"/>
        <v>0</v>
      </c>
      <c r="C158" s="29">
        <f t="shared" si="51"/>
        <v>0</v>
      </c>
      <c r="D158" s="29">
        <f t="shared" si="52"/>
        <v>0</v>
      </c>
      <c r="E158" s="29">
        <f t="shared" si="42"/>
        <v>0</v>
      </c>
      <c r="F158" s="29">
        <f t="shared" si="43"/>
        <v>0</v>
      </c>
      <c r="G158" s="29" t="str">
        <f t="shared" si="44"/>
        <v>offensive</v>
      </c>
      <c r="H158" s="16">
        <f t="shared" si="48"/>
        <v>0</v>
      </c>
      <c r="I158" s="16">
        <f t="shared" si="49"/>
        <v>0</v>
      </c>
      <c r="J158" s="16">
        <f t="shared" si="53"/>
        <v>0</v>
      </c>
      <c r="K158" s="16">
        <f t="shared" si="45"/>
        <v>0</v>
      </c>
      <c r="L158" s="67">
        <f t="shared" si="46"/>
        <v>0</v>
      </c>
      <c r="M158" s="4">
        <f t="shared" si="54"/>
        <v>0</v>
      </c>
      <c r="N158" s="4">
        <f t="shared" si="40"/>
        <v>0</v>
      </c>
      <c r="O158" s="4">
        <f t="shared" si="47"/>
        <v>0</v>
      </c>
      <c r="P158" s="4" t="e">
        <f>VLOOKUP(AJ150,'CIR Team Info'!$C$5:$E$44,2,FALSE)</f>
        <v>#N/A</v>
      </c>
      <c r="Q158" s="4" t="e">
        <f>VLOOKUP(AJ150,'CIR Team Info'!$C$5:$E$44,3,FALSE)</f>
        <v>#N/A</v>
      </c>
      <c r="R158" s="10" t="e">
        <f>VLOOKUP(AJ150,'FRC Site Data'!$B$3:$L$42,2,FALSE)</f>
        <v>#N/A</v>
      </c>
      <c r="S158" s="10" t="e">
        <f>VLOOKUP(AJ150,'FRC Site Data'!$B$3:$L$42,3,FALSE)</f>
        <v>#N/A</v>
      </c>
      <c r="T158" s="10" t="e">
        <f>VLOOKUP(AJ150,'FRC Site Data'!$B$3:$L$42,4,FALSE)</f>
        <v>#N/A</v>
      </c>
      <c r="U158" s="10" t="e">
        <f>VLOOKUP(AJ150,'FRC Site Data'!$B$3:$L$42,5,FALSE)</f>
        <v>#N/A</v>
      </c>
      <c r="V158" s="10" t="e">
        <f>VLOOKUP(AJ150,'FRC Site Data'!$B$3:$L$42,6,FALSE)</f>
        <v>#N/A</v>
      </c>
      <c r="W158" s="10" t="e">
        <f>VLOOKUP(AJ150,'FRC Site Data'!$B$3:$L$42,8,FALSE)</f>
        <v>#N/A</v>
      </c>
      <c r="X158" s="10" t="e">
        <f>VLOOKUP(AJ150,'FRC Site Data'!$B$3:$L$42,9,FALSE)</f>
        <v>#N/A</v>
      </c>
      <c r="Y158" s="10" t="e">
        <f>VLOOKUP(AJ150,'FRC Site Data'!$B$3:$L$42,10,FALSE)</f>
        <v>#N/A</v>
      </c>
      <c r="Z158" s="10" t="e">
        <f>VLOOKUP(AJ150,'FRC Site Data'!$B$3:$L$42,11,FALSE)</f>
        <v>#N/A</v>
      </c>
      <c r="AA158" s="10" t="e">
        <f>VLOOKUP(AJ150,'CIR Team Info'!$C$5:$E$44,4,FALSE)</f>
        <v>#N/A</v>
      </c>
      <c r="AB158" s="161" t="b">
        <f>ISNUMBER(VLOOKUP(AJ150,Match!$T$5:$T$10,1,FALSE))</f>
        <v>0</v>
      </c>
      <c r="AC158" s="161" t="b">
        <f>IF(AB158=TRUE,(VLOOKUP($AJ150,Match!$T$5:$U$10,2,FALSE)))</f>
        <v>0</v>
      </c>
      <c r="AD158" s="8">
        <v>3</v>
      </c>
      <c r="AE158" s="8">
        <v>2</v>
      </c>
      <c r="AF158" s="8">
        <v>2</v>
      </c>
      <c r="AG158" s="8">
        <v>1</v>
      </c>
      <c r="AH158" s="8" t="str">
        <f t="shared" si="55"/>
        <v/>
      </c>
      <c r="BA158" s="24"/>
      <c r="BC158" s="12"/>
      <c r="BS158" s="127"/>
    </row>
    <row r="159" spans="1:71" x14ac:dyDescent="0.25">
      <c r="A159" s="29">
        <f t="shared" si="41"/>
        <v>0</v>
      </c>
      <c r="B159" s="29">
        <f t="shared" si="50"/>
        <v>0</v>
      </c>
      <c r="C159" s="29">
        <f t="shared" si="51"/>
        <v>0</v>
      </c>
      <c r="D159" s="29">
        <f t="shared" si="52"/>
        <v>0</v>
      </c>
      <c r="E159" s="29">
        <f t="shared" si="42"/>
        <v>0</v>
      </c>
      <c r="F159" s="29">
        <f t="shared" si="43"/>
        <v>0</v>
      </c>
      <c r="G159" s="29" t="str">
        <f t="shared" si="44"/>
        <v>offensive</v>
      </c>
      <c r="H159" s="16">
        <f t="shared" si="48"/>
        <v>0</v>
      </c>
      <c r="I159" s="16">
        <f t="shared" si="49"/>
        <v>0</v>
      </c>
      <c r="J159" s="16">
        <f t="shared" si="53"/>
        <v>0</v>
      </c>
      <c r="K159" s="16">
        <f t="shared" si="45"/>
        <v>0</v>
      </c>
      <c r="L159" s="67">
        <f t="shared" si="46"/>
        <v>0</v>
      </c>
      <c r="M159" s="4">
        <f t="shared" si="54"/>
        <v>0</v>
      </c>
      <c r="N159" s="4">
        <f t="shared" si="40"/>
        <v>0</v>
      </c>
      <c r="O159" s="4">
        <f t="shared" si="47"/>
        <v>0</v>
      </c>
      <c r="P159" s="4" t="e">
        <f>VLOOKUP(AJ151,'CIR Team Info'!$C$5:$E$44,2,FALSE)</f>
        <v>#N/A</v>
      </c>
      <c r="Q159" s="4" t="e">
        <f>VLOOKUP(AJ151,'CIR Team Info'!$C$5:$E$44,3,FALSE)</f>
        <v>#N/A</v>
      </c>
      <c r="R159" s="10" t="e">
        <f>VLOOKUP(AJ151,'FRC Site Data'!$B$3:$L$42,2,FALSE)</f>
        <v>#N/A</v>
      </c>
      <c r="S159" s="10" t="e">
        <f>VLOOKUP(AJ151,'FRC Site Data'!$B$3:$L$42,3,FALSE)</f>
        <v>#N/A</v>
      </c>
      <c r="T159" s="10" t="e">
        <f>VLOOKUP(AJ151,'FRC Site Data'!$B$3:$L$42,4,FALSE)</f>
        <v>#N/A</v>
      </c>
      <c r="U159" s="10" t="e">
        <f>VLOOKUP(AJ151,'FRC Site Data'!$B$3:$L$42,5,FALSE)</f>
        <v>#N/A</v>
      </c>
      <c r="V159" s="10" t="e">
        <f>VLOOKUP(AJ151,'FRC Site Data'!$B$3:$L$42,6,FALSE)</f>
        <v>#N/A</v>
      </c>
      <c r="W159" s="10" t="e">
        <f>VLOOKUP(AJ151,'FRC Site Data'!$B$3:$L$42,8,FALSE)</f>
        <v>#N/A</v>
      </c>
      <c r="X159" s="10" t="e">
        <f>VLOOKUP(AJ151,'FRC Site Data'!$B$3:$L$42,9,FALSE)</f>
        <v>#N/A</v>
      </c>
      <c r="Y159" s="10" t="e">
        <f>VLOOKUP(AJ151,'FRC Site Data'!$B$3:$L$42,10,FALSE)</f>
        <v>#N/A</v>
      </c>
      <c r="Z159" s="10" t="e">
        <f>VLOOKUP(AJ151,'FRC Site Data'!$B$3:$L$42,11,FALSE)</f>
        <v>#N/A</v>
      </c>
      <c r="AA159" s="10" t="e">
        <f>VLOOKUP(AJ151,'CIR Team Info'!$C$5:$E$44,4,FALSE)</f>
        <v>#N/A</v>
      </c>
      <c r="AB159" s="161" t="b">
        <f>ISNUMBER(VLOOKUP(AJ151,Match!$T$5:$T$10,1,FALSE))</f>
        <v>0</v>
      </c>
      <c r="AC159" s="161" t="b">
        <f>IF(AB159=TRUE,(VLOOKUP($AJ151,Match!$T$5:$U$10,2,FALSE)))</f>
        <v>0</v>
      </c>
      <c r="AD159" s="8">
        <v>3</v>
      </c>
      <c r="AE159" s="8">
        <v>2</v>
      </c>
      <c r="AF159" s="8">
        <v>2</v>
      </c>
      <c r="AG159" s="8">
        <v>1</v>
      </c>
      <c r="AH159" s="8" t="str">
        <f t="shared" si="55"/>
        <v/>
      </c>
      <c r="BA159" s="24"/>
      <c r="BC159" s="12"/>
      <c r="BS159" s="127"/>
    </row>
    <row r="160" spans="1:71" x14ac:dyDescent="0.25">
      <c r="A160" s="29">
        <f t="shared" si="41"/>
        <v>0</v>
      </c>
      <c r="B160" s="29">
        <f t="shared" si="50"/>
        <v>0</v>
      </c>
      <c r="C160" s="29">
        <f t="shared" si="51"/>
        <v>0</v>
      </c>
      <c r="D160" s="29">
        <f t="shared" si="52"/>
        <v>0</v>
      </c>
      <c r="E160" s="29">
        <f t="shared" si="42"/>
        <v>0</v>
      </c>
      <c r="F160" s="29">
        <f t="shared" si="43"/>
        <v>0</v>
      </c>
      <c r="G160" s="29" t="str">
        <f t="shared" si="44"/>
        <v>offensive</v>
      </c>
      <c r="H160" s="16">
        <f t="shared" si="48"/>
        <v>0</v>
      </c>
      <c r="I160" s="16">
        <f t="shared" si="49"/>
        <v>0</v>
      </c>
      <c r="J160" s="16">
        <f t="shared" si="53"/>
        <v>0</v>
      </c>
      <c r="K160" s="16">
        <f t="shared" si="45"/>
        <v>0</v>
      </c>
      <c r="L160" s="67">
        <f t="shared" si="46"/>
        <v>0</v>
      </c>
      <c r="M160" s="4">
        <f t="shared" si="54"/>
        <v>0</v>
      </c>
      <c r="N160" s="4">
        <f t="shared" si="40"/>
        <v>0</v>
      </c>
      <c r="O160" s="4">
        <f t="shared" si="47"/>
        <v>0</v>
      </c>
      <c r="P160" s="4" t="e">
        <f>VLOOKUP(AJ152,'CIR Team Info'!$C$5:$E$44,2,FALSE)</f>
        <v>#N/A</v>
      </c>
      <c r="Q160" s="4" t="e">
        <f>VLOOKUP(AJ152,'CIR Team Info'!$C$5:$E$44,3,FALSE)</f>
        <v>#N/A</v>
      </c>
      <c r="R160" s="10" t="e">
        <f>VLOOKUP(AJ152,'FRC Site Data'!$B$3:$L$42,2,FALSE)</f>
        <v>#N/A</v>
      </c>
      <c r="S160" s="10" t="e">
        <f>VLOOKUP(AJ152,'FRC Site Data'!$B$3:$L$42,3,FALSE)</f>
        <v>#N/A</v>
      </c>
      <c r="T160" s="10" t="e">
        <f>VLOOKUP(AJ152,'FRC Site Data'!$B$3:$L$42,4,FALSE)</f>
        <v>#N/A</v>
      </c>
      <c r="U160" s="10" t="e">
        <f>VLOOKUP(AJ152,'FRC Site Data'!$B$3:$L$42,5,FALSE)</f>
        <v>#N/A</v>
      </c>
      <c r="V160" s="10" t="e">
        <f>VLOOKUP(AJ152,'FRC Site Data'!$B$3:$L$42,6,FALSE)</f>
        <v>#N/A</v>
      </c>
      <c r="W160" s="10" t="e">
        <f>VLOOKUP(AJ152,'FRC Site Data'!$B$3:$L$42,8,FALSE)</f>
        <v>#N/A</v>
      </c>
      <c r="X160" s="10" t="e">
        <f>VLOOKUP(AJ152,'FRC Site Data'!$B$3:$L$42,9,FALSE)</f>
        <v>#N/A</v>
      </c>
      <c r="Y160" s="10" t="e">
        <f>VLOOKUP(AJ152,'FRC Site Data'!$B$3:$L$42,10,FALSE)</f>
        <v>#N/A</v>
      </c>
      <c r="Z160" s="10" t="e">
        <f>VLOOKUP(AJ152,'FRC Site Data'!$B$3:$L$42,11,FALSE)</f>
        <v>#N/A</v>
      </c>
      <c r="AA160" s="10" t="e">
        <f>VLOOKUP(AJ152,'CIR Team Info'!$C$5:$E$44,4,FALSE)</f>
        <v>#N/A</v>
      </c>
      <c r="AB160" s="161" t="b">
        <f>ISNUMBER(VLOOKUP(AJ152,Match!$T$5:$T$10,1,FALSE))</f>
        <v>0</v>
      </c>
      <c r="AC160" s="161" t="b">
        <f>IF(AB160=TRUE,(VLOOKUP($AJ152,Match!$T$5:$U$10,2,FALSE)))</f>
        <v>0</v>
      </c>
      <c r="AD160" s="8">
        <v>3</v>
      </c>
      <c r="AE160" s="8">
        <v>2</v>
      </c>
      <c r="AF160" s="8">
        <v>2</v>
      </c>
      <c r="AG160" s="8">
        <v>1</v>
      </c>
      <c r="AH160" s="8" t="str">
        <f t="shared" si="55"/>
        <v/>
      </c>
      <c r="BA160" s="24"/>
      <c r="BC160" s="12"/>
      <c r="BS160" s="127"/>
    </row>
    <row r="161" spans="1:71" x14ac:dyDescent="0.25">
      <c r="A161" s="29">
        <f t="shared" si="41"/>
        <v>0</v>
      </c>
      <c r="B161" s="29">
        <f t="shared" si="50"/>
        <v>0</v>
      </c>
      <c r="C161" s="29">
        <f t="shared" si="51"/>
        <v>0</v>
      </c>
      <c r="D161" s="29">
        <f t="shared" si="52"/>
        <v>0</v>
      </c>
      <c r="E161" s="29">
        <f t="shared" si="42"/>
        <v>0</v>
      </c>
      <c r="F161" s="29">
        <f t="shared" si="43"/>
        <v>0</v>
      </c>
      <c r="G161" s="29" t="str">
        <f t="shared" si="44"/>
        <v>offensive</v>
      </c>
      <c r="H161" s="16">
        <f t="shared" si="48"/>
        <v>0</v>
      </c>
      <c r="I161" s="16">
        <f t="shared" si="49"/>
        <v>0</v>
      </c>
      <c r="J161" s="16">
        <f t="shared" si="53"/>
        <v>0</v>
      </c>
      <c r="K161" s="16">
        <f t="shared" si="45"/>
        <v>0</v>
      </c>
      <c r="L161" s="67">
        <f t="shared" si="46"/>
        <v>0</v>
      </c>
      <c r="M161" s="4">
        <f t="shared" si="54"/>
        <v>0</v>
      </c>
      <c r="N161" s="4">
        <f t="shared" si="40"/>
        <v>0</v>
      </c>
      <c r="O161" s="4">
        <f t="shared" si="47"/>
        <v>0</v>
      </c>
      <c r="P161" s="4" t="e">
        <f>VLOOKUP(AJ153,'CIR Team Info'!$C$5:$E$44,2,FALSE)</f>
        <v>#N/A</v>
      </c>
      <c r="Q161" s="4" t="e">
        <f>VLOOKUP(AJ153,'CIR Team Info'!$C$5:$E$44,3,FALSE)</f>
        <v>#N/A</v>
      </c>
      <c r="R161" s="10" t="e">
        <f>VLOOKUP(AJ153,'FRC Site Data'!$B$3:$L$42,2,FALSE)</f>
        <v>#N/A</v>
      </c>
      <c r="S161" s="10" t="e">
        <f>VLOOKUP(AJ153,'FRC Site Data'!$B$3:$L$42,3,FALSE)</f>
        <v>#N/A</v>
      </c>
      <c r="T161" s="10" t="e">
        <f>VLOOKUP(AJ153,'FRC Site Data'!$B$3:$L$42,4,FALSE)</f>
        <v>#N/A</v>
      </c>
      <c r="U161" s="10" t="e">
        <f>VLOOKUP(AJ153,'FRC Site Data'!$B$3:$L$42,5,FALSE)</f>
        <v>#N/A</v>
      </c>
      <c r="V161" s="10" t="e">
        <f>VLOOKUP(AJ153,'FRC Site Data'!$B$3:$L$42,6,FALSE)</f>
        <v>#N/A</v>
      </c>
      <c r="W161" s="10" t="e">
        <f>VLOOKUP(AJ153,'FRC Site Data'!$B$3:$L$42,8,FALSE)</f>
        <v>#N/A</v>
      </c>
      <c r="X161" s="10" t="e">
        <f>VLOOKUP(AJ153,'FRC Site Data'!$B$3:$L$42,9,FALSE)</f>
        <v>#N/A</v>
      </c>
      <c r="Y161" s="10" t="e">
        <f>VLOOKUP(AJ153,'FRC Site Data'!$B$3:$L$42,10,FALSE)</f>
        <v>#N/A</v>
      </c>
      <c r="Z161" s="10" t="e">
        <f>VLOOKUP(AJ153,'FRC Site Data'!$B$3:$L$42,11,FALSE)</f>
        <v>#N/A</v>
      </c>
      <c r="AA161" s="10" t="e">
        <f>VLOOKUP(AJ153,'CIR Team Info'!$C$5:$E$44,4,FALSE)</f>
        <v>#N/A</v>
      </c>
      <c r="AB161" s="161" t="b">
        <f>ISNUMBER(VLOOKUP(AJ153,Match!$T$5:$T$10,1,FALSE))</f>
        <v>0</v>
      </c>
      <c r="AC161" s="161" t="b">
        <f>IF(AB161=TRUE,(VLOOKUP($AJ153,Match!$T$5:$U$10,2,FALSE)))</f>
        <v>0</v>
      </c>
      <c r="AD161" s="8">
        <v>3</v>
      </c>
      <c r="AE161" s="8">
        <v>2</v>
      </c>
      <c r="AF161" s="8">
        <v>2</v>
      </c>
      <c r="AG161" s="8">
        <v>1</v>
      </c>
      <c r="AH161" s="8" t="str">
        <f t="shared" si="55"/>
        <v/>
      </c>
      <c r="BA161" s="24"/>
      <c r="BC161" s="12"/>
      <c r="BS161" s="127"/>
    </row>
    <row r="162" spans="1:71" x14ac:dyDescent="0.25">
      <c r="A162" s="29">
        <f t="shared" si="41"/>
        <v>0</v>
      </c>
      <c r="B162" s="29">
        <f t="shared" si="50"/>
        <v>0</v>
      </c>
      <c r="C162" s="29">
        <f t="shared" si="51"/>
        <v>0</v>
      </c>
      <c r="D162" s="29">
        <f t="shared" si="52"/>
        <v>0</v>
      </c>
      <c r="E162" s="29">
        <f t="shared" si="42"/>
        <v>0</v>
      </c>
      <c r="F162" s="29">
        <f t="shared" si="43"/>
        <v>0</v>
      </c>
      <c r="G162" s="29" t="str">
        <f t="shared" si="44"/>
        <v>offensive</v>
      </c>
      <c r="H162" s="16">
        <f t="shared" si="48"/>
        <v>0</v>
      </c>
      <c r="I162" s="16">
        <f t="shared" si="49"/>
        <v>0</v>
      </c>
      <c r="J162" s="16">
        <f t="shared" si="53"/>
        <v>0</v>
      </c>
      <c r="K162" s="16">
        <f t="shared" si="45"/>
        <v>0</v>
      </c>
      <c r="L162" s="67">
        <f t="shared" si="46"/>
        <v>0</v>
      </c>
      <c r="M162" s="4">
        <f t="shared" si="54"/>
        <v>0</v>
      </c>
      <c r="N162" s="4">
        <f t="shared" si="40"/>
        <v>0</v>
      </c>
      <c r="O162" s="4">
        <f t="shared" si="47"/>
        <v>0</v>
      </c>
      <c r="P162" s="4" t="e">
        <f>VLOOKUP(AJ154,'CIR Team Info'!$C$5:$E$44,2,FALSE)</f>
        <v>#N/A</v>
      </c>
      <c r="Q162" s="4" t="e">
        <f>VLOOKUP(AJ154,'CIR Team Info'!$C$5:$E$44,3,FALSE)</f>
        <v>#N/A</v>
      </c>
      <c r="R162" s="10" t="e">
        <f>VLOOKUP(AJ154,'FRC Site Data'!$B$3:$L$42,2,FALSE)</f>
        <v>#N/A</v>
      </c>
      <c r="S162" s="10" t="e">
        <f>VLOOKUP(AJ154,'FRC Site Data'!$B$3:$L$42,3,FALSE)</f>
        <v>#N/A</v>
      </c>
      <c r="T162" s="10" t="e">
        <f>VLOOKUP(AJ154,'FRC Site Data'!$B$3:$L$42,4,FALSE)</f>
        <v>#N/A</v>
      </c>
      <c r="U162" s="10" t="e">
        <f>VLOOKUP(AJ154,'FRC Site Data'!$B$3:$L$42,5,FALSE)</f>
        <v>#N/A</v>
      </c>
      <c r="V162" s="10" t="e">
        <f>VLOOKUP(AJ154,'FRC Site Data'!$B$3:$L$42,6,FALSE)</f>
        <v>#N/A</v>
      </c>
      <c r="W162" s="10" t="e">
        <f>VLOOKUP(AJ154,'FRC Site Data'!$B$3:$L$42,8,FALSE)</f>
        <v>#N/A</v>
      </c>
      <c r="X162" s="10" t="e">
        <f>VLOOKUP(AJ154,'FRC Site Data'!$B$3:$L$42,9,FALSE)</f>
        <v>#N/A</v>
      </c>
      <c r="Y162" s="10" t="e">
        <f>VLOOKUP(AJ154,'FRC Site Data'!$B$3:$L$42,10,FALSE)</f>
        <v>#N/A</v>
      </c>
      <c r="Z162" s="10" t="e">
        <f>VLOOKUP(AJ154,'FRC Site Data'!$B$3:$L$42,11,FALSE)</f>
        <v>#N/A</v>
      </c>
      <c r="AA162" s="10" t="e">
        <f>VLOOKUP(AJ154,'CIR Team Info'!$C$5:$E$44,4,FALSE)</f>
        <v>#N/A</v>
      </c>
      <c r="AB162" s="161" t="b">
        <f>ISNUMBER(VLOOKUP(AJ154,Match!$T$5:$T$10,1,FALSE))</f>
        <v>0</v>
      </c>
      <c r="AC162" s="161" t="b">
        <f>IF(AB162=TRUE,(VLOOKUP($AJ154,Match!$T$5:$U$10,2,FALSE)))</f>
        <v>0</v>
      </c>
      <c r="AD162" s="8">
        <v>3</v>
      </c>
      <c r="AE162" s="8">
        <v>2</v>
      </c>
      <c r="AF162" s="8">
        <v>2</v>
      </c>
      <c r="AG162" s="8">
        <v>1</v>
      </c>
      <c r="AH162" s="8" t="str">
        <f t="shared" si="55"/>
        <v/>
      </c>
      <c r="BA162" s="24"/>
      <c r="BC162" s="12"/>
      <c r="BS162" s="127"/>
    </row>
    <row r="163" spans="1:71" x14ac:dyDescent="0.25">
      <c r="A163" s="29">
        <f t="shared" si="41"/>
        <v>0</v>
      </c>
      <c r="B163" s="29">
        <f t="shared" si="50"/>
        <v>0</v>
      </c>
      <c r="C163" s="29">
        <f t="shared" si="51"/>
        <v>0</v>
      </c>
      <c r="D163" s="29">
        <f t="shared" si="52"/>
        <v>0</v>
      </c>
      <c r="E163" s="29">
        <f t="shared" si="42"/>
        <v>0</v>
      </c>
      <c r="F163" s="29">
        <f t="shared" si="43"/>
        <v>0</v>
      </c>
      <c r="G163" s="29" t="str">
        <f t="shared" si="44"/>
        <v>offensive</v>
      </c>
      <c r="H163" s="16">
        <f t="shared" si="48"/>
        <v>0</v>
      </c>
      <c r="I163" s="16">
        <f t="shared" si="49"/>
        <v>0</v>
      </c>
      <c r="J163" s="16">
        <f t="shared" si="53"/>
        <v>0</v>
      </c>
      <c r="K163" s="16">
        <f t="shared" si="45"/>
        <v>0</v>
      </c>
      <c r="L163" s="67">
        <f t="shared" si="46"/>
        <v>0</v>
      </c>
      <c r="M163" s="4">
        <f t="shared" si="54"/>
        <v>0</v>
      </c>
      <c r="N163" s="4">
        <f t="shared" si="40"/>
        <v>0</v>
      </c>
      <c r="O163" s="4">
        <f t="shared" si="47"/>
        <v>0</v>
      </c>
      <c r="P163" s="4" t="e">
        <f>VLOOKUP(AJ155,'CIR Team Info'!$C$5:$E$44,2,FALSE)</f>
        <v>#N/A</v>
      </c>
      <c r="Q163" s="4" t="e">
        <f>VLOOKUP(AJ155,'CIR Team Info'!$C$5:$E$44,3,FALSE)</f>
        <v>#N/A</v>
      </c>
      <c r="R163" s="10" t="e">
        <f>VLOOKUP(AJ155,'FRC Site Data'!$B$3:$L$42,2,FALSE)</f>
        <v>#N/A</v>
      </c>
      <c r="S163" s="10" t="e">
        <f>VLOOKUP(AJ155,'FRC Site Data'!$B$3:$L$42,3,FALSE)</f>
        <v>#N/A</v>
      </c>
      <c r="T163" s="10" t="e">
        <f>VLOOKUP(AJ155,'FRC Site Data'!$B$3:$L$42,4,FALSE)</f>
        <v>#N/A</v>
      </c>
      <c r="U163" s="10" t="e">
        <f>VLOOKUP(AJ155,'FRC Site Data'!$B$3:$L$42,5,FALSE)</f>
        <v>#N/A</v>
      </c>
      <c r="V163" s="10" t="e">
        <f>VLOOKUP(AJ155,'FRC Site Data'!$B$3:$L$42,6,FALSE)</f>
        <v>#N/A</v>
      </c>
      <c r="W163" s="10" t="e">
        <f>VLOOKUP(AJ155,'FRC Site Data'!$B$3:$L$42,8,FALSE)</f>
        <v>#N/A</v>
      </c>
      <c r="X163" s="10" t="e">
        <f>VLOOKUP(AJ155,'FRC Site Data'!$B$3:$L$42,9,FALSE)</f>
        <v>#N/A</v>
      </c>
      <c r="Y163" s="10" t="e">
        <f>VLOOKUP(AJ155,'FRC Site Data'!$B$3:$L$42,10,FALSE)</f>
        <v>#N/A</v>
      </c>
      <c r="Z163" s="10" t="e">
        <f>VLOOKUP(AJ155,'FRC Site Data'!$B$3:$L$42,11,FALSE)</f>
        <v>#N/A</v>
      </c>
      <c r="AA163" s="10" t="e">
        <f>VLOOKUP(AJ155,'CIR Team Info'!$C$5:$E$44,4,FALSE)</f>
        <v>#N/A</v>
      </c>
      <c r="AB163" s="161" t="b">
        <f>ISNUMBER(VLOOKUP(AJ155,Match!$T$5:$T$10,1,FALSE))</f>
        <v>0</v>
      </c>
      <c r="AC163" s="161" t="b">
        <f>IF(AB163=TRUE,(VLOOKUP($AJ155,Match!$T$5:$U$10,2,FALSE)))</f>
        <v>0</v>
      </c>
      <c r="AD163" s="8">
        <v>3</v>
      </c>
      <c r="AE163" s="8">
        <v>2</v>
      </c>
      <c r="AF163" s="8">
        <v>2</v>
      </c>
      <c r="AG163" s="8">
        <v>1</v>
      </c>
      <c r="AH163" s="8" t="str">
        <f t="shared" si="55"/>
        <v/>
      </c>
      <c r="BA163" s="24"/>
      <c r="BC163" s="12"/>
      <c r="BS163" s="127"/>
    </row>
    <row r="164" spans="1:71" x14ac:dyDescent="0.25">
      <c r="A164" s="29">
        <f t="shared" si="41"/>
        <v>0</v>
      </c>
      <c r="B164" s="29">
        <f t="shared" si="50"/>
        <v>0</v>
      </c>
      <c r="C164" s="29">
        <f t="shared" si="51"/>
        <v>0</v>
      </c>
      <c r="D164" s="29">
        <f t="shared" si="52"/>
        <v>0</v>
      </c>
      <c r="E164" s="29">
        <f t="shared" si="42"/>
        <v>0</v>
      </c>
      <c r="F164" s="29">
        <f t="shared" si="43"/>
        <v>0</v>
      </c>
      <c r="G164" s="29" t="str">
        <f t="shared" si="44"/>
        <v>offensive</v>
      </c>
      <c r="H164" s="16">
        <f t="shared" si="48"/>
        <v>0</v>
      </c>
      <c r="I164" s="16">
        <f t="shared" si="49"/>
        <v>0</v>
      </c>
      <c r="J164" s="16">
        <f t="shared" si="53"/>
        <v>0</v>
      </c>
      <c r="K164" s="16">
        <f t="shared" si="45"/>
        <v>0</v>
      </c>
      <c r="L164" s="67">
        <f t="shared" si="46"/>
        <v>0</v>
      </c>
      <c r="M164" s="4">
        <f t="shared" si="54"/>
        <v>0</v>
      </c>
      <c r="N164" s="4">
        <f t="shared" si="40"/>
        <v>0</v>
      </c>
      <c r="O164" s="4">
        <f t="shared" si="47"/>
        <v>0</v>
      </c>
      <c r="P164" s="4" t="e">
        <f>VLOOKUP(AJ156,'CIR Team Info'!$C$5:$E$44,2,FALSE)</f>
        <v>#N/A</v>
      </c>
      <c r="Q164" s="4" t="e">
        <f>VLOOKUP(AJ156,'CIR Team Info'!$C$5:$E$44,3,FALSE)</f>
        <v>#N/A</v>
      </c>
      <c r="R164" s="10" t="e">
        <f>VLOOKUP(AJ156,'FRC Site Data'!$B$3:$L$42,2,FALSE)</f>
        <v>#N/A</v>
      </c>
      <c r="S164" s="10" t="e">
        <f>VLOOKUP(AJ156,'FRC Site Data'!$B$3:$L$42,3,FALSE)</f>
        <v>#N/A</v>
      </c>
      <c r="T164" s="10" t="e">
        <f>VLOOKUP(AJ156,'FRC Site Data'!$B$3:$L$42,4,FALSE)</f>
        <v>#N/A</v>
      </c>
      <c r="U164" s="10" t="e">
        <f>VLOOKUP(AJ156,'FRC Site Data'!$B$3:$L$42,5,FALSE)</f>
        <v>#N/A</v>
      </c>
      <c r="V164" s="10" t="e">
        <f>VLOOKUP(AJ156,'FRC Site Data'!$B$3:$L$42,6,FALSE)</f>
        <v>#N/A</v>
      </c>
      <c r="W164" s="10" t="e">
        <f>VLOOKUP(AJ156,'FRC Site Data'!$B$3:$L$42,8,FALSE)</f>
        <v>#N/A</v>
      </c>
      <c r="X164" s="10" t="e">
        <f>VLOOKUP(AJ156,'FRC Site Data'!$B$3:$L$42,9,FALSE)</f>
        <v>#N/A</v>
      </c>
      <c r="Y164" s="10" t="e">
        <f>VLOOKUP(AJ156,'FRC Site Data'!$B$3:$L$42,10,FALSE)</f>
        <v>#N/A</v>
      </c>
      <c r="Z164" s="10" t="e">
        <f>VLOOKUP(AJ156,'FRC Site Data'!$B$3:$L$42,11,FALSE)</f>
        <v>#N/A</v>
      </c>
      <c r="AA164" s="10" t="e">
        <f>VLOOKUP(AJ156,'CIR Team Info'!$C$5:$E$44,4,FALSE)</f>
        <v>#N/A</v>
      </c>
      <c r="AB164" s="161" t="b">
        <f>ISNUMBER(VLOOKUP(AJ156,Match!$T$5:$T$10,1,FALSE))</f>
        <v>0</v>
      </c>
      <c r="AC164" s="161" t="b">
        <f>IF(AB164=TRUE,(VLOOKUP($AJ156,Match!$T$5:$U$10,2,FALSE)))</f>
        <v>0</v>
      </c>
      <c r="AD164" s="8">
        <v>3</v>
      </c>
      <c r="AE164" s="8">
        <v>2</v>
      </c>
      <c r="AF164" s="8">
        <v>2</v>
      </c>
      <c r="AG164" s="8">
        <v>1</v>
      </c>
      <c r="AH164" s="8" t="str">
        <f t="shared" si="55"/>
        <v/>
      </c>
      <c r="BA164" s="24"/>
      <c r="BC164" s="12"/>
      <c r="BS164" s="127"/>
    </row>
    <row r="165" spans="1:71" x14ac:dyDescent="0.25">
      <c r="A165" s="29">
        <f t="shared" si="41"/>
        <v>0</v>
      </c>
      <c r="B165" s="29">
        <f t="shared" si="50"/>
        <v>0</v>
      </c>
      <c r="C165" s="29">
        <f t="shared" si="51"/>
        <v>0</v>
      </c>
      <c r="D165" s="29">
        <f t="shared" si="52"/>
        <v>0</v>
      </c>
      <c r="E165" s="29">
        <f t="shared" si="42"/>
        <v>0</v>
      </c>
      <c r="F165" s="29">
        <f t="shared" si="43"/>
        <v>0</v>
      </c>
      <c r="G165" s="29" t="str">
        <f t="shared" si="44"/>
        <v>offensive</v>
      </c>
      <c r="H165" s="16">
        <f t="shared" si="48"/>
        <v>0</v>
      </c>
      <c r="I165" s="16">
        <f t="shared" si="49"/>
        <v>0</v>
      </c>
      <c r="J165" s="16">
        <f t="shared" si="53"/>
        <v>0</v>
      </c>
      <c r="K165" s="16">
        <f t="shared" si="45"/>
        <v>0</v>
      </c>
      <c r="L165" s="67">
        <f t="shared" si="46"/>
        <v>0</v>
      </c>
      <c r="M165" s="4">
        <f t="shared" si="54"/>
        <v>0</v>
      </c>
      <c r="N165" s="4">
        <f t="shared" si="40"/>
        <v>0</v>
      </c>
      <c r="O165" s="4">
        <f t="shared" si="47"/>
        <v>0</v>
      </c>
      <c r="P165" s="4" t="e">
        <f>VLOOKUP(AJ157,'CIR Team Info'!$C$5:$E$44,2,FALSE)</f>
        <v>#N/A</v>
      </c>
      <c r="Q165" s="4" t="e">
        <f>VLOOKUP(AJ157,'CIR Team Info'!$C$5:$E$44,3,FALSE)</f>
        <v>#N/A</v>
      </c>
      <c r="R165" s="10" t="e">
        <f>VLOOKUP(AJ157,'FRC Site Data'!$B$3:$L$42,2,FALSE)</f>
        <v>#N/A</v>
      </c>
      <c r="S165" s="10" t="e">
        <f>VLOOKUP(AJ157,'FRC Site Data'!$B$3:$L$42,3,FALSE)</f>
        <v>#N/A</v>
      </c>
      <c r="T165" s="10" t="e">
        <f>VLOOKUP(AJ157,'FRC Site Data'!$B$3:$L$42,4,FALSE)</f>
        <v>#N/A</v>
      </c>
      <c r="U165" s="10" t="e">
        <f>VLOOKUP(AJ157,'FRC Site Data'!$B$3:$L$42,5,FALSE)</f>
        <v>#N/A</v>
      </c>
      <c r="V165" s="10" t="e">
        <f>VLOOKUP(AJ157,'FRC Site Data'!$B$3:$L$42,6,FALSE)</f>
        <v>#N/A</v>
      </c>
      <c r="W165" s="10" t="e">
        <f>VLOOKUP(AJ157,'FRC Site Data'!$B$3:$L$42,8,FALSE)</f>
        <v>#N/A</v>
      </c>
      <c r="X165" s="10" t="e">
        <f>VLOOKUP(AJ157,'FRC Site Data'!$B$3:$L$42,9,FALSE)</f>
        <v>#N/A</v>
      </c>
      <c r="Y165" s="10" t="e">
        <f>VLOOKUP(AJ157,'FRC Site Data'!$B$3:$L$42,10,FALSE)</f>
        <v>#N/A</v>
      </c>
      <c r="Z165" s="10" t="e">
        <f>VLOOKUP(AJ157,'FRC Site Data'!$B$3:$L$42,11,FALSE)</f>
        <v>#N/A</v>
      </c>
      <c r="AA165" s="10" t="e">
        <f>VLOOKUP(AJ157,'CIR Team Info'!$C$5:$E$44,4,FALSE)</f>
        <v>#N/A</v>
      </c>
      <c r="AB165" s="161" t="b">
        <f>ISNUMBER(VLOOKUP(AJ157,Match!$T$5:$T$10,1,FALSE))</f>
        <v>0</v>
      </c>
      <c r="AC165" s="161" t="b">
        <f>IF(AB165=TRUE,(VLOOKUP($AJ157,Match!$T$5:$U$10,2,FALSE)))</f>
        <v>0</v>
      </c>
      <c r="AD165" s="8">
        <v>3</v>
      </c>
      <c r="AE165" s="8">
        <v>2</v>
      </c>
      <c r="AF165" s="8">
        <v>2</v>
      </c>
      <c r="AG165" s="8">
        <v>1</v>
      </c>
      <c r="AH165" s="8" t="str">
        <f t="shared" si="55"/>
        <v/>
      </c>
      <c r="BA165" s="24"/>
      <c r="BC165" s="12"/>
      <c r="BS165" s="127"/>
    </row>
    <row r="166" spans="1:71" x14ac:dyDescent="0.25">
      <c r="A166" s="29">
        <f t="shared" si="41"/>
        <v>0</v>
      </c>
      <c r="B166" s="29">
        <f t="shared" si="50"/>
        <v>0</v>
      </c>
      <c r="C166" s="29">
        <f t="shared" si="51"/>
        <v>0</v>
      </c>
      <c r="D166" s="29">
        <f t="shared" si="52"/>
        <v>0</v>
      </c>
      <c r="E166" s="29">
        <f t="shared" si="42"/>
        <v>0</v>
      </c>
      <c r="F166" s="29">
        <f t="shared" si="43"/>
        <v>0</v>
      </c>
      <c r="G166" s="29" t="str">
        <f t="shared" si="44"/>
        <v>offensive</v>
      </c>
      <c r="H166" s="16">
        <f t="shared" si="48"/>
        <v>0</v>
      </c>
      <c r="I166" s="16">
        <f t="shared" si="49"/>
        <v>0</v>
      </c>
      <c r="J166" s="16">
        <f t="shared" si="53"/>
        <v>0</v>
      </c>
      <c r="K166" s="16">
        <f t="shared" si="45"/>
        <v>0</v>
      </c>
      <c r="L166" s="67">
        <f t="shared" si="46"/>
        <v>0</v>
      </c>
      <c r="M166" s="4">
        <f t="shared" si="54"/>
        <v>0</v>
      </c>
      <c r="N166" s="4">
        <f t="shared" si="40"/>
        <v>0</v>
      </c>
      <c r="O166" s="4">
        <f t="shared" si="47"/>
        <v>0</v>
      </c>
      <c r="P166" s="4" t="e">
        <f>VLOOKUP(AJ158,'CIR Team Info'!$C$5:$E$44,2,FALSE)</f>
        <v>#N/A</v>
      </c>
      <c r="Q166" s="4" t="e">
        <f>VLOOKUP(AJ158,'CIR Team Info'!$C$5:$E$44,3,FALSE)</f>
        <v>#N/A</v>
      </c>
      <c r="R166" s="10" t="e">
        <f>VLOOKUP(AJ158,'FRC Site Data'!$B$3:$L$42,2,FALSE)</f>
        <v>#N/A</v>
      </c>
      <c r="S166" s="10" t="e">
        <f>VLOOKUP(AJ158,'FRC Site Data'!$B$3:$L$42,3,FALSE)</f>
        <v>#N/A</v>
      </c>
      <c r="T166" s="10" t="e">
        <f>VLOOKUP(AJ158,'FRC Site Data'!$B$3:$L$42,4,FALSE)</f>
        <v>#N/A</v>
      </c>
      <c r="U166" s="10" t="e">
        <f>VLOOKUP(AJ158,'FRC Site Data'!$B$3:$L$42,5,FALSE)</f>
        <v>#N/A</v>
      </c>
      <c r="V166" s="10" t="e">
        <f>VLOOKUP(AJ158,'FRC Site Data'!$B$3:$L$42,6,FALSE)</f>
        <v>#N/A</v>
      </c>
      <c r="W166" s="10" t="e">
        <f>VLOOKUP(AJ158,'FRC Site Data'!$B$3:$L$42,8,FALSE)</f>
        <v>#N/A</v>
      </c>
      <c r="X166" s="10" t="e">
        <f>VLOOKUP(AJ158,'FRC Site Data'!$B$3:$L$42,9,FALSE)</f>
        <v>#N/A</v>
      </c>
      <c r="Y166" s="10" t="e">
        <f>VLOOKUP(AJ158,'FRC Site Data'!$B$3:$L$42,10,FALSE)</f>
        <v>#N/A</v>
      </c>
      <c r="Z166" s="10" t="e">
        <f>VLOOKUP(AJ158,'FRC Site Data'!$B$3:$L$42,11,FALSE)</f>
        <v>#N/A</v>
      </c>
      <c r="AA166" s="10" t="e">
        <f>VLOOKUP(AJ158,'CIR Team Info'!$C$5:$E$44,4,FALSE)</f>
        <v>#N/A</v>
      </c>
      <c r="AB166" s="161" t="b">
        <f>ISNUMBER(VLOOKUP(AJ158,Match!$T$5:$T$10,1,FALSE))</f>
        <v>0</v>
      </c>
      <c r="AC166" s="161" t="b">
        <f>IF(AB166=TRUE,(VLOOKUP($AJ158,Match!$T$5:$U$10,2,FALSE)))</f>
        <v>0</v>
      </c>
      <c r="AD166" s="8">
        <v>3</v>
      </c>
      <c r="AE166" s="8">
        <v>2</v>
      </c>
      <c r="AF166" s="8">
        <v>2</v>
      </c>
      <c r="AG166" s="8">
        <v>1</v>
      </c>
      <c r="AH166" s="8" t="str">
        <f t="shared" si="55"/>
        <v/>
      </c>
      <c r="BA166" s="24"/>
      <c r="BC166" s="12"/>
      <c r="BS166" s="127"/>
    </row>
    <row r="167" spans="1:71" x14ac:dyDescent="0.25">
      <c r="A167" s="29">
        <f t="shared" si="41"/>
        <v>0</v>
      </c>
      <c r="B167" s="29">
        <f t="shared" si="50"/>
        <v>0</v>
      </c>
      <c r="C167" s="29">
        <f t="shared" si="51"/>
        <v>0</v>
      </c>
      <c r="D167" s="29">
        <f t="shared" si="52"/>
        <v>0</v>
      </c>
      <c r="E167" s="29">
        <f t="shared" si="42"/>
        <v>0</v>
      </c>
      <c r="F167" s="29">
        <f t="shared" si="43"/>
        <v>0</v>
      </c>
      <c r="G167" s="29" t="str">
        <f t="shared" si="44"/>
        <v>offensive</v>
      </c>
      <c r="H167" s="16">
        <f t="shared" si="48"/>
        <v>0</v>
      </c>
      <c r="I167" s="16">
        <f t="shared" si="49"/>
        <v>0</v>
      </c>
      <c r="J167" s="16">
        <f t="shared" si="53"/>
        <v>0</v>
      </c>
      <c r="K167" s="16">
        <f t="shared" si="45"/>
        <v>0</v>
      </c>
      <c r="L167" s="67">
        <f t="shared" si="46"/>
        <v>0</v>
      </c>
      <c r="M167" s="4">
        <f t="shared" si="54"/>
        <v>0</v>
      </c>
      <c r="N167" s="4">
        <f t="shared" si="40"/>
        <v>0</v>
      </c>
      <c r="O167" s="4">
        <f t="shared" si="47"/>
        <v>0</v>
      </c>
      <c r="P167" s="4" t="e">
        <f>VLOOKUP(AJ159,'CIR Team Info'!$C$5:$E$44,2,FALSE)</f>
        <v>#N/A</v>
      </c>
      <c r="Q167" s="4" t="e">
        <f>VLOOKUP(AJ159,'CIR Team Info'!$C$5:$E$44,3,FALSE)</f>
        <v>#N/A</v>
      </c>
      <c r="R167" s="10" t="e">
        <f>VLOOKUP(AJ159,'FRC Site Data'!$B$3:$L$42,2,FALSE)</f>
        <v>#N/A</v>
      </c>
      <c r="S167" s="10" t="e">
        <f>VLOOKUP(AJ159,'FRC Site Data'!$B$3:$L$42,3,FALSE)</f>
        <v>#N/A</v>
      </c>
      <c r="T167" s="10" t="e">
        <f>VLOOKUP(AJ159,'FRC Site Data'!$B$3:$L$42,4,FALSE)</f>
        <v>#N/A</v>
      </c>
      <c r="U167" s="10" t="e">
        <f>VLOOKUP(AJ159,'FRC Site Data'!$B$3:$L$42,5,FALSE)</f>
        <v>#N/A</v>
      </c>
      <c r="V167" s="10" t="e">
        <f>VLOOKUP(AJ159,'FRC Site Data'!$B$3:$L$42,6,FALSE)</f>
        <v>#N/A</v>
      </c>
      <c r="W167" s="10" t="e">
        <f>VLOOKUP(AJ159,'FRC Site Data'!$B$3:$L$42,8,FALSE)</f>
        <v>#N/A</v>
      </c>
      <c r="X167" s="10" t="e">
        <f>VLOOKUP(AJ159,'FRC Site Data'!$B$3:$L$42,9,FALSE)</f>
        <v>#N/A</v>
      </c>
      <c r="Y167" s="10" t="e">
        <f>VLOOKUP(AJ159,'FRC Site Data'!$B$3:$L$42,10,FALSE)</f>
        <v>#N/A</v>
      </c>
      <c r="Z167" s="10" t="e">
        <f>VLOOKUP(AJ159,'FRC Site Data'!$B$3:$L$42,11,FALSE)</f>
        <v>#N/A</v>
      </c>
      <c r="AA167" s="10" t="e">
        <f>VLOOKUP(AJ159,'CIR Team Info'!$C$5:$E$44,4,FALSE)</f>
        <v>#N/A</v>
      </c>
      <c r="AB167" s="161" t="b">
        <f>ISNUMBER(VLOOKUP(AJ159,Match!$T$5:$T$10,1,FALSE))</f>
        <v>0</v>
      </c>
      <c r="AC167" s="161" t="b">
        <f>IF(AB167=TRUE,(VLOOKUP($AJ159,Match!$T$5:$U$10,2,FALSE)))</f>
        <v>0</v>
      </c>
      <c r="AD167" s="8">
        <v>3</v>
      </c>
      <c r="AE167" s="8">
        <v>2</v>
      </c>
      <c r="AF167" s="8">
        <v>2</v>
      </c>
      <c r="AG167" s="8">
        <v>1</v>
      </c>
      <c r="AH167" s="8" t="str">
        <f t="shared" si="55"/>
        <v/>
      </c>
      <c r="BA167" s="24"/>
      <c r="BC167" s="12"/>
      <c r="BS167" s="127"/>
    </row>
    <row r="168" spans="1:71" x14ac:dyDescent="0.25">
      <c r="A168" s="29">
        <f t="shared" si="41"/>
        <v>0</v>
      </c>
      <c r="B168" s="29">
        <f t="shared" si="50"/>
        <v>0</v>
      </c>
      <c r="C168" s="29">
        <f t="shared" si="51"/>
        <v>0</v>
      </c>
      <c r="D168" s="29">
        <f t="shared" si="52"/>
        <v>0</v>
      </c>
      <c r="E168" s="29">
        <f t="shared" si="42"/>
        <v>0</v>
      </c>
      <c r="F168" s="29">
        <f t="shared" si="43"/>
        <v>0</v>
      </c>
      <c r="G168" s="29" t="str">
        <f t="shared" si="44"/>
        <v>offensive</v>
      </c>
      <c r="H168" s="16">
        <f t="shared" si="48"/>
        <v>0</v>
      </c>
      <c r="I168" s="16">
        <f t="shared" si="49"/>
        <v>0</v>
      </c>
      <c r="J168" s="16">
        <f t="shared" si="53"/>
        <v>0</v>
      </c>
      <c r="K168" s="16">
        <f t="shared" si="45"/>
        <v>0</v>
      </c>
      <c r="L168" s="67">
        <f t="shared" si="46"/>
        <v>0</v>
      </c>
      <c r="M168" s="4">
        <f t="shared" si="54"/>
        <v>0</v>
      </c>
      <c r="N168" s="4">
        <f t="shared" si="40"/>
        <v>0</v>
      </c>
      <c r="O168" s="4">
        <f t="shared" si="47"/>
        <v>0</v>
      </c>
      <c r="P168" s="4" t="e">
        <f>VLOOKUP(AJ160,'CIR Team Info'!$C$5:$E$44,2,FALSE)</f>
        <v>#N/A</v>
      </c>
      <c r="Q168" s="4" t="e">
        <f>VLOOKUP(AJ160,'CIR Team Info'!$C$5:$E$44,3,FALSE)</f>
        <v>#N/A</v>
      </c>
      <c r="R168" s="10" t="e">
        <f>VLOOKUP(AJ160,'FRC Site Data'!$B$3:$L$42,2,FALSE)</f>
        <v>#N/A</v>
      </c>
      <c r="S168" s="10" t="e">
        <f>VLOOKUP(AJ160,'FRC Site Data'!$B$3:$L$42,3,FALSE)</f>
        <v>#N/A</v>
      </c>
      <c r="T168" s="10" t="e">
        <f>VLOOKUP(AJ160,'FRC Site Data'!$B$3:$L$42,4,FALSE)</f>
        <v>#N/A</v>
      </c>
      <c r="U168" s="10" t="e">
        <f>VLOOKUP(AJ160,'FRC Site Data'!$B$3:$L$42,5,FALSE)</f>
        <v>#N/A</v>
      </c>
      <c r="V168" s="10" t="e">
        <f>VLOOKUP(AJ160,'FRC Site Data'!$B$3:$L$42,6,FALSE)</f>
        <v>#N/A</v>
      </c>
      <c r="W168" s="10" t="e">
        <f>VLOOKUP(AJ160,'FRC Site Data'!$B$3:$L$42,8,FALSE)</f>
        <v>#N/A</v>
      </c>
      <c r="X168" s="10" t="e">
        <f>VLOOKUP(AJ160,'FRC Site Data'!$B$3:$L$42,9,FALSE)</f>
        <v>#N/A</v>
      </c>
      <c r="Y168" s="10" t="e">
        <f>VLOOKUP(AJ160,'FRC Site Data'!$B$3:$L$42,10,FALSE)</f>
        <v>#N/A</v>
      </c>
      <c r="Z168" s="10" t="e">
        <f>VLOOKUP(AJ160,'FRC Site Data'!$B$3:$L$42,11,FALSE)</f>
        <v>#N/A</v>
      </c>
      <c r="AA168" s="10" t="e">
        <f>VLOOKUP(AJ160,'CIR Team Info'!$C$5:$E$44,4,FALSE)</f>
        <v>#N/A</v>
      </c>
      <c r="AB168" s="161" t="b">
        <f>ISNUMBER(VLOOKUP(AJ160,Match!$T$5:$T$10,1,FALSE))</f>
        <v>0</v>
      </c>
      <c r="AC168" s="161" t="b">
        <f>IF(AB168=TRUE,(VLOOKUP($AJ160,Match!$T$5:$U$10,2,FALSE)))</f>
        <v>0</v>
      </c>
      <c r="AD168" s="8">
        <v>3</v>
      </c>
      <c r="AE168" s="8">
        <v>2</v>
      </c>
      <c r="AF168" s="8">
        <v>2</v>
      </c>
      <c r="AG168" s="8">
        <v>1</v>
      </c>
      <c r="AH168" s="8" t="str">
        <f t="shared" si="55"/>
        <v/>
      </c>
      <c r="BA168" s="24"/>
      <c r="BC168" s="12"/>
      <c r="BS168" s="127"/>
    </row>
    <row r="169" spans="1:71" x14ac:dyDescent="0.25">
      <c r="A169" s="29">
        <f t="shared" si="41"/>
        <v>0</v>
      </c>
      <c r="B169" s="29">
        <f t="shared" si="50"/>
        <v>0</v>
      </c>
      <c r="C169" s="29">
        <f t="shared" si="51"/>
        <v>0</v>
      </c>
      <c r="D169" s="29">
        <f t="shared" si="52"/>
        <v>0</v>
      </c>
      <c r="E169" s="29">
        <f t="shared" si="42"/>
        <v>0</v>
      </c>
      <c r="F169" s="29">
        <f t="shared" si="43"/>
        <v>0</v>
      </c>
      <c r="G169" s="29" t="str">
        <f t="shared" si="44"/>
        <v>offensive</v>
      </c>
      <c r="H169" s="16">
        <f t="shared" si="48"/>
        <v>0</v>
      </c>
      <c r="I169" s="16">
        <f t="shared" si="49"/>
        <v>0</v>
      </c>
      <c r="J169" s="16">
        <f t="shared" si="53"/>
        <v>0</v>
      </c>
      <c r="K169" s="16">
        <f t="shared" si="45"/>
        <v>0</v>
      </c>
      <c r="L169" s="67">
        <f t="shared" si="46"/>
        <v>0</v>
      </c>
      <c r="M169" s="4">
        <f t="shared" si="54"/>
        <v>0</v>
      </c>
      <c r="N169" s="4">
        <f t="shared" si="40"/>
        <v>0</v>
      </c>
      <c r="O169" s="4">
        <f t="shared" si="47"/>
        <v>0</v>
      </c>
      <c r="P169" s="4" t="e">
        <f>VLOOKUP(AJ161,'CIR Team Info'!$C$5:$E$44,2,FALSE)</f>
        <v>#N/A</v>
      </c>
      <c r="Q169" s="4" t="e">
        <f>VLOOKUP(AJ161,'CIR Team Info'!$C$5:$E$44,3,FALSE)</f>
        <v>#N/A</v>
      </c>
      <c r="R169" s="10" t="e">
        <f>VLOOKUP(AJ161,'FRC Site Data'!$B$3:$L$42,2,FALSE)</f>
        <v>#N/A</v>
      </c>
      <c r="S169" s="10" t="e">
        <f>VLOOKUP(AJ161,'FRC Site Data'!$B$3:$L$42,3,FALSE)</f>
        <v>#N/A</v>
      </c>
      <c r="T169" s="10" t="e">
        <f>VLOOKUP(AJ161,'FRC Site Data'!$B$3:$L$42,4,FALSE)</f>
        <v>#N/A</v>
      </c>
      <c r="U169" s="10" t="e">
        <f>VLOOKUP(AJ161,'FRC Site Data'!$B$3:$L$42,5,FALSE)</f>
        <v>#N/A</v>
      </c>
      <c r="V169" s="10" t="e">
        <f>VLOOKUP(AJ161,'FRC Site Data'!$B$3:$L$42,6,FALSE)</f>
        <v>#N/A</v>
      </c>
      <c r="W169" s="10" t="e">
        <f>VLOOKUP(AJ161,'FRC Site Data'!$B$3:$L$42,8,FALSE)</f>
        <v>#N/A</v>
      </c>
      <c r="X169" s="10" t="e">
        <f>VLOOKUP(AJ161,'FRC Site Data'!$B$3:$L$42,9,FALSE)</f>
        <v>#N/A</v>
      </c>
      <c r="Y169" s="10" t="e">
        <f>VLOOKUP(AJ161,'FRC Site Data'!$B$3:$L$42,10,FALSE)</f>
        <v>#N/A</v>
      </c>
      <c r="Z169" s="10" t="e">
        <f>VLOOKUP(AJ161,'FRC Site Data'!$B$3:$L$42,11,FALSE)</f>
        <v>#N/A</v>
      </c>
      <c r="AA169" s="10" t="e">
        <f>VLOOKUP(AJ161,'CIR Team Info'!$C$5:$E$44,4,FALSE)</f>
        <v>#N/A</v>
      </c>
      <c r="AB169" s="161" t="b">
        <f>ISNUMBER(VLOOKUP(AJ161,Match!$T$5:$T$10,1,FALSE))</f>
        <v>0</v>
      </c>
      <c r="AC169" s="161" t="b">
        <f>IF(AB169=TRUE,(VLOOKUP($AJ161,Match!$T$5:$U$10,2,FALSE)))</f>
        <v>0</v>
      </c>
      <c r="AD169" s="8">
        <v>3</v>
      </c>
      <c r="AE169" s="8">
        <v>2</v>
      </c>
      <c r="AF169" s="8">
        <v>2</v>
      </c>
      <c r="AG169" s="8">
        <v>1</v>
      </c>
      <c r="AH169" s="8" t="str">
        <f t="shared" si="55"/>
        <v/>
      </c>
      <c r="BA169" s="24"/>
      <c r="BC169" s="12"/>
      <c r="BS169" s="127"/>
    </row>
    <row r="170" spans="1:71" x14ac:dyDescent="0.25">
      <c r="A170" s="29">
        <f t="shared" si="41"/>
        <v>0</v>
      </c>
      <c r="B170" s="29">
        <f t="shared" si="50"/>
        <v>0</v>
      </c>
      <c r="C170" s="29">
        <f t="shared" si="51"/>
        <v>0</v>
      </c>
      <c r="D170" s="29">
        <f t="shared" si="52"/>
        <v>0</v>
      </c>
      <c r="E170" s="29">
        <f t="shared" si="42"/>
        <v>0</v>
      </c>
      <c r="F170" s="29">
        <f t="shared" si="43"/>
        <v>0</v>
      </c>
      <c r="G170" s="29" t="str">
        <f t="shared" si="44"/>
        <v>offensive</v>
      </c>
      <c r="H170" s="16">
        <f t="shared" si="48"/>
        <v>0</v>
      </c>
      <c r="I170" s="16">
        <f t="shared" si="49"/>
        <v>0</v>
      </c>
      <c r="J170" s="16">
        <f t="shared" si="53"/>
        <v>0</v>
      </c>
      <c r="K170" s="16">
        <f t="shared" si="45"/>
        <v>0</v>
      </c>
      <c r="L170" s="67">
        <f t="shared" si="46"/>
        <v>0</v>
      </c>
      <c r="M170" s="4">
        <f t="shared" si="54"/>
        <v>0</v>
      </c>
      <c r="N170" s="4">
        <f t="shared" si="40"/>
        <v>0</v>
      </c>
      <c r="O170" s="4">
        <f t="shared" si="47"/>
        <v>0</v>
      </c>
      <c r="P170" s="4" t="e">
        <f>VLOOKUP(AJ162,'CIR Team Info'!$C$5:$E$44,2,FALSE)</f>
        <v>#N/A</v>
      </c>
      <c r="Q170" s="4" t="e">
        <f>VLOOKUP(AJ162,'CIR Team Info'!$C$5:$E$44,3,FALSE)</f>
        <v>#N/A</v>
      </c>
      <c r="R170" s="10" t="e">
        <f>VLOOKUP(AJ162,'FRC Site Data'!$B$3:$L$42,2,FALSE)</f>
        <v>#N/A</v>
      </c>
      <c r="S170" s="10" t="e">
        <f>VLOOKUP(AJ162,'FRC Site Data'!$B$3:$L$42,3,FALSE)</f>
        <v>#N/A</v>
      </c>
      <c r="T170" s="10" t="e">
        <f>VLOOKUP(AJ162,'FRC Site Data'!$B$3:$L$42,4,FALSE)</f>
        <v>#N/A</v>
      </c>
      <c r="U170" s="10" t="e">
        <f>VLOOKUP(AJ162,'FRC Site Data'!$B$3:$L$42,5,FALSE)</f>
        <v>#N/A</v>
      </c>
      <c r="V170" s="10" t="e">
        <f>VLOOKUP(AJ162,'FRC Site Data'!$B$3:$L$42,6,FALSE)</f>
        <v>#N/A</v>
      </c>
      <c r="W170" s="10" t="e">
        <f>VLOOKUP(AJ162,'FRC Site Data'!$B$3:$L$42,8,FALSE)</f>
        <v>#N/A</v>
      </c>
      <c r="X170" s="10" t="e">
        <f>VLOOKUP(AJ162,'FRC Site Data'!$B$3:$L$42,9,FALSE)</f>
        <v>#N/A</v>
      </c>
      <c r="Y170" s="10" t="e">
        <f>VLOOKUP(AJ162,'FRC Site Data'!$B$3:$L$42,10,FALSE)</f>
        <v>#N/A</v>
      </c>
      <c r="Z170" s="10" t="e">
        <f>VLOOKUP(AJ162,'FRC Site Data'!$B$3:$L$42,11,FALSE)</f>
        <v>#N/A</v>
      </c>
      <c r="AA170" s="10" t="e">
        <f>VLOOKUP(AJ162,'CIR Team Info'!$C$5:$E$44,4,FALSE)</f>
        <v>#N/A</v>
      </c>
      <c r="AB170" s="161" t="b">
        <f>ISNUMBER(VLOOKUP(AJ162,Match!$T$5:$T$10,1,FALSE))</f>
        <v>0</v>
      </c>
      <c r="AC170" s="161" t="b">
        <f>IF(AB170=TRUE,(VLOOKUP($AJ162,Match!$T$5:$U$10,2,FALSE)))</f>
        <v>0</v>
      </c>
      <c r="AD170" s="8">
        <v>3</v>
      </c>
      <c r="AE170" s="8">
        <v>2</v>
      </c>
      <c r="AF170" s="8">
        <v>2</v>
      </c>
      <c r="AG170" s="8">
        <v>1</v>
      </c>
      <c r="AH170" s="8" t="str">
        <f t="shared" si="55"/>
        <v/>
      </c>
      <c r="BA170" s="24"/>
      <c r="BC170" s="12"/>
      <c r="BS170" s="127"/>
    </row>
    <row r="171" spans="1:71" x14ac:dyDescent="0.25">
      <c r="A171" s="29">
        <f t="shared" si="41"/>
        <v>0</v>
      </c>
      <c r="B171" s="29">
        <f t="shared" si="50"/>
        <v>0</v>
      </c>
      <c r="C171" s="29">
        <f t="shared" si="51"/>
        <v>0</v>
      </c>
      <c r="D171" s="29">
        <f t="shared" si="52"/>
        <v>0</v>
      </c>
      <c r="E171" s="29">
        <f t="shared" si="42"/>
        <v>0</v>
      </c>
      <c r="F171" s="29">
        <f t="shared" si="43"/>
        <v>0</v>
      </c>
      <c r="G171" s="29" t="str">
        <f t="shared" si="44"/>
        <v>offensive</v>
      </c>
      <c r="H171" s="16">
        <f t="shared" si="48"/>
        <v>0</v>
      </c>
      <c r="I171" s="16">
        <f t="shared" si="49"/>
        <v>0</v>
      </c>
      <c r="J171" s="16">
        <f t="shared" si="53"/>
        <v>0</v>
      </c>
      <c r="K171" s="16">
        <f t="shared" si="45"/>
        <v>0</v>
      </c>
      <c r="L171" s="67">
        <f t="shared" si="46"/>
        <v>0</v>
      </c>
      <c r="M171" s="4">
        <f t="shared" si="54"/>
        <v>0</v>
      </c>
      <c r="N171" s="4">
        <f t="shared" si="40"/>
        <v>0</v>
      </c>
      <c r="O171" s="4">
        <f t="shared" si="47"/>
        <v>0</v>
      </c>
      <c r="P171" s="4" t="e">
        <f>VLOOKUP(AJ163,'CIR Team Info'!$C$5:$E$44,2,FALSE)</f>
        <v>#N/A</v>
      </c>
      <c r="Q171" s="4" t="e">
        <f>VLOOKUP(AJ163,'CIR Team Info'!$C$5:$E$44,3,FALSE)</f>
        <v>#N/A</v>
      </c>
      <c r="R171" s="10" t="e">
        <f>VLOOKUP(AJ163,'FRC Site Data'!$B$3:$L$42,2,FALSE)</f>
        <v>#N/A</v>
      </c>
      <c r="S171" s="10" t="e">
        <f>VLOOKUP(AJ163,'FRC Site Data'!$B$3:$L$42,3,FALSE)</f>
        <v>#N/A</v>
      </c>
      <c r="T171" s="10" t="e">
        <f>VLOOKUP(AJ163,'FRC Site Data'!$B$3:$L$42,4,FALSE)</f>
        <v>#N/A</v>
      </c>
      <c r="U171" s="10" t="e">
        <f>VLOOKUP(AJ163,'FRC Site Data'!$B$3:$L$42,5,FALSE)</f>
        <v>#N/A</v>
      </c>
      <c r="V171" s="10" t="e">
        <f>VLOOKUP(AJ163,'FRC Site Data'!$B$3:$L$42,6,FALSE)</f>
        <v>#N/A</v>
      </c>
      <c r="W171" s="10" t="e">
        <f>VLOOKUP(AJ163,'FRC Site Data'!$B$3:$L$42,8,FALSE)</f>
        <v>#N/A</v>
      </c>
      <c r="X171" s="10" t="e">
        <f>VLOOKUP(AJ163,'FRC Site Data'!$B$3:$L$42,9,FALSE)</f>
        <v>#N/A</v>
      </c>
      <c r="Y171" s="10" t="e">
        <f>VLOOKUP(AJ163,'FRC Site Data'!$B$3:$L$42,10,FALSE)</f>
        <v>#N/A</v>
      </c>
      <c r="Z171" s="10" t="e">
        <f>VLOOKUP(AJ163,'FRC Site Data'!$B$3:$L$42,11,FALSE)</f>
        <v>#N/A</v>
      </c>
      <c r="AA171" s="10" t="e">
        <f>VLOOKUP(AJ163,'CIR Team Info'!$C$5:$E$44,4,FALSE)</f>
        <v>#N/A</v>
      </c>
      <c r="AB171" s="161" t="b">
        <f>ISNUMBER(VLOOKUP(AJ163,Match!$T$5:$T$10,1,FALSE))</f>
        <v>0</v>
      </c>
      <c r="AC171" s="161" t="b">
        <f>IF(AB171=TRUE,(VLOOKUP($AJ163,Match!$T$5:$U$10,2,FALSE)))</f>
        <v>0</v>
      </c>
      <c r="AD171" s="8">
        <v>3</v>
      </c>
      <c r="AE171" s="8">
        <v>2</v>
      </c>
      <c r="AF171" s="8">
        <v>2</v>
      </c>
      <c r="AG171" s="8">
        <v>1</v>
      </c>
      <c r="AH171" s="8" t="str">
        <f t="shared" si="55"/>
        <v/>
      </c>
      <c r="BA171" s="24"/>
      <c r="BC171" s="12"/>
      <c r="BS171" s="127"/>
    </row>
    <row r="172" spans="1:71" x14ac:dyDescent="0.25">
      <c r="A172" s="29">
        <f t="shared" si="41"/>
        <v>0</v>
      </c>
      <c r="B172" s="29">
        <f t="shared" si="50"/>
        <v>0</v>
      </c>
      <c r="C172" s="29">
        <f t="shared" si="51"/>
        <v>0</v>
      </c>
      <c r="D172" s="29">
        <f t="shared" si="52"/>
        <v>0</v>
      </c>
      <c r="E172" s="29">
        <f t="shared" si="42"/>
        <v>0</v>
      </c>
      <c r="F172" s="29">
        <f t="shared" si="43"/>
        <v>0</v>
      </c>
      <c r="G172" s="29" t="str">
        <f t="shared" si="44"/>
        <v>offensive</v>
      </c>
      <c r="H172" s="16">
        <f t="shared" si="48"/>
        <v>0</v>
      </c>
      <c r="I172" s="16">
        <f t="shared" si="49"/>
        <v>0</v>
      </c>
      <c r="J172" s="16">
        <f t="shared" si="53"/>
        <v>0</v>
      </c>
      <c r="K172" s="16">
        <f t="shared" si="45"/>
        <v>0</v>
      </c>
      <c r="L172" s="67">
        <f t="shared" si="46"/>
        <v>0</v>
      </c>
      <c r="M172" s="4">
        <f t="shared" si="54"/>
        <v>0</v>
      </c>
      <c r="N172" s="4">
        <f t="shared" si="40"/>
        <v>0</v>
      </c>
      <c r="O172" s="4">
        <f t="shared" si="47"/>
        <v>0</v>
      </c>
      <c r="P172" s="4" t="e">
        <f>VLOOKUP(AJ164,'CIR Team Info'!$C$5:$E$44,2,FALSE)</f>
        <v>#N/A</v>
      </c>
      <c r="Q172" s="4" t="e">
        <f>VLOOKUP(AJ164,'CIR Team Info'!$C$5:$E$44,3,FALSE)</f>
        <v>#N/A</v>
      </c>
      <c r="R172" s="10" t="e">
        <f>VLOOKUP(AJ164,'FRC Site Data'!$B$3:$L$42,2,FALSE)</f>
        <v>#N/A</v>
      </c>
      <c r="S172" s="10" t="e">
        <f>VLOOKUP(AJ164,'FRC Site Data'!$B$3:$L$42,3,FALSE)</f>
        <v>#N/A</v>
      </c>
      <c r="T172" s="10" t="e">
        <f>VLOOKUP(AJ164,'FRC Site Data'!$B$3:$L$42,4,FALSE)</f>
        <v>#N/A</v>
      </c>
      <c r="U172" s="10" t="e">
        <f>VLOOKUP(AJ164,'FRC Site Data'!$B$3:$L$42,5,FALSE)</f>
        <v>#N/A</v>
      </c>
      <c r="V172" s="10" t="e">
        <f>VLOOKUP(AJ164,'FRC Site Data'!$B$3:$L$42,6,FALSE)</f>
        <v>#N/A</v>
      </c>
      <c r="W172" s="10" t="e">
        <f>VLOOKUP(AJ164,'FRC Site Data'!$B$3:$L$42,8,FALSE)</f>
        <v>#N/A</v>
      </c>
      <c r="X172" s="10" t="e">
        <f>VLOOKUP(AJ164,'FRC Site Data'!$B$3:$L$42,9,FALSE)</f>
        <v>#N/A</v>
      </c>
      <c r="Y172" s="10" t="e">
        <f>VLOOKUP(AJ164,'FRC Site Data'!$B$3:$L$42,10,FALSE)</f>
        <v>#N/A</v>
      </c>
      <c r="Z172" s="10" t="e">
        <f>VLOOKUP(AJ164,'FRC Site Data'!$B$3:$L$42,11,FALSE)</f>
        <v>#N/A</v>
      </c>
      <c r="AA172" s="10" t="e">
        <f>VLOOKUP(AJ164,'CIR Team Info'!$C$5:$E$44,4,FALSE)</f>
        <v>#N/A</v>
      </c>
      <c r="AB172" s="161" t="b">
        <f>ISNUMBER(VLOOKUP(AJ164,Match!$T$5:$T$10,1,FALSE))</f>
        <v>0</v>
      </c>
      <c r="AC172" s="161" t="b">
        <f>IF(AB172=TRUE,(VLOOKUP($AJ164,Match!$T$5:$U$10,2,FALSE)))</f>
        <v>0</v>
      </c>
      <c r="AD172" s="8">
        <v>3</v>
      </c>
      <c r="AE172" s="8">
        <v>2</v>
      </c>
      <c r="AF172" s="8">
        <v>2</v>
      </c>
      <c r="AG172" s="8">
        <v>1</v>
      </c>
      <c r="AH172" s="8" t="str">
        <f t="shared" si="55"/>
        <v/>
      </c>
      <c r="BA172" s="24"/>
      <c r="BC172" s="12"/>
      <c r="BS172" s="127"/>
    </row>
    <row r="173" spans="1:71" x14ac:dyDescent="0.25">
      <c r="A173" s="29">
        <f t="shared" si="41"/>
        <v>0</v>
      </c>
      <c r="B173" s="29">
        <f t="shared" si="50"/>
        <v>0</v>
      </c>
      <c r="C173" s="29">
        <f t="shared" si="51"/>
        <v>0</v>
      </c>
      <c r="D173" s="29">
        <f t="shared" si="52"/>
        <v>0</v>
      </c>
      <c r="E173" s="29">
        <f t="shared" si="42"/>
        <v>0</v>
      </c>
      <c r="F173" s="29">
        <f t="shared" si="43"/>
        <v>0</v>
      </c>
      <c r="G173" s="29" t="str">
        <f t="shared" si="44"/>
        <v>offensive</v>
      </c>
      <c r="H173" s="16">
        <f t="shared" si="48"/>
        <v>0</v>
      </c>
      <c r="I173" s="16">
        <f t="shared" si="49"/>
        <v>0</v>
      </c>
      <c r="J173" s="16">
        <f t="shared" si="53"/>
        <v>0</v>
      </c>
      <c r="K173" s="16">
        <f t="shared" si="45"/>
        <v>0</v>
      </c>
      <c r="L173" s="67">
        <f t="shared" si="46"/>
        <v>0</v>
      </c>
      <c r="M173" s="4">
        <f t="shared" si="54"/>
        <v>0</v>
      </c>
      <c r="N173" s="4">
        <f t="shared" si="40"/>
        <v>0</v>
      </c>
      <c r="O173" s="4">
        <f t="shared" si="47"/>
        <v>0</v>
      </c>
      <c r="P173" s="4" t="e">
        <f>VLOOKUP(AJ165,'CIR Team Info'!$C$5:$E$44,2,FALSE)</f>
        <v>#N/A</v>
      </c>
      <c r="Q173" s="4" t="e">
        <f>VLOOKUP(AJ165,'CIR Team Info'!$C$5:$E$44,3,FALSE)</f>
        <v>#N/A</v>
      </c>
      <c r="R173" s="10" t="e">
        <f>VLOOKUP(AJ165,'FRC Site Data'!$B$3:$L$42,2,FALSE)</f>
        <v>#N/A</v>
      </c>
      <c r="S173" s="10" t="e">
        <f>VLOOKUP(AJ165,'FRC Site Data'!$B$3:$L$42,3,FALSE)</f>
        <v>#N/A</v>
      </c>
      <c r="T173" s="10" t="e">
        <f>VLOOKUP(AJ165,'FRC Site Data'!$B$3:$L$42,4,FALSE)</f>
        <v>#N/A</v>
      </c>
      <c r="U173" s="10" t="e">
        <f>VLOOKUP(AJ165,'FRC Site Data'!$B$3:$L$42,5,FALSE)</f>
        <v>#N/A</v>
      </c>
      <c r="V173" s="10" t="e">
        <f>VLOOKUP(AJ165,'FRC Site Data'!$B$3:$L$42,6,FALSE)</f>
        <v>#N/A</v>
      </c>
      <c r="W173" s="10" t="e">
        <f>VLOOKUP(AJ165,'FRC Site Data'!$B$3:$L$42,8,FALSE)</f>
        <v>#N/A</v>
      </c>
      <c r="X173" s="10" t="e">
        <f>VLOOKUP(AJ165,'FRC Site Data'!$B$3:$L$42,9,FALSE)</f>
        <v>#N/A</v>
      </c>
      <c r="Y173" s="10" t="e">
        <f>VLOOKUP(AJ165,'FRC Site Data'!$B$3:$L$42,10,FALSE)</f>
        <v>#N/A</v>
      </c>
      <c r="Z173" s="10" t="e">
        <f>VLOOKUP(AJ165,'FRC Site Data'!$B$3:$L$42,11,FALSE)</f>
        <v>#N/A</v>
      </c>
      <c r="AA173" s="10" t="e">
        <f>VLOOKUP(AJ165,'CIR Team Info'!$C$5:$E$44,4,FALSE)</f>
        <v>#N/A</v>
      </c>
      <c r="AB173" s="161" t="b">
        <f>ISNUMBER(VLOOKUP(AJ165,Match!$T$5:$T$10,1,FALSE))</f>
        <v>0</v>
      </c>
      <c r="AC173" s="161" t="b">
        <f>IF(AB173=TRUE,(VLOOKUP($AJ165,Match!$T$5:$U$10,2,FALSE)))</f>
        <v>0</v>
      </c>
      <c r="AD173" s="8">
        <v>3</v>
      </c>
      <c r="AE173" s="8">
        <v>2</v>
      </c>
      <c r="AF173" s="8">
        <v>2</v>
      </c>
      <c r="AG173" s="8">
        <v>1</v>
      </c>
      <c r="AH173" s="8" t="str">
        <f t="shared" si="55"/>
        <v/>
      </c>
      <c r="BA173" s="24"/>
      <c r="BC173" s="12"/>
      <c r="BS173" s="127"/>
    </row>
    <row r="174" spans="1:71" x14ac:dyDescent="0.25">
      <c r="A174" s="29">
        <f t="shared" si="41"/>
        <v>0</v>
      </c>
      <c r="B174" s="29">
        <f t="shared" si="50"/>
        <v>0</v>
      </c>
      <c r="C174" s="29">
        <f t="shared" si="51"/>
        <v>0</v>
      </c>
      <c r="D174" s="29">
        <f t="shared" si="52"/>
        <v>0</v>
      </c>
      <c r="E174" s="29">
        <f t="shared" si="42"/>
        <v>0</v>
      </c>
      <c r="F174" s="29">
        <f t="shared" si="43"/>
        <v>0</v>
      </c>
      <c r="G174" s="29" t="str">
        <f t="shared" si="44"/>
        <v>offensive</v>
      </c>
      <c r="H174" s="16">
        <f t="shared" si="48"/>
        <v>0</v>
      </c>
      <c r="I174" s="16">
        <f t="shared" si="49"/>
        <v>0</v>
      </c>
      <c r="J174" s="16">
        <f t="shared" si="53"/>
        <v>0</v>
      </c>
      <c r="K174" s="16">
        <f t="shared" si="45"/>
        <v>0</v>
      </c>
      <c r="L174" s="67">
        <f t="shared" si="46"/>
        <v>0</v>
      </c>
      <c r="M174" s="4">
        <f t="shared" si="54"/>
        <v>0</v>
      </c>
      <c r="N174" s="4">
        <f t="shared" si="40"/>
        <v>0</v>
      </c>
      <c r="O174" s="4">
        <f t="shared" si="47"/>
        <v>0</v>
      </c>
      <c r="P174" s="4" t="e">
        <f>VLOOKUP(AJ166,'CIR Team Info'!$C$5:$E$44,2,FALSE)</f>
        <v>#N/A</v>
      </c>
      <c r="Q174" s="4" t="e">
        <f>VLOOKUP(AJ166,'CIR Team Info'!$C$5:$E$44,3,FALSE)</f>
        <v>#N/A</v>
      </c>
      <c r="R174" s="10" t="e">
        <f>VLOOKUP(AJ166,'FRC Site Data'!$B$3:$L$42,2,FALSE)</f>
        <v>#N/A</v>
      </c>
      <c r="S174" s="10" t="e">
        <f>VLOOKUP(AJ166,'FRC Site Data'!$B$3:$L$42,3,FALSE)</f>
        <v>#N/A</v>
      </c>
      <c r="T174" s="10" t="e">
        <f>VLOOKUP(AJ166,'FRC Site Data'!$B$3:$L$42,4,FALSE)</f>
        <v>#N/A</v>
      </c>
      <c r="U174" s="10" t="e">
        <f>VLOOKUP(AJ166,'FRC Site Data'!$B$3:$L$42,5,FALSE)</f>
        <v>#N/A</v>
      </c>
      <c r="V174" s="10" t="e">
        <f>VLOOKUP(AJ166,'FRC Site Data'!$B$3:$L$42,6,FALSE)</f>
        <v>#N/A</v>
      </c>
      <c r="W174" s="10" t="e">
        <f>VLOOKUP(AJ166,'FRC Site Data'!$B$3:$L$42,8,FALSE)</f>
        <v>#N/A</v>
      </c>
      <c r="X174" s="10" t="e">
        <f>VLOOKUP(AJ166,'FRC Site Data'!$B$3:$L$42,9,FALSE)</f>
        <v>#N/A</v>
      </c>
      <c r="Y174" s="10" t="e">
        <f>VLOOKUP(AJ166,'FRC Site Data'!$B$3:$L$42,10,FALSE)</f>
        <v>#N/A</v>
      </c>
      <c r="Z174" s="10" t="e">
        <f>VLOOKUP(AJ166,'FRC Site Data'!$B$3:$L$42,11,FALSE)</f>
        <v>#N/A</v>
      </c>
      <c r="AA174" s="10" t="e">
        <f>VLOOKUP(AJ166,'CIR Team Info'!$C$5:$E$44,4,FALSE)</f>
        <v>#N/A</v>
      </c>
      <c r="AB174" s="161" t="b">
        <f>ISNUMBER(VLOOKUP(AJ166,Match!$T$5:$T$10,1,FALSE))</f>
        <v>0</v>
      </c>
      <c r="AC174" s="161" t="b">
        <f>IF(AB174=TRUE,(VLOOKUP($AJ166,Match!$T$5:$U$10,2,FALSE)))</f>
        <v>0</v>
      </c>
      <c r="AD174" s="8">
        <v>3</v>
      </c>
      <c r="AE174" s="8">
        <v>2</v>
      </c>
      <c r="AF174" s="8">
        <v>2</v>
      </c>
      <c r="AG174" s="8">
        <v>1</v>
      </c>
      <c r="AH174" s="8" t="str">
        <f t="shared" si="55"/>
        <v/>
      </c>
      <c r="BA174" s="24"/>
      <c r="BC174" s="12"/>
      <c r="BS174" s="127"/>
    </row>
    <row r="175" spans="1:71" x14ac:dyDescent="0.25">
      <c r="A175" s="29">
        <f t="shared" si="41"/>
        <v>0</v>
      </c>
      <c r="B175" s="29">
        <f t="shared" si="50"/>
        <v>0</v>
      </c>
      <c r="C175" s="29">
        <f t="shared" si="51"/>
        <v>0</v>
      </c>
      <c r="D175" s="29">
        <f t="shared" si="52"/>
        <v>0</v>
      </c>
      <c r="E175" s="29">
        <f t="shared" si="42"/>
        <v>0</v>
      </c>
      <c r="F175" s="29">
        <f t="shared" si="43"/>
        <v>0</v>
      </c>
      <c r="G175" s="29" t="str">
        <f t="shared" si="44"/>
        <v>offensive</v>
      </c>
      <c r="H175" s="16">
        <f t="shared" si="48"/>
        <v>0</v>
      </c>
      <c r="I175" s="16">
        <f t="shared" si="49"/>
        <v>0</v>
      </c>
      <c r="J175" s="16">
        <f t="shared" si="53"/>
        <v>0</v>
      </c>
      <c r="K175" s="16">
        <f t="shared" si="45"/>
        <v>0</v>
      </c>
      <c r="L175" s="67">
        <f t="shared" si="46"/>
        <v>0</v>
      </c>
      <c r="M175" s="4">
        <f t="shared" si="54"/>
        <v>0</v>
      </c>
      <c r="N175" s="4">
        <f t="shared" si="40"/>
        <v>0</v>
      </c>
      <c r="O175" s="4">
        <f t="shared" si="47"/>
        <v>0</v>
      </c>
      <c r="P175" s="4" t="e">
        <f>VLOOKUP(AJ167,'CIR Team Info'!$C$5:$E$44,2,FALSE)</f>
        <v>#N/A</v>
      </c>
      <c r="Q175" s="4" t="e">
        <f>VLOOKUP(AJ167,'CIR Team Info'!$C$5:$E$44,3,FALSE)</f>
        <v>#N/A</v>
      </c>
      <c r="R175" s="10" t="e">
        <f>VLOOKUP(AJ167,'FRC Site Data'!$B$3:$L$42,2,FALSE)</f>
        <v>#N/A</v>
      </c>
      <c r="S175" s="10" t="e">
        <f>VLOOKUP(AJ167,'FRC Site Data'!$B$3:$L$42,3,FALSE)</f>
        <v>#N/A</v>
      </c>
      <c r="T175" s="10" t="e">
        <f>VLOOKUP(AJ167,'FRC Site Data'!$B$3:$L$42,4,FALSE)</f>
        <v>#N/A</v>
      </c>
      <c r="U175" s="10" t="e">
        <f>VLOOKUP(AJ167,'FRC Site Data'!$B$3:$L$42,5,FALSE)</f>
        <v>#N/A</v>
      </c>
      <c r="V175" s="10" t="e">
        <f>VLOOKUP(AJ167,'FRC Site Data'!$B$3:$L$42,6,FALSE)</f>
        <v>#N/A</v>
      </c>
      <c r="W175" s="10" t="e">
        <f>VLOOKUP(AJ167,'FRC Site Data'!$B$3:$L$42,8,FALSE)</f>
        <v>#N/A</v>
      </c>
      <c r="X175" s="10" t="e">
        <f>VLOOKUP(AJ167,'FRC Site Data'!$B$3:$L$42,9,FALSE)</f>
        <v>#N/A</v>
      </c>
      <c r="Y175" s="10" t="e">
        <f>VLOOKUP(AJ167,'FRC Site Data'!$B$3:$L$42,10,FALSE)</f>
        <v>#N/A</v>
      </c>
      <c r="Z175" s="10" t="e">
        <f>VLOOKUP(AJ167,'FRC Site Data'!$B$3:$L$42,11,FALSE)</f>
        <v>#N/A</v>
      </c>
      <c r="AA175" s="10" t="e">
        <f>VLOOKUP(AJ167,'CIR Team Info'!$C$5:$E$44,4,FALSE)</f>
        <v>#N/A</v>
      </c>
      <c r="AB175" s="161" t="b">
        <f>ISNUMBER(VLOOKUP(AJ167,Match!$T$5:$T$10,1,FALSE))</f>
        <v>0</v>
      </c>
      <c r="AC175" s="161" t="b">
        <f>IF(AB175=TRUE,(VLOOKUP($AJ167,Match!$T$5:$U$10,2,FALSE)))</f>
        <v>0</v>
      </c>
      <c r="AD175" s="8">
        <v>3</v>
      </c>
      <c r="AE175" s="8">
        <v>2</v>
      </c>
      <c r="AF175" s="8">
        <v>2</v>
      </c>
      <c r="AG175" s="8">
        <v>1</v>
      </c>
      <c r="AH175" s="8" t="str">
        <f t="shared" si="55"/>
        <v/>
      </c>
      <c r="BA175" s="24"/>
      <c r="BC175" s="12"/>
      <c r="BS175" s="127"/>
    </row>
    <row r="176" spans="1:71" x14ac:dyDescent="0.25">
      <c r="A176" s="29">
        <f t="shared" si="41"/>
        <v>0</v>
      </c>
      <c r="B176" s="29">
        <f t="shared" si="50"/>
        <v>0</v>
      </c>
      <c r="C176" s="29">
        <f t="shared" si="51"/>
        <v>0</v>
      </c>
      <c r="D176" s="29">
        <f t="shared" si="52"/>
        <v>0</v>
      </c>
      <c r="E176" s="29">
        <f t="shared" si="42"/>
        <v>0</v>
      </c>
      <c r="F176" s="29">
        <f t="shared" si="43"/>
        <v>0</v>
      </c>
      <c r="G176" s="29" t="str">
        <f t="shared" si="44"/>
        <v>offensive</v>
      </c>
      <c r="H176" s="16">
        <f t="shared" si="48"/>
        <v>0</v>
      </c>
      <c r="I176" s="16">
        <f t="shared" si="49"/>
        <v>0</v>
      </c>
      <c r="J176" s="16">
        <f t="shared" si="53"/>
        <v>0</v>
      </c>
      <c r="K176" s="16">
        <f t="shared" si="45"/>
        <v>0</v>
      </c>
      <c r="L176" s="67">
        <f t="shared" si="46"/>
        <v>0</v>
      </c>
      <c r="M176" s="4">
        <f t="shared" si="54"/>
        <v>0</v>
      </c>
      <c r="N176" s="4">
        <f t="shared" si="40"/>
        <v>0</v>
      </c>
      <c r="O176" s="4">
        <f t="shared" si="47"/>
        <v>0</v>
      </c>
      <c r="P176" s="4" t="e">
        <f>VLOOKUP(AJ168,'CIR Team Info'!$C$5:$E$44,2,FALSE)</f>
        <v>#N/A</v>
      </c>
      <c r="Q176" s="4" t="e">
        <f>VLOOKUP(AJ168,'CIR Team Info'!$C$5:$E$44,3,FALSE)</f>
        <v>#N/A</v>
      </c>
      <c r="R176" s="10" t="e">
        <f>VLOOKUP(AJ168,'FRC Site Data'!$B$3:$L$42,2,FALSE)</f>
        <v>#N/A</v>
      </c>
      <c r="S176" s="10" t="e">
        <f>VLOOKUP(AJ168,'FRC Site Data'!$B$3:$L$42,3,FALSE)</f>
        <v>#N/A</v>
      </c>
      <c r="T176" s="10" t="e">
        <f>VLOOKUP(AJ168,'FRC Site Data'!$B$3:$L$42,4,FALSE)</f>
        <v>#N/A</v>
      </c>
      <c r="U176" s="10" t="e">
        <f>VLOOKUP(AJ168,'FRC Site Data'!$B$3:$L$42,5,FALSE)</f>
        <v>#N/A</v>
      </c>
      <c r="V176" s="10" t="e">
        <f>VLOOKUP(AJ168,'FRC Site Data'!$B$3:$L$42,6,FALSE)</f>
        <v>#N/A</v>
      </c>
      <c r="W176" s="10" t="e">
        <f>VLOOKUP(AJ168,'FRC Site Data'!$B$3:$L$42,8,FALSE)</f>
        <v>#N/A</v>
      </c>
      <c r="X176" s="10" t="e">
        <f>VLOOKUP(AJ168,'FRC Site Data'!$B$3:$L$42,9,FALSE)</f>
        <v>#N/A</v>
      </c>
      <c r="Y176" s="10" t="e">
        <f>VLOOKUP(AJ168,'FRC Site Data'!$B$3:$L$42,10,FALSE)</f>
        <v>#N/A</v>
      </c>
      <c r="Z176" s="10" t="e">
        <f>VLOOKUP(AJ168,'FRC Site Data'!$B$3:$L$42,11,FALSE)</f>
        <v>#N/A</v>
      </c>
      <c r="AA176" s="10" t="e">
        <f>VLOOKUP(AJ168,'CIR Team Info'!$C$5:$E$44,4,FALSE)</f>
        <v>#N/A</v>
      </c>
      <c r="AB176" s="161" t="b">
        <f>ISNUMBER(VLOOKUP(AJ168,Match!$T$5:$T$10,1,FALSE))</f>
        <v>0</v>
      </c>
      <c r="AC176" s="161" t="b">
        <f>IF(AB176=TRUE,(VLOOKUP($AJ168,Match!$T$5:$U$10,2,FALSE)))</f>
        <v>0</v>
      </c>
      <c r="AD176" s="8">
        <v>3</v>
      </c>
      <c r="AE176" s="8">
        <v>2</v>
      </c>
      <c r="AF176" s="8">
        <v>2</v>
      </c>
      <c r="AG176" s="8">
        <v>1</v>
      </c>
      <c r="AH176" s="8" t="str">
        <f t="shared" si="55"/>
        <v/>
      </c>
      <c r="BA176" s="24"/>
      <c r="BS176" s="127"/>
    </row>
    <row r="177" spans="1:71" x14ac:dyDescent="0.25">
      <c r="A177" s="29">
        <f t="shared" si="41"/>
        <v>0</v>
      </c>
      <c r="B177" s="29">
        <f t="shared" si="50"/>
        <v>0</v>
      </c>
      <c r="C177" s="29">
        <f t="shared" si="51"/>
        <v>0</v>
      </c>
      <c r="D177" s="29">
        <f t="shared" si="52"/>
        <v>0</v>
      </c>
      <c r="E177" s="29">
        <f t="shared" si="42"/>
        <v>0</v>
      </c>
      <c r="F177" s="29">
        <f t="shared" si="43"/>
        <v>0</v>
      </c>
      <c r="G177" s="29" t="str">
        <f t="shared" si="44"/>
        <v>offensive</v>
      </c>
      <c r="H177" s="16">
        <f t="shared" si="48"/>
        <v>0</v>
      </c>
      <c r="I177" s="16">
        <f t="shared" si="49"/>
        <v>0</v>
      </c>
      <c r="J177" s="16">
        <f t="shared" si="53"/>
        <v>0</v>
      </c>
      <c r="K177" s="16">
        <f t="shared" si="45"/>
        <v>0</v>
      </c>
      <c r="L177" s="67">
        <f t="shared" si="46"/>
        <v>0</v>
      </c>
      <c r="M177" s="4">
        <f t="shared" si="54"/>
        <v>0</v>
      </c>
      <c r="N177" s="4">
        <f t="shared" si="40"/>
        <v>0</v>
      </c>
      <c r="O177" s="4">
        <f t="shared" si="47"/>
        <v>0</v>
      </c>
      <c r="P177" s="4" t="e">
        <f>VLOOKUP(AJ169,'CIR Team Info'!$C$5:$E$44,2,FALSE)</f>
        <v>#N/A</v>
      </c>
      <c r="Q177" s="4" t="e">
        <f>VLOOKUP(AJ169,'CIR Team Info'!$C$5:$E$44,3,FALSE)</f>
        <v>#N/A</v>
      </c>
      <c r="R177" s="10" t="e">
        <f>VLOOKUP(AJ169,'FRC Site Data'!$B$3:$L$42,2,FALSE)</f>
        <v>#N/A</v>
      </c>
      <c r="S177" s="10" t="e">
        <f>VLOOKUP(AJ169,'FRC Site Data'!$B$3:$L$42,3,FALSE)</f>
        <v>#N/A</v>
      </c>
      <c r="T177" s="10" t="e">
        <f>VLOOKUP(AJ169,'FRC Site Data'!$B$3:$L$42,4,FALSE)</f>
        <v>#N/A</v>
      </c>
      <c r="U177" s="10" t="e">
        <f>VLOOKUP(AJ169,'FRC Site Data'!$B$3:$L$42,5,FALSE)</f>
        <v>#N/A</v>
      </c>
      <c r="V177" s="10" t="e">
        <f>VLOOKUP(AJ169,'FRC Site Data'!$B$3:$L$42,6,FALSE)</f>
        <v>#N/A</v>
      </c>
      <c r="W177" s="10" t="e">
        <f>VLOOKUP(AJ169,'FRC Site Data'!$B$3:$L$42,8,FALSE)</f>
        <v>#N/A</v>
      </c>
      <c r="X177" s="10" t="e">
        <f>VLOOKUP(AJ169,'FRC Site Data'!$B$3:$L$42,9,FALSE)</f>
        <v>#N/A</v>
      </c>
      <c r="Y177" s="10" t="e">
        <f>VLOOKUP(AJ169,'FRC Site Data'!$B$3:$L$42,10,FALSE)</f>
        <v>#N/A</v>
      </c>
      <c r="Z177" s="10" t="e">
        <f>VLOOKUP(AJ169,'FRC Site Data'!$B$3:$L$42,11,FALSE)</f>
        <v>#N/A</v>
      </c>
      <c r="AA177" s="10" t="e">
        <f>VLOOKUP(AJ169,'CIR Team Info'!$C$5:$E$44,4,FALSE)</f>
        <v>#N/A</v>
      </c>
      <c r="AB177" s="161" t="b">
        <f>ISNUMBER(VLOOKUP(AJ169,Match!$T$5:$T$10,1,FALSE))</f>
        <v>0</v>
      </c>
      <c r="AC177" s="161" t="b">
        <f>IF(AB177=TRUE,(VLOOKUP($AJ169,Match!$T$5:$U$10,2,FALSE)))</f>
        <v>0</v>
      </c>
      <c r="AD177" s="8">
        <v>3</v>
      </c>
      <c r="AE177" s="8">
        <v>2</v>
      </c>
      <c r="AF177" s="8">
        <v>2</v>
      </c>
      <c r="AG177" s="8">
        <v>1</v>
      </c>
      <c r="AH177" s="8" t="str">
        <f t="shared" si="55"/>
        <v/>
      </c>
      <c r="BA177" s="24"/>
      <c r="BS177" s="127"/>
    </row>
    <row r="178" spans="1:71" x14ac:dyDescent="0.25">
      <c r="A178" s="29">
        <f t="shared" si="41"/>
        <v>0</v>
      </c>
      <c r="B178" s="29">
        <f t="shared" si="50"/>
        <v>0</v>
      </c>
      <c r="C178" s="29">
        <f t="shared" si="51"/>
        <v>0</v>
      </c>
      <c r="D178" s="29">
        <f t="shared" si="52"/>
        <v>0</v>
      </c>
      <c r="E178" s="29">
        <f t="shared" si="42"/>
        <v>0</v>
      </c>
      <c r="F178" s="29">
        <f t="shared" si="43"/>
        <v>0</v>
      </c>
      <c r="G178" s="29" t="str">
        <f t="shared" si="44"/>
        <v>offensive</v>
      </c>
      <c r="H178" s="16">
        <f t="shared" si="48"/>
        <v>0</v>
      </c>
      <c r="I178" s="16">
        <f t="shared" si="49"/>
        <v>0</v>
      </c>
      <c r="J178" s="16">
        <f t="shared" si="53"/>
        <v>0</v>
      </c>
      <c r="K178" s="16">
        <f t="shared" si="45"/>
        <v>0</v>
      </c>
      <c r="L178" s="67">
        <f t="shared" si="46"/>
        <v>0</v>
      </c>
      <c r="M178" s="4">
        <f t="shared" si="54"/>
        <v>0</v>
      </c>
      <c r="N178" s="4">
        <f t="shared" si="40"/>
        <v>0</v>
      </c>
      <c r="O178" s="4">
        <f t="shared" si="47"/>
        <v>0</v>
      </c>
      <c r="P178" s="4" t="e">
        <f>VLOOKUP(AJ170,'CIR Team Info'!$C$5:$E$44,2,FALSE)</f>
        <v>#N/A</v>
      </c>
      <c r="Q178" s="4" t="e">
        <f>VLOOKUP(AJ170,'CIR Team Info'!$C$5:$E$44,3,FALSE)</f>
        <v>#N/A</v>
      </c>
      <c r="R178" s="10" t="e">
        <f>VLOOKUP(AJ170,'FRC Site Data'!$B$3:$L$42,2,FALSE)</f>
        <v>#N/A</v>
      </c>
      <c r="S178" s="10" t="e">
        <f>VLOOKUP(AJ170,'FRC Site Data'!$B$3:$L$42,3,FALSE)</f>
        <v>#N/A</v>
      </c>
      <c r="T178" s="10" t="e">
        <f>VLOOKUP(AJ170,'FRC Site Data'!$B$3:$L$42,4,FALSE)</f>
        <v>#N/A</v>
      </c>
      <c r="U178" s="10" t="e">
        <f>VLOOKUP(AJ170,'FRC Site Data'!$B$3:$L$42,5,FALSE)</f>
        <v>#N/A</v>
      </c>
      <c r="V178" s="10" t="e">
        <f>VLOOKUP(AJ170,'FRC Site Data'!$B$3:$L$42,6,FALSE)</f>
        <v>#N/A</v>
      </c>
      <c r="W178" s="10" t="e">
        <f>VLOOKUP(AJ170,'FRC Site Data'!$B$3:$L$42,8,FALSE)</f>
        <v>#N/A</v>
      </c>
      <c r="X178" s="10" t="e">
        <f>VLOOKUP(AJ170,'FRC Site Data'!$B$3:$L$42,9,FALSE)</f>
        <v>#N/A</v>
      </c>
      <c r="Y178" s="10" t="e">
        <f>VLOOKUP(AJ170,'FRC Site Data'!$B$3:$L$42,10,FALSE)</f>
        <v>#N/A</v>
      </c>
      <c r="Z178" s="10" t="e">
        <f>VLOOKUP(AJ170,'FRC Site Data'!$B$3:$L$42,11,FALSE)</f>
        <v>#N/A</v>
      </c>
      <c r="AA178" s="10" t="e">
        <f>VLOOKUP(AJ170,'CIR Team Info'!$C$5:$E$44,4,FALSE)</f>
        <v>#N/A</v>
      </c>
      <c r="AB178" s="161" t="b">
        <f>ISNUMBER(VLOOKUP(AJ170,Match!$T$5:$T$10,1,FALSE))</f>
        <v>0</v>
      </c>
      <c r="AC178" s="161" t="b">
        <f>IF(AB178=TRUE,(VLOOKUP($AJ170,Match!$T$5:$U$10,2,FALSE)))</f>
        <v>0</v>
      </c>
      <c r="AD178" s="8">
        <v>3</v>
      </c>
      <c r="AE178" s="8">
        <v>2</v>
      </c>
      <c r="AF178" s="8">
        <v>2</v>
      </c>
      <c r="AG178" s="8">
        <v>1</v>
      </c>
      <c r="AH178" s="8" t="str">
        <f t="shared" si="55"/>
        <v/>
      </c>
      <c r="BA178" s="24"/>
      <c r="BS178" s="127"/>
    </row>
    <row r="179" spans="1:71" x14ac:dyDescent="0.25">
      <c r="A179" s="29">
        <f t="shared" si="41"/>
        <v>0</v>
      </c>
      <c r="B179" s="29">
        <f t="shared" si="50"/>
        <v>0</v>
      </c>
      <c r="C179" s="29">
        <f t="shared" si="51"/>
        <v>0</v>
      </c>
      <c r="D179" s="29">
        <f t="shared" si="52"/>
        <v>0</v>
      </c>
      <c r="E179" s="29">
        <f t="shared" si="42"/>
        <v>0</v>
      </c>
      <c r="F179" s="29">
        <f t="shared" si="43"/>
        <v>0</v>
      </c>
      <c r="G179" s="29" t="str">
        <f t="shared" si="44"/>
        <v>offensive</v>
      </c>
      <c r="H179" s="16">
        <f t="shared" si="48"/>
        <v>0</v>
      </c>
      <c r="I179" s="16">
        <f t="shared" si="49"/>
        <v>0</v>
      </c>
      <c r="J179" s="16">
        <f t="shared" si="53"/>
        <v>0</v>
      </c>
      <c r="K179" s="16">
        <f t="shared" si="45"/>
        <v>0</v>
      </c>
      <c r="L179" s="67">
        <f t="shared" si="46"/>
        <v>0</v>
      </c>
      <c r="M179" s="4">
        <f t="shared" si="54"/>
        <v>0</v>
      </c>
      <c r="N179" s="4">
        <f t="shared" si="40"/>
        <v>0</v>
      </c>
      <c r="O179" s="4">
        <f t="shared" si="47"/>
        <v>0</v>
      </c>
      <c r="P179" s="4" t="e">
        <f>VLOOKUP(AJ171,'CIR Team Info'!$C$5:$E$44,2,FALSE)</f>
        <v>#N/A</v>
      </c>
      <c r="Q179" s="4" t="e">
        <f>VLOOKUP(AJ171,'CIR Team Info'!$C$5:$E$44,3,FALSE)</f>
        <v>#N/A</v>
      </c>
      <c r="R179" s="10" t="e">
        <f>VLOOKUP(AJ171,'FRC Site Data'!$B$3:$L$42,2,FALSE)</f>
        <v>#N/A</v>
      </c>
      <c r="S179" s="10" t="e">
        <f>VLOOKUP(AJ171,'FRC Site Data'!$B$3:$L$42,3,FALSE)</f>
        <v>#N/A</v>
      </c>
      <c r="T179" s="10" t="e">
        <f>VLOOKUP(AJ171,'FRC Site Data'!$B$3:$L$42,4,FALSE)</f>
        <v>#N/A</v>
      </c>
      <c r="U179" s="10" t="e">
        <f>VLOOKUP(AJ171,'FRC Site Data'!$B$3:$L$42,5,FALSE)</f>
        <v>#N/A</v>
      </c>
      <c r="V179" s="10" t="e">
        <f>VLOOKUP(AJ171,'FRC Site Data'!$B$3:$L$42,6,FALSE)</f>
        <v>#N/A</v>
      </c>
      <c r="W179" s="10" t="e">
        <f>VLOOKUP(AJ171,'FRC Site Data'!$B$3:$L$42,8,FALSE)</f>
        <v>#N/A</v>
      </c>
      <c r="X179" s="10" t="e">
        <f>VLOOKUP(AJ171,'FRC Site Data'!$B$3:$L$42,9,FALSE)</f>
        <v>#N/A</v>
      </c>
      <c r="Y179" s="10" t="e">
        <f>VLOOKUP(AJ171,'FRC Site Data'!$B$3:$L$42,10,FALSE)</f>
        <v>#N/A</v>
      </c>
      <c r="Z179" s="10" t="e">
        <f>VLOOKUP(AJ171,'FRC Site Data'!$B$3:$L$42,11,FALSE)</f>
        <v>#N/A</v>
      </c>
      <c r="AA179" s="10" t="e">
        <f>VLOOKUP(AJ171,'CIR Team Info'!$C$5:$E$44,4,FALSE)</f>
        <v>#N/A</v>
      </c>
      <c r="AB179" s="161" t="b">
        <f>ISNUMBER(VLOOKUP(AJ171,Match!$T$5:$T$10,1,FALSE))</f>
        <v>0</v>
      </c>
      <c r="AC179" s="161" t="b">
        <f>IF(AB179=TRUE,(VLOOKUP($AJ171,Match!$T$5:$U$10,2,FALSE)))</f>
        <v>0</v>
      </c>
      <c r="AD179" s="8">
        <v>3</v>
      </c>
      <c r="AE179" s="8">
        <v>2</v>
      </c>
      <c r="AF179" s="8">
        <v>2</v>
      </c>
      <c r="AG179" s="8">
        <v>1</v>
      </c>
      <c r="AH179" s="8" t="str">
        <f t="shared" si="55"/>
        <v/>
      </c>
      <c r="BA179" s="24"/>
      <c r="BS179" s="127"/>
    </row>
    <row r="180" spans="1:71" x14ac:dyDescent="0.25">
      <c r="A180" s="29">
        <f t="shared" si="41"/>
        <v>0</v>
      </c>
      <c r="B180" s="29">
        <f t="shared" si="50"/>
        <v>0</v>
      </c>
      <c r="C180" s="29">
        <f t="shared" si="51"/>
        <v>0</v>
      </c>
      <c r="D180" s="29">
        <f t="shared" si="52"/>
        <v>0</v>
      </c>
      <c r="E180" s="29">
        <f t="shared" si="42"/>
        <v>0</v>
      </c>
      <c r="F180" s="29">
        <f t="shared" si="43"/>
        <v>0</v>
      </c>
      <c r="G180" s="29" t="str">
        <f t="shared" si="44"/>
        <v>offensive</v>
      </c>
      <c r="H180" s="16">
        <f t="shared" si="48"/>
        <v>0</v>
      </c>
      <c r="I180" s="16">
        <f t="shared" si="49"/>
        <v>0</v>
      </c>
      <c r="J180" s="16">
        <f t="shared" si="53"/>
        <v>0</v>
      </c>
      <c r="K180" s="16">
        <f t="shared" si="45"/>
        <v>0</v>
      </c>
      <c r="L180" s="67">
        <f t="shared" si="46"/>
        <v>0</v>
      </c>
      <c r="M180" s="4">
        <f t="shared" si="54"/>
        <v>0</v>
      </c>
      <c r="N180" s="4">
        <f t="shared" si="40"/>
        <v>0</v>
      </c>
      <c r="O180" s="4">
        <f t="shared" si="47"/>
        <v>0</v>
      </c>
      <c r="P180" s="4" t="e">
        <f>VLOOKUP(AJ172,'CIR Team Info'!$C$5:$E$44,2,FALSE)</f>
        <v>#N/A</v>
      </c>
      <c r="Q180" s="4" t="e">
        <f>VLOOKUP(AJ172,'CIR Team Info'!$C$5:$E$44,3,FALSE)</f>
        <v>#N/A</v>
      </c>
      <c r="R180" s="10" t="e">
        <f>VLOOKUP(AJ172,'FRC Site Data'!$B$3:$L$42,2,FALSE)</f>
        <v>#N/A</v>
      </c>
      <c r="S180" s="10" t="e">
        <f>VLOOKUP(AJ172,'FRC Site Data'!$B$3:$L$42,3,FALSE)</f>
        <v>#N/A</v>
      </c>
      <c r="T180" s="10" t="e">
        <f>VLOOKUP(AJ172,'FRC Site Data'!$B$3:$L$42,4,FALSE)</f>
        <v>#N/A</v>
      </c>
      <c r="U180" s="10" t="e">
        <f>VLOOKUP(AJ172,'FRC Site Data'!$B$3:$L$42,5,FALSE)</f>
        <v>#N/A</v>
      </c>
      <c r="V180" s="10" t="e">
        <f>VLOOKUP(AJ172,'FRC Site Data'!$B$3:$L$42,6,FALSE)</f>
        <v>#N/A</v>
      </c>
      <c r="W180" s="10" t="e">
        <f>VLOOKUP(AJ172,'FRC Site Data'!$B$3:$L$42,8,FALSE)</f>
        <v>#N/A</v>
      </c>
      <c r="X180" s="10" t="e">
        <f>VLOOKUP(AJ172,'FRC Site Data'!$B$3:$L$42,9,FALSE)</f>
        <v>#N/A</v>
      </c>
      <c r="Y180" s="10" t="e">
        <f>VLOOKUP(AJ172,'FRC Site Data'!$B$3:$L$42,10,FALSE)</f>
        <v>#N/A</v>
      </c>
      <c r="Z180" s="10" t="e">
        <f>VLOOKUP(AJ172,'FRC Site Data'!$B$3:$L$42,11,FALSE)</f>
        <v>#N/A</v>
      </c>
      <c r="AA180" s="10" t="e">
        <f>VLOOKUP(AJ172,'CIR Team Info'!$C$5:$E$44,4,FALSE)</f>
        <v>#N/A</v>
      </c>
      <c r="AB180" s="161" t="b">
        <f>ISNUMBER(VLOOKUP(AJ172,Match!$T$5:$T$10,1,FALSE))</f>
        <v>0</v>
      </c>
      <c r="AC180" s="161" t="b">
        <f>IF(AB180=TRUE,(VLOOKUP($AJ172,Match!$T$5:$U$10,2,FALSE)))</f>
        <v>0</v>
      </c>
      <c r="AD180" s="8">
        <v>3</v>
      </c>
      <c r="AE180" s="8">
        <v>2</v>
      </c>
      <c r="AF180" s="8">
        <v>2</v>
      </c>
      <c r="AG180" s="8">
        <v>1</v>
      </c>
      <c r="AH180" s="8" t="str">
        <f t="shared" si="55"/>
        <v/>
      </c>
      <c r="BA180" s="24"/>
      <c r="BS180" s="127"/>
    </row>
    <row r="181" spans="1:71" x14ac:dyDescent="0.25">
      <c r="A181" s="29">
        <f t="shared" si="41"/>
        <v>0</v>
      </c>
      <c r="B181" s="29">
        <f t="shared" si="50"/>
        <v>0</v>
      </c>
      <c r="C181" s="29">
        <f t="shared" si="51"/>
        <v>0</v>
      </c>
      <c r="D181" s="29">
        <f t="shared" si="52"/>
        <v>0</v>
      </c>
      <c r="E181" s="29">
        <f t="shared" si="42"/>
        <v>0</v>
      </c>
      <c r="F181" s="29">
        <f t="shared" si="43"/>
        <v>0</v>
      </c>
      <c r="G181" s="29" t="str">
        <f t="shared" si="44"/>
        <v>offensive</v>
      </c>
      <c r="H181" s="16">
        <f t="shared" si="48"/>
        <v>0</v>
      </c>
      <c r="I181" s="16">
        <f t="shared" si="49"/>
        <v>0</v>
      </c>
      <c r="J181" s="16">
        <f t="shared" si="53"/>
        <v>0</v>
      </c>
      <c r="K181" s="16">
        <f t="shared" si="45"/>
        <v>0</v>
      </c>
      <c r="L181" s="67">
        <f t="shared" si="46"/>
        <v>0</v>
      </c>
      <c r="M181" s="4">
        <f t="shared" si="54"/>
        <v>0</v>
      </c>
      <c r="N181" s="4">
        <f t="shared" si="40"/>
        <v>0</v>
      </c>
      <c r="O181" s="4">
        <f t="shared" si="47"/>
        <v>0</v>
      </c>
      <c r="P181" s="4" t="e">
        <f>VLOOKUP(AJ173,'CIR Team Info'!$C$5:$E$44,2,FALSE)</f>
        <v>#N/A</v>
      </c>
      <c r="Q181" s="4" t="e">
        <f>VLOOKUP(AJ173,'CIR Team Info'!$C$5:$E$44,3,FALSE)</f>
        <v>#N/A</v>
      </c>
      <c r="R181" s="10" t="e">
        <f>VLOOKUP(AJ173,'FRC Site Data'!$B$3:$L$42,2,FALSE)</f>
        <v>#N/A</v>
      </c>
      <c r="S181" s="10" t="e">
        <f>VLOOKUP(AJ173,'FRC Site Data'!$B$3:$L$42,3,FALSE)</f>
        <v>#N/A</v>
      </c>
      <c r="T181" s="10" t="e">
        <f>VLOOKUP(AJ173,'FRC Site Data'!$B$3:$L$42,4,FALSE)</f>
        <v>#N/A</v>
      </c>
      <c r="U181" s="10" t="e">
        <f>VLOOKUP(AJ173,'FRC Site Data'!$B$3:$L$42,5,FALSE)</f>
        <v>#N/A</v>
      </c>
      <c r="V181" s="10" t="e">
        <f>VLOOKUP(AJ173,'FRC Site Data'!$B$3:$L$42,6,FALSE)</f>
        <v>#N/A</v>
      </c>
      <c r="W181" s="10" t="e">
        <f>VLOOKUP(AJ173,'FRC Site Data'!$B$3:$L$42,8,FALSE)</f>
        <v>#N/A</v>
      </c>
      <c r="X181" s="10" t="e">
        <f>VLOOKUP(AJ173,'FRC Site Data'!$B$3:$L$42,9,FALSE)</f>
        <v>#N/A</v>
      </c>
      <c r="Y181" s="10" t="e">
        <f>VLOOKUP(AJ173,'FRC Site Data'!$B$3:$L$42,10,FALSE)</f>
        <v>#N/A</v>
      </c>
      <c r="Z181" s="10" t="e">
        <f>VLOOKUP(AJ173,'FRC Site Data'!$B$3:$L$42,11,FALSE)</f>
        <v>#N/A</v>
      </c>
      <c r="AA181" s="10" t="e">
        <f>VLOOKUP(AJ173,'CIR Team Info'!$C$5:$E$44,4,FALSE)</f>
        <v>#N/A</v>
      </c>
      <c r="AB181" s="161" t="b">
        <f>ISNUMBER(VLOOKUP(AJ173,Match!$T$5:$T$10,1,FALSE))</f>
        <v>0</v>
      </c>
      <c r="AC181" s="161" t="b">
        <f>IF(AB181=TRUE,(VLOOKUP($AJ173,Match!$T$5:$U$10,2,FALSE)))</f>
        <v>0</v>
      </c>
      <c r="AD181" s="8">
        <v>3</v>
      </c>
      <c r="AE181" s="8">
        <v>2</v>
      </c>
      <c r="AF181" s="8">
        <v>2</v>
      </c>
      <c r="AG181" s="8">
        <v>1</v>
      </c>
      <c r="AH181" s="8" t="str">
        <f t="shared" si="55"/>
        <v/>
      </c>
      <c r="BA181" s="24"/>
      <c r="BS181" s="127"/>
    </row>
    <row r="182" spans="1:71" x14ac:dyDescent="0.25">
      <c r="A182" s="29">
        <f t="shared" si="41"/>
        <v>0</v>
      </c>
      <c r="B182" s="29">
        <f t="shared" si="50"/>
        <v>0</v>
      </c>
      <c r="C182" s="29">
        <f t="shared" si="51"/>
        <v>0</v>
      </c>
      <c r="D182" s="29">
        <f t="shared" si="52"/>
        <v>0</v>
      </c>
      <c r="E182" s="29">
        <f t="shared" si="42"/>
        <v>0</v>
      </c>
      <c r="F182" s="29">
        <f t="shared" si="43"/>
        <v>0</v>
      </c>
      <c r="G182" s="29" t="str">
        <f t="shared" si="44"/>
        <v>offensive</v>
      </c>
      <c r="H182" s="16">
        <f t="shared" si="48"/>
        <v>0</v>
      </c>
      <c r="I182" s="16">
        <f t="shared" si="49"/>
        <v>0</v>
      </c>
      <c r="J182" s="16">
        <f t="shared" si="53"/>
        <v>0</v>
      </c>
      <c r="K182" s="16">
        <f t="shared" si="45"/>
        <v>0</v>
      </c>
      <c r="L182" s="67">
        <f t="shared" si="46"/>
        <v>0</v>
      </c>
      <c r="M182" s="4">
        <f t="shared" si="54"/>
        <v>0</v>
      </c>
      <c r="N182" s="4">
        <f t="shared" si="40"/>
        <v>0</v>
      </c>
      <c r="O182" s="4">
        <f t="shared" si="47"/>
        <v>0</v>
      </c>
      <c r="P182" s="4" t="e">
        <f>VLOOKUP(AJ174,'CIR Team Info'!$C$5:$E$44,2,FALSE)</f>
        <v>#N/A</v>
      </c>
      <c r="Q182" s="4" t="e">
        <f>VLOOKUP(AJ174,'CIR Team Info'!$C$5:$E$44,3,FALSE)</f>
        <v>#N/A</v>
      </c>
      <c r="R182" s="10" t="e">
        <f>VLOOKUP(AJ174,'FRC Site Data'!$B$3:$L$42,2,FALSE)</f>
        <v>#N/A</v>
      </c>
      <c r="S182" s="10" t="e">
        <f>VLOOKUP(AJ174,'FRC Site Data'!$B$3:$L$42,3,FALSE)</f>
        <v>#N/A</v>
      </c>
      <c r="T182" s="10" t="e">
        <f>VLOOKUP(AJ174,'FRC Site Data'!$B$3:$L$42,4,FALSE)</f>
        <v>#N/A</v>
      </c>
      <c r="U182" s="10" t="e">
        <f>VLOOKUP(AJ174,'FRC Site Data'!$B$3:$L$42,5,FALSE)</f>
        <v>#N/A</v>
      </c>
      <c r="V182" s="10" t="e">
        <f>VLOOKUP(AJ174,'FRC Site Data'!$B$3:$L$42,6,FALSE)</f>
        <v>#N/A</v>
      </c>
      <c r="W182" s="10" t="e">
        <f>VLOOKUP(AJ174,'FRC Site Data'!$B$3:$L$42,8,FALSE)</f>
        <v>#N/A</v>
      </c>
      <c r="X182" s="10" t="e">
        <f>VLOOKUP(AJ174,'FRC Site Data'!$B$3:$L$42,9,FALSE)</f>
        <v>#N/A</v>
      </c>
      <c r="Y182" s="10" t="e">
        <f>VLOOKUP(AJ174,'FRC Site Data'!$B$3:$L$42,10,FALSE)</f>
        <v>#N/A</v>
      </c>
      <c r="Z182" s="10" t="e">
        <f>VLOOKUP(AJ174,'FRC Site Data'!$B$3:$L$42,11,FALSE)</f>
        <v>#N/A</v>
      </c>
      <c r="AA182" s="10" t="e">
        <f>VLOOKUP(AJ174,'CIR Team Info'!$C$5:$E$44,4,FALSE)</f>
        <v>#N/A</v>
      </c>
      <c r="AB182" s="161" t="b">
        <f>ISNUMBER(VLOOKUP(AJ174,Match!$T$5:$T$10,1,FALSE))</f>
        <v>0</v>
      </c>
      <c r="AC182" s="161" t="b">
        <f>IF(AB182=TRUE,(VLOOKUP($AJ174,Match!$T$5:$U$10,2,FALSE)))</f>
        <v>0</v>
      </c>
      <c r="AD182" s="8">
        <v>3</v>
      </c>
      <c r="AE182" s="8">
        <v>2</v>
      </c>
      <c r="AF182" s="8">
        <v>2</v>
      </c>
      <c r="AG182" s="8">
        <v>1</v>
      </c>
      <c r="AH182" s="8" t="str">
        <f t="shared" si="55"/>
        <v/>
      </c>
      <c r="BA182" s="24"/>
      <c r="BS182" s="127"/>
    </row>
    <row r="183" spans="1:71" x14ac:dyDescent="0.25">
      <c r="A183" s="29">
        <f t="shared" si="41"/>
        <v>0</v>
      </c>
      <c r="B183" s="29">
        <f t="shared" si="50"/>
        <v>0</v>
      </c>
      <c r="C183" s="29">
        <f t="shared" si="51"/>
        <v>0</v>
      </c>
      <c r="D183" s="29">
        <f t="shared" si="52"/>
        <v>0</v>
      </c>
      <c r="E183" s="29">
        <f t="shared" si="42"/>
        <v>0</v>
      </c>
      <c r="F183" s="29">
        <f t="shared" si="43"/>
        <v>0</v>
      </c>
      <c r="G183" s="29" t="str">
        <f t="shared" si="44"/>
        <v>offensive</v>
      </c>
      <c r="H183" s="16">
        <f t="shared" si="48"/>
        <v>0</v>
      </c>
      <c r="I183" s="16">
        <f t="shared" si="49"/>
        <v>0</v>
      </c>
      <c r="J183" s="16">
        <f t="shared" si="53"/>
        <v>0</v>
      </c>
      <c r="K183" s="16">
        <f t="shared" si="45"/>
        <v>0</v>
      </c>
      <c r="L183" s="67">
        <f t="shared" si="46"/>
        <v>0</v>
      </c>
      <c r="M183" s="4">
        <f t="shared" si="54"/>
        <v>0</v>
      </c>
      <c r="N183" s="4">
        <f t="shared" si="40"/>
        <v>0</v>
      </c>
      <c r="O183" s="4">
        <f t="shared" si="47"/>
        <v>0</v>
      </c>
      <c r="P183" s="4" t="e">
        <f>VLOOKUP(AJ175,'CIR Team Info'!$C$5:$E$44,2,FALSE)</f>
        <v>#N/A</v>
      </c>
      <c r="Q183" s="4" t="e">
        <f>VLOOKUP(AJ175,'CIR Team Info'!$C$5:$E$44,3,FALSE)</f>
        <v>#N/A</v>
      </c>
      <c r="R183" s="10" t="e">
        <f>VLOOKUP(AJ175,'FRC Site Data'!$B$3:$L$42,2,FALSE)</f>
        <v>#N/A</v>
      </c>
      <c r="S183" s="10" t="e">
        <f>VLOOKUP(AJ175,'FRC Site Data'!$B$3:$L$42,3,FALSE)</f>
        <v>#N/A</v>
      </c>
      <c r="T183" s="10" t="e">
        <f>VLOOKUP(AJ175,'FRC Site Data'!$B$3:$L$42,4,FALSE)</f>
        <v>#N/A</v>
      </c>
      <c r="U183" s="10" t="e">
        <f>VLOOKUP(AJ175,'FRC Site Data'!$B$3:$L$42,5,FALSE)</f>
        <v>#N/A</v>
      </c>
      <c r="V183" s="10" t="e">
        <f>VLOOKUP(AJ175,'FRC Site Data'!$B$3:$L$42,6,FALSE)</f>
        <v>#N/A</v>
      </c>
      <c r="W183" s="10" t="e">
        <f>VLOOKUP(AJ175,'FRC Site Data'!$B$3:$L$42,8,FALSE)</f>
        <v>#N/A</v>
      </c>
      <c r="X183" s="10" t="e">
        <f>VLOOKUP(AJ175,'FRC Site Data'!$B$3:$L$42,9,FALSE)</f>
        <v>#N/A</v>
      </c>
      <c r="Y183" s="10" t="e">
        <f>VLOOKUP(AJ175,'FRC Site Data'!$B$3:$L$42,10,FALSE)</f>
        <v>#N/A</v>
      </c>
      <c r="Z183" s="10" t="e">
        <f>VLOOKUP(AJ175,'FRC Site Data'!$B$3:$L$42,11,FALSE)</f>
        <v>#N/A</v>
      </c>
      <c r="AA183" s="10" t="e">
        <f>VLOOKUP(AJ175,'CIR Team Info'!$C$5:$E$44,4,FALSE)</f>
        <v>#N/A</v>
      </c>
      <c r="AB183" s="161" t="b">
        <f>ISNUMBER(VLOOKUP(AJ175,Match!$T$5:$T$10,1,FALSE))</f>
        <v>0</v>
      </c>
      <c r="AC183" s="161" t="b">
        <f>IF(AB183=TRUE,(VLOOKUP($AJ175,Match!$T$5:$U$10,2,FALSE)))</f>
        <v>0</v>
      </c>
      <c r="AD183" s="8">
        <v>3</v>
      </c>
      <c r="AE183" s="8">
        <v>2</v>
      </c>
      <c r="AF183" s="8">
        <v>2</v>
      </c>
      <c r="AG183" s="8">
        <v>1</v>
      </c>
      <c r="AH183" s="8" t="str">
        <f t="shared" si="55"/>
        <v/>
      </c>
      <c r="BA183" s="24"/>
      <c r="BS183" s="127"/>
    </row>
    <row r="184" spans="1:71" x14ac:dyDescent="0.25">
      <c r="A184" s="29">
        <f t="shared" si="41"/>
        <v>0</v>
      </c>
      <c r="B184" s="29">
        <f t="shared" si="50"/>
        <v>0</v>
      </c>
      <c r="C184" s="29">
        <f t="shared" si="51"/>
        <v>0</v>
      </c>
      <c r="D184" s="29">
        <f t="shared" si="52"/>
        <v>0</v>
      </c>
      <c r="E184" s="29">
        <f t="shared" si="42"/>
        <v>0</v>
      </c>
      <c r="F184" s="29">
        <f t="shared" si="43"/>
        <v>0</v>
      </c>
      <c r="G184" s="29" t="str">
        <f t="shared" si="44"/>
        <v>offensive</v>
      </c>
      <c r="H184" s="16">
        <f t="shared" si="48"/>
        <v>0</v>
      </c>
      <c r="I184" s="16">
        <f t="shared" si="49"/>
        <v>0</v>
      </c>
      <c r="J184" s="16">
        <f t="shared" si="53"/>
        <v>0</v>
      </c>
      <c r="K184" s="16">
        <f t="shared" si="45"/>
        <v>0</v>
      </c>
      <c r="L184" s="67">
        <f t="shared" si="46"/>
        <v>0</v>
      </c>
      <c r="M184" s="4">
        <f t="shared" si="54"/>
        <v>0</v>
      </c>
      <c r="N184" s="4">
        <f t="shared" si="40"/>
        <v>0</v>
      </c>
      <c r="O184" s="4">
        <f t="shared" si="47"/>
        <v>0</v>
      </c>
      <c r="P184" s="4" t="e">
        <f>VLOOKUP(AJ176,'CIR Team Info'!$C$5:$E$44,2,FALSE)</f>
        <v>#N/A</v>
      </c>
      <c r="Q184" s="4" t="e">
        <f>VLOOKUP(AJ176,'CIR Team Info'!$C$5:$E$44,3,FALSE)</f>
        <v>#N/A</v>
      </c>
      <c r="R184" s="10" t="e">
        <f>VLOOKUP(AJ176,'FRC Site Data'!$B$3:$L$42,2,FALSE)</f>
        <v>#N/A</v>
      </c>
      <c r="S184" s="10" t="e">
        <f>VLOOKUP(AJ176,'FRC Site Data'!$B$3:$L$42,3,FALSE)</f>
        <v>#N/A</v>
      </c>
      <c r="T184" s="10" t="e">
        <f>VLOOKUP(AJ176,'FRC Site Data'!$B$3:$L$42,4,FALSE)</f>
        <v>#N/A</v>
      </c>
      <c r="U184" s="10" t="e">
        <f>VLOOKUP(AJ176,'FRC Site Data'!$B$3:$L$42,5,FALSE)</f>
        <v>#N/A</v>
      </c>
      <c r="V184" s="10" t="e">
        <f>VLOOKUP(AJ176,'FRC Site Data'!$B$3:$L$42,6,FALSE)</f>
        <v>#N/A</v>
      </c>
      <c r="W184" s="10" t="e">
        <f>VLOOKUP(AJ176,'FRC Site Data'!$B$3:$L$42,8,FALSE)</f>
        <v>#N/A</v>
      </c>
      <c r="X184" s="10" t="e">
        <f>VLOOKUP(AJ176,'FRC Site Data'!$B$3:$L$42,9,FALSE)</f>
        <v>#N/A</v>
      </c>
      <c r="Y184" s="10" t="e">
        <f>VLOOKUP(AJ176,'FRC Site Data'!$B$3:$L$42,10,FALSE)</f>
        <v>#N/A</v>
      </c>
      <c r="Z184" s="10" t="e">
        <f>VLOOKUP(AJ176,'FRC Site Data'!$B$3:$L$42,11,FALSE)</f>
        <v>#N/A</v>
      </c>
      <c r="AA184" s="10" t="e">
        <f>VLOOKUP(AJ176,'CIR Team Info'!$C$5:$E$44,4,FALSE)</f>
        <v>#N/A</v>
      </c>
      <c r="AB184" s="161" t="b">
        <f>ISNUMBER(VLOOKUP(AJ176,Match!$T$5:$T$10,1,FALSE))</f>
        <v>0</v>
      </c>
      <c r="AC184" s="161" t="b">
        <f>IF(AB184=TRUE,(VLOOKUP($AJ176,Match!$T$5:$U$10,2,FALSE)))</f>
        <v>0</v>
      </c>
      <c r="AD184" s="8">
        <v>3</v>
      </c>
      <c r="AE184" s="8">
        <v>2</v>
      </c>
      <c r="AF184" s="8">
        <v>2</v>
      </c>
      <c r="AG184" s="8">
        <v>1</v>
      </c>
      <c r="AH184" s="8" t="str">
        <f t="shared" si="55"/>
        <v/>
      </c>
      <c r="BA184" s="24"/>
      <c r="BC184" s="12"/>
      <c r="BS184" s="127"/>
    </row>
    <row r="185" spans="1:71" x14ac:dyDescent="0.25">
      <c r="A185" s="29">
        <f t="shared" si="41"/>
        <v>0</v>
      </c>
      <c r="B185" s="29">
        <f t="shared" si="50"/>
        <v>0</v>
      </c>
      <c r="C185" s="29">
        <f t="shared" si="51"/>
        <v>0</v>
      </c>
      <c r="D185" s="29">
        <f t="shared" si="52"/>
        <v>0</v>
      </c>
      <c r="E185" s="29">
        <f t="shared" si="42"/>
        <v>0</v>
      </c>
      <c r="F185" s="29">
        <f t="shared" si="43"/>
        <v>0</v>
      </c>
      <c r="G185" s="29" t="str">
        <f t="shared" si="44"/>
        <v>offensive</v>
      </c>
      <c r="H185" s="16">
        <f t="shared" si="48"/>
        <v>0</v>
      </c>
      <c r="I185" s="16">
        <f t="shared" si="49"/>
        <v>0</v>
      </c>
      <c r="J185" s="16">
        <f t="shared" si="53"/>
        <v>0</v>
      </c>
      <c r="K185" s="16">
        <f t="shared" si="45"/>
        <v>0</v>
      </c>
      <c r="L185" s="67">
        <f t="shared" si="46"/>
        <v>0</v>
      </c>
      <c r="M185" s="4">
        <f t="shared" si="54"/>
        <v>0</v>
      </c>
      <c r="N185" s="4">
        <f t="shared" si="40"/>
        <v>0</v>
      </c>
      <c r="O185" s="4">
        <f t="shared" si="47"/>
        <v>0</v>
      </c>
      <c r="P185" s="4" t="e">
        <f>VLOOKUP(AJ177,'CIR Team Info'!$C$5:$E$44,2,FALSE)</f>
        <v>#N/A</v>
      </c>
      <c r="Q185" s="4" t="e">
        <f>VLOOKUP(AJ177,'CIR Team Info'!$C$5:$E$44,3,FALSE)</f>
        <v>#N/A</v>
      </c>
      <c r="R185" s="10" t="e">
        <f>VLOOKUP(AJ177,'FRC Site Data'!$B$3:$L$42,2,FALSE)</f>
        <v>#N/A</v>
      </c>
      <c r="S185" s="10" t="e">
        <f>VLOOKUP(AJ177,'FRC Site Data'!$B$3:$L$42,3,FALSE)</f>
        <v>#N/A</v>
      </c>
      <c r="T185" s="10" t="e">
        <f>VLOOKUP(AJ177,'FRC Site Data'!$B$3:$L$42,4,FALSE)</f>
        <v>#N/A</v>
      </c>
      <c r="U185" s="10" t="e">
        <f>VLOOKUP(AJ177,'FRC Site Data'!$B$3:$L$42,5,FALSE)</f>
        <v>#N/A</v>
      </c>
      <c r="V185" s="10" t="e">
        <f>VLOOKUP(AJ177,'FRC Site Data'!$B$3:$L$42,6,FALSE)</f>
        <v>#N/A</v>
      </c>
      <c r="W185" s="10" t="e">
        <f>VLOOKUP(AJ177,'FRC Site Data'!$B$3:$L$42,8,FALSE)</f>
        <v>#N/A</v>
      </c>
      <c r="X185" s="10" t="e">
        <f>VLOOKUP(AJ177,'FRC Site Data'!$B$3:$L$42,9,FALSE)</f>
        <v>#N/A</v>
      </c>
      <c r="Y185" s="10" t="e">
        <f>VLOOKUP(AJ177,'FRC Site Data'!$B$3:$L$42,10,FALSE)</f>
        <v>#N/A</v>
      </c>
      <c r="Z185" s="10" t="e">
        <f>VLOOKUP(AJ177,'FRC Site Data'!$B$3:$L$42,11,FALSE)</f>
        <v>#N/A</v>
      </c>
      <c r="AA185" s="10" t="e">
        <f>VLOOKUP(AJ177,'CIR Team Info'!$C$5:$E$44,4,FALSE)</f>
        <v>#N/A</v>
      </c>
      <c r="AB185" s="161" t="b">
        <f>ISNUMBER(VLOOKUP(AJ177,Match!$T$5:$T$10,1,FALSE))</f>
        <v>0</v>
      </c>
      <c r="AC185" s="161" t="b">
        <f>IF(AB185=TRUE,(VLOOKUP($AJ177,Match!$T$5:$U$10,2,FALSE)))</f>
        <v>0</v>
      </c>
      <c r="AD185" s="8">
        <v>3</v>
      </c>
      <c r="AE185" s="8">
        <v>2</v>
      </c>
      <c r="AF185" s="8">
        <v>2</v>
      </c>
      <c r="AG185" s="8">
        <v>1</v>
      </c>
      <c r="AH185" s="8" t="str">
        <f t="shared" si="55"/>
        <v/>
      </c>
      <c r="BA185" s="24"/>
      <c r="BC185" s="12"/>
      <c r="BS185" s="127"/>
    </row>
    <row r="186" spans="1:71" x14ac:dyDescent="0.25">
      <c r="A186" s="29">
        <f t="shared" si="41"/>
        <v>0</v>
      </c>
      <c r="B186" s="29">
        <f t="shared" si="50"/>
        <v>0</v>
      </c>
      <c r="C186" s="29">
        <f t="shared" si="51"/>
        <v>0</v>
      </c>
      <c r="D186" s="29">
        <f t="shared" si="52"/>
        <v>0</v>
      </c>
      <c r="E186" s="29">
        <f t="shared" si="42"/>
        <v>0</v>
      </c>
      <c r="F186" s="29">
        <f t="shared" si="43"/>
        <v>0</v>
      </c>
      <c r="G186" s="29" t="str">
        <f t="shared" si="44"/>
        <v>offensive</v>
      </c>
      <c r="H186" s="16">
        <f t="shared" si="48"/>
        <v>0</v>
      </c>
      <c r="I186" s="16">
        <f t="shared" si="49"/>
        <v>0</v>
      </c>
      <c r="J186" s="16">
        <f t="shared" si="53"/>
        <v>0</v>
      </c>
      <c r="K186" s="16">
        <f t="shared" si="45"/>
        <v>0</v>
      </c>
      <c r="L186" s="67">
        <f t="shared" si="46"/>
        <v>0</v>
      </c>
      <c r="M186" s="4">
        <f t="shared" si="54"/>
        <v>0</v>
      </c>
      <c r="N186" s="4">
        <f t="shared" si="40"/>
        <v>0</v>
      </c>
      <c r="O186" s="4">
        <f t="shared" si="47"/>
        <v>0</v>
      </c>
      <c r="P186" s="4" t="e">
        <f>VLOOKUP(AJ178,'CIR Team Info'!$C$5:$E$44,2,FALSE)</f>
        <v>#N/A</v>
      </c>
      <c r="Q186" s="4" t="e">
        <f>VLOOKUP(AJ178,'CIR Team Info'!$C$5:$E$44,3,FALSE)</f>
        <v>#N/A</v>
      </c>
      <c r="R186" s="10" t="e">
        <f>VLOOKUP(AJ178,'FRC Site Data'!$B$3:$L$42,2,FALSE)</f>
        <v>#N/A</v>
      </c>
      <c r="S186" s="10" t="e">
        <f>VLOOKUP(AJ178,'FRC Site Data'!$B$3:$L$42,3,FALSE)</f>
        <v>#N/A</v>
      </c>
      <c r="T186" s="10" t="e">
        <f>VLOOKUP(AJ178,'FRC Site Data'!$B$3:$L$42,4,FALSE)</f>
        <v>#N/A</v>
      </c>
      <c r="U186" s="10" t="e">
        <f>VLOOKUP(AJ178,'FRC Site Data'!$B$3:$L$42,5,FALSE)</f>
        <v>#N/A</v>
      </c>
      <c r="V186" s="10" t="e">
        <f>VLOOKUP(AJ178,'FRC Site Data'!$B$3:$L$42,6,FALSE)</f>
        <v>#N/A</v>
      </c>
      <c r="W186" s="10" t="e">
        <f>VLOOKUP(AJ178,'FRC Site Data'!$B$3:$L$42,8,FALSE)</f>
        <v>#N/A</v>
      </c>
      <c r="X186" s="10" t="e">
        <f>VLOOKUP(AJ178,'FRC Site Data'!$B$3:$L$42,9,FALSE)</f>
        <v>#N/A</v>
      </c>
      <c r="Y186" s="10" t="e">
        <f>VLOOKUP(AJ178,'FRC Site Data'!$B$3:$L$42,10,FALSE)</f>
        <v>#N/A</v>
      </c>
      <c r="Z186" s="10" t="e">
        <f>VLOOKUP(AJ178,'FRC Site Data'!$B$3:$L$42,11,FALSE)</f>
        <v>#N/A</v>
      </c>
      <c r="AA186" s="10" t="e">
        <f>VLOOKUP(AJ178,'CIR Team Info'!$C$5:$E$44,4,FALSE)</f>
        <v>#N/A</v>
      </c>
      <c r="AB186" s="161" t="b">
        <f>ISNUMBER(VLOOKUP(AJ178,Match!$T$5:$T$10,1,FALSE))</f>
        <v>0</v>
      </c>
      <c r="AC186" s="161" t="b">
        <f>IF(AB186=TRUE,(VLOOKUP($AJ178,Match!$T$5:$U$10,2,FALSE)))</f>
        <v>0</v>
      </c>
      <c r="AD186" s="8">
        <v>3</v>
      </c>
      <c r="AE186" s="8">
        <v>2</v>
      </c>
      <c r="AF186" s="8">
        <v>2</v>
      </c>
      <c r="AG186" s="8">
        <v>1</v>
      </c>
      <c r="AH186" s="8" t="str">
        <f t="shared" si="55"/>
        <v/>
      </c>
      <c r="BA186" s="24"/>
      <c r="BC186" s="12"/>
      <c r="BS186" s="127"/>
    </row>
    <row r="187" spans="1:71" x14ac:dyDescent="0.25">
      <c r="A187" s="29">
        <f t="shared" si="41"/>
        <v>0</v>
      </c>
      <c r="B187" s="29">
        <f t="shared" si="50"/>
        <v>0</v>
      </c>
      <c r="C187" s="29">
        <f t="shared" si="51"/>
        <v>0</v>
      </c>
      <c r="D187" s="29">
        <f t="shared" si="52"/>
        <v>0</v>
      </c>
      <c r="E187" s="29">
        <f t="shared" si="42"/>
        <v>0</v>
      </c>
      <c r="F187" s="29">
        <f t="shared" si="43"/>
        <v>0</v>
      </c>
      <c r="G187" s="29" t="str">
        <f t="shared" si="44"/>
        <v>offensive</v>
      </c>
      <c r="H187" s="16">
        <f t="shared" si="48"/>
        <v>0</v>
      </c>
      <c r="I187" s="16">
        <f t="shared" si="49"/>
        <v>0</v>
      </c>
      <c r="J187" s="16">
        <f t="shared" si="53"/>
        <v>0</v>
      </c>
      <c r="K187" s="16">
        <f t="shared" si="45"/>
        <v>0</v>
      </c>
      <c r="L187" s="67">
        <f t="shared" si="46"/>
        <v>0</v>
      </c>
      <c r="M187" s="4">
        <f t="shared" si="54"/>
        <v>0</v>
      </c>
      <c r="N187" s="4">
        <f t="shared" si="40"/>
        <v>0</v>
      </c>
      <c r="O187" s="4">
        <f t="shared" si="47"/>
        <v>0</v>
      </c>
      <c r="P187" s="4" t="e">
        <f>VLOOKUP(AJ179,'CIR Team Info'!$C$5:$E$44,2,FALSE)</f>
        <v>#N/A</v>
      </c>
      <c r="Q187" s="4" t="e">
        <f>VLOOKUP(AJ179,'CIR Team Info'!$C$5:$E$44,3,FALSE)</f>
        <v>#N/A</v>
      </c>
      <c r="R187" s="10" t="e">
        <f>VLOOKUP(AJ179,'FRC Site Data'!$B$3:$L$42,2,FALSE)</f>
        <v>#N/A</v>
      </c>
      <c r="S187" s="10" t="e">
        <f>VLOOKUP(AJ179,'FRC Site Data'!$B$3:$L$42,3,FALSE)</f>
        <v>#N/A</v>
      </c>
      <c r="T187" s="10" t="e">
        <f>VLOOKUP(AJ179,'FRC Site Data'!$B$3:$L$42,4,FALSE)</f>
        <v>#N/A</v>
      </c>
      <c r="U187" s="10" t="e">
        <f>VLOOKUP(AJ179,'FRC Site Data'!$B$3:$L$42,5,FALSE)</f>
        <v>#N/A</v>
      </c>
      <c r="V187" s="10" t="e">
        <f>VLOOKUP(AJ179,'FRC Site Data'!$B$3:$L$42,6,FALSE)</f>
        <v>#N/A</v>
      </c>
      <c r="W187" s="10" t="e">
        <f>VLOOKUP(AJ179,'FRC Site Data'!$B$3:$L$42,8,FALSE)</f>
        <v>#N/A</v>
      </c>
      <c r="X187" s="10" t="e">
        <f>VLOOKUP(AJ179,'FRC Site Data'!$B$3:$L$42,9,FALSE)</f>
        <v>#N/A</v>
      </c>
      <c r="Y187" s="10" t="e">
        <f>VLOOKUP(AJ179,'FRC Site Data'!$B$3:$L$42,10,FALSE)</f>
        <v>#N/A</v>
      </c>
      <c r="Z187" s="10" t="e">
        <f>VLOOKUP(AJ179,'FRC Site Data'!$B$3:$L$42,11,FALSE)</f>
        <v>#N/A</v>
      </c>
      <c r="AA187" s="10" t="e">
        <f>VLOOKUP(AJ179,'CIR Team Info'!$C$5:$E$44,4,FALSE)</f>
        <v>#N/A</v>
      </c>
      <c r="AB187" s="161" t="b">
        <f>ISNUMBER(VLOOKUP(AJ179,Match!$T$5:$T$10,1,FALSE))</f>
        <v>0</v>
      </c>
      <c r="AC187" s="161" t="b">
        <f>IF(AB187=TRUE,(VLOOKUP($AJ179,Match!$T$5:$U$10,2,FALSE)))</f>
        <v>0</v>
      </c>
      <c r="AD187" s="8">
        <v>3</v>
      </c>
      <c r="AE187" s="8">
        <v>2</v>
      </c>
      <c r="AF187" s="8">
        <v>2</v>
      </c>
      <c r="AG187" s="8">
        <v>1</v>
      </c>
      <c r="AH187" s="8" t="str">
        <f t="shared" si="55"/>
        <v/>
      </c>
      <c r="BA187" s="24"/>
      <c r="BC187" s="12"/>
      <c r="BS187" s="127"/>
    </row>
    <row r="188" spans="1:71" x14ac:dyDescent="0.25">
      <c r="A188" s="29">
        <f t="shared" si="41"/>
        <v>0</v>
      </c>
      <c r="B188" s="29">
        <f t="shared" si="50"/>
        <v>0</v>
      </c>
      <c r="C188" s="29">
        <f t="shared" si="51"/>
        <v>0</v>
      </c>
      <c r="D188" s="29">
        <f t="shared" si="52"/>
        <v>0</v>
      </c>
      <c r="E188" s="29">
        <f t="shared" si="42"/>
        <v>0</v>
      </c>
      <c r="F188" s="29">
        <f t="shared" si="43"/>
        <v>0</v>
      </c>
      <c r="G188" s="29" t="str">
        <f t="shared" si="44"/>
        <v>offensive</v>
      </c>
      <c r="H188" s="16">
        <f t="shared" si="48"/>
        <v>0</v>
      </c>
      <c r="I188" s="16">
        <f t="shared" si="49"/>
        <v>0</v>
      </c>
      <c r="J188" s="16">
        <f t="shared" si="53"/>
        <v>0</v>
      </c>
      <c r="K188" s="16">
        <f t="shared" si="45"/>
        <v>0</v>
      </c>
      <c r="L188" s="67">
        <f t="shared" si="46"/>
        <v>0</v>
      </c>
      <c r="M188" s="4">
        <f t="shared" si="54"/>
        <v>0</v>
      </c>
      <c r="N188" s="4">
        <f t="shared" si="40"/>
        <v>0</v>
      </c>
      <c r="O188" s="4">
        <f t="shared" si="47"/>
        <v>0</v>
      </c>
      <c r="P188" s="4" t="e">
        <f>VLOOKUP(AJ180,'CIR Team Info'!$C$5:$E$44,2,FALSE)</f>
        <v>#N/A</v>
      </c>
      <c r="Q188" s="4" t="e">
        <f>VLOOKUP(AJ180,'CIR Team Info'!$C$5:$E$44,3,FALSE)</f>
        <v>#N/A</v>
      </c>
      <c r="R188" s="10" t="e">
        <f>VLOOKUP(AJ180,'FRC Site Data'!$B$3:$L$42,2,FALSE)</f>
        <v>#N/A</v>
      </c>
      <c r="S188" s="10" t="e">
        <f>VLOOKUP(AJ180,'FRC Site Data'!$B$3:$L$42,3,FALSE)</f>
        <v>#N/A</v>
      </c>
      <c r="T188" s="10" t="e">
        <f>VLOOKUP(AJ180,'FRC Site Data'!$B$3:$L$42,4,FALSE)</f>
        <v>#N/A</v>
      </c>
      <c r="U188" s="10" t="e">
        <f>VLOOKUP(AJ180,'FRC Site Data'!$B$3:$L$42,5,FALSE)</f>
        <v>#N/A</v>
      </c>
      <c r="V188" s="10" t="e">
        <f>VLOOKUP(AJ180,'FRC Site Data'!$B$3:$L$42,6,FALSE)</f>
        <v>#N/A</v>
      </c>
      <c r="W188" s="10" t="e">
        <f>VLOOKUP(AJ180,'FRC Site Data'!$B$3:$L$42,8,FALSE)</f>
        <v>#N/A</v>
      </c>
      <c r="X188" s="10" t="e">
        <f>VLOOKUP(AJ180,'FRC Site Data'!$B$3:$L$42,9,FALSE)</f>
        <v>#N/A</v>
      </c>
      <c r="Y188" s="10" t="e">
        <f>VLOOKUP(AJ180,'FRC Site Data'!$B$3:$L$42,10,FALSE)</f>
        <v>#N/A</v>
      </c>
      <c r="Z188" s="10" t="e">
        <f>VLOOKUP(AJ180,'FRC Site Data'!$B$3:$L$42,11,FALSE)</f>
        <v>#N/A</v>
      </c>
      <c r="AA188" s="10" t="e">
        <f>VLOOKUP(AJ180,'CIR Team Info'!$C$5:$E$44,4,FALSE)</f>
        <v>#N/A</v>
      </c>
      <c r="AB188" s="161" t="b">
        <f>ISNUMBER(VLOOKUP(AJ180,Match!$T$5:$T$10,1,FALSE))</f>
        <v>0</v>
      </c>
      <c r="AC188" s="161" t="b">
        <f>IF(AB188=TRUE,(VLOOKUP($AJ180,Match!$T$5:$U$10,2,FALSE)))</f>
        <v>0</v>
      </c>
      <c r="AD188" s="8">
        <v>3</v>
      </c>
      <c r="AE188" s="8">
        <v>2</v>
      </c>
      <c r="AF188" s="8">
        <v>2</v>
      </c>
      <c r="AG188" s="8">
        <v>1</v>
      </c>
      <c r="AH188" s="8" t="str">
        <f t="shared" si="55"/>
        <v/>
      </c>
      <c r="BA188" s="24"/>
      <c r="BC188" s="12"/>
      <c r="BS188" s="127"/>
    </row>
    <row r="189" spans="1:71" x14ac:dyDescent="0.25">
      <c r="A189" s="29">
        <f t="shared" si="41"/>
        <v>0</v>
      </c>
      <c r="B189" s="29">
        <f t="shared" si="50"/>
        <v>0</v>
      </c>
      <c r="C189" s="29">
        <f t="shared" si="51"/>
        <v>0</v>
      </c>
      <c r="D189" s="29">
        <f t="shared" si="52"/>
        <v>0</v>
      </c>
      <c r="E189" s="29">
        <f t="shared" si="42"/>
        <v>0</v>
      </c>
      <c r="F189" s="29">
        <f t="shared" si="43"/>
        <v>0</v>
      </c>
      <c r="G189" s="29" t="str">
        <f t="shared" si="44"/>
        <v>offensive</v>
      </c>
      <c r="H189" s="16">
        <f t="shared" si="48"/>
        <v>0</v>
      </c>
      <c r="I189" s="16">
        <f t="shared" si="49"/>
        <v>0</v>
      </c>
      <c r="J189" s="16">
        <f t="shared" si="53"/>
        <v>0</v>
      </c>
      <c r="K189" s="16">
        <f t="shared" si="45"/>
        <v>0</v>
      </c>
      <c r="L189" s="67">
        <f t="shared" si="46"/>
        <v>0</v>
      </c>
      <c r="M189" s="4">
        <f t="shared" si="54"/>
        <v>0</v>
      </c>
      <c r="N189" s="4">
        <f t="shared" ref="N189:N220" si="56">AO181+AV181+BD181</f>
        <v>0</v>
      </c>
      <c r="O189" s="4">
        <f t="shared" si="47"/>
        <v>0</v>
      </c>
      <c r="P189" s="4" t="e">
        <f>VLOOKUP(AJ181,'CIR Team Info'!$C$5:$E$44,2,FALSE)</f>
        <v>#N/A</v>
      </c>
      <c r="Q189" s="4" t="e">
        <f>VLOOKUP(AJ181,'CIR Team Info'!$C$5:$E$44,3,FALSE)</f>
        <v>#N/A</v>
      </c>
      <c r="R189" s="10" t="e">
        <f>VLOOKUP(AJ181,'FRC Site Data'!$B$3:$L$42,2,FALSE)</f>
        <v>#N/A</v>
      </c>
      <c r="S189" s="10" t="e">
        <f>VLOOKUP(AJ181,'FRC Site Data'!$B$3:$L$42,3,FALSE)</f>
        <v>#N/A</v>
      </c>
      <c r="T189" s="10" t="e">
        <f>VLOOKUP(AJ181,'FRC Site Data'!$B$3:$L$42,4,FALSE)</f>
        <v>#N/A</v>
      </c>
      <c r="U189" s="10" t="e">
        <f>VLOOKUP(AJ181,'FRC Site Data'!$B$3:$L$42,5,FALSE)</f>
        <v>#N/A</v>
      </c>
      <c r="V189" s="10" t="e">
        <f>VLOOKUP(AJ181,'FRC Site Data'!$B$3:$L$42,6,FALSE)</f>
        <v>#N/A</v>
      </c>
      <c r="W189" s="10" t="e">
        <f>VLOOKUP(AJ181,'FRC Site Data'!$B$3:$L$42,8,FALSE)</f>
        <v>#N/A</v>
      </c>
      <c r="X189" s="10" t="e">
        <f>VLOOKUP(AJ181,'FRC Site Data'!$B$3:$L$42,9,FALSE)</f>
        <v>#N/A</v>
      </c>
      <c r="Y189" s="10" t="e">
        <f>VLOOKUP(AJ181,'FRC Site Data'!$B$3:$L$42,10,FALSE)</f>
        <v>#N/A</v>
      </c>
      <c r="Z189" s="10" t="e">
        <f>VLOOKUP(AJ181,'FRC Site Data'!$B$3:$L$42,11,FALSE)</f>
        <v>#N/A</v>
      </c>
      <c r="AA189" s="10" t="e">
        <f>VLOOKUP(AJ181,'CIR Team Info'!$C$5:$E$44,4,FALSE)</f>
        <v>#N/A</v>
      </c>
      <c r="AB189" s="161" t="b">
        <f>ISNUMBER(VLOOKUP(AJ181,Match!$T$5:$T$10,1,FALSE))</f>
        <v>0</v>
      </c>
      <c r="AC189" s="161" t="b">
        <f>IF(AB189=TRUE,(VLOOKUP($AJ181,Match!$T$5:$U$10,2,FALSE)))</f>
        <v>0</v>
      </c>
      <c r="AD189" s="8">
        <v>3</v>
      </c>
      <c r="AE189" s="8">
        <v>2</v>
      </c>
      <c r="AF189" s="8">
        <v>2</v>
      </c>
      <c r="AG189" s="8">
        <v>1</v>
      </c>
      <c r="AH189" s="8" t="str">
        <f t="shared" si="55"/>
        <v/>
      </c>
      <c r="BA189" s="24"/>
      <c r="BC189" s="12"/>
      <c r="BS189" s="127"/>
    </row>
    <row r="190" spans="1:71" x14ac:dyDescent="0.25">
      <c r="A190" s="29">
        <f t="shared" ref="A190:A249" si="57">SUM(B190:F190)</f>
        <v>0</v>
      </c>
      <c r="B190" s="29">
        <f t="shared" si="50"/>
        <v>0</v>
      </c>
      <c r="C190" s="29">
        <f t="shared" si="51"/>
        <v>0</v>
      </c>
      <c r="D190" s="29">
        <f t="shared" si="52"/>
        <v>0</v>
      </c>
      <c r="E190" s="29">
        <f t="shared" ref="E190:E249" si="58">K190*O190</f>
        <v>0</v>
      </c>
      <c r="F190" s="29">
        <f t="shared" ref="F190:F221" si="59">IF(AN182&gt;0,5)-2*COUNTIF(AQ182,"K")+5*COUNTIF(AS182,"T")+IF(AX182=3,2)+IF(AY182="T",2)</f>
        <v>0</v>
      </c>
      <c r="G190" s="29" t="str">
        <f t="shared" ref="G190:G221" si="60">IF((BB182+BC182)&gt;45,"defensive",IF((BB182+BC182)&gt;15,"both","offensive"))</f>
        <v>offensive</v>
      </c>
      <c r="H190" s="16">
        <f t="shared" si="48"/>
        <v>0</v>
      </c>
      <c r="I190" s="16">
        <f t="shared" si="49"/>
        <v>0</v>
      </c>
      <c r="J190" s="16">
        <f t="shared" si="53"/>
        <v>0</v>
      </c>
      <c r="K190" s="16">
        <f t="shared" ref="K190:K221" si="61">IF((BB182+BC182)=0,0,((AZ182*BB182*0.2)+(BA182*BC182*0.3))/(BB182+BC182))</f>
        <v>0</v>
      </c>
      <c r="L190" s="67">
        <f t="shared" ref="L190:L221" si="62">IF(BF182&gt;BG182,BF182,BG182)</f>
        <v>0</v>
      </c>
      <c r="M190" s="4">
        <f t="shared" si="54"/>
        <v>0</v>
      </c>
      <c r="N190" s="4">
        <f t="shared" si="56"/>
        <v>0</v>
      </c>
      <c r="O190" s="4">
        <f t="shared" ref="O190:O221" si="63">(AZ182*0.2*BB182*30/30)+(BA182*0.3*BC182*12/30)-BI182-BJ182</f>
        <v>0</v>
      </c>
      <c r="P190" s="4" t="e">
        <f>VLOOKUP(AJ182,'CIR Team Info'!$C$5:$E$44,2,FALSE)</f>
        <v>#N/A</v>
      </c>
      <c r="Q190" s="4" t="e">
        <f>VLOOKUP(AJ182,'CIR Team Info'!$C$5:$E$44,3,FALSE)</f>
        <v>#N/A</v>
      </c>
      <c r="R190" s="10" t="e">
        <f>VLOOKUP(AJ182,'FRC Site Data'!$B$3:$L$42,2,FALSE)</f>
        <v>#N/A</v>
      </c>
      <c r="S190" s="10" t="e">
        <f>VLOOKUP(AJ182,'FRC Site Data'!$B$3:$L$42,3,FALSE)</f>
        <v>#N/A</v>
      </c>
      <c r="T190" s="10" t="e">
        <f>VLOOKUP(AJ182,'FRC Site Data'!$B$3:$L$42,4,FALSE)</f>
        <v>#N/A</v>
      </c>
      <c r="U190" s="10" t="e">
        <f>VLOOKUP(AJ182,'FRC Site Data'!$B$3:$L$42,5,FALSE)</f>
        <v>#N/A</v>
      </c>
      <c r="V190" s="10" t="e">
        <f>VLOOKUP(AJ182,'FRC Site Data'!$B$3:$L$42,6,FALSE)</f>
        <v>#N/A</v>
      </c>
      <c r="W190" s="10" t="e">
        <f>VLOOKUP(AJ182,'FRC Site Data'!$B$3:$L$42,8,FALSE)</f>
        <v>#N/A</v>
      </c>
      <c r="X190" s="10" t="e">
        <f>VLOOKUP(AJ182,'FRC Site Data'!$B$3:$L$42,9,FALSE)</f>
        <v>#N/A</v>
      </c>
      <c r="Y190" s="10" t="e">
        <f>VLOOKUP(AJ182,'FRC Site Data'!$B$3:$L$42,10,FALSE)</f>
        <v>#N/A</v>
      </c>
      <c r="Z190" s="10" t="e">
        <f>VLOOKUP(AJ182,'FRC Site Data'!$B$3:$L$42,11,FALSE)</f>
        <v>#N/A</v>
      </c>
      <c r="AA190" s="10" t="e">
        <f>VLOOKUP(AJ182,'CIR Team Info'!$C$5:$E$44,4,FALSE)</f>
        <v>#N/A</v>
      </c>
      <c r="AB190" s="161" t="b">
        <f>ISNUMBER(VLOOKUP(AJ182,Match!$T$5:$T$10,1,FALSE))</f>
        <v>0</v>
      </c>
      <c r="AC190" s="161" t="b">
        <f>IF(AB190=TRUE,(VLOOKUP($AJ182,Match!$T$5:$U$10,2,FALSE)))</f>
        <v>0</v>
      </c>
      <c r="AD190" s="8">
        <v>3</v>
      </c>
      <c r="AE190" s="8">
        <v>2</v>
      </c>
      <c r="AF190" s="8">
        <v>2</v>
      </c>
      <c r="AG190" s="8">
        <v>1</v>
      </c>
      <c r="AH190" s="8" t="str">
        <f t="shared" si="55"/>
        <v/>
      </c>
      <c r="BA190" s="24"/>
      <c r="BC190" s="12"/>
      <c r="BS190" s="127"/>
    </row>
    <row r="191" spans="1:71" x14ac:dyDescent="0.25">
      <c r="A191" s="29">
        <f t="shared" si="57"/>
        <v>0</v>
      </c>
      <c r="B191" s="29">
        <f t="shared" si="50"/>
        <v>0</v>
      </c>
      <c r="C191" s="29">
        <f t="shared" si="51"/>
        <v>0</v>
      </c>
      <c r="D191" s="29">
        <f t="shared" si="52"/>
        <v>0</v>
      </c>
      <c r="E191" s="29">
        <f t="shared" si="58"/>
        <v>0</v>
      </c>
      <c r="F191" s="29">
        <f t="shared" si="59"/>
        <v>0</v>
      </c>
      <c r="G191" s="29" t="str">
        <f t="shared" si="60"/>
        <v>offensive</v>
      </c>
      <c r="H191" s="16">
        <f t="shared" si="48"/>
        <v>0</v>
      </c>
      <c r="I191" s="16">
        <f t="shared" si="49"/>
        <v>0</v>
      </c>
      <c r="J191" s="16">
        <f t="shared" si="53"/>
        <v>0</v>
      </c>
      <c r="K191" s="16">
        <f t="shared" si="61"/>
        <v>0</v>
      </c>
      <c r="L191" s="67">
        <f t="shared" si="62"/>
        <v>0</v>
      </c>
      <c r="M191" s="4">
        <f t="shared" si="54"/>
        <v>0</v>
      </c>
      <c r="N191" s="4">
        <f t="shared" si="56"/>
        <v>0</v>
      </c>
      <c r="O191" s="4">
        <f t="shared" si="63"/>
        <v>0</v>
      </c>
      <c r="P191" s="4" t="e">
        <f>VLOOKUP(AJ183,'CIR Team Info'!$C$5:$E$44,2,FALSE)</f>
        <v>#N/A</v>
      </c>
      <c r="Q191" s="4" t="e">
        <f>VLOOKUP(AJ183,'CIR Team Info'!$C$5:$E$44,3,FALSE)</f>
        <v>#N/A</v>
      </c>
      <c r="R191" s="10" t="e">
        <f>VLOOKUP(AJ183,'FRC Site Data'!$B$3:$L$42,2,FALSE)</f>
        <v>#N/A</v>
      </c>
      <c r="S191" s="10" t="e">
        <f>VLOOKUP(AJ183,'FRC Site Data'!$B$3:$L$42,3,FALSE)</f>
        <v>#N/A</v>
      </c>
      <c r="T191" s="10" t="e">
        <f>VLOOKUP(AJ183,'FRC Site Data'!$B$3:$L$42,4,FALSE)</f>
        <v>#N/A</v>
      </c>
      <c r="U191" s="10" t="e">
        <f>VLOOKUP(AJ183,'FRC Site Data'!$B$3:$L$42,5,FALSE)</f>
        <v>#N/A</v>
      </c>
      <c r="V191" s="10" t="e">
        <f>VLOOKUP(AJ183,'FRC Site Data'!$B$3:$L$42,6,FALSE)</f>
        <v>#N/A</v>
      </c>
      <c r="W191" s="10" t="e">
        <f>VLOOKUP(AJ183,'FRC Site Data'!$B$3:$L$42,8,FALSE)</f>
        <v>#N/A</v>
      </c>
      <c r="X191" s="10" t="e">
        <f>VLOOKUP(AJ183,'FRC Site Data'!$B$3:$L$42,9,FALSE)</f>
        <v>#N/A</v>
      </c>
      <c r="Y191" s="10" t="e">
        <f>VLOOKUP(AJ183,'FRC Site Data'!$B$3:$L$42,10,FALSE)</f>
        <v>#N/A</v>
      </c>
      <c r="Z191" s="10" t="e">
        <f>VLOOKUP(AJ183,'FRC Site Data'!$B$3:$L$42,11,FALSE)</f>
        <v>#N/A</v>
      </c>
      <c r="AA191" s="10" t="e">
        <f>VLOOKUP(AJ183,'CIR Team Info'!$C$5:$E$44,4,FALSE)</f>
        <v>#N/A</v>
      </c>
      <c r="AB191" s="161" t="b">
        <f>ISNUMBER(VLOOKUP(AJ183,Match!$T$5:$T$10,1,FALSE))</f>
        <v>0</v>
      </c>
      <c r="AC191" s="161" t="b">
        <f>IF(AB191=TRUE,(VLOOKUP($AJ183,Match!$T$5:$U$10,2,FALSE)))</f>
        <v>0</v>
      </c>
      <c r="AD191" s="8">
        <v>3</v>
      </c>
      <c r="AE191" s="8">
        <v>2</v>
      </c>
      <c r="AF191" s="8">
        <v>2</v>
      </c>
      <c r="AG191" s="8">
        <v>1</v>
      </c>
      <c r="AH191" s="8" t="str">
        <f t="shared" si="55"/>
        <v/>
      </c>
      <c r="BA191" s="24"/>
      <c r="BC191" s="12"/>
      <c r="BS191" s="127"/>
    </row>
    <row r="192" spans="1:71" x14ac:dyDescent="0.25">
      <c r="A192" s="29">
        <f t="shared" si="57"/>
        <v>0</v>
      </c>
      <c r="B192" s="29">
        <f t="shared" si="50"/>
        <v>0</v>
      </c>
      <c r="C192" s="29">
        <f t="shared" si="51"/>
        <v>0</v>
      </c>
      <c r="D192" s="29">
        <f t="shared" si="52"/>
        <v>0</v>
      </c>
      <c r="E192" s="29">
        <f t="shared" si="58"/>
        <v>0</v>
      </c>
      <c r="F192" s="29">
        <f t="shared" si="59"/>
        <v>0</v>
      </c>
      <c r="G192" s="29" t="str">
        <f t="shared" si="60"/>
        <v>offensive</v>
      </c>
      <c r="H192" s="16">
        <f t="shared" si="48"/>
        <v>0</v>
      </c>
      <c r="I192" s="16">
        <f t="shared" si="49"/>
        <v>0</v>
      </c>
      <c r="J192" s="16">
        <f t="shared" si="53"/>
        <v>0</v>
      </c>
      <c r="K192" s="16">
        <f t="shared" si="61"/>
        <v>0</v>
      </c>
      <c r="L192" s="67">
        <f t="shared" si="62"/>
        <v>0</v>
      </c>
      <c r="M192" s="4">
        <f t="shared" si="54"/>
        <v>0</v>
      </c>
      <c r="N192" s="4">
        <f t="shared" si="56"/>
        <v>0</v>
      </c>
      <c r="O192" s="4">
        <f t="shared" si="63"/>
        <v>0</v>
      </c>
      <c r="P192" s="4" t="e">
        <f>VLOOKUP(AJ184,'CIR Team Info'!$C$5:$E$44,2,FALSE)</f>
        <v>#N/A</v>
      </c>
      <c r="Q192" s="4" t="e">
        <f>VLOOKUP(AJ184,'CIR Team Info'!$C$5:$E$44,3,FALSE)</f>
        <v>#N/A</v>
      </c>
      <c r="R192" s="10" t="e">
        <f>VLOOKUP(AJ184,'FRC Site Data'!$B$3:$L$42,2,FALSE)</f>
        <v>#N/A</v>
      </c>
      <c r="S192" s="10" t="e">
        <f>VLOOKUP(AJ184,'FRC Site Data'!$B$3:$L$42,3,FALSE)</f>
        <v>#N/A</v>
      </c>
      <c r="T192" s="10" t="e">
        <f>VLOOKUP(AJ184,'FRC Site Data'!$B$3:$L$42,4,FALSE)</f>
        <v>#N/A</v>
      </c>
      <c r="U192" s="10" t="e">
        <f>VLOOKUP(AJ184,'FRC Site Data'!$B$3:$L$42,5,FALSE)</f>
        <v>#N/A</v>
      </c>
      <c r="V192" s="10" t="e">
        <f>VLOOKUP(AJ184,'FRC Site Data'!$B$3:$L$42,6,FALSE)</f>
        <v>#N/A</v>
      </c>
      <c r="W192" s="10" t="e">
        <f>VLOOKUP(AJ184,'FRC Site Data'!$B$3:$L$42,8,FALSE)</f>
        <v>#N/A</v>
      </c>
      <c r="X192" s="10" t="e">
        <f>VLOOKUP(AJ184,'FRC Site Data'!$B$3:$L$42,9,FALSE)</f>
        <v>#N/A</v>
      </c>
      <c r="Y192" s="10" t="e">
        <f>VLOOKUP(AJ184,'FRC Site Data'!$B$3:$L$42,10,FALSE)</f>
        <v>#N/A</v>
      </c>
      <c r="Z192" s="10" t="e">
        <f>VLOOKUP(AJ184,'FRC Site Data'!$B$3:$L$42,11,FALSE)</f>
        <v>#N/A</v>
      </c>
      <c r="AA192" s="10" t="e">
        <f>VLOOKUP(AJ184,'CIR Team Info'!$C$5:$E$44,4,FALSE)</f>
        <v>#N/A</v>
      </c>
      <c r="AB192" s="161" t="b">
        <f>ISNUMBER(VLOOKUP(AJ184,Match!$T$5:$T$10,1,FALSE))</f>
        <v>0</v>
      </c>
      <c r="AC192" s="161" t="b">
        <f>IF(AB192=TRUE,(VLOOKUP($AJ184,Match!$T$5:$U$10,2,FALSE)))</f>
        <v>0</v>
      </c>
      <c r="AD192" s="8">
        <v>3</v>
      </c>
      <c r="AE192" s="8">
        <v>2</v>
      </c>
      <c r="AF192" s="8">
        <v>2</v>
      </c>
      <c r="AG192" s="8">
        <v>1</v>
      </c>
      <c r="AH192" s="8" t="str">
        <f t="shared" si="55"/>
        <v/>
      </c>
      <c r="BA192" s="24"/>
      <c r="BC192" s="12"/>
      <c r="BS192" s="127"/>
    </row>
    <row r="193" spans="1:71" x14ac:dyDescent="0.25">
      <c r="A193" s="29">
        <f t="shared" si="57"/>
        <v>0</v>
      </c>
      <c r="B193" s="29">
        <f t="shared" si="50"/>
        <v>0</v>
      </c>
      <c r="C193" s="29">
        <f t="shared" si="51"/>
        <v>0</v>
      </c>
      <c r="D193" s="29">
        <f t="shared" si="52"/>
        <v>0</v>
      </c>
      <c r="E193" s="29">
        <f t="shared" si="58"/>
        <v>0</v>
      </c>
      <c r="F193" s="29">
        <f t="shared" si="59"/>
        <v>0</v>
      </c>
      <c r="G193" s="29" t="str">
        <f t="shared" si="60"/>
        <v>offensive</v>
      </c>
      <c r="H193" s="16">
        <f t="shared" si="48"/>
        <v>0</v>
      </c>
      <c r="I193" s="16">
        <f t="shared" si="49"/>
        <v>0</v>
      </c>
      <c r="J193" s="16">
        <f t="shared" si="53"/>
        <v>0</v>
      </c>
      <c r="K193" s="16">
        <f t="shared" si="61"/>
        <v>0</v>
      </c>
      <c r="L193" s="67">
        <f t="shared" si="62"/>
        <v>0</v>
      </c>
      <c r="M193" s="4">
        <f t="shared" si="54"/>
        <v>0</v>
      </c>
      <c r="N193" s="4">
        <f t="shared" si="56"/>
        <v>0</v>
      </c>
      <c r="O193" s="4">
        <f t="shared" si="63"/>
        <v>0</v>
      </c>
      <c r="P193" s="4" t="e">
        <f>VLOOKUP(AJ185,'CIR Team Info'!$C$5:$E$44,2,FALSE)</f>
        <v>#N/A</v>
      </c>
      <c r="Q193" s="4" t="e">
        <f>VLOOKUP(AJ185,'CIR Team Info'!$C$5:$E$44,3,FALSE)</f>
        <v>#N/A</v>
      </c>
      <c r="R193" s="10" t="e">
        <f>VLOOKUP(AJ185,'FRC Site Data'!$B$3:$L$42,2,FALSE)</f>
        <v>#N/A</v>
      </c>
      <c r="S193" s="10" t="e">
        <f>VLOOKUP(AJ185,'FRC Site Data'!$B$3:$L$42,3,FALSE)</f>
        <v>#N/A</v>
      </c>
      <c r="T193" s="10" t="e">
        <f>VLOOKUP(AJ185,'FRC Site Data'!$B$3:$L$42,4,FALSE)</f>
        <v>#N/A</v>
      </c>
      <c r="U193" s="10" t="e">
        <f>VLOOKUP(AJ185,'FRC Site Data'!$B$3:$L$42,5,FALSE)</f>
        <v>#N/A</v>
      </c>
      <c r="V193" s="10" t="e">
        <f>VLOOKUP(AJ185,'FRC Site Data'!$B$3:$L$42,6,FALSE)</f>
        <v>#N/A</v>
      </c>
      <c r="W193" s="10" t="e">
        <f>VLOOKUP(AJ185,'FRC Site Data'!$B$3:$L$42,8,FALSE)</f>
        <v>#N/A</v>
      </c>
      <c r="X193" s="10" t="e">
        <f>VLOOKUP(AJ185,'FRC Site Data'!$B$3:$L$42,9,FALSE)</f>
        <v>#N/A</v>
      </c>
      <c r="Y193" s="10" t="e">
        <f>VLOOKUP(AJ185,'FRC Site Data'!$B$3:$L$42,10,FALSE)</f>
        <v>#N/A</v>
      </c>
      <c r="Z193" s="10" t="e">
        <f>VLOOKUP(AJ185,'FRC Site Data'!$B$3:$L$42,11,FALSE)</f>
        <v>#N/A</v>
      </c>
      <c r="AA193" s="10" t="e">
        <f>VLOOKUP(AJ185,'CIR Team Info'!$C$5:$E$44,4,FALSE)</f>
        <v>#N/A</v>
      </c>
      <c r="AB193" s="161" t="b">
        <f>ISNUMBER(VLOOKUP(AJ185,Match!$T$5:$T$10,1,FALSE))</f>
        <v>0</v>
      </c>
      <c r="AC193" s="161" t="b">
        <f>IF(AB193=TRUE,(VLOOKUP($AJ185,Match!$T$5:$U$10,2,FALSE)))</f>
        <v>0</v>
      </c>
      <c r="AD193" s="8">
        <v>3</v>
      </c>
      <c r="AE193" s="8">
        <v>2</v>
      </c>
      <c r="AF193" s="8">
        <v>2</v>
      </c>
      <c r="AG193" s="8">
        <v>1</v>
      </c>
      <c r="AH193" s="8" t="str">
        <f t="shared" si="55"/>
        <v/>
      </c>
      <c r="BA193" s="24"/>
      <c r="BC193" s="12"/>
      <c r="BS193" s="127"/>
    </row>
    <row r="194" spans="1:71" x14ac:dyDescent="0.25">
      <c r="A194" s="29">
        <f t="shared" si="57"/>
        <v>0</v>
      </c>
      <c r="B194" s="29">
        <f t="shared" si="50"/>
        <v>0</v>
      </c>
      <c r="C194" s="29">
        <f t="shared" si="51"/>
        <v>0</v>
      </c>
      <c r="D194" s="29">
        <f t="shared" si="52"/>
        <v>0</v>
      </c>
      <c r="E194" s="29">
        <f t="shared" si="58"/>
        <v>0</v>
      </c>
      <c r="F194" s="29">
        <f t="shared" si="59"/>
        <v>0</v>
      </c>
      <c r="G194" s="29" t="str">
        <f t="shared" si="60"/>
        <v>offensive</v>
      </c>
      <c r="H194" s="16">
        <f t="shared" si="48"/>
        <v>0</v>
      </c>
      <c r="I194" s="16">
        <f t="shared" si="49"/>
        <v>0</v>
      </c>
      <c r="J194" s="16">
        <f t="shared" si="53"/>
        <v>0</v>
      </c>
      <c r="K194" s="16">
        <f t="shared" si="61"/>
        <v>0</v>
      </c>
      <c r="L194" s="67">
        <f t="shared" si="62"/>
        <v>0</v>
      </c>
      <c r="M194" s="4">
        <f t="shared" si="54"/>
        <v>0</v>
      </c>
      <c r="N194" s="4">
        <f t="shared" si="56"/>
        <v>0</v>
      </c>
      <c r="O194" s="4">
        <f t="shared" si="63"/>
        <v>0</v>
      </c>
      <c r="P194" s="4" t="e">
        <f>VLOOKUP(AJ186,'CIR Team Info'!$C$5:$E$44,2,FALSE)</f>
        <v>#N/A</v>
      </c>
      <c r="Q194" s="4" t="e">
        <f>VLOOKUP(AJ186,'CIR Team Info'!$C$5:$E$44,3,FALSE)</f>
        <v>#N/A</v>
      </c>
      <c r="R194" s="10" t="e">
        <f>VLOOKUP(AJ186,'FRC Site Data'!$B$3:$L$42,2,FALSE)</f>
        <v>#N/A</v>
      </c>
      <c r="S194" s="10" t="e">
        <f>VLOOKUP(AJ186,'FRC Site Data'!$B$3:$L$42,3,FALSE)</f>
        <v>#N/A</v>
      </c>
      <c r="T194" s="10" t="e">
        <f>VLOOKUP(AJ186,'FRC Site Data'!$B$3:$L$42,4,FALSE)</f>
        <v>#N/A</v>
      </c>
      <c r="U194" s="10" t="e">
        <f>VLOOKUP(AJ186,'FRC Site Data'!$B$3:$L$42,5,FALSE)</f>
        <v>#N/A</v>
      </c>
      <c r="V194" s="10" t="e">
        <f>VLOOKUP(AJ186,'FRC Site Data'!$B$3:$L$42,6,FALSE)</f>
        <v>#N/A</v>
      </c>
      <c r="W194" s="10" t="e">
        <f>VLOOKUP(AJ186,'FRC Site Data'!$B$3:$L$42,8,FALSE)</f>
        <v>#N/A</v>
      </c>
      <c r="X194" s="10" t="e">
        <f>VLOOKUP(AJ186,'FRC Site Data'!$B$3:$L$42,9,FALSE)</f>
        <v>#N/A</v>
      </c>
      <c r="Y194" s="10" t="e">
        <f>VLOOKUP(AJ186,'FRC Site Data'!$B$3:$L$42,10,FALSE)</f>
        <v>#N/A</v>
      </c>
      <c r="Z194" s="10" t="e">
        <f>VLOOKUP(AJ186,'FRC Site Data'!$B$3:$L$42,11,FALSE)</f>
        <v>#N/A</v>
      </c>
      <c r="AA194" s="10" t="e">
        <f>VLOOKUP(AJ186,'CIR Team Info'!$C$5:$E$44,4,FALSE)</f>
        <v>#N/A</v>
      </c>
      <c r="AB194" s="161" t="b">
        <f>ISNUMBER(VLOOKUP(AJ186,Match!$T$5:$T$10,1,FALSE))</f>
        <v>0</v>
      </c>
      <c r="AC194" s="161" t="b">
        <f>IF(AB194=TRUE,(VLOOKUP($AJ186,Match!$T$5:$U$10,2,FALSE)))</f>
        <v>0</v>
      </c>
      <c r="AD194" s="8">
        <v>3</v>
      </c>
      <c r="AE194" s="8">
        <v>2</v>
      </c>
      <c r="AF194" s="8">
        <v>2</v>
      </c>
      <c r="AG194" s="8">
        <v>1</v>
      </c>
      <c r="AH194" s="8" t="str">
        <f t="shared" si="55"/>
        <v/>
      </c>
      <c r="BA194" s="24"/>
      <c r="BC194" s="12"/>
      <c r="BS194" s="127"/>
    </row>
    <row r="195" spans="1:71" x14ac:dyDescent="0.25">
      <c r="A195" s="29">
        <f t="shared" si="57"/>
        <v>0</v>
      </c>
      <c r="B195" s="29">
        <f t="shared" si="50"/>
        <v>0</v>
      </c>
      <c r="C195" s="29">
        <f t="shared" si="51"/>
        <v>0</v>
      </c>
      <c r="D195" s="29">
        <f t="shared" si="52"/>
        <v>0</v>
      </c>
      <c r="E195" s="29">
        <f t="shared" si="58"/>
        <v>0</v>
      </c>
      <c r="F195" s="29">
        <f t="shared" si="59"/>
        <v>0</v>
      </c>
      <c r="G195" s="29" t="str">
        <f t="shared" si="60"/>
        <v>offensive</v>
      </c>
      <c r="H195" s="16">
        <f t="shared" si="48"/>
        <v>0</v>
      </c>
      <c r="I195" s="16">
        <f t="shared" si="49"/>
        <v>0</v>
      </c>
      <c r="J195" s="16">
        <f t="shared" si="53"/>
        <v>0</v>
      </c>
      <c r="K195" s="16">
        <f t="shared" si="61"/>
        <v>0</v>
      </c>
      <c r="L195" s="67">
        <f t="shared" si="62"/>
        <v>0</v>
      </c>
      <c r="M195" s="4">
        <f t="shared" si="54"/>
        <v>0</v>
      </c>
      <c r="N195" s="4">
        <f t="shared" si="56"/>
        <v>0</v>
      </c>
      <c r="O195" s="4">
        <f t="shared" si="63"/>
        <v>0</v>
      </c>
      <c r="P195" s="4" t="e">
        <f>VLOOKUP(AJ187,'CIR Team Info'!$C$5:$E$44,2,FALSE)</f>
        <v>#N/A</v>
      </c>
      <c r="Q195" s="4" t="e">
        <f>VLOOKUP(AJ187,'CIR Team Info'!$C$5:$E$44,3,FALSE)</f>
        <v>#N/A</v>
      </c>
      <c r="R195" s="10" t="e">
        <f>VLOOKUP(AJ187,'FRC Site Data'!$B$3:$L$42,2,FALSE)</f>
        <v>#N/A</v>
      </c>
      <c r="S195" s="10" t="e">
        <f>VLOOKUP(AJ187,'FRC Site Data'!$B$3:$L$42,3,FALSE)</f>
        <v>#N/A</v>
      </c>
      <c r="T195" s="10" t="e">
        <f>VLOOKUP(AJ187,'FRC Site Data'!$B$3:$L$42,4,FALSE)</f>
        <v>#N/A</v>
      </c>
      <c r="U195" s="10" t="e">
        <f>VLOOKUP(AJ187,'FRC Site Data'!$B$3:$L$42,5,FALSE)</f>
        <v>#N/A</v>
      </c>
      <c r="V195" s="10" t="e">
        <f>VLOOKUP(AJ187,'FRC Site Data'!$B$3:$L$42,6,FALSE)</f>
        <v>#N/A</v>
      </c>
      <c r="W195" s="10" t="e">
        <f>VLOOKUP(AJ187,'FRC Site Data'!$B$3:$L$42,8,FALSE)</f>
        <v>#N/A</v>
      </c>
      <c r="X195" s="10" t="e">
        <f>VLOOKUP(AJ187,'FRC Site Data'!$B$3:$L$42,9,FALSE)</f>
        <v>#N/A</v>
      </c>
      <c r="Y195" s="10" t="e">
        <f>VLOOKUP(AJ187,'FRC Site Data'!$B$3:$L$42,10,FALSE)</f>
        <v>#N/A</v>
      </c>
      <c r="Z195" s="10" t="e">
        <f>VLOOKUP(AJ187,'FRC Site Data'!$B$3:$L$42,11,FALSE)</f>
        <v>#N/A</v>
      </c>
      <c r="AA195" s="10" t="e">
        <f>VLOOKUP(AJ187,'CIR Team Info'!$C$5:$E$44,4,FALSE)</f>
        <v>#N/A</v>
      </c>
      <c r="AB195" s="161" t="b">
        <f>ISNUMBER(VLOOKUP(AJ187,Match!$T$5:$T$10,1,FALSE))</f>
        <v>0</v>
      </c>
      <c r="AC195" s="161" t="b">
        <f>IF(AB195=TRUE,(VLOOKUP($AJ187,Match!$T$5:$U$10,2,FALSE)))</f>
        <v>0</v>
      </c>
      <c r="AD195" s="8">
        <v>3</v>
      </c>
      <c r="AE195" s="8">
        <v>2</v>
      </c>
      <c r="AF195" s="8">
        <v>2</v>
      </c>
      <c r="AG195" s="8">
        <v>1</v>
      </c>
      <c r="AH195" s="8" t="str">
        <f t="shared" si="55"/>
        <v/>
      </c>
      <c r="BA195" s="24"/>
      <c r="BS195" s="127"/>
    </row>
    <row r="196" spans="1:71" x14ac:dyDescent="0.25">
      <c r="A196" s="29">
        <f t="shared" si="57"/>
        <v>0</v>
      </c>
      <c r="B196" s="29">
        <f t="shared" si="50"/>
        <v>0</v>
      </c>
      <c r="C196" s="29">
        <f t="shared" si="51"/>
        <v>0</v>
      </c>
      <c r="D196" s="29">
        <f t="shared" si="52"/>
        <v>0</v>
      </c>
      <c r="E196" s="29">
        <f t="shared" si="58"/>
        <v>0</v>
      </c>
      <c r="F196" s="29">
        <f t="shared" si="59"/>
        <v>0</v>
      </c>
      <c r="G196" s="29" t="str">
        <f t="shared" si="60"/>
        <v>offensive</v>
      </c>
      <c r="H196" s="16">
        <f t="shared" si="48"/>
        <v>0</v>
      </c>
      <c r="I196" s="16">
        <f t="shared" si="49"/>
        <v>0</v>
      </c>
      <c r="J196" s="16">
        <f t="shared" si="53"/>
        <v>0</v>
      </c>
      <c r="K196" s="16">
        <f t="shared" si="61"/>
        <v>0</v>
      </c>
      <c r="L196" s="67">
        <f t="shared" si="62"/>
        <v>0</v>
      </c>
      <c r="M196" s="4">
        <f t="shared" si="54"/>
        <v>0</v>
      </c>
      <c r="N196" s="4">
        <f t="shared" si="56"/>
        <v>0</v>
      </c>
      <c r="O196" s="4">
        <f t="shared" si="63"/>
        <v>0</v>
      </c>
      <c r="P196" s="4" t="e">
        <f>VLOOKUP(AJ188,'CIR Team Info'!$C$5:$E$44,2,FALSE)</f>
        <v>#N/A</v>
      </c>
      <c r="Q196" s="4" t="e">
        <f>VLOOKUP(AJ188,'CIR Team Info'!$C$5:$E$44,3,FALSE)</f>
        <v>#N/A</v>
      </c>
      <c r="R196" s="10" t="e">
        <f>VLOOKUP(AJ188,'FRC Site Data'!$B$3:$L$42,2,FALSE)</f>
        <v>#N/A</v>
      </c>
      <c r="S196" s="10" t="e">
        <f>VLOOKUP(AJ188,'FRC Site Data'!$B$3:$L$42,3,FALSE)</f>
        <v>#N/A</v>
      </c>
      <c r="T196" s="10" t="e">
        <f>VLOOKUP(AJ188,'FRC Site Data'!$B$3:$L$42,4,FALSE)</f>
        <v>#N/A</v>
      </c>
      <c r="U196" s="10" t="e">
        <f>VLOOKUP(AJ188,'FRC Site Data'!$B$3:$L$42,5,FALSE)</f>
        <v>#N/A</v>
      </c>
      <c r="V196" s="10" t="e">
        <f>VLOOKUP(AJ188,'FRC Site Data'!$B$3:$L$42,6,FALSE)</f>
        <v>#N/A</v>
      </c>
      <c r="W196" s="10" t="e">
        <f>VLOOKUP(AJ188,'FRC Site Data'!$B$3:$L$42,8,FALSE)</f>
        <v>#N/A</v>
      </c>
      <c r="X196" s="10" t="e">
        <f>VLOOKUP(AJ188,'FRC Site Data'!$B$3:$L$42,9,FALSE)</f>
        <v>#N/A</v>
      </c>
      <c r="Y196" s="10" t="e">
        <f>VLOOKUP(AJ188,'FRC Site Data'!$B$3:$L$42,10,FALSE)</f>
        <v>#N/A</v>
      </c>
      <c r="Z196" s="10" t="e">
        <f>VLOOKUP(AJ188,'FRC Site Data'!$B$3:$L$42,11,FALSE)</f>
        <v>#N/A</v>
      </c>
      <c r="AA196" s="10" t="e">
        <f>VLOOKUP(AJ188,'CIR Team Info'!$C$5:$E$44,4,FALSE)</f>
        <v>#N/A</v>
      </c>
      <c r="AB196" s="161" t="b">
        <f>ISNUMBER(VLOOKUP(AJ188,Match!$T$5:$T$10,1,FALSE))</f>
        <v>0</v>
      </c>
      <c r="AC196" s="161" t="b">
        <f>IF(AB196=TRUE,(VLOOKUP($AJ188,Match!$T$5:$U$10,2,FALSE)))</f>
        <v>0</v>
      </c>
      <c r="AD196" s="8">
        <v>3</v>
      </c>
      <c r="AE196" s="8">
        <v>2</v>
      </c>
      <c r="AF196" s="8">
        <v>2</v>
      </c>
      <c r="AG196" s="8">
        <v>1</v>
      </c>
      <c r="AH196" s="8" t="str">
        <f t="shared" si="55"/>
        <v/>
      </c>
      <c r="BA196" s="24"/>
      <c r="BC196" s="12"/>
      <c r="BS196" s="127"/>
    </row>
    <row r="197" spans="1:71" x14ac:dyDescent="0.25">
      <c r="A197" s="29">
        <f t="shared" si="57"/>
        <v>0</v>
      </c>
      <c r="B197" s="29">
        <f t="shared" si="50"/>
        <v>0</v>
      </c>
      <c r="C197" s="29">
        <f t="shared" si="51"/>
        <v>0</v>
      </c>
      <c r="D197" s="29">
        <f t="shared" si="52"/>
        <v>0</v>
      </c>
      <c r="E197" s="29">
        <f t="shared" si="58"/>
        <v>0</v>
      </c>
      <c r="F197" s="29">
        <f t="shared" si="59"/>
        <v>0</v>
      </c>
      <c r="G197" s="29" t="str">
        <f t="shared" si="60"/>
        <v>offensive</v>
      </c>
      <c r="H197" s="16">
        <f t="shared" ref="H197:H228" si="64">IF((AO189+AP189)=0,0,AO189/(AO189+AP189))</f>
        <v>0</v>
      </c>
      <c r="I197" s="16">
        <f t="shared" ref="I197:I228" si="65">IF((AV189+AW189)=0,0,AV189/(AV189+AW189))</f>
        <v>0</v>
      </c>
      <c r="J197" s="16">
        <f t="shared" si="53"/>
        <v>0</v>
      </c>
      <c r="K197" s="16">
        <f t="shared" si="61"/>
        <v>0</v>
      </c>
      <c r="L197" s="67">
        <f t="shared" si="62"/>
        <v>0</v>
      </c>
      <c r="M197" s="4">
        <f t="shared" si="54"/>
        <v>0</v>
      </c>
      <c r="N197" s="4">
        <f t="shared" si="56"/>
        <v>0</v>
      </c>
      <c r="O197" s="4">
        <f t="shared" si="63"/>
        <v>0</v>
      </c>
      <c r="P197" s="4" t="e">
        <f>VLOOKUP(AJ189,'CIR Team Info'!$C$5:$E$44,2,FALSE)</f>
        <v>#N/A</v>
      </c>
      <c r="Q197" s="4" t="e">
        <f>VLOOKUP(AJ189,'CIR Team Info'!$C$5:$E$44,3,FALSE)</f>
        <v>#N/A</v>
      </c>
      <c r="R197" s="10" t="e">
        <f>VLOOKUP(AJ189,'FRC Site Data'!$B$3:$L$42,2,FALSE)</f>
        <v>#N/A</v>
      </c>
      <c r="S197" s="10" t="e">
        <f>VLOOKUP(AJ189,'FRC Site Data'!$B$3:$L$42,3,FALSE)</f>
        <v>#N/A</v>
      </c>
      <c r="T197" s="10" t="e">
        <f>VLOOKUP(AJ189,'FRC Site Data'!$B$3:$L$42,4,FALSE)</f>
        <v>#N/A</v>
      </c>
      <c r="U197" s="10" t="e">
        <f>VLOOKUP(AJ189,'FRC Site Data'!$B$3:$L$42,5,FALSE)</f>
        <v>#N/A</v>
      </c>
      <c r="V197" s="10" t="e">
        <f>VLOOKUP(AJ189,'FRC Site Data'!$B$3:$L$42,6,FALSE)</f>
        <v>#N/A</v>
      </c>
      <c r="W197" s="10" t="e">
        <f>VLOOKUP(AJ189,'FRC Site Data'!$B$3:$L$42,8,FALSE)</f>
        <v>#N/A</v>
      </c>
      <c r="X197" s="10" t="e">
        <f>VLOOKUP(AJ189,'FRC Site Data'!$B$3:$L$42,9,FALSE)</f>
        <v>#N/A</v>
      </c>
      <c r="Y197" s="10" t="e">
        <f>VLOOKUP(AJ189,'FRC Site Data'!$B$3:$L$42,10,FALSE)</f>
        <v>#N/A</v>
      </c>
      <c r="Z197" s="10" t="e">
        <f>VLOOKUP(AJ189,'FRC Site Data'!$B$3:$L$42,11,FALSE)</f>
        <v>#N/A</v>
      </c>
      <c r="AA197" s="10" t="e">
        <f>VLOOKUP(AJ189,'CIR Team Info'!$C$5:$E$44,4,FALSE)</f>
        <v>#N/A</v>
      </c>
      <c r="AB197" s="161" t="b">
        <f>ISNUMBER(VLOOKUP(AJ189,Match!$T$5:$T$10,1,FALSE))</f>
        <v>0</v>
      </c>
      <c r="AC197" s="161" t="b">
        <f>IF(AB197=TRUE,(VLOOKUP($AJ189,Match!$T$5:$U$10,2,FALSE)))</f>
        <v>0</v>
      </c>
      <c r="AD197" s="8">
        <v>3</v>
      </c>
      <c r="AE197" s="8">
        <v>2</v>
      </c>
      <c r="AF197" s="8">
        <v>2</v>
      </c>
      <c r="AG197" s="8">
        <v>1</v>
      </c>
      <c r="AH197" s="8" t="str">
        <f t="shared" si="55"/>
        <v/>
      </c>
      <c r="BA197" s="24"/>
      <c r="BC197" s="12"/>
      <c r="BS197" s="127"/>
    </row>
    <row r="198" spans="1:71" x14ac:dyDescent="0.25">
      <c r="A198" s="29">
        <f t="shared" si="57"/>
        <v>0</v>
      </c>
      <c r="B198" s="29">
        <f t="shared" ref="B198:B261" si="66">H198*AD198*AO190</f>
        <v>0</v>
      </c>
      <c r="C198" s="29">
        <f t="shared" ref="C198:C261" si="67">I198*AE198*AV190</f>
        <v>0</v>
      </c>
      <c r="D198" s="29">
        <f t="shared" ref="D198:D261" si="68">J198*AF198*BF190</f>
        <v>0</v>
      </c>
      <c r="E198" s="29">
        <f t="shared" si="58"/>
        <v>0</v>
      </c>
      <c r="F198" s="29">
        <f t="shared" si="59"/>
        <v>0</v>
      </c>
      <c r="G198" s="29" t="str">
        <f t="shared" si="60"/>
        <v>offensive</v>
      </c>
      <c r="H198" s="16">
        <f t="shared" si="64"/>
        <v>0</v>
      </c>
      <c r="I198" s="16">
        <f t="shared" si="65"/>
        <v>0</v>
      </c>
      <c r="J198" s="16">
        <f t="shared" ref="J198:J261" si="69">IF(L198=0,0,BG190/L198)</f>
        <v>0</v>
      </c>
      <c r="K198" s="16">
        <f t="shared" si="61"/>
        <v>0</v>
      </c>
      <c r="L198" s="67">
        <f t="shared" si="62"/>
        <v>0</v>
      </c>
      <c r="M198" s="4">
        <f t="shared" ref="M198:M261" si="70">AO190+AV190+BD190+O198</f>
        <v>0</v>
      </c>
      <c r="N198" s="4">
        <f t="shared" si="56"/>
        <v>0</v>
      </c>
      <c r="O198" s="4">
        <f t="shared" si="63"/>
        <v>0</v>
      </c>
      <c r="P198" s="4" t="e">
        <f>VLOOKUP(AJ190,'CIR Team Info'!$C$5:$E$44,2,FALSE)</f>
        <v>#N/A</v>
      </c>
      <c r="Q198" s="4" t="e">
        <f>VLOOKUP(AJ190,'CIR Team Info'!$C$5:$E$44,3,FALSE)</f>
        <v>#N/A</v>
      </c>
      <c r="R198" s="10" t="e">
        <f>VLOOKUP(AJ190,'FRC Site Data'!$B$3:$L$42,2,FALSE)</f>
        <v>#N/A</v>
      </c>
      <c r="S198" s="10" t="e">
        <f>VLOOKUP(AJ190,'FRC Site Data'!$B$3:$L$42,3,FALSE)</f>
        <v>#N/A</v>
      </c>
      <c r="T198" s="10" t="e">
        <f>VLOOKUP(AJ190,'FRC Site Data'!$B$3:$L$42,4,FALSE)</f>
        <v>#N/A</v>
      </c>
      <c r="U198" s="10" t="e">
        <f>VLOOKUP(AJ190,'FRC Site Data'!$B$3:$L$42,5,FALSE)</f>
        <v>#N/A</v>
      </c>
      <c r="V198" s="10" t="e">
        <f>VLOOKUP(AJ190,'FRC Site Data'!$B$3:$L$42,6,FALSE)</f>
        <v>#N/A</v>
      </c>
      <c r="W198" s="10" t="e">
        <f>VLOOKUP(AJ190,'FRC Site Data'!$B$3:$L$42,8,FALSE)</f>
        <v>#N/A</v>
      </c>
      <c r="X198" s="10" t="e">
        <f>VLOOKUP(AJ190,'FRC Site Data'!$B$3:$L$42,9,FALSE)</f>
        <v>#N/A</v>
      </c>
      <c r="Y198" s="10" t="e">
        <f>VLOOKUP(AJ190,'FRC Site Data'!$B$3:$L$42,10,FALSE)</f>
        <v>#N/A</v>
      </c>
      <c r="Z198" s="10" t="e">
        <f>VLOOKUP(AJ190,'FRC Site Data'!$B$3:$L$42,11,FALSE)</f>
        <v>#N/A</v>
      </c>
      <c r="AA198" s="10" t="e">
        <f>VLOOKUP(AJ190,'CIR Team Info'!$C$5:$E$44,4,FALSE)</f>
        <v>#N/A</v>
      </c>
      <c r="AB198" s="161" t="b">
        <f>ISNUMBER(VLOOKUP(AJ190,Match!$T$5:$T$10,1,FALSE))</f>
        <v>0</v>
      </c>
      <c r="AC198" s="161" t="b">
        <f>IF(AB198=TRUE,(VLOOKUP($AJ190,Match!$T$5:$U$10,2,FALSE)))</f>
        <v>0</v>
      </c>
      <c r="AD198" s="8">
        <v>3</v>
      </c>
      <c r="AE198" s="8">
        <v>2</v>
      </c>
      <c r="AF198" s="8">
        <v>2</v>
      </c>
      <c r="AG198" s="8">
        <v>1</v>
      </c>
      <c r="AH198" s="8" t="str">
        <f t="shared" si="55"/>
        <v/>
      </c>
      <c r="BA198" s="24"/>
      <c r="BC198" s="12"/>
      <c r="BS198" s="127"/>
    </row>
    <row r="199" spans="1:71" x14ac:dyDescent="0.25">
      <c r="A199" s="29">
        <f t="shared" si="57"/>
        <v>0</v>
      </c>
      <c r="B199" s="29">
        <f t="shared" si="66"/>
        <v>0</v>
      </c>
      <c r="C199" s="29">
        <f t="shared" si="67"/>
        <v>0</v>
      </c>
      <c r="D199" s="29">
        <f t="shared" si="68"/>
        <v>0</v>
      </c>
      <c r="E199" s="29">
        <f t="shared" si="58"/>
        <v>0</v>
      </c>
      <c r="F199" s="29">
        <f t="shared" si="59"/>
        <v>0</v>
      </c>
      <c r="G199" s="29" t="str">
        <f t="shared" si="60"/>
        <v>offensive</v>
      </c>
      <c r="H199" s="16">
        <f t="shared" si="64"/>
        <v>0</v>
      </c>
      <c r="I199" s="16">
        <f t="shared" si="65"/>
        <v>0</v>
      </c>
      <c r="J199" s="16">
        <f t="shared" si="69"/>
        <v>0</v>
      </c>
      <c r="K199" s="16">
        <f t="shared" si="61"/>
        <v>0</v>
      </c>
      <c r="L199" s="67">
        <f t="shared" si="62"/>
        <v>0</v>
      </c>
      <c r="M199" s="4">
        <f t="shared" si="70"/>
        <v>0</v>
      </c>
      <c r="N199" s="4">
        <f t="shared" si="56"/>
        <v>0</v>
      </c>
      <c r="O199" s="4">
        <f t="shared" si="63"/>
        <v>0</v>
      </c>
      <c r="P199" s="4" t="e">
        <f>VLOOKUP(AJ191,'CIR Team Info'!$C$5:$E$44,2,FALSE)</f>
        <v>#N/A</v>
      </c>
      <c r="Q199" s="4" t="e">
        <f>VLOOKUP(AJ191,'CIR Team Info'!$C$5:$E$44,3,FALSE)</f>
        <v>#N/A</v>
      </c>
      <c r="R199" s="10" t="e">
        <f>VLOOKUP(AJ191,'FRC Site Data'!$B$3:$L$42,2,FALSE)</f>
        <v>#N/A</v>
      </c>
      <c r="S199" s="10" t="e">
        <f>VLOOKUP(AJ191,'FRC Site Data'!$B$3:$L$42,3,FALSE)</f>
        <v>#N/A</v>
      </c>
      <c r="T199" s="10" t="e">
        <f>VLOOKUP(AJ191,'FRC Site Data'!$B$3:$L$42,4,FALSE)</f>
        <v>#N/A</v>
      </c>
      <c r="U199" s="10" t="e">
        <f>VLOOKUP(AJ191,'FRC Site Data'!$B$3:$L$42,5,FALSE)</f>
        <v>#N/A</v>
      </c>
      <c r="V199" s="10" t="e">
        <f>VLOOKUP(AJ191,'FRC Site Data'!$B$3:$L$42,6,FALSE)</f>
        <v>#N/A</v>
      </c>
      <c r="W199" s="10" t="e">
        <f>VLOOKUP(AJ191,'FRC Site Data'!$B$3:$L$42,8,FALSE)</f>
        <v>#N/A</v>
      </c>
      <c r="X199" s="10" t="e">
        <f>VLOOKUP(AJ191,'FRC Site Data'!$B$3:$L$42,9,FALSE)</f>
        <v>#N/A</v>
      </c>
      <c r="Y199" s="10" t="e">
        <f>VLOOKUP(AJ191,'FRC Site Data'!$B$3:$L$42,10,FALSE)</f>
        <v>#N/A</v>
      </c>
      <c r="Z199" s="10" t="e">
        <f>VLOOKUP(AJ191,'FRC Site Data'!$B$3:$L$42,11,FALSE)</f>
        <v>#N/A</v>
      </c>
      <c r="AA199" s="10" t="e">
        <f>VLOOKUP(AJ191,'CIR Team Info'!$C$5:$E$44,4,FALSE)</f>
        <v>#N/A</v>
      </c>
      <c r="AB199" s="161" t="b">
        <f>ISNUMBER(VLOOKUP(AJ191,Match!$T$5:$T$10,1,FALSE))</f>
        <v>0</v>
      </c>
      <c r="AC199" s="161" t="b">
        <f>IF(AB199=TRUE,(VLOOKUP($AJ191,Match!$T$5:$U$10,2,FALSE)))</f>
        <v>0</v>
      </c>
      <c r="AD199" s="8">
        <v>3</v>
      </c>
      <c r="AE199" s="8">
        <v>2</v>
      </c>
      <c r="AF199" s="8">
        <v>2</v>
      </c>
      <c r="AG199" s="8">
        <v>1</v>
      </c>
      <c r="AH199" s="8" t="str">
        <f t="shared" si="55"/>
        <v/>
      </c>
      <c r="BA199" s="24"/>
      <c r="BC199" s="12"/>
      <c r="BS199" s="127"/>
    </row>
    <row r="200" spans="1:71" x14ac:dyDescent="0.25">
      <c r="A200" s="29">
        <f t="shared" si="57"/>
        <v>0</v>
      </c>
      <c r="B200" s="29">
        <f t="shared" si="66"/>
        <v>0</v>
      </c>
      <c r="C200" s="29">
        <f t="shared" si="67"/>
        <v>0</v>
      </c>
      <c r="D200" s="29">
        <f t="shared" si="68"/>
        <v>0</v>
      </c>
      <c r="E200" s="29">
        <f t="shared" si="58"/>
        <v>0</v>
      </c>
      <c r="F200" s="29">
        <f t="shared" si="59"/>
        <v>0</v>
      </c>
      <c r="G200" s="29" t="str">
        <f t="shared" si="60"/>
        <v>offensive</v>
      </c>
      <c r="H200" s="16">
        <f t="shared" si="64"/>
        <v>0</v>
      </c>
      <c r="I200" s="16">
        <f t="shared" si="65"/>
        <v>0</v>
      </c>
      <c r="J200" s="16">
        <f t="shared" si="69"/>
        <v>0</v>
      </c>
      <c r="K200" s="16">
        <f t="shared" si="61"/>
        <v>0</v>
      </c>
      <c r="L200" s="67">
        <f t="shared" si="62"/>
        <v>0</v>
      </c>
      <c r="M200" s="4">
        <f t="shared" si="70"/>
        <v>0</v>
      </c>
      <c r="N200" s="4">
        <f t="shared" si="56"/>
        <v>0</v>
      </c>
      <c r="O200" s="4">
        <f t="shared" si="63"/>
        <v>0</v>
      </c>
      <c r="P200" s="4" t="e">
        <f>VLOOKUP(AJ192,'CIR Team Info'!$C$5:$E$44,2,FALSE)</f>
        <v>#N/A</v>
      </c>
      <c r="Q200" s="4" t="e">
        <f>VLOOKUP(AJ192,'CIR Team Info'!$C$5:$E$44,3,FALSE)</f>
        <v>#N/A</v>
      </c>
      <c r="R200" s="10" t="e">
        <f>VLOOKUP(AJ192,'FRC Site Data'!$B$3:$L$42,2,FALSE)</f>
        <v>#N/A</v>
      </c>
      <c r="S200" s="10" t="e">
        <f>VLOOKUP(AJ192,'FRC Site Data'!$B$3:$L$42,3,FALSE)</f>
        <v>#N/A</v>
      </c>
      <c r="T200" s="10" t="e">
        <f>VLOOKUP(AJ192,'FRC Site Data'!$B$3:$L$42,4,FALSE)</f>
        <v>#N/A</v>
      </c>
      <c r="U200" s="10" t="e">
        <f>VLOOKUP(AJ192,'FRC Site Data'!$B$3:$L$42,5,FALSE)</f>
        <v>#N/A</v>
      </c>
      <c r="V200" s="10" t="e">
        <f>VLOOKUP(AJ192,'FRC Site Data'!$B$3:$L$42,6,FALSE)</f>
        <v>#N/A</v>
      </c>
      <c r="W200" s="10" t="e">
        <f>VLOOKUP(AJ192,'FRC Site Data'!$B$3:$L$42,8,FALSE)</f>
        <v>#N/A</v>
      </c>
      <c r="X200" s="10" t="e">
        <f>VLOOKUP(AJ192,'FRC Site Data'!$B$3:$L$42,9,FALSE)</f>
        <v>#N/A</v>
      </c>
      <c r="Y200" s="10" t="e">
        <f>VLOOKUP(AJ192,'FRC Site Data'!$B$3:$L$42,10,FALSE)</f>
        <v>#N/A</v>
      </c>
      <c r="Z200" s="10" t="e">
        <f>VLOOKUP(AJ192,'FRC Site Data'!$B$3:$L$42,11,FALSE)</f>
        <v>#N/A</v>
      </c>
      <c r="AA200" s="10" t="e">
        <f>VLOOKUP(AJ192,'CIR Team Info'!$C$5:$E$44,4,FALSE)</f>
        <v>#N/A</v>
      </c>
      <c r="AB200" s="161" t="b">
        <f>ISNUMBER(VLOOKUP(AJ192,Match!$T$5:$T$10,1,FALSE))</f>
        <v>0</v>
      </c>
      <c r="AC200" s="161" t="b">
        <f>IF(AB200=TRUE,(VLOOKUP($AJ192,Match!$T$5:$U$10,2,FALSE)))</f>
        <v>0</v>
      </c>
      <c r="AD200" s="8">
        <v>3</v>
      </c>
      <c r="AE200" s="8">
        <v>2</v>
      </c>
      <c r="AF200" s="8">
        <v>2</v>
      </c>
      <c r="AG200" s="8">
        <v>1</v>
      </c>
      <c r="AH200" s="8" t="str">
        <f t="shared" si="55"/>
        <v/>
      </c>
      <c r="BA200" s="24"/>
      <c r="BC200" s="12"/>
      <c r="BS200" s="127"/>
    </row>
    <row r="201" spans="1:71" x14ac:dyDescent="0.25">
      <c r="A201" s="29">
        <f t="shared" si="57"/>
        <v>0</v>
      </c>
      <c r="B201" s="29">
        <f t="shared" si="66"/>
        <v>0</v>
      </c>
      <c r="C201" s="29">
        <f t="shared" si="67"/>
        <v>0</v>
      </c>
      <c r="D201" s="29">
        <f t="shared" si="68"/>
        <v>0</v>
      </c>
      <c r="E201" s="29">
        <f t="shared" si="58"/>
        <v>0</v>
      </c>
      <c r="F201" s="29">
        <f t="shared" si="59"/>
        <v>0</v>
      </c>
      <c r="G201" s="29" t="str">
        <f t="shared" si="60"/>
        <v>offensive</v>
      </c>
      <c r="H201" s="16">
        <f t="shared" si="64"/>
        <v>0</v>
      </c>
      <c r="I201" s="16">
        <f t="shared" si="65"/>
        <v>0</v>
      </c>
      <c r="J201" s="16">
        <f t="shared" si="69"/>
        <v>0</v>
      </c>
      <c r="K201" s="16">
        <f t="shared" si="61"/>
        <v>0</v>
      </c>
      <c r="L201" s="67">
        <f t="shared" si="62"/>
        <v>0</v>
      </c>
      <c r="M201" s="4">
        <f t="shared" si="70"/>
        <v>0</v>
      </c>
      <c r="N201" s="4">
        <f t="shared" si="56"/>
        <v>0</v>
      </c>
      <c r="O201" s="4">
        <f t="shared" si="63"/>
        <v>0</v>
      </c>
      <c r="P201" s="4" t="e">
        <f>VLOOKUP(AJ193,'CIR Team Info'!$C$5:$E$44,2,FALSE)</f>
        <v>#N/A</v>
      </c>
      <c r="Q201" s="4" t="e">
        <f>VLOOKUP(AJ193,'CIR Team Info'!$C$5:$E$44,3,FALSE)</f>
        <v>#N/A</v>
      </c>
      <c r="R201" s="10" t="e">
        <f>VLOOKUP(AJ193,'FRC Site Data'!$B$3:$L$42,2,FALSE)</f>
        <v>#N/A</v>
      </c>
      <c r="S201" s="10" t="e">
        <f>VLOOKUP(AJ193,'FRC Site Data'!$B$3:$L$42,3,FALSE)</f>
        <v>#N/A</v>
      </c>
      <c r="T201" s="10" t="e">
        <f>VLOOKUP(AJ193,'FRC Site Data'!$B$3:$L$42,4,FALSE)</f>
        <v>#N/A</v>
      </c>
      <c r="U201" s="10" t="e">
        <f>VLOOKUP(AJ193,'FRC Site Data'!$B$3:$L$42,5,FALSE)</f>
        <v>#N/A</v>
      </c>
      <c r="V201" s="10" t="e">
        <f>VLOOKUP(AJ193,'FRC Site Data'!$B$3:$L$42,6,FALSE)</f>
        <v>#N/A</v>
      </c>
      <c r="W201" s="10" t="e">
        <f>VLOOKUP(AJ193,'FRC Site Data'!$B$3:$L$42,8,FALSE)</f>
        <v>#N/A</v>
      </c>
      <c r="X201" s="10" t="e">
        <f>VLOOKUP(AJ193,'FRC Site Data'!$B$3:$L$42,9,FALSE)</f>
        <v>#N/A</v>
      </c>
      <c r="Y201" s="10" t="e">
        <f>VLOOKUP(AJ193,'FRC Site Data'!$B$3:$L$42,10,FALSE)</f>
        <v>#N/A</v>
      </c>
      <c r="Z201" s="10" t="e">
        <f>VLOOKUP(AJ193,'FRC Site Data'!$B$3:$L$42,11,FALSE)</f>
        <v>#N/A</v>
      </c>
      <c r="AA201" s="10" t="e">
        <f>VLOOKUP(AJ193,'CIR Team Info'!$C$5:$E$44,4,FALSE)</f>
        <v>#N/A</v>
      </c>
      <c r="AB201" s="161" t="b">
        <f>ISNUMBER(VLOOKUP(AJ193,Match!$T$5:$T$10,1,FALSE))</f>
        <v>0</v>
      </c>
      <c r="AC201" s="161" t="b">
        <f>IF(AB201=TRUE,(VLOOKUP($AJ193,Match!$T$5:$U$10,2,FALSE)))</f>
        <v>0</v>
      </c>
      <c r="AD201" s="8">
        <v>3</v>
      </c>
      <c r="AE201" s="8">
        <v>2</v>
      </c>
      <c r="AF201" s="8">
        <v>2</v>
      </c>
      <c r="AG201" s="8">
        <v>1</v>
      </c>
      <c r="AH201" s="8" t="str">
        <f t="shared" si="55"/>
        <v/>
      </c>
      <c r="BA201" s="24"/>
      <c r="BC201" s="12"/>
      <c r="BS201" s="127"/>
    </row>
    <row r="202" spans="1:71" x14ac:dyDescent="0.25">
      <c r="A202" s="29">
        <f t="shared" si="57"/>
        <v>0</v>
      </c>
      <c r="B202" s="29">
        <f t="shared" si="66"/>
        <v>0</v>
      </c>
      <c r="C202" s="29">
        <f t="shared" si="67"/>
        <v>0</v>
      </c>
      <c r="D202" s="29">
        <f t="shared" si="68"/>
        <v>0</v>
      </c>
      <c r="E202" s="29">
        <f t="shared" si="58"/>
        <v>0</v>
      </c>
      <c r="F202" s="29">
        <f t="shared" si="59"/>
        <v>0</v>
      </c>
      <c r="G202" s="29" t="str">
        <f t="shared" si="60"/>
        <v>offensive</v>
      </c>
      <c r="H202" s="16">
        <f t="shared" si="64"/>
        <v>0</v>
      </c>
      <c r="I202" s="16">
        <f t="shared" si="65"/>
        <v>0</v>
      </c>
      <c r="J202" s="16">
        <f t="shared" si="69"/>
        <v>0</v>
      </c>
      <c r="K202" s="16">
        <f t="shared" si="61"/>
        <v>0</v>
      </c>
      <c r="L202" s="67">
        <f t="shared" si="62"/>
        <v>0</v>
      </c>
      <c r="M202" s="4">
        <f t="shared" si="70"/>
        <v>0</v>
      </c>
      <c r="N202" s="4">
        <f t="shared" si="56"/>
        <v>0</v>
      </c>
      <c r="O202" s="4">
        <f t="shared" si="63"/>
        <v>0</v>
      </c>
      <c r="P202" s="4" t="e">
        <f>VLOOKUP(AJ194,'CIR Team Info'!$C$5:$E$44,2,FALSE)</f>
        <v>#N/A</v>
      </c>
      <c r="Q202" s="4" t="e">
        <f>VLOOKUP(AJ194,'CIR Team Info'!$C$5:$E$44,3,FALSE)</f>
        <v>#N/A</v>
      </c>
      <c r="R202" s="10" t="e">
        <f>VLOOKUP(AJ194,'FRC Site Data'!$B$3:$L$42,2,FALSE)</f>
        <v>#N/A</v>
      </c>
      <c r="S202" s="10" t="e">
        <f>VLOOKUP(AJ194,'FRC Site Data'!$B$3:$L$42,3,FALSE)</f>
        <v>#N/A</v>
      </c>
      <c r="T202" s="10" t="e">
        <f>VLOOKUP(AJ194,'FRC Site Data'!$B$3:$L$42,4,FALSE)</f>
        <v>#N/A</v>
      </c>
      <c r="U202" s="10" t="e">
        <f>VLOOKUP(AJ194,'FRC Site Data'!$B$3:$L$42,5,FALSE)</f>
        <v>#N/A</v>
      </c>
      <c r="V202" s="10" t="e">
        <f>VLOOKUP(AJ194,'FRC Site Data'!$B$3:$L$42,6,FALSE)</f>
        <v>#N/A</v>
      </c>
      <c r="W202" s="10" t="e">
        <f>VLOOKUP(AJ194,'FRC Site Data'!$B$3:$L$42,8,FALSE)</f>
        <v>#N/A</v>
      </c>
      <c r="X202" s="10" t="e">
        <f>VLOOKUP(AJ194,'FRC Site Data'!$B$3:$L$42,9,FALSE)</f>
        <v>#N/A</v>
      </c>
      <c r="Y202" s="10" t="e">
        <f>VLOOKUP(AJ194,'FRC Site Data'!$B$3:$L$42,10,FALSE)</f>
        <v>#N/A</v>
      </c>
      <c r="Z202" s="10" t="e">
        <f>VLOOKUP(AJ194,'FRC Site Data'!$B$3:$L$42,11,FALSE)</f>
        <v>#N/A</v>
      </c>
      <c r="AA202" s="10" t="e">
        <f>VLOOKUP(AJ194,'CIR Team Info'!$C$5:$E$44,4,FALSE)</f>
        <v>#N/A</v>
      </c>
      <c r="AB202" s="161" t="b">
        <f>ISNUMBER(VLOOKUP(AJ194,Match!$T$5:$T$10,1,FALSE))</f>
        <v>0</v>
      </c>
      <c r="AC202" s="161" t="b">
        <f>IF(AB202=TRUE,(VLOOKUP($AJ194,Match!$T$5:$U$10,2,FALSE)))</f>
        <v>0</v>
      </c>
      <c r="AD202" s="8">
        <v>3</v>
      </c>
      <c r="AE202" s="8">
        <v>2</v>
      </c>
      <c r="AF202" s="8">
        <v>2</v>
      </c>
      <c r="AG202" s="8">
        <v>1</v>
      </c>
      <c r="AH202" s="8" t="str">
        <f t="shared" si="55"/>
        <v/>
      </c>
      <c r="BA202" s="24"/>
      <c r="BC202" s="12"/>
      <c r="BS202" s="127"/>
    </row>
    <row r="203" spans="1:71" x14ac:dyDescent="0.25">
      <c r="A203" s="29">
        <f t="shared" si="57"/>
        <v>0</v>
      </c>
      <c r="B203" s="29">
        <f t="shared" si="66"/>
        <v>0</v>
      </c>
      <c r="C203" s="29">
        <f t="shared" si="67"/>
        <v>0</v>
      </c>
      <c r="D203" s="29">
        <f t="shared" si="68"/>
        <v>0</v>
      </c>
      <c r="E203" s="29">
        <f t="shared" si="58"/>
        <v>0</v>
      </c>
      <c r="F203" s="29">
        <f t="shared" si="59"/>
        <v>0</v>
      </c>
      <c r="G203" s="29" t="str">
        <f t="shared" si="60"/>
        <v>offensive</v>
      </c>
      <c r="H203" s="16">
        <f t="shared" si="64"/>
        <v>0</v>
      </c>
      <c r="I203" s="16">
        <f t="shared" si="65"/>
        <v>0</v>
      </c>
      <c r="J203" s="16">
        <f t="shared" si="69"/>
        <v>0</v>
      </c>
      <c r="K203" s="16">
        <f t="shared" si="61"/>
        <v>0</v>
      </c>
      <c r="L203" s="67">
        <f t="shared" si="62"/>
        <v>0</v>
      </c>
      <c r="M203" s="4">
        <f t="shared" si="70"/>
        <v>0</v>
      </c>
      <c r="N203" s="4">
        <f t="shared" si="56"/>
        <v>0</v>
      </c>
      <c r="O203" s="4">
        <f t="shared" si="63"/>
        <v>0</v>
      </c>
      <c r="P203" s="4" t="e">
        <f>VLOOKUP(AJ195,'CIR Team Info'!$C$5:$E$44,2,FALSE)</f>
        <v>#N/A</v>
      </c>
      <c r="Q203" s="4" t="e">
        <f>VLOOKUP(AJ195,'CIR Team Info'!$C$5:$E$44,3,FALSE)</f>
        <v>#N/A</v>
      </c>
      <c r="R203" s="10" t="e">
        <f>VLOOKUP(AJ195,'FRC Site Data'!$B$3:$L$42,2,FALSE)</f>
        <v>#N/A</v>
      </c>
      <c r="S203" s="10" t="e">
        <f>VLOOKUP(AJ195,'FRC Site Data'!$B$3:$L$42,3,FALSE)</f>
        <v>#N/A</v>
      </c>
      <c r="T203" s="10" t="e">
        <f>VLOOKUP(AJ195,'FRC Site Data'!$B$3:$L$42,4,FALSE)</f>
        <v>#N/A</v>
      </c>
      <c r="U203" s="10" t="e">
        <f>VLOOKUP(AJ195,'FRC Site Data'!$B$3:$L$42,5,FALSE)</f>
        <v>#N/A</v>
      </c>
      <c r="V203" s="10" t="e">
        <f>VLOOKUP(AJ195,'FRC Site Data'!$B$3:$L$42,6,FALSE)</f>
        <v>#N/A</v>
      </c>
      <c r="W203" s="10" t="e">
        <f>VLOOKUP(AJ195,'FRC Site Data'!$B$3:$L$42,8,FALSE)</f>
        <v>#N/A</v>
      </c>
      <c r="X203" s="10" t="e">
        <f>VLOOKUP(AJ195,'FRC Site Data'!$B$3:$L$42,9,FALSE)</f>
        <v>#N/A</v>
      </c>
      <c r="Y203" s="10" t="e">
        <f>VLOOKUP(AJ195,'FRC Site Data'!$B$3:$L$42,10,FALSE)</f>
        <v>#N/A</v>
      </c>
      <c r="Z203" s="10" t="e">
        <f>VLOOKUP(AJ195,'FRC Site Data'!$B$3:$L$42,11,FALSE)</f>
        <v>#N/A</v>
      </c>
      <c r="AA203" s="10" t="e">
        <f>VLOOKUP(AJ195,'CIR Team Info'!$C$5:$E$44,4,FALSE)</f>
        <v>#N/A</v>
      </c>
      <c r="AB203" s="161" t="b">
        <f>ISNUMBER(VLOOKUP(AJ195,Match!$T$5:$T$10,1,FALSE))</f>
        <v>0</v>
      </c>
      <c r="AC203" s="161" t="b">
        <f>IF(AB203=TRUE,(VLOOKUP($AJ195,Match!$T$5:$U$10,2,FALSE)))</f>
        <v>0</v>
      </c>
      <c r="AD203" s="8">
        <v>3</v>
      </c>
      <c r="AE203" s="8">
        <v>2</v>
      </c>
      <c r="AF203" s="8">
        <v>2</v>
      </c>
      <c r="AG203" s="8">
        <v>1</v>
      </c>
      <c r="AH203" s="8" t="str">
        <f t="shared" si="55"/>
        <v/>
      </c>
      <c r="BA203" s="24"/>
      <c r="BC203" s="12"/>
      <c r="BS203" s="127"/>
    </row>
    <row r="204" spans="1:71" x14ac:dyDescent="0.25">
      <c r="A204" s="29">
        <f t="shared" si="57"/>
        <v>0</v>
      </c>
      <c r="B204" s="29">
        <f t="shared" si="66"/>
        <v>0</v>
      </c>
      <c r="C204" s="29">
        <f t="shared" si="67"/>
        <v>0</v>
      </c>
      <c r="D204" s="29">
        <f t="shared" si="68"/>
        <v>0</v>
      </c>
      <c r="E204" s="29">
        <f t="shared" si="58"/>
        <v>0</v>
      </c>
      <c r="F204" s="29">
        <f t="shared" si="59"/>
        <v>0</v>
      </c>
      <c r="G204" s="29" t="str">
        <f t="shared" si="60"/>
        <v>offensive</v>
      </c>
      <c r="H204" s="16">
        <f t="shared" si="64"/>
        <v>0</v>
      </c>
      <c r="I204" s="16">
        <f t="shared" si="65"/>
        <v>0</v>
      </c>
      <c r="J204" s="16">
        <f t="shared" si="69"/>
        <v>0</v>
      </c>
      <c r="K204" s="16">
        <f t="shared" si="61"/>
        <v>0</v>
      </c>
      <c r="L204" s="67">
        <f t="shared" si="62"/>
        <v>0</v>
      </c>
      <c r="M204" s="4">
        <f t="shared" si="70"/>
        <v>0</v>
      </c>
      <c r="N204" s="4">
        <f t="shared" si="56"/>
        <v>0</v>
      </c>
      <c r="O204" s="4">
        <f t="shared" si="63"/>
        <v>0</v>
      </c>
      <c r="P204" s="4" t="e">
        <f>VLOOKUP(AJ196,'CIR Team Info'!$C$5:$E$44,2,FALSE)</f>
        <v>#N/A</v>
      </c>
      <c r="Q204" s="4" t="e">
        <f>VLOOKUP(AJ196,'CIR Team Info'!$C$5:$E$44,3,FALSE)</f>
        <v>#N/A</v>
      </c>
      <c r="R204" s="10" t="e">
        <f>VLOOKUP(AJ196,'FRC Site Data'!$B$3:$L$42,2,FALSE)</f>
        <v>#N/A</v>
      </c>
      <c r="S204" s="10" t="e">
        <f>VLOOKUP(AJ196,'FRC Site Data'!$B$3:$L$42,3,FALSE)</f>
        <v>#N/A</v>
      </c>
      <c r="T204" s="10" t="e">
        <f>VLOOKUP(AJ196,'FRC Site Data'!$B$3:$L$42,4,FALSE)</f>
        <v>#N/A</v>
      </c>
      <c r="U204" s="10" t="e">
        <f>VLOOKUP(AJ196,'FRC Site Data'!$B$3:$L$42,5,FALSE)</f>
        <v>#N/A</v>
      </c>
      <c r="V204" s="10" t="e">
        <f>VLOOKUP(AJ196,'FRC Site Data'!$B$3:$L$42,6,FALSE)</f>
        <v>#N/A</v>
      </c>
      <c r="W204" s="10" t="e">
        <f>VLOOKUP(AJ196,'FRC Site Data'!$B$3:$L$42,8,FALSE)</f>
        <v>#N/A</v>
      </c>
      <c r="X204" s="10" t="e">
        <f>VLOOKUP(AJ196,'FRC Site Data'!$B$3:$L$42,9,FALSE)</f>
        <v>#N/A</v>
      </c>
      <c r="Y204" s="10" t="e">
        <f>VLOOKUP(AJ196,'FRC Site Data'!$B$3:$L$42,10,FALSE)</f>
        <v>#N/A</v>
      </c>
      <c r="Z204" s="10" t="e">
        <f>VLOOKUP(AJ196,'FRC Site Data'!$B$3:$L$42,11,FALSE)</f>
        <v>#N/A</v>
      </c>
      <c r="AA204" s="10" t="e">
        <f>VLOOKUP(AJ196,'CIR Team Info'!$C$5:$E$44,4,FALSE)</f>
        <v>#N/A</v>
      </c>
      <c r="AB204" s="161" t="b">
        <f>ISNUMBER(VLOOKUP(AJ196,Match!$T$5:$T$10,1,FALSE))</f>
        <v>0</v>
      </c>
      <c r="AC204" s="161" t="b">
        <f>IF(AB204=TRUE,(VLOOKUP($AJ196,Match!$T$5:$U$10,2,FALSE)))</f>
        <v>0</v>
      </c>
      <c r="AD204" s="8">
        <v>3</v>
      </c>
      <c r="AE204" s="8">
        <v>2</v>
      </c>
      <c r="AF204" s="8">
        <v>2</v>
      </c>
      <c r="AG204" s="8">
        <v>1</v>
      </c>
      <c r="AH204" s="8" t="str">
        <f t="shared" si="55"/>
        <v/>
      </c>
      <c r="AI204" s="12"/>
      <c r="AZ204" s="12"/>
      <c r="BC204" s="12"/>
      <c r="BS204" s="127"/>
    </row>
    <row r="205" spans="1:71" x14ac:dyDescent="0.25">
      <c r="A205" s="29">
        <f t="shared" si="57"/>
        <v>0</v>
      </c>
      <c r="B205" s="29">
        <f t="shared" si="66"/>
        <v>0</v>
      </c>
      <c r="C205" s="29">
        <f t="shared" si="67"/>
        <v>0</v>
      </c>
      <c r="D205" s="29">
        <f t="shared" si="68"/>
        <v>0</v>
      </c>
      <c r="E205" s="29">
        <f t="shared" si="58"/>
        <v>0</v>
      </c>
      <c r="F205" s="29">
        <f t="shared" si="59"/>
        <v>0</v>
      </c>
      <c r="G205" s="29" t="str">
        <f t="shared" si="60"/>
        <v>offensive</v>
      </c>
      <c r="H205" s="16">
        <f t="shared" si="64"/>
        <v>0</v>
      </c>
      <c r="I205" s="16">
        <f t="shared" si="65"/>
        <v>0</v>
      </c>
      <c r="J205" s="16">
        <f t="shared" si="69"/>
        <v>0</v>
      </c>
      <c r="K205" s="16">
        <f t="shared" si="61"/>
        <v>0</v>
      </c>
      <c r="L205" s="67">
        <f t="shared" si="62"/>
        <v>0</v>
      </c>
      <c r="M205" s="4">
        <f t="shared" si="70"/>
        <v>0</v>
      </c>
      <c r="N205" s="4">
        <f t="shared" si="56"/>
        <v>0</v>
      </c>
      <c r="O205" s="4">
        <f t="shared" si="63"/>
        <v>0</v>
      </c>
      <c r="P205" s="4" t="e">
        <f>VLOOKUP(AJ197,'CIR Team Info'!$C$5:$E$44,2,FALSE)</f>
        <v>#N/A</v>
      </c>
      <c r="Q205" s="4" t="e">
        <f>VLOOKUP(AJ197,'CIR Team Info'!$C$5:$E$44,3,FALSE)</f>
        <v>#N/A</v>
      </c>
      <c r="R205" s="10" t="e">
        <f>VLOOKUP(AJ197,'FRC Site Data'!$B$3:$L$42,2,FALSE)</f>
        <v>#N/A</v>
      </c>
      <c r="S205" s="10" t="e">
        <f>VLOOKUP(AJ197,'FRC Site Data'!$B$3:$L$42,3,FALSE)</f>
        <v>#N/A</v>
      </c>
      <c r="T205" s="10" t="e">
        <f>VLOOKUP(AJ197,'FRC Site Data'!$B$3:$L$42,4,FALSE)</f>
        <v>#N/A</v>
      </c>
      <c r="U205" s="10" t="e">
        <f>VLOOKUP(AJ197,'FRC Site Data'!$B$3:$L$42,5,FALSE)</f>
        <v>#N/A</v>
      </c>
      <c r="V205" s="10" t="e">
        <f>VLOOKUP(AJ197,'FRC Site Data'!$B$3:$L$42,6,FALSE)</f>
        <v>#N/A</v>
      </c>
      <c r="W205" s="10" t="e">
        <f>VLOOKUP(AJ197,'FRC Site Data'!$B$3:$L$42,8,FALSE)</f>
        <v>#N/A</v>
      </c>
      <c r="X205" s="10" t="e">
        <f>VLOOKUP(AJ197,'FRC Site Data'!$B$3:$L$42,9,FALSE)</f>
        <v>#N/A</v>
      </c>
      <c r="Y205" s="10" t="e">
        <f>VLOOKUP(AJ197,'FRC Site Data'!$B$3:$L$42,10,FALSE)</f>
        <v>#N/A</v>
      </c>
      <c r="Z205" s="10" t="e">
        <f>VLOOKUP(AJ197,'FRC Site Data'!$B$3:$L$42,11,FALSE)</f>
        <v>#N/A</v>
      </c>
      <c r="AA205" s="10" t="e">
        <f>VLOOKUP(AJ197,'CIR Team Info'!$C$5:$E$44,4,FALSE)</f>
        <v>#N/A</v>
      </c>
      <c r="AB205" s="161" t="b">
        <f>ISNUMBER(VLOOKUP(AJ197,Match!$T$5:$T$10,1,FALSE))</f>
        <v>0</v>
      </c>
      <c r="AC205" s="161" t="b">
        <f>IF(AB205=TRUE,(VLOOKUP($AJ197,Match!$T$5:$U$10,2,FALSE)))</f>
        <v>0</v>
      </c>
      <c r="AD205" s="8">
        <v>3</v>
      </c>
      <c r="AE205" s="8">
        <v>2</v>
      </c>
      <c r="AF205" s="8">
        <v>2</v>
      </c>
      <c r="AG205" s="8">
        <v>1</v>
      </c>
      <c r="AH205" s="8" t="str">
        <f t="shared" si="55"/>
        <v/>
      </c>
      <c r="AI205" s="12"/>
      <c r="AZ205" s="12"/>
      <c r="BC205" s="12"/>
      <c r="BS205" s="127"/>
    </row>
    <row r="206" spans="1:71" x14ac:dyDescent="0.25">
      <c r="A206" s="29">
        <f t="shared" si="57"/>
        <v>0</v>
      </c>
      <c r="B206" s="29">
        <f t="shared" si="66"/>
        <v>0</v>
      </c>
      <c r="C206" s="29">
        <f t="shared" si="67"/>
        <v>0</v>
      </c>
      <c r="D206" s="29">
        <f t="shared" si="68"/>
        <v>0</v>
      </c>
      <c r="E206" s="29">
        <f t="shared" si="58"/>
        <v>0</v>
      </c>
      <c r="F206" s="29">
        <f t="shared" si="59"/>
        <v>0</v>
      </c>
      <c r="G206" s="29" t="str">
        <f t="shared" si="60"/>
        <v>offensive</v>
      </c>
      <c r="H206" s="16">
        <f t="shared" si="64"/>
        <v>0</v>
      </c>
      <c r="I206" s="16">
        <f t="shared" si="65"/>
        <v>0</v>
      </c>
      <c r="J206" s="16">
        <f t="shared" si="69"/>
        <v>0</v>
      </c>
      <c r="K206" s="16">
        <f t="shared" si="61"/>
        <v>0</v>
      </c>
      <c r="L206" s="67">
        <f t="shared" si="62"/>
        <v>0</v>
      </c>
      <c r="M206" s="4">
        <f t="shared" si="70"/>
        <v>0</v>
      </c>
      <c r="N206" s="4">
        <f t="shared" si="56"/>
        <v>0</v>
      </c>
      <c r="O206" s="4">
        <f t="shared" si="63"/>
        <v>0</v>
      </c>
      <c r="P206" s="4" t="e">
        <f>VLOOKUP(AJ198,'CIR Team Info'!$C$5:$E$44,2,FALSE)</f>
        <v>#N/A</v>
      </c>
      <c r="Q206" s="4" t="e">
        <f>VLOOKUP(AJ198,'CIR Team Info'!$C$5:$E$44,3,FALSE)</f>
        <v>#N/A</v>
      </c>
      <c r="R206" s="10" t="e">
        <f>VLOOKUP(AJ198,'FRC Site Data'!$B$3:$L$42,2,FALSE)</f>
        <v>#N/A</v>
      </c>
      <c r="S206" s="10" t="e">
        <f>VLOOKUP(AJ198,'FRC Site Data'!$B$3:$L$42,3,FALSE)</f>
        <v>#N/A</v>
      </c>
      <c r="T206" s="10" t="e">
        <f>VLOOKUP(AJ198,'FRC Site Data'!$B$3:$L$42,4,FALSE)</f>
        <v>#N/A</v>
      </c>
      <c r="U206" s="10" t="e">
        <f>VLOOKUP(AJ198,'FRC Site Data'!$B$3:$L$42,5,FALSE)</f>
        <v>#N/A</v>
      </c>
      <c r="V206" s="10" t="e">
        <f>VLOOKUP(AJ198,'FRC Site Data'!$B$3:$L$42,6,FALSE)</f>
        <v>#N/A</v>
      </c>
      <c r="W206" s="10" t="e">
        <f>VLOOKUP(AJ198,'FRC Site Data'!$B$3:$L$42,8,FALSE)</f>
        <v>#N/A</v>
      </c>
      <c r="X206" s="10" t="e">
        <f>VLOOKUP(AJ198,'FRC Site Data'!$B$3:$L$42,9,FALSE)</f>
        <v>#N/A</v>
      </c>
      <c r="Y206" s="10" t="e">
        <f>VLOOKUP(AJ198,'FRC Site Data'!$B$3:$L$42,10,FALSE)</f>
        <v>#N/A</v>
      </c>
      <c r="Z206" s="10" t="e">
        <f>VLOOKUP(AJ198,'FRC Site Data'!$B$3:$L$42,11,FALSE)</f>
        <v>#N/A</v>
      </c>
      <c r="AA206" s="10" t="e">
        <f>VLOOKUP(AJ198,'CIR Team Info'!$C$5:$E$44,4,FALSE)</f>
        <v>#N/A</v>
      </c>
      <c r="AB206" s="161" t="b">
        <f>ISNUMBER(VLOOKUP(AJ198,Match!$T$5:$T$10,1,FALSE))</f>
        <v>0</v>
      </c>
      <c r="AC206" s="161" t="b">
        <f>IF(AB206=TRUE,(VLOOKUP($AJ198,Match!$T$5:$U$10,2,FALSE)))</f>
        <v>0</v>
      </c>
      <c r="AD206" s="8">
        <v>3</v>
      </c>
      <c r="AE206" s="8">
        <v>2</v>
      </c>
      <c r="AF206" s="8">
        <v>2</v>
      </c>
      <c r="AG206" s="8">
        <v>1</v>
      </c>
      <c r="AH206" s="8" t="str">
        <f t="shared" si="55"/>
        <v/>
      </c>
      <c r="AI206" s="12"/>
      <c r="AZ206" s="12"/>
      <c r="BC206" s="12"/>
      <c r="BS206" s="127"/>
    </row>
    <row r="207" spans="1:71" x14ac:dyDescent="0.25">
      <c r="A207" s="29">
        <f t="shared" si="57"/>
        <v>0</v>
      </c>
      <c r="B207" s="29">
        <f t="shared" si="66"/>
        <v>0</v>
      </c>
      <c r="C207" s="29">
        <f t="shared" si="67"/>
        <v>0</v>
      </c>
      <c r="D207" s="29">
        <f t="shared" si="68"/>
        <v>0</v>
      </c>
      <c r="E207" s="29">
        <f t="shared" si="58"/>
        <v>0</v>
      </c>
      <c r="F207" s="29">
        <f t="shared" si="59"/>
        <v>0</v>
      </c>
      <c r="G207" s="29" t="str">
        <f t="shared" si="60"/>
        <v>offensive</v>
      </c>
      <c r="H207" s="16">
        <f t="shared" si="64"/>
        <v>0</v>
      </c>
      <c r="I207" s="16">
        <f t="shared" si="65"/>
        <v>0</v>
      </c>
      <c r="J207" s="16">
        <f t="shared" si="69"/>
        <v>0</v>
      </c>
      <c r="K207" s="16">
        <f t="shared" si="61"/>
        <v>0</v>
      </c>
      <c r="L207" s="67">
        <f t="shared" si="62"/>
        <v>0</v>
      </c>
      <c r="M207" s="4">
        <f t="shared" si="70"/>
        <v>0</v>
      </c>
      <c r="N207" s="4">
        <f t="shared" si="56"/>
        <v>0</v>
      </c>
      <c r="O207" s="4">
        <f t="shared" si="63"/>
        <v>0</v>
      </c>
      <c r="P207" s="4" t="e">
        <f>VLOOKUP(AJ199,'CIR Team Info'!$C$5:$E$44,2,FALSE)</f>
        <v>#N/A</v>
      </c>
      <c r="Q207" s="4" t="e">
        <f>VLOOKUP(AJ199,'CIR Team Info'!$C$5:$E$44,3,FALSE)</f>
        <v>#N/A</v>
      </c>
      <c r="R207" s="10" t="e">
        <f>VLOOKUP(AJ199,'FRC Site Data'!$B$3:$L$42,2,FALSE)</f>
        <v>#N/A</v>
      </c>
      <c r="S207" s="10" t="e">
        <f>VLOOKUP(AJ199,'FRC Site Data'!$B$3:$L$42,3,FALSE)</f>
        <v>#N/A</v>
      </c>
      <c r="T207" s="10" t="e">
        <f>VLOOKUP(AJ199,'FRC Site Data'!$B$3:$L$42,4,FALSE)</f>
        <v>#N/A</v>
      </c>
      <c r="U207" s="10" t="e">
        <f>VLOOKUP(AJ199,'FRC Site Data'!$B$3:$L$42,5,FALSE)</f>
        <v>#N/A</v>
      </c>
      <c r="V207" s="10" t="e">
        <f>VLOOKUP(AJ199,'FRC Site Data'!$B$3:$L$42,6,FALSE)</f>
        <v>#N/A</v>
      </c>
      <c r="W207" s="10" t="e">
        <f>VLOOKUP(AJ199,'FRC Site Data'!$B$3:$L$42,8,FALSE)</f>
        <v>#N/A</v>
      </c>
      <c r="X207" s="10" t="e">
        <f>VLOOKUP(AJ199,'FRC Site Data'!$B$3:$L$42,9,FALSE)</f>
        <v>#N/A</v>
      </c>
      <c r="Y207" s="10" t="e">
        <f>VLOOKUP(AJ199,'FRC Site Data'!$B$3:$L$42,10,FALSE)</f>
        <v>#N/A</v>
      </c>
      <c r="Z207" s="10" t="e">
        <f>VLOOKUP(AJ199,'FRC Site Data'!$B$3:$L$42,11,FALSE)</f>
        <v>#N/A</v>
      </c>
      <c r="AA207" s="10" t="e">
        <f>VLOOKUP(AJ199,'CIR Team Info'!$C$5:$E$44,4,FALSE)</f>
        <v>#N/A</v>
      </c>
      <c r="AB207" s="161" t="b">
        <f>ISNUMBER(VLOOKUP(AJ199,Match!$T$5:$T$10,1,FALSE))</f>
        <v>0</v>
      </c>
      <c r="AC207" s="161" t="b">
        <f>IF(AB207=TRUE,(VLOOKUP($AJ199,Match!$T$5:$U$10,2,FALSE)))</f>
        <v>0</v>
      </c>
      <c r="AD207" s="8">
        <v>3</v>
      </c>
      <c r="AE207" s="8">
        <v>2</v>
      </c>
      <c r="AF207" s="8">
        <v>2</v>
      </c>
      <c r="AG207" s="8">
        <v>1</v>
      </c>
      <c r="AH207" s="8" t="str">
        <f t="shared" si="55"/>
        <v/>
      </c>
      <c r="AI207" s="12"/>
      <c r="AZ207" s="12"/>
      <c r="BC207" s="12"/>
      <c r="BS207" s="127"/>
    </row>
    <row r="208" spans="1:71" x14ac:dyDescent="0.25">
      <c r="A208" s="29">
        <f t="shared" si="57"/>
        <v>0</v>
      </c>
      <c r="B208" s="29">
        <f t="shared" si="66"/>
        <v>0</v>
      </c>
      <c r="C208" s="29">
        <f t="shared" si="67"/>
        <v>0</v>
      </c>
      <c r="D208" s="29">
        <f t="shared" si="68"/>
        <v>0</v>
      </c>
      <c r="E208" s="29">
        <f t="shared" si="58"/>
        <v>0</v>
      </c>
      <c r="F208" s="29">
        <f t="shared" si="59"/>
        <v>0</v>
      </c>
      <c r="G208" s="29" t="str">
        <f t="shared" si="60"/>
        <v>offensive</v>
      </c>
      <c r="H208" s="16">
        <f t="shared" si="64"/>
        <v>0</v>
      </c>
      <c r="I208" s="16">
        <f t="shared" si="65"/>
        <v>0</v>
      </c>
      <c r="J208" s="16">
        <f t="shared" si="69"/>
        <v>0</v>
      </c>
      <c r="K208" s="16">
        <f t="shared" si="61"/>
        <v>0</v>
      </c>
      <c r="L208" s="67">
        <f t="shared" si="62"/>
        <v>0</v>
      </c>
      <c r="M208" s="4">
        <f t="shared" si="70"/>
        <v>0</v>
      </c>
      <c r="N208" s="4">
        <f t="shared" si="56"/>
        <v>0</v>
      </c>
      <c r="O208" s="4">
        <f t="shared" si="63"/>
        <v>0</v>
      </c>
      <c r="P208" s="4" t="e">
        <f>VLOOKUP(AJ200,'CIR Team Info'!$C$5:$E$44,2,FALSE)</f>
        <v>#N/A</v>
      </c>
      <c r="Q208" s="4" t="e">
        <f>VLOOKUP(AJ200,'CIR Team Info'!$C$5:$E$44,3,FALSE)</f>
        <v>#N/A</v>
      </c>
      <c r="R208" s="10" t="e">
        <f>VLOOKUP(AJ200,'FRC Site Data'!$B$3:$L$42,2,FALSE)</f>
        <v>#N/A</v>
      </c>
      <c r="S208" s="10" t="e">
        <f>VLOOKUP(AJ200,'FRC Site Data'!$B$3:$L$42,3,FALSE)</f>
        <v>#N/A</v>
      </c>
      <c r="T208" s="10" t="e">
        <f>VLOOKUP(AJ200,'FRC Site Data'!$B$3:$L$42,4,FALSE)</f>
        <v>#N/A</v>
      </c>
      <c r="U208" s="10" t="e">
        <f>VLOOKUP(AJ200,'FRC Site Data'!$B$3:$L$42,5,FALSE)</f>
        <v>#N/A</v>
      </c>
      <c r="V208" s="10" t="e">
        <f>VLOOKUP(AJ200,'FRC Site Data'!$B$3:$L$42,6,FALSE)</f>
        <v>#N/A</v>
      </c>
      <c r="W208" s="10" t="e">
        <f>VLOOKUP(AJ200,'FRC Site Data'!$B$3:$L$42,8,FALSE)</f>
        <v>#N/A</v>
      </c>
      <c r="X208" s="10" t="e">
        <f>VLOOKUP(AJ200,'FRC Site Data'!$B$3:$L$42,9,FALSE)</f>
        <v>#N/A</v>
      </c>
      <c r="Y208" s="10" t="e">
        <f>VLOOKUP(AJ200,'FRC Site Data'!$B$3:$L$42,10,FALSE)</f>
        <v>#N/A</v>
      </c>
      <c r="Z208" s="10" t="e">
        <f>VLOOKUP(AJ200,'FRC Site Data'!$B$3:$L$42,11,FALSE)</f>
        <v>#N/A</v>
      </c>
      <c r="AA208" s="10" t="e">
        <f>VLOOKUP(AJ200,'CIR Team Info'!$C$5:$E$44,4,FALSE)</f>
        <v>#N/A</v>
      </c>
      <c r="AB208" s="161" t="b">
        <f>ISNUMBER(VLOOKUP(AJ200,Match!$T$5:$T$10,1,FALSE))</f>
        <v>0</v>
      </c>
      <c r="AC208" s="161" t="b">
        <f>IF(AB208=TRUE,(VLOOKUP($AJ200,Match!$T$5:$U$10,2,FALSE)))</f>
        <v>0</v>
      </c>
      <c r="AD208" s="8">
        <v>3</v>
      </c>
      <c r="AE208" s="8">
        <v>2</v>
      </c>
      <c r="AF208" s="8">
        <v>2</v>
      </c>
      <c r="AG208" s="8">
        <v>1</v>
      </c>
      <c r="AH208" s="8" t="str">
        <f t="shared" si="55"/>
        <v/>
      </c>
      <c r="AI208" s="12"/>
      <c r="AZ208" s="12"/>
      <c r="BC208" s="12"/>
      <c r="BS208" s="127"/>
    </row>
    <row r="209" spans="1:71" x14ac:dyDescent="0.25">
      <c r="A209" s="29">
        <f t="shared" si="57"/>
        <v>0</v>
      </c>
      <c r="B209" s="29">
        <f t="shared" si="66"/>
        <v>0</v>
      </c>
      <c r="C209" s="29">
        <f t="shared" si="67"/>
        <v>0</v>
      </c>
      <c r="D209" s="29">
        <f t="shared" si="68"/>
        <v>0</v>
      </c>
      <c r="E209" s="29">
        <f t="shared" si="58"/>
        <v>0</v>
      </c>
      <c r="F209" s="29">
        <f t="shared" si="59"/>
        <v>0</v>
      </c>
      <c r="G209" s="29" t="str">
        <f t="shared" si="60"/>
        <v>offensive</v>
      </c>
      <c r="H209" s="16">
        <f t="shared" si="64"/>
        <v>0</v>
      </c>
      <c r="I209" s="16">
        <f t="shared" si="65"/>
        <v>0</v>
      </c>
      <c r="J209" s="16">
        <f t="shared" si="69"/>
        <v>0</v>
      </c>
      <c r="K209" s="16">
        <f t="shared" si="61"/>
        <v>0</v>
      </c>
      <c r="L209" s="67">
        <f t="shared" si="62"/>
        <v>0</v>
      </c>
      <c r="M209" s="4">
        <f t="shared" si="70"/>
        <v>0</v>
      </c>
      <c r="N209" s="4">
        <f t="shared" si="56"/>
        <v>0</v>
      </c>
      <c r="O209" s="4">
        <f t="shared" si="63"/>
        <v>0</v>
      </c>
      <c r="P209" s="4" t="e">
        <f>VLOOKUP(AJ201,'CIR Team Info'!$C$5:$E$44,2,FALSE)</f>
        <v>#N/A</v>
      </c>
      <c r="Q209" s="4" t="e">
        <f>VLOOKUP(AJ201,'CIR Team Info'!$C$5:$E$44,3,FALSE)</f>
        <v>#N/A</v>
      </c>
      <c r="R209" s="10" t="e">
        <f>VLOOKUP(AJ201,'FRC Site Data'!$B$3:$L$42,2,FALSE)</f>
        <v>#N/A</v>
      </c>
      <c r="S209" s="10" t="e">
        <f>VLOOKUP(AJ201,'FRC Site Data'!$B$3:$L$42,3,FALSE)</f>
        <v>#N/A</v>
      </c>
      <c r="T209" s="10" t="e">
        <f>VLOOKUP(AJ201,'FRC Site Data'!$B$3:$L$42,4,FALSE)</f>
        <v>#N/A</v>
      </c>
      <c r="U209" s="10" t="e">
        <f>VLOOKUP(AJ201,'FRC Site Data'!$B$3:$L$42,5,FALSE)</f>
        <v>#N/A</v>
      </c>
      <c r="V209" s="10" t="e">
        <f>VLOOKUP(AJ201,'FRC Site Data'!$B$3:$L$42,6,FALSE)</f>
        <v>#N/A</v>
      </c>
      <c r="W209" s="10" t="e">
        <f>VLOOKUP(AJ201,'FRC Site Data'!$B$3:$L$42,8,FALSE)</f>
        <v>#N/A</v>
      </c>
      <c r="X209" s="10" t="e">
        <f>VLOOKUP(AJ201,'FRC Site Data'!$B$3:$L$42,9,FALSE)</f>
        <v>#N/A</v>
      </c>
      <c r="Y209" s="10" t="e">
        <f>VLOOKUP(AJ201,'FRC Site Data'!$B$3:$L$42,10,FALSE)</f>
        <v>#N/A</v>
      </c>
      <c r="Z209" s="10" t="e">
        <f>VLOOKUP(AJ201,'FRC Site Data'!$B$3:$L$42,11,FALSE)</f>
        <v>#N/A</v>
      </c>
      <c r="AA209" s="10" t="e">
        <f>VLOOKUP(AJ201,'CIR Team Info'!$C$5:$E$44,4,FALSE)</f>
        <v>#N/A</v>
      </c>
      <c r="AB209" s="161" t="b">
        <f>ISNUMBER(VLOOKUP(AJ201,Match!$T$5:$T$10,1,FALSE))</f>
        <v>0</v>
      </c>
      <c r="AC209" s="161" t="b">
        <f>IF(AB209=TRUE,(VLOOKUP($AJ201,Match!$T$5:$U$10,2,FALSE)))</f>
        <v>0</v>
      </c>
      <c r="AD209" s="8">
        <v>3</v>
      </c>
      <c r="AE209" s="8">
        <v>2</v>
      </c>
      <c r="AF209" s="8">
        <v>2</v>
      </c>
      <c r="AG209" s="8">
        <v>1</v>
      </c>
      <c r="AH209" s="8" t="str">
        <f t="shared" si="55"/>
        <v/>
      </c>
      <c r="AI209" s="12"/>
      <c r="AZ209" s="12"/>
      <c r="BC209" s="12"/>
      <c r="BS209" s="127"/>
    </row>
    <row r="210" spans="1:71" x14ac:dyDescent="0.25">
      <c r="A210" s="29">
        <f t="shared" si="57"/>
        <v>0</v>
      </c>
      <c r="B210" s="29">
        <f t="shared" si="66"/>
        <v>0</v>
      </c>
      <c r="C210" s="29">
        <f t="shared" si="67"/>
        <v>0</v>
      </c>
      <c r="D210" s="29">
        <f t="shared" si="68"/>
        <v>0</v>
      </c>
      <c r="E210" s="29">
        <f t="shared" si="58"/>
        <v>0</v>
      </c>
      <c r="F210" s="29">
        <f t="shared" si="59"/>
        <v>0</v>
      </c>
      <c r="G210" s="29" t="str">
        <f t="shared" si="60"/>
        <v>offensive</v>
      </c>
      <c r="H210" s="16">
        <f t="shared" si="64"/>
        <v>0</v>
      </c>
      <c r="I210" s="16">
        <f t="shared" si="65"/>
        <v>0</v>
      </c>
      <c r="J210" s="16">
        <f t="shared" si="69"/>
        <v>0</v>
      </c>
      <c r="K210" s="16">
        <f t="shared" si="61"/>
        <v>0</v>
      </c>
      <c r="L210" s="67">
        <f t="shared" si="62"/>
        <v>0</v>
      </c>
      <c r="M210" s="4">
        <f t="shared" si="70"/>
        <v>0</v>
      </c>
      <c r="N210" s="4">
        <f t="shared" si="56"/>
        <v>0</v>
      </c>
      <c r="O210" s="4">
        <f t="shared" si="63"/>
        <v>0</v>
      </c>
      <c r="P210" s="4" t="e">
        <f>VLOOKUP(AJ202,'CIR Team Info'!$C$5:$E$44,2,FALSE)</f>
        <v>#N/A</v>
      </c>
      <c r="Q210" s="4" t="e">
        <f>VLOOKUP(AJ202,'CIR Team Info'!$C$5:$E$44,3,FALSE)</f>
        <v>#N/A</v>
      </c>
      <c r="R210" s="10" t="e">
        <f>VLOOKUP(AJ202,'FRC Site Data'!$B$3:$L$42,2,FALSE)</f>
        <v>#N/A</v>
      </c>
      <c r="S210" s="10" t="e">
        <f>VLOOKUP(AJ202,'FRC Site Data'!$B$3:$L$42,3,FALSE)</f>
        <v>#N/A</v>
      </c>
      <c r="T210" s="10" t="e">
        <f>VLOOKUP(AJ202,'FRC Site Data'!$B$3:$L$42,4,FALSE)</f>
        <v>#N/A</v>
      </c>
      <c r="U210" s="10" t="e">
        <f>VLOOKUP(AJ202,'FRC Site Data'!$B$3:$L$42,5,FALSE)</f>
        <v>#N/A</v>
      </c>
      <c r="V210" s="10" t="e">
        <f>VLOOKUP(AJ202,'FRC Site Data'!$B$3:$L$42,6,FALSE)</f>
        <v>#N/A</v>
      </c>
      <c r="W210" s="10" t="e">
        <f>VLOOKUP(AJ202,'FRC Site Data'!$B$3:$L$42,8,FALSE)</f>
        <v>#N/A</v>
      </c>
      <c r="X210" s="10" t="e">
        <f>VLOOKUP(AJ202,'FRC Site Data'!$B$3:$L$42,9,FALSE)</f>
        <v>#N/A</v>
      </c>
      <c r="Y210" s="10" t="e">
        <f>VLOOKUP(AJ202,'FRC Site Data'!$B$3:$L$42,10,FALSE)</f>
        <v>#N/A</v>
      </c>
      <c r="Z210" s="10" t="e">
        <f>VLOOKUP(AJ202,'FRC Site Data'!$B$3:$L$42,11,FALSE)</f>
        <v>#N/A</v>
      </c>
      <c r="AA210" s="10" t="e">
        <f>VLOOKUP(AJ202,'CIR Team Info'!$C$5:$E$44,4,FALSE)</f>
        <v>#N/A</v>
      </c>
      <c r="AB210" s="161" t="b">
        <f>ISNUMBER(VLOOKUP(AJ202,Match!$T$5:$T$10,1,FALSE))</f>
        <v>0</v>
      </c>
      <c r="AC210" s="161" t="b">
        <f>IF(AB210=TRUE,(VLOOKUP($AJ202,Match!$T$5:$U$10,2,FALSE)))</f>
        <v>0</v>
      </c>
      <c r="AD210" s="8">
        <v>3</v>
      </c>
      <c r="AE210" s="8">
        <v>2</v>
      </c>
      <c r="AF210" s="8">
        <v>2</v>
      </c>
      <c r="AG210" s="8">
        <v>1</v>
      </c>
      <c r="AH210" s="8" t="str">
        <f t="shared" si="55"/>
        <v/>
      </c>
      <c r="AI210" s="12"/>
      <c r="AZ210" s="12"/>
      <c r="BC210" s="12"/>
      <c r="BS210" s="127"/>
    </row>
    <row r="211" spans="1:71" x14ac:dyDescent="0.25">
      <c r="A211" s="29">
        <f t="shared" si="57"/>
        <v>0</v>
      </c>
      <c r="B211" s="29">
        <f t="shared" si="66"/>
        <v>0</v>
      </c>
      <c r="C211" s="29">
        <f t="shared" si="67"/>
        <v>0</v>
      </c>
      <c r="D211" s="29">
        <f t="shared" si="68"/>
        <v>0</v>
      </c>
      <c r="E211" s="29">
        <f t="shared" si="58"/>
        <v>0</v>
      </c>
      <c r="F211" s="29">
        <f t="shared" si="59"/>
        <v>0</v>
      </c>
      <c r="G211" s="29" t="str">
        <f t="shared" si="60"/>
        <v>offensive</v>
      </c>
      <c r="H211" s="16">
        <f t="shared" si="64"/>
        <v>0</v>
      </c>
      <c r="I211" s="16">
        <f t="shared" si="65"/>
        <v>0</v>
      </c>
      <c r="J211" s="16">
        <f t="shared" si="69"/>
        <v>0</v>
      </c>
      <c r="K211" s="16">
        <f t="shared" si="61"/>
        <v>0</v>
      </c>
      <c r="L211" s="67">
        <f t="shared" si="62"/>
        <v>0</v>
      </c>
      <c r="M211" s="4">
        <f t="shared" si="70"/>
        <v>0</v>
      </c>
      <c r="N211" s="4">
        <f t="shared" si="56"/>
        <v>0</v>
      </c>
      <c r="O211" s="4">
        <f t="shared" si="63"/>
        <v>0</v>
      </c>
      <c r="P211" s="4" t="e">
        <f>VLOOKUP(AJ203,'CIR Team Info'!$C$5:$E$44,2,FALSE)</f>
        <v>#N/A</v>
      </c>
      <c r="Q211" s="4" t="e">
        <f>VLOOKUP(AJ203,'CIR Team Info'!$C$5:$E$44,3,FALSE)</f>
        <v>#N/A</v>
      </c>
      <c r="R211" s="10" t="e">
        <f>VLOOKUP(AJ203,'FRC Site Data'!$B$3:$L$42,2,FALSE)</f>
        <v>#N/A</v>
      </c>
      <c r="S211" s="10" t="e">
        <f>VLOOKUP(AJ203,'FRC Site Data'!$B$3:$L$42,3,FALSE)</f>
        <v>#N/A</v>
      </c>
      <c r="T211" s="10" t="e">
        <f>VLOOKUP(AJ203,'FRC Site Data'!$B$3:$L$42,4,FALSE)</f>
        <v>#N/A</v>
      </c>
      <c r="U211" s="10" t="e">
        <f>VLOOKUP(AJ203,'FRC Site Data'!$B$3:$L$42,5,FALSE)</f>
        <v>#N/A</v>
      </c>
      <c r="V211" s="10" t="e">
        <f>VLOOKUP(AJ203,'FRC Site Data'!$B$3:$L$42,6,FALSE)</f>
        <v>#N/A</v>
      </c>
      <c r="W211" s="10" t="e">
        <f>VLOOKUP(AJ203,'FRC Site Data'!$B$3:$L$42,8,FALSE)</f>
        <v>#N/A</v>
      </c>
      <c r="X211" s="10" t="e">
        <f>VLOOKUP(AJ203,'FRC Site Data'!$B$3:$L$42,9,FALSE)</f>
        <v>#N/A</v>
      </c>
      <c r="Y211" s="10" t="e">
        <f>VLOOKUP(AJ203,'FRC Site Data'!$B$3:$L$42,10,FALSE)</f>
        <v>#N/A</v>
      </c>
      <c r="Z211" s="10" t="e">
        <f>VLOOKUP(AJ203,'FRC Site Data'!$B$3:$L$42,11,FALSE)</f>
        <v>#N/A</v>
      </c>
      <c r="AA211" s="10" t="e">
        <f>VLOOKUP(AJ203,'CIR Team Info'!$C$5:$E$44,4,FALSE)</f>
        <v>#N/A</v>
      </c>
      <c r="AB211" s="161" t="b">
        <f>ISNUMBER(VLOOKUP(AJ203,Match!$T$5:$T$10,1,FALSE))</f>
        <v>0</v>
      </c>
      <c r="AC211" s="161" t="b">
        <f>IF(AB211=TRUE,(VLOOKUP($AJ203,Match!$T$5:$U$10,2,FALSE)))</f>
        <v>0</v>
      </c>
      <c r="AD211" s="8">
        <v>3</v>
      </c>
      <c r="AE211" s="8">
        <v>2</v>
      </c>
      <c r="AF211" s="8">
        <v>2</v>
      </c>
      <c r="AG211" s="8">
        <v>1</v>
      </c>
      <c r="AH211" s="8" t="str">
        <f t="shared" si="55"/>
        <v/>
      </c>
      <c r="AI211" s="12"/>
      <c r="AZ211" s="12"/>
      <c r="BC211" s="12"/>
      <c r="BS211" s="127"/>
    </row>
    <row r="212" spans="1:71" x14ac:dyDescent="0.25">
      <c r="A212" s="29">
        <f t="shared" si="57"/>
        <v>0</v>
      </c>
      <c r="B212" s="29">
        <f t="shared" si="66"/>
        <v>0</v>
      </c>
      <c r="C212" s="29">
        <f t="shared" si="67"/>
        <v>0</v>
      </c>
      <c r="D212" s="29">
        <f t="shared" si="68"/>
        <v>0</v>
      </c>
      <c r="E212" s="29">
        <f t="shared" si="58"/>
        <v>0</v>
      </c>
      <c r="F212" s="29">
        <f t="shared" si="59"/>
        <v>0</v>
      </c>
      <c r="G212" s="29" t="str">
        <f t="shared" si="60"/>
        <v>offensive</v>
      </c>
      <c r="H212" s="16">
        <f t="shared" si="64"/>
        <v>0</v>
      </c>
      <c r="I212" s="16">
        <f t="shared" si="65"/>
        <v>0</v>
      </c>
      <c r="J212" s="16">
        <f t="shared" si="69"/>
        <v>0</v>
      </c>
      <c r="K212" s="16">
        <f t="shared" si="61"/>
        <v>0</v>
      </c>
      <c r="L212" s="67">
        <f t="shared" si="62"/>
        <v>0</v>
      </c>
      <c r="M212" s="4">
        <f t="shared" si="70"/>
        <v>0</v>
      </c>
      <c r="N212" s="4">
        <f t="shared" si="56"/>
        <v>0</v>
      </c>
      <c r="O212" s="4">
        <f t="shared" si="63"/>
        <v>0</v>
      </c>
      <c r="P212" s="4" t="e">
        <f>VLOOKUP(AJ204,'CIR Team Info'!$C$5:$E$44,2,FALSE)</f>
        <v>#N/A</v>
      </c>
      <c r="Q212" s="4" t="e">
        <f>VLOOKUP(AJ204,'CIR Team Info'!$C$5:$E$44,3,FALSE)</f>
        <v>#N/A</v>
      </c>
      <c r="R212" s="10" t="e">
        <f>VLOOKUP(AJ204,'FRC Site Data'!$B$3:$L$42,2,FALSE)</f>
        <v>#N/A</v>
      </c>
      <c r="S212" s="10" t="e">
        <f>VLOOKUP(AJ204,'FRC Site Data'!$B$3:$L$42,3,FALSE)</f>
        <v>#N/A</v>
      </c>
      <c r="T212" s="10" t="e">
        <f>VLOOKUP(AJ204,'FRC Site Data'!$B$3:$L$42,4,FALSE)</f>
        <v>#N/A</v>
      </c>
      <c r="U212" s="10" t="e">
        <f>VLOOKUP(AJ204,'FRC Site Data'!$B$3:$L$42,5,FALSE)</f>
        <v>#N/A</v>
      </c>
      <c r="V212" s="10" t="e">
        <f>VLOOKUP(AJ204,'FRC Site Data'!$B$3:$L$42,6,FALSE)</f>
        <v>#N/A</v>
      </c>
      <c r="W212" s="10" t="e">
        <f>VLOOKUP(AJ204,'FRC Site Data'!$B$3:$L$42,8,FALSE)</f>
        <v>#N/A</v>
      </c>
      <c r="X212" s="10" t="e">
        <f>VLOOKUP(AJ204,'FRC Site Data'!$B$3:$L$42,9,FALSE)</f>
        <v>#N/A</v>
      </c>
      <c r="Y212" s="10" t="e">
        <f>VLOOKUP(AJ204,'FRC Site Data'!$B$3:$L$42,10,FALSE)</f>
        <v>#N/A</v>
      </c>
      <c r="Z212" s="10" t="e">
        <f>VLOOKUP(AJ204,'FRC Site Data'!$B$3:$L$42,11,FALSE)</f>
        <v>#N/A</v>
      </c>
      <c r="AA212" s="10" t="e">
        <f>VLOOKUP(AJ204,'CIR Team Info'!$C$5:$E$44,4,FALSE)</f>
        <v>#N/A</v>
      </c>
      <c r="AB212" s="161" t="b">
        <f>ISNUMBER(VLOOKUP(AJ204,Match!$T$5:$T$10,1,FALSE))</f>
        <v>0</v>
      </c>
      <c r="AC212" s="161" t="b">
        <f>IF(AB212=TRUE,(VLOOKUP($AJ204,Match!$T$5:$U$10,2,FALSE)))</f>
        <v>0</v>
      </c>
      <c r="AD212" s="8">
        <v>3</v>
      </c>
      <c r="AE212" s="8">
        <v>2</v>
      </c>
      <c r="AF212" s="8">
        <v>2</v>
      </c>
      <c r="AG212" s="8">
        <v>1</v>
      </c>
      <c r="AH212" s="8" t="str">
        <f t="shared" si="55"/>
        <v/>
      </c>
      <c r="AI212" s="12"/>
      <c r="AZ212" s="12"/>
      <c r="BC212" s="12"/>
      <c r="BS212" s="127"/>
    </row>
    <row r="213" spans="1:71" x14ac:dyDescent="0.25">
      <c r="A213" s="29">
        <f t="shared" si="57"/>
        <v>0</v>
      </c>
      <c r="B213" s="29">
        <f t="shared" si="66"/>
        <v>0</v>
      </c>
      <c r="C213" s="29">
        <f t="shared" si="67"/>
        <v>0</v>
      </c>
      <c r="D213" s="29">
        <f t="shared" si="68"/>
        <v>0</v>
      </c>
      <c r="E213" s="29">
        <f t="shared" si="58"/>
        <v>0</v>
      </c>
      <c r="F213" s="29">
        <f t="shared" si="59"/>
        <v>0</v>
      </c>
      <c r="G213" s="29" t="str">
        <f t="shared" si="60"/>
        <v>offensive</v>
      </c>
      <c r="H213" s="16">
        <f t="shared" si="64"/>
        <v>0</v>
      </c>
      <c r="I213" s="16">
        <f t="shared" si="65"/>
        <v>0</v>
      </c>
      <c r="J213" s="16">
        <f t="shared" si="69"/>
        <v>0</v>
      </c>
      <c r="K213" s="16">
        <f t="shared" si="61"/>
        <v>0</v>
      </c>
      <c r="L213" s="67">
        <f t="shared" si="62"/>
        <v>0</v>
      </c>
      <c r="M213" s="4">
        <f t="shared" si="70"/>
        <v>0</v>
      </c>
      <c r="N213" s="4">
        <f t="shared" si="56"/>
        <v>0</v>
      </c>
      <c r="O213" s="4">
        <f t="shared" si="63"/>
        <v>0</v>
      </c>
      <c r="P213" s="4" t="e">
        <f>VLOOKUP(AJ205,'CIR Team Info'!$C$5:$E$44,2,FALSE)</f>
        <v>#N/A</v>
      </c>
      <c r="Q213" s="4" t="e">
        <f>VLOOKUP(AJ205,'CIR Team Info'!$C$5:$E$44,3,FALSE)</f>
        <v>#N/A</v>
      </c>
      <c r="R213" s="10" t="e">
        <f>VLOOKUP(AJ205,'FRC Site Data'!$B$3:$L$42,2,FALSE)</f>
        <v>#N/A</v>
      </c>
      <c r="S213" s="10" t="e">
        <f>VLOOKUP(AJ205,'FRC Site Data'!$B$3:$L$42,3,FALSE)</f>
        <v>#N/A</v>
      </c>
      <c r="T213" s="10" t="e">
        <f>VLOOKUP(AJ205,'FRC Site Data'!$B$3:$L$42,4,FALSE)</f>
        <v>#N/A</v>
      </c>
      <c r="U213" s="10" t="e">
        <f>VLOOKUP(AJ205,'FRC Site Data'!$B$3:$L$42,5,FALSE)</f>
        <v>#N/A</v>
      </c>
      <c r="V213" s="10" t="e">
        <f>VLOOKUP(AJ205,'FRC Site Data'!$B$3:$L$42,6,FALSE)</f>
        <v>#N/A</v>
      </c>
      <c r="W213" s="10" t="e">
        <f>VLOOKUP(AJ205,'FRC Site Data'!$B$3:$L$42,8,FALSE)</f>
        <v>#N/A</v>
      </c>
      <c r="X213" s="10" t="e">
        <f>VLOOKUP(AJ205,'FRC Site Data'!$B$3:$L$42,9,FALSE)</f>
        <v>#N/A</v>
      </c>
      <c r="Y213" s="10" t="e">
        <f>VLOOKUP(AJ205,'FRC Site Data'!$B$3:$L$42,10,FALSE)</f>
        <v>#N/A</v>
      </c>
      <c r="Z213" s="10" t="e">
        <f>VLOOKUP(AJ205,'FRC Site Data'!$B$3:$L$42,11,FALSE)</f>
        <v>#N/A</v>
      </c>
      <c r="AA213" s="10" t="e">
        <f>VLOOKUP(AJ205,'CIR Team Info'!$C$5:$E$44,4,FALSE)</f>
        <v>#N/A</v>
      </c>
      <c r="AB213" s="161" t="b">
        <f>ISNUMBER(VLOOKUP(AJ205,Match!$T$5:$T$10,1,FALSE))</f>
        <v>0</v>
      </c>
      <c r="AC213" s="161" t="b">
        <f>IF(AB213=TRUE,(VLOOKUP($AJ205,Match!$T$5:$U$10,2,FALSE)))</f>
        <v>0</v>
      </c>
      <c r="AD213" s="8">
        <v>3</v>
      </c>
      <c r="AE213" s="8">
        <v>2</v>
      </c>
      <c r="AF213" s="8">
        <v>2</v>
      </c>
      <c r="AG213" s="8">
        <v>1</v>
      </c>
      <c r="AH213" s="8" t="str">
        <f t="shared" si="55"/>
        <v/>
      </c>
      <c r="AI213" s="12"/>
      <c r="AZ213" s="12"/>
      <c r="BC213" s="12"/>
      <c r="BL213" s="12"/>
      <c r="BM213" s="12"/>
      <c r="BS213" s="127"/>
    </row>
    <row r="214" spans="1:71" x14ac:dyDescent="0.25">
      <c r="A214" s="29">
        <f t="shared" si="57"/>
        <v>0</v>
      </c>
      <c r="B214" s="29">
        <f t="shared" si="66"/>
        <v>0</v>
      </c>
      <c r="C214" s="29">
        <f t="shared" si="67"/>
        <v>0</v>
      </c>
      <c r="D214" s="29">
        <f t="shared" si="68"/>
        <v>0</v>
      </c>
      <c r="E214" s="29">
        <f t="shared" si="58"/>
        <v>0</v>
      </c>
      <c r="F214" s="29">
        <f t="shared" si="59"/>
        <v>0</v>
      </c>
      <c r="G214" s="29" t="str">
        <f t="shared" si="60"/>
        <v>offensive</v>
      </c>
      <c r="H214" s="16">
        <f t="shared" si="64"/>
        <v>0</v>
      </c>
      <c r="I214" s="16">
        <f t="shared" si="65"/>
        <v>0</v>
      </c>
      <c r="J214" s="16">
        <f t="shared" si="69"/>
        <v>0</v>
      </c>
      <c r="K214" s="16">
        <f t="shared" si="61"/>
        <v>0</v>
      </c>
      <c r="L214" s="67">
        <f t="shared" si="62"/>
        <v>0</v>
      </c>
      <c r="M214" s="4">
        <f t="shared" si="70"/>
        <v>0</v>
      </c>
      <c r="N214" s="4">
        <f t="shared" si="56"/>
        <v>0</v>
      </c>
      <c r="O214" s="4">
        <f t="shared" si="63"/>
        <v>0</v>
      </c>
      <c r="P214" s="4" t="e">
        <f>VLOOKUP(AJ206,'CIR Team Info'!$C$5:$E$44,2,FALSE)</f>
        <v>#N/A</v>
      </c>
      <c r="Q214" s="4" t="e">
        <f>VLOOKUP(AJ206,'CIR Team Info'!$C$5:$E$44,3,FALSE)</f>
        <v>#N/A</v>
      </c>
      <c r="R214" s="10" t="e">
        <f>VLOOKUP(AJ206,'FRC Site Data'!$B$3:$L$42,2,FALSE)</f>
        <v>#N/A</v>
      </c>
      <c r="S214" s="10" t="e">
        <f>VLOOKUP(AJ206,'FRC Site Data'!$B$3:$L$42,3,FALSE)</f>
        <v>#N/A</v>
      </c>
      <c r="T214" s="10" t="e">
        <f>VLOOKUP(AJ206,'FRC Site Data'!$B$3:$L$42,4,FALSE)</f>
        <v>#N/A</v>
      </c>
      <c r="U214" s="10" t="e">
        <f>VLOOKUP(AJ206,'FRC Site Data'!$B$3:$L$42,5,FALSE)</f>
        <v>#N/A</v>
      </c>
      <c r="V214" s="10" t="e">
        <f>VLOOKUP(AJ206,'FRC Site Data'!$B$3:$L$42,6,FALSE)</f>
        <v>#N/A</v>
      </c>
      <c r="W214" s="10" t="e">
        <f>VLOOKUP(AJ206,'FRC Site Data'!$B$3:$L$42,8,FALSE)</f>
        <v>#N/A</v>
      </c>
      <c r="X214" s="10" t="e">
        <f>VLOOKUP(AJ206,'FRC Site Data'!$B$3:$L$42,9,FALSE)</f>
        <v>#N/A</v>
      </c>
      <c r="Y214" s="10" t="e">
        <f>VLOOKUP(AJ206,'FRC Site Data'!$B$3:$L$42,10,FALSE)</f>
        <v>#N/A</v>
      </c>
      <c r="Z214" s="10" t="e">
        <f>VLOOKUP(AJ206,'FRC Site Data'!$B$3:$L$42,11,FALSE)</f>
        <v>#N/A</v>
      </c>
      <c r="AA214" s="10" t="e">
        <f>VLOOKUP(AJ206,'CIR Team Info'!$C$5:$E$44,4,FALSE)</f>
        <v>#N/A</v>
      </c>
      <c r="AB214" s="161" t="b">
        <f>ISNUMBER(VLOOKUP(AJ206,Match!$T$5:$T$10,1,FALSE))</f>
        <v>0</v>
      </c>
      <c r="AC214" s="161" t="b">
        <f>IF(AB214=TRUE,(VLOOKUP($AJ206,Match!$T$5:$U$10,2,FALSE)))</f>
        <v>0</v>
      </c>
      <c r="AD214" s="8">
        <v>3</v>
      </c>
      <c r="AE214" s="8">
        <v>2</v>
      </c>
      <c r="AF214" s="8">
        <v>2</v>
      </c>
      <c r="AG214" s="8">
        <v>1</v>
      </c>
      <c r="AH214" s="8" t="str">
        <f t="shared" si="55"/>
        <v/>
      </c>
      <c r="AI214" s="12"/>
      <c r="AZ214" s="12"/>
      <c r="BC214" s="12"/>
      <c r="BL214" s="12"/>
      <c r="BM214" s="12"/>
      <c r="BS214" s="127"/>
    </row>
    <row r="215" spans="1:71" x14ac:dyDescent="0.25">
      <c r="A215" s="29">
        <f t="shared" si="57"/>
        <v>0</v>
      </c>
      <c r="B215" s="29">
        <f t="shared" si="66"/>
        <v>0</v>
      </c>
      <c r="C215" s="29">
        <f t="shared" si="67"/>
        <v>0</v>
      </c>
      <c r="D215" s="29">
        <f t="shared" si="68"/>
        <v>0</v>
      </c>
      <c r="E215" s="29">
        <f t="shared" si="58"/>
        <v>0</v>
      </c>
      <c r="F215" s="29">
        <f t="shared" si="59"/>
        <v>0</v>
      </c>
      <c r="G215" s="29" t="str">
        <f t="shared" si="60"/>
        <v>offensive</v>
      </c>
      <c r="H215" s="16">
        <f t="shared" si="64"/>
        <v>0</v>
      </c>
      <c r="I215" s="16">
        <f t="shared" si="65"/>
        <v>0</v>
      </c>
      <c r="J215" s="16">
        <f t="shared" si="69"/>
        <v>0</v>
      </c>
      <c r="K215" s="16">
        <f t="shared" si="61"/>
        <v>0</v>
      </c>
      <c r="L215" s="67">
        <f t="shared" si="62"/>
        <v>0</v>
      </c>
      <c r="M215" s="4">
        <f t="shared" si="70"/>
        <v>0</v>
      </c>
      <c r="N215" s="4">
        <f t="shared" si="56"/>
        <v>0</v>
      </c>
      <c r="O215" s="4">
        <f t="shared" si="63"/>
        <v>0</v>
      </c>
      <c r="P215" s="4" t="e">
        <f>VLOOKUP(AJ207,'CIR Team Info'!$C$5:$E$44,2,FALSE)</f>
        <v>#N/A</v>
      </c>
      <c r="Q215" s="4" t="e">
        <f>VLOOKUP(AJ207,'CIR Team Info'!$C$5:$E$44,3,FALSE)</f>
        <v>#N/A</v>
      </c>
      <c r="R215" s="10" t="e">
        <f>VLOOKUP(AJ207,'FRC Site Data'!$B$3:$L$42,2,FALSE)</f>
        <v>#N/A</v>
      </c>
      <c r="S215" s="10" t="e">
        <f>VLOOKUP(AJ207,'FRC Site Data'!$B$3:$L$42,3,FALSE)</f>
        <v>#N/A</v>
      </c>
      <c r="T215" s="10" t="e">
        <f>VLOOKUP(AJ207,'FRC Site Data'!$B$3:$L$42,4,FALSE)</f>
        <v>#N/A</v>
      </c>
      <c r="U215" s="10" t="e">
        <f>VLOOKUP(AJ207,'FRC Site Data'!$B$3:$L$42,5,FALSE)</f>
        <v>#N/A</v>
      </c>
      <c r="V215" s="10" t="e">
        <f>VLOOKUP(AJ207,'FRC Site Data'!$B$3:$L$42,6,FALSE)</f>
        <v>#N/A</v>
      </c>
      <c r="W215" s="10" t="e">
        <f>VLOOKUP(AJ207,'FRC Site Data'!$B$3:$L$42,8,FALSE)</f>
        <v>#N/A</v>
      </c>
      <c r="X215" s="10" t="e">
        <f>VLOOKUP(AJ207,'FRC Site Data'!$B$3:$L$42,9,FALSE)</f>
        <v>#N/A</v>
      </c>
      <c r="Y215" s="10" t="e">
        <f>VLOOKUP(AJ207,'FRC Site Data'!$B$3:$L$42,10,FALSE)</f>
        <v>#N/A</v>
      </c>
      <c r="Z215" s="10" t="e">
        <f>VLOOKUP(AJ207,'FRC Site Data'!$B$3:$L$42,11,FALSE)</f>
        <v>#N/A</v>
      </c>
      <c r="AA215" s="10" t="e">
        <f>VLOOKUP(AJ207,'CIR Team Info'!$C$5:$E$44,4,FALSE)</f>
        <v>#N/A</v>
      </c>
      <c r="AB215" s="161" t="b">
        <f>ISNUMBER(VLOOKUP(AJ207,Match!$T$5:$T$10,1,FALSE))</f>
        <v>0</v>
      </c>
      <c r="AC215" s="161" t="b">
        <f>IF(AB215=TRUE,(VLOOKUP($AJ207,Match!$T$5:$U$10,2,FALSE)))</f>
        <v>0</v>
      </c>
      <c r="AD215" s="8">
        <v>3</v>
      </c>
      <c r="AE215" s="8">
        <v>2</v>
      </c>
      <c r="AF215" s="8">
        <v>2</v>
      </c>
      <c r="AG215" s="8">
        <v>1</v>
      </c>
      <c r="AH215" s="8" t="str">
        <f t="shared" si="55"/>
        <v/>
      </c>
      <c r="AI215" s="12"/>
      <c r="AZ215" s="12"/>
      <c r="BC215" s="12"/>
      <c r="BL215" s="12"/>
      <c r="BM215" s="12"/>
      <c r="BS215" s="127"/>
    </row>
    <row r="216" spans="1:71" x14ac:dyDescent="0.25">
      <c r="A216" s="29">
        <f t="shared" si="57"/>
        <v>0</v>
      </c>
      <c r="B216" s="29">
        <f t="shared" si="66"/>
        <v>0</v>
      </c>
      <c r="C216" s="29">
        <f t="shared" si="67"/>
        <v>0</v>
      </c>
      <c r="D216" s="29">
        <f t="shared" si="68"/>
        <v>0</v>
      </c>
      <c r="E216" s="29">
        <f t="shared" si="58"/>
        <v>0</v>
      </c>
      <c r="F216" s="29">
        <f t="shared" si="59"/>
        <v>0</v>
      </c>
      <c r="G216" s="29" t="str">
        <f t="shared" si="60"/>
        <v>offensive</v>
      </c>
      <c r="H216" s="16">
        <f t="shared" si="64"/>
        <v>0</v>
      </c>
      <c r="I216" s="16">
        <f t="shared" si="65"/>
        <v>0</v>
      </c>
      <c r="J216" s="16">
        <f t="shared" si="69"/>
        <v>0</v>
      </c>
      <c r="K216" s="16">
        <f t="shared" si="61"/>
        <v>0</v>
      </c>
      <c r="L216" s="67">
        <f t="shared" si="62"/>
        <v>0</v>
      </c>
      <c r="M216" s="4">
        <f t="shared" si="70"/>
        <v>0</v>
      </c>
      <c r="N216" s="4">
        <f t="shared" si="56"/>
        <v>0</v>
      </c>
      <c r="O216" s="4">
        <f t="shared" si="63"/>
        <v>0</v>
      </c>
      <c r="P216" s="4" t="e">
        <f>VLOOKUP(AJ208,'CIR Team Info'!$C$5:$E$44,2,FALSE)</f>
        <v>#N/A</v>
      </c>
      <c r="Q216" s="4" t="e">
        <f>VLOOKUP(AJ208,'CIR Team Info'!$C$5:$E$44,3,FALSE)</f>
        <v>#N/A</v>
      </c>
      <c r="R216" s="10" t="e">
        <f>VLOOKUP(AJ208,'FRC Site Data'!$B$3:$L$42,2,FALSE)</f>
        <v>#N/A</v>
      </c>
      <c r="S216" s="10" t="e">
        <f>VLOOKUP(AJ208,'FRC Site Data'!$B$3:$L$42,3,FALSE)</f>
        <v>#N/A</v>
      </c>
      <c r="T216" s="10" t="e">
        <f>VLOOKUP(AJ208,'FRC Site Data'!$B$3:$L$42,4,FALSE)</f>
        <v>#N/A</v>
      </c>
      <c r="U216" s="10" t="e">
        <f>VLOOKUP(AJ208,'FRC Site Data'!$B$3:$L$42,5,FALSE)</f>
        <v>#N/A</v>
      </c>
      <c r="V216" s="10" t="e">
        <f>VLOOKUP(AJ208,'FRC Site Data'!$B$3:$L$42,6,FALSE)</f>
        <v>#N/A</v>
      </c>
      <c r="W216" s="10" t="e">
        <f>VLOOKUP(AJ208,'FRC Site Data'!$B$3:$L$42,8,FALSE)</f>
        <v>#N/A</v>
      </c>
      <c r="X216" s="10" t="e">
        <f>VLOOKUP(AJ208,'FRC Site Data'!$B$3:$L$42,9,FALSE)</f>
        <v>#N/A</v>
      </c>
      <c r="Y216" s="10" t="e">
        <f>VLOOKUP(AJ208,'FRC Site Data'!$B$3:$L$42,10,FALSE)</f>
        <v>#N/A</v>
      </c>
      <c r="Z216" s="10" t="e">
        <f>VLOOKUP(AJ208,'FRC Site Data'!$B$3:$L$42,11,FALSE)</f>
        <v>#N/A</v>
      </c>
      <c r="AA216" s="10" t="e">
        <f>VLOOKUP(AJ208,'CIR Team Info'!$C$5:$E$44,4,FALSE)</f>
        <v>#N/A</v>
      </c>
      <c r="AB216" s="161" t="b">
        <f>ISNUMBER(VLOOKUP(AJ208,Match!$T$5:$T$10,1,FALSE))</f>
        <v>0</v>
      </c>
      <c r="AC216" s="161" t="b">
        <f>IF(AB216=TRUE,(VLOOKUP($AJ208,Match!$T$5:$U$10,2,FALSE)))</f>
        <v>0</v>
      </c>
      <c r="AD216" s="8">
        <v>3</v>
      </c>
      <c r="AE216" s="8">
        <v>2</v>
      </c>
      <c r="AF216" s="8">
        <v>2</v>
      </c>
      <c r="AG216" s="8">
        <v>1</v>
      </c>
      <c r="AH216" s="8" t="str">
        <f t="shared" ref="AH216:AH267" si="71">IF(AL208="Other","x","")</f>
        <v/>
      </c>
      <c r="AI216" s="12"/>
      <c r="AZ216" s="12"/>
      <c r="BC216" s="12"/>
      <c r="BS216" s="127"/>
    </row>
    <row r="217" spans="1:71" x14ac:dyDescent="0.25">
      <c r="A217" s="29">
        <f t="shared" si="57"/>
        <v>0</v>
      </c>
      <c r="B217" s="29">
        <f t="shared" si="66"/>
        <v>0</v>
      </c>
      <c r="C217" s="29">
        <f t="shared" si="67"/>
        <v>0</v>
      </c>
      <c r="D217" s="29">
        <f t="shared" si="68"/>
        <v>0</v>
      </c>
      <c r="E217" s="29">
        <f t="shared" si="58"/>
        <v>0</v>
      </c>
      <c r="F217" s="29">
        <f t="shared" si="59"/>
        <v>0</v>
      </c>
      <c r="G217" s="29" t="str">
        <f t="shared" si="60"/>
        <v>offensive</v>
      </c>
      <c r="H217" s="16">
        <f t="shared" si="64"/>
        <v>0</v>
      </c>
      <c r="I217" s="16">
        <f t="shared" si="65"/>
        <v>0</v>
      </c>
      <c r="J217" s="16">
        <f t="shared" si="69"/>
        <v>0</v>
      </c>
      <c r="K217" s="16">
        <f t="shared" si="61"/>
        <v>0</v>
      </c>
      <c r="L217" s="67">
        <f t="shared" si="62"/>
        <v>0</v>
      </c>
      <c r="M217" s="4">
        <f t="shared" si="70"/>
        <v>0</v>
      </c>
      <c r="N217" s="4">
        <f t="shared" si="56"/>
        <v>0</v>
      </c>
      <c r="O217" s="4">
        <f t="shared" si="63"/>
        <v>0</v>
      </c>
      <c r="P217" s="4" t="s">
        <v>126</v>
      </c>
      <c r="Q217" s="4" t="e">
        <f>VLOOKUP(AJ209,'CIR Team Info'!$C$5:$E$44,3,FALSE)</f>
        <v>#N/A</v>
      </c>
      <c r="R217" s="10" t="e">
        <f>VLOOKUP(AJ209,'FRC Site Data'!$B$3:$L$42,2,FALSE)</f>
        <v>#N/A</v>
      </c>
      <c r="S217" s="10" t="e">
        <f>VLOOKUP(AJ209,'FRC Site Data'!$B$3:$L$42,3,FALSE)</f>
        <v>#N/A</v>
      </c>
      <c r="T217" s="10" t="e">
        <f>VLOOKUP(AJ209,'FRC Site Data'!$B$3:$L$42,4,FALSE)</f>
        <v>#N/A</v>
      </c>
      <c r="U217" s="10" t="e">
        <f>VLOOKUP(AJ209,'FRC Site Data'!$B$3:$L$42,5,FALSE)</f>
        <v>#N/A</v>
      </c>
      <c r="V217" s="10" t="e">
        <f>VLOOKUP(AJ209,'FRC Site Data'!$B$3:$L$42,6,FALSE)</f>
        <v>#N/A</v>
      </c>
      <c r="W217" s="10" t="e">
        <f>VLOOKUP(AJ209,'FRC Site Data'!$B$3:$L$42,8,FALSE)</f>
        <v>#N/A</v>
      </c>
      <c r="X217" s="10" t="e">
        <f>VLOOKUP(AJ209,'FRC Site Data'!$B$3:$L$42,9,FALSE)</f>
        <v>#N/A</v>
      </c>
      <c r="Y217" s="10" t="e">
        <f>VLOOKUP(AJ209,'FRC Site Data'!$B$3:$L$42,10,FALSE)</f>
        <v>#N/A</v>
      </c>
      <c r="Z217" s="10" t="e">
        <f>VLOOKUP(AJ209,'FRC Site Data'!$B$3:$L$42,11,FALSE)</f>
        <v>#N/A</v>
      </c>
      <c r="AA217" s="10" t="e">
        <f>VLOOKUP(AJ209,'CIR Team Info'!$C$5:$E$44,4,FALSE)</f>
        <v>#N/A</v>
      </c>
      <c r="AB217" s="161" t="b">
        <f>ISNUMBER(VLOOKUP(AJ209,Match!$T$5:$T$10,1,FALSE))</f>
        <v>0</v>
      </c>
      <c r="AC217" s="161" t="b">
        <f>IF(AB217=TRUE,(VLOOKUP($AJ209,Match!$T$5:$U$10,2,FALSE)))</f>
        <v>0</v>
      </c>
      <c r="AD217" s="8">
        <v>3</v>
      </c>
      <c r="AE217" s="8">
        <v>2</v>
      </c>
      <c r="AF217" s="8">
        <v>2</v>
      </c>
      <c r="AG217" s="8">
        <v>1</v>
      </c>
      <c r="AH217" s="8" t="str">
        <f t="shared" si="71"/>
        <v/>
      </c>
      <c r="AI217" s="12"/>
      <c r="AZ217" s="12"/>
      <c r="BC217" s="12"/>
      <c r="BS217" s="127"/>
    </row>
    <row r="218" spans="1:71" x14ac:dyDescent="0.25">
      <c r="A218" s="29">
        <f t="shared" si="57"/>
        <v>0</v>
      </c>
      <c r="B218" s="29">
        <f t="shared" si="66"/>
        <v>0</v>
      </c>
      <c r="C218" s="29">
        <f t="shared" si="67"/>
        <v>0</v>
      </c>
      <c r="D218" s="29">
        <f t="shared" si="68"/>
        <v>0</v>
      </c>
      <c r="E218" s="29">
        <f t="shared" si="58"/>
        <v>0</v>
      </c>
      <c r="F218" s="29">
        <f t="shared" si="59"/>
        <v>0</v>
      </c>
      <c r="G218" s="29" t="str">
        <f t="shared" si="60"/>
        <v>offensive</v>
      </c>
      <c r="H218" s="16">
        <f t="shared" si="64"/>
        <v>0</v>
      </c>
      <c r="I218" s="16">
        <f t="shared" si="65"/>
        <v>0</v>
      </c>
      <c r="J218" s="16">
        <f t="shared" si="69"/>
        <v>0</v>
      </c>
      <c r="K218" s="16">
        <f t="shared" si="61"/>
        <v>0</v>
      </c>
      <c r="L218" s="67">
        <f t="shared" si="62"/>
        <v>0</v>
      </c>
      <c r="M218" s="4">
        <f t="shared" si="70"/>
        <v>0</v>
      </c>
      <c r="N218" s="4">
        <f t="shared" si="56"/>
        <v>0</v>
      </c>
      <c r="O218" s="4">
        <f t="shared" si="63"/>
        <v>0</v>
      </c>
      <c r="P218" s="4" t="e">
        <f>VLOOKUP(AJ210,'CIR Team Info'!$C$5:$E$44,2,FALSE)</f>
        <v>#N/A</v>
      </c>
      <c r="Q218" s="4" t="e">
        <f>VLOOKUP(AJ210,'CIR Team Info'!$C$5:$E$44,3,FALSE)</f>
        <v>#N/A</v>
      </c>
      <c r="R218" s="10" t="e">
        <f>VLOOKUP(AJ210,'FRC Site Data'!$B$3:$L$42,2,FALSE)</f>
        <v>#N/A</v>
      </c>
      <c r="S218" s="10" t="e">
        <f>VLOOKUP(AJ210,'FRC Site Data'!$B$3:$L$42,3,FALSE)</f>
        <v>#N/A</v>
      </c>
      <c r="T218" s="10" t="e">
        <f>VLOOKUP(AJ210,'FRC Site Data'!$B$3:$L$42,4,FALSE)</f>
        <v>#N/A</v>
      </c>
      <c r="U218" s="10" t="e">
        <f>VLOOKUP(AJ210,'FRC Site Data'!$B$3:$L$42,5,FALSE)</f>
        <v>#N/A</v>
      </c>
      <c r="V218" s="10" t="e">
        <f>VLOOKUP(AJ210,'FRC Site Data'!$B$3:$L$42,6,FALSE)</f>
        <v>#N/A</v>
      </c>
      <c r="W218" s="10" t="e">
        <f>VLOOKUP(AJ210,'FRC Site Data'!$B$3:$L$42,8,FALSE)</f>
        <v>#N/A</v>
      </c>
      <c r="X218" s="10" t="e">
        <f>VLOOKUP(AJ210,'FRC Site Data'!$B$3:$L$42,9,FALSE)</f>
        <v>#N/A</v>
      </c>
      <c r="Y218" s="10" t="e">
        <f>VLOOKUP(AJ210,'FRC Site Data'!$B$3:$L$42,10,FALSE)</f>
        <v>#N/A</v>
      </c>
      <c r="Z218" s="10" t="e">
        <f>VLOOKUP(AJ210,'FRC Site Data'!$B$3:$L$42,11,FALSE)</f>
        <v>#N/A</v>
      </c>
      <c r="AA218" s="10" t="e">
        <f>VLOOKUP(AJ210,'CIR Team Info'!$C$5:$E$44,4,FALSE)</f>
        <v>#N/A</v>
      </c>
      <c r="AB218" s="161" t="b">
        <f>ISNUMBER(VLOOKUP(AJ210,Match!$T$5:$T$10,1,FALSE))</f>
        <v>0</v>
      </c>
      <c r="AC218" s="161" t="b">
        <f>IF(AB218=TRUE,(VLOOKUP($AJ210,Match!$T$5:$U$10,2,FALSE)))</f>
        <v>0</v>
      </c>
      <c r="AD218" s="8">
        <v>3</v>
      </c>
      <c r="AE218" s="8">
        <v>2</v>
      </c>
      <c r="AF218" s="8">
        <v>2</v>
      </c>
      <c r="AG218" s="8">
        <v>1</v>
      </c>
      <c r="AH218" s="8" t="str">
        <f t="shared" si="71"/>
        <v/>
      </c>
      <c r="AI218" s="12"/>
      <c r="AZ218" s="12"/>
      <c r="BC218" s="12"/>
      <c r="BS218" s="127"/>
    </row>
    <row r="219" spans="1:71" x14ac:dyDescent="0.25">
      <c r="A219" s="29">
        <f t="shared" si="57"/>
        <v>0</v>
      </c>
      <c r="B219" s="29">
        <f t="shared" si="66"/>
        <v>0</v>
      </c>
      <c r="C219" s="29">
        <f t="shared" si="67"/>
        <v>0</v>
      </c>
      <c r="D219" s="29">
        <f t="shared" si="68"/>
        <v>0</v>
      </c>
      <c r="E219" s="29">
        <f t="shared" si="58"/>
        <v>0</v>
      </c>
      <c r="F219" s="29">
        <f t="shared" si="59"/>
        <v>0</v>
      </c>
      <c r="G219" s="29" t="str">
        <f t="shared" si="60"/>
        <v>offensive</v>
      </c>
      <c r="H219" s="16">
        <f t="shared" si="64"/>
        <v>0</v>
      </c>
      <c r="I219" s="16">
        <f t="shared" si="65"/>
        <v>0</v>
      </c>
      <c r="J219" s="16">
        <f t="shared" si="69"/>
        <v>0</v>
      </c>
      <c r="K219" s="16">
        <f t="shared" si="61"/>
        <v>0</v>
      </c>
      <c r="L219" s="67">
        <f t="shared" si="62"/>
        <v>0</v>
      </c>
      <c r="M219" s="4">
        <f t="shared" si="70"/>
        <v>0</v>
      </c>
      <c r="N219" s="4">
        <f t="shared" si="56"/>
        <v>0</v>
      </c>
      <c r="O219" s="4">
        <f t="shared" si="63"/>
        <v>0</v>
      </c>
      <c r="P219" s="4" t="e">
        <f>VLOOKUP(AJ211,'CIR Team Info'!$C$5:$E$44,2,FALSE)</f>
        <v>#N/A</v>
      </c>
      <c r="Q219" s="4" t="e">
        <f>VLOOKUP(AJ211,'CIR Team Info'!$C$5:$E$44,3,FALSE)</f>
        <v>#N/A</v>
      </c>
      <c r="R219" s="10" t="e">
        <f>VLOOKUP(AJ211,'FRC Site Data'!$B$3:$L$42,2,FALSE)</f>
        <v>#N/A</v>
      </c>
      <c r="S219" s="10" t="e">
        <f>VLOOKUP(AJ211,'FRC Site Data'!$B$3:$L$42,3,FALSE)</f>
        <v>#N/A</v>
      </c>
      <c r="T219" s="10" t="e">
        <f>VLOOKUP(AJ211,'FRC Site Data'!$B$3:$L$42,4,FALSE)</f>
        <v>#N/A</v>
      </c>
      <c r="U219" s="10" t="e">
        <f>VLOOKUP(AJ211,'FRC Site Data'!$B$3:$L$42,5,FALSE)</f>
        <v>#N/A</v>
      </c>
      <c r="V219" s="10" t="e">
        <f>VLOOKUP(AJ211,'FRC Site Data'!$B$3:$L$42,6,FALSE)</f>
        <v>#N/A</v>
      </c>
      <c r="W219" s="10" t="e">
        <f>VLOOKUP(AJ211,'FRC Site Data'!$B$3:$L$42,8,FALSE)</f>
        <v>#N/A</v>
      </c>
      <c r="X219" s="10" t="e">
        <f>VLOOKUP(AJ211,'FRC Site Data'!$B$3:$L$42,9,FALSE)</f>
        <v>#N/A</v>
      </c>
      <c r="Y219" s="10" t="e">
        <f>VLOOKUP(AJ211,'FRC Site Data'!$B$3:$L$42,10,FALSE)</f>
        <v>#N/A</v>
      </c>
      <c r="Z219" s="10" t="e">
        <f>VLOOKUP(AJ211,'FRC Site Data'!$B$3:$L$42,11,FALSE)</f>
        <v>#N/A</v>
      </c>
      <c r="AA219" s="10" t="e">
        <f>VLOOKUP(AJ211,'CIR Team Info'!$C$5:$E$44,4,FALSE)</f>
        <v>#N/A</v>
      </c>
      <c r="AB219" s="161" t="b">
        <f>ISNUMBER(VLOOKUP(AJ211,Match!$T$5:$T$10,1,FALSE))</f>
        <v>0</v>
      </c>
      <c r="AC219" s="161" t="b">
        <f>IF(AB219=TRUE,(VLOOKUP($AJ211,Match!$T$5:$U$10,2,FALSE)))</f>
        <v>0</v>
      </c>
      <c r="AD219" s="8">
        <v>3</v>
      </c>
      <c r="AE219" s="8">
        <v>2</v>
      </c>
      <c r="AF219" s="8">
        <v>2</v>
      </c>
      <c r="AG219" s="8">
        <v>1</v>
      </c>
      <c r="AH219" s="8" t="str">
        <f t="shared" si="71"/>
        <v/>
      </c>
      <c r="AI219" s="12"/>
      <c r="AZ219" s="12"/>
      <c r="BC219" s="12"/>
      <c r="BS219" s="127"/>
    </row>
    <row r="220" spans="1:71" x14ac:dyDescent="0.25">
      <c r="A220" s="29">
        <f t="shared" si="57"/>
        <v>0</v>
      </c>
      <c r="B220" s="29">
        <f t="shared" si="66"/>
        <v>0</v>
      </c>
      <c r="C220" s="29">
        <f t="shared" si="67"/>
        <v>0</v>
      </c>
      <c r="D220" s="29">
        <f t="shared" si="68"/>
        <v>0</v>
      </c>
      <c r="E220" s="29">
        <f t="shared" si="58"/>
        <v>0</v>
      </c>
      <c r="F220" s="29">
        <f t="shared" si="59"/>
        <v>0</v>
      </c>
      <c r="G220" s="29" t="str">
        <f t="shared" si="60"/>
        <v>offensive</v>
      </c>
      <c r="H220" s="16">
        <f t="shared" si="64"/>
        <v>0</v>
      </c>
      <c r="I220" s="16">
        <f t="shared" si="65"/>
        <v>0</v>
      </c>
      <c r="J220" s="16">
        <f t="shared" si="69"/>
        <v>0</v>
      </c>
      <c r="K220" s="16">
        <f t="shared" si="61"/>
        <v>0</v>
      </c>
      <c r="L220" s="67">
        <f t="shared" si="62"/>
        <v>0</v>
      </c>
      <c r="M220" s="4">
        <f t="shared" si="70"/>
        <v>0</v>
      </c>
      <c r="N220" s="4">
        <f t="shared" si="56"/>
        <v>0</v>
      </c>
      <c r="O220" s="4">
        <f t="shared" si="63"/>
        <v>0</v>
      </c>
      <c r="P220" s="4" t="e">
        <f>VLOOKUP(AJ212,'CIR Team Info'!$C$5:$E$44,2,FALSE)</f>
        <v>#N/A</v>
      </c>
      <c r="Q220" s="4" t="e">
        <f>VLOOKUP(AJ212,'CIR Team Info'!$C$5:$E$44,3,FALSE)</f>
        <v>#N/A</v>
      </c>
      <c r="R220" s="10" t="e">
        <f>VLOOKUP(AJ212,'FRC Site Data'!$B$3:$L$42,2,FALSE)</f>
        <v>#N/A</v>
      </c>
      <c r="S220" s="10" t="e">
        <f>VLOOKUP(AJ212,'FRC Site Data'!$B$3:$L$42,3,FALSE)</f>
        <v>#N/A</v>
      </c>
      <c r="T220" s="10" t="e">
        <f>VLOOKUP(AJ212,'FRC Site Data'!$B$3:$L$42,4,FALSE)</f>
        <v>#N/A</v>
      </c>
      <c r="U220" s="10" t="e">
        <f>VLOOKUP(AJ212,'FRC Site Data'!$B$3:$L$42,5,FALSE)</f>
        <v>#N/A</v>
      </c>
      <c r="V220" s="10" t="e">
        <f>VLOOKUP(AJ212,'FRC Site Data'!$B$3:$L$42,6,FALSE)</f>
        <v>#N/A</v>
      </c>
      <c r="W220" s="10" t="e">
        <f>VLOOKUP(AJ212,'FRC Site Data'!$B$3:$L$42,8,FALSE)</f>
        <v>#N/A</v>
      </c>
      <c r="X220" s="10" t="e">
        <f>VLOOKUP(AJ212,'FRC Site Data'!$B$3:$L$42,9,FALSE)</f>
        <v>#N/A</v>
      </c>
      <c r="Y220" s="10" t="e">
        <f>VLOOKUP(AJ212,'FRC Site Data'!$B$3:$L$42,10,FALSE)</f>
        <v>#N/A</v>
      </c>
      <c r="Z220" s="10" t="e">
        <f>VLOOKUP(AJ212,'FRC Site Data'!$B$3:$L$42,11,FALSE)</f>
        <v>#N/A</v>
      </c>
      <c r="AA220" s="10" t="e">
        <f>VLOOKUP(AJ212,'CIR Team Info'!$C$5:$E$44,4,FALSE)</f>
        <v>#N/A</v>
      </c>
      <c r="AB220" s="161" t="b">
        <f>ISNUMBER(VLOOKUP(AJ212,Match!$T$5:$T$10,1,FALSE))</f>
        <v>0</v>
      </c>
      <c r="AC220" s="161" t="b">
        <f>IF(AB220=TRUE,(VLOOKUP($AJ212,Match!$T$5:$U$10,2,FALSE)))</f>
        <v>0</v>
      </c>
      <c r="AD220" s="8">
        <v>3</v>
      </c>
      <c r="AE220" s="8">
        <v>2</v>
      </c>
      <c r="AF220" s="8">
        <v>2</v>
      </c>
      <c r="AG220" s="8">
        <v>1</v>
      </c>
      <c r="AH220" s="8" t="str">
        <f t="shared" si="71"/>
        <v/>
      </c>
      <c r="AI220" s="12"/>
      <c r="AZ220" s="12"/>
      <c r="BC220" s="12"/>
      <c r="BS220" s="127"/>
    </row>
    <row r="221" spans="1:71" x14ac:dyDescent="0.25">
      <c r="A221" s="29">
        <f t="shared" si="57"/>
        <v>0</v>
      </c>
      <c r="B221" s="29">
        <f t="shared" si="66"/>
        <v>0</v>
      </c>
      <c r="C221" s="29">
        <f t="shared" si="67"/>
        <v>0</v>
      </c>
      <c r="D221" s="29">
        <f t="shared" si="68"/>
        <v>0</v>
      </c>
      <c r="E221" s="29">
        <f t="shared" si="58"/>
        <v>0</v>
      </c>
      <c r="F221" s="29">
        <f t="shared" si="59"/>
        <v>0</v>
      </c>
      <c r="G221" s="29" t="str">
        <f t="shared" si="60"/>
        <v>offensive</v>
      </c>
      <c r="H221" s="16">
        <f t="shared" si="64"/>
        <v>0</v>
      </c>
      <c r="I221" s="16">
        <f t="shared" si="65"/>
        <v>0</v>
      </c>
      <c r="J221" s="16">
        <f t="shared" si="69"/>
        <v>0</v>
      </c>
      <c r="K221" s="16">
        <f t="shared" si="61"/>
        <v>0</v>
      </c>
      <c r="L221" s="67">
        <f t="shared" si="62"/>
        <v>0</v>
      </c>
      <c r="M221" s="4">
        <f t="shared" si="70"/>
        <v>0</v>
      </c>
      <c r="N221" s="4">
        <f t="shared" ref="N221:N248" si="72">AO213+AV213+BD213</f>
        <v>0</v>
      </c>
      <c r="O221" s="4">
        <f t="shared" si="63"/>
        <v>0</v>
      </c>
      <c r="P221" s="4" t="e">
        <f>VLOOKUP(AJ213,'CIR Team Info'!$C$5:$E$44,2,FALSE)</f>
        <v>#N/A</v>
      </c>
      <c r="Q221" s="4" t="e">
        <f>VLOOKUP(AJ213,'CIR Team Info'!$C$5:$E$44,3,FALSE)</f>
        <v>#N/A</v>
      </c>
      <c r="R221" s="10" t="e">
        <f>VLOOKUP(AJ213,'FRC Site Data'!$B$3:$L$42,2,FALSE)</f>
        <v>#N/A</v>
      </c>
      <c r="S221" s="10" t="e">
        <f>VLOOKUP(AJ213,'FRC Site Data'!$B$3:$L$42,3,FALSE)</f>
        <v>#N/A</v>
      </c>
      <c r="T221" s="10" t="e">
        <f>VLOOKUP(AJ213,'FRC Site Data'!$B$3:$L$42,4,FALSE)</f>
        <v>#N/A</v>
      </c>
      <c r="U221" s="10" t="e">
        <f>VLOOKUP(AJ213,'FRC Site Data'!$B$3:$L$42,5,FALSE)</f>
        <v>#N/A</v>
      </c>
      <c r="V221" s="10" t="e">
        <f>VLOOKUP(AJ213,'FRC Site Data'!$B$3:$L$42,6,FALSE)</f>
        <v>#N/A</v>
      </c>
      <c r="W221" s="10" t="e">
        <f>VLOOKUP(AJ213,'FRC Site Data'!$B$3:$L$42,8,FALSE)</f>
        <v>#N/A</v>
      </c>
      <c r="X221" s="10" t="e">
        <f>VLOOKUP(AJ213,'FRC Site Data'!$B$3:$L$42,9,FALSE)</f>
        <v>#N/A</v>
      </c>
      <c r="Y221" s="10" t="e">
        <f>VLOOKUP(AJ213,'FRC Site Data'!$B$3:$L$42,10,FALSE)</f>
        <v>#N/A</v>
      </c>
      <c r="Z221" s="10" t="e">
        <f>VLOOKUP(AJ213,'FRC Site Data'!$B$3:$L$42,11,FALSE)</f>
        <v>#N/A</v>
      </c>
      <c r="AA221" s="10" t="e">
        <f>VLOOKUP(AJ213,'CIR Team Info'!$C$5:$E$44,4,FALSE)</f>
        <v>#N/A</v>
      </c>
      <c r="AB221" s="161" t="b">
        <f>ISNUMBER(VLOOKUP(AJ213,Match!$T$5:$T$10,1,FALSE))</f>
        <v>0</v>
      </c>
      <c r="AC221" s="161" t="b">
        <f>IF(AB221=TRUE,(VLOOKUP($AJ213,Match!$T$5:$U$10,2,FALSE)))</f>
        <v>0</v>
      </c>
      <c r="AD221" s="8">
        <v>3</v>
      </c>
      <c r="AE221" s="8">
        <v>2</v>
      </c>
      <c r="AF221" s="8">
        <v>2</v>
      </c>
      <c r="AG221" s="8">
        <v>1</v>
      </c>
      <c r="AH221" s="8" t="str">
        <f t="shared" si="71"/>
        <v/>
      </c>
      <c r="AI221" s="12"/>
      <c r="AZ221" s="12"/>
      <c r="BC221" s="12"/>
      <c r="BS221" s="127"/>
    </row>
    <row r="222" spans="1:71" x14ac:dyDescent="0.25">
      <c r="A222" s="29">
        <f t="shared" si="57"/>
        <v>0</v>
      </c>
      <c r="B222" s="29">
        <f t="shared" si="66"/>
        <v>0</v>
      </c>
      <c r="C222" s="29">
        <f t="shared" si="67"/>
        <v>0</v>
      </c>
      <c r="D222" s="29">
        <f t="shared" si="68"/>
        <v>0</v>
      </c>
      <c r="E222" s="29">
        <f t="shared" si="58"/>
        <v>0</v>
      </c>
      <c r="F222" s="29">
        <f t="shared" ref="F222:F249" si="73">IF(AN214&gt;0,5)-2*COUNTIF(AQ214,"K")+5*COUNTIF(AS214,"T")+IF(AX214=3,2)+IF(AY214="T",2)</f>
        <v>0</v>
      </c>
      <c r="G222" s="29" t="str">
        <f t="shared" ref="G222:G249" si="74">IF((BB214+BC214)&gt;45,"defensive",IF((BB214+BC214)&gt;15,"both","offensive"))</f>
        <v>offensive</v>
      </c>
      <c r="H222" s="16">
        <f t="shared" si="64"/>
        <v>0</v>
      </c>
      <c r="I222" s="16">
        <f t="shared" si="65"/>
        <v>0</v>
      </c>
      <c r="J222" s="16">
        <f t="shared" si="69"/>
        <v>0</v>
      </c>
      <c r="K222" s="16">
        <f t="shared" ref="K222:K249" si="75">IF((BB214+BC214)=0,0,((AZ214*BB214*0.2)+(BA214*BC214*0.3))/(BB214+BC214))</f>
        <v>0</v>
      </c>
      <c r="L222" s="67">
        <f t="shared" ref="L222:L249" si="76">IF(BF214&gt;BG214,BF214,BG214)</f>
        <v>0</v>
      </c>
      <c r="M222" s="4">
        <f t="shared" si="70"/>
        <v>0</v>
      </c>
      <c r="N222" s="4">
        <f t="shared" si="72"/>
        <v>0</v>
      </c>
      <c r="O222" s="4">
        <f t="shared" ref="O222:O249" si="77">(AZ214*0.2*BB214*30/30)+(BA214*0.3*BC214*12/30)-BI214-BJ214</f>
        <v>0</v>
      </c>
      <c r="P222" s="4" t="e">
        <f>VLOOKUP(AJ214,'CIR Team Info'!$C$5:$E$44,2,FALSE)</f>
        <v>#N/A</v>
      </c>
      <c r="Q222" s="4" t="e">
        <f>VLOOKUP(AJ214,'CIR Team Info'!$C$5:$E$44,3,FALSE)</f>
        <v>#N/A</v>
      </c>
      <c r="R222" s="10" t="e">
        <f>VLOOKUP(AJ214,'FRC Site Data'!$B$3:$L$42,2,FALSE)</f>
        <v>#N/A</v>
      </c>
      <c r="S222" s="10" t="e">
        <f>VLOOKUP(AJ214,'FRC Site Data'!$B$3:$L$42,3,FALSE)</f>
        <v>#N/A</v>
      </c>
      <c r="T222" s="10" t="e">
        <f>VLOOKUP(AJ214,'FRC Site Data'!$B$3:$L$42,4,FALSE)</f>
        <v>#N/A</v>
      </c>
      <c r="U222" s="10" t="e">
        <f>VLOOKUP(AJ214,'FRC Site Data'!$B$3:$L$42,5,FALSE)</f>
        <v>#N/A</v>
      </c>
      <c r="V222" s="10" t="e">
        <f>VLOOKUP(AJ214,'FRC Site Data'!$B$3:$L$42,6,FALSE)</f>
        <v>#N/A</v>
      </c>
      <c r="W222" s="10" t="e">
        <f>VLOOKUP(AJ214,'FRC Site Data'!$B$3:$L$42,8,FALSE)</f>
        <v>#N/A</v>
      </c>
      <c r="X222" s="10" t="e">
        <f>VLOOKUP(AJ214,'FRC Site Data'!$B$3:$L$42,9,FALSE)</f>
        <v>#N/A</v>
      </c>
      <c r="Y222" s="10" t="e">
        <f>VLOOKUP(AJ214,'FRC Site Data'!$B$3:$L$42,10,FALSE)</f>
        <v>#N/A</v>
      </c>
      <c r="Z222" s="10" t="e">
        <f>VLOOKUP(AJ214,'FRC Site Data'!$B$3:$L$42,11,FALSE)</f>
        <v>#N/A</v>
      </c>
      <c r="AA222" s="10" t="e">
        <f>VLOOKUP(AJ214,'CIR Team Info'!$C$5:$E$44,4,FALSE)</f>
        <v>#N/A</v>
      </c>
      <c r="AB222" s="161" t="b">
        <f>ISNUMBER(VLOOKUP(AJ214,Match!$T$5:$T$10,1,FALSE))</f>
        <v>0</v>
      </c>
      <c r="AC222" s="161" t="b">
        <f>IF(AB222=TRUE,(VLOOKUP($AJ214,Match!$T$5:$U$10,2,FALSE)))</f>
        <v>0</v>
      </c>
      <c r="AD222" s="8">
        <v>3</v>
      </c>
      <c r="AE222" s="8">
        <v>2</v>
      </c>
      <c r="AF222" s="8">
        <v>2</v>
      </c>
      <c r="AG222" s="8">
        <v>1</v>
      </c>
      <c r="AH222" s="8" t="str">
        <f t="shared" si="71"/>
        <v/>
      </c>
      <c r="AI222" s="12"/>
      <c r="AZ222" s="12"/>
      <c r="BC222" s="12"/>
      <c r="BS222" s="127"/>
    </row>
    <row r="223" spans="1:71" x14ac:dyDescent="0.25">
      <c r="A223" s="29">
        <f t="shared" si="57"/>
        <v>0</v>
      </c>
      <c r="B223" s="29">
        <f t="shared" si="66"/>
        <v>0</v>
      </c>
      <c r="C223" s="29">
        <f t="shared" si="67"/>
        <v>0</v>
      </c>
      <c r="D223" s="29">
        <f t="shared" si="68"/>
        <v>0</v>
      </c>
      <c r="E223" s="29">
        <f t="shared" si="58"/>
        <v>0</v>
      </c>
      <c r="F223" s="29">
        <f t="shared" si="73"/>
        <v>0</v>
      </c>
      <c r="G223" s="29" t="str">
        <f t="shared" si="74"/>
        <v>offensive</v>
      </c>
      <c r="H223" s="16">
        <f t="shared" si="64"/>
        <v>0</v>
      </c>
      <c r="I223" s="16">
        <f t="shared" si="65"/>
        <v>0</v>
      </c>
      <c r="J223" s="16">
        <f t="shared" si="69"/>
        <v>0</v>
      </c>
      <c r="K223" s="16">
        <f t="shared" si="75"/>
        <v>0</v>
      </c>
      <c r="L223" s="67">
        <f t="shared" si="76"/>
        <v>0</v>
      </c>
      <c r="M223" s="4">
        <f t="shared" si="70"/>
        <v>0</v>
      </c>
      <c r="N223" s="4">
        <f t="shared" si="72"/>
        <v>0</v>
      </c>
      <c r="O223" s="4">
        <f t="shared" si="77"/>
        <v>0</v>
      </c>
      <c r="P223" s="4" t="e">
        <f>VLOOKUP(AJ215,'CIR Team Info'!$C$5:$E$44,2,FALSE)</f>
        <v>#N/A</v>
      </c>
      <c r="Q223" s="4" t="e">
        <f>VLOOKUP(AJ215,'CIR Team Info'!$C$5:$E$44,3,FALSE)</f>
        <v>#N/A</v>
      </c>
      <c r="R223" s="10" t="e">
        <f>VLOOKUP(AJ215,'FRC Site Data'!$B$3:$L$42,2,FALSE)</f>
        <v>#N/A</v>
      </c>
      <c r="S223" s="10" t="e">
        <f>VLOOKUP(AJ215,'FRC Site Data'!$B$3:$L$42,3,FALSE)</f>
        <v>#N/A</v>
      </c>
      <c r="T223" s="10" t="e">
        <f>VLOOKUP(AJ215,'FRC Site Data'!$B$3:$L$42,4,FALSE)</f>
        <v>#N/A</v>
      </c>
      <c r="U223" s="10" t="e">
        <f>VLOOKUP(AJ215,'FRC Site Data'!$B$3:$L$42,5,FALSE)</f>
        <v>#N/A</v>
      </c>
      <c r="V223" s="10" t="e">
        <f>VLOOKUP(AJ215,'FRC Site Data'!$B$3:$L$42,6,FALSE)</f>
        <v>#N/A</v>
      </c>
      <c r="W223" s="10" t="e">
        <f>VLOOKUP(AJ215,'FRC Site Data'!$B$3:$L$42,8,FALSE)</f>
        <v>#N/A</v>
      </c>
      <c r="X223" s="10" t="e">
        <f>VLOOKUP(AJ215,'FRC Site Data'!$B$3:$L$42,9,FALSE)</f>
        <v>#N/A</v>
      </c>
      <c r="Y223" s="10" t="e">
        <f>VLOOKUP(AJ215,'FRC Site Data'!$B$3:$L$42,10,FALSE)</f>
        <v>#N/A</v>
      </c>
      <c r="Z223" s="10" t="e">
        <f>VLOOKUP(AJ215,'FRC Site Data'!$B$3:$L$42,11,FALSE)</f>
        <v>#N/A</v>
      </c>
      <c r="AA223" s="10" t="e">
        <f>VLOOKUP(AJ215,'CIR Team Info'!$C$5:$E$44,4,FALSE)</f>
        <v>#N/A</v>
      </c>
      <c r="AB223" s="161" t="b">
        <f>ISNUMBER(VLOOKUP(AJ215,Match!$T$5:$T$10,1,FALSE))</f>
        <v>0</v>
      </c>
      <c r="AC223" s="161" t="b">
        <f>IF(AB223=TRUE,(VLOOKUP($AJ215,Match!$T$5:$U$10,2,FALSE)))</f>
        <v>0</v>
      </c>
      <c r="AD223" s="8">
        <v>3</v>
      </c>
      <c r="AE223" s="8">
        <v>2</v>
      </c>
      <c r="AF223" s="8">
        <v>2</v>
      </c>
      <c r="AG223" s="8">
        <v>1</v>
      </c>
      <c r="AH223" s="8" t="str">
        <f t="shared" si="71"/>
        <v/>
      </c>
      <c r="AI223" s="12"/>
      <c r="AZ223" s="12"/>
      <c r="BC223" s="12"/>
      <c r="BS223" s="127"/>
    </row>
    <row r="224" spans="1:71" x14ac:dyDescent="0.25">
      <c r="A224" s="29">
        <f t="shared" si="57"/>
        <v>0</v>
      </c>
      <c r="B224" s="29">
        <f t="shared" si="66"/>
        <v>0</v>
      </c>
      <c r="C224" s="29">
        <f t="shared" si="67"/>
        <v>0</v>
      </c>
      <c r="D224" s="29">
        <f t="shared" si="68"/>
        <v>0</v>
      </c>
      <c r="E224" s="29">
        <f t="shared" si="58"/>
        <v>0</v>
      </c>
      <c r="F224" s="29">
        <f t="shared" si="73"/>
        <v>0</v>
      </c>
      <c r="G224" s="29" t="str">
        <f t="shared" si="74"/>
        <v>offensive</v>
      </c>
      <c r="H224" s="16">
        <f t="shared" si="64"/>
        <v>0</v>
      </c>
      <c r="I224" s="16">
        <f t="shared" si="65"/>
        <v>0</v>
      </c>
      <c r="J224" s="16">
        <f t="shared" si="69"/>
        <v>0</v>
      </c>
      <c r="K224" s="16">
        <f t="shared" si="75"/>
        <v>0</v>
      </c>
      <c r="L224" s="67">
        <f t="shared" si="76"/>
        <v>0</v>
      </c>
      <c r="M224" s="4">
        <f t="shared" si="70"/>
        <v>0</v>
      </c>
      <c r="N224" s="4">
        <f t="shared" si="72"/>
        <v>0</v>
      </c>
      <c r="O224" s="4">
        <f t="shared" si="77"/>
        <v>0</v>
      </c>
      <c r="P224" s="4" t="e">
        <f>VLOOKUP(AJ216,'CIR Team Info'!$C$5:$E$44,2,FALSE)</f>
        <v>#N/A</v>
      </c>
      <c r="Q224" s="4" t="e">
        <f>VLOOKUP(AJ216,'CIR Team Info'!$C$5:$E$44,3,FALSE)</f>
        <v>#N/A</v>
      </c>
      <c r="R224" s="10" t="e">
        <f>VLOOKUP(AJ216,'FRC Site Data'!$B$3:$L$42,2,FALSE)</f>
        <v>#N/A</v>
      </c>
      <c r="S224" s="10" t="e">
        <f>VLOOKUP(AJ216,'FRC Site Data'!$B$3:$L$42,3,FALSE)</f>
        <v>#N/A</v>
      </c>
      <c r="T224" s="10" t="e">
        <f>VLOOKUP(AJ216,'FRC Site Data'!$B$3:$L$42,4,FALSE)</f>
        <v>#N/A</v>
      </c>
      <c r="U224" s="10" t="e">
        <f>VLOOKUP(AJ216,'FRC Site Data'!$B$3:$L$42,5,FALSE)</f>
        <v>#N/A</v>
      </c>
      <c r="V224" s="10" t="e">
        <f>VLOOKUP(AJ216,'FRC Site Data'!$B$3:$L$42,6,FALSE)</f>
        <v>#N/A</v>
      </c>
      <c r="W224" s="10" t="e">
        <f>VLOOKUP(AJ216,'FRC Site Data'!$B$3:$L$42,8,FALSE)</f>
        <v>#N/A</v>
      </c>
      <c r="X224" s="10" t="e">
        <f>VLOOKUP(AJ216,'FRC Site Data'!$B$3:$L$42,9,FALSE)</f>
        <v>#N/A</v>
      </c>
      <c r="Y224" s="10" t="e">
        <f>VLOOKUP(AJ216,'FRC Site Data'!$B$3:$L$42,10,FALSE)</f>
        <v>#N/A</v>
      </c>
      <c r="Z224" s="10" t="e">
        <f>VLOOKUP(AJ216,'FRC Site Data'!$B$3:$L$42,11,FALSE)</f>
        <v>#N/A</v>
      </c>
      <c r="AA224" s="10" t="e">
        <f>VLOOKUP(AJ216,'CIR Team Info'!$C$5:$E$44,4,FALSE)</f>
        <v>#N/A</v>
      </c>
      <c r="AB224" s="161" t="b">
        <f>ISNUMBER(VLOOKUP(AJ216,Match!$T$5:$T$10,1,FALSE))</f>
        <v>0</v>
      </c>
      <c r="AC224" s="161" t="b">
        <f>IF(AB224=TRUE,(VLOOKUP($AJ216,Match!$T$5:$U$10,2,FALSE)))</f>
        <v>0</v>
      </c>
      <c r="AD224" s="8">
        <v>3</v>
      </c>
      <c r="AE224" s="8">
        <v>2</v>
      </c>
      <c r="AF224" s="8">
        <v>2</v>
      </c>
      <c r="AG224" s="8">
        <v>1</v>
      </c>
      <c r="AH224" s="8" t="str">
        <f t="shared" si="71"/>
        <v/>
      </c>
      <c r="AI224" s="12"/>
      <c r="AZ224" s="12"/>
      <c r="BC224" s="12"/>
      <c r="BS224" s="127"/>
    </row>
    <row r="225" spans="1:71" x14ac:dyDescent="0.25">
      <c r="A225" s="29">
        <f t="shared" si="57"/>
        <v>0</v>
      </c>
      <c r="B225" s="29">
        <f t="shared" si="66"/>
        <v>0</v>
      </c>
      <c r="C225" s="29">
        <f t="shared" si="67"/>
        <v>0</v>
      </c>
      <c r="D225" s="29">
        <f t="shared" si="68"/>
        <v>0</v>
      </c>
      <c r="E225" s="29">
        <f t="shared" si="58"/>
        <v>0</v>
      </c>
      <c r="F225" s="29">
        <f t="shared" si="73"/>
        <v>0</v>
      </c>
      <c r="G225" s="29" t="str">
        <f t="shared" si="74"/>
        <v>offensive</v>
      </c>
      <c r="H225" s="16">
        <f t="shared" si="64"/>
        <v>0</v>
      </c>
      <c r="I225" s="16">
        <f t="shared" si="65"/>
        <v>0</v>
      </c>
      <c r="J225" s="16">
        <f t="shared" si="69"/>
        <v>0</v>
      </c>
      <c r="K225" s="16">
        <f t="shared" si="75"/>
        <v>0</v>
      </c>
      <c r="L225" s="67">
        <f t="shared" si="76"/>
        <v>0</v>
      </c>
      <c r="M225" s="4">
        <f t="shared" si="70"/>
        <v>0</v>
      </c>
      <c r="N225" s="4">
        <f t="shared" si="72"/>
        <v>0</v>
      </c>
      <c r="O225" s="4">
        <f t="shared" si="77"/>
        <v>0</v>
      </c>
      <c r="P225" s="4" t="e">
        <f>VLOOKUP(AJ217,'CIR Team Info'!$C$5:$E$44,2,FALSE)</f>
        <v>#N/A</v>
      </c>
      <c r="Q225" s="4" t="e">
        <f>VLOOKUP(AJ217,'CIR Team Info'!$C$5:$E$44,3,FALSE)</f>
        <v>#N/A</v>
      </c>
      <c r="R225" s="10" t="e">
        <f>VLOOKUP(AJ217,'FRC Site Data'!$B$3:$L$42,2,FALSE)</f>
        <v>#N/A</v>
      </c>
      <c r="S225" s="10" t="e">
        <f>VLOOKUP(AJ217,'FRC Site Data'!$B$3:$L$42,3,FALSE)</f>
        <v>#N/A</v>
      </c>
      <c r="T225" s="10" t="e">
        <f>VLOOKUP(AJ217,'FRC Site Data'!$B$3:$L$42,4,FALSE)</f>
        <v>#N/A</v>
      </c>
      <c r="U225" s="10" t="e">
        <f>VLOOKUP(AJ217,'FRC Site Data'!$B$3:$L$42,5,FALSE)</f>
        <v>#N/A</v>
      </c>
      <c r="V225" s="10" t="e">
        <f>VLOOKUP(AJ217,'FRC Site Data'!$B$3:$L$42,6,FALSE)</f>
        <v>#N/A</v>
      </c>
      <c r="W225" s="10" t="e">
        <f>VLOOKUP(AJ217,'FRC Site Data'!$B$3:$L$42,8,FALSE)</f>
        <v>#N/A</v>
      </c>
      <c r="X225" s="10" t="e">
        <f>VLOOKUP(AJ217,'FRC Site Data'!$B$3:$L$42,9,FALSE)</f>
        <v>#N/A</v>
      </c>
      <c r="Y225" s="10" t="e">
        <f>VLOOKUP(AJ217,'FRC Site Data'!$B$3:$L$42,10,FALSE)</f>
        <v>#N/A</v>
      </c>
      <c r="Z225" s="10" t="e">
        <f>VLOOKUP(AJ217,'FRC Site Data'!$B$3:$L$42,11,FALSE)</f>
        <v>#N/A</v>
      </c>
      <c r="AA225" s="10" t="e">
        <f>VLOOKUP(AJ217,'CIR Team Info'!$C$5:$E$44,4,FALSE)</f>
        <v>#N/A</v>
      </c>
      <c r="AB225" s="161" t="b">
        <f>ISNUMBER(VLOOKUP(AJ217,Match!$T$5:$T$10,1,FALSE))</f>
        <v>0</v>
      </c>
      <c r="AC225" s="161" t="b">
        <f>IF(AB225=TRUE,(VLOOKUP($AJ217,Match!$T$5:$U$10,2,FALSE)))</f>
        <v>0</v>
      </c>
      <c r="AD225" s="8">
        <v>3</v>
      </c>
      <c r="AE225" s="8">
        <v>2</v>
      </c>
      <c r="AF225" s="8">
        <v>2</v>
      </c>
      <c r="AG225" s="8">
        <v>1</v>
      </c>
      <c r="AH225" s="8" t="str">
        <f t="shared" si="71"/>
        <v/>
      </c>
      <c r="AI225" s="12"/>
      <c r="AZ225" s="12"/>
      <c r="BC225" s="12"/>
      <c r="BS225" s="127"/>
    </row>
    <row r="226" spans="1:71" x14ac:dyDescent="0.25">
      <c r="A226" s="29">
        <f t="shared" si="57"/>
        <v>0</v>
      </c>
      <c r="B226" s="29">
        <f t="shared" si="66"/>
        <v>0</v>
      </c>
      <c r="C226" s="29">
        <f t="shared" si="67"/>
        <v>0</v>
      </c>
      <c r="D226" s="29">
        <f t="shared" si="68"/>
        <v>0</v>
      </c>
      <c r="E226" s="29">
        <f t="shared" si="58"/>
        <v>0</v>
      </c>
      <c r="F226" s="29">
        <f t="shared" si="73"/>
        <v>0</v>
      </c>
      <c r="G226" s="29" t="str">
        <f t="shared" si="74"/>
        <v>offensive</v>
      </c>
      <c r="H226" s="16">
        <f t="shared" si="64"/>
        <v>0</v>
      </c>
      <c r="I226" s="16">
        <f t="shared" si="65"/>
        <v>0</v>
      </c>
      <c r="J226" s="16">
        <f t="shared" si="69"/>
        <v>0</v>
      </c>
      <c r="K226" s="16">
        <f t="shared" si="75"/>
        <v>0</v>
      </c>
      <c r="L226" s="67">
        <f t="shared" si="76"/>
        <v>0</v>
      </c>
      <c r="M226" s="4">
        <f t="shared" si="70"/>
        <v>0</v>
      </c>
      <c r="N226" s="4">
        <f t="shared" si="72"/>
        <v>0</v>
      </c>
      <c r="O226" s="4">
        <f t="shared" si="77"/>
        <v>0</v>
      </c>
      <c r="P226" s="4" t="e">
        <f>VLOOKUP(AJ218,'CIR Team Info'!$C$5:$E$44,2,FALSE)</f>
        <v>#N/A</v>
      </c>
      <c r="Q226" s="4" t="e">
        <f>VLOOKUP(AJ218,'CIR Team Info'!$C$5:$E$44,3,FALSE)</f>
        <v>#N/A</v>
      </c>
      <c r="R226" s="10" t="e">
        <f>VLOOKUP(AJ218,'FRC Site Data'!$B$3:$L$42,2,FALSE)</f>
        <v>#N/A</v>
      </c>
      <c r="S226" s="10" t="e">
        <f>VLOOKUP(AJ218,'FRC Site Data'!$B$3:$L$42,3,FALSE)</f>
        <v>#N/A</v>
      </c>
      <c r="T226" s="10" t="e">
        <f>VLOOKUP(AJ218,'FRC Site Data'!$B$3:$L$42,4,FALSE)</f>
        <v>#N/A</v>
      </c>
      <c r="U226" s="10" t="e">
        <f>VLOOKUP(AJ218,'FRC Site Data'!$B$3:$L$42,5,FALSE)</f>
        <v>#N/A</v>
      </c>
      <c r="V226" s="10" t="e">
        <f>VLOOKUP(AJ218,'FRC Site Data'!$B$3:$L$42,6,FALSE)</f>
        <v>#N/A</v>
      </c>
      <c r="W226" s="10" t="e">
        <f>VLOOKUP(AJ218,'FRC Site Data'!$B$3:$L$42,8,FALSE)</f>
        <v>#N/A</v>
      </c>
      <c r="X226" s="10" t="e">
        <f>VLOOKUP(AJ218,'FRC Site Data'!$B$3:$L$42,9,FALSE)</f>
        <v>#N/A</v>
      </c>
      <c r="Y226" s="10" t="e">
        <f>VLOOKUP(AJ218,'FRC Site Data'!$B$3:$L$42,10,FALSE)</f>
        <v>#N/A</v>
      </c>
      <c r="Z226" s="10" t="e">
        <f>VLOOKUP(AJ218,'FRC Site Data'!$B$3:$L$42,11,FALSE)</f>
        <v>#N/A</v>
      </c>
      <c r="AA226" s="10" t="e">
        <f>VLOOKUP(AJ218,'CIR Team Info'!$C$5:$E$44,4,FALSE)</f>
        <v>#N/A</v>
      </c>
      <c r="AB226" s="161" t="b">
        <f>ISNUMBER(VLOOKUP(AJ218,Match!$T$5:$T$10,1,FALSE))</f>
        <v>0</v>
      </c>
      <c r="AC226" s="161" t="b">
        <f>IF(AB226=TRUE,(VLOOKUP($AJ218,Match!$T$5:$U$10,2,FALSE)))</f>
        <v>0</v>
      </c>
      <c r="AD226" s="8">
        <v>3</v>
      </c>
      <c r="AE226" s="8">
        <v>2</v>
      </c>
      <c r="AF226" s="8">
        <v>2</v>
      </c>
      <c r="AG226" s="8">
        <v>1</v>
      </c>
      <c r="AH226" s="8" t="str">
        <f t="shared" si="71"/>
        <v/>
      </c>
      <c r="AI226" s="12"/>
      <c r="AZ226" s="12"/>
      <c r="BC226" s="12"/>
      <c r="BS226" s="127"/>
    </row>
    <row r="227" spans="1:71" x14ac:dyDescent="0.25">
      <c r="A227" s="29">
        <f t="shared" si="57"/>
        <v>0</v>
      </c>
      <c r="B227" s="29">
        <f t="shared" si="66"/>
        <v>0</v>
      </c>
      <c r="C227" s="29">
        <f t="shared" si="67"/>
        <v>0</v>
      </c>
      <c r="D227" s="29">
        <f t="shared" si="68"/>
        <v>0</v>
      </c>
      <c r="E227" s="29">
        <f t="shared" si="58"/>
        <v>0</v>
      </c>
      <c r="F227" s="29">
        <f t="shared" si="73"/>
        <v>0</v>
      </c>
      <c r="G227" s="29" t="str">
        <f t="shared" si="74"/>
        <v>offensive</v>
      </c>
      <c r="H227" s="16">
        <f t="shared" si="64"/>
        <v>0</v>
      </c>
      <c r="I227" s="16">
        <f t="shared" si="65"/>
        <v>0</v>
      </c>
      <c r="J227" s="16">
        <f t="shared" si="69"/>
        <v>0</v>
      </c>
      <c r="K227" s="16">
        <f t="shared" si="75"/>
        <v>0</v>
      </c>
      <c r="L227" s="67">
        <f t="shared" si="76"/>
        <v>0</v>
      </c>
      <c r="M227" s="4">
        <f t="shared" si="70"/>
        <v>0</v>
      </c>
      <c r="N227" s="4">
        <f t="shared" si="72"/>
        <v>0</v>
      </c>
      <c r="O227" s="4">
        <f t="shared" si="77"/>
        <v>0</v>
      </c>
      <c r="P227" s="4" t="e">
        <f>VLOOKUP(AJ219,'CIR Team Info'!$C$5:$E$44,2,FALSE)</f>
        <v>#N/A</v>
      </c>
      <c r="Q227" s="4" t="e">
        <f>VLOOKUP(AJ219,'CIR Team Info'!$C$5:$E$44,3,FALSE)</f>
        <v>#N/A</v>
      </c>
      <c r="R227" s="10" t="e">
        <f>VLOOKUP(AJ219,'FRC Site Data'!$B$3:$L$42,2,FALSE)</f>
        <v>#N/A</v>
      </c>
      <c r="S227" s="10" t="e">
        <f>VLOOKUP(AJ219,'FRC Site Data'!$B$3:$L$42,3,FALSE)</f>
        <v>#N/A</v>
      </c>
      <c r="T227" s="10" t="e">
        <f>VLOOKUP(AJ219,'FRC Site Data'!$B$3:$L$42,4,FALSE)</f>
        <v>#N/A</v>
      </c>
      <c r="U227" s="10" t="e">
        <f>VLOOKUP(AJ219,'FRC Site Data'!$B$3:$L$42,5,FALSE)</f>
        <v>#N/A</v>
      </c>
      <c r="V227" s="10" t="e">
        <f>VLOOKUP(AJ219,'FRC Site Data'!$B$3:$L$42,6,FALSE)</f>
        <v>#N/A</v>
      </c>
      <c r="W227" s="10" t="e">
        <f>VLOOKUP(AJ219,'FRC Site Data'!$B$3:$L$42,8,FALSE)</f>
        <v>#N/A</v>
      </c>
      <c r="X227" s="10" t="e">
        <f>VLOOKUP(AJ219,'FRC Site Data'!$B$3:$L$42,9,FALSE)</f>
        <v>#N/A</v>
      </c>
      <c r="Y227" s="10" t="e">
        <f>VLOOKUP(AJ219,'FRC Site Data'!$B$3:$L$42,10,FALSE)</f>
        <v>#N/A</v>
      </c>
      <c r="Z227" s="10" t="e">
        <f>VLOOKUP(AJ219,'FRC Site Data'!$B$3:$L$42,11,FALSE)</f>
        <v>#N/A</v>
      </c>
      <c r="AA227" s="10" t="e">
        <f>VLOOKUP(AJ219,'CIR Team Info'!$C$5:$E$44,4,FALSE)</f>
        <v>#N/A</v>
      </c>
      <c r="AB227" s="161" t="b">
        <f>ISNUMBER(VLOOKUP(AJ219,Match!$T$5:$T$10,1,FALSE))</f>
        <v>0</v>
      </c>
      <c r="AC227" s="161" t="b">
        <f>IF(AB227=TRUE,(VLOOKUP($AJ219,Match!$T$5:$U$10,2,FALSE)))</f>
        <v>0</v>
      </c>
      <c r="AD227" s="8">
        <v>3</v>
      </c>
      <c r="AE227" s="8">
        <v>2</v>
      </c>
      <c r="AF227" s="8">
        <v>2</v>
      </c>
      <c r="AG227" s="8">
        <v>1</v>
      </c>
      <c r="AI227" s="12"/>
      <c r="AZ227" s="12"/>
      <c r="BC227" s="12"/>
      <c r="BS227" s="127"/>
    </row>
    <row r="228" spans="1:71" x14ac:dyDescent="0.25">
      <c r="A228" s="29">
        <f t="shared" si="57"/>
        <v>0</v>
      </c>
      <c r="B228" s="29">
        <f t="shared" si="66"/>
        <v>0</v>
      </c>
      <c r="C228" s="29">
        <f t="shared" si="67"/>
        <v>0</v>
      </c>
      <c r="D228" s="29">
        <f t="shared" si="68"/>
        <v>0</v>
      </c>
      <c r="E228" s="29">
        <f t="shared" si="58"/>
        <v>0</v>
      </c>
      <c r="F228" s="29">
        <f t="shared" si="73"/>
        <v>0</v>
      </c>
      <c r="G228" s="29" t="str">
        <f t="shared" si="74"/>
        <v>offensive</v>
      </c>
      <c r="H228" s="16">
        <f t="shared" si="64"/>
        <v>0</v>
      </c>
      <c r="I228" s="16">
        <f t="shared" si="65"/>
        <v>0</v>
      </c>
      <c r="J228" s="16">
        <f t="shared" si="69"/>
        <v>0</v>
      </c>
      <c r="K228" s="16">
        <f t="shared" si="75"/>
        <v>0</v>
      </c>
      <c r="L228" s="67">
        <f t="shared" si="76"/>
        <v>0</v>
      </c>
      <c r="M228" s="4">
        <f t="shared" si="70"/>
        <v>0</v>
      </c>
      <c r="N228" s="4">
        <f t="shared" si="72"/>
        <v>0</v>
      </c>
      <c r="O228" s="4">
        <f t="shared" si="77"/>
        <v>0</v>
      </c>
      <c r="P228" s="4" t="e">
        <f>VLOOKUP(AJ220,'CIR Team Info'!$C$5:$E$44,2,FALSE)</f>
        <v>#N/A</v>
      </c>
      <c r="Q228" s="4" t="e">
        <f>VLOOKUP(AJ220,'CIR Team Info'!$C$5:$E$44,3,FALSE)</f>
        <v>#N/A</v>
      </c>
      <c r="R228" s="10" t="e">
        <f>VLOOKUP(AJ220,'FRC Site Data'!$B$3:$L$42,2,FALSE)</f>
        <v>#N/A</v>
      </c>
      <c r="S228" s="10" t="e">
        <f>VLOOKUP(AJ220,'FRC Site Data'!$B$3:$L$42,3,FALSE)</f>
        <v>#N/A</v>
      </c>
      <c r="T228" s="10" t="e">
        <f>VLOOKUP(AJ220,'FRC Site Data'!$B$3:$L$42,4,FALSE)</f>
        <v>#N/A</v>
      </c>
      <c r="U228" s="10" t="e">
        <f>VLOOKUP(AJ220,'FRC Site Data'!$B$3:$L$42,5,FALSE)</f>
        <v>#N/A</v>
      </c>
      <c r="V228" s="10" t="e">
        <f>VLOOKUP(AJ220,'FRC Site Data'!$B$3:$L$42,6,FALSE)</f>
        <v>#N/A</v>
      </c>
      <c r="W228" s="10" t="e">
        <f>VLOOKUP(AJ220,'FRC Site Data'!$B$3:$L$42,8,FALSE)</f>
        <v>#N/A</v>
      </c>
      <c r="X228" s="10" t="e">
        <f>VLOOKUP(AJ220,'FRC Site Data'!$B$3:$L$42,9,FALSE)</f>
        <v>#N/A</v>
      </c>
      <c r="Y228" s="10" t="e">
        <f>VLOOKUP(AJ220,'FRC Site Data'!$B$3:$L$42,10,FALSE)</f>
        <v>#N/A</v>
      </c>
      <c r="Z228" s="10" t="e">
        <f>VLOOKUP(AJ220,'FRC Site Data'!$B$3:$L$42,11,FALSE)</f>
        <v>#N/A</v>
      </c>
      <c r="AA228" s="10" t="e">
        <f>VLOOKUP(AJ220,'CIR Team Info'!$C$5:$E$44,4,FALSE)</f>
        <v>#N/A</v>
      </c>
      <c r="AB228" s="161" t="b">
        <f>ISNUMBER(VLOOKUP(AJ220,Match!$T$5:$T$10,1,FALSE))</f>
        <v>0</v>
      </c>
      <c r="AC228" s="161" t="b">
        <f>IF(AB228=TRUE,(VLOOKUP($AJ220,Match!$T$5:$U$10,2,FALSE)))</f>
        <v>0</v>
      </c>
      <c r="AD228" s="8">
        <v>3</v>
      </c>
      <c r="AE228" s="8">
        <v>2</v>
      </c>
      <c r="AF228" s="8">
        <v>2</v>
      </c>
      <c r="AG228" s="8">
        <v>1</v>
      </c>
      <c r="AI228" s="12"/>
      <c r="AZ228" s="12"/>
      <c r="BC228" s="12"/>
      <c r="BS228" s="127"/>
    </row>
    <row r="229" spans="1:71" x14ac:dyDescent="0.25">
      <c r="A229" s="29">
        <f t="shared" si="57"/>
        <v>0</v>
      </c>
      <c r="B229" s="29">
        <f t="shared" si="66"/>
        <v>0</v>
      </c>
      <c r="C229" s="29">
        <f t="shared" si="67"/>
        <v>0</v>
      </c>
      <c r="D229" s="29">
        <f t="shared" si="68"/>
        <v>0</v>
      </c>
      <c r="E229" s="29">
        <f t="shared" si="58"/>
        <v>0</v>
      </c>
      <c r="F229" s="29">
        <f t="shared" si="73"/>
        <v>0</v>
      </c>
      <c r="G229" s="29" t="str">
        <f t="shared" si="74"/>
        <v>offensive</v>
      </c>
      <c r="H229" s="16">
        <f t="shared" ref="H229:H255" si="78">IF((AO221+AP221)=0,0,AO221/(AO221+AP221))</f>
        <v>0</v>
      </c>
      <c r="I229" s="16">
        <f t="shared" ref="I229:I255" si="79">IF((AV221+AW221)=0,0,AV221/(AV221+AW221))</f>
        <v>0</v>
      </c>
      <c r="J229" s="16">
        <f t="shared" si="69"/>
        <v>0</v>
      </c>
      <c r="K229" s="16">
        <f t="shared" si="75"/>
        <v>0</v>
      </c>
      <c r="L229" s="67">
        <f t="shared" si="76"/>
        <v>0</v>
      </c>
      <c r="M229" s="4">
        <f t="shared" si="70"/>
        <v>0</v>
      </c>
      <c r="N229" s="4">
        <f t="shared" si="72"/>
        <v>0</v>
      </c>
      <c r="O229" s="4">
        <f t="shared" si="77"/>
        <v>0</v>
      </c>
      <c r="P229" s="4" t="e">
        <f>VLOOKUP(AJ221,'CIR Team Info'!$C$5:$E$44,2,FALSE)</f>
        <v>#N/A</v>
      </c>
      <c r="Q229" s="4" t="e">
        <f>VLOOKUP(AJ221,'CIR Team Info'!$C$5:$E$44,3,FALSE)</f>
        <v>#N/A</v>
      </c>
      <c r="R229" s="10" t="e">
        <f>VLOOKUP(AJ221,'FRC Site Data'!$B$3:$L$42,2,FALSE)</f>
        <v>#N/A</v>
      </c>
      <c r="S229" s="10" t="e">
        <f>VLOOKUP(AJ221,'FRC Site Data'!$B$3:$L$42,3,FALSE)</f>
        <v>#N/A</v>
      </c>
      <c r="T229" s="10" t="e">
        <f>VLOOKUP(AJ221,'FRC Site Data'!$B$3:$L$42,4,FALSE)</f>
        <v>#N/A</v>
      </c>
      <c r="U229" s="10" t="e">
        <f>VLOOKUP(AJ221,'FRC Site Data'!$B$3:$L$42,5,FALSE)</f>
        <v>#N/A</v>
      </c>
      <c r="V229" s="10" t="e">
        <f>VLOOKUP(AJ221,'FRC Site Data'!$B$3:$L$42,6,FALSE)</f>
        <v>#N/A</v>
      </c>
      <c r="W229" s="10" t="e">
        <f>VLOOKUP(AJ221,'FRC Site Data'!$B$3:$L$42,8,FALSE)</f>
        <v>#N/A</v>
      </c>
      <c r="X229" s="10" t="e">
        <f>VLOOKUP(AJ221,'FRC Site Data'!$B$3:$L$42,9,FALSE)</f>
        <v>#N/A</v>
      </c>
      <c r="Y229" s="10" t="e">
        <f>VLOOKUP(AJ221,'FRC Site Data'!$B$3:$L$42,10,FALSE)</f>
        <v>#N/A</v>
      </c>
      <c r="Z229" s="10" t="e">
        <f>VLOOKUP(AJ221,'FRC Site Data'!$B$3:$L$42,11,FALSE)</f>
        <v>#N/A</v>
      </c>
      <c r="AA229" s="10" t="e">
        <f>VLOOKUP(AJ221,'CIR Team Info'!$C$5:$E$44,4,FALSE)</f>
        <v>#N/A</v>
      </c>
      <c r="AB229" s="161" t="b">
        <f>ISNUMBER(VLOOKUP(AJ221,Match!$T$5:$T$10,1,FALSE))</f>
        <v>0</v>
      </c>
      <c r="AC229" s="161" t="b">
        <f>IF(AB229=TRUE,(VLOOKUP($AJ221,Match!$T$5:$U$10,2,FALSE)))</f>
        <v>0</v>
      </c>
      <c r="AD229" s="8">
        <v>3</v>
      </c>
      <c r="AE229" s="8">
        <v>2</v>
      </c>
      <c r="AF229" s="8">
        <v>2</v>
      </c>
      <c r="AG229" s="8">
        <v>1</v>
      </c>
      <c r="AI229" s="12"/>
      <c r="AZ229" s="12"/>
      <c r="BC229" s="12"/>
      <c r="BS229" s="127"/>
    </row>
    <row r="230" spans="1:71" x14ac:dyDescent="0.25">
      <c r="A230" s="29">
        <f t="shared" si="57"/>
        <v>0</v>
      </c>
      <c r="B230" s="29">
        <f t="shared" si="66"/>
        <v>0</v>
      </c>
      <c r="C230" s="29">
        <f t="shared" si="67"/>
        <v>0</v>
      </c>
      <c r="D230" s="29">
        <f t="shared" si="68"/>
        <v>0</v>
      </c>
      <c r="E230" s="29">
        <f t="shared" si="58"/>
        <v>0</v>
      </c>
      <c r="F230" s="29">
        <f t="shared" si="73"/>
        <v>0</v>
      </c>
      <c r="G230" s="29" t="str">
        <f t="shared" si="74"/>
        <v>offensive</v>
      </c>
      <c r="H230" s="16">
        <f t="shared" si="78"/>
        <v>0</v>
      </c>
      <c r="I230" s="16">
        <f t="shared" si="79"/>
        <v>0</v>
      </c>
      <c r="J230" s="16">
        <f t="shared" si="69"/>
        <v>0</v>
      </c>
      <c r="K230" s="16">
        <f t="shared" si="75"/>
        <v>0</v>
      </c>
      <c r="L230" s="67">
        <f t="shared" si="76"/>
        <v>0</v>
      </c>
      <c r="M230" s="4">
        <f t="shared" si="70"/>
        <v>0</v>
      </c>
      <c r="N230" s="4">
        <f t="shared" si="72"/>
        <v>0</v>
      </c>
      <c r="O230" s="4">
        <f t="shared" si="77"/>
        <v>0</v>
      </c>
      <c r="P230" s="4" t="e">
        <f>VLOOKUP(AJ222,'CIR Team Info'!$C$5:$E$44,2,FALSE)</f>
        <v>#N/A</v>
      </c>
      <c r="Q230" s="4" t="e">
        <f>VLOOKUP(AJ222,'CIR Team Info'!$C$5:$E$44,3,FALSE)</f>
        <v>#N/A</v>
      </c>
      <c r="R230" s="10" t="e">
        <f>VLOOKUP(AJ222,'FRC Site Data'!$B$3:$L$42,2,FALSE)</f>
        <v>#N/A</v>
      </c>
      <c r="S230" s="10" t="e">
        <f>VLOOKUP(AJ222,'FRC Site Data'!$B$3:$L$42,3,FALSE)</f>
        <v>#N/A</v>
      </c>
      <c r="T230" s="10" t="e">
        <f>VLOOKUP(AJ222,'FRC Site Data'!$B$3:$L$42,4,FALSE)</f>
        <v>#N/A</v>
      </c>
      <c r="U230" s="10" t="e">
        <f>VLOOKUP(AJ222,'FRC Site Data'!$B$3:$L$42,5,FALSE)</f>
        <v>#N/A</v>
      </c>
      <c r="V230" s="10" t="e">
        <f>VLOOKUP(AJ222,'FRC Site Data'!$B$3:$L$42,6,FALSE)</f>
        <v>#N/A</v>
      </c>
      <c r="W230" s="10" t="e">
        <f>VLOOKUP(AJ222,'FRC Site Data'!$B$3:$L$42,8,FALSE)</f>
        <v>#N/A</v>
      </c>
      <c r="X230" s="10" t="e">
        <f>VLOOKUP(AJ222,'FRC Site Data'!$B$3:$L$42,9,FALSE)</f>
        <v>#N/A</v>
      </c>
      <c r="Y230" s="10" t="e">
        <f>VLOOKUP(AJ222,'FRC Site Data'!$B$3:$L$42,10,FALSE)</f>
        <v>#N/A</v>
      </c>
      <c r="Z230" s="10" t="e">
        <f>VLOOKUP(AJ222,'FRC Site Data'!$B$3:$L$42,11,FALSE)</f>
        <v>#N/A</v>
      </c>
      <c r="AA230" s="10" t="e">
        <f>VLOOKUP(AJ222,'CIR Team Info'!$C$5:$E$44,4,FALSE)</f>
        <v>#N/A</v>
      </c>
      <c r="AB230" s="161" t="b">
        <f>ISNUMBER(VLOOKUP(AJ222,Match!$T$5:$T$10,1,FALSE))</f>
        <v>0</v>
      </c>
      <c r="AC230" s="161" t="b">
        <f>IF(AB230=TRUE,(VLOOKUP($AJ222,Match!$T$5:$U$10,2,FALSE)))</f>
        <v>0</v>
      </c>
      <c r="AD230" s="8">
        <v>3</v>
      </c>
      <c r="AE230" s="8">
        <v>2</v>
      </c>
      <c r="AF230" s="8">
        <v>2</v>
      </c>
      <c r="AG230" s="8">
        <v>1</v>
      </c>
      <c r="AI230" s="12"/>
      <c r="AZ230" s="12"/>
      <c r="BC230" s="12"/>
      <c r="BS230" s="127"/>
    </row>
    <row r="231" spans="1:71" x14ac:dyDescent="0.25">
      <c r="A231" s="29">
        <f t="shared" si="57"/>
        <v>0</v>
      </c>
      <c r="B231" s="29">
        <f t="shared" si="66"/>
        <v>0</v>
      </c>
      <c r="C231" s="29">
        <f t="shared" si="67"/>
        <v>0</v>
      </c>
      <c r="D231" s="29">
        <f t="shared" si="68"/>
        <v>0</v>
      </c>
      <c r="E231" s="29">
        <f t="shared" si="58"/>
        <v>0</v>
      </c>
      <c r="F231" s="29">
        <f t="shared" si="73"/>
        <v>0</v>
      </c>
      <c r="G231" s="29" t="str">
        <f t="shared" si="74"/>
        <v>offensive</v>
      </c>
      <c r="H231" s="16">
        <f t="shared" si="78"/>
        <v>0</v>
      </c>
      <c r="I231" s="16">
        <f t="shared" si="79"/>
        <v>0</v>
      </c>
      <c r="J231" s="16">
        <f t="shared" si="69"/>
        <v>0</v>
      </c>
      <c r="K231" s="16">
        <f t="shared" si="75"/>
        <v>0</v>
      </c>
      <c r="L231" s="67">
        <f t="shared" si="76"/>
        <v>0</v>
      </c>
      <c r="M231" s="4">
        <f t="shared" si="70"/>
        <v>0</v>
      </c>
      <c r="N231" s="4">
        <f t="shared" si="72"/>
        <v>0</v>
      </c>
      <c r="O231" s="4">
        <f t="shared" si="77"/>
        <v>0</v>
      </c>
      <c r="P231" s="4" t="e">
        <f>VLOOKUP(AJ223,'CIR Team Info'!$C$5:$E$44,2,FALSE)</f>
        <v>#N/A</v>
      </c>
      <c r="Q231" s="4" t="e">
        <f>VLOOKUP(AJ223,'CIR Team Info'!$C$5:$E$44,3,FALSE)</f>
        <v>#N/A</v>
      </c>
      <c r="R231" s="10" t="e">
        <f>VLOOKUP(AJ223,'FRC Site Data'!$B$3:$L$42,2,FALSE)</f>
        <v>#N/A</v>
      </c>
      <c r="S231" s="10" t="e">
        <f>VLOOKUP(AJ223,'FRC Site Data'!$B$3:$L$42,3,FALSE)</f>
        <v>#N/A</v>
      </c>
      <c r="T231" s="10" t="e">
        <f>VLOOKUP(AJ223,'FRC Site Data'!$B$3:$L$42,4,FALSE)</f>
        <v>#N/A</v>
      </c>
      <c r="U231" s="10" t="e">
        <f>VLOOKUP(AJ223,'FRC Site Data'!$B$3:$L$42,5,FALSE)</f>
        <v>#N/A</v>
      </c>
      <c r="V231" s="10" t="e">
        <f>VLOOKUP(AJ223,'FRC Site Data'!$B$3:$L$42,6,FALSE)</f>
        <v>#N/A</v>
      </c>
      <c r="W231" s="10" t="e">
        <f>VLOOKUP(AJ223,'FRC Site Data'!$B$3:$L$42,8,FALSE)</f>
        <v>#N/A</v>
      </c>
      <c r="X231" s="10" t="e">
        <f>VLOOKUP(AJ223,'FRC Site Data'!$B$3:$L$42,9,FALSE)</f>
        <v>#N/A</v>
      </c>
      <c r="Y231" s="10" t="e">
        <f>VLOOKUP(AJ223,'FRC Site Data'!$B$3:$L$42,10,FALSE)</f>
        <v>#N/A</v>
      </c>
      <c r="Z231" s="10" t="e">
        <f>VLOOKUP(AJ223,'FRC Site Data'!$B$3:$L$42,11,FALSE)</f>
        <v>#N/A</v>
      </c>
      <c r="AA231" s="10" t="e">
        <f>VLOOKUP(AJ223,'CIR Team Info'!$C$5:$E$44,4,FALSE)</f>
        <v>#N/A</v>
      </c>
      <c r="AB231" s="161" t="b">
        <f>ISNUMBER(VLOOKUP(AJ223,Match!$T$5:$T$10,1,FALSE))</f>
        <v>0</v>
      </c>
      <c r="AC231" s="161" t="b">
        <f>IF(AB231=TRUE,(VLOOKUP($AJ223,Match!$T$5:$U$10,2,FALSE)))</f>
        <v>0</v>
      </c>
      <c r="AD231" s="8">
        <v>3</v>
      </c>
      <c r="AE231" s="8">
        <v>2</v>
      </c>
      <c r="AF231" s="8">
        <v>2</v>
      </c>
      <c r="AG231" s="8">
        <v>1</v>
      </c>
      <c r="AI231" s="12"/>
      <c r="AZ231" s="12"/>
      <c r="BC231" s="12"/>
      <c r="BS231" s="127"/>
    </row>
    <row r="232" spans="1:71" x14ac:dyDescent="0.25">
      <c r="A232" s="29">
        <f t="shared" si="57"/>
        <v>0</v>
      </c>
      <c r="B232" s="29">
        <f t="shared" si="66"/>
        <v>0</v>
      </c>
      <c r="C232" s="29">
        <f t="shared" si="67"/>
        <v>0</v>
      </c>
      <c r="D232" s="29">
        <f t="shared" si="68"/>
        <v>0</v>
      </c>
      <c r="E232" s="29">
        <f t="shared" si="58"/>
        <v>0</v>
      </c>
      <c r="F232" s="29">
        <f t="shared" si="73"/>
        <v>0</v>
      </c>
      <c r="G232" s="29" t="str">
        <f t="shared" si="74"/>
        <v>offensive</v>
      </c>
      <c r="H232" s="16">
        <f t="shared" si="78"/>
        <v>0</v>
      </c>
      <c r="I232" s="16">
        <f t="shared" si="79"/>
        <v>0</v>
      </c>
      <c r="J232" s="16">
        <f t="shared" si="69"/>
        <v>0</v>
      </c>
      <c r="K232" s="16">
        <f t="shared" si="75"/>
        <v>0</v>
      </c>
      <c r="L232" s="67">
        <f t="shared" si="76"/>
        <v>0</v>
      </c>
      <c r="M232" s="4">
        <f t="shared" si="70"/>
        <v>0</v>
      </c>
      <c r="N232" s="4">
        <f t="shared" si="72"/>
        <v>0</v>
      </c>
      <c r="O232" s="4">
        <f t="shared" si="77"/>
        <v>0</v>
      </c>
      <c r="P232" s="4" t="e">
        <f>VLOOKUP(AJ224,'CIR Team Info'!$C$5:$E$44,2,FALSE)</f>
        <v>#N/A</v>
      </c>
      <c r="Q232" s="4" t="e">
        <f>VLOOKUP(AJ224,'CIR Team Info'!$C$5:$E$44,3,FALSE)</f>
        <v>#N/A</v>
      </c>
      <c r="R232" s="10" t="e">
        <f>VLOOKUP(AJ224,'FRC Site Data'!$B$3:$L$42,2,FALSE)</f>
        <v>#N/A</v>
      </c>
      <c r="S232" s="10" t="e">
        <f>VLOOKUP(AJ224,'FRC Site Data'!$B$3:$L$42,3,FALSE)</f>
        <v>#N/A</v>
      </c>
      <c r="T232" s="10" t="e">
        <f>VLOOKUP(AJ224,'FRC Site Data'!$B$3:$L$42,4,FALSE)</f>
        <v>#N/A</v>
      </c>
      <c r="U232" s="10" t="e">
        <f>VLOOKUP(AJ224,'FRC Site Data'!$B$3:$L$42,5,FALSE)</f>
        <v>#N/A</v>
      </c>
      <c r="V232" s="10" t="e">
        <f>VLOOKUP(AJ224,'FRC Site Data'!$B$3:$L$42,6,FALSE)</f>
        <v>#N/A</v>
      </c>
      <c r="W232" s="10" t="e">
        <f>VLOOKUP(AJ224,'FRC Site Data'!$B$3:$L$42,8,FALSE)</f>
        <v>#N/A</v>
      </c>
      <c r="X232" s="10" t="e">
        <f>VLOOKUP(AJ224,'FRC Site Data'!$B$3:$L$42,9,FALSE)</f>
        <v>#N/A</v>
      </c>
      <c r="Y232" s="10" t="e">
        <f>VLOOKUP(AJ224,'FRC Site Data'!$B$3:$L$42,10,FALSE)</f>
        <v>#N/A</v>
      </c>
      <c r="Z232" s="10" t="e">
        <f>VLOOKUP(AJ224,'FRC Site Data'!$B$3:$L$42,11,FALSE)</f>
        <v>#N/A</v>
      </c>
      <c r="AA232" s="10" t="e">
        <f>VLOOKUP(AJ224,'CIR Team Info'!$C$5:$E$44,4,FALSE)</f>
        <v>#N/A</v>
      </c>
      <c r="AB232" s="161" t="b">
        <f>ISNUMBER(VLOOKUP(AJ224,Match!$T$5:$T$10,1,FALSE))</f>
        <v>0</v>
      </c>
      <c r="AC232" s="161" t="b">
        <f>IF(AB232=TRUE,(VLOOKUP($AJ224,Match!$T$5:$U$10,2,FALSE)))</f>
        <v>0</v>
      </c>
      <c r="AD232" s="8">
        <v>3</v>
      </c>
      <c r="AE232" s="8">
        <v>2</v>
      </c>
      <c r="AF232" s="8">
        <v>2</v>
      </c>
      <c r="AG232" s="8">
        <v>1</v>
      </c>
      <c r="AH232" s="8" t="s">
        <v>128</v>
      </c>
      <c r="AI232" s="12"/>
      <c r="AZ232" s="12"/>
      <c r="BC232" s="12"/>
      <c r="BS232" s="127"/>
    </row>
    <row r="233" spans="1:71" x14ac:dyDescent="0.25">
      <c r="A233" s="29">
        <f t="shared" si="57"/>
        <v>0</v>
      </c>
      <c r="B233" s="29">
        <f t="shared" si="66"/>
        <v>0</v>
      </c>
      <c r="C233" s="29">
        <f t="shared" si="67"/>
        <v>0</v>
      </c>
      <c r="D233" s="29">
        <f t="shared" si="68"/>
        <v>0</v>
      </c>
      <c r="E233" s="29">
        <f t="shared" si="58"/>
        <v>0</v>
      </c>
      <c r="F233" s="29">
        <f t="shared" si="73"/>
        <v>0</v>
      </c>
      <c r="G233" s="29" t="str">
        <f t="shared" si="74"/>
        <v>offensive</v>
      </c>
      <c r="H233" s="16">
        <f t="shared" si="78"/>
        <v>0</v>
      </c>
      <c r="I233" s="16">
        <f t="shared" si="79"/>
        <v>0</v>
      </c>
      <c r="J233" s="16">
        <f t="shared" si="69"/>
        <v>0</v>
      </c>
      <c r="K233" s="16">
        <f t="shared" si="75"/>
        <v>0</v>
      </c>
      <c r="L233" s="67">
        <f t="shared" si="76"/>
        <v>0</v>
      </c>
      <c r="M233" s="4">
        <f t="shared" si="70"/>
        <v>0</v>
      </c>
      <c r="N233" s="4">
        <f t="shared" si="72"/>
        <v>0</v>
      </c>
      <c r="O233" s="4">
        <f t="shared" si="77"/>
        <v>0</v>
      </c>
      <c r="P233" s="4" t="e">
        <f>VLOOKUP(AJ225,'CIR Team Info'!$C$5:$E$44,2,FALSE)</f>
        <v>#N/A</v>
      </c>
      <c r="Q233" s="4" t="e">
        <f>VLOOKUP(AJ225,'CIR Team Info'!$C$5:$E$44,3,FALSE)</f>
        <v>#N/A</v>
      </c>
      <c r="R233" s="10" t="e">
        <f>VLOOKUP(AJ225,'FRC Site Data'!$B$3:$L$42,2,FALSE)</f>
        <v>#N/A</v>
      </c>
      <c r="S233" s="10" t="e">
        <f>VLOOKUP(AJ225,'FRC Site Data'!$B$3:$L$42,3,FALSE)</f>
        <v>#N/A</v>
      </c>
      <c r="T233" s="10" t="e">
        <f>VLOOKUP(AJ225,'FRC Site Data'!$B$3:$L$42,4,FALSE)</f>
        <v>#N/A</v>
      </c>
      <c r="U233" s="10" t="e">
        <f>VLOOKUP(AJ225,'FRC Site Data'!$B$3:$L$42,5,FALSE)</f>
        <v>#N/A</v>
      </c>
      <c r="V233" s="10" t="e">
        <f>VLOOKUP(AJ225,'FRC Site Data'!$B$3:$L$42,6,FALSE)</f>
        <v>#N/A</v>
      </c>
      <c r="W233" s="10" t="e">
        <f>VLOOKUP(AJ225,'FRC Site Data'!$B$3:$L$42,8,FALSE)</f>
        <v>#N/A</v>
      </c>
      <c r="X233" s="10" t="e">
        <f>VLOOKUP(AJ225,'FRC Site Data'!$B$3:$L$42,9,FALSE)</f>
        <v>#N/A</v>
      </c>
      <c r="Y233" s="10" t="e">
        <f>VLOOKUP(AJ225,'FRC Site Data'!$B$3:$L$42,10,FALSE)</f>
        <v>#N/A</v>
      </c>
      <c r="Z233" s="10" t="e">
        <f>VLOOKUP(AJ225,'FRC Site Data'!$B$3:$L$42,11,FALSE)</f>
        <v>#N/A</v>
      </c>
      <c r="AA233" s="10" t="e">
        <f>VLOOKUP(AJ225,'CIR Team Info'!$C$5:$E$44,4,FALSE)</f>
        <v>#N/A</v>
      </c>
      <c r="AB233" s="161" t="b">
        <f>ISNUMBER(VLOOKUP(AJ225,Match!$T$5:$T$10,1,FALSE))</f>
        <v>0</v>
      </c>
      <c r="AC233" s="161" t="b">
        <f>IF(AB233=TRUE,(VLOOKUP($AJ225,Match!$T$5:$U$10,2,FALSE)))</f>
        <v>0</v>
      </c>
      <c r="AD233" s="8">
        <v>3</v>
      </c>
      <c r="AE233" s="8">
        <v>2</v>
      </c>
      <c r="AF233" s="8">
        <v>2</v>
      </c>
      <c r="AG233" s="8">
        <v>1</v>
      </c>
      <c r="AH233" s="8" t="s">
        <v>128</v>
      </c>
      <c r="AI233" s="12"/>
      <c r="AZ233" s="12"/>
      <c r="BC233" s="12"/>
      <c r="BS233" s="127"/>
    </row>
    <row r="234" spans="1:71" x14ac:dyDescent="0.25">
      <c r="A234" s="29">
        <f t="shared" si="57"/>
        <v>0</v>
      </c>
      <c r="B234" s="29">
        <f t="shared" si="66"/>
        <v>0</v>
      </c>
      <c r="C234" s="29">
        <f t="shared" si="67"/>
        <v>0</v>
      </c>
      <c r="D234" s="29">
        <f t="shared" si="68"/>
        <v>0</v>
      </c>
      <c r="E234" s="29">
        <f t="shared" si="58"/>
        <v>0</v>
      </c>
      <c r="F234" s="29">
        <f t="shared" si="73"/>
        <v>0</v>
      </c>
      <c r="G234" s="29" t="str">
        <f t="shared" si="74"/>
        <v>offensive</v>
      </c>
      <c r="H234" s="16">
        <f t="shared" si="78"/>
        <v>0</v>
      </c>
      <c r="I234" s="16">
        <f t="shared" si="79"/>
        <v>0</v>
      </c>
      <c r="J234" s="16">
        <f t="shared" si="69"/>
        <v>0</v>
      </c>
      <c r="K234" s="16">
        <f t="shared" si="75"/>
        <v>0</v>
      </c>
      <c r="L234" s="67">
        <f t="shared" si="76"/>
        <v>0</v>
      </c>
      <c r="M234" s="4">
        <f t="shared" si="70"/>
        <v>0</v>
      </c>
      <c r="N234" s="4">
        <f t="shared" si="72"/>
        <v>0</v>
      </c>
      <c r="O234" s="4">
        <f t="shared" si="77"/>
        <v>0</v>
      </c>
      <c r="P234" s="4" t="e">
        <f>VLOOKUP(AJ226,'CIR Team Info'!$C$5:$E$44,2,FALSE)</f>
        <v>#N/A</v>
      </c>
      <c r="Q234" s="4" t="e">
        <f>VLOOKUP(AJ226,'CIR Team Info'!$C$5:$E$44,3,FALSE)</f>
        <v>#N/A</v>
      </c>
      <c r="R234" s="10" t="e">
        <f>VLOOKUP(AJ226,'FRC Site Data'!$B$3:$L$42,2,FALSE)</f>
        <v>#N/A</v>
      </c>
      <c r="S234" s="10" t="e">
        <f>VLOOKUP(AJ226,'FRC Site Data'!$B$3:$L$42,3,FALSE)</f>
        <v>#N/A</v>
      </c>
      <c r="T234" s="10" t="e">
        <f>VLOOKUP(AJ226,'FRC Site Data'!$B$3:$L$42,4,FALSE)</f>
        <v>#N/A</v>
      </c>
      <c r="U234" s="10" t="e">
        <f>VLOOKUP(AJ226,'FRC Site Data'!$B$3:$L$42,5,FALSE)</f>
        <v>#N/A</v>
      </c>
      <c r="V234" s="10" t="e">
        <f>VLOOKUP(AJ226,'FRC Site Data'!$B$3:$L$42,6,FALSE)</f>
        <v>#N/A</v>
      </c>
      <c r="W234" s="10" t="e">
        <f>VLOOKUP(AJ226,'FRC Site Data'!$B$3:$L$42,8,FALSE)</f>
        <v>#N/A</v>
      </c>
      <c r="X234" s="10" t="e">
        <f>VLOOKUP(AJ226,'FRC Site Data'!$B$3:$L$42,9,FALSE)</f>
        <v>#N/A</v>
      </c>
      <c r="Y234" s="10" t="e">
        <f>VLOOKUP(AJ226,'FRC Site Data'!$B$3:$L$42,10,FALSE)</f>
        <v>#N/A</v>
      </c>
      <c r="Z234" s="10" t="e">
        <f>VLOOKUP(AJ226,'FRC Site Data'!$B$3:$L$42,11,FALSE)</f>
        <v>#N/A</v>
      </c>
      <c r="AA234" s="10" t="e">
        <f>VLOOKUP(AJ226,'CIR Team Info'!$C$5:$E$44,4,FALSE)</f>
        <v>#N/A</v>
      </c>
      <c r="AB234" s="161" t="b">
        <f>ISNUMBER(VLOOKUP(AJ226,Match!$T$5:$T$10,1,FALSE))</f>
        <v>0</v>
      </c>
      <c r="AC234" s="161" t="b">
        <f>IF(AB234=TRUE,(VLOOKUP($AJ226,Match!$T$5:$U$10,2,FALSE)))</f>
        <v>0</v>
      </c>
      <c r="AD234" s="8">
        <v>3</v>
      </c>
      <c r="AE234" s="8">
        <v>2</v>
      </c>
      <c r="AF234" s="8">
        <v>2</v>
      </c>
      <c r="AG234" s="8">
        <v>1</v>
      </c>
      <c r="AH234" s="8" t="s">
        <v>128</v>
      </c>
      <c r="AI234" s="12"/>
      <c r="AZ234" s="12"/>
      <c r="BC234" s="12"/>
      <c r="BS234" s="127"/>
    </row>
    <row r="235" spans="1:71" x14ac:dyDescent="0.25">
      <c r="A235" s="29">
        <f t="shared" si="57"/>
        <v>0</v>
      </c>
      <c r="B235" s="29">
        <f t="shared" si="66"/>
        <v>0</v>
      </c>
      <c r="C235" s="29">
        <f t="shared" si="67"/>
        <v>0</v>
      </c>
      <c r="D235" s="29">
        <f t="shared" si="68"/>
        <v>0</v>
      </c>
      <c r="E235" s="29">
        <f t="shared" si="58"/>
        <v>0</v>
      </c>
      <c r="F235" s="29">
        <f t="shared" si="73"/>
        <v>0</v>
      </c>
      <c r="G235" s="29" t="str">
        <f t="shared" si="74"/>
        <v>offensive</v>
      </c>
      <c r="H235" s="16">
        <f t="shared" si="78"/>
        <v>0</v>
      </c>
      <c r="I235" s="16">
        <f t="shared" si="79"/>
        <v>0</v>
      </c>
      <c r="J235" s="16">
        <f t="shared" si="69"/>
        <v>0</v>
      </c>
      <c r="K235" s="16">
        <f t="shared" si="75"/>
        <v>0</v>
      </c>
      <c r="L235" s="67">
        <f t="shared" si="76"/>
        <v>0</v>
      </c>
      <c r="M235" s="4">
        <f t="shared" si="70"/>
        <v>0</v>
      </c>
      <c r="N235" s="4">
        <f t="shared" si="72"/>
        <v>0</v>
      </c>
      <c r="O235" s="4">
        <f t="shared" si="77"/>
        <v>0</v>
      </c>
      <c r="P235" s="4" t="e">
        <f>VLOOKUP(AJ227,'CIR Team Info'!$C$5:$E$44,2,FALSE)</f>
        <v>#N/A</v>
      </c>
      <c r="Q235" s="4" t="e">
        <f>VLOOKUP(AJ227,'CIR Team Info'!$C$5:$E$44,3,FALSE)</f>
        <v>#N/A</v>
      </c>
      <c r="R235" s="10" t="e">
        <f>VLOOKUP(AJ227,'FRC Site Data'!$B$3:$L$42,2,FALSE)</f>
        <v>#N/A</v>
      </c>
      <c r="S235" s="10" t="e">
        <f>VLOOKUP(AJ227,'FRC Site Data'!$B$3:$L$42,3,FALSE)</f>
        <v>#N/A</v>
      </c>
      <c r="T235" s="10" t="e">
        <f>VLOOKUP(AJ227,'FRC Site Data'!$B$3:$L$42,4,FALSE)</f>
        <v>#N/A</v>
      </c>
      <c r="U235" s="10" t="e">
        <f>VLOOKUP(AJ227,'FRC Site Data'!$B$3:$L$42,5,FALSE)</f>
        <v>#N/A</v>
      </c>
      <c r="V235" s="10" t="e">
        <f>VLOOKUP(AJ227,'FRC Site Data'!$B$3:$L$42,6,FALSE)</f>
        <v>#N/A</v>
      </c>
      <c r="W235" s="10" t="e">
        <f>VLOOKUP(AJ227,'FRC Site Data'!$B$3:$L$42,8,FALSE)</f>
        <v>#N/A</v>
      </c>
      <c r="X235" s="10" t="e">
        <f>VLOOKUP(AJ227,'FRC Site Data'!$B$3:$L$42,9,FALSE)</f>
        <v>#N/A</v>
      </c>
      <c r="Y235" s="10" t="e">
        <f>VLOOKUP(AJ227,'FRC Site Data'!$B$3:$L$42,10,FALSE)</f>
        <v>#N/A</v>
      </c>
      <c r="Z235" s="10" t="e">
        <f>VLOOKUP(AJ227,'FRC Site Data'!$B$3:$L$42,11,FALSE)</f>
        <v>#N/A</v>
      </c>
      <c r="AA235" s="10" t="e">
        <f>VLOOKUP(AJ227,'CIR Team Info'!$C$5:$E$44,4,FALSE)</f>
        <v>#N/A</v>
      </c>
      <c r="AB235" s="161" t="b">
        <f>ISNUMBER(VLOOKUP(AJ227,Match!$T$5:$T$10,1,FALSE))</f>
        <v>0</v>
      </c>
      <c r="AC235" s="161" t="b">
        <f>IF(AB235=TRUE,(VLOOKUP($AJ227,Match!$T$5:$U$10,2,FALSE)))</f>
        <v>0</v>
      </c>
      <c r="AD235" s="8">
        <v>3</v>
      </c>
      <c r="AE235" s="8">
        <v>2</v>
      </c>
      <c r="AF235" s="8">
        <v>2</v>
      </c>
      <c r="AG235" s="8">
        <v>1</v>
      </c>
      <c r="AH235" s="8" t="s">
        <v>128</v>
      </c>
      <c r="AI235" s="12"/>
      <c r="AZ235" s="12"/>
      <c r="BC235" s="12"/>
      <c r="BK235" s="12"/>
      <c r="BS235" s="127"/>
    </row>
    <row r="236" spans="1:71" x14ac:dyDescent="0.25">
      <c r="A236" s="29">
        <f t="shared" si="57"/>
        <v>0</v>
      </c>
      <c r="B236" s="29">
        <f t="shared" si="66"/>
        <v>0</v>
      </c>
      <c r="C236" s="29">
        <f t="shared" si="67"/>
        <v>0</v>
      </c>
      <c r="D236" s="29">
        <f t="shared" si="68"/>
        <v>0</v>
      </c>
      <c r="E236" s="29">
        <f t="shared" si="58"/>
        <v>0</v>
      </c>
      <c r="F236" s="29">
        <f t="shared" si="73"/>
        <v>0</v>
      </c>
      <c r="G236" s="29" t="str">
        <f t="shared" si="74"/>
        <v>offensive</v>
      </c>
      <c r="H236" s="16">
        <f t="shared" si="78"/>
        <v>0</v>
      </c>
      <c r="I236" s="16">
        <f t="shared" si="79"/>
        <v>0</v>
      </c>
      <c r="J236" s="16">
        <f t="shared" si="69"/>
        <v>0</v>
      </c>
      <c r="K236" s="16">
        <f t="shared" si="75"/>
        <v>0</v>
      </c>
      <c r="L236" s="67">
        <f t="shared" si="76"/>
        <v>0</v>
      </c>
      <c r="M236" s="4">
        <f t="shared" si="70"/>
        <v>0</v>
      </c>
      <c r="N236" s="4">
        <f t="shared" si="72"/>
        <v>0</v>
      </c>
      <c r="O236" s="4">
        <f t="shared" si="77"/>
        <v>0</v>
      </c>
      <c r="P236" s="4" t="e">
        <f>VLOOKUP(AJ228,'CIR Team Info'!$C$5:$E$44,2,FALSE)</f>
        <v>#N/A</v>
      </c>
      <c r="Q236" s="4" t="e">
        <f>VLOOKUP(AJ228,'CIR Team Info'!$C$5:$E$44,3,FALSE)</f>
        <v>#N/A</v>
      </c>
      <c r="R236" s="10" t="e">
        <f>VLOOKUP(AJ228,'FRC Site Data'!$B$3:$L$42,2,FALSE)</f>
        <v>#N/A</v>
      </c>
      <c r="S236" s="10" t="e">
        <f>VLOOKUP(AJ228,'FRC Site Data'!$B$3:$L$42,3,FALSE)</f>
        <v>#N/A</v>
      </c>
      <c r="T236" s="10" t="e">
        <f>VLOOKUP(AJ228,'FRC Site Data'!$B$3:$L$42,4,FALSE)</f>
        <v>#N/A</v>
      </c>
      <c r="U236" s="10" t="e">
        <f>VLOOKUP(AJ228,'FRC Site Data'!$B$3:$L$42,5,FALSE)</f>
        <v>#N/A</v>
      </c>
      <c r="V236" s="10" t="e">
        <f>VLOOKUP(AJ228,'FRC Site Data'!$B$3:$L$42,6,FALSE)</f>
        <v>#N/A</v>
      </c>
      <c r="W236" s="10" t="e">
        <f>VLOOKUP(AJ228,'FRC Site Data'!$B$3:$L$42,8,FALSE)</f>
        <v>#N/A</v>
      </c>
      <c r="X236" s="10" t="e">
        <f>VLOOKUP(AJ228,'FRC Site Data'!$B$3:$L$42,9,FALSE)</f>
        <v>#N/A</v>
      </c>
      <c r="Y236" s="10" t="e">
        <f>VLOOKUP(AJ228,'FRC Site Data'!$B$3:$L$42,10,FALSE)</f>
        <v>#N/A</v>
      </c>
      <c r="Z236" s="10" t="e">
        <f>VLOOKUP(AJ228,'FRC Site Data'!$B$3:$L$42,11,FALSE)</f>
        <v>#N/A</v>
      </c>
      <c r="AA236" s="10" t="e">
        <f>VLOOKUP(AJ228,'CIR Team Info'!$C$5:$E$44,4,FALSE)</f>
        <v>#N/A</v>
      </c>
      <c r="AB236" s="161" t="b">
        <f>ISNUMBER(VLOOKUP(AJ228,Match!$T$5:$T$10,1,FALSE))</f>
        <v>0</v>
      </c>
      <c r="AC236" s="161" t="b">
        <f>IF(AB236=TRUE,(VLOOKUP($AJ228,Match!$T$5:$U$10,2,FALSE)))</f>
        <v>0</v>
      </c>
      <c r="AD236" s="8">
        <v>3</v>
      </c>
      <c r="AE236" s="8">
        <v>2</v>
      </c>
      <c r="AF236" s="8">
        <v>2</v>
      </c>
      <c r="AG236" s="8">
        <v>1</v>
      </c>
      <c r="AH236" s="8" t="str">
        <f t="shared" si="71"/>
        <v/>
      </c>
      <c r="AI236" s="12"/>
      <c r="AZ236" s="12"/>
      <c r="BC236" s="12"/>
      <c r="BK236" s="12"/>
      <c r="BS236" s="127"/>
    </row>
    <row r="237" spans="1:71" x14ac:dyDescent="0.25">
      <c r="A237" s="29">
        <f t="shared" si="57"/>
        <v>0</v>
      </c>
      <c r="B237" s="29">
        <f t="shared" si="66"/>
        <v>0</v>
      </c>
      <c r="C237" s="29">
        <f t="shared" si="67"/>
        <v>0</v>
      </c>
      <c r="D237" s="29">
        <f t="shared" si="68"/>
        <v>0</v>
      </c>
      <c r="E237" s="29">
        <f t="shared" si="58"/>
        <v>0</v>
      </c>
      <c r="F237" s="29">
        <f t="shared" si="73"/>
        <v>0</v>
      </c>
      <c r="G237" s="29" t="str">
        <f t="shared" si="74"/>
        <v>offensive</v>
      </c>
      <c r="H237" s="16">
        <f t="shared" si="78"/>
        <v>0</v>
      </c>
      <c r="I237" s="16">
        <f t="shared" si="79"/>
        <v>0</v>
      </c>
      <c r="J237" s="16">
        <f t="shared" si="69"/>
        <v>0</v>
      </c>
      <c r="K237" s="16">
        <f t="shared" si="75"/>
        <v>0</v>
      </c>
      <c r="L237" s="67">
        <f t="shared" si="76"/>
        <v>0</v>
      </c>
      <c r="M237" s="4">
        <f t="shared" si="70"/>
        <v>0</v>
      </c>
      <c r="N237" s="4">
        <f t="shared" si="72"/>
        <v>0</v>
      </c>
      <c r="O237" s="4">
        <f t="shared" si="77"/>
        <v>0</v>
      </c>
      <c r="P237" s="4" t="e">
        <f>VLOOKUP(AJ229,'CIR Team Info'!$C$5:$E$44,2,FALSE)</f>
        <v>#N/A</v>
      </c>
      <c r="Q237" s="4" t="e">
        <f>VLOOKUP(AJ229,'CIR Team Info'!$C$5:$E$44,3,FALSE)</f>
        <v>#N/A</v>
      </c>
      <c r="R237" s="10" t="e">
        <f>VLOOKUP(AJ229,'FRC Site Data'!$B$3:$L$42,2,FALSE)</f>
        <v>#N/A</v>
      </c>
      <c r="S237" s="10" t="e">
        <f>VLOOKUP(AJ229,'FRC Site Data'!$B$3:$L$42,3,FALSE)</f>
        <v>#N/A</v>
      </c>
      <c r="T237" s="10" t="e">
        <f>VLOOKUP(AJ229,'FRC Site Data'!$B$3:$L$42,4,FALSE)</f>
        <v>#N/A</v>
      </c>
      <c r="U237" s="10" t="e">
        <f>VLOOKUP(AJ229,'FRC Site Data'!$B$3:$L$42,5,FALSE)</f>
        <v>#N/A</v>
      </c>
      <c r="V237" s="10" t="e">
        <f>VLOOKUP(AJ229,'FRC Site Data'!$B$3:$L$42,6,FALSE)</f>
        <v>#N/A</v>
      </c>
      <c r="W237" s="10" t="e">
        <f>VLOOKUP(AJ229,'FRC Site Data'!$B$3:$L$42,8,FALSE)</f>
        <v>#N/A</v>
      </c>
      <c r="X237" s="10" t="e">
        <f>VLOOKUP(AJ229,'FRC Site Data'!$B$3:$L$42,9,FALSE)</f>
        <v>#N/A</v>
      </c>
      <c r="Y237" s="10" t="e">
        <f>VLOOKUP(AJ229,'FRC Site Data'!$B$3:$L$42,10,FALSE)</f>
        <v>#N/A</v>
      </c>
      <c r="Z237" s="10" t="e">
        <f>VLOOKUP(AJ229,'FRC Site Data'!$B$3:$L$42,11,FALSE)</f>
        <v>#N/A</v>
      </c>
      <c r="AA237" s="10" t="e">
        <f>VLOOKUP(AJ229,'CIR Team Info'!$C$5:$E$44,4,FALSE)</f>
        <v>#N/A</v>
      </c>
      <c r="AB237" s="161" t="b">
        <f>ISNUMBER(VLOOKUP(AJ229,Match!$T$5:$T$10,1,FALSE))</f>
        <v>0</v>
      </c>
      <c r="AC237" s="161" t="b">
        <f>IF(AB237=TRUE,(VLOOKUP($AJ229,Match!$T$5:$U$10,2,FALSE)))</f>
        <v>0</v>
      </c>
      <c r="AD237" s="8">
        <v>3</v>
      </c>
      <c r="AE237" s="8">
        <v>2</v>
      </c>
      <c r="AF237" s="8">
        <v>2</v>
      </c>
      <c r="AG237" s="8">
        <v>1</v>
      </c>
      <c r="AH237" s="8" t="str">
        <f t="shared" si="71"/>
        <v/>
      </c>
      <c r="AI237" s="12"/>
      <c r="AZ237" s="12"/>
      <c r="BC237" s="12"/>
      <c r="BK237" s="12"/>
      <c r="BS237" s="127"/>
    </row>
    <row r="238" spans="1:71" x14ac:dyDescent="0.25">
      <c r="A238" s="29">
        <f t="shared" si="57"/>
        <v>0</v>
      </c>
      <c r="B238" s="29">
        <f t="shared" si="66"/>
        <v>0</v>
      </c>
      <c r="C238" s="29">
        <f t="shared" si="67"/>
        <v>0</v>
      </c>
      <c r="D238" s="29">
        <f t="shared" si="68"/>
        <v>0</v>
      </c>
      <c r="E238" s="29">
        <f t="shared" si="58"/>
        <v>0</v>
      </c>
      <c r="F238" s="29">
        <f t="shared" si="73"/>
        <v>0</v>
      </c>
      <c r="G238" s="29" t="str">
        <f t="shared" si="74"/>
        <v>offensive</v>
      </c>
      <c r="H238" s="16">
        <f t="shared" si="78"/>
        <v>0</v>
      </c>
      <c r="I238" s="16">
        <f t="shared" si="79"/>
        <v>0</v>
      </c>
      <c r="J238" s="16">
        <f t="shared" si="69"/>
        <v>0</v>
      </c>
      <c r="K238" s="16">
        <f t="shared" si="75"/>
        <v>0</v>
      </c>
      <c r="L238" s="67">
        <f t="shared" si="76"/>
        <v>0</v>
      </c>
      <c r="M238" s="4">
        <f t="shared" si="70"/>
        <v>0</v>
      </c>
      <c r="N238" s="4">
        <f t="shared" si="72"/>
        <v>0</v>
      </c>
      <c r="O238" s="4">
        <f t="shared" si="77"/>
        <v>0</v>
      </c>
      <c r="P238" s="4" t="e">
        <f>VLOOKUP(AJ230,'CIR Team Info'!$C$5:$E$44,2,FALSE)</f>
        <v>#N/A</v>
      </c>
      <c r="Q238" s="4" t="e">
        <f>VLOOKUP(AJ230,'CIR Team Info'!$C$5:$E$44,3,FALSE)</f>
        <v>#N/A</v>
      </c>
      <c r="R238" s="10" t="e">
        <f>VLOOKUP(AJ230,'FRC Site Data'!$B$3:$L$42,2,FALSE)</f>
        <v>#N/A</v>
      </c>
      <c r="S238" s="10" t="e">
        <f>VLOOKUP(AJ230,'FRC Site Data'!$B$3:$L$42,3,FALSE)</f>
        <v>#N/A</v>
      </c>
      <c r="T238" s="10" t="e">
        <f>VLOOKUP(AJ230,'FRC Site Data'!$B$3:$L$42,4,FALSE)</f>
        <v>#N/A</v>
      </c>
      <c r="U238" s="10" t="e">
        <f>VLOOKUP(AJ230,'FRC Site Data'!$B$3:$L$42,5,FALSE)</f>
        <v>#N/A</v>
      </c>
      <c r="V238" s="10" t="e">
        <f>VLOOKUP(AJ230,'FRC Site Data'!$B$3:$L$42,6,FALSE)</f>
        <v>#N/A</v>
      </c>
      <c r="W238" s="10" t="e">
        <f>VLOOKUP(AJ230,'FRC Site Data'!$B$3:$L$42,8,FALSE)</f>
        <v>#N/A</v>
      </c>
      <c r="X238" s="10" t="e">
        <f>VLOOKUP(AJ230,'FRC Site Data'!$B$3:$L$42,9,FALSE)</f>
        <v>#N/A</v>
      </c>
      <c r="Y238" s="10" t="e">
        <f>VLOOKUP(AJ230,'FRC Site Data'!$B$3:$L$42,10,FALSE)</f>
        <v>#N/A</v>
      </c>
      <c r="Z238" s="10" t="e">
        <f>VLOOKUP(AJ230,'FRC Site Data'!$B$3:$L$42,11,FALSE)</f>
        <v>#N/A</v>
      </c>
      <c r="AA238" s="10" t="e">
        <f>VLOOKUP(AJ230,'CIR Team Info'!$C$5:$E$44,4,FALSE)</f>
        <v>#N/A</v>
      </c>
      <c r="AB238" s="161" t="b">
        <f>ISNUMBER(VLOOKUP(AJ230,Match!$T$5:$T$10,1,FALSE))</f>
        <v>0</v>
      </c>
      <c r="AC238" s="161" t="b">
        <f>IF(AB238=TRUE,(VLOOKUP($AJ230,Match!$T$5:$U$10,2,FALSE)))</f>
        <v>0</v>
      </c>
      <c r="AD238" s="8">
        <v>3</v>
      </c>
      <c r="AE238" s="8">
        <v>2</v>
      </c>
      <c r="AF238" s="8">
        <v>2</v>
      </c>
      <c r="AG238" s="8">
        <v>1</v>
      </c>
      <c r="AH238" s="8" t="str">
        <f t="shared" si="71"/>
        <v/>
      </c>
      <c r="AI238" s="12"/>
      <c r="AZ238" s="12"/>
      <c r="BC238" s="12"/>
      <c r="BK238" s="12"/>
      <c r="BS238" s="127"/>
    </row>
    <row r="239" spans="1:71" x14ac:dyDescent="0.25">
      <c r="A239" s="29">
        <f t="shared" si="57"/>
        <v>0</v>
      </c>
      <c r="B239" s="29">
        <f t="shared" si="66"/>
        <v>0</v>
      </c>
      <c r="C239" s="29">
        <f t="shared" si="67"/>
        <v>0</v>
      </c>
      <c r="D239" s="29">
        <f t="shared" si="68"/>
        <v>0</v>
      </c>
      <c r="E239" s="29">
        <f t="shared" si="58"/>
        <v>0</v>
      </c>
      <c r="F239" s="29">
        <f t="shared" si="73"/>
        <v>0</v>
      </c>
      <c r="G239" s="29" t="str">
        <f t="shared" si="74"/>
        <v>offensive</v>
      </c>
      <c r="H239" s="16">
        <f t="shared" si="78"/>
        <v>0</v>
      </c>
      <c r="I239" s="16">
        <f t="shared" si="79"/>
        <v>0</v>
      </c>
      <c r="J239" s="16">
        <f t="shared" si="69"/>
        <v>0</v>
      </c>
      <c r="K239" s="16">
        <f t="shared" si="75"/>
        <v>0</v>
      </c>
      <c r="L239" s="67">
        <f t="shared" si="76"/>
        <v>0</v>
      </c>
      <c r="M239" s="4">
        <f t="shared" si="70"/>
        <v>0</v>
      </c>
      <c r="N239" s="4">
        <f t="shared" si="72"/>
        <v>0</v>
      </c>
      <c r="O239" s="4">
        <f t="shared" si="77"/>
        <v>0</v>
      </c>
      <c r="P239" s="4" t="e">
        <f>VLOOKUP(AJ231,'CIR Team Info'!$C$5:$E$44,2,FALSE)</f>
        <v>#N/A</v>
      </c>
      <c r="Q239" s="4" t="e">
        <f>VLOOKUP(AJ231,'CIR Team Info'!$C$5:$E$44,3,FALSE)</f>
        <v>#N/A</v>
      </c>
      <c r="R239" s="10" t="e">
        <f>VLOOKUP(AJ231,'FRC Site Data'!$B$3:$L$42,2,FALSE)</f>
        <v>#N/A</v>
      </c>
      <c r="S239" s="10" t="e">
        <f>VLOOKUP(AJ231,'FRC Site Data'!$B$3:$L$42,3,FALSE)</f>
        <v>#N/A</v>
      </c>
      <c r="T239" s="10" t="e">
        <f>VLOOKUP(AJ231,'FRC Site Data'!$B$3:$L$42,4,FALSE)</f>
        <v>#N/A</v>
      </c>
      <c r="U239" s="10" t="e">
        <f>VLOOKUP(AJ231,'FRC Site Data'!$B$3:$L$42,5,FALSE)</f>
        <v>#N/A</v>
      </c>
      <c r="V239" s="10" t="e">
        <f>VLOOKUP(AJ231,'FRC Site Data'!$B$3:$L$42,6,FALSE)</f>
        <v>#N/A</v>
      </c>
      <c r="W239" s="10" t="e">
        <f>VLOOKUP(AJ231,'FRC Site Data'!$B$3:$L$42,8,FALSE)</f>
        <v>#N/A</v>
      </c>
      <c r="X239" s="10" t="e">
        <f>VLOOKUP(AJ231,'FRC Site Data'!$B$3:$L$42,9,FALSE)</f>
        <v>#N/A</v>
      </c>
      <c r="Y239" s="10" t="e">
        <f>VLOOKUP(AJ231,'FRC Site Data'!$B$3:$L$42,10,FALSE)</f>
        <v>#N/A</v>
      </c>
      <c r="Z239" s="10" t="e">
        <f>VLOOKUP(AJ231,'FRC Site Data'!$B$3:$L$42,11,FALSE)</f>
        <v>#N/A</v>
      </c>
      <c r="AA239" s="10" t="e">
        <f>VLOOKUP(AJ231,'CIR Team Info'!$C$5:$E$44,4,FALSE)</f>
        <v>#N/A</v>
      </c>
      <c r="AB239" s="161" t="b">
        <f>ISNUMBER(VLOOKUP(AJ231,Match!$T$5:$T$10,1,FALSE))</f>
        <v>0</v>
      </c>
      <c r="AC239" s="161" t="b">
        <f>IF(AB239=TRUE,(VLOOKUP($AJ231,Match!$T$5:$U$10,2,FALSE)))</f>
        <v>0</v>
      </c>
      <c r="AD239" s="8">
        <v>3</v>
      </c>
      <c r="AE239" s="8">
        <v>2</v>
      </c>
      <c r="AF239" s="8">
        <v>2</v>
      </c>
      <c r="AG239" s="8">
        <v>1</v>
      </c>
      <c r="AH239" s="8" t="str">
        <f t="shared" si="71"/>
        <v/>
      </c>
      <c r="AI239" s="12"/>
      <c r="AZ239" s="12"/>
      <c r="BC239" s="12"/>
      <c r="BK239" s="12"/>
      <c r="BS239" s="127"/>
    </row>
    <row r="240" spans="1:71" x14ac:dyDescent="0.25">
      <c r="A240" s="29">
        <f t="shared" si="57"/>
        <v>0</v>
      </c>
      <c r="B240" s="29">
        <f t="shared" si="66"/>
        <v>0</v>
      </c>
      <c r="C240" s="29">
        <f t="shared" si="67"/>
        <v>0</v>
      </c>
      <c r="D240" s="29">
        <f t="shared" si="68"/>
        <v>0</v>
      </c>
      <c r="E240" s="29">
        <f t="shared" si="58"/>
        <v>0</v>
      </c>
      <c r="F240" s="29">
        <f t="shared" si="73"/>
        <v>0</v>
      </c>
      <c r="G240" s="29" t="str">
        <f t="shared" si="74"/>
        <v>offensive</v>
      </c>
      <c r="H240" s="16">
        <f t="shared" si="78"/>
        <v>0</v>
      </c>
      <c r="I240" s="16">
        <f t="shared" si="79"/>
        <v>0</v>
      </c>
      <c r="J240" s="16">
        <f t="shared" si="69"/>
        <v>0</v>
      </c>
      <c r="K240" s="16">
        <f t="shared" si="75"/>
        <v>0</v>
      </c>
      <c r="L240" s="67">
        <f t="shared" si="76"/>
        <v>0</v>
      </c>
      <c r="M240" s="4">
        <f t="shared" si="70"/>
        <v>0</v>
      </c>
      <c r="N240" s="4">
        <f t="shared" si="72"/>
        <v>0</v>
      </c>
      <c r="O240" s="4">
        <f t="shared" si="77"/>
        <v>0</v>
      </c>
      <c r="P240" s="4" t="e">
        <f>VLOOKUP(AJ232,'CIR Team Info'!$C$5:$E$44,2,FALSE)</f>
        <v>#N/A</v>
      </c>
      <c r="Q240" s="4" t="e">
        <f>VLOOKUP(AJ232,'CIR Team Info'!$C$5:$E$44,3,FALSE)</f>
        <v>#N/A</v>
      </c>
      <c r="R240" s="10" t="e">
        <f>VLOOKUP(AJ232,'FRC Site Data'!$B$3:$L$42,2,FALSE)</f>
        <v>#N/A</v>
      </c>
      <c r="S240" s="10" t="e">
        <f>VLOOKUP(AJ232,'FRC Site Data'!$B$3:$L$42,3,FALSE)</f>
        <v>#N/A</v>
      </c>
      <c r="T240" s="10" t="e">
        <f>VLOOKUP(AJ232,'FRC Site Data'!$B$3:$L$42,4,FALSE)</f>
        <v>#N/A</v>
      </c>
      <c r="U240" s="10" t="e">
        <f>VLOOKUP(AJ232,'FRC Site Data'!$B$3:$L$42,5,FALSE)</f>
        <v>#N/A</v>
      </c>
      <c r="V240" s="10" t="e">
        <f>VLOOKUP(AJ232,'FRC Site Data'!$B$3:$L$42,6,FALSE)</f>
        <v>#N/A</v>
      </c>
      <c r="W240" s="10" t="e">
        <f>VLOOKUP(AJ232,'FRC Site Data'!$B$3:$L$42,8,FALSE)</f>
        <v>#N/A</v>
      </c>
      <c r="X240" s="10" t="e">
        <f>VLOOKUP(AJ232,'FRC Site Data'!$B$3:$L$42,9,FALSE)</f>
        <v>#N/A</v>
      </c>
      <c r="Y240" s="10" t="e">
        <f>VLOOKUP(AJ232,'FRC Site Data'!$B$3:$L$42,10,FALSE)</f>
        <v>#N/A</v>
      </c>
      <c r="Z240" s="10" t="e">
        <f>VLOOKUP(AJ232,'FRC Site Data'!$B$3:$L$42,11,FALSE)</f>
        <v>#N/A</v>
      </c>
      <c r="AA240" s="10" t="e">
        <f>VLOOKUP(AJ232,'CIR Team Info'!$C$5:$E$44,4,FALSE)</f>
        <v>#N/A</v>
      </c>
      <c r="AB240" s="161" t="b">
        <f>ISNUMBER(VLOOKUP(AJ232,Match!$T$5:$T$10,1,FALSE))</f>
        <v>0</v>
      </c>
      <c r="AC240" s="161" t="b">
        <f>IF(AB240=TRUE,(VLOOKUP($AJ232,Match!$T$5:$U$10,2,FALSE)))</f>
        <v>0</v>
      </c>
      <c r="AD240" s="8">
        <v>3</v>
      </c>
      <c r="AE240" s="8">
        <v>2</v>
      </c>
      <c r="AF240" s="8">
        <v>2</v>
      </c>
      <c r="AG240" s="8">
        <v>1</v>
      </c>
      <c r="AH240" s="8" t="str">
        <f t="shared" si="71"/>
        <v/>
      </c>
      <c r="AI240" s="12"/>
      <c r="AZ240" s="12"/>
      <c r="BC240" s="12"/>
      <c r="BK240" s="12"/>
      <c r="BS240" s="127"/>
    </row>
    <row r="241" spans="1:71" x14ac:dyDescent="0.25">
      <c r="A241" s="29">
        <f t="shared" si="57"/>
        <v>0</v>
      </c>
      <c r="B241" s="29">
        <f t="shared" si="66"/>
        <v>0</v>
      </c>
      <c r="C241" s="29">
        <f t="shared" si="67"/>
        <v>0</v>
      </c>
      <c r="D241" s="29">
        <f t="shared" si="68"/>
        <v>0</v>
      </c>
      <c r="E241" s="29">
        <f t="shared" si="58"/>
        <v>0</v>
      </c>
      <c r="F241" s="29">
        <f t="shared" si="73"/>
        <v>0</v>
      </c>
      <c r="G241" s="29" t="str">
        <f t="shared" si="74"/>
        <v>offensive</v>
      </c>
      <c r="H241" s="16">
        <f t="shared" si="78"/>
        <v>0</v>
      </c>
      <c r="I241" s="16">
        <f t="shared" si="79"/>
        <v>0</v>
      </c>
      <c r="J241" s="16">
        <f t="shared" si="69"/>
        <v>0</v>
      </c>
      <c r="K241" s="16">
        <f t="shared" si="75"/>
        <v>0</v>
      </c>
      <c r="L241" s="67">
        <f t="shared" si="76"/>
        <v>0</v>
      </c>
      <c r="M241" s="4">
        <f t="shared" si="70"/>
        <v>0</v>
      </c>
      <c r="N241" s="4">
        <f t="shared" si="72"/>
        <v>0</v>
      </c>
      <c r="O241" s="4">
        <f t="shared" si="77"/>
        <v>0</v>
      </c>
      <c r="P241" s="4" t="e">
        <f>VLOOKUP(AJ233,'CIR Team Info'!$C$5:$E$44,2,FALSE)</f>
        <v>#N/A</v>
      </c>
      <c r="Q241" s="4" t="e">
        <f>VLOOKUP(AJ233,'CIR Team Info'!$C$5:$E$44,3,FALSE)</f>
        <v>#N/A</v>
      </c>
      <c r="R241" s="10" t="e">
        <f>VLOOKUP(AJ233,'FRC Site Data'!$B$3:$L$42,2,FALSE)</f>
        <v>#N/A</v>
      </c>
      <c r="S241" s="10" t="e">
        <f>VLOOKUP(AJ233,'FRC Site Data'!$B$3:$L$42,3,FALSE)</f>
        <v>#N/A</v>
      </c>
      <c r="T241" s="10" t="e">
        <f>VLOOKUP(AJ233,'FRC Site Data'!$B$3:$L$42,4,FALSE)</f>
        <v>#N/A</v>
      </c>
      <c r="U241" s="10" t="e">
        <f>VLOOKUP(AJ233,'FRC Site Data'!$B$3:$L$42,5,FALSE)</f>
        <v>#N/A</v>
      </c>
      <c r="V241" s="10" t="e">
        <f>VLOOKUP(AJ233,'FRC Site Data'!$B$3:$L$42,6,FALSE)</f>
        <v>#N/A</v>
      </c>
      <c r="W241" s="10" t="e">
        <f>VLOOKUP(AJ233,'FRC Site Data'!$B$3:$L$42,8,FALSE)</f>
        <v>#N/A</v>
      </c>
      <c r="X241" s="10" t="e">
        <f>VLOOKUP(AJ233,'FRC Site Data'!$B$3:$L$42,9,FALSE)</f>
        <v>#N/A</v>
      </c>
      <c r="Y241" s="10" t="e">
        <f>VLOOKUP(AJ233,'FRC Site Data'!$B$3:$L$42,10,FALSE)</f>
        <v>#N/A</v>
      </c>
      <c r="Z241" s="10" t="e">
        <f>VLOOKUP(AJ233,'FRC Site Data'!$B$3:$L$42,11,FALSE)</f>
        <v>#N/A</v>
      </c>
      <c r="AA241" s="10" t="e">
        <f>VLOOKUP(AJ233,'CIR Team Info'!$C$5:$E$44,4,FALSE)</f>
        <v>#N/A</v>
      </c>
      <c r="AB241" s="161" t="b">
        <f>ISNUMBER(VLOOKUP(AJ233,Match!$T$5:$T$10,1,FALSE))</f>
        <v>0</v>
      </c>
      <c r="AC241" s="161" t="b">
        <f>IF(AB241=TRUE,(VLOOKUP($AJ233,Match!$T$5:$U$10,2,FALSE)))</f>
        <v>0</v>
      </c>
      <c r="AD241" s="8">
        <v>3</v>
      </c>
      <c r="AE241" s="8">
        <v>2</v>
      </c>
      <c r="AF241" s="8">
        <v>2</v>
      </c>
      <c r="AG241" s="8">
        <v>1</v>
      </c>
      <c r="AH241" s="8" t="str">
        <f t="shared" si="71"/>
        <v/>
      </c>
      <c r="AI241" s="12"/>
      <c r="AZ241" s="12"/>
      <c r="BC241" s="12"/>
      <c r="BK241" s="12"/>
      <c r="BS241" s="127"/>
    </row>
    <row r="242" spans="1:71" x14ac:dyDescent="0.25">
      <c r="A242" s="29">
        <f t="shared" si="57"/>
        <v>0</v>
      </c>
      <c r="B242" s="29">
        <f t="shared" si="66"/>
        <v>0</v>
      </c>
      <c r="C242" s="29">
        <f t="shared" si="67"/>
        <v>0</v>
      </c>
      <c r="D242" s="29">
        <f t="shared" si="68"/>
        <v>0</v>
      </c>
      <c r="E242" s="29">
        <f t="shared" si="58"/>
        <v>0</v>
      </c>
      <c r="F242" s="29">
        <f t="shared" si="73"/>
        <v>0</v>
      </c>
      <c r="G242" s="29" t="str">
        <f t="shared" si="74"/>
        <v>offensive</v>
      </c>
      <c r="H242" s="16">
        <f t="shared" si="78"/>
        <v>0</v>
      </c>
      <c r="I242" s="16">
        <f t="shared" si="79"/>
        <v>0</v>
      </c>
      <c r="J242" s="16">
        <f t="shared" si="69"/>
        <v>0</v>
      </c>
      <c r="K242" s="16">
        <f t="shared" si="75"/>
        <v>0</v>
      </c>
      <c r="L242" s="67">
        <f t="shared" si="76"/>
        <v>0</v>
      </c>
      <c r="M242" s="4">
        <f t="shared" si="70"/>
        <v>0</v>
      </c>
      <c r="N242" s="4">
        <f t="shared" si="72"/>
        <v>0</v>
      </c>
      <c r="O242" s="4">
        <f t="shared" si="77"/>
        <v>0</v>
      </c>
      <c r="P242" s="4" t="e">
        <f>VLOOKUP(AJ234,'CIR Team Info'!$C$5:$E$44,2,FALSE)</f>
        <v>#N/A</v>
      </c>
      <c r="Q242" s="4" t="e">
        <f>VLOOKUP(AJ234,'CIR Team Info'!$C$5:$E$44,3,FALSE)</f>
        <v>#N/A</v>
      </c>
      <c r="R242" s="10" t="e">
        <f>VLOOKUP(AJ234,'FRC Site Data'!$B$3:$L$42,2,FALSE)</f>
        <v>#N/A</v>
      </c>
      <c r="S242" s="10" t="e">
        <f>VLOOKUP(AJ234,'FRC Site Data'!$B$3:$L$42,3,FALSE)</f>
        <v>#N/A</v>
      </c>
      <c r="T242" s="10" t="e">
        <f>VLOOKUP(AJ234,'FRC Site Data'!$B$3:$L$42,4,FALSE)</f>
        <v>#N/A</v>
      </c>
      <c r="U242" s="10" t="e">
        <f>VLOOKUP(AJ234,'FRC Site Data'!$B$3:$L$42,5,FALSE)</f>
        <v>#N/A</v>
      </c>
      <c r="V242" s="10" t="e">
        <f>VLOOKUP(AJ234,'FRC Site Data'!$B$3:$L$42,6,FALSE)</f>
        <v>#N/A</v>
      </c>
      <c r="W242" s="10" t="e">
        <f>VLOOKUP(AJ234,'FRC Site Data'!$B$3:$L$42,8,FALSE)</f>
        <v>#N/A</v>
      </c>
      <c r="X242" s="10" t="e">
        <f>VLOOKUP(AJ234,'FRC Site Data'!$B$3:$L$42,9,FALSE)</f>
        <v>#N/A</v>
      </c>
      <c r="Y242" s="10" t="e">
        <f>VLOOKUP(AJ234,'FRC Site Data'!$B$3:$L$42,10,FALSE)</f>
        <v>#N/A</v>
      </c>
      <c r="Z242" s="10" t="e">
        <f>VLOOKUP(AJ234,'FRC Site Data'!$B$3:$L$42,11,FALSE)</f>
        <v>#N/A</v>
      </c>
      <c r="AA242" s="10" t="e">
        <f>VLOOKUP(AJ234,'CIR Team Info'!$C$5:$E$44,4,FALSE)</f>
        <v>#N/A</v>
      </c>
      <c r="AB242" s="161" t="b">
        <f>ISNUMBER(VLOOKUP(AJ234,Match!$T$5:$T$10,1,FALSE))</f>
        <v>0</v>
      </c>
      <c r="AC242" s="161" t="b">
        <f>IF(AB242=TRUE,(VLOOKUP($AJ234,Match!$T$5:$U$10,2,FALSE)))</f>
        <v>0</v>
      </c>
      <c r="AD242" s="8">
        <v>3</v>
      </c>
      <c r="AE242" s="8">
        <v>2</v>
      </c>
      <c r="AF242" s="8">
        <v>2</v>
      </c>
      <c r="AG242" s="8">
        <v>1</v>
      </c>
      <c r="AH242" s="8" t="str">
        <f t="shared" si="71"/>
        <v/>
      </c>
      <c r="AI242" s="12"/>
      <c r="AZ242" s="12"/>
      <c r="BC242" s="12"/>
      <c r="BK242" s="12"/>
      <c r="BS242" s="127"/>
    </row>
    <row r="243" spans="1:71" x14ac:dyDescent="0.25">
      <c r="A243" s="29">
        <f t="shared" si="57"/>
        <v>0</v>
      </c>
      <c r="B243" s="29">
        <f t="shared" si="66"/>
        <v>0</v>
      </c>
      <c r="C243" s="29">
        <f t="shared" si="67"/>
        <v>0</v>
      </c>
      <c r="D243" s="29">
        <f t="shared" si="68"/>
        <v>0</v>
      </c>
      <c r="E243" s="29">
        <f t="shared" si="58"/>
        <v>0</v>
      </c>
      <c r="F243" s="29">
        <f t="shared" si="73"/>
        <v>0</v>
      </c>
      <c r="G243" s="29" t="str">
        <f t="shared" si="74"/>
        <v>offensive</v>
      </c>
      <c r="H243" s="16">
        <f t="shared" si="78"/>
        <v>0</v>
      </c>
      <c r="I243" s="16">
        <f t="shared" si="79"/>
        <v>0</v>
      </c>
      <c r="J243" s="16">
        <f t="shared" si="69"/>
        <v>0</v>
      </c>
      <c r="K243" s="16">
        <f t="shared" si="75"/>
        <v>0</v>
      </c>
      <c r="L243" s="67">
        <f t="shared" si="76"/>
        <v>0</v>
      </c>
      <c r="M243" s="4">
        <f t="shared" si="70"/>
        <v>0</v>
      </c>
      <c r="N243" s="4">
        <f t="shared" si="72"/>
        <v>0</v>
      </c>
      <c r="O243" s="4">
        <f t="shared" si="77"/>
        <v>0</v>
      </c>
      <c r="P243" s="4" t="e">
        <f>VLOOKUP(AJ235,'CIR Team Info'!$C$5:$E$44,2,FALSE)</f>
        <v>#N/A</v>
      </c>
      <c r="Q243" s="4" t="e">
        <f>VLOOKUP(AJ235,'CIR Team Info'!$C$5:$E$44,3,FALSE)</f>
        <v>#N/A</v>
      </c>
      <c r="R243" s="10" t="e">
        <f>VLOOKUP(AJ235,'FRC Site Data'!$B$3:$L$42,2,FALSE)</f>
        <v>#N/A</v>
      </c>
      <c r="S243" s="10" t="e">
        <f>VLOOKUP(AJ235,'FRC Site Data'!$B$3:$L$42,3,FALSE)</f>
        <v>#N/A</v>
      </c>
      <c r="T243" s="10" t="e">
        <f>VLOOKUP(AJ235,'FRC Site Data'!$B$3:$L$42,4,FALSE)</f>
        <v>#N/A</v>
      </c>
      <c r="U243" s="10" t="e">
        <f>VLOOKUP(AJ235,'FRC Site Data'!$B$3:$L$42,5,FALSE)</f>
        <v>#N/A</v>
      </c>
      <c r="V243" s="10" t="e">
        <f>VLOOKUP(AJ235,'FRC Site Data'!$B$3:$L$42,6,FALSE)</f>
        <v>#N/A</v>
      </c>
      <c r="W243" s="10" t="e">
        <f>VLOOKUP(AJ235,'FRC Site Data'!$B$3:$L$42,8,FALSE)</f>
        <v>#N/A</v>
      </c>
      <c r="X243" s="10" t="e">
        <f>VLOOKUP(AJ235,'FRC Site Data'!$B$3:$L$42,9,FALSE)</f>
        <v>#N/A</v>
      </c>
      <c r="Y243" s="10" t="e">
        <f>VLOOKUP(AJ235,'FRC Site Data'!$B$3:$L$42,10,FALSE)</f>
        <v>#N/A</v>
      </c>
      <c r="Z243" s="10" t="e">
        <f>VLOOKUP(AJ235,'FRC Site Data'!$B$3:$L$42,11,FALSE)</f>
        <v>#N/A</v>
      </c>
      <c r="AA243" s="10" t="e">
        <f>VLOOKUP(AJ235,'CIR Team Info'!$C$5:$E$44,4,FALSE)</f>
        <v>#N/A</v>
      </c>
      <c r="AB243" s="161" t="b">
        <f>ISNUMBER(VLOOKUP(AJ235,Match!$T$5:$T$10,1,FALSE))</f>
        <v>0</v>
      </c>
      <c r="AC243" s="161" t="b">
        <f>IF(AB243=TRUE,(VLOOKUP($AJ235,Match!$T$5:$U$10,2,FALSE)))</f>
        <v>0</v>
      </c>
      <c r="AD243" s="8">
        <v>3</v>
      </c>
      <c r="AE243" s="8">
        <v>2</v>
      </c>
      <c r="AF243" s="8">
        <v>2</v>
      </c>
      <c r="AG243" s="8">
        <v>1</v>
      </c>
      <c r="AH243" s="8" t="str">
        <f t="shared" si="71"/>
        <v/>
      </c>
      <c r="AI243" s="12"/>
      <c r="AZ243" s="12"/>
      <c r="BC243" s="12"/>
      <c r="BK243" s="12"/>
      <c r="BS243" s="127"/>
    </row>
    <row r="244" spans="1:71" x14ac:dyDescent="0.25">
      <c r="A244" s="29">
        <f t="shared" si="57"/>
        <v>0</v>
      </c>
      <c r="B244" s="29">
        <f t="shared" si="66"/>
        <v>0</v>
      </c>
      <c r="C244" s="29">
        <f t="shared" si="67"/>
        <v>0</v>
      </c>
      <c r="D244" s="29">
        <f t="shared" si="68"/>
        <v>0</v>
      </c>
      <c r="E244" s="29">
        <f t="shared" si="58"/>
        <v>0</v>
      </c>
      <c r="F244" s="29">
        <f t="shared" si="73"/>
        <v>0</v>
      </c>
      <c r="G244" s="29" t="str">
        <f t="shared" si="74"/>
        <v>offensive</v>
      </c>
      <c r="H244" s="16">
        <f t="shared" si="78"/>
        <v>0</v>
      </c>
      <c r="I244" s="16">
        <f t="shared" si="79"/>
        <v>0</v>
      </c>
      <c r="J244" s="16">
        <f t="shared" si="69"/>
        <v>0</v>
      </c>
      <c r="K244" s="16">
        <f t="shared" si="75"/>
        <v>0</v>
      </c>
      <c r="L244" s="67">
        <f t="shared" si="76"/>
        <v>0</v>
      </c>
      <c r="M244" s="4">
        <f t="shared" si="70"/>
        <v>0</v>
      </c>
      <c r="N244" s="4">
        <f t="shared" si="72"/>
        <v>0</v>
      </c>
      <c r="O244" s="4">
        <f t="shared" si="77"/>
        <v>0</v>
      </c>
      <c r="P244" s="4" t="e">
        <f>VLOOKUP(AJ236,'CIR Team Info'!$C$5:$E$44,2,FALSE)</f>
        <v>#N/A</v>
      </c>
      <c r="Q244" s="4" t="e">
        <f>VLOOKUP(AJ236,'CIR Team Info'!$C$5:$E$44,3,FALSE)</f>
        <v>#N/A</v>
      </c>
      <c r="R244" s="10" t="e">
        <f>VLOOKUP(AJ236,'FRC Site Data'!$B$3:$L$42,2,FALSE)</f>
        <v>#N/A</v>
      </c>
      <c r="S244" s="10" t="e">
        <f>VLOOKUP(AJ236,'FRC Site Data'!$B$3:$L$42,3,FALSE)</f>
        <v>#N/A</v>
      </c>
      <c r="T244" s="10" t="e">
        <f>VLOOKUP(AJ236,'FRC Site Data'!$B$3:$L$42,4,FALSE)</f>
        <v>#N/A</v>
      </c>
      <c r="U244" s="10" t="e">
        <f>VLOOKUP(AJ236,'FRC Site Data'!$B$3:$L$42,5,FALSE)</f>
        <v>#N/A</v>
      </c>
      <c r="V244" s="10" t="e">
        <f>VLOOKUP(AJ236,'FRC Site Data'!$B$3:$L$42,6,FALSE)</f>
        <v>#N/A</v>
      </c>
      <c r="W244" s="10" t="e">
        <f>VLOOKUP(AJ236,'FRC Site Data'!$B$3:$L$42,8,FALSE)</f>
        <v>#N/A</v>
      </c>
      <c r="X244" s="10" t="e">
        <f>VLOOKUP(AJ236,'FRC Site Data'!$B$3:$L$42,9,FALSE)</f>
        <v>#N/A</v>
      </c>
      <c r="Y244" s="10" t="e">
        <f>VLOOKUP(AJ236,'FRC Site Data'!$B$3:$L$42,10,FALSE)</f>
        <v>#N/A</v>
      </c>
      <c r="Z244" s="10" t="e">
        <f>VLOOKUP(AJ236,'FRC Site Data'!$B$3:$L$42,11,FALSE)</f>
        <v>#N/A</v>
      </c>
      <c r="AA244" s="10" t="e">
        <f>VLOOKUP(AJ236,'CIR Team Info'!$C$5:$E$44,4,FALSE)</f>
        <v>#N/A</v>
      </c>
      <c r="AB244" s="161" t="b">
        <f>ISNUMBER(VLOOKUP(AJ236,Match!$T$5:$T$10,1,FALSE))</f>
        <v>0</v>
      </c>
      <c r="AC244" s="161" t="b">
        <f>IF(AB244=TRUE,(VLOOKUP($AJ236,Match!$T$5:$U$10,2,FALSE)))</f>
        <v>0</v>
      </c>
      <c r="AD244" s="8">
        <v>3</v>
      </c>
      <c r="AE244" s="8">
        <v>2</v>
      </c>
      <c r="AF244" s="8">
        <v>2</v>
      </c>
      <c r="AG244" s="8">
        <v>1</v>
      </c>
      <c r="AH244" s="8" t="str">
        <f t="shared" si="71"/>
        <v/>
      </c>
      <c r="AI244" s="12"/>
      <c r="AZ244" s="12"/>
      <c r="BC244" s="12"/>
      <c r="BK244" s="12"/>
      <c r="BS244" s="127"/>
    </row>
    <row r="245" spans="1:71" x14ac:dyDescent="0.25">
      <c r="A245" s="29">
        <f t="shared" si="57"/>
        <v>0</v>
      </c>
      <c r="B245" s="29">
        <f t="shared" si="66"/>
        <v>0</v>
      </c>
      <c r="C245" s="29">
        <f t="shared" si="67"/>
        <v>0</v>
      </c>
      <c r="D245" s="29">
        <f t="shared" si="68"/>
        <v>0</v>
      </c>
      <c r="E245" s="29">
        <f t="shared" si="58"/>
        <v>0</v>
      </c>
      <c r="F245" s="29">
        <f t="shared" si="73"/>
        <v>0</v>
      </c>
      <c r="G245" s="29" t="str">
        <f t="shared" si="74"/>
        <v>offensive</v>
      </c>
      <c r="H245" s="16">
        <f t="shared" si="78"/>
        <v>0</v>
      </c>
      <c r="I245" s="16">
        <f t="shared" si="79"/>
        <v>0</v>
      </c>
      <c r="J245" s="16">
        <f t="shared" si="69"/>
        <v>0</v>
      </c>
      <c r="K245" s="16">
        <f t="shared" si="75"/>
        <v>0</v>
      </c>
      <c r="L245" s="67">
        <f t="shared" si="76"/>
        <v>0</v>
      </c>
      <c r="M245" s="4">
        <f t="shared" si="70"/>
        <v>0</v>
      </c>
      <c r="N245" s="4">
        <f t="shared" si="72"/>
        <v>0</v>
      </c>
      <c r="O245" s="4">
        <f t="shared" si="77"/>
        <v>0</v>
      </c>
      <c r="P245" s="4" t="e">
        <f>VLOOKUP(AJ237,'CIR Team Info'!$C$5:$E$44,2,FALSE)</f>
        <v>#N/A</v>
      </c>
      <c r="Q245" s="4" t="e">
        <f>VLOOKUP(AJ237,'CIR Team Info'!$C$5:$E$44,3,FALSE)</f>
        <v>#N/A</v>
      </c>
      <c r="R245" s="10" t="e">
        <f>VLOOKUP(AJ237,'FRC Site Data'!$B$3:$L$42,2,FALSE)</f>
        <v>#N/A</v>
      </c>
      <c r="S245" s="10" t="e">
        <f>VLOOKUP(AJ237,'FRC Site Data'!$B$3:$L$42,3,FALSE)</f>
        <v>#N/A</v>
      </c>
      <c r="T245" s="10" t="e">
        <f>VLOOKUP(AJ237,'FRC Site Data'!$B$3:$L$42,4,FALSE)</f>
        <v>#N/A</v>
      </c>
      <c r="U245" s="10" t="e">
        <f>VLOOKUP(AJ237,'FRC Site Data'!$B$3:$L$42,5,FALSE)</f>
        <v>#N/A</v>
      </c>
      <c r="V245" s="10" t="e">
        <f>VLOOKUP(AJ237,'FRC Site Data'!$B$3:$L$42,6,FALSE)</f>
        <v>#N/A</v>
      </c>
      <c r="W245" s="10" t="e">
        <f>VLOOKUP(AJ237,'FRC Site Data'!$B$3:$L$42,8,FALSE)</f>
        <v>#N/A</v>
      </c>
      <c r="X245" s="10" t="e">
        <f>VLOOKUP(AJ237,'FRC Site Data'!$B$3:$L$42,9,FALSE)</f>
        <v>#N/A</v>
      </c>
      <c r="Y245" s="10" t="e">
        <f>VLOOKUP(AJ237,'FRC Site Data'!$B$3:$L$42,10,FALSE)</f>
        <v>#N/A</v>
      </c>
      <c r="Z245" s="10" t="e">
        <f>VLOOKUP(AJ237,'FRC Site Data'!$B$3:$L$42,11,FALSE)</f>
        <v>#N/A</v>
      </c>
      <c r="AA245" s="10" t="e">
        <f>VLOOKUP(AJ237,'CIR Team Info'!$C$5:$E$44,4,FALSE)</f>
        <v>#N/A</v>
      </c>
      <c r="AB245" s="161" t="b">
        <f>ISNUMBER(VLOOKUP(AJ237,Match!$T$5:$T$10,1,FALSE))</f>
        <v>0</v>
      </c>
      <c r="AC245" s="161" t="b">
        <f>IF(AB245=TRUE,(VLOOKUP($AJ237,Match!$T$5:$U$10,2,FALSE)))</f>
        <v>0</v>
      </c>
      <c r="AD245" s="8">
        <v>3</v>
      </c>
      <c r="AE245" s="8">
        <v>2</v>
      </c>
      <c r="AF245" s="8">
        <v>2</v>
      </c>
      <c r="AG245" s="8">
        <v>1</v>
      </c>
      <c r="AH245" s="8" t="str">
        <f t="shared" si="71"/>
        <v/>
      </c>
      <c r="AI245" s="12"/>
      <c r="AZ245" s="12"/>
      <c r="BC245" s="12"/>
      <c r="BK245" s="12"/>
      <c r="BS245" s="127"/>
    </row>
    <row r="246" spans="1:71" x14ac:dyDescent="0.25">
      <c r="A246" s="29">
        <f t="shared" si="57"/>
        <v>0</v>
      </c>
      <c r="B246" s="29">
        <f t="shared" si="66"/>
        <v>0</v>
      </c>
      <c r="C246" s="29">
        <f t="shared" si="67"/>
        <v>0</v>
      </c>
      <c r="D246" s="29">
        <f t="shared" si="68"/>
        <v>0</v>
      </c>
      <c r="E246" s="29">
        <f t="shared" si="58"/>
        <v>0</v>
      </c>
      <c r="F246" s="29">
        <f t="shared" si="73"/>
        <v>0</v>
      </c>
      <c r="G246" s="29" t="str">
        <f t="shared" si="74"/>
        <v>offensive</v>
      </c>
      <c r="H246" s="16">
        <f t="shared" si="78"/>
        <v>0</v>
      </c>
      <c r="I246" s="16">
        <f t="shared" si="79"/>
        <v>0</v>
      </c>
      <c r="J246" s="16">
        <f t="shared" si="69"/>
        <v>0</v>
      </c>
      <c r="K246" s="16">
        <f t="shared" si="75"/>
        <v>0</v>
      </c>
      <c r="L246" s="67">
        <f t="shared" si="76"/>
        <v>0</v>
      </c>
      <c r="M246" s="4">
        <f t="shared" si="70"/>
        <v>0</v>
      </c>
      <c r="N246" s="4">
        <f t="shared" si="72"/>
        <v>0</v>
      </c>
      <c r="O246" s="4">
        <f t="shared" si="77"/>
        <v>0</v>
      </c>
      <c r="P246" s="4" t="e">
        <f>VLOOKUP(AJ238,'CIR Team Info'!$C$5:$E$44,2,FALSE)</f>
        <v>#N/A</v>
      </c>
      <c r="Q246" s="4" t="e">
        <f>VLOOKUP(AJ238,'CIR Team Info'!$C$5:$E$44,3,FALSE)</f>
        <v>#N/A</v>
      </c>
      <c r="R246" s="10" t="e">
        <f>VLOOKUP(AJ238,'FRC Site Data'!$B$3:$L$42,2,FALSE)</f>
        <v>#N/A</v>
      </c>
      <c r="S246" s="10" t="e">
        <f>VLOOKUP(AJ238,'FRC Site Data'!$B$3:$L$42,3,FALSE)</f>
        <v>#N/A</v>
      </c>
      <c r="T246" s="10" t="e">
        <f>VLOOKUP(AJ238,'FRC Site Data'!$B$3:$L$42,4,FALSE)</f>
        <v>#N/A</v>
      </c>
      <c r="U246" s="10" t="e">
        <f>VLOOKUP(AJ238,'FRC Site Data'!$B$3:$L$42,5,FALSE)</f>
        <v>#N/A</v>
      </c>
      <c r="V246" s="10" t="e">
        <f>VLOOKUP(AJ238,'FRC Site Data'!$B$3:$L$42,6,FALSE)</f>
        <v>#N/A</v>
      </c>
      <c r="W246" s="10" t="e">
        <f>VLOOKUP(AJ238,'FRC Site Data'!$B$3:$L$42,8,FALSE)</f>
        <v>#N/A</v>
      </c>
      <c r="X246" s="10" t="e">
        <f>VLOOKUP(AJ238,'FRC Site Data'!$B$3:$L$42,9,FALSE)</f>
        <v>#N/A</v>
      </c>
      <c r="Y246" s="10" t="e">
        <f>VLOOKUP(AJ238,'FRC Site Data'!$B$3:$L$42,10,FALSE)</f>
        <v>#N/A</v>
      </c>
      <c r="Z246" s="10" t="e">
        <f>VLOOKUP(AJ238,'FRC Site Data'!$B$3:$L$42,11,FALSE)</f>
        <v>#N/A</v>
      </c>
      <c r="AA246" s="10" t="e">
        <f>VLOOKUP(AJ238,'CIR Team Info'!$C$5:$E$44,4,FALSE)</f>
        <v>#N/A</v>
      </c>
      <c r="AB246" s="161" t="b">
        <f>ISNUMBER(VLOOKUP(AJ238,Match!$T$5:$T$10,1,FALSE))</f>
        <v>0</v>
      </c>
      <c r="AC246" s="161" t="b">
        <f>IF(AB246=TRUE,(VLOOKUP($AJ238,Match!$T$5:$U$10,2,FALSE)))</f>
        <v>0</v>
      </c>
      <c r="AD246" s="8">
        <v>3</v>
      </c>
      <c r="AE246" s="8">
        <v>2</v>
      </c>
      <c r="AF246" s="8">
        <v>2</v>
      </c>
      <c r="AG246" s="8">
        <v>1</v>
      </c>
      <c r="AH246" s="8" t="str">
        <f t="shared" si="71"/>
        <v/>
      </c>
      <c r="AI246" s="12"/>
      <c r="AZ246" s="12"/>
      <c r="BC246" s="12"/>
      <c r="BK246" s="12"/>
      <c r="BS246" s="127"/>
    </row>
    <row r="247" spans="1:71" x14ac:dyDescent="0.25">
      <c r="A247" s="29">
        <f t="shared" si="57"/>
        <v>0</v>
      </c>
      <c r="B247" s="29">
        <f t="shared" si="66"/>
        <v>0</v>
      </c>
      <c r="C247" s="29">
        <f t="shared" si="67"/>
        <v>0</v>
      </c>
      <c r="D247" s="29">
        <f t="shared" si="68"/>
        <v>0</v>
      </c>
      <c r="E247" s="29">
        <f t="shared" si="58"/>
        <v>0</v>
      </c>
      <c r="F247" s="29">
        <f t="shared" si="73"/>
        <v>0</v>
      </c>
      <c r="G247" s="29" t="str">
        <f t="shared" si="74"/>
        <v>offensive</v>
      </c>
      <c r="H247" s="16">
        <f t="shared" si="78"/>
        <v>0</v>
      </c>
      <c r="I247" s="16">
        <f t="shared" si="79"/>
        <v>0</v>
      </c>
      <c r="J247" s="16">
        <f t="shared" si="69"/>
        <v>0</v>
      </c>
      <c r="K247" s="16">
        <f t="shared" si="75"/>
        <v>0</v>
      </c>
      <c r="L247" s="67">
        <f t="shared" si="76"/>
        <v>0</v>
      </c>
      <c r="M247" s="4">
        <f t="shared" si="70"/>
        <v>0</v>
      </c>
      <c r="N247" s="4">
        <f t="shared" si="72"/>
        <v>0</v>
      </c>
      <c r="O247" s="4">
        <f t="shared" si="77"/>
        <v>0</v>
      </c>
      <c r="P247" s="4" t="e">
        <f>VLOOKUP(AJ239,'CIR Team Info'!$C$5:$E$44,2,FALSE)</f>
        <v>#N/A</v>
      </c>
      <c r="Q247" s="4" t="e">
        <f>VLOOKUP(AJ239,'CIR Team Info'!$C$5:$E$44,3,FALSE)</f>
        <v>#N/A</v>
      </c>
      <c r="R247" s="10" t="e">
        <f>VLOOKUP(AJ239,'FRC Site Data'!$B$3:$L$42,2,FALSE)</f>
        <v>#N/A</v>
      </c>
      <c r="S247" s="10" t="e">
        <f>VLOOKUP(AJ239,'FRC Site Data'!$B$3:$L$42,3,FALSE)</f>
        <v>#N/A</v>
      </c>
      <c r="T247" s="10" t="e">
        <f>VLOOKUP(AJ239,'FRC Site Data'!$B$3:$L$42,4,FALSE)</f>
        <v>#N/A</v>
      </c>
      <c r="U247" s="10" t="e">
        <f>VLOOKUP(AJ239,'FRC Site Data'!$B$3:$L$42,5,FALSE)</f>
        <v>#N/A</v>
      </c>
      <c r="V247" s="10" t="e">
        <f>VLOOKUP(AJ239,'FRC Site Data'!$B$3:$L$42,6,FALSE)</f>
        <v>#N/A</v>
      </c>
      <c r="W247" s="10" t="e">
        <f>VLOOKUP(AJ239,'FRC Site Data'!$B$3:$L$42,8,FALSE)</f>
        <v>#N/A</v>
      </c>
      <c r="X247" s="10" t="e">
        <f>VLOOKUP(AJ239,'FRC Site Data'!$B$3:$L$42,9,FALSE)</f>
        <v>#N/A</v>
      </c>
      <c r="Y247" s="10" t="e">
        <f>VLOOKUP(AJ239,'FRC Site Data'!$B$3:$L$42,10,FALSE)</f>
        <v>#N/A</v>
      </c>
      <c r="Z247" s="10" t="e">
        <f>VLOOKUP(AJ239,'FRC Site Data'!$B$3:$L$42,11,FALSE)</f>
        <v>#N/A</v>
      </c>
      <c r="AA247" s="10" t="e">
        <f>VLOOKUP(AJ239,'CIR Team Info'!$C$5:$E$44,4,FALSE)</f>
        <v>#N/A</v>
      </c>
      <c r="AB247" s="161" t="b">
        <f>ISNUMBER(VLOOKUP(AJ239,Match!$T$5:$T$10,1,FALSE))</f>
        <v>0</v>
      </c>
      <c r="AC247" s="161" t="b">
        <f>IF(AB247=TRUE,(VLOOKUP($AJ239,Match!$T$5:$U$10,2,FALSE)))</f>
        <v>0</v>
      </c>
      <c r="AD247" s="8">
        <v>3</v>
      </c>
      <c r="AE247" s="8">
        <v>2</v>
      </c>
      <c r="AF247" s="8">
        <v>2</v>
      </c>
      <c r="AG247" s="8">
        <v>1</v>
      </c>
      <c r="AH247" s="8" t="str">
        <f t="shared" si="71"/>
        <v/>
      </c>
      <c r="AI247" s="12"/>
      <c r="AZ247" s="12"/>
      <c r="BC247" s="12"/>
      <c r="BK247" s="12"/>
      <c r="BS247" s="127"/>
    </row>
    <row r="248" spans="1:71" x14ac:dyDescent="0.25">
      <c r="A248" s="29">
        <f t="shared" si="57"/>
        <v>0</v>
      </c>
      <c r="B248" s="29">
        <f t="shared" si="66"/>
        <v>0</v>
      </c>
      <c r="C248" s="29">
        <f t="shared" si="67"/>
        <v>0</v>
      </c>
      <c r="D248" s="29">
        <f t="shared" si="68"/>
        <v>0</v>
      </c>
      <c r="E248" s="29">
        <f t="shared" si="58"/>
        <v>0</v>
      </c>
      <c r="F248" s="29">
        <f t="shared" si="73"/>
        <v>0</v>
      </c>
      <c r="G248" s="29" t="str">
        <f t="shared" si="74"/>
        <v>offensive</v>
      </c>
      <c r="H248" s="16">
        <f t="shared" si="78"/>
        <v>0</v>
      </c>
      <c r="I248" s="16">
        <f t="shared" si="79"/>
        <v>0</v>
      </c>
      <c r="J248" s="16">
        <f t="shared" si="69"/>
        <v>0</v>
      </c>
      <c r="K248" s="16">
        <f t="shared" si="75"/>
        <v>0</v>
      </c>
      <c r="L248" s="67">
        <f t="shared" si="76"/>
        <v>0</v>
      </c>
      <c r="M248" s="4">
        <f t="shared" si="70"/>
        <v>0</v>
      </c>
      <c r="N248" s="4">
        <f t="shared" si="72"/>
        <v>0</v>
      </c>
      <c r="O248" s="4">
        <f t="shared" si="77"/>
        <v>0</v>
      </c>
      <c r="P248" s="4" t="e">
        <f>VLOOKUP(AJ240,'CIR Team Info'!$C$5:$E$44,2,FALSE)</f>
        <v>#N/A</v>
      </c>
      <c r="Q248" s="4" t="e">
        <f>VLOOKUP(AJ240,'CIR Team Info'!$C$5:$E$44,3,FALSE)</f>
        <v>#N/A</v>
      </c>
      <c r="R248" s="10" t="e">
        <f>VLOOKUP(AJ240,'FRC Site Data'!$B$3:$L$42,2,FALSE)</f>
        <v>#N/A</v>
      </c>
      <c r="S248" s="10" t="e">
        <f>VLOOKUP(AJ240,'FRC Site Data'!$B$3:$L$42,3,FALSE)</f>
        <v>#N/A</v>
      </c>
      <c r="T248" s="10" t="e">
        <f>VLOOKUP(AJ240,'FRC Site Data'!$B$3:$L$42,4,FALSE)</f>
        <v>#N/A</v>
      </c>
      <c r="U248" s="10" t="e">
        <f>VLOOKUP(AJ240,'FRC Site Data'!$B$3:$L$42,5,FALSE)</f>
        <v>#N/A</v>
      </c>
      <c r="V248" s="10" t="e">
        <f>VLOOKUP(AJ240,'FRC Site Data'!$B$3:$L$42,6,FALSE)</f>
        <v>#N/A</v>
      </c>
      <c r="W248" s="10" t="e">
        <f>VLOOKUP(AJ240,'FRC Site Data'!$B$3:$L$42,8,FALSE)</f>
        <v>#N/A</v>
      </c>
      <c r="X248" s="10" t="e">
        <f>VLOOKUP(AJ240,'FRC Site Data'!$B$3:$L$42,9,FALSE)</f>
        <v>#N/A</v>
      </c>
      <c r="Y248" s="10" t="e">
        <f>VLOOKUP(AJ240,'FRC Site Data'!$B$3:$L$42,10,FALSE)</f>
        <v>#N/A</v>
      </c>
      <c r="Z248" s="10" t="e">
        <f>VLOOKUP(AJ240,'FRC Site Data'!$B$3:$L$42,11,FALSE)</f>
        <v>#N/A</v>
      </c>
      <c r="AA248" s="10" t="e">
        <f>VLOOKUP(AJ240,'CIR Team Info'!$C$5:$E$44,4,FALSE)</f>
        <v>#N/A</v>
      </c>
      <c r="AB248" s="161" t="b">
        <f>ISNUMBER(VLOOKUP(AJ240,Match!$T$5:$T$10,1,FALSE))</f>
        <v>0</v>
      </c>
      <c r="AC248" s="161" t="b">
        <f>IF(AB248=TRUE,(VLOOKUP($AJ240,Match!$T$5:$U$10,2,FALSE)))</f>
        <v>0</v>
      </c>
      <c r="AD248" s="8">
        <v>3</v>
      </c>
      <c r="AE248" s="8">
        <v>2</v>
      </c>
      <c r="AF248" s="8">
        <v>2</v>
      </c>
      <c r="AG248" s="8">
        <v>1</v>
      </c>
      <c r="AH248" s="8" t="str">
        <f t="shared" si="71"/>
        <v/>
      </c>
      <c r="AI248" s="12"/>
      <c r="AZ248" s="12"/>
      <c r="BC248" s="12"/>
      <c r="BK248" s="12"/>
      <c r="BS248" s="127"/>
    </row>
    <row r="249" spans="1:71" x14ac:dyDescent="0.25">
      <c r="A249" s="29">
        <f t="shared" si="57"/>
        <v>0</v>
      </c>
      <c r="B249" s="29">
        <f t="shared" si="66"/>
        <v>0</v>
      </c>
      <c r="C249" s="29">
        <f t="shared" si="67"/>
        <v>0</v>
      </c>
      <c r="D249" s="29">
        <f t="shared" si="68"/>
        <v>0</v>
      </c>
      <c r="E249" s="29">
        <f t="shared" si="58"/>
        <v>0</v>
      </c>
      <c r="F249" s="29">
        <f t="shared" si="73"/>
        <v>0</v>
      </c>
      <c r="G249" s="29" t="str">
        <f t="shared" si="74"/>
        <v>offensive</v>
      </c>
      <c r="H249" s="16">
        <f t="shared" si="78"/>
        <v>0</v>
      </c>
      <c r="I249" s="16">
        <f t="shared" si="79"/>
        <v>0</v>
      </c>
      <c r="J249" s="16">
        <f t="shared" si="69"/>
        <v>0</v>
      </c>
      <c r="K249" s="16">
        <f t="shared" si="75"/>
        <v>0</v>
      </c>
      <c r="L249" s="67">
        <f t="shared" si="76"/>
        <v>0</v>
      </c>
      <c r="M249" s="4">
        <f t="shared" si="70"/>
        <v>0</v>
      </c>
      <c r="N249" s="4">
        <f t="shared" ref="N249:N291" si="80">AO241+AV241+BD241</f>
        <v>0</v>
      </c>
      <c r="O249" s="4">
        <f t="shared" si="77"/>
        <v>0</v>
      </c>
      <c r="P249" s="4" t="e">
        <f>VLOOKUP(AJ241,'CIR Team Info'!$C$5:$E$44,2,FALSE)</f>
        <v>#N/A</v>
      </c>
      <c r="Q249" s="4" t="e">
        <f>VLOOKUP(AJ241,'CIR Team Info'!$C$5:$E$44,3,FALSE)</f>
        <v>#N/A</v>
      </c>
      <c r="R249" s="10" t="e">
        <f>VLOOKUP(AJ241,'FRC Site Data'!$B$3:$L$42,2,FALSE)</f>
        <v>#N/A</v>
      </c>
      <c r="S249" s="10" t="e">
        <f>VLOOKUP(AJ241,'FRC Site Data'!$B$3:$L$42,3,FALSE)</f>
        <v>#N/A</v>
      </c>
      <c r="T249" s="10" t="e">
        <f>VLOOKUP(AJ241,'FRC Site Data'!$B$3:$L$42,4,FALSE)</f>
        <v>#N/A</v>
      </c>
      <c r="U249" s="10" t="e">
        <f>VLOOKUP(AJ241,'FRC Site Data'!$B$3:$L$42,5,FALSE)</f>
        <v>#N/A</v>
      </c>
      <c r="V249" s="10" t="e">
        <f>VLOOKUP(AJ241,'FRC Site Data'!$B$3:$L$42,6,FALSE)</f>
        <v>#N/A</v>
      </c>
      <c r="W249" s="10" t="e">
        <f>VLOOKUP(AJ241,'FRC Site Data'!$B$3:$L$42,8,FALSE)</f>
        <v>#N/A</v>
      </c>
      <c r="X249" s="10" t="e">
        <f>VLOOKUP(AJ241,'FRC Site Data'!$B$3:$L$42,9,FALSE)</f>
        <v>#N/A</v>
      </c>
      <c r="Y249" s="10" t="e">
        <f>VLOOKUP(AJ241,'FRC Site Data'!$B$3:$L$42,10,FALSE)</f>
        <v>#N/A</v>
      </c>
      <c r="Z249" s="10" t="e">
        <f>VLOOKUP(AJ241,'FRC Site Data'!$B$3:$L$42,11,FALSE)</f>
        <v>#N/A</v>
      </c>
      <c r="AA249" s="10" t="e">
        <f>VLOOKUP(AJ241,'CIR Team Info'!$C$5:$E$44,4,FALSE)</f>
        <v>#N/A</v>
      </c>
      <c r="AB249" s="161" t="b">
        <f>ISNUMBER(VLOOKUP(AJ241,Match!$T$5:$T$10,1,FALSE))</f>
        <v>0</v>
      </c>
      <c r="AC249" s="161" t="b">
        <f>IF(AB249=TRUE,(VLOOKUP($AJ241,Match!$T$5:$U$10,2,FALSE)))</f>
        <v>0</v>
      </c>
      <c r="AD249" s="8">
        <v>3</v>
      </c>
      <c r="AE249" s="8">
        <v>2</v>
      </c>
      <c r="AF249" s="8">
        <v>2</v>
      </c>
      <c r="AG249" s="8">
        <v>1</v>
      </c>
      <c r="AH249" s="8" t="str">
        <f t="shared" si="71"/>
        <v/>
      </c>
      <c r="AI249" s="12"/>
      <c r="AZ249" s="12"/>
      <c r="BC249" s="12"/>
      <c r="BK249" s="12"/>
    </row>
    <row r="250" spans="1:71" x14ac:dyDescent="0.25">
      <c r="A250" s="29">
        <f t="shared" ref="A250:A292" si="81">SUM(B250:F250)</f>
        <v>0</v>
      </c>
      <c r="B250" s="29">
        <f t="shared" si="66"/>
        <v>0</v>
      </c>
      <c r="C250" s="29">
        <f t="shared" si="67"/>
        <v>0</v>
      </c>
      <c r="D250" s="29">
        <f t="shared" si="68"/>
        <v>0</v>
      </c>
      <c r="E250" s="29">
        <f t="shared" ref="E250:E292" si="82">K250*O250</f>
        <v>0</v>
      </c>
      <c r="F250" s="29">
        <f t="shared" ref="F250:F292" si="83">IF(AN242&gt;0,5)-2*COUNTIF(AQ242,"K")+5*COUNTIF(AS242,"T")+IF(AX242=3,2)+IF(AY242="T",2)</f>
        <v>0</v>
      </c>
      <c r="G250" s="29" t="str">
        <f t="shared" ref="G250:G292" si="84">IF((BB242+BC242)&gt;45,"defensive",IF((BB242+BC242)&gt;15,"both","offensive"))</f>
        <v>offensive</v>
      </c>
      <c r="H250" s="16">
        <f t="shared" si="78"/>
        <v>0</v>
      </c>
      <c r="I250" s="16">
        <f t="shared" si="79"/>
        <v>0</v>
      </c>
      <c r="J250" s="16">
        <f t="shared" si="69"/>
        <v>0</v>
      </c>
      <c r="K250" s="16">
        <f t="shared" ref="K250:K292" si="85">IF((BB242+BC242)=0,0,((AZ242*BB242*0.2)+(BA242*BC242*0.3))/(BB242+BC242))</f>
        <v>0</v>
      </c>
      <c r="L250" s="67">
        <f t="shared" ref="L250:L292" si="86">IF(BF242&gt;BG242,BF242,BG242)</f>
        <v>0</v>
      </c>
      <c r="M250" s="4">
        <f t="shared" si="70"/>
        <v>0</v>
      </c>
      <c r="N250" s="4">
        <f t="shared" si="80"/>
        <v>0</v>
      </c>
      <c r="O250" s="4">
        <f t="shared" ref="O250:O292" si="87">(AZ242*0.2*BB242*30/30)+(BA242*0.3*BC242*12/30)-BI242-BJ242</f>
        <v>0</v>
      </c>
      <c r="P250" s="4" t="e">
        <f>VLOOKUP(AJ242,'CIR Team Info'!$C$5:$E$44,2,FALSE)</f>
        <v>#N/A</v>
      </c>
      <c r="Q250" s="4" t="e">
        <f>VLOOKUP(AJ242,'CIR Team Info'!$C$5:$E$44,3,FALSE)</f>
        <v>#N/A</v>
      </c>
      <c r="R250" s="10" t="e">
        <f>VLOOKUP(AJ242,'FRC Site Data'!$B$3:$L$42,2,FALSE)</f>
        <v>#N/A</v>
      </c>
      <c r="S250" s="10" t="e">
        <f>VLOOKUP(AJ242,'FRC Site Data'!$B$3:$L$42,3,FALSE)</f>
        <v>#N/A</v>
      </c>
      <c r="T250" s="10" t="e">
        <f>VLOOKUP(AJ242,'FRC Site Data'!$B$3:$L$42,4,FALSE)</f>
        <v>#N/A</v>
      </c>
      <c r="U250" s="10" t="e">
        <f>VLOOKUP(AJ242,'FRC Site Data'!$B$3:$L$42,5,FALSE)</f>
        <v>#N/A</v>
      </c>
      <c r="V250" s="10" t="e">
        <f>VLOOKUP(AJ242,'FRC Site Data'!$B$3:$L$42,6,FALSE)</f>
        <v>#N/A</v>
      </c>
      <c r="W250" s="10" t="e">
        <f>VLOOKUP(AJ242,'FRC Site Data'!$B$3:$L$42,8,FALSE)</f>
        <v>#N/A</v>
      </c>
      <c r="X250" s="10" t="e">
        <f>VLOOKUP(AJ242,'FRC Site Data'!$B$3:$L$42,9,FALSE)</f>
        <v>#N/A</v>
      </c>
      <c r="Y250" s="10" t="e">
        <f>VLOOKUP(AJ242,'FRC Site Data'!$B$3:$L$42,10,FALSE)</f>
        <v>#N/A</v>
      </c>
      <c r="Z250" s="10" t="e">
        <f>VLOOKUP(AJ242,'FRC Site Data'!$B$3:$L$42,11,FALSE)</f>
        <v>#N/A</v>
      </c>
      <c r="AA250" s="10" t="e">
        <f>VLOOKUP(AJ242,'CIR Team Info'!$C$5:$E$44,4,FALSE)</f>
        <v>#N/A</v>
      </c>
      <c r="AB250" s="161" t="b">
        <f>ISNUMBER(VLOOKUP(AJ242,Match!$T$5:$T$10,1,FALSE))</f>
        <v>0</v>
      </c>
      <c r="AC250" s="161" t="b">
        <f>IF(AB250=TRUE,(VLOOKUP($AJ242,Match!$T$5:$U$10,2,FALSE)))</f>
        <v>0</v>
      </c>
      <c r="AD250" s="8">
        <v>3</v>
      </c>
      <c r="AE250" s="8">
        <v>2</v>
      </c>
      <c r="AF250" s="8">
        <v>2</v>
      </c>
      <c r="AG250" s="8">
        <v>1</v>
      </c>
      <c r="AH250" s="8" t="str">
        <f t="shared" si="71"/>
        <v/>
      </c>
      <c r="AI250" s="12"/>
      <c r="AZ250" s="12"/>
      <c r="BC250" s="12"/>
      <c r="BK250" s="12"/>
    </row>
    <row r="251" spans="1:71" x14ac:dyDescent="0.25">
      <c r="A251" s="29">
        <f t="shared" si="81"/>
        <v>0</v>
      </c>
      <c r="B251" s="29">
        <f t="shared" si="66"/>
        <v>0</v>
      </c>
      <c r="C251" s="29">
        <f t="shared" si="67"/>
        <v>0</v>
      </c>
      <c r="D251" s="29">
        <f t="shared" si="68"/>
        <v>0</v>
      </c>
      <c r="E251" s="29">
        <f t="shared" si="82"/>
        <v>0</v>
      </c>
      <c r="F251" s="29">
        <f t="shared" si="83"/>
        <v>0</v>
      </c>
      <c r="G251" s="29" t="str">
        <f t="shared" si="84"/>
        <v>offensive</v>
      </c>
      <c r="H251" s="16">
        <f t="shared" si="78"/>
        <v>0</v>
      </c>
      <c r="I251" s="16">
        <f t="shared" si="79"/>
        <v>0</v>
      </c>
      <c r="J251" s="16">
        <f t="shared" si="69"/>
        <v>0</v>
      </c>
      <c r="K251" s="16">
        <f t="shared" si="85"/>
        <v>0</v>
      </c>
      <c r="L251" s="67">
        <f t="shared" si="86"/>
        <v>0</v>
      </c>
      <c r="M251" s="4">
        <f t="shared" si="70"/>
        <v>0</v>
      </c>
      <c r="N251" s="4">
        <f t="shared" si="80"/>
        <v>0</v>
      </c>
      <c r="O251" s="4">
        <f t="shared" si="87"/>
        <v>0</v>
      </c>
      <c r="P251" s="4" t="e">
        <f>VLOOKUP(AJ243,'CIR Team Info'!$C$5:$E$44,2,FALSE)</f>
        <v>#N/A</v>
      </c>
      <c r="Q251" s="4" t="e">
        <f>VLOOKUP(AJ243,'CIR Team Info'!$C$5:$E$44,3,FALSE)</f>
        <v>#N/A</v>
      </c>
      <c r="R251" s="10" t="e">
        <f>VLOOKUP(AJ243,'FRC Site Data'!$B$3:$L$42,2,FALSE)</f>
        <v>#N/A</v>
      </c>
      <c r="S251" s="10" t="e">
        <f>VLOOKUP(AJ243,'FRC Site Data'!$B$3:$L$42,3,FALSE)</f>
        <v>#N/A</v>
      </c>
      <c r="T251" s="10" t="e">
        <f>VLOOKUP(AJ243,'FRC Site Data'!$B$3:$L$42,4,FALSE)</f>
        <v>#N/A</v>
      </c>
      <c r="U251" s="10" t="e">
        <f>VLOOKUP(AJ243,'FRC Site Data'!$B$3:$L$42,5,FALSE)</f>
        <v>#N/A</v>
      </c>
      <c r="V251" s="10" t="e">
        <f>VLOOKUP(AJ243,'FRC Site Data'!$B$3:$L$42,6,FALSE)</f>
        <v>#N/A</v>
      </c>
      <c r="W251" s="10" t="e">
        <f>VLOOKUP(AJ243,'FRC Site Data'!$B$3:$L$42,8,FALSE)</f>
        <v>#N/A</v>
      </c>
      <c r="X251" s="10" t="e">
        <f>VLOOKUP(AJ243,'FRC Site Data'!$B$3:$L$42,9,FALSE)</f>
        <v>#N/A</v>
      </c>
      <c r="Y251" s="10" t="e">
        <f>VLOOKUP(AJ243,'FRC Site Data'!$B$3:$L$42,10,FALSE)</f>
        <v>#N/A</v>
      </c>
      <c r="Z251" s="10" t="e">
        <f>VLOOKUP(AJ243,'FRC Site Data'!$B$3:$L$42,11,FALSE)</f>
        <v>#N/A</v>
      </c>
      <c r="AA251" s="10" t="e">
        <f>VLOOKUP(AJ243,'CIR Team Info'!$C$5:$E$44,4,FALSE)</f>
        <v>#N/A</v>
      </c>
      <c r="AB251" s="161" t="b">
        <f>ISNUMBER(VLOOKUP(AJ243,Match!$T$5:$T$10,1,FALSE))</f>
        <v>0</v>
      </c>
      <c r="AC251" s="161" t="b">
        <f>IF(AB251=TRUE,(VLOOKUP($AJ243,Match!$T$5:$U$10,2,FALSE)))</f>
        <v>0</v>
      </c>
      <c r="AD251" s="8">
        <v>3</v>
      </c>
      <c r="AE251" s="8">
        <v>2</v>
      </c>
      <c r="AF251" s="8">
        <v>2</v>
      </c>
      <c r="AG251" s="8">
        <v>1</v>
      </c>
      <c r="AH251" s="8" t="str">
        <f t="shared" si="71"/>
        <v/>
      </c>
      <c r="AI251" s="12"/>
      <c r="AZ251" s="12"/>
      <c r="BC251" s="12"/>
      <c r="BK251" s="12"/>
    </row>
    <row r="252" spans="1:71" x14ac:dyDescent="0.25">
      <c r="A252" s="29">
        <f t="shared" si="81"/>
        <v>0</v>
      </c>
      <c r="B252" s="29">
        <f t="shared" si="66"/>
        <v>0</v>
      </c>
      <c r="C252" s="29">
        <f t="shared" si="67"/>
        <v>0</v>
      </c>
      <c r="D252" s="29">
        <f t="shared" si="68"/>
        <v>0</v>
      </c>
      <c r="E252" s="29">
        <f t="shared" si="82"/>
        <v>0</v>
      </c>
      <c r="F252" s="29">
        <f t="shared" si="83"/>
        <v>0</v>
      </c>
      <c r="G252" s="29" t="str">
        <f t="shared" si="84"/>
        <v>offensive</v>
      </c>
      <c r="H252" s="16">
        <f t="shared" si="78"/>
        <v>0</v>
      </c>
      <c r="I252" s="16">
        <f t="shared" si="79"/>
        <v>0</v>
      </c>
      <c r="J252" s="16">
        <f t="shared" si="69"/>
        <v>0</v>
      </c>
      <c r="K252" s="16">
        <f t="shared" si="85"/>
        <v>0</v>
      </c>
      <c r="L252" s="67">
        <f t="shared" si="86"/>
        <v>0</v>
      </c>
      <c r="M252" s="4">
        <f t="shared" si="70"/>
        <v>0</v>
      </c>
      <c r="N252" s="4">
        <f t="shared" si="80"/>
        <v>0</v>
      </c>
      <c r="O252" s="4">
        <f t="shared" si="87"/>
        <v>0</v>
      </c>
      <c r="P252" s="4" t="e">
        <f>VLOOKUP(AJ244,'CIR Team Info'!$C$5:$E$44,2,FALSE)</f>
        <v>#N/A</v>
      </c>
      <c r="Q252" s="4" t="e">
        <f>VLOOKUP(AJ244,'CIR Team Info'!$C$5:$E$44,3,FALSE)</f>
        <v>#N/A</v>
      </c>
      <c r="R252" s="10" t="e">
        <f>VLOOKUP(AJ244,'FRC Site Data'!$B$3:$L$42,2,FALSE)</f>
        <v>#N/A</v>
      </c>
      <c r="S252" s="10" t="e">
        <f>VLOOKUP(AJ244,'FRC Site Data'!$B$3:$L$42,3,FALSE)</f>
        <v>#N/A</v>
      </c>
      <c r="T252" s="10" t="e">
        <f>VLOOKUP(AJ244,'FRC Site Data'!$B$3:$L$42,4,FALSE)</f>
        <v>#N/A</v>
      </c>
      <c r="U252" s="10" t="e">
        <f>VLOOKUP(AJ244,'FRC Site Data'!$B$3:$L$42,5,FALSE)</f>
        <v>#N/A</v>
      </c>
      <c r="V252" s="10" t="e">
        <f>VLOOKUP(AJ244,'FRC Site Data'!$B$3:$L$42,6,FALSE)</f>
        <v>#N/A</v>
      </c>
      <c r="W252" s="10" t="e">
        <f>VLOOKUP(AJ244,'FRC Site Data'!$B$3:$L$42,8,FALSE)</f>
        <v>#N/A</v>
      </c>
      <c r="X252" s="10" t="e">
        <f>VLOOKUP(AJ244,'FRC Site Data'!$B$3:$L$42,9,FALSE)</f>
        <v>#N/A</v>
      </c>
      <c r="Y252" s="10" t="e">
        <f>VLOOKUP(AJ244,'FRC Site Data'!$B$3:$L$42,10,FALSE)</f>
        <v>#N/A</v>
      </c>
      <c r="Z252" s="10" t="e">
        <f>VLOOKUP(AJ244,'FRC Site Data'!$B$3:$L$42,11,FALSE)</f>
        <v>#N/A</v>
      </c>
      <c r="AA252" s="10" t="e">
        <f>VLOOKUP(AJ244,'CIR Team Info'!$C$5:$E$44,4,FALSE)</f>
        <v>#N/A</v>
      </c>
      <c r="AB252" s="161" t="b">
        <f>ISNUMBER(VLOOKUP(AJ244,Match!$T$5:$T$10,1,FALSE))</f>
        <v>0</v>
      </c>
      <c r="AC252" s="161" t="b">
        <f>IF(AB252=TRUE,(VLOOKUP($AJ244,Match!$T$5:$U$10,2,FALSE)))</f>
        <v>0</v>
      </c>
      <c r="AD252" s="8">
        <v>3</v>
      </c>
      <c r="AE252" s="8">
        <v>2</v>
      </c>
      <c r="AF252" s="8">
        <v>2</v>
      </c>
      <c r="AG252" s="8">
        <v>1</v>
      </c>
      <c r="AH252" s="8" t="str">
        <f t="shared" si="71"/>
        <v/>
      </c>
      <c r="AI252" s="12"/>
      <c r="AZ252" s="12"/>
      <c r="BC252" s="12"/>
      <c r="BK252" s="12"/>
    </row>
    <row r="253" spans="1:71" x14ac:dyDescent="0.25">
      <c r="A253" s="29">
        <f t="shared" si="81"/>
        <v>0</v>
      </c>
      <c r="B253" s="29">
        <f t="shared" si="66"/>
        <v>0</v>
      </c>
      <c r="C253" s="29">
        <f t="shared" si="67"/>
        <v>0</v>
      </c>
      <c r="D253" s="29">
        <f t="shared" si="68"/>
        <v>0</v>
      </c>
      <c r="E253" s="29">
        <f t="shared" si="82"/>
        <v>0</v>
      </c>
      <c r="F253" s="29">
        <f t="shared" si="83"/>
        <v>0</v>
      </c>
      <c r="G253" s="29" t="str">
        <f t="shared" si="84"/>
        <v>offensive</v>
      </c>
      <c r="H253" s="16">
        <f t="shared" si="78"/>
        <v>0</v>
      </c>
      <c r="I253" s="16">
        <f t="shared" si="79"/>
        <v>0</v>
      </c>
      <c r="J253" s="16">
        <f t="shared" si="69"/>
        <v>0</v>
      </c>
      <c r="K253" s="16">
        <f t="shared" si="85"/>
        <v>0</v>
      </c>
      <c r="L253" s="67">
        <f t="shared" si="86"/>
        <v>0</v>
      </c>
      <c r="M253" s="4">
        <f t="shared" si="70"/>
        <v>0</v>
      </c>
      <c r="N253" s="4">
        <f t="shared" si="80"/>
        <v>0</v>
      </c>
      <c r="O253" s="4">
        <f t="shared" si="87"/>
        <v>0</v>
      </c>
      <c r="P253" s="4" t="e">
        <f>VLOOKUP(AJ245,'CIR Team Info'!$C$5:$E$44,2,FALSE)</f>
        <v>#N/A</v>
      </c>
      <c r="Q253" s="4" t="e">
        <f>VLOOKUP(AJ245,'CIR Team Info'!$C$5:$E$44,3,FALSE)</f>
        <v>#N/A</v>
      </c>
      <c r="R253" s="10" t="e">
        <f>VLOOKUP(AJ245,'FRC Site Data'!$B$3:$L$42,2,FALSE)</f>
        <v>#N/A</v>
      </c>
      <c r="S253" s="10" t="e">
        <f>VLOOKUP(AJ245,'FRC Site Data'!$B$3:$L$42,3,FALSE)</f>
        <v>#N/A</v>
      </c>
      <c r="T253" s="10" t="e">
        <f>VLOOKUP(AJ245,'FRC Site Data'!$B$3:$L$42,4,FALSE)</f>
        <v>#N/A</v>
      </c>
      <c r="U253" s="10" t="e">
        <f>VLOOKUP(AJ245,'FRC Site Data'!$B$3:$L$42,5,FALSE)</f>
        <v>#N/A</v>
      </c>
      <c r="V253" s="10" t="e">
        <f>VLOOKUP(AJ245,'FRC Site Data'!$B$3:$L$42,6,FALSE)</f>
        <v>#N/A</v>
      </c>
      <c r="W253" s="10" t="e">
        <f>VLOOKUP(AJ245,'FRC Site Data'!$B$3:$L$42,8,FALSE)</f>
        <v>#N/A</v>
      </c>
      <c r="X253" s="10" t="e">
        <f>VLOOKUP(AJ245,'FRC Site Data'!$B$3:$L$42,9,FALSE)</f>
        <v>#N/A</v>
      </c>
      <c r="Y253" s="10" t="e">
        <f>VLOOKUP(AJ245,'FRC Site Data'!$B$3:$L$42,10,FALSE)</f>
        <v>#N/A</v>
      </c>
      <c r="Z253" s="10" t="e">
        <f>VLOOKUP(AJ245,'FRC Site Data'!$B$3:$L$42,11,FALSE)</f>
        <v>#N/A</v>
      </c>
      <c r="AA253" s="10" t="e">
        <f>VLOOKUP(AJ245,'CIR Team Info'!$C$5:$E$44,4,FALSE)</f>
        <v>#N/A</v>
      </c>
      <c r="AB253" s="161" t="b">
        <f>ISNUMBER(VLOOKUP(AJ245,Match!$T$5:$T$10,1,FALSE))</f>
        <v>0</v>
      </c>
      <c r="AC253" s="161" t="b">
        <f>IF(AB253=TRUE,(VLOOKUP($AJ245,Match!$T$5:$U$10,2,FALSE)))</f>
        <v>0</v>
      </c>
      <c r="AD253" s="8">
        <v>3</v>
      </c>
      <c r="AE253" s="8">
        <v>2</v>
      </c>
      <c r="AF253" s="8">
        <v>2</v>
      </c>
      <c r="AG253" s="8">
        <v>1</v>
      </c>
      <c r="AH253" s="8" t="str">
        <f t="shared" si="71"/>
        <v/>
      </c>
      <c r="AI253" s="12"/>
      <c r="AZ253" s="12"/>
      <c r="BC253" s="12"/>
      <c r="BK253" s="12"/>
    </row>
    <row r="254" spans="1:71" x14ac:dyDescent="0.25">
      <c r="A254" s="29">
        <f t="shared" si="81"/>
        <v>0</v>
      </c>
      <c r="B254" s="29">
        <f t="shared" si="66"/>
        <v>0</v>
      </c>
      <c r="C254" s="29">
        <f t="shared" si="67"/>
        <v>0</v>
      </c>
      <c r="D254" s="29">
        <f t="shared" si="68"/>
        <v>0</v>
      </c>
      <c r="E254" s="29">
        <f t="shared" si="82"/>
        <v>0</v>
      </c>
      <c r="F254" s="29">
        <f t="shared" si="83"/>
        <v>0</v>
      </c>
      <c r="G254" s="29" t="str">
        <f t="shared" si="84"/>
        <v>offensive</v>
      </c>
      <c r="H254" s="16">
        <f t="shared" si="78"/>
        <v>0</v>
      </c>
      <c r="I254" s="16">
        <f t="shared" si="79"/>
        <v>0</v>
      </c>
      <c r="J254" s="16">
        <f t="shared" si="69"/>
        <v>0</v>
      </c>
      <c r="K254" s="16">
        <f t="shared" si="85"/>
        <v>0</v>
      </c>
      <c r="L254" s="67">
        <f t="shared" si="86"/>
        <v>0</v>
      </c>
      <c r="M254" s="4">
        <f t="shared" si="70"/>
        <v>0</v>
      </c>
      <c r="N254" s="4">
        <f t="shared" si="80"/>
        <v>0</v>
      </c>
      <c r="O254" s="4">
        <f t="shared" si="87"/>
        <v>0</v>
      </c>
      <c r="P254" s="4" t="e">
        <f>VLOOKUP(AJ246,'CIR Team Info'!$C$5:$E$44,2,FALSE)</f>
        <v>#N/A</v>
      </c>
      <c r="Q254" s="4" t="e">
        <f>VLOOKUP(AJ246,'CIR Team Info'!$C$5:$E$44,3,FALSE)</f>
        <v>#N/A</v>
      </c>
      <c r="R254" s="10" t="e">
        <f>VLOOKUP(AJ246,'FRC Site Data'!$B$3:$L$42,2,FALSE)</f>
        <v>#N/A</v>
      </c>
      <c r="S254" s="10" t="e">
        <f>VLOOKUP(AJ246,'FRC Site Data'!$B$3:$L$42,3,FALSE)</f>
        <v>#N/A</v>
      </c>
      <c r="T254" s="10" t="e">
        <f>VLOOKUP(AJ246,'FRC Site Data'!$B$3:$L$42,4,FALSE)</f>
        <v>#N/A</v>
      </c>
      <c r="U254" s="10" t="e">
        <f>VLOOKUP(AJ246,'FRC Site Data'!$B$3:$L$42,5,FALSE)</f>
        <v>#N/A</v>
      </c>
      <c r="V254" s="10" t="e">
        <f>VLOOKUP(AJ246,'FRC Site Data'!$B$3:$L$42,6,FALSE)</f>
        <v>#N/A</v>
      </c>
      <c r="W254" s="10" t="e">
        <f>VLOOKUP(AJ246,'FRC Site Data'!$B$3:$L$42,8,FALSE)</f>
        <v>#N/A</v>
      </c>
      <c r="X254" s="10" t="e">
        <f>VLOOKUP(AJ246,'FRC Site Data'!$B$3:$L$42,9,FALSE)</f>
        <v>#N/A</v>
      </c>
      <c r="Y254" s="10" t="e">
        <f>VLOOKUP(AJ246,'FRC Site Data'!$B$3:$L$42,10,FALSE)</f>
        <v>#N/A</v>
      </c>
      <c r="Z254" s="10" t="e">
        <f>VLOOKUP(AJ246,'FRC Site Data'!$B$3:$L$42,11,FALSE)</f>
        <v>#N/A</v>
      </c>
      <c r="AA254" s="10" t="e">
        <f>VLOOKUP(AJ246,'CIR Team Info'!$C$5:$E$44,4,FALSE)</f>
        <v>#N/A</v>
      </c>
      <c r="AB254" s="161" t="b">
        <f>ISNUMBER(VLOOKUP(AJ246,Match!$T$5:$T$10,1,FALSE))</f>
        <v>0</v>
      </c>
      <c r="AC254" s="161" t="b">
        <f>IF(AB254=TRUE,(VLOOKUP($AJ246,Match!$T$5:$U$10,2,FALSE)))</f>
        <v>0</v>
      </c>
      <c r="AD254" s="8">
        <v>3</v>
      </c>
      <c r="AE254" s="8">
        <v>2</v>
      </c>
      <c r="AF254" s="8">
        <v>2</v>
      </c>
      <c r="AG254" s="8">
        <v>1</v>
      </c>
      <c r="AH254" s="8" t="str">
        <f t="shared" si="71"/>
        <v/>
      </c>
      <c r="AI254" s="12"/>
      <c r="AZ254" s="12"/>
      <c r="BC254" s="12"/>
      <c r="BK254" s="12"/>
    </row>
    <row r="255" spans="1:71" x14ac:dyDescent="0.25">
      <c r="A255" s="29">
        <f t="shared" si="81"/>
        <v>0</v>
      </c>
      <c r="B255" s="29">
        <f t="shared" si="66"/>
        <v>0</v>
      </c>
      <c r="C255" s="29">
        <f t="shared" si="67"/>
        <v>0</v>
      </c>
      <c r="D255" s="29">
        <f t="shared" si="68"/>
        <v>0</v>
      </c>
      <c r="E255" s="29">
        <f t="shared" si="82"/>
        <v>0</v>
      </c>
      <c r="F255" s="29">
        <f t="shared" si="83"/>
        <v>0</v>
      </c>
      <c r="G255" s="29" t="str">
        <f t="shared" si="84"/>
        <v>offensive</v>
      </c>
      <c r="H255" s="16">
        <f t="shared" si="78"/>
        <v>0</v>
      </c>
      <c r="I255" s="16">
        <f t="shared" si="79"/>
        <v>0</v>
      </c>
      <c r="J255" s="16">
        <f t="shared" si="69"/>
        <v>0</v>
      </c>
      <c r="K255" s="16">
        <f t="shared" si="85"/>
        <v>0</v>
      </c>
      <c r="L255" s="67">
        <f t="shared" si="86"/>
        <v>0</v>
      </c>
      <c r="M255" s="4">
        <f t="shared" si="70"/>
        <v>0</v>
      </c>
      <c r="N255" s="4">
        <f t="shared" si="80"/>
        <v>0</v>
      </c>
      <c r="O255" s="4">
        <f t="shared" si="87"/>
        <v>0</v>
      </c>
      <c r="P255" s="4" t="e">
        <f>VLOOKUP(AJ247,'CIR Team Info'!$C$5:$E$44,2,FALSE)</f>
        <v>#N/A</v>
      </c>
      <c r="Q255" s="4" t="e">
        <f>VLOOKUP(AJ247,'CIR Team Info'!$C$5:$E$44,3,FALSE)</f>
        <v>#N/A</v>
      </c>
      <c r="R255" s="10" t="e">
        <f>VLOOKUP(AJ247,'FRC Site Data'!$B$3:$L$42,2,FALSE)</f>
        <v>#N/A</v>
      </c>
      <c r="S255" s="10" t="e">
        <f>VLOOKUP(AJ247,'FRC Site Data'!$B$3:$L$42,3,FALSE)</f>
        <v>#N/A</v>
      </c>
      <c r="T255" s="10" t="e">
        <f>VLOOKUP(AJ247,'FRC Site Data'!$B$3:$L$42,4,FALSE)</f>
        <v>#N/A</v>
      </c>
      <c r="U255" s="10" t="e">
        <f>VLOOKUP(AJ247,'FRC Site Data'!$B$3:$L$42,5,FALSE)</f>
        <v>#N/A</v>
      </c>
      <c r="V255" s="10" t="e">
        <f>VLOOKUP(AJ247,'FRC Site Data'!$B$3:$L$42,6,FALSE)</f>
        <v>#N/A</v>
      </c>
      <c r="W255" s="10" t="e">
        <f>VLOOKUP(AJ247,'FRC Site Data'!$B$3:$L$42,8,FALSE)</f>
        <v>#N/A</v>
      </c>
      <c r="X255" s="10" t="e">
        <f>VLOOKUP(AJ247,'FRC Site Data'!$B$3:$L$42,9,FALSE)</f>
        <v>#N/A</v>
      </c>
      <c r="Y255" s="10" t="e">
        <f>VLOOKUP(AJ247,'FRC Site Data'!$B$3:$L$42,10,FALSE)</f>
        <v>#N/A</v>
      </c>
      <c r="Z255" s="10" t="e">
        <f>VLOOKUP(AJ247,'FRC Site Data'!$B$3:$L$42,11,FALSE)</f>
        <v>#N/A</v>
      </c>
      <c r="AA255" s="10" t="e">
        <f>VLOOKUP(AJ247,'CIR Team Info'!$C$5:$E$44,4,FALSE)</f>
        <v>#N/A</v>
      </c>
      <c r="AB255" s="161" t="b">
        <f>ISNUMBER(VLOOKUP(AJ247,Match!$T$5:$T$10,1,FALSE))</f>
        <v>0</v>
      </c>
      <c r="AC255" s="161" t="b">
        <f>IF(AB255=TRUE,(VLOOKUP($AJ247,Match!$T$5:$U$10,2,FALSE)))</f>
        <v>0</v>
      </c>
      <c r="AD255" s="8">
        <v>3</v>
      </c>
      <c r="AE255" s="8">
        <v>2</v>
      </c>
      <c r="AF255" s="8">
        <v>2</v>
      </c>
      <c r="AG255" s="8">
        <v>1</v>
      </c>
      <c r="AH255" s="8" t="str">
        <f t="shared" si="71"/>
        <v/>
      </c>
      <c r="AI255" s="12"/>
      <c r="AZ255" s="12"/>
      <c r="BC255" s="12"/>
      <c r="BK255" s="12"/>
    </row>
    <row r="256" spans="1:71" x14ac:dyDescent="0.25">
      <c r="A256" s="29">
        <f t="shared" si="81"/>
        <v>0</v>
      </c>
      <c r="B256" s="29">
        <f t="shared" si="66"/>
        <v>0</v>
      </c>
      <c r="C256" s="29">
        <f t="shared" si="67"/>
        <v>0</v>
      </c>
      <c r="D256" s="29">
        <f t="shared" si="68"/>
        <v>0</v>
      </c>
      <c r="E256" s="29">
        <f t="shared" si="82"/>
        <v>0</v>
      </c>
      <c r="F256" s="29">
        <f t="shared" si="83"/>
        <v>0</v>
      </c>
      <c r="G256" s="29" t="str">
        <f t="shared" si="84"/>
        <v>offensive</v>
      </c>
      <c r="H256" s="16">
        <f t="shared" ref="H256:H299" si="88">IF((AO248+AP248)=0,0,AO248/(AO248+AP248))</f>
        <v>0</v>
      </c>
      <c r="I256" s="16">
        <f t="shared" ref="I256:I299" si="89">IF((AV248+AW248)=0,0,AV248/(AV248+AW248))</f>
        <v>0</v>
      </c>
      <c r="J256" s="16">
        <f t="shared" si="69"/>
        <v>0</v>
      </c>
      <c r="K256" s="16">
        <f t="shared" si="85"/>
        <v>0</v>
      </c>
      <c r="L256" s="67">
        <f t="shared" si="86"/>
        <v>0</v>
      </c>
      <c r="M256" s="4">
        <f t="shared" si="70"/>
        <v>0</v>
      </c>
      <c r="N256" s="4">
        <f t="shared" si="80"/>
        <v>0</v>
      </c>
      <c r="O256" s="4">
        <f t="shared" si="87"/>
        <v>0</v>
      </c>
      <c r="P256" s="4" t="e">
        <f>VLOOKUP(AJ248,'CIR Team Info'!$C$5:$E$44,2,FALSE)</f>
        <v>#N/A</v>
      </c>
      <c r="Q256" s="4" t="e">
        <f>VLOOKUP(AJ248,'CIR Team Info'!$C$5:$E$44,3,FALSE)</f>
        <v>#N/A</v>
      </c>
      <c r="R256" s="10" t="e">
        <f>VLOOKUP(AJ248,'FRC Site Data'!$B$3:$L$42,2,FALSE)</f>
        <v>#N/A</v>
      </c>
      <c r="S256" s="10" t="e">
        <f>VLOOKUP(AJ248,'FRC Site Data'!$B$3:$L$42,3,FALSE)</f>
        <v>#N/A</v>
      </c>
      <c r="T256" s="10" t="e">
        <f>VLOOKUP(AJ248,'FRC Site Data'!$B$3:$L$42,4,FALSE)</f>
        <v>#N/A</v>
      </c>
      <c r="U256" s="10" t="e">
        <f>VLOOKUP(AJ248,'FRC Site Data'!$B$3:$L$42,5,FALSE)</f>
        <v>#N/A</v>
      </c>
      <c r="V256" s="10" t="e">
        <f>VLOOKUP(AJ248,'FRC Site Data'!$B$3:$L$42,6,FALSE)</f>
        <v>#N/A</v>
      </c>
      <c r="W256" s="10" t="e">
        <f>VLOOKUP(AJ248,'FRC Site Data'!$B$3:$L$42,8,FALSE)</f>
        <v>#N/A</v>
      </c>
      <c r="X256" s="10" t="e">
        <f>VLOOKUP(AJ248,'FRC Site Data'!$B$3:$L$42,9,FALSE)</f>
        <v>#N/A</v>
      </c>
      <c r="Y256" s="10" t="e">
        <f>VLOOKUP(AJ248,'FRC Site Data'!$B$3:$L$42,10,FALSE)</f>
        <v>#N/A</v>
      </c>
      <c r="Z256" s="10" t="e">
        <f>VLOOKUP(AJ248,'FRC Site Data'!$B$3:$L$42,11,FALSE)</f>
        <v>#N/A</v>
      </c>
      <c r="AA256" s="10" t="e">
        <f>VLOOKUP(AJ248,'CIR Team Info'!$C$5:$E$44,4,FALSE)</f>
        <v>#N/A</v>
      </c>
      <c r="AB256" s="161" t="b">
        <f>ISNUMBER(VLOOKUP(AJ248,Match!$T$5:$T$10,1,FALSE))</f>
        <v>0</v>
      </c>
      <c r="AC256" s="161" t="b">
        <f>IF(AB256=TRUE,(VLOOKUP($AJ248,Match!$T$5:$U$10,2,FALSE)))</f>
        <v>0</v>
      </c>
      <c r="AD256" s="8">
        <v>3</v>
      </c>
      <c r="AE256" s="8">
        <v>2</v>
      </c>
      <c r="AF256" s="8">
        <v>2</v>
      </c>
      <c r="AG256" s="8">
        <v>1</v>
      </c>
      <c r="AH256" s="8" t="str">
        <f t="shared" si="71"/>
        <v/>
      </c>
      <c r="AI256" s="12"/>
      <c r="AZ256" s="12"/>
      <c r="BC256" s="12"/>
      <c r="BK256" s="12"/>
    </row>
    <row r="257" spans="1:63" x14ac:dyDescent="0.25">
      <c r="A257" s="29">
        <f t="shared" si="81"/>
        <v>0</v>
      </c>
      <c r="B257" s="29">
        <f t="shared" si="66"/>
        <v>0</v>
      </c>
      <c r="C257" s="29">
        <f t="shared" si="67"/>
        <v>0</v>
      </c>
      <c r="D257" s="29">
        <f t="shared" si="68"/>
        <v>0</v>
      </c>
      <c r="E257" s="29">
        <f t="shared" si="82"/>
        <v>0</v>
      </c>
      <c r="F257" s="29">
        <f t="shared" si="83"/>
        <v>0</v>
      </c>
      <c r="G257" s="29" t="str">
        <f t="shared" si="84"/>
        <v>offensive</v>
      </c>
      <c r="H257" s="16">
        <f t="shared" si="88"/>
        <v>0</v>
      </c>
      <c r="I257" s="16">
        <f t="shared" si="89"/>
        <v>0</v>
      </c>
      <c r="J257" s="16">
        <f t="shared" si="69"/>
        <v>0</v>
      </c>
      <c r="K257" s="16">
        <f t="shared" si="85"/>
        <v>0</v>
      </c>
      <c r="L257" s="67">
        <f t="shared" si="86"/>
        <v>0</v>
      </c>
      <c r="M257" s="4">
        <f t="shared" si="70"/>
        <v>0</v>
      </c>
      <c r="N257" s="4">
        <f t="shared" si="80"/>
        <v>0</v>
      </c>
      <c r="O257" s="4">
        <f t="shared" si="87"/>
        <v>0</v>
      </c>
      <c r="P257" s="4" t="e">
        <f>VLOOKUP(AJ249,'CIR Team Info'!$C$5:$E$44,2,FALSE)</f>
        <v>#N/A</v>
      </c>
      <c r="Q257" s="4" t="e">
        <f>VLOOKUP(AJ249,'CIR Team Info'!$C$5:$E$44,3,FALSE)</f>
        <v>#N/A</v>
      </c>
      <c r="R257" s="10" t="e">
        <f>VLOOKUP(AJ249,'FRC Site Data'!$B$3:$L$42,2,FALSE)</f>
        <v>#N/A</v>
      </c>
      <c r="S257" s="10" t="e">
        <f>VLOOKUP(AJ249,'FRC Site Data'!$B$3:$L$42,3,FALSE)</f>
        <v>#N/A</v>
      </c>
      <c r="T257" s="10" t="e">
        <f>VLOOKUP(AJ249,'FRC Site Data'!$B$3:$L$42,4,FALSE)</f>
        <v>#N/A</v>
      </c>
      <c r="U257" s="10" t="e">
        <f>VLOOKUP(AJ249,'FRC Site Data'!$B$3:$L$42,5,FALSE)</f>
        <v>#N/A</v>
      </c>
      <c r="V257" s="10" t="e">
        <f>VLOOKUP(AJ249,'FRC Site Data'!$B$3:$L$42,6,FALSE)</f>
        <v>#N/A</v>
      </c>
      <c r="W257" s="10" t="e">
        <f>VLOOKUP(AJ249,'FRC Site Data'!$B$3:$L$42,8,FALSE)</f>
        <v>#N/A</v>
      </c>
      <c r="X257" s="10" t="e">
        <f>VLOOKUP(AJ249,'FRC Site Data'!$B$3:$L$42,9,FALSE)</f>
        <v>#N/A</v>
      </c>
      <c r="Y257" s="10" t="e">
        <f>VLOOKUP(AJ249,'FRC Site Data'!$B$3:$L$42,10,FALSE)</f>
        <v>#N/A</v>
      </c>
      <c r="Z257" s="10" t="e">
        <f>VLOOKUP(AJ249,'FRC Site Data'!$B$3:$L$42,11,FALSE)</f>
        <v>#N/A</v>
      </c>
      <c r="AA257" s="10" t="e">
        <f>VLOOKUP(AJ249,'CIR Team Info'!$C$5:$E$44,4,FALSE)</f>
        <v>#N/A</v>
      </c>
      <c r="AB257" s="161" t="b">
        <f>ISNUMBER(VLOOKUP(AJ249,Match!$T$5:$T$10,1,FALSE))</f>
        <v>0</v>
      </c>
      <c r="AC257" s="161" t="b">
        <f>IF(AB257=TRUE,(VLOOKUP($AJ249,Match!$T$5:$U$10,2,FALSE)))</f>
        <v>0</v>
      </c>
      <c r="AD257" s="8">
        <v>3</v>
      </c>
      <c r="AE257" s="8">
        <v>2</v>
      </c>
      <c r="AF257" s="8">
        <v>2</v>
      </c>
      <c r="AG257" s="8">
        <v>1</v>
      </c>
      <c r="AH257" s="8" t="str">
        <f t="shared" si="71"/>
        <v/>
      </c>
      <c r="AI257" s="12"/>
      <c r="AZ257" s="12"/>
      <c r="BC257" s="12"/>
      <c r="BK257" s="12"/>
    </row>
    <row r="258" spans="1:63" x14ac:dyDescent="0.25">
      <c r="A258" s="29">
        <f t="shared" si="81"/>
        <v>0</v>
      </c>
      <c r="B258" s="29">
        <f t="shared" si="66"/>
        <v>0</v>
      </c>
      <c r="C258" s="29">
        <f t="shared" si="67"/>
        <v>0</v>
      </c>
      <c r="D258" s="29">
        <f t="shared" si="68"/>
        <v>0</v>
      </c>
      <c r="E258" s="29">
        <f t="shared" si="82"/>
        <v>0</v>
      </c>
      <c r="F258" s="29">
        <f t="shared" si="83"/>
        <v>0</v>
      </c>
      <c r="G258" s="29" t="str">
        <f t="shared" si="84"/>
        <v>offensive</v>
      </c>
      <c r="H258" s="16">
        <f t="shared" si="88"/>
        <v>0</v>
      </c>
      <c r="I258" s="16">
        <f t="shared" si="89"/>
        <v>0</v>
      </c>
      <c r="J258" s="16">
        <f t="shared" si="69"/>
        <v>0</v>
      </c>
      <c r="K258" s="16">
        <f t="shared" si="85"/>
        <v>0</v>
      </c>
      <c r="L258" s="67">
        <f t="shared" si="86"/>
        <v>0</v>
      </c>
      <c r="M258" s="4">
        <f t="shared" si="70"/>
        <v>0</v>
      </c>
      <c r="N258" s="4">
        <f t="shared" si="80"/>
        <v>0</v>
      </c>
      <c r="O258" s="4">
        <f t="shared" si="87"/>
        <v>0</v>
      </c>
      <c r="P258" s="4" t="e">
        <f>VLOOKUP(AJ250,'CIR Team Info'!$C$5:$E$44,2,FALSE)</f>
        <v>#N/A</v>
      </c>
      <c r="Q258" s="4" t="e">
        <f>VLOOKUP(AJ250,'CIR Team Info'!$C$5:$E$44,3,FALSE)</f>
        <v>#N/A</v>
      </c>
      <c r="R258" s="10" t="e">
        <f>VLOOKUP(AJ250,'FRC Site Data'!$B$3:$L$42,2,FALSE)</f>
        <v>#N/A</v>
      </c>
      <c r="S258" s="10" t="e">
        <f>VLOOKUP(AJ250,'FRC Site Data'!$B$3:$L$42,3,FALSE)</f>
        <v>#N/A</v>
      </c>
      <c r="T258" s="10" t="e">
        <f>VLOOKUP(AJ250,'FRC Site Data'!$B$3:$L$42,4,FALSE)</f>
        <v>#N/A</v>
      </c>
      <c r="U258" s="10" t="e">
        <f>VLOOKUP(AJ250,'FRC Site Data'!$B$3:$L$42,5,FALSE)</f>
        <v>#N/A</v>
      </c>
      <c r="V258" s="10" t="e">
        <f>VLOOKUP(AJ250,'FRC Site Data'!$B$3:$L$42,6,FALSE)</f>
        <v>#N/A</v>
      </c>
      <c r="W258" s="10" t="e">
        <f>VLOOKUP(AJ250,'FRC Site Data'!$B$3:$L$42,8,FALSE)</f>
        <v>#N/A</v>
      </c>
      <c r="X258" s="10" t="e">
        <f>VLOOKUP(AJ250,'FRC Site Data'!$B$3:$L$42,9,FALSE)</f>
        <v>#N/A</v>
      </c>
      <c r="Y258" s="10" t="e">
        <f>VLOOKUP(AJ250,'FRC Site Data'!$B$3:$L$42,10,FALSE)</f>
        <v>#N/A</v>
      </c>
      <c r="Z258" s="10" t="e">
        <f>VLOOKUP(AJ250,'FRC Site Data'!$B$3:$L$42,11,FALSE)</f>
        <v>#N/A</v>
      </c>
      <c r="AA258" s="10" t="e">
        <f>VLOOKUP(AJ250,'CIR Team Info'!$C$5:$E$44,4,FALSE)</f>
        <v>#N/A</v>
      </c>
      <c r="AB258" s="161" t="b">
        <f>ISNUMBER(VLOOKUP(AJ250,Match!$T$5:$T$10,1,FALSE))</f>
        <v>0</v>
      </c>
      <c r="AC258" s="161" t="b">
        <f>IF(AB258=TRUE,(VLOOKUP($AJ250,Match!$T$5:$U$10,2,FALSE)))</f>
        <v>0</v>
      </c>
      <c r="AD258" s="8">
        <v>3</v>
      </c>
      <c r="AE258" s="8">
        <v>2</v>
      </c>
      <c r="AF258" s="8">
        <v>2</v>
      </c>
      <c r="AG258" s="8">
        <v>1</v>
      </c>
      <c r="AH258" s="8" t="str">
        <f t="shared" si="71"/>
        <v/>
      </c>
      <c r="AI258" s="12"/>
      <c r="AZ258" s="12"/>
      <c r="BC258" s="12"/>
      <c r="BK258" s="12"/>
    </row>
    <row r="259" spans="1:63" x14ac:dyDescent="0.25">
      <c r="A259" s="29">
        <f t="shared" si="81"/>
        <v>0</v>
      </c>
      <c r="B259" s="29">
        <f t="shared" si="66"/>
        <v>0</v>
      </c>
      <c r="C259" s="29">
        <f t="shared" si="67"/>
        <v>0</v>
      </c>
      <c r="D259" s="29">
        <f t="shared" si="68"/>
        <v>0</v>
      </c>
      <c r="E259" s="29">
        <f t="shared" si="82"/>
        <v>0</v>
      </c>
      <c r="F259" s="29">
        <f t="shared" si="83"/>
        <v>0</v>
      </c>
      <c r="G259" s="29" t="str">
        <f t="shared" si="84"/>
        <v>offensive</v>
      </c>
      <c r="H259" s="16">
        <f t="shared" si="88"/>
        <v>0</v>
      </c>
      <c r="I259" s="16">
        <f t="shared" si="89"/>
        <v>0</v>
      </c>
      <c r="J259" s="16">
        <f t="shared" si="69"/>
        <v>0</v>
      </c>
      <c r="K259" s="16">
        <f t="shared" si="85"/>
        <v>0</v>
      </c>
      <c r="L259" s="67">
        <f t="shared" si="86"/>
        <v>0</v>
      </c>
      <c r="M259" s="4">
        <f t="shared" si="70"/>
        <v>0</v>
      </c>
      <c r="N259" s="4">
        <f t="shared" si="80"/>
        <v>0</v>
      </c>
      <c r="O259" s="4">
        <f t="shared" si="87"/>
        <v>0</v>
      </c>
      <c r="P259" s="4" t="e">
        <f>VLOOKUP(AJ251,'CIR Team Info'!$C$5:$E$44,2,FALSE)</f>
        <v>#N/A</v>
      </c>
      <c r="Q259" s="4" t="e">
        <f>VLOOKUP(AJ251,'CIR Team Info'!$C$5:$E$44,3,FALSE)</f>
        <v>#N/A</v>
      </c>
      <c r="R259" s="10" t="e">
        <f>VLOOKUP(AJ251,'FRC Site Data'!$B$3:$L$42,2,FALSE)</f>
        <v>#N/A</v>
      </c>
      <c r="S259" s="10" t="e">
        <f>VLOOKUP(AJ251,'FRC Site Data'!$B$3:$L$42,3,FALSE)</f>
        <v>#N/A</v>
      </c>
      <c r="T259" s="10" t="e">
        <f>VLOOKUP(AJ251,'FRC Site Data'!$B$3:$L$42,4,FALSE)</f>
        <v>#N/A</v>
      </c>
      <c r="U259" s="10" t="e">
        <f>VLOOKUP(AJ251,'FRC Site Data'!$B$3:$L$42,5,FALSE)</f>
        <v>#N/A</v>
      </c>
      <c r="V259" s="10" t="e">
        <f>VLOOKUP(AJ251,'FRC Site Data'!$B$3:$L$42,6,FALSE)</f>
        <v>#N/A</v>
      </c>
      <c r="W259" s="10" t="e">
        <f>VLOOKUP(AJ251,'FRC Site Data'!$B$3:$L$42,8,FALSE)</f>
        <v>#N/A</v>
      </c>
      <c r="X259" s="10" t="e">
        <f>VLOOKUP(AJ251,'FRC Site Data'!$B$3:$L$42,9,FALSE)</f>
        <v>#N/A</v>
      </c>
      <c r="Y259" s="10" t="e">
        <f>VLOOKUP(AJ251,'FRC Site Data'!$B$3:$L$42,10,FALSE)</f>
        <v>#N/A</v>
      </c>
      <c r="Z259" s="10" t="e">
        <f>VLOOKUP(AJ251,'FRC Site Data'!$B$3:$L$42,11,FALSE)</f>
        <v>#N/A</v>
      </c>
      <c r="AA259" s="10" t="e">
        <f>VLOOKUP(AJ251,'CIR Team Info'!$C$5:$E$44,4,FALSE)</f>
        <v>#N/A</v>
      </c>
      <c r="AB259" s="161" t="b">
        <f>ISNUMBER(VLOOKUP(AJ251,Match!$T$5:$T$10,1,FALSE))</f>
        <v>0</v>
      </c>
      <c r="AC259" s="161" t="b">
        <f>IF(AB259=TRUE,(VLOOKUP($AJ251,Match!$T$5:$U$10,2,FALSE)))</f>
        <v>0</v>
      </c>
      <c r="AD259" s="8">
        <v>3</v>
      </c>
      <c r="AE259" s="8">
        <v>2</v>
      </c>
      <c r="AF259" s="8">
        <v>2</v>
      </c>
      <c r="AG259" s="8">
        <v>1</v>
      </c>
      <c r="AH259" s="8" t="str">
        <f t="shared" si="71"/>
        <v/>
      </c>
      <c r="AI259" s="12"/>
      <c r="AZ259" s="12"/>
      <c r="BC259" s="12"/>
      <c r="BK259" s="12"/>
    </row>
    <row r="260" spans="1:63" x14ac:dyDescent="0.25">
      <c r="A260" s="29">
        <f t="shared" si="81"/>
        <v>0</v>
      </c>
      <c r="B260" s="29">
        <f t="shared" si="66"/>
        <v>0</v>
      </c>
      <c r="C260" s="29">
        <f t="shared" si="67"/>
        <v>0</v>
      </c>
      <c r="D260" s="29">
        <f t="shared" si="68"/>
        <v>0</v>
      </c>
      <c r="E260" s="29">
        <f t="shared" si="82"/>
        <v>0</v>
      </c>
      <c r="F260" s="29">
        <f t="shared" si="83"/>
        <v>0</v>
      </c>
      <c r="G260" s="29" t="str">
        <f t="shared" si="84"/>
        <v>offensive</v>
      </c>
      <c r="H260" s="16">
        <f t="shared" si="88"/>
        <v>0</v>
      </c>
      <c r="I260" s="16">
        <f t="shared" si="89"/>
        <v>0</v>
      </c>
      <c r="J260" s="16">
        <f t="shared" si="69"/>
        <v>0</v>
      </c>
      <c r="K260" s="16">
        <f t="shared" si="85"/>
        <v>0</v>
      </c>
      <c r="L260" s="67">
        <f t="shared" si="86"/>
        <v>0</v>
      </c>
      <c r="M260" s="4">
        <f t="shared" si="70"/>
        <v>0</v>
      </c>
      <c r="N260" s="4">
        <f t="shared" si="80"/>
        <v>0</v>
      </c>
      <c r="O260" s="4">
        <f t="shared" si="87"/>
        <v>0</v>
      </c>
      <c r="P260" s="4" t="e">
        <f>VLOOKUP(AJ252,'CIR Team Info'!$C$5:$E$44,2,FALSE)</f>
        <v>#N/A</v>
      </c>
      <c r="Q260" s="4" t="e">
        <f>VLOOKUP(AJ252,'CIR Team Info'!$C$5:$E$44,3,FALSE)</f>
        <v>#N/A</v>
      </c>
      <c r="R260" s="10" t="e">
        <f>VLOOKUP(AJ252,'FRC Site Data'!$B$3:$L$42,2,FALSE)</f>
        <v>#N/A</v>
      </c>
      <c r="S260" s="10" t="e">
        <f>VLOOKUP(AJ252,'FRC Site Data'!$B$3:$L$42,3,FALSE)</f>
        <v>#N/A</v>
      </c>
      <c r="T260" s="10" t="e">
        <f>VLOOKUP(AJ252,'FRC Site Data'!$B$3:$L$42,4,FALSE)</f>
        <v>#N/A</v>
      </c>
      <c r="U260" s="10" t="e">
        <f>VLOOKUP(AJ252,'FRC Site Data'!$B$3:$L$42,5,FALSE)</f>
        <v>#N/A</v>
      </c>
      <c r="V260" s="10" t="e">
        <f>VLOOKUP(AJ252,'FRC Site Data'!$B$3:$L$42,6,FALSE)</f>
        <v>#N/A</v>
      </c>
      <c r="W260" s="10" t="e">
        <f>VLOOKUP(AJ252,'FRC Site Data'!$B$3:$L$42,8,FALSE)</f>
        <v>#N/A</v>
      </c>
      <c r="X260" s="10" t="e">
        <f>VLOOKUP(AJ252,'FRC Site Data'!$B$3:$L$42,9,FALSE)</f>
        <v>#N/A</v>
      </c>
      <c r="Y260" s="10" t="e">
        <f>VLOOKUP(AJ252,'FRC Site Data'!$B$3:$L$42,10,FALSE)</f>
        <v>#N/A</v>
      </c>
      <c r="Z260" s="10" t="e">
        <f>VLOOKUP(AJ252,'FRC Site Data'!$B$3:$L$42,11,FALSE)</f>
        <v>#N/A</v>
      </c>
      <c r="AA260" s="10" t="e">
        <f>VLOOKUP(AJ252,'CIR Team Info'!$C$5:$E$44,4,FALSE)</f>
        <v>#N/A</v>
      </c>
      <c r="AB260" s="161" t="b">
        <f>ISNUMBER(VLOOKUP(AJ252,Match!$T$5:$T$10,1,FALSE))</f>
        <v>0</v>
      </c>
      <c r="AC260" s="161" t="b">
        <f>IF(AB260=TRUE,(VLOOKUP($AJ252,Match!$T$5:$U$10,2,FALSE)))</f>
        <v>0</v>
      </c>
      <c r="AD260" s="8">
        <v>3</v>
      </c>
      <c r="AE260" s="8">
        <v>2</v>
      </c>
      <c r="AF260" s="8">
        <v>2</v>
      </c>
      <c r="AG260" s="8">
        <v>1</v>
      </c>
      <c r="AH260" s="8" t="str">
        <f t="shared" si="71"/>
        <v/>
      </c>
      <c r="AI260" s="12"/>
      <c r="AZ260" s="12"/>
      <c r="BC260" s="12"/>
      <c r="BK260" s="12"/>
    </row>
    <row r="261" spans="1:63" x14ac:dyDescent="0.25">
      <c r="A261" s="29">
        <f t="shared" si="81"/>
        <v>0</v>
      </c>
      <c r="B261" s="29">
        <f t="shared" si="66"/>
        <v>0</v>
      </c>
      <c r="C261" s="29">
        <f t="shared" si="67"/>
        <v>0</v>
      </c>
      <c r="D261" s="29">
        <f t="shared" si="68"/>
        <v>0</v>
      </c>
      <c r="E261" s="29">
        <f t="shared" si="82"/>
        <v>0</v>
      </c>
      <c r="F261" s="29">
        <f t="shared" si="83"/>
        <v>0</v>
      </c>
      <c r="G261" s="29" t="str">
        <f t="shared" si="84"/>
        <v>offensive</v>
      </c>
      <c r="H261" s="16">
        <f t="shared" si="88"/>
        <v>0</v>
      </c>
      <c r="I261" s="16">
        <f t="shared" si="89"/>
        <v>0</v>
      </c>
      <c r="J261" s="16">
        <f t="shared" si="69"/>
        <v>0</v>
      </c>
      <c r="K261" s="16">
        <f t="shared" si="85"/>
        <v>0</v>
      </c>
      <c r="L261" s="67">
        <f t="shared" si="86"/>
        <v>0</v>
      </c>
      <c r="M261" s="4">
        <f t="shared" si="70"/>
        <v>0</v>
      </c>
      <c r="N261" s="4">
        <f t="shared" si="80"/>
        <v>0</v>
      </c>
      <c r="O261" s="4">
        <f t="shared" si="87"/>
        <v>0</v>
      </c>
      <c r="P261" s="4" t="e">
        <f>VLOOKUP(AJ253,'CIR Team Info'!$C$5:$E$44,2,FALSE)</f>
        <v>#N/A</v>
      </c>
      <c r="Q261" s="4" t="e">
        <f>VLOOKUP(AJ253,'CIR Team Info'!$C$5:$E$44,3,FALSE)</f>
        <v>#N/A</v>
      </c>
      <c r="R261" s="10" t="e">
        <f>VLOOKUP(AJ253,'FRC Site Data'!$B$3:$L$42,2,FALSE)</f>
        <v>#N/A</v>
      </c>
      <c r="S261" s="10" t="e">
        <f>VLOOKUP(AJ253,'FRC Site Data'!$B$3:$L$42,3,FALSE)</f>
        <v>#N/A</v>
      </c>
      <c r="T261" s="10" t="e">
        <f>VLOOKUP(AJ253,'FRC Site Data'!$B$3:$L$42,4,FALSE)</f>
        <v>#N/A</v>
      </c>
      <c r="U261" s="10" t="e">
        <f>VLOOKUP(AJ253,'FRC Site Data'!$B$3:$L$42,5,FALSE)</f>
        <v>#N/A</v>
      </c>
      <c r="V261" s="10" t="e">
        <f>VLOOKUP(AJ253,'FRC Site Data'!$B$3:$L$42,6,FALSE)</f>
        <v>#N/A</v>
      </c>
      <c r="W261" s="10" t="e">
        <f>VLOOKUP(AJ253,'FRC Site Data'!$B$3:$L$42,8,FALSE)</f>
        <v>#N/A</v>
      </c>
      <c r="X261" s="10" t="e">
        <f>VLOOKUP(AJ253,'FRC Site Data'!$B$3:$L$42,9,FALSE)</f>
        <v>#N/A</v>
      </c>
      <c r="Y261" s="10" t="e">
        <f>VLOOKUP(AJ253,'FRC Site Data'!$B$3:$L$42,10,FALSE)</f>
        <v>#N/A</v>
      </c>
      <c r="Z261" s="10" t="e">
        <f>VLOOKUP(AJ253,'FRC Site Data'!$B$3:$L$42,11,FALSE)</f>
        <v>#N/A</v>
      </c>
      <c r="AA261" s="10" t="e">
        <f>VLOOKUP(AJ253,'CIR Team Info'!$C$5:$E$44,4,FALSE)</f>
        <v>#N/A</v>
      </c>
      <c r="AB261" s="161" t="b">
        <f>ISNUMBER(VLOOKUP(AJ253,Match!$T$5:$T$10,1,FALSE))</f>
        <v>0</v>
      </c>
      <c r="AC261" s="161" t="b">
        <f>IF(AB261=TRUE,(VLOOKUP($AJ253,Match!$T$5:$U$10,2,FALSE)))</f>
        <v>0</v>
      </c>
      <c r="AD261" s="8">
        <v>3</v>
      </c>
      <c r="AE261" s="8">
        <v>2</v>
      </c>
      <c r="AF261" s="8">
        <v>2</v>
      </c>
      <c r="AG261" s="8">
        <v>1</v>
      </c>
      <c r="AH261" s="8" t="str">
        <f t="shared" si="71"/>
        <v/>
      </c>
      <c r="AI261" s="12"/>
      <c r="AZ261" s="12"/>
      <c r="BC261" s="12"/>
      <c r="BK261" s="12"/>
    </row>
    <row r="262" spans="1:63" x14ac:dyDescent="0.25">
      <c r="A262" s="29">
        <f t="shared" si="81"/>
        <v>0</v>
      </c>
      <c r="B262" s="29">
        <f t="shared" ref="B262:B325" si="90">H262*AD262*AO254</f>
        <v>0</v>
      </c>
      <c r="C262" s="29">
        <f t="shared" ref="C262:C325" si="91">I262*AE262*AV254</f>
        <v>0</v>
      </c>
      <c r="D262" s="29">
        <f t="shared" ref="D262:D325" si="92">J262*AF262*BF254</f>
        <v>0</v>
      </c>
      <c r="E262" s="29">
        <f t="shared" si="82"/>
        <v>0</v>
      </c>
      <c r="F262" s="29">
        <f t="shared" si="83"/>
        <v>0</v>
      </c>
      <c r="G262" s="29" t="str">
        <f t="shared" si="84"/>
        <v>offensive</v>
      </c>
      <c r="H262" s="16">
        <f t="shared" si="88"/>
        <v>0</v>
      </c>
      <c r="I262" s="16">
        <f t="shared" si="89"/>
        <v>0</v>
      </c>
      <c r="J262" s="16">
        <f t="shared" ref="J262:J325" si="93">IF(L262=0,0,BG254/L262)</f>
        <v>0</v>
      </c>
      <c r="K262" s="16">
        <f t="shared" si="85"/>
        <v>0</v>
      </c>
      <c r="L262" s="67">
        <f t="shared" si="86"/>
        <v>0</v>
      </c>
      <c r="M262" s="4">
        <f t="shared" ref="M262:M325" si="94">AO254+AV254+BD254+O262</f>
        <v>0</v>
      </c>
      <c r="N262" s="4">
        <f t="shared" si="80"/>
        <v>0</v>
      </c>
      <c r="O262" s="4">
        <f t="shared" si="87"/>
        <v>0</v>
      </c>
      <c r="P262" s="4" t="e">
        <f>VLOOKUP(AJ254,'CIR Team Info'!$C$5:$E$44,2,FALSE)</f>
        <v>#N/A</v>
      </c>
      <c r="Q262" s="4" t="e">
        <f>VLOOKUP(AJ254,'CIR Team Info'!$C$5:$E$44,3,FALSE)</f>
        <v>#N/A</v>
      </c>
      <c r="R262" s="10" t="e">
        <f>VLOOKUP(AJ254,'FRC Site Data'!$B$3:$L$42,2,FALSE)</f>
        <v>#N/A</v>
      </c>
      <c r="S262" s="10" t="e">
        <f>VLOOKUP(AJ254,'FRC Site Data'!$B$3:$L$42,3,FALSE)</f>
        <v>#N/A</v>
      </c>
      <c r="T262" s="10" t="e">
        <f>VLOOKUP(AJ254,'FRC Site Data'!$B$3:$L$42,4,FALSE)</f>
        <v>#N/A</v>
      </c>
      <c r="U262" s="10" t="e">
        <f>VLOOKUP(AJ254,'FRC Site Data'!$B$3:$L$42,5,FALSE)</f>
        <v>#N/A</v>
      </c>
      <c r="V262" s="10" t="e">
        <f>VLOOKUP(AJ254,'FRC Site Data'!$B$3:$L$42,6,FALSE)</f>
        <v>#N/A</v>
      </c>
      <c r="W262" s="10" t="e">
        <f>VLOOKUP(AJ254,'FRC Site Data'!$B$3:$L$42,8,FALSE)</f>
        <v>#N/A</v>
      </c>
      <c r="X262" s="10" t="e">
        <f>VLOOKUP(AJ254,'FRC Site Data'!$B$3:$L$42,9,FALSE)</f>
        <v>#N/A</v>
      </c>
      <c r="Y262" s="10" t="e">
        <f>VLOOKUP(AJ254,'FRC Site Data'!$B$3:$L$42,10,FALSE)</f>
        <v>#N/A</v>
      </c>
      <c r="Z262" s="10" t="e">
        <f>VLOOKUP(AJ254,'FRC Site Data'!$B$3:$L$42,11,FALSE)</f>
        <v>#N/A</v>
      </c>
      <c r="AA262" s="10" t="e">
        <f>VLOOKUP(AJ254,'CIR Team Info'!$C$5:$E$44,4,FALSE)</f>
        <v>#N/A</v>
      </c>
      <c r="AB262" s="161" t="b">
        <f>ISNUMBER(VLOOKUP(AJ254,Match!$T$5:$T$10,1,FALSE))</f>
        <v>0</v>
      </c>
      <c r="AC262" s="161" t="b">
        <f>IF(AB262=TRUE,(VLOOKUP($AJ254,Match!$T$5:$U$10,2,FALSE)))</f>
        <v>0</v>
      </c>
      <c r="AD262" s="8">
        <v>3</v>
      </c>
      <c r="AE262" s="8">
        <v>2</v>
      </c>
      <c r="AF262" s="8">
        <v>2</v>
      </c>
      <c r="AG262" s="8">
        <v>1</v>
      </c>
      <c r="AH262" s="8" t="str">
        <f t="shared" si="71"/>
        <v/>
      </c>
      <c r="AI262" s="12"/>
      <c r="AZ262" s="12"/>
      <c r="BC262" s="12"/>
      <c r="BK262" s="12"/>
    </row>
    <row r="263" spans="1:63" x14ac:dyDescent="0.25">
      <c r="A263" s="29">
        <f t="shared" si="81"/>
        <v>0</v>
      </c>
      <c r="B263" s="29">
        <f t="shared" si="90"/>
        <v>0</v>
      </c>
      <c r="C263" s="29">
        <f t="shared" si="91"/>
        <v>0</v>
      </c>
      <c r="D263" s="29">
        <f t="shared" si="92"/>
        <v>0</v>
      </c>
      <c r="E263" s="29">
        <f t="shared" si="82"/>
        <v>0</v>
      </c>
      <c r="F263" s="29">
        <f t="shared" si="83"/>
        <v>0</v>
      </c>
      <c r="G263" s="29" t="str">
        <f t="shared" si="84"/>
        <v>offensive</v>
      </c>
      <c r="H263" s="16">
        <f t="shared" si="88"/>
        <v>0</v>
      </c>
      <c r="I263" s="16">
        <f t="shared" si="89"/>
        <v>0</v>
      </c>
      <c r="J263" s="16">
        <f t="shared" si="93"/>
        <v>0</v>
      </c>
      <c r="K263" s="16">
        <f t="shared" si="85"/>
        <v>0</v>
      </c>
      <c r="L263" s="67">
        <f t="shared" si="86"/>
        <v>0</v>
      </c>
      <c r="M263" s="4">
        <f t="shared" si="94"/>
        <v>0</v>
      </c>
      <c r="N263" s="4">
        <f t="shared" si="80"/>
        <v>0</v>
      </c>
      <c r="O263" s="4">
        <f t="shared" si="87"/>
        <v>0</v>
      </c>
      <c r="P263" s="4" t="e">
        <f>VLOOKUP(AJ255,'CIR Team Info'!$C$5:$E$44,2,FALSE)</f>
        <v>#N/A</v>
      </c>
      <c r="Q263" s="4" t="e">
        <f>VLOOKUP(AJ255,'CIR Team Info'!$C$5:$E$44,3,FALSE)</f>
        <v>#N/A</v>
      </c>
      <c r="R263" s="10" t="e">
        <f>VLOOKUP(AJ255,'FRC Site Data'!$B$3:$L$42,2,FALSE)</f>
        <v>#N/A</v>
      </c>
      <c r="S263" s="10" t="e">
        <f>VLOOKUP(AJ255,'FRC Site Data'!$B$3:$L$42,3,FALSE)</f>
        <v>#N/A</v>
      </c>
      <c r="T263" s="10" t="e">
        <f>VLOOKUP(AJ255,'FRC Site Data'!$B$3:$L$42,4,FALSE)</f>
        <v>#N/A</v>
      </c>
      <c r="U263" s="10" t="e">
        <f>VLOOKUP(AJ255,'FRC Site Data'!$B$3:$L$42,5,FALSE)</f>
        <v>#N/A</v>
      </c>
      <c r="V263" s="10" t="e">
        <f>VLOOKUP(AJ255,'FRC Site Data'!$B$3:$L$42,6,FALSE)</f>
        <v>#N/A</v>
      </c>
      <c r="W263" s="10" t="e">
        <f>VLOOKUP(AJ255,'FRC Site Data'!$B$3:$L$42,8,FALSE)</f>
        <v>#N/A</v>
      </c>
      <c r="X263" s="10" t="e">
        <f>VLOOKUP(AJ255,'FRC Site Data'!$B$3:$L$42,9,FALSE)</f>
        <v>#N/A</v>
      </c>
      <c r="Y263" s="10" t="e">
        <f>VLOOKUP(AJ255,'FRC Site Data'!$B$3:$L$42,10,FALSE)</f>
        <v>#N/A</v>
      </c>
      <c r="Z263" s="10" t="e">
        <f>VLOOKUP(AJ255,'FRC Site Data'!$B$3:$L$42,11,FALSE)</f>
        <v>#N/A</v>
      </c>
      <c r="AA263" s="10" t="e">
        <f>VLOOKUP(AJ255,'CIR Team Info'!$C$5:$E$44,4,FALSE)</f>
        <v>#N/A</v>
      </c>
      <c r="AB263" s="161" t="b">
        <f>ISNUMBER(VLOOKUP(AJ255,Match!$T$5:$T$10,1,FALSE))</f>
        <v>0</v>
      </c>
      <c r="AC263" s="161" t="b">
        <f>IF(AB263=TRUE,(VLOOKUP($AJ255,Match!$T$5:$U$10,2,FALSE)))</f>
        <v>0</v>
      </c>
      <c r="AD263" s="8">
        <v>3</v>
      </c>
      <c r="AE263" s="8">
        <v>2</v>
      </c>
      <c r="AF263" s="8">
        <v>2</v>
      </c>
      <c r="AG263" s="8">
        <v>1</v>
      </c>
      <c r="AH263" s="8" t="str">
        <f t="shared" si="71"/>
        <v/>
      </c>
      <c r="AI263" s="12"/>
      <c r="AZ263" s="12"/>
      <c r="BC263" s="12"/>
      <c r="BK263" s="12"/>
    </row>
    <row r="264" spans="1:63" x14ac:dyDescent="0.25">
      <c r="A264" s="29">
        <f t="shared" si="81"/>
        <v>0</v>
      </c>
      <c r="B264" s="29">
        <f t="shared" si="90"/>
        <v>0</v>
      </c>
      <c r="C264" s="29">
        <f t="shared" si="91"/>
        <v>0</v>
      </c>
      <c r="D264" s="29">
        <f t="shared" si="92"/>
        <v>0</v>
      </c>
      <c r="E264" s="29">
        <f t="shared" si="82"/>
        <v>0</v>
      </c>
      <c r="F264" s="29">
        <f t="shared" si="83"/>
        <v>0</v>
      </c>
      <c r="G264" s="29" t="str">
        <f t="shared" si="84"/>
        <v>offensive</v>
      </c>
      <c r="H264" s="16">
        <f t="shared" si="88"/>
        <v>0</v>
      </c>
      <c r="I264" s="16">
        <f t="shared" si="89"/>
        <v>0</v>
      </c>
      <c r="J264" s="16">
        <f t="shared" si="93"/>
        <v>0</v>
      </c>
      <c r="K264" s="16">
        <f t="shared" si="85"/>
        <v>0</v>
      </c>
      <c r="L264" s="67">
        <f t="shared" si="86"/>
        <v>0</v>
      </c>
      <c r="M264" s="4">
        <f t="shared" si="94"/>
        <v>0</v>
      </c>
      <c r="N264" s="4">
        <f t="shared" si="80"/>
        <v>0</v>
      </c>
      <c r="O264" s="4">
        <f t="shared" si="87"/>
        <v>0</v>
      </c>
      <c r="P264" s="4" t="e">
        <f>VLOOKUP(AJ256,'CIR Team Info'!$C$5:$E$44,2,FALSE)</f>
        <v>#N/A</v>
      </c>
      <c r="Q264" s="4" t="e">
        <f>VLOOKUP(AJ256,'CIR Team Info'!$C$5:$E$44,3,FALSE)</f>
        <v>#N/A</v>
      </c>
      <c r="R264" s="10" t="e">
        <f>VLOOKUP(AJ256,'FRC Site Data'!$B$3:$L$42,2,FALSE)</f>
        <v>#N/A</v>
      </c>
      <c r="S264" s="10" t="e">
        <f>VLOOKUP(AJ256,'FRC Site Data'!$B$3:$L$42,3,FALSE)</f>
        <v>#N/A</v>
      </c>
      <c r="T264" s="10" t="e">
        <f>VLOOKUP(AJ256,'FRC Site Data'!$B$3:$L$42,4,FALSE)</f>
        <v>#N/A</v>
      </c>
      <c r="U264" s="10" t="e">
        <f>VLOOKUP(AJ256,'FRC Site Data'!$B$3:$L$42,5,FALSE)</f>
        <v>#N/A</v>
      </c>
      <c r="V264" s="10" t="e">
        <f>VLOOKUP(AJ256,'FRC Site Data'!$B$3:$L$42,6,FALSE)</f>
        <v>#N/A</v>
      </c>
      <c r="W264" s="10" t="e">
        <f>VLOOKUP(AJ256,'FRC Site Data'!$B$3:$L$42,8,FALSE)</f>
        <v>#N/A</v>
      </c>
      <c r="X264" s="10" t="e">
        <f>VLOOKUP(AJ256,'FRC Site Data'!$B$3:$L$42,9,FALSE)</f>
        <v>#N/A</v>
      </c>
      <c r="Y264" s="10" t="e">
        <f>VLOOKUP(AJ256,'FRC Site Data'!$B$3:$L$42,10,FALSE)</f>
        <v>#N/A</v>
      </c>
      <c r="Z264" s="10" t="e">
        <f>VLOOKUP(AJ256,'FRC Site Data'!$B$3:$L$42,11,FALSE)</f>
        <v>#N/A</v>
      </c>
      <c r="AA264" s="10" t="e">
        <f>VLOOKUP(AJ256,'CIR Team Info'!$C$5:$E$44,4,FALSE)</f>
        <v>#N/A</v>
      </c>
      <c r="AB264" s="161" t="b">
        <f>ISNUMBER(VLOOKUP(AJ256,Match!$T$5:$T$10,1,FALSE))</f>
        <v>0</v>
      </c>
      <c r="AC264" s="161" t="b">
        <f>IF(AB264=TRUE,(VLOOKUP($AJ256,Match!$T$5:$U$10,2,FALSE)))</f>
        <v>0</v>
      </c>
      <c r="AD264" s="8">
        <v>3</v>
      </c>
      <c r="AE264" s="8">
        <v>2</v>
      </c>
      <c r="AF264" s="8">
        <v>2</v>
      </c>
      <c r="AG264" s="8">
        <v>1</v>
      </c>
      <c r="AH264" s="8" t="str">
        <f t="shared" si="71"/>
        <v/>
      </c>
      <c r="AI264" s="12"/>
      <c r="AZ264" s="12"/>
      <c r="BC264" s="12"/>
      <c r="BK264" s="12"/>
    </row>
    <row r="265" spans="1:63" x14ac:dyDescent="0.25">
      <c r="A265" s="29">
        <f t="shared" si="81"/>
        <v>0</v>
      </c>
      <c r="B265" s="29">
        <f t="shared" si="90"/>
        <v>0</v>
      </c>
      <c r="C265" s="29">
        <f t="shared" si="91"/>
        <v>0</v>
      </c>
      <c r="D265" s="29">
        <f t="shared" si="92"/>
        <v>0</v>
      </c>
      <c r="E265" s="29">
        <f t="shared" si="82"/>
        <v>0</v>
      </c>
      <c r="F265" s="29">
        <f t="shared" si="83"/>
        <v>0</v>
      </c>
      <c r="G265" s="29" t="str">
        <f t="shared" si="84"/>
        <v>offensive</v>
      </c>
      <c r="H265" s="16">
        <f t="shared" si="88"/>
        <v>0</v>
      </c>
      <c r="I265" s="16">
        <f t="shared" si="89"/>
        <v>0</v>
      </c>
      <c r="J265" s="16">
        <f t="shared" si="93"/>
        <v>0</v>
      </c>
      <c r="K265" s="16">
        <f t="shared" si="85"/>
        <v>0</v>
      </c>
      <c r="L265" s="67">
        <f t="shared" si="86"/>
        <v>0</v>
      </c>
      <c r="M265" s="4">
        <f t="shared" si="94"/>
        <v>0</v>
      </c>
      <c r="N265" s="4">
        <f t="shared" si="80"/>
        <v>0</v>
      </c>
      <c r="O265" s="4">
        <f t="shared" si="87"/>
        <v>0</v>
      </c>
      <c r="P265" s="4" t="e">
        <f>VLOOKUP(AJ257,'CIR Team Info'!$C$5:$E$44,2,FALSE)</f>
        <v>#N/A</v>
      </c>
      <c r="Q265" s="4" t="e">
        <f>VLOOKUP(AJ257,'CIR Team Info'!$C$5:$E$44,3,FALSE)</f>
        <v>#N/A</v>
      </c>
      <c r="R265" s="10" t="e">
        <f>VLOOKUP(AJ257,'FRC Site Data'!$B$3:$L$42,2,FALSE)</f>
        <v>#N/A</v>
      </c>
      <c r="S265" s="10" t="e">
        <f>VLOOKUP(AJ257,'FRC Site Data'!$B$3:$L$42,3,FALSE)</f>
        <v>#N/A</v>
      </c>
      <c r="T265" s="10" t="e">
        <f>VLOOKUP(AJ257,'FRC Site Data'!$B$3:$L$42,4,FALSE)</f>
        <v>#N/A</v>
      </c>
      <c r="U265" s="10" t="e">
        <f>VLOOKUP(AJ257,'FRC Site Data'!$B$3:$L$42,5,FALSE)</f>
        <v>#N/A</v>
      </c>
      <c r="V265" s="10" t="e">
        <f>VLOOKUP(AJ257,'FRC Site Data'!$B$3:$L$42,6,FALSE)</f>
        <v>#N/A</v>
      </c>
      <c r="W265" s="10" t="e">
        <f>VLOOKUP(AJ257,'FRC Site Data'!$B$3:$L$42,8,FALSE)</f>
        <v>#N/A</v>
      </c>
      <c r="X265" s="10" t="e">
        <f>VLOOKUP(AJ257,'FRC Site Data'!$B$3:$L$42,9,FALSE)</f>
        <v>#N/A</v>
      </c>
      <c r="Y265" s="10" t="e">
        <f>VLOOKUP(AJ257,'FRC Site Data'!$B$3:$L$42,10,FALSE)</f>
        <v>#N/A</v>
      </c>
      <c r="Z265" s="10" t="e">
        <f>VLOOKUP(AJ257,'FRC Site Data'!$B$3:$L$42,11,FALSE)</f>
        <v>#N/A</v>
      </c>
      <c r="AA265" s="10" t="e">
        <f>VLOOKUP(AJ257,'CIR Team Info'!$C$5:$E$44,4,FALSE)</f>
        <v>#N/A</v>
      </c>
      <c r="AB265" s="161" t="b">
        <f>ISNUMBER(VLOOKUP(AJ257,Match!$T$5:$T$10,1,FALSE))</f>
        <v>0</v>
      </c>
      <c r="AC265" s="161" t="b">
        <f>IF(AB265=TRUE,(VLOOKUP($AJ257,Match!$T$5:$U$10,2,FALSE)))</f>
        <v>0</v>
      </c>
      <c r="AD265" s="8">
        <v>3</v>
      </c>
      <c r="AE265" s="8">
        <v>2</v>
      </c>
      <c r="AF265" s="8">
        <v>2</v>
      </c>
      <c r="AG265" s="8">
        <v>1</v>
      </c>
      <c r="AH265" s="8" t="str">
        <f t="shared" si="71"/>
        <v/>
      </c>
      <c r="AI265" s="12"/>
      <c r="AZ265" s="12"/>
      <c r="BC265" s="12"/>
      <c r="BK265" s="12"/>
    </row>
    <row r="266" spans="1:63" x14ac:dyDescent="0.25">
      <c r="A266" s="29">
        <f t="shared" si="81"/>
        <v>0</v>
      </c>
      <c r="B266" s="29">
        <f t="shared" si="90"/>
        <v>0</v>
      </c>
      <c r="C266" s="29">
        <f t="shared" si="91"/>
        <v>0</v>
      </c>
      <c r="D266" s="29">
        <f t="shared" si="92"/>
        <v>0</v>
      </c>
      <c r="E266" s="29">
        <f t="shared" si="82"/>
        <v>0</v>
      </c>
      <c r="F266" s="29">
        <f t="shared" si="83"/>
        <v>0</v>
      </c>
      <c r="G266" s="29" t="str">
        <f t="shared" si="84"/>
        <v>offensive</v>
      </c>
      <c r="H266" s="16">
        <f t="shared" si="88"/>
        <v>0</v>
      </c>
      <c r="I266" s="16">
        <f t="shared" si="89"/>
        <v>0</v>
      </c>
      <c r="J266" s="16">
        <f t="shared" si="93"/>
        <v>0</v>
      </c>
      <c r="K266" s="16">
        <f t="shared" si="85"/>
        <v>0</v>
      </c>
      <c r="L266" s="67">
        <f t="shared" si="86"/>
        <v>0</v>
      </c>
      <c r="M266" s="4">
        <f t="shared" si="94"/>
        <v>0</v>
      </c>
      <c r="N266" s="4">
        <f t="shared" si="80"/>
        <v>0</v>
      </c>
      <c r="O266" s="4">
        <f t="shared" si="87"/>
        <v>0</v>
      </c>
      <c r="P266" s="4" t="e">
        <f>VLOOKUP(AJ258,'CIR Team Info'!$C$5:$E$44,2,FALSE)</f>
        <v>#N/A</v>
      </c>
      <c r="Q266" s="4" t="e">
        <f>VLOOKUP(AJ258,'CIR Team Info'!$C$5:$E$44,3,FALSE)</f>
        <v>#N/A</v>
      </c>
      <c r="R266" s="10" t="e">
        <f>VLOOKUP(AJ258,'FRC Site Data'!$B$3:$L$42,2,FALSE)</f>
        <v>#N/A</v>
      </c>
      <c r="S266" s="10" t="e">
        <f>VLOOKUP(AJ258,'FRC Site Data'!$B$3:$L$42,3,FALSE)</f>
        <v>#N/A</v>
      </c>
      <c r="T266" s="10" t="e">
        <f>VLOOKUP(AJ258,'FRC Site Data'!$B$3:$L$42,4,FALSE)</f>
        <v>#N/A</v>
      </c>
      <c r="U266" s="10" t="e">
        <f>VLOOKUP(AJ258,'FRC Site Data'!$B$3:$L$42,5,FALSE)</f>
        <v>#N/A</v>
      </c>
      <c r="V266" s="10" t="e">
        <f>VLOOKUP(AJ258,'FRC Site Data'!$B$3:$L$42,6,FALSE)</f>
        <v>#N/A</v>
      </c>
      <c r="W266" s="10" t="e">
        <f>VLOOKUP(AJ258,'FRC Site Data'!$B$3:$L$42,8,FALSE)</f>
        <v>#N/A</v>
      </c>
      <c r="X266" s="10" t="e">
        <f>VLOOKUP(AJ258,'FRC Site Data'!$B$3:$L$42,9,FALSE)</f>
        <v>#N/A</v>
      </c>
      <c r="Y266" s="10" t="e">
        <f>VLOOKUP(AJ258,'FRC Site Data'!$B$3:$L$42,10,FALSE)</f>
        <v>#N/A</v>
      </c>
      <c r="Z266" s="10" t="e">
        <f>VLOOKUP(AJ258,'FRC Site Data'!$B$3:$L$42,11,FALSE)</f>
        <v>#N/A</v>
      </c>
      <c r="AA266" s="10" t="e">
        <f>VLOOKUP(AJ258,'CIR Team Info'!$C$5:$E$44,4,FALSE)</f>
        <v>#N/A</v>
      </c>
      <c r="AB266" s="161" t="b">
        <f>ISNUMBER(VLOOKUP(AJ258,Match!$T$5:$T$10,1,FALSE))</f>
        <v>0</v>
      </c>
      <c r="AC266" s="161" t="b">
        <f>IF(AB266=TRUE,(VLOOKUP($AJ258,Match!$T$5:$U$10,2,FALSE)))</f>
        <v>0</v>
      </c>
      <c r="AD266" s="8">
        <v>3</v>
      </c>
      <c r="AE266" s="8">
        <v>2</v>
      </c>
      <c r="AF266" s="8">
        <v>2</v>
      </c>
      <c r="AG266" s="8">
        <v>1</v>
      </c>
      <c r="AH266" s="8" t="str">
        <f t="shared" si="71"/>
        <v/>
      </c>
      <c r="AI266" s="12"/>
      <c r="AZ266" s="12"/>
      <c r="BC266" s="12"/>
      <c r="BK266" s="12"/>
    </row>
    <row r="267" spans="1:63" x14ac:dyDescent="0.25">
      <c r="A267" s="29">
        <f t="shared" si="81"/>
        <v>0</v>
      </c>
      <c r="B267" s="29">
        <f t="shared" si="90"/>
        <v>0</v>
      </c>
      <c r="C267" s="29">
        <f t="shared" si="91"/>
        <v>0</v>
      </c>
      <c r="D267" s="29">
        <f t="shared" si="92"/>
        <v>0</v>
      </c>
      <c r="E267" s="29">
        <f t="shared" si="82"/>
        <v>0</v>
      </c>
      <c r="F267" s="29">
        <f t="shared" si="83"/>
        <v>0</v>
      </c>
      <c r="G267" s="29" t="str">
        <f t="shared" si="84"/>
        <v>offensive</v>
      </c>
      <c r="H267" s="16">
        <f t="shared" si="88"/>
        <v>0</v>
      </c>
      <c r="I267" s="16">
        <f t="shared" si="89"/>
        <v>0</v>
      </c>
      <c r="J267" s="16">
        <f t="shared" si="93"/>
        <v>0</v>
      </c>
      <c r="K267" s="16">
        <f t="shared" si="85"/>
        <v>0</v>
      </c>
      <c r="L267" s="67">
        <f t="shared" si="86"/>
        <v>0</v>
      </c>
      <c r="M267" s="4">
        <f t="shared" si="94"/>
        <v>0</v>
      </c>
      <c r="N267" s="4">
        <f t="shared" si="80"/>
        <v>0</v>
      </c>
      <c r="O267" s="4">
        <f t="shared" si="87"/>
        <v>0</v>
      </c>
      <c r="P267" s="4" t="e">
        <f>VLOOKUP(AJ259,'CIR Team Info'!$C$5:$E$44,2,FALSE)</f>
        <v>#N/A</v>
      </c>
      <c r="Q267" s="4" t="e">
        <f>VLOOKUP(AJ259,'CIR Team Info'!$C$5:$E$44,3,FALSE)</f>
        <v>#N/A</v>
      </c>
      <c r="R267" s="10" t="e">
        <f>VLOOKUP(AJ259,'FRC Site Data'!$B$3:$L$42,2,FALSE)</f>
        <v>#N/A</v>
      </c>
      <c r="S267" s="10" t="e">
        <f>VLOOKUP(AJ259,'FRC Site Data'!$B$3:$L$42,3,FALSE)</f>
        <v>#N/A</v>
      </c>
      <c r="T267" s="10" t="e">
        <f>VLOOKUP(AJ259,'FRC Site Data'!$B$3:$L$42,4,FALSE)</f>
        <v>#N/A</v>
      </c>
      <c r="U267" s="10" t="e">
        <f>VLOOKUP(AJ259,'FRC Site Data'!$B$3:$L$42,5,FALSE)</f>
        <v>#N/A</v>
      </c>
      <c r="V267" s="10" t="e">
        <f>VLOOKUP(AJ259,'FRC Site Data'!$B$3:$L$42,6,FALSE)</f>
        <v>#N/A</v>
      </c>
      <c r="W267" s="10" t="e">
        <f>VLOOKUP(AJ259,'FRC Site Data'!$B$3:$L$42,8,FALSE)</f>
        <v>#N/A</v>
      </c>
      <c r="X267" s="10" t="e">
        <f>VLOOKUP(AJ259,'FRC Site Data'!$B$3:$L$42,9,FALSE)</f>
        <v>#N/A</v>
      </c>
      <c r="Y267" s="10" t="e">
        <f>VLOOKUP(AJ259,'FRC Site Data'!$B$3:$L$42,10,FALSE)</f>
        <v>#N/A</v>
      </c>
      <c r="Z267" s="10" t="e">
        <f>VLOOKUP(AJ259,'FRC Site Data'!$B$3:$L$42,11,FALSE)</f>
        <v>#N/A</v>
      </c>
      <c r="AA267" s="10" t="e">
        <f>VLOOKUP(AJ259,'CIR Team Info'!$C$5:$E$44,4,FALSE)</f>
        <v>#N/A</v>
      </c>
      <c r="AB267" s="161" t="b">
        <f>ISNUMBER(VLOOKUP(AJ259,Match!$T$5:$T$10,1,FALSE))</f>
        <v>0</v>
      </c>
      <c r="AC267" s="161" t="b">
        <f>IF(AB267=TRUE,(VLOOKUP($AJ259,Match!$T$5:$U$10,2,FALSE)))</f>
        <v>0</v>
      </c>
      <c r="AD267" s="8">
        <v>3</v>
      </c>
      <c r="AE267" s="8">
        <v>2</v>
      </c>
      <c r="AF267" s="8">
        <v>2</v>
      </c>
      <c r="AG267" s="8">
        <v>1</v>
      </c>
      <c r="AH267" s="8" t="str">
        <f t="shared" si="71"/>
        <v/>
      </c>
      <c r="AI267" s="12"/>
      <c r="AZ267" s="12"/>
      <c r="BC267" s="12"/>
      <c r="BK267" s="12"/>
    </row>
    <row r="268" spans="1:63" x14ac:dyDescent="0.25">
      <c r="A268" s="29">
        <f t="shared" si="81"/>
        <v>0</v>
      </c>
      <c r="B268" s="29">
        <f t="shared" si="90"/>
        <v>0</v>
      </c>
      <c r="C268" s="29">
        <f t="shared" si="91"/>
        <v>0</v>
      </c>
      <c r="D268" s="29">
        <f t="shared" si="92"/>
        <v>0</v>
      </c>
      <c r="E268" s="29">
        <f t="shared" si="82"/>
        <v>0</v>
      </c>
      <c r="F268" s="29">
        <f t="shared" si="83"/>
        <v>0</v>
      </c>
      <c r="G268" s="29" t="str">
        <f t="shared" si="84"/>
        <v>offensive</v>
      </c>
      <c r="H268" s="16">
        <f t="shared" si="88"/>
        <v>0</v>
      </c>
      <c r="I268" s="16">
        <f t="shared" si="89"/>
        <v>0</v>
      </c>
      <c r="J268" s="16">
        <f t="shared" si="93"/>
        <v>0</v>
      </c>
      <c r="K268" s="16">
        <f t="shared" si="85"/>
        <v>0</v>
      </c>
      <c r="L268" s="67">
        <f t="shared" si="86"/>
        <v>0</v>
      </c>
      <c r="M268" s="4">
        <f t="shared" si="94"/>
        <v>0</v>
      </c>
      <c r="N268" s="4">
        <f t="shared" si="80"/>
        <v>0</v>
      </c>
      <c r="O268" s="4">
        <f t="shared" si="87"/>
        <v>0</v>
      </c>
      <c r="P268" s="4" t="e">
        <f>VLOOKUP(AJ260,'CIR Team Info'!$C$5:$E$44,2,FALSE)</f>
        <v>#N/A</v>
      </c>
      <c r="Q268" s="4" t="e">
        <f>VLOOKUP(AJ260,'CIR Team Info'!$C$5:$E$44,3,FALSE)</f>
        <v>#N/A</v>
      </c>
      <c r="R268" s="10" t="e">
        <f>VLOOKUP(AJ260,'FRC Site Data'!$B$3:$L$42,2,FALSE)</f>
        <v>#N/A</v>
      </c>
      <c r="S268" s="10" t="e">
        <f>VLOOKUP(AJ260,'FRC Site Data'!$B$3:$L$42,3,FALSE)</f>
        <v>#N/A</v>
      </c>
      <c r="T268" s="10" t="e">
        <f>VLOOKUP(AJ260,'FRC Site Data'!$B$3:$L$42,4,FALSE)</f>
        <v>#N/A</v>
      </c>
      <c r="U268" s="10" t="e">
        <f>VLOOKUP(AJ260,'FRC Site Data'!$B$3:$L$42,5,FALSE)</f>
        <v>#N/A</v>
      </c>
      <c r="V268" s="10" t="e">
        <f>VLOOKUP(AJ260,'FRC Site Data'!$B$3:$L$42,6,FALSE)</f>
        <v>#N/A</v>
      </c>
      <c r="W268" s="10" t="e">
        <f>VLOOKUP(AJ260,'FRC Site Data'!$B$3:$L$42,8,FALSE)</f>
        <v>#N/A</v>
      </c>
      <c r="X268" s="10" t="e">
        <f>VLOOKUP(AJ260,'FRC Site Data'!$B$3:$L$42,9,FALSE)</f>
        <v>#N/A</v>
      </c>
      <c r="Y268" s="10" t="e">
        <f>VLOOKUP(AJ260,'FRC Site Data'!$B$3:$L$42,10,FALSE)</f>
        <v>#N/A</v>
      </c>
      <c r="Z268" s="10" t="e">
        <f>VLOOKUP(AJ260,'FRC Site Data'!$B$3:$L$42,11,FALSE)</f>
        <v>#N/A</v>
      </c>
      <c r="AA268" s="10" t="e">
        <f>VLOOKUP(AJ260,'CIR Team Info'!$C$5:$E$44,4,FALSE)</f>
        <v>#N/A</v>
      </c>
      <c r="AB268" s="161" t="b">
        <f>ISNUMBER(VLOOKUP(AJ260,Match!$T$5:$T$10,1,FALSE))</f>
        <v>0</v>
      </c>
      <c r="AC268" s="161" t="b">
        <f>IF(AB268=TRUE,(VLOOKUP($AJ260,Match!$T$5:$U$10,2,FALSE)))</f>
        <v>0</v>
      </c>
      <c r="AD268" s="8">
        <v>3</v>
      </c>
      <c r="AE268" s="8">
        <v>2</v>
      </c>
      <c r="AF268" s="8">
        <v>2</v>
      </c>
      <c r="AG268" s="8">
        <v>1</v>
      </c>
      <c r="AH268" s="8" t="str">
        <f t="shared" ref="AH268:AH318" si="95">IF(AL260="Other","x","")</f>
        <v/>
      </c>
      <c r="AI268" s="12"/>
      <c r="AZ268" s="12"/>
      <c r="BC268" s="12"/>
      <c r="BK268" s="12"/>
    </row>
    <row r="269" spans="1:63" x14ac:dyDescent="0.25">
      <c r="A269" s="29">
        <f t="shared" si="81"/>
        <v>0</v>
      </c>
      <c r="B269" s="29">
        <f t="shared" si="90"/>
        <v>0</v>
      </c>
      <c r="C269" s="29">
        <f t="shared" si="91"/>
        <v>0</v>
      </c>
      <c r="D269" s="29">
        <f t="shared" si="92"/>
        <v>0</v>
      </c>
      <c r="E269" s="29">
        <f t="shared" si="82"/>
        <v>0</v>
      </c>
      <c r="F269" s="29">
        <f t="shared" si="83"/>
        <v>0</v>
      </c>
      <c r="G269" s="29" t="str">
        <f t="shared" si="84"/>
        <v>offensive</v>
      </c>
      <c r="H269" s="16">
        <f t="shared" si="88"/>
        <v>0</v>
      </c>
      <c r="I269" s="16">
        <f t="shared" si="89"/>
        <v>0</v>
      </c>
      <c r="J269" s="16">
        <f t="shared" si="93"/>
        <v>0</v>
      </c>
      <c r="K269" s="16">
        <f t="shared" si="85"/>
        <v>0</v>
      </c>
      <c r="L269" s="67">
        <f t="shared" si="86"/>
        <v>0</v>
      </c>
      <c r="M269" s="4">
        <f t="shared" si="94"/>
        <v>0</v>
      </c>
      <c r="N269" s="4">
        <f t="shared" si="80"/>
        <v>0</v>
      </c>
      <c r="O269" s="4">
        <f t="shared" si="87"/>
        <v>0</v>
      </c>
      <c r="P269" s="4" t="e">
        <f>VLOOKUP(AJ261,'CIR Team Info'!$C$5:$E$44,2,FALSE)</f>
        <v>#N/A</v>
      </c>
      <c r="Q269" s="4" t="e">
        <f>VLOOKUP(AJ261,'CIR Team Info'!$C$5:$E$44,3,FALSE)</f>
        <v>#N/A</v>
      </c>
      <c r="R269" s="10" t="e">
        <f>VLOOKUP(AJ261,'FRC Site Data'!$B$3:$L$42,2,FALSE)</f>
        <v>#N/A</v>
      </c>
      <c r="S269" s="10" t="e">
        <f>VLOOKUP(AJ261,'FRC Site Data'!$B$3:$L$42,3,FALSE)</f>
        <v>#N/A</v>
      </c>
      <c r="T269" s="10" t="e">
        <f>VLOOKUP(AJ261,'FRC Site Data'!$B$3:$L$42,4,FALSE)</f>
        <v>#N/A</v>
      </c>
      <c r="U269" s="10" t="e">
        <f>VLOOKUP(AJ261,'FRC Site Data'!$B$3:$L$42,5,FALSE)</f>
        <v>#N/A</v>
      </c>
      <c r="V269" s="10" t="e">
        <f>VLOOKUP(AJ261,'FRC Site Data'!$B$3:$L$42,6,FALSE)</f>
        <v>#N/A</v>
      </c>
      <c r="W269" s="10" t="e">
        <f>VLOOKUP(AJ261,'FRC Site Data'!$B$3:$L$42,8,FALSE)</f>
        <v>#N/A</v>
      </c>
      <c r="X269" s="10" t="e">
        <f>VLOOKUP(AJ261,'FRC Site Data'!$B$3:$L$42,9,FALSE)</f>
        <v>#N/A</v>
      </c>
      <c r="Y269" s="10" t="e">
        <f>VLOOKUP(AJ261,'FRC Site Data'!$B$3:$L$42,10,FALSE)</f>
        <v>#N/A</v>
      </c>
      <c r="Z269" s="10" t="e">
        <f>VLOOKUP(AJ261,'FRC Site Data'!$B$3:$L$42,11,FALSE)</f>
        <v>#N/A</v>
      </c>
      <c r="AA269" s="10" t="e">
        <f>VLOOKUP(AJ261,'CIR Team Info'!$C$5:$E$44,4,FALSE)</f>
        <v>#N/A</v>
      </c>
      <c r="AB269" s="161" t="b">
        <f>ISNUMBER(VLOOKUP(AJ261,Match!$T$5:$T$10,1,FALSE))</f>
        <v>0</v>
      </c>
      <c r="AC269" s="161" t="b">
        <f>IF(AB269=TRUE,(VLOOKUP($AJ261,Match!$T$5:$U$10,2,FALSE)))</f>
        <v>0</v>
      </c>
      <c r="AD269" s="8">
        <v>3</v>
      </c>
      <c r="AE269" s="8">
        <v>2</v>
      </c>
      <c r="AF269" s="8">
        <v>2</v>
      </c>
      <c r="AG269" s="8">
        <v>1</v>
      </c>
      <c r="AH269" s="8" t="str">
        <f t="shared" si="95"/>
        <v/>
      </c>
      <c r="AI269" s="12"/>
      <c r="AZ269" s="12"/>
      <c r="BC269" s="12"/>
      <c r="BK269" s="12"/>
    </row>
    <row r="270" spans="1:63" x14ac:dyDescent="0.25">
      <c r="A270" s="29">
        <f t="shared" si="81"/>
        <v>0</v>
      </c>
      <c r="B270" s="29">
        <f t="shared" si="90"/>
        <v>0</v>
      </c>
      <c r="C270" s="29">
        <f t="shared" si="91"/>
        <v>0</v>
      </c>
      <c r="D270" s="29">
        <f t="shared" si="92"/>
        <v>0</v>
      </c>
      <c r="E270" s="29">
        <f t="shared" si="82"/>
        <v>0</v>
      </c>
      <c r="F270" s="29">
        <f t="shared" si="83"/>
        <v>0</v>
      </c>
      <c r="G270" s="29" t="str">
        <f t="shared" si="84"/>
        <v>offensive</v>
      </c>
      <c r="H270" s="16">
        <f t="shared" si="88"/>
        <v>0</v>
      </c>
      <c r="I270" s="16">
        <f t="shared" si="89"/>
        <v>0</v>
      </c>
      <c r="J270" s="16">
        <f t="shared" si="93"/>
        <v>0</v>
      </c>
      <c r="K270" s="16">
        <f t="shared" si="85"/>
        <v>0</v>
      </c>
      <c r="L270" s="67">
        <f t="shared" si="86"/>
        <v>0</v>
      </c>
      <c r="M270" s="4">
        <f t="shared" si="94"/>
        <v>0</v>
      </c>
      <c r="N270" s="4">
        <f t="shared" si="80"/>
        <v>0</v>
      </c>
      <c r="O270" s="4">
        <f t="shared" si="87"/>
        <v>0</v>
      </c>
      <c r="P270" s="4" t="e">
        <f>VLOOKUP(AJ262,'CIR Team Info'!$C$5:$E$44,2,FALSE)</f>
        <v>#N/A</v>
      </c>
      <c r="Q270" s="4" t="e">
        <f>VLOOKUP(AJ262,'CIR Team Info'!$C$5:$E$44,3,FALSE)</f>
        <v>#N/A</v>
      </c>
      <c r="R270" s="10" t="e">
        <f>VLOOKUP(AJ262,'FRC Site Data'!$B$3:$L$42,2,FALSE)</f>
        <v>#N/A</v>
      </c>
      <c r="S270" s="10" t="e">
        <f>VLOOKUP(AJ262,'FRC Site Data'!$B$3:$L$42,3,FALSE)</f>
        <v>#N/A</v>
      </c>
      <c r="T270" s="10" t="e">
        <f>VLOOKUP(AJ262,'FRC Site Data'!$B$3:$L$42,4,FALSE)</f>
        <v>#N/A</v>
      </c>
      <c r="U270" s="10" t="e">
        <f>VLOOKUP(AJ262,'FRC Site Data'!$B$3:$L$42,5,FALSE)</f>
        <v>#N/A</v>
      </c>
      <c r="V270" s="10" t="e">
        <f>VLOOKUP(AJ262,'FRC Site Data'!$B$3:$L$42,6,FALSE)</f>
        <v>#N/A</v>
      </c>
      <c r="W270" s="10" t="e">
        <f>VLOOKUP(AJ262,'FRC Site Data'!$B$3:$L$42,8,FALSE)</f>
        <v>#N/A</v>
      </c>
      <c r="X270" s="10" t="e">
        <f>VLOOKUP(AJ262,'FRC Site Data'!$B$3:$L$42,9,FALSE)</f>
        <v>#N/A</v>
      </c>
      <c r="Y270" s="10" t="e">
        <f>VLOOKUP(AJ262,'FRC Site Data'!$B$3:$L$42,10,FALSE)</f>
        <v>#N/A</v>
      </c>
      <c r="Z270" s="10" t="e">
        <f>VLOOKUP(AJ262,'FRC Site Data'!$B$3:$L$42,11,FALSE)</f>
        <v>#N/A</v>
      </c>
      <c r="AA270" s="10" t="e">
        <f>VLOOKUP(AJ262,'CIR Team Info'!$C$5:$E$44,4,FALSE)</f>
        <v>#N/A</v>
      </c>
      <c r="AB270" s="161" t="b">
        <f>ISNUMBER(VLOOKUP(AJ262,Match!$T$5:$T$10,1,FALSE))</f>
        <v>0</v>
      </c>
      <c r="AC270" s="161" t="b">
        <f>IF(AB270=TRUE,(VLOOKUP($AJ262,Match!$T$5:$U$10,2,FALSE)))</f>
        <v>0</v>
      </c>
      <c r="AD270" s="8">
        <v>3</v>
      </c>
      <c r="AE270" s="8">
        <v>2</v>
      </c>
      <c r="AF270" s="8">
        <v>2</v>
      </c>
      <c r="AG270" s="8">
        <v>1</v>
      </c>
      <c r="AH270" s="8" t="str">
        <f t="shared" si="95"/>
        <v/>
      </c>
      <c r="AI270" s="12"/>
      <c r="AZ270" s="12"/>
      <c r="BC270" s="12"/>
      <c r="BK270" s="12"/>
    </row>
    <row r="271" spans="1:63" x14ac:dyDescent="0.25">
      <c r="A271" s="29">
        <f t="shared" si="81"/>
        <v>0</v>
      </c>
      <c r="B271" s="29">
        <f t="shared" si="90"/>
        <v>0</v>
      </c>
      <c r="C271" s="29">
        <f t="shared" si="91"/>
        <v>0</v>
      </c>
      <c r="D271" s="29">
        <f t="shared" si="92"/>
        <v>0</v>
      </c>
      <c r="E271" s="29">
        <f t="shared" si="82"/>
        <v>0</v>
      </c>
      <c r="F271" s="29">
        <f t="shared" si="83"/>
        <v>0</v>
      </c>
      <c r="G271" s="29" t="str">
        <f t="shared" si="84"/>
        <v>offensive</v>
      </c>
      <c r="H271" s="16">
        <f t="shared" si="88"/>
        <v>0</v>
      </c>
      <c r="I271" s="16">
        <f t="shared" si="89"/>
        <v>0</v>
      </c>
      <c r="J271" s="16">
        <f t="shared" si="93"/>
        <v>0</v>
      </c>
      <c r="K271" s="16">
        <f t="shared" si="85"/>
        <v>0</v>
      </c>
      <c r="L271" s="67">
        <f t="shared" si="86"/>
        <v>0</v>
      </c>
      <c r="M271" s="4">
        <f t="shared" si="94"/>
        <v>0</v>
      </c>
      <c r="N271" s="4">
        <f t="shared" si="80"/>
        <v>0</v>
      </c>
      <c r="O271" s="4">
        <f t="shared" si="87"/>
        <v>0</v>
      </c>
      <c r="P271" s="4" t="e">
        <f>VLOOKUP(AJ263,'CIR Team Info'!$C$5:$E$44,2,FALSE)</f>
        <v>#N/A</v>
      </c>
      <c r="Q271" s="4" t="e">
        <f>VLOOKUP(AJ263,'CIR Team Info'!$C$5:$E$44,3,FALSE)</f>
        <v>#N/A</v>
      </c>
      <c r="R271" s="10" t="e">
        <f>VLOOKUP(AJ263,'FRC Site Data'!$B$3:$L$42,2,FALSE)</f>
        <v>#N/A</v>
      </c>
      <c r="S271" s="10" t="e">
        <f>VLOOKUP(AJ263,'FRC Site Data'!$B$3:$L$42,3,FALSE)</f>
        <v>#N/A</v>
      </c>
      <c r="T271" s="10" t="e">
        <f>VLOOKUP(AJ263,'FRC Site Data'!$B$3:$L$42,4,FALSE)</f>
        <v>#N/A</v>
      </c>
      <c r="U271" s="10" t="e">
        <f>VLOOKUP(AJ263,'FRC Site Data'!$B$3:$L$42,5,FALSE)</f>
        <v>#N/A</v>
      </c>
      <c r="V271" s="10" t="e">
        <f>VLOOKUP(AJ263,'FRC Site Data'!$B$3:$L$42,6,FALSE)</f>
        <v>#N/A</v>
      </c>
      <c r="W271" s="10" t="e">
        <f>VLOOKUP(AJ263,'FRC Site Data'!$B$3:$L$42,8,FALSE)</f>
        <v>#N/A</v>
      </c>
      <c r="X271" s="10" t="e">
        <f>VLOOKUP(AJ263,'FRC Site Data'!$B$3:$L$42,9,FALSE)</f>
        <v>#N/A</v>
      </c>
      <c r="Y271" s="10" t="e">
        <f>VLOOKUP(AJ263,'FRC Site Data'!$B$3:$L$42,10,FALSE)</f>
        <v>#N/A</v>
      </c>
      <c r="Z271" s="10" t="e">
        <f>VLOOKUP(AJ263,'FRC Site Data'!$B$3:$L$42,11,FALSE)</f>
        <v>#N/A</v>
      </c>
      <c r="AA271" s="10" t="e">
        <f>VLOOKUP(AJ263,'CIR Team Info'!$C$5:$E$44,4,FALSE)</f>
        <v>#N/A</v>
      </c>
      <c r="AB271" s="161" t="b">
        <f>ISNUMBER(VLOOKUP(AJ263,Match!$T$5:$T$10,1,FALSE))</f>
        <v>0</v>
      </c>
      <c r="AC271" s="161" t="b">
        <f>IF(AB271=TRUE,(VLOOKUP($AJ263,Match!$T$5:$U$10,2,FALSE)))</f>
        <v>0</v>
      </c>
      <c r="AD271" s="8">
        <v>3</v>
      </c>
      <c r="AE271" s="8">
        <v>2</v>
      </c>
      <c r="AF271" s="8">
        <v>2</v>
      </c>
      <c r="AG271" s="8">
        <v>1</v>
      </c>
      <c r="AH271" s="8" t="str">
        <f t="shared" si="95"/>
        <v/>
      </c>
      <c r="AI271" s="12"/>
      <c r="AZ271" s="12"/>
      <c r="BC271" s="12"/>
      <c r="BK271" s="12"/>
    </row>
    <row r="272" spans="1:63" x14ac:dyDescent="0.25">
      <c r="A272" s="29">
        <f t="shared" si="81"/>
        <v>0</v>
      </c>
      <c r="B272" s="29">
        <f t="shared" si="90"/>
        <v>0</v>
      </c>
      <c r="C272" s="29">
        <f t="shared" si="91"/>
        <v>0</v>
      </c>
      <c r="D272" s="29">
        <f t="shared" si="92"/>
        <v>0</v>
      </c>
      <c r="E272" s="29">
        <f t="shared" si="82"/>
        <v>0</v>
      </c>
      <c r="F272" s="29">
        <f t="shared" si="83"/>
        <v>0</v>
      </c>
      <c r="G272" s="29" t="str">
        <f t="shared" si="84"/>
        <v>offensive</v>
      </c>
      <c r="H272" s="16">
        <f t="shared" si="88"/>
        <v>0</v>
      </c>
      <c r="I272" s="16">
        <f t="shared" si="89"/>
        <v>0</v>
      </c>
      <c r="J272" s="16">
        <f t="shared" si="93"/>
        <v>0</v>
      </c>
      <c r="K272" s="16">
        <f t="shared" si="85"/>
        <v>0</v>
      </c>
      <c r="L272" s="67">
        <f t="shared" si="86"/>
        <v>0</v>
      </c>
      <c r="M272" s="4">
        <f t="shared" si="94"/>
        <v>0</v>
      </c>
      <c r="N272" s="4">
        <f t="shared" si="80"/>
        <v>0</v>
      </c>
      <c r="O272" s="4">
        <f t="shared" si="87"/>
        <v>0</v>
      </c>
      <c r="P272" s="4" t="e">
        <f>VLOOKUP(AJ264,'CIR Team Info'!$C$5:$E$44,2,FALSE)</f>
        <v>#N/A</v>
      </c>
      <c r="Q272" s="4" t="e">
        <f>VLOOKUP(AJ264,'CIR Team Info'!$C$5:$E$44,3,FALSE)</f>
        <v>#N/A</v>
      </c>
      <c r="R272" s="10" t="e">
        <f>VLOOKUP(AJ264,'FRC Site Data'!$B$3:$L$42,2,FALSE)</f>
        <v>#N/A</v>
      </c>
      <c r="S272" s="10" t="e">
        <f>VLOOKUP(AJ264,'FRC Site Data'!$B$3:$L$42,3,FALSE)</f>
        <v>#N/A</v>
      </c>
      <c r="T272" s="10" t="e">
        <f>VLOOKUP(AJ264,'FRC Site Data'!$B$3:$L$42,4,FALSE)</f>
        <v>#N/A</v>
      </c>
      <c r="U272" s="10" t="e">
        <f>VLOOKUP(AJ264,'FRC Site Data'!$B$3:$L$42,5,FALSE)</f>
        <v>#N/A</v>
      </c>
      <c r="V272" s="10" t="e">
        <f>VLOOKUP(AJ264,'FRC Site Data'!$B$3:$L$42,6,FALSE)</f>
        <v>#N/A</v>
      </c>
      <c r="W272" s="10" t="e">
        <f>VLOOKUP(AJ264,'FRC Site Data'!$B$3:$L$42,8,FALSE)</f>
        <v>#N/A</v>
      </c>
      <c r="X272" s="10" t="e">
        <f>VLOOKUP(AJ264,'FRC Site Data'!$B$3:$L$42,9,FALSE)</f>
        <v>#N/A</v>
      </c>
      <c r="Y272" s="10" t="e">
        <f>VLOOKUP(AJ264,'FRC Site Data'!$B$3:$L$42,10,FALSE)</f>
        <v>#N/A</v>
      </c>
      <c r="Z272" s="10" t="e">
        <f>VLOOKUP(AJ264,'FRC Site Data'!$B$3:$L$42,11,FALSE)</f>
        <v>#N/A</v>
      </c>
      <c r="AA272" s="10" t="e">
        <f>VLOOKUP(AJ264,'CIR Team Info'!$C$5:$E$44,4,FALSE)</f>
        <v>#N/A</v>
      </c>
      <c r="AB272" s="161" t="b">
        <f>ISNUMBER(VLOOKUP(AJ264,Match!$T$5:$T$10,1,FALSE))</f>
        <v>0</v>
      </c>
      <c r="AC272" s="161" t="b">
        <f>IF(AB272=TRUE,(VLOOKUP($AJ264,Match!$T$5:$U$10,2,FALSE)))</f>
        <v>0</v>
      </c>
      <c r="AD272" s="8">
        <v>3</v>
      </c>
      <c r="AE272" s="8">
        <v>2</v>
      </c>
      <c r="AF272" s="8">
        <v>2</v>
      </c>
      <c r="AG272" s="8">
        <v>1</v>
      </c>
      <c r="AH272" s="8" t="str">
        <f t="shared" si="95"/>
        <v/>
      </c>
      <c r="AI272" s="12"/>
      <c r="AZ272" s="12"/>
      <c r="BC272" s="12"/>
      <c r="BK272" s="12"/>
    </row>
    <row r="273" spans="1:63" x14ac:dyDescent="0.25">
      <c r="A273" s="29">
        <f t="shared" si="81"/>
        <v>0</v>
      </c>
      <c r="B273" s="29">
        <f t="shared" si="90"/>
        <v>0</v>
      </c>
      <c r="C273" s="29">
        <f t="shared" si="91"/>
        <v>0</v>
      </c>
      <c r="D273" s="29">
        <f t="shared" si="92"/>
        <v>0</v>
      </c>
      <c r="E273" s="29">
        <f t="shared" si="82"/>
        <v>0</v>
      </c>
      <c r="F273" s="29">
        <f t="shared" si="83"/>
        <v>0</v>
      </c>
      <c r="G273" s="29" t="str">
        <f t="shared" si="84"/>
        <v>offensive</v>
      </c>
      <c r="H273" s="16">
        <f t="shared" si="88"/>
        <v>0</v>
      </c>
      <c r="I273" s="16">
        <f t="shared" si="89"/>
        <v>0</v>
      </c>
      <c r="J273" s="16">
        <f t="shared" si="93"/>
        <v>0</v>
      </c>
      <c r="K273" s="16">
        <f t="shared" si="85"/>
        <v>0</v>
      </c>
      <c r="L273" s="67">
        <f t="shared" si="86"/>
        <v>0</v>
      </c>
      <c r="M273" s="4">
        <f t="shared" si="94"/>
        <v>0</v>
      </c>
      <c r="N273" s="4">
        <f t="shared" si="80"/>
        <v>0</v>
      </c>
      <c r="O273" s="4">
        <f t="shared" si="87"/>
        <v>0</v>
      </c>
      <c r="P273" s="4" t="e">
        <f>VLOOKUP(AJ265,'CIR Team Info'!$C$5:$E$44,2,FALSE)</f>
        <v>#N/A</v>
      </c>
      <c r="Q273" s="4" t="e">
        <f>VLOOKUP(AJ265,'CIR Team Info'!$C$5:$E$44,3,FALSE)</f>
        <v>#N/A</v>
      </c>
      <c r="R273" s="10" t="e">
        <f>VLOOKUP(AJ265,'FRC Site Data'!$B$3:$L$42,2,FALSE)</f>
        <v>#N/A</v>
      </c>
      <c r="S273" s="10" t="e">
        <f>VLOOKUP(AJ265,'FRC Site Data'!$B$3:$L$42,3,FALSE)</f>
        <v>#N/A</v>
      </c>
      <c r="T273" s="10" t="e">
        <f>VLOOKUP(AJ265,'FRC Site Data'!$B$3:$L$42,4,FALSE)</f>
        <v>#N/A</v>
      </c>
      <c r="U273" s="10" t="e">
        <f>VLOOKUP(AJ265,'FRC Site Data'!$B$3:$L$42,5,FALSE)</f>
        <v>#N/A</v>
      </c>
      <c r="V273" s="10" t="e">
        <f>VLOOKUP(AJ265,'FRC Site Data'!$B$3:$L$42,6,FALSE)</f>
        <v>#N/A</v>
      </c>
      <c r="W273" s="10" t="e">
        <f>VLOOKUP(AJ265,'FRC Site Data'!$B$3:$L$42,8,FALSE)</f>
        <v>#N/A</v>
      </c>
      <c r="X273" s="10" t="e">
        <f>VLOOKUP(AJ265,'FRC Site Data'!$B$3:$L$42,9,FALSE)</f>
        <v>#N/A</v>
      </c>
      <c r="Y273" s="10" t="e">
        <f>VLOOKUP(AJ265,'FRC Site Data'!$B$3:$L$42,10,FALSE)</f>
        <v>#N/A</v>
      </c>
      <c r="Z273" s="10" t="e">
        <f>VLOOKUP(AJ265,'FRC Site Data'!$B$3:$L$42,11,FALSE)</f>
        <v>#N/A</v>
      </c>
      <c r="AA273" s="10" t="e">
        <f>VLOOKUP(AJ265,'CIR Team Info'!$C$5:$E$44,4,FALSE)</f>
        <v>#N/A</v>
      </c>
      <c r="AB273" s="161" t="b">
        <f>ISNUMBER(VLOOKUP(AJ265,Match!$T$5:$T$10,1,FALSE))</f>
        <v>0</v>
      </c>
      <c r="AC273" s="161" t="b">
        <f>IF(AB273=TRUE,(VLOOKUP($AJ265,Match!$T$5:$U$10,2,FALSE)))</f>
        <v>0</v>
      </c>
      <c r="AD273" s="8">
        <v>3</v>
      </c>
      <c r="AE273" s="8">
        <v>2</v>
      </c>
      <c r="AF273" s="8">
        <v>2</v>
      </c>
      <c r="AG273" s="8">
        <v>1</v>
      </c>
      <c r="AH273" s="8" t="str">
        <f t="shared" si="95"/>
        <v/>
      </c>
      <c r="AI273" s="12"/>
      <c r="AZ273" s="12"/>
      <c r="BC273" s="12"/>
      <c r="BK273" s="12"/>
    </row>
    <row r="274" spans="1:63" x14ac:dyDescent="0.25">
      <c r="A274" s="29">
        <f t="shared" si="81"/>
        <v>0</v>
      </c>
      <c r="B274" s="29">
        <f t="shared" si="90"/>
        <v>0</v>
      </c>
      <c r="C274" s="29">
        <f t="shared" si="91"/>
        <v>0</v>
      </c>
      <c r="D274" s="29">
        <f t="shared" si="92"/>
        <v>0</v>
      </c>
      <c r="E274" s="29">
        <f t="shared" si="82"/>
        <v>0</v>
      </c>
      <c r="F274" s="29">
        <f t="shared" si="83"/>
        <v>0</v>
      </c>
      <c r="G274" s="29" t="str">
        <f t="shared" si="84"/>
        <v>offensive</v>
      </c>
      <c r="H274" s="16">
        <f t="shared" si="88"/>
        <v>0</v>
      </c>
      <c r="I274" s="16">
        <f t="shared" si="89"/>
        <v>0</v>
      </c>
      <c r="J274" s="16">
        <f t="shared" si="93"/>
        <v>0</v>
      </c>
      <c r="K274" s="16">
        <f t="shared" si="85"/>
        <v>0</v>
      </c>
      <c r="L274" s="67">
        <f t="shared" si="86"/>
        <v>0</v>
      </c>
      <c r="M274" s="4">
        <f t="shared" si="94"/>
        <v>0</v>
      </c>
      <c r="N274" s="4">
        <f t="shared" si="80"/>
        <v>0</v>
      </c>
      <c r="O274" s="4">
        <f t="shared" si="87"/>
        <v>0</v>
      </c>
      <c r="P274" s="4" t="e">
        <f>VLOOKUP(AJ266,'CIR Team Info'!$C$5:$E$44,2,FALSE)</f>
        <v>#N/A</v>
      </c>
      <c r="Q274" s="4" t="e">
        <f>VLOOKUP(AJ266,'CIR Team Info'!$C$5:$E$44,3,FALSE)</f>
        <v>#N/A</v>
      </c>
      <c r="R274" s="10" t="e">
        <f>VLOOKUP(AJ266,'FRC Site Data'!$B$3:$L$42,2,FALSE)</f>
        <v>#N/A</v>
      </c>
      <c r="S274" s="10" t="e">
        <f>VLOOKUP(AJ266,'FRC Site Data'!$B$3:$L$42,3,FALSE)</f>
        <v>#N/A</v>
      </c>
      <c r="T274" s="10" t="e">
        <f>VLOOKUP(AJ266,'FRC Site Data'!$B$3:$L$42,4,FALSE)</f>
        <v>#N/A</v>
      </c>
      <c r="U274" s="10" t="e">
        <f>VLOOKUP(AJ266,'FRC Site Data'!$B$3:$L$42,5,FALSE)</f>
        <v>#N/A</v>
      </c>
      <c r="V274" s="10" t="e">
        <f>VLOOKUP(AJ266,'FRC Site Data'!$B$3:$L$42,6,FALSE)</f>
        <v>#N/A</v>
      </c>
      <c r="W274" s="10" t="e">
        <f>VLOOKUP(AJ266,'FRC Site Data'!$B$3:$L$42,8,FALSE)</f>
        <v>#N/A</v>
      </c>
      <c r="X274" s="10" t="e">
        <f>VLOOKUP(AJ266,'FRC Site Data'!$B$3:$L$42,9,FALSE)</f>
        <v>#N/A</v>
      </c>
      <c r="Y274" s="10" t="e">
        <f>VLOOKUP(AJ266,'FRC Site Data'!$B$3:$L$42,10,FALSE)</f>
        <v>#N/A</v>
      </c>
      <c r="Z274" s="10" t="e">
        <f>VLOOKUP(AJ266,'FRC Site Data'!$B$3:$L$42,11,FALSE)</f>
        <v>#N/A</v>
      </c>
      <c r="AA274" s="10" t="e">
        <f>VLOOKUP(AJ266,'CIR Team Info'!$C$5:$E$44,4,FALSE)</f>
        <v>#N/A</v>
      </c>
      <c r="AB274" s="161" t="b">
        <f>ISNUMBER(VLOOKUP(AJ266,Match!$T$5:$T$10,1,FALSE))</f>
        <v>0</v>
      </c>
      <c r="AC274" s="161" t="b">
        <f>IF(AB274=TRUE,(VLOOKUP($AJ266,Match!$T$5:$U$10,2,FALSE)))</f>
        <v>0</v>
      </c>
      <c r="AD274" s="8">
        <v>3</v>
      </c>
      <c r="AE274" s="8">
        <v>2</v>
      </c>
      <c r="AF274" s="8">
        <v>2</v>
      </c>
      <c r="AG274" s="8">
        <v>1</v>
      </c>
      <c r="AH274" s="8" t="str">
        <f t="shared" si="95"/>
        <v/>
      </c>
      <c r="AI274" s="12"/>
      <c r="AZ274" s="12"/>
      <c r="BC274" s="12"/>
      <c r="BK274" s="12"/>
    </row>
    <row r="275" spans="1:63" x14ac:dyDescent="0.25">
      <c r="A275" s="29">
        <f t="shared" si="81"/>
        <v>0</v>
      </c>
      <c r="B275" s="29">
        <f t="shared" si="90"/>
        <v>0</v>
      </c>
      <c r="C275" s="29">
        <f t="shared" si="91"/>
        <v>0</v>
      </c>
      <c r="D275" s="29">
        <f t="shared" si="92"/>
        <v>0</v>
      </c>
      <c r="E275" s="29">
        <f t="shared" si="82"/>
        <v>0</v>
      </c>
      <c r="F275" s="29">
        <f t="shared" si="83"/>
        <v>0</v>
      </c>
      <c r="G275" s="29" t="str">
        <f t="shared" si="84"/>
        <v>offensive</v>
      </c>
      <c r="H275" s="16">
        <f t="shared" si="88"/>
        <v>0</v>
      </c>
      <c r="I275" s="16">
        <f t="shared" si="89"/>
        <v>0</v>
      </c>
      <c r="J275" s="16">
        <f t="shared" si="93"/>
        <v>0</v>
      </c>
      <c r="K275" s="16">
        <f t="shared" si="85"/>
        <v>0</v>
      </c>
      <c r="L275" s="67">
        <f t="shared" si="86"/>
        <v>0</v>
      </c>
      <c r="M275" s="4">
        <f t="shared" si="94"/>
        <v>0</v>
      </c>
      <c r="N275" s="4">
        <f t="shared" si="80"/>
        <v>0</v>
      </c>
      <c r="O275" s="4">
        <f t="shared" si="87"/>
        <v>0</v>
      </c>
      <c r="P275" s="4" t="e">
        <f>VLOOKUP(AJ267,'CIR Team Info'!$C$5:$E$44,2,FALSE)</f>
        <v>#N/A</v>
      </c>
      <c r="Q275" s="4" t="e">
        <f>VLOOKUP(AJ267,'CIR Team Info'!$C$5:$E$44,3,FALSE)</f>
        <v>#N/A</v>
      </c>
      <c r="R275" s="10" t="e">
        <f>VLOOKUP(AJ267,'FRC Site Data'!$B$3:$L$42,2,FALSE)</f>
        <v>#N/A</v>
      </c>
      <c r="S275" s="10" t="e">
        <f>VLOOKUP(AJ267,'FRC Site Data'!$B$3:$L$42,3,FALSE)</f>
        <v>#N/A</v>
      </c>
      <c r="T275" s="10" t="e">
        <f>VLOOKUP(AJ267,'FRC Site Data'!$B$3:$L$42,4,FALSE)</f>
        <v>#N/A</v>
      </c>
      <c r="U275" s="10" t="e">
        <f>VLOOKUP(AJ267,'FRC Site Data'!$B$3:$L$42,5,FALSE)</f>
        <v>#N/A</v>
      </c>
      <c r="V275" s="10" t="e">
        <f>VLOOKUP(AJ267,'FRC Site Data'!$B$3:$L$42,6,FALSE)</f>
        <v>#N/A</v>
      </c>
      <c r="W275" s="10" t="e">
        <f>VLOOKUP(AJ267,'FRC Site Data'!$B$3:$L$42,8,FALSE)</f>
        <v>#N/A</v>
      </c>
      <c r="X275" s="10" t="e">
        <f>VLOOKUP(AJ267,'FRC Site Data'!$B$3:$L$42,9,FALSE)</f>
        <v>#N/A</v>
      </c>
      <c r="Y275" s="10" t="e">
        <f>VLOOKUP(AJ267,'FRC Site Data'!$B$3:$L$42,10,FALSE)</f>
        <v>#N/A</v>
      </c>
      <c r="Z275" s="10" t="e">
        <f>VLOOKUP(AJ267,'FRC Site Data'!$B$3:$L$42,11,FALSE)</f>
        <v>#N/A</v>
      </c>
      <c r="AA275" s="10" t="e">
        <f>VLOOKUP(AJ267,'CIR Team Info'!$C$5:$E$44,4,FALSE)</f>
        <v>#N/A</v>
      </c>
      <c r="AB275" s="161" t="b">
        <f>ISNUMBER(VLOOKUP(AJ267,Match!$T$5:$T$10,1,FALSE))</f>
        <v>0</v>
      </c>
      <c r="AC275" s="161" t="b">
        <f>IF(AB275=TRUE,(VLOOKUP($AJ267,Match!$T$5:$U$10,2,FALSE)))</f>
        <v>0</v>
      </c>
      <c r="AD275" s="8">
        <v>3</v>
      </c>
      <c r="AE275" s="8">
        <v>2</v>
      </c>
      <c r="AF275" s="8">
        <v>2</v>
      </c>
      <c r="AG275" s="8">
        <v>1</v>
      </c>
      <c r="AH275" s="8" t="str">
        <f t="shared" si="95"/>
        <v/>
      </c>
      <c r="AI275" s="12"/>
      <c r="AZ275" s="12"/>
      <c r="BC275" s="12"/>
      <c r="BK275" s="12"/>
    </row>
    <row r="276" spans="1:63" x14ac:dyDescent="0.25">
      <c r="A276" s="29">
        <f t="shared" si="81"/>
        <v>0</v>
      </c>
      <c r="B276" s="29">
        <f t="shared" si="90"/>
        <v>0</v>
      </c>
      <c r="C276" s="29">
        <f t="shared" si="91"/>
        <v>0</v>
      </c>
      <c r="D276" s="29">
        <f t="shared" si="92"/>
        <v>0</v>
      </c>
      <c r="E276" s="29">
        <f t="shared" si="82"/>
        <v>0</v>
      </c>
      <c r="F276" s="29">
        <f t="shared" si="83"/>
        <v>0</v>
      </c>
      <c r="G276" s="29" t="str">
        <f t="shared" si="84"/>
        <v>offensive</v>
      </c>
      <c r="H276" s="16">
        <f t="shared" si="88"/>
        <v>0</v>
      </c>
      <c r="I276" s="16">
        <f t="shared" si="89"/>
        <v>0</v>
      </c>
      <c r="J276" s="16">
        <f t="shared" si="93"/>
        <v>0</v>
      </c>
      <c r="K276" s="16">
        <f t="shared" si="85"/>
        <v>0</v>
      </c>
      <c r="L276" s="67">
        <f t="shared" si="86"/>
        <v>0</v>
      </c>
      <c r="M276" s="4">
        <f t="shared" si="94"/>
        <v>0</v>
      </c>
      <c r="N276" s="4">
        <f t="shared" si="80"/>
        <v>0</v>
      </c>
      <c r="O276" s="4">
        <f t="shared" si="87"/>
        <v>0</v>
      </c>
      <c r="P276" s="4" t="e">
        <f>VLOOKUP(AJ268,'CIR Team Info'!$C$5:$E$44,2,FALSE)</f>
        <v>#N/A</v>
      </c>
      <c r="Q276" s="4" t="e">
        <f>VLOOKUP(AJ268,'CIR Team Info'!$C$5:$E$44,3,FALSE)</f>
        <v>#N/A</v>
      </c>
      <c r="R276" s="10" t="e">
        <f>VLOOKUP(AJ268,'FRC Site Data'!$B$3:$L$42,2,FALSE)</f>
        <v>#N/A</v>
      </c>
      <c r="S276" s="10" t="e">
        <f>VLOOKUP(AJ268,'FRC Site Data'!$B$3:$L$42,3,FALSE)</f>
        <v>#N/A</v>
      </c>
      <c r="T276" s="10" t="e">
        <f>VLOOKUP(AJ268,'FRC Site Data'!$B$3:$L$42,4,FALSE)</f>
        <v>#N/A</v>
      </c>
      <c r="U276" s="10" t="e">
        <f>VLOOKUP(AJ268,'FRC Site Data'!$B$3:$L$42,5,FALSE)</f>
        <v>#N/A</v>
      </c>
      <c r="V276" s="10" t="e">
        <f>VLOOKUP(AJ268,'FRC Site Data'!$B$3:$L$42,6,FALSE)</f>
        <v>#N/A</v>
      </c>
      <c r="W276" s="10" t="e">
        <f>VLOOKUP(AJ268,'FRC Site Data'!$B$3:$L$42,8,FALSE)</f>
        <v>#N/A</v>
      </c>
      <c r="X276" s="10" t="e">
        <f>VLOOKUP(AJ268,'FRC Site Data'!$B$3:$L$42,9,FALSE)</f>
        <v>#N/A</v>
      </c>
      <c r="Y276" s="10" t="e">
        <f>VLOOKUP(AJ268,'FRC Site Data'!$B$3:$L$42,10,FALSE)</f>
        <v>#N/A</v>
      </c>
      <c r="Z276" s="10" t="e">
        <f>VLOOKUP(AJ268,'FRC Site Data'!$B$3:$L$42,11,FALSE)</f>
        <v>#N/A</v>
      </c>
      <c r="AA276" s="10" t="e">
        <f>VLOOKUP(AJ268,'CIR Team Info'!$C$5:$E$44,4,FALSE)</f>
        <v>#N/A</v>
      </c>
      <c r="AB276" s="161" t="b">
        <f>ISNUMBER(VLOOKUP(AJ268,Match!$T$5:$T$10,1,FALSE))</f>
        <v>0</v>
      </c>
      <c r="AC276" s="161" t="b">
        <f>IF(AB276=TRUE,(VLOOKUP($AJ268,Match!$T$5:$U$10,2,FALSE)))</f>
        <v>0</v>
      </c>
      <c r="AD276" s="8">
        <v>3</v>
      </c>
      <c r="AE276" s="8">
        <v>2</v>
      </c>
      <c r="AF276" s="8">
        <v>2</v>
      </c>
      <c r="AG276" s="8">
        <v>1</v>
      </c>
      <c r="AH276" s="8" t="str">
        <f t="shared" si="95"/>
        <v/>
      </c>
      <c r="AI276" s="12"/>
      <c r="AZ276" s="12"/>
      <c r="BC276" s="12"/>
      <c r="BK276" s="12"/>
    </row>
    <row r="277" spans="1:63" x14ac:dyDescent="0.25">
      <c r="A277" s="29">
        <f t="shared" si="81"/>
        <v>0</v>
      </c>
      <c r="B277" s="29">
        <f t="shared" si="90"/>
        <v>0</v>
      </c>
      <c r="C277" s="29">
        <f t="shared" si="91"/>
        <v>0</v>
      </c>
      <c r="D277" s="29">
        <f t="shared" si="92"/>
        <v>0</v>
      </c>
      <c r="E277" s="29">
        <f t="shared" si="82"/>
        <v>0</v>
      </c>
      <c r="F277" s="29">
        <f t="shared" si="83"/>
        <v>0</v>
      </c>
      <c r="G277" s="29" t="str">
        <f t="shared" si="84"/>
        <v>offensive</v>
      </c>
      <c r="H277" s="16">
        <f t="shared" si="88"/>
        <v>0</v>
      </c>
      <c r="I277" s="16">
        <f t="shared" si="89"/>
        <v>0</v>
      </c>
      <c r="J277" s="16">
        <f t="shared" si="93"/>
        <v>0</v>
      </c>
      <c r="K277" s="16">
        <f t="shared" si="85"/>
        <v>0</v>
      </c>
      <c r="L277" s="67">
        <f t="shared" si="86"/>
        <v>0</v>
      </c>
      <c r="M277" s="4">
        <f t="shared" si="94"/>
        <v>0</v>
      </c>
      <c r="N277" s="4">
        <f t="shared" si="80"/>
        <v>0</v>
      </c>
      <c r="O277" s="4">
        <f t="shared" si="87"/>
        <v>0</v>
      </c>
      <c r="P277" s="4" t="e">
        <f>VLOOKUP(AJ269,'CIR Team Info'!$C$5:$E$44,2,FALSE)</f>
        <v>#N/A</v>
      </c>
      <c r="Q277" s="4" t="e">
        <f>VLOOKUP(AJ269,'CIR Team Info'!$C$5:$E$44,3,FALSE)</f>
        <v>#N/A</v>
      </c>
      <c r="R277" s="10" t="e">
        <f>VLOOKUP(AJ269,'FRC Site Data'!$B$3:$L$42,2,FALSE)</f>
        <v>#N/A</v>
      </c>
      <c r="S277" s="10" t="e">
        <f>VLOOKUP(AJ269,'FRC Site Data'!$B$3:$L$42,3,FALSE)</f>
        <v>#N/A</v>
      </c>
      <c r="T277" s="10" t="e">
        <f>VLOOKUP(AJ269,'FRC Site Data'!$B$3:$L$42,4,FALSE)</f>
        <v>#N/A</v>
      </c>
      <c r="U277" s="10" t="e">
        <f>VLOOKUP(AJ269,'FRC Site Data'!$B$3:$L$42,5,FALSE)</f>
        <v>#N/A</v>
      </c>
      <c r="V277" s="10" t="e">
        <f>VLOOKUP(AJ269,'FRC Site Data'!$B$3:$L$42,6,FALSE)</f>
        <v>#N/A</v>
      </c>
      <c r="W277" s="10" t="e">
        <f>VLOOKUP(AJ269,'FRC Site Data'!$B$3:$L$42,8,FALSE)</f>
        <v>#N/A</v>
      </c>
      <c r="X277" s="10" t="e">
        <f>VLOOKUP(AJ269,'FRC Site Data'!$B$3:$L$42,9,FALSE)</f>
        <v>#N/A</v>
      </c>
      <c r="Y277" s="10" t="e">
        <f>VLOOKUP(AJ269,'FRC Site Data'!$B$3:$L$42,10,FALSE)</f>
        <v>#N/A</v>
      </c>
      <c r="Z277" s="10" t="e">
        <f>VLOOKUP(AJ269,'FRC Site Data'!$B$3:$L$42,11,FALSE)</f>
        <v>#N/A</v>
      </c>
      <c r="AA277" s="10" t="e">
        <f>VLOOKUP(AJ269,'CIR Team Info'!$C$5:$E$44,4,FALSE)</f>
        <v>#N/A</v>
      </c>
      <c r="AB277" s="161" t="b">
        <f>ISNUMBER(VLOOKUP(AJ269,Match!$T$5:$T$10,1,FALSE))</f>
        <v>0</v>
      </c>
      <c r="AC277" s="161" t="b">
        <f>IF(AB277=TRUE,(VLOOKUP($AJ269,Match!$T$5:$U$10,2,FALSE)))</f>
        <v>0</v>
      </c>
      <c r="AD277" s="8">
        <v>3</v>
      </c>
      <c r="AE277" s="8">
        <v>2</v>
      </c>
      <c r="AF277" s="8">
        <v>2</v>
      </c>
      <c r="AG277" s="8">
        <v>1</v>
      </c>
      <c r="AH277" s="8" t="str">
        <f t="shared" si="95"/>
        <v/>
      </c>
      <c r="AI277" s="12"/>
      <c r="AZ277" s="12"/>
      <c r="BC277" s="12"/>
      <c r="BK277" s="12"/>
    </row>
    <row r="278" spans="1:63" x14ac:dyDescent="0.25">
      <c r="A278" s="29">
        <f t="shared" si="81"/>
        <v>0</v>
      </c>
      <c r="B278" s="29">
        <f t="shared" si="90"/>
        <v>0</v>
      </c>
      <c r="C278" s="29">
        <f t="shared" si="91"/>
        <v>0</v>
      </c>
      <c r="D278" s="29">
        <f t="shared" si="92"/>
        <v>0</v>
      </c>
      <c r="E278" s="29">
        <f t="shared" si="82"/>
        <v>0</v>
      </c>
      <c r="F278" s="29">
        <f t="shared" si="83"/>
        <v>0</v>
      </c>
      <c r="G278" s="29" t="str">
        <f t="shared" si="84"/>
        <v>offensive</v>
      </c>
      <c r="H278" s="16">
        <f t="shared" si="88"/>
        <v>0</v>
      </c>
      <c r="I278" s="16">
        <f t="shared" si="89"/>
        <v>0</v>
      </c>
      <c r="J278" s="16">
        <f t="shared" si="93"/>
        <v>0</v>
      </c>
      <c r="K278" s="16">
        <f t="shared" si="85"/>
        <v>0</v>
      </c>
      <c r="L278" s="67">
        <f t="shared" si="86"/>
        <v>0</v>
      </c>
      <c r="M278" s="4">
        <f t="shared" si="94"/>
        <v>0</v>
      </c>
      <c r="N278" s="4">
        <f t="shared" si="80"/>
        <v>0</v>
      </c>
      <c r="O278" s="4">
        <f t="shared" si="87"/>
        <v>0</v>
      </c>
      <c r="P278" s="4" t="e">
        <f>VLOOKUP(AJ270,'CIR Team Info'!$C$5:$E$44,2,FALSE)</f>
        <v>#N/A</v>
      </c>
      <c r="Q278" s="4" t="e">
        <f>VLOOKUP(AJ270,'CIR Team Info'!$C$5:$E$44,3,FALSE)</f>
        <v>#N/A</v>
      </c>
      <c r="R278" s="10" t="e">
        <f>VLOOKUP(AJ270,'FRC Site Data'!$B$3:$L$42,2,FALSE)</f>
        <v>#N/A</v>
      </c>
      <c r="S278" s="10" t="e">
        <f>VLOOKUP(AJ270,'FRC Site Data'!$B$3:$L$42,3,FALSE)</f>
        <v>#N/A</v>
      </c>
      <c r="T278" s="10" t="e">
        <f>VLOOKUP(AJ270,'FRC Site Data'!$B$3:$L$42,4,FALSE)</f>
        <v>#N/A</v>
      </c>
      <c r="U278" s="10" t="e">
        <f>VLOOKUP(AJ270,'FRC Site Data'!$B$3:$L$42,5,FALSE)</f>
        <v>#N/A</v>
      </c>
      <c r="V278" s="10" t="e">
        <f>VLOOKUP(AJ270,'FRC Site Data'!$B$3:$L$42,6,FALSE)</f>
        <v>#N/A</v>
      </c>
      <c r="W278" s="10" t="e">
        <f>VLOOKUP(AJ270,'FRC Site Data'!$B$3:$L$42,8,FALSE)</f>
        <v>#N/A</v>
      </c>
      <c r="X278" s="10" t="e">
        <f>VLOOKUP(AJ270,'FRC Site Data'!$B$3:$L$42,9,FALSE)</f>
        <v>#N/A</v>
      </c>
      <c r="Y278" s="10" t="e">
        <f>VLOOKUP(AJ270,'FRC Site Data'!$B$3:$L$42,10,FALSE)</f>
        <v>#N/A</v>
      </c>
      <c r="Z278" s="10" t="e">
        <f>VLOOKUP(AJ270,'FRC Site Data'!$B$3:$L$42,11,FALSE)</f>
        <v>#N/A</v>
      </c>
      <c r="AA278" s="10" t="e">
        <f>VLOOKUP(AJ270,'CIR Team Info'!$C$5:$E$44,4,FALSE)</f>
        <v>#N/A</v>
      </c>
      <c r="AB278" s="161" t="b">
        <f>ISNUMBER(VLOOKUP(AJ270,Match!$T$5:$T$10,1,FALSE))</f>
        <v>0</v>
      </c>
      <c r="AC278" s="161" t="b">
        <f>IF(AB278=TRUE,(VLOOKUP($AJ270,Match!$T$5:$U$10,2,FALSE)))</f>
        <v>0</v>
      </c>
      <c r="AD278" s="8">
        <v>3</v>
      </c>
      <c r="AE278" s="8">
        <v>2</v>
      </c>
      <c r="AF278" s="8">
        <v>2</v>
      </c>
      <c r="AG278" s="8">
        <v>1</v>
      </c>
      <c r="AH278" s="8" t="str">
        <f t="shared" si="95"/>
        <v/>
      </c>
      <c r="AI278" s="12"/>
      <c r="AZ278" s="12"/>
      <c r="BC278" s="12"/>
      <c r="BK278" s="12"/>
    </row>
    <row r="279" spans="1:63" x14ac:dyDescent="0.25">
      <c r="A279" s="29">
        <f t="shared" si="81"/>
        <v>0</v>
      </c>
      <c r="B279" s="29">
        <f t="shared" si="90"/>
        <v>0</v>
      </c>
      <c r="C279" s="29">
        <f t="shared" si="91"/>
        <v>0</v>
      </c>
      <c r="D279" s="29">
        <f t="shared" si="92"/>
        <v>0</v>
      </c>
      <c r="E279" s="29">
        <f t="shared" si="82"/>
        <v>0</v>
      </c>
      <c r="F279" s="29">
        <f t="shared" si="83"/>
        <v>0</v>
      </c>
      <c r="G279" s="29" t="str">
        <f t="shared" si="84"/>
        <v>offensive</v>
      </c>
      <c r="H279" s="16">
        <f t="shared" si="88"/>
        <v>0</v>
      </c>
      <c r="I279" s="16">
        <f t="shared" si="89"/>
        <v>0</v>
      </c>
      <c r="J279" s="16">
        <f t="shared" si="93"/>
        <v>0</v>
      </c>
      <c r="K279" s="16">
        <f t="shared" si="85"/>
        <v>0</v>
      </c>
      <c r="L279" s="67">
        <f t="shared" si="86"/>
        <v>0</v>
      </c>
      <c r="M279" s="4">
        <f t="shared" si="94"/>
        <v>0</v>
      </c>
      <c r="N279" s="4">
        <f t="shared" si="80"/>
        <v>0</v>
      </c>
      <c r="O279" s="4">
        <f t="shared" si="87"/>
        <v>0</v>
      </c>
      <c r="P279" s="4" t="e">
        <f>VLOOKUP(AJ271,'CIR Team Info'!$C$5:$E$44,2,FALSE)</f>
        <v>#N/A</v>
      </c>
      <c r="Q279" s="4" t="e">
        <f>VLOOKUP(AJ271,'CIR Team Info'!$C$5:$E$44,3,FALSE)</f>
        <v>#N/A</v>
      </c>
      <c r="R279" s="10" t="e">
        <f>VLOOKUP(AJ271,'FRC Site Data'!$B$3:$L$42,2,FALSE)</f>
        <v>#N/A</v>
      </c>
      <c r="S279" s="10" t="e">
        <f>VLOOKUP(AJ271,'FRC Site Data'!$B$3:$L$42,3,FALSE)</f>
        <v>#N/A</v>
      </c>
      <c r="T279" s="10" t="e">
        <f>VLOOKUP(AJ271,'FRC Site Data'!$B$3:$L$42,4,FALSE)</f>
        <v>#N/A</v>
      </c>
      <c r="U279" s="10" t="e">
        <f>VLOOKUP(AJ271,'FRC Site Data'!$B$3:$L$42,5,FALSE)</f>
        <v>#N/A</v>
      </c>
      <c r="V279" s="10" t="e">
        <f>VLOOKUP(AJ271,'FRC Site Data'!$B$3:$L$42,6,FALSE)</f>
        <v>#N/A</v>
      </c>
      <c r="W279" s="10" t="e">
        <f>VLOOKUP(AJ271,'FRC Site Data'!$B$3:$L$42,8,FALSE)</f>
        <v>#N/A</v>
      </c>
      <c r="X279" s="10" t="e">
        <f>VLOOKUP(AJ271,'FRC Site Data'!$B$3:$L$42,9,FALSE)</f>
        <v>#N/A</v>
      </c>
      <c r="Y279" s="10" t="e">
        <f>VLOOKUP(AJ271,'FRC Site Data'!$B$3:$L$42,10,FALSE)</f>
        <v>#N/A</v>
      </c>
      <c r="Z279" s="10" t="e">
        <f>VLOOKUP(AJ271,'FRC Site Data'!$B$3:$L$42,11,FALSE)</f>
        <v>#N/A</v>
      </c>
      <c r="AA279" s="10" t="e">
        <f>VLOOKUP(AJ271,'CIR Team Info'!$C$5:$E$44,4,FALSE)</f>
        <v>#N/A</v>
      </c>
      <c r="AB279" s="161" t="b">
        <f>ISNUMBER(VLOOKUP(AJ271,Match!$T$5:$T$10,1,FALSE))</f>
        <v>0</v>
      </c>
      <c r="AC279" s="161" t="b">
        <f>IF(AB279=TRUE,(VLOOKUP($AJ271,Match!$T$5:$U$10,2,FALSE)))</f>
        <v>0</v>
      </c>
      <c r="AD279" s="8">
        <v>3</v>
      </c>
      <c r="AE279" s="8">
        <v>2</v>
      </c>
      <c r="AF279" s="8">
        <v>2</v>
      </c>
      <c r="AG279" s="8">
        <v>1</v>
      </c>
      <c r="AH279" s="8" t="str">
        <f t="shared" si="95"/>
        <v/>
      </c>
      <c r="AI279" s="12"/>
      <c r="AZ279" s="12"/>
      <c r="BC279" s="12"/>
      <c r="BK279" s="12"/>
    </row>
    <row r="280" spans="1:63" x14ac:dyDescent="0.25">
      <c r="A280" s="29">
        <f t="shared" si="81"/>
        <v>0</v>
      </c>
      <c r="B280" s="29">
        <f t="shared" si="90"/>
        <v>0</v>
      </c>
      <c r="C280" s="29">
        <f t="shared" si="91"/>
        <v>0</v>
      </c>
      <c r="D280" s="29">
        <f t="shared" si="92"/>
        <v>0</v>
      </c>
      <c r="E280" s="29">
        <f t="shared" si="82"/>
        <v>0</v>
      </c>
      <c r="F280" s="29">
        <f t="shared" si="83"/>
        <v>0</v>
      </c>
      <c r="G280" s="29" t="str">
        <f t="shared" si="84"/>
        <v>offensive</v>
      </c>
      <c r="H280" s="16">
        <f t="shared" si="88"/>
        <v>0</v>
      </c>
      <c r="I280" s="16">
        <f t="shared" si="89"/>
        <v>0</v>
      </c>
      <c r="J280" s="16">
        <f t="shared" si="93"/>
        <v>0</v>
      </c>
      <c r="K280" s="16">
        <f t="shared" si="85"/>
        <v>0</v>
      </c>
      <c r="L280" s="67">
        <f t="shared" si="86"/>
        <v>0</v>
      </c>
      <c r="M280" s="4">
        <f t="shared" si="94"/>
        <v>0</v>
      </c>
      <c r="N280" s="4">
        <f t="shared" si="80"/>
        <v>0</v>
      </c>
      <c r="O280" s="4">
        <f t="shared" si="87"/>
        <v>0</v>
      </c>
      <c r="P280" s="4" t="e">
        <f>VLOOKUP(AJ272,'CIR Team Info'!$C$5:$E$44,2,FALSE)</f>
        <v>#N/A</v>
      </c>
      <c r="Q280" s="4" t="e">
        <f>VLOOKUP(AJ272,'CIR Team Info'!$C$5:$E$44,3,FALSE)</f>
        <v>#N/A</v>
      </c>
      <c r="R280" s="10" t="e">
        <f>VLOOKUP(AJ272,'FRC Site Data'!$B$3:$L$42,2,FALSE)</f>
        <v>#N/A</v>
      </c>
      <c r="S280" s="10" t="e">
        <f>VLOOKUP(AJ272,'FRC Site Data'!$B$3:$L$42,3,FALSE)</f>
        <v>#N/A</v>
      </c>
      <c r="T280" s="10" t="e">
        <f>VLOOKUP(AJ272,'FRC Site Data'!$B$3:$L$42,4,FALSE)</f>
        <v>#N/A</v>
      </c>
      <c r="U280" s="10" t="e">
        <f>VLOOKUP(AJ272,'FRC Site Data'!$B$3:$L$42,5,FALSE)</f>
        <v>#N/A</v>
      </c>
      <c r="V280" s="10" t="e">
        <f>VLOOKUP(AJ272,'FRC Site Data'!$B$3:$L$42,6,FALSE)</f>
        <v>#N/A</v>
      </c>
      <c r="W280" s="10" t="e">
        <f>VLOOKUP(AJ272,'FRC Site Data'!$B$3:$L$42,8,FALSE)</f>
        <v>#N/A</v>
      </c>
      <c r="X280" s="10" t="e">
        <f>VLOOKUP(AJ272,'FRC Site Data'!$B$3:$L$42,9,FALSE)</f>
        <v>#N/A</v>
      </c>
      <c r="Y280" s="10" t="e">
        <f>VLOOKUP(AJ272,'FRC Site Data'!$B$3:$L$42,10,FALSE)</f>
        <v>#N/A</v>
      </c>
      <c r="Z280" s="10" t="e">
        <f>VLOOKUP(AJ272,'FRC Site Data'!$B$3:$L$42,11,FALSE)</f>
        <v>#N/A</v>
      </c>
      <c r="AA280" s="10" t="e">
        <f>VLOOKUP(AJ272,'CIR Team Info'!$C$5:$E$44,4,FALSE)</f>
        <v>#N/A</v>
      </c>
      <c r="AB280" s="161" t="b">
        <f>ISNUMBER(VLOOKUP(AJ272,Match!$T$5:$T$10,1,FALSE))</f>
        <v>0</v>
      </c>
      <c r="AC280" s="161" t="b">
        <f>IF(AB280=TRUE,(VLOOKUP($AJ272,Match!$T$5:$U$10,2,FALSE)))</f>
        <v>0</v>
      </c>
      <c r="AD280" s="8">
        <v>3</v>
      </c>
      <c r="AE280" s="8">
        <v>2</v>
      </c>
      <c r="AF280" s="8">
        <v>2</v>
      </c>
      <c r="AG280" s="8">
        <v>1</v>
      </c>
      <c r="AH280" s="8" t="str">
        <f t="shared" si="95"/>
        <v/>
      </c>
      <c r="AI280" s="12"/>
      <c r="AZ280" s="12"/>
      <c r="BC280" s="12"/>
      <c r="BK280" s="12"/>
    </row>
    <row r="281" spans="1:63" x14ac:dyDescent="0.25">
      <c r="A281" s="29">
        <f t="shared" si="81"/>
        <v>0</v>
      </c>
      <c r="B281" s="29">
        <f t="shared" si="90"/>
        <v>0</v>
      </c>
      <c r="C281" s="29">
        <f t="shared" si="91"/>
        <v>0</v>
      </c>
      <c r="D281" s="29">
        <f t="shared" si="92"/>
        <v>0</v>
      </c>
      <c r="E281" s="29">
        <f t="shared" si="82"/>
        <v>0</v>
      </c>
      <c r="F281" s="29">
        <f t="shared" si="83"/>
        <v>0</v>
      </c>
      <c r="G281" s="29" t="str">
        <f t="shared" si="84"/>
        <v>offensive</v>
      </c>
      <c r="H281" s="16">
        <f t="shared" si="88"/>
        <v>0</v>
      </c>
      <c r="I281" s="16">
        <f t="shared" si="89"/>
        <v>0</v>
      </c>
      <c r="J281" s="16">
        <f t="shared" si="93"/>
        <v>0</v>
      </c>
      <c r="K281" s="16">
        <f t="shared" si="85"/>
        <v>0</v>
      </c>
      <c r="L281" s="67">
        <f t="shared" si="86"/>
        <v>0</v>
      </c>
      <c r="M281" s="4">
        <f t="shared" si="94"/>
        <v>0</v>
      </c>
      <c r="N281" s="4">
        <f t="shared" si="80"/>
        <v>0</v>
      </c>
      <c r="O281" s="4">
        <f t="shared" si="87"/>
        <v>0</v>
      </c>
      <c r="P281" s="4" t="e">
        <f>VLOOKUP(AJ273,'CIR Team Info'!$C$5:$E$44,2,FALSE)</f>
        <v>#N/A</v>
      </c>
      <c r="Q281" s="4" t="e">
        <f>VLOOKUP(AJ273,'CIR Team Info'!$C$5:$E$44,3,FALSE)</f>
        <v>#N/A</v>
      </c>
      <c r="R281" s="10" t="e">
        <f>VLOOKUP(AJ273,'FRC Site Data'!$B$3:$L$42,2,FALSE)</f>
        <v>#N/A</v>
      </c>
      <c r="S281" s="10" t="e">
        <f>VLOOKUP(AJ273,'FRC Site Data'!$B$3:$L$42,3,FALSE)</f>
        <v>#N/A</v>
      </c>
      <c r="T281" s="10" t="e">
        <f>VLOOKUP(AJ273,'FRC Site Data'!$B$3:$L$42,4,FALSE)</f>
        <v>#N/A</v>
      </c>
      <c r="U281" s="10" t="e">
        <f>VLOOKUP(AJ273,'FRC Site Data'!$B$3:$L$42,5,FALSE)</f>
        <v>#N/A</v>
      </c>
      <c r="V281" s="10" t="e">
        <f>VLOOKUP(AJ273,'FRC Site Data'!$B$3:$L$42,6,FALSE)</f>
        <v>#N/A</v>
      </c>
      <c r="W281" s="10" t="e">
        <f>VLOOKUP(AJ273,'FRC Site Data'!$B$3:$L$42,8,FALSE)</f>
        <v>#N/A</v>
      </c>
      <c r="X281" s="10" t="e">
        <f>VLOOKUP(AJ273,'FRC Site Data'!$B$3:$L$42,9,FALSE)</f>
        <v>#N/A</v>
      </c>
      <c r="Y281" s="10" t="e">
        <f>VLOOKUP(AJ273,'FRC Site Data'!$B$3:$L$42,10,FALSE)</f>
        <v>#N/A</v>
      </c>
      <c r="Z281" s="10" t="e">
        <f>VLOOKUP(AJ273,'FRC Site Data'!$B$3:$L$42,11,FALSE)</f>
        <v>#N/A</v>
      </c>
      <c r="AA281" s="10" t="e">
        <f>VLOOKUP(AJ273,'CIR Team Info'!$C$5:$E$44,4,FALSE)</f>
        <v>#N/A</v>
      </c>
      <c r="AB281" s="161" t="b">
        <f>ISNUMBER(VLOOKUP(AJ273,Match!$T$5:$T$10,1,FALSE))</f>
        <v>0</v>
      </c>
      <c r="AC281" s="161" t="b">
        <f>IF(AB281=TRUE,(VLOOKUP($AJ273,Match!$T$5:$U$10,2,FALSE)))</f>
        <v>0</v>
      </c>
      <c r="AD281" s="8">
        <v>3</v>
      </c>
      <c r="AE281" s="8">
        <v>2</v>
      </c>
      <c r="AF281" s="8">
        <v>2</v>
      </c>
      <c r="AG281" s="8">
        <v>1</v>
      </c>
      <c r="AH281" s="8" t="str">
        <f t="shared" si="95"/>
        <v/>
      </c>
      <c r="AI281" s="12"/>
      <c r="AZ281" s="12"/>
      <c r="BC281" s="12"/>
      <c r="BK281" s="12"/>
    </row>
    <row r="282" spans="1:63" x14ac:dyDescent="0.25">
      <c r="A282" s="29">
        <f t="shared" si="81"/>
        <v>0</v>
      </c>
      <c r="B282" s="29">
        <f t="shared" si="90"/>
        <v>0</v>
      </c>
      <c r="C282" s="29">
        <f t="shared" si="91"/>
        <v>0</v>
      </c>
      <c r="D282" s="29">
        <f t="shared" si="92"/>
        <v>0</v>
      </c>
      <c r="E282" s="29">
        <f t="shared" si="82"/>
        <v>0</v>
      </c>
      <c r="F282" s="29">
        <f t="shared" si="83"/>
        <v>0</v>
      </c>
      <c r="G282" s="29" t="str">
        <f t="shared" si="84"/>
        <v>offensive</v>
      </c>
      <c r="H282" s="16">
        <f t="shared" si="88"/>
        <v>0</v>
      </c>
      <c r="I282" s="16">
        <f t="shared" si="89"/>
        <v>0</v>
      </c>
      <c r="J282" s="16">
        <f t="shared" si="93"/>
        <v>0</v>
      </c>
      <c r="K282" s="16">
        <f t="shared" si="85"/>
        <v>0</v>
      </c>
      <c r="L282" s="67">
        <f t="shared" si="86"/>
        <v>0</v>
      </c>
      <c r="M282" s="4">
        <f t="shared" si="94"/>
        <v>0</v>
      </c>
      <c r="N282" s="4">
        <f t="shared" si="80"/>
        <v>0</v>
      </c>
      <c r="O282" s="4">
        <f t="shared" si="87"/>
        <v>0</v>
      </c>
      <c r="P282" s="4" t="e">
        <f>VLOOKUP(AJ274,'CIR Team Info'!$C$5:$E$44,2,FALSE)</f>
        <v>#N/A</v>
      </c>
      <c r="Q282" s="4" t="e">
        <f>VLOOKUP(AJ274,'CIR Team Info'!$C$5:$E$44,3,FALSE)</f>
        <v>#N/A</v>
      </c>
      <c r="R282" s="10" t="e">
        <f>VLOOKUP(AJ274,'FRC Site Data'!$B$3:$L$42,2,FALSE)</f>
        <v>#N/A</v>
      </c>
      <c r="S282" s="10" t="e">
        <f>VLOOKUP(AJ274,'FRC Site Data'!$B$3:$L$42,3,FALSE)</f>
        <v>#N/A</v>
      </c>
      <c r="T282" s="10" t="e">
        <f>VLOOKUP(AJ274,'FRC Site Data'!$B$3:$L$42,4,FALSE)</f>
        <v>#N/A</v>
      </c>
      <c r="U282" s="10" t="e">
        <f>VLOOKUP(AJ274,'FRC Site Data'!$B$3:$L$42,5,FALSE)</f>
        <v>#N/A</v>
      </c>
      <c r="V282" s="10" t="e">
        <f>VLOOKUP(AJ274,'FRC Site Data'!$B$3:$L$42,6,FALSE)</f>
        <v>#N/A</v>
      </c>
      <c r="W282" s="10" t="e">
        <f>VLOOKUP(AJ274,'FRC Site Data'!$B$3:$L$42,8,FALSE)</f>
        <v>#N/A</v>
      </c>
      <c r="X282" s="10" t="e">
        <f>VLOOKUP(AJ274,'FRC Site Data'!$B$3:$L$42,9,FALSE)</f>
        <v>#N/A</v>
      </c>
      <c r="Y282" s="10" t="e">
        <f>VLOOKUP(AJ274,'FRC Site Data'!$B$3:$L$42,10,FALSE)</f>
        <v>#N/A</v>
      </c>
      <c r="Z282" s="10" t="e">
        <f>VLOOKUP(AJ274,'FRC Site Data'!$B$3:$L$42,11,FALSE)</f>
        <v>#N/A</v>
      </c>
      <c r="AA282" s="10" t="e">
        <f>VLOOKUP(AJ274,'CIR Team Info'!$C$5:$E$44,4,FALSE)</f>
        <v>#N/A</v>
      </c>
      <c r="AB282" s="161" t="b">
        <f>ISNUMBER(VLOOKUP(AJ274,Match!$T$5:$T$10,1,FALSE))</f>
        <v>0</v>
      </c>
      <c r="AC282" s="161" t="b">
        <f>IF(AB282=TRUE,(VLOOKUP($AJ274,Match!$T$5:$U$10,2,FALSE)))</f>
        <v>0</v>
      </c>
      <c r="AD282" s="8">
        <v>3</v>
      </c>
      <c r="AE282" s="8">
        <v>2</v>
      </c>
      <c r="AF282" s="8">
        <v>2</v>
      </c>
      <c r="AG282" s="8">
        <v>1</v>
      </c>
      <c r="AH282" s="8" t="str">
        <f t="shared" si="95"/>
        <v/>
      </c>
      <c r="AI282" s="12"/>
      <c r="AZ282" s="12"/>
      <c r="BC282" s="12"/>
      <c r="BK282" s="12"/>
    </row>
    <row r="283" spans="1:63" x14ac:dyDescent="0.25">
      <c r="A283" s="29">
        <f t="shared" si="81"/>
        <v>0</v>
      </c>
      <c r="B283" s="29">
        <f t="shared" si="90"/>
        <v>0</v>
      </c>
      <c r="C283" s="29">
        <f t="shared" si="91"/>
        <v>0</v>
      </c>
      <c r="D283" s="29">
        <f t="shared" si="92"/>
        <v>0</v>
      </c>
      <c r="E283" s="29">
        <f t="shared" si="82"/>
        <v>0</v>
      </c>
      <c r="F283" s="29">
        <f t="shared" si="83"/>
        <v>0</v>
      </c>
      <c r="G283" s="29" t="str">
        <f t="shared" si="84"/>
        <v>offensive</v>
      </c>
      <c r="H283" s="16">
        <f t="shared" si="88"/>
        <v>0</v>
      </c>
      <c r="I283" s="16">
        <f t="shared" si="89"/>
        <v>0</v>
      </c>
      <c r="J283" s="16">
        <f t="shared" si="93"/>
        <v>0</v>
      </c>
      <c r="K283" s="16">
        <f t="shared" si="85"/>
        <v>0</v>
      </c>
      <c r="L283" s="67">
        <f t="shared" si="86"/>
        <v>0</v>
      </c>
      <c r="M283" s="4">
        <f t="shared" si="94"/>
        <v>0</v>
      </c>
      <c r="N283" s="4">
        <f t="shared" si="80"/>
        <v>0</v>
      </c>
      <c r="O283" s="4">
        <f t="shared" si="87"/>
        <v>0</v>
      </c>
      <c r="P283" s="4" t="e">
        <f>VLOOKUP(AJ275,'CIR Team Info'!$C$5:$E$44,2,FALSE)</f>
        <v>#N/A</v>
      </c>
      <c r="Q283" s="4" t="e">
        <f>VLOOKUP(AJ275,'CIR Team Info'!$C$5:$E$44,3,FALSE)</f>
        <v>#N/A</v>
      </c>
      <c r="R283" s="10" t="e">
        <f>VLOOKUP(AJ275,'FRC Site Data'!$B$3:$L$42,2,FALSE)</f>
        <v>#N/A</v>
      </c>
      <c r="S283" s="10" t="e">
        <f>VLOOKUP(AJ275,'FRC Site Data'!$B$3:$L$42,3,FALSE)</f>
        <v>#N/A</v>
      </c>
      <c r="T283" s="10" t="e">
        <f>VLOOKUP(AJ275,'FRC Site Data'!$B$3:$L$42,4,FALSE)</f>
        <v>#N/A</v>
      </c>
      <c r="U283" s="10" t="e">
        <f>VLOOKUP(AJ275,'FRC Site Data'!$B$3:$L$42,5,FALSE)</f>
        <v>#N/A</v>
      </c>
      <c r="V283" s="10" t="e">
        <f>VLOOKUP(AJ275,'FRC Site Data'!$B$3:$L$42,6,FALSE)</f>
        <v>#N/A</v>
      </c>
      <c r="W283" s="10" t="e">
        <f>VLOOKUP(AJ275,'FRC Site Data'!$B$3:$L$42,8,FALSE)</f>
        <v>#N/A</v>
      </c>
      <c r="X283" s="10" t="e">
        <f>VLOOKUP(AJ275,'FRC Site Data'!$B$3:$L$42,9,FALSE)</f>
        <v>#N/A</v>
      </c>
      <c r="Y283" s="10" t="e">
        <f>VLOOKUP(AJ275,'FRC Site Data'!$B$3:$L$42,10,FALSE)</f>
        <v>#N/A</v>
      </c>
      <c r="Z283" s="10" t="e">
        <f>VLOOKUP(AJ275,'FRC Site Data'!$B$3:$L$42,11,FALSE)</f>
        <v>#N/A</v>
      </c>
      <c r="AA283" s="10" t="e">
        <f>VLOOKUP(AJ275,'CIR Team Info'!$C$5:$E$44,4,FALSE)</f>
        <v>#N/A</v>
      </c>
      <c r="AB283" s="161" t="b">
        <f>ISNUMBER(VLOOKUP(AJ275,Match!$T$5:$T$10,1,FALSE))</f>
        <v>0</v>
      </c>
      <c r="AC283" s="161" t="b">
        <f>IF(AB283=TRUE,(VLOOKUP($AJ275,Match!$T$5:$U$10,2,FALSE)))</f>
        <v>0</v>
      </c>
      <c r="AD283" s="8">
        <v>3</v>
      </c>
      <c r="AE283" s="8">
        <v>2</v>
      </c>
      <c r="AF283" s="8">
        <v>2</v>
      </c>
      <c r="AG283" s="8">
        <v>1</v>
      </c>
      <c r="AH283" s="8" t="str">
        <f t="shared" si="95"/>
        <v/>
      </c>
      <c r="AI283" s="12"/>
      <c r="AZ283" s="12"/>
      <c r="BC283" s="12"/>
      <c r="BK283" s="12"/>
    </row>
    <row r="284" spans="1:63" x14ac:dyDescent="0.25">
      <c r="A284" s="29">
        <f t="shared" si="81"/>
        <v>0</v>
      </c>
      <c r="B284" s="29">
        <f t="shared" si="90"/>
        <v>0</v>
      </c>
      <c r="C284" s="29">
        <f t="shared" si="91"/>
        <v>0</v>
      </c>
      <c r="D284" s="29">
        <f t="shared" si="92"/>
        <v>0</v>
      </c>
      <c r="E284" s="29">
        <f t="shared" si="82"/>
        <v>0</v>
      </c>
      <c r="F284" s="29">
        <f t="shared" si="83"/>
        <v>0</v>
      </c>
      <c r="G284" s="29" t="str">
        <f t="shared" si="84"/>
        <v>offensive</v>
      </c>
      <c r="H284" s="16">
        <f t="shared" si="88"/>
        <v>0</v>
      </c>
      <c r="I284" s="16">
        <f t="shared" si="89"/>
        <v>0</v>
      </c>
      <c r="J284" s="16">
        <f t="shared" si="93"/>
        <v>0</v>
      </c>
      <c r="K284" s="16">
        <f t="shared" si="85"/>
        <v>0</v>
      </c>
      <c r="L284" s="67">
        <f t="shared" si="86"/>
        <v>0</v>
      </c>
      <c r="M284" s="4">
        <f t="shared" si="94"/>
        <v>0</v>
      </c>
      <c r="N284" s="4">
        <f t="shared" si="80"/>
        <v>0</v>
      </c>
      <c r="O284" s="4">
        <f t="shared" si="87"/>
        <v>0</v>
      </c>
      <c r="P284" s="4" t="e">
        <f>VLOOKUP(AJ276,'CIR Team Info'!$C$5:$E$44,2,FALSE)</f>
        <v>#N/A</v>
      </c>
      <c r="Q284" s="4" t="e">
        <f>VLOOKUP(AJ276,'CIR Team Info'!$C$5:$E$44,3,FALSE)</f>
        <v>#N/A</v>
      </c>
      <c r="R284" s="10" t="e">
        <f>VLOOKUP(AJ276,'FRC Site Data'!$B$3:$L$42,2,FALSE)</f>
        <v>#N/A</v>
      </c>
      <c r="S284" s="10" t="e">
        <f>VLOOKUP(AJ276,'FRC Site Data'!$B$3:$L$42,3,FALSE)</f>
        <v>#N/A</v>
      </c>
      <c r="T284" s="10" t="e">
        <f>VLOOKUP(AJ276,'FRC Site Data'!$B$3:$L$42,4,FALSE)</f>
        <v>#N/A</v>
      </c>
      <c r="U284" s="10" t="e">
        <f>VLOOKUP(AJ276,'FRC Site Data'!$B$3:$L$42,5,FALSE)</f>
        <v>#N/A</v>
      </c>
      <c r="V284" s="10" t="e">
        <f>VLOOKUP(AJ276,'FRC Site Data'!$B$3:$L$42,6,FALSE)</f>
        <v>#N/A</v>
      </c>
      <c r="W284" s="10" t="e">
        <f>VLOOKUP(AJ276,'FRC Site Data'!$B$3:$L$42,8,FALSE)</f>
        <v>#N/A</v>
      </c>
      <c r="X284" s="10" t="e">
        <f>VLOOKUP(AJ276,'FRC Site Data'!$B$3:$L$42,9,FALSE)</f>
        <v>#N/A</v>
      </c>
      <c r="Y284" s="10" t="e">
        <f>VLOOKUP(AJ276,'FRC Site Data'!$B$3:$L$42,10,FALSE)</f>
        <v>#N/A</v>
      </c>
      <c r="Z284" s="10" t="e">
        <f>VLOOKUP(AJ276,'FRC Site Data'!$B$3:$L$42,11,FALSE)</f>
        <v>#N/A</v>
      </c>
      <c r="AA284" s="10" t="e">
        <f>VLOOKUP(AJ276,'CIR Team Info'!$C$5:$E$44,4,FALSE)</f>
        <v>#N/A</v>
      </c>
      <c r="AB284" s="161" t="b">
        <f>ISNUMBER(VLOOKUP(AJ276,Match!$T$5:$T$10,1,FALSE))</f>
        <v>0</v>
      </c>
      <c r="AC284" s="161" t="b">
        <f>IF(AB284=TRUE,(VLOOKUP($AJ276,Match!$T$5:$U$10,2,FALSE)))</f>
        <v>0</v>
      </c>
      <c r="AD284" s="8">
        <v>3</v>
      </c>
      <c r="AE284" s="8">
        <v>2</v>
      </c>
      <c r="AF284" s="8">
        <v>2</v>
      </c>
      <c r="AG284" s="8">
        <v>1</v>
      </c>
      <c r="AH284" s="8" t="str">
        <f t="shared" si="95"/>
        <v/>
      </c>
      <c r="AI284" s="12"/>
      <c r="AZ284" s="12"/>
      <c r="BC284" s="12"/>
      <c r="BK284" s="12"/>
    </row>
    <row r="285" spans="1:63" x14ac:dyDescent="0.25">
      <c r="A285" s="29">
        <f t="shared" si="81"/>
        <v>0</v>
      </c>
      <c r="B285" s="29">
        <f t="shared" si="90"/>
        <v>0</v>
      </c>
      <c r="C285" s="29">
        <f t="shared" si="91"/>
        <v>0</v>
      </c>
      <c r="D285" s="29">
        <f t="shared" si="92"/>
        <v>0</v>
      </c>
      <c r="E285" s="29">
        <f t="shared" si="82"/>
        <v>0</v>
      </c>
      <c r="F285" s="29">
        <f t="shared" si="83"/>
        <v>0</v>
      </c>
      <c r="G285" s="29" t="str">
        <f t="shared" si="84"/>
        <v>offensive</v>
      </c>
      <c r="H285" s="16">
        <f t="shared" si="88"/>
        <v>0</v>
      </c>
      <c r="I285" s="16">
        <f t="shared" si="89"/>
        <v>0</v>
      </c>
      <c r="J285" s="16">
        <f t="shared" si="93"/>
        <v>0</v>
      </c>
      <c r="K285" s="16">
        <f t="shared" si="85"/>
        <v>0</v>
      </c>
      <c r="L285" s="67">
        <f t="shared" si="86"/>
        <v>0</v>
      </c>
      <c r="M285" s="4">
        <f t="shared" si="94"/>
        <v>0</v>
      </c>
      <c r="N285" s="4">
        <f t="shared" si="80"/>
        <v>0</v>
      </c>
      <c r="O285" s="4">
        <f t="shared" si="87"/>
        <v>0</v>
      </c>
      <c r="P285" s="4" t="e">
        <f>VLOOKUP(AJ277,'CIR Team Info'!$C$5:$E$44,2,FALSE)</f>
        <v>#N/A</v>
      </c>
      <c r="Q285" s="4" t="e">
        <f>VLOOKUP(AJ277,'CIR Team Info'!$C$5:$E$44,3,FALSE)</f>
        <v>#N/A</v>
      </c>
      <c r="R285" s="10" t="e">
        <f>VLOOKUP(AJ277,'FRC Site Data'!$B$3:$L$42,2,FALSE)</f>
        <v>#N/A</v>
      </c>
      <c r="S285" s="10" t="e">
        <f>VLOOKUP(AJ277,'FRC Site Data'!$B$3:$L$42,3,FALSE)</f>
        <v>#N/A</v>
      </c>
      <c r="T285" s="10" t="e">
        <f>VLOOKUP(AJ277,'FRC Site Data'!$B$3:$L$42,4,FALSE)</f>
        <v>#N/A</v>
      </c>
      <c r="U285" s="10" t="e">
        <f>VLOOKUP(AJ277,'FRC Site Data'!$B$3:$L$42,5,FALSE)</f>
        <v>#N/A</v>
      </c>
      <c r="V285" s="10" t="e">
        <f>VLOOKUP(AJ277,'FRC Site Data'!$B$3:$L$42,6,FALSE)</f>
        <v>#N/A</v>
      </c>
      <c r="W285" s="10" t="e">
        <f>VLOOKUP(AJ277,'FRC Site Data'!$B$3:$L$42,8,FALSE)</f>
        <v>#N/A</v>
      </c>
      <c r="X285" s="10" t="e">
        <f>VLOOKUP(AJ277,'FRC Site Data'!$B$3:$L$42,9,FALSE)</f>
        <v>#N/A</v>
      </c>
      <c r="Y285" s="10" t="e">
        <f>VLOOKUP(AJ277,'FRC Site Data'!$B$3:$L$42,10,FALSE)</f>
        <v>#N/A</v>
      </c>
      <c r="Z285" s="10" t="e">
        <f>VLOOKUP(AJ277,'FRC Site Data'!$B$3:$L$42,11,FALSE)</f>
        <v>#N/A</v>
      </c>
      <c r="AA285" s="10" t="e">
        <f>VLOOKUP(AJ277,'CIR Team Info'!$C$5:$E$44,4,FALSE)</f>
        <v>#N/A</v>
      </c>
      <c r="AB285" s="161" t="b">
        <f>ISNUMBER(VLOOKUP(AJ277,Match!$T$5:$T$10,1,FALSE))</f>
        <v>0</v>
      </c>
      <c r="AC285" s="161" t="b">
        <f>IF(AB285=TRUE,(VLOOKUP($AJ277,Match!$T$5:$U$10,2,FALSE)))</f>
        <v>0</v>
      </c>
      <c r="AD285" s="8">
        <v>3</v>
      </c>
      <c r="AE285" s="8">
        <v>2</v>
      </c>
      <c r="AF285" s="8">
        <v>2</v>
      </c>
      <c r="AG285" s="8">
        <v>1</v>
      </c>
      <c r="AH285" s="8" t="str">
        <f t="shared" si="95"/>
        <v/>
      </c>
      <c r="AI285" s="12"/>
      <c r="AZ285" s="12"/>
      <c r="BC285" s="12"/>
      <c r="BK285" s="12"/>
    </row>
    <row r="286" spans="1:63" x14ac:dyDescent="0.25">
      <c r="A286" s="29">
        <f t="shared" si="81"/>
        <v>0</v>
      </c>
      <c r="B286" s="29">
        <f t="shared" si="90"/>
        <v>0</v>
      </c>
      <c r="C286" s="29">
        <f t="shared" si="91"/>
        <v>0</v>
      </c>
      <c r="D286" s="29">
        <f t="shared" si="92"/>
        <v>0</v>
      </c>
      <c r="E286" s="29">
        <f t="shared" si="82"/>
        <v>0</v>
      </c>
      <c r="F286" s="29">
        <f t="shared" si="83"/>
        <v>0</v>
      </c>
      <c r="G286" s="29" t="str">
        <f t="shared" si="84"/>
        <v>offensive</v>
      </c>
      <c r="H286" s="16">
        <f t="shared" si="88"/>
        <v>0</v>
      </c>
      <c r="I286" s="16">
        <f t="shared" si="89"/>
        <v>0</v>
      </c>
      <c r="J286" s="16">
        <f t="shared" si="93"/>
        <v>0</v>
      </c>
      <c r="K286" s="16">
        <f t="shared" si="85"/>
        <v>0</v>
      </c>
      <c r="L286" s="67">
        <f t="shared" si="86"/>
        <v>0</v>
      </c>
      <c r="M286" s="4">
        <f t="shared" si="94"/>
        <v>0</v>
      </c>
      <c r="N286" s="4">
        <f t="shared" si="80"/>
        <v>0</v>
      </c>
      <c r="O286" s="4">
        <f t="shared" si="87"/>
        <v>0</v>
      </c>
      <c r="P286" s="4" t="e">
        <f>VLOOKUP(AJ278,'CIR Team Info'!$C$5:$E$44,2,FALSE)</f>
        <v>#N/A</v>
      </c>
      <c r="Q286" s="4" t="e">
        <f>VLOOKUP(AJ278,'CIR Team Info'!$C$5:$E$44,3,FALSE)</f>
        <v>#N/A</v>
      </c>
      <c r="R286" s="10" t="e">
        <f>VLOOKUP(AJ278,'FRC Site Data'!$B$3:$L$42,2,FALSE)</f>
        <v>#N/A</v>
      </c>
      <c r="S286" s="10" t="e">
        <f>VLOOKUP(AJ278,'FRC Site Data'!$B$3:$L$42,3,FALSE)</f>
        <v>#N/A</v>
      </c>
      <c r="T286" s="10" t="e">
        <f>VLOOKUP(AJ278,'FRC Site Data'!$B$3:$L$42,4,FALSE)</f>
        <v>#N/A</v>
      </c>
      <c r="U286" s="10" t="e">
        <f>VLOOKUP(AJ278,'FRC Site Data'!$B$3:$L$42,5,FALSE)</f>
        <v>#N/A</v>
      </c>
      <c r="V286" s="10" t="e">
        <f>VLOOKUP(AJ278,'FRC Site Data'!$B$3:$L$42,6,FALSE)</f>
        <v>#N/A</v>
      </c>
      <c r="W286" s="10" t="e">
        <f>VLOOKUP(AJ278,'FRC Site Data'!$B$3:$L$42,8,FALSE)</f>
        <v>#N/A</v>
      </c>
      <c r="X286" s="10" t="e">
        <f>VLOOKUP(AJ278,'FRC Site Data'!$B$3:$L$42,9,FALSE)</f>
        <v>#N/A</v>
      </c>
      <c r="Y286" s="10" t="e">
        <f>VLOOKUP(AJ278,'FRC Site Data'!$B$3:$L$42,10,FALSE)</f>
        <v>#N/A</v>
      </c>
      <c r="Z286" s="10" t="e">
        <f>VLOOKUP(AJ278,'FRC Site Data'!$B$3:$L$42,11,FALSE)</f>
        <v>#N/A</v>
      </c>
      <c r="AA286" s="10" t="e">
        <f>VLOOKUP(AJ278,'CIR Team Info'!$C$5:$E$44,4,FALSE)</f>
        <v>#N/A</v>
      </c>
      <c r="AB286" s="161" t="b">
        <f>ISNUMBER(VLOOKUP(AJ278,Match!$T$5:$T$10,1,FALSE))</f>
        <v>0</v>
      </c>
      <c r="AC286" s="161" t="b">
        <f>IF(AB286=TRUE,(VLOOKUP($AJ278,Match!$T$5:$U$10,2,FALSE)))</f>
        <v>0</v>
      </c>
      <c r="AD286" s="8">
        <v>3</v>
      </c>
      <c r="AE286" s="8">
        <v>2</v>
      </c>
      <c r="AF286" s="8">
        <v>2</v>
      </c>
      <c r="AG286" s="8">
        <v>1</v>
      </c>
      <c r="AH286" s="8" t="str">
        <f t="shared" si="95"/>
        <v/>
      </c>
      <c r="AI286" s="12"/>
      <c r="AZ286" s="12"/>
      <c r="BC286" s="12"/>
      <c r="BK286" s="12"/>
    </row>
    <row r="287" spans="1:63" x14ac:dyDescent="0.25">
      <c r="A287" s="29">
        <f t="shared" si="81"/>
        <v>0</v>
      </c>
      <c r="B287" s="29">
        <f t="shared" si="90"/>
        <v>0</v>
      </c>
      <c r="C287" s="29">
        <f t="shared" si="91"/>
        <v>0</v>
      </c>
      <c r="D287" s="29">
        <f t="shared" si="92"/>
        <v>0</v>
      </c>
      <c r="E287" s="29">
        <f t="shared" si="82"/>
        <v>0</v>
      </c>
      <c r="F287" s="29">
        <f t="shared" si="83"/>
        <v>0</v>
      </c>
      <c r="G287" s="29" t="str">
        <f t="shared" si="84"/>
        <v>offensive</v>
      </c>
      <c r="H287" s="16">
        <f t="shared" si="88"/>
        <v>0</v>
      </c>
      <c r="I287" s="16">
        <f t="shared" si="89"/>
        <v>0</v>
      </c>
      <c r="J287" s="16">
        <f t="shared" si="93"/>
        <v>0</v>
      </c>
      <c r="K287" s="16">
        <f t="shared" si="85"/>
        <v>0</v>
      </c>
      <c r="L287" s="67">
        <f t="shared" si="86"/>
        <v>0</v>
      </c>
      <c r="M287" s="4">
        <f t="shared" si="94"/>
        <v>0</v>
      </c>
      <c r="N287" s="4">
        <f t="shared" si="80"/>
        <v>0</v>
      </c>
      <c r="O287" s="4">
        <f t="shared" si="87"/>
        <v>0</v>
      </c>
      <c r="P287" s="4" t="e">
        <f>VLOOKUP(AJ279,'CIR Team Info'!$C$5:$E$44,2,FALSE)</f>
        <v>#N/A</v>
      </c>
      <c r="Q287" s="4" t="e">
        <f>VLOOKUP(AJ279,'CIR Team Info'!$C$5:$E$44,3,FALSE)</f>
        <v>#N/A</v>
      </c>
      <c r="R287" s="10" t="e">
        <f>VLOOKUP(AJ279,'FRC Site Data'!$B$3:$L$42,2,FALSE)</f>
        <v>#N/A</v>
      </c>
      <c r="S287" s="10" t="e">
        <f>VLOOKUP(AJ279,'FRC Site Data'!$B$3:$L$42,3,FALSE)</f>
        <v>#N/A</v>
      </c>
      <c r="T287" s="10" t="e">
        <f>VLOOKUP(AJ279,'FRC Site Data'!$B$3:$L$42,4,FALSE)</f>
        <v>#N/A</v>
      </c>
      <c r="U287" s="10" t="e">
        <f>VLOOKUP(AJ279,'FRC Site Data'!$B$3:$L$42,5,FALSE)</f>
        <v>#N/A</v>
      </c>
      <c r="V287" s="10" t="e">
        <f>VLOOKUP(AJ279,'FRC Site Data'!$B$3:$L$42,6,FALSE)</f>
        <v>#N/A</v>
      </c>
      <c r="W287" s="10" t="e">
        <f>VLOOKUP(AJ279,'FRC Site Data'!$B$3:$L$42,8,FALSE)</f>
        <v>#N/A</v>
      </c>
      <c r="X287" s="10" t="e">
        <f>VLOOKUP(AJ279,'FRC Site Data'!$B$3:$L$42,9,FALSE)</f>
        <v>#N/A</v>
      </c>
      <c r="Y287" s="10" t="e">
        <f>VLOOKUP(AJ279,'FRC Site Data'!$B$3:$L$42,10,FALSE)</f>
        <v>#N/A</v>
      </c>
      <c r="Z287" s="10" t="e">
        <f>VLOOKUP(AJ279,'FRC Site Data'!$B$3:$L$42,11,FALSE)</f>
        <v>#N/A</v>
      </c>
      <c r="AA287" s="10" t="e">
        <f>VLOOKUP(AJ279,'CIR Team Info'!$C$5:$E$44,4,FALSE)</f>
        <v>#N/A</v>
      </c>
      <c r="AB287" s="161" t="b">
        <f>ISNUMBER(VLOOKUP(AJ279,Match!$T$5:$T$10,1,FALSE))</f>
        <v>0</v>
      </c>
      <c r="AC287" s="161" t="b">
        <f>IF(AB287=TRUE,(VLOOKUP($AJ279,Match!$T$5:$U$10,2,FALSE)))</f>
        <v>0</v>
      </c>
      <c r="AD287" s="8">
        <v>3</v>
      </c>
      <c r="AE287" s="8">
        <v>2</v>
      </c>
      <c r="AF287" s="8">
        <v>2</v>
      </c>
      <c r="AG287" s="8">
        <v>1</v>
      </c>
      <c r="AH287" s="8" t="str">
        <f t="shared" si="95"/>
        <v/>
      </c>
      <c r="AI287" s="12"/>
      <c r="AZ287" s="12"/>
      <c r="BC287" s="12"/>
      <c r="BK287" s="12"/>
    </row>
    <row r="288" spans="1:63" x14ac:dyDescent="0.25">
      <c r="A288" s="29">
        <f t="shared" si="81"/>
        <v>0</v>
      </c>
      <c r="B288" s="29">
        <f t="shared" si="90"/>
        <v>0</v>
      </c>
      <c r="C288" s="29">
        <f t="shared" si="91"/>
        <v>0</v>
      </c>
      <c r="D288" s="29">
        <f t="shared" si="92"/>
        <v>0</v>
      </c>
      <c r="E288" s="29">
        <f t="shared" si="82"/>
        <v>0</v>
      </c>
      <c r="F288" s="29">
        <f t="shared" si="83"/>
        <v>0</v>
      </c>
      <c r="G288" s="29" t="str">
        <f t="shared" si="84"/>
        <v>offensive</v>
      </c>
      <c r="H288" s="16">
        <f t="shared" si="88"/>
        <v>0</v>
      </c>
      <c r="I288" s="16">
        <f t="shared" si="89"/>
        <v>0</v>
      </c>
      <c r="J288" s="16">
        <f t="shared" si="93"/>
        <v>0</v>
      </c>
      <c r="K288" s="16">
        <f t="shared" si="85"/>
        <v>0</v>
      </c>
      <c r="L288" s="67">
        <f t="shared" si="86"/>
        <v>0</v>
      </c>
      <c r="M288" s="4">
        <f t="shared" si="94"/>
        <v>0</v>
      </c>
      <c r="N288" s="4">
        <f t="shared" si="80"/>
        <v>0</v>
      </c>
      <c r="O288" s="4">
        <f t="shared" si="87"/>
        <v>0</v>
      </c>
      <c r="P288" s="4" t="e">
        <f>VLOOKUP(AJ280,'CIR Team Info'!$C$5:$E$44,2,FALSE)</f>
        <v>#N/A</v>
      </c>
      <c r="Q288" s="4" t="e">
        <f>VLOOKUP(AJ280,'CIR Team Info'!$C$5:$E$44,3,FALSE)</f>
        <v>#N/A</v>
      </c>
      <c r="R288" s="10" t="e">
        <f>VLOOKUP(AJ280,'FRC Site Data'!$B$3:$L$42,2,FALSE)</f>
        <v>#N/A</v>
      </c>
      <c r="S288" s="10" t="e">
        <f>VLOOKUP(AJ280,'FRC Site Data'!$B$3:$L$42,3,FALSE)</f>
        <v>#N/A</v>
      </c>
      <c r="T288" s="10" t="e">
        <f>VLOOKUP(AJ280,'FRC Site Data'!$B$3:$L$42,4,FALSE)</f>
        <v>#N/A</v>
      </c>
      <c r="U288" s="10" t="e">
        <f>VLOOKUP(AJ280,'FRC Site Data'!$B$3:$L$42,5,FALSE)</f>
        <v>#N/A</v>
      </c>
      <c r="V288" s="10" t="e">
        <f>VLOOKUP(AJ280,'FRC Site Data'!$B$3:$L$42,6,FALSE)</f>
        <v>#N/A</v>
      </c>
      <c r="W288" s="10" t="e">
        <f>VLOOKUP(AJ280,'FRC Site Data'!$B$3:$L$42,8,FALSE)</f>
        <v>#N/A</v>
      </c>
      <c r="X288" s="10" t="e">
        <f>VLOOKUP(AJ280,'FRC Site Data'!$B$3:$L$42,9,FALSE)</f>
        <v>#N/A</v>
      </c>
      <c r="Y288" s="10" t="e">
        <f>VLOOKUP(AJ280,'FRC Site Data'!$B$3:$L$42,10,FALSE)</f>
        <v>#N/A</v>
      </c>
      <c r="Z288" s="10" t="e">
        <f>VLOOKUP(AJ280,'FRC Site Data'!$B$3:$L$42,11,FALSE)</f>
        <v>#N/A</v>
      </c>
      <c r="AA288" s="10" t="e">
        <f>VLOOKUP(AJ280,'CIR Team Info'!$C$5:$E$44,4,FALSE)</f>
        <v>#N/A</v>
      </c>
      <c r="AB288" s="161" t="b">
        <f>ISNUMBER(VLOOKUP(AJ280,Match!$T$5:$T$10,1,FALSE))</f>
        <v>0</v>
      </c>
      <c r="AC288" s="161" t="b">
        <f>IF(AB288=TRUE,(VLOOKUP($AJ280,Match!$T$5:$U$10,2,FALSE)))</f>
        <v>0</v>
      </c>
      <c r="AD288" s="8">
        <v>3</v>
      </c>
      <c r="AE288" s="8">
        <v>2</v>
      </c>
      <c r="AF288" s="8">
        <v>2</v>
      </c>
      <c r="AG288" s="8">
        <v>1</v>
      </c>
      <c r="AH288" s="8" t="str">
        <f t="shared" si="95"/>
        <v/>
      </c>
      <c r="AI288" s="12"/>
      <c r="AZ288" s="12"/>
      <c r="BC288" s="12"/>
      <c r="BK288" s="12"/>
    </row>
    <row r="289" spans="1:63" x14ac:dyDescent="0.25">
      <c r="A289" s="29">
        <f t="shared" si="81"/>
        <v>0</v>
      </c>
      <c r="B289" s="29">
        <f t="shared" si="90"/>
        <v>0</v>
      </c>
      <c r="C289" s="29">
        <f t="shared" si="91"/>
        <v>0</v>
      </c>
      <c r="D289" s="29">
        <f t="shared" si="92"/>
        <v>0</v>
      </c>
      <c r="E289" s="29">
        <f t="shared" si="82"/>
        <v>0</v>
      </c>
      <c r="F289" s="29">
        <f t="shared" si="83"/>
        <v>0</v>
      </c>
      <c r="G289" s="29" t="str">
        <f t="shared" si="84"/>
        <v>offensive</v>
      </c>
      <c r="H289" s="16">
        <f t="shared" si="88"/>
        <v>0</v>
      </c>
      <c r="I289" s="16">
        <f t="shared" si="89"/>
        <v>0</v>
      </c>
      <c r="J289" s="16">
        <f t="shared" si="93"/>
        <v>0</v>
      </c>
      <c r="K289" s="16">
        <f t="shared" si="85"/>
        <v>0</v>
      </c>
      <c r="L289" s="67">
        <f t="shared" si="86"/>
        <v>0</v>
      </c>
      <c r="M289" s="4">
        <f t="shared" si="94"/>
        <v>0</v>
      </c>
      <c r="N289" s="4">
        <f t="shared" si="80"/>
        <v>0</v>
      </c>
      <c r="O289" s="4">
        <f t="shared" si="87"/>
        <v>0</v>
      </c>
      <c r="P289" s="4" t="e">
        <f>VLOOKUP(AJ281,'CIR Team Info'!$C$5:$E$44,2,FALSE)</f>
        <v>#N/A</v>
      </c>
      <c r="Q289" s="4" t="e">
        <f>VLOOKUP(AJ281,'CIR Team Info'!$C$5:$E$44,3,FALSE)</f>
        <v>#N/A</v>
      </c>
      <c r="R289" s="10" t="e">
        <f>VLOOKUP(AJ281,'FRC Site Data'!$B$3:$L$42,2,FALSE)</f>
        <v>#N/A</v>
      </c>
      <c r="S289" s="10" t="e">
        <f>VLOOKUP(AJ281,'FRC Site Data'!$B$3:$L$42,3,FALSE)</f>
        <v>#N/A</v>
      </c>
      <c r="T289" s="10" t="e">
        <f>VLOOKUP(AJ281,'FRC Site Data'!$B$3:$L$42,4,FALSE)</f>
        <v>#N/A</v>
      </c>
      <c r="U289" s="10" t="e">
        <f>VLOOKUP(AJ281,'FRC Site Data'!$B$3:$L$42,5,FALSE)</f>
        <v>#N/A</v>
      </c>
      <c r="V289" s="10" t="e">
        <f>VLOOKUP(AJ281,'FRC Site Data'!$B$3:$L$42,6,FALSE)</f>
        <v>#N/A</v>
      </c>
      <c r="W289" s="10" t="e">
        <f>VLOOKUP(AJ281,'FRC Site Data'!$B$3:$L$42,8,FALSE)</f>
        <v>#N/A</v>
      </c>
      <c r="X289" s="10" t="e">
        <f>VLOOKUP(AJ281,'FRC Site Data'!$B$3:$L$42,9,FALSE)</f>
        <v>#N/A</v>
      </c>
      <c r="Y289" s="10" t="e">
        <f>VLOOKUP(AJ281,'FRC Site Data'!$B$3:$L$42,10,FALSE)</f>
        <v>#N/A</v>
      </c>
      <c r="Z289" s="10" t="e">
        <f>VLOOKUP(AJ281,'FRC Site Data'!$B$3:$L$42,11,FALSE)</f>
        <v>#N/A</v>
      </c>
      <c r="AA289" s="10" t="e">
        <f>VLOOKUP(AJ281,'CIR Team Info'!$C$5:$E$44,4,FALSE)</f>
        <v>#N/A</v>
      </c>
      <c r="AB289" s="161" t="b">
        <f>ISNUMBER(VLOOKUP(AJ281,Match!$T$5:$T$10,1,FALSE))</f>
        <v>0</v>
      </c>
      <c r="AC289" s="161" t="b">
        <f>IF(AB289=TRUE,(VLOOKUP($AJ281,Match!$T$5:$U$10,2,FALSE)))</f>
        <v>0</v>
      </c>
      <c r="AD289" s="8">
        <v>3</v>
      </c>
      <c r="AE289" s="8">
        <v>2</v>
      </c>
      <c r="AF289" s="8">
        <v>2</v>
      </c>
      <c r="AG289" s="8">
        <v>1</v>
      </c>
      <c r="AH289" s="8" t="str">
        <f t="shared" si="95"/>
        <v/>
      </c>
      <c r="AI289" s="12"/>
      <c r="AZ289" s="12"/>
      <c r="BC289" s="12"/>
      <c r="BK289" s="12"/>
    </row>
    <row r="290" spans="1:63" x14ac:dyDescent="0.25">
      <c r="A290" s="29">
        <f t="shared" si="81"/>
        <v>0</v>
      </c>
      <c r="B290" s="29">
        <f t="shared" si="90"/>
        <v>0</v>
      </c>
      <c r="C290" s="29">
        <f t="shared" si="91"/>
        <v>0</v>
      </c>
      <c r="D290" s="29">
        <f t="shared" si="92"/>
        <v>0</v>
      </c>
      <c r="E290" s="29">
        <f t="shared" si="82"/>
        <v>0</v>
      </c>
      <c r="F290" s="29">
        <f t="shared" si="83"/>
        <v>0</v>
      </c>
      <c r="G290" s="29" t="str">
        <f t="shared" si="84"/>
        <v>offensive</v>
      </c>
      <c r="H290" s="16">
        <f t="shared" si="88"/>
        <v>0</v>
      </c>
      <c r="I290" s="16">
        <f t="shared" si="89"/>
        <v>0</v>
      </c>
      <c r="J290" s="16">
        <f t="shared" si="93"/>
        <v>0</v>
      </c>
      <c r="K290" s="16">
        <f t="shared" si="85"/>
        <v>0</v>
      </c>
      <c r="L290" s="67">
        <f t="shared" si="86"/>
        <v>0</v>
      </c>
      <c r="M290" s="4">
        <f t="shared" si="94"/>
        <v>0</v>
      </c>
      <c r="N290" s="4">
        <f t="shared" si="80"/>
        <v>0</v>
      </c>
      <c r="O290" s="4">
        <f t="shared" si="87"/>
        <v>0</v>
      </c>
      <c r="P290" s="4" t="e">
        <f>VLOOKUP(AJ282,'CIR Team Info'!$C$5:$E$44,2,FALSE)</f>
        <v>#N/A</v>
      </c>
      <c r="Q290" s="4" t="e">
        <f>VLOOKUP(AJ282,'CIR Team Info'!$C$5:$E$44,3,FALSE)</f>
        <v>#N/A</v>
      </c>
      <c r="R290" s="10" t="e">
        <f>VLOOKUP(AJ282,'FRC Site Data'!$B$3:$L$42,2,FALSE)</f>
        <v>#N/A</v>
      </c>
      <c r="S290" s="10" t="e">
        <f>VLOOKUP(AJ282,'FRC Site Data'!$B$3:$L$42,3,FALSE)</f>
        <v>#N/A</v>
      </c>
      <c r="T290" s="10" t="e">
        <f>VLOOKUP(AJ282,'FRC Site Data'!$B$3:$L$42,4,FALSE)</f>
        <v>#N/A</v>
      </c>
      <c r="U290" s="10" t="e">
        <f>VLOOKUP(AJ282,'FRC Site Data'!$B$3:$L$42,5,FALSE)</f>
        <v>#N/A</v>
      </c>
      <c r="V290" s="10" t="e">
        <f>VLOOKUP(AJ282,'FRC Site Data'!$B$3:$L$42,6,FALSE)</f>
        <v>#N/A</v>
      </c>
      <c r="W290" s="10" t="e">
        <f>VLOOKUP(AJ282,'FRC Site Data'!$B$3:$L$42,8,FALSE)</f>
        <v>#N/A</v>
      </c>
      <c r="X290" s="10" t="e">
        <f>VLOOKUP(AJ282,'FRC Site Data'!$B$3:$L$42,9,FALSE)</f>
        <v>#N/A</v>
      </c>
      <c r="Y290" s="10" t="e">
        <f>VLOOKUP(AJ282,'FRC Site Data'!$B$3:$L$42,10,FALSE)</f>
        <v>#N/A</v>
      </c>
      <c r="Z290" s="10" t="e">
        <f>VLOOKUP(AJ282,'FRC Site Data'!$B$3:$L$42,11,FALSE)</f>
        <v>#N/A</v>
      </c>
      <c r="AA290" s="10" t="e">
        <f>VLOOKUP(AJ282,'CIR Team Info'!$C$5:$E$44,4,FALSE)</f>
        <v>#N/A</v>
      </c>
      <c r="AB290" s="161" t="b">
        <f>ISNUMBER(VLOOKUP(AJ282,Match!$T$5:$T$10,1,FALSE))</f>
        <v>0</v>
      </c>
      <c r="AC290" s="161" t="b">
        <f>IF(AB290=TRUE,(VLOOKUP($AJ282,Match!$T$5:$U$10,2,FALSE)))</f>
        <v>0</v>
      </c>
      <c r="AD290" s="8">
        <v>3</v>
      </c>
      <c r="AE290" s="8">
        <v>2</v>
      </c>
      <c r="AF290" s="8">
        <v>2</v>
      </c>
      <c r="AG290" s="8">
        <v>1</v>
      </c>
      <c r="AH290" s="8" t="str">
        <f t="shared" si="95"/>
        <v/>
      </c>
      <c r="AI290" s="12"/>
      <c r="AZ290" s="12"/>
      <c r="BC290" s="12"/>
      <c r="BK290" s="12"/>
    </row>
    <row r="291" spans="1:63" x14ac:dyDescent="0.25">
      <c r="A291" s="29">
        <f t="shared" si="81"/>
        <v>0</v>
      </c>
      <c r="B291" s="29">
        <f t="shared" si="90"/>
        <v>0</v>
      </c>
      <c r="C291" s="29">
        <f t="shared" si="91"/>
        <v>0</v>
      </c>
      <c r="D291" s="29">
        <f t="shared" si="92"/>
        <v>0</v>
      </c>
      <c r="E291" s="29">
        <f t="shared" si="82"/>
        <v>0</v>
      </c>
      <c r="F291" s="29">
        <f t="shared" si="83"/>
        <v>0</v>
      </c>
      <c r="G291" s="29" t="str">
        <f t="shared" si="84"/>
        <v>offensive</v>
      </c>
      <c r="H291" s="16">
        <f t="shared" si="88"/>
        <v>0</v>
      </c>
      <c r="I291" s="16">
        <f t="shared" si="89"/>
        <v>0</v>
      </c>
      <c r="J291" s="16">
        <f t="shared" si="93"/>
        <v>0</v>
      </c>
      <c r="K291" s="16">
        <f t="shared" si="85"/>
        <v>0</v>
      </c>
      <c r="L291" s="67">
        <f t="shared" si="86"/>
        <v>0</v>
      </c>
      <c r="M291" s="4">
        <f t="shared" si="94"/>
        <v>0</v>
      </c>
      <c r="N291" s="4">
        <f t="shared" si="80"/>
        <v>0</v>
      </c>
      <c r="O291" s="4">
        <f t="shared" si="87"/>
        <v>0</v>
      </c>
      <c r="P291" s="4" t="e">
        <f>VLOOKUP(AJ283,'CIR Team Info'!$C$5:$E$44,2,FALSE)</f>
        <v>#N/A</v>
      </c>
      <c r="Q291" s="4" t="e">
        <f>VLOOKUP(AJ283,'CIR Team Info'!$C$5:$E$44,3,FALSE)</f>
        <v>#N/A</v>
      </c>
      <c r="R291" s="10" t="e">
        <f>VLOOKUP(AJ283,'FRC Site Data'!$B$3:$L$42,2,FALSE)</f>
        <v>#N/A</v>
      </c>
      <c r="S291" s="10" t="e">
        <f>VLOOKUP(AJ283,'FRC Site Data'!$B$3:$L$42,3,FALSE)</f>
        <v>#N/A</v>
      </c>
      <c r="T291" s="10" t="e">
        <f>VLOOKUP(AJ283,'FRC Site Data'!$B$3:$L$42,4,FALSE)</f>
        <v>#N/A</v>
      </c>
      <c r="U291" s="10" t="e">
        <f>VLOOKUP(AJ283,'FRC Site Data'!$B$3:$L$42,5,FALSE)</f>
        <v>#N/A</v>
      </c>
      <c r="V291" s="10" t="e">
        <f>VLOOKUP(AJ283,'FRC Site Data'!$B$3:$L$42,6,FALSE)</f>
        <v>#N/A</v>
      </c>
      <c r="W291" s="10" t="e">
        <f>VLOOKUP(AJ283,'FRC Site Data'!$B$3:$L$42,8,FALSE)</f>
        <v>#N/A</v>
      </c>
      <c r="X291" s="10" t="e">
        <f>VLOOKUP(AJ283,'FRC Site Data'!$B$3:$L$42,9,FALSE)</f>
        <v>#N/A</v>
      </c>
      <c r="Y291" s="10" t="e">
        <f>VLOOKUP(AJ283,'FRC Site Data'!$B$3:$L$42,10,FALSE)</f>
        <v>#N/A</v>
      </c>
      <c r="Z291" s="10" t="e">
        <f>VLOOKUP(AJ283,'FRC Site Data'!$B$3:$L$42,11,FALSE)</f>
        <v>#N/A</v>
      </c>
      <c r="AA291" s="10" t="e">
        <f>VLOOKUP(AJ283,'CIR Team Info'!$C$5:$E$44,4,FALSE)</f>
        <v>#N/A</v>
      </c>
      <c r="AB291" s="161" t="b">
        <f>ISNUMBER(VLOOKUP(AJ283,Match!$T$5:$T$10,1,FALSE))</f>
        <v>0</v>
      </c>
      <c r="AC291" s="161" t="b">
        <f>IF(AB291=TRUE,(VLOOKUP($AJ283,Match!$T$5:$U$10,2,FALSE)))</f>
        <v>0</v>
      </c>
      <c r="AD291" s="8">
        <v>3</v>
      </c>
      <c r="AE291" s="8">
        <v>2</v>
      </c>
      <c r="AF291" s="8">
        <v>2</v>
      </c>
      <c r="AG291" s="8">
        <v>1</v>
      </c>
      <c r="AH291" s="8" t="str">
        <f t="shared" si="95"/>
        <v/>
      </c>
      <c r="AI291" s="12"/>
      <c r="AZ291" s="12"/>
      <c r="BC291" s="12"/>
      <c r="BK291" s="12"/>
    </row>
    <row r="292" spans="1:63" x14ac:dyDescent="0.25">
      <c r="A292" s="29">
        <f t="shared" si="81"/>
        <v>0</v>
      </c>
      <c r="B292" s="29">
        <f t="shared" si="90"/>
        <v>0</v>
      </c>
      <c r="C292" s="29">
        <f t="shared" si="91"/>
        <v>0</v>
      </c>
      <c r="D292" s="29">
        <f t="shared" si="92"/>
        <v>0</v>
      </c>
      <c r="E292" s="29">
        <f t="shared" si="82"/>
        <v>0</v>
      </c>
      <c r="F292" s="29">
        <f t="shared" si="83"/>
        <v>0</v>
      </c>
      <c r="G292" s="29" t="str">
        <f t="shared" si="84"/>
        <v>offensive</v>
      </c>
      <c r="H292" s="16">
        <f t="shared" si="88"/>
        <v>0</v>
      </c>
      <c r="I292" s="16">
        <f t="shared" si="89"/>
        <v>0</v>
      </c>
      <c r="J292" s="16">
        <f t="shared" si="93"/>
        <v>0</v>
      </c>
      <c r="K292" s="16">
        <f t="shared" si="85"/>
        <v>0</v>
      </c>
      <c r="L292" s="67">
        <f t="shared" si="86"/>
        <v>0</v>
      </c>
      <c r="M292" s="4">
        <f t="shared" si="94"/>
        <v>0</v>
      </c>
      <c r="N292" s="4">
        <f t="shared" ref="N292:N347" si="96">AO284+AV284+BD284</f>
        <v>0</v>
      </c>
      <c r="O292" s="4">
        <f t="shared" si="87"/>
        <v>0</v>
      </c>
      <c r="P292" s="4" t="e">
        <f>VLOOKUP(AJ284,'CIR Team Info'!$C$5:$E$44,2,FALSE)</f>
        <v>#N/A</v>
      </c>
      <c r="Q292" s="4" t="e">
        <f>VLOOKUP(AJ284,'CIR Team Info'!$C$5:$E$44,3,FALSE)</f>
        <v>#N/A</v>
      </c>
      <c r="R292" s="10" t="e">
        <f>VLOOKUP(AJ284,'FRC Site Data'!$B$3:$L$42,2,FALSE)</f>
        <v>#N/A</v>
      </c>
      <c r="S292" s="10" t="e">
        <f>VLOOKUP(AJ284,'FRC Site Data'!$B$3:$L$42,3,FALSE)</f>
        <v>#N/A</v>
      </c>
      <c r="T292" s="10" t="e">
        <f>VLOOKUP(AJ284,'FRC Site Data'!$B$3:$L$42,4,FALSE)</f>
        <v>#N/A</v>
      </c>
      <c r="U292" s="10" t="e">
        <f>VLOOKUP(AJ284,'FRC Site Data'!$B$3:$L$42,5,FALSE)</f>
        <v>#N/A</v>
      </c>
      <c r="V292" s="10" t="e">
        <f>VLOOKUP(AJ284,'FRC Site Data'!$B$3:$L$42,6,FALSE)</f>
        <v>#N/A</v>
      </c>
      <c r="W292" s="10" t="e">
        <f>VLOOKUP(AJ284,'FRC Site Data'!$B$3:$L$42,8,FALSE)</f>
        <v>#N/A</v>
      </c>
      <c r="X292" s="10" t="e">
        <f>VLOOKUP(AJ284,'FRC Site Data'!$B$3:$L$42,9,FALSE)</f>
        <v>#N/A</v>
      </c>
      <c r="Y292" s="10" t="e">
        <f>VLOOKUP(AJ284,'FRC Site Data'!$B$3:$L$42,10,FALSE)</f>
        <v>#N/A</v>
      </c>
      <c r="Z292" s="10" t="e">
        <f>VLOOKUP(AJ284,'FRC Site Data'!$B$3:$L$42,11,FALSE)</f>
        <v>#N/A</v>
      </c>
      <c r="AA292" s="10" t="e">
        <f>VLOOKUP(AJ284,'CIR Team Info'!$C$5:$E$44,4,FALSE)</f>
        <v>#N/A</v>
      </c>
      <c r="AB292" s="161" t="b">
        <f>ISNUMBER(VLOOKUP(AJ284,Match!$T$5:$T$10,1,FALSE))</f>
        <v>0</v>
      </c>
      <c r="AC292" s="161" t="b">
        <f>IF(AB292=TRUE,(VLOOKUP($AJ284,Match!$T$5:$U$10,2,FALSE)))</f>
        <v>0</v>
      </c>
      <c r="AD292" s="8">
        <v>3</v>
      </c>
      <c r="AE292" s="8">
        <v>2</v>
      </c>
      <c r="AF292" s="8">
        <v>2</v>
      </c>
      <c r="AG292" s="8">
        <v>1</v>
      </c>
      <c r="AH292" s="8" t="str">
        <f t="shared" si="95"/>
        <v/>
      </c>
      <c r="AI292" s="12"/>
      <c r="AZ292" s="12"/>
      <c r="BC292" s="12"/>
      <c r="BK292" s="12"/>
    </row>
    <row r="293" spans="1:63" x14ac:dyDescent="0.25">
      <c r="A293" s="29">
        <f t="shared" ref="A293:A348" si="97">SUM(B293:F293)</f>
        <v>0</v>
      </c>
      <c r="B293" s="29">
        <f t="shared" si="90"/>
        <v>0</v>
      </c>
      <c r="C293" s="29">
        <f t="shared" si="91"/>
        <v>0</v>
      </c>
      <c r="D293" s="29">
        <f t="shared" si="92"/>
        <v>0</v>
      </c>
      <c r="E293" s="29">
        <f t="shared" ref="E293:E348" si="98">K293*O293</f>
        <v>0</v>
      </c>
      <c r="F293" s="29">
        <f t="shared" ref="F293:F348" si="99">IF(AN285&gt;0,5)-2*COUNTIF(AQ285,"K")+5*COUNTIF(AS285,"T")+IF(AX285=3,2)+IF(AY285="T",2)</f>
        <v>0</v>
      </c>
      <c r="G293" s="29" t="str">
        <f t="shared" ref="G293:G348" si="100">IF((BB285+BC285)&gt;45,"defensive",IF((BB285+BC285)&gt;15,"both","offensive"))</f>
        <v>offensive</v>
      </c>
      <c r="H293" s="16">
        <f t="shared" si="88"/>
        <v>0</v>
      </c>
      <c r="I293" s="16">
        <f t="shared" si="89"/>
        <v>0</v>
      </c>
      <c r="J293" s="16">
        <f t="shared" si="93"/>
        <v>0</v>
      </c>
      <c r="K293" s="16">
        <f t="shared" ref="K293:K348" si="101">IF((BB285+BC285)=0,0,((AZ285*BB285*0.2)+(BA285*BC285*0.3))/(BB285+BC285))</f>
        <v>0</v>
      </c>
      <c r="L293" s="67">
        <f t="shared" ref="L293:L348" si="102">IF(BF285&gt;BG285,BF285,BG285)</f>
        <v>0</v>
      </c>
      <c r="M293" s="4">
        <f t="shared" si="94"/>
        <v>0</v>
      </c>
      <c r="N293" s="4">
        <f t="shared" si="96"/>
        <v>0</v>
      </c>
      <c r="O293" s="4">
        <f t="shared" ref="O293:O348" si="103">(AZ285*0.2*BB285*30/30)+(BA285*0.3*BC285*12/30)-BI285-BJ285</f>
        <v>0</v>
      </c>
      <c r="P293" s="4" t="e">
        <f>VLOOKUP(AJ285,'CIR Team Info'!$C$5:$E$44,2,FALSE)</f>
        <v>#N/A</v>
      </c>
      <c r="Q293" s="4" t="e">
        <f>VLOOKUP(AJ285,'CIR Team Info'!$C$5:$E$44,3,FALSE)</f>
        <v>#N/A</v>
      </c>
      <c r="R293" s="10" t="e">
        <f>VLOOKUP(AJ285,'FRC Site Data'!$B$3:$L$42,2,FALSE)</f>
        <v>#N/A</v>
      </c>
      <c r="S293" s="10" t="e">
        <f>VLOOKUP(AJ285,'FRC Site Data'!$B$3:$L$42,3,FALSE)</f>
        <v>#N/A</v>
      </c>
      <c r="T293" s="10" t="e">
        <f>VLOOKUP(AJ285,'FRC Site Data'!$B$3:$L$42,4,FALSE)</f>
        <v>#N/A</v>
      </c>
      <c r="U293" s="10" t="e">
        <f>VLOOKUP(AJ285,'FRC Site Data'!$B$3:$L$42,5,FALSE)</f>
        <v>#N/A</v>
      </c>
      <c r="V293" s="10" t="e">
        <f>VLOOKUP(AJ285,'FRC Site Data'!$B$3:$L$42,6,FALSE)</f>
        <v>#N/A</v>
      </c>
      <c r="W293" s="10" t="e">
        <f>VLOOKUP(AJ285,'FRC Site Data'!$B$3:$L$42,8,FALSE)</f>
        <v>#N/A</v>
      </c>
      <c r="X293" s="10" t="e">
        <f>VLOOKUP(AJ285,'FRC Site Data'!$B$3:$L$42,9,FALSE)</f>
        <v>#N/A</v>
      </c>
      <c r="Y293" s="10" t="e">
        <f>VLOOKUP(AJ285,'FRC Site Data'!$B$3:$L$42,10,FALSE)</f>
        <v>#N/A</v>
      </c>
      <c r="Z293" s="10" t="e">
        <f>VLOOKUP(AJ285,'FRC Site Data'!$B$3:$L$42,11,FALSE)</f>
        <v>#N/A</v>
      </c>
      <c r="AA293" s="10" t="e">
        <f>VLOOKUP(AJ285,'CIR Team Info'!$C$5:$E$44,4,FALSE)</f>
        <v>#N/A</v>
      </c>
      <c r="AB293" s="161" t="b">
        <f>ISNUMBER(VLOOKUP(AJ285,Match!$T$5:$T$10,1,FALSE))</f>
        <v>0</v>
      </c>
      <c r="AC293" s="161" t="b">
        <f>IF(AB293=TRUE,(VLOOKUP($AJ285,Match!$T$5:$U$10,2,FALSE)))</f>
        <v>0</v>
      </c>
      <c r="AD293" s="8">
        <v>3</v>
      </c>
      <c r="AE293" s="8">
        <v>2</v>
      </c>
      <c r="AF293" s="8">
        <v>2</v>
      </c>
      <c r="AG293" s="8">
        <v>1</v>
      </c>
      <c r="AH293" s="8" t="str">
        <f t="shared" si="95"/>
        <v/>
      </c>
      <c r="AI293" s="12"/>
      <c r="AZ293" s="12"/>
      <c r="BC293" s="12"/>
      <c r="BK293" s="12"/>
    </row>
    <row r="294" spans="1:63" x14ac:dyDescent="0.25">
      <c r="A294" s="29">
        <f t="shared" si="97"/>
        <v>0</v>
      </c>
      <c r="B294" s="29">
        <f t="shared" si="90"/>
        <v>0</v>
      </c>
      <c r="C294" s="29">
        <f t="shared" si="91"/>
        <v>0</v>
      </c>
      <c r="D294" s="29">
        <f t="shared" si="92"/>
        <v>0</v>
      </c>
      <c r="E294" s="29">
        <f t="shared" si="98"/>
        <v>0</v>
      </c>
      <c r="F294" s="29">
        <f t="shared" si="99"/>
        <v>0</v>
      </c>
      <c r="G294" s="29" t="str">
        <f t="shared" si="100"/>
        <v>offensive</v>
      </c>
      <c r="H294" s="16">
        <f t="shared" si="88"/>
        <v>0</v>
      </c>
      <c r="I294" s="16">
        <f t="shared" si="89"/>
        <v>0</v>
      </c>
      <c r="J294" s="16">
        <f t="shared" si="93"/>
        <v>0</v>
      </c>
      <c r="K294" s="16">
        <f t="shared" si="101"/>
        <v>0</v>
      </c>
      <c r="L294" s="67">
        <f t="shared" si="102"/>
        <v>0</v>
      </c>
      <c r="M294" s="4">
        <f t="shared" si="94"/>
        <v>0</v>
      </c>
      <c r="N294" s="4">
        <f t="shared" si="96"/>
        <v>0</v>
      </c>
      <c r="O294" s="4">
        <f t="shared" si="103"/>
        <v>0</v>
      </c>
      <c r="P294" s="4" t="e">
        <f>VLOOKUP(AJ286,'CIR Team Info'!$C$5:$E$44,2,FALSE)</f>
        <v>#N/A</v>
      </c>
      <c r="Q294" s="4" t="e">
        <f>VLOOKUP(AJ286,'CIR Team Info'!$C$5:$E$44,3,FALSE)</f>
        <v>#N/A</v>
      </c>
      <c r="R294" s="10" t="e">
        <f>VLOOKUP(AJ286,'FRC Site Data'!$B$3:$L$42,2,FALSE)</f>
        <v>#N/A</v>
      </c>
      <c r="S294" s="10" t="e">
        <f>VLOOKUP(AJ286,'FRC Site Data'!$B$3:$L$42,3,FALSE)</f>
        <v>#N/A</v>
      </c>
      <c r="T294" s="10" t="e">
        <f>VLOOKUP(AJ286,'FRC Site Data'!$B$3:$L$42,4,FALSE)</f>
        <v>#N/A</v>
      </c>
      <c r="U294" s="10" t="e">
        <f>VLOOKUP(AJ286,'FRC Site Data'!$B$3:$L$42,5,FALSE)</f>
        <v>#N/A</v>
      </c>
      <c r="V294" s="10" t="e">
        <f>VLOOKUP(AJ286,'FRC Site Data'!$B$3:$L$42,6,FALSE)</f>
        <v>#N/A</v>
      </c>
      <c r="W294" s="10" t="e">
        <f>VLOOKUP(AJ286,'FRC Site Data'!$B$3:$L$42,8,FALSE)</f>
        <v>#N/A</v>
      </c>
      <c r="X294" s="10" t="e">
        <f>VLOOKUP(AJ286,'FRC Site Data'!$B$3:$L$42,9,FALSE)</f>
        <v>#N/A</v>
      </c>
      <c r="Y294" s="10" t="e">
        <f>VLOOKUP(AJ286,'FRC Site Data'!$B$3:$L$42,10,FALSE)</f>
        <v>#N/A</v>
      </c>
      <c r="Z294" s="10" t="e">
        <f>VLOOKUP(AJ286,'FRC Site Data'!$B$3:$L$42,11,FALSE)</f>
        <v>#N/A</v>
      </c>
      <c r="AA294" s="10" t="e">
        <f>VLOOKUP(AJ286,'CIR Team Info'!$C$5:$E$44,4,FALSE)</f>
        <v>#N/A</v>
      </c>
      <c r="AB294" s="161" t="b">
        <f>ISNUMBER(VLOOKUP(AJ286,Match!$T$5:$T$10,1,FALSE))</f>
        <v>0</v>
      </c>
      <c r="AC294" s="161" t="b">
        <f>IF(AB294=TRUE,(VLOOKUP($AJ286,Match!$T$5:$U$10,2,FALSE)))</f>
        <v>0</v>
      </c>
      <c r="AD294" s="8">
        <v>3</v>
      </c>
      <c r="AE294" s="8">
        <v>2</v>
      </c>
      <c r="AF294" s="8">
        <v>2</v>
      </c>
      <c r="AG294" s="8">
        <v>1</v>
      </c>
      <c r="AH294" s="8" t="str">
        <f t="shared" si="95"/>
        <v/>
      </c>
      <c r="AI294" s="12"/>
      <c r="AZ294" s="12"/>
      <c r="BC294" s="12"/>
      <c r="BK294" s="12"/>
    </row>
    <row r="295" spans="1:63" x14ac:dyDescent="0.25">
      <c r="A295" s="29">
        <f t="shared" si="97"/>
        <v>0</v>
      </c>
      <c r="B295" s="29">
        <f t="shared" si="90"/>
        <v>0</v>
      </c>
      <c r="C295" s="29">
        <f t="shared" si="91"/>
        <v>0</v>
      </c>
      <c r="D295" s="29">
        <f t="shared" si="92"/>
        <v>0</v>
      </c>
      <c r="E295" s="29">
        <f t="shared" si="98"/>
        <v>0</v>
      </c>
      <c r="F295" s="29">
        <f t="shared" si="99"/>
        <v>0</v>
      </c>
      <c r="G295" s="29" t="str">
        <f t="shared" si="100"/>
        <v>offensive</v>
      </c>
      <c r="H295" s="16">
        <f t="shared" si="88"/>
        <v>0</v>
      </c>
      <c r="I295" s="16">
        <f t="shared" si="89"/>
        <v>0</v>
      </c>
      <c r="J295" s="16">
        <f t="shared" si="93"/>
        <v>0</v>
      </c>
      <c r="K295" s="16">
        <f t="shared" si="101"/>
        <v>0</v>
      </c>
      <c r="L295" s="67">
        <f t="shared" si="102"/>
        <v>0</v>
      </c>
      <c r="M295" s="4">
        <f t="shared" si="94"/>
        <v>0</v>
      </c>
      <c r="N295" s="4">
        <f t="shared" si="96"/>
        <v>0</v>
      </c>
      <c r="O295" s="4">
        <f t="shared" si="103"/>
        <v>0</v>
      </c>
      <c r="P295" s="4" t="e">
        <f>VLOOKUP(AJ287,'CIR Team Info'!$C$5:$E$44,2,FALSE)</f>
        <v>#N/A</v>
      </c>
      <c r="Q295" s="4" t="e">
        <f>VLOOKUP(AJ287,'CIR Team Info'!$C$5:$E$44,3,FALSE)</f>
        <v>#N/A</v>
      </c>
      <c r="R295" s="10" t="e">
        <f>VLOOKUP(AJ287,'FRC Site Data'!$B$3:$L$42,2,FALSE)</f>
        <v>#N/A</v>
      </c>
      <c r="S295" s="10" t="e">
        <f>VLOOKUP(AJ287,'FRC Site Data'!$B$3:$L$42,3,FALSE)</f>
        <v>#N/A</v>
      </c>
      <c r="T295" s="10" t="e">
        <f>VLOOKUP(AJ287,'FRC Site Data'!$B$3:$L$42,4,FALSE)</f>
        <v>#N/A</v>
      </c>
      <c r="U295" s="10" t="e">
        <f>VLOOKUP(AJ287,'FRC Site Data'!$B$3:$L$42,5,FALSE)</f>
        <v>#N/A</v>
      </c>
      <c r="V295" s="10" t="e">
        <f>VLOOKUP(AJ287,'FRC Site Data'!$B$3:$L$42,6,FALSE)</f>
        <v>#N/A</v>
      </c>
      <c r="W295" s="10" t="e">
        <f>VLOOKUP(AJ287,'FRC Site Data'!$B$3:$L$42,8,FALSE)</f>
        <v>#N/A</v>
      </c>
      <c r="X295" s="10" t="e">
        <f>VLOOKUP(AJ287,'FRC Site Data'!$B$3:$L$42,9,FALSE)</f>
        <v>#N/A</v>
      </c>
      <c r="Y295" s="10" t="e">
        <f>VLOOKUP(AJ287,'FRC Site Data'!$B$3:$L$42,10,FALSE)</f>
        <v>#N/A</v>
      </c>
      <c r="Z295" s="10" t="e">
        <f>VLOOKUP(AJ287,'FRC Site Data'!$B$3:$L$42,11,FALSE)</f>
        <v>#N/A</v>
      </c>
      <c r="AA295" s="10" t="e">
        <f>VLOOKUP(AJ287,'CIR Team Info'!$C$5:$E$44,4,FALSE)</f>
        <v>#N/A</v>
      </c>
      <c r="AB295" s="161" t="b">
        <f>ISNUMBER(VLOOKUP(AJ287,Match!$T$5:$T$10,1,FALSE))</f>
        <v>0</v>
      </c>
      <c r="AC295" s="161" t="b">
        <f>IF(AB295=TRUE,(VLOOKUP($AJ287,Match!$T$5:$U$10,2,FALSE)))</f>
        <v>0</v>
      </c>
      <c r="AD295" s="8">
        <v>3</v>
      </c>
      <c r="AE295" s="8">
        <v>2</v>
      </c>
      <c r="AF295" s="8">
        <v>2</v>
      </c>
      <c r="AG295" s="8">
        <v>1</v>
      </c>
      <c r="AH295" s="8" t="str">
        <f t="shared" si="95"/>
        <v/>
      </c>
      <c r="AI295" s="12"/>
      <c r="AZ295" s="12"/>
      <c r="BC295" s="12"/>
      <c r="BK295" s="12"/>
    </row>
    <row r="296" spans="1:63" x14ac:dyDescent="0.25">
      <c r="A296" s="29">
        <f t="shared" si="97"/>
        <v>0</v>
      </c>
      <c r="B296" s="29">
        <f t="shared" si="90"/>
        <v>0</v>
      </c>
      <c r="C296" s="29">
        <f t="shared" si="91"/>
        <v>0</v>
      </c>
      <c r="D296" s="29">
        <f t="shared" si="92"/>
        <v>0</v>
      </c>
      <c r="E296" s="29">
        <f t="shared" si="98"/>
        <v>0</v>
      </c>
      <c r="F296" s="29">
        <f t="shared" si="99"/>
        <v>0</v>
      </c>
      <c r="G296" s="29" t="str">
        <f t="shared" si="100"/>
        <v>offensive</v>
      </c>
      <c r="H296" s="16">
        <f t="shared" si="88"/>
        <v>0</v>
      </c>
      <c r="I296" s="16">
        <f t="shared" si="89"/>
        <v>0</v>
      </c>
      <c r="J296" s="16">
        <f t="shared" si="93"/>
        <v>0</v>
      </c>
      <c r="K296" s="16">
        <f t="shared" si="101"/>
        <v>0</v>
      </c>
      <c r="L296" s="67">
        <f t="shared" si="102"/>
        <v>0</v>
      </c>
      <c r="M296" s="4">
        <f t="shared" si="94"/>
        <v>0</v>
      </c>
      <c r="N296" s="4">
        <f t="shared" si="96"/>
        <v>0</v>
      </c>
      <c r="O296" s="4">
        <f t="shared" si="103"/>
        <v>0</v>
      </c>
      <c r="P296" s="4" t="e">
        <f>VLOOKUP(AJ288,'CIR Team Info'!$C$5:$E$44,2,FALSE)</f>
        <v>#N/A</v>
      </c>
      <c r="Q296" s="4" t="e">
        <f>VLOOKUP(AJ288,'CIR Team Info'!$C$5:$E$44,3,FALSE)</f>
        <v>#N/A</v>
      </c>
      <c r="R296" s="10" t="e">
        <f>VLOOKUP(AJ288,'FRC Site Data'!$B$3:$L$42,2,FALSE)</f>
        <v>#N/A</v>
      </c>
      <c r="S296" s="10" t="e">
        <f>VLOOKUP(AJ288,'FRC Site Data'!$B$3:$L$42,3,FALSE)</f>
        <v>#N/A</v>
      </c>
      <c r="T296" s="10" t="e">
        <f>VLOOKUP(AJ288,'FRC Site Data'!$B$3:$L$42,4,FALSE)</f>
        <v>#N/A</v>
      </c>
      <c r="U296" s="10" t="e">
        <f>VLOOKUP(AJ288,'FRC Site Data'!$B$3:$L$42,5,FALSE)</f>
        <v>#N/A</v>
      </c>
      <c r="V296" s="10" t="e">
        <f>VLOOKUP(AJ288,'FRC Site Data'!$B$3:$L$42,6,FALSE)</f>
        <v>#N/A</v>
      </c>
      <c r="W296" s="10" t="e">
        <f>VLOOKUP(AJ288,'FRC Site Data'!$B$3:$L$42,8,FALSE)</f>
        <v>#N/A</v>
      </c>
      <c r="X296" s="10" t="e">
        <f>VLOOKUP(AJ288,'FRC Site Data'!$B$3:$L$42,9,FALSE)</f>
        <v>#N/A</v>
      </c>
      <c r="Y296" s="10" t="e">
        <f>VLOOKUP(AJ288,'FRC Site Data'!$B$3:$L$42,10,FALSE)</f>
        <v>#N/A</v>
      </c>
      <c r="Z296" s="10" t="e">
        <f>VLOOKUP(AJ288,'FRC Site Data'!$B$3:$L$42,11,FALSE)</f>
        <v>#N/A</v>
      </c>
      <c r="AA296" s="10" t="e">
        <f>VLOOKUP(AJ288,'CIR Team Info'!$C$5:$E$44,4,FALSE)</f>
        <v>#N/A</v>
      </c>
      <c r="AB296" s="161" t="b">
        <f>ISNUMBER(VLOOKUP(AJ288,Match!$T$5:$T$10,1,FALSE))</f>
        <v>0</v>
      </c>
      <c r="AC296" s="161" t="b">
        <f>IF(AB296=TRUE,(VLOOKUP($AJ288,Match!$T$5:$U$10,2,FALSE)))</f>
        <v>0</v>
      </c>
      <c r="AD296" s="8">
        <v>3</v>
      </c>
      <c r="AE296" s="8">
        <v>2</v>
      </c>
      <c r="AF296" s="8">
        <v>2</v>
      </c>
      <c r="AG296" s="8">
        <v>1</v>
      </c>
      <c r="AH296" s="8" t="str">
        <f t="shared" si="95"/>
        <v/>
      </c>
      <c r="AI296" s="12"/>
      <c r="AZ296" s="12"/>
      <c r="BC296" s="12"/>
      <c r="BK296" s="12"/>
    </row>
    <row r="297" spans="1:63" x14ac:dyDescent="0.25">
      <c r="A297" s="29">
        <f t="shared" si="97"/>
        <v>0</v>
      </c>
      <c r="B297" s="29">
        <f t="shared" si="90"/>
        <v>0</v>
      </c>
      <c r="C297" s="29">
        <f t="shared" si="91"/>
        <v>0</v>
      </c>
      <c r="D297" s="29">
        <f t="shared" si="92"/>
        <v>0</v>
      </c>
      <c r="E297" s="29">
        <f t="shared" si="98"/>
        <v>0</v>
      </c>
      <c r="F297" s="29">
        <f t="shared" si="99"/>
        <v>0</v>
      </c>
      <c r="G297" s="29" t="str">
        <f t="shared" si="100"/>
        <v>offensive</v>
      </c>
      <c r="H297" s="16">
        <f t="shared" si="88"/>
        <v>0</v>
      </c>
      <c r="I297" s="16">
        <f t="shared" si="89"/>
        <v>0</v>
      </c>
      <c r="J297" s="16">
        <f t="shared" si="93"/>
        <v>0</v>
      </c>
      <c r="K297" s="16">
        <f t="shared" si="101"/>
        <v>0</v>
      </c>
      <c r="L297" s="67">
        <f t="shared" si="102"/>
        <v>0</v>
      </c>
      <c r="M297" s="4">
        <f t="shared" si="94"/>
        <v>0</v>
      </c>
      <c r="N297" s="4">
        <f t="shared" si="96"/>
        <v>0</v>
      </c>
      <c r="O297" s="4">
        <f t="shared" si="103"/>
        <v>0</v>
      </c>
      <c r="P297" s="4" t="e">
        <f>VLOOKUP(AJ289,'CIR Team Info'!$C$5:$E$44,2,FALSE)</f>
        <v>#N/A</v>
      </c>
      <c r="Q297" s="4" t="e">
        <f>VLOOKUP(AJ289,'CIR Team Info'!$C$5:$E$44,3,FALSE)</f>
        <v>#N/A</v>
      </c>
      <c r="R297" s="10" t="e">
        <f>VLOOKUP(AJ289,'FRC Site Data'!$B$3:$L$42,2,FALSE)</f>
        <v>#N/A</v>
      </c>
      <c r="S297" s="10" t="e">
        <f>VLOOKUP(AJ289,'FRC Site Data'!$B$3:$L$42,3,FALSE)</f>
        <v>#N/A</v>
      </c>
      <c r="T297" s="10" t="e">
        <f>VLOOKUP(AJ289,'FRC Site Data'!$B$3:$L$42,4,FALSE)</f>
        <v>#N/A</v>
      </c>
      <c r="U297" s="10" t="e">
        <f>VLOOKUP(AJ289,'FRC Site Data'!$B$3:$L$42,5,FALSE)</f>
        <v>#N/A</v>
      </c>
      <c r="V297" s="10" t="e">
        <f>VLOOKUP(AJ289,'FRC Site Data'!$B$3:$L$42,6,FALSE)</f>
        <v>#N/A</v>
      </c>
      <c r="W297" s="10" t="e">
        <f>VLOOKUP(AJ289,'FRC Site Data'!$B$3:$L$42,8,FALSE)</f>
        <v>#N/A</v>
      </c>
      <c r="X297" s="10" t="e">
        <f>VLOOKUP(AJ289,'FRC Site Data'!$B$3:$L$42,9,FALSE)</f>
        <v>#N/A</v>
      </c>
      <c r="Y297" s="10" t="e">
        <f>VLOOKUP(AJ289,'FRC Site Data'!$B$3:$L$42,10,FALSE)</f>
        <v>#N/A</v>
      </c>
      <c r="Z297" s="10" t="e">
        <f>VLOOKUP(AJ289,'FRC Site Data'!$B$3:$L$42,11,FALSE)</f>
        <v>#N/A</v>
      </c>
      <c r="AA297" s="10" t="e">
        <f>VLOOKUP(AJ289,'CIR Team Info'!$C$5:$E$44,4,FALSE)</f>
        <v>#N/A</v>
      </c>
      <c r="AB297" s="161" t="b">
        <f>ISNUMBER(VLOOKUP(AJ289,Match!$T$5:$T$10,1,FALSE))</f>
        <v>0</v>
      </c>
      <c r="AC297" s="161" t="b">
        <f>IF(AB297=TRUE,(VLOOKUP($AJ289,Match!$T$5:$U$10,2,FALSE)))</f>
        <v>0</v>
      </c>
      <c r="AD297" s="8">
        <v>3</v>
      </c>
      <c r="AE297" s="8">
        <v>2</v>
      </c>
      <c r="AF297" s="8">
        <v>2</v>
      </c>
      <c r="AG297" s="8">
        <v>1</v>
      </c>
      <c r="AH297" s="8" t="str">
        <f t="shared" si="95"/>
        <v/>
      </c>
      <c r="AI297" s="12"/>
      <c r="AZ297" s="12"/>
      <c r="BC297" s="12"/>
      <c r="BK297" s="12"/>
    </row>
    <row r="298" spans="1:63" x14ac:dyDescent="0.25">
      <c r="A298" s="29">
        <f t="shared" si="97"/>
        <v>0</v>
      </c>
      <c r="B298" s="29">
        <f t="shared" si="90"/>
        <v>0</v>
      </c>
      <c r="C298" s="29">
        <f t="shared" si="91"/>
        <v>0</v>
      </c>
      <c r="D298" s="29">
        <f t="shared" si="92"/>
        <v>0</v>
      </c>
      <c r="E298" s="29">
        <f t="shared" si="98"/>
        <v>0</v>
      </c>
      <c r="F298" s="29">
        <f t="shared" si="99"/>
        <v>0</v>
      </c>
      <c r="G298" s="29" t="str">
        <f t="shared" si="100"/>
        <v>offensive</v>
      </c>
      <c r="H298" s="16">
        <f t="shared" si="88"/>
        <v>0</v>
      </c>
      <c r="I298" s="16">
        <f t="shared" si="89"/>
        <v>0</v>
      </c>
      <c r="J298" s="16">
        <f t="shared" si="93"/>
        <v>0</v>
      </c>
      <c r="K298" s="16">
        <f t="shared" si="101"/>
        <v>0</v>
      </c>
      <c r="L298" s="67">
        <f t="shared" si="102"/>
        <v>0</v>
      </c>
      <c r="M298" s="4">
        <f t="shared" si="94"/>
        <v>0</v>
      </c>
      <c r="N298" s="4">
        <f t="shared" si="96"/>
        <v>0</v>
      </c>
      <c r="O298" s="4">
        <f t="shared" si="103"/>
        <v>0</v>
      </c>
      <c r="P298" s="4" t="e">
        <f>VLOOKUP(AJ290,'CIR Team Info'!$C$5:$E$44,2,FALSE)</f>
        <v>#N/A</v>
      </c>
      <c r="Q298" s="4" t="e">
        <f>VLOOKUP(AJ290,'CIR Team Info'!$C$5:$E$44,3,FALSE)</f>
        <v>#N/A</v>
      </c>
      <c r="R298" s="10" t="e">
        <f>VLOOKUP(AJ290,'FRC Site Data'!$B$3:$L$42,2,FALSE)</f>
        <v>#N/A</v>
      </c>
      <c r="S298" s="10" t="e">
        <f>VLOOKUP(AJ290,'FRC Site Data'!$B$3:$L$42,3,FALSE)</f>
        <v>#N/A</v>
      </c>
      <c r="T298" s="10" t="e">
        <f>VLOOKUP(AJ290,'FRC Site Data'!$B$3:$L$42,4,FALSE)</f>
        <v>#N/A</v>
      </c>
      <c r="U298" s="10" t="e">
        <f>VLOOKUP(AJ290,'FRC Site Data'!$B$3:$L$42,5,FALSE)</f>
        <v>#N/A</v>
      </c>
      <c r="V298" s="10" t="e">
        <f>VLOOKUP(AJ290,'FRC Site Data'!$B$3:$L$42,6,FALSE)</f>
        <v>#N/A</v>
      </c>
      <c r="W298" s="10" t="e">
        <f>VLOOKUP(AJ290,'FRC Site Data'!$B$3:$L$42,8,FALSE)</f>
        <v>#N/A</v>
      </c>
      <c r="X298" s="10" t="e">
        <f>VLOOKUP(AJ290,'FRC Site Data'!$B$3:$L$42,9,FALSE)</f>
        <v>#N/A</v>
      </c>
      <c r="Y298" s="10" t="e">
        <f>VLOOKUP(AJ290,'FRC Site Data'!$B$3:$L$42,10,FALSE)</f>
        <v>#N/A</v>
      </c>
      <c r="Z298" s="10" t="e">
        <f>VLOOKUP(AJ290,'FRC Site Data'!$B$3:$L$42,11,FALSE)</f>
        <v>#N/A</v>
      </c>
      <c r="AA298" s="10" t="e">
        <f>VLOOKUP(AJ290,'CIR Team Info'!$C$5:$E$44,4,FALSE)</f>
        <v>#N/A</v>
      </c>
      <c r="AB298" s="161" t="b">
        <f>ISNUMBER(VLOOKUP(AJ290,Match!$T$5:$T$10,1,FALSE))</f>
        <v>0</v>
      </c>
      <c r="AC298" s="161" t="b">
        <f>IF(AB298=TRUE,(VLOOKUP($AJ290,Match!$T$5:$U$10,2,FALSE)))</f>
        <v>0</v>
      </c>
      <c r="AD298" s="8">
        <v>3</v>
      </c>
      <c r="AE298" s="8">
        <v>2</v>
      </c>
      <c r="AF298" s="8">
        <v>2</v>
      </c>
      <c r="AG298" s="8">
        <v>1</v>
      </c>
      <c r="AH298" s="8" t="str">
        <f t="shared" si="95"/>
        <v/>
      </c>
      <c r="AI298" s="12"/>
      <c r="AZ298" s="12"/>
      <c r="BC298" s="12"/>
      <c r="BK298" s="12"/>
    </row>
    <row r="299" spans="1:63" x14ac:dyDescent="0.25">
      <c r="A299" s="29">
        <f t="shared" si="97"/>
        <v>0</v>
      </c>
      <c r="B299" s="29">
        <f t="shared" si="90"/>
        <v>0</v>
      </c>
      <c r="C299" s="29">
        <f t="shared" si="91"/>
        <v>0</v>
      </c>
      <c r="D299" s="29">
        <f t="shared" si="92"/>
        <v>0</v>
      </c>
      <c r="E299" s="29">
        <f t="shared" si="98"/>
        <v>0</v>
      </c>
      <c r="F299" s="29">
        <f t="shared" si="99"/>
        <v>0</v>
      </c>
      <c r="G299" s="29" t="str">
        <f t="shared" si="100"/>
        <v>offensive</v>
      </c>
      <c r="H299" s="16">
        <f t="shared" si="88"/>
        <v>0</v>
      </c>
      <c r="I299" s="16">
        <f t="shared" si="89"/>
        <v>0</v>
      </c>
      <c r="J299" s="16">
        <f t="shared" si="93"/>
        <v>0</v>
      </c>
      <c r="K299" s="16">
        <f t="shared" si="101"/>
        <v>0</v>
      </c>
      <c r="L299" s="67">
        <f t="shared" si="102"/>
        <v>0</v>
      </c>
      <c r="M299" s="4">
        <f t="shared" si="94"/>
        <v>0</v>
      </c>
      <c r="N299" s="4">
        <f t="shared" si="96"/>
        <v>0</v>
      </c>
      <c r="O299" s="4">
        <f t="shared" si="103"/>
        <v>0</v>
      </c>
      <c r="P299" s="4" t="e">
        <f>VLOOKUP(AJ291,'CIR Team Info'!$C$5:$E$44,2,FALSE)</f>
        <v>#N/A</v>
      </c>
      <c r="Q299" s="4" t="e">
        <f>VLOOKUP(AJ291,'CIR Team Info'!$C$5:$E$44,3,FALSE)</f>
        <v>#N/A</v>
      </c>
      <c r="R299" s="10" t="e">
        <f>VLOOKUP(AJ291,'FRC Site Data'!$B$3:$L$42,2,FALSE)</f>
        <v>#N/A</v>
      </c>
      <c r="S299" s="10" t="e">
        <f>VLOOKUP(AJ291,'FRC Site Data'!$B$3:$L$42,3,FALSE)</f>
        <v>#N/A</v>
      </c>
      <c r="T299" s="10" t="e">
        <f>VLOOKUP(AJ291,'FRC Site Data'!$B$3:$L$42,4,FALSE)</f>
        <v>#N/A</v>
      </c>
      <c r="U299" s="10" t="e">
        <f>VLOOKUP(AJ291,'FRC Site Data'!$B$3:$L$42,5,FALSE)</f>
        <v>#N/A</v>
      </c>
      <c r="V299" s="10" t="e">
        <f>VLOOKUP(AJ291,'FRC Site Data'!$B$3:$L$42,6,FALSE)</f>
        <v>#N/A</v>
      </c>
      <c r="W299" s="10" t="e">
        <f>VLOOKUP(AJ291,'FRC Site Data'!$B$3:$L$42,8,FALSE)</f>
        <v>#N/A</v>
      </c>
      <c r="X299" s="10" t="e">
        <f>VLOOKUP(AJ291,'FRC Site Data'!$B$3:$L$42,9,FALSE)</f>
        <v>#N/A</v>
      </c>
      <c r="Y299" s="10" t="e">
        <f>VLOOKUP(AJ291,'FRC Site Data'!$B$3:$L$42,10,FALSE)</f>
        <v>#N/A</v>
      </c>
      <c r="Z299" s="10" t="e">
        <f>VLOOKUP(AJ291,'FRC Site Data'!$B$3:$L$42,11,FALSE)</f>
        <v>#N/A</v>
      </c>
      <c r="AA299" s="10" t="e">
        <f>VLOOKUP(AJ291,'CIR Team Info'!$C$5:$E$44,4,FALSE)</f>
        <v>#N/A</v>
      </c>
      <c r="AB299" s="161" t="b">
        <f>ISNUMBER(VLOOKUP(AJ291,Match!$T$5:$T$10,1,FALSE))</f>
        <v>0</v>
      </c>
      <c r="AC299" s="161" t="b">
        <f>IF(AB299=TRUE,(VLOOKUP($AJ291,Match!$T$5:$U$10,2,FALSE)))</f>
        <v>0</v>
      </c>
      <c r="AD299" s="8">
        <v>3</v>
      </c>
      <c r="AE299" s="8">
        <v>2</v>
      </c>
      <c r="AF299" s="8">
        <v>2</v>
      </c>
      <c r="AG299" s="8">
        <v>1</v>
      </c>
      <c r="AH299" s="8" t="str">
        <f t="shared" si="95"/>
        <v/>
      </c>
      <c r="AI299" s="12"/>
      <c r="AZ299" s="12"/>
      <c r="BC299" s="12"/>
      <c r="BK299" s="12"/>
    </row>
    <row r="300" spans="1:63" x14ac:dyDescent="0.25">
      <c r="A300" s="29">
        <f t="shared" si="97"/>
        <v>0</v>
      </c>
      <c r="B300" s="29">
        <f t="shared" si="90"/>
        <v>0</v>
      </c>
      <c r="C300" s="29">
        <f t="shared" si="91"/>
        <v>0</v>
      </c>
      <c r="D300" s="29">
        <f t="shared" si="92"/>
        <v>0</v>
      </c>
      <c r="E300" s="29">
        <f t="shared" si="98"/>
        <v>0</v>
      </c>
      <c r="F300" s="29">
        <f t="shared" si="99"/>
        <v>0</v>
      </c>
      <c r="G300" s="29" t="str">
        <f t="shared" si="100"/>
        <v>offensive</v>
      </c>
      <c r="H300" s="16">
        <f t="shared" ref="H300:H355" si="104">IF((AO292+AP292)=0,0,AO292/(AO292+AP292))</f>
        <v>0</v>
      </c>
      <c r="I300" s="16">
        <f t="shared" ref="I300:I355" si="105">IF((AV292+AW292)=0,0,AV292/(AV292+AW292))</f>
        <v>0</v>
      </c>
      <c r="J300" s="16">
        <f t="shared" si="93"/>
        <v>0</v>
      </c>
      <c r="K300" s="16">
        <f t="shared" si="101"/>
        <v>0</v>
      </c>
      <c r="L300" s="67">
        <f t="shared" si="102"/>
        <v>0</v>
      </c>
      <c r="M300" s="4">
        <f t="shared" si="94"/>
        <v>0</v>
      </c>
      <c r="N300" s="4">
        <f t="shared" si="96"/>
        <v>0</v>
      </c>
      <c r="O300" s="4">
        <f t="shared" si="103"/>
        <v>0</v>
      </c>
      <c r="P300" s="4" t="e">
        <f>VLOOKUP(AJ292,'CIR Team Info'!$C$5:$E$44,2,FALSE)</f>
        <v>#N/A</v>
      </c>
      <c r="Q300" s="4" t="e">
        <f>VLOOKUP(AJ292,'CIR Team Info'!$C$5:$E$44,3,FALSE)</f>
        <v>#N/A</v>
      </c>
      <c r="R300" s="10" t="e">
        <f>VLOOKUP(AJ292,'FRC Site Data'!$B$3:$L$42,2,FALSE)</f>
        <v>#N/A</v>
      </c>
      <c r="S300" s="10" t="e">
        <f>VLOOKUP(AJ292,'FRC Site Data'!$B$3:$L$42,3,FALSE)</f>
        <v>#N/A</v>
      </c>
      <c r="T300" s="10" t="e">
        <f>VLOOKUP(AJ292,'FRC Site Data'!$B$3:$L$42,4,FALSE)</f>
        <v>#N/A</v>
      </c>
      <c r="U300" s="10" t="e">
        <f>VLOOKUP(AJ292,'FRC Site Data'!$B$3:$L$42,5,FALSE)</f>
        <v>#N/A</v>
      </c>
      <c r="V300" s="10" t="e">
        <f>VLOOKUP(AJ292,'FRC Site Data'!$B$3:$L$42,6,FALSE)</f>
        <v>#N/A</v>
      </c>
      <c r="W300" s="10" t="e">
        <f>VLOOKUP(AJ292,'FRC Site Data'!$B$3:$L$42,8,FALSE)</f>
        <v>#N/A</v>
      </c>
      <c r="X300" s="10" t="e">
        <f>VLOOKUP(AJ292,'FRC Site Data'!$B$3:$L$42,9,FALSE)</f>
        <v>#N/A</v>
      </c>
      <c r="Y300" s="10" t="e">
        <f>VLOOKUP(AJ292,'FRC Site Data'!$B$3:$L$42,10,FALSE)</f>
        <v>#N/A</v>
      </c>
      <c r="Z300" s="10" t="e">
        <f>VLOOKUP(AJ292,'FRC Site Data'!$B$3:$L$42,11,FALSE)</f>
        <v>#N/A</v>
      </c>
      <c r="AA300" s="10" t="e">
        <f>VLOOKUP(AJ292,'CIR Team Info'!$C$5:$E$44,4,FALSE)</f>
        <v>#N/A</v>
      </c>
      <c r="AB300" s="161" t="b">
        <f>ISNUMBER(VLOOKUP(AJ292,Match!$T$5:$T$10,1,FALSE))</f>
        <v>0</v>
      </c>
      <c r="AC300" s="161" t="b">
        <f>IF(AB300=TRUE,(VLOOKUP($AJ292,Match!$T$5:$U$10,2,FALSE)))</f>
        <v>0</v>
      </c>
      <c r="AD300" s="8">
        <v>3</v>
      </c>
      <c r="AE300" s="8">
        <v>2</v>
      </c>
      <c r="AF300" s="8">
        <v>2</v>
      </c>
      <c r="AG300" s="8">
        <v>1</v>
      </c>
      <c r="AH300" s="8" t="str">
        <f t="shared" si="95"/>
        <v/>
      </c>
      <c r="AI300" s="12"/>
      <c r="AZ300" s="12"/>
      <c r="BC300" s="12"/>
      <c r="BK300" s="12"/>
    </row>
    <row r="301" spans="1:63" x14ac:dyDescent="0.25">
      <c r="A301" s="29">
        <f t="shared" si="97"/>
        <v>0</v>
      </c>
      <c r="B301" s="29">
        <f t="shared" si="90"/>
        <v>0</v>
      </c>
      <c r="C301" s="29">
        <f t="shared" si="91"/>
        <v>0</v>
      </c>
      <c r="D301" s="29">
        <f t="shared" si="92"/>
        <v>0</v>
      </c>
      <c r="E301" s="29">
        <f t="shared" si="98"/>
        <v>0</v>
      </c>
      <c r="F301" s="29">
        <f t="shared" si="99"/>
        <v>0</v>
      </c>
      <c r="G301" s="29" t="str">
        <f t="shared" si="100"/>
        <v>offensive</v>
      </c>
      <c r="H301" s="16">
        <f t="shared" si="104"/>
        <v>0</v>
      </c>
      <c r="I301" s="16">
        <f t="shared" si="105"/>
        <v>0</v>
      </c>
      <c r="J301" s="16">
        <f t="shared" si="93"/>
        <v>0</v>
      </c>
      <c r="K301" s="16">
        <f t="shared" si="101"/>
        <v>0</v>
      </c>
      <c r="L301" s="67">
        <f t="shared" si="102"/>
        <v>0</v>
      </c>
      <c r="M301" s="4">
        <f t="shared" si="94"/>
        <v>0</v>
      </c>
      <c r="N301" s="4">
        <f t="shared" si="96"/>
        <v>0</v>
      </c>
      <c r="O301" s="4">
        <f t="shared" si="103"/>
        <v>0</v>
      </c>
      <c r="P301" s="4" t="e">
        <f>VLOOKUP(AJ293,'CIR Team Info'!$C$5:$E$44,2,FALSE)</f>
        <v>#N/A</v>
      </c>
      <c r="Q301" s="4" t="e">
        <f>VLOOKUP(AJ293,'CIR Team Info'!$C$5:$E$44,3,FALSE)</f>
        <v>#N/A</v>
      </c>
      <c r="R301" s="10" t="e">
        <f>VLOOKUP(AJ293,'FRC Site Data'!$B$3:$L$42,2,FALSE)</f>
        <v>#N/A</v>
      </c>
      <c r="S301" s="10" t="e">
        <f>VLOOKUP(AJ293,'FRC Site Data'!$B$3:$L$42,3,FALSE)</f>
        <v>#N/A</v>
      </c>
      <c r="T301" s="10" t="e">
        <f>VLOOKUP(AJ293,'FRC Site Data'!$B$3:$L$42,4,FALSE)</f>
        <v>#N/A</v>
      </c>
      <c r="U301" s="10" t="e">
        <f>VLOOKUP(AJ293,'FRC Site Data'!$B$3:$L$42,5,FALSE)</f>
        <v>#N/A</v>
      </c>
      <c r="V301" s="10" t="e">
        <f>VLOOKUP(AJ293,'FRC Site Data'!$B$3:$L$42,6,FALSE)</f>
        <v>#N/A</v>
      </c>
      <c r="W301" s="10" t="e">
        <f>VLOOKUP(AJ293,'FRC Site Data'!$B$3:$L$42,8,FALSE)</f>
        <v>#N/A</v>
      </c>
      <c r="X301" s="10" t="e">
        <f>VLOOKUP(AJ293,'FRC Site Data'!$B$3:$L$42,9,FALSE)</f>
        <v>#N/A</v>
      </c>
      <c r="Y301" s="10" t="e">
        <f>VLOOKUP(AJ293,'FRC Site Data'!$B$3:$L$42,10,FALSE)</f>
        <v>#N/A</v>
      </c>
      <c r="Z301" s="10" t="e">
        <f>VLOOKUP(AJ293,'FRC Site Data'!$B$3:$L$42,11,FALSE)</f>
        <v>#N/A</v>
      </c>
      <c r="AA301" s="10" t="e">
        <f>VLOOKUP(AJ293,'CIR Team Info'!$C$5:$E$44,4,FALSE)</f>
        <v>#N/A</v>
      </c>
      <c r="AB301" s="161" t="b">
        <f>ISNUMBER(VLOOKUP(AJ293,Match!$T$5:$T$10,1,FALSE))</f>
        <v>0</v>
      </c>
      <c r="AC301" s="161" t="b">
        <f>IF(AB301=TRUE,(VLOOKUP($AJ293,Match!$T$5:$U$10,2,FALSE)))</f>
        <v>0</v>
      </c>
      <c r="AD301" s="8">
        <v>3</v>
      </c>
      <c r="AE301" s="8">
        <v>2</v>
      </c>
      <c r="AF301" s="8">
        <v>2</v>
      </c>
      <c r="AG301" s="8">
        <v>1</v>
      </c>
      <c r="AH301" s="8" t="str">
        <f t="shared" si="95"/>
        <v/>
      </c>
      <c r="AI301" s="12"/>
      <c r="AZ301" s="12"/>
      <c r="BC301" s="12"/>
      <c r="BK301" s="12"/>
    </row>
    <row r="302" spans="1:63" x14ac:dyDescent="0.25">
      <c r="A302" s="29">
        <f t="shared" si="97"/>
        <v>0</v>
      </c>
      <c r="B302" s="29">
        <f t="shared" si="90"/>
        <v>0</v>
      </c>
      <c r="C302" s="29">
        <f t="shared" si="91"/>
        <v>0</v>
      </c>
      <c r="D302" s="29">
        <f t="shared" si="92"/>
        <v>0</v>
      </c>
      <c r="E302" s="29">
        <f t="shared" si="98"/>
        <v>0</v>
      </c>
      <c r="F302" s="29">
        <f t="shared" si="99"/>
        <v>0</v>
      </c>
      <c r="G302" s="29" t="str">
        <f t="shared" si="100"/>
        <v>offensive</v>
      </c>
      <c r="H302" s="16">
        <f t="shared" si="104"/>
        <v>0</v>
      </c>
      <c r="I302" s="16">
        <f t="shared" si="105"/>
        <v>0</v>
      </c>
      <c r="J302" s="16">
        <f t="shared" si="93"/>
        <v>0</v>
      </c>
      <c r="K302" s="16">
        <f t="shared" si="101"/>
        <v>0</v>
      </c>
      <c r="L302" s="67">
        <f t="shared" si="102"/>
        <v>0</v>
      </c>
      <c r="M302" s="4">
        <f t="shared" si="94"/>
        <v>0</v>
      </c>
      <c r="N302" s="4">
        <f t="shared" si="96"/>
        <v>0</v>
      </c>
      <c r="O302" s="4">
        <f t="shared" si="103"/>
        <v>0</v>
      </c>
      <c r="P302" s="4" t="e">
        <f>VLOOKUP(AJ294,'CIR Team Info'!$C$5:$E$44,2,FALSE)</f>
        <v>#N/A</v>
      </c>
      <c r="Q302" s="4" t="e">
        <f>VLOOKUP(AJ294,'CIR Team Info'!$C$5:$E$44,3,FALSE)</f>
        <v>#N/A</v>
      </c>
      <c r="R302" s="10" t="e">
        <f>VLOOKUP(AJ294,'FRC Site Data'!$B$3:$L$42,2,FALSE)</f>
        <v>#N/A</v>
      </c>
      <c r="S302" s="10" t="e">
        <f>VLOOKUP(AJ294,'FRC Site Data'!$B$3:$L$42,3,FALSE)</f>
        <v>#N/A</v>
      </c>
      <c r="T302" s="10" t="e">
        <f>VLOOKUP(AJ294,'FRC Site Data'!$B$3:$L$42,4,FALSE)</f>
        <v>#N/A</v>
      </c>
      <c r="U302" s="10" t="e">
        <f>VLOOKUP(AJ294,'FRC Site Data'!$B$3:$L$42,5,FALSE)</f>
        <v>#N/A</v>
      </c>
      <c r="V302" s="10" t="e">
        <f>VLOOKUP(AJ294,'FRC Site Data'!$B$3:$L$42,6,FALSE)</f>
        <v>#N/A</v>
      </c>
      <c r="W302" s="10" t="e">
        <f>VLOOKUP(AJ294,'FRC Site Data'!$B$3:$L$42,8,FALSE)</f>
        <v>#N/A</v>
      </c>
      <c r="X302" s="10" t="e">
        <f>VLOOKUP(AJ294,'FRC Site Data'!$B$3:$L$42,9,FALSE)</f>
        <v>#N/A</v>
      </c>
      <c r="Y302" s="10" t="e">
        <f>VLOOKUP(AJ294,'FRC Site Data'!$B$3:$L$42,10,FALSE)</f>
        <v>#N/A</v>
      </c>
      <c r="Z302" s="10" t="e">
        <f>VLOOKUP(AJ294,'FRC Site Data'!$B$3:$L$42,11,FALSE)</f>
        <v>#N/A</v>
      </c>
      <c r="AA302" s="10" t="e">
        <f>VLOOKUP(AJ294,'CIR Team Info'!$C$5:$E$44,4,FALSE)</f>
        <v>#N/A</v>
      </c>
      <c r="AB302" s="161" t="b">
        <f>ISNUMBER(VLOOKUP(AJ294,Match!$T$5:$T$10,1,FALSE))</f>
        <v>0</v>
      </c>
      <c r="AC302" s="161" t="b">
        <f>IF(AB302=TRUE,(VLOOKUP($AJ294,Match!$T$5:$U$10,2,FALSE)))</f>
        <v>0</v>
      </c>
      <c r="AD302" s="8">
        <v>3</v>
      </c>
      <c r="AE302" s="8">
        <v>2</v>
      </c>
      <c r="AF302" s="8">
        <v>2</v>
      </c>
      <c r="AG302" s="8">
        <v>1</v>
      </c>
      <c r="AH302" s="8" t="str">
        <f t="shared" si="95"/>
        <v/>
      </c>
      <c r="AI302" s="12"/>
      <c r="AZ302" s="12"/>
      <c r="BC302" s="12"/>
      <c r="BK302" s="12"/>
    </row>
    <row r="303" spans="1:63" x14ac:dyDescent="0.25">
      <c r="A303" s="29">
        <f t="shared" si="97"/>
        <v>0</v>
      </c>
      <c r="B303" s="29">
        <f t="shared" si="90"/>
        <v>0</v>
      </c>
      <c r="C303" s="29">
        <f t="shared" si="91"/>
        <v>0</v>
      </c>
      <c r="D303" s="29">
        <f t="shared" si="92"/>
        <v>0</v>
      </c>
      <c r="E303" s="29">
        <f t="shared" si="98"/>
        <v>0</v>
      </c>
      <c r="F303" s="29">
        <f t="shared" si="99"/>
        <v>0</v>
      </c>
      <c r="G303" s="29" t="str">
        <f t="shared" si="100"/>
        <v>offensive</v>
      </c>
      <c r="H303" s="16">
        <f t="shared" si="104"/>
        <v>0</v>
      </c>
      <c r="I303" s="16">
        <f t="shared" si="105"/>
        <v>0</v>
      </c>
      <c r="J303" s="16">
        <f t="shared" si="93"/>
        <v>0</v>
      </c>
      <c r="K303" s="16">
        <f t="shared" si="101"/>
        <v>0</v>
      </c>
      <c r="L303" s="67">
        <f t="shared" si="102"/>
        <v>0</v>
      </c>
      <c r="M303" s="4">
        <f t="shared" si="94"/>
        <v>0</v>
      </c>
      <c r="N303" s="4">
        <f t="shared" si="96"/>
        <v>0</v>
      </c>
      <c r="O303" s="4">
        <f t="shared" si="103"/>
        <v>0</v>
      </c>
      <c r="P303" s="4" t="e">
        <f>VLOOKUP(AJ295,'CIR Team Info'!$C$5:$E$44,2,FALSE)</f>
        <v>#N/A</v>
      </c>
      <c r="Q303" s="4" t="e">
        <f>VLOOKUP(AJ295,'CIR Team Info'!$C$5:$E$44,3,FALSE)</f>
        <v>#N/A</v>
      </c>
      <c r="R303" s="10" t="e">
        <f>VLOOKUP(AJ295,'FRC Site Data'!$B$3:$L$42,2,FALSE)</f>
        <v>#N/A</v>
      </c>
      <c r="S303" s="10" t="e">
        <f>VLOOKUP(AJ295,'FRC Site Data'!$B$3:$L$42,3,FALSE)</f>
        <v>#N/A</v>
      </c>
      <c r="T303" s="10" t="e">
        <f>VLOOKUP(AJ295,'FRC Site Data'!$B$3:$L$42,4,FALSE)</f>
        <v>#N/A</v>
      </c>
      <c r="U303" s="10" t="e">
        <f>VLOOKUP(AJ295,'FRC Site Data'!$B$3:$L$42,5,FALSE)</f>
        <v>#N/A</v>
      </c>
      <c r="V303" s="10" t="e">
        <f>VLOOKUP(AJ295,'FRC Site Data'!$B$3:$L$42,6,FALSE)</f>
        <v>#N/A</v>
      </c>
      <c r="W303" s="10" t="e">
        <f>VLOOKUP(AJ295,'FRC Site Data'!$B$3:$L$42,8,FALSE)</f>
        <v>#N/A</v>
      </c>
      <c r="X303" s="10" t="e">
        <f>VLOOKUP(AJ295,'FRC Site Data'!$B$3:$L$42,9,FALSE)</f>
        <v>#N/A</v>
      </c>
      <c r="Y303" s="10" t="e">
        <f>VLOOKUP(AJ295,'FRC Site Data'!$B$3:$L$42,10,FALSE)</f>
        <v>#N/A</v>
      </c>
      <c r="Z303" s="10" t="e">
        <f>VLOOKUP(AJ295,'FRC Site Data'!$B$3:$L$42,11,FALSE)</f>
        <v>#N/A</v>
      </c>
      <c r="AA303" s="10" t="e">
        <f>VLOOKUP(AJ295,'CIR Team Info'!$C$5:$E$44,4,FALSE)</f>
        <v>#N/A</v>
      </c>
      <c r="AB303" s="161" t="b">
        <f>ISNUMBER(VLOOKUP(AJ295,Match!$T$5:$T$10,1,FALSE))</f>
        <v>0</v>
      </c>
      <c r="AC303" s="161" t="b">
        <f>IF(AB303=TRUE,(VLOOKUP($AJ295,Match!$T$5:$U$10,2,FALSE)))</f>
        <v>0</v>
      </c>
      <c r="AD303" s="8">
        <v>3</v>
      </c>
      <c r="AE303" s="8">
        <v>2</v>
      </c>
      <c r="AF303" s="8">
        <v>2</v>
      </c>
      <c r="AG303" s="8">
        <v>1</v>
      </c>
      <c r="AH303" s="8" t="str">
        <f t="shared" si="95"/>
        <v/>
      </c>
      <c r="AI303" s="12"/>
      <c r="AZ303" s="12"/>
      <c r="BC303" s="12"/>
      <c r="BK303" s="12"/>
    </row>
    <row r="304" spans="1:63" x14ac:dyDescent="0.25">
      <c r="A304" s="29">
        <f t="shared" si="97"/>
        <v>0</v>
      </c>
      <c r="B304" s="29">
        <f t="shared" si="90"/>
        <v>0</v>
      </c>
      <c r="C304" s="29">
        <f t="shared" si="91"/>
        <v>0</v>
      </c>
      <c r="D304" s="29">
        <f t="shared" si="92"/>
        <v>0</v>
      </c>
      <c r="E304" s="29">
        <f t="shared" si="98"/>
        <v>0</v>
      </c>
      <c r="F304" s="29">
        <f t="shared" si="99"/>
        <v>0</v>
      </c>
      <c r="G304" s="29" t="str">
        <f t="shared" si="100"/>
        <v>offensive</v>
      </c>
      <c r="H304" s="16">
        <f t="shared" si="104"/>
        <v>0</v>
      </c>
      <c r="I304" s="16">
        <f t="shared" si="105"/>
        <v>0</v>
      </c>
      <c r="J304" s="16">
        <f t="shared" si="93"/>
        <v>0</v>
      </c>
      <c r="K304" s="16">
        <f t="shared" si="101"/>
        <v>0</v>
      </c>
      <c r="L304" s="67">
        <f t="shared" si="102"/>
        <v>0</v>
      </c>
      <c r="M304" s="4">
        <f t="shared" si="94"/>
        <v>0</v>
      </c>
      <c r="N304" s="4">
        <f t="shared" si="96"/>
        <v>0</v>
      </c>
      <c r="O304" s="4">
        <f t="shared" si="103"/>
        <v>0</v>
      </c>
      <c r="P304" s="4" t="e">
        <f>VLOOKUP(AJ296,'CIR Team Info'!$C$5:$E$44,2,FALSE)</f>
        <v>#N/A</v>
      </c>
      <c r="Q304" s="4" t="e">
        <f>VLOOKUP(AJ296,'CIR Team Info'!$C$5:$E$44,3,FALSE)</f>
        <v>#N/A</v>
      </c>
      <c r="R304" s="10" t="e">
        <f>VLOOKUP(AJ296,'FRC Site Data'!$B$3:$L$42,2,FALSE)</f>
        <v>#N/A</v>
      </c>
      <c r="S304" s="10" t="e">
        <f>VLOOKUP(AJ296,'FRC Site Data'!$B$3:$L$42,3,FALSE)</f>
        <v>#N/A</v>
      </c>
      <c r="T304" s="10" t="e">
        <f>VLOOKUP(AJ296,'FRC Site Data'!$B$3:$L$42,4,FALSE)</f>
        <v>#N/A</v>
      </c>
      <c r="U304" s="10" t="e">
        <f>VLOOKUP(AJ296,'FRC Site Data'!$B$3:$L$42,5,FALSE)</f>
        <v>#N/A</v>
      </c>
      <c r="V304" s="10" t="e">
        <f>VLOOKUP(AJ296,'FRC Site Data'!$B$3:$L$42,6,FALSE)</f>
        <v>#N/A</v>
      </c>
      <c r="W304" s="10" t="e">
        <f>VLOOKUP(AJ296,'FRC Site Data'!$B$3:$L$42,8,FALSE)</f>
        <v>#N/A</v>
      </c>
      <c r="X304" s="10" t="e">
        <f>VLOOKUP(AJ296,'FRC Site Data'!$B$3:$L$42,9,FALSE)</f>
        <v>#N/A</v>
      </c>
      <c r="Y304" s="10" t="e">
        <f>VLOOKUP(AJ296,'FRC Site Data'!$B$3:$L$42,10,FALSE)</f>
        <v>#N/A</v>
      </c>
      <c r="Z304" s="10" t="e">
        <f>VLOOKUP(AJ296,'FRC Site Data'!$B$3:$L$42,11,FALSE)</f>
        <v>#N/A</v>
      </c>
      <c r="AA304" s="10" t="e">
        <f>VLOOKUP(AJ296,'CIR Team Info'!$C$5:$E$44,4,FALSE)</f>
        <v>#N/A</v>
      </c>
      <c r="AB304" s="161" t="b">
        <f>ISNUMBER(VLOOKUP(AJ296,Match!$T$5:$T$10,1,FALSE))</f>
        <v>0</v>
      </c>
      <c r="AC304" s="161" t="b">
        <f>IF(AB304=TRUE,(VLOOKUP($AJ296,Match!$T$5:$U$10,2,FALSE)))</f>
        <v>0</v>
      </c>
      <c r="AD304" s="8">
        <v>3</v>
      </c>
      <c r="AE304" s="8">
        <v>2</v>
      </c>
      <c r="AF304" s="8">
        <v>2</v>
      </c>
      <c r="AG304" s="8">
        <v>1</v>
      </c>
      <c r="AH304" s="8" t="str">
        <f t="shared" si="95"/>
        <v/>
      </c>
      <c r="AI304" s="12"/>
      <c r="AZ304" s="12"/>
      <c r="BC304" s="12"/>
      <c r="BK304" s="12"/>
    </row>
    <row r="305" spans="1:63" x14ac:dyDescent="0.25">
      <c r="A305" s="29">
        <f t="shared" si="97"/>
        <v>0</v>
      </c>
      <c r="B305" s="29">
        <f t="shared" si="90"/>
        <v>0</v>
      </c>
      <c r="C305" s="29">
        <f t="shared" si="91"/>
        <v>0</v>
      </c>
      <c r="D305" s="29">
        <f t="shared" si="92"/>
        <v>0</v>
      </c>
      <c r="E305" s="29">
        <f t="shared" si="98"/>
        <v>0</v>
      </c>
      <c r="F305" s="29">
        <f t="shared" si="99"/>
        <v>0</v>
      </c>
      <c r="G305" s="29" t="str">
        <f t="shared" si="100"/>
        <v>offensive</v>
      </c>
      <c r="H305" s="16">
        <f t="shared" si="104"/>
        <v>0</v>
      </c>
      <c r="I305" s="16">
        <f t="shared" si="105"/>
        <v>0</v>
      </c>
      <c r="J305" s="16">
        <f t="shared" si="93"/>
        <v>0</v>
      </c>
      <c r="K305" s="16">
        <f t="shared" si="101"/>
        <v>0</v>
      </c>
      <c r="L305" s="67">
        <f t="shared" si="102"/>
        <v>0</v>
      </c>
      <c r="M305" s="4">
        <f t="shared" si="94"/>
        <v>0</v>
      </c>
      <c r="N305" s="4">
        <f t="shared" si="96"/>
        <v>0</v>
      </c>
      <c r="O305" s="4">
        <f t="shared" si="103"/>
        <v>0</v>
      </c>
      <c r="P305" s="4" t="e">
        <f>VLOOKUP(AJ297,'CIR Team Info'!$C$5:$E$44,2,FALSE)</f>
        <v>#N/A</v>
      </c>
      <c r="Q305" s="4" t="e">
        <f>VLOOKUP(AJ297,'CIR Team Info'!$C$5:$E$44,3,FALSE)</f>
        <v>#N/A</v>
      </c>
      <c r="R305" s="10" t="e">
        <f>VLOOKUP(AJ297,'FRC Site Data'!$B$3:$L$42,2,FALSE)</f>
        <v>#N/A</v>
      </c>
      <c r="S305" s="10" t="e">
        <f>VLOOKUP(AJ297,'FRC Site Data'!$B$3:$L$42,3,FALSE)</f>
        <v>#N/A</v>
      </c>
      <c r="T305" s="10" t="e">
        <f>VLOOKUP(AJ297,'FRC Site Data'!$B$3:$L$42,4,FALSE)</f>
        <v>#N/A</v>
      </c>
      <c r="U305" s="10" t="e">
        <f>VLOOKUP(AJ297,'FRC Site Data'!$B$3:$L$42,5,FALSE)</f>
        <v>#N/A</v>
      </c>
      <c r="V305" s="10" t="e">
        <f>VLOOKUP(AJ297,'FRC Site Data'!$B$3:$L$42,6,FALSE)</f>
        <v>#N/A</v>
      </c>
      <c r="W305" s="10" t="e">
        <f>VLOOKUP(AJ297,'FRC Site Data'!$B$3:$L$42,8,FALSE)</f>
        <v>#N/A</v>
      </c>
      <c r="X305" s="10" t="e">
        <f>VLOOKUP(AJ297,'FRC Site Data'!$B$3:$L$42,9,FALSE)</f>
        <v>#N/A</v>
      </c>
      <c r="Y305" s="10" t="e">
        <f>VLOOKUP(AJ297,'FRC Site Data'!$B$3:$L$42,10,FALSE)</f>
        <v>#N/A</v>
      </c>
      <c r="Z305" s="10" t="e">
        <f>VLOOKUP(AJ297,'FRC Site Data'!$B$3:$L$42,11,FALSE)</f>
        <v>#N/A</v>
      </c>
      <c r="AA305" s="10" t="e">
        <f>VLOOKUP(AJ297,'CIR Team Info'!$C$5:$E$44,4,FALSE)</f>
        <v>#N/A</v>
      </c>
      <c r="AB305" s="161" t="b">
        <f>ISNUMBER(VLOOKUP(AJ297,Match!$T$5:$T$10,1,FALSE))</f>
        <v>0</v>
      </c>
      <c r="AC305" s="161" t="b">
        <f>IF(AB305=TRUE,(VLOOKUP($AJ297,Match!$T$5:$U$10,2,FALSE)))</f>
        <v>0</v>
      </c>
      <c r="AD305" s="8">
        <v>3</v>
      </c>
      <c r="AE305" s="8">
        <v>2</v>
      </c>
      <c r="AF305" s="8">
        <v>2</v>
      </c>
      <c r="AG305" s="8">
        <v>1</v>
      </c>
      <c r="AH305" s="8" t="str">
        <f t="shared" si="95"/>
        <v/>
      </c>
      <c r="AI305" s="12"/>
      <c r="AZ305" s="12"/>
      <c r="BC305" s="12"/>
      <c r="BK305" s="12"/>
    </row>
    <row r="306" spans="1:63" x14ac:dyDescent="0.25">
      <c r="A306" s="29">
        <f t="shared" si="97"/>
        <v>0</v>
      </c>
      <c r="B306" s="29">
        <f t="shared" si="90"/>
        <v>0</v>
      </c>
      <c r="C306" s="29">
        <f t="shared" si="91"/>
        <v>0</v>
      </c>
      <c r="D306" s="29">
        <f t="shared" si="92"/>
        <v>0</v>
      </c>
      <c r="E306" s="29">
        <f t="shared" si="98"/>
        <v>0</v>
      </c>
      <c r="F306" s="29">
        <f t="shared" si="99"/>
        <v>0</v>
      </c>
      <c r="G306" s="29" t="str">
        <f t="shared" si="100"/>
        <v>offensive</v>
      </c>
      <c r="H306" s="16">
        <f t="shared" si="104"/>
        <v>0</v>
      </c>
      <c r="I306" s="16">
        <f t="shared" si="105"/>
        <v>0</v>
      </c>
      <c r="J306" s="16">
        <f t="shared" si="93"/>
        <v>0</v>
      </c>
      <c r="K306" s="16">
        <f t="shared" si="101"/>
        <v>0</v>
      </c>
      <c r="L306" s="67">
        <f t="shared" si="102"/>
        <v>0</v>
      </c>
      <c r="M306" s="4">
        <f t="shared" si="94"/>
        <v>0</v>
      </c>
      <c r="N306" s="4">
        <f t="shared" si="96"/>
        <v>0</v>
      </c>
      <c r="O306" s="4">
        <f t="shared" si="103"/>
        <v>0</v>
      </c>
      <c r="P306" s="4" t="e">
        <f>VLOOKUP(AJ298,'CIR Team Info'!$C$5:$E$44,2,FALSE)</f>
        <v>#N/A</v>
      </c>
      <c r="Q306" s="4" t="e">
        <f>VLOOKUP(AJ298,'CIR Team Info'!$C$5:$E$44,3,FALSE)</f>
        <v>#N/A</v>
      </c>
      <c r="R306" s="10" t="e">
        <f>VLOOKUP(AJ298,'FRC Site Data'!$B$3:$L$42,2,FALSE)</f>
        <v>#N/A</v>
      </c>
      <c r="S306" s="10" t="e">
        <f>VLOOKUP(AJ298,'FRC Site Data'!$B$3:$L$42,3,FALSE)</f>
        <v>#N/A</v>
      </c>
      <c r="T306" s="10" t="e">
        <f>VLOOKUP(AJ298,'FRC Site Data'!$B$3:$L$42,4,FALSE)</f>
        <v>#N/A</v>
      </c>
      <c r="U306" s="10" t="e">
        <f>VLOOKUP(AJ298,'FRC Site Data'!$B$3:$L$42,5,FALSE)</f>
        <v>#N/A</v>
      </c>
      <c r="V306" s="10" t="e">
        <f>VLOOKUP(AJ298,'FRC Site Data'!$B$3:$L$42,6,FALSE)</f>
        <v>#N/A</v>
      </c>
      <c r="W306" s="10" t="e">
        <f>VLOOKUP(AJ298,'FRC Site Data'!$B$3:$L$42,8,FALSE)</f>
        <v>#N/A</v>
      </c>
      <c r="X306" s="10" t="e">
        <f>VLOOKUP(AJ298,'FRC Site Data'!$B$3:$L$42,9,FALSE)</f>
        <v>#N/A</v>
      </c>
      <c r="Y306" s="10" t="e">
        <f>VLOOKUP(AJ298,'FRC Site Data'!$B$3:$L$42,10,FALSE)</f>
        <v>#N/A</v>
      </c>
      <c r="Z306" s="10" t="e">
        <f>VLOOKUP(AJ298,'FRC Site Data'!$B$3:$L$42,11,FALSE)</f>
        <v>#N/A</v>
      </c>
      <c r="AA306" s="10" t="e">
        <f>VLOOKUP(AJ298,'CIR Team Info'!$C$5:$E$44,4,FALSE)</f>
        <v>#N/A</v>
      </c>
      <c r="AB306" s="161" t="b">
        <f>ISNUMBER(VLOOKUP(AJ298,Match!$T$5:$T$10,1,FALSE))</f>
        <v>0</v>
      </c>
      <c r="AC306" s="161" t="b">
        <f>IF(AB306=TRUE,(VLOOKUP($AJ298,Match!$T$5:$U$10,2,FALSE)))</f>
        <v>0</v>
      </c>
      <c r="AD306" s="8">
        <v>3</v>
      </c>
      <c r="AE306" s="8">
        <v>2</v>
      </c>
      <c r="AF306" s="8">
        <v>2</v>
      </c>
      <c r="AG306" s="8">
        <v>1</v>
      </c>
      <c r="AH306" s="8" t="str">
        <f t="shared" si="95"/>
        <v/>
      </c>
      <c r="AI306" s="12"/>
      <c r="AZ306" s="12"/>
      <c r="BC306" s="12"/>
      <c r="BK306" s="12"/>
    </row>
    <row r="307" spans="1:63" x14ac:dyDescent="0.25">
      <c r="A307" s="29">
        <f t="shared" si="97"/>
        <v>0</v>
      </c>
      <c r="B307" s="29">
        <f t="shared" si="90"/>
        <v>0</v>
      </c>
      <c r="C307" s="29">
        <f t="shared" si="91"/>
        <v>0</v>
      </c>
      <c r="D307" s="29">
        <f t="shared" si="92"/>
        <v>0</v>
      </c>
      <c r="E307" s="29">
        <f t="shared" si="98"/>
        <v>0</v>
      </c>
      <c r="F307" s="29">
        <f t="shared" si="99"/>
        <v>0</v>
      </c>
      <c r="G307" s="29" t="str">
        <f t="shared" si="100"/>
        <v>offensive</v>
      </c>
      <c r="H307" s="16">
        <f t="shared" si="104"/>
        <v>0</v>
      </c>
      <c r="I307" s="16">
        <f t="shared" si="105"/>
        <v>0</v>
      </c>
      <c r="J307" s="16">
        <f t="shared" si="93"/>
        <v>0</v>
      </c>
      <c r="K307" s="16">
        <f t="shared" si="101"/>
        <v>0</v>
      </c>
      <c r="L307" s="67">
        <f t="shared" si="102"/>
        <v>0</v>
      </c>
      <c r="M307" s="4">
        <f t="shared" si="94"/>
        <v>0</v>
      </c>
      <c r="N307" s="4">
        <f t="shared" si="96"/>
        <v>0</v>
      </c>
      <c r="O307" s="4">
        <f t="shared" si="103"/>
        <v>0</v>
      </c>
      <c r="P307" s="4" t="e">
        <f>VLOOKUP(AJ299,'CIR Team Info'!$C$5:$E$44,2,FALSE)</f>
        <v>#N/A</v>
      </c>
      <c r="Q307" s="4" t="e">
        <f>VLOOKUP(AJ299,'CIR Team Info'!$C$5:$E$44,3,FALSE)</f>
        <v>#N/A</v>
      </c>
      <c r="R307" s="10" t="e">
        <f>VLOOKUP(AJ299,'FRC Site Data'!$B$3:$L$42,2,FALSE)</f>
        <v>#N/A</v>
      </c>
      <c r="S307" s="10" t="e">
        <f>VLOOKUP(AJ299,'FRC Site Data'!$B$3:$L$42,3,FALSE)</f>
        <v>#N/A</v>
      </c>
      <c r="T307" s="10" t="e">
        <f>VLOOKUP(AJ299,'FRC Site Data'!$B$3:$L$42,4,FALSE)</f>
        <v>#N/A</v>
      </c>
      <c r="U307" s="10" t="e">
        <f>VLOOKUP(AJ299,'FRC Site Data'!$B$3:$L$42,5,FALSE)</f>
        <v>#N/A</v>
      </c>
      <c r="V307" s="10" t="e">
        <f>VLOOKUP(AJ299,'FRC Site Data'!$B$3:$L$42,6,FALSE)</f>
        <v>#N/A</v>
      </c>
      <c r="W307" s="10" t="e">
        <f>VLOOKUP(AJ299,'FRC Site Data'!$B$3:$L$42,8,FALSE)</f>
        <v>#N/A</v>
      </c>
      <c r="X307" s="10" t="e">
        <f>VLOOKUP(AJ299,'FRC Site Data'!$B$3:$L$42,9,FALSE)</f>
        <v>#N/A</v>
      </c>
      <c r="Y307" s="10" t="e">
        <f>VLOOKUP(AJ299,'FRC Site Data'!$B$3:$L$42,10,FALSE)</f>
        <v>#N/A</v>
      </c>
      <c r="Z307" s="10" t="e">
        <f>VLOOKUP(AJ299,'FRC Site Data'!$B$3:$L$42,11,FALSE)</f>
        <v>#N/A</v>
      </c>
      <c r="AA307" s="10" t="e">
        <f>VLOOKUP(AJ299,'CIR Team Info'!$C$5:$E$44,4,FALSE)</f>
        <v>#N/A</v>
      </c>
      <c r="AB307" s="161" t="b">
        <f>ISNUMBER(VLOOKUP(AJ299,Match!$T$5:$T$10,1,FALSE))</f>
        <v>0</v>
      </c>
      <c r="AC307" s="161" t="b">
        <f>IF(AB307=TRUE,(VLOOKUP($AJ299,Match!$T$5:$U$10,2,FALSE)))</f>
        <v>0</v>
      </c>
      <c r="AD307" s="8">
        <v>3</v>
      </c>
      <c r="AE307" s="8">
        <v>2</v>
      </c>
      <c r="AF307" s="8">
        <v>2</v>
      </c>
      <c r="AG307" s="8">
        <v>1</v>
      </c>
      <c r="AH307" s="8" t="str">
        <f t="shared" si="95"/>
        <v/>
      </c>
      <c r="AI307" s="12"/>
      <c r="AZ307" s="12"/>
      <c r="BC307" s="12"/>
      <c r="BK307" s="12"/>
    </row>
    <row r="308" spans="1:63" x14ac:dyDescent="0.25">
      <c r="A308" s="29">
        <f t="shared" si="97"/>
        <v>0</v>
      </c>
      <c r="B308" s="29">
        <f t="shared" si="90"/>
        <v>0</v>
      </c>
      <c r="C308" s="29">
        <f t="shared" si="91"/>
        <v>0</v>
      </c>
      <c r="D308" s="29">
        <f t="shared" si="92"/>
        <v>0</v>
      </c>
      <c r="E308" s="29">
        <f t="shared" si="98"/>
        <v>0</v>
      </c>
      <c r="F308" s="29">
        <f t="shared" si="99"/>
        <v>0</v>
      </c>
      <c r="G308" s="29" t="str">
        <f t="shared" si="100"/>
        <v>offensive</v>
      </c>
      <c r="H308" s="16">
        <f t="shared" si="104"/>
        <v>0</v>
      </c>
      <c r="I308" s="16">
        <f t="shared" si="105"/>
        <v>0</v>
      </c>
      <c r="J308" s="16">
        <f t="shared" si="93"/>
        <v>0</v>
      </c>
      <c r="K308" s="16">
        <f t="shared" si="101"/>
        <v>0</v>
      </c>
      <c r="L308" s="67">
        <f t="shared" si="102"/>
        <v>0</v>
      </c>
      <c r="M308" s="4">
        <f t="shared" si="94"/>
        <v>0</v>
      </c>
      <c r="N308" s="4">
        <f t="shared" si="96"/>
        <v>0</v>
      </c>
      <c r="O308" s="4">
        <f t="shared" si="103"/>
        <v>0</v>
      </c>
      <c r="P308" s="4" t="e">
        <f>VLOOKUP(AJ300,'CIR Team Info'!$C$5:$E$44,2,FALSE)</f>
        <v>#N/A</v>
      </c>
      <c r="Q308" s="4" t="e">
        <f>VLOOKUP(AJ300,'CIR Team Info'!$C$5:$E$44,3,FALSE)</f>
        <v>#N/A</v>
      </c>
      <c r="R308" s="10" t="e">
        <f>VLOOKUP(AJ300,'FRC Site Data'!$B$3:$L$42,2,FALSE)</f>
        <v>#N/A</v>
      </c>
      <c r="S308" s="10" t="e">
        <f>VLOOKUP(AJ300,'FRC Site Data'!$B$3:$L$42,3,FALSE)</f>
        <v>#N/A</v>
      </c>
      <c r="T308" s="10" t="e">
        <f>VLOOKUP(AJ300,'FRC Site Data'!$B$3:$L$42,4,FALSE)</f>
        <v>#N/A</v>
      </c>
      <c r="U308" s="10" t="e">
        <f>VLOOKUP(AJ300,'FRC Site Data'!$B$3:$L$42,5,FALSE)</f>
        <v>#N/A</v>
      </c>
      <c r="V308" s="10" t="e">
        <f>VLOOKUP(AJ300,'FRC Site Data'!$B$3:$L$42,6,FALSE)</f>
        <v>#N/A</v>
      </c>
      <c r="W308" s="10" t="e">
        <f>VLOOKUP(AJ300,'FRC Site Data'!$B$3:$L$42,8,FALSE)</f>
        <v>#N/A</v>
      </c>
      <c r="X308" s="10" t="e">
        <f>VLOOKUP(AJ300,'FRC Site Data'!$B$3:$L$42,9,FALSE)</f>
        <v>#N/A</v>
      </c>
      <c r="Y308" s="10" t="e">
        <f>VLOOKUP(AJ300,'FRC Site Data'!$B$3:$L$42,10,FALSE)</f>
        <v>#N/A</v>
      </c>
      <c r="Z308" s="10" t="e">
        <f>VLOOKUP(AJ300,'FRC Site Data'!$B$3:$L$42,11,FALSE)</f>
        <v>#N/A</v>
      </c>
      <c r="AA308" s="10" t="e">
        <f>VLOOKUP(AJ300,'CIR Team Info'!$C$5:$E$44,4,FALSE)</f>
        <v>#N/A</v>
      </c>
      <c r="AB308" s="161" t="b">
        <f>ISNUMBER(VLOOKUP(AJ300,Match!$T$5:$T$10,1,FALSE))</f>
        <v>0</v>
      </c>
      <c r="AC308" s="161" t="b">
        <f>IF(AB308=TRUE,(VLOOKUP($AJ300,Match!$T$5:$U$10,2,FALSE)))</f>
        <v>0</v>
      </c>
      <c r="AD308" s="8">
        <v>3</v>
      </c>
      <c r="AE308" s="8">
        <v>2</v>
      </c>
      <c r="AF308" s="8">
        <v>2</v>
      </c>
      <c r="AG308" s="8">
        <v>1</v>
      </c>
      <c r="AH308" s="8" t="str">
        <f t="shared" si="95"/>
        <v/>
      </c>
      <c r="AI308" s="12"/>
      <c r="AZ308" s="12"/>
      <c r="BC308" s="12"/>
      <c r="BK308" s="12"/>
    </row>
    <row r="309" spans="1:63" x14ac:dyDescent="0.25">
      <c r="A309" s="29">
        <f t="shared" si="97"/>
        <v>0</v>
      </c>
      <c r="B309" s="29">
        <f t="shared" si="90"/>
        <v>0</v>
      </c>
      <c r="C309" s="29">
        <f t="shared" si="91"/>
        <v>0</v>
      </c>
      <c r="D309" s="29">
        <f t="shared" si="92"/>
        <v>0</v>
      </c>
      <c r="E309" s="29">
        <f t="shared" si="98"/>
        <v>0</v>
      </c>
      <c r="F309" s="29">
        <f t="shared" si="99"/>
        <v>0</v>
      </c>
      <c r="G309" s="29" t="str">
        <f t="shared" si="100"/>
        <v>offensive</v>
      </c>
      <c r="H309" s="16">
        <f t="shared" si="104"/>
        <v>0</v>
      </c>
      <c r="I309" s="16">
        <f t="shared" si="105"/>
        <v>0</v>
      </c>
      <c r="J309" s="16">
        <f t="shared" si="93"/>
        <v>0</v>
      </c>
      <c r="K309" s="16">
        <f t="shared" si="101"/>
        <v>0</v>
      </c>
      <c r="L309" s="67">
        <f t="shared" si="102"/>
        <v>0</v>
      </c>
      <c r="M309" s="4">
        <f t="shared" si="94"/>
        <v>0</v>
      </c>
      <c r="N309" s="4">
        <f t="shared" si="96"/>
        <v>0</v>
      </c>
      <c r="O309" s="4">
        <f t="shared" si="103"/>
        <v>0</v>
      </c>
      <c r="P309" s="4" t="e">
        <f>VLOOKUP(AJ301,'CIR Team Info'!$C$5:$E$44,2,FALSE)</f>
        <v>#N/A</v>
      </c>
      <c r="Q309" s="4" t="e">
        <f>VLOOKUP(AJ301,'CIR Team Info'!$C$5:$E$44,3,FALSE)</f>
        <v>#N/A</v>
      </c>
      <c r="R309" s="10" t="e">
        <f>VLOOKUP(AJ301,'FRC Site Data'!$B$3:$L$42,2,FALSE)</f>
        <v>#N/A</v>
      </c>
      <c r="S309" s="10" t="e">
        <f>VLOOKUP(AJ301,'FRC Site Data'!$B$3:$L$42,3,FALSE)</f>
        <v>#N/A</v>
      </c>
      <c r="T309" s="10" t="e">
        <f>VLOOKUP(AJ301,'FRC Site Data'!$B$3:$L$42,4,FALSE)</f>
        <v>#N/A</v>
      </c>
      <c r="U309" s="10" t="e">
        <f>VLOOKUP(AJ301,'FRC Site Data'!$B$3:$L$42,5,FALSE)</f>
        <v>#N/A</v>
      </c>
      <c r="V309" s="10" t="e">
        <f>VLOOKUP(AJ301,'FRC Site Data'!$B$3:$L$42,6,FALSE)</f>
        <v>#N/A</v>
      </c>
      <c r="W309" s="10" t="e">
        <f>VLOOKUP(AJ301,'FRC Site Data'!$B$3:$L$42,8,FALSE)</f>
        <v>#N/A</v>
      </c>
      <c r="X309" s="10" t="e">
        <f>VLOOKUP(AJ301,'FRC Site Data'!$B$3:$L$42,9,FALSE)</f>
        <v>#N/A</v>
      </c>
      <c r="Y309" s="10" t="e">
        <f>VLOOKUP(AJ301,'FRC Site Data'!$B$3:$L$42,10,FALSE)</f>
        <v>#N/A</v>
      </c>
      <c r="Z309" s="10" t="e">
        <f>VLOOKUP(AJ301,'FRC Site Data'!$B$3:$L$42,11,FALSE)</f>
        <v>#N/A</v>
      </c>
      <c r="AA309" s="10" t="e">
        <f>VLOOKUP(AJ301,'CIR Team Info'!$C$5:$E$44,4,FALSE)</f>
        <v>#N/A</v>
      </c>
      <c r="AB309" s="161" t="b">
        <f>ISNUMBER(VLOOKUP(AJ301,Match!$T$5:$T$10,1,FALSE))</f>
        <v>0</v>
      </c>
      <c r="AC309" s="161" t="b">
        <f>IF(AB309=TRUE,(VLOOKUP($AJ301,Match!$T$5:$U$10,2,FALSE)))</f>
        <v>0</v>
      </c>
      <c r="AD309" s="8">
        <v>3</v>
      </c>
      <c r="AE309" s="8">
        <v>2</v>
      </c>
      <c r="AF309" s="8">
        <v>2</v>
      </c>
      <c r="AG309" s="8">
        <v>1</v>
      </c>
      <c r="AH309" s="8" t="str">
        <f t="shared" si="95"/>
        <v/>
      </c>
      <c r="AI309" s="12"/>
      <c r="AZ309" s="12"/>
      <c r="BC309" s="12"/>
      <c r="BK309" s="12"/>
    </row>
    <row r="310" spans="1:63" x14ac:dyDescent="0.25">
      <c r="A310" s="29">
        <f t="shared" si="97"/>
        <v>0</v>
      </c>
      <c r="B310" s="29">
        <f t="shared" si="90"/>
        <v>0</v>
      </c>
      <c r="C310" s="29">
        <f t="shared" si="91"/>
        <v>0</v>
      </c>
      <c r="D310" s="29">
        <f t="shared" si="92"/>
        <v>0</v>
      </c>
      <c r="E310" s="29">
        <f t="shared" si="98"/>
        <v>0</v>
      </c>
      <c r="F310" s="29">
        <f t="shared" si="99"/>
        <v>0</v>
      </c>
      <c r="G310" s="29" t="str">
        <f t="shared" si="100"/>
        <v>offensive</v>
      </c>
      <c r="H310" s="16">
        <f t="shared" si="104"/>
        <v>0</v>
      </c>
      <c r="I310" s="16">
        <f t="shared" si="105"/>
        <v>0</v>
      </c>
      <c r="J310" s="16">
        <f t="shared" si="93"/>
        <v>0</v>
      </c>
      <c r="K310" s="16">
        <f t="shared" si="101"/>
        <v>0</v>
      </c>
      <c r="L310" s="67">
        <f t="shared" si="102"/>
        <v>0</v>
      </c>
      <c r="M310" s="4">
        <f t="shared" si="94"/>
        <v>0</v>
      </c>
      <c r="N310" s="4">
        <f t="shared" si="96"/>
        <v>0</v>
      </c>
      <c r="O310" s="4">
        <f t="shared" si="103"/>
        <v>0</v>
      </c>
      <c r="P310" s="4" t="e">
        <f>VLOOKUP(AJ302,'CIR Team Info'!$C$5:$E$44,2,FALSE)</f>
        <v>#N/A</v>
      </c>
      <c r="Q310" s="4" t="e">
        <f>VLOOKUP(AJ302,'CIR Team Info'!$C$5:$E$44,3,FALSE)</f>
        <v>#N/A</v>
      </c>
      <c r="R310" s="10" t="e">
        <f>VLOOKUP(AJ302,'FRC Site Data'!$B$3:$L$42,2,FALSE)</f>
        <v>#N/A</v>
      </c>
      <c r="S310" s="10" t="e">
        <f>VLOOKUP(AJ302,'FRC Site Data'!$B$3:$L$42,3,FALSE)</f>
        <v>#N/A</v>
      </c>
      <c r="T310" s="10" t="e">
        <f>VLOOKUP(AJ302,'FRC Site Data'!$B$3:$L$42,4,FALSE)</f>
        <v>#N/A</v>
      </c>
      <c r="U310" s="10" t="e">
        <f>VLOOKUP(AJ302,'FRC Site Data'!$B$3:$L$42,5,FALSE)</f>
        <v>#N/A</v>
      </c>
      <c r="V310" s="10" t="e">
        <f>VLOOKUP(AJ302,'FRC Site Data'!$B$3:$L$42,6,FALSE)</f>
        <v>#N/A</v>
      </c>
      <c r="W310" s="10" t="e">
        <f>VLOOKUP(AJ302,'FRC Site Data'!$B$3:$L$42,8,FALSE)</f>
        <v>#N/A</v>
      </c>
      <c r="X310" s="10" t="e">
        <f>VLOOKUP(AJ302,'FRC Site Data'!$B$3:$L$42,9,FALSE)</f>
        <v>#N/A</v>
      </c>
      <c r="Y310" s="10" t="e">
        <f>VLOOKUP(AJ302,'FRC Site Data'!$B$3:$L$42,10,FALSE)</f>
        <v>#N/A</v>
      </c>
      <c r="Z310" s="10" t="e">
        <f>VLOOKUP(AJ302,'FRC Site Data'!$B$3:$L$42,11,FALSE)</f>
        <v>#N/A</v>
      </c>
      <c r="AA310" s="10" t="e">
        <f>VLOOKUP(AJ302,'CIR Team Info'!$C$5:$E$44,4,FALSE)</f>
        <v>#N/A</v>
      </c>
      <c r="AB310" s="161" t="b">
        <f>ISNUMBER(VLOOKUP(AJ302,Match!$T$5:$T$10,1,FALSE))</f>
        <v>0</v>
      </c>
      <c r="AC310" s="161" t="b">
        <f>IF(AB310=TRUE,(VLOOKUP($AJ302,Match!$T$5:$U$10,2,FALSE)))</f>
        <v>0</v>
      </c>
      <c r="AD310" s="8">
        <v>3</v>
      </c>
      <c r="AE310" s="8">
        <v>2</v>
      </c>
      <c r="AF310" s="8">
        <v>2</v>
      </c>
      <c r="AG310" s="8">
        <v>1</v>
      </c>
      <c r="AH310" s="8" t="str">
        <f t="shared" si="95"/>
        <v/>
      </c>
      <c r="AI310" s="12"/>
      <c r="AZ310" s="12"/>
      <c r="BC310" s="12"/>
      <c r="BK310" s="12"/>
    </row>
    <row r="311" spans="1:63" x14ac:dyDescent="0.25">
      <c r="A311" s="29">
        <f t="shared" si="97"/>
        <v>0</v>
      </c>
      <c r="B311" s="29">
        <f t="shared" si="90"/>
        <v>0</v>
      </c>
      <c r="C311" s="29">
        <f t="shared" si="91"/>
        <v>0</v>
      </c>
      <c r="D311" s="29">
        <f t="shared" si="92"/>
        <v>0</v>
      </c>
      <c r="E311" s="29">
        <f t="shared" si="98"/>
        <v>0</v>
      </c>
      <c r="F311" s="29">
        <f t="shared" si="99"/>
        <v>0</v>
      </c>
      <c r="G311" s="29" t="str">
        <f t="shared" si="100"/>
        <v>offensive</v>
      </c>
      <c r="H311" s="16">
        <f t="shared" si="104"/>
        <v>0</v>
      </c>
      <c r="I311" s="16">
        <f t="shared" si="105"/>
        <v>0</v>
      </c>
      <c r="J311" s="16">
        <f t="shared" si="93"/>
        <v>0</v>
      </c>
      <c r="K311" s="16">
        <f t="shared" si="101"/>
        <v>0</v>
      </c>
      <c r="L311" s="67">
        <f t="shared" si="102"/>
        <v>0</v>
      </c>
      <c r="M311" s="4">
        <f t="shared" si="94"/>
        <v>0</v>
      </c>
      <c r="N311" s="4">
        <f t="shared" si="96"/>
        <v>0</v>
      </c>
      <c r="O311" s="4">
        <f t="shared" si="103"/>
        <v>0</v>
      </c>
      <c r="P311" s="4" t="e">
        <f>VLOOKUP(AJ303,'CIR Team Info'!$C$5:$E$44,2,FALSE)</f>
        <v>#N/A</v>
      </c>
      <c r="Q311" s="4" t="e">
        <f>VLOOKUP(AJ303,'CIR Team Info'!$C$5:$E$44,3,FALSE)</f>
        <v>#N/A</v>
      </c>
      <c r="R311" s="10" t="e">
        <f>VLOOKUP(AJ303,'FRC Site Data'!$B$3:$L$42,2,FALSE)</f>
        <v>#N/A</v>
      </c>
      <c r="S311" s="10" t="e">
        <f>VLOOKUP(AJ303,'FRC Site Data'!$B$3:$L$42,3,FALSE)</f>
        <v>#N/A</v>
      </c>
      <c r="T311" s="10" t="e">
        <f>VLOOKUP(AJ303,'FRC Site Data'!$B$3:$L$42,4,FALSE)</f>
        <v>#N/A</v>
      </c>
      <c r="U311" s="10" t="e">
        <f>VLOOKUP(AJ303,'FRC Site Data'!$B$3:$L$42,5,FALSE)</f>
        <v>#N/A</v>
      </c>
      <c r="V311" s="10" t="e">
        <f>VLOOKUP(AJ303,'FRC Site Data'!$B$3:$L$42,6,FALSE)</f>
        <v>#N/A</v>
      </c>
      <c r="W311" s="10" t="e">
        <f>VLOOKUP(AJ303,'FRC Site Data'!$B$3:$L$42,8,FALSE)</f>
        <v>#N/A</v>
      </c>
      <c r="X311" s="10" t="e">
        <f>VLOOKUP(AJ303,'FRC Site Data'!$B$3:$L$42,9,FALSE)</f>
        <v>#N/A</v>
      </c>
      <c r="Y311" s="10" t="e">
        <f>VLOOKUP(AJ303,'FRC Site Data'!$B$3:$L$42,10,FALSE)</f>
        <v>#N/A</v>
      </c>
      <c r="Z311" s="10" t="e">
        <f>VLOOKUP(AJ303,'FRC Site Data'!$B$3:$L$42,11,FALSE)</f>
        <v>#N/A</v>
      </c>
      <c r="AA311" s="10" t="e">
        <f>VLOOKUP(AJ303,'CIR Team Info'!$C$5:$E$44,4,FALSE)</f>
        <v>#N/A</v>
      </c>
      <c r="AB311" s="161" t="b">
        <f>ISNUMBER(VLOOKUP(AJ303,Match!$T$5:$T$10,1,FALSE))</f>
        <v>0</v>
      </c>
      <c r="AC311" s="161" t="b">
        <f>IF(AB311=TRUE,(VLOOKUP($AJ303,Match!$T$5:$U$10,2,FALSE)))</f>
        <v>0</v>
      </c>
      <c r="AD311" s="8">
        <v>3</v>
      </c>
      <c r="AE311" s="8">
        <v>2</v>
      </c>
      <c r="AF311" s="8">
        <v>2</v>
      </c>
      <c r="AG311" s="8">
        <v>1</v>
      </c>
      <c r="AH311" s="8" t="str">
        <f t="shared" si="95"/>
        <v/>
      </c>
      <c r="AI311" s="12"/>
      <c r="AZ311" s="12"/>
      <c r="BC311" s="12"/>
      <c r="BK311" s="12"/>
    </row>
    <row r="312" spans="1:63" x14ac:dyDescent="0.25">
      <c r="A312" s="29">
        <f t="shared" si="97"/>
        <v>0</v>
      </c>
      <c r="B312" s="29">
        <f t="shared" si="90"/>
        <v>0</v>
      </c>
      <c r="C312" s="29">
        <f t="shared" si="91"/>
        <v>0</v>
      </c>
      <c r="D312" s="29">
        <f t="shared" si="92"/>
        <v>0</v>
      </c>
      <c r="E312" s="29">
        <f t="shared" si="98"/>
        <v>0</v>
      </c>
      <c r="F312" s="29">
        <f t="shared" si="99"/>
        <v>0</v>
      </c>
      <c r="G312" s="29" t="str">
        <f t="shared" si="100"/>
        <v>offensive</v>
      </c>
      <c r="H312" s="16">
        <f t="shared" si="104"/>
        <v>0</v>
      </c>
      <c r="I312" s="16">
        <f t="shared" si="105"/>
        <v>0</v>
      </c>
      <c r="J312" s="16">
        <f t="shared" si="93"/>
        <v>0</v>
      </c>
      <c r="K312" s="16">
        <f t="shared" si="101"/>
        <v>0</v>
      </c>
      <c r="L312" s="67">
        <f t="shared" si="102"/>
        <v>0</v>
      </c>
      <c r="M312" s="4">
        <f t="shared" si="94"/>
        <v>0</v>
      </c>
      <c r="N312" s="4">
        <f t="shared" si="96"/>
        <v>0</v>
      </c>
      <c r="O312" s="4">
        <f t="shared" si="103"/>
        <v>0</v>
      </c>
      <c r="P312" s="4" t="e">
        <f>VLOOKUP(AJ304,'CIR Team Info'!$C$5:$E$44,2,FALSE)</f>
        <v>#N/A</v>
      </c>
      <c r="Q312" s="4" t="e">
        <f>VLOOKUP(AJ304,'CIR Team Info'!$C$5:$E$44,3,FALSE)</f>
        <v>#N/A</v>
      </c>
      <c r="R312" s="10" t="e">
        <f>VLOOKUP(AJ304,'FRC Site Data'!$B$3:$L$42,2,FALSE)</f>
        <v>#N/A</v>
      </c>
      <c r="S312" s="10" t="e">
        <f>VLOOKUP(AJ304,'FRC Site Data'!$B$3:$L$42,3,FALSE)</f>
        <v>#N/A</v>
      </c>
      <c r="T312" s="10" t="e">
        <f>VLOOKUP(AJ304,'FRC Site Data'!$B$3:$L$42,4,FALSE)</f>
        <v>#N/A</v>
      </c>
      <c r="U312" s="10" t="e">
        <f>VLOOKUP(AJ304,'FRC Site Data'!$B$3:$L$42,5,FALSE)</f>
        <v>#N/A</v>
      </c>
      <c r="V312" s="10" t="e">
        <f>VLOOKUP(AJ304,'FRC Site Data'!$B$3:$L$42,6,FALSE)</f>
        <v>#N/A</v>
      </c>
      <c r="W312" s="10" t="e">
        <f>VLOOKUP(AJ304,'FRC Site Data'!$B$3:$L$42,8,FALSE)</f>
        <v>#N/A</v>
      </c>
      <c r="X312" s="10" t="e">
        <f>VLOOKUP(AJ304,'FRC Site Data'!$B$3:$L$42,9,FALSE)</f>
        <v>#N/A</v>
      </c>
      <c r="Y312" s="10" t="e">
        <f>VLOOKUP(AJ304,'FRC Site Data'!$B$3:$L$42,10,FALSE)</f>
        <v>#N/A</v>
      </c>
      <c r="Z312" s="10" t="e">
        <f>VLOOKUP(AJ304,'FRC Site Data'!$B$3:$L$42,11,FALSE)</f>
        <v>#N/A</v>
      </c>
      <c r="AA312" s="10" t="e">
        <f>VLOOKUP(AJ304,'CIR Team Info'!$C$5:$E$44,4,FALSE)</f>
        <v>#N/A</v>
      </c>
      <c r="AB312" s="161" t="b">
        <f>ISNUMBER(VLOOKUP(AJ304,Match!$T$5:$T$10,1,FALSE))</f>
        <v>0</v>
      </c>
      <c r="AC312" s="161" t="b">
        <f>IF(AB312=TRUE,(VLOOKUP($AJ304,Match!$T$5:$U$10,2,FALSE)))</f>
        <v>0</v>
      </c>
      <c r="AD312" s="8">
        <v>3</v>
      </c>
      <c r="AE312" s="8">
        <v>2</v>
      </c>
      <c r="AF312" s="8">
        <v>2</v>
      </c>
      <c r="AG312" s="8">
        <v>1</v>
      </c>
      <c r="AH312" s="8" t="str">
        <f t="shared" si="95"/>
        <v/>
      </c>
      <c r="AI312" s="12"/>
      <c r="AZ312" s="12"/>
      <c r="BC312" s="12"/>
      <c r="BK312" s="12"/>
    </row>
    <row r="313" spans="1:63" x14ac:dyDescent="0.25">
      <c r="A313" s="29">
        <f t="shared" si="97"/>
        <v>0</v>
      </c>
      <c r="B313" s="29">
        <f t="shared" si="90"/>
        <v>0</v>
      </c>
      <c r="C313" s="29">
        <f t="shared" si="91"/>
        <v>0</v>
      </c>
      <c r="D313" s="29">
        <f t="shared" si="92"/>
        <v>0</v>
      </c>
      <c r="E313" s="29">
        <f t="shared" si="98"/>
        <v>0</v>
      </c>
      <c r="F313" s="29">
        <f t="shared" si="99"/>
        <v>0</v>
      </c>
      <c r="G313" s="29" t="str">
        <f t="shared" si="100"/>
        <v>offensive</v>
      </c>
      <c r="H313" s="16">
        <f t="shared" si="104"/>
        <v>0</v>
      </c>
      <c r="I313" s="16">
        <f t="shared" si="105"/>
        <v>0</v>
      </c>
      <c r="J313" s="16">
        <f t="shared" si="93"/>
        <v>0</v>
      </c>
      <c r="K313" s="16">
        <f t="shared" si="101"/>
        <v>0</v>
      </c>
      <c r="L313" s="67">
        <f t="shared" si="102"/>
        <v>0</v>
      </c>
      <c r="M313" s="4">
        <f t="shared" si="94"/>
        <v>0</v>
      </c>
      <c r="N313" s="4">
        <f t="shared" si="96"/>
        <v>0</v>
      </c>
      <c r="O313" s="4">
        <f t="shared" si="103"/>
        <v>0</v>
      </c>
      <c r="P313" s="4" t="e">
        <f>VLOOKUP(AJ305,'CIR Team Info'!$C$5:$E$44,2,FALSE)</f>
        <v>#N/A</v>
      </c>
      <c r="Q313" s="4" t="e">
        <f>VLOOKUP(AJ305,'CIR Team Info'!$C$5:$E$44,3,FALSE)</f>
        <v>#N/A</v>
      </c>
      <c r="R313" s="10" t="e">
        <f>VLOOKUP(AJ305,'FRC Site Data'!$B$3:$L$42,2,FALSE)</f>
        <v>#N/A</v>
      </c>
      <c r="S313" s="10" t="e">
        <f>VLOOKUP(AJ305,'FRC Site Data'!$B$3:$L$42,3,FALSE)</f>
        <v>#N/A</v>
      </c>
      <c r="T313" s="10" t="e">
        <f>VLOOKUP(AJ305,'FRC Site Data'!$B$3:$L$42,4,FALSE)</f>
        <v>#N/A</v>
      </c>
      <c r="U313" s="10" t="e">
        <f>VLOOKUP(AJ305,'FRC Site Data'!$B$3:$L$42,5,FALSE)</f>
        <v>#N/A</v>
      </c>
      <c r="V313" s="10" t="e">
        <f>VLOOKUP(AJ305,'FRC Site Data'!$B$3:$L$42,6,FALSE)</f>
        <v>#N/A</v>
      </c>
      <c r="W313" s="10" t="e">
        <f>VLOOKUP(AJ305,'FRC Site Data'!$B$3:$L$42,8,FALSE)</f>
        <v>#N/A</v>
      </c>
      <c r="X313" s="10" t="e">
        <f>VLOOKUP(AJ305,'FRC Site Data'!$B$3:$L$42,9,FALSE)</f>
        <v>#N/A</v>
      </c>
      <c r="Y313" s="10" t="e">
        <f>VLOOKUP(AJ305,'FRC Site Data'!$B$3:$L$42,10,FALSE)</f>
        <v>#N/A</v>
      </c>
      <c r="Z313" s="10" t="e">
        <f>VLOOKUP(AJ305,'FRC Site Data'!$B$3:$L$42,11,FALSE)</f>
        <v>#N/A</v>
      </c>
      <c r="AA313" s="10" t="e">
        <f>VLOOKUP(AJ305,'CIR Team Info'!$C$5:$E$44,4,FALSE)</f>
        <v>#N/A</v>
      </c>
      <c r="AB313" s="161" t="b">
        <f>ISNUMBER(VLOOKUP(AJ305,Match!$T$5:$T$10,1,FALSE))</f>
        <v>0</v>
      </c>
      <c r="AC313" s="161" t="b">
        <f>IF(AB313=TRUE,(VLOOKUP($AJ305,Match!$T$5:$U$10,2,FALSE)))</f>
        <v>0</v>
      </c>
      <c r="AD313" s="8">
        <v>3</v>
      </c>
      <c r="AE313" s="8">
        <v>2</v>
      </c>
      <c r="AF313" s="8">
        <v>2</v>
      </c>
      <c r="AG313" s="8">
        <v>1</v>
      </c>
      <c r="AH313" s="8" t="str">
        <f t="shared" si="95"/>
        <v/>
      </c>
      <c r="AI313" s="12"/>
      <c r="AZ313" s="12"/>
      <c r="BC313" s="12"/>
      <c r="BK313" s="12"/>
    </row>
    <row r="314" spans="1:63" x14ac:dyDescent="0.25">
      <c r="A314" s="29">
        <f t="shared" si="97"/>
        <v>0</v>
      </c>
      <c r="B314" s="29">
        <f t="shared" si="90"/>
        <v>0</v>
      </c>
      <c r="C314" s="29">
        <f t="shared" si="91"/>
        <v>0</v>
      </c>
      <c r="D314" s="29">
        <f t="shared" si="92"/>
        <v>0</v>
      </c>
      <c r="E314" s="29">
        <f t="shared" si="98"/>
        <v>0</v>
      </c>
      <c r="F314" s="29">
        <f t="shared" si="99"/>
        <v>0</v>
      </c>
      <c r="G314" s="29" t="str">
        <f t="shared" si="100"/>
        <v>offensive</v>
      </c>
      <c r="H314" s="16">
        <f t="shared" si="104"/>
        <v>0</v>
      </c>
      <c r="I314" s="16">
        <f t="shared" si="105"/>
        <v>0</v>
      </c>
      <c r="J314" s="16">
        <f t="shared" si="93"/>
        <v>0</v>
      </c>
      <c r="K314" s="16">
        <f t="shared" si="101"/>
        <v>0</v>
      </c>
      <c r="L314" s="67">
        <f t="shared" si="102"/>
        <v>0</v>
      </c>
      <c r="M314" s="4">
        <f t="shared" si="94"/>
        <v>0</v>
      </c>
      <c r="N314" s="4">
        <f t="shared" si="96"/>
        <v>0</v>
      </c>
      <c r="O314" s="4">
        <f t="shared" si="103"/>
        <v>0</v>
      </c>
      <c r="P314" s="4" t="e">
        <f>VLOOKUP(AJ306,'CIR Team Info'!$C$5:$E$44,2,FALSE)</f>
        <v>#N/A</v>
      </c>
      <c r="Q314" s="4" t="e">
        <f>VLOOKUP(AJ306,'CIR Team Info'!$C$5:$E$44,3,FALSE)</f>
        <v>#N/A</v>
      </c>
      <c r="R314" s="10" t="e">
        <f>VLOOKUP(AJ306,'FRC Site Data'!$B$3:$L$42,2,FALSE)</f>
        <v>#N/A</v>
      </c>
      <c r="S314" s="10" t="e">
        <f>VLOOKUP(AJ306,'FRC Site Data'!$B$3:$L$42,3,FALSE)</f>
        <v>#N/A</v>
      </c>
      <c r="T314" s="10" t="e">
        <f>VLOOKUP(AJ306,'FRC Site Data'!$B$3:$L$42,4,FALSE)</f>
        <v>#N/A</v>
      </c>
      <c r="U314" s="10" t="e">
        <f>VLOOKUP(AJ306,'FRC Site Data'!$B$3:$L$42,5,FALSE)</f>
        <v>#N/A</v>
      </c>
      <c r="V314" s="10" t="e">
        <f>VLOOKUP(AJ306,'FRC Site Data'!$B$3:$L$42,6,FALSE)</f>
        <v>#N/A</v>
      </c>
      <c r="W314" s="10" t="e">
        <f>VLOOKUP(AJ306,'FRC Site Data'!$B$3:$L$42,8,FALSE)</f>
        <v>#N/A</v>
      </c>
      <c r="X314" s="10" t="e">
        <f>VLOOKUP(AJ306,'FRC Site Data'!$B$3:$L$42,9,FALSE)</f>
        <v>#N/A</v>
      </c>
      <c r="Y314" s="10" t="e">
        <f>VLOOKUP(AJ306,'FRC Site Data'!$B$3:$L$42,10,FALSE)</f>
        <v>#N/A</v>
      </c>
      <c r="Z314" s="10" t="e">
        <f>VLOOKUP(AJ306,'FRC Site Data'!$B$3:$L$42,11,FALSE)</f>
        <v>#N/A</v>
      </c>
      <c r="AA314" s="10" t="e">
        <f>VLOOKUP(AJ306,'CIR Team Info'!$C$5:$E$44,4,FALSE)</f>
        <v>#N/A</v>
      </c>
      <c r="AB314" s="161" t="b">
        <f>ISNUMBER(VLOOKUP(AJ306,Match!$T$5:$T$10,1,FALSE))</f>
        <v>0</v>
      </c>
      <c r="AC314" s="161" t="b">
        <f>IF(AB314=TRUE,(VLOOKUP($AJ306,Match!$T$5:$U$10,2,FALSE)))</f>
        <v>0</v>
      </c>
      <c r="AD314" s="8">
        <v>3</v>
      </c>
      <c r="AE314" s="8">
        <v>2</v>
      </c>
      <c r="AF314" s="8">
        <v>2</v>
      </c>
      <c r="AG314" s="8">
        <v>1</v>
      </c>
      <c r="AH314" s="8" t="str">
        <f t="shared" si="95"/>
        <v/>
      </c>
      <c r="AI314" s="12"/>
      <c r="AZ314" s="12"/>
      <c r="BC314" s="12"/>
      <c r="BK314" s="12"/>
    </row>
    <row r="315" spans="1:63" x14ac:dyDescent="0.25">
      <c r="A315" s="29">
        <f t="shared" si="97"/>
        <v>0</v>
      </c>
      <c r="B315" s="29">
        <f t="shared" si="90"/>
        <v>0</v>
      </c>
      <c r="C315" s="29">
        <f t="shared" si="91"/>
        <v>0</v>
      </c>
      <c r="D315" s="29">
        <f t="shared" si="92"/>
        <v>0</v>
      </c>
      <c r="E315" s="29">
        <f t="shared" si="98"/>
        <v>0</v>
      </c>
      <c r="F315" s="29">
        <f t="shared" si="99"/>
        <v>0</v>
      </c>
      <c r="G315" s="29" t="str">
        <f t="shared" si="100"/>
        <v>offensive</v>
      </c>
      <c r="H315" s="16">
        <f t="shared" si="104"/>
        <v>0</v>
      </c>
      <c r="I315" s="16">
        <f t="shared" si="105"/>
        <v>0</v>
      </c>
      <c r="J315" s="16">
        <f t="shared" si="93"/>
        <v>0</v>
      </c>
      <c r="K315" s="16">
        <f t="shared" si="101"/>
        <v>0</v>
      </c>
      <c r="L315" s="67">
        <f t="shared" si="102"/>
        <v>0</v>
      </c>
      <c r="M315" s="4">
        <f t="shared" si="94"/>
        <v>0</v>
      </c>
      <c r="N315" s="4">
        <f t="shared" si="96"/>
        <v>0</v>
      </c>
      <c r="O315" s="4">
        <f t="shared" si="103"/>
        <v>0</v>
      </c>
      <c r="P315" s="4" t="e">
        <f>VLOOKUP(AJ307,'CIR Team Info'!$C$5:$E$44,2,FALSE)</f>
        <v>#N/A</v>
      </c>
      <c r="Q315" s="4" t="e">
        <f>VLOOKUP(AJ307,'CIR Team Info'!$C$5:$E$44,3,FALSE)</f>
        <v>#N/A</v>
      </c>
      <c r="R315" s="10" t="e">
        <f>VLOOKUP(AJ307,'FRC Site Data'!$B$3:$L$42,2,FALSE)</f>
        <v>#N/A</v>
      </c>
      <c r="S315" s="10" t="e">
        <f>VLOOKUP(AJ307,'FRC Site Data'!$B$3:$L$42,3,FALSE)</f>
        <v>#N/A</v>
      </c>
      <c r="T315" s="10" t="e">
        <f>VLOOKUP(AJ307,'FRC Site Data'!$B$3:$L$42,4,FALSE)</f>
        <v>#N/A</v>
      </c>
      <c r="U315" s="10" t="e">
        <f>VLOOKUP(AJ307,'FRC Site Data'!$B$3:$L$42,5,FALSE)</f>
        <v>#N/A</v>
      </c>
      <c r="V315" s="10" t="e">
        <f>VLOOKUP(AJ307,'FRC Site Data'!$B$3:$L$42,6,FALSE)</f>
        <v>#N/A</v>
      </c>
      <c r="W315" s="10" t="e">
        <f>VLOOKUP(AJ307,'FRC Site Data'!$B$3:$L$42,8,FALSE)</f>
        <v>#N/A</v>
      </c>
      <c r="X315" s="10" t="e">
        <f>VLOOKUP(AJ307,'FRC Site Data'!$B$3:$L$42,9,FALSE)</f>
        <v>#N/A</v>
      </c>
      <c r="Y315" s="10" t="e">
        <f>VLOOKUP(AJ307,'FRC Site Data'!$B$3:$L$42,10,FALSE)</f>
        <v>#N/A</v>
      </c>
      <c r="Z315" s="10" t="e">
        <f>VLOOKUP(AJ307,'FRC Site Data'!$B$3:$L$42,11,FALSE)</f>
        <v>#N/A</v>
      </c>
      <c r="AA315" s="10" t="e">
        <f>VLOOKUP(AJ307,'CIR Team Info'!$C$5:$E$44,4,FALSE)</f>
        <v>#N/A</v>
      </c>
      <c r="AB315" s="161" t="b">
        <f>ISNUMBER(VLOOKUP(AJ307,Match!$T$5:$T$10,1,FALSE))</f>
        <v>0</v>
      </c>
      <c r="AC315" s="161" t="b">
        <f>IF(AB315=TRUE,(VLOOKUP($AJ307,Match!$T$5:$U$10,2,FALSE)))</f>
        <v>0</v>
      </c>
      <c r="AD315" s="8">
        <v>3</v>
      </c>
      <c r="AE315" s="8">
        <v>2</v>
      </c>
      <c r="AF315" s="8">
        <v>2</v>
      </c>
      <c r="AG315" s="8">
        <v>1</v>
      </c>
      <c r="AH315" s="8" t="str">
        <f t="shared" si="95"/>
        <v/>
      </c>
      <c r="AI315" s="12"/>
      <c r="AZ315" s="12"/>
      <c r="BC315" s="12"/>
      <c r="BK315" s="12"/>
    </row>
    <row r="316" spans="1:63" x14ac:dyDescent="0.25">
      <c r="A316" s="29">
        <f t="shared" si="97"/>
        <v>0</v>
      </c>
      <c r="B316" s="29">
        <f t="shared" si="90"/>
        <v>0</v>
      </c>
      <c r="C316" s="29">
        <f t="shared" si="91"/>
        <v>0</v>
      </c>
      <c r="D316" s="29">
        <f t="shared" si="92"/>
        <v>0</v>
      </c>
      <c r="E316" s="29">
        <f t="shared" si="98"/>
        <v>0</v>
      </c>
      <c r="F316" s="29">
        <f t="shared" si="99"/>
        <v>0</v>
      </c>
      <c r="G316" s="29" t="str">
        <f t="shared" si="100"/>
        <v>offensive</v>
      </c>
      <c r="H316" s="16">
        <f t="shared" si="104"/>
        <v>0</v>
      </c>
      <c r="I316" s="16">
        <f t="shared" si="105"/>
        <v>0</v>
      </c>
      <c r="J316" s="16">
        <f t="shared" si="93"/>
        <v>0</v>
      </c>
      <c r="K316" s="16">
        <f t="shared" si="101"/>
        <v>0</v>
      </c>
      <c r="L316" s="67">
        <f t="shared" si="102"/>
        <v>0</v>
      </c>
      <c r="M316" s="4">
        <f t="shared" si="94"/>
        <v>0</v>
      </c>
      <c r="N316" s="4">
        <f t="shared" si="96"/>
        <v>0</v>
      </c>
      <c r="O316" s="4">
        <f t="shared" si="103"/>
        <v>0</v>
      </c>
      <c r="P316" s="4" t="e">
        <f>VLOOKUP(AJ308,'CIR Team Info'!$C$5:$E$44,2,FALSE)</f>
        <v>#N/A</v>
      </c>
      <c r="Q316" s="4" t="e">
        <f>VLOOKUP(AJ308,'CIR Team Info'!$C$5:$E$44,3,FALSE)</f>
        <v>#N/A</v>
      </c>
      <c r="R316" s="10" t="e">
        <f>VLOOKUP(AJ308,'FRC Site Data'!$B$3:$L$42,2,FALSE)</f>
        <v>#N/A</v>
      </c>
      <c r="S316" s="10" t="e">
        <f>VLOOKUP(AJ308,'FRC Site Data'!$B$3:$L$42,3,FALSE)</f>
        <v>#N/A</v>
      </c>
      <c r="T316" s="10" t="e">
        <f>VLOOKUP(AJ308,'FRC Site Data'!$B$3:$L$42,4,FALSE)</f>
        <v>#N/A</v>
      </c>
      <c r="U316" s="10" t="e">
        <f>VLOOKUP(AJ308,'FRC Site Data'!$B$3:$L$42,5,FALSE)</f>
        <v>#N/A</v>
      </c>
      <c r="V316" s="10" t="e">
        <f>VLOOKUP(AJ308,'FRC Site Data'!$B$3:$L$42,6,FALSE)</f>
        <v>#N/A</v>
      </c>
      <c r="W316" s="10" t="e">
        <f>VLOOKUP(AJ308,'FRC Site Data'!$B$3:$L$42,8,FALSE)</f>
        <v>#N/A</v>
      </c>
      <c r="X316" s="10" t="e">
        <f>VLOOKUP(AJ308,'FRC Site Data'!$B$3:$L$42,9,FALSE)</f>
        <v>#N/A</v>
      </c>
      <c r="Y316" s="10" t="e">
        <f>VLOOKUP(AJ308,'FRC Site Data'!$B$3:$L$42,10,FALSE)</f>
        <v>#N/A</v>
      </c>
      <c r="Z316" s="10" t="e">
        <f>VLOOKUP(AJ308,'FRC Site Data'!$B$3:$L$42,11,FALSE)</f>
        <v>#N/A</v>
      </c>
      <c r="AA316" s="10" t="e">
        <f>VLOOKUP(AJ308,'CIR Team Info'!$C$5:$E$44,4,FALSE)</f>
        <v>#N/A</v>
      </c>
      <c r="AB316" s="161" t="b">
        <f>ISNUMBER(VLOOKUP(AJ308,Match!$T$5:$T$10,1,FALSE))</f>
        <v>0</v>
      </c>
      <c r="AC316" s="161" t="b">
        <f>IF(AB316=TRUE,(VLOOKUP($AJ308,Match!$T$5:$U$10,2,FALSE)))</f>
        <v>0</v>
      </c>
      <c r="AD316" s="8">
        <v>3</v>
      </c>
      <c r="AE316" s="8">
        <v>2</v>
      </c>
      <c r="AF316" s="8">
        <v>2</v>
      </c>
      <c r="AG316" s="8">
        <v>1</v>
      </c>
      <c r="AH316" s="8" t="str">
        <f t="shared" si="95"/>
        <v/>
      </c>
      <c r="AI316" s="12"/>
      <c r="AZ316" s="12"/>
      <c r="BC316" s="12"/>
      <c r="BK316" s="12"/>
    </row>
    <row r="317" spans="1:63" x14ac:dyDescent="0.25">
      <c r="A317" s="29">
        <f t="shared" si="97"/>
        <v>0</v>
      </c>
      <c r="B317" s="29">
        <f t="shared" si="90"/>
        <v>0</v>
      </c>
      <c r="C317" s="29">
        <f t="shared" si="91"/>
        <v>0</v>
      </c>
      <c r="D317" s="29">
        <f t="shared" si="92"/>
        <v>0</v>
      </c>
      <c r="E317" s="29">
        <f t="shared" si="98"/>
        <v>0</v>
      </c>
      <c r="F317" s="29">
        <f t="shared" si="99"/>
        <v>0</v>
      </c>
      <c r="G317" s="29" t="str">
        <f t="shared" si="100"/>
        <v>offensive</v>
      </c>
      <c r="H317" s="16">
        <f t="shared" si="104"/>
        <v>0</v>
      </c>
      <c r="I317" s="16">
        <f t="shared" si="105"/>
        <v>0</v>
      </c>
      <c r="J317" s="16">
        <f t="shared" si="93"/>
        <v>0</v>
      </c>
      <c r="K317" s="16">
        <f t="shared" si="101"/>
        <v>0</v>
      </c>
      <c r="L317" s="67">
        <f t="shared" si="102"/>
        <v>0</v>
      </c>
      <c r="M317" s="4">
        <f t="shared" si="94"/>
        <v>0</v>
      </c>
      <c r="N317" s="4">
        <f t="shared" si="96"/>
        <v>0</v>
      </c>
      <c r="O317" s="4">
        <f t="shared" si="103"/>
        <v>0</v>
      </c>
      <c r="P317" s="4" t="e">
        <f>VLOOKUP(AJ309,'CIR Team Info'!$C$5:$E$44,2,FALSE)</f>
        <v>#N/A</v>
      </c>
      <c r="Q317" s="4" t="e">
        <f>VLOOKUP(AJ309,'CIR Team Info'!$C$5:$E$44,3,FALSE)</f>
        <v>#N/A</v>
      </c>
      <c r="R317" s="10" t="e">
        <f>VLOOKUP(AJ309,'FRC Site Data'!$B$3:$L$42,2,FALSE)</f>
        <v>#N/A</v>
      </c>
      <c r="S317" s="10" t="e">
        <f>VLOOKUP(AJ309,'FRC Site Data'!$B$3:$L$42,3,FALSE)</f>
        <v>#N/A</v>
      </c>
      <c r="T317" s="10" t="e">
        <f>VLOOKUP(AJ309,'FRC Site Data'!$B$3:$L$42,4,FALSE)</f>
        <v>#N/A</v>
      </c>
      <c r="U317" s="10" t="e">
        <f>VLOOKUP(AJ309,'FRC Site Data'!$B$3:$L$42,5,FALSE)</f>
        <v>#N/A</v>
      </c>
      <c r="V317" s="10" t="e">
        <f>VLOOKUP(AJ309,'FRC Site Data'!$B$3:$L$42,6,FALSE)</f>
        <v>#N/A</v>
      </c>
      <c r="W317" s="10" t="e">
        <f>VLOOKUP(AJ309,'FRC Site Data'!$B$3:$L$42,8,FALSE)</f>
        <v>#N/A</v>
      </c>
      <c r="X317" s="10" t="e">
        <f>VLOOKUP(AJ309,'FRC Site Data'!$B$3:$L$42,9,FALSE)</f>
        <v>#N/A</v>
      </c>
      <c r="Y317" s="10" t="e">
        <f>VLOOKUP(AJ309,'FRC Site Data'!$B$3:$L$42,10,FALSE)</f>
        <v>#N/A</v>
      </c>
      <c r="Z317" s="10" t="e">
        <f>VLOOKUP(AJ309,'FRC Site Data'!$B$3:$L$42,11,FALSE)</f>
        <v>#N/A</v>
      </c>
      <c r="AA317" s="10" t="e">
        <f>VLOOKUP(AJ309,'CIR Team Info'!$C$5:$E$44,4,FALSE)</f>
        <v>#N/A</v>
      </c>
      <c r="AB317" s="161" t="b">
        <f>ISNUMBER(VLOOKUP(AJ309,Match!$T$5:$T$10,1,FALSE))</f>
        <v>0</v>
      </c>
      <c r="AC317" s="161" t="b">
        <f>IF(AB317=TRUE,(VLOOKUP($AJ309,Match!$T$5:$U$10,2,FALSE)))</f>
        <v>0</v>
      </c>
      <c r="AD317" s="8">
        <v>3</v>
      </c>
      <c r="AE317" s="8">
        <v>2</v>
      </c>
      <c r="AF317" s="8">
        <v>2</v>
      </c>
      <c r="AG317" s="8">
        <v>1</v>
      </c>
      <c r="AH317" s="8" t="str">
        <f t="shared" si="95"/>
        <v/>
      </c>
      <c r="AI317" s="12"/>
      <c r="AZ317" s="12"/>
      <c r="BC317" s="12"/>
      <c r="BK317" s="12"/>
    </row>
    <row r="318" spans="1:63" x14ac:dyDescent="0.25">
      <c r="A318" s="29">
        <f t="shared" si="97"/>
        <v>0</v>
      </c>
      <c r="B318" s="29">
        <f t="shared" si="90"/>
        <v>0</v>
      </c>
      <c r="C318" s="29">
        <f t="shared" si="91"/>
        <v>0</v>
      </c>
      <c r="D318" s="29">
        <f t="shared" si="92"/>
        <v>0</v>
      </c>
      <c r="E318" s="29">
        <f t="shared" si="98"/>
        <v>0</v>
      </c>
      <c r="F318" s="29">
        <f t="shared" si="99"/>
        <v>0</v>
      </c>
      <c r="G318" s="29" t="str">
        <f t="shared" si="100"/>
        <v>offensive</v>
      </c>
      <c r="H318" s="16">
        <f t="shared" si="104"/>
        <v>0</v>
      </c>
      <c r="I318" s="16">
        <f t="shared" si="105"/>
        <v>0</v>
      </c>
      <c r="J318" s="16">
        <f t="shared" si="93"/>
        <v>0</v>
      </c>
      <c r="K318" s="16">
        <f t="shared" si="101"/>
        <v>0</v>
      </c>
      <c r="L318" s="67">
        <f t="shared" si="102"/>
        <v>0</v>
      </c>
      <c r="M318" s="4">
        <f t="shared" si="94"/>
        <v>0</v>
      </c>
      <c r="N318" s="4">
        <f t="shared" si="96"/>
        <v>0</v>
      </c>
      <c r="O318" s="4">
        <f t="shared" si="103"/>
        <v>0</v>
      </c>
      <c r="P318" s="4" t="e">
        <f>VLOOKUP(AJ310,'CIR Team Info'!$C$5:$E$44,2,FALSE)</f>
        <v>#N/A</v>
      </c>
      <c r="Q318" s="4" t="e">
        <f>VLOOKUP(AJ310,'CIR Team Info'!$C$5:$E$44,3,FALSE)</f>
        <v>#N/A</v>
      </c>
      <c r="R318" s="10" t="e">
        <f>VLOOKUP(AJ310,'FRC Site Data'!$B$3:$L$42,2,FALSE)</f>
        <v>#N/A</v>
      </c>
      <c r="S318" s="10" t="e">
        <f>VLOOKUP(AJ310,'FRC Site Data'!$B$3:$L$42,3,FALSE)</f>
        <v>#N/A</v>
      </c>
      <c r="T318" s="10" t="e">
        <f>VLOOKUP(AJ310,'FRC Site Data'!$B$3:$L$42,4,FALSE)</f>
        <v>#N/A</v>
      </c>
      <c r="U318" s="10" t="e">
        <f>VLOOKUP(AJ310,'FRC Site Data'!$B$3:$L$42,5,FALSE)</f>
        <v>#N/A</v>
      </c>
      <c r="V318" s="10" t="e">
        <f>VLOOKUP(AJ310,'FRC Site Data'!$B$3:$L$42,6,FALSE)</f>
        <v>#N/A</v>
      </c>
      <c r="W318" s="10" t="e">
        <f>VLOOKUP(AJ310,'FRC Site Data'!$B$3:$L$42,8,FALSE)</f>
        <v>#N/A</v>
      </c>
      <c r="X318" s="10" t="e">
        <f>VLOOKUP(AJ310,'FRC Site Data'!$B$3:$L$42,9,FALSE)</f>
        <v>#N/A</v>
      </c>
      <c r="Y318" s="10" t="e">
        <f>VLOOKUP(AJ310,'FRC Site Data'!$B$3:$L$42,10,FALSE)</f>
        <v>#N/A</v>
      </c>
      <c r="Z318" s="10" t="e">
        <f>VLOOKUP(AJ310,'FRC Site Data'!$B$3:$L$42,11,FALSE)</f>
        <v>#N/A</v>
      </c>
      <c r="AA318" s="10" t="e">
        <f>VLOOKUP(AJ310,'CIR Team Info'!$C$5:$E$44,4,FALSE)</f>
        <v>#N/A</v>
      </c>
      <c r="AB318" s="161" t="b">
        <f>ISNUMBER(VLOOKUP(AJ310,Match!$T$5:$T$10,1,FALSE))</f>
        <v>0</v>
      </c>
      <c r="AC318" s="161" t="b">
        <f>IF(AB318=TRUE,(VLOOKUP($AJ310,Match!$T$5:$U$10,2,FALSE)))</f>
        <v>0</v>
      </c>
      <c r="AD318" s="8">
        <v>3</v>
      </c>
      <c r="AE318" s="8">
        <v>2</v>
      </c>
      <c r="AF318" s="8">
        <v>2</v>
      </c>
      <c r="AG318" s="8">
        <v>1</v>
      </c>
      <c r="AH318" s="8" t="str">
        <f t="shared" si="95"/>
        <v/>
      </c>
      <c r="AI318" s="12"/>
      <c r="AZ318" s="12"/>
      <c r="BC318" s="12"/>
      <c r="BK318" s="12"/>
    </row>
    <row r="319" spans="1:63" x14ac:dyDescent="0.25">
      <c r="A319" s="29">
        <f t="shared" si="97"/>
        <v>0</v>
      </c>
      <c r="B319" s="29">
        <f t="shared" si="90"/>
        <v>0</v>
      </c>
      <c r="C319" s="29">
        <f t="shared" si="91"/>
        <v>0</v>
      </c>
      <c r="D319" s="29">
        <f t="shared" si="92"/>
        <v>0</v>
      </c>
      <c r="E319" s="29">
        <f t="shared" si="98"/>
        <v>0</v>
      </c>
      <c r="F319" s="29">
        <f t="shared" si="99"/>
        <v>0</v>
      </c>
      <c r="G319" s="29" t="str">
        <f t="shared" si="100"/>
        <v>offensive</v>
      </c>
      <c r="H319" s="16">
        <f t="shared" si="104"/>
        <v>0</v>
      </c>
      <c r="I319" s="16">
        <f t="shared" si="105"/>
        <v>0</v>
      </c>
      <c r="J319" s="16">
        <f t="shared" si="93"/>
        <v>0</v>
      </c>
      <c r="K319" s="16">
        <f t="shared" si="101"/>
        <v>0</v>
      </c>
      <c r="L319" s="67">
        <f t="shared" si="102"/>
        <v>0</v>
      </c>
      <c r="M319" s="4">
        <f t="shared" si="94"/>
        <v>0</v>
      </c>
      <c r="N319" s="4">
        <f t="shared" si="96"/>
        <v>0</v>
      </c>
      <c r="O319" s="4">
        <f t="shared" si="103"/>
        <v>0</v>
      </c>
      <c r="P319" s="4" t="e">
        <f>VLOOKUP(AJ311,'CIR Team Info'!$C$5:$E$44,2,FALSE)</f>
        <v>#N/A</v>
      </c>
      <c r="Q319" s="4" t="e">
        <f>VLOOKUP(AJ311,'CIR Team Info'!$C$5:$E$44,3,FALSE)</f>
        <v>#N/A</v>
      </c>
      <c r="R319" s="10" t="e">
        <f>VLOOKUP(AJ311,'FRC Site Data'!$B$3:$L$42,2,FALSE)</f>
        <v>#N/A</v>
      </c>
      <c r="S319" s="10" t="e">
        <f>VLOOKUP(AJ311,'FRC Site Data'!$B$3:$L$42,3,FALSE)</f>
        <v>#N/A</v>
      </c>
      <c r="T319" s="10" t="e">
        <f>VLOOKUP(AJ311,'FRC Site Data'!$B$3:$L$42,4,FALSE)</f>
        <v>#N/A</v>
      </c>
      <c r="U319" s="10" t="e">
        <f>VLOOKUP(AJ311,'FRC Site Data'!$B$3:$L$42,5,FALSE)</f>
        <v>#N/A</v>
      </c>
      <c r="V319" s="10" t="e">
        <f>VLOOKUP(AJ311,'FRC Site Data'!$B$3:$L$42,6,FALSE)</f>
        <v>#N/A</v>
      </c>
      <c r="W319" s="10" t="e">
        <f>VLOOKUP(AJ311,'FRC Site Data'!$B$3:$L$42,8,FALSE)</f>
        <v>#N/A</v>
      </c>
      <c r="X319" s="10" t="e">
        <f>VLOOKUP(AJ311,'FRC Site Data'!$B$3:$L$42,9,FALSE)</f>
        <v>#N/A</v>
      </c>
      <c r="Y319" s="10" t="e">
        <f>VLOOKUP(AJ311,'FRC Site Data'!$B$3:$L$42,10,FALSE)</f>
        <v>#N/A</v>
      </c>
      <c r="Z319" s="10" t="e">
        <f>VLOOKUP(AJ311,'FRC Site Data'!$B$3:$L$42,11,FALSE)</f>
        <v>#N/A</v>
      </c>
      <c r="AA319" s="10" t="e">
        <f>VLOOKUP(AJ311,'CIR Team Info'!$C$5:$E$44,4,FALSE)</f>
        <v>#N/A</v>
      </c>
      <c r="AB319" s="161" t="b">
        <f>ISNUMBER(VLOOKUP(AJ311,Match!$T$5:$T$10,1,FALSE))</f>
        <v>0</v>
      </c>
      <c r="AC319" s="161" t="b">
        <f>IF(AB319=TRUE,(VLOOKUP($AJ311,Match!$T$5:$U$10,2,FALSE)))</f>
        <v>0</v>
      </c>
      <c r="AD319" s="8">
        <v>3</v>
      </c>
      <c r="AE319" s="8">
        <v>2</v>
      </c>
      <c r="AF319" s="8">
        <v>2</v>
      </c>
      <c r="AG319" s="8">
        <v>1</v>
      </c>
      <c r="AH319" s="8" t="str">
        <f t="shared" ref="AH319:AH368" si="106">IF(AL311="Other","x","")</f>
        <v/>
      </c>
      <c r="AI319" s="12"/>
      <c r="AZ319" s="12"/>
      <c r="BC319" s="12"/>
      <c r="BK319" s="12"/>
    </row>
    <row r="320" spans="1:63" x14ac:dyDescent="0.25">
      <c r="A320" s="29">
        <f t="shared" si="97"/>
        <v>0</v>
      </c>
      <c r="B320" s="29">
        <f t="shared" si="90"/>
        <v>0</v>
      </c>
      <c r="C320" s="29">
        <f t="shared" si="91"/>
        <v>0</v>
      </c>
      <c r="D320" s="29">
        <f t="shared" si="92"/>
        <v>0</v>
      </c>
      <c r="E320" s="29">
        <f t="shared" si="98"/>
        <v>0</v>
      </c>
      <c r="F320" s="29">
        <f t="shared" si="99"/>
        <v>0</v>
      </c>
      <c r="G320" s="29" t="str">
        <f t="shared" si="100"/>
        <v>offensive</v>
      </c>
      <c r="H320" s="16">
        <f t="shared" si="104"/>
        <v>0</v>
      </c>
      <c r="I320" s="16">
        <f t="shared" si="105"/>
        <v>0</v>
      </c>
      <c r="J320" s="16">
        <f t="shared" si="93"/>
        <v>0</v>
      </c>
      <c r="K320" s="16">
        <f t="shared" si="101"/>
        <v>0</v>
      </c>
      <c r="L320" s="67">
        <f t="shared" si="102"/>
        <v>0</v>
      </c>
      <c r="M320" s="4">
        <f t="shared" si="94"/>
        <v>0</v>
      </c>
      <c r="N320" s="4">
        <f t="shared" si="96"/>
        <v>0</v>
      </c>
      <c r="O320" s="4">
        <f t="shared" si="103"/>
        <v>0</v>
      </c>
      <c r="P320" s="4" t="e">
        <f>VLOOKUP(AJ312,'CIR Team Info'!$C$5:$E$44,2,FALSE)</f>
        <v>#N/A</v>
      </c>
      <c r="Q320" s="4" t="e">
        <f>VLOOKUP(AJ312,'CIR Team Info'!$C$5:$E$44,3,FALSE)</f>
        <v>#N/A</v>
      </c>
      <c r="R320" s="10" t="e">
        <f>VLOOKUP(AJ312,'FRC Site Data'!$B$3:$L$42,2,FALSE)</f>
        <v>#N/A</v>
      </c>
      <c r="S320" s="10" t="e">
        <f>VLOOKUP(AJ312,'FRC Site Data'!$B$3:$L$42,3,FALSE)</f>
        <v>#N/A</v>
      </c>
      <c r="T320" s="10" t="e">
        <f>VLOOKUP(AJ312,'FRC Site Data'!$B$3:$L$42,4,FALSE)</f>
        <v>#N/A</v>
      </c>
      <c r="U320" s="10" t="e">
        <f>VLOOKUP(AJ312,'FRC Site Data'!$B$3:$L$42,5,FALSE)</f>
        <v>#N/A</v>
      </c>
      <c r="V320" s="10" t="e">
        <f>VLOOKUP(AJ312,'FRC Site Data'!$B$3:$L$42,6,FALSE)</f>
        <v>#N/A</v>
      </c>
      <c r="W320" s="10" t="e">
        <f>VLOOKUP(AJ312,'FRC Site Data'!$B$3:$L$42,8,FALSE)</f>
        <v>#N/A</v>
      </c>
      <c r="X320" s="10" t="e">
        <f>VLOOKUP(AJ312,'FRC Site Data'!$B$3:$L$42,9,FALSE)</f>
        <v>#N/A</v>
      </c>
      <c r="Y320" s="10" t="e">
        <f>VLOOKUP(AJ312,'FRC Site Data'!$B$3:$L$42,10,FALSE)</f>
        <v>#N/A</v>
      </c>
      <c r="Z320" s="10" t="e">
        <f>VLOOKUP(AJ312,'FRC Site Data'!$B$3:$L$42,11,FALSE)</f>
        <v>#N/A</v>
      </c>
      <c r="AA320" s="10" t="e">
        <f>VLOOKUP(AJ312,'CIR Team Info'!$C$5:$E$44,4,FALSE)</f>
        <v>#N/A</v>
      </c>
      <c r="AB320" s="161" t="b">
        <f>ISNUMBER(VLOOKUP(AJ312,Match!$T$5:$T$10,1,FALSE))</f>
        <v>0</v>
      </c>
      <c r="AC320" s="161" t="b">
        <f>IF(AB320=TRUE,(VLOOKUP($AJ312,Match!$T$5:$U$10,2,FALSE)))</f>
        <v>0</v>
      </c>
      <c r="AD320" s="8">
        <v>3</v>
      </c>
      <c r="AE320" s="8">
        <v>2</v>
      </c>
      <c r="AF320" s="8">
        <v>2</v>
      </c>
      <c r="AG320" s="8">
        <v>1</v>
      </c>
      <c r="AH320" s="8" t="str">
        <f t="shared" si="106"/>
        <v/>
      </c>
      <c r="AI320" s="12"/>
      <c r="AZ320" s="12"/>
      <c r="BC320" s="12"/>
      <c r="BK320" s="12"/>
    </row>
    <row r="321" spans="1:63" x14ac:dyDescent="0.25">
      <c r="A321" s="29">
        <f t="shared" si="97"/>
        <v>0</v>
      </c>
      <c r="B321" s="29">
        <f t="shared" si="90"/>
        <v>0</v>
      </c>
      <c r="C321" s="29">
        <f t="shared" si="91"/>
        <v>0</v>
      </c>
      <c r="D321" s="29">
        <f t="shared" si="92"/>
        <v>0</v>
      </c>
      <c r="E321" s="29">
        <f t="shared" si="98"/>
        <v>0</v>
      </c>
      <c r="F321" s="29">
        <f t="shared" si="99"/>
        <v>0</v>
      </c>
      <c r="G321" s="29" t="str">
        <f t="shared" si="100"/>
        <v>offensive</v>
      </c>
      <c r="H321" s="16">
        <f t="shared" si="104"/>
        <v>0</v>
      </c>
      <c r="I321" s="16">
        <f t="shared" si="105"/>
        <v>0</v>
      </c>
      <c r="J321" s="16">
        <f t="shared" si="93"/>
        <v>0</v>
      </c>
      <c r="K321" s="16">
        <f t="shared" si="101"/>
        <v>0</v>
      </c>
      <c r="L321" s="67">
        <f t="shared" si="102"/>
        <v>0</v>
      </c>
      <c r="M321" s="4">
        <f t="shared" si="94"/>
        <v>0</v>
      </c>
      <c r="N321" s="4">
        <f t="shared" si="96"/>
        <v>0</v>
      </c>
      <c r="O321" s="4">
        <f t="shared" si="103"/>
        <v>0</v>
      </c>
      <c r="P321" s="4" t="e">
        <f>VLOOKUP(AJ313,'CIR Team Info'!$C$5:$E$44,2,FALSE)</f>
        <v>#N/A</v>
      </c>
      <c r="Q321" s="4" t="e">
        <f>VLOOKUP(AJ313,'CIR Team Info'!$C$5:$E$44,3,FALSE)</f>
        <v>#N/A</v>
      </c>
      <c r="R321" s="10" t="e">
        <f>VLOOKUP(AJ313,'FRC Site Data'!$B$3:$L$42,2,FALSE)</f>
        <v>#N/A</v>
      </c>
      <c r="S321" s="10" t="e">
        <f>VLOOKUP(AJ313,'FRC Site Data'!$B$3:$L$42,3,FALSE)</f>
        <v>#N/A</v>
      </c>
      <c r="T321" s="10" t="e">
        <f>VLOOKUP(AJ313,'FRC Site Data'!$B$3:$L$42,4,FALSE)</f>
        <v>#N/A</v>
      </c>
      <c r="U321" s="10" t="e">
        <f>VLOOKUP(AJ313,'FRC Site Data'!$B$3:$L$42,5,FALSE)</f>
        <v>#N/A</v>
      </c>
      <c r="V321" s="10" t="e">
        <f>VLOOKUP(AJ313,'FRC Site Data'!$B$3:$L$42,6,FALSE)</f>
        <v>#N/A</v>
      </c>
      <c r="W321" s="10" t="e">
        <f>VLOOKUP(AJ313,'FRC Site Data'!$B$3:$L$42,8,FALSE)</f>
        <v>#N/A</v>
      </c>
      <c r="X321" s="10" t="e">
        <f>VLOOKUP(AJ313,'FRC Site Data'!$B$3:$L$42,9,FALSE)</f>
        <v>#N/A</v>
      </c>
      <c r="Y321" s="10" t="e">
        <f>VLOOKUP(AJ313,'FRC Site Data'!$B$3:$L$42,10,FALSE)</f>
        <v>#N/A</v>
      </c>
      <c r="Z321" s="10" t="e">
        <f>VLOOKUP(AJ313,'FRC Site Data'!$B$3:$L$42,11,FALSE)</f>
        <v>#N/A</v>
      </c>
      <c r="AA321" s="10" t="e">
        <f>VLOOKUP(AJ313,'CIR Team Info'!$C$5:$E$44,4,FALSE)</f>
        <v>#N/A</v>
      </c>
      <c r="AB321" s="161" t="b">
        <f>ISNUMBER(VLOOKUP(AJ313,Match!$T$5:$T$10,1,FALSE))</f>
        <v>0</v>
      </c>
      <c r="AC321" s="161" t="b">
        <f>IF(AB321=TRUE,(VLOOKUP($AJ313,Match!$T$5:$U$10,2,FALSE)))</f>
        <v>0</v>
      </c>
      <c r="AD321" s="8">
        <v>3</v>
      </c>
      <c r="AE321" s="8">
        <v>2</v>
      </c>
      <c r="AF321" s="8">
        <v>2</v>
      </c>
      <c r="AG321" s="8">
        <v>1</v>
      </c>
      <c r="AH321" s="8" t="str">
        <f t="shared" si="106"/>
        <v/>
      </c>
      <c r="AI321" s="12"/>
      <c r="AZ321" s="12"/>
      <c r="BC321" s="12"/>
      <c r="BK321" s="12"/>
    </row>
    <row r="322" spans="1:63" x14ac:dyDescent="0.25">
      <c r="A322" s="29">
        <f t="shared" si="97"/>
        <v>0</v>
      </c>
      <c r="B322" s="29">
        <f t="shared" si="90"/>
        <v>0</v>
      </c>
      <c r="C322" s="29">
        <f t="shared" si="91"/>
        <v>0</v>
      </c>
      <c r="D322" s="29">
        <f t="shared" si="92"/>
        <v>0</v>
      </c>
      <c r="E322" s="29">
        <f t="shared" si="98"/>
        <v>0</v>
      </c>
      <c r="F322" s="29">
        <f t="shared" si="99"/>
        <v>0</v>
      </c>
      <c r="G322" s="29" t="str">
        <f t="shared" si="100"/>
        <v>offensive</v>
      </c>
      <c r="H322" s="16">
        <f t="shared" si="104"/>
        <v>0</v>
      </c>
      <c r="I322" s="16">
        <f t="shared" si="105"/>
        <v>0</v>
      </c>
      <c r="J322" s="16">
        <f t="shared" si="93"/>
        <v>0</v>
      </c>
      <c r="K322" s="16">
        <f t="shared" si="101"/>
        <v>0</v>
      </c>
      <c r="L322" s="67">
        <f t="shared" si="102"/>
        <v>0</v>
      </c>
      <c r="M322" s="4">
        <f t="shared" si="94"/>
        <v>0</v>
      </c>
      <c r="N322" s="4">
        <f t="shared" si="96"/>
        <v>0</v>
      </c>
      <c r="O322" s="4">
        <f t="shared" si="103"/>
        <v>0</v>
      </c>
      <c r="P322" s="4" t="e">
        <f>VLOOKUP(AJ314,'CIR Team Info'!$C$5:$E$44,2,FALSE)</f>
        <v>#N/A</v>
      </c>
      <c r="Q322" s="4" t="e">
        <f>VLOOKUP(AJ314,'CIR Team Info'!$C$5:$E$44,3,FALSE)</f>
        <v>#N/A</v>
      </c>
      <c r="R322" s="10" t="e">
        <f>VLOOKUP(AJ314,'FRC Site Data'!$B$3:$L$42,2,FALSE)</f>
        <v>#N/A</v>
      </c>
      <c r="S322" s="10" t="e">
        <f>VLOOKUP(AJ314,'FRC Site Data'!$B$3:$L$42,3,FALSE)</f>
        <v>#N/A</v>
      </c>
      <c r="T322" s="10" t="e">
        <f>VLOOKUP(AJ314,'FRC Site Data'!$B$3:$L$42,4,FALSE)</f>
        <v>#N/A</v>
      </c>
      <c r="U322" s="10" t="e">
        <f>VLOOKUP(AJ314,'FRC Site Data'!$B$3:$L$42,5,FALSE)</f>
        <v>#N/A</v>
      </c>
      <c r="V322" s="10" t="e">
        <f>VLOOKUP(AJ314,'FRC Site Data'!$B$3:$L$42,6,FALSE)</f>
        <v>#N/A</v>
      </c>
      <c r="W322" s="10" t="e">
        <f>VLOOKUP(AJ314,'FRC Site Data'!$B$3:$L$42,8,FALSE)</f>
        <v>#N/A</v>
      </c>
      <c r="X322" s="10" t="e">
        <f>VLOOKUP(AJ314,'FRC Site Data'!$B$3:$L$42,9,FALSE)</f>
        <v>#N/A</v>
      </c>
      <c r="Y322" s="10" t="e">
        <f>VLOOKUP(AJ314,'FRC Site Data'!$B$3:$L$42,10,FALSE)</f>
        <v>#N/A</v>
      </c>
      <c r="Z322" s="10" t="e">
        <f>VLOOKUP(AJ314,'FRC Site Data'!$B$3:$L$42,11,FALSE)</f>
        <v>#N/A</v>
      </c>
      <c r="AA322" s="10" t="e">
        <f>VLOOKUP(AJ314,'CIR Team Info'!$C$5:$E$44,4,FALSE)</f>
        <v>#N/A</v>
      </c>
      <c r="AB322" s="161" t="b">
        <f>ISNUMBER(VLOOKUP(AJ314,Match!$T$5:$T$10,1,FALSE))</f>
        <v>0</v>
      </c>
      <c r="AC322" s="161" t="b">
        <f>IF(AB322=TRUE,(VLOOKUP($AJ314,Match!$T$5:$U$10,2,FALSE)))</f>
        <v>0</v>
      </c>
      <c r="AD322" s="8">
        <v>3</v>
      </c>
      <c r="AE322" s="8">
        <v>2</v>
      </c>
      <c r="AF322" s="8">
        <v>2</v>
      </c>
      <c r="AG322" s="8">
        <v>1</v>
      </c>
      <c r="AH322" s="8" t="str">
        <f t="shared" si="106"/>
        <v/>
      </c>
      <c r="AI322" s="12"/>
      <c r="AZ322" s="12"/>
      <c r="BC322" s="12"/>
      <c r="BK322" s="12"/>
    </row>
    <row r="323" spans="1:63" x14ac:dyDescent="0.25">
      <c r="A323" s="29">
        <f t="shared" si="97"/>
        <v>0</v>
      </c>
      <c r="B323" s="29">
        <f t="shared" si="90"/>
        <v>0</v>
      </c>
      <c r="C323" s="29">
        <f t="shared" si="91"/>
        <v>0</v>
      </c>
      <c r="D323" s="29">
        <f t="shared" si="92"/>
        <v>0</v>
      </c>
      <c r="E323" s="29">
        <f t="shared" si="98"/>
        <v>0</v>
      </c>
      <c r="F323" s="29">
        <f t="shared" si="99"/>
        <v>0</v>
      </c>
      <c r="G323" s="29" t="str">
        <f t="shared" si="100"/>
        <v>offensive</v>
      </c>
      <c r="H323" s="16">
        <f t="shared" si="104"/>
        <v>0</v>
      </c>
      <c r="I323" s="16">
        <f t="shared" si="105"/>
        <v>0</v>
      </c>
      <c r="J323" s="16">
        <f t="shared" si="93"/>
        <v>0</v>
      </c>
      <c r="K323" s="16">
        <f t="shared" si="101"/>
        <v>0</v>
      </c>
      <c r="L323" s="67">
        <f t="shared" si="102"/>
        <v>0</v>
      </c>
      <c r="M323" s="4">
        <f t="shared" si="94"/>
        <v>0</v>
      </c>
      <c r="N323" s="4">
        <f t="shared" si="96"/>
        <v>0</v>
      </c>
      <c r="O323" s="4">
        <f t="shared" si="103"/>
        <v>0</v>
      </c>
      <c r="P323" s="4" t="e">
        <f>VLOOKUP(AJ315,'CIR Team Info'!$C$5:$E$44,2,FALSE)</f>
        <v>#N/A</v>
      </c>
      <c r="Q323" s="4" t="e">
        <f>VLOOKUP(AJ315,'CIR Team Info'!$C$5:$E$44,3,FALSE)</f>
        <v>#N/A</v>
      </c>
      <c r="R323" s="10" t="e">
        <f>VLOOKUP(AJ315,'FRC Site Data'!$B$3:$L$42,2,FALSE)</f>
        <v>#N/A</v>
      </c>
      <c r="S323" s="10" t="e">
        <f>VLOOKUP(AJ315,'FRC Site Data'!$B$3:$L$42,3,FALSE)</f>
        <v>#N/A</v>
      </c>
      <c r="T323" s="10" t="e">
        <f>VLOOKUP(AJ315,'FRC Site Data'!$B$3:$L$42,4,FALSE)</f>
        <v>#N/A</v>
      </c>
      <c r="U323" s="10" t="e">
        <f>VLOOKUP(AJ315,'FRC Site Data'!$B$3:$L$42,5,FALSE)</f>
        <v>#N/A</v>
      </c>
      <c r="V323" s="10" t="e">
        <f>VLOOKUP(AJ315,'FRC Site Data'!$B$3:$L$42,6,FALSE)</f>
        <v>#N/A</v>
      </c>
      <c r="W323" s="10" t="e">
        <f>VLOOKUP(AJ315,'FRC Site Data'!$B$3:$L$42,8,FALSE)</f>
        <v>#N/A</v>
      </c>
      <c r="X323" s="10" t="e">
        <f>VLOOKUP(AJ315,'FRC Site Data'!$B$3:$L$42,9,FALSE)</f>
        <v>#N/A</v>
      </c>
      <c r="Y323" s="10" t="e">
        <f>VLOOKUP(AJ315,'FRC Site Data'!$B$3:$L$42,10,FALSE)</f>
        <v>#N/A</v>
      </c>
      <c r="Z323" s="10" t="e">
        <f>VLOOKUP(AJ315,'FRC Site Data'!$B$3:$L$42,11,FALSE)</f>
        <v>#N/A</v>
      </c>
      <c r="AA323" s="10" t="e">
        <f>VLOOKUP(AJ315,'CIR Team Info'!$C$5:$E$44,4,FALSE)</f>
        <v>#N/A</v>
      </c>
      <c r="AB323" s="161" t="b">
        <f>ISNUMBER(VLOOKUP(AJ315,Match!$T$5:$T$10,1,FALSE))</f>
        <v>0</v>
      </c>
      <c r="AC323" s="161" t="b">
        <f>IF(AB323=TRUE,(VLOOKUP($AJ315,Match!$T$5:$U$10,2,FALSE)))</f>
        <v>0</v>
      </c>
      <c r="AD323" s="8">
        <v>3</v>
      </c>
      <c r="AE323" s="8">
        <v>2</v>
      </c>
      <c r="AF323" s="8">
        <v>2</v>
      </c>
      <c r="AG323" s="8">
        <v>1</v>
      </c>
      <c r="AH323" s="8" t="str">
        <f t="shared" si="106"/>
        <v/>
      </c>
      <c r="AI323" s="12"/>
      <c r="AZ323" s="12"/>
      <c r="BC323" s="12"/>
      <c r="BK323" s="12"/>
    </row>
    <row r="324" spans="1:63" x14ac:dyDescent="0.25">
      <c r="A324" s="29">
        <f t="shared" si="97"/>
        <v>0</v>
      </c>
      <c r="B324" s="29">
        <f t="shared" si="90"/>
        <v>0</v>
      </c>
      <c r="C324" s="29">
        <f t="shared" si="91"/>
        <v>0</v>
      </c>
      <c r="D324" s="29">
        <f t="shared" si="92"/>
        <v>0</v>
      </c>
      <c r="E324" s="29">
        <f t="shared" si="98"/>
        <v>0</v>
      </c>
      <c r="F324" s="29">
        <f t="shared" si="99"/>
        <v>0</v>
      </c>
      <c r="G324" s="29" t="str">
        <f t="shared" si="100"/>
        <v>offensive</v>
      </c>
      <c r="H324" s="16">
        <f t="shared" si="104"/>
        <v>0</v>
      </c>
      <c r="I324" s="16">
        <f t="shared" si="105"/>
        <v>0</v>
      </c>
      <c r="J324" s="16">
        <f t="shared" si="93"/>
        <v>0</v>
      </c>
      <c r="K324" s="16">
        <f t="shared" si="101"/>
        <v>0</v>
      </c>
      <c r="L324" s="67">
        <f t="shared" si="102"/>
        <v>0</v>
      </c>
      <c r="M324" s="4">
        <f t="shared" si="94"/>
        <v>0</v>
      </c>
      <c r="N324" s="4">
        <f t="shared" si="96"/>
        <v>0</v>
      </c>
      <c r="O324" s="4">
        <f t="shared" si="103"/>
        <v>0</v>
      </c>
      <c r="P324" s="4" t="e">
        <f>VLOOKUP(AJ316,'CIR Team Info'!$C$5:$E$44,2,FALSE)</f>
        <v>#N/A</v>
      </c>
      <c r="Q324" s="4" t="e">
        <f>VLOOKUP(AJ316,'CIR Team Info'!$C$5:$E$44,3,FALSE)</f>
        <v>#N/A</v>
      </c>
      <c r="R324" s="10" t="e">
        <f>VLOOKUP(AJ316,'FRC Site Data'!$B$3:$L$42,2,FALSE)</f>
        <v>#N/A</v>
      </c>
      <c r="S324" s="10" t="e">
        <f>VLOOKUP(AJ316,'FRC Site Data'!$B$3:$L$42,3,FALSE)</f>
        <v>#N/A</v>
      </c>
      <c r="T324" s="10" t="e">
        <f>VLOOKUP(AJ316,'FRC Site Data'!$B$3:$L$42,4,FALSE)</f>
        <v>#N/A</v>
      </c>
      <c r="U324" s="10" t="e">
        <f>VLOOKUP(AJ316,'FRC Site Data'!$B$3:$L$42,5,FALSE)</f>
        <v>#N/A</v>
      </c>
      <c r="V324" s="10" t="e">
        <f>VLOOKUP(AJ316,'FRC Site Data'!$B$3:$L$42,6,FALSE)</f>
        <v>#N/A</v>
      </c>
      <c r="W324" s="10" t="e">
        <f>VLOOKUP(AJ316,'FRC Site Data'!$B$3:$L$42,8,FALSE)</f>
        <v>#N/A</v>
      </c>
      <c r="X324" s="10" t="e">
        <f>VLOOKUP(AJ316,'FRC Site Data'!$B$3:$L$42,9,FALSE)</f>
        <v>#N/A</v>
      </c>
      <c r="Y324" s="10" t="e">
        <f>VLOOKUP(AJ316,'FRC Site Data'!$B$3:$L$42,10,FALSE)</f>
        <v>#N/A</v>
      </c>
      <c r="Z324" s="10" t="e">
        <f>VLOOKUP(AJ316,'FRC Site Data'!$B$3:$L$42,11,FALSE)</f>
        <v>#N/A</v>
      </c>
      <c r="AA324" s="10" t="e">
        <f>VLOOKUP(AJ316,'CIR Team Info'!$C$5:$E$44,4,FALSE)</f>
        <v>#N/A</v>
      </c>
      <c r="AB324" s="161" t="b">
        <f>ISNUMBER(VLOOKUP(AJ316,Match!$T$5:$T$10,1,FALSE))</f>
        <v>0</v>
      </c>
      <c r="AC324" s="161" t="b">
        <f>IF(AB324=TRUE,(VLOOKUP($AJ316,Match!$T$5:$U$10,2,FALSE)))</f>
        <v>0</v>
      </c>
      <c r="AD324" s="8">
        <v>3</v>
      </c>
      <c r="AE324" s="8">
        <v>2</v>
      </c>
      <c r="AF324" s="8">
        <v>2</v>
      </c>
      <c r="AG324" s="8">
        <v>1</v>
      </c>
      <c r="AH324" s="8" t="str">
        <f t="shared" si="106"/>
        <v/>
      </c>
      <c r="AI324" s="12"/>
      <c r="AZ324" s="12"/>
      <c r="BC324" s="12"/>
      <c r="BK324" s="12"/>
    </row>
    <row r="325" spans="1:63" x14ac:dyDescent="0.25">
      <c r="A325" s="29">
        <f t="shared" si="97"/>
        <v>0</v>
      </c>
      <c r="B325" s="29">
        <f t="shared" si="90"/>
        <v>0</v>
      </c>
      <c r="C325" s="29">
        <f t="shared" si="91"/>
        <v>0</v>
      </c>
      <c r="D325" s="29">
        <f t="shared" si="92"/>
        <v>0</v>
      </c>
      <c r="E325" s="29">
        <f t="shared" si="98"/>
        <v>0</v>
      </c>
      <c r="F325" s="29">
        <f t="shared" si="99"/>
        <v>0</v>
      </c>
      <c r="G325" s="29" t="str">
        <f t="shared" si="100"/>
        <v>offensive</v>
      </c>
      <c r="H325" s="16">
        <f t="shared" si="104"/>
        <v>0</v>
      </c>
      <c r="I325" s="16">
        <f t="shared" si="105"/>
        <v>0</v>
      </c>
      <c r="J325" s="16">
        <f t="shared" si="93"/>
        <v>0</v>
      </c>
      <c r="K325" s="16">
        <f t="shared" si="101"/>
        <v>0</v>
      </c>
      <c r="L325" s="67">
        <f t="shared" si="102"/>
        <v>0</v>
      </c>
      <c r="M325" s="4">
        <f t="shared" si="94"/>
        <v>0</v>
      </c>
      <c r="N325" s="4">
        <f t="shared" si="96"/>
        <v>0</v>
      </c>
      <c r="O325" s="4">
        <f t="shared" si="103"/>
        <v>0</v>
      </c>
      <c r="P325" s="4" t="e">
        <f>VLOOKUP(AJ317,'CIR Team Info'!$C$5:$E$44,2,FALSE)</f>
        <v>#N/A</v>
      </c>
      <c r="Q325" s="4" t="e">
        <f>VLOOKUP(AJ317,'CIR Team Info'!$C$5:$E$44,3,FALSE)</f>
        <v>#N/A</v>
      </c>
      <c r="R325" s="10" t="e">
        <f>VLOOKUP(AJ317,'FRC Site Data'!$B$3:$L$42,2,FALSE)</f>
        <v>#N/A</v>
      </c>
      <c r="S325" s="10" t="e">
        <f>VLOOKUP(AJ317,'FRC Site Data'!$B$3:$L$42,3,FALSE)</f>
        <v>#N/A</v>
      </c>
      <c r="T325" s="10" t="e">
        <f>VLOOKUP(AJ317,'FRC Site Data'!$B$3:$L$42,4,FALSE)</f>
        <v>#N/A</v>
      </c>
      <c r="U325" s="10" t="e">
        <f>VLOOKUP(AJ317,'FRC Site Data'!$B$3:$L$42,5,FALSE)</f>
        <v>#N/A</v>
      </c>
      <c r="V325" s="10" t="e">
        <f>VLOOKUP(AJ317,'FRC Site Data'!$B$3:$L$42,6,FALSE)</f>
        <v>#N/A</v>
      </c>
      <c r="W325" s="10" t="e">
        <f>VLOOKUP(AJ317,'FRC Site Data'!$B$3:$L$42,8,FALSE)</f>
        <v>#N/A</v>
      </c>
      <c r="X325" s="10" t="e">
        <f>VLOOKUP(AJ317,'FRC Site Data'!$B$3:$L$42,9,FALSE)</f>
        <v>#N/A</v>
      </c>
      <c r="Y325" s="10" t="e">
        <f>VLOOKUP(AJ317,'FRC Site Data'!$B$3:$L$42,10,FALSE)</f>
        <v>#N/A</v>
      </c>
      <c r="Z325" s="10" t="e">
        <f>VLOOKUP(AJ317,'FRC Site Data'!$B$3:$L$42,11,FALSE)</f>
        <v>#N/A</v>
      </c>
      <c r="AA325" s="10" t="e">
        <f>VLOOKUP(AJ317,'CIR Team Info'!$C$5:$E$44,4,FALSE)</f>
        <v>#N/A</v>
      </c>
      <c r="AB325" s="161" t="b">
        <f>ISNUMBER(VLOOKUP(AJ317,Match!$T$5:$T$10,1,FALSE))</f>
        <v>0</v>
      </c>
      <c r="AC325" s="161" t="b">
        <f>IF(AB325=TRUE,(VLOOKUP($AJ317,Match!$T$5:$U$10,2,FALSE)))</f>
        <v>0</v>
      </c>
      <c r="AD325" s="8">
        <v>3</v>
      </c>
      <c r="AE325" s="8">
        <v>2</v>
      </c>
      <c r="AF325" s="8">
        <v>2</v>
      </c>
      <c r="AG325" s="8">
        <v>1</v>
      </c>
      <c r="AH325" s="8" t="str">
        <f t="shared" si="106"/>
        <v/>
      </c>
      <c r="AI325" s="12"/>
      <c r="AZ325" s="12"/>
      <c r="BC325" s="12"/>
      <c r="BK325" s="12"/>
    </row>
    <row r="326" spans="1:63" x14ac:dyDescent="0.25">
      <c r="A326" s="29">
        <f t="shared" si="97"/>
        <v>0</v>
      </c>
      <c r="B326" s="29">
        <f t="shared" ref="B326:B389" si="107">H326*AD326*AO318</f>
        <v>0</v>
      </c>
      <c r="C326" s="29">
        <f t="shared" ref="C326:C389" si="108">I326*AE326*AV318</f>
        <v>0</v>
      </c>
      <c r="D326" s="29">
        <f t="shared" ref="D326:D389" si="109">J326*AF326*BF318</f>
        <v>0</v>
      </c>
      <c r="E326" s="29">
        <f t="shared" si="98"/>
        <v>0</v>
      </c>
      <c r="F326" s="29">
        <f t="shared" si="99"/>
        <v>0</v>
      </c>
      <c r="G326" s="29" t="str">
        <f t="shared" si="100"/>
        <v>offensive</v>
      </c>
      <c r="H326" s="16">
        <f t="shared" si="104"/>
        <v>0</v>
      </c>
      <c r="I326" s="16">
        <f t="shared" si="105"/>
        <v>0</v>
      </c>
      <c r="J326" s="16">
        <f t="shared" ref="J326:J389" si="110">IF(L326=0,0,BG318/L326)</f>
        <v>0</v>
      </c>
      <c r="K326" s="16">
        <f t="shared" si="101"/>
        <v>0</v>
      </c>
      <c r="L326" s="67">
        <f t="shared" si="102"/>
        <v>0</v>
      </c>
      <c r="M326" s="4">
        <f t="shared" ref="M326:M389" si="111">AO318+AV318+BD318+O326</f>
        <v>0</v>
      </c>
      <c r="N326" s="4">
        <f t="shared" si="96"/>
        <v>0</v>
      </c>
      <c r="O326" s="4">
        <f t="shared" si="103"/>
        <v>0</v>
      </c>
      <c r="P326" s="4" t="e">
        <f>VLOOKUP(AJ318,'CIR Team Info'!$C$5:$E$44,2,FALSE)</f>
        <v>#N/A</v>
      </c>
      <c r="Q326" s="4" t="e">
        <f>VLOOKUP(AJ318,'CIR Team Info'!$C$5:$E$44,3,FALSE)</f>
        <v>#N/A</v>
      </c>
      <c r="R326" s="10" t="e">
        <f>VLOOKUP(AJ318,'FRC Site Data'!$B$3:$L$42,2,FALSE)</f>
        <v>#N/A</v>
      </c>
      <c r="S326" s="10" t="e">
        <f>VLOOKUP(AJ318,'FRC Site Data'!$B$3:$L$42,3,FALSE)</f>
        <v>#N/A</v>
      </c>
      <c r="T326" s="10" t="e">
        <f>VLOOKUP(AJ318,'FRC Site Data'!$B$3:$L$42,4,FALSE)</f>
        <v>#N/A</v>
      </c>
      <c r="U326" s="10" t="e">
        <f>VLOOKUP(AJ318,'FRC Site Data'!$B$3:$L$42,5,FALSE)</f>
        <v>#N/A</v>
      </c>
      <c r="V326" s="10" t="e">
        <f>VLOOKUP(AJ318,'FRC Site Data'!$B$3:$L$42,6,FALSE)</f>
        <v>#N/A</v>
      </c>
      <c r="W326" s="10" t="e">
        <f>VLOOKUP(AJ318,'FRC Site Data'!$B$3:$L$42,8,FALSE)</f>
        <v>#N/A</v>
      </c>
      <c r="X326" s="10" t="e">
        <f>VLOOKUP(AJ318,'FRC Site Data'!$B$3:$L$42,9,FALSE)</f>
        <v>#N/A</v>
      </c>
      <c r="Y326" s="10" t="e">
        <f>VLOOKUP(AJ318,'FRC Site Data'!$B$3:$L$42,10,FALSE)</f>
        <v>#N/A</v>
      </c>
      <c r="Z326" s="10" t="e">
        <f>VLOOKUP(AJ318,'FRC Site Data'!$B$3:$L$42,11,FALSE)</f>
        <v>#N/A</v>
      </c>
      <c r="AA326" s="10" t="e">
        <f>VLOOKUP(AJ318,'CIR Team Info'!$C$5:$E$44,4,FALSE)</f>
        <v>#N/A</v>
      </c>
      <c r="AB326" s="161" t="b">
        <f>ISNUMBER(VLOOKUP(AJ318,Match!$T$5:$T$10,1,FALSE))</f>
        <v>0</v>
      </c>
      <c r="AC326" s="161" t="b">
        <f>IF(AB326=TRUE,(VLOOKUP($AJ318,Match!$T$5:$U$10,2,FALSE)))</f>
        <v>0</v>
      </c>
      <c r="AD326" s="8">
        <v>3</v>
      </c>
      <c r="AE326" s="8">
        <v>2</v>
      </c>
      <c r="AF326" s="8">
        <v>2</v>
      </c>
      <c r="AG326" s="8">
        <v>1</v>
      </c>
      <c r="AH326" s="8" t="str">
        <f t="shared" si="106"/>
        <v/>
      </c>
      <c r="AI326" s="12"/>
      <c r="AZ326" s="12"/>
      <c r="BC326" s="12"/>
      <c r="BK326" s="12"/>
    </row>
    <row r="327" spans="1:63" x14ac:dyDescent="0.25">
      <c r="A327" s="29">
        <f t="shared" si="97"/>
        <v>0</v>
      </c>
      <c r="B327" s="29">
        <f t="shared" si="107"/>
        <v>0</v>
      </c>
      <c r="C327" s="29">
        <f t="shared" si="108"/>
        <v>0</v>
      </c>
      <c r="D327" s="29">
        <f t="shared" si="109"/>
        <v>0</v>
      </c>
      <c r="E327" s="29">
        <f t="shared" si="98"/>
        <v>0</v>
      </c>
      <c r="F327" s="29">
        <f t="shared" si="99"/>
        <v>0</v>
      </c>
      <c r="G327" s="29" t="str">
        <f t="shared" si="100"/>
        <v>offensive</v>
      </c>
      <c r="H327" s="16">
        <f t="shared" si="104"/>
        <v>0</v>
      </c>
      <c r="I327" s="16">
        <f t="shared" si="105"/>
        <v>0</v>
      </c>
      <c r="J327" s="16">
        <f t="shared" si="110"/>
        <v>0</v>
      </c>
      <c r="K327" s="16">
        <f t="shared" si="101"/>
        <v>0</v>
      </c>
      <c r="L327" s="67">
        <f t="shared" si="102"/>
        <v>0</v>
      </c>
      <c r="M327" s="4">
        <f t="shared" si="111"/>
        <v>0</v>
      </c>
      <c r="N327" s="4">
        <f t="shared" si="96"/>
        <v>0</v>
      </c>
      <c r="O327" s="4">
        <f t="shared" si="103"/>
        <v>0</v>
      </c>
      <c r="P327" s="4" t="e">
        <f>VLOOKUP(AJ319,'CIR Team Info'!$C$5:$E$44,2,FALSE)</f>
        <v>#N/A</v>
      </c>
      <c r="Q327" s="4" t="e">
        <f>VLOOKUP(AJ319,'CIR Team Info'!$C$5:$E$44,3,FALSE)</f>
        <v>#N/A</v>
      </c>
      <c r="R327" s="10" t="e">
        <f>VLOOKUP(AJ319,'FRC Site Data'!$B$3:$L$42,2,FALSE)</f>
        <v>#N/A</v>
      </c>
      <c r="S327" s="10" t="e">
        <f>VLOOKUP(AJ319,'FRC Site Data'!$B$3:$L$42,3,FALSE)</f>
        <v>#N/A</v>
      </c>
      <c r="T327" s="10" t="e">
        <f>VLOOKUP(AJ319,'FRC Site Data'!$B$3:$L$42,4,FALSE)</f>
        <v>#N/A</v>
      </c>
      <c r="U327" s="10" t="e">
        <f>VLOOKUP(AJ319,'FRC Site Data'!$B$3:$L$42,5,FALSE)</f>
        <v>#N/A</v>
      </c>
      <c r="V327" s="10" t="e">
        <f>VLOOKUP(AJ319,'FRC Site Data'!$B$3:$L$42,6,FALSE)</f>
        <v>#N/A</v>
      </c>
      <c r="W327" s="10" t="e">
        <f>VLOOKUP(AJ319,'FRC Site Data'!$B$3:$L$42,8,FALSE)</f>
        <v>#N/A</v>
      </c>
      <c r="X327" s="10" t="e">
        <f>VLOOKUP(AJ319,'FRC Site Data'!$B$3:$L$42,9,FALSE)</f>
        <v>#N/A</v>
      </c>
      <c r="Y327" s="10" t="e">
        <f>VLOOKUP(AJ319,'FRC Site Data'!$B$3:$L$42,10,FALSE)</f>
        <v>#N/A</v>
      </c>
      <c r="Z327" s="10" t="e">
        <f>VLOOKUP(AJ319,'FRC Site Data'!$B$3:$L$42,11,FALSE)</f>
        <v>#N/A</v>
      </c>
      <c r="AA327" s="10" t="e">
        <f>VLOOKUP(AJ319,'CIR Team Info'!$C$5:$E$44,4,FALSE)</f>
        <v>#N/A</v>
      </c>
      <c r="AB327" s="161" t="b">
        <f>ISNUMBER(VLOOKUP(AJ319,Match!$T$5:$T$10,1,FALSE))</f>
        <v>0</v>
      </c>
      <c r="AC327" s="161" t="b">
        <f>IF(AB327=TRUE,(VLOOKUP($AJ319,Match!$T$5:$U$10,2,FALSE)))</f>
        <v>0</v>
      </c>
      <c r="AD327" s="8">
        <v>3</v>
      </c>
      <c r="AE327" s="8">
        <v>2</v>
      </c>
      <c r="AF327" s="8">
        <v>2</v>
      </c>
      <c r="AG327" s="8">
        <v>1</v>
      </c>
      <c r="AH327" s="8" t="str">
        <f t="shared" si="106"/>
        <v/>
      </c>
      <c r="AI327" s="12"/>
      <c r="AZ327" s="12"/>
      <c r="BC327" s="12"/>
      <c r="BK327" s="12"/>
    </row>
    <row r="328" spans="1:63" x14ac:dyDescent="0.25">
      <c r="A328" s="29">
        <f t="shared" si="97"/>
        <v>0</v>
      </c>
      <c r="B328" s="29">
        <f t="shared" si="107"/>
        <v>0</v>
      </c>
      <c r="C328" s="29">
        <f t="shared" si="108"/>
        <v>0</v>
      </c>
      <c r="D328" s="29">
        <f t="shared" si="109"/>
        <v>0</v>
      </c>
      <c r="E328" s="29">
        <f t="shared" si="98"/>
        <v>0</v>
      </c>
      <c r="F328" s="29">
        <f t="shared" si="99"/>
        <v>0</v>
      </c>
      <c r="G328" s="29" t="str">
        <f t="shared" si="100"/>
        <v>offensive</v>
      </c>
      <c r="H328" s="16">
        <f t="shared" si="104"/>
        <v>0</v>
      </c>
      <c r="I328" s="16">
        <f t="shared" si="105"/>
        <v>0</v>
      </c>
      <c r="J328" s="16">
        <f t="shared" si="110"/>
        <v>0</v>
      </c>
      <c r="K328" s="16">
        <f t="shared" si="101"/>
        <v>0</v>
      </c>
      <c r="L328" s="67">
        <f t="shared" si="102"/>
        <v>0</v>
      </c>
      <c r="M328" s="4">
        <f t="shared" si="111"/>
        <v>0</v>
      </c>
      <c r="N328" s="4">
        <f t="shared" si="96"/>
        <v>0</v>
      </c>
      <c r="O328" s="4">
        <f t="shared" si="103"/>
        <v>0</v>
      </c>
      <c r="P328" s="4" t="e">
        <f>VLOOKUP(AJ320,'CIR Team Info'!$C$5:$E$44,2,FALSE)</f>
        <v>#N/A</v>
      </c>
      <c r="Q328" s="4" t="e">
        <f>VLOOKUP(AJ320,'CIR Team Info'!$C$5:$E$44,3,FALSE)</f>
        <v>#N/A</v>
      </c>
      <c r="R328" s="10" t="e">
        <f>VLOOKUP(AJ320,'FRC Site Data'!$B$3:$L$42,2,FALSE)</f>
        <v>#N/A</v>
      </c>
      <c r="S328" s="10" t="e">
        <f>VLOOKUP(AJ320,'FRC Site Data'!$B$3:$L$42,3,FALSE)</f>
        <v>#N/A</v>
      </c>
      <c r="T328" s="10" t="e">
        <f>VLOOKUP(AJ320,'FRC Site Data'!$B$3:$L$42,4,FALSE)</f>
        <v>#N/A</v>
      </c>
      <c r="U328" s="10" t="e">
        <f>VLOOKUP(AJ320,'FRC Site Data'!$B$3:$L$42,5,FALSE)</f>
        <v>#N/A</v>
      </c>
      <c r="V328" s="10" t="e">
        <f>VLOOKUP(AJ320,'FRC Site Data'!$B$3:$L$42,6,FALSE)</f>
        <v>#N/A</v>
      </c>
      <c r="W328" s="10" t="e">
        <f>VLOOKUP(AJ320,'FRC Site Data'!$B$3:$L$42,8,FALSE)</f>
        <v>#N/A</v>
      </c>
      <c r="X328" s="10" t="e">
        <f>VLOOKUP(AJ320,'FRC Site Data'!$B$3:$L$42,9,FALSE)</f>
        <v>#N/A</v>
      </c>
      <c r="Y328" s="10" t="e">
        <f>VLOOKUP(AJ320,'FRC Site Data'!$B$3:$L$42,10,FALSE)</f>
        <v>#N/A</v>
      </c>
      <c r="Z328" s="10" t="e">
        <f>VLOOKUP(AJ320,'FRC Site Data'!$B$3:$L$42,11,FALSE)</f>
        <v>#N/A</v>
      </c>
      <c r="AA328" s="10" t="e">
        <f>VLOOKUP(AJ320,'CIR Team Info'!$C$5:$E$44,4,FALSE)</f>
        <v>#N/A</v>
      </c>
      <c r="AB328" s="161" t="b">
        <f>ISNUMBER(VLOOKUP(AJ320,Match!$T$5:$T$10,1,FALSE))</f>
        <v>0</v>
      </c>
      <c r="AC328" s="161" t="b">
        <f>IF(AB328=TRUE,(VLOOKUP($AJ320,Match!$T$5:$U$10,2,FALSE)))</f>
        <v>0</v>
      </c>
      <c r="AD328" s="8">
        <v>3</v>
      </c>
      <c r="AE328" s="8">
        <v>2</v>
      </c>
      <c r="AF328" s="8">
        <v>2</v>
      </c>
      <c r="AG328" s="8">
        <v>1</v>
      </c>
      <c r="AH328" s="8" t="str">
        <f t="shared" si="106"/>
        <v/>
      </c>
      <c r="AI328" s="12"/>
      <c r="AZ328" s="12"/>
      <c r="BC328" s="12"/>
      <c r="BK328" s="12"/>
    </row>
    <row r="329" spans="1:63" x14ac:dyDescent="0.25">
      <c r="A329" s="29">
        <f t="shared" si="97"/>
        <v>0</v>
      </c>
      <c r="B329" s="29">
        <f t="shared" si="107"/>
        <v>0</v>
      </c>
      <c r="C329" s="29">
        <f t="shared" si="108"/>
        <v>0</v>
      </c>
      <c r="D329" s="29">
        <f t="shared" si="109"/>
        <v>0</v>
      </c>
      <c r="E329" s="29">
        <f t="shared" si="98"/>
        <v>0</v>
      </c>
      <c r="F329" s="29">
        <f t="shared" si="99"/>
        <v>0</v>
      </c>
      <c r="G329" s="29" t="str">
        <f t="shared" si="100"/>
        <v>offensive</v>
      </c>
      <c r="H329" s="16">
        <f t="shared" si="104"/>
        <v>0</v>
      </c>
      <c r="I329" s="16">
        <f t="shared" si="105"/>
        <v>0</v>
      </c>
      <c r="J329" s="16">
        <f t="shared" si="110"/>
        <v>0</v>
      </c>
      <c r="K329" s="16">
        <f t="shared" si="101"/>
        <v>0</v>
      </c>
      <c r="L329" s="67">
        <f t="shared" si="102"/>
        <v>0</v>
      </c>
      <c r="M329" s="4">
        <f t="shared" si="111"/>
        <v>0</v>
      </c>
      <c r="N329" s="4">
        <f t="shared" si="96"/>
        <v>0</v>
      </c>
      <c r="O329" s="4">
        <f t="shared" si="103"/>
        <v>0</v>
      </c>
      <c r="P329" s="4" t="e">
        <f>VLOOKUP(AJ321,'CIR Team Info'!$C$5:$E$44,2,FALSE)</f>
        <v>#N/A</v>
      </c>
      <c r="Q329" s="4" t="e">
        <f>VLOOKUP(AJ321,'CIR Team Info'!$C$5:$E$44,3,FALSE)</f>
        <v>#N/A</v>
      </c>
      <c r="R329" s="10" t="e">
        <f>VLOOKUP(AJ321,'FRC Site Data'!$B$3:$L$42,2,FALSE)</f>
        <v>#N/A</v>
      </c>
      <c r="S329" s="10" t="e">
        <f>VLOOKUP(AJ321,'FRC Site Data'!$B$3:$L$42,3,FALSE)</f>
        <v>#N/A</v>
      </c>
      <c r="T329" s="10" t="e">
        <f>VLOOKUP(AJ321,'FRC Site Data'!$B$3:$L$42,4,FALSE)</f>
        <v>#N/A</v>
      </c>
      <c r="U329" s="10" t="e">
        <f>VLOOKUP(AJ321,'FRC Site Data'!$B$3:$L$42,5,FALSE)</f>
        <v>#N/A</v>
      </c>
      <c r="V329" s="10" t="e">
        <f>VLOOKUP(AJ321,'FRC Site Data'!$B$3:$L$42,6,FALSE)</f>
        <v>#N/A</v>
      </c>
      <c r="W329" s="10" t="e">
        <f>VLOOKUP(AJ321,'FRC Site Data'!$B$3:$L$42,8,FALSE)</f>
        <v>#N/A</v>
      </c>
      <c r="X329" s="10" t="e">
        <f>VLOOKUP(AJ321,'FRC Site Data'!$B$3:$L$42,9,FALSE)</f>
        <v>#N/A</v>
      </c>
      <c r="Y329" s="10" t="e">
        <f>VLOOKUP(AJ321,'FRC Site Data'!$B$3:$L$42,10,FALSE)</f>
        <v>#N/A</v>
      </c>
      <c r="Z329" s="10" t="e">
        <f>VLOOKUP(AJ321,'FRC Site Data'!$B$3:$L$42,11,FALSE)</f>
        <v>#N/A</v>
      </c>
      <c r="AA329" s="10" t="e">
        <f>VLOOKUP(AJ321,'CIR Team Info'!$C$5:$E$44,4,FALSE)</f>
        <v>#N/A</v>
      </c>
      <c r="AB329" s="161" t="b">
        <f>ISNUMBER(VLOOKUP(AJ321,Match!$T$5:$T$10,1,FALSE))</f>
        <v>0</v>
      </c>
      <c r="AC329" s="161" t="b">
        <f>IF(AB329=TRUE,(VLOOKUP($AJ321,Match!$T$5:$U$10,2,FALSE)))</f>
        <v>0</v>
      </c>
      <c r="AD329" s="8">
        <v>3</v>
      </c>
      <c r="AE329" s="8">
        <v>2</v>
      </c>
      <c r="AF329" s="8">
        <v>2</v>
      </c>
      <c r="AG329" s="8">
        <v>1</v>
      </c>
      <c r="AH329" s="8" t="str">
        <f t="shared" si="106"/>
        <v/>
      </c>
      <c r="AI329" s="12"/>
      <c r="AZ329" s="12"/>
      <c r="BC329" s="12"/>
      <c r="BK329" s="12"/>
    </row>
    <row r="330" spans="1:63" x14ac:dyDescent="0.25">
      <c r="A330" s="29">
        <f t="shared" si="97"/>
        <v>0</v>
      </c>
      <c r="B330" s="29">
        <f t="shared" si="107"/>
        <v>0</v>
      </c>
      <c r="C330" s="29">
        <f t="shared" si="108"/>
        <v>0</v>
      </c>
      <c r="D330" s="29">
        <f t="shared" si="109"/>
        <v>0</v>
      </c>
      <c r="E330" s="29">
        <f t="shared" si="98"/>
        <v>0</v>
      </c>
      <c r="F330" s="29">
        <f t="shared" si="99"/>
        <v>0</v>
      </c>
      <c r="G330" s="29" t="str">
        <f t="shared" si="100"/>
        <v>offensive</v>
      </c>
      <c r="H330" s="16">
        <f t="shared" si="104"/>
        <v>0</v>
      </c>
      <c r="I330" s="16">
        <f t="shared" si="105"/>
        <v>0</v>
      </c>
      <c r="J330" s="16">
        <f t="shared" si="110"/>
        <v>0</v>
      </c>
      <c r="K330" s="16">
        <f t="shared" si="101"/>
        <v>0</v>
      </c>
      <c r="L330" s="67">
        <f t="shared" si="102"/>
        <v>0</v>
      </c>
      <c r="M330" s="4">
        <f t="shared" si="111"/>
        <v>0</v>
      </c>
      <c r="N330" s="4">
        <f t="shared" si="96"/>
        <v>0</v>
      </c>
      <c r="O330" s="4">
        <f t="shared" si="103"/>
        <v>0</v>
      </c>
      <c r="P330" s="4" t="e">
        <f>VLOOKUP(AJ322,'CIR Team Info'!$C$5:$E$44,2,FALSE)</f>
        <v>#N/A</v>
      </c>
      <c r="Q330" s="4" t="e">
        <f>VLOOKUP(AJ322,'CIR Team Info'!$C$5:$E$44,3,FALSE)</f>
        <v>#N/A</v>
      </c>
      <c r="R330" s="10" t="e">
        <f>VLOOKUP(AJ322,'FRC Site Data'!$B$3:$L$42,2,FALSE)</f>
        <v>#N/A</v>
      </c>
      <c r="S330" s="10" t="e">
        <f>VLOOKUP(AJ322,'FRC Site Data'!$B$3:$L$42,3,FALSE)</f>
        <v>#N/A</v>
      </c>
      <c r="T330" s="10" t="e">
        <f>VLOOKUP(AJ322,'FRC Site Data'!$B$3:$L$42,4,FALSE)</f>
        <v>#N/A</v>
      </c>
      <c r="U330" s="10" t="e">
        <f>VLOOKUP(AJ322,'FRC Site Data'!$B$3:$L$42,5,FALSE)</f>
        <v>#N/A</v>
      </c>
      <c r="V330" s="10" t="e">
        <f>VLOOKUP(AJ322,'FRC Site Data'!$B$3:$L$42,6,FALSE)</f>
        <v>#N/A</v>
      </c>
      <c r="W330" s="10" t="e">
        <f>VLOOKUP(AJ322,'FRC Site Data'!$B$3:$L$42,8,FALSE)</f>
        <v>#N/A</v>
      </c>
      <c r="X330" s="10" t="e">
        <f>VLOOKUP(AJ322,'FRC Site Data'!$B$3:$L$42,9,FALSE)</f>
        <v>#N/A</v>
      </c>
      <c r="Y330" s="10" t="e">
        <f>VLOOKUP(AJ322,'FRC Site Data'!$B$3:$L$42,10,FALSE)</f>
        <v>#N/A</v>
      </c>
      <c r="Z330" s="10" t="e">
        <f>VLOOKUP(AJ322,'FRC Site Data'!$B$3:$L$42,11,FALSE)</f>
        <v>#N/A</v>
      </c>
      <c r="AA330" s="10" t="e">
        <f>VLOOKUP(AJ322,'CIR Team Info'!$C$5:$E$44,4,FALSE)</f>
        <v>#N/A</v>
      </c>
      <c r="AB330" s="161" t="b">
        <f>ISNUMBER(VLOOKUP(AJ322,Match!$T$5:$T$10,1,FALSE))</f>
        <v>0</v>
      </c>
      <c r="AC330" s="161" t="b">
        <f>IF(AB330=TRUE,(VLOOKUP($AJ322,Match!$T$5:$U$10,2,FALSE)))</f>
        <v>0</v>
      </c>
      <c r="AD330" s="8">
        <v>3</v>
      </c>
      <c r="AE330" s="8">
        <v>2</v>
      </c>
      <c r="AF330" s="8">
        <v>2</v>
      </c>
      <c r="AG330" s="8">
        <v>1</v>
      </c>
      <c r="AH330" s="8" t="str">
        <f t="shared" si="106"/>
        <v/>
      </c>
      <c r="AI330" s="12"/>
      <c r="AZ330" s="12"/>
      <c r="BC330" s="12"/>
      <c r="BK330" s="12"/>
    </row>
    <row r="331" spans="1:63" x14ac:dyDescent="0.25">
      <c r="A331" s="29">
        <f t="shared" si="97"/>
        <v>0</v>
      </c>
      <c r="B331" s="29">
        <f t="shared" si="107"/>
        <v>0</v>
      </c>
      <c r="C331" s="29">
        <f t="shared" si="108"/>
        <v>0</v>
      </c>
      <c r="D331" s="29">
        <f t="shared" si="109"/>
        <v>0</v>
      </c>
      <c r="E331" s="29">
        <f t="shared" si="98"/>
        <v>0</v>
      </c>
      <c r="F331" s="29">
        <f t="shared" si="99"/>
        <v>0</v>
      </c>
      <c r="G331" s="29" t="str">
        <f t="shared" si="100"/>
        <v>offensive</v>
      </c>
      <c r="H331" s="16">
        <f t="shared" si="104"/>
        <v>0</v>
      </c>
      <c r="I331" s="16">
        <f t="shared" si="105"/>
        <v>0</v>
      </c>
      <c r="J331" s="16">
        <f t="shared" si="110"/>
        <v>0</v>
      </c>
      <c r="K331" s="16">
        <f t="shared" si="101"/>
        <v>0</v>
      </c>
      <c r="L331" s="67">
        <f t="shared" si="102"/>
        <v>0</v>
      </c>
      <c r="M331" s="4">
        <f t="shared" si="111"/>
        <v>0</v>
      </c>
      <c r="N331" s="4">
        <f t="shared" si="96"/>
        <v>0</v>
      </c>
      <c r="O331" s="4">
        <f t="shared" si="103"/>
        <v>0</v>
      </c>
      <c r="P331" s="4" t="e">
        <f>VLOOKUP(AJ323,'CIR Team Info'!$C$5:$E$44,2,FALSE)</f>
        <v>#N/A</v>
      </c>
      <c r="Q331" s="4" t="e">
        <f>VLOOKUP(AJ323,'CIR Team Info'!$C$5:$E$44,3,FALSE)</f>
        <v>#N/A</v>
      </c>
      <c r="R331" s="10" t="e">
        <f>VLOOKUP(AJ323,'FRC Site Data'!$B$3:$L$42,2,FALSE)</f>
        <v>#N/A</v>
      </c>
      <c r="S331" s="10" t="e">
        <f>VLOOKUP(AJ323,'FRC Site Data'!$B$3:$L$42,3,FALSE)</f>
        <v>#N/A</v>
      </c>
      <c r="T331" s="10" t="e">
        <f>VLOOKUP(AJ323,'FRC Site Data'!$B$3:$L$42,4,FALSE)</f>
        <v>#N/A</v>
      </c>
      <c r="U331" s="10" t="e">
        <f>VLOOKUP(AJ323,'FRC Site Data'!$B$3:$L$42,5,FALSE)</f>
        <v>#N/A</v>
      </c>
      <c r="V331" s="10" t="e">
        <f>VLOOKUP(AJ323,'FRC Site Data'!$B$3:$L$42,6,FALSE)</f>
        <v>#N/A</v>
      </c>
      <c r="W331" s="10" t="e">
        <f>VLOOKUP(AJ323,'FRC Site Data'!$B$3:$L$42,8,FALSE)</f>
        <v>#N/A</v>
      </c>
      <c r="X331" s="10" t="e">
        <f>VLOOKUP(AJ323,'FRC Site Data'!$B$3:$L$42,9,FALSE)</f>
        <v>#N/A</v>
      </c>
      <c r="Y331" s="10" t="e">
        <f>VLOOKUP(AJ323,'FRC Site Data'!$B$3:$L$42,10,FALSE)</f>
        <v>#N/A</v>
      </c>
      <c r="Z331" s="10" t="e">
        <f>VLOOKUP(AJ323,'FRC Site Data'!$B$3:$L$42,11,FALSE)</f>
        <v>#N/A</v>
      </c>
      <c r="AA331" s="10" t="e">
        <f>VLOOKUP(AJ323,'CIR Team Info'!$C$5:$E$44,4,FALSE)</f>
        <v>#N/A</v>
      </c>
      <c r="AB331" s="161" t="b">
        <f>ISNUMBER(VLOOKUP(AJ323,Match!$T$5:$T$10,1,FALSE))</f>
        <v>0</v>
      </c>
      <c r="AC331" s="161" t="b">
        <f>IF(AB331=TRUE,(VLOOKUP($AJ323,Match!$T$5:$U$10,2,FALSE)))</f>
        <v>0</v>
      </c>
      <c r="AD331" s="8">
        <v>3</v>
      </c>
      <c r="AE331" s="8">
        <v>2</v>
      </c>
      <c r="AF331" s="8">
        <v>2</v>
      </c>
      <c r="AG331" s="8">
        <v>1</v>
      </c>
      <c r="AH331" s="8" t="str">
        <f t="shared" si="106"/>
        <v/>
      </c>
      <c r="AI331" s="12"/>
      <c r="AZ331" s="12"/>
      <c r="BC331" s="12"/>
      <c r="BK331" s="12"/>
    </row>
    <row r="332" spans="1:63" x14ac:dyDescent="0.25">
      <c r="A332" s="29">
        <f t="shared" si="97"/>
        <v>0</v>
      </c>
      <c r="B332" s="29">
        <f t="shared" si="107"/>
        <v>0</v>
      </c>
      <c r="C332" s="29">
        <f t="shared" si="108"/>
        <v>0</v>
      </c>
      <c r="D332" s="29">
        <f t="shared" si="109"/>
        <v>0</v>
      </c>
      <c r="E332" s="29">
        <f t="shared" si="98"/>
        <v>0</v>
      </c>
      <c r="F332" s="29">
        <f t="shared" si="99"/>
        <v>0</v>
      </c>
      <c r="G332" s="29" t="str">
        <f t="shared" si="100"/>
        <v>offensive</v>
      </c>
      <c r="H332" s="16">
        <f t="shared" si="104"/>
        <v>0</v>
      </c>
      <c r="I332" s="16">
        <f t="shared" si="105"/>
        <v>0</v>
      </c>
      <c r="J332" s="16">
        <f t="shared" si="110"/>
        <v>0</v>
      </c>
      <c r="K332" s="16">
        <f t="shared" si="101"/>
        <v>0</v>
      </c>
      <c r="L332" s="67">
        <f t="shared" si="102"/>
        <v>0</v>
      </c>
      <c r="M332" s="4">
        <f t="shared" si="111"/>
        <v>0</v>
      </c>
      <c r="N332" s="4">
        <f t="shared" si="96"/>
        <v>0</v>
      </c>
      <c r="O332" s="4">
        <f t="shared" si="103"/>
        <v>0</v>
      </c>
      <c r="P332" s="4" t="e">
        <f>VLOOKUP(AJ324,'CIR Team Info'!$C$5:$E$44,2,FALSE)</f>
        <v>#N/A</v>
      </c>
      <c r="Q332" s="4" t="e">
        <f>VLOOKUP(AJ324,'CIR Team Info'!$C$5:$E$44,3,FALSE)</f>
        <v>#N/A</v>
      </c>
      <c r="R332" s="10" t="e">
        <f>VLOOKUP(AJ324,'FRC Site Data'!$B$3:$L$42,2,FALSE)</f>
        <v>#N/A</v>
      </c>
      <c r="S332" s="10" t="e">
        <f>VLOOKUP(AJ324,'FRC Site Data'!$B$3:$L$42,3,FALSE)</f>
        <v>#N/A</v>
      </c>
      <c r="T332" s="10" t="e">
        <f>VLOOKUP(AJ324,'FRC Site Data'!$B$3:$L$42,4,FALSE)</f>
        <v>#N/A</v>
      </c>
      <c r="U332" s="10" t="e">
        <f>VLOOKUP(AJ324,'FRC Site Data'!$B$3:$L$42,5,FALSE)</f>
        <v>#N/A</v>
      </c>
      <c r="V332" s="10" t="e">
        <f>VLOOKUP(AJ324,'FRC Site Data'!$B$3:$L$42,6,FALSE)</f>
        <v>#N/A</v>
      </c>
      <c r="W332" s="10" t="e">
        <f>VLOOKUP(AJ324,'FRC Site Data'!$B$3:$L$42,8,FALSE)</f>
        <v>#N/A</v>
      </c>
      <c r="X332" s="10" t="e">
        <f>VLOOKUP(AJ324,'FRC Site Data'!$B$3:$L$42,9,FALSE)</f>
        <v>#N/A</v>
      </c>
      <c r="Y332" s="10" t="e">
        <f>VLOOKUP(AJ324,'FRC Site Data'!$B$3:$L$42,10,FALSE)</f>
        <v>#N/A</v>
      </c>
      <c r="Z332" s="10" t="e">
        <f>VLOOKUP(AJ324,'FRC Site Data'!$B$3:$L$42,11,FALSE)</f>
        <v>#N/A</v>
      </c>
      <c r="AA332" s="10" t="e">
        <f>VLOOKUP(AJ324,'CIR Team Info'!$C$5:$E$44,4,FALSE)</f>
        <v>#N/A</v>
      </c>
      <c r="AB332" s="161" t="b">
        <f>ISNUMBER(VLOOKUP(AJ324,Match!$T$5:$T$10,1,FALSE))</f>
        <v>0</v>
      </c>
      <c r="AC332" s="161" t="b">
        <f>IF(AB332=TRUE,(VLOOKUP($AJ324,Match!$T$5:$U$10,2,FALSE)))</f>
        <v>0</v>
      </c>
      <c r="AD332" s="8">
        <v>3</v>
      </c>
      <c r="AE332" s="8">
        <v>2</v>
      </c>
      <c r="AF332" s="8">
        <v>2</v>
      </c>
      <c r="AG332" s="8">
        <v>1</v>
      </c>
      <c r="AH332" s="8" t="str">
        <f t="shared" si="106"/>
        <v/>
      </c>
      <c r="AI332" s="12"/>
      <c r="AZ332" s="12"/>
      <c r="BC332" s="12"/>
      <c r="BK332" s="12"/>
    </row>
    <row r="333" spans="1:63" x14ac:dyDescent="0.25">
      <c r="A333" s="29">
        <f t="shared" si="97"/>
        <v>0</v>
      </c>
      <c r="B333" s="29">
        <f t="shared" si="107"/>
        <v>0</v>
      </c>
      <c r="C333" s="29">
        <f t="shared" si="108"/>
        <v>0</v>
      </c>
      <c r="D333" s="29">
        <f t="shared" si="109"/>
        <v>0</v>
      </c>
      <c r="E333" s="29">
        <f t="shared" si="98"/>
        <v>0</v>
      </c>
      <c r="F333" s="29">
        <f t="shared" si="99"/>
        <v>0</v>
      </c>
      <c r="G333" s="29" t="str">
        <f t="shared" si="100"/>
        <v>offensive</v>
      </c>
      <c r="H333" s="16">
        <f t="shared" si="104"/>
        <v>0</v>
      </c>
      <c r="I333" s="16">
        <f t="shared" si="105"/>
        <v>0</v>
      </c>
      <c r="J333" s="16">
        <f t="shared" si="110"/>
        <v>0</v>
      </c>
      <c r="K333" s="16">
        <f t="shared" si="101"/>
        <v>0</v>
      </c>
      <c r="L333" s="67">
        <f t="shared" si="102"/>
        <v>0</v>
      </c>
      <c r="M333" s="4">
        <f t="shared" si="111"/>
        <v>0</v>
      </c>
      <c r="N333" s="4">
        <f t="shared" si="96"/>
        <v>0</v>
      </c>
      <c r="O333" s="4">
        <f t="shared" si="103"/>
        <v>0</v>
      </c>
      <c r="P333" s="4" t="e">
        <f>VLOOKUP(AJ325,'CIR Team Info'!$C$5:$E$44,2,FALSE)</f>
        <v>#N/A</v>
      </c>
      <c r="Q333" s="4" t="e">
        <f>VLOOKUP(AJ325,'CIR Team Info'!$C$5:$E$44,3,FALSE)</f>
        <v>#N/A</v>
      </c>
      <c r="R333" s="10" t="e">
        <f>VLOOKUP(AJ325,'FRC Site Data'!$B$3:$L$42,2,FALSE)</f>
        <v>#N/A</v>
      </c>
      <c r="S333" s="10" t="e">
        <f>VLOOKUP(AJ325,'FRC Site Data'!$B$3:$L$42,3,FALSE)</f>
        <v>#N/A</v>
      </c>
      <c r="T333" s="10" t="e">
        <f>VLOOKUP(AJ325,'FRC Site Data'!$B$3:$L$42,4,FALSE)</f>
        <v>#N/A</v>
      </c>
      <c r="U333" s="10" t="e">
        <f>VLOOKUP(AJ325,'FRC Site Data'!$B$3:$L$42,5,FALSE)</f>
        <v>#N/A</v>
      </c>
      <c r="V333" s="10" t="e">
        <f>VLOOKUP(AJ325,'FRC Site Data'!$B$3:$L$42,6,FALSE)</f>
        <v>#N/A</v>
      </c>
      <c r="W333" s="10" t="e">
        <f>VLOOKUP(AJ325,'FRC Site Data'!$B$3:$L$42,8,FALSE)</f>
        <v>#N/A</v>
      </c>
      <c r="X333" s="10" t="e">
        <f>VLOOKUP(AJ325,'FRC Site Data'!$B$3:$L$42,9,FALSE)</f>
        <v>#N/A</v>
      </c>
      <c r="Y333" s="10" t="e">
        <f>VLOOKUP(AJ325,'FRC Site Data'!$B$3:$L$42,10,FALSE)</f>
        <v>#N/A</v>
      </c>
      <c r="Z333" s="10" t="e">
        <f>VLOOKUP(AJ325,'FRC Site Data'!$B$3:$L$42,11,FALSE)</f>
        <v>#N/A</v>
      </c>
      <c r="AA333" s="10" t="e">
        <f>VLOOKUP(AJ325,'CIR Team Info'!$C$5:$E$44,4,FALSE)</f>
        <v>#N/A</v>
      </c>
      <c r="AB333" s="161" t="b">
        <f>ISNUMBER(VLOOKUP(AJ325,Match!$T$5:$T$10,1,FALSE))</f>
        <v>0</v>
      </c>
      <c r="AC333" s="161" t="b">
        <f>IF(AB333=TRUE,(VLOOKUP($AJ325,Match!$T$5:$U$10,2,FALSE)))</f>
        <v>0</v>
      </c>
      <c r="AD333" s="8">
        <v>3</v>
      </c>
      <c r="AE333" s="8">
        <v>2</v>
      </c>
      <c r="AF333" s="8">
        <v>2</v>
      </c>
      <c r="AG333" s="8">
        <v>1</v>
      </c>
      <c r="AH333" s="8" t="str">
        <f t="shared" si="106"/>
        <v/>
      </c>
      <c r="AI333" s="12"/>
      <c r="AZ333" s="12"/>
      <c r="BC333" s="12"/>
      <c r="BK333" s="12"/>
    </row>
    <row r="334" spans="1:63" x14ac:dyDescent="0.25">
      <c r="A334" s="29">
        <f t="shared" si="97"/>
        <v>0</v>
      </c>
      <c r="B334" s="29">
        <f t="shared" si="107"/>
        <v>0</v>
      </c>
      <c r="C334" s="29">
        <f t="shared" si="108"/>
        <v>0</v>
      </c>
      <c r="D334" s="29">
        <f t="shared" si="109"/>
        <v>0</v>
      </c>
      <c r="E334" s="29">
        <f t="shared" si="98"/>
        <v>0</v>
      </c>
      <c r="F334" s="29">
        <f t="shared" si="99"/>
        <v>0</v>
      </c>
      <c r="G334" s="29" t="str">
        <f t="shared" si="100"/>
        <v>offensive</v>
      </c>
      <c r="H334" s="16">
        <f t="shared" si="104"/>
        <v>0</v>
      </c>
      <c r="I334" s="16">
        <f t="shared" si="105"/>
        <v>0</v>
      </c>
      <c r="J334" s="16">
        <f t="shared" si="110"/>
        <v>0</v>
      </c>
      <c r="K334" s="16">
        <f t="shared" si="101"/>
        <v>0</v>
      </c>
      <c r="L334" s="67">
        <f t="shared" si="102"/>
        <v>0</v>
      </c>
      <c r="M334" s="4">
        <f t="shared" si="111"/>
        <v>0</v>
      </c>
      <c r="N334" s="4">
        <f t="shared" si="96"/>
        <v>0</v>
      </c>
      <c r="O334" s="4">
        <f t="shared" si="103"/>
        <v>0</v>
      </c>
      <c r="P334" s="4" t="e">
        <f>VLOOKUP(AJ326,'CIR Team Info'!$C$5:$E$44,2,FALSE)</f>
        <v>#N/A</v>
      </c>
      <c r="Q334" s="4" t="e">
        <f>VLOOKUP(AJ326,'CIR Team Info'!$C$5:$E$44,3,FALSE)</f>
        <v>#N/A</v>
      </c>
      <c r="R334" s="10" t="e">
        <f>VLOOKUP(AJ326,'FRC Site Data'!$B$3:$L$42,2,FALSE)</f>
        <v>#N/A</v>
      </c>
      <c r="S334" s="10" t="e">
        <f>VLOOKUP(AJ326,'FRC Site Data'!$B$3:$L$42,3,FALSE)</f>
        <v>#N/A</v>
      </c>
      <c r="T334" s="10" t="e">
        <f>VLOOKUP(AJ326,'FRC Site Data'!$B$3:$L$42,4,FALSE)</f>
        <v>#N/A</v>
      </c>
      <c r="U334" s="10" t="e">
        <f>VLOOKUP(AJ326,'FRC Site Data'!$B$3:$L$42,5,FALSE)</f>
        <v>#N/A</v>
      </c>
      <c r="V334" s="10" t="e">
        <f>VLOOKUP(AJ326,'FRC Site Data'!$B$3:$L$42,6,FALSE)</f>
        <v>#N/A</v>
      </c>
      <c r="W334" s="10" t="e">
        <f>VLOOKUP(AJ326,'FRC Site Data'!$B$3:$L$42,8,FALSE)</f>
        <v>#N/A</v>
      </c>
      <c r="X334" s="10" t="e">
        <f>VLOOKUP(AJ326,'FRC Site Data'!$B$3:$L$42,9,FALSE)</f>
        <v>#N/A</v>
      </c>
      <c r="Y334" s="10" t="e">
        <f>VLOOKUP(AJ326,'FRC Site Data'!$B$3:$L$42,10,FALSE)</f>
        <v>#N/A</v>
      </c>
      <c r="Z334" s="10" t="e">
        <f>VLOOKUP(AJ326,'FRC Site Data'!$B$3:$L$42,11,FALSE)</f>
        <v>#N/A</v>
      </c>
      <c r="AA334" s="10" t="e">
        <f>VLOOKUP(AJ326,'CIR Team Info'!$C$5:$E$44,4,FALSE)</f>
        <v>#N/A</v>
      </c>
      <c r="AB334" s="161" t="b">
        <f>ISNUMBER(VLOOKUP(AJ326,Match!$T$5:$T$10,1,FALSE))</f>
        <v>0</v>
      </c>
      <c r="AC334" s="161" t="b">
        <f>IF(AB334=TRUE,(VLOOKUP($AJ326,Match!$T$5:$U$10,2,FALSE)))</f>
        <v>0</v>
      </c>
      <c r="AD334" s="8">
        <v>3</v>
      </c>
      <c r="AE334" s="8">
        <v>2</v>
      </c>
      <c r="AF334" s="8">
        <v>2</v>
      </c>
      <c r="AG334" s="8">
        <v>1</v>
      </c>
      <c r="AH334" s="8" t="str">
        <f t="shared" si="106"/>
        <v/>
      </c>
      <c r="AI334" s="12"/>
      <c r="AZ334" s="12"/>
      <c r="BC334" s="12"/>
      <c r="BK334" s="12"/>
    </row>
    <row r="335" spans="1:63" x14ac:dyDescent="0.25">
      <c r="A335" s="29">
        <f t="shared" si="97"/>
        <v>0</v>
      </c>
      <c r="B335" s="29">
        <f t="shared" si="107"/>
        <v>0</v>
      </c>
      <c r="C335" s="29">
        <f t="shared" si="108"/>
        <v>0</v>
      </c>
      <c r="D335" s="29">
        <f t="shared" si="109"/>
        <v>0</v>
      </c>
      <c r="E335" s="29">
        <f t="shared" si="98"/>
        <v>0</v>
      </c>
      <c r="F335" s="29">
        <f t="shared" si="99"/>
        <v>0</v>
      </c>
      <c r="G335" s="29" t="str">
        <f t="shared" si="100"/>
        <v>offensive</v>
      </c>
      <c r="H335" s="16">
        <f t="shared" si="104"/>
        <v>0</v>
      </c>
      <c r="I335" s="16">
        <f t="shared" si="105"/>
        <v>0</v>
      </c>
      <c r="J335" s="16">
        <f t="shared" si="110"/>
        <v>0</v>
      </c>
      <c r="K335" s="16">
        <f t="shared" si="101"/>
        <v>0</v>
      </c>
      <c r="L335" s="67">
        <f t="shared" si="102"/>
        <v>0</v>
      </c>
      <c r="M335" s="4">
        <f t="shared" si="111"/>
        <v>0</v>
      </c>
      <c r="N335" s="4">
        <f t="shared" si="96"/>
        <v>0</v>
      </c>
      <c r="O335" s="4">
        <f t="shared" si="103"/>
        <v>0</v>
      </c>
      <c r="P335" s="4" t="e">
        <f>VLOOKUP(AJ327,'CIR Team Info'!$C$5:$E$44,2,FALSE)</f>
        <v>#N/A</v>
      </c>
      <c r="Q335" s="4" t="e">
        <f>VLOOKUP(AJ327,'CIR Team Info'!$C$5:$E$44,3,FALSE)</f>
        <v>#N/A</v>
      </c>
      <c r="R335" s="10" t="e">
        <f>VLOOKUP(AJ327,'FRC Site Data'!$B$3:$L$42,2,FALSE)</f>
        <v>#N/A</v>
      </c>
      <c r="S335" s="10" t="e">
        <f>VLOOKUP(AJ327,'FRC Site Data'!$B$3:$L$42,3,FALSE)</f>
        <v>#N/A</v>
      </c>
      <c r="T335" s="10" t="e">
        <f>VLOOKUP(AJ327,'FRC Site Data'!$B$3:$L$42,4,FALSE)</f>
        <v>#N/A</v>
      </c>
      <c r="U335" s="10" t="e">
        <f>VLOOKUP(AJ327,'FRC Site Data'!$B$3:$L$42,5,FALSE)</f>
        <v>#N/A</v>
      </c>
      <c r="V335" s="10" t="e">
        <f>VLOOKUP(AJ327,'FRC Site Data'!$B$3:$L$42,6,FALSE)</f>
        <v>#N/A</v>
      </c>
      <c r="W335" s="10" t="e">
        <f>VLOOKUP(AJ327,'FRC Site Data'!$B$3:$L$42,8,FALSE)</f>
        <v>#N/A</v>
      </c>
      <c r="X335" s="10" t="e">
        <f>VLOOKUP(AJ327,'FRC Site Data'!$B$3:$L$42,9,FALSE)</f>
        <v>#N/A</v>
      </c>
      <c r="Y335" s="10" t="e">
        <f>VLOOKUP(AJ327,'FRC Site Data'!$B$3:$L$42,10,FALSE)</f>
        <v>#N/A</v>
      </c>
      <c r="Z335" s="10" t="e">
        <f>VLOOKUP(AJ327,'FRC Site Data'!$B$3:$L$42,11,FALSE)</f>
        <v>#N/A</v>
      </c>
      <c r="AA335" s="10" t="e">
        <f>VLOOKUP(AJ327,'CIR Team Info'!$C$5:$E$44,4,FALSE)</f>
        <v>#N/A</v>
      </c>
      <c r="AB335" s="161" t="b">
        <f>ISNUMBER(VLOOKUP(AJ327,Match!$T$5:$T$10,1,FALSE))</f>
        <v>0</v>
      </c>
      <c r="AC335" s="161" t="b">
        <f>IF(AB335=TRUE,(VLOOKUP($AJ327,Match!$T$5:$U$10,2,FALSE)))</f>
        <v>0</v>
      </c>
      <c r="AD335" s="8">
        <v>3</v>
      </c>
      <c r="AE335" s="8">
        <v>2</v>
      </c>
      <c r="AF335" s="8">
        <v>2</v>
      </c>
      <c r="AG335" s="8">
        <v>1</v>
      </c>
      <c r="AH335" s="8" t="str">
        <f t="shared" si="106"/>
        <v/>
      </c>
      <c r="AI335" s="12"/>
      <c r="AZ335" s="12"/>
      <c r="BC335" s="12"/>
      <c r="BK335" s="12"/>
    </row>
    <row r="336" spans="1:63" x14ac:dyDescent="0.25">
      <c r="A336" s="29">
        <f t="shared" si="97"/>
        <v>0</v>
      </c>
      <c r="B336" s="29">
        <f t="shared" si="107"/>
        <v>0</v>
      </c>
      <c r="C336" s="29">
        <f t="shared" si="108"/>
        <v>0</v>
      </c>
      <c r="D336" s="29">
        <f t="shared" si="109"/>
        <v>0</v>
      </c>
      <c r="E336" s="29">
        <f t="shared" si="98"/>
        <v>0</v>
      </c>
      <c r="F336" s="29">
        <f t="shared" si="99"/>
        <v>0</v>
      </c>
      <c r="G336" s="29" t="str">
        <f t="shared" si="100"/>
        <v>offensive</v>
      </c>
      <c r="H336" s="16">
        <f t="shared" si="104"/>
        <v>0</v>
      </c>
      <c r="I336" s="16">
        <f t="shared" si="105"/>
        <v>0</v>
      </c>
      <c r="J336" s="16">
        <f t="shared" si="110"/>
        <v>0</v>
      </c>
      <c r="K336" s="16">
        <f t="shared" si="101"/>
        <v>0</v>
      </c>
      <c r="L336" s="67">
        <f t="shared" si="102"/>
        <v>0</v>
      </c>
      <c r="M336" s="4">
        <f t="shared" si="111"/>
        <v>0</v>
      </c>
      <c r="N336" s="4">
        <f t="shared" si="96"/>
        <v>0</v>
      </c>
      <c r="O336" s="4">
        <f t="shared" si="103"/>
        <v>0</v>
      </c>
      <c r="P336" s="4" t="e">
        <f>VLOOKUP(AJ328,'CIR Team Info'!$C$5:$E$44,2,FALSE)</f>
        <v>#N/A</v>
      </c>
      <c r="Q336" s="4" t="e">
        <f>VLOOKUP(AJ328,'CIR Team Info'!$C$5:$E$44,3,FALSE)</f>
        <v>#N/A</v>
      </c>
      <c r="R336" s="10" t="e">
        <f>VLOOKUP(AJ328,'FRC Site Data'!$B$3:$L$42,2,FALSE)</f>
        <v>#N/A</v>
      </c>
      <c r="S336" s="10" t="e">
        <f>VLOOKUP(AJ328,'FRC Site Data'!$B$3:$L$42,3,FALSE)</f>
        <v>#N/A</v>
      </c>
      <c r="T336" s="10" t="e">
        <f>VLOOKUP(AJ328,'FRC Site Data'!$B$3:$L$42,4,FALSE)</f>
        <v>#N/A</v>
      </c>
      <c r="U336" s="10" t="e">
        <f>VLOOKUP(AJ328,'FRC Site Data'!$B$3:$L$42,5,FALSE)</f>
        <v>#N/A</v>
      </c>
      <c r="V336" s="10" t="e">
        <f>VLOOKUP(AJ328,'FRC Site Data'!$B$3:$L$42,6,FALSE)</f>
        <v>#N/A</v>
      </c>
      <c r="W336" s="10" t="e">
        <f>VLOOKUP(AJ328,'FRC Site Data'!$B$3:$L$42,8,FALSE)</f>
        <v>#N/A</v>
      </c>
      <c r="X336" s="10" t="e">
        <f>VLOOKUP(AJ328,'FRC Site Data'!$B$3:$L$42,9,FALSE)</f>
        <v>#N/A</v>
      </c>
      <c r="Y336" s="10" t="e">
        <f>VLOOKUP(AJ328,'FRC Site Data'!$B$3:$L$42,10,FALSE)</f>
        <v>#N/A</v>
      </c>
      <c r="Z336" s="10" t="e">
        <f>VLOOKUP(AJ328,'FRC Site Data'!$B$3:$L$42,11,FALSE)</f>
        <v>#N/A</v>
      </c>
      <c r="AA336" s="10" t="e">
        <f>VLOOKUP(AJ328,'CIR Team Info'!$C$5:$E$44,4,FALSE)</f>
        <v>#N/A</v>
      </c>
      <c r="AB336" s="161" t="b">
        <f>ISNUMBER(VLOOKUP(AJ328,Match!$T$5:$T$10,1,FALSE))</f>
        <v>0</v>
      </c>
      <c r="AC336" s="161" t="b">
        <f>IF(AB336=TRUE,(VLOOKUP($AJ328,Match!$T$5:$U$10,2,FALSE)))</f>
        <v>0</v>
      </c>
      <c r="AD336" s="8">
        <v>3</v>
      </c>
      <c r="AE336" s="8">
        <v>2</v>
      </c>
      <c r="AF336" s="8">
        <v>2</v>
      </c>
      <c r="AG336" s="8">
        <v>1</v>
      </c>
      <c r="AH336" s="8" t="str">
        <f t="shared" si="106"/>
        <v/>
      </c>
      <c r="AI336" s="12"/>
      <c r="AZ336" s="12"/>
      <c r="BC336" s="12"/>
      <c r="BK336" s="12"/>
    </row>
    <row r="337" spans="1:63" x14ac:dyDescent="0.25">
      <c r="A337" s="29">
        <f t="shared" si="97"/>
        <v>0</v>
      </c>
      <c r="B337" s="29">
        <f t="shared" si="107"/>
        <v>0</v>
      </c>
      <c r="C337" s="29">
        <f t="shared" si="108"/>
        <v>0</v>
      </c>
      <c r="D337" s="29">
        <f t="shared" si="109"/>
        <v>0</v>
      </c>
      <c r="E337" s="29">
        <f t="shared" si="98"/>
        <v>0</v>
      </c>
      <c r="F337" s="29">
        <f t="shared" si="99"/>
        <v>0</v>
      </c>
      <c r="G337" s="29" t="str">
        <f t="shared" si="100"/>
        <v>offensive</v>
      </c>
      <c r="H337" s="16">
        <f t="shared" si="104"/>
        <v>0</v>
      </c>
      <c r="I337" s="16">
        <f t="shared" si="105"/>
        <v>0</v>
      </c>
      <c r="J337" s="16">
        <f t="shared" si="110"/>
        <v>0</v>
      </c>
      <c r="K337" s="16">
        <f t="shared" si="101"/>
        <v>0</v>
      </c>
      <c r="L337" s="67">
        <f t="shared" si="102"/>
        <v>0</v>
      </c>
      <c r="M337" s="4">
        <f t="shared" si="111"/>
        <v>0</v>
      </c>
      <c r="N337" s="4">
        <f t="shared" si="96"/>
        <v>0</v>
      </c>
      <c r="O337" s="4">
        <f t="shared" si="103"/>
        <v>0</v>
      </c>
      <c r="P337" s="4" t="e">
        <f>VLOOKUP(AJ329,'CIR Team Info'!$C$5:$E$44,2,FALSE)</f>
        <v>#N/A</v>
      </c>
      <c r="Q337" s="4" t="e">
        <f>VLOOKUP(AJ329,'CIR Team Info'!$C$5:$E$44,3,FALSE)</f>
        <v>#N/A</v>
      </c>
      <c r="R337" s="10" t="e">
        <f>VLOOKUP(AJ329,'FRC Site Data'!$B$3:$L$42,2,FALSE)</f>
        <v>#N/A</v>
      </c>
      <c r="S337" s="10" t="e">
        <f>VLOOKUP(AJ329,'FRC Site Data'!$B$3:$L$42,3,FALSE)</f>
        <v>#N/A</v>
      </c>
      <c r="T337" s="10" t="e">
        <f>VLOOKUP(AJ329,'FRC Site Data'!$B$3:$L$42,4,FALSE)</f>
        <v>#N/A</v>
      </c>
      <c r="U337" s="10" t="e">
        <f>VLOOKUP(AJ329,'FRC Site Data'!$B$3:$L$42,5,FALSE)</f>
        <v>#N/A</v>
      </c>
      <c r="V337" s="10" t="e">
        <f>VLOOKUP(AJ329,'FRC Site Data'!$B$3:$L$42,6,FALSE)</f>
        <v>#N/A</v>
      </c>
      <c r="W337" s="10" t="e">
        <f>VLOOKUP(AJ329,'FRC Site Data'!$B$3:$L$42,8,FALSE)</f>
        <v>#N/A</v>
      </c>
      <c r="X337" s="10" t="e">
        <f>VLOOKUP(AJ329,'FRC Site Data'!$B$3:$L$42,9,FALSE)</f>
        <v>#N/A</v>
      </c>
      <c r="Y337" s="10" t="e">
        <f>VLOOKUP(AJ329,'FRC Site Data'!$B$3:$L$42,10,FALSE)</f>
        <v>#N/A</v>
      </c>
      <c r="Z337" s="10" t="e">
        <f>VLOOKUP(AJ329,'FRC Site Data'!$B$3:$L$42,11,FALSE)</f>
        <v>#N/A</v>
      </c>
      <c r="AA337" s="10" t="e">
        <f>VLOOKUP(AJ329,'CIR Team Info'!$C$5:$E$44,4,FALSE)</f>
        <v>#N/A</v>
      </c>
      <c r="AB337" s="161" t="b">
        <f>ISNUMBER(VLOOKUP(AJ329,Match!$T$5:$T$10,1,FALSE))</f>
        <v>0</v>
      </c>
      <c r="AC337" s="161" t="b">
        <f>IF(AB337=TRUE,(VLOOKUP($AJ329,Match!$T$5:$U$10,2,FALSE)))</f>
        <v>0</v>
      </c>
      <c r="AD337" s="8">
        <v>3</v>
      </c>
      <c r="AE337" s="8">
        <v>2</v>
      </c>
      <c r="AF337" s="8">
        <v>2</v>
      </c>
      <c r="AG337" s="8">
        <v>1</v>
      </c>
      <c r="AH337" s="8" t="str">
        <f t="shared" si="106"/>
        <v/>
      </c>
      <c r="AI337" s="12"/>
      <c r="AZ337" s="12"/>
      <c r="BC337" s="12"/>
      <c r="BK337" s="12"/>
    </row>
    <row r="338" spans="1:63" x14ac:dyDescent="0.25">
      <c r="A338" s="29">
        <f t="shared" si="97"/>
        <v>0</v>
      </c>
      <c r="B338" s="29">
        <f t="shared" si="107"/>
        <v>0</v>
      </c>
      <c r="C338" s="29">
        <f t="shared" si="108"/>
        <v>0</v>
      </c>
      <c r="D338" s="29">
        <f t="shared" si="109"/>
        <v>0</v>
      </c>
      <c r="E338" s="29">
        <f t="shared" si="98"/>
        <v>0</v>
      </c>
      <c r="F338" s="29">
        <f t="shared" si="99"/>
        <v>0</v>
      </c>
      <c r="G338" s="29" t="str">
        <f t="shared" si="100"/>
        <v>offensive</v>
      </c>
      <c r="H338" s="16">
        <f t="shared" si="104"/>
        <v>0</v>
      </c>
      <c r="I338" s="16">
        <f t="shared" si="105"/>
        <v>0</v>
      </c>
      <c r="J338" s="16">
        <f t="shared" si="110"/>
        <v>0</v>
      </c>
      <c r="K338" s="16">
        <f t="shared" si="101"/>
        <v>0</v>
      </c>
      <c r="L338" s="67">
        <f t="shared" si="102"/>
        <v>0</v>
      </c>
      <c r="M338" s="4">
        <f t="shared" si="111"/>
        <v>0</v>
      </c>
      <c r="N338" s="4">
        <f t="shared" si="96"/>
        <v>0</v>
      </c>
      <c r="O338" s="4">
        <f t="shared" si="103"/>
        <v>0</v>
      </c>
      <c r="P338" s="4" t="e">
        <f>VLOOKUP(AJ330,'CIR Team Info'!$C$5:$E$44,2,FALSE)</f>
        <v>#N/A</v>
      </c>
      <c r="Q338" s="4" t="e">
        <f>VLOOKUP(AJ330,'CIR Team Info'!$C$5:$E$44,3,FALSE)</f>
        <v>#N/A</v>
      </c>
      <c r="R338" s="10" t="e">
        <f>VLOOKUP(AJ330,'FRC Site Data'!$B$3:$L$42,2,FALSE)</f>
        <v>#N/A</v>
      </c>
      <c r="S338" s="10" t="e">
        <f>VLOOKUP(AJ330,'FRC Site Data'!$B$3:$L$42,3,FALSE)</f>
        <v>#N/A</v>
      </c>
      <c r="T338" s="10" t="e">
        <f>VLOOKUP(AJ330,'FRC Site Data'!$B$3:$L$42,4,FALSE)</f>
        <v>#N/A</v>
      </c>
      <c r="U338" s="10" t="e">
        <f>VLOOKUP(AJ330,'FRC Site Data'!$B$3:$L$42,5,FALSE)</f>
        <v>#N/A</v>
      </c>
      <c r="V338" s="10" t="e">
        <f>VLOOKUP(AJ330,'FRC Site Data'!$B$3:$L$42,6,FALSE)</f>
        <v>#N/A</v>
      </c>
      <c r="W338" s="10" t="e">
        <f>VLOOKUP(AJ330,'FRC Site Data'!$B$3:$L$42,8,FALSE)</f>
        <v>#N/A</v>
      </c>
      <c r="X338" s="10" t="e">
        <f>VLOOKUP(AJ330,'FRC Site Data'!$B$3:$L$42,9,FALSE)</f>
        <v>#N/A</v>
      </c>
      <c r="Y338" s="10" t="e">
        <f>VLOOKUP(AJ330,'FRC Site Data'!$B$3:$L$42,10,FALSE)</f>
        <v>#N/A</v>
      </c>
      <c r="Z338" s="10" t="e">
        <f>VLOOKUP(AJ330,'FRC Site Data'!$B$3:$L$42,11,FALSE)</f>
        <v>#N/A</v>
      </c>
      <c r="AA338" s="10" t="e">
        <f>VLOOKUP(AJ330,'CIR Team Info'!$C$5:$E$44,4,FALSE)</f>
        <v>#N/A</v>
      </c>
      <c r="AB338" s="161" t="b">
        <f>ISNUMBER(VLOOKUP(AJ330,Match!$T$5:$T$10,1,FALSE))</f>
        <v>0</v>
      </c>
      <c r="AC338" s="161" t="b">
        <f>IF(AB338=TRUE,(VLOOKUP($AJ330,Match!$T$5:$U$10,2,FALSE)))</f>
        <v>0</v>
      </c>
      <c r="AD338" s="8">
        <v>3</v>
      </c>
      <c r="AE338" s="8">
        <v>2</v>
      </c>
      <c r="AF338" s="8">
        <v>2</v>
      </c>
      <c r="AG338" s="8">
        <v>1</v>
      </c>
      <c r="AH338" s="8" t="str">
        <f t="shared" si="106"/>
        <v/>
      </c>
      <c r="AI338" s="12"/>
      <c r="AZ338" s="12"/>
      <c r="BC338" s="12"/>
      <c r="BK338" s="12"/>
    </row>
    <row r="339" spans="1:63" x14ac:dyDescent="0.25">
      <c r="A339" s="29">
        <f t="shared" si="97"/>
        <v>0</v>
      </c>
      <c r="B339" s="29">
        <f t="shared" si="107"/>
        <v>0</v>
      </c>
      <c r="C339" s="29">
        <f t="shared" si="108"/>
        <v>0</v>
      </c>
      <c r="D339" s="29">
        <f t="shared" si="109"/>
        <v>0</v>
      </c>
      <c r="E339" s="29">
        <f t="shared" si="98"/>
        <v>0</v>
      </c>
      <c r="F339" s="29">
        <f t="shared" si="99"/>
        <v>0</v>
      </c>
      <c r="G339" s="29" t="str">
        <f t="shared" si="100"/>
        <v>offensive</v>
      </c>
      <c r="H339" s="16">
        <f t="shared" si="104"/>
        <v>0</v>
      </c>
      <c r="I339" s="16">
        <f t="shared" si="105"/>
        <v>0</v>
      </c>
      <c r="J339" s="16">
        <f t="shared" si="110"/>
        <v>0</v>
      </c>
      <c r="K339" s="16">
        <f t="shared" si="101"/>
        <v>0</v>
      </c>
      <c r="L339" s="67">
        <f t="shared" si="102"/>
        <v>0</v>
      </c>
      <c r="M339" s="4">
        <f t="shared" si="111"/>
        <v>0</v>
      </c>
      <c r="N339" s="4">
        <f t="shared" si="96"/>
        <v>0</v>
      </c>
      <c r="O339" s="4">
        <f t="shared" si="103"/>
        <v>0</v>
      </c>
      <c r="P339" s="4" t="e">
        <f>VLOOKUP(AJ331,'CIR Team Info'!$C$5:$E$44,2,FALSE)</f>
        <v>#N/A</v>
      </c>
      <c r="Q339" s="4" t="e">
        <f>VLOOKUP(AJ331,'CIR Team Info'!$C$5:$E$44,3,FALSE)</f>
        <v>#N/A</v>
      </c>
      <c r="R339" s="10" t="e">
        <f>VLOOKUP(AJ331,'FRC Site Data'!$B$3:$L$42,2,FALSE)</f>
        <v>#N/A</v>
      </c>
      <c r="S339" s="10" t="e">
        <f>VLOOKUP(AJ331,'FRC Site Data'!$B$3:$L$42,3,FALSE)</f>
        <v>#N/A</v>
      </c>
      <c r="T339" s="10" t="e">
        <f>VLOOKUP(AJ331,'FRC Site Data'!$B$3:$L$42,4,FALSE)</f>
        <v>#N/A</v>
      </c>
      <c r="U339" s="10" t="e">
        <f>VLOOKUP(AJ331,'FRC Site Data'!$B$3:$L$42,5,FALSE)</f>
        <v>#N/A</v>
      </c>
      <c r="V339" s="10" t="e">
        <f>VLOOKUP(AJ331,'FRC Site Data'!$B$3:$L$42,6,FALSE)</f>
        <v>#N/A</v>
      </c>
      <c r="W339" s="10" t="e">
        <f>VLOOKUP(AJ331,'FRC Site Data'!$B$3:$L$42,8,FALSE)</f>
        <v>#N/A</v>
      </c>
      <c r="X339" s="10" t="e">
        <f>VLOOKUP(AJ331,'FRC Site Data'!$B$3:$L$42,9,FALSE)</f>
        <v>#N/A</v>
      </c>
      <c r="Y339" s="10" t="e">
        <f>VLOOKUP(AJ331,'FRC Site Data'!$B$3:$L$42,10,FALSE)</f>
        <v>#N/A</v>
      </c>
      <c r="Z339" s="10" t="e">
        <f>VLOOKUP(AJ331,'FRC Site Data'!$B$3:$L$42,11,FALSE)</f>
        <v>#N/A</v>
      </c>
      <c r="AA339" s="10" t="e">
        <f>VLOOKUP(AJ331,'CIR Team Info'!$C$5:$E$44,4,FALSE)</f>
        <v>#N/A</v>
      </c>
      <c r="AB339" s="161" t="b">
        <f>ISNUMBER(VLOOKUP(AJ331,Match!$T$5:$T$10,1,FALSE))</f>
        <v>0</v>
      </c>
      <c r="AC339" s="161" t="b">
        <f>IF(AB339=TRUE,(VLOOKUP($AJ331,Match!$T$5:$U$10,2,FALSE)))</f>
        <v>0</v>
      </c>
      <c r="AD339" s="8">
        <v>3</v>
      </c>
      <c r="AE339" s="8">
        <v>2</v>
      </c>
      <c r="AF339" s="8">
        <v>2</v>
      </c>
      <c r="AG339" s="8">
        <v>1</v>
      </c>
      <c r="AH339" s="8" t="str">
        <f t="shared" si="106"/>
        <v/>
      </c>
      <c r="AI339" s="12"/>
      <c r="AZ339" s="12"/>
      <c r="BC339" s="12"/>
      <c r="BK339" s="12"/>
    </row>
    <row r="340" spans="1:63" x14ac:dyDescent="0.25">
      <c r="A340" s="29">
        <f t="shared" si="97"/>
        <v>0</v>
      </c>
      <c r="B340" s="29">
        <f t="shared" si="107"/>
        <v>0</v>
      </c>
      <c r="C340" s="29">
        <f t="shared" si="108"/>
        <v>0</v>
      </c>
      <c r="D340" s="29">
        <f t="shared" si="109"/>
        <v>0</v>
      </c>
      <c r="E340" s="29">
        <f t="shared" si="98"/>
        <v>0</v>
      </c>
      <c r="F340" s="29">
        <f t="shared" si="99"/>
        <v>0</v>
      </c>
      <c r="G340" s="29" t="str">
        <f t="shared" si="100"/>
        <v>offensive</v>
      </c>
      <c r="H340" s="16">
        <f t="shared" si="104"/>
        <v>0</v>
      </c>
      <c r="I340" s="16">
        <f t="shared" si="105"/>
        <v>0</v>
      </c>
      <c r="J340" s="16">
        <f t="shared" si="110"/>
        <v>0</v>
      </c>
      <c r="K340" s="16">
        <f t="shared" si="101"/>
        <v>0</v>
      </c>
      <c r="L340" s="67">
        <f t="shared" si="102"/>
        <v>0</v>
      </c>
      <c r="M340" s="4">
        <f t="shared" si="111"/>
        <v>0</v>
      </c>
      <c r="N340" s="4">
        <f t="shared" si="96"/>
        <v>0</v>
      </c>
      <c r="O340" s="4">
        <f t="shared" si="103"/>
        <v>0</v>
      </c>
      <c r="P340" s="4" t="e">
        <f>VLOOKUP(AJ332,'CIR Team Info'!$C$5:$E$44,2,FALSE)</f>
        <v>#N/A</v>
      </c>
      <c r="Q340" s="4" t="e">
        <f>VLOOKUP(AJ332,'CIR Team Info'!$C$5:$E$44,3,FALSE)</f>
        <v>#N/A</v>
      </c>
      <c r="R340" s="10" t="e">
        <f>VLOOKUP(AJ332,'FRC Site Data'!$B$3:$L$42,2,FALSE)</f>
        <v>#N/A</v>
      </c>
      <c r="S340" s="10" t="e">
        <f>VLOOKUP(AJ332,'FRC Site Data'!$B$3:$L$42,3,FALSE)</f>
        <v>#N/A</v>
      </c>
      <c r="T340" s="10" t="e">
        <f>VLOOKUP(AJ332,'FRC Site Data'!$B$3:$L$42,4,FALSE)</f>
        <v>#N/A</v>
      </c>
      <c r="U340" s="10" t="e">
        <f>VLOOKUP(AJ332,'FRC Site Data'!$B$3:$L$42,5,FALSE)</f>
        <v>#N/A</v>
      </c>
      <c r="V340" s="10" t="e">
        <f>VLOOKUP(AJ332,'FRC Site Data'!$B$3:$L$42,6,FALSE)</f>
        <v>#N/A</v>
      </c>
      <c r="W340" s="10" t="e">
        <f>VLOOKUP(AJ332,'FRC Site Data'!$B$3:$L$42,8,FALSE)</f>
        <v>#N/A</v>
      </c>
      <c r="X340" s="10" t="e">
        <f>VLOOKUP(AJ332,'FRC Site Data'!$B$3:$L$42,9,FALSE)</f>
        <v>#N/A</v>
      </c>
      <c r="Y340" s="10" t="e">
        <f>VLOOKUP(AJ332,'FRC Site Data'!$B$3:$L$42,10,FALSE)</f>
        <v>#N/A</v>
      </c>
      <c r="Z340" s="10" t="e">
        <f>VLOOKUP(AJ332,'FRC Site Data'!$B$3:$L$42,11,FALSE)</f>
        <v>#N/A</v>
      </c>
      <c r="AA340" s="10" t="e">
        <f>VLOOKUP(AJ332,'CIR Team Info'!$C$5:$E$44,4,FALSE)</f>
        <v>#N/A</v>
      </c>
      <c r="AB340" s="161" t="b">
        <f>ISNUMBER(VLOOKUP(AJ332,Match!$T$5:$T$10,1,FALSE))</f>
        <v>0</v>
      </c>
      <c r="AC340" s="161" t="b">
        <f>IF(AB340=TRUE,(VLOOKUP($AJ332,Match!$T$5:$U$10,2,FALSE)))</f>
        <v>0</v>
      </c>
      <c r="AD340" s="8">
        <v>3</v>
      </c>
      <c r="AE340" s="8">
        <v>2</v>
      </c>
      <c r="AF340" s="8">
        <v>2</v>
      </c>
      <c r="AG340" s="8">
        <v>1</v>
      </c>
      <c r="AH340" s="8" t="str">
        <f t="shared" si="106"/>
        <v/>
      </c>
      <c r="AI340" s="12"/>
      <c r="AZ340" s="12"/>
      <c r="BC340" s="12"/>
      <c r="BK340" s="12"/>
    </row>
    <row r="341" spans="1:63" x14ac:dyDescent="0.25">
      <c r="A341" s="29">
        <f t="shared" si="97"/>
        <v>0</v>
      </c>
      <c r="B341" s="29">
        <f t="shared" si="107"/>
        <v>0</v>
      </c>
      <c r="C341" s="29">
        <f t="shared" si="108"/>
        <v>0</v>
      </c>
      <c r="D341" s="29">
        <f t="shared" si="109"/>
        <v>0</v>
      </c>
      <c r="E341" s="29">
        <f t="shared" si="98"/>
        <v>0</v>
      </c>
      <c r="F341" s="29">
        <f t="shared" si="99"/>
        <v>0</v>
      </c>
      <c r="G341" s="29" t="str">
        <f t="shared" si="100"/>
        <v>offensive</v>
      </c>
      <c r="H341" s="16">
        <f t="shared" si="104"/>
        <v>0</v>
      </c>
      <c r="I341" s="16">
        <f t="shared" si="105"/>
        <v>0</v>
      </c>
      <c r="J341" s="16">
        <f t="shared" si="110"/>
        <v>0</v>
      </c>
      <c r="K341" s="16">
        <f t="shared" si="101"/>
        <v>0</v>
      </c>
      <c r="L341" s="67">
        <f t="shared" si="102"/>
        <v>0</v>
      </c>
      <c r="M341" s="4">
        <f t="shared" si="111"/>
        <v>0</v>
      </c>
      <c r="N341" s="4">
        <f t="shared" si="96"/>
        <v>0</v>
      </c>
      <c r="O341" s="4">
        <f t="shared" si="103"/>
        <v>0</v>
      </c>
      <c r="P341" s="4" t="e">
        <f>VLOOKUP(AJ333,'CIR Team Info'!$C$5:$E$44,2,FALSE)</f>
        <v>#N/A</v>
      </c>
      <c r="Q341" s="4" t="e">
        <f>VLOOKUP(AJ333,'CIR Team Info'!$C$5:$E$44,3,FALSE)</f>
        <v>#N/A</v>
      </c>
      <c r="R341" s="10" t="e">
        <f>VLOOKUP(AJ333,'FRC Site Data'!$B$3:$L$42,2,FALSE)</f>
        <v>#N/A</v>
      </c>
      <c r="S341" s="10" t="e">
        <f>VLOOKUP(AJ333,'FRC Site Data'!$B$3:$L$42,3,FALSE)</f>
        <v>#N/A</v>
      </c>
      <c r="T341" s="10" t="e">
        <f>VLOOKUP(AJ333,'FRC Site Data'!$B$3:$L$42,4,FALSE)</f>
        <v>#N/A</v>
      </c>
      <c r="U341" s="10" t="e">
        <f>VLOOKUP(AJ333,'FRC Site Data'!$B$3:$L$42,5,FALSE)</f>
        <v>#N/A</v>
      </c>
      <c r="V341" s="10" t="e">
        <f>VLOOKUP(AJ333,'FRC Site Data'!$B$3:$L$42,6,FALSE)</f>
        <v>#N/A</v>
      </c>
      <c r="W341" s="10" t="e">
        <f>VLOOKUP(AJ333,'FRC Site Data'!$B$3:$L$42,8,FALSE)</f>
        <v>#N/A</v>
      </c>
      <c r="X341" s="10" t="e">
        <f>VLOOKUP(AJ333,'FRC Site Data'!$B$3:$L$42,9,FALSE)</f>
        <v>#N/A</v>
      </c>
      <c r="Y341" s="10" t="e">
        <f>VLOOKUP(AJ333,'FRC Site Data'!$B$3:$L$42,10,FALSE)</f>
        <v>#N/A</v>
      </c>
      <c r="Z341" s="10" t="e">
        <f>VLOOKUP(AJ333,'FRC Site Data'!$B$3:$L$42,11,FALSE)</f>
        <v>#N/A</v>
      </c>
      <c r="AA341" s="10" t="e">
        <f>VLOOKUP(AJ333,'CIR Team Info'!$C$5:$E$44,4,FALSE)</f>
        <v>#N/A</v>
      </c>
      <c r="AB341" s="161" t="b">
        <f>ISNUMBER(VLOOKUP(AJ333,Match!$T$5:$T$10,1,FALSE))</f>
        <v>0</v>
      </c>
      <c r="AC341" s="161" t="b">
        <f>IF(AB341=TRUE,(VLOOKUP($AJ333,Match!$T$5:$U$10,2,FALSE)))</f>
        <v>0</v>
      </c>
      <c r="AD341" s="8">
        <v>3</v>
      </c>
      <c r="AE341" s="8">
        <v>2</v>
      </c>
      <c r="AF341" s="8">
        <v>2</v>
      </c>
      <c r="AG341" s="8">
        <v>1</v>
      </c>
      <c r="AH341" s="8" t="str">
        <f t="shared" si="106"/>
        <v/>
      </c>
      <c r="AI341" s="12"/>
      <c r="AZ341" s="12"/>
      <c r="BC341" s="12"/>
      <c r="BK341" s="12"/>
    </row>
    <row r="342" spans="1:63" x14ac:dyDescent="0.25">
      <c r="A342" s="29">
        <f t="shared" si="97"/>
        <v>0</v>
      </c>
      <c r="B342" s="29">
        <f t="shared" si="107"/>
        <v>0</v>
      </c>
      <c r="C342" s="29">
        <f t="shared" si="108"/>
        <v>0</v>
      </c>
      <c r="D342" s="29">
        <f t="shared" si="109"/>
        <v>0</v>
      </c>
      <c r="E342" s="29">
        <f t="shared" si="98"/>
        <v>0</v>
      </c>
      <c r="F342" s="29">
        <f t="shared" si="99"/>
        <v>0</v>
      </c>
      <c r="G342" s="29" t="str">
        <f t="shared" si="100"/>
        <v>offensive</v>
      </c>
      <c r="H342" s="16">
        <f t="shared" si="104"/>
        <v>0</v>
      </c>
      <c r="I342" s="16">
        <f t="shared" si="105"/>
        <v>0</v>
      </c>
      <c r="J342" s="16">
        <f t="shared" si="110"/>
        <v>0</v>
      </c>
      <c r="K342" s="16">
        <f t="shared" si="101"/>
        <v>0</v>
      </c>
      <c r="L342" s="67">
        <f t="shared" si="102"/>
        <v>0</v>
      </c>
      <c r="M342" s="4">
        <f t="shared" si="111"/>
        <v>0</v>
      </c>
      <c r="N342" s="4">
        <f t="shared" si="96"/>
        <v>0</v>
      </c>
      <c r="O342" s="4">
        <f t="shared" si="103"/>
        <v>0</v>
      </c>
      <c r="P342" s="4" t="e">
        <f>VLOOKUP(AJ334,'CIR Team Info'!$C$5:$E$44,2,FALSE)</f>
        <v>#N/A</v>
      </c>
      <c r="Q342" s="4" t="e">
        <f>VLOOKUP(AJ334,'CIR Team Info'!$C$5:$E$44,3,FALSE)</f>
        <v>#N/A</v>
      </c>
      <c r="R342" s="10" t="e">
        <f>VLOOKUP(AJ334,'FRC Site Data'!$B$3:$L$42,2,FALSE)</f>
        <v>#N/A</v>
      </c>
      <c r="S342" s="10" t="e">
        <f>VLOOKUP(AJ334,'FRC Site Data'!$B$3:$L$42,3,FALSE)</f>
        <v>#N/A</v>
      </c>
      <c r="T342" s="10" t="e">
        <f>VLOOKUP(AJ334,'FRC Site Data'!$B$3:$L$42,4,FALSE)</f>
        <v>#N/A</v>
      </c>
      <c r="U342" s="10" t="e">
        <f>VLOOKUP(AJ334,'FRC Site Data'!$B$3:$L$42,5,FALSE)</f>
        <v>#N/A</v>
      </c>
      <c r="V342" s="10" t="e">
        <f>VLOOKUP(AJ334,'FRC Site Data'!$B$3:$L$42,6,FALSE)</f>
        <v>#N/A</v>
      </c>
      <c r="W342" s="10" t="e">
        <f>VLOOKUP(AJ334,'FRC Site Data'!$B$3:$L$42,8,FALSE)</f>
        <v>#N/A</v>
      </c>
      <c r="X342" s="10" t="e">
        <f>VLOOKUP(AJ334,'FRC Site Data'!$B$3:$L$42,9,FALSE)</f>
        <v>#N/A</v>
      </c>
      <c r="Y342" s="10" t="e">
        <f>VLOOKUP(AJ334,'FRC Site Data'!$B$3:$L$42,10,FALSE)</f>
        <v>#N/A</v>
      </c>
      <c r="Z342" s="10" t="e">
        <f>VLOOKUP(AJ334,'FRC Site Data'!$B$3:$L$42,11,FALSE)</f>
        <v>#N/A</v>
      </c>
      <c r="AA342" s="10" t="e">
        <f>VLOOKUP(AJ334,'CIR Team Info'!$C$5:$E$44,4,FALSE)</f>
        <v>#N/A</v>
      </c>
      <c r="AB342" s="161" t="b">
        <f>ISNUMBER(VLOOKUP(AJ334,Match!$T$5:$T$10,1,FALSE))</f>
        <v>0</v>
      </c>
      <c r="AC342" s="161" t="b">
        <f>IF(AB342=TRUE,(VLOOKUP($AJ334,Match!$T$5:$U$10,2,FALSE)))</f>
        <v>0</v>
      </c>
      <c r="AD342" s="8">
        <v>3</v>
      </c>
      <c r="AE342" s="8">
        <v>2</v>
      </c>
      <c r="AF342" s="8">
        <v>2</v>
      </c>
      <c r="AG342" s="8">
        <v>1</v>
      </c>
      <c r="AH342" s="128" t="str">
        <f t="shared" si="106"/>
        <v/>
      </c>
      <c r="AI342" s="12"/>
      <c r="AZ342" s="12"/>
      <c r="BC342" s="12"/>
      <c r="BK342" s="12"/>
    </row>
    <row r="343" spans="1:63" x14ac:dyDescent="0.25">
      <c r="A343" s="29">
        <f t="shared" si="97"/>
        <v>0</v>
      </c>
      <c r="B343" s="29">
        <f t="shared" si="107"/>
        <v>0</v>
      </c>
      <c r="C343" s="29">
        <f t="shared" si="108"/>
        <v>0</v>
      </c>
      <c r="D343" s="29">
        <f t="shared" si="109"/>
        <v>0</v>
      </c>
      <c r="E343" s="29">
        <f t="shared" si="98"/>
        <v>0</v>
      </c>
      <c r="F343" s="29">
        <f t="shared" si="99"/>
        <v>0</v>
      </c>
      <c r="G343" s="29" t="str">
        <f t="shared" si="100"/>
        <v>offensive</v>
      </c>
      <c r="H343" s="16">
        <f t="shared" si="104"/>
        <v>0</v>
      </c>
      <c r="I343" s="16">
        <f t="shared" si="105"/>
        <v>0</v>
      </c>
      <c r="J343" s="16">
        <f t="shared" si="110"/>
        <v>0</v>
      </c>
      <c r="K343" s="16">
        <f t="shared" si="101"/>
        <v>0</v>
      </c>
      <c r="L343" s="67">
        <f t="shared" si="102"/>
        <v>0</v>
      </c>
      <c r="M343" s="4">
        <f t="shared" si="111"/>
        <v>0</v>
      </c>
      <c r="N343" s="4">
        <f t="shared" si="96"/>
        <v>0</v>
      </c>
      <c r="O343" s="4">
        <f t="shared" si="103"/>
        <v>0</v>
      </c>
      <c r="P343" s="4" t="e">
        <f>VLOOKUP(AJ335,'CIR Team Info'!$C$5:$E$44,2,FALSE)</f>
        <v>#N/A</v>
      </c>
      <c r="Q343" s="4" t="e">
        <f>VLOOKUP(AJ335,'CIR Team Info'!$C$5:$E$44,3,FALSE)</f>
        <v>#N/A</v>
      </c>
      <c r="R343" s="10" t="e">
        <f>VLOOKUP(AJ335,'FRC Site Data'!$B$3:$L$42,2,FALSE)</f>
        <v>#N/A</v>
      </c>
      <c r="S343" s="10" t="e">
        <f>VLOOKUP(AJ335,'FRC Site Data'!$B$3:$L$42,3,FALSE)</f>
        <v>#N/A</v>
      </c>
      <c r="T343" s="10" t="e">
        <f>VLOOKUP(AJ335,'FRC Site Data'!$B$3:$L$42,4,FALSE)</f>
        <v>#N/A</v>
      </c>
      <c r="U343" s="10" t="e">
        <f>VLOOKUP(AJ335,'FRC Site Data'!$B$3:$L$42,5,FALSE)</f>
        <v>#N/A</v>
      </c>
      <c r="V343" s="10" t="e">
        <f>VLOOKUP(AJ335,'FRC Site Data'!$B$3:$L$42,6,FALSE)</f>
        <v>#N/A</v>
      </c>
      <c r="W343" s="10" t="e">
        <f>VLOOKUP(AJ335,'FRC Site Data'!$B$3:$L$42,8,FALSE)</f>
        <v>#N/A</v>
      </c>
      <c r="X343" s="10" t="e">
        <f>VLOOKUP(AJ335,'FRC Site Data'!$B$3:$L$42,9,FALSE)</f>
        <v>#N/A</v>
      </c>
      <c r="Y343" s="10" t="e">
        <f>VLOOKUP(AJ335,'FRC Site Data'!$B$3:$L$42,10,FALSE)</f>
        <v>#N/A</v>
      </c>
      <c r="Z343" s="10" t="e">
        <f>VLOOKUP(AJ335,'FRC Site Data'!$B$3:$L$42,11,FALSE)</f>
        <v>#N/A</v>
      </c>
      <c r="AA343" s="10" t="e">
        <f>VLOOKUP(AJ335,'CIR Team Info'!$C$5:$E$44,4,FALSE)</f>
        <v>#N/A</v>
      </c>
      <c r="AB343" s="161" t="b">
        <f>ISNUMBER(VLOOKUP(AJ335,Match!$T$5:$T$10,1,FALSE))</f>
        <v>0</v>
      </c>
      <c r="AC343" s="161" t="b">
        <f>IF(AB343=TRUE,(VLOOKUP($AJ335,Match!$T$5:$U$10,2,FALSE)))</f>
        <v>0</v>
      </c>
      <c r="AD343" s="8">
        <v>3</v>
      </c>
      <c r="AE343" s="8">
        <v>2</v>
      </c>
      <c r="AF343" s="8">
        <v>2</v>
      </c>
      <c r="AG343" s="8">
        <v>1</v>
      </c>
      <c r="AH343" s="8" t="str">
        <f t="shared" si="106"/>
        <v/>
      </c>
      <c r="AI343" s="12"/>
      <c r="AZ343" s="12"/>
      <c r="BC343" s="12"/>
      <c r="BK343" s="12"/>
    </row>
    <row r="344" spans="1:63" x14ac:dyDescent="0.25">
      <c r="A344" s="29">
        <f t="shared" si="97"/>
        <v>0</v>
      </c>
      <c r="B344" s="29">
        <f t="shared" si="107"/>
        <v>0</v>
      </c>
      <c r="C344" s="29">
        <f t="shared" si="108"/>
        <v>0</v>
      </c>
      <c r="D344" s="29">
        <f t="shared" si="109"/>
        <v>0</v>
      </c>
      <c r="E344" s="29">
        <f t="shared" si="98"/>
        <v>0</v>
      </c>
      <c r="F344" s="29">
        <f t="shared" si="99"/>
        <v>0</v>
      </c>
      <c r="G344" s="29" t="str">
        <f t="shared" si="100"/>
        <v>offensive</v>
      </c>
      <c r="H344" s="16">
        <f t="shared" si="104"/>
        <v>0</v>
      </c>
      <c r="I344" s="16">
        <f t="shared" si="105"/>
        <v>0</v>
      </c>
      <c r="J344" s="16">
        <f t="shared" si="110"/>
        <v>0</v>
      </c>
      <c r="K344" s="16">
        <f t="shared" si="101"/>
        <v>0</v>
      </c>
      <c r="L344" s="67">
        <f t="shared" si="102"/>
        <v>0</v>
      </c>
      <c r="M344" s="4">
        <f t="shared" si="111"/>
        <v>0</v>
      </c>
      <c r="N344" s="4">
        <f t="shared" si="96"/>
        <v>0</v>
      </c>
      <c r="O344" s="4">
        <f t="shared" si="103"/>
        <v>0</v>
      </c>
      <c r="P344" s="4" t="e">
        <f>VLOOKUP(AJ336,'CIR Team Info'!$C$5:$E$44,2,FALSE)</f>
        <v>#N/A</v>
      </c>
      <c r="Q344" s="4" t="e">
        <f>VLOOKUP(AJ336,'CIR Team Info'!$C$5:$E$44,3,FALSE)</f>
        <v>#N/A</v>
      </c>
      <c r="R344" s="10" t="e">
        <f>VLOOKUP(AJ336,'FRC Site Data'!$B$3:$L$42,2,FALSE)</f>
        <v>#N/A</v>
      </c>
      <c r="S344" s="10" t="e">
        <f>VLOOKUP(AJ336,'FRC Site Data'!$B$3:$L$42,3,FALSE)</f>
        <v>#N/A</v>
      </c>
      <c r="T344" s="10" t="e">
        <f>VLOOKUP(AJ336,'FRC Site Data'!$B$3:$L$42,4,FALSE)</f>
        <v>#N/A</v>
      </c>
      <c r="U344" s="10" t="e">
        <f>VLOOKUP(AJ336,'FRC Site Data'!$B$3:$L$42,5,FALSE)</f>
        <v>#N/A</v>
      </c>
      <c r="V344" s="10" t="e">
        <f>VLOOKUP(AJ336,'FRC Site Data'!$B$3:$L$42,6,FALSE)</f>
        <v>#N/A</v>
      </c>
      <c r="W344" s="10" t="e">
        <f>VLOOKUP(AJ336,'FRC Site Data'!$B$3:$L$42,8,FALSE)</f>
        <v>#N/A</v>
      </c>
      <c r="X344" s="10" t="e">
        <f>VLOOKUP(AJ336,'FRC Site Data'!$B$3:$L$42,9,FALSE)</f>
        <v>#N/A</v>
      </c>
      <c r="Y344" s="10" t="e">
        <f>VLOOKUP(AJ336,'FRC Site Data'!$B$3:$L$42,10,FALSE)</f>
        <v>#N/A</v>
      </c>
      <c r="Z344" s="10" t="e">
        <f>VLOOKUP(AJ336,'FRC Site Data'!$B$3:$L$42,11,FALSE)</f>
        <v>#N/A</v>
      </c>
      <c r="AA344" s="10" t="e">
        <f>VLOOKUP(AJ336,'CIR Team Info'!$C$5:$E$44,4,FALSE)</f>
        <v>#N/A</v>
      </c>
      <c r="AB344" s="161" t="b">
        <f>ISNUMBER(VLOOKUP(AJ336,Match!$T$5:$T$10,1,FALSE))</f>
        <v>0</v>
      </c>
      <c r="AC344" s="161" t="b">
        <f>IF(AB344=TRUE,(VLOOKUP($AJ336,Match!$T$5:$U$10,2,FALSE)))</f>
        <v>0</v>
      </c>
      <c r="AD344" s="8">
        <v>3</v>
      </c>
      <c r="AE344" s="8">
        <v>2</v>
      </c>
      <c r="AF344" s="8">
        <v>2</v>
      </c>
      <c r="AG344" s="8">
        <v>1</v>
      </c>
      <c r="AH344" s="8" t="str">
        <f t="shared" si="106"/>
        <v/>
      </c>
      <c r="AI344" s="12"/>
      <c r="AZ344" s="12"/>
      <c r="BC344" s="12"/>
      <c r="BK344" s="12"/>
    </row>
    <row r="345" spans="1:63" x14ac:dyDescent="0.25">
      <c r="A345" s="29">
        <f t="shared" si="97"/>
        <v>0</v>
      </c>
      <c r="B345" s="29">
        <f t="shared" si="107"/>
        <v>0</v>
      </c>
      <c r="C345" s="29">
        <f t="shared" si="108"/>
        <v>0</v>
      </c>
      <c r="D345" s="29">
        <f t="shared" si="109"/>
        <v>0</v>
      </c>
      <c r="E345" s="29">
        <f t="shared" si="98"/>
        <v>0</v>
      </c>
      <c r="F345" s="29">
        <f t="shared" si="99"/>
        <v>0</v>
      </c>
      <c r="G345" s="29" t="str">
        <f t="shared" si="100"/>
        <v>offensive</v>
      </c>
      <c r="H345" s="16">
        <f t="shared" si="104"/>
        <v>0</v>
      </c>
      <c r="I345" s="16">
        <f t="shared" si="105"/>
        <v>0</v>
      </c>
      <c r="J345" s="16">
        <f t="shared" si="110"/>
        <v>0</v>
      </c>
      <c r="K345" s="16">
        <f t="shared" si="101"/>
        <v>0</v>
      </c>
      <c r="L345" s="67">
        <f t="shared" si="102"/>
        <v>0</v>
      </c>
      <c r="M345" s="4">
        <f t="shared" si="111"/>
        <v>0</v>
      </c>
      <c r="N345" s="4">
        <f t="shared" si="96"/>
        <v>0</v>
      </c>
      <c r="O345" s="4">
        <f t="shared" si="103"/>
        <v>0</v>
      </c>
      <c r="P345" s="4" t="e">
        <f>VLOOKUP(AJ337,'CIR Team Info'!$C$5:$E$44,2,FALSE)</f>
        <v>#N/A</v>
      </c>
      <c r="Q345" s="4" t="e">
        <f>VLOOKUP(AJ337,'CIR Team Info'!$C$5:$E$44,3,FALSE)</f>
        <v>#N/A</v>
      </c>
      <c r="R345" s="10" t="e">
        <f>VLOOKUP(AJ337,'FRC Site Data'!$B$3:$L$42,2,FALSE)</f>
        <v>#N/A</v>
      </c>
      <c r="S345" s="10" t="e">
        <f>VLOOKUP(AJ337,'FRC Site Data'!$B$3:$L$42,3,FALSE)</f>
        <v>#N/A</v>
      </c>
      <c r="T345" s="10" t="e">
        <f>VLOOKUP(AJ337,'FRC Site Data'!$B$3:$L$42,4,FALSE)</f>
        <v>#N/A</v>
      </c>
      <c r="U345" s="10" t="e">
        <f>VLOOKUP(AJ337,'FRC Site Data'!$B$3:$L$42,5,FALSE)</f>
        <v>#N/A</v>
      </c>
      <c r="V345" s="10" t="e">
        <f>VLOOKUP(AJ337,'FRC Site Data'!$B$3:$L$42,6,FALSE)</f>
        <v>#N/A</v>
      </c>
      <c r="W345" s="10" t="e">
        <f>VLOOKUP(AJ337,'FRC Site Data'!$B$3:$L$42,8,FALSE)</f>
        <v>#N/A</v>
      </c>
      <c r="X345" s="10" t="e">
        <f>VLOOKUP(AJ337,'FRC Site Data'!$B$3:$L$42,9,FALSE)</f>
        <v>#N/A</v>
      </c>
      <c r="Y345" s="10" t="e">
        <f>VLOOKUP(AJ337,'FRC Site Data'!$B$3:$L$42,10,FALSE)</f>
        <v>#N/A</v>
      </c>
      <c r="Z345" s="10" t="e">
        <f>VLOOKUP(AJ337,'FRC Site Data'!$B$3:$L$42,11,FALSE)</f>
        <v>#N/A</v>
      </c>
      <c r="AA345" s="10" t="e">
        <f>VLOOKUP(AJ337,'CIR Team Info'!$C$5:$E$44,4,FALSE)</f>
        <v>#N/A</v>
      </c>
      <c r="AB345" s="161" t="b">
        <f>ISNUMBER(VLOOKUP(AJ337,Match!$T$5:$T$10,1,FALSE))</f>
        <v>0</v>
      </c>
      <c r="AC345" s="161" t="b">
        <f>IF(AB345=TRUE,(VLOOKUP($AJ337,Match!$T$5:$U$10,2,FALSE)))</f>
        <v>0</v>
      </c>
      <c r="AD345" s="8">
        <v>3</v>
      </c>
      <c r="AE345" s="8">
        <v>2</v>
      </c>
      <c r="AF345" s="8">
        <v>2</v>
      </c>
      <c r="AG345" s="8">
        <v>1</v>
      </c>
      <c r="AH345" s="8" t="str">
        <f t="shared" si="106"/>
        <v/>
      </c>
      <c r="AI345" s="12"/>
      <c r="AZ345" s="12"/>
      <c r="BC345" s="12"/>
      <c r="BK345" s="12"/>
    </row>
    <row r="346" spans="1:63" x14ac:dyDescent="0.25">
      <c r="A346" s="29">
        <f t="shared" si="97"/>
        <v>0</v>
      </c>
      <c r="B346" s="29">
        <f t="shared" si="107"/>
        <v>0</v>
      </c>
      <c r="C346" s="29">
        <f t="shared" si="108"/>
        <v>0</v>
      </c>
      <c r="D346" s="29">
        <f t="shared" si="109"/>
        <v>0</v>
      </c>
      <c r="E346" s="29">
        <f t="shared" si="98"/>
        <v>0</v>
      </c>
      <c r="F346" s="29">
        <f t="shared" si="99"/>
        <v>0</v>
      </c>
      <c r="G346" s="29" t="str">
        <f t="shared" si="100"/>
        <v>offensive</v>
      </c>
      <c r="H346" s="16">
        <f t="shared" si="104"/>
        <v>0</v>
      </c>
      <c r="I346" s="16">
        <f t="shared" si="105"/>
        <v>0</v>
      </c>
      <c r="J346" s="16">
        <f t="shared" si="110"/>
        <v>0</v>
      </c>
      <c r="K346" s="16">
        <f t="shared" si="101"/>
        <v>0</v>
      </c>
      <c r="L346" s="67">
        <f t="shared" si="102"/>
        <v>0</v>
      </c>
      <c r="M346" s="4">
        <f t="shared" si="111"/>
        <v>0</v>
      </c>
      <c r="N346" s="4">
        <f t="shared" si="96"/>
        <v>0</v>
      </c>
      <c r="O346" s="4">
        <f t="shared" si="103"/>
        <v>0</v>
      </c>
      <c r="P346" s="4" t="e">
        <f>VLOOKUP(AJ338,'CIR Team Info'!$C$5:$E$44,2,FALSE)</f>
        <v>#N/A</v>
      </c>
      <c r="Q346" s="4" t="e">
        <f>VLOOKUP(AJ338,'CIR Team Info'!$C$5:$E$44,3,FALSE)</f>
        <v>#N/A</v>
      </c>
      <c r="R346" s="10" t="e">
        <f>VLOOKUP(AJ338,'FRC Site Data'!$B$3:$L$42,2,FALSE)</f>
        <v>#N/A</v>
      </c>
      <c r="S346" s="10" t="e">
        <f>VLOOKUP(AJ338,'FRC Site Data'!$B$3:$L$42,3,FALSE)</f>
        <v>#N/A</v>
      </c>
      <c r="T346" s="10" t="e">
        <f>VLOOKUP(AJ338,'FRC Site Data'!$B$3:$L$42,4,FALSE)</f>
        <v>#N/A</v>
      </c>
      <c r="U346" s="10" t="e">
        <f>VLOOKUP(AJ338,'FRC Site Data'!$B$3:$L$42,5,FALSE)</f>
        <v>#N/A</v>
      </c>
      <c r="V346" s="10" t="e">
        <f>VLOOKUP(AJ338,'FRC Site Data'!$B$3:$L$42,6,FALSE)</f>
        <v>#N/A</v>
      </c>
      <c r="W346" s="10" t="e">
        <f>VLOOKUP(AJ338,'FRC Site Data'!$B$3:$L$42,8,FALSE)</f>
        <v>#N/A</v>
      </c>
      <c r="X346" s="10" t="e">
        <f>VLOOKUP(AJ338,'FRC Site Data'!$B$3:$L$42,9,FALSE)</f>
        <v>#N/A</v>
      </c>
      <c r="Y346" s="10" t="e">
        <f>VLOOKUP(AJ338,'FRC Site Data'!$B$3:$L$42,10,FALSE)</f>
        <v>#N/A</v>
      </c>
      <c r="Z346" s="10" t="e">
        <f>VLOOKUP(AJ338,'FRC Site Data'!$B$3:$L$42,11,FALSE)</f>
        <v>#N/A</v>
      </c>
      <c r="AA346" s="10" t="e">
        <f>VLOOKUP(AJ338,'CIR Team Info'!$C$5:$E$44,4,FALSE)</f>
        <v>#N/A</v>
      </c>
      <c r="AB346" s="161" t="b">
        <f>ISNUMBER(VLOOKUP(AJ338,Match!$T$5:$T$10,1,FALSE))</f>
        <v>0</v>
      </c>
      <c r="AC346" s="161" t="b">
        <f>IF(AB346=TRUE,(VLOOKUP($AJ338,Match!$T$5:$U$10,2,FALSE)))</f>
        <v>0</v>
      </c>
      <c r="AD346" s="8">
        <v>3</v>
      </c>
      <c r="AE346" s="8">
        <v>2</v>
      </c>
      <c r="AF346" s="8">
        <v>2</v>
      </c>
      <c r="AG346" s="8">
        <v>1</v>
      </c>
      <c r="AH346" s="8" t="str">
        <f t="shared" si="106"/>
        <v/>
      </c>
      <c r="AI346" s="12"/>
      <c r="AZ346" s="12"/>
      <c r="BC346" s="12"/>
      <c r="BK346" s="12"/>
    </row>
    <row r="347" spans="1:63" x14ac:dyDescent="0.25">
      <c r="A347" s="29">
        <f t="shared" si="97"/>
        <v>0</v>
      </c>
      <c r="B347" s="29">
        <f t="shared" si="107"/>
        <v>0</v>
      </c>
      <c r="C347" s="29">
        <f t="shared" si="108"/>
        <v>0</v>
      </c>
      <c r="D347" s="29">
        <f t="shared" si="109"/>
        <v>0</v>
      </c>
      <c r="E347" s="29">
        <f t="shared" si="98"/>
        <v>0</v>
      </c>
      <c r="F347" s="29">
        <f t="shared" si="99"/>
        <v>0</v>
      </c>
      <c r="G347" s="29" t="str">
        <f t="shared" si="100"/>
        <v>offensive</v>
      </c>
      <c r="H347" s="16">
        <f t="shared" si="104"/>
        <v>0</v>
      </c>
      <c r="I347" s="16">
        <f t="shared" si="105"/>
        <v>0</v>
      </c>
      <c r="J347" s="16">
        <f t="shared" si="110"/>
        <v>0</v>
      </c>
      <c r="K347" s="16">
        <f t="shared" si="101"/>
        <v>0</v>
      </c>
      <c r="L347" s="67">
        <f t="shared" si="102"/>
        <v>0</v>
      </c>
      <c r="M347" s="4">
        <f t="shared" si="111"/>
        <v>0</v>
      </c>
      <c r="N347" s="4">
        <f t="shared" si="96"/>
        <v>0</v>
      </c>
      <c r="O347" s="4">
        <f t="shared" si="103"/>
        <v>0</v>
      </c>
      <c r="P347" s="4" t="e">
        <f>VLOOKUP(AJ339,'CIR Team Info'!$C$5:$E$44,2,FALSE)</f>
        <v>#N/A</v>
      </c>
      <c r="Q347" s="4" t="e">
        <f>VLOOKUP(AJ339,'CIR Team Info'!$C$5:$E$44,3,FALSE)</f>
        <v>#N/A</v>
      </c>
      <c r="R347" s="10" t="e">
        <f>VLOOKUP(AJ339,'FRC Site Data'!$B$3:$L$42,2,FALSE)</f>
        <v>#N/A</v>
      </c>
      <c r="S347" s="10" t="e">
        <f>VLOOKUP(AJ339,'FRC Site Data'!$B$3:$L$42,3,FALSE)</f>
        <v>#N/A</v>
      </c>
      <c r="T347" s="10" t="e">
        <f>VLOOKUP(AJ339,'FRC Site Data'!$B$3:$L$42,4,FALSE)</f>
        <v>#N/A</v>
      </c>
      <c r="U347" s="10" t="e">
        <f>VLOOKUP(AJ339,'FRC Site Data'!$B$3:$L$42,5,FALSE)</f>
        <v>#N/A</v>
      </c>
      <c r="V347" s="10" t="e">
        <f>VLOOKUP(AJ339,'FRC Site Data'!$B$3:$L$42,6,FALSE)</f>
        <v>#N/A</v>
      </c>
      <c r="W347" s="10" t="e">
        <f>VLOOKUP(AJ339,'FRC Site Data'!$B$3:$L$42,8,FALSE)</f>
        <v>#N/A</v>
      </c>
      <c r="X347" s="10" t="e">
        <f>VLOOKUP(AJ339,'FRC Site Data'!$B$3:$L$42,9,FALSE)</f>
        <v>#N/A</v>
      </c>
      <c r="Y347" s="10" t="e">
        <f>VLOOKUP(AJ339,'FRC Site Data'!$B$3:$L$42,10,FALSE)</f>
        <v>#N/A</v>
      </c>
      <c r="Z347" s="10" t="e">
        <f>VLOOKUP(AJ339,'FRC Site Data'!$B$3:$L$42,11,FALSE)</f>
        <v>#N/A</v>
      </c>
      <c r="AA347" s="10" t="e">
        <f>VLOOKUP(AJ339,'CIR Team Info'!$C$5:$E$44,4,FALSE)</f>
        <v>#N/A</v>
      </c>
      <c r="AB347" s="161" t="b">
        <f>ISNUMBER(VLOOKUP(AJ339,Match!$T$5:$T$10,1,FALSE))</f>
        <v>0</v>
      </c>
      <c r="AC347" s="161" t="b">
        <f>IF(AB347=TRUE,(VLOOKUP($AJ339,Match!$T$5:$U$10,2,FALSE)))</f>
        <v>0</v>
      </c>
      <c r="AD347" s="8">
        <v>3</v>
      </c>
      <c r="AE347" s="8">
        <v>2</v>
      </c>
      <c r="AF347" s="8">
        <v>2</v>
      </c>
      <c r="AG347" s="8">
        <v>1</v>
      </c>
      <c r="AH347" s="8" t="str">
        <f t="shared" si="106"/>
        <v/>
      </c>
      <c r="AI347" s="12"/>
      <c r="AZ347" s="12"/>
      <c r="BC347" s="12"/>
      <c r="BK347" s="12"/>
    </row>
    <row r="348" spans="1:63" x14ac:dyDescent="0.25">
      <c r="A348" s="29">
        <f t="shared" si="97"/>
        <v>0</v>
      </c>
      <c r="B348" s="29">
        <f t="shared" si="107"/>
        <v>0</v>
      </c>
      <c r="C348" s="29">
        <f t="shared" si="108"/>
        <v>0</v>
      </c>
      <c r="D348" s="29">
        <f t="shared" si="109"/>
        <v>0</v>
      </c>
      <c r="E348" s="29">
        <f t="shared" si="98"/>
        <v>0</v>
      </c>
      <c r="F348" s="29">
        <f t="shared" si="99"/>
        <v>0</v>
      </c>
      <c r="G348" s="29" t="str">
        <f t="shared" si="100"/>
        <v>offensive</v>
      </c>
      <c r="H348" s="16">
        <f t="shared" si="104"/>
        <v>0</v>
      </c>
      <c r="I348" s="16">
        <f t="shared" si="105"/>
        <v>0</v>
      </c>
      <c r="J348" s="16">
        <f t="shared" si="110"/>
        <v>0</v>
      </c>
      <c r="K348" s="16">
        <f t="shared" si="101"/>
        <v>0</v>
      </c>
      <c r="L348" s="67">
        <f t="shared" si="102"/>
        <v>0</v>
      </c>
      <c r="M348" s="4">
        <f t="shared" si="111"/>
        <v>0</v>
      </c>
      <c r="N348" s="4">
        <f t="shared" ref="N348:N403" si="112">AO340+AV340+BD340</f>
        <v>0</v>
      </c>
      <c r="O348" s="4">
        <f t="shared" si="103"/>
        <v>0</v>
      </c>
      <c r="P348" s="4" t="e">
        <f>VLOOKUP(AJ340,'CIR Team Info'!$C$5:$E$44,2,FALSE)</f>
        <v>#N/A</v>
      </c>
      <c r="Q348" s="4" t="e">
        <f>VLOOKUP(AJ340,'CIR Team Info'!$C$5:$E$44,3,FALSE)</f>
        <v>#N/A</v>
      </c>
      <c r="R348" s="10" t="e">
        <f>VLOOKUP(AJ340,'FRC Site Data'!$B$3:$L$42,2,FALSE)</f>
        <v>#N/A</v>
      </c>
      <c r="S348" s="10" t="e">
        <f>VLOOKUP(AJ340,'FRC Site Data'!$B$3:$L$42,3,FALSE)</f>
        <v>#N/A</v>
      </c>
      <c r="T348" s="10" t="e">
        <f>VLOOKUP(AJ340,'FRC Site Data'!$B$3:$L$42,4,FALSE)</f>
        <v>#N/A</v>
      </c>
      <c r="U348" s="10" t="e">
        <f>VLOOKUP(AJ340,'FRC Site Data'!$B$3:$L$42,5,FALSE)</f>
        <v>#N/A</v>
      </c>
      <c r="V348" s="10" t="e">
        <f>VLOOKUP(AJ340,'FRC Site Data'!$B$3:$L$42,6,FALSE)</f>
        <v>#N/A</v>
      </c>
      <c r="W348" s="10" t="e">
        <f>VLOOKUP(AJ340,'FRC Site Data'!$B$3:$L$42,8,FALSE)</f>
        <v>#N/A</v>
      </c>
      <c r="X348" s="10" t="e">
        <f>VLOOKUP(AJ340,'FRC Site Data'!$B$3:$L$42,9,FALSE)</f>
        <v>#N/A</v>
      </c>
      <c r="Y348" s="10" t="e">
        <f>VLOOKUP(AJ340,'FRC Site Data'!$B$3:$L$42,10,FALSE)</f>
        <v>#N/A</v>
      </c>
      <c r="Z348" s="10" t="e">
        <f>VLOOKUP(AJ340,'FRC Site Data'!$B$3:$L$42,11,FALSE)</f>
        <v>#N/A</v>
      </c>
      <c r="AA348" s="10" t="e">
        <f>VLOOKUP(AJ340,'CIR Team Info'!$C$5:$E$44,4,FALSE)</f>
        <v>#N/A</v>
      </c>
      <c r="AB348" s="161" t="b">
        <f>ISNUMBER(VLOOKUP(AJ340,Match!$T$5:$T$10,1,FALSE))</f>
        <v>0</v>
      </c>
      <c r="AC348" s="161" t="b">
        <f>IF(AB348=TRUE,(VLOOKUP($AJ340,Match!$T$5:$U$10,2,FALSE)))</f>
        <v>0</v>
      </c>
      <c r="AD348" s="8">
        <v>3</v>
      </c>
      <c r="AE348" s="8">
        <v>2</v>
      </c>
      <c r="AF348" s="8">
        <v>2</v>
      </c>
      <c r="AG348" s="8">
        <v>1</v>
      </c>
      <c r="AH348" s="8" t="str">
        <f t="shared" si="106"/>
        <v/>
      </c>
      <c r="AI348" s="12"/>
      <c r="AZ348" s="12"/>
      <c r="BC348" s="12"/>
      <c r="BK348" s="12"/>
    </row>
    <row r="349" spans="1:63" x14ac:dyDescent="0.25">
      <c r="A349" s="29">
        <f t="shared" ref="A349:A404" si="113">SUM(B349:F349)</f>
        <v>0</v>
      </c>
      <c r="B349" s="29">
        <f t="shared" si="107"/>
        <v>0</v>
      </c>
      <c r="C349" s="29">
        <f t="shared" si="108"/>
        <v>0</v>
      </c>
      <c r="D349" s="29">
        <f t="shared" si="109"/>
        <v>0</v>
      </c>
      <c r="E349" s="29">
        <f t="shared" ref="E349:E404" si="114">K349*O349</f>
        <v>0</v>
      </c>
      <c r="F349" s="29">
        <f t="shared" ref="F349:F404" si="115">IF(AN341&gt;0,5)-2*COUNTIF(AQ341,"K")+5*COUNTIF(AS341,"T")+IF(AX341=3,2)+IF(AY341="T",2)</f>
        <v>0</v>
      </c>
      <c r="G349" s="29" t="str">
        <f t="shared" ref="G349:G404" si="116">IF((BB341+BC341)&gt;45,"defensive",IF((BB341+BC341)&gt;15,"both","offensive"))</f>
        <v>offensive</v>
      </c>
      <c r="H349" s="16">
        <f t="shared" si="104"/>
        <v>0</v>
      </c>
      <c r="I349" s="16">
        <f t="shared" si="105"/>
        <v>0</v>
      </c>
      <c r="J349" s="16">
        <f t="shared" si="110"/>
        <v>0</v>
      </c>
      <c r="K349" s="16">
        <f t="shared" ref="K349:K404" si="117">IF((BB341+BC341)=0,0,((AZ341*BB341*0.2)+(BA341*BC341*0.3))/(BB341+BC341))</f>
        <v>0</v>
      </c>
      <c r="L349" s="67">
        <f t="shared" ref="L349:L404" si="118">IF(BF341&gt;BG341,BF341,BG341)</f>
        <v>0</v>
      </c>
      <c r="M349" s="4">
        <f t="shared" si="111"/>
        <v>0</v>
      </c>
      <c r="N349" s="4">
        <f t="shared" si="112"/>
        <v>0</v>
      </c>
      <c r="O349" s="4">
        <f t="shared" ref="O349:O404" si="119">(AZ341*0.2*BB341*30/30)+(BA341*0.3*BC341*12/30)-BI341-BJ341</f>
        <v>0</v>
      </c>
      <c r="P349" s="4" t="e">
        <f>VLOOKUP(AJ341,'CIR Team Info'!$C$5:$E$44,2,FALSE)</f>
        <v>#N/A</v>
      </c>
      <c r="Q349" s="4" t="e">
        <f>VLOOKUP(AJ341,'CIR Team Info'!$C$5:$E$44,3,FALSE)</f>
        <v>#N/A</v>
      </c>
      <c r="R349" s="10" t="e">
        <f>VLOOKUP(AJ341,'FRC Site Data'!$B$3:$L$42,2,FALSE)</f>
        <v>#N/A</v>
      </c>
      <c r="S349" s="10" t="e">
        <f>VLOOKUP(AJ341,'FRC Site Data'!$B$3:$L$42,3,FALSE)</f>
        <v>#N/A</v>
      </c>
      <c r="T349" s="10" t="e">
        <f>VLOOKUP(AJ341,'FRC Site Data'!$B$3:$L$42,4,FALSE)</f>
        <v>#N/A</v>
      </c>
      <c r="U349" s="10" t="e">
        <f>VLOOKUP(AJ341,'FRC Site Data'!$B$3:$L$42,5,FALSE)</f>
        <v>#N/A</v>
      </c>
      <c r="V349" s="10" t="e">
        <f>VLOOKUP(AJ341,'FRC Site Data'!$B$3:$L$42,6,FALSE)</f>
        <v>#N/A</v>
      </c>
      <c r="W349" s="10" t="e">
        <f>VLOOKUP(AJ341,'FRC Site Data'!$B$3:$L$42,8,FALSE)</f>
        <v>#N/A</v>
      </c>
      <c r="X349" s="10" t="e">
        <f>VLOOKUP(AJ341,'FRC Site Data'!$B$3:$L$42,9,FALSE)</f>
        <v>#N/A</v>
      </c>
      <c r="Y349" s="10" t="e">
        <f>VLOOKUP(AJ341,'FRC Site Data'!$B$3:$L$42,10,FALSE)</f>
        <v>#N/A</v>
      </c>
      <c r="Z349" s="10" t="e">
        <f>VLOOKUP(AJ341,'FRC Site Data'!$B$3:$L$42,11,FALSE)</f>
        <v>#N/A</v>
      </c>
      <c r="AA349" s="10" t="e">
        <f>VLOOKUP(AJ341,'CIR Team Info'!$C$5:$E$44,4,FALSE)</f>
        <v>#N/A</v>
      </c>
      <c r="AB349" s="161" t="b">
        <f>ISNUMBER(VLOOKUP(AJ341,Match!$T$5:$T$10,1,FALSE))</f>
        <v>0</v>
      </c>
      <c r="AC349" s="161" t="b">
        <f>IF(AB349=TRUE,(VLOOKUP($AJ341,Match!$T$5:$U$10,2,FALSE)))</f>
        <v>0</v>
      </c>
      <c r="AD349" s="8">
        <v>3</v>
      </c>
      <c r="AE349" s="8">
        <v>2</v>
      </c>
      <c r="AF349" s="8">
        <v>2</v>
      </c>
      <c r="AG349" s="8">
        <v>1</v>
      </c>
      <c r="AH349" s="8" t="str">
        <f t="shared" si="106"/>
        <v/>
      </c>
      <c r="AI349" s="12"/>
      <c r="AZ349" s="12"/>
      <c r="BC349" s="12"/>
      <c r="BK349" s="12"/>
    </row>
    <row r="350" spans="1:63" x14ac:dyDescent="0.25">
      <c r="A350" s="29">
        <f t="shared" si="113"/>
        <v>0</v>
      </c>
      <c r="B350" s="29">
        <f t="shared" si="107"/>
        <v>0</v>
      </c>
      <c r="C350" s="29">
        <f t="shared" si="108"/>
        <v>0</v>
      </c>
      <c r="D350" s="29">
        <f t="shared" si="109"/>
        <v>0</v>
      </c>
      <c r="E350" s="29">
        <f t="shared" si="114"/>
        <v>0</v>
      </c>
      <c r="F350" s="29">
        <f t="shared" si="115"/>
        <v>0</v>
      </c>
      <c r="G350" s="29" t="str">
        <f t="shared" si="116"/>
        <v>offensive</v>
      </c>
      <c r="H350" s="16">
        <f t="shared" si="104"/>
        <v>0</v>
      </c>
      <c r="I350" s="16">
        <f t="shared" si="105"/>
        <v>0</v>
      </c>
      <c r="J350" s="16">
        <f t="shared" si="110"/>
        <v>0</v>
      </c>
      <c r="K350" s="16">
        <f t="shared" si="117"/>
        <v>0</v>
      </c>
      <c r="L350" s="67">
        <f t="shared" si="118"/>
        <v>0</v>
      </c>
      <c r="M350" s="4">
        <f t="shared" si="111"/>
        <v>0</v>
      </c>
      <c r="N350" s="4">
        <f t="shared" si="112"/>
        <v>0</v>
      </c>
      <c r="O350" s="4">
        <f t="shared" si="119"/>
        <v>0</v>
      </c>
      <c r="P350" s="4" t="e">
        <f>VLOOKUP(AJ342,'CIR Team Info'!$C$5:$E$44,2,FALSE)</f>
        <v>#N/A</v>
      </c>
      <c r="Q350" s="4" t="e">
        <f>VLOOKUP(AJ342,'CIR Team Info'!$C$5:$E$44,3,FALSE)</f>
        <v>#N/A</v>
      </c>
      <c r="R350" s="10" t="e">
        <f>VLOOKUP(AJ342,'FRC Site Data'!$B$3:$L$42,2,FALSE)</f>
        <v>#N/A</v>
      </c>
      <c r="S350" s="10" t="e">
        <f>VLOOKUP(AJ342,'FRC Site Data'!$B$3:$L$42,3,FALSE)</f>
        <v>#N/A</v>
      </c>
      <c r="T350" s="10" t="e">
        <f>VLOOKUP(AJ342,'FRC Site Data'!$B$3:$L$42,4,FALSE)</f>
        <v>#N/A</v>
      </c>
      <c r="U350" s="10" t="e">
        <f>VLOOKUP(AJ342,'FRC Site Data'!$B$3:$L$42,5,FALSE)</f>
        <v>#N/A</v>
      </c>
      <c r="V350" s="10" t="e">
        <f>VLOOKUP(AJ342,'FRC Site Data'!$B$3:$L$42,6,FALSE)</f>
        <v>#N/A</v>
      </c>
      <c r="W350" s="10" t="e">
        <f>VLOOKUP(AJ342,'FRC Site Data'!$B$3:$L$42,8,FALSE)</f>
        <v>#N/A</v>
      </c>
      <c r="X350" s="10" t="e">
        <f>VLOOKUP(AJ342,'FRC Site Data'!$B$3:$L$42,9,FALSE)</f>
        <v>#N/A</v>
      </c>
      <c r="Y350" s="10" t="e">
        <f>VLOOKUP(AJ342,'FRC Site Data'!$B$3:$L$42,10,FALSE)</f>
        <v>#N/A</v>
      </c>
      <c r="Z350" s="10" t="e">
        <f>VLOOKUP(AJ342,'FRC Site Data'!$B$3:$L$42,11,FALSE)</f>
        <v>#N/A</v>
      </c>
      <c r="AA350" s="10" t="e">
        <f>VLOOKUP(AJ342,'CIR Team Info'!$C$5:$E$44,4,FALSE)</f>
        <v>#N/A</v>
      </c>
      <c r="AB350" s="161" t="b">
        <f>ISNUMBER(VLOOKUP(AJ342,Match!$T$5:$T$10,1,FALSE))</f>
        <v>0</v>
      </c>
      <c r="AC350" s="161" t="b">
        <f>IF(AB350=TRUE,(VLOOKUP($AJ342,Match!$T$5:$U$10,2,FALSE)))</f>
        <v>0</v>
      </c>
      <c r="AD350" s="8">
        <v>3</v>
      </c>
      <c r="AE350" s="8">
        <v>2</v>
      </c>
      <c r="AF350" s="8">
        <v>2</v>
      </c>
      <c r="AG350" s="8">
        <v>1</v>
      </c>
      <c r="AH350" s="8" t="str">
        <f t="shared" si="106"/>
        <v/>
      </c>
      <c r="AI350" s="12"/>
      <c r="AZ350" s="12"/>
      <c r="BC350" s="12"/>
      <c r="BK350" s="12"/>
    </row>
    <row r="351" spans="1:63" x14ac:dyDescent="0.25">
      <c r="A351" s="29">
        <f t="shared" si="113"/>
        <v>0</v>
      </c>
      <c r="B351" s="29">
        <f t="shared" si="107"/>
        <v>0</v>
      </c>
      <c r="C351" s="29">
        <f t="shared" si="108"/>
        <v>0</v>
      </c>
      <c r="D351" s="29">
        <f t="shared" si="109"/>
        <v>0</v>
      </c>
      <c r="E351" s="29">
        <f t="shared" si="114"/>
        <v>0</v>
      </c>
      <c r="F351" s="29">
        <f t="shared" si="115"/>
        <v>0</v>
      </c>
      <c r="G351" s="29" t="str">
        <f t="shared" si="116"/>
        <v>offensive</v>
      </c>
      <c r="H351" s="16">
        <f t="shared" si="104"/>
        <v>0</v>
      </c>
      <c r="I351" s="16">
        <f t="shared" si="105"/>
        <v>0</v>
      </c>
      <c r="J351" s="16">
        <f t="shared" si="110"/>
        <v>0</v>
      </c>
      <c r="K351" s="16">
        <f t="shared" si="117"/>
        <v>0</v>
      </c>
      <c r="L351" s="67">
        <f t="shared" si="118"/>
        <v>0</v>
      </c>
      <c r="M351" s="4">
        <f t="shared" si="111"/>
        <v>0</v>
      </c>
      <c r="N351" s="4">
        <f t="shared" si="112"/>
        <v>0</v>
      </c>
      <c r="O351" s="4">
        <f t="shared" si="119"/>
        <v>0</v>
      </c>
      <c r="P351" s="4" t="e">
        <f>VLOOKUP(AJ343,'CIR Team Info'!$C$5:$E$44,2,FALSE)</f>
        <v>#N/A</v>
      </c>
      <c r="Q351" s="4" t="e">
        <f>VLOOKUP(AJ343,'CIR Team Info'!$C$5:$E$44,3,FALSE)</f>
        <v>#N/A</v>
      </c>
      <c r="R351" s="10" t="e">
        <f>VLOOKUP(AJ343,'FRC Site Data'!$B$3:$L$42,2,FALSE)</f>
        <v>#N/A</v>
      </c>
      <c r="S351" s="10" t="e">
        <f>VLOOKUP(AJ343,'FRC Site Data'!$B$3:$L$42,3,FALSE)</f>
        <v>#N/A</v>
      </c>
      <c r="T351" s="10" t="e">
        <f>VLOOKUP(AJ343,'FRC Site Data'!$B$3:$L$42,4,FALSE)</f>
        <v>#N/A</v>
      </c>
      <c r="U351" s="10" t="e">
        <f>VLOOKUP(AJ343,'FRC Site Data'!$B$3:$L$42,5,FALSE)</f>
        <v>#N/A</v>
      </c>
      <c r="V351" s="10" t="e">
        <f>VLOOKUP(AJ343,'FRC Site Data'!$B$3:$L$42,6,FALSE)</f>
        <v>#N/A</v>
      </c>
      <c r="W351" s="10" t="e">
        <f>VLOOKUP(AJ343,'FRC Site Data'!$B$3:$L$42,8,FALSE)</f>
        <v>#N/A</v>
      </c>
      <c r="X351" s="10" t="e">
        <f>VLOOKUP(AJ343,'FRC Site Data'!$B$3:$L$42,9,FALSE)</f>
        <v>#N/A</v>
      </c>
      <c r="Y351" s="10" t="e">
        <f>VLOOKUP(AJ343,'FRC Site Data'!$B$3:$L$42,10,FALSE)</f>
        <v>#N/A</v>
      </c>
      <c r="Z351" s="10" t="e">
        <f>VLOOKUP(AJ343,'FRC Site Data'!$B$3:$L$42,11,FALSE)</f>
        <v>#N/A</v>
      </c>
      <c r="AA351" s="10" t="e">
        <f>VLOOKUP(AJ343,'CIR Team Info'!$C$5:$E$44,4,FALSE)</f>
        <v>#N/A</v>
      </c>
      <c r="AB351" s="161" t="b">
        <f>ISNUMBER(VLOOKUP(AJ343,Match!$T$5:$T$10,1,FALSE))</f>
        <v>0</v>
      </c>
      <c r="AC351" s="161" t="b">
        <f>IF(AB351=TRUE,(VLOOKUP($AJ343,Match!$T$5:$U$10,2,FALSE)))</f>
        <v>0</v>
      </c>
      <c r="AD351" s="8">
        <v>3</v>
      </c>
      <c r="AE351" s="8">
        <v>2</v>
      </c>
      <c r="AF351" s="8">
        <v>2</v>
      </c>
      <c r="AG351" s="8">
        <v>1</v>
      </c>
      <c r="AH351" s="8" t="str">
        <f t="shared" si="106"/>
        <v/>
      </c>
      <c r="AI351" s="12"/>
      <c r="AZ351" s="12"/>
      <c r="BC351" s="12"/>
      <c r="BK351" s="12"/>
    </row>
    <row r="352" spans="1:63" x14ac:dyDescent="0.25">
      <c r="A352" s="29">
        <f t="shared" si="113"/>
        <v>0</v>
      </c>
      <c r="B352" s="29">
        <f t="shared" si="107"/>
        <v>0</v>
      </c>
      <c r="C352" s="29">
        <f t="shared" si="108"/>
        <v>0</v>
      </c>
      <c r="D352" s="29">
        <f t="shared" si="109"/>
        <v>0</v>
      </c>
      <c r="E352" s="29">
        <f t="shared" si="114"/>
        <v>0</v>
      </c>
      <c r="F352" s="29">
        <f t="shared" si="115"/>
        <v>0</v>
      </c>
      <c r="G352" s="29" t="str">
        <f t="shared" si="116"/>
        <v>offensive</v>
      </c>
      <c r="H352" s="16">
        <f t="shared" si="104"/>
        <v>0</v>
      </c>
      <c r="I352" s="16">
        <f t="shared" si="105"/>
        <v>0</v>
      </c>
      <c r="J352" s="16">
        <f t="shared" si="110"/>
        <v>0</v>
      </c>
      <c r="K352" s="16">
        <f t="shared" si="117"/>
        <v>0</v>
      </c>
      <c r="L352" s="67">
        <f t="shared" si="118"/>
        <v>0</v>
      </c>
      <c r="M352" s="4">
        <f t="shared" si="111"/>
        <v>0</v>
      </c>
      <c r="N352" s="4">
        <f t="shared" si="112"/>
        <v>0</v>
      </c>
      <c r="O352" s="4">
        <f t="shared" si="119"/>
        <v>0</v>
      </c>
      <c r="P352" s="4" t="e">
        <f>VLOOKUP(AJ344,'CIR Team Info'!$C$5:$E$44,2,FALSE)</f>
        <v>#N/A</v>
      </c>
      <c r="Q352" s="4" t="e">
        <f>VLOOKUP(AJ344,'CIR Team Info'!$C$5:$E$44,3,FALSE)</f>
        <v>#N/A</v>
      </c>
      <c r="R352" s="10" t="e">
        <f>VLOOKUP(AJ344,'FRC Site Data'!$B$3:$L$42,2,FALSE)</f>
        <v>#N/A</v>
      </c>
      <c r="S352" s="10" t="e">
        <f>VLOOKUP(AJ344,'FRC Site Data'!$B$3:$L$42,3,FALSE)</f>
        <v>#N/A</v>
      </c>
      <c r="T352" s="10" t="e">
        <f>VLOOKUP(AJ344,'FRC Site Data'!$B$3:$L$42,4,FALSE)</f>
        <v>#N/A</v>
      </c>
      <c r="U352" s="10" t="e">
        <f>VLOOKUP(AJ344,'FRC Site Data'!$B$3:$L$42,5,FALSE)</f>
        <v>#N/A</v>
      </c>
      <c r="V352" s="10" t="e">
        <f>VLOOKUP(AJ344,'FRC Site Data'!$B$3:$L$42,6,FALSE)</f>
        <v>#N/A</v>
      </c>
      <c r="W352" s="10" t="e">
        <f>VLOOKUP(AJ344,'FRC Site Data'!$B$3:$L$42,8,FALSE)</f>
        <v>#N/A</v>
      </c>
      <c r="X352" s="10" t="e">
        <f>VLOOKUP(AJ344,'FRC Site Data'!$B$3:$L$42,9,FALSE)</f>
        <v>#N/A</v>
      </c>
      <c r="Y352" s="10" t="e">
        <f>VLOOKUP(AJ344,'FRC Site Data'!$B$3:$L$42,10,FALSE)</f>
        <v>#N/A</v>
      </c>
      <c r="Z352" s="10" t="e">
        <f>VLOOKUP(AJ344,'FRC Site Data'!$B$3:$L$42,11,FALSE)</f>
        <v>#N/A</v>
      </c>
      <c r="AA352" s="10" t="e">
        <f>VLOOKUP(AJ344,'CIR Team Info'!$C$5:$E$44,4,FALSE)</f>
        <v>#N/A</v>
      </c>
      <c r="AB352" s="161" t="b">
        <f>ISNUMBER(VLOOKUP(AJ344,Match!$T$5:$T$10,1,FALSE))</f>
        <v>0</v>
      </c>
      <c r="AC352" s="161" t="b">
        <f>IF(AB352=TRUE,(VLOOKUP($AJ344,Match!$T$5:$U$10,2,FALSE)))</f>
        <v>0</v>
      </c>
      <c r="AD352" s="8">
        <v>3</v>
      </c>
      <c r="AE352" s="8">
        <v>2</v>
      </c>
      <c r="AF352" s="8">
        <v>2</v>
      </c>
      <c r="AG352" s="8">
        <v>1</v>
      </c>
      <c r="AH352" s="8" t="str">
        <f t="shared" si="106"/>
        <v/>
      </c>
      <c r="AI352" s="12"/>
      <c r="AZ352" s="12"/>
      <c r="BC352" s="12"/>
      <c r="BK352" s="12"/>
    </row>
    <row r="353" spans="1:63" x14ac:dyDescent="0.25">
      <c r="A353" s="29">
        <f t="shared" si="113"/>
        <v>0</v>
      </c>
      <c r="B353" s="29">
        <f t="shared" si="107"/>
        <v>0</v>
      </c>
      <c r="C353" s="29">
        <f t="shared" si="108"/>
        <v>0</v>
      </c>
      <c r="D353" s="29">
        <f t="shared" si="109"/>
        <v>0</v>
      </c>
      <c r="E353" s="29">
        <f t="shared" si="114"/>
        <v>0</v>
      </c>
      <c r="F353" s="29">
        <f t="shared" si="115"/>
        <v>0</v>
      </c>
      <c r="G353" s="29" t="str">
        <f t="shared" si="116"/>
        <v>offensive</v>
      </c>
      <c r="H353" s="16">
        <f t="shared" si="104"/>
        <v>0</v>
      </c>
      <c r="I353" s="16">
        <f t="shared" si="105"/>
        <v>0</v>
      </c>
      <c r="J353" s="16">
        <f t="shared" si="110"/>
        <v>0</v>
      </c>
      <c r="K353" s="16">
        <f t="shared" si="117"/>
        <v>0</v>
      </c>
      <c r="L353" s="67">
        <f t="shared" si="118"/>
        <v>0</v>
      </c>
      <c r="M353" s="4">
        <f t="shared" si="111"/>
        <v>0</v>
      </c>
      <c r="N353" s="4">
        <f t="shared" si="112"/>
        <v>0</v>
      </c>
      <c r="O353" s="4">
        <f t="shared" si="119"/>
        <v>0</v>
      </c>
      <c r="P353" s="4" t="e">
        <f>VLOOKUP(AJ345,'CIR Team Info'!$C$5:$E$44,2,FALSE)</f>
        <v>#N/A</v>
      </c>
      <c r="Q353" s="4" t="e">
        <f>VLOOKUP(AJ345,'CIR Team Info'!$C$5:$E$44,3,FALSE)</f>
        <v>#N/A</v>
      </c>
      <c r="R353" s="10" t="e">
        <f>VLOOKUP(AJ345,'FRC Site Data'!$B$3:$L$42,2,FALSE)</f>
        <v>#N/A</v>
      </c>
      <c r="S353" s="10" t="e">
        <f>VLOOKUP(AJ345,'FRC Site Data'!$B$3:$L$42,3,FALSE)</f>
        <v>#N/A</v>
      </c>
      <c r="T353" s="10" t="e">
        <f>VLOOKUP(AJ345,'FRC Site Data'!$B$3:$L$42,4,FALSE)</f>
        <v>#N/A</v>
      </c>
      <c r="U353" s="10" t="e">
        <f>VLOOKUP(AJ345,'FRC Site Data'!$B$3:$L$42,5,FALSE)</f>
        <v>#N/A</v>
      </c>
      <c r="V353" s="10" t="e">
        <f>VLOOKUP(AJ345,'FRC Site Data'!$B$3:$L$42,6,FALSE)</f>
        <v>#N/A</v>
      </c>
      <c r="W353" s="10" t="e">
        <f>VLOOKUP(AJ345,'FRC Site Data'!$B$3:$L$42,8,FALSE)</f>
        <v>#N/A</v>
      </c>
      <c r="X353" s="10" t="e">
        <f>VLOOKUP(AJ345,'FRC Site Data'!$B$3:$L$42,9,FALSE)</f>
        <v>#N/A</v>
      </c>
      <c r="Y353" s="10" t="e">
        <f>VLOOKUP(AJ345,'FRC Site Data'!$B$3:$L$42,10,FALSE)</f>
        <v>#N/A</v>
      </c>
      <c r="Z353" s="10" t="e">
        <f>VLOOKUP(AJ345,'FRC Site Data'!$B$3:$L$42,11,FALSE)</f>
        <v>#N/A</v>
      </c>
      <c r="AA353" s="10" t="e">
        <f>VLOOKUP(AJ345,'CIR Team Info'!$C$5:$E$44,4,FALSE)</f>
        <v>#N/A</v>
      </c>
      <c r="AB353" s="161" t="b">
        <f>ISNUMBER(VLOOKUP(AJ345,Match!$T$5:$T$10,1,FALSE))</f>
        <v>0</v>
      </c>
      <c r="AC353" s="161" t="b">
        <f>IF(AB353=TRUE,(VLOOKUP($AJ345,Match!$T$5:$U$10,2,FALSE)))</f>
        <v>0</v>
      </c>
      <c r="AD353" s="8">
        <v>3</v>
      </c>
      <c r="AE353" s="8">
        <v>2</v>
      </c>
      <c r="AF353" s="8">
        <v>2</v>
      </c>
      <c r="AG353" s="8">
        <v>1</v>
      </c>
      <c r="AH353" s="8" t="str">
        <f t="shared" si="106"/>
        <v/>
      </c>
      <c r="AI353" s="12"/>
      <c r="AZ353" s="12"/>
      <c r="BC353" s="12"/>
      <c r="BK353" s="12"/>
    </row>
    <row r="354" spans="1:63" x14ac:dyDescent="0.25">
      <c r="A354" s="29">
        <f t="shared" si="113"/>
        <v>0</v>
      </c>
      <c r="B354" s="29">
        <f t="shared" si="107"/>
        <v>0</v>
      </c>
      <c r="C354" s="29">
        <f t="shared" si="108"/>
        <v>0</v>
      </c>
      <c r="D354" s="29">
        <f t="shared" si="109"/>
        <v>0</v>
      </c>
      <c r="E354" s="29">
        <f t="shared" si="114"/>
        <v>0</v>
      </c>
      <c r="F354" s="29">
        <f t="shared" si="115"/>
        <v>0</v>
      </c>
      <c r="G354" s="29" t="str">
        <f t="shared" si="116"/>
        <v>offensive</v>
      </c>
      <c r="H354" s="16">
        <f t="shared" si="104"/>
        <v>0</v>
      </c>
      <c r="I354" s="16">
        <f t="shared" si="105"/>
        <v>0</v>
      </c>
      <c r="J354" s="16">
        <f t="shared" si="110"/>
        <v>0</v>
      </c>
      <c r="K354" s="16">
        <f t="shared" si="117"/>
        <v>0</v>
      </c>
      <c r="L354" s="67">
        <f t="shared" si="118"/>
        <v>0</v>
      </c>
      <c r="M354" s="4">
        <f t="shared" si="111"/>
        <v>0</v>
      </c>
      <c r="N354" s="4">
        <f t="shared" si="112"/>
        <v>0</v>
      </c>
      <c r="O354" s="4">
        <f t="shared" si="119"/>
        <v>0</v>
      </c>
      <c r="P354" s="4" t="e">
        <f>VLOOKUP(AJ346,'CIR Team Info'!$C$5:$E$44,2,FALSE)</f>
        <v>#N/A</v>
      </c>
      <c r="Q354" s="4" t="e">
        <f>VLOOKUP(AJ346,'CIR Team Info'!$C$5:$E$44,3,FALSE)</f>
        <v>#N/A</v>
      </c>
      <c r="R354" s="10" t="e">
        <f>VLOOKUP(AJ346,'FRC Site Data'!$B$3:$L$42,2,FALSE)</f>
        <v>#N/A</v>
      </c>
      <c r="S354" s="10" t="e">
        <f>VLOOKUP(AJ346,'FRC Site Data'!$B$3:$L$42,3,FALSE)</f>
        <v>#N/A</v>
      </c>
      <c r="T354" s="10" t="e">
        <f>VLOOKUP(AJ346,'FRC Site Data'!$B$3:$L$42,4,FALSE)</f>
        <v>#N/A</v>
      </c>
      <c r="U354" s="10" t="e">
        <f>VLOOKUP(AJ346,'FRC Site Data'!$B$3:$L$42,5,FALSE)</f>
        <v>#N/A</v>
      </c>
      <c r="V354" s="10" t="e">
        <f>VLOOKUP(AJ346,'FRC Site Data'!$B$3:$L$42,6,FALSE)</f>
        <v>#N/A</v>
      </c>
      <c r="W354" s="10" t="e">
        <f>VLOOKUP(AJ346,'FRC Site Data'!$B$3:$L$42,8,FALSE)</f>
        <v>#N/A</v>
      </c>
      <c r="X354" s="10" t="e">
        <f>VLOOKUP(AJ346,'FRC Site Data'!$B$3:$L$42,9,FALSE)</f>
        <v>#N/A</v>
      </c>
      <c r="Y354" s="10" t="e">
        <f>VLOOKUP(AJ346,'FRC Site Data'!$B$3:$L$42,10,FALSE)</f>
        <v>#N/A</v>
      </c>
      <c r="Z354" s="10" t="e">
        <f>VLOOKUP(AJ346,'FRC Site Data'!$B$3:$L$42,11,FALSE)</f>
        <v>#N/A</v>
      </c>
      <c r="AA354" s="10" t="e">
        <f>VLOOKUP(AJ346,'CIR Team Info'!$C$5:$E$44,4,FALSE)</f>
        <v>#N/A</v>
      </c>
      <c r="AB354" s="161" t="b">
        <f>ISNUMBER(VLOOKUP(AJ346,Match!$T$5:$T$10,1,FALSE))</f>
        <v>0</v>
      </c>
      <c r="AC354" s="161" t="b">
        <f>IF(AB354=TRUE,(VLOOKUP($AJ346,Match!$T$5:$U$10,2,FALSE)))</f>
        <v>0</v>
      </c>
      <c r="AD354" s="8">
        <v>3</v>
      </c>
      <c r="AE354" s="8">
        <v>2</v>
      </c>
      <c r="AF354" s="8">
        <v>2</v>
      </c>
      <c r="AG354" s="8">
        <v>1</v>
      </c>
      <c r="AH354" s="8" t="str">
        <f t="shared" si="106"/>
        <v/>
      </c>
      <c r="AI354" s="12"/>
      <c r="AZ354" s="12"/>
      <c r="BC354" s="12"/>
      <c r="BK354" s="12"/>
    </row>
    <row r="355" spans="1:63" x14ac:dyDescent="0.25">
      <c r="A355" s="29">
        <f t="shared" si="113"/>
        <v>0</v>
      </c>
      <c r="B355" s="29">
        <f t="shared" si="107"/>
        <v>0</v>
      </c>
      <c r="C355" s="29">
        <f t="shared" si="108"/>
        <v>0</v>
      </c>
      <c r="D355" s="29">
        <f t="shared" si="109"/>
        <v>0</v>
      </c>
      <c r="E355" s="29">
        <f t="shared" si="114"/>
        <v>0</v>
      </c>
      <c r="F355" s="29">
        <f t="shared" si="115"/>
        <v>0</v>
      </c>
      <c r="G355" s="29" t="str">
        <f t="shared" si="116"/>
        <v>offensive</v>
      </c>
      <c r="H355" s="16">
        <f t="shared" si="104"/>
        <v>0</v>
      </c>
      <c r="I355" s="16">
        <f t="shared" si="105"/>
        <v>0</v>
      </c>
      <c r="J355" s="16">
        <f t="shared" si="110"/>
        <v>0</v>
      </c>
      <c r="K355" s="16">
        <f t="shared" si="117"/>
        <v>0</v>
      </c>
      <c r="L355" s="67">
        <f t="shared" si="118"/>
        <v>0</v>
      </c>
      <c r="M355" s="4">
        <f t="shared" si="111"/>
        <v>0</v>
      </c>
      <c r="N355" s="4">
        <f t="shared" si="112"/>
        <v>0</v>
      </c>
      <c r="O355" s="4">
        <f t="shared" si="119"/>
        <v>0</v>
      </c>
      <c r="P355" s="4" t="e">
        <f>VLOOKUP(AJ347,'CIR Team Info'!$C$5:$E$44,2,FALSE)</f>
        <v>#N/A</v>
      </c>
      <c r="Q355" s="4" t="e">
        <f>VLOOKUP(AJ347,'CIR Team Info'!$C$5:$E$44,3,FALSE)</f>
        <v>#N/A</v>
      </c>
      <c r="R355" s="10" t="e">
        <f>VLOOKUP(AJ347,'FRC Site Data'!$B$3:$L$42,2,FALSE)</f>
        <v>#N/A</v>
      </c>
      <c r="S355" s="10" t="e">
        <f>VLOOKUP(AJ347,'FRC Site Data'!$B$3:$L$42,3,FALSE)</f>
        <v>#N/A</v>
      </c>
      <c r="T355" s="10" t="e">
        <f>VLOOKUP(AJ347,'FRC Site Data'!$B$3:$L$42,4,FALSE)</f>
        <v>#N/A</v>
      </c>
      <c r="U355" s="10" t="e">
        <f>VLOOKUP(AJ347,'FRC Site Data'!$B$3:$L$42,5,FALSE)</f>
        <v>#N/A</v>
      </c>
      <c r="V355" s="10" t="e">
        <f>VLOOKUP(AJ347,'FRC Site Data'!$B$3:$L$42,6,FALSE)</f>
        <v>#N/A</v>
      </c>
      <c r="W355" s="10" t="e">
        <f>VLOOKUP(AJ347,'FRC Site Data'!$B$3:$L$42,8,FALSE)</f>
        <v>#N/A</v>
      </c>
      <c r="X355" s="10" t="e">
        <f>VLOOKUP(AJ347,'FRC Site Data'!$B$3:$L$42,9,FALSE)</f>
        <v>#N/A</v>
      </c>
      <c r="Y355" s="10" t="e">
        <f>VLOOKUP(AJ347,'FRC Site Data'!$B$3:$L$42,10,FALSE)</f>
        <v>#N/A</v>
      </c>
      <c r="Z355" s="10" t="e">
        <f>VLOOKUP(AJ347,'FRC Site Data'!$B$3:$L$42,11,FALSE)</f>
        <v>#N/A</v>
      </c>
      <c r="AA355" s="10" t="e">
        <f>VLOOKUP(AJ347,'CIR Team Info'!$C$5:$E$44,4,FALSE)</f>
        <v>#N/A</v>
      </c>
      <c r="AB355" s="161" t="b">
        <f>ISNUMBER(VLOOKUP(AJ347,Match!$T$5:$T$10,1,FALSE))</f>
        <v>0</v>
      </c>
      <c r="AC355" s="161" t="b">
        <f>IF(AB355=TRUE,(VLOOKUP($AJ347,Match!$T$5:$U$10,2,FALSE)))</f>
        <v>0</v>
      </c>
      <c r="AD355" s="8">
        <v>3</v>
      </c>
      <c r="AE355" s="8">
        <v>2</v>
      </c>
      <c r="AF355" s="8">
        <v>2</v>
      </c>
      <c r="AG355" s="8">
        <v>1</v>
      </c>
      <c r="AH355" s="8" t="str">
        <f t="shared" si="106"/>
        <v/>
      </c>
      <c r="AI355" s="12"/>
      <c r="AZ355" s="12"/>
      <c r="BC355" s="12"/>
      <c r="BK355" s="12"/>
    </row>
    <row r="356" spans="1:63" x14ac:dyDescent="0.25">
      <c r="A356" s="29">
        <f t="shared" si="113"/>
        <v>0</v>
      </c>
      <c r="B356" s="29">
        <f t="shared" si="107"/>
        <v>0</v>
      </c>
      <c r="C356" s="29">
        <f t="shared" si="108"/>
        <v>0</v>
      </c>
      <c r="D356" s="29">
        <f t="shared" si="109"/>
        <v>0</v>
      </c>
      <c r="E356" s="29">
        <f t="shared" si="114"/>
        <v>0</v>
      </c>
      <c r="F356" s="29">
        <f t="shared" si="115"/>
        <v>0</v>
      </c>
      <c r="G356" s="29" t="str">
        <f t="shared" si="116"/>
        <v>offensive</v>
      </c>
      <c r="H356" s="16">
        <f t="shared" ref="H356:H410" si="120">IF((AO348+AP348)=0,0,AO348/(AO348+AP348))</f>
        <v>0</v>
      </c>
      <c r="I356" s="16">
        <f t="shared" ref="I356:I410" si="121">IF((AV348+AW348)=0,0,AV348/(AV348+AW348))</f>
        <v>0</v>
      </c>
      <c r="J356" s="16">
        <f t="shared" si="110"/>
        <v>0</v>
      </c>
      <c r="K356" s="16">
        <f t="shared" si="117"/>
        <v>0</v>
      </c>
      <c r="L356" s="67">
        <f t="shared" si="118"/>
        <v>0</v>
      </c>
      <c r="M356" s="4">
        <f t="shared" si="111"/>
        <v>0</v>
      </c>
      <c r="N356" s="4">
        <f t="shared" si="112"/>
        <v>0</v>
      </c>
      <c r="O356" s="4">
        <f t="shared" si="119"/>
        <v>0</v>
      </c>
      <c r="P356" s="4" t="e">
        <f>VLOOKUP(AJ348,'CIR Team Info'!$C$5:$E$44,2,FALSE)</f>
        <v>#N/A</v>
      </c>
      <c r="Q356" s="4" t="e">
        <f>VLOOKUP(AJ348,'CIR Team Info'!$C$5:$E$44,3,FALSE)</f>
        <v>#N/A</v>
      </c>
      <c r="R356" s="10" t="e">
        <f>VLOOKUP(AJ348,'FRC Site Data'!$B$3:$L$42,2,FALSE)</f>
        <v>#N/A</v>
      </c>
      <c r="S356" s="10" t="e">
        <f>VLOOKUP(AJ348,'FRC Site Data'!$B$3:$L$42,3,FALSE)</f>
        <v>#N/A</v>
      </c>
      <c r="T356" s="10" t="e">
        <f>VLOOKUP(AJ348,'FRC Site Data'!$B$3:$L$42,4,FALSE)</f>
        <v>#N/A</v>
      </c>
      <c r="U356" s="10" t="e">
        <f>VLOOKUP(AJ348,'FRC Site Data'!$B$3:$L$42,5,FALSE)</f>
        <v>#N/A</v>
      </c>
      <c r="V356" s="10" t="e">
        <f>VLOOKUP(AJ348,'FRC Site Data'!$B$3:$L$42,6,FALSE)</f>
        <v>#N/A</v>
      </c>
      <c r="W356" s="10" t="e">
        <f>VLOOKUP(AJ348,'FRC Site Data'!$B$3:$L$42,8,FALSE)</f>
        <v>#N/A</v>
      </c>
      <c r="X356" s="10" t="e">
        <f>VLOOKUP(AJ348,'FRC Site Data'!$B$3:$L$42,9,FALSE)</f>
        <v>#N/A</v>
      </c>
      <c r="Y356" s="10" t="e">
        <f>VLOOKUP(AJ348,'FRC Site Data'!$B$3:$L$42,10,FALSE)</f>
        <v>#N/A</v>
      </c>
      <c r="Z356" s="10" t="e">
        <f>VLOOKUP(AJ348,'FRC Site Data'!$B$3:$L$42,11,FALSE)</f>
        <v>#N/A</v>
      </c>
      <c r="AA356" s="10" t="e">
        <f>VLOOKUP(AJ348,'CIR Team Info'!$C$5:$E$44,4,FALSE)</f>
        <v>#N/A</v>
      </c>
      <c r="AB356" s="161" t="b">
        <f>ISNUMBER(VLOOKUP(AJ348,Match!$T$5:$T$10,1,FALSE))</f>
        <v>0</v>
      </c>
      <c r="AC356" s="161" t="b">
        <f>IF(AB356=TRUE,(VLOOKUP($AJ348,Match!$T$5:$U$10,2,FALSE)))</f>
        <v>0</v>
      </c>
      <c r="AD356" s="8">
        <v>3</v>
      </c>
      <c r="AE356" s="8">
        <v>2</v>
      </c>
      <c r="AF356" s="8">
        <v>2</v>
      </c>
      <c r="AG356" s="8">
        <v>1</v>
      </c>
      <c r="AH356" s="8" t="str">
        <f t="shared" si="106"/>
        <v/>
      </c>
      <c r="AI356" s="12"/>
      <c r="AZ356" s="12"/>
      <c r="BC356" s="12"/>
      <c r="BK356" s="12"/>
    </row>
    <row r="357" spans="1:63" x14ac:dyDescent="0.25">
      <c r="A357" s="29">
        <f t="shared" si="113"/>
        <v>0</v>
      </c>
      <c r="B357" s="29">
        <f t="shared" si="107"/>
        <v>0</v>
      </c>
      <c r="C357" s="29">
        <f t="shared" si="108"/>
        <v>0</v>
      </c>
      <c r="D357" s="29">
        <f t="shared" si="109"/>
        <v>0</v>
      </c>
      <c r="E357" s="29">
        <f t="shared" si="114"/>
        <v>0</v>
      </c>
      <c r="F357" s="29">
        <f t="shared" si="115"/>
        <v>0</v>
      </c>
      <c r="G357" s="29" t="str">
        <f t="shared" si="116"/>
        <v>offensive</v>
      </c>
      <c r="H357" s="16">
        <f t="shared" si="120"/>
        <v>0</v>
      </c>
      <c r="I357" s="16">
        <f t="shared" si="121"/>
        <v>0</v>
      </c>
      <c r="J357" s="16">
        <f t="shared" si="110"/>
        <v>0</v>
      </c>
      <c r="K357" s="16">
        <f t="shared" si="117"/>
        <v>0</v>
      </c>
      <c r="L357" s="67">
        <f t="shared" si="118"/>
        <v>0</v>
      </c>
      <c r="M357" s="4">
        <f t="shared" si="111"/>
        <v>0</v>
      </c>
      <c r="N357" s="4">
        <f t="shared" si="112"/>
        <v>0</v>
      </c>
      <c r="O357" s="4">
        <f t="shared" si="119"/>
        <v>0</v>
      </c>
      <c r="P357" s="4" t="e">
        <f>VLOOKUP(AJ349,'CIR Team Info'!$C$5:$E$44,2,FALSE)</f>
        <v>#N/A</v>
      </c>
      <c r="Q357" s="4" t="e">
        <f>VLOOKUP(AJ349,'CIR Team Info'!$C$5:$E$44,3,FALSE)</f>
        <v>#N/A</v>
      </c>
      <c r="R357" s="10" t="e">
        <f>VLOOKUP(AJ349,'FRC Site Data'!$B$3:$L$42,2,FALSE)</f>
        <v>#N/A</v>
      </c>
      <c r="S357" s="10" t="e">
        <f>VLOOKUP(AJ349,'FRC Site Data'!$B$3:$L$42,3,FALSE)</f>
        <v>#N/A</v>
      </c>
      <c r="T357" s="10" t="e">
        <f>VLOOKUP(AJ349,'FRC Site Data'!$B$3:$L$42,4,FALSE)</f>
        <v>#N/A</v>
      </c>
      <c r="U357" s="10" t="e">
        <f>VLOOKUP(AJ349,'FRC Site Data'!$B$3:$L$42,5,FALSE)</f>
        <v>#N/A</v>
      </c>
      <c r="V357" s="10" t="e">
        <f>VLOOKUP(AJ349,'FRC Site Data'!$B$3:$L$42,6,FALSE)</f>
        <v>#N/A</v>
      </c>
      <c r="W357" s="10" t="e">
        <f>VLOOKUP(AJ349,'FRC Site Data'!$B$3:$L$42,8,FALSE)</f>
        <v>#N/A</v>
      </c>
      <c r="X357" s="10" t="e">
        <f>VLOOKUP(AJ349,'FRC Site Data'!$B$3:$L$42,9,FALSE)</f>
        <v>#N/A</v>
      </c>
      <c r="Y357" s="10" t="e">
        <f>VLOOKUP(AJ349,'FRC Site Data'!$B$3:$L$42,10,FALSE)</f>
        <v>#N/A</v>
      </c>
      <c r="Z357" s="10" t="e">
        <f>VLOOKUP(AJ349,'FRC Site Data'!$B$3:$L$42,11,FALSE)</f>
        <v>#N/A</v>
      </c>
      <c r="AA357" s="10" t="e">
        <f>VLOOKUP(AJ349,'CIR Team Info'!$C$5:$E$44,4,FALSE)</f>
        <v>#N/A</v>
      </c>
      <c r="AB357" s="161" t="b">
        <f>ISNUMBER(VLOOKUP(AJ349,Match!$T$5:$T$10,1,FALSE))</f>
        <v>0</v>
      </c>
      <c r="AC357" s="161" t="b">
        <f>IF(AB357=TRUE,(VLOOKUP($AJ349,Match!$T$5:$U$10,2,FALSE)))</f>
        <v>0</v>
      </c>
      <c r="AD357" s="8">
        <v>3</v>
      </c>
      <c r="AE357" s="8">
        <v>2</v>
      </c>
      <c r="AF357" s="8">
        <v>2</v>
      </c>
      <c r="AG357" s="8">
        <v>1</v>
      </c>
      <c r="AH357" s="8" t="str">
        <f t="shared" si="106"/>
        <v/>
      </c>
      <c r="AI357" s="12"/>
      <c r="AZ357" s="12"/>
      <c r="BC357" s="12"/>
      <c r="BK357" s="12"/>
    </row>
    <row r="358" spans="1:63" x14ac:dyDescent="0.25">
      <c r="A358" s="29">
        <f t="shared" si="113"/>
        <v>0</v>
      </c>
      <c r="B358" s="29">
        <f t="shared" si="107"/>
        <v>0</v>
      </c>
      <c r="C358" s="29">
        <f t="shared" si="108"/>
        <v>0</v>
      </c>
      <c r="D358" s="29">
        <f t="shared" si="109"/>
        <v>0</v>
      </c>
      <c r="E358" s="29">
        <f t="shared" si="114"/>
        <v>0</v>
      </c>
      <c r="F358" s="29">
        <f t="shared" si="115"/>
        <v>0</v>
      </c>
      <c r="G358" s="29" t="str">
        <f t="shared" si="116"/>
        <v>offensive</v>
      </c>
      <c r="H358" s="16">
        <f t="shared" si="120"/>
        <v>0</v>
      </c>
      <c r="I358" s="16">
        <f t="shared" si="121"/>
        <v>0</v>
      </c>
      <c r="J358" s="16">
        <f t="shared" si="110"/>
        <v>0</v>
      </c>
      <c r="K358" s="16">
        <f t="shared" si="117"/>
        <v>0</v>
      </c>
      <c r="L358" s="67">
        <f t="shared" si="118"/>
        <v>0</v>
      </c>
      <c r="M358" s="4">
        <f t="shared" si="111"/>
        <v>0</v>
      </c>
      <c r="N358" s="4">
        <f t="shared" si="112"/>
        <v>0</v>
      </c>
      <c r="O358" s="4">
        <f t="shared" si="119"/>
        <v>0</v>
      </c>
      <c r="P358" s="4" t="e">
        <f>VLOOKUP(AJ350,'CIR Team Info'!$C$5:$E$44,2,FALSE)</f>
        <v>#N/A</v>
      </c>
      <c r="Q358" s="4" t="e">
        <f>VLOOKUP(AJ350,'CIR Team Info'!$C$5:$E$44,3,FALSE)</f>
        <v>#N/A</v>
      </c>
      <c r="R358" s="10" t="e">
        <f>VLOOKUP(AJ350,'FRC Site Data'!$B$3:$L$42,2,FALSE)</f>
        <v>#N/A</v>
      </c>
      <c r="S358" s="10" t="e">
        <f>VLOOKUP(AJ350,'FRC Site Data'!$B$3:$L$42,3,FALSE)</f>
        <v>#N/A</v>
      </c>
      <c r="T358" s="10" t="e">
        <f>VLOOKUP(AJ350,'FRC Site Data'!$B$3:$L$42,4,FALSE)</f>
        <v>#N/A</v>
      </c>
      <c r="U358" s="10" t="e">
        <f>VLOOKUP(AJ350,'FRC Site Data'!$B$3:$L$42,5,FALSE)</f>
        <v>#N/A</v>
      </c>
      <c r="V358" s="10" t="e">
        <f>VLOOKUP(AJ350,'FRC Site Data'!$B$3:$L$42,6,FALSE)</f>
        <v>#N/A</v>
      </c>
      <c r="W358" s="10" t="e">
        <f>VLOOKUP(AJ350,'FRC Site Data'!$B$3:$L$42,8,FALSE)</f>
        <v>#N/A</v>
      </c>
      <c r="X358" s="10" t="e">
        <f>VLOOKUP(AJ350,'FRC Site Data'!$B$3:$L$42,9,FALSE)</f>
        <v>#N/A</v>
      </c>
      <c r="Y358" s="10" t="e">
        <f>VLOOKUP(AJ350,'FRC Site Data'!$B$3:$L$42,10,FALSE)</f>
        <v>#N/A</v>
      </c>
      <c r="Z358" s="10" t="e">
        <f>VLOOKUP(AJ350,'FRC Site Data'!$B$3:$L$42,11,FALSE)</f>
        <v>#N/A</v>
      </c>
      <c r="AA358" s="10" t="e">
        <f>VLOOKUP(AJ350,'CIR Team Info'!$C$5:$E$44,4,FALSE)</f>
        <v>#N/A</v>
      </c>
      <c r="AB358" s="161" t="b">
        <f>ISNUMBER(VLOOKUP(AJ350,Match!$T$5:$T$10,1,FALSE))</f>
        <v>0</v>
      </c>
      <c r="AC358" s="161" t="b">
        <f>IF(AB358=TRUE,(VLOOKUP($AJ350,Match!$T$5:$U$10,2,FALSE)))</f>
        <v>0</v>
      </c>
      <c r="AD358" s="8">
        <v>3</v>
      </c>
      <c r="AE358" s="8">
        <v>2</v>
      </c>
      <c r="AF358" s="8">
        <v>2</v>
      </c>
      <c r="AG358" s="8">
        <v>1</v>
      </c>
      <c r="AH358" s="8" t="str">
        <f t="shared" si="106"/>
        <v/>
      </c>
      <c r="AI358" s="12"/>
      <c r="AZ358" s="12"/>
      <c r="BC358" s="12"/>
      <c r="BK358" s="12"/>
    </row>
    <row r="359" spans="1:63" x14ac:dyDescent="0.25">
      <c r="A359" s="29">
        <f t="shared" si="113"/>
        <v>0</v>
      </c>
      <c r="B359" s="29">
        <f t="shared" si="107"/>
        <v>0</v>
      </c>
      <c r="C359" s="29">
        <f t="shared" si="108"/>
        <v>0</v>
      </c>
      <c r="D359" s="29">
        <f t="shared" si="109"/>
        <v>0</v>
      </c>
      <c r="E359" s="29">
        <f t="shared" si="114"/>
        <v>0</v>
      </c>
      <c r="F359" s="29">
        <f t="shared" si="115"/>
        <v>0</v>
      </c>
      <c r="G359" s="29" t="str">
        <f t="shared" si="116"/>
        <v>offensive</v>
      </c>
      <c r="H359" s="16">
        <f t="shared" si="120"/>
        <v>0</v>
      </c>
      <c r="I359" s="16">
        <f t="shared" si="121"/>
        <v>0</v>
      </c>
      <c r="J359" s="16">
        <f t="shared" si="110"/>
        <v>0</v>
      </c>
      <c r="K359" s="16">
        <f t="shared" si="117"/>
        <v>0</v>
      </c>
      <c r="L359" s="67">
        <f t="shared" si="118"/>
        <v>0</v>
      </c>
      <c r="M359" s="4">
        <f t="shared" si="111"/>
        <v>0</v>
      </c>
      <c r="N359" s="4">
        <f t="shared" si="112"/>
        <v>0</v>
      </c>
      <c r="O359" s="4">
        <f t="shared" si="119"/>
        <v>0</v>
      </c>
      <c r="P359" s="4" t="e">
        <f>VLOOKUP(AJ351,'CIR Team Info'!$C$5:$E$44,2,FALSE)</f>
        <v>#N/A</v>
      </c>
      <c r="Q359" s="4" t="e">
        <f>VLOOKUP(AJ351,'CIR Team Info'!$C$5:$E$44,3,FALSE)</f>
        <v>#N/A</v>
      </c>
      <c r="R359" s="10" t="e">
        <f>VLOOKUP(AJ351,'FRC Site Data'!$B$3:$L$42,2,FALSE)</f>
        <v>#N/A</v>
      </c>
      <c r="S359" s="10" t="e">
        <f>VLOOKUP(AJ351,'FRC Site Data'!$B$3:$L$42,3,FALSE)</f>
        <v>#N/A</v>
      </c>
      <c r="T359" s="10" t="e">
        <f>VLOOKUP(AJ351,'FRC Site Data'!$B$3:$L$42,4,FALSE)</f>
        <v>#N/A</v>
      </c>
      <c r="U359" s="10" t="e">
        <f>VLOOKUP(AJ351,'FRC Site Data'!$B$3:$L$42,5,FALSE)</f>
        <v>#N/A</v>
      </c>
      <c r="V359" s="10" t="e">
        <f>VLOOKUP(AJ351,'FRC Site Data'!$B$3:$L$42,6,FALSE)</f>
        <v>#N/A</v>
      </c>
      <c r="W359" s="10" t="e">
        <f>VLOOKUP(AJ351,'FRC Site Data'!$B$3:$L$42,8,FALSE)</f>
        <v>#N/A</v>
      </c>
      <c r="X359" s="10" t="e">
        <f>VLOOKUP(AJ351,'FRC Site Data'!$B$3:$L$42,9,FALSE)</f>
        <v>#N/A</v>
      </c>
      <c r="Y359" s="10" t="e">
        <f>VLOOKUP(AJ351,'FRC Site Data'!$B$3:$L$42,10,FALSE)</f>
        <v>#N/A</v>
      </c>
      <c r="Z359" s="10" t="e">
        <f>VLOOKUP(AJ351,'FRC Site Data'!$B$3:$L$42,11,FALSE)</f>
        <v>#N/A</v>
      </c>
      <c r="AA359" s="10" t="e">
        <f>VLOOKUP(AJ351,'CIR Team Info'!$C$5:$E$44,4,FALSE)</f>
        <v>#N/A</v>
      </c>
      <c r="AB359" s="161" t="b">
        <f>ISNUMBER(VLOOKUP(AJ351,Match!$T$5:$T$10,1,FALSE))</f>
        <v>0</v>
      </c>
      <c r="AC359" s="161" t="b">
        <f>IF(AB359=TRUE,(VLOOKUP($AJ351,Match!$T$5:$U$10,2,FALSE)))</f>
        <v>0</v>
      </c>
      <c r="AD359" s="8">
        <v>3</v>
      </c>
      <c r="AE359" s="8">
        <v>2</v>
      </c>
      <c r="AF359" s="8">
        <v>2</v>
      </c>
      <c r="AG359" s="8">
        <v>1</v>
      </c>
      <c r="AH359" s="8" t="str">
        <f t="shared" si="106"/>
        <v/>
      </c>
      <c r="AI359" s="12"/>
      <c r="AZ359" s="12"/>
      <c r="BC359" s="12"/>
      <c r="BK359" s="12"/>
    </row>
    <row r="360" spans="1:63" x14ac:dyDescent="0.25">
      <c r="A360" s="29">
        <f t="shared" si="113"/>
        <v>0</v>
      </c>
      <c r="B360" s="29">
        <f t="shared" si="107"/>
        <v>0</v>
      </c>
      <c r="C360" s="29">
        <f t="shared" si="108"/>
        <v>0</v>
      </c>
      <c r="D360" s="29">
        <f t="shared" si="109"/>
        <v>0</v>
      </c>
      <c r="E360" s="29">
        <f t="shared" si="114"/>
        <v>0</v>
      </c>
      <c r="F360" s="29">
        <f t="shared" si="115"/>
        <v>0</v>
      </c>
      <c r="G360" s="29" t="str">
        <f t="shared" si="116"/>
        <v>offensive</v>
      </c>
      <c r="H360" s="16">
        <f t="shared" si="120"/>
        <v>0</v>
      </c>
      <c r="I360" s="16">
        <f t="shared" si="121"/>
        <v>0</v>
      </c>
      <c r="J360" s="16">
        <f t="shared" si="110"/>
        <v>0</v>
      </c>
      <c r="K360" s="16">
        <f t="shared" si="117"/>
        <v>0</v>
      </c>
      <c r="L360" s="67">
        <f t="shared" si="118"/>
        <v>0</v>
      </c>
      <c r="M360" s="4">
        <f t="shared" si="111"/>
        <v>0</v>
      </c>
      <c r="N360" s="4">
        <f t="shared" si="112"/>
        <v>0</v>
      </c>
      <c r="O360" s="4">
        <f t="shared" si="119"/>
        <v>0</v>
      </c>
      <c r="P360" s="4" t="e">
        <f>VLOOKUP(AJ352,'CIR Team Info'!$C$5:$E$44,2,FALSE)</f>
        <v>#N/A</v>
      </c>
      <c r="Q360" s="4" t="e">
        <f>VLOOKUP(AJ352,'CIR Team Info'!$C$5:$E$44,3,FALSE)</f>
        <v>#N/A</v>
      </c>
      <c r="R360" s="10" t="e">
        <f>VLOOKUP(AJ352,'FRC Site Data'!$B$3:$L$42,2,FALSE)</f>
        <v>#N/A</v>
      </c>
      <c r="S360" s="10" t="e">
        <f>VLOOKUP(AJ352,'FRC Site Data'!$B$3:$L$42,3,FALSE)</f>
        <v>#N/A</v>
      </c>
      <c r="T360" s="10" t="e">
        <f>VLOOKUP(AJ352,'FRC Site Data'!$B$3:$L$42,4,FALSE)</f>
        <v>#N/A</v>
      </c>
      <c r="U360" s="10" t="e">
        <f>VLOOKUP(AJ352,'FRC Site Data'!$B$3:$L$42,5,FALSE)</f>
        <v>#N/A</v>
      </c>
      <c r="V360" s="10" t="e">
        <f>VLOOKUP(AJ352,'FRC Site Data'!$B$3:$L$42,6,FALSE)</f>
        <v>#N/A</v>
      </c>
      <c r="W360" s="10" t="e">
        <f>VLOOKUP(AJ352,'FRC Site Data'!$B$3:$L$42,8,FALSE)</f>
        <v>#N/A</v>
      </c>
      <c r="X360" s="10" t="e">
        <f>VLOOKUP(AJ352,'FRC Site Data'!$B$3:$L$42,9,FALSE)</f>
        <v>#N/A</v>
      </c>
      <c r="Y360" s="10" t="e">
        <f>VLOOKUP(AJ352,'FRC Site Data'!$B$3:$L$42,10,FALSE)</f>
        <v>#N/A</v>
      </c>
      <c r="Z360" s="10" t="e">
        <f>VLOOKUP(AJ352,'FRC Site Data'!$B$3:$L$42,11,FALSE)</f>
        <v>#N/A</v>
      </c>
      <c r="AA360" s="10" t="e">
        <f>VLOOKUP(AJ352,'CIR Team Info'!$C$5:$E$44,4,FALSE)</f>
        <v>#N/A</v>
      </c>
      <c r="AB360" s="161" t="b">
        <f>ISNUMBER(VLOOKUP(AJ352,Match!$T$5:$T$10,1,FALSE))</f>
        <v>0</v>
      </c>
      <c r="AC360" s="161" t="b">
        <f>IF(AB360=TRUE,(VLOOKUP($AJ352,Match!$T$5:$U$10,2,FALSE)))</f>
        <v>0</v>
      </c>
      <c r="AD360" s="8">
        <v>3</v>
      </c>
      <c r="AE360" s="8">
        <v>2</v>
      </c>
      <c r="AF360" s="8">
        <v>2</v>
      </c>
      <c r="AG360" s="8">
        <v>1</v>
      </c>
      <c r="AH360" s="8" t="str">
        <f t="shared" si="106"/>
        <v/>
      </c>
      <c r="AI360" s="12"/>
      <c r="AZ360" s="12"/>
      <c r="BC360" s="12"/>
      <c r="BK360" s="12"/>
    </row>
    <row r="361" spans="1:63" x14ac:dyDescent="0.25">
      <c r="A361" s="29">
        <f t="shared" si="113"/>
        <v>0</v>
      </c>
      <c r="B361" s="29">
        <f t="shared" si="107"/>
        <v>0</v>
      </c>
      <c r="C361" s="29">
        <f t="shared" si="108"/>
        <v>0</v>
      </c>
      <c r="D361" s="29">
        <f t="shared" si="109"/>
        <v>0</v>
      </c>
      <c r="E361" s="29">
        <f t="shared" si="114"/>
        <v>0</v>
      </c>
      <c r="F361" s="29">
        <f t="shared" si="115"/>
        <v>0</v>
      </c>
      <c r="G361" s="29" t="str">
        <f t="shared" si="116"/>
        <v>offensive</v>
      </c>
      <c r="H361" s="16">
        <f t="shared" si="120"/>
        <v>0</v>
      </c>
      <c r="I361" s="16">
        <f t="shared" si="121"/>
        <v>0</v>
      </c>
      <c r="J361" s="16">
        <f t="shared" si="110"/>
        <v>0</v>
      </c>
      <c r="K361" s="16">
        <f t="shared" si="117"/>
        <v>0</v>
      </c>
      <c r="L361" s="67">
        <f t="shared" si="118"/>
        <v>0</v>
      </c>
      <c r="M361" s="4">
        <f t="shared" si="111"/>
        <v>0</v>
      </c>
      <c r="N361" s="4">
        <f t="shared" si="112"/>
        <v>0</v>
      </c>
      <c r="O361" s="4">
        <f t="shared" si="119"/>
        <v>0</v>
      </c>
      <c r="P361" s="4" t="e">
        <f>VLOOKUP(AJ353,'CIR Team Info'!$C$5:$E$44,2,FALSE)</f>
        <v>#N/A</v>
      </c>
      <c r="Q361" s="4" t="e">
        <f>VLOOKUP(AJ353,'CIR Team Info'!$C$5:$E$44,3,FALSE)</f>
        <v>#N/A</v>
      </c>
      <c r="R361" s="10" t="e">
        <f>VLOOKUP(AJ353,'FRC Site Data'!$B$3:$L$42,2,FALSE)</f>
        <v>#N/A</v>
      </c>
      <c r="S361" s="10" t="e">
        <f>VLOOKUP(AJ353,'FRC Site Data'!$B$3:$L$42,3,FALSE)</f>
        <v>#N/A</v>
      </c>
      <c r="T361" s="10" t="e">
        <f>VLOOKUP(AJ353,'FRC Site Data'!$B$3:$L$42,4,FALSE)</f>
        <v>#N/A</v>
      </c>
      <c r="U361" s="10" t="e">
        <f>VLOOKUP(AJ353,'FRC Site Data'!$B$3:$L$42,5,FALSE)</f>
        <v>#N/A</v>
      </c>
      <c r="V361" s="10" t="e">
        <f>VLOOKUP(AJ353,'FRC Site Data'!$B$3:$L$42,6,FALSE)</f>
        <v>#N/A</v>
      </c>
      <c r="W361" s="10" t="e">
        <f>VLOOKUP(AJ353,'FRC Site Data'!$B$3:$L$42,8,FALSE)</f>
        <v>#N/A</v>
      </c>
      <c r="X361" s="10" t="e">
        <f>VLOOKUP(AJ353,'FRC Site Data'!$B$3:$L$42,9,FALSE)</f>
        <v>#N/A</v>
      </c>
      <c r="Y361" s="10" t="e">
        <f>VLOOKUP(AJ353,'FRC Site Data'!$B$3:$L$42,10,FALSE)</f>
        <v>#N/A</v>
      </c>
      <c r="Z361" s="10" t="e">
        <f>VLOOKUP(AJ353,'FRC Site Data'!$B$3:$L$42,11,FALSE)</f>
        <v>#N/A</v>
      </c>
      <c r="AA361" s="10" t="e">
        <f>VLOOKUP(AJ353,'CIR Team Info'!$C$5:$E$44,4,FALSE)</f>
        <v>#N/A</v>
      </c>
      <c r="AB361" s="161" t="b">
        <f>ISNUMBER(VLOOKUP(AJ353,Match!$T$5:$T$10,1,FALSE))</f>
        <v>0</v>
      </c>
      <c r="AC361" s="161" t="b">
        <f>IF(AB361=TRUE,(VLOOKUP($AJ353,Match!$T$5:$U$10,2,FALSE)))</f>
        <v>0</v>
      </c>
      <c r="AD361" s="8">
        <v>3</v>
      </c>
      <c r="AE361" s="8">
        <v>2</v>
      </c>
      <c r="AF361" s="8">
        <v>2</v>
      </c>
      <c r="AG361" s="8">
        <v>1</v>
      </c>
      <c r="AH361" s="8" t="str">
        <f t="shared" si="106"/>
        <v/>
      </c>
      <c r="AI361" s="12"/>
      <c r="AZ361" s="12"/>
      <c r="BC361" s="12"/>
      <c r="BK361" s="12"/>
    </row>
    <row r="362" spans="1:63" x14ac:dyDescent="0.25">
      <c r="A362" s="29">
        <f t="shared" si="113"/>
        <v>0</v>
      </c>
      <c r="B362" s="29">
        <f t="shared" si="107"/>
        <v>0</v>
      </c>
      <c r="C362" s="29">
        <f t="shared" si="108"/>
        <v>0</v>
      </c>
      <c r="D362" s="29">
        <f t="shared" si="109"/>
        <v>0</v>
      </c>
      <c r="E362" s="29">
        <f t="shared" si="114"/>
        <v>0</v>
      </c>
      <c r="F362" s="29">
        <f t="shared" si="115"/>
        <v>0</v>
      </c>
      <c r="G362" s="29" t="str">
        <f t="shared" si="116"/>
        <v>offensive</v>
      </c>
      <c r="H362" s="16">
        <f t="shared" si="120"/>
        <v>0</v>
      </c>
      <c r="I362" s="16">
        <f t="shared" si="121"/>
        <v>0</v>
      </c>
      <c r="J362" s="16">
        <f t="shared" si="110"/>
        <v>0</v>
      </c>
      <c r="K362" s="16">
        <f t="shared" si="117"/>
        <v>0</v>
      </c>
      <c r="L362" s="67">
        <f t="shared" si="118"/>
        <v>0</v>
      </c>
      <c r="M362" s="4">
        <f t="shared" si="111"/>
        <v>0</v>
      </c>
      <c r="N362" s="4">
        <f t="shared" si="112"/>
        <v>0</v>
      </c>
      <c r="O362" s="4">
        <f t="shared" si="119"/>
        <v>0</v>
      </c>
      <c r="P362" s="4" t="e">
        <f>VLOOKUP(AJ354,'CIR Team Info'!$C$5:$E$44,2,FALSE)</f>
        <v>#N/A</v>
      </c>
      <c r="Q362" s="4" t="e">
        <f>VLOOKUP(AJ354,'CIR Team Info'!$C$5:$E$44,3,FALSE)</f>
        <v>#N/A</v>
      </c>
      <c r="R362" s="10" t="e">
        <f>VLOOKUP(AJ354,'FRC Site Data'!$B$3:$L$42,2,FALSE)</f>
        <v>#N/A</v>
      </c>
      <c r="S362" s="10" t="e">
        <f>VLOOKUP(AJ354,'FRC Site Data'!$B$3:$L$42,3,FALSE)</f>
        <v>#N/A</v>
      </c>
      <c r="T362" s="10" t="e">
        <f>VLOOKUP(AJ354,'FRC Site Data'!$B$3:$L$42,4,FALSE)</f>
        <v>#N/A</v>
      </c>
      <c r="U362" s="10" t="e">
        <f>VLOOKUP(AJ354,'FRC Site Data'!$B$3:$L$42,5,FALSE)</f>
        <v>#N/A</v>
      </c>
      <c r="V362" s="10" t="e">
        <f>VLOOKUP(AJ354,'FRC Site Data'!$B$3:$L$42,6,FALSE)</f>
        <v>#N/A</v>
      </c>
      <c r="W362" s="10" t="e">
        <f>VLOOKUP(AJ354,'FRC Site Data'!$B$3:$L$42,8,FALSE)</f>
        <v>#N/A</v>
      </c>
      <c r="X362" s="10" t="e">
        <f>VLOOKUP(AJ354,'FRC Site Data'!$B$3:$L$42,9,FALSE)</f>
        <v>#N/A</v>
      </c>
      <c r="Y362" s="10" t="e">
        <f>VLOOKUP(AJ354,'FRC Site Data'!$B$3:$L$42,10,FALSE)</f>
        <v>#N/A</v>
      </c>
      <c r="Z362" s="10" t="e">
        <f>VLOOKUP(AJ354,'FRC Site Data'!$B$3:$L$42,11,FALSE)</f>
        <v>#N/A</v>
      </c>
      <c r="AA362" s="10" t="e">
        <f>VLOOKUP(AJ354,'CIR Team Info'!$C$5:$E$44,4,FALSE)</f>
        <v>#N/A</v>
      </c>
      <c r="AB362" s="161" t="b">
        <f>ISNUMBER(VLOOKUP(AJ354,Match!$T$5:$T$10,1,FALSE))</f>
        <v>0</v>
      </c>
      <c r="AC362" s="161" t="b">
        <f>IF(AB362=TRUE,(VLOOKUP($AJ354,Match!$T$5:$U$10,2,FALSE)))</f>
        <v>0</v>
      </c>
      <c r="AD362" s="8">
        <v>3</v>
      </c>
      <c r="AE362" s="8">
        <v>2</v>
      </c>
      <c r="AF362" s="8">
        <v>2</v>
      </c>
      <c r="AG362" s="8">
        <v>1</v>
      </c>
      <c r="AH362" s="8" t="str">
        <f t="shared" si="106"/>
        <v/>
      </c>
      <c r="AI362" s="12"/>
      <c r="AZ362" s="12"/>
      <c r="BC362" s="12"/>
      <c r="BK362" s="12"/>
    </row>
    <row r="363" spans="1:63" x14ac:dyDescent="0.25">
      <c r="A363" s="29">
        <f t="shared" si="113"/>
        <v>0</v>
      </c>
      <c r="B363" s="29">
        <f t="shared" si="107"/>
        <v>0</v>
      </c>
      <c r="C363" s="29">
        <f t="shared" si="108"/>
        <v>0</v>
      </c>
      <c r="D363" s="29">
        <f t="shared" si="109"/>
        <v>0</v>
      </c>
      <c r="E363" s="29">
        <f t="shared" si="114"/>
        <v>0</v>
      </c>
      <c r="F363" s="29">
        <f t="shared" si="115"/>
        <v>0</v>
      </c>
      <c r="G363" s="29" t="str">
        <f t="shared" si="116"/>
        <v>offensive</v>
      </c>
      <c r="H363" s="16">
        <f t="shared" si="120"/>
        <v>0</v>
      </c>
      <c r="I363" s="16">
        <f t="shared" si="121"/>
        <v>0</v>
      </c>
      <c r="J363" s="16">
        <f t="shared" si="110"/>
        <v>0</v>
      </c>
      <c r="K363" s="16">
        <f t="shared" si="117"/>
        <v>0</v>
      </c>
      <c r="L363" s="67">
        <f t="shared" si="118"/>
        <v>0</v>
      </c>
      <c r="M363" s="4">
        <f t="shared" si="111"/>
        <v>0</v>
      </c>
      <c r="N363" s="4">
        <f t="shared" si="112"/>
        <v>0</v>
      </c>
      <c r="O363" s="4">
        <f t="shared" si="119"/>
        <v>0</v>
      </c>
      <c r="P363" s="4" t="e">
        <f>VLOOKUP(AJ355,'CIR Team Info'!$C$5:$E$44,2,FALSE)</f>
        <v>#N/A</v>
      </c>
      <c r="Q363" s="4" t="e">
        <f>VLOOKUP(AJ355,'CIR Team Info'!$C$5:$E$44,3,FALSE)</f>
        <v>#N/A</v>
      </c>
      <c r="R363" s="10" t="e">
        <f>VLOOKUP(AJ355,'FRC Site Data'!$B$3:$L$42,2,FALSE)</f>
        <v>#N/A</v>
      </c>
      <c r="S363" s="10" t="e">
        <f>VLOOKUP(AJ355,'FRC Site Data'!$B$3:$L$42,3,FALSE)</f>
        <v>#N/A</v>
      </c>
      <c r="T363" s="10" t="e">
        <f>VLOOKUP(AJ355,'FRC Site Data'!$B$3:$L$42,4,FALSE)</f>
        <v>#N/A</v>
      </c>
      <c r="U363" s="10" t="e">
        <f>VLOOKUP(AJ355,'FRC Site Data'!$B$3:$L$42,5,FALSE)</f>
        <v>#N/A</v>
      </c>
      <c r="V363" s="10" t="e">
        <f>VLOOKUP(AJ355,'FRC Site Data'!$B$3:$L$42,6,FALSE)</f>
        <v>#N/A</v>
      </c>
      <c r="W363" s="10" t="e">
        <f>VLOOKUP(AJ355,'FRC Site Data'!$B$3:$L$42,8,FALSE)</f>
        <v>#N/A</v>
      </c>
      <c r="X363" s="10" t="e">
        <f>VLOOKUP(AJ355,'FRC Site Data'!$B$3:$L$42,9,FALSE)</f>
        <v>#N/A</v>
      </c>
      <c r="Y363" s="10" t="e">
        <f>VLOOKUP(AJ355,'FRC Site Data'!$B$3:$L$42,10,FALSE)</f>
        <v>#N/A</v>
      </c>
      <c r="Z363" s="10" t="e">
        <f>VLOOKUP(AJ355,'FRC Site Data'!$B$3:$L$42,11,FALSE)</f>
        <v>#N/A</v>
      </c>
      <c r="AA363" s="10" t="e">
        <f>VLOOKUP(AJ355,'CIR Team Info'!$C$5:$E$44,4,FALSE)</f>
        <v>#N/A</v>
      </c>
      <c r="AB363" s="161" t="b">
        <f>ISNUMBER(VLOOKUP(AJ355,Match!$T$5:$T$10,1,FALSE))</f>
        <v>0</v>
      </c>
      <c r="AC363" s="161" t="b">
        <f>IF(AB363=TRUE,(VLOOKUP($AJ355,Match!$T$5:$U$10,2,FALSE)))</f>
        <v>0</v>
      </c>
      <c r="AD363" s="8">
        <v>3</v>
      </c>
      <c r="AE363" s="8">
        <v>2</v>
      </c>
      <c r="AF363" s="8">
        <v>2</v>
      </c>
      <c r="AG363" s="8">
        <v>1</v>
      </c>
      <c r="AH363" s="8" t="str">
        <f t="shared" si="106"/>
        <v/>
      </c>
      <c r="AI363" s="12"/>
      <c r="AZ363" s="12"/>
      <c r="BC363" s="12"/>
      <c r="BK363" s="12"/>
    </row>
    <row r="364" spans="1:63" x14ac:dyDescent="0.25">
      <c r="A364" s="29">
        <f t="shared" si="113"/>
        <v>0</v>
      </c>
      <c r="B364" s="29">
        <f t="shared" si="107"/>
        <v>0</v>
      </c>
      <c r="C364" s="29">
        <f t="shared" si="108"/>
        <v>0</v>
      </c>
      <c r="D364" s="29">
        <f t="shared" si="109"/>
        <v>0</v>
      </c>
      <c r="E364" s="29">
        <f t="shared" si="114"/>
        <v>0</v>
      </c>
      <c r="F364" s="29">
        <f t="shared" si="115"/>
        <v>0</v>
      </c>
      <c r="G364" s="29" t="str">
        <f t="shared" si="116"/>
        <v>offensive</v>
      </c>
      <c r="H364" s="16">
        <f t="shared" si="120"/>
        <v>0</v>
      </c>
      <c r="I364" s="16">
        <f t="shared" si="121"/>
        <v>0</v>
      </c>
      <c r="J364" s="16">
        <f t="shared" si="110"/>
        <v>0</v>
      </c>
      <c r="K364" s="16">
        <f t="shared" si="117"/>
        <v>0</v>
      </c>
      <c r="L364" s="67">
        <f t="shared" si="118"/>
        <v>0</v>
      </c>
      <c r="M364" s="4">
        <f t="shared" si="111"/>
        <v>0</v>
      </c>
      <c r="N364" s="4">
        <f t="shared" si="112"/>
        <v>0</v>
      </c>
      <c r="O364" s="4">
        <f t="shared" si="119"/>
        <v>0</v>
      </c>
      <c r="P364" s="4" t="e">
        <f>VLOOKUP(AJ356,'CIR Team Info'!$C$5:$E$44,2,FALSE)</f>
        <v>#N/A</v>
      </c>
      <c r="Q364" s="4" t="e">
        <f>VLOOKUP(AJ356,'CIR Team Info'!$C$5:$E$44,3,FALSE)</f>
        <v>#N/A</v>
      </c>
      <c r="R364" s="10" t="e">
        <f>VLOOKUP(AJ356,'FRC Site Data'!$B$3:$L$42,2,FALSE)</f>
        <v>#N/A</v>
      </c>
      <c r="S364" s="10" t="e">
        <f>VLOOKUP(AJ356,'FRC Site Data'!$B$3:$L$42,3,FALSE)</f>
        <v>#N/A</v>
      </c>
      <c r="T364" s="10" t="e">
        <f>VLOOKUP(AJ356,'FRC Site Data'!$B$3:$L$42,4,FALSE)</f>
        <v>#N/A</v>
      </c>
      <c r="U364" s="10" t="e">
        <f>VLOOKUP(AJ356,'FRC Site Data'!$B$3:$L$42,5,FALSE)</f>
        <v>#N/A</v>
      </c>
      <c r="V364" s="10" t="e">
        <f>VLOOKUP(AJ356,'FRC Site Data'!$B$3:$L$42,6,FALSE)</f>
        <v>#N/A</v>
      </c>
      <c r="W364" s="10" t="e">
        <f>VLOOKUP(AJ356,'FRC Site Data'!$B$3:$L$42,8,FALSE)</f>
        <v>#N/A</v>
      </c>
      <c r="X364" s="10" t="e">
        <f>VLOOKUP(AJ356,'FRC Site Data'!$B$3:$L$42,9,FALSE)</f>
        <v>#N/A</v>
      </c>
      <c r="Y364" s="10" t="e">
        <f>VLOOKUP(AJ356,'FRC Site Data'!$B$3:$L$42,10,FALSE)</f>
        <v>#N/A</v>
      </c>
      <c r="Z364" s="10" t="e">
        <f>VLOOKUP(AJ356,'FRC Site Data'!$B$3:$L$42,11,FALSE)</f>
        <v>#N/A</v>
      </c>
      <c r="AA364" s="10" t="e">
        <f>VLOOKUP(AJ356,'CIR Team Info'!$C$5:$E$44,4,FALSE)</f>
        <v>#N/A</v>
      </c>
      <c r="AB364" s="161" t="b">
        <f>ISNUMBER(VLOOKUP(AJ356,Match!$T$5:$T$10,1,FALSE))</f>
        <v>0</v>
      </c>
      <c r="AC364" s="161" t="b">
        <f>IF(AB364=TRUE,(VLOOKUP($AJ356,Match!$T$5:$U$10,2,FALSE)))</f>
        <v>0</v>
      </c>
      <c r="AD364" s="8">
        <v>3</v>
      </c>
      <c r="AE364" s="8">
        <v>2</v>
      </c>
      <c r="AF364" s="8">
        <v>2</v>
      </c>
      <c r="AG364" s="8">
        <v>1</v>
      </c>
      <c r="AH364" s="8" t="str">
        <f t="shared" si="106"/>
        <v/>
      </c>
      <c r="AI364" s="12"/>
      <c r="AZ364" s="12"/>
      <c r="BC364" s="12"/>
      <c r="BK364" s="12"/>
    </row>
    <row r="365" spans="1:63" x14ac:dyDescent="0.25">
      <c r="A365" s="29">
        <f t="shared" si="113"/>
        <v>0</v>
      </c>
      <c r="B365" s="29">
        <f t="shared" si="107"/>
        <v>0</v>
      </c>
      <c r="C365" s="29">
        <f t="shared" si="108"/>
        <v>0</v>
      </c>
      <c r="D365" s="29">
        <f t="shared" si="109"/>
        <v>0</v>
      </c>
      <c r="E365" s="29">
        <f t="shared" si="114"/>
        <v>0</v>
      </c>
      <c r="F365" s="29">
        <f t="shared" si="115"/>
        <v>0</v>
      </c>
      <c r="G365" s="29" t="str">
        <f t="shared" si="116"/>
        <v>offensive</v>
      </c>
      <c r="H365" s="16">
        <f t="shared" si="120"/>
        <v>0</v>
      </c>
      <c r="I365" s="16">
        <f t="shared" si="121"/>
        <v>0</v>
      </c>
      <c r="J365" s="16">
        <f t="shared" si="110"/>
        <v>0</v>
      </c>
      <c r="K365" s="16">
        <f t="shared" si="117"/>
        <v>0</v>
      </c>
      <c r="L365" s="67">
        <f t="shared" si="118"/>
        <v>0</v>
      </c>
      <c r="M365" s="4">
        <f t="shared" si="111"/>
        <v>0</v>
      </c>
      <c r="N365" s="4">
        <f t="shared" si="112"/>
        <v>0</v>
      </c>
      <c r="O365" s="4">
        <f t="shared" si="119"/>
        <v>0</v>
      </c>
      <c r="P365" s="4" t="e">
        <f>VLOOKUP(AJ357,'CIR Team Info'!$C$5:$E$44,2,FALSE)</f>
        <v>#N/A</v>
      </c>
      <c r="Q365" s="4" t="e">
        <f>VLOOKUP(AJ357,'CIR Team Info'!$C$5:$E$44,3,FALSE)</f>
        <v>#N/A</v>
      </c>
      <c r="R365" s="10" t="e">
        <f>VLOOKUP(AJ357,'FRC Site Data'!$B$3:$L$42,2,FALSE)</f>
        <v>#N/A</v>
      </c>
      <c r="S365" s="10" t="e">
        <f>VLOOKUP(AJ357,'FRC Site Data'!$B$3:$L$42,3,FALSE)</f>
        <v>#N/A</v>
      </c>
      <c r="T365" s="10" t="e">
        <f>VLOOKUP(AJ357,'FRC Site Data'!$B$3:$L$42,4,FALSE)</f>
        <v>#N/A</v>
      </c>
      <c r="U365" s="10" t="e">
        <f>VLOOKUP(AJ357,'FRC Site Data'!$B$3:$L$42,5,FALSE)</f>
        <v>#N/A</v>
      </c>
      <c r="V365" s="10" t="e">
        <f>VLOOKUP(AJ357,'FRC Site Data'!$B$3:$L$42,6,FALSE)</f>
        <v>#N/A</v>
      </c>
      <c r="W365" s="10" t="e">
        <f>VLOOKUP(AJ357,'FRC Site Data'!$B$3:$L$42,8,FALSE)</f>
        <v>#N/A</v>
      </c>
      <c r="X365" s="10" t="e">
        <f>VLOOKUP(AJ357,'FRC Site Data'!$B$3:$L$42,9,FALSE)</f>
        <v>#N/A</v>
      </c>
      <c r="Y365" s="10" t="e">
        <f>VLOOKUP(AJ357,'FRC Site Data'!$B$3:$L$42,10,FALSE)</f>
        <v>#N/A</v>
      </c>
      <c r="Z365" s="10" t="e">
        <f>VLOOKUP(AJ357,'FRC Site Data'!$B$3:$L$42,11,FALSE)</f>
        <v>#N/A</v>
      </c>
      <c r="AA365" s="10" t="e">
        <f>VLOOKUP(AJ357,'CIR Team Info'!$C$5:$E$44,4,FALSE)</f>
        <v>#N/A</v>
      </c>
      <c r="AB365" s="161" t="b">
        <f>ISNUMBER(VLOOKUP(AJ357,Match!$T$5:$T$10,1,FALSE))</f>
        <v>0</v>
      </c>
      <c r="AC365" s="161" t="b">
        <f>IF(AB365=TRUE,(VLOOKUP($AJ357,Match!$T$5:$U$10,2,FALSE)))</f>
        <v>0</v>
      </c>
      <c r="AD365" s="8">
        <v>3</v>
      </c>
      <c r="AE365" s="8">
        <v>2</v>
      </c>
      <c r="AF365" s="8">
        <v>2</v>
      </c>
      <c r="AG365" s="8">
        <v>1</v>
      </c>
      <c r="AH365" s="8" t="str">
        <f t="shared" si="106"/>
        <v/>
      </c>
      <c r="AI365" s="12"/>
      <c r="AZ365" s="12"/>
      <c r="BC365" s="12"/>
      <c r="BK365" s="12"/>
    </row>
    <row r="366" spans="1:63" x14ac:dyDescent="0.25">
      <c r="A366" s="29">
        <f t="shared" si="113"/>
        <v>0</v>
      </c>
      <c r="B366" s="29">
        <f t="shared" si="107"/>
        <v>0</v>
      </c>
      <c r="C366" s="29">
        <f t="shared" si="108"/>
        <v>0</v>
      </c>
      <c r="D366" s="29">
        <f t="shared" si="109"/>
        <v>0</v>
      </c>
      <c r="E366" s="29">
        <f t="shared" si="114"/>
        <v>0</v>
      </c>
      <c r="F366" s="29">
        <f t="shared" si="115"/>
        <v>0</v>
      </c>
      <c r="G366" s="29" t="str">
        <f t="shared" si="116"/>
        <v>offensive</v>
      </c>
      <c r="H366" s="16">
        <f t="shared" si="120"/>
        <v>0</v>
      </c>
      <c r="I366" s="16">
        <f t="shared" si="121"/>
        <v>0</v>
      </c>
      <c r="J366" s="16">
        <f t="shared" si="110"/>
        <v>0</v>
      </c>
      <c r="K366" s="16">
        <f t="shared" si="117"/>
        <v>0</v>
      </c>
      <c r="L366" s="67">
        <f t="shared" si="118"/>
        <v>0</v>
      </c>
      <c r="M366" s="4">
        <f t="shared" si="111"/>
        <v>0</v>
      </c>
      <c r="N366" s="4">
        <f t="shared" si="112"/>
        <v>0</v>
      </c>
      <c r="O366" s="4">
        <f t="shared" si="119"/>
        <v>0</v>
      </c>
      <c r="P366" s="4" t="e">
        <f>VLOOKUP(AJ358,'CIR Team Info'!$C$5:$E$44,2,FALSE)</f>
        <v>#N/A</v>
      </c>
      <c r="Q366" s="4" t="e">
        <f>VLOOKUP(AJ358,'CIR Team Info'!$C$5:$E$44,3,FALSE)</f>
        <v>#N/A</v>
      </c>
      <c r="R366" s="10" t="e">
        <f>VLOOKUP(AJ358,'FRC Site Data'!$B$3:$L$42,2,FALSE)</f>
        <v>#N/A</v>
      </c>
      <c r="S366" s="10" t="e">
        <f>VLOOKUP(AJ358,'FRC Site Data'!$B$3:$L$42,3,FALSE)</f>
        <v>#N/A</v>
      </c>
      <c r="T366" s="10" t="e">
        <f>VLOOKUP(AJ358,'FRC Site Data'!$B$3:$L$42,4,FALSE)</f>
        <v>#N/A</v>
      </c>
      <c r="U366" s="10" t="e">
        <f>VLOOKUP(AJ358,'FRC Site Data'!$B$3:$L$42,5,FALSE)</f>
        <v>#N/A</v>
      </c>
      <c r="V366" s="10" t="e">
        <f>VLOOKUP(AJ358,'FRC Site Data'!$B$3:$L$42,6,FALSE)</f>
        <v>#N/A</v>
      </c>
      <c r="W366" s="10" t="e">
        <f>VLOOKUP(AJ358,'FRC Site Data'!$B$3:$L$42,8,FALSE)</f>
        <v>#N/A</v>
      </c>
      <c r="X366" s="10" t="e">
        <f>VLOOKUP(AJ358,'FRC Site Data'!$B$3:$L$42,9,FALSE)</f>
        <v>#N/A</v>
      </c>
      <c r="Y366" s="10" t="e">
        <f>VLOOKUP(AJ358,'FRC Site Data'!$B$3:$L$42,10,FALSE)</f>
        <v>#N/A</v>
      </c>
      <c r="Z366" s="10" t="e">
        <f>VLOOKUP(AJ358,'FRC Site Data'!$B$3:$L$42,11,FALSE)</f>
        <v>#N/A</v>
      </c>
      <c r="AA366" s="10" t="e">
        <f>VLOOKUP(AJ358,'CIR Team Info'!$C$5:$E$44,4,FALSE)</f>
        <v>#N/A</v>
      </c>
      <c r="AB366" s="161" t="b">
        <f>ISNUMBER(VLOOKUP(AJ358,Match!$T$5:$T$10,1,FALSE))</f>
        <v>0</v>
      </c>
      <c r="AC366" s="161" t="b">
        <f>IF(AB366=TRUE,(VLOOKUP($AJ358,Match!$T$5:$U$10,2,FALSE)))</f>
        <v>0</v>
      </c>
      <c r="AD366" s="8">
        <v>3</v>
      </c>
      <c r="AE366" s="8">
        <v>2</v>
      </c>
      <c r="AF366" s="8">
        <v>2</v>
      </c>
      <c r="AG366" s="8">
        <v>1</v>
      </c>
      <c r="AH366" s="8" t="str">
        <f t="shared" si="106"/>
        <v/>
      </c>
      <c r="AI366" s="12"/>
      <c r="AZ366" s="12"/>
      <c r="BC366" s="12"/>
      <c r="BK366" s="12"/>
    </row>
    <row r="367" spans="1:63" x14ac:dyDescent="0.25">
      <c r="A367" s="29">
        <f t="shared" si="113"/>
        <v>0</v>
      </c>
      <c r="B367" s="29">
        <f t="shared" si="107"/>
        <v>0</v>
      </c>
      <c r="C367" s="29">
        <f t="shared" si="108"/>
        <v>0</v>
      </c>
      <c r="D367" s="29">
        <f t="shared" si="109"/>
        <v>0</v>
      </c>
      <c r="E367" s="29">
        <f t="shared" si="114"/>
        <v>0</v>
      </c>
      <c r="F367" s="29">
        <f t="shared" si="115"/>
        <v>0</v>
      </c>
      <c r="G367" s="29" t="str">
        <f t="shared" si="116"/>
        <v>offensive</v>
      </c>
      <c r="H367" s="16">
        <f t="shared" si="120"/>
        <v>0</v>
      </c>
      <c r="I367" s="16">
        <f t="shared" si="121"/>
        <v>0</v>
      </c>
      <c r="J367" s="16">
        <f t="shared" si="110"/>
        <v>0</v>
      </c>
      <c r="K367" s="16">
        <f t="shared" si="117"/>
        <v>0</v>
      </c>
      <c r="L367" s="67">
        <f t="shared" si="118"/>
        <v>0</v>
      </c>
      <c r="M367" s="4">
        <f t="shared" si="111"/>
        <v>0</v>
      </c>
      <c r="N367" s="4">
        <f t="shared" si="112"/>
        <v>0</v>
      </c>
      <c r="O367" s="4">
        <f t="shared" si="119"/>
        <v>0</v>
      </c>
      <c r="P367" s="4" t="e">
        <f>VLOOKUP(AJ359,'CIR Team Info'!$C$5:$E$44,2,FALSE)</f>
        <v>#N/A</v>
      </c>
      <c r="Q367" s="4" t="e">
        <f>VLOOKUP(AJ359,'CIR Team Info'!$C$5:$E$44,3,FALSE)</f>
        <v>#N/A</v>
      </c>
      <c r="R367" s="10" t="e">
        <f>VLOOKUP(AJ359,'FRC Site Data'!$B$3:$L$42,2,FALSE)</f>
        <v>#N/A</v>
      </c>
      <c r="S367" s="10" t="e">
        <f>VLOOKUP(AJ359,'FRC Site Data'!$B$3:$L$42,3,FALSE)</f>
        <v>#N/A</v>
      </c>
      <c r="T367" s="10" t="e">
        <f>VLOOKUP(AJ359,'FRC Site Data'!$B$3:$L$42,4,FALSE)</f>
        <v>#N/A</v>
      </c>
      <c r="U367" s="10" t="e">
        <f>VLOOKUP(AJ359,'FRC Site Data'!$B$3:$L$42,5,FALSE)</f>
        <v>#N/A</v>
      </c>
      <c r="V367" s="10" t="e">
        <f>VLOOKUP(AJ359,'FRC Site Data'!$B$3:$L$42,6,FALSE)</f>
        <v>#N/A</v>
      </c>
      <c r="W367" s="10" t="e">
        <f>VLOOKUP(AJ359,'FRC Site Data'!$B$3:$L$42,8,FALSE)</f>
        <v>#N/A</v>
      </c>
      <c r="X367" s="10" t="e">
        <f>VLOOKUP(AJ359,'FRC Site Data'!$B$3:$L$42,9,FALSE)</f>
        <v>#N/A</v>
      </c>
      <c r="Y367" s="10" t="e">
        <f>VLOOKUP(AJ359,'FRC Site Data'!$B$3:$L$42,10,FALSE)</f>
        <v>#N/A</v>
      </c>
      <c r="Z367" s="10" t="e">
        <f>VLOOKUP(AJ359,'FRC Site Data'!$B$3:$L$42,11,FALSE)</f>
        <v>#N/A</v>
      </c>
      <c r="AA367" s="10" t="e">
        <f>VLOOKUP(AJ359,'CIR Team Info'!$C$5:$E$44,4,FALSE)</f>
        <v>#N/A</v>
      </c>
      <c r="AB367" s="161" t="b">
        <f>ISNUMBER(VLOOKUP(AJ359,Match!$T$5:$T$10,1,FALSE))</f>
        <v>0</v>
      </c>
      <c r="AC367" s="161" t="b">
        <f>IF(AB367=TRUE,(VLOOKUP($AJ359,Match!$T$5:$U$10,2,FALSE)))</f>
        <v>0</v>
      </c>
      <c r="AD367" s="8">
        <v>3</v>
      </c>
      <c r="AE367" s="8">
        <v>2</v>
      </c>
      <c r="AF367" s="8">
        <v>2</v>
      </c>
      <c r="AG367" s="8">
        <v>1</v>
      </c>
      <c r="AH367" s="8" t="str">
        <f t="shared" si="106"/>
        <v/>
      </c>
      <c r="AI367" s="12"/>
      <c r="AZ367" s="12"/>
      <c r="BC367" s="12"/>
      <c r="BK367" s="12"/>
    </row>
    <row r="368" spans="1:63" x14ac:dyDescent="0.25">
      <c r="A368" s="29">
        <f t="shared" si="113"/>
        <v>0</v>
      </c>
      <c r="B368" s="29">
        <f t="shared" si="107"/>
        <v>0</v>
      </c>
      <c r="C368" s="29">
        <f t="shared" si="108"/>
        <v>0</v>
      </c>
      <c r="D368" s="29">
        <f t="shared" si="109"/>
        <v>0</v>
      </c>
      <c r="E368" s="29">
        <f t="shared" si="114"/>
        <v>0</v>
      </c>
      <c r="F368" s="29">
        <f t="shared" si="115"/>
        <v>0</v>
      </c>
      <c r="G368" s="29" t="str">
        <f t="shared" si="116"/>
        <v>offensive</v>
      </c>
      <c r="H368" s="16">
        <f t="shared" si="120"/>
        <v>0</v>
      </c>
      <c r="I368" s="16">
        <f t="shared" si="121"/>
        <v>0</v>
      </c>
      <c r="J368" s="16">
        <f t="shared" si="110"/>
        <v>0</v>
      </c>
      <c r="K368" s="16">
        <f t="shared" si="117"/>
        <v>0</v>
      </c>
      <c r="L368" s="67">
        <f t="shared" si="118"/>
        <v>0</v>
      </c>
      <c r="M368" s="4">
        <f t="shared" si="111"/>
        <v>0</v>
      </c>
      <c r="N368" s="4">
        <f t="shared" si="112"/>
        <v>0</v>
      </c>
      <c r="O368" s="4">
        <f t="shared" si="119"/>
        <v>0</v>
      </c>
      <c r="P368" s="4" t="e">
        <f>VLOOKUP(AJ360,'CIR Team Info'!$C$5:$E$44,2,FALSE)</f>
        <v>#N/A</v>
      </c>
      <c r="Q368" s="4" t="e">
        <f>VLOOKUP(AJ360,'CIR Team Info'!$C$5:$E$44,3,FALSE)</f>
        <v>#N/A</v>
      </c>
      <c r="R368" s="10" t="e">
        <f>VLOOKUP(AJ360,'FRC Site Data'!$B$3:$L$42,2,FALSE)</f>
        <v>#N/A</v>
      </c>
      <c r="S368" s="10" t="e">
        <f>VLOOKUP(AJ360,'FRC Site Data'!$B$3:$L$42,3,FALSE)</f>
        <v>#N/A</v>
      </c>
      <c r="T368" s="10" t="e">
        <f>VLOOKUP(AJ360,'FRC Site Data'!$B$3:$L$42,4,FALSE)</f>
        <v>#N/A</v>
      </c>
      <c r="U368" s="10" t="e">
        <f>VLOOKUP(AJ360,'FRC Site Data'!$B$3:$L$42,5,FALSE)</f>
        <v>#N/A</v>
      </c>
      <c r="V368" s="10" t="e">
        <f>VLOOKUP(AJ360,'FRC Site Data'!$B$3:$L$42,6,FALSE)</f>
        <v>#N/A</v>
      </c>
      <c r="W368" s="10" t="e">
        <f>VLOOKUP(AJ360,'FRC Site Data'!$B$3:$L$42,8,FALSE)</f>
        <v>#N/A</v>
      </c>
      <c r="X368" s="10" t="e">
        <f>VLOOKUP(AJ360,'FRC Site Data'!$B$3:$L$42,9,FALSE)</f>
        <v>#N/A</v>
      </c>
      <c r="Y368" s="10" t="e">
        <f>VLOOKUP(AJ360,'FRC Site Data'!$B$3:$L$42,10,FALSE)</f>
        <v>#N/A</v>
      </c>
      <c r="Z368" s="10" t="e">
        <f>VLOOKUP(AJ360,'FRC Site Data'!$B$3:$L$42,11,FALSE)</f>
        <v>#N/A</v>
      </c>
      <c r="AA368" s="10" t="e">
        <f>VLOOKUP(AJ360,'CIR Team Info'!$C$5:$E$44,4,FALSE)</f>
        <v>#N/A</v>
      </c>
      <c r="AB368" s="161" t="b">
        <f>ISNUMBER(VLOOKUP(AJ360,Match!$T$5:$T$10,1,FALSE))</f>
        <v>0</v>
      </c>
      <c r="AC368" s="161" t="b">
        <f>IF(AB368=TRUE,(VLOOKUP($AJ360,Match!$T$5:$U$10,2,FALSE)))</f>
        <v>0</v>
      </c>
      <c r="AD368" s="8">
        <v>3</v>
      </c>
      <c r="AE368" s="8">
        <v>2</v>
      </c>
      <c r="AF368" s="8">
        <v>2</v>
      </c>
      <c r="AG368" s="8">
        <v>1</v>
      </c>
      <c r="AH368" s="8" t="str">
        <f t="shared" si="106"/>
        <v/>
      </c>
      <c r="AI368" s="12"/>
      <c r="AZ368" s="12"/>
      <c r="BC368" s="12"/>
      <c r="BK368" s="12"/>
    </row>
    <row r="369" spans="1:63" x14ac:dyDescent="0.25">
      <c r="A369" s="29">
        <f t="shared" si="113"/>
        <v>0</v>
      </c>
      <c r="B369" s="29">
        <f t="shared" si="107"/>
        <v>0</v>
      </c>
      <c r="C369" s="29">
        <f t="shared" si="108"/>
        <v>0</v>
      </c>
      <c r="D369" s="29">
        <f t="shared" si="109"/>
        <v>0</v>
      </c>
      <c r="E369" s="29">
        <f t="shared" si="114"/>
        <v>0</v>
      </c>
      <c r="F369" s="29">
        <f t="shared" si="115"/>
        <v>0</v>
      </c>
      <c r="G369" s="29" t="str">
        <f t="shared" si="116"/>
        <v>offensive</v>
      </c>
      <c r="H369" s="16">
        <f t="shared" si="120"/>
        <v>0</v>
      </c>
      <c r="I369" s="16">
        <f t="shared" si="121"/>
        <v>0</v>
      </c>
      <c r="J369" s="16">
        <f t="shared" si="110"/>
        <v>0</v>
      </c>
      <c r="K369" s="16">
        <f t="shared" si="117"/>
        <v>0</v>
      </c>
      <c r="L369" s="67">
        <f t="shared" si="118"/>
        <v>0</v>
      </c>
      <c r="M369" s="4">
        <f t="shared" si="111"/>
        <v>0</v>
      </c>
      <c r="N369" s="4">
        <f t="shared" si="112"/>
        <v>0</v>
      </c>
      <c r="O369" s="4">
        <f t="shared" si="119"/>
        <v>0</v>
      </c>
      <c r="P369" s="4" t="e">
        <f>VLOOKUP(AJ361,'CIR Team Info'!$C$5:$E$44,2,FALSE)</f>
        <v>#N/A</v>
      </c>
      <c r="Q369" s="4" t="e">
        <f>VLOOKUP(AJ361,'CIR Team Info'!$C$5:$E$44,3,FALSE)</f>
        <v>#N/A</v>
      </c>
      <c r="R369" s="10" t="e">
        <f>VLOOKUP(AJ361,'FRC Site Data'!$B$3:$L$42,2,FALSE)</f>
        <v>#N/A</v>
      </c>
      <c r="S369" s="10" t="e">
        <f>VLOOKUP(AJ361,'FRC Site Data'!$B$3:$L$42,3,FALSE)</f>
        <v>#N/A</v>
      </c>
      <c r="T369" s="10" t="e">
        <f>VLOOKUP(AJ361,'FRC Site Data'!$B$3:$L$42,4,FALSE)</f>
        <v>#N/A</v>
      </c>
      <c r="U369" s="10" t="e">
        <f>VLOOKUP(AJ361,'FRC Site Data'!$B$3:$L$42,5,FALSE)</f>
        <v>#N/A</v>
      </c>
      <c r="V369" s="10" t="e">
        <f>VLOOKUP(AJ361,'FRC Site Data'!$B$3:$L$42,6,FALSE)</f>
        <v>#N/A</v>
      </c>
      <c r="W369" s="10" t="e">
        <f>VLOOKUP(AJ361,'FRC Site Data'!$B$3:$L$42,8,FALSE)</f>
        <v>#N/A</v>
      </c>
      <c r="X369" s="10" t="e">
        <f>VLOOKUP(AJ361,'FRC Site Data'!$B$3:$L$42,9,FALSE)</f>
        <v>#N/A</v>
      </c>
      <c r="Y369" s="10" t="e">
        <f>VLOOKUP(AJ361,'FRC Site Data'!$B$3:$L$42,10,FALSE)</f>
        <v>#N/A</v>
      </c>
      <c r="Z369" s="10" t="e">
        <f>VLOOKUP(AJ361,'FRC Site Data'!$B$3:$L$42,11,FALSE)</f>
        <v>#N/A</v>
      </c>
      <c r="AA369" s="10" t="e">
        <f>VLOOKUP(AJ361,'CIR Team Info'!$C$5:$E$44,4,FALSE)</f>
        <v>#N/A</v>
      </c>
      <c r="AB369" s="161" t="b">
        <f>ISNUMBER(VLOOKUP(AJ361,Match!$T$5:$T$10,1,FALSE))</f>
        <v>0</v>
      </c>
      <c r="AC369" s="161" t="b">
        <f>IF(AB369=TRUE,(VLOOKUP($AJ361,Match!$T$5:$U$10,2,FALSE)))</f>
        <v>0</v>
      </c>
      <c r="AD369" s="8">
        <v>3</v>
      </c>
      <c r="AE369" s="8">
        <v>2</v>
      </c>
      <c r="AF369" s="8">
        <v>2</v>
      </c>
      <c r="AG369" s="8">
        <v>1</v>
      </c>
      <c r="AH369" s="8" t="str">
        <f t="shared" ref="AH369:AH428" si="122">IF(AL361="Other","x","")</f>
        <v/>
      </c>
      <c r="AI369" s="12"/>
      <c r="AZ369" s="12"/>
      <c r="BC369" s="12"/>
      <c r="BK369" s="12"/>
    </row>
    <row r="370" spans="1:63" x14ac:dyDescent="0.25">
      <c r="A370" s="29">
        <f t="shared" si="113"/>
        <v>0</v>
      </c>
      <c r="B370" s="29">
        <f t="shared" si="107"/>
        <v>0</v>
      </c>
      <c r="C370" s="29">
        <f t="shared" si="108"/>
        <v>0</v>
      </c>
      <c r="D370" s="29">
        <f t="shared" si="109"/>
        <v>0</v>
      </c>
      <c r="E370" s="29">
        <f t="shared" si="114"/>
        <v>0</v>
      </c>
      <c r="F370" s="29">
        <f t="shared" si="115"/>
        <v>0</v>
      </c>
      <c r="G370" s="29" t="str">
        <f t="shared" si="116"/>
        <v>offensive</v>
      </c>
      <c r="H370" s="16">
        <f t="shared" si="120"/>
        <v>0</v>
      </c>
      <c r="I370" s="16">
        <f t="shared" si="121"/>
        <v>0</v>
      </c>
      <c r="J370" s="16">
        <f t="shared" si="110"/>
        <v>0</v>
      </c>
      <c r="K370" s="16">
        <f t="shared" si="117"/>
        <v>0</v>
      </c>
      <c r="L370" s="67">
        <f t="shared" si="118"/>
        <v>0</v>
      </c>
      <c r="M370" s="4">
        <f t="shared" si="111"/>
        <v>0</v>
      </c>
      <c r="N370" s="4">
        <f t="shared" si="112"/>
        <v>0</v>
      </c>
      <c r="O370" s="4">
        <f t="shared" si="119"/>
        <v>0</v>
      </c>
      <c r="P370" s="4" t="e">
        <f>VLOOKUP(AJ362,'CIR Team Info'!$C$5:$E$44,2,FALSE)</f>
        <v>#N/A</v>
      </c>
      <c r="Q370" s="4" t="e">
        <f>VLOOKUP(AJ362,'CIR Team Info'!$C$5:$E$44,3,FALSE)</f>
        <v>#N/A</v>
      </c>
      <c r="R370" s="10" t="e">
        <f>VLOOKUP(AJ362,'FRC Site Data'!$B$3:$L$42,2,FALSE)</f>
        <v>#N/A</v>
      </c>
      <c r="S370" s="10" t="e">
        <f>VLOOKUP(AJ362,'FRC Site Data'!$B$3:$L$42,3,FALSE)</f>
        <v>#N/A</v>
      </c>
      <c r="T370" s="10" t="e">
        <f>VLOOKUP(AJ362,'FRC Site Data'!$B$3:$L$42,4,FALSE)</f>
        <v>#N/A</v>
      </c>
      <c r="U370" s="10" t="e">
        <f>VLOOKUP(AJ362,'FRC Site Data'!$B$3:$L$42,5,FALSE)</f>
        <v>#N/A</v>
      </c>
      <c r="V370" s="10" t="e">
        <f>VLOOKUP(AJ362,'FRC Site Data'!$B$3:$L$42,6,FALSE)</f>
        <v>#N/A</v>
      </c>
      <c r="W370" s="10" t="e">
        <f>VLOOKUP(AJ362,'FRC Site Data'!$B$3:$L$42,8,FALSE)</f>
        <v>#N/A</v>
      </c>
      <c r="X370" s="10" t="e">
        <f>VLOOKUP(AJ362,'FRC Site Data'!$B$3:$L$42,9,FALSE)</f>
        <v>#N/A</v>
      </c>
      <c r="Y370" s="10" t="e">
        <f>VLOOKUP(AJ362,'FRC Site Data'!$B$3:$L$42,10,FALSE)</f>
        <v>#N/A</v>
      </c>
      <c r="Z370" s="10" t="e">
        <f>VLOOKUP(AJ362,'FRC Site Data'!$B$3:$L$42,11,FALSE)</f>
        <v>#N/A</v>
      </c>
      <c r="AA370" s="10" t="e">
        <f>VLOOKUP(AJ362,'CIR Team Info'!$C$5:$E$44,4,FALSE)</f>
        <v>#N/A</v>
      </c>
      <c r="AB370" s="161" t="b">
        <f>ISNUMBER(VLOOKUP(AJ362,Match!$T$5:$T$10,1,FALSE))</f>
        <v>0</v>
      </c>
      <c r="AC370" s="161" t="b">
        <f>IF(AB370=TRUE,(VLOOKUP($AJ362,Match!$T$5:$U$10,2,FALSE)))</f>
        <v>0</v>
      </c>
      <c r="AD370" s="8">
        <v>3</v>
      </c>
      <c r="AE370" s="8">
        <v>2</v>
      </c>
      <c r="AF370" s="8">
        <v>2</v>
      </c>
      <c r="AG370" s="8">
        <v>1</v>
      </c>
      <c r="AH370" s="8" t="str">
        <f t="shared" si="122"/>
        <v/>
      </c>
      <c r="AI370" s="12"/>
      <c r="AZ370" s="12"/>
      <c r="BC370" s="12"/>
      <c r="BK370" s="12"/>
    </row>
    <row r="371" spans="1:63" x14ac:dyDescent="0.25">
      <c r="A371" s="29">
        <f t="shared" si="113"/>
        <v>0</v>
      </c>
      <c r="B371" s="29">
        <f t="shared" si="107"/>
        <v>0</v>
      </c>
      <c r="C371" s="29">
        <f t="shared" si="108"/>
        <v>0</v>
      </c>
      <c r="D371" s="29">
        <f t="shared" si="109"/>
        <v>0</v>
      </c>
      <c r="E371" s="29">
        <f t="shared" si="114"/>
        <v>0</v>
      </c>
      <c r="F371" s="29">
        <f t="shared" si="115"/>
        <v>0</v>
      </c>
      <c r="G371" s="29" t="str">
        <f t="shared" si="116"/>
        <v>offensive</v>
      </c>
      <c r="H371" s="16">
        <f t="shared" si="120"/>
        <v>0</v>
      </c>
      <c r="I371" s="16">
        <f t="shared" si="121"/>
        <v>0</v>
      </c>
      <c r="J371" s="16">
        <f t="shared" si="110"/>
        <v>0</v>
      </c>
      <c r="K371" s="16">
        <f t="shared" si="117"/>
        <v>0</v>
      </c>
      <c r="L371" s="67">
        <f t="shared" si="118"/>
        <v>0</v>
      </c>
      <c r="M371" s="4">
        <f t="shared" si="111"/>
        <v>0</v>
      </c>
      <c r="N371" s="4">
        <f t="shared" si="112"/>
        <v>0</v>
      </c>
      <c r="O371" s="4">
        <f t="shared" si="119"/>
        <v>0</v>
      </c>
      <c r="P371" s="4" t="e">
        <f>VLOOKUP(AJ363,'CIR Team Info'!$C$5:$E$44,2,FALSE)</f>
        <v>#N/A</v>
      </c>
      <c r="Q371" s="4" t="e">
        <f>VLOOKUP(AJ363,'CIR Team Info'!$C$5:$E$44,3,FALSE)</f>
        <v>#N/A</v>
      </c>
      <c r="R371" s="10" t="e">
        <f>VLOOKUP(AJ363,'FRC Site Data'!$B$3:$L$42,2,FALSE)</f>
        <v>#N/A</v>
      </c>
      <c r="S371" s="10" t="e">
        <f>VLOOKUP(AJ363,'FRC Site Data'!$B$3:$L$42,3,FALSE)</f>
        <v>#N/A</v>
      </c>
      <c r="T371" s="10" t="e">
        <f>VLOOKUP(AJ363,'FRC Site Data'!$B$3:$L$42,4,FALSE)</f>
        <v>#N/A</v>
      </c>
      <c r="U371" s="10" t="e">
        <f>VLOOKUP(AJ363,'FRC Site Data'!$B$3:$L$42,5,FALSE)</f>
        <v>#N/A</v>
      </c>
      <c r="V371" s="10" t="e">
        <f>VLOOKUP(AJ363,'FRC Site Data'!$B$3:$L$42,6,FALSE)</f>
        <v>#N/A</v>
      </c>
      <c r="W371" s="10" t="e">
        <f>VLOOKUP(AJ363,'FRC Site Data'!$B$3:$L$42,8,FALSE)</f>
        <v>#N/A</v>
      </c>
      <c r="X371" s="10" t="e">
        <f>VLOOKUP(AJ363,'FRC Site Data'!$B$3:$L$42,9,FALSE)</f>
        <v>#N/A</v>
      </c>
      <c r="Y371" s="10" t="e">
        <f>VLOOKUP(AJ363,'FRC Site Data'!$B$3:$L$42,10,FALSE)</f>
        <v>#N/A</v>
      </c>
      <c r="Z371" s="10" t="e">
        <f>VLOOKUP(AJ363,'FRC Site Data'!$B$3:$L$42,11,FALSE)</f>
        <v>#N/A</v>
      </c>
      <c r="AA371" s="10" t="e">
        <f>VLOOKUP(AJ363,'CIR Team Info'!$C$5:$E$44,4,FALSE)</f>
        <v>#N/A</v>
      </c>
      <c r="AB371" s="161" t="b">
        <f>ISNUMBER(VLOOKUP(AJ363,Match!$T$5:$T$10,1,FALSE))</f>
        <v>0</v>
      </c>
      <c r="AC371" s="161" t="b">
        <f>IF(AB371=TRUE,(VLOOKUP($AJ363,Match!$T$5:$U$10,2,FALSE)))</f>
        <v>0</v>
      </c>
      <c r="AD371" s="8">
        <v>3</v>
      </c>
      <c r="AE371" s="8">
        <v>2</v>
      </c>
      <c r="AF371" s="8">
        <v>2</v>
      </c>
      <c r="AG371" s="8">
        <v>1</v>
      </c>
      <c r="AH371" s="8" t="str">
        <f t="shared" si="122"/>
        <v/>
      </c>
      <c r="AI371" s="12"/>
      <c r="AZ371" s="12"/>
      <c r="BC371" s="12"/>
      <c r="BK371" s="12"/>
    </row>
    <row r="372" spans="1:63" x14ac:dyDescent="0.25">
      <c r="A372" s="29">
        <f t="shared" si="113"/>
        <v>0</v>
      </c>
      <c r="B372" s="29">
        <f t="shared" si="107"/>
        <v>0</v>
      </c>
      <c r="C372" s="29">
        <f t="shared" si="108"/>
        <v>0</v>
      </c>
      <c r="D372" s="29">
        <f t="shared" si="109"/>
        <v>0</v>
      </c>
      <c r="E372" s="29">
        <f t="shared" si="114"/>
        <v>0</v>
      </c>
      <c r="F372" s="29">
        <f t="shared" si="115"/>
        <v>0</v>
      </c>
      <c r="G372" s="29" t="str">
        <f t="shared" si="116"/>
        <v>offensive</v>
      </c>
      <c r="H372" s="16">
        <f t="shared" si="120"/>
        <v>0</v>
      </c>
      <c r="I372" s="16">
        <f t="shared" si="121"/>
        <v>0</v>
      </c>
      <c r="J372" s="16">
        <f t="shared" si="110"/>
        <v>0</v>
      </c>
      <c r="K372" s="16">
        <f t="shared" si="117"/>
        <v>0</v>
      </c>
      <c r="L372" s="67">
        <f t="shared" si="118"/>
        <v>0</v>
      </c>
      <c r="M372" s="4">
        <f t="shared" si="111"/>
        <v>0</v>
      </c>
      <c r="N372" s="4">
        <f t="shared" si="112"/>
        <v>0</v>
      </c>
      <c r="O372" s="4">
        <f t="shared" si="119"/>
        <v>0</v>
      </c>
      <c r="P372" s="4" t="e">
        <f>VLOOKUP(AJ364,'CIR Team Info'!$C$5:$E$44,2,FALSE)</f>
        <v>#N/A</v>
      </c>
      <c r="Q372" s="4" t="e">
        <f>VLOOKUP(AJ364,'CIR Team Info'!$C$5:$E$44,3,FALSE)</f>
        <v>#N/A</v>
      </c>
      <c r="R372" s="10" t="e">
        <f>VLOOKUP(AJ364,'FRC Site Data'!$B$3:$L$42,2,FALSE)</f>
        <v>#N/A</v>
      </c>
      <c r="S372" s="10" t="e">
        <f>VLOOKUP(AJ364,'FRC Site Data'!$B$3:$L$42,3,FALSE)</f>
        <v>#N/A</v>
      </c>
      <c r="T372" s="10" t="e">
        <f>VLOOKUP(AJ364,'FRC Site Data'!$B$3:$L$42,4,FALSE)</f>
        <v>#N/A</v>
      </c>
      <c r="U372" s="10" t="e">
        <f>VLOOKUP(AJ364,'FRC Site Data'!$B$3:$L$42,5,FALSE)</f>
        <v>#N/A</v>
      </c>
      <c r="V372" s="10" t="e">
        <f>VLOOKUP(AJ364,'FRC Site Data'!$B$3:$L$42,6,FALSE)</f>
        <v>#N/A</v>
      </c>
      <c r="W372" s="10" t="e">
        <f>VLOOKUP(AJ364,'FRC Site Data'!$B$3:$L$42,8,FALSE)</f>
        <v>#N/A</v>
      </c>
      <c r="X372" s="10" t="e">
        <f>VLOOKUP(AJ364,'FRC Site Data'!$B$3:$L$42,9,FALSE)</f>
        <v>#N/A</v>
      </c>
      <c r="Y372" s="10" t="e">
        <f>VLOOKUP(AJ364,'FRC Site Data'!$B$3:$L$42,10,FALSE)</f>
        <v>#N/A</v>
      </c>
      <c r="Z372" s="10" t="e">
        <f>VLOOKUP(AJ364,'FRC Site Data'!$B$3:$L$42,11,FALSE)</f>
        <v>#N/A</v>
      </c>
      <c r="AA372" s="10" t="e">
        <f>VLOOKUP(AJ364,'CIR Team Info'!$C$5:$E$44,4,FALSE)</f>
        <v>#N/A</v>
      </c>
      <c r="AB372" s="161" t="b">
        <f>ISNUMBER(VLOOKUP(AJ364,Match!$T$5:$T$10,1,FALSE))</f>
        <v>0</v>
      </c>
      <c r="AC372" s="161" t="b">
        <f>IF(AB372=TRUE,(VLOOKUP($AJ364,Match!$T$5:$U$10,2,FALSE)))</f>
        <v>0</v>
      </c>
      <c r="AD372" s="8">
        <v>3</v>
      </c>
      <c r="AE372" s="8">
        <v>2</v>
      </c>
      <c r="AF372" s="8">
        <v>2</v>
      </c>
      <c r="AG372" s="8">
        <v>1</v>
      </c>
      <c r="AH372" s="8" t="str">
        <f t="shared" si="122"/>
        <v/>
      </c>
      <c r="AI372" s="12"/>
      <c r="AZ372" s="12"/>
      <c r="BC372" s="12"/>
      <c r="BK372" s="12"/>
    </row>
    <row r="373" spans="1:63" x14ac:dyDescent="0.25">
      <c r="A373" s="29">
        <f t="shared" si="113"/>
        <v>0</v>
      </c>
      <c r="B373" s="29">
        <f t="shared" si="107"/>
        <v>0</v>
      </c>
      <c r="C373" s="29">
        <f t="shared" si="108"/>
        <v>0</v>
      </c>
      <c r="D373" s="29">
        <f t="shared" si="109"/>
        <v>0</v>
      </c>
      <c r="E373" s="29">
        <f t="shared" si="114"/>
        <v>0</v>
      </c>
      <c r="F373" s="29">
        <f t="shared" si="115"/>
        <v>0</v>
      </c>
      <c r="G373" s="29" t="str">
        <f t="shared" si="116"/>
        <v>offensive</v>
      </c>
      <c r="H373" s="16">
        <f t="shared" si="120"/>
        <v>0</v>
      </c>
      <c r="I373" s="16">
        <f t="shared" si="121"/>
        <v>0</v>
      </c>
      <c r="J373" s="16">
        <f t="shared" si="110"/>
        <v>0</v>
      </c>
      <c r="K373" s="16">
        <f t="shared" si="117"/>
        <v>0</v>
      </c>
      <c r="L373" s="67">
        <f t="shared" si="118"/>
        <v>0</v>
      </c>
      <c r="M373" s="4">
        <f t="shared" si="111"/>
        <v>0</v>
      </c>
      <c r="N373" s="4">
        <f t="shared" si="112"/>
        <v>0</v>
      </c>
      <c r="O373" s="4">
        <f t="shared" si="119"/>
        <v>0</v>
      </c>
      <c r="P373" s="4" t="e">
        <f>VLOOKUP(AJ365,'CIR Team Info'!$C$5:$E$44,2,FALSE)</f>
        <v>#N/A</v>
      </c>
      <c r="Q373" s="4" t="e">
        <f>VLOOKUP(AJ365,'CIR Team Info'!$C$5:$E$44,3,FALSE)</f>
        <v>#N/A</v>
      </c>
      <c r="R373" s="10" t="e">
        <f>VLOOKUP(AJ365,'FRC Site Data'!$B$3:$L$42,2,FALSE)</f>
        <v>#N/A</v>
      </c>
      <c r="S373" s="10" t="e">
        <f>VLOOKUP(AJ365,'FRC Site Data'!$B$3:$L$42,3,FALSE)</f>
        <v>#N/A</v>
      </c>
      <c r="T373" s="10" t="e">
        <f>VLOOKUP(AJ365,'FRC Site Data'!$B$3:$L$42,4,FALSE)</f>
        <v>#N/A</v>
      </c>
      <c r="U373" s="10" t="e">
        <f>VLOOKUP(AJ365,'FRC Site Data'!$B$3:$L$42,5,FALSE)</f>
        <v>#N/A</v>
      </c>
      <c r="V373" s="10" t="e">
        <f>VLOOKUP(AJ365,'FRC Site Data'!$B$3:$L$42,6,FALSE)</f>
        <v>#N/A</v>
      </c>
      <c r="W373" s="10" t="e">
        <f>VLOOKUP(AJ365,'FRC Site Data'!$B$3:$L$42,8,FALSE)</f>
        <v>#N/A</v>
      </c>
      <c r="X373" s="10" t="e">
        <f>VLOOKUP(AJ365,'FRC Site Data'!$B$3:$L$42,9,FALSE)</f>
        <v>#N/A</v>
      </c>
      <c r="Y373" s="10" t="e">
        <f>VLOOKUP(AJ365,'FRC Site Data'!$B$3:$L$42,10,FALSE)</f>
        <v>#N/A</v>
      </c>
      <c r="Z373" s="10" t="e">
        <f>VLOOKUP(AJ365,'FRC Site Data'!$B$3:$L$42,11,FALSE)</f>
        <v>#N/A</v>
      </c>
      <c r="AA373" s="10" t="e">
        <f>VLOOKUP(AJ365,'CIR Team Info'!$C$5:$E$44,4,FALSE)</f>
        <v>#N/A</v>
      </c>
      <c r="AB373" s="161" t="b">
        <f>ISNUMBER(VLOOKUP(AJ365,Match!$T$5:$T$10,1,FALSE))</f>
        <v>0</v>
      </c>
      <c r="AC373" s="161" t="b">
        <f>IF(AB373=TRUE,(VLOOKUP($AJ365,Match!$T$5:$U$10,2,FALSE)))</f>
        <v>0</v>
      </c>
      <c r="AD373" s="8">
        <v>3</v>
      </c>
      <c r="AE373" s="8">
        <v>2</v>
      </c>
      <c r="AF373" s="8">
        <v>2</v>
      </c>
      <c r="AG373" s="8">
        <v>1</v>
      </c>
      <c r="AH373" s="8" t="str">
        <f t="shared" si="122"/>
        <v/>
      </c>
      <c r="AI373" s="12"/>
      <c r="AZ373" s="12"/>
      <c r="BC373" s="12"/>
      <c r="BK373" s="12"/>
    </row>
    <row r="374" spans="1:63" x14ac:dyDescent="0.25">
      <c r="A374" s="29">
        <f t="shared" si="113"/>
        <v>0</v>
      </c>
      <c r="B374" s="29">
        <f t="shared" si="107"/>
        <v>0</v>
      </c>
      <c r="C374" s="29">
        <f t="shared" si="108"/>
        <v>0</v>
      </c>
      <c r="D374" s="29">
        <f t="shared" si="109"/>
        <v>0</v>
      </c>
      <c r="E374" s="29">
        <f t="shared" si="114"/>
        <v>0</v>
      </c>
      <c r="F374" s="29">
        <f t="shared" si="115"/>
        <v>0</v>
      </c>
      <c r="G374" s="29" t="str">
        <f t="shared" si="116"/>
        <v>offensive</v>
      </c>
      <c r="H374" s="16">
        <f t="shared" si="120"/>
        <v>0</v>
      </c>
      <c r="I374" s="16">
        <f t="shared" si="121"/>
        <v>0</v>
      </c>
      <c r="J374" s="16">
        <f t="shared" si="110"/>
        <v>0</v>
      </c>
      <c r="K374" s="16">
        <f t="shared" si="117"/>
        <v>0</v>
      </c>
      <c r="L374" s="67">
        <f t="shared" si="118"/>
        <v>0</v>
      </c>
      <c r="M374" s="4">
        <f t="shared" si="111"/>
        <v>0</v>
      </c>
      <c r="N374" s="4">
        <f t="shared" si="112"/>
        <v>0</v>
      </c>
      <c r="O374" s="4">
        <f t="shared" si="119"/>
        <v>0</v>
      </c>
      <c r="P374" s="4" t="e">
        <f>VLOOKUP(AJ366,'CIR Team Info'!$C$5:$E$44,2,FALSE)</f>
        <v>#N/A</v>
      </c>
      <c r="Q374" s="4" t="e">
        <f>VLOOKUP(AJ366,'CIR Team Info'!$C$5:$E$44,3,FALSE)</f>
        <v>#N/A</v>
      </c>
      <c r="R374" s="10" t="e">
        <f>VLOOKUP(AJ366,'FRC Site Data'!$B$3:$L$42,2,FALSE)</f>
        <v>#N/A</v>
      </c>
      <c r="S374" s="10" t="e">
        <f>VLOOKUP(AJ366,'FRC Site Data'!$B$3:$L$42,3,FALSE)</f>
        <v>#N/A</v>
      </c>
      <c r="T374" s="10" t="e">
        <f>VLOOKUP(AJ366,'FRC Site Data'!$B$3:$L$42,4,FALSE)</f>
        <v>#N/A</v>
      </c>
      <c r="U374" s="10" t="e">
        <f>VLOOKUP(AJ366,'FRC Site Data'!$B$3:$L$42,5,FALSE)</f>
        <v>#N/A</v>
      </c>
      <c r="V374" s="10" t="e">
        <f>VLOOKUP(AJ366,'FRC Site Data'!$B$3:$L$42,6,FALSE)</f>
        <v>#N/A</v>
      </c>
      <c r="W374" s="10" t="e">
        <f>VLOOKUP(AJ366,'FRC Site Data'!$B$3:$L$42,8,FALSE)</f>
        <v>#N/A</v>
      </c>
      <c r="X374" s="10" t="e">
        <f>VLOOKUP(AJ366,'FRC Site Data'!$B$3:$L$42,9,FALSE)</f>
        <v>#N/A</v>
      </c>
      <c r="Y374" s="10" t="e">
        <f>VLOOKUP(AJ366,'FRC Site Data'!$B$3:$L$42,10,FALSE)</f>
        <v>#N/A</v>
      </c>
      <c r="Z374" s="10" t="e">
        <f>VLOOKUP(AJ366,'FRC Site Data'!$B$3:$L$42,11,FALSE)</f>
        <v>#N/A</v>
      </c>
      <c r="AA374" s="10" t="e">
        <f>VLOOKUP(AJ366,'CIR Team Info'!$C$5:$E$44,4,FALSE)</f>
        <v>#N/A</v>
      </c>
      <c r="AB374" s="161" t="b">
        <f>ISNUMBER(VLOOKUP(AJ366,Match!$T$5:$T$10,1,FALSE))</f>
        <v>0</v>
      </c>
      <c r="AC374" s="161" t="b">
        <f>IF(AB374=TRUE,(VLOOKUP($AJ366,Match!$T$5:$U$10,2,FALSE)))</f>
        <v>0</v>
      </c>
      <c r="AD374" s="8">
        <v>3</v>
      </c>
      <c r="AE374" s="8">
        <v>2</v>
      </c>
      <c r="AF374" s="8">
        <v>2</v>
      </c>
      <c r="AG374" s="8">
        <v>1</v>
      </c>
      <c r="AH374" s="8" t="str">
        <f t="shared" si="122"/>
        <v/>
      </c>
      <c r="AI374" s="12"/>
      <c r="AZ374" s="12"/>
      <c r="BC374" s="12"/>
      <c r="BK374" s="12"/>
    </row>
    <row r="375" spans="1:63" x14ac:dyDescent="0.25">
      <c r="A375" s="29">
        <f t="shared" si="113"/>
        <v>0</v>
      </c>
      <c r="B375" s="29">
        <f t="shared" si="107"/>
        <v>0</v>
      </c>
      <c r="C375" s="29">
        <f t="shared" si="108"/>
        <v>0</v>
      </c>
      <c r="D375" s="29">
        <f t="shared" si="109"/>
        <v>0</v>
      </c>
      <c r="E375" s="29">
        <f t="shared" si="114"/>
        <v>0</v>
      </c>
      <c r="F375" s="29">
        <f t="shared" si="115"/>
        <v>0</v>
      </c>
      <c r="G375" s="29" t="str">
        <f t="shared" si="116"/>
        <v>offensive</v>
      </c>
      <c r="H375" s="16">
        <f t="shared" si="120"/>
        <v>0</v>
      </c>
      <c r="I375" s="16">
        <f t="shared" si="121"/>
        <v>0</v>
      </c>
      <c r="J375" s="16">
        <f t="shared" si="110"/>
        <v>0</v>
      </c>
      <c r="K375" s="16">
        <f t="shared" si="117"/>
        <v>0</v>
      </c>
      <c r="L375" s="67">
        <f t="shared" si="118"/>
        <v>0</v>
      </c>
      <c r="M375" s="4">
        <f t="shared" si="111"/>
        <v>0</v>
      </c>
      <c r="N375" s="4">
        <f t="shared" si="112"/>
        <v>0</v>
      </c>
      <c r="O375" s="4">
        <f t="shared" si="119"/>
        <v>0</v>
      </c>
      <c r="P375" s="4" t="e">
        <f>VLOOKUP(AJ367,'CIR Team Info'!$C$5:$E$44,2,FALSE)</f>
        <v>#N/A</v>
      </c>
      <c r="Q375" s="4" t="e">
        <f>VLOOKUP(AJ367,'CIR Team Info'!$C$5:$E$44,3,FALSE)</f>
        <v>#N/A</v>
      </c>
      <c r="R375" s="10" t="e">
        <f>VLOOKUP(AJ367,'FRC Site Data'!$B$3:$L$42,2,FALSE)</f>
        <v>#N/A</v>
      </c>
      <c r="S375" s="10" t="e">
        <f>VLOOKUP(AJ367,'FRC Site Data'!$B$3:$L$42,3,FALSE)</f>
        <v>#N/A</v>
      </c>
      <c r="T375" s="10" t="e">
        <f>VLOOKUP(AJ367,'FRC Site Data'!$B$3:$L$42,4,FALSE)</f>
        <v>#N/A</v>
      </c>
      <c r="U375" s="10" t="e">
        <f>VLOOKUP(AJ367,'FRC Site Data'!$B$3:$L$42,5,FALSE)</f>
        <v>#N/A</v>
      </c>
      <c r="V375" s="10" t="e">
        <f>VLOOKUP(AJ367,'FRC Site Data'!$B$3:$L$42,6,FALSE)</f>
        <v>#N/A</v>
      </c>
      <c r="W375" s="10" t="e">
        <f>VLOOKUP(AJ367,'FRC Site Data'!$B$3:$L$42,8,FALSE)</f>
        <v>#N/A</v>
      </c>
      <c r="X375" s="10" t="e">
        <f>VLOOKUP(AJ367,'FRC Site Data'!$B$3:$L$42,9,FALSE)</f>
        <v>#N/A</v>
      </c>
      <c r="Y375" s="10" t="e">
        <f>VLOOKUP(AJ367,'FRC Site Data'!$B$3:$L$42,10,FALSE)</f>
        <v>#N/A</v>
      </c>
      <c r="Z375" s="10" t="e">
        <f>VLOOKUP(AJ367,'FRC Site Data'!$B$3:$L$42,11,FALSE)</f>
        <v>#N/A</v>
      </c>
      <c r="AA375" s="10" t="e">
        <f>VLOOKUP(AJ367,'CIR Team Info'!$C$5:$E$44,4,FALSE)</f>
        <v>#N/A</v>
      </c>
      <c r="AB375" s="161" t="b">
        <f>ISNUMBER(VLOOKUP(AJ367,Match!$T$5:$T$10,1,FALSE))</f>
        <v>0</v>
      </c>
      <c r="AC375" s="161" t="b">
        <f>IF(AB375=TRUE,(VLOOKUP($AJ367,Match!$T$5:$U$10,2,FALSE)))</f>
        <v>0</v>
      </c>
      <c r="AD375" s="8">
        <v>3</v>
      </c>
      <c r="AE375" s="8">
        <v>2</v>
      </c>
      <c r="AF375" s="8">
        <v>2</v>
      </c>
      <c r="AG375" s="8">
        <v>1</v>
      </c>
      <c r="AH375" s="8" t="str">
        <f t="shared" si="122"/>
        <v/>
      </c>
      <c r="AI375" s="12"/>
      <c r="AZ375" s="12"/>
      <c r="BC375" s="12"/>
      <c r="BK375" s="12"/>
    </row>
    <row r="376" spans="1:63" x14ac:dyDescent="0.25">
      <c r="A376" s="29">
        <f t="shared" si="113"/>
        <v>0</v>
      </c>
      <c r="B376" s="29">
        <f t="shared" si="107"/>
        <v>0</v>
      </c>
      <c r="C376" s="29">
        <f t="shared" si="108"/>
        <v>0</v>
      </c>
      <c r="D376" s="29">
        <f t="shared" si="109"/>
        <v>0</v>
      </c>
      <c r="E376" s="29">
        <f t="shared" si="114"/>
        <v>0</v>
      </c>
      <c r="F376" s="29">
        <f t="shared" si="115"/>
        <v>0</v>
      </c>
      <c r="G376" s="29" t="str">
        <f t="shared" si="116"/>
        <v>offensive</v>
      </c>
      <c r="H376" s="16">
        <f t="shared" si="120"/>
        <v>0</v>
      </c>
      <c r="I376" s="16">
        <f t="shared" si="121"/>
        <v>0</v>
      </c>
      <c r="J376" s="16">
        <f t="shared" si="110"/>
        <v>0</v>
      </c>
      <c r="K376" s="16">
        <f t="shared" si="117"/>
        <v>0</v>
      </c>
      <c r="L376" s="67">
        <f t="shared" si="118"/>
        <v>0</v>
      </c>
      <c r="M376" s="4">
        <f t="shared" si="111"/>
        <v>0</v>
      </c>
      <c r="N376" s="4">
        <f t="shared" si="112"/>
        <v>0</v>
      </c>
      <c r="O376" s="4">
        <f t="shared" si="119"/>
        <v>0</v>
      </c>
      <c r="P376" s="4" t="e">
        <f>VLOOKUP(AJ368,'CIR Team Info'!$C$5:$E$44,2,FALSE)</f>
        <v>#N/A</v>
      </c>
      <c r="Q376" s="4" t="e">
        <f>VLOOKUP(AJ368,'CIR Team Info'!$C$5:$E$44,3,FALSE)</f>
        <v>#N/A</v>
      </c>
      <c r="R376" s="10" t="e">
        <f>VLOOKUP(AJ368,'FRC Site Data'!$B$3:$L$42,2,FALSE)</f>
        <v>#N/A</v>
      </c>
      <c r="S376" s="10" t="e">
        <f>VLOOKUP(AJ368,'FRC Site Data'!$B$3:$L$42,3,FALSE)</f>
        <v>#N/A</v>
      </c>
      <c r="T376" s="10" t="e">
        <f>VLOOKUP(AJ368,'FRC Site Data'!$B$3:$L$42,4,FALSE)</f>
        <v>#N/A</v>
      </c>
      <c r="U376" s="10" t="e">
        <f>VLOOKUP(AJ368,'FRC Site Data'!$B$3:$L$42,5,FALSE)</f>
        <v>#N/A</v>
      </c>
      <c r="V376" s="10" t="e">
        <f>VLOOKUP(AJ368,'FRC Site Data'!$B$3:$L$42,6,FALSE)</f>
        <v>#N/A</v>
      </c>
      <c r="W376" s="10" t="e">
        <f>VLOOKUP(AJ368,'FRC Site Data'!$B$3:$L$42,8,FALSE)</f>
        <v>#N/A</v>
      </c>
      <c r="X376" s="10" t="e">
        <f>VLOOKUP(AJ368,'FRC Site Data'!$B$3:$L$42,9,FALSE)</f>
        <v>#N/A</v>
      </c>
      <c r="Y376" s="10" t="e">
        <f>VLOOKUP(AJ368,'FRC Site Data'!$B$3:$L$42,10,FALSE)</f>
        <v>#N/A</v>
      </c>
      <c r="Z376" s="10" t="e">
        <f>VLOOKUP(AJ368,'FRC Site Data'!$B$3:$L$42,11,FALSE)</f>
        <v>#N/A</v>
      </c>
      <c r="AA376" s="10" t="e">
        <f>VLOOKUP(AJ368,'CIR Team Info'!$C$5:$E$44,4,FALSE)</f>
        <v>#N/A</v>
      </c>
      <c r="AB376" s="161" t="b">
        <f>ISNUMBER(VLOOKUP(AJ368,Match!$T$5:$T$10,1,FALSE))</f>
        <v>0</v>
      </c>
      <c r="AC376" s="161" t="b">
        <f>IF(AB376=TRUE,(VLOOKUP($AJ368,Match!$T$5:$U$10,2,FALSE)))</f>
        <v>0</v>
      </c>
      <c r="AD376" s="8">
        <v>3</v>
      </c>
      <c r="AE376" s="8">
        <v>2</v>
      </c>
      <c r="AF376" s="8">
        <v>2</v>
      </c>
      <c r="AG376" s="8">
        <v>1</v>
      </c>
      <c r="AH376" s="8" t="str">
        <f t="shared" si="122"/>
        <v/>
      </c>
      <c r="AI376" s="12"/>
      <c r="AZ376" s="12"/>
      <c r="BC376" s="12"/>
      <c r="BK376" s="12"/>
    </row>
    <row r="377" spans="1:63" x14ac:dyDescent="0.25">
      <c r="A377" s="29">
        <f t="shared" si="113"/>
        <v>0</v>
      </c>
      <c r="B377" s="29">
        <f t="shared" si="107"/>
        <v>0</v>
      </c>
      <c r="C377" s="29">
        <f t="shared" si="108"/>
        <v>0</v>
      </c>
      <c r="D377" s="29">
        <f t="shared" si="109"/>
        <v>0</v>
      </c>
      <c r="E377" s="29">
        <f t="shared" si="114"/>
        <v>0</v>
      </c>
      <c r="F377" s="29">
        <f t="shared" si="115"/>
        <v>0</v>
      </c>
      <c r="G377" s="29" t="str">
        <f t="shared" si="116"/>
        <v>offensive</v>
      </c>
      <c r="H377" s="16">
        <f t="shared" si="120"/>
        <v>0</v>
      </c>
      <c r="I377" s="16">
        <f t="shared" si="121"/>
        <v>0</v>
      </c>
      <c r="J377" s="16">
        <f t="shared" si="110"/>
        <v>0</v>
      </c>
      <c r="K377" s="16">
        <f t="shared" si="117"/>
        <v>0</v>
      </c>
      <c r="L377" s="67">
        <f t="shared" si="118"/>
        <v>0</v>
      </c>
      <c r="M377" s="4">
        <f t="shared" si="111"/>
        <v>0</v>
      </c>
      <c r="N377" s="4">
        <f t="shared" si="112"/>
        <v>0</v>
      </c>
      <c r="O377" s="4">
        <f t="shared" si="119"/>
        <v>0</v>
      </c>
      <c r="P377" s="4" t="e">
        <f>VLOOKUP(AJ369,'CIR Team Info'!$C$5:$E$44,2,FALSE)</f>
        <v>#N/A</v>
      </c>
      <c r="Q377" s="4" t="e">
        <f>VLOOKUP(AJ369,'CIR Team Info'!$C$5:$E$44,3,FALSE)</f>
        <v>#N/A</v>
      </c>
      <c r="R377" s="10" t="e">
        <f>VLOOKUP(AJ369,'FRC Site Data'!$B$3:$L$42,2,FALSE)</f>
        <v>#N/A</v>
      </c>
      <c r="S377" s="10" t="e">
        <f>VLOOKUP(AJ369,'FRC Site Data'!$B$3:$L$42,3,FALSE)</f>
        <v>#N/A</v>
      </c>
      <c r="T377" s="10" t="e">
        <f>VLOOKUP(AJ369,'FRC Site Data'!$B$3:$L$42,4,FALSE)</f>
        <v>#N/A</v>
      </c>
      <c r="U377" s="10" t="e">
        <f>VLOOKUP(AJ369,'FRC Site Data'!$B$3:$L$42,5,FALSE)</f>
        <v>#N/A</v>
      </c>
      <c r="V377" s="10" t="e">
        <f>VLOOKUP(AJ369,'FRC Site Data'!$B$3:$L$42,6,FALSE)</f>
        <v>#N/A</v>
      </c>
      <c r="W377" s="10" t="e">
        <f>VLOOKUP(AJ369,'FRC Site Data'!$B$3:$L$42,8,FALSE)</f>
        <v>#N/A</v>
      </c>
      <c r="X377" s="10" t="e">
        <f>VLOOKUP(AJ369,'FRC Site Data'!$B$3:$L$42,9,FALSE)</f>
        <v>#N/A</v>
      </c>
      <c r="Y377" s="10" t="e">
        <f>VLOOKUP(AJ369,'FRC Site Data'!$B$3:$L$42,10,FALSE)</f>
        <v>#N/A</v>
      </c>
      <c r="Z377" s="10" t="e">
        <f>VLOOKUP(AJ369,'FRC Site Data'!$B$3:$L$42,11,FALSE)</f>
        <v>#N/A</v>
      </c>
      <c r="AA377" s="10" t="e">
        <f>VLOOKUP(AJ369,'CIR Team Info'!$C$5:$E$44,4,FALSE)</f>
        <v>#N/A</v>
      </c>
      <c r="AB377" s="161" t="b">
        <f>ISNUMBER(VLOOKUP(AJ369,Match!$T$5:$T$10,1,FALSE))</f>
        <v>0</v>
      </c>
      <c r="AC377" s="161" t="b">
        <f>IF(AB377=TRUE,(VLOOKUP($AJ369,Match!$T$5:$U$10,2,FALSE)))</f>
        <v>0</v>
      </c>
      <c r="AD377" s="8">
        <v>3</v>
      </c>
      <c r="AE377" s="8">
        <v>2</v>
      </c>
      <c r="AF377" s="8">
        <v>2</v>
      </c>
      <c r="AG377" s="8">
        <v>1</v>
      </c>
      <c r="AH377" s="8" t="str">
        <f t="shared" si="122"/>
        <v/>
      </c>
      <c r="AI377" s="12"/>
      <c r="AZ377" s="12"/>
      <c r="BC377" s="12"/>
      <c r="BK377" s="12"/>
    </row>
    <row r="378" spans="1:63" x14ac:dyDescent="0.25">
      <c r="A378" s="29">
        <f t="shared" si="113"/>
        <v>0</v>
      </c>
      <c r="B378" s="29">
        <f t="shared" si="107"/>
        <v>0</v>
      </c>
      <c r="C378" s="29">
        <f t="shared" si="108"/>
        <v>0</v>
      </c>
      <c r="D378" s="29">
        <f t="shared" si="109"/>
        <v>0</v>
      </c>
      <c r="E378" s="29">
        <f t="shared" si="114"/>
        <v>0</v>
      </c>
      <c r="F378" s="29">
        <f t="shared" si="115"/>
        <v>0</v>
      </c>
      <c r="G378" s="29" t="str">
        <f t="shared" si="116"/>
        <v>offensive</v>
      </c>
      <c r="H378" s="16">
        <f t="shared" si="120"/>
        <v>0</v>
      </c>
      <c r="I378" s="16">
        <f t="shared" si="121"/>
        <v>0</v>
      </c>
      <c r="J378" s="16">
        <f t="shared" si="110"/>
        <v>0</v>
      </c>
      <c r="K378" s="16">
        <f t="shared" si="117"/>
        <v>0</v>
      </c>
      <c r="L378" s="67">
        <f t="shared" si="118"/>
        <v>0</v>
      </c>
      <c r="M378" s="4">
        <f t="shared" si="111"/>
        <v>0</v>
      </c>
      <c r="N378" s="4">
        <f t="shared" si="112"/>
        <v>0</v>
      </c>
      <c r="O378" s="4">
        <f t="shared" si="119"/>
        <v>0</v>
      </c>
      <c r="P378" s="4" t="e">
        <f>VLOOKUP(AJ370,'CIR Team Info'!$C$5:$E$44,2,FALSE)</f>
        <v>#N/A</v>
      </c>
      <c r="Q378" s="4" t="e">
        <f>VLOOKUP(AJ370,'CIR Team Info'!$C$5:$E$44,3,FALSE)</f>
        <v>#N/A</v>
      </c>
      <c r="R378" s="10" t="e">
        <f>VLOOKUP(AJ370,'FRC Site Data'!$B$3:$L$42,2,FALSE)</f>
        <v>#N/A</v>
      </c>
      <c r="S378" s="10" t="e">
        <f>VLOOKUP(AJ370,'FRC Site Data'!$B$3:$L$42,3,FALSE)</f>
        <v>#N/A</v>
      </c>
      <c r="T378" s="10" t="e">
        <f>VLOOKUP(AJ370,'FRC Site Data'!$B$3:$L$42,4,FALSE)</f>
        <v>#N/A</v>
      </c>
      <c r="U378" s="10" t="e">
        <f>VLOOKUP(AJ370,'FRC Site Data'!$B$3:$L$42,5,FALSE)</f>
        <v>#N/A</v>
      </c>
      <c r="V378" s="10" t="e">
        <f>VLOOKUP(AJ370,'FRC Site Data'!$B$3:$L$42,6,FALSE)</f>
        <v>#N/A</v>
      </c>
      <c r="W378" s="10" t="e">
        <f>VLOOKUP(AJ370,'FRC Site Data'!$B$3:$L$42,8,FALSE)</f>
        <v>#N/A</v>
      </c>
      <c r="X378" s="10" t="e">
        <f>VLOOKUP(AJ370,'FRC Site Data'!$B$3:$L$42,9,FALSE)</f>
        <v>#N/A</v>
      </c>
      <c r="Y378" s="10" t="e">
        <f>VLOOKUP(AJ370,'FRC Site Data'!$B$3:$L$42,10,FALSE)</f>
        <v>#N/A</v>
      </c>
      <c r="Z378" s="10" t="e">
        <f>VLOOKUP(AJ370,'FRC Site Data'!$B$3:$L$42,11,FALSE)</f>
        <v>#N/A</v>
      </c>
      <c r="AA378" s="10" t="e">
        <f>VLOOKUP(AJ370,'CIR Team Info'!$C$5:$E$44,4,FALSE)</f>
        <v>#N/A</v>
      </c>
      <c r="AB378" s="161" t="b">
        <f>ISNUMBER(VLOOKUP(AJ370,Match!$T$5:$T$10,1,FALSE))</f>
        <v>0</v>
      </c>
      <c r="AC378" s="161" t="b">
        <f>IF(AB378=TRUE,(VLOOKUP($AJ370,Match!$T$5:$U$10,2,FALSE)))</f>
        <v>0</v>
      </c>
      <c r="AD378" s="8">
        <v>3</v>
      </c>
      <c r="AE378" s="8">
        <v>2</v>
      </c>
      <c r="AF378" s="8">
        <v>2</v>
      </c>
      <c r="AG378" s="8">
        <v>1</v>
      </c>
      <c r="AH378" s="8" t="str">
        <f t="shared" si="122"/>
        <v/>
      </c>
      <c r="AI378" s="12"/>
      <c r="AZ378" s="12"/>
      <c r="BC378" s="12"/>
      <c r="BK378" s="12"/>
    </row>
    <row r="379" spans="1:63" x14ac:dyDescent="0.25">
      <c r="A379" s="29">
        <f t="shared" si="113"/>
        <v>0</v>
      </c>
      <c r="B379" s="29">
        <f t="shared" si="107"/>
        <v>0</v>
      </c>
      <c r="C379" s="29">
        <f t="shared" si="108"/>
        <v>0</v>
      </c>
      <c r="D379" s="29">
        <f t="shared" si="109"/>
        <v>0</v>
      </c>
      <c r="E379" s="29">
        <f t="shared" si="114"/>
        <v>0</v>
      </c>
      <c r="F379" s="29">
        <f t="shared" si="115"/>
        <v>0</v>
      </c>
      <c r="G379" s="29" t="str">
        <f t="shared" si="116"/>
        <v>offensive</v>
      </c>
      <c r="H379" s="16">
        <f t="shared" si="120"/>
        <v>0</v>
      </c>
      <c r="I379" s="16">
        <f t="shared" si="121"/>
        <v>0</v>
      </c>
      <c r="J379" s="16">
        <f t="shared" si="110"/>
        <v>0</v>
      </c>
      <c r="K379" s="16">
        <f t="shared" si="117"/>
        <v>0</v>
      </c>
      <c r="L379" s="67">
        <f t="shared" si="118"/>
        <v>0</v>
      </c>
      <c r="M379" s="4">
        <f t="shared" si="111"/>
        <v>0</v>
      </c>
      <c r="N379" s="4">
        <f t="shared" si="112"/>
        <v>0</v>
      </c>
      <c r="O379" s="4">
        <f t="shared" si="119"/>
        <v>0</v>
      </c>
      <c r="P379" s="4" t="e">
        <f>VLOOKUP(AJ371,'CIR Team Info'!$C$5:$E$44,2,FALSE)</f>
        <v>#N/A</v>
      </c>
      <c r="Q379" s="4" t="e">
        <f>VLOOKUP(AJ371,'CIR Team Info'!$C$5:$E$44,3,FALSE)</f>
        <v>#N/A</v>
      </c>
      <c r="R379" s="10" t="e">
        <f>VLOOKUP(AJ371,'FRC Site Data'!$B$3:$L$42,2,FALSE)</f>
        <v>#N/A</v>
      </c>
      <c r="S379" s="10" t="e">
        <f>VLOOKUP(AJ371,'FRC Site Data'!$B$3:$L$42,3,FALSE)</f>
        <v>#N/A</v>
      </c>
      <c r="T379" s="10" t="e">
        <f>VLOOKUP(AJ371,'FRC Site Data'!$B$3:$L$42,4,FALSE)</f>
        <v>#N/A</v>
      </c>
      <c r="U379" s="10" t="e">
        <f>VLOOKUP(AJ371,'FRC Site Data'!$B$3:$L$42,5,FALSE)</f>
        <v>#N/A</v>
      </c>
      <c r="V379" s="10" t="e">
        <f>VLOOKUP(AJ371,'FRC Site Data'!$B$3:$L$42,6,FALSE)</f>
        <v>#N/A</v>
      </c>
      <c r="W379" s="10" t="e">
        <f>VLOOKUP(AJ371,'FRC Site Data'!$B$3:$L$42,8,FALSE)</f>
        <v>#N/A</v>
      </c>
      <c r="X379" s="10" t="e">
        <f>VLOOKUP(AJ371,'FRC Site Data'!$B$3:$L$42,9,FALSE)</f>
        <v>#N/A</v>
      </c>
      <c r="Y379" s="10" t="e">
        <f>VLOOKUP(AJ371,'FRC Site Data'!$B$3:$L$42,10,FALSE)</f>
        <v>#N/A</v>
      </c>
      <c r="Z379" s="10" t="e">
        <f>VLOOKUP(AJ371,'FRC Site Data'!$B$3:$L$42,11,FALSE)</f>
        <v>#N/A</v>
      </c>
      <c r="AA379" s="10" t="e">
        <f>VLOOKUP(AJ371,'CIR Team Info'!$C$5:$E$44,4,FALSE)</f>
        <v>#N/A</v>
      </c>
      <c r="AB379" s="161" t="b">
        <f>ISNUMBER(VLOOKUP(AJ371,Match!$T$5:$T$10,1,FALSE))</f>
        <v>0</v>
      </c>
      <c r="AC379" s="161" t="b">
        <f>IF(AB379=TRUE,(VLOOKUP($AJ371,Match!$T$5:$U$10,2,FALSE)))</f>
        <v>0</v>
      </c>
      <c r="AD379" s="8">
        <v>3</v>
      </c>
      <c r="AE379" s="8">
        <v>2</v>
      </c>
      <c r="AF379" s="8">
        <v>2</v>
      </c>
      <c r="AG379" s="8">
        <v>1</v>
      </c>
      <c r="AH379" s="8" t="str">
        <f t="shared" si="122"/>
        <v/>
      </c>
      <c r="AI379" s="12"/>
      <c r="AZ379" s="12"/>
      <c r="BC379" s="12"/>
      <c r="BK379" s="12"/>
    </row>
    <row r="380" spans="1:63" x14ac:dyDescent="0.25">
      <c r="A380" s="29">
        <f t="shared" si="113"/>
        <v>0</v>
      </c>
      <c r="B380" s="29">
        <f t="shared" si="107"/>
        <v>0</v>
      </c>
      <c r="C380" s="29">
        <f t="shared" si="108"/>
        <v>0</v>
      </c>
      <c r="D380" s="29">
        <f t="shared" si="109"/>
        <v>0</v>
      </c>
      <c r="E380" s="29">
        <f t="shared" si="114"/>
        <v>0</v>
      </c>
      <c r="F380" s="29">
        <f t="shared" si="115"/>
        <v>0</v>
      </c>
      <c r="G380" s="29" t="str">
        <f t="shared" si="116"/>
        <v>offensive</v>
      </c>
      <c r="H380" s="16">
        <f t="shared" si="120"/>
        <v>0</v>
      </c>
      <c r="I380" s="16">
        <f t="shared" si="121"/>
        <v>0</v>
      </c>
      <c r="J380" s="16">
        <f t="shared" si="110"/>
        <v>0</v>
      </c>
      <c r="K380" s="16">
        <f t="shared" si="117"/>
        <v>0</v>
      </c>
      <c r="L380" s="67">
        <f t="shared" si="118"/>
        <v>0</v>
      </c>
      <c r="M380" s="4">
        <f t="shared" si="111"/>
        <v>0</v>
      </c>
      <c r="N380" s="4">
        <f t="shared" si="112"/>
        <v>0</v>
      </c>
      <c r="O380" s="4">
        <f t="shared" si="119"/>
        <v>0</v>
      </c>
      <c r="P380" s="4" t="e">
        <f>VLOOKUP(AJ372,'CIR Team Info'!$C$5:$E$44,2,FALSE)</f>
        <v>#N/A</v>
      </c>
      <c r="Q380" s="4" t="e">
        <f>VLOOKUP(AJ372,'CIR Team Info'!$C$5:$E$44,3,FALSE)</f>
        <v>#N/A</v>
      </c>
      <c r="R380" s="10" t="e">
        <f>VLOOKUP(AJ372,'FRC Site Data'!$B$3:$L$42,2,FALSE)</f>
        <v>#N/A</v>
      </c>
      <c r="S380" s="10" t="e">
        <f>VLOOKUP(AJ372,'FRC Site Data'!$B$3:$L$42,3,FALSE)</f>
        <v>#N/A</v>
      </c>
      <c r="T380" s="10" t="e">
        <f>VLOOKUP(AJ372,'FRC Site Data'!$B$3:$L$42,4,FALSE)</f>
        <v>#N/A</v>
      </c>
      <c r="U380" s="10" t="e">
        <f>VLOOKUP(AJ372,'FRC Site Data'!$B$3:$L$42,5,FALSE)</f>
        <v>#N/A</v>
      </c>
      <c r="V380" s="10" t="e">
        <f>VLOOKUP(AJ372,'FRC Site Data'!$B$3:$L$42,6,FALSE)</f>
        <v>#N/A</v>
      </c>
      <c r="W380" s="10" t="e">
        <f>VLOOKUP(AJ372,'FRC Site Data'!$B$3:$L$42,8,FALSE)</f>
        <v>#N/A</v>
      </c>
      <c r="X380" s="10" t="e">
        <f>VLOOKUP(AJ372,'FRC Site Data'!$B$3:$L$42,9,FALSE)</f>
        <v>#N/A</v>
      </c>
      <c r="Y380" s="10" t="e">
        <f>VLOOKUP(AJ372,'FRC Site Data'!$B$3:$L$42,10,FALSE)</f>
        <v>#N/A</v>
      </c>
      <c r="Z380" s="10" t="e">
        <f>VLOOKUP(AJ372,'FRC Site Data'!$B$3:$L$42,11,FALSE)</f>
        <v>#N/A</v>
      </c>
      <c r="AA380" s="10" t="e">
        <f>VLOOKUP(AJ372,'CIR Team Info'!$C$5:$E$44,4,FALSE)</f>
        <v>#N/A</v>
      </c>
      <c r="AB380" s="161" t="b">
        <f>ISNUMBER(VLOOKUP(AJ372,Match!$T$5:$T$10,1,FALSE))</f>
        <v>0</v>
      </c>
      <c r="AC380" s="161" t="b">
        <f>IF(AB380=TRUE,(VLOOKUP($AJ372,Match!$T$5:$U$10,2,FALSE)))</f>
        <v>0</v>
      </c>
      <c r="AD380" s="8">
        <v>3</v>
      </c>
      <c r="AE380" s="8">
        <v>2</v>
      </c>
      <c r="AF380" s="8">
        <v>2</v>
      </c>
      <c r="AG380" s="8">
        <v>1</v>
      </c>
      <c r="AH380" s="8" t="str">
        <f t="shared" si="122"/>
        <v/>
      </c>
      <c r="AI380" s="12"/>
      <c r="AZ380" s="12"/>
      <c r="BC380" s="12"/>
      <c r="BK380" s="12"/>
    </row>
    <row r="381" spans="1:63" x14ac:dyDescent="0.25">
      <c r="A381" s="29">
        <f t="shared" si="113"/>
        <v>0</v>
      </c>
      <c r="B381" s="29">
        <f t="shared" si="107"/>
        <v>0</v>
      </c>
      <c r="C381" s="29">
        <f t="shared" si="108"/>
        <v>0</v>
      </c>
      <c r="D381" s="29">
        <f t="shared" si="109"/>
        <v>0</v>
      </c>
      <c r="E381" s="29">
        <f t="shared" si="114"/>
        <v>0</v>
      </c>
      <c r="F381" s="29">
        <f t="shared" si="115"/>
        <v>0</v>
      </c>
      <c r="G381" s="29" t="str">
        <f t="shared" si="116"/>
        <v>offensive</v>
      </c>
      <c r="H381" s="16">
        <f t="shared" si="120"/>
        <v>0</v>
      </c>
      <c r="I381" s="16">
        <f t="shared" si="121"/>
        <v>0</v>
      </c>
      <c r="J381" s="16">
        <f t="shared" si="110"/>
        <v>0</v>
      </c>
      <c r="K381" s="16">
        <f t="shared" si="117"/>
        <v>0</v>
      </c>
      <c r="L381" s="67">
        <f t="shared" si="118"/>
        <v>0</v>
      </c>
      <c r="M381" s="4">
        <f t="shared" si="111"/>
        <v>0</v>
      </c>
      <c r="N381" s="4">
        <f t="shared" si="112"/>
        <v>0</v>
      </c>
      <c r="O381" s="4">
        <f t="shared" si="119"/>
        <v>0</v>
      </c>
      <c r="P381" s="4" t="e">
        <f>VLOOKUP(AJ373,'CIR Team Info'!$C$5:$E$44,2,FALSE)</f>
        <v>#N/A</v>
      </c>
      <c r="Q381" s="4" t="e">
        <f>VLOOKUP(AJ373,'CIR Team Info'!$C$5:$E$44,3,FALSE)</f>
        <v>#N/A</v>
      </c>
      <c r="R381" s="10" t="e">
        <f>VLOOKUP(AJ373,'FRC Site Data'!$B$3:$L$42,2,FALSE)</f>
        <v>#N/A</v>
      </c>
      <c r="S381" s="10" t="e">
        <f>VLOOKUP(AJ373,'FRC Site Data'!$B$3:$L$42,3,FALSE)</f>
        <v>#N/A</v>
      </c>
      <c r="T381" s="10" t="e">
        <f>VLOOKUP(AJ373,'FRC Site Data'!$B$3:$L$42,4,FALSE)</f>
        <v>#N/A</v>
      </c>
      <c r="U381" s="10" t="e">
        <f>VLOOKUP(AJ373,'FRC Site Data'!$B$3:$L$42,5,FALSE)</f>
        <v>#N/A</v>
      </c>
      <c r="V381" s="10" t="e">
        <f>VLOOKUP(AJ373,'FRC Site Data'!$B$3:$L$42,6,FALSE)</f>
        <v>#N/A</v>
      </c>
      <c r="W381" s="10" t="e">
        <f>VLOOKUP(AJ373,'FRC Site Data'!$B$3:$L$42,8,FALSE)</f>
        <v>#N/A</v>
      </c>
      <c r="X381" s="10" t="e">
        <f>VLOOKUP(AJ373,'FRC Site Data'!$B$3:$L$42,9,FALSE)</f>
        <v>#N/A</v>
      </c>
      <c r="Y381" s="10" t="e">
        <f>VLOOKUP(AJ373,'FRC Site Data'!$B$3:$L$42,10,FALSE)</f>
        <v>#N/A</v>
      </c>
      <c r="Z381" s="10" t="e">
        <f>VLOOKUP(AJ373,'FRC Site Data'!$B$3:$L$42,11,FALSE)</f>
        <v>#N/A</v>
      </c>
      <c r="AA381" s="10" t="e">
        <f>VLOOKUP(AJ373,'CIR Team Info'!$C$5:$E$44,4,FALSE)</f>
        <v>#N/A</v>
      </c>
      <c r="AB381" s="161" t="b">
        <f>ISNUMBER(VLOOKUP(AJ373,Match!$T$5:$T$10,1,FALSE))</f>
        <v>0</v>
      </c>
      <c r="AC381" s="161" t="b">
        <f>IF(AB381=TRUE,(VLOOKUP($AJ373,Match!$T$5:$U$10,2,FALSE)))</f>
        <v>0</v>
      </c>
      <c r="AD381" s="8">
        <v>3</v>
      </c>
      <c r="AE381" s="8">
        <v>2</v>
      </c>
      <c r="AF381" s="8">
        <v>2</v>
      </c>
      <c r="AG381" s="8">
        <v>1</v>
      </c>
      <c r="AH381" s="8" t="str">
        <f t="shared" si="122"/>
        <v/>
      </c>
      <c r="AI381" s="12"/>
      <c r="AZ381" s="12"/>
      <c r="BC381" s="12"/>
      <c r="BK381" s="12"/>
    </row>
    <row r="382" spans="1:63" x14ac:dyDescent="0.25">
      <c r="A382" s="29">
        <f t="shared" si="113"/>
        <v>0</v>
      </c>
      <c r="B382" s="29">
        <f t="shared" si="107"/>
        <v>0</v>
      </c>
      <c r="C382" s="29">
        <f t="shared" si="108"/>
        <v>0</v>
      </c>
      <c r="D382" s="29">
        <f t="shared" si="109"/>
        <v>0</v>
      </c>
      <c r="E382" s="29">
        <f t="shared" si="114"/>
        <v>0</v>
      </c>
      <c r="F382" s="29">
        <f t="shared" si="115"/>
        <v>0</v>
      </c>
      <c r="G382" s="29" t="str">
        <f t="shared" si="116"/>
        <v>offensive</v>
      </c>
      <c r="H382" s="16">
        <f t="shared" si="120"/>
        <v>0</v>
      </c>
      <c r="I382" s="16">
        <f t="shared" si="121"/>
        <v>0</v>
      </c>
      <c r="J382" s="16">
        <f t="shared" si="110"/>
        <v>0</v>
      </c>
      <c r="K382" s="16">
        <f t="shared" si="117"/>
        <v>0</v>
      </c>
      <c r="L382" s="67">
        <f t="shared" si="118"/>
        <v>0</v>
      </c>
      <c r="M382" s="4">
        <f t="shared" si="111"/>
        <v>0</v>
      </c>
      <c r="N382" s="4">
        <f t="shared" si="112"/>
        <v>0</v>
      </c>
      <c r="O382" s="4">
        <f t="shared" si="119"/>
        <v>0</v>
      </c>
      <c r="P382" s="4" t="e">
        <f>VLOOKUP(AJ374,'CIR Team Info'!$C$5:$E$44,2,FALSE)</f>
        <v>#N/A</v>
      </c>
      <c r="Q382" s="4" t="e">
        <f>VLOOKUP(AJ374,'CIR Team Info'!$C$5:$E$44,3,FALSE)</f>
        <v>#N/A</v>
      </c>
      <c r="R382" s="10" t="e">
        <f>VLOOKUP(AJ374,'FRC Site Data'!$B$3:$L$42,2,FALSE)</f>
        <v>#N/A</v>
      </c>
      <c r="S382" s="10" t="e">
        <f>VLOOKUP(AJ374,'FRC Site Data'!$B$3:$L$42,3,FALSE)</f>
        <v>#N/A</v>
      </c>
      <c r="T382" s="10" t="e">
        <f>VLOOKUP(AJ374,'FRC Site Data'!$B$3:$L$42,4,FALSE)</f>
        <v>#N/A</v>
      </c>
      <c r="U382" s="10" t="e">
        <f>VLOOKUP(AJ374,'FRC Site Data'!$B$3:$L$42,5,FALSE)</f>
        <v>#N/A</v>
      </c>
      <c r="V382" s="10" t="e">
        <f>VLOOKUP(AJ374,'FRC Site Data'!$B$3:$L$42,6,FALSE)</f>
        <v>#N/A</v>
      </c>
      <c r="W382" s="10" t="e">
        <f>VLOOKUP(AJ374,'FRC Site Data'!$B$3:$L$42,8,FALSE)</f>
        <v>#N/A</v>
      </c>
      <c r="X382" s="10" t="e">
        <f>VLOOKUP(AJ374,'FRC Site Data'!$B$3:$L$42,9,FALSE)</f>
        <v>#N/A</v>
      </c>
      <c r="Y382" s="10" t="e">
        <f>VLOOKUP(AJ374,'FRC Site Data'!$B$3:$L$42,10,FALSE)</f>
        <v>#N/A</v>
      </c>
      <c r="Z382" s="10" t="e">
        <f>VLOOKUP(AJ374,'FRC Site Data'!$B$3:$L$42,11,FALSE)</f>
        <v>#N/A</v>
      </c>
      <c r="AA382" s="10" t="e">
        <f>VLOOKUP(AJ374,'CIR Team Info'!$C$5:$E$44,4,FALSE)</f>
        <v>#N/A</v>
      </c>
      <c r="AB382" s="161" t="b">
        <f>ISNUMBER(VLOOKUP(AJ374,Match!$T$5:$T$10,1,FALSE))</f>
        <v>0</v>
      </c>
      <c r="AC382" s="161" t="b">
        <f>IF(AB382=TRUE,(VLOOKUP($AJ374,Match!$T$5:$U$10,2,FALSE)))</f>
        <v>0</v>
      </c>
      <c r="AD382" s="8">
        <v>3</v>
      </c>
      <c r="AE382" s="8">
        <v>2</v>
      </c>
      <c r="AF382" s="8">
        <v>2</v>
      </c>
      <c r="AG382" s="8">
        <v>1</v>
      </c>
      <c r="AH382" s="8" t="str">
        <f t="shared" si="122"/>
        <v/>
      </c>
      <c r="AI382" s="12"/>
      <c r="AZ382" s="12"/>
      <c r="BC382" s="12"/>
      <c r="BK382" s="12"/>
    </row>
    <row r="383" spans="1:63" x14ac:dyDescent="0.25">
      <c r="A383" s="29">
        <f t="shared" si="113"/>
        <v>0</v>
      </c>
      <c r="B383" s="29">
        <f t="shared" si="107"/>
        <v>0</v>
      </c>
      <c r="C383" s="29">
        <f t="shared" si="108"/>
        <v>0</v>
      </c>
      <c r="D383" s="29">
        <f t="shared" si="109"/>
        <v>0</v>
      </c>
      <c r="E383" s="29">
        <f t="shared" si="114"/>
        <v>0</v>
      </c>
      <c r="F383" s="29">
        <f t="shared" si="115"/>
        <v>0</v>
      </c>
      <c r="G383" s="29" t="str">
        <f t="shared" si="116"/>
        <v>offensive</v>
      </c>
      <c r="H383" s="16">
        <f t="shared" si="120"/>
        <v>0</v>
      </c>
      <c r="I383" s="16">
        <f t="shared" si="121"/>
        <v>0</v>
      </c>
      <c r="J383" s="16">
        <f t="shared" si="110"/>
        <v>0</v>
      </c>
      <c r="K383" s="16">
        <f t="shared" si="117"/>
        <v>0</v>
      </c>
      <c r="L383" s="67">
        <f t="shared" si="118"/>
        <v>0</v>
      </c>
      <c r="M383" s="4">
        <f t="shared" si="111"/>
        <v>0</v>
      </c>
      <c r="N383" s="4">
        <f t="shared" si="112"/>
        <v>0</v>
      </c>
      <c r="O383" s="4">
        <f t="shared" si="119"/>
        <v>0</v>
      </c>
      <c r="P383" s="4" t="e">
        <f>VLOOKUP(AJ375,'CIR Team Info'!$C$5:$E$44,2,FALSE)</f>
        <v>#N/A</v>
      </c>
      <c r="Q383" s="4" t="e">
        <f>VLOOKUP(AJ375,'CIR Team Info'!$C$5:$E$44,3,FALSE)</f>
        <v>#N/A</v>
      </c>
      <c r="R383" s="10" t="e">
        <f>VLOOKUP(AJ375,'FRC Site Data'!$B$3:$L$42,2,FALSE)</f>
        <v>#N/A</v>
      </c>
      <c r="S383" s="10" t="e">
        <f>VLOOKUP(AJ375,'FRC Site Data'!$B$3:$L$42,3,FALSE)</f>
        <v>#N/A</v>
      </c>
      <c r="T383" s="10" t="e">
        <f>VLOOKUP(AJ375,'FRC Site Data'!$B$3:$L$42,4,FALSE)</f>
        <v>#N/A</v>
      </c>
      <c r="U383" s="10" t="e">
        <f>VLOOKUP(AJ375,'FRC Site Data'!$B$3:$L$42,5,FALSE)</f>
        <v>#N/A</v>
      </c>
      <c r="V383" s="10" t="e">
        <f>VLOOKUP(AJ375,'FRC Site Data'!$B$3:$L$42,6,FALSE)</f>
        <v>#N/A</v>
      </c>
      <c r="W383" s="10" t="e">
        <f>VLOOKUP(AJ375,'FRC Site Data'!$B$3:$L$42,8,FALSE)</f>
        <v>#N/A</v>
      </c>
      <c r="X383" s="10" t="e">
        <f>VLOOKUP(AJ375,'FRC Site Data'!$B$3:$L$42,9,FALSE)</f>
        <v>#N/A</v>
      </c>
      <c r="Y383" s="10" t="e">
        <f>VLOOKUP(AJ375,'FRC Site Data'!$B$3:$L$42,10,FALSE)</f>
        <v>#N/A</v>
      </c>
      <c r="Z383" s="10" t="e">
        <f>VLOOKUP(AJ375,'FRC Site Data'!$B$3:$L$42,11,FALSE)</f>
        <v>#N/A</v>
      </c>
      <c r="AA383" s="10" t="e">
        <f>VLOOKUP(AJ375,'CIR Team Info'!$C$5:$E$44,4,FALSE)</f>
        <v>#N/A</v>
      </c>
      <c r="AB383" s="161" t="b">
        <f>ISNUMBER(VLOOKUP(AJ375,Match!$T$5:$T$10,1,FALSE))</f>
        <v>0</v>
      </c>
      <c r="AC383" s="161" t="b">
        <f>IF(AB383=TRUE,(VLOOKUP($AJ375,Match!$T$5:$U$10,2,FALSE)))</f>
        <v>0</v>
      </c>
      <c r="AD383" s="8">
        <v>3</v>
      </c>
      <c r="AE383" s="8">
        <v>2</v>
      </c>
      <c r="AF383" s="8">
        <v>2</v>
      </c>
      <c r="AG383" s="8">
        <v>1</v>
      </c>
      <c r="AH383" s="8" t="str">
        <f t="shared" si="122"/>
        <v/>
      </c>
      <c r="AI383" s="12"/>
      <c r="AZ383" s="12"/>
      <c r="BC383" s="12"/>
      <c r="BK383" s="12"/>
    </row>
    <row r="384" spans="1:63" x14ac:dyDescent="0.25">
      <c r="A384" s="29">
        <f t="shared" si="113"/>
        <v>0</v>
      </c>
      <c r="B384" s="29">
        <f t="shared" si="107"/>
        <v>0</v>
      </c>
      <c r="C384" s="29">
        <f t="shared" si="108"/>
        <v>0</v>
      </c>
      <c r="D384" s="29">
        <f t="shared" si="109"/>
        <v>0</v>
      </c>
      <c r="E384" s="29">
        <f t="shared" si="114"/>
        <v>0</v>
      </c>
      <c r="F384" s="29">
        <f t="shared" si="115"/>
        <v>0</v>
      </c>
      <c r="G384" s="29" t="str">
        <f t="shared" si="116"/>
        <v>offensive</v>
      </c>
      <c r="H384" s="16">
        <f t="shared" si="120"/>
        <v>0</v>
      </c>
      <c r="I384" s="16">
        <f t="shared" si="121"/>
        <v>0</v>
      </c>
      <c r="J384" s="16">
        <f t="shared" si="110"/>
        <v>0</v>
      </c>
      <c r="K384" s="16">
        <f t="shared" si="117"/>
        <v>0</v>
      </c>
      <c r="L384" s="67">
        <f t="shared" si="118"/>
        <v>0</v>
      </c>
      <c r="M384" s="4">
        <f t="shared" si="111"/>
        <v>0</v>
      </c>
      <c r="N384" s="4">
        <f t="shared" si="112"/>
        <v>0</v>
      </c>
      <c r="O384" s="4">
        <f t="shared" si="119"/>
        <v>0</v>
      </c>
      <c r="P384" s="4" t="e">
        <f>VLOOKUP(AJ376,'CIR Team Info'!$C$5:$E$44,2,FALSE)</f>
        <v>#N/A</v>
      </c>
      <c r="Q384" s="4" t="e">
        <f>VLOOKUP(AJ376,'CIR Team Info'!$C$5:$E$44,3,FALSE)</f>
        <v>#N/A</v>
      </c>
      <c r="R384" s="10" t="e">
        <f>VLOOKUP(AJ376,'FRC Site Data'!$B$3:$L$42,2,FALSE)</f>
        <v>#N/A</v>
      </c>
      <c r="S384" s="10" t="e">
        <f>VLOOKUP(AJ376,'FRC Site Data'!$B$3:$L$42,3,FALSE)</f>
        <v>#N/A</v>
      </c>
      <c r="T384" s="10" t="e">
        <f>VLOOKUP(AJ376,'FRC Site Data'!$B$3:$L$42,4,FALSE)</f>
        <v>#N/A</v>
      </c>
      <c r="U384" s="10" t="e">
        <f>VLOOKUP(AJ376,'FRC Site Data'!$B$3:$L$42,5,FALSE)</f>
        <v>#N/A</v>
      </c>
      <c r="V384" s="10" t="e">
        <f>VLOOKUP(AJ376,'FRC Site Data'!$B$3:$L$42,6,FALSE)</f>
        <v>#N/A</v>
      </c>
      <c r="W384" s="10" t="e">
        <f>VLOOKUP(AJ376,'FRC Site Data'!$B$3:$L$42,8,FALSE)</f>
        <v>#N/A</v>
      </c>
      <c r="X384" s="10" t="e">
        <f>VLOOKUP(AJ376,'FRC Site Data'!$B$3:$L$42,9,FALSE)</f>
        <v>#N/A</v>
      </c>
      <c r="Y384" s="10" t="e">
        <f>VLOOKUP(AJ376,'FRC Site Data'!$B$3:$L$42,10,FALSE)</f>
        <v>#N/A</v>
      </c>
      <c r="Z384" s="10" t="e">
        <f>VLOOKUP(AJ376,'FRC Site Data'!$B$3:$L$42,11,FALSE)</f>
        <v>#N/A</v>
      </c>
      <c r="AA384" s="10" t="e">
        <f>VLOOKUP(AJ376,'CIR Team Info'!$C$5:$E$44,4,FALSE)</f>
        <v>#N/A</v>
      </c>
      <c r="AB384" s="161" t="b">
        <f>ISNUMBER(VLOOKUP(AJ376,Match!$T$5:$T$10,1,FALSE))</f>
        <v>0</v>
      </c>
      <c r="AC384" s="161" t="b">
        <f>IF(AB384=TRUE,(VLOOKUP($AJ376,Match!$T$5:$U$10,2,FALSE)))</f>
        <v>0</v>
      </c>
      <c r="AD384" s="8">
        <v>3</v>
      </c>
      <c r="AE384" s="8">
        <v>2</v>
      </c>
      <c r="AF384" s="8">
        <v>2</v>
      </c>
      <c r="AG384" s="8">
        <v>1</v>
      </c>
      <c r="AH384" s="8" t="str">
        <f t="shared" si="122"/>
        <v/>
      </c>
      <c r="AI384" s="12"/>
      <c r="AZ384" s="12"/>
      <c r="BC384" s="12"/>
      <c r="BK384" s="12"/>
    </row>
    <row r="385" spans="1:63" x14ac:dyDescent="0.25">
      <c r="A385" s="29">
        <f t="shared" si="113"/>
        <v>0</v>
      </c>
      <c r="B385" s="29">
        <f t="shared" si="107"/>
        <v>0</v>
      </c>
      <c r="C385" s="29">
        <f t="shared" si="108"/>
        <v>0</v>
      </c>
      <c r="D385" s="29">
        <f t="shared" si="109"/>
        <v>0</v>
      </c>
      <c r="E385" s="29">
        <f t="shared" si="114"/>
        <v>0</v>
      </c>
      <c r="F385" s="29">
        <f t="shared" si="115"/>
        <v>0</v>
      </c>
      <c r="G385" s="29" t="str">
        <f t="shared" si="116"/>
        <v>offensive</v>
      </c>
      <c r="H385" s="16">
        <f t="shared" si="120"/>
        <v>0</v>
      </c>
      <c r="I385" s="16">
        <f t="shared" si="121"/>
        <v>0</v>
      </c>
      <c r="J385" s="16">
        <f t="shared" si="110"/>
        <v>0</v>
      </c>
      <c r="K385" s="16">
        <f t="shared" si="117"/>
        <v>0</v>
      </c>
      <c r="L385" s="67">
        <f t="shared" si="118"/>
        <v>0</v>
      </c>
      <c r="M385" s="4">
        <f t="shared" si="111"/>
        <v>0</v>
      </c>
      <c r="N385" s="4">
        <f t="shared" si="112"/>
        <v>0</v>
      </c>
      <c r="O385" s="4">
        <f t="shared" si="119"/>
        <v>0</v>
      </c>
      <c r="P385" s="4" t="e">
        <f>VLOOKUP(AJ377,'CIR Team Info'!$C$5:$E$44,2,FALSE)</f>
        <v>#N/A</v>
      </c>
      <c r="Q385" s="4" t="e">
        <f>VLOOKUP(AJ377,'CIR Team Info'!$C$5:$E$44,3,FALSE)</f>
        <v>#N/A</v>
      </c>
      <c r="R385" s="10" t="e">
        <f>VLOOKUP(AJ377,'FRC Site Data'!$B$3:$L$42,2,FALSE)</f>
        <v>#N/A</v>
      </c>
      <c r="S385" s="10" t="e">
        <f>VLOOKUP(AJ377,'FRC Site Data'!$B$3:$L$42,3,FALSE)</f>
        <v>#N/A</v>
      </c>
      <c r="T385" s="10" t="e">
        <f>VLOOKUP(AJ377,'FRC Site Data'!$B$3:$L$42,4,FALSE)</f>
        <v>#N/A</v>
      </c>
      <c r="U385" s="10" t="e">
        <f>VLOOKUP(AJ377,'FRC Site Data'!$B$3:$L$42,5,FALSE)</f>
        <v>#N/A</v>
      </c>
      <c r="V385" s="10" t="e">
        <f>VLOOKUP(AJ377,'FRC Site Data'!$B$3:$L$42,6,FALSE)</f>
        <v>#N/A</v>
      </c>
      <c r="W385" s="10" t="e">
        <f>VLOOKUP(AJ377,'FRC Site Data'!$B$3:$L$42,8,FALSE)</f>
        <v>#N/A</v>
      </c>
      <c r="X385" s="10" t="e">
        <f>VLOOKUP(AJ377,'FRC Site Data'!$B$3:$L$42,9,FALSE)</f>
        <v>#N/A</v>
      </c>
      <c r="Y385" s="10" t="e">
        <f>VLOOKUP(AJ377,'FRC Site Data'!$B$3:$L$42,10,FALSE)</f>
        <v>#N/A</v>
      </c>
      <c r="Z385" s="10" t="e">
        <f>VLOOKUP(AJ377,'FRC Site Data'!$B$3:$L$42,11,FALSE)</f>
        <v>#N/A</v>
      </c>
      <c r="AA385" s="10" t="e">
        <f>VLOOKUP(AJ377,'CIR Team Info'!$C$5:$E$44,4,FALSE)</f>
        <v>#N/A</v>
      </c>
      <c r="AB385" s="161" t="b">
        <f>ISNUMBER(VLOOKUP(AJ377,Match!$T$5:$T$10,1,FALSE))</f>
        <v>0</v>
      </c>
      <c r="AC385" s="161" t="b">
        <f>IF(AB385=TRUE,(VLOOKUP($AJ377,Match!$T$5:$U$10,2,FALSE)))</f>
        <v>0</v>
      </c>
      <c r="AD385" s="8">
        <v>3</v>
      </c>
      <c r="AE385" s="8">
        <v>2</v>
      </c>
      <c r="AF385" s="8">
        <v>2</v>
      </c>
      <c r="AG385" s="8">
        <v>1</v>
      </c>
      <c r="AH385" s="8" t="str">
        <f t="shared" si="122"/>
        <v/>
      </c>
      <c r="AI385" s="12"/>
      <c r="AZ385" s="12"/>
      <c r="BC385" s="12"/>
      <c r="BK385" s="12"/>
    </row>
    <row r="386" spans="1:63" x14ac:dyDescent="0.25">
      <c r="A386" s="29">
        <f t="shared" si="113"/>
        <v>0</v>
      </c>
      <c r="B386" s="29">
        <f t="shared" si="107"/>
        <v>0</v>
      </c>
      <c r="C386" s="29">
        <f t="shared" si="108"/>
        <v>0</v>
      </c>
      <c r="D386" s="29">
        <f t="shared" si="109"/>
        <v>0</v>
      </c>
      <c r="E386" s="29">
        <f t="shared" si="114"/>
        <v>0</v>
      </c>
      <c r="F386" s="29">
        <f t="shared" si="115"/>
        <v>0</v>
      </c>
      <c r="G386" s="29" t="str">
        <f t="shared" si="116"/>
        <v>offensive</v>
      </c>
      <c r="H386" s="16">
        <f t="shared" si="120"/>
        <v>0</v>
      </c>
      <c r="I386" s="16">
        <f t="shared" si="121"/>
        <v>0</v>
      </c>
      <c r="J386" s="16">
        <f t="shared" si="110"/>
        <v>0</v>
      </c>
      <c r="K386" s="16">
        <f t="shared" si="117"/>
        <v>0</v>
      </c>
      <c r="L386" s="67">
        <f t="shared" si="118"/>
        <v>0</v>
      </c>
      <c r="M386" s="4">
        <f t="shared" si="111"/>
        <v>0</v>
      </c>
      <c r="N386" s="4">
        <f t="shared" si="112"/>
        <v>0</v>
      </c>
      <c r="O386" s="4">
        <f t="shared" si="119"/>
        <v>0</v>
      </c>
      <c r="P386" s="4" t="e">
        <f>VLOOKUP(AJ378,'CIR Team Info'!$C$5:$E$44,2,FALSE)</f>
        <v>#N/A</v>
      </c>
      <c r="Q386" s="4" t="e">
        <f>VLOOKUP(AJ378,'CIR Team Info'!$C$5:$E$44,3,FALSE)</f>
        <v>#N/A</v>
      </c>
      <c r="R386" s="10" t="e">
        <f>VLOOKUP(AJ378,'FRC Site Data'!$B$3:$L$42,2,FALSE)</f>
        <v>#N/A</v>
      </c>
      <c r="S386" s="10" t="e">
        <f>VLOOKUP(AJ378,'FRC Site Data'!$B$3:$L$42,3,FALSE)</f>
        <v>#N/A</v>
      </c>
      <c r="T386" s="10" t="e">
        <f>VLOOKUP(AJ378,'FRC Site Data'!$B$3:$L$42,4,FALSE)</f>
        <v>#N/A</v>
      </c>
      <c r="U386" s="10" t="e">
        <f>VLOOKUP(AJ378,'FRC Site Data'!$B$3:$L$42,5,FALSE)</f>
        <v>#N/A</v>
      </c>
      <c r="V386" s="10" t="e">
        <f>VLOOKUP(AJ378,'FRC Site Data'!$B$3:$L$42,6,FALSE)</f>
        <v>#N/A</v>
      </c>
      <c r="W386" s="10" t="e">
        <f>VLOOKUP(AJ378,'FRC Site Data'!$B$3:$L$42,8,FALSE)</f>
        <v>#N/A</v>
      </c>
      <c r="X386" s="10" t="e">
        <f>VLOOKUP(AJ378,'FRC Site Data'!$B$3:$L$42,9,FALSE)</f>
        <v>#N/A</v>
      </c>
      <c r="Y386" s="10" t="e">
        <f>VLOOKUP(AJ378,'FRC Site Data'!$B$3:$L$42,10,FALSE)</f>
        <v>#N/A</v>
      </c>
      <c r="Z386" s="10" t="e">
        <f>VLOOKUP(AJ378,'FRC Site Data'!$B$3:$L$42,11,FALSE)</f>
        <v>#N/A</v>
      </c>
      <c r="AA386" s="10" t="e">
        <f>VLOOKUP(AJ378,'CIR Team Info'!$C$5:$E$44,4,FALSE)</f>
        <v>#N/A</v>
      </c>
      <c r="AB386" s="161" t="b">
        <f>ISNUMBER(VLOOKUP(AJ378,Match!$T$5:$T$10,1,FALSE))</f>
        <v>0</v>
      </c>
      <c r="AC386" s="161" t="b">
        <f>IF(AB386=TRUE,(VLOOKUP($AJ378,Match!$T$5:$U$10,2,FALSE)))</f>
        <v>0</v>
      </c>
      <c r="AD386" s="8">
        <v>3</v>
      </c>
      <c r="AE386" s="8">
        <v>2</v>
      </c>
      <c r="AF386" s="8">
        <v>2</v>
      </c>
      <c r="AG386" s="8">
        <v>1</v>
      </c>
      <c r="AH386" s="8" t="str">
        <f t="shared" si="122"/>
        <v/>
      </c>
      <c r="AI386" s="12"/>
      <c r="AZ386" s="12"/>
      <c r="BC386" s="12"/>
      <c r="BK386" s="12"/>
    </row>
    <row r="387" spans="1:63" x14ac:dyDescent="0.25">
      <c r="A387" s="29">
        <f t="shared" si="113"/>
        <v>0</v>
      </c>
      <c r="B387" s="29">
        <f t="shared" si="107"/>
        <v>0</v>
      </c>
      <c r="C387" s="29">
        <f t="shared" si="108"/>
        <v>0</v>
      </c>
      <c r="D387" s="29">
        <f t="shared" si="109"/>
        <v>0</v>
      </c>
      <c r="E387" s="29">
        <f t="shared" si="114"/>
        <v>0</v>
      </c>
      <c r="F387" s="29">
        <f t="shared" si="115"/>
        <v>0</v>
      </c>
      <c r="G387" s="29" t="str">
        <f t="shared" si="116"/>
        <v>offensive</v>
      </c>
      <c r="H387" s="16">
        <f t="shared" si="120"/>
        <v>0</v>
      </c>
      <c r="I387" s="16">
        <f t="shared" si="121"/>
        <v>0</v>
      </c>
      <c r="J387" s="16">
        <f t="shared" si="110"/>
        <v>0</v>
      </c>
      <c r="K387" s="16">
        <f t="shared" si="117"/>
        <v>0</v>
      </c>
      <c r="L387" s="67">
        <f t="shared" si="118"/>
        <v>0</v>
      </c>
      <c r="M387" s="4">
        <f t="shared" si="111"/>
        <v>0</v>
      </c>
      <c r="N387" s="4">
        <f t="shared" si="112"/>
        <v>0</v>
      </c>
      <c r="O387" s="4">
        <f t="shared" si="119"/>
        <v>0</v>
      </c>
      <c r="P387" s="4" t="e">
        <f>VLOOKUP(AJ379,'CIR Team Info'!$C$5:$E$44,2,FALSE)</f>
        <v>#N/A</v>
      </c>
      <c r="Q387" s="4" t="e">
        <f>VLOOKUP(AJ379,'CIR Team Info'!$C$5:$E$44,3,FALSE)</f>
        <v>#N/A</v>
      </c>
      <c r="R387" s="10" t="e">
        <f>VLOOKUP(AJ379,'FRC Site Data'!$B$3:$L$42,2,FALSE)</f>
        <v>#N/A</v>
      </c>
      <c r="S387" s="10" t="e">
        <f>VLOOKUP(AJ379,'FRC Site Data'!$B$3:$L$42,3,FALSE)</f>
        <v>#N/A</v>
      </c>
      <c r="T387" s="10" t="e">
        <f>VLOOKUP(AJ379,'FRC Site Data'!$B$3:$L$42,4,FALSE)</f>
        <v>#N/A</v>
      </c>
      <c r="U387" s="10" t="e">
        <f>VLOOKUP(AJ379,'FRC Site Data'!$B$3:$L$42,5,FALSE)</f>
        <v>#N/A</v>
      </c>
      <c r="V387" s="10" t="e">
        <f>VLOOKUP(AJ379,'FRC Site Data'!$B$3:$L$42,6,FALSE)</f>
        <v>#N/A</v>
      </c>
      <c r="W387" s="10" t="e">
        <f>VLOOKUP(AJ379,'FRC Site Data'!$B$3:$L$42,8,FALSE)</f>
        <v>#N/A</v>
      </c>
      <c r="X387" s="10" t="e">
        <f>VLOOKUP(AJ379,'FRC Site Data'!$B$3:$L$42,9,FALSE)</f>
        <v>#N/A</v>
      </c>
      <c r="Y387" s="10" t="e">
        <f>VLOOKUP(AJ379,'FRC Site Data'!$B$3:$L$42,10,FALSE)</f>
        <v>#N/A</v>
      </c>
      <c r="Z387" s="10" t="e">
        <f>VLOOKUP(AJ379,'FRC Site Data'!$B$3:$L$42,11,FALSE)</f>
        <v>#N/A</v>
      </c>
      <c r="AA387" s="10" t="e">
        <f>VLOOKUP(AJ379,'CIR Team Info'!$C$5:$E$44,4,FALSE)</f>
        <v>#N/A</v>
      </c>
      <c r="AB387" s="161" t="b">
        <f>ISNUMBER(VLOOKUP(AJ379,Match!$T$5:$T$10,1,FALSE))</f>
        <v>0</v>
      </c>
      <c r="AC387" s="161" t="b">
        <f>IF(AB387=TRUE,(VLOOKUP($AJ379,Match!$T$5:$U$10,2,FALSE)))</f>
        <v>0</v>
      </c>
      <c r="AD387" s="8">
        <v>3</v>
      </c>
      <c r="AE387" s="8">
        <v>2</v>
      </c>
      <c r="AF387" s="8">
        <v>2</v>
      </c>
      <c r="AG387" s="8">
        <v>1</v>
      </c>
      <c r="AH387" s="8" t="str">
        <f t="shared" si="122"/>
        <v/>
      </c>
      <c r="AI387" s="12"/>
      <c r="AZ387" s="12"/>
      <c r="BC387" s="12"/>
      <c r="BK387" s="12"/>
    </row>
    <row r="388" spans="1:63" x14ac:dyDescent="0.25">
      <c r="A388" s="29">
        <f t="shared" si="113"/>
        <v>0</v>
      </c>
      <c r="B388" s="29">
        <f t="shared" si="107"/>
        <v>0</v>
      </c>
      <c r="C388" s="29">
        <f t="shared" si="108"/>
        <v>0</v>
      </c>
      <c r="D388" s="29">
        <f t="shared" si="109"/>
        <v>0</v>
      </c>
      <c r="E388" s="29">
        <f t="shared" si="114"/>
        <v>0</v>
      </c>
      <c r="F388" s="29">
        <f t="shared" si="115"/>
        <v>0</v>
      </c>
      <c r="G388" s="29" t="str">
        <f t="shared" si="116"/>
        <v>offensive</v>
      </c>
      <c r="H388" s="16">
        <f t="shared" si="120"/>
        <v>0</v>
      </c>
      <c r="I388" s="16">
        <f t="shared" si="121"/>
        <v>0</v>
      </c>
      <c r="J388" s="16">
        <f t="shared" si="110"/>
        <v>0</v>
      </c>
      <c r="K388" s="16">
        <f t="shared" si="117"/>
        <v>0</v>
      </c>
      <c r="L388" s="67">
        <f t="shared" si="118"/>
        <v>0</v>
      </c>
      <c r="M388" s="4">
        <f t="shared" si="111"/>
        <v>0</v>
      </c>
      <c r="N388" s="4">
        <f t="shared" si="112"/>
        <v>0</v>
      </c>
      <c r="O388" s="4">
        <f t="shared" si="119"/>
        <v>0</v>
      </c>
      <c r="P388" s="4" t="e">
        <f>VLOOKUP(AJ380,'CIR Team Info'!$C$5:$E$44,2,FALSE)</f>
        <v>#N/A</v>
      </c>
      <c r="Q388" s="4" t="e">
        <f>VLOOKUP(AJ380,'CIR Team Info'!$C$5:$E$44,3,FALSE)</f>
        <v>#N/A</v>
      </c>
      <c r="R388" s="10" t="e">
        <f>VLOOKUP(AJ380,'FRC Site Data'!$B$3:$L$42,2,FALSE)</f>
        <v>#N/A</v>
      </c>
      <c r="S388" s="10" t="e">
        <f>VLOOKUP(AJ380,'FRC Site Data'!$B$3:$L$42,3,FALSE)</f>
        <v>#N/A</v>
      </c>
      <c r="T388" s="10" t="e">
        <f>VLOOKUP(AJ380,'FRC Site Data'!$B$3:$L$42,4,FALSE)</f>
        <v>#N/A</v>
      </c>
      <c r="U388" s="10" t="e">
        <f>VLOOKUP(AJ380,'FRC Site Data'!$B$3:$L$42,5,FALSE)</f>
        <v>#N/A</v>
      </c>
      <c r="V388" s="10" t="e">
        <f>VLOOKUP(AJ380,'FRC Site Data'!$B$3:$L$42,6,FALSE)</f>
        <v>#N/A</v>
      </c>
      <c r="W388" s="10" t="e">
        <f>VLOOKUP(AJ380,'FRC Site Data'!$B$3:$L$42,8,FALSE)</f>
        <v>#N/A</v>
      </c>
      <c r="X388" s="10" t="e">
        <f>VLOOKUP(AJ380,'FRC Site Data'!$B$3:$L$42,9,FALSE)</f>
        <v>#N/A</v>
      </c>
      <c r="Y388" s="10" t="e">
        <f>VLOOKUP(AJ380,'FRC Site Data'!$B$3:$L$42,10,FALSE)</f>
        <v>#N/A</v>
      </c>
      <c r="Z388" s="10" t="e">
        <f>VLOOKUP(AJ380,'FRC Site Data'!$B$3:$L$42,11,FALSE)</f>
        <v>#N/A</v>
      </c>
      <c r="AA388" s="10" t="e">
        <f>VLOOKUP(AJ380,'CIR Team Info'!$C$5:$E$44,4,FALSE)</f>
        <v>#N/A</v>
      </c>
      <c r="AB388" s="161" t="b">
        <f>ISNUMBER(VLOOKUP(AJ380,Match!$T$5:$T$10,1,FALSE))</f>
        <v>0</v>
      </c>
      <c r="AC388" s="161" t="b">
        <f>IF(AB388=TRUE,(VLOOKUP($AJ380,Match!$T$5:$U$10,2,FALSE)))</f>
        <v>0</v>
      </c>
      <c r="AD388" s="8">
        <v>3</v>
      </c>
      <c r="AE388" s="8">
        <v>2</v>
      </c>
      <c r="AF388" s="8">
        <v>2</v>
      </c>
      <c r="AG388" s="8">
        <v>1</v>
      </c>
      <c r="AH388" s="8" t="str">
        <f t="shared" si="122"/>
        <v/>
      </c>
      <c r="AI388" s="12"/>
      <c r="AZ388" s="12"/>
      <c r="BC388" s="12"/>
      <c r="BK388" s="12"/>
    </row>
    <row r="389" spans="1:63" x14ac:dyDescent="0.25">
      <c r="A389" s="29">
        <f t="shared" si="113"/>
        <v>0</v>
      </c>
      <c r="B389" s="29">
        <f t="shared" si="107"/>
        <v>0</v>
      </c>
      <c r="C389" s="29">
        <f t="shared" si="108"/>
        <v>0</v>
      </c>
      <c r="D389" s="29">
        <f t="shared" si="109"/>
        <v>0</v>
      </c>
      <c r="E389" s="29">
        <f t="shared" si="114"/>
        <v>0</v>
      </c>
      <c r="F389" s="29">
        <f t="shared" si="115"/>
        <v>0</v>
      </c>
      <c r="G389" s="29" t="str">
        <f t="shared" si="116"/>
        <v>offensive</v>
      </c>
      <c r="H389" s="16">
        <f t="shared" si="120"/>
        <v>0</v>
      </c>
      <c r="I389" s="16">
        <f t="shared" si="121"/>
        <v>0</v>
      </c>
      <c r="J389" s="16">
        <f t="shared" si="110"/>
        <v>0</v>
      </c>
      <c r="K389" s="16">
        <f t="shared" si="117"/>
        <v>0</v>
      </c>
      <c r="L389" s="67">
        <f t="shared" si="118"/>
        <v>0</v>
      </c>
      <c r="M389" s="4">
        <f t="shared" si="111"/>
        <v>0</v>
      </c>
      <c r="N389" s="4">
        <f t="shared" si="112"/>
        <v>0</v>
      </c>
      <c r="O389" s="4">
        <f t="shared" si="119"/>
        <v>0</v>
      </c>
      <c r="P389" s="4" t="e">
        <f>VLOOKUP(AJ381,'CIR Team Info'!$C$5:$E$44,2,FALSE)</f>
        <v>#N/A</v>
      </c>
      <c r="Q389" s="4" t="e">
        <f>VLOOKUP(AJ381,'CIR Team Info'!$C$5:$E$44,3,FALSE)</f>
        <v>#N/A</v>
      </c>
      <c r="R389" s="10" t="e">
        <f>VLOOKUP(AJ381,'FRC Site Data'!$B$3:$L$42,2,FALSE)</f>
        <v>#N/A</v>
      </c>
      <c r="S389" s="10" t="e">
        <f>VLOOKUP(AJ381,'FRC Site Data'!$B$3:$L$42,3,FALSE)</f>
        <v>#N/A</v>
      </c>
      <c r="T389" s="10" t="e">
        <f>VLOOKUP(AJ381,'FRC Site Data'!$B$3:$L$42,4,FALSE)</f>
        <v>#N/A</v>
      </c>
      <c r="U389" s="10" t="e">
        <f>VLOOKUP(AJ381,'FRC Site Data'!$B$3:$L$42,5,FALSE)</f>
        <v>#N/A</v>
      </c>
      <c r="V389" s="10" t="e">
        <f>VLOOKUP(AJ381,'FRC Site Data'!$B$3:$L$42,6,FALSE)</f>
        <v>#N/A</v>
      </c>
      <c r="W389" s="10" t="e">
        <f>VLOOKUP(AJ381,'FRC Site Data'!$B$3:$L$42,8,FALSE)</f>
        <v>#N/A</v>
      </c>
      <c r="X389" s="10" t="e">
        <f>VLOOKUP(AJ381,'FRC Site Data'!$B$3:$L$42,9,FALSE)</f>
        <v>#N/A</v>
      </c>
      <c r="Y389" s="10" t="e">
        <f>VLOOKUP(AJ381,'FRC Site Data'!$B$3:$L$42,10,FALSE)</f>
        <v>#N/A</v>
      </c>
      <c r="Z389" s="10" t="e">
        <f>VLOOKUP(AJ381,'FRC Site Data'!$B$3:$L$42,11,FALSE)</f>
        <v>#N/A</v>
      </c>
      <c r="AA389" s="10" t="e">
        <f>VLOOKUP(AJ381,'CIR Team Info'!$C$5:$E$44,4,FALSE)</f>
        <v>#N/A</v>
      </c>
      <c r="AB389" s="161" t="b">
        <f>ISNUMBER(VLOOKUP(AJ381,Match!$T$5:$T$10,1,FALSE))</f>
        <v>0</v>
      </c>
      <c r="AC389" s="161" t="b">
        <f>IF(AB389=TRUE,(VLOOKUP($AJ381,Match!$T$5:$U$10,2,FALSE)))</f>
        <v>0</v>
      </c>
      <c r="AD389" s="8">
        <v>3</v>
      </c>
      <c r="AE389" s="8">
        <v>2</v>
      </c>
      <c r="AF389" s="8">
        <v>2</v>
      </c>
      <c r="AG389" s="8">
        <v>1</v>
      </c>
      <c r="AH389" s="8" t="str">
        <f t="shared" si="122"/>
        <v/>
      </c>
      <c r="AI389" s="12"/>
      <c r="AZ389" s="12"/>
      <c r="BC389" s="12"/>
      <c r="BK389" s="12"/>
    </row>
    <row r="390" spans="1:63" x14ac:dyDescent="0.25">
      <c r="A390" s="29">
        <f t="shared" si="113"/>
        <v>0</v>
      </c>
      <c r="B390" s="29">
        <f t="shared" ref="B390:B453" si="123">H390*AD390*AO382</f>
        <v>0</v>
      </c>
      <c r="C390" s="29">
        <f t="shared" ref="C390:C453" si="124">I390*AE390*AV382</f>
        <v>0</v>
      </c>
      <c r="D390" s="29">
        <f t="shared" ref="D390:D453" si="125">J390*AF390*BF382</f>
        <v>0</v>
      </c>
      <c r="E390" s="29">
        <f t="shared" si="114"/>
        <v>0</v>
      </c>
      <c r="F390" s="29">
        <f t="shared" si="115"/>
        <v>0</v>
      </c>
      <c r="G390" s="29" t="str">
        <f t="shared" si="116"/>
        <v>offensive</v>
      </c>
      <c r="H390" s="16">
        <f t="shared" si="120"/>
        <v>0</v>
      </c>
      <c r="I390" s="16">
        <f t="shared" si="121"/>
        <v>0</v>
      </c>
      <c r="J390" s="16">
        <f t="shared" ref="J390:J453" si="126">IF(L390=0,0,BG382/L390)</f>
        <v>0</v>
      </c>
      <c r="K390" s="16">
        <f t="shared" si="117"/>
        <v>0</v>
      </c>
      <c r="L390" s="67">
        <f t="shared" si="118"/>
        <v>0</v>
      </c>
      <c r="M390" s="4">
        <f t="shared" ref="M390:M453" si="127">AO382+AV382+BD382+O390</f>
        <v>0</v>
      </c>
      <c r="N390" s="4">
        <f t="shared" si="112"/>
        <v>0</v>
      </c>
      <c r="O390" s="4">
        <f t="shared" si="119"/>
        <v>0</v>
      </c>
      <c r="P390" s="4" t="e">
        <f>VLOOKUP(AJ382,'CIR Team Info'!$C$5:$E$44,2,FALSE)</f>
        <v>#N/A</v>
      </c>
      <c r="Q390" s="4" t="e">
        <f>VLOOKUP(AJ382,'CIR Team Info'!$C$5:$E$44,3,FALSE)</f>
        <v>#N/A</v>
      </c>
      <c r="R390" s="10" t="e">
        <f>VLOOKUP(AJ382,'FRC Site Data'!$B$3:$L$42,2,FALSE)</f>
        <v>#N/A</v>
      </c>
      <c r="S390" s="10" t="e">
        <f>VLOOKUP(AJ382,'FRC Site Data'!$B$3:$L$42,3,FALSE)</f>
        <v>#N/A</v>
      </c>
      <c r="T390" s="10" t="e">
        <f>VLOOKUP(AJ382,'FRC Site Data'!$B$3:$L$42,4,FALSE)</f>
        <v>#N/A</v>
      </c>
      <c r="U390" s="10" t="e">
        <f>VLOOKUP(AJ382,'FRC Site Data'!$B$3:$L$42,5,FALSE)</f>
        <v>#N/A</v>
      </c>
      <c r="V390" s="10" t="e">
        <f>VLOOKUP(AJ382,'FRC Site Data'!$B$3:$L$42,6,FALSE)</f>
        <v>#N/A</v>
      </c>
      <c r="W390" s="10" t="e">
        <f>VLOOKUP(AJ382,'FRC Site Data'!$B$3:$L$42,8,FALSE)</f>
        <v>#N/A</v>
      </c>
      <c r="X390" s="10" t="e">
        <f>VLOOKUP(AJ382,'FRC Site Data'!$B$3:$L$42,9,FALSE)</f>
        <v>#N/A</v>
      </c>
      <c r="Y390" s="10" t="e">
        <f>VLOOKUP(AJ382,'FRC Site Data'!$B$3:$L$42,10,FALSE)</f>
        <v>#N/A</v>
      </c>
      <c r="Z390" s="10" t="e">
        <f>VLOOKUP(AJ382,'FRC Site Data'!$B$3:$L$42,11,FALSE)</f>
        <v>#N/A</v>
      </c>
      <c r="AA390" s="10" t="e">
        <f>VLOOKUP(AJ382,'CIR Team Info'!$C$5:$E$44,4,FALSE)</f>
        <v>#N/A</v>
      </c>
      <c r="AB390" s="161" t="b">
        <f>ISNUMBER(VLOOKUP(AJ382,Match!$T$5:$T$10,1,FALSE))</f>
        <v>0</v>
      </c>
      <c r="AC390" s="161" t="b">
        <f>IF(AB390=TRUE,(VLOOKUP($AJ382,Match!$T$5:$U$10,2,FALSE)))</f>
        <v>0</v>
      </c>
      <c r="AD390" s="8">
        <v>3</v>
      </c>
      <c r="AE390" s="8">
        <v>2</v>
      </c>
      <c r="AF390" s="8">
        <v>2</v>
      </c>
      <c r="AG390" s="8">
        <v>1</v>
      </c>
      <c r="AH390" s="8" t="str">
        <f t="shared" si="122"/>
        <v/>
      </c>
      <c r="AI390" s="12"/>
      <c r="AZ390" s="12"/>
      <c r="BC390" s="12"/>
      <c r="BK390" s="12"/>
    </row>
    <row r="391" spans="1:63" x14ac:dyDescent="0.25">
      <c r="A391" s="29">
        <f t="shared" si="113"/>
        <v>0</v>
      </c>
      <c r="B391" s="29">
        <f t="shared" si="123"/>
        <v>0</v>
      </c>
      <c r="C391" s="29">
        <f t="shared" si="124"/>
        <v>0</v>
      </c>
      <c r="D391" s="29">
        <f t="shared" si="125"/>
        <v>0</v>
      </c>
      <c r="E391" s="29">
        <f t="shared" si="114"/>
        <v>0</v>
      </c>
      <c r="F391" s="29">
        <f t="shared" si="115"/>
        <v>0</v>
      </c>
      <c r="G391" s="29" t="str">
        <f t="shared" si="116"/>
        <v>offensive</v>
      </c>
      <c r="H391" s="16">
        <f t="shared" si="120"/>
        <v>0</v>
      </c>
      <c r="I391" s="16">
        <f t="shared" si="121"/>
        <v>0</v>
      </c>
      <c r="J391" s="16">
        <f t="shared" si="126"/>
        <v>0</v>
      </c>
      <c r="K391" s="16">
        <f t="shared" si="117"/>
        <v>0</v>
      </c>
      <c r="L391" s="67">
        <f t="shared" si="118"/>
        <v>0</v>
      </c>
      <c r="M391" s="4">
        <f t="shared" si="127"/>
        <v>0</v>
      </c>
      <c r="N391" s="4">
        <f t="shared" si="112"/>
        <v>0</v>
      </c>
      <c r="O391" s="4">
        <f t="shared" si="119"/>
        <v>0</v>
      </c>
      <c r="P391" s="4" t="e">
        <f>VLOOKUP(AJ383,'CIR Team Info'!$C$5:$E$44,2,FALSE)</f>
        <v>#N/A</v>
      </c>
      <c r="Q391" s="4" t="e">
        <f>VLOOKUP(AJ383,'CIR Team Info'!$C$5:$E$44,3,FALSE)</f>
        <v>#N/A</v>
      </c>
      <c r="R391" s="10" t="e">
        <f>VLOOKUP(AJ383,'FRC Site Data'!$B$3:$L$42,2,FALSE)</f>
        <v>#N/A</v>
      </c>
      <c r="S391" s="10" t="e">
        <f>VLOOKUP(AJ383,'FRC Site Data'!$B$3:$L$42,3,FALSE)</f>
        <v>#N/A</v>
      </c>
      <c r="T391" s="10" t="e">
        <f>VLOOKUP(AJ383,'FRC Site Data'!$B$3:$L$42,4,FALSE)</f>
        <v>#N/A</v>
      </c>
      <c r="U391" s="10" t="e">
        <f>VLOOKUP(AJ383,'FRC Site Data'!$B$3:$L$42,5,FALSE)</f>
        <v>#N/A</v>
      </c>
      <c r="V391" s="10" t="e">
        <f>VLOOKUP(AJ383,'FRC Site Data'!$B$3:$L$42,6,FALSE)</f>
        <v>#N/A</v>
      </c>
      <c r="W391" s="10" t="e">
        <f>VLOOKUP(AJ383,'FRC Site Data'!$B$3:$L$42,8,FALSE)</f>
        <v>#N/A</v>
      </c>
      <c r="X391" s="10" t="e">
        <f>VLOOKUP(AJ383,'FRC Site Data'!$B$3:$L$42,9,FALSE)</f>
        <v>#N/A</v>
      </c>
      <c r="Y391" s="10" t="e">
        <f>VLOOKUP(AJ383,'FRC Site Data'!$B$3:$L$42,10,FALSE)</f>
        <v>#N/A</v>
      </c>
      <c r="Z391" s="10" t="e">
        <f>VLOOKUP(AJ383,'FRC Site Data'!$B$3:$L$42,11,FALSE)</f>
        <v>#N/A</v>
      </c>
      <c r="AA391" s="10" t="e">
        <f>VLOOKUP(AJ383,'CIR Team Info'!$C$5:$E$44,4,FALSE)</f>
        <v>#N/A</v>
      </c>
      <c r="AB391" s="161" t="b">
        <f>ISNUMBER(VLOOKUP(AJ383,Match!$T$5:$T$10,1,FALSE))</f>
        <v>0</v>
      </c>
      <c r="AC391" s="161" t="b">
        <f>IF(AB391=TRUE,(VLOOKUP($AJ383,Match!$T$5:$U$10,2,FALSE)))</f>
        <v>0</v>
      </c>
      <c r="AD391" s="8">
        <v>3</v>
      </c>
      <c r="AE391" s="8">
        <v>2</v>
      </c>
      <c r="AF391" s="8">
        <v>2</v>
      </c>
      <c r="AG391" s="8">
        <v>1</v>
      </c>
      <c r="AH391" s="8" t="str">
        <f t="shared" si="122"/>
        <v/>
      </c>
      <c r="AI391" s="12"/>
      <c r="AZ391" s="12"/>
      <c r="BC391" s="12"/>
      <c r="BK391" s="12"/>
    </row>
    <row r="392" spans="1:63" x14ac:dyDescent="0.25">
      <c r="A392" s="29">
        <f t="shared" si="113"/>
        <v>0</v>
      </c>
      <c r="B392" s="29">
        <f t="shared" si="123"/>
        <v>0</v>
      </c>
      <c r="C392" s="29">
        <f t="shared" si="124"/>
        <v>0</v>
      </c>
      <c r="D392" s="29">
        <f t="shared" si="125"/>
        <v>0</v>
      </c>
      <c r="E392" s="29">
        <f t="shared" si="114"/>
        <v>0</v>
      </c>
      <c r="F392" s="29">
        <f t="shared" si="115"/>
        <v>0</v>
      </c>
      <c r="G392" s="29" t="str">
        <f t="shared" si="116"/>
        <v>offensive</v>
      </c>
      <c r="H392" s="16">
        <f t="shared" si="120"/>
        <v>0</v>
      </c>
      <c r="I392" s="16">
        <f t="shared" si="121"/>
        <v>0</v>
      </c>
      <c r="J392" s="16">
        <f t="shared" si="126"/>
        <v>0</v>
      </c>
      <c r="K392" s="16">
        <f t="shared" si="117"/>
        <v>0</v>
      </c>
      <c r="L392" s="67">
        <f t="shared" si="118"/>
        <v>0</v>
      </c>
      <c r="M392" s="4">
        <f t="shared" si="127"/>
        <v>0</v>
      </c>
      <c r="N392" s="4">
        <f t="shared" si="112"/>
        <v>0</v>
      </c>
      <c r="O392" s="4">
        <f t="shared" si="119"/>
        <v>0</v>
      </c>
      <c r="P392" s="4" t="e">
        <f>VLOOKUP(AJ384,'CIR Team Info'!$C$5:$E$44,2,FALSE)</f>
        <v>#N/A</v>
      </c>
      <c r="Q392" s="4" t="e">
        <f>VLOOKUP(AJ384,'CIR Team Info'!$C$5:$E$44,3,FALSE)</f>
        <v>#N/A</v>
      </c>
      <c r="R392" s="10" t="e">
        <f>VLOOKUP(AJ384,'FRC Site Data'!$B$3:$L$42,2,FALSE)</f>
        <v>#N/A</v>
      </c>
      <c r="S392" s="10" t="e">
        <f>VLOOKUP(AJ384,'FRC Site Data'!$B$3:$L$42,3,FALSE)</f>
        <v>#N/A</v>
      </c>
      <c r="T392" s="10" t="e">
        <f>VLOOKUP(AJ384,'FRC Site Data'!$B$3:$L$42,4,FALSE)</f>
        <v>#N/A</v>
      </c>
      <c r="U392" s="10" t="e">
        <f>VLOOKUP(AJ384,'FRC Site Data'!$B$3:$L$42,5,FALSE)</f>
        <v>#N/A</v>
      </c>
      <c r="V392" s="10" t="e">
        <f>VLOOKUP(AJ384,'FRC Site Data'!$B$3:$L$42,6,FALSE)</f>
        <v>#N/A</v>
      </c>
      <c r="W392" s="10" t="e">
        <f>VLOOKUP(AJ384,'FRC Site Data'!$B$3:$L$42,8,FALSE)</f>
        <v>#N/A</v>
      </c>
      <c r="X392" s="10" t="e">
        <f>VLOOKUP(AJ384,'FRC Site Data'!$B$3:$L$42,9,FALSE)</f>
        <v>#N/A</v>
      </c>
      <c r="Y392" s="10" t="e">
        <f>VLOOKUP(AJ384,'FRC Site Data'!$B$3:$L$42,10,FALSE)</f>
        <v>#N/A</v>
      </c>
      <c r="Z392" s="10" t="e">
        <f>VLOOKUP(AJ384,'FRC Site Data'!$B$3:$L$42,11,FALSE)</f>
        <v>#N/A</v>
      </c>
      <c r="AA392" s="10" t="e">
        <f>VLOOKUP(AJ384,'CIR Team Info'!$C$5:$E$44,4,FALSE)</f>
        <v>#N/A</v>
      </c>
      <c r="AB392" s="161" t="b">
        <f>ISNUMBER(VLOOKUP(AJ384,Match!$T$5:$T$10,1,FALSE))</f>
        <v>0</v>
      </c>
      <c r="AC392" s="161" t="b">
        <f>IF(AB392=TRUE,(VLOOKUP($AJ384,Match!$T$5:$U$10,2,FALSE)))</f>
        <v>0</v>
      </c>
      <c r="AD392" s="8">
        <v>3</v>
      </c>
      <c r="AE392" s="8">
        <v>2</v>
      </c>
      <c r="AF392" s="8">
        <v>2</v>
      </c>
      <c r="AG392" s="8">
        <v>1</v>
      </c>
      <c r="AH392" s="8" t="str">
        <f t="shared" si="122"/>
        <v/>
      </c>
      <c r="AI392" s="12"/>
      <c r="AZ392" s="12"/>
      <c r="BC392" s="12"/>
      <c r="BK392" s="12"/>
    </row>
    <row r="393" spans="1:63" x14ac:dyDescent="0.25">
      <c r="A393" s="29">
        <f t="shared" si="113"/>
        <v>0</v>
      </c>
      <c r="B393" s="29">
        <f t="shared" si="123"/>
        <v>0</v>
      </c>
      <c r="C393" s="29">
        <f t="shared" si="124"/>
        <v>0</v>
      </c>
      <c r="D393" s="29">
        <f t="shared" si="125"/>
        <v>0</v>
      </c>
      <c r="E393" s="29">
        <f t="shared" si="114"/>
        <v>0</v>
      </c>
      <c r="F393" s="29">
        <f t="shared" si="115"/>
        <v>0</v>
      </c>
      <c r="G393" s="29" t="str">
        <f t="shared" si="116"/>
        <v>offensive</v>
      </c>
      <c r="H393" s="16">
        <f t="shared" si="120"/>
        <v>0</v>
      </c>
      <c r="I393" s="16">
        <f t="shared" si="121"/>
        <v>0</v>
      </c>
      <c r="J393" s="16">
        <f t="shared" si="126"/>
        <v>0</v>
      </c>
      <c r="K393" s="16">
        <f t="shared" si="117"/>
        <v>0</v>
      </c>
      <c r="L393" s="67">
        <f t="shared" si="118"/>
        <v>0</v>
      </c>
      <c r="M393" s="4">
        <f t="shared" si="127"/>
        <v>0</v>
      </c>
      <c r="N393" s="4">
        <f t="shared" si="112"/>
        <v>0</v>
      </c>
      <c r="O393" s="4">
        <f t="shared" si="119"/>
        <v>0</v>
      </c>
      <c r="P393" s="4" t="e">
        <f>VLOOKUP(AJ385,'CIR Team Info'!$C$5:$E$44,2,FALSE)</f>
        <v>#N/A</v>
      </c>
      <c r="Q393" s="4" t="e">
        <f>VLOOKUP(AJ385,'CIR Team Info'!$C$5:$E$44,3,FALSE)</f>
        <v>#N/A</v>
      </c>
      <c r="R393" s="10" t="e">
        <f>VLOOKUP(AJ385,'FRC Site Data'!$B$3:$L$42,2,FALSE)</f>
        <v>#N/A</v>
      </c>
      <c r="S393" s="10" t="e">
        <f>VLOOKUP(AJ385,'FRC Site Data'!$B$3:$L$42,3,FALSE)</f>
        <v>#N/A</v>
      </c>
      <c r="T393" s="10" t="e">
        <f>VLOOKUP(AJ385,'FRC Site Data'!$B$3:$L$42,4,FALSE)</f>
        <v>#N/A</v>
      </c>
      <c r="U393" s="10" t="e">
        <f>VLOOKUP(AJ385,'FRC Site Data'!$B$3:$L$42,5,FALSE)</f>
        <v>#N/A</v>
      </c>
      <c r="V393" s="10" t="e">
        <f>VLOOKUP(AJ385,'FRC Site Data'!$B$3:$L$42,6,FALSE)</f>
        <v>#N/A</v>
      </c>
      <c r="W393" s="10" t="e">
        <f>VLOOKUP(AJ385,'FRC Site Data'!$B$3:$L$42,8,FALSE)</f>
        <v>#N/A</v>
      </c>
      <c r="X393" s="10" t="e">
        <f>VLOOKUP(AJ385,'FRC Site Data'!$B$3:$L$42,9,FALSE)</f>
        <v>#N/A</v>
      </c>
      <c r="Y393" s="10" t="e">
        <f>VLOOKUP(AJ385,'FRC Site Data'!$B$3:$L$42,10,FALSE)</f>
        <v>#N/A</v>
      </c>
      <c r="Z393" s="10" t="e">
        <f>VLOOKUP(AJ385,'FRC Site Data'!$B$3:$L$42,11,FALSE)</f>
        <v>#N/A</v>
      </c>
      <c r="AA393" s="10" t="e">
        <f>VLOOKUP(AJ385,'CIR Team Info'!$C$5:$E$44,4,FALSE)</f>
        <v>#N/A</v>
      </c>
      <c r="AB393" s="161" t="b">
        <f>ISNUMBER(VLOOKUP(AJ385,Match!$T$5:$T$10,1,FALSE))</f>
        <v>0</v>
      </c>
      <c r="AC393" s="161" t="b">
        <f>IF(AB393=TRUE,(VLOOKUP($AJ385,Match!$T$5:$U$10,2,FALSE)))</f>
        <v>0</v>
      </c>
      <c r="AD393" s="8">
        <v>3</v>
      </c>
      <c r="AE393" s="8">
        <v>2</v>
      </c>
      <c r="AF393" s="8">
        <v>2</v>
      </c>
      <c r="AG393" s="8">
        <v>1</v>
      </c>
      <c r="AH393" s="8" t="str">
        <f t="shared" si="122"/>
        <v/>
      </c>
      <c r="AI393" s="12"/>
      <c r="AZ393" s="12"/>
      <c r="BC393" s="12"/>
      <c r="BK393" s="12"/>
    </row>
    <row r="394" spans="1:63" x14ac:dyDescent="0.25">
      <c r="A394" s="29">
        <f t="shared" si="113"/>
        <v>0</v>
      </c>
      <c r="B394" s="29">
        <f t="shared" si="123"/>
        <v>0</v>
      </c>
      <c r="C394" s="29">
        <f t="shared" si="124"/>
        <v>0</v>
      </c>
      <c r="D394" s="29">
        <f t="shared" si="125"/>
        <v>0</v>
      </c>
      <c r="E394" s="29">
        <f t="shared" si="114"/>
        <v>0</v>
      </c>
      <c r="F394" s="29">
        <f t="shared" si="115"/>
        <v>0</v>
      </c>
      <c r="G394" s="29" t="str">
        <f t="shared" si="116"/>
        <v>offensive</v>
      </c>
      <c r="H394" s="16">
        <f t="shared" si="120"/>
        <v>0</v>
      </c>
      <c r="I394" s="16">
        <f t="shared" si="121"/>
        <v>0</v>
      </c>
      <c r="J394" s="16">
        <f t="shared" si="126"/>
        <v>0</v>
      </c>
      <c r="K394" s="16">
        <f t="shared" si="117"/>
        <v>0</v>
      </c>
      <c r="L394" s="67">
        <f t="shared" si="118"/>
        <v>0</v>
      </c>
      <c r="M394" s="4">
        <f t="shared" si="127"/>
        <v>0</v>
      </c>
      <c r="N394" s="4">
        <f t="shared" si="112"/>
        <v>0</v>
      </c>
      <c r="O394" s="4">
        <f t="shared" si="119"/>
        <v>0</v>
      </c>
      <c r="P394" s="4" t="e">
        <f>VLOOKUP(AJ386,'CIR Team Info'!$C$5:$E$44,2,FALSE)</f>
        <v>#N/A</v>
      </c>
      <c r="Q394" s="4" t="e">
        <f>VLOOKUP(AJ386,'CIR Team Info'!$C$5:$E$44,3,FALSE)</f>
        <v>#N/A</v>
      </c>
      <c r="R394" s="10" t="e">
        <f>VLOOKUP(AJ386,'FRC Site Data'!$B$3:$L$42,2,FALSE)</f>
        <v>#N/A</v>
      </c>
      <c r="S394" s="10" t="e">
        <f>VLOOKUP(AJ386,'FRC Site Data'!$B$3:$L$42,3,FALSE)</f>
        <v>#N/A</v>
      </c>
      <c r="T394" s="10" t="e">
        <f>VLOOKUP(AJ386,'FRC Site Data'!$B$3:$L$42,4,FALSE)</f>
        <v>#N/A</v>
      </c>
      <c r="U394" s="10" t="e">
        <f>VLOOKUP(AJ386,'FRC Site Data'!$B$3:$L$42,5,FALSE)</f>
        <v>#N/A</v>
      </c>
      <c r="V394" s="10" t="e">
        <f>VLOOKUP(AJ386,'FRC Site Data'!$B$3:$L$42,6,FALSE)</f>
        <v>#N/A</v>
      </c>
      <c r="W394" s="10" t="e">
        <f>VLOOKUP(AJ386,'FRC Site Data'!$B$3:$L$42,8,FALSE)</f>
        <v>#N/A</v>
      </c>
      <c r="X394" s="10" t="e">
        <f>VLOOKUP(AJ386,'FRC Site Data'!$B$3:$L$42,9,FALSE)</f>
        <v>#N/A</v>
      </c>
      <c r="Y394" s="10" t="e">
        <f>VLOOKUP(AJ386,'FRC Site Data'!$B$3:$L$42,10,FALSE)</f>
        <v>#N/A</v>
      </c>
      <c r="Z394" s="10" t="e">
        <f>VLOOKUP(AJ386,'FRC Site Data'!$B$3:$L$42,11,FALSE)</f>
        <v>#N/A</v>
      </c>
      <c r="AA394" s="10" t="e">
        <f>VLOOKUP(AJ386,'CIR Team Info'!$C$5:$E$44,4,FALSE)</f>
        <v>#N/A</v>
      </c>
      <c r="AB394" s="161" t="b">
        <f>ISNUMBER(VLOOKUP(AJ386,Match!$T$5:$T$10,1,FALSE))</f>
        <v>0</v>
      </c>
      <c r="AC394" s="161" t="b">
        <f>IF(AB394=TRUE,(VLOOKUP($AJ386,Match!$T$5:$U$10,2,FALSE)))</f>
        <v>0</v>
      </c>
      <c r="AD394" s="8">
        <v>3</v>
      </c>
      <c r="AE394" s="8">
        <v>2</v>
      </c>
      <c r="AF394" s="8">
        <v>2</v>
      </c>
      <c r="AG394" s="8">
        <v>1</v>
      </c>
      <c r="AH394" s="8" t="str">
        <f t="shared" si="122"/>
        <v/>
      </c>
      <c r="AI394" s="12"/>
      <c r="AZ394" s="12"/>
      <c r="BC394" s="12"/>
      <c r="BK394" s="12"/>
    </row>
    <row r="395" spans="1:63" x14ac:dyDescent="0.25">
      <c r="A395" s="29">
        <f t="shared" si="113"/>
        <v>0</v>
      </c>
      <c r="B395" s="29">
        <f t="shared" si="123"/>
        <v>0</v>
      </c>
      <c r="C395" s="29">
        <f t="shared" si="124"/>
        <v>0</v>
      </c>
      <c r="D395" s="29">
        <f t="shared" si="125"/>
        <v>0</v>
      </c>
      <c r="E395" s="29">
        <f t="shared" si="114"/>
        <v>0</v>
      </c>
      <c r="F395" s="29">
        <f t="shared" si="115"/>
        <v>0</v>
      </c>
      <c r="G395" s="29" t="str">
        <f t="shared" si="116"/>
        <v>offensive</v>
      </c>
      <c r="H395" s="16">
        <f t="shared" si="120"/>
        <v>0</v>
      </c>
      <c r="I395" s="16">
        <f t="shared" si="121"/>
        <v>0</v>
      </c>
      <c r="J395" s="16">
        <f t="shared" si="126"/>
        <v>0</v>
      </c>
      <c r="K395" s="16">
        <f t="shared" si="117"/>
        <v>0</v>
      </c>
      <c r="L395" s="67">
        <f t="shared" si="118"/>
        <v>0</v>
      </c>
      <c r="M395" s="4">
        <f t="shared" si="127"/>
        <v>0</v>
      </c>
      <c r="N395" s="4">
        <f t="shared" si="112"/>
        <v>0</v>
      </c>
      <c r="O395" s="4">
        <f t="shared" si="119"/>
        <v>0</v>
      </c>
      <c r="P395" s="4" t="e">
        <f>VLOOKUP(AJ387,'CIR Team Info'!$C$5:$E$44,2,FALSE)</f>
        <v>#N/A</v>
      </c>
      <c r="Q395" s="4" t="e">
        <f>VLOOKUP(AJ387,'CIR Team Info'!$C$5:$E$44,3,FALSE)</f>
        <v>#N/A</v>
      </c>
      <c r="R395" s="10" t="e">
        <f>VLOOKUP(AJ387,'FRC Site Data'!$B$3:$L$42,2,FALSE)</f>
        <v>#N/A</v>
      </c>
      <c r="S395" s="10" t="e">
        <f>VLOOKUP(AJ387,'FRC Site Data'!$B$3:$L$42,3,FALSE)</f>
        <v>#N/A</v>
      </c>
      <c r="T395" s="10" t="e">
        <f>VLOOKUP(AJ387,'FRC Site Data'!$B$3:$L$42,4,FALSE)</f>
        <v>#N/A</v>
      </c>
      <c r="U395" s="10" t="e">
        <f>VLOOKUP(AJ387,'FRC Site Data'!$B$3:$L$42,5,FALSE)</f>
        <v>#N/A</v>
      </c>
      <c r="V395" s="10" t="e">
        <f>VLOOKUP(AJ387,'FRC Site Data'!$B$3:$L$42,6,FALSE)</f>
        <v>#N/A</v>
      </c>
      <c r="W395" s="10" t="e">
        <f>VLOOKUP(AJ387,'FRC Site Data'!$B$3:$L$42,8,FALSE)</f>
        <v>#N/A</v>
      </c>
      <c r="X395" s="10" t="e">
        <f>VLOOKUP(AJ387,'FRC Site Data'!$B$3:$L$42,9,FALSE)</f>
        <v>#N/A</v>
      </c>
      <c r="Y395" s="10" t="e">
        <f>VLOOKUP(AJ387,'FRC Site Data'!$B$3:$L$42,10,FALSE)</f>
        <v>#N/A</v>
      </c>
      <c r="Z395" s="10" t="e">
        <f>VLOOKUP(AJ387,'FRC Site Data'!$B$3:$L$42,11,FALSE)</f>
        <v>#N/A</v>
      </c>
      <c r="AA395" s="10" t="e">
        <f>VLOOKUP(AJ387,'CIR Team Info'!$C$5:$E$44,4,FALSE)</f>
        <v>#N/A</v>
      </c>
      <c r="AB395" s="161" t="b">
        <f>ISNUMBER(VLOOKUP(AJ387,Match!$T$5:$T$10,1,FALSE))</f>
        <v>0</v>
      </c>
      <c r="AC395" s="161" t="b">
        <f>IF(AB395=TRUE,(VLOOKUP($AJ387,Match!$T$5:$U$10,2,FALSE)))</f>
        <v>0</v>
      </c>
      <c r="AD395" s="8">
        <v>3</v>
      </c>
      <c r="AE395" s="8">
        <v>2</v>
      </c>
      <c r="AF395" s="8">
        <v>2</v>
      </c>
      <c r="AG395" s="8">
        <v>1</v>
      </c>
      <c r="AH395" s="8" t="str">
        <f t="shared" si="122"/>
        <v/>
      </c>
      <c r="AI395" s="12"/>
      <c r="AZ395" s="12"/>
      <c r="BC395" s="12"/>
      <c r="BK395" s="12"/>
    </row>
    <row r="396" spans="1:63" x14ac:dyDescent="0.25">
      <c r="A396" s="29">
        <f t="shared" si="113"/>
        <v>0</v>
      </c>
      <c r="B396" s="29">
        <f t="shared" si="123"/>
        <v>0</v>
      </c>
      <c r="C396" s="29">
        <f t="shared" si="124"/>
        <v>0</v>
      </c>
      <c r="D396" s="29">
        <f t="shared" si="125"/>
        <v>0</v>
      </c>
      <c r="E396" s="29">
        <f t="shared" si="114"/>
        <v>0</v>
      </c>
      <c r="F396" s="29">
        <f t="shared" si="115"/>
        <v>0</v>
      </c>
      <c r="G396" s="29" t="str">
        <f t="shared" si="116"/>
        <v>offensive</v>
      </c>
      <c r="H396" s="16">
        <f t="shared" si="120"/>
        <v>0</v>
      </c>
      <c r="I396" s="16">
        <f t="shared" si="121"/>
        <v>0</v>
      </c>
      <c r="J396" s="16">
        <f t="shared" si="126"/>
        <v>0</v>
      </c>
      <c r="K396" s="16">
        <f t="shared" si="117"/>
        <v>0</v>
      </c>
      <c r="L396" s="67">
        <f t="shared" si="118"/>
        <v>0</v>
      </c>
      <c r="M396" s="4">
        <f t="shared" si="127"/>
        <v>0</v>
      </c>
      <c r="N396" s="4">
        <f t="shared" si="112"/>
        <v>0</v>
      </c>
      <c r="O396" s="4">
        <f t="shared" si="119"/>
        <v>0</v>
      </c>
      <c r="P396" s="4" t="e">
        <f>VLOOKUP(AJ388,'CIR Team Info'!$C$5:$E$44,2,FALSE)</f>
        <v>#N/A</v>
      </c>
      <c r="Q396" s="4" t="e">
        <f>VLOOKUP(AJ388,'CIR Team Info'!$C$5:$E$44,3,FALSE)</f>
        <v>#N/A</v>
      </c>
      <c r="R396" s="10" t="e">
        <f>VLOOKUP(AJ388,'FRC Site Data'!$B$3:$L$42,2,FALSE)</f>
        <v>#N/A</v>
      </c>
      <c r="S396" s="10" t="e">
        <f>VLOOKUP(AJ388,'FRC Site Data'!$B$3:$L$42,3,FALSE)</f>
        <v>#N/A</v>
      </c>
      <c r="T396" s="10" t="e">
        <f>VLOOKUP(AJ388,'FRC Site Data'!$B$3:$L$42,4,FALSE)</f>
        <v>#N/A</v>
      </c>
      <c r="U396" s="10" t="e">
        <f>VLOOKUP(AJ388,'FRC Site Data'!$B$3:$L$42,5,FALSE)</f>
        <v>#N/A</v>
      </c>
      <c r="V396" s="10" t="e">
        <f>VLOOKUP(AJ388,'FRC Site Data'!$B$3:$L$42,6,FALSE)</f>
        <v>#N/A</v>
      </c>
      <c r="W396" s="10" t="e">
        <f>VLOOKUP(AJ388,'FRC Site Data'!$B$3:$L$42,8,FALSE)</f>
        <v>#N/A</v>
      </c>
      <c r="X396" s="10" t="e">
        <f>VLOOKUP(AJ388,'FRC Site Data'!$B$3:$L$42,9,FALSE)</f>
        <v>#N/A</v>
      </c>
      <c r="Y396" s="10" t="e">
        <f>VLOOKUP(AJ388,'FRC Site Data'!$B$3:$L$42,10,FALSE)</f>
        <v>#N/A</v>
      </c>
      <c r="Z396" s="10" t="e">
        <f>VLOOKUP(AJ388,'FRC Site Data'!$B$3:$L$42,11,FALSE)</f>
        <v>#N/A</v>
      </c>
      <c r="AA396" s="10" t="e">
        <f>VLOOKUP(AJ388,'CIR Team Info'!$C$5:$E$44,4,FALSE)</f>
        <v>#N/A</v>
      </c>
      <c r="AB396" s="161" t="b">
        <f>ISNUMBER(VLOOKUP(AJ388,Match!$T$5:$T$10,1,FALSE))</f>
        <v>0</v>
      </c>
      <c r="AC396" s="161" t="b">
        <f>IF(AB396=TRUE,(VLOOKUP($AJ388,Match!$T$5:$U$10,2,FALSE)))</f>
        <v>0</v>
      </c>
      <c r="AD396" s="8">
        <v>3</v>
      </c>
      <c r="AE396" s="8">
        <v>2</v>
      </c>
      <c r="AF396" s="8">
        <v>2</v>
      </c>
      <c r="AG396" s="8">
        <v>1</v>
      </c>
      <c r="AH396" s="8" t="str">
        <f t="shared" si="122"/>
        <v/>
      </c>
      <c r="AI396" s="12"/>
      <c r="AZ396" s="12"/>
      <c r="BC396" s="12"/>
      <c r="BK396" s="12"/>
    </row>
    <row r="397" spans="1:63" x14ac:dyDescent="0.25">
      <c r="A397" s="29">
        <f t="shared" si="113"/>
        <v>0</v>
      </c>
      <c r="B397" s="29">
        <f t="shared" si="123"/>
        <v>0</v>
      </c>
      <c r="C397" s="29">
        <f t="shared" si="124"/>
        <v>0</v>
      </c>
      <c r="D397" s="29">
        <f t="shared" si="125"/>
        <v>0</v>
      </c>
      <c r="E397" s="29">
        <f t="shared" si="114"/>
        <v>0</v>
      </c>
      <c r="F397" s="29">
        <f t="shared" si="115"/>
        <v>0</v>
      </c>
      <c r="G397" s="29" t="str">
        <f t="shared" si="116"/>
        <v>offensive</v>
      </c>
      <c r="H397" s="16">
        <f t="shared" si="120"/>
        <v>0</v>
      </c>
      <c r="I397" s="16">
        <f t="shared" si="121"/>
        <v>0</v>
      </c>
      <c r="J397" s="16">
        <f t="shared" si="126"/>
        <v>0</v>
      </c>
      <c r="K397" s="16">
        <f t="shared" si="117"/>
        <v>0</v>
      </c>
      <c r="L397" s="67">
        <f t="shared" si="118"/>
        <v>0</v>
      </c>
      <c r="M397" s="4">
        <f t="shared" si="127"/>
        <v>0</v>
      </c>
      <c r="N397" s="4">
        <f t="shared" si="112"/>
        <v>0</v>
      </c>
      <c r="O397" s="4">
        <f t="shared" si="119"/>
        <v>0</v>
      </c>
      <c r="P397" s="4" t="e">
        <f>VLOOKUP(AJ389,'CIR Team Info'!$C$5:$E$44,2,FALSE)</f>
        <v>#N/A</v>
      </c>
      <c r="Q397" s="4" t="e">
        <f>VLOOKUP(AJ389,'CIR Team Info'!$C$5:$E$44,3,FALSE)</f>
        <v>#N/A</v>
      </c>
      <c r="R397" s="10" t="e">
        <f>VLOOKUP(AJ389,'FRC Site Data'!$B$3:$L$42,2,FALSE)</f>
        <v>#N/A</v>
      </c>
      <c r="S397" s="10" t="e">
        <f>VLOOKUP(AJ389,'FRC Site Data'!$B$3:$L$42,3,FALSE)</f>
        <v>#N/A</v>
      </c>
      <c r="T397" s="10" t="e">
        <f>VLOOKUP(AJ389,'FRC Site Data'!$B$3:$L$42,4,FALSE)</f>
        <v>#N/A</v>
      </c>
      <c r="U397" s="10" t="e">
        <f>VLOOKUP(AJ389,'FRC Site Data'!$B$3:$L$42,5,FALSE)</f>
        <v>#N/A</v>
      </c>
      <c r="V397" s="10" t="e">
        <f>VLOOKUP(AJ389,'FRC Site Data'!$B$3:$L$42,6,FALSE)</f>
        <v>#N/A</v>
      </c>
      <c r="W397" s="10" t="e">
        <f>VLOOKUP(AJ389,'FRC Site Data'!$B$3:$L$42,8,FALSE)</f>
        <v>#N/A</v>
      </c>
      <c r="X397" s="10" t="e">
        <f>VLOOKUP(AJ389,'FRC Site Data'!$B$3:$L$42,9,FALSE)</f>
        <v>#N/A</v>
      </c>
      <c r="Y397" s="10" t="e">
        <f>VLOOKUP(AJ389,'FRC Site Data'!$B$3:$L$42,10,FALSE)</f>
        <v>#N/A</v>
      </c>
      <c r="Z397" s="10" t="e">
        <f>VLOOKUP(AJ389,'FRC Site Data'!$B$3:$L$42,11,FALSE)</f>
        <v>#N/A</v>
      </c>
      <c r="AA397" s="10" t="e">
        <f>VLOOKUP(AJ389,'CIR Team Info'!$C$5:$E$44,4,FALSE)</f>
        <v>#N/A</v>
      </c>
      <c r="AB397" s="161" t="b">
        <f>ISNUMBER(VLOOKUP(AJ389,Match!$T$5:$T$10,1,FALSE))</f>
        <v>0</v>
      </c>
      <c r="AC397" s="161" t="b">
        <f>IF(AB397=TRUE,(VLOOKUP($AJ389,Match!$T$5:$U$10,2,FALSE)))</f>
        <v>0</v>
      </c>
      <c r="AD397" s="8">
        <v>3</v>
      </c>
      <c r="AE397" s="8">
        <v>2</v>
      </c>
      <c r="AF397" s="8">
        <v>2</v>
      </c>
      <c r="AG397" s="8">
        <v>1</v>
      </c>
      <c r="AH397" s="8" t="str">
        <f t="shared" si="122"/>
        <v/>
      </c>
      <c r="AI397" s="12"/>
      <c r="AZ397" s="12"/>
      <c r="BC397" s="12"/>
      <c r="BK397" s="12"/>
    </row>
    <row r="398" spans="1:63" x14ac:dyDescent="0.25">
      <c r="A398" s="29">
        <f t="shared" si="113"/>
        <v>0</v>
      </c>
      <c r="B398" s="29">
        <f t="shared" si="123"/>
        <v>0</v>
      </c>
      <c r="C398" s="29">
        <f t="shared" si="124"/>
        <v>0</v>
      </c>
      <c r="D398" s="29">
        <f t="shared" si="125"/>
        <v>0</v>
      </c>
      <c r="E398" s="29">
        <f t="shared" si="114"/>
        <v>0</v>
      </c>
      <c r="F398" s="29">
        <f t="shared" si="115"/>
        <v>0</v>
      </c>
      <c r="G398" s="29" t="str">
        <f t="shared" si="116"/>
        <v>offensive</v>
      </c>
      <c r="H398" s="16">
        <f t="shared" si="120"/>
        <v>0</v>
      </c>
      <c r="I398" s="16">
        <f t="shared" si="121"/>
        <v>0</v>
      </c>
      <c r="J398" s="16">
        <f t="shared" si="126"/>
        <v>0</v>
      </c>
      <c r="K398" s="16">
        <f t="shared" si="117"/>
        <v>0</v>
      </c>
      <c r="L398" s="67">
        <f t="shared" si="118"/>
        <v>0</v>
      </c>
      <c r="M398" s="4">
        <f t="shared" si="127"/>
        <v>0</v>
      </c>
      <c r="N398" s="4">
        <f t="shared" si="112"/>
        <v>0</v>
      </c>
      <c r="O398" s="4">
        <f t="shared" si="119"/>
        <v>0</v>
      </c>
      <c r="P398" s="4" t="e">
        <f>VLOOKUP(AJ390,'CIR Team Info'!$C$5:$E$44,2,FALSE)</f>
        <v>#N/A</v>
      </c>
      <c r="Q398" s="4" t="e">
        <f>VLOOKUP(AJ390,'CIR Team Info'!$C$5:$E$44,3,FALSE)</f>
        <v>#N/A</v>
      </c>
      <c r="R398" s="10" t="e">
        <f>VLOOKUP(AJ390,'FRC Site Data'!$B$3:$L$42,2,FALSE)</f>
        <v>#N/A</v>
      </c>
      <c r="S398" s="10" t="e">
        <f>VLOOKUP(AJ390,'FRC Site Data'!$B$3:$L$42,3,FALSE)</f>
        <v>#N/A</v>
      </c>
      <c r="T398" s="10" t="e">
        <f>VLOOKUP(AJ390,'FRC Site Data'!$B$3:$L$42,4,FALSE)</f>
        <v>#N/A</v>
      </c>
      <c r="U398" s="10" t="e">
        <f>VLOOKUP(AJ390,'FRC Site Data'!$B$3:$L$42,5,FALSE)</f>
        <v>#N/A</v>
      </c>
      <c r="V398" s="10" t="e">
        <f>VLOOKUP(AJ390,'FRC Site Data'!$B$3:$L$42,6,FALSE)</f>
        <v>#N/A</v>
      </c>
      <c r="W398" s="10" t="e">
        <f>VLOOKUP(AJ390,'FRC Site Data'!$B$3:$L$42,8,FALSE)</f>
        <v>#N/A</v>
      </c>
      <c r="X398" s="10" t="e">
        <f>VLOOKUP(AJ390,'FRC Site Data'!$B$3:$L$42,9,FALSE)</f>
        <v>#N/A</v>
      </c>
      <c r="Y398" s="10" t="e">
        <f>VLOOKUP(AJ390,'FRC Site Data'!$B$3:$L$42,10,FALSE)</f>
        <v>#N/A</v>
      </c>
      <c r="Z398" s="10" t="e">
        <f>VLOOKUP(AJ390,'FRC Site Data'!$B$3:$L$42,11,FALSE)</f>
        <v>#N/A</v>
      </c>
      <c r="AA398" s="10" t="e">
        <f>VLOOKUP(AJ390,'CIR Team Info'!$C$5:$E$44,4,FALSE)</f>
        <v>#N/A</v>
      </c>
      <c r="AB398" s="161" t="b">
        <f>ISNUMBER(VLOOKUP(AJ390,Match!$T$5:$T$10,1,FALSE))</f>
        <v>0</v>
      </c>
      <c r="AC398" s="161" t="b">
        <f>IF(AB398=TRUE,(VLOOKUP($AJ390,Match!$T$5:$U$10,2,FALSE)))</f>
        <v>0</v>
      </c>
      <c r="AD398" s="8">
        <v>3</v>
      </c>
      <c r="AE398" s="8">
        <v>2</v>
      </c>
      <c r="AF398" s="8">
        <v>2</v>
      </c>
      <c r="AG398" s="8">
        <v>1</v>
      </c>
      <c r="AH398" s="8" t="str">
        <f t="shared" si="122"/>
        <v/>
      </c>
      <c r="AI398" s="12"/>
      <c r="AZ398" s="12"/>
      <c r="BC398" s="12"/>
      <c r="BK398" s="12"/>
    </row>
    <row r="399" spans="1:63" x14ac:dyDescent="0.25">
      <c r="A399" s="29">
        <f t="shared" si="113"/>
        <v>0</v>
      </c>
      <c r="B399" s="29">
        <f t="shared" si="123"/>
        <v>0</v>
      </c>
      <c r="C399" s="29">
        <f t="shared" si="124"/>
        <v>0</v>
      </c>
      <c r="D399" s="29">
        <f t="shared" si="125"/>
        <v>0</v>
      </c>
      <c r="E399" s="29">
        <f t="shared" si="114"/>
        <v>0</v>
      </c>
      <c r="F399" s="29">
        <f t="shared" si="115"/>
        <v>0</v>
      </c>
      <c r="G399" s="29" t="str">
        <f t="shared" si="116"/>
        <v>offensive</v>
      </c>
      <c r="H399" s="16">
        <f t="shared" si="120"/>
        <v>0</v>
      </c>
      <c r="I399" s="16">
        <f t="shared" si="121"/>
        <v>0</v>
      </c>
      <c r="J399" s="16">
        <f t="shared" si="126"/>
        <v>0</v>
      </c>
      <c r="K399" s="16">
        <f t="shared" si="117"/>
        <v>0</v>
      </c>
      <c r="L399" s="67">
        <f t="shared" si="118"/>
        <v>0</v>
      </c>
      <c r="M399" s="4">
        <f t="shared" si="127"/>
        <v>0</v>
      </c>
      <c r="N399" s="4">
        <f t="shared" si="112"/>
        <v>0</v>
      </c>
      <c r="O399" s="4">
        <f t="shared" si="119"/>
        <v>0</v>
      </c>
      <c r="P399" s="4" t="e">
        <f>VLOOKUP(AJ391,'CIR Team Info'!$C$5:$E$44,2,FALSE)</f>
        <v>#N/A</v>
      </c>
      <c r="Q399" s="4" t="e">
        <f>VLOOKUP(AJ391,'CIR Team Info'!$C$5:$E$44,3,FALSE)</f>
        <v>#N/A</v>
      </c>
      <c r="R399" s="10" t="e">
        <f>VLOOKUP(AJ391,'FRC Site Data'!$B$3:$L$42,2,FALSE)</f>
        <v>#N/A</v>
      </c>
      <c r="S399" s="10" t="e">
        <f>VLOOKUP(AJ391,'FRC Site Data'!$B$3:$L$42,3,FALSE)</f>
        <v>#N/A</v>
      </c>
      <c r="T399" s="10" t="e">
        <f>VLOOKUP(AJ391,'FRC Site Data'!$B$3:$L$42,4,FALSE)</f>
        <v>#N/A</v>
      </c>
      <c r="U399" s="10" t="e">
        <f>VLOOKUP(AJ391,'FRC Site Data'!$B$3:$L$42,5,FALSE)</f>
        <v>#N/A</v>
      </c>
      <c r="V399" s="10" t="e">
        <f>VLOOKUP(AJ391,'FRC Site Data'!$B$3:$L$42,6,FALSE)</f>
        <v>#N/A</v>
      </c>
      <c r="W399" s="10" t="e">
        <f>VLOOKUP(AJ391,'FRC Site Data'!$B$3:$L$42,8,FALSE)</f>
        <v>#N/A</v>
      </c>
      <c r="X399" s="10" t="e">
        <f>VLOOKUP(AJ391,'FRC Site Data'!$B$3:$L$42,9,FALSE)</f>
        <v>#N/A</v>
      </c>
      <c r="Y399" s="10" t="e">
        <f>VLOOKUP(AJ391,'FRC Site Data'!$B$3:$L$42,10,FALSE)</f>
        <v>#N/A</v>
      </c>
      <c r="Z399" s="10" t="e">
        <f>VLOOKUP(AJ391,'FRC Site Data'!$B$3:$L$42,11,FALSE)</f>
        <v>#N/A</v>
      </c>
      <c r="AA399" s="10" t="e">
        <f>VLOOKUP(AJ391,'CIR Team Info'!$C$5:$E$44,4,FALSE)</f>
        <v>#N/A</v>
      </c>
      <c r="AB399" s="161" t="b">
        <f>ISNUMBER(VLOOKUP(AJ391,Match!$T$5:$T$10,1,FALSE))</f>
        <v>0</v>
      </c>
      <c r="AC399" s="161" t="b">
        <f>IF(AB399=TRUE,(VLOOKUP($AJ391,Match!$T$5:$U$10,2,FALSE)))</f>
        <v>0</v>
      </c>
      <c r="AD399" s="8">
        <v>3</v>
      </c>
      <c r="AE399" s="8">
        <v>2</v>
      </c>
      <c r="AF399" s="8">
        <v>2</v>
      </c>
      <c r="AG399" s="8">
        <v>1</v>
      </c>
      <c r="AH399" s="8" t="str">
        <f t="shared" si="122"/>
        <v/>
      </c>
      <c r="AI399" s="12"/>
      <c r="AZ399" s="12"/>
      <c r="BC399" s="12"/>
      <c r="BK399" s="12"/>
    </row>
    <row r="400" spans="1:63" x14ac:dyDescent="0.25">
      <c r="A400" s="29">
        <f t="shared" si="113"/>
        <v>0</v>
      </c>
      <c r="B400" s="29">
        <f t="shared" si="123"/>
        <v>0</v>
      </c>
      <c r="C400" s="29">
        <f t="shared" si="124"/>
        <v>0</v>
      </c>
      <c r="D400" s="29">
        <f t="shared" si="125"/>
        <v>0</v>
      </c>
      <c r="E400" s="29">
        <f t="shared" si="114"/>
        <v>0</v>
      </c>
      <c r="F400" s="29">
        <f t="shared" si="115"/>
        <v>0</v>
      </c>
      <c r="G400" s="29" t="str">
        <f t="shared" si="116"/>
        <v>offensive</v>
      </c>
      <c r="H400" s="16">
        <f t="shared" si="120"/>
        <v>0</v>
      </c>
      <c r="I400" s="16">
        <f t="shared" si="121"/>
        <v>0</v>
      </c>
      <c r="J400" s="16">
        <f t="shared" si="126"/>
        <v>0</v>
      </c>
      <c r="K400" s="16">
        <f t="shared" si="117"/>
        <v>0</v>
      </c>
      <c r="L400" s="67">
        <f t="shared" si="118"/>
        <v>0</v>
      </c>
      <c r="M400" s="4">
        <f t="shared" si="127"/>
        <v>0</v>
      </c>
      <c r="N400" s="4">
        <f t="shared" si="112"/>
        <v>0</v>
      </c>
      <c r="O400" s="4">
        <f t="shared" si="119"/>
        <v>0</v>
      </c>
      <c r="P400" s="4" t="e">
        <f>VLOOKUP(AJ392,'CIR Team Info'!$C$5:$E$44,2,FALSE)</f>
        <v>#N/A</v>
      </c>
      <c r="Q400" s="4" t="e">
        <f>VLOOKUP(AJ392,'CIR Team Info'!$C$5:$E$44,3,FALSE)</f>
        <v>#N/A</v>
      </c>
      <c r="R400" s="10" t="e">
        <f>VLOOKUP(AJ392,'FRC Site Data'!$B$3:$L$42,2,FALSE)</f>
        <v>#N/A</v>
      </c>
      <c r="S400" s="10" t="e">
        <f>VLOOKUP(AJ392,'FRC Site Data'!$B$3:$L$42,3,FALSE)</f>
        <v>#N/A</v>
      </c>
      <c r="T400" s="10" t="e">
        <f>VLOOKUP(AJ392,'FRC Site Data'!$B$3:$L$42,4,FALSE)</f>
        <v>#N/A</v>
      </c>
      <c r="U400" s="10" t="e">
        <f>VLOOKUP(AJ392,'FRC Site Data'!$B$3:$L$42,5,FALSE)</f>
        <v>#N/A</v>
      </c>
      <c r="V400" s="10" t="e">
        <f>VLOOKUP(AJ392,'FRC Site Data'!$B$3:$L$42,6,FALSE)</f>
        <v>#N/A</v>
      </c>
      <c r="W400" s="10" t="e">
        <f>VLOOKUP(AJ392,'FRC Site Data'!$B$3:$L$42,8,FALSE)</f>
        <v>#N/A</v>
      </c>
      <c r="X400" s="10" t="e">
        <f>VLOOKUP(AJ392,'FRC Site Data'!$B$3:$L$42,9,FALSE)</f>
        <v>#N/A</v>
      </c>
      <c r="Y400" s="10" t="e">
        <f>VLOOKUP(AJ392,'FRC Site Data'!$B$3:$L$42,10,FALSE)</f>
        <v>#N/A</v>
      </c>
      <c r="Z400" s="10" t="e">
        <f>VLOOKUP(AJ392,'FRC Site Data'!$B$3:$L$42,11,FALSE)</f>
        <v>#N/A</v>
      </c>
      <c r="AA400" s="10" t="e">
        <f>VLOOKUP(AJ392,'CIR Team Info'!$C$5:$E$44,4,FALSE)</f>
        <v>#N/A</v>
      </c>
      <c r="AB400" s="161" t="b">
        <f>ISNUMBER(VLOOKUP(AJ392,Match!$T$5:$T$10,1,FALSE))</f>
        <v>0</v>
      </c>
      <c r="AC400" s="161" t="b">
        <f>IF(AB400=TRUE,(VLOOKUP($AJ392,Match!$T$5:$U$10,2,FALSE)))</f>
        <v>0</v>
      </c>
      <c r="AD400" s="8">
        <v>3</v>
      </c>
      <c r="AE400" s="8">
        <v>2</v>
      </c>
      <c r="AF400" s="8">
        <v>2</v>
      </c>
      <c r="AG400" s="8">
        <v>1</v>
      </c>
      <c r="AH400" s="8" t="str">
        <f t="shared" si="122"/>
        <v/>
      </c>
      <c r="AI400" s="12"/>
      <c r="AZ400" s="12"/>
      <c r="BC400" s="12"/>
      <c r="BK400" s="12"/>
    </row>
    <row r="401" spans="1:63" x14ac:dyDescent="0.25">
      <c r="A401" s="29">
        <f t="shared" si="113"/>
        <v>0</v>
      </c>
      <c r="B401" s="29">
        <f t="shared" si="123"/>
        <v>0</v>
      </c>
      <c r="C401" s="29">
        <f t="shared" si="124"/>
        <v>0</v>
      </c>
      <c r="D401" s="29">
        <f t="shared" si="125"/>
        <v>0</v>
      </c>
      <c r="E401" s="29">
        <f t="shared" si="114"/>
        <v>0</v>
      </c>
      <c r="F401" s="29">
        <f t="shared" si="115"/>
        <v>0</v>
      </c>
      <c r="G401" s="29" t="str">
        <f t="shared" si="116"/>
        <v>offensive</v>
      </c>
      <c r="H401" s="16">
        <f t="shared" si="120"/>
        <v>0</v>
      </c>
      <c r="I401" s="16">
        <f t="shared" si="121"/>
        <v>0</v>
      </c>
      <c r="J401" s="16">
        <f t="shared" si="126"/>
        <v>0</v>
      </c>
      <c r="K401" s="16">
        <f t="shared" si="117"/>
        <v>0</v>
      </c>
      <c r="L401" s="67">
        <f t="shared" si="118"/>
        <v>0</v>
      </c>
      <c r="M401" s="4">
        <f t="shared" si="127"/>
        <v>0</v>
      </c>
      <c r="N401" s="4">
        <f t="shared" si="112"/>
        <v>0</v>
      </c>
      <c r="O401" s="4">
        <f t="shared" si="119"/>
        <v>0</v>
      </c>
      <c r="P401" s="4" t="e">
        <f>VLOOKUP(AJ393,'CIR Team Info'!$C$5:$E$44,2,FALSE)</f>
        <v>#N/A</v>
      </c>
      <c r="Q401" s="4" t="e">
        <f>VLOOKUP(AJ393,'CIR Team Info'!$C$5:$E$44,3,FALSE)</f>
        <v>#N/A</v>
      </c>
      <c r="R401" s="10" t="e">
        <f>VLOOKUP(AJ393,'FRC Site Data'!$B$3:$L$42,2,FALSE)</f>
        <v>#N/A</v>
      </c>
      <c r="S401" s="10" t="e">
        <f>VLOOKUP(AJ393,'FRC Site Data'!$B$3:$L$42,3,FALSE)</f>
        <v>#N/A</v>
      </c>
      <c r="T401" s="10" t="e">
        <f>VLOOKUP(AJ393,'FRC Site Data'!$B$3:$L$42,4,FALSE)</f>
        <v>#N/A</v>
      </c>
      <c r="U401" s="10" t="e">
        <f>VLOOKUP(AJ393,'FRC Site Data'!$B$3:$L$42,5,FALSE)</f>
        <v>#N/A</v>
      </c>
      <c r="V401" s="10" t="e">
        <f>VLOOKUP(AJ393,'FRC Site Data'!$B$3:$L$42,6,FALSE)</f>
        <v>#N/A</v>
      </c>
      <c r="W401" s="10" t="e">
        <f>VLOOKUP(AJ393,'FRC Site Data'!$B$3:$L$42,8,FALSE)</f>
        <v>#N/A</v>
      </c>
      <c r="X401" s="10" t="e">
        <f>VLOOKUP(AJ393,'FRC Site Data'!$B$3:$L$42,9,FALSE)</f>
        <v>#N/A</v>
      </c>
      <c r="Y401" s="10" t="e">
        <f>VLOOKUP(AJ393,'FRC Site Data'!$B$3:$L$42,10,FALSE)</f>
        <v>#N/A</v>
      </c>
      <c r="Z401" s="10" t="e">
        <f>VLOOKUP(AJ393,'FRC Site Data'!$B$3:$L$42,11,FALSE)</f>
        <v>#N/A</v>
      </c>
      <c r="AA401" s="10" t="e">
        <f>VLOOKUP(AJ393,'CIR Team Info'!$C$5:$E$44,4,FALSE)</f>
        <v>#N/A</v>
      </c>
      <c r="AB401" s="161" t="b">
        <f>ISNUMBER(VLOOKUP(AJ393,Match!$T$5:$T$10,1,FALSE))</f>
        <v>0</v>
      </c>
      <c r="AC401" s="161" t="b">
        <f>IF(AB401=TRUE,(VLOOKUP($AJ393,Match!$T$5:$U$10,2,FALSE)))</f>
        <v>0</v>
      </c>
      <c r="AD401" s="8">
        <v>3</v>
      </c>
      <c r="AE401" s="8">
        <v>2</v>
      </c>
      <c r="AF401" s="8">
        <v>2</v>
      </c>
      <c r="AG401" s="8">
        <v>1</v>
      </c>
      <c r="AH401" s="8" t="str">
        <f t="shared" si="122"/>
        <v/>
      </c>
      <c r="AI401" s="12"/>
      <c r="AZ401" s="12"/>
      <c r="BC401" s="12"/>
      <c r="BK401" s="12"/>
    </row>
    <row r="402" spans="1:63" x14ac:dyDescent="0.25">
      <c r="A402" s="29">
        <f t="shared" si="113"/>
        <v>0</v>
      </c>
      <c r="B402" s="29">
        <f t="shared" si="123"/>
        <v>0</v>
      </c>
      <c r="C402" s="29">
        <f t="shared" si="124"/>
        <v>0</v>
      </c>
      <c r="D402" s="29">
        <f t="shared" si="125"/>
        <v>0</v>
      </c>
      <c r="E402" s="29">
        <f t="shared" si="114"/>
        <v>0</v>
      </c>
      <c r="F402" s="29">
        <f t="shared" si="115"/>
        <v>0</v>
      </c>
      <c r="G402" s="29" t="str">
        <f t="shared" si="116"/>
        <v>offensive</v>
      </c>
      <c r="H402" s="16">
        <f t="shared" si="120"/>
        <v>0</v>
      </c>
      <c r="I402" s="16">
        <f t="shared" si="121"/>
        <v>0</v>
      </c>
      <c r="J402" s="16">
        <f t="shared" si="126"/>
        <v>0</v>
      </c>
      <c r="K402" s="16">
        <f t="shared" si="117"/>
        <v>0</v>
      </c>
      <c r="L402" s="67">
        <f t="shared" si="118"/>
        <v>0</v>
      </c>
      <c r="M402" s="4">
        <f t="shared" si="127"/>
        <v>0</v>
      </c>
      <c r="N402" s="4">
        <f t="shared" si="112"/>
        <v>0</v>
      </c>
      <c r="O402" s="4">
        <f t="shared" si="119"/>
        <v>0</v>
      </c>
      <c r="P402" s="4" t="e">
        <f>VLOOKUP(AJ394,'CIR Team Info'!$C$5:$E$44,2,FALSE)</f>
        <v>#N/A</v>
      </c>
      <c r="Q402" s="4" t="e">
        <f>VLOOKUP(AJ394,'CIR Team Info'!$C$5:$E$44,3,FALSE)</f>
        <v>#N/A</v>
      </c>
      <c r="R402" s="10" t="e">
        <f>VLOOKUP(AJ394,'FRC Site Data'!$B$3:$L$42,2,FALSE)</f>
        <v>#N/A</v>
      </c>
      <c r="S402" s="10" t="e">
        <f>VLOOKUP(AJ394,'FRC Site Data'!$B$3:$L$42,3,FALSE)</f>
        <v>#N/A</v>
      </c>
      <c r="T402" s="10" t="e">
        <f>VLOOKUP(AJ394,'FRC Site Data'!$B$3:$L$42,4,FALSE)</f>
        <v>#N/A</v>
      </c>
      <c r="U402" s="10" t="e">
        <f>VLOOKUP(AJ394,'FRC Site Data'!$B$3:$L$42,5,FALSE)</f>
        <v>#N/A</v>
      </c>
      <c r="V402" s="10" t="e">
        <f>VLOOKUP(AJ394,'FRC Site Data'!$B$3:$L$42,6,FALSE)</f>
        <v>#N/A</v>
      </c>
      <c r="W402" s="10" t="e">
        <f>VLOOKUP(AJ394,'FRC Site Data'!$B$3:$L$42,8,FALSE)</f>
        <v>#N/A</v>
      </c>
      <c r="X402" s="10" t="e">
        <f>VLOOKUP(AJ394,'FRC Site Data'!$B$3:$L$42,9,FALSE)</f>
        <v>#N/A</v>
      </c>
      <c r="Y402" s="10" t="e">
        <f>VLOOKUP(AJ394,'FRC Site Data'!$B$3:$L$42,10,FALSE)</f>
        <v>#N/A</v>
      </c>
      <c r="Z402" s="10" t="e">
        <f>VLOOKUP(AJ394,'FRC Site Data'!$B$3:$L$42,11,FALSE)</f>
        <v>#N/A</v>
      </c>
      <c r="AA402" s="10" t="e">
        <f>VLOOKUP(AJ394,'CIR Team Info'!$C$5:$E$44,4,FALSE)</f>
        <v>#N/A</v>
      </c>
      <c r="AB402" s="161" t="b">
        <f>ISNUMBER(VLOOKUP(AJ394,Match!$T$5:$T$10,1,FALSE))</f>
        <v>0</v>
      </c>
      <c r="AC402" s="161" t="b">
        <f>IF(AB402=TRUE,(VLOOKUP($AJ394,Match!$T$5:$U$10,2,FALSE)))</f>
        <v>0</v>
      </c>
      <c r="AD402" s="8">
        <v>3</v>
      </c>
      <c r="AE402" s="8">
        <v>2</v>
      </c>
      <c r="AF402" s="8">
        <v>2</v>
      </c>
      <c r="AG402" s="8">
        <v>1</v>
      </c>
      <c r="AH402" s="8" t="str">
        <f t="shared" si="122"/>
        <v/>
      </c>
      <c r="AI402" s="12"/>
      <c r="AZ402" s="12"/>
      <c r="BC402" s="12"/>
      <c r="BK402" s="12"/>
    </row>
    <row r="403" spans="1:63" x14ac:dyDescent="0.25">
      <c r="A403" s="29">
        <f t="shared" si="113"/>
        <v>0</v>
      </c>
      <c r="B403" s="29">
        <f t="shared" si="123"/>
        <v>0</v>
      </c>
      <c r="C403" s="29">
        <f t="shared" si="124"/>
        <v>0</v>
      </c>
      <c r="D403" s="29">
        <f t="shared" si="125"/>
        <v>0</v>
      </c>
      <c r="E403" s="29">
        <f t="shared" si="114"/>
        <v>0</v>
      </c>
      <c r="F403" s="29">
        <f t="shared" si="115"/>
        <v>0</v>
      </c>
      <c r="G403" s="29" t="str">
        <f t="shared" si="116"/>
        <v>offensive</v>
      </c>
      <c r="H403" s="16">
        <f t="shared" si="120"/>
        <v>0</v>
      </c>
      <c r="I403" s="16">
        <f t="shared" si="121"/>
        <v>0</v>
      </c>
      <c r="J403" s="16">
        <f t="shared" si="126"/>
        <v>0</v>
      </c>
      <c r="K403" s="16">
        <f t="shared" si="117"/>
        <v>0</v>
      </c>
      <c r="L403" s="67">
        <f t="shared" si="118"/>
        <v>0</v>
      </c>
      <c r="M403" s="4">
        <f t="shared" si="127"/>
        <v>0</v>
      </c>
      <c r="N403" s="4">
        <f t="shared" si="112"/>
        <v>0</v>
      </c>
      <c r="O403" s="4">
        <f t="shared" si="119"/>
        <v>0</v>
      </c>
      <c r="P403" s="4" t="e">
        <f>VLOOKUP(AJ395,'CIR Team Info'!$C$5:$E$44,2,FALSE)</f>
        <v>#N/A</v>
      </c>
      <c r="Q403" s="4" t="e">
        <f>VLOOKUP(AJ395,'CIR Team Info'!$C$5:$E$44,3,FALSE)</f>
        <v>#N/A</v>
      </c>
      <c r="R403" s="10" t="e">
        <f>VLOOKUP(AJ395,'FRC Site Data'!$B$3:$L$42,2,FALSE)</f>
        <v>#N/A</v>
      </c>
      <c r="S403" s="10" t="e">
        <f>VLOOKUP(AJ395,'FRC Site Data'!$B$3:$L$42,3,FALSE)</f>
        <v>#N/A</v>
      </c>
      <c r="T403" s="10" t="e">
        <f>VLOOKUP(AJ395,'FRC Site Data'!$B$3:$L$42,4,FALSE)</f>
        <v>#N/A</v>
      </c>
      <c r="U403" s="10" t="e">
        <f>VLOOKUP(AJ395,'FRC Site Data'!$B$3:$L$42,5,FALSE)</f>
        <v>#N/A</v>
      </c>
      <c r="V403" s="10" t="e">
        <f>VLOOKUP(AJ395,'FRC Site Data'!$B$3:$L$42,6,FALSE)</f>
        <v>#N/A</v>
      </c>
      <c r="W403" s="10" t="e">
        <f>VLOOKUP(AJ395,'FRC Site Data'!$B$3:$L$42,8,FALSE)</f>
        <v>#N/A</v>
      </c>
      <c r="X403" s="10" t="e">
        <f>VLOOKUP(AJ395,'FRC Site Data'!$B$3:$L$42,9,FALSE)</f>
        <v>#N/A</v>
      </c>
      <c r="Y403" s="10" t="e">
        <f>VLOOKUP(AJ395,'FRC Site Data'!$B$3:$L$42,10,FALSE)</f>
        <v>#N/A</v>
      </c>
      <c r="Z403" s="10" t="e">
        <f>VLOOKUP(AJ395,'FRC Site Data'!$B$3:$L$42,11,FALSE)</f>
        <v>#N/A</v>
      </c>
      <c r="AA403" s="10" t="e">
        <f>VLOOKUP(AJ395,'CIR Team Info'!$C$5:$E$44,4,FALSE)</f>
        <v>#N/A</v>
      </c>
      <c r="AB403" s="161" t="b">
        <f>ISNUMBER(VLOOKUP(AJ395,Match!$T$5:$T$10,1,FALSE))</f>
        <v>0</v>
      </c>
      <c r="AC403" s="161" t="b">
        <f>IF(AB403=TRUE,(VLOOKUP($AJ395,Match!$T$5:$U$10,2,FALSE)))</f>
        <v>0</v>
      </c>
      <c r="AD403" s="8">
        <v>3</v>
      </c>
      <c r="AE403" s="8">
        <v>2</v>
      </c>
      <c r="AF403" s="8">
        <v>2</v>
      </c>
      <c r="AG403" s="8">
        <v>1</v>
      </c>
      <c r="AH403" s="8" t="str">
        <f t="shared" si="122"/>
        <v/>
      </c>
      <c r="AI403" s="12"/>
      <c r="AZ403" s="12"/>
      <c r="BC403" s="12"/>
      <c r="BK403" s="12"/>
    </row>
    <row r="404" spans="1:63" x14ac:dyDescent="0.25">
      <c r="A404" s="29">
        <f t="shared" si="113"/>
        <v>0</v>
      </c>
      <c r="B404" s="29">
        <f t="shared" si="123"/>
        <v>0</v>
      </c>
      <c r="C404" s="29">
        <f t="shared" si="124"/>
        <v>0</v>
      </c>
      <c r="D404" s="29">
        <f t="shared" si="125"/>
        <v>0</v>
      </c>
      <c r="E404" s="29">
        <f t="shared" si="114"/>
        <v>0</v>
      </c>
      <c r="F404" s="29">
        <f t="shared" si="115"/>
        <v>0</v>
      </c>
      <c r="G404" s="29" t="str">
        <f t="shared" si="116"/>
        <v>offensive</v>
      </c>
      <c r="H404" s="16">
        <f t="shared" si="120"/>
        <v>0</v>
      </c>
      <c r="I404" s="16">
        <f t="shared" si="121"/>
        <v>0</v>
      </c>
      <c r="J404" s="16">
        <f t="shared" si="126"/>
        <v>0</v>
      </c>
      <c r="K404" s="16">
        <f t="shared" si="117"/>
        <v>0</v>
      </c>
      <c r="L404" s="67">
        <f t="shared" si="118"/>
        <v>0</v>
      </c>
      <c r="M404" s="4">
        <f t="shared" si="127"/>
        <v>0</v>
      </c>
      <c r="N404" s="4">
        <f t="shared" ref="N404:N462" si="128">AO396+AV396+BD396</f>
        <v>0</v>
      </c>
      <c r="O404" s="4">
        <f t="shared" si="119"/>
        <v>0</v>
      </c>
      <c r="P404" s="4" t="e">
        <f>VLOOKUP(AJ396,'CIR Team Info'!$C$5:$E$44,2,FALSE)</f>
        <v>#N/A</v>
      </c>
      <c r="Q404" s="4" t="e">
        <f>VLOOKUP(AJ396,'CIR Team Info'!$C$5:$E$44,3,FALSE)</f>
        <v>#N/A</v>
      </c>
      <c r="R404" s="10" t="e">
        <f>VLOOKUP(AJ396,'FRC Site Data'!$B$3:$L$42,2,FALSE)</f>
        <v>#N/A</v>
      </c>
      <c r="S404" s="10" t="e">
        <f>VLOOKUP(AJ396,'FRC Site Data'!$B$3:$L$42,3,FALSE)</f>
        <v>#N/A</v>
      </c>
      <c r="T404" s="10" t="e">
        <f>VLOOKUP(AJ396,'FRC Site Data'!$B$3:$L$42,4,FALSE)</f>
        <v>#N/A</v>
      </c>
      <c r="U404" s="10" t="e">
        <f>VLOOKUP(AJ396,'FRC Site Data'!$B$3:$L$42,5,FALSE)</f>
        <v>#N/A</v>
      </c>
      <c r="V404" s="10" t="e">
        <f>VLOOKUP(AJ396,'FRC Site Data'!$B$3:$L$42,6,FALSE)</f>
        <v>#N/A</v>
      </c>
      <c r="W404" s="10" t="e">
        <f>VLOOKUP(AJ396,'FRC Site Data'!$B$3:$L$42,8,FALSE)</f>
        <v>#N/A</v>
      </c>
      <c r="X404" s="10" t="e">
        <f>VLOOKUP(AJ396,'FRC Site Data'!$B$3:$L$42,9,FALSE)</f>
        <v>#N/A</v>
      </c>
      <c r="Y404" s="10" t="e">
        <f>VLOOKUP(AJ396,'FRC Site Data'!$B$3:$L$42,10,FALSE)</f>
        <v>#N/A</v>
      </c>
      <c r="Z404" s="10" t="e">
        <f>VLOOKUP(AJ396,'FRC Site Data'!$B$3:$L$42,11,FALSE)</f>
        <v>#N/A</v>
      </c>
      <c r="AA404" s="10" t="e">
        <f>VLOOKUP(AJ396,'CIR Team Info'!$C$5:$E$44,4,FALSE)</f>
        <v>#N/A</v>
      </c>
      <c r="AB404" s="161" t="b">
        <f>ISNUMBER(VLOOKUP(AJ396,Match!$T$5:$T$10,1,FALSE))</f>
        <v>0</v>
      </c>
      <c r="AC404" s="161" t="b">
        <f>IF(AB404=TRUE,(VLOOKUP($AJ396,Match!$T$5:$U$10,2,FALSE)))</f>
        <v>0</v>
      </c>
      <c r="AD404" s="8">
        <v>3</v>
      </c>
      <c r="AE404" s="8">
        <v>2</v>
      </c>
      <c r="AF404" s="8">
        <v>2</v>
      </c>
      <c r="AG404" s="8">
        <v>1</v>
      </c>
      <c r="AH404" s="8" t="str">
        <f t="shared" si="122"/>
        <v/>
      </c>
      <c r="AI404" s="12"/>
      <c r="AZ404" s="12"/>
      <c r="BC404" s="12"/>
      <c r="BK404" s="12"/>
    </row>
    <row r="405" spans="1:63" x14ac:dyDescent="0.25">
      <c r="A405" s="29">
        <f t="shared" ref="A405:A463" si="129">SUM(B405:F405)</f>
        <v>0</v>
      </c>
      <c r="B405" s="29">
        <f t="shared" si="123"/>
        <v>0</v>
      </c>
      <c r="C405" s="29">
        <f t="shared" si="124"/>
        <v>0</v>
      </c>
      <c r="D405" s="29">
        <f t="shared" si="125"/>
        <v>0</v>
      </c>
      <c r="E405" s="29">
        <f t="shared" ref="E405:E463" si="130">K405*O405</f>
        <v>0</v>
      </c>
      <c r="F405" s="29">
        <f t="shared" ref="F405:F463" si="131">IF(AN397&gt;0,5)-2*COUNTIF(AQ397,"K")+5*COUNTIF(AS397,"T")+IF(AX397=3,2)+IF(AY397="T",2)</f>
        <v>0</v>
      </c>
      <c r="G405" s="29" t="str">
        <f t="shared" ref="G405:G463" si="132">IF((BB397+BC397)&gt;45,"defensive",IF((BB397+BC397)&gt;15,"both","offensive"))</f>
        <v>offensive</v>
      </c>
      <c r="H405" s="16">
        <f t="shared" si="120"/>
        <v>0</v>
      </c>
      <c r="I405" s="16">
        <f t="shared" si="121"/>
        <v>0</v>
      </c>
      <c r="J405" s="16">
        <f t="shared" si="126"/>
        <v>0</v>
      </c>
      <c r="K405" s="16">
        <f t="shared" ref="K405:K463" si="133">IF((BB397+BC397)=0,0,((AZ397*BB397*0.2)+(BA397*BC397*0.3))/(BB397+BC397))</f>
        <v>0</v>
      </c>
      <c r="L405" s="67">
        <f t="shared" ref="L405:L463" si="134">IF(BF397&gt;BG397,BF397,BG397)</f>
        <v>0</v>
      </c>
      <c r="M405" s="4">
        <f t="shared" si="127"/>
        <v>0</v>
      </c>
      <c r="N405" s="4">
        <f t="shared" si="128"/>
        <v>0</v>
      </c>
      <c r="O405" s="4">
        <f t="shared" ref="O405:O463" si="135">(AZ397*0.2*BB397*30/30)+(BA397*0.3*BC397*12/30)-BI397-BJ397</f>
        <v>0</v>
      </c>
      <c r="P405" s="4" t="e">
        <f>VLOOKUP(AJ397,'CIR Team Info'!$C$5:$E$44,2,FALSE)</f>
        <v>#N/A</v>
      </c>
      <c r="Q405" s="4" t="e">
        <f>VLOOKUP(AJ397,'CIR Team Info'!$C$5:$E$44,3,FALSE)</f>
        <v>#N/A</v>
      </c>
      <c r="R405" s="10" t="e">
        <f>VLOOKUP(AJ397,'FRC Site Data'!$B$3:$L$42,2,FALSE)</f>
        <v>#N/A</v>
      </c>
      <c r="S405" s="10" t="e">
        <f>VLOOKUP(AJ397,'FRC Site Data'!$B$3:$L$42,3,FALSE)</f>
        <v>#N/A</v>
      </c>
      <c r="T405" s="10" t="e">
        <f>VLOOKUP(AJ397,'FRC Site Data'!$B$3:$L$42,4,FALSE)</f>
        <v>#N/A</v>
      </c>
      <c r="U405" s="10" t="e">
        <f>VLOOKUP(AJ397,'FRC Site Data'!$B$3:$L$42,5,FALSE)</f>
        <v>#N/A</v>
      </c>
      <c r="V405" s="10" t="e">
        <f>VLOOKUP(AJ397,'FRC Site Data'!$B$3:$L$42,6,FALSE)</f>
        <v>#N/A</v>
      </c>
      <c r="W405" s="10" t="e">
        <f>VLOOKUP(AJ397,'FRC Site Data'!$B$3:$L$42,8,FALSE)</f>
        <v>#N/A</v>
      </c>
      <c r="X405" s="10" t="e">
        <f>VLOOKUP(AJ397,'FRC Site Data'!$B$3:$L$42,9,FALSE)</f>
        <v>#N/A</v>
      </c>
      <c r="Y405" s="10" t="e">
        <f>VLOOKUP(AJ397,'FRC Site Data'!$B$3:$L$42,10,FALSE)</f>
        <v>#N/A</v>
      </c>
      <c r="Z405" s="10" t="e">
        <f>VLOOKUP(AJ397,'FRC Site Data'!$B$3:$L$42,11,FALSE)</f>
        <v>#N/A</v>
      </c>
      <c r="AA405" s="10" t="e">
        <f>VLOOKUP(AJ397,'CIR Team Info'!$C$5:$E$44,4,FALSE)</f>
        <v>#N/A</v>
      </c>
      <c r="AB405" s="161" t="b">
        <f>ISNUMBER(VLOOKUP(AJ397,Match!$T$5:$T$10,1,FALSE))</f>
        <v>0</v>
      </c>
      <c r="AC405" s="161" t="b">
        <f>IF(AB405=TRUE,(VLOOKUP($AJ397,Match!$T$5:$U$10,2,FALSE)))</f>
        <v>0</v>
      </c>
      <c r="AD405" s="8">
        <v>3</v>
      </c>
      <c r="AE405" s="8">
        <v>2</v>
      </c>
      <c r="AF405" s="8">
        <v>2</v>
      </c>
      <c r="AG405" s="8">
        <v>1</v>
      </c>
      <c r="AH405" s="8" t="str">
        <f t="shared" si="122"/>
        <v/>
      </c>
      <c r="AI405" s="12"/>
      <c r="AZ405" s="12"/>
      <c r="BC405" s="12"/>
      <c r="BK405" s="12"/>
    </row>
    <row r="406" spans="1:63" x14ac:dyDescent="0.25">
      <c r="A406" s="29">
        <f t="shared" si="129"/>
        <v>0</v>
      </c>
      <c r="B406" s="29">
        <f t="shared" si="123"/>
        <v>0</v>
      </c>
      <c r="C406" s="29">
        <f t="shared" si="124"/>
        <v>0</v>
      </c>
      <c r="D406" s="29">
        <f t="shared" si="125"/>
        <v>0</v>
      </c>
      <c r="E406" s="29">
        <f t="shared" si="130"/>
        <v>0</v>
      </c>
      <c r="F406" s="29">
        <f t="shared" si="131"/>
        <v>0</v>
      </c>
      <c r="G406" s="29" t="str">
        <f t="shared" si="132"/>
        <v>offensive</v>
      </c>
      <c r="H406" s="16">
        <f t="shared" si="120"/>
        <v>0</v>
      </c>
      <c r="I406" s="16">
        <f t="shared" si="121"/>
        <v>0</v>
      </c>
      <c r="J406" s="16">
        <f t="shared" si="126"/>
        <v>0</v>
      </c>
      <c r="K406" s="16">
        <f t="shared" si="133"/>
        <v>0</v>
      </c>
      <c r="L406" s="67">
        <f t="shared" si="134"/>
        <v>0</v>
      </c>
      <c r="M406" s="4">
        <f t="shared" si="127"/>
        <v>0</v>
      </c>
      <c r="N406" s="4">
        <f t="shared" si="128"/>
        <v>0</v>
      </c>
      <c r="O406" s="4">
        <f t="shared" si="135"/>
        <v>0</v>
      </c>
      <c r="P406" s="4" t="e">
        <f>VLOOKUP(AJ398,'CIR Team Info'!$C$5:$E$44,2,FALSE)</f>
        <v>#N/A</v>
      </c>
      <c r="Q406" s="4" t="e">
        <f>VLOOKUP(AJ398,'CIR Team Info'!$C$5:$E$44,3,FALSE)</f>
        <v>#N/A</v>
      </c>
      <c r="R406" s="10" t="e">
        <f>VLOOKUP(AJ398,'FRC Site Data'!$B$3:$L$42,2,FALSE)</f>
        <v>#N/A</v>
      </c>
      <c r="S406" s="10" t="e">
        <f>VLOOKUP(AJ398,'FRC Site Data'!$B$3:$L$42,3,FALSE)</f>
        <v>#N/A</v>
      </c>
      <c r="T406" s="10" t="e">
        <f>VLOOKUP(AJ398,'FRC Site Data'!$B$3:$L$42,4,FALSE)</f>
        <v>#N/A</v>
      </c>
      <c r="U406" s="10" t="e">
        <f>VLOOKUP(AJ398,'FRC Site Data'!$B$3:$L$42,5,FALSE)</f>
        <v>#N/A</v>
      </c>
      <c r="V406" s="10" t="e">
        <f>VLOOKUP(AJ398,'FRC Site Data'!$B$3:$L$42,6,FALSE)</f>
        <v>#N/A</v>
      </c>
      <c r="W406" s="10" t="e">
        <f>VLOOKUP(AJ398,'FRC Site Data'!$B$3:$L$42,8,FALSE)</f>
        <v>#N/A</v>
      </c>
      <c r="X406" s="10" t="e">
        <f>VLOOKUP(AJ398,'FRC Site Data'!$B$3:$L$42,9,FALSE)</f>
        <v>#N/A</v>
      </c>
      <c r="Y406" s="10" t="e">
        <f>VLOOKUP(AJ398,'FRC Site Data'!$B$3:$L$42,10,FALSE)</f>
        <v>#N/A</v>
      </c>
      <c r="Z406" s="10" t="e">
        <f>VLOOKUP(AJ398,'FRC Site Data'!$B$3:$L$42,11,FALSE)</f>
        <v>#N/A</v>
      </c>
      <c r="AA406" s="10" t="e">
        <f>VLOOKUP(AJ398,'CIR Team Info'!$C$5:$E$44,4,FALSE)</f>
        <v>#N/A</v>
      </c>
      <c r="AB406" s="161" t="b">
        <f>ISNUMBER(VLOOKUP(AJ398,Match!$T$5:$T$10,1,FALSE))</f>
        <v>0</v>
      </c>
      <c r="AC406" s="161" t="b">
        <f>IF(AB406=TRUE,(VLOOKUP($AJ398,Match!$T$5:$U$10,2,FALSE)))</f>
        <v>0</v>
      </c>
      <c r="AD406" s="8">
        <v>3</v>
      </c>
      <c r="AE406" s="8">
        <v>2</v>
      </c>
      <c r="AF406" s="8">
        <v>2</v>
      </c>
      <c r="AG406" s="8">
        <v>1</v>
      </c>
      <c r="AH406" s="8" t="str">
        <f t="shared" si="122"/>
        <v/>
      </c>
      <c r="AI406" s="12"/>
      <c r="AZ406" s="12"/>
      <c r="BC406" s="12"/>
      <c r="BK406" s="12"/>
    </row>
    <row r="407" spans="1:63" x14ac:dyDescent="0.25">
      <c r="A407" s="29">
        <f t="shared" si="129"/>
        <v>0</v>
      </c>
      <c r="B407" s="29">
        <f t="shared" si="123"/>
        <v>0</v>
      </c>
      <c r="C407" s="29">
        <f t="shared" si="124"/>
        <v>0</v>
      </c>
      <c r="D407" s="29">
        <f t="shared" si="125"/>
        <v>0</v>
      </c>
      <c r="E407" s="29">
        <f t="shared" si="130"/>
        <v>0</v>
      </c>
      <c r="F407" s="29">
        <f t="shared" si="131"/>
        <v>0</v>
      </c>
      <c r="G407" s="29" t="str">
        <f t="shared" si="132"/>
        <v>offensive</v>
      </c>
      <c r="H407" s="16">
        <f t="shared" si="120"/>
        <v>0</v>
      </c>
      <c r="I407" s="16">
        <f t="shared" si="121"/>
        <v>0</v>
      </c>
      <c r="J407" s="16">
        <f t="shared" si="126"/>
        <v>0</v>
      </c>
      <c r="K407" s="16">
        <f t="shared" si="133"/>
        <v>0</v>
      </c>
      <c r="L407" s="67">
        <f t="shared" si="134"/>
        <v>0</v>
      </c>
      <c r="M407" s="4">
        <f t="shared" si="127"/>
        <v>0</v>
      </c>
      <c r="N407" s="4">
        <f t="shared" si="128"/>
        <v>0</v>
      </c>
      <c r="O407" s="4">
        <f t="shared" si="135"/>
        <v>0</v>
      </c>
      <c r="P407" s="4" t="e">
        <f>VLOOKUP(AJ399,'CIR Team Info'!$C$5:$E$44,2,FALSE)</f>
        <v>#N/A</v>
      </c>
      <c r="Q407" s="4" t="e">
        <f>VLOOKUP(AJ399,'CIR Team Info'!$C$5:$E$44,3,FALSE)</f>
        <v>#N/A</v>
      </c>
      <c r="R407" s="10" t="e">
        <f>VLOOKUP(AJ399,'FRC Site Data'!$B$3:$L$42,2,FALSE)</f>
        <v>#N/A</v>
      </c>
      <c r="S407" s="10" t="e">
        <f>VLOOKUP(AJ399,'FRC Site Data'!$B$3:$L$42,3,FALSE)</f>
        <v>#N/A</v>
      </c>
      <c r="T407" s="10" t="e">
        <f>VLOOKUP(AJ399,'FRC Site Data'!$B$3:$L$42,4,FALSE)</f>
        <v>#N/A</v>
      </c>
      <c r="U407" s="10" t="e">
        <f>VLOOKUP(AJ399,'FRC Site Data'!$B$3:$L$42,5,FALSE)</f>
        <v>#N/A</v>
      </c>
      <c r="V407" s="10" t="e">
        <f>VLOOKUP(AJ399,'FRC Site Data'!$B$3:$L$42,6,FALSE)</f>
        <v>#N/A</v>
      </c>
      <c r="W407" s="10" t="e">
        <f>VLOOKUP(AJ399,'FRC Site Data'!$B$3:$L$42,8,FALSE)</f>
        <v>#N/A</v>
      </c>
      <c r="X407" s="10" t="e">
        <f>VLOOKUP(AJ399,'FRC Site Data'!$B$3:$L$42,9,FALSE)</f>
        <v>#N/A</v>
      </c>
      <c r="Y407" s="10" t="e">
        <f>VLOOKUP(AJ399,'FRC Site Data'!$B$3:$L$42,10,FALSE)</f>
        <v>#N/A</v>
      </c>
      <c r="Z407" s="10" t="e">
        <f>VLOOKUP(AJ399,'FRC Site Data'!$B$3:$L$42,11,FALSE)</f>
        <v>#N/A</v>
      </c>
      <c r="AA407" s="10" t="e">
        <f>VLOOKUP(AJ399,'CIR Team Info'!$C$5:$E$44,4,FALSE)</f>
        <v>#N/A</v>
      </c>
      <c r="AB407" s="161" t="b">
        <f>ISNUMBER(VLOOKUP(AJ399,Match!$T$5:$T$10,1,FALSE))</f>
        <v>0</v>
      </c>
      <c r="AC407" s="161" t="b">
        <f>IF(AB407=TRUE,(VLOOKUP($AJ399,Match!$T$5:$U$10,2,FALSE)))</f>
        <v>0</v>
      </c>
      <c r="AD407" s="8">
        <v>3</v>
      </c>
      <c r="AE407" s="8">
        <v>2</v>
      </c>
      <c r="AF407" s="8">
        <v>2</v>
      </c>
      <c r="AG407" s="8">
        <v>1</v>
      </c>
      <c r="AH407" s="8" t="str">
        <f t="shared" si="122"/>
        <v/>
      </c>
      <c r="AI407" s="12"/>
      <c r="AZ407" s="12"/>
      <c r="BC407" s="12"/>
      <c r="BK407" s="12"/>
    </row>
    <row r="408" spans="1:63" x14ac:dyDescent="0.25">
      <c r="A408" s="29">
        <f t="shared" si="129"/>
        <v>0</v>
      </c>
      <c r="B408" s="29">
        <f t="shared" si="123"/>
        <v>0</v>
      </c>
      <c r="C408" s="29">
        <f t="shared" si="124"/>
        <v>0</v>
      </c>
      <c r="D408" s="29">
        <f t="shared" si="125"/>
        <v>0</v>
      </c>
      <c r="E408" s="29">
        <f t="shared" si="130"/>
        <v>0</v>
      </c>
      <c r="F408" s="29">
        <f t="shared" si="131"/>
        <v>0</v>
      </c>
      <c r="G408" s="29" t="str">
        <f t="shared" si="132"/>
        <v>offensive</v>
      </c>
      <c r="H408" s="16">
        <f t="shared" si="120"/>
        <v>0</v>
      </c>
      <c r="I408" s="16">
        <f t="shared" si="121"/>
        <v>0</v>
      </c>
      <c r="J408" s="16">
        <f t="shared" si="126"/>
        <v>0</v>
      </c>
      <c r="K408" s="16">
        <f t="shared" si="133"/>
        <v>0</v>
      </c>
      <c r="L408" s="67">
        <f t="shared" si="134"/>
        <v>0</v>
      </c>
      <c r="M408" s="4">
        <f t="shared" si="127"/>
        <v>0</v>
      </c>
      <c r="N408" s="4">
        <f t="shared" si="128"/>
        <v>0</v>
      </c>
      <c r="O408" s="4">
        <f t="shared" si="135"/>
        <v>0</v>
      </c>
      <c r="P408" s="4" t="e">
        <f>VLOOKUP(AJ400,'CIR Team Info'!$C$5:$E$44,2,FALSE)</f>
        <v>#N/A</v>
      </c>
      <c r="Q408" s="4" t="e">
        <f>VLOOKUP(AJ400,'CIR Team Info'!$C$5:$E$44,3,FALSE)</f>
        <v>#N/A</v>
      </c>
      <c r="R408" s="10" t="e">
        <f>VLOOKUP(AJ400,'FRC Site Data'!$B$3:$L$42,2,FALSE)</f>
        <v>#N/A</v>
      </c>
      <c r="S408" s="10" t="e">
        <f>VLOOKUP(AJ400,'FRC Site Data'!$B$3:$L$42,3,FALSE)</f>
        <v>#N/A</v>
      </c>
      <c r="T408" s="10" t="e">
        <f>VLOOKUP(AJ400,'FRC Site Data'!$B$3:$L$42,4,FALSE)</f>
        <v>#N/A</v>
      </c>
      <c r="U408" s="10" t="e">
        <f>VLOOKUP(AJ400,'FRC Site Data'!$B$3:$L$42,5,FALSE)</f>
        <v>#N/A</v>
      </c>
      <c r="V408" s="10" t="e">
        <f>VLOOKUP(AJ400,'FRC Site Data'!$B$3:$L$42,6,FALSE)</f>
        <v>#N/A</v>
      </c>
      <c r="W408" s="10" t="e">
        <f>VLOOKUP(AJ400,'FRC Site Data'!$B$3:$L$42,8,FALSE)</f>
        <v>#N/A</v>
      </c>
      <c r="X408" s="10" t="e">
        <f>VLOOKUP(AJ400,'FRC Site Data'!$B$3:$L$42,9,FALSE)</f>
        <v>#N/A</v>
      </c>
      <c r="Y408" s="10" t="e">
        <f>VLOOKUP(AJ400,'FRC Site Data'!$B$3:$L$42,10,FALSE)</f>
        <v>#N/A</v>
      </c>
      <c r="Z408" s="10" t="e">
        <f>VLOOKUP(AJ400,'FRC Site Data'!$B$3:$L$42,11,FALSE)</f>
        <v>#N/A</v>
      </c>
      <c r="AA408" s="10" t="e">
        <f>VLOOKUP(AJ400,'CIR Team Info'!$C$5:$E$44,4,FALSE)</f>
        <v>#N/A</v>
      </c>
      <c r="AB408" s="161" t="b">
        <f>ISNUMBER(VLOOKUP(AJ400,Match!$T$5:$T$10,1,FALSE))</f>
        <v>0</v>
      </c>
      <c r="AC408" s="161" t="b">
        <f>IF(AB408=TRUE,(VLOOKUP($AJ400,Match!$T$5:$U$10,2,FALSE)))</f>
        <v>0</v>
      </c>
      <c r="AD408" s="8">
        <v>3</v>
      </c>
      <c r="AE408" s="8">
        <v>2</v>
      </c>
      <c r="AF408" s="8">
        <v>2</v>
      </c>
      <c r="AG408" s="8">
        <v>1</v>
      </c>
      <c r="AH408" s="8" t="str">
        <f t="shared" si="122"/>
        <v/>
      </c>
      <c r="AI408" s="12"/>
      <c r="AZ408" s="12"/>
      <c r="BC408" s="12"/>
      <c r="BK408" s="12"/>
    </row>
    <row r="409" spans="1:63" x14ac:dyDescent="0.25">
      <c r="A409" s="29">
        <f t="shared" si="129"/>
        <v>0</v>
      </c>
      <c r="B409" s="29">
        <f t="shared" si="123"/>
        <v>0</v>
      </c>
      <c r="C409" s="29">
        <f t="shared" si="124"/>
        <v>0</v>
      </c>
      <c r="D409" s="29">
        <f t="shared" si="125"/>
        <v>0</v>
      </c>
      <c r="E409" s="29">
        <f t="shared" si="130"/>
        <v>0</v>
      </c>
      <c r="F409" s="29">
        <f t="shared" si="131"/>
        <v>0</v>
      </c>
      <c r="G409" s="29" t="str">
        <f t="shared" si="132"/>
        <v>offensive</v>
      </c>
      <c r="H409" s="16">
        <f t="shared" si="120"/>
        <v>0</v>
      </c>
      <c r="I409" s="16">
        <f t="shared" si="121"/>
        <v>0</v>
      </c>
      <c r="J409" s="16">
        <f t="shared" si="126"/>
        <v>0</v>
      </c>
      <c r="K409" s="16">
        <f t="shared" si="133"/>
        <v>0</v>
      </c>
      <c r="L409" s="67">
        <f t="shared" si="134"/>
        <v>0</v>
      </c>
      <c r="M409" s="4">
        <f t="shared" si="127"/>
        <v>0</v>
      </c>
      <c r="N409" s="4">
        <f t="shared" si="128"/>
        <v>0</v>
      </c>
      <c r="O409" s="4">
        <f t="shared" si="135"/>
        <v>0</v>
      </c>
      <c r="P409" s="4" t="e">
        <f>VLOOKUP(AJ401,'CIR Team Info'!$C$5:$E$44,2,FALSE)</f>
        <v>#N/A</v>
      </c>
      <c r="Q409" s="4" t="e">
        <f>VLOOKUP(AJ401,'CIR Team Info'!$C$5:$E$44,3,FALSE)</f>
        <v>#N/A</v>
      </c>
      <c r="R409" s="10" t="e">
        <f>VLOOKUP(AJ401,'FRC Site Data'!$B$3:$L$42,2,FALSE)</f>
        <v>#N/A</v>
      </c>
      <c r="S409" s="10" t="e">
        <f>VLOOKUP(AJ401,'FRC Site Data'!$B$3:$L$42,3,FALSE)</f>
        <v>#N/A</v>
      </c>
      <c r="T409" s="10" t="e">
        <f>VLOOKUP(AJ401,'FRC Site Data'!$B$3:$L$42,4,FALSE)</f>
        <v>#N/A</v>
      </c>
      <c r="U409" s="10" t="e">
        <f>VLOOKUP(AJ401,'FRC Site Data'!$B$3:$L$42,5,FALSE)</f>
        <v>#N/A</v>
      </c>
      <c r="V409" s="10" t="e">
        <f>VLOOKUP(AJ401,'FRC Site Data'!$B$3:$L$42,6,FALSE)</f>
        <v>#N/A</v>
      </c>
      <c r="W409" s="10" t="e">
        <f>VLOOKUP(AJ401,'FRC Site Data'!$B$3:$L$42,8,FALSE)</f>
        <v>#N/A</v>
      </c>
      <c r="X409" s="10" t="e">
        <f>VLOOKUP(AJ401,'FRC Site Data'!$B$3:$L$42,9,FALSE)</f>
        <v>#N/A</v>
      </c>
      <c r="Y409" s="10" t="e">
        <f>VLOOKUP(AJ401,'FRC Site Data'!$B$3:$L$42,10,FALSE)</f>
        <v>#N/A</v>
      </c>
      <c r="Z409" s="10" t="e">
        <f>VLOOKUP(AJ401,'FRC Site Data'!$B$3:$L$42,11,FALSE)</f>
        <v>#N/A</v>
      </c>
      <c r="AA409" s="10" t="e">
        <f>VLOOKUP(AJ401,'CIR Team Info'!$C$5:$E$44,4,FALSE)</f>
        <v>#N/A</v>
      </c>
      <c r="AB409" s="161" t="b">
        <f>ISNUMBER(VLOOKUP(AJ401,Match!$T$5:$T$10,1,FALSE))</f>
        <v>0</v>
      </c>
      <c r="AC409" s="161" t="b">
        <f>IF(AB409=TRUE,(VLOOKUP($AJ401,Match!$T$5:$U$10,2,FALSE)))</f>
        <v>0</v>
      </c>
      <c r="AD409" s="8">
        <v>3</v>
      </c>
      <c r="AE409" s="8">
        <v>2</v>
      </c>
      <c r="AF409" s="8">
        <v>2</v>
      </c>
      <c r="AG409" s="8">
        <v>1</v>
      </c>
      <c r="AH409" s="8" t="str">
        <f t="shared" si="122"/>
        <v/>
      </c>
      <c r="AI409" s="12"/>
      <c r="AZ409" s="12"/>
      <c r="BC409" s="12"/>
      <c r="BK409" s="12"/>
    </row>
    <row r="410" spans="1:63" x14ac:dyDescent="0.25">
      <c r="A410" s="29">
        <f t="shared" si="129"/>
        <v>0</v>
      </c>
      <c r="B410" s="29">
        <f t="shared" si="123"/>
        <v>0</v>
      </c>
      <c r="C410" s="29">
        <f t="shared" si="124"/>
        <v>0</v>
      </c>
      <c r="D410" s="29">
        <f t="shared" si="125"/>
        <v>0</v>
      </c>
      <c r="E410" s="29">
        <f t="shared" si="130"/>
        <v>0</v>
      </c>
      <c r="F410" s="29">
        <f t="shared" si="131"/>
        <v>0</v>
      </c>
      <c r="G410" s="29" t="str">
        <f t="shared" si="132"/>
        <v>offensive</v>
      </c>
      <c r="H410" s="16">
        <f t="shared" si="120"/>
        <v>0</v>
      </c>
      <c r="I410" s="16">
        <f t="shared" si="121"/>
        <v>0</v>
      </c>
      <c r="J410" s="16">
        <f t="shared" si="126"/>
        <v>0</v>
      </c>
      <c r="K410" s="16">
        <f t="shared" si="133"/>
        <v>0</v>
      </c>
      <c r="L410" s="67">
        <f t="shared" si="134"/>
        <v>0</v>
      </c>
      <c r="M410" s="4">
        <f t="shared" si="127"/>
        <v>0</v>
      </c>
      <c r="N410" s="4">
        <f t="shared" si="128"/>
        <v>0</v>
      </c>
      <c r="O410" s="4">
        <f t="shared" si="135"/>
        <v>0</v>
      </c>
      <c r="P410" s="4" t="e">
        <f>VLOOKUP(AJ402,'CIR Team Info'!$C$5:$E$44,2,FALSE)</f>
        <v>#N/A</v>
      </c>
      <c r="Q410" s="4" t="e">
        <f>VLOOKUP(AJ402,'CIR Team Info'!$C$5:$E$44,3,FALSE)</f>
        <v>#N/A</v>
      </c>
      <c r="R410" s="10" t="e">
        <f>VLOOKUP(AJ402,'FRC Site Data'!$B$3:$L$42,2,FALSE)</f>
        <v>#N/A</v>
      </c>
      <c r="S410" s="10" t="e">
        <f>VLOOKUP(AJ402,'FRC Site Data'!$B$3:$L$42,3,FALSE)</f>
        <v>#N/A</v>
      </c>
      <c r="T410" s="10" t="e">
        <f>VLOOKUP(AJ402,'FRC Site Data'!$B$3:$L$42,4,FALSE)</f>
        <v>#N/A</v>
      </c>
      <c r="U410" s="10" t="e">
        <f>VLOOKUP(AJ402,'FRC Site Data'!$B$3:$L$42,5,FALSE)</f>
        <v>#N/A</v>
      </c>
      <c r="V410" s="10" t="e">
        <f>VLOOKUP(AJ402,'FRC Site Data'!$B$3:$L$42,6,FALSE)</f>
        <v>#N/A</v>
      </c>
      <c r="W410" s="10" t="e">
        <f>VLOOKUP(AJ402,'FRC Site Data'!$B$3:$L$42,8,FALSE)</f>
        <v>#N/A</v>
      </c>
      <c r="X410" s="10" t="e">
        <f>VLOOKUP(AJ402,'FRC Site Data'!$B$3:$L$42,9,FALSE)</f>
        <v>#N/A</v>
      </c>
      <c r="Y410" s="10" t="e">
        <f>VLOOKUP(AJ402,'FRC Site Data'!$B$3:$L$42,10,FALSE)</f>
        <v>#N/A</v>
      </c>
      <c r="Z410" s="10" t="e">
        <f>VLOOKUP(AJ402,'FRC Site Data'!$B$3:$L$42,11,FALSE)</f>
        <v>#N/A</v>
      </c>
      <c r="AA410" s="10" t="e">
        <f>VLOOKUP(AJ402,'CIR Team Info'!$C$5:$E$44,4,FALSE)</f>
        <v>#N/A</v>
      </c>
      <c r="AB410" s="161" t="b">
        <f>ISNUMBER(VLOOKUP(AJ402,Match!$T$5:$T$10,1,FALSE))</f>
        <v>0</v>
      </c>
      <c r="AC410" s="161" t="b">
        <f>IF(AB410=TRUE,(VLOOKUP($AJ402,Match!$T$5:$U$10,2,FALSE)))</f>
        <v>0</v>
      </c>
      <c r="AD410" s="8">
        <v>3</v>
      </c>
      <c r="AE410" s="8">
        <v>2</v>
      </c>
      <c r="AF410" s="8">
        <v>2</v>
      </c>
      <c r="AG410" s="8">
        <v>1</v>
      </c>
      <c r="AH410" s="8" t="str">
        <f t="shared" si="122"/>
        <v/>
      </c>
      <c r="AI410" s="12"/>
      <c r="AZ410" s="12"/>
      <c r="BC410" s="12"/>
      <c r="BK410" s="12"/>
    </row>
    <row r="411" spans="1:63" x14ac:dyDescent="0.25">
      <c r="A411" s="29">
        <f t="shared" si="129"/>
        <v>0</v>
      </c>
      <c r="B411" s="29">
        <f t="shared" si="123"/>
        <v>0</v>
      </c>
      <c r="C411" s="29">
        <f t="shared" si="124"/>
        <v>0</v>
      </c>
      <c r="D411" s="29">
        <f t="shared" si="125"/>
        <v>0</v>
      </c>
      <c r="E411" s="29">
        <f t="shared" si="130"/>
        <v>0</v>
      </c>
      <c r="F411" s="29">
        <f t="shared" si="131"/>
        <v>0</v>
      </c>
      <c r="G411" s="29" t="str">
        <f t="shared" si="132"/>
        <v>offensive</v>
      </c>
      <c r="H411" s="16">
        <f t="shared" ref="H411:H470" si="136">IF((AO403+AP403)=0,0,AO403/(AO403+AP403))</f>
        <v>0</v>
      </c>
      <c r="I411" s="16">
        <f t="shared" ref="I411:I470" si="137">IF((AV403+AW403)=0,0,AV403/(AV403+AW403))</f>
        <v>0</v>
      </c>
      <c r="J411" s="16">
        <f t="shared" si="126"/>
        <v>0</v>
      </c>
      <c r="K411" s="16">
        <f t="shared" si="133"/>
        <v>0</v>
      </c>
      <c r="L411" s="67">
        <f t="shared" si="134"/>
        <v>0</v>
      </c>
      <c r="M411" s="4">
        <f t="shared" si="127"/>
        <v>0</v>
      </c>
      <c r="N411" s="4">
        <f t="shared" si="128"/>
        <v>0</v>
      </c>
      <c r="O411" s="4">
        <f t="shared" si="135"/>
        <v>0</v>
      </c>
      <c r="P411" s="4" t="e">
        <f>VLOOKUP(AJ403,'CIR Team Info'!$C$5:$E$44,2,FALSE)</f>
        <v>#N/A</v>
      </c>
      <c r="Q411" s="4" t="e">
        <f>VLOOKUP(AJ403,'CIR Team Info'!$C$5:$E$44,3,FALSE)</f>
        <v>#N/A</v>
      </c>
      <c r="R411" s="10" t="e">
        <f>VLOOKUP(AJ403,'FRC Site Data'!$B$3:$L$42,2,FALSE)</f>
        <v>#N/A</v>
      </c>
      <c r="S411" s="10" t="e">
        <f>VLOOKUP(AJ403,'FRC Site Data'!$B$3:$L$42,3,FALSE)</f>
        <v>#N/A</v>
      </c>
      <c r="T411" s="10" t="e">
        <f>VLOOKUP(AJ403,'FRC Site Data'!$B$3:$L$42,4,FALSE)</f>
        <v>#N/A</v>
      </c>
      <c r="U411" s="10" t="e">
        <f>VLOOKUP(AJ403,'FRC Site Data'!$B$3:$L$42,5,FALSE)</f>
        <v>#N/A</v>
      </c>
      <c r="V411" s="10" t="e">
        <f>VLOOKUP(AJ403,'FRC Site Data'!$B$3:$L$42,6,FALSE)</f>
        <v>#N/A</v>
      </c>
      <c r="W411" s="10" t="e">
        <f>VLOOKUP(AJ403,'FRC Site Data'!$B$3:$L$42,8,FALSE)</f>
        <v>#N/A</v>
      </c>
      <c r="X411" s="10" t="e">
        <f>VLOOKUP(AJ403,'FRC Site Data'!$B$3:$L$42,9,FALSE)</f>
        <v>#N/A</v>
      </c>
      <c r="Y411" s="10" t="e">
        <f>VLOOKUP(AJ403,'FRC Site Data'!$B$3:$L$42,10,FALSE)</f>
        <v>#N/A</v>
      </c>
      <c r="Z411" s="10" t="e">
        <f>VLOOKUP(AJ403,'FRC Site Data'!$B$3:$L$42,11,FALSE)</f>
        <v>#N/A</v>
      </c>
      <c r="AA411" s="10" t="e">
        <f>VLOOKUP(AJ403,'CIR Team Info'!$C$5:$E$44,4,FALSE)</f>
        <v>#N/A</v>
      </c>
      <c r="AB411" s="161" t="b">
        <f>ISNUMBER(VLOOKUP(AJ403,Match!$T$5:$T$10,1,FALSE))</f>
        <v>0</v>
      </c>
      <c r="AC411" s="161" t="b">
        <f>IF(AB411=TRUE,(VLOOKUP($AJ403,Match!$T$5:$U$10,2,FALSE)))</f>
        <v>0</v>
      </c>
      <c r="AD411" s="8">
        <v>3</v>
      </c>
      <c r="AE411" s="8">
        <v>2</v>
      </c>
      <c r="AF411" s="8">
        <v>2</v>
      </c>
      <c r="AG411" s="8">
        <v>1</v>
      </c>
      <c r="AH411" s="8" t="str">
        <f t="shared" si="122"/>
        <v/>
      </c>
      <c r="AI411" s="12"/>
      <c r="AZ411" s="12"/>
      <c r="BC411" s="12"/>
      <c r="BK411" s="12"/>
    </row>
    <row r="412" spans="1:63" x14ac:dyDescent="0.25">
      <c r="A412" s="29">
        <f t="shared" si="129"/>
        <v>0</v>
      </c>
      <c r="B412" s="29">
        <f t="shared" si="123"/>
        <v>0</v>
      </c>
      <c r="C412" s="29">
        <f t="shared" si="124"/>
        <v>0</v>
      </c>
      <c r="D412" s="29">
        <f t="shared" si="125"/>
        <v>0</v>
      </c>
      <c r="E412" s="29">
        <f t="shared" si="130"/>
        <v>0</v>
      </c>
      <c r="F412" s="29">
        <f t="shared" si="131"/>
        <v>0</v>
      </c>
      <c r="G412" s="29" t="str">
        <f t="shared" si="132"/>
        <v>offensive</v>
      </c>
      <c r="H412" s="16">
        <f t="shared" si="136"/>
        <v>0</v>
      </c>
      <c r="I412" s="16">
        <f t="shared" si="137"/>
        <v>0</v>
      </c>
      <c r="J412" s="16">
        <f t="shared" si="126"/>
        <v>0</v>
      </c>
      <c r="K412" s="16">
        <f t="shared" si="133"/>
        <v>0</v>
      </c>
      <c r="L412" s="67">
        <f t="shared" si="134"/>
        <v>0</v>
      </c>
      <c r="M412" s="4">
        <f t="shared" si="127"/>
        <v>0</v>
      </c>
      <c r="N412" s="4">
        <f t="shared" si="128"/>
        <v>0</v>
      </c>
      <c r="O412" s="4">
        <f t="shared" si="135"/>
        <v>0</v>
      </c>
      <c r="P412" s="4" t="e">
        <f>VLOOKUP(AJ404,'CIR Team Info'!$C$5:$E$44,2,FALSE)</f>
        <v>#N/A</v>
      </c>
      <c r="Q412" s="4" t="e">
        <f>VLOOKUP(AJ404,'CIR Team Info'!$C$5:$E$44,3,FALSE)</f>
        <v>#N/A</v>
      </c>
      <c r="R412" s="10" t="e">
        <f>VLOOKUP(AJ404,'FRC Site Data'!$B$3:$L$42,2,FALSE)</f>
        <v>#N/A</v>
      </c>
      <c r="S412" s="10" t="e">
        <f>VLOOKUP(AJ404,'FRC Site Data'!$B$3:$L$42,3,FALSE)</f>
        <v>#N/A</v>
      </c>
      <c r="T412" s="10" t="e">
        <f>VLOOKUP(AJ404,'FRC Site Data'!$B$3:$L$42,4,FALSE)</f>
        <v>#N/A</v>
      </c>
      <c r="U412" s="10" t="e">
        <f>VLOOKUP(AJ404,'FRC Site Data'!$B$3:$L$42,5,FALSE)</f>
        <v>#N/A</v>
      </c>
      <c r="V412" s="10" t="e">
        <f>VLOOKUP(AJ404,'FRC Site Data'!$B$3:$L$42,6,FALSE)</f>
        <v>#N/A</v>
      </c>
      <c r="W412" s="10" t="e">
        <f>VLOOKUP(AJ404,'FRC Site Data'!$B$3:$L$42,8,FALSE)</f>
        <v>#N/A</v>
      </c>
      <c r="X412" s="10" t="e">
        <f>VLOOKUP(AJ404,'FRC Site Data'!$B$3:$L$42,9,FALSE)</f>
        <v>#N/A</v>
      </c>
      <c r="Y412" s="10" t="e">
        <f>VLOOKUP(AJ404,'FRC Site Data'!$B$3:$L$42,10,FALSE)</f>
        <v>#N/A</v>
      </c>
      <c r="Z412" s="10" t="e">
        <f>VLOOKUP(AJ404,'FRC Site Data'!$B$3:$L$42,11,FALSE)</f>
        <v>#N/A</v>
      </c>
      <c r="AA412" s="10" t="e">
        <f>VLOOKUP(AJ404,'CIR Team Info'!$C$5:$E$44,4,FALSE)</f>
        <v>#N/A</v>
      </c>
      <c r="AB412" s="161" t="b">
        <f>ISNUMBER(VLOOKUP(AJ404,Match!$T$5:$T$10,1,FALSE))</f>
        <v>0</v>
      </c>
      <c r="AC412" s="161" t="b">
        <f>IF(AB412=TRUE,(VLOOKUP($AJ404,Match!$T$5:$U$10,2,FALSE)))</f>
        <v>0</v>
      </c>
      <c r="AD412" s="8">
        <v>3</v>
      </c>
      <c r="AE412" s="8">
        <v>2</v>
      </c>
      <c r="AF412" s="8">
        <v>2</v>
      </c>
      <c r="AG412" s="8">
        <v>1</v>
      </c>
      <c r="AH412" s="8" t="str">
        <f t="shared" si="122"/>
        <v/>
      </c>
      <c r="AI412" s="12"/>
      <c r="AZ412" s="12"/>
      <c r="BC412" s="12"/>
      <c r="BK412" s="12"/>
    </row>
    <row r="413" spans="1:63" x14ac:dyDescent="0.25">
      <c r="A413" s="29">
        <f t="shared" si="129"/>
        <v>0</v>
      </c>
      <c r="B413" s="29">
        <f t="shared" si="123"/>
        <v>0</v>
      </c>
      <c r="C413" s="29">
        <f t="shared" si="124"/>
        <v>0</v>
      </c>
      <c r="D413" s="29">
        <f t="shared" si="125"/>
        <v>0</v>
      </c>
      <c r="E413" s="29">
        <f t="shared" si="130"/>
        <v>0</v>
      </c>
      <c r="F413" s="29">
        <f t="shared" si="131"/>
        <v>0</v>
      </c>
      <c r="G413" s="29" t="str">
        <f t="shared" si="132"/>
        <v>offensive</v>
      </c>
      <c r="H413" s="16">
        <f t="shared" si="136"/>
        <v>0</v>
      </c>
      <c r="I413" s="16">
        <f t="shared" si="137"/>
        <v>0</v>
      </c>
      <c r="J413" s="16">
        <f t="shared" si="126"/>
        <v>0</v>
      </c>
      <c r="K413" s="16">
        <f t="shared" si="133"/>
        <v>0</v>
      </c>
      <c r="L413" s="67">
        <f t="shared" si="134"/>
        <v>0</v>
      </c>
      <c r="M413" s="4">
        <f t="shared" si="127"/>
        <v>0</v>
      </c>
      <c r="N413" s="4">
        <f t="shared" si="128"/>
        <v>0</v>
      </c>
      <c r="O413" s="4">
        <f t="shared" si="135"/>
        <v>0</v>
      </c>
      <c r="P413" s="4" t="e">
        <f>VLOOKUP(AJ405,'CIR Team Info'!$C$5:$E$44,2,FALSE)</f>
        <v>#N/A</v>
      </c>
      <c r="Q413" s="4" t="e">
        <f>VLOOKUP(AJ405,'CIR Team Info'!$C$5:$E$44,3,FALSE)</f>
        <v>#N/A</v>
      </c>
      <c r="R413" s="10" t="e">
        <f>VLOOKUP(AJ405,'FRC Site Data'!$B$3:$L$42,2,FALSE)</f>
        <v>#N/A</v>
      </c>
      <c r="S413" s="10" t="e">
        <f>VLOOKUP(AJ405,'FRC Site Data'!$B$3:$L$42,3,FALSE)</f>
        <v>#N/A</v>
      </c>
      <c r="T413" s="10" t="e">
        <f>VLOOKUP(AJ405,'FRC Site Data'!$B$3:$L$42,4,FALSE)</f>
        <v>#N/A</v>
      </c>
      <c r="U413" s="10" t="e">
        <f>VLOOKUP(AJ405,'FRC Site Data'!$B$3:$L$42,5,FALSE)</f>
        <v>#N/A</v>
      </c>
      <c r="V413" s="10" t="e">
        <f>VLOOKUP(AJ405,'FRC Site Data'!$B$3:$L$42,6,FALSE)</f>
        <v>#N/A</v>
      </c>
      <c r="W413" s="10" t="e">
        <f>VLOOKUP(AJ405,'FRC Site Data'!$B$3:$L$42,8,FALSE)</f>
        <v>#N/A</v>
      </c>
      <c r="X413" s="10" t="e">
        <f>VLOOKUP(AJ405,'FRC Site Data'!$B$3:$L$42,9,FALSE)</f>
        <v>#N/A</v>
      </c>
      <c r="Y413" s="10" t="e">
        <f>VLOOKUP(AJ405,'FRC Site Data'!$B$3:$L$42,10,FALSE)</f>
        <v>#N/A</v>
      </c>
      <c r="Z413" s="10" t="e">
        <f>VLOOKUP(AJ405,'FRC Site Data'!$B$3:$L$42,11,FALSE)</f>
        <v>#N/A</v>
      </c>
      <c r="AA413" s="10" t="e">
        <f>VLOOKUP(AJ405,'CIR Team Info'!$C$5:$E$44,4,FALSE)</f>
        <v>#N/A</v>
      </c>
      <c r="AB413" s="161" t="b">
        <f>ISNUMBER(VLOOKUP(AJ405,Match!$T$5:$T$10,1,FALSE))</f>
        <v>0</v>
      </c>
      <c r="AC413" s="161" t="b">
        <f>IF(AB413=TRUE,(VLOOKUP($AJ405,Match!$T$5:$U$10,2,FALSE)))</f>
        <v>0</v>
      </c>
      <c r="AD413" s="8">
        <v>3</v>
      </c>
      <c r="AE413" s="8">
        <v>2</v>
      </c>
      <c r="AF413" s="8">
        <v>2</v>
      </c>
      <c r="AG413" s="8">
        <v>1</v>
      </c>
      <c r="AH413" s="8" t="str">
        <f t="shared" si="122"/>
        <v/>
      </c>
      <c r="AI413" s="12"/>
      <c r="AZ413" s="12"/>
      <c r="BC413" s="12"/>
      <c r="BK413" s="12"/>
    </row>
    <row r="414" spans="1:63" x14ac:dyDescent="0.25">
      <c r="A414" s="29">
        <f t="shared" si="129"/>
        <v>0</v>
      </c>
      <c r="B414" s="29">
        <f t="shared" si="123"/>
        <v>0</v>
      </c>
      <c r="C414" s="29">
        <f t="shared" si="124"/>
        <v>0</v>
      </c>
      <c r="D414" s="29">
        <f t="shared" si="125"/>
        <v>0</v>
      </c>
      <c r="E414" s="29">
        <f t="shared" si="130"/>
        <v>0</v>
      </c>
      <c r="F414" s="29">
        <f t="shared" si="131"/>
        <v>0</v>
      </c>
      <c r="G414" s="29" t="str">
        <f t="shared" si="132"/>
        <v>offensive</v>
      </c>
      <c r="H414" s="16">
        <f t="shared" si="136"/>
        <v>0</v>
      </c>
      <c r="I414" s="16">
        <f t="shared" si="137"/>
        <v>0</v>
      </c>
      <c r="J414" s="16">
        <f t="shared" si="126"/>
        <v>0</v>
      </c>
      <c r="K414" s="16">
        <f t="shared" si="133"/>
        <v>0</v>
      </c>
      <c r="L414" s="67">
        <f t="shared" si="134"/>
        <v>0</v>
      </c>
      <c r="M414" s="4">
        <f t="shared" si="127"/>
        <v>0</v>
      </c>
      <c r="N414" s="4">
        <f t="shared" si="128"/>
        <v>0</v>
      </c>
      <c r="O414" s="4">
        <f t="shared" si="135"/>
        <v>0</v>
      </c>
      <c r="P414" s="4" t="e">
        <f>VLOOKUP(AJ406,'CIR Team Info'!$C$5:$E$44,2,FALSE)</f>
        <v>#N/A</v>
      </c>
      <c r="Q414" s="4" t="e">
        <f>VLOOKUP(AJ406,'CIR Team Info'!$C$5:$E$44,3,FALSE)</f>
        <v>#N/A</v>
      </c>
      <c r="R414" s="10" t="e">
        <f>VLOOKUP(AJ406,'FRC Site Data'!$B$3:$L$42,2,FALSE)</f>
        <v>#N/A</v>
      </c>
      <c r="S414" s="10" t="e">
        <f>VLOOKUP(AJ406,'FRC Site Data'!$B$3:$L$42,3,FALSE)</f>
        <v>#N/A</v>
      </c>
      <c r="T414" s="10" t="e">
        <f>VLOOKUP(AJ406,'FRC Site Data'!$B$3:$L$42,4,FALSE)</f>
        <v>#N/A</v>
      </c>
      <c r="U414" s="10" t="e">
        <f>VLOOKUP(AJ406,'FRC Site Data'!$B$3:$L$42,5,FALSE)</f>
        <v>#N/A</v>
      </c>
      <c r="V414" s="10" t="e">
        <f>VLOOKUP(AJ406,'FRC Site Data'!$B$3:$L$42,6,FALSE)</f>
        <v>#N/A</v>
      </c>
      <c r="W414" s="10" t="e">
        <f>VLOOKUP(AJ406,'FRC Site Data'!$B$3:$L$42,8,FALSE)</f>
        <v>#N/A</v>
      </c>
      <c r="X414" s="10" t="e">
        <f>VLOOKUP(AJ406,'FRC Site Data'!$B$3:$L$42,9,FALSE)</f>
        <v>#N/A</v>
      </c>
      <c r="Y414" s="10" t="e">
        <f>VLOOKUP(AJ406,'FRC Site Data'!$B$3:$L$42,10,FALSE)</f>
        <v>#N/A</v>
      </c>
      <c r="Z414" s="10" t="e">
        <f>VLOOKUP(AJ406,'FRC Site Data'!$B$3:$L$42,11,FALSE)</f>
        <v>#N/A</v>
      </c>
      <c r="AA414" s="10" t="e">
        <f>VLOOKUP(AJ406,'CIR Team Info'!$C$5:$E$44,4,FALSE)</f>
        <v>#N/A</v>
      </c>
      <c r="AB414" s="161" t="b">
        <f>ISNUMBER(VLOOKUP(AJ406,Match!$T$5:$T$10,1,FALSE))</f>
        <v>0</v>
      </c>
      <c r="AC414" s="161" t="b">
        <f>IF(AB414=TRUE,(VLOOKUP($AJ406,Match!$T$5:$U$10,2,FALSE)))</f>
        <v>0</v>
      </c>
      <c r="AD414" s="8">
        <v>3</v>
      </c>
      <c r="AE414" s="8">
        <v>2</v>
      </c>
      <c r="AF414" s="8">
        <v>2</v>
      </c>
      <c r="AG414" s="8">
        <v>1</v>
      </c>
      <c r="AH414" s="8" t="str">
        <f t="shared" si="122"/>
        <v/>
      </c>
      <c r="AI414" s="12"/>
      <c r="AZ414" s="12"/>
      <c r="BC414" s="12"/>
      <c r="BK414" s="12"/>
    </row>
    <row r="415" spans="1:63" x14ac:dyDescent="0.25">
      <c r="A415" s="29">
        <f t="shared" si="129"/>
        <v>0</v>
      </c>
      <c r="B415" s="29">
        <f t="shared" si="123"/>
        <v>0</v>
      </c>
      <c r="C415" s="29">
        <f t="shared" si="124"/>
        <v>0</v>
      </c>
      <c r="D415" s="29">
        <f t="shared" si="125"/>
        <v>0</v>
      </c>
      <c r="E415" s="29">
        <f t="shared" si="130"/>
        <v>0</v>
      </c>
      <c r="F415" s="29">
        <f t="shared" si="131"/>
        <v>0</v>
      </c>
      <c r="G415" s="29" t="str">
        <f t="shared" si="132"/>
        <v>offensive</v>
      </c>
      <c r="H415" s="16">
        <f t="shared" si="136"/>
        <v>0</v>
      </c>
      <c r="I415" s="16">
        <f t="shared" si="137"/>
        <v>0</v>
      </c>
      <c r="J415" s="16">
        <f t="shared" si="126"/>
        <v>0</v>
      </c>
      <c r="K415" s="16">
        <f t="shared" si="133"/>
        <v>0</v>
      </c>
      <c r="L415" s="67">
        <f t="shared" si="134"/>
        <v>0</v>
      </c>
      <c r="M415" s="4">
        <f t="shared" si="127"/>
        <v>0</v>
      </c>
      <c r="N415" s="4">
        <f t="shared" si="128"/>
        <v>0</v>
      </c>
      <c r="O415" s="4">
        <f t="shared" si="135"/>
        <v>0</v>
      </c>
      <c r="P415" s="4" t="e">
        <f>VLOOKUP(AJ407,'CIR Team Info'!$C$5:$E$44,2,FALSE)</f>
        <v>#N/A</v>
      </c>
      <c r="Q415" s="4" t="e">
        <f>VLOOKUP(AJ407,'CIR Team Info'!$C$5:$E$44,3,FALSE)</f>
        <v>#N/A</v>
      </c>
      <c r="R415" s="10" t="e">
        <f>VLOOKUP(AJ407,'FRC Site Data'!$B$3:$L$42,2,FALSE)</f>
        <v>#N/A</v>
      </c>
      <c r="S415" s="10" t="e">
        <f>VLOOKUP(AJ407,'FRC Site Data'!$B$3:$L$42,3,FALSE)</f>
        <v>#N/A</v>
      </c>
      <c r="T415" s="10" t="e">
        <f>VLOOKUP(AJ407,'FRC Site Data'!$B$3:$L$42,4,FALSE)</f>
        <v>#N/A</v>
      </c>
      <c r="U415" s="10" t="e">
        <f>VLOOKUP(AJ407,'FRC Site Data'!$B$3:$L$42,5,FALSE)</f>
        <v>#N/A</v>
      </c>
      <c r="V415" s="10" t="e">
        <f>VLOOKUP(AJ407,'FRC Site Data'!$B$3:$L$42,6,FALSE)</f>
        <v>#N/A</v>
      </c>
      <c r="W415" s="10" t="e">
        <f>VLOOKUP(AJ407,'FRC Site Data'!$B$3:$L$42,8,FALSE)</f>
        <v>#N/A</v>
      </c>
      <c r="X415" s="10" t="e">
        <f>VLOOKUP(AJ407,'FRC Site Data'!$B$3:$L$42,9,FALSE)</f>
        <v>#N/A</v>
      </c>
      <c r="Y415" s="10" t="e">
        <f>VLOOKUP(AJ407,'FRC Site Data'!$B$3:$L$42,10,FALSE)</f>
        <v>#N/A</v>
      </c>
      <c r="Z415" s="10" t="e">
        <f>VLOOKUP(AJ407,'FRC Site Data'!$B$3:$L$42,11,FALSE)</f>
        <v>#N/A</v>
      </c>
      <c r="AA415" s="10" t="e">
        <f>VLOOKUP(AJ407,'CIR Team Info'!$C$5:$E$44,4,FALSE)</f>
        <v>#N/A</v>
      </c>
      <c r="AB415" s="161" t="b">
        <f>ISNUMBER(VLOOKUP(AJ407,Match!$T$5:$T$10,1,FALSE))</f>
        <v>0</v>
      </c>
      <c r="AC415" s="161" t="b">
        <f>IF(AB415=TRUE,(VLOOKUP($AJ407,Match!$T$5:$U$10,2,FALSE)))</f>
        <v>0</v>
      </c>
      <c r="AD415" s="8">
        <v>3</v>
      </c>
      <c r="AE415" s="8">
        <v>2</v>
      </c>
      <c r="AF415" s="8">
        <v>2</v>
      </c>
      <c r="AG415" s="8">
        <v>1</v>
      </c>
      <c r="AH415" s="8" t="str">
        <f t="shared" si="122"/>
        <v/>
      </c>
      <c r="AI415" s="12"/>
      <c r="AZ415" s="12"/>
      <c r="BC415" s="12"/>
      <c r="BK415" s="12"/>
    </row>
    <row r="416" spans="1:63" x14ac:dyDescent="0.25">
      <c r="A416" s="29">
        <f t="shared" si="129"/>
        <v>0</v>
      </c>
      <c r="B416" s="29">
        <f t="shared" si="123"/>
        <v>0</v>
      </c>
      <c r="C416" s="29">
        <f t="shared" si="124"/>
        <v>0</v>
      </c>
      <c r="D416" s="29">
        <f t="shared" si="125"/>
        <v>0</v>
      </c>
      <c r="E416" s="29">
        <f t="shared" si="130"/>
        <v>0</v>
      </c>
      <c r="F416" s="29">
        <f t="shared" si="131"/>
        <v>0</v>
      </c>
      <c r="G416" s="29" t="str">
        <f t="shared" si="132"/>
        <v>offensive</v>
      </c>
      <c r="H416" s="16">
        <f t="shared" si="136"/>
        <v>0</v>
      </c>
      <c r="I416" s="16">
        <f t="shared" si="137"/>
        <v>0</v>
      </c>
      <c r="J416" s="16">
        <f t="shared" si="126"/>
        <v>0</v>
      </c>
      <c r="K416" s="16">
        <f t="shared" si="133"/>
        <v>0</v>
      </c>
      <c r="L416" s="67">
        <f t="shared" si="134"/>
        <v>0</v>
      </c>
      <c r="M416" s="4">
        <f t="shared" si="127"/>
        <v>0</v>
      </c>
      <c r="N416" s="4">
        <f t="shared" si="128"/>
        <v>0</v>
      </c>
      <c r="O416" s="4">
        <f t="shared" si="135"/>
        <v>0</v>
      </c>
      <c r="P416" s="4" t="e">
        <f>VLOOKUP(AJ408,'CIR Team Info'!$C$5:$E$44,2,FALSE)</f>
        <v>#N/A</v>
      </c>
      <c r="Q416" s="4" t="e">
        <f>VLOOKUP(AJ408,'CIR Team Info'!$C$5:$E$44,3,FALSE)</f>
        <v>#N/A</v>
      </c>
      <c r="R416" s="10" t="e">
        <f>VLOOKUP(AJ408,'FRC Site Data'!$B$3:$L$42,2,FALSE)</f>
        <v>#N/A</v>
      </c>
      <c r="S416" s="10" t="e">
        <f>VLOOKUP(AJ408,'FRC Site Data'!$B$3:$L$42,3,FALSE)</f>
        <v>#N/A</v>
      </c>
      <c r="T416" s="10" t="e">
        <f>VLOOKUP(AJ408,'FRC Site Data'!$B$3:$L$42,4,FALSE)</f>
        <v>#N/A</v>
      </c>
      <c r="U416" s="10" t="e">
        <f>VLOOKUP(AJ408,'FRC Site Data'!$B$3:$L$42,5,FALSE)</f>
        <v>#N/A</v>
      </c>
      <c r="V416" s="10" t="e">
        <f>VLOOKUP(AJ408,'FRC Site Data'!$B$3:$L$42,6,FALSE)</f>
        <v>#N/A</v>
      </c>
      <c r="W416" s="10" t="e">
        <f>VLOOKUP(AJ408,'FRC Site Data'!$B$3:$L$42,8,FALSE)</f>
        <v>#N/A</v>
      </c>
      <c r="X416" s="10" t="e">
        <f>VLOOKUP(AJ408,'FRC Site Data'!$B$3:$L$42,9,FALSE)</f>
        <v>#N/A</v>
      </c>
      <c r="Y416" s="10" t="e">
        <f>VLOOKUP(AJ408,'FRC Site Data'!$B$3:$L$42,10,FALSE)</f>
        <v>#N/A</v>
      </c>
      <c r="Z416" s="10" t="e">
        <f>VLOOKUP(AJ408,'FRC Site Data'!$B$3:$L$42,11,FALSE)</f>
        <v>#N/A</v>
      </c>
      <c r="AA416" s="10" t="e">
        <f>VLOOKUP(AJ408,'CIR Team Info'!$C$5:$E$44,4,FALSE)</f>
        <v>#N/A</v>
      </c>
      <c r="AB416" s="161" t="b">
        <f>ISNUMBER(VLOOKUP(AJ408,Match!$T$5:$T$10,1,FALSE))</f>
        <v>0</v>
      </c>
      <c r="AC416" s="161" t="b">
        <f>IF(AB416=TRUE,(VLOOKUP($AJ408,Match!$T$5:$U$10,2,FALSE)))</f>
        <v>0</v>
      </c>
      <c r="AD416" s="8">
        <v>3</v>
      </c>
      <c r="AE416" s="8">
        <v>2</v>
      </c>
      <c r="AF416" s="8">
        <v>2</v>
      </c>
      <c r="AG416" s="8">
        <v>1</v>
      </c>
      <c r="AH416" s="8" t="str">
        <f t="shared" si="122"/>
        <v/>
      </c>
      <c r="AI416" s="12"/>
      <c r="AZ416" s="12"/>
      <c r="BC416" s="12"/>
      <c r="BK416" s="12"/>
    </row>
    <row r="417" spans="1:63" x14ac:dyDescent="0.25">
      <c r="A417" s="29">
        <f t="shared" si="129"/>
        <v>0</v>
      </c>
      <c r="B417" s="29">
        <f t="shared" si="123"/>
        <v>0</v>
      </c>
      <c r="C417" s="29">
        <f t="shared" si="124"/>
        <v>0</v>
      </c>
      <c r="D417" s="29">
        <f t="shared" si="125"/>
        <v>0</v>
      </c>
      <c r="E417" s="29">
        <f t="shared" si="130"/>
        <v>0</v>
      </c>
      <c r="F417" s="29">
        <f t="shared" si="131"/>
        <v>0</v>
      </c>
      <c r="G417" s="29" t="str">
        <f t="shared" si="132"/>
        <v>offensive</v>
      </c>
      <c r="H417" s="16">
        <f t="shared" si="136"/>
        <v>0</v>
      </c>
      <c r="I417" s="16">
        <f t="shared" si="137"/>
        <v>0</v>
      </c>
      <c r="J417" s="16">
        <f t="shared" si="126"/>
        <v>0</v>
      </c>
      <c r="K417" s="16">
        <f t="shared" si="133"/>
        <v>0</v>
      </c>
      <c r="L417" s="67">
        <f t="shared" si="134"/>
        <v>0</v>
      </c>
      <c r="M417" s="4">
        <f t="shared" si="127"/>
        <v>0</v>
      </c>
      <c r="N417" s="4">
        <f t="shared" si="128"/>
        <v>0</v>
      </c>
      <c r="O417" s="4">
        <f t="shared" si="135"/>
        <v>0</v>
      </c>
      <c r="P417" s="4" t="e">
        <f>VLOOKUP(AJ409,'CIR Team Info'!$C$5:$E$44,2,FALSE)</f>
        <v>#N/A</v>
      </c>
      <c r="Q417" s="4" t="e">
        <f>VLOOKUP(AJ409,'CIR Team Info'!$C$5:$E$44,3,FALSE)</f>
        <v>#N/A</v>
      </c>
      <c r="R417" s="10" t="e">
        <f>VLOOKUP(AJ409,'FRC Site Data'!$B$3:$L$42,2,FALSE)</f>
        <v>#N/A</v>
      </c>
      <c r="S417" s="10" t="e">
        <f>VLOOKUP(AJ409,'FRC Site Data'!$B$3:$L$42,3,FALSE)</f>
        <v>#N/A</v>
      </c>
      <c r="T417" s="10" t="e">
        <f>VLOOKUP(AJ409,'FRC Site Data'!$B$3:$L$42,4,FALSE)</f>
        <v>#N/A</v>
      </c>
      <c r="U417" s="10" t="e">
        <f>VLOOKUP(AJ409,'FRC Site Data'!$B$3:$L$42,5,FALSE)</f>
        <v>#N/A</v>
      </c>
      <c r="V417" s="10" t="e">
        <f>VLOOKUP(AJ409,'FRC Site Data'!$B$3:$L$42,6,FALSE)</f>
        <v>#N/A</v>
      </c>
      <c r="W417" s="10" t="e">
        <f>VLOOKUP(AJ409,'FRC Site Data'!$B$3:$L$42,8,FALSE)</f>
        <v>#N/A</v>
      </c>
      <c r="X417" s="10" t="e">
        <f>VLOOKUP(AJ409,'FRC Site Data'!$B$3:$L$42,9,FALSE)</f>
        <v>#N/A</v>
      </c>
      <c r="Y417" s="10" t="e">
        <f>VLOOKUP(AJ409,'FRC Site Data'!$B$3:$L$42,10,FALSE)</f>
        <v>#N/A</v>
      </c>
      <c r="Z417" s="10" t="e">
        <f>VLOOKUP(AJ409,'FRC Site Data'!$B$3:$L$42,11,FALSE)</f>
        <v>#N/A</v>
      </c>
      <c r="AA417" s="10" t="e">
        <f>VLOOKUP(AJ409,'CIR Team Info'!$C$5:$E$44,4,FALSE)</f>
        <v>#N/A</v>
      </c>
      <c r="AB417" s="161" t="b">
        <f>ISNUMBER(VLOOKUP(AJ409,Match!$T$5:$T$10,1,FALSE))</f>
        <v>0</v>
      </c>
      <c r="AC417" s="161" t="b">
        <f>IF(AB417=TRUE,(VLOOKUP($AJ409,Match!$T$5:$U$10,2,FALSE)))</f>
        <v>0</v>
      </c>
      <c r="AD417" s="8">
        <v>3</v>
      </c>
      <c r="AE417" s="8">
        <v>2</v>
      </c>
      <c r="AF417" s="8">
        <v>2</v>
      </c>
      <c r="AG417" s="8">
        <v>1</v>
      </c>
      <c r="AH417" s="8" t="str">
        <f t="shared" si="122"/>
        <v/>
      </c>
      <c r="AI417" s="12"/>
      <c r="AZ417" s="12"/>
      <c r="BC417" s="12"/>
      <c r="BK417" s="12"/>
    </row>
    <row r="418" spans="1:63" x14ac:dyDescent="0.25">
      <c r="A418" s="29">
        <f t="shared" si="129"/>
        <v>0</v>
      </c>
      <c r="B418" s="29">
        <f t="shared" si="123"/>
        <v>0</v>
      </c>
      <c r="C418" s="29">
        <f t="shared" si="124"/>
        <v>0</v>
      </c>
      <c r="D418" s="29">
        <f t="shared" si="125"/>
        <v>0</v>
      </c>
      <c r="E418" s="29">
        <f t="shared" si="130"/>
        <v>0</v>
      </c>
      <c r="F418" s="29">
        <f t="shared" si="131"/>
        <v>0</v>
      </c>
      <c r="G418" s="29" t="str">
        <f t="shared" si="132"/>
        <v>offensive</v>
      </c>
      <c r="H418" s="16">
        <f t="shared" si="136"/>
        <v>0</v>
      </c>
      <c r="I418" s="16">
        <f t="shared" si="137"/>
        <v>0</v>
      </c>
      <c r="J418" s="16">
        <f t="shared" si="126"/>
        <v>0</v>
      </c>
      <c r="K418" s="16">
        <f t="shared" si="133"/>
        <v>0</v>
      </c>
      <c r="L418" s="67">
        <f t="shared" si="134"/>
        <v>0</v>
      </c>
      <c r="M418" s="4">
        <f t="shared" si="127"/>
        <v>0</v>
      </c>
      <c r="N418" s="4">
        <f t="shared" si="128"/>
        <v>0</v>
      </c>
      <c r="O418" s="4">
        <f t="shared" si="135"/>
        <v>0</v>
      </c>
      <c r="P418" s="4" t="e">
        <f>VLOOKUP(AJ410,'CIR Team Info'!$C$5:$E$44,2,FALSE)</f>
        <v>#N/A</v>
      </c>
      <c r="Q418" s="4" t="e">
        <f>VLOOKUP(AJ410,'CIR Team Info'!$C$5:$E$44,3,FALSE)</f>
        <v>#N/A</v>
      </c>
      <c r="R418" s="10" t="e">
        <f>VLOOKUP(AJ410,'FRC Site Data'!$B$3:$L$42,2,FALSE)</f>
        <v>#N/A</v>
      </c>
      <c r="S418" s="10" t="e">
        <f>VLOOKUP(AJ410,'FRC Site Data'!$B$3:$L$42,3,FALSE)</f>
        <v>#N/A</v>
      </c>
      <c r="T418" s="10" t="e">
        <f>VLOOKUP(AJ410,'FRC Site Data'!$B$3:$L$42,4,FALSE)</f>
        <v>#N/A</v>
      </c>
      <c r="U418" s="10" t="e">
        <f>VLOOKUP(AJ410,'FRC Site Data'!$B$3:$L$42,5,FALSE)</f>
        <v>#N/A</v>
      </c>
      <c r="V418" s="10" t="e">
        <f>VLOOKUP(AJ410,'FRC Site Data'!$B$3:$L$42,6,FALSE)</f>
        <v>#N/A</v>
      </c>
      <c r="W418" s="10" t="e">
        <f>VLOOKUP(AJ410,'FRC Site Data'!$B$3:$L$42,8,FALSE)</f>
        <v>#N/A</v>
      </c>
      <c r="X418" s="10" t="e">
        <f>VLOOKUP(AJ410,'FRC Site Data'!$B$3:$L$42,9,FALSE)</f>
        <v>#N/A</v>
      </c>
      <c r="Y418" s="10" t="e">
        <f>VLOOKUP(AJ410,'FRC Site Data'!$B$3:$L$42,10,FALSE)</f>
        <v>#N/A</v>
      </c>
      <c r="Z418" s="10" t="e">
        <f>VLOOKUP(AJ410,'FRC Site Data'!$B$3:$L$42,11,FALSE)</f>
        <v>#N/A</v>
      </c>
      <c r="AA418" s="10" t="e">
        <f>VLOOKUP(AJ410,'CIR Team Info'!$C$5:$E$44,4,FALSE)</f>
        <v>#N/A</v>
      </c>
      <c r="AB418" s="161" t="b">
        <f>ISNUMBER(VLOOKUP(AJ410,Match!$T$5:$T$10,1,FALSE))</f>
        <v>0</v>
      </c>
      <c r="AC418" s="161" t="b">
        <f>IF(AB418=TRUE,(VLOOKUP($AJ410,Match!$T$5:$U$10,2,FALSE)))</f>
        <v>0</v>
      </c>
      <c r="AD418" s="8">
        <v>3</v>
      </c>
      <c r="AE418" s="8">
        <v>2</v>
      </c>
      <c r="AF418" s="8">
        <v>2</v>
      </c>
      <c r="AG418" s="8">
        <v>1</v>
      </c>
      <c r="AH418" s="8" t="str">
        <f t="shared" si="122"/>
        <v/>
      </c>
      <c r="AI418" s="12"/>
      <c r="AZ418" s="12"/>
      <c r="BC418" s="12"/>
      <c r="BK418" s="12"/>
    </row>
    <row r="419" spans="1:63" x14ac:dyDescent="0.25">
      <c r="A419" s="29">
        <f t="shared" si="129"/>
        <v>0</v>
      </c>
      <c r="B419" s="29">
        <f t="shared" si="123"/>
        <v>0</v>
      </c>
      <c r="C419" s="29">
        <f t="shared" si="124"/>
        <v>0</v>
      </c>
      <c r="D419" s="29">
        <f t="shared" si="125"/>
        <v>0</v>
      </c>
      <c r="E419" s="29">
        <f t="shared" si="130"/>
        <v>0</v>
      </c>
      <c r="F419" s="29">
        <f t="shared" si="131"/>
        <v>0</v>
      </c>
      <c r="G419" s="29" t="str">
        <f t="shared" si="132"/>
        <v>offensive</v>
      </c>
      <c r="H419" s="16">
        <f t="shared" si="136"/>
        <v>0</v>
      </c>
      <c r="I419" s="16">
        <f t="shared" si="137"/>
        <v>0</v>
      </c>
      <c r="J419" s="16">
        <f t="shared" si="126"/>
        <v>0</v>
      </c>
      <c r="K419" s="16">
        <f t="shared" si="133"/>
        <v>0</v>
      </c>
      <c r="L419" s="67">
        <f t="shared" si="134"/>
        <v>0</v>
      </c>
      <c r="M419" s="4">
        <f t="shared" si="127"/>
        <v>0</v>
      </c>
      <c r="N419" s="4">
        <f t="shared" si="128"/>
        <v>0</v>
      </c>
      <c r="O419" s="4">
        <f t="shared" si="135"/>
        <v>0</v>
      </c>
      <c r="P419" s="4" t="e">
        <f>VLOOKUP(AJ411,'CIR Team Info'!$C$5:$E$44,2,FALSE)</f>
        <v>#N/A</v>
      </c>
      <c r="Q419" s="4" t="e">
        <f>VLOOKUP(AJ411,'CIR Team Info'!$C$5:$E$44,3,FALSE)</f>
        <v>#N/A</v>
      </c>
      <c r="R419" s="10" t="e">
        <f>VLOOKUP(AJ411,'FRC Site Data'!$B$3:$L$42,2,FALSE)</f>
        <v>#N/A</v>
      </c>
      <c r="S419" s="10" t="e">
        <f>VLOOKUP(AJ411,'FRC Site Data'!$B$3:$L$42,3,FALSE)</f>
        <v>#N/A</v>
      </c>
      <c r="T419" s="10" t="e">
        <f>VLOOKUP(AJ411,'FRC Site Data'!$B$3:$L$42,4,FALSE)</f>
        <v>#N/A</v>
      </c>
      <c r="U419" s="10" t="e">
        <f>VLOOKUP(AJ411,'FRC Site Data'!$B$3:$L$42,5,FALSE)</f>
        <v>#N/A</v>
      </c>
      <c r="V419" s="10" t="e">
        <f>VLOOKUP(AJ411,'FRC Site Data'!$B$3:$L$42,6,FALSE)</f>
        <v>#N/A</v>
      </c>
      <c r="W419" s="10" t="e">
        <f>VLOOKUP(AJ411,'FRC Site Data'!$B$3:$L$42,8,FALSE)</f>
        <v>#N/A</v>
      </c>
      <c r="X419" s="10" t="e">
        <f>VLOOKUP(AJ411,'FRC Site Data'!$B$3:$L$42,9,FALSE)</f>
        <v>#N/A</v>
      </c>
      <c r="Y419" s="10" t="e">
        <f>VLOOKUP(AJ411,'FRC Site Data'!$B$3:$L$42,10,FALSE)</f>
        <v>#N/A</v>
      </c>
      <c r="Z419" s="10" t="e">
        <f>VLOOKUP(AJ411,'FRC Site Data'!$B$3:$L$42,11,FALSE)</f>
        <v>#N/A</v>
      </c>
      <c r="AA419" s="10" t="e">
        <f>VLOOKUP(AJ411,'CIR Team Info'!$C$5:$E$44,4,FALSE)</f>
        <v>#N/A</v>
      </c>
      <c r="AB419" s="161" t="b">
        <f>ISNUMBER(VLOOKUP(AJ411,Match!$T$5:$T$10,1,FALSE))</f>
        <v>0</v>
      </c>
      <c r="AC419" s="161" t="b">
        <f>IF(AB419=TRUE,(VLOOKUP($AJ411,Match!$T$5:$U$10,2,FALSE)))</f>
        <v>0</v>
      </c>
      <c r="AD419" s="8">
        <v>3</v>
      </c>
      <c r="AE419" s="8">
        <v>2</v>
      </c>
      <c r="AF419" s="8">
        <v>2</v>
      </c>
      <c r="AG419" s="8">
        <v>1</v>
      </c>
      <c r="AH419" s="8" t="str">
        <f t="shared" si="122"/>
        <v/>
      </c>
      <c r="AI419" s="12"/>
      <c r="AZ419" s="12"/>
      <c r="BC419" s="12"/>
      <c r="BK419" s="12"/>
    </row>
    <row r="420" spans="1:63" x14ac:dyDescent="0.25">
      <c r="A420" s="29">
        <f t="shared" si="129"/>
        <v>0</v>
      </c>
      <c r="B420" s="29">
        <f t="shared" si="123"/>
        <v>0</v>
      </c>
      <c r="C420" s="29">
        <f t="shared" si="124"/>
        <v>0</v>
      </c>
      <c r="D420" s="29">
        <f t="shared" si="125"/>
        <v>0</v>
      </c>
      <c r="E420" s="29">
        <f t="shared" si="130"/>
        <v>0</v>
      </c>
      <c r="F420" s="29">
        <f t="shared" si="131"/>
        <v>0</v>
      </c>
      <c r="G420" s="29" t="str">
        <f t="shared" si="132"/>
        <v>offensive</v>
      </c>
      <c r="H420" s="16">
        <f t="shared" si="136"/>
        <v>0</v>
      </c>
      <c r="I420" s="16">
        <f t="shared" si="137"/>
        <v>0</v>
      </c>
      <c r="J420" s="16">
        <f t="shared" si="126"/>
        <v>0</v>
      </c>
      <c r="K420" s="16">
        <f t="shared" si="133"/>
        <v>0</v>
      </c>
      <c r="L420" s="67">
        <f t="shared" si="134"/>
        <v>0</v>
      </c>
      <c r="M420" s="4">
        <f t="shared" si="127"/>
        <v>0</v>
      </c>
      <c r="N420" s="4">
        <f t="shared" si="128"/>
        <v>0</v>
      </c>
      <c r="O420" s="4">
        <f t="shared" si="135"/>
        <v>0</v>
      </c>
      <c r="P420" s="4" t="e">
        <f>VLOOKUP(AJ412,'CIR Team Info'!$C$5:$E$44,2,FALSE)</f>
        <v>#N/A</v>
      </c>
      <c r="Q420" s="4" t="e">
        <f>VLOOKUP(AJ412,'CIR Team Info'!$C$5:$E$44,3,FALSE)</f>
        <v>#N/A</v>
      </c>
      <c r="R420" s="10" t="e">
        <f>VLOOKUP(AJ412,'FRC Site Data'!$B$3:$L$42,2,FALSE)</f>
        <v>#N/A</v>
      </c>
      <c r="S420" s="10" t="e">
        <f>VLOOKUP(AJ412,'FRC Site Data'!$B$3:$L$42,3,FALSE)</f>
        <v>#N/A</v>
      </c>
      <c r="T420" s="10" t="e">
        <f>VLOOKUP(AJ412,'FRC Site Data'!$B$3:$L$42,4,FALSE)</f>
        <v>#N/A</v>
      </c>
      <c r="U420" s="10" t="e">
        <f>VLOOKUP(AJ412,'FRC Site Data'!$B$3:$L$42,5,FALSE)</f>
        <v>#N/A</v>
      </c>
      <c r="V420" s="10" t="e">
        <f>VLOOKUP(AJ412,'FRC Site Data'!$B$3:$L$42,6,FALSE)</f>
        <v>#N/A</v>
      </c>
      <c r="W420" s="10" t="e">
        <f>VLOOKUP(AJ412,'FRC Site Data'!$B$3:$L$42,8,FALSE)</f>
        <v>#N/A</v>
      </c>
      <c r="X420" s="10" t="e">
        <f>VLOOKUP(AJ412,'FRC Site Data'!$B$3:$L$42,9,FALSE)</f>
        <v>#N/A</v>
      </c>
      <c r="Y420" s="10" t="e">
        <f>VLOOKUP(AJ412,'FRC Site Data'!$B$3:$L$42,10,FALSE)</f>
        <v>#N/A</v>
      </c>
      <c r="Z420" s="10" t="e">
        <f>VLOOKUP(AJ412,'FRC Site Data'!$B$3:$L$42,11,FALSE)</f>
        <v>#N/A</v>
      </c>
      <c r="AA420" s="10" t="e">
        <f>VLOOKUP(AJ412,'CIR Team Info'!$C$5:$E$44,4,FALSE)</f>
        <v>#N/A</v>
      </c>
      <c r="AB420" s="161" t="b">
        <f>ISNUMBER(VLOOKUP(AJ412,Match!$T$5:$T$10,1,FALSE))</f>
        <v>0</v>
      </c>
      <c r="AC420" s="161" t="b">
        <f>IF(AB420=TRUE,(VLOOKUP($AJ412,Match!$T$5:$U$10,2,FALSE)))</f>
        <v>0</v>
      </c>
      <c r="AD420" s="8">
        <v>3</v>
      </c>
      <c r="AE420" s="8">
        <v>2</v>
      </c>
      <c r="AF420" s="8">
        <v>2</v>
      </c>
      <c r="AG420" s="8">
        <v>1</v>
      </c>
      <c r="AH420" s="8" t="str">
        <f t="shared" si="122"/>
        <v/>
      </c>
      <c r="AI420" s="12"/>
      <c r="AZ420" s="12"/>
      <c r="BC420" s="12"/>
      <c r="BK420" s="12"/>
    </row>
    <row r="421" spans="1:63" x14ac:dyDescent="0.25">
      <c r="A421" s="29">
        <f t="shared" si="129"/>
        <v>0</v>
      </c>
      <c r="B421" s="29">
        <f t="shared" si="123"/>
        <v>0</v>
      </c>
      <c r="C421" s="29">
        <f t="shared" si="124"/>
        <v>0</v>
      </c>
      <c r="D421" s="29">
        <f t="shared" si="125"/>
        <v>0</v>
      </c>
      <c r="E421" s="29">
        <f t="shared" si="130"/>
        <v>0</v>
      </c>
      <c r="F421" s="29">
        <f t="shared" si="131"/>
        <v>0</v>
      </c>
      <c r="G421" s="29" t="str">
        <f t="shared" si="132"/>
        <v>offensive</v>
      </c>
      <c r="H421" s="16">
        <f t="shared" si="136"/>
        <v>0</v>
      </c>
      <c r="I421" s="16">
        <f t="shared" si="137"/>
        <v>0</v>
      </c>
      <c r="J421" s="16">
        <f t="shared" si="126"/>
        <v>0</v>
      </c>
      <c r="K421" s="16">
        <f t="shared" si="133"/>
        <v>0</v>
      </c>
      <c r="L421" s="67">
        <f t="shared" si="134"/>
        <v>0</v>
      </c>
      <c r="M421" s="4">
        <f t="shared" si="127"/>
        <v>0</v>
      </c>
      <c r="N421" s="4">
        <f t="shared" si="128"/>
        <v>0</v>
      </c>
      <c r="O421" s="4">
        <f t="shared" si="135"/>
        <v>0</v>
      </c>
      <c r="P421" s="4" t="e">
        <f>VLOOKUP(AJ413,'CIR Team Info'!$C$5:$E$44,2,FALSE)</f>
        <v>#N/A</v>
      </c>
      <c r="Q421" s="4" t="e">
        <f>VLOOKUP(AJ413,'CIR Team Info'!$C$5:$E$44,3,FALSE)</f>
        <v>#N/A</v>
      </c>
      <c r="R421" s="10" t="e">
        <f>VLOOKUP(AJ413,'FRC Site Data'!$B$3:$L$42,2,FALSE)</f>
        <v>#N/A</v>
      </c>
      <c r="S421" s="10" t="e">
        <f>VLOOKUP(AJ413,'FRC Site Data'!$B$3:$L$42,3,FALSE)</f>
        <v>#N/A</v>
      </c>
      <c r="T421" s="10" t="e">
        <f>VLOOKUP(AJ413,'FRC Site Data'!$B$3:$L$42,4,FALSE)</f>
        <v>#N/A</v>
      </c>
      <c r="U421" s="10" t="e">
        <f>VLOOKUP(AJ413,'FRC Site Data'!$B$3:$L$42,5,FALSE)</f>
        <v>#N/A</v>
      </c>
      <c r="V421" s="10" t="e">
        <f>VLOOKUP(AJ413,'FRC Site Data'!$B$3:$L$42,6,FALSE)</f>
        <v>#N/A</v>
      </c>
      <c r="W421" s="10" t="e">
        <f>VLOOKUP(AJ413,'FRC Site Data'!$B$3:$L$42,8,FALSE)</f>
        <v>#N/A</v>
      </c>
      <c r="X421" s="10" t="e">
        <f>VLOOKUP(AJ413,'FRC Site Data'!$B$3:$L$42,9,FALSE)</f>
        <v>#N/A</v>
      </c>
      <c r="Y421" s="10" t="e">
        <f>VLOOKUP(AJ413,'FRC Site Data'!$B$3:$L$42,10,FALSE)</f>
        <v>#N/A</v>
      </c>
      <c r="Z421" s="10" t="e">
        <f>VLOOKUP(AJ413,'FRC Site Data'!$B$3:$L$42,11,FALSE)</f>
        <v>#N/A</v>
      </c>
      <c r="AA421" s="10" t="e">
        <f>VLOOKUP(AJ413,'CIR Team Info'!$C$5:$E$44,4,FALSE)</f>
        <v>#N/A</v>
      </c>
      <c r="AB421" s="161" t="b">
        <f>ISNUMBER(VLOOKUP(AJ413,Match!$T$5:$T$10,1,FALSE))</f>
        <v>0</v>
      </c>
      <c r="AC421" s="161" t="b">
        <f>IF(AB421=TRUE,(VLOOKUP($AJ413,Match!$T$5:$U$10,2,FALSE)))</f>
        <v>0</v>
      </c>
      <c r="AD421" s="8">
        <v>3</v>
      </c>
      <c r="AE421" s="8">
        <v>2</v>
      </c>
      <c r="AF421" s="8">
        <v>2</v>
      </c>
      <c r="AG421" s="8">
        <v>1</v>
      </c>
      <c r="AH421" s="8" t="str">
        <f t="shared" si="122"/>
        <v/>
      </c>
      <c r="AI421" s="12"/>
      <c r="AZ421" s="12"/>
      <c r="BC421" s="12"/>
      <c r="BK421" s="12"/>
    </row>
    <row r="422" spans="1:63" x14ac:dyDescent="0.25">
      <c r="A422" s="29">
        <f t="shared" si="129"/>
        <v>0</v>
      </c>
      <c r="B422" s="29">
        <f t="shared" si="123"/>
        <v>0</v>
      </c>
      <c r="C422" s="29">
        <f t="shared" si="124"/>
        <v>0</v>
      </c>
      <c r="D422" s="29">
        <f t="shared" si="125"/>
        <v>0</v>
      </c>
      <c r="E422" s="29">
        <f t="shared" si="130"/>
        <v>0</v>
      </c>
      <c r="F422" s="29">
        <f t="shared" si="131"/>
        <v>0</v>
      </c>
      <c r="G422" s="29" t="str">
        <f t="shared" si="132"/>
        <v>offensive</v>
      </c>
      <c r="H422" s="16">
        <f t="shared" si="136"/>
        <v>0</v>
      </c>
      <c r="I422" s="16">
        <f t="shared" si="137"/>
        <v>0</v>
      </c>
      <c r="J422" s="16">
        <f t="shared" si="126"/>
        <v>0</v>
      </c>
      <c r="K422" s="16">
        <f t="shared" si="133"/>
        <v>0</v>
      </c>
      <c r="L422" s="67">
        <f t="shared" si="134"/>
        <v>0</v>
      </c>
      <c r="M422" s="4">
        <f t="shared" si="127"/>
        <v>0</v>
      </c>
      <c r="N422" s="4">
        <f t="shared" si="128"/>
        <v>0</v>
      </c>
      <c r="O422" s="4">
        <f t="shared" si="135"/>
        <v>0</v>
      </c>
      <c r="P422" s="4" t="e">
        <f>VLOOKUP(AJ414,'CIR Team Info'!$C$5:$E$44,2,FALSE)</f>
        <v>#N/A</v>
      </c>
      <c r="Q422" s="4" t="e">
        <f>VLOOKUP(AJ414,'CIR Team Info'!$C$5:$E$44,3,FALSE)</f>
        <v>#N/A</v>
      </c>
      <c r="R422" s="10" t="e">
        <f>VLOOKUP(AJ414,'FRC Site Data'!$B$3:$L$42,2,FALSE)</f>
        <v>#N/A</v>
      </c>
      <c r="S422" s="10" t="e">
        <f>VLOOKUP(AJ414,'FRC Site Data'!$B$3:$L$42,3,FALSE)</f>
        <v>#N/A</v>
      </c>
      <c r="T422" s="10" t="e">
        <f>VLOOKUP(AJ414,'FRC Site Data'!$B$3:$L$42,4,FALSE)</f>
        <v>#N/A</v>
      </c>
      <c r="U422" s="10" t="e">
        <f>VLOOKUP(AJ414,'FRC Site Data'!$B$3:$L$42,5,FALSE)</f>
        <v>#N/A</v>
      </c>
      <c r="V422" s="10" t="e">
        <f>VLOOKUP(AJ414,'FRC Site Data'!$B$3:$L$42,6,FALSE)</f>
        <v>#N/A</v>
      </c>
      <c r="W422" s="10" t="e">
        <f>VLOOKUP(AJ414,'FRC Site Data'!$B$3:$L$42,8,FALSE)</f>
        <v>#N/A</v>
      </c>
      <c r="X422" s="10" t="e">
        <f>VLOOKUP(AJ414,'FRC Site Data'!$B$3:$L$42,9,FALSE)</f>
        <v>#N/A</v>
      </c>
      <c r="Y422" s="10" t="e">
        <f>VLOOKUP(AJ414,'FRC Site Data'!$B$3:$L$42,10,FALSE)</f>
        <v>#N/A</v>
      </c>
      <c r="Z422" s="10" t="e">
        <f>VLOOKUP(AJ414,'FRC Site Data'!$B$3:$L$42,11,FALSE)</f>
        <v>#N/A</v>
      </c>
      <c r="AA422" s="10" t="e">
        <f>VLOOKUP(AJ414,'CIR Team Info'!$C$5:$E$44,4,FALSE)</f>
        <v>#N/A</v>
      </c>
      <c r="AB422" s="161" t="b">
        <f>ISNUMBER(VLOOKUP(AJ414,Match!$T$5:$T$10,1,FALSE))</f>
        <v>0</v>
      </c>
      <c r="AC422" s="161" t="b">
        <f>IF(AB422=TRUE,(VLOOKUP($AJ414,Match!$T$5:$U$10,2,FALSE)))</f>
        <v>0</v>
      </c>
      <c r="AD422" s="8">
        <v>3</v>
      </c>
      <c r="AE422" s="8">
        <v>2</v>
      </c>
      <c r="AF422" s="8">
        <v>2</v>
      </c>
      <c r="AG422" s="8">
        <v>1</v>
      </c>
      <c r="AH422" s="8" t="str">
        <f t="shared" si="122"/>
        <v/>
      </c>
      <c r="AI422" s="12"/>
      <c r="AZ422" s="12"/>
      <c r="BC422" s="12"/>
      <c r="BK422" s="12"/>
    </row>
    <row r="423" spans="1:63" x14ac:dyDescent="0.25">
      <c r="A423" s="29">
        <f t="shared" si="129"/>
        <v>0</v>
      </c>
      <c r="B423" s="29">
        <f t="shared" si="123"/>
        <v>0</v>
      </c>
      <c r="C423" s="29">
        <f t="shared" si="124"/>
        <v>0</v>
      </c>
      <c r="D423" s="29">
        <f t="shared" si="125"/>
        <v>0</v>
      </c>
      <c r="E423" s="29">
        <f t="shared" si="130"/>
        <v>0</v>
      </c>
      <c r="F423" s="29">
        <f t="shared" si="131"/>
        <v>0</v>
      </c>
      <c r="G423" s="29" t="str">
        <f t="shared" si="132"/>
        <v>offensive</v>
      </c>
      <c r="H423" s="16">
        <f t="shared" si="136"/>
        <v>0</v>
      </c>
      <c r="I423" s="16">
        <f t="shared" si="137"/>
        <v>0</v>
      </c>
      <c r="J423" s="16">
        <f t="shared" si="126"/>
        <v>0</v>
      </c>
      <c r="K423" s="16">
        <f t="shared" si="133"/>
        <v>0</v>
      </c>
      <c r="L423" s="67">
        <f t="shared" si="134"/>
        <v>0</v>
      </c>
      <c r="M423" s="4">
        <f t="shared" si="127"/>
        <v>0</v>
      </c>
      <c r="N423" s="4">
        <f t="shared" si="128"/>
        <v>0</v>
      </c>
      <c r="O423" s="4">
        <f t="shared" si="135"/>
        <v>0</v>
      </c>
      <c r="P423" s="4" t="e">
        <f>VLOOKUP(AJ415,'CIR Team Info'!$C$5:$E$44,2,FALSE)</f>
        <v>#N/A</v>
      </c>
      <c r="Q423" s="4" t="e">
        <f>VLOOKUP(AJ415,'CIR Team Info'!$C$5:$E$44,3,FALSE)</f>
        <v>#N/A</v>
      </c>
      <c r="R423" s="10" t="e">
        <f>VLOOKUP(AJ415,'FRC Site Data'!$B$3:$L$42,2,FALSE)</f>
        <v>#N/A</v>
      </c>
      <c r="S423" s="10" t="e">
        <f>VLOOKUP(AJ415,'FRC Site Data'!$B$3:$L$42,3,FALSE)</f>
        <v>#N/A</v>
      </c>
      <c r="T423" s="10" t="e">
        <f>VLOOKUP(AJ415,'FRC Site Data'!$B$3:$L$42,4,FALSE)</f>
        <v>#N/A</v>
      </c>
      <c r="U423" s="10" t="e">
        <f>VLOOKUP(AJ415,'FRC Site Data'!$B$3:$L$42,5,FALSE)</f>
        <v>#N/A</v>
      </c>
      <c r="V423" s="10" t="e">
        <f>VLOOKUP(AJ415,'FRC Site Data'!$B$3:$L$42,6,FALSE)</f>
        <v>#N/A</v>
      </c>
      <c r="W423" s="10" t="e">
        <f>VLOOKUP(AJ415,'FRC Site Data'!$B$3:$L$42,8,FALSE)</f>
        <v>#N/A</v>
      </c>
      <c r="X423" s="10" t="e">
        <f>VLOOKUP(AJ415,'FRC Site Data'!$B$3:$L$42,9,FALSE)</f>
        <v>#N/A</v>
      </c>
      <c r="Y423" s="10" t="e">
        <f>VLOOKUP(AJ415,'FRC Site Data'!$B$3:$L$42,10,FALSE)</f>
        <v>#N/A</v>
      </c>
      <c r="Z423" s="10" t="e">
        <f>VLOOKUP(AJ415,'FRC Site Data'!$B$3:$L$42,11,FALSE)</f>
        <v>#N/A</v>
      </c>
      <c r="AA423" s="10" t="e">
        <f>VLOOKUP(AJ415,'CIR Team Info'!$C$5:$E$44,4,FALSE)</f>
        <v>#N/A</v>
      </c>
      <c r="AB423" s="161" t="b">
        <f>ISNUMBER(VLOOKUP(AJ415,Match!$T$5:$T$10,1,FALSE))</f>
        <v>0</v>
      </c>
      <c r="AC423" s="161" t="b">
        <f>IF(AB423=TRUE,(VLOOKUP($AJ415,Match!$T$5:$U$10,2,FALSE)))</f>
        <v>0</v>
      </c>
      <c r="AD423" s="8">
        <v>3</v>
      </c>
      <c r="AE423" s="8">
        <v>2</v>
      </c>
      <c r="AF423" s="8">
        <v>2</v>
      </c>
      <c r="AG423" s="8">
        <v>1</v>
      </c>
      <c r="AH423" s="8" t="str">
        <f t="shared" si="122"/>
        <v/>
      </c>
      <c r="AI423" s="12"/>
      <c r="AZ423" s="12"/>
      <c r="BC423" s="12"/>
      <c r="BK423" s="12"/>
    </row>
    <row r="424" spans="1:63" x14ac:dyDescent="0.25">
      <c r="A424" s="29">
        <f t="shared" si="129"/>
        <v>0</v>
      </c>
      <c r="B424" s="29">
        <f t="shared" si="123"/>
        <v>0</v>
      </c>
      <c r="C424" s="29">
        <f t="shared" si="124"/>
        <v>0</v>
      </c>
      <c r="D424" s="29">
        <f t="shared" si="125"/>
        <v>0</v>
      </c>
      <c r="E424" s="29">
        <f t="shared" si="130"/>
        <v>0</v>
      </c>
      <c r="F424" s="29">
        <f t="shared" si="131"/>
        <v>0</v>
      </c>
      <c r="G424" s="29" t="str">
        <f t="shared" si="132"/>
        <v>offensive</v>
      </c>
      <c r="H424" s="16">
        <f t="shared" si="136"/>
        <v>0</v>
      </c>
      <c r="I424" s="16">
        <f t="shared" si="137"/>
        <v>0</v>
      </c>
      <c r="J424" s="16">
        <f t="shared" si="126"/>
        <v>0</v>
      </c>
      <c r="K424" s="16">
        <f t="shared" si="133"/>
        <v>0</v>
      </c>
      <c r="L424" s="67">
        <f t="shared" si="134"/>
        <v>0</v>
      </c>
      <c r="M424" s="4">
        <f t="shared" si="127"/>
        <v>0</v>
      </c>
      <c r="N424" s="4">
        <f t="shared" si="128"/>
        <v>0</v>
      </c>
      <c r="O424" s="4">
        <f t="shared" si="135"/>
        <v>0</v>
      </c>
      <c r="P424" s="4" t="e">
        <f>VLOOKUP(AJ416,'CIR Team Info'!$C$5:$E$44,2,FALSE)</f>
        <v>#N/A</v>
      </c>
      <c r="Q424" s="4" t="e">
        <f>VLOOKUP(AJ416,'CIR Team Info'!$C$5:$E$44,3,FALSE)</f>
        <v>#N/A</v>
      </c>
      <c r="R424" s="10" t="e">
        <f>VLOOKUP(AJ416,'FRC Site Data'!$B$3:$L$42,2,FALSE)</f>
        <v>#N/A</v>
      </c>
      <c r="S424" s="10" t="e">
        <f>VLOOKUP(AJ416,'FRC Site Data'!$B$3:$L$42,3,FALSE)</f>
        <v>#N/A</v>
      </c>
      <c r="T424" s="10" t="e">
        <f>VLOOKUP(AJ416,'FRC Site Data'!$B$3:$L$42,4,FALSE)</f>
        <v>#N/A</v>
      </c>
      <c r="U424" s="10" t="e">
        <f>VLOOKUP(AJ416,'FRC Site Data'!$B$3:$L$42,5,FALSE)</f>
        <v>#N/A</v>
      </c>
      <c r="V424" s="10" t="e">
        <f>VLOOKUP(AJ416,'FRC Site Data'!$B$3:$L$42,6,FALSE)</f>
        <v>#N/A</v>
      </c>
      <c r="W424" s="10" t="e">
        <f>VLOOKUP(AJ416,'FRC Site Data'!$B$3:$L$42,8,FALSE)</f>
        <v>#N/A</v>
      </c>
      <c r="X424" s="10" t="e">
        <f>VLOOKUP(AJ416,'FRC Site Data'!$B$3:$L$42,9,FALSE)</f>
        <v>#N/A</v>
      </c>
      <c r="Y424" s="10" t="e">
        <f>VLOOKUP(AJ416,'FRC Site Data'!$B$3:$L$42,10,FALSE)</f>
        <v>#N/A</v>
      </c>
      <c r="Z424" s="10" t="e">
        <f>VLOOKUP(AJ416,'FRC Site Data'!$B$3:$L$42,11,FALSE)</f>
        <v>#N/A</v>
      </c>
      <c r="AA424" s="10" t="e">
        <f>VLOOKUP(AJ416,'CIR Team Info'!$C$5:$E$44,4,FALSE)</f>
        <v>#N/A</v>
      </c>
      <c r="AB424" s="161" t="b">
        <f>ISNUMBER(VLOOKUP(AJ416,Match!$T$5:$T$10,1,FALSE))</f>
        <v>0</v>
      </c>
      <c r="AC424" s="161" t="b">
        <f>IF(AB424=TRUE,(VLOOKUP($AJ416,Match!$T$5:$U$10,2,FALSE)))</f>
        <v>0</v>
      </c>
      <c r="AD424" s="8">
        <v>3</v>
      </c>
      <c r="AE424" s="8">
        <v>2</v>
      </c>
      <c r="AF424" s="8">
        <v>2</v>
      </c>
      <c r="AG424" s="8">
        <v>1</v>
      </c>
      <c r="AH424" s="8" t="str">
        <f t="shared" si="122"/>
        <v/>
      </c>
      <c r="AI424" s="12"/>
      <c r="AZ424" s="12"/>
      <c r="BC424" s="12"/>
      <c r="BK424" s="12"/>
    </row>
    <row r="425" spans="1:63" x14ac:dyDescent="0.25">
      <c r="A425" s="29">
        <f t="shared" si="129"/>
        <v>0</v>
      </c>
      <c r="B425" s="29">
        <f t="shared" si="123"/>
        <v>0</v>
      </c>
      <c r="C425" s="29">
        <f t="shared" si="124"/>
        <v>0</v>
      </c>
      <c r="D425" s="29">
        <f t="shared" si="125"/>
        <v>0</v>
      </c>
      <c r="E425" s="29">
        <f t="shared" si="130"/>
        <v>0</v>
      </c>
      <c r="F425" s="29">
        <f t="shared" si="131"/>
        <v>0</v>
      </c>
      <c r="G425" s="29" t="str">
        <f t="shared" si="132"/>
        <v>offensive</v>
      </c>
      <c r="H425" s="16">
        <f t="shared" si="136"/>
        <v>0</v>
      </c>
      <c r="I425" s="16">
        <f t="shared" si="137"/>
        <v>0</v>
      </c>
      <c r="J425" s="16">
        <f t="shared" si="126"/>
        <v>0</v>
      </c>
      <c r="K425" s="16">
        <f t="shared" si="133"/>
        <v>0</v>
      </c>
      <c r="L425" s="67">
        <f t="shared" si="134"/>
        <v>0</v>
      </c>
      <c r="M425" s="4">
        <f t="shared" si="127"/>
        <v>0</v>
      </c>
      <c r="N425" s="4">
        <f t="shared" si="128"/>
        <v>0</v>
      </c>
      <c r="O425" s="4">
        <f t="shared" si="135"/>
        <v>0</v>
      </c>
      <c r="P425" s="4" t="e">
        <f>VLOOKUP(AJ417,'CIR Team Info'!$C$5:$E$44,2,FALSE)</f>
        <v>#N/A</v>
      </c>
      <c r="Q425" s="4" t="e">
        <f>VLOOKUP(AJ417,'CIR Team Info'!$C$5:$E$44,3,FALSE)</f>
        <v>#N/A</v>
      </c>
      <c r="R425" s="10" t="e">
        <f>VLOOKUP(AJ417,'FRC Site Data'!$B$3:$L$42,2,FALSE)</f>
        <v>#N/A</v>
      </c>
      <c r="S425" s="10" t="e">
        <f>VLOOKUP(AJ417,'FRC Site Data'!$B$3:$L$42,3,FALSE)</f>
        <v>#N/A</v>
      </c>
      <c r="T425" s="10" t="e">
        <f>VLOOKUP(AJ417,'FRC Site Data'!$B$3:$L$42,4,FALSE)</f>
        <v>#N/A</v>
      </c>
      <c r="U425" s="10" t="e">
        <f>VLOOKUP(AJ417,'FRC Site Data'!$B$3:$L$42,5,FALSE)</f>
        <v>#N/A</v>
      </c>
      <c r="V425" s="10" t="e">
        <f>VLOOKUP(AJ417,'FRC Site Data'!$B$3:$L$42,6,FALSE)</f>
        <v>#N/A</v>
      </c>
      <c r="W425" s="10" t="e">
        <f>VLOOKUP(AJ417,'FRC Site Data'!$B$3:$L$42,8,FALSE)</f>
        <v>#N/A</v>
      </c>
      <c r="X425" s="10" t="e">
        <f>VLOOKUP(AJ417,'FRC Site Data'!$B$3:$L$42,9,FALSE)</f>
        <v>#N/A</v>
      </c>
      <c r="Y425" s="10" t="e">
        <f>VLOOKUP(AJ417,'FRC Site Data'!$B$3:$L$42,10,FALSE)</f>
        <v>#N/A</v>
      </c>
      <c r="Z425" s="10" t="e">
        <f>VLOOKUP(AJ417,'FRC Site Data'!$B$3:$L$42,11,FALSE)</f>
        <v>#N/A</v>
      </c>
      <c r="AA425" s="10" t="e">
        <f>VLOOKUP(AJ417,'CIR Team Info'!$C$5:$E$44,4,FALSE)</f>
        <v>#N/A</v>
      </c>
      <c r="AB425" s="161" t="b">
        <f>ISNUMBER(VLOOKUP(AJ417,Match!$T$5:$T$10,1,FALSE))</f>
        <v>0</v>
      </c>
      <c r="AC425" s="161" t="b">
        <f>IF(AB425=TRUE,(VLOOKUP($AJ417,Match!$T$5:$U$10,2,FALSE)))</f>
        <v>0</v>
      </c>
      <c r="AD425" s="8">
        <v>3</v>
      </c>
      <c r="AE425" s="8">
        <v>2</v>
      </c>
      <c r="AF425" s="8">
        <v>2</v>
      </c>
      <c r="AG425" s="8">
        <v>1</v>
      </c>
      <c r="AH425" s="8" t="str">
        <f t="shared" si="122"/>
        <v/>
      </c>
      <c r="AI425" s="12"/>
      <c r="AZ425" s="12"/>
      <c r="BC425" s="12"/>
      <c r="BK425" s="12"/>
    </row>
    <row r="426" spans="1:63" x14ac:dyDescent="0.25">
      <c r="A426" s="29">
        <f t="shared" si="129"/>
        <v>0</v>
      </c>
      <c r="B426" s="29">
        <f t="shared" si="123"/>
        <v>0</v>
      </c>
      <c r="C426" s="29">
        <f t="shared" si="124"/>
        <v>0</v>
      </c>
      <c r="D426" s="29">
        <f t="shared" si="125"/>
        <v>0</v>
      </c>
      <c r="E426" s="29">
        <f t="shared" si="130"/>
        <v>0</v>
      </c>
      <c r="F426" s="29">
        <f t="shared" si="131"/>
        <v>0</v>
      </c>
      <c r="G426" s="29" t="str">
        <f t="shared" si="132"/>
        <v>offensive</v>
      </c>
      <c r="H426" s="16">
        <f t="shared" si="136"/>
        <v>0</v>
      </c>
      <c r="I426" s="16">
        <f t="shared" si="137"/>
        <v>0</v>
      </c>
      <c r="J426" s="16">
        <f t="shared" si="126"/>
        <v>0</v>
      </c>
      <c r="K426" s="16">
        <f t="shared" si="133"/>
        <v>0</v>
      </c>
      <c r="L426" s="67">
        <f t="shared" si="134"/>
        <v>0</v>
      </c>
      <c r="M426" s="4">
        <f t="shared" si="127"/>
        <v>0</v>
      </c>
      <c r="N426" s="4">
        <f t="shared" si="128"/>
        <v>0</v>
      </c>
      <c r="O426" s="4">
        <f t="shared" si="135"/>
        <v>0</v>
      </c>
      <c r="P426" s="4" t="e">
        <f>VLOOKUP(AJ418,'CIR Team Info'!$C$5:$E$44,2,FALSE)</f>
        <v>#N/A</v>
      </c>
      <c r="Q426" s="4" t="e">
        <f>VLOOKUP(AJ418,'CIR Team Info'!$C$5:$E$44,3,FALSE)</f>
        <v>#N/A</v>
      </c>
      <c r="R426" s="10" t="e">
        <f>VLOOKUP(AJ418,'FRC Site Data'!$B$3:$L$42,2,FALSE)</f>
        <v>#N/A</v>
      </c>
      <c r="S426" s="10" t="e">
        <f>VLOOKUP(AJ418,'FRC Site Data'!$B$3:$L$42,3,FALSE)</f>
        <v>#N/A</v>
      </c>
      <c r="T426" s="10" t="e">
        <f>VLOOKUP(AJ418,'FRC Site Data'!$B$3:$L$42,4,FALSE)</f>
        <v>#N/A</v>
      </c>
      <c r="U426" s="10" t="e">
        <f>VLOOKUP(AJ418,'FRC Site Data'!$B$3:$L$42,5,FALSE)</f>
        <v>#N/A</v>
      </c>
      <c r="V426" s="10" t="e">
        <f>VLOOKUP(AJ418,'FRC Site Data'!$B$3:$L$42,6,FALSE)</f>
        <v>#N/A</v>
      </c>
      <c r="W426" s="10" t="e">
        <f>VLOOKUP(AJ418,'FRC Site Data'!$B$3:$L$42,8,FALSE)</f>
        <v>#N/A</v>
      </c>
      <c r="X426" s="10" t="e">
        <f>VLOOKUP(AJ418,'FRC Site Data'!$B$3:$L$42,9,FALSE)</f>
        <v>#N/A</v>
      </c>
      <c r="Y426" s="10" t="e">
        <f>VLOOKUP(AJ418,'FRC Site Data'!$B$3:$L$42,10,FALSE)</f>
        <v>#N/A</v>
      </c>
      <c r="Z426" s="10" t="e">
        <f>VLOOKUP(AJ418,'FRC Site Data'!$B$3:$L$42,11,FALSE)</f>
        <v>#N/A</v>
      </c>
      <c r="AA426" s="10" t="e">
        <f>VLOOKUP(AJ418,'CIR Team Info'!$C$5:$E$44,4,FALSE)</f>
        <v>#N/A</v>
      </c>
      <c r="AB426" s="161" t="b">
        <f>ISNUMBER(VLOOKUP(AJ418,Match!$T$5:$T$10,1,FALSE))</f>
        <v>0</v>
      </c>
      <c r="AC426" s="161" t="b">
        <f>IF(AB426=TRUE,(VLOOKUP($AJ418,Match!$T$5:$U$10,2,FALSE)))</f>
        <v>0</v>
      </c>
      <c r="AD426" s="8">
        <v>3</v>
      </c>
      <c r="AE426" s="8">
        <v>2</v>
      </c>
      <c r="AF426" s="8">
        <v>2</v>
      </c>
      <c r="AG426" s="8">
        <v>1</v>
      </c>
      <c r="AH426" s="8" t="str">
        <f t="shared" si="122"/>
        <v/>
      </c>
      <c r="AI426" s="12"/>
      <c r="AZ426" s="12"/>
      <c r="BC426" s="12"/>
      <c r="BK426" s="12"/>
    </row>
    <row r="427" spans="1:63" x14ac:dyDescent="0.25">
      <c r="A427" s="29">
        <f t="shared" si="129"/>
        <v>0</v>
      </c>
      <c r="B427" s="29">
        <f t="shared" si="123"/>
        <v>0</v>
      </c>
      <c r="C427" s="29">
        <f t="shared" si="124"/>
        <v>0</v>
      </c>
      <c r="D427" s="29">
        <f t="shared" si="125"/>
        <v>0</v>
      </c>
      <c r="E427" s="29">
        <f t="shared" si="130"/>
        <v>0</v>
      </c>
      <c r="F427" s="29">
        <f t="shared" si="131"/>
        <v>0</v>
      </c>
      <c r="G427" s="29" t="str">
        <f t="shared" si="132"/>
        <v>offensive</v>
      </c>
      <c r="H427" s="16">
        <f t="shared" si="136"/>
        <v>0</v>
      </c>
      <c r="I427" s="16">
        <f t="shared" si="137"/>
        <v>0</v>
      </c>
      <c r="J427" s="16">
        <f t="shared" si="126"/>
        <v>0</v>
      </c>
      <c r="K427" s="16">
        <f t="shared" si="133"/>
        <v>0</v>
      </c>
      <c r="L427" s="67">
        <f t="shared" si="134"/>
        <v>0</v>
      </c>
      <c r="M427" s="4">
        <f t="shared" si="127"/>
        <v>0</v>
      </c>
      <c r="N427" s="4">
        <f t="shared" si="128"/>
        <v>0</v>
      </c>
      <c r="O427" s="4">
        <f t="shared" si="135"/>
        <v>0</v>
      </c>
      <c r="P427" s="4" t="e">
        <f>VLOOKUP(AJ419,'CIR Team Info'!$C$5:$E$44,2,FALSE)</f>
        <v>#N/A</v>
      </c>
      <c r="Q427" s="4" t="e">
        <f>VLOOKUP(AJ419,'CIR Team Info'!$C$5:$E$44,3,FALSE)</f>
        <v>#N/A</v>
      </c>
      <c r="R427" s="10" t="e">
        <f>VLOOKUP(AJ419,'FRC Site Data'!$B$3:$L$42,2,FALSE)</f>
        <v>#N/A</v>
      </c>
      <c r="S427" s="10" t="e">
        <f>VLOOKUP(AJ419,'FRC Site Data'!$B$3:$L$42,3,FALSE)</f>
        <v>#N/A</v>
      </c>
      <c r="T427" s="10" t="e">
        <f>VLOOKUP(AJ419,'FRC Site Data'!$B$3:$L$42,4,FALSE)</f>
        <v>#N/A</v>
      </c>
      <c r="U427" s="10" t="e">
        <f>VLOOKUP(AJ419,'FRC Site Data'!$B$3:$L$42,5,FALSE)</f>
        <v>#N/A</v>
      </c>
      <c r="V427" s="10" t="e">
        <f>VLOOKUP(AJ419,'FRC Site Data'!$B$3:$L$42,6,FALSE)</f>
        <v>#N/A</v>
      </c>
      <c r="W427" s="10" t="e">
        <f>VLOOKUP(AJ419,'FRC Site Data'!$B$3:$L$42,8,FALSE)</f>
        <v>#N/A</v>
      </c>
      <c r="X427" s="10" t="e">
        <f>VLOOKUP(AJ419,'FRC Site Data'!$B$3:$L$42,9,FALSE)</f>
        <v>#N/A</v>
      </c>
      <c r="Y427" s="10" t="e">
        <f>VLOOKUP(AJ419,'FRC Site Data'!$B$3:$L$42,10,FALSE)</f>
        <v>#N/A</v>
      </c>
      <c r="Z427" s="10" t="e">
        <f>VLOOKUP(AJ419,'FRC Site Data'!$B$3:$L$42,11,FALSE)</f>
        <v>#N/A</v>
      </c>
      <c r="AA427" s="10" t="e">
        <f>VLOOKUP(AJ419,'CIR Team Info'!$C$5:$E$44,4,FALSE)</f>
        <v>#N/A</v>
      </c>
      <c r="AB427" s="161" t="b">
        <f>ISNUMBER(VLOOKUP(AJ419,Match!$T$5:$T$10,1,FALSE))</f>
        <v>0</v>
      </c>
      <c r="AC427" s="161" t="b">
        <f>IF(AB427=TRUE,(VLOOKUP($AJ419,Match!$T$5:$U$10,2,FALSE)))</f>
        <v>0</v>
      </c>
      <c r="AD427" s="8">
        <v>3</v>
      </c>
      <c r="AE427" s="8">
        <v>2</v>
      </c>
      <c r="AF427" s="8">
        <v>2</v>
      </c>
      <c r="AG427" s="8">
        <v>1</v>
      </c>
      <c r="AH427" s="8" t="str">
        <f t="shared" si="122"/>
        <v/>
      </c>
      <c r="AI427" s="12"/>
      <c r="AZ427" s="12"/>
      <c r="BC427" s="12"/>
      <c r="BK427" s="12"/>
    </row>
    <row r="428" spans="1:63" x14ac:dyDescent="0.25">
      <c r="A428" s="29">
        <f t="shared" si="129"/>
        <v>0</v>
      </c>
      <c r="B428" s="29">
        <f t="shared" si="123"/>
        <v>0</v>
      </c>
      <c r="C428" s="29">
        <f t="shared" si="124"/>
        <v>0</v>
      </c>
      <c r="D428" s="29">
        <f t="shared" si="125"/>
        <v>0</v>
      </c>
      <c r="E428" s="29">
        <f t="shared" si="130"/>
        <v>0</v>
      </c>
      <c r="F428" s="29">
        <f t="shared" si="131"/>
        <v>0</v>
      </c>
      <c r="G428" s="29" t="str">
        <f t="shared" si="132"/>
        <v>offensive</v>
      </c>
      <c r="H428" s="16">
        <f t="shared" si="136"/>
        <v>0</v>
      </c>
      <c r="I428" s="16">
        <f t="shared" si="137"/>
        <v>0</v>
      </c>
      <c r="J428" s="16">
        <f t="shared" si="126"/>
        <v>0</v>
      </c>
      <c r="K428" s="16">
        <f t="shared" si="133"/>
        <v>0</v>
      </c>
      <c r="L428" s="67">
        <f t="shared" si="134"/>
        <v>0</v>
      </c>
      <c r="M428" s="4">
        <f t="shared" si="127"/>
        <v>0</v>
      </c>
      <c r="N428" s="4">
        <f t="shared" si="128"/>
        <v>0</v>
      </c>
      <c r="O428" s="4">
        <f t="shared" si="135"/>
        <v>0</v>
      </c>
      <c r="P428" s="4" t="e">
        <f>VLOOKUP(AJ420,'CIR Team Info'!$C$5:$E$44,2,FALSE)</f>
        <v>#N/A</v>
      </c>
      <c r="Q428" s="4" t="e">
        <f>VLOOKUP(AJ420,'CIR Team Info'!$C$5:$E$44,3,FALSE)</f>
        <v>#N/A</v>
      </c>
      <c r="R428" s="10" t="e">
        <f>VLOOKUP(AJ420,'FRC Site Data'!$B$3:$L$42,2,FALSE)</f>
        <v>#N/A</v>
      </c>
      <c r="S428" s="10" t="e">
        <f>VLOOKUP(AJ420,'FRC Site Data'!$B$3:$L$42,3,FALSE)</f>
        <v>#N/A</v>
      </c>
      <c r="T428" s="10" t="e">
        <f>VLOOKUP(AJ420,'FRC Site Data'!$B$3:$L$42,4,FALSE)</f>
        <v>#N/A</v>
      </c>
      <c r="U428" s="10" t="e">
        <f>VLOOKUP(AJ420,'FRC Site Data'!$B$3:$L$42,5,FALSE)</f>
        <v>#N/A</v>
      </c>
      <c r="V428" s="10" t="e">
        <f>VLOOKUP(AJ420,'FRC Site Data'!$B$3:$L$42,6,FALSE)</f>
        <v>#N/A</v>
      </c>
      <c r="W428" s="10" t="e">
        <f>VLOOKUP(AJ420,'FRC Site Data'!$B$3:$L$42,8,FALSE)</f>
        <v>#N/A</v>
      </c>
      <c r="X428" s="10" t="e">
        <f>VLOOKUP(AJ420,'FRC Site Data'!$B$3:$L$42,9,FALSE)</f>
        <v>#N/A</v>
      </c>
      <c r="Y428" s="10" t="e">
        <f>VLOOKUP(AJ420,'FRC Site Data'!$B$3:$L$42,10,FALSE)</f>
        <v>#N/A</v>
      </c>
      <c r="Z428" s="10" t="e">
        <f>VLOOKUP(AJ420,'FRC Site Data'!$B$3:$L$42,11,FALSE)</f>
        <v>#N/A</v>
      </c>
      <c r="AA428" s="10" t="e">
        <f>VLOOKUP(AJ420,'CIR Team Info'!$C$5:$E$44,4,FALSE)</f>
        <v>#N/A</v>
      </c>
      <c r="AB428" s="161" t="b">
        <f>ISNUMBER(VLOOKUP(AJ420,Match!$T$5:$T$10,1,FALSE))</f>
        <v>0</v>
      </c>
      <c r="AC428" s="161" t="b">
        <f>IF(AB428=TRUE,(VLOOKUP($AJ420,Match!$T$5:$U$10,2,FALSE)))</f>
        <v>0</v>
      </c>
      <c r="AD428" s="8">
        <v>3</v>
      </c>
      <c r="AE428" s="8">
        <v>2</v>
      </c>
      <c r="AF428" s="8">
        <v>2</v>
      </c>
      <c r="AG428" s="8">
        <v>1</v>
      </c>
      <c r="AH428" s="8" t="str">
        <f t="shared" si="122"/>
        <v/>
      </c>
      <c r="AI428" s="12"/>
      <c r="AZ428" s="12"/>
      <c r="BC428" s="12"/>
      <c r="BK428" s="12"/>
    </row>
    <row r="429" spans="1:63" x14ac:dyDescent="0.25">
      <c r="A429" s="29">
        <f t="shared" si="129"/>
        <v>0</v>
      </c>
      <c r="B429" s="29">
        <f t="shared" si="123"/>
        <v>0</v>
      </c>
      <c r="C429" s="29">
        <f t="shared" si="124"/>
        <v>0</v>
      </c>
      <c r="D429" s="29">
        <f t="shared" si="125"/>
        <v>0</v>
      </c>
      <c r="E429" s="29">
        <f t="shared" si="130"/>
        <v>0</v>
      </c>
      <c r="F429" s="29">
        <f t="shared" si="131"/>
        <v>0</v>
      </c>
      <c r="G429" s="29" t="str">
        <f t="shared" si="132"/>
        <v>offensive</v>
      </c>
      <c r="H429" s="16">
        <f t="shared" si="136"/>
        <v>0</v>
      </c>
      <c r="I429" s="16">
        <f t="shared" si="137"/>
        <v>0</v>
      </c>
      <c r="J429" s="16">
        <f t="shared" si="126"/>
        <v>0</v>
      </c>
      <c r="K429" s="16">
        <f t="shared" si="133"/>
        <v>0</v>
      </c>
      <c r="L429" s="67">
        <f t="shared" si="134"/>
        <v>0</v>
      </c>
      <c r="M429" s="4">
        <f t="shared" si="127"/>
        <v>0</v>
      </c>
      <c r="N429" s="4">
        <f t="shared" si="128"/>
        <v>0</v>
      </c>
      <c r="O429" s="4">
        <f t="shared" si="135"/>
        <v>0</v>
      </c>
      <c r="P429" s="4" t="e">
        <f>VLOOKUP(AJ421,'CIR Team Info'!$C$5:$E$44,2,FALSE)</f>
        <v>#N/A</v>
      </c>
      <c r="Q429" s="4" t="e">
        <f>VLOOKUP(AJ421,'CIR Team Info'!$C$5:$E$44,3,FALSE)</f>
        <v>#N/A</v>
      </c>
      <c r="R429" s="10" t="e">
        <f>VLOOKUP(AJ421,'FRC Site Data'!$B$3:$L$42,2,FALSE)</f>
        <v>#N/A</v>
      </c>
      <c r="S429" s="10" t="e">
        <f>VLOOKUP(AJ421,'FRC Site Data'!$B$3:$L$42,3,FALSE)</f>
        <v>#N/A</v>
      </c>
      <c r="T429" s="10" t="e">
        <f>VLOOKUP(AJ421,'FRC Site Data'!$B$3:$L$42,4,FALSE)</f>
        <v>#N/A</v>
      </c>
      <c r="U429" s="10" t="e">
        <f>VLOOKUP(AJ421,'FRC Site Data'!$B$3:$L$42,5,FALSE)</f>
        <v>#N/A</v>
      </c>
      <c r="V429" s="10" t="e">
        <f>VLOOKUP(AJ421,'FRC Site Data'!$B$3:$L$42,6,FALSE)</f>
        <v>#N/A</v>
      </c>
      <c r="W429" s="10" t="e">
        <f>VLOOKUP(AJ421,'FRC Site Data'!$B$3:$L$42,8,FALSE)</f>
        <v>#N/A</v>
      </c>
      <c r="X429" s="10" t="e">
        <f>VLOOKUP(AJ421,'FRC Site Data'!$B$3:$L$42,9,FALSE)</f>
        <v>#N/A</v>
      </c>
      <c r="Y429" s="10" t="e">
        <f>VLOOKUP(AJ421,'FRC Site Data'!$B$3:$L$42,10,FALSE)</f>
        <v>#N/A</v>
      </c>
      <c r="Z429" s="10" t="e">
        <f>VLOOKUP(AJ421,'FRC Site Data'!$B$3:$L$42,11,FALSE)</f>
        <v>#N/A</v>
      </c>
      <c r="AA429" s="10" t="e">
        <f>VLOOKUP(AJ421,'CIR Team Info'!$C$5:$E$44,4,FALSE)</f>
        <v>#N/A</v>
      </c>
      <c r="AB429" s="161" t="b">
        <f>ISNUMBER(VLOOKUP(AJ421,Match!$T$5:$T$10,1,FALSE))</f>
        <v>0</v>
      </c>
      <c r="AC429" s="161" t="b">
        <f>IF(AB429=TRUE,(VLOOKUP($AJ421,Match!$T$5:$U$10,2,FALSE)))</f>
        <v>0</v>
      </c>
      <c r="AD429" s="8">
        <v>3</v>
      </c>
      <c r="AE429" s="8">
        <v>2</v>
      </c>
      <c r="AF429" s="8">
        <v>2</v>
      </c>
      <c r="AG429" s="8">
        <v>1</v>
      </c>
      <c r="AH429" s="8" t="str">
        <f t="shared" ref="AH429:AH490" si="138">IF(AL421="Other","x","")</f>
        <v/>
      </c>
      <c r="AI429" s="12"/>
      <c r="AZ429" s="12"/>
      <c r="BC429" s="12"/>
      <c r="BK429" s="12"/>
    </row>
    <row r="430" spans="1:63" x14ac:dyDescent="0.25">
      <c r="A430" s="29">
        <f t="shared" si="129"/>
        <v>0</v>
      </c>
      <c r="B430" s="29">
        <f t="shared" si="123"/>
        <v>0</v>
      </c>
      <c r="C430" s="29">
        <f t="shared" si="124"/>
        <v>0</v>
      </c>
      <c r="D430" s="29">
        <f t="shared" si="125"/>
        <v>0</v>
      </c>
      <c r="E430" s="29">
        <f t="shared" si="130"/>
        <v>0</v>
      </c>
      <c r="F430" s="29">
        <f t="shared" si="131"/>
        <v>0</v>
      </c>
      <c r="G430" s="29" t="str">
        <f t="shared" si="132"/>
        <v>offensive</v>
      </c>
      <c r="H430" s="16">
        <f t="shared" si="136"/>
        <v>0</v>
      </c>
      <c r="I430" s="16">
        <f t="shared" si="137"/>
        <v>0</v>
      </c>
      <c r="J430" s="16">
        <f t="shared" si="126"/>
        <v>0</v>
      </c>
      <c r="K430" s="16">
        <f t="shared" si="133"/>
        <v>0</v>
      </c>
      <c r="L430" s="67">
        <f t="shared" si="134"/>
        <v>0</v>
      </c>
      <c r="M430" s="4">
        <f t="shared" si="127"/>
        <v>0</v>
      </c>
      <c r="N430" s="4">
        <f t="shared" si="128"/>
        <v>0</v>
      </c>
      <c r="O430" s="4">
        <f t="shared" si="135"/>
        <v>0</v>
      </c>
      <c r="P430" s="4" t="e">
        <f>VLOOKUP(AJ422,'CIR Team Info'!$C$5:$E$44,2,FALSE)</f>
        <v>#N/A</v>
      </c>
      <c r="Q430" s="4" t="e">
        <f>VLOOKUP(AJ422,'CIR Team Info'!$C$5:$E$44,3,FALSE)</f>
        <v>#N/A</v>
      </c>
      <c r="R430" s="10" t="e">
        <f>VLOOKUP(AJ422,'FRC Site Data'!$B$3:$L$42,2,FALSE)</f>
        <v>#N/A</v>
      </c>
      <c r="S430" s="10" t="e">
        <f>VLOOKUP(AJ422,'FRC Site Data'!$B$3:$L$42,3,FALSE)</f>
        <v>#N/A</v>
      </c>
      <c r="T430" s="10" t="e">
        <f>VLOOKUP(AJ422,'FRC Site Data'!$B$3:$L$42,4,FALSE)</f>
        <v>#N/A</v>
      </c>
      <c r="U430" s="10" t="e">
        <f>VLOOKUP(AJ422,'FRC Site Data'!$B$3:$L$42,5,FALSE)</f>
        <v>#N/A</v>
      </c>
      <c r="V430" s="10" t="e">
        <f>VLOOKUP(AJ422,'FRC Site Data'!$B$3:$L$42,6,FALSE)</f>
        <v>#N/A</v>
      </c>
      <c r="W430" s="10" t="e">
        <f>VLOOKUP(AJ422,'FRC Site Data'!$B$3:$L$42,8,FALSE)</f>
        <v>#N/A</v>
      </c>
      <c r="X430" s="10" t="e">
        <f>VLOOKUP(AJ422,'FRC Site Data'!$B$3:$L$42,9,FALSE)</f>
        <v>#N/A</v>
      </c>
      <c r="Y430" s="10" t="e">
        <f>VLOOKUP(AJ422,'FRC Site Data'!$B$3:$L$42,10,FALSE)</f>
        <v>#N/A</v>
      </c>
      <c r="Z430" s="10" t="e">
        <f>VLOOKUP(AJ422,'FRC Site Data'!$B$3:$L$42,11,FALSE)</f>
        <v>#N/A</v>
      </c>
      <c r="AA430" s="10" t="e">
        <f>VLOOKUP(AJ422,'CIR Team Info'!$C$5:$E$44,4,FALSE)</f>
        <v>#N/A</v>
      </c>
      <c r="AB430" s="161" t="b">
        <f>ISNUMBER(VLOOKUP(AJ422,Match!$T$5:$T$10,1,FALSE))</f>
        <v>0</v>
      </c>
      <c r="AC430" s="161" t="b">
        <f>IF(AB430=TRUE,(VLOOKUP($AJ422,Match!$T$5:$U$10,2,FALSE)))</f>
        <v>0</v>
      </c>
      <c r="AD430" s="8">
        <v>3</v>
      </c>
      <c r="AE430" s="8">
        <v>2</v>
      </c>
      <c r="AF430" s="8">
        <v>2</v>
      </c>
      <c r="AG430" s="8">
        <v>1</v>
      </c>
      <c r="AH430" s="8" t="str">
        <f t="shared" si="138"/>
        <v/>
      </c>
      <c r="AI430" s="12"/>
      <c r="AZ430" s="12"/>
      <c r="BC430" s="12"/>
      <c r="BK430" s="12"/>
    </row>
    <row r="431" spans="1:63" x14ac:dyDescent="0.25">
      <c r="A431" s="29">
        <f t="shared" si="129"/>
        <v>0</v>
      </c>
      <c r="B431" s="29">
        <f t="shared" si="123"/>
        <v>0</v>
      </c>
      <c r="C431" s="29">
        <f t="shared" si="124"/>
        <v>0</v>
      </c>
      <c r="D431" s="29">
        <f t="shared" si="125"/>
        <v>0</v>
      </c>
      <c r="E431" s="29">
        <f t="shared" si="130"/>
        <v>0</v>
      </c>
      <c r="F431" s="29">
        <f t="shared" si="131"/>
        <v>0</v>
      </c>
      <c r="G431" s="29" t="str">
        <f t="shared" si="132"/>
        <v>offensive</v>
      </c>
      <c r="H431" s="16">
        <f t="shared" si="136"/>
        <v>0</v>
      </c>
      <c r="I431" s="16">
        <f t="shared" si="137"/>
        <v>0</v>
      </c>
      <c r="J431" s="16">
        <f t="shared" si="126"/>
        <v>0</v>
      </c>
      <c r="K431" s="16">
        <f t="shared" si="133"/>
        <v>0</v>
      </c>
      <c r="L431" s="67">
        <f t="shared" si="134"/>
        <v>0</v>
      </c>
      <c r="M431" s="4">
        <f t="shared" si="127"/>
        <v>0</v>
      </c>
      <c r="N431" s="4">
        <f t="shared" si="128"/>
        <v>0</v>
      </c>
      <c r="O431" s="4">
        <f t="shared" si="135"/>
        <v>0</v>
      </c>
      <c r="P431" s="4" t="e">
        <f>VLOOKUP(AJ423,'CIR Team Info'!$C$5:$E$44,2,FALSE)</f>
        <v>#N/A</v>
      </c>
      <c r="Q431" s="4" t="e">
        <f>VLOOKUP(AJ423,'CIR Team Info'!$C$5:$E$44,3,FALSE)</f>
        <v>#N/A</v>
      </c>
      <c r="R431" s="10" t="e">
        <f>VLOOKUP(AJ423,'FRC Site Data'!$B$3:$L$42,2,FALSE)</f>
        <v>#N/A</v>
      </c>
      <c r="S431" s="10" t="e">
        <f>VLOOKUP(AJ423,'FRC Site Data'!$B$3:$L$42,3,FALSE)</f>
        <v>#N/A</v>
      </c>
      <c r="T431" s="10" t="e">
        <f>VLOOKUP(AJ423,'FRC Site Data'!$B$3:$L$42,4,FALSE)</f>
        <v>#N/A</v>
      </c>
      <c r="U431" s="10" t="e">
        <f>VLOOKUP(AJ423,'FRC Site Data'!$B$3:$L$42,5,FALSE)</f>
        <v>#N/A</v>
      </c>
      <c r="V431" s="10" t="e">
        <f>VLOOKUP(AJ423,'FRC Site Data'!$B$3:$L$42,6,FALSE)</f>
        <v>#N/A</v>
      </c>
      <c r="W431" s="10" t="e">
        <f>VLOOKUP(AJ423,'FRC Site Data'!$B$3:$L$42,8,FALSE)</f>
        <v>#N/A</v>
      </c>
      <c r="X431" s="10" t="e">
        <f>VLOOKUP(AJ423,'FRC Site Data'!$B$3:$L$42,9,FALSE)</f>
        <v>#N/A</v>
      </c>
      <c r="Y431" s="10" t="e">
        <f>VLOOKUP(AJ423,'FRC Site Data'!$B$3:$L$42,10,FALSE)</f>
        <v>#N/A</v>
      </c>
      <c r="Z431" s="10" t="e">
        <f>VLOOKUP(AJ423,'FRC Site Data'!$B$3:$L$42,11,FALSE)</f>
        <v>#N/A</v>
      </c>
      <c r="AA431" s="10" t="e">
        <f>VLOOKUP(AJ423,'CIR Team Info'!$C$5:$E$44,4,FALSE)</f>
        <v>#N/A</v>
      </c>
      <c r="AB431" s="161" t="b">
        <f>ISNUMBER(VLOOKUP(AJ423,Match!$T$5:$T$10,1,FALSE))</f>
        <v>0</v>
      </c>
      <c r="AC431" s="161" t="b">
        <f>IF(AB431=TRUE,(VLOOKUP($AJ423,Match!$T$5:$U$10,2,FALSE)))</f>
        <v>0</v>
      </c>
      <c r="AD431" s="8">
        <v>3</v>
      </c>
      <c r="AE431" s="8">
        <v>2</v>
      </c>
      <c r="AF431" s="8">
        <v>2</v>
      </c>
      <c r="AG431" s="8">
        <v>1</v>
      </c>
      <c r="AH431" s="8" t="str">
        <f t="shared" si="138"/>
        <v/>
      </c>
      <c r="AI431" s="12"/>
      <c r="AZ431" s="12"/>
      <c r="BC431" s="12"/>
      <c r="BK431" s="12"/>
    </row>
    <row r="432" spans="1:63" x14ac:dyDescent="0.25">
      <c r="A432" s="29">
        <f t="shared" si="129"/>
        <v>0</v>
      </c>
      <c r="B432" s="29">
        <f t="shared" si="123"/>
        <v>0</v>
      </c>
      <c r="C432" s="29">
        <f t="shared" si="124"/>
        <v>0</v>
      </c>
      <c r="D432" s="29">
        <f t="shared" si="125"/>
        <v>0</v>
      </c>
      <c r="E432" s="29">
        <f t="shared" si="130"/>
        <v>0</v>
      </c>
      <c r="F432" s="29">
        <f t="shared" si="131"/>
        <v>0</v>
      </c>
      <c r="G432" s="29" t="str">
        <f t="shared" si="132"/>
        <v>offensive</v>
      </c>
      <c r="H432" s="16">
        <f t="shared" si="136"/>
        <v>0</v>
      </c>
      <c r="I432" s="16">
        <f t="shared" si="137"/>
        <v>0</v>
      </c>
      <c r="J432" s="16">
        <f t="shared" si="126"/>
        <v>0</v>
      </c>
      <c r="K432" s="16">
        <f t="shared" si="133"/>
        <v>0</v>
      </c>
      <c r="L432" s="67">
        <f t="shared" si="134"/>
        <v>0</v>
      </c>
      <c r="M432" s="4">
        <f t="shared" si="127"/>
        <v>0</v>
      </c>
      <c r="N432" s="4">
        <f t="shared" si="128"/>
        <v>0</v>
      </c>
      <c r="O432" s="4">
        <f t="shared" si="135"/>
        <v>0</v>
      </c>
      <c r="P432" s="4" t="e">
        <f>VLOOKUP(AJ424,'CIR Team Info'!$C$5:$E$44,2,FALSE)</f>
        <v>#N/A</v>
      </c>
      <c r="Q432" s="4" t="e">
        <f>VLOOKUP(AJ424,'CIR Team Info'!$C$5:$E$44,3,FALSE)</f>
        <v>#N/A</v>
      </c>
      <c r="R432" s="10" t="e">
        <f>VLOOKUP(AJ424,'FRC Site Data'!$B$3:$L$42,2,FALSE)</f>
        <v>#N/A</v>
      </c>
      <c r="S432" s="10" t="e">
        <f>VLOOKUP(AJ424,'FRC Site Data'!$B$3:$L$42,3,FALSE)</f>
        <v>#N/A</v>
      </c>
      <c r="T432" s="10" t="e">
        <f>VLOOKUP(AJ424,'FRC Site Data'!$B$3:$L$42,4,FALSE)</f>
        <v>#N/A</v>
      </c>
      <c r="U432" s="10" t="e">
        <f>VLOOKUP(AJ424,'FRC Site Data'!$B$3:$L$42,5,FALSE)</f>
        <v>#N/A</v>
      </c>
      <c r="V432" s="10" t="e">
        <f>VLOOKUP(AJ424,'FRC Site Data'!$B$3:$L$42,6,FALSE)</f>
        <v>#N/A</v>
      </c>
      <c r="W432" s="10" t="e">
        <f>VLOOKUP(AJ424,'FRC Site Data'!$B$3:$L$42,8,FALSE)</f>
        <v>#N/A</v>
      </c>
      <c r="X432" s="10" t="e">
        <f>VLOOKUP(AJ424,'FRC Site Data'!$B$3:$L$42,9,FALSE)</f>
        <v>#N/A</v>
      </c>
      <c r="Y432" s="10" t="e">
        <f>VLOOKUP(AJ424,'FRC Site Data'!$B$3:$L$42,10,FALSE)</f>
        <v>#N/A</v>
      </c>
      <c r="Z432" s="10" t="e">
        <f>VLOOKUP(AJ424,'FRC Site Data'!$B$3:$L$42,11,FALSE)</f>
        <v>#N/A</v>
      </c>
      <c r="AA432" s="10" t="e">
        <f>VLOOKUP(AJ424,'CIR Team Info'!$C$5:$E$44,4,FALSE)</f>
        <v>#N/A</v>
      </c>
      <c r="AB432" s="161" t="b">
        <f>ISNUMBER(VLOOKUP(AJ424,Match!$T$5:$T$10,1,FALSE))</f>
        <v>0</v>
      </c>
      <c r="AC432" s="161" t="b">
        <f>IF(AB432=TRUE,(VLOOKUP($AJ424,Match!$T$5:$U$10,2,FALSE)))</f>
        <v>0</v>
      </c>
      <c r="AD432" s="8">
        <v>3</v>
      </c>
      <c r="AE432" s="8">
        <v>2</v>
      </c>
      <c r="AF432" s="8">
        <v>2</v>
      </c>
      <c r="AG432" s="8">
        <v>1</v>
      </c>
      <c r="AH432" s="8" t="str">
        <f t="shared" si="138"/>
        <v/>
      </c>
      <c r="AI432" s="12"/>
      <c r="AZ432" s="12"/>
      <c r="BC432" s="12"/>
      <c r="BK432" s="12"/>
    </row>
    <row r="433" spans="1:63" x14ac:dyDescent="0.25">
      <c r="A433" s="29">
        <f t="shared" si="129"/>
        <v>0</v>
      </c>
      <c r="B433" s="29">
        <f t="shared" si="123"/>
        <v>0</v>
      </c>
      <c r="C433" s="29">
        <f t="shared" si="124"/>
        <v>0</v>
      </c>
      <c r="D433" s="29">
        <f t="shared" si="125"/>
        <v>0</v>
      </c>
      <c r="E433" s="29">
        <f t="shared" si="130"/>
        <v>0</v>
      </c>
      <c r="F433" s="29">
        <f t="shared" si="131"/>
        <v>0</v>
      </c>
      <c r="G433" s="29" t="str">
        <f t="shared" si="132"/>
        <v>offensive</v>
      </c>
      <c r="H433" s="16">
        <f t="shared" si="136"/>
        <v>0</v>
      </c>
      <c r="I433" s="16">
        <f t="shared" si="137"/>
        <v>0</v>
      </c>
      <c r="J433" s="16">
        <f t="shared" si="126"/>
        <v>0</v>
      </c>
      <c r="K433" s="16">
        <f t="shared" si="133"/>
        <v>0</v>
      </c>
      <c r="L433" s="67">
        <f t="shared" si="134"/>
        <v>0</v>
      </c>
      <c r="M433" s="4">
        <f t="shared" si="127"/>
        <v>0</v>
      </c>
      <c r="N433" s="4">
        <f t="shared" si="128"/>
        <v>0</v>
      </c>
      <c r="O433" s="4">
        <f t="shared" si="135"/>
        <v>0</v>
      </c>
      <c r="P433" s="4" t="e">
        <f>VLOOKUP(AJ425,'CIR Team Info'!$C$5:$E$44,2,FALSE)</f>
        <v>#N/A</v>
      </c>
      <c r="Q433" s="4" t="e">
        <f>VLOOKUP(AJ425,'CIR Team Info'!$C$5:$E$44,3,FALSE)</f>
        <v>#N/A</v>
      </c>
      <c r="R433" s="10" t="e">
        <f>VLOOKUP(AJ425,'FRC Site Data'!$B$3:$L$42,2,FALSE)</f>
        <v>#N/A</v>
      </c>
      <c r="S433" s="10" t="e">
        <f>VLOOKUP(AJ425,'FRC Site Data'!$B$3:$L$42,3,FALSE)</f>
        <v>#N/A</v>
      </c>
      <c r="T433" s="10" t="e">
        <f>VLOOKUP(AJ425,'FRC Site Data'!$B$3:$L$42,4,FALSE)</f>
        <v>#N/A</v>
      </c>
      <c r="U433" s="10" t="e">
        <f>VLOOKUP(AJ425,'FRC Site Data'!$B$3:$L$42,5,FALSE)</f>
        <v>#N/A</v>
      </c>
      <c r="V433" s="10" t="e">
        <f>VLOOKUP(AJ425,'FRC Site Data'!$B$3:$L$42,6,FALSE)</f>
        <v>#N/A</v>
      </c>
      <c r="W433" s="10" t="e">
        <f>VLOOKUP(AJ425,'FRC Site Data'!$B$3:$L$42,8,FALSE)</f>
        <v>#N/A</v>
      </c>
      <c r="X433" s="10" t="e">
        <f>VLOOKUP(AJ425,'FRC Site Data'!$B$3:$L$42,9,FALSE)</f>
        <v>#N/A</v>
      </c>
      <c r="Y433" s="10" t="e">
        <f>VLOOKUP(AJ425,'FRC Site Data'!$B$3:$L$42,10,FALSE)</f>
        <v>#N/A</v>
      </c>
      <c r="Z433" s="10" t="e">
        <f>VLOOKUP(AJ425,'FRC Site Data'!$B$3:$L$42,11,FALSE)</f>
        <v>#N/A</v>
      </c>
      <c r="AA433" s="10" t="e">
        <f>VLOOKUP(AJ425,'CIR Team Info'!$C$5:$E$44,4,FALSE)</f>
        <v>#N/A</v>
      </c>
      <c r="AB433" s="161" t="b">
        <f>ISNUMBER(VLOOKUP(AJ425,Match!$T$5:$T$10,1,FALSE))</f>
        <v>0</v>
      </c>
      <c r="AC433" s="161" t="b">
        <f>IF(AB433=TRUE,(VLOOKUP($AJ425,Match!$T$5:$U$10,2,FALSE)))</f>
        <v>0</v>
      </c>
      <c r="AD433" s="8">
        <v>3</v>
      </c>
      <c r="AE433" s="8">
        <v>2</v>
      </c>
      <c r="AF433" s="8">
        <v>2</v>
      </c>
      <c r="AG433" s="8">
        <v>1</v>
      </c>
      <c r="AH433" s="8" t="str">
        <f t="shared" si="138"/>
        <v/>
      </c>
      <c r="AI433" s="12"/>
      <c r="AZ433" s="12"/>
      <c r="BC433" s="12"/>
      <c r="BK433" s="12"/>
    </row>
    <row r="434" spans="1:63" x14ac:dyDescent="0.25">
      <c r="A434" s="29">
        <f t="shared" si="129"/>
        <v>0</v>
      </c>
      <c r="B434" s="29">
        <f t="shared" si="123"/>
        <v>0</v>
      </c>
      <c r="C434" s="29">
        <f t="shared" si="124"/>
        <v>0</v>
      </c>
      <c r="D434" s="29">
        <f t="shared" si="125"/>
        <v>0</v>
      </c>
      <c r="E434" s="29">
        <f t="shared" si="130"/>
        <v>0</v>
      </c>
      <c r="F434" s="29">
        <f t="shared" si="131"/>
        <v>0</v>
      </c>
      <c r="G434" s="29" t="str">
        <f t="shared" si="132"/>
        <v>offensive</v>
      </c>
      <c r="H434" s="16">
        <f t="shared" si="136"/>
        <v>0</v>
      </c>
      <c r="I434" s="16">
        <f t="shared" si="137"/>
        <v>0</v>
      </c>
      <c r="J434" s="16">
        <f t="shared" si="126"/>
        <v>0</v>
      </c>
      <c r="K434" s="16">
        <f t="shared" si="133"/>
        <v>0</v>
      </c>
      <c r="L434" s="67">
        <f t="shared" si="134"/>
        <v>0</v>
      </c>
      <c r="M434" s="4">
        <f t="shared" si="127"/>
        <v>0</v>
      </c>
      <c r="N434" s="4">
        <f t="shared" si="128"/>
        <v>0</v>
      </c>
      <c r="O434" s="4">
        <f t="shared" si="135"/>
        <v>0</v>
      </c>
      <c r="P434" s="4" t="e">
        <f>VLOOKUP(AJ426,'CIR Team Info'!$C$5:$E$44,2,FALSE)</f>
        <v>#N/A</v>
      </c>
      <c r="Q434" s="4" t="e">
        <f>VLOOKUP(AJ426,'CIR Team Info'!$C$5:$E$44,3,FALSE)</f>
        <v>#N/A</v>
      </c>
      <c r="R434" s="10" t="e">
        <f>VLOOKUP(AJ426,'FRC Site Data'!$B$3:$L$42,2,FALSE)</f>
        <v>#N/A</v>
      </c>
      <c r="S434" s="10" t="e">
        <f>VLOOKUP(AJ426,'FRC Site Data'!$B$3:$L$42,3,FALSE)</f>
        <v>#N/A</v>
      </c>
      <c r="T434" s="10" t="e">
        <f>VLOOKUP(AJ426,'FRC Site Data'!$B$3:$L$42,4,FALSE)</f>
        <v>#N/A</v>
      </c>
      <c r="U434" s="10" t="e">
        <f>VLOOKUP(AJ426,'FRC Site Data'!$B$3:$L$42,5,FALSE)</f>
        <v>#N/A</v>
      </c>
      <c r="V434" s="10" t="e">
        <f>VLOOKUP(AJ426,'FRC Site Data'!$B$3:$L$42,6,FALSE)</f>
        <v>#N/A</v>
      </c>
      <c r="W434" s="10" t="e">
        <f>VLOOKUP(AJ426,'FRC Site Data'!$B$3:$L$42,8,FALSE)</f>
        <v>#N/A</v>
      </c>
      <c r="X434" s="10" t="e">
        <f>VLOOKUP(AJ426,'FRC Site Data'!$B$3:$L$42,9,FALSE)</f>
        <v>#N/A</v>
      </c>
      <c r="Y434" s="10" t="e">
        <f>VLOOKUP(AJ426,'FRC Site Data'!$B$3:$L$42,10,FALSE)</f>
        <v>#N/A</v>
      </c>
      <c r="Z434" s="10" t="e">
        <f>VLOOKUP(AJ426,'FRC Site Data'!$B$3:$L$42,11,FALSE)</f>
        <v>#N/A</v>
      </c>
      <c r="AA434" s="10" t="e">
        <f>VLOOKUP(AJ426,'CIR Team Info'!$C$5:$E$44,4,FALSE)</f>
        <v>#N/A</v>
      </c>
      <c r="AB434" s="161" t="b">
        <f>ISNUMBER(VLOOKUP(AJ426,Match!$T$5:$T$10,1,FALSE))</f>
        <v>0</v>
      </c>
      <c r="AC434" s="161" t="b">
        <f>IF(AB434=TRUE,(VLOOKUP($AJ426,Match!$T$5:$U$10,2,FALSE)))</f>
        <v>0</v>
      </c>
      <c r="AD434" s="8">
        <v>3</v>
      </c>
      <c r="AE434" s="8">
        <v>2</v>
      </c>
      <c r="AF434" s="8">
        <v>2</v>
      </c>
      <c r="AG434" s="8">
        <v>1</v>
      </c>
      <c r="AH434" s="8" t="str">
        <f t="shared" si="138"/>
        <v/>
      </c>
      <c r="AI434" s="12"/>
      <c r="AZ434" s="12"/>
      <c r="BC434" s="12"/>
      <c r="BK434" s="12"/>
    </row>
    <row r="435" spans="1:63" x14ac:dyDescent="0.25">
      <c r="A435" s="29">
        <f t="shared" si="129"/>
        <v>0</v>
      </c>
      <c r="B435" s="29">
        <f t="shared" si="123"/>
        <v>0</v>
      </c>
      <c r="C435" s="29">
        <f t="shared" si="124"/>
        <v>0</v>
      </c>
      <c r="D435" s="29">
        <f t="shared" si="125"/>
        <v>0</v>
      </c>
      <c r="E435" s="29">
        <f t="shared" si="130"/>
        <v>0</v>
      </c>
      <c r="F435" s="29">
        <f t="shared" si="131"/>
        <v>0</v>
      </c>
      <c r="G435" s="29" t="str">
        <f t="shared" si="132"/>
        <v>offensive</v>
      </c>
      <c r="H435" s="16">
        <f t="shared" si="136"/>
        <v>0</v>
      </c>
      <c r="I435" s="16">
        <f t="shared" si="137"/>
        <v>0</v>
      </c>
      <c r="J435" s="16">
        <f t="shared" si="126"/>
        <v>0</v>
      </c>
      <c r="K435" s="16">
        <f t="shared" si="133"/>
        <v>0</v>
      </c>
      <c r="L435" s="67">
        <f t="shared" si="134"/>
        <v>0</v>
      </c>
      <c r="M435" s="4">
        <f t="shared" si="127"/>
        <v>0</v>
      </c>
      <c r="N435" s="4">
        <f t="shared" si="128"/>
        <v>0</v>
      </c>
      <c r="O435" s="4">
        <f t="shared" si="135"/>
        <v>0</v>
      </c>
      <c r="P435" s="4" t="e">
        <f>VLOOKUP(AJ427,'CIR Team Info'!$C$5:$E$44,2,FALSE)</f>
        <v>#N/A</v>
      </c>
      <c r="Q435" s="4" t="e">
        <f>VLOOKUP(AJ427,'CIR Team Info'!$C$5:$E$44,3,FALSE)</f>
        <v>#N/A</v>
      </c>
      <c r="R435" s="10" t="e">
        <f>VLOOKUP(AJ427,'FRC Site Data'!$B$3:$L$42,2,FALSE)</f>
        <v>#N/A</v>
      </c>
      <c r="S435" s="10" t="e">
        <f>VLOOKUP(AJ427,'FRC Site Data'!$B$3:$L$42,3,FALSE)</f>
        <v>#N/A</v>
      </c>
      <c r="T435" s="10" t="e">
        <f>VLOOKUP(AJ427,'FRC Site Data'!$B$3:$L$42,4,FALSE)</f>
        <v>#N/A</v>
      </c>
      <c r="U435" s="10" t="e">
        <f>VLOOKUP(AJ427,'FRC Site Data'!$B$3:$L$42,5,FALSE)</f>
        <v>#N/A</v>
      </c>
      <c r="V435" s="10" t="e">
        <f>VLOOKUP(AJ427,'FRC Site Data'!$B$3:$L$42,6,FALSE)</f>
        <v>#N/A</v>
      </c>
      <c r="W435" s="10" t="e">
        <f>VLOOKUP(AJ427,'FRC Site Data'!$B$3:$L$42,8,FALSE)</f>
        <v>#N/A</v>
      </c>
      <c r="X435" s="10" t="e">
        <f>VLOOKUP(AJ427,'FRC Site Data'!$B$3:$L$42,9,FALSE)</f>
        <v>#N/A</v>
      </c>
      <c r="Y435" s="10" t="e">
        <f>VLOOKUP(AJ427,'FRC Site Data'!$B$3:$L$42,10,FALSE)</f>
        <v>#N/A</v>
      </c>
      <c r="Z435" s="10" t="e">
        <f>VLOOKUP(AJ427,'FRC Site Data'!$B$3:$L$42,11,FALSE)</f>
        <v>#N/A</v>
      </c>
      <c r="AA435" s="10" t="e">
        <f>VLOOKUP(AJ427,'CIR Team Info'!$C$5:$E$44,4,FALSE)</f>
        <v>#N/A</v>
      </c>
      <c r="AB435" s="161" t="b">
        <f>ISNUMBER(VLOOKUP(AJ427,Match!$T$5:$T$10,1,FALSE))</f>
        <v>0</v>
      </c>
      <c r="AC435" s="161" t="b">
        <f>IF(AB435=TRUE,(VLOOKUP($AJ427,Match!$T$5:$U$10,2,FALSE)))</f>
        <v>0</v>
      </c>
      <c r="AD435" s="8">
        <v>3</v>
      </c>
      <c r="AE435" s="8">
        <v>2</v>
      </c>
      <c r="AF435" s="8">
        <v>2</v>
      </c>
      <c r="AG435" s="8">
        <v>1</v>
      </c>
      <c r="AH435" s="8" t="str">
        <f t="shared" si="138"/>
        <v/>
      </c>
      <c r="AI435" s="12"/>
      <c r="AZ435" s="12"/>
      <c r="BC435" s="12"/>
      <c r="BK435" s="12"/>
    </row>
    <row r="436" spans="1:63" x14ac:dyDescent="0.25">
      <c r="A436" s="29">
        <f t="shared" si="129"/>
        <v>0</v>
      </c>
      <c r="B436" s="29">
        <f t="shared" si="123"/>
        <v>0</v>
      </c>
      <c r="C436" s="29">
        <f t="shared" si="124"/>
        <v>0</v>
      </c>
      <c r="D436" s="29">
        <f t="shared" si="125"/>
        <v>0</v>
      </c>
      <c r="E436" s="29">
        <f t="shared" si="130"/>
        <v>0</v>
      </c>
      <c r="F436" s="29">
        <f t="shared" si="131"/>
        <v>0</v>
      </c>
      <c r="G436" s="29" t="str">
        <f t="shared" si="132"/>
        <v>offensive</v>
      </c>
      <c r="H436" s="16">
        <f t="shared" si="136"/>
        <v>0</v>
      </c>
      <c r="I436" s="16">
        <f t="shared" si="137"/>
        <v>0</v>
      </c>
      <c r="J436" s="16">
        <f t="shared" si="126"/>
        <v>0</v>
      </c>
      <c r="K436" s="16">
        <f t="shared" si="133"/>
        <v>0</v>
      </c>
      <c r="L436" s="67">
        <f t="shared" si="134"/>
        <v>0</v>
      </c>
      <c r="M436" s="4">
        <f t="shared" si="127"/>
        <v>0</v>
      </c>
      <c r="N436" s="4">
        <f t="shared" si="128"/>
        <v>0</v>
      </c>
      <c r="O436" s="4">
        <f t="shared" si="135"/>
        <v>0</v>
      </c>
      <c r="P436" s="4" t="e">
        <f>VLOOKUP(AJ428,'CIR Team Info'!$C$5:$E$44,2,FALSE)</f>
        <v>#N/A</v>
      </c>
      <c r="Q436" s="4" t="e">
        <f>VLOOKUP(AJ428,'CIR Team Info'!$C$5:$E$44,3,FALSE)</f>
        <v>#N/A</v>
      </c>
      <c r="R436" s="10" t="e">
        <f>VLOOKUP(AJ428,'FRC Site Data'!$B$3:$L$42,2,FALSE)</f>
        <v>#N/A</v>
      </c>
      <c r="S436" s="10" t="e">
        <f>VLOOKUP(AJ428,'FRC Site Data'!$B$3:$L$42,3,FALSE)</f>
        <v>#N/A</v>
      </c>
      <c r="T436" s="10" t="e">
        <f>VLOOKUP(AJ428,'FRC Site Data'!$B$3:$L$42,4,FALSE)</f>
        <v>#N/A</v>
      </c>
      <c r="U436" s="10" t="e">
        <f>VLOOKUP(AJ428,'FRC Site Data'!$B$3:$L$42,5,FALSE)</f>
        <v>#N/A</v>
      </c>
      <c r="V436" s="10" t="e">
        <f>VLOOKUP(AJ428,'FRC Site Data'!$B$3:$L$42,6,FALSE)</f>
        <v>#N/A</v>
      </c>
      <c r="W436" s="10" t="e">
        <f>VLOOKUP(AJ428,'FRC Site Data'!$B$3:$L$42,8,FALSE)</f>
        <v>#N/A</v>
      </c>
      <c r="X436" s="10" t="e">
        <f>VLOOKUP(AJ428,'FRC Site Data'!$B$3:$L$42,9,FALSE)</f>
        <v>#N/A</v>
      </c>
      <c r="Y436" s="10" t="e">
        <f>VLOOKUP(AJ428,'FRC Site Data'!$B$3:$L$42,10,FALSE)</f>
        <v>#N/A</v>
      </c>
      <c r="Z436" s="10" t="e">
        <f>VLOOKUP(AJ428,'FRC Site Data'!$B$3:$L$42,11,FALSE)</f>
        <v>#N/A</v>
      </c>
      <c r="AA436" s="10" t="e">
        <f>VLOOKUP(AJ428,'CIR Team Info'!$C$5:$E$44,4,FALSE)</f>
        <v>#N/A</v>
      </c>
      <c r="AB436" s="161" t="b">
        <f>ISNUMBER(VLOOKUP(AJ428,Match!$T$5:$T$10,1,FALSE))</f>
        <v>0</v>
      </c>
      <c r="AC436" s="161" t="b">
        <f>IF(AB436=TRUE,(VLOOKUP($AJ428,Match!$T$5:$U$10,2,FALSE)))</f>
        <v>0</v>
      </c>
      <c r="AD436" s="8">
        <v>3</v>
      </c>
      <c r="AE436" s="8">
        <v>2</v>
      </c>
      <c r="AF436" s="8">
        <v>2</v>
      </c>
      <c r="AG436" s="8">
        <v>1</v>
      </c>
      <c r="AH436" s="8" t="str">
        <f t="shared" si="138"/>
        <v/>
      </c>
      <c r="AI436" s="12"/>
      <c r="AZ436" s="12"/>
      <c r="BC436" s="12"/>
      <c r="BK436" s="12"/>
    </row>
    <row r="437" spans="1:63" x14ac:dyDescent="0.25">
      <c r="A437" s="29">
        <f t="shared" si="129"/>
        <v>0</v>
      </c>
      <c r="B437" s="29">
        <f t="shared" si="123"/>
        <v>0</v>
      </c>
      <c r="C437" s="29">
        <f t="shared" si="124"/>
        <v>0</v>
      </c>
      <c r="D437" s="29">
        <f t="shared" si="125"/>
        <v>0</v>
      </c>
      <c r="E437" s="29">
        <f t="shared" si="130"/>
        <v>0</v>
      </c>
      <c r="F437" s="29">
        <f t="shared" si="131"/>
        <v>0</v>
      </c>
      <c r="G437" s="29" t="str">
        <f t="shared" si="132"/>
        <v>offensive</v>
      </c>
      <c r="H437" s="16">
        <f t="shared" si="136"/>
        <v>0</v>
      </c>
      <c r="I437" s="16">
        <f t="shared" si="137"/>
        <v>0</v>
      </c>
      <c r="J437" s="16">
        <f t="shared" si="126"/>
        <v>0</v>
      </c>
      <c r="K437" s="16">
        <f t="shared" si="133"/>
        <v>0</v>
      </c>
      <c r="L437" s="67">
        <f t="shared" si="134"/>
        <v>0</v>
      </c>
      <c r="M437" s="4">
        <f t="shared" si="127"/>
        <v>0</v>
      </c>
      <c r="N437" s="4">
        <f t="shared" si="128"/>
        <v>0</v>
      </c>
      <c r="O437" s="4">
        <f t="shared" si="135"/>
        <v>0</v>
      </c>
      <c r="P437" s="4" t="e">
        <f>VLOOKUP(AJ429,'CIR Team Info'!$C$5:$E$44,2,FALSE)</f>
        <v>#N/A</v>
      </c>
      <c r="Q437" s="4" t="e">
        <f>VLOOKUP(AJ429,'CIR Team Info'!$C$5:$E$44,3,FALSE)</f>
        <v>#N/A</v>
      </c>
      <c r="R437" s="10" t="e">
        <f>VLOOKUP(AJ429,'FRC Site Data'!$B$3:$L$42,2,FALSE)</f>
        <v>#N/A</v>
      </c>
      <c r="S437" s="10" t="e">
        <f>VLOOKUP(AJ429,'FRC Site Data'!$B$3:$L$42,3,FALSE)</f>
        <v>#N/A</v>
      </c>
      <c r="T437" s="10" t="e">
        <f>VLOOKUP(AJ429,'FRC Site Data'!$B$3:$L$42,4,FALSE)</f>
        <v>#N/A</v>
      </c>
      <c r="U437" s="10" t="e">
        <f>VLOOKUP(AJ429,'FRC Site Data'!$B$3:$L$42,5,FALSE)</f>
        <v>#N/A</v>
      </c>
      <c r="V437" s="10" t="e">
        <f>VLOOKUP(AJ429,'FRC Site Data'!$B$3:$L$42,6,FALSE)</f>
        <v>#N/A</v>
      </c>
      <c r="W437" s="10" t="e">
        <f>VLOOKUP(AJ429,'FRC Site Data'!$B$3:$L$42,8,FALSE)</f>
        <v>#N/A</v>
      </c>
      <c r="X437" s="10" t="e">
        <f>VLOOKUP(AJ429,'FRC Site Data'!$B$3:$L$42,9,FALSE)</f>
        <v>#N/A</v>
      </c>
      <c r="Y437" s="10" t="e">
        <f>VLOOKUP(AJ429,'FRC Site Data'!$B$3:$L$42,10,FALSE)</f>
        <v>#N/A</v>
      </c>
      <c r="Z437" s="10" t="e">
        <f>VLOOKUP(AJ429,'FRC Site Data'!$B$3:$L$42,11,FALSE)</f>
        <v>#N/A</v>
      </c>
      <c r="AA437" s="10" t="e">
        <f>VLOOKUP(AJ429,'CIR Team Info'!$C$5:$E$44,4,FALSE)</f>
        <v>#N/A</v>
      </c>
      <c r="AB437" s="161" t="b">
        <f>ISNUMBER(VLOOKUP(AJ429,Match!$T$5:$T$10,1,FALSE))</f>
        <v>0</v>
      </c>
      <c r="AC437" s="161" t="b">
        <f>IF(AB437=TRUE,(VLOOKUP($AJ429,Match!$T$5:$U$10,2,FALSE)))</f>
        <v>0</v>
      </c>
      <c r="AD437" s="8">
        <v>3</v>
      </c>
      <c r="AE437" s="8">
        <v>2</v>
      </c>
      <c r="AF437" s="8">
        <v>2</v>
      </c>
      <c r="AG437" s="8">
        <v>1</v>
      </c>
      <c r="AH437" s="8" t="str">
        <f t="shared" si="138"/>
        <v/>
      </c>
      <c r="AI437" s="12"/>
      <c r="AZ437" s="12"/>
      <c r="BC437" s="12"/>
      <c r="BK437" s="12"/>
    </row>
    <row r="438" spans="1:63" x14ac:dyDescent="0.25">
      <c r="A438" s="29">
        <f t="shared" si="129"/>
        <v>0</v>
      </c>
      <c r="B438" s="29">
        <f t="shared" si="123"/>
        <v>0</v>
      </c>
      <c r="C438" s="29">
        <f t="shared" si="124"/>
        <v>0</v>
      </c>
      <c r="D438" s="29">
        <f t="shared" si="125"/>
        <v>0</v>
      </c>
      <c r="E438" s="29">
        <f t="shared" si="130"/>
        <v>0</v>
      </c>
      <c r="F438" s="29">
        <f t="shared" si="131"/>
        <v>0</v>
      </c>
      <c r="G438" s="29" t="str">
        <f t="shared" si="132"/>
        <v>offensive</v>
      </c>
      <c r="H438" s="16">
        <f t="shared" si="136"/>
        <v>0</v>
      </c>
      <c r="I438" s="16">
        <f t="shared" si="137"/>
        <v>0</v>
      </c>
      <c r="J438" s="16">
        <f t="shared" si="126"/>
        <v>0</v>
      </c>
      <c r="K438" s="16">
        <f t="shared" si="133"/>
        <v>0</v>
      </c>
      <c r="L438" s="67">
        <f t="shared" si="134"/>
        <v>0</v>
      </c>
      <c r="M438" s="4">
        <f t="shared" si="127"/>
        <v>0</v>
      </c>
      <c r="N438" s="4">
        <f t="shared" si="128"/>
        <v>0</v>
      </c>
      <c r="O438" s="4">
        <f t="shared" si="135"/>
        <v>0</v>
      </c>
      <c r="P438" s="4" t="e">
        <f>VLOOKUP(AJ430,'CIR Team Info'!$C$5:$E$44,2,FALSE)</f>
        <v>#N/A</v>
      </c>
      <c r="Q438" s="4" t="e">
        <f>VLOOKUP(AJ430,'CIR Team Info'!$C$5:$E$44,3,FALSE)</f>
        <v>#N/A</v>
      </c>
      <c r="R438" s="10" t="e">
        <f>VLOOKUP(AJ430,'FRC Site Data'!$B$3:$L$42,2,FALSE)</f>
        <v>#N/A</v>
      </c>
      <c r="S438" s="10" t="e">
        <f>VLOOKUP(AJ430,'FRC Site Data'!$B$3:$L$42,3,FALSE)</f>
        <v>#N/A</v>
      </c>
      <c r="T438" s="10" t="e">
        <f>VLOOKUP(AJ430,'FRC Site Data'!$B$3:$L$42,4,FALSE)</f>
        <v>#N/A</v>
      </c>
      <c r="U438" s="10" t="e">
        <f>VLOOKUP(AJ430,'FRC Site Data'!$B$3:$L$42,5,FALSE)</f>
        <v>#N/A</v>
      </c>
      <c r="V438" s="10" t="e">
        <f>VLOOKUP(AJ430,'FRC Site Data'!$B$3:$L$42,6,FALSE)</f>
        <v>#N/A</v>
      </c>
      <c r="W438" s="10" t="e">
        <f>VLOOKUP(AJ430,'FRC Site Data'!$B$3:$L$42,8,FALSE)</f>
        <v>#N/A</v>
      </c>
      <c r="X438" s="10" t="e">
        <f>VLOOKUP(AJ430,'FRC Site Data'!$B$3:$L$42,9,FALSE)</f>
        <v>#N/A</v>
      </c>
      <c r="Y438" s="10" t="e">
        <f>VLOOKUP(AJ430,'FRC Site Data'!$B$3:$L$42,10,FALSE)</f>
        <v>#N/A</v>
      </c>
      <c r="Z438" s="10" t="e">
        <f>VLOOKUP(AJ430,'FRC Site Data'!$B$3:$L$42,11,FALSE)</f>
        <v>#N/A</v>
      </c>
      <c r="AA438" s="10" t="e">
        <f>VLOOKUP(AJ430,'CIR Team Info'!$C$5:$E$44,4,FALSE)</f>
        <v>#N/A</v>
      </c>
      <c r="AB438" s="161" t="b">
        <f>ISNUMBER(VLOOKUP(AJ430,Match!$T$5:$T$10,1,FALSE))</f>
        <v>0</v>
      </c>
      <c r="AC438" s="161" t="b">
        <f>IF(AB438=TRUE,(VLOOKUP($AJ430,Match!$T$5:$U$10,2,FALSE)))</f>
        <v>0</v>
      </c>
      <c r="AD438" s="8">
        <v>3</v>
      </c>
      <c r="AE438" s="8">
        <v>2</v>
      </c>
      <c r="AF438" s="8">
        <v>2</v>
      </c>
      <c r="AG438" s="8">
        <v>1</v>
      </c>
      <c r="AH438" s="8" t="str">
        <f t="shared" si="138"/>
        <v/>
      </c>
      <c r="AI438" s="12"/>
      <c r="AZ438" s="12"/>
      <c r="BC438" s="12"/>
      <c r="BK438" s="12"/>
    </row>
    <row r="439" spans="1:63" x14ac:dyDescent="0.25">
      <c r="A439" s="29">
        <f t="shared" si="129"/>
        <v>0</v>
      </c>
      <c r="B439" s="29">
        <f t="shared" si="123"/>
        <v>0</v>
      </c>
      <c r="C439" s="29">
        <f t="shared" si="124"/>
        <v>0</v>
      </c>
      <c r="D439" s="29">
        <f t="shared" si="125"/>
        <v>0</v>
      </c>
      <c r="E439" s="29">
        <f t="shared" si="130"/>
        <v>0</v>
      </c>
      <c r="F439" s="29">
        <f t="shared" si="131"/>
        <v>0</v>
      </c>
      <c r="G439" s="29" t="str">
        <f t="shared" si="132"/>
        <v>offensive</v>
      </c>
      <c r="H439" s="16">
        <f t="shared" si="136"/>
        <v>0</v>
      </c>
      <c r="I439" s="16">
        <f t="shared" si="137"/>
        <v>0</v>
      </c>
      <c r="J439" s="16">
        <f t="shared" si="126"/>
        <v>0</v>
      </c>
      <c r="K439" s="16">
        <f t="shared" si="133"/>
        <v>0</v>
      </c>
      <c r="L439" s="67">
        <f t="shared" si="134"/>
        <v>0</v>
      </c>
      <c r="M439" s="4">
        <f t="shared" si="127"/>
        <v>0</v>
      </c>
      <c r="N439" s="4">
        <f t="shared" si="128"/>
        <v>0</v>
      </c>
      <c r="O439" s="4">
        <f t="shared" si="135"/>
        <v>0</v>
      </c>
      <c r="P439" s="4" t="e">
        <f>VLOOKUP(AJ431,'CIR Team Info'!$C$5:$E$44,2,FALSE)</f>
        <v>#N/A</v>
      </c>
      <c r="Q439" s="4" t="e">
        <f>VLOOKUP(AJ431,'CIR Team Info'!$C$5:$E$44,3,FALSE)</f>
        <v>#N/A</v>
      </c>
      <c r="R439" s="10" t="e">
        <f>VLOOKUP(AJ431,'FRC Site Data'!$B$3:$L$42,2,FALSE)</f>
        <v>#N/A</v>
      </c>
      <c r="S439" s="10" t="e">
        <f>VLOOKUP(AJ431,'FRC Site Data'!$B$3:$L$42,3,FALSE)</f>
        <v>#N/A</v>
      </c>
      <c r="T439" s="10" t="e">
        <f>VLOOKUP(AJ431,'FRC Site Data'!$B$3:$L$42,4,FALSE)</f>
        <v>#N/A</v>
      </c>
      <c r="U439" s="10" t="e">
        <f>VLOOKUP(AJ431,'FRC Site Data'!$B$3:$L$42,5,FALSE)</f>
        <v>#N/A</v>
      </c>
      <c r="V439" s="10" t="e">
        <f>VLOOKUP(AJ431,'FRC Site Data'!$B$3:$L$42,6,FALSE)</f>
        <v>#N/A</v>
      </c>
      <c r="W439" s="10" t="e">
        <f>VLOOKUP(AJ431,'FRC Site Data'!$B$3:$L$42,8,FALSE)</f>
        <v>#N/A</v>
      </c>
      <c r="X439" s="10" t="e">
        <f>VLOOKUP(AJ431,'FRC Site Data'!$B$3:$L$42,9,FALSE)</f>
        <v>#N/A</v>
      </c>
      <c r="Y439" s="10" t="e">
        <f>VLOOKUP(AJ431,'FRC Site Data'!$B$3:$L$42,10,FALSE)</f>
        <v>#N/A</v>
      </c>
      <c r="Z439" s="10" t="e">
        <f>VLOOKUP(AJ431,'FRC Site Data'!$B$3:$L$42,11,FALSE)</f>
        <v>#N/A</v>
      </c>
      <c r="AA439" s="10" t="e">
        <f>VLOOKUP(AJ431,'CIR Team Info'!$C$5:$E$44,4,FALSE)</f>
        <v>#N/A</v>
      </c>
      <c r="AB439" s="161" t="b">
        <f>ISNUMBER(VLOOKUP(AJ431,Match!$T$5:$T$10,1,FALSE))</f>
        <v>0</v>
      </c>
      <c r="AC439" s="161" t="b">
        <f>IF(AB439=TRUE,(VLOOKUP($AJ431,Match!$T$5:$U$10,2,FALSE)))</f>
        <v>0</v>
      </c>
      <c r="AD439" s="8">
        <v>3</v>
      </c>
      <c r="AE439" s="8">
        <v>2</v>
      </c>
      <c r="AF439" s="8">
        <v>2</v>
      </c>
      <c r="AG439" s="8">
        <v>1</v>
      </c>
      <c r="AH439" s="8" t="str">
        <f t="shared" si="138"/>
        <v/>
      </c>
      <c r="AI439" s="12"/>
      <c r="AZ439" s="12"/>
      <c r="BC439" s="12"/>
      <c r="BK439" s="12"/>
    </row>
    <row r="440" spans="1:63" x14ac:dyDescent="0.25">
      <c r="A440" s="29">
        <f t="shared" si="129"/>
        <v>0</v>
      </c>
      <c r="B440" s="29">
        <f t="shared" si="123"/>
        <v>0</v>
      </c>
      <c r="C440" s="29">
        <f t="shared" si="124"/>
        <v>0</v>
      </c>
      <c r="D440" s="29">
        <f t="shared" si="125"/>
        <v>0</v>
      </c>
      <c r="E440" s="29">
        <f t="shared" si="130"/>
        <v>0</v>
      </c>
      <c r="F440" s="29">
        <f t="shared" si="131"/>
        <v>0</v>
      </c>
      <c r="G440" s="29" t="str">
        <f t="shared" si="132"/>
        <v>offensive</v>
      </c>
      <c r="H440" s="16">
        <f t="shared" si="136"/>
        <v>0</v>
      </c>
      <c r="I440" s="16">
        <f t="shared" si="137"/>
        <v>0</v>
      </c>
      <c r="J440" s="16">
        <f t="shared" si="126"/>
        <v>0</v>
      </c>
      <c r="K440" s="16">
        <f t="shared" si="133"/>
        <v>0</v>
      </c>
      <c r="L440" s="67">
        <f t="shared" si="134"/>
        <v>0</v>
      </c>
      <c r="M440" s="4">
        <f t="shared" si="127"/>
        <v>0</v>
      </c>
      <c r="N440" s="4">
        <f t="shared" si="128"/>
        <v>0</v>
      </c>
      <c r="O440" s="4">
        <f t="shared" si="135"/>
        <v>0</v>
      </c>
      <c r="P440" s="4" t="e">
        <f>VLOOKUP(AJ432,'CIR Team Info'!$C$5:$E$44,2,FALSE)</f>
        <v>#N/A</v>
      </c>
      <c r="Q440" s="4" t="e">
        <f>VLOOKUP(AJ432,'CIR Team Info'!$C$5:$E$44,3,FALSE)</f>
        <v>#N/A</v>
      </c>
      <c r="R440" s="10" t="e">
        <f>VLOOKUP(AJ432,'FRC Site Data'!$B$3:$L$42,2,FALSE)</f>
        <v>#N/A</v>
      </c>
      <c r="S440" s="10" t="e">
        <f>VLOOKUP(AJ432,'FRC Site Data'!$B$3:$L$42,3,FALSE)</f>
        <v>#N/A</v>
      </c>
      <c r="T440" s="10" t="e">
        <f>VLOOKUP(AJ432,'FRC Site Data'!$B$3:$L$42,4,FALSE)</f>
        <v>#N/A</v>
      </c>
      <c r="U440" s="10" t="e">
        <f>VLOOKUP(AJ432,'FRC Site Data'!$B$3:$L$42,5,FALSE)</f>
        <v>#N/A</v>
      </c>
      <c r="V440" s="10" t="e">
        <f>VLOOKUP(AJ432,'FRC Site Data'!$B$3:$L$42,6,FALSE)</f>
        <v>#N/A</v>
      </c>
      <c r="W440" s="10" t="e">
        <f>VLOOKUP(AJ432,'FRC Site Data'!$B$3:$L$42,8,FALSE)</f>
        <v>#N/A</v>
      </c>
      <c r="X440" s="10" t="e">
        <f>VLOOKUP(AJ432,'FRC Site Data'!$B$3:$L$42,9,FALSE)</f>
        <v>#N/A</v>
      </c>
      <c r="Y440" s="10" t="e">
        <f>VLOOKUP(AJ432,'FRC Site Data'!$B$3:$L$42,10,FALSE)</f>
        <v>#N/A</v>
      </c>
      <c r="Z440" s="10" t="e">
        <f>VLOOKUP(AJ432,'FRC Site Data'!$B$3:$L$42,11,FALSE)</f>
        <v>#N/A</v>
      </c>
      <c r="AA440" s="10" t="e">
        <f>VLOOKUP(AJ432,'CIR Team Info'!$C$5:$E$44,4,FALSE)</f>
        <v>#N/A</v>
      </c>
      <c r="AB440" s="161" t="b">
        <f>ISNUMBER(VLOOKUP(AJ432,Match!$T$5:$T$10,1,FALSE))</f>
        <v>0</v>
      </c>
      <c r="AC440" s="161" t="b">
        <f>IF(AB440=TRUE,(VLOOKUP($AJ432,Match!$T$5:$U$10,2,FALSE)))</f>
        <v>0</v>
      </c>
      <c r="AD440" s="8">
        <v>3</v>
      </c>
      <c r="AE440" s="8">
        <v>2</v>
      </c>
      <c r="AF440" s="8">
        <v>2</v>
      </c>
      <c r="AG440" s="8">
        <v>1</v>
      </c>
      <c r="AH440" s="8" t="str">
        <f t="shared" si="138"/>
        <v/>
      </c>
      <c r="AI440" s="12"/>
      <c r="AZ440" s="12"/>
      <c r="BC440" s="12"/>
      <c r="BK440" s="12"/>
    </row>
    <row r="441" spans="1:63" x14ac:dyDescent="0.25">
      <c r="A441" s="29">
        <f t="shared" si="129"/>
        <v>0</v>
      </c>
      <c r="B441" s="29">
        <f t="shared" si="123"/>
        <v>0</v>
      </c>
      <c r="C441" s="29">
        <f t="shared" si="124"/>
        <v>0</v>
      </c>
      <c r="D441" s="29">
        <f t="shared" si="125"/>
        <v>0</v>
      </c>
      <c r="E441" s="29">
        <f t="shared" si="130"/>
        <v>0</v>
      </c>
      <c r="F441" s="29">
        <f t="shared" si="131"/>
        <v>0</v>
      </c>
      <c r="G441" s="29" t="str">
        <f t="shared" si="132"/>
        <v>offensive</v>
      </c>
      <c r="H441" s="16">
        <f t="shared" si="136"/>
        <v>0</v>
      </c>
      <c r="I441" s="16">
        <f t="shared" si="137"/>
        <v>0</v>
      </c>
      <c r="J441" s="16">
        <f t="shared" si="126"/>
        <v>0</v>
      </c>
      <c r="K441" s="16">
        <f t="shared" si="133"/>
        <v>0</v>
      </c>
      <c r="L441" s="67">
        <f t="shared" si="134"/>
        <v>0</v>
      </c>
      <c r="M441" s="4">
        <f t="shared" si="127"/>
        <v>0</v>
      </c>
      <c r="N441" s="4">
        <f t="shared" si="128"/>
        <v>0</v>
      </c>
      <c r="O441" s="4">
        <f t="shared" si="135"/>
        <v>0</v>
      </c>
      <c r="P441" s="4" t="e">
        <f>VLOOKUP(AJ433,'CIR Team Info'!$C$5:$E$44,2,FALSE)</f>
        <v>#N/A</v>
      </c>
      <c r="Q441" s="4" t="e">
        <f>VLOOKUP(AJ433,'CIR Team Info'!$C$5:$E$44,3,FALSE)</f>
        <v>#N/A</v>
      </c>
      <c r="R441" s="10" t="e">
        <f>VLOOKUP(AJ433,'FRC Site Data'!$B$3:$L$42,2,FALSE)</f>
        <v>#N/A</v>
      </c>
      <c r="S441" s="10" t="e">
        <f>VLOOKUP(AJ433,'FRC Site Data'!$B$3:$L$42,3,FALSE)</f>
        <v>#N/A</v>
      </c>
      <c r="T441" s="10" t="e">
        <f>VLOOKUP(AJ433,'FRC Site Data'!$B$3:$L$42,4,FALSE)</f>
        <v>#N/A</v>
      </c>
      <c r="U441" s="10" t="e">
        <f>VLOOKUP(AJ433,'FRC Site Data'!$B$3:$L$42,5,FALSE)</f>
        <v>#N/A</v>
      </c>
      <c r="V441" s="10" t="e">
        <f>VLOOKUP(AJ433,'FRC Site Data'!$B$3:$L$42,6,FALSE)</f>
        <v>#N/A</v>
      </c>
      <c r="W441" s="10" t="e">
        <f>VLOOKUP(AJ433,'FRC Site Data'!$B$3:$L$42,8,FALSE)</f>
        <v>#N/A</v>
      </c>
      <c r="X441" s="10" t="e">
        <f>VLOOKUP(AJ433,'FRC Site Data'!$B$3:$L$42,9,FALSE)</f>
        <v>#N/A</v>
      </c>
      <c r="Y441" s="10" t="e">
        <f>VLOOKUP(AJ433,'FRC Site Data'!$B$3:$L$42,10,FALSE)</f>
        <v>#N/A</v>
      </c>
      <c r="Z441" s="10" t="e">
        <f>VLOOKUP(AJ433,'FRC Site Data'!$B$3:$L$42,11,FALSE)</f>
        <v>#N/A</v>
      </c>
      <c r="AA441" s="10" t="e">
        <f>VLOOKUP(AJ433,'CIR Team Info'!$C$5:$E$44,4,FALSE)</f>
        <v>#N/A</v>
      </c>
      <c r="AB441" s="161" t="b">
        <f>ISNUMBER(VLOOKUP(AJ433,Match!$T$5:$T$10,1,FALSE))</f>
        <v>0</v>
      </c>
      <c r="AC441" s="161" t="b">
        <f>IF(AB441=TRUE,(VLOOKUP($AJ433,Match!$T$5:$U$10,2,FALSE)))</f>
        <v>0</v>
      </c>
      <c r="AD441" s="8">
        <v>3</v>
      </c>
      <c r="AE441" s="8">
        <v>2</v>
      </c>
      <c r="AF441" s="8">
        <v>2</v>
      </c>
      <c r="AG441" s="8">
        <v>1</v>
      </c>
      <c r="AH441" s="8" t="str">
        <f t="shared" si="138"/>
        <v/>
      </c>
      <c r="AI441" s="12"/>
      <c r="AZ441" s="12"/>
      <c r="BC441" s="12"/>
      <c r="BK441" s="12"/>
    </row>
    <row r="442" spans="1:63" x14ac:dyDescent="0.25">
      <c r="A442" s="29">
        <f t="shared" si="129"/>
        <v>0</v>
      </c>
      <c r="B442" s="29">
        <f t="shared" si="123"/>
        <v>0</v>
      </c>
      <c r="C442" s="29">
        <f t="shared" si="124"/>
        <v>0</v>
      </c>
      <c r="D442" s="29">
        <f t="shared" si="125"/>
        <v>0</v>
      </c>
      <c r="E442" s="29">
        <f t="shared" si="130"/>
        <v>0</v>
      </c>
      <c r="F442" s="29">
        <f t="shared" si="131"/>
        <v>0</v>
      </c>
      <c r="G442" s="29" t="str">
        <f t="shared" si="132"/>
        <v>offensive</v>
      </c>
      <c r="H442" s="16">
        <f t="shared" si="136"/>
        <v>0</v>
      </c>
      <c r="I442" s="16">
        <f t="shared" si="137"/>
        <v>0</v>
      </c>
      <c r="J442" s="16">
        <f t="shared" si="126"/>
        <v>0</v>
      </c>
      <c r="K442" s="16">
        <f t="shared" si="133"/>
        <v>0</v>
      </c>
      <c r="L442" s="67">
        <f t="shared" si="134"/>
        <v>0</v>
      </c>
      <c r="M442" s="4">
        <f t="shared" si="127"/>
        <v>0</v>
      </c>
      <c r="N442" s="4">
        <f t="shared" si="128"/>
        <v>0</v>
      </c>
      <c r="O442" s="4">
        <f t="shared" si="135"/>
        <v>0</v>
      </c>
      <c r="P442" s="4" t="e">
        <f>VLOOKUP(AJ434,'CIR Team Info'!$C$5:$E$44,2,FALSE)</f>
        <v>#N/A</v>
      </c>
      <c r="Q442" s="4" t="e">
        <f>VLOOKUP(AJ434,'CIR Team Info'!$C$5:$E$44,3,FALSE)</f>
        <v>#N/A</v>
      </c>
      <c r="R442" s="10" t="e">
        <f>VLOOKUP(AJ434,'FRC Site Data'!$B$3:$L$42,2,FALSE)</f>
        <v>#N/A</v>
      </c>
      <c r="S442" s="10" t="e">
        <f>VLOOKUP(AJ434,'FRC Site Data'!$B$3:$L$42,3,FALSE)</f>
        <v>#N/A</v>
      </c>
      <c r="T442" s="10" t="e">
        <f>VLOOKUP(AJ434,'FRC Site Data'!$B$3:$L$42,4,FALSE)</f>
        <v>#N/A</v>
      </c>
      <c r="U442" s="10" t="e">
        <f>VLOOKUP(AJ434,'FRC Site Data'!$B$3:$L$42,5,FALSE)</f>
        <v>#N/A</v>
      </c>
      <c r="V442" s="10" t="e">
        <f>VLOOKUP(AJ434,'FRC Site Data'!$B$3:$L$42,6,FALSE)</f>
        <v>#N/A</v>
      </c>
      <c r="W442" s="10" t="e">
        <f>VLOOKUP(AJ434,'FRC Site Data'!$B$3:$L$42,8,FALSE)</f>
        <v>#N/A</v>
      </c>
      <c r="X442" s="10" t="e">
        <f>VLOOKUP(AJ434,'FRC Site Data'!$B$3:$L$42,9,FALSE)</f>
        <v>#N/A</v>
      </c>
      <c r="Y442" s="10" t="e">
        <f>VLOOKUP(AJ434,'FRC Site Data'!$B$3:$L$42,10,FALSE)</f>
        <v>#N/A</v>
      </c>
      <c r="Z442" s="10" t="e">
        <f>VLOOKUP(AJ434,'FRC Site Data'!$B$3:$L$42,11,FALSE)</f>
        <v>#N/A</v>
      </c>
      <c r="AA442" s="10" t="e">
        <f>VLOOKUP(AJ434,'CIR Team Info'!$C$5:$E$44,4,FALSE)</f>
        <v>#N/A</v>
      </c>
      <c r="AB442" s="161" t="b">
        <f>ISNUMBER(VLOOKUP(AJ434,Match!$T$5:$T$10,1,FALSE))</f>
        <v>0</v>
      </c>
      <c r="AC442" s="161" t="b">
        <f>IF(AB442=TRUE,(VLOOKUP($AJ434,Match!$T$5:$U$10,2,FALSE)))</f>
        <v>0</v>
      </c>
      <c r="AD442" s="8">
        <v>3</v>
      </c>
      <c r="AE442" s="8">
        <v>2</v>
      </c>
      <c r="AF442" s="8">
        <v>2</v>
      </c>
      <c r="AG442" s="8">
        <v>1</v>
      </c>
      <c r="AH442" s="8" t="str">
        <f t="shared" si="138"/>
        <v/>
      </c>
      <c r="AI442" s="12"/>
      <c r="AZ442" s="12"/>
      <c r="BC442" s="12"/>
      <c r="BK442" s="12"/>
    </row>
    <row r="443" spans="1:63" x14ac:dyDescent="0.25">
      <c r="A443" s="29">
        <f t="shared" si="129"/>
        <v>0</v>
      </c>
      <c r="B443" s="29">
        <f t="shared" si="123"/>
        <v>0</v>
      </c>
      <c r="C443" s="29">
        <f t="shared" si="124"/>
        <v>0</v>
      </c>
      <c r="D443" s="29">
        <f t="shared" si="125"/>
        <v>0</v>
      </c>
      <c r="E443" s="29">
        <f t="shared" si="130"/>
        <v>0</v>
      </c>
      <c r="F443" s="29">
        <f t="shared" si="131"/>
        <v>0</v>
      </c>
      <c r="G443" s="29" t="str">
        <f t="shared" si="132"/>
        <v>offensive</v>
      </c>
      <c r="H443" s="16">
        <f t="shared" si="136"/>
        <v>0</v>
      </c>
      <c r="I443" s="16">
        <f t="shared" si="137"/>
        <v>0</v>
      </c>
      <c r="J443" s="16">
        <f t="shared" si="126"/>
        <v>0</v>
      </c>
      <c r="K443" s="16">
        <f t="shared" si="133"/>
        <v>0</v>
      </c>
      <c r="L443" s="67">
        <f t="shared" si="134"/>
        <v>0</v>
      </c>
      <c r="M443" s="4">
        <f t="shared" si="127"/>
        <v>0</v>
      </c>
      <c r="N443" s="4">
        <f t="shared" si="128"/>
        <v>0</v>
      </c>
      <c r="O443" s="4">
        <f t="shared" si="135"/>
        <v>0</v>
      </c>
      <c r="P443" s="4" t="e">
        <f>VLOOKUP(AJ435,'CIR Team Info'!$C$5:$E$44,2,FALSE)</f>
        <v>#N/A</v>
      </c>
      <c r="Q443" s="4" t="e">
        <f>VLOOKUP(AJ435,'CIR Team Info'!$C$5:$E$44,3,FALSE)</f>
        <v>#N/A</v>
      </c>
      <c r="R443" s="10" t="e">
        <f>VLOOKUP(AJ435,'FRC Site Data'!$B$3:$L$42,2,FALSE)</f>
        <v>#N/A</v>
      </c>
      <c r="S443" s="10" t="e">
        <f>VLOOKUP(AJ435,'FRC Site Data'!$B$3:$L$42,3,FALSE)</f>
        <v>#N/A</v>
      </c>
      <c r="T443" s="10" t="e">
        <f>VLOOKUP(AJ435,'FRC Site Data'!$B$3:$L$42,4,FALSE)</f>
        <v>#N/A</v>
      </c>
      <c r="U443" s="10" t="e">
        <f>VLOOKUP(AJ435,'FRC Site Data'!$B$3:$L$42,5,FALSE)</f>
        <v>#N/A</v>
      </c>
      <c r="V443" s="10" t="e">
        <f>VLOOKUP(AJ435,'FRC Site Data'!$B$3:$L$42,6,FALSE)</f>
        <v>#N/A</v>
      </c>
      <c r="W443" s="10" t="e">
        <f>VLOOKUP(AJ435,'FRC Site Data'!$B$3:$L$42,8,FALSE)</f>
        <v>#N/A</v>
      </c>
      <c r="X443" s="10" t="e">
        <f>VLOOKUP(AJ435,'FRC Site Data'!$B$3:$L$42,9,FALSE)</f>
        <v>#N/A</v>
      </c>
      <c r="Y443" s="10" t="e">
        <f>VLOOKUP(AJ435,'FRC Site Data'!$B$3:$L$42,10,FALSE)</f>
        <v>#N/A</v>
      </c>
      <c r="Z443" s="10" t="e">
        <f>VLOOKUP(AJ435,'FRC Site Data'!$B$3:$L$42,11,FALSE)</f>
        <v>#N/A</v>
      </c>
      <c r="AA443" s="10" t="e">
        <f>VLOOKUP(AJ435,'CIR Team Info'!$C$5:$E$44,4,FALSE)</f>
        <v>#N/A</v>
      </c>
      <c r="AB443" s="161" t="b">
        <f>ISNUMBER(VLOOKUP(AJ435,Match!$T$5:$T$10,1,FALSE))</f>
        <v>0</v>
      </c>
      <c r="AC443" s="161" t="b">
        <f>IF(AB443=TRUE,(VLOOKUP($AJ435,Match!$T$5:$U$10,2,FALSE)))</f>
        <v>0</v>
      </c>
      <c r="AD443" s="8">
        <v>3</v>
      </c>
      <c r="AE443" s="8">
        <v>2</v>
      </c>
      <c r="AF443" s="8">
        <v>2</v>
      </c>
      <c r="AG443" s="8">
        <v>1</v>
      </c>
      <c r="AH443" s="8" t="str">
        <f t="shared" si="138"/>
        <v/>
      </c>
      <c r="AI443" s="12"/>
      <c r="AZ443" s="12"/>
      <c r="BC443" s="12"/>
      <c r="BK443" s="12"/>
    </row>
    <row r="444" spans="1:63" x14ac:dyDescent="0.25">
      <c r="A444" s="29">
        <f t="shared" si="129"/>
        <v>0</v>
      </c>
      <c r="B444" s="29">
        <f t="shared" si="123"/>
        <v>0</v>
      </c>
      <c r="C444" s="29">
        <f t="shared" si="124"/>
        <v>0</v>
      </c>
      <c r="D444" s="29">
        <f t="shared" si="125"/>
        <v>0</v>
      </c>
      <c r="E444" s="29">
        <f t="shared" si="130"/>
        <v>0</v>
      </c>
      <c r="F444" s="29">
        <f t="shared" si="131"/>
        <v>0</v>
      </c>
      <c r="G444" s="29" t="str">
        <f t="shared" si="132"/>
        <v>offensive</v>
      </c>
      <c r="H444" s="16">
        <f t="shared" si="136"/>
        <v>0</v>
      </c>
      <c r="I444" s="16">
        <f t="shared" si="137"/>
        <v>0</v>
      </c>
      <c r="J444" s="16">
        <f t="shared" si="126"/>
        <v>0</v>
      </c>
      <c r="K444" s="16">
        <f t="shared" si="133"/>
        <v>0</v>
      </c>
      <c r="L444" s="67">
        <f t="shared" si="134"/>
        <v>0</v>
      </c>
      <c r="M444" s="4">
        <f t="shared" si="127"/>
        <v>0</v>
      </c>
      <c r="N444" s="4">
        <f t="shared" si="128"/>
        <v>0</v>
      </c>
      <c r="O444" s="4">
        <f t="shared" si="135"/>
        <v>0</v>
      </c>
      <c r="P444" s="4" t="e">
        <f>VLOOKUP(AJ436,'CIR Team Info'!$C$5:$E$44,2,FALSE)</f>
        <v>#N/A</v>
      </c>
      <c r="Q444" s="4" t="e">
        <f>VLOOKUP(AJ436,'CIR Team Info'!$C$5:$E$44,3,FALSE)</f>
        <v>#N/A</v>
      </c>
      <c r="R444" s="10" t="e">
        <f>VLOOKUP(AJ436,'FRC Site Data'!$B$3:$L$42,2,FALSE)</f>
        <v>#N/A</v>
      </c>
      <c r="S444" s="10" t="e">
        <f>VLOOKUP(AJ436,'FRC Site Data'!$B$3:$L$42,3,FALSE)</f>
        <v>#N/A</v>
      </c>
      <c r="T444" s="10" t="e">
        <f>VLOOKUP(AJ436,'FRC Site Data'!$B$3:$L$42,4,FALSE)</f>
        <v>#N/A</v>
      </c>
      <c r="U444" s="10" t="e">
        <f>VLOOKUP(AJ436,'FRC Site Data'!$B$3:$L$42,5,FALSE)</f>
        <v>#N/A</v>
      </c>
      <c r="V444" s="10" t="e">
        <f>VLOOKUP(AJ436,'FRC Site Data'!$B$3:$L$42,6,FALSE)</f>
        <v>#N/A</v>
      </c>
      <c r="W444" s="10" t="e">
        <f>VLOOKUP(AJ436,'FRC Site Data'!$B$3:$L$42,8,FALSE)</f>
        <v>#N/A</v>
      </c>
      <c r="X444" s="10" t="e">
        <f>VLOOKUP(AJ436,'FRC Site Data'!$B$3:$L$42,9,FALSE)</f>
        <v>#N/A</v>
      </c>
      <c r="Y444" s="10" t="e">
        <f>VLOOKUP(AJ436,'FRC Site Data'!$B$3:$L$42,10,FALSE)</f>
        <v>#N/A</v>
      </c>
      <c r="Z444" s="10" t="e">
        <f>VLOOKUP(AJ436,'FRC Site Data'!$B$3:$L$42,11,FALSE)</f>
        <v>#N/A</v>
      </c>
      <c r="AA444" s="10" t="e">
        <f>VLOOKUP(AJ436,'CIR Team Info'!$C$5:$E$44,4,FALSE)</f>
        <v>#N/A</v>
      </c>
      <c r="AB444" s="161" t="b">
        <f>ISNUMBER(VLOOKUP(AJ436,Match!$T$5:$T$10,1,FALSE))</f>
        <v>0</v>
      </c>
      <c r="AC444" s="161" t="b">
        <f>IF(AB444=TRUE,(VLOOKUP($AJ436,Match!$T$5:$U$10,2,FALSE)))</f>
        <v>0</v>
      </c>
      <c r="AD444" s="8">
        <v>3</v>
      </c>
      <c r="AE444" s="8">
        <v>2</v>
      </c>
      <c r="AF444" s="8">
        <v>2</v>
      </c>
      <c r="AG444" s="8">
        <v>1</v>
      </c>
      <c r="AH444" s="8" t="str">
        <f t="shared" si="138"/>
        <v/>
      </c>
      <c r="AI444" s="12"/>
      <c r="AZ444" s="12"/>
      <c r="BC444" s="12"/>
      <c r="BK444" s="12"/>
    </row>
    <row r="445" spans="1:63" x14ac:dyDescent="0.25">
      <c r="A445" s="29">
        <f t="shared" si="129"/>
        <v>0</v>
      </c>
      <c r="B445" s="29">
        <f t="shared" si="123"/>
        <v>0</v>
      </c>
      <c r="C445" s="29">
        <f t="shared" si="124"/>
        <v>0</v>
      </c>
      <c r="D445" s="29">
        <f t="shared" si="125"/>
        <v>0</v>
      </c>
      <c r="E445" s="29">
        <f t="shared" si="130"/>
        <v>0</v>
      </c>
      <c r="F445" s="29">
        <f t="shared" si="131"/>
        <v>0</v>
      </c>
      <c r="G445" s="29" t="str">
        <f t="shared" si="132"/>
        <v>offensive</v>
      </c>
      <c r="H445" s="16">
        <f t="shared" si="136"/>
        <v>0</v>
      </c>
      <c r="I445" s="16">
        <f t="shared" si="137"/>
        <v>0</v>
      </c>
      <c r="J445" s="16">
        <f t="shared" si="126"/>
        <v>0</v>
      </c>
      <c r="K445" s="16">
        <f t="shared" si="133"/>
        <v>0</v>
      </c>
      <c r="L445" s="67">
        <f t="shared" si="134"/>
        <v>0</v>
      </c>
      <c r="M445" s="4">
        <f t="shared" si="127"/>
        <v>0</v>
      </c>
      <c r="N445" s="4">
        <f t="shared" si="128"/>
        <v>0</v>
      </c>
      <c r="O445" s="4">
        <f t="shared" si="135"/>
        <v>0</v>
      </c>
      <c r="P445" s="4" t="e">
        <f>VLOOKUP(AJ437,'CIR Team Info'!$C$5:$E$44,2,FALSE)</f>
        <v>#N/A</v>
      </c>
      <c r="Q445" s="4" t="e">
        <f>VLOOKUP(AJ437,'CIR Team Info'!$C$5:$E$44,3,FALSE)</f>
        <v>#N/A</v>
      </c>
      <c r="R445" s="10" t="e">
        <f>VLOOKUP(AJ437,'FRC Site Data'!$B$3:$L$42,2,FALSE)</f>
        <v>#N/A</v>
      </c>
      <c r="S445" s="10" t="e">
        <f>VLOOKUP(AJ437,'FRC Site Data'!$B$3:$L$42,3,FALSE)</f>
        <v>#N/A</v>
      </c>
      <c r="T445" s="10" t="e">
        <f>VLOOKUP(AJ437,'FRC Site Data'!$B$3:$L$42,4,FALSE)</f>
        <v>#N/A</v>
      </c>
      <c r="U445" s="10" t="e">
        <f>VLOOKUP(AJ437,'FRC Site Data'!$B$3:$L$42,5,FALSE)</f>
        <v>#N/A</v>
      </c>
      <c r="V445" s="10" t="e">
        <f>VLOOKUP(AJ437,'FRC Site Data'!$B$3:$L$42,6,FALSE)</f>
        <v>#N/A</v>
      </c>
      <c r="W445" s="10" t="e">
        <f>VLOOKUP(AJ437,'FRC Site Data'!$B$3:$L$42,8,FALSE)</f>
        <v>#N/A</v>
      </c>
      <c r="X445" s="10" t="e">
        <f>VLOOKUP(AJ437,'FRC Site Data'!$B$3:$L$42,9,FALSE)</f>
        <v>#N/A</v>
      </c>
      <c r="Y445" s="10" t="e">
        <f>VLOOKUP(AJ437,'FRC Site Data'!$B$3:$L$42,10,FALSE)</f>
        <v>#N/A</v>
      </c>
      <c r="Z445" s="10" t="e">
        <f>VLOOKUP(AJ437,'FRC Site Data'!$B$3:$L$42,11,FALSE)</f>
        <v>#N/A</v>
      </c>
      <c r="AA445" s="10" t="e">
        <f>VLOOKUP(AJ437,'CIR Team Info'!$C$5:$E$44,4,FALSE)</f>
        <v>#N/A</v>
      </c>
      <c r="AB445" s="161" t="b">
        <f>ISNUMBER(VLOOKUP(AJ437,Match!$T$5:$T$10,1,FALSE))</f>
        <v>0</v>
      </c>
      <c r="AC445" s="161" t="b">
        <f>IF(AB445=TRUE,(VLOOKUP($AJ437,Match!$T$5:$U$10,2,FALSE)))</f>
        <v>0</v>
      </c>
      <c r="AD445" s="8">
        <v>3</v>
      </c>
      <c r="AE445" s="8">
        <v>2</v>
      </c>
      <c r="AF445" s="8">
        <v>2</v>
      </c>
      <c r="AG445" s="8">
        <v>1</v>
      </c>
      <c r="AH445" s="8" t="str">
        <f t="shared" si="138"/>
        <v/>
      </c>
      <c r="AI445" s="12"/>
      <c r="AZ445" s="12"/>
      <c r="BC445" s="12"/>
      <c r="BK445" s="12"/>
    </row>
    <row r="446" spans="1:63" x14ac:dyDescent="0.25">
      <c r="A446" s="29">
        <f t="shared" si="129"/>
        <v>0</v>
      </c>
      <c r="B446" s="29">
        <f t="shared" si="123"/>
        <v>0</v>
      </c>
      <c r="C446" s="29">
        <f t="shared" si="124"/>
        <v>0</v>
      </c>
      <c r="D446" s="29">
        <f t="shared" si="125"/>
        <v>0</v>
      </c>
      <c r="E446" s="29">
        <f t="shared" si="130"/>
        <v>0</v>
      </c>
      <c r="F446" s="29">
        <f t="shared" si="131"/>
        <v>0</v>
      </c>
      <c r="G446" s="29" t="str">
        <f t="shared" si="132"/>
        <v>offensive</v>
      </c>
      <c r="H446" s="16">
        <f t="shared" si="136"/>
        <v>0</v>
      </c>
      <c r="I446" s="16">
        <f t="shared" si="137"/>
        <v>0</v>
      </c>
      <c r="J446" s="16">
        <f t="shared" si="126"/>
        <v>0</v>
      </c>
      <c r="K446" s="16">
        <f t="shared" si="133"/>
        <v>0</v>
      </c>
      <c r="L446" s="67">
        <f t="shared" si="134"/>
        <v>0</v>
      </c>
      <c r="M446" s="4">
        <f t="shared" si="127"/>
        <v>0</v>
      </c>
      <c r="N446" s="4">
        <f t="shared" si="128"/>
        <v>0</v>
      </c>
      <c r="O446" s="4">
        <f t="shared" si="135"/>
        <v>0</v>
      </c>
      <c r="P446" s="4" t="e">
        <f>VLOOKUP(AJ438,'CIR Team Info'!$C$5:$E$44,2,FALSE)</f>
        <v>#N/A</v>
      </c>
      <c r="Q446" s="4" t="e">
        <f>VLOOKUP(AJ438,'CIR Team Info'!$C$5:$E$44,3,FALSE)</f>
        <v>#N/A</v>
      </c>
      <c r="R446" s="10" t="e">
        <f>VLOOKUP(AJ438,'FRC Site Data'!$B$3:$L$42,2,FALSE)</f>
        <v>#N/A</v>
      </c>
      <c r="S446" s="10" t="e">
        <f>VLOOKUP(AJ438,'FRC Site Data'!$B$3:$L$42,3,FALSE)</f>
        <v>#N/A</v>
      </c>
      <c r="T446" s="10" t="e">
        <f>VLOOKUP(AJ438,'FRC Site Data'!$B$3:$L$42,4,FALSE)</f>
        <v>#N/A</v>
      </c>
      <c r="U446" s="10" t="e">
        <f>VLOOKUP(AJ438,'FRC Site Data'!$B$3:$L$42,5,FALSE)</f>
        <v>#N/A</v>
      </c>
      <c r="V446" s="10" t="e">
        <f>VLOOKUP(AJ438,'FRC Site Data'!$B$3:$L$42,6,FALSE)</f>
        <v>#N/A</v>
      </c>
      <c r="W446" s="10" t="e">
        <f>VLOOKUP(AJ438,'FRC Site Data'!$B$3:$L$42,8,FALSE)</f>
        <v>#N/A</v>
      </c>
      <c r="X446" s="10" t="e">
        <f>VLOOKUP(AJ438,'FRC Site Data'!$B$3:$L$42,9,FALSE)</f>
        <v>#N/A</v>
      </c>
      <c r="Y446" s="10" t="e">
        <f>VLOOKUP(AJ438,'FRC Site Data'!$B$3:$L$42,10,FALSE)</f>
        <v>#N/A</v>
      </c>
      <c r="Z446" s="10" t="e">
        <f>VLOOKUP(AJ438,'FRC Site Data'!$B$3:$L$42,11,FALSE)</f>
        <v>#N/A</v>
      </c>
      <c r="AA446" s="10" t="e">
        <f>VLOOKUP(AJ438,'CIR Team Info'!$C$5:$E$44,4,FALSE)</f>
        <v>#N/A</v>
      </c>
      <c r="AB446" s="161" t="b">
        <f>ISNUMBER(VLOOKUP(AJ438,Match!$T$5:$T$10,1,FALSE))</f>
        <v>0</v>
      </c>
      <c r="AC446" s="161" t="b">
        <f>IF(AB446=TRUE,(VLOOKUP($AJ438,Match!$T$5:$U$10,2,FALSE)))</f>
        <v>0</v>
      </c>
      <c r="AD446" s="8">
        <v>3</v>
      </c>
      <c r="AE446" s="8">
        <v>2</v>
      </c>
      <c r="AF446" s="8">
        <v>2</v>
      </c>
      <c r="AG446" s="8">
        <v>1</v>
      </c>
      <c r="AH446" s="8" t="str">
        <f t="shared" si="138"/>
        <v/>
      </c>
      <c r="AI446" s="12"/>
      <c r="AZ446" s="12"/>
      <c r="BC446" s="12"/>
      <c r="BK446" s="12"/>
    </row>
    <row r="447" spans="1:63" x14ac:dyDescent="0.25">
      <c r="A447" s="29">
        <f t="shared" si="129"/>
        <v>0</v>
      </c>
      <c r="B447" s="29">
        <f t="shared" si="123"/>
        <v>0</v>
      </c>
      <c r="C447" s="29">
        <f t="shared" si="124"/>
        <v>0</v>
      </c>
      <c r="D447" s="29">
        <f t="shared" si="125"/>
        <v>0</v>
      </c>
      <c r="E447" s="29">
        <f t="shared" si="130"/>
        <v>0</v>
      </c>
      <c r="F447" s="29">
        <f t="shared" si="131"/>
        <v>0</v>
      </c>
      <c r="G447" s="29" t="str">
        <f t="shared" si="132"/>
        <v>offensive</v>
      </c>
      <c r="H447" s="16">
        <f t="shared" si="136"/>
        <v>0</v>
      </c>
      <c r="I447" s="16">
        <f t="shared" si="137"/>
        <v>0</v>
      </c>
      <c r="J447" s="16">
        <f t="shared" si="126"/>
        <v>0</v>
      </c>
      <c r="K447" s="16">
        <f t="shared" si="133"/>
        <v>0</v>
      </c>
      <c r="L447" s="67">
        <f t="shared" si="134"/>
        <v>0</v>
      </c>
      <c r="M447" s="4">
        <f t="shared" si="127"/>
        <v>0</v>
      </c>
      <c r="N447" s="4">
        <f t="shared" si="128"/>
        <v>0</v>
      </c>
      <c r="O447" s="4">
        <f t="shared" si="135"/>
        <v>0</v>
      </c>
      <c r="P447" s="4" t="e">
        <f>VLOOKUP(AJ439,'CIR Team Info'!$C$5:$E$44,2,FALSE)</f>
        <v>#N/A</v>
      </c>
      <c r="Q447" s="4" t="e">
        <f>VLOOKUP(AJ439,'CIR Team Info'!$C$5:$E$44,3,FALSE)</f>
        <v>#N/A</v>
      </c>
      <c r="R447" s="10" t="e">
        <f>VLOOKUP(AJ439,'FRC Site Data'!$B$3:$L$42,2,FALSE)</f>
        <v>#N/A</v>
      </c>
      <c r="S447" s="10" t="e">
        <f>VLOOKUP(AJ439,'FRC Site Data'!$B$3:$L$42,3,FALSE)</f>
        <v>#N/A</v>
      </c>
      <c r="T447" s="10" t="e">
        <f>VLOOKUP(AJ439,'FRC Site Data'!$B$3:$L$42,4,FALSE)</f>
        <v>#N/A</v>
      </c>
      <c r="U447" s="10" t="e">
        <f>VLOOKUP(AJ439,'FRC Site Data'!$B$3:$L$42,5,FALSE)</f>
        <v>#N/A</v>
      </c>
      <c r="V447" s="10" t="e">
        <f>VLOOKUP(AJ439,'FRC Site Data'!$B$3:$L$42,6,FALSE)</f>
        <v>#N/A</v>
      </c>
      <c r="W447" s="10" t="e">
        <f>VLOOKUP(AJ439,'FRC Site Data'!$B$3:$L$42,8,FALSE)</f>
        <v>#N/A</v>
      </c>
      <c r="X447" s="10" t="e">
        <f>VLOOKUP(AJ439,'FRC Site Data'!$B$3:$L$42,9,FALSE)</f>
        <v>#N/A</v>
      </c>
      <c r="Y447" s="10" t="e">
        <f>VLOOKUP(AJ439,'FRC Site Data'!$B$3:$L$42,10,FALSE)</f>
        <v>#N/A</v>
      </c>
      <c r="Z447" s="10" t="e">
        <f>VLOOKUP(AJ439,'FRC Site Data'!$B$3:$L$42,11,FALSE)</f>
        <v>#N/A</v>
      </c>
      <c r="AA447" s="10" t="e">
        <f>VLOOKUP(AJ439,'CIR Team Info'!$C$5:$E$44,4,FALSE)</f>
        <v>#N/A</v>
      </c>
      <c r="AB447" s="161" t="b">
        <f>ISNUMBER(VLOOKUP(AJ439,Match!$T$5:$T$10,1,FALSE))</f>
        <v>0</v>
      </c>
      <c r="AC447" s="161" t="b">
        <f>IF(AB447=TRUE,(VLOOKUP($AJ439,Match!$T$5:$U$10,2,FALSE)))</f>
        <v>0</v>
      </c>
      <c r="AD447" s="8">
        <v>3</v>
      </c>
      <c r="AE447" s="8">
        <v>2</v>
      </c>
      <c r="AF447" s="8">
        <v>2</v>
      </c>
      <c r="AG447" s="8">
        <v>1</v>
      </c>
      <c r="AH447" s="8" t="str">
        <f t="shared" si="138"/>
        <v/>
      </c>
      <c r="AI447" s="12"/>
      <c r="AZ447" s="12"/>
      <c r="BC447" s="12"/>
      <c r="BK447" s="12"/>
    </row>
    <row r="448" spans="1:63" x14ac:dyDescent="0.25">
      <c r="A448" s="29">
        <f t="shared" si="129"/>
        <v>0</v>
      </c>
      <c r="B448" s="29">
        <f t="shared" si="123"/>
        <v>0</v>
      </c>
      <c r="C448" s="29">
        <f t="shared" si="124"/>
        <v>0</v>
      </c>
      <c r="D448" s="29">
        <f t="shared" si="125"/>
        <v>0</v>
      </c>
      <c r="E448" s="29">
        <f t="shared" si="130"/>
        <v>0</v>
      </c>
      <c r="F448" s="29">
        <f t="shared" si="131"/>
        <v>0</v>
      </c>
      <c r="G448" s="29" t="str">
        <f t="shared" si="132"/>
        <v>offensive</v>
      </c>
      <c r="H448" s="16">
        <f t="shared" si="136"/>
        <v>0</v>
      </c>
      <c r="I448" s="16">
        <f t="shared" si="137"/>
        <v>0</v>
      </c>
      <c r="J448" s="16">
        <f t="shared" si="126"/>
        <v>0</v>
      </c>
      <c r="K448" s="16">
        <f t="shared" si="133"/>
        <v>0</v>
      </c>
      <c r="L448" s="67">
        <f t="shared" si="134"/>
        <v>0</v>
      </c>
      <c r="M448" s="4">
        <f t="shared" si="127"/>
        <v>0</v>
      </c>
      <c r="N448" s="4">
        <f t="shared" si="128"/>
        <v>0</v>
      </c>
      <c r="O448" s="4">
        <f t="shared" si="135"/>
        <v>0</v>
      </c>
      <c r="P448" s="4" t="e">
        <f>VLOOKUP(AJ440,'CIR Team Info'!$C$5:$E$44,2,FALSE)</f>
        <v>#N/A</v>
      </c>
      <c r="Q448" s="4" t="e">
        <f>VLOOKUP(AJ440,'CIR Team Info'!$C$5:$E$44,3,FALSE)</f>
        <v>#N/A</v>
      </c>
      <c r="R448" s="10" t="e">
        <f>VLOOKUP(AJ440,'FRC Site Data'!$B$3:$L$42,2,FALSE)</f>
        <v>#N/A</v>
      </c>
      <c r="S448" s="10" t="e">
        <f>VLOOKUP(AJ440,'FRC Site Data'!$B$3:$L$42,3,FALSE)</f>
        <v>#N/A</v>
      </c>
      <c r="T448" s="10" t="e">
        <f>VLOOKUP(AJ440,'FRC Site Data'!$B$3:$L$42,4,FALSE)</f>
        <v>#N/A</v>
      </c>
      <c r="U448" s="10" t="e">
        <f>VLOOKUP(AJ440,'FRC Site Data'!$B$3:$L$42,5,FALSE)</f>
        <v>#N/A</v>
      </c>
      <c r="V448" s="10" t="e">
        <f>VLOOKUP(AJ440,'FRC Site Data'!$B$3:$L$42,6,FALSE)</f>
        <v>#N/A</v>
      </c>
      <c r="W448" s="10" t="e">
        <f>VLOOKUP(AJ440,'FRC Site Data'!$B$3:$L$42,8,FALSE)</f>
        <v>#N/A</v>
      </c>
      <c r="X448" s="10" t="e">
        <f>VLOOKUP(AJ440,'FRC Site Data'!$B$3:$L$42,9,FALSE)</f>
        <v>#N/A</v>
      </c>
      <c r="Y448" s="10" t="e">
        <f>VLOOKUP(AJ440,'FRC Site Data'!$B$3:$L$42,10,FALSE)</f>
        <v>#N/A</v>
      </c>
      <c r="Z448" s="10" t="e">
        <f>VLOOKUP(AJ440,'FRC Site Data'!$B$3:$L$42,11,FALSE)</f>
        <v>#N/A</v>
      </c>
      <c r="AA448" s="10" t="e">
        <f>VLOOKUP(AJ440,'CIR Team Info'!$C$5:$E$44,4,FALSE)</f>
        <v>#N/A</v>
      </c>
      <c r="AB448" s="161" t="b">
        <f>ISNUMBER(VLOOKUP(AJ440,Match!$T$5:$T$10,1,FALSE))</f>
        <v>0</v>
      </c>
      <c r="AC448" s="161" t="b">
        <f>IF(AB448=TRUE,(VLOOKUP($AJ440,Match!$T$5:$U$10,2,FALSE)))</f>
        <v>0</v>
      </c>
      <c r="AD448" s="8">
        <v>3</v>
      </c>
      <c r="AE448" s="8">
        <v>2</v>
      </c>
      <c r="AF448" s="8">
        <v>2</v>
      </c>
      <c r="AG448" s="8">
        <v>1</v>
      </c>
      <c r="AH448" s="8" t="str">
        <f t="shared" si="138"/>
        <v/>
      </c>
      <c r="AI448" s="12"/>
      <c r="AZ448" s="12"/>
      <c r="BC448" s="12"/>
      <c r="BK448" s="12"/>
    </row>
    <row r="449" spans="1:63" x14ac:dyDescent="0.25">
      <c r="A449" s="29">
        <f t="shared" si="129"/>
        <v>0</v>
      </c>
      <c r="B449" s="29">
        <f t="shared" si="123"/>
        <v>0</v>
      </c>
      <c r="C449" s="29">
        <f t="shared" si="124"/>
        <v>0</v>
      </c>
      <c r="D449" s="29">
        <f t="shared" si="125"/>
        <v>0</v>
      </c>
      <c r="E449" s="29">
        <f t="shared" si="130"/>
        <v>0</v>
      </c>
      <c r="F449" s="29">
        <f t="shared" si="131"/>
        <v>0</v>
      </c>
      <c r="G449" s="29" t="str">
        <f t="shared" si="132"/>
        <v>offensive</v>
      </c>
      <c r="H449" s="16">
        <f t="shared" si="136"/>
        <v>0</v>
      </c>
      <c r="I449" s="16">
        <f t="shared" si="137"/>
        <v>0</v>
      </c>
      <c r="J449" s="16">
        <f t="shared" si="126"/>
        <v>0</v>
      </c>
      <c r="K449" s="16">
        <f t="shared" si="133"/>
        <v>0</v>
      </c>
      <c r="L449" s="67">
        <f t="shared" si="134"/>
        <v>0</v>
      </c>
      <c r="M449" s="4">
        <f t="shared" si="127"/>
        <v>0</v>
      </c>
      <c r="N449" s="4">
        <f t="shared" si="128"/>
        <v>0</v>
      </c>
      <c r="O449" s="4">
        <f t="shared" si="135"/>
        <v>0</v>
      </c>
      <c r="P449" s="4" t="e">
        <f>VLOOKUP(AJ441,'CIR Team Info'!$C$5:$E$44,2,FALSE)</f>
        <v>#N/A</v>
      </c>
      <c r="Q449" s="4" t="e">
        <f>VLOOKUP(AJ441,'CIR Team Info'!$C$5:$E$44,3,FALSE)</f>
        <v>#N/A</v>
      </c>
      <c r="R449" s="10" t="e">
        <f>VLOOKUP(AJ441,'FRC Site Data'!$B$3:$L$42,2,FALSE)</f>
        <v>#N/A</v>
      </c>
      <c r="S449" s="10" t="e">
        <f>VLOOKUP(AJ441,'FRC Site Data'!$B$3:$L$42,3,FALSE)</f>
        <v>#N/A</v>
      </c>
      <c r="T449" s="10" t="e">
        <f>VLOOKUP(AJ441,'FRC Site Data'!$B$3:$L$42,4,FALSE)</f>
        <v>#N/A</v>
      </c>
      <c r="U449" s="10" t="e">
        <f>VLOOKUP(AJ441,'FRC Site Data'!$B$3:$L$42,5,FALSE)</f>
        <v>#N/A</v>
      </c>
      <c r="V449" s="10" t="e">
        <f>VLOOKUP(AJ441,'FRC Site Data'!$B$3:$L$42,6,FALSE)</f>
        <v>#N/A</v>
      </c>
      <c r="W449" s="10" t="e">
        <f>VLOOKUP(AJ441,'FRC Site Data'!$B$3:$L$42,8,FALSE)</f>
        <v>#N/A</v>
      </c>
      <c r="X449" s="10" t="e">
        <f>VLOOKUP(AJ441,'FRC Site Data'!$B$3:$L$42,9,FALSE)</f>
        <v>#N/A</v>
      </c>
      <c r="Y449" s="10" t="e">
        <f>VLOOKUP(AJ441,'FRC Site Data'!$B$3:$L$42,10,FALSE)</f>
        <v>#N/A</v>
      </c>
      <c r="Z449" s="10" t="e">
        <f>VLOOKUP(AJ441,'FRC Site Data'!$B$3:$L$42,11,FALSE)</f>
        <v>#N/A</v>
      </c>
      <c r="AA449" s="10" t="e">
        <f>VLOOKUP(AJ441,'CIR Team Info'!$C$5:$E$44,4,FALSE)</f>
        <v>#N/A</v>
      </c>
      <c r="AB449" s="161" t="b">
        <f>ISNUMBER(VLOOKUP(AJ441,Match!$T$5:$T$10,1,FALSE))</f>
        <v>0</v>
      </c>
      <c r="AC449" s="161" t="b">
        <f>IF(AB449=TRUE,(VLOOKUP($AJ441,Match!$T$5:$U$10,2,FALSE)))</f>
        <v>0</v>
      </c>
      <c r="AD449" s="8">
        <v>3</v>
      </c>
      <c r="AE449" s="8">
        <v>2</v>
      </c>
      <c r="AF449" s="8">
        <v>2</v>
      </c>
      <c r="AG449" s="8">
        <v>1</v>
      </c>
      <c r="AH449" s="8" t="str">
        <f t="shared" si="138"/>
        <v/>
      </c>
      <c r="AI449" s="12"/>
      <c r="AZ449" s="12"/>
      <c r="BC449" s="12"/>
      <c r="BK449" s="12"/>
    </row>
    <row r="450" spans="1:63" x14ac:dyDescent="0.25">
      <c r="A450" s="29">
        <f t="shared" si="129"/>
        <v>0</v>
      </c>
      <c r="B450" s="29">
        <f t="shared" si="123"/>
        <v>0</v>
      </c>
      <c r="C450" s="29">
        <f t="shared" si="124"/>
        <v>0</v>
      </c>
      <c r="D450" s="29">
        <f t="shared" si="125"/>
        <v>0</v>
      </c>
      <c r="E450" s="29">
        <f t="shared" si="130"/>
        <v>0</v>
      </c>
      <c r="F450" s="29">
        <f t="shared" si="131"/>
        <v>0</v>
      </c>
      <c r="G450" s="29" t="str">
        <f t="shared" si="132"/>
        <v>offensive</v>
      </c>
      <c r="H450" s="16">
        <f t="shared" si="136"/>
        <v>0</v>
      </c>
      <c r="I450" s="16">
        <f t="shared" si="137"/>
        <v>0</v>
      </c>
      <c r="J450" s="16">
        <f t="shared" si="126"/>
        <v>0</v>
      </c>
      <c r="K450" s="16">
        <f t="shared" si="133"/>
        <v>0</v>
      </c>
      <c r="L450" s="67">
        <f t="shared" si="134"/>
        <v>0</v>
      </c>
      <c r="M450" s="4">
        <f t="shared" si="127"/>
        <v>0</v>
      </c>
      <c r="N450" s="4">
        <f t="shared" si="128"/>
        <v>0</v>
      </c>
      <c r="O450" s="4">
        <f t="shared" si="135"/>
        <v>0</v>
      </c>
      <c r="P450" s="4" t="e">
        <f>VLOOKUP(AJ442,'CIR Team Info'!$C$5:$E$44,2,FALSE)</f>
        <v>#N/A</v>
      </c>
      <c r="Q450" s="4" t="e">
        <f>VLOOKUP(AJ442,'CIR Team Info'!$C$5:$E$44,3,FALSE)</f>
        <v>#N/A</v>
      </c>
      <c r="R450" s="10" t="e">
        <f>VLOOKUP(AJ442,'FRC Site Data'!$B$3:$L$42,2,FALSE)</f>
        <v>#N/A</v>
      </c>
      <c r="S450" s="10" t="e">
        <f>VLOOKUP(AJ442,'FRC Site Data'!$B$3:$L$42,3,FALSE)</f>
        <v>#N/A</v>
      </c>
      <c r="T450" s="10" t="e">
        <f>VLOOKUP(AJ442,'FRC Site Data'!$B$3:$L$42,4,FALSE)</f>
        <v>#N/A</v>
      </c>
      <c r="U450" s="10" t="e">
        <f>VLOOKUP(AJ442,'FRC Site Data'!$B$3:$L$42,5,FALSE)</f>
        <v>#N/A</v>
      </c>
      <c r="V450" s="10" t="e">
        <f>VLOOKUP(AJ442,'FRC Site Data'!$B$3:$L$42,6,FALSE)</f>
        <v>#N/A</v>
      </c>
      <c r="W450" s="10" t="e">
        <f>VLOOKUP(AJ442,'FRC Site Data'!$B$3:$L$42,8,FALSE)</f>
        <v>#N/A</v>
      </c>
      <c r="X450" s="10" t="e">
        <f>VLOOKUP(AJ442,'FRC Site Data'!$B$3:$L$42,9,FALSE)</f>
        <v>#N/A</v>
      </c>
      <c r="Y450" s="10" t="e">
        <f>VLOOKUP(AJ442,'FRC Site Data'!$B$3:$L$42,10,FALSE)</f>
        <v>#N/A</v>
      </c>
      <c r="Z450" s="10" t="e">
        <f>VLOOKUP(AJ442,'FRC Site Data'!$B$3:$L$42,11,FALSE)</f>
        <v>#N/A</v>
      </c>
      <c r="AA450" s="10" t="e">
        <f>VLOOKUP(AJ442,'CIR Team Info'!$C$5:$E$44,4,FALSE)</f>
        <v>#N/A</v>
      </c>
      <c r="AB450" s="161" t="b">
        <f>ISNUMBER(VLOOKUP(AJ442,Match!$T$5:$T$10,1,FALSE))</f>
        <v>0</v>
      </c>
      <c r="AC450" s="161" t="b">
        <f>IF(AB450=TRUE,(VLOOKUP($AJ442,Match!$T$5:$U$10,2,FALSE)))</f>
        <v>0</v>
      </c>
      <c r="AD450" s="8">
        <v>3</v>
      </c>
      <c r="AE450" s="8">
        <v>2</v>
      </c>
      <c r="AF450" s="8">
        <v>2</v>
      </c>
      <c r="AG450" s="8">
        <v>1</v>
      </c>
      <c r="AH450" s="8" t="str">
        <f t="shared" si="138"/>
        <v/>
      </c>
      <c r="AI450" s="12"/>
      <c r="AZ450" s="12"/>
      <c r="BC450" s="12"/>
      <c r="BK450" s="12"/>
    </row>
    <row r="451" spans="1:63" x14ac:dyDescent="0.25">
      <c r="A451" s="29">
        <f t="shared" si="129"/>
        <v>0</v>
      </c>
      <c r="B451" s="29">
        <f t="shared" si="123"/>
        <v>0</v>
      </c>
      <c r="C451" s="29">
        <f t="shared" si="124"/>
        <v>0</v>
      </c>
      <c r="D451" s="29">
        <f t="shared" si="125"/>
        <v>0</v>
      </c>
      <c r="E451" s="29">
        <f t="shared" si="130"/>
        <v>0</v>
      </c>
      <c r="F451" s="29">
        <f t="shared" si="131"/>
        <v>0</v>
      </c>
      <c r="G451" s="29" t="str">
        <f t="shared" si="132"/>
        <v>offensive</v>
      </c>
      <c r="H451" s="16">
        <f t="shared" si="136"/>
        <v>0</v>
      </c>
      <c r="I451" s="16">
        <f t="shared" si="137"/>
        <v>0</v>
      </c>
      <c r="J451" s="16">
        <f t="shared" si="126"/>
        <v>0</v>
      </c>
      <c r="K451" s="16">
        <f t="shared" si="133"/>
        <v>0</v>
      </c>
      <c r="L451" s="67">
        <f t="shared" si="134"/>
        <v>0</v>
      </c>
      <c r="M451" s="4">
        <f t="shared" si="127"/>
        <v>0</v>
      </c>
      <c r="N451" s="4">
        <f t="shared" si="128"/>
        <v>0</v>
      </c>
      <c r="O451" s="4">
        <f t="shared" si="135"/>
        <v>0</v>
      </c>
      <c r="P451" s="4" t="e">
        <f>VLOOKUP(AJ443,'CIR Team Info'!$C$5:$E$44,2,FALSE)</f>
        <v>#N/A</v>
      </c>
      <c r="Q451" s="4" t="e">
        <f>VLOOKUP(AJ443,'CIR Team Info'!$C$5:$E$44,3,FALSE)</f>
        <v>#N/A</v>
      </c>
      <c r="R451" s="10" t="e">
        <f>VLOOKUP(AJ443,'FRC Site Data'!$B$3:$L$42,2,FALSE)</f>
        <v>#N/A</v>
      </c>
      <c r="S451" s="10" t="e">
        <f>VLOOKUP(AJ443,'FRC Site Data'!$B$3:$L$42,3,FALSE)</f>
        <v>#N/A</v>
      </c>
      <c r="T451" s="10" t="e">
        <f>VLOOKUP(AJ443,'FRC Site Data'!$B$3:$L$42,4,FALSE)</f>
        <v>#N/A</v>
      </c>
      <c r="U451" s="10" t="e">
        <f>VLOOKUP(AJ443,'FRC Site Data'!$B$3:$L$42,5,FALSE)</f>
        <v>#N/A</v>
      </c>
      <c r="V451" s="10" t="e">
        <f>VLOOKUP(AJ443,'FRC Site Data'!$B$3:$L$42,6,FALSE)</f>
        <v>#N/A</v>
      </c>
      <c r="W451" s="10" t="e">
        <f>VLOOKUP(AJ443,'FRC Site Data'!$B$3:$L$42,8,FALSE)</f>
        <v>#N/A</v>
      </c>
      <c r="X451" s="10" t="e">
        <f>VLOOKUP(AJ443,'FRC Site Data'!$B$3:$L$42,9,FALSE)</f>
        <v>#N/A</v>
      </c>
      <c r="Y451" s="10" t="e">
        <f>VLOOKUP(AJ443,'FRC Site Data'!$B$3:$L$42,10,FALSE)</f>
        <v>#N/A</v>
      </c>
      <c r="Z451" s="10" t="e">
        <f>VLOOKUP(AJ443,'FRC Site Data'!$B$3:$L$42,11,FALSE)</f>
        <v>#N/A</v>
      </c>
      <c r="AA451" s="10" t="e">
        <f>VLOOKUP(AJ443,'CIR Team Info'!$C$5:$E$44,4,FALSE)</f>
        <v>#N/A</v>
      </c>
      <c r="AB451" s="161" t="b">
        <f>ISNUMBER(VLOOKUP(AJ443,Match!$T$5:$T$10,1,FALSE))</f>
        <v>0</v>
      </c>
      <c r="AC451" s="161" t="b">
        <f>IF(AB451=TRUE,(VLOOKUP($AJ443,Match!$T$5:$U$10,2,FALSE)))</f>
        <v>0</v>
      </c>
      <c r="AD451" s="8">
        <v>3</v>
      </c>
      <c r="AE451" s="8">
        <v>2</v>
      </c>
      <c r="AF451" s="8">
        <v>2</v>
      </c>
      <c r="AG451" s="8">
        <v>1</v>
      </c>
      <c r="AH451" s="8" t="str">
        <f t="shared" si="138"/>
        <v/>
      </c>
      <c r="AI451" s="12"/>
      <c r="AZ451" s="12"/>
      <c r="BC451" s="12"/>
      <c r="BK451" s="12"/>
    </row>
    <row r="452" spans="1:63" x14ac:dyDescent="0.25">
      <c r="A452" s="29">
        <f t="shared" si="129"/>
        <v>0</v>
      </c>
      <c r="B452" s="29">
        <f t="shared" si="123"/>
        <v>0</v>
      </c>
      <c r="C452" s="29">
        <f t="shared" si="124"/>
        <v>0</v>
      </c>
      <c r="D452" s="29">
        <f t="shared" si="125"/>
        <v>0</v>
      </c>
      <c r="E452" s="29">
        <f t="shared" si="130"/>
        <v>0</v>
      </c>
      <c r="F452" s="29">
        <f t="shared" si="131"/>
        <v>0</v>
      </c>
      <c r="G452" s="29" t="str">
        <f t="shared" si="132"/>
        <v>offensive</v>
      </c>
      <c r="H452" s="16">
        <f t="shared" si="136"/>
        <v>0</v>
      </c>
      <c r="I452" s="16">
        <f t="shared" si="137"/>
        <v>0</v>
      </c>
      <c r="J452" s="16">
        <f t="shared" si="126"/>
        <v>0</v>
      </c>
      <c r="K452" s="16">
        <f t="shared" si="133"/>
        <v>0</v>
      </c>
      <c r="L452" s="67">
        <f t="shared" si="134"/>
        <v>0</v>
      </c>
      <c r="M452" s="4">
        <f t="shared" si="127"/>
        <v>0</v>
      </c>
      <c r="N452" s="4">
        <f t="shared" si="128"/>
        <v>0</v>
      </c>
      <c r="O452" s="4">
        <f t="shared" si="135"/>
        <v>0</v>
      </c>
      <c r="P452" s="4" t="e">
        <f>VLOOKUP(AJ444,'CIR Team Info'!$C$5:$E$44,2,FALSE)</f>
        <v>#N/A</v>
      </c>
      <c r="Q452" s="4" t="e">
        <f>VLOOKUP(AJ444,'CIR Team Info'!$C$5:$E$44,3,FALSE)</f>
        <v>#N/A</v>
      </c>
      <c r="R452" s="10" t="e">
        <f>VLOOKUP(AJ444,'FRC Site Data'!$B$3:$L$42,2,FALSE)</f>
        <v>#N/A</v>
      </c>
      <c r="S452" s="10" t="e">
        <f>VLOOKUP(AJ444,'FRC Site Data'!$B$3:$L$42,3,FALSE)</f>
        <v>#N/A</v>
      </c>
      <c r="T452" s="10" t="e">
        <f>VLOOKUP(AJ444,'FRC Site Data'!$B$3:$L$42,4,FALSE)</f>
        <v>#N/A</v>
      </c>
      <c r="U452" s="10" t="e">
        <f>VLOOKUP(AJ444,'FRC Site Data'!$B$3:$L$42,5,FALSE)</f>
        <v>#N/A</v>
      </c>
      <c r="V452" s="10" t="e">
        <f>VLOOKUP(AJ444,'FRC Site Data'!$B$3:$L$42,6,FALSE)</f>
        <v>#N/A</v>
      </c>
      <c r="W452" s="10" t="e">
        <f>VLOOKUP(AJ444,'FRC Site Data'!$B$3:$L$42,8,FALSE)</f>
        <v>#N/A</v>
      </c>
      <c r="X452" s="10" t="e">
        <f>VLOOKUP(AJ444,'FRC Site Data'!$B$3:$L$42,9,FALSE)</f>
        <v>#N/A</v>
      </c>
      <c r="Y452" s="10" t="e">
        <f>VLOOKUP(AJ444,'FRC Site Data'!$B$3:$L$42,10,FALSE)</f>
        <v>#N/A</v>
      </c>
      <c r="Z452" s="10" t="e">
        <f>VLOOKUP(AJ444,'FRC Site Data'!$B$3:$L$42,11,FALSE)</f>
        <v>#N/A</v>
      </c>
      <c r="AA452" s="10" t="e">
        <f>VLOOKUP(AJ444,'CIR Team Info'!$C$5:$E$44,4,FALSE)</f>
        <v>#N/A</v>
      </c>
      <c r="AB452" s="161" t="b">
        <f>ISNUMBER(VLOOKUP(AJ444,Match!$T$5:$T$10,1,FALSE))</f>
        <v>0</v>
      </c>
      <c r="AC452" s="161" t="b">
        <f>IF(AB452=TRUE,(VLOOKUP($AJ444,Match!$T$5:$U$10,2,FALSE)))</f>
        <v>0</v>
      </c>
      <c r="AD452" s="8">
        <v>3</v>
      </c>
      <c r="AE452" s="8">
        <v>2</v>
      </c>
      <c r="AF452" s="8">
        <v>2</v>
      </c>
      <c r="AG452" s="8">
        <v>1</v>
      </c>
      <c r="AH452" s="8" t="str">
        <f t="shared" si="138"/>
        <v/>
      </c>
      <c r="AI452" s="12"/>
      <c r="AZ452" s="12"/>
      <c r="BC452" s="12"/>
      <c r="BK452" s="12"/>
    </row>
    <row r="453" spans="1:63" x14ac:dyDescent="0.25">
      <c r="A453" s="29">
        <f t="shared" si="129"/>
        <v>0</v>
      </c>
      <c r="B453" s="29">
        <f t="shared" si="123"/>
        <v>0</v>
      </c>
      <c r="C453" s="29">
        <f t="shared" si="124"/>
        <v>0</v>
      </c>
      <c r="D453" s="29">
        <f t="shared" si="125"/>
        <v>0</v>
      </c>
      <c r="E453" s="29">
        <f t="shared" si="130"/>
        <v>0</v>
      </c>
      <c r="F453" s="29">
        <f t="shared" si="131"/>
        <v>0</v>
      </c>
      <c r="G453" s="29" t="str">
        <f t="shared" si="132"/>
        <v>offensive</v>
      </c>
      <c r="H453" s="16">
        <f t="shared" si="136"/>
        <v>0</v>
      </c>
      <c r="I453" s="16">
        <f t="shared" si="137"/>
        <v>0</v>
      </c>
      <c r="J453" s="16">
        <f t="shared" si="126"/>
        <v>0</v>
      </c>
      <c r="K453" s="16">
        <f t="shared" si="133"/>
        <v>0</v>
      </c>
      <c r="L453" s="67">
        <f t="shared" si="134"/>
        <v>0</v>
      </c>
      <c r="M453" s="4">
        <f t="shared" si="127"/>
        <v>0</v>
      </c>
      <c r="N453" s="4">
        <f t="shared" si="128"/>
        <v>0</v>
      </c>
      <c r="O453" s="4">
        <f t="shared" si="135"/>
        <v>0</v>
      </c>
      <c r="P453" s="4" t="e">
        <f>VLOOKUP(AJ445,'CIR Team Info'!$C$5:$E$44,2,FALSE)</f>
        <v>#N/A</v>
      </c>
      <c r="Q453" s="4" t="e">
        <f>VLOOKUP(AJ445,'CIR Team Info'!$C$5:$E$44,3,FALSE)</f>
        <v>#N/A</v>
      </c>
      <c r="R453" s="10" t="e">
        <f>VLOOKUP(AJ445,'FRC Site Data'!$B$3:$L$42,2,FALSE)</f>
        <v>#N/A</v>
      </c>
      <c r="S453" s="10" t="e">
        <f>VLOOKUP(AJ445,'FRC Site Data'!$B$3:$L$42,3,FALSE)</f>
        <v>#N/A</v>
      </c>
      <c r="T453" s="10" t="e">
        <f>VLOOKUP(AJ445,'FRC Site Data'!$B$3:$L$42,4,FALSE)</f>
        <v>#N/A</v>
      </c>
      <c r="U453" s="10" t="e">
        <f>VLOOKUP(AJ445,'FRC Site Data'!$B$3:$L$42,5,FALSE)</f>
        <v>#N/A</v>
      </c>
      <c r="V453" s="10" t="e">
        <f>VLOOKUP(AJ445,'FRC Site Data'!$B$3:$L$42,6,FALSE)</f>
        <v>#N/A</v>
      </c>
      <c r="W453" s="10" t="e">
        <f>VLOOKUP(AJ445,'FRC Site Data'!$B$3:$L$42,8,FALSE)</f>
        <v>#N/A</v>
      </c>
      <c r="X453" s="10" t="e">
        <f>VLOOKUP(AJ445,'FRC Site Data'!$B$3:$L$42,9,FALSE)</f>
        <v>#N/A</v>
      </c>
      <c r="Y453" s="10" t="e">
        <f>VLOOKUP(AJ445,'FRC Site Data'!$B$3:$L$42,10,FALSE)</f>
        <v>#N/A</v>
      </c>
      <c r="Z453" s="10" t="e">
        <f>VLOOKUP(AJ445,'FRC Site Data'!$B$3:$L$42,11,FALSE)</f>
        <v>#N/A</v>
      </c>
      <c r="AA453" s="10" t="e">
        <f>VLOOKUP(AJ445,'CIR Team Info'!$C$5:$E$44,4,FALSE)</f>
        <v>#N/A</v>
      </c>
      <c r="AB453" s="161" t="b">
        <f>ISNUMBER(VLOOKUP(AJ445,Match!$T$5:$T$10,1,FALSE))</f>
        <v>0</v>
      </c>
      <c r="AC453" s="161" t="b">
        <f>IF(AB453=TRUE,(VLOOKUP($AJ445,Match!$T$5:$U$10,2,FALSE)))</f>
        <v>0</v>
      </c>
      <c r="AD453" s="8">
        <v>3</v>
      </c>
      <c r="AE453" s="8">
        <v>2</v>
      </c>
      <c r="AF453" s="8">
        <v>2</v>
      </c>
      <c r="AG453" s="8">
        <v>1</v>
      </c>
      <c r="AH453" s="8" t="str">
        <f t="shared" si="138"/>
        <v/>
      </c>
      <c r="AI453" s="12"/>
      <c r="AZ453" s="12"/>
      <c r="BC453" s="12"/>
      <c r="BK453" s="12"/>
    </row>
    <row r="454" spans="1:63" x14ac:dyDescent="0.25">
      <c r="A454" s="29">
        <f t="shared" si="129"/>
        <v>0</v>
      </c>
      <c r="B454" s="29">
        <f t="shared" ref="B454:B517" si="139">H454*AD454*AO446</f>
        <v>0</v>
      </c>
      <c r="C454" s="29">
        <f t="shared" ref="C454:C517" si="140">I454*AE454*AV446</f>
        <v>0</v>
      </c>
      <c r="D454" s="29">
        <f t="shared" ref="D454:D517" si="141">J454*AF454*BF446</f>
        <v>0</v>
      </c>
      <c r="E454" s="29">
        <f t="shared" si="130"/>
        <v>0</v>
      </c>
      <c r="F454" s="29">
        <f t="shared" si="131"/>
        <v>0</v>
      </c>
      <c r="G454" s="29" t="str">
        <f t="shared" si="132"/>
        <v>offensive</v>
      </c>
      <c r="H454" s="16">
        <f t="shared" si="136"/>
        <v>0</v>
      </c>
      <c r="I454" s="16">
        <f t="shared" si="137"/>
        <v>0</v>
      </c>
      <c r="J454" s="16">
        <f t="shared" ref="J454:J517" si="142">IF(L454=0,0,BG446/L454)</f>
        <v>0</v>
      </c>
      <c r="K454" s="16">
        <f t="shared" si="133"/>
        <v>0</v>
      </c>
      <c r="L454" s="67">
        <f t="shared" si="134"/>
        <v>0</v>
      </c>
      <c r="M454" s="4">
        <f t="shared" ref="M454:M517" si="143">AO446+AV446+BD446+O454</f>
        <v>0</v>
      </c>
      <c r="N454" s="4">
        <f t="shared" si="128"/>
        <v>0</v>
      </c>
      <c r="O454" s="4">
        <f t="shared" si="135"/>
        <v>0</v>
      </c>
      <c r="P454" s="4" t="e">
        <f>VLOOKUP(AJ446,'CIR Team Info'!$C$5:$E$44,2,FALSE)</f>
        <v>#N/A</v>
      </c>
      <c r="Q454" s="4" t="e">
        <f>VLOOKUP(AJ446,'CIR Team Info'!$C$5:$E$44,3,FALSE)</f>
        <v>#N/A</v>
      </c>
      <c r="R454" s="10" t="e">
        <f>VLOOKUP(AJ446,'FRC Site Data'!$B$3:$L$42,2,FALSE)</f>
        <v>#N/A</v>
      </c>
      <c r="S454" s="10" t="e">
        <f>VLOOKUP(AJ446,'FRC Site Data'!$B$3:$L$42,3,FALSE)</f>
        <v>#N/A</v>
      </c>
      <c r="T454" s="10" t="e">
        <f>VLOOKUP(AJ446,'FRC Site Data'!$B$3:$L$42,4,FALSE)</f>
        <v>#N/A</v>
      </c>
      <c r="U454" s="10" t="e">
        <f>VLOOKUP(AJ446,'FRC Site Data'!$B$3:$L$42,5,FALSE)</f>
        <v>#N/A</v>
      </c>
      <c r="V454" s="10" t="e">
        <f>VLOOKUP(AJ446,'FRC Site Data'!$B$3:$L$42,6,FALSE)</f>
        <v>#N/A</v>
      </c>
      <c r="W454" s="10" t="e">
        <f>VLOOKUP(AJ446,'FRC Site Data'!$B$3:$L$42,8,FALSE)</f>
        <v>#N/A</v>
      </c>
      <c r="X454" s="10" t="e">
        <f>VLOOKUP(AJ446,'FRC Site Data'!$B$3:$L$42,9,FALSE)</f>
        <v>#N/A</v>
      </c>
      <c r="Y454" s="10" t="e">
        <f>VLOOKUP(AJ446,'FRC Site Data'!$B$3:$L$42,10,FALSE)</f>
        <v>#N/A</v>
      </c>
      <c r="Z454" s="10" t="e">
        <f>VLOOKUP(AJ446,'FRC Site Data'!$B$3:$L$42,11,FALSE)</f>
        <v>#N/A</v>
      </c>
      <c r="AA454" s="10" t="e">
        <f>VLOOKUP(AJ446,'CIR Team Info'!$C$5:$E$44,4,FALSE)</f>
        <v>#N/A</v>
      </c>
      <c r="AB454" s="161" t="b">
        <f>ISNUMBER(VLOOKUP(AJ446,Match!$T$5:$T$10,1,FALSE))</f>
        <v>0</v>
      </c>
      <c r="AC454" s="161" t="b">
        <f>IF(AB454=TRUE,(VLOOKUP($AJ446,Match!$T$5:$U$10,2,FALSE)))</f>
        <v>0</v>
      </c>
      <c r="AD454" s="8">
        <v>3</v>
      </c>
      <c r="AE454" s="8">
        <v>2</v>
      </c>
      <c r="AF454" s="8">
        <v>2</v>
      </c>
      <c r="AG454" s="8">
        <v>1</v>
      </c>
      <c r="AH454" s="8" t="str">
        <f t="shared" si="138"/>
        <v/>
      </c>
      <c r="AI454" s="12"/>
      <c r="AZ454" s="12"/>
      <c r="BC454" s="12"/>
      <c r="BK454" s="12"/>
    </row>
    <row r="455" spans="1:63" x14ac:dyDescent="0.25">
      <c r="A455" s="29">
        <f t="shared" si="129"/>
        <v>0</v>
      </c>
      <c r="B455" s="29">
        <f t="shared" si="139"/>
        <v>0</v>
      </c>
      <c r="C455" s="29">
        <f t="shared" si="140"/>
        <v>0</v>
      </c>
      <c r="D455" s="29">
        <f t="shared" si="141"/>
        <v>0</v>
      </c>
      <c r="E455" s="29">
        <f t="shared" si="130"/>
        <v>0</v>
      </c>
      <c r="F455" s="29">
        <f t="shared" si="131"/>
        <v>0</v>
      </c>
      <c r="G455" s="29" t="str">
        <f t="shared" si="132"/>
        <v>offensive</v>
      </c>
      <c r="H455" s="16">
        <f t="shared" si="136"/>
        <v>0</v>
      </c>
      <c r="I455" s="16">
        <f t="shared" si="137"/>
        <v>0</v>
      </c>
      <c r="J455" s="16">
        <f t="shared" si="142"/>
        <v>0</v>
      </c>
      <c r="K455" s="16">
        <f t="shared" si="133"/>
        <v>0</v>
      </c>
      <c r="L455" s="67">
        <f t="shared" si="134"/>
        <v>0</v>
      </c>
      <c r="M455" s="4">
        <f t="shared" si="143"/>
        <v>0</v>
      </c>
      <c r="N455" s="4">
        <f t="shared" si="128"/>
        <v>0</v>
      </c>
      <c r="O455" s="4">
        <f t="shared" si="135"/>
        <v>0</v>
      </c>
      <c r="P455" s="4" t="e">
        <f>VLOOKUP(AJ447,'CIR Team Info'!$C$5:$E$44,2,FALSE)</f>
        <v>#N/A</v>
      </c>
      <c r="Q455" s="4" t="e">
        <f>VLOOKUP(AJ447,'CIR Team Info'!$C$5:$E$44,3,FALSE)</f>
        <v>#N/A</v>
      </c>
      <c r="R455" s="10" t="e">
        <f>VLOOKUP(AJ447,'FRC Site Data'!$B$3:$L$42,2,FALSE)</f>
        <v>#N/A</v>
      </c>
      <c r="S455" s="10" t="e">
        <f>VLOOKUP(AJ447,'FRC Site Data'!$B$3:$L$42,3,FALSE)</f>
        <v>#N/A</v>
      </c>
      <c r="T455" s="10" t="e">
        <f>VLOOKUP(AJ447,'FRC Site Data'!$B$3:$L$42,4,FALSE)</f>
        <v>#N/A</v>
      </c>
      <c r="U455" s="10" t="e">
        <f>VLOOKUP(AJ447,'FRC Site Data'!$B$3:$L$42,5,FALSE)</f>
        <v>#N/A</v>
      </c>
      <c r="V455" s="10" t="e">
        <f>VLOOKUP(AJ447,'FRC Site Data'!$B$3:$L$42,6,FALSE)</f>
        <v>#N/A</v>
      </c>
      <c r="W455" s="10" t="e">
        <f>VLOOKUP(AJ447,'FRC Site Data'!$B$3:$L$42,8,FALSE)</f>
        <v>#N/A</v>
      </c>
      <c r="X455" s="10" t="e">
        <f>VLOOKUP(AJ447,'FRC Site Data'!$B$3:$L$42,9,FALSE)</f>
        <v>#N/A</v>
      </c>
      <c r="Y455" s="10" t="e">
        <f>VLOOKUP(AJ447,'FRC Site Data'!$B$3:$L$42,10,FALSE)</f>
        <v>#N/A</v>
      </c>
      <c r="Z455" s="10" t="e">
        <f>VLOOKUP(AJ447,'FRC Site Data'!$B$3:$L$42,11,FALSE)</f>
        <v>#N/A</v>
      </c>
      <c r="AA455" s="10" t="e">
        <f>VLOOKUP(AJ447,'CIR Team Info'!$C$5:$E$44,4,FALSE)</f>
        <v>#N/A</v>
      </c>
      <c r="AB455" s="161" t="b">
        <f>ISNUMBER(VLOOKUP(AJ447,Match!$T$5:$T$10,1,FALSE))</f>
        <v>0</v>
      </c>
      <c r="AC455" s="161" t="b">
        <f>IF(AB455=TRUE,(VLOOKUP($AJ447,Match!$T$5:$U$10,2,FALSE)))</f>
        <v>0</v>
      </c>
      <c r="AD455" s="8">
        <v>3</v>
      </c>
      <c r="AE455" s="8">
        <v>2</v>
      </c>
      <c r="AF455" s="8">
        <v>2</v>
      </c>
      <c r="AG455" s="8">
        <v>1</v>
      </c>
      <c r="AH455" s="8" t="str">
        <f t="shared" si="138"/>
        <v/>
      </c>
      <c r="AI455" s="12"/>
      <c r="AZ455" s="12"/>
      <c r="BC455" s="12"/>
      <c r="BK455" s="12"/>
    </row>
    <row r="456" spans="1:63" x14ac:dyDescent="0.25">
      <c r="A456" s="29">
        <f t="shared" si="129"/>
        <v>0</v>
      </c>
      <c r="B456" s="29">
        <f t="shared" si="139"/>
        <v>0</v>
      </c>
      <c r="C456" s="29">
        <f t="shared" si="140"/>
        <v>0</v>
      </c>
      <c r="D456" s="29">
        <f t="shared" si="141"/>
        <v>0</v>
      </c>
      <c r="E456" s="29">
        <f t="shared" si="130"/>
        <v>0</v>
      </c>
      <c r="F456" s="29">
        <f t="shared" si="131"/>
        <v>0</v>
      </c>
      <c r="G456" s="29" t="str">
        <f t="shared" si="132"/>
        <v>offensive</v>
      </c>
      <c r="H456" s="16">
        <f t="shared" si="136"/>
        <v>0</v>
      </c>
      <c r="I456" s="16">
        <f t="shared" si="137"/>
        <v>0</v>
      </c>
      <c r="J456" s="16">
        <f t="shared" si="142"/>
        <v>0</v>
      </c>
      <c r="K456" s="16">
        <f t="shared" si="133"/>
        <v>0</v>
      </c>
      <c r="L456" s="67">
        <f t="shared" si="134"/>
        <v>0</v>
      </c>
      <c r="M456" s="4">
        <f t="shared" si="143"/>
        <v>0</v>
      </c>
      <c r="N456" s="4">
        <f t="shared" si="128"/>
        <v>0</v>
      </c>
      <c r="O456" s="4">
        <f t="shared" si="135"/>
        <v>0</v>
      </c>
      <c r="P456" s="4" t="e">
        <f>VLOOKUP(AJ448,'CIR Team Info'!$C$5:$E$44,2,FALSE)</f>
        <v>#N/A</v>
      </c>
      <c r="Q456" s="4" t="e">
        <f>VLOOKUP(AJ448,'CIR Team Info'!$C$5:$E$44,3,FALSE)</f>
        <v>#N/A</v>
      </c>
      <c r="R456" s="10" t="e">
        <f>VLOOKUP(AJ448,'FRC Site Data'!$B$3:$L$42,2,FALSE)</f>
        <v>#N/A</v>
      </c>
      <c r="S456" s="10" t="e">
        <f>VLOOKUP(AJ448,'FRC Site Data'!$B$3:$L$42,3,FALSE)</f>
        <v>#N/A</v>
      </c>
      <c r="T456" s="10" t="e">
        <f>VLOOKUP(AJ448,'FRC Site Data'!$B$3:$L$42,4,FALSE)</f>
        <v>#N/A</v>
      </c>
      <c r="U456" s="10" t="e">
        <f>VLOOKUP(AJ448,'FRC Site Data'!$B$3:$L$42,5,FALSE)</f>
        <v>#N/A</v>
      </c>
      <c r="V456" s="10" t="e">
        <f>VLOOKUP(AJ448,'FRC Site Data'!$B$3:$L$42,6,FALSE)</f>
        <v>#N/A</v>
      </c>
      <c r="W456" s="10" t="e">
        <f>VLOOKUP(AJ448,'FRC Site Data'!$B$3:$L$42,8,FALSE)</f>
        <v>#N/A</v>
      </c>
      <c r="X456" s="10" t="e">
        <f>VLOOKUP(AJ448,'FRC Site Data'!$B$3:$L$42,9,FALSE)</f>
        <v>#N/A</v>
      </c>
      <c r="Y456" s="10" t="e">
        <f>VLOOKUP(AJ448,'FRC Site Data'!$B$3:$L$42,10,FALSE)</f>
        <v>#N/A</v>
      </c>
      <c r="Z456" s="10" t="e">
        <f>VLOOKUP(AJ448,'FRC Site Data'!$B$3:$L$42,11,FALSE)</f>
        <v>#N/A</v>
      </c>
      <c r="AA456" s="10" t="e">
        <f>VLOOKUP(AJ448,'CIR Team Info'!$C$5:$E$44,4,FALSE)</f>
        <v>#N/A</v>
      </c>
      <c r="AB456" s="161" t="b">
        <f>ISNUMBER(VLOOKUP(AJ448,Match!$T$5:$T$10,1,FALSE))</f>
        <v>0</v>
      </c>
      <c r="AC456" s="161" t="b">
        <f>IF(AB456=TRUE,(VLOOKUP($AJ448,Match!$T$5:$U$10,2,FALSE)))</f>
        <v>0</v>
      </c>
      <c r="AD456" s="8">
        <v>3</v>
      </c>
      <c r="AE456" s="8">
        <v>2</v>
      </c>
      <c r="AF456" s="8">
        <v>2</v>
      </c>
      <c r="AG456" s="8">
        <v>1</v>
      </c>
      <c r="AH456" s="8" t="str">
        <f t="shared" si="138"/>
        <v/>
      </c>
      <c r="AI456" s="12"/>
      <c r="AZ456" s="12"/>
      <c r="BC456" s="12"/>
      <c r="BK456" s="12"/>
    </row>
    <row r="457" spans="1:63" x14ac:dyDescent="0.25">
      <c r="A457" s="29">
        <f t="shared" si="129"/>
        <v>0</v>
      </c>
      <c r="B457" s="29">
        <f t="shared" si="139"/>
        <v>0</v>
      </c>
      <c r="C457" s="29">
        <f t="shared" si="140"/>
        <v>0</v>
      </c>
      <c r="D457" s="29">
        <f t="shared" si="141"/>
        <v>0</v>
      </c>
      <c r="E457" s="29">
        <f t="shared" si="130"/>
        <v>0</v>
      </c>
      <c r="F457" s="29">
        <f t="shared" si="131"/>
        <v>0</v>
      </c>
      <c r="G457" s="29" t="str">
        <f t="shared" si="132"/>
        <v>offensive</v>
      </c>
      <c r="H457" s="16">
        <f t="shared" si="136"/>
        <v>0</v>
      </c>
      <c r="I457" s="16">
        <f t="shared" si="137"/>
        <v>0</v>
      </c>
      <c r="J457" s="16">
        <f t="shared" si="142"/>
        <v>0</v>
      </c>
      <c r="K457" s="16">
        <f t="shared" si="133"/>
        <v>0</v>
      </c>
      <c r="L457" s="67">
        <f t="shared" si="134"/>
        <v>0</v>
      </c>
      <c r="M457" s="4">
        <f t="shared" si="143"/>
        <v>0</v>
      </c>
      <c r="N457" s="4">
        <f t="shared" si="128"/>
        <v>0</v>
      </c>
      <c r="O457" s="4">
        <f t="shared" si="135"/>
        <v>0</v>
      </c>
      <c r="P457" s="4" t="e">
        <f>VLOOKUP(AJ449,'CIR Team Info'!$C$5:$E$44,2,FALSE)</f>
        <v>#N/A</v>
      </c>
      <c r="Q457" s="4" t="e">
        <f>VLOOKUP(AJ449,'CIR Team Info'!$C$5:$E$44,3,FALSE)</f>
        <v>#N/A</v>
      </c>
      <c r="R457" s="10" t="e">
        <f>VLOOKUP(AJ449,'FRC Site Data'!$B$3:$L$42,2,FALSE)</f>
        <v>#N/A</v>
      </c>
      <c r="S457" s="10" t="e">
        <f>VLOOKUP(AJ449,'FRC Site Data'!$B$3:$L$42,3,FALSE)</f>
        <v>#N/A</v>
      </c>
      <c r="T457" s="10" t="e">
        <f>VLOOKUP(AJ449,'FRC Site Data'!$B$3:$L$42,4,FALSE)</f>
        <v>#N/A</v>
      </c>
      <c r="U457" s="10" t="e">
        <f>VLOOKUP(AJ449,'FRC Site Data'!$B$3:$L$42,5,FALSE)</f>
        <v>#N/A</v>
      </c>
      <c r="V457" s="10" t="e">
        <f>VLOOKUP(AJ449,'FRC Site Data'!$B$3:$L$42,6,FALSE)</f>
        <v>#N/A</v>
      </c>
      <c r="W457" s="10" t="e">
        <f>VLOOKUP(AJ449,'FRC Site Data'!$B$3:$L$42,8,FALSE)</f>
        <v>#N/A</v>
      </c>
      <c r="X457" s="10" t="e">
        <f>VLOOKUP(AJ449,'FRC Site Data'!$B$3:$L$42,9,FALSE)</f>
        <v>#N/A</v>
      </c>
      <c r="Y457" s="10" t="e">
        <f>VLOOKUP(AJ449,'FRC Site Data'!$B$3:$L$42,10,FALSE)</f>
        <v>#N/A</v>
      </c>
      <c r="Z457" s="10" t="e">
        <f>VLOOKUP(AJ449,'FRC Site Data'!$B$3:$L$42,11,FALSE)</f>
        <v>#N/A</v>
      </c>
      <c r="AA457" s="10" t="e">
        <f>VLOOKUP(AJ449,'CIR Team Info'!$C$5:$E$44,4,FALSE)</f>
        <v>#N/A</v>
      </c>
      <c r="AB457" s="161" t="b">
        <f>ISNUMBER(VLOOKUP(AJ449,Match!$T$5:$T$10,1,FALSE))</f>
        <v>0</v>
      </c>
      <c r="AC457" s="161" t="b">
        <f>IF(AB457=TRUE,(VLOOKUP($AJ449,Match!$T$5:$U$10,2,FALSE)))</f>
        <v>0</v>
      </c>
      <c r="AD457" s="8">
        <v>3</v>
      </c>
      <c r="AE457" s="8">
        <v>2</v>
      </c>
      <c r="AF457" s="8">
        <v>2</v>
      </c>
      <c r="AG457" s="8">
        <v>1</v>
      </c>
      <c r="AH457" s="8" t="str">
        <f t="shared" si="138"/>
        <v/>
      </c>
      <c r="AI457" s="12"/>
      <c r="AZ457" s="12"/>
      <c r="BC457" s="12"/>
      <c r="BK457" s="12"/>
    </row>
    <row r="458" spans="1:63" x14ac:dyDescent="0.25">
      <c r="A458" s="29">
        <f t="shared" si="129"/>
        <v>0</v>
      </c>
      <c r="B458" s="29">
        <f t="shared" si="139"/>
        <v>0</v>
      </c>
      <c r="C458" s="29">
        <f t="shared" si="140"/>
        <v>0</v>
      </c>
      <c r="D458" s="29">
        <f t="shared" si="141"/>
        <v>0</v>
      </c>
      <c r="E458" s="29">
        <f t="shared" si="130"/>
        <v>0</v>
      </c>
      <c r="F458" s="29">
        <f t="shared" si="131"/>
        <v>0</v>
      </c>
      <c r="G458" s="29" t="str">
        <f t="shared" si="132"/>
        <v>offensive</v>
      </c>
      <c r="H458" s="16">
        <f t="shared" si="136"/>
        <v>0</v>
      </c>
      <c r="I458" s="16">
        <f t="shared" si="137"/>
        <v>0</v>
      </c>
      <c r="J458" s="16">
        <f t="shared" si="142"/>
        <v>0</v>
      </c>
      <c r="K458" s="16">
        <f t="shared" si="133"/>
        <v>0</v>
      </c>
      <c r="L458" s="67">
        <f t="shared" si="134"/>
        <v>0</v>
      </c>
      <c r="M458" s="4">
        <f t="shared" si="143"/>
        <v>0</v>
      </c>
      <c r="N458" s="4">
        <f t="shared" si="128"/>
        <v>0</v>
      </c>
      <c r="O458" s="4">
        <f t="shared" si="135"/>
        <v>0</v>
      </c>
      <c r="P458" s="4" t="e">
        <f>VLOOKUP(AJ450,'CIR Team Info'!$C$5:$E$44,2,FALSE)</f>
        <v>#N/A</v>
      </c>
      <c r="Q458" s="4" t="e">
        <f>VLOOKUP(AJ450,'CIR Team Info'!$C$5:$E$44,3,FALSE)</f>
        <v>#N/A</v>
      </c>
      <c r="R458" s="10" t="e">
        <f>VLOOKUP(AJ450,'FRC Site Data'!$B$3:$L$42,2,FALSE)</f>
        <v>#N/A</v>
      </c>
      <c r="S458" s="10" t="e">
        <f>VLOOKUP(AJ450,'FRC Site Data'!$B$3:$L$42,3,FALSE)</f>
        <v>#N/A</v>
      </c>
      <c r="T458" s="10" t="e">
        <f>VLOOKUP(AJ450,'FRC Site Data'!$B$3:$L$42,4,FALSE)</f>
        <v>#N/A</v>
      </c>
      <c r="U458" s="10" t="e">
        <f>VLOOKUP(AJ450,'FRC Site Data'!$B$3:$L$42,5,FALSE)</f>
        <v>#N/A</v>
      </c>
      <c r="V458" s="10" t="e">
        <f>VLOOKUP(AJ450,'FRC Site Data'!$B$3:$L$42,6,FALSE)</f>
        <v>#N/A</v>
      </c>
      <c r="W458" s="10" t="e">
        <f>VLOOKUP(AJ450,'FRC Site Data'!$B$3:$L$42,8,FALSE)</f>
        <v>#N/A</v>
      </c>
      <c r="X458" s="10" t="e">
        <f>VLOOKUP(AJ450,'FRC Site Data'!$B$3:$L$42,9,FALSE)</f>
        <v>#N/A</v>
      </c>
      <c r="Y458" s="10" t="e">
        <f>VLOOKUP(AJ450,'FRC Site Data'!$B$3:$L$42,10,FALSE)</f>
        <v>#N/A</v>
      </c>
      <c r="Z458" s="10" t="e">
        <f>VLOOKUP(AJ450,'FRC Site Data'!$B$3:$L$42,11,FALSE)</f>
        <v>#N/A</v>
      </c>
      <c r="AA458" s="10" t="e">
        <f>VLOOKUP(AJ450,'CIR Team Info'!$C$5:$E$44,4,FALSE)</f>
        <v>#N/A</v>
      </c>
      <c r="AB458" s="161" t="b">
        <f>ISNUMBER(VLOOKUP(AJ450,Match!$T$5:$T$10,1,FALSE))</f>
        <v>0</v>
      </c>
      <c r="AC458" s="161" t="b">
        <f>IF(AB458=TRUE,(VLOOKUP($AJ450,Match!$T$5:$U$10,2,FALSE)))</f>
        <v>0</v>
      </c>
      <c r="AD458" s="8">
        <v>3</v>
      </c>
      <c r="AE458" s="8">
        <v>2</v>
      </c>
      <c r="AF458" s="8">
        <v>2</v>
      </c>
      <c r="AG458" s="8">
        <v>1</v>
      </c>
      <c r="AH458" s="8" t="str">
        <f t="shared" si="138"/>
        <v/>
      </c>
      <c r="AI458" s="12"/>
      <c r="AZ458" s="12"/>
      <c r="BC458" s="12"/>
      <c r="BK458" s="12"/>
    </row>
    <row r="459" spans="1:63" x14ac:dyDescent="0.25">
      <c r="A459" s="29">
        <f t="shared" si="129"/>
        <v>0</v>
      </c>
      <c r="B459" s="29">
        <f t="shared" si="139"/>
        <v>0</v>
      </c>
      <c r="C459" s="29">
        <f t="shared" si="140"/>
        <v>0</v>
      </c>
      <c r="D459" s="29">
        <f t="shared" si="141"/>
        <v>0</v>
      </c>
      <c r="E459" s="29">
        <f t="shared" si="130"/>
        <v>0</v>
      </c>
      <c r="F459" s="29">
        <f t="shared" si="131"/>
        <v>0</v>
      </c>
      <c r="G459" s="29" t="str">
        <f t="shared" si="132"/>
        <v>offensive</v>
      </c>
      <c r="H459" s="16">
        <f t="shared" si="136"/>
        <v>0</v>
      </c>
      <c r="I459" s="16">
        <f t="shared" si="137"/>
        <v>0</v>
      </c>
      <c r="J459" s="16">
        <f t="shared" si="142"/>
        <v>0</v>
      </c>
      <c r="K459" s="16">
        <f t="shared" si="133"/>
        <v>0</v>
      </c>
      <c r="L459" s="67">
        <f t="shared" si="134"/>
        <v>0</v>
      </c>
      <c r="M459" s="4">
        <f t="shared" si="143"/>
        <v>0</v>
      </c>
      <c r="N459" s="4">
        <f t="shared" si="128"/>
        <v>0</v>
      </c>
      <c r="O459" s="4">
        <f t="shared" si="135"/>
        <v>0</v>
      </c>
      <c r="P459" s="4" t="e">
        <f>VLOOKUP(AJ451,'CIR Team Info'!$C$5:$E$44,2,FALSE)</f>
        <v>#N/A</v>
      </c>
      <c r="Q459" s="4" t="e">
        <f>VLOOKUP(AJ451,'CIR Team Info'!$C$5:$E$44,3,FALSE)</f>
        <v>#N/A</v>
      </c>
      <c r="R459" s="10" t="e">
        <f>VLOOKUP(AJ451,'FRC Site Data'!$B$3:$L$42,2,FALSE)</f>
        <v>#N/A</v>
      </c>
      <c r="S459" s="10" t="e">
        <f>VLOOKUP(AJ451,'FRC Site Data'!$B$3:$L$42,3,FALSE)</f>
        <v>#N/A</v>
      </c>
      <c r="T459" s="10" t="e">
        <f>VLOOKUP(AJ451,'FRC Site Data'!$B$3:$L$42,4,FALSE)</f>
        <v>#N/A</v>
      </c>
      <c r="U459" s="10" t="e">
        <f>VLOOKUP(AJ451,'FRC Site Data'!$B$3:$L$42,5,FALSE)</f>
        <v>#N/A</v>
      </c>
      <c r="V459" s="10" t="e">
        <f>VLOOKUP(AJ451,'FRC Site Data'!$B$3:$L$42,6,FALSE)</f>
        <v>#N/A</v>
      </c>
      <c r="W459" s="10" t="e">
        <f>VLOOKUP(AJ451,'FRC Site Data'!$B$3:$L$42,8,FALSE)</f>
        <v>#N/A</v>
      </c>
      <c r="X459" s="10" t="e">
        <f>VLOOKUP(AJ451,'FRC Site Data'!$B$3:$L$42,9,FALSE)</f>
        <v>#N/A</v>
      </c>
      <c r="Y459" s="10" t="e">
        <f>VLOOKUP(AJ451,'FRC Site Data'!$B$3:$L$42,10,FALSE)</f>
        <v>#N/A</v>
      </c>
      <c r="Z459" s="10" t="e">
        <f>VLOOKUP(AJ451,'FRC Site Data'!$B$3:$L$42,11,FALSE)</f>
        <v>#N/A</v>
      </c>
      <c r="AA459" s="10" t="e">
        <f>VLOOKUP(AJ451,'CIR Team Info'!$C$5:$E$44,4,FALSE)</f>
        <v>#N/A</v>
      </c>
      <c r="AB459" s="161" t="b">
        <f>ISNUMBER(VLOOKUP(AJ451,Match!$T$5:$T$10,1,FALSE))</f>
        <v>0</v>
      </c>
      <c r="AC459" s="161" t="b">
        <f>IF(AB459=TRUE,(VLOOKUP($AJ451,Match!$T$5:$U$10,2,FALSE)))</f>
        <v>0</v>
      </c>
      <c r="AD459" s="8">
        <v>3</v>
      </c>
      <c r="AE459" s="8">
        <v>2</v>
      </c>
      <c r="AF459" s="8">
        <v>2</v>
      </c>
      <c r="AG459" s="8">
        <v>1</v>
      </c>
      <c r="AH459" s="8" t="str">
        <f t="shared" si="138"/>
        <v/>
      </c>
      <c r="AI459" s="12"/>
      <c r="AZ459" s="12"/>
      <c r="BC459" s="12"/>
      <c r="BK459" s="12"/>
    </row>
    <row r="460" spans="1:63" x14ac:dyDescent="0.25">
      <c r="A460" s="29">
        <f t="shared" si="129"/>
        <v>0</v>
      </c>
      <c r="B460" s="29">
        <f t="shared" si="139"/>
        <v>0</v>
      </c>
      <c r="C460" s="29">
        <f t="shared" si="140"/>
        <v>0</v>
      </c>
      <c r="D460" s="29">
        <f t="shared" si="141"/>
        <v>0</v>
      </c>
      <c r="E460" s="29">
        <f t="shared" si="130"/>
        <v>0</v>
      </c>
      <c r="F460" s="29">
        <f t="shared" si="131"/>
        <v>0</v>
      </c>
      <c r="G460" s="29" t="str">
        <f t="shared" si="132"/>
        <v>offensive</v>
      </c>
      <c r="H460" s="16">
        <f t="shared" si="136"/>
        <v>0</v>
      </c>
      <c r="I460" s="16">
        <f t="shared" si="137"/>
        <v>0</v>
      </c>
      <c r="J460" s="16">
        <f t="shared" si="142"/>
        <v>0</v>
      </c>
      <c r="K460" s="16">
        <f t="shared" si="133"/>
        <v>0</v>
      </c>
      <c r="L460" s="67">
        <f t="shared" si="134"/>
        <v>0</v>
      </c>
      <c r="M460" s="4">
        <f t="shared" si="143"/>
        <v>0</v>
      </c>
      <c r="N460" s="4">
        <f t="shared" si="128"/>
        <v>0</v>
      </c>
      <c r="O460" s="4">
        <f t="shared" si="135"/>
        <v>0</v>
      </c>
      <c r="P460" s="4" t="e">
        <f>VLOOKUP(AJ452,'CIR Team Info'!$C$5:$E$44,2,FALSE)</f>
        <v>#N/A</v>
      </c>
      <c r="Q460" s="4" t="e">
        <f>VLOOKUP(AJ452,'CIR Team Info'!$C$5:$E$44,3,FALSE)</f>
        <v>#N/A</v>
      </c>
      <c r="R460" s="10" t="e">
        <f>VLOOKUP(AJ452,'FRC Site Data'!$B$3:$L$42,2,FALSE)</f>
        <v>#N/A</v>
      </c>
      <c r="S460" s="10" t="e">
        <f>VLOOKUP(AJ452,'FRC Site Data'!$B$3:$L$42,3,FALSE)</f>
        <v>#N/A</v>
      </c>
      <c r="T460" s="10" t="e">
        <f>VLOOKUP(AJ452,'FRC Site Data'!$B$3:$L$42,4,FALSE)</f>
        <v>#N/A</v>
      </c>
      <c r="U460" s="10" t="e">
        <f>VLOOKUP(AJ452,'FRC Site Data'!$B$3:$L$42,5,FALSE)</f>
        <v>#N/A</v>
      </c>
      <c r="V460" s="10" t="e">
        <f>VLOOKUP(AJ452,'FRC Site Data'!$B$3:$L$42,6,FALSE)</f>
        <v>#N/A</v>
      </c>
      <c r="W460" s="10" t="e">
        <f>VLOOKUP(AJ452,'FRC Site Data'!$B$3:$L$42,8,FALSE)</f>
        <v>#N/A</v>
      </c>
      <c r="X460" s="10" t="e">
        <f>VLOOKUP(AJ452,'FRC Site Data'!$B$3:$L$42,9,FALSE)</f>
        <v>#N/A</v>
      </c>
      <c r="Y460" s="10" t="e">
        <f>VLOOKUP(AJ452,'FRC Site Data'!$B$3:$L$42,10,FALSE)</f>
        <v>#N/A</v>
      </c>
      <c r="Z460" s="10" t="e">
        <f>VLOOKUP(AJ452,'FRC Site Data'!$B$3:$L$42,11,FALSE)</f>
        <v>#N/A</v>
      </c>
      <c r="AA460" s="10" t="e">
        <f>VLOOKUP(AJ452,'CIR Team Info'!$C$5:$E$44,4,FALSE)</f>
        <v>#N/A</v>
      </c>
      <c r="AB460" s="161" t="b">
        <f>ISNUMBER(VLOOKUP(AJ452,Match!$T$5:$T$10,1,FALSE))</f>
        <v>0</v>
      </c>
      <c r="AC460" s="161" t="b">
        <f>IF(AB460=TRUE,(VLOOKUP($AJ452,Match!$T$5:$U$10,2,FALSE)))</f>
        <v>0</v>
      </c>
      <c r="AD460" s="8">
        <v>3</v>
      </c>
      <c r="AE460" s="8">
        <v>2</v>
      </c>
      <c r="AF460" s="8">
        <v>2</v>
      </c>
      <c r="AG460" s="8">
        <v>1</v>
      </c>
      <c r="AH460" s="8" t="str">
        <f t="shared" si="138"/>
        <v/>
      </c>
      <c r="AI460" s="12"/>
      <c r="AZ460" s="12"/>
      <c r="BC460" s="12"/>
      <c r="BK460" s="12"/>
    </row>
    <row r="461" spans="1:63" x14ac:dyDescent="0.25">
      <c r="A461" s="29">
        <f t="shared" si="129"/>
        <v>0</v>
      </c>
      <c r="B461" s="29">
        <f t="shared" si="139"/>
        <v>0</v>
      </c>
      <c r="C461" s="29">
        <f t="shared" si="140"/>
        <v>0</v>
      </c>
      <c r="D461" s="29">
        <f t="shared" si="141"/>
        <v>0</v>
      </c>
      <c r="E461" s="29">
        <f t="shared" si="130"/>
        <v>0</v>
      </c>
      <c r="F461" s="29">
        <f t="shared" si="131"/>
        <v>0</v>
      </c>
      <c r="G461" s="29" t="str">
        <f t="shared" si="132"/>
        <v>offensive</v>
      </c>
      <c r="H461" s="16">
        <f t="shared" si="136"/>
        <v>0</v>
      </c>
      <c r="I461" s="16">
        <f t="shared" si="137"/>
        <v>0</v>
      </c>
      <c r="J461" s="16">
        <f t="shared" si="142"/>
        <v>0</v>
      </c>
      <c r="K461" s="16">
        <f t="shared" si="133"/>
        <v>0</v>
      </c>
      <c r="L461" s="67">
        <f t="shared" si="134"/>
        <v>0</v>
      </c>
      <c r="M461" s="4">
        <f t="shared" si="143"/>
        <v>0</v>
      </c>
      <c r="N461" s="4">
        <f t="shared" si="128"/>
        <v>0</v>
      </c>
      <c r="O461" s="4">
        <f t="shared" si="135"/>
        <v>0</v>
      </c>
      <c r="P461" s="4" t="e">
        <f>VLOOKUP(AJ453,'CIR Team Info'!$C$5:$E$44,2,FALSE)</f>
        <v>#N/A</v>
      </c>
      <c r="Q461" s="4" t="e">
        <f>VLOOKUP(AJ453,'CIR Team Info'!$C$5:$E$44,3,FALSE)</f>
        <v>#N/A</v>
      </c>
      <c r="R461" s="10" t="e">
        <f>VLOOKUP(AJ453,'FRC Site Data'!$B$3:$L$42,2,FALSE)</f>
        <v>#N/A</v>
      </c>
      <c r="S461" s="10" t="e">
        <f>VLOOKUP(AJ453,'FRC Site Data'!$B$3:$L$42,3,FALSE)</f>
        <v>#N/A</v>
      </c>
      <c r="T461" s="10" t="e">
        <f>VLOOKUP(AJ453,'FRC Site Data'!$B$3:$L$42,4,FALSE)</f>
        <v>#N/A</v>
      </c>
      <c r="U461" s="10" t="e">
        <f>VLOOKUP(AJ453,'FRC Site Data'!$B$3:$L$42,5,FALSE)</f>
        <v>#N/A</v>
      </c>
      <c r="V461" s="10" t="e">
        <f>VLOOKUP(AJ453,'FRC Site Data'!$B$3:$L$42,6,FALSE)</f>
        <v>#N/A</v>
      </c>
      <c r="W461" s="10" t="e">
        <f>VLOOKUP(AJ453,'FRC Site Data'!$B$3:$L$42,8,FALSE)</f>
        <v>#N/A</v>
      </c>
      <c r="X461" s="10" t="e">
        <f>VLOOKUP(AJ453,'FRC Site Data'!$B$3:$L$42,9,FALSE)</f>
        <v>#N/A</v>
      </c>
      <c r="Y461" s="10" t="e">
        <f>VLOOKUP(AJ453,'FRC Site Data'!$B$3:$L$42,10,FALSE)</f>
        <v>#N/A</v>
      </c>
      <c r="Z461" s="10" t="e">
        <f>VLOOKUP(AJ453,'FRC Site Data'!$B$3:$L$42,11,FALSE)</f>
        <v>#N/A</v>
      </c>
      <c r="AA461" s="10" t="e">
        <f>VLOOKUP(AJ453,'CIR Team Info'!$C$5:$E$44,4,FALSE)</f>
        <v>#N/A</v>
      </c>
      <c r="AB461" s="161" t="b">
        <f>ISNUMBER(VLOOKUP(AJ453,Match!$T$5:$T$10,1,FALSE))</f>
        <v>0</v>
      </c>
      <c r="AC461" s="161" t="b">
        <f>IF(AB461=TRUE,(VLOOKUP($AJ453,Match!$T$5:$U$10,2,FALSE)))</f>
        <v>0</v>
      </c>
      <c r="AD461" s="8">
        <v>3</v>
      </c>
      <c r="AE461" s="8">
        <v>2</v>
      </c>
      <c r="AF461" s="8">
        <v>2</v>
      </c>
      <c r="AG461" s="8">
        <v>1</v>
      </c>
      <c r="AH461" s="8" t="str">
        <f t="shared" si="138"/>
        <v/>
      </c>
      <c r="AI461" s="12"/>
      <c r="AZ461" s="12"/>
      <c r="BC461" s="12"/>
      <c r="BK461" s="12"/>
    </row>
    <row r="462" spans="1:63" x14ac:dyDescent="0.25">
      <c r="A462" s="29">
        <f t="shared" si="129"/>
        <v>0</v>
      </c>
      <c r="B462" s="29">
        <f t="shared" si="139"/>
        <v>0</v>
      </c>
      <c r="C462" s="29">
        <f t="shared" si="140"/>
        <v>0</v>
      </c>
      <c r="D462" s="29">
        <f t="shared" si="141"/>
        <v>0</v>
      </c>
      <c r="E462" s="29">
        <f t="shared" si="130"/>
        <v>0</v>
      </c>
      <c r="F462" s="29">
        <f t="shared" si="131"/>
        <v>0</v>
      </c>
      <c r="G462" s="29" t="str">
        <f t="shared" si="132"/>
        <v>offensive</v>
      </c>
      <c r="H462" s="16">
        <f t="shared" si="136"/>
        <v>0</v>
      </c>
      <c r="I462" s="16">
        <f t="shared" si="137"/>
        <v>0</v>
      </c>
      <c r="J462" s="16">
        <f t="shared" si="142"/>
        <v>0</v>
      </c>
      <c r="K462" s="16">
        <f t="shared" si="133"/>
        <v>0</v>
      </c>
      <c r="L462" s="67">
        <f t="shared" si="134"/>
        <v>0</v>
      </c>
      <c r="M462" s="4">
        <f t="shared" si="143"/>
        <v>0</v>
      </c>
      <c r="N462" s="4">
        <f t="shared" si="128"/>
        <v>0</v>
      </c>
      <c r="O462" s="4">
        <f t="shared" si="135"/>
        <v>0</v>
      </c>
      <c r="P462" s="4" t="e">
        <f>VLOOKUP(AJ454,'CIR Team Info'!$C$5:$E$44,2,FALSE)</f>
        <v>#N/A</v>
      </c>
      <c r="Q462" s="4" t="e">
        <f>VLOOKUP(AJ454,'CIR Team Info'!$C$5:$E$44,3,FALSE)</f>
        <v>#N/A</v>
      </c>
      <c r="R462" s="10" t="e">
        <f>VLOOKUP(AJ454,'FRC Site Data'!$B$3:$L$42,2,FALSE)</f>
        <v>#N/A</v>
      </c>
      <c r="S462" s="10" t="e">
        <f>VLOOKUP(AJ454,'FRC Site Data'!$B$3:$L$42,3,FALSE)</f>
        <v>#N/A</v>
      </c>
      <c r="T462" s="10" t="e">
        <f>VLOOKUP(AJ454,'FRC Site Data'!$B$3:$L$42,4,FALSE)</f>
        <v>#N/A</v>
      </c>
      <c r="U462" s="10" t="e">
        <f>VLOOKUP(AJ454,'FRC Site Data'!$B$3:$L$42,5,FALSE)</f>
        <v>#N/A</v>
      </c>
      <c r="V462" s="10" t="e">
        <f>VLOOKUP(AJ454,'FRC Site Data'!$B$3:$L$42,6,FALSE)</f>
        <v>#N/A</v>
      </c>
      <c r="W462" s="10" t="e">
        <f>VLOOKUP(AJ454,'FRC Site Data'!$B$3:$L$42,8,FALSE)</f>
        <v>#N/A</v>
      </c>
      <c r="X462" s="10" t="e">
        <f>VLOOKUP(AJ454,'FRC Site Data'!$B$3:$L$42,9,FALSE)</f>
        <v>#N/A</v>
      </c>
      <c r="Y462" s="10" t="e">
        <f>VLOOKUP(AJ454,'FRC Site Data'!$B$3:$L$42,10,FALSE)</f>
        <v>#N/A</v>
      </c>
      <c r="Z462" s="10" t="e">
        <f>VLOOKUP(AJ454,'FRC Site Data'!$B$3:$L$42,11,FALSE)</f>
        <v>#N/A</v>
      </c>
      <c r="AA462" s="10" t="e">
        <f>VLOOKUP(AJ454,'CIR Team Info'!$C$5:$E$44,4,FALSE)</f>
        <v>#N/A</v>
      </c>
      <c r="AB462" s="161" t="b">
        <f>ISNUMBER(VLOOKUP(AJ454,Match!$T$5:$T$10,1,FALSE))</f>
        <v>0</v>
      </c>
      <c r="AC462" s="161" t="b">
        <f>IF(AB462=TRUE,(VLOOKUP($AJ454,Match!$T$5:$U$10,2,FALSE)))</f>
        <v>0</v>
      </c>
      <c r="AD462" s="8">
        <v>3</v>
      </c>
      <c r="AE462" s="8">
        <v>2</v>
      </c>
      <c r="AF462" s="8">
        <v>2</v>
      </c>
      <c r="AG462" s="8">
        <v>1</v>
      </c>
      <c r="AH462" s="8" t="str">
        <f t="shared" si="138"/>
        <v/>
      </c>
      <c r="AI462" s="12"/>
      <c r="AZ462" s="12"/>
      <c r="BC462" s="12"/>
      <c r="BK462" s="12"/>
    </row>
    <row r="463" spans="1:63" x14ac:dyDescent="0.25">
      <c r="A463" s="29">
        <f t="shared" si="129"/>
        <v>0</v>
      </c>
      <c r="B463" s="29">
        <f t="shared" si="139"/>
        <v>0</v>
      </c>
      <c r="C463" s="29">
        <f t="shared" si="140"/>
        <v>0</v>
      </c>
      <c r="D463" s="29">
        <f t="shared" si="141"/>
        <v>0</v>
      </c>
      <c r="E463" s="29">
        <f t="shared" si="130"/>
        <v>0</v>
      </c>
      <c r="F463" s="29">
        <f t="shared" si="131"/>
        <v>0</v>
      </c>
      <c r="G463" s="29" t="str">
        <f t="shared" si="132"/>
        <v>offensive</v>
      </c>
      <c r="H463" s="16">
        <f t="shared" si="136"/>
        <v>0</v>
      </c>
      <c r="I463" s="16">
        <f t="shared" si="137"/>
        <v>0</v>
      </c>
      <c r="J463" s="16">
        <f t="shared" si="142"/>
        <v>0</v>
      </c>
      <c r="K463" s="16">
        <f t="shared" si="133"/>
        <v>0</v>
      </c>
      <c r="L463" s="67">
        <f t="shared" si="134"/>
        <v>0</v>
      </c>
      <c r="M463" s="4">
        <f t="shared" si="143"/>
        <v>0</v>
      </c>
      <c r="N463" s="4">
        <f t="shared" ref="N463:N522" si="144">AO455+AV455+BD455</f>
        <v>0</v>
      </c>
      <c r="O463" s="4">
        <f t="shared" si="135"/>
        <v>0</v>
      </c>
      <c r="P463" s="4" t="e">
        <f>VLOOKUP(AJ455,'CIR Team Info'!$C$5:$E$44,2,FALSE)</f>
        <v>#N/A</v>
      </c>
      <c r="Q463" s="4" t="e">
        <f>VLOOKUP(AJ455,'CIR Team Info'!$C$5:$E$44,3,FALSE)</f>
        <v>#N/A</v>
      </c>
      <c r="R463" s="10" t="e">
        <f>VLOOKUP(AJ455,'FRC Site Data'!$B$3:$L$42,2,FALSE)</f>
        <v>#N/A</v>
      </c>
      <c r="S463" s="10" t="e">
        <f>VLOOKUP(AJ455,'FRC Site Data'!$B$3:$L$42,3,FALSE)</f>
        <v>#N/A</v>
      </c>
      <c r="T463" s="10" t="e">
        <f>VLOOKUP(AJ455,'FRC Site Data'!$B$3:$L$42,4,FALSE)</f>
        <v>#N/A</v>
      </c>
      <c r="U463" s="10" t="e">
        <f>VLOOKUP(AJ455,'FRC Site Data'!$B$3:$L$42,5,FALSE)</f>
        <v>#N/A</v>
      </c>
      <c r="V463" s="10" t="e">
        <f>VLOOKUP(AJ455,'FRC Site Data'!$B$3:$L$42,6,FALSE)</f>
        <v>#N/A</v>
      </c>
      <c r="W463" s="10" t="e">
        <f>VLOOKUP(AJ455,'FRC Site Data'!$B$3:$L$42,8,FALSE)</f>
        <v>#N/A</v>
      </c>
      <c r="X463" s="10" t="e">
        <f>VLOOKUP(AJ455,'FRC Site Data'!$B$3:$L$42,9,FALSE)</f>
        <v>#N/A</v>
      </c>
      <c r="Y463" s="10" t="e">
        <f>VLOOKUP(AJ455,'FRC Site Data'!$B$3:$L$42,10,FALSE)</f>
        <v>#N/A</v>
      </c>
      <c r="Z463" s="10" t="e">
        <f>VLOOKUP(AJ455,'FRC Site Data'!$B$3:$L$42,11,FALSE)</f>
        <v>#N/A</v>
      </c>
      <c r="AA463" s="10" t="e">
        <f>VLOOKUP(AJ455,'CIR Team Info'!$C$5:$E$44,4,FALSE)</f>
        <v>#N/A</v>
      </c>
      <c r="AB463" s="161" t="b">
        <f>ISNUMBER(VLOOKUP(AJ455,Match!$T$5:$T$10,1,FALSE))</f>
        <v>0</v>
      </c>
      <c r="AC463" s="161" t="b">
        <f>IF(AB463=TRUE,(VLOOKUP($AJ455,Match!$T$5:$U$10,2,FALSE)))</f>
        <v>0</v>
      </c>
      <c r="AD463" s="8">
        <v>3</v>
      </c>
      <c r="AE463" s="8">
        <v>2</v>
      </c>
      <c r="AF463" s="8">
        <v>2</v>
      </c>
      <c r="AG463" s="8">
        <v>1</v>
      </c>
      <c r="AH463" s="8" t="str">
        <f t="shared" si="138"/>
        <v/>
      </c>
      <c r="AI463" s="12"/>
      <c r="AZ463" s="12"/>
      <c r="BC463" s="12"/>
      <c r="BK463" s="12"/>
    </row>
    <row r="464" spans="1:63" x14ac:dyDescent="0.25">
      <c r="A464" s="29">
        <f t="shared" ref="A464:A523" si="145">SUM(B464:F464)</f>
        <v>0</v>
      </c>
      <c r="B464" s="29">
        <f t="shared" si="139"/>
        <v>0</v>
      </c>
      <c r="C464" s="29">
        <f t="shared" si="140"/>
        <v>0</v>
      </c>
      <c r="D464" s="29">
        <f t="shared" si="141"/>
        <v>0</v>
      </c>
      <c r="E464" s="29">
        <f t="shared" ref="E464:E523" si="146">K464*O464</f>
        <v>0</v>
      </c>
      <c r="F464" s="29">
        <f t="shared" ref="F464:F523" si="147">IF(AN456&gt;0,5)-2*COUNTIF(AQ456,"K")+5*COUNTIF(AS456,"T")+IF(AX456=3,2)+IF(AY456="T",2)</f>
        <v>0</v>
      </c>
      <c r="G464" s="29" t="str">
        <f t="shared" ref="G464:G523" si="148">IF((BB456+BC456)&gt;45,"defensive",IF((BB456+BC456)&gt;15,"both","offensive"))</f>
        <v>offensive</v>
      </c>
      <c r="H464" s="16">
        <f t="shared" si="136"/>
        <v>0</v>
      </c>
      <c r="I464" s="16">
        <f t="shared" si="137"/>
        <v>0</v>
      </c>
      <c r="J464" s="16">
        <f t="shared" si="142"/>
        <v>0</v>
      </c>
      <c r="K464" s="16">
        <f t="shared" ref="K464:K523" si="149">IF((BB456+BC456)=0,0,((AZ456*BB456*0.2)+(BA456*BC456*0.3))/(BB456+BC456))</f>
        <v>0</v>
      </c>
      <c r="L464" s="67">
        <f t="shared" ref="L464:L523" si="150">IF(BF456&gt;BG456,BF456,BG456)</f>
        <v>0</v>
      </c>
      <c r="M464" s="4">
        <f t="shared" si="143"/>
        <v>0</v>
      </c>
      <c r="N464" s="4">
        <f t="shared" si="144"/>
        <v>0</v>
      </c>
      <c r="O464" s="4">
        <f t="shared" ref="O464:O523" si="151">(AZ456*0.2*BB456*30/30)+(BA456*0.3*BC456*12/30)-BI456-BJ456</f>
        <v>0</v>
      </c>
      <c r="P464" s="4" t="e">
        <f>VLOOKUP(AJ456,'CIR Team Info'!$C$5:$E$44,2,FALSE)</f>
        <v>#N/A</v>
      </c>
      <c r="Q464" s="4" t="e">
        <f>VLOOKUP(AJ456,'CIR Team Info'!$C$5:$E$44,3,FALSE)</f>
        <v>#N/A</v>
      </c>
      <c r="R464" s="10" t="e">
        <f>VLOOKUP(AJ456,'FRC Site Data'!$B$3:$L$42,2,FALSE)</f>
        <v>#N/A</v>
      </c>
      <c r="S464" s="10" t="e">
        <f>VLOOKUP(AJ456,'FRC Site Data'!$B$3:$L$42,3,FALSE)</f>
        <v>#N/A</v>
      </c>
      <c r="T464" s="10" t="e">
        <f>VLOOKUP(AJ456,'FRC Site Data'!$B$3:$L$42,4,FALSE)</f>
        <v>#N/A</v>
      </c>
      <c r="U464" s="10" t="e">
        <f>VLOOKUP(AJ456,'FRC Site Data'!$B$3:$L$42,5,FALSE)</f>
        <v>#N/A</v>
      </c>
      <c r="V464" s="10" t="e">
        <f>VLOOKUP(AJ456,'FRC Site Data'!$B$3:$L$42,6,FALSE)</f>
        <v>#N/A</v>
      </c>
      <c r="W464" s="10" t="e">
        <f>VLOOKUP(AJ456,'FRC Site Data'!$B$3:$L$42,8,FALSE)</f>
        <v>#N/A</v>
      </c>
      <c r="X464" s="10" t="e">
        <f>VLOOKUP(AJ456,'FRC Site Data'!$B$3:$L$42,9,FALSE)</f>
        <v>#N/A</v>
      </c>
      <c r="Y464" s="10" t="e">
        <f>VLOOKUP(AJ456,'FRC Site Data'!$B$3:$L$42,10,FALSE)</f>
        <v>#N/A</v>
      </c>
      <c r="Z464" s="10" t="e">
        <f>VLOOKUP(AJ456,'FRC Site Data'!$B$3:$L$42,11,FALSE)</f>
        <v>#N/A</v>
      </c>
      <c r="AA464" s="10" t="e">
        <f>VLOOKUP(AJ456,'CIR Team Info'!$C$5:$E$44,4,FALSE)</f>
        <v>#N/A</v>
      </c>
      <c r="AB464" s="161" t="b">
        <f>ISNUMBER(VLOOKUP(AJ456,Match!$T$5:$T$10,1,FALSE))</f>
        <v>0</v>
      </c>
      <c r="AC464" s="161" t="b">
        <f>IF(AB464=TRUE,(VLOOKUP($AJ456,Match!$T$5:$U$10,2,FALSE)))</f>
        <v>0</v>
      </c>
      <c r="AD464" s="8">
        <v>3</v>
      </c>
      <c r="AE464" s="8">
        <v>2</v>
      </c>
      <c r="AF464" s="8">
        <v>2</v>
      </c>
      <c r="AG464" s="8">
        <v>1</v>
      </c>
      <c r="AH464" s="8" t="str">
        <f t="shared" si="138"/>
        <v/>
      </c>
      <c r="AI464" s="12"/>
      <c r="AZ464" s="12"/>
      <c r="BC464" s="12"/>
      <c r="BK464" s="12"/>
    </row>
    <row r="465" spans="1:63" x14ac:dyDescent="0.25">
      <c r="A465" s="29">
        <f t="shared" si="145"/>
        <v>0</v>
      </c>
      <c r="B465" s="29">
        <f t="shared" si="139"/>
        <v>0</v>
      </c>
      <c r="C465" s="29">
        <f t="shared" si="140"/>
        <v>0</v>
      </c>
      <c r="D465" s="29">
        <f t="shared" si="141"/>
        <v>0</v>
      </c>
      <c r="E465" s="29">
        <f t="shared" si="146"/>
        <v>0</v>
      </c>
      <c r="F465" s="29">
        <f t="shared" si="147"/>
        <v>0</v>
      </c>
      <c r="G465" s="29" t="str">
        <f t="shared" si="148"/>
        <v>offensive</v>
      </c>
      <c r="H465" s="16">
        <f t="shared" si="136"/>
        <v>0</v>
      </c>
      <c r="I465" s="16">
        <f t="shared" si="137"/>
        <v>0</v>
      </c>
      <c r="J465" s="16">
        <f t="shared" si="142"/>
        <v>0</v>
      </c>
      <c r="K465" s="16">
        <f t="shared" si="149"/>
        <v>0</v>
      </c>
      <c r="L465" s="67">
        <f t="shared" si="150"/>
        <v>0</v>
      </c>
      <c r="M465" s="4">
        <f t="shared" si="143"/>
        <v>0</v>
      </c>
      <c r="N465" s="4">
        <f t="shared" si="144"/>
        <v>0</v>
      </c>
      <c r="O465" s="4">
        <f t="shared" si="151"/>
        <v>0</v>
      </c>
      <c r="P465" s="4" t="e">
        <f>VLOOKUP(AJ457,'CIR Team Info'!$C$5:$E$44,2,FALSE)</f>
        <v>#N/A</v>
      </c>
      <c r="Q465" s="4" t="e">
        <f>VLOOKUP(AJ457,'CIR Team Info'!$C$5:$E$44,3,FALSE)</f>
        <v>#N/A</v>
      </c>
      <c r="R465" s="10" t="e">
        <f>VLOOKUP(AJ457,'FRC Site Data'!$B$3:$L$42,2,FALSE)</f>
        <v>#N/A</v>
      </c>
      <c r="S465" s="10" t="e">
        <f>VLOOKUP(AJ457,'FRC Site Data'!$B$3:$L$42,3,FALSE)</f>
        <v>#N/A</v>
      </c>
      <c r="T465" s="10" t="e">
        <f>VLOOKUP(AJ457,'FRC Site Data'!$B$3:$L$42,4,FALSE)</f>
        <v>#N/A</v>
      </c>
      <c r="U465" s="10" t="e">
        <f>VLOOKUP(AJ457,'FRC Site Data'!$B$3:$L$42,5,FALSE)</f>
        <v>#N/A</v>
      </c>
      <c r="V465" s="10" t="e">
        <f>VLOOKUP(AJ457,'FRC Site Data'!$B$3:$L$42,6,FALSE)</f>
        <v>#N/A</v>
      </c>
      <c r="W465" s="10" t="e">
        <f>VLOOKUP(AJ457,'FRC Site Data'!$B$3:$L$42,8,FALSE)</f>
        <v>#N/A</v>
      </c>
      <c r="X465" s="10" t="e">
        <f>VLOOKUP(AJ457,'FRC Site Data'!$B$3:$L$42,9,FALSE)</f>
        <v>#N/A</v>
      </c>
      <c r="Y465" s="10" t="e">
        <f>VLOOKUP(AJ457,'FRC Site Data'!$B$3:$L$42,10,FALSE)</f>
        <v>#N/A</v>
      </c>
      <c r="Z465" s="10" t="e">
        <f>VLOOKUP(AJ457,'FRC Site Data'!$B$3:$L$42,11,FALSE)</f>
        <v>#N/A</v>
      </c>
      <c r="AA465" s="10" t="e">
        <f>VLOOKUP(AJ457,'CIR Team Info'!$C$5:$E$44,4,FALSE)</f>
        <v>#N/A</v>
      </c>
      <c r="AB465" s="161" t="b">
        <f>ISNUMBER(VLOOKUP(AJ457,Match!$T$5:$T$10,1,FALSE))</f>
        <v>0</v>
      </c>
      <c r="AC465" s="161" t="b">
        <f>IF(AB465=TRUE,(VLOOKUP($AJ457,Match!$T$5:$U$10,2,FALSE)))</f>
        <v>0</v>
      </c>
      <c r="AD465" s="8">
        <v>3</v>
      </c>
      <c r="AE465" s="8">
        <v>2</v>
      </c>
      <c r="AF465" s="8">
        <v>2</v>
      </c>
      <c r="AG465" s="8">
        <v>1</v>
      </c>
      <c r="AH465" s="8" t="str">
        <f t="shared" si="138"/>
        <v/>
      </c>
      <c r="AI465" s="12"/>
      <c r="AZ465" s="12"/>
      <c r="BC465" s="12"/>
      <c r="BK465" s="12"/>
    </row>
    <row r="466" spans="1:63" x14ac:dyDescent="0.25">
      <c r="A466" s="29">
        <f t="shared" si="145"/>
        <v>0</v>
      </c>
      <c r="B466" s="29">
        <f t="shared" si="139"/>
        <v>0</v>
      </c>
      <c r="C466" s="29">
        <f t="shared" si="140"/>
        <v>0</v>
      </c>
      <c r="D466" s="29">
        <f t="shared" si="141"/>
        <v>0</v>
      </c>
      <c r="E466" s="29">
        <f t="shared" si="146"/>
        <v>0</v>
      </c>
      <c r="F466" s="29">
        <f t="shared" si="147"/>
        <v>0</v>
      </c>
      <c r="G466" s="29" t="str">
        <f t="shared" si="148"/>
        <v>offensive</v>
      </c>
      <c r="H466" s="16">
        <f t="shared" si="136"/>
        <v>0</v>
      </c>
      <c r="I466" s="16">
        <f t="shared" si="137"/>
        <v>0</v>
      </c>
      <c r="J466" s="16">
        <f t="shared" si="142"/>
        <v>0</v>
      </c>
      <c r="K466" s="16">
        <f t="shared" si="149"/>
        <v>0</v>
      </c>
      <c r="L466" s="67">
        <f t="shared" si="150"/>
        <v>0</v>
      </c>
      <c r="M466" s="4">
        <f t="shared" si="143"/>
        <v>0</v>
      </c>
      <c r="N466" s="4">
        <f t="shared" si="144"/>
        <v>0</v>
      </c>
      <c r="O466" s="4">
        <f t="shared" si="151"/>
        <v>0</v>
      </c>
      <c r="P466" s="4" t="e">
        <f>VLOOKUP(AJ458,'CIR Team Info'!$C$5:$E$44,2,FALSE)</f>
        <v>#N/A</v>
      </c>
      <c r="Q466" s="4" t="e">
        <f>VLOOKUP(AJ458,'CIR Team Info'!$C$5:$E$44,3,FALSE)</f>
        <v>#N/A</v>
      </c>
      <c r="R466" s="10" t="e">
        <f>VLOOKUP(AJ458,'FRC Site Data'!$B$3:$L$42,2,FALSE)</f>
        <v>#N/A</v>
      </c>
      <c r="S466" s="10" t="e">
        <f>VLOOKUP(AJ458,'FRC Site Data'!$B$3:$L$42,3,FALSE)</f>
        <v>#N/A</v>
      </c>
      <c r="T466" s="10" t="e">
        <f>VLOOKUP(AJ458,'FRC Site Data'!$B$3:$L$42,4,FALSE)</f>
        <v>#N/A</v>
      </c>
      <c r="U466" s="10" t="e">
        <f>VLOOKUP(AJ458,'FRC Site Data'!$B$3:$L$42,5,FALSE)</f>
        <v>#N/A</v>
      </c>
      <c r="V466" s="10" t="e">
        <f>VLOOKUP(AJ458,'FRC Site Data'!$B$3:$L$42,6,FALSE)</f>
        <v>#N/A</v>
      </c>
      <c r="W466" s="10" t="e">
        <f>VLOOKUP(AJ458,'FRC Site Data'!$B$3:$L$42,8,FALSE)</f>
        <v>#N/A</v>
      </c>
      <c r="X466" s="10" t="e">
        <f>VLOOKUP(AJ458,'FRC Site Data'!$B$3:$L$42,9,FALSE)</f>
        <v>#N/A</v>
      </c>
      <c r="Y466" s="10" t="e">
        <f>VLOOKUP(AJ458,'FRC Site Data'!$B$3:$L$42,10,FALSE)</f>
        <v>#N/A</v>
      </c>
      <c r="Z466" s="10" t="e">
        <f>VLOOKUP(AJ458,'FRC Site Data'!$B$3:$L$42,11,FALSE)</f>
        <v>#N/A</v>
      </c>
      <c r="AA466" s="10" t="e">
        <f>VLOOKUP(AJ458,'CIR Team Info'!$C$5:$E$44,4,FALSE)</f>
        <v>#N/A</v>
      </c>
      <c r="AB466" s="161" t="b">
        <f>ISNUMBER(VLOOKUP(AJ458,Match!$T$5:$T$10,1,FALSE))</f>
        <v>0</v>
      </c>
      <c r="AC466" s="161" t="b">
        <f>IF(AB466=TRUE,(VLOOKUP($AJ458,Match!$T$5:$U$10,2,FALSE)))</f>
        <v>0</v>
      </c>
      <c r="AD466" s="8">
        <v>3</v>
      </c>
      <c r="AE466" s="8">
        <v>2</v>
      </c>
      <c r="AF466" s="8">
        <v>2</v>
      </c>
      <c r="AG466" s="8">
        <v>1</v>
      </c>
      <c r="AH466" s="8" t="str">
        <f t="shared" si="138"/>
        <v/>
      </c>
      <c r="AI466" s="12"/>
      <c r="AZ466" s="12"/>
      <c r="BC466" s="12"/>
      <c r="BK466" s="12"/>
    </row>
    <row r="467" spans="1:63" x14ac:dyDescent="0.25">
      <c r="A467" s="29">
        <f t="shared" si="145"/>
        <v>0</v>
      </c>
      <c r="B467" s="29">
        <f t="shared" si="139"/>
        <v>0</v>
      </c>
      <c r="C467" s="29">
        <f t="shared" si="140"/>
        <v>0</v>
      </c>
      <c r="D467" s="29">
        <f t="shared" si="141"/>
        <v>0</v>
      </c>
      <c r="E467" s="29">
        <f t="shared" si="146"/>
        <v>0</v>
      </c>
      <c r="F467" s="29">
        <f t="shared" si="147"/>
        <v>0</v>
      </c>
      <c r="G467" s="29" t="str">
        <f t="shared" si="148"/>
        <v>offensive</v>
      </c>
      <c r="H467" s="16">
        <f t="shared" si="136"/>
        <v>0</v>
      </c>
      <c r="I467" s="16">
        <f t="shared" si="137"/>
        <v>0</v>
      </c>
      <c r="J467" s="16">
        <f t="shared" si="142"/>
        <v>0</v>
      </c>
      <c r="K467" s="16">
        <f t="shared" si="149"/>
        <v>0</v>
      </c>
      <c r="L467" s="67">
        <f t="shared" si="150"/>
        <v>0</v>
      </c>
      <c r="M467" s="4">
        <f t="shared" si="143"/>
        <v>0</v>
      </c>
      <c r="N467" s="4">
        <f t="shared" si="144"/>
        <v>0</v>
      </c>
      <c r="O467" s="4">
        <f t="shared" si="151"/>
        <v>0</v>
      </c>
      <c r="P467" s="4" t="e">
        <f>VLOOKUP(AJ459,'CIR Team Info'!$C$5:$E$44,2,FALSE)</f>
        <v>#N/A</v>
      </c>
      <c r="Q467" s="4" t="e">
        <f>VLOOKUP(AJ459,'CIR Team Info'!$C$5:$E$44,3,FALSE)</f>
        <v>#N/A</v>
      </c>
      <c r="R467" s="10" t="e">
        <f>VLOOKUP(AJ459,'FRC Site Data'!$B$3:$L$42,2,FALSE)</f>
        <v>#N/A</v>
      </c>
      <c r="S467" s="10" t="e">
        <f>VLOOKUP(AJ459,'FRC Site Data'!$B$3:$L$42,3,FALSE)</f>
        <v>#N/A</v>
      </c>
      <c r="T467" s="10" t="e">
        <f>VLOOKUP(AJ459,'FRC Site Data'!$B$3:$L$42,4,FALSE)</f>
        <v>#N/A</v>
      </c>
      <c r="U467" s="10" t="e">
        <f>VLOOKUP(AJ459,'FRC Site Data'!$B$3:$L$42,5,FALSE)</f>
        <v>#N/A</v>
      </c>
      <c r="V467" s="10" t="e">
        <f>VLOOKUP(AJ459,'FRC Site Data'!$B$3:$L$42,6,FALSE)</f>
        <v>#N/A</v>
      </c>
      <c r="W467" s="10" t="e">
        <f>VLOOKUP(AJ459,'FRC Site Data'!$B$3:$L$42,8,FALSE)</f>
        <v>#N/A</v>
      </c>
      <c r="X467" s="10" t="e">
        <f>VLOOKUP(AJ459,'FRC Site Data'!$B$3:$L$42,9,FALSE)</f>
        <v>#N/A</v>
      </c>
      <c r="Y467" s="10" t="e">
        <f>VLOOKUP(AJ459,'FRC Site Data'!$B$3:$L$42,10,FALSE)</f>
        <v>#N/A</v>
      </c>
      <c r="Z467" s="10" t="e">
        <f>VLOOKUP(AJ459,'FRC Site Data'!$B$3:$L$42,11,FALSE)</f>
        <v>#N/A</v>
      </c>
      <c r="AA467" s="10" t="e">
        <f>VLOOKUP(AJ459,'CIR Team Info'!$C$5:$E$44,4,FALSE)</f>
        <v>#N/A</v>
      </c>
      <c r="AB467" s="161" t="b">
        <f>ISNUMBER(VLOOKUP(AJ459,Match!$T$5:$T$10,1,FALSE))</f>
        <v>0</v>
      </c>
      <c r="AC467" s="161" t="b">
        <f>IF(AB467=TRUE,(VLOOKUP($AJ459,Match!$T$5:$U$10,2,FALSE)))</f>
        <v>0</v>
      </c>
      <c r="AD467" s="8">
        <v>3</v>
      </c>
      <c r="AE467" s="8">
        <v>2</v>
      </c>
      <c r="AF467" s="8">
        <v>2</v>
      </c>
      <c r="AG467" s="8">
        <v>1</v>
      </c>
      <c r="AH467" s="8" t="str">
        <f t="shared" si="138"/>
        <v/>
      </c>
      <c r="AI467" s="12"/>
      <c r="AZ467" s="12"/>
      <c r="BC467" s="12"/>
      <c r="BK467" s="12"/>
    </row>
    <row r="468" spans="1:63" x14ac:dyDescent="0.25">
      <c r="A468" s="29">
        <f t="shared" si="145"/>
        <v>0</v>
      </c>
      <c r="B468" s="29">
        <f t="shared" si="139"/>
        <v>0</v>
      </c>
      <c r="C468" s="29">
        <f t="shared" si="140"/>
        <v>0</v>
      </c>
      <c r="D468" s="29">
        <f t="shared" si="141"/>
        <v>0</v>
      </c>
      <c r="E468" s="29">
        <f t="shared" si="146"/>
        <v>0</v>
      </c>
      <c r="F468" s="29">
        <f t="shared" si="147"/>
        <v>0</v>
      </c>
      <c r="G468" s="29" t="str">
        <f t="shared" si="148"/>
        <v>offensive</v>
      </c>
      <c r="H468" s="16">
        <f t="shared" si="136"/>
        <v>0</v>
      </c>
      <c r="I468" s="16">
        <f t="shared" si="137"/>
        <v>0</v>
      </c>
      <c r="J468" s="16">
        <f t="shared" si="142"/>
        <v>0</v>
      </c>
      <c r="K468" s="16">
        <f t="shared" si="149"/>
        <v>0</v>
      </c>
      <c r="L468" s="67">
        <f t="shared" si="150"/>
        <v>0</v>
      </c>
      <c r="M468" s="4">
        <f t="shared" si="143"/>
        <v>0</v>
      </c>
      <c r="N468" s="4">
        <f t="shared" si="144"/>
        <v>0</v>
      </c>
      <c r="O468" s="4">
        <f t="shared" si="151"/>
        <v>0</v>
      </c>
      <c r="P468" s="4" t="e">
        <f>VLOOKUP(AJ460,'CIR Team Info'!$C$5:$E$44,2,FALSE)</f>
        <v>#N/A</v>
      </c>
      <c r="Q468" s="4" t="e">
        <f>VLOOKUP(AJ460,'CIR Team Info'!$C$5:$E$44,3,FALSE)</f>
        <v>#N/A</v>
      </c>
      <c r="R468" s="10" t="e">
        <f>VLOOKUP(AJ460,'FRC Site Data'!$B$3:$L$42,2,FALSE)</f>
        <v>#N/A</v>
      </c>
      <c r="S468" s="10" t="e">
        <f>VLOOKUP(AJ460,'FRC Site Data'!$B$3:$L$42,3,FALSE)</f>
        <v>#N/A</v>
      </c>
      <c r="T468" s="10" t="e">
        <f>VLOOKUP(AJ460,'FRC Site Data'!$B$3:$L$42,4,FALSE)</f>
        <v>#N/A</v>
      </c>
      <c r="U468" s="10" t="e">
        <f>VLOOKUP(AJ460,'FRC Site Data'!$B$3:$L$42,5,FALSE)</f>
        <v>#N/A</v>
      </c>
      <c r="V468" s="10" t="e">
        <f>VLOOKUP(AJ460,'FRC Site Data'!$B$3:$L$42,6,FALSE)</f>
        <v>#N/A</v>
      </c>
      <c r="W468" s="10" t="e">
        <f>VLOOKUP(AJ460,'FRC Site Data'!$B$3:$L$42,8,FALSE)</f>
        <v>#N/A</v>
      </c>
      <c r="X468" s="10" t="e">
        <f>VLOOKUP(AJ460,'FRC Site Data'!$B$3:$L$42,9,FALSE)</f>
        <v>#N/A</v>
      </c>
      <c r="Y468" s="10" t="e">
        <f>VLOOKUP(AJ460,'FRC Site Data'!$B$3:$L$42,10,FALSE)</f>
        <v>#N/A</v>
      </c>
      <c r="Z468" s="10" t="e">
        <f>VLOOKUP(AJ460,'FRC Site Data'!$B$3:$L$42,11,FALSE)</f>
        <v>#N/A</v>
      </c>
      <c r="AA468" s="10" t="e">
        <f>VLOOKUP(AJ460,'CIR Team Info'!$C$5:$E$44,4,FALSE)</f>
        <v>#N/A</v>
      </c>
      <c r="AB468" s="161" t="b">
        <f>ISNUMBER(VLOOKUP(AJ460,Match!$T$5:$T$10,1,FALSE))</f>
        <v>0</v>
      </c>
      <c r="AC468" s="161" t="b">
        <f>IF(AB468=TRUE,(VLOOKUP($AJ460,Match!$T$5:$U$10,2,FALSE)))</f>
        <v>0</v>
      </c>
      <c r="AD468" s="8">
        <v>3</v>
      </c>
      <c r="AE468" s="8">
        <v>2</v>
      </c>
      <c r="AF468" s="8">
        <v>2</v>
      </c>
      <c r="AG468" s="8">
        <v>1</v>
      </c>
      <c r="AH468" s="8" t="str">
        <f t="shared" si="138"/>
        <v/>
      </c>
      <c r="AI468" s="12"/>
      <c r="AZ468" s="12"/>
      <c r="BC468" s="12"/>
      <c r="BK468" s="12"/>
    </row>
    <row r="469" spans="1:63" x14ac:dyDescent="0.25">
      <c r="A469" s="29">
        <f t="shared" si="145"/>
        <v>0</v>
      </c>
      <c r="B469" s="29">
        <f t="shared" si="139"/>
        <v>0</v>
      </c>
      <c r="C469" s="29">
        <f t="shared" si="140"/>
        <v>0</v>
      </c>
      <c r="D469" s="29">
        <f t="shared" si="141"/>
        <v>0</v>
      </c>
      <c r="E469" s="29">
        <f t="shared" si="146"/>
        <v>0</v>
      </c>
      <c r="F469" s="29">
        <f t="shared" si="147"/>
        <v>0</v>
      </c>
      <c r="G469" s="29" t="str">
        <f t="shared" si="148"/>
        <v>offensive</v>
      </c>
      <c r="H469" s="16">
        <f t="shared" si="136"/>
        <v>0</v>
      </c>
      <c r="I469" s="16">
        <f t="shared" si="137"/>
        <v>0</v>
      </c>
      <c r="J469" s="16">
        <f t="shared" si="142"/>
        <v>0</v>
      </c>
      <c r="K469" s="16">
        <f t="shared" si="149"/>
        <v>0</v>
      </c>
      <c r="L469" s="67">
        <f t="shared" si="150"/>
        <v>0</v>
      </c>
      <c r="M469" s="4">
        <f t="shared" si="143"/>
        <v>0</v>
      </c>
      <c r="N469" s="4">
        <f t="shared" si="144"/>
        <v>0</v>
      </c>
      <c r="O469" s="4">
        <f t="shared" si="151"/>
        <v>0</v>
      </c>
      <c r="P469" s="4" t="e">
        <f>VLOOKUP(AJ461,'CIR Team Info'!$C$5:$E$44,2,FALSE)</f>
        <v>#N/A</v>
      </c>
      <c r="Q469" s="4" t="e">
        <f>VLOOKUP(AJ461,'CIR Team Info'!$C$5:$E$44,3,FALSE)</f>
        <v>#N/A</v>
      </c>
      <c r="R469" s="10" t="e">
        <f>VLOOKUP(AJ461,'FRC Site Data'!$B$3:$L$42,2,FALSE)</f>
        <v>#N/A</v>
      </c>
      <c r="S469" s="10" t="e">
        <f>VLOOKUP(AJ461,'FRC Site Data'!$B$3:$L$42,3,FALSE)</f>
        <v>#N/A</v>
      </c>
      <c r="T469" s="10" t="e">
        <f>VLOOKUP(AJ461,'FRC Site Data'!$B$3:$L$42,4,FALSE)</f>
        <v>#N/A</v>
      </c>
      <c r="U469" s="10" t="e">
        <f>VLOOKUP(AJ461,'FRC Site Data'!$B$3:$L$42,5,FALSE)</f>
        <v>#N/A</v>
      </c>
      <c r="V469" s="10" t="e">
        <f>VLOOKUP(AJ461,'FRC Site Data'!$B$3:$L$42,6,FALSE)</f>
        <v>#N/A</v>
      </c>
      <c r="W469" s="10" t="e">
        <f>VLOOKUP(AJ461,'FRC Site Data'!$B$3:$L$42,8,FALSE)</f>
        <v>#N/A</v>
      </c>
      <c r="X469" s="10" t="e">
        <f>VLOOKUP(AJ461,'FRC Site Data'!$B$3:$L$42,9,FALSE)</f>
        <v>#N/A</v>
      </c>
      <c r="Y469" s="10" t="e">
        <f>VLOOKUP(AJ461,'FRC Site Data'!$B$3:$L$42,10,FALSE)</f>
        <v>#N/A</v>
      </c>
      <c r="Z469" s="10" t="e">
        <f>VLOOKUP(AJ461,'FRC Site Data'!$B$3:$L$42,11,FALSE)</f>
        <v>#N/A</v>
      </c>
      <c r="AA469" s="10" t="e">
        <f>VLOOKUP(AJ461,'CIR Team Info'!$C$5:$E$44,4,FALSE)</f>
        <v>#N/A</v>
      </c>
      <c r="AB469" s="161" t="b">
        <f>ISNUMBER(VLOOKUP(AJ461,Match!$T$5:$T$10,1,FALSE))</f>
        <v>0</v>
      </c>
      <c r="AC469" s="161" t="b">
        <f>IF(AB469=TRUE,(VLOOKUP($AJ461,Match!$T$5:$U$10,2,FALSE)))</f>
        <v>0</v>
      </c>
      <c r="AD469" s="8">
        <v>3</v>
      </c>
      <c r="AE469" s="8">
        <v>2</v>
      </c>
      <c r="AF469" s="8">
        <v>2</v>
      </c>
      <c r="AG469" s="8">
        <v>1</v>
      </c>
      <c r="AH469" s="8" t="str">
        <f t="shared" si="138"/>
        <v/>
      </c>
      <c r="AI469" s="12"/>
      <c r="AZ469" s="12"/>
      <c r="BC469" s="12"/>
      <c r="BK469" s="12"/>
    </row>
    <row r="470" spans="1:63" x14ac:dyDescent="0.25">
      <c r="A470" s="29">
        <f t="shared" si="145"/>
        <v>0</v>
      </c>
      <c r="B470" s="29">
        <f t="shared" si="139"/>
        <v>0</v>
      </c>
      <c r="C470" s="29">
        <f t="shared" si="140"/>
        <v>0</v>
      </c>
      <c r="D470" s="29">
        <f t="shared" si="141"/>
        <v>0</v>
      </c>
      <c r="E470" s="29">
        <f t="shared" si="146"/>
        <v>0</v>
      </c>
      <c r="F470" s="29">
        <f t="shared" si="147"/>
        <v>0</v>
      </c>
      <c r="G470" s="29" t="str">
        <f t="shared" si="148"/>
        <v>offensive</v>
      </c>
      <c r="H470" s="16">
        <f t="shared" si="136"/>
        <v>0</v>
      </c>
      <c r="I470" s="16">
        <f t="shared" si="137"/>
        <v>0</v>
      </c>
      <c r="J470" s="16">
        <f t="shared" si="142"/>
        <v>0</v>
      </c>
      <c r="K470" s="16">
        <f t="shared" si="149"/>
        <v>0</v>
      </c>
      <c r="L470" s="67">
        <f t="shared" si="150"/>
        <v>0</v>
      </c>
      <c r="M470" s="4">
        <f t="shared" si="143"/>
        <v>0</v>
      </c>
      <c r="N470" s="4">
        <f t="shared" si="144"/>
        <v>0</v>
      </c>
      <c r="O470" s="4">
        <f t="shared" si="151"/>
        <v>0</v>
      </c>
      <c r="P470" s="4" t="e">
        <f>VLOOKUP(AJ462,'CIR Team Info'!$C$5:$E$44,2,FALSE)</f>
        <v>#N/A</v>
      </c>
      <c r="Q470" s="4" t="e">
        <f>VLOOKUP(AJ462,'CIR Team Info'!$C$5:$E$44,3,FALSE)</f>
        <v>#N/A</v>
      </c>
      <c r="R470" s="10" t="e">
        <f>VLOOKUP(AJ462,'FRC Site Data'!$B$3:$L$42,2,FALSE)</f>
        <v>#N/A</v>
      </c>
      <c r="S470" s="10" t="e">
        <f>VLOOKUP(AJ462,'FRC Site Data'!$B$3:$L$42,3,FALSE)</f>
        <v>#N/A</v>
      </c>
      <c r="T470" s="10" t="e">
        <f>VLOOKUP(AJ462,'FRC Site Data'!$B$3:$L$42,4,FALSE)</f>
        <v>#N/A</v>
      </c>
      <c r="U470" s="10" t="e">
        <f>VLOOKUP(AJ462,'FRC Site Data'!$B$3:$L$42,5,FALSE)</f>
        <v>#N/A</v>
      </c>
      <c r="V470" s="10" t="e">
        <f>VLOOKUP(AJ462,'FRC Site Data'!$B$3:$L$42,6,FALSE)</f>
        <v>#N/A</v>
      </c>
      <c r="W470" s="10" t="e">
        <f>VLOOKUP(AJ462,'FRC Site Data'!$B$3:$L$42,8,FALSE)</f>
        <v>#N/A</v>
      </c>
      <c r="X470" s="10" t="e">
        <f>VLOOKUP(AJ462,'FRC Site Data'!$B$3:$L$42,9,FALSE)</f>
        <v>#N/A</v>
      </c>
      <c r="Y470" s="10" t="e">
        <f>VLOOKUP(AJ462,'FRC Site Data'!$B$3:$L$42,10,FALSE)</f>
        <v>#N/A</v>
      </c>
      <c r="Z470" s="10" t="e">
        <f>VLOOKUP(AJ462,'FRC Site Data'!$B$3:$L$42,11,FALSE)</f>
        <v>#N/A</v>
      </c>
      <c r="AA470" s="10" t="e">
        <f>VLOOKUP(AJ462,'CIR Team Info'!$C$5:$E$44,4,FALSE)</f>
        <v>#N/A</v>
      </c>
      <c r="AB470" s="161" t="b">
        <f>ISNUMBER(VLOOKUP(AJ462,Match!$T$5:$T$10,1,FALSE))</f>
        <v>0</v>
      </c>
      <c r="AC470" s="161" t="b">
        <f>IF(AB470=TRUE,(VLOOKUP($AJ462,Match!$T$5:$U$10,2,FALSE)))</f>
        <v>0</v>
      </c>
      <c r="AD470" s="8">
        <v>3</v>
      </c>
      <c r="AE470" s="8">
        <v>2</v>
      </c>
      <c r="AF470" s="8">
        <v>2</v>
      </c>
      <c r="AG470" s="8">
        <v>1</v>
      </c>
      <c r="AH470" s="8" t="str">
        <f t="shared" si="138"/>
        <v/>
      </c>
      <c r="AI470" s="12"/>
      <c r="AZ470" s="12"/>
      <c r="BC470" s="12"/>
      <c r="BK470" s="12"/>
    </row>
    <row r="471" spans="1:63" x14ac:dyDescent="0.25">
      <c r="A471" s="29">
        <f t="shared" si="145"/>
        <v>0</v>
      </c>
      <c r="B471" s="29">
        <f t="shared" si="139"/>
        <v>0</v>
      </c>
      <c r="C471" s="29">
        <f t="shared" si="140"/>
        <v>0</v>
      </c>
      <c r="D471" s="29">
        <f t="shared" si="141"/>
        <v>0</v>
      </c>
      <c r="E471" s="29">
        <f t="shared" si="146"/>
        <v>0</v>
      </c>
      <c r="F471" s="29">
        <f t="shared" si="147"/>
        <v>0</v>
      </c>
      <c r="G471" s="29" t="str">
        <f t="shared" si="148"/>
        <v>offensive</v>
      </c>
      <c r="H471" s="16">
        <f t="shared" ref="H471:H530" si="152">IF((AO463+AP463)=0,0,AO463/(AO463+AP463))</f>
        <v>0</v>
      </c>
      <c r="I471" s="16">
        <f t="shared" ref="I471:I530" si="153">IF((AV463+AW463)=0,0,AV463/(AV463+AW463))</f>
        <v>0</v>
      </c>
      <c r="J471" s="16">
        <f t="shared" si="142"/>
        <v>0</v>
      </c>
      <c r="K471" s="16">
        <f t="shared" si="149"/>
        <v>0</v>
      </c>
      <c r="L471" s="67">
        <f t="shared" si="150"/>
        <v>0</v>
      </c>
      <c r="M471" s="4">
        <f t="shared" si="143"/>
        <v>0</v>
      </c>
      <c r="N471" s="4">
        <f t="shared" si="144"/>
        <v>0</v>
      </c>
      <c r="O471" s="4">
        <f t="shared" si="151"/>
        <v>0</v>
      </c>
      <c r="P471" s="4" t="e">
        <f>VLOOKUP(AJ463,'CIR Team Info'!$C$5:$E$44,2,FALSE)</f>
        <v>#N/A</v>
      </c>
      <c r="Q471" s="4" t="e">
        <f>VLOOKUP(AJ463,'CIR Team Info'!$C$5:$E$44,3,FALSE)</f>
        <v>#N/A</v>
      </c>
      <c r="R471" s="10" t="e">
        <f>VLOOKUP(AJ463,'FRC Site Data'!$B$3:$L$42,2,FALSE)</f>
        <v>#N/A</v>
      </c>
      <c r="S471" s="10" t="e">
        <f>VLOOKUP(AJ463,'FRC Site Data'!$B$3:$L$42,3,FALSE)</f>
        <v>#N/A</v>
      </c>
      <c r="T471" s="10" t="e">
        <f>VLOOKUP(AJ463,'FRC Site Data'!$B$3:$L$42,4,FALSE)</f>
        <v>#N/A</v>
      </c>
      <c r="U471" s="10" t="e">
        <f>VLOOKUP(AJ463,'FRC Site Data'!$B$3:$L$42,5,FALSE)</f>
        <v>#N/A</v>
      </c>
      <c r="V471" s="10" t="e">
        <f>VLOOKUP(AJ463,'FRC Site Data'!$B$3:$L$42,6,FALSE)</f>
        <v>#N/A</v>
      </c>
      <c r="W471" s="10" t="e">
        <f>VLOOKUP(AJ463,'FRC Site Data'!$B$3:$L$42,8,FALSE)</f>
        <v>#N/A</v>
      </c>
      <c r="X471" s="10" t="e">
        <f>VLOOKUP(AJ463,'FRC Site Data'!$B$3:$L$42,9,FALSE)</f>
        <v>#N/A</v>
      </c>
      <c r="Y471" s="10" t="e">
        <f>VLOOKUP(AJ463,'FRC Site Data'!$B$3:$L$42,10,FALSE)</f>
        <v>#N/A</v>
      </c>
      <c r="Z471" s="10" t="e">
        <f>VLOOKUP(AJ463,'FRC Site Data'!$B$3:$L$42,11,FALSE)</f>
        <v>#N/A</v>
      </c>
      <c r="AA471" s="10" t="e">
        <f>VLOOKUP(AJ463,'CIR Team Info'!$C$5:$E$44,4,FALSE)</f>
        <v>#N/A</v>
      </c>
      <c r="AB471" s="161" t="b">
        <f>ISNUMBER(VLOOKUP(AJ463,Match!$T$5:$T$10,1,FALSE))</f>
        <v>0</v>
      </c>
      <c r="AC471" s="161" t="b">
        <f>IF(AB471=TRUE,(VLOOKUP($AJ463,Match!$T$5:$U$10,2,FALSE)))</f>
        <v>0</v>
      </c>
      <c r="AD471" s="8">
        <v>3</v>
      </c>
      <c r="AE471" s="8">
        <v>2</v>
      </c>
      <c r="AF471" s="8">
        <v>2</v>
      </c>
      <c r="AG471" s="8">
        <v>1</v>
      </c>
      <c r="AH471" s="8" t="str">
        <f t="shared" si="138"/>
        <v/>
      </c>
      <c r="AI471" s="12"/>
      <c r="AZ471" s="12"/>
      <c r="BC471" s="12"/>
      <c r="BK471" s="12"/>
    </row>
    <row r="472" spans="1:63" x14ac:dyDescent="0.25">
      <c r="A472" s="29">
        <f t="shared" si="145"/>
        <v>0</v>
      </c>
      <c r="B472" s="29">
        <f t="shared" si="139"/>
        <v>0</v>
      </c>
      <c r="C472" s="29">
        <f t="shared" si="140"/>
        <v>0</v>
      </c>
      <c r="D472" s="29">
        <f t="shared" si="141"/>
        <v>0</v>
      </c>
      <c r="E472" s="29">
        <f t="shared" si="146"/>
        <v>0</v>
      </c>
      <c r="F472" s="29">
        <f t="shared" si="147"/>
        <v>0</v>
      </c>
      <c r="G472" s="29" t="str">
        <f t="shared" si="148"/>
        <v>offensive</v>
      </c>
      <c r="H472" s="16">
        <f t="shared" si="152"/>
        <v>0</v>
      </c>
      <c r="I472" s="16">
        <f t="shared" si="153"/>
        <v>0</v>
      </c>
      <c r="J472" s="16">
        <f t="shared" si="142"/>
        <v>0</v>
      </c>
      <c r="K472" s="16">
        <f t="shared" si="149"/>
        <v>0</v>
      </c>
      <c r="L472" s="67">
        <f t="shared" si="150"/>
        <v>0</v>
      </c>
      <c r="M472" s="4">
        <f t="shared" si="143"/>
        <v>0</v>
      </c>
      <c r="N472" s="4">
        <f t="shared" si="144"/>
        <v>0</v>
      </c>
      <c r="O472" s="4">
        <f t="shared" si="151"/>
        <v>0</v>
      </c>
      <c r="P472" s="4" t="e">
        <f>VLOOKUP(AJ464,'CIR Team Info'!$C$5:$E$44,2,FALSE)</f>
        <v>#N/A</v>
      </c>
      <c r="Q472" s="4" t="e">
        <f>VLOOKUP(AJ464,'CIR Team Info'!$C$5:$E$44,3,FALSE)</f>
        <v>#N/A</v>
      </c>
      <c r="R472" s="10" t="e">
        <f>VLOOKUP(AJ464,'FRC Site Data'!$B$3:$L$42,2,FALSE)</f>
        <v>#N/A</v>
      </c>
      <c r="S472" s="10" t="e">
        <f>VLOOKUP(AJ464,'FRC Site Data'!$B$3:$L$42,3,FALSE)</f>
        <v>#N/A</v>
      </c>
      <c r="T472" s="10" t="e">
        <f>VLOOKUP(AJ464,'FRC Site Data'!$B$3:$L$42,4,FALSE)</f>
        <v>#N/A</v>
      </c>
      <c r="U472" s="10" t="e">
        <f>VLOOKUP(AJ464,'FRC Site Data'!$B$3:$L$42,5,FALSE)</f>
        <v>#N/A</v>
      </c>
      <c r="V472" s="10" t="e">
        <f>VLOOKUP(AJ464,'FRC Site Data'!$B$3:$L$42,6,FALSE)</f>
        <v>#N/A</v>
      </c>
      <c r="W472" s="10" t="e">
        <f>VLOOKUP(AJ464,'FRC Site Data'!$B$3:$L$42,8,FALSE)</f>
        <v>#N/A</v>
      </c>
      <c r="X472" s="10" t="e">
        <f>VLOOKUP(AJ464,'FRC Site Data'!$B$3:$L$42,9,FALSE)</f>
        <v>#N/A</v>
      </c>
      <c r="Y472" s="10" t="e">
        <f>VLOOKUP(AJ464,'FRC Site Data'!$B$3:$L$42,10,FALSE)</f>
        <v>#N/A</v>
      </c>
      <c r="Z472" s="10" t="e">
        <f>VLOOKUP(AJ464,'FRC Site Data'!$B$3:$L$42,11,FALSE)</f>
        <v>#N/A</v>
      </c>
      <c r="AA472" s="10" t="e">
        <f>VLOOKUP(AJ464,'CIR Team Info'!$C$5:$E$44,4,FALSE)</f>
        <v>#N/A</v>
      </c>
      <c r="AB472" s="161" t="b">
        <f>ISNUMBER(VLOOKUP(AJ464,Match!$T$5:$T$10,1,FALSE))</f>
        <v>0</v>
      </c>
      <c r="AC472" s="161" t="b">
        <f>IF(AB472=TRUE,(VLOOKUP($AJ464,Match!$T$5:$U$10,2,FALSE)))</f>
        <v>0</v>
      </c>
      <c r="AD472" s="8">
        <v>3</v>
      </c>
      <c r="AE472" s="8">
        <v>2</v>
      </c>
      <c r="AF472" s="8">
        <v>2</v>
      </c>
      <c r="AG472" s="8">
        <v>1</v>
      </c>
      <c r="AH472" s="8" t="str">
        <f t="shared" si="138"/>
        <v/>
      </c>
      <c r="AI472" s="12"/>
      <c r="AZ472" s="12"/>
      <c r="BC472" s="12"/>
      <c r="BK472" s="12"/>
    </row>
    <row r="473" spans="1:63" x14ac:dyDescent="0.25">
      <c r="A473" s="29">
        <f t="shared" si="145"/>
        <v>0</v>
      </c>
      <c r="B473" s="29">
        <f t="shared" si="139"/>
        <v>0</v>
      </c>
      <c r="C473" s="29">
        <f t="shared" si="140"/>
        <v>0</v>
      </c>
      <c r="D473" s="29">
        <f t="shared" si="141"/>
        <v>0</v>
      </c>
      <c r="E473" s="29">
        <f t="shared" si="146"/>
        <v>0</v>
      </c>
      <c r="F473" s="29">
        <f t="shared" si="147"/>
        <v>0</v>
      </c>
      <c r="G473" s="29" t="str">
        <f t="shared" si="148"/>
        <v>offensive</v>
      </c>
      <c r="H473" s="16">
        <f t="shared" si="152"/>
        <v>0</v>
      </c>
      <c r="I473" s="16">
        <f t="shared" si="153"/>
        <v>0</v>
      </c>
      <c r="J473" s="16">
        <f t="shared" si="142"/>
        <v>0</v>
      </c>
      <c r="K473" s="16">
        <f t="shared" si="149"/>
        <v>0</v>
      </c>
      <c r="L473" s="67">
        <f t="shared" si="150"/>
        <v>0</v>
      </c>
      <c r="M473" s="4">
        <f t="shared" si="143"/>
        <v>0</v>
      </c>
      <c r="N473" s="4">
        <f t="shared" si="144"/>
        <v>0</v>
      </c>
      <c r="O473" s="4">
        <f t="shared" si="151"/>
        <v>0</v>
      </c>
      <c r="P473" s="4" t="e">
        <f>VLOOKUP(AJ465,'CIR Team Info'!$C$5:$E$44,2,FALSE)</f>
        <v>#N/A</v>
      </c>
      <c r="Q473" s="4" t="e">
        <f>VLOOKUP(AJ465,'CIR Team Info'!$C$5:$E$44,3,FALSE)</f>
        <v>#N/A</v>
      </c>
      <c r="R473" s="10" t="e">
        <f>VLOOKUP(AJ465,'FRC Site Data'!$B$3:$L$42,2,FALSE)</f>
        <v>#N/A</v>
      </c>
      <c r="S473" s="10" t="e">
        <f>VLOOKUP(AJ465,'FRC Site Data'!$B$3:$L$42,3,FALSE)</f>
        <v>#N/A</v>
      </c>
      <c r="T473" s="10" t="e">
        <f>VLOOKUP(AJ465,'FRC Site Data'!$B$3:$L$42,4,FALSE)</f>
        <v>#N/A</v>
      </c>
      <c r="U473" s="10" t="e">
        <f>VLOOKUP(AJ465,'FRC Site Data'!$B$3:$L$42,5,FALSE)</f>
        <v>#N/A</v>
      </c>
      <c r="V473" s="10" t="e">
        <f>VLOOKUP(AJ465,'FRC Site Data'!$B$3:$L$42,6,FALSE)</f>
        <v>#N/A</v>
      </c>
      <c r="W473" s="10" t="e">
        <f>VLOOKUP(AJ465,'FRC Site Data'!$B$3:$L$42,8,FALSE)</f>
        <v>#N/A</v>
      </c>
      <c r="X473" s="10" t="e">
        <f>VLOOKUP(AJ465,'FRC Site Data'!$B$3:$L$42,9,FALSE)</f>
        <v>#N/A</v>
      </c>
      <c r="Y473" s="10" t="e">
        <f>VLOOKUP(AJ465,'FRC Site Data'!$B$3:$L$42,10,FALSE)</f>
        <v>#N/A</v>
      </c>
      <c r="Z473" s="10" t="e">
        <f>VLOOKUP(AJ465,'FRC Site Data'!$B$3:$L$42,11,FALSE)</f>
        <v>#N/A</v>
      </c>
      <c r="AA473" s="10" t="e">
        <f>VLOOKUP(AJ465,'CIR Team Info'!$C$5:$E$44,4,FALSE)</f>
        <v>#N/A</v>
      </c>
      <c r="AB473" s="161" t="b">
        <f>ISNUMBER(VLOOKUP(AJ465,Match!$T$5:$T$10,1,FALSE))</f>
        <v>0</v>
      </c>
      <c r="AC473" s="161" t="b">
        <f>IF(AB473=TRUE,(VLOOKUP($AJ465,Match!$T$5:$U$10,2,FALSE)))</f>
        <v>0</v>
      </c>
      <c r="AD473" s="8">
        <v>3</v>
      </c>
      <c r="AE473" s="8">
        <v>2</v>
      </c>
      <c r="AF473" s="8">
        <v>2</v>
      </c>
      <c r="AG473" s="8">
        <v>1</v>
      </c>
      <c r="AH473" s="8" t="str">
        <f t="shared" si="138"/>
        <v/>
      </c>
      <c r="AI473" s="12"/>
      <c r="AZ473" s="12"/>
      <c r="BC473" s="12"/>
      <c r="BK473" s="12"/>
    </row>
    <row r="474" spans="1:63" x14ac:dyDescent="0.25">
      <c r="A474" s="29">
        <f t="shared" si="145"/>
        <v>0</v>
      </c>
      <c r="B474" s="29">
        <f t="shared" si="139"/>
        <v>0</v>
      </c>
      <c r="C474" s="29">
        <f t="shared" si="140"/>
        <v>0</v>
      </c>
      <c r="D474" s="29">
        <f t="shared" si="141"/>
        <v>0</v>
      </c>
      <c r="E474" s="29">
        <f t="shared" si="146"/>
        <v>0</v>
      </c>
      <c r="F474" s="29">
        <f t="shared" si="147"/>
        <v>0</v>
      </c>
      <c r="G474" s="29" t="str">
        <f t="shared" si="148"/>
        <v>offensive</v>
      </c>
      <c r="H474" s="16">
        <f t="shared" si="152"/>
        <v>0</v>
      </c>
      <c r="I474" s="16">
        <f t="shared" si="153"/>
        <v>0</v>
      </c>
      <c r="J474" s="16">
        <f t="shared" si="142"/>
        <v>0</v>
      </c>
      <c r="K474" s="16">
        <f t="shared" si="149"/>
        <v>0</v>
      </c>
      <c r="L474" s="67">
        <f t="shared" si="150"/>
        <v>0</v>
      </c>
      <c r="M474" s="4">
        <f t="shared" si="143"/>
        <v>0</v>
      </c>
      <c r="N474" s="4">
        <f t="shared" si="144"/>
        <v>0</v>
      </c>
      <c r="O474" s="4">
        <f t="shared" si="151"/>
        <v>0</v>
      </c>
      <c r="P474" s="4" t="e">
        <f>VLOOKUP(AJ466,'CIR Team Info'!$C$5:$E$44,2,FALSE)</f>
        <v>#N/A</v>
      </c>
      <c r="Q474" s="4" t="e">
        <f>VLOOKUP(AJ466,'CIR Team Info'!$C$5:$E$44,3,FALSE)</f>
        <v>#N/A</v>
      </c>
      <c r="R474" s="10" t="e">
        <f>VLOOKUP(AJ466,'FRC Site Data'!$B$3:$L$42,2,FALSE)</f>
        <v>#N/A</v>
      </c>
      <c r="S474" s="10" t="e">
        <f>VLOOKUP(AJ466,'FRC Site Data'!$B$3:$L$42,3,FALSE)</f>
        <v>#N/A</v>
      </c>
      <c r="T474" s="10" t="e">
        <f>VLOOKUP(AJ466,'FRC Site Data'!$B$3:$L$42,4,FALSE)</f>
        <v>#N/A</v>
      </c>
      <c r="U474" s="10" t="e">
        <f>VLOOKUP(AJ466,'FRC Site Data'!$B$3:$L$42,5,FALSE)</f>
        <v>#N/A</v>
      </c>
      <c r="V474" s="10" t="e">
        <f>VLOOKUP(AJ466,'FRC Site Data'!$B$3:$L$42,6,FALSE)</f>
        <v>#N/A</v>
      </c>
      <c r="W474" s="10" t="e">
        <f>VLOOKUP(AJ466,'FRC Site Data'!$B$3:$L$42,8,FALSE)</f>
        <v>#N/A</v>
      </c>
      <c r="X474" s="10" t="e">
        <f>VLOOKUP(AJ466,'FRC Site Data'!$B$3:$L$42,9,FALSE)</f>
        <v>#N/A</v>
      </c>
      <c r="Y474" s="10" t="e">
        <f>VLOOKUP(AJ466,'FRC Site Data'!$B$3:$L$42,10,FALSE)</f>
        <v>#N/A</v>
      </c>
      <c r="Z474" s="10" t="e">
        <f>VLOOKUP(AJ466,'FRC Site Data'!$B$3:$L$42,11,FALSE)</f>
        <v>#N/A</v>
      </c>
      <c r="AA474" s="10" t="e">
        <f>VLOOKUP(AJ466,'CIR Team Info'!$C$5:$E$44,4,FALSE)</f>
        <v>#N/A</v>
      </c>
      <c r="AB474" s="161" t="b">
        <f>ISNUMBER(VLOOKUP(AJ466,Match!$T$5:$T$10,1,FALSE))</f>
        <v>0</v>
      </c>
      <c r="AC474" s="161" t="b">
        <f>IF(AB474=TRUE,(VLOOKUP($AJ466,Match!$T$5:$U$10,2,FALSE)))</f>
        <v>0</v>
      </c>
      <c r="AD474" s="8">
        <v>3</v>
      </c>
      <c r="AE474" s="8">
        <v>2</v>
      </c>
      <c r="AF474" s="8">
        <v>2</v>
      </c>
      <c r="AG474" s="8">
        <v>1</v>
      </c>
      <c r="AH474" s="8" t="str">
        <f t="shared" si="138"/>
        <v/>
      </c>
      <c r="AI474" s="12"/>
      <c r="AZ474" s="12"/>
      <c r="BC474" s="12"/>
      <c r="BK474" s="12"/>
    </row>
    <row r="475" spans="1:63" x14ac:dyDescent="0.25">
      <c r="A475" s="29">
        <f t="shared" si="145"/>
        <v>0</v>
      </c>
      <c r="B475" s="29">
        <f t="shared" si="139"/>
        <v>0</v>
      </c>
      <c r="C475" s="29">
        <f t="shared" si="140"/>
        <v>0</v>
      </c>
      <c r="D475" s="29">
        <f t="shared" si="141"/>
        <v>0</v>
      </c>
      <c r="E475" s="29">
        <f t="shared" si="146"/>
        <v>0</v>
      </c>
      <c r="F475" s="29">
        <f t="shared" si="147"/>
        <v>0</v>
      </c>
      <c r="G475" s="29" t="str">
        <f t="shared" si="148"/>
        <v>offensive</v>
      </c>
      <c r="H475" s="16">
        <f t="shared" si="152"/>
        <v>0</v>
      </c>
      <c r="I475" s="16">
        <f t="shared" si="153"/>
        <v>0</v>
      </c>
      <c r="J475" s="16">
        <f t="shared" si="142"/>
        <v>0</v>
      </c>
      <c r="K475" s="16">
        <f t="shared" si="149"/>
        <v>0</v>
      </c>
      <c r="L475" s="67">
        <f t="shared" si="150"/>
        <v>0</v>
      </c>
      <c r="M475" s="4">
        <f t="shared" si="143"/>
        <v>0</v>
      </c>
      <c r="N475" s="4">
        <f t="shared" si="144"/>
        <v>0</v>
      </c>
      <c r="O475" s="4">
        <f t="shared" si="151"/>
        <v>0</v>
      </c>
      <c r="P475" s="4" t="e">
        <f>VLOOKUP(AJ467,'CIR Team Info'!$C$5:$E$44,2,FALSE)</f>
        <v>#N/A</v>
      </c>
      <c r="Q475" s="4" t="e">
        <f>VLOOKUP(AJ467,'CIR Team Info'!$C$5:$E$44,3,FALSE)</f>
        <v>#N/A</v>
      </c>
      <c r="R475" s="10" t="e">
        <f>VLOOKUP(AJ467,'FRC Site Data'!$B$3:$L$42,2,FALSE)</f>
        <v>#N/A</v>
      </c>
      <c r="S475" s="10" t="e">
        <f>VLOOKUP(AJ467,'FRC Site Data'!$B$3:$L$42,3,FALSE)</f>
        <v>#N/A</v>
      </c>
      <c r="T475" s="10" t="e">
        <f>VLOOKUP(AJ467,'FRC Site Data'!$B$3:$L$42,4,FALSE)</f>
        <v>#N/A</v>
      </c>
      <c r="U475" s="10" t="e">
        <f>VLOOKUP(AJ467,'FRC Site Data'!$B$3:$L$42,5,FALSE)</f>
        <v>#N/A</v>
      </c>
      <c r="V475" s="10" t="e">
        <f>VLOOKUP(AJ467,'FRC Site Data'!$B$3:$L$42,6,FALSE)</f>
        <v>#N/A</v>
      </c>
      <c r="W475" s="10" t="e">
        <f>VLOOKUP(AJ467,'FRC Site Data'!$B$3:$L$42,8,FALSE)</f>
        <v>#N/A</v>
      </c>
      <c r="X475" s="10" t="e">
        <f>VLOOKUP(AJ467,'FRC Site Data'!$B$3:$L$42,9,FALSE)</f>
        <v>#N/A</v>
      </c>
      <c r="Y475" s="10" t="e">
        <f>VLOOKUP(AJ467,'FRC Site Data'!$B$3:$L$42,10,FALSE)</f>
        <v>#N/A</v>
      </c>
      <c r="Z475" s="10" t="e">
        <f>VLOOKUP(AJ467,'FRC Site Data'!$B$3:$L$42,11,FALSE)</f>
        <v>#N/A</v>
      </c>
      <c r="AA475" s="10" t="e">
        <f>VLOOKUP(AJ467,'CIR Team Info'!$C$5:$E$44,4,FALSE)</f>
        <v>#N/A</v>
      </c>
      <c r="AB475" s="161" t="b">
        <f>ISNUMBER(VLOOKUP(AJ467,Match!$T$5:$T$10,1,FALSE))</f>
        <v>0</v>
      </c>
      <c r="AC475" s="161" t="b">
        <f>IF(AB475=TRUE,(VLOOKUP($AJ467,Match!$T$5:$U$10,2,FALSE)))</f>
        <v>0</v>
      </c>
      <c r="AD475" s="8">
        <v>3</v>
      </c>
      <c r="AE475" s="8">
        <v>2</v>
      </c>
      <c r="AF475" s="8">
        <v>2</v>
      </c>
      <c r="AG475" s="8">
        <v>1</v>
      </c>
      <c r="AH475" s="8" t="str">
        <f t="shared" si="138"/>
        <v/>
      </c>
      <c r="AI475" s="12"/>
      <c r="AZ475" s="12"/>
      <c r="BC475" s="12"/>
      <c r="BK475" s="12"/>
    </row>
    <row r="476" spans="1:63" x14ac:dyDescent="0.25">
      <c r="A476" s="29">
        <f t="shared" si="145"/>
        <v>0</v>
      </c>
      <c r="B476" s="29">
        <f t="shared" si="139"/>
        <v>0</v>
      </c>
      <c r="C476" s="29">
        <f t="shared" si="140"/>
        <v>0</v>
      </c>
      <c r="D476" s="29">
        <f t="shared" si="141"/>
        <v>0</v>
      </c>
      <c r="E476" s="29">
        <f t="shared" si="146"/>
        <v>0</v>
      </c>
      <c r="F476" s="29">
        <f t="shared" si="147"/>
        <v>0</v>
      </c>
      <c r="G476" s="29" t="str">
        <f t="shared" si="148"/>
        <v>offensive</v>
      </c>
      <c r="H476" s="16">
        <f t="shared" si="152"/>
        <v>0</v>
      </c>
      <c r="I476" s="16">
        <f t="shared" si="153"/>
        <v>0</v>
      </c>
      <c r="J476" s="16">
        <f t="shared" si="142"/>
        <v>0</v>
      </c>
      <c r="K476" s="16">
        <f t="shared" si="149"/>
        <v>0</v>
      </c>
      <c r="L476" s="67">
        <f t="shared" si="150"/>
        <v>0</v>
      </c>
      <c r="M476" s="4">
        <f t="shared" si="143"/>
        <v>0</v>
      </c>
      <c r="N476" s="4">
        <f t="shared" si="144"/>
        <v>0</v>
      </c>
      <c r="O476" s="4">
        <f t="shared" si="151"/>
        <v>0</v>
      </c>
      <c r="P476" s="4" t="e">
        <f>VLOOKUP(AJ468,'CIR Team Info'!$C$5:$E$44,2,FALSE)</f>
        <v>#N/A</v>
      </c>
      <c r="Q476" s="4" t="e">
        <f>VLOOKUP(AJ468,'CIR Team Info'!$C$5:$E$44,3,FALSE)</f>
        <v>#N/A</v>
      </c>
      <c r="R476" s="10" t="e">
        <f>VLOOKUP(AJ468,'FRC Site Data'!$B$3:$L$42,2,FALSE)</f>
        <v>#N/A</v>
      </c>
      <c r="S476" s="10" t="e">
        <f>VLOOKUP(AJ468,'FRC Site Data'!$B$3:$L$42,3,FALSE)</f>
        <v>#N/A</v>
      </c>
      <c r="T476" s="10" t="e">
        <f>VLOOKUP(AJ468,'FRC Site Data'!$B$3:$L$42,4,FALSE)</f>
        <v>#N/A</v>
      </c>
      <c r="U476" s="10" t="e">
        <f>VLOOKUP(AJ468,'FRC Site Data'!$B$3:$L$42,5,FALSE)</f>
        <v>#N/A</v>
      </c>
      <c r="V476" s="10" t="e">
        <f>VLOOKUP(AJ468,'FRC Site Data'!$B$3:$L$42,6,FALSE)</f>
        <v>#N/A</v>
      </c>
      <c r="W476" s="10" t="e">
        <f>VLOOKUP(AJ468,'FRC Site Data'!$B$3:$L$42,8,FALSE)</f>
        <v>#N/A</v>
      </c>
      <c r="X476" s="10" t="e">
        <f>VLOOKUP(AJ468,'FRC Site Data'!$B$3:$L$42,9,FALSE)</f>
        <v>#N/A</v>
      </c>
      <c r="Y476" s="10" t="e">
        <f>VLOOKUP(AJ468,'FRC Site Data'!$B$3:$L$42,10,FALSE)</f>
        <v>#N/A</v>
      </c>
      <c r="Z476" s="10" t="e">
        <f>VLOOKUP(AJ468,'FRC Site Data'!$B$3:$L$42,11,FALSE)</f>
        <v>#N/A</v>
      </c>
      <c r="AA476" s="10" t="e">
        <f>VLOOKUP(AJ468,'CIR Team Info'!$C$5:$E$44,4,FALSE)</f>
        <v>#N/A</v>
      </c>
      <c r="AB476" s="161" t="b">
        <f>ISNUMBER(VLOOKUP(AJ468,Match!$T$5:$T$10,1,FALSE))</f>
        <v>0</v>
      </c>
      <c r="AC476" s="161" t="b">
        <f>IF(AB476=TRUE,(VLOOKUP($AJ468,Match!$T$5:$U$10,2,FALSE)))</f>
        <v>0</v>
      </c>
      <c r="AD476" s="8">
        <v>3</v>
      </c>
      <c r="AE476" s="8">
        <v>2</v>
      </c>
      <c r="AF476" s="8">
        <v>2</v>
      </c>
      <c r="AG476" s="8">
        <v>1</v>
      </c>
      <c r="AH476" s="8" t="str">
        <f t="shared" si="138"/>
        <v/>
      </c>
      <c r="AI476" s="12"/>
      <c r="AZ476" s="12"/>
      <c r="BC476" s="12"/>
      <c r="BK476" s="12"/>
    </row>
    <row r="477" spans="1:63" x14ac:dyDescent="0.25">
      <c r="A477" s="29">
        <f t="shared" si="145"/>
        <v>0</v>
      </c>
      <c r="B477" s="29">
        <f t="shared" si="139"/>
        <v>0</v>
      </c>
      <c r="C477" s="29">
        <f t="shared" si="140"/>
        <v>0</v>
      </c>
      <c r="D477" s="29">
        <f t="shared" si="141"/>
        <v>0</v>
      </c>
      <c r="E477" s="29">
        <f t="shared" si="146"/>
        <v>0</v>
      </c>
      <c r="F477" s="29">
        <f t="shared" si="147"/>
        <v>0</v>
      </c>
      <c r="G477" s="29" t="str">
        <f t="shared" si="148"/>
        <v>offensive</v>
      </c>
      <c r="H477" s="16">
        <f t="shared" si="152"/>
        <v>0</v>
      </c>
      <c r="I477" s="16">
        <f t="shared" si="153"/>
        <v>0</v>
      </c>
      <c r="J477" s="16">
        <f t="shared" si="142"/>
        <v>0</v>
      </c>
      <c r="K477" s="16">
        <f t="shared" si="149"/>
        <v>0</v>
      </c>
      <c r="L477" s="67">
        <f t="shared" si="150"/>
        <v>0</v>
      </c>
      <c r="M477" s="4">
        <f t="shared" si="143"/>
        <v>0</v>
      </c>
      <c r="N477" s="4">
        <f t="shared" si="144"/>
        <v>0</v>
      </c>
      <c r="O477" s="4">
        <f t="shared" si="151"/>
        <v>0</v>
      </c>
      <c r="P477" s="4" t="e">
        <f>VLOOKUP(AJ469,'CIR Team Info'!$C$5:$E$44,2,FALSE)</f>
        <v>#N/A</v>
      </c>
      <c r="Q477" s="4" t="e">
        <f>VLOOKUP(AJ469,'CIR Team Info'!$C$5:$E$44,3,FALSE)</f>
        <v>#N/A</v>
      </c>
      <c r="R477" s="10" t="e">
        <f>VLOOKUP(AJ469,'FRC Site Data'!$B$3:$L$42,2,FALSE)</f>
        <v>#N/A</v>
      </c>
      <c r="S477" s="10" t="e">
        <f>VLOOKUP(AJ469,'FRC Site Data'!$B$3:$L$42,3,FALSE)</f>
        <v>#N/A</v>
      </c>
      <c r="T477" s="10" t="e">
        <f>VLOOKUP(AJ469,'FRC Site Data'!$B$3:$L$42,4,FALSE)</f>
        <v>#N/A</v>
      </c>
      <c r="U477" s="10" t="e">
        <f>VLOOKUP(AJ469,'FRC Site Data'!$B$3:$L$42,5,FALSE)</f>
        <v>#N/A</v>
      </c>
      <c r="V477" s="10" t="e">
        <f>VLOOKUP(AJ469,'FRC Site Data'!$B$3:$L$42,6,FALSE)</f>
        <v>#N/A</v>
      </c>
      <c r="W477" s="10" t="e">
        <f>VLOOKUP(AJ469,'FRC Site Data'!$B$3:$L$42,8,FALSE)</f>
        <v>#N/A</v>
      </c>
      <c r="X477" s="10" t="e">
        <f>VLOOKUP(AJ469,'FRC Site Data'!$B$3:$L$42,9,FALSE)</f>
        <v>#N/A</v>
      </c>
      <c r="Y477" s="10" t="e">
        <f>VLOOKUP(AJ469,'FRC Site Data'!$B$3:$L$42,10,FALSE)</f>
        <v>#N/A</v>
      </c>
      <c r="Z477" s="10" t="e">
        <f>VLOOKUP(AJ469,'FRC Site Data'!$B$3:$L$42,11,FALSE)</f>
        <v>#N/A</v>
      </c>
      <c r="AA477" s="10" t="e">
        <f>VLOOKUP(AJ469,'CIR Team Info'!$C$5:$E$44,4,FALSE)</f>
        <v>#N/A</v>
      </c>
      <c r="AB477" s="161" t="b">
        <f>ISNUMBER(VLOOKUP(AJ469,Match!$T$5:$T$10,1,FALSE))</f>
        <v>0</v>
      </c>
      <c r="AC477" s="161" t="b">
        <f>IF(AB477=TRUE,(VLOOKUP($AJ469,Match!$T$5:$U$10,2,FALSE)))</f>
        <v>0</v>
      </c>
      <c r="AD477" s="8">
        <v>3</v>
      </c>
      <c r="AE477" s="8">
        <v>2</v>
      </c>
      <c r="AF477" s="8">
        <v>2</v>
      </c>
      <c r="AG477" s="8">
        <v>1</v>
      </c>
      <c r="AH477" s="8" t="str">
        <f t="shared" si="138"/>
        <v/>
      </c>
      <c r="AI477" s="12"/>
      <c r="AZ477" s="12"/>
      <c r="BC477" s="12"/>
      <c r="BK477" s="12"/>
    </row>
    <row r="478" spans="1:63" x14ac:dyDescent="0.25">
      <c r="A478" s="29">
        <f t="shared" si="145"/>
        <v>0</v>
      </c>
      <c r="B478" s="29">
        <f t="shared" si="139"/>
        <v>0</v>
      </c>
      <c r="C478" s="29">
        <f t="shared" si="140"/>
        <v>0</v>
      </c>
      <c r="D478" s="29">
        <f t="shared" si="141"/>
        <v>0</v>
      </c>
      <c r="E478" s="29">
        <f t="shared" si="146"/>
        <v>0</v>
      </c>
      <c r="F478" s="29">
        <f t="shared" si="147"/>
        <v>0</v>
      </c>
      <c r="G478" s="29" t="str">
        <f t="shared" si="148"/>
        <v>offensive</v>
      </c>
      <c r="H478" s="16">
        <f t="shared" si="152"/>
        <v>0</v>
      </c>
      <c r="I478" s="16">
        <f t="shared" si="153"/>
        <v>0</v>
      </c>
      <c r="J478" s="16">
        <f t="shared" si="142"/>
        <v>0</v>
      </c>
      <c r="K478" s="16">
        <f t="shared" si="149"/>
        <v>0</v>
      </c>
      <c r="L478" s="67">
        <f t="shared" si="150"/>
        <v>0</v>
      </c>
      <c r="M478" s="4">
        <f t="shared" si="143"/>
        <v>0</v>
      </c>
      <c r="N478" s="4">
        <f t="shared" si="144"/>
        <v>0</v>
      </c>
      <c r="O478" s="4">
        <f t="shared" si="151"/>
        <v>0</v>
      </c>
      <c r="P478" s="4" t="e">
        <f>VLOOKUP(AJ470,'CIR Team Info'!$C$5:$E$44,2,FALSE)</f>
        <v>#N/A</v>
      </c>
      <c r="Q478" s="4" t="e">
        <f>VLOOKUP(AJ470,'CIR Team Info'!$C$5:$E$44,3,FALSE)</f>
        <v>#N/A</v>
      </c>
      <c r="R478" s="10" t="e">
        <f>VLOOKUP(AJ470,'FRC Site Data'!$B$3:$L$42,2,FALSE)</f>
        <v>#N/A</v>
      </c>
      <c r="S478" s="10" t="e">
        <f>VLOOKUP(AJ470,'FRC Site Data'!$B$3:$L$42,3,FALSE)</f>
        <v>#N/A</v>
      </c>
      <c r="T478" s="10" t="e">
        <f>VLOOKUP(AJ470,'FRC Site Data'!$B$3:$L$42,4,FALSE)</f>
        <v>#N/A</v>
      </c>
      <c r="U478" s="10" t="e">
        <f>VLOOKUP(AJ470,'FRC Site Data'!$B$3:$L$42,5,FALSE)</f>
        <v>#N/A</v>
      </c>
      <c r="V478" s="10" t="e">
        <f>VLOOKUP(AJ470,'FRC Site Data'!$B$3:$L$42,6,FALSE)</f>
        <v>#N/A</v>
      </c>
      <c r="W478" s="10" t="e">
        <f>VLOOKUP(AJ470,'FRC Site Data'!$B$3:$L$42,8,FALSE)</f>
        <v>#N/A</v>
      </c>
      <c r="X478" s="10" t="e">
        <f>VLOOKUP(AJ470,'FRC Site Data'!$B$3:$L$42,9,FALSE)</f>
        <v>#N/A</v>
      </c>
      <c r="Y478" s="10" t="e">
        <f>VLOOKUP(AJ470,'FRC Site Data'!$B$3:$L$42,10,FALSE)</f>
        <v>#N/A</v>
      </c>
      <c r="Z478" s="10" t="e">
        <f>VLOOKUP(AJ470,'FRC Site Data'!$B$3:$L$42,11,FALSE)</f>
        <v>#N/A</v>
      </c>
      <c r="AA478" s="10" t="e">
        <f>VLOOKUP(AJ470,'CIR Team Info'!$C$5:$E$44,4,FALSE)</f>
        <v>#N/A</v>
      </c>
      <c r="AB478" s="161" t="b">
        <f>ISNUMBER(VLOOKUP(AJ470,Match!$T$5:$T$10,1,FALSE))</f>
        <v>0</v>
      </c>
      <c r="AC478" s="161" t="b">
        <f>IF(AB478=TRUE,(VLOOKUP($AJ470,Match!$T$5:$U$10,2,FALSE)))</f>
        <v>0</v>
      </c>
      <c r="AD478" s="8">
        <v>3</v>
      </c>
      <c r="AE478" s="8">
        <v>2</v>
      </c>
      <c r="AF478" s="8">
        <v>2</v>
      </c>
      <c r="AG478" s="8">
        <v>1</v>
      </c>
      <c r="AH478" s="8" t="str">
        <f t="shared" si="138"/>
        <v/>
      </c>
      <c r="AI478" s="12"/>
      <c r="AZ478" s="12"/>
      <c r="BC478" s="12"/>
      <c r="BK478" s="12"/>
    </row>
    <row r="479" spans="1:63" x14ac:dyDescent="0.25">
      <c r="A479" s="29">
        <f t="shared" si="145"/>
        <v>0</v>
      </c>
      <c r="B479" s="29">
        <f t="shared" si="139"/>
        <v>0</v>
      </c>
      <c r="C479" s="29">
        <f t="shared" si="140"/>
        <v>0</v>
      </c>
      <c r="D479" s="29">
        <f t="shared" si="141"/>
        <v>0</v>
      </c>
      <c r="E479" s="29">
        <f t="shared" si="146"/>
        <v>0</v>
      </c>
      <c r="F479" s="29">
        <f t="shared" si="147"/>
        <v>0</v>
      </c>
      <c r="G479" s="29" t="str">
        <f t="shared" si="148"/>
        <v>offensive</v>
      </c>
      <c r="H479" s="16">
        <f t="shared" si="152"/>
        <v>0</v>
      </c>
      <c r="I479" s="16">
        <f t="shared" si="153"/>
        <v>0</v>
      </c>
      <c r="J479" s="16">
        <f t="shared" si="142"/>
        <v>0</v>
      </c>
      <c r="K479" s="16">
        <f t="shared" si="149"/>
        <v>0</v>
      </c>
      <c r="L479" s="67">
        <f t="shared" si="150"/>
        <v>0</v>
      </c>
      <c r="M479" s="4">
        <f t="shared" si="143"/>
        <v>0</v>
      </c>
      <c r="N479" s="4">
        <f t="shared" si="144"/>
        <v>0</v>
      </c>
      <c r="O479" s="4">
        <f t="shared" si="151"/>
        <v>0</v>
      </c>
      <c r="P479" s="4" t="e">
        <f>VLOOKUP(AJ471,'CIR Team Info'!$C$5:$E$44,2,FALSE)</f>
        <v>#N/A</v>
      </c>
      <c r="Q479" s="4" t="e">
        <f>VLOOKUP(AJ471,'CIR Team Info'!$C$5:$E$44,3,FALSE)</f>
        <v>#N/A</v>
      </c>
      <c r="R479" s="10" t="e">
        <f>VLOOKUP(AJ471,'FRC Site Data'!$B$3:$L$42,2,FALSE)</f>
        <v>#N/A</v>
      </c>
      <c r="S479" s="10" t="e">
        <f>VLOOKUP(AJ471,'FRC Site Data'!$B$3:$L$42,3,FALSE)</f>
        <v>#N/A</v>
      </c>
      <c r="T479" s="10" t="e">
        <f>VLOOKUP(AJ471,'FRC Site Data'!$B$3:$L$42,4,FALSE)</f>
        <v>#N/A</v>
      </c>
      <c r="U479" s="10" t="e">
        <f>VLOOKUP(AJ471,'FRC Site Data'!$B$3:$L$42,5,FALSE)</f>
        <v>#N/A</v>
      </c>
      <c r="V479" s="10" t="e">
        <f>VLOOKUP(AJ471,'FRC Site Data'!$B$3:$L$42,6,FALSE)</f>
        <v>#N/A</v>
      </c>
      <c r="W479" s="10" t="e">
        <f>VLOOKUP(AJ471,'FRC Site Data'!$B$3:$L$42,8,FALSE)</f>
        <v>#N/A</v>
      </c>
      <c r="X479" s="10" t="e">
        <f>VLOOKUP(AJ471,'FRC Site Data'!$B$3:$L$42,9,FALSE)</f>
        <v>#N/A</v>
      </c>
      <c r="Y479" s="10" t="e">
        <f>VLOOKUP(AJ471,'FRC Site Data'!$B$3:$L$42,10,FALSE)</f>
        <v>#N/A</v>
      </c>
      <c r="Z479" s="10" t="e">
        <f>VLOOKUP(AJ471,'FRC Site Data'!$B$3:$L$42,11,FALSE)</f>
        <v>#N/A</v>
      </c>
      <c r="AA479" s="10" t="e">
        <f>VLOOKUP(AJ471,'CIR Team Info'!$C$5:$E$44,4,FALSE)</f>
        <v>#N/A</v>
      </c>
      <c r="AB479" s="161" t="b">
        <f>ISNUMBER(VLOOKUP(AJ471,Match!$T$5:$T$10,1,FALSE))</f>
        <v>0</v>
      </c>
      <c r="AC479" s="161" t="b">
        <f>IF(AB479=TRUE,(VLOOKUP($AJ471,Match!$T$5:$U$10,2,FALSE)))</f>
        <v>0</v>
      </c>
      <c r="AD479" s="8">
        <v>3</v>
      </c>
      <c r="AE479" s="8">
        <v>2</v>
      </c>
      <c r="AF479" s="8">
        <v>2</v>
      </c>
      <c r="AG479" s="8">
        <v>1</v>
      </c>
      <c r="AH479" s="8" t="str">
        <f t="shared" si="138"/>
        <v/>
      </c>
      <c r="AI479" s="12"/>
      <c r="AZ479" s="12"/>
      <c r="BC479" s="12"/>
      <c r="BK479" s="12"/>
    </row>
    <row r="480" spans="1:63" x14ac:dyDescent="0.25">
      <c r="A480" s="29">
        <f t="shared" si="145"/>
        <v>0</v>
      </c>
      <c r="B480" s="29">
        <f t="shared" si="139"/>
        <v>0</v>
      </c>
      <c r="C480" s="29">
        <f t="shared" si="140"/>
        <v>0</v>
      </c>
      <c r="D480" s="29">
        <f t="shared" si="141"/>
        <v>0</v>
      </c>
      <c r="E480" s="29">
        <f t="shared" si="146"/>
        <v>0</v>
      </c>
      <c r="F480" s="29">
        <f t="shared" si="147"/>
        <v>0</v>
      </c>
      <c r="G480" s="29" t="str">
        <f t="shared" si="148"/>
        <v>offensive</v>
      </c>
      <c r="H480" s="16">
        <f t="shared" si="152"/>
        <v>0</v>
      </c>
      <c r="I480" s="16">
        <f t="shared" si="153"/>
        <v>0</v>
      </c>
      <c r="J480" s="16">
        <f t="shared" si="142"/>
        <v>0</v>
      </c>
      <c r="K480" s="16">
        <f t="shared" si="149"/>
        <v>0</v>
      </c>
      <c r="L480" s="67">
        <f t="shared" si="150"/>
        <v>0</v>
      </c>
      <c r="M480" s="4">
        <f t="shared" si="143"/>
        <v>0</v>
      </c>
      <c r="N480" s="4">
        <f t="shared" si="144"/>
        <v>0</v>
      </c>
      <c r="O480" s="4">
        <f t="shared" si="151"/>
        <v>0</v>
      </c>
      <c r="P480" s="4" t="e">
        <f>VLOOKUP(AJ472,'CIR Team Info'!$C$5:$E$44,2,FALSE)</f>
        <v>#N/A</v>
      </c>
      <c r="Q480" s="4" t="e">
        <f>VLOOKUP(AJ472,'CIR Team Info'!$C$5:$E$44,3,FALSE)</f>
        <v>#N/A</v>
      </c>
      <c r="R480" s="10" t="e">
        <f>VLOOKUP(AJ472,'FRC Site Data'!$B$3:$L$42,2,FALSE)</f>
        <v>#N/A</v>
      </c>
      <c r="S480" s="10" t="e">
        <f>VLOOKUP(AJ472,'FRC Site Data'!$B$3:$L$42,3,FALSE)</f>
        <v>#N/A</v>
      </c>
      <c r="T480" s="10" t="e">
        <f>VLOOKUP(AJ472,'FRC Site Data'!$B$3:$L$42,4,FALSE)</f>
        <v>#N/A</v>
      </c>
      <c r="U480" s="10" t="e">
        <f>VLOOKUP(AJ472,'FRC Site Data'!$B$3:$L$42,5,FALSE)</f>
        <v>#N/A</v>
      </c>
      <c r="V480" s="10" t="e">
        <f>VLOOKUP(AJ472,'FRC Site Data'!$B$3:$L$42,6,FALSE)</f>
        <v>#N/A</v>
      </c>
      <c r="W480" s="10" t="e">
        <f>VLOOKUP(AJ472,'FRC Site Data'!$B$3:$L$42,8,FALSE)</f>
        <v>#N/A</v>
      </c>
      <c r="X480" s="10" t="e">
        <f>VLOOKUP(AJ472,'FRC Site Data'!$B$3:$L$42,9,FALSE)</f>
        <v>#N/A</v>
      </c>
      <c r="Y480" s="10" t="e">
        <f>VLOOKUP(AJ472,'FRC Site Data'!$B$3:$L$42,10,FALSE)</f>
        <v>#N/A</v>
      </c>
      <c r="Z480" s="10" t="e">
        <f>VLOOKUP(AJ472,'FRC Site Data'!$B$3:$L$42,11,FALSE)</f>
        <v>#N/A</v>
      </c>
      <c r="AA480" s="10" t="e">
        <f>VLOOKUP(AJ472,'CIR Team Info'!$C$5:$E$44,4,FALSE)</f>
        <v>#N/A</v>
      </c>
      <c r="AB480" s="161" t="b">
        <f>ISNUMBER(VLOOKUP(AJ472,Match!$T$5:$T$10,1,FALSE))</f>
        <v>0</v>
      </c>
      <c r="AC480" s="161" t="b">
        <f>IF(AB480=TRUE,(VLOOKUP($AJ472,Match!$T$5:$U$10,2,FALSE)))</f>
        <v>0</v>
      </c>
      <c r="AD480" s="8">
        <v>3</v>
      </c>
      <c r="AE480" s="8">
        <v>2</v>
      </c>
      <c r="AF480" s="8">
        <v>2</v>
      </c>
      <c r="AG480" s="8">
        <v>1</v>
      </c>
      <c r="AH480" s="8" t="str">
        <f t="shared" si="138"/>
        <v/>
      </c>
      <c r="AI480" s="12"/>
      <c r="AZ480" s="12"/>
      <c r="BC480" s="12"/>
      <c r="BK480" s="12"/>
    </row>
    <row r="481" spans="1:63" x14ac:dyDescent="0.25">
      <c r="A481" s="29">
        <f t="shared" si="145"/>
        <v>0</v>
      </c>
      <c r="B481" s="29">
        <f t="shared" si="139"/>
        <v>0</v>
      </c>
      <c r="C481" s="29">
        <f t="shared" si="140"/>
        <v>0</v>
      </c>
      <c r="D481" s="29">
        <f t="shared" si="141"/>
        <v>0</v>
      </c>
      <c r="E481" s="29">
        <f t="shared" si="146"/>
        <v>0</v>
      </c>
      <c r="F481" s="29">
        <f t="shared" si="147"/>
        <v>0</v>
      </c>
      <c r="G481" s="29" t="str">
        <f t="shared" si="148"/>
        <v>offensive</v>
      </c>
      <c r="H481" s="16">
        <f t="shared" si="152"/>
        <v>0</v>
      </c>
      <c r="I481" s="16">
        <f t="shared" si="153"/>
        <v>0</v>
      </c>
      <c r="J481" s="16">
        <f t="shared" si="142"/>
        <v>0</v>
      </c>
      <c r="K481" s="16">
        <f t="shared" si="149"/>
        <v>0</v>
      </c>
      <c r="L481" s="67">
        <f t="shared" si="150"/>
        <v>0</v>
      </c>
      <c r="M481" s="4">
        <f t="shared" si="143"/>
        <v>0</v>
      </c>
      <c r="N481" s="4">
        <f t="shared" si="144"/>
        <v>0</v>
      </c>
      <c r="O481" s="4">
        <f t="shared" si="151"/>
        <v>0</v>
      </c>
      <c r="P481" s="4" t="e">
        <f>VLOOKUP(AJ473,'CIR Team Info'!$C$5:$E$44,2,FALSE)</f>
        <v>#N/A</v>
      </c>
      <c r="Q481" s="4" t="e">
        <f>VLOOKUP(AJ473,'CIR Team Info'!$C$5:$E$44,3,FALSE)</f>
        <v>#N/A</v>
      </c>
      <c r="R481" s="10" t="e">
        <f>VLOOKUP(AJ473,'FRC Site Data'!$B$3:$L$42,2,FALSE)</f>
        <v>#N/A</v>
      </c>
      <c r="S481" s="10" t="e">
        <f>VLOOKUP(AJ473,'FRC Site Data'!$B$3:$L$42,3,FALSE)</f>
        <v>#N/A</v>
      </c>
      <c r="T481" s="10" t="e">
        <f>VLOOKUP(AJ473,'FRC Site Data'!$B$3:$L$42,4,FALSE)</f>
        <v>#N/A</v>
      </c>
      <c r="U481" s="10" t="e">
        <f>VLOOKUP(AJ473,'FRC Site Data'!$B$3:$L$42,5,FALSE)</f>
        <v>#N/A</v>
      </c>
      <c r="V481" s="10" t="e">
        <f>VLOOKUP(AJ473,'FRC Site Data'!$B$3:$L$42,6,FALSE)</f>
        <v>#N/A</v>
      </c>
      <c r="W481" s="10" t="e">
        <f>VLOOKUP(AJ473,'FRC Site Data'!$B$3:$L$42,8,FALSE)</f>
        <v>#N/A</v>
      </c>
      <c r="X481" s="10" t="e">
        <f>VLOOKUP(AJ473,'FRC Site Data'!$B$3:$L$42,9,FALSE)</f>
        <v>#N/A</v>
      </c>
      <c r="Y481" s="10" t="e">
        <f>VLOOKUP(AJ473,'FRC Site Data'!$B$3:$L$42,10,FALSE)</f>
        <v>#N/A</v>
      </c>
      <c r="Z481" s="10" t="e">
        <f>VLOOKUP(AJ473,'FRC Site Data'!$B$3:$L$42,11,FALSE)</f>
        <v>#N/A</v>
      </c>
      <c r="AA481" s="10" t="e">
        <f>VLOOKUP(AJ473,'CIR Team Info'!$C$5:$E$44,4,FALSE)</f>
        <v>#N/A</v>
      </c>
      <c r="AB481" s="161" t="b">
        <f>ISNUMBER(VLOOKUP(AJ473,Match!$T$5:$T$10,1,FALSE))</f>
        <v>0</v>
      </c>
      <c r="AC481" s="161" t="b">
        <f>IF(AB481=TRUE,(VLOOKUP($AJ473,Match!$T$5:$U$10,2,FALSE)))</f>
        <v>0</v>
      </c>
      <c r="AD481" s="8">
        <v>3</v>
      </c>
      <c r="AE481" s="8">
        <v>2</v>
      </c>
      <c r="AF481" s="8">
        <v>2</v>
      </c>
      <c r="AG481" s="8">
        <v>1</v>
      </c>
      <c r="AH481" s="8" t="str">
        <f t="shared" si="138"/>
        <v/>
      </c>
      <c r="AI481" s="12"/>
      <c r="AZ481" s="12"/>
      <c r="BC481" s="12"/>
      <c r="BK481" s="12"/>
    </row>
    <row r="482" spans="1:63" x14ac:dyDescent="0.25">
      <c r="A482" s="29">
        <f t="shared" si="145"/>
        <v>0</v>
      </c>
      <c r="B482" s="29">
        <f t="shared" si="139"/>
        <v>0</v>
      </c>
      <c r="C482" s="29">
        <f t="shared" si="140"/>
        <v>0</v>
      </c>
      <c r="D482" s="29">
        <f t="shared" si="141"/>
        <v>0</v>
      </c>
      <c r="E482" s="29">
        <f t="shared" si="146"/>
        <v>0</v>
      </c>
      <c r="F482" s="29">
        <f t="shared" si="147"/>
        <v>0</v>
      </c>
      <c r="G482" s="29" t="str">
        <f t="shared" si="148"/>
        <v>offensive</v>
      </c>
      <c r="H482" s="16">
        <f t="shared" si="152"/>
        <v>0</v>
      </c>
      <c r="I482" s="16">
        <f t="shared" si="153"/>
        <v>0</v>
      </c>
      <c r="J482" s="16">
        <f t="shared" si="142"/>
        <v>0</v>
      </c>
      <c r="K482" s="16">
        <f t="shared" si="149"/>
        <v>0</v>
      </c>
      <c r="L482" s="67">
        <f t="shared" si="150"/>
        <v>0</v>
      </c>
      <c r="M482" s="4">
        <f t="shared" si="143"/>
        <v>0</v>
      </c>
      <c r="N482" s="4">
        <f t="shared" si="144"/>
        <v>0</v>
      </c>
      <c r="O482" s="4">
        <f t="shared" si="151"/>
        <v>0</v>
      </c>
      <c r="P482" s="4" t="e">
        <f>VLOOKUP(AJ474,'CIR Team Info'!$C$5:$E$44,2,FALSE)</f>
        <v>#N/A</v>
      </c>
      <c r="Q482" s="4" t="e">
        <f>VLOOKUP(AJ474,'CIR Team Info'!$C$5:$E$44,3,FALSE)</f>
        <v>#N/A</v>
      </c>
      <c r="R482" s="10" t="e">
        <f>VLOOKUP(AJ474,'FRC Site Data'!$B$3:$L$42,2,FALSE)</f>
        <v>#N/A</v>
      </c>
      <c r="S482" s="10" t="e">
        <f>VLOOKUP(AJ474,'FRC Site Data'!$B$3:$L$42,3,FALSE)</f>
        <v>#N/A</v>
      </c>
      <c r="T482" s="10" t="e">
        <f>VLOOKUP(AJ474,'FRC Site Data'!$B$3:$L$42,4,FALSE)</f>
        <v>#N/A</v>
      </c>
      <c r="U482" s="10" t="e">
        <f>VLOOKUP(AJ474,'FRC Site Data'!$B$3:$L$42,5,FALSE)</f>
        <v>#N/A</v>
      </c>
      <c r="V482" s="10" t="e">
        <f>VLOOKUP(AJ474,'FRC Site Data'!$B$3:$L$42,6,FALSE)</f>
        <v>#N/A</v>
      </c>
      <c r="W482" s="10" t="e">
        <f>VLOOKUP(AJ474,'FRC Site Data'!$B$3:$L$42,8,FALSE)</f>
        <v>#N/A</v>
      </c>
      <c r="X482" s="10" t="e">
        <f>VLOOKUP(AJ474,'FRC Site Data'!$B$3:$L$42,9,FALSE)</f>
        <v>#N/A</v>
      </c>
      <c r="Y482" s="10" t="e">
        <f>VLOOKUP(AJ474,'FRC Site Data'!$B$3:$L$42,10,FALSE)</f>
        <v>#N/A</v>
      </c>
      <c r="Z482" s="10" t="e">
        <f>VLOOKUP(AJ474,'FRC Site Data'!$B$3:$L$42,11,FALSE)</f>
        <v>#N/A</v>
      </c>
      <c r="AA482" s="10" t="e">
        <f>VLOOKUP(AJ474,'CIR Team Info'!$C$5:$E$44,4,FALSE)</f>
        <v>#N/A</v>
      </c>
      <c r="AB482" s="161" t="b">
        <f>ISNUMBER(VLOOKUP(AJ474,Match!$T$5:$T$10,1,FALSE))</f>
        <v>0</v>
      </c>
      <c r="AC482" s="161" t="b">
        <f>IF(AB482=TRUE,(VLOOKUP($AJ474,Match!$T$5:$U$10,2,FALSE)))</f>
        <v>0</v>
      </c>
      <c r="AD482" s="8">
        <v>3</v>
      </c>
      <c r="AE482" s="8">
        <v>2</v>
      </c>
      <c r="AF482" s="8">
        <v>2</v>
      </c>
      <c r="AG482" s="8">
        <v>1</v>
      </c>
      <c r="AH482" s="8" t="str">
        <f t="shared" si="138"/>
        <v/>
      </c>
      <c r="AI482" s="12"/>
      <c r="AZ482" s="12"/>
      <c r="BC482" s="12"/>
      <c r="BK482" s="12"/>
    </row>
    <row r="483" spans="1:63" x14ac:dyDescent="0.25">
      <c r="A483" s="29">
        <f t="shared" si="145"/>
        <v>0</v>
      </c>
      <c r="B483" s="29">
        <f t="shared" si="139"/>
        <v>0</v>
      </c>
      <c r="C483" s="29">
        <f t="shared" si="140"/>
        <v>0</v>
      </c>
      <c r="D483" s="29">
        <f t="shared" si="141"/>
        <v>0</v>
      </c>
      <c r="E483" s="29">
        <f t="shared" si="146"/>
        <v>0</v>
      </c>
      <c r="F483" s="29">
        <f t="shared" si="147"/>
        <v>0</v>
      </c>
      <c r="G483" s="29" t="str">
        <f t="shared" si="148"/>
        <v>offensive</v>
      </c>
      <c r="H483" s="16">
        <f t="shared" si="152"/>
        <v>0</v>
      </c>
      <c r="I483" s="16">
        <f t="shared" si="153"/>
        <v>0</v>
      </c>
      <c r="J483" s="16">
        <f t="shared" si="142"/>
        <v>0</v>
      </c>
      <c r="K483" s="16">
        <f t="shared" si="149"/>
        <v>0</v>
      </c>
      <c r="L483" s="67">
        <f t="shared" si="150"/>
        <v>0</v>
      </c>
      <c r="M483" s="4">
        <f t="shared" si="143"/>
        <v>0</v>
      </c>
      <c r="N483" s="4">
        <f t="shared" si="144"/>
        <v>0</v>
      </c>
      <c r="O483" s="4">
        <f t="shared" si="151"/>
        <v>0</v>
      </c>
      <c r="P483" s="4" t="e">
        <f>VLOOKUP(AJ475,'CIR Team Info'!$C$5:$E$44,2,FALSE)</f>
        <v>#N/A</v>
      </c>
      <c r="Q483" s="4" t="e">
        <f>VLOOKUP(AJ475,'CIR Team Info'!$C$5:$E$44,3,FALSE)</f>
        <v>#N/A</v>
      </c>
      <c r="R483" s="10" t="e">
        <f>VLOOKUP(AJ475,'FRC Site Data'!$B$3:$L$42,2,FALSE)</f>
        <v>#N/A</v>
      </c>
      <c r="S483" s="10" t="e">
        <f>VLOOKUP(AJ475,'FRC Site Data'!$B$3:$L$42,3,FALSE)</f>
        <v>#N/A</v>
      </c>
      <c r="T483" s="10" t="e">
        <f>VLOOKUP(AJ475,'FRC Site Data'!$B$3:$L$42,4,FALSE)</f>
        <v>#N/A</v>
      </c>
      <c r="U483" s="10" t="e">
        <f>VLOOKUP(AJ475,'FRC Site Data'!$B$3:$L$42,5,FALSE)</f>
        <v>#N/A</v>
      </c>
      <c r="V483" s="10" t="e">
        <f>VLOOKUP(AJ475,'FRC Site Data'!$B$3:$L$42,6,FALSE)</f>
        <v>#N/A</v>
      </c>
      <c r="W483" s="10" t="e">
        <f>VLOOKUP(AJ475,'FRC Site Data'!$B$3:$L$42,8,FALSE)</f>
        <v>#N/A</v>
      </c>
      <c r="X483" s="10" t="e">
        <f>VLOOKUP(AJ475,'FRC Site Data'!$B$3:$L$42,9,FALSE)</f>
        <v>#N/A</v>
      </c>
      <c r="Y483" s="10" t="e">
        <f>VLOOKUP(AJ475,'FRC Site Data'!$B$3:$L$42,10,FALSE)</f>
        <v>#N/A</v>
      </c>
      <c r="Z483" s="10" t="e">
        <f>VLOOKUP(AJ475,'FRC Site Data'!$B$3:$L$42,11,FALSE)</f>
        <v>#N/A</v>
      </c>
      <c r="AA483" s="10" t="e">
        <f>VLOOKUP(AJ475,'CIR Team Info'!$C$5:$E$44,4,FALSE)</f>
        <v>#N/A</v>
      </c>
      <c r="AB483" s="161" t="b">
        <f>ISNUMBER(VLOOKUP(AJ475,Match!$T$5:$T$10,1,FALSE))</f>
        <v>0</v>
      </c>
      <c r="AC483" s="161" t="b">
        <f>IF(AB483=TRUE,(VLOOKUP($AJ475,Match!$T$5:$U$10,2,FALSE)))</f>
        <v>0</v>
      </c>
      <c r="AD483" s="8">
        <v>3</v>
      </c>
      <c r="AE483" s="8">
        <v>2</v>
      </c>
      <c r="AF483" s="8">
        <v>2</v>
      </c>
      <c r="AG483" s="8">
        <v>1</v>
      </c>
      <c r="AH483" s="8" t="str">
        <f t="shared" si="138"/>
        <v/>
      </c>
      <c r="AI483" s="12"/>
      <c r="AZ483" s="12"/>
      <c r="BC483" s="12"/>
      <c r="BK483" s="12"/>
    </row>
    <row r="484" spans="1:63" x14ac:dyDescent="0.25">
      <c r="A484" s="29">
        <f t="shared" si="145"/>
        <v>0</v>
      </c>
      <c r="B484" s="29">
        <f t="shared" si="139"/>
        <v>0</v>
      </c>
      <c r="C484" s="29">
        <f t="shared" si="140"/>
        <v>0</v>
      </c>
      <c r="D484" s="29">
        <f t="shared" si="141"/>
        <v>0</v>
      </c>
      <c r="E484" s="29">
        <f t="shared" si="146"/>
        <v>0</v>
      </c>
      <c r="F484" s="29">
        <f t="shared" si="147"/>
        <v>0</v>
      </c>
      <c r="G484" s="29" t="str">
        <f t="shared" si="148"/>
        <v>offensive</v>
      </c>
      <c r="H484" s="16">
        <f t="shared" si="152"/>
        <v>0</v>
      </c>
      <c r="I484" s="16">
        <f t="shared" si="153"/>
        <v>0</v>
      </c>
      <c r="J484" s="16">
        <f t="shared" si="142"/>
        <v>0</v>
      </c>
      <c r="K484" s="16">
        <f t="shared" si="149"/>
        <v>0</v>
      </c>
      <c r="L484" s="67">
        <f t="shared" si="150"/>
        <v>0</v>
      </c>
      <c r="M484" s="4">
        <f t="shared" si="143"/>
        <v>0</v>
      </c>
      <c r="N484" s="4">
        <f t="shared" si="144"/>
        <v>0</v>
      </c>
      <c r="O484" s="4">
        <f t="shared" si="151"/>
        <v>0</v>
      </c>
      <c r="P484" s="4" t="e">
        <f>VLOOKUP(AJ476,'CIR Team Info'!$C$5:$E$44,2,FALSE)</f>
        <v>#N/A</v>
      </c>
      <c r="Q484" s="4" t="e">
        <f>VLOOKUP(AJ476,'CIR Team Info'!$C$5:$E$44,3,FALSE)</f>
        <v>#N/A</v>
      </c>
      <c r="R484" s="10" t="e">
        <f>VLOOKUP(AJ476,'FRC Site Data'!$B$3:$L$42,2,FALSE)</f>
        <v>#N/A</v>
      </c>
      <c r="S484" s="10" t="e">
        <f>VLOOKUP(AJ476,'FRC Site Data'!$B$3:$L$42,3,FALSE)</f>
        <v>#N/A</v>
      </c>
      <c r="T484" s="10" t="e">
        <f>VLOOKUP(AJ476,'FRC Site Data'!$B$3:$L$42,4,FALSE)</f>
        <v>#N/A</v>
      </c>
      <c r="U484" s="10" t="e">
        <f>VLOOKUP(AJ476,'FRC Site Data'!$B$3:$L$42,5,FALSE)</f>
        <v>#N/A</v>
      </c>
      <c r="V484" s="10" t="e">
        <f>VLOOKUP(AJ476,'FRC Site Data'!$B$3:$L$42,6,FALSE)</f>
        <v>#N/A</v>
      </c>
      <c r="W484" s="10" t="e">
        <f>VLOOKUP(AJ476,'FRC Site Data'!$B$3:$L$42,8,FALSE)</f>
        <v>#N/A</v>
      </c>
      <c r="X484" s="10" t="e">
        <f>VLOOKUP(AJ476,'FRC Site Data'!$B$3:$L$42,9,FALSE)</f>
        <v>#N/A</v>
      </c>
      <c r="Y484" s="10" t="e">
        <f>VLOOKUP(AJ476,'FRC Site Data'!$B$3:$L$42,10,FALSE)</f>
        <v>#N/A</v>
      </c>
      <c r="Z484" s="10" t="e">
        <f>VLOOKUP(AJ476,'FRC Site Data'!$B$3:$L$42,11,FALSE)</f>
        <v>#N/A</v>
      </c>
      <c r="AA484" s="10" t="e">
        <f>VLOOKUP(AJ476,'CIR Team Info'!$C$5:$E$44,4,FALSE)</f>
        <v>#N/A</v>
      </c>
      <c r="AB484" s="161" t="b">
        <f>ISNUMBER(VLOOKUP(AJ476,Match!$T$5:$T$10,1,FALSE))</f>
        <v>0</v>
      </c>
      <c r="AC484" s="161" t="b">
        <f>IF(AB484=TRUE,(VLOOKUP($AJ476,Match!$T$5:$U$10,2,FALSE)))</f>
        <v>0</v>
      </c>
      <c r="AD484" s="8">
        <v>3</v>
      </c>
      <c r="AE484" s="8">
        <v>2</v>
      </c>
      <c r="AF484" s="8">
        <v>2</v>
      </c>
      <c r="AG484" s="8">
        <v>1</v>
      </c>
      <c r="AH484" s="8" t="str">
        <f t="shared" si="138"/>
        <v/>
      </c>
      <c r="AI484" s="12"/>
      <c r="AZ484" s="12"/>
      <c r="BC484" s="12"/>
      <c r="BK484" s="12"/>
    </row>
    <row r="485" spans="1:63" x14ac:dyDescent="0.25">
      <c r="A485" s="29">
        <f t="shared" si="145"/>
        <v>0</v>
      </c>
      <c r="B485" s="29">
        <f t="shared" si="139"/>
        <v>0</v>
      </c>
      <c r="C485" s="29">
        <f t="shared" si="140"/>
        <v>0</v>
      </c>
      <c r="D485" s="29">
        <f t="shared" si="141"/>
        <v>0</v>
      </c>
      <c r="E485" s="29">
        <f t="shared" si="146"/>
        <v>0</v>
      </c>
      <c r="F485" s="29">
        <f t="shared" si="147"/>
        <v>0</v>
      </c>
      <c r="G485" s="29" t="str">
        <f t="shared" si="148"/>
        <v>offensive</v>
      </c>
      <c r="H485" s="16">
        <f t="shared" si="152"/>
        <v>0</v>
      </c>
      <c r="I485" s="16">
        <f t="shared" si="153"/>
        <v>0</v>
      </c>
      <c r="J485" s="16">
        <f t="shared" si="142"/>
        <v>0</v>
      </c>
      <c r="K485" s="16">
        <f t="shared" si="149"/>
        <v>0</v>
      </c>
      <c r="L485" s="67">
        <f t="shared" si="150"/>
        <v>0</v>
      </c>
      <c r="M485" s="4">
        <f t="shared" si="143"/>
        <v>0</v>
      </c>
      <c r="N485" s="4">
        <f t="shared" si="144"/>
        <v>0</v>
      </c>
      <c r="O485" s="4">
        <f t="shared" si="151"/>
        <v>0</v>
      </c>
      <c r="P485" s="4" t="e">
        <f>VLOOKUP(AJ477,'CIR Team Info'!$C$5:$E$44,2,FALSE)</f>
        <v>#N/A</v>
      </c>
      <c r="Q485" s="4" t="e">
        <f>VLOOKUP(AJ477,'CIR Team Info'!$C$5:$E$44,3,FALSE)</f>
        <v>#N/A</v>
      </c>
      <c r="R485" s="10" t="e">
        <f>VLOOKUP(AJ477,'FRC Site Data'!$B$3:$L$42,2,FALSE)</f>
        <v>#N/A</v>
      </c>
      <c r="S485" s="10" t="e">
        <f>VLOOKUP(AJ477,'FRC Site Data'!$B$3:$L$42,3,FALSE)</f>
        <v>#N/A</v>
      </c>
      <c r="T485" s="10" t="e">
        <f>VLOOKUP(AJ477,'FRC Site Data'!$B$3:$L$42,4,FALSE)</f>
        <v>#N/A</v>
      </c>
      <c r="U485" s="10" t="e">
        <f>VLOOKUP(AJ477,'FRC Site Data'!$B$3:$L$42,5,FALSE)</f>
        <v>#N/A</v>
      </c>
      <c r="V485" s="10" t="e">
        <f>VLOOKUP(AJ477,'FRC Site Data'!$B$3:$L$42,6,FALSE)</f>
        <v>#N/A</v>
      </c>
      <c r="W485" s="10" t="e">
        <f>VLOOKUP(AJ477,'FRC Site Data'!$B$3:$L$42,8,FALSE)</f>
        <v>#N/A</v>
      </c>
      <c r="X485" s="10" t="e">
        <f>VLOOKUP(AJ477,'FRC Site Data'!$B$3:$L$42,9,FALSE)</f>
        <v>#N/A</v>
      </c>
      <c r="Y485" s="10" t="e">
        <f>VLOOKUP(AJ477,'FRC Site Data'!$B$3:$L$42,10,FALSE)</f>
        <v>#N/A</v>
      </c>
      <c r="Z485" s="10" t="e">
        <f>VLOOKUP(AJ477,'FRC Site Data'!$B$3:$L$42,11,FALSE)</f>
        <v>#N/A</v>
      </c>
      <c r="AA485" s="10" t="e">
        <f>VLOOKUP(AJ477,'CIR Team Info'!$C$5:$E$44,4,FALSE)</f>
        <v>#N/A</v>
      </c>
      <c r="AB485" s="161" t="b">
        <f>ISNUMBER(VLOOKUP(AJ477,Match!$T$5:$T$10,1,FALSE))</f>
        <v>0</v>
      </c>
      <c r="AC485" s="161" t="b">
        <f>IF(AB485=TRUE,(VLOOKUP($AJ477,Match!$T$5:$U$10,2,FALSE)))</f>
        <v>0</v>
      </c>
      <c r="AD485" s="8">
        <v>3</v>
      </c>
      <c r="AE485" s="8">
        <v>2</v>
      </c>
      <c r="AF485" s="8">
        <v>2</v>
      </c>
      <c r="AG485" s="8">
        <v>1</v>
      </c>
      <c r="AH485" s="8" t="str">
        <f t="shared" si="138"/>
        <v/>
      </c>
      <c r="AI485" s="12"/>
      <c r="AZ485" s="12"/>
      <c r="BC485" s="12"/>
      <c r="BK485" s="12"/>
    </row>
    <row r="486" spans="1:63" x14ac:dyDescent="0.25">
      <c r="A486" s="29">
        <f t="shared" si="145"/>
        <v>0</v>
      </c>
      <c r="B486" s="29">
        <f t="shared" si="139"/>
        <v>0</v>
      </c>
      <c r="C486" s="29">
        <f t="shared" si="140"/>
        <v>0</v>
      </c>
      <c r="D486" s="29">
        <f t="shared" si="141"/>
        <v>0</v>
      </c>
      <c r="E486" s="29">
        <f t="shared" si="146"/>
        <v>0</v>
      </c>
      <c r="F486" s="29">
        <f t="shared" si="147"/>
        <v>0</v>
      </c>
      <c r="G486" s="29" t="str">
        <f t="shared" si="148"/>
        <v>offensive</v>
      </c>
      <c r="H486" s="16">
        <f t="shared" si="152"/>
        <v>0</v>
      </c>
      <c r="I486" s="16">
        <f t="shared" si="153"/>
        <v>0</v>
      </c>
      <c r="J486" s="16">
        <f t="shared" si="142"/>
        <v>0</v>
      </c>
      <c r="K486" s="16">
        <f t="shared" si="149"/>
        <v>0</v>
      </c>
      <c r="L486" s="67">
        <f t="shared" si="150"/>
        <v>0</v>
      </c>
      <c r="M486" s="4">
        <f t="shared" si="143"/>
        <v>0</v>
      </c>
      <c r="N486" s="4">
        <f t="shared" si="144"/>
        <v>0</v>
      </c>
      <c r="O486" s="4">
        <f t="shared" si="151"/>
        <v>0</v>
      </c>
      <c r="P486" s="4" t="e">
        <f>VLOOKUP(AJ478,'CIR Team Info'!$C$5:$E$44,2,FALSE)</f>
        <v>#N/A</v>
      </c>
      <c r="Q486" s="4" t="e">
        <f>VLOOKUP(AJ478,'CIR Team Info'!$C$5:$E$44,3,FALSE)</f>
        <v>#N/A</v>
      </c>
      <c r="R486" s="10" t="e">
        <f>VLOOKUP(AJ478,'FRC Site Data'!$B$3:$L$42,2,FALSE)</f>
        <v>#N/A</v>
      </c>
      <c r="S486" s="10" t="e">
        <f>VLOOKUP(AJ478,'FRC Site Data'!$B$3:$L$42,3,FALSE)</f>
        <v>#N/A</v>
      </c>
      <c r="T486" s="10" t="e">
        <f>VLOOKUP(AJ478,'FRC Site Data'!$B$3:$L$42,4,FALSE)</f>
        <v>#N/A</v>
      </c>
      <c r="U486" s="10" t="e">
        <f>VLOOKUP(AJ478,'FRC Site Data'!$B$3:$L$42,5,FALSE)</f>
        <v>#N/A</v>
      </c>
      <c r="V486" s="10" t="e">
        <f>VLOOKUP(AJ478,'FRC Site Data'!$B$3:$L$42,6,FALSE)</f>
        <v>#N/A</v>
      </c>
      <c r="W486" s="10" t="e">
        <f>VLOOKUP(AJ478,'FRC Site Data'!$B$3:$L$42,8,FALSE)</f>
        <v>#N/A</v>
      </c>
      <c r="X486" s="10" t="e">
        <f>VLOOKUP(AJ478,'FRC Site Data'!$B$3:$L$42,9,FALSE)</f>
        <v>#N/A</v>
      </c>
      <c r="Y486" s="10" t="e">
        <f>VLOOKUP(AJ478,'FRC Site Data'!$B$3:$L$42,10,FALSE)</f>
        <v>#N/A</v>
      </c>
      <c r="Z486" s="10" t="e">
        <f>VLOOKUP(AJ478,'FRC Site Data'!$B$3:$L$42,11,FALSE)</f>
        <v>#N/A</v>
      </c>
      <c r="AA486" s="10" t="e">
        <f>VLOOKUP(AJ478,'CIR Team Info'!$C$5:$E$44,4,FALSE)</f>
        <v>#N/A</v>
      </c>
      <c r="AB486" s="161" t="b">
        <f>ISNUMBER(VLOOKUP(AJ478,Match!$T$5:$T$10,1,FALSE))</f>
        <v>0</v>
      </c>
      <c r="AC486" s="161" t="b">
        <f>IF(AB486=TRUE,(VLOOKUP($AJ478,Match!$T$5:$U$10,2,FALSE)))</f>
        <v>0</v>
      </c>
      <c r="AD486" s="8">
        <v>3</v>
      </c>
      <c r="AE486" s="8">
        <v>2</v>
      </c>
      <c r="AF486" s="8">
        <v>2</v>
      </c>
      <c r="AG486" s="8">
        <v>1</v>
      </c>
      <c r="AH486" s="8" t="str">
        <f t="shared" si="138"/>
        <v/>
      </c>
      <c r="AI486" s="12"/>
      <c r="AZ486" s="12"/>
      <c r="BC486" s="12"/>
      <c r="BK486" s="12"/>
    </row>
    <row r="487" spans="1:63" x14ac:dyDescent="0.25">
      <c r="A487" s="29">
        <f t="shared" si="145"/>
        <v>0</v>
      </c>
      <c r="B487" s="29">
        <f t="shared" si="139"/>
        <v>0</v>
      </c>
      <c r="C487" s="29">
        <f t="shared" si="140"/>
        <v>0</v>
      </c>
      <c r="D487" s="29">
        <f t="shared" si="141"/>
        <v>0</v>
      </c>
      <c r="E487" s="29">
        <f t="shared" si="146"/>
        <v>0</v>
      </c>
      <c r="F487" s="29">
        <f t="shared" si="147"/>
        <v>0</v>
      </c>
      <c r="G487" s="29" t="str">
        <f t="shared" si="148"/>
        <v>offensive</v>
      </c>
      <c r="H487" s="16">
        <f t="shared" si="152"/>
        <v>0</v>
      </c>
      <c r="I487" s="16">
        <f t="shared" si="153"/>
        <v>0</v>
      </c>
      <c r="J487" s="16">
        <f t="shared" si="142"/>
        <v>0</v>
      </c>
      <c r="K487" s="16">
        <f t="shared" si="149"/>
        <v>0</v>
      </c>
      <c r="L487" s="67">
        <f t="shared" si="150"/>
        <v>0</v>
      </c>
      <c r="M487" s="4">
        <f t="shared" si="143"/>
        <v>0</v>
      </c>
      <c r="N487" s="4">
        <f t="shared" si="144"/>
        <v>0</v>
      </c>
      <c r="O487" s="4">
        <f t="shared" si="151"/>
        <v>0</v>
      </c>
      <c r="P487" s="4" t="e">
        <f>VLOOKUP(AJ479,'CIR Team Info'!$C$5:$E$44,2,FALSE)</f>
        <v>#N/A</v>
      </c>
      <c r="Q487" s="4" t="e">
        <f>VLOOKUP(AJ479,'CIR Team Info'!$C$5:$E$44,3,FALSE)</f>
        <v>#N/A</v>
      </c>
      <c r="R487" s="10" t="e">
        <f>VLOOKUP(AJ479,'FRC Site Data'!$B$3:$L$42,2,FALSE)</f>
        <v>#N/A</v>
      </c>
      <c r="S487" s="10" t="e">
        <f>VLOOKUP(AJ479,'FRC Site Data'!$B$3:$L$42,3,FALSE)</f>
        <v>#N/A</v>
      </c>
      <c r="T487" s="10" t="e">
        <f>VLOOKUP(AJ479,'FRC Site Data'!$B$3:$L$42,4,FALSE)</f>
        <v>#N/A</v>
      </c>
      <c r="U487" s="10" t="e">
        <f>VLOOKUP(AJ479,'FRC Site Data'!$B$3:$L$42,5,FALSE)</f>
        <v>#N/A</v>
      </c>
      <c r="V487" s="10" t="e">
        <f>VLOOKUP(AJ479,'FRC Site Data'!$B$3:$L$42,6,FALSE)</f>
        <v>#N/A</v>
      </c>
      <c r="W487" s="10" t="e">
        <f>VLOOKUP(AJ479,'FRC Site Data'!$B$3:$L$42,8,FALSE)</f>
        <v>#N/A</v>
      </c>
      <c r="X487" s="10" t="e">
        <f>VLOOKUP(AJ479,'FRC Site Data'!$B$3:$L$42,9,FALSE)</f>
        <v>#N/A</v>
      </c>
      <c r="Y487" s="10" t="e">
        <f>VLOOKUP(AJ479,'FRC Site Data'!$B$3:$L$42,10,FALSE)</f>
        <v>#N/A</v>
      </c>
      <c r="Z487" s="10" t="e">
        <f>VLOOKUP(AJ479,'FRC Site Data'!$B$3:$L$42,11,FALSE)</f>
        <v>#N/A</v>
      </c>
      <c r="AA487" s="10" t="e">
        <f>VLOOKUP(AJ479,'CIR Team Info'!$C$5:$E$44,4,FALSE)</f>
        <v>#N/A</v>
      </c>
      <c r="AB487" s="161" t="b">
        <f>ISNUMBER(VLOOKUP(AJ479,Match!$T$5:$T$10,1,FALSE))</f>
        <v>0</v>
      </c>
      <c r="AC487" s="161" t="b">
        <f>IF(AB487=TRUE,(VLOOKUP($AJ479,Match!$T$5:$U$10,2,FALSE)))</f>
        <v>0</v>
      </c>
      <c r="AD487" s="8">
        <v>3</v>
      </c>
      <c r="AE487" s="8">
        <v>2</v>
      </c>
      <c r="AF487" s="8">
        <v>2</v>
      </c>
      <c r="AG487" s="8">
        <v>1</v>
      </c>
      <c r="AH487" s="8" t="str">
        <f t="shared" si="138"/>
        <v/>
      </c>
      <c r="AI487" s="12"/>
      <c r="AZ487" s="12"/>
      <c r="BC487" s="12"/>
      <c r="BK487" s="12"/>
    </row>
    <row r="488" spans="1:63" x14ac:dyDescent="0.25">
      <c r="A488" s="29">
        <f t="shared" si="145"/>
        <v>0</v>
      </c>
      <c r="B488" s="29">
        <f t="shared" si="139"/>
        <v>0</v>
      </c>
      <c r="C488" s="29">
        <f t="shared" si="140"/>
        <v>0</v>
      </c>
      <c r="D488" s="29">
        <f t="shared" si="141"/>
        <v>0</v>
      </c>
      <c r="E488" s="29">
        <f t="shared" si="146"/>
        <v>0</v>
      </c>
      <c r="F488" s="29">
        <f t="shared" si="147"/>
        <v>0</v>
      </c>
      <c r="G488" s="29" t="str">
        <f t="shared" si="148"/>
        <v>offensive</v>
      </c>
      <c r="H488" s="16">
        <f t="shared" si="152"/>
        <v>0</v>
      </c>
      <c r="I488" s="16">
        <f t="shared" si="153"/>
        <v>0</v>
      </c>
      <c r="J488" s="16">
        <f t="shared" si="142"/>
        <v>0</v>
      </c>
      <c r="K488" s="16">
        <f t="shared" si="149"/>
        <v>0</v>
      </c>
      <c r="L488" s="67">
        <f t="shared" si="150"/>
        <v>0</v>
      </c>
      <c r="M488" s="4">
        <f t="shared" si="143"/>
        <v>0</v>
      </c>
      <c r="N488" s="4">
        <f t="shared" si="144"/>
        <v>0</v>
      </c>
      <c r="O488" s="4">
        <f t="shared" si="151"/>
        <v>0</v>
      </c>
      <c r="P488" s="4" t="e">
        <f>VLOOKUP(AJ480,'CIR Team Info'!$C$5:$E$44,2,FALSE)</f>
        <v>#N/A</v>
      </c>
      <c r="Q488" s="4" t="e">
        <f>VLOOKUP(AJ480,'CIR Team Info'!$C$5:$E$44,3,FALSE)</f>
        <v>#N/A</v>
      </c>
      <c r="R488" s="10" t="e">
        <f>VLOOKUP(AJ480,'FRC Site Data'!$B$3:$L$42,2,FALSE)</f>
        <v>#N/A</v>
      </c>
      <c r="S488" s="10" t="e">
        <f>VLOOKUP(AJ480,'FRC Site Data'!$B$3:$L$42,3,FALSE)</f>
        <v>#N/A</v>
      </c>
      <c r="T488" s="10" t="e">
        <f>VLOOKUP(AJ480,'FRC Site Data'!$B$3:$L$42,4,FALSE)</f>
        <v>#N/A</v>
      </c>
      <c r="U488" s="10" t="e">
        <f>VLOOKUP(AJ480,'FRC Site Data'!$B$3:$L$42,5,FALSE)</f>
        <v>#N/A</v>
      </c>
      <c r="V488" s="10" t="e">
        <f>VLOOKUP(AJ480,'FRC Site Data'!$B$3:$L$42,6,FALSE)</f>
        <v>#N/A</v>
      </c>
      <c r="W488" s="10" t="e">
        <f>VLOOKUP(AJ480,'FRC Site Data'!$B$3:$L$42,8,FALSE)</f>
        <v>#N/A</v>
      </c>
      <c r="X488" s="10" t="e">
        <f>VLOOKUP(AJ480,'FRC Site Data'!$B$3:$L$42,9,FALSE)</f>
        <v>#N/A</v>
      </c>
      <c r="Y488" s="10" t="e">
        <f>VLOOKUP(AJ480,'FRC Site Data'!$B$3:$L$42,10,FALSE)</f>
        <v>#N/A</v>
      </c>
      <c r="Z488" s="10" t="e">
        <f>VLOOKUP(AJ480,'FRC Site Data'!$B$3:$L$42,11,FALSE)</f>
        <v>#N/A</v>
      </c>
      <c r="AA488" s="10" t="e">
        <f>VLOOKUP(AJ480,'CIR Team Info'!$C$5:$E$44,4,FALSE)</f>
        <v>#N/A</v>
      </c>
      <c r="AB488" s="161" t="b">
        <f>ISNUMBER(VLOOKUP(AJ480,Match!$T$5:$T$10,1,FALSE))</f>
        <v>0</v>
      </c>
      <c r="AC488" s="161" t="b">
        <f>IF(AB488=TRUE,(VLOOKUP($AJ480,Match!$T$5:$U$10,2,FALSE)))</f>
        <v>0</v>
      </c>
      <c r="AD488" s="8">
        <v>3</v>
      </c>
      <c r="AE488" s="8">
        <v>2</v>
      </c>
      <c r="AF488" s="8">
        <v>2</v>
      </c>
      <c r="AG488" s="8">
        <v>1</v>
      </c>
      <c r="AH488" s="8" t="str">
        <f t="shared" si="138"/>
        <v/>
      </c>
      <c r="AI488" s="12"/>
      <c r="AZ488" s="12"/>
      <c r="BC488" s="12"/>
      <c r="BK488" s="12"/>
    </row>
    <row r="489" spans="1:63" x14ac:dyDescent="0.25">
      <c r="A489" s="29">
        <f t="shared" si="145"/>
        <v>0</v>
      </c>
      <c r="B489" s="29">
        <f t="shared" si="139"/>
        <v>0</v>
      </c>
      <c r="C489" s="29">
        <f t="shared" si="140"/>
        <v>0</v>
      </c>
      <c r="D489" s="29">
        <f t="shared" si="141"/>
        <v>0</v>
      </c>
      <c r="E489" s="29">
        <f t="shared" si="146"/>
        <v>0</v>
      </c>
      <c r="F489" s="29">
        <f t="shared" si="147"/>
        <v>0</v>
      </c>
      <c r="G489" s="29" t="str">
        <f t="shared" si="148"/>
        <v>offensive</v>
      </c>
      <c r="H489" s="16">
        <f t="shared" si="152"/>
        <v>0</v>
      </c>
      <c r="I489" s="16">
        <f t="shared" si="153"/>
        <v>0</v>
      </c>
      <c r="J489" s="16">
        <f t="shared" si="142"/>
        <v>0</v>
      </c>
      <c r="K489" s="16">
        <f t="shared" si="149"/>
        <v>0</v>
      </c>
      <c r="L489" s="67">
        <f t="shared" si="150"/>
        <v>0</v>
      </c>
      <c r="M489" s="4">
        <f t="shared" si="143"/>
        <v>0</v>
      </c>
      <c r="N489" s="4">
        <f t="shared" si="144"/>
        <v>0</v>
      </c>
      <c r="O489" s="4">
        <f t="shared" si="151"/>
        <v>0</v>
      </c>
      <c r="P489" s="4" t="e">
        <f>VLOOKUP(AJ481,'CIR Team Info'!$C$5:$E$44,2,FALSE)</f>
        <v>#N/A</v>
      </c>
      <c r="Q489" s="4" t="e">
        <f>VLOOKUP(AJ481,'CIR Team Info'!$C$5:$E$44,3,FALSE)</f>
        <v>#N/A</v>
      </c>
      <c r="R489" s="10" t="e">
        <f>VLOOKUP(AJ481,'FRC Site Data'!$B$3:$L$42,2,FALSE)</f>
        <v>#N/A</v>
      </c>
      <c r="S489" s="10" t="e">
        <f>VLOOKUP(AJ481,'FRC Site Data'!$B$3:$L$42,3,FALSE)</f>
        <v>#N/A</v>
      </c>
      <c r="T489" s="10" t="e">
        <f>VLOOKUP(AJ481,'FRC Site Data'!$B$3:$L$42,4,FALSE)</f>
        <v>#N/A</v>
      </c>
      <c r="U489" s="10" t="e">
        <f>VLOOKUP(AJ481,'FRC Site Data'!$B$3:$L$42,5,FALSE)</f>
        <v>#N/A</v>
      </c>
      <c r="V489" s="10" t="e">
        <f>VLOOKUP(AJ481,'FRC Site Data'!$B$3:$L$42,6,FALSE)</f>
        <v>#N/A</v>
      </c>
      <c r="W489" s="10" t="e">
        <f>VLOOKUP(AJ481,'FRC Site Data'!$B$3:$L$42,8,FALSE)</f>
        <v>#N/A</v>
      </c>
      <c r="X489" s="10" t="e">
        <f>VLOOKUP(AJ481,'FRC Site Data'!$B$3:$L$42,9,FALSE)</f>
        <v>#N/A</v>
      </c>
      <c r="Y489" s="10" t="e">
        <f>VLOOKUP(AJ481,'FRC Site Data'!$B$3:$L$42,10,FALSE)</f>
        <v>#N/A</v>
      </c>
      <c r="Z489" s="10" t="e">
        <f>VLOOKUP(AJ481,'FRC Site Data'!$B$3:$L$42,11,FALSE)</f>
        <v>#N/A</v>
      </c>
      <c r="AA489" s="10" t="e">
        <f>VLOOKUP(AJ481,'CIR Team Info'!$C$5:$E$44,4,FALSE)</f>
        <v>#N/A</v>
      </c>
      <c r="AB489" s="161" t="b">
        <f>ISNUMBER(VLOOKUP(AJ481,Match!$T$5:$T$10,1,FALSE))</f>
        <v>0</v>
      </c>
      <c r="AC489" s="161" t="b">
        <f>IF(AB489=TRUE,(VLOOKUP($AJ481,Match!$T$5:$U$10,2,FALSE)))</f>
        <v>0</v>
      </c>
      <c r="AD489" s="8">
        <v>3</v>
      </c>
      <c r="AE489" s="8">
        <v>2</v>
      </c>
      <c r="AF489" s="8">
        <v>2</v>
      </c>
      <c r="AG489" s="8">
        <v>1</v>
      </c>
      <c r="AH489" s="8" t="str">
        <f t="shared" si="138"/>
        <v/>
      </c>
      <c r="AI489" s="12"/>
      <c r="AZ489" s="12"/>
      <c r="BC489" s="12"/>
      <c r="BK489" s="12"/>
    </row>
    <row r="490" spans="1:63" x14ac:dyDescent="0.25">
      <c r="A490" s="29">
        <f t="shared" si="145"/>
        <v>0</v>
      </c>
      <c r="B490" s="29">
        <f t="shared" si="139"/>
        <v>0</v>
      </c>
      <c r="C490" s="29">
        <f t="shared" si="140"/>
        <v>0</v>
      </c>
      <c r="D490" s="29">
        <f t="shared" si="141"/>
        <v>0</v>
      </c>
      <c r="E490" s="29">
        <f t="shared" si="146"/>
        <v>0</v>
      </c>
      <c r="F490" s="29">
        <f t="shared" si="147"/>
        <v>0</v>
      </c>
      <c r="G490" s="29" t="str">
        <f t="shared" si="148"/>
        <v>offensive</v>
      </c>
      <c r="H490" s="16">
        <f t="shared" si="152"/>
        <v>0</v>
      </c>
      <c r="I490" s="16">
        <f t="shared" si="153"/>
        <v>0</v>
      </c>
      <c r="J490" s="16">
        <f t="shared" si="142"/>
        <v>0</v>
      </c>
      <c r="K490" s="16">
        <f t="shared" si="149"/>
        <v>0</v>
      </c>
      <c r="L490" s="67">
        <f t="shared" si="150"/>
        <v>0</v>
      </c>
      <c r="M490" s="4">
        <f t="shared" si="143"/>
        <v>0</v>
      </c>
      <c r="N490" s="4">
        <f t="shared" si="144"/>
        <v>0</v>
      </c>
      <c r="O490" s="4">
        <f t="shared" si="151"/>
        <v>0</v>
      </c>
      <c r="P490" s="4" t="e">
        <f>VLOOKUP(AJ482,'CIR Team Info'!$C$5:$E$44,2,FALSE)</f>
        <v>#N/A</v>
      </c>
      <c r="Q490" s="4" t="e">
        <f>VLOOKUP(AJ482,'CIR Team Info'!$C$5:$E$44,3,FALSE)</f>
        <v>#N/A</v>
      </c>
      <c r="R490" s="10" t="e">
        <f>VLOOKUP(AJ482,'FRC Site Data'!$B$3:$L$42,2,FALSE)</f>
        <v>#N/A</v>
      </c>
      <c r="S490" s="10" t="e">
        <f>VLOOKUP(AJ482,'FRC Site Data'!$B$3:$L$42,3,FALSE)</f>
        <v>#N/A</v>
      </c>
      <c r="T490" s="10" t="e">
        <f>VLOOKUP(AJ482,'FRC Site Data'!$B$3:$L$42,4,FALSE)</f>
        <v>#N/A</v>
      </c>
      <c r="U490" s="10" t="e">
        <f>VLOOKUP(AJ482,'FRC Site Data'!$B$3:$L$42,5,FALSE)</f>
        <v>#N/A</v>
      </c>
      <c r="V490" s="10" t="e">
        <f>VLOOKUP(AJ482,'FRC Site Data'!$B$3:$L$42,6,FALSE)</f>
        <v>#N/A</v>
      </c>
      <c r="W490" s="10" t="e">
        <f>VLOOKUP(AJ482,'FRC Site Data'!$B$3:$L$42,8,FALSE)</f>
        <v>#N/A</v>
      </c>
      <c r="X490" s="10" t="e">
        <f>VLOOKUP(AJ482,'FRC Site Data'!$B$3:$L$42,9,FALSE)</f>
        <v>#N/A</v>
      </c>
      <c r="Y490" s="10" t="e">
        <f>VLOOKUP(AJ482,'FRC Site Data'!$B$3:$L$42,10,FALSE)</f>
        <v>#N/A</v>
      </c>
      <c r="Z490" s="10" t="e">
        <f>VLOOKUP(AJ482,'FRC Site Data'!$B$3:$L$42,11,FALSE)</f>
        <v>#N/A</v>
      </c>
      <c r="AA490" s="10" t="e">
        <f>VLOOKUP(AJ482,'CIR Team Info'!$C$5:$E$44,4,FALSE)</f>
        <v>#N/A</v>
      </c>
      <c r="AB490" s="161" t="b">
        <f>ISNUMBER(VLOOKUP(AJ482,Match!$T$5:$T$10,1,FALSE))</f>
        <v>0</v>
      </c>
      <c r="AC490" s="161" t="b">
        <f>IF(AB490=TRUE,(VLOOKUP($AJ482,Match!$T$5:$U$10,2,FALSE)))</f>
        <v>0</v>
      </c>
      <c r="AD490" s="8">
        <v>3</v>
      </c>
      <c r="AE490" s="8">
        <v>2</v>
      </c>
      <c r="AF490" s="8">
        <v>2</v>
      </c>
      <c r="AG490" s="8">
        <v>1</v>
      </c>
      <c r="AH490" s="8" t="str">
        <f t="shared" si="138"/>
        <v/>
      </c>
      <c r="AI490" s="12"/>
      <c r="AZ490" s="12"/>
      <c r="BC490" s="12"/>
      <c r="BK490" s="12"/>
    </row>
    <row r="491" spans="1:63" x14ac:dyDescent="0.25">
      <c r="A491" s="29">
        <f t="shared" si="145"/>
        <v>0</v>
      </c>
      <c r="B491" s="29">
        <f t="shared" si="139"/>
        <v>0</v>
      </c>
      <c r="C491" s="29">
        <f t="shared" si="140"/>
        <v>0</v>
      </c>
      <c r="D491" s="29">
        <f t="shared" si="141"/>
        <v>0</v>
      </c>
      <c r="E491" s="29">
        <f t="shared" si="146"/>
        <v>0</v>
      </c>
      <c r="F491" s="29">
        <f t="shared" si="147"/>
        <v>0</v>
      </c>
      <c r="G491" s="29" t="str">
        <f t="shared" si="148"/>
        <v>offensive</v>
      </c>
      <c r="H491" s="16">
        <f t="shared" si="152"/>
        <v>0</v>
      </c>
      <c r="I491" s="16">
        <f t="shared" si="153"/>
        <v>0</v>
      </c>
      <c r="J491" s="16">
        <f t="shared" si="142"/>
        <v>0</v>
      </c>
      <c r="K491" s="16">
        <f t="shared" si="149"/>
        <v>0</v>
      </c>
      <c r="L491" s="67">
        <f t="shared" si="150"/>
        <v>0</v>
      </c>
      <c r="M491" s="4">
        <f t="shared" si="143"/>
        <v>0</v>
      </c>
      <c r="N491" s="4">
        <f t="shared" si="144"/>
        <v>0</v>
      </c>
      <c r="O491" s="4">
        <f t="shared" si="151"/>
        <v>0</v>
      </c>
      <c r="P491" s="4" t="e">
        <f>VLOOKUP(AJ483,'CIR Team Info'!$C$5:$E$44,2,FALSE)</f>
        <v>#N/A</v>
      </c>
      <c r="Q491" s="4" t="e">
        <f>VLOOKUP(AJ483,'CIR Team Info'!$C$5:$E$44,3,FALSE)</f>
        <v>#N/A</v>
      </c>
      <c r="R491" s="10" t="e">
        <f>VLOOKUP(AJ483,'FRC Site Data'!$B$3:$L$42,2,FALSE)</f>
        <v>#N/A</v>
      </c>
      <c r="S491" s="10" t="e">
        <f>VLOOKUP(AJ483,'FRC Site Data'!$B$3:$L$42,3,FALSE)</f>
        <v>#N/A</v>
      </c>
      <c r="T491" s="10" t="e">
        <f>VLOOKUP(AJ483,'FRC Site Data'!$B$3:$L$42,4,FALSE)</f>
        <v>#N/A</v>
      </c>
      <c r="U491" s="10" t="e">
        <f>VLOOKUP(AJ483,'FRC Site Data'!$B$3:$L$42,5,FALSE)</f>
        <v>#N/A</v>
      </c>
      <c r="V491" s="10" t="e">
        <f>VLOOKUP(AJ483,'FRC Site Data'!$B$3:$L$42,6,FALSE)</f>
        <v>#N/A</v>
      </c>
      <c r="W491" s="10" t="e">
        <f>VLOOKUP(AJ483,'FRC Site Data'!$B$3:$L$42,8,FALSE)</f>
        <v>#N/A</v>
      </c>
      <c r="X491" s="10" t="e">
        <f>VLOOKUP(AJ483,'FRC Site Data'!$B$3:$L$42,9,FALSE)</f>
        <v>#N/A</v>
      </c>
      <c r="Y491" s="10" t="e">
        <f>VLOOKUP(AJ483,'FRC Site Data'!$B$3:$L$42,10,FALSE)</f>
        <v>#N/A</v>
      </c>
      <c r="Z491" s="10" t="e">
        <f>VLOOKUP(AJ483,'FRC Site Data'!$B$3:$L$42,11,FALSE)</f>
        <v>#N/A</v>
      </c>
      <c r="AA491" s="10" t="e">
        <f>VLOOKUP(AJ483,'CIR Team Info'!$C$5:$E$44,4,FALSE)</f>
        <v>#N/A</v>
      </c>
      <c r="AB491" s="161" t="b">
        <f>ISNUMBER(VLOOKUP(AJ483,Match!$T$5:$T$10,1,FALSE))</f>
        <v>0</v>
      </c>
      <c r="AC491" s="161" t="b">
        <f>IF(AB491=TRUE,(VLOOKUP($AJ483,Match!$T$5:$U$10,2,FALSE)))</f>
        <v>0</v>
      </c>
      <c r="AD491" s="8">
        <v>3</v>
      </c>
      <c r="AE491" s="8">
        <v>2</v>
      </c>
      <c r="AF491" s="8">
        <v>2</v>
      </c>
      <c r="AG491" s="8">
        <v>1</v>
      </c>
      <c r="AH491" s="8" t="str">
        <f t="shared" ref="AH491:AH550" si="154">IF(AL483="Other","x","")</f>
        <v/>
      </c>
      <c r="AI491" s="12"/>
      <c r="AZ491" s="12"/>
      <c r="BC491" s="12"/>
      <c r="BK491" s="12"/>
    </row>
    <row r="492" spans="1:63" x14ac:dyDescent="0.25">
      <c r="A492" s="29">
        <f t="shared" si="145"/>
        <v>0</v>
      </c>
      <c r="B492" s="29">
        <f t="shared" si="139"/>
        <v>0</v>
      </c>
      <c r="C492" s="29">
        <f t="shared" si="140"/>
        <v>0</v>
      </c>
      <c r="D492" s="29">
        <f t="shared" si="141"/>
        <v>0</v>
      </c>
      <c r="E492" s="29">
        <f t="shared" si="146"/>
        <v>0</v>
      </c>
      <c r="F492" s="29">
        <f t="shared" si="147"/>
        <v>0</v>
      </c>
      <c r="G492" s="29" t="str">
        <f t="shared" si="148"/>
        <v>offensive</v>
      </c>
      <c r="H492" s="16">
        <f t="shared" si="152"/>
        <v>0</v>
      </c>
      <c r="I492" s="16">
        <f t="shared" si="153"/>
        <v>0</v>
      </c>
      <c r="J492" s="16">
        <f t="shared" si="142"/>
        <v>0</v>
      </c>
      <c r="K492" s="16">
        <f t="shared" si="149"/>
        <v>0</v>
      </c>
      <c r="L492" s="67">
        <f t="shared" si="150"/>
        <v>0</v>
      </c>
      <c r="M492" s="4">
        <f t="shared" si="143"/>
        <v>0</v>
      </c>
      <c r="N492" s="4">
        <f t="shared" si="144"/>
        <v>0</v>
      </c>
      <c r="O492" s="4">
        <f t="shared" si="151"/>
        <v>0</v>
      </c>
      <c r="P492" s="4" t="e">
        <f>VLOOKUP(AJ484,'CIR Team Info'!$C$5:$E$44,2,FALSE)</f>
        <v>#N/A</v>
      </c>
      <c r="Q492" s="4" t="e">
        <f>VLOOKUP(AJ484,'CIR Team Info'!$C$5:$E$44,3,FALSE)</f>
        <v>#N/A</v>
      </c>
      <c r="R492" s="10" t="e">
        <f>VLOOKUP(AJ484,'FRC Site Data'!$B$3:$L$42,2,FALSE)</f>
        <v>#N/A</v>
      </c>
      <c r="S492" s="10" t="e">
        <f>VLOOKUP(AJ484,'FRC Site Data'!$B$3:$L$42,3,FALSE)</f>
        <v>#N/A</v>
      </c>
      <c r="T492" s="10" t="e">
        <f>VLOOKUP(AJ484,'FRC Site Data'!$B$3:$L$42,4,FALSE)</f>
        <v>#N/A</v>
      </c>
      <c r="U492" s="10" t="e">
        <f>VLOOKUP(AJ484,'FRC Site Data'!$B$3:$L$42,5,FALSE)</f>
        <v>#N/A</v>
      </c>
      <c r="V492" s="10" t="e">
        <f>VLOOKUP(AJ484,'FRC Site Data'!$B$3:$L$42,6,FALSE)</f>
        <v>#N/A</v>
      </c>
      <c r="W492" s="10" t="e">
        <f>VLOOKUP(AJ484,'FRC Site Data'!$B$3:$L$42,8,FALSE)</f>
        <v>#N/A</v>
      </c>
      <c r="X492" s="10" t="e">
        <f>VLOOKUP(AJ484,'FRC Site Data'!$B$3:$L$42,9,FALSE)</f>
        <v>#N/A</v>
      </c>
      <c r="Y492" s="10" t="e">
        <f>VLOOKUP(AJ484,'FRC Site Data'!$B$3:$L$42,10,FALSE)</f>
        <v>#N/A</v>
      </c>
      <c r="Z492" s="10" t="e">
        <f>VLOOKUP(AJ484,'FRC Site Data'!$B$3:$L$42,11,FALSE)</f>
        <v>#N/A</v>
      </c>
      <c r="AA492" s="10" t="e">
        <f>VLOOKUP(AJ484,'CIR Team Info'!$C$5:$E$44,4,FALSE)</f>
        <v>#N/A</v>
      </c>
      <c r="AB492" s="161" t="b">
        <f>ISNUMBER(VLOOKUP(AJ484,Match!$T$5:$T$10,1,FALSE))</f>
        <v>0</v>
      </c>
      <c r="AC492" s="161" t="b">
        <f>IF(AB492=TRUE,(VLOOKUP($AJ484,Match!$T$5:$U$10,2,FALSE)))</f>
        <v>0</v>
      </c>
      <c r="AD492" s="8">
        <v>3</v>
      </c>
      <c r="AE492" s="8">
        <v>2</v>
      </c>
      <c r="AF492" s="8">
        <v>2</v>
      </c>
      <c r="AG492" s="8">
        <v>1</v>
      </c>
      <c r="AH492" s="8" t="str">
        <f t="shared" si="154"/>
        <v/>
      </c>
      <c r="AI492" s="12"/>
      <c r="AZ492" s="12"/>
      <c r="BC492" s="12"/>
      <c r="BK492" s="12"/>
    </row>
    <row r="493" spans="1:63" x14ac:dyDescent="0.25">
      <c r="A493" s="29">
        <f t="shared" si="145"/>
        <v>0</v>
      </c>
      <c r="B493" s="29">
        <f t="shared" si="139"/>
        <v>0</v>
      </c>
      <c r="C493" s="29">
        <f t="shared" si="140"/>
        <v>0</v>
      </c>
      <c r="D493" s="29">
        <f t="shared" si="141"/>
        <v>0</v>
      </c>
      <c r="E493" s="29">
        <f t="shared" si="146"/>
        <v>0</v>
      </c>
      <c r="F493" s="29">
        <f t="shared" si="147"/>
        <v>0</v>
      </c>
      <c r="G493" s="29" t="str">
        <f t="shared" si="148"/>
        <v>offensive</v>
      </c>
      <c r="H493" s="16">
        <f t="shared" si="152"/>
        <v>0</v>
      </c>
      <c r="I493" s="16">
        <f t="shared" si="153"/>
        <v>0</v>
      </c>
      <c r="J493" s="16">
        <f t="shared" si="142"/>
        <v>0</v>
      </c>
      <c r="K493" s="16">
        <f t="shared" si="149"/>
        <v>0</v>
      </c>
      <c r="L493" s="67">
        <f t="shared" si="150"/>
        <v>0</v>
      </c>
      <c r="M493" s="4">
        <f t="shared" si="143"/>
        <v>0</v>
      </c>
      <c r="N493" s="4">
        <f t="shared" si="144"/>
        <v>0</v>
      </c>
      <c r="O493" s="4">
        <f t="shared" si="151"/>
        <v>0</v>
      </c>
      <c r="P493" s="4" t="e">
        <f>VLOOKUP(AJ485,'CIR Team Info'!$C$5:$E$44,2,FALSE)</f>
        <v>#N/A</v>
      </c>
      <c r="Q493" s="4" t="e">
        <f>VLOOKUP(AJ485,'CIR Team Info'!$C$5:$E$44,3,FALSE)</f>
        <v>#N/A</v>
      </c>
      <c r="R493" s="10" t="e">
        <f>VLOOKUP(AJ485,'FRC Site Data'!$B$3:$L$42,2,FALSE)</f>
        <v>#N/A</v>
      </c>
      <c r="S493" s="10" t="e">
        <f>VLOOKUP(AJ485,'FRC Site Data'!$B$3:$L$42,3,FALSE)</f>
        <v>#N/A</v>
      </c>
      <c r="T493" s="10" t="e">
        <f>VLOOKUP(AJ485,'FRC Site Data'!$B$3:$L$42,4,FALSE)</f>
        <v>#N/A</v>
      </c>
      <c r="U493" s="10" t="e">
        <f>VLOOKUP(AJ485,'FRC Site Data'!$B$3:$L$42,5,FALSE)</f>
        <v>#N/A</v>
      </c>
      <c r="V493" s="10" t="e">
        <f>VLOOKUP(AJ485,'FRC Site Data'!$B$3:$L$42,6,FALSE)</f>
        <v>#N/A</v>
      </c>
      <c r="W493" s="10" t="e">
        <f>VLOOKUP(AJ485,'FRC Site Data'!$B$3:$L$42,8,FALSE)</f>
        <v>#N/A</v>
      </c>
      <c r="X493" s="10" t="e">
        <f>VLOOKUP(AJ485,'FRC Site Data'!$B$3:$L$42,9,FALSE)</f>
        <v>#N/A</v>
      </c>
      <c r="Y493" s="10" t="e">
        <f>VLOOKUP(AJ485,'FRC Site Data'!$B$3:$L$42,10,FALSE)</f>
        <v>#N/A</v>
      </c>
      <c r="Z493" s="10" t="e">
        <f>VLOOKUP(AJ485,'FRC Site Data'!$B$3:$L$42,11,FALSE)</f>
        <v>#N/A</v>
      </c>
      <c r="AA493" s="10" t="e">
        <f>VLOOKUP(AJ485,'CIR Team Info'!$C$5:$E$44,4,FALSE)</f>
        <v>#N/A</v>
      </c>
      <c r="AB493" s="161" t="b">
        <f>ISNUMBER(VLOOKUP(AJ485,Match!$T$5:$T$10,1,FALSE))</f>
        <v>0</v>
      </c>
      <c r="AC493" s="161" t="b">
        <f>IF(AB493=TRUE,(VLOOKUP($AJ485,Match!$T$5:$U$10,2,FALSE)))</f>
        <v>0</v>
      </c>
      <c r="AD493" s="8">
        <v>3</v>
      </c>
      <c r="AE493" s="8">
        <v>2</v>
      </c>
      <c r="AF493" s="8">
        <v>2</v>
      </c>
      <c r="AG493" s="8">
        <v>1</v>
      </c>
      <c r="AH493" s="8" t="str">
        <f t="shared" si="154"/>
        <v/>
      </c>
      <c r="AI493" s="12"/>
      <c r="AZ493" s="12"/>
      <c r="BC493" s="12"/>
      <c r="BK493" s="12"/>
    </row>
    <row r="494" spans="1:63" x14ac:dyDescent="0.25">
      <c r="A494" s="29">
        <f t="shared" si="145"/>
        <v>0</v>
      </c>
      <c r="B494" s="29">
        <f t="shared" si="139"/>
        <v>0</v>
      </c>
      <c r="C494" s="29">
        <f t="shared" si="140"/>
        <v>0</v>
      </c>
      <c r="D494" s="29">
        <f t="shared" si="141"/>
        <v>0</v>
      </c>
      <c r="E494" s="29">
        <f t="shared" si="146"/>
        <v>0</v>
      </c>
      <c r="F494" s="29">
        <f t="shared" si="147"/>
        <v>0</v>
      </c>
      <c r="G494" s="29" t="str">
        <f t="shared" si="148"/>
        <v>offensive</v>
      </c>
      <c r="H494" s="16">
        <f t="shared" si="152"/>
        <v>0</v>
      </c>
      <c r="I494" s="16">
        <f t="shared" si="153"/>
        <v>0</v>
      </c>
      <c r="J494" s="16">
        <f t="shared" si="142"/>
        <v>0</v>
      </c>
      <c r="K494" s="16">
        <f t="shared" si="149"/>
        <v>0</v>
      </c>
      <c r="L494" s="67">
        <f t="shared" si="150"/>
        <v>0</v>
      </c>
      <c r="M494" s="4">
        <f t="shared" si="143"/>
        <v>0</v>
      </c>
      <c r="N494" s="4">
        <f t="shared" si="144"/>
        <v>0</v>
      </c>
      <c r="O494" s="4">
        <f t="shared" si="151"/>
        <v>0</v>
      </c>
      <c r="P494" s="4" t="e">
        <f>VLOOKUP(AJ486,'CIR Team Info'!$C$5:$E$44,2,FALSE)</f>
        <v>#N/A</v>
      </c>
      <c r="Q494" s="4" t="e">
        <f>VLOOKUP(AJ486,'CIR Team Info'!$C$5:$E$44,3,FALSE)</f>
        <v>#N/A</v>
      </c>
      <c r="R494" s="10" t="e">
        <f>VLOOKUP(AJ486,'FRC Site Data'!$B$3:$L$42,2,FALSE)</f>
        <v>#N/A</v>
      </c>
      <c r="S494" s="10" t="e">
        <f>VLOOKUP(AJ486,'FRC Site Data'!$B$3:$L$42,3,FALSE)</f>
        <v>#N/A</v>
      </c>
      <c r="T494" s="10" t="e">
        <f>VLOOKUP(AJ486,'FRC Site Data'!$B$3:$L$42,4,FALSE)</f>
        <v>#N/A</v>
      </c>
      <c r="U494" s="10" t="e">
        <f>VLOOKUP(AJ486,'FRC Site Data'!$B$3:$L$42,5,FALSE)</f>
        <v>#N/A</v>
      </c>
      <c r="V494" s="10" t="e">
        <f>VLOOKUP(AJ486,'FRC Site Data'!$B$3:$L$42,6,FALSE)</f>
        <v>#N/A</v>
      </c>
      <c r="W494" s="10" t="e">
        <f>VLOOKUP(AJ486,'FRC Site Data'!$B$3:$L$42,8,FALSE)</f>
        <v>#N/A</v>
      </c>
      <c r="X494" s="10" t="e">
        <f>VLOOKUP(AJ486,'FRC Site Data'!$B$3:$L$42,9,FALSE)</f>
        <v>#N/A</v>
      </c>
      <c r="Y494" s="10" t="e">
        <f>VLOOKUP(AJ486,'FRC Site Data'!$B$3:$L$42,10,FALSE)</f>
        <v>#N/A</v>
      </c>
      <c r="Z494" s="10" t="e">
        <f>VLOOKUP(AJ486,'FRC Site Data'!$B$3:$L$42,11,FALSE)</f>
        <v>#N/A</v>
      </c>
      <c r="AA494" s="10" t="e">
        <f>VLOOKUP(AJ486,'CIR Team Info'!$C$5:$E$44,4,FALSE)</f>
        <v>#N/A</v>
      </c>
      <c r="AB494" s="161" t="b">
        <f>ISNUMBER(VLOOKUP(AJ486,Match!$T$5:$T$10,1,FALSE))</f>
        <v>0</v>
      </c>
      <c r="AC494" s="161" t="b">
        <f>IF(AB494=TRUE,(VLOOKUP($AJ486,Match!$T$5:$U$10,2,FALSE)))</f>
        <v>0</v>
      </c>
      <c r="AD494" s="8">
        <v>3</v>
      </c>
      <c r="AE494" s="8">
        <v>2</v>
      </c>
      <c r="AF494" s="8">
        <v>2</v>
      </c>
      <c r="AG494" s="8">
        <v>1</v>
      </c>
      <c r="AH494" s="8" t="str">
        <f t="shared" si="154"/>
        <v/>
      </c>
      <c r="AI494" s="12"/>
      <c r="AZ494" s="12"/>
      <c r="BC494" s="12"/>
      <c r="BK494" s="12"/>
    </row>
    <row r="495" spans="1:63" x14ac:dyDescent="0.25">
      <c r="A495" s="29">
        <f t="shared" si="145"/>
        <v>0</v>
      </c>
      <c r="B495" s="29">
        <f t="shared" si="139"/>
        <v>0</v>
      </c>
      <c r="C495" s="29">
        <f t="shared" si="140"/>
        <v>0</v>
      </c>
      <c r="D495" s="29">
        <f t="shared" si="141"/>
        <v>0</v>
      </c>
      <c r="E495" s="29">
        <f t="shared" si="146"/>
        <v>0</v>
      </c>
      <c r="F495" s="29">
        <f t="shared" si="147"/>
        <v>0</v>
      </c>
      <c r="G495" s="29" t="str">
        <f t="shared" si="148"/>
        <v>offensive</v>
      </c>
      <c r="H495" s="16">
        <f t="shared" si="152"/>
        <v>0</v>
      </c>
      <c r="I495" s="16">
        <f t="shared" si="153"/>
        <v>0</v>
      </c>
      <c r="J495" s="16">
        <f t="shared" si="142"/>
        <v>0</v>
      </c>
      <c r="K495" s="16">
        <f t="shared" si="149"/>
        <v>0</v>
      </c>
      <c r="L495" s="67">
        <f t="shared" si="150"/>
        <v>0</v>
      </c>
      <c r="M495" s="4">
        <f t="shared" si="143"/>
        <v>0</v>
      </c>
      <c r="N495" s="4">
        <f t="shared" si="144"/>
        <v>0</v>
      </c>
      <c r="O495" s="4">
        <f t="shared" si="151"/>
        <v>0</v>
      </c>
      <c r="P495" s="4" t="e">
        <f>VLOOKUP(AJ487,'CIR Team Info'!$C$5:$E$44,2,FALSE)</f>
        <v>#N/A</v>
      </c>
      <c r="Q495" s="4" t="e">
        <f>VLOOKUP(AJ487,'CIR Team Info'!$C$5:$E$44,3,FALSE)</f>
        <v>#N/A</v>
      </c>
      <c r="R495" s="10" t="e">
        <f>VLOOKUP(AJ487,'FRC Site Data'!$B$3:$L$42,2,FALSE)</f>
        <v>#N/A</v>
      </c>
      <c r="S495" s="10" t="e">
        <f>VLOOKUP(AJ487,'FRC Site Data'!$B$3:$L$42,3,FALSE)</f>
        <v>#N/A</v>
      </c>
      <c r="T495" s="10" t="e">
        <f>VLOOKUP(AJ487,'FRC Site Data'!$B$3:$L$42,4,FALSE)</f>
        <v>#N/A</v>
      </c>
      <c r="U495" s="10" t="e">
        <f>VLOOKUP(AJ487,'FRC Site Data'!$B$3:$L$42,5,FALSE)</f>
        <v>#N/A</v>
      </c>
      <c r="V495" s="10" t="e">
        <f>VLOOKUP(AJ487,'FRC Site Data'!$B$3:$L$42,6,FALSE)</f>
        <v>#N/A</v>
      </c>
      <c r="W495" s="10" t="e">
        <f>VLOOKUP(AJ487,'FRC Site Data'!$B$3:$L$42,8,FALSE)</f>
        <v>#N/A</v>
      </c>
      <c r="X495" s="10" t="e">
        <f>VLOOKUP(AJ487,'FRC Site Data'!$B$3:$L$42,9,FALSE)</f>
        <v>#N/A</v>
      </c>
      <c r="Y495" s="10" t="e">
        <f>VLOOKUP(AJ487,'FRC Site Data'!$B$3:$L$42,10,FALSE)</f>
        <v>#N/A</v>
      </c>
      <c r="Z495" s="10" t="e">
        <f>VLOOKUP(AJ487,'FRC Site Data'!$B$3:$L$42,11,FALSE)</f>
        <v>#N/A</v>
      </c>
      <c r="AA495" s="10" t="e">
        <f>VLOOKUP(AJ487,'CIR Team Info'!$C$5:$E$44,4,FALSE)</f>
        <v>#N/A</v>
      </c>
      <c r="AB495" s="161" t="b">
        <f>ISNUMBER(VLOOKUP(AJ487,Match!$T$5:$T$10,1,FALSE))</f>
        <v>0</v>
      </c>
      <c r="AC495" s="161" t="b">
        <f>IF(AB495=TRUE,(VLOOKUP($AJ487,Match!$T$5:$U$10,2,FALSE)))</f>
        <v>0</v>
      </c>
      <c r="AD495" s="8">
        <v>3</v>
      </c>
      <c r="AE495" s="8">
        <v>2</v>
      </c>
      <c r="AF495" s="8">
        <v>2</v>
      </c>
      <c r="AG495" s="8">
        <v>1</v>
      </c>
      <c r="AH495" s="128" t="str">
        <f t="shared" si="154"/>
        <v/>
      </c>
      <c r="AI495" s="12"/>
      <c r="AZ495" s="12"/>
      <c r="BC495" s="12"/>
      <c r="BK495" s="12"/>
    </row>
    <row r="496" spans="1:63" x14ac:dyDescent="0.25">
      <c r="A496" s="29">
        <f t="shared" si="145"/>
        <v>0</v>
      </c>
      <c r="B496" s="29">
        <f t="shared" si="139"/>
        <v>0</v>
      </c>
      <c r="C496" s="29">
        <f t="shared" si="140"/>
        <v>0</v>
      </c>
      <c r="D496" s="29">
        <f t="shared" si="141"/>
        <v>0</v>
      </c>
      <c r="E496" s="29">
        <f t="shared" si="146"/>
        <v>0</v>
      </c>
      <c r="F496" s="29">
        <f t="shared" si="147"/>
        <v>0</v>
      </c>
      <c r="G496" s="29" t="str">
        <f t="shared" si="148"/>
        <v>offensive</v>
      </c>
      <c r="H496" s="16">
        <f t="shared" si="152"/>
        <v>0</v>
      </c>
      <c r="I496" s="16">
        <f t="shared" si="153"/>
        <v>0</v>
      </c>
      <c r="J496" s="16">
        <f t="shared" si="142"/>
        <v>0</v>
      </c>
      <c r="K496" s="16">
        <f t="shared" si="149"/>
        <v>0</v>
      </c>
      <c r="L496" s="67">
        <f t="shared" si="150"/>
        <v>0</v>
      </c>
      <c r="M496" s="4">
        <f t="shared" si="143"/>
        <v>0</v>
      </c>
      <c r="N496" s="4">
        <f t="shared" si="144"/>
        <v>0</v>
      </c>
      <c r="O496" s="4">
        <f t="shared" si="151"/>
        <v>0</v>
      </c>
      <c r="P496" s="4" t="e">
        <f>VLOOKUP(AJ488,'CIR Team Info'!$C$5:$E$44,2,FALSE)</f>
        <v>#N/A</v>
      </c>
      <c r="Q496" s="4" t="e">
        <f>VLOOKUP(AJ488,'CIR Team Info'!$C$5:$E$44,3,FALSE)</f>
        <v>#N/A</v>
      </c>
      <c r="R496" s="10" t="e">
        <f>VLOOKUP(AJ488,'FRC Site Data'!$B$3:$L$42,2,FALSE)</f>
        <v>#N/A</v>
      </c>
      <c r="S496" s="10" t="e">
        <f>VLOOKUP(AJ488,'FRC Site Data'!$B$3:$L$42,3,FALSE)</f>
        <v>#N/A</v>
      </c>
      <c r="T496" s="10" t="e">
        <f>VLOOKUP(AJ488,'FRC Site Data'!$B$3:$L$42,4,FALSE)</f>
        <v>#N/A</v>
      </c>
      <c r="U496" s="10" t="e">
        <f>VLOOKUP(AJ488,'FRC Site Data'!$B$3:$L$42,5,FALSE)</f>
        <v>#N/A</v>
      </c>
      <c r="V496" s="10" t="e">
        <f>VLOOKUP(AJ488,'FRC Site Data'!$B$3:$L$42,6,FALSE)</f>
        <v>#N/A</v>
      </c>
      <c r="W496" s="10" t="e">
        <f>VLOOKUP(AJ488,'FRC Site Data'!$B$3:$L$42,8,FALSE)</f>
        <v>#N/A</v>
      </c>
      <c r="X496" s="10" t="e">
        <f>VLOOKUP(AJ488,'FRC Site Data'!$B$3:$L$42,9,FALSE)</f>
        <v>#N/A</v>
      </c>
      <c r="Y496" s="10" t="e">
        <f>VLOOKUP(AJ488,'FRC Site Data'!$B$3:$L$42,10,FALSE)</f>
        <v>#N/A</v>
      </c>
      <c r="Z496" s="10" t="e">
        <f>VLOOKUP(AJ488,'FRC Site Data'!$B$3:$L$42,11,FALSE)</f>
        <v>#N/A</v>
      </c>
      <c r="AA496" s="10" t="e">
        <f>VLOOKUP(AJ488,'CIR Team Info'!$C$5:$E$44,4,FALSE)</f>
        <v>#N/A</v>
      </c>
      <c r="AB496" s="161" t="b">
        <f>ISNUMBER(VLOOKUP(AJ488,Match!$T$5:$T$10,1,FALSE))</f>
        <v>0</v>
      </c>
      <c r="AC496" s="161" t="b">
        <f>IF(AB496=TRUE,(VLOOKUP($AJ488,Match!$T$5:$U$10,2,FALSE)))</f>
        <v>0</v>
      </c>
      <c r="AD496" s="8">
        <v>3</v>
      </c>
      <c r="AE496" s="8">
        <v>2</v>
      </c>
      <c r="AF496" s="8">
        <v>2</v>
      </c>
      <c r="AG496" s="8">
        <v>1</v>
      </c>
      <c r="AH496" s="8" t="str">
        <f t="shared" si="154"/>
        <v/>
      </c>
      <c r="AI496" s="12"/>
      <c r="AZ496" s="12"/>
      <c r="BC496" s="12"/>
      <c r="BK496" s="12"/>
    </row>
    <row r="497" spans="1:63" x14ac:dyDescent="0.25">
      <c r="A497" s="29">
        <f t="shared" si="145"/>
        <v>0</v>
      </c>
      <c r="B497" s="29">
        <f t="shared" si="139"/>
        <v>0</v>
      </c>
      <c r="C497" s="29">
        <f t="shared" si="140"/>
        <v>0</v>
      </c>
      <c r="D497" s="29">
        <f t="shared" si="141"/>
        <v>0</v>
      </c>
      <c r="E497" s="29">
        <f t="shared" si="146"/>
        <v>0</v>
      </c>
      <c r="F497" s="29">
        <f t="shared" si="147"/>
        <v>0</v>
      </c>
      <c r="G497" s="29" t="str">
        <f t="shared" si="148"/>
        <v>offensive</v>
      </c>
      <c r="H497" s="16">
        <f t="shared" si="152"/>
        <v>0</v>
      </c>
      <c r="I497" s="16">
        <f t="shared" si="153"/>
        <v>0</v>
      </c>
      <c r="J497" s="16">
        <f t="shared" si="142"/>
        <v>0</v>
      </c>
      <c r="K497" s="16">
        <f t="shared" si="149"/>
        <v>0</v>
      </c>
      <c r="L497" s="67">
        <f t="shared" si="150"/>
        <v>0</v>
      </c>
      <c r="M497" s="4">
        <f t="shared" si="143"/>
        <v>0</v>
      </c>
      <c r="N497" s="4">
        <f t="shared" si="144"/>
        <v>0</v>
      </c>
      <c r="O497" s="4">
        <f t="shared" si="151"/>
        <v>0</v>
      </c>
      <c r="P497" s="4" t="e">
        <f>VLOOKUP(AJ489,'CIR Team Info'!$C$5:$E$44,2,FALSE)</f>
        <v>#N/A</v>
      </c>
      <c r="Q497" s="4" t="e">
        <f>VLOOKUP(AJ489,'CIR Team Info'!$C$5:$E$44,3,FALSE)</f>
        <v>#N/A</v>
      </c>
      <c r="R497" s="10" t="e">
        <f>VLOOKUP(AJ489,'FRC Site Data'!$B$3:$L$42,2,FALSE)</f>
        <v>#N/A</v>
      </c>
      <c r="S497" s="10" t="e">
        <f>VLOOKUP(AJ489,'FRC Site Data'!$B$3:$L$42,3,FALSE)</f>
        <v>#N/A</v>
      </c>
      <c r="T497" s="10" t="e">
        <f>VLOOKUP(AJ489,'FRC Site Data'!$B$3:$L$42,4,FALSE)</f>
        <v>#N/A</v>
      </c>
      <c r="U497" s="10" t="e">
        <f>VLOOKUP(AJ489,'FRC Site Data'!$B$3:$L$42,5,FALSE)</f>
        <v>#N/A</v>
      </c>
      <c r="V497" s="10" t="e">
        <f>VLOOKUP(AJ489,'FRC Site Data'!$B$3:$L$42,6,FALSE)</f>
        <v>#N/A</v>
      </c>
      <c r="W497" s="10" t="e">
        <f>VLOOKUP(AJ489,'FRC Site Data'!$B$3:$L$42,8,FALSE)</f>
        <v>#N/A</v>
      </c>
      <c r="X497" s="10" t="e">
        <f>VLOOKUP(AJ489,'FRC Site Data'!$B$3:$L$42,9,FALSE)</f>
        <v>#N/A</v>
      </c>
      <c r="Y497" s="10" t="e">
        <f>VLOOKUP(AJ489,'FRC Site Data'!$B$3:$L$42,10,FALSE)</f>
        <v>#N/A</v>
      </c>
      <c r="Z497" s="10" t="e">
        <f>VLOOKUP(AJ489,'FRC Site Data'!$B$3:$L$42,11,FALSE)</f>
        <v>#N/A</v>
      </c>
      <c r="AA497" s="10" t="e">
        <f>VLOOKUP(AJ489,'CIR Team Info'!$C$5:$E$44,4,FALSE)</f>
        <v>#N/A</v>
      </c>
      <c r="AB497" s="161" t="b">
        <f>ISNUMBER(VLOOKUP(AJ489,Match!$T$5:$T$10,1,FALSE))</f>
        <v>0</v>
      </c>
      <c r="AC497" s="161" t="b">
        <f>IF(AB497=TRUE,(VLOOKUP($AJ489,Match!$T$5:$U$10,2,FALSE)))</f>
        <v>0</v>
      </c>
      <c r="AD497" s="8">
        <v>3</v>
      </c>
      <c r="AE497" s="8">
        <v>2</v>
      </c>
      <c r="AF497" s="8">
        <v>2</v>
      </c>
      <c r="AG497" s="8">
        <v>1</v>
      </c>
      <c r="AH497" s="8" t="str">
        <f t="shared" si="154"/>
        <v/>
      </c>
      <c r="AI497" s="12"/>
      <c r="AZ497" s="12"/>
      <c r="BC497" s="12"/>
      <c r="BK497" s="12"/>
    </row>
    <row r="498" spans="1:63" x14ac:dyDescent="0.25">
      <c r="A498" s="29">
        <f t="shared" si="145"/>
        <v>0</v>
      </c>
      <c r="B498" s="29">
        <f t="shared" si="139"/>
        <v>0</v>
      </c>
      <c r="C498" s="29">
        <f t="shared" si="140"/>
        <v>0</v>
      </c>
      <c r="D498" s="29">
        <f t="shared" si="141"/>
        <v>0</v>
      </c>
      <c r="E498" s="29">
        <f t="shared" si="146"/>
        <v>0</v>
      </c>
      <c r="F498" s="29">
        <f t="shared" si="147"/>
        <v>0</v>
      </c>
      <c r="G498" s="29" t="str">
        <f t="shared" si="148"/>
        <v>offensive</v>
      </c>
      <c r="H498" s="16">
        <f t="shared" si="152"/>
        <v>0</v>
      </c>
      <c r="I498" s="16">
        <f t="shared" si="153"/>
        <v>0</v>
      </c>
      <c r="J498" s="16">
        <f t="shared" si="142"/>
        <v>0</v>
      </c>
      <c r="K498" s="16">
        <f t="shared" si="149"/>
        <v>0</v>
      </c>
      <c r="L498" s="67">
        <f t="shared" si="150"/>
        <v>0</v>
      </c>
      <c r="M498" s="4">
        <f t="shared" si="143"/>
        <v>0</v>
      </c>
      <c r="N498" s="4">
        <f t="shared" si="144"/>
        <v>0</v>
      </c>
      <c r="O498" s="4">
        <f t="shared" si="151"/>
        <v>0</v>
      </c>
      <c r="P498" s="4" t="e">
        <f>VLOOKUP(AJ490,'CIR Team Info'!$C$5:$E$44,2,FALSE)</f>
        <v>#N/A</v>
      </c>
      <c r="Q498" s="4" t="e">
        <f>VLOOKUP(AJ490,'CIR Team Info'!$C$5:$E$44,3,FALSE)</f>
        <v>#N/A</v>
      </c>
      <c r="R498" s="10" t="e">
        <f>VLOOKUP(AJ490,'FRC Site Data'!$B$3:$L$42,2,FALSE)</f>
        <v>#N/A</v>
      </c>
      <c r="S498" s="10" t="e">
        <f>VLOOKUP(AJ490,'FRC Site Data'!$B$3:$L$42,3,FALSE)</f>
        <v>#N/A</v>
      </c>
      <c r="T498" s="10" t="e">
        <f>VLOOKUP(AJ490,'FRC Site Data'!$B$3:$L$42,4,FALSE)</f>
        <v>#N/A</v>
      </c>
      <c r="U498" s="10" t="e">
        <f>VLOOKUP(AJ490,'FRC Site Data'!$B$3:$L$42,5,FALSE)</f>
        <v>#N/A</v>
      </c>
      <c r="V498" s="10" t="e">
        <f>VLOOKUP(AJ490,'FRC Site Data'!$B$3:$L$42,6,FALSE)</f>
        <v>#N/A</v>
      </c>
      <c r="W498" s="10" t="e">
        <f>VLOOKUP(AJ490,'FRC Site Data'!$B$3:$L$42,8,FALSE)</f>
        <v>#N/A</v>
      </c>
      <c r="X498" s="10" t="e">
        <f>VLOOKUP(AJ490,'FRC Site Data'!$B$3:$L$42,9,FALSE)</f>
        <v>#N/A</v>
      </c>
      <c r="Y498" s="10" t="e">
        <f>VLOOKUP(AJ490,'FRC Site Data'!$B$3:$L$42,10,FALSE)</f>
        <v>#N/A</v>
      </c>
      <c r="Z498" s="10" t="e">
        <f>VLOOKUP(AJ490,'FRC Site Data'!$B$3:$L$42,11,FALSE)</f>
        <v>#N/A</v>
      </c>
      <c r="AA498" s="10" t="e">
        <f>VLOOKUP(AJ490,'CIR Team Info'!$C$5:$E$44,4,FALSE)</f>
        <v>#N/A</v>
      </c>
      <c r="AB498" s="161" t="b">
        <f>ISNUMBER(VLOOKUP(AJ490,Match!$T$5:$T$10,1,FALSE))</f>
        <v>0</v>
      </c>
      <c r="AC498" s="161" t="b">
        <f>IF(AB498=TRUE,(VLOOKUP($AJ490,Match!$T$5:$U$10,2,FALSE)))</f>
        <v>0</v>
      </c>
      <c r="AD498" s="8">
        <v>3</v>
      </c>
      <c r="AE498" s="8">
        <v>2</v>
      </c>
      <c r="AF498" s="8">
        <v>2</v>
      </c>
      <c r="AG498" s="8">
        <v>1</v>
      </c>
      <c r="AH498" s="8" t="str">
        <f t="shared" si="154"/>
        <v/>
      </c>
      <c r="AI498" s="12"/>
      <c r="AZ498" s="12"/>
      <c r="BC498" s="12"/>
      <c r="BK498" s="12"/>
    </row>
    <row r="499" spans="1:63" x14ac:dyDescent="0.25">
      <c r="A499" s="29">
        <f t="shared" si="145"/>
        <v>0</v>
      </c>
      <c r="B499" s="29">
        <f t="shared" si="139"/>
        <v>0</v>
      </c>
      <c r="C499" s="29">
        <f t="shared" si="140"/>
        <v>0</v>
      </c>
      <c r="D499" s="29">
        <f t="shared" si="141"/>
        <v>0</v>
      </c>
      <c r="E499" s="29">
        <f t="shared" si="146"/>
        <v>0</v>
      </c>
      <c r="F499" s="29">
        <f t="shared" si="147"/>
        <v>0</v>
      </c>
      <c r="G499" s="29" t="str">
        <f t="shared" si="148"/>
        <v>offensive</v>
      </c>
      <c r="H499" s="16">
        <f t="shared" si="152"/>
        <v>0</v>
      </c>
      <c r="I499" s="16">
        <f t="shared" si="153"/>
        <v>0</v>
      </c>
      <c r="J499" s="16">
        <f t="shared" si="142"/>
        <v>0</v>
      </c>
      <c r="K499" s="16">
        <f t="shared" si="149"/>
        <v>0</v>
      </c>
      <c r="L499" s="67">
        <f t="shared" si="150"/>
        <v>0</v>
      </c>
      <c r="M499" s="4">
        <f t="shared" si="143"/>
        <v>0</v>
      </c>
      <c r="N499" s="4">
        <f t="shared" si="144"/>
        <v>0</v>
      </c>
      <c r="O499" s="4">
        <f t="shared" si="151"/>
        <v>0</v>
      </c>
      <c r="P499" s="4" t="e">
        <f>VLOOKUP(AJ491,'CIR Team Info'!$C$5:$E$44,2,FALSE)</f>
        <v>#N/A</v>
      </c>
      <c r="Q499" s="4" t="e">
        <f>VLOOKUP(AJ491,'CIR Team Info'!$C$5:$E$44,3,FALSE)</f>
        <v>#N/A</v>
      </c>
      <c r="R499" s="10" t="e">
        <f>VLOOKUP(AJ491,'FRC Site Data'!$B$3:$L$42,2,FALSE)</f>
        <v>#N/A</v>
      </c>
      <c r="S499" s="10" t="e">
        <f>VLOOKUP(AJ491,'FRC Site Data'!$B$3:$L$42,3,FALSE)</f>
        <v>#N/A</v>
      </c>
      <c r="T499" s="10" t="e">
        <f>VLOOKUP(AJ491,'FRC Site Data'!$B$3:$L$42,4,FALSE)</f>
        <v>#N/A</v>
      </c>
      <c r="U499" s="10" t="e">
        <f>VLOOKUP(AJ491,'FRC Site Data'!$B$3:$L$42,5,FALSE)</f>
        <v>#N/A</v>
      </c>
      <c r="V499" s="10" t="e">
        <f>VLOOKUP(AJ491,'FRC Site Data'!$B$3:$L$42,6,FALSE)</f>
        <v>#N/A</v>
      </c>
      <c r="W499" s="10" t="e">
        <f>VLOOKUP(AJ491,'FRC Site Data'!$B$3:$L$42,8,FALSE)</f>
        <v>#N/A</v>
      </c>
      <c r="X499" s="10" t="e">
        <f>VLOOKUP(AJ491,'FRC Site Data'!$B$3:$L$42,9,FALSE)</f>
        <v>#N/A</v>
      </c>
      <c r="Y499" s="10" t="e">
        <f>VLOOKUP(AJ491,'FRC Site Data'!$B$3:$L$42,10,FALSE)</f>
        <v>#N/A</v>
      </c>
      <c r="Z499" s="10" t="e">
        <f>VLOOKUP(AJ491,'FRC Site Data'!$B$3:$L$42,11,FALSE)</f>
        <v>#N/A</v>
      </c>
      <c r="AA499" s="10" t="e">
        <f>VLOOKUP(AJ491,'CIR Team Info'!$C$5:$E$44,4,FALSE)</f>
        <v>#N/A</v>
      </c>
      <c r="AB499" s="161" t="b">
        <f>ISNUMBER(VLOOKUP(AJ491,Match!$T$5:$T$10,1,FALSE))</f>
        <v>0</v>
      </c>
      <c r="AC499" s="161" t="b">
        <f>IF(AB499=TRUE,(VLOOKUP($AJ491,Match!$T$5:$U$10,2,FALSE)))</f>
        <v>0</v>
      </c>
      <c r="AD499" s="8">
        <v>3</v>
      </c>
      <c r="AE499" s="8">
        <v>2</v>
      </c>
      <c r="AF499" s="8">
        <v>2</v>
      </c>
      <c r="AG499" s="8">
        <v>1</v>
      </c>
      <c r="AH499" s="8" t="str">
        <f t="shared" si="154"/>
        <v/>
      </c>
      <c r="AI499" s="12"/>
      <c r="AZ499" s="12"/>
      <c r="BC499" s="12"/>
      <c r="BK499" s="12"/>
    </row>
    <row r="500" spans="1:63" x14ac:dyDescent="0.25">
      <c r="A500" s="29">
        <f t="shared" si="145"/>
        <v>0</v>
      </c>
      <c r="B500" s="29">
        <f t="shared" si="139"/>
        <v>0</v>
      </c>
      <c r="C500" s="29">
        <f t="shared" si="140"/>
        <v>0</v>
      </c>
      <c r="D500" s="29">
        <f t="shared" si="141"/>
        <v>0</v>
      </c>
      <c r="E500" s="29">
        <f t="shared" si="146"/>
        <v>0</v>
      </c>
      <c r="F500" s="29">
        <f t="shared" si="147"/>
        <v>0</v>
      </c>
      <c r="G500" s="29" t="str">
        <f t="shared" si="148"/>
        <v>offensive</v>
      </c>
      <c r="H500" s="16">
        <f t="shared" si="152"/>
        <v>0</v>
      </c>
      <c r="I500" s="16">
        <f t="shared" si="153"/>
        <v>0</v>
      </c>
      <c r="J500" s="16">
        <f t="shared" si="142"/>
        <v>0</v>
      </c>
      <c r="K500" s="16">
        <f t="shared" si="149"/>
        <v>0</v>
      </c>
      <c r="L500" s="67">
        <f t="shared" si="150"/>
        <v>0</v>
      </c>
      <c r="M500" s="4">
        <f t="shared" si="143"/>
        <v>0</v>
      </c>
      <c r="N500" s="4">
        <f t="shared" si="144"/>
        <v>0</v>
      </c>
      <c r="O500" s="4">
        <f t="shared" si="151"/>
        <v>0</v>
      </c>
      <c r="P500" s="4" t="e">
        <f>VLOOKUP(AJ492,'CIR Team Info'!$C$5:$E$44,2,FALSE)</f>
        <v>#N/A</v>
      </c>
      <c r="Q500" s="4" t="e">
        <f>VLOOKUP(AJ492,'CIR Team Info'!$C$5:$E$44,3,FALSE)</f>
        <v>#N/A</v>
      </c>
      <c r="R500" s="10" t="e">
        <f>VLOOKUP(AJ492,'FRC Site Data'!$B$3:$L$42,2,FALSE)</f>
        <v>#N/A</v>
      </c>
      <c r="S500" s="10" t="e">
        <f>VLOOKUP(AJ492,'FRC Site Data'!$B$3:$L$42,3,FALSE)</f>
        <v>#N/A</v>
      </c>
      <c r="T500" s="10" t="e">
        <f>VLOOKUP(AJ492,'FRC Site Data'!$B$3:$L$42,4,FALSE)</f>
        <v>#N/A</v>
      </c>
      <c r="U500" s="10" t="e">
        <f>VLOOKUP(AJ492,'FRC Site Data'!$B$3:$L$42,5,FALSE)</f>
        <v>#N/A</v>
      </c>
      <c r="V500" s="10" t="e">
        <f>VLOOKUP(AJ492,'FRC Site Data'!$B$3:$L$42,6,FALSE)</f>
        <v>#N/A</v>
      </c>
      <c r="W500" s="10" t="e">
        <f>VLOOKUP(AJ492,'FRC Site Data'!$B$3:$L$42,8,FALSE)</f>
        <v>#N/A</v>
      </c>
      <c r="X500" s="10" t="e">
        <f>VLOOKUP(AJ492,'FRC Site Data'!$B$3:$L$42,9,FALSE)</f>
        <v>#N/A</v>
      </c>
      <c r="Y500" s="10" t="e">
        <f>VLOOKUP(AJ492,'FRC Site Data'!$B$3:$L$42,10,FALSE)</f>
        <v>#N/A</v>
      </c>
      <c r="Z500" s="10" t="e">
        <f>VLOOKUP(AJ492,'FRC Site Data'!$B$3:$L$42,11,FALSE)</f>
        <v>#N/A</v>
      </c>
      <c r="AA500" s="10" t="e">
        <f>VLOOKUP(AJ492,'CIR Team Info'!$C$5:$E$44,4,FALSE)</f>
        <v>#N/A</v>
      </c>
      <c r="AB500" s="161" t="b">
        <f>ISNUMBER(VLOOKUP(AJ492,Match!$T$5:$T$10,1,FALSE))</f>
        <v>0</v>
      </c>
      <c r="AC500" s="161" t="b">
        <f>IF(AB500=TRUE,(VLOOKUP($AJ492,Match!$T$5:$U$10,2,FALSE)))</f>
        <v>0</v>
      </c>
      <c r="AD500" s="8">
        <v>3</v>
      </c>
      <c r="AE500" s="8">
        <v>2</v>
      </c>
      <c r="AF500" s="8">
        <v>2</v>
      </c>
      <c r="AG500" s="8">
        <v>1</v>
      </c>
      <c r="AH500" s="8" t="str">
        <f t="shared" si="154"/>
        <v/>
      </c>
      <c r="AI500" s="12"/>
      <c r="AZ500" s="12"/>
      <c r="BC500" s="12"/>
      <c r="BK500" s="12"/>
    </row>
    <row r="501" spans="1:63" x14ac:dyDescent="0.25">
      <c r="A501" s="29">
        <f t="shared" si="145"/>
        <v>0</v>
      </c>
      <c r="B501" s="29">
        <f t="shared" si="139"/>
        <v>0</v>
      </c>
      <c r="C501" s="29">
        <f t="shared" si="140"/>
        <v>0</v>
      </c>
      <c r="D501" s="29">
        <f t="shared" si="141"/>
        <v>0</v>
      </c>
      <c r="E501" s="29">
        <f t="shared" si="146"/>
        <v>0</v>
      </c>
      <c r="F501" s="29">
        <f t="shared" si="147"/>
        <v>0</v>
      </c>
      <c r="G501" s="29" t="str">
        <f t="shared" si="148"/>
        <v>offensive</v>
      </c>
      <c r="H501" s="16">
        <f t="shared" si="152"/>
        <v>0</v>
      </c>
      <c r="I501" s="16">
        <f t="shared" si="153"/>
        <v>0</v>
      </c>
      <c r="J501" s="16">
        <f t="shared" si="142"/>
        <v>0</v>
      </c>
      <c r="K501" s="16">
        <f t="shared" si="149"/>
        <v>0</v>
      </c>
      <c r="L501" s="67">
        <f t="shared" si="150"/>
        <v>0</v>
      </c>
      <c r="M501" s="4">
        <f t="shared" si="143"/>
        <v>0</v>
      </c>
      <c r="N501" s="4">
        <f t="shared" si="144"/>
        <v>0</v>
      </c>
      <c r="O501" s="4">
        <f t="shared" si="151"/>
        <v>0</v>
      </c>
      <c r="P501" s="4" t="e">
        <f>VLOOKUP(AJ493,'CIR Team Info'!$C$5:$E$44,2,FALSE)</f>
        <v>#N/A</v>
      </c>
      <c r="Q501" s="4" t="e">
        <f>VLOOKUP(AJ493,'CIR Team Info'!$C$5:$E$44,3,FALSE)</f>
        <v>#N/A</v>
      </c>
      <c r="R501" s="10" t="e">
        <f>VLOOKUP(AJ493,'FRC Site Data'!$B$3:$L$42,2,FALSE)</f>
        <v>#N/A</v>
      </c>
      <c r="S501" s="10" t="e">
        <f>VLOOKUP(AJ493,'FRC Site Data'!$B$3:$L$42,3,FALSE)</f>
        <v>#N/A</v>
      </c>
      <c r="T501" s="10" t="e">
        <f>VLOOKUP(AJ493,'FRC Site Data'!$B$3:$L$42,4,FALSE)</f>
        <v>#N/A</v>
      </c>
      <c r="U501" s="10" t="e">
        <f>VLOOKUP(AJ493,'FRC Site Data'!$B$3:$L$42,5,FALSE)</f>
        <v>#N/A</v>
      </c>
      <c r="V501" s="10" t="e">
        <f>VLOOKUP(AJ493,'FRC Site Data'!$B$3:$L$42,6,FALSE)</f>
        <v>#N/A</v>
      </c>
      <c r="W501" s="10" t="e">
        <f>VLOOKUP(AJ493,'FRC Site Data'!$B$3:$L$42,8,FALSE)</f>
        <v>#N/A</v>
      </c>
      <c r="X501" s="10" t="e">
        <f>VLOOKUP(AJ493,'FRC Site Data'!$B$3:$L$42,9,FALSE)</f>
        <v>#N/A</v>
      </c>
      <c r="Y501" s="10" t="e">
        <f>VLOOKUP(AJ493,'FRC Site Data'!$B$3:$L$42,10,FALSE)</f>
        <v>#N/A</v>
      </c>
      <c r="Z501" s="10" t="e">
        <f>VLOOKUP(AJ493,'FRC Site Data'!$B$3:$L$42,11,FALSE)</f>
        <v>#N/A</v>
      </c>
      <c r="AA501" s="10" t="e">
        <f>VLOOKUP(AJ493,'CIR Team Info'!$C$5:$E$44,4,FALSE)</f>
        <v>#N/A</v>
      </c>
      <c r="AB501" s="161" t="b">
        <f>ISNUMBER(VLOOKUP(AJ493,Match!$T$5:$T$10,1,FALSE))</f>
        <v>0</v>
      </c>
      <c r="AC501" s="161" t="b">
        <f>IF(AB501=TRUE,(VLOOKUP($AJ493,Match!$T$5:$U$10,2,FALSE)))</f>
        <v>0</v>
      </c>
      <c r="AD501" s="8">
        <v>3</v>
      </c>
      <c r="AE501" s="8">
        <v>2</v>
      </c>
      <c r="AF501" s="8">
        <v>2</v>
      </c>
      <c r="AG501" s="8">
        <v>1</v>
      </c>
      <c r="AH501" s="8" t="str">
        <f t="shared" si="154"/>
        <v/>
      </c>
      <c r="AI501" s="12"/>
      <c r="AZ501" s="12"/>
      <c r="BC501" s="12"/>
      <c r="BK501" s="12"/>
    </row>
    <row r="502" spans="1:63" x14ac:dyDescent="0.25">
      <c r="A502" s="29">
        <f t="shared" si="145"/>
        <v>0</v>
      </c>
      <c r="B502" s="29">
        <f t="shared" si="139"/>
        <v>0</v>
      </c>
      <c r="C502" s="29">
        <f t="shared" si="140"/>
        <v>0</v>
      </c>
      <c r="D502" s="29">
        <f t="shared" si="141"/>
        <v>0</v>
      </c>
      <c r="E502" s="29">
        <f t="shared" si="146"/>
        <v>0</v>
      </c>
      <c r="F502" s="29">
        <f t="shared" si="147"/>
        <v>0</v>
      </c>
      <c r="G502" s="29" t="str">
        <f t="shared" si="148"/>
        <v>offensive</v>
      </c>
      <c r="H502" s="16">
        <f t="shared" si="152"/>
        <v>0</v>
      </c>
      <c r="I502" s="16">
        <f t="shared" si="153"/>
        <v>0</v>
      </c>
      <c r="J502" s="16">
        <f t="shared" si="142"/>
        <v>0</v>
      </c>
      <c r="K502" s="16">
        <f t="shared" si="149"/>
        <v>0</v>
      </c>
      <c r="L502" s="67">
        <f t="shared" si="150"/>
        <v>0</v>
      </c>
      <c r="M502" s="4">
        <f t="shared" si="143"/>
        <v>0</v>
      </c>
      <c r="N502" s="4">
        <f t="shared" si="144"/>
        <v>0</v>
      </c>
      <c r="O502" s="4">
        <f t="shared" si="151"/>
        <v>0</v>
      </c>
      <c r="P502" s="4" t="e">
        <f>VLOOKUP(AJ494,'CIR Team Info'!$C$5:$E$44,2,FALSE)</f>
        <v>#N/A</v>
      </c>
      <c r="Q502" s="4" t="e">
        <f>VLOOKUP(AJ494,'CIR Team Info'!$C$5:$E$44,3,FALSE)</f>
        <v>#N/A</v>
      </c>
      <c r="R502" s="10" t="e">
        <f>VLOOKUP(AJ494,'FRC Site Data'!$B$3:$L$42,2,FALSE)</f>
        <v>#N/A</v>
      </c>
      <c r="S502" s="10" t="e">
        <f>VLOOKUP(AJ494,'FRC Site Data'!$B$3:$L$42,3,FALSE)</f>
        <v>#N/A</v>
      </c>
      <c r="T502" s="10" t="e">
        <f>VLOOKUP(AJ494,'FRC Site Data'!$B$3:$L$42,4,FALSE)</f>
        <v>#N/A</v>
      </c>
      <c r="U502" s="10" t="e">
        <f>VLOOKUP(AJ494,'FRC Site Data'!$B$3:$L$42,5,FALSE)</f>
        <v>#N/A</v>
      </c>
      <c r="V502" s="10" t="e">
        <f>VLOOKUP(AJ494,'FRC Site Data'!$B$3:$L$42,6,FALSE)</f>
        <v>#N/A</v>
      </c>
      <c r="W502" s="10" t="e">
        <f>VLOOKUP(AJ494,'FRC Site Data'!$B$3:$L$42,8,FALSE)</f>
        <v>#N/A</v>
      </c>
      <c r="X502" s="10" t="e">
        <f>VLOOKUP(AJ494,'FRC Site Data'!$B$3:$L$42,9,FALSE)</f>
        <v>#N/A</v>
      </c>
      <c r="Y502" s="10" t="e">
        <f>VLOOKUP(AJ494,'FRC Site Data'!$B$3:$L$42,10,FALSE)</f>
        <v>#N/A</v>
      </c>
      <c r="Z502" s="10" t="e">
        <f>VLOOKUP(AJ494,'FRC Site Data'!$B$3:$L$42,11,FALSE)</f>
        <v>#N/A</v>
      </c>
      <c r="AA502" s="10" t="e">
        <f>VLOOKUP(AJ494,'CIR Team Info'!$C$5:$E$44,4,FALSE)</f>
        <v>#N/A</v>
      </c>
      <c r="AB502" s="161" t="b">
        <f>ISNUMBER(VLOOKUP(AJ494,Match!$T$5:$T$10,1,FALSE))</f>
        <v>0</v>
      </c>
      <c r="AC502" s="161" t="b">
        <f>IF(AB502=TRUE,(VLOOKUP($AJ494,Match!$T$5:$U$10,2,FALSE)))</f>
        <v>0</v>
      </c>
      <c r="AD502" s="8">
        <v>3</v>
      </c>
      <c r="AE502" s="8">
        <v>2</v>
      </c>
      <c r="AF502" s="8">
        <v>2</v>
      </c>
      <c r="AG502" s="8">
        <v>1</v>
      </c>
      <c r="AH502" s="8" t="str">
        <f t="shared" si="154"/>
        <v/>
      </c>
      <c r="AI502" s="12"/>
      <c r="AZ502" s="12"/>
      <c r="BC502" s="12"/>
      <c r="BK502" s="12"/>
    </row>
    <row r="503" spans="1:63" x14ac:dyDescent="0.25">
      <c r="A503" s="29">
        <f t="shared" si="145"/>
        <v>0</v>
      </c>
      <c r="B503" s="29">
        <f t="shared" si="139"/>
        <v>0</v>
      </c>
      <c r="C503" s="29">
        <f t="shared" si="140"/>
        <v>0</v>
      </c>
      <c r="D503" s="29">
        <f t="shared" si="141"/>
        <v>0</v>
      </c>
      <c r="E503" s="29">
        <f t="shared" si="146"/>
        <v>0</v>
      </c>
      <c r="F503" s="29">
        <f t="shared" si="147"/>
        <v>0</v>
      </c>
      <c r="G503" s="29" t="str">
        <f t="shared" si="148"/>
        <v>offensive</v>
      </c>
      <c r="H503" s="16">
        <f t="shared" si="152"/>
        <v>0</v>
      </c>
      <c r="I503" s="16">
        <f t="shared" si="153"/>
        <v>0</v>
      </c>
      <c r="J503" s="16">
        <f t="shared" si="142"/>
        <v>0</v>
      </c>
      <c r="K503" s="16">
        <f t="shared" si="149"/>
        <v>0</v>
      </c>
      <c r="L503" s="67">
        <f t="shared" si="150"/>
        <v>0</v>
      </c>
      <c r="M503" s="4">
        <f t="shared" si="143"/>
        <v>0</v>
      </c>
      <c r="N503" s="4">
        <f t="shared" si="144"/>
        <v>0</v>
      </c>
      <c r="O503" s="4">
        <f t="shared" si="151"/>
        <v>0</v>
      </c>
      <c r="P503" s="4" t="e">
        <f>VLOOKUP(AJ495,'CIR Team Info'!$C$5:$E$44,2,FALSE)</f>
        <v>#N/A</v>
      </c>
      <c r="Q503" s="4" t="e">
        <f>VLOOKUP(AJ495,'CIR Team Info'!$C$5:$E$44,3,FALSE)</f>
        <v>#N/A</v>
      </c>
      <c r="R503" s="10" t="e">
        <f>VLOOKUP(AJ495,'FRC Site Data'!$B$3:$L$42,2,FALSE)</f>
        <v>#N/A</v>
      </c>
      <c r="S503" s="10" t="e">
        <f>VLOOKUP(AJ495,'FRC Site Data'!$B$3:$L$42,3,FALSE)</f>
        <v>#N/A</v>
      </c>
      <c r="T503" s="10" t="e">
        <f>VLOOKUP(AJ495,'FRC Site Data'!$B$3:$L$42,4,FALSE)</f>
        <v>#N/A</v>
      </c>
      <c r="U503" s="10" t="e">
        <f>VLOOKUP(AJ495,'FRC Site Data'!$B$3:$L$42,5,FALSE)</f>
        <v>#N/A</v>
      </c>
      <c r="V503" s="10" t="e">
        <f>VLOOKUP(AJ495,'FRC Site Data'!$B$3:$L$42,6,FALSE)</f>
        <v>#N/A</v>
      </c>
      <c r="W503" s="10" t="e">
        <f>VLOOKUP(AJ495,'FRC Site Data'!$B$3:$L$42,8,FALSE)</f>
        <v>#N/A</v>
      </c>
      <c r="X503" s="10" t="e">
        <f>VLOOKUP(AJ495,'FRC Site Data'!$B$3:$L$42,9,FALSE)</f>
        <v>#N/A</v>
      </c>
      <c r="Y503" s="10" t="e">
        <f>VLOOKUP(AJ495,'FRC Site Data'!$B$3:$L$42,10,FALSE)</f>
        <v>#N/A</v>
      </c>
      <c r="Z503" s="10" t="e">
        <f>VLOOKUP(AJ495,'FRC Site Data'!$B$3:$L$42,11,FALSE)</f>
        <v>#N/A</v>
      </c>
      <c r="AA503" s="10" t="e">
        <f>VLOOKUP(AJ495,'CIR Team Info'!$C$5:$E$44,4,FALSE)</f>
        <v>#N/A</v>
      </c>
      <c r="AB503" s="161" t="b">
        <f>ISNUMBER(VLOOKUP(AJ495,Match!$T$5:$T$10,1,FALSE))</f>
        <v>0</v>
      </c>
      <c r="AC503" s="161" t="b">
        <f>IF(AB503=TRUE,(VLOOKUP($AJ495,Match!$T$5:$U$10,2,FALSE)))</f>
        <v>0</v>
      </c>
      <c r="AD503" s="8">
        <v>3</v>
      </c>
      <c r="AE503" s="8">
        <v>2</v>
      </c>
      <c r="AF503" s="8">
        <v>2</v>
      </c>
      <c r="AG503" s="8">
        <v>1</v>
      </c>
      <c r="AH503" s="8" t="str">
        <f t="shared" si="154"/>
        <v/>
      </c>
      <c r="AI503" s="12"/>
      <c r="AZ503" s="12"/>
      <c r="BC503" s="12"/>
      <c r="BK503" s="12"/>
    </row>
    <row r="504" spans="1:63" x14ac:dyDescent="0.25">
      <c r="A504" s="29">
        <f t="shared" si="145"/>
        <v>0</v>
      </c>
      <c r="B504" s="29">
        <f t="shared" si="139"/>
        <v>0</v>
      </c>
      <c r="C504" s="29">
        <f t="shared" si="140"/>
        <v>0</v>
      </c>
      <c r="D504" s="29">
        <f t="shared" si="141"/>
        <v>0</v>
      </c>
      <c r="E504" s="29">
        <f t="shared" si="146"/>
        <v>0</v>
      </c>
      <c r="F504" s="29">
        <f t="shared" si="147"/>
        <v>0</v>
      </c>
      <c r="G504" s="29" t="str">
        <f t="shared" si="148"/>
        <v>offensive</v>
      </c>
      <c r="H504" s="16">
        <f t="shared" si="152"/>
        <v>0</v>
      </c>
      <c r="I504" s="16">
        <f t="shared" si="153"/>
        <v>0</v>
      </c>
      <c r="J504" s="16">
        <f t="shared" si="142"/>
        <v>0</v>
      </c>
      <c r="K504" s="16">
        <f t="shared" si="149"/>
        <v>0</v>
      </c>
      <c r="L504" s="67">
        <f t="shared" si="150"/>
        <v>0</v>
      </c>
      <c r="M504" s="4">
        <f t="shared" si="143"/>
        <v>0</v>
      </c>
      <c r="N504" s="4">
        <f t="shared" si="144"/>
        <v>0</v>
      </c>
      <c r="O504" s="4">
        <f t="shared" si="151"/>
        <v>0</v>
      </c>
      <c r="P504" s="4" t="e">
        <f>VLOOKUP(AJ496,'CIR Team Info'!$C$5:$E$44,2,FALSE)</f>
        <v>#N/A</v>
      </c>
      <c r="Q504" s="4" t="e">
        <f>VLOOKUP(AJ496,'CIR Team Info'!$C$5:$E$44,3,FALSE)</f>
        <v>#N/A</v>
      </c>
      <c r="R504" s="10" t="e">
        <f>VLOOKUP(AJ496,'FRC Site Data'!$B$3:$L$42,2,FALSE)</f>
        <v>#N/A</v>
      </c>
      <c r="S504" s="10" t="e">
        <f>VLOOKUP(AJ496,'FRC Site Data'!$B$3:$L$42,3,FALSE)</f>
        <v>#N/A</v>
      </c>
      <c r="T504" s="10" t="e">
        <f>VLOOKUP(AJ496,'FRC Site Data'!$B$3:$L$42,4,FALSE)</f>
        <v>#N/A</v>
      </c>
      <c r="U504" s="10" t="e">
        <f>VLOOKUP(AJ496,'FRC Site Data'!$B$3:$L$42,5,FALSE)</f>
        <v>#N/A</v>
      </c>
      <c r="V504" s="10" t="e">
        <f>VLOOKUP(AJ496,'FRC Site Data'!$B$3:$L$42,6,FALSE)</f>
        <v>#N/A</v>
      </c>
      <c r="W504" s="10" t="e">
        <f>VLOOKUP(AJ496,'FRC Site Data'!$B$3:$L$42,8,FALSE)</f>
        <v>#N/A</v>
      </c>
      <c r="X504" s="10" t="e">
        <f>VLOOKUP(AJ496,'FRC Site Data'!$B$3:$L$42,9,FALSE)</f>
        <v>#N/A</v>
      </c>
      <c r="Y504" s="10" t="e">
        <f>VLOOKUP(AJ496,'FRC Site Data'!$B$3:$L$42,10,FALSE)</f>
        <v>#N/A</v>
      </c>
      <c r="Z504" s="10" t="e">
        <f>VLOOKUP(AJ496,'FRC Site Data'!$B$3:$L$42,11,FALSE)</f>
        <v>#N/A</v>
      </c>
      <c r="AA504" s="10" t="e">
        <f>VLOOKUP(AJ496,'CIR Team Info'!$C$5:$E$44,4,FALSE)</f>
        <v>#N/A</v>
      </c>
      <c r="AB504" s="161" t="b">
        <f>ISNUMBER(VLOOKUP(AJ496,Match!$T$5:$T$10,1,FALSE))</f>
        <v>0</v>
      </c>
      <c r="AC504" s="161" t="b">
        <f>IF(AB504=TRUE,(VLOOKUP($AJ496,Match!$T$5:$U$10,2,FALSE)))</f>
        <v>0</v>
      </c>
      <c r="AD504" s="8">
        <v>3</v>
      </c>
      <c r="AE504" s="8">
        <v>2</v>
      </c>
      <c r="AF504" s="8">
        <v>2</v>
      </c>
      <c r="AG504" s="8">
        <v>1</v>
      </c>
      <c r="AH504" s="8" t="str">
        <f t="shared" si="154"/>
        <v/>
      </c>
      <c r="AI504" s="12"/>
      <c r="AZ504" s="12"/>
      <c r="BC504" s="12"/>
      <c r="BK504" s="12"/>
    </row>
    <row r="505" spans="1:63" x14ac:dyDescent="0.25">
      <c r="A505" s="29">
        <f t="shared" si="145"/>
        <v>0</v>
      </c>
      <c r="B505" s="29">
        <f t="shared" si="139"/>
        <v>0</v>
      </c>
      <c r="C505" s="29">
        <f t="shared" si="140"/>
        <v>0</v>
      </c>
      <c r="D505" s="29">
        <f t="shared" si="141"/>
        <v>0</v>
      </c>
      <c r="E505" s="29">
        <f t="shared" si="146"/>
        <v>0</v>
      </c>
      <c r="F505" s="29">
        <f t="shared" si="147"/>
        <v>0</v>
      </c>
      <c r="G505" s="29" t="str">
        <f t="shared" si="148"/>
        <v>offensive</v>
      </c>
      <c r="H505" s="16">
        <f t="shared" si="152"/>
        <v>0</v>
      </c>
      <c r="I505" s="16">
        <f t="shared" si="153"/>
        <v>0</v>
      </c>
      <c r="J505" s="16">
        <f t="shared" si="142"/>
        <v>0</v>
      </c>
      <c r="K505" s="16">
        <f t="shared" si="149"/>
        <v>0</v>
      </c>
      <c r="L505" s="67">
        <f t="shared" si="150"/>
        <v>0</v>
      </c>
      <c r="M505" s="4">
        <f t="shared" si="143"/>
        <v>0</v>
      </c>
      <c r="N505" s="4">
        <f t="shared" si="144"/>
        <v>0</v>
      </c>
      <c r="O505" s="4">
        <f t="shared" si="151"/>
        <v>0</v>
      </c>
      <c r="P505" s="4" t="e">
        <f>VLOOKUP(AJ497,'CIR Team Info'!$C$5:$E$44,2,FALSE)</f>
        <v>#N/A</v>
      </c>
      <c r="Q505" s="4" t="e">
        <f>VLOOKUP(AJ497,'CIR Team Info'!$C$5:$E$44,3,FALSE)</f>
        <v>#N/A</v>
      </c>
      <c r="R505" s="10" t="e">
        <f>VLOOKUP(AJ497,'FRC Site Data'!$B$3:$L$42,2,FALSE)</f>
        <v>#N/A</v>
      </c>
      <c r="S505" s="10" t="e">
        <f>VLOOKUP(AJ497,'FRC Site Data'!$B$3:$L$42,3,FALSE)</f>
        <v>#N/A</v>
      </c>
      <c r="T505" s="10" t="e">
        <f>VLOOKUP(AJ497,'FRC Site Data'!$B$3:$L$42,4,FALSE)</f>
        <v>#N/A</v>
      </c>
      <c r="U505" s="10" t="e">
        <f>VLOOKUP(AJ497,'FRC Site Data'!$B$3:$L$42,5,FALSE)</f>
        <v>#N/A</v>
      </c>
      <c r="V505" s="10" t="e">
        <f>VLOOKUP(AJ497,'FRC Site Data'!$B$3:$L$42,6,FALSE)</f>
        <v>#N/A</v>
      </c>
      <c r="W505" s="10" t="e">
        <f>VLOOKUP(AJ497,'FRC Site Data'!$B$3:$L$42,8,FALSE)</f>
        <v>#N/A</v>
      </c>
      <c r="X505" s="10" t="e">
        <f>VLOOKUP(AJ497,'FRC Site Data'!$B$3:$L$42,9,FALSE)</f>
        <v>#N/A</v>
      </c>
      <c r="Y505" s="10" t="e">
        <f>VLOOKUP(AJ497,'FRC Site Data'!$B$3:$L$42,10,FALSE)</f>
        <v>#N/A</v>
      </c>
      <c r="Z505" s="10" t="e">
        <f>VLOOKUP(AJ497,'FRC Site Data'!$B$3:$L$42,11,FALSE)</f>
        <v>#N/A</v>
      </c>
      <c r="AA505" s="10" t="e">
        <f>VLOOKUP(AJ497,'CIR Team Info'!$C$5:$E$44,4,FALSE)</f>
        <v>#N/A</v>
      </c>
      <c r="AB505" s="161" t="b">
        <f>ISNUMBER(VLOOKUP(AJ497,Match!$T$5:$T$10,1,FALSE))</f>
        <v>0</v>
      </c>
      <c r="AC505" s="161" t="b">
        <f>IF(AB505=TRUE,(VLOOKUP($AJ497,Match!$T$5:$U$10,2,FALSE)))</f>
        <v>0</v>
      </c>
      <c r="AD505" s="8">
        <v>3</v>
      </c>
      <c r="AE505" s="8">
        <v>2</v>
      </c>
      <c r="AF505" s="8">
        <v>2</v>
      </c>
      <c r="AG505" s="8">
        <v>1</v>
      </c>
      <c r="AH505" s="8" t="str">
        <f t="shared" si="154"/>
        <v/>
      </c>
      <c r="AI505" s="12"/>
      <c r="AZ505" s="12"/>
      <c r="BC505" s="12"/>
      <c r="BK505" s="12"/>
    </row>
    <row r="506" spans="1:63" x14ac:dyDescent="0.25">
      <c r="A506" s="29">
        <f t="shared" si="145"/>
        <v>0</v>
      </c>
      <c r="B506" s="29">
        <f t="shared" si="139"/>
        <v>0</v>
      </c>
      <c r="C506" s="29">
        <f t="shared" si="140"/>
        <v>0</v>
      </c>
      <c r="D506" s="29">
        <f t="shared" si="141"/>
        <v>0</v>
      </c>
      <c r="E506" s="29">
        <f t="shared" si="146"/>
        <v>0</v>
      </c>
      <c r="F506" s="29">
        <f t="shared" si="147"/>
        <v>0</v>
      </c>
      <c r="G506" s="29" t="str">
        <f t="shared" si="148"/>
        <v>offensive</v>
      </c>
      <c r="H506" s="16">
        <f t="shared" si="152"/>
        <v>0</v>
      </c>
      <c r="I506" s="16">
        <f t="shared" si="153"/>
        <v>0</v>
      </c>
      <c r="J506" s="16">
        <f t="shared" si="142"/>
        <v>0</v>
      </c>
      <c r="K506" s="16">
        <f t="shared" si="149"/>
        <v>0</v>
      </c>
      <c r="L506" s="67">
        <f t="shared" si="150"/>
        <v>0</v>
      </c>
      <c r="M506" s="4">
        <f t="shared" si="143"/>
        <v>0</v>
      </c>
      <c r="N506" s="4">
        <f t="shared" si="144"/>
        <v>0</v>
      </c>
      <c r="O506" s="4">
        <f t="shared" si="151"/>
        <v>0</v>
      </c>
      <c r="P506" s="4" t="e">
        <f>VLOOKUP(AJ498,'CIR Team Info'!$C$5:$E$44,2,FALSE)</f>
        <v>#N/A</v>
      </c>
      <c r="Q506" s="4" t="e">
        <f>VLOOKUP(AJ498,'CIR Team Info'!$C$5:$E$44,3,FALSE)</f>
        <v>#N/A</v>
      </c>
      <c r="R506" s="10" t="e">
        <f>VLOOKUP(AJ498,'FRC Site Data'!$B$3:$L$42,2,FALSE)</f>
        <v>#N/A</v>
      </c>
      <c r="S506" s="10" t="e">
        <f>VLOOKUP(AJ498,'FRC Site Data'!$B$3:$L$42,3,FALSE)</f>
        <v>#N/A</v>
      </c>
      <c r="T506" s="10" t="e">
        <f>VLOOKUP(AJ498,'FRC Site Data'!$B$3:$L$42,4,FALSE)</f>
        <v>#N/A</v>
      </c>
      <c r="U506" s="10" t="e">
        <f>VLOOKUP(AJ498,'FRC Site Data'!$B$3:$L$42,5,FALSE)</f>
        <v>#N/A</v>
      </c>
      <c r="V506" s="10" t="e">
        <f>VLOOKUP(AJ498,'FRC Site Data'!$B$3:$L$42,6,FALSE)</f>
        <v>#N/A</v>
      </c>
      <c r="W506" s="10" t="e">
        <f>VLOOKUP(AJ498,'FRC Site Data'!$B$3:$L$42,8,FALSE)</f>
        <v>#N/A</v>
      </c>
      <c r="X506" s="10" t="e">
        <f>VLOOKUP(AJ498,'FRC Site Data'!$B$3:$L$42,9,FALSE)</f>
        <v>#N/A</v>
      </c>
      <c r="Y506" s="10" t="e">
        <f>VLOOKUP(AJ498,'FRC Site Data'!$B$3:$L$42,10,FALSE)</f>
        <v>#N/A</v>
      </c>
      <c r="Z506" s="10" t="e">
        <f>VLOOKUP(AJ498,'FRC Site Data'!$B$3:$L$42,11,FALSE)</f>
        <v>#N/A</v>
      </c>
      <c r="AA506" s="10" t="e">
        <f>VLOOKUP(AJ498,'CIR Team Info'!$C$5:$E$44,4,FALSE)</f>
        <v>#N/A</v>
      </c>
      <c r="AB506" s="161" t="b">
        <f>ISNUMBER(VLOOKUP(AJ498,Match!$T$5:$T$10,1,FALSE))</f>
        <v>0</v>
      </c>
      <c r="AC506" s="161" t="b">
        <f>IF(AB506=TRUE,(VLOOKUP($AJ498,Match!$T$5:$U$10,2,FALSE)))</f>
        <v>0</v>
      </c>
      <c r="AD506" s="8">
        <v>3</v>
      </c>
      <c r="AE506" s="8">
        <v>2</v>
      </c>
      <c r="AF506" s="8">
        <v>2</v>
      </c>
      <c r="AG506" s="8">
        <v>1</v>
      </c>
      <c r="AH506" s="8" t="str">
        <f t="shared" si="154"/>
        <v/>
      </c>
      <c r="AI506" s="12"/>
      <c r="AZ506" s="12"/>
      <c r="BC506" s="12"/>
      <c r="BK506" s="12"/>
    </row>
    <row r="507" spans="1:63" x14ac:dyDescent="0.25">
      <c r="A507" s="29">
        <f t="shared" si="145"/>
        <v>0</v>
      </c>
      <c r="B507" s="29">
        <f t="shared" si="139"/>
        <v>0</v>
      </c>
      <c r="C507" s="29">
        <f t="shared" si="140"/>
        <v>0</v>
      </c>
      <c r="D507" s="29">
        <f t="shared" si="141"/>
        <v>0</v>
      </c>
      <c r="E507" s="29">
        <f t="shared" si="146"/>
        <v>0</v>
      </c>
      <c r="F507" s="29">
        <f t="shared" si="147"/>
        <v>0</v>
      </c>
      <c r="G507" s="29" t="str">
        <f t="shared" si="148"/>
        <v>offensive</v>
      </c>
      <c r="H507" s="16">
        <f t="shared" si="152"/>
        <v>0</v>
      </c>
      <c r="I507" s="16">
        <f t="shared" si="153"/>
        <v>0</v>
      </c>
      <c r="J507" s="16">
        <f t="shared" si="142"/>
        <v>0</v>
      </c>
      <c r="K507" s="16">
        <f t="shared" si="149"/>
        <v>0</v>
      </c>
      <c r="L507" s="67">
        <f t="shared" si="150"/>
        <v>0</v>
      </c>
      <c r="M507" s="4">
        <f t="shared" si="143"/>
        <v>0</v>
      </c>
      <c r="N507" s="4">
        <f t="shared" si="144"/>
        <v>0</v>
      </c>
      <c r="O507" s="4">
        <f t="shared" si="151"/>
        <v>0</v>
      </c>
      <c r="P507" s="4" t="e">
        <f>VLOOKUP(AJ499,'CIR Team Info'!$C$5:$E$44,2,FALSE)</f>
        <v>#N/A</v>
      </c>
      <c r="Q507" s="4" t="e">
        <f>VLOOKUP(AJ499,'CIR Team Info'!$C$5:$E$44,3,FALSE)</f>
        <v>#N/A</v>
      </c>
      <c r="R507" s="10" t="e">
        <f>VLOOKUP(AJ499,'FRC Site Data'!$B$3:$L$42,2,FALSE)</f>
        <v>#N/A</v>
      </c>
      <c r="S507" s="10" t="e">
        <f>VLOOKUP(AJ499,'FRC Site Data'!$B$3:$L$42,3,FALSE)</f>
        <v>#N/A</v>
      </c>
      <c r="T507" s="10" t="e">
        <f>VLOOKUP(AJ499,'FRC Site Data'!$B$3:$L$42,4,FALSE)</f>
        <v>#N/A</v>
      </c>
      <c r="U507" s="10" t="e">
        <f>VLOOKUP(AJ499,'FRC Site Data'!$B$3:$L$42,5,FALSE)</f>
        <v>#N/A</v>
      </c>
      <c r="V507" s="10" t="e">
        <f>VLOOKUP(AJ499,'FRC Site Data'!$B$3:$L$42,6,FALSE)</f>
        <v>#N/A</v>
      </c>
      <c r="W507" s="10" t="e">
        <f>VLOOKUP(AJ499,'FRC Site Data'!$B$3:$L$42,8,FALSE)</f>
        <v>#N/A</v>
      </c>
      <c r="X507" s="10" t="e">
        <f>VLOOKUP(AJ499,'FRC Site Data'!$B$3:$L$42,9,FALSE)</f>
        <v>#N/A</v>
      </c>
      <c r="Y507" s="10" t="e">
        <f>VLOOKUP(AJ499,'FRC Site Data'!$B$3:$L$42,10,FALSE)</f>
        <v>#N/A</v>
      </c>
      <c r="Z507" s="10" t="e">
        <f>VLOOKUP(AJ499,'FRC Site Data'!$B$3:$L$42,11,FALSE)</f>
        <v>#N/A</v>
      </c>
      <c r="AA507" s="10" t="e">
        <f>VLOOKUP(AJ499,'CIR Team Info'!$C$5:$E$44,4,FALSE)</f>
        <v>#N/A</v>
      </c>
      <c r="AB507" s="161" t="b">
        <f>ISNUMBER(VLOOKUP(AJ499,Match!$T$5:$T$10,1,FALSE))</f>
        <v>0</v>
      </c>
      <c r="AC507" s="161" t="b">
        <f>IF(AB507=TRUE,(VLOOKUP($AJ499,Match!$T$5:$U$10,2,FALSE)))</f>
        <v>0</v>
      </c>
      <c r="AD507" s="8">
        <v>3</v>
      </c>
      <c r="AE507" s="8">
        <v>2</v>
      </c>
      <c r="AF507" s="8">
        <v>2</v>
      </c>
      <c r="AG507" s="8">
        <v>1</v>
      </c>
      <c r="AH507" s="8" t="str">
        <f t="shared" si="154"/>
        <v/>
      </c>
      <c r="AI507" s="12"/>
      <c r="AZ507" s="12"/>
      <c r="BC507" s="12"/>
      <c r="BK507" s="12"/>
    </row>
    <row r="508" spans="1:63" x14ac:dyDescent="0.25">
      <c r="A508" s="29">
        <f t="shared" si="145"/>
        <v>0</v>
      </c>
      <c r="B508" s="29">
        <f t="shared" si="139"/>
        <v>0</v>
      </c>
      <c r="C508" s="29">
        <f t="shared" si="140"/>
        <v>0</v>
      </c>
      <c r="D508" s="29">
        <f t="shared" si="141"/>
        <v>0</v>
      </c>
      <c r="E508" s="29">
        <f t="shared" si="146"/>
        <v>0</v>
      </c>
      <c r="F508" s="29">
        <f t="shared" si="147"/>
        <v>0</v>
      </c>
      <c r="G508" s="29" t="str">
        <f t="shared" si="148"/>
        <v>offensive</v>
      </c>
      <c r="H508" s="16">
        <f t="shared" si="152"/>
        <v>0</v>
      </c>
      <c r="I508" s="16">
        <f t="shared" si="153"/>
        <v>0</v>
      </c>
      <c r="J508" s="16">
        <f t="shared" si="142"/>
        <v>0</v>
      </c>
      <c r="K508" s="16">
        <f t="shared" si="149"/>
        <v>0</v>
      </c>
      <c r="L508" s="67">
        <f t="shared" si="150"/>
        <v>0</v>
      </c>
      <c r="M508" s="4">
        <f t="shared" si="143"/>
        <v>0</v>
      </c>
      <c r="N508" s="4">
        <f t="shared" si="144"/>
        <v>0</v>
      </c>
      <c r="O508" s="4">
        <f t="shared" si="151"/>
        <v>0</v>
      </c>
      <c r="P508" s="4" t="e">
        <f>VLOOKUP(AJ500,'CIR Team Info'!$C$5:$E$44,2,FALSE)</f>
        <v>#N/A</v>
      </c>
      <c r="Q508" s="4" t="e">
        <f>VLOOKUP(AJ500,'CIR Team Info'!$C$5:$E$44,3,FALSE)</f>
        <v>#N/A</v>
      </c>
      <c r="R508" s="10" t="e">
        <f>VLOOKUP(AJ500,'FRC Site Data'!$B$3:$L$42,2,FALSE)</f>
        <v>#N/A</v>
      </c>
      <c r="S508" s="10" t="e">
        <f>VLOOKUP(AJ500,'FRC Site Data'!$B$3:$L$42,3,FALSE)</f>
        <v>#N/A</v>
      </c>
      <c r="T508" s="10" t="e">
        <f>VLOOKUP(AJ500,'FRC Site Data'!$B$3:$L$42,4,FALSE)</f>
        <v>#N/A</v>
      </c>
      <c r="U508" s="10" t="e">
        <f>VLOOKUP(AJ500,'FRC Site Data'!$B$3:$L$42,5,FALSE)</f>
        <v>#N/A</v>
      </c>
      <c r="V508" s="10" t="e">
        <f>VLOOKUP(AJ500,'FRC Site Data'!$B$3:$L$42,6,FALSE)</f>
        <v>#N/A</v>
      </c>
      <c r="W508" s="10" t="e">
        <f>VLOOKUP(AJ500,'FRC Site Data'!$B$3:$L$42,8,FALSE)</f>
        <v>#N/A</v>
      </c>
      <c r="X508" s="10" t="e">
        <f>VLOOKUP(AJ500,'FRC Site Data'!$B$3:$L$42,9,FALSE)</f>
        <v>#N/A</v>
      </c>
      <c r="Y508" s="10" t="e">
        <f>VLOOKUP(AJ500,'FRC Site Data'!$B$3:$L$42,10,FALSE)</f>
        <v>#N/A</v>
      </c>
      <c r="Z508" s="10" t="e">
        <f>VLOOKUP(AJ500,'FRC Site Data'!$B$3:$L$42,11,FALSE)</f>
        <v>#N/A</v>
      </c>
      <c r="AA508" s="10" t="e">
        <f>VLOOKUP(AJ500,'CIR Team Info'!$C$5:$E$44,4,FALSE)</f>
        <v>#N/A</v>
      </c>
      <c r="AB508" s="161" t="b">
        <f>ISNUMBER(VLOOKUP(AJ500,Match!$T$5:$T$10,1,FALSE))</f>
        <v>0</v>
      </c>
      <c r="AC508" s="161" t="b">
        <f>IF(AB508=TRUE,(VLOOKUP($AJ500,Match!$T$5:$U$10,2,FALSE)))</f>
        <v>0</v>
      </c>
      <c r="AD508" s="8">
        <v>3</v>
      </c>
      <c r="AE508" s="8">
        <v>2</v>
      </c>
      <c r="AF508" s="8">
        <v>2</v>
      </c>
      <c r="AG508" s="8">
        <v>1</v>
      </c>
      <c r="AH508" s="8" t="str">
        <f t="shared" si="154"/>
        <v/>
      </c>
      <c r="AI508" s="12"/>
      <c r="AZ508" s="12"/>
      <c r="BC508" s="12"/>
      <c r="BK508" s="12"/>
    </row>
    <row r="509" spans="1:63" x14ac:dyDescent="0.25">
      <c r="A509" s="29">
        <f t="shared" si="145"/>
        <v>0</v>
      </c>
      <c r="B509" s="29">
        <f t="shared" si="139"/>
        <v>0</v>
      </c>
      <c r="C509" s="29">
        <f t="shared" si="140"/>
        <v>0</v>
      </c>
      <c r="D509" s="29">
        <f t="shared" si="141"/>
        <v>0</v>
      </c>
      <c r="E509" s="29">
        <f t="shared" si="146"/>
        <v>0</v>
      </c>
      <c r="F509" s="29">
        <f t="shared" si="147"/>
        <v>0</v>
      </c>
      <c r="G509" s="29" t="str">
        <f t="shared" si="148"/>
        <v>offensive</v>
      </c>
      <c r="H509" s="16">
        <f t="shared" si="152"/>
        <v>0</v>
      </c>
      <c r="I509" s="16">
        <f t="shared" si="153"/>
        <v>0</v>
      </c>
      <c r="J509" s="16">
        <f t="shared" si="142"/>
        <v>0</v>
      </c>
      <c r="K509" s="16">
        <f t="shared" si="149"/>
        <v>0</v>
      </c>
      <c r="L509" s="67">
        <f t="shared" si="150"/>
        <v>0</v>
      </c>
      <c r="M509" s="4">
        <f t="shared" si="143"/>
        <v>0</v>
      </c>
      <c r="N509" s="4">
        <f t="shared" si="144"/>
        <v>0</v>
      </c>
      <c r="O509" s="4">
        <f t="shared" si="151"/>
        <v>0</v>
      </c>
      <c r="P509" s="4" t="e">
        <f>VLOOKUP(AJ501,'CIR Team Info'!$C$5:$E$44,2,FALSE)</f>
        <v>#N/A</v>
      </c>
      <c r="Q509" s="4" t="e">
        <f>VLOOKUP(AJ501,'CIR Team Info'!$C$5:$E$44,3,FALSE)</f>
        <v>#N/A</v>
      </c>
      <c r="R509" s="10" t="e">
        <f>VLOOKUP(AJ501,'FRC Site Data'!$B$3:$L$42,2,FALSE)</f>
        <v>#N/A</v>
      </c>
      <c r="S509" s="10" t="e">
        <f>VLOOKUP(AJ501,'FRC Site Data'!$B$3:$L$42,3,FALSE)</f>
        <v>#N/A</v>
      </c>
      <c r="T509" s="10" t="e">
        <f>VLOOKUP(AJ501,'FRC Site Data'!$B$3:$L$42,4,FALSE)</f>
        <v>#N/A</v>
      </c>
      <c r="U509" s="10" t="e">
        <f>VLOOKUP(AJ501,'FRC Site Data'!$B$3:$L$42,5,FALSE)</f>
        <v>#N/A</v>
      </c>
      <c r="V509" s="10" t="e">
        <f>VLOOKUP(AJ501,'FRC Site Data'!$B$3:$L$42,6,FALSE)</f>
        <v>#N/A</v>
      </c>
      <c r="W509" s="10" t="e">
        <f>VLOOKUP(AJ501,'FRC Site Data'!$B$3:$L$42,8,FALSE)</f>
        <v>#N/A</v>
      </c>
      <c r="X509" s="10" t="e">
        <f>VLOOKUP(AJ501,'FRC Site Data'!$B$3:$L$42,9,FALSE)</f>
        <v>#N/A</v>
      </c>
      <c r="Y509" s="10" t="e">
        <f>VLOOKUP(AJ501,'FRC Site Data'!$B$3:$L$42,10,FALSE)</f>
        <v>#N/A</v>
      </c>
      <c r="Z509" s="10" t="e">
        <f>VLOOKUP(AJ501,'FRC Site Data'!$B$3:$L$42,11,FALSE)</f>
        <v>#N/A</v>
      </c>
      <c r="AA509" s="10" t="e">
        <f>VLOOKUP(AJ501,'CIR Team Info'!$C$5:$E$44,4,FALSE)</f>
        <v>#N/A</v>
      </c>
      <c r="AB509" s="161" t="b">
        <f>ISNUMBER(VLOOKUP(AJ501,Match!$T$5:$T$10,1,FALSE))</f>
        <v>0</v>
      </c>
      <c r="AC509" s="161" t="b">
        <f>IF(AB509=TRUE,(VLOOKUP($AJ501,Match!$T$5:$U$10,2,FALSE)))</f>
        <v>0</v>
      </c>
      <c r="AD509" s="8">
        <v>3</v>
      </c>
      <c r="AE509" s="8">
        <v>2</v>
      </c>
      <c r="AF509" s="8">
        <v>2</v>
      </c>
      <c r="AG509" s="8">
        <v>1</v>
      </c>
      <c r="AH509" s="8" t="str">
        <f t="shared" si="154"/>
        <v/>
      </c>
      <c r="AI509" s="12"/>
      <c r="AZ509" s="12"/>
      <c r="BC509" s="12"/>
      <c r="BK509" s="12"/>
    </row>
    <row r="510" spans="1:63" x14ac:dyDescent="0.25">
      <c r="A510" s="29">
        <f t="shared" si="145"/>
        <v>0</v>
      </c>
      <c r="B510" s="29">
        <f t="shared" si="139"/>
        <v>0</v>
      </c>
      <c r="C510" s="29">
        <f t="shared" si="140"/>
        <v>0</v>
      </c>
      <c r="D510" s="29">
        <f t="shared" si="141"/>
        <v>0</v>
      </c>
      <c r="E510" s="29">
        <f t="shared" si="146"/>
        <v>0</v>
      </c>
      <c r="F510" s="29">
        <f t="shared" si="147"/>
        <v>0</v>
      </c>
      <c r="G510" s="29" t="str">
        <f t="shared" si="148"/>
        <v>offensive</v>
      </c>
      <c r="H510" s="16">
        <f t="shared" si="152"/>
        <v>0</v>
      </c>
      <c r="I510" s="16">
        <f t="shared" si="153"/>
        <v>0</v>
      </c>
      <c r="J510" s="16">
        <f t="shared" si="142"/>
        <v>0</v>
      </c>
      <c r="K510" s="16">
        <f t="shared" si="149"/>
        <v>0</v>
      </c>
      <c r="L510" s="67">
        <f t="shared" si="150"/>
        <v>0</v>
      </c>
      <c r="M510" s="4">
        <f t="shared" si="143"/>
        <v>0</v>
      </c>
      <c r="N510" s="4">
        <f t="shared" si="144"/>
        <v>0</v>
      </c>
      <c r="O510" s="4">
        <f t="shared" si="151"/>
        <v>0</v>
      </c>
      <c r="P510" s="4" t="e">
        <f>VLOOKUP(AJ502,'CIR Team Info'!$C$5:$E$44,2,FALSE)</f>
        <v>#N/A</v>
      </c>
      <c r="Q510" s="4" t="e">
        <f>VLOOKUP(AJ502,'CIR Team Info'!$C$5:$E$44,3,FALSE)</f>
        <v>#N/A</v>
      </c>
      <c r="R510" s="10" t="e">
        <f>VLOOKUP(AJ502,'FRC Site Data'!$B$3:$L$42,2,FALSE)</f>
        <v>#N/A</v>
      </c>
      <c r="S510" s="10" t="e">
        <f>VLOOKUP(AJ502,'FRC Site Data'!$B$3:$L$42,3,FALSE)</f>
        <v>#N/A</v>
      </c>
      <c r="T510" s="10" t="e">
        <f>VLOOKUP(AJ502,'FRC Site Data'!$B$3:$L$42,4,FALSE)</f>
        <v>#N/A</v>
      </c>
      <c r="U510" s="10" t="e">
        <f>VLOOKUP(AJ502,'FRC Site Data'!$B$3:$L$42,5,FALSE)</f>
        <v>#N/A</v>
      </c>
      <c r="V510" s="10" t="e">
        <f>VLOOKUP(AJ502,'FRC Site Data'!$B$3:$L$42,6,FALSE)</f>
        <v>#N/A</v>
      </c>
      <c r="W510" s="10" t="e">
        <f>VLOOKUP(AJ502,'FRC Site Data'!$B$3:$L$42,8,FALSE)</f>
        <v>#N/A</v>
      </c>
      <c r="X510" s="10" t="e">
        <f>VLOOKUP(AJ502,'FRC Site Data'!$B$3:$L$42,9,FALSE)</f>
        <v>#N/A</v>
      </c>
      <c r="Y510" s="10" t="e">
        <f>VLOOKUP(AJ502,'FRC Site Data'!$B$3:$L$42,10,FALSE)</f>
        <v>#N/A</v>
      </c>
      <c r="Z510" s="10" t="e">
        <f>VLOOKUP(AJ502,'FRC Site Data'!$B$3:$L$42,11,FALSE)</f>
        <v>#N/A</v>
      </c>
      <c r="AA510" s="10" t="e">
        <f>VLOOKUP(AJ502,'CIR Team Info'!$C$5:$E$44,4,FALSE)</f>
        <v>#N/A</v>
      </c>
      <c r="AB510" s="161" t="b">
        <f>ISNUMBER(VLOOKUP(AJ502,Match!$T$5:$T$10,1,FALSE))</f>
        <v>0</v>
      </c>
      <c r="AC510" s="161" t="b">
        <f>IF(AB510=TRUE,(VLOOKUP($AJ502,Match!$T$5:$U$10,2,FALSE)))</f>
        <v>0</v>
      </c>
      <c r="AD510" s="8">
        <v>3</v>
      </c>
      <c r="AE510" s="8">
        <v>2</v>
      </c>
      <c r="AF510" s="8">
        <v>2</v>
      </c>
      <c r="AG510" s="8">
        <v>1</v>
      </c>
      <c r="AH510" s="8" t="str">
        <f t="shared" si="154"/>
        <v/>
      </c>
      <c r="AI510" s="12"/>
      <c r="AZ510" s="12"/>
      <c r="BC510" s="12"/>
      <c r="BK510" s="12"/>
    </row>
    <row r="511" spans="1:63" x14ac:dyDescent="0.25">
      <c r="A511" s="29">
        <f t="shared" si="145"/>
        <v>0</v>
      </c>
      <c r="B511" s="29">
        <f t="shared" si="139"/>
        <v>0</v>
      </c>
      <c r="C511" s="29">
        <f t="shared" si="140"/>
        <v>0</v>
      </c>
      <c r="D511" s="29">
        <f t="shared" si="141"/>
        <v>0</v>
      </c>
      <c r="E511" s="29">
        <f t="shared" si="146"/>
        <v>0</v>
      </c>
      <c r="F511" s="29">
        <f t="shared" si="147"/>
        <v>0</v>
      </c>
      <c r="G511" s="29" t="str">
        <f t="shared" si="148"/>
        <v>offensive</v>
      </c>
      <c r="H511" s="16">
        <f t="shared" si="152"/>
        <v>0</v>
      </c>
      <c r="I511" s="16">
        <f t="shared" si="153"/>
        <v>0</v>
      </c>
      <c r="J511" s="16">
        <f t="shared" si="142"/>
        <v>0</v>
      </c>
      <c r="K511" s="16">
        <f t="shared" si="149"/>
        <v>0</v>
      </c>
      <c r="L511" s="67">
        <f t="shared" si="150"/>
        <v>0</v>
      </c>
      <c r="M511" s="4">
        <f t="shared" si="143"/>
        <v>0</v>
      </c>
      <c r="N511" s="4">
        <f t="shared" si="144"/>
        <v>0</v>
      </c>
      <c r="O511" s="4">
        <f t="shared" si="151"/>
        <v>0</v>
      </c>
      <c r="P511" s="4" t="e">
        <f>VLOOKUP(AJ503,'CIR Team Info'!$C$5:$E$44,2,FALSE)</f>
        <v>#N/A</v>
      </c>
      <c r="Q511" s="4" t="e">
        <f>VLOOKUP(AJ503,'CIR Team Info'!$C$5:$E$44,3,FALSE)</f>
        <v>#N/A</v>
      </c>
      <c r="R511" s="10" t="e">
        <f>VLOOKUP(AJ503,'FRC Site Data'!$B$3:$L$42,2,FALSE)</f>
        <v>#N/A</v>
      </c>
      <c r="S511" s="10" t="e">
        <f>VLOOKUP(AJ503,'FRC Site Data'!$B$3:$L$42,3,FALSE)</f>
        <v>#N/A</v>
      </c>
      <c r="T511" s="10" t="e">
        <f>VLOOKUP(AJ503,'FRC Site Data'!$B$3:$L$42,4,FALSE)</f>
        <v>#N/A</v>
      </c>
      <c r="U511" s="10" t="e">
        <f>VLOOKUP(AJ503,'FRC Site Data'!$B$3:$L$42,5,FALSE)</f>
        <v>#N/A</v>
      </c>
      <c r="V511" s="10" t="e">
        <f>VLOOKUP(AJ503,'FRC Site Data'!$B$3:$L$42,6,FALSE)</f>
        <v>#N/A</v>
      </c>
      <c r="W511" s="10" t="e">
        <f>VLOOKUP(AJ503,'FRC Site Data'!$B$3:$L$42,8,FALSE)</f>
        <v>#N/A</v>
      </c>
      <c r="X511" s="10" t="e">
        <f>VLOOKUP(AJ503,'FRC Site Data'!$B$3:$L$42,9,FALSE)</f>
        <v>#N/A</v>
      </c>
      <c r="Y511" s="10" t="e">
        <f>VLOOKUP(AJ503,'FRC Site Data'!$B$3:$L$42,10,FALSE)</f>
        <v>#N/A</v>
      </c>
      <c r="Z511" s="10" t="e">
        <f>VLOOKUP(AJ503,'FRC Site Data'!$B$3:$L$42,11,FALSE)</f>
        <v>#N/A</v>
      </c>
      <c r="AA511" s="10" t="e">
        <f>VLOOKUP(AJ503,'CIR Team Info'!$C$5:$E$44,4,FALSE)</f>
        <v>#N/A</v>
      </c>
      <c r="AB511" s="161" t="b">
        <f>ISNUMBER(VLOOKUP(AJ503,Match!$T$5:$T$10,1,FALSE))</f>
        <v>0</v>
      </c>
      <c r="AC511" s="161" t="b">
        <f>IF(AB511=TRUE,(VLOOKUP($AJ503,Match!$T$5:$U$10,2,FALSE)))</f>
        <v>0</v>
      </c>
      <c r="AD511" s="8">
        <v>3</v>
      </c>
      <c r="AE511" s="8">
        <v>2</v>
      </c>
      <c r="AF511" s="8">
        <v>2</v>
      </c>
      <c r="AG511" s="8">
        <v>1</v>
      </c>
      <c r="AH511" s="8" t="str">
        <f t="shared" si="154"/>
        <v/>
      </c>
      <c r="AI511" s="12"/>
      <c r="AZ511" s="12"/>
      <c r="BC511" s="12"/>
      <c r="BK511" s="12"/>
    </row>
    <row r="512" spans="1:63" x14ac:dyDescent="0.25">
      <c r="A512" s="29">
        <f t="shared" si="145"/>
        <v>0</v>
      </c>
      <c r="B512" s="29">
        <f t="shared" si="139"/>
        <v>0</v>
      </c>
      <c r="C512" s="29">
        <f t="shared" si="140"/>
        <v>0</v>
      </c>
      <c r="D512" s="29">
        <f t="shared" si="141"/>
        <v>0</v>
      </c>
      <c r="E512" s="29">
        <f t="shared" si="146"/>
        <v>0</v>
      </c>
      <c r="F512" s="29">
        <f t="shared" si="147"/>
        <v>0</v>
      </c>
      <c r="G512" s="29" t="str">
        <f t="shared" si="148"/>
        <v>offensive</v>
      </c>
      <c r="H512" s="16">
        <f t="shared" si="152"/>
        <v>0</v>
      </c>
      <c r="I512" s="16">
        <f t="shared" si="153"/>
        <v>0</v>
      </c>
      <c r="J512" s="16">
        <f t="shared" si="142"/>
        <v>0</v>
      </c>
      <c r="K512" s="16">
        <f t="shared" si="149"/>
        <v>0</v>
      </c>
      <c r="L512" s="67">
        <f t="shared" si="150"/>
        <v>0</v>
      </c>
      <c r="M512" s="4">
        <f t="shared" si="143"/>
        <v>0</v>
      </c>
      <c r="N512" s="4">
        <f t="shared" si="144"/>
        <v>0</v>
      </c>
      <c r="O512" s="4">
        <f t="shared" si="151"/>
        <v>0</v>
      </c>
      <c r="P512" s="4" t="e">
        <f>VLOOKUP(AJ504,'CIR Team Info'!$C$5:$E$44,2,FALSE)</f>
        <v>#N/A</v>
      </c>
      <c r="Q512" s="4" t="e">
        <f>VLOOKUP(AJ504,'CIR Team Info'!$C$5:$E$44,3,FALSE)</f>
        <v>#N/A</v>
      </c>
      <c r="R512" s="10" t="e">
        <f>VLOOKUP(AJ504,'FRC Site Data'!$B$3:$L$42,2,FALSE)</f>
        <v>#N/A</v>
      </c>
      <c r="S512" s="10" t="e">
        <f>VLOOKUP(AJ504,'FRC Site Data'!$B$3:$L$42,3,FALSE)</f>
        <v>#N/A</v>
      </c>
      <c r="T512" s="10" t="e">
        <f>VLOOKUP(AJ504,'FRC Site Data'!$B$3:$L$42,4,FALSE)</f>
        <v>#N/A</v>
      </c>
      <c r="U512" s="10" t="e">
        <f>VLOOKUP(AJ504,'FRC Site Data'!$B$3:$L$42,5,FALSE)</f>
        <v>#N/A</v>
      </c>
      <c r="V512" s="10" t="e">
        <f>VLOOKUP(AJ504,'FRC Site Data'!$B$3:$L$42,6,FALSE)</f>
        <v>#N/A</v>
      </c>
      <c r="W512" s="10" t="e">
        <f>VLOOKUP(AJ504,'FRC Site Data'!$B$3:$L$42,8,FALSE)</f>
        <v>#N/A</v>
      </c>
      <c r="X512" s="10" t="e">
        <f>VLOOKUP(AJ504,'FRC Site Data'!$B$3:$L$42,9,FALSE)</f>
        <v>#N/A</v>
      </c>
      <c r="Y512" s="10" t="e">
        <f>VLOOKUP(AJ504,'FRC Site Data'!$B$3:$L$42,10,FALSE)</f>
        <v>#N/A</v>
      </c>
      <c r="Z512" s="10" t="e">
        <f>VLOOKUP(AJ504,'FRC Site Data'!$B$3:$L$42,11,FALSE)</f>
        <v>#N/A</v>
      </c>
      <c r="AA512" s="10" t="e">
        <f>VLOOKUP(AJ504,'CIR Team Info'!$C$5:$E$44,4,FALSE)</f>
        <v>#N/A</v>
      </c>
      <c r="AB512" s="161" t="b">
        <f>ISNUMBER(VLOOKUP(AJ504,Match!$T$5:$T$10,1,FALSE))</f>
        <v>0</v>
      </c>
      <c r="AC512" s="161" t="b">
        <f>IF(AB512=TRUE,(VLOOKUP($AJ504,Match!$T$5:$U$10,2,FALSE)))</f>
        <v>0</v>
      </c>
      <c r="AD512" s="8">
        <v>3</v>
      </c>
      <c r="AE512" s="8">
        <v>2</v>
      </c>
      <c r="AF512" s="8">
        <v>2</v>
      </c>
      <c r="AG512" s="8">
        <v>1</v>
      </c>
      <c r="AH512" s="8" t="str">
        <f t="shared" si="154"/>
        <v/>
      </c>
      <c r="AI512" s="12"/>
      <c r="AZ512" s="12"/>
      <c r="BC512" s="12"/>
      <c r="BK512" s="12"/>
    </row>
    <row r="513" spans="1:63" x14ac:dyDescent="0.25">
      <c r="A513" s="29">
        <f t="shared" si="145"/>
        <v>0</v>
      </c>
      <c r="B513" s="29">
        <f t="shared" si="139"/>
        <v>0</v>
      </c>
      <c r="C513" s="29">
        <f t="shared" si="140"/>
        <v>0</v>
      </c>
      <c r="D513" s="29">
        <f t="shared" si="141"/>
        <v>0</v>
      </c>
      <c r="E513" s="29">
        <f t="shared" si="146"/>
        <v>0</v>
      </c>
      <c r="F513" s="29">
        <f t="shared" si="147"/>
        <v>0</v>
      </c>
      <c r="G513" s="29" t="str">
        <f t="shared" si="148"/>
        <v>offensive</v>
      </c>
      <c r="H513" s="16">
        <f t="shared" si="152"/>
        <v>0</v>
      </c>
      <c r="I513" s="16">
        <f t="shared" si="153"/>
        <v>0</v>
      </c>
      <c r="J513" s="16">
        <f t="shared" si="142"/>
        <v>0</v>
      </c>
      <c r="K513" s="16">
        <f t="shared" si="149"/>
        <v>0</v>
      </c>
      <c r="L513" s="67">
        <f t="shared" si="150"/>
        <v>0</v>
      </c>
      <c r="M513" s="4">
        <f t="shared" si="143"/>
        <v>0</v>
      </c>
      <c r="N513" s="4">
        <f t="shared" si="144"/>
        <v>0</v>
      </c>
      <c r="O513" s="4">
        <f t="shared" si="151"/>
        <v>0</v>
      </c>
      <c r="P513" s="4" t="e">
        <f>VLOOKUP(AJ505,'CIR Team Info'!$C$5:$E$44,2,FALSE)</f>
        <v>#N/A</v>
      </c>
      <c r="Q513" s="4" t="e">
        <f>VLOOKUP(AJ505,'CIR Team Info'!$C$5:$E$44,3,FALSE)</f>
        <v>#N/A</v>
      </c>
      <c r="R513" s="10" t="e">
        <f>VLOOKUP(AJ505,'FRC Site Data'!$B$3:$L$42,2,FALSE)</f>
        <v>#N/A</v>
      </c>
      <c r="S513" s="10" t="e">
        <f>VLOOKUP(AJ505,'FRC Site Data'!$B$3:$L$42,3,FALSE)</f>
        <v>#N/A</v>
      </c>
      <c r="T513" s="10" t="e">
        <f>VLOOKUP(AJ505,'FRC Site Data'!$B$3:$L$42,4,FALSE)</f>
        <v>#N/A</v>
      </c>
      <c r="U513" s="10" t="e">
        <f>VLOOKUP(AJ505,'FRC Site Data'!$B$3:$L$42,5,FALSE)</f>
        <v>#N/A</v>
      </c>
      <c r="V513" s="10" t="e">
        <f>VLOOKUP(AJ505,'FRC Site Data'!$B$3:$L$42,6,FALSE)</f>
        <v>#N/A</v>
      </c>
      <c r="W513" s="10" t="e">
        <f>VLOOKUP(AJ505,'FRC Site Data'!$B$3:$L$42,8,FALSE)</f>
        <v>#N/A</v>
      </c>
      <c r="X513" s="10" t="e">
        <f>VLOOKUP(AJ505,'FRC Site Data'!$B$3:$L$42,9,FALSE)</f>
        <v>#N/A</v>
      </c>
      <c r="Y513" s="10" t="e">
        <f>VLOOKUP(AJ505,'FRC Site Data'!$B$3:$L$42,10,FALSE)</f>
        <v>#N/A</v>
      </c>
      <c r="Z513" s="10" t="e">
        <f>VLOOKUP(AJ505,'FRC Site Data'!$B$3:$L$42,11,FALSE)</f>
        <v>#N/A</v>
      </c>
      <c r="AA513" s="10" t="e">
        <f>VLOOKUP(AJ505,'CIR Team Info'!$C$5:$E$44,4,FALSE)</f>
        <v>#N/A</v>
      </c>
      <c r="AB513" s="161" t="b">
        <f>ISNUMBER(VLOOKUP(AJ505,Match!$T$5:$T$10,1,FALSE))</f>
        <v>0</v>
      </c>
      <c r="AC513" s="161" t="b">
        <f>IF(AB513=TRUE,(VLOOKUP($AJ505,Match!$T$5:$U$10,2,FALSE)))</f>
        <v>0</v>
      </c>
      <c r="AD513" s="8">
        <v>3</v>
      </c>
      <c r="AE513" s="8">
        <v>2</v>
      </c>
      <c r="AF513" s="8">
        <v>2</v>
      </c>
      <c r="AG513" s="8">
        <v>1</v>
      </c>
      <c r="AH513" s="8" t="str">
        <f t="shared" si="154"/>
        <v/>
      </c>
      <c r="AI513" s="12"/>
      <c r="AZ513" s="12"/>
      <c r="BC513" s="12"/>
      <c r="BK513" s="12"/>
    </row>
    <row r="514" spans="1:63" x14ac:dyDescent="0.25">
      <c r="A514" s="29">
        <f t="shared" si="145"/>
        <v>0</v>
      </c>
      <c r="B514" s="29">
        <f t="shared" si="139"/>
        <v>0</v>
      </c>
      <c r="C514" s="29">
        <f t="shared" si="140"/>
        <v>0</v>
      </c>
      <c r="D514" s="29">
        <f t="shared" si="141"/>
        <v>0</v>
      </c>
      <c r="E514" s="29">
        <f t="shared" si="146"/>
        <v>0</v>
      </c>
      <c r="F514" s="29">
        <f t="shared" si="147"/>
        <v>0</v>
      </c>
      <c r="G514" s="29" t="str">
        <f t="shared" si="148"/>
        <v>offensive</v>
      </c>
      <c r="H514" s="16">
        <f t="shared" si="152"/>
        <v>0</v>
      </c>
      <c r="I514" s="16">
        <f t="shared" si="153"/>
        <v>0</v>
      </c>
      <c r="J514" s="16">
        <f t="shared" si="142"/>
        <v>0</v>
      </c>
      <c r="K514" s="16">
        <f t="shared" si="149"/>
        <v>0</v>
      </c>
      <c r="L514" s="67">
        <f t="shared" si="150"/>
        <v>0</v>
      </c>
      <c r="M514" s="4">
        <f t="shared" si="143"/>
        <v>0</v>
      </c>
      <c r="N514" s="4">
        <f t="shared" si="144"/>
        <v>0</v>
      </c>
      <c r="O514" s="4">
        <f t="shared" si="151"/>
        <v>0</v>
      </c>
      <c r="P514" s="4" t="e">
        <f>VLOOKUP(AJ506,'CIR Team Info'!$C$5:$E$44,2,FALSE)</f>
        <v>#N/A</v>
      </c>
      <c r="Q514" s="4" t="e">
        <f>VLOOKUP(AJ506,'CIR Team Info'!$C$5:$E$44,3,FALSE)</f>
        <v>#N/A</v>
      </c>
      <c r="R514" s="10" t="e">
        <f>VLOOKUP(AJ506,'FRC Site Data'!$B$3:$L$42,2,FALSE)</f>
        <v>#N/A</v>
      </c>
      <c r="S514" s="10" t="e">
        <f>VLOOKUP(AJ506,'FRC Site Data'!$B$3:$L$42,3,FALSE)</f>
        <v>#N/A</v>
      </c>
      <c r="T514" s="10" t="e">
        <f>VLOOKUP(AJ506,'FRC Site Data'!$B$3:$L$42,4,FALSE)</f>
        <v>#N/A</v>
      </c>
      <c r="U514" s="10" t="e">
        <f>VLOOKUP(AJ506,'FRC Site Data'!$B$3:$L$42,5,FALSE)</f>
        <v>#N/A</v>
      </c>
      <c r="V514" s="10" t="e">
        <f>VLOOKUP(AJ506,'FRC Site Data'!$B$3:$L$42,6,FALSE)</f>
        <v>#N/A</v>
      </c>
      <c r="W514" s="10" t="e">
        <f>VLOOKUP(AJ506,'FRC Site Data'!$B$3:$L$42,8,FALSE)</f>
        <v>#N/A</v>
      </c>
      <c r="X514" s="10" t="e">
        <f>VLOOKUP(AJ506,'FRC Site Data'!$B$3:$L$42,9,FALSE)</f>
        <v>#N/A</v>
      </c>
      <c r="Y514" s="10" t="e">
        <f>VLOOKUP(AJ506,'FRC Site Data'!$B$3:$L$42,10,FALSE)</f>
        <v>#N/A</v>
      </c>
      <c r="Z514" s="10" t="e">
        <f>VLOOKUP(AJ506,'FRC Site Data'!$B$3:$L$42,11,FALSE)</f>
        <v>#N/A</v>
      </c>
      <c r="AA514" s="10" t="e">
        <f>VLOOKUP(AJ506,'CIR Team Info'!$C$5:$E$44,4,FALSE)</f>
        <v>#N/A</v>
      </c>
      <c r="AB514" s="161" t="b">
        <f>ISNUMBER(VLOOKUP(AJ506,Match!$T$5:$T$10,1,FALSE))</f>
        <v>0</v>
      </c>
      <c r="AC514" s="161" t="b">
        <f>IF(AB514=TRUE,(VLOOKUP($AJ506,Match!$T$5:$U$10,2,FALSE)))</f>
        <v>0</v>
      </c>
      <c r="AD514" s="8">
        <v>3</v>
      </c>
      <c r="AE514" s="8">
        <v>2</v>
      </c>
      <c r="AF514" s="8">
        <v>2</v>
      </c>
      <c r="AG514" s="8">
        <v>1</v>
      </c>
      <c r="AH514" s="8" t="str">
        <f t="shared" si="154"/>
        <v/>
      </c>
      <c r="AI514" s="12"/>
      <c r="AZ514" s="12"/>
      <c r="BC514" s="12"/>
      <c r="BK514" s="12"/>
    </row>
    <row r="515" spans="1:63" x14ac:dyDescent="0.25">
      <c r="A515" s="29">
        <f t="shared" si="145"/>
        <v>0</v>
      </c>
      <c r="B515" s="29">
        <f t="shared" si="139"/>
        <v>0</v>
      </c>
      <c r="C515" s="29">
        <f t="shared" si="140"/>
        <v>0</v>
      </c>
      <c r="D515" s="29">
        <f t="shared" si="141"/>
        <v>0</v>
      </c>
      <c r="E515" s="29">
        <f t="shared" si="146"/>
        <v>0</v>
      </c>
      <c r="F515" s="29">
        <f t="shared" si="147"/>
        <v>0</v>
      </c>
      <c r="G515" s="29" t="str">
        <f t="shared" si="148"/>
        <v>offensive</v>
      </c>
      <c r="H515" s="16">
        <f t="shared" si="152"/>
        <v>0</v>
      </c>
      <c r="I515" s="16">
        <f t="shared" si="153"/>
        <v>0</v>
      </c>
      <c r="J515" s="16">
        <f t="shared" si="142"/>
        <v>0</v>
      </c>
      <c r="K515" s="16">
        <f t="shared" si="149"/>
        <v>0</v>
      </c>
      <c r="L515" s="67">
        <f t="shared" si="150"/>
        <v>0</v>
      </c>
      <c r="M515" s="4">
        <f t="shared" si="143"/>
        <v>0</v>
      </c>
      <c r="N515" s="4">
        <f t="shared" si="144"/>
        <v>0</v>
      </c>
      <c r="O515" s="4">
        <f t="shared" si="151"/>
        <v>0</v>
      </c>
      <c r="P515" s="4" t="e">
        <f>VLOOKUP(AJ507,'CIR Team Info'!$C$5:$E$44,2,FALSE)</f>
        <v>#N/A</v>
      </c>
      <c r="Q515" s="4" t="e">
        <f>VLOOKUP(AJ507,'CIR Team Info'!$C$5:$E$44,3,FALSE)</f>
        <v>#N/A</v>
      </c>
      <c r="R515" s="10" t="e">
        <f>VLOOKUP(AJ507,'FRC Site Data'!$B$3:$L$42,2,FALSE)</f>
        <v>#N/A</v>
      </c>
      <c r="S515" s="10" t="e">
        <f>VLOOKUP(AJ507,'FRC Site Data'!$B$3:$L$42,3,FALSE)</f>
        <v>#N/A</v>
      </c>
      <c r="T515" s="10" t="e">
        <f>VLOOKUP(AJ507,'FRC Site Data'!$B$3:$L$42,4,FALSE)</f>
        <v>#N/A</v>
      </c>
      <c r="U515" s="10" t="e">
        <f>VLOOKUP(AJ507,'FRC Site Data'!$B$3:$L$42,5,FALSE)</f>
        <v>#N/A</v>
      </c>
      <c r="V515" s="10" t="e">
        <f>VLOOKUP(AJ507,'FRC Site Data'!$B$3:$L$42,6,FALSE)</f>
        <v>#N/A</v>
      </c>
      <c r="W515" s="10" t="e">
        <f>VLOOKUP(AJ507,'FRC Site Data'!$B$3:$L$42,8,FALSE)</f>
        <v>#N/A</v>
      </c>
      <c r="X515" s="10" t="e">
        <f>VLOOKUP(AJ507,'FRC Site Data'!$B$3:$L$42,9,FALSE)</f>
        <v>#N/A</v>
      </c>
      <c r="Y515" s="10" t="e">
        <f>VLOOKUP(AJ507,'FRC Site Data'!$B$3:$L$42,10,FALSE)</f>
        <v>#N/A</v>
      </c>
      <c r="Z515" s="10" t="e">
        <f>VLOOKUP(AJ507,'FRC Site Data'!$B$3:$L$42,11,FALSE)</f>
        <v>#N/A</v>
      </c>
      <c r="AA515" s="10" t="e">
        <f>VLOOKUP(AJ507,'CIR Team Info'!$C$5:$E$44,4,FALSE)</f>
        <v>#N/A</v>
      </c>
      <c r="AB515" s="161" t="b">
        <f>ISNUMBER(VLOOKUP(AJ507,Match!$T$5:$T$10,1,FALSE))</f>
        <v>0</v>
      </c>
      <c r="AC515" s="161" t="b">
        <f>IF(AB515=TRUE,(VLOOKUP($AJ507,Match!$T$5:$U$10,2,FALSE)))</f>
        <v>0</v>
      </c>
      <c r="AD515" s="8">
        <v>3</v>
      </c>
      <c r="AE515" s="8">
        <v>2</v>
      </c>
      <c r="AF515" s="8">
        <v>2</v>
      </c>
      <c r="AG515" s="8">
        <v>1</v>
      </c>
      <c r="AH515" s="8" t="str">
        <f t="shared" si="154"/>
        <v/>
      </c>
      <c r="AI515" s="12"/>
      <c r="AZ515" s="12"/>
      <c r="BC515" s="12"/>
      <c r="BK515" s="12"/>
    </row>
    <row r="516" spans="1:63" x14ac:dyDescent="0.25">
      <c r="A516" s="29">
        <f t="shared" si="145"/>
        <v>0</v>
      </c>
      <c r="B516" s="29">
        <f t="shared" si="139"/>
        <v>0</v>
      </c>
      <c r="C516" s="29">
        <f t="shared" si="140"/>
        <v>0</v>
      </c>
      <c r="D516" s="29">
        <f t="shared" si="141"/>
        <v>0</v>
      </c>
      <c r="E516" s="29">
        <f t="shared" si="146"/>
        <v>0</v>
      </c>
      <c r="F516" s="29">
        <f t="shared" si="147"/>
        <v>0</v>
      </c>
      <c r="G516" s="29" t="str">
        <f t="shared" si="148"/>
        <v>offensive</v>
      </c>
      <c r="H516" s="16">
        <f t="shared" si="152"/>
        <v>0</v>
      </c>
      <c r="I516" s="16">
        <f t="shared" si="153"/>
        <v>0</v>
      </c>
      <c r="J516" s="16">
        <f t="shared" si="142"/>
        <v>0</v>
      </c>
      <c r="K516" s="16">
        <f t="shared" si="149"/>
        <v>0</v>
      </c>
      <c r="L516" s="67">
        <f t="shared" si="150"/>
        <v>0</v>
      </c>
      <c r="M516" s="4">
        <f t="shared" si="143"/>
        <v>0</v>
      </c>
      <c r="N516" s="4">
        <f t="shared" si="144"/>
        <v>0</v>
      </c>
      <c r="O516" s="4">
        <f t="shared" si="151"/>
        <v>0</v>
      </c>
      <c r="P516" s="4" t="e">
        <f>VLOOKUP(AJ508,'CIR Team Info'!$C$5:$E$44,2,FALSE)</f>
        <v>#N/A</v>
      </c>
      <c r="Q516" s="4" t="e">
        <f>VLOOKUP(AJ508,'CIR Team Info'!$C$5:$E$44,3,FALSE)</f>
        <v>#N/A</v>
      </c>
      <c r="R516" s="10" t="e">
        <f>VLOOKUP(AJ508,'FRC Site Data'!$B$3:$L$42,2,FALSE)</f>
        <v>#N/A</v>
      </c>
      <c r="S516" s="10" t="e">
        <f>VLOOKUP(AJ508,'FRC Site Data'!$B$3:$L$42,3,FALSE)</f>
        <v>#N/A</v>
      </c>
      <c r="T516" s="10" t="e">
        <f>VLOOKUP(AJ508,'FRC Site Data'!$B$3:$L$42,4,FALSE)</f>
        <v>#N/A</v>
      </c>
      <c r="U516" s="10" t="e">
        <f>VLOOKUP(AJ508,'FRC Site Data'!$B$3:$L$42,5,FALSE)</f>
        <v>#N/A</v>
      </c>
      <c r="V516" s="10" t="e">
        <f>VLOOKUP(AJ508,'FRC Site Data'!$B$3:$L$42,6,FALSE)</f>
        <v>#N/A</v>
      </c>
      <c r="W516" s="10" t="e">
        <f>VLOOKUP(AJ508,'FRC Site Data'!$B$3:$L$42,8,FALSE)</f>
        <v>#N/A</v>
      </c>
      <c r="X516" s="10" t="e">
        <f>VLOOKUP(AJ508,'FRC Site Data'!$B$3:$L$42,9,FALSE)</f>
        <v>#N/A</v>
      </c>
      <c r="Y516" s="10" t="e">
        <f>VLOOKUP(AJ508,'FRC Site Data'!$B$3:$L$42,10,FALSE)</f>
        <v>#N/A</v>
      </c>
      <c r="Z516" s="10" t="e">
        <f>VLOOKUP(AJ508,'FRC Site Data'!$B$3:$L$42,11,FALSE)</f>
        <v>#N/A</v>
      </c>
      <c r="AA516" s="10" t="e">
        <f>VLOOKUP(AJ508,'CIR Team Info'!$C$5:$E$44,4,FALSE)</f>
        <v>#N/A</v>
      </c>
      <c r="AB516" s="161" t="b">
        <f>ISNUMBER(VLOOKUP(AJ508,Match!$T$5:$T$10,1,FALSE))</f>
        <v>0</v>
      </c>
      <c r="AC516" s="161" t="b">
        <f>IF(AB516=TRUE,(VLOOKUP($AJ508,Match!$T$5:$U$10,2,FALSE)))</f>
        <v>0</v>
      </c>
      <c r="AD516" s="8">
        <v>3</v>
      </c>
      <c r="AE516" s="8">
        <v>2</v>
      </c>
      <c r="AF516" s="8">
        <v>2</v>
      </c>
      <c r="AG516" s="8">
        <v>1</v>
      </c>
      <c r="AH516" s="8" t="str">
        <f t="shared" si="154"/>
        <v/>
      </c>
      <c r="AI516" s="12"/>
      <c r="AZ516" s="12"/>
      <c r="BC516" s="12"/>
      <c r="BK516" s="12"/>
    </row>
    <row r="517" spans="1:63" x14ac:dyDescent="0.25">
      <c r="A517" s="29">
        <f t="shared" si="145"/>
        <v>0</v>
      </c>
      <c r="B517" s="29">
        <f t="shared" si="139"/>
        <v>0</v>
      </c>
      <c r="C517" s="29">
        <f t="shared" si="140"/>
        <v>0</v>
      </c>
      <c r="D517" s="29">
        <f t="shared" si="141"/>
        <v>0</v>
      </c>
      <c r="E517" s="29">
        <f t="shared" si="146"/>
        <v>0</v>
      </c>
      <c r="F517" s="29">
        <f t="shared" si="147"/>
        <v>0</v>
      </c>
      <c r="G517" s="29" t="str">
        <f t="shared" si="148"/>
        <v>offensive</v>
      </c>
      <c r="H517" s="16">
        <f t="shared" si="152"/>
        <v>0</v>
      </c>
      <c r="I517" s="16">
        <f t="shared" si="153"/>
        <v>0</v>
      </c>
      <c r="J517" s="16">
        <f t="shared" si="142"/>
        <v>0</v>
      </c>
      <c r="K517" s="16">
        <f t="shared" si="149"/>
        <v>0</v>
      </c>
      <c r="L517" s="67">
        <f t="shared" si="150"/>
        <v>0</v>
      </c>
      <c r="M517" s="4">
        <f t="shared" si="143"/>
        <v>0</v>
      </c>
      <c r="N517" s="4">
        <f t="shared" si="144"/>
        <v>0</v>
      </c>
      <c r="O517" s="4">
        <f t="shared" si="151"/>
        <v>0</v>
      </c>
      <c r="P517" s="4" t="e">
        <f>VLOOKUP(AJ509,'CIR Team Info'!$C$5:$E$44,2,FALSE)</f>
        <v>#N/A</v>
      </c>
      <c r="Q517" s="4" t="e">
        <f>VLOOKUP(AJ509,'CIR Team Info'!$C$5:$E$44,3,FALSE)</f>
        <v>#N/A</v>
      </c>
      <c r="R517" s="10" t="e">
        <f>VLOOKUP(AJ509,'FRC Site Data'!$B$3:$L$42,2,FALSE)</f>
        <v>#N/A</v>
      </c>
      <c r="S517" s="10" t="e">
        <f>VLOOKUP(AJ509,'FRC Site Data'!$B$3:$L$42,3,FALSE)</f>
        <v>#N/A</v>
      </c>
      <c r="T517" s="10" t="e">
        <f>VLOOKUP(AJ509,'FRC Site Data'!$B$3:$L$42,4,FALSE)</f>
        <v>#N/A</v>
      </c>
      <c r="U517" s="10" t="e">
        <f>VLOOKUP(AJ509,'FRC Site Data'!$B$3:$L$42,5,FALSE)</f>
        <v>#N/A</v>
      </c>
      <c r="V517" s="10" t="e">
        <f>VLOOKUP(AJ509,'FRC Site Data'!$B$3:$L$42,6,FALSE)</f>
        <v>#N/A</v>
      </c>
      <c r="W517" s="10" t="e">
        <f>VLOOKUP(AJ509,'FRC Site Data'!$B$3:$L$42,8,FALSE)</f>
        <v>#N/A</v>
      </c>
      <c r="X517" s="10" t="e">
        <f>VLOOKUP(AJ509,'FRC Site Data'!$B$3:$L$42,9,FALSE)</f>
        <v>#N/A</v>
      </c>
      <c r="Y517" s="10" t="e">
        <f>VLOOKUP(AJ509,'FRC Site Data'!$B$3:$L$42,10,FALSE)</f>
        <v>#N/A</v>
      </c>
      <c r="Z517" s="10" t="e">
        <f>VLOOKUP(AJ509,'FRC Site Data'!$B$3:$L$42,11,FALSE)</f>
        <v>#N/A</v>
      </c>
      <c r="AA517" s="10" t="e">
        <f>VLOOKUP(AJ509,'CIR Team Info'!$C$5:$E$44,4,FALSE)</f>
        <v>#N/A</v>
      </c>
      <c r="AB517" s="161" t="b">
        <f>ISNUMBER(VLOOKUP(AJ509,Match!$T$5:$T$10,1,FALSE))</f>
        <v>0</v>
      </c>
      <c r="AC517" s="161" t="b">
        <f>IF(AB517=TRUE,(VLOOKUP($AJ509,Match!$T$5:$U$10,2,FALSE)))</f>
        <v>0</v>
      </c>
      <c r="AD517" s="8">
        <v>3</v>
      </c>
      <c r="AE517" s="8">
        <v>2</v>
      </c>
      <c r="AF517" s="8">
        <v>2</v>
      </c>
      <c r="AG517" s="8">
        <v>1</v>
      </c>
      <c r="AH517" s="8" t="str">
        <f t="shared" si="154"/>
        <v/>
      </c>
      <c r="AI517" s="12"/>
      <c r="AZ517" s="12"/>
      <c r="BC517" s="12"/>
      <c r="BK517" s="12"/>
    </row>
    <row r="518" spans="1:63" x14ac:dyDescent="0.25">
      <c r="A518" s="29">
        <f t="shared" si="145"/>
        <v>0</v>
      </c>
      <c r="B518" s="29">
        <f t="shared" ref="B518:B581" si="155">H518*AD518*AO510</f>
        <v>0</v>
      </c>
      <c r="C518" s="29">
        <f t="shared" ref="C518:C581" si="156">I518*AE518*AV510</f>
        <v>0</v>
      </c>
      <c r="D518" s="29">
        <f t="shared" ref="D518:D581" si="157">J518*AF518*BF510</f>
        <v>0</v>
      </c>
      <c r="E518" s="29">
        <f t="shared" si="146"/>
        <v>0</v>
      </c>
      <c r="F518" s="29">
        <f t="shared" si="147"/>
        <v>0</v>
      </c>
      <c r="G518" s="29" t="str">
        <f t="shared" si="148"/>
        <v>offensive</v>
      </c>
      <c r="H518" s="16">
        <f t="shared" si="152"/>
        <v>0</v>
      </c>
      <c r="I518" s="16">
        <f t="shared" si="153"/>
        <v>0</v>
      </c>
      <c r="J518" s="16">
        <f t="shared" ref="J518:J581" si="158">IF(L518=0,0,BG510/L518)</f>
        <v>0</v>
      </c>
      <c r="K518" s="16">
        <f t="shared" si="149"/>
        <v>0</v>
      </c>
      <c r="L518" s="67">
        <f t="shared" si="150"/>
        <v>0</v>
      </c>
      <c r="M518" s="4">
        <f t="shared" ref="M518:M581" si="159">AO510+AV510+BD510+O518</f>
        <v>0</v>
      </c>
      <c r="N518" s="4">
        <f t="shared" si="144"/>
        <v>0</v>
      </c>
      <c r="O518" s="4">
        <f t="shared" si="151"/>
        <v>0</v>
      </c>
      <c r="P518" s="4" t="e">
        <f>VLOOKUP(AJ510,'CIR Team Info'!$C$5:$E$44,2,FALSE)</f>
        <v>#N/A</v>
      </c>
      <c r="Q518" s="4" t="e">
        <f>VLOOKUP(AJ510,'CIR Team Info'!$C$5:$E$44,3,FALSE)</f>
        <v>#N/A</v>
      </c>
      <c r="R518" s="10" t="e">
        <f>VLOOKUP(AJ510,'FRC Site Data'!$B$3:$L$42,2,FALSE)</f>
        <v>#N/A</v>
      </c>
      <c r="S518" s="10" t="e">
        <f>VLOOKUP(AJ510,'FRC Site Data'!$B$3:$L$42,3,FALSE)</f>
        <v>#N/A</v>
      </c>
      <c r="T518" s="10" t="e">
        <f>VLOOKUP(AJ510,'FRC Site Data'!$B$3:$L$42,4,FALSE)</f>
        <v>#N/A</v>
      </c>
      <c r="U518" s="10" t="e">
        <f>VLOOKUP(AJ510,'FRC Site Data'!$B$3:$L$42,5,FALSE)</f>
        <v>#N/A</v>
      </c>
      <c r="V518" s="10" t="e">
        <f>VLOOKUP(AJ510,'FRC Site Data'!$B$3:$L$42,6,FALSE)</f>
        <v>#N/A</v>
      </c>
      <c r="W518" s="10" t="e">
        <f>VLOOKUP(AJ510,'FRC Site Data'!$B$3:$L$42,8,FALSE)</f>
        <v>#N/A</v>
      </c>
      <c r="X518" s="10" t="e">
        <f>VLOOKUP(AJ510,'FRC Site Data'!$B$3:$L$42,9,FALSE)</f>
        <v>#N/A</v>
      </c>
      <c r="Y518" s="10" t="e">
        <f>VLOOKUP(AJ510,'FRC Site Data'!$B$3:$L$42,10,FALSE)</f>
        <v>#N/A</v>
      </c>
      <c r="Z518" s="10" t="e">
        <f>VLOOKUP(AJ510,'FRC Site Data'!$B$3:$L$42,11,FALSE)</f>
        <v>#N/A</v>
      </c>
      <c r="AA518" s="10" t="e">
        <f>VLOOKUP(AJ510,'CIR Team Info'!$C$5:$E$44,4,FALSE)</f>
        <v>#N/A</v>
      </c>
      <c r="AB518" s="161" t="b">
        <f>ISNUMBER(VLOOKUP(AJ510,Match!$T$5:$T$10,1,FALSE))</f>
        <v>0</v>
      </c>
      <c r="AC518" s="161" t="b">
        <f>IF(AB518=TRUE,(VLOOKUP($AJ510,Match!$T$5:$U$10,2,FALSE)))</f>
        <v>0</v>
      </c>
      <c r="AD518" s="8">
        <v>3</v>
      </c>
      <c r="AE518" s="8">
        <v>2</v>
      </c>
      <c r="AF518" s="8">
        <v>2</v>
      </c>
      <c r="AG518" s="8">
        <v>1</v>
      </c>
      <c r="AH518" s="8" t="str">
        <f t="shared" si="154"/>
        <v/>
      </c>
      <c r="AI518" s="12"/>
      <c r="AZ518" s="12"/>
      <c r="BC518" s="12"/>
      <c r="BK518" s="12"/>
    </row>
    <row r="519" spans="1:63" x14ac:dyDescent="0.25">
      <c r="A519" s="29">
        <f t="shared" si="145"/>
        <v>0</v>
      </c>
      <c r="B519" s="29">
        <f t="shared" si="155"/>
        <v>0</v>
      </c>
      <c r="C519" s="29">
        <f t="shared" si="156"/>
        <v>0</v>
      </c>
      <c r="D519" s="29">
        <f t="shared" si="157"/>
        <v>0</v>
      </c>
      <c r="E519" s="29">
        <f t="shared" si="146"/>
        <v>0</v>
      </c>
      <c r="F519" s="29">
        <f t="shared" si="147"/>
        <v>0</v>
      </c>
      <c r="G519" s="29" t="str">
        <f t="shared" si="148"/>
        <v>offensive</v>
      </c>
      <c r="H519" s="16">
        <f t="shared" si="152"/>
        <v>0</v>
      </c>
      <c r="I519" s="16">
        <f t="shared" si="153"/>
        <v>0</v>
      </c>
      <c r="J519" s="16">
        <f t="shared" si="158"/>
        <v>0</v>
      </c>
      <c r="K519" s="16">
        <f t="shared" si="149"/>
        <v>0</v>
      </c>
      <c r="L519" s="67">
        <f t="shared" si="150"/>
        <v>0</v>
      </c>
      <c r="M519" s="4">
        <f t="shared" si="159"/>
        <v>0</v>
      </c>
      <c r="N519" s="4">
        <f t="shared" si="144"/>
        <v>0</v>
      </c>
      <c r="O519" s="4">
        <f t="shared" si="151"/>
        <v>0</v>
      </c>
      <c r="P519" s="4" t="e">
        <f>VLOOKUP(AJ511,'CIR Team Info'!$C$5:$E$44,2,FALSE)</f>
        <v>#N/A</v>
      </c>
      <c r="Q519" s="4" t="e">
        <f>VLOOKUP(AJ511,'CIR Team Info'!$C$5:$E$44,3,FALSE)</f>
        <v>#N/A</v>
      </c>
      <c r="R519" s="10" t="e">
        <f>VLOOKUP(AJ511,'FRC Site Data'!$B$3:$L$42,2,FALSE)</f>
        <v>#N/A</v>
      </c>
      <c r="S519" s="10" t="e">
        <f>VLOOKUP(AJ511,'FRC Site Data'!$B$3:$L$42,3,FALSE)</f>
        <v>#N/A</v>
      </c>
      <c r="T519" s="10" t="e">
        <f>VLOOKUP(AJ511,'FRC Site Data'!$B$3:$L$42,4,FALSE)</f>
        <v>#N/A</v>
      </c>
      <c r="U519" s="10" t="e">
        <f>VLOOKUP(AJ511,'FRC Site Data'!$B$3:$L$42,5,FALSE)</f>
        <v>#N/A</v>
      </c>
      <c r="V519" s="10" t="e">
        <f>VLOOKUP(AJ511,'FRC Site Data'!$B$3:$L$42,6,FALSE)</f>
        <v>#N/A</v>
      </c>
      <c r="W519" s="10" t="e">
        <f>VLOOKUP(AJ511,'FRC Site Data'!$B$3:$L$42,8,FALSE)</f>
        <v>#N/A</v>
      </c>
      <c r="X519" s="10" t="e">
        <f>VLOOKUP(AJ511,'FRC Site Data'!$B$3:$L$42,9,FALSE)</f>
        <v>#N/A</v>
      </c>
      <c r="Y519" s="10" t="e">
        <f>VLOOKUP(AJ511,'FRC Site Data'!$B$3:$L$42,10,FALSE)</f>
        <v>#N/A</v>
      </c>
      <c r="Z519" s="10" t="e">
        <f>VLOOKUP(AJ511,'FRC Site Data'!$B$3:$L$42,11,FALSE)</f>
        <v>#N/A</v>
      </c>
      <c r="AA519" s="10" t="e">
        <f>VLOOKUP(AJ511,'CIR Team Info'!$C$5:$E$44,4,FALSE)</f>
        <v>#N/A</v>
      </c>
      <c r="AB519" s="161" t="b">
        <f>ISNUMBER(VLOOKUP(AJ511,Match!$T$5:$T$10,1,FALSE))</f>
        <v>0</v>
      </c>
      <c r="AC519" s="161" t="b">
        <f>IF(AB519=TRUE,(VLOOKUP($AJ511,Match!$T$5:$U$10,2,FALSE)))</f>
        <v>0</v>
      </c>
      <c r="AD519" s="8">
        <v>3</v>
      </c>
      <c r="AE519" s="8">
        <v>2</v>
      </c>
      <c r="AF519" s="8">
        <v>2</v>
      </c>
      <c r="AG519" s="8">
        <v>1</v>
      </c>
      <c r="AH519" s="8" t="str">
        <f t="shared" si="154"/>
        <v/>
      </c>
      <c r="AI519" s="12"/>
      <c r="AZ519" s="12"/>
      <c r="BC519" s="12"/>
      <c r="BK519" s="12"/>
    </row>
    <row r="520" spans="1:63" x14ac:dyDescent="0.25">
      <c r="A520" s="29">
        <f t="shared" si="145"/>
        <v>0</v>
      </c>
      <c r="B520" s="29">
        <f t="shared" si="155"/>
        <v>0</v>
      </c>
      <c r="C520" s="29">
        <f t="shared" si="156"/>
        <v>0</v>
      </c>
      <c r="D520" s="29">
        <f t="shared" si="157"/>
        <v>0</v>
      </c>
      <c r="E520" s="29">
        <f t="shared" si="146"/>
        <v>0</v>
      </c>
      <c r="F520" s="29">
        <f t="shared" si="147"/>
        <v>0</v>
      </c>
      <c r="G520" s="29" t="str">
        <f t="shared" si="148"/>
        <v>offensive</v>
      </c>
      <c r="H520" s="16">
        <f t="shared" si="152"/>
        <v>0</v>
      </c>
      <c r="I520" s="16">
        <f t="shared" si="153"/>
        <v>0</v>
      </c>
      <c r="J520" s="16">
        <f t="shared" si="158"/>
        <v>0</v>
      </c>
      <c r="K520" s="16">
        <f t="shared" si="149"/>
        <v>0</v>
      </c>
      <c r="L520" s="67">
        <f t="shared" si="150"/>
        <v>0</v>
      </c>
      <c r="M520" s="4">
        <f t="shared" si="159"/>
        <v>0</v>
      </c>
      <c r="N520" s="4">
        <f t="shared" si="144"/>
        <v>0</v>
      </c>
      <c r="O520" s="4">
        <f t="shared" si="151"/>
        <v>0</v>
      </c>
      <c r="P520" s="4" t="e">
        <f>VLOOKUP(AJ512,'CIR Team Info'!$C$5:$E$44,2,FALSE)</f>
        <v>#N/A</v>
      </c>
      <c r="Q520" s="4" t="e">
        <f>VLOOKUP(AJ512,'CIR Team Info'!$C$5:$E$44,3,FALSE)</f>
        <v>#N/A</v>
      </c>
      <c r="R520" s="10" t="e">
        <f>VLOOKUP(AJ512,'FRC Site Data'!$B$3:$L$42,2,FALSE)</f>
        <v>#N/A</v>
      </c>
      <c r="S520" s="10" t="e">
        <f>VLOOKUP(AJ512,'FRC Site Data'!$B$3:$L$42,3,FALSE)</f>
        <v>#N/A</v>
      </c>
      <c r="T520" s="10" t="e">
        <f>VLOOKUP(AJ512,'FRC Site Data'!$B$3:$L$42,4,FALSE)</f>
        <v>#N/A</v>
      </c>
      <c r="U520" s="10" t="e">
        <f>VLOOKUP(AJ512,'FRC Site Data'!$B$3:$L$42,5,FALSE)</f>
        <v>#N/A</v>
      </c>
      <c r="V520" s="10" t="e">
        <f>VLOOKUP(AJ512,'FRC Site Data'!$B$3:$L$42,6,FALSE)</f>
        <v>#N/A</v>
      </c>
      <c r="W520" s="10" t="e">
        <f>VLOOKUP(AJ512,'FRC Site Data'!$B$3:$L$42,8,FALSE)</f>
        <v>#N/A</v>
      </c>
      <c r="X520" s="10" t="e">
        <f>VLOOKUP(AJ512,'FRC Site Data'!$B$3:$L$42,9,FALSE)</f>
        <v>#N/A</v>
      </c>
      <c r="Y520" s="10" t="e">
        <f>VLOOKUP(AJ512,'FRC Site Data'!$B$3:$L$42,10,FALSE)</f>
        <v>#N/A</v>
      </c>
      <c r="Z520" s="10" t="e">
        <f>VLOOKUP(AJ512,'FRC Site Data'!$B$3:$L$42,11,FALSE)</f>
        <v>#N/A</v>
      </c>
      <c r="AA520" s="10" t="e">
        <f>VLOOKUP(AJ512,'CIR Team Info'!$C$5:$E$44,4,FALSE)</f>
        <v>#N/A</v>
      </c>
      <c r="AB520" s="161" t="b">
        <f>ISNUMBER(VLOOKUP(AJ512,Match!$T$5:$T$10,1,FALSE))</f>
        <v>0</v>
      </c>
      <c r="AC520" s="161" t="b">
        <f>IF(AB520=TRUE,(VLOOKUP($AJ512,Match!$T$5:$U$10,2,FALSE)))</f>
        <v>0</v>
      </c>
      <c r="AD520" s="8">
        <v>3</v>
      </c>
      <c r="AE520" s="8">
        <v>2</v>
      </c>
      <c r="AF520" s="8">
        <v>2</v>
      </c>
      <c r="AG520" s="8">
        <v>1</v>
      </c>
      <c r="AH520" s="8" t="str">
        <f t="shared" si="154"/>
        <v/>
      </c>
      <c r="AI520" s="12"/>
      <c r="AZ520" s="12"/>
      <c r="BC520" s="12"/>
      <c r="BK520" s="12"/>
    </row>
    <row r="521" spans="1:63" x14ac:dyDescent="0.25">
      <c r="A521" s="29">
        <f t="shared" si="145"/>
        <v>0</v>
      </c>
      <c r="B521" s="29">
        <f t="shared" si="155"/>
        <v>0</v>
      </c>
      <c r="C521" s="29">
        <f t="shared" si="156"/>
        <v>0</v>
      </c>
      <c r="D521" s="29">
        <f t="shared" si="157"/>
        <v>0</v>
      </c>
      <c r="E521" s="29">
        <f t="shared" si="146"/>
        <v>0</v>
      </c>
      <c r="F521" s="29">
        <f t="shared" si="147"/>
        <v>0</v>
      </c>
      <c r="G521" s="29" t="str">
        <f t="shared" si="148"/>
        <v>offensive</v>
      </c>
      <c r="H521" s="16">
        <f t="shared" si="152"/>
        <v>0</v>
      </c>
      <c r="I521" s="16">
        <f t="shared" si="153"/>
        <v>0</v>
      </c>
      <c r="J521" s="16">
        <f t="shared" si="158"/>
        <v>0</v>
      </c>
      <c r="K521" s="16">
        <f t="shared" si="149"/>
        <v>0</v>
      </c>
      <c r="L521" s="67">
        <f t="shared" si="150"/>
        <v>0</v>
      </c>
      <c r="M521" s="4">
        <f t="shared" si="159"/>
        <v>0</v>
      </c>
      <c r="N521" s="4">
        <f t="shared" si="144"/>
        <v>0</v>
      </c>
      <c r="O521" s="4">
        <f t="shared" si="151"/>
        <v>0</v>
      </c>
      <c r="P521" s="4" t="e">
        <f>VLOOKUP(AJ513,'CIR Team Info'!$C$5:$E$44,2,FALSE)</f>
        <v>#N/A</v>
      </c>
      <c r="Q521" s="4" t="e">
        <f>VLOOKUP(AJ513,'CIR Team Info'!$C$5:$E$44,3,FALSE)</f>
        <v>#N/A</v>
      </c>
      <c r="R521" s="10" t="e">
        <f>VLOOKUP(AJ513,'FRC Site Data'!$B$3:$L$42,2,FALSE)</f>
        <v>#N/A</v>
      </c>
      <c r="S521" s="10" t="e">
        <f>VLOOKUP(AJ513,'FRC Site Data'!$B$3:$L$42,3,FALSE)</f>
        <v>#N/A</v>
      </c>
      <c r="T521" s="10" t="e">
        <f>VLOOKUP(AJ513,'FRC Site Data'!$B$3:$L$42,4,FALSE)</f>
        <v>#N/A</v>
      </c>
      <c r="U521" s="10" t="e">
        <f>VLOOKUP(AJ513,'FRC Site Data'!$B$3:$L$42,5,FALSE)</f>
        <v>#N/A</v>
      </c>
      <c r="V521" s="10" t="e">
        <f>VLOOKUP(AJ513,'FRC Site Data'!$B$3:$L$42,6,FALSE)</f>
        <v>#N/A</v>
      </c>
      <c r="W521" s="10" t="e">
        <f>VLOOKUP(AJ513,'FRC Site Data'!$B$3:$L$42,8,FALSE)</f>
        <v>#N/A</v>
      </c>
      <c r="X521" s="10" t="e">
        <f>VLOOKUP(AJ513,'FRC Site Data'!$B$3:$L$42,9,FALSE)</f>
        <v>#N/A</v>
      </c>
      <c r="Y521" s="10" t="e">
        <f>VLOOKUP(AJ513,'FRC Site Data'!$B$3:$L$42,10,FALSE)</f>
        <v>#N/A</v>
      </c>
      <c r="Z521" s="10" t="e">
        <f>VLOOKUP(AJ513,'FRC Site Data'!$B$3:$L$42,11,FALSE)</f>
        <v>#N/A</v>
      </c>
      <c r="AA521" s="10" t="e">
        <f>VLOOKUP(AJ513,'CIR Team Info'!$C$5:$E$44,4,FALSE)</f>
        <v>#N/A</v>
      </c>
      <c r="AB521" s="161" t="b">
        <f>ISNUMBER(VLOOKUP(AJ513,Match!$T$5:$T$10,1,FALSE))</f>
        <v>0</v>
      </c>
      <c r="AC521" s="161" t="b">
        <f>IF(AB521=TRUE,(VLOOKUP($AJ513,Match!$T$5:$U$10,2,FALSE)))</f>
        <v>0</v>
      </c>
      <c r="AD521" s="8">
        <v>3</v>
      </c>
      <c r="AE521" s="8">
        <v>2</v>
      </c>
      <c r="AF521" s="8">
        <v>2</v>
      </c>
      <c r="AG521" s="8">
        <v>1</v>
      </c>
      <c r="AH521" s="8" t="str">
        <f t="shared" si="154"/>
        <v/>
      </c>
      <c r="AI521" s="12"/>
      <c r="AZ521" s="12"/>
      <c r="BC521" s="12"/>
      <c r="BK521" s="12"/>
    </row>
    <row r="522" spans="1:63" x14ac:dyDescent="0.25">
      <c r="A522" s="29">
        <f t="shared" si="145"/>
        <v>0</v>
      </c>
      <c r="B522" s="29">
        <f t="shared" si="155"/>
        <v>0</v>
      </c>
      <c r="C522" s="29">
        <f t="shared" si="156"/>
        <v>0</v>
      </c>
      <c r="D522" s="29">
        <f t="shared" si="157"/>
        <v>0</v>
      </c>
      <c r="E522" s="29">
        <f t="shared" si="146"/>
        <v>0</v>
      </c>
      <c r="F522" s="29">
        <f t="shared" si="147"/>
        <v>0</v>
      </c>
      <c r="G522" s="29" t="str">
        <f t="shared" si="148"/>
        <v>offensive</v>
      </c>
      <c r="H522" s="16">
        <f t="shared" si="152"/>
        <v>0</v>
      </c>
      <c r="I522" s="16">
        <f t="shared" si="153"/>
        <v>0</v>
      </c>
      <c r="J522" s="16">
        <f t="shared" si="158"/>
        <v>0</v>
      </c>
      <c r="K522" s="16">
        <f t="shared" si="149"/>
        <v>0</v>
      </c>
      <c r="L522" s="67">
        <f t="shared" si="150"/>
        <v>0</v>
      </c>
      <c r="M522" s="4">
        <f t="shared" si="159"/>
        <v>0</v>
      </c>
      <c r="N522" s="4">
        <f t="shared" si="144"/>
        <v>0</v>
      </c>
      <c r="O522" s="4">
        <f t="shared" si="151"/>
        <v>0</v>
      </c>
      <c r="P522" s="4" t="e">
        <f>VLOOKUP(AJ514,'CIR Team Info'!$C$5:$E$44,2,FALSE)</f>
        <v>#N/A</v>
      </c>
      <c r="Q522" s="4" t="e">
        <f>VLOOKUP(AJ514,'CIR Team Info'!$C$5:$E$44,3,FALSE)</f>
        <v>#N/A</v>
      </c>
      <c r="R522" s="10" t="e">
        <f>VLOOKUP(AJ514,'FRC Site Data'!$B$3:$L$42,2,FALSE)</f>
        <v>#N/A</v>
      </c>
      <c r="S522" s="10" t="e">
        <f>VLOOKUP(AJ514,'FRC Site Data'!$B$3:$L$42,3,FALSE)</f>
        <v>#N/A</v>
      </c>
      <c r="T522" s="10" t="e">
        <f>VLOOKUP(AJ514,'FRC Site Data'!$B$3:$L$42,4,FALSE)</f>
        <v>#N/A</v>
      </c>
      <c r="U522" s="10" t="e">
        <f>VLOOKUP(AJ514,'FRC Site Data'!$B$3:$L$42,5,FALSE)</f>
        <v>#N/A</v>
      </c>
      <c r="V522" s="10" t="e">
        <f>VLOOKUP(AJ514,'FRC Site Data'!$B$3:$L$42,6,FALSE)</f>
        <v>#N/A</v>
      </c>
      <c r="W522" s="10" t="e">
        <f>VLOOKUP(AJ514,'FRC Site Data'!$B$3:$L$42,8,FALSE)</f>
        <v>#N/A</v>
      </c>
      <c r="X522" s="10" t="e">
        <f>VLOOKUP(AJ514,'FRC Site Data'!$B$3:$L$42,9,FALSE)</f>
        <v>#N/A</v>
      </c>
      <c r="Y522" s="10" t="e">
        <f>VLOOKUP(AJ514,'FRC Site Data'!$B$3:$L$42,10,FALSE)</f>
        <v>#N/A</v>
      </c>
      <c r="Z522" s="10" t="e">
        <f>VLOOKUP(AJ514,'FRC Site Data'!$B$3:$L$42,11,FALSE)</f>
        <v>#N/A</v>
      </c>
      <c r="AA522" s="10" t="e">
        <f>VLOOKUP(AJ514,'CIR Team Info'!$C$5:$E$44,4,FALSE)</f>
        <v>#N/A</v>
      </c>
      <c r="AB522" s="161" t="b">
        <f>ISNUMBER(VLOOKUP(AJ514,Match!$T$5:$T$10,1,FALSE))</f>
        <v>0</v>
      </c>
      <c r="AC522" s="161" t="b">
        <f>IF(AB522=TRUE,(VLOOKUP($AJ514,Match!$T$5:$U$10,2,FALSE)))</f>
        <v>0</v>
      </c>
      <c r="AD522" s="8">
        <v>3</v>
      </c>
      <c r="AE522" s="8">
        <v>2</v>
      </c>
      <c r="AF522" s="8">
        <v>2</v>
      </c>
      <c r="AG522" s="8">
        <v>1</v>
      </c>
      <c r="AH522" s="8" t="str">
        <f t="shared" si="154"/>
        <v/>
      </c>
      <c r="AI522" s="12"/>
      <c r="AZ522" s="12"/>
      <c r="BC522" s="12"/>
      <c r="BK522" s="12"/>
    </row>
    <row r="523" spans="1:63" x14ac:dyDescent="0.25">
      <c r="A523" s="29">
        <f t="shared" si="145"/>
        <v>0</v>
      </c>
      <c r="B523" s="29">
        <f t="shared" si="155"/>
        <v>0</v>
      </c>
      <c r="C523" s="29">
        <f t="shared" si="156"/>
        <v>0</v>
      </c>
      <c r="D523" s="29">
        <f t="shared" si="157"/>
        <v>0</v>
      </c>
      <c r="E523" s="29">
        <f t="shared" si="146"/>
        <v>0</v>
      </c>
      <c r="F523" s="29">
        <f t="shared" si="147"/>
        <v>0</v>
      </c>
      <c r="G523" s="29" t="str">
        <f t="shared" si="148"/>
        <v>offensive</v>
      </c>
      <c r="H523" s="16">
        <f t="shared" si="152"/>
        <v>0</v>
      </c>
      <c r="I523" s="16">
        <f t="shared" si="153"/>
        <v>0</v>
      </c>
      <c r="J523" s="16">
        <f t="shared" si="158"/>
        <v>0</v>
      </c>
      <c r="K523" s="16">
        <f t="shared" si="149"/>
        <v>0</v>
      </c>
      <c r="L523" s="67">
        <f t="shared" si="150"/>
        <v>0</v>
      </c>
      <c r="M523" s="4">
        <f t="shared" si="159"/>
        <v>0</v>
      </c>
      <c r="N523" s="4">
        <f t="shared" ref="N523:N583" si="160">AO515+AV515+BD515</f>
        <v>0</v>
      </c>
      <c r="O523" s="4">
        <f t="shared" si="151"/>
        <v>0</v>
      </c>
      <c r="P523" s="4" t="e">
        <f>VLOOKUP(AJ515,'CIR Team Info'!$C$5:$E$44,2,FALSE)</f>
        <v>#N/A</v>
      </c>
      <c r="Q523" s="4" t="e">
        <f>VLOOKUP(AJ515,'CIR Team Info'!$C$5:$E$44,3,FALSE)</f>
        <v>#N/A</v>
      </c>
      <c r="R523" s="10" t="e">
        <f>VLOOKUP(AJ515,'FRC Site Data'!$B$3:$L$42,2,FALSE)</f>
        <v>#N/A</v>
      </c>
      <c r="S523" s="10" t="e">
        <f>VLOOKUP(AJ515,'FRC Site Data'!$B$3:$L$42,3,FALSE)</f>
        <v>#N/A</v>
      </c>
      <c r="T523" s="10" t="e">
        <f>VLOOKUP(AJ515,'FRC Site Data'!$B$3:$L$42,4,FALSE)</f>
        <v>#N/A</v>
      </c>
      <c r="U523" s="10" t="e">
        <f>VLOOKUP(AJ515,'FRC Site Data'!$B$3:$L$42,5,FALSE)</f>
        <v>#N/A</v>
      </c>
      <c r="V523" s="10" t="e">
        <f>VLOOKUP(AJ515,'FRC Site Data'!$B$3:$L$42,6,FALSE)</f>
        <v>#N/A</v>
      </c>
      <c r="W523" s="10" t="e">
        <f>VLOOKUP(AJ515,'FRC Site Data'!$B$3:$L$42,8,FALSE)</f>
        <v>#N/A</v>
      </c>
      <c r="X523" s="10" t="e">
        <f>VLOOKUP(AJ515,'FRC Site Data'!$B$3:$L$42,9,FALSE)</f>
        <v>#N/A</v>
      </c>
      <c r="Y523" s="10" t="e">
        <f>VLOOKUP(AJ515,'FRC Site Data'!$B$3:$L$42,10,FALSE)</f>
        <v>#N/A</v>
      </c>
      <c r="Z523" s="10" t="e">
        <f>VLOOKUP(AJ515,'FRC Site Data'!$B$3:$L$42,11,FALSE)</f>
        <v>#N/A</v>
      </c>
      <c r="AA523" s="10" t="e">
        <f>VLOOKUP(AJ515,'CIR Team Info'!$C$5:$E$44,4,FALSE)</f>
        <v>#N/A</v>
      </c>
      <c r="AB523" s="161" t="b">
        <f>ISNUMBER(VLOOKUP(AJ515,Match!$T$5:$T$10,1,FALSE))</f>
        <v>0</v>
      </c>
      <c r="AC523" s="161" t="b">
        <f>IF(AB523=TRUE,(VLOOKUP($AJ515,Match!$T$5:$U$10,2,FALSE)))</f>
        <v>0</v>
      </c>
      <c r="AD523" s="8">
        <v>3</v>
      </c>
      <c r="AE523" s="8">
        <v>2</v>
      </c>
      <c r="AF523" s="8">
        <v>2</v>
      </c>
      <c r="AG523" s="8">
        <v>1</v>
      </c>
      <c r="AH523" s="8" t="str">
        <f t="shared" si="154"/>
        <v/>
      </c>
      <c r="AI523" s="12"/>
      <c r="AZ523" s="12"/>
      <c r="BC523" s="12"/>
      <c r="BK523" s="12"/>
    </row>
    <row r="524" spans="1:63" x14ac:dyDescent="0.25">
      <c r="A524" s="29">
        <f t="shared" ref="A524:A584" si="161">SUM(B524:F524)</f>
        <v>0</v>
      </c>
      <c r="B524" s="29">
        <f t="shared" si="155"/>
        <v>0</v>
      </c>
      <c r="C524" s="29">
        <f t="shared" si="156"/>
        <v>0</v>
      </c>
      <c r="D524" s="29">
        <f t="shared" si="157"/>
        <v>0</v>
      </c>
      <c r="E524" s="29">
        <f t="shared" ref="E524:E584" si="162">K524*O524</f>
        <v>0</v>
      </c>
      <c r="F524" s="29">
        <f t="shared" ref="F524:F584" si="163">IF(AN516&gt;0,5)-2*COUNTIF(AQ516,"K")+5*COUNTIF(AS516,"T")+IF(AX516=3,2)+IF(AY516="T",2)</f>
        <v>0</v>
      </c>
      <c r="G524" s="29" t="str">
        <f t="shared" ref="G524:G584" si="164">IF((BB516+BC516)&gt;45,"defensive",IF((BB516+BC516)&gt;15,"both","offensive"))</f>
        <v>offensive</v>
      </c>
      <c r="H524" s="16">
        <f t="shared" si="152"/>
        <v>0</v>
      </c>
      <c r="I524" s="16">
        <f t="shared" si="153"/>
        <v>0</v>
      </c>
      <c r="J524" s="16">
        <f t="shared" si="158"/>
        <v>0</v>
      </c>
      <c r="K524" s="16">
        <f t="shared" ref="K524:K584" si="165">IF((BB516+BC516)=0,0,((AZ516*BB516*0.2)+(BA516*BC516*0.3))/(BB516+BC516))</f>
        <v>0</v>
      </c>
      <c r="L524" s="67">
        <f t="shared" ref="L524:L584" si="166">IF(BF516&gt;BG516,BF516,BG516)</f>
        <v>0</v>
      </c>
      <c r="M524" s="4">
        <f t="shared" si="159"/>
        <v>0</v>
      </c>
      <c r="N524" s="4">
        <f t="shared" si="160"/>
        <v>0</v>
      </c>
      <c r="O524" s="4">
        <f t="shared" ref="O524:O584" si="167">(AZ516*0.2*BB516*30/30)+(BA516*0.3*BC516*12/30)-BI516-BJ516</f>
        <v>0</v>
      </c>
      <c r="P524" s="4" t="e">
        <f>VLOOKUP(AJ516,'CIR Team Info'!$C$5:$E$44,2,FALSE)</f>
        <v>#N/A</v>
      </c>
      <c r="Q524" s="4" t="e">
        <f>VLOOKUP(AJ516,'CIR Team Info'!$C$5:$E$44,3,FALSE)</f>
        <v>#N/A</v>
      </c>
      <c r="R524" s="10" t="e">
        <f>VLOOKUP(AJ516,'FRC Site Data'!$B$3:$L$42,2,FALSE)</f>
        <v>#N/A</v>
      </c>
      <c r="S524" s="10" t="e">
        <f>VLOOKUP(AJ516,'FRC Site Data'!$B$3:$L$42,3,FALSE)</f>
        <v>#N/A</v>
      </c>
      <c r="T524" s="10" t="e">
        <f>VLOOKUP(AJ516,'FRC Site Data'!$B$3:$L$42,4,FALSE)</f>
        <v>#N/A</v>
      </c>
      <c r="U524" s="10" t="e">
        <f>VLOOKUP(AJ516,'FRC Site Data'!$B$3:$L$42,5,FALSE)</f>
        <v>#N/A</v>
      </c>
      <c r="V524" s="10" t="e">
        <f>VLOOKUP(AJ516,'FRC Site Data'!$B$3:$L$42,6,FALSE)</f>
        <v>#N/A</v>
      </c>
      <c r="W524" s="10" t="e">
        <f>VLOOKUP(AJ516,'FRC Site Data'!$B$3:$L$42,8,FALSE)</f>
        <v>#N/A</v>
      </c>
      <c r="X524" s="10" t="e">
        <f>VLOOKUP(AJ516,'FRC Site Data'!$B$3:$L$42,9,FALSE)</f>
        <v>#N/A</v>
      </c>
      <c r="Y524" s="10" t="e">
        <f>VLOOKUP(AJ516,'FRC Site Data'!$B$3:$L$42,10,FALSE)</f>
        <v>#N/A</v>
      </c>
      <c r="Z524" s="10" t="e">
        <f>VLOOKUP(AJ516,'FRC Site Data'!$B$3:$L$42,11,FALSE)</f>
        <v>#N/A</v>
      </c>
      <c r="AA524" s="10" t="e">
        <f>VLOOKUP(AJ516,'CIR Team Info'!$C$5:$E$44,4,FALSE)</f>
        <v>#N/A</v>
      </c>
      <c r="AB524" s="161" t="b">
        <f>ISNUMBER(VLOOKUP(AJ516,Match!$T$5:$T$10,1,FALSE))</f>
        <v>0</v>
      </c>
      <c r="AC524" s="161" t="b">
        <f>IF(AB524=TRUE,(VLOOKUP($AJ516,Match!$T$5:$U$10,2,FALSE)))</f>
        <v>0</v>
      </c>
      <c r="AD524" s="8">
        <v>3</v>
      </c>
      <c r="AE524" s="8">
        <v>2</v>
      </c>
      <c r="AF524" s="8">
        <v>2</v>
      </c>
      <c r="AG524" s="8">
        <v>1</v>
      </c>
      <c r="AH524" s="8" t="str">
        <f t="shared" si="154"/>
        <v/>
      </c>
      <c r="AI524" s="12"/>
      <c r="AZ524" s="12"/>
      <c r="BC524" s="12"/>
      <c r="BK524" s="12"/>
    </row>
    <row r="525" spans="1:63" x14ac:dyDescent="0.25">
      <c r="A525" s="29">
        <f t="shared" si="161"/>
        <v>0</v>
      </c>
      <c r="B525" s="29">
        <f t="shared" si="155"/>
        <v>0</v>
      </c>
      <c r="C525" s="29">
        <f t="shared" si="156"/>
        <v>0</v>
      </c>
      <c r="D525" s="29">
        <f t="shared" si="157"/>
        <v>0</v>
      </c>
      <c r="E525" s="29">
        <f t="shared" si="162"/>
        <v>0</v>
      </c>
      <c r="F525" s="29">
        <f t="shared" si="163"/>
        <v>0</v>
      </c>
      <c r="G525" s="29" t="str">
        <f t="shared" si="164"/>
        <v>offensive</v>
      </c>
      <c r="H525" s="16">
        <f t="shared" si="152"/>
        <v>0</v>
      </c>
      <c r="I525" s="16">
        <f t="shared" si="153"/>
        <v>0</v>
      </c>
      <c r="J525" s="16">
        <f t="shared" si="158"/>
        <v>0</v>
      </c>
      <c r="K525" s="16">
        <f t="shared" si="165"/>
        <v>0</v>
      </c>
      <c r="L525" s="67">
        <f t="shared" si="166"/>
        <v>0</v>
      </c>
      <c r="M525" s="4">
        <f t="shared" si="159"/>
        <v>0</v>
      </c>
      <c r="N525" s="4">
        <f t="shared" si="160"/>
        <v>0</v>
      </c>
      <c r="O525" s="4">
        <f t="shared" si="167"/>
        <v>0</v>
      </c>
      <c r="P525" s="4" t="e">
        <f>VLOOKUP(AJ517,'CIR Team Info'!$C$5:$E$44,2,FALSE)</f>
        <v>#N/A</v>
      </c>
      <c r="Q525" s="4" t="e">
        <f>VLOOKUP(AJ517,'CIR Team Info'!$C$5:$E$44,3,FALSE)</f>
        <v>#N/A</v>
      </c>
      <c r="R525" s="10" t="e">
        <f>VLOOKUP(AJ517,'FRC Site Data'!$B$3:$L$42,2,FALSE)</f>
        <v>#N/A</v>
      </c>
      <c r="S525" s="10" t="e">
        <f>VLOOKUP(AJ517,'FRC Site Data'!$B$3:$L$42,3,FALSE)</f>
        <v>#N/A</v>
      </c>
      <c r="T525" s="10" t="e">
        <f>VLOOKUP(AJ517,'FRC Site Data'!$B$3:$L$42,4,FALSE)</f>
        <v>#N/A</v>
      </c>
      <c r="U525" s="10" t="e">
        <f>VLOOKUP(AJ517,'FRC Site Data'!$B$3:$L$42,5,FALSE)</f>
        <v>#N/A</v>
      </c>
      <c r="V525" s="10" t="e">
        <f>VLOOKUP(AJ517,'FRC Site Data'!$B$3:$L$42,6,FALSE)</f>
        <v>#N/A</v>
      </c>
      <c r="W525" s="10" t="e">
        <f>VLOOKUP(AJ517,'FRC Site Data'!$B$3:$L$42,8,FALSE)</f>
        <v>#N/A</v>
      </c>
      <c r="X525" s="10" t="e">
        <f>VLOOKUP(AJ517,'FRC Site Data'!$B$3:$L$42,9,FALSE)</f>
        <v>#N/A</v>
      </c>
      <c r="Y525" s="10" t="e">
        <f>VLOOKUP(AJ517,'FRC Site Data'!$B$3:$L$42,10,FALSE)</f>
        <v>#N/A</v>
      </c>
      <c r="Z525" s="10" t="e">
        <f>VLOOKUP(AJ517,'FRC Site Data'!$B$3:$L$42,11,FALSE)</f>
        <v>#N/A</v>
      </c>
      <c r="AA525" s="10" t="e">
        <f>VLOOKUP(AJ517,'CIR Team Info'!$C$5:$E$44,4,FALSE)</f>
        <v>#N/A</v>
      </c>
      <c r="AB525" s="161" t="b">
        <f>ISNUMBER(VLOOKUP(AJ517,Match!$T$5:$T$10,1,FALSE))</f>
        <v>0</v>
      </c>
      <c r="AC525" s="161" t="b">
        <f>IF(AB525=TRUE,(VLOOKUP($AJ517,Match!$T$5:$U$10,2,FALSE)))</f>
        <v>0</v>
      </c>
      <c r="AD525" s="8">
        <v>3</v>
      </c>
      <c r="AE525" s="8">
        <v>2</v>
      </c>
      <c r="AF525" s="8">
        <v>2</v>
      </c>
      <c r="AG525" s="8">
        <v>1</v>
      </c>
      <c r="AH525" s="8" t="str">
        <f t="shared" si="154"/>
        <v/>
      </c>
      <c r="AI525" s="12"/>
      <c r="AZ525" s="12"/>
      <c r="BC525" s="12"/>
      <c r="BK525" s="12"/>
    </row>
    <row r="526" spans="1:63" x14ac:dyDescent="0.25">
      <c r="A526" s="29">
        <f t="shared" si="161"/>
        <v>0</v>
      </c>
      <c r="B526" s="29">
        <f t="shared" si="155"/>
        <v>0</v>
      </c>
      <c r="C526" s="29">
        <f t="shared" si="156"/>
        <v>0</v>
      </c>
      <c r="D526" s="29">
        <f t="shared" si="157"/>
        <v>0</v>
      </c>
      <c r="E526" s="29">
        <f t="shared" si="162"/>
        <v>0</v>
      </c>
      <c r="F526" s="29">
        <f t="shared" si="163"/>
        <v>0</v>
      </c>
      <c r="G526" s="29" t="str">
        <f t="shared" si="164"/>
        <v>offensive</v>
      </c>
      <c r="H526" s="16">
        <f t="shared" si="152"/>
        <v>0</v>
      </c>
      <c r="I526" s="16">
        <f t="shared" si="153"/>
        <v>0</v>
      </c>
      <c r="J526" s="16">
        <f t="shared" si="158"/>
        <v>0</v>
      </c>
      <c r="K526" s="16">
        <f t="shared" si="165"/>
        <v>0</v>
      </c>
      <c r="L526" s="67">
        <f t="shared" si="166"/>
        <v>0</v>
      </c>
      <c r="M526" s="4">
        <f t="shared" si="159"/>
        <v>0</v>
      </c>
      <c r="N526" s="4">
        <f t="shared" si="160"/>
        <v>0</v>
      </c>
      <c r="O526" s="4">
        <f t="shared" si="167"/>
        <v>0</v>
      </c>
      <c r="P526" s="4" t="e">
        <f>VLOOKUP(AJ518,'CIR Team Info'!$C$5:$E$44,2,FALSE)</f>
        <v>#N/A</v>
      </c>
      <c r="Q526" s="4" t="e">
        <f>VLOOKUP(AJ518,'CIR Team Info'!$C$5:$E$44,3,FALSE)</f>
        <v>#N/A</v>
      </c>
      <c r="R526" s="10" t="e">
        <f>VLOOKUP(AJ518,'FRC Site Data'!$B$3:$L$42,2,FALSE)</f>
        <v>#N/A</v>
      </c>
      <c r="S526" s="10" t="e">
        <f>VLOOKUP(AJ518,'FRC Site Data'!$B$3:$L$42,3,FALSE)</f>
        <v>#N/A</v>
      </c>
      <c r="T526" s="10" t="e">
        <f>VLOOKUP(AJ518,'FRC Site Data'!$B$3:$L$42,4,FALSE)</f>
        <v>#N/A</v>
      </c>
      <c r="U526" s="10" t="e">
        <f>VLOOKUP(AJ518,'FRC Site Data'!$B$3:$L$42,5,FALSE)</f>
        <v>#N/A</v>
      </c>
      <c r="V526" s="10" t="e">
        <f>VLOOKUP(AJ518,'FRC Site Data'!$B$3:$L$42,6,FALSE)</f>
        <v>#N/A</v>
      </c>
      <c r="W526" s="10" t="e">
        <f>VLOOKUP(AJ518,'FRC Site Data'!$B$3:$L$42,8,FALSE)</f>
        <v>#N/A</v>
      </c>
      <c r="X526" s="10" t="e">
        <f>VLOOKUP(AJ518,'FRC Site Data'!$B$3:$L$42,9,FALSE)</f>
        <v>#N/A</v>
      </c>
      <c r="Y526" s="10" t="e">
        <f>VLOOKUP(AJ518,'FRC Site Data'!$B$3:$L$42,10,FALSE)</f>
        <v>#N/A</v>
      </c>
      <c r="Z526" s="10" t="e">
        <f>VLOOKUP(AJ518,'FRC Site Data'!$B$3:$L$42,11,FALSE)</f>
        <v>#N/A</v>
      </c>
      <c r="AA526" s="10" t="e">
        <f>VLOOKUP(AJ518,'CIR Team Info'!$C$5:$E$44,4,FALSE)</f>
        <v>#N/A</v>
      </c>
      <c r="AB526" s="161" t="b">
        <f>ISNUMBER(VLOOKUP(AJ518,Match!$T$5:$T$10,1,FALSE))</f>
        <v>0</v>
      </c>
      <c r="AC526" s="161" t="b">
        <f>IF(AB526=TRUE,(VLOOKUP($AJ518,Match!$T$5:$U$10,2,FALSE)))</f>
        <v>0</v>
      </c>
      <c r="AD526" s="8">
        <v>3</v>
      </c>
      <c r="AE526" s="8">
        <v>2</v>
      </c>
      <c r="AF526" s="8">
        <v>2</v>
      </c>
      <c r="AG526" s="8">
        <v>1</v>
      </c>
      <c r="AH526" s="8" t="str">
        <f t="shared" si="154"/>
        <v/>
      </c>
      <c r="AI526" s="12"/>
      <c r="AZ526" s="12"/>
      <c r="BC526" s="12"/>
      <c r="BK526" s="12"/>
    </row>
    <row r="527" spans="1:63" x14ac:dyDescent="0.25">
      <c r="A527" s="29">
        <f t="shared" si="161"/>
        <v>0</v>
      </c>
      <c r="B527" s="29">
        <f t="shared" si="155"/>
        <v>0</v>
      </c>
      <c r="C527" s="29">
        <f t="shared" si="156"/>
        <v>0</v>
      </c>
      <c r="D527" s="29">
        <f t="shared" si="157"/>
        <v>0</v>
      </c>
      <c r="E527" s="29">
        <f t="shared" si="162"/>
        <v>0</v>
      </c>
      <c r="F527" s="29">
        <f t="shared" si="163"/>
        <v>0</v>
      </c>
      <c r="G527" s="29" t="str">
        <f t="shared" si="164"/>
        <v>offensive</v>
      </c>
      <c r="H527" s="16">
        <f t="shared" si="152"/>
        <v>0</v>
      </c>
      <c r="I527" s="16">
        <f t="shared" si="153"/>
        <v>0</v>
      </c>
      <c r="J527" s="16">
        <f t="shared" si="158"/>
        <v>0</v>
      </c>
      <c r="K527" s="16">
        <f t="shared" si="165"/>
        <v>0</v>
      </c>
      <c r="L527" s="67">
        <f t="shared" si="166"/>
        <v>0</v>
      </c>
      <c r="M527" s="4">
        <f t="shared" si="159"/>
        <v>0</v>
      </c>
      <c r="N527" s="4">
        <f t="shared" si="160"/>
        <v>0</v>
      </c>
      <c r="O527" s="4">
        <f t="shared" si="167"/>
        <v>0</v>
      </c>
      <c r="P527" s="4" t="e">
        <f>VLOOKUP(AJ519,'CIR Team Info'!$C$5:$E$44,2,FALSE)</f>
        <v>#N/A</v>
      </c>
      <c r="Q527" s="4" t="e">
        <f>VLOOKUP(AJ519,'CIR Team Info'!$C$5:$E$44,3,FALSE)</f>
        <v>#N/A</v>
      </c>
      <c r="R527" s="10" t="e">
        <f>VLOOKUP(AJ519,'FRC Site Data'!$B$3:$L$42,2,FALSE)</f>
        <v>#N/A</v>
      </c>
      <c r="S527" s="10" t="e">
        <f>VLOOKUP(AJ519,'FRC Site Data'!$B$3:$L$42,3,FALSE)</f>
        <v>#N/A</v>
      </c>
      <c r="T527" s="10" t="e">
        <f>VLOOKUP(AJ519,'FRC Site Data'!$B$3:$L$42,4,FALSE)</f>
        <v>#N/A</v>
      </c>
      <c r="U527" s="10" t="e">
        <f>VLOOKUP(AJ519,'FRC Site Data'!$B$3:$L$42,5,FALSE)</f>
        <v>#N/A</v>
      </c>
      <c r="V527" s="10" t="e">
        <f>VLOOKUP(AJ519,'FRC Site Data'!$B$3:$L$42,6,FALSE)</f>
        <v>#N/A</v>
      </c>
      <c r="W527" s="10" t="e">
        <f>VLOOKUP(AJ519,'FRC Site Data'!$B$3:$L$42,8,FALSE)</f>
        <v>#N/A</v>
      </c>
      <c r="X527" s="10" t="e">
        <f>VLOOKUP(AJ519,'FRC Site Data'!$B$3:$L$42,9,FALSE)</f>
        <v>#N/A</v>
      </c>
      <c r="Y527" s="10" t="e">
        <f>VLOOKUP(AJ519,'FRC Site Data'!$B$3:$L$42,10,FALSE)</f>
        <v>#N/A</v>
      </c>
      <c r="Z527" s="10" t="e">
        <f>VLOOKUP(AJ519,'FRC Site Data'!$B$3:$L$42,11,FALSE)</f>
        <v>#N/A</v>
      </c>
      <c r="AA527" s="10" t="e">
        <f>VLOOKUP(AJ519,'CIR Team Info'!$C$5:$E$44,4,FALSE)</f>
        <v>#N/A</v>
      </c>
      <c r="AB527" s="161" t="b">
        <f>ISNUMBER(VLOOKUP(AJ519,Match!$T$5:$T$10,1,FALSE))</f>
        <v>0</v>
      </c>
      <c r="AC527" s="161" t="b">
        <f>IF(AB527=TRUE,(VLOOKUP($AJ519,Match!$T$5:$U$10,2,FALSE)))</f>
        <v>0</v>
      </c>
      <c r="AD527" s="8">
        <v>3</v>
      </c>
      <c r="AE527" s="8">
        <v>2</v>
      </c>
      <c r="AF527" s="8">
        <v>2</v>
      </c>
      <c r="AG527" s="8">
        <v>1</v>
      </c>
      <c r="AH527" s="8" t="str">
        <f t="shared" si="154"/>
        <v/>
      </c>
      <c r="AI527" s="12"/>
      <c r="AZ527" s="12"/>
      <c r="BC527" s="12"/>
      <c r="BK527" s="12"/>
    </row>
    <row r="528" spans="1:63" x14ac:dyDescent="0.25">
      <c r="A528" s="29">
        <f t="shared" si="161"/>
        <v>0</v>
      </c>
      <c r="B528" s="29">
        <f t="shared" si="155"/>
        <v>0</v>
      </c>
      <c r="C528" s="29">
        <f t="shared" si="156"/>
        <v>0</v>
      </c>
      <c r="D528" s="29">
        <f t="shared" si="157"/>
        <v>0</v>
      </c>
      <c r="E528" s="29">
        <f t="shared" si="162"/>
        <v>0</v>
      </c>
      <c r="F528" s="29">
        <f t="shared" si="163"/>
        <v>0</v>
      </c>
      <c r="G528" s="29" t="str">
        <f t="shared" si="164"/>
        <v>offensive</v>
      </c>
      <c r="H528" s="16">
        <f t="shared" si="152"/>
        <v>0</v>
      </c>
      <c r="I528" s="16">
        <f t="shared" si="153"/>
        <v>0</v>
      </c>
      <c r="J528" s="16">
        <f t="shared" si="158"/>
        <v>0</v>
      </c>
      <c r="K528" s="16">
        <f t="shared" si="165"/>
        <v>0</v>
      </c>
      <c r="L528" s="67">
        <f t="shared" si="166"/>
        <v>0</v>
      </c>
      <c r="M528" s="4">
        <f t="shared" si="159"/>
        <v>0</v>
      </c>
      <c r="N528" s="4">
        <f t="shared" si="160"/>
        <v>0</v>
      </c>
      <c r="O528" s="4">
        <f t="shared" si="167"/>
        <v>0</v>
      </c>
      <c r="P528" s="4" t="e">
        <f>VLOOKUP(AJ520,'CIR Team Info'!$C$5:$E$44,2,FALSE)</f>
        <v>#N/A</v>
      </c>
      <c r="Q528" s="4" t="e">
        <f>VLOOKUP(AJ520,'CIR Team Info'!$C$5:$E$44,3,FALSE)</f>
        <v>#N/A</v>
      </c>
      <c r="R528" s="10" t="e">
        <f>VLOOKUP(AJ520,'FRC Site Data'!$B$3:$L$42,2,FALSE)</f>
        <v>#N/A</v>
      </c>
      <c r="S528" s="10" t="e">
        <f>VLOOKUP(AJ520,'FRC Site Data'!$B$3:$L$42,3,FALSE)</f>
        <v>#N/A</v>
      </c>
      <c r="T528" s="10" t="e">
        <f>VLOOKUP(AJ520,'FRC Site Data'!$B$3:$L$42,4,FALSE)</f>
        <v>#N/A</v>
      </c>
      <c r="U528" s="10" t="e">
        <f>VLOOKUP(AJ520,'FRC Site Data'!$B$3:$L$42,5,FALSE)</f>
        <v>#N/A</v>
      </c>
      <c r="V528" s="10" t="e">
        <f>VLOOKUP(AJ520,'FRC Site Data'!$B$3:$L$42,6,FALSE)</f>
        <v>#N/A</v>
      </c>
      <c r="W528" s="10" t="e">
        <f>VLOOKUP(AJ520,'FRC Site Data'!$B$3:$L$42,8,FALSE)</f>
        <v>#N/A</v>
      </c>
      <c r="X528" s="10" t="e">
        <f>VLOOKUP(AJ520,'FRC Site Data'!$B$3:$L$42,9,FALSE)</f>
        <v>#N/A</v>
      </c>
      <c r="Y528" s="10" t="e">
        <f>VLOOKUP(AJ520,'FRC Site Data'!$B$3:$L$42,10,FALSE)</f>
        <v>#N/A</v>
      </c>
      <c r="Z528" s="10" t="e">
        <f>VLOOKUP(AJ520,'FRC Site Data'!$B$3:$L$42,11,FALSE)</f>
        <v>#N/A</v>
      </c>
      <c r="AA528" s="10" t="e">
        <f>VLOOKUP(AJ520,'CIR Team Info'!$C$5:$E$44,4,FALSE)</f>
        <v>#N/A</v>
      </c>
      <c r="AB528" s="161" t="b">
        <f>ISNUMBER(VLOOKUP(AJ520,Match!$T$5:$T$10,1,FALSE))</f>
        <v>0</v>
      </c>
      <c r="AC528" s="161" t="b">
        <f>IF(AB528=TRUE,(VLOOKUP($AJ520,Match!$T$5:$U$10,2,FALSE)))</f>
        <v>0</v>
      </c>
      <c r="AD528" s="8">
        <v>3</v>
      </c>
      <c r="AE528" s="8">
        <v>2</v>
      </c>
      <c r="AF528" s="8">
        <v>2</v>
      </c>
      <c r="AG528" s="8">
        <v>1</v>
      </c>
      <c r="AH528" s="8" t="str">
        <f t="shared" si="154"/>
        <v/>
      </c>
      <c r="AI528" s="12"/>
      <c r="AZ528" s="12"/>
      <c r="BC528" s="12"/>
      <c r="BK528" s="12"/>
    </row>
    <row r="529" spans="1:63" x14ac:dyDescent="0.25">
      <c r="A529" s="29">
        <f t="shared" si="161"/>
        <v>0</v>
      </c>
      <c r="B529" s="29">
        <f t="shared" si="155"/>
        <v>0</v>
      </c>
      <c r="C529" s="29">
        <f t="shared" si="156"/>
        <v>0</v>
      </c>
      <c r="D529" s="29">
        <f t="shared" si="157"/>
        <v>0</v>
      </c>
      <c r="E529" s="29">
        <f t="shared" si="162"/>
        <v>0</v>
      </c>
      <c r="F529" s="29">
        <f t="shared" si="163"/>
        <v>0</v>
      </c>
      <c r="G529" s="29" t="str">
        <f t="shared" si="164"/>
        <v>offensive</v>
      </c>
      <c r="H529" s="16">
        <f t="shared" si="152"/>
        <v>0</v>
      </c>
      <c r="I529" s="16">
        <f t="shared" si="153"/>
        <v>0</v>
      </c>
      <c r="J529" s="16">
        <f t="shared" si="158"/>
        <v>0</v>
      </c>
      <c r="K529" s="16">
        <f t="shared" si="165"/>
        <v>0</v>
      </c>
      <c r="L529" s="67">
        <f t="shared" si="166"/>
        <v>0</v>
      </c>
      <c r="M529" s="4">
        <f t="shared" si="159"/>
        <v>0</v>
      </c>
      <c r="N529" s="4">
        <f t="shared" si="160"/>
        <v>0</v>
      </c>
      <c r="O529" s="4">
        <f t="shared" si="167"/>
        <v>0</v>
      </c>
      <c r="P529" s="4" t="e">
        <f>VLOOKUP(AJ521,'CIR Team Info'!$C$5:$E$44,2,FALSE)</f>
        <v>#N/A</v>
      </c>
      <c r="Q529" s="4" t="e">
        <f>VLOOKUP(AJ521,'CIR Team Info'!$C$5:$E$44,3,FALSE)</f>
        <v>#N/A</v>
      </c>
      <c r="R529" s="10" t="e">
        <f>VLOOKUP(AJ521,'FRC Site Data'!$B$3:$L$42,2,FALSE)</f>
        <v>#N/A</v>
      </c>
      <c r="S529" s="10" t="e">
        <f>VLOOKUP(AJ521,'FRC Site Data'!$B$3:$L$42,3,FALSE)</f>
        <v>#N/A</v>
      </c>
      <c r="T529" s="10" t="e">
        <f>VLOOKUP(AJ521,'FRC Site Data'!$B$3:$L$42,4,FALSE)</f>
        <v>#N/A</v>
      </c>
      <c r="U529" s="10" t="e">
        <f>VLOOKUP(AJ521,'FRC Site Data'!$B$3:$L$42,5,FALSE)</f>
        <v>#N/A</v>
      </c>
      <c r="V529" s="10" t="e">
        <f>VLOOKUP(AJ521,'FRC Site Data'!$B$3:$L$42,6,FALSE)</f>
        <v>#N/A</v>
      </c>
      <c r="W529" s="10" t="e">
        <f>VLOOKUP(AJ521,'FRC Site Data'!$B$3:$L$42,8,FALSE)</f>
        <v>#N/A</v>
      </c>
      <c r="X529" s="10" t="e">
        <f>VLOOKUP(AJ521,'FRC Site Data'!$B$3:$L$42,9,FALSE)</f>
        <v>#N/A</v>
      </c>
      <c r="Y529" s="10" t="e">
        <f>VLOOKUP(AJ521,'FRC Site Data'!$B$3:$L$42,10,FALSE)</f>
        <v>#N/A</v>
      </c>
      <c r="Z529" s="10" t="e">
        <f>VLOOKUP(AJ521,'FRC Site Data'!$B$3:$L$42,11,FALSE)</f>
        <v>#N/A</v>
      </c>
      <c r="AA529" s="10" t="e">
        <f>VLOOKUP(AJ521,'CIR Team Info'!$C$5:$E$44,4,FALSE)</f>
        <v>#N/A</v>
      </c>
      <c r="AB529" s="161" t="b">
        <f>ISNUMBER(VLOOKUP(AJ521,Match!$T$5:$T$10,1,FALSE))</f>
        <v>0</v>
      </c>
      <c r="AC529" s="161" t="b">
        <f>IF(AB529=TRUE,(VLOOKUP($AJ521,Match!$T$5:$U$10,2,FALSE)))</f>
        <v>0</v>
      </c>
      <c r="AD529" s="8">
        <v>3</v>
      </c>
      <c r="AE529" s="8">
        <v>2</v>
      </c>
      <c r="AF529" s="8">
        <v>2</v>
      </c>
      <c r="AG529" s="8">
        <v>1</v>
      </c>
      <c r="AH529" s="8" t="str">
        <f t="shared" si="154"/>
        <v/>
      </c>
      <c r="AI529" s="12"/>
      <c r="AZ529" s="12"/>
      <c r="BC529" s="12"/>
      <c r="BK529" s="12"/>
    </row>
    <row r="530" spans="1:63" x14ac:dyDescent="0.25">
      <c r="A530" s="29">
        <f t="shared" si="161"/>
        <v>0</v>
      </c>
      <c r="B530" s="29">
        <f t="shared" si="155"/>
        <v>0</v>
      </c>
      <c r="C530" s="29">
        <f t="shared" si="156"/>
        <v>0</v>
      </c>
      <c r="D530" s="29">
        <f t="shared" si="157"/>
        <v>0</v>
      </c>
      <c r="E530" s="29">
        <f t="shared" si="162"/>
        <v>0</v>
      </c>
      <c r="F530" s="29">
        <f t="shared" si="163"/>
        <v>0</v>
      </c>
      <c r="G530" s="29" t="str">
        <f t="shared" si="164"/>
        <v>offensive</v>
      </c>
      <c r="H530" s="16">
        <f t="shared" si="152"/>
        <v>0</v>
      </c>
      <c r="I530" s="16">
        <f t="shared" si="153"/>
        <v>0</v>
      </c>
      <c r="J530" s="16">
        <f t="shared" si="158"/>
        <v>0</v>
      </c>
      <c r="K530" s="16">
        <f t="shared" si="165"/>
        <v>0</v>
      </c>
      <c r="L530" s="67">
        <f t="shared" si="166"/>
        <v>0</v>
      </c>
      <c r="M530" s="4">
        <f t="shared" si="159"/>
        <v>0</v>
      </c>
      <c r="N530" s="4">
        <f t="shared" si="160"/>
        <v>0</v>
      </c>
      <c r="O530" s="4">
        <f t="shared" si="167"/>
        <v>0</v>
      </c>
      <c r="P530" s="4" t="e">
        <f>VLOOKUP(AJ522,'CIR Team Info'!$C$5:$E$44,2,FALSE)</f>
        <v>#N/A</v>
      </c>
      <c r="Q530" s="4" t="e">
        <f>VLOOKUP(AJ522,'CIR Team Info'!$C$5:$E$44,3,FALSE)</f>
        <v>#N/A</v>
      </c>
      <c r="R530" s="10" t="e">
        <f>VLOOKUP(AJ522,'FRC Site Data'!$B$3:$L$42,2,FALSE)</f>
        <v>#N/A</v>
      </c>
      <c r="S530" s="10" t="e">
        <f>VLOOKUP(AJ522,'FRC Site Data'!$B$3:$L$42,3,FALSE)</f>
        <v>#N/A</v>
      </c>
      <c r="T530" s="10" t="e">
        <f>VLOOKUP(AJ522,'FRC Site Data'!$B$3:$L$42,4,FALSE)</f>
        <v>#N/A</v>
      </c>
      <c r="U530" s="10" t="e">
        <f>VLOOKUP(AJ522,'FRC Site Data'!$B$3:$L$42,5,FALSE)</f>
        <v>#N/A</v>
      </c>
      <c r="V530" s="10" t="e">
        <f>VLOOKUP(AJ522,'FRC Site Data'!$B$3:$L$42,6,FALSE)</f>
        <v>#N/A</v>
      </c>
      <c r="W530" s="10" t="e">
        <f>VLOOKUP(AJ522,'FRC Site Data'!$B$3:$L$42,8,FALSE)</f>
        <v>#N/A</v>
      </c>
      <c r="X530" s="10" t="e">
        <f>VLOOKUP(AJ522,'FRC Site Data'!$B$3:$L$42,9,FALSE)</f>
        <v>#N/A</v>
      </c>
      <c r="Y530" s="10" t="e">
        <f>VLOOKUP(AJ522,'FRC Site Data'!$B$3:$L$42,10,FALSE)</f>
        <v>#N/A</v>
      </c>
      <c r="Z530" s="10" t="e">
        <f>VLOOKUP(AJ522,'FRC Site Data'!$B$3:$L$42,11,FALSE)</f>
        <v>#N/A</v>
      </c>
      <c r="AA530" s="10" t="e">
        <f>VLOOKUP(AJ522,'CIR Team Info'!$C$5:$E$44,4,FALSE)</f>
        <v>#N/A</v>
      </c>
      <c r="AB530" s="161" t="b">
        <f>ISNUMBER(VLOOKUP(AJ522,Match!$T$5:$T$10,1,FALSE))</f>
        <v>0</v>
      </c>
      <c r="AC530" s="161" t="b">
        <f>IF(AB530=TRUE,(VLOOKUP($AJ522,Match!$T$5:$U$10,2,FALSE)))</f>
        <v>0</v>
      </c>
      <c r="AD530" s="8">
        <v>3</v>
      </c>
      <c r="AE530" s="8">
        <v>2</v>
      </c>
      <c r="AF530" s="8">
        <v>2</v>
      </c>
      <c r="AG530" s="8">
        <v>1</v>
      </c>
      <c r="AH530" s="8" t="str">
        <f t="shared" si="154"/>
        <v/>
      </c>
      <c r="AI530" s="12"/>
      <c r="AZ530" s="12"/>
      <c r="BC530" s="12"/>
      <c r="BK530" s="12"/>
    </row>
    <row r="531" spans="1:63" x14ac:dyDescent="0.25">
      <c r="A531" s="29">
        <f t="shared" si="161"/>
        <v>0</v>
      </c>
      <c r="B531" s="29">
        <f t="shared" si="155"/>
        <v>0</v>
      </c>
      <c r="C531" s="29">
        <f t="shared" si="156"/>
        <v>0</v>
      </c>
      <c r="D531" s="29">
        <f t="shared" si="157"/>
        <v>0</v>
      </c>
      <c r="E531" s="29">
        <f t="shared" si="162"/>
        <v>0</v>
      </c>
      <c r="F531" s="29">
        <f t="shared" si="163"/>
        <v>0</v>
      </c>
      <c r="G531" s="29" t="str">
        <f t="shared" si="164"/>
        <v>offensive</v>
      </c>
      <c r="H531" s="16">
        <f t="shared" ref="H531:H590" si="168">IF((AO523+AP523)=0,0,AO523/(AO523+AP523))</f>
        <v>0</v>
      </c>
      <c r="I531" s="16">
        <f t="shared" ref="I531:I590" si="169">IF((AV523+AW523)=0,0,AV523/(AV523+AW523))</f>
        <v>0</v>
      </c>
      <c r="J531" s="16">
        <f t="shared" si="158"/>
        <v>0</v>
      </c>
      <c r="K531" s="16">
        <f t="shared" si="165"/>
        <v>0</v>
      </c>
      <c r="L531" s="67">
        <f t="shared" si="166"/>
        <v>0</v>
      </c>
      <c r="M531" s="4">
        <f t="shared" si="159"/>
        <v>0</v>
      </c>
      <c r="N531" s="4">
        <f t="shared" si="160"/>
        <v>0</v>
      </c>
      <c r="O531" s="4">
        <f t="shared" si="167"/>
        <v>0</v>
      </c>
      <c r="P531" s="4" t="e">
        <f>VLOOKUP(AJ523,'CIR Team Info'!$C$5:$E$44,2,FALSE)</f>
        <v>#N/A</v>
      </c>
      <c r="Q531" s="4" t="e">
        <f>VLOOKUP(AJ523,'CIR Team Info'!$C$5:$E$44,3,FALSE)</f>
        <v>#N/A</v>
      </c>
      <c r="R531" s="10" t="e">
        <f>VLOOKUP(AJ523,'FRC Site Data'!$B$3:$L$42,2,FALSE)</f>
        <v>#N/A</v>
      </c>
      <c r="S531" s="10" t="e">
        <f>VLOOKUP(AJ523,'FRC Site Data'!$B$3:$L$42,3,FALSE)</f>
        <v>#N/A</v>
      </c>
      <c r="T531" s="10" t="e">
        <f>VLOOKUP(AJ523,'FRC Site Data'!$B$3:$L$42,4,FALSE)</f>
        <v>#N/A</v>
      </c>
      <c r="U531" s="10" t="e">
        <f>VLOOKUP(AJ523,'FRC Site Data'!$B$3:$L$42,5,FALSE)</f>
        <v>#N/A</v>
      </c>
      <c r="V531" s="10" t="e">
        <f>VLOOKUP(AJ523,'FRC Site Data'!$B$3:$L$42,6,FALSE)</f>
        <v>#N/A</v>
      </c>
      <c r="W531" s="10" t="e">
        <f>VLOOKUP(AJ523,'FRC Site Data'!$B$3:$L$42,8,FALSE)</f>
        <v>#N/A</v>
      </c>
      <c r="X531" s="10" t="e">
        <f>VLOOKUP(AJ523,'FRC Site Data'!$B$3:$L$42,9,FALSE)</f>
        <v>#N/A</v>
      </c>
      <c r="Y531" s="10" t="e">
        <f>VLOOKUP(AJ523,'FRC Site Data'!$B$3:$L$42,10,FALSE)</f>
        <v>#N/A</v>
      </c>
      <c r="Z531" s="10" t="e">
        <f>VLOOKUP(AJ523,'FRC Site Data'!$B$3:$L$42,11,FALSE)</f>
        <v>#N/A</v>
      </c>
      <c r="AA531" s="10" t="e">
        <f>VLOOKUP(AJ523,'CIR Team Info'!$C$5:$E$44,4,FALSE)</f>
        <v>#N/A</v>
      </c>
      <c r="AB531" s="161" t="b">
        <f>ISNUMBER(VLOOKUP(AJ523,Match!$T$5:$T$10,1,FALSE))</f>
        <v>0</v>
      </c>
      <c r="AC531" s="161" t="b">
        <f>IF(AB531=TRUE,(VLOOKUP($AJ523,Match!$T$5:$U$10,2,FALSE)))</f>
        <v>0</v>
      </c>
      <c r="AD531" s="8">
        <v>3</v>
      </c>
      <c r="AE531" s="8">
        <v>2</v>
      </c>
      <c r="AF531" s="8">
        <v>2</v>
      </c>
      <c r="AG531" s="8">
        <v>1</v>
      </c>
      <c r="AH531" s="8" t="str">
        <f t="shared" si="154"/>
        <v/>
      </c>
      <c r="AI531" s="12"/>
      <c r="AZ531" s="12"/>
      <c r="BC531" s="12"/>
      <c r="BK531" s="12"/>
    </row>
    <row r="532" spans="1:63" x14ac:dyDescent="0.25">
      <c r="A532" s="29">
        <f t="shared" si="161"/>
        <v>0</v>
      </c>
      <c r="B532" s="29">
        <f t="shared" si="155"/>
        <v>0</v>
      </c>
      <c r="C532" s="29">
        <f t="shared" si="156"/>
        <v>0</v>
      </c>
      <c r="D532" s="29">
        <f t="shared" si="157"/>
        <v>0</v>
      </c>
      <c r="E532" s="29">
        <f t="shared" si="162"/>
        <v>0</v>
      </c>
      <c r="F532" s="29">
        <f t="shared" si="163"/>
        <v>0</v>
      </c>
      <c r="G532" s="29" t="str">
        <f t="shared" si="164"/>
        <v>offensive</v>
      </c>
      <c r="H532" s="16">
        <f t="shared" si="168"/>
        <v>0</v>
      </c>
      <c r="I532" s="16">
        <f t="shared" si="169"/>
        <v>0</v>
      </c>
      <c r="J532" s="16">
        <f t="shared" si="158"/>
        <v>0</v>
      </c>
      <c r="K532" s="16">
        <f t="shared" si="165"/>
        <v>0</v>
      </c>
      <c r="L532" s="67">
        <f t="shared" si="166"/>
        <v>0</v>
      </c>
      <c r="M532" s="4">
        <f t="shared" si="159"/>
        <v>0</v>
      </c>
      <c r="N532" s="4">
        <f t="shared" si="160"/>
        <v>0</v>
      </c>
      <c r="O532" s="4">
        <f t="shared" si="167"/>
        <v>0</v>
      </c>
      <c r="P532" s="4" t="e">
        <f>VLOOKUP(AJ524,'CIR Team Info'!$C$5:$E$44,2,FALSE)</f>
        <v>#N/A</v>
      </c>
      <c r="Q532" s="4" t="e">
        <f>VLOOKUP(AJ524,'CIR Team Info'!$C$5:$E$44,3,FALSE)</f>
        <v>#N/A</v>
      </c>
      <c r="R532" s="10" t="e">
        <f>VLOOKUP(AJ524,'FRC Site Data'!$B$3:$L$42,2,FALSE)</f>
        <v>#N/A</v>
      </c>
      <c r="S532" s="10" t="e">
        <f>VLOOKUP(AJ524,'FRC Site Data'!$B$3:$L$42,3,FALSE)</f>
        <v>#N/A</v>
      </c>
      <c r="T532" s="10" t="e">
        <f>VLOOKUP(AJ524,'FRC Site Data'!$B$3:$L$42,4,FALSE)</f>
        <v>#N/A</v>
      </c>
      <c r="U532" s="10" t="e">
        <f>VLOOKUP(AJ524,'FRC Site Data'!$B$3:$L$42,5,FALSE)</f>
        <v>#N/A</v>
      </c>
      <c r="V532" s="10" t="e">
        <f>VLOOKUP(AJ524,'FRC Site Data'!$B$3:$L$42,6,FALSE)</f>
        <v>#N/A</v>
      </c>
      <c r="W532" s="10" t="e">
        <f>VLOOKUP(AJ524,'FRC Site Data'!$B$3:$L$42,8,FALSE)</f>
        <v>#N/A</v>
      </c>
      <c r="X532" s="10" t="e">
        <f>VLOOKUP(AJ524,'FRC Site Data'!$B$3:$L$42,9,FALSE)</f>
        <v>#N/A</v>
      </c>
      <c r="Y532" s="10" t="e">
        <f>VLOOKUP(AJ524,'FRC Site Data'!$B$3:$L$42,10,FALSE)</f>
        <v>#N/A</v>
      </c>
      <c r="Z532" s="10" t="e">
        <f>VLOOKUP(AJ524,'FRC Site Data'!$B$3:$L$42,11,FALSE)</f>
        <v>#N/A</v>
      </c>
      <c r="AA532" s="10" t="e">
        <f>VLOOKUP(AJ524,'CIR Team Info'!$C$5:$E$44,4,FALSE)</f>
        <v>#N/A</v>
      </c>
      <c r="AB532" s="161" t="b">
        <f>ISNUMBER(VLOOKUP(AJ524,Match!$T$5:$T$10,1,FALSE))</f>
        <v>0</v>
      </c>
      <c r="AC532" s="161" t="b">
        <f>IF(AB532=TRUE,(VLOOKUP($AJ524,Match!$T$5:$U$10,2,FALSE)))</f>
        <v>0</v>
      </c>
      <c r="AD532" s="8">
        <v>3</v>
      </c>
      <c r="AE532" s="8">
        <v>2</v>
      </c>
      <c r="AF532" s="8">
        <v>2</v>
      </c>
      <c r="AG532" s="8">
        <v>1</v>
      </c>
      <c r="AH532" s="8" t="str">
        <f t="shared" si="154"/>
        <v/>
      </c>
      <c r="AI532" s="12"/>
      <c r="AZ532" s="12"/>
      <c r="BC532" s="12"/>
      <c r="BK532" s="12"/>
    </row>
    <row r="533" spans="1:63" x14ac:dyDescent="0.25">
      <c r="A533" s="29">
        <f t="shared" si="161"/>
        <v>0</v>
      </c>
      <c r="B533" s="29">
        <f t="shared" si="155"/>
        <v>0</v>
      </c>
      <c r="C533" s="29">
        <f t="shared" si="156"/>
        <v>0</v>
      </c>
      <c r="D533" s="29">
        <f t="shared" si="157"/>
        <v>0</v>
      </c>
      <c r="E533" s="29">
        <f t="shared" si="162"/>
        <v>0</v>
      </c>
      <c r="F533" s="29">
        <f t="shared" si="163"/>
        <v>0</v>
      </c>
      <c r="G533" s="29" t="str">
        <f t="shared" si="164"/>
        <v>offensive</v>
      </c>
      <c r="H533" s="16">
        <f t="shared" si="168"/>
        <v>0</v>
      </c>
      <c r="I533" s="16">
        <f t="shared" si="169"/>
        <v>0</v>
      </c>
      <c r="J533" s="16">
        <f t="shared" si="158"/>
        <v>0</v>
      </c>
      <c r="K533" s="16">
        <f t="shared" si="165"/>
        <v>0</v>
      </c>
      <c r="L533" s="67">
        <f t="shared" si="166"/>
        <v>0</v>
      </c>
      <c r="M533" s="4">
        <f t="shared" si="159"/>
        <v>0</v>
      </c>
      <c r="N533" s="4">
        <f t="shared" si="160"/>
        <v>0</v>
      </c>
      <c r="O533" s="4">
        <f t="shared" si="167"/>
        <v>0</v>
      </c>
      <c r="P533" s="4" t="e">
        <f>VLOOKUP(AJ525,'CIR Team Info'!$C$5:$E$44,2,FALSE)</f>
        <v>#N/A</v>
      </c>
      <c r="Q533" s="4" t="e">
        <f>VLOOKUP(AJ525,'CIR Team Info'!$C$5:$E$44,3,FALSE)</f>
        <v>#N/A</v>
      </c>
      <c r="R533" s="10" t="e">
        <f>VLOOKUP(AJ525,'FRC Site Data'!$B$3:$L$42,2,FALSE)</f>
        <v>#N/A</v>
      </c>
      <c r="S533" s="10" t="e">
        <f>VLOOKUP(AJ525,'FRC Site Data'!$B$3:$L$42,3,FALSE)</f>
        <v>#N/A</v>
      </c>
      <c r="T533" s="10" t="e">
        <f>VLOOKUP(AJ525,'FRC Site Data'!$B$3:$L$42,4,FALSE)</f>
        <v>#N/A</v>
      </c>
      <c r="U533" s="10" t="e">
        <f>VLOOKUP(AJ525,'FRC Site Data'!$B$3:$L$42,5,FALSE)</f>
        <v>#N/A</v>
      </c>
      <c r="V533" s="10" t="e">
        <f>VLOOKUP(AJ525,'FRC Site Data'!$B$3:$L$42,6,FALSE)</f>
        <v>#N/A</v>
      </c>
      <c r="W533" s="10" t="e">
        <f>VLOOKUP(AJ525,'FRC Site Data'!$B$3:$L$42,8,FALSE)</f>
        <v>#N/A</v>
      </c>
      <c r="X533" s="10" t="e">
        <f>VLOOKUP(AJ525,'FRC Site Data'!$B$3:$L$42,9,FALSE)</f>
        <v>#N/A</v>
      </c>
      <c r="Y533" s="10" t="e">
        <f>VLOOKUP(AJ525,'FRC Site Data'!$B$3:$L$42,10,FALSE)</f>
        <v>#N/A</v>
      </c>
      <c r="Z533" s="10" t="e">
        <f>VLOOKUP(AJ525,'FRC Site Data'!$B$3:$L$42,11,FALSE)</f>
        <v>#N/A</v>
      </c>
      <c r="AA533" s="10" t="e">
        <f>VLOOKUP(AJ525,'CIR Team Info'!$C$5:$E$44,4,FALSE)</f>
        <v>#N/A</v>
      </c>
      <c r="AB533" s="161" t="b">
        <f>ISNUMBER(VLOOKUP(AJ525,Match!$T$5:$T$10,1,FALSE))</f>
        <v>0</v>
      </c>
      <c r="AC533" s="161" t="b">
        <f>IF(AB533=TRUE,(VLOOKUP($AJ525,Match!$T$5:$U$10,2,FALSE)))</f>
        <v>0</v>
      </c>
      <c r="AD533" s="8">
        <v>3</v>
      </c>
      <c r="AE533" s="8">
        <v>2</v>
      </c>
      <c r="AF533" s="8">
        <v>2</v>
      </c>
      <c r="AG533" s="8">
        <v>1</v>
      </c>
      <c r="AH533" s="8" t="str">
        <f t="shared" si="154"/>
        <v/>
      </c>
      <c r="AI533" s="12"/>
      <c r="AZ533" s="12"/>
      <c r="BC533" s="12"/>
      <c r="BK533" s="12"/>
    </row>
    <row r="534" spans="1:63" x14ac:dyDescent="0.25">
      <c r="A534" s="29">
        <f t="shared" si="161"/>
        <v>0</v>
      </c>
      <c r="B534" s="29">
        <f t="shared" si="155"/>
        <v>0</v>
      </c>
      <c r="C534" s="29">
        <f t="shared" si="156"/>
        <v>0</v>
      </c>
      <c r="D534" s="29">
        <f t="shared" si="157"/>
        <v>0</v>
      </c>
      <c r="E534" s="29">
        <f t="shared" si="162"/>
        <v>0</v>
      </c>
      <c r="F534" s="29">
        <f t="shared" si="163"/>
        <v>0</v>
      </c>
      <c r="G534" s="29" t="str">
        <f t="shared" si="164"/>
        <v>offensive</v>
      </c>
      <c r="H534" s="16">
        <f t="shared" si="168"/>
        <v>0</v>
      </c>
      <c r="I534" s="16">
        <f t="shared" si="169"/>
        <v>0</v>
      </c>
      <c r="J534" s="16">
        <f t="shared" si="158"/>
        <v>0</v>
      </c>
      <c r="K534" s="16">
        <f t="shared" si="165"/>
        <v>0</v>
      </c>
      <c r="L534" s="67">
        <f t="shared" si="166"/>
        <v>0</v>
      </c>
      <c r="M534" s="4">
        <f t="shared" si="159"/>
        <v>0</v>
      </c>
      <c r="N534" s="4">
        <f t="shared" si="160"/>
        <v>0</v>
      </c>
      <c r="O534" s="4">
        <f t="shared" si="167"/>
        <v>0</v>
      </c>
      <c r="P534" s="4" t="e">
        <f>VLOOKUP(AJ526,'CIR Team Info'!$C$5:$E$44,2,FALSE)</f>
        <v>#N/A</v>
      </c>
      <c r="Q534" s="4" t="e">
        <f>VLOOKUP(AJ526,'CIR Team Info'!$C$5:$E$44,3,FALSE)</f>
        <v>#N/A</v>
      </c>
      <c r="R534" s="10" t="e">
        <f>VLOOKUP(AJ526,'FRC Site Data'!$B$3:$L$42,2,FALSE)</f>
        <v>#N/A</v>
      </c>
      <c r="S534" s="10" t="e">
        <f>VLOOKUP(AJ526,'FRC Site Data'!$B$3:$L$42,3,FALSE)</f>
        <v>#N/A</v>
      </c>
      <c r="T534" s="10" t="e">
        <f>VLOOKUP(AJ526,'FRC Site Data'!$B$3:$L$42,4,FALSE)</f>
        <v>#N/A</v>
      </c>
      <c r="U534" s="10" t="e">
        <f>VLOOKUP(AJ526,'FRC Site Data'!$B$3:$L$42,5,FALSE)</f>
        <v>#N/A</v>
      </c>
      <c r="V534" s="10" t="e">
        <f>VLOOKUP(AJ526,'FRC Site Data'!$B$3:$L$42,6,FALSE)</f>
        <v>#N/A</v>
      </c>
      <c r="W534" s="10" t="e">
        <f>VLOOKUP(AJ526,'FRC Site Data'!$B$3:$L$42,8,FALSE)</f>
        <v>#N/A</v>
      </c>
      <c r="X534" s="10" t="e">
        <f>VLOOKUP(AJ526,'FRC Site Data'!$B$3:$L$42,9,FALSE)</f>
        <v>#N/A</v>
      </c>
      <c r="Y534" s="10" t="e">
        <f>VLOOKUP(AJ526,'FRC Site Data'!$B$3:$L$42,10,FALSE)</f>
        <v>#N/A</v>
      </c>
      <c r="Z534" s="10" t="e">
        <f>VLOOKUP(AJ526,'FRC Site Data'!$B$3:$L$42,11,FALSE)</f>
        <v>#N/A</v>
      </c>
      <c r="AA534" s="10" t="e">
        <f>VLOOKUP(AJ526,'CIR Team Info'!$C$5:$E$44,4,FALSE)</f>
        <v>#N/A</v>
      </c>
      <c r="AB534" s="161" t="b">
        <f>ISNUMBER(VLOOKUP(AJ526,Match!$T$5:$T$10,1,FALSE))</f>
        <v>0</v>
      </c>
      <c r="AC534" s="161" t="b">
        <f>IF(AB534=TRUE,(VLOOKUP($AJ526,Match!$T$5:$U$10,2,FALSE)))</f>
        <v>0</v>
      </c>
      <c r="AD534" s="8">
        <v>3</v>
      </c>
      <c r="AE534" s="8">
        <v>2</v>
      </c>
      <c r="AF534" s="8">
        <v>2</v>
      </c>
      <c r="AG534" s="8">
        <v>1</v>
      </c>
      <c r="AH534" s="8" t="str">
        <f t="shared" si="154"/>
        <v/>
      </c>
      <c r="AI534" s="12"/>
      <c r="AZ534" s="12"/>
      <c r="BC534" s="12"/>
      <c r="BK534" s="12"/>
    </row>
    <row r="535" spans="1:63" x14ac:dyDescent="0.25">
      <c r="A535" s="29">
        <f t="shared" si="161"/>
        <v>0</v>
      </c>
      <c r="B535" s="29">
        <f t="shared" si="155"/>
        <v>0</v>
      </c>
      <c r="C535" s="29">
        <f t="shared" si="156"/>
        <v>0</v>
      </c>
      <c r="D535" s="29">
        <f t="shared" si="157"/>
        <v>0</v>
      </c>
      <c r="E535" s="29">
        <f t="shared" si="162"/>
        <v>0</v>
      </c>
      <c r="F535" s="29">
        <f t="shared" si="163"/>
        <v>0</v>
      </c>
      <c r="G535" s="29" t="str">
        <f t="shared" si="164"/>
        <v>offensive</v>
      </c>
      <c r="H535" s="16">
        <f t="shared" si="168"/>
        <v>0</v>
      </c>
      <c r="I535" s="16">
        <f t="shared" si="169"/>
        <v>0</v>
      </c>
      <c r="J535" s="16">
        <f t="shared" si="158"/>
        <v>0</v>
      </c>
      <c r="K535" s="16">
        <f t="shared" si="165"/>
        <v>0</v>
      </c>
      <c r="L535" s="67">
        <f t="shared" si="166"/>
        <v>0</v>
      </c>
      <c r="M535" s="4">
        <f t="shared" si="159"/>
        <v>0</v>
      </c>
      <c r="N535" s="4">
        <f t="shared" si="160"/>
        <v>0</v>
      </c>
      <c r="O535" s="4">
        <f t="shared" si="167"/>
        <v>0</v>
      </c>
      <c r="P535" s="4" t="e">
        <f>VLOOKUP(AJ527,'CIR Team Info'!$C$5:$E$44,2,FALSE)</f>
        <v>#N/A</v>
      </c>
      <c r="Q535" s="4" t="e">
        <f>VLOOKUP(AJ527,'CIR Team Info'!$C$5:$E$44,3,FALSE)</f>
        <v>#N/A</v>
      </c>
      <c r="R535" s="10" t="e">
        <f>VLOOKUP(AJ527,'FRC Site Data'!$B$3:$L$42,2,FALSE)</f>
        <v>#N/A</v>
      </c>
      <c r="S535" s="10" t="e">
        <f>VLOOKUP(AJ527,'FRC Site Data'!$B$3:$L$42,3,FALSE)</f>
        <v>#N/A</v>
      </c>
      <c r="T535" s="10" t="e">
        <f>VLOOKUP(AJ527,'FRC Site Data'!$B$3:$L$42,4,FALSE)</f>
        <v>#N/A</v>
      </c>
      <c r="U535" s="10" t="e">
        <f>VLOOKUP(AJ527,'FRC Site Data'!$B$3:$L$42,5,FALSE)</f>
        <v>#N/A</v>
      </c>
      <c r="V535" s="10" t="e">
        <f>VLOOKUP(AJ527,'FRC Site Data'!$B$3:$L$42,6,FALSE)</f>
        <v>#N/A</v>
      </c>
      <c r="W535" s="10" t="e">
        <f>VLOOKUP(AJ527,'FRC Site Data'!$B$3:$L$42,8,FALSE)</f>
        <v>#N/A</v>
      </c>
      <c r="X535" s="10" t="e">
        <f>VLOOKUP(AJ527,'FRC Site Data'!$B$3:$L$42,9,FALSE)</f>
        <v>#N/A</v>
      </c>
      <c r="Y535" s="10" t="e">
        <f>VLOOKUP(AJ527,'FRC Site Data'!$B$3:$L$42,10,FALSE)</f>
        <v>#N/A</v>
      </c>
      <c r="Z535" s="10" t="e">
        <f>VLOOKUP(AJ527,'FRC Site Data'!$B$3:$L$42,11,FALSE)</f>
        <v>#N/A</v>
      </c>
      <c r="AA535" s="10" t="e">
        <f>VLOOKUP(AJ527,'CIR Team Info'!$C$5:$E$44,4,FALSE)</f>
        <v>#N/A</v>
      </c>
      <c r="AB535" s="161" t="b">
        <f>ISNUMBER(VLOOKUP(AJ527,Match!$T$5:$T$10,1,FALSE))</f>
        <v>0</v>
      </c>
      <c r="AC535" s="161" t="b">
        <f>IF(AB535=TRUE,(VLOOKUP($AJ527,Match!$T$5:$U$10,2,FALSE)))</f>
        <v>0</v>
      </c>
      <c r="AD535" s="8">
        <v>3</v>
      </c>
      <c r="AE535" s="8">
        <v>2</v>
      </c>
      <c r="AF535" s="8">
        <v>2</v>
      </c>
      <c r="AG535" s="8">
        <v>1</v>
      </c>
      <c r="AH535" s="8" t="str">
        <f t="shared" si="154"/>
        <v/>
      </c>
      <c r="AI535" s="12"/>
      <c r="AZ535" s="12"/>
      <c r="BC535" s="12"/>
      <c r="BK535" s="12"/>
    </row>
    <row r="536" spans="1:63" x14ac:dyDescent="0.25">
      <c r="A536" s="29">
        <f t="shared" si="161"/>
        <v>0</v>
      </c>
      <c r="B536" s="29">
        <f t="shared" si="155"/>
        <v>0</v>
      </c>
      <c r="C536" s="29">
        <f t="shared" si="156"/>
        <v>0</v>
      </c>
      <c r="D536" s="29">
        <f t="shared" si="157"/>
        <v>0</v>
      </c>
      <c r="E536" s="29">
        <f t="shared" si="162"/>
        <v>0</v>
      </c>
      <c r="F536" s="29">
        <f t="shared" si="163"/>
        <v>0</v>
      </c>
      <c r="G536" s="29" t="str">
        <f t="shared" si="164"/>
        <v>offensive</v>
      </c>
      <c r="H536" s="16">
        <f t="shared" si="168"/>
        <v>0</v>
      </c>
      <c r="I536" s="16">
        <f t="shared" si="169"/>
        <v>0</v>
      </c>
      <c r="J536" s="16">
        <f t="shared" si="158"/>
        <v>0</v>
      </c>
      <c r="K536" s="16">
        <f t="shared" si="165"/>
        <v>0</v>
      </c>
      <c r="L536" s="67">
        <f t="shared" si="166"/>
        <v>0</v>
      </c>
      <c r="M536" s="4">
        <f t="shared" si="159"/>
        <v>0</v>
      </c>
      <c r="N536" s="4">
        <f t="shared" si="160"/>
        <v>0</v>
      </c>
      <c r="O536" s="4">
        <f t="shared" si="167"/>
        <v>0</v>
      </c>
      <c r="P536" s="4" t="e">
        <f>VLOOKUP(AJ528,'CIR Team Info'!$C$5:$E$44,2,FALSE)</f>
        <v>#N/A</v>
      </c>
      <c r="Q536" s="4" t="e">
        <f>VLOOKUP(AJ528,'CIR Team Info'!$C$5:$E$44,3,FALSE)</f>
        <v>#N/A</v>
      </c>
      <c r="R536" s="10" t="e">
        <f>VLOOKUP(AJ528,'FRC Site Data'!$B$3:$L$42,2,FALSE)</f>
        <v>#N/A</v>
      </c>
      <c r="S536" s="10" t="e">
        <f>VLOOKUP(AJ528,'FRC Site Data'!$B$3:$L$42,3,FALSE)</f>
        <v>#N/A</v>
      </c>
      <c r="T536" s="10" t="e">
        <f>VLOOKUP(AJ528,'FRC Site Data'!$B$3:$L$42,4,FALSE)</f>
        <v>#N/A</v>
      </c>
      <c r="U536" s="10" t="e">
        <f>VLOOKUP(AJ528,'FRC Site Data'!$B$3:$L$42,5,FALSE)</f>
        <v>#N/A</v>
      </c>
      <c r="V536" s="10" t="e">
        <f>VLOOKUP(AJ528,'FRC Site Data'!$B$3:$L$42,6,FALSE)</f>
        <v>#N/A</v>
      </c>
      <c r="W536" s="10" t="e">
        <f>VLOOKUP(AJ528,'FRC Site Data'!$B$3:$L$42,8,FALSE)</f>
        <v>#N/A</v>
      </c>
      <c r="X536" s="10" t="e">
        <f>VLOOKUP(AJ528,'FRC Site Data'!$B$3:$L$42,9,FALSE)</f>
        <v>#N/A</v>
      </c>
      <c r="Y536" s="10" t="e">
        <f>VLOOKUP(AJ528,'FRC Site Data'!$B$3:$L$42,10,FALSE)</f>
        <v>#N/A</v>
      </c>
      <c r="Z536" s="10" t="e">
        <f>VLOOKUP(AJ528,'FRC Site Data'!$B$3:$L$42,11,FALSE)</f>
        <v>#N/A</v>
      </c>
      <c r="AA536" s="10" t="e">
        <f>VLOOKUP(AJ528,'CIR Team Info'!$C$5:$E$44,4,FALSE)</f>
        <v>#N/A</v>
      </c>
      <c r="AB536" s="161" t="b">
        <f>ISNUMBER(VLOOKUP(AJ528,Match!$T$5:$T$10,1,FALSE))</f>
        <v>0</v>
      </c>
      <c r="AC536" s="161" t="b">
        <f>IF(AB536=TRUE,(VLOOKUP($AJ528,Match!$T$5:$U$10,2,FALSE)))</f>
        <v>0</v>
      </c>
      <c r="AD536" s="8">
        <v>3</v>
      </c>
      <c r="AE536" s="8">
        <v>2</v>
      </c>
      <c r="AF536" s="8">
        <v>2</v>
      </c>
      <c r="AG536" s="8">
        <v>1</v>
      </c>
      <c r="AH536" s="8" t="str">
        <f t="shared" si="154"/>
        <v/>
      </c>
      <c r="AI536" s="12"/>
      <c r="AZ536" s="12"/>
      <c r="BC536" s="12"/>
      <c r="BK536" s="12"/>
    </row>
    <row r="537" spans="1:63" x14ac:dyDescent="0.25">
      <c r="A537" s="29">
        <f t="shared" si="161"/>
        <v>0</v>
      </c>
      <c r="B537" s="29">
        <f t="shared" si="155"/>
        <v>0</v>
      </c>
      <c r="C537" s="29">
        <f t="shared" si="156"/>
        <v>0</v>
      </c>
      <c r="D537" s="29">
        <f t="shared" si="157"/>
        <v>0</v>
      </c>
      <c r="E537" s="29">
        <f t="shared" si="162"/>
        <v>0</v>
      </c>
      <c r="F537" s="29">
        <f t="shared" si="163"/>
        <v>0</v>
      </c>
      <c r="G537" s="29" t="str">
        <f t="shared" si="164"/>
        <v>offensive</v>
      </c>
      <c r="H537" s="16">
        <f t="shared" si="168"/>
        <v>0</v>
      </c>
      <c r="I537" s="16">
        <f t="shared" si="169"/>
        <v>0</v>
      </c>
      <c r="J537" s="16">
        <f t="shared" si="158"/>
        <v>0</v>
      </c>
      <c r="K537" s="16">
        <f t="shared" si="165"/>
        <v>0</v>
      </c>
      <c r="L537" s="67">
        <f t="shared" si="166"/>
        <v>0</v>
      </c>
      <c r="M537" s="4">
        <f t="shared" si="159"/>
        <v>0</v>
      </c>
      <c r="N537" s="4">
        <f t="shared" si="160"/>
        <v>0</v>
      </c>
      <c r="O537" s="4">
        <f t="shared" si="167"/>
        <v>0</v>
      </c>
      <c r="P537" s="4" t="e">
        <f>VLOOKUP(AJ529,'CIR Team Info'!$C$5:$E$44,2,FALSE)</f>
        <v>#N/A</v>
      </c>
      <c r="Q537" s="4" t="e">
        <f>VLOOKUP(AJ529,'CIR Team Info'!$C$5:$E$44,3,FALSE)</f>
        <v>#N/A</v>
      </c>
      <c r="R537" s="10" t="e">
        <f>VLOOKUP(AJ529,'FRC Site Data'!$B$3:$L$42,2,FALSE)</f>
        <v>#N/A</v>
      </c>
      <c r="S537" s="10" t="e">
        <f>VLOOKUP(AJ529,'FRC Site Data'!$B$3:$L$42,3,FALSE)</f>
        <v>#N/A</v>
      </c>
      <c r="T537" s="10" t="e">
        <f>VLOOKUP(AJ529,'FRC Site Data'!$B$3:$L$42,4,FALSE)</f>
        <v>#N/A</v>
      </c>
      <c r="U537" s="10" t="e">
        <f>VLOOKUP(AJ529,'FRC Site Data'!$B$3:$L$42,5,FALSE)</f>
        <v>#N/A</v>
      </c>
      <c r="V537" s="10" t="e">
        <f>VLOOKUP(AJ529,'FRC Site Data'!$B$3:$L$42,6,FALSE)</f>
        <v>#N/A</v>
      </c>
      <c r="W537" s="10" t="e">
        <f>VLOOKUP(AJ529,'FRC Site Data'!$B$3:$L$42,8,FALSE)</f>
        <v>#N/A</v>
      </c>
      <c r="X537" s="10" t="e">
        <f>VLOOKUP(AJ529,'FRC Site Data'!$B$3:$L$42,9,FALSE)</f>
        <v>#N/A</v>
      </c>
      <c r="Y537" s="10" t="e">
        <f>VLOOKUP(AJ529,'FRC Site Data'!$B$3:$L$42,10,FALSE)</f>
        <v>#N/A</v>
      </c>
      <c r="Z537" s="10" t="e">
        <f>VLOOKUP(AJ529,'FRC Site Data'!$B$3:$L$42,11,FALSE)</f>
        <v>#N/A</v>
      </c>
      <c r="AA537" s="10" t="e">
        <f>VLOOKUP(AJ529,'CIR Team Info'!$C$5:$E$44,4,FALSE)</f>
        <v>#N/A</v>
      </c>
      <c r="AB537" s="161" t="b">
        <f>ISNUMBER(VLOOKUP(AJ529,Match!$T$5:$T$10,1,FALSE))</f>
        <v>0</v>
      </c>
      <c r="AC537" s="161" t="b">
        <f>IF(AB537=TRUE,(VLOOKUP($AJ529,Match!$T$5:$U$10,2,FALSE)))</f>
        <v>0</v>
      </c>
      <c r="AD537" s="8">
        <v>3</v>
      </c>
      <c r="AE537" s="8">
        <v>2</v>
      </c>
      <c r="AF537" s="8">
        <v>2</v>
      </c>
      <c r="AG537" s="8">
        <v>1</v>
      </c>
      <c r="AH537" s="8" t="str">
        <f t="shared" si="154"/>
        <v/>
      </c>
      <c r="AI537" s="12"/>
      <c r="AZ537" s="12"/>
      <c r="BC537" s="12"/>
      <c r="BK537" s="12"/>
    </row>
    <row r="538" spans="1:63" x14ac:dyDescent="0.25">
      <c r="A538" s="29">
        <f t="shared" si="161"/>
        <v>0</v>
      </c>
      <c r="B538" s="29">
        <f t="shared" si="155"/>
        <v>0</v>
      </c>
      <c r="C538" s="29">
        <f t="shared" si="156"/>
        <v>0</v>
      </c>
      <c r="D538" s="29">
        <f t="shared" si="157"/>
        <v>0</v>
      </c>
      <c r="E538" s="29">
        <f t="shared" si="162"/>
        <v>0</v>
      </c>
      <c r="F538" s="29">
        <f t="shared" si="163"/>
        <v>0</v>
      </c>
      <c r="G538" s="29" t="str">
        <f t="shared" si="164"/>
        <v>offensive</v>
      </c>
      <c r="H538" s="16">
        <f t="shared" si="168"/>
        <v>0</v>
      </c>
      <c r="I538" s="16">
        <f t="shared" si="169"/>
        <v>0</v>
      </c>
      <c r="J538" s="16">
        <f t="shared" si="158"/>
        <v>0</v>
      </c>
      <c r="K538" s="16">
        <f t="shared" si="165"/>
        <v>0</v>
      </c>
      <c r="L538" s="67">
        <f t="shared" si="166"/>
        <v>0</v>
      </c>
      <c r="M538" s="4">
        <f t="shared" si="159"/>
        <v>0</v>
      </c>
      <c r="N538" s="4">
        <f t="shared" si="160"/>
        <v>0</v>
      </c>
      <c r="O538" s="4">
        <f t="shared" si="167"/>
        <v>0</v>
      </c>
      <c r="P538" s="4" t="e">
        <f>VLOOKUP(AJ530,'CIR Team Info'!$C$5:$E$44,2,FALSE)</f>
        <v>#N/A</v>
      </c>
      <c r="Q538" s="4" t="e">
        <f>VLOOKUP(AJ530,'CIR Team Info'!$C$5:$E$44,3,FALSE)</f>
        <v>#N/A</v>
      </c>
      <c r="R538" s="10" t="e">
        <f>VLOOKUP(AJ530,'FRC Site Data'!$B$3:$L$42,2,FALSE)</f>
        <v>#N/A</v>
      </c>
      <c r="S538" s="10" t="e">
        <f>VLOOKUP(AJ530,'FRC Site Data'!$B$3:$L$42,3,FALSE)</f>
        <v>#N/A</v>
      </c>
      <c r="T538" s="10" t="e">
        <f>VLOOKUP(AJ530,'FRC Site Data'!$B$3:$L$42,4,FALSE)</f>
        <v>#N/A</v>
      </c>
      <c r="U538" s="10" t="e">
        <f>VLOOKUP(AJ530,'FRC Site Data'!$B$3:$L$42,5,FALSE)</f>
        <v>#N/A</v>
      </c>
      <c r="V538" s="10" t="e">
        <f>VLOOKUP(AJ530,'FRC Site Data'!$B$3:$L$42,6,FALSE)</f>
        <v>#N/A</v>
      </c>
      <c r="W538" s="10" t="e">
        <f>VLOOKUP(AJ530,'FRC Site Data'!$B$3:$L$42,8,FALSE)</f>
        <v>#N/A</v>
      </c>
      <c r="X538" s="10" t="e">
        <f>VLOOKUP(AJ530,'FRC Site Data'!$B$3:$L$42,9,FALSE)</f>
        <v>#N/A</v>
      </c>
      <c r="Y538" s="10" t="e">
        <f>VLOOKUP(AJ530,'FRC Site Data'!$B$3:$L$42,10,FALSE)</f>
        <v>#N/A</v>
      </c>
      <c r="Z538" s="10" t="e">
        <f>VLOOKUP(AJ530,'FRC Site Data'!$B$3:$L$42,11,FALSE)</f>
        <v>#N/A</v>
      </c>
      <c r="AA538" s="10" t="e">
        <f>VLOOKUP(AJ530,'CIR Team Info'!$C$5:$E$44,4,FALSE)</f>
        <v>#N/A</v>
      </c>
      <c r="AB538" s="161" t="b">
        <f>ISNUMBER(VLOOKUP(AJ530,Match!$T$5:$T$10,1,FALSE))</f>
        <v>0</v>
      </c>
      <c r="AC538" s="161" t="b">
        <f>IF(AB538=TRUE,(VLOOKUP($AJ530,Match!$T$5:$U$10,2,FALSE)))</f>
        <v>0</v>
      </c>
      <c r="AD538" s="8">
        <v>3</v>
      </c>
      <c r="AE538" s="8">
        <v>2</v>
      </c>
      <c r="AF538" s="8">
        <v>2</v>
      </c>
      <c r="AG538" s="8">
        <v>1</v>
      </c>
      <c r="AH538" s="8" t="str">
        <f t="shared" si="154"/>
        <v/>
      </c>
      <c r="AI538" s="12"/>
      <c r="AZ538" s="12"/>
      <c r="BC538" s="12"/>
      <c r="BK538" s="12"/>
    </row>
    <row r="539" spans="1:63" x14ac:dyDescent="0.25">
      <c r="A539" s="29">
        <f t="shared" si="161"/>
        <v>0</v>
      </c>
      <c r="B539" s="29">
        <f t="shared" si="155"/>
        <v>0</v>
      </c>
      <c r="C539" s="29">
        <f t="shared" si="156"/>
        <v>0</v>
      </c>
      <c r="D539" s="29">
        <f t="shared" si="157"/>
        <v>0</v>
      </c>
      <c r="E539" s="29">
        <f t="shared" si="162"/>
        <v>0</v>
      </c>
      <c r="F539" s="29">
        <f t="shared" si="163"/>
        <v>0</v>
      </c>
      <c r="G539" s="29" t="str">
        <f t="shared" si="164"/>
        <v>offensive</v>
      </c>
      <c r="H539" s="16">
        <f t="shared" si="168"/>
        <v>0</v>
      </c>
      <c r="I539" s="16">
        <f t="shared" si="169"/>
        <v>0</v>
      </c>
      <c r="J539" s="16">
        <f t="shared" si="158"/>
        <v>0</v>
      </c>
      <c r="K539" s="16">
        <f t="shared" si="165"/>
        <v>0</v>
      </c>
      <c r="L539" s="67">
        <f t="shared" si="166"/>
        <v>0</v>
      </c>
      <c r="M539" s="4">
        <f t="shared" si="159"/>
        <v>0</v>
      </c>
      <c r="N539" s="4">
        <f t="shared" si="160"/>
        <v>0</v>
      </c>
      <c r="O539" s="4">
        <f t="shared" si="167"/>
        <v>0</v>
      </c>
      <c r="P539" s="4" t="e">
        <f>VLOOKUP(AJ531,'CIR Team Info'!$C$5:$E$44,2,FALSE)</f>
        <v>#N/A</v>
      </c>
      <c r="Q539" s="4" t="e">
        <f>VLOOKUP(AJ531,'CIR Team Info'!$C$5:$E$44,3,FALSE)</f>
        <v>#N/A</v>
      </c>
      <c r="R539" s="10" t="e">
        <f>VLOOKUP(AJ531,'FRC Site Data'!$B$3:$L$42,2,FALSE)</f>
        <v>#N/A</v>
      </c>
      <c r="S539" s="10" t="e">
        <f>VLOOKUP(AJ531,'FRC Site Data'!$B$3:$L$42,3,FALSE)</f>
        <v>#N/A</v>
      </c>
      <c r="T539" s="10" t="e">
        <f>VLOOKUP(AJ531,'FRC Site Data'!$B$3:$L$42,4,FALSE)</f>
        <v>#N/A</v>
      </c>
      <c r="U539" s="10" t="e">
        <f>VLOOKUP(AJ531,'FRC Site Data'!$B$3:$L$42,5,FALSE)</f>
        <v>#N/A</v>
      </c>
      <c r="V539" s="10" t="e">
        <f>VLOOKUP(AJ531,'FRC Site Data'!$B$3:$L$42,6,FALSE)</f>
        <v>#N/A</v>
      </c>
      <c r="W539" s="10" t="e">
        <f>VLOOKUP(AJ531,'FRC Site Data'!$B$3:$L$42,8,FALSE)</f>
        <v>#N/A</v>
      </c>
      <c r="X539" s="10" t="e">
        <f>VLOOKUP(AJ531,'FRC Site Data'!$B$3:$L$42,9,FALSE)</f>
        <v>#N/A</v>
      </c>
      <c r="Y539" s="10" t="e">
        <f>VLOOKUP(AJ531,'FRC Site Data'!$B$3:$L$42,10,FALSE)</f>
        <v>#N/A</v>
      </c>
      <c r="Z539" s="10" t="e">
        <f>VLOOKUP(AJ531,'FRC Site Data'!$B$3:$L$42,11,FALSE)</f>
        <v>#N/A</v>
      </c>
      <c r="AA539" s="10" t="e">
        <f>VLOOKUP(AJ531,'CIR Team Info'!$C$5:$E$44,4,FALSE)</f>
        <v>#N/A</v>
      </c>
      <c r="AB539" s="161" t="b">
        <f>ISNUMBER(VLOOKUP(AJ531,Match!$T$5:$T$10,1,FALSE))</f>
        <v>0</v>
      </c>
      <c r="AC539" s="161" t="b">
        <f>IF(AB539=TRUE,(VLOOKUP($AJ531,Match!$T$5:$U$10,2,FALSE)))</f>
        <v>0</v>
      </c>
      <c r="AD539" s="8">
        <v>3</v>
      </c>
      <c r="AE539" s="8">
        <v>2</v>
      </c>
      <c r="AF539" s="8">
        <v>2</v>
      </c>
      <c r="AG539" s="8">
        <v>1</v>
      </c>
      <c r="AH539" s="8" t="str">
        <f t="shared" si="154"/>
        <v/>
      </c>
      <c r="AI539" s="12"/>
      <c r="AZ539" s="12"/>
      <c r="BC539" s="12"/>
      <c r="BK539" s="12"/>
    </row>
    <row r="540" spans="1:63" x14ac:dyDescent="0.25">
      <c r="A540" s="29">
        <f t="shared" si="161"/>
        <v>0</v>
      </c>
      <c r="B540" s="29">
        <f t="shared" si="155"/>
        <v>0</v>
      </c>
      <c r="C540" s="29">
        <f t="shared" si="156"/>
        <v>0</v>
      </c>
      <c r="D540" s="29">
        <f t="shared" si="157"/>
        <v>0</v>
      </c>
      <c r="E540" s="29">
        <f t="shared" si="162"/>
        <v>0</v>
      </c>
      <c r="F540" s="29">
        <f t="shared" si="163"/>
        <v>0</v>
      </c>
      <c r="G540" s="29" t="str">
        <f t="shared" si="164"/>
        <v>offensive</v>
      </c>
      <c r="H540" s="16">
        <f t="shared" si="168"/>
        <v>0</v>
      </c>
      <c r="I540" s="16">
        <f t="shared" si="169"/>
        <v>0</v>
      </c>
      <c r="J540" s="16">
        <f t="shared" si="158"/>
        <v>0</v>
      </c>
      <c r="K540" s="16">
        <f t="shared" si="165"/>
        <v>0</v>
      </c>
      <c r="L540" s="67">
        <f t="shared" si="166"/>
        <v>0</v>
      </c>
      <c r="M540" s="4">
        <f t="shared" si="159"/>
        <v>0</v>
      </c>
      <c r="N540" s="4">
        <f t="shared" si="160"/>
        <v>0</v>
      </c>
      <c r="O540" s="4">
        <f t="shared" si="167"/>
        <v>0</v>
      </c>
      <c r="P540" s="4" t="e">
        <f>VLOOKUP(AJ532,'CIR Team Info'!$C$5:$E$44,2,FALSE)</f>
        <v>#N/A</v>
      </c>
      <c r="Q540" s="4" t="e">
        <f>VLOOKUP(AJ532,'CIR Team Info'!$C$5:$E$44,3,FALSE)</f>
        <v>#N/A</v>
      </c>
      <c r="R540" s="10" t="e">
        <f>VLOOKUP(AJ532,'FRC Site Data'!$B$3:$L$42,2,FALSE)</f>
        <v>#N/A</v>
      </c>
      <c r="S540" s="10" t="e">
        <f>VLOOKUP(AJ532,'FRC Site Data'!$B$3:$L$42,3,FALSE)</f>
        <v>#N/A</v>
      </c>
      <c r="T540" s="10" t="e">
        <f>VLOOKUP(AJ532,'FRC Site Data'!$B$3:$L$42,4,FALSE)</f>
        <v>#N/A</v>
      </c>
      <c r="U540" s="10" t="e">
        <f>VLOOKUP(AJ532,'FRC Site Data'!$B$3:$L$42,5,FALSE)</f>
        <v>#N/A</v>
      </c>
      <c r="V540" s="10" t="e">
        <f>VLOOKUP(AJ532,'FRC Site Data'!$B$3:$L$42,6,FALSE)</f>
        <v>#N/A</v>
      </c>
      <c r="W540" s="10" t="e">
        <f>VLOOKUP(AJ532,'FRC Site Data'!$B$3:$L$42,8,FALSE)</f>
        <v>#N/A</v>
      </c>
      <c r="X540" s="10" t="e">
        <f>VLOOKUP(AJ532,'FRC Site Data'!$B$3:$L$42,9,FALSE)</f>
        <v>#N/A</v>
      </c>
      <c r="Y540" s="10" t="e">
        <f>VLOOKUP(AJ532,'FRC Site Data'!$B$3:$L$42,10,FALSE)</f>
        <v>#N/A</v>
      </c>
      <c r="Z540" s="10" t="e">
        <f>VLOOKUP(AJ532,'FRC Site Data'!$B$3:$L$42,11,FALSE)</f>
        <v>#N/A</v>
      </c>
      <c r="AA540" s="10" t="e">
        <f>VLOOKUP(AJ532,'CIR Team Info'!$C$5:$E$44,4,FALSE)</f>
        <v>#N/A</v>
      </c>
      <c r="AB540" s="161" t="b">
        <f>ISNUMBER(VLOOKUP(AJ532,Match!$T$5:$T$10,1,FALSE))</f>
        <v>0</v>
      </c>
      <c r="AC540" s="161" t="b">
        <f>IF(AB540=TRUE,(VLOOKUP($AJ532,Match!$T$5:$U$10,2,FALSE)))</f>
        <v>0</v>
      </c>
      <c r="AD540" s="8">
        <v>3</v>
      </c>
      <c r="AE540" s="8">
        <v>2</v>
      </c>
      <c r="AF540" s="8">
        <v>2</v>
      </c>
      <c r="AG540" s="8">
        <v>1</v>
      </c>
      <c r="AH540" s="8" t="str">
        <f t="shared" si="154"/>
        <v/>
      </c>
      <c r="AI540" s="12"/>
      <c r="AZ540" s="12"/>
      <c r="BC540" s="12"/>
      <c r="BK540" s="12"/>
    </row>
    <row r="541" spans="1:63" x14ac:dyDescent="0.25">
      <c r="A541" s="29">
        <f t="shared" si="161"/>
        <v>0</v>
      </c>
      <c r="B541" s="29">
        <f t="shared" si="155"/>
        <v>0</v>
      </c>
      <c r="C541" s="29">
        <f t="shared" si="156"/>
        <v>0</v>
      </c>
      <c r="D541" s="29">
        <f t="shared" si="157"/>
        <v>0</v>
      </c>
      <c r="E541" s="29">
        <f t="shared" si="162"/>
        <v>0</v>
      </c>
      <c r="F541" s="29">
        <f t="shared" si="163"/>
        <v>0</v>
      </c>
      <c r="G541" s="29" t="str">
        <f t="shared" si="164"/>
        <v>offensive</v>
      </c>
      <c r="H541" s="16">
        <f t="shared" si="168"/>
        <v>0</v>
      </c>
      <c r="I541" s="16">
        <f t="shared" si="169"/>
        <v>0</v>
      </c>
      <c r="J541" s="16">
        <f t="shared" si="158"/>
        <v>0</v>
      </c>
      <c r="K541" s="16">
        <f t="shared" si="165"/>
        <v>0</v>
      </c>
      <c r="L541" s="67">
        <f t="shared" si="166"/>
        <v>0</v>
      </c>
      <c r="M541" s="4">
        <f t="shared" si="159"/>
        <v>0</v>
      </c>
      <c r="N541" s="4">
        <f t="shared" si="160"/>
        <v>0</v>
      </c>
      <c r="O541" s="4">
        <f t="shared" si="167"/>
        <v>0</v>
      </c>
      <c r="P541" s="4" t="e">
        <f>VLOOKUP(AJ533,'CIR Team Info'!$C$5:$E$44,2,FALSE)</f>
        <v>#N/A</v>
      </c>
      <c r="Q541" s="4" t="e">
        <f>VLOOKUP(AJ533,'CIR Team Info'!$C$5:$E$44,3,FALSE)</f>
        <v>#N/A</v>
      </c>
      <c r="R541" s="10" t="e">
        <f>VLOOKUP(AJ533,'FRC Site Data'!$B$3:$L$42,2,FALSE)</f>
        <v>#N/A</v>
      </c>
      <c r="S541" s="10" t="e">
        <f>VLOOKUP(AJ533,'FRC Site Data'!$B$3:$L$42,3,FALSE)</f>
        <v>#N/A</v>
      </c>
      <c r="T541" s="10" t="e">
        <f>VLOOKUP(AJ533,'FRC Site Data'!$B$3:$L$42,4,FALSE)</f>
        <v>#N/A</v>
      </c>
      <c r="U541" s="10" t="e">
        <f>VLOOKUP(AJ533,'FRC Site Data'!$B$3:$L$42,5,FALSE)</f>
        <v>#N/A</v>
      </c>
      <c r="V541" s="10" t="e">
        <f>VLOOKUP(AJ533,'FRC Site Data'!$B$3:$L$42,6,FALSE)</f>
        <v>#N/A</v>
      </c>
      <c r="W541" s="10" t="e">
        <f>VLOOKUP(AJ533,'FRC Site Data'!$B$3:$L$42,8,FALSE)</f>
        <v>#N/A</v>
      </c>
      <c r="X541" s="10" t="e">
        <f>VLOOKUP(AJ533,'FRC Site Data'!$B$3:$L$42,9,FALSE)</f>
        <v>#N/A</v>
      </c>
      <c r="Y541" s="10" t="e">
        <f>VLOOKUP(AJ533,'FRC Site Data'!$B$3:$L$42,10,FALSE)</f>
        <v>#N/A</v>
      </c>
      <c r="Z541" s="10" t="e">
        <f>VLOOKUP(AJ533,'FRC Site Data'!$B$3:$L$42,11,FALSE)</f>
        <v>#N/A</v>
      </c>
      <c r="AA541" s="10" t="e">
        <f>VLOOKUP(AJ533,'CIR Team Info'!$C$5:$E$44,4,FALSE)</f>
        <v>#N/A</v>
      </c>
      <c r="AB541" s="161" t="b">
        <f>ISNUMBER(VLOOKUP(AJ533,Match!$T$5:$T$10,1,FALSE))</f>
        <v>0</v>
      </c>
      <c r="AC541" s="161" t="b">
        <f>IF(AB541=TRUE,(VLOOKUP($AJ533,Match!$T$5:$U$10,2,FALSE)))</f>
        <v>0</v>
      </c>
      <c r="AD541" s="8">
        <v>3</v>
      </c>
      <c r="AE541" s="8">
        <v>2</v>
      </c>
      <c r="AF541" s="8">
        <v>2</v>
      </c>
      <c r="AG541" s="8">
        <v>1</v>
      </c>
      <c r="AH541" s="8" t="str">
        <f t="shared" si="154"/>
        <v/>
      </c>
      <c r="AI541" s="12"/>
      <c r="AZ541" s="12"/>
      <c r="BC541" s="12"/>
      <c r="BK541" s="12"/>
    </row>
    <row r="542" spans="1:63" x14ac:dyDescent="0.25">
      <c r="A542" s="29">
        <f t="shared" si="161"/>
        <v>0</v>
      </c>
      <c r="B542" s="29">
        <f t="shared" si="155"/>
        <v>0</v>
      </c>
      <c r="C542" s="29">
        <f t="shared" si="156"/>
        <v>0</v>
      </c>
      <c r="D542" s="29">
        <f t="shared" si="157"/>
        <v>0</v>
      </c>
      <c r="E542" s="29">
        <f t="shared" si="162"/>
        <v>0</v>
      </c>
      <c r="F542" s="29">
        <f t="shared" si="163"/>
        <v>0</v>
      </c>
      <c r="G542" s="29" t="str">
        <f t="shared" si="164"/>
        <v>offensive</v>
      </c>
      <c r="H542" s="16">
        <f t="shared" si="168"/>
        <v>0</v>
      </c>
      <c r="I542" s="16">
        <f t="shared" si="169"/>
        <v>0</v>
      </c>
      <c r="J542" s="16">
        <f t="shared" si="158"/>
        <v>0</v>
      </c>
      <c r="K542" s="16">
        <f t="shared" si="165"/>
        <v>0</v>
      </c>
      <c r="L542" s="67">
        <f t="shared" si="166"/>
        <v>0</v>
      </c>
      <c r="M542" s="4">
        <f t="shared" si="159"/>
        <v>0</v>
      </c>
      <c r="N542" s="4">
        <f t="shared" si="160"/>
        <v>0</v>
      </c>
      <c r="O542" s="4">
        <f t="shared" si="167"/>
        <v>0</v>
      </c>
      <c r="P542" s="4" t="e">
        <f>VLOOKUP(AJ534,'CIR Team Info'!$C$5:$E$44,2,FALSE)</f>
        <v>#N/A</v>
      </c>
      <c r="Q542" s="4" t="e">
        <f>VLOOKUP(AJ534,'CIR Team Info'!$C$5:$E$44,3,FALSE)</f>
        <v>#N/A</v>
      </c>
      <c r="R542" s="10" t="e">
        <f>VLOOKUP(AJ534,'FRC Site Data'!$B$3:$L$42,2,FALSE)</f>
        <v>#N/A</v>
      </c>
      <c r="S542" s="10" t="e">
        <f>VLOOKUP(AJ534,'FRC Site Data'!$B$3:$L$42,3,FALSE)</f>
        <v>#N/A</v>
      </c>
      <c r="T542" s="10" t="e">
        <f>VLOOKUP(AJ534,'FRC Site Data'!$B$3:$L$42,4,FALSE)</f>
        <v>#N/A</v>
      </c>
      <c r="U542" s="10" t="e">
        <f>VLOOKUP(AJ534,'FRC Site Data'!$B$3:$L$42,5,FALSE)</f>
        <v>#N/A</v>
      </c>
      <c r="V542" s="10" t="e">
        <f>VLOOKUP(AJ534,'FRC Site Data'!$B$3:$L$42,6,FALSE)</f>
        <v>#N/A</v>
      </c>
      <c r="W542" s="10" t="e">
        <f>VLOOKUP(AJ534,'FRC Site Data'!$B$3:$L$42,8,FALSE)</f>
        <v>#N/A</v>
      </c>
      <c r="X542" s="10" t="e">
        <f>VLOOKUP(AJ534,'FRC Site Data'!$B$3:$L$42,9,FALSE)</f>
        <v>#N/A</v>
      </c>
      <c r="Y542" s="10" t="e">
        <f>VLOOKUP(AJ534,'FRC Site Data'!$B$3:$L$42,10,FALSE)</f>
        <v>#N/A</v>
      </c>
      <c r="Z542" s="10" t="e">
        <f>VLOOKUP(AJ534,'FRC Site Data'!$B$3:$L$42,11,FALSE)</f>
        <v>#N/A</v>
      </c>
      <c r="AA542" s="10" t="e">
        <f>VLOOKUP(AJ534,'CIR Team Info'!$C$5:$E$44,4,FALSE)</f>
        <v>#N/A</v>
      </c>
      <c r="AB542" s="161" t="b">
        <f>ISNUMBER(VLOOKUP(AJ534,Match!$T$5:$T$10,1,FALSE))</f>
        <v>0</v>
      </c>
      <c r="AC542" s="161" t="b">
        <f>IF(AB542=TRUE,(VLOOKUP($AJ534,Match!$T$5:$U$10,2,FALSE)))</f>
        <v>0</v>
      </c>
      <c r="AD542" s="8">
        <v>3</v>
      </c>
      <c r="AE542" s="8">
        <v>2</v>
      </c>
      <c r="AF542" s="8">
        <v>2</v>
      </c>
      <c r="AG542" s="8">
        <v>1</v>
      </c>
      <c r="AH542" s="8" t="str">
        <f t="shared" si="154"/>
        <v/>
      </c>
      <c r="AI542" s="12"/>
      <c r="AZ542" s="12"/>
      <c r="BC542" s="12"/>
      <c r="BK542" s="12"/>
    </row>
    <row r="543" spans="1:63" x14ac:dyDescent="0.25">
      <c r="A543" s="29">
        <f t="shared" si="161"/>
        <v>0</v>
      </c>
      <c r="B543" s="29">
        <f t="shared" si="155"/>
        <v>0</v>
      </c>
      <c r="C543" s="29">
        <f t="shared" si="156"/>
        <v>0</v>
      </c>
      <c r="D543" s="29">
        <f t="shared" si="157"/>
        <v>0</v>
      </c>
      <c r="E543" s="29">
        <f t="shared" si="162"/>
        <v>0</v>
      </c>
      <c r="F543" s="29">
        <f t="shared" si="163"/>
        <v>0</v>
      </c>
      <c r="G543" s="29" t="str">
        <f t="shared" si="164"/>
        <v>offensive</v>
      </c>
      <c r="H543" s="16">
        <f t="shared" si="168"/>
        <v>0</v>
      </c>
      <c r="I543" s="16">
        <f t="shared" si="169"/>
        <v>0</v>
      </c>
      <c r="J543" s="16">
        <f t="shared" si="158"/>
        <v>0</v>
      </c>
      <c r="K543" s="16">
        <f t="shared" si="165"/>
        <v>0</v>
      </c>
      <c r="L543" s="67">
        <f t="shared" si="166"/>
        <v>0</v>
      </c>
      <c r="M543" s="4">
        <f t="shared" si="159"/>
        <v>0</v>
      </c>
      <c r="N543" s="4">
        <f t="shared" si="160"/>
        <v>0</v>
      </c>
      <c r="O543" s="4">
        <f t="shared" si="167"/>
        <v>0</v>
      </c>
      <c r="P543" s="4" t="e">
        <f>VLOOKUP(AJ535,'CIR Team Info'!$C$5:$E$44,2,FALSE)</f>
        <v>#N/A</v>
      </c>
      <c r="Q543" s="4" t="e">
        <f>VLOOKUP(AJ535,'CIR Team Info'!$C$5:$E$44,3,FALSE)</f>
        <v>#N/A</v>
      </c>
      <c r="R543" s="10" t="e">
        <f>VLOOKUP(AJ535,'FRC Site Data'!$B$3:$L$42,2,FALSE)</f>
        <v>#N/A</v>
      </c>
      <c r="S543" s="10" t="e">
        <f>VLOOKUP(AJ535,'FRC Site Data'!$B$3:$L$42,3,FALSE)</f>
        <v>#N/A</v>
      </c>
      <c r="T543" s="10" t="e">
        <f>VLOOKUP(AJ535,'FRC Site Data'!$B$3:$L$42,4,FALSE)</f>
        <v>#N/A</v>
      </c>
      <c r="U543" s="10" t="e">
        <f>VLOOKUP(AJ535,'FRC Site Data'!$B$3:$L$42,5,FALSE)</f>
        <v>#N/A</v>
      </c>
      <c r="V543" s="10" t="e">
        <f>VLOOKUP(AJ535,'FRC Site Data'!$B$3:$L$42,6,FALSE)</f>
        <v>#N/A</v>
      </c>
      <c r="W543" s="10" t="e">
        <f>VLOOKUP(AJ535,'FRC Site Data'!$B$3:$L$42,8,FALSE)</f>
        <v>#N/A</v>
      </c>
      <c r="X543" s="10" t="e">
        <f>VLOOKUP(AJ535,'FRC Site Data'!$B$3:$L$42,9,FALSE)</f>
        <v>#N/A</v>
      </c>
      <c r="Y543" s="10" t="e">
        <f>VLOOKUP(AJ535,'FRC Site Data'!$B$3:$L$42,10,FALSE)</f>
        <v>#N/A</v>
      </c>
      <c r="Z543" s="10" t="e">
        <f>VLOOKUP(AJ535,'FRC Site Data'!$B$3:$L$42,11,FALSE)</f>
        <v>#N/A</v>
      </c>
      <c r="AA543" s="10" t="e">
        <f>VLOOKUP(AJ535,'CIR Team Info'!$C$5:$E$44,4,FALSE)</f>
        <v>#N/A</v>
      </c>
      <c r="AB543" s="161" t="b">
        <f>ISNUMBER(VLOOKUP(AJ535,Match!$T$5:$T$10,1,FALSE))</f>
        <v>0</v>
      </c>
      <c r="AC543" s="161" t="b">
        <f>IF(AB543=TRUE,(VLOOKUP($AJ535,Match!$T$5:$U$10,2,FALSE)))</f>
        <v>0</v>
      </c>
      <c r="AD543" s="8">
        <v>3</v>
      </c>
      <c r="AE543" s="8">
        <v>2</v>
      </c>
      <c r="AF543" s="8">
        <v>2</v>
      </c>
      <c r="AG543" s="8">
        <v>1</v>
      </c>
      <c r="AH543" s="8" t="str">
        <f t="shared" si="154"/>
        <v/>
      </c>
      <c r="AI543" s="12"/>
      <c r="AZ543" s="12"/>
      <c r="BC543" s="12"/>
      <c r="BK543" s="12"/>
    </row>
    <row r="544" spans="1:63" x14ac:dyDescent="0.25">
      <c r="A544" s="29">
        <f t="shared" si="161"/>
        <v>0</v>
      </c>
      <c r="B544" s="29">
        <f t="shared" si="155"/>
        <v>0</v>
      </c>
      <c r="C544" s="29">
        <f t="shared" si="156"/>
        <v>0</v>
      </c>
      <c r="D544" s="29">
        <f t="shared" si="157"/>
        <v>0</v>
      </c>
      <c r="E544" s="29">
        <f t="shared" si="162"/>
        <v>0</v>
      </c>
      <c r="F544" s="29">
        <f t="shared" si="163"/>
        <v>0</v>
      </c>
      <c r="G544" s="29" t="str">
        <f t="shared" si="164"/>
        <v>offensive</v>
      </c>
      <c r="H544" s="16">
        <f t="shared" si="168"/>
        <v>0</v>
      </c>
      <c r="I544" s="16">
        <f t="shared" si="169"/>
        <v>0</v>
      </c>
      <c r="J544" s="16">
        <f t="shared" si="158"/>
        <v>0</v>
      </c>
      <c r="K544" s="16">
        <f t="shared" si="165"/>
        <v>0</v>
      </c>
      <c r="L544" s="67">
        <f t="shared" si="166"/>
        <v>0</v>
      </c>
      <c r="M544" s="4">
        <f t="shared" si="159"/>
        <v>0</v>
      </c>
      <c r="N544" s="4">
        <f t="shared" si="160"/>
        <v>0</v>
      </c>
      <c r="O544" s="4">
        <f t="shared" si="167"/>
        <v>0</v>
      </c>
      <c r="P544" s="4" t="e">
        <f>VLOOKUP(AJ536,'CIR Team Info'!$C$5:$E$44,2,FALSE)</f>
        <v>#N/A</v>
      </c>
      <c r="Q544" s="4" t="e">
        <f>VLOOKUP(AJ536,'CIR Team Info'!$C$5:$E$44,3,FALSE)</f>
        <v>#N/A</v>
      </c>
      <c r="R544" s="10" t="e">
        <f>VLOOKUP(AJ536,'FRC Site Data'!$B$3:$L$42,2,FALSE)</f>
        <v>#N/A</v>
      </c>
      <c r="S544" s="10" t="e">
        <f>VLOOKUP(AJ536,'FRC Site Data'!$B$3:$L$42,3,FALSE)</f>
        <v>#N/A</v>
      </c>
      <c r="T544" s="10" t="e">
        <f>VLOOKUP(AJ536,'FRC Site Data'!$B$3:$L$42,4,FALSE)</f>
        <v>#N/A</v>
      </c>
      <c r="U544" s="10" t="e">
        <f>VLOOKUP(AJ536,'FRC Site Data'!$B$3:$L$42,5,FALSE)</f>
        <v>#N/A</v>
      </c>
      <c r="V544" s="10" t="e">
        <f>VLOOKUP(AJ536,'FRC Site Data'!$B$3:$L$42,6,FALSE)</f>
        <v>#N/A</v>
      </c>
      <c r="W544" s="10" t="e">
        <f>VLOOKUP(AJ536,'FRC Site Data'!$B$3:$L$42,8,FALSE)</f>
        <v>#N/A</v>
      </c>
      <c r="X544" s="10" t="e">
        <f>VLOOKUP(AJ536,'FRC Site Data'!$B$3:$L$42,9,FALSE)</f>
        <v>#N/A</v>
      </c>
      <c r="Y544" s="10" t="e">
        <f>VLOOKUP(AJ536,'FRC Site Data'!$B$3:$L$42,10,FALSE)</f>
        <v>#N/A</v>
      </c>
      <c r="Z544" s="10" t="e">
        <f>VLOOKUP(AJ536,'FRC Site Data'!$B$3:$L$42,11,FALSE)</f>
        <v>#N/A</v>
      </c>
      <c r="AA544" s="10" t="e">
        <f>VLOOKUP(AJ536,'CIR Team Info'!$C$5:$E$44,4,FALSE)</f>
        <v>#N/A</v>
      </c>
      <c r="AB544" s="161" t="b">
        <f>ISNUMBER(VLOOKUP(AJ536,Match!$T$5:$T$10,1,FALSE))</f>
        <v>0</v>
      </c>
      <c r="AC544" s="161" t="b">
        <f>IF(AB544=TRUE,(VLOOKUP($AJ536,Match!$T$5:$U$10,2,FALSE)))</f>
        <v>0</v>
      </c>
      <c r="AD544" s="8">
        <v>3</v>
      </c>
      <c r="AE544" s="8">
        <v>2</v>
      </c>
      <c r="AF544" s="8">
        <v>2</v>
      </c>
      <c r="AG544" s="8">
        <v>1</v>
      </c>
      <c r="AH544" s="8" t="str">
        <f t="shared" si="154"/>
        <v/>
      </c>
      <c r="AI544" s="12"/>
      <c r="AZ544" s="12"/>
      <c r="BC544" s="12"/>
      <c r="BK544" s="12"/>
    </row>
    <row r="545" spans="1:63" x14ac:dyDescent="0.25">
      <c r="A545" s="29">
        <f t="shared" si="161"/>
        <v>0</v>
      </c>
      <c r="B545" s="29">
        <f t="shared" si="155"/>
        <v>0</v>
      </c>
      <c r="C545" s="29">
        <f t="shared" si="156"/>
        <v>0</v>
      </c>
      <c r="D545" s="29">
        <f t="shared" si="157"/>
        <v>0</v>
      </c>
      <c r="E545" s="29">
        <f t="shared" si="162"/>
        <v>0</v>
      </c>
      <c r="F545" s="29">
        <f t="shared" si="163"/>
        <v>0</v>
      </c>
      <c r="G545" s="29" t="str">
        <f t="shared" si="164"/>
        <v>offensive</v>
      </c>
      <c r="H545" s="16">
        <f t="shared" si="168"/>
        <v>0</v>
      </c>
      <c r="I545" s="16">
        <f t="shared" si="169"/>
        <v>0</v>
      </c>
      <c r="J545" s="16">
        <f t="shared" si="158"/>
        <v>0</v>
      </c>
      <c r="K545" s="16">
        <f t="shared" si="165"/>
        <v>0</v>
      </c>
      <c r="L545" s="67">
        <f t="shared" si="166"/>
        <v>0</v>
      </c>
      <c r="M545" s="4">
        <f t="shared" si="159"/>
        <v>0</v>
      </c>
      <c r="N545" s="4">
        <f t="shared" si="160"/>
        <v>0</v>
      </c>
      <c r="O545" s="4">
        <f t="shared" si="167"/>
        <v>0</v>
      </c>
      <c r="P545" s="4" t="e">
        <f>VLOOKUP(AJ537,'CIR Team Info'!$C$5:$E$44,2,FALSE)</f>
        <v>#N/A</v>
      </c>
      <c r="Q545" s="4" t="e">
        <f>VLOOKUP(AJ537,'CIR Team Info'!$C$5:$E$44,3,FALSE)</f>
        <v>#N/A</v>
      </c>
      <c r="R545" s="10" t="e">
        <f>VLOOKUP(AJ537,'FRC Site Data'!$B$3:$L$42,2,FALSE)</f>
        <v>#N/A</v>
      </c>
      <c r="S545" s="10" t="e">
        <f>VLOOKUP(AJ537,'FRC Site Data'!$B$3:$L$42,3,FALSE)</f>
        <v>#N/A</v>
      </c>
      <c r="T545" s="10" t="e">
        <f>VLOOKUP(AJ537,'FRC Site Data'!$B$3:$L$42,4,FALSE)</f>
        <v>#N/A</v>
      </c>
      <c r="U545" s="10" t="e">
        <f>VLOOKUP(AJ537,'FRC Site Data'!$B$3:$L$42,5,FALSE)</f>
        <v>#N/A</v>
      </c>
      <c r="V545" s="10" t="e">
        <f>VLOOKUP(AJ537,'FRC Site Data'!$B$3:$L$42,6,FALSE)</f>
        <v>#N/A</v>
      </c>
      <c r="W545" s="10" t="e">
        <f>VLOOKUP(AJ537,'FRC Site Data'!$B$3:$L$42,8,FALSE)</f>
        <v>#N/A</v>
      </c>
      <c r="X545" s="10" t="e">
        <f>VLOOKUP(AJ537,'FRC Site Data'!$B$3:$L$42,9,FALSE)</f>
        <v>#N/A</v>
      </c>
      <c r="Y545" s="10" t="e">
        <f>VLOOKUP(AJ537,'FRC Site Data'!$B$3:$L$42,10,FALSE)</f>
        <v>#N/A</v>
      </c>
      <c r="Z545" s="10" t="e">
        <f>VLOOKUP(AJ537,'FRC Site Data'!$B$3:$L$42,11,FALSE)</f>
        <v>#N/A</v>
      </c>
      <c r="AA545" s="10" t="e">
        <f>VLOOKUP(AJ537,'CIR Team Info'!$C$5:$E$44,4,FALSE)</f>
        <v>#N/A</v>
      </c>
      <c r="AB545" s="161" t="b">
        <f>ISNUMBER(VLOOKUP(AJ537,Match!$T$5:$T$10,1,FALSE))</f>
        <v>0</v>
      </c>
      <c r="AC545" s="161" t="b">
        <f>IF(AB545=TRUE,(VLOOKUP($AJ537,Match!$T$5:$U$10,2,FALSE)))</f>
        <v>0</v>
      </c>
      <c r="AD545" s="8">
        <v>3</v>
      </c>
      <c r="AE545" s="8">
        <v>2</v>
      </c>
      <c r="AF545" s="8">
        <v>2</v>
      </c>
      <c r="AG545" s="8">
        <v>1</v>
      </c>
      <c r="AH545" s="8" t="str">
        <f t="shared" si="154"/>
        <v/>
      </c>
      <c r="AI545" s="12"/>
      <c r="AZ545" s="12"/>
      <c r="BC545" s="12"/>
      <c r="BK545" s="12"/>
    </row>
    <row r="546" spans="1:63" x14ac:dyDescent="0.25">
      <c r="A546" s="29">
        <f t="shared" si="161"/>
        <v>0</v>
      </c>
      <c r="B546" s="29">
        <f t="shared" si="155"/>
        <v>0</v>
      </c>
      <c r="C546" s="29">
        <f t="shared" si="156"/>
        <v>0</v>
      </c>
      <c r="D546" s="29">
        <f t="shared" si="157"/>
        <v>0</v>
      </c>
      <c r="E546" s="29">
        <f t="shared" si="162"/>
        <v>0</v>
      </c>
      <c r="F546" s="29">
        <f t="shared" si="163"/>
        <v>0</v>
      </c>
      <c r="G546" s="29" t="str">
        <f t="shared" si="164"/>
        <v>offensive</v>
      </c>
      <c r="H546" s="16">
        <f t="shared" si="168"/>
        <v>0</v>
      </c>
      <c r="I546" s="16">
        <f t="shared" si="169"/>
        <v>0</v>
      </c>
      <c r="J546" s="16">
        <f t="shared" si="158"/>
        <v>0</v>
      </c>
      <c r="K546" s="16">
        <f t="shared" si="165"/>
        <v>0</v>
      </c>
      <c r="L546" s="67">
        <f t="shared" si="166"/>
        <v>0</v>
      </c>
      <c r="M546" s="4">
        <f t="shared" si="159"/>
        <v>0</v>
      </c>
      <c r="N546" s="4">
        <f t="shared" si="160"/>
        <v>0</v>
      </c>
      <c r="O546" s="4">
        <f t="shared" si="167"/>
        <v>0</v>
      </c>
      <c r="P546" s="4" t="e">
        <f>VLOOKUP(AJ538,'CIR Team Info'!$C$5:$E$44,2,FALSE)</f>
        <v>#N/A</v>
      </c>
      <c r="Q546" s="4" t="e">
        <f>VLOOKUP(AJ538,'CIR Team Info'!$C$5:$E$44,3,FALSE)</f>
        <v>#N/A</v>
      </c>
      <c r="R546" s="10" t="e">
        <f>VLOOKUP(AJ538,'FRC Site Data'!$B$3:$L$42,2,FALSE)</f>
        <v>#N/A</v>
      </c>
      <c r="S546" s="10" t="e">
        <f>VLOOKUP(AJ538,'FRC Site Data'!$B$3:$L$42,3,FALSE)</f>
        <v>#N/A</v>
      </c>
      <c r="T546" s="10" t="e">
        <f>VLOOKUP(AJ538,'FRC Site Data'!$B$3:$L$42,4,FALSE)</f>
        <v>#N/A</v>
      </c>
      <c r="U546" s="10" t="e">
        <f>VLOOKUP(AJ538,'FRC Site Data'!$B$3:$L$42,5,FALSE)</f>
        <v>#N/A</v>
      </c>
      <c r="V546" s="10" t="e">
        <f>VLOOKUP(AJ538,'FRC Site Data'!$B$3:$L$42,6,FALSE)</f>
        <v>#N/A</v>
      </c>
      <c r="W546" s="10" t="e">
        <f>VLOOKUP(AJ538,'FRC Site Data'!$B$3:$L$42,8,FALSE)</f>
        <v>#N/A</v>
      </c>
      <c r="X546" s="10" t="e">
        <f>VLOOKUP(AJ538,'FRC Site Data'!$B$3:$L$42,9,FALSE)</f>
        <v>#N/A</v>
      </c>
      <c r="Y546" s="10" t="e">
        <f>VLOOKUP(AJ538,'FRC Site Data'!$B$3:$L$42,10,FALSE)</f>
        <v>#N/A</v>
      </c>
      <c r="Z546" s="10" t="e">
        <f>VLOOKUP(AJ538,'FRC Site Data'!$B$3:$L$42,11,FALSE)</f>
        <v>#N/A</v>
      </c>
      <c r="AA546" s="10" t="e">
        <f>VLOOKUP(AJ538,'CIR Team Info'!$C$5:$E$44,4,FALSE)</f>
        <v>#N/A</v>
      </c>
      <c r="AB546" s="161" t="b">
        <f>ISNUMBER(VLOOKUP(AJ538,Match!$T$5:$T$10,1,FALSE))</f>
        <v>0</v>
      </c>
      <c r="AC546" s="161" t="b">
        <f>IF(AB546=TRUE,(VLOOKUP($AJ538,Match!$T$5:$U$10,2,FALSE)))</f>
        <v>0</v>
      </c>
      <c r="AD546" s="8">
        <v>3</v>
      </c>
      <c r="AE546" s="8">
        <v>2</v>
      </c>
      <c r="AF546" s="8">
        <v>2</v>
      </c>
      <c r="AG546" s="8">
        <v>1</v>
      </c>
      <c r="AH546" s="8" t="str">
        <f t="shared" si="154"/>
        <v/>
      </c>
      <c r="AI546" s="12"/>
      <c r="AZ546" s="12"/>
      <c r="BC546" s="12"/>
      <c r="BK546" s="12"/>
    </row>
    <row r="547" spans="1:63" x14ac:dyDescent="0.25">
      <c r="A547" s="29">
        <f t="shared" si="161"/>
        <v>0</v>
      </c>
      <c r="B547" s="29">
        <f t="shared" si="155"/>
        <v>0</v>
      </c>
      <c r="C547" s="29">
        <f t="shared" si="156"/>
        <v>0</v>
      </c>
      <c r="D547" s="29">
        <f t="shared" si="157"/>
        <v>0</v>
      </c>
      <c r="E547" s="29">
        <f t="shared" si="162"/>
        <v>0</v>
      </c>
      <c r="F547" s="29">
        <f t="shared" si="163"/>
        <v>0</v>
      </c>
      <c r="G547" s="29" t="str">
        <f t="shared" si="164"/>
        <v>offensive</v>
      </c>
      <c r="H547" s="16">
        <f t="shared" si="168"/>
        <v>0</v>
      </c>
      <c r="I547" s="16">
        <f t="shared" si="169"/>
        <v>0</v>
      </c>
      <c r="J547" s="16">
        <f t="shared" si="158"/>
        <v>0</v>
      </c>
      <c r="K547" s="16">
        <f t="shared" si="165"/>
        <v>0</v>
      </c>
      <c r="L547" s="67">
        <f t="shared" si="166"/>
        <v>0</v>
      </c>
      <c r="M547" s="4">
        <f t="shared" si="159"/>
        <v>0</v>
      </c>
      <c r="N547" s="4">
        <f t="shared" si="160"/>
        <v>0</v>
      </c>
      <c r="O547" s="4">
        <f t="shared" si="167"/>
        <v>0</v>
      </c>
      <c r="P547" s="4" t="e">
        <f>VLOOKUP(AJ539,'CIR Team Info'!$C$5:$E$44,2,FALSE)</f>
        <v>#N/A</v>
      </c>
      <c r="Q547" s="4" t="e">
        <f>VLOOKUP(AJ539,'CIR Team Info'!$C$5:$E$44,3,FALSE)</f>
        <v>#N/A</v>
      </c>
      <c r="R547" s="10" t="e">
        <f>VLOOKUP(AJ539,'FRC Site Data'!$B$3:$L$42,2,FALSE)</f>
        <v>#N/A</v>
      </c>
      <c r="S547" s="10" t="e">
        <f>VLOOKUP(AJ539,'FRC Site Data'!$B$3:$L$42,3,FALSE)</f>
        <v>#N/A</v>
      </c>
      <c r="T547" s="10" t="e">
        <f>VLOOKUP(AJ539,'FRC Site Data'!$B$3:$L$42,4,FALSE)</f>
        <v>#N/A</v>
      </c>
      <c r="U547" s="10" t="e">
        <f>VLOOKUP(AJ539,'FRC Site Data'!$B$3:$L$42,5,FALSE)</f>
        <v>#N/A</v>
      </c>
      <c r="V547" s="10" t="e">
        <f>VLOOKUP(AJ539,'FRC Site Data'!$B$3:$L$42,6,FALSE)</f>
        <v>#N/A</v>
      </c>
      <c r="W547" s="10" t="e">
        <f>VLOOKUP(AJ539,'FRC Site Data'!$B$3:$L$42,8,FALSE)</f>
        <v>#N/A</v>
      </c>
      <c r="X547" s="10" t="e">
        <f>VLOOKUP(AJ539,'FRC Site Data'!$B$3:$L$42,9,FALSE)</f>
        <v>#N/A</v>
      </c>
      <c r="Y547" s="10" t="e">
        <f>VLOOKUP(AJ539,'FRC Site Data'!$B$3:$L$42,10,FALSE)</f>
        <v>#N/A</v>
      </c>
      <c r="Z547" s="10" t="e">
        <f>VLOOKUP(AJ539,'FRC Site Data'!$B$3:$L$42,11,FALSE)</f>
        <v>#N/A</v>
      </c>
      <c r="AA547" s="10" t="e">
        <f>VLOOKUP(AJ539,'CIR Team Info'!$C$5:$E$44,4,FALSE)</f>
        <v>#N/A</v>
      </c>
      <c r="AB547" s="161" t="b">
        <f>ISNUMBER(VLOOKUP(AJ539,Match!$T$5:$T$10,1,FALSE))</f>
        <v>0</v>
      </c>
      <c r="AC547" s="161" t="b">
        <f>IF(AB547=TRUE,(VLOOKUP($AJ539,Match!$T$5:$U$10,2,FALSE)))</f>
        <v>0</v>
      </c>
      <c r="AD547" s="8">
        <v>3</v>
      </c>
      <c r="AE547" s="8">
        <v>2</v>
      </c>
      <c r="AF547" s="8">
        <v>2</v>
      </c>
      <c r="AG547" s="8">
        <v>1</v>
      </c>
      <c r="AH547" s="8" t="str">
        <f t="shared" si="154"/>
        <v/>
      </c>
      <c r="AI547" s="12"/>
      <c r="AZ547" s="12"/>
      <c r="BC547" s="12"/>
      <c r="BK547" s="12"/>
    </row>
    <row r="548" spans="1:63" x14ac:dyDescent="0.25">
      <c r="A548" s="29">
        <f t="shared" si="161"/>
        <v>0</v>
      </c>
      <c r="B548" s="29">
        <f t="shared" si="155"/>
        <v>0</v>
      </c>
      <c r="C548" s="29">
        <f t="shared" si="156"/>
        <v>0</v>
      </c>
      <c r="D548" s="29">
        <f t="shared" si="157"/>
        <v>0</v>
      </c>
      <c r="E548" s="29">
        <f t="shared" si="162"/>
        <v>0</v>
      </c>
      <c r="F548" s="29">
        <f t="shared" si="163"/>
        <v>0</v>
      </c>
      <c r="G548" s="29" t="str">
        <f t="shared" si="164"/>
        <v>offensive</v>
      </c>
      <c r="H548" s="16">
        <f t="shared" si="168"/>
        <v>0</v>
      </c>
      <c r="I548" s="16">
        <f t="shared" si="169"/>
        <v>0</v>
      </c>
      <c r="J548" s="16">
        <f t="shared" si="158"/>
        <v>0</v>
      </c>
      <c r="K548" s="16">
        <f t="shared" si="165"/>
        <v>0</v>
      </c>
      <c r="L548" s="67">
        <f t="shared" si="166"/>
        <v>0</v>
      </c>
      <c r="M548" s="4">
        <f t="shared" si="159"/>
        <v>0</v>
      </c>
      <c r="N548" s="4">
        <f t="shared" si="160"/>
        <v>0</v>
      </c>
      <c r="O548" s="4">
        <f t="shared" si="167"/>
        <v>0</v>
      </c>
      <c r="P548" s="4" t="e">
        <f>VLOOKUP(AJ540,'CIR Team Info'!$C$5:$E$44,2,FALSE)</f>
        <v>#N/A</v>
      </c>
      <c r="Q548" s="4" t="e">
        <f>VLOOKUP(AJ540,'CIR Team Info'!$C$5:$E$44,3,FALSE)</f>
        <v>#N/A</v>
      </c>
      <c r="R548" s="10" t="e">
        <f>VLOOKUP(AJ540,'FRC Site Data'!$B$3:$L$42,2,FALSE)</f>
        <v>#N/A</v>
      </c>
      <c r="S548" s="10" t="e">
        <f>VLOOKUP(AJ540,'FRC Site Data'!$B$3:$L$42,3,FALSE)</f>
        <v>#N/A</v>
      </c>
      <c r="T548" s="10" t="e">
        <f>VLOOKUP(AJ540,'FRC Site Data'!$B$3:$L$42,4,FALSE)</f>
        <v>#N/A</v>
      </c>
      <c r="U548" s="10" t="e">
        <f>VLOOKUP(AJ540,'FRC Site Data'!$B$3:$L$42,5,FALSE)</f>
        <v>#N/A</v>
      </c>
      <c r="V548" s="10" t="e">
        <f>VLOOKUP(AJ540,'FRC Site Data'!$B$3:$L$42,6,FALSE)</f>
        <v>#N/A</v>
      </c>
      <c r="W548" s="10" t="e">
        <f>VLOOKUP(AJ540,'FRC Site Data'!$B$3:$L$42,8,FALSE)</f>
        <v>#N/A</v>
      </c>
      <c r="X548" s="10" t="e">
        <f>VLOOKUP(AJ540,'FRC Site Data'!$B$3:$L$42,9,FALSE)</f>
        <v>#N/A</v>
      </c>
      <c r="Y548" s="10" t="e">
        <f>VLOOKUP(AJ540,'FRC Site Data'!$B$3:$L$42,10,FALSE)</f>
        <v>#N/A</v>
      </c>
      <c r="Z548" s="10" t="e">
        <f>VLOOKUP(AJ540,'FRC Site Data'!$B$3:$L$42,11,FALSE)</f>
        <v>#N/A</v>
      </c>
      <c r="AA548" s="10" t="e">
        <f>VLOOKUP(AJ540,'CIR Team Info'!$C$5:$E$44,4,FALSE)</f>
        <v>#N/A</v>
      </c>
      <c r="AB548" s="161" t="b">
        <f>ISNUMBER(VLOOKUP(AJ540,Match!$T$5:$T$10,1,FALSE))</f>
        <v>0</v>
      </c>
      <c r="AC548" s="161" t="b">
        <f>IF(AB548=TRUE,(VLOOKUP($AJ540,Match!$T$5:$U$10,2,FALSE)))</f>
        <v>0</v>
      </c>
      <c r="AD548" s="8">
        <v>3</v>
      </c>
      <c r="AE548" s="8">
        <v>2</v>
      </c>
      <c r="AF548" s="8">
        <v>2</v>
      </c>
      <c r="AG548" s="8">
        <v>1</v>
      </c>
      <c r="AH548" s="8" t="str">
        <f t="shared" si="154"/>
        <v/>
      </c>
      <c r="AI548" s="12"/>
      <c r="AZ548" s="12"/>
      <c r="BC548" s="12"/>
      <c r="BK548" s="12"/>
    </row>
    <row r="549" spans="1:63" x14ac:dyDescent="0.25">
      <c r="A549" s="29">
        <f t="shared" si="161"/>
        <v>0</v>
      </c>
      <c r="B549" s="29">
        <f t="shared" si="155"/>
        <v>0</v>
      </c>
      <c r="C549" s="29">
        <f t="shared" si="156"/>
        <v>0</v>
      </c>
      <c r="D549" s="29">
        <f t="shared" si="157"/>
        <v>0</v>
      </c>
      <c r="E549" s="29">
        <f t="shared" si="162"/>
        <v>0</v>
      </c>
      <c r="F549" s="29">
        <f t="shared" si="163"/>
        <v>0</v>
      </c>
      <c r="G549" s="29" t="str">
        <f t="shared" si="164"/>
        <v>offensive</v>
      </c>
      <c r="H549" s="16">
        <f t="shared" si="168"/>
        <v>0</v>
      </c>
      <c r="I549" s="16">
        <f t="shared" si="169"/>
        <v>0</v>
      </c>
      <c r="J549" s="16">
        <f t="shared" si="158"/>
        <v>0</v>
      </c>
      <c r="K549" s="16">
        <f t="shared" si="165"/>
        <v>0</v>
      </c>
      <c r="L549" s="67">
        <f t="shared" si="166"/>
        <v>0</v>
      </c>
      <c r="M549" s="4">
        <f t="shared" si="159"/>
        <v>0</v>
      </c>
      <c r="N549" s="4">
        <f t="shared" si="160"/>
        <v>0</v>
      </c>
      <c r="O549" s="4">
        <f t="shared" si="167"/>
        <v>0</v>
      </c>
      <c r="P549" s="4" t="e">
        <f>VLOOKUP(AJ541,'CIR Team Info'!$C$5:$E$44,2,FALSE)</f>
        <v>#N/A</v>
      </c>
      <c r="Q549" s="4" t="e">
        <f>VLOOKUP(AJ541,'CIR Team Info'!$C$5:$E$44,3,FALSE)</f>
        <v>#N/A</v>
      </c>
      <c r="R549" s="10" t="e">
        <f>VLOOKUP(AJ541,'FRC Site Data'!$B$3:$L$42,2,FALSE)</f>
        <v>#N/A</v>
      </c>
      <c r="S549" s="10" t="e">
        <f>VLOOKUP(AJ541,'FRC Site Data'!$B$3:$L$42,3,FALSE)</f>
        <v>#N/A</v>
      </c>
      <c r="T549" s="10" t="e">
        <f>VLOOKUP(AJ541,'FRC Site Data'!$B$3:$L$42,4,FALSE)</f>
        <v>#N/A</v>
      </c>
      <c r="U549" s="10" t="e">
        <f>VLOOKUP(AJ541,'FRC Site Data'!$B$3:$L$42,5,FALSE)</f>
        <v>#N/A</v>
      </c>
      <c r="V549" s="10" t="e">
        <f>VLOOKUP(AJ541,'FRC Site Data'!$B$3:$L$42,6,FALSE)</f>
        <v>#N/A</v>
      </c>
      <c r="W549" s="10" t="e">
        <f>VLOOKUP(AJ541,'FRC Site Data'!$B$3:$L$42,8,FALSE)</f>
        <v>#N/A</v>
      </c>
      <c r="X549" s="10" t="e">
        <f>VLOOKUP(AJ541,'FRC Site Data'!$B$3:$L$42,9,FALSE)</f>
        <v>#N/A</v>
      </c>
      <c r="Y549" s="10" t="e">
        <f>VLOOKUP(AJ541,'FRC Site Data'!$B$3:$L$42,10,FALSE)</f>
        <v>#N/A</v>
      </c>
      <c r="Z549" s="10" t="e">
        <f>VLOOKUP(AJ541,'FRC Site Data'!$B$3:$L$42,11,FALSE)</f>
        <v>#N/A</v>
      </c>
      <c r="AA549" s="10" t="e">
        <f>VLOOKUP(AJ541,'CIR Team Info'!$C$5:$E$44,4,FALSE)</f>
        <v>#N/A</v>
      </c>
      <c r="AB549" s="161" t="b">
        <f>ISNUMBER(VLOOKUP(AJ541,Match!$T$5:$T$10,1,FALSE))</f>
        <v>0</v>
      </c>
      <c r="AC549" s="161" t="b">
        <f>IF(AB549=TRUE,(VLOOKUP($AJ541,Match!$T$5:$U$10,2,FALSE)))</f>
        <v>0</v>
      </c>
      <c r="AD549" s="8">
        <v>3</v>
      </c>
      <c r="AE549" s="8">
        <v>2</v>
      </c>
      <c r="AF549" s="8">
        <v>2</v>
      </c>
      <c r="AG549" s="8">
        <v>1</v>
      </c>
      <c r="AH549" s="8" t="str">
        <f t="shared" si="154"/>
        <v/>
      </c>
      <c r="AI549" s="12"/>
      <c r="AZ549" s="12"/>
      <c r="BC549" s="12"/>
      <c r="BK549" s="12"/>
    </row>
    <row r="550" spans="1:63" x14ac:dyDescent="0.25">
      <c r="A550" s="29">
        <f t="shared" si="161"/>
        <v>0</v>
      </c>
      <c r="B550" s="29">
        <f t="shared" si="155"/>
        <v>0</v>
      </c>
      <c r="C550" s="29">
        <f t="shared" si="156"/>
        <v>0</v>
      </c>
      <c r="D550" s="29">
        <f t="shared" si="157"/>
        <v>0</v>
      </c>
      <c r="E550" s="29">
        <f t="shared" si="162"/>
        <v>0</v>
      </c>
      <c r="F550" s="29">
        <f t="shared" si="163"/>
        <v>0</v>
      </c>
      <c r="G550" s="29" t="str">
        <f t="shared" si="164"/>
        <v>offensive</v>
      </c>
      <c r="H550" s="16">
        <f t="shared" si="168"/>
        <v>0</v>
      </c>
      <c r="I550" s="16">
        <f t="shared" si="169"/>
        <v>0</v>
      </c>
      <c r="J550" s="16">
        <f t="shared" si="158"/>
        <v>0</v>
      </c>
      <c r="K550" s="16">
        <f t="shared" si="165"/>
        <v>0</v>
      </c>
      <c r="L550" s="67">
        <f t="shared" si="166"/>
        <v>0</v>
      </c>
      <c r="M550" s="4">
        <f t="shared" si="159"/>
        <v>0</v>
      </c>
      <c r="N550" s="4">
        <f t="shared" si="160"/>
        <v>0</v>
      </c>
      <c r="O550" s="4">
        <f t="shared" si="167"/>
        <v>0</v>
      </c>
      <c r="P550" s="4" t="e">
        <f>VLOOKUP(AJ542,'CIR Team Info'!$C$5:$E$44,2,FALSE)</f>
        <v>#N/A</v>
      </c>
      <c r="Q550" s="4" t="e">
        <f>VLOOKUP(AJ542,'CIR Team Info'!$C$5:$E$44,3,FALSE)</f>
        <v>#N/A</v>
      </c>
      <c r="R550" s="10" t="e">
        <f>VLOOKUP(AJ542,'FRC Site Data'!$B$3:$L$42,2,FALSE)</f>
        <v>#N/A</v>
      </c>
      <c r="S550" s="10" t="e">
        <f>VLOOKUP(AJ542,'FRC Site Data'!$B$3:$L$42,3,FALSE)</f>
        <v>#N/A</v>
      </c>
      <c r="T550" s="10" t="e">
        <f>VLOOKUP(AJ542,'FRC Site Data'!$B$3:$L$42,4,FALSE)</f>
        <v>#N/A</v>
      </c>
      <c r="U550" s="10" t="e">
        <f>VLOOKUP(AJ542,'FRC Site Data'!$B$3:$L$42,5,FALSE)</f>
        <v>#N/A</v>
      </c>
      <c r="V550" s="10" t="e">
        <f>VLOOKUP(AJ542,'FRC Site Data'!$B$3:$L$42,6,FALSE)</f>
        <v>#N/A</v>
      </c>
      <c r="W550" s="10" t="e">
        <f>VLOOKUP(AJ542,'FRC Site Data'!$B$3:$L$42,8,FALSE)</f>
        <v>#N/A</v>
      </c>
      <c r="X550" s="10" t="e">
        <f>VLOOKUP(AJ542,'FRC Site Data'!$B$3:$L$42,9,FALSE)</f>
        <v>#N/A</v>
      </c>
      <c r="Y550" s="10" t="e">
        <f>VLOOKUP(AJ542,'FRC Site Data'!$B$3:$L$42,10,FALSE)</f>
        <v>#N/A</v>
      </c>
      <c r="Z550" s="10" t="e">
        <f>VLOOKUP(AJ542,'FRC Site Data'!$B$3:$L$42,11,FALSE)</f>
        <v>#N/A</v>
      </c>
      <c r="AA550" s="10" t="e">
        <f>VLOOKUP(AJ542,'CIR Team Info'!$C$5:$E$44,4,FALSE)</f>
        <v>#N/A</v>
      </c>
      <c r="AB550" s="161" t="b">
        <f>ISNUMBER(VLOOKUP(AJ542,Match!$T$5:$T$10,1,FALSE))</f>
        <v>0</v>
      </c>
      <c r="AC550" s="161" t="b">
        <f>IF(AB550=TRUE,(VLOOKUP($AJ542,Match!$T$5:$U$10,2,FALSE)))</f>
        <v>0</v>
      </c>
      <c r="AD550" s="8">
        <v>3</v>
      </c>
      <c r="AE550" s="8">
        <v>2</v>
      </c>
      <c r="AF550" s="8">
        <v>2</v>
      </c>
      <c r="AG550" s="8">
        <v>1</v>
      </c>
      <c r="AH550" s="8" t="str">
        <f t="shared" si="154"/>
        <v/>
      </c>
      <c r="AI550" s="12"/>
      <c r="AZ550" s="12"/>
      <c r="BC550" s="12"/>
      <c r="BK550" s="12"/>
    </row>
    <row r="551" spans="1:63" x14ac:dyDescent="0.25">
      <c r="A551" s="29">
        <f t="shared" si="161"/>
        <v>0</v>
      </c>
      <c r="B551" s="29">
        <f t="shared" si="155"/>
        <v>0</v>
      </c>
      <c r="C551" s="29">
        <f t="shared" si="156"/>
        <v>0</v>
      </c>
      <c r="D551" s="29">
        <f t="shared" si="157"/>
        <v>0</v>
      </c>
      <c r="E551" s="29">
        <f t="shared" si="162"/>
        <v>0</v>
      </c>
      <c r="F551" s="29">
        <f t="shared" si="163"/>
        <v>0</v>
      </c>
      <c r="G551" s="29" t="str">
        <f t="shared" si="164"/>
        <v>offensive</v>
      </c>
      <c r="H551" s="16">
        <f t="shared" si="168"/>
        <v>0</v>
      </c>
      <c r="I551" s="16">
        <f t="shared" si="169"/>
        <v>0</v>
      </c>
      <c r="J551" s="16">
        <f t="shared" si="158"/>
        <v>0</v>
      </c>
      <c r="K551" s="16">
        <f t="shared" si="165"/>
        <v>0</v>
      </c>
      <c r="L551" s="67">
        <f t="shared" si="166"/>
        <v>0</v>
      </c>
      <c r="M551" s="4">
        <f t="shared" si="159"/>
        <v>0</v>
      </c>
      <c r="N551" s="4">
        <f t="shared" si="160"/>
        <v>0</v>
      </c>
      <c r="O551" s="4">
        <f t="shared" si="167"/>
        <v>0</v>
      </c>
      <c r="P551" s="4" t="e">
        <f>VLOOKUP(AJ543,'CIR Team Info'!$C$5:$E$44,2,FALSE)</f>
        <v>#N/A</v>
      </c>
      <c r="Q551" s="4" t="e">
        <f>VLOOKUP(AJ543,'CIR Team Info'!$C$5:$E$44,3,FALSE)</f>
        <v>#N/A</v>
      </c>
      <c r="R551" s="10" t="e">
        <f>VLOOKUP(AJ543,'FRC Site Data'!$B$3:$L$42,2,FALSE)</f>
        <v>#N/A</v>
      </c>
      <c r="S551" s="10" t="e">
        <f>VLOOKUP(AJ543,'FRC Site Data'!$B$3:$L$42,3,FALSE)</f>
        <v>#N/A</v>
      </c>
      <c r="T551" s="10" t="e">
        <f>VLOOKUP(AJ543,'FRC Site Data'!$B$3:$L$42,4,FALSE)</f>
        <v>#N/A</v>
      </c>
      <c r="U551" s="10" t="e">
        <f>VLOOKUP(AJ543,'FRC Site Data'!$B$3:$L$42,5,FALSE)</f>
        <v>#N/A</v>
      </c>
      <c r="V551" s="10" t="e">
        <f>VLOOKUP(AJ543,'FRC Site Data'!$B$3:$L$42,6,FALSE)</f>
        <v>#N/A</v>
      </c>
      <c r="W551" s="10" t="e">
        <f>VLOOKUP(AJ543,'FRC Site Data'!$B$3:$L$42,8,FALSE)</f>
        <v>#N/A</v>
      </c>
      <c r="X551" s="10" t="e">
        <f>VLOOKUP(AJ543,'FRC Site Data'!$B$3:$L$42,9,FALSE)</f>
        <v>#N/A</v>
      </c>
      <c r="Y551" s="10" t="e">
        <f>VLOOKUP(AJ543,'FRC Site Data'!$B$3:$L$42,10,FALSE)</f>
        <v>#N/A</v>
      </c>
      <c r="Z551" s="10" t="e">
        <f>VLOOKUP(AJ543,'FRC Site Data'!$B$3:$L$42,11,FALSE)</f>
        <v>#N/A</v>
      </c>
      <c r="AA551" s="10" t="e">
        <f>VLOOKUP(AJ543,'CIR Team Info'!$C$5:$E$44,4,FALSE)</f>
        <v>#N/A</v>
      </c>
      <c r="AB551" s="161" t="b">
        <f>ISNUMBER(VLOOKUP(AJ543,Match!$T$5:$T$10,1,FALSE))</f>
        <v>0</v>
      </c>
      <c r="AC551" s="161" t="b">
        <f>IF(AB551=TRUE,(VLOOKUP($AJ543,Match!$T$5:$U$10,2,FALSE)))</f>
        <v>0</v>
      </c>
      <c r="AD551" s="8">
        <v>3</v>
      </c>
      <c r="AE551" s="8">
        <v>2</v>
      </c>
      <c r="AF551" s="8">
        <v>2</v>
      </c>
      <c r="AG551" s="8">
        <v>1</v>
      </c>
      <c r="AH551" s="8" t="str">
        <f t="shared" ref="AH551:AH610" si="170">IF(AL543="Other","x","")</f>
        <v/>
      </c>
      <c r="AI551" s="12"/>
      <c r="AZ551" s="12"/>
      <c r="BC551" s="12"/>
      <c r="BK551" s="12"/>
    </row>
    <row r="552" spans="1:63" x14ac:dyDescent="0.25">
      <c r="A552" s="29">
        <f t="shared" si="161"/>
        <v>0</v>
      </c>
      <c r="B552" s="29">
        <f t="shared" si="155"/>
        <v>0</v>
      </c>
      <c r="C552" s="29">
        <f t="shared" si="156"/>
        <v>0</v>
      </c>
      <c r="D552" s="29">
        <f t="shared" si="157"/>
        <v>0</v>
      </c>
      <c r="E552" s="29">
        <f t="shared" si="162"/>
        <v>0</v>
      </c>
      <c r="F552" s="29">
        <f t="shared" si="163"/>
        <v>0</v>
      </c>
      <c r="G552" s="29" t="str">
        <f t="shared" si="164"/>
        <v>offensive</v>
      </c>
      <c r="H552" s="16">
        <f t="shared" si="168"/>
        <v>0</v>
      </c>
      <c r="I552" s="16">
        <f t="shared" si="169"/>
        <v>0</v>
      </c>
      <c r="J552" s="16">
        <f t="shared" si="158"/>
        <v>0</v>
      </c>
      <c r="K552" s="16">
        <f t="shared" si="165"/>
        <v>0</v>
      </c>
      <c r="L552" s="67">
        <f t="shared" si="166"/>
        <v>0</v>
      </c>
      <c r="M552" s="4">
        <f t="shared" si="159"/>
        <v>0</v>
      </c>
      <c r="N552" s="4">
        <f t="shared" si="160"/>
        <v>0</v>
      </c>
      <c r="O552" s="4">
        <f t="shared" si="167"/>
        <v>0</v>
      </c>
      <c r="P552" s="4" t="e">
        <f>VLOOKUP(AJ544,'CIR Team Info'!$C$5:$E$44,2,FALSE)</f>
        <v>#N/A</v>
      </c>
      <c r="Q552" s="4" t="e">
        <f>VLOOKUP(AJ544,'CIR Team Info'!$C$5:$E$44,3,FALSE)</f>
        <v>#N/A</v>
      </c>
      <c r="R552" s="10" t="e">
        <f>VLOOKUP(AJ544,'FRC Site Data'!$B$3:$L$42,2,FALSE)</f>
        <v>#N/A</v>
      </c>
      <c r="S552" s="10" t="e">
        <f>VLOOKUP(AJ544,'FRC Site Data'!$B$3:$L$42,3,FALSE)</f>
        <v>#N/A</v>
      </c>
      <c r="T552" s="10" t="e">
        <f>VLOOKUP(AJ544,'FRC Site Data'!$B$3:$L$42,4,FALSE)</f>
        <v>#N/A</v>
      </c>
      <c r="U552" s="10" t="e">
        <f>VLOOKUP(AJ544,'FRC Site Data'!$B$3:$L$42,5,FALSE)</f>
        <v>#N/A</v>
      </c>
      <c r="V552" s="10" t="e">
        <f>VLOOKUP(AJ544,'FRC Site Data'!$B$3:$L$42,6,FALSE)</f>
        <v>#N/A</v>
      </c>
      <c r="W552" s="10" t="e">
        <f>VLOOKUP(AJ544,'FRC Site Data'!$B$3:$L$42,8,FALSE)</f>
        <v>#N/A</v>
      </c>
      <c r="X552" s="10" t="e">
        <f>VLOOKUP(AJ544,'FRC Site Data'!$B$3:$L$42,9,FALSE)</f>
        <v>#N/A</v>
      </c>
      <c r="Y552" s="10" t="e">
        <f>VLOOKUP(AJ544,'FRC Site Data'!$B$3:$L$42,10,FALSE)</f>
        <v>#N/A</v>
      </c>
      <c r="Z552" s="10" t="e">
        <f>VLOOKUP(AJ544,'FRC Site Data'!$B$3:$L$42,11,FALSE)</f>
        <v>#N/A</v>
      </c>
      <c r="AA552" s="10" t="e">
        <f>VLOOKUP(AJ544,'CIR Team Info'!$C$5:$E$44,4,FALSE)</f>
        <v>#N/A</v>
      </c>
      <c r="AB552" s="161" t="b">
        <f>ISNUMBER(VLOOKUP(AJ544,Match!$T$5:$T$10,1,FALSE))</f>
        <v>0</v>
      </c>
      <c r="AC552" s="161" t="b">
        <f>IF(AB552=TRUE,(VLOOKUP($AJ544,Match!$T$5:$U$10,2,FALSE)))</f>
        <v>0</v>
      </c>
      <c r="AD552" s="8">
        <v>3</v>
      </c>
      <c r="AE552" s="8">
        <v>2</v>
      </c>
      <c r="AF552" s="8">
        <v>2</v>
      </c>
      <c r="AG552" s="8">
        <v>1</v>
      </c>
      <c r="AH552" s="8" t="str">
        <f t="shared" si="170"/>
        <v/>
      </c>
      <c r="AI552" s="12"/>
      <c r="AZ552" s="12"/>
      <c r="BC552" s="12"/>
      <c r="BK552" s="12"/>
    </row>
    <row r="553" spans="1:63" x14ac:dyDescent="0.25">
      <c r="A553" s="29">
        <f t="shared" si="161"/>
        <v>0</v>
      </c>
      <c r="B553" s="29">
        <f t="shared" si="155"/>
        <v>0</v>
      </c>
      <c r="C553" s="29">
        <f t="shared" si="156"/>
        <v>0</v>
      </c>
      <c r="D553" s="29">
        <f t="shared" si="157"/>
        <v>0</v>
      </c>
      <c r="E553" s="29">
        <f t="shared" si="162"/>
        <v>0</v>
      </c>
      <c r="F553" s="29">
        <f t="shared" si="163"/>
        <v>0</v>
      </c>
      <c r="G553" s="29" t="str">
        <f t="shared" si="164"/>
        <v>offensive</v>
      </c>
      <c r="H553" s="16">
        <f t="shared" si="168"/>
        <v>0</v>
      </c>
      <c r="I553" s="16">
        <f t="shared" si="169"/>
        <v>0</v>
      </c>
      <c r="J553" s="16">
        <f t="shared" si="158"/>
        <v>0</v>
      </c>
      <c r="K553" s="16">
        <f t="shared" si="165"/>
        <v>0</v>
      </c>
      <c r="L553" s="67">
        <f t="shared" si="166"/>
        <v>0</v>
      </c>
      <c r="M553" s="4">
        <f t="shared" si="159"/>
        <v>0</v>
      </c>
      <c r="N553" s="4">
        <f t="shared" si="160"/>
        <v>0</v>
      </c>
      <c r="O553" s="4">
        <f t="shared" si="167"/>
        <v>0</v>
      </c>
      <c r="P553" s="4" t="e">
        <f>VLOOKUP(AJ545,'CIR Team Info'!$C$5:$E$44,2,FALSE)</f>
        <v>#N/A</v>
      </c>
      <c r="Q553" s="4" t="e">
        <f>VLOOKUP(AJ545,'CIR Team Info'!$C$5:$E$44,3,FALSE)</f>
        <v>#N/A</v>
      </c>
      <c r="R553" s="10" t="e">
        <f>VLOOKUP(AJ545,'FRC Site Data'!$B$3:$L$42,2,FALSE)</f>
        <v>#N/A</v>
      </c>
      <c r="S553" s="10" t="e">
        <f>VLOOKUP(AJ545,'FRC Site Data'!$B$3:$L$42,3,FALSE)</f>
        <v>#N/A</v>
      </c>
      <c r="T553" s="10" t="e">
        <f>VLOOKUP(AJ545,'FRC Site Data'!$B$3:$L$42,4,FALSE)</f>
        <v>#N/A</v>
      </c>
      <c r="U553" s="10" t="e">
        <f>VLOOKUP(AJ545,'FRC Site Data'!$B$3:$L$42,5,FALSE)</f>
        <v>#N/A</v>
      </c>
      <c r="V553" s="10" t="e">
        <f>VLOOKUP(AJ545,'FRC Site Data'!$B$3:$L$42,6,FALSE)</f>
        <v>#N/A</v>
      </c>
      <c r="W553" s="10" t="e">
        <f>VLOOKUP(AJ545,'FRC Site Data'!$B$3:$L$42,8,FALSE)</f>
        <v>#N/A</v>
      </c>
      <c r="X553" s="10" t="e">
        <f>VLOOKUP(AJ545,'FRC Site Data'!$B$3:$L$42,9,FALSE)</f>
        <v>#N/A</v>
      </c>
      <c r="Y553" s="10" t="e">
        <f>VLOOKUP(AJ545,'FRC Site Data'!$B$3:$L$42,10,FALSE)</f>
        <v>#N/A</v>
      </c>
      <c r="Z553" s="10" t="e">
        <f>VLOOKUP(AJ545,'FRC Site Data'!$B$3:$L$42,11,FALSE)</f>
        <v>#N/A</v>
      </c>
      <c r="AA553" s="10" t="e">
        <f>VLOOKUP(AJ545,'CIR Team Info'!$C$5:$E$44,4,FALSE)</f>
        <v>#N/A</v>
      </c>
      <c r="AB553" s="161" t="b">
        <f>ISNUMBER(VLOOKUP(AJ545,Match!$T$5:$T$10,1,FALSE))</f>
        <v>0</v>
      </c>
      <c r="AC553" s="161" t="b">
        <f>IF(AB553=TRUE,(VLOOKUP($AJ545,Match!$T$5:$U$10,2,FALSE)))</f>
        <v>0</v>
      </c>
      <c r="AD553" s="8">
        <v>3</v>
      </c>
      <c r="AE553" s="8">
        <v>2</v>
      </c>
      <c r="AF553" s="8">
        <v>2</v>
      </c>
      <c r="AG553" s="8">
        <v>1</v>
      </c>
      <c r="AH553" s="8" t="str">
        <f t="shared" si="170"/>
        <v/>
      </c>
      <c r="AI553" s="12"/>
      <c r="AZ553" s="12"/>
      <c r="BC553" s="12"/>
      <c r="BK553" s="12"/>
    </row>
    <row r="554" spans="1:63" x14ac:dyDescent="0.25">
      <c r="A554" s="29">
        <f t="shared" si="161"/>
        <v>0</v>
      </c>
      <c r="B554" s="29">
        <f t="shared" si="155"/>
        <v>0</v>
      </c>
      <c r="C554" s="29">
        <f t="shared" si="156"/>
        <v>0</v>
      </c>
      <c r="D554" s="29">
        <f t="shared" si="157"/>
        <v>0</v>
      </c>
      <c r="E554" s="29">
        <f t="shared" si="162"/>
        <v>0</v>
      </c>
      <c r="F554" s="29">
        <f t="shared" si="163"/>
        <v>0</v>
      </c>
      <c r="G554" s="29" t="str">
        <f t="shared" si="164"/>
        <v>offensive</v>
      </c>
      <c r="H554" s="16">
        <f t="shared" si="168"/>
        <v>0</v>
      </c>
      <c r="I554" s="16">
        <f t="shared" si="169"/>
        <v>0</v>
      </c>
      <c r="J554" s="16">
        <f t="shared" si="158"/>
        <v>0</v>
      </c>
      <c r="K554" s="16">
        <f t="shared" si="165"/>
        <v>0</v>
      </c>
      <c r="L554" s="67">
        <f t="shared" si="166"/>
        <v>0</v>
      </c>
      <c r="M554" s="4">
        <f t="shared" si="159"/>
        <v>0</v>
      </c>
      <c r="N554" s="4">
        <f t="shared" si="160"/>
        <v>0</v>
      </c>
      <c r="O554" s="4">
        <f t="shared" si="167"/>
        <v>0</v>
      </c>
      <c r="P554" s="4" t="e">
        <f>VLOOKUP(AJ546,'CIR Team Info'!$C$5:$E$44,2,FALSE)</f>
        <v>#N/A</v>
      </c>
      <c r="Q554" s="4" t="e">
        <f>VLOOKUP(AJ546,'CIR Team Info'!$C$5:$E$44,3,FALSE)</f>
        <v>#N/A</v>
      </c>
      <c r="R554" s="10" t="e">
        <f>VLOOKUP(AJ546,'FRC Site Data'!$B$3:$L$42,2,FALSE)</f>
        <v>#N/A</v>
      </c>
      <c r="S554" s="10" t="e">
        <f>VLOOKUP(AJ546,'FRC Site Data'!$B$3:$L$42,3,FALSE)</f>
        <v>#N/A</v>
      </c>
      <c r="T554" s="10" t="e">
        <f>VLOOKUP(AJ546,'FRC Site Data'!$B$3:$L$42,4,FALSE)</f>
        <v>#N/A</v>
      </c>
      <c r="U554" s="10" t="e">
        <f>VLOOKUP(AJ546,'FRC Site Data'!$B$3:$L$42,5,FALSE)</f>
        <v>#N/A</v>
      </c>
      <c r="V554" s="10" t="e">
        <f>VLOOKUP(AJ546,'FRC Site Data'!$B$3:$L$42,6,FALSE)</f>
        <v>#N/A</v>
      </c>
      <c r="W554" s="10" t="e">
        <f>VLOOKUP(AJ546,'FRC Site Data'!$B$3:$L$42,8,FALSE)</f>
        <v>#N/A</v>
      </c>
      <c r="X554" s="10" t="e">
        <f>VLOOKUP(AJ546,'FRC Site Data'!$B$3:$L$42,9,FALSE)</f>
        <v>#N/A</v>
      </c>
      <c r="Y554" s="10" t="e">
        <f>VLOOKUP(AJ546,'FRC Site Data'!$B$3:$L$42,10,FALSE)</f>
        <v>#N/A</v>
      </c>
      <c r="Z554" s="10" t="e">
        <f>VLOOKUP(AJ546,'FRC Site Data'!$B$3:$L$42,11,FALSE)</f>
        <v>#N/A</v>
      </c>
      <c r="AA554" s="10" t="e">
        <f>VLOOKUP(AJ546,'CIR Team Info'!$C$5:$E$44,4,FALSE)</f>
        <v>#N/A</v>
      </c>
      <c r="AB554" s="161" t="b">
        <f>ISNUMBER(VLOOKUP(AJ546,Match!$T$5:$T$10,1,FALSE))</f>
        <v>0</v>
      </c>
      <c r="AC554" s="161" t="b">
        <f>IF(AB554=TRUE,(VLOOKUP($AJ546,Match!$T$5:$U$10,2,FALSE)))</f>
        <v>0</v>
      </c>
      <c r="AD554" s="8">
        <v>3</v>
      </c>
      <c r="AE554" s="8">
        <v>2</v>
      </c>
      <c r="AF554" s="8">
        <v>2</v>
      </c>
      <c r="AG554" s="8">
        <v>1</v>
      </c>
      <c r="AH554" s="8" t="str">
        <f t="shared" si="170"/>
        <v/>
      </c>
      <c r="AI554" s="12"/>
      <c r="AZ554" s="12"/>
      <c r="BC554" s="12"/>
      <c r="BK554" s="12"/>
    </row>
    <row r="555" spans="1:63" x14ac:dyDescent="0.25">
      <c r="A555" s="29">
        <f t="shared" si="161"/>
        <v>0</v>
      </c>
      <c r="B555" s="29">
        <f t="shared" si="155"/>
        <v>0</v>
      </c>
      <c r="C555" s="29">
        <f t="shared" si="156"/>
        <v>0</v>
      </c>
      <c r="D555" s="29">
        <f t="shared" si="157"/>
        <v>0</v>
      </c>
      <c r="E555" s="29">
        <f t="shared" si="162"/>
        <v>0</v>
      </c>
      <c r="F555" s="29">
        <f t="shared" si="163"/>
        <v>0</v>
      </c>
      <c r="G555" s="29" t="str">
        <f t="shared" si="164"/>
        <v>offensive</v>
      </c>
      <c r="H555" s="16">
        <f t="shared" si="168"/>
        <v>0</v>
      </c>
      <c r="I555" s="16">
        <f t="shared" si="169"/>
        <v>0</v>
      </c>
      <c r="J555" s="16">
        <f t="shared" si="158"/>
        <v>0</v>
      </c>
      <c r="K555" s="16">
        <f t="shared" si="165"/>
        <v>0</v>
      </c>
      <c r="L555" s="67">
        <f t="shared" si="166"/>
        <v>0</v>
      </c>
      <c r="M555" s="4">
        <f t="shared" si="159"/>
        <v>0</v>
      </c>
      <c r="N555" s="4">
        <f t="shared" si="160"/>
        <v>0</v>
      </c>
      <c r="O555" s="4">
        <f t="shared" si="167"/>
        <v>0</v>
      </c>
      <c r="P555" s="4" t="e">
        <f>VLOOKUP(AJ547,'CIR Team Info'!$C$5:$E$44,2,FALSE)</f>
        <v>#N/A</v>
      </c>
      <c r="Q555" s="4" t="e">
        <f>VLOOKUP(AJ547,'CIR Team Info'!$C$5:$E$44,3,FALSE)</f>
        <v>#N/A</v>
      </c>
      <c r="R555" s="10" t="e">
        <f>VLOOKUP(AJ547,'FRC Site Data'!$B$3:$L$42,2,FALSE)</f>
        <v>#N/A</v>
      </c>
      <c r="S555" s="10" t="e">
        <f>VLOOKUP(AJ547,'FRC Site Data'!$B$3:$L$42,3,FALSE)</f>
        <v>#N/A</v>
      </c>
      <c r="T555" s="10" t="e">
        <f>VLOOKUP(AJ547,'FRC Site Data'!$B$3:$L$42,4,FALSE)</f>
        <v>#N/A</v>
      </c>
      <c r="U555" s="10" t="e">
        <f>VLOOKUP(AJ547,'FRC Site Data'!$B$3:$L$42,5,FALSE)</f>
        <v>#N/A</v>
      </c>
      <c r="V555" s="10" t="e">
        <f>VLOOKUP(AJ547,'FRC Site Data'!$B$3:$L$42,6,FALSE)</f>
        <v>#N/A</v>
      </c>
      <c r="W555" s="10" t="e">
        <f>VLOOKUP(AJ547,'FRC Site Data'!$B$3:$L$42,8,FALSE)</f>
        <v>#N/A</v>
      </c>
      <c r="X555" s="10" t="e">
        <f>VLOOKUP(AJ547,'FRC Site Data'!$B$3:$L$42,9,FALSE)</f>
        <v>#N/A</v>
      </c>
      <c r="Y555" s="10" t="e">
        <f>VLOOKUP(AJ547,'FRC Site Data'!$B$3:$L$42,10,FALSE)</f>
        <v>#N/A</v>
      </c>
      <c r="Z555" s="10" t="e">
        <f>VLOOKUP(AJ547,'FRC Site Data'!$B$3:$L$42,11,FALSE)</f>
        <v>#N/A</v>
      </c>
      <c r="AA555" s="10" t="e">
        <f>VLOOKUP(AJ547,'CIR Team Info'!$C$5:$E$44,4,FALSE)</f>
        <v>#N/A</v>
      </c>
      <c r="AB555" s="161" t="b">
        <f>ISNUMBER(VLOOKUP(AJ547,Match!$T$5:$T$10,1,FALSE))</f>
        <v>0</v>
      </c>
      <c r="AC555" s="161" t="b">
        <f>IF(AB555=TRUE,(VLOOKUP($AJ547,Match!$T$5:$U$10,2,FALSE)))</f>
        <v>0</v>
      </c>
      <c r="AD555" s="8">
        <v>3</v>
      </c>
      <c r="AE555" s="8">
        <v>2</v>
      </c>
      <c r="AF555" s="8">
        <v>2</v>
      </c>
      <c r="AG555" s="8">
        <v>1</v>
      </c>
      <c r="AH555" s="8" t="str">
        <f t="shared" si="170"/>
        <v/>
      </c>
      <c r="AI555" s="12"/>
      <c r="AZ555" s="12"/>
      <c r="BC555" s="12"/>
      <c r="BK555" s="12"/>
    </row>
    <row r="556" spans="1:63" x14ac:dyDescent="0.25">
      <c r="A556" s="29">
        <f t="shared" si="161"/>
        <v>0</v>
      </c>
      <c r="B556" s="29">
        <f t="shared" si="155"/>
        <v>0</v>
      </c>
      <c r="C556" s="29">
        <f t="shared" si="156"/>
        <v>0</v>
      </c>
      <c r="D556" s="29">
        <f t="shared" si="157"/>
        <v>0</v>
      </c>
      <c r="E556" s="29">
        <f t="shared" si="162"/>
        <v>0</v>
      </c>
      <c r="F556" s="29">
        <f t="shared" si="163"/>
        <v>0</v>
      </c>
      <c r="G556" s="29" t="str">
        <f t="shared" si="164"/>
        <v>offensive</v>
      </c>
      <c r="H556" s="16">
        <f t="shared" si="168"/>
        <v>0</v>
      </c>
      <c r="I556" s="16">
        <f t="shared" si="169"/>
        <v>0</v>
      </c>
      <c r="J556" s="16">
        <f t="shared" si="158"/>
        <v>0</v>
      </c>
      <c r="K556" s="16">
        <f t="shared" si="165"/>
        <v>0</v>
      </c>
      <c r="L556" s="67">
        <f t="shared" si="166"/>
        <v>0</v>
      </c>
      <c r="M556" s="4">
        <f t="shared" si="159"/>
        <v>0</v>
      </c>
      <c r="N556" s="4">
        <f t="shared" si="160"/>
        <v>0</v>
      </c>
      <c r="O556" s="4">
        <f t="shared" si="167"/>
        <v>0</v>
      </c>
      <c r="P556" s="4" t="e">
        <f>VLOOKUP(AJ548,'CIR Team Info'!$C$5:$E$44,2,FALSE)</f>
        <v>#N/A</v>
      </c>
      <c r="Q556" s="4" t="e">
        <f>VLOOKUP(AJ548,'CIR Team Info'!$C$5:$E$44,3,FALSE)</f>
        <v>#N/A</v>
      </c>
      <c r="R556" s="10" t="e">
        <f>VLOOKUP(AJ548,'FRC Site Data'!$B$3:$L$42,2,FALSE)</f>
        <v>#N/A</v>
      </c>
      <c r="S556" s="10" t="e">
        <f>VLOOKUP(AJ548,'FRC Site Data'!$B$3:$L$42,3,FALSE)</f>
        <v>#N/A</v>
      </c>
      <c r="T556" s="10" t="e">
        <f>VLOOKUP(AJ548,'FRC Site Data'!$B$3:$L$42,4,FALSE)</f>
        <v>#N/A</v>
      </c>
      <c r="U556" s="10" t="e">
        <f>VLOOKUP(AJ548,'FRC Site Data'!$B$3:$L$42,5,FALSE)</f>
        <v>#N/A</v>
      </c>
      <c r="V556" s="10" t="e">
        <f>VLOOKUP(AJ548,'FRC Site Data'!$B$3:$L$42,6,FALSE)</f>
        <v>#N/A</v>
      </c>
      <c r="W556" s="10" t="e">
        <f>VLOOKUP(AJ548,'FRC Site Data'!$B$3:$L$42,8,FALSE)</f>
        <v>#N/A</v>
      </c>
      <c r="X556" s="10" t="e">
        <f>VLOOKUP(AJ548,'FRC Site Data'!$B$3:$L$42,9,FALSE)</f>
        <v>#N/A</v>
      </c>
      <c r="Y556" s="10" t="e">
        <f>VLOOKUP(AJ548,'FRC Site Data'!$B$3:$L$42,10,FALSE)</f>
        <v>#N/A</v>
      </c>
      <c r="Z556" s="10" t="e">
        <f>VLOOKUP(AJ548,'FRC Site Data'!$B$3:$L$42,11,FALSE)</f>
        <v>#N/A</v>
      </c>
      <c r="AA556" s="10" t="e">
        <f>VLOOKUP(AJ548,'CIR Team Info'!$C$5:$E$44,4,FALSE)</f>
        <v>#N/A</v>
      </c>
      <c r="AB556" s="161" t="b">
        <f>ISNUMBER(VLOOKUP(AJ548,Match!$T$5:$T$10,1,FALSE))</f>
        <v>0</v>
      </c>
      <c r="AC556" s="161" t="b">
        <f>IF(AB556=TRUE,(VLOOKUP($AJ548,Match!$T$5:$U$10,2,FALSE)))</f>
        <v>0</v>
      </c>
      <c r="AD556" s="8">
        <v>3</v>
      </c>
      <c r="AE556" s="8">
        <v>2</v>
      </c>
      <c r="AF556" s="8">
        <v>2</v>
      </c>
      <c r="AG556" s="8">
        <v>1</v>
      </c>
      <c r="AH556" s="8" t="str">
        <f t="shared" si="170"/>
        <v/>
      </c>
      <c r="AI556" s="12"/>
      <c r="AZ556" s="12"/>
      <c r="BC556" s="12"/>
      <c r="BK556" s="12"/>
    </row>
    <row r="557" spans="1:63" x14ac:dyDescent="0.25">
      <c r="A557" s="29">
        <f t="shared" si="161"/>
        <v>0</v>
      </c>
      <c r="B557" s="29">
        <f t="shared" si="155"/>
        <v>0</v>
      </c>
      <c r="C557" s="29">
        <f t="shared" si="156"/>
        <v>0</v>
      </c>
      <c r="D557" s="29">
        <f t="shared" si="157"/>
        <v>0</v>
      </c>
      <c r="E557" s="29">
        <f t="shared" si="162"/>
        <v>0</v>
      </c>
      <c r="F557" s="29">
        <f t="shared" si="163"/>
        <v>0</v>
      </c>
      <c r="G557" s="29" t="str">
        <f t="shared" si="164"/>
        <v>offensive</v>
      </c>
      <c r="H557" s="16">
        <f t="shared" si="168"/>
        <v>0</v>
      </c>
      <c r="I557" s="16">
        <f t="shared" si="169"/>
        <v>0</v>
      </c>
      <c r="J557" s="16">
        <f t="shared" si="158"/>
        <v>0</v>
      </c>
      <c r="K557" s="16">
        <f t="shared" si="165"/>
        <v>0</v>
      </c>
      <c r="L557" s="67">
        <f t="shared" si="166"/>
        <v>0</v>
      </c>
      <c r="M557" s="4">
        <f t="shared" si="159"/>
        <v>0</v>
      </c>
      <c r="N557" s="4">
        <f t="shared" si="160"/>
        <v>0</v>
      </c>
      <c r="O557" s="4">
        <f t="shared" si="167"/>
        <v>0</v>
      </c>
      <c r="P557" s="4" t="e">
        <f>VLOOKUP(AJ549,'CIR Team Info'!$C$5:$E$44,2,FALSE)</f>
        <v>#N/A</v>
      </c>
      <c r="Q557" s="4" t="e">
        <f>VLOOKUP(AJ549,'CIR Team Info'!$C$5:$E$44,3,FALSE)</f>
        <v>#N/A</v>
      </c>
      <c r="R557" s="10" t="e">
        <f>VLOOKUP(AJ549,'FRC Site Data'!$B$3:$L$42,2,FALSE)</f>
        <v>#N/A</v>
      </c>
      <c r="S557" s="10" t="e">
        <f>VLOOKUP(AJ549,'FRC Site Data'!$B$3:$L$42,3,FALSE)</f>
        <v>#N/A</v>
      </c>
      <c r="T557" s="10" t="e">
        <f>VLOOKUP(AJ549,'FRC Site Data'!$B$3:$L$42,4,FALSE)</f>
        <v>#N/A</v>
      </c>
      <c r="U557" s="10" t="e">
        <f>VLOOKUP(AJ549,'FRC Site Data'!$B$3:$L$42,5,FALSE)</f>
        <v>#N/A</v>
      </c>
      <c r="V557" s="10" t="e">
        <f>VLOOKUP(AJ549,'FRC Site Data'!$B$3:$L$42,6,FALSE)</f>
        <v>#N/A</v>
      </c>
      <c r="W557" s="10" t="e">
        <f>VLOOKUP(AJ549,'FRC Site Data'!$B$3:$L$42,8,FALSE)</f>
        <v>#N/A</v>
      </c>
      <c r="X557" s="10" t="e">
        <f>VLOOKUP(AJ549,'FRC Site Data'!$B$3:$L$42,9,FALSE)</f>
        <v>#N/A</v>
      </c>
      <c r="Y557" s="10" t="e">
        <f>VLOOKUP(AJ549,'FRC Site Data'!$B$3:$L$42,10,FALSE)</f>
        <v>#N/A</v>
      </c>
      <c r="Z557" s="10" t="e">
        <f>VLOOKUP(AJ549,'FRC Site Data'!$B$3:$L$42,11,FALSE)</f>
        <v>#N/A</v>
      </c>
      <c r="AA557" s="10" t="e">
        <f>VLOOKUP(AJ549,'CIR Team Info'!$C$5:$E$44,4,FALSE)</f>
        <v>#N/A</v>
      </c>
      <c r="AB557" s="161" t="b">
        <f>ISNUMBER(VLOOKUP(AJ549,Match!$T$5:$T$10,1,FALSE))</f>
        <v>0</v>
      </c>
      <c r="AC557" s="161" t="b">
        <f>IF(AB557=TRUE,(VLOOKUP($AJ549,Match!$T$5:$U$10,2,FALSE)))</f>
        <v>0</v>
      </c>
      <c r="AD557" s="8">
        <v>3</v>
      </c>
      <c r="AE557" s="8">
        <v>2</v>
      </c>
      <c r="AF557" s="8">
        <v>2</v>
      </c>
      <c r="AG557" s="8">
        <v>1</v>
      </c>
      <c r="AH557" s="8" t="str">
        <f t="shared" si="170"/>
        <v/>
      </c>
      <c r="AI557" s="12"/>
      <c r="AZ557" s="12"/>
      <c r="BC557" s="12"/>
      <c r="BK557" s="12"/>
    </row>
    <row r="558" spans="1:63" x14ac:dyDescent="0.25">
      <c r="A558" s="29">
        <f t="shared" si="161"/>
        <v>0</v>
      </c>
      <c r="B558" s="29">
        <f t="shared" si="155"/>
        <v>0</v>
      </c>
      <c r="C558" s="29">
        <f t="shared" si="156"/>
        <v>0</v>
      </c>
      <c r="D558" s="29">
        <f t="shared" si="157"/>
        <v>0</v>
      </c>
      <c r="E558" s="29">
        <f t="shared" si="162"/>
        <v>0</v>
      </c>
      <c r="F558" s="29">
        <f t="shared" si="163"/>
        <v>0</v>
      </c>
      <c r="G558" s="29" t="str">
        <f t="shared" si="164"/>
        <v>offensive</v>
      </c>
      <c r="H558" s="16">
        <f t="shared" si="168"/>
        <v>0</v>
      </c>
      <c r="I558" s="16">
        <f t="shared" si="169"/>
        <v>0</v>
      </c>
      <c r="J558" s="16">
        <f t="shared" si="158"/>
        <v>0</v>
      </c>
      <c r="K558" s="16">
        <f t="shared" si="165"/>
        <v>0</v>
      </c>
      <c r="L558" s="67">
        <f t="shared" si="166"/>
        <v>0</v>
      </c>
      <c r="M558" s="4">
        <f t="shared" si="159"/>
        <v>0</v>
      </c>
      <c r="N558" s="4">
        <f t="shared" si="160"/>
        <v>0</v>
      </c>
      <c r="O558" s="4">
        <f t="shared" si="167"/>
        <v>0</v>
      </c>
      <c r="P558" s="4" t="e">
        <f>VLOOKUP(AJ550,'CIR Team Info'!$C$5:$E$44,2,FALSE)</f>
        <v>#N/A</v>
      </c>
      <c r="Q558" s="4" t="e">
        <f>VLOOKUP(AJ550,'CIR Team Info'!$C$5:$E$44,3,FALSE)</f>
        <v>#N/A</v>
      </c>
      <c r="R558" s="10" t="e">
        <f>VLOOKUP(AJ550,'FRC Site Data'!$B$3:$L$42,2,FALSE)</f>
        <v>#N/A</v>
      </c>
      <c r="S558" s="10" t="e">
        <f>VLOOKUP(AJ550,'FRC Site Data'!$B$3:$L$42,3,FALSE)</f>
        <v>#N/A</v>
      </c>
      <c r="T558" s="10" t="e">
        <f>VLOOKUP(AJ550,'FRC Site Data'!$B$3:$L$42,4,FALSE)</f>
        <v>#N/A</v>
      </c>
      <c r="U558" s="10" t="e">
        <f>VLOOKUP(AJ550,'FRC Site Data'!$B$3:$L$42,5,FALSE)</f>
        <v>#N/A</v>
      </c>
      <c r="V558" s="10" t="e">
        <f>VLOOKUP(AJ550,'FRC Site Data'!$B$3:$L$42,6,FALSE)</f>
        <v>#N/A</v>
      </c>
      <c r="W558" s="10" t="e">
        <f>VLOOKUP(AJ550,'FRC Site Data'!$B$3:$L$42,8,FALSE)</f>
        <v>#N/A</v>
      </c>
      <c r="X558" s="10" t="e">
        <f>VLOOKUP(AJ550,'FRC Site Data'!$B$3:$L$42,9,FALSE)</f>
        <v>#N/A</v>
      </c>
      <c r="Y558" s="10" t="e">
        <f>VLOOKUP(AJ550,'FRC Site Data'!$B$3:$L$42,10,FALSE)</f>
        <v>#N/A</v>
      </c>
      <c r="Z558" s="10" t="e">
        <f>VLOOKUP(AJ550,'FRC Site Data'!$B$3:$L$42,11,FALSE)</f>
        <v>#N/A</v>
      </c>
      <c r="AA558" s="10" t="e">
        <f>VLOOKUP(AJ550,'CIR Team Info'!$C$5:$E$44,4,FALSE)</f>
        <v>#N/A</v>
      </c>
      <c r="AB558" s="161" t="b">
        <f>ISNUMBER(VLOOKUP(AJ550,Match!$T$5:$T$10,1,FALSE))</f>
        <v>0</v>
      </c>
      <c r="AC558" s="161" t="b">
        <f>IF(AB558=TRUE,(VLOOKUP($AJ550,Match!$T$5:$U$10,2,FALSE)))</f>
        <v>0</v>
      </c>
      <c r="AD558" s="8">
        <v>3</v>
      </c>
      <c r="AE558" s="8">
        <v>2</v>
      </c>
      <c r="AF558" s="8">
        <v>2</v>
      </c>
      <c r="AG558" s="8">
        <v>1</v>
      </c>
      <c r="AH558" s="8" t="str">
        <f t="shared" si="170"/>
        <v/>
      </c>
      <c r="AI558" s="12"/>
      <c r="AZ558" s="12"/>
      <c r="BC558" s="12"/>
      <c r="BK558" s="12"/>
    </row>
    <row r="559" spans="1:63" x14ac:dyDescent="0.25">
      <c r="A559" s="29">
        <f t="shared" si="161"/>
        <v>0</v>
      </c>
      <c r="B559" s="29">
        <f t="shared" si="155"/>
        <v>0</v>
      </c>
      <c r="C559" s="29">
        <f t="shared" si="156"/>
        <v>0</v>
      </c>
      <c r="D559" s="29">
        <f t="shared" si="157"/>
        <v>0</v>
      </c>
      <c r="E559" s="29">
        <f t="shared" si="162"/>
        <v>0</v>
      </c>
      <c r="F559" s="29">
        <f t="shared" si="163"/>
        <v>0</v>
      </c>
      <c r="G559" s="29" t="str">
        <f t="shared" si="164"/>
        <v>offensive</v>
      </c>
      <c r="H559" s="16">
        <f t="shared" si="168"/>
        <v>0</v>
      </c>
      <c r="I559" s="16">
        <f t="shared" si="169"/>
        <v>0</v>
      </c>
      <c r="J559" s="16">
        <f t="shared" si="158"/>
        <v>0</v>
      </c>
      <c r="K559" s="16">
        <f t="shared" si="165"/>
        <v>0</v>
      </c>
      <c r="L559" s="67">
        <f t="shared" si="166"/>
        <v>0</v>
      </c>
      <c r="M559" s="4">
        <f t="shared" si="159"/>
        <v>0</v>
      </c>
      <c r="N559" s="4">
        <f t="shared" si="160"/>
        <v>0</v>
      </c>
      <c r="O559" s="4">
        <f t="shared" si="167"/>
        <v>0</v>
      </c>
      <c r="P559" s="4" t="e">
        <f>VLOOKUP(AJ551,'CIR Team Info'!$C$5:$E$44,2,FALSE)</f>
        <v>#N/A</v>
      </c>
      <c r="Q559" s="4" t="e">
        <f>VLOOKUP(AJ551,'CIR Team Info'!$C$5:$E$44,3,FALSE)</f>
        <v>#N/A</v>
      </c>
      <c r="R559" s="10" t="e">
        <f>VLOOKUP(AJ551,'FRC Site Data'!$B$3:$L$42,2,FALSE)</f>
        <v>#N/A</v>
      </c>
      <c r="S559" s="10" t="e">
        <f>VLOOKUP(AJ551,'FRC Site Data'!$B$3:$L$42,3,FALSE)</f>
        <v>#N/A</v>
      </c>
      <c r="T559" s="10" t="e">
        <f>VLOOKUP(AJ551,'FRC Site Data'!$B$3:$L$42,4,FALSE)</f>
        <v>#N/A</v>
      </c>
      <c r="U559" s="10" t="e">
        <f>VLOOKUP(AJ551,'FRC Site Data'!$B$3:$L$42,5,FALSE)</f>
        <v>#N/A</v>
      </c>
      <c r="V559" s="10" t="e">
        <f>VLOOKUP(AJ551,'FRC Site Data'!$B$3:$L$42,6,FALSE)</f>
        <v>#N/A</v>
      </c>
      <c r="W559" s="10" t="e">
        <f>VLOOKUP(AJ551,'FRC Site Data'!$B$3:$L$42,8,FALSE)</f>
        <v>#N/A</v>
      </c>
      <c r="X559" s="10" t="e">
        <f>VLOOKUP(AJ551,'FRC Site Data'!$B$3:$L$42,9,FALSE)</f>
        <v>#N/A</v>
      </c>
      <c r="Y559" s="10" t="e">
        <f>VLOOKUP(AJ551,'FRC Site Data'!$B$3:$L$42,10,FALSE)</f>
        <v>#N/A</v>
      </c>
      <c r="Z559" s="10" t="e">
        <f>VLOOKUP(AJ551,'FRC Site Data'!$B$3:$L$42,11,FALSE)</f>
        <v>#N/A</v>
      </c>
      <c r="AA559" s="10" t="e">
        <f>VLOOKUP(AJ551,'CIR Team Info'!$C$5:$E$44,4,FALSE)</f>
        <v>#N/A</v>
      </c>
      <c r="AB559" s="161" t="b">
        <f>ISNUMBER(VLOOKUP(AJ551,Match!$T$5:$T$10,1,FALSE))</f>
        <v>0</v>
      </c>
      <c r="AC559" s="161" t="b">
        <f>IF(AB559=TRUE,(VLOOKUP($AJ551,Match!$T$5:$U$10,2,FALSE)))</f>
        <v>0</v>
      </c>
      <c r="AD559" s="8">
        <v>3</v>
      </c>
      <c r="AE559" s="8">
        <v>2</v>
      </c>
      <c r="AF559" s="8">
        <v>2</v>
      </c>
      <c r="AG559" s="8">
        <v>1</v>
      </c>
      <c r="AH559" s="8" t="str">
        <f t="shared" si="170"/>
        <v/>
      </c>
      <c r="AI559" s="12"/>
      <c r="AZ559" s="12"/>
      <c r="BC559" s="12"/>
      <c r="BK559" s="12"/>
    </row>
    <row r="560" spans="1:63" x14ac:dyDescent="0.25">
      <c r="A560" s="29">
        <f t="shared" si="161"/>
        <v>0</v>
      </c>
      <c r="B560" s="29">
        <f t="shared" si="155"/>
        <v>0</v>
      </c>
      <c r="C560" s="29">
        <f t="shared" si="156"/>
        <v>0</v>
      </c>
      <c r="D560" s="29">
        <f t="shared" si="157"/>
        <v>0</v>
      </c>
      <c r="E560" s="29">
        <f t="shared" si="162"/>
        <v>0</v>
      </c>
      <c r="F560" s="29">
        <f t="shared" si="163"/>
        <v>0</v>
      </c>
      <c r="G560" s="29" t="str">
        <f t="shared" si="164"/>
        <v>offensive</v>
      </c>
      <c r="H560" s="16">
        <f t="shared" si="168"/>
        <v>0</v>
      </c>
      <c r="I560" s="16">
        <f t="shared" si="169"/>
        <v>0</v>
      </c>
      <c r="J560" s="16">
        <f t="shared" si="158"/>
        <v>0</v>
      </c>
      <c r="K560" s="16">
        <f t="shared" si="165"/>
        <v>0</v>
      </c>
      <c r="L560" s="67">
        <f t="shared" si="166"/>
        <v>0</v>
      </c>
      <c r="M560" s="4">
        <f t="shared" si="159"/>
        <v>0</v>
      </c>
      <c r="N560" s="4">
        <f t="shared" si="160"/>
        <v>0</v>
      </c>
      <c r="O560" s="4">
        <f t="shared" si="167"/>
        <v>0</v>
      </c>
      <c r="P560" s="4" t="e">
        <f>VLOOKUP(AJ552,'CIR Team Info'!$C$5:$E$44,2,FALSE)</f>
        <v>#N/A</v>
      </c>
      <c r="Q560" s="4" t="e">
        <f>VLOOKUP(AJ552,'CIR Team Info'!$C$5:$E$44,3,FALSE)</f>
        <v>#N/A</v>
      </c>
      <c r="R560" s="10" t="e">
        <f>VLOOKUP(AJ552,'FRC Site Data'!$B$3:$L$42,2,FALSE)</f>
        <v>#N/A</v>
      </c>
      <c r="S560" s="10" t="e">
        <f>VLOOKUP(AJ552,'FRC Site Data'!$B$3:$L$42,3,FALSE)</f>
        <v>#N/A</v>
      </c>
      <c r="T560" s="10" t="e">
        <f>VLOOKUP(AJ552,'FRC Site Data'!$B$3:$L$42,4,FALSE)</f>
        <v>#N/A</v>
      </c>
      <c r="U560" s="10" t="e">
        <f>VLOOKUP(AJ552,'FRC Site Data'!$B$3:$L$42,5,FALSE)</f>
        <v>#N/A</v>
      </c>
      <c r="V560" s="10" t="e">
        <f>VLOOKUP(AJ552,'FRC Site Data'!$B$3:$L$42,6,FALSE)</f>
        <v>#N/A</v>
      </c>
      <c r="W560" s="10" t="e">
        <f>VLOOKUP(AJ552,'FRC Site Data'!$B$3:$L$42,8,FALSE)</f>
        <v>#N/A</v>
      </c>
      <c r="X560" s="10" t="e">
        <f>VLOOKUP(AJ552,'FRC Site Data'!$B$3:$L$42,9,FALSE)</f>
        <v>#N/A</v>
      </c>
      <c r="Y560" s="10" t="e">
        <f>VLOOKUP(AJ552,'FRC Site Data'!$B$3:$L$42,10,FALSE)</f>
        <v>#N/A</v>
      </c>
      <c r="Z560" s="10" t="e">
        <f>VLOOKUP(AJ552,'FRC Site Data'!$B$3:$L$42,11,FALSE)</f>
        <v>#N/A</v>
      </c>
      <c r="AA560" s="10" t="e">
        <f>VLOOKUP(AJ552,'CIR Team Info'!$C$5:$E$44,4,FALSE)</f>
        <v>#N/A</v>
      </c>
      <c r="AB560" s="161" t="b">
        <f>ISNUMBER(VLOOKUP(AJ552,Match!$T$5:$T$10,1,FALSE))</f>
        <v>0</v>
      </c>
      <c r="AC560" s="161" t="b">
        <f>IF(AB560=TRUE,(VLOOKUP($AJ552,Match!$T$5:$U$10,2,FALSE)))</f>
        <v>0</v>
      </c>
      <c r="AD560" s="8">
        <v>3</v>
      </c>
      <c r="AE560" s="8">
        <v>2</v>
      </c>
      <c r="AF560" s="8">
        <v>2</v>
      </c>
      <c r="AG560" s="8">
        <v>1</v>
      </c>
      <c r="AH560" s="8" t="str">
        <f t="shared" si="170"/>
        <v/>
      </c>
      <c r="AI560" s="12"/>
      <c r="AZ560" s="12"/>
      <c r="BC560" s="12"/>
      <c r="BK560" s="12"/>
    </row>
    <row r="561" spans="1:63" x14ac:dyDescent="0.25">
      <c r="A561" s="29">
        <f t="shared" si="161"/>
        <v>0</v>
      </c>
      <c r="B561" s="29">
        <f t="shared" si="155"/>
        <v>0</v>
      </c>
      <c r="C561" s="29">
        <f t="shared" si="156"/>
        <v>0</v>
      </c>
      <c r="D561" s="29">
        <f t="shared" si="157"/>
        <v>0</v>
      </c>
      <c r="E561" s="29">
        <f t="shared" si="162"/>
        <v>0</v>
      </c>
      <c r="F561" s="29">
        <f t="shared" si="163"/>
        <v>0</v>
      </c>
      <c r="G561" s="29" t="str">
        <f t="shared" si="164"/>
        <v>offensive</v>
      </c>
      <c r="H561" s="16">
        <f t="shared" si="168"/>
        <v>0</v>
      </c>
      <c r="I561" s="16">
        <f t="shared" si="169"/>
        <v>0</v>
      </c>
      <c r="J561" s="16">
        <f t="shared" si="158"/>
        <v>0</v>
      </c>
      <c r="K561" s="16">
        <f t="shared" si="165"/>
        <v>0</v>
      </c>
      <c r="L561" s="67">
        <f t="shared" si="166"/>
        <v>0</v>
      </c>
      <c r="M561" s="4">
        <f t="shared" si="159"/>
        <v>0</v>
      </c>
      <c r="N561" s="4">
        <f t="shared" si="160"/>
        <v>0</v>
      </c>
      <c r="O561" s="4">
        <f t="shared" si="167"/>
        <v>0</v>
      </c>
      <c r="P561" s="4" t="e">
        <f>VLOOKUP(AJ553,'CIR Team Info'!$C$5:$E$44,2,FALSE)</f>
        <v>#N/A</v>
      </c>
      <c r="Q561" s="4" t="e">
        <f>VLOOKUP(AJ553,'CIR Team Info'!$C$5:$E$44,3,FALSE)</f>
        <v>#N/A</v>
      </c>
      <c r="R561" s="10" t="e">
        <f>VLOOKUP(AJ553,'FRC Site Data'!$B$3:$L$42,2,FALSE)</f>
        <v>#N/A</v>
      </c>
      <c r="S561" s="10" t="e">
        <f>VLOOKUP(AJ553,'FRC Site Data'!$B$3:$L$42,3,FALSE)</f>
        <v>#N/A</v>
      </c>
      <c r="T561" s="10" t="e">
        <f>VLOOKUP(AJ553,'FRC Site Data'!$B$3:$L$42,4,FALSE)</f>
        <v>#N/A</v>
      </c>
      <c r="U561" s="10" t="e">
        <f>VLOOKUP(AJ553,'FRC Site Data'!$B$3:$L$42,5,FALSE)</f>
        <v>#N/A</v>
      </c>
      <c r="V561" s="10" t="e">
        <f>VLOOKUP(AJ553,'FRC Site Data'!$B$3:$L$42,6,FALSE)</f>
        <v>#N/A</v>
      </c>
      <c r="W561" s="10" t="e">
        <f>VLOOKUP(AJ553,'FRC Site Data'!$B$3:$L$42,8,FALSE)</f>
        <v>#N/A</v>
      </c>
      <c r="X561" s="10" t="e">
        <f>VLOOKUP(AJ553,'FRC Site Data'!$B$3:$L$42,9,FALSE)</f>
        <v>#N/A</v>
      </c>
      <c r="Y561" s="10" t="e">
        <f>VLOOKUP(AJ553,'FRC Site Data'!$B$3:$L$42,10,FALSE)</f>
        <v>#N/A</v>
      </c>
      <c r="Z561" s="10" t="e">
        <f>VLOOKUP(AJ553,'FRC Site Data'!$B$3:$L$42,11,FALSE)</f>
        <v>#N/A</v>
      </c>
      <c r="AA561" s="10" t="e">
        <f>VLOOKUP(AJ553,'CIR Team Info'!$C$5:$E$44,4,FALSE)</f>
        <v>#N/A</v>
      </c>
      <c r="AB561" s="161" t="b">
        <f>ISNUMBER(VLOOKUP(AJ553,Match!$T$5:$T$10,1,FALSE))</f>
        <v>0</v>
      </c>
      <c r="AC561" s="161" t="b">
        <f>IF(AB561=TRUE,(VLOOKUP($AJ553,Match!$T$5:$U$10,2,FALSE)))</f>
        <v>0</v>
      </c>
      <c r="AD561" s="8">
        <v>3</v>
      </c>
      <c r="AE561" s="8">
        <v>2</v>
      </c>
      <c r="AF561" s="8">
        <v>2</v>
      </c>
      <c r="AG561" s="8">
        <v>1</v>
      </c>
      <c r="AH561" s="8" t="str">
        <f t="shared" si="170"/>
        <v/>
      </c>
      <c r="AI561" s="12"/>
      <c r="AZ561" s="12"/>
      <c r="BC561" s="12"/>
      <c r="BK561" s="12"/>
    </row>
    <row r="562" spans="1:63" x14ac:dyDescent="0.25">
      <c r="A562" s="29">
        <f t="shared" si="161"/>
        <v>0</v>
      </c>
      <c r="B562" s="29">
        <f t="shared" si="155"/>
        <v>0</v>
      </c>
      <c r="C562" s="29">
        <f t="shared" si="156"/>
        <v>0</v>
      </c>
      <c r="D562" s="29">
        <f t="shared" si="157"/>
        <v>0</v>
      </c>
      <c r="E562" s="29">
        <f t="shared" si="162"/>
        <v>0</v>
      </c>
      <c r="F562" s="29">
        <f t="shared" si="163"/>
        <v>0</v>
      </c>
      <c r="G562" s="29" t="str">
        <f t="shared" si="164"/>
        <v>offensive</v>
      </c>
      <c r="H562" s="16">
        <f t="shared" si="168"/>
        <v>0</v>
      </c>
      <c r="I562" s="16">
        <f t="shared" si="169"/>
        <v>0</v>
      </c>
      <c r="J562" s="16">
        <f t="shared" si="158"/>
        <v>0</v>
      </c>
      <c r="K562" s="16">
        <f t="shared" si="165"/>
        <v>0</v>
      </c>
      <c r="L562" s="67">
        <f t="shared" si="166"/>
        <v>0</v>
      </c>
      <c r="M562" s="4">
        <f t="shared" si="159"/>
        <v>0</v>
      </c>
      <c r="N562" s="4">
        <f t="shared" si="160"/>
        <v>0</v>
      </c>
      <c r="O562" s="4">
        <f t="shared" si="167"/>
        <v>0</v>
      </c>
      <c r="P562" s="4" t="e">
        <f>VLOOKUP(AJ554,'CIR Team Info'!$C$5:$E$44,2,FALSE)</f>
        <v>#N/A</v>
      </c>
      <c r="Q562" s="4" t="e">
        <f>VLOOKUP(AJ554,'CIR Team Info'!$C$5:$E$44,3,FALSE)</f>
        <v>#N/A</v>
      </c>
      <c r="R562" s="10" t="e">
        <f>VLOOKUP(AJ554,'FRC Site Data'!$B$3:$L$42,2,FALSE)</f>
        <v>#N/A</v>
      </c>
      <c r="S562" s="10" t="e">
        <f>VLOOKUP(AJ554,'FRC Site Data'!$B$3:$L$42,3,FALSE)</f>
        <v>#N/A</v>
      </c>
      <c r="T562" s="10" t="e">
        <f>VLOOKUP(AJ554,'FRC Site Data'!$B$3:$L$42,4,FALSE)</f>
        <v>#N/A</v>
      </c>
      <c r="U562" s="10" t="e">
        <f>VLOOKUP(AJ554,'FRC Site Data'!$B$3:$L$42,5,FALSE)</f>
        <v>#N/A</v>
      </c>
      <c r="V562" s="10" t="e">
        <f>VLOOKUP(AJ554,'FRC Site Data'!$B$3:$L$42,6,FALSE)</f>
        <v>#N/A</v>
      </c>
      <c r="W562" s="10" t="e">
        <f>VLOOKUP(AJ554,'FRC Site Data'!$B$3:$L$42,8,FALSE)</f>
        <v>#N/A</v>
      </c>
      <c r="X562" s="10" t="e">
        <f>VLOOKUP(AJ554,'FRC Site Data'!$B$3:$L$42,9,FALSE)</f>
        <v>#N/A</v>
      </c>
      <c r="Y562" s="10" t="e">
        <f>VLOOKUP(AJ554,'FRC Site Data'!$B$3:$L$42,10,FALSE)</f>
        <v>#N/A</v>
      </c>
      <c r="Z562" s="10" t="e">
        <f>VLOOKUP(AJ554,'FRC Site Data'!$B$3:$L$42,11,FALSE)</f>
        <v>#N/A</v>
      </c>
      <c r="AA562" s="10" t="e">
        <f>VLOOKUP(AJ554,'CIR Team Info'!$C$5:$E$44,4,FALSE)</f>
        <v>#N/A</v>
      </c>
      <c r="AB562" s="161" t="b">
        <f>ISNUMBER(VLOOKUP(AJ554,Match!$T$5:$T$10,1,FALSE))</f>
        <v>0</v>
      </c>
      <c r="AC562" s="161" t="b">
        <f>IF(AB562=TRUE,(VLOOKUP($AJ554,Match!$T$5:$U$10,2,FALSE)))</f>
        <v>0</v>
      </c>
      <c r="AD562" s="8">
        <v>3</v>
      </c>
      <c r="AE562" s="8">
        <v>2</v>
      </c>
      <c r="AF562" s="8">
        <v>2</v>
      </c>
      <c r="AG562" s="8">
        <v>1</v>
      </c>
      <c r="AH562" s="8" t="str">
        <f t="shared" si="170"/>
        <v/>
      </c>
      <c r="AI562" s="12"/>
      <c r="AZ562" s="12"/>
      <c r="BC562" s="12"/>
      <c r="BK562" s="12"/>
    </row>
    <row r="563" spans="1:63" x14ac:dyDescent="0.25">
      <c r="A563" s="29">
        <f t="shared" si="161"/>
        <v>0</v>
      </c>
      <c r="B563" s="29">
        <f t="shared" si="155"/>
        <v>0</v>
      </c>
      <c r="C563" s="29">
        <f t="shared" si="156"/>
        <v>0</v>
      </c>
      <c r="D563" s="29">
        <f t="shared" si="157"/>
        <v>0</v>
      </c>
      <c r="E563" s="29">
        <f t="shared" si="162"/>
        <v>0</v>
      </c>
      <c r="F563" s="29">
        <f t="shared" si="163"/>
        <v>0</v>
      </c>
      <c r="G563" s="29" t="str">
        <f t="shared" si="164"/>
        <v>offensive</v>
      </c>
      <c r="H563" s="16">
        <f t="shared" si="168"/>
        <v>0</v>
      </c>
      <c r="I563" s="16">
        <f t="shared" si="169"/>
        <v>0</v>
      </c>
      <c r="J563" s="16">
        <f t="shared" si="158"/>
        <v>0</v>
      </c>
      <c r="K563" s="16">
        <f t="shared" si="165"/>
        <v>0</v>
      </c>
      <c r="L563" s="67">
        <f t="shared" si="166"/>
        <v>0</v>
      </c>
      <c r="M563" s="4">
        <f t="shared" si="159"/>
        <v>0</v>
      </c>
      <c r="N563" s="4">
        <f t="shared" si="160"/>
        <v>0</v>
      </c>
      <c r="O563" s="4">
        <f t="shared" si="167"/>
        <v>0</v>
      </c>
      <c r="P563" s="4" t="e">
        <f>VLOOKUP(AJ555,'CIR Team Info'!$C$5:$E$44,2,FALSE)</f>
        <v>#N/A</v>
      </c>
      <c r="Q563" s="4" t="e">
        <f>VLOOKUP(AJ555,'CIR Team Info'!$C$5:$E$44,3,FALSE)</f>
        <v>#N/A</v>
      </c>
      <c r="R563" s="10" t="e">
        <f>VLOOKUP(AJ555,'FRC Site Data'!$B$3:$L$42,2,FALSE)</f>
        <v>#N/A</v>
      </c>
      <c r="S563" s="10" t="e">
        <f>VLOOKUP(AJ555,'FRC Site Data'!$B$3:$L$42,3,FALSE)</f>
        <v>#N/A</v>
      </c>
      <c r="T563" s="10" t="e">
        <f>VLOOKUP(AJ555,'FRC Site Data'!$B$3:$L$42,4,FALSE)</f>
        <v>#N/A</v>
      </c>
      <c r="U563" s="10" t="e">
        <f>VLOOKUP(AJ555,'FRC Site Data'!$B$3:$L$42,5,FALSE)</f>
        <v>#N/A</v>
      </c>
      <c r="V563" s="10" t="e">
        <f>VLOOKUP(AJ555,'FRC Site Data'!$B$3:$L$42,6,FALSE)</f>
        <v>#N/A</v>
      </c>
      <c r="W563" s="10" t="e">
        <f>VLOOKUP(AJ555,'FRC Site Data'!$B$3:$L$42,8,FALSE)</f>
        <v>#N/A</v>
      </c>
      <c r="X563" s="10" t="e">
        <f>VLOOKUP(AJ555,'FRC Site Data'!$B$3:$L$42,9,FALSE)</f>
        <v>#N/A</v>
      </c>
      <c r="Y563" s="10" t="e">
        <f>VLOOKUP(AJ555,'FRC Site Data'!$B$3:$L$42,10,FALSE)</f>
        <v>#N/A</v>
      </c>
      <c r="Z563" s="10" t="e">
        <f>VLOOKUP(AJ555,'FRC Site Data'!$B$3:$L$42,11,FALSE)</f>
        <v>#N/A</v>
      </c>
      <c r="AA563" s="10" t="e">
        <f>VLOOKUP(AJ555,'CIR Team Info'!$C$5:$E$44,4,FALSE)</f>
        <v>#N/A</v>
      </c>
      <c r="AB563" s="161" t="b">
        <f>ISNUMBER(VLOOKUP(AJ555,Match!$T$5:$T$10,1,FALSE))</f>
        <v>0</v>
      </c>
      <c r="AC563" s="161" t="b">
        <f>IF(AB563=TRUE,(VLOOKUP($AJ555,Match!$T$5:$U$10,2,FALSE)))</f>
        <v>0</v>
      </c>
      <c r="AD563" s="8">
        <v>3</v>
      </c>
      <c r="AE563" s="8">
        <v>2</v>
      </c>
      <c r="AF563" s="8">
        <v>2</v>
      </c>
      <c r="AG563" s="8">
        <v>1</v>
      </c>
      <c r="AH563" s="8" t="str">
        <f t="shared" si="170"/>
        <v/>
      </c>
      <c r="AI563" s="12"/>
      <c r="AZ563" s="12"/>
      <c r="BC563" s="12"/>
      <c r="BK563" s="12"/>
    </row>
    <row r="564" spans="1:63" x14ac:dyDescent="0.25">
      <c r="A564" s="29">
        <f t="shared" si="161"/>
        <v>0</v>
      </c>
      <c r="B564" s="29">
        <f t="shared" si="155"/>
        <v>0</v>
      </c>
      <c r="C564" s="29">
        <f t="shared" si="156"/>
        <v>0</v>
      </c>
      <c r="D564" s="29">
        <f t="shared" si="157"/>
        <v>0</v>
      </c>
      <c r="E564" s="29">
        <f t="shared" si="162"/>
        <v>0</v>
      </c>
      <c r="F564" s="29">
        <f t="shared" si="163"/>
        <v>0</v>
      </c>
      <c r="G564" s="29" t="str">
        <f t="shared" si="164"/>
        <v>offensive</v>
      </c>
      <c r="H564" s="16">
        <f t="shared" si="168"/>
        <v>0</v>
      </c>
      <c r="I564" s="16">
        <f t="shared" si="169"/>
        <v>0</v>
      </c>
      <c r="J564" s="16">
        <f t="shared" si="158"/>
        <v>0</v>
      </c>
      <c r="K564" s="16">
        <f t="shared" si="165"/>
        <v>0</v>
      </c>
      <c r="L564" s="67">
        <f t="shared" si="166"/>
        <v>0</v>
      </c>
      <c r="M564" s="4">
        <f t="shared" si="159"/>
        <v>0</v>
      </c>
      <c r="N564" s="4">
        <f t="shared" si="160"/>
        <v>0</v>
      </c>
      <c r="O564" s="4">
        <f t="shared" si="167"/>
        <v>0</v>
      </c>
      <c r="P564" s="4" t="e">
        <f>VLOOKUP(AJ556,'CIR Team Info'!$C$5:$E$44,2,FALSE)</f>
        <v>#N/A</v>
      </c>
      <c r="Q564" s="4" t="e">
        <f>VLOOKUP(AJ556,'CIR Team Info'!$C$5:$E$44,3,FALSE)</f>
        <v>#N/A</v>
      </c>
      <c r="R564" s="10" t="e">
        <f>VLOOKUP(AJ556,'FRC Site Data'!$B$3:$L$42,2,FALSE)</f>
        <v>#N/A</v>
      </c>
      <c r="S564" s="10" t="e">
        <f>VLOOKUP(AJ556,'FRC Site Data'!$B$3:$L$42,3,FALSE)</f>
        <v>#N/A</v>
      </c>
      <c r="T564" s="10" t="e">
        <f>VLOOKUP(AJ556,'FRC Site Data'!$B$3:$L$42,4,FALSE)</f>
        <v>#N/A</v>
      </c>
      <c r="U564" s="10" t="e">
        <f>VLOOKUP(AJ556,'FRC Site Data'!$B$3:$L$42,5,FALSE)</f>
        <v>#N/A</v>
      </c>
      <c r="V564" s="10" t="e">
        <f>VLOOKUP(AJ556,'FRC Site Data'!$B$3:$L$42,6,FALSE)</f>
        <v>#N/A</v>
      </c>
      <c r="W564" s="10" t="e">
        <f>VLOOKUP(AJ556,'FRC Site Data'!$B$3:$L$42,8,FALSE)</f>
        <v>#N/A</v>
      </c>
      <c r="X564" s="10" t="e">
        <f>VLOOKUP(AJ556,'FRC Site Data'!$B$3:$L$42,9,FALSE)</f>
        <v>#N/A</v>
      </c>
      <c r="Y564" s="10" t="e">
        <f>VLOOKUP(AJ556,'FRC Site Data'!$B$3:$L$42,10,FALSE)</f>
        <v>#N/A</v>
      </c>
      <c r="Z564" s="10" t="e">
        <f>VLOOKUP(AJ556,'FRC Site Data'!$B$3:$L$42,11,FALSE)</f>
        <v>#N/A</v>
      </c>
      <c r="AA564" s="10" t="e">
        <f>VLOOKUP(AJ556,'CIR Team Info'!$C$5:$E$44,4,FALSE)</f>
        <v>#N/A</v>
      </c>
      <c r="AB564" s="161" t="b">
        <f>ISNUMBER(VLOOKUP(AJ556,Match!$T$5:$T$10,1,FALSE))</f>
        <v>0</v>
      </c>
      <c r="AC564" s="161" t="b">
        <f>IF(AB564=TRUE,(VLOOKUP($AJ556,Match!$T$5:$U$10,2,FALSE)))</f>
        <v>0</v>
      </c>
      <c r="AD564" s="8">
        <v>3</v>
      </c>
      <c r="AE564" s="8">
        <v>2</v>
      </c>
      <c r="AF564" s="8">
        <v>2</v>
      </c>
      <c r="AG564" s="8">
        <v>1</v>
      </c>
      <c r="AH564" s="8" t="str">
        <f t="shared" si="170"/>
        <v/>
      </c>
      <c r="AI564" s="12"/>
      <c r="AZ564" s="12"/>
      <c r="BC564" s="12"/>
      <c r="BK564" s="12"/>
    </row>
    <row r="565" spans="1:63" x14ac:dyDescent="0.25">
      <c r="A565" s="29">
        <f t="shared" si="161"/>
        <v>0</v>
      </c>
      <c r="B565" s="29">
        <f t="shared" si="155"/>
        <v>0</v>
      </c>
      <c r="C565" s="29">
        <f t="shared" si="156"/>
        <v>0</v>
      </c>
      <c r="D565" s="29">
        <f t="shared" si="157"/>
        <v>0</v>
      </c>
      <c r="E565" s="29">
        <f t="shared" si="162"/>
        <v>0</v>
      </c>
      <c r="F565" s="29">
        <f t="shared" si="163"/>
        <v>0</v>
      </c>
      <c r="G565" s="29" t="str">
        <f t="shared" si="164"/>
        <v>offensive</v>
      </c>
      <c r="H565" s="16">
        <f t="shared" si="168"/>
        <v>0</v>
      </c>
      <c r="I565" s="16">
        <f t="shared" si="169"/>
        <v>0</v>
      </c>
      <c r="J565" s="16">
        <f t="shared" si="158"/>
        <v>0</v>
      </c>
      <c r="K565" s="16">
        <f t="shared" si="165"/>
        <v>0</v>
      </c>
      <c r="L565" s="67">
        <f t="shared" si="166"/>
        <v>0</v>
      </c>
      <c r="M565" s="4">
        <f t="shared" si="159"/>
        <v>0</v>
      </c>
      <c r="N565" s="4">
        <f t="shared" si="160"/>
        <v>0</v>
      </c>
      <c r="O565" s="4">
        <f t="shared" si="167"/>
        <v>0</v>
      </c>
      <c r="P565" s="4" t="e">
        <f>VLOOKUP(AJ557,'CIR Team Info'!$C$5:$E$44,2,FALSE)</f>
        <v>#N/A</v>
      </c>
      <c r="Q565" s="4" t="e">
        <f>VLOOKUP(AJ557,'CIR Team Info'!$C$5:$E$44,3,FALSE)</f>
        <v>#N/A</v>
      </c>
      <c r="R565" s="10" t="e">
        <f>VLOOKUP(AJ557,'FRC Site Data'!$B$3:$L$42,2,FALSE)</f>
        <v>#N/A</v>
      </c>
      <c r="S565" s="10" t="e">
        <f>VLOOKUP(AJ557,'FRC Site Data'!$B$3:$L$42,3,FALSE)</f>
        <v>#N/A</v>
      </c>
      <c r="T565" s="10" t="e">
        <f>VLOOKUP(AJ557,'FRC Site Data'!$B$3:$L$42,4,FALSE)</f>
        <v>#N/A</v>
      </c>
      <c r="U565" s="10" t="e">
        <f>VLOOKUP(AJ557,'FRC Site Data'!$B$3:$L$42,5,FALSE)</f>
        <v>#N/A</v>
      </c>
      <c r="V565" s="10" t="e">
        <f>VLOOKUP(AJ557,'FRC Site Data'!$B$3:$L$42,6,FALSE)</f>
        <v>#N/A</v>
      </c>
      <c r="W565" s="10" t="e">
        <f>VLOOKUP(AJ557,'FRC Site Data'!$B$3:$L$42,8,FALSE)</f>
        <v>#N/A</v>
      </c>
      <c r="X565" s="10" t="e">
        <f>VLOOKUP(AJ557,'FRC Site Data'!$B$3:$L$42,9,FALSE)</f>
        <v>#N/A</v>
      </c>
      <c r="Y565" s="10" t="e">
        <f>VLOOKUP(AJ557,'FRC Site Data'!$B$3:$L$42,10,FALSE)</f>
        <v>#N/A</v>
      </c>
      <c r="Z565" s="10" t="e">
        <f>VLOOKUP(AJ557,'FRC Site Data'!$B$3:$L$42,11,FALSE)</f>
        <v>#N/A</v>
      </c>
      <c r="AA565" s="10" t="e">
        <f>VLOOKUP(AJ557,'CIR Team Info'!$C$5:$E$44,4,FALSE)</f>
        <v>#N/A</v>
      </c>
      <c r="AB565" s="161" t="b">
        <f>ISNUMBER(VLOOKUP(AJ557,Match!$T$5:$T$10,1,FALSE))</f>
        <v>0</v>
      </c>
      <c r="AC565" s="161" t="b">
        <f>IF(AB565=TRUE,(VLOOKUP($AJ557,Match!$T$5:$U$10,2,FALSE)))</f>
        <v>0</v>
      </c>
      <c r="AD565" s="8">
        <v>3</v>
      </c>
      <c r="AE565" s="8">
        <v>2</v>
      </c>
      <c r="AF565" s="8">
        <v>2</v>
      </c>
      <c r="AG565" s="8">
        <v>1</v>
      </c>
      <c r="AH565" s="8" t="str">
        <f t="shared" si="170"/>
        <v/>
      </c>
      <c r="AI565" s="12"/>
      <c r="AZ565" s="12"/>
      <c r="BC565" s="12"/>
      <c r="BK565" s="12"/>
    </row>
    <row r="566" spans="1:63" x14ac:dyDescent="0.25">
      <c r="A566" s="29">
        <f t="shared" si="161"/>
        <v>0</v>
      </c>
      <c r="B566" s="29">
        <f t="shared" si="155"/>
        <v>0</v>
      </c>
      <c r="C566" s="29">
        <f t="shared" si="156"/>
        <v>0</v>
      </c>
      <c r="D566" s="29">
        <f t="shared" si="157"/>
        <v>0</v>
      </c>
      <c r="E566" s="29">
        <f t="shared" si="162"/>
        <v>0</v>
      </c>
      <c r="F566" s="29">
        <f t="shared" si="163"/>
        <v>0</v>
      </c>
      <c r="G566" s="29" t="str">
        <f t="shared" si="164"/>
        <v>offensive</v>
      </c>
      <c r="H566" s="16">
        <f t="shared" si="168"/>
        <v>0</v>
      </c>
      <c r="I566" s="16">
        <f t="shared" si="169"/>
        <v>0</v>
      </c>
      <c r="J566" s="16">
        <f t="shared" si="158"/>
        <v>0</v>
      </c>
      <c r="K566" s="16">
        <f t="shared" si="165"/>
        <v>0</v>
      </c>
      <c r="L566" s="67">
        <f t="shared" si="166"/>
        <v>0</v>
      </c>
      <c r="M566" s="4">
        <f t="shared" si="159"/>
        <v>0</v>
      </c>
      <c r="N566" s="4">
        <f t="shared" si="160"/>
        <v>0</v>
      </c>
      <c r="O566" s="4">
        <f t="shared" si="167"/>
        <v>0</v>
      </c>
      <c r="P566" s="4" t="e">
        <f>VLOOKUP(AJ558,'CIR Team Info'!$C$5:$E$44,2,FALSE)</f>
        <v>#N/A</v>
      </c>
      <c r="Q566" s="4" t="e">
        <f>VLOOKUP(AJ558,'CIR Team Info'!$C$5:$E$44,3,FALSE)</f>
        <v>#N/A</v>
      </c>
      <c r="R566" s="10" t="e">
        <f>VLOOKUP(AJ558,'FRC Site Data'!$B$3:$L$42,2,FALSE)</f>
        <v>#N/A</v>
      </c>
      <c r="S566" s="10" t="e">
        <f>VLOOKUP(AJ558,'FRC Site Data'!$B$3:$L$42,3,FALSE)</f>
        <v>#N/A</v>
      </c>
      <c r="T566" s="10" t="e">
        <f>VLOOKUP(AJ558,'FRC Site Data'!$B$3:$L$42,4,FALSE)</f>
        <v>#N/A</v>
      </c>
      <c r="U566" s="10" t="e">
        <f>VLOOKUP(AJ558,'FRC Site Data'!$B$3:$L$42,5,FALSE)</f>
        <v>#N/A</v>
      </c>
      <c r="V566" s="10" t="e">
        <f>VLOOKUP(AJ558,'FRC Site Data'!$B$3:$L$42,6,FALSE)</f>
        <v>#N/A</v>
      </c>
      <c r="W566" s="10" t="e">
        <f>VLOOKUP(AJ558,'FRC Site Data'!$B$3:$L$42,8,FALSE)</f>
        <v>#N/A</v>
      </c>
      <c r="X566" s="10" t="e">
        <f>VLOOKUP(AJ558,'FRC Site Data'!$B$3:$L$42,9,FALSE)</f>
        <v>#N/A</v>
      </c>
      <c r="Y566" s="10" t="e">
        <f>VLOOKUP(AJ558,'FRC Site Data'!$B$3:$L$42,10,FALSE)</f>
        <v>#N/A</v>
      </c>
      <c r="Z566" s="10" t="e">
        <f>VLOOKUP(AJ558,'FRC Site Data'!$B$3:$L$42,11,FALSE)</f>
        <v>#N/A</v>
      </c>
      <c r="AA566" s="10" t="e">
        <f>VLOOKUP(AJ558,'CIR Team Info'!$C$5:$E$44,4,FALSE)</f>
        <v>#N/A</v>
      </c>
      <c r="AB566" s="161" t="b">
        <f>ISNUMBER(VLOOKUP(AJ558,Match!$T$5:$T$10,1,FALSE))</f>
        <v>0</v>
      </c>
      <c r="AC566" s="161" t="b">
        <f>IF(AB566=TRUE,(VLOOKUP($AJ558,Match!$T$5:$U$10,2,FALSE)))</f>
        <v>0</v>
      </c>
      <c r="AD566" s="8">
        <v>3</v>
      </c>
      <c r="AE566" s="8">
        <v>2</v>
      </c>
      <c r="AF566" s="8">
        <v>2</v>
      </c>
      <c r="AG566" s="8">
        <v>1</v>
      </c>
      <c r="AH566" s="8" t="str">
        <f t="shared" si="170"/>
        <v/>
      </c>
      <c r="AI566" s="12"/>
      <c r="AZ566" s="12"/>
      <c r="BC566" s="12"/>
      <c r="BK566" s="12"/>
    </row>
    <row r="567" spans="1:63" x14ac:dyDescent="0.25">
      <c r="A567" s="29">
        <f t="shared" si="161"/>
        <v>0</v>
      </c>
      <c r="B567" s="29">
        <f t="shared" si="155"/>
        <v>0</v>
      </c>
      <c r="C567" s="29">
        <f t="shared" si="156"/>
        <v>0</v>
      </c>
      <c r="D567" s="29">
        <f t="shared" si="157"/>
        <v>0</v>
      </c>
      <c r="E567" s="29">
        <f t="shared" si="162"/>
        <v>0</v>
      </c>
      <c r="F567" s="29">
        <f t="shared" si="163"/>
        <v>0</v>
      </c>
      <c r="G567" s="29" t="str">
        <f t="shared" si="164"/>
        <v>offensive</v>
      </c>
      <c r="H567" s="16">
        <f t="shared" si="168"/>
        <v>0</v>
      </c>
      <c r="I567" s="16">
        <f t="shared" si="169"/>
        <v>0</v>
      </c>
      <c r="J567" s="16">
        <f t="shared" si="158"/>
        <v>0</v>
      </c>
      <c r="K567" s="16">
        <f t="shared" si="165"/>
        <v>0</v>
      </c>
      <c r="L567" s="67">
        <f t="shared" si="166"/>
        <v>0</v>
      </c>
      <c r="M567" s="4">
        <f t="shared" si="159"/>
        <v>0</v>
      </c>
      <c r="N567" s="4">
        <f t="shared" si="160"/>
        <v>0</v>
      </c>
      <c r="O567" s="4">
        <f t="shared" si="167"/>
        <v>0</v>
      </c>
      <c r="P567" s="4" t="e">
        <f>VLOOKUP(AJ559,'CIR Team Info'!$C$5:$E$44,2,FALSE)</f>
        <v>#N/A</v>
      </c>
      <c r="Q567" s="4" t="e">
        <f>VLOOKUP(AJ559,'CIR Team Info'!$C$5:$E$44,3,FALSE)</f>
        <v>#N/A</v>
      </c>
      <c r="R567" s="10" t="e">
        <f>VLOOKUP(AJ559,'FRC Site Data'!$B$3:$L$42,2,FALSE)</f>
        <v>#N/A</v>
      </c>
      <c r="S567" s="10" t="e">
        <f>VLOOKUP(AJ559,'FRC Site Data'!$B$3:$L$42,3,FALSE)</f>
        <v>#N/A</v>
      </c>
      <c r="T567" s="10" t="e">
        <f>VLOOKUP(AJ559,'FRC Site Data'!$B$3:$L$42,4,FALSE)</f>
        <v>#N/A</v>
      </c>
      <c r="U567" s="10" t="e">
        <f>VLOOKUP(AJ559,'FRC Site Data'!$B$3:$L$42,5,FALSE)</f>
        <v>#N/A</v>
      </c>
      <c r="V567" s="10" t="e">
        <f>VLOOKUP(AJ559,'FRC Site Data'!$B$3:$L$42,6,FALSE)</f>
        <v>#N/A</v>
      </c>
      <c r="W567" s="10" t="e">
        <f>VLOOKUP(AJ559,'FRC Site Data'!$B$3:$L$42,8,FALSE)</f>
        <v>#N/A</v>
      </c>
      <c r="X567" s="10" t="e">
        <f>VLOOKUP(AJ559,'FRC Site Data'!$B$3:$L$42,9,FALSE)</f>
        <v>#N/A</v>
      </c>
      <c r="Y567" s="10" t="e">
        <f>VLOOKUP(AJ559,'FRC Site Data'!$B$3:$L$42,10,FALSE)</f>
        <v>#N/A</v>
      </c>
      <c r="Z567" s="10" t="e">
        <f>VLOOKUP(AJ559,'FRC Site Data'!$B$3:$L$42,11,FALSE)</f>
        <v>#N/A</v>
      </c>
      <c r="AA567" s="10" t="e">
        <f>VLOOKUP(AJ559,'CIR Team Info'!$C$5:$E$44,4,FALSE)</f>
        <v>#N/A</v>
      </c>
      <c r="AB567" s="161" t="b">
        <f>ISNUMBER(VLOOKUP(AJ559,Match!$T$5:$T$10,1,FALSE))</f>
        <v>0</v>
      </c>
      <c r="AC567" s="161" t="b">
        <f>IF(AB567=TRUE,(VLOOKUP($AJ559,Match!$T$5:$U$10,2,FALSE)))</f>
        <v>0</v>
      </c>
      <c r="AD567" s="8">
        <v>3</v>
      </c>
      <c r="AE567" s="8">
        <v>2</v>
      </c>
      <c r="AF567" s="8">
        <v>2</v>
      </c>
      <c r="AG567" s="8">
        <v>1</v>
      </c>
      <c r="AH567" s="8" t="str">
        <f t="shared" si="170"/>
        <v/>
      </c>
      <c r="AI567" s="12"/>
      <c r="AZ567" s="12"/>
      <c r="BC567" s="12"/>
      <c r="BK567" s="12"/>
    </row>
    <row r="568" spans="1:63" x14ac:dyDescent="0.25">
      <c r="A568" s="29">
        <f t="shared" si="161"/>
        <v>0</v>
      </c>
      <c r="B568" s="29">
        <f t="shared" si="155"/>
        <v>0</v>
      </c>
      <c r="C568" s="29">
        <f t="shared" si="156"/>
        <v>0</v>
      </c>
      <c r="D568" s="29">
        <f t="shared" si="157"/>
        <v>0</v>
      </c>
      <c r="E568" s="29">
        <f t="shared" si="162"/>
        <v>0</v>
      </c>
      <c r="F568" s="29">
        <f t="shared" si="163"/>
        <v>0</v>
      </c>
      <c r="G568" s="29" t="str">
        <f t="shared" si="164"/>
        <v>offensive</v>
      </c>
      <c r="H568" s="16">
        <f t="shared" si="168"/>
        <v>0</v>
      </c>
      <c r="I568" s="16">
        <f t="shared" si="169"/>
        <v>0</v>
      </c>
      <c r="J568" s="16">
        <f t="shared" si="158"/>
        <v>0</v>
      </c>
      <c r="K568" s="16">
        <f t="shared" si="165"/>
        <v>0</v>
      </c>
      <c r="L568" s="67">
        <f t="shared" si="166"/>
        <v>0</v>
      </c>
      <c r="M568" s="4">
        <f t="shared" si="159"/>
        <v>0</v>
      </c>
      <c r="N568" s="4">
        <f t="shared" si="160"/>
        <v>0</v>
      </c>
      <c r="O568" s="4">
        <f t="shared" si="167"/>
        <v>0</v>
      </c>
      <c r="P568" s="4" t="e">
        <f>VLOOKUP(AJ560,'CIR Team Info'!$C$5:$E$44,2,FALSE)</f>
        <v>#N/A</v>
      </c>
      <c r="Q568" s="4" t="e">
        <f>VLOOKUP(AJ560,'CIR Team Info'!$C$5:$E$44,3,FALSE)</f>
        <v>#N/A</v>
      </c>
      <c r="R568" s="10" t="e">
        <f>VLOOKUP(AJ560,'FRC Site Data'!$B$3:$L$42,2,FALSE)</f>
        <v>#N/A</v>
      </c>
      <c r="S568" s="10" t="e">
        <f>VLOOKUP(AJ560,'FRC Site Data'!$B$3:$L$42,3,FALSE)</f>
        <v>#N/A</v>
      </c>
      <c r="T568" s="10" t="e">
        <f>VLOOKUP(AJ560,'FRC Site Data'!$B$3:$L$42,4,FALSE)</f>
        <v>#N/A</v>
      </c>
      <c r="U568" s="10" t="e">
        <f>VLOOKUP(AJ560,'FRC Site Data'!$B$3:$L$42,5,FALSE)</f>
        <v>#N/A</v>
      </c>
      <c r="V568" s="10" t="e">
        <f>VLOOKUP(AJ560,'FRC Site Data'!$B$3:$L$42,6,FALSE)</f>
        <v>#N/A</v>
      </c>
      <c r="W568" s="10" t="e">
        <f>VLOOKUP(AJ560,'FRC Site Data'!$B$3:$L$42,8,FALSE)</f>
        <v>#N/A</v>
      </c>
      <c r="X568" s="10" t="e">
        <f>VLOOKUP(AJ560,'FRC Site Data'!$B$3:$L$42,9,FALSE)</f>
        <v>#N/A</v>
      </c>
      <c r="Y568" s="10" t="e">
        <f>VLOOKUP(AJ560,'FRC Site Data'!$B$3:$L$42,10,FALSE)</f>
        <v>#N/A</v>
      </c>
      <c r="Z568" s="10" t="e">
        <f>VLOOKUP(AJ560,'FRC Site Data'!$B$3:$L$42,11,FALSE)</f>
        <v>#N/A</v>
      </c>
      <c r="AA568" s="10" t="e">
        <f>VLOOKUP(AJ560,'CIR Team Info'!$C$5:$E$44,4,FALSE)</f>
        <v>#N/A</v>
      </c>
      <c r="AB568" s="161" t="b">
        <f>ISNUMBER(VLOOKUP(AJ560,Match!$T$5:$T$10,1,FALSE))</f>
        <v>0</v>
      </c>
      <c r="AC568" s="161" t="b">
        <f>IF(AB568=TRUE,(VLOOKUP($AJ560,Match!$T$5:$U$10,2,FALSE)))</f>
        <v>0</v>
      </c>
      <c r="AD568" s="8">
        <v>3</v>
      </c>
      <c r="AE568" s="8">
        <v>2</v>
      </c>
      <c r="AF568" s="8">
        <v>2</v>
      </c>
      <c r="AG568" s="8">
        <v>1</v>
      </c>
      <c r="AH568" s="8" t="str">
        <f t="shared" si="170"/>
        <v/>
      </c>
      <c r="AI568" s="12"/>
      <c r="AZ568" s="12"/>
      <c r="BC568" s="12"/>
      <c r="BK568" s="12"/>
    </row>
    <row r="569" spans="1:63" x14ac:dyDescent="0.25">
      <c r="A569" s="29">
        <f t="shared" si="161"/>
        <v>0</v>
      </c>
      <c r="B569" s="29">
        <f t="shared" si="155"/>
        <v>0</v>
      </c>
      <c r="C569" s="29">
        <f t="shared" si="156"/>
        <v>0</v>
      </c>
      <c r="D569" s="29">
        <f t="shared" si="157"/>
        <v>0</v>
      </c>
      <c r="E569" s="29">
        <f t="shared" si="162"/>
        <v>0</v>
      </c>
      <c r="F569" s="29">
        <f t="shared" si="163"/>
        <v>0</v>
      </c>
      <c r="G569" s="29" t="str">
        <f t="shared" si="164"/>
        <v>offensive</v>
      </c>
      <c r="H569" s="16">
        <f t="shared" si="168"/>
        <v>0</v>
      </c>
      <c r="I569" s="16">
        <f t="shared" si="169"/>
        <v>0</v>
      </c>
      <c r="J569" s="16">
        <f t="shared" si="158"/>
        <v>0</v>
      </c>
      <c r="K569" s="16">
        <f t="shared" si="165"/>
        <v>0</v>
      </c>
      <c r="L569" s="67">
        <f t="shared" si="166"/>
        <v>0</v>
      </c>
      <c r="M569" s="4">
        <f t="shared" si="159"/>
        <v>0</v>
      </c>
      <c r="N569" s="4">
        <f t="shared" si="160"/>
        <v>0</v>
      </c>
      <c r="O569" s="4">
        <f t="shared" si="167"/>
        <v>0</v>
      </c>
      <c r="P569" s="4" t="e">
        <f>VLOOKUP(AJ561,'CIR Team Info'!$C$5:$E$44,2,FALSE)</f>
        <v>#N/A</v>
      </c>
      <c r="Q569" s="4" t="e">
        <f>VLOOKUP(AJ561,'CIR Team Info'!$C$5:$E$44,3,FALSE)</f>
        <v>#N/A</v>
      </c>
      <c r="R569" s="10" t="e">
        <f>VLOOKUP(AJ561,'FRC Site Data'!$B$3:$L$42,2,FALSE)</f>
        <v>#N/A</v>
      </c>
      <c r="S569" s="10" t="e">
        <f>VLOOKUP(AJ561,'FRC Site Data'!$B$3:$L$42,3,FALSE)</f>
        <v>#N/A</v>
      </c>
      <c r="T569" s="10" t="e">
        <f>VLOOKUP(AJ561,'FRC Site Data'!$B$3:$L$42,4,FALSE)</f>
        <v>#N/A</v>
      </c>
      <c r="U569" s="10" t="e">
        <f>VLOOKUP(AJ561,'FRC Site Data'!$B$3:$L$42,5,FALSE)</f>
        <v>#N/A</v>
      </c>
      <c r="V569" s="10" t="e">
        <f>VLOOKUP(AJ561,'FRC Site Data'!$B$3:$L$42,6,FALSE)</f>
        <v>#N/A</v>
      </c>
      <c r="W569" s="10" t="e">
        <f>VLOOKUP(AJ561,'FRC Site Data'!$B$3:$L$42,8,FALSE)</f>
        <v>#N/A</v>
      </c>
      <c r="X569" s="10" t="e">
        <f>VLOOKUP(AJ561,'FRC Site Data'!$B$3:$L$42,9,FALSE)</f>
        <v>#N/A</v>
      </c>
      <c r="Y569" s="10" t="e">
        <f>VLOOKUP(AJ561,'FRC Site Data'!$B$3:$L$42,10,FALSE)</f>
        <v>#N/A</v>
      </c>
      <c r="Z569" s="10" t="e">
        <f>VLOOKUP(AJ561,'FRC Site Data'!$B$3:$L$42,11,FALSE)</f>
        <v>#N/A</v>
      </c>
      <c r="AA569" s="10" t="e">
        <f>VLOOKUP(AJ561,'CIR Team Info'!$C$5:$E$44,4,FALSE)</f>
        <v>#N/A</v>
      </c>
      <c r="AB569" s="161" t="b">
        <f>ISNUMBER(VLOOKUP(AJ561,Match!$T$5:$T$10,1,FALSE))</f>
        <v>0</v>
      </c>
      <c r="AC569" s="161" t="b">
        <f>IF(AB569=TRUE,(VLOOKUP($AJ561,Match!$T$5:$U$10,2,FALSE)))</f>
        <v>0</v>
      </c>
      <c r="AD569" s="8">
        <v>3</v>
      </c>
      <c r="AE569" s="8">
        <v>2</v>
      </c>
      <c r="AF569" s="8">
        <v>2</v>
      </c>
      <c r="AG569" s="8">
        <v>1</v>
      </c>
      <c r="AH569" s="8" t="str">
        <f t="shared" si="170"/>
        <v/>
      </c>
      <c r="AI569" s="12"/>
      <c r="AZ569" s="12"/>
      <c r="BC569" s="12"/>
      <c r="BK569" s="12"/>
    </row>
    <row r="570" spans="1:63" x14ac:dyDescent="0.25">
      <c r="A570" s="29">
        <f t="shared" si="161"/>
        <v>0</v>
      </c>
      <c r="B570" s="29">
        <f t="shared" si="155"/>
        <v>0</v>
      </c>
      <c r="C570" s="29">
        <f t="shared" si="156"/>
        <v>0</v>
      </c>
      <c r="D570" s="29">
        <f t="shared" si="157"/>
        <v>0</v>
      </c>
      <c r="E570" s="29">
        <f t="shared" si="162"/>
        <v>0</v>
      </c>
      <c r="F570" s="29">
        <f t="shared" si="163"/>
        <v>0</v>
      </c>
      <c r="G570" s="29" t="str">
        <f t="shared" si="164"/>
        <v>offensive</v>
      </c>
      <c r="H570" s="16">
        <f t="shared" si="168"/>
        <v>0</v>
      </c>
      <c r="I570" s="16">
        <f t="shared" si="169"/>
        <v>0</v>
      </c>
      <c r="J570" s="16">
        <f t="shared" si="158"/>
        <v>0</v>
      </c>
      <c r="K570" s="16">
        <f t="shared" si="165"/>
        <v>0</v>
      </c>
      <c r="L570" s="67">
        <f t="shared" si="166"/>
        <v>0</v>
      </c>
      <c r="M570" s="4">
        <f t="shared" si="159"/>
        <v>0</v>
      </c>
      <c r="N570" s="4">
        <f t="shared" si="160"/>
        <v>0</v>
      </c>
      <c r="O570" s="4">
        <f t="shared" si="167"/>
        <v>0</v>
      </c>
      <c r="P570" s="4" t="e">
        <f>VLOOKUP(AJ562,'CIR Team Info'!$C$5:$E$44,2,FALSE)</f>
        <v>#N/A</v>
      </c>
      <c r="Q570" s="4" t="e">
        <f>VLOOKUP(AJ562,'CIR Team Info'!$C$5:$E$44,3,FALSE)</f>
        <v>#N/A</v>
      </c>
      <c r="R570" s="10" t="e">
        <f>VLOOKUP(AJ562,'FRC Site Data'!$B$3:$L$42,2,FALSE)</f>
        <v>#N/A</v>
      </c>
      <c r="S570" s="10" t="e">
        <f>VLOOKUP(AJ562,'FRC Site Data'!$B$3:$L$42,3,FALSE)</f>
        <v>#N/A</v>
      </c>
      <c r="T570" s="10" t="e">
        <f>VLOOKUP(AJ562,'FRC Site Data'!$B$3:$L$42,4,FALSE)</f>
        <v>#N/A</v>
      </c>
      <c r="U570" s="10" t="e">
        <f>VLOOKUP(AJ562,'FRC Site Data'!$B$3:$L$42,5,FALSE)</f>
        <v>#N/A</v>
      </c>
      <c r="V570" s="10" t="e">
        <f>VLOOKUP(AJ562,'FRC Site Data'!$B$3:$L$42,6,FALSE)</f>
        <v>#N/A</v>
      </c>
      <c r="W570" s="10" t="e">
        <f>VLOOKUP(AJ562,'FRC Site Data'!$B$3:$L$42,8,FALSE)</f>
        <v>#N/A</v>
      </c>
      <c r="X570" s="10" t="e">
        <f>VLOOKUP(AJ562,'FRC Site Data'!$B$3:$L$42,9,FALSE)</f>
        <v>#N/A</v>
      </c>
      <c r="Y570" s="10" t="e">
        <f>VLOOKUP(AJ562,'FRC Site Data'!$B$3:$L$42,10,FALSE)</f>
        <v>#N/A</v>
      </c>
      <c r="Z570" s="10" t="e">
        <f>VLOOKUP(AJ562,'FRC Site Data'!$B$3:$L$42,11,FALSE)</f>
        <v>#N/A</v>
      </c>
      <c r="AA570" s="10" t="e">
        <f>VLOOKUP(AJ562,'CIR Team Info'!$C$5:$E$44,4,FALSE)</f>
        <v>#N/A</v>
      </c>
      <c r="AB570" s="161" t="b">
        <f>ISNUMBER(VLOOKUP(AJ562,Match!$T$5:$T$10,1,FALSE))</f>
        <v>0</v>
      </c>
      <c r="AC570" s="161" t="b">
        <f>IF(AB570=TRUE,(VLOOKUP($AJ562,Match!$T$5:$U$10,2,FALSE)))</f>
        <v>0</v>
      </c>
      <c r="AD570" s="8">
        <v>3</v>
      </c>
      <c r="AE570" s="8">
        <v>2</v>
      </c>
      <c r="AF570" s="8">
        <v>2</v>
      </c>
      <c r="AG570" s="8">
        <v>1</v>
      </c>
      <c r="AH570" s="8" t="str">
        <f t="shared" si="170"/>
        <v/>
      </c>
      <c r="AI570" s="12"/>
      <c r="AZ570" s="12"/>
      <c r="BC570" s="12"/>
      <c r="BK570" s="12"/>
    </row>
    <row r="571" spans="1:63" x14ac:dyDescent="0.25">
      <c r="A571" s="29">
        <f t="shared" si="161"/>
        <v>0</v>
      </c>
      <c r="B571" s="29">
        <f t="shared" si="155"/>
        <v>0</v>
      </c>
      <c r="C571" s="29">
        <f t="shared" si="156"/>
        <v>0</v>
      </c>
      <c r="D571" s="29">
        <f t="shared" si="157"/>
        <v>0</v>
      </c>
      <c r="E571" s="29">
        <f t="shared" si="162"/>
        <v>0</v>
      </c>
      <c r="F571" s="29">
        <f t="shared" si="163"/>
        <v>0</v>
      </c>
      <c r="G571" s="29" t="str">
        <f t="shared" si="164"/>
        <v>offensive</v>
      </c>
      <c r="H571" s="16">
        <f t="shared" si="168"/>
        <v>0</v>
      </c>
      <c r="I571" s="16">
        <f t="shared" si="169"/>
        <v>0</v>
      </c>
      <c r="J571" s="16">
        <f t="shared" si="158"/>
        <v>0</v>
      </c>
      <c r="K571" s="16">
        <f t="shared" si="165"/>
        <v>0</v>
      </c>
      <c r="L571" s="67">
        <f t="shared" si="166"/>
        <v>0</v>
      </c>
      <c r="M571" s="4">
        <f t="shared" si="159"/>
        <v>0</v>
      </c>
      <c r="N571" s="4">
        <f t="shared" si="160"/>
        <v>0</v>
      </c>
      <c r="O571" s="4">
        <f t="shared" si="167"/>
        <v>0</v>
      </c>
      <c r="P571" s="4" t="e">
        <f>VLOOKUP(AJ563,'CIR Team Info'!$C$5:$E$44,2,FALSE)</f>
        <v>#N/A</v>
      </c>
      <c r="Q571" s="4" t="e">
        <f>VLOOKUP(AJ563,'CIR Team Info'!$C$5:$E$44,3,FALSE)</f>
        <v>#N/A</v>
      </c>
      <c r="R571" s="10" t="e">
        <f>VLOOKUP(AJ563,'FRC Site Data'!$B$3:$L$42,2,FALSE)</f>
        <v>#N/A</v>
      </c>
      <c r="S571" s="10" t="e">
        <f>VLOOKUP(AJ563,'FRC Site Data'!$B$3:$L$42,3,FALSE)</f>
        <v>#N/A</v>
      </c>
      <c r="T571" s="10" t="e">
        <f>VLOOKUP(AJ563,'FRC Site Data'!$B$3:$L$42,4,FALSE)</f>
        <v>#N/A</v>
      </c>
      <c r="U571" s="10" t="e">
        <f>VLOOKUP(AJ563,'FRC Site Data'!$B$3:$L$42,5,FALSE)</f>
        <v>#N/A</v>
      </c>
      <c r="V571" s="10" t="e">
        <f>VLOOKUP(AJ563,'FRC Site Data'!$B$3:$L$42,6,FALSE)</f>
        <v>#N/A</v>
      </c>
      <c r="W571" s="10" t="e">
        <f>VLOOKUP(AJ563,'FRC Site Data'!$B$3:$L$42,8,FALSE)</f>
        <v>#N/A</v>
      </c>
      <c r="X571" s="10" t="e">
        <f>VLOOKUP(AJ563,'FRC Site Data'!$B$3:$L$42,9,FALSE)</f>
        <v>#N/A</v>
      </c>
      <c r="Y571" s="10" t="e">
        <f>VLOOKUP(AJ563,'FRC Site Data'!$B$3:$L$42,10,FALSE)</f>
        <v>#N/A</v>
      </c>
      <c r="Z571" s="10" t="e">
        <f>VLOOKUP(AJ563,'FRC Site Data'!$B$3:$L$42,11,FALSE)</f>
        <v>#N/A</v>
      </c>
      <c r="AA571" s="10" t="e">
        <f>VLOOKUP(AJ563,'CIR Team Info'!$C$5:$E$44,4,FALSE)</f>
        <v>#N/A</v>
      </c>
      <c r="AB571" s="161" t="b">
        <f>ISNUMBER(VLOOKUP(AJ563,Match!$T$5:$T$10,1,FALSE))</f>
        <v>0</v>
      </c>
      <c r="AC571" s="161" t="b">
        <f>IF(AB571=TRUE,(VLOOKUP($AJ563,Match!$T$5:$U$10,2,FALSE)))</f>
        <v>0</v>
      </c>
      <c r="AD571" s="8">
        <v>3</v>
      </c>
      <c r="AE571" s="8">
        <v>2</v>
      </c>
      <c r="AF571" s="8">
        <v>2</v>
      </c>
      <c r="AG571" s="8">
        <v>1</v>
      </c>
      <c r="AH571" s="8" t="str">
        <f t="shared" si="170"/>
        <v/>
      </c>
      <c r="AI571" s="12"/>
      <c r="AZ571" s="12"/>
      <c r="BC571" s="12"/>
      <c r="BK571" s="12"/>
    </row>
    <row r="572" spans="1:63" x14ac:dyDescent="0.25">
      <c r="A572" s="29">
        <f t="shared" si="161"/>
        <v>0</v>
      </c>
      <c r="B572" s="29">
        <f t="shared" si="155"/>
        <v>0</v>
      </c>
      <c r="C572" s="29">
        <f t="shared" si="156"/>
        <v>0</v>
      </c>
      <c r="D572" s="29">
        <f t="shared" si="157"/>
        <v>0</v>
      </c>
      <c r="E572" s="29">
        <f t="shared" si="162"/>
        <v>0</v>
      </c>
      <c r="F572" s="29">
        <f t="shared" si="163"/>
        <v>0</v>
      </c>
      <c r="G572" s="29" t="str">
        <f t="shared" si="164"/>
        <v>offensive</v>
      </c>
      <c r="H572" s="16">
        <f t="shared" si="168"/>
        <v>0</v>
      </c>
      <c r="I572" s="16">
        <f t="shared" si="169"/>
        <v>0</v>
      </c>
      <c r="J572" s="16">
        <f t="shared" si="158"/>
        <v>0</v>
      </c>
      <c r="K572" s="16">
        <f t="shared" si="165"/>
        <v>0</v>
      </c>
      <c r="L572" s="67">
        <f t="shared" si="166"/>
        <v>0</v>
      </c>
      <c r="M572" s="4">
        <f t="shared" si="159"/>
        <v>0</v>
      </c>
      <c r="N572" s="4">
        <f t="shared" si="160"/>
        <v>0</v>
      </c>
      <c r="O572" s="4">
        <f t="shared" si="167"/>
        <v>0</v>
      </c>
      <c r="P572" s="4" t="e">
        <f>VLOOKUP(AJ564,'CIR Team Info'!$C$5:$E$44,2,FALSE)</f>
        <v>#N/A</v>
      </c>
      <c r="Q572" s="4" t="e">
        <f>VLOOKUP(AJ564,'CIR Team Info'!$C$5:$E$44,3,FALSE)</f>
        <v>#N/A</v>
      </c>
      <c r="R572" s="10" t="e">
        <f>VLOOKUP(AJ564,'FRC Site Data'!$B$3:$L$42,2,FALSE)</f>
        <v>#N/A</v>
      </c>
      <c r="S572" s="10" t="e">
        <f>VLOOKUP(AJ564,'FRC Site Data'!$B$3:$L$42,3,FALSE)</f>
        <v>#N/A</v>
      </c>
      <c r="T572" s="10" t="e">
        <f>VLOOKUP(AJ564,'FRC Site Data'!$B$3:$L$42,4,FALSE)</f>
        <v>#N/A</v>
      </c>
      <c r="U572" s="10" t="e">
        <f>VLOOKUP(AJ564,'FRC Site Data'!$B$3:$L$42,5,FALSE)</f>
        <v>#N/A</v>
      </c>
      <c r="V572" s="10" t="e">
        <f>VLOOKUP(AJ564,'FRC Site Data'!$B$3:$L$42,6,FALSE)</f>
        <v>#N/A</v>
      </c>
      <c r="W572" s="10" t="e">
        <f>VLOOKUP(AJ564,'FRC Site Data'!$B$3:$L$42,8,FALSE)</f>
        <v>#N/A</v>
      </c>
      <c r="X572" s="10" t="e">
        <f>VLOOKUP(AJ564,'FRC Site Data'!$B$3:$L$42,9,FALSE)</f>
        <v>#N/A</v>
      </c>
      <c r="Y572" s="10" t="e">
        <f>VLOOKUP(AJ564,'FRC Site Data'!$B$3:$L$42,10,FALSE)</f>
        <v>#N/A</v>
      </c>
      <c r="Z572" s="10" t="e">
        <f>VLOOKUP(AJ564,'FRC Site Data'!$B$3:$L$42,11,FALSE)</f>
        <v>#N/A</v>
      </c>
      <c r="AA572" s="10" t="e">
        <f>VLOOKUP(AJ564,'CIR Team Info'!$C$5:$E$44,4,FALSE)</f>
        <v>#N/A</v>
      </c>
      <c r="AB572" s="161" t="b">
        <f>ISNUMBER(VLOOKUP(AJ564,Match!$T$5:$T$10,1,FALSE))</f>
        <v>0</v>
      </c>
      <c r="AC572" s="161" t="b">
        <f>IF(AB572=TRUE,(VLOOKUP($AJ564,Match!$T$5:$U$10,2,FALSE)))</f>
        <v>0</v>
      </c>
      <c r="AD572" s="8">
        <v>3</v>
      </c>
      <c r="AE572" s="8">
        <v>2</v>
      </c>
      <c r="AF572" s="8">
        <v>2</v>
      </c>
      <c r="AG572" s="8">
        <v>1</v>
      </c>
      <c r="AH572" s="8" t="str">
        <f t="shared" si="170"/>
        <v/>
      </c>
      <c r="AI572" s="12"/>
      <c r="AZ572" s="12"/>
      <c r="BC572" s="12"/>
      <c r="BK572" s="12"/>
    </row>
    <row r="573" spans="1:63" x14ac:dyDescent="0.25">
      <c r="A573" s="29">
        <f t="shared" si="161"/>
        <v>0</v>
      </c>
      <c r="B573" s="29">
        <f t="shared" si="155"/>
        <v>0</v>
      </c>
      <c r="C573" s="29">
        <f t="shared" si="156"/>
        <v>0</v>
      </c>
      <c r="D573" s="29">
        <f t="shared" si="157"/>
        <v>0</v>
      </c>
      <c r="E573" s="29">
        <f t="shared" si="162"/>
        <v>0</v>
      </c>
      <c r="F573" s="29">
        <f t="shared" si="163"/>
        <v>0</v>
      </c>
      <c r="G573" s="29" t="str">
        <f t="shared" si="164"/>
        <v>offensive</v>
      </c>
      <c r="H573" s="16">
        <f t="shared" si="168"/>
        <v>0</v>
      </c>
      <c r="I573" s="16">
        <f t="shared" si="169"/>
        <v>0</v>
      </c>
      <c r="J573" s="16">
        <f t="shared" si="158"/>
        <v>0</v>
      </c>
      <c r="K573" s="16">
        <f t="shared" si="165"/>
        <v>0</v>
      </c>
      <c r="L573" s="67">
        <f t="shared" si="166"/>
        <v>0</v>
      </c>
      <c r="M573" s="4">
        <f t="shared" si="159"/>
        <v>0</v>
      </c>
      <c r="N573" s="4">
        <f t="shared" si="160"/>
        <v>0</v>
      </c>
      <c r="O573" s="4">
        <f t="shared" si="167"/>
        <v>0</v>
      </c>
      <c r="P573" s="4" t="e">
        <f>VLOOKUP(AJ565,'CIR Team Info'!$C$5:$E$44,2,FALSE)</f>
        <v>#N/A</v>
      </c>
      <c r="Q573" s="4" t="e">
        <f>VLOOKUP(AJ565,'CIR Team Info'!$C$5:$E$44,3,FALSE)</f>
        <v>#N/A</v>
      </c>
      <c r="R573" s="10" t="e">
        <f>VLOOKUP(AJ565,'FRC Site Data'!$B$3:$L$42,2,FALSE)</f>
        <v>#N/A</v>
      </c>
      <c r="S573" s="10" t="e">
        <f>VLOOKUP(AJ565,'FRC Site Data'!$B$3:$L$42,3,FALSE)</f>
        <v>#N/A</v>
      </c>
      <c r="T573" s="10" t="e">
        <f>VLOOKUP(AJ565,'FRC Site Data'!$B$3:$L$42,4,FALSE)</f>
        <v>#N/A</v>
      </c>
      <c r="U573" s="10" t="e">
        <f>VLOOKUP(AJ565,'FRC Site Data'!$B$3:$L$42,5,FALSE)</f>
        <v>#N/A</v>
      </c>
      <c r="V573" s="10" t="e">
        <f>VLOOKUP(AJ565,'FRC Site Data'!$B$3:$L$42,6,FALSE)</f>
        <v>#N/A</v>
      </c>
      <c r="W573" s="10" t="e">
        <f>VLOOKUP(AJ565,'FRC Site Data'!$B$3:$L$42,8,FALSE)</f>
        <v>#N/A</v>
      </c>
      <c r="X573" s="10" t="e">
        <f>VLOOKUP(AJ565,'FRC Site Data'!$B$3:$L$42,9,FALSE)</f>
        <v>#N/A</v>
      </c>
      <c r="Y573" s="10" t="e">
        <f>VLOOKUP(AJ565,'FRC Site Data'!$B$3:$L$42,10,FALSE)</f>
        <v>#N/A</v>
      </c>
      <c r="Z573" s="10" t="e">
        <f>VLOOKUP(AJ565,'FRC Site Data'!$B$3:$L$42,11,FALSE)</f>
        <v>#N/A</v>
      </c>
      <c r="AA573" s="10" t="e">
        <f>VLOOKUP(AJ565,'CIR Team Info'!$C$5:$E$44,4,FALSE)</f>
        <v>#N/A</v>
      </c>
      <c r="AB573" s="161" t="b">
        <f>ISNUMBER(VLOOKUP(AJ565,Match!$T$5:$T$10,1,FALSE))</f>
        <v>0</v>
      </c>
      <c r="AC573" s="161" t="b">
        <f>IF(AB573=TRUE,(VLOOKUP($AJ565,Match!$T$5:$U$10,2,FALSE)))</f>
        <v>0</v>
      </c>
      <c r="AD573" s="8">
        <v>3</v>
      </c>
      <c r="AE573" s="8">
        <v>2</v>
      </c>
      <c r="AF573" s="8">
        <v>2</v>
      </c>
      <c r="AG573" s="8">
        <v>1</v>
      </c>
      <c r="AH573" s="8" t="str">
        <f t="shared" si="170"/>
        <v/>
      </c>
      <c r="AI573" s="12"/>
      <c r="AZ573" s="12"/>
      <c r="BC573" s="12"/>
      <c r="BK573" s="12"/>
    </row>
    <row r="574" spans="1:63" x14ac:dyDescent="0.25">
      <c r="A574" s="29">
        <f t="shared" si="161"/>
        <v>0</v>
      </c>
      <c r="B574" s="29">
        <f t="shared" si="155"/>
        <v>0</v>
      </c>
      <c r="C574" s="29">
        <f t="shared" si="156"/>
        <v>0</v>
      </c>
      <c r="D574" s="29">
        <f t="shared" si="157"/>
        <v>0</v>
      </c>
      <c r="E574" s="29">
        <f t="shared" si="162"/>
        <v>0</v>
      </c>
      <c r="F574" s="29">
        <f t="shared" si="163"/>
        <v>0</v>
      </c>
      <c r="G574" s="29" t="str">
        <f t="shared" si="164"/>
        <v>offensive</v>
      </c>
      <c r="H574" s="16">
        <f t="shared" si="168"/>
        <v>0</v>
      </c>
      <c r="I574" s="16">
        <f t="shared" si="169"/>
        <v>0</v>
      </c>
      <c r="J574" s="16">
        <f t="shared" si="158"/>
        <v>0</v>
      </c>
      <c r="K574" s="16">
        <f t="shared" si="165"/>
        <v>0</v>
      </c>
      <c r="L574" s="67">
        <f t="shared" si="166"/>
        <v>0</v>
      </c>
      <c r="M574" s="4">
        <f t="shared" si="159"/>
        <v>0</v>
      </c>
      <c r="N574" s="4">
        <f t="shared" si="160"/>
        <v>0</v>
      </c>
      <c r="O574" s="4">
        <f t="shared" si="167"/>
        <v>0</v>
      </c>
      <c r="P574" s="4" t="e">
        <f>VLOOKUP(AJ566,'CIR Team Info'!$C$5:$E$44,2,FALSE)</f>
        <v>#N/A</v>
      </c>
      <c r="Q574" s="4" t="e">
        <f>VLOOKUP(AJ566,'CIR Team Info'!$C$5:$E$44,3,FALSE)</f>
        <v>#N/A</v>
      </c>
      <c r="R574" s="10" t="e">
        <f>VLOOKUP(AJ566,'FRC Site Data'!$B$3:$L$42,2,FALSE)</f>
        <v>#N/A</v>
      </c>
      <c r="S574" s="10" t="e">
        <f>VLOOKUP(AJ566,'FRC Site Data'!$B$3:$L$42,3,FALSE)</f>
        <v>#N/A</v>
      </c>
      <c r="T574" s="10" t="e">
        <f>VLOOKUP(AJ566,'FRC Site Data'!$B$3:$L$42,4,FALSE)</f>
        <v>#N/A</v>
      </c>
      <c r="U574" s="10" t="e">
        <f>VLOOKUP(AJ566,'FRC Site Data'!$B$3:$L$42,5,FALSE)</f>
        <v>#N/A</v>
      </c>
      <c r="V574" s="10" t="e">
        <f>VLOOKUP(AJ566,'FRC Site Data'!$B$3:$L$42,6,FALSE)</f>
        <v>#N/A</v>
      </c>
      <c r="W574" s="10" t="e">
        <f>VLOOKUP(AJ566,'FRC Site Data'!$B$3:$L$42,8,FALSE)</f>
        <v>#N/A</v>
      </c>
      <c r="X574" s="10" t="e">
        <f>VLOOKUP(AJ566,'FRC Site Data'!$B$3:$L$42,9,FALSE)</f>
        <v>#N/A</v>
      </c>
      <c r="Y574" s="10" t="e">
        <f>VLOOKUP(AJ566,'FRC Site Data'!$B$3:$L$42,10,FALSE)</f>
        <v>#N/A</v>
      </c>
      <c r="Z574" s="10" t="e">
        <f>VLOOKUP(AJ566,'FRC Site Data'!$B$3:$L$42,11,FALSE)</f>
        <v>#N/A</v>
      </c>
      <c r="AA574" s="10" t="e">
        <f>VLOOKUP(AJ566,'CIR Team Info'!$C$5:$E$44,4,FALSE)</f>
        <v>#N/A</v>
      </c>
      <c r="AB574" s="161" t="b">
        <f>ISNUMBER(VLOOKUP(AJ566,Match!$T$5:$T$10,1,FALSE))</f>
        <v>0</v>
      </c>
      <c r="AC574" s="161" t="b">
        <f>IF(AB574=TRUE,(VLOOKUP($AJ566,Match!$T$5:$U$10,2,FALSE)))</f>
        <v>0</v>
      </c>
      <c r="AD574" s="8">
        <v>3</v>
      </c>
      <c r="AE574" s="8">
        <v>2</v>
      </c>
      <c r="AF574" s="8">
        <v>2</v>
      </c>
      <c r="AG574" s="8">
        <v>1</v>
      </c>
      <c r="AH574" s="8" t="str">
        <f t="shared" si="170"/>
        <v/>
      </c>
      <c r="AI574" s="12"/>
      <c r="AZ574" s="12"/>
      <c r="BC574" s="12"/>
      <c r="BK574" s="12"/>
    </row>
    <row r="575" spans="1:63" x14ac:dyDescent="0.25">
      <c r="A575" s="29">
        <f t="shared" si="161"/>
        <v>0</v>
      </c>
      <c r="B575" s="29">
        <f t="shared" si="155"/>
        <v>0</v>
      </c>
      <c r="C575" s="29">
        <f t="shared" si="156"/>
        <v>0</v>
      </c>
      <c r="D575" s="29">
        <f t="shared" si="157"/>
        <v>0</v>
      </c>
      <c r="E575" s="29">
        <f t="shared" si="162"/>
        <v>0</v>
      </c>
      <c r="F575" s="29">
        <f t="shared" si="163"/>
        <v>0</v>
      </c>
      <c r="G575" s="29" t="str">
        <f t="shared" si="164"/>
        <v>offensive</v>
      </c>
      <c r="H575" s="16">
        <f t="shared" si="168"/>
        <v>0</v>
      </c>
      <c r="I575" s="16">
        <f t="shared" si="169"/>
        <v>0</v>
      </c>
      <c r="J575" s="16">
        <f t="shared" si="158"/>
        <v>0</v>
      </c>
      <c r="K575" s="16">
        <f t="shared" si="165"/>
        <v>0</v>
      </c>
      <c r="L575" s="67">
        <f t="shared" si="166"/>
        <v>0</v>
      </c>
      <c r="M575" s="4">
        <f t="shared" si="159"/>
        <v>0</v>
      </c>
      <c r="N575" s="4">
        <f t="shared" si="160"/>
        <v>0</v>
      </c>
      <c r="O575" s="4">
        <f t="shared" si="167"/>
        <v>0</v>
      </c>
      <c r="P575" s="4" t="e">
        <f>VLOOKUP(AJ567,'CIR Team Info'!$C$5:$E$44,2,FALSE)</f>
        <v>#N/A</v>
      </c>
      <c r="Q575" s="4" t="e">
        <f>VLOOKUP(AJ567,'CIR Team Info'!$C$5:$E$44,3,FALSE)</f>
        <v>#N/A</v>
      </c>
      <c r="R575" s="10" t="e">
        <f>VLOOKUP(AJ567,'FRC Site Data'!$B$3:$L$42,2,FALSE)</f>
        <v>#N/A</v>
      </c>
      <c r="S575" s="10" t="e">
        <f>VLOOKUP(AJ567,'FRC Site Data'!$B$3:$L$42,3,FALSE)</f>
        <v>#N/A</v>
      </c>
      <c r="T575" s="10" t="e">
        <f>VLOOKUP(AJ567,'FRC Site Data'!$B$3:$L$42,4,FALSE)</f>
        <v>#N/A</v>
      </c>
      <c r="U575" s="10" t="e">
        <f>VLOOKUP(AJ567,'FRC Site Data'!$B$3:$L$42,5,FALSE)</f>
        <v>#N/A</v>
      </c>
      <c r="V575" s="10" t="e">
        <f>VLOOKUP(AJ567,'FRC Site Data'!$B$3:$L$42,6,FALSE)</f>
        <v>#N/A</v>
      </c>
      <c r="W575" s="10" t="e">
        <f>VLOOKUP(AJ567,'FRC Site Data'!$B$3:$L$42,8,FALSE)</f>
        <v>#N/A</v>
      </c>
      <c r="X575" s="10" t="e">
        <f>VLOOKUP(AJ567,'FRC Site Data'!$B$3:$L$42,9,FALSE)</f>
        <v>#N/A</v>
      </c>
      <c r="Y575" s="10" t="e">
        <f>VLOOKUP(AJ567,'FRC Site Data'!$B$3:$L$42,10,FALSE)</f>
        <v>#N/A</v>
      </c>
      <c r="Z575" s="10" t="e">
        <f>VLOOKUP(AJ567,'FRC Site Data'!$B$3:$L$42,11,FALSE)</f>
        <v>#N/A</v>
      </c>
      <c r="AA575" s="10" t="e">
        <f>VLOOKUP(AJ567,'CIR Team Info'!$C$5:$E$44,4,FALSE)</f>
        <v>#N/A</v>
      </c>
      <c r="AB575" s="161" t="b">
        <f>ISNUMBER(VLOOKUP(AJ567,Match!$T$5:$T$10,1,FALSE))</f>
        <v>0</v>
      </c>
      <c r="AC575" s="161" t="b">
        <f>IF(AB575=TRUE,(VLOOKUP($AJ567,Match!$T$5:$U$10,2,FALSE)))</f>
        <v>0</v>
      </c>
      <c r="AD575" s="8">
        <v>3</v>
      </c>
      <c r="AE575" s="8">
        <v>2</v>
      </c>
      <c r="AF575" s="8">
        <v>2</v>
      </c>
      <c r="AG575" s="8">
        <v>1</v>
      </c>
      <c r="AH575" s="8" t="str">
        <f t="shared" si="170"/>
        <v/>
      </c>
      <c r="AI575" s="12"/>
      <c r="AZ575" s="12"/>
      <c r="BC575" s="12"/>
      <c r="BK575" s="12"/>
    </row>
    <row r="576" spans="1:63" x14ac:dyDescent="0.25">
      <c r="A576" s="29">
        <f t="shared" si="161"/>
        <v>0</v>
      </c>
      <c r="B576" s="29">
        <f t="shared" si="155"/>
        <v>0</v>
      </c>
      <c r="C576" s="29">
        <f t="shared" si="156"/>
        <v>0</v>
      </c>
      <c r="D576" s="29">
        <f t="shared" si="157"/>
        <v>0</v>
      </c>
      <c r="E576" s="29">
        <f t="shared" si="162"/>
        <v>0</v>
      </c>
      <c r="F576" s="29">
        <f t="shared" si="163"/>
        <v>0</v>
      </c>
      <c r="G576" s="29" t="str">
        <f t="shared" si="164"/>
        <v>offensive</v>
      </c>
      <c r="H576" s="16">
        <f t="shared" si="168"/>
        <v>0</v>
      </c>
      <c r="I576" s="16">
        <f t="shared" si="169"/>
        <v>0</v>
      </c>
      <c r="J576" s="16">
        <f t="shared" si="158"/>
        <v>0</v>
      </c>
      <c r="K576" s="16">
        <f t="shared" si="165"/>
        <v>0</v>
      </c>
      <c r="L576" s="67">
        <f t="shared" si="166"/>
        <v>0</v>
      </c>
      <c r="M576" s="4">
        <f t="shared" si="159"/>
        <v>0</v>
      </c>
      <c r="N576" s="4">
        <f t="shared" si="160"/>
        <v>0</v>
      </c>
      <c r="O576" s="4">
        <f t="shared" si="167"/>
        <v>0</v>
      </c>
      <c r="P576" s="4" t="e">
        <f>VLOOKUP(AJ568,'CIR Team Info'!$C$5:$E$44,2,FALSE)</f>
        <v>#N/A</v>
      </c>
      <c r="Q576" s="4" t="e">
        <f>VLOOKUP(AJ568,'CIR Team Info'!$C$5:$E$44,3,FALSE)</f>
        <v>#N/A</v>
      </c>
      <c r="R576" s="10" t="e">
        <f>VLOOKUP(AJ568,'FRC Site Data'!$B$3:$L$42,2,FALSE)</f>
        <v>#N/A</v>
      </c>
      <c r="S576" s="10" t="e">
        <f>VLOOKUP(AJ568,'FRC Site Data'!$B$3:$L$42,3,FALSE)</f>
        <v>#N/A</v>
      </c>
      <c r="T576" s="10" t="e">
        <f>VLOOKUP(AJ568,'FRC Site Data'!$B$3:$L$42,4,FALSE)</f>
        <v>#N/A</v>
      </c>
      <c r="U576" s="10" t="e">
        <f>VLOOKUP(AJ568,'FRC Site Data'!$B$3:$L$42,5,FALSE)</f>
        <v>#N/A</v>
      </c>
      <c r="V576" s="10" t="e">
        <f>VLOOKUP(AJ568,'FRC Site Data'!$B$3:$L$42,6,FALSE)</f>
        <v>#N/A</v>
      </c>
      <c r="W576" s="10" t="e">
        <f>VLOOKUP(AJ568,'FRC Site Data'!$B$3:$L$42,8,FALSE)</f>
        <v>#N/A</v>
      </c>
      <c r="X576" s="10" t="e">
        <f>VLOOKUP(AJ568,'FRC Site Data'!$B$3:$L$42,9,FALSE)</f>
        <v>#N/A</v>
      </c>
      <c r="Y576" s="10" t="e">
        <f>VLOOKUP(AJ568,'FRC Site Data'!$B$3:$L$42,10,FALSE)</f>
        <v>#N/A</v>
      </c>
      <c r="Z576" s="10" t="e">
        <f>VLOOKUP(AJ568,'FRC Site Data'!$B$3:$L$42,11,FALSE)</f>
        <v>#N/A</v>
      </c>
      <c r="AA576" s="10" t="e">
        <f>VLOOKUP(AJ568,'CIR Team Info'!$C$5:$E$44,4,FALSE)</f>
        <v>#N/A</v>
      </c>
      <c r="AB576" s="161" t="b">
        <f>ISNUMBER(VLOOKUP(AJ568,Match!$T$5:$T$10,1,FALSE))</f>
        <v>0</v>
      </c>
      <c r="AC576" s="161" t="b">
        <f>IF(AB576=TRUE,(VLOOKUP($AJ568,Match!$T$5:$U$10,2,FALSE)))</f>
        <v>0</v>
      </c>
      <c r="AD576" s="8">
        <v>3</v>
      </c>
      <c r="AE576" s="8">
        <v>2</v>
      </c>
      <c r="AF576" s="8">
        <v>2</v>
      </c>
      <c r="AG576" s="8">
        <v>1</v>
      </c>
      <c r="AH576" s="8" t="str">
        <f t="shared" si="170"/>
        <v/>
      </c>
      <c r="AI576" s="12"/>
      <c r="AZ576" s="12"/>
      <c r="BC576" s="12"/>
      <c r="BK576" s="12"/>
    </row>
    <row r="577" spans="1:63" x14ac:dyDescent="0.25">
      <c r="A577" s="29">
        <f t="shared" si="161"/>
        <v>0</v>
      </c>
      <c r="B577" s="29">
        <f t="shared" si="155"/>
        <v>0</v>
      </c>
      <c r="C577" s="29">
        <f t="shared" si="156"/>
        <v>0</v>
      </c>
      <c r="D577" s="29">
        <f t="shared" si="157"/>
        <v>0</v>
      </c>
      <c r="E577" s="29">
        <f t="shared" si="162"/>
        <v>0</v>
      </c>
      <c r="F577" s="29">
        <f t="shared" si="163"/>
        <v>0</v>
      </c>
      <c r="G577" s="29" t="str">
        <f t="shared" si="164"/>
        <v>offensive</v>
      </c>
      <c r="H577" s="16">
        <f t="shared" si="168"/>
        <v>0</v>
      </c>
      <c r="I577" s="16">
        <f t="shared" si="169"/>
        <v>0</v>
      </c>
      <c r="J577" s="16">
        <f t="shared" si="158"/>
        <v>0</v>
      </c>
      <c r="K577" s="16">
        <f t="shared" si="165"/>
        <v>0</v>
      </c>
      <c r="L577" s="67">
        <f t="shared" si="166"/>
        <v>0</v>
      </c>
      <c r="M577" s="4">
        <f t="shared" si="159"/>
        <v>0</v>
      </c>
      <c r="N577" s="4">
        <f t="shared" si="160"/>
        <v>0</v>
      </c>
      <c r="O577" s="4">
        <f t="shared" si="167"/>
        <v>0</v>
      </c>
      <c r="P577" s="4" t="e">
        <f>VLOOKUP(AJ569,'CIR Team Info'!$C$5:$E$44,2,FALSE)</f>
        <v>#N/A</v>
      </c>
      <c r="Q577" s="4" t="e">
        <f>VLOOKUP(AJ569,'CIR Team Info'!$C$5:$E$44,3,FALSE)</f>
        <v>#N/A</v>
      </c>
      <c r="R577" s="10" t="e">
        <f>VLOOKUP(AJ569,'FRC Site Data'!$B$3:$L$42,2,FALSE)</f>
        <v>#N/A</v>
      </c>
      <c r="S577" s="10" t="e">
        <f>VLOOKUP(AJ569,'FRC Site Data'!$B$3:$L$42,3,FALSE)</f>
        <v>#N/A</v>
      </c>
      <c r="T577" s="10" t="e">
        <f>VLOOKUP(AJ569,'FRC Site Data'!$B$3:$L$42,4,FALSE)</f>
        <v>#N/A</v>
      </c>
      <c r="U577" s="10" t="e">
        <f>VLOOKUP(AJ569,'FRC Site Data'!$B$3:$L$42,5,FALSE)</f>
        <v>#N/A</v>
      </c>
      <c r="V577" s="10" t="e">
        <f>VLOOKUP(AJ569,'FRC Site Data'!$B$3:$L$42,6,FALSE)</f>
        <v>#N/A</v>
      </c>
      <c r="W577" s="10" t="e">
        <f>VLOOKUP(AJ569,'FRC Site Data'!$B$3:$L$42,8,FALSE)</f>
        <v>#N/A</v>
      </c>
      <c r="X577" s="10" t="e">
        <f>VLOOKUP(AJ569,'FRC Site Data'!$B$3:$L$42,9,FALSE)</f>
        <v>#N/A</v>
      </c>
      <c r="Y577" s="10" t="e">
        <f>VLOOKUP(AJ569,'FRC Site Data'!$B$3:$L$42,10,FALSE)</f>
        <v>#N/A</v>
      </c>
      <c r="Z577" s="10" t="e">
        <f>VLOOKUP(AJ569,'FRC Site Data'!$B$3:$L$42,11,FALSE)</f>
        <v>#N/A</v>
      </c>
      <c r="AA577" s="10" t="e">
        <f>VLOOKUP(AJ569,'CIR Team Info'!$C$5:$E$44,4,FALSE)</f>
        <v>#N/A</v>
      </c>
      <c r="AB577" s="161" t="b">
        <f>ISNUMBER(VLOOKUP(AJ569,Match!$T$5:$T$10,1,FALSE))</f>
        <v>0</v>
      </c>
      <c r="AC577" s="161" t="b">
        <f>IF(AB577=TRUE,(VLOOKUP($AJ569,Match!$T$5:$U$10,2,FALSE)))</f>
        <v>0</v>
      </c>
      <c r="AD577" s="8">
        <v>3</v>
      </c>
      <c r="AE577" s="8">
        <v>2</v>
      </c>
      <c r="AF577" s="8">
        <v>2</v>
      </c>
      <c r="AG577" s="8">
        <v>1</v>
      </c>
      <c r="AH577" s="8" t="str">
        <f t="shared" si="170"/>
        <v/>
      </c>
      <c r="AI577" s="12"/>
      <c r="AZ577" s="12"/>
      <c r="BC577" s="12"/>
      <c r="BK577" s="12"/>
    </row>
    <row r="578" spans="1:63" x14ac:dyDescent="0.25">
      <c r="A578" s="29">
        <f t="shared" si="161"/>
        <v>0</v>
      </c>
      <c r="B578" s="29">
        <f t="shared" si="155"/>
        <v>0</v>
      </c>
      <c r="C578" s="29">
        <f t="shared" si="156"/>
        <v>0</v>
      </c>
      <c r="D578" s="29">
        <f t="shared" si="157"/>
        <v>0</v>
      </c>
      <c r="E578" s="29">
        <f t="shared" si="162"/>
        <v>0</v>
      </c>
      <c r="F578" s="29">
        <f t="shared" si="163"/>
        <v>0</v>
      </c>
      <c r="G578" s="29" t="str">
        <f t="shared" si="164"/>
        <v>offensive</v>
      </c>
      <c r="H578" s="16">
        <f t="shared" si="168"/>
        <v>0</v>
      </c>
      <c r="I578" s="16">
        <f t="shared" si="169"/>
        <v>0</v>
      </c>
      <c r="J578" s="16">
        <f t="shared" si="158"/>
        <v>0</v>
      </c>
      <c r="K578" s="16">
        <f t="shared" si="165"/>
        <v>0</v>
      </c>
      <c r="L578" s="67">
        <f t="shared" si="166"/>
        <v>0</v>
      </c>
      <c r="M578" s="4">
        <f t="shared" si="159"/>
        <v>0</v>
      </c>
      <c r="N578" s="4">
        <f t="shared" si="160"/>
        <v>0</v>
      </c>
      <c r="O578" s="4">
        <f t="shared" si="167"/>
        <v>0</v>
      </c>
      <c r="P578" s="4" t="e">
        <f>VLOOKUP(AJ570,'CIR Team Info'!$C$5:$E$44,2,FALSE)</f>
        <v>#N/A</v>
      </c>
      <c r="Q578" s="4" t="e">
        <f>VLOOKUP(AJ570,'CIR Team Info'!$C$5:$E$44,3,FALSE)</f>
        <v>#N/A</v>
      </c>
      <c r="R578" s="10" t="e">
        <f>VLOOKUP(AJ570,'FRC Site Data'!$B$3:$L$42,2,FALSE)</f>
        <v>#N/A</v>
      </c>
      <c r="S578" s="10" t="e">
        <f>VLOOKUP(AJ570,'FRC Site Data'!$B$3:$L$42,3,FALSE)</f>
        <v>#N/A</v>
      </c>
      <c r="T578" s="10" t="e">
        <f>VLOOKUP(AJ570,'FRC Site Data'!$B$3:$L$42,4,FALSE)</f>
        <v>#N/A</v>
      </c>
      <c r="U578" s="10" t="e">
        <f>VLOOKUP(AJ570,'FRC Site Data'!$B$3:$L$42,5,FALSE)</f>
        <v>#N/A</v>
      </c>
      <c r="V578" s="10" t="e">
        <f>VLOOKUP(AJ570,'FRC Site Data'!$B$3:$L$42,6,FALSE)</f>
        <v>#N/A</v>
      </c>
      <c r="W578" s="10" t="e">
        <f>VLOOKUP(AJ570,'FRC Site Data'!$B$3:$L$42,8,FALSE)</f>
        <v>#N/A</v>
      </c>
      <c r="X578" s="10" t="e">
        <f>VLOOKUP(AJ570,'FRC Site Data'!$B$3:$L$42,9,FALSE)</f>
        <v>#N/A</v>
      </c>
      <c r="Y578" s="10" t="e">
        <f>VLOOKUP(AJ570,'FRC Site Data'!$B$3:$L$42,10,FALSE)</f>
        <v>#N/A</v>
      </c>
      <c r="Z578" s="10" t="e">
        <f>VLOOKUP(AJ570,'FRC Site Data'!$B$3:$L$42,11,FALSE)</f>
        <v>#N/A</v>
      </c>
      <c r="AA578" s="10" t="e">
        <f>VLOOKUP(AJ570,'CIR Team Info'!$C$5:$E$44,4,FALSE)</f>
        <v>#N/A</v>
      </c>
      <c r="AB578" s="161" t="b">
        <f>ISNUMBER(VLOOKUP(AJ570,Match!$T$5:$T$10,1,FALSE))</f>
        <v>0</v>
      </c>
      <c r="AC578" s="161" t="b">
        <f>IF(AB578=TRUE,(VLOOKUP($AJ570,Match!$T$5:$U$10,2,FALSE)))</f>
        <v>0</v>
      </c>
      <c r="AD578" s="8">
        <v>3</v>
      </c>
      <c r="AE578" s="8">
        <v>2</v>
      </c>
      <c r="AF578" s="8">
        <v>2</v>
      </c>
      <c r="AG578" s="8">
        <v>1</v>
      </c>
      <c r="AH578" s="8" t="str">
        <f t="shared" si="170"/>
        <v/>
      </c>
      <c r="AI578" s="12"/>
      <c r="AZ578" s="12"/>
      <c r="BC578" s="12"/>
      <c r="BK578" s="12"/>
    </row>
    <row r="579" spans="1:63" x14ac:dyDescent="0.25">
      <c r="A579" s="29">
        <f t="shared" si="161"/>
        <v>0</v>
      </c>
      <c r="B579" s="29">
        <f t="shared" si="155"/>
        <v>0</v>
      </c>
      <c r="C579" s="29">
        <f t="shared" si="156"/>
        <v>0</v>
      </c>
      <c r="D579" s="29">
        <f t="shared" si="157"/>
        <v>0</v>
      </c>
      <c r="E579" s="29">
        <f t="shared" si="162"/>
        <v>0</v>
      </c>
      <c r="F579" s="29">
        <f t="shared" si="163"/>
        <v>0</v>
      </c>
      <c r="G579" s="29" t="str">
        <f t="shared" si="164"/>
        <v>offensive</v>
      </c>
      <c r="H579" s="16">
        <f t="shared" si="168"/>
        <v>0</v>
      </c>
      <c r="I579" s="16">
        <f t="shared" si="169"/>
        <v>0</v>
      </c>
      <c r="J579" s="16">
        <f t="shared" si="158"/>
        <v>0</v>
      </c>
      <c r="K579" s="16">
        <f t="shared" si="165"/>
        <v>0</v>
      </c>
      <c r="L579" s="67">
        <f t="shared" si="166"/>
        <v>0</v>
      </c>
      <c r="M579" s="4">
        <f t="shared" si="159"/>
        <v>0</v>
      </c>
      <c r="N579" s="4">
        <f t="shared" si="160"/>
        <v>0</v>
      </c>
      <c r="O579" s="4">
        <f t="shared" si="167"/>
        <v>0</v>
      </c>
      <c r="P579" s="4" t="e">
        <f>VLOOKUP(AJ571,'CIR Team Info'!$C$5:$E$44,2,FALSE)</f>
        <v>#N/A</v>
      </c>
      <c r="Q579" s="4" t="e">
        <f>VLOOKUP(AJ571,'CIR Team Info'!$C$5:$E$44,3,FALSE)</f>
        <v>#N/A</v>
      </c>
      <c r="R579" s="10" t="e">
        <f>VLOOKUP(AJ571,'FRC Site Data'!$B$3:$L$42,2,FALSE)</f>
        <v>#N/A</v>
      </c>
      <c r="S579" s="10" t="e">
        <f>VLOOKUP(AJ571,'FRC Site Data'!$B$3:$L$42,3,FALSE)</f>
        <v>#N/A</v>
      </c>
      <c r="T579" s="10" t="e">
        <f>VLOOKUP(AJ571,'FRC Site Data'!$B$3:$L$42,4,FALSE)</f>
        <v>#N/A</v>
      </c>
      <c r="U579" s="10" t="e">
        <f>VLOOKUP(AJ571,'FRC Site Data'!$B$3:$L$42,5,FALSE)</f>
        <v>#N/A</v>
      </c>
      <c r="V579" s="10" t="e">
        <f>VLOOKUP(AJ571,'FRC Site Data'!$B$3:$L$42,6,FALSE)</f>
        <v>#N/A</v>
      </c>
      <c r="W579" s="10" t="e">
        <f>VLOOKUP(AJ571,'FRC Site Data'!$B$3:$L$42,8,FALSE)</f>
        <v>#N/A</v>
      </c>
      <c r="X579" s="10" t="e">
        <f>VLOOKUP(AJ571,'FRC Site Data'!$B$3:$L$42,9,FALSE)</f>
        <v>#N/A</v>
      </c>
      <c r="Y579" s="10" t="e">
        <f>VLOOKUP(AJ571,'FRC Site Data'!$B$3:$L$42,10,FALSE)</f>
        <v>#N/A</v>
      </c>
      <c r="Z579" s="10" t="e">
        <f>VLOOKUP(AJ571,'FRC Site Data'!$B$3:$L$42,11,FALSE)</f>
        <v>#N/A</v>
      </c>
      <c r="AA579" s="10" t="e">
        <f>VLOOKUP(AJ571,'CIR Team Info'!$C$5:$E$44,4,FALSE)</f>
        <v>#N/A</v>
      </c>
      <c r="AB579" s="161" t="b">
        <f>ISNUMBER(VLOOKUP(AJ571,Match!$T$5:$T$10,1,FALSE))</f>
        <v>0</v>
      </c>
      <c r="AC579" s="161" t="b">
        <f>IF(AB579=TRUE,(VLOOKUP($AJ571,Match!$T$5:$U$10,2,FALSE)))</f>
        <v>0</v>
      </c>
      <c r="AD579" s="8">
        <v>3</v>
      </c>
      <c r="AE579" s="8">
        <v>2</v>
      </c>
      <c r="AF579" s="8">
        <v>2</v>
      </c>
      <c r="AG579" s="8">
        <v>1</v>
      </c>
      <c r="AH579" s="8" t="str">
        <f t="shared" si="170"/>
        <v/>
      </c>
      <c r="AI579" s="12"/>
      <c r="AZ579" s="12"/>
      <c r="BC579" s="12"/>
      <c r="BK579" s="12"/>
    </row>
    <row r="580" spans="1:63" x14ac:dyDescent="0.25">
      <c r="A580" s="29">
        <f t="shared" si="161"/>
        <v>0</v>
      </c>
      <c r="B580" s="29">
        <f t="shared" si="155"/>
        <v>0</v>
      </c>
      <c r="C580" s="29">
        <f t="shared" si="156"/>
        <v>0</v>
      </c>
      <c r="D580" s="29">
        <f t="shared" si="157"/>
        <v>0</v>
      </c>
      <c r="E580" s="29">
        <f t="shared" si="162"/>
        <v>0</v>
      </c>
      <c r="F580" s="29">
        <f t="shared" si="163"/>
        <v>0</v>
      </c>
      <c r="G580" s="29" t="str">
        <f t="shared" si="164"/>
        <v>offensive</v>
      </c>
      <c r="H580" s="16">
        <f t="shared" si="168"/>
        <v>0</v>
      </c>
      <c r="I580" s="16">
        <f t="shared" si="169"/>
        <v>0</v>
      </c>
      <c r="J580" s="16">
        <f t="shared" si="158"/>
        <v>0</v>
      </c>
      <c r="K580" s="16">
        <f t="shared" si="165"/>
        <v>0</v>
      </c>
      <c r="L580" s="67">
        <f t="shared" si="166"/>
        <v>0</v>
      </c>
      <c r="M580" s="4">
        <f t="shared" si="159"/>
        <v>0</v>
      </c>
      <c r="N580" s="4">
        <f t="shared" si="160"/>
        <v>0</v>
      </c>
      <c r="O580" s="4">
        <f t="shared" si="167"/>
        <v>0</v>
      </c>
      <c r="P580" s="4" t="e">
        <f>VLOOKUP(AJ572,'CIR Team Info'!$C$5:$E$44,2,FALSE)</f>
        <v>#N/A</v>
      </c>
      <c r="Q580" s="4" t="e">
        <f>VLOOKUP(AJ572,'CIR Team Info'!$C$5:$E$44,3,FALSE)</f>
        <v>#N/A</v>
      </c>
      <c r="R580" s="10" t="e">
        <f>VLOOKUP(AJ572,'FRC Site Data'!$B$3:$L$42,2,FALSE)</f>
        <v>#N/A</v>
      </c>
      <c r="S580" s="10" t="e">
        <f>VLOOKUP(AJ572,'FRC Site Data'!$B$3:$L$42,3,FALSE)</f>
        <v>#N/A</v>
      </c>
      <c r="T580" s="10" t="e">
        <f>VLOOKUP(AJ572,'FRC Site Data'!$B$3:$L$42,4,FALSE)</f>
        <v>#N/A</v>
      </c>
      <c r="U580" s="10" t="e">
        <f>VLOOKUP(AJ572,'FRC Site Data'!$B$3:$L$42,5,FALSE)</f>
        <v>#N/A</v>
      </c>
      <c r="V580" s="10" t="e">
        <f>VLOOKUP(AJ572,'FRC Site Data'!$B$3:$L$42,6,FALSE)</f>
        <v>#N/A</v>
      </c>
      <c r="W580" s="10" t="e">
        <f>VLOOKUP(AJ572,'FRC Site Data'!$B$3:$L$42,8,FALSE)</f>
        <v>#N/A</v>
      </c>
      <c r="X580" s="10" t="e">
        <f>VLOOKUP(AJ572,'FRC Site Data'!$B$3:$L$42,9,FALSE)</f>
        <v>#N/A</v>
      </c>
      <c r="Y580" s="10" t="e">
        <f>VLOOKUP(AJ572,'FRC Site Data'!$B$3:$L$42,10,FALSE)</f>
        <v>#N/A</v>
      </c>
      <c r="Z580" s="10" t="e">
        <f>VLOOKUP(AJ572,'FRC Site Data'!$B$3:$L$42,11,FALSE)</f>
        <v>#N/A</v>
      </c>
      <c r="AA580" s="10" t="e">
        <f>VLOOKUP(AJ572,'CIR Team Info'!$C$5:$E$44,4,FALSE)</f>
        <v>#N/A</v>
      </c>
      <c r="AB580" s="161" t="b">
        <f>ISNUMBER(VLOOKUP(AJ572,Match!$T$5:$T$10,1,FALSE))</f>
        <v>0</v>
      </c>
      <c r="AC580" s="161" t="b">
        <f>IF(AB580=TRUE,(VLOOKUP($AJ572,Match!$T$5:$U$10,2,FALSE)))</f>
        <v>0</v>
      </c>
      <c r="AD580" s="8">
        <v>3</v>
      </c>
      <c r="AE580" s="8">
        <v>2</v>
      </c>
      <c r="AF580" s="8">
        <v>2</v>
      </c>
      <c r="AG580" s="8">
        <v>1</v>
      </c>
      <c r="AH580" s="8" t="str">
        <f t="shared" si="170"/>
        <v/>
      </c>
      <c r="AI580" s="12"/>
      <c r="AZ580" s="12"/>
      <c r="BC580" s="12"/>
      <c r="BK580" s="12"/>
    </row>
    <row r="581" spans="1:63" x14ac:dyDescent="0.25">
      <c r="A581" s="29">
        <f t="shared" si="161"/>
        <v>0</v>
      </c>
      <c r="B581" s="29">
        <f t="shared" si="155"/>
        <v>0</v>
      </c>
      <c r="C581" s="29">
        <f t="shared" si="156"/>
        <v>0</v>
      </c>
      <c r="D581" s="29">
        <f t="shared" si="157"/>
        <v>0</v>
      </c>
      <c r="E581" s="29">
        <f t="shared" si="162"/>
        <v>0</v>
      </c>
      <c r="F581" s="29">
        <f t="shared" si="163"/>
        <v>0</v>
      </c>
      <c r="G581" s="29" t="str">
        <f t="shared" si="164"/>
        <v>offensive</v>
      </c>
      <c r="H581" s="16">
        <f t="shared" si="168"/>
        <v>0</v>
      </c>
      <c r="I581" s="16">
        <f t="shared" si="169"/>
        <v>0</v>
      </c>
      <c r="J581" s="16">
        <f t="shared" si="158"/>
        <v>0</v>
      </c>
      <c r="K581" s="16">
        <f t="shared" si="165"/>
        <v>0</v>
      </c>
      <c r="L581" s="67">
        <f t="shared" si="166"/>
        <v>0</v>
      </c>
      <c r="M581" s="4">
        <f t="shared" si="159"/>
        <v>0</v>
      </c>
      <c r="N581" s="4">
        <f t="shared" si="160"/>
        <v>0</v>
      </c>
      <c r="O581" s="4">
        <f t="shared" si="167"/>
        <v>0</v>
      </c>
      <c r="P581" s="4" t="e">
        <f>VLOOKUP(AJ573,'CIR Team Info'!$C$5:$E$44,2,FALSE)</f>
        <v>#N/A</v>
      </c>
      <c r="Q581" s="4" t="e">
        <f>VLOOKUP(AJ573,'CIR Team Info'!$C$5:$E$44,3,FALSE)</f>
        <v>#N/A</v>
      </c>
      <c r="R581" s="10" t="e">
        <f>VLOOKUP(AJ573,'FRC Site Data'!$B$3:$L$42,2,FALSE)</f>
        <v>#N/A</v>
      </c>
      <c r="S581" s="10" t="e">
        <f>VLOOKUP(AJ573,'FRC Site Data'!$B$3:$L$42,3,FALSE)</f>
        <v>#N/A</v>
      </c>
      <c r="T581" s="10" t="e">
        <f>VLOOKUP(AJ573,'FRC Site Data'!$B$3:$L$42,4,FALSE)</f>
        <v>#N/A</v>
      </c>
      <c r="U581" s="10" t="e">
        <f>VLOOKUP(AJ573,'FRC Site Data'!$B$3:$L$42,5,FALSE)</f>
        <v>#N/A</v>
      </c>
      <c r="V581" s="10" t="e">
        <f>VLOOKUP(AJ573,'FRC Site Data'!$B$3:$L$42,6,FALSE)</f>
        <v>#N/A</v>
      </c>
      <c r="W581" s="10" t="e">
        <f>VLOOKUP(AJ573,'FRC Site Data'!$B$3:$L$42,8,FALSE)</f>
        <v>#N/A</v>
      </c>
      <c r="X581" s="10" t="e">
        <f>VLOOKUP(AJ573,'FRC Site Data'!$B$3:$L$42,9,FALSE)</f>
        <v>#N/A</v>
      </c>
      <c r="Y581" s="10" t="e">
        <f>VLOOKUP(AJ573,'FRC Site Data'!$B$3:$L$42,10,FALSE)</f>
        <v>#N/A</v>
      </c>
      <c r="Z581" s="10" t="e">
        <f>VLOOKUP(AJ573,'FRC Site Data'!$B$3:$L$42,11,FALSE)</f>
        <v>#N/A</v>
      </c>
      <c r="AA581" s="10" t="e">
        <f>VLOOKUP(AJ573,'CIR Team Info'!$C$5:$E$44,4,FALSE)</f>
        <v>#N/A</v>
      </c>
      <c r="AB581" s="161" t="b">
        <f>ISNUMBER(VLOOKUP(AJ573,Match!$T$5:$T$10,1,FALSE))</f>
        <v>0</v>
      </c>
      <c r="AC581" s="161" t="b">
        <f>IF(AB581=TRUE,(VLOOKUP($AJ573,Match!$T$5:$U$10,2,FALSE)))</f>
        <v>0</v>
      </c>
      <c r="AD581" s="8">
        <v>3</v>
      </c>
      <c r="AE581" s="8">
        <v>2</v>
      </c>
      <c r="AF581" s="8">
        <v>2</v>
      </c>
      <c r="AG581" s="8">
        <v>1</v>
      </c>
      <c r="AH581" s="8" t="str">
        <f t="shared" si="170"/>
        <v/>
      </c>
      <c r="BK581" s="12"/>
    </row>
    <row r="582" spans="1:63" x14ac:dyDescent="0.25">
      <c r="A582" s="29">
        <f t="shared" si="161"/>
        <v>0</v>
      </c>
      <c r="B582" s="29">
        <f t="shared" ref="B582:B645" si="171">H582*AD582*AO574</f>
        <v>0</v>
      </c>
      <c r="C582" s="29">
        <f t="shared" ref="C582:C645" si="172">I582*AE582*AV574</f>
        <v>0</v>
      </c>
      <c r="D582" s="29">
        <f t="shared" ref="D582:D645" si="173">J582*AF582*BF574</f>
        <v>0</v>
      </c>
      <c r="E582" s="29">
        <f t="shared" si="162"/>
        <v>0</v>
      </c>
      <c r="F582" s="29">
        <f t="shared" si="163"/>
        <v>0</v>
      </c>
      <c r="G582" s="29" t="str">
        <f t="shared" si="164"/>
        <v>offensive</v>
      </c>
      <c r="H582" s="16">
        <f t="shared" si="168"/>
        <v>0</v>
      </c>
      <c r="I582" s="16">
        <f t="shared" si="169"/>
        <v>0</v>
      </c>
      <c r="J582" s="16">
        <f t="shared" ref="J582:J645" si="174">IF(L582=0,0,BG574/L582)</f>
        <v>0</v>
      </c>
      <c r="K582" s="16">
        <f t="shared" si="165"/>
        <v>0</v>
      </c>
      <c r="L582" s="67">
        <f t="shared" si="166"/>
        <v>0</v>
      </c>
      <c r="M582" s="4">
        <f t="shared" ref="M582:M645" si="175">AO574+AV574+BD574+O582</f>
        <v>0</v>
      </c>
      <c r="N582" s="4">
        <f t="shared" si="160"/>
        <v>0</v>
      </c>
      <c r="O582" s="4">
        <f t="shared" si="167"/>
        <v>0</v>
      </c>
      <c r="P582" s="4" t="e">
        <f>VLOOKUP(AJ574,'CIR Team Info'!$C$5:$E$44,2,FALSE)</f>
        <v>#N/A</v>
      </c>
      <c r="Q582" s="4" t="e">
        <f>VLOOKUP(AJ574,'CIR Team Info'!$C$5:$E$44,3,FALSE)</f>
        <v>#N/A</v>
      </c>
      <c r="R582" s="10" t="e">
        <f>VLOOKUP(AJ574,'FRC Site Data'!$B$3:$L$42,2,FALSE)</f>
        <v>#N/A</v>
      </c>
      <c r="S582" s="10" t="e">
        <f>VLOOKUP(AJ574,'FRC Site Data'!$B$3:$L$42,3,FALSE)</f>
        <v>#N/A</v>
      </c>
      <c r="T582" s="10" t="e">
        <f>VLOOKUP(AJ574,'FRC Site Data'!$B$3:$L$42,4,FALSE)</f>
        <v>#N/A</v>
      </c>
      <c r="U582" s="10" t="e">
        <f>VLOOKUP(AJ574,'FRC Site Data'!$B$3:$L$42,5,FALSE)</f>
        <v>#N/A</v>
      </c>
      <c r="V582" s="10" t="e">
        <f>VLOOKUP(AJ574,'FRC Site Data'!$B$3:$L$42,6,FALSE)</f>
        <v>#N/A</v>
      </c>
      <c r="W582" s="10" t="e">
        <f>VLOOKUP(AJ574,'FRC Site Data'!$B$3:$L$42,8,FALSE)</f>
        <v>#N/A</v>
      </c>
      <c r="X582" s="10" t="e">
        <f>VLOOKUP(AJ574,'FRC Site Data'!$B$3:$L$42,9,FALSE)</f>
        <v>#N/A</v>
      </c>
      <c r="Y582" s="10" t="e">
        <f>VLOOKUP(AJ574,'FRC Site Data'!$B$3:$L$42,10,FALSE)</f>
        <v>#N/A</v>
      </c>
      <c r="Z582" s="10" t="e">
        <f>VLOOKUP(AJ574,'FRC Site Data'!$B$3:$L$42,11,FALSE)</f>
        <v>#N/A</v>
      </c>
      <c r="AA582" s="10" t="e">
        <f>VLOOKUP(AJ574,'CIR Team Info'!$C$5:$E$44,4,FALSE)</f>
        <v>#N/A</v>
      </c>
      <c r="AB582" s="161" t="b">
        <f>ISNUMBER(VLOOKUP(AJ574,Match!$T$5:$T$10,1,FALSE))</f>
        <v>0</v>
      </c>
      <c r="AC582" s="161" t="b">
        <f>IF(AB582=TRUE,(VLOOKUP($AJ574,Match!$T$5:$U$10,2,FALSE)))</f>
        <v>0</v>
      </c>
      <c r="AD582" s="8">
        <v>3</v>
      </c>
      <c r="AE582" s="8">
        <v>2</v>
      </c>
      <c r="AF582" s="8">
        <v>2</v>
      </c>
      <c r="AG582" s="8">
        <v>1</v>
      </c>
      <c r="AH582" s="8" t="str">
        <f t="shared" si="170"/>
        <v/>
      </c>
      <c r="BK582" s="12"/>
    </row>
    <row r="583" spans="1:63" x14ac:dyDescent="0.25">
      <c r="A583" s="29">
        <f t="shared" si="161"/>
        <v>0</v>
      </c>
      <c r="B583" s="29">
        <f t="shared" si="171"/>
        <v>0</v>
      </c>
      <c r="C583" s="29">
        <f t="shared" si="172"/>
        <v>0</v>
      </c>
      <c r="D583" s="29">
        <f t="shared" si="173"/>
        <v>0</v>
      </c>
      <c r="E583" s="29">
        <f t="shared" si="162"/>
        <v>0</v>
      </c>
      <c r="F583" s="29">
        <f t="shared" si="163"/>
        <v>0</v>
      </c>
      <c r="G583" s="29" t="str">
        <f t="shared" si="164"/>
        <v>offensive</v>
      </c>
      <c r="H583" s="16">
        <f t="shared" si="168"/>
        <v>0</v>
      </c>
      <c r="I583" s="16">
        <f t="shared" si="169"/>
        <v>0</v>
      </c>
      <c r="J583" s="16">
        <f t="shared" si="174"/>
        <v>0</v>
      </c>
      <c r="K583" s="16">
        <f t="shared" si="165"/>
        <v>0</v>
      </c>
      <c r="L583" s="67">
        <f t="shared" si="166"/>
        <v>0</v>
      </c>
      <c r="M583" s="4">
        <f t="shared" si="175"/>
        <v>0</v>
      </c>
      <c r="N583" s="4">
        <f t="shared" si="160"/>
        <v>0</v>
      </c>
      <c r="O583" s="4">
        <f t="shared" si="167"/>
        <v>0</v>
      </c>
      <c r="P583" s="4" t="e">
        <f>VLOOKUP(AJ575,'CIR Team Info'!$C$5:$E$44,2,FALSE)</f>
        <v>#N/A</v>
      </c>
      <c r="Q583" s="4" t="e">
        <f>VLOOKUP(AJ575,'CIR Team Info'!$C$5:$E$44,3,FALSE)</f>
        <v>#N/A</v>
      </c>
      <c r="R583" s="10" t="e">
        <f>VLOOKUP(AJ575,'FRC Site Data'!$B$3:$L$42,2,FALSE)</f>
        <v>#N/A</v>
      </c>
      <c r="S583" s="10" t="e">
        <f>VLOOKUP(AJ575,'FRC Site Data'!$B$3:$L$42,3,FALSE)</f>
        <v>#N/A</v>
      </c>
      <c r="T583" s="10" t="e">
        <f>VLOOKUP(AJ575,'FRC Site Data'!$B$3:$L$42,4,FALSE)</f>
        <v>#N/A</v>
      </c>
      <c r="U583" s="10" t="e">
        <f>VLOOKUP(AJ575,'FRC Site Data'!$B$3:$L$42,5,FALSE)</f>
        <v>#N/A</v>
      </c>
      <c r="V583" s="10" t="e">
        <f>VLOOKUP(AJ575,'FRC Site Data'!$B$3:$L$42,6,FALSE)</f>
        <v>#N/A</v>
      </c>
      <c r="W583" s="10" t="e">
        <f>VLOOKUP(AJ575,'FRC Site Data'!$B$3:$L$42,8,FALSE)</f>
        <v>#N/A</v>
      </c>
      <c r="X583" s="10" t="e">
        <f>VLOOKUP(AJ575,'FRC Site Data'!$B$3:$L$42,9,FALSE)</f>
        <v>#N/A</v>
      </c>
      <c r="Y583" s="10" t="e">
        <f>VLOOKUP(AJ575,'FRC Site Data'!$B$3:$L$42,10,FALSE)</f>
        <v>#N/A</v>
      </c>
      <c r="Z583" s="10" t="e">
        <f>VLOOKUP(AJ575,'FRC Site Data'!$B$3:$L$42,11,FALSE)</f>
        <v>#N/A</v>
      </c>
      <c r="AA583" s="10" t="e">
        <f>VLOOKUP(AJ575,'CIR Team Info'!$C$5:$E$44,4,FALSE)</f>
        <v>#N/A</v>
      </c>
      <c r="AB583" s="161" t="b">
        <f>ISNUMBER(VLOOKUP(AJ575,Match!$T$5:$T$10,1,FALSE))</f>
        <v>0</v>
      </c>
      <c r="AC583" s="161" t="b">
        <f>IF(AB583=TRUE,(VLOOKUP($AJ575,Match!$T$5:$U$10,2,FALSE)))</f>
        <v>0</v>
      </c>
      <c r="AD583" s="8">
        <v>3</v>
      </c>
      <c r="AE583" s="8">
        <v>2</v>
      </c>
      <c r="AF583" s="8">
        <v>2</v>
      </c>
      <c r="AG583" s="8">
        <v>1</v>
      </c>
      <c r="AH583" s="8" t="str">
        <f t="shared" si="170"/>
        <v/>
      </c>
      <c r="BK583" s="12"/>
    </row>
    <row r="584" spans="1:63" x14ac:dyDescent="0.25">
      <c r="A584" s="29">
        <f t="shared" si="161"/>
        <v>0</v>
      </c>
      <c r="B584" s="29">
        <f t="shared" si="171"/>
        <v>0</v>
      </c>
      <c r="C584" s="29">
        <f t="shared" si="172"/>
        <v>0</v>
      </c>
      <c r="D584" s="29">
        <f t="shared" si="173"/>
        <v>0</v>
      </c>
      <c r="E584" s="29">
        <f t="shared" si="162"/>
        <v>0</v>
      </c>
      <c r="F584" s="29">
        <f t="shared" si="163"/>
        <v>0</v>
      </c>
      <c r="G584" s="29" t="str">
        <f t="shared" si="164"/>
        <v>offensive</v>
      </c>
      <c r="H584" s="16">
        <f t="shared" si="168"/>
        <v>0</v>
      </c>
      <c r="I584" s="16">
        <f t="shared" si="169"/>
        <v>0</v>
      </c>
      <c r="J584" s="16">
        <f t="shared" si="174"/>
        <v>0</v>
      </c>
      <c r="K584" s="16">
        <f t="shared" si="165"/>
        <v>0</v>
      </c>
      <c r="L584" s="67">
        <f t="shared" si="166"/>
        <v>0</v>
      </c>
      <c r="M584" s="4">
        <f t="shared" si="175"/>
        <v>0</v>
      </c>
      <c r="N584" s="4">
        <f t="shared" ref="N584:N646" si="176">AO576+AV576+BD576</f>
        <v>0</v>
      </c>
      <c r="O584" s="4">
        <f t="shared" si="167"/>
        <v>0</v>
      </c>
      <c r="P584" s="4" t="e">
        <f>VLOOKUP(AJ576,'CIR Team Info'!$C$5:$E$44,2,FALSE)</f>
        <v>#N/A</v>
      </c>
      <c r="Q584" s="4" t="e">
        <f>VLOOKUP(AJ576,'CIR Team Info'!$C$5:$E$44,3,FALSE)</f>
        <v>#N/A</v>
      </c>
      <c r="R584" s="10" t="e">
        <f>VLOOKUP(AJ576,'FRC Site Data'!$B$3:$L$42,2,FALSE)</f>
        <v>#N/A</v>
      </c>
      <c r="S584" s="10" t="e">
        <f>VLOOKUP(AJ576,'FRC Site Data'!$B$3:$L$42,3,FALSE)</f>
        <v>#N/A</v>
      </c>
      <c r="T584" s="10" t="e">
        <f>VLOOKUP(AJ576,'FRC Site Data'!$B$3:$L$42,4,FALSE)</f>
        <v>#N/A</v>
      </c>
      <c r="U584" s="10" t="e">
        <f>VLOOKUP(AJ576,'FRC Site Data'!$B$3:$L$42,5,FALSE)</f>
        <v>#N/A</v>
      </c>
      <c r="V584" s="10" t="e">
        <f>VLOOKUP(AJ576,'FRC Site Data'!$B$3:$L$42,6,FALSE)</f>
        <v>#N/A</v>
      </c>
      <c r="W584" s="10" t="e">
        <f>VLOOKUP(AJ576,'FRC Site Data'!$B$3:$L$42,8,FALSE)</f>
        <v>#N/A</v>
      </c>
      <c r="X584" s="10" t="e">
        <f>VLOOKUP(AJ576,'FRC Site Data'!$B$3:$L$42,9,FALSE)</f>
        <v>#N/A</v>
      </c>
      <c r="Y584" s="10" t="e">
        <f>VLOOKUP(AJ576,'FRC Site Data'!$B$3:$L$42,10,FALSE)</f>
        <v>#N/A</v>
      </c>
      <c r="Z584" s="10" t="e">
        <f>VLOOKUP(AJ576,'FRC Site Data'!$B$3:$L$42,11,FALSE)</f>
        <v>#N/A</v>
      </c>
      <c r="AA584" s="10" t="e">
        <f>VLOOKUP(AJ576,'CIR Team Info'!$C$5:$E$44,4,FALSE)</f>
        <v>#N/A</v>
      </c>
      <c r="AB584" s="161" t="b">
        <f>ISNUMBER(VLOOKUP(AJ576,Match!$T$5:$T$10,1,FALSE))</f>
        <v>0</v>
      </c>
      <c r="AC584" s="161" t="b">
        <f>IF(AB584=TRUE,(VLOOKUP($AJ576,Match!$T$5:$U$10,2,FALSE)))</f>
        <v>0</v>
      </c>
      <c r="AD584" s="8">
        <v>3</v>
      </c>
      <c r="AE584" s="8">
        <v>2</v>
      </c>
      <c r="AF584" s="8">
        <v>2</v>
      </c>
      <c r="AG584" s="8">
        <v>1</v>
      </c>
      <c r="AH584" s="8" t="str">
        <f t="shared" si="170"/>
        <v/>
      </c>
      <c r="BK584" s="12"/>
    </row>
    <row r="585" spans="1:63" x14ac:dyDescent="0.25">
      <c r="A585" s="29">
        <f t="shared" ref="A585:A647" si="177">SUM(B585:F585)</f>
        <v>0</v>
      </c>
      <c r="B585" s="29">
        <f t="shared" si="171"/>
        <v>0</v>
      </c>
      <c r="C585" s="29">
        <f t="shared" si="172"/>
        <v>0</v>
      </c>
      <c r="D585" s="29">
        <f t="shared" si="173"/>
        <v>0</v>
      </c>
      <c r="E585" s="29">
        <f t="shared" ref="E585:E647" si="178">K585*O585</f>
        <v>0</v>
      </c>
      <c r="F585" s="29">
        <f t="shared" ref="F585:F647" si="179">IF(AN577&gt;0,5)-2*COUNTIF(AQ577,"K")+5*COUNTIF(AS577,"T")+IF(AX577=3,2)+IF(AY577="T",2)</f>
        <v>0</v>
      </c>
      <c r="G585" s="29" t="str">
        <f t="shared" ref="G585:G647" si="180">IF((BB577+BC577)&gt;45,"defensive",IF((BB577+BC577)&gt;15,"both","offensive"))</f>
        <v>offensive</v>
      </c>
      <c r="H585" s="16">
        <f t="shared" si="168"/>
        <v>0</v>
      </c>
      <c r="I585" s="16">
        <f t="shared" si="169"/>
        <v>0</v>
      </c>
      <c r="J585" s="16">
        <f t="shared" si="174"/>
        <v>0</v>
      </c>
      <c r="K585" s="16">
        <f t="shared" ref="K585:K647" si="181">IF((BB577+BC577)=0,0,((AZ577*BB577*0.2)+(BA577*BC577*0.3))/(BB577+BC577))</f>
        <v>0</v>
      </c>
      <c r="L585" s="67">
        <f t="shared" ref="L585:L647" si="182">IF(BF577&gt;BG577,BF577,BG577)</f>
        <v>0</v>
      </c>
      <c r="M585" s="4">
        <f t="shared" si="175"/>
        <v>0</v>
      </c>
      <c r="N585" s="4">
        <f t="shared" si="176"/>
        <v>0</v>
      </c>
      <c r="O585" s="4">
        <f t="shared" ref="O585:O647" si="183">(AZ577*0.2*BB577*30/30)+(BA577*0.3*BC577*12/30)-BI577-BJ577</f>
        <v>0</v>
      </c>
      <c r="P585" s="4" t="e">
        <f>VLOOKUP(AJ577,'CIR Team Info'!$C$5:$E$44,2,FALSE)</f>
        <v>#N/A</v>
      </c>
      <c r="Q585" s="4" t="e">
        <f>VLOOKUP(AJ577,'CIR Team Info'!$C$5:$E$44,3,FALSE)</f>
        <v>#N/A</v>
      </c>
      <c r="R585" s="10" t="e">
        <f>VLOOKUP(AJ577,'FRC Site Data'!$B$3:$L$42,2,FALSE)</f>
        <v>#N/A</v>
      </c>
      <c r="S585" s="10" t="e">
        <f>VLOOKUP(AJ577,'FRC Site Data'!$B$3:$L$42,3,FALSE)</f>
        <v>#N/A</v>
      </c>
      <c r="T585" s="10" t="e">
        <f>VLOOKUP(AJ577,'FRC Site Data'!$B$3:$L$42,4,FALSE)</f>
        <v>#N/A</v>
      </c>
      <c r="U585" s="10" t="e">
        <f>VLOOKUP(AJ577,'FRC Site Data'!$B$3:$L$42,5,FALSE)</f>
        <v>#N/A</v>
      </c>
      <c r="V585" s="10" t="e">
        <f>VLOOKUP(AJ577,'FRC Site Data'!$B$3:$L$42,6,FALSE)</f>
        <v>#N/A</v>
      </c>
      <c r="W585" s="10" t="e">
        <f>VLOOKUP(AJ577,'FRC Site Data'!$B$3:$L$42,8,FALSE)</f>
        <v>#N/A</v>
      </c>
      <c r="X585" s="10" t="e">
        <f>VLOOKUP(AJ577,'FRC Site Data'!$B$3:$L$42,9,FALSE)</f>
        <v>#N/A</v>
      </c>
      <c r="Y585" s="10" t="e">
        <f>VLOOKUP(AJ577,'FRC Site Data'!$B$3:$L$42,10,FALSE)</f>
        <v>#N/A</v>
      </c>
      <c r="Z585" s="10" t="e">
        <f>VLOOKUP(AJ577,'FRC Site Data'!$B$3:$L$42,11,FALSE)</f>
        <v>#N/A</v>
      </c>
      <c r="AA585" s="10" t="e">
        <f>VLOOKUP(AJ577,'CIR Team Info'!$C$5:$E$44,4,FALSE)</f>
        <v>#N/A</v>
      </c>
      <c r="AB585" s="161" t="b">
        <f>ISNUMBER(VLOOKUP(AJ577,Match!$T$5:$T$10,1,FALSE))</f>
        <v>0</v>
      </c>
      <c r="AC585" s="161" t="b">
        <f>IF(AB585=TRUE,(VLOOKUP($AJ577,Match!$T$5:$U$10,2,FALSE)))</f>
        <v>0</v>
      </c>
      <c r="AD585" s="8">
        <v>3</v>
      </c>
      <c r="AE585" s="8">
        <v>2</v>
      </c>
      <c r="AF585" s="8">
        <v>2</v>
      </c>
      <c r="AG585" s="8">
        <v>1</v>
      </c>
      <c r="AH585" s="8" t="str">
        <f t="shared" si="170"/>
        <v/>
      </c>
      <c r="BK585" s="12"/>
    </row>
    <row r="586" spans="1:63" x14ac:dyDescent="0.25">
      <c r="A586" s="29">
        <f t="shared" si="177"/>
        <v>0</v>
      </c>
      <c r="B586" s="29">
        <f t="shared" si="171"/>
        <v>0</v>
      </c>
      <c r="C586" s="29">
        <f t="shared" si="172"/>
        <v>0</v>
      </c>
      <c r="D586" s="29">
        <f t="shared" si="173"/>
        <v>0</v>
      </c>
      <c r="E586" s="29">
        <f t="shared" si="178"/>
        <v>0</v>
      </c>
      <c r="F586" s="29">
        <f t="shared" si="179"/>
        <v>0</v>
      </c>
      <c r="G586" s="29" t="str">
        <f t="shared" si="180"/>
        <v>offensive</v>
      </c>
      <c r="H586" s="16">
        <f t="shared" si="168"/>
        <v>0</v>
      </c>
      <c r="I586" s="16">
        <f t="shared" si="169"/>
        <v>0</v>
      </c>
      <c r="J586" s="16">
        <f t="shared" si="174"/>
        <v>0</v>
      </c>
      <c r="K586" s="16">
        <f t="shared" si="181"/>
        <v>0</v>
      </c>
      <c r="L586" s="67">
        <f t="shared" si="182"/>
        <v>0</v>
      </c>
      <c r="M586" s="4">
        <f t="shared" si="175"/>
        <v>0</v>
      </c>
      <c r="N586" s="4">
        <f t="shared" si="176"/>
        <v>0</v>
      </c>
      <c r="O586" s="4">
        <f t="shared" si="183"/>
        <v>0</v>
      </c>
      <c r="P586" s="4" t="e">
        <f>VLOOKUP(AJ578,'CIR Team Info'!$C$5:$E$44,2,FALSE)</f>
        <v>#N/A</v>
      </c>
      <c r="Q586" s="4" t="e">
        <f>VLOOKUP(AJ578,'CIR Team Info'!$C$5:$E$44,3,FALSE)</f>
        <v>#N/A</v>
      </c>
      <c r="R586" s="10" t="e">
        <f>VLOOKUP(AJ578,'FRC Site Data'!$B$3:$L$42,2,FALSE)</f>
        <v>#N/A</v>
      </c>
      <c r="S586" s="10" t="e">
        <f>VLOOKUP(AJ578,'FRC Site Data'!$B$3:$L$42,3,FALSE)</f>
        <v>#N/A</v>
      </c>
      <c r="T586" s="10" t="e">
        <f>VLOOKUP(AJ578,'FRC Site Data'!$B$3:$L$42,4,FALSE)</f>
        <v>#N/A</v>
      </c>
      <c r="U586" s="10" t="e">
        <f>VLOOKUP(AJ578,'FRC Site Data'!$B$3:$L$42,5,FALSE)</f>
        <v>#N/A</v>
      </c>
      <c r="V586" s="10" t="e">
        <f>VLOOKUP(AJ578,'FRC Site Data'!$B$3:$L$42,6,FALSE)</f>
        <v>#N/A</v>
      </c>
      <c r="W586" s="10" t="e">
        <f>VLOOKUP(AJ578,'FRC Site Data'!$B$3:$L$42,8,FALSE)</f>
        <v>#N/A</v>
      </c>
      <c r="X586" s="10" t="e">
        <f>VLOOKUP(AJ578,'FRC Site Data'!$B$3:$L$42,9,FALSE)</f>
        <v>#N/A</v>
      </c>
      <c r="Y586" s="10" t="e">
        <f>VLOOKUP(AJ578,'FRC Site Data'!$B$3:$L$42,10,FALSE)</f>
        <v>#N/A</v>
      </c>
      <c r="Z586" s="10" t="e">
        <f>VLOOKUP(AJ578,'FRC Site Data'!$B$3:$L$42,11,FALSE)</f>
        <v>#N/A</v>
      </c>
      <c r="AA586" s="10" t="e">
        <f>VLOOKUP(AJ578,'CIR Team Info'!$C$5:$E$44,4,FALSE)</f>
        <v>#N/A</v>
      </c>
      <c r="AB586" s="161" t="b">
        <f>ISNUMBER(VLOOKUP(AJ578,Match!$T$5:$T$10,1,FALSE))</f>
        <v>0</v>
      </c>
      <c r="AC586" s="161" t="b">
        <f>IF(AB586=TRUE,(VLOOKUP($AJ578,Match!$T$5:$U$10,2,FALSE)))</f>
        <v>0</v>
      </c>
      <c r="AD586" s="8">
        <v>3</v>
      </c>
      <c r="AE586" s="8">
        <v>2</v>
      </c>
      <c r="AF586" s="8">
        <v>2</v>
      </c>
      <c r="AG586" s="8">
        <v>1</v>
      </c>
      <c r="AH586" s="8" t="str">
        <f t="shared" si="170"/>
        <v/>
      </c>
      <c r="BK586" s="12"/>
    </row>
    <row r="587" spans="1:63" x14ac:dyDescent="0.25">
      <c r="A587" s="29">
        <f t="shared" si="177"/>
        <v>0</v>
      </c>
      <c r="B587" s="29">
        <f t="shared" si="171"/>
        <v>0</v>
      </c>
      <c r="C587" s="29">
        <f t="shared" si="172"/>
        <v>0</v>
      </c>
      <c r="D587" s="29">
        <f t="shared" si="173"/>
        <v>0</v>
      </c>
      <c r="E587" s="29">
        <f t="shared" si="178"/>
        <v>0</v>
      </c>
      <c r="F587" s="29">
        <f t="shared" si="179"/>
        <v>0</v>
      </c>
      <c r="G587" s="29" t="str">
        <f t="shared" si="180"/>
        <v>offensive</v>
      </c>
      <c r="H587" s="16">
        <f t="shared" si="168"/>
        <v>0</v>
      </c>
      <c r="I587" s="16">
        <f t="shared" si="169"/>
        <v>0</v>
      </c>
      <c r="J587" s="16">
        <f t="shared" si="174"/>
        <v>0</v>
      </c>
      <c r="K587" s="16">
        <f t="shared" si="181"/>
        <v>0</v>
      </c>
      <c r="L587" s="67">
        <f t="shared" si="182"/>
        <v>0</v>
      </c>
      <c r="M587" s="4">
        <f t="shared" si="175"/>
        <v>0</v>
      </c>
      <c r="N587" s="4">
        <f t="shared" si="176"/>
        <v>0</v>
      </c>
      <c r="O587" s="4">
        <f t="shared" si="183"/>
        <v>0</v>
      </c>
      <c r="P587" s="4" t="e">
        <f>VLOOKUP(AJ579,'CIR Team Info'!$C$5:$E$44,2,FALSE)</f>
        <v>#N/A</v>
      </c>
      <c r="Q587" s="4" t="e">
        <f>VLOOKUP(AJ579,'CIR Team Info'!$C$5:$E$44,3,FALSE)</f>
        <v>#N/A</v>
      </c>
      <c r="R587" s="10" t="e">
        <f>VLOOKUP(AJ579,'FRC Site Data'!$B$3:$L$42,2,FALSE)</f>
        <v>#N/A</v>
      </c>
      <c r="S587" s="10" t="e">
        <f>VLOOKUP(AJ579,'FRC Site Data'!$B$3:$L$42,3,FALSE)</f>
        <v>#N/A</v>
      </c>
      <c r="T587" s="10" t="e">
        <f>VLOOKUP(AJ579,'FRC Site Data'!$B$3:$L$42,4,FALSE)</f>
        <v>#N/A</v>
      </c>
      <c r="U587" s="10" t="e">
        <f>VLOOKUP(AJ579,'FRC Site Data'!$B$3:$L$42,5,FALSE)</f>
        <v>#N/A</v>
      </c>
      <c r="V587" s="10" t="e">
        <f>VLOOKUP(AJ579,'FRC Site Data'!$B$3:$L$42,6,FALSE)</f>
        <v>#N/A</v>
      </c>
      <c r="W587" s="10" t="e">
        <f>VLOOKUP(AJ579,'FRC Site Data'!$B$3:$L$42,8,FALSE)</f>
        <v>#N/A</v>
      </c>
      <c r="X587" s="10" t="e">
        <f>VLOOKUP(AJ579,'FRC Site Data'!$B$3:$L$42,9,FALSE)</f>
        <v>#N/A</v>
      </c>
      <c r="Y587" s="10" t="e">
        <f>VLOOKUP(AJ579,'FRC Site Data'!$B$3:$L$42,10,FALSE)</f>
        <v>#N/A</v>
      </c>
      <c r="Z587" s="10" t="e">
        <f>VLOOKUP(AJ579,'FRC Site Data'!$B$3:$L$42,11,FALSE)</f>
        <v>#N/A</v>
      </c>
      <c r="AA587" s="10" t="e">
        <f>VLOOKUP(AJ579,'CIR Team Info'!$C$5:$E$44,4,FALSE)</f>
        <v>#N/A</v>
      </c>
      <c r="AB587" s="161" t="b">
        <f>ISNUMBER(VLOOKUP(AJ579,Match!$T$5:$T$10,1,FALSE))</f>
        <v>0</v>
      </c>
      <c r="AC587" s="161" t="b">
        <f>IF(AB587=TRUE,(VLOOKUP($AJ579,Match!$T$5:$U$10,2,FALSE)))</f>
        <v>0</v>
      </c>
      <c r="AD587" s="8">
        <v>3</v>
      </c>
      <c r="AE587" s="8">
        <v>2</v>
      </c>
      <c r="AF587" s="8">
        <v>2</v>
      </c>
      <c r="AG587" s="8">
        <v>1</v>
      </c>
      <c r="AH587" s="8" t="str">
        <f t="shared" si="170"/>
        <v/>
      </c>
      <c r="BK587" s="12"/>
    </row>
    <row r="588" spans="1:63" x14ac:dyDescent="0.25">
      <c r="A588" s="29">
        <f t="shared" si="177"/>
        <v>0</v>
      </c>
      <c r="B588" s="29">
        <f t="shared" si="171"/>
        <v>0</v>
      </c>
      <c r="C588" s="29">
        <f t="shared" si="172"/>
        <v>0</v>
      </c>
      <c r="D588" s="29">
        <f t="shared" si="173"/>
        <v>0</v>
      </c>
      <c r="E588" s="29">
        <f t="shared" si="178"/>
        <v>0</v>
      </c>
      <c r="F588" s="29">
        <f t="shared" si="179"/>
        <v>0</v>
      </c>
      <c r="G588" s="29" t="str">
        <f t="shared" si="180"/>
        <v>offensive</v>
      </c>
      <c r="H588" s="16">
        <f t="shared" si="168"/>
        <v>0</v>
      </c>
      <c r="I588" s="16">
        <f t="shared" si="169"/>
        <v>0</v>
      </c>
      <c r="J588" s="16">
        <f t="shared" si="174"/>
        <v>0</v>
      </c>
      <c r="K588" s="16">
        <f t="shared" si="181"/>
        <v>0</v>
      </c>
      <c r="L588" s="67">
        <f t="shared" si="182"/>
        <v>0</v>
      </c>
      <c r="M588" s="4">
        <f t="shared" si="175"/>
        <v>0</v>
      </c>
      <c r="N588" s="4">
        <f t="shared" si="176"/>
        <v>0</v>
      </c>
      <c r="O588" s="4">
        <f t="shared" si="183"/>
        <v>0</v>
      </c>
      <c r="P588" s="4" t="e">
        <f>VLOOKUP(AJ580,'CIR Team Info'!$C$5:$E$44,2,FALSE)</f>
        <v>#N/A</v>
      </c>
      <c r="Q588" s="4" t="e">
        <f>VLOOKUP(AJ580,'CIR Team Info'!$C$5:$E$44,3,FALSE)</f>
        <v>#N/A</v>
      </c>
      <c r="R588" s="10" t="e">
        <f>VLOOKUP(AJ580,'FRC Site Data'!$B$3:$L$42,2,FALSE)</f>
        <v>#N/A</v>
      </c>
      <c r="S588" s="10" t="e">
        <f>VLOOKUP(AJ580,'FRC Site Data'!$B$3:$L$42,3,FALSE)</f>
        <v>#N/A</v>
      </c>
      <c r="T588" s="10" t="e">
        <f>VLOOKUP(AJ580,'FRC Site Data'!$B$3:$L$42,4,FALSE)</f>
        <v>#N/A</v>
      </c>
      <c r="U588" s="10" t="e">
        <f>VLOOKUP(AJ580,'FRC Site Data'!$B$3:$L$42,5,FALSE)</f>
        <v>#N/A</v>
      </c>
      <c r="V588" s="10" t="e">
        <f>VLOOKUP(AJ580,'FRC Site Data'!$B$3:$L$42,6,FALSE)</f>
        <v>#N/A</v>
      </c>
      <c r="W588" s="10" t="e">
        <f>VLOOKUP(AJ580,'FRC Site Data'!$B$3:$L$42,8,FALSE)</f>
        <v>#N/A</v>
      </c>
      <c r="X588" s="10" t="e">
        <f>VLOOKUP(AJ580,'FRC Site Data'!$B$3:$L$42,9,FALSE)</f>
        <v>#N/A</v>
      </c>
      <c r="Y588" s="10" t="e">
        <f>VLOOKUP(AJ580,'FRC Site Data'!$B$3:$L$42,10,FALSE)</f>
        <v>#N/A</v>
      </c>
      <c r="Z588" s="10" t="e">
        <f>VLOOKUP(AJ580,'FRC Site Data'!$B$3:$L$42,11,FALSE)</f>
        <v>#N/A</v>
      </c>
      <c r="AA588" s="10" t="e">
        <f>VLOOKUP(AJ580,'CIR Team Info'!$C$5:$E$44,4,FALSE)</f>
        <v>#N/A</v>
      </c>
      <c r="AB588" s="161" t="b">
        <f>ISNUMBER(VLOOKUP(AJ580,Match!$T$5:$T$10,1,FALSE))</f>
        <v>0</v>
      </c>
      <c r="AC588" s="161" t="b">
        <f>IF(AB588=TRUE,(VLOOKUP($AJ580,Match!$T$5:$U$10,2,FALSE)))</f>
        <v>0</v>
      </c>
      <c r="AD588" s="8">
        <v>3</v>
      </c>
      <c r="AE588" s="8">
        <v>2</v>
      </c>
      <c r="AF588" s="8">
        <v>2</v>
      </c>
      <c r="AG588" s="8">
        <v>1</v>
      </c>
      <c r="AH588" s="8" t="str">
        <f t="shared" si="170"/>
        <v/>
      </c>
      <c r="BK588" s="12"/>
    </row>
    <row r="589" spans="1:63" x14ac:dyDescent="0.25">
      <c r="A589" s="29">
        <f t="shared" si="177"/>
        <v>0</v>
      </c>
      <c r="B589" s="29">
        <f t="shared" si="171"/>
        <v>0</v>
      </c>
      <c r="C589" s="29">
        <f t="shared" si="172"/>
        <v>0</v>
      </c>
      <c r="D589" s="29">
        <f t="shared" si="173"/>
        <v>0</v>
      </c>
      <c r="E589" s="29">
        <f t="shared" si="178"/>
        <v>0</v>
      </c>
      <c r="F589" s="29">
        <f t="shared" si="179"/>
        <v>0</v>
      </c>
      <c r="G589" s="29" t="str">
        <f t="shared" si="180"/>
        <v>offensive</v>
      </c>
      <c r="H589" s="16">
        <f t="shared" si="168"/>
        <v>0</v>
      </c>
      <c r="I589" s="16">
        <f t="shared" si="169"/>
        <v>0</v>
      </c>
      <c r="J589" s="16">
        <f t="shared" si="174"/>
        <v>0</v>
      </c>
      <c r="K589" s="16">
        <f t="shared" si="181"/>
        <v>0</v>
      </c>
      <c r="L589" s="67">
        <f t="shared" si="182"/>
        <v>0</v>
      </c>
      <c r="M589" s="4">
        <f t="shared" si="175"/>
        <v>0</v>
      </c>
      <c r="N589" s="4">
        <f t="shared" si="176"/>
        <v>0</v>
      </c>
      <c r="O589" s="4">
        <f t="shared" si="183"/>
        <v>0</v>
      </c>
      <c r="P589" s="4" t="e">
        <f>VLOOKUP(AJ581,'CIR Team Info'!$C$5:$E$44,2,FALSE)</f>
        <v>#N/A</v>
      </c>
      <c r="Q589" s="4" t="e">
        <f>VLOOKUP(AJ581,'CIR Team Info'!$C$5:$E$44,3,FALSE)</f>
        <v>#N/A</v>
      </c>
      <c r="R589" s="10" t="e">
        <f>VLOOKUP(AJ581,'FRC Site Data'!$B$3:$L$42,2,FALSE)</f>
        <v>#N/A</v>
      </c>
      <c r="S589" s="10" t="e">
        <f>VLOOKUP(AJ581,'FRC Site Data'!$B$3:$L$42,3,FALSE)</f>
        <v>#N/A</v>
      </c>
      <c r="T589" s="10" t="e">
        <f>VLOOKUP(AJ581,'FRC Site Data'!$B$3:$L$42,4,FALSE)</f>
        <v>#N/A</v>
      </c>
      <c r="U589" s="10" t="e">
        <f>VLOOKUP(AJ581,'FRC Site Data'!$B$3:$L$42,5,FALSE)</f>
        <v>#N/A</v>
      </c>
      <c r="V589" s="10" t="e">
        <f>VLOOKUP(AJ581,'FRC Site Data'!$B$3:$L$42,6,FALSE)</f>
        <v>#N/A</v>
      </c>
      <c r="W589" s="10" t="e">
        <f>VLOOKUP(AJ581,'FRC Site Data'!$B$3:$L$42,8,FALSE)</f>
        <v>#N/A</v>
      </c>
      <c r="X589" s="10" t="e">
        <f>VLOOKUP(AJ581,'FRC Site Data'!$B$3:$L$42,9,FALSE)</f>
        <v>#N/A</v>
      </c>
      <c r="Y589" s="10" t="e">
        <f>VLOOKUP(AJ581,'FRC Site Data'!$B$3:$L$42,10,FALSE)</f>
        <v>#N/A</v>
      </c>
      <c r="Z589" s="10" t="e">
        <f>VLOOKUP(AJ581,'FRC Site Data'!$B$3:$L$42,11,FALSE)</f>
        <v>#N/A</v>
      </c>
      <c r="AA589" s="10" t="e">
        <f>VLOOKUP(AJ581,'CIR Team Info'!$C$5:$E$44,4,FALSE)</f>
        <v>#N/A</v>
      </c>
      <c r="AB589" s="161" t="b">
        <f>ISNUMBER(VLOOKUP(AJ581,Match!$T$5:$T$10,1,FALSE))</f>
        <v>0</v>
      </c>
      <c r="AC589" s="161" t="b">
        <f>IF(AB589=TRUE,(VLOOKUP($AJ581,Match!$T$5:$U$10,2,FALSE)))</f>
        <v>0</v>
      </c>
      <c r="AD589" s="8">
        <v>3</v>
      </c>
      <c r="AE589" s="8">
        <v>2</v>
      </c>
      <c r="AF589" s="8">
        <v>2</v>
      </c>
      <c r="AG589" s="8">
        <v>1</v>
      </c>
      <c r="AH589" s="8" t="str">
        <f t="shared" si="170"/>
        <v/>
      </c>
    </row>
    <row r="590" spans="1:63" x14ac:dyDescent="0.25">
      <c r="A590" s="29">
        <f t="shared" si="177"/>
        <v>0</v>
      </c>
      <c r="B590" s="29">
        <f t="shared" si="171"/>
        <v>0</v>
      </c>
      <c r="C590" s="29">
        <f t="shared" si="172"/>
        <v>0</v>
      </c>
      <c r="D590" s="29">
        <f t="shared" si="173"/>
        <v>0</v>
      </c>
      <c r="E590" s="29">
        <f t="shared" si="178"/>
        <v>0</v>
      </c>
      <c r="F590" s="29">
        <f t="shared" si="179"/>
        <v>0</v>
      </c>
      <c r="G590" s="29" t="str">
        <f t="shared" si="180"/>
        <v>offensive</v>
      </c>
      <c r="H590" s="16">
        <f t="shared" si="168"/>
        <v>0</v>
      </c>
      <c r="I590" s="16">
        <f t="shared" si="169"/>
        <v>0</v>
      </c>
      <c r="J590" s="16">
        <f t="shared" si="174"/>
        <v>0</v>
      </c>
      <c r="K590" s="16">
        <f t="shared" si="181"/>
        <v>0</v>
      </c>
      <c r="L590" s="67">
        <f t="shared" si="182"/>
        <v>0</v>
      </c>
      <c r="M590" s="4">
        <f t="shared" si="175"/>
        <v>0</v>
      </c>
      <c r="N590" s="4">
        <f t="shared" si="176"/>
        <v>0</v>
      </c>
      <c r="O590" s="4">
        <f t="shared" si="183"/>
        <v>0</v>
      </c>
      <c r="P590" s="4" t="e">
        <f>VLOOKUP(AJ582,'CIR Team Info'!$C$5:$E$44,2,FALSE)</f>
        <v>#N/A</v>
      </c>
      <c r="Q590" s="4" t="e">
        <f>VLOOKUP(AJ582,'CIR Team Info'!$C$5:$E$44,3,FALSE)</f>
        <v>#N/A</v>
      </c>
      <c r="R590" s="10" t="e">
        <f>VLOOKUP(AJ582,'FRC Site Data'!$B$3:$L$42,2,FALSE)</f>
        <v>#N/A</v>
      </c>
      <c r="S590" s="10" t="e">
        <f>VLOOKUP(AJ582,'FRC Site Data'!$B$3:$L$42,3,FALSE)</f>
        <v>#N/A</v>
      </c>
      <c r="T590" s="10" t="e">
        <f>VLOOKUP(AJ582,'FRC Site Data'!$B$3:$L$42,4,FALSE)</f>
        <v>#N/A</v>
      </c>
      <c r="U590" s="10" t="e">
        <f>VLOOKUP(AJ582,'FRC Site Data'!$B$3:$L$42,5,FALSE)</f>
        <v>#N/A</v>
      </c>
      <c r="V590" s="10" t="e">
        <f>VLOOKUP(AJ582,'FRC Site Data'!$B$3:$L$42,6,FALSE)</f>
        <v>#N/A</v>
      </c>
      <c r="W590" s="10" t="e">
        <f>VLOOKUP(AJ582,'FRC Site Data'!$B$3:$L$42,8,FALSE)</f>
        <v>#N/A</v>
      </c>
      <c r="X590" s="10" t="e">
        <f>VLOOKUP(AJ582,'FRC Site Data'!$B$3:$L$42,9,FALSE)</f>
        <v>#N/A</v>
      </c>
      <c r="Y590" s="10" t="e">
        <f>VLOOKUP(AJ582,'FRC Site Data'!$B$3:$L$42,10,FALSE)</f>
        <v>#N/A</v>
      </c>
      <c r="Z590" s="10" t="e">
        <f>VLOOKUP(AJ582,'FRC Site Data'!$B$3:$L$42,11,FALSE)</f>
        <v>#N/A</v>
      </c>
      <c r="AA590" s="10" t="e">
        <f>VLOOKUP(AJ582,'CIR Team Info'!$C$5:$E$44,4,FALSE)</f>
        <v>#N/A</v>
      </c>
      <c r="AB590" s="161" t="b">
        <f>ISNUMBER(VLOOKUP(AJ582,Match!$T$5:$T$10,1,FALSE))</f>
        <v>0</v>
      </c>
      <c r="AC590" s="161" t="b">
        <f>IF(AB590=TRUE,(VLOOKUP($AJ582,Match!$T$5:$U$10,2,FALSE)))</f>
        <v>0</v>
      </c>
      <c r="AD590" s="8">
        <v>3</v>
      </c>
      <c r="AE590" s="8">
        <v>2</v>
      </c>
      <c r="AF590" s="8">
        <v>2</v>
      </c>
      <c r="AG590" s="8">
        <v>1</v>
      </c>
      <c r="AH590" s="8" t="str">
        <f t="shared" si="170"/>
        <v/>
      </c>
    </row>
    <row r="591" spans="1:63" x14ac:dyDescent="0.25">
      <c r="A591" s="29">
        <f t="shared" si="177"/>
        <v>0</v>
      </c>
      <c r="B591" s="29">
        <f t="shared" si="171"/>
        <v>0</v>
      </c>
      <c r="C591" s="29">
        <f t="shared" si="172"/>
        <v>0</v>
      </c>
      <c r="D591" s="29">
        <f t="shared" si="173"/>
        <v>0</v>
      </c>
      <c r="E591" s="29">
        <f t="shared" si="178"/>
        <v>0</v>
      </c>
      <c r="F591" s="29">
        <f t="shared" si="179"/>
        <v>0</v>
      </c>
      <c r="G591" s="29" t="str">
        <f t="shared" si="180"/>
        <v>offensive</v>
      </c>
      <c r="H591" s="16">
        <f t="shared" ref="H591:H654" si="184">IF((AO583+AP583)=0,0,AO583/(AO583+AP583))</f>
        <v>0</v>
      </c>
      <c r="I591" s="16">
        <f t="shared" ref="I591:I654" si="185">IF((AV583+AW583)=0,0,AV583/(AV583+AW583))</f>
        <v>0</v>
      </c>
      <c r="J591" s="16">
        <f t="shared" si="174"/>
        <v>0</v>
      </c>
      <c r="K591" s="16">
        <f t="shared" si="181"/>
        <v>0</v>
      </c>
      <c r="L591" s="67">
        <f t="shared" si="182"/>
        <v>0</v>
      </c>
      <c r="M591" s="4">
        <f t="shared" si="175"/>
        <v>0</v>
      </c>
      <c r="N591" s="4">
        <f t="shared" si="176"/>
        <v>0</v>
      </c>
      <c r="O591" s="4">
        <f t="shared" si="183"/>
        <v>0</v>
      </c>
      <c r="P591" s="4" t="e">
        <f>VLOOKUP(AJ583,'CIR Team Info'!$C$5:$E$44,2,FALSE)</f>
        <v>#N/A</v>
      </c>
      <c r="Q591" s="4" t="e">
        <f>VLOOKUP(AJ583,'CIR Team Info'!$C$5:$E$44,3,FALSE)</f>
        <v>#N/A</v>
      </c>
      <c r="R591" s="10" t="e">
        <f>VLOOKUP(AJ583,'FRC Site Data'!$B$3:$L$42,2,FALSE)</f>
        <v>#N/A</v>
      </c>
      <c r="S591" s="10" t="e">
        <f>VLOOKUP(AJ583,'FRC Site Data'!$B$3:$L$42,3,FALSE)</f>
        <v>#N/A</v>
      </c>
      <c r="T591" s="10" t="e">
        <f>VLOOKUP(AJ583,'FRC Site Data'!$B$3:$L$42,4,FALSE)</f>
        <v>#N/A</v>
      </c>
      <c r="U591" s="10" t="e">
        <f>VLOOKUP(AJ583,'FRC Site Data'!$B$3:$L$42,5,FALSE)</f>
        <v>#N/A</v>
      </c>
      <c r="V591" s="10" t="e">
        <f>VLOOKUP(AJ583,'FRC Site Data'!$B$3:$L$42,6,FALSE)</f>
        <v>#N/A</v>
      </c>
      <c r="W591" s="10" t="e">
        <f>VLOOKUP(AJ583,'FRC Site Data'!$B$3:$L$42,8,FALSE)</f>
        <v>#N/A</v>
      </c>
      <c r="X591" s="10" t="e">
        <f>VLOOKUP(AJ583,'FRC Site Data'!$B$3:$L$42,9,FALSE)</f>
        <v>#N/A</v>
      </c>
      <c r="Y591" s="10" t="e">
        <f>VLOOKUP(AJ583,'FRC Site Data'!$B$3:$L$42,10,FALSE)</f>
        <v>#N/A</v>
      </c>
      <c r="Z591" s="10" t="e">
        <f>VLOOKUP(AJ583,'FRC Site Data'!$B$3:$L$42,11,FALSE)</f>
        <v>#N/A</v>
      </c>
      <c r="AA591" s="10" t="e">
        <f>VLOOKUP(AJ583,'CIR Team Info'!$C$5:$E$44,4,FALSE)</f>
        <v>#N/A</v>
      </c>
      <c r="AB591" s="161" t="b">
        <f>ISNUMBER(VLOOKUP(AJ583,Match!$T$5:$T$10,1,FALSE))</f>
        <v>0</v>
      </c>
      <c r="AC591" s="161" t="b">
        <f>IF(AB591=TRUE,(VLOOKUP($AJ583,Match!$T$5:$U$10,2,FALSE)))</f>
        <v>0</v>
      </c>
      <c r="AD591" s="8">
        <v>3</v>
      </c>
      <c r="AE591" s="8">
        <v>2</v>
      </c>
      <c r="AF591" s="8">
        <v>2</v>
      </c>
      <c r="AG591" s="8">
        <v>1</v>
      </c>
      <c r="AH591" s="8" t="str">
        <f t="shared" si="170"/>
        <v/>
      </c>
    </row>
    <row r="592" spans="1:63" x14ac:dyDescent="0.25">
      <c r="A592" s="29">
        <f t="shared" si="177"/>
        <v>0</v>
      </c>
      <c r="B592" s="29">
        <f t="shared" si="171"/>
        <v>0</v>
      </c>
      <c r="C592" s="29">
        <f t="shared" si="172"/>
        <v>0</v>
      </c>
      <c r="D592" s="29">
        <f t="shared" si="173"/>
        <v>0</v>
      </c>
      <c r="E592" s="29">
        <f t="shared" si="178"/>
        <v>0</v>
      </c>
      <c r="F592" s="29">
        <f t="shared" si="179"/>
        <v>0</v>
      </c>
      <c r="G592" s="29" t="str">
        <f t="shared" si="180"/>
        <v>offensive</v>
      </c>
      <c r="H592" s="16">
        <f t="shared" si="184"/>
        <v>0</v>
      </c>
      <c r="I592" s="16">
        <f t="shared" si="185"/>
        <v>0</v>
      </c>
      <c r="J592" s="16">
        <f t="shared" si="174"/>
        <v>0</v>
      </c>
      <c r="K592" s="16">
        <f t="shared" si="181"/>
        <v>0</v>
      </c>
      <c r="L592" s="67">
        <f t="shared" si="182"/>
        <v>0</v>
      </c>
      <c r="M592" s="4">
        <f t="shared" si="175"/>
        <v>0</v>
      </c>
      <c r="N592" s="4">
        <f t="shared" si="176"/>
        <v>0</v>
      </c>
      <c r="O592" s="4">
        <f t="shared" si="183"/>
        <v>0</v>
      </c>
      <c r="P592" s="4" t="e">
        <f>VLOOKUP(AJ584,'CIR Team Info'!$C$5:$E$44,2,FALSE)</f>
        <v>#N/A</v>
      </c>
      <c r="Q592" s="4" t="e">
        <f>VLOOKUP(AJ584,'CIR Team Info'!$C$5:$E$44,3,FALSE)</f>
        <v>#N/A</v>
      </c>
      <c r="R592" s="10" t="e">
        <f>VLOOKUP(AJ584,'FRC Site Data'!$B$3:$L$42,2,FALSE)</f>
        <v>#N/A</v>
      </c>
      <c r="S592" s="10" t="e">
        <f>VLOOKUP(AJ584,'FRC Site Data'!$B$3:$L$42,3,FALSE)</f>
        <v>#N/A</v>
      </c>
      <c r="T592" s="10" t="e">
        <f>VLOOKUP(AJ584,'FRC Site Data'!$B$3:$L$42,4,FALSE)</f>
        <v>#N/A</v>
      </c>
      <c r="U592" s="10" t="e">
        <f>VLOOKUP(AJ584,'FRC Site Data'!$B$3:$L$42,5,FALSE)</f>
        <v>#N/A</v>
      </c>
      <c r="V592" s="10" t="e">
        <f>VLOOKUP(AJ584,'FRC Site Data'!$B$3:$L$42,6,FALSE)</f>
        <v>#N/A</v>
      </c>
      <c r="W592" s="10" t="e">
        <f>VLOOKUP(AJ584,'FRC Site Data'!$B$3:$L$42,8,FALSE)</f>
        <v>#N/A</v>
      </c>
      <c r="X592" s="10" t="e">
        <f>VLOOKUP(AJ584,'FRC Site Data'!$B$3:$L$42,9,FALSE)</f>
        <v>#N/A</v>
      </c>
      <c r="Y592" s="10" t="e">
        <f>VLOOKUP(AJ584,'FRC Site Data'!$B$3:$L$42,10,FALSE)</f>
        <v>#N/A</v>
      </c>
      <c r="Z592" s="10" t="e">
        <f>VLOOKUP(AJ584,'FRC Site Data'!$B$3:$L$42,11,FALSE)</f>
        <v>#N/A</v>
      </c>
      <c r="AA592" s="10" t="e">
        <f>VLOOKUP(AJ584,'CIR Team Info'!$C$5:$E$44,4,FALSE)</f>
        <v>#N/A</v>
      </c>
      <c r="AB592" s="161" t="b">
        <f>ISNUMBER(VLOOKUP(AJ584,Match!$T$5:$T$10,1,FALSE))</f>
        <v>0</v>
      </c>
      <c r="AC592" s="161" t="b">
        <f>IF(AB592=TRUE,(VLOOKUP($AJ584,Match!$T$5:$U$10,2,FALSE)))</f>
        <v>0</v>
      </c>
      <c r="AD592" s="8">
        <v>3</v>
      </c>
      <c r="AE592" s="8">
        <v>2</v>
      </c>
      <c r="AF592" s="8">
        <v>2</v>
      </c>
      <c r="AG592" s="8">
        <v>1</v>
      </c>
      <c r="AH592" s="8" t="str">
        <f t="shared" si="170"/>
        <v/>
      </c>
    </row>
    <row r="593" spans="1:34" x14ac:dyDescent="0.25">
      <c r="A593" s="29">
        <f t="shared" si="177"/>
        <v>0</v>
      </c>
      <c r="B593" s="29">
        <f t="shared" si="171"/>
        <v>0</v>
      </c>
      <c r="C593" s="29">
        <f t="shared" si="172"/>
        <v>0</v>
      </c>
      <c r="D593" s="29">
        <f t="shared" si="173"/>
        <v>0</v>
      </c>
      <c r="E593" s="29">
        <f t="shared" si="178"/>
        <v>0</v>
      </c>
      <c r="F593" s="29">
        <f t="shared" si="179"/>
        <v>0</v>
      </c>
      <c r="G593" s="29" t="str">
        <f t="shared" si="180"/>
        <v>offensive</v>
      </c>
      <c r="H593" s="16">
        <f t="shared" si="184"/>
        <v>0</v>
      </c>
      <c r="I593" s="16">
        <f t="shared" si="185"/>
        <v>0</v>
      </c>
      <c r="J593" s="16">
        <f t="shared" si="174"/>
        <v>0</v>
      </c>
      <c r="K593" s="16">
        <f t="shared" si="181"/>
        <v>0</v>
      </c>
      <c r="L593" s="67">
        <f t="shared" si="182"/>
        <v>0</v>
      </c>
      <c r="M593" s="4">
        <f t="shared" si="175"/>
        <v>0</v>
      </c>
      <c r="N593" s="4">
        <f t="shared" si="176"/>
        <v>0</v>
      </c>
      <c r="O593" s="4">
        <f t="shared" si="183"/>
        <v>0</v>
      </c>
      <c r="P593" s="4" t="e">
        <f>VLOOKUP(AJ585,'CIR Team Info'!$C$5:$E$44,2,FALSE)</f>
        <v>#N/A</v>
      </c>
      <c r="Q593" s="4" t="e">
        <f>VLOOKUP(AJ585,'CIR Team Info'!$C$5:$E$44,3,FALSE)</f>
        <v>#N/A</v>
      </c>
      <c r="R593" s="10" t="e">
        <f>VLOOKUP(AJ585,'FRC Site Data'!$B$3:$L$42,2,FALSE)</f>
        <v>#N/A</v>
      </c>
      <c r="S593" s="10" t="e">
        <f>VLOOKUP(AJ585,'FRC Site Data'!$B$3:$L$42,3,FALSE)</f>
        <v>#N/A</v>
      </c>
      <c r="T593" s="10" t="e">
        <f>VLOOKUP(AJ585,'FRC Site Data'!$B$3:$L$42,4,FALSE)</f>
        <v>#N/A</v>
      </c>
      <c r="U593" s="10" t="e">
        <f>VLOOKUP(AJ585,'FRC Site Data'!$B$3:$L$42,5,FALSE)</f>
        <v>#N/A</v>
      </c>
      <c r="V593" s="10" t="e">
        <f>VLOOKUP(AJ585,'FRC Site Data'!$B$3:$L$42,6,FALSE)</f>
        <v>#N/A</v>
      </c>
      <c r="W593" s="10" t="e">
        <f>VLOOKUP(AJ585,'FRC Site Data'!$B$3:$L$42,8,FALSE)</f>
        <v>#N/A</v>
      </c>
      <c r="X593" s="10" t="e">
        <f>VLOOKUP(AJ585,'FRC Site Data'!$B$3:$L$42,9,FALSE)</f>
        <v>#N/A</v>
      </c>
      <c r="Y593" s="10" t="e">
        <f>VLOOKUP(AJ585,'FRC Site Data'!$B$3:$L$42,10,FALSE)</f>
        <v>#N/A</v>
      </c>
      <c r="Z593" s="10" t="e">
        <f>VLOOKUP(AJ585,'FRC Site Data'!$B$3:$L$42,11,FALSE)</f>
        <v>#N/A</v>
      </c>
      <c r="AA593" s="10" t="e">
        <f>VLOOKUP(AJ585,'CIR Team Info'!$C$5:$E$44,4,FALSE)</f>
        <v>#N/A</v>
      </c>
      <c r="AB593" s="161" t="b">
        <f>ISNUMBER(VLOOKUP(AJ585,Match!$T$5:$T$10,1,FALSE))</f>
        <v>0</v>
      </c>
      <c r="AC593" s="161" t="b">
        <f>IF(AB593=TRUE,(VLOOKUP($AJ585,Match!$T$5:$U$10,2,FALSE)))</f>
        <v>0</v>
      </c>
      <c r="AD593" s="8">
        <v>3</v>
      </c>
      <c r="AE593" s="8">
        <v>2</v>
      </c>
      <c r="AF593" s="8">
        <v>2</v>
      </c>
      <c r="AG593" s="8">
        <v>1</v>
      </c>
      <c r="AH593" s="8" t="str">
        <f t="shared" si="170"/>
        <v/>
      </c>
    </row>
    <row r="594" spans="1:34" x14ac:dyDescent="0.25">
      <c r="A594" s="29">
        <f t="shared" si="177"/>
        <v>0</v>
      </c>
      <c r="B594" s="29">
        <f t="shared" si="171"/>
        <v>0</v>
      </c>
      <c r="C594" s="29">
        <f t="shared" si="172"/>
        <v>0</v>
      </c>
      <c r="D594" s="29">
        <f t="shared" si="173"/>
        <v>0</v>
      </c>
      <c r="E594" s="29">
        <f t="shared" si="178"/>
        <v>0</v>
      </c>
      <c r="F594" s="29">
        <f t="shared" si="179"/>
        <v>0</v>
      </c>
      <c r="G594" s="29" t="str">
        <f t="shared" si="180"/>
        <v>offensive</v>
      </c>
      <c r="H594" s="16">
        <f t="shared" si="184"/>
        <v>0</v>
      </c>
      <c r="I594" s="16">
        <f t="shared" si="185"/>
        <v>0</v>
      </c>
      <c r="J594" s="16">
        <f t="shared" si="174"/>
        <v>0</v>
      </c>
      <c r="K594" s="16">
        <f t="shared" si="181"/>
        <v>0</v>
      </c>
      <c r="L594" s="67">
        <f t="shared" si="182"/>
        <v>0</v>
      </c>
      <c r="M594" s="4">
        <f t="shared" si="175"/>
        <v>0</v>
      </c>
      <c r="N594" s="4">
        <f t="shared" si="176"/>
        <v>0</v>
      </c>
      <c r="O594" s="4">
        <f t="shared" si="183"/>
        <v>0</v>
      </c>
      <c r="P594" s="4" t="e">
        <f>VLOOKUP(AJ586,'CIR Team Info'!$C$5:$E$44,2,FALSE)</f>
        <v>#N/A</v>
      </c>
      <c r="Q594" s="4" t="e">
        <f>VLOOKUP(AJ586,'CIR Team Info'!$C$5:$E$44,3,FALSE)</f>
        <v>#N/A</v>
      </c>
      <c r="R594" s="10" t="e">
        <f>VLOOKUP(AJ586,'FRC Site Data'!$B$3:$L$42,2,FALSE)</f>
        <v>#N/A</v>
      </c>
      <c r="S594" s="10" t="e">
        <f>VLOOKUP(AJ586,'FRC Site Data'!$B$3:$L$42,3,FALSE)</f>
        <v>#N/A</v>
      </c>
      <c r="T594" s="10" t="e">
        <f>VLOOKUP(AJ586,'FRC Site Data'!$B$3:$L$42,4,FALSE)</f>
        <v>#N/A</v>
      </c>
      <c r="U594" s="10" t="e">
        <f>VLOOKUP(AJ586,'FRC Site Data'!$B$3:$L$42,5,FALSE)</f>
        <v>#N/A</v>
      </c>
      <c r="V594" s="10" t="e">
        <f>VLOOKUP(AJ586,'FRC Site Data'!$B$3:$L$42,6,FALSE)</f>
        <v>#N/A</v>
      </c>
      <c r="W594" s="10" t="e">
        <f>VLOOKUP(AJ586,'FRC Site Data'!$B$3:$L$42,8,FALSE)</f>
        <v>#N/A</v>
      </c>
      <c r="X594" s="10" t="e">
        <f>VLOOKUP(AJ586,'FRC Site Data'!$B$3:$L$42,9,FALSE)</f>
        <v>#N/A</v>
      </c>
      <c r="Y594" s="10" t="e">
        <f>VLOOKUP(AJ586,'FRC Site Data'!$B$3:$L$42,10,FALSE)</f>
        <v>#N/A</v>
      </c>
      <c r="Z594" s="10" t="e">
        <f>VLOOKUP(AJ586,'FRC Site Data'!$B$3:$L$42,11,FALSE)</f>
        <v>#N/A</v>
      </c>
      <c r="AA594" s="10" t="e">
        <f>VLOOKUP(AJ586,'CIR Team Info'!$C$5:$E$44,4,FALSE)</f>
        <v>#N/A</v>
      </c>
      <c r="AB594" s="161" t="b">
        <f>ISNUMBER(VLOOKUP(AJ586,Match!$T$5:$T$10,1,FALSE))</f>
        <v>0</v>
      </c>
      <c r="AC594" s="161" t="b">
        <f>IF(AB594=TRUE,(VLOOKUP($AJ586,Match!$T$5:$U$10,2,FALSE)))</f>
        <v>0</v>
      </c>
      <c r="AD594" s="8">
        <v>3</v>
      </c>
      <c r="AE594" s="8">
        <v>2</v>
      </c>
      <c r="AF594" s="8">
        <v>2</v>
      </c>
      <c r="AG594" s="8">
        <v>1</v>
      </c>
      <c r="AH594" s="8" t="str">
        <f t="shared" si="170"/>
        <v/>
      </c>
    </row>
    <row r="595" spans="1:34" x14ac:dyDescent="0.25">
      <c r="A595" s="29">
        <f t="shared" si="177"/>
        <v>0</v>
      </c>
      <c r="B595" s="29">
        <f t="shared" si="171"/>
        <v>0</v>
      </c>
      <c r="C595" s="29">
        <f t="shared" si="172"/>
        <v>0</v>
      </c>
      <c r="D595" s="29">
        <f t="shared" si="173"/>
        <v>0</v>
      </c>
      <c r="E595" s="29">
        <f t="shared" si="178"/>
        <v>0</v>
      </c>
      <c r="F595" s="29">
        <f t="shared" si="179"/>
        <v>0</v>
      </c>
      <c r="G595" s="29" t="str">
        <f t="shared" si="180"/>
        <v>offensive</v>
      </c>
      <c r="H595" s="16">
        <f t="shared" si="184"/>
        <v>0</v>
      </c>
      <c r="I595" s="16">
        <f t="shared" si="185"/>
        <v>0</v>
      </c>
      <c r="J595" s="16">
        <f t="shared" si="174"/>
        <v>0</v>
      </c>
      <c r="K595" s="16">
        <f t="shared" si="181"/>
        <v>0</v>
      </c>
      <c r="L595" s="67">
        <f t="shared" si="182"/>
        <v>0</v>
      </c>
      <c r="M595" s="4">
        <f t="shared" si="175"/>
        <v>0</v>
      </c>
      <c r="N595" s="4">
        <f t="shared" si="176"/>
        <v>0</v>
      </c>
      <c r="O595" s="4">
        <f t="shared" si="183"/>
        <v>0</v>
      </c>
      <c r="P595" s="4" t="e">
        <f>VLOOKUP(AJ587,'CIR Team Info'!$C$5:$E$44,2,FALSE)</f>
        <v>#N/A</v>
      </c>
      <c r="Q595" s="4" t="e">
        <f>VLOOKUP(AJ587,'CIR Team Info'!$C$5:$E$44,3,FALSE)</f>
        <v>#N/A</v>
      </c>
      <c r="R595" s="10" t="e">
        <f>VLOOKUP(AJ587,'FRC Site Data'!$B$3:$L$42,2,FALSE)</f>
        <v>#N/A</v>
      </c>
      <c r="S595" s="10" t="e">
        <f>VLOOKUP(AJ587,'FRC Site Data'!$B$3:$L$42,3,FALSE)</f>
        <v>#N/A</v>
      </c>
      <c r="T595" s="10" t="e">
        <f>VLOOKUP(AJ587,'FRC Site Data'!$B$3:$L$42,4,FALSE)</f>
        <v>#N/A</v>
      </c>
      <c r="U595" s="10" t="e">
        <f>VLOOKUP(AJ587,'FRC Site Data'!$B$3:$L$42,5,FALSE)</f>
        <v>#N/A</v>
      </c>
      <c r="V595" s="10" t="e">
        <f>VLOOKUP(AJ587,'FRC Site Data'!$B$3:$L$42,6,FALSE)</f>
        <v>#N/A</v>
      </c>
      <c r="W595" s="10" t="e">
        <f>VLOOKUP(AJ587,'FRC Site Data'!$B$3:$L$42,8,FALSE)</f>
        <v>#N/A</v>
      </c>
      <c r="X595" s="10" t="e">
        <f>VLOOKUP(AJ587,'FRC Site Data'!$B$3:$L$42,9,FALSE)</f>
        <v>#N/A</v>
      </c>
      <c r="Y595" s="10" t="e">
        <f>VLOOKUP(AJ587,'FRC Site Data'!$B$3:$L$42,10,FALSE)</f>
        <v>#N/A</v>
      </c>
      <c r="Z595" s="10" t="e">
        <f>VLOOKUP(AJ587,'FRC Site Data'!$B$3:$L$42,11,FALSE)</f>
        <v>#N/A</v>
      </c>
      <c r="AA595" s="10" t="e">
        <f>VLOOKUP(AJ587,'CIR Team Info'!$C$5:$E$44,4,FALSE)</f>
        <v>#N/A</v>
      </c>
      <c r="AB595" s="161" t="b">
        <f>ISNUMBER(VLOOKUP(AJ587,Match!$T$5:$T$10,1,FALSE))</f>
        <v>0</v>
      </c>
      <c r="AC595" s="161" t="b">
        <f>IF(AB595=TRUE,(VLOOKUP($AJ587,Match!$T$5:$U$10,2,FALSE)))</f>
        <v>0</v>
      </c>
      <c r="AD595" s="8">
        <v>3</v>
      </c>
      <c r="AE595" s="8">
        <v>2</v>
      </c>
      <c r="AF595" s="8">
        <v>2</v>
      </c>
      <c r="AG595" s="8">
        <v>1</v>
      </c>
      <c r="AH595" s="8" t="str">
        <f t="shared" si="170"/>
        <v/>
      </c>
    </row>
    <row r="596" spans="1:34" x14ac:dyDescent="0.25">
      <c r="A596" s="29">
        <f t="shared" si="177"/>
        <v>0</v>
      </c>
      <c r="B596" s="29">
        <f t="shared" si="171"/>
        <v>0</v>
      </c>
      <c r="C596" s="29">
        <f t="shared" si="172"/>
        <v>0</v>
      </c>
      <c r="D596" s="29">
        <f t="shared" si="173"/>
        <v>0</v>
      </c>
      <c r="E596" s="29">
        <f t="shared" si="178"/>
        <v>0</v>
      </c>
      <c r="F596" s="29">
        <f t="shared" si="179"/>
        <v>0</v>
      </c>
      <c r="G596" s="29" t="str">
        <f t="shared" si="180"/>
        <v>offensive</v>
      </c>
      <c r="H596" s="16">
        <f t="shared" si="184"/>
        <v>0</v>
      </c>
      <c r="I596" s="16">
        <f t="shared" si="185"/>
        <v>0</v>
      </c>
      <c r="J596" s="16">
        <f t="shared" si="174"/>
        <v>0</v>
      </c>
      <c r="K596" s="16">
        <f t="shared" si="181"/>
        <v>0</v>
      </c>
      <c r="L596" s="67">
        <f t="shared" si="182"/>
        <v>0</v>
      </c>
      <c r="M596" s="4">
        <f t="shared" si="175"/>
        <v>0</v>
      </c>
      <c r="N596" s="4">
        <f t="shared" si="176"/>
        <v>0</v>
      </c>
      <c r="O596" s="4">
        <f t="shared" si="183"/>
        <v>0</v>
      </c>
      <c r="P596" s="4" t="e">
        <f>VLOOKUP(AJ588,'CIR Team Info'!$C$5:$E$44,2,FALSE)</f>
        <v>#N/A</v>
      </c>
      <c r="Q596" s="4" t="e">
        <f>VLOOKUP(AJ588,'CIR Team Info'!$C$5:$E$44,3,FALSE)</f>
        <v>#N/A</v>
      </c>
      <c r="R596" s="10" t="e">
        <f>VLOOKUP(AJ588,'FRC Site Data'!$B$3:$L$42,2,FALSE)</f>
        <v>#N/A</v>
      </c>
      <c r="S596" s="10" t="e">
        <f>VLOOKUP(AJ588,'FRC Site Data'!$B$3:$L$42,3,FALSE)</f>
        <v>#N/A</v>
      </c>
      <c r="T596" s="10" t="e">
        <f>VLOOKUP(AJ588,'FRC Site Data'!$B$3:$L$42,4,FALSE)</f>
        <v>#N/A</v>
      </c>
      <c r="U596" s="10" t="e">
        <f>VLOOKUP(AJ588,'FRC Site Data'!$B$3:$L$42,5,FALSE)</f>
        <v>#N/A</v>
      </c>
      <c r="V596" s="10" t="e">
        <f>VLOOKUP(AJ588,'FRC Site Data'!$B$3:$L$42,6,FALSE)</f>
        <v>#N/A</v>
      </c>
      <c r="W596" s="10" t="e">
        <f>VLOOKUP(AJ588,'FRC Site Data'!$B$3:$L$42,8,FALSE)</f>
        <v>#N/A</v>
      </c>
      <c r="X596" s="10" t="e">
        <f>VLOOKUP(AJ588,'FRC Site Data'!$B$3:$L$42,9,FALSE)</f>
        <v>#N/A</v>
      </c>
      <c r="Y596" s="10" t="e">
        <f>VLOOKUP(AJ588,'FRC Site Data'!$B$3:$L$42,10,FALSE)</f>
        <v>#N/A</v>
      </c>
      <c r="Z596" s="10" t="e">
        <f>VLOOKUP(AJ588,'FRC Site Data'!$B$3:$L$42,11,FALSE)</f>
        <v>#N/A</v>
      </c>
      <c r="AA596" s="10" t="e">
        <f>VLOOKUP(AJ588,'CIR Team Info'!$C$5:$E$44,4,FALSE)</f>
        <v>#N/A</v>
      </c>
      <c r="AB596" s="161" t="b">
        <f>ISNUMBER(VLOOKUP(AJ588,Match!$T$5:$T$10,1,FALSE))</f>
        <v>0</v>
      </c>
      <c r="AC596" s="161" t="b">
        <f>IF(AB596=TRUE,(VLOOKUP($AJ588,Match!$T$5:$U$10,2,FALSE)))</f>
        <v>0</v>
      </c>
      <c r="AD596" s="8">
        <v>3</v>
      </c>
      <c r="AE596" s="8">
        <v>2</v>
      </c>
      <c r="AF596" s="8">
        <v>2</v>
      </c>
      <c r="AG596" s="8">
        <v>1</v>
      </c>
      <c r="AH596" s="8" t="str">
        <f t="shared" si="170"/>
        <v/>
      </c>
    </row>
    <row r="597" spans="1:34" x14ac:dyDescent="0.25">
      <c r="A597" s="29">
        <f t="shared" si="177"/>
        <v>0</v>
      </c>
      <c r="B597" s="29">
        <f t="shared" si="171"/>
        <v>0</v>
      </c>
      <c r="C597" s="29">
        <f t="shared" si="172"/>
        <v>0</v>
      </c>
      <c r="D597" s="29">
        <f t="shared" si="173"/>
        <v>0</v>
      </c>
      <c r="E597" s="29">
        <f t="shared" si="178"/>
        <v>0</v>
      </c>
      <c r="F597" s="29">
        <f t="shared" si="179"/>
        <v>0</v>
      </c>
      <c r="G597" s="29" t="str">
        <f t="shared" si="180"/>
        <v>offensive</v>
      </c>
      <c r="H597" s="16">
        <f t="shared" si="184"/>
        <v>0</v>
      </c>
      <c r="I597" s="16">
        <f t="shared" si="185"/>
        <v>0</v>
      </c>
      <c r="J597" s="16">
        <f t="shared" si="174"/>
        <v>0</v>
      </c>
      <c r="K597" s="16">
        <f t="shared" si="181"/>
        <v>0</v>
      </c>
      <c r="L597" s="67">
        <f t="shared" si="182"/>
        <v>0</v>
      </c>
      <c r="M597" s="4">
        <f t="shared" si="175"/>
        <v>0</v>
      </c>
      <c r="N597" s="4">
        <f t="shared" si="176"/>
        <v>0</v>
      </c>
      <c r="O597" s="4">
        <f t="shared" si="183"/>
        <v>0</v>
      </c>
      <c r="P597" s="4" t="e">
        <f>VLOOKUP(AJ589,'CIR Team Info'!$C$5:$E$44,2,FALSE)</f>
        <v>#N/A</v>
      </c>
      <c r="Q597" s="4" t="e">
        <f>VLOOKUP(AJ589,'CIR Team Info'!$C$5:$E$44,3,FALSE)</f>
        <v>#N/A</v>
      </c>
      <c r="R597" s="10" t="e">
        <f>VLOOKUP(AJ589,'FRC Site Data'!$B$3:$L$42,2,FALSE)</f>
        <v>#N/A</v>
      </c>
      <c r="S597" s="10" t="e">
        <f>VLOOKUP(AJ589,'FRC Site Data'!$B$3:$L$42,3,FALSE)</f>
        <v>#N/A</v>
      </c>
      <c r="T597" s="10" t="e">
        <f>VLOOKUP(AJ589,'FRC Site Data'!$B$3:$L$42,4,FALSE)</f>
        <v>#N/A</v>
      </c>
      <c r="U597" s="10" t="e">
        <f>VLOOKUP(AJ589,'FRC Site Data'!$B$3:$L$42,5,FALSE)</f>
        <v>#N/A</v>
      </c>
      <c r="V597" s="10" t="e">
        <f>VLOOKUP(AJ589,'FRC Site Data'!$B$3:$L$42,6,FALSE)</f>
        <v>#N/A</v>
      </c>
      <c r="W597" s="10" t="e">
        <f>VLOOKUP(AJ589,'FRC Site Data'!$B$3:$L$42,8,FALSE)</f>
        <v>#N/A</v>
      </c>
      <c r="X597" s="10" t="e">
        <f>VLOOKUP(AJ589,'FRC Site Data'!$B$3:$L$42,9,FALSE)</f>
        <v>#N/A</v>
      </c>
      <c r="Y597" s="10" t="e">
        <f>VLOOKUP(AJ589,'FRC Site Data'!$B$3:$L$42,10,FALSE)</f>
        <v>#N/A</v>
      </c>
      <c r="Z597" s="10" t="e">
        <f>VLOOKUP(AJ589,'FRC Site Data'!$B$3:$L$42,11,FALSE)</f>
        <v>#N/A</v>
      </c>
      <c r="AA597" s="10" t="e">
        <f>VLOOKUP(AJ589,'CIR Team Info'!$C$5:$E$44,4,FALSE)</f>
        <v>#N/A</v>
      </c>
      <c r="AB597" s="161" t="b">
        <f>ISNUMBER(VLOOKUP(AJ589,Match!$T$5:$T$10,1,FALSE))</f>
        <v>0</v>
      </c>
      <c r="AC597" s="161" t="b">
        <f>IF(AB597=TRUE,(VLOOKUP($AJ589,Match!$T$5:$U$10,2,FALSE)))</f>
        <v>0</v>
      </c>
      <c r="AD597" s="8">
        <v>3</v>
      </c>
      <c r="AE597" s="8">
        <v>2</v>
      </c>
      <c r="AF597" s="8">
        <v>2</v>
      </c>
      <c r="AG597" s="8">
        <v>1</v>
      </c>
      <c r="AH597" s="8" t="str">
        <f t="shared" si="170"/>
        <v/>
      </c>
    </row>
    <row r="598" spans="1:34" x14ac:dyDescent="0.25">
      <c r="A598" s="29">
        <f t="shared" si="177"/>
        <v>0</v>
      </c>
      <c r="B598" s="29">
        <f t="shared" si="171"/>
        <v>0</v>
      </c>
      <c r="C598" s="29">
        <f t="shared" si="172"/>
        <v>0</v>
      </c>
      <c r="D598" s="29">
        <f t="shared" si="173"/>
        <v>0</v>
      </c>
      <c r="E598" s="29">
        <f t="shared" si="178"/>
        <v>0</v>
      </c>
      <c r="F598" s="29">
        <f t="shared" si="179"/>
        <v>0</v>
      </c>
      <c r="G598" s="29" t="str">
        <f t="shared" si="180"/>
        <v>offensive</v>
      </c>
      <c r="H598" s="16">
        <f t="shared" si="184"/>
        <v>0</v>
      </c>
      <c r="I598" s="16">
        <f t="shared" si="185"/>
        <v>0</v>
      </c>
      <c r="J598" s="16">
        <f t="shared" si="174"/>
        <v>0</v>
      </c>
      <c r="K598" s="16">
        <f t="shared" si="181"/>
        <v>0</v>
      </c>
      <c r="L598" s="67">
        <f t="shared" si="182"/>
        <v>0</v>
      </c>
      <c r="M598" s="4">
        <f t="shared" si="175"/>
        <v>0</v>
      </c>
      <c r="N598" s="4">
        <f t="shared" si="176"/>
        <v>0</v>
      </c>
      <c r="O598" s="4">
        <f t="shared" si="183"/>
        <v>0</v>
      </c>
      <c r="P598" s="4" t="e">
        <f>VLOOKUP(AJ590,'CIR Team Info'!$C$5:$E$44,2,FALSE)</f>
        <v>#N/A</v>
      </c>
      <c r="Q598" s="4" t="e">
        <f>VLOOKUP(AJ590,'CIR Team Info'!$C$5:$E$44,3,FALSE)</f>
        <v>#N/A</v>
      </c>
      <c r="R598" s="10" t="e">
        <f>VLOOKUP(AJ590,'FRC Site Data'!$B$3:$L$42,2,FALSE)</f>
        <v>#N/A</v>
      </c>
      <c r="S598" s="10" t="e">
        <f>VLOOKUP(AJ590,'FRC Site Data'!$B$3:$L$42,3,FALSE)</f>
        <v>#N/A</v>
      </c>
      <c r="T598" s="10" t="e">
        <f>VLOOKUP(AJ590,'FRC Site Data'!$B$3:$L$42,4,FALSE)</f>
        <v>#N/A</v>
      </c>
      <c r="U598" s="10" t="e">
        <f>VLOOKUP(AJ590,'FRC Site Data'!$B$3:$L$42,5,FALSE)</f>
        <v>#N/A</v>
      </c>
      <c r="V598" s="10" t="e">
        <f>VLOOKUP(AJ590,'FRC Site Data'!$B$3:$L$42,6,FALSE)</f>
        <v>#N/A</v>
      </c>
      <c r="W598" s="10" t="e">
        <f>VLOOKUP(AJ590,'FRC Site Data'!$B$3:$L$42,8,FALSE)</f>
        <v>#N/A</v>
      </c>
      <c r="X598" s="10" t="e">
        <f>VLOOKUP(AJ590,'FRC Site Data'!$B$3:$L$42,9,FALSE)</f>
        <v>#N/A</v>
      </c>
      <c r="Y598" s="10" t="e">
        <f>VLOOKUP(AJ590,'FRC Site Data'!$B$3:$L$42,10,FALSE)</f>
        <v>#N/A</v>
      </c>
      <c r="Z598" s="10" t="e">
        <f>VLOOKUP(AJ590,'FRC Site Data'!$B$3:$L$42,11,FALSE)</f>
        <v>#N/A</v>
      </c>
      <c r="AA598" s="10" t="e">
        <f>VLOOKUP(AJ590,'CIR Team Info'!$C$5:$E$44,4,FALSE)</f>
        <v>#N/A</v>
      </c>
      <c r="AB598" s="161" t="b">
        <f>ISNUMBER(VLOOKUP(AJ590,Match!$T$5:$T$10,1,FALSE))</f>
        <v>0</v>
      </c>
      <c r="AC598" s="161" t="b">
        <f>IF(AB598=TRUE,(VLOOKUP($AJ590,Match!$T$5:$U$10,2,FALSE)))</f>
        <v>0</v>
      </c>
      <c r="AD598" s="8">
        <v>3</v>
      </c>
      <c r="AE598" s="8">
        <v>2</v>
      </c>
      <c r="AF598" s="8">
        <v>2</v>
      </c>
      <c r="AG598" s="8">
        <v>1</v>
      </c>
      <c r="AH598" s="8" t="str">
        <f t="shared" si="170"/>
        <v/>
      </c>
    </row>
    <row r="599" spans="1:34" x14ac:dyDescent="0.25">
      <c r="A599" s="29">
        <f t="shared" si="177"/>
        <v>0</v>
      </c>
      <c r="B599" s="29">
        <f t="shared" si="171"/>
        <v>0</v>
      </c>
      <c r="C599" s="29">
        <f t="shared" si="172"/>
        <v>0</v>
      </c>
      <c r="D599" s="29">
        <f t="shared" si="173"/>
        <v>0</v>
      </c>
      <c r="E599" s="29">
        <f t="shared" si="178"/>
        <v>0</v>
      </c>
      <c r="F599" s="29">
        <f t="shared" si="179"/>
        <v>0</v>
      </c>
      <c r="G599" s="29" t="str">
        <f t="shared" si="180"/>
        <v>offensive</v>
      </c>
      <c r="H599" s="16">
        <f t="shared" si="184"/>
        <v>0</v>
      </c>
      <c r="I599" s="16">
        <f t="shared" si="185"/>
        <v>0</v>
      </c>
      <c r="J599" s="16">
        <f t="shared" si="174"/>
        <v>0</v>
      </c>
      <c r="K599" s="16">
        <f t="shared" si="181"/>
        <v>0</v>
      </c>
      <c r="L599" s="67">
        <f t="shared" si="182"/>
        <v>0</v>
      </c>
      <c r="M599" s="4">
        <f t="shared" si="175"/>
        <v>0</v>
      </c>
      <c r="N599" s="4">
        <f t="shared" si="176"/>
        <v>0</v>
      </c>
      <c r="O599" s="4">
        <f t="shared" si="183"/>
        <v>0</v>
      </c>
      <c r="P599" s="4" t="e">
        <f>VLOOKUP(AJ591,'CIR Team Info'!$C$5:$E$44,2,FALSE)</f>
        <v>#N/A</v>
      </c>
      <c r="Q599" s="4" t="e">
        <f>VLOOKUP(AJ591,'CIR Team Info'!$C$5:$E$44,3,FALSE)</f>
        <v>#N/A</v>
      </c>
      <c r="R599" s="10" t="e">
        <f>VLOOKUP(AJ591,'FRC Site Data'!$B$3:$L$42,2,FALSE)</f>
        <v>#N/A</v>
      </c>
      <c r="S599" s="10" t="e">
        <f>VLOOKUP(AJ591,'FRC Site Data'!$B$3:$L$42,3,FALSE)</f>
        <v>#N/A</v>
      </c>
      <c r="T599" s="10" t="e">
        <f>VLOOKUP(AJ591,'FRC Site Data'!$B$3:$L$42,4,FALSE)</f>
        <v>#N/A</v>
      </c>
      <c r="U599" s="10" t="e">
        <f>VLOOKUP(AJ591,'FRC Site Data'!$B$3:$L$42,5,FALSE)</f>
        <v>#N/A</v>
      </c>
      <c r="V599" s="10" t="e">
        <f>VLOOKUP(AJ591,'FRC Site Data'!$B$3:$L$42,6,FALSE)</f>
        <v>#N/A</v>
      </c>
      <c r="W599" s="10" t="e">
        <f>VLOOKUP(AJ591,'FRC Site Data'!$B$3:$L$42,8,FALSE)</f>
        <v>#N/A</v>
      </c>
      <c r="X599" s="10" t="e">
        <f>VLOOKUP(AJ591,'FRC Site Data'!$B$3:$L$42,9,FALSE)</f>
        <v>#N/A</v>
      </c>
      <c r="Y599" s="10" t="e">
        <f>VLOOKUP(AJ591,'FRC Site Data'!$B$3:$L$42,10,FALSE)</f>
        <v>#N/A</v>
      </c>
      <c r="Z599" s="10" t="e">
        <f>VLOOKUP(AJ591,'FRC Site Data'!$B$3:$L$42,11,FALSE)</f>
        <v>#N/A</v>
      </c>
      <c r="AA599" s="10" t="e">
        <f>VLOOKUP(AJ591,'CIR Team Info'!$C$5:$E$44,4,FALSE)</f>
        <v>#N/A</v>
      </c>
      <c r="AB599" s="161" t="b">
        <f>ISNUMBER(VLOOKUP(AJ591,Match!$T$5:$T$10,1,FALSE))</f>
        <v>0</v>
      </c>
      <c r="AC599" s="161" t="b">
        <f>IF(AB599=TRUE,(VLOOKUP($AJ591,Match!$T$5:$U$10,2,FALSE)))</f>
        <v>0</v>
      </c>
      <c r="AD599" s="8">
        <v>3</v>
      </c>
      <c r="AE599" s="8">
        <v>2</v>
      </c>
      <c r="AF599" s="8">
        <v>2</v>
      </c>
      <c r="AG599" s="8">
        <v>1</v>
      </c>
      <c r="AH599" s="8" t="str">
        <f t="shared" si="170"/>
        <v/>
      </c>
    </row>
    <row r="600" spans="1:34" x14ac:dyDescent="0.25">
      <c r="A600" s="29">
        <f t="shared" si="177"/>
        <v>0</v>
      </c>
      <c r="B600" s="29">
        <f t="shared" si="171"/>
        <v>0</v>
      </c>
      <c r="C600" s="29">
        <f t="shared" si="172"/>
        <v>0</v>
      </c>
      <c r="D600" s="29">
        <f t="shared" si="173"/>
        <v>0</v>
      </c>
      <c r="E600" s="29">
        <f t="shared" si="178"/>
        <v>0</v>
      </c>
      <c r="F600" s="29">
        <f t="shared" si="179"/>
        <v>0</v>
      </c>
      <c r="G600" s="29" t="str">
        <f t="shared" si="180"/>
        <v>offensive</v>
      </c>
      <c r="H600" s="16">
        <f t="shared" si="184"/>
        <v>0</v>
      </c>
      <c r="I600" s="16">
        <f t="shared" si="185"/>
        <v>0</v>
      </c>
      <c r="J600" s="16">
        <f t="shared" si="174"/>
        <v>0</v>
      </c>
      <c r="K600" s="16">
        <f t="shared" si="181"/>
        <v>0</v>
      </c>
      <c r="L600" s="67">
        <f t="shared" si="182"/>
        <v>0</v>
      </c>
      <c r="M600" s="4">
        <f t="shared" si="175"/>
        <v>0</v>
      </c>
      <c r="N600" s="4">
        <f t="shared" si="176"/>
        <v>0</v>
      </c>
      <c r="O600" s="4">
        <f t="shared" si="183"/>
        <v>0</v>
      </c>
      <c r="P600" s="4" t="e">
        <f>VLOOKUP(AJ592,'CIR Team Info'!$C$5:$E$44,2,FALSE)</f>
        <v>#N/A</v>
      </c>
      <c r="Q600" s="4" t="e">
        <f>VLOOKUP(AJ592,'CIR Team Info'!$C$5:$E$44,3,FALSE)</f>
        <v>#N/A</v>
      </c>
      <c r="R600" s="10" t="e">
        <f>VLOOKUP(AJ592,'FRC Site Data'!$B$3:$L$42,2,FALSE)</f>
        <v>#N/A</v>
      </c>
      <c r="S600" s="10" t="e">
        <f>VLOOKUP(AJ592,'FRC Site Data'!$B$3:$L$42,3,FALSE)</f>
        <v>#N/A</v>
      </c>
      <c r="T600" s="10" t="e">
        <f>VLOOKUP(AJ592,'FRC Site Data'!$B$3:$L$42,4,FALSE)</f>
        <v>#N/A</v>
      </c>
      <c r="U600" s="10" t="e">
        <f>VLOOKUP(AJ592,'FRC Site Data'!$B$3:$L$42,5,FALSE)</f>
        <v>#N/A</v>
      </c>
      <c r="V600" s="10" t="e">
        <f>VLOOKUP(AJ592,'FRC Site Data'!$B$3:$L$42,6,FALSE)</f>
        <v>#N/A</v>
      </c>
      <c r="W600" s="10" t="e">
        <f>VLOOKUP(AJ592,'FRC Site Data'!$B$3:$L$42,8,FALSE)</f>
        <v>#N/A</v>
      </c>
      <c r="X600" s="10" t="e">
        <f>VLOOKUP(AJ592,'FRC Site Data'!$B$3:$L$42,9,FALSE)</f>
        <v>#N/A</v>
      </c>
      <c r="Y600" s="10" t="e">
        <f>VLOOKUP(AJ592,'FRC Site Data'!$B$3:$L$42,10,FALSE)</f>
        <v>#N/A</v>
      </c>
      <c r="Z600" s="10" t="e">
        <f>VLOOKUP(AJ592,'FRC Site Data'!$B$3:$L$42,11,FALSE)</f>
        <v>#N/A</v>
      </c>
      <c r="AA600" s="10" t="e">
        <f>VLOOKUP(AJ592,'CIR Team Info'!$C$5:$E$44,4,FALSE)</f>
        <v>#N/A</v>
      </c>
      <c r="AB600" s="161" t="b">
        <f>ISNUMBER(VLOOKUP(AJ592,Match!$T$5:$T$10,1,FALSE))</f>
        <v>0</v>
      </c>
      <c r="AC600" s="161" t="b">
        <f>IF(AB600=TRUE,(VLOOKUP($AJ592,Match!$T$5:$U$10,2,FALSE)))</f>
        <v>0</v>
      </c>
      <c r="AD600" s="8">
        <v>3</v>
      </c>
      <c r="AE600" s="8">
        <v>2</v>
      </c>
      <c r="AF600" s="8">
        <v>2</v>
      </c>
      <c r="AG600" s="8">
        <v>1</v>
      </c>
      <c r="AH600" s="8" t="str">
        <f t="shared" si="170"/>
        <v/>
      </c>
    </row>
    <row r="601" spans="1:34" x14ac:dyDescent="0.25">
      <c r="A601" s="29">
        <f t="shared" si="177"/>
        <v>0</v>
      </c>
      <c r="B601" s="29">
        <f t="shared" si="171"/>
        <v>0</v>
      </c>
      <c r="C601" s="29">
        <f t="shared" si="172"/>
        <v>0</v>
      </c>
      <c r="D601" s="29">
        <f t="shared" si="173"/>
        <v>0</v>
      </c>
      <c r="E601" s="29">
        <f t="shared" si="178"/>
        <v>0</v>
      </c>
      <c r="F601" s="29">
        <f t="shared" si="179"/>
        <v>0</v>
      </c>
      <c r="G601" s="29" t="str">
        <f t="shared" si="180"/>
        <v>offensive</v>
      </c>
      <c r="H601" s="16">
        <f t="shared" si="184"/>
        <v>0</v>
      </c>
      <c r="I601" s="16">
        <f t="shared" si="185"/>
        <v>0</v>
      </c>
      <c r="J601" s="16">
        <f t="shared" si="174"/>
        <v>0</v>
      </c>
      <c r="K601" s="16">
        <f t="shared" si="181"/>
        <v>0</v>
      </c>
      <c r="L601" s="67">
        <f t="shared" si="182"/>
        <v>0</v>
      </c>
      <c r="M601" s="4">
        <f t="shared" si="175"/>
        <v>0</v>
      </c>
      <c r="N601" s="4">
        <f t="shared" si="176"/>
        <v>0</v>
      </c>
      <c r="O601" s="4">
        <f t="shared" si="183"/>
        <v>0</v>
      </c>
      <c r="P601" s="4" t="e">
        <f>VLOOKUP(AJ593,'CIR Team Info'!$C$5:$E$44,2,FALSE)</f>
        <v>#N/A</v>
      </c>
      <c r="Q601" s="4" t="e">
        <f>VLOOKUP(AJ593,'CIR Team Info'!$C$5:$E$44,3,FALSE)</f>
        <v>#N/A</v>
      </c>
      <c r="R601" s="10" t="e">
        <f>VLOOKUP(AJ593,'FRC Site Data'!$B$3:$L$42,2,FALSE)</f>
        <v>#N/A</v>
      </c>
      <c r="S601" s="10" t="e">
        <f>VLOOKUP(AJ593,'FRC Site Data'!$B$3:$L$42,3,FALSE)</f>
        <v>#N/A</v>
      </c>
      <c r="T601" s="10" t="e">
        <f>VLOOKUP(AJ593,'FRC Site Data'!$B$3:$L$42,4,FALSE)</f>
        <v>#N/A</v>
      </c>
      <c r="U601" s="10" t="e">
        <f>VLOOKUP(AJ593,'FRC Site Data'!$B$3:$L$42,5,FALSE)</f>
        <v>#N/A</v>
      </c>
      <c r="V601" s="10" t="e">
        <f>VLOOKUP(AJ593,'FRC Site Data'!$B$3:$L$42,6,FALSE)</f>
        <v>#N/A</v>
      </c>
      <c r="W601" s="10" t="e">
        <f>VLOOKUP(AJ593,'FRC Site Data'!$B$3:$L$42,8,FALSE)</f>
        <v>#N/A</v>
      </c>
      <c r="X601" s="10" t="e">
        <f>VLOOKUP(AJ593,'FRC Site Data'!$B$3:$L$42,9,FALSE)</f>
        <v>#N/A</v>
      </c>
      <c r="Y601" s="10" t="e">
        <f>VLOOKUP(AJ593,'FRC Site Data'!$B$3:$L$42,10,FALSE)</f>
        <v>#N/A</v>
      </c>
      <c r="Z601" s="10" t="e">
        <f>VLOOKUP(AJ593,'FRC Site Data'!$B$3:$L$42,11,FALSE)</f>
        <v>#N/A</v>
      </c>
      <c r="AA601" s="10" t="e">
        <f>VLOOKUP(AJ593,'CIR Team Info'!$C$5:$E$44,4,FALSE)</f>
        <v>#N/A</v>
      </c>
      <c r="AB601" s="161" t="b">
        <f>ISNUMBER(VLOOKUP(AJ593,Match!$T$5:$T$10,1,FALSE))</f>
        <v>0</v>
      </c>
      <c r="AC601" s="161" t="b">
        <f>IF(AB601=TRUE,(VLOOKUP($AJ593,Match!$T$5:$U$10,2,FALSE)))</f>
        <v>0</v>
      </c>
      <c r="AD601" s="8">
        <v>3</v>
      </c>
      <c r="AE601" s="8">
        <v>2</v>
      </c>
      <c r="AF601" s="8">
        <v>2</v>
      </c>
      <c r="AG601" s="8">
        <v>1</v>
      </c>
      <c r="AH601" s="8" t="str">
        <f t="shared" si="170"/>
        <v/>
      </c>
    </row>
    <row r="602" spans="1:34" x14ac:dyDescent="0.25">
      <c r="A602" s="29">
        <f t="shared" si="177"/>
        <v>0</v>
      </c>
      <c r="B602" s="29">
        <f t="shared" si="171"/>
        <v>0</v>
      </c>
      <c r="C602" s="29">
        <f t="shared" si="172"/>
        <v>0</v>
      </c>
      <c r="D602" s="29">
        <f t="shared" si="173"/>
        <v>0</v>
      </c>
      <c r="E602" s="29">
        <f t="shared" si="178"/>
        <v>0</v>
      </c>
      <c r="F602" s="29">
        <f t="shared" si="179"/>
        <v>0</v>
      </c>
      <c r="G602" s="29" t="str">
        <f t="shared" si="180"/>
        <v>offensive</v>
      </c>
      <c r="H602" s="16">
        <f t="shared" si="184"/>
        <v>0</v>
      </c>
      <c r="I602" s="16">
        <f t="shared" si="185"/>
        <v>0</v>
      </c>
      <c r="J602" s="16">
        <f t="shared" si="174"/>
        <v>0</v>
      </c>
      <c r="K602" s="16">
        <f t="shared" si="181"/>
        <v>0</v>
      </c>
      <c r="L602" s="67">
        <f t="shared" si="182"/>
        <v>0</v>
      </c>
      <c r="M602" s="4">
        <f t="shared" si="175"/>
        <v>0</v>
      </c>
      <c r="N602" s="4">
        <f t="shared" si="176"/>
        <v>0</v>
      </c>
      <c r="O602" s="4">
        <f t="shared" si="183"/>
        <v>0</v>
      </c>
      <c r="P602" s="4" t="e">
        <f>VLOOKUP(AJ594,'CIR Team Info'!$C$5:$E$44,2,FALSE)</f>
        <v>#N/A</v>
      </c>
      <c r="Q602" s="4" t="e">
        <f>VLOOKUP(AJ594,'CIR Team Info'!$C$5:$E$44,3,FALSE)</f>
        <v>#N/A</v>
      </c>
      <c r="R602" s="10" t="e">
        <f>VLOOKUP(AJ594,'FRC Site Data'!$B$3:$L$42,2,FALSE)</f>
        <v>#N/A</v>
      </c>
      <c r="S602" s="10" t="e">
        <f>VLOOKUP(AJ594,'FRC Site Data'!$B$3:$L$42,3,FALSE)</f>
        <v>#N/A</v>
      </c>
      <c r="T602" s="10" t="e">
        <f>VLOOKUP(AJ594,'FRC Site Data'!$B$3:$L$42,4,FALSE)</f>
        <v>#N/A</v>
      </c>
      <c r="U602" s="10" t="e">
        <f>VLOOKUP(AJ594,'FRC Site Data'!$B$3:$L$42,5,FALSE)</f>
        <v>#N/A</v>
      </c>
      <c r="V602" s="10" t="e">
        <f>VLOOKUP(AJ594,'FRC Site Data'!$B$3:$L$42,6,FALSE)</f>
        <v>#N/A</v>
      </c>
      <c r="W602" s="10" t="e">
        <f>VLOOKUP(AJ594,'FRC Site Data'!$B$3:$L$42,8,FALSE)</f>
        <v>#N/A</v>
      </c>
      <c r="X602" s="10" t="e">
        <f>VLOOKUP(AJ594,'FRC Site Data'!$B$3:$L$42,9,FALSE)</f>
        <v>#N/A</v>
      </c>
      <c r="Y602" s="10" t="e">
        <f>VLOOKUP(AJ594,'FRC Site Data'!$B$3:$L$42,10,FALSE)</f>
        <v>#N/A</v>
      </c>
      <c r="Z602" s="10" t="e">
        <f>VLOOKUP(AJ594,'FRC Site Data'!$B$3:$L$42,11,FALSE)</f>
        <v>#N/A</v>
      </c>
      <c r="AA602" s="10" t="e">
        <f>VLOOKUP(AJ594,'CIR Team Info'!$C$5:$E$44,4,FALSE)</f>
        <v>#N/A</v>
      </c>
      <c r="AB602" s="161" t="b">
        <f>ISNUMBER(VLOOKUP(AJ594,Match!$T$5:$T$10,1,FALSE))</f>
        <v>0</v>
      </c>
      <c r="AC602" s="161" t="b">
        <f>IF(AB602=TRUE,(VLOOKUP($AJ594,Match!$T$5:$U$10,2,FALSE)))</f>
        <v>0</v>
      </c>
      <c r="AD602" s="8">
        <v>3</v>
      </c>
      <c r="AE602" s="8">
        <v>2</v>
      </c>
      <c r="AF602" s="8">
        <v>2</v>
      </c>
      <c r="AG602" s="8">
        <v>1</v>
      </c>
      <c r="AH602" s="8" t="str">
        <f t="shared" si="170"/>
        <v/>
      </c>
    </row>
    <row r="603" spans="1:34" x14ac:dyDescent="0.25">
      <c r="A603" s="29">
        <f t="shared" si="177"/>
        <v>0</v>
      </c>
      <c r="B603" s="29">
        <f t="shared" si="171"/>
        <v>0</v>
      </c>
      <c r="C603" s="29">
        <f t="shared" si="172"/>
        <v>0</v>
      </c>
      <c r="D603" s="29">
        <f t="shared" si="173"/>
        <v>0</v>
      </c>
      <c r="E603" s="29">
        <f t="shared" si="178"/>
        <v>0</v>
      </c>
      <c r="F603" s="29">
        <f t="shared" si="179"/>
        <v>0</v>
      </c>
      <c r="G603" s="29" t="str">
        <f t="shared" si="180"/>
        <v>offensive</v>
      </c>
      <c r="H603" s="16">
        <f t="shared" si="184"/>
        <v>0</v>
      </c>
      <c r="I603" s="16">
        <f t="shared" si="185"/>
        <v>0</v>
      </c>
      <c r="J603" s="16">
        <f t="shared" si="174"/>
        <v>0</v>
      </c>
      <c r="K603" s="16">
        <f t="shared" si="181"/>
        <v>0</v>
      </c>
      <c r="L603" s="67">
        <f t="shared" si="182"/>
        <v>0</v>
      </c>
      <c r="M603" s="4">
        <f t="shared" si="175"/>
        <v>0</v>
      </c>
      <c r="N603" s="4">
        <f t="shared" si="176"/>
        <v>0</v>
      </c>
      <c r="O603" s="4">
        <f t="shared" si="183"/>
        <v>0</v>
      </c>
      <c r="P603" s="4" t="e">
        <f>VLOOKUP(AJ595,'CIR Team Info'!$C$5:$E$44,2,FALSE)</f>
        <v>#N/A</v>
      </c>
      <c r="Q603" s="4" t="e">
        <f>VLOOKUP(AJ595,'CIR Team Info'!$C$5:$E$44,3,FALSE)</f>
        <v>#N/A</v>
      </c>
      <c r="R603" s="10" t="e">
        <f>VLOOKUP(AJ595,'FRC Site Data'!$B$3:$L$42,2,FALSE)</f>
        <v>#N/A</v>
      </c>
      <c r="S603" s="10" t="e">
        <f>VLOOKUP(AJ595,'FRC Site Data'!$B$3:$L$42,3,FALSE)</f>
        <v>#N/A</v>
      </c>
      <c r="T603" s="10" t="e">
        <f>VLOOKUP(AJ595,'FRC Site Data'!$B$3:$L$42,4,FALSE)</f>
        <v>#N/A</v>
      </c>
      <c r="U603" s="10" t="e">
        <f>VLOOKUP(AJ595,'FRC Site Data'!$B$3:$L$42,5,FALSE)</f>
        <v>#N/A</v>
      </c>
      <c r="V603" s="10" t="e">
        <f>VLOOKUP(AJ595,'FRC Site Data'!$B$3:$L$42,6,FALSE)</f>
        <v>#N/A</v>
      </c>
      <c r="W603" s="10" t="e">
        <f>VLOOKUP(AJ595,'FRC Site Data'!$B$3:$L$42,8,FALSE)</f>
        <v>#N/A</v>
      </c>
      <c r="X603" s="10" t="e">
        <f>VLOOKUP(AJ595,'FRC Site Data'!$B$3:$L$42,9,FALSE)</f>
        <v>#N/A</v>
      </c>
      <c r="Y603" s="10" t="e">
        <f>VLOOKUP(AJ595,'FRC Site Data'!$B$3:$L$42,10,FALSE)</f>
        <v>#N/A</v>
      </c>
      <c r="Z603" s="10" t="e">
        <f>VLOOKUP(AJ595,'FRC Site Data'!$B$3:$L$42,11,FALSE)</f>
        <v>#N/A</v>
      </c>
      <c r="AA603" s="10" t="e">
        <f>VLOOKUP(AJ595,'CIR Team Info'!$C$5:$E$44,4,FALSE)</f>
        <v>#N/A</v>
      </c>
      <c r="AB603" s="161" t="b">
        <f>ISNUMBER(VLOOKUP(AJ595,Match!$T$5:$T$10,1,FALSE))</f>
        <v>0</v>
      </c>
      <c r="AC603" s="161" t="b">
        <f>IF(AB603=TRUE,(VLOOKUP($AJ595,Match!$T$5:$U$10,2,FALSE)))</f>
        <v>0</v>
      </c>
      <c r="AD603" s="8">
        <v>3</v>
      </c>
      <c r="AE603" s="8">
        <v>2</v>
      </c>
      <c r="AF603" s="8">
        <v>2</v>
      </c>
      <c r="AG603" s="8">
        <v>1</v>
      </c>
      <c r="AH603" s="8" t="str">
        <f t="shared" si="170"/>
        <v/>
      </c>
    </row>
    <row r="604" spans="1:34" x14ac:dyDescent="0.25">
      <c r="A604" s="29">
        <f t="shared" si="177"/>
        <v>0</v>
      </c>
      <c r="B604" s="29">
        <f t="shared" si="171"/>
        <v>0</v>
      </c>
      <c r="C604" s="29">
        <f t="shared" si="172"/>
        <v>0</v>
      </c>
      <c r="D604" s="29">
        <f t="shared" si="173"/>
        <v>0</v>
      </c>
      <c r="E604" s="29">
        <f t="shared" si="178"/>
        <v>0</v>
      </c>
      <c r="F604" s="29">
        <f t="shared" si="179"/>
        <v>0</v>
      </c>
      <c r="G604" s="29" t="str">
        <f t="shared" si="180"/>
        <v>offensive</v>
      </c>
      <c r="H604" s="16">
        <f t="shared" si="184"/>
        <v>0</v>
      </c>
      <c r="I604" s="16">
        <f t="shared" si="185"/>
        <v>0</v>
      </c>
      <c r="J604" s="16">
        <f t="shared" si="174"/>
        <v>0</v>
      </c>
      <c r="K604" s="16">
        <f t="shared" si="181"/>
        <v>0</v>
      </c>
      <c r="L604" s="67">
        <f t="shared" si="182"/>
        <v>0</v>
      </c>
      <c r="M604" s="4">
        <f t="shared" si="175"/>
        <v>0</v>
      </c>
      <c r="N604" s="4">
        <f t="shared" si="176"/>
        <v>0</v>
      </c>
      <c r="O604" s="4">
        <f t="shared" si="183"/>
        <v>0</v>
      </c>
      <c r="P604" s="4" t="e">
        <f>VLOOKUP(AJ596,'CIR Team Info'!$C$5:$E$44,2,FALSE)</f>
        <v>#N/A</v>
      </c>
      <c r="Q604" s="4" t="e">
        <f>VLOOKUP(AJ596,'CIR Team Info'!$C$5:$E$44,3,FALSE)</f>
        <v>#N/A</v>
      </c>
      <c r="R604" s="10" t="e">
        <f>VLOOKUP(AJ596,'FRC Site Data'!$B$3:$L$42,2,FALSE)</f>
        <v>#N/A</v>
      </c>
      <c r="S604" s="10" t="e">
        <f>VLOOKUP(AJ596,'FRC Site Data'!$B$3:$L$42,3,FALSE)</f>
        <v>#N/A</v>
      </c>
      <c r="T604" s="10" t="e">
        <f>VLOOKUP(AJ596,'FRC Site Data'!$B$3:$L$42,4,FALSE)</f>
        <v>#N/A</v>
      </c>
      <c r="U604" s="10" t="e">
        <f>VLOOKUP(AJ596,'FRC Site Data'!$B$3:$L$42,5,FALSE)</f>
        <v>#N/A</v>
      </c>
      <c r="V604" s="10" t="e">
        <f>VLOOKUP(AJ596,'FRC Site Data'!$B$3:$L$42,6,FALSE)</f>
        <v>#N/A</v>
      </c>
      <c r="W604" s="10" t="e">
        <f>VLOOKUP(AJ596,'FRC Site Data'!$B$3:$L$42,8,FALSE)</f>
        <v>#N/A</v>
      </c>
      <c r="X604" s="10" t="e">
        <f>VLOOKUP(AJ596,'FRC Site Data'!$B$3:$L$42,9,FALSE)</f>
        <v>#N/A</v>
      </c>
      <c r="Y604" s="10" t="e">
        <f>VLOOKUP(AJ596,'FRC Site Data'!$B$3:$L$42,10,FALSE)</f>
        <v>#N/A</v>
      </c>
      <c r="Z604" s="10" t="e">
        <f>VLOOKUP(AJ596,'FRC Site Data'!$B$3:$L$42,11,FALSE)</f>
        <v>#N/A</v>
      </c>
      <c r="AA604" s="10" t="e">
        <f>VLOOKUP(AJ596,'CIR Team Info'!$C$5:$E$44,4,FALSE)</f>
        <v>#N/A</v>
      </c>
      <c r="AB604" s="161" t="b">
        <f>ISNUMBER(VLOOKUP(AJ596,Match!$T$5:$T$10,1,FALSE))</f>
        <v>0</v>
      </c>
      <c r="AC604" s="161" t="b">
        <f>IF(AB604=TRUE,(VLOOKUP($AJ596,Match!$T$5:$U$10,2,FALSE)))</f>
        <v>0</v>
      </c>
      <c r="AD604" s="8">
        <v>3</v>
      </c>
      <c r="AE604" s="8">
        <v>2</v>
      </c>
      <c r="AF604" s="8">
        <v>2</v>
      </c>
      <c r="AG604" s="8">
        <v>1</v>
      </c>
      <c r="AH604" s="8" t="str">
        <f t="shared" si="170"/>
        <v/>
      </c>
    </row>
    <row r="605" spans="1:34" x14ac:dyDescent="0.25">
      <c r="A605" s="29">
        <f t="shared" si="177"/>
        <v>0</v>
      </c>
      <c r="B605" s="29">
        <f t="shared" si="171"/>
        <v>0</v>
      </c>
      <c r="C605" s="29">
        <f t="shared" si="172"/>
        <v>0</v>
      </c>
      <c r="D605" s="29">
        <f t="shared" si="173"/>
        <v>0</v>
      </c>
      <c r="E605" s="29">
        <f t="shared" si="178"/>
        <v>0</v>
      </c>
      <c r="F605" s="29">
        <f t="shared" si="179"/>
        <v>0</v>
      </c>
      <c r="G605" s="29" t="str">
        <f t="shared" si="180"/>
        <v>offensive</v>
      </c>
      <c r="H605" s="16">
        <f t="shared" si="184"/>
        <v>0</v>
      </c>
      <c r="I605" s="16">
        <f t="shared" si="185"/>
        <v>0</v>
      </c>
      <c r="J605" s="16">
        <f t="shared" si="174"/>
        <v>0</v>
      </c>
      <c r="K605" s="16">
        <f t="shared" si="181"/>
        <v>0</v>
      </c>
      <c r="L605" s="67">
        <f t="shared" si="182"/>
        <v>0</v>
      </c>
      <c r="M605" s="4">
        <f t="shared" si="175"/>
        <v>0</v>
      </c>
      <c r="N605" s="4">
        <f t="shared" si="176"/>
        <v>0</v>
      </c>
      <c r="O605" s="4">
        <f t="shared" si="183"/>
        <v>0</v>
      </c>
      <c r="P605" s="4" t="e">
        <f>VLOOKUP(AJ597,'CIR Team Info'!$C$5:$E$44,2,FALSE)</f>
        <v>#N/A</v>
      </c>
      <c r="Q605" s="4" t="e">
        <f>VLOOKUP(AJ597,'CIR Team Info'!$C$5:$E$44,3,FALSE)</f>
        <v>#N/A</v>
      </c>
      <c r="R605" s="10" t="e">
        <f>VLOOKUP(AJ597,'FRC Site Data'!$B$3:$L$42,2,FALSE)</f>
        <v>#N/A</v>
      </c>
      <c r="S605" s="10" t="e">
        <f>VLOOKUP(AJ597,'FRC Site Data'!$B$3:$L$42,3,FALSE)</f>
        <v>#N/A</v>
      </c>
      <c r="T605" s="10" t="e">
        <f>VLOOKUP(AJ597,'FRC Site Data'!$B$3:$L$42,4,FALSE)</f>
        <v>#N/A</v>
      </c>
      <c r="U605" s="10" t="e">
        <f>VLOOKUP(AJ597,'FRC Site Data'!$B$3:$L$42,5,FALSE)</f>
        <v>#N/A</v>
      </c>
      <c r="V605" s="10" t="e">
        <f>VLOOKUP(AJ597,'FRC Site Data'!$B$3:$L$42,6,FALSE)</f>
        <v>#N/A</v>
      </c>
      <c r="W605" s="10" t="e">
        <f>VLOOKUP(AJ597,'FRC Site Data'!$B$3:$L$42,8,FALSE)</f>
        <v>#N/A</v>
      </c>
      <c r="X605" s="10" t="e">
        <f>VLOOKUP(AJ597,'FRC Site Data'!$B$3:$L$42,9,FALSE)</f>
        <v>#N/A</v>
      </c>
      <c r="Y605" s="10" t="e">
        <f>VLOOKUP(AJ597,'FRC Site Data'!$B$3:$L$42,10,FALSE)</f>
        <v>#N/A</v>
      </c>
      <c r="Z605" s="10" t="e">
        <f>VLOOKUP(AJ597,'FRC Site Data'!$B$3:$L$42,11,FALSE)</f>
        <v>#N/A</v>
      </c>
      <c r="AA605" s="10" t="e">
        <f>VLOOKUP(AJ597,'CIR Team Info'!$C$5:$E$44,4,FALSE)</f>
        <v>#N/A</v>
      </c>
      <c r="AB605" s="161" t="b">
        <f>ISNUMBER(VLOOKUP(AJ597,Match!$T$5:$T$10,1,FALSE))</f>
        <v>0</v>
      </c>
      <c r="AC605" s="161" t="b">
        <f>IF(AB605=TRUE,(VLOOKUP($AJ597,Match!$T$5:$U$10,2,FALSE)))</f>
        <v>0</v>
      </c>
      <c r="AD605" s="8">
        <v>3</v>
      </c>
      <c r="AE605" s="8">
        <v>2</v>
      </c>
      <c r="AF605" s="8">
        <v>2</v>
      </c>
      <c r="AG605" s="8">
        <v>1</v>
      </c>
      <c r="AH605" s="8" t="str">
        <f t="shared" si="170"/>
        <v/>
      </c>
    </row>
    <row r="606" spans="1:34" x14ac:dyDescent="0.25">
      <c r="A606" s="29">
        <f t="shared" si="177"/>
        <v>0</v>
      </c>
      <c r="B606" s="29">
        <f t="shared" si="171"/>
        <v>0</v>
      </c>
      <c r="C606" s="29">
        <f t="shared" si="172"/>
        <v>0</v>
      </c>
      <c r="D606" s="29">
        <f t="shared" si="173"/>
        <v>0</v>
      </c>
      <c r="E606" s="29">
        <f t="shared" si="178"/>
        <v>0</v>
      </c>
      <c r="F606" s="29">
        <f t="shared" si="179"/>
        <v>0</v>
      </c>
      <c r="G606" s="29" t="str">
        <f t="shared" si="180"/>
        <v>offensive</v>
      </c>
      <c r="H606" s="16">
        <f t="shared" si="184"/>
        <v>0</v>
      </c>
      <c r="I606" s="16">
        <f t="shared" si="185"/>
        <v>0</v>
      </c>
      <c r="J606" s="16">
        <f t="shared" si="174"/>
        <v>0</v>
      </c>
      <c r="K606" s="16">
        <f t="shared" si="181"/>
        <v>0</v>
      </c>
      <c r="L606" s="67">
        <f t="shared" si="182"/>
        <v>0</v>
      </c>
      <c r="M606" s="4">
        <f t="shared" si="175"/>
        <v>0</v>
      </c>
      <c r="N606" s="4">
        <f t="shared" si="176"/>
        <v>0</v>
      </c>
      <c r="O606" s="4">
        <f t="shared" si="183"/>
        <v>0</v>
      </c>
      <c r="P606" s="4" t="e">
        <f>VLOOKUP(AJ598,'CIR Team Info'!$C$5:$E$44,2,FALSE)</f>
        <v>#N/A</v>
      </c>
      <c r="Q606" s="4" t="e">
        <f>VLOOKUP(AJ598,'CIR Team Info'!$C$5:$E$44,3,FALSE)</f>
        <v>#N/A</v>
      </c>
      <c r="R606" s="10" t="e">
        <f>VLOOKUP(AJ598,'FRC Site Data'!$B$3:$L$42,2,FALSE)</f>
        <v>#N/A</v>
      </c>
      <c r="S606" s="10" t="e">
        <f>VLOOKUP(AJ598,'FRC Site Data'!$B$3:$L$42,3,FALSE)</f>
        <v>#N/A</v>
      </c>
      <c r="T606" s="10" t="e">
        <f>VLOOKUP(AJ598,'FRC Site Data'!$B$3:$L$42,4,FALSE)</f>
        <v>#N/A</v>
      </c>
      <c r="U606" s="10" t="e">
        <f>VLOOKUP(AJ598,'FRC Site Data'!$B$3:$L$42,5,FALSE)</f>
        <v>#N/A</v>
      </c>
      <c r="V606" s="10" t="e">
        <f>VLOOKUP(AJ598,'FRC Site Data'!$B$3:$L$42,6,FALSE)</f>
        <v>#N/A</v>
      </c>
      <c r="W606" s="10" t="e">
        <f>VLOOKUP(AJ598,'FRC Site Data'!$B$3:$L$42,8,FALSE)</f>
        <v>#N/A</v>
      </c>
      <c r="X606" s="10" t="e">
        <f>VLOOKUP(AJ598,'FRC Site Data'!$B$3:$L$42,9,FALSE)</f>
        <v>#N/A</v>
      </c>
      <c r="Y606" s="10" t="e">
        <f>VLOOKUP(AJ598,'FRC Site Data'!$B$3:$L$42,10,FALSE)</f>
        <v>#N/A</v>
      </c>
      <c r="Z606" s="10" t="e">
        <f>VLOOKUP(AJ598,'FRC Site Data'!$B$3:$L$42,11,FALSE)</f>
        <v>#N/A</v>
      </c>
      <c r="AA606" s="10" t="e">
        <f>VLOOKUP(AJ598,'CIR Team Info'!$C$5:$E$44,4,FALSE)</f>
        <v>#N/A</v>
      </c>
      <c r="AB606" s="161" t="b">
        <f>ISNUMBER(VLOOKUP(AJ598,Match!$T$5:$T$10,1,FALSE))</f>
        <v>0</v>
      </c>
      <c r="AC606" s="161" t="b">
        <f>IF(AB606=TRUE,(VLOOKUP($AJ598,Match!$T$5:$U$10,2,FALSE)))</f>
        <v>0</v>
      </c>
      <c r="AD606" s="8">
        <v>3</v>
      </c>
      <c r="AE606" s="8">
        <v>2</v>
      </c>
      <c r="AF606" s="8">
        <v>2</v>
      </c>
      <c r="AG606" s="8">
        <v>1</v>
      </c>
      <c r="AH606" s="8" t="str">
        <f t="shared" si="170"/>
        <v/>
      </c>
    </row>
    <row r="607" spans="1:34" x14ac:dyDescent="0.25">
      <c r="A607" s="29">
        <f t="shared" si="177"/>
        <v>0</v>
      </c>
      <c r="B607" s="29">
        <f t="shared" si="171"/>
        <v>0</v>
      </c>
      <c r="C607" s="29">
        <f t="shared" si="172"/>
        <v>0</v>
      </c>
      <c r="D607" s="29">
        <f t="shared" si="173"/>
        <v>0</v>
      </c>
      <c r="E607" s="29">
        <f t="shared" si="178"/>
        <v>0</v>
      </c>
      <c r="F607" s="29">
        <f t="shared" si="179"/>
        <v>0</v>
      </c>
      <c r="G607" s="29" t="str">
        <f t="shared" si="180"/>
        <v>offensive</v>
      </c>
      <c r="H607" s="16">
        <f t="shared" si="184"/>
        <v>0</v>
      </c>
      <c r="I607" s="16">
        <f t="shared" si="185"/>
        <v>0</v>
      </c>
      <c r="J607" s="16">
        <f t="shared" si="174"/>
        <v>0</v>
      </c>
      <c r="K607" s="16">
        <f t="shared" si="181"/>
        <v>0</v>
      </c>
      <c r="L607" s="67">
        <f t="shared" si="182"/>
        <v>0</v>
      </c>
      <c r="M607" s="4">
        <f t="shared" si="175"/>
        <v>0</v>
      </c>
      <c r="N607" s="4">
        <f t="shared" si="176"/>
        <v>0</v>
      </c>
      <c r="O607" s="4">
        <f t="shared" si="183"/>
        <v>0</v>
      </c>
      <c r="P607" s="4" t="e">
        <f>VLOOKUP(AJ599,'CIR Team Info'!$C$5:$E$44,2,FALSE)</f>
        <v>#N/A</v>
      </c>
      <c r="Q607" s="4" t="e">
        <f>VLOOKUP(AJ599,'CIR Team Info'!$C$5:$E$44,3,FALSE)</f>
        <v>#N/A</v>
      </c>
      <c r="R607" s="10" t="e">
        <f>VLOOKUP(AJ599,'FRC Site Data'!$B$3:$L$42,2,FALSE)</f>
        <v>#N/A</v>
      </c>
      <c r="S607" s="10" t="e">
        <f>VLOOKUP(AJ599,'FRC Site Data'!$B$3:$L$42,3,FALSE)</f>
        <v>#N/A</v>
      </c>
      <c r="T607" s="10" t="e">
        <f>VLOOKUP(AJ599,'FRC Site Data'!$B$3:$L$42,4,FALSE)</f>
        <v>#N/A</v>
      </c>
      <c r="U607" s="10" t="e">
        <f>VLOOKUP(AJ599,'FRC Site Data'!$B$3:$L$42,5,FALSE)</f>
        <v>#N/A</v>
      </c>
      <c r="V607" s="10" t="e">
        <f>VLOOKUP(AJ599,'FRC Site Data'!$B$3:$L$42,6,FALSE)</f>
        <v>#N/A</v>
      </c>
      <c r="W607" s="10" t="e">
        <f>VLOOKUP(AJ599,'FRC Site Data'!$B$3:$L$42,8,FALSE)</f>
        <v>#N/A</v>
      </c>
      <c r="X607" s="10" t="e">
        <f>VLOOKUP(AJ599,'FRC Site Data'!$B$3:$L$42,9,FALSE)</f>
        <v>#N/A</v>
      </c>
      <c r="Y607" s="10" t="e">
        <f>VLOOKUP(AJ599,'FRC Site Data'!$B$3:$L$42,10,FALSE)</f>
        <v>#N/A</v>
      </c>
      <c r="Z607" s="10" t="e">
        <f>VLOOKUP(AJ599,'FRC Site Data'!$B$3:$L$42,11,FALSE)</f>
        <v>#N/A</v>
      </c>
      <c r="AA607" s="10" t="e">
        <f>VLOOKUP(AJ599,'CIR Team Info'!$C$5:$E$44,4,FALSE)</f>
        <v>#N/A</v>
      </c>
      <c r="AB607" s="161" t="b">
        <f>ISNUMBER(VLOOKUP(AJ599,Match!$T$5:$T$10,1,FALSE))</f>
        <v>0</v>
      </c>
      <c r="AC607" s="161" t="b">
        <f>IF(AB607=TRUE,(VLOOKUP($AJ599,Match!$T$5:$U$10,2,FALSE)))</f>
        <v>0</v>
      </c>
      <c r="AD607" s="8">
        <v>3</v>
      </c>
      <c r="AE607" s="8">
        <v>2</v>
      </c>
      <c r="AF607" s="8">
        <v>2</v>
      </c>
      <c r="AG607" s="8">
        <v>1</v>
      </c>
      <c r="AH607" s="8" t="str">
        <f t="shared" si="170"/>
        <v/>
      </c>
    </row>
    <row r="608" spans="1:34" x14ac:dyDescent="0.25">
      <c r="A608" s="29">
        <f t="shared" si="177"/>
        <v>0</v>
      </c>
      <c r="B608" s="29">
        <f t="shared" si="171"/>
        <v>0</v>
      </c>
      <c r="C608" s="29">
        <f t="shared" si="172"/>
        <v>0</v>
      </c>
      <c r="D608" s="29">
        <f t="shared" si="173"/>
        <v>0</v>
      </c>
      <c r="E608" s="29">
        <f t="shared" si="178"/>
        <v>0</v>
      </c>
      <c r="F608" s="29">
        <f t="shared" si="179"/>
        <v>0</v>
      </c>
      <c r="G608" s="29" t="str">
        <f t="shared" si="180"/>
        <v>offensive</v>
      </c>
      <c r="H608" s="16">
        <f t="shared" si="184"/>
        <v>0</v>
      </c>
      <c r="I608" s="16">
        <f t="shared" si="185"/>
        <v>0</v>
      </c>
      <c r="J608" s="16">
        <f t="shared" si="174"/>
        <v>0</v>
      </c>
      <c r="K608" s="16">
        <f t="shared" si="181"/>
        <v>0</v>
      </c>
      <c r="L608" s="67">
        <f t="shared" si="182"/>
        <v>0</v>
      </c>
      <c r="M608" s="4">
        <f t="shared" si="175"/>
        <v>0</v>
      </c>
      <c r="N608" s="4">
        <f t="shared" si="176"/>
        <v>0</v>
      </c>
      <c r="O608" s="4">
        <f t="shared" si="183"/>
        <v>0</v>
      </c>
      <c r="P608" s="4" t="e">
        <f>VLOOKUP(AJ600,'CIR Team Info'!$C$5:$E$44,2,FALSE)</f>
        <v>#N/A</v>
      </c>
      <c r="Q608" s="4" t="e">
        <f>VLOOKUP(AJ600,'CIR Team Info'!$C$5:$E$44,3,FALSE)</f>
        <v>#N/A</v>
      </c>
      <c r="R608" s="10" t="e">
        <f>VLOOKUP(AJ600,'FRC Site Data'!$B$3:$L$42,2,FALSE)</f>
        <v>#N/A</v>
      </c>
      <c r="S608" s="10" t="e">
        <f>VLOOKUP(AJ600,'FRC Site Data'!$B$3:$L$42,3,FALSE)</f>
        <v>#N/A</v>
      </c>
      <c r="T608" s="10" t="e">
        <f>VLOOKUP(AJ600,'FRC Site Data'!$B$3:$L$42,4,FALSE)</f>
        <v>#N/A</v>
      </c>
      <c r="U608" s="10" t="e">
        <f>VLOOKUP(AJ600,'FRC Site Data'!$B$3:$L$42,5,FALSE)</f>
        <v>#N/A</v>
      </c>
      <c r="V608" s="10" t="e">
        <f>VLOOKUP(AJ600,'FRC Site Data'!$B$3:$L$42,6,FALSE)</f>
        <v>#N/A</v>
      </c>
      <c r="W608" s="10" t="e">
        <f>VLOOKUP(AJ600,'FRC Site Data'!$B$3:$L$42,8,FALSE)</f>
        <v>#N/A</v>
      </c>
      <c r="X608" s="10" t="e">
        <f>VLOOKUP(AJ600,'FRC Site Data'!$B$3:$L$42,9,FALSE)</f>
        <v>#N/A</v>
      </c>
      <c r="Y608" s="10" t="e">
        <f>VLOOKUP(AJ600,'FRC Site Data'!$B$3:$L$42,10,FALSE)</f>
        <v>#N/A</v>
      </c>
      <c r="Z608" s="10" t="e">
        <f>VLOOKUP(AJ600,'FRC Site Data'!$B$3:$L$42,11,FALSE)</f>
        <v>#N/A</v>
      </c>
      <c r="AA608" s="10" t="e">
        <f>VLOOKUP(AJ600,'CIR Team Info'!$C$5:$E$44,4,FALSE)</f>
        <v>#N/A</v>
      </c>
      <c r="AB608" s="161" t="b">
        <f>ISNUMBER(VLOOKUP(AJ600,Match!$T$5:$T$10,1,FALSE))</f>
        <v>0</v>
      </c>
      <c r="AC608" s="161" t="b">
        <f>IF(AB608=TRUE,(VLOOKUP($AJ600,Match!$T$5:$U$10,2,FALSE)))</f>
        <v>0</v>
      </c>
      <c r="AD608" s="8">
        <v>3</v>
      </c>
      <c r="AE608" s="8">
        <v>2</v>
      </c>
      <c r="AF608" s="8">
        <v>2</v>
      </c>
      <c r="AG608" s="8">
        <v>1</v>
      </c>
      <c r="AH608" s="8" t="str">
        <f t="shared" si="170"/>
        <v/>
      </c>
    </row>
    <row r="609" spans="1:34" x14ac:dyDescent="0.25">
      <c r="A609" s="29">
        <f t="shared" si="177"/>
        <v>0</v>
      </c>
      <c r="B609" s="29">
        <f t="shared" si="171"/>
        <v>0</v>
      </c>
      <c r="C609" s="29">
        <f t="shared" si="172"/>
        <v>0</v>
      </c>
      <c r="D609" s="29">
        <f t="shared" si="173"/>
        <v>0</v>
      </c>
      <c r="E609" s="29">
        <f t="shared" si="178"/>
        <v>0</v>
      </c>
      <c r="F609" s="29">
        <f t="shared" si="179"/>
        <v>0</v>
      </c>
      <c r="G609" s="29" t="str">
        <f t="shared" si="180"/>
        <v>offensive</v>
      </c>
      <c r="H609" s="16">
        <f t="shared" si="184"/>
        <v>0</v>
      </c>
      <c r="I609" s="16">
        <f t="shared" si="185"/>
        <v>0</v>
      </c>
      <c r="J609" s="16">
        <f t="shared" si="174"/>
        <v>0</v>
      </c>
      <c r="K609" s="16">
        <f t="shared" si="181"/>
        <v>0</v>
      </c>
      <c r="L609" s="67">
        <f t="shared" si="182"/>
        <v>0</v>
      </c>
      <c r="M609" s="4">
        <f t="shared" si="175"/>
        <v>0</v>
      </c>
      <c r="N609" s="4">
        <f t="shared" si="176"/>
        <v>0</v>
      </c>
      <c r="O609" s="4">
        <f t="shared" si="183"/>
        <v>0</v>
      </c>
      <c r="P609" s="4" t="e">
        <f>VLOOKUP(AJ601,'CIR Team Info'!$C$5:$E$44,2,FALSE)</f>
        <v>#N/A</v>
      </c>
      <c r="Q609" s="4" t="e">
        <f>VLOOKUP(AJ601,'CIR Team Info'!$C$5:$E$44,3,FALSE)</f>
        <v>#N/A</v>
      </c>
      <c r="R609" s="10" t="e">
        <f>VLOOKUP(AJ601,'FRC Site Data'!$B$3:$L$42,2,FALSE)</f>
        <v>#N/A</v>
      </c>
      <c r="S609" s="10" t="e">
        <f>VLOOKUP(AJ601,'FRC Site Data'!$B$3:$L$42,3,FALSE)</f>
        <v>#N/A</v>
      </c>
      <c r="T609" s="10" t="e">
        <f>VLOOKUP(AJ601,'FRC Site Data'!$B$3:$L$42,4,FALSE)</f>
        <v>#N/A</v>
      </c>
      <c r="U609" s="10" t="e">
        <f>VLOOKUP(AJ601,'FRC Site Data'!$B$3:$L$42,5,FALSE)</f>
        <v>#N/A</v>
      </c>
      <c r="V609" s="10" t="e">
        <f>VLOOKUP(AJ601,'FRC Site Data'!$B$3:$L$42,6,FALSE)</f>
        <v>#N/A</v>
      </c>
      <c r="W609" s="10" t="e">
        <f>VLOOKUP(AJ601,'FRC Site Data'!$B$3:$L$42,8,FALSE)</f>
        <v>#N/A</v>
      </c>
      <c r="X609" s="10" t="e">
        <f>VLOOKUP(AJ601,'FRC Site Data'!$B$3:$L$42,9,FALSE)</f>
        <v>#N/A</v>
      </c>
      <c r="Y609" s="10" t="e">
        <f>VLOOKUP(AJ601,'FRC Site Data'!$B$3:$L$42,10,FALSE)</f>
        <v>#N/A</v>
      </c>
      <c r="Z609" s="10" t="e">
        <f>VLOOKUP(AJ601,'FRC Site Data'!$B$3:$L$42,11,FALSE)</f>
        <v>#N/A</v>
      </c>
      <c r="AA609" s="10" t="e">
        <f>VLOOKUP(AJ601,'CIR Team Info'!$C$5:$E$44,4,FALSE)</f>
        <v>#N/A</v>
      </c>
      <c r="AB609" s="161" t="b">
        <f>ISNUMBER(VLOOKUP(AJ601,Match!$T$5:$T$10,1,FALSE))</f>
        <v>0</v>
      </c>
      <c r="AC609" s="161" t="b">
        <f>IF(AB609=TRUE,(VLOOKUP($AJ601,Match!$T$5:$U$10,2,FALSE)))</f>
        <v>0</v>
      </c>
      <c r="AD609" s="8">
        <v>3</v>
      </c>
      <c r="AE609" s="8">
        <v>2</v>
      </c>
      <c r="AF609" s="8">
        <v>2</v>
      </c>
      <c r="AG609" s="8">
        <v>1</v>
      </c>
      <c r="AH609" s="8" t="str">
        <f t="shared" si="170"/>
        <v/>
      </c>
    </row>
    <row r="610" spans="1:34" x14ac:dyDescent="0.25">
      <c r="A610" s="29">
        <f t="shared" si="177"/>
        <v>0</v>
      </c>
      <c r="B610" s="29">
        <f t="shared" si="171"/>
        <v>0</v>
      </c>
      <c r="C610" s="29">
        <f t="shared" si="172"/>
        <v>0</v>
      </c>
      <c r="D610" s="29">
        <f t="shared" si="173"/>
        <v>0</v>
      </c>
      <c r="E610" s="29">
        <f t="shared" si="178"/>
        <v>0</v>
      </c>
      <c r="F610" s="29">
        <f t="shared" si="179"/>
        <v>0</v>
      </c>
      <c r="G610" s="29" t="str">
        <f t="shared" si="180"/>
        <v>offensive</v>
      </c>
      <c r="H610" s="16">
        <f t="shared" si="184"/>
        <v>0</v>
      </c>
      <c r="I610" s="16">
        <f t="shared" si="185"/>
        <v>0</v>
      </c>
      <c r="J610" s="16">
        <f t="shared" si="174"/>
        <v>0</v>
      </c>
      <c r="K610" s="16">
        <f t="shared" si="181"/>
        <v>0</v>
      </c>
      <c r="L610" s="67">
        <f t="shared" si="182"/>
        <v>0</v>
      </c>
      <c r="M610" s="4">
        <f t="shared" si="175"/>
        <v>0</v>
      </c>
      <c r="N610" s="4">
        <f t="shared" si="176"/>
        <v>0</v>
      </c>
      <c r="O610" s="4">
        <f t="shared" si="183"/>
        <v>0</v>
      </c>
      <c r="P610" s="4" t="e">
        <f>VLOOKUP(AJ602,'CIR Team Info'!$C$5:$E$44,2,FALSE)</f>
        <v>#N/A</v>
      </c>
      <c r="Q610" s="4" t="e">
        <f>VLOOKUP(AJ602,'CIR Team Info'!$C$5:$E$44,3,FALSE)</f>
        <v>#N/A</v>
      </c>
      <c r="R610" s="10" t="e">
        <f>VLOOKUP(AJ602,'FRC Site Data'!$B$3:$L$42,2,FALSE)</f>
        <v>#N/A</v>
      </c>
      <c r="S610" s="10" t="e">
        <f>VLOOKUP(AJ602,'FRC Site Data'!$B$3:$L$42,3,FALSE)</f>
        <v>#N/A</v>
      </c>
      <c r="T610" s="10" t="e">
        <f>VLOOKUP(AJ602,'FRC Site Data'!$B$3:$L$42,4,FALSE)</f>
        <v>#N/A</v>
      </c>
      <c r="U610" s="10" t="e">
        <f>VLOOKUP(AJ602,'FRC Site Data'!$B$3:$L$42,5,FALSE)</f>
        <v>#N/A</v>
      </c>
      <c r="V610" s="10" t="e">
        <f>VLOOKUP(AJ602,'FRC Site Data'!$B$3:$L$42,6,FALSE)</f>
        <v>#N/A</v>
      </c>
      <c r="W610" s="10" t="e">
        <f>VLOOKUP(AJ602,'FRC Site Data'!$B$3:$L$42,8,FALSE)</f>
        <v>#N/A</v>
      </c>
      <c r="X610" s="10" t="e">
        <f>VLOOKUP(AJ602,'FRC Site Data'!$B$3:$L$42,9,FALSE)</f>
        <v>#N/A</v>
      </c>
      <c r="Y610" s="10" t="e">
        <f>VLOOKUP(AJ602,'FRC Site Data'!$B$3:$L$42,10,FALSE)</f>
        <v>#N/A</v>
      </c>
      <c r="Z610" s="10" t="e">
        <f>VLOOKUP(AJ602,'FRC Site Data'!$B$3:$L$42,11,FALSE)</f>
        <v>#N/A</v>
      </c>
      <c r="AA610" s="10" t="e">
        <f>VLOOKUP(AJ602,'CIR Team Info'!$C$5:$E$44,4,FALSE)</f>
        <v>#N/A</v>
      </c>
      <c r="AB610" s="161" t="b">
        <f>ISNUMBER(VLOOKUP(AJ602,Match!$T$5:$T$10,1,FALSE))</f>
        <v>0</v>
      </c>
      <c r="AC610" s="161" t="b">
        <f>IF(AB610=TRUE,(VLOOKUP($AJ602,Match!$T$5:$U$10,2,FALSE)))</f>
        <v>0</v>
      </c>
      <c r="AD610" s="8">
        <v>3</v>
      </c>
      <c r="AE610" s="8">
        <v>2</v>
      </c>
      <c r="AF610" s="8">
        <v>2</v>
      </c>
      <c r="AG610" s="8">
        <v>1</v>
      </c>
      <c r="AH610" s="8" t="str">
        <f t="shared" si="170"/>
        <v/>
      </c>
    </row>
    <row r="611" spans="1:34" x14ac:dyDescent="0.25">
      <c r="A611" s="29">
        <f t="shared" si="177"/>
        <v>0</v>
      </c>
      <c r="B611" s="29">
        <f t="shared" si="171"/>
        <v>0</v>
      </c>
      <c r="C611" s="29">
        <f t="shared" si="172"/>
        <v>0</v>
      </c>
      <c r="D611" s="29">
        <f t="shared" si="173"/>
        <v>0</v>
      </c>
      <c r="E611" s="29">
        <f t="shared" si="178"/>
        <v>0</v>
      </c>
      <c r="F611" s="29">
        <f t="shared" si="179"/>
        <v>0</v>
      </c>
      <c r="G611" s="29" t="str">
        <f t="shared" si="180"/>
        <v>offensive</v>
      </c>
      <c r="H611" s="16">
        <f t="shared" si="184"/>
        <v>0</v>
      </c>
      <c r="I611" s="16">
        <f t="shared" si="185"/>
        <v>0</v>
      </c>
      <c r="J611" s="16">
        <f t="shared" si="174"/>
        <v>0</v>
      </c>
      <c r="K611" s="16">
        <f t="shared" si="181"/>
        <v>0</v>
      </c>
      <c r="L611" s="67">
        <f t="shared" si="182"/>
        <v>0</v>
      </c>
      <c r="M611" s="4">
        <f t="shared" si="175"/>
        <v>0</v>
      </c>
      <c r="N611" s="4">
        <f t="shared" si="176"/>
        <v>0</v>
      </c>
      <c r="O611" s="4">
        <f t="shared" si="183"/>
        <v>0</v>
      </c>
      <c r="P611" s="4" t="e">
        <f>VLOOKUP(AJ603,'CIR Team Info'!$C$5:$E$44,2,FALSE)</f>
        <v>#N/A</v>
      </c>
      <c r="Q611" s="4" t="e">
        <f>VLOOKUP(AJ603,'CIR Team Info'!$C$5:$E$44,3,FALSE)</f>
        <v>#N/A</v>
      </c>
      <c r="R611" s="10" t="e">
        <f>VLOOKUP(AJ603,'FRC Site Data'!$B$3:$L$42,2,FALSE)</f>
        <v>#N/A</v>
      </c>
      <c r="S611" s="10" t="e">
        <f>VLOOKUP(AJ603,'FRC Site Data'!$B$3:$L$42,3,FALSE)</f>
        <v>#N/A</v>
      </c>
      <c r="T611" s="10" t="e">
        <f>VLOOKUP(AJ603,'FRC Site Data'!$B$3:$L$42,4,FALSE)</f>
        <v>#N/A</v>
      </c>
      <c r="U611" s="10" t="e">
        <f>VLOOKUP(AJ603,'FRC Site Data'!$B$3:$L$42,5,FALSE)</f>
        <v>#N/A</v>
      </c>
      <c r="V611" s="10" t="e">
        <f>VLOOKUP(AJ603,'FRC Site Data'!$B$3:$L$42,6,FALSE)</f>
        <v>#N/A</v>
      </c>
      <c r="W611" s="10" t="e">
        <f>VLOOKUP(AJ603,'FRC Site Data'!$B$3:$L$42,8,FALSE)</f>
        <v>#N/A</v>
      </c>
      <c r="X611" s="10" t="e">
        <f>VLOOKUP(AJ603,'FRC Site Data'!$B$3:$L$42,9,FALSE)</f>
        <v>#N/A</v>
      </c>
      <c r="Y611" s="10" t="e">
        <f>VLOOKUP(AJ603,'FRC Site Data'!$B$3:$L$42,10,FALSE)</f>
        <v>#N/A</v>
      </c>
      <c r="Z611" s="10" t="e">
        <f>VLOOKUP(AJ603,'FRC Site Data'!$B$3:$L$42,11,FALSE)</f>
        <v>#N/A</v>
      </c>
      <c r="AA611" s="10" t="e">
        <f>VLOOKUP(AJ603,'CIR Team Info'!$C$5:$E$44,4,FALSE)</f>
        <v>#N/A</v>
      </c>
      <c r="AB611" s="161" t="b">
        <f>ISNUMBER(VLOOKUP(AJ603,Match!$T$5:$T$10,1,FALSE))</f>
        <v>0</v>
      </c>
      <c r="AC611" s="161" t="b">
        <f>IF(AB611=TRUE,(VLOOKUP($AJ603,Match!$T$5:$U$10,2,FALSE)))</f>
        <v>0</v>
      </c>
      <c r="AD611" s="8">
        <v>3</v>
      </c>
      <c r="AE611" s="8">
        <v>2</v>
      </c>
      <c r="AF611" s="8">
        <v>2</v>
      </c>
      <c r="AG611" s="8">
        <v>1</v>
      </c>
      <c r="AH611" s="8" t="str">
        <f t="shared" ref="AH611:AH674" si="186">IF(AL603="Other","x","")</f>
        <v/>
      </c>
    </row>
    <row r="612" spans="1:34" x14ac:dyDescent="0.25">
      <c r="A612" s="29">
        <f t="shared" si="177"/>
        <v>0</v>
      </c>
      <c r="B612" s="29">
        <f t="shared" si="171"/>
        <v>0</v>
      </c>
      <c r="C612" s="29">
        <f t="shared" si="172"/>
        <v>0</v>
      </c>
      <c r="D612" s="29">
        <f t="shared" si="173"/>
        <v>0</v>
      </c>
      <c r="E612" s="29">
        <f t="shared" si="178"/>
        <v>0</v>
      </c>
      <c r="F612" s="29">
        <f t="shared" si="179"/>
        <v>0</v>
      </c>
      <c r="G612" s="29" t="str">
        <f t="shared" si="180"/>
        <v>offensive</v>
      </c>
      <c r="H612" s="16">
        <f t="shared" si="184"/>
        <v>0</v>
      </c>
      <c r="I612" s="16">
        <f t="shared" si="185"/>
        <v>0</v>
      </c>
      <c r="J612" s="16">
        <f t="shared" si="174"/>
        <v>0</v>
      </c>
      <c r="K612" s="16">
        <f t="shared" si="181"/>
        <v>0</v>
      </c>
      <c r="L612" s="67">
        <f t="shared" si="182"/>
        <v>0</v>
      </c>
      <c r="M612" s="4">
        <f t="shared" si="175"/>
        <v>0</v>
      </c>
      <c r="N612" s="4">
        <f t="shared" si="176"/>
        <v>0</v>
      </c>
      <c r="O612" s="4">
        <f t="shared" si="183"/>
        <v>0</v>
      </c>
      <c r="P612" s="4" t="e">
        <f>VLOOKUP(AJ604,'CIR Team Info'!$C$5:$E$44,2,FALSE)</f>
        <v>#N/A</v>
      </c>
      <c r="Q612" s="4" t="e">
        <f>VLOOKUP(AJ604,'CIR Team Info'!$C$5:$E$44,3,FALSE)</f>
        <v>#N/A</v>
      </c>
      <c r="R612" s="10" t="e">
        <f>VLOOKUP(AJ604,'FRC Site Data'!$B$3:$L$42,2,FALSE)</f>
        <v>#N/A</v>
      </c>
      <c r="S612" s="10" t="e">
        <f>VLOOKUP(AJ604,'FRC Site Data'!$B$3:$L$42,3,FALSE)</f>
        <v>#N/A</v>
      </c>
      <c r="T612" s="10" t="e">
        <f>VLOOKUP(AJ604,'FRC Site Data'!$B$3:$L$42,4,FALSE)</f>
        <v>#N/A</v>
      </c>
      <c r="U612" s="10" t="e">
        <f>VLOOKUP(AJ604,'FRC Site Data'!$B$3:$L$42,5,FALSE)</f>
        <v>#N/A</v>
      </c>
      <c r="V612" s="10" t="e">
        <f>VLOOKUP(AJ604,'FRC Site Data'!$B$3:$L$42,6,FALSE)</f>
        <v>#N/A</v>
      </c>
      <c r="W612" s="10" t="e">
        <f>VLOOKUP(AJ604,'FRC Site Data'!$B$3:$L$42,8,FALSE)</f>
        <v>#N/A</v>
      </c>
      <c r="X612" s="10" t="e">
        <f>VLOOKUP(AJ604,'FRC Site Data'!$B$3:$L$42,9,FALSE)</f>
        <v>#N/A</v>
      </c>
      <c r="Y612" s="10" t="e">
        <f>VLOOKUP(AJ604,'FRC Site Data'!$B$3:$L$42,10,FALSE)</f>
        <v>#N/A</v>
      </c>
      <c r="Z612" s="10" t="e">
        <f>VLOOKUP(AJ604,'FRC Site Data'!$B$3:$L$42,11,FALSE)</f>
        <v>#N/A</v>
      </c>
      <c r="AA612" s="10" t="e">
        <f>VLOOKUP(AJ604,'CIR Team Info'!$C$5:$E$44,4,FALSE)</f>
        <v>#N/A</v>
      </c>
      <c r="AB612" s="161" t="b">
        <f>ISNUMBER(VLOOKUP(AJ604,Match!$T$5:$T$10,1,FALSE))</f>
        <v>0</v>
      </c>
      <c r="AC612" s="161" t="b">
        <f>IF(AB612=TRUE,(VLOOKUP($AJ604,Match!$T$5:$U$10,2,FALSE)))</f>
        <v>0</v>
      </c>
      <c r="AD612" s="8">
        <v>3</v>
      </c>
      <c r="AE612" s="8">
        <v>2</v>
      </c>
      <c r="AF612" s="8">
        <v>2</v>
      </c>
      <c r="AG612" s="8">
        <v>1</v>
      </c>
      <c r="AH612" s="8" t="str">
        <f t="shared" si="186"/>
        <v/>
      </c>
    </row>
    <row r="613" spans="1:34" x14ac:dyDescent="0.25">
      <c r="A613" s="29">
        <f t="shared" si="177"/>
        <v>0</v>
      </c>
      <c r="B613" s="29">
        <f t="shared" si="171"/>
        <v>0</v>
      </c>
      <c r="C613" s="29">
        <f t="shared" si="172"/>
        <v>0</v>
      </c>
      <c r="D613" s="29">
        <f t="shared" si="173"/>
        <v>0</v>
      </c>
      <c r="E613" s="29">
        <f t="shared" si="178"/>
        <v>0</v>
      </c>
      <c r="F613" s="29">
        <f t="shared" si="179"/>
        <v>0</v>
      </c>
      <c r="G613" s="29" t="str">
        <f t="shared" si="180"/>
        <v>offensive</v>
      </c>
      <c r="H613" s="16">
        <f t="shared" si="184"/>
        <v>0</v>
      </c>
      <c r="I613" s="16">
        <f t="shared" si="185"/>
        <v>0</v>
      </c>
      <c r="J613" s="16">
        <f t="shared" si="174"/>
        <v>0</v>
      </c>
      <c r="K613" s="16">
        <f t="shared" si="181"/>
        <v>0</v>
      </c>
      <c r="L613" s="67">
        <f t="shared" si="182"/>
        <v>0</v>
      </c>
      <c r="M613" s="4">
        <f t="shared" si="175"/>
        <v>0</v>
      </c>
      <c r="N613" s="4">
        <f t="shared" si="176"/>
        <v>0</v>
      </c>
      <c r="O613" s="4">
        <f t="shared" si="183"/>
        <v>0</v>
      </c>
      <c r="P613" s="4" t="e">
        <f>VLOOKUP(AJ605,'CIR Team Info'!$C$5:$E$44,2,FALSE)</f>
        <v>#N/A</v>
      </c>
      <c r="Q613" s="4" t="e">
        <f>VLOOKUP(AJ605,'CIR Team Info'!$C$5:$E$44,3,FALSE)</f>
        <v>#N/A</v>
      </c>
      <c r="R613" s="10" t="e">
        <f>VLOOKUP(AJ605,'FRC Site Data'!$B$3:$L$42,2,FALSE)</f>
        <v>#N/A</v>
      </c>
      <c r="S613" s="10" t="e">
        <f>VLOOKUP(AJ605,'FRC Site Data'!$B$3:$L$42,3,FALSE)</f>
        <v>#N/A</v>
      </c>
      <c r="T613" s="10" t="e">
        <f>VLOOKUP(AJ605,'FRC Site Data'!$B$3:$L$42,4,FALSE)</f>
        <v>#N/A</v>
      </c>
      <c r="U613" s="10" t="e">
        <f>VLOOKUP(AJ605,'FRC Site Data'!$B$3:$L$42,5,FALSE)</f>
        <v>#N/A</v>
      </c>
      <c r="V613" s="10" t="e">
        <f>VLOOKUP(AJ605,'FRC Site Data'!$B$3:$L$42,6,FALSE)</f>
        <v>#N/A</v>
      </c>
      <c r="W613" s="10" t="e">
        <f>VLOOKUP(AJ605,'FRC Site Data'!$B$3:$L$42,8,FALSE)</f>
        <v>#N/A</v>
      </c>
      <c r="X613" s="10" t="e">
        <f>VLOOKUP(AJ605,'FRC Site Data'!$B$3:$L$42,9,FALSE)</f>
        <v>#N/A</v>
      </c>
      <c r="Y613" s="10" t="e">
        <f>VLOOKUP(AJ605,'FRC Site Data'!$B$3:$L$42,10,FALSE)</f>
        <v>#N/A</v>
      </c>
      <c r="Z613" s="10" t="e">
        <f>VLOOKUP(AJ605,'FRC Site Data'!$B$3:$L$42,11,FALSE)</f>
        <v>#N/A</v>
      </c>
      <c r="AA613" s="10" t="e">
        <f>VLOOKUP(AJ605,'CIR Team Info'!$C$5:$E$44,4,FALSE)</f>
        <v>#N/A</v>
      </c>
      <c r="AB613" s="161" t="b">
        <f>ISNUMBER(VLOOKUP(AJ605,Match!$T$5:$T$10,1,FALSE))</f>
        <v>0</v>
      </c>
      <c r="AC613" s="161" t="b">
        <f>IF(AB613=TRUE,(VLOOKUP($AJ605,Match!$T$5:$U$10,2,FALSE)))</f>
        <v>0</v>
      </c>
      <c r="AD613" s="8">
        <v>3</v>
      </c>
      <c r="AE613" s="8">
        <v>2</v>
      </c>
      <c r="AF613" s="8">
        <v>2</v>
      </c>
      <c r="AG613" s="8">
        <v>1</v>
      </c>
      <c r="AH613" s="8" t="str">
        <f t="shared" si="186"/>
        <v/>
      </c>
    </row>
    <row r="614" spans="1:34" x14ac:dyDescent="0.25">
      <c r="A614" s="29">
        <f t="shared" si="177"/>
        <v>0</v>
      </c>
      <c r="B614" s="29">
        <f t="shared" si="171"/>
        <v>0</v>
      </c>
      <c r="C614" s="29">
        <f t="shared" si="172"/>
        <v>0</v>
      </c>
      <c r="D614" s="29">
        <f t="shared" si="173"/>
        <v>0</v>
      </c>
      <c r="E614" s="29">
        <f t="shared" si="178"/>
        <v>0</v>
      </c>
      <c r="F614" s="29">
        <f t="shared" si="179"/>
        <v>0</v>
      </c>
      <c r="G614" s="29" t="str">
        <f t="shared" si="180"/>
        <v>offensive</v>
      </c>
      <c r="H614" s="16">
        <f t="shared" si="184"/>
        <v>0</v>
      </c>
      <c r="I614" s="16">
        <f t="shared" si="185"/>
        <v>0</v>
      </c>
      <c r="J614" s="16">
        <f t="shared" si="174"/>
        <v>0</v>
      </c>
      <c r="K614" s="16">
        <f t="shared" si="181"/>
        <v>0</v>
      </c>
      <c r="L614" s="67">
        <f t="shared" si="182"/>
        <v>0</v>
      </c>
      <c r="M614" s="4">
        <f t="shared" si="175"/>
        <v>0</v>
      </c>
      <c r="N614" s="4">
        <f t="shared" si="176"/>
        <v>0</v>
      </c>
      <c r="O614" s="4">
        <f t="shared" si="183"/>
        <v>0</v>
      </c>
      <c r="P614" s="4" t="e">
        <f>VLOOKUP(AJ606,'CIR Team Info'!$C$5:$E$44,2,FALSE)</f>
        <v>#N/A</v>
      </c>
      <c r="Q614" s="4" t="e">
        <f>VLOOKUP(AJ606,'CIR Team Info'!$C$5:$E$44,3,FALSE)</f>
        <v>#N/A</v>
      </c>
      <c r="R614" s="10" t="e">
        <f>VLOOKUP(AJ606,'FRC Site Data'!$B$3:$L$42,2,FALSE)</f>
        <v>#N/A</v>
      </c>
      <c r="S614" s="10" t="e">
        <f>VLOOKUP(AJ606,'FRC Site Data'!$B$3:$L$42,3,FALSE)</f>
        <v>#N/A</v>
      </c>
      <c r="T614" s="10" t="e">
        <f>VLOOKUP(AJ606,'FRC Site Data'!$B$3:$L$42,4,FALSE)</f>
        <v>#N/A</v>
      </c>
      <c r="U614" s="10" t="e">
        <f>VLOOKUP(AJ606,'FRC Site Data'!$B$3:$L$42,5,FALSE)</f>
        <v>#N/A</v>
      </c>
      <c r="V614" s="10" t="e">
        <f>VLOOKUP(AJ606,'FRC Site Data'!$B$3:$L$42,6,FALSE)</f>
        <v>#N/A</v>
      </c>
      <c r="W614" s="10" t="e">
        <f>VLOOKUP(AJ606,'FRC Site Data'!$B$3:$L$42,8,FALSE)</f>
        <v>#N/A</v>
      </c>
      <c r="X614" s="10" t="e">
        <f>VLOOKUP(AJ606,'FRC Site Data'!$B$3:$L$42,9,FALSE)</f>
        <v>#N/A</v>
      </c>
      <c r="Y614" s="10" t="e">
        <f>VLOOKUP(AJ606,'FRC Site Data'!$B$3:$L$42,10,FALSE)</f>
        <v>#N/A</v>
      </c>
      <c r="Z614" s="10" t="e">
        <f>VLOOKUP(AJ606,'FRC Site Data'!$B$3:$L$42,11,FALSE)</f>
        <v>#N/A</v>
      </c>
      <c r="AA614" s="10" t="e">
        <f>VLOOKUP(AJ606,'CIR Team Info'!$C$5:$E$44,4,FALSE)</f>
        <v>#N/A</v>
      </c>
      <c r="AB614" s="161" t="b">
        <f>ISNUMBER(VLOOKUP(AJ606,Match!$T$5:$T$10,1,FALSE))</f>
        <v>0</v>
      </c>
      <c r="AC614" s="161" t="b">
        <f>IF(AB614=TRUE,(VLOOKUP($AJ606,Match!$T$5:$U$10,2,FALSE)))</f>
        <v>0</v>
      </c>
      <c r="AD614" s="8">
        <v>3</v>
      </c>
      <c r="AE614" s="8">
        <v>2</v>
      </c>
      <c r="AF614" s="8">
        <v>2</v>
      </c>
      <c r="AG614" s="8">
        <v>1</v>
      </c>
      <c r="AH614" s="8" t="str">
        <f t="shared" si="186"/>
        <v/>
      </c>
    </row>
    <row r="615" spans="1:34" x14ac:dyDescent="0.25">
      <c r="A615" s="29">
        <f t="shared" si="177"/>
        <v>0</v>
      </c>
      <c r="B615" s="29">
        <f t="shared" si="171"/>
        <v>0</v>
      </c>
      <c r="C615" s="29">
        <f t="shared" si="172"/>
        <v>0</v>
      </c>
      <c r="D615" s="29">
        <f t="shared" si="173"/>
        <v>0</v>
      </c>
      <c r="E615" s="29">
        <f t="shared" si="178"/>
        <v>0</v>
      </c>
      <c r="F615" s="29">
        <f t="shared" si="179"/>
        <v>0</v>
      </c>
      <c r="G615" s="29" t="str">
        <f t="shared" si="180"/>
        <v>offensive</v>
      </c>
      <c r="H615" s="16">
        <f t="shared" si="184"/>
        <v>0</v>
      </c>
      <c r="I615" s="16">
        <f t="shared" si="185"/>
        <v>0</v>
      </c>
      <c r="J615" s="16">
        <f t="shared" si="174"/>
        <v>0</v>
      </c>
      <c r="K615" s="16">
        <f t="shared" si="181"/>
        <v>0</v>
      </c>
      <c r="L615" s="67">
        <f t="shared" si="182"/>
        <v>0</v>
      </c>
      <c r="M615" s="4">
        <f t="shared" si="175"/>
        <v>0</v>
      </c>
      <c r="N615" s="4">
        <f t="shared" si="176"/>
        <v>0</v>
      </c>
      <c r="O615" s="4">
        <f t="shared" si="183"/>
        <v>0</v>
      </c>
      <c r="P615" s="4" t="e">
        <f>VLOOKUP(AJ607,'CIR Team Info'!$C$5:$E$44,2,FALSE)</f>
        <v>#N/A</v>
      </c>
      <c r="Q615" s="4" t="e">
        <f>VLOOKUP(AJ607,'CIR Team Info'!$C$5:$E$44,3,FALSE)</f>
        <v>#N/A</v>
      </c>
      <c r="R615" s="10" t="e">
        <f>VLOOKUP(AJ607,'FRC Site Data'!$B$3:$L$42,2,FALSE)</f>
        <v>#N/A</v>
      </c>
      <c r="S615" s="10" t="e">
        <f>VLOOKUP(AJ607,'FRC Site Data'!$B$3:$L$42,3,FALSE)</f>
        <v>#N/A</v>
      </c>
      <c r="T615" s="10" t="e">
        <f>VLOOKUP(AJ607,'FRC Site Data'!$B$3:$L$42,4,FALSE)</f>
        <v>#N/A</v>
      </c>
      <c r="U615" s="10" t="e">
        <f>VLOOKUP(AJ607,'FRC Site Data'!$B$3:$L$42,5,FALSE)</f>
        <v>#N/A</v>
      </c>
      <c r="V615" s="10" t="e">
        <f>VLOOKUP(AJ607,'FRC Site Data'!$B$3:$L$42,6,FALSE)</f>
        <v>#N/A</v>
      </c>
      <c r="W615" s="10" t="e">
        <f>VLOOKUP(AJ607,'FRC Site Data'!$B$3:$L$42,8,FALSE)</f>
        <v>#N/A</v>
      </c>
      <c r="X615" s="10" t="e">
        <f>VLOOKUP(AJ607,'FRC Site Data'!$B$3:$L$42,9,FALSE)</f>
        <v>#N/A</v>
      </c>
      <c r="Y615" s="10" t="e">
        <f>VLOOKUP(AJ607,'FRC Site Data'!$B$3:$L$42,10,FALSE)</f>
        <v>#N/A</v>
      </c>
      <c r="Z615" s="10" t="e">
        <f>VLOOKUP(AJ607,'FRC Site Data'!$B$3:$L$42,11,FALSE)</f>
        <v>#N/A</v>
      </c>
      <c r="AA615" s="10" t="e">
        <f>VLOOKUP(AJ607,'CIR Team Info'!$C$5:$E$44,4,FALSE)</f>
        <v>#N/A</v>
      </c>
      <c r="AB615" s="161" t="b">
        <f>ISNUMBER(VLOOKUP(AJ607,Match!$T$5:$T$10,1,FALSE))</f>
        <v>0</v>
      </c>
      <c r="AC615" s="161" t="b">
        <f>IF(AB615=TRUE,(VLOOKUP($AJ607,Match!$T$5:$U$10,2,FALSE)))</f>
        <v>0</v>
      </c>
      <c r="AD615" s="8">
        <v>3</v>
      </c>
      <c r="AE615" s="8">
        <v>2</v>
      </c>
      <c r="AF615" s="8">
        <v>2</v>
      </c>
      <c r="AG615" s="8">
        <v>1</v>
      </c>
      <c r="AH615" s="8" t="str">
        <f t="shared" si="186"/>
        <v/>
      </c>
    </row>
    <row r="616" spans="1:34" x14ac:dyDescent="0.25">
      <c r="A616" s="29">
        <f t="shared" si="177"/>
        <v>0</v>
      </c>
      <c r="B616" s="29">
        <f t="shared" si="171"/>
        <v>0</v>
      </c>
      <c r="C616" s="29">
        <f t="shared" si="172"/>
        <v>0</v>
      </c>
      <c r="D616" s="29">
        <f t="shared" si="173"/>
        <v>0</v>
      </c>
      <c r="E616" s="29">
        <f t="shared" si="178"/>
        <v>0</v>
      </c>
      <c r="F616" s="29">
        <f t="shared" si="179"/>
        <v>0</v>
      </c>
      <c r="G616" s="29" t="str">
        <f t="shared" si="180"/>
        <v>offensive</v>
      </c>
      <c r="H616" s="16">
        <f t="shared" si="184"/>
        <v>0</v>
      </c>
      <c r="I616" s="16">
        <f t="shared" si="185"/>
        <v>0</v>
      </c>
      <c r="J616" s="16">
        <f t="shared" si="174"/>
        <v>0</v>
      </c>
      <c r="K616" s="16">
        <f t="shared" si="181"/>
        <v>0</v>
      </c>
      <c r="L616" s="67">
        <f t="shared" si="182"/>
        <v>0</v>
      </c>
      <c r="M616" s="4">
        <f t="shared" si="175"/>
        <v>0</v>
      </c>
      <c r="N616" s="4">
        <f t="shared" si="176"/>
        <v>0</v>
      </c>
      <c r="O616" s="4">
        <f t="shared" si="183"/>
        <v>0</v>
      </c>
      <c r="P616" s="4" t="e">
        <f>VLOOKUP(AJ608,'CIR Team Info'!$C$5:$E$44,2,FALSE)</f>
        <v>#N/A</v>
      </c>
      <c r="Q616" s="4" t="e">
        <f>VLOOKUP(AJ608,'CIR Team Info'!$C$5:$E$44,3,FALSE)</f>
        <v>#N/A</v>
      </c>
      <c r="R616" s="10" t="e">
        <f>VLOOKUP(AJ608,'FRC Site Data'!$B$3:$L$42,2,FALSE)</f>
        <v>#N/A</v>
      </c>
      <c r="S616" s="10" t="e">
        <f>VLOOKUP(AJ608,'FRC Site Data'!$B$3:$L$42,3,FALSE)</f>
        <v>#N/A</v>
      </c>
      <c r="T616" s="10" t="e">
        <f>VLOOKUP(AJ608,'FRC Site Data'!$B$3:$L$42,4,FALSE)</f>
        <v>#N/A</v>
      </c>
      <c r="U616" s="10" t="e">
        <f>VLOOKUP(AJ608,'FRC Site Data'!$B$3:$L$42,5,FALSE)</f>
        <v>#N/A</v>
      </c>
      <c r="V616" s="10" t="e">
        <f>VLOOKUP(AJ608,'FRC Site Data'!$B$3:$L$42,6,FALSE)</f>
        <v>#N/A</v>
      </c>
      <c r="W616" s="10" t="e">
        <f>VLOOKUP(AJ608,'FRC Site Data'!$B$3:$L$42,8,FALSE)</f>
        <v>#N/A</v>
      </c>
      <c r="X616" s="10" t="e">
        <f>VLOOKUP(AJ608,'FRC Site Data'!$B$3:$L$42,9,FALSE)</f>
        <v>#N/A</v>
      </c>
      <c r="Y616" s="10" t="e">
        <f>VLOOKUP(AJ608,'FRC Site Data'!$B$3:$L$42,10,FALSE)</f>
        <v>#N/A</v>
      </c>
      <c r="Z616" s="10" t="e">
        <f>VLOOKUP(AJ608,'FRC Site Data'!$B$3:$L$42,11,FALSE)</f>
        <v>#N/A</v>
      </c>
      <c r="AA616" s="10" t="e">
        <f>VLOOKUP(AJ608,'CIR Team Info'!$C$5:$E$44,4,FALSE)</f>
        <v>#N/A</v>
      </c>
      <c r="AB616" s="161" t="b">
        <f>ISNUMBER(VLOOKUP(AJ608,Match!$T$5:$T$10,1,FALSE))</f>
        <v>0</v>
      </c>
      <c r="AC616" s="161" t="b">
        <f>IF(AB616=TRUE,(VLOOKUP($AJ608,Match!$T$5:$U$10,2,FALSE)))</f>
        <v>0</v>
      </c>
      <c r="AD616" s="8">
        <v>3</v>
      </c>
      <c r="AE616" s="8">
        <v>2</v>
      </c>
      <c r="AF616" s="8">
        <v>2</v>
      </c>
      <c r="AG616" s="8">
        <v>1</v>
      </c>
      <c r="AH616" s="8" t="str">
        <f t="shared" si="186"/>
        <v/>
      </c>
    </row>
    <row r="617" spans="1:34" x14ac:dyDescent="0.25">
      <c r="A617" s="29">
        <f t="shared" si="177"/>
        <v>0</v>
      </c>
      <c r="B617" s="29">
        <f t="shared" si="171"/>
        <v>0</v>
      </c>
      <c r="C617" s="29">
        <f t="shared" si="172"/>
        <v>0</v>
      </c>
      <c r="D617" s="29">
        <f t="shared" si="173"/>
        <v>0</v>
      </c>
      <c r="E617" s="29">
        <f t="shared" si="178"/>
        <v>0</v>
      </c>
      <c r="F617" s="29">
        <f t="shared" si="179"/>
        <v>0</v>
      </c>
      <c r="G617" s="29" t="str">
        <f t="shared" si="180"/>
        <v>offensive</v>
      </c>
      <c r="H617" s="16">
        <f t="shared" si="184"/>
        <v>0</v>
      </c>
      <c r="I617" s="16">
        <f t="shared" si="185"/>
        <v>0</v>
      </c>
      <c r="J617" s="16">
        <f t="shared" si="174"/>
        <v>0</v>
      </c>
      <c r="K617" s="16">
        <f t="shared" si="181"/>
        <v>0</v>
      </c>
      <c r="L617" s="67">
        <f t="shared" si="182"/>
        <v>0</v>
      </c>
      <c r="M617" s="4">
        <f t="shared" si="175"/>
        <v>0</v>
      </c>
      <c r="N617" s="4">
        <f t="shared" si="176"/>
        <v>0</v>
      </c>
      <c r="O617" s="4">
        <f t="shared" si="183"/>
        <v>0</v>
      </c>
      <c r="P617" s="4" t="e">
        <f>VLOOKUP(AJ609,'CIR Team Info'!$C$5:$E$44,2,FALSE)</f>
        <v>#N/A</v>
      </c>
      <c r="Q617" s="4" t="e">
        <f>VLOOKUP(AJ609,'CIR Team Info'!$C$5:$E$44,3,FALSE)</f>
        <v>#N/A</v>
      </c>
      <c r="R617" s="10" t="e">
        <f>VLOOKUP(AJ609,'FRC Site Data'!$B$3:$L$42,2,FALSE)</f>
        <v>#N/A</v>
      </c>
      <c r="S617" s="10" t="e">
        <f>VLOOKUP(AJ609,'FRC Site Data'!$B$3:$L$42,3,FALSE)</f>
        <v>#N/A</v>
      </c>
      <c r="T617" s="10" t="e">
        <f>VLOOKUP(AJ609,'FRC Site Data'!$B$3:$L$42,4,FALSE)</f>
        <v>#N/A</v>
      </c>
      <c r="U617" s="10" t="e">
        <f>VLOOKUP(AJ609,'FRC Site Data'!$B$3:$L$42,5,FALSE)</f>
        <v>#N/A</v>
      </c>
      <c r="V617" s="10" t="e">
        <f>VLOOKUP(AJ609,'FRC Site Data'!$B$3:$L$42,6,FALSE)</f>
        <v>#N/A</v>
      </c>
      <c r="W617" s="10" t="e">
        <f>VLOOKUP(AJ609,'FRC Site Data'!$B$3:$L$42,8,FALSE)</f>
        <v>#N/A</v>
      </c>
      <c r="X617" s="10" t="e">
        <f>VLOOKUP(AJ609,'FRC Site Data'!$B$3:$L$42,9,FALSE)</f>
        <v>#N/A</v>
      </c>
      <c r="Y617" s="10" t="e">
        <f>VLOOKUP(AJ609,'FRC Site Data'!$B$3:$L$42,10,FALSE)</f>
        <v>#N/A</v>
      </c>
      <c r="Z617" s="10" t="e">
        <f>VLOOKUP(AJ609,'FRC Site Data'!$B$3:$L$42,11,FALSE)</f>
        <v>#N/A</v>
      </c>
      <c r="AA617" s="10" t="e">
        <f>VLOOKUP(AJ609,'CIR Team Info'!$C$5:$E$44,4,FALSE)</f>
        <v>#N/A</v>
      </c>
      <c r="AB617" s="161" t="b">
        <f>ISNUMBER(VLOOKUP(AJ609,Match!$T$5:$T$10,1,FALSE))</f>
        <v>0</v>
      </c>
      <c r="AC617" s="161" t="b">
        <f>IF(AB617=TRUE,(VLOOKUP($AJ609,Match!$T$5:$U$10,2,FALSE)))</f>
        <v>0</v>
      </c>
      <c r="AD617" s="8">
        <v>3</v>
      </c>
      <c r="AE617" s="8">
        <v>2</v>
      </c>
      <c r="AF617" s="8">
        <v>2</v>
      </c>
      <c r="AG617" s="8">
        <v>1</v>
      </c>
      <c r="AH617" s="8" t="str">
        <f t="shared" si="186"/>
        <v/>
      </c>
    </row>
    <row r="618" spans="1:34" x14ac:dyDescent="0.25">
      <c r="A618" s="29">
        <f t="shared" si="177"/>
        <v>0</v>
      </c>
      <c r="B618" s="29">
        <f t="shared" si="171"/>
        <v>0</v>
      </c>
      <c r="C618" s="29">
        <f t="shared" si="172"/>
        <v>0</v>
      </c>
      <c r="D618" s="29">
        <f t="shared" si="173"/>
        <v>0</v>
      </c>
      <c r="E618" s="29">
        <f t="shared" si="178"/>
        <v>0</v>
      </c>
      <c r="F618" s="29">
        <f t="shared" si="179"/>
        <v>0</v>
      </c>
      <c r="G618" s="29" t="str">
        <f t="shared" si="180"/>
        <v>offensive</v>
      </c>
      <c r="H618" s="16">
        <f t="shared" si="184"/>
        <v>0</v>
      </c>
      <c r="I618" s="16">
        <f t="shared" si="185"/>
        <v>0</v>
      </c>
      <c r="J618" s="16">
        <f t="shared" si="174"/>
        <v>0</v>
      </c>
      <c r="K618" s="16">
        <f t="shared" si="181"/>
        <v>0</v>
      </c>
      <c r="L618" s="67">
        <f t="shared" si="182"/>
        <v>0</v>
      </c>
      <c r="M618" s="4">
        <f t="shared" si="175"/>
        <v>0</v>
      </c>
      <c r="N618" s="4">
        <f t="shared" si="176"/>
        <v>0</v>
      </c>
      <c r="O618" s="4">
        <f t="shared" si="183"/>
        <v>0</v>
      </c>
      <c r="P618" s="4" t="e">
        <f>VLOOKUP(AJ610,'CIR Team Info'!$C$5:$E$44,2,FALSE)</f>
        <v>#N/A</v>
      </c>
      <c r="Q618" s="4" t="e">
        <f>VLOOKUP(AJ610,'CIR Team Info'!$C$5:$E$44,3,FALSE)</f>
        <v>#N/A</v>
      </c>
      <c r="R618" s="10" t="e">
        <f>VLOOKUP(AJ610,'FRC Site Data'!$B$3:$L$42,2,FALSE)</f>
        <v>#N/A</v>
      </c>
      <c r="S618" s="10" t="e">
        <f>VLOOKUP(AJ610,'FRC Site Data'!$B$3:$L$42,3,FALSE)</f>
        <v>#N/A</v>
      </c>
      <c r="T618" s="10" t="e">
        <f>VLOOKUP(AJ610,'FRC Site Data'!$B$3:$L$42,4,FALSE)</f>
        <v>#N/A</v>
      </c>
      <c r="U618" s="10" t="e">
        <f>VLOOKUP(AJ610,'FRC Site Data'!$B$3:$L$42,5,FALSE)</f>
        <v>#N/A</v>
      </c>
      <c r="V618" s="10" t="e">
        <f>VLOOKUP(AJ610,'FRC Site Data'!$B$3:$L$42,6,FALSE)</f>
        <v>#N/A</v>
      </c>
      <c r="W618" s="10" t="e">
        <f>VLOOKUP(AJ610,'FRC Site Data'!$B$3:$L$42,8,FALSE)</f>
        <v>#N/A</v>
      </c>
      <c r="X618" s="10" t="e">
        <f>VLOOKUP(AJ610,'FRC Site Data'!$B$3:$L$42,9,FALSE)</f>
        <v>#N/A</v>
      </c>
      <c r="Y618" s="10" t="e">
        <f>VLOOKUP(AJ610,'FRC Site Data'!$B$3:$L$42,10,FALSE)</f>
        <v>#N/A</v>
      </c>
      <c r="Z618" s="10" t="e">
        <f>VLOOKUP(AJ610,'FRC Site Data'!$B$3:$L$42,11,FALSE)</f>
        <v>#N/A</v>
      </c>
      <c r="AA618" s="10" t="e">
        <f>VLOOKUP(AJ610,'CIR Team Info'!$C$5:$E$44,4,FALSE)</f>
        <v>#N/A</v>
      </c>
      <c r="AB618" s="161" t="b">
        <f>ISNUMBER(VLOOKUP(AJ610,Match!$T$5:$T$10,1,FALSE))</f>
        <v>0</v>
      </c>
      <c r="AC618" s="161" t="b">
        <f>IF(AB618=TRUE,(VLOOKUP($AJ610,Match!$T$5:$U$10,2,FALSE)))</f>
        <v>0</v>
      </c>
      <c r="AD618" s="8">
        <v>3</v>
      </c>
      <c r="AE618" s="8">
        <v>2</v>
      </c>
      <c r="AF618" s="8">
        <v>2</v>
      </c>
      <c r="AG618" s="8">
        <v>1</v>
      </c>
      <c r="AH618" s="8" t="str">
        <f t="shared" si="186"/>
        <v/>
      </c>
    </row>
    <row r="619" spans="1:34" x14ac:dyDescent="0.25">
      <c r="A619" s="29">
        <f t="shared" si="177"/>
        <v>0</v>
      </c>
      <c r="B619" s="29">
        <f t="shared" si="171"/>
        <v>0</v>
      </c>
      <c r="C619" s="29">
        <f t="shared" si="172"/>
        <v>0</v>
      </c>
      <c r="D619" s="29">
        <f t="shared" si="173"/>
        <v>0</v>
      </c>
      <c r="E619" s="29">
        <f t="shared" si="178"/>
        <v>0</v>
      </c>
      <c r="F619" s="29">
        <f t="shared" si="179"/>
        <v>0</v>
      </c>
      <c r="G619" s="29" t="str">
        <f t="shared" si="180"/>
        <v>offensive</v>
      </c>
      <c r="H619" s="16">
        <f t="shared" si="184"/>
        <v>0</v>
      </c>
      <c r="I619" s="16">
        <f t="shared" si="185"/>
        <v>0</v>
      </c>
      <c r="J619" s="16">
        <f t="shared" si="174"/>
        <v>0</v>
      </c>
      <c r="K619" s="16">
        <f t="shared" si="181"/>
        <v>0</v>
      </c>
      <c r="L619" s="67">
        <f t="shared" si="182"/>
        <v>0</v>
      </c>
      <c r="M619" s="4">
        <f t="shared" si="175"/>
        <v>0</v>
      </c>
      <c r="N619" s="4">
        <f t="shared" si="176"/>
        <v>0</v>
      </c>
      <c r="O619" s="4">
        <f t="shared" si="183"/>
        <v>0</v>
      </c>
      <c r="P619" s="4" t="e">
        <f>VLOOKUP(AJ611,'CIR Team Info'!$C$5:$E$44,2,FALSE)</f>
        <v>#N/A</v>
      </c>
      <c r="Q619" s="4" t="e">
        <f>VLOOKUP(AJ611,'CIR Team Info'!$C$5:$E$44,3,FALSE)</f>
        <v>#N/A</v>
      </c>
      <c r="R619" s="10" t="e">
        <f>VLOOKUP(AJ611,'FRC Site Data'!$B$3:$L$42,2,FALSE)</f>
        <v>#N/A</v>
      </c>
      <c r="S619" s="10" t="e">
        <f>VLOOKUP(AJ611,'FRC Site Data'!$B$3:$L$42,3,FALSE)</f>
        <v>#N/A</v>
      </c>
      <c r="T619" s="10" t="e">
        <f>VLOOKUP(AJ611,'FRC Site Data'!$B$3:$L$42,4,FALSE)</f>
        <v>#N/A</v>
      </c>
      <c r="U619" s="10" t="e">
        <f>VLOOKUP(AJ611,'FRC Site Data'!$B$3:$L$42,5,FALSE)</f>
        <v>#N/A</v>
      </c>
      <c r="V619" s="10" t="e">
        <f>VLOOKUP(AJ611,'FRC Site Data'!$B$3:$L$42,6,FALSE)</f>
        <v>#N/A</v>
      </c>
      <c r="W619" s="10" t="e">
        <f>VLOOKUP(AJ611,'FRC Site Data'!$B$3:$L$42,8,FALSE)</f>
        <v>#N/A</v>
      </c>
      <c r="X619" s="10" t="e">
        <f>VLOOKUP(AJ611,'FRC Site Data'!$B$3:$L$42,9,FALSE)</f>
        <v>#N/A</v>
      </c>
      <c r="Y619" s="10" t="e">
        <f>VLOOKUP(AJ611,'FRC Site Data'!$B$3:$L$42,10,FALSE)</f>
        <v>#N/A</v>
      </c>
      <c r="Z619" s="10" t="e">
        <f>VLOOKUP(AJ611,'FRC Site Data'!$B$3:$L$42,11,FALSE)</f>
        <v>#N/A</v>
      </c>
      <c r="AA619" s="10" t="e">
        <f>VLOOKUP(AJ611,'CIR Team Info'!$C$5:$E$44,4,FALSE)</f>
        <v>#N/A</v>
      </c>
      <c r="AB619" s="161" t="b">
        <f>ISNUMBER(VLOOKUP(AJ611,Match!$T$5:$T$10,1,FALSE))</f>
        <v>0</v>
      </c>
      <c r="AC619" s="161" t="b">
        <f>IF(AB619=TRUE,(VLOOKUP($AJ611,Match!$T$5:$U$10,2,FALSE)))</f>
        <v>0</v>
      </c>
      <c r="AD619" s="8">
        <v>3</v>
      </c>
      <c r="AE619" s="8">
        <v>2</v>
      </c>
      <c r="AF619" s="8">
        <v>2</v>
      </c>
      <c r="AG619" s="8">
        <v>1</v>
      </c>
      <c r="AH619" s="8" t="str">
        <f t="shared" si="186"/>
        <v/>
      </c>
    </row>
    <row r="620" spans="1:34" x14ac:dyDescent="0.25">
      <c r="A620" s="29">
        <f t="shared" si="177"/>
        <v>0</v>
      </c>
      <c r="B620" s="29">
        <f t="shared" si="171"/>
        <v>0</v>
      </c>
      <c r="C620" s="29">
        <f t="shared" si="172"/>
        <v>0</v>
      </c>
      <c r="D620" s="29">
        <f t="shared" si="173"/>
        <v>0</v>
      </c>
      <c r="E620" s="29">
        <f t="shared" si="178"/>
        <v>0</v>
      </c>
      <c r="F620" s="29">
        <f t="shared" si="179"/>
        <v>0</v>
      </c>
      <c r="G620" s="29" t="str">
        <f t="shared" si="180"/>
        <v>offensive</v>
      </c>
      <c r="H620" s="16">
        <f t="shared" si="184"/>
        <v>0</v>
      </c>
      <c r="I620" s="16">
        <f t="shared" si="185"/>
        <v>0</v>
      </c>
      <c r="J620" s="16">
        <f t="shared" si="174"/>
        <v>0</v>
      </c>
      <c r="K620" s="16">
        <f t="shared" si="181"/>
        <v>0</v>
      </c>
      <c r="L620" s="67">
        <f t="shared" si="182"/>
        <v>0</v>
      </c>
      <c r="M620" s="4">
        <f t="shared" si="175"/>
        <v>0</v>
      </c>
      <c r="N620" s="4">
        <f t="shared" si="176"/>
        <v>0</v>
      </c>
      <c r="O620" s="4">
        <f t="shared" si="183"/>
        <v>0</v>
      </c>
      <c r="P620" s="4" t="e">
        <f>VLOOKUP(AJ612,'CIR Team Info'!$C$5:$E$44,2,FALSE)</f>
        <v>#N/A</v>
      </c>
      <c r="Q620" s="4" t="e">
        <f>VLOOKUP(AJ612,'CIR Team Info'!$C$5:$E$44,3,FALSE)</f>
        <v>#N/A</v>
      </c>
      <c r="R620" s="10" t="e">
        <f>VLOOKUP(AJ612,'FRC Site Data'!$B$3:$L$42,2,FALSE)</f>
        <v>#N/A</v>
      </c>
      <c r="S620" s="10" t="e">
        <f>VLOOKUP(AJ612,'FRC Site Data'!$B$3:$L$42,3,FALSE)</f>
        <v>#N/A</v>
      </c>
      <c r="T620" s="10" t="e">
        <f>VLOOKUP(AJ612,'FRC Site Data'!$B$3:$L$42,4,FALSE)</f>
        <v>#N/A</v>
      </c>
      <c r="U620" s="10" t="e">
        <f>VLOOKUP(AJ612,'FRC Site Data'!$B$3:$L$42,5,FALSE)</f>
        <v>#N/A</v>
      </c>
      <c r="V620" s="10" t="e">
        <f>VLOOKUP(AJ612,'FRC Site Data'!$B$3:$L$42,6,FALSE)</f>
        <v>#N/A</v>
      </c>
      <c r="W620" s="10" t="e">
        <f>VLOOKUP(AJ612,'FRC Site Data'!$B$3:$L$42,8,FALSE)</f>
        <v>#N/A</v>
      </c>
      <c r="X620" s="10" t="e">
        <f>VLOOKUP(AJ612,'FRC Site Data'!$B$3:$L$42,9,FALSE)</f>
        <v>#N/A</v>
      </c>
      <c r="Y620" s="10" t="e">
        <f>VLOOKUP(AJ612,'FRC Site Data'!$B$3:$L$42,10,FALSE)</f>
        <v>#N/A</v>
      </c>
      <c r="Z620" s="10" t="e">
        <f>VLOOKUP(AJ612,'FRC Site Data'!$B$3:$L$42,11,FALSE)</f>
        <v>#N/A</v>
      </c>
      <c r="AA620" s="10" t="e">
        <f>VLOOKUP(AJ612,'CIR Team Info'!$C$5:$E$44,4,FALSE)</f>
        <v>#N/A</v>
      </c>
      <c r="AB620" s="161" t="b">
        <f>ISNUMBER(VLOOKUP(AJ612,Match!$T$5:$T$10,1,FALSE))</f>
        <v>0</v>
      </c>
      <c r="AC620" s="161" t="b">
        <f>IF(AB620=TRUE,(VLOOKUP($AJ612,Match!$T$5:$U$10,2,FALSE)))</f>
        <v>0</v>
      </c>
      <c r="AD620" s="8">
        <v>3</v>
      </c>
      <c r="AE620" s="8">
        <v>2</v>
      </c>
      <c r="AF620" s="8">
        <v>2</v>
      </c>
      <c r="AG620" s="8">
        <v>1</v>
      </c>
      <c r="AH620" s="8" t="str">
        <f t="shared" si="186"/>
        <v/>
      </c>
    </row>
    <row r="621" spans="1:34" x14ac:dyDescent="0.25">
      <c r="A621" s="29">
        <f t="shared" si="177"/>
        <v>0</v>
      </c>
      <c r="B621" s="29">
        <f t="shared" si="171"/>
        <v>0</v>
      </c>
      <c r="C621" s="29">
        <f t="shared" si="172"/>
        <v>0</v>
      </c>
      <c r="D621" s="29">
        <f t="shared" si="173"/>
        <v>0</v>
      </c>
      <c r="E621" s="29">
        <f t="shared" si="178"/>
        <v>0</v>
      </c>
      <c r="F621" s="29">
        <f t="shared" si="179"/>
        <v>0</v>
      </c>
      <c r="G621" s="29" t="str">
        <f t="shared" si="180"/>
        <v>offensive</v>
      </c>
      <c r="H621" s="16">
        <f t="shared" si="184"/>
        <v>0</v>
      </c>
      <c r="I621" s="16">
        <f t="shared" si="185"/>
        <v>0</v>
      </c>
      <c r="J621" s="16">
        <f t="shared" si="174"/>
        <v>0</v>
      </c>
      <c r="K621" s="16">
        <f t="shared" si="181"/>
        <v>0</v>
      </c>
      <c r="L621" s="67">
        <f t="shared" si="182"/>
        <v>0</v>
      </c>
      <c r="M621" s="4">
        <f t="shared" si="175"/>
        <v>0</v>
      </c>
      <c r="N621" s="4">
        <f t="shared" si="176"/>
        <v>0</v>
      </c>
      <c r="O621" s="4">
        <f t="shared" si="183"/>
        <v>0</v>
      </c>
      <c r="P621" s="4" t="e">
        <f>VLOOKUP(AJ613,'CIR Team Info'!$C$5:$E$44,2,FALSE)</f>
        <v>#N/A</v>
      </c>
      <c r="Q621" s="4" t="e">
        <f>VLOOKUP(AJ613,'CIR Team Info'!$C$5:$E$44,3,FALSE)</f>
        <v>#N/A</v>
      </c>
      <c r="R621" s="10" t="e">
        <f>VLOOKUP(AJ613,'FRC Site Data'!$B$3:$L$42,2,FALSE)</f>
        <v>#N/A</v>
      </c>
      <c r="S621" s="10" t="e">
        <f>VLOOKUP(AJ613,'FRC Site Data'!$B$3:$L$42,3,FALSE)</f>
        <v>#N/A</v>
      </c>
      <c r="T621" s="10" t="e">
        <f>VLOOKUP(AJ613,'FRC Site Data'!$B$3:$L$42,4,FALSE)</f>
        <v>#N/A</v>
      </c>
      <c r="U621" s="10" t="e">
        <f>VLOOKUP(AJ613,'FRC Site Data'!$B$3:$L$42,5,FALSE)</f>
        <v>#N/A</v>
      </c>
      <c r="V621" s="10" t="e">
        <f>VLOOKUP(AJ613,'FRC Site Data'!$B$3:$L$42,6,FALSE)</f>
        <v>#N/A</v>
      </c>
      <c r="W621" s="10" t="e">
        <f>VLOOKUP(AJ613,'FRC Site Data'!$B$3:$L$42,8,FALSE)</f>
        <v>#N/A</v>
      </c>
      <c r="X621" s="10" t="e">
        <f>VLOOKUP(AJ613,'FRC Site Data'!$B$3:$L$42,9,FALSE)</f>
        <v>#N/A</v>
      </c>
      <c r="Y621" s="10" t="e">
        <f>VLOOKUP(AJ613,'FRC Site Data'!$B$3:$L$42,10,FALSE)</f>
        <v>#N/A</v>
      </c>
      <c r="Z621" s="10" t="e">
        <f>VLOOKUP(AJ613,'FRC Site Data'!$B$3:$L$42,11,FALSE)</f>
        <v>#N/A</v>
      </c>
      <c r="AA621" s="10" t="e">
        <f>VLOOKUP(AJ613,'CIR Team Info'!$C$5:$E$44,4,FALSE)</f>
        <v>#N/A</v>
      </c>
      <c r="AB621" s="161" t="b">
        <f>ISNUMBER(VLOOKUP(AJ613,Match!$T$5:$T$10,1,FALSE))</f>
        <v>0</v>
      </c>
      <c r="AC621" s="161" t="b">
        <f>IF(AB621=TRUE,(VLOOKUP($AJ613,Match!$T$5:$U$10,2,FALSE)))</f>
        <v>0</v>
      </c>
      <c r="AD621" s="8">
        <v>3</v>
      </c>
      <c r="AE621" s="8">
        <v>2</v>
      </c>
      <c r="AF621" s="8">
        <v>2</v>
      </c>
      <c r="AG621" s="8">
        <v>1</v>
      </c>
      <c r="AH621" s="8" t="str">
        <f t="shared" si="186"/>
        <v/>
      </c>
    </row>
    <row r="622" spans="1:34" x14ac:dyDescent="0.25">
      <c r="A622" s="29">
        <f t="shared" si="177"/>
        <v>0</v>
      </c>
      <c r="B622" s="29">
        <f t="shared" si="171"/>
        <v>0</v>
      </c>
      <c r="C622" s="29">
        <f t="shared" si="172"/>
        <v>0</v>
      </c>
      <c r="D622" s="29">
        <f t="shared" si="173"/>
        <v>0</v>
      </c>
      <c r="E622" s="29">
        <f t="shared" si="178"/>
        <v>0</v>
      </c>
      <c r="F622" s="29">
        <f t="shared" si="179"/>
        <v>0</v>
      </c>
      <c r="G622" s="29" t="str">
        <f t="shared" si="180"/>
        <v>offensive</v>
      </c>
      <c r="H622" s="16">
        <f t="shared" si="184"/>
        <v>0</v>
      </c>
      <c r="I622" s="16">
        <f t="shared" si="185"/>
        <v>0</v>
      </c>
      <c r="J622" s="16">
        <f t="shared" si="174"/>
        <v>0</v>
      </c>
      <c r="K622" s="16">
        <f t="shared" si="181"/>
        <v>0</v>
      </c>
      <c r="L622" s="67">
        <f t="shared" si="182"/>
        <v>0</v>
      </c>
      <c r="M622" s="4">
        <f t="shared" si="175"/>
        <v>0</v>
      </c>
      <c r="N622" s="4">
        <f t="shared" si="176"/>
        <v>0</v>
      </c>
      <c r="O622" s="4">
        <f t="shared" si="183"/>
        <v>0</v>
      </c>
      <c r="P622" s="4" t="e">
        <f>VLOOKUP(AJ614,'CIR Team Info'!$C$5:$E$44,2,FALSE)</f>
        <v>#N/A</v>
      </c>
      <c r="Q622" s="4" t="e">
        <f>VLOOKUP(AJ614,'CIR Team Info'!$C$5:$E$44,3,FALSE)</f>
        <v>#N/A</v>
      </c>
      <c r="R622" s="10" t="e">
        <f>VLOOKUP(AJ614,'FRC Site Data'!$B$3:$L$42,2,FALSE)</f>
        <v>#N/A</v>
      </c>
      <c r="S622" s="10" t="e">
        <f>VLOOKUP(AJ614,'FRC Site Data'!$B$3:$L$42,3,FALSE)</f>
        <v>#N/A</v>
      </c>
      <c r="T622" s="10" t="e">
        <f>VLOOKUP(AJ614,'FRC Site Data'!$B$3:$L$42,4,FALSE)</f>
        <v>#N/A</v>
      </c>
      <c r="U622" s="10" t="e">
        <f>VLOOKUP(AJ614,'FRC Site Data'!$B$3:$L$42,5,FALSE)</f>
        <v>#N/A</v>
      </c>
      <c r="V622" s="10" t="e">
        <f>VLOOKUP(AJ614,'FRC Site Data'!$B$3:$L$42,6,FALSE)</f>
        <v>#N/A</v>
      </c>
      <c r="W622" s="10" t="e">
        <f>VLOOKUP(AJ614,'FRC Site Data'!$B$3:$L$42,8,FALSE)</f>
        <v>#N/A</v>
      </c>
      <c r="X622" s="10" t="e">
        <f>VLOOKUP(AJ614,'FRC Site Data'!$B$3:$L$42,9,FALSE)</f>
        <v>#N/A</v>
      </c>
      <c r="Y622" s="10" t="e">
        <f>VLOOKUP(AJ614,'FRC Site Data'!$B$3:$L$42,10,FALSE)</f>
        <v>#N/A</v>
      </c>
      <c r="Z622" s="10" t="e">
        <f>VLOOKUP(AJ614,'FRC Site Data'!$B$3:$L$42,11,FALSE)</f>
        <v>#N/A</v>
      </c>
      <c r="AA622" s="10" t="e">
        <f>VLOOKUP(AJ614,'CIR Team Info'!$C$5:$E$44,4,FALSE)</f>
        <v>#N/A</v>
      </c>
      <c r="AB622" s="161" t="b">
        <f>ISNUMBER(VLOOKUP(AJ614,Match!$T$5:$T$10,1,FALSE))</f>
        <v>0</v>
      </c>
      <c r="AC622" s="161" t="b">
        <f>IF(AB622=TRUE,(VLOOKUP($AJ614,Match!$T$5:$U$10,2,FALSE)))</f>
        <v>0</v>
      </c>
      <c r="AD622" s="8">
        <v>3</v>
      </c>
      <c r="AE622" s="8">
        <v>2</v>
      </c>
      <c r="AF622" s="8">
        <v>2</v>
      </c>
      <c r="AG622" s="8">
        <v>1</v>
      </c>
      <c r="AH622" s="8" t="str">
        <f t="shared" si="186"/>
        <v/>
      </c>
    </row>
    <row r="623" spans="1:34" x14ac:dyDescent="0.25">
      <c r="A623" s="29">
        <f t="shared" si="177"/>
        <v>0</v>
      </c>
      <c r="B623" s="29">
        <f t="shared" si="171"/>
        <v>0</v>
      </c>
      <c r="C623" s="29">
        <f t="shared" si="172"/>
        <v>0</v>
      </c>
      <c r="D623" s="29">
        <f t="shared" si="173"/>
        <v>0</v>
      </c>
      <c r="E623" s="29">
        <f t="shared" si="178"/>
        <v>0</v>
      </c>
      <c r="F623" s="29">
        <f t="shared" si="179"/>
        <v>0</v>
      </c>
      <c r="G623" s="29" t="str">
        <f t="shared" si="180"/>
        <v>offensive</v>
      </c>
      <c r="H623" s="16">
        <f t="shared" si="184"/>
        <v>0</v>
      </c>
      <c r="I623" s="16">
        <f t="shared" si="185"/>
        <v>0</v>
      </c>
      <c r="J623" s="16">
        <f t="shared" si="174"/>
        <v>0</v>
      </c>
      <c r="K623" s="16">
        <f t="shared" si="181"/>
        <v>0</v>
      </c>
      <c r="L623" s="67">
        <f t="shared" si="182"/>
        <v>0</v>
      </c>
      <c r="M623" s="4">
        <f t="shared" si="175"/>
        <v>0</v>
      </c>
      <c r="N623" s="4">
        <f t="shared" si="176"/>
        <v>0</v>
      </c>
      <c r="O623" s="4">
        <f t="shared" si="183"/>
        <v>0</v>
      </c>
      <c r="P623" s="4" t="e">
        <f>VLOOKUP(AJ615,'CIR Team Info'!$C$5:$E$44,2,FALSE)</f>
        <v>#N/A</v>
      </c>
      <c r="Q623" s="4" t="e">
        <f>VLOOKUP(AJ615,'CIR Team Info'!$C$5:$E$44,3,FALSE)</f>
        <v>#N/A</v>
      </c>
      <c r="R623" s="10" t="e">
        <f>VLOOKUP(AJ615,'FRC Site Data'!$B$3:$L$42,2,FALSE)</f>
        <v>#N/A</v>
      </c>
      <c r="S623" s="10" t="e">
        <f>VLOOKUP(AJ615,'FRC Site Data'!$B$3:$L$42,3,FALSE)</f>
        <v>#N/A</v>
      </c>
      <c r="T623" s="10" t="e">
        <f>VLOOKUP(AJ615,'FRC Site Data'!$B$3:$L$42,4,FALSE)</f>
        <v>#N/A</v>
      </c>
      <c r="U623" s="10" t="e">
        <f>VLOOKUP(AJ615,'FRC Site Data'!$B$3:$L$42,5,FALSE)</f>
        <v>#N/A</v>
      </c>
      <c r="V623" s="10" t="e">
        <f>VLOOKUP(AJ615,'FRC Site Data'!$B$3:$L$42,6,FALSE)</f>
        <v>#N/A</v>
      </c>
      <c r="W623" s="10" t="e">
        <f>VLOOKUP(AJ615,'FRC Site Data'!$B$3:$L$42,8,FALSE)</f>
        <v>#N/A</v>
      </c>
      <c r="X623" s="10" t="e">
        <f>VLOOKUP(AJ615,'FRC Site Data'!$B$3:$L$42,9,FALSE)</f>
        <v>#N/A</v>
      </c>
      <c r="Y623" s="10" t="e">
        <f>VLOOKUP(AJ615,'FRC Site Data'!$B$3:$L$42,10,FALSE)</f>
        <v>#N/A</v>
      </c>
      <c r="Z623" s="10" t="e">
        <f>VLOOKUP(AJ615,'FRC Site Data'!$B$3:$L$42,11,FALSE)</f>
        <v>#N/A</v>
      </c>
      <c r="AA623" s="10" t="e">
        <f>VLOOKUP(AJ615,'CIR Team Info'!$C$5:$E$44,4,FALSE)</f>
        <v>#N/A</v>
      </c>
      <c r="AB623" s="161" t="b">
        <f>ISNUMBER(VLOOKUP(AJ615,Match!$T$5:$T$10,1,FALSE))</f>
        <v>0</v>
      </c>
      <c r="AC623" s="161" t="b">
        <f>IF(AB623=TRUE,(VLOOKUP($AJ615,Match!$T$5:$U$10,2,FALSE)))</f>
        <v>0</v>
      </c>
      <c r="AD623" s="8">
        <v>3</v>
      </c>
      <c r="AE623" s="8">
        <v>2</v>
      </c>
      <c r="AF623" s="8">
        <v>2</v>
      </c>
      <c r="AG623" s="8">
        <v>1</v>
      </c>
      <c r="AH623" s="8" t="str">
        <f t="shared" si="186"/>
        <v/>
      </c>
    </row>
    <row r="624" spans="1:34" x14ac:dyDescent="0.25">
      <c r="A624" s="29">
        <f t="shared" si="177"/>
        <v>0</v>
      </c>
      <c r="B624" s="29">
        <f t="shared" si="171"/>
        <v>0</v>
      </c>
      <c r="C624" s="29">
        <f t="shared" si="172"/>
        <v>0</v>
      </c>
      <c r="D624" s="29">
        <f t="shared" si="173"/>
        <v>0</v>
      </c>
      <c r="E624" s="29">
        <f t="shared" si="178"/>
        <v>0</v>
      </c>
      <c r="F624" s="29">
        <f t="shared" si="179"/>
        <v>0</v>
      </c>
      <c r="G624" s="29" t="str">
        <f t="shared" si="180"/>
        <v>offensive</v>
      </c>
      <c r="H624" s="16">
        <f t="shared" si="184"/>
        <v>0</v>
      </c>
      <c r="I624" s="16">
        <f t="shared" si="185"/>
        <v>0</v>
      </c>
      <c r="J624" s="16">
        <f t="shared" si="174"/>
        <v>0</v>
      </c>
      <c r="K624" s="16">
        <f t="shared" si="181"/>
        <v>0</v>
      </c>
      <c r="L624" s="67">
        <f t="shared" si="182"/>
        <v>0</v>
      </c>
      <c r="M624" s="4">
        <f t="shared" si="175"/>
        <v>0</v>
      </c>
      <c r="N624" s="4">
        <f t="shared" si="176"/>
        <v>0</v>
      </c>
      <c r="O624" s="4">
        <f t="shared" si="183"/>
        <v>0</v>
      </c>
      <c r="P624" s="4" t="e">
        <f>VLOOKUP(AJ616,'CIR Team Info'!$C$5:$E$44,2,FALSE)</f>
        <v>#N/A</v>
      </c>
      <c r="Q624" s="4" t="e">
        <f>VLOOKUP(AJ616,'CIR Team Info'!$C$5:$E$44,3,FALSE)</f>
        <v>#N/A</v>
      </c>
      <c r="R624" s="10" t="e">
        <f>VLOOKUP(AJ616,'FRC Site Data'!$B$3:$L$42,2,FALSE)</f>
        <v>#N/A</v>
      </c>
      <c r="S624" s="10" t="e">
        <f>VLOOKUP(AJ616,'FRC Site Data'!$B$3:$L$42,3,FALSE)</f>
        <v>#N/A</v>
      </c>
      <c r="T624" s="10" t="e">
        <f>VLOOKUP(AJ616,'FRC Site Data'!$B$3:$L$42,4,FALSE)</f>
        <v>#N/A</v>
      </c>
      <c r="U624" s="10" t="e">
        <f>VLOOKUP(AJ616,'FRC Site Data'!$B$3:$L$42,5,FALSE)</f>
        <v>#N/A</v>
      </c>
      <c r="V624" s="10" t="e">
        <f>VLOOKUP(AJ616,'FRC Site Data'!$B$3:$L$42,6,FALSE)</f>
        <v>#N/A</v>
      </c>
      <c r="W624" s="10" t="e">
        <f>VLOOKUP(AJ616,'FRC Site Data'!$B$3:$L$42,8,FALSE)</f>
        <v>#N/A</v>
      </c>
      <c r="X624" s="10" t="e">
        <f>VLOOKUP(AJ616,'FRC Site Data'!$B$3:$L$42,9,FALSE)</f>
        <v>#N/A</v>
      </c>
      <c r="Y624" s="10" t="e">
        <f>VLOOKUP(AJ616,'FRC Site Data'!$B$3:$L$42,10,FALSE)</f>
        <v>#N/A</v>
      </c>
      <c r="Z624" s="10" t="e">
        <f>VLOOKUP(AJ616,'FRC Site Data'!$B$3:$L$42,11,FALSE)</f>
        <v>#N/A</v>
      </c>
      <c r="AA624" s="10" t="e">
        <f>VLOOKUP(AJ616,'CIR Team Info'!$C$5:$E$44,4,FALSE)</f>
        <v>#N/A</v>
      </c>
      <c r="AB624" s="161" t="b">
        <f>ISNUMBER(VLOOKUP(AJ616,Match!$T$5:$T$10,1,FALSE))</f>
        <v>0</v>
      </c>
      <c r="AC624" s="161" t="b">
        <f>IF(AB624=TRUE,(VLOOKUP($AJ616,Match!$T$5:$U$10,2,FALSE)))</f>
        <v>0</v>
      </c>
      <c r="AD624" s="8">
        <v>3</v>
      </c>
      <c r="AE624" s="8">
        <v>2</v>
      </c>
      <c r="AF624" s="8">
        <v>2</v>
      </c>
      <c r="AG624" s="8">
        <v>1</v>
      </c>
      <c r="AH624" s="8" t="str">
        <f t="shared" si="186"/>
        <v/>
      </c>
    </row>
    <row r="625" spans="1:34" x14ac:dyDescent="0.25">
      <c r="A625" s="29">
        <f t="shared" si="177"/>
        <v>0</v>
      </c>
      <c r="B625" s="29">
        <f t="shared" si="171"/>
        <v>0</v>
      </c>
      <c r="C625" s="29">
        <f t="shared" si="172"/>
        <v>0</v>
      </c>
      <c r="D625" s="29">
        <f t="shared" si="173"/>
        <v>0</v>
      </c>
      <c r="E625" s="29">
        <f t="shared" si="178"/>
        <v>0</v>
      </c>
      <c r="F625" s="29">
        <f t="shared" si="179"/>
        <v>0</v>
      </c>
      <c r="G625" s="29" t="str">
        <f t="shared" si="180"/>
        <v>offensive</v>
      </c>
      <c r="H625" s="16">
        <f t="shared" si="184"/>
        <v>0</v>
      </c>
      <c r="I625" s="16">
        <f t="shared" si="185"/>
        <v>0</v>
      </c>
      <c r="J625" s="16">
        <f t="shared" si="174"/>
        <v>0</v>
      </c>
      <c r="K625" s="16">
        <f t="shared" si="181"/>
        <v>0</v>
      </c>
      <c r="L625" s="67">
        <f t="shared" si="182"/>
        <v>0</v>
      </c>
      <c r="M625" s="4">
        <f t="shared" si="175"/>
        <v>0</v>
      </c>
      <c r="N625" s="4">
        <f t="shared" si="176"/>
        <v>0</v>
      </c>
      <c r="O625" s="4">
        <f t="shared" si="183"/>
        <v>0</v>
      </c>
      <c r="P625" s="4" t="e">
        <f>VLOOKUP(AJ617,'CIR Team Info'!$C$5:$E$44,2,FALSE)</f>
        <v>#N/A</v>
      </c>
      <c r="Q625" s="4" t="e">
        <f>VLOOKUP(AJ617,'CIR Team Info'!$C$5:$E$44,3,FALSE)</f>
        <v>#N/A</v>
      </c>
      <c r="R625" s="10" t="e">
        <f>VLOOKUP(AJ617,'FRC Site Data'!$B$3:$L$42,2,FALSE)</f>
        <v>#N/A</v>
      </c>
      <c r="S625" s="10" t="e">
        <f>VLOOKUP(AJ617,'FRC Site Data'!$B$3:$L$42,3,FALSE)</f>
        <v>#N/A</v>
      </c>
      <c r="T625" s="10" t="e">
        <f>VLOOKUP(AJ617,'FRC Site Data'!$B$3:$L$42,4,FALSE)</f>
        <v>#N/A</v>
      </c>
      <c r="U625" s="10" t="e">
        <f>VLOOKUP(AJ617,'FRC Site Data'!$B$3:$L$42,5,FALSE)</f>
        <v>#N/A</v>
      </c>
      <c r="V625" s="10" t="e">
        <f>VLOOKUP(AJ617,'FRC Site Data'!$B$3:$L$42,6,FALSE)</f>
        <v>#N/A</v>
      </c>
      <c r="W625" s="10" t="e">
        <f>VLOOKUP(AJ617,'FRC Site Data'!$B$3:$L$42,8,FALSE)</f>
        <v>#N/A</v>
      </c>
      <c r="X625" s="10" t="e">
        <f>VLOOKUP(AJ617,'FRC Site Data'!$B$3:$L$42,9,FALSE)</f>
        <v>#N/A</v>
      </c>
      <c r="Y625" s="10" t="e">
        <f>VLOOKUP(AJ617,'FRC Site Data'!$B$3:$L$42,10,FALSE)</f>
        <v>#N/A</v>
      </c>
      <c r="Z625" s="10" t="e">
        <f>VLOOKUP(AJ617,'FRC Site Data'!$B$3:$L$42,11,FALSE)</f>
        <v>#N/A</v>
      </c>
      <c r="AA625" s="10" t="e">
        <f>VLOOKUP(AJ617,'CIR Team Info'!$C$5:$E$44,4,FALSE)</f>
        <v>#N/A</v>
      </c>
      <c r="AB625" s="161" t="b">
        <f>ISNUMBER(VLOOKUP(AJ617,Match!$T$5:$T$10,1,FALSE))</f>
        <v>0</v>
      </c>
      <c r="AC625" s="161" t="b">
        <f>IF(AB625=TRUE,(VLOOKUP($AJ617,Match!$T$5:$U$10,2,FALSE)))</f>
        <v>0</v>
      </c>
      <c r="AD625" s="8">
        <v>3</v>
      </c>
      <c r="AE625" s="8">
        <v>2</v>
      </c>
      <c r="AF625" s="8">
        <v>2</v>
      </c>
      <c r="AG625" s="8">
        <v>1</v>
      </c>
      <c r="AH625" s="8" t="str">
        <f t="shared" si="186"/>
        <v/>
      </c>
    </row>
    <row r="626" spans="1:34" x14ac:dyDescent="0.25">
      <c r="A626" s="29">
        <f t="shared" si="177"/>
        <v>0</v>
      </c>
      <c r="B626" s="29">
        <f t="shared" si="171"/>
        <v>0</v>
      </c>
      <c r="C626" s="29">
        <f t="shared" si="172"/>
        <v>0</v>
      </c>
      <c r="D626" s="29">
        <f t="shared" si="173"/>
        <v>0</v>
      </c>
      <c r="E626" s="29">
        <f t="shared" si="178"/>
        <v>0</v>
      </c>
      <c r="F626" s="29">
        <f t="shared" si="179"/>
        <v>0</v>
      </c>
      <c r="G626" s="29" t="str">
        <f t="shared" si="180"/>
        <v>offensive</v>
      </c>
      <c r="H626" s="16">
        <f t="shared" si="184"/>
        <v>0</v>
      </c>
      <c r="I626" s="16">
        <f t="shared" si="185"/>
        <v>0</v>
      </c>
      <c r="J626" s="16">
        <f t="shared" si="174"/>
        <v>0</v>
      </c>
      <c r="K626" s="16">
        <f t="shared" si="181"/>
        <v>0</v>
      </c>
      <c r="L626" s="67">
        <f t="shared" si="182"/>
        <v>0</v>
      </c>
      <c r="M626" s="4">
        <f t="shared" si="175"/>
        <v>0</v>
      </c>
      <c r="N626" s="4">
        <f t="shared" si="176"/>
        <v>0</v>
      </c>
      <c r="O626" s="4">
        <f t="shared" si="183"/>
        <v>0</v>
      </c>
      <c r="P626" s="4" t="e">
        <f>VLOOKUP(AJ618,'CIR Team Info'!$C$5:$E$44,2,FALSE)</f>
        <v>#N/A</v>
      </c>
      <c r="Q626" s="4" t="e">
        <f>VLOOKUP(AJ618,'CIR Team Info'!$C$5:$E$44,3,FALSE)</f>
        <v>#N/A</v>
      </c>
      <c r="R626" s="10" t="e">
        <f>VLOOKUP(AJ618,'FRC Site Data'!$B$3:$L$42,2,FALSE)</f>
        <v>#N/A</v>
      </c>
      <c r="S626" s="10" t="e">
        <f>VLOOKUP(AJ618,'FRC Site Data'!$B$3:$L$42,3,FALSE)</f>
        <v>#N/A</v>
      </c>
      <c r="T626" s="10" t="e">
        <f>VLOOKUP(AJ618,'FRC Site Data'!$B$3:$L$42,4,FALSE)</f>
        <v>#N/A</v>
      </c>
      <c r="U626" s="10" t="e">
        <f>VLOOKUP(AJ618,'FRC Site Data'!$B$3:$L$42,5,FALSE)</f>
        <v>#N/A</v>
      </c>
      <c r="V626" s="10" t="e">
        <f>VLOOKUP(AJ618,'FRC Site Data'!$B$3:$L$42,6,FALSE)</f>
        <v>#N/A</v>
      </c>
      <c r="W626" s="10" t="e">
        <f>VLOOKUP(AJ618,'FRC Site Data'!$B$3:$L$42,8,FALSE)</f>
        <v>#N/A</v>
      </c>
      <c r="X626" s="10" t="e">
        <f>VLOOKUP(AJ618,'FRC Site Data'!$B$3:$L$42,9,FALSE)</f>
        <v>#N/A</v>
      </c>
      <c r="Y626" s="10" t="e">
        <f>VLOOKUP(AJ618,'FRC Site Data'!$B$3:$L$42,10,FALSE)</f>
        <v>#N/A</v>
      </c>
      <c r="Z626" s="10" t="e">
        <f>VLOOKUP(AJ618,'FRC Site Data'!$B$3:$L$42,11,FALSE)</f>
        <v>#N/A</v>
      </c>
      <c r="AA626" s="10" t="e">
        <f>VLOOKUP(AJ618,'CIR Team Info'!$C$5:$E$44,4,FALSE)</f>
        <v>#N/A</v>
      </c>
      <c r="AB626" s="161" t="b">
        <f>ISNUMBER(VLOOKUP(AJ618,Match!$T$5:$T$10,1,FALSE))</f>
        <v>0</v>
      </c>
      <c r="AC626" s="161" t="b">
        <f>IF(AB626=TRUE,(VLOOKUP($AJ618,Match!$T$5:$U$10,2,FALSE)))</f>
        <v>0</v>
      </c>
      <c r="AD626" s="8">
        <v>3</v>
      </c>
      <c r="AE626" s="8">
        <v>2</v>
      </c>
      <c r="AF626" s="8">
        <v>2</v>
      </c>
      <c r="AG626" s="8">
        <v>1</v>
      </c>
      <c r="AH626" s="8" t="str">
        <f t="shared" si="186"/>
        <v/>
      </c>
    </row>
    <row r="627" spans="1:34" x14ac:dyDescent="0.25">
      <c r="A627" s="29">
        <f t="shared" si="177"/>
        <v>0</v>
      </c>
      <c r="B627" s="29">
        <f t="shared" si="171"/>
        <v>0</v>
      </c>
      <c r="C627" s="29">
        <f t="shared" si="172"/>
        <v>0</v>
      </c>
      <c r="D627" s="29">
        <f t="shared" si="173"/>
        <v>0</v>
      </c>
      <c r="E627" s="29">
        <f t="shared" si="178"/>
        <v>0</v>
      </c>
      <c r="F627" s="29">
        <f t="shared" si="179"/>
        <v>0</v>
      </c>
      <c r="G627" s="29" t="str">
        <f t="shared" si="180"/>
        <v>offensive</v>
      </c>
      <c r="H627" s="16">
        <f t="shared" si="184"/>
        <v>0</v>
      </c>
      <c r="I627" s="16">
        <f t="shared" si="185"/>
        <v>0</v>
      </c>
      <c r="J627" s="16">
        <f t="shared" si="174"/>
        <v>0</v>
      </c>
      <c r="K627" s="16">
        <f t="shared" si="181"/>
        <v>0</v>
      </c>
      <c r="L627" s="67">
        <f t="shared" si="182"/>
        <v>0</v>
      </c>
      <c r="M627" s="4">
        <f t="shared" si="175"/>
        <v>0</v>
      </c>
      <c r="N627" s="4">
        <f t="shared" si="176"/>
        <v>0</v>
      </c>
      <c r="O627" s="4">
        <f t="shared" si="183"/>
        <v>0</v>
      </c>
      <c r="P627" s="4" t="e">
        <f>VLOOKUP(AJ619,'CIR Team Info'!$C$5:$E$44,2,FALSE)</f>
        <v>#N/A</v>
      </c>
      <c r="Q627" s="4" t="e">
        <f>VLOOKUP(AJ619,'CIR Team Info'!$C$5:$E$44,3,FALSE)</f>
        <v>#N/A</v>
      </c>
      <c r="R627" s="10" t="e">
        <f>VLOOKUP(AJ619,'FRC Site Data'!$B$3:$L$42,2,FALSE)</f>
        <v>#N/A</v>
      </c>
      <c r="S627" s="10" t="e">
        <f>VLOOKUP(AJ619,'FRC Site Data'!$B$3:$L$42,3,FALSE)</f>
        <v>#N/A</v>
      </c>
      <c r="T627" s="10" t="e">
        <f>VLOOKUP(AJ619,'FRC Site Data'!$B$3:$L$42,4,FALSE)</f>
        <v>#N/A</v>
      </c>
      <c r="U627" s="10" t="e">
        <f>VLOOKUP(AJ619,'FRC Site Data'!$B$3:$L$42,5,FALSE)</f>
        <v>#N/A</v>
      </c>
      <c r="V627" s="10" t="e">
        <f>VLOOKUP(AJ619,'FRC Site Data'!$B$3:$L$42,6,FALSE)</f>
        <v>#N/A</v>
      </c>
      <c r="W627" s="10" t="e">
        <f>VLOOKUP(AJ619,'FRC Site Data'!$B$3:$L$42,8,FALSE)</f>
        <v>#N/A</v>
      </c>
      <c r="X627" s="10" t="e">
        <f>VLOOKUP(AJ619,'FRC Site Data'!$B$3:$L$42,9,FALSE)</f>
        <v>#N/A</v>
      </c>
      <c r="Y627" s="10" t="e">
        <f>VLOOKUP(AJ619,'FRC Site Data'!$B$3:$L$42,10,FALSE)</f>
        <v>#N/A</v>
      </c>
      <c r="Z627" s="10" t="e">
        <f>VLOOKUP(AJ619,'FRC Site Data'!$B$3:$L$42,11,FALSE)</f>
        <v>#N/A</v>
      </c>
      <c r="AA627" s="10" t="e">
        <f>VLOOKUP(AJ619,'CIR Team Info'!$C$5:$E$44,4,FALSE)</f>
        <v>#N/A</v>
      </c>
      <c r="AB627" s="161" t="b">
        <f>ISNUMBER(VLOOKUP(AJ619,Match!$T$5:$T$10,1,FALSE))</f>
        <v>0</v>
      </c>
      <c r="AC627" s="161" t="b">
        <f>IF(AB627=TRUE,(VLOOKUP($AJ619,Match!$T$5:$U$10,2,FALSE)))</f>
        <v>0</v>
      </c>
      <c r="AD627" s="8">
        <v>3</v>
      </c>
      <c r="AE627" s="8">
        <v>2</v>
      </c>
      <c r="AF627" s="8">
        <v>2</v>
      </c>
      <c r="AG627" s="8">
        <v>1</v>
      </c>
      <c r="AH627" s="8" t="str">
        <f t="shared" si="186"/>
        <v/>
      </c>
    </row>
    <row r="628" spans="1:34" x14ac:dyDescent="0.25">
      <c r="A628" s="29">
        <f t="shared" si="177"/>
        <v>0</v>
      </c>
      <c r="B628" s="29">
        <f t="shared" si="171"/>
        <v>0</v>
      </c>
      <c r="C628" s="29">
        <f t="shared" si="172"/>
        <v>0</v>
      </c>
      <c r="D628" s="29">
        <f t="shared" si="173"/>
        <v>0</v>
      </c>
      <c r="E628" s="29">
        <f t="shared" si="178"/>
        <v>0</v>
      </c>
      <c r="F628" s="29">
        <f t="shared" si="179"/>
        <v>0</v>
      </c>
      <c r="G628" s="29" t="str">
        <f t="shared" si="180"/>
        <v>offensive</v>
      </c>
      <c r="H628" s="16">
        <f t="shared" si="184"/>
        <v>0</v>
      </c>
      <c r="I628" s="16">
        <f t="shared" si="185"/>
        <v>0</v>
      </c>
      <c r="J628" s="16">
        <f t="shared" si="174"/>
        <v>0</v>
      </c>
      <c r="K628" s="16">
        <f t="shared" si="181"/>
        <v>0</v>
      </c>
      <c r="L628" s="67">
        <f t="shared" si="182"/>
        <v>0</v>
      </c>
      <c r="M628" s="4">
        <f t="shared" si="175"/>
        <v>0</v>
      </c>
      <c r="N628" s="4">
        <f t="shared" si="176"/>
        <v>0</v>
      </c>
      <c r="O628" s="4">
        <f t="shared" si="183"/>
        <v>0</v>
      </c>
      <c r="P628" s="4" t="e">
        <f>VLOOKUP(AJ620,'CIR Team Info'!$C$5:$E$44,2,FALSE)</f>
        <v>#N/A</v>
      </c>
      <c r="Q628" s="4" t="e">
        <f>VLOOKUP(AJ620,'CIR Team Info'!$C$5:$E$44,3,FALSE)</f>
        <v>#N/A</v>
      </c>
      <c r="R628" s="10" t="e">
        <f>VLOOKUP(AJ620,'FRC Site Data'!$B$3:$L$42,2,FALSE)</f>
        <v>#N/A</v>
      </c>
      <c r="S628" s="10" t="e">
        <f>VLOOKUP(AJ620,'FRC Site Data'!$B$3:$L$42,3,FALSE)</f>
        <v>#N/A</v>
      </c>
      <c r="T628" s="10" t="e">
        <f>VLOOKUP(AJ620,'FRC Site Data'!$B$3:$L$42,4,FALSE)</f>
        <v>#N/A</v>
      </c>
      <c r="U628" s="10" t="e">
        <f>VLOOKUP(AJ620,'FRC Site Data'!$B$3:$L$42,5,FALSE)</f>
        <v>#N/A</v>
      </c>
      <c r="V628" s="10" t="e">
        <f>VLOOKUP(AJ620,'FRC Site Data'!$B$3:$L$42,6,FALSE)</f>
        <v>#N/A</v>
      </c>
      <c r="W628" s="10" t="e">
        <f>VLOOKUP(AJ620,'FRC Site Data'!$B$3:$L$42,8,FALSE)</f>
        <v>#N/A</v>
      </c>
      <c r="X628" s="10" t="e">
        <f>VLOOKUP(AJ620,'FRC Site Data'!$B$3:$L$42,9,FALSE)</f>
        <v>#N/A</v>
      </c>
      <c r="Y628" s="10" t="e">
        <f>VLOOKUP(AJ620,'FRC Site Data'!$B$3:$L$42,10,FALSE)</f>
        <v>#N/A</v>
      </c>
      <c r="Z628" s="10" t="e">
        <f>VLOOKUP(AJ620,'FRC Site Data'!$B$3:$L$42,11,FALSE)</f>
        <v>#N/A</v>
      </c>
      <c r="AA628" s="10" t="e">
        <f>VLOOKUP(AJ620,'CIR Team Info'!$C$5:$E$44,4,FALSE)</f>
        <v>#N/A</v>
      </c>
      <c r="AB628" s="161" t="b">
        <f>ISNUMBER(VLOOKUP(AJ620,Match!$T$5:$T$10,1,FALSE))</f>
        <v>0</v>
      </c>
      <c r="AC628" s="161" t="b">
        <f>IF(AB628=TRUE,(VLOOKUP($AJ620,Match!$T$5:$U$10,2,FALSE)))</f>
        <v>0</v>
      </c>
      <c r="AD628" s="8">
        <v>3</v>
      </c>
      <c r="AE628" s="8">
        <v>2</v>
      </c>
      <c r="AF628" s="8">
        <v>2</v>
      </c>
      <c r="AG628" s="8">
        <v>1</v>
      </c>
      <c r="AH628" s="8" t="str">
        <f t="shared" si="186"/>
        <v/>
      </c>
    </row>
    <row r="629" spans="1:34" x14ac:dyDescent="0.25">
      <c r="A629" s="29">
        <f t="shared" si="177"/>
        <v>0</v>
      </c>
      <c r="B629" s="29">
        <f t="shared" si="171"/>
        <v>0</v>
      </c>
      <c r="C629" s="29">
        <f t="shared" si="172"/>
        <v>0</v>
      </c>
      <c r="D629" s="29">
        <f t="shared" si="173"/>
        <v>0</v>
      </c>
      <c r="E629" s="29">
        <f t="shared" si="178"/>
        <v>0</v>
      </c>
      <c r="F629" s="29">
        <f t="shared" si="179"/>
        <v>0</v>
      </c>
      <c r="G629" s="29" t="str">
        <f t="shared" si="180"/>
        <v>offensive</v>
      </c>
      <c r="H629" s="16">
        <f t="shared" si="184"/>
        <v>0</v>
      </c>
      <c r="I629" s="16">
        <f t="shared" si="185"/>
        <v>0</v>
      </c>
      <c r="J629" s="16">
        <f t="shared" si="174"/>
        <v>0</v>
      </c>
      <c r="K629" s="16">
        <f t="shared" si="181"/>
        <v>0</v>
      </c>
      <c r="L629" s="67">
        <f t="shared" si="182"/>
        <v>0</v>
      </c>
      <c r="M629" s="4">
        <f t="shared" si="175"/>
        <v>0</v>
      </c>
      <c r="N629" s="4">
        <f t="shared" si="176"/>
        <v>0</v>
      </c>
      <c r="O629" s="4">
        <f t="shared" si="183"/>
        <v>0</v>
      </c>
      <c r="P629" s="4" t="e">
        <f>VLOOKUP(AJ621,'CIR Team Info'!$C$5:$E$44,2,FALSE)</f>
        <v>#N/A</v>
      </c>
      <c r="Q629" s="4" t="e">
        <f>VLOOKUP(AJ621,'CIR Team Info'!$C$5:$E$44,3,FALSE)</f>
        <v>#N/A</v>
      </c>
      <c r="R629" s="10" t="e">
        <f>VLOOKUP(AJ621,'FRC Site Data'!$B$3:$L$42,2,FALSE)</f>
        <v>#N/A</v>
      </c>
      <c r="S629" s="10" t="e">
        <f>VLOOKUP(AJ621,'FRC Site Data'!$B$3:$L$42,3,FALSE)</f>
        <v>#N/A</v>
      </c>
      <c r="T629" s="10" t="e">
        <f>VLOOKUP(AJ621,'FRC Site Data'!$B$3:$L$42,4,FALSE)</f>
        <v>#N/A</v>
      </c>
      <c r="U629" s="10" t="e">
        <f>VLOOKUP(AJ621,'FRC Site Data'!$B$3:$L$42,5,FALSE)</f>
        <v>#N/A</v>
      </c>
      <c r="V629" s="10" t="e">
        <f>VLOOKUP(AJ621,'FRC Site Data'!$B$3:$L$42,6,FALSE)</f>
        <v>#N/A</v>
      </c>
      <c r="W629" s="10" t="e">
        <f>VLOOKUP(AJ621,'FRC Site Data'!$B$3:$L$42,8,FALSE)</f>
        <v>#N/A</v>
      </c>
      <c r="X629" s="10" t="e">
        <f>VLOOKUP(AJ621,'FRC Site Data'!$B$3:$L$42,9,FALSE)</f>
        <v>#N/A</v>
      </c>
      <c r="Y629" s="10" t="e">
        <f>VLOOKUP(AJ621,'FRC Site Data'!$B$3:$L$42,10,FALSE)</f>
        <v>#N/A</v>
      </c>
      <c r="Z629" s="10" t="e">
        <f>VLOOKUP(AJ621,'FRC Site Data'!$B$3:$L$42,11,FALSE)</f>
        <v>#N/A</v>
      </c>
      <c r="AA629" s="10" t="e">
        <f>VLOOKUP(AJ621,'CIR Team Info'!$C$5:$E$44,4,FALSE)</f>
        <v>#N/A</v>
      </c>
      <c r="AB629" s="161" t="b">
        <f>ISNUMBER(VLOOKUP(AJ621,Match!$T$5:$T$10,1,FALSE))</f>
        <v>0</v>
      </c>
      <c r="AC629" s="161" t="b">
        <f>IF(AB629=TRUE,(VLOOKUP($AJ621,Match!$T$5:$U$10,2,FALSE)))</f>
        <v>0</v>
      </c>
      <c r="AD629" s="8">
        <v>3</v>
      </c>
      <c r="AE629" s="8">
        <v>2</v>
      </c>
      <c r="AF629" s="8">
        <v>2</v>
      </c>
      <c r="AG629" s="8">
        <v>1</v>
      </c>
      <c r="AH629" s="8" t="str">
        <f t="shared" si="186"/>
        <v/>
      </c>
    </row>
    <row r="630" spans="1:34" x14ac:dyDescent="0.25">
      <c r="A630" s="29">
        <f t="shared" si="177"/>
        <v>0</v>
      </c>
      <c r="B630" s="29">
        <f t="shared" si="171"/>
        <v>0</v>
      </c>
      <c r="C630" s="29">
        <f t="shared" si="172"/>
        <v>0</v>
      </c>
      <c r="D630" s="29">
        <f t="shared" si="173"/>
        <v>0</v>
      </c>
      <c r="E630" s="29">
        <f t="shared" si="178"/>
        <v>0</v>
      </c>
      <c r="F630" s="29">
        <f t="shared" si="179"/>
        <v>0</v>
      </c>
      <c r="G630" s="29" t="str">
        <f t="shared" si="180"/>
        <v>offensive</v>
      </c>
      <c r="H630" s="16">
        <f t="shared" si="184"/>
        <v>0</v>
      </c>
      <c r="I630" s="16">
        <f t="shared" si="185"/>
        <v>0</v>
      </c>
      <c r="J630" s="16">
        <f t="shared" si="174"/>
        <v>0</v>
      </c>
      <c r="K630" s="16">
        <f t="shared" si="181"/>
        <v>0</v>
      </c>
      <c r="L630" s="67">
        <f t="shared" si="182"/>
        <v>0</v>
      </c>
      <c r="M630" s="4">
        <f t="shared" si="175"/>
        <v>0</v>
      </c>
      <c r="N630" s="4">
        <f t="shared" si="176"/>
        <v>0</v>
      </c>
      <c r="O630" s="4">
        <f t="shared" si="183"/>
        <v>0</v>
      </c>
      <c r="P630" s="4" t="e">
        <f>VLOOKUP(AJ622,'CIR Team Info'!$C$5:$E$44,2,FALSE)</f>
        <v>#N/A</v>
      </c>
      <c r="Q630" s="4" t="e">
        <f>VLOOKUP(AJ622,'CIR Team Info'!$C$5:$E$44,3,FALSE)</f>
        <v>#N/A</v>
      </c>
      <c r="R630" s="10" t="e">
        <f>VLOOKUP(AJ622,'FRC Site Data'!$B$3:$L$42,2,FALSE)</f>
        <v>#N/A</v>
      </c>
      <c r="S630" s="10" t="e">
        <f>VLOOKUP(AJ622,'FRC Site Data'!$B$3:$L$42,3,FALSE)</f>
        <v>#N/A</v>
      </c>
      <c r="T630" s="10" t="e">
        <f>VLOOKUP(AJ622,'FRC Site Data'!$B$3:$L$42,4,FALSE)</f>
        <v>#N/A</v>
      </c>
      <c r="U630" s="10" t="e">
        <f>VLOOKUP(AJ622,'FRC Site Data'!$B$3:$L$42,5,FALSE)</f>
        <v>#N/A</v>
      </c>
      <c r="V630" s="10" t="e">
        <f>VLOOKUP(AJ622,'FRC Site Data'!$B$3:$L$42,6,FALSE)</f>
        <v>#N/A</v>
      </c>
      <c r="W630" s="10" t="e">
        <f>VLOOKUP(AJ622,'FRC Site Data'!$B$3:$L$42,8,FALSE)</f>
        <v>#N/A</v>
      </c>
      <c r="X630" s="10" t="e">
        <f>VLOOKUP(AJ622,'FRC Site Data'!$B$3:$L$42,9,FALSE)</f>
        <v>#N/A</v>
      </c>
      <c r="Y630" s="10" t="e">
        <f>VLOOKUP(AJ622,'FRC Site Data'!$B$3:$L$42,10,FALSE)</f>
        <v>#N/A</v>
      </c>
      <c r="Z630" s="10" t="e">
        <f>VLOOKUP(AJ622,'FRC Site Data'!$B$3:$L$42,11,FALSE)</f>
        <v>#N/A</v>
      </c>
      <c r="AA630" s="10" t="e">
        <f>VLOOKUP(AJ622,'CIR Team Info'!$C$5:$E$44,4,FALSE)</f>
        <v>#N/A</v>
      </c>
      <c r="AB630" s="161" t="b">
        <f>ISNUMBER(VLOOKUP(AJ622,Match!$T$5:$T$10,1,FALSE))</f>
        <v>0</v>
      </c>
      <c r="AC630" s="161" t="b">
        <f>IF(AB630=TRUE,(VLOOKUP($AJ622,Match!$T$5:$U$10,2,FALSE)))</f>
        <v>0</v>
      </c>
      <c r="AD630" s="8">
        <v>3</v>
      </c>
      <c r="AE630" s="8">
        <v>2</v>
      </c>
      <c r="AF630" s="8">
        <v>2</v>
      </c>
      <c r="AG630" s="8">
        <v>1</v>
      </c>
      <c r="AH630" s="8" t="str">
        <f t="shared" si="186"/>
        <v/>
      </c>
    </row>
    <row r="631" spans="1:34" x14ac:dyDescent="0.25">
      <c r="A631" s="29">
        <f t="shared" si="177"/>
        <v>0</v>
      </c>
      <c r="B631" s="29">
        <f t="shared" si="171"/>
        <v>0</v>
      </c>
      <c r="C631" s="29">
        <f t="shared" si="172"/>
        <v>0</v>
      </c>
      <c r="D631" s="29">
        <f t="shared" si="173"/>
        <v>0</v>
      </c>
      <c r="E631" s="29">
        <f t="shared" si="178"/>
        <v>0</v>
      </c>
      <c r="F631" s="29">
        <f t="shared" si="179"/>
        <v>0</v>
      </c>
      <c r="G631" s="29" t="str">
        <f t="shared" si="180"/>
        <v>offensive</v>
      </c>
      <c r="H631" s="16">
        <f t="shared" si="184"/>
        <v>0</v>
      </c>
      <c r="I631" s="16">
        <f t="shared" si="185"/>
        <v>0</v>
      </c>
      <c r="J631" s="16">
        <f t="shared" si="174"/>
        <v>0</v>
      </c>
      <c r="K631" s="16">
        <f t="shared" si="181"/>
        <v>0</v>
      </c>
      <c r="L631" s="67">
        <f t="shared" si="182"/>
        <v>0</v>
      </c>
      <c r="M631" s="4">
        <f t="shared" si="175"/>
        <v>0</v>
      </c>
      <c r="N631" s="4">
        <f t="shared" si="176"/>
        <v>0</v>
      </c>
      <c r="O631" s="4">
        <f t="shared" si="183"/>
        <v>0</v>
      </c>
      <c r="P631" s="4" t="e">
        <f>VLOOKUP(AJ623,'CIR Team Info'!$C$5:$E$44,2,FALSE)</f>
        <v>#N/A</v>
      </c>
      <c r="Q631" s="4" t="e">
        <f>VLOOKUP(AJ623,'CIR Team Info'!$C$5:$E$44,3,FALSE)</f>
        <v>#N/A</v>
      </c>
      <c r="R631" s="10" t="e">
        <f>VLOOKUP(AJ623,'FRC Site Data'!$B$3:$L$42,2,FALSE)</f>
        <v>#N/A</v>
      </c>
      <c r="S631" s="10" t="e">
        <f>VLOOKUP(AJ623,'FRC Site Data'!$B$3:$L$42,3,FALSE)</f>
        <v>#N/A</v>
      </c>
      <c r="T631" s="10" t="e">
        <f>VLOOKUP(AJ623,'FRC Site Data'!$B$3:$L$42,4,FALSE)</f>
        <v>#N/A</v>
      </c>
      <c r="U631" s="10" t="e">
        <f>VLOOKUP(AJ623,'FRC Site Data'!$B$3:$L$42,5,FALSE)</f>
        <v>#N/A</v>
      </c>
      <c r="V631" s="10" t="e">
        <f>VLOOKUP(AJ623,'FRC Site Data'!$B$3:$L$42,6,FALSE)</f>
        <v>#N/A</v>
      </c>
      <c r="W631" s="10" t="e">
        <f>VLOOKUP(AJ623,'FRC Site Data'!$B$3:$L$42,8,FALSE)</f>
        <v>#N/A</v>
      </c>
      <c r="X631" s="10" t="e">
        <f>VLOOKUP(AJ623,'FRC Site Data'!$B$3:$L$42,9,FALSE)</f>
        <v>#N/A</v>
      </c>
      <c r="Y631" s="10" t="e">
        <f>VLOOKUP(AJ623,'FRC Site Data'!$B$3:$L$42,10,FALSE)</f>
        <v>#N/A</v>
      </c>
      <c r="Z631" s="10" t="e">
        <f>VLOOKUP(AJ623,'FRC Site Data'!$B$3:$L$42,11,FALSE)</f>
        <v>#N/A</v>
      </c>
      <c r="AA631" s="10" t="e">
        <f>VLOOKUP(AJ623,'CIR Team Info'!$C$5:$E$44,4,FALSE)</f>
        <v>#N/A</v>
      </c>
      <c r="AB631" s="161" t="b">
        <f>ISNUMBER(VLOOKUP(AJ623,Match!$T$5:$T$10,1,FALSE))</f>
        <v>0</v>
      </c>
      <c r="AC631" s="161" t="b">
        <f>IF(AB631=TRUE,(VLOOKUP($AJ623,Match!$T$5:$U$10,2,FALSE)))</f>
        <v>0</v>
      </c>
      <c r="AD631" s="8">
        <v>3</v>
      </c>
      <c r="AE631" s="8">
        <v>2</v>
      </c>
      <c r="AF631" s="8">
        <v>2</v>
      </c>
      <c r="AG631" s="8">
        <v>1</v>
      </c>
      <c r="AH631" s="8" t="str">
        <f t="shared" si="186"/>
        <v/>
      </c>
    </row>
    <row r="632" spans="1:34" x14ac:dyDescent="0.25">
      <c r="A632" s="29">
        <f t="shared" si="177"/>
        <v>0</v>
      </c>
      <c r="B632" s="29">
        <f t="shared" si="171"/>
        <v>0</v>
      </c>
      <c r="C632" s="29">
        <f t="shared" si="172"/>
        <v>0</v>
      </c>
      <c r="D632" s="29">
        <f t="shared" si="173"/>
        <v>0</v>
      </c>
      <c r="E632" s="29">
        <f t="shared" si="178"/>
        <v>0</v>
      </c>
      <c r="F632" s="29">
        <f t="shared" si="179"/>
        <v>0</v>
      </c>
      <c r="G632" s="29" t="str">
        <f t="shared" si="180"/>
        <v>offensive</v>
      </c>
      <c r="H632" s="16">
        <f t="shared" si="184"/>
        <v>0</v>
      </c>
      <c r="I632" s="16">
        <f t="shared" si="185"/>
        <v>0</v>
      </c>
      <c r="J632" s="16">
        <f t="shared" si="174"/>
        <v>0</v>
      </c>
      <c r="K632" s="16">
        <f t="shared" si="181"/>
        <v>0</v>
      </c>
      <c r="L632" s="67">
        <f t="shared" si="182"/>
        <v>0</v>
      </c>
      <c r="M632" s="4">
        <f t="shared" si="175"/>
        <v>0</v>
      </c>
      <c r="N632" s="4">
        <f t="shared" si="176"/>
        <v>0</v>
      </c>
      <c r="O632" s="4">
        <f t="shared" si="183"/>
        <v>0</v>
      </c>
      <c r="P632" s="4" t="e">
        <f>VLOOKUP(AJ624,'CIR Team Info'!$C$5:$E$44,2,FALSE)</f>
        <v>#N/A</v>
      </c>
      <c r="Q632" s="4" t="e">
        <f>VLOOKUP(AJ624,'CIR Team Info'!$C$5:$E$44,3,FALSE)</f>
        <v>#N/A</v>
      </c>
      <c r="R632" s="10" t="e">
        <f>VLOOKUP(AJ624,'FRC Site Data'!$B$3:$L$42,2,FALSE)</f>
        <v>#N/A</v>
      </c>
      <c r="S632" s="10" t="e">
        <f>VLOOKUP(AJ624,'FRC Site Data'!$B$3:$L$42,3,FALSE)</f>
        <v>#N/A</v>
      </c>
      <c r="T632" s="10" t="e">
        <f>VLOOKUP(AJ624,'FRC Site Data'!$B$3:$L$42,4,FALSE)</f>
        <v>#N/A</v>
      </c>
      <c r="U632" s="10" t="e">
        <f>VLOOKUP(AJ624,'FRC Site Data'!$B$3:$L$42,5,FALSE)</f>
        <v>#N/A</v>
      </c>
      <c r="V632" s="10" t="e">
        <f>VLOOKUP(AJ624,'FRC Site Data'!$B$3:$L$42,6,FALSE)</f>
        <v>#N/A</v>
      </c>
      <c r="W632" s="10" t="e">
        <f>VLOOKUP(AJ624,'FRC Site Data'!$B$3:$L$42,8,FALSE)</f>
        <v>#N/A</v>
      </c>
      <c r="X632" s="10" t="e">
        <f>VLOOKUP(AJ624,'FRC Site Data'!$B$3:$L$42,9,FALSE)</f>
        <v>#N/A</v>
      </c>
      <c r="Y632" s="10" t="e">
        <f>VLOOKUP(AJ624,'FRC Site Data'!$B$3:$L$42,10,FALSE)</f>
        <v>#N/A</v>
      </c>
      <c r="Z632" s="10" t="e">
        <f>VLOOKUP(AJ624,'FRC Site Data'!$B$3:$L$42,11,FALSE)</f>
        <v>#N/A</v>
      </c>
      <c r="AA632" s="10" t="e">
        <f>VLOOKUP(AJ624,'CIR Team Info'!$C$5:$E$44,4,FALSE)</f>
        <v>#N/A</v>
      </c>
      <c r="AB632" s="161" t="b">
        <f>ISNUMBER(VLOOKUP(AJ624,Match!$T$5:$T$10,1,FALSE))</f>
        <v>0</v>
      </c>
      <c r="AC632" s="161" t="b">
        <f>IF(AB632=TRUE,(VLOOKUP($AJ624,Match!$T$5:$U$10,2,FALSE)))</f>
        <v>0</v>
      </c>
      <c r="AD632" s="8">
        <v>3</v>
      </c>
      <c r="AE632" s="8">
        <v>2</v>
      </c>
      <c r="AF632" s="8">
        <v>2</v>
      </c>
      <c r="AG632" s="8">
        <v>1</v>
      </c>
      <c r="AH632" s="8" t="str">
        <f t="shared" si="186"/>
        <v/>
      </c>
    </row>
    <row r="633" spans="1:34" x14ac:dyDescent="0.25">
      <c r="A633" s="29">
        <f t="shared" si="177"/>
        <v>0</v>
      </c>
      <c r="B633" s="29">
        <f t="shared" si="171"/>
        <v>0</v>
      </c>
      <c r="C633" s="29">
        <f t="shared" si="172"/>
        <v>0</v>
      </c>
      <c r="D633" s="29">
        <f t="shared" si="173"/>
        <v>0</v>
      </c>
      <c r="E633" s="29">
        <f t="shared" si="178"/>
        <v>0</v>
      </c>
      <c r="F633" s="29">
        <f t="shared" si="179"/>
        <v>0</v>
      </c>
      <c r="G633" s="29" t="str">
        <f t="shared" si="180"/>
        <v>offensive</v>
      </c>
      <c r="H633" s="16">
        <f t="shared" si="184"/>
        <v>0</v>
      </c>
      <c r="I633" s="16">
        <f t="shared" si="185"/>
        <v>0</v>
      </c>
      <c r="J633" s="16">
        <f t="shared" si="174"/>
        <v>0</v>
      </c>
      <c r="K633" s="16">
        <f t="shared" si="181"/>
        <v>0</v>
      </c>
      <c r="L633" s="67">
        <f t="shared" si="182"/>
        <v>0</v>
      </c>
      <c r="M633" s="4">
        <f t="shared" si="175"/>
        <v>0</v>
      </c>
      <c r="N633" s="4">
        <f t="shared" si="176"/>
        <v>0</v>
      </c>
      <c r="O633" s="4">
        <f t="shared" si="183"/>
        <v>0</v>
      </c>
      <c r="P633" s="4" t="e">
        <f>VLOOKUP(AJ625,'CIR Team Info'!$C$5:$E$44,2,FALSE)</f>
        <v>#N/A</v>
      </c>
      <c r="Q633" s="4" t="e">
        <f>VLOOKUP(AJ625,'CIR Team Info'!$C$5:$E$44,3,FALSE)</f>
        <v>#N/A</v>
      </c>
      <c r="R633" s="10" t="e">
        <f>VLOOKUP(AJ625,'FRC Site Data'!$B$3:$L$42,2,FALSE)</f>
        <v>#N/A</v>
      </c>
      <c r="S633" s="10" t="e">
        <f>VLOOKUP(AJ625,'FRC Site Data'!$B$3:$L$42,3,FALSE)</f>
        <v>#N/A</v>
      </c>
      <c r="T633" s="10" t="e">
        <f>VLOOKUP(AJ625,'FRC Site Data'!$B$3:$L$42,4,FALSE)</f>
        <v>#N/A</v>
      </c>
      <c r="U633" s="10" t="e">
        <f>VLOOKUP(AJ625,'FRC Site Data'!$B$3:$L$42,5,FALSE)</f>
        <v>#N/A</v>
      </c>
      <c r="V633" s="10" t="e">
        <f>VLOOKUP(AJ625,'FRC Site Data'!$B$3:$L$42,6,FALSE)</f>
        <v>#N/A</v>
      </c>
      <c r="W633" s="10" t="e">
        <f>VLOOKUP(AJ625,'FRC Site Data'!$B$3:$L$42,8,FALSE)</f>
        <v>#N/A</v>
      </c>
      <c r="X633" s="10" t="e">
        <f>VLOOKUP(AJ625,'FRC Site Data'!$B$3:$L$42,9,FALSE)</f>
        <v>#N/A</v>
      </c>
      <c r="Y633" s="10" t="e">
        <f>VLOOKUP(AJ625,'FRC Site Data'!$B$3:$L$42,10,FALSE)</f>
        <v>#N/A</v>
      </c>
      <c r="Z633" s="10" t="e">
        <f>VLOOKUP(AJ625,'FRC Site Data'!$B$3:$L$42,11,FALSE)</f>
        <v>#N/A</v>
      </c>
      <c r="AA633" s="10" t="e">
        <f>VLOOKUP(AJ625,'CIR Team Info'!$C$5:$E$44,4,FALSE)</f>
        <v>#N/A</v>
      </c>
      <c r="AB633" s="161" t="b">
        <f>ISNUMBER(VLOOKUP(AJ625,Match!$T$5:$T$10,1,FALSE))</f>
        <v>0</v>
      </c>
      <c r="AC633" s="161" t="b">
        <f>IF(AB633=TRUE,(VLOOKUP($AJ625,Match!$T$5:$U$10,2,FALSE)))</f>
        <v>0</v>
      </c>
      <c r="AD633" s="8">
        <v>3</v>
      </c>
      <c r="AE633" s="8">
        <v>2</v>
      </c>
      <c r="AF633" s="8">
        <v>2</v>
      </c>
      <c r="AG633" s="8">
        <v>1</v>
      </c>
      <c r="AH633" s="8" t="str">
        <f t="shared" si="186"/>
        <v/>
      </c>
    </row>
    <row r="634" spans="1:34" x14ac:dyDescent="0.25">
      <c r="A634" s="29">
        <f t="shared" si="177"/>
        <v>0</v>
      </c>
      <c r="B634" s="29">
        <f t="shared" si="171"/>
        <v>0</v>
      </c>
      <c r="C634" s="29">
        <f t="shared" si="172"/>
        <v>0</v>
      </c>
      <c r="D634" s="29">
        <f t="shared" si="173"/>
        <v>0</v>
      </c>
      <c r="E634" s="29">
        <f t="shared" si="178"/>
        <v>0</v>
      </c>
      <c r="F634" s="29">
        <f t="shared" si="179"/>
        <v>0</v>
      </c>
      <c r="G634" s="29" t="str">
        <f t="shared" si="180"/>
        <v>offensive</v>
      </c>
      <c r="H634" s="16">
        <f t="shared" si="184"/>
        <v>0</v>
      </c>
      <c r="I634" s="16">
        <f t="shared" si="185"/>
        <v>0</v>
      </c>
      <c r="J634" s="16">
        <f t="shared" si="174"/>
        <v>0</v>
      </c>
      <c r="K634" s="16">
        <f t="shared" si="181"/>
        <v>0</v>
      </c>
      <c r="L634" s="67">
        <f t="shared" si="182"/>
        <v>0</v>
      </c>
      <c r="M634" s="4">
        <f t="shared" si="175"/>
        <v>0</v>
      </c>
      <c r="N634" s="4">
        <f t="shared" si="176"/>
        <v>0</v>
      </c>
      <c r="O634" s="4">
        <f t="shared" si="183"/>
        <v>0</v>
      </c>
      <c r="P634" s="4" t="e">
        <f>VLOOKUP(AJ626,'CIR Team Info'!$C$5:$E$44,2,FALSE)</f>
        <v>#N/A</v>
      </c>
      <c r="Q634" s="4" t="e">
        <f>VLOOKUP(AJ626,'CIR Team Info'!$C$5:$E$44,3,FALSE)</f>
        <v>#N/A</v>
      </c>
      <c r="R634" s="10" t="e">
        <f>VLOOKUP(AJ626,'FRC Site Data'!$B$3:$L$42,2,FALSE)</f>
        <v>#N/A</v>
      </c>
      <c r="S634" s="10" t="e">
        <f>VLOOKUP(AJ626,'FRC Site Data'!$B$3:$L$42,3,FALSE)</f>
        <v>#N/A</v>
      </c>
      <c r="T634" s="10" t="e">
        <f>VLOOKUP(AJ626,'FRC Site Data'!$B$3:$L$42,4,FALSE)</f>
        <v>#N/A</v>
      </c>
      <c r="U634" s="10" t="e">
        <f>VLOOKUP(AJ626,'FRC Site Data'!$B$3:$L$42,5,FALSE)</f>
        <v>#N/A</v>
      </c>
      <c r="V634" s="10" t="e">
        <f>VLOOKUP(AJ626,'FRC Site Data'!$B$3:$L$42,6,FALSE)</f>
        <v>#N/A</v>
      </c>
      <c r="W634" s="10" t="e">
        <f>VLOOKUP(AJ626,'FRC Site Data'!$B$3:$L$42,8,FALSE)</f>
        <v>#N/A</v>
      </c>
      <c r="X634" s="10" t="e">
        <f>VLOOKUP(AJ626,'FRC Site Data'!$B$3:$L$42,9,FALSE)</f>
        <v>#N/A</v>
      </c>
      <c r="Y634" s="10" t="e">
        <f>VLOOKUP(AJ626,'FRC Site Data'!$B$3:$L$42,10,FALSE)</f>
        <v>#N/A</v>
      </c>
      <c r="Z634" s="10" t="e">
        <f>VLOOKUP(AJ626,'FRC Site Data'!$B$3:$L$42,11,FALSE)</f>
        <v>#N/A</v>
      </c>
      <c r="AA634" s="10" t="e">
        <f>VLOOKUP(AJ626,'CIR Team Info'!$C$5:$E$44,4,FALSE)</f>
        <v>#N/A</v>
      </c>
      <c r="AB634" s="161" t="b">
        <f>ISNUMBER(VLOOKUP(AJ626,Match!$T$5:$T$10,1,FALSE))</f>
        <v>0</v>
      </c>
      <c r="AC634" s="161" t="b">
        <f>IF(AB634=TRUE,(VLOOKUP($AJ626,Match!$T$5:$U$10,2,FALSE)))</f>
        <v>0</v>
      </c>
      <c r="AD634" s="8">
        <v>3</v>
      </c>
      <c r="AE634" s="8">
        <v>2</v>
      </c>
      <c r="AF634" s="8">
        <v>2</v>
      </c>
      <c r="AG634" s="8">
        <v>1</v>
      </c>
      <c r="AH634" s="8" t="str">
        <f t="shared" si="186"/>
        <v/>
      </c>
    </row>
    <row r="635" spans="1:34" x14ac:dyDescent="0.25">
      <c r="A635" s="29">
        <f t="shared" si="177"/>
        <v>0</v>
      </c>
      <c r="B635" s="29">
        <f t="shared" si="171"/>
        <v>0</v>
      </c>
      <c r="C635" s="29">
        <f t="shared" si="172"/>
        <v>0</v>
      </c>
      <c r="D635" s="29">
        <f t="shared" si="173"/>
        <v>0</v>
      </c>
      <c r="E635" s="29">
        <f t="shared" si="178"/>
        <v>0</v>
      </c>
      <c r="F635" s="29">
        <f t="shared" si="179"/>
        <v>0</v>
      </c>
      <c r="G635" s="29" t="str">
        <f t="shared" si="180"/>
        <v>offensive</v>
      </c>
      <c r="H635" s="16">
        <f t="shared" si="184"/>
        <v>0</v>
      </c>
      <c r="I635" s="16">
        <f t="shared" si="185"/>
        <v>0</v>
      </c>
      <c r="J635" s="16">
        <f t="shared" si="174"/>
        <v>0</v>
      </c>
      <c r="K635" s="16">
        <f t="shared" si="181"/>
        <v>0</v>
      </c>
      <c r="L635" s="67">
        <f t="shared" si="182"/>
        <v>0</v>
      </c>
      <c r="M635" s="4">
        <f t="shared" si="175"/>
        <v>0</v>
      </c>
      <c r="N635" s="4">
        <f t="shared" si="176"/>
        <v>0</v>
      </c>
      <c r="O635" s="4">
        <f t="shared" si="183"/>
        <v>0</v>
      </c>
      <c r="P635" s="4" t="e">
        <f>VLOOKUP(AJ627,'CIR Team Info'!$C$5:$E$44,2,FALSE)</f>
        <v>#N/A</v>
      </c>
      <c r="Q635" s="4" t="e">
        <f>VLOOKUP(AJ627,'CIR Team Info'!$C$5:$E$44,3,FALSE)</f>
        <v>#N/A</v>
      </c>
      <c r="R635" s="10" t="e">
        <f>VLOOKUP(AJ627,'FRC Site Data'!$B$3:$L$42,2,FALSE)</f>
        <v>#N/A</v>
      </c>
      <c r="S635" s="10" t="e">
        <f>VLOOKUP(AJ627,'FRC Site Data'!$B$3:$L$42,3,FALSE)</f>
        <v>#N/A</v>
      </c>
      <c r="T635" s="10" t="e">
        <f>VLOOKUP(AJ627,'FRC Site Data'!$B$3:$L$42,4,FALSE)</f>
        <v>#N/A</v>
      </c>
      <c r="U635" s="10" t="e">
        <f>VLOOKUP(AJ627,'FRC Site Data'!$B$3:$L$42,5,FALSE)</f>
        <v>#N/A</v>
      </c>
      <c r="V635" s="10" t="e">
        <f>VLOOKUP(AJ627,'FRC Site Data'!$B$3:$L$42,6,FALSE)</f>
        <v>#N/A</v>
      </c>
      <c r="W635" s="10" t="e">
        <f>VLOOKUP(AJ627,'FRC Site Data'!$B$3:$L$42,8,FALSE)</f>
        <v>#N/A</v>
      </c>
      <c r="X635" s="10" t="e">
        <f>VLOOKUP(AJ627,'FRC Site Data'!$B$3:$L$42,9,FALSE)</f>
        <v>#N/A</v>
      </c>
      <c r="Y635" s="10" t="e">
        <f>VLOOKUP(AJ627,'FRC Site Data'!$B$3:$L$42,10,FALSE)</f>
        <v>#N/A</v>
      </c>
      <c r="Z635" s="10" t="e">
        <f>VLOOKUP(AJ627,'FRC Site Data'!$B$3:$L$42,11,FALSE)</f>
        <v>#N/A</v>
      </c>
      <c r="AA635" s="10" t="e">
        <f>VLOOKUP(AJ627,'CIR Team Info'!$C$5:$E$44,4,FALSE)</f>
        <v>#N/A</v>
      </c>
      <c r="AB635" s="161" t="b">
        <f>ISNUMBER(VLOOKUP(AJ627,Match!$T$5:$T$10,1,FALSE))</f>
        <v>0</v>
      </c>
      <c r="AC635" s="161" t="b">
        <f>IF(AB635=TRUE,(VLOOKUP($AJ627,Match!$T$5:$U$10,2,FALSE)))</f>
        <v>0</v>
      </c>
      <c r="AD635" s="8">
        <v>3</v>
      </c>
      <c r="AE635" s="8">
        <v>2</v>
      </c>
      <c r="AF635" s="8">
        <v>2</v>
      </c>
      <c r="AG635" s="8">
        <v>1</v>
      </c>
      <c r="AH635" s="8" t="str">
        <f t="shared" si="186"/>
        <v/>
      </c>
    </row>
    <row r="636" spans="1:34" x14ac:dyDescent="0.25">
      <c r="A636" s="29">
        <f t="shared" si="177"/>
        <v>0</v>
      </c>
      <c r="B636" s="29">
        <f t="shared" si="171"/>
        <v>0</v>
      </c>
      <c r="C636" s="29">
        <f t="shared" si="172"/>
        <v>0</v>
      </c>
      <c r="D636" s="29">
        <f t="shared" si="173"/>
        <v>0</v>
      </c>
      <c r="E636" s="29">
        <f t="shared" si="178"/>
        <v>0</v>
      </c>
      <c r="F636" s="29">
        <f t="shared" si="179"/>
        <v>0</v>
      </c>
      <c r="G636" s="29" t="str">
        <f t="shared" si="180"/>
        <v>offensive</v>
      </c>
      <c r="H636" s="16">
        <f t="shared" si="184"/>
        <v>0</v>
      </c>
      <c r="I636" s="16">
        <f t="shared" si="185"/>
        <v>0</v>
      </c>
      <c r="J636" s="16">
        <f t="shared" si="174"/>
        <v>0</v>
      </c>
      <c r="K636" s="16">
        <f t="shared" si="181"/>
        <v>0</v>
      </c>
      <c r="L636" s="67">
        <f t="shared" si="182"/>
        <v>0</v>
      </c>
      <c r="M636" s="4">
        <f t="shared" si="175"/>
        <v>0</v>
      </c>
      <c r="N636" s="4">
        <f t="shared" si="176"/>
        <v>0</v>
      </c>
      <c r="O636" s="4">
        <f t="shared" si="183"/>
        <v>0</v>
      </c>
      <c r="P636" s="4" t="e">
        <f>VLOOKUP(AJ628,'CIR Team Info'!$C$5:$E$44,2,FALSE)</f>
        <v>#N/A</v>
      </c>
      <c r="Q636" s="4" t="e">
        <f>VLOOKUP(AJ628,'CIR Team Info'!$C$5:$E$44,3,FALSE)</f>
        <v>#N/A</v>
      </c>
      <c r="R636" s="10" t="e">
        <f>VLOOKUP(AJ628,'FRC Site Data'!$B$3:$L$42,2,FALSE)</f>
        <v>#N/A</v>
      </c>
      <c r="S636" s="10" t="e">
        <f>VLOOKUP(AJ628,'FRC Site Data'!$B$3:$L$42,3,FALSE)</f>
        <v>#N/A</v>
      </c>
      <c r="T636" s="10" t="e">
        <f>VLOOKUP(AJ628,'FRC Site Data'!$B$3:$L$42,4,FALSE)</f>
        <v>#N/A</v>
      </c>
      <c r="U636" s="10" t="e">
        <f>VLOOKUP(AJ628,'FRC Site Data'!$B$3:$L$42,5,FALSE)</f>
        <v>#N/A</v>
      </c>
      <c r="V636" s="10" t="e">
        <f>VLOOKUP(AJ628,'FRC Site Data'!$B$3:$L$42,6,FALSE)</f>
        <v>#N/A</v>
      </c>
      <c r="W636" s="10" t="e">
        <f>VLOOKUP(AJ628,'FRC Site Data'!$B$3:$L$42,8,FALSE)</f>
        <v>#N/A</v>
      </c>
      <c r="X636" s="10" t="e">
        <f>VLOOKUP(AJ628,'FRC Site Data'!$B$3:$L$42,9,FALSE)</f>
        <v>#N/A</v>
      </c>
      <c r="Y636" s="10" t="e">
        <f>VLOOKUP(AJ628,'FRC Site Data'!$B$3:$L$42,10,FALSE)</f>
        <v>#N/A</v>
      </c>
      <c r="Z636" s="10" t="e">
        <f>VLOOKUP(AJ628,'FRC Site Data'!$B$3:$L$42,11,FALSE)</f>
        <v>#N/A</v>
      </c>
      <c r="AA636" s="10" t="e">
        <f>VLOOKUP(AJ628,'CIR Team Info'!$C$5:$E$44,4,FALSE)</f>
        <v>#N/A</v>
      </c>
      <c r="AB636" s="161" t="b">
        <f>ISNUMBER(VLOOKUP(AJ628,Match!$T$5:$T$10,1,FALSE))</f>
        <v>0</v>
      </c>
      <c r="AC636" s="161" t="b">
        <f>IF(AB636=TRUE,(VLOOKUP($AJ628,Match!$T$5:$U$10,2,FALSE)))</f>
        <v>0</v>
      </c>
      <c r="AD636" s="8">
        <v>3</v>
      </c>
      <c r="AE636" s="8">
        <v>2</v>
      </c>
      <c r="AF636" s="8">
        <v>2</v>
      </c>
      <c r="AG636" s="8">
        <v>1</v>
      </c>
      <c r="AH636" s="8" t="str">
        <f t="shared" si="186"/>
        <v/>
      </c>
    </row>
    <row r="637" spans="1:34" x14ac:dyDescent="0.25">
      <c r="A637" s="29">
        <f t="shared" si="177"/>
        <v>0</v>
      </c>
      <c r="B637" s="29">
        <f t="shared" si="171"/>
        <v>0</v>
      </c>
      <c r="C637" s="29">
        <f t="shared" si="172"/>
        <v>0</v>
      </c>
      <c r="D637" s="29">
        <f t="shared" si="173"/>
        <v>0</v>
      </c>
      <c r="E637" s="29">
        <f t="shared" si="178"/>
        <v>0</v>
      </c>
      <c r="F637" s="29">
        <f t="shared" si="179"/>
        <v>0</v>
      </c>
      <c r="G637" s="29" t="str">
        <f t="shared" si="180"/>
        <v>offensive</v>
      </c>
      <c r="H637" s="16">
        <f t="shared" si="184"/>
        <v>0</v>
      </c>
      <c r="I637" s="16">
        <f t="shared" si="185"/>
        <v>0</v>
      </c>
      <c r="J637" s="16">
        <f t="shared" si="174"/>
        <v>0</v>
      </c>
      <c r="K637" s="16">
        <f t="shared" si="181"/>
        <v>0</v>
      </c>
      <c r="L637" s="67">
        <f t="shared" si="182"/>
        <v>0</v>
      </c>
      <c r="M637" s="4">
        <f t="shared" si="175"/>
        <v>0</v>
      </c>
      <c r="N637" s="4">
        <f t="shared" si="176"/>
        <v>0</v>
      </c>
      <c r="O637" s="4">
        <f t="shared" si="183"/>
        <v>0</v>
      </c>
      <c r="P637" s="4" t="e">
        <f>VLOOKUP(AJ629,'CIR Team Info'!$C$5:$E$44,2,FALSE)</f>
        <v>#N/A</v>
      </c>
      <c r="Q637" s="4" t="e">
        <f>VLOOKUP(AJ629,'CIR Team Info'!$C$5:$E$44,3,FALSE)</f>
        <v>#N/A</v>
      </c>
      <c r="R637" s="10" t="e">
        <f>VLOOKUP(AJ629,'FRC Site Data'!$B$3:$L$42,2,FALSE)</f>
        <v>#N/A</v>
      </c>
      <c r="S637" s="10" t="e">
        <f>VLOOKUP(AJ629,'FRC Site Data'!$B$3:$L$42,3,FALSE)</f>
        <v>#N/A</v>
      </c>
      <c r="T637" s="10" t="e">
        <f>VLOOKUP(AJ629,'FRC Site Data'!$B$3:$L$42,4,FALSE)</f>
        <v>#N/A</v>
      </c>
      <c r="U637" s="10" t="e">
        <f>VLOOKUP(AJ629,'FRC Site Data'!$B$3:$L$42,5,FALSE)</f>
        <v>#N/A</v>
      </c>
      <c r="V637" s="10" t="e">
        <f>VLOOKUP(AJ629,'FRC Site Data'!$B$3:$L$42,6,FALSE)</f>
        <v>#N/A</v>
      </c>
      <c r="W637" s="10" t="e">
        <f>VLOOKUP(AJ629,'FRC Site Data'!$B$3:$L$42,8,FALSE)</f>
        <v>#N/A</v>
      </c>
      <c r="X637" s="10" t="e">
        <f>VLOOKUP(AJ629,'FRC Site Data'!$B$3:$L$42,9,FALSE)</f>
        <v>#N/A</v>
      </c>
      <c r="Y637" s="10" t="e">
        <f>VLOOKUP(AJ629,'FRC Site Data'!$B$3:$L$42,10,FALSE)</f>
        <v>#N/A</v>
      </c>
      <c r="Z637" s="10" t="e">
        <f>VLOOKUP(AJ629,'FRC Site Data'!$B$3:$L$42,11,FALSE)</f>
        <v>#N/A</v>
      </c>
      <c r="AA637" s="10" t="e">
        <f>VLOOKUP(AJ629,'CIR Team Info'!$C$5:$E$44,4,FALSE)</f>
        <v>#N/A</v>
      </c>
      <c r="AB637" s="161" t="b">
        <f>ISNUMBER(VLOOKUP(AJ629,Match!$T$5:$T$10,1,FALSE))</f>
        <v>0</v>
      </c>
      <c r="AC637" s="161" t="b">
        <f>IF(AB637=TRUE,(VLOOKUP($AJ629,Match!$T$5:$U$10,2,FALSE)))</f>
        <v>0</v>
      </c>
      <c r="AD637" s="8">
        <v>3</v>
      </c>
      <c r="AE637" s="8">
        <v>2</v>
      </c>
      <c r="AF637" s="8">
        <v>2</v>
      </c>
      <c r="AG637" s="8">
        <v>1</v>
      </c>
      <c r="AH637" s="8" t="str">
        <f t="shared" si="186"/>
        <v/>
      </c>
    </row>
    <row r="638" spans="1:34" x14ac:dyDescent="0.25">
      <c r="A638" s="29">
        <f t="shared" si="177"/>
        <v>0</v>
      </c>
      <c r="B638" s="29">
        <f t="shared" si="171"/>
        <v>0</v>
      </c>
      <c r="C638" s="29">
        <f t="shared" si="172"/>
        <v>0</v>
      </c>
      <c r="D638" s="29">
        <f t="shared" si="173"/>
        <v>0</v>
      </c>
      <c r="E638" s="29">
        <f t="shared" si="178"/>
        <v>0</v>
      </c>
      <c r="F638" s="29">
        <f t="shared" si="179"/>
        <v>0</v>
      </c>
      <c r="G638" s="29" t="str">
        <f t="shared" si="180"/>
        <v>offensive</v>
      </c>
      <c r="H638" s="16">
        <f t="shared" si="184"/>
        <v>0</v>
      </c>
      <c r="I638" s="16">
        <f t="shared" si="185"/>
        <v>0</v>
      </c>
      <c r="J638" s="16">
        <f t="shared" si="174"/>
        <v>0</v>
      </c>
      <c r="K638" s="16">
        <f t="shared" si="181"/>
        <v>0</v>
      </c>
      <c r="L638" s="67">
        <f t="shared" si="182"/>
        <v>0</v>
      </c>
      <c r="M638" s="4">
        <f t="shared" si="175"/>
        <v>0</v>
      </c>
      <c r="N638" s="4">
        <f t="shared" si="176"/>
        <v>0</v>
      </c>
      <c r="O638" s="4">
        <f t="shared" si="183"/>
        <v>0</v>
      </c>
      <c r="P638" s="4" t="e">
        <f>VLOOKUP(AJ630,'CIR Team Info'!$C$5:$E$44,2,FALSE)</f>
        <v>#N/A</v>
      </c>
      <c r="Q638" s="4" t="e">
        <f>VLOOKUP(AJ630,'CIR Team Info'!$C$5:$E$44,3,FALSE)</f>
        <v>#N/A</v>
      </c>
      <c r="R638" s="10" t="e">
        <f>VLOOKUP(AJ630,'FRC Site Data'!$B$3:$L$42,2,FALSE)</f>
        <v>#N/A</v>
      </c>
      <c r="S638" s="10" t="e">
        <f>VLOOKUP(AJ630,'FRC Site Data'!$B$3:$L$42,3,FALSE)</f>
        <v>#N/A</v>
      </c>
      <c r="T638" s="10" t="e">
        <f>VLOOKUP(AJ630,'FRC Site Data'!$B$3:$L$42,4,FALSE)</f>
        <v>#N/A</v>
      </c>
      <c r="U638" s="10" t="e">
        <f>VLOOKUP(AJ630,'FRC Site Data'!$B$3:$L$42,5,FALSE)</f>
        <v>#N/A</v>
      </c>
      <c r="V638" s="10" t="e">
        <f>VLOOKUP(AJ630,'FRC Site Data'!$B$3:$L$42,6,FALSE)</f>
        <v>#N/A</v>
      </c>
      <c r="W638" s="10" t="e">
        <f>VLOOKUP(AJ630,'FRC Site Data'!$B$3:$L$42,8,FALSE)</f>
        <v>#N/A</v>
      </c>
      <c r="X638" s="10" t="e">
        <f>VLOOKUP(AJ630,'FRC Site Data'!$B$3:$L$42,9,FALSE)</f>
        <v>#N/A</v>
      </c>
      <c r="Y638" s="10" t="e">
        <f>VLOOKUP(AJ630,'FRC Site Data'!$B$3:$L$42,10,FALSE)</f>
        <v>#N/A</v>
      </c>
      <c r="Z638" s="10" t="e">
        <f>VLOOKUP(AJ630,'FRC Site Data'!$B$3:$L$42,11,FALSE)</f>
        <v>#N/A</v>
      </c>
      <c r="AA638" s="10" t="e">
        <f>VLOOKUP(AJ630,'CIR Team Info'!$C$5:$E$44,4,FALSE)</f>
        <v>#N/A</v>
      </c>
      <c r="AB638" s="161" t="b">
        <f>ISNUMBER(VLOOKUP(AJ630,Match!$T$5:$T$10,1,FALSE))</f>
        <v>0</v>
      </c>
      <c r="AC638" s="161" t="b">
        <f>IF(AB638=TRUE,(VLOOKUP($AJ630,Match!$T$5:$U$10,2,FALSE)))</f>
        <v>0</v>
      </c>
      <c r="AD638" s="8">
        <v>3</v>
      </c>
      <c r="AE638" s="8">
        <v>2</v>
      </c>
      <c r="AF638" s="8">
        <v>2</v>
      </c>
      <c r="AG638" s="8">
        <v>1</v>
      </c>
      <c r="AH638" s="8" t="str">
        <f t="shared" si="186"/>
        <v/>
      </c>
    </row>
    <row r="639" spans="1:34" x14ac:dyDescent="0.25">
      <c r="A639" s="29">
        <f t="shared" si="177"/>
        <v>0</v>
      </c>
      <c r="B639" s="29">
        <f t="shared" si="171"/>
        <v>0</v>
      </c>
      <c r="C639" s="29">
        <f t="shared" si="172"/>
        <v>0</v>
      </c>
      <c r="D639" s="29">
        <f t="shared" si="173"/>
        <v>0</v>
      </c>
      <c r="E639" s="29">
        <f t="shared" si="178"/>
        <v>0</v>
      </c>
      <c r="F639" s="29">
        <f t="shared" si="179"/>
        <v>0</v>
      </c>
      <c r="G639" s="29" t="str">
        <f t="shared" si="180"/>
        <v>offensive</v>
      </c>
      <c r="H639" s="16">
        <f t="shared" si="184"/>
        <v>0</v>
      </c>
      <c r="I639" s="16">
        <f t="shared" si="185"/>
        <v>0</v>
      </c>
      <c r="J639" s="16">
        <f t="shared" si="174"/>
        <v>0</v>
      </c>
      <c r="K639" s="16">
        <f t="shared" si="181"/>
        <v>0</v>
      </c>
      <c r="L639" s="67">
        <f t="shared" si="182"/>
        <v>0</v>
      </c>
      <c r="M639" s="4">
        <f t="shared" si="175"/>
        <v>0</v>
      </c>
      <c r="N639" s="4">
        <f t="shared" si="176"/>
        <v>0</v>
      </c>
      <c r="O639" s="4">
        <f t="shared" si="183"/>
        <v>0</v>
      </c>
      <c r="P639" s="4" t="e">
        <f>VLOOKUP(AJ631,'CIR Team Info'!$C$5:$E$44,2,FALSE)</f>
        <v>#N/A</v>
      </c>
      <c r="Q639" s="4" t="e">
        <f>VLOOKUP(AJ631,'CIR Team Info'!$C$5:$E$44,3,FALSE)</f>
        <v>#N/A</v>
      </c>
      <c r="R639" s="10" t="e">
        <f>VLOOKUP(AJ631,'FRC Site Data'!$B$3:$L$42,2,FALSE)</f>
        <v>#N/A</v>
      </c>
      <c r="S639" s="10" t="e">
        <f>VLOOKUP(AJ631,'FRC Site Data'!$B$3:$L$42,3,FALSE)</f>
        <v>#N/A</v>
      </c>
      <c r="T639" s="10" t="e">
        <f>VLOOKUP(AJ631,'FRC Site Data'!$B$3:$L$42,4,FALSE)</f>
        <v>#N/A</v>
      </c>
      <c r="U639" s="10" t="e">
        <f>VLOOKUP(AJ631,'FRC Site Data'!$B$3:$L$42,5,FALSE)</f>
        <v>#N/A</v>
      </c>
      <c r="V639" s="10" t="e">
        <f>VLOOKUP(AJ631,'FRC Site Data'!$B$3:$L$42,6,FALSE)</f>
        <v>#N/A</v>
      </c>
      <c r="W639" s="10" t="e">
        <f>VLOOKUP(AJ631,'FRC Site Data'!$B$3:$L$42,8,FALSE)</f>
        <v>#N/A</v>
      </c>
      <c r="X639" s="10" t="e">
        <f>VLOOKUP(AJ631,'FRC Site Data'!$B$3:$L$42,9,FALSE)</f>
        <v>#N/A</v>
      </c>
      <c r="Y639" s="10" t="e">
        <f>VLOOKUP(AJ631,'FRC Site Data'!$B$3:$L$42,10,FALSE)</f>
        <v>#N/A</v>
      </c>
      <c r="Z639" s="10" t="e">
        <f>VLOOKUP(AJ631,'FRC Site Data'!$B$3:$L$42,11,FALSE)</f>
        <v>#N/A</v>
      </c>
      <c r="AA639" s="10" t="e">
        <f>VLOOKUP(AJ631,'CIR Team Info'!$C$5:$E$44,4,FALSE)</f>
        <v>#N/A</v>
      </c>
      <c r="AB639" s="161" t="b">
        <f>ISNUMBER(VLOOKUP(AJ631,Match!$T$5:$T$10,1,FALSE))</f>
        <v>0</v>
      </c>
      <c r="AC639" s="161" t="b">
        <f>IF(AB639=TRUE,(VLOOKUP($AJ631,Match!$T$5:$U$10,2,FALSE)))</f>
        <v>0</v>
      </c>
      <c r="AD639" s="8">
        <v>3</v>
      </c>
      <c r="AE639" s="8">
        <v>2</v>
      </c>
      <c r="AF639" s="8">
        <v>2</v>
      </c>
      <c r="AG639" s="8">
        <v>1</v>
      </c>
      <c r="AH639" s="8" t="str">
        <f t="shared" si="186"/>
        <v/>
      </c>
    </row>
    <row r="640" spans="1:34" x14ac:dyDescent="0.25">
      <c r="A640" s="29">
        <f t="shared" si="177"/>
        <v>0</v>
      </c>
      <c r="B640" s="29">
        <f t="shared" si="171"/>
        <v>0</v>
      </c>
      <c r="C640" s="29">
        <f t="shared" si="172"/>
        <v>0</v>
      </c>
      <c r="D640" s="29">
        <f t="shared" si="173"/>
        <v>0</v>
      </c>
      <c r="E640" s="29">
        <f t="shared" si="178"/>
        <v>0</v>
      </c>
      <c r="F640" s="29">
        <f t="shared" si="179"/>
        <v>0</v>
      </c>
      <c r="G640" s="29" t="str">
        <f t="shared" si="180"/>
        <v>offensive</v>
      </c>
      <c r="H640" s="16">
        <f t="shared" si="184"/>
        <v>0</v>
      </c>
      <c r="I640" s="16">
        <f t="shared" si="185"/>
        <v>0</v>
      </c>
      <c r="J640" s="16">
        <f t="shared" si="174"/>
        <v>0</v>
      </c>
      <c r="K640" s="16">
        <f t="shared" si="181"/>
        <v>0</v>
      </c>
      <c r="L640" s="67">
        <f t="shared" si="182"/>
        <v>0</v>
      </c>
      <c r="M640" s="4">
        <f t="shared" si="175"/>
        <v>0</v>
      </c>
      <c r="N640" s="4">
        <f t="shared" si="176"/>
        <v>0</v>
      </c>
      <c r="O640" s="4">
        <f t="shared" si="183"/>
        <v>0</v>
      </c>
      <c r="P640" s="4" t="e">
        <f>VLOOKUP(AJ632,'CIR Team Info'!$C$5:$E$44,2,FALSE)</f>
        <v>#N/A</v>
      </c>
      <c r="Q640" s="4" t="e">
        <f>VLOOKUP(AJ632,'CIR Team Info'!$C$5:$E$44,3,FALSE)</f>
        <v>#N/A</v>
      </c>
      <c r="R640" s="10" t="e">
        <f>VLOOKUP(AJ632,'FRC Site Data'!$B$3:$L$42,2,FALSE)</f>
        <v>#N/A</v>
      </c>
      <c r="S640" s="10" t="e">
        <f>VLOOKUP(AJ632,'FRC Site Data'!$B$3:$L$42,3,FALSE)</f>
        <v>#N/A</v>
      </c>
      <c r="T640" s="10" t="e">
        <f>VLOOKUP(AJ632,'FRC Site Data'!$B$3:$L$42,4,FALSE)</f>
        <v>#N/A</v>
      </c>
      <c r="U640" s="10" t="e">
        <f>VLOOKUP(AJ632,'FRC Site Data'!$B$3:$L$42,5,FALSE)</f>
        <v>#N/A</v>
      </c>
      <c r="V640" s="10" t="e">
        <f>VLOOKUP(AJ632,'FRC Site Data'!$B$3:$L$42,6,FALSE)</f>
        <v>#N/A</v>
      </c>
      <c r="W640" s="10" t="e">
        <f>VLOOKUP(AJ632,'FRC Site Data'!$B$3:$L$42,8,FALSE)</f>
        <v>#N/A</v>
      </c>
      <c r="X640" s="10" t="e">
        <f>VLOOKUP(AJ632,'FRC Site Data'!$B$3:$L$42,9,FALSE)</f>
        <v>#N/A</v>
      </c>
      <c r="Y640" s="10" t="e">
        <f>VLOOKUP(AJ632,'FRC Site Data'!$B$3:$L$42,10,FALSE)</f>
        <v>#N/A</v>
      </c>
      <c r="Z640" s="10" t="e">
        <f>VLOOKUP(AJ632,'FRC Site Data'!$B$3:$L$42,11,FALSE)</f>
        <v>#N/A</v>
      </c>
      <c r="AA640" s="10" t="e">
        <f>VLOOKUP(AJ632,'CIR Team Info'!$C$5:$E$44,4,FALSE)</f>
        <v>#N/A</v>
      </c>
      <c r="AB640" s="161" t="b">
        <f>ISNUMBER(VLOOKUP(AJ632,Match!$T$5:$T$10,1,FALSE))</f>
        <v>0</v>
      </c>
      <c r="AC640" s="161" t="b">
        <f>IF(AB640=TRUE,(VLOOKUP($AJ632,Match!$T$5:$U$10,2,FALSE)))</f>
        <v>0</v>
      </c>
      <c r="AD640" s="8">
        <v>3</v>
      </c>
      <c r="AE640" s="8">
        <v>2</v>
      </c>
      <c r="AF640" s="8">
        <v>2</v>
      </c>
      <c r="AG640" s="8">
        <v>1</v>
      </c>
      <c r="AH640" s="8" t="str">
        <f t="shared" si="186"/>
        <v/>
      </c>
    </row>
    <row r="641" spans="1:34" x14ac:dyDescent="0.25">
      <c r="A641" s="29">
        <f t="shared" si="177"/>
        <v>0</v>
      </c>
      <c r="B641" s="29">
        <f t="shared" si="171"/>
        <v>0</v>
      </c>
      <c r="C641" s="29">
        <f t="shared" si="172"/>
        <v>0</v>
      </c>
      <c r="D641" s="29">
        <f t="shared" si="173"/>
        <v>0</v>
      </c>
      <c r="E641" s="29">
        <f t="shared" si="178"/>
        <v>0</v>
      </c>
      <c r="F641" s="29">
        <f t="shared" si="179"/>
        <v>0</v>
      </c>
      <c r="G641" s="29" t="str">
        <f t="shared" si="180"/>
        <v>offensive</v>
      </c>
      <c r="H641" s="16">
        <f t="shared" si="184"/>
        <v>0</v>
      </c>
      <c r="I641" s="16">
        <f t="shared" si="185"/>
        <v>0</v>
      </c>
      <c r="J641" s="16">
        <f t="shared" si="174"/>
        <v>0</v>
      </c>
      <c r="K641" s="16">
        <f t="shared" si="181"/>
        <v>0</v>
      </c>
      <c r="L641" s="67">
        <f t="shared" si="182"/>
        <v>0</v>
      </c>
      <c r="M641" s="4">
        <f t="shared" si="175"/>
        <v>0</v>
      </c>
      <c r="N641" s="4">
        <f t="shared" si="176"/>
        <v>0</v>
      </c>
      <c r="O641" s="4">
        <f t="shared" si="183"/>
        <v>0</v>
      </c>
      <c r="P641" s="4" t="e">
        <f>VLOOKUP(AJ633,'CIR Team Info'!$C$5:$E$44,2,FALSE)</f>
        <v>#N/A</v>
      </c>
      <c r="Q641" s="4" t="e">
        <f>VLOOKUP(AJ633,'CIR Team Info'!$C$5:$E$44,3,FALSE)</f>
        <v>#N/A</v>
      </c>
      <c r="R641" s="10" t="e">
        <f>VLOOKUP(AJ633,'FRC Site Data'!$B$3:$L$42,2,FALSE)</f>
        <v>#N/A</v>
      </c>
      <c r="S641" s="10" t="e">
        <f>VLOOKUP(AJ633,'FRC Site Data'!$B$3:$L$42,3,FALSE)</f>
        <v>#N/A</v>
      </c>
      <c r="T641" s="10" t="e">
        <f>VLOOKUP(AJ633,'FRC Site Data'!$B$3:$L$42,4,FALSE)</f>
        <v>#N/A</v>
      </c>
      <c r="U641" s="10" t="e">
        <f>VLOOKUP(AJ633,'FRC Site Data'!$B$3:$L$42,5,FALSE)</f>
        <v>#N/A</v>
      </c>
      <c r="V641" s="10" t="e">
        <f>VLOOKUP(AJ633,'FRC Site Data'!$B$3:$L$42,6,FALSE)</f>
        <v>#N/A</v>
      </c>
      <c r="W641" s="10" t="e">
        <f>VLOOKUP(AJ633,'FRC Site Data'!$B$3:$L$42,8,FALSE)</f>
        <v>#N/A</v>
      </c>
      <c r="X641" s="10" t="e">
        <f>VLOOKUP(AJ633,'FRC Site Data'!$B$3:$L$42,9,FALSE)</f>
        <v>#N/A</v>
      </c>
      <c r="Y641" s="10" t="e">
        <f>VLOOKUP(AJ633,'FRC Site Data'!$B$3:$L$42,10,FALSE)</f>
        <v>#N/A</v>
      </c>
      <c r="Z641" s="10" t="e">
        <f>VLOOKUP(AJ633,'FRC Site Data'!$B$3:$L$42,11,FALSE)</f>
        <v>#N/A</v>
      </c>
      <c r="AA641" s="10" t="e">
        <f>VLOOKUP(AJ633,'CIR Team Info'!$C$5:$E$44,4,FALSE)</f>
        <v>#N/A</v>
      </c>
      <c r="AB641" s="161" t="b">
        <f>ISNUMBER(VLOOKUP(AJ633,Match!$T$5:$T$10,1,FALSE))</f>
        <v>0</v>
      </c>
      <c r="AC641" s="161" t="b">
        <f>IF(AB641=TRUE,(VLOOKUP($AJ633,Match!$T$5:$U$10,2,FALSE)))</f>
        <v>0</v>
      </c>
      <c r="AD641" s="8">
        <v>3</v>
      </c>
      <c r="AE641" s="8">
        <v>2</v>
      </c>
      <c r="AF641" s="8">
        <v>2</v>
      </c>
      <c r="AG641" s="8">
        <v>1</v>
      </c>
      <c r="AH641" s="8" t="str">
        <f t="shared" si="186"/>
        <v/>
      </c>
    </row>
    <row r="642" spans="1:34" x14ac:dyDescent="0.25">
      <c r="A642" s="29">
        <f t="shared" si="177"/>
        <v>0</v>
      </c>
      <c r="B642" s="29">
        <f t="shared" si="171"/>
        <v>0</v>
      </c>
      <c r="C642" s="29">
        <f t="shared" si="172"/>
        <v>0</v>
      </c>
      <c r="D642" s="29">
        <f t="shared" si="173"/>
        <v>0</v>
      </c>
      <c r="E642" s="29">
        <f t="shared" si="178"/>
        <v>0</v>
      </c>
      <c r="F642" s="29">
        <f t="shared" si="179"/>
        <v>0</v>
      </c>
      <c r="G642" s="29" t="str">
        <f t="shared" si="180"/>
        <v>offensive</v>
      </c>
      <c r="H642" s="16">
        <f t="shared" si="184"/>
        <v>0</v>
      </c>
      <c r="I642" s="16">
        <f t="shared" si="185"/>
        <v>0</v>
      </c>
      <c r="J642" s="16">
        <f t="shared" si="174"/>
        <v>0</v>
      </c>
      <c r="K642" s="16">
        <f t="shared" si="181"/>
        <v>0</v>
      </c>
      <c r="L642" s="67">
        <f t="shared" si="182"/>
        <v>0</v>
      </c>
      <c r="M642" s="4">
        <f t="shared" si="175"/>
        <v>0</v>
      </c>
      <c r="N642" s="4">
        <f t="shared" si="176"/>
        <v>0</v>
      </c>
      <c r="O642" s="4">
        <f t="shared" si="183"/>
        <v>0</v>
      </c>
      <c r="P642" s="4" t="e">
        <f>VLOOKUP(AJ634,'CIR Team Info'!$C$5:$E$44,2,FALSE)</f>
        <v>#N/A</v>
      </c>
      <c r="Q642" s="4" t="e">
        <f>VLOOKUP(AJ634,'CIR Team Info'!$C$5:$E$44,3,FALSE)</f>
        <v>#N/A</v>
      </c>
      <c r="R642" s="10" t="e">
        <f>VLOOKUP(AJ634,'FRC Site Data'!$B$3:$L$42,2,FALSE)</f>
        <v>#N/A</v>
      </c>
      <c r="S642" s="10" t="e">
        <f>VLOOKUP(AJ634,'FRC Site Data'!$B$3:$L$42,3,FALSE)</f>
        <v>#N/A</v>
      </c>
      <c r="T642" s="10" t="e">
        <f>VLOOKUP(AJ634,'FRC Site Data'!$B$3:$L$42,4,FALSE)</f>
        <v>#N/A</v>
      </c>
      <c r="U642" s="10" t="e">
        <f>VLOOKUP(AJ634,'FRC Site Data'!$B$3:$L$42,5,FALSE)</f>
        <v>#N/A</v>
      </c>
      <c r="V642" s="10" t="e">
        <f>VLOOKUP(AJ634,'FRC Site Data'!$B$3:$L$42,6,FALSE)</f>
        <v>#N/A</v>
      </c>
      <c r="W642" s="10" t="e">
        <f>VLOOKUP(AJ634,'FRC Site Data'!$B$3:$L$42,8,FALSE)</f>
        <v>#N/A</v>
      </c>
      <c r="X642" s="10" t="e">
        <f>VLOOKUP(AJ634,'FRC Site Data'!$B$3:$L$42,9,FALSE)</f>
        <v>#N/A</v>
      </c>
      <c r="Y642" s="10" t="e">
        <f>VLOOKUP(AJ634,'FRC Site Data'!$B$3:$L$42,10,FALSE)</f>
        <v>#N/A</v>
      </c>
      <c r="Z642" s="10" t="e">
        <f>VLOOKUP(AJ634,'FRC Site Data'!$B$3:$L$42,11,FALSE)</f>
        <v>#N/A</v>
      </c>
      <c r="AA642" s="10" t="e">
        <f>VLOOKUP(AJ634,'CIR Team Info'!$C$5:$E$44,4,FALSE)</f>
        <v>#N/A</v>
      </c>
      <c r="AB642" s="161" t="b">
        <f>ISNUMBER(VLOOKUP(AJ634,Match!$T$5:$T$10,1,FALSE))</f>
        <v>0</v>
      </c>
      <c r="AC642" s="161" t="b">
        <f>IF(AB642=TRUE,(VLOOKUP($AJ634,Match!$T$5:$U$10,2,FALSE)))</f>
        <v>0</v>
      </c>
      <c r="AD642" s="8">
        <v>3</v>
      </c>
      <c r="AE642" s="8">
        <v>2</v>
      </c>
      <c r="AF642" s="8">
        <v>2</v>
      </c>
      <c r="AG642" s="8">
        <v>1</v>
      </c>
      <c r="AH642" s="8" t="str">
        <f t="shared" si="186"/>
        <v/>
      </c>
    </row>
    <row r="643" spans="1:34" x14ac:dyDescent="0.25">
      <c r="A643" s="29">
        <f t="shared" si="177"/>
        <v>0</v>
      </c>
      <c r="B643" s="29">
        <f t="shared" si="171"/>
        <v>0</v>
      </c>
      <c r="C643" s="29">
        <f t="shared" si="172"/>
        <v>0</v>
      </c>
      <c r="D643" s="29">
        <f t="shared" si="173"/>
        <v>0</v>
      </c>
      <c r="E643" s="29">
        <f t="shared" si="178"/>
        <v>0</v>
      </c>
      <c r="F643" s="29">
        <f t="shared" si="179"/>
        <v>0</v>
      </c>
      <c r="G643" s="29" t="str">
        <f t="shared" si="180"/>
        <v>offensive</v>
      </c>
      <c r="H643" s="16">
        <f t="shared" si="184"/>
        <v>0</v>
      </c>
      <c r="I643" s="16">
        <f t="shared" si="185"/>
        <v>0</v>
      </c>
      <c r="J643" s="16">
        <f t="shared" si="174"/>
        <v>0</v>
      </c>
      <c r="K643" s="16">
        <f t="shared" si="181"/>
        <v>0</v>
      </c>
      <c r="L643" s="67">
        <f t="shared" si="182"/>
        <v>0</v>
      </c>
      <c r="M643" s="4">
        <f t="shared" si="175"/>
        <v>0</v>
      </c>
      <c r="N643" s="4">
        <f t="shared" si="176"/>
        <v>0</v>
      </c>
      <c r="O643" s="4">
        <f t="shared" si="183"/>
        <v>0</v>
      </c>
      <c r="P643" s="4" t="e">
        <f>VLOOKUP(AJ635,'CIR Team Info'!$C$5:$E$44,2,FALSE)</f>
        <v>#N/A</v>
      </c>
      <c r="Q643" s="4" t="e">
        <f>VLOOKUP(AJ635,'CIR Team Info'!$C$5:$E$44,3,FALSE)</f>
        <v>#N/A</v>
      </c>
      <c r="R643" s="10" t="e">
        <f>VLOOKUP(AJ635,'FRC Site Data'!$B$3:$L$42,2,FALSE)</f>
        <v>#N/A</v>
      </c>
      <c r="S643" s="10" t="e">
        <f>VLOOKUP(AJ635,'FRC Site Data'!$B$3:$L$42,3,FALSE)</f>
        <v>#N/A</v>
      </c>
      <c r="T643" s="10" t="e">
        <f>VLOOKUP(AJ635,'FRC Site Data'!$B$3:$L$42,4,FALSE)</f>
        <v>#N/A</v>
      </c>
      <c r="U643" s="10" t="e">
        <f>VLOOKUP(AJ635,'FRC Site Data'!$B$3:$L$42,5,FALSE)</f>
        <v>#N/A</v>
      </c>
      <c r="V643" s="10" t="e">
        <f>VLOOKUP(AJ635,'FRC Site Data'!$B$3:$L$42,6,FALSE)</f>
        <v>#N/A</v>
      </c>
      <c r="W643" s="10" t="e">
        <f>VLOOKUP(AJ635,'FRC Site Data'!$B$3:$L$42,8,FALSE)</f>
        <v>#N/A</v>
      </c>
      <c r="X643" s="10" t="e">
        <f>VLOOKUP(AJ635,'FRC Site Data'!$B$3:$L$42,9,FALSE)</f>
        <v>#N/A</v>
      </c>
      <c r="Y643" s="10" t="e">
        <f>VLOOKUP(AJ635,'FRC Site Data'!$B$3:$L$42,10,FALSE)</f>
        <v>#N/A</v>
      </c>
      <c r="Z643" s="10" t="e">
        <f>VLOOKUP(AJ635,'FRC Site Data'!$B$3:$L$42,11,FALSE)</f>
        <v>#N/A</v>
      </c>
      <c r="AA643" s="10" t="e">
        <f>VLOOKUP(AJ635,'CIR Team Info'!$C$5:$E$44,4,FALSE)</f>
        <v>#N/A</v>
      </c>
      <c r="AB643" s="161" t="b">
        <f>ISNUMBER(VLOOKUP(AJ635,Match!$T$5:$T$10,1,FALSE))</f>
        <v>0</v>
      </c>
      <c r="AC643" s="161" t="b">
        <f>IF(AB643=TRUE,(VLOOKUP($AJ635,Match!$T$5:$U$10,2,FALSE)))</f>
        <v>0</v>
      </c>
      <c r="AD643" s="8">
        <v>3</v>
      </c>
      <c r="AE643" s="8">
        <v>2</v>
      </c>
      <c r="AF643" s="8">
        <v>2</v>
      </c>
      <c r="AG643" s="8">
        <v>1</v>
      </c>
      <c r="AH643" s="8" t="str">
        <f t="shared" si="186"/>
        <v/>
      </c>
    </row>
    <row r="644" spans="1:34" x14ac:dyDescent="0.25">
      <c r="A644" s="29">
        <f t="shared" si="177"/>
        <v>0</v>
      </c>
      <c r="B644" s="29">
        <f t="shared" si="171"/>
        <v>0</v>
      </c>
      <c r="C644" s="29">
        <f t="shared" si="172"/>
        <v>0</v>
      </c>
      <c r="D644" s="29">
        <f t="shared" si="173"/>
        <v>0</v>
      </c>
      <c r="E644" s="29">
        <f t="shared" si="178"/>
        <v>0</v>
      </c>
      <c r="F644" s="29">
        <f t="shared" si="179"/>
        <v>0</v>
      </c>
      <c r="G644" s="29" t="str">
        <f t="shared" si="180"/>
        <v>offensive</v>
      </c>
      <c r="H644" s="16">
        <f t="shared" si="184"/>
        <v>0</v>
      </c>
      <c r="I644" s="16">
        <f t="shared" si="185"/>
        <v>0</v>
      </c>
      <c r="J644" s="16">
        <f t="shared" si="174"/>
        <v>0</v>
      </c>
      <c r="K644" s="16">
        <f t="shared" si="181"/>
        <v>0</v>
      </c>
      <c r="L644" s="67">
        <f t="shared" si="182"/>
        <v>0</v>
      </c>
      <c r="M644" s="4">
        <f t="shared" si="175"/>
        <v>0</v>
      </c>
      <c r="N644" s="4">
        <f t="shared" si="176"/>
        <v>0</v>
      </c>
      <c r="O644" s="4">
        <f t="shared" si="183"/>
        <v>0</v>
      </c>
      <c r="P644" s="4" t="e">
        <f>VLOOKUP(AJ636,'CIR Team Info'!$C$5:$E$44,2,FALSE)</f>
        <v>#N/A</v>
      </c>
      <c r="Q644" s="4" t="e">
        <f>VLOOKUP(AJ636,'CIR Team Info'!$C$5:$E$44,3,FALSE)</f>
        <v>#N/A</v>
      </c>
      <c r="R644" s="10" t="e">
        <f>VLOOKUP(AJ636,'FRC Site Data'!$B$3:$L$42,2,FALSE)</f>
        <v>#N/A</v>
      </c>
      <c r="S644" s="10" t="e">
        <f>VLOOKUP(AJ636,'FRC Site Data'!$B$3:$L$42,3,FALSE)</f>
        <v>#N/A</v>
      </c>
      <c r="T644" s="10" t="e">
        <f>VLOOKUP(AJ636,'FRC Site Data'!$B$3:$L$42,4,FALSE)</f>
        <v>#N/A</v>
      </c>
      <c r="U644" s="10" t="e">
        <f>VLOOKUP(AJ636,'FRC Site Data'!$B$3:$L$42,5,FALSE)</f>
        <v>#N/A</v>
      </c>
      <c r="V644" s="10" t="e">
        <f>VLOOKUP(AJ636,'FRC Site Data'!$B$3:$L$42,6,FALSE)</f>
        <v>#N/A</v>
      </c>
      <c r="W644" s="10" t="e">
        <f>VLOOKUP(AJ636,'FRC Site Data'!$B$3:$L$42,8,FALSE)</f>
        <v>#N/A</v>
      </c>
      <c r="X644" s="10" t="e">
        <f>VLOOKUP(AJ636,'FRC Site Data'!$B$3:$L$42,9,FALSE)</f>
        <v>#N/A</v>
      </c>
      <c r="Y644" s="10" t="e">
        <f>VLOOKUP(AJ636,'FRC Site Data'!$B$3:$L$42,10,FALSE)</f>
        <v>#N/A</v>
      </c>
      <c r="Z644" s="10" t="e">
        <f>VLOOKUP(AJ636,'FRC Site Data'!$B$3:$L$42,11,FALSE)</f>
        <v>#N/A</v>
      </c>
      <c r="AA644" s="10" t="e">
        <f>VLOOKUP(AJ636,'CIR Team Info'!$C$5:$E$44,4,FALSE)</f>
        <v>#N/A</v>
      </c>
      <c r="AB644" s="161" t="b">
        <f>ISNUMBER(VLOOKUP(AJ636,Match!$T$5:$T$10,1,FALSE))</f>
        <v>0</v>
      </c>
      <c r="AC644" s="161" t="b">
        <f>IF(AB644=TRUE,(VLOOKUP($AJ636,Match!$T$5:$U$10,2,FALSE)))</f>
        <v>0</v>
      </c>
      <c r="AD644" s="8">
        <v>3</v>
      </c>
      <c r="AE644" s="8">
        <v>2</v>
      </c>
      <c r="AF644" s="8">
        <v>2</v>
      </c>
      <c r="AG644" s="8">
        <v>1</v>
      </c>
      <c r="AH644" s="8" t="str">
        <f t="shared" si="186"/>
        <v/>
      </c>
    </row>
    <row r="645" spans="1:34" x14ac:dyDescent="0.25">
      <c r="A645" s="29">
        <f t="shared" si="177"/>
        <v>0</v>
      </c>
      <c r="B645" s="29">
        <f t="shared" si="171"/>
        <v>0</v>
      </c>
      <c r="C645" s="29">
        <f t="shared" si="172"/>
        <v>0</v>
      </c>
      <c r="D645" s="29">
        <f t="shared" si="173"/>
        <v>0</v>
      </c>
      <c r="E645" s="29">
        <f t="shared" si="178"/>
        <v>0</v>
      </c>
      <c r="F645" s="29">
        <f t="shared" si="179"/>
        <v>0</v>
      </c>
      <c r="G645" s="29" t="str">
        <f t="shared" si="180"/>
        <v>offensive</v>
      </c>
      <c r="H645" s="16">
        <f t="shared" si="184"/>
        <v>0</v>
      </c>
      <c r="I645" s="16">
        <f t="shared" si="185"/>
        <v>0</v>
      </c>
      <c r="J645" s="16">
        <f t="shared" si="174"/>
        <v>0</v>
      </c>
      <c r="K645" s="16">
        <f t="shared" si="181"/>
        <v>0</v>
      </c>
      <c r="L645" s="67">
        <f t="shared" si="182"/>
        <v>0</v>
      </c>
      <c r="M645" s="4">
        <f t="shared" si="175"/>
        <v>0</v>
      </c>
      <c r="N645" s="4">
        <f t="shared" si="176"/>
        <v>0</v>
      </c>
      <c r="O645" s="4">
        <f t="shared" si="183"/>
        <v>0</v>
      </c>
      <c r="P645" s="4" t="e">
        <f>VLOOKUP(AJ637,'CIR Team Info'!$C$5:$E$44,2,FALSE)</f>
        <v>#N/A</v>
      </c>
      <c r="Q645" s="4" t="e">
        <f>VLOOKUP(AJ637,'CIR Team Info'!$C$5:$E$44,3,FALSE)</f>
        <v>#N/A</v>
      </c>
      <c r="R645" s="10" t="e">
        <f>VLOOKUP(AJ637,'FRC Site Data'!$B$3:$L$42,2,FALSE)</f>
        <v>#N/A</v>
      </c>
      <c r="S645" s="10" t="e">
        <f>VLOOKUP(AJ637,'FRC Site Data'!$B$3:$L$42,3,FALSE)</f>
        <v>#N/A</v>
      </c>
      <c r="T645" s="10" t="e">
        <f>VLOOKUP(AJ637,'FRC Site Data'!$B$3:$L$42,4,FALSE)</f>
        <v>#N/A</v>
      </c>
      <c r="U645" s="10" t="e">
        <f>VLOOKUP(AJ637,'FRC Site Data'!$B$3:$L$42,5,FALSE)</f>
        <v>#N/A</v>
      </c>
      <c r="V645" s="10" t="e">
        <f>VLOOKUP(AJ637,'FRC Site Data'!$B$3:$L$42,6,FALSE)</f>
        <v>#N/A</v>
      </c>
      <c r="W645" s="10" t="e">
        <f>VLOOKUP(AJ637,'FRC Site Data'!$B$3:$L$42,8,FALSE)</f>
        <v>#N/A</v>
      </c>
      <c r="X645" s="10" t="e">
        <f>VLOOKUP(AJ637,'FRC Site Data'!$B$3:$L$42,9,FALSE)</f>
        <v>#N/A</v>
      </c>
      <c r="Y645" s="10" t="e">
        <f>VLOOKUP(AJ637,'FRC Site Data'!$B$3:$L$42,10,FALSE)</f>
        <v>#N/A</v>
      </c>
      <c r="Z645" s="10" t="e">
        <f>VLOOKUP(AJ637,'FRC Site Data'!$B$3:$L$42,11,FALSE)</f>
        <v>#N/A</v>
      </c>
      <c r="AA645" s="10" t="e">
        <f>VLOOKUP(AJ637,'CIR Team Info'!$C$5:$E$44,4,FALSE)</f>
        <v>#N/A</v>
      </c>
      <c r="AB645" s="161" t="b">
        <f>ISNUMBER(VLOOKUP(AJ637,Match!$T$5:$T$10,1,FALSE))</f>
        <v>0</v>
      </c>
      <c r="AC645" s="161" t="b">
        <f>IF(AB645=TRUE,(VLOOKUP($AJ637,Match!$T$5:$U$10,2,FALSE)))</f>
        <v>0</v>
      </c>
      <c r="AD645" s="8">
        <v>3</v>
      </c>
      <c r="AE645" s="8">
        <v>2</v>
      </c>
      <c r="AF645" s="8">
        <v>2</v>
      </c>
      <c r="AG645" s="8">
        <v>1</v>
      </c>
      <c r="AH645" s="8" t="str">
        <f t="shared" si="186"/>
        <v/>
      </c>
    </row>
    <row r="646" spans="1:34" x14ac:dyDescent="0.25">
      <c r="A646" s="29">
        <f t="shared" si="177"/>
        <v>0</v>
      </c>
      <c r="B646" s="29">
        <f t="shared" ref="B646:B709" si="187">H646*AD646*AO638</f>
        <v>0</v>
      </c>
      <c r="C646" s="29">
        <f t="shared" ref="C646:C709" si="188">I646*AE646*AV638</f>
        <v>0</v>
      </c>
      <c r="D646" s="29">
        <f t="shared" ref="D646:D709" si="189">J646*AF646*BF638</f>
        <v>0</v>
      </c>
      <c r="E646" s="29">
        <f t="shared" si="178"/>
        <v>0</v>
      </c>
      <c r="F646" s="29">
        <f t="shared" si="179"/>
        <v>0</v>
      </c>
      <c r="G646" s="29" t="str">
        <f t="shared" si="180"/>
        <v>offensive</v>
      </c>
      <c r="H646" s="16">
        <f t="shared" si="184"/>
        <v>0</v>
      </c>
      <c r="I646" s="16">
        <f t="shared" si="185"/>
        <v>0</v>
      </c>
      <c r="J646" s="16">
        <f t="shared" ref="J646:J709" si="190">IF(L646=0,0,BG638/L646)</f>
        <v>0</v>
      </c>
      <c r="K646" s="16">
        <f t="shared" si="181"/>
        <v>0</v>
      </c>
      <c r="L646" s="67">
        <f t="shared" si="182"/>
        <v>0</v>
      </c>
      <c r="M646" s="4">
        <f t="shared" ref="M646:M709" si="191">AO638+AV638+BD638+O646</f>
        <v>0</v>
      </c>
      <c r="N646" s="4">
        <f t="shared" si="176"/>
        <v>0</v>
      </c>
      <c r="O646" s="4">
        <f t="shared" si="183"/>
        <v>0</v>
      </c>
      <c r="P646" s="4" t="e">
        <f>VLOOKUP(AJ638,'CIR Team Info'!$C$5:$E$44,2,FALSE)</f>
        <v>#N/A</v>
      </c>
      <c r="Q646" s="4" t="e">
        <f>VLOOKUP(AJ638,'CIR Team Info'!$C$5:$E$44,3,FALSE)</f>
        <v>#N/A</v>
      </c>
      <c r="R646" s="10" t="e">
        <f>VLOOKUP(AJ638,'FRC Site Data'!$B$3:$L$42,2,FALSE)</f>
        <v>#N/A</v>
      </c>
      <c r="S646" s="10" t="e">
        <f>VLOOKUP(AJ638,'FRC Site Data'!$B$3:$L$42,3,FALSE)</f>
        <v>#N/A</v>
      </c>
      <c r="T646" s="10" t="e">
        <f>VLOOKUP(AJ638,'FRC Site Data'!$B$3:$L$42,4,FALSE)</f>
        <v>#N/A</v>
      </c>
      <c r="U646" s="10" t="e">
        <f>VLOOKUP(AJ638,'FRC Site Data'!$B$3:$L$42,5,FALSE)</f>
        <v>#N/A</v>
      </c>
      <c r="V646" s="10" t="e">
        <f>VLOOKUP(AJ638,'FRC Site Data'!$B$3:$L$42,6,FALSE)</f>
        <v>#N/A</v>
      </c>
      <c r="W646" s="10" t="e">
        <f>VLOOKUP(AJ638,'FRC Site Data'!$B$3:$L$42,8,FALSE)</f>
        <v>#N/A</v>
      </c>
      <c r="X646" s="10" t="e">
        <f>VLOOKUP(AJ638,'FRC Site Data'!$B$3:$L$42,9,FALSE)</f>
        <v>#N/A</v>
      </c>
      <c r="Y646" s="10" t="e">
        <f>VLOOKUP(AJ638,'FRC Site Data'!$B$3:$L$42,10,FALSE)</f>
        <v>#N/A</v>
      </c>
      <c r="Z646" s="10" t="e">
        <f>VLOOKUP(AJ638,'FRC Site Data'!$B$3:$L$42,11,FALSE)</f>
        <v>#N/A</v>
      </c>
      <c r="AA646" s="10" t="e">
        <f>VLOOKUP(AJ638,'CIR Team Info'!$C$5:$E$44,4,FALSE)</f>
        <v>#N/A</v>
      </c>
      <c r="AB646" s="161" t="b">
        <f>ISNUMBER(VLOOKUP(AJ638,Match!$T$5:$T$10,1,FALSE))</f>
        <v>0</v>
      </c>
      <c r="AC646" s="161" t="b">
        <f>IF(AB646=TRUE,(VLOOKUP($AJ638,Match!$T$5:$U$10,2,FALSE)))</f>
        <v>0</v>
      </c>
      <c r="AD646" s="8">
        <v>3</v>
      </c>
      <c r="AE646" s="8">
        <v>2</v>
      </c>
      <c r="AF646" s="8">
        <v>2</v>
      </c>
      <c r="AG646" s="8">
        <v>1</v>
      </c>
      <c r="AH646" s="8" t="str">
        <f t="shared" si="186"/>
        <v/>
      </c>
    </row>
    <row r="647" spans="1:34" x14ac:dyDescent="0.25">
      <c r="A647" s="29">
        <f t="shared" si="177"/>
        <v>0</v>
      </c>
      <c r="B647" s="29">
        <f t="shared" si="187"/>
        <v>0</v>
      </c>
      <c r="C647" s="29">
        <f t="shared" si="188"/>
        <v>0</v>
      </c>
      <c r="D647" s="29">
        <f t="shared" si="189"/>
        <v>0</v>
      </c>
      <c r="E647" s="29">
        <f t="shared" si="178"/>
        <v>0</v>
      </c>
      <c r="F647" s="29">
        <f t="shared" si="179"/>
        <v>0</v>
      </c>
      <c r="G647" s="29" t="str">
        <f t="shared" si="180"/>
        <v>offensive</v>
      </c>
      <c r="H647" s="16">
        <f t="shared" si="184"/>
        <v>0</v>
      </c>
      <c r="I647" s="16">
        <f t="shared" si="185"/>
        <v>0</v>
      </c>
      <c r="J647" s="16">
        <f t="shared" si="190"/>
        <v>0</v>
      </c>
      <c r="K647" s="16">
        <f t="shared" si="181"/>
        <v>0</v>
      </c>
      <c r="L647" s="67">
        <f t="shared" si="182"/>
        <v>0</v>
      </c>
      <c r="M647" s="4">
        <f t="shared" si="191"/>
        <v>0</v>
      </c>
      <c r="N647" s="4">
        <f t="shared" ref="N647:N710" si="192">AO639+AV639+BD639</f>
        <v>0</v>
      </c>
      <c r="O647" s="4">
        <f t="shared" si="183"/>
        <v>0</v>
      </c>
      <c r="P647" s="4" t="e">
        <f>VLOOKUP(AJ639,'CIR Team Info'!$C$5:$E$44,2,FALSE)</f>
        <v>#N/A</v>
      </c>
      <c r="Q647" s="4" t="e">
        <f>VLOOKUP(AJ639,'CIR Team Info'!$C$5:$E$44,3,FALSE)</f>
        <v>#N/A</v>
      </c>
      <c r="R647" s="10" t="e">
        <f>VLOOKUP(AJ639,'FRC Site Data'!$B$3:$L$42,2,FALSE)</f>
        <v>#N/A</v>
      </c>
      <c r="S647" s="10" t="e">
        <f>VLOOKUP(AJ639,'FRC Site Data'!$B$3:$L$42,3,FALSE)</f>
        <v>#N/A</v>
      </c>
      <c r="T647" s="10" t="e">
        <f>VLOOKUP(AJ639,'FRC Site Data'!$B$3:$L$42,4,FALSE)</f>
        <v>#N/A</v>
      </c>
      <c r="U647" s="10" t="e">
        <f>VLOOKUP(AJ639,'FRC Site Data'!$B$3:$L$42,5,FALSE)</f>
        <v>#N/A</v>
      </c>
      <c r="V647" s="10" t="e">
        <f>VLOOKUP(AJ639,'FRC Site Data'!$B$3:$L$42,6,FALSE)</f>
        <v>#N/A</v>
      </c>
      <c r="W647" s="10" t="e">
        <f>VLOOKUP(AJ639,'FRC Site Data'!$B$3:$L$42,8,FALSE)</f>
        <v>#N/A</v>
      </c>
      <c r="X647" s="10" t="e">
        <f>VLOOKUP(AJ639,'FRC Site Data'!$B$3:$L$42,9,FALSE)</f>
        <v>#N/A</v>
      </c>
      <c r="Y647" s="10" t="e">
        <f>VLOOKUP(AJ639,'FRC Site Data'!$B$3:$L$42,10,FALSE)</f>
        <v>#N/A</v>
      </c>
      <c r="Z647" s="10" t="e">
        <f>VLOOKUP(AJ639,'FRC Site Data'!$B$3:$L$42,11,FALSE)</f>
        <v>#N/A</v>
      </c>
      <c r="AA647" s="10" t="e">
        <f>VLOOKUP(AJ639,'CIR Team Info'!$C$5:$E$44,4,FALSE)</f>
        <v>#N/A</v>
      </c>
      <c r="AB647" s="161" t="b">
        <f>ISNUMBER(VLOOKUP(AJ639,Match!$T$5:$T$10,1,FALSE))</f>
        <v>0</v>
      </c>
      <c r="AC647" s="161" t="b">
        <f>IF(AB647=TRUE,(VLOOKUP($AJ639,Match!$T$5:$U$10,2,FALSE)))</f>
        <v>0</v>
      </c>
      <c r="AD647" s="8">
        <v>3</v>
      </c>
      <c r="AE647" s="8">
        <v>2</v>
      </c>
      <c r="AF647" s="8">
        <v>2</v>
      </c>
      <c r="AG647" s="8">
        <v>1</v>
      </c>
      <c r="AH647" s="8" t="str">
        <f t="shared" si="186"/>
        <v/>
      </c>
    </row>
    <row r="648" spans="1:34" x14ac:dyDescent="0.25">
      <c r="A648" s="29">
        <f t="shared" ref="A648:A711" si="193">SUM(B648:F648)</f>
        <v>0</v>
      </c>
      <c r="B648" s="29">
        <f t="shared" si="187"/>
        <v>0</v>
      </c>
      <c r="C648" s="29">
        <f t="shared" si="188"/>
        <v>0</v>
      </c>
      <c r="D648" s="29">
        <f t="shared" si="189"/>
        <v>0</v>
      </c>
      <c r="E648" s="29">
        <f t="shared" ref="E648:E711" si="194">K648*O648</f>
        <v>0</v>
      </c>
      <c r="F648" s="29">
        <f t="shared" ref="F648:F711" si="195">IF(AN640&gt;0,5)-2*COUNTIF(AQ640,"K")+5*COUNTIF(AS640,"T")+IF(AX640=3,2)+IF(AY640="T",2)</f>
        <v>0</v>
      </c>
      <c r="G648" s="29" t="str">
        <f t="shared" ref="G648:G711" si="196">IF((BB640+BC640)&gt;45,"defensive",IF((BB640+BC640)&gt;15,"both","offensive"))</f>
        <v>offensive</v>
      </c>
      <c r="H648" s="16">
        <f t="shared" si="184"/>
        <v>0</v>
      </c>
      <c r="I648" s="16">
        <f t="shared" si="185"/>
        <v>0</v>
      </c>
      <c r="J648" s="16">
        <f t="shared" si="190"/>
        <v>0</v>
      </c>
      <c r="K648" s="16">
        <f t="shared" ref="K648:K711" si="197">IF((BB640+BC640)=0,0,((AZ640*BB640*0.2)+(BA640*BC640*0.3))/(BB640+BC640))</f>
        <v>0</v>
      </c>
      <c r="L648" s="67">
        <f t="shared" ref="L648:L711" si="198">IF(BF640&gt;BG640,BF640,BG640)</f>
        <v>0</v>
      </c>
      <c r="M648" s="4">
        <f t="shared" si="191"/>
        <v>0</v>
      </c>
      <c r="N648" s="4">
        <f t="shared" si="192"/>
        <v>0</v>
      </c>
      <c r="O648" s="4">
        <f t="shared" ref="O648:O711" si="199">(AZ640*0.2*BB640*30/30)+(BA640*0.3*BC640*12/30)-BI640-BJ640</f>
        <v>0</v>
      </c>
      <c r="P648" s="4" t="e">
        <f>VLOOKUP(AJ640,'CIR Team Info'!$C$5:$E$44,2,FALSE)</f>
        <v>#N/A</v>
      </c>
      <c r="Q648" s="4" t="e">
        <f>VLOOKUP(AJ640,'CIR Team Info'!$C$5:$E$44,3,FALSE)</f>
        <v>#N/A</v>
      </c>
      <c r="R648" s="10" t="e">
        <f>VLOOKUP(AJ640,'FRC Site Data'!$B$3:$L$42,2,FALSE)</f>
        <v>#N/A</v>
      </c>
      <c r="S648" s="10" t="e">
        <f>VLOOKUP(AJ640,'FRC Site Data'!$B$3:$L$42,3,FALSE)</f>
        <v>#N/A</v>
      </c>
      <c r="T648" s="10" t="e">
        <f>VLOOKUP(AJ640,'FRC Site Data'!$B$3:$L$42,4,FALSE)</f>
        <v>#N/A</v>
      </c>
      <c r="U648" s="10" t="e">
        <f>VLOOKUP(AJ640,'FRC Site Data'!$B$3:$L$42,5,FALSE)</f>
        <v>#N/A</v>
      </c>
      <c r="V648" s="10" t="e">
        <f>VLOOKUP(AJ640,'FRC Site Data'!$B$3:$L$42,6,FALSE)</f>
        <v>#N/A</v>
      </c>
      <c r="W648" s="10" t="e">
        <f>VLOOKUP(AJ640,'FRC Site Data'!$B$3:$L$42,8,FALSE)</f>
        <v>#N/A</v>
      </c>
      <c r="X648" s="10" t="e">
        <f>VLOOKUP(AJ640,'FRC Site Data'!$B$3:$L$42,9,FALSE)</f>
        <v>#N/A</v>
      </c>
      <c r="Y648" s="10" t="e">
        <f>VLOOKUP(AJ640,'FRC Site Data'!$B$3:$L$42,10,FALSE)</f>
        <v>#N/A</v>
      </c>
      <c r="Z648" s="10" t="e">
        <f>VLOOKUP(AJ640,'FRC Site Data'!$B$3:$L$42,11,FALSE)</f>
        <v>#N/A</v>
      </c>
      <c r="AA648" s="10" t="e">
        <f>VLOOKUP(AJ640,'CIR Team Info'!$C$5:$E$44,4,FALSE)</f>
        <v>#N/A</v>
      </c>
      <c r="AB648" s="161" t="b">
        <f>ISNUMBER(VLOOKUP(AJ640,Match!$T$5:$T$10,1,FALSE))</f>
        <v>0</v>
      </c>
      <c r="AC648" s="161" t="b">
        <f>IF(AB648=TRUE,(VLOOKUP($AJ640,Match!$T$5:$U$10,2,FALSE)))</f>
        <v>0</v>
      </c>
      <c r="AD648" s="8">
        <v>3</v>
      </c>
      <c r="AE648" s="8">
        <v>2</v>
      </c>
      <c r="AF648" s="8">
        <v>2</v>
      </c>
      <c r="AG648" s="8">
        <v>1</v>
      </c>
      <c r="AH648" s="8" t="str">
        <f t="shared" si="186"/>
        <v/>
      </c>
    </row>
    <row r="649" spans="1:34" x14ac:dyDescent="0.25">
      <c r="A649" s="29">
        <f t="shared" si="193"/>
        <v>0</v>
      </c>
      <c r="B649" s="29">
        <f t="shared" si="187"/>
        <v>0</v>
      </c>
      <c r="C649" s="29">
        <f t="shared" si="188"/>
        <v>0</v>
      </c>
      <c r="D649" s="29">
        <f t="shared" si="189"/>
        <v>0</v>
      </c>
      <c r="E649" s="29">
        <f t="shared" si="194"/>
        <v>0</v>
      </c>
      <c r="F649" s="29">
        <f t="shared" si="195"/>
        <v>0</v>
      </c>
      <c r="G649" s="29" t="str">
        <f t="shared" si="196"/>
        <v>offensive</v>
      </c>
      <c r="H649" s="16">
        <f t="shared" si="184"/>
        <v>0</v>
      </c>
      <c r="I649" s="16">
        <f t="shared" si="185"/>
        <v>0</v>
      </c>
      <c r="J649" s="16">
        <f t="shared" si="190"/>
        <v>0</v>
      </c>
      <c r="K649" s="16">
        <f t="shared" si="197"/>
        <v>0</v>
      </c>
      <c r="L649" s="67">
        <f t="shared" si="198"/>
        <v>0</v>
      </c>
      <c r="M649" s="4">
        <f t="shared" si="191"/>
        <v>0</v>
      </c>
      <c r="N649" s="4">
        <f t="shared" si="192"/>
        <v>0</v>
      </c>
      <c r="O649" s="4">
        <f t="shared" si="199"/>
        <v>0</v>
      </c>
      <c r="P649" s="4" t="e">
        <f>VLOOKUP(AJ641,'CIR Team Info'!$C$5:$E$44,2,FALSE)</f>
        <v>#N/A</v>
      </c>
      <c r="Q649" s="4" t="e">
        <f>VLOOKUP(AJ641,'CIR Team Info'!$C$5:$E$44,3,FALSE)</f>
        <v>#N/A</v>
      </c>
      <c r="R649" s="10" t="e">
        <f>VLOOKUP(AJ641,'FRC Site Data'!$B$3:$L$42,2,FALSE)</f>
        <v>#N/A</v>
      </c>
      <c r="S649" s="10" t="e">
        <f>VLOOKUP(AJ641,'FRC Site Data'!$B$3:$L$42,3,FALSE)</f>
        <v>#N/A</v>
      </c>
      <c r="T649" s="10" t="e">
        <f>VLOOKUP(AJ641,'FRC Site Data'!$B$3:$L$42,4,FALSE)</f>
        <v>#N/A</v>
      </c>
      <c r="U649" s="10" t="e">
        <f>VLOOKUP(AJ641,'FRC Site Data'!$B$3:$L$42,5,FALSE)</f>
        <v>#N/A</v>
      </c>
      <c r="V649" s="10" t="e">
        <f>VLOOKUP(AJ641,'FRC Site Data'!$B$3:$L$42,6,FALSE)</f>
        <v>#N/A</v>
      </c>
      <c r="W649" s="10" t="e">
        <f>VLOOKUP(AJ641,'FRC Site Data'!$B$3:$L$42,8,FALSE)</f>
        <v>#N/A</v>
      </c>
      <c r="X649" s="10" t="e">
        <f>VLOOKUP(AJ641,'FRC Site Data'!$B$3:$L$42,9,FALSE)</f>
        <v>#N/A</v>
      </c>
      <c r="Y649" s="10" t="e">
        <f>VLOOKUP(AJ641,'FRC Site Data'!$B$3:$L$42,10,FALSE)</f>
        <v>#N/A</v>
      </c>
      <c r="Z649" s="10" t="e">
        <f>VLOOKUP(AJ641,'FRC Site Data'!$B$3:$L$42,11,FALSE)</f>
        <v>#N/A</v>
      </c>
      <c r="AA649" s="10" t="e">
        <f>VLOOKUP(AJ641,'CIR Team Info'!$C$5:$E$44,4,FALSE)</f>
        <v>#N/A</v>
      </c>
      <c r="AB649" s="161" t="b">
        <f>ISNUMBER(VLOOKUP(AJ641,Match!$T$5:$T$10,1,FALSE))</f>
        <v>0</v>
      </c>
      <c r="AC649" s="161" t="b">
        <f>IF(AB649=TRUE,(VLOOKUP($AJ641,Match!$T$5:$U$10,2,FALSE)))</f>
        <v>0</v>
      </c>
      <c r="AD649" s="8">
        <v>3</v>
      </c>
      <c r="AE649" s="8">
        <v>2</v>
      </c>
      <c r="AF649" s="8">
        <v>2</v>
      </c>
      <c r="AG649" s="8">
        <v>1</v>
      </c>
      <c r="AH649" s="8" t="str">
        <f t="shared" si="186"/>
        <v/>
      </c>
    </row>
    <row r="650" spans="1:34" x14ac:dyDescent="0.25">
      <c r="A650" s="29">
        <f t="shared" si="193"/>
        <v>0</v>
      </c>
      <c r="B650" s="29">
        <f t="shared" si="187"/>
        <v>0</v>
      </c>
      <c r="C650" s="29">
        <f t="shared" si="188"/>
        <v>0</v>
      </c>
      <c r="D650" s="29">
        <f t="shared" si="189"/>
        <v>0</v>
      </c>
      <c r="E650" s="29">
        <f t="shared" si="194"/>
        <v>0</v>
      </c>
      <c r="F650" s="29">
        <f t="shared" si="195"/>
        <v>0</v>
      </c>
      <c r="G650" s="29" t="str">
        <f t="shared" si="196"/>
        <v>offensive</v>
      </c>
      <c r="H650" s="16">
        <f t="shared" si="184"/>
        <v>0</v>
      </c>
      <c r="I650" s="16">
        <f t="shared" si="185"/>
        <v>0</v>
      </c>
      <c r="J650" s="16">
        <f t="shared" si="190"/>
        <v>0</v>
      </c>
      <c r="K650" s="16">
        <f t="shared" si="197"/>
        <v>0</v>
      </c>
      <c r="L650" s="67">
        <f t="shared" si="198"/>
        <v>0</v>
      </c>
      <c r="M650" s="4">
        <f t="shared" si="191"/>
        <v>0</v>
      </c>
      <c r="N650" s="4">
        <f t="shared" si="192"/>
        <v>0</v>
      </c>
      <c r="O650" s="4">
        <f t="shared" si="199"/>
        <v>0</v>
      </c>
      <c r="P650" s="4" t="e">
        <f>VLOOKUP(AJ642,'CIR Team Info'!$C$5:$E$44,2,FALSE)</f>
        <v>#N/A</v>
      </c>
      <c r="Q650" s="4" t="e">
        <f>VLOOKUP(AJ642,'CIR Team Info'!$C$5:$E$44,3,FALSE)</f>
        <v>#N/A</v>
      </c>
      <c r="R650" s="10" t="e">
        <f>VLOOKUP(AJ642,'FRC Site Data'!$B$3:$L$42,2,FALSE)</f>
        <v>#N/A</v>
      </c>
      <c r="S650" s="10" t="e">
        <f>VLOOKUP(AJ642,'FRC Site Data'!$B$3:$L$42,3,FALSE)</f>
        <v>#N/A</v>
      </c>
      <c r="T650" s="10" t="e">
        <f>VLOOKUP(AJ642,'FRC Site Data'!$B$3:$L$42,4,FALSE)</f>
        <v>#N/A</v>
      </c>
      <c r="U650" s="10" t="e">
        <f>VLOOKUP(AJ642,'FRC Site Data'!$B$3:$L$42,5,FALSE)</f>
        <v>#N/A</v>
      </c>
      <c r="V650" s="10" t="e">
        <f>VLOOKUP(AJ642,'FRC Site Data'!$B$3:$L$42,6,FALSE)</f>
        <v>#N/A</v>
      </c>
      <c r="W650" s="10" t="e">
        <f>VLOOKUP(AJ642,'FRC Site Data'!$B$3:$L$42,8,FALSE)</f>
        <v>#N/A</v>
      </c>
      <c r="X650" s="10" t="e">
        <f>VLOOKUP(AJ642,'FRC Site Data'!$B$3:$L$42,9,FALSE)</f>
        <v>#N/A</v>
      </c>
      <c r="Y650" s="10" t="e">
        <f>VLOOKUP(AJ642,'FRC Site Data'!$B$3:$L$42,10,FALSE)</f>
        <v>#N/A</v>
      </c>
      <c r="Z650" s="10" t="e">
        <f>VLOOKUP(AJ642,'FRC Site Data'!$B$3:$L$42,11,FALSE)</f>
        <v>#N/A</v>
      </c>
      <c r="AA650" s="10" t="e">
        <f>VLOOKUP(AJ642,'CIR Team Info'!$C$5:$E$44,4,FALSE)</f>
        <v>#N/A</v>
      </c>
      <c r="AB650" s="161" t="b">
        <f>ISNUMBER(VLOOKUP(AJ642,Match!$T$5:$T$10,1,FALSE))</f>
        <v>0</v>
      </c>
      <c r="AC650" s="161" t="b">
        <f>IF(AB650=TRUE,(VLOOKUP($AJ642,Match!$T$5:$U$10,2,FALSE)))</f>
        <v>0</v>
      </c>
      <c r="AD650" s="8">
        <v>3</v>
      </c>
      <c r="AE650" s="8">
        <v>2</v>
      </c>
      <c r="AF650" s="8">
        <v>2</v>
      </c>
      <c r="AG650" s="8">
        <v>1</v>
      </c>
      <c r="AH650" s="8" t="str">
        <f t="shared" si="186"/>
        <v/>
      </c>
    </row>
    <row r="651" spans="1:34" x14ac:dyDescent="0.25">
      <c r="A651" s="29">
        <f t="shared" si="193"/>
        <v>0</v>
      </c>
      <c r="B651" s="29">
        <f t="shared" si="187"/>
        <v>0</v>
      </c>
      <c r="C651" s="29">
        <f t="shared" si="188"/>
        <v>0</v>
      </c>
      <c r="D651" s="29">
        <f t="shared" si="189"/>
        <v>0</v>
      </c>
      <c r="E651" s="29">
        <f t="shared" si="194"/>
        <v>0</v>
      </c>
      <c r="F651" s="29">
        <f t="shared" si="195"/>
        <v>0</v>
      </c>
      <c r="G651" s="29" t="str">
        <f t="shared" si="196"/>
        <v>offensive</v>
      </c>
      <c r="H651" s="16">
        <f t="shared" si="184"/>
        <v>0</v>
      </c>
      <c r="I651" s="16">
        <f t="shared" si="185"/>
        <v>0</v>
      </c>
      <c r="J651" s="16">
        <f t="shared" si="190"/>
        <v>0</v>
      </c>
      <c r="K651" s="16">
        <f t="shared" si="197"/>
        <v>0</v>
      </c>
      <c r="L651" s="67">
        <f t="shared" si="198"/>
        <v>0</v>
      </c>
      <c r="M651" s="4">
        <f t="shared" si="191"/>
        <v>0</v>
      </c>
      <c r="N651" s="4">
        <f t="shared" si="192"/>
        <v>0</v>
      </c>
      <c r="O651" s="4">
        <f t="shared" si="199"/>
        <v>0</v>
      </c>
      <c r="P651" s="4" t="e">
        <f>VLOOKUP(AJ643,'CIR Team Info'!$C$5:$E$44,2,FALSE)</f>
        <v>#N/A</v>
      </c>
      <c r="Q651" s="4" t="e">
        <f>VLOOKUP(AJ643,'CIR Team Info'!$C$5:$E$44,3,FALSE)</f>
        <v>#N/A</v>
      </c>
      <c r="R651" s="10" t="e">
        <f>VLOOKUP(AJ643,'FRC Site Data'!$B$3:$L$42,2,FALSE)</f>
        <v>#N/A</v>
      </c>
      <c r="S651" s="10" t="e">
        <f>VLOOKUP(AJ643,'FRC Site Data'!$B$3:$L$42,3,FALSE)</f>
        <v>#N/A</v>
      </c>
      <c r="T651" s="10" t="e">
        <f>VLOOKUP(AJ643,'FRC Site Data'!$B$3:$L$42,4,FALSE)</f>
        <v>#N/A</v>
      </c>
      <c r="U651" s="10" t="e">
        <f>VLOOKUP(AJ643,'FRC Site Data'!$B$3:$L$42,5,FALSE)</f>
        <v>#N/A</v>
      </c>
      <c r="V651" s="10" t="e">
        <f>VLOOKUP(AJ643,'FRC Site Data'!$B$3:$L$42,6,FALSE)</f>
        <v>#N/A</v>
      </c>
      <c r="W651" s="10" t="e">
        <f>VLOOKUP(AJ643,'FRC Site Data'!$B$3:$L$42,8,FALSE)</f>
        <v>#N/A</v>
      </c>
      <c r="X651" s="10" t="e">
        <f>VLOOKUP(AJ643,'FRC Site Data'!$B$3:$L$42,9,FALSE)</f>
        <v>#N/A</v>
      </c>
      <c r="Y651" s="10" t="e">
        <f>VLOOKUP(AJ643,'FRC Site Data'!$B$3:$L$42,10,FALSE)</f>
        <v>#N/A</v>
      </c>
      <c r="Z651" s="10" t="e">
        <f>VLOOKUP(AJ643,'FRC Site Data'!$B$3:$L$42,11,FALSE)</f>
        <v>#N/A</v>
      </c>
      <c r="AA651" s="10" t="e">
        <f>VLOOKUP(AJ643,'CIR Team Info'!$C$5:$E$44,4,FALSE)</f>
        <v>#N/A</v>
      </c>
      <c r="AB651" s="161" t="b">
        <f>ISNUMBER(VLOOKUP(AJ643,Match!$T$5:$T$10,1,FALSE))</f>
        <v>0</v>
      </c>
      <c r="AC651" s="161" t="b">
        <f>IF(AB651=TRUE,(VLOOKUP($AJ643,Match!$T$5:$U$10,2,FALSE)))</f>
        <v>0</v>
      </c>
      <c r="AD651" s="8">
        <v>3</v>
      </c>
      <c r="AE651" s="8">
        <v>2</v>
      </c>
      <c r="AF651" s="8">
        <v>2</v>
      </c>
      <c r="AG651" s="8">
        <v>1</v>
      </c>
      <c r="AH651" s="8" t="str">
        <f t="shared" si="186"/>
        <v/>
      </c>
    </row>
    <row r="652" spans="1:34" x14ac:dyDescent="0.25">
      <c r="A652" s="29">
        <f t="shared" si="193"/>
        <v>0</v>
      </c>
      <c r="B652" s="29">
        <f t="shared" si="187"/>
        <v>0</v>
      </c>
      <c r="C652" s="29">
        <f t="shared" si="188"/>
        <v>0</v>
      </c>
      <c r="D652" s="29">
        <f t="shared" si="189"/>
        <v>0</v>
      </c>
      <c r="E652" s="29">
        <f t="shared" si="194"/>
        <v>0</v>
      </c>
      <c r="F652" s="29">
        <f t="shared" si="195"/>
        <v>0</v>
      </c>
      <c r="G652" s="29" t="str">
        <f t="shared" si="196"/>
        <v>offensive</v>
      </c>
      <c r="H652" s="16">
        <f t="shared" si="184"/>
        <v>0</v>
      </c>
      <c r="I652" s="16">
        <f t="shared" si="185"/>
        <v>0</v>
      </c>
      <c r="J652" s="16">
        <f t="shared" si="190"/>
        <v>0</v>
      </c>
      <c r="K652" s="16">
        <f t="shared" si="197"/>
        <v>0</v>
      </c>
      <c r="L652" s="67">
        <f t="shared" si="198"/>
        <v>0</v>
      </c>
      <c r="M652" s="4">
        <f t="shared" si="191"/>
        <v>0</v>
      </c>
      <c r="N652" s="4">
        <f t="shared" si="192"/>
        <v>0</v>
      </c>
      <c r="O652" s="4">
        <f t="shared" si="199"/>
        <v>0</v>
      </c>
      <c r="P652" s="4" t="e">
        <f>VLOOKUP(AJ644,'CIR Team Info'!$C$5:$E$44,2,FALSE)</f>
        <v>#N/A</v>
      </c>
      <c r="Q652" s="4" t="e">
        <f>VLOOKUP(AJ644,'CIR Team Info'!$C$5:$E$44,3,FALSE)</f>
        <v>#N/A</v>
      </c>
      <c r="R652" s="10" t="e">
        <f>VLOOKUP(AJ644,'FRC Site Data'!$B$3:$L$42,2,FALSE)</f>
        <v>#N/A</v>
      </c>
      <c r="S652" s="10" t="e">
        <f>VLOOKUP(AJ644,'FRC Site Data'!$B$3:$L$42,3,FALSE)</f>
        <v>#N/A</v>
      </c>
      <c r="T652" s="10" t="e">
        <f>VLOOKUP(AJ644,'FRC Site Data'!$B$3:$L$42,4,FALSE)</f>
        <v>#N/A</v>
      </c>
      <c r="U652" s="10" t="e">
        <f>VLOOKUP(AJ644,'FRC Site Data'!$B$3:$L$42,5,FALSE)</f>
        <v>#N/A</v>
      </c>
      <c r="V652" s="10" t="e">
        <f>VLOOKUP(AJ644,'FRC Site Data'!$B$3:$L$42,6,FALSE)</f>
        <v>#N/A</v>
      </c>
      <c r="W652" s="10" t="e">
        <f>VLOOKUP(AJ644,'FRC Site Data'!$B$3:$L$42,8,FALSE)</f>
        <v>#N/A</v>
      </c>
      <c r="X652" s="10" t="e">
        <f>VLOOKUP(AJ644,'FRC Site Data'!$B$3:$L$42,9,FALSE)</f>
        <v>#N/A</v>
      </c>
      <c r="Y652" s="10" t="e">
        <f>VLOOKUP(AJ644,'FRC Site Data'!$B$3:$L$42,10,FALSE)</f>
        <v>#N/A</v>
      </c>
      <c r="Z652" s="10" t="e">
        <f>VLOOKUP(AJ644,'FRC Site Data'!$B$3:$L$42,11,FALSE)</f>
        <v>#N/A</v>
      </c>
      <c r="AA652" s="10" t="e">
        <f>VLOOKUP(AJ644,'CIR Team Info'!$C$5:$E$44,4,FALSE)</f>
        <v>#N/A</v>
      </c>
      <c r="AB652" s="161" t="b">
        <f>ISNUMBER(VLOOKUP(AJ644,Match!$T$5:$T$10,1,FALSE))</f>
        <v>0</v>
      </c>
      <c r="AC652" s="161" t="b">
        <f>IF(AB652=TRUE,(VLOOKUP($AJ644,Match!$T$5:$U$10,2,FALSE)))</f>
        <v>0</v>
      </c>
      <c r="AD652" s="8">
        <v>3</v>
      </c>
      <c r="AE652" s="8">
        <v>2</v>
      </c>
      <c r="AF652" s="8">
        <v>2</v>
      </c>
      <c r="AG652" s="8">
        <v>1</v>
      </c>
      <c r="AH652" s="8" t="str">
        <f t="shared" si="186"/>
        <v/>
      </c>
    </row>
    <row r="653" spans="1:34" x14ac:dyDescent="0.25">
      <c r="A653" s="29">
        <f t="shared" si="193"/>
        <v>0</v>
      </c>
      <c r="B653" s="29">
        <f t="shared" si="187"/>
        <v>0</v>
      </c>
      <c r="C653" s="29">
        <f t="shared" si="188"/>
        <v>0</v>
      </c>
      <c r="D653" s="29">
        <f t="shared" si="189"/>
        <v>0</v>
      </c>
      <c r="E653" s="29">
        <f t="shared" si="194"/>
        <v>0</v>
      </c>
      <c r="F653" s="29">
        <f t="shared" si="195"/>
        <v>0</v>
      </c>
      <c r="G653" s="29" t="str">
        <f t="shared" si="196"/>
        <v>offensive</v>
      </c>
      <c r="H653" s="16">
        <f t="shared" si="184"/>
        <v>0</v>
      </c>
      <c r="I653" s="16">
        <f t="shared" si="185"/>
        <v>0</v>
      </c>
      <c r="J653" s="16">
        <f t="shared" si="190"/>
        <v>0</v>
      </c>
      <c r="K653" s="16">
        <f t="shared" si="197"/>
        <v>0</v>
      </c>
      <c r="L653" s="67">
        <f t="shared" si="198"/>
        <v>0</v>
      </c>
      <c r="M653" s="4">
        <f t="shared" si="191"/>
        <v>0</v>
      </c>
      <c r="N653" s="4">
        <f t="shared" si="192"/>
        <v>0</v>
      </c>
      <c r="O653" s="4">
        <f t="shared" si="199"/>
        <v>0</v>
      </c>
      <c r="P653" s="4" t="e">
        <f>VLOOKUP(AJ645,'CIR Team Info'!$C$5:$E$44,2,FALSE)</f>
        <v>#N/A</v>
      </c>
      <c r="Q653" s="4" t="e">
        <f>VLOOKUP(AJ645,'CIR Team Info'!$C$5:$E$44,3,FALSE)</f>
        <v>#N/A</v>
      </c>
      <c r="R653" s="10" t="e">
        <f>VLOOKUP(AJ645,'FRC Site Data'!$B$3:$L$42,2,FALSE)</f>
        <v>#N/A</v>
      </c>
      <c r="S653" s="10" t="e">
        <f>VLOOKUP(AJ645,'FRC Site Data'!$B$3:$L$42,3,FALSE)</f>
        <v>#N/A</v>
      </c>
      <c r="T653" s="10" t="e">
        <f>VLOOKUP(AJ645,'FRC Site Data'!$B$3:$L$42,4,FALSE)</f>
        <v>#N/A</v>
      </c>
      <c r="U653" s="10" t="e">
        <f>VLOOKUP(AJ645,'FRC Site Data'!$B$3:$L$42,5,FALSE)</f>
        <v>#N/A</v>
      </c>
      <c r="V653" s="10" t="e">
        <f>VLOOKUP(AJ645,'FRC Site Data'!$B$3:$L$42,6,FALSE)</f>
        <v>#N/A</v>
      </c>
      <c r="W653" s="10" t="e">
        <f>VLOOKUP(AJ645,'FRC Site Data'!$B$3:$L$42,8,FALSE)</f>
        <v>#N/A</v>
      </c>
      <c r="X653" s="10" t="e">
        <f>VLOOKUP(AJ645,'FRC Site Data'!$B$3:$L$42,9,FALSE)</f>
        <v>#N/A</v>
      </c>
      <c r="Y653" s="10" t="e">
        <f>VLOOKUP(AJ645,'FRC Site Data'!$B$3:$L$42,10,FALSE)</f>
        <v>#N/A</v>
      </c>
      <c r="Z653" s="10" t="e">
        <f>VLOOKUP(AJ645,'FRC Site Data'!$B$3:$L$42,11,FALSE)</f>
        <v>#N/A</v>
      </c>
      <c r="AA653" s="10" t="e">
        <f>VLOOKUP(AJ645,'CIR Team Info'!$C$5:$E$44,4,FALSE)</f>
        <v>#N/A</v>
      </c>
      <c r="AB653" s="161" t="b">
        <f>ISNUMBER(VLOOKUP(AJ645,Match!$T$5:$T$10,1,FALSE))</f>
        <v>0</v>
      </c>
      <c r="AC653" s="161" t="b">
        <f>IF(AB653=TRUE,(VLOOKUP($AJ645,Match!$T$5:$U$10,2,FALSE)))</f>
        <v>0</v>
      </c>
      <c r="AD653" s="8">
        <v>3</v>
      </c>
      <c r="AE653" s="8">
        <v>2</v>
      </c>
      <c r="AF653" s="8">
        <v>2</v>
      </c>
      <c r="AG653" s="8">
        <v>1</v>
      </c>
      <c r="AH653" s="8" t="str">
        <f t="shared" si="186"/>
        <v/>
      </c>
    </row>
    <row r="654" spans="1:34" x14ac:dyDescent="0.25">
      <c r="A654" s="29">
        <f t="shared" si="193"/>
        <v>0</v>
      </c>
      <c r="B654" s="29">
        <f t="shared" si="187"/>
        <v>0</v>
      </c>
      <c r="C654" s="29">
        <f t="shared" si="188"/>
        <v>0</v>
      </c>
      <c r="D654" s="29">
        <f t="shared" si="189"/>
        <v>0</v>
      </c>
      <c r="E654" s="29">
        <f t="shared" si="194"/>
        <v>0</v>
      </c>
      <c r="F654" s="29">
        <f t="shared" si="195"/>
        <v>0</v>
      </c>
      <c r="G654" s="29" t="str">
        <f t="shared" si="196"/>
        <v>offensive</v>
      </c>
      <c r="H654" s="16">
        <f t="shared" si="184"/>
        <v>0</v>
      </c>
      <c r="I654" s="16">
        <f t="shared" si="185"/>
        <v>0</v>
      </c>
      <c r="J654" s="16">
        <f t="shared" si="190"/>
        <v>0</v>
      </c>
      <c r="K654" s="16">
        <f t="shared" si="197"/>
        <v>0</v>
      </c>
      <c r="L654" s="67">
        <f t="shared" si="198"/>
        <v>0</v>
      </c>
      <c r="M654" s="4">
        <f t="shared" si="191"/>
        <v>0</v>
      </c>
      <c r="N654" s="4">
        <f t="shared" si="192"/>
        <v>0</v>
      </c>
      <c r="O654" s="4">
        <f t="shared" si="199"/>
        <v>0</v>
      </c>
      <c r="P654" s="4" t="e">
        <f>VLOOKUP(AJ646,'CIR Team Info'!$C$5:$E$44,2,FALSE)</f>
        <v>#N/A</v>
      </c>
      <c r="Q654" s="4" t="e">
        <f>VLOOKUP(AJ646,'CIR Team Info'!$C$5:$E$44,3,FALSE)</f>
        <v>#N/A</v>
      </c>
      <c r="R654" s="10" t="e">
        <f>VLOOKUP(AJ646,'FRC Site Data'!$B$3:$L$42,2,FALSE)</f>
        <v>#N/A</v>
      </c>
      <c r="S654" s="10" t="e">
        <f>VLOOKUP(AJ646,'FRC Site Data'!$B$3:$L$42,3,FALSE)</f>
        <v>#N/A</v>
      </c>
      <c r="T654" s="10" t="e">
        <f>VLOOKUP(AJ646,'FRC Site Data'!$B$3:$L$42,4,FALSE)</f>
        <v>#N/A</v>
      </c>
      <c r="U654" s="10" t="e">
        <f>VLOOKUP(AJ646,'FRC Site Data'!$B$3:$L$42,5,FALSE)</f>
        <v>#N/A</v>
      </c>
      <c r="V654" s="10" t="e">
        <f>VLOOKUP(AJ646,'FRC Site Data'!$B$3:$L$42,6,FALSE)</f>
        <v>#N/A</v>
      </c>
      <c r="W654" s="10" t="e">
        <f>VLOOKUP(AJ646,'FRC Site Data'!$B$3:$L$42,8,FALSE)</f>
        <v>#N/A</v>
      </c>
      <c r="X654" s="10" t="e">
        <f>VLOOKUP(AJ646,'FRC Site Data'!$B$3:$L$42,9,FALSE)</f>
        <v>#N/A</v>
      </c>
      <c r="Y654" s="10" t="e">
        <f>VLOOKUP(AJ646,'FRC Site Data'!$B$3:$L$42,10,FALSE)</f>
        <v>#N/A</v>
      </c>
      <c r="Z654" s="10" t="e">
        <f>VLOOKUP(AJ646,'FRC Site Data'!$B$3:$L$42,11,FALSE)</f>
        <v>#N/A</v>
      </c>
      <c r="AA654" s="10" t="e">
        <f>VLOOKUP(AJ646,'CIR Team Info'!$C$5:$E$44,4,FALSE)</f>
        <v>#N/A</v>
      </c>
      <c r="AB654" s="161" t="b">
        <f>ISNUMBER(VLOOKUP(AJ646,Match!$T$5:$T$10,1,FALSE))</f>
        <v>0</v>
      </c>
      <c r="AC654" s="161" t="b">
        <f>IF(AB654=TRUE,(VLOOKUP($AJ646,Match!$T$5:$U$10,2,FALSE)))</f>
        <v>0</v>
      </c>
      <c r="AD654" s="8">
        <v>3</v>
      </c>
      <c r="AE654" s="8">
        <v>2</v>
      </c>
      <c r="AF654" s="8">
        <v>2</v>
      </c>
      <c r="AG654" s="8">
        <v>1</v>
      </c>
      <c r="AH654" s="8" t="str">
        <f t="shared" si="186"/>
        <v/>
      </c>
    </row>
    <row r="655" spans="1:34" x14ac:dyDescent="0.25">
      <c r="A655" s="29">
        <f t="shared" si="193"/>
        <v>0</v>
      </c>
      <c r="B655" s="29">
        <f t="shared" si="187"/>
        <v>0</v>
      </c>
      <c r="C655" s="29">
        <f t="shared" si="188"/>
        <v>0</v>
      </c>
      <c r="D655" s="29">
        <f t="shared" si="189"/>
        <v>0</v>
      </c>
      <c r="E655" s="29">
        <f t="shared" si="194"/>
        <v>0</v>
      </c>
      <c r="F655" s="29">
        <f t="shared" si="195"/>
        <v>0</v>
      </c>
      <c r="G655" s="29" t="str">
        <f t="shared" si="196"/>
        <v>offensive</v>
      </c>
      <c r="H655" s="16">
        <f t="shared" ref="H655:H718" si="200">IF((AO647+AP647)=0,0,AO647/(AO647+AP647))</f>
        <v>0</v>
      </c>
      <c r="I655" s="16">
        <f t="shared" ref="I655:I718" si="201">IF((AV647+AW647)=0,0,AV647/(AV647+AW647))</f>
        <v>0</v>
      </c>
      <c r="J655" s="16">
        <f t="shared" si="190"/>
        <v>0</v>
      </c>
      <c r="K655" s="16">
        <f t="shared" si="197"/>
        <v>0</v>
      </c>
      <c r="L655" s="67">
        <f t="shared" si="198"/>
        <v>0</v>
      </c>
      <c r="M655" s="4">
        <f t="shared" si="191"/>
        <v>0</v>
      </c>
      <c r="N655" s="4">
        <f t="shared" si="192"/>
        <v>0</v>
      </c>
      <c r="O655" s="4">
        <f t="shared" si="199"/>
        <v>0</v>
      </c>
      <c r="P655" s="4" t="e">
        <f>VLOOKUP(AJ647,'CIR Team Info'!$C$5:$E$44,2,FALSE)</f>
        <v>#N/A</v>
      </c>
      <c r="Q655" s="4" t="e">
        <f>VLOOKUP(AJ647,'CIR Team Info'!$C$5:$E$44,3,FALSE)</f>
        <v>#N/A</v>
      </c>
      <c r="R655" s="10" t="e">
        <f>VLOOKUP(AJ647,'FRC Site Data'!$B$3:$L$42,2,FALSE)</f>
        <v>#N/A</v>
      </c>
      <c r="S655" s="10" t="e">
        <f>VLOOKUP(AJ647,'FRC Site Data'!$B$3:$L$42,3,FALSE)</f>
        <v>#N/A</v>
      </c>
      <c r="T655" s="10" t="e">
        <f>VLOOKUP(AJ647,'FRC Site Data'!$B$3:$L$42,4,FALSE)</f>
        <v>#N/A</v>
      </c>
      <c r="U655" s="10" t="e">
        <f>VLOOKUP(AJ647,'FRC Site Data'!$B$3:$L$42,5,FALSE)</f>
        <v>#N/A</v>
      </c>
      <c r="V655" s="10" t="e">
        <f>VLOOKUP(AJ647,'FRC Site Data'!$B$3:$L$42,6,FALSE)</f>
        <v>#N/A</v>
      </c>
      <c r="W655" s="10" t="e">
        <f>VLOOKUP(AJ647,'FRC Site Data'!$B$3:$L$42,8,FALSE)</f>
        <v>#N/A</v>
      </c>
      <c r="X655" s="10" t="e">
        <f>VLOOKUP(AJ647,'FRC Site Data'!$B$3:$L$42,9,FALSE)</f>
        <v>#N/A</v>
      </c>
      <c r="Y655" s="10" t="e">
        <f>VLOOKUP(AJ647,'FRC Site Data'!$B$3:$L$42,10,FALSE)</f>
        <v>#N/A</v>
      </c>
      <c r="Z655" s="10" t="e">
        <f>VLOOKUP(AJ647,'FRC Site Data'!$B$3:$L$42,11,FALSE)</f>
        <v>#N/A</v>
      </c>
      <c r="AA655" s="10" t="e">
        <f>VLOOKUP(AJ647,'CIR Team Info'!$C$5:$E$44,4,FALSE)</f>
        <v>#N/A</v>
      </c>
      <c r="AB655" s="161" t="b">
        <f>ISNUMBER(VLOOKUP(AJ647,Match!$T$5:$T$10,1,FALSE))</f>
        <v>0</v>
      </c>
      <c r="AC655" s="161" t="b">
        <f>IF(AB655=TRUE,(VLOOKUP($AJ647,Match!$T$5:$U$10,2,FALSE)))</f>
        <v>0</v>
      </c>
      <c r="AD655" s="8">
        <v>3</v>
      </c>
      <c r="AE655" s="8">
        <v>2</v>
      </c>
      <c r="AF655" s="8">
        <v>2</v>
      </c>
      <c r="AG655" s="8">
        <v>1</v>
      </c>
      <c r="AH655" s="8" t="str">
        <f t="shared" si="186"/>
        <v/>
      </c>
    </row>
    <row r="656" spans="1:34" x14ac:dyDescent="0.25">
      <c r="A656" s="29">
        <f t="shared" si="193"/>
        <v>0</v>
      </c>
      <c r="B656" s="29">
        <f t="shared" si="187"/>
        <v>0</v>
      </c>
      <c r="C656" s="29">
        <f t="shared" si="188"/>
        <v>0</v>
      </c>
      <c r="D656" s="29">
        <f t="shared" si="189"/>
        <v>0</v>
      </c>
      <c r="E656" s="29">
        <f t="shared" si="194"/>
        <v>0</v>
      </c>
      <c r="F656" s="29">
        <f t="shared" si="195"/>
        <v>0</v>
      </c>
      <c r="G656" s="29" t="str">
        <f t="shared" si="196"/>
        <v>offensive</v>
      </c>
      <c r="H656" s="16">
        <f t="shared" si="200"/>
        <v>0</v>
      </c>
      <c r="I656" s="16">
        <f t="shared" si="201"/>
        <v>0</v>
      </c>
      <c r="J656" s="16">
        <f t="shared" si="190"/>
        <v>0</v>
      </c>
      <c r="K656" s="16">
        <f t="shared" si="197"/>
        <v>0</v>
      </c>
      <c r="L656" s="67">
        <f t="shared" si="198"/>
        <v>0</v>
      </c>
      <c r="M656" s="4">
        <f t="shared" si="191"/>
        <v>0</v>
      </c>
      <c r="N656" s="4">
        <f t="shared" si="192"/>
        <v>0</v>
      </c>
      <c r="O656" s="4">
        <f t="shared" si="199"/>
        <v>0</v>
      </c>
      <c r="P656" s="4" t="e">
        <f>VLOOKUP(AJ648,'CIR Team Info'!$C$5:$E$44,2,FALSE)</f>
        <v>#N/A</v>
      </c>
      <c r="Q656" s="4" t="e">
        <f>VLOOKUP(AJ648,'CIR Team Info'!$C$5:$E$44,3,FALSE)</f>
        <v>#N/A</v>
      </c>
      <c r="R656" s="10" t="e">
        <f>VLOOKUP(AJ648,'FRC Site Data'!$B$3:$L$42,2,FALSE)</f>
        <v>#N/A</v>
      </c>
      <c r="S656" s="10" t="e">
        <f>VLOOKUP(AJ648,'FRC Site Data'!$B$3:$L$42,3,FALSE)</f>
        <v>#N/A</v>
      </c>
      <c r="T656" s="10" t="e">
        <f>VLOOKUP(AJ648,'FRC Site Data'!$B$3:$L$42,4,FALSE)</f>
        <v>#N/A</v>
      </c>
      <c r="U656" s="10" t="e">
        <f>VLOOKUP(AJ648,'FRC Site Data'!$B$3:$L$42,5,FALSE)</f>
        <v>#N/A</v>
      </c>
      <c r="V656" s="10" t="e">
        <f>VLOOKUP(AJ648,'FRC Site Data'!$B$3:$L$42,6,FALSE)</f>
        <v>#N/A</v>
      </c>
      <c r="W656" s="10" t="e">
        <f>VLOOKUP(AJ648,'FRC Site Data'!$B$3:$L$42,8,FALSE)</f>
        <v>#N/A</v>
      </c>
      <c r="X656" s="10" t="e">
        <f>VLOOKUP(AJ648,'FRC Site Data'!$B$3:$L$42,9,FALSE)</f>
        <v>#N/A</v>
      </c>
      <c r="Y656" s="10" t="e">
        <f>VLOOKUP(AJ648,'FRC Site Data'!$B$3:$L$42,10,FALSE)</f>
        <v>#N/A</v>
      </c>
      <c r="Z656" s="10" t="e">
        <f>VLOOKUP(AJ648,'FRC Site Data'!$B$3:$L$42,11,FALSE)</f>
        <v>#N/A</v>
      </c>
      <c r="AA656" s="10" t="e">
        <f>VLOOKUP(AJ648,'CIR Team Info'!$C$5:$E$44,4,FALSE)</f>
        <v>#N/A</v>
      </c>
      <c r="AB656" s="161" t="b">
        <f>ISNUMBER(VLOOKUP(AJ648,Match!$T$5:$T$10,1,FALSE))</f>
        <v>0</v>
      </c>
      <c r="AC656" s="161" t="b">
        <f>IF(AB656=TRUE,(VLOOKUP($AJ648,Match!$T$5:$U$10,2,FALSE)))</f>
        <v>0</v>
      </c>
      <c r="AD656" s="8">
        <v>3</v>
      </c>
      <c r="AE656" s="8">
        <v>2</v>
      </c>
      <c r="AF656" s="8">
        <v>2</v>
      </c>
      <c r="AG656" s="8">
        <v>1</v>
      </c>
      <c r="AH656" s="8" t="str">
        <f t="shared" si="186"/>
        <v/>
      </c>
    </row>
    <row r="657" spans="1:34" x14ac:dyDescent="0.25">
      <c r="A657" s="29">
        <f t="shared" si="193"/>
        <v>0</v>
      </c>
      <c r="B657" s="29">
        <f t="shared" si="187"/>
        <v>0</v>
      </c>
      <c r="C657" s="29">
        <f t="shared" si="188"/>
        <v>0</v>
      </c>
      <c r="D657" s="29">
        <f t="shared" si="189"/>
        <v>0</v>
      </c>
      <c r="E657" s="29">
        <f t="shared" si="194"/>
        <v>0</v>
      </c>
      <c r="F657" s="29">
        <f t="shared" si="195"/>
        <v>0</v>
      </c>
      <c r="G657" s="29" t="str">
        <f t="shared" si="196"/>
        <v>offensive</v>
      </c>
      <c r="H657" s="16">
        <f t="shared" si="200"/>
        <v>0</v>
      </c>
      <c r="I657" s="16">
        <f t="shared" si="201"/>
        <v>0</v>
      </c>
      <c r="J657" s="16">
        <f t="shared" si="190"/>
        <v>0</v>
      </c>
      <c r="K657" s="16">
        <f t="shared" si="197"/>
        <v>0</v>
      </c>
      <c r="L657" s="67">
        <f t="shared" si="198"/>
        <v>0</v>
      </c>
      <c r="M657" s="4">
        <f t="shared" si="191"/>
        <v>0</v>
      </c>
      <c r="N657" s="4">
        <f t="shared" si="192"/>
        <v>0</v>
      </c>
      <c r="O657" s="4">
        <f t="shared" si="199"/>
        <v>0</v>
      </c>
      <c r="P657" s="4" t="e">
        <f>VLOOKUP(AJ649,'CIR Team Info'!$C$5:$E$44,2,FALSE)</f>
        <v>#N/A</v>
      </c>
      <c r="Q657" s="4" t="e">
        <f>VLOOKUP(AJ649,'CIR Team Info'!$C$5:$E$44,3,FALSE)</f>
        <v>#N/A</v>
      </c>
      <c r="R657" s="10" t="e">
        <f>VLOOKUP(AJ649,'FRC Site Data'!$B$3:$L$42,2,FALSE)</f>
        <v>#N/A</v>
      </c>
      <c r="S657" s="10" t="e">
        <f>VLOOKUP(AJ649,'FRC Site Data'!$B$3:$L$42,3,FALSE)</f>
        <v>#N/A</v>
      </c>
      <c r="T657" s="10" t="e">
        <f>VLOOKUP(AJ649,'FRC Site Data'!$B$3:$L$42,4,FALSE)</f>
        <v>#N/A</v>
      </c>
      <c r="U657" s="10" t="e">
        <f>VLOOKUP(AJ649,'FRC Site Data'!$B$3:$L$42,5,FALSE)</f>
        <v>#N/A</v>
      </c>
      <c r="V657" s="10" t="e">
        <f>VLOOKUP(AJ649,'FRC Site Data'!$B$3:$L$42,6,FALSE)</f>
        <v>#N/A</v>
      </c>
      <c r="W657" s="10" t="e">
        <f>VLOOKUP(AJ649,'FRC Site Data'!$B$3:$L$42,8,FALSE)</f>
        <v>#N/A</v>
      </c>
      <c r="X657" s="10" t="e">
        <f>VLOOKUP(AJ649,'FRC Site Data'!$B$3:$L$42,9,FALSE)</f>
        <v>#N/A</v>
      </c>
      <c r="Y657" s="10" t="e">
        <f>VLOOKUP(AJ649,'FRC Site Data'!$B$3:$L$42,10,FALSE)</f>
        <v>#N/A</v>
      </c>
      <c r="Z657" s="10" t="e">
        <f>VLOOKUP(AJ649,'FRC Site Data'!$B$3:$L$42,11,FALSE)</f>
        <v>#N/A</v>
      </c>
      <c r="AA657" s="10" t="e">
        <f>VLOOKUP(AJ649,'CIR Team Info'!$C$5:$E$44,4,FALSE)</f>
        <v>#N/A</v>
      </c>
      <c r="AB657" s="161" t="b">
        <f>ISNUMBER(VLOOKUP(AJ649,Match!$T$5:$T$10,1,FALSE))</f>
        <v>0</v>
      </c>
      <c r="AC657" s="161" t="b">
        <f>IF(AB657=TRUE,(VLOOKUP($AJ649,Match!$T$5:$U$10,2,FALSE)))</f>
        <v>0</v>
      </c>
      <c r="AD657" s="8">
        <v>3</v>
      </c>
      <c r="AE657" s="8">
        <v>2</v>
      </c>
      <c r="AF657" s="8">
        <v>2</v>
      </c>
      <c r="AG657" s="8">
        <v>1</v>
      </c>
      <c r="AH657" s="8" t="str">
        <f t="shared" si="186"/>
        <v/>
      </c>
    </row>
    <row r="658" spans="1:34" x14ac:dyDescent="0.25">
      <c r="A658" s="29">
        <f t="shared" si="193"/>
        <v>0</v>
      </c>
      <c r="B658" s="29">
        <f t="shared" si="187"/>
        <v>0</v>
      </c>
      <c r="C658" s="29">
        <f t="shared" si="188"/>
        <v>0</v>
      </c>
      <c r="D658" s="29">
        <f t="shared" si="189"/>
        <v>0</v>
      </c>
      <c r="E658" s="29">
        <f t="shared" si="194"/>
        <v>0</v>
      </c>
      <c r="F658" s="29">
        <f t="shared" si="195"/>
        <v>0</v>
      </c>
      <c r="G658" s="29" t="str">
        <f t="shared" si="196"/>
        <v>offensive</v>
      </c>
      <c r="H658" s="16">
        <f t="shared" si="200"/>
        <v>0</v>
      </c>
      <c r="I658" s="16">
        <f t="shared" si="201"/>
        <v>0</v>
      </c>
      <c r="J658" s="16">
        <f t="shared" si="190"/>
        <v>0</v>
      </c>
      <c r="K658" s="16">
        <f t="shared" si="197"/>
        <v>0</v>
      </c>
      <c r="L658" s="67">
        <f t="shared" si="198"/>
        <v>0</v>
      </c>
      <c r="M658" s="4">
        <f t="shared" si="191"/>
        <v>0</v>
      </c>
      <c r="N658" s="4">
        <f t="shared" si="192"/>
        <v>0</v>
      </c>
      <c r="O658" s="4">
        <f t="shared" si="199"/>
        <v>0</v>
      </c>
      <c r="P658" s="4" t="e">
        <f>VLOOKUP(AJ650,'CIR Team Info'!$C$5:$E$44,2,FALSE)</f>
        <v>#N/A</v>
      </c>
      <c r="Q658" s="4" t="e">
        <f>VLOOKUP(AJ650,'CIR Team Info'!$C$5:$E$44,3,FALSE)</f>
        <v>#N/A</v>
      </c>
      <c r="R658" s="10" t="e">
        <f>VLOOKUP(AJ650,'FRC Site Data'!$B$3:$L$42,2,FALSE)</f>
        <v>#N/A</v>
      </c>
      <c r="S658" s="10" t="e">
        <f>VLOOKUP(AJ650,'FRC Site Data'!$B$3:$L$42,3,FALSE)</f>
        <v>#N/A</v>
      </c>
      <c r="T658" s="10" t="e">
        <f>VLOOKUP(AJ650,'FRC Site Data'!$B$3:$L$42,4,FALSE)</f>
        <v>#N/A</v>
      </c>
      <c r="U658" s="10" t="e">
        <f>VLOOKUP(AJ650,'FRC Site Data'!$B$3:$L$42,5,FALSE)</f>
        <v>#N/A</v>
      </c>
      <c r="V658" s="10" t="e">
        <f>VLOOKUP(AJ650,'FRC Site Data'!$B$3:$L$42,6,FALSE)</f>
        <v>#N/A</v>
      </c>
      <c r="W658" s="10" t="e">
        <f>VLOOKUP(AJ650,'FRC Site Data'!$B$3:$L$42,8,FALSE)</f>
        <v>#N/A</v>
      </c>
      <c r="X658" s="10" t="e">
        <f>VLOOKUP(AJ650,'FRC Site Data'!$B$3:$L$42,9,FALSE)</f>
        <v>#N/A</v>
      </c>
      <c r="Y658" s="10" t="e">
        <f>VLOOKUP(AJ650,'FRC Site Data'!$B$3:$L$42,10,FALSE)</f>
        <v>#N/A</v>
      </c>
      <c r="Z658" s="10" t="e">
        <f>VLOOKUP(AJ650,'FRC Site Data'!$B$3:$L$42,11,FALSE)</f>
        <v>#N/A</v>
      </c>
      <c r="AA658" s="10" t="e">
        <f>VLOOKUP(AJ650,'CIR Team Info'!$C$5:$E$44,4,FALSE)</f>
        <v>#N/A</v>
      </c>
      <c r="AB658" s="161" t="b">
        <f>ISNUMBER(VLOOKUP(AJ650,Match!$T$5:$T$10,1,FALSE))</f>
        <v>0</v>
      </c>
      <c r="AC658" s="161" t="b">
        <f>IF(AB658=TRUE,(VLOOKUP($AJ650,Match!$T$5:$U$10,2,FALSE)))</f>
        <v>0</v>
      </c>
      <c r="AD658" s="8">
        <v>3</v>
      </c>
      <c r="AE658" s="8">
        <v>2</v>
      </c>
      <c r="AF658" s="8">
        <v>2</v>
      </c>
      <c r="AG658" s="8">
        <v>1</v>
      </c>
      <c r="AH658" s="8" t="str">
        <f t="shared" si="186"/>
        <v/>
      </c>
    </row>
    <row r="659" spans="1:34" x14ac:dyDescent="0.25">
      <c r="A659" s="29">
        <f t="shared" si="193"/>
        <v>0</v>
      </c>
      <c r="B659" s="29">
        <f t="shared" si="187"/>
        <v>0</v>
      </c>
      <c r="C659" s="29">
        <f t="shared" si="188"/>
        <v>0</v>
      </c>
      <c r="D659" s="29">
        <f t="shared" si="189"/>
        <v>0</v>
      </c>
      <c r="E659" s="29">
        <f t="shared" si="194"/>
        <v>0</v>
      </c>
      <c r="F659" s="29">
        <f t="shared" si="195"/>
        <v>0</v>
      </c>
      <c r="G659" s="29" t="str">
        <f t="shared" si="196"/>
        <v>offensive</v>
      </c>
      <c r="H659" s="16">
        <f t="shared" si="200"/>
        <v>0</v>
      </c>
      <c r="I659" s="16">
        <f t="shared" si="201"/>
        <v>0</v>
      </c>
      <c r="J659" s="16">
        <f t="shared" si="190"/>
        <v>0</v>
      </c>
      <c r="K659" s="16">
        <f t="shared" si="197"/>
        <v>0</v>
      </c>
      <c r="L659" s="67">
        <f t="shared" si="198"/>
        <v>0</v>
      </c>
      <c r="M659" s="4">
        <f t="shared" si="191"/>
        <v>0</v>
      </c>
      <c r="N659" s="4">
        <f t="shared" si="192"/>
        <v>0</v>
      </c>
      <c r="O659" s="4">
        <f t="shared" si="199"/>
        <v>0</v>
      </c>
      <c r="P659" s="4" t="e">
        <f>VLOOKUP(AJ651,'CIR Team Info'!$C$5:$E$44,2,FALSE)</f>
        <v>#N/A</v>
      </c>
      <c r="Q659" s="4" t="e">
        <f>VLOOKUP(AJ651,'CIR Team Info'!$C$5:$E$44,3,FALSE)</f>
        <v>#N/A</v>
      </c>
      <c r="R659" s="10" t="e">
        <f>VLOOKUP(AJ651,'FRC Site Data'!$B$3:$L$42,2,FALSE)</f>
        <v>#N/A</v>
      </c>
      <c r="S659" s="10" t="e">
        <f>VLOOKUP(AJ651,'FRC Site Data'!$B$3:$L$42,3,FALSE)</f>
        <v>#N/A</v>
      </c>
      <c r="T659" s="10" t="e">
        <f>VLOOKUP(AJ651,'FRC Site Data'!$B$3:$L$42,4,FALSE)</f>
        <v>#N/A</v>
      </c>
      <c r="U659" s="10" t="e">
        <f>VLOOKUP(AJ651,'FRC Site Data'!$B$3:$L$42,5,FALSE)</f>
        <v>#N/A</v>
      </c>
      <c r="V659" s="10" t="e">
        <f>VLOOKUP(AJ651,'FRC Site Data'!$B$3:$L$42,6,FALSE)</f>
        <v>#N/A</v>
      </c>
      <c r="W659" s="10" t="e">
        <f>VLOOKUP(AJ651,'FRC Site Data'!$B$3:$L$42,8,FALSE)</f>
        <v>#N/A</v>
      </c>
      <c r="X659" s="10" t="e">
        <f>VLOOKUP(AJ651,'FRC Site Data'!$B$3:$L$42,9,FALSE)</f>
        <v>#N/A</v>
      </c>
      <c r="Y659" s="10" t="e">
        <f>VLOOKUP(AJ651,'FRC Site Data'!$B$3:$L$42,10,FALSE)</f>
        <v>#N/A</v>
      </c>
      <c r="Z659" s="10" t="e">
        <f>VLOOKUP(AJ651,'FRC Site Data'!$B$3:$L$42,11,FALSE)</f>
        <v>#N/A</v>
      </c>
      <c r="AA659" s="10" t="e">
        <f>VLOOKUP(AJ651,'CIR Team Info'!$C$5:$E$44,4,FALSE)</f>
        <v>#N/A</v>
      </c>
      <c r="AB659" s="161" t="b">
        <f>ISNUMBER(VLOOKUP(AJ651,Match!$T$5:$T$10,1,FALSE))</f>
        <v>0</v>
      </c>
      <c r="AC659" s="161" t="b">
        <f>IF(AB659=TRUE,(VLOOKUP($AJ651,Match!$T$5:$U$10,2,FALSE)))</f>
        <v>0</v>
      </c>
      <c r="AD659" s="8">
        <v>3</v>
      </c>
      <c r="AE659" s="8">
        <v>2</v>
      </c>
      <c r="AF659" s="8">
        <v>2</v>
      </c>
      <c r="AG659" s="8">
        <v>1</v>
      </c>
      <c r="AH659" s="8" t="str">
        <f t="shared" si="186"/>
        <v/>
      </c>
    </row>
    <row r="660" spans="1:34" x14ac:dyDescent="0.25">
      <c r="A660" s="29">
        <f t="shared" si="193"/>
        <v>0</v>
      </c>
      <c r="B660" s="29">
        <f t="shared" si="187"/>
        <v>0</v>
      </c>
      <c r="C660" s="29">
        <f t="shared" si="188"/>
        <v>0</v>
      </c>
      <c r="D660" s="29">
        <f t="shared" si="189"/>
        <v>0</v>
      </c>
      <c r="E660" s="29">
        <f t="shared" si="194"/>
        <v>0</v>
      </c>
      <c r="F660" s="29">
        <f t="shared" si="195"/>
        <v>0</v>
      </c>
      <c r="G660" s="29" t="str">
        <f t="shared" si="196"/>
        <v>offensive</v>
      </c>
      <c r="H660" s="16">
        <f t="shared" si="200"/>
        <v>0</v>
      </c>
      <c r="I660" s="16">
        <f t="shared" si="201"/>
        <v>0</v>
      </c>
      <c r="J660" s="16">
        <f t="shared" si="190"/>
        <v>0</v>
      </c>
      <c r="K660" s="16">
        <f t="shared" si="197"/>
        <v>0</v>
      </c>
      <c r="L660" s="67">
        <f t="shared" si="198"/>
        <v>0</v>
      </c>
      <c r="M660" s="4">
        <f t="shared" si="191"/>
        <v>0</v>
      </c>
      <c r="N660" s="4">
        <f t="shared" si="192"/>
        <v>0</v>
      </c>
      <c r="O660" s="4">
        <f t="shared" si="199"/>
        <v>0</v>
      </c>
      <c r="P660" s="4" t="e">
        <f>VLOOKUP(AJ652,'CIR Team Info'!$C$5:$E$44,2,FALSE)</f>
        <v>#N/A</v>
      </c>
      <c r="Q660" s="4" t="e">
        <f>VLOOKUP(AJ652,'CIR Team Info'!$C$5:$E$44,3,FALSE)</f>
        <v>#N/A</v>
      </c>
      <c r="R660" s="10" t="e">
        <f>VLOOKUP(AJ652,'FRC Site Data'!$B$3:$L$42,2,FALSE)</f>
        <v>#N/A</v>
      </c>
      <c r="S660" s="10" t="e">
        <f>VLOOKUP(AJ652,'FRC Site Data'!$B$3:$L$42,3,FALSE)</f>
        <v>#N/A</v>
      </c>
      <c r="T660" s="10" t="e">
        <f>VLOOKUP(AJ652,'FRC Site Data'!$B$3:$L$42,4,FALSE)</f>
        <v>#N/A</v>
      </c>
      <c r="U660" s="10" t="e">
        <f>VLOOKUP(AJ652,'FRC Site Data'!$B$3:$L$42,5,FALSE)</f>
        <v>#N/A</v>
      </c>
      <c r="V660" s="10" t="e">
        <f>VLOOKUP(AJ652,'FRC Site Data'!$B$3:$L$42,6,FALSE)</f>
        <v>#N/A</v>
      </c>
      <c r="W660" s="10" t="e">
        <f>VLOOKUP(AJ652,'FRC Site Data'!$B$3:$L$42,8,FALSE)</f>
        <v>#N/A</v>
      </c>
      <c r="X660" s="10" t="e">
        <f>VLOOKUP(AJ652,'FRC Site Data'!$B$3:$L$42,9,FALSE)</f>
        <v>#N/A</v>
      </c>
      <c r="Y660" s="10" t="e">
        <f>VLOOKUP(AJ652,'FRC Site Data'!$B$3:$L$42,10,FALSE)</f>
        <v>#N/A</v>
      </c>
      <c r="Z660" s="10" t="e">
        <f>VLOOKUP(AJ652,'FRC Site Data'!$B$3:$L$42,11,FALSE)</f>
        <v>#N/A</v>
      </c>
      <c r="AA660" s="10" t="e">
        <f>VLOOKUP(AJ652,'CIR Team Info'!$C$5:$E$44,4,FALSE)</f>
        <v>#N/A</v>
      </c>
      <c r="AB660" s="161" t="b">
        <f>ISNUMBER(VLOOKUP(AJ652,Match!$T$5:$T$10,1,FALSE))</f>
        <v>0</v>
      </c>
      <c r="AC660" s="161" t="b">
        <f>IF(AB660=TRUE,(VLOOKUP($AJ652,Match!$T$5:$U$10,2,FALSE)))</f>
        <v>0</v>
      </c>
      <c r="AD660" s="8">
        <v>3</v>
      </c>
      <c r="AE660" s="8">
        <v>2</v>
      </c>
      <c r="AF660" s="8">
        <v>2</v>
      </c>
      <c r="AG660" s="8">
        <v>1</v>
      </c>
      <c r="AH660" s="8" t="str">
        <f t="shared" si="186"/>
        <v/>
      </c>
    </row>
    <row r="661" spans="1:34" x14ac:dyDescent="0.25">
      <c r="A661" s="29">
        <f t="shared" si="193"/>
        <v>0</v>
      </c>
      <c r="B661" s="29">
        <f t="shared" si="187"/>
        <v>0</v>
      </c>
      <c r="C661" s="29">
        <f t="shared" si="188"/>
        <v>0</v>
      </c>
      <c r="D661" s="29">
        <f t="shared" si="189"/>
        <v>0</v>
      </c>
      <c r="E661" s="29">
        <f t="shared" si="194"/>
        <v>0</v>
      </c>
      <c r="F661" s="29">
        <f t="shared" si="195"/>
        <v>0</v>
      </c>
      <c r="G661" s="29" t="str">
        <f t="shared" si="196"/>
        <v>offensive</v>
      </c>
      <c r="H661" s="16">
        <f t="shared" si="200"/>
        <v>0</v>
      </c>
      <c r="I661" s="16">
        <f t="shared" si="201"/>
        <v>0</v>
      </c>
      <c r="J661" s="16">
        <f t="shared" si="190"/>
        <v>0</v>
      </c>
      <c r="K661" s="16">
        <f t="shared" si="197"/>
        <v>0</v>
      </c>
      <c r="L661" s="67">
        <f t="shared" si="198"/>
        <v>0</v>
      </c>
      <c r="M661" s="4">
        <f t="shared" si="191"/>
        <v>0</v>
      </c>
      <c r="N661" s="4">
        <f t="shared" si="192"/>
        <v>0</v>
      </c>
      <c r="O661" s="4">
        <f t="shared" si="199"/>
        <v>0</v>
      </c>
      <c r="P661" s="4" t="e">
        <f>VLOOKUP(AJ653,'CIR Team Info'!$C$5:$E$44,2,FALSE)</f>
        <v>#N/A</v>
      </c>
      <c r="Q661" s="4" t="e">
        <f>VLOOKUP(AJ653,'CIR Team Info'!$C$5:$E$44,3,FALSE)</f>
        <v>#N/A</v>
      </c>
      <c r="R661" s="10" t="e">
        <f>VLOOKUP(AJ653,'FRC Site Data'!$B$3:$L$42,2,FALSE)</f>
        <v>#N/A</v>
      </c>
      <c r="S661" s="10" t="e">
        <f>VLOOKUP(AJ653,'FRC Site Data'!$B$3:$L$42,3,FALSE)</f>
        <v>#N/A</v>
      </c>
      <c r="T661" s="10" t="e">
        <f>VLOOKUP(AJ653,'FRC Site Data'!$B$3:$L$42,4,FALSE)</f>
        <v>#N/A</v>
      </c>
      <c r="U661" s="10" t="e">
        <f>VLOOKUP(AJ653,'FRC Site Data'!$B$3:$L$42,5,FALSE)</f>
        <v>#N/A</v>
      </c>
      <c r="V661" s="10" t="e">
        <f>VLOOKUP(AJ653,'FRC Site Data'!$B$3:$L$42,6,FALSE)</f>
        <v>#N/A</v>
      </c>
      <c r="W661" s="10" t="e">
        <f>VLOOKUP(AJ653,'FRC Site Data'!$B$3:$L$42,8,FALSE)</f>
        <v>#N/A</v>
      </c>
      <c r="X661" s="10" t="e">
        <f>VLOOKUP(AJ653,'FRC Site Data'!$B$3:$L$42,9,FALSE)</f>
        <v>#N/A</v>
      </c>
      <c r="Y661" s="10" t="e">
        <f>VLOOKUP(AJ653,'FRC Site Data'!$B$3:$L$42,10,FALSE)</f>
        <v>#N/A</v>
      </c>
      <c r="Z661" s="10" t="e">
        <f>VLOOKUP(AJ653,'FRC Site Data'!$B$3:$L$42,11,FALSE)</f>
        <v>#N/A</v>
      </c>
      <c r="AA661" s="10" t="e">
        <f>VLOOKUP(AJ653,'CIR Team Info'!$C$5:$E$44,4,FALSE)</f>
        <v>#N/A</v>
      </c>
      <c r="AB661" s="161" t="b">
        <f>ISNUMBER(VLOOKUP(AJ653,Match!$T$5:$T$10,1,FALSE))</f>
        <v>0</v>
      </c>
      <c r="AC661" s="161" t="b">
        <f>IF(AB661=TRUE,(VLOOKUP($AJ653,Match!$T$5:$U$10,2,FALSE)))</f>
        <v>0</v>
      </c>
      <c r="AD661" s="8">
        <v>3</v>
      </c>
      <c r="AE661" s="8">
        <v>2</v>
      </c>
      <c r="AF661" s="8">
        <v>2</v>
      </c>
      <c r="AG661" s="8">
        <v>1</v>
      </c>
      <c r="AH661" s="8" t="str">
        <f t="shared" si="186"/>
        <v/>
      </c>
    </row>
    <row r="662" spans="1:34" x14ac:dyDescent="0.25">
      <c r="A662" s="29">
        <f t="shared" si="193"/>
        <v>0</v>
      </c>
      <c r="B662" s="29">
        <f t="shared" si="187"/>
        <v>0</v>
      </c>
      <c r="C662" s="29">
        <f t="shared" si="188"/>
        <v>0</v>
      </c>
      <c r="D662" s="29">
        <f t="shared" si="189"/>
        <v>0</v>
      </c>
      <c r="E662" s="29">
        <f t="shared" si="194"/>
        <v>0</v>
      </c>
      <c r="F662" s="29">
        <f t="shared" si="195"/>
        <v>0</v>
      </c>
      <c r="G662" s="29" t="str">
        <f t="shared" si="196"/>
        <v>offensive</v>
      </c>
      <c r="H662" s="16">
        <f t="shared" si="200"/>
        <v>0</v>
      </c>
      <c r="I662" s="16">
        <f t="shared" si="201"/>
        <v>0</v>
      </c>
      <c r="J662" s="16">
        <f t="shared" si="190"/>
        <v>0</v>
      </c>
      <c r="K662" s="16">
        <f t="shared" si="197"/>
        <v>0</v>
      </c>
      <c r="L662" s="67">
        <f t="shared" si="198"/>
        <v>0</v>
      </c>
      <c r="M662" s="4">
        <f t="shared" si="191"/>
        <v>0</v>
      </c>
      <c r="N662" s="4">
        <f t="shared" si="192"/>
        <v>0</v>
      </c>
      <c r="O662" s="4">
        <f t="shared" si="199"/>
        <v>0</v>
      </c>
      <c r="P662" s="4" t="e">
        <f>VLOOKUP(AJ654,'CIR Team Info'!$C$5:$E$44,2,FALSE)</f>
        <v>#N/A</v>
      </c>
      <c r="Q662" s="4" t="e">
        <f>VLOOKUP(AJ654,'CIR Team Info'!$C$5:$E$44,3,FALSE)</f>
        <v>#N/A</v>
      </c>
      <c r="R662" s="10" t="e">
        <f>VLOOKUP(AJ654,'FRC Site Data'!$B$3:$L$42,2,FALSE)</f>
        <v>#N/A</v>
      </c>
      <c r="S662" s="10" t="e">
        <f>VLOOKUP(AJ654,'FRC Site Data'!$B$3:$L$42,3,FALSE)</f>
        <v>#N/A</v>
      </c>
      <c r="T662" s="10" t="e">
        <f>VLOOKUP(AJ654,'FRC Site Data'!$B$3:$L$42,4,FALSE)</f>
        <v>#N/A</v>
      </c>
      <c r="U662" s="10" t="e">
        <f>VLOOKUP(AJ654,'FRC Site Data'!$B$3:$L$42,5,FALSE)</f>
        <v>#N/A</v>
      </c>
      <c r="V662" s="10" t="e">
        <f>VLOOKUP(AJ654,'FRC Site Data'!$B$3:$L$42,6,FALSE)</f>
        <v>#N/A</v>
      </c>
      <c r="W662" s="10" t="e">
        <f>VLOOKUP(AJ654,'FRC Site Data'!$B$3:$L$42,8,FALSE)</f>
        <v>#N/A</v>
      </c>
      <c r="X662" s="10" t="e">
        <f>VLOOKUP(AJ654,'FRC Site Data'!$B$3:$L$42,9,FALSE)</f>
        <v>#N/A</v>
      </c>
      <c r="Y662" s="10" t="e">
        <f>VLOOKUP(AJ654,'FRC Site Data'!$B$3:$L$42,10,FALSE)</f>
        <v>#N/A</v>
      </c>
      <c r="Z662" s="10" t="e">
        <f>VLOOKUP(AJ654,'FRC Site Data'!$B$3:$L$42,11,FALSE)</f>
        <v>#N/A</v>
      </c>
      <c r="AA662" s="10" t="e">
        <f>VLOOKUP(AJ654,'CIR Team Info'!$C$5:$E$44,4,FALSE)</f>
        <v>#N/A</v>
      </c>
      <c r="AB662" s="161" t="b">
        <f>ISNUMBER(VLOOKUP(AJ654,Match!$T$5:$T$10,1,FALSE))</f>
        <v>0</v>
      </c>
      <c r="AC662" s="161" t="b">
        <f>IF(AB662=TRUE,(VLOOKUP($AJ654,Match!$T$5:$U$10,2,FALSE)))</f>
        <v>0</v>
      </c>
      <c r="AD662" s="8">
        <v>3</v>
      </c>
      <c r="AE662" s="8">
        <v>2</v>
      </c>
      <c r="AF662" s="8">
        <v>2</v>
      </c>
      <c r="AG662" s="8">
        <v>1</v>
      </c>
      <c r="AH662" s="8" t="str">
        <f t="shared" si="186"/>
        <v/>
      </c>
    </row>
    <row r="663" spans="1:34" x14ac:dyDescent="0.25">
      <c r="A663" s="29">
        <f t="shared" si="193"/>
        <v>0</v>
      </c>
      <c r="B663" s="29">
        <f t="shared" si="187"/>
        <v>0</v>
      </c>
      <c r="C663" s="29">
        <f t="shared" si="188"/>
        <v>0</v>
      </c>
      <c r="D663" s="29">
        <f t="shared" si="189"/>
        <v>0</v>
      </c>
      <c r="E663" s="29">
        <f t="shared" si="194"/>
        <v>0</v>
      </c>
      <c r="F663" s="29">
        <f t="shared" si="195"/>
        <v>0</v>
      </c>
      <c r="G663" s="29" t="str">
        <f t="shared" si="196"/>
        <v>offensive</v>
      </c>
      <c r="H663" s="16">
        <f t="shared" si="200"/>
        <v>0</v>
      </c>
      <c r="I663" s="16">
        <f t="shared" si="201"/>
        <v>0</v>
      </c>
      <c r="J663" s="16">
        <f t="shared" si="190"/>
        <v>0</v>
      </c>
      <c r="K663" s="16">
        <f t="shared" si="197"/>
        <v>0</v>
      </c>
      <c r="L663" s="67">
        <f t="shared" si="198"/>
        <v>0</v>
      </c>
      <c r="M663" s="4">
        <f t="shared" si="191"/>
        <v>0</v>
      </c>
      <c r="N663" s="4">
        <f t="shared" si="192"/>
        <v>0</v>
      </c>
      <c r="O663" s="4">
        <f t="shared" si="199"/>
        <v>0</v>
      </c>
      <c r="P663" s="4" t="e">
        <f>VLOOKUP(AJ655,'CIR Team Info'!$C$5:$E$44,2,FALSE)</f>
        <v>#N/A</v>
      </c>
      <c r="Q663" s="4" t="e">
        <f>VLOOKUP(AJ655,'CIR Team Info'!$C$5:$E$44,3,FALSE)</f>
        <v>#N/A</v>
      </c>
      <c r="R663" s="10" t="e">
        <f>VLOOKUP(AJ655,'FRC Site Data'!$B$3:$L$42,2,FALSE)</f>
        <v>#N/A</v>
      </c>
      <c r="S663" s="10" t="e">
        <f>VLOOKUP(AJ655,'FRC Site Data'!$B$3:$L$42,3,FALSE)</f>
        <v>#N/A</v>
      </c>
      <c r="T663" s="10" t="e">
        <f>VLOOKUP(AJ655,'FRC Site Data'!$B$3:$L$42,4,FALSE)</f>
        <v>#N/A</v>
      </c>
      <c r="U663" s="10" t="e">
        <f>VLOOKUP(AJ655,'FRC Site Data'!$B$3:$L$42,5,FALSE)</f>
        <v>#N/A</v>
      </c>
      <c r="V663" s="10" t="e">
        <f>VLOOKUP(AJ655,'FRC Site Data'!$B$3:$L$42,6,FALSE)</f>
        <v>#N/A</v>
      </c>
      <c r="W663" s="10" t="e">
        <f>VLOOKUP(AJ655,'FRC Site Data'!$B$3:$L$42,8,FALSE)</f>
        <v>#N/A</v>
      </c>
      <c r="X663" s="10" t="e">
        <f>VLOOKUP(AJ655,'FRC Site Data'!$B$3:$L$42,9,FALSE)</f>
        <v>#N/A</v>
      </c>
      <c r="Y663" s="10" t="e">
        <f>VLOOKUP(AJ655,'FRC Site Data'!$B$3:$L$42,10,FALSE)</f>
        <v>#N/A</v>
      </c>
      <c r="Z663" s="10" t="e">
        <f>VLOOKUP(AJ655,'FRC Site Data'!$B$3:$L$42,11,FALSE)</f>
        <v>#N/A</v>
      </c>
      <c r="AA663" s="10" t="e">
        <f>VLOOKUP(AJ655,'CIR Team Info'!$C$5:$E$44,4,FALSE)</f>
        <v>#N/A</v>
      </c>
      <c r="AB663" s="161" t="b">
        <f>ISNUMBER(VLOOKUP(AJ655,Match!$T$5:$T$10,1,FALSE))</f>
        <v>0</v>
      </c>
      <c r="AC663" s="161" t="b">
        <f>IF(AB663=TRUE,(VLOOKUP($AJ655,Match!$T$5:$U$10,2,FALSE)))</f>
        <v>0</v>
      </c>
      <c r="AD663" s="8">
        <v>3</v>
      </c>
      <c r="AE663" s="8">
        <v>2</v>
      </c>
      <c r="AF663" s="8">
        <v>2</v>
      </c>
      <c r="AG663" s="8">
        <v>1</v>
      </c>
      <c r="AH663" s="8" t="str">
        <f t="shared" si="186"/>
        <v/>
      </c>
    </row>
    <row r="664" spans="1:34" x14ac:dyDescent="0.25">
      <c r="A664" s="29">
        <f t="shared" si="193"/>
        <v>0</v>
      </c>
      <c r="B664" s="29">
        <f t="shared" si="187"/>
        <v>0</v>
      </c>
      <c r="C664" s="29">
        <f t="shared" si="188"/>
        <v>0</v>
      </c>
      <c r="D664" s="29">
        <f t="shared" si="189"/>
        <v>0</v>
      </c>
      <c r="E664" s="29">
        <f t="shared" si="194"/>
        <v>0</v>
      </c>
      <c r="F664" s="29">
        <f t="shared" si="195"/>
        <v>0</v>
      </c>
      <c r="G664" s="29" t="str">
        <f t="shared" si="196"/>
        <v>offensive</v>
      </c>
      <c r="H664" s="16">
        <f t="shared" si="200"/>
        <v>0</v>
      </c>
      <c r="I664" s="16">
        <f t="shared" si="201"/>
        <v>0</v>
      </c>
      <c r="J664" s="16">
        <f t="shared" si="190"/>
        <v>0</v>
      </c>
      <c r="K664" s="16">
        <f t="shared" si="197"/>
        <v>0</v>
      </c>
      <c r="L664" s="67">
        <f t="shared" si="198"/>
        <v>0</v>
      </c>
      <c r="M664" s="4">
        <f t="shared" si="191"/>
        <v>0</v>
      </c>
      <c r="N664" s="4">
        <f t="shared" si="192"/>
        <v>0</v>
      </c>
      <c r="O664" s="4">
        <f t="shared" si="199"/>
        <v>0</v>
      </c>
      <c r="P664" s="4" t="e">
        <f>VLOOKUP(AJ656,'CIR Team Info'!$C$5:$E$44,2,FALSE)</f>
        <v>#N/A</v>
      </c>
      <c r="Q664" s="4" t="e">
        <f>VLOOKUP(AJ656,'CIR Team Info'!$C$5:$E$44,3,FALSE)</f>
        <v>#N/A</v>
      </c>
      <c r="R664" s="10" t="e">
        <f>VLOOKUP(AJ656,'FRC Site Data'!$B$3:$L$42,2,FALSE)</f>
        <v>#N/A</v>
      </c>
      <c r="S664" s="10" t="e">
        <f>VLOOKUP(AJ656,'FRC Site Data'!$B$3:$L$42,3,FALSE)</f>
        <v>#N/A</v>
      </c>
      <c r="T664" s="10" t="e">
        <f>VLOOKUP(AJ656,'FRC Site Data'!$B$3:$L$42,4,FALSE)</f>
        <v>#N/A</v>
      </c>
      <c r="U664" s="10" t="e">
        <f>VLOOKUP(AJ656,'FRC Site Data'!$B$3:$L$42,5,FALSE)</f>
        <v>#N/A</v>
      </c>
      <c r="V664" s="10" t="e">
        <f>VLOOKUP(AJ656,'FRC Site Data'!$B$3:$L$42,6,FALSE)</f>
        <v>#N/A</v>
      </c>
      <c r="W664" s="10" t="e">
        <f>VLOOKUP(AJ656,'FRC Site Data'!$B$3:$L$42,8,FALSE)</f>
        <v>#N/A</v>
      </c>
      <c r="X664" s="10" t="e">
        <f>VLOOKUP(AJ656,'FRC Site Data'!$B$3:$L$42,9,FALSE)</f>
        <v>#N/A</v>
      </c>
      <c r="Y664" s="10" t="e">
        <f>VLOOKUP(AJ656,'FRC Site Data'!$B$3:$L$42,10,FALSE)</f>
        <v>#N/A</v>
      </c>
      <c r="Z664" s="10" t="e">
        <f>VLOOKUP(AJ656,'FRC Site Data'!$B$3:$L$42,11,FALSE)</f>
        <v>#N/A</v>
      </c>
      <c r="AA664" s="10" t="e">
        <f>VLOOKUP(AJ656,'CIR Team Info'!$C$5:$E$44,4,FALSE)</f>
        <v>#N/A</v>
      </c>
      <c r="AB664" s="161" t="b">
        <f>ISNUMBER(VLOOKUP(AJ656,Match!$T$5:$T$10,1,FALSE))</f>
        <v>0</v>
      </c>
      <c r="AC664" s="161" t="b">
        <f>IF(AB664=TRUE,(VLOOKUP($AJ656,Match!$T$5:$U$10,2,FALSE)))</f>
        <v>0</v>
      </c>
      <c r="AD664" s="8">
        <v>3</v>
      </c>
      <c r="AE664" s="8">
        <v>2</v>
      </c>
      <c r="AF664" s="8">
        <v>2</v>
      </c>
      <c r="AG664" s="8">
        <v>1</v>
      </c>
      <c r="AH664" s="8" t="str">
        <f t="shared" si="186"/>
        <v/>
      </c>
    </row>
    <row r="665" spans="1:34" x14ac:dyDescent="0.25">
      <c r="A665" s="29">
        <f t="shared" si="193"/>
        <v>0</v>
      </c>
      <c r="B665" s="29">
        <f t="shared" si="187"/>
        <v>0</v>
      </c>
      <c r="C665" s="29">
        <f t="shared" si="188"/>
        <v>0</v>
      </c>
      <c r="D665" s="29">
        <f t="shared" si="189"/>
        <v>0</v>
      </c>
      <c r="E665" s="29">
        <f t="shared" si="194"/>
        <v>0</v>
      </c>
      <c r="F665" s="29">
        <f t="shared" si="195"/>
        <v>0</v>
      </c>
      <c r="G665" s="29" t="str">
        <f t="shared" si="196"/>
        <v>offensive</v>
      </c>
      <c r="H665" s="16">
        <f t="shared" si="200"/>
        <v>0</v>
      </c>
      <c r="I665" s="16">
        <f t="shared" si="201"/>
        <v>0</v>
      </c>
      <c r="J665" s="16">
        <f t="shared" si="190"/>
        <v>0</v>
      </c>
      <c r="K665" s="16">
        <f t="shared" si="197"/>
        <v>0</v>
      </c>
      <c r="L665" s="67">
        <f t="shared" si="198"/>
        <v>0</v>
      </c>
      <c r="M665" s="4">
        <f t="shared" si="191"/>
        <v>0</v>
      </c>
      <c r="N665" s="4">
        <f t="shared" si="192"/>
        <v>0</v>
      </c>
      <c r="O665" s="4">
        <f t="shared" si="199"/>
        <v>0</v>
      </c>
      <c r="P665" s="4" t="e">
        <f>VLOOKUP(AJ657,'CIR Team Info'!$C$5:$E$44,2,FALSE)</f>
        <v>#N/A</v>
      </c>
      <c r="Q665" s="4" t="e">
        <f>VLOOKUP(AJ657,'CIR Team Info'!$C$5:$E$44,3,FALSE)</f>
        <v>#N/A</v>
      </c>
      <c r="R665" s="10" t="e">
        <f>VLOOKUP(AJ657,'FRC Site Data'!$B$3:$L$42,2,FALSE)</f>
        <v>#N/A</v>
      </c>
      <c r="S665" s="10" t="e">
        <f>VLOOKUP(AJ657,'FRC Site Data'!$B$3:$L$42,3,FALSE)</f>
        <v>#N/A</v>
      </c>
      <c r="T665" s="10" t="e">
        <f>VLOOKUP(AJ657,'FRC Site Data'!$B$3:$L$42,4,FALSE)</f>
        <v>#N/A</v>
      </c>
      <c r="U665" s="10" t="e">
        <f>VLOOKUP(AJ657,'FRC Site Data'!$B$3:$L$42,5,FALSE)</f>
        <v>#N/A</v>
      </c>
      <c r="V665" s="10" t="e">
        <f>VLOOKUP(AJ657,'FRC Site Data'!$B$3:$L$42,6,FALSE)</f>
        <v>#N/A</v>
      </c>
      <c r="W665" s="10" t="e">
        <f>VLOOKUP(AJ657,'FRC Site Data'!$B$3:$L$42,8,FALSE)</f>
        <v>#N/A</v>
      </c>
      <c r="X665" s="10" t="e">
        <f>VLOOKUP(AJ657,'FRC Site Data'!$B$3:$L$42,9,FALSE)</f>
        <v>#N/A</v>
      </c>
      <c r="Y665" s="10" t="e">
        <f>VLOOKUP(AJ657,'FRC Site Data'!$B$3:$L$42,10,FALSE)</f>
        <v>#N/A</v>
      </c>
      <c r="Z665" s="10" t="e">
        <f>VLOOKUP(AJ657,'FRC Site Data'!$B$3:$L$42,11,FALSE)</f>
        <v>#N/A</v>
      </c>
      <c r="AA665" s="10" t="e">
        <f>VLOOKUP(AJ657,'CIR Team Info'!$C$5:$E$44,4,FALSE)</f>
        <v>#N/A</v>
      </c>
      <c r="AB665" s="161" t="b">
        <f>ISNUMBER(VLOOKUP(AJ657,Match!$T$5:$T$10,1,FALSE))</f>
        <v>0</v>
      </c>
      <c r="AC665" s="161" t="b">
        <f>IF(AB665=TRUE,(VLOOKUP($AJ657,Match!$T$5:$U$10,2,FALSE)))</f>
        <v>0</v>
      </c>
      <c r="AD665" s="8">
        <v>3</v>
      </c>
      <c r="AE665" s="8">
        <v>2</v>
      </c>
      <c r="AF665" s="8">
        <v>2</v>
      </c>
      <c r="AG665" s="8">
        <v>1</v>
      </c>
      <c r="AH665" s="8" t="str">
        <f t="shared" si="186"/>
        <v/>
      </c>
    </row>
    <row r="666" spans="1:34" x14ac:dyDescent="0.25">
      <c r="A666" s="29">
        <f t="shared" si="193"/>
        <v>0</v>
      </c>
      <c r="B666" s="29">
        <f t="shared" si="187"/>
        <v>0</v>
      </c>
      <c r="C666" s="29">
        <f t="shared" si="188"/>
        <v>0</v>
      </c>
      <c r="D666" s="29">
        <f t="shared" si="189"/>
        <v>0</v>
      </c>
      <c r="E666" s="29">
        <f t="shared" si="194"/>
        <v>0</v>
      </c>
      <c r="F666" s="29">
        <f t="shared" si="195"/>
        <v>0</v>
      </c>
      <c r="G666" s="29" t="str">
        <f t="shared" si="196"/>
        <v>offensive</v>
      </c>
      <c r="H666" s="16">
        <f t="shared" si="200"/>
        <v>0</v>
      </c>
      <c r="I666" s="16">
        <f t="shared" si="201"/>
        <v>0</v>
      </c>
      <c r="J666" s="16">
        <f t="shared" si="190"/>
        <v>0</v>
      </c>
      <c r="K666" s="16">
        <f t="shared" si="197"/>
        <v>0</v>
      </c>
      <c r="L666" s="67">
        <f t="shared" si="198"/>
        <v>0</v>
      </c>
      <c r="M666" s="4">
        <f t="shared" si="191"/>
        <v>0</v>
      </c>
      <c r="N666" s="4">
        <f t="shared" si="192"/>
        <v>0</v>
      </c>
      <c r="O666" s="4">
        <f t="shared" si="199"/>
        <v>0</v>
      </c>
      <c r="P666" s="4" t="e">
        <f>VLOOKUP(AJ658,'CIR Team Info'!$C$5:$E$44,2,FALSE)</f>
        <v>#N/A</v>
      </c>
      <c r="Q666" s="4" t="e">
        <f>VLOOKUP(AJ658,'CIR Team Info'!$C$5:$E$44,3,FALSE)</f>
        <v>#N/A</v>
      </c>
      <c r="R666" s="10" t="e">
        <f>VLOOKUP(AJ658,'FRC Site Data'!$B$3:$L$42,2,FALSE)</f>
        <v>#N/A</v>
      </c>
      <c r="S666" s="10" t="e">
        <f>VLOOKUP(AJ658,'FRC Site Data'!$B$3:$L$42,3,FALSE)</f>
        <v>#N/A</v>
      </c>
      <c r="T666" s="10" t="e">
        <f>VLOOKUP(AJ658,'FRC Site Data'!$B$3:$L$42,4,FALSE)</f>
        <v>#N/A</v>
      </c>
      <c r="U666" s="10" t="e">
        <f>VLOOKUP(AJ658,'FRC Site Data'!$B$3:$L$42,5,FALSE)</f>
        <v>#N/A</v>
      </c>
      <c r="V666" s="10" t="e">
        <f>VLOOKUP(AJ658,'FRC Site Data'!$B$3:$L$42,6,FALSE)</f>
        <v>#N/A</v>
      </c>
      <c r="W666" s="10" t="e">
        <f>VLOOKUP(AJ658,'FRC Site Data'!$B$3:$L$42,8,FALSE)</f>
        <v>#N/A</v>
      </c>
      <c r="X666" s="10" t="e">
        <f>VLOOKUP(AJ658,'FRC Site Data'!$B$3:$L$42,9,FALSE)</f>
        <v>#N/A</v>
      </c>
      <c r="Y666" s="10" t="e">
        <f>VLOOKUP(AJ658,'FRC Site Data'!$B$3:$L$42,10,FALSE)</f>
        <v>#N/A</v>
      </c>
      <c r="Z666" s="10" t="e">
        <f>VLOOKUP(AJ658,'FRC Site Data'!$B$3:$L$42,11,FALSE)</f>
        <v>#N/A</v>
      </c>
      <c r="AA666" s="10" t="e">
        <f>VLOOKUP(AJ658,'CIR Team Info'!$C$5:$E$44,4,FALSE)</f>
        <v>#N/A</v>
      </c>
      <c r="AB666" s="161" t="b">
        <f>ISNUMBER(VLOOKUP(AJ658,Match!$T$5:$T$10,1,FALSE))</f>
        <v>0</v>
      </c>
      <c r="AC666" s="161" t="b">
        <f>IF(AB666=TRUE,(VLOOKUP($AJ658,Match!$T$5:$U$10,2,FALSE)))</f>
        <v>0</v>
      </c>
      <c r="AD666" s="8">
        <v>3</v>
      </c>
      <c r="AE666" s="8">
        <v>2</v>
      </c>
      <c r="AF666" s="8">
        <v>2</v>
      </c>
      <c r="AG666" s="8">
        <v>1</v>
      </c>
      <c r="AH666" s="8" t="str">
        <f t="shared" si="186"/>
        <v/>
      </c>
    </row>
    <row r="667" spans="1:34" x14ac:dyDescent="0.25">
      <c r="A667" s="29">
        <f t="shared" si="193"/>
        <v>0</v>
      </c>
      <c r="B667" s="29">
        <f t="shared" si="187"/>
        <v>0</v>
      </c>
      <c r="C667" s="29">
        <f t="shared" si="188"/>
        <v>0</v>
      </c>
      <c r="D667" s="29">
        <f t="shared" si="189"/>
        <v>0</v>
      </c>
      <c r="E667" s="29">
        <f t="shared" si="194"/>
        <v>0</v>
      </c>
      <c r="F667" s="29">
        <f t="shared" si="195"/>
        <v>0</v>
      </c>
      <c r="G667" s="29" t="str">
        <f t="shared" si="196"/>
        <v>offensive</v>
      </c>
      <c r="H667" s="16">
        <f t="shared" si="200"/>
        <v>0</v>
      </c>
      <c r="I667" s="16">
        <f t="shared" si="201"/>
        <v>0</v>
      </c>
      <c r="J667" s="16">
        <f t="shared" si="190"/>
        <v>0</v>
      </c>
      <c r="K667" s="16">
        <f t="shared" si="197"/>
        <v>0</v>
      </c>
      <c r="L667" s="67">
        <f t="shared" si="198"/>
        <v>0</v>
      </c>
      <c r="M667" s="4">
        <f t="shared" si="191"/>
        <v>0</v>
      </c>
      <c r="N667" s="4">
        <f t="shared" si="192"/>
        <v>0</v>
      </c>
      <c r="O667" s="4">
        <f t="shared" si="199"/>
        <v>0</v>
      </c>
      <c r="P667" s="4" t="e">
        <f>VLOOKUP(AJ659,'CIR Team Info'!$C$5:$E$44,2,FALSE)</f>
        <v>#N/A</v>
      </c>
      <c r="Q667" s="4" t="e">
        <f>VLOOKUP(AJ659,'CIR Team Info'!$C$5:$E$44,3,FALSE)</f>
        <v>#N/A</v>
      </c>
      <c r="R667" s="10" t="e">
        <f>VLOOKUP(AJ659,'FRC Site Data'!$B$3:$L$42,2,FALSE)</f>
        <v>#N/A</v>
      </c>
      <c r="S667" s="10" t="e">
        <f>VLOOKUP(AJ659,'FRC Site Data'!$B$3:$L$42,3,FALSE)</f>
        <v>#N/A</v>
      </c>
      <c r="T667" s="10" t="e">
        <f>VLOOKUP(AJ659,'FRC Site Data'!$B$3:$L$42,4,FALSE)</f>
        <v>#N/A</v>
      </c>
      <c r="U667" s="10" t="e">
        <f>VLOOKUP(AJ659,'FRC Site Data'!$B$3:$L$42,5,FALSE)</f>
        <v>#N/A</v>
      </c>
      <c r="V667" s="10" t="e">
        <f>VLOOKUP(AJ659,'FRC Site Data'!$B$3:$L$42,6,FALSE)</f>
        <v>#N/A</v>
      </c>
      <c r="W667" s="10" t="e">
        <f>VLOOKUP(AJ659,'FRC Site Data'!$B$3:$L$42,8,FALSE)</f>
        <v>#N/A</v>
      </c>
      <c r="X667" s="10" t="e">
        <f>VLOOKUP(AJ659,'FRC Site Data'!$B$3:$L$42,9,FALSE)</f>
        <v>#N/A</v>
      </c>
      <c r="Y667" s="10" t="e">
        <f>VLOOKUP(AJ659,'FRC Site Data'!$B$3:$L$42,10,FALSE)</f>
        <v>#N/A</v>
      </c>
      <c r="Z667" s="10" t="e">
        <f>VLOOKUP(AJ659,'FRC Site Data'!$B$3:$L$42,11,FALSE)</f>
        <v>#N/A</v>
      </c>
      <c r="AA667" s="10" t="e">
        <f>VLOOKUP(AJ659,'CIR Team Info'!$C$5:$E$44,4,FALSE)</f>
        <v>#N/A</v>
      </c>
      <c r="AB667" s="161" t="b">
        <f>ISNUMBER(VLOOKUP(AJ659,Match!$T$5:$T$10,1,FALSE))</f>
        <v>0</v>
      </c>
      <c r="AC667" s="161" t="b">
        <f>IF(AB667=TRUE,(VLOOKUP($AJ659,Match!$T$5:$U$10,2,FALSE)))</f>
        <v>0</v>
      </c>
      <c r="AD667" s="8">
        <v>3</v>
      </c>
      <c r="AE667" s="8">
        <v>2</v>
      </c>
      <c r="AF667" s="8">
        <v>2</v>
      </c>
      <c r="AG667" s="8">
        <v>1</v>
      </c>
      <c r="AH667" s="8" t="str">
        <f t="shared" si="186"/>
        <v/>
      </c>
    </row>
    <row r="668" spans="1:34" x14ac:dyDescent="0.25">
      <c r="A668" s="29">
        <f t="shared" si="193"/>
        <v>0</v>
      </c>
      <c r="B668" s="29">
        <f t="shared" si="187"/>
        <v>0</v>
      </c>
      <c r="C668" s="29">
        <f t="shared" si="188"/>
        <v>0</v>
      </c>
      <c r="D668" s="29">
        <f t="shared" si="189"/>
        <v>0</v>
      </c>
      <c r="E668" s="29">
        <f t="shared" si="194"/>
        <v>0</v>
      </c>
      <c r="F668" s="29">
        <f t="shared" si="195"/>
        <v>0</v>
      </c>
      <c r="G668" s="29" t="str">
        <f t="shared" si="196"/>
        <v>offensive</v>
      </c>
      <c r="H668" s="16">
        <f t="shared" si="200"/>
        <v>0</v>
      </c>
      <c r="I668" s="16">
        <f t="shared" si="201"/>
        <v>0</v>
      </c>
      <c r="J668" s="16">
        <f t="shared" si="190"/>
        <v>0</v>
      </c>
      <c r="K668" s="16">
        <f t="shared" si="197"/>
        <v>0</v>
      </c>
      <c r="L668" s="67">
        <f t="shared" si="198"/>
        <v>0</v>
      </c>
      <c r="M668" s="4">
        <f t="shared" si="191"/>
        <v>0</v>
      </c>
      <c r="N668" s="4">
        <f t="shared" si="192"/>
        <v>0</v>
      </c>
      <c r="O668" s="4">
        <f t="shared" si="199"/>
        <v>0</v>
      </c>
      <c r="P668" s="4" t="e">
        <f>VLOOKUP(AJ660,'CIR Team Info'!$C$5:$E$44,2,FALSE)</f>
        <v>#N/A</v>
      </c>
      <c r="Q668" s="4" t="e">
        <f>VLOOKUP(AJ660,'CIR Team Info'!$C$5:$E$44,3,FALSE)</f>
        <v>#N/A</v>
      </c>
      <c r="R668" s="10" t="e">
        <f>VLOOKUP(AJ660,'FRC Site Data'!$B$3:$L$42,2,FALSE)</f>
        <v>#N/A</v>
      </c>
      <c r="S668" s="10" t="e">
        <f>VLOOKUP(AJ660,'FRC Site Data'!$B$3:$L$42,3,FALSE)</f>
        <v>#N/A</v>
      </c>
      <c r="T668" s="10" t="e">
        <f>VLOOKUP(AJ660,'FRC Site Data'!$B$3:$L$42,4,FALSE)</f>
        <v>#N/A</v>
      </c>
      <c r="U668" s="10" t="e">
        <f>VLOOKUP(AJ660,'FRC Site Data'!$B$3:$L$42,5,FALSE)</f>
        <v>#N/A</v>
      </c>
      <c r="V668" s="10" t="e">
        <f>VLOOKUP(AJ660,'FRC Site Data'!$B$3:$L$42,6,FALSE)</f>
        <v>#N/A</v>
      </c>
      <c r="W668" s="10" t="e">
        <f>VLOOKUP(AJ660,'FRC Site Data'!$B$3:$L$42,8,FALSE)</f>
        <v>#N/A</v>
      </c>
      <c r="X668" s="10" t="e">
        <f>VLOOKUP(AJ660,'FRC Site Data'!$B$3:$L$42,9,FALSE)</f>
        <v>#N/A</v>
      </c>
      <c r="Y668" s="10" t="e">
        <f>VLOOKUP(AJ660,'FRC Site Data'!$B$3:$L$42,10,FALSE)</f>
        <v>#N/A</v>
      </c>
      <c r="Z668" s="10" t="e">
        <f>VLOOKUP(AJ660,'FRC Site Data'!$B$3:$L$42,11,FALSE)</f>
        <v>#N/A</v>
      </c>
      <c r="AA668" s="10" t="e">
        <f>VLOOKUP(AJ660,'CIR Team Info'!$C$5:$E$44,4,FALSE)</f>
        <v>#N/A</v>
      </c>
      <c r="AB668" s="161" t="b">
        <f>ISNUMBER(VLOOKUP(AJ660,Match!$T$5:$T$10,1,FALSE))</f>
        <v>0</v>
      </c>
      <c r="AC668" s="161" t="b">
        <f>IF(AB668=TRUE,(VLOOKUP($AJ660,Match!$T$5:$U$10,2,FALSE)))</f>
        <v>0</v>
      </c>
      <c r="AD668" s="8">
        <v>3</v>
      </c>
      <c r="AE668" s="8">
        <v>2</v>
      </c>
      <c r="AF668" s="8">
        <v>2</v>
      </c>
      <c r="AG668" s="8">
        <v>1</v>
      </c>
      <c r="AH668" s="8" t="str">
        <f t="shared" si="186"/>
        <v/>
      </c>
    </row>
    <row r="669" spans="1:34" x14ac:dyDescent="0.25">
      <c r="A669" s="29">
        <f t="shared" si="193"/>
        <v>0</v>
      </c>
      <c r="B669" s="29">
        <f t="shared" si="187"/>
        <v>0</v>
      </c>
      <c r="C669" s="29">
        <f t="shared" si="188"/>
        <v>0</v>
      </c>
      <c r="D669" s="29">
        <f t="shared" si="189"/>
        <v>0</v>
      </c>
      <c r="E669" s="29">
        <f t="shared" si="194"/>
        <v>0</v>
      </c>
      <c r="F669" s="29">
        <f t="shared" si="195"/>
        <v>0</v>
      </c>
      <c r="G669" s="29" t="str">
        <f t="shared" si="196"/>
        <v>offensive</v>
      </c>
      <c r="H669" s="16">
        <f t="shared" si="200"/>
        <v>0</v>
      </c>
      <c r="I669" s="16">
        <f t="shared" si="201"/>
        <v>0</v>
      </c>
      <c r="J669" s="16">
        <f t="shared" si="190"/>
        <v>0</v>
      </c>
      <c r="K669" s="16">
        <f t="shared" si="197"/>
        <v>0</v>
      </c>
      <c r="L669" s="67">
        <f t="shared" si="198"/>
        <v>0</v>
      </c>
      <c r="M669" s="4">
        <f t="shared" si="191"/>
        <v>0</v>
      </c>
      <c r="N669" s="4">
        <f t="shared" si="192"/>
        <v>0</v>
      </c>
      <c r="O669" s="4">
        <f t="shared" si="199"/>
        <v>0</v>
      </c>
      <c r="P669" s="4" t="e">
        <f>VLOOKUP(AJ661,'CIR Team Info'!$C$5:$E$44,2,FALSE)</f>
        <v>#N/A</v>
      </c>
      <c r="Q669" s="4" t="e">
        <f>VLOOKUP(AJ661,'CIR Team Info'!$C$5:$E$44,3,FALSE)</f>
        <v>#N/A</v>
      </c>
      <c r="R669" s="10" t="e">
        <f>VLOOKUP(AJ661,'FRC Site Data'!$B$3:$L$42,2,FALSE)</f>
        <v>#N/A</v>
      </c>
      <c r="S669" s="10" t="e">
        <f>VLOOKUP(AJ661,'FRC Site Data'!$B$3:$L$42,3,FALSE)</f>
        <v>#N/A</v>
      </c>
      <c r="T669" s="10" t="e">
        <f>VLOOKUP(AJ661,'FRC Site Data'!$B$3:$L$42,4,FALSE)</f>
        <v>#N/A</v>
      </c>
      <c r="U669" s="10" t="e">
        <f>VLOOKUP(AJ661,'FRC Site Data'!$B$3:$L$42,5,FALSE)</f>
        <v>#N/A</v>
      </c>
      <c r="V669" s="10" t="e">
        <f>VLOOKUP(AJ661,'FRC Site Data'!$B$3:$L$42,6,FALSE)</f>
        <v>#N/A</v>
      </c>
      <c r="W669" s="10" t="e">
        <f>VLOOKUP(AJ661,'FRC Site Data'!$B$3:$L$42,8,FALSE)</f>
        <v>#N/A</v>
      </c>
      <c r="X669" s="10" t="e">
        <f>VLOOKUP(AJ661,'FRC Site Data'!$B$3:$L$42,9,FALSE)</f>
        <v>#N/A</v>
      </c>
      <c r="Y669" s="10" t="e">
        <f>VLOOKUP(AJ661,'FRC Site Data'!$B$3:$L$42,10,FALSE)</f>
        <v>#N/A</v>
      </c>
      <c r="Z669" s="10" t="e">
        <f>VLOOKUP(AJ661,'FRC Site Data'!$B$3:$L$42,11,FALSE)</f>
        <v>#N/A</v>
      </c>
      <c r="AA669" s="10" t="e">
        <f>VLOOKUP(AJ661,'CIR Team Info'!$C$5:$E$44,4,FALSE)</f>
        <v>#N/A</v>
      </c>
      <c r="AB669" s="161" t="b">
        <f>ISNUMBER(VLOOKUP(AJ661,Match!$T$5:$T$10,1,FALSE))</f>
        <v>0</v>
      </c>
      <c r="AC669" s="161" t="b">
        <f>IF(AB669=TRUE,(VLOOKUP($AJ661,Match!$T$5:$U$10,2,FALSE)))</f>
        <v>0</v>
      </c>
      <c r="AD669" s="8">
        <v>3</v>
      </c>
      <c r="AE669" s="8">
        <v>2</v>
      </c>
      <c r="AF669" s="8">
        <v>2</v>
      </c>
      <c r="AG669" s="8">
        <v>1</v>
      </c>
      <c r="AH669" s="8" t="str">
        <f t="shared" si="186"/>
        <v/>
      </c>
    </row>
    <row r="670" spans="1:34" x14ac:dyDescent="0.25">
      <c r="A670" s="29">
        <f t="shared" si="193"/>
        <v>0</v>
      </c>
      <c r="B670" s="29">
        <f t="shared" si="187"/>
        <v>0</v>
      </c>
      <c r="C670" s="29">
        <f t="shared" si="188"/>
        <v>0</v>
      </c>
      <c r="D670" s="29">
        <f t="shared" si="189"/>
        <v>0</v>
      </c>
      <c r="E670" s="29">
        <f t="shared" si="194"/>
        <v>0</v>
      </c>
      <c r="F670" s="29">
        <f t="shared" si="195"/>
        <v>0</v>
      </c>
      <c r="G670" s="29" t="str">
        <f t="shared" si="196"/>
        <v>offensive</v>
      </c>
      <c r="H670" s="16">
        <f t="shared" si="200"/>
        <v>0</v>
      </c>
      <c r="I670" s="16">
        <f t="shared" si="201"/>
        <v>0</v>
      </c>
      <c r="J670" s="16">
        <f t="shared" si="190"/>
        <v>0</v>
      </c>
      <c r="K670" s="16">
        <f t="shared" si="197"/>
        <v>0</v>
      </c>
      <c r="L670" s="67">
        <f t="shared" si="198"/>
        <v>0</v>
      </c>
      <c r="M670" s="4">
        <f t="shared" si="191"/>
        <v>0</v>
      </c>
      <c r="N670" s="4">
        <f t="shared" si="192"/>
        <v>0</v>
      </c>
      <c r="O670" s="4">
        <f t="shared" si="199"/>
        <v>0</v>
      </c>
      <c r="P670" s="4" t="e">
        <f>VLOOKUP(AJ662,'CIR Team Info'!$C$5:$E$44,2,FALSE)</f>
        <v>#N/A</v>
      </c>
      <c r="Q670" s="4" t="e">
        <f>VLOOKUP(AJ662,'CIR Team Info'!$C$5:$E$44,3,FALSE)</f>
        <v>#N/A</v>
      </c>
      <c r="R670" s="10" t="e">
        <f>VLOOKUP(AJ662,'FRC Site Data'!$B$3:$L$42,2,FALSE)</f>
        <v>#N/A</v>
      </c>
      <c r="S670" s="10" t="e">
        <f>VLOOKUP(AJ662,'FRC Site Data'!$B$3:$L$42,3,FALSE)</f>
        <v>#N/A</v>
      </c>
      <c r="T670" s="10" t="e">
        <f>VLOOKUP(AJ662,'FRC Site Data'!$B$3:$L$42,4,FALSE)</f>
        <v>#N/A</v>
      </c>
      <c r="U670" s="10" t="e">
        <f>VLOOKUP(AJ662,'FRC Site Data'!$B$3:$L$42,5,FALSE)</f>
        <v>#N/A</v>
      </c>
      <c r="V670" s="10" t="e">
        <f>VLOOKUP(AJ662,'FRC Site Data'!$B$3:$L$42,6,FALSE)</f>
        <v>#N/A</v>
      </c>
      <c r="W670" s="10" t="e">
        <f>VLOOKUP(AJ662,'FRC Site Data'!$B$3:$L$42,8,FALSE)</f>
        <v>#N/A</v>
      </c>
      <c r="X670" s="10" t="e">
        <f>VLOOKUP(AJ662,'FRC Site Data'!$B$3:$L$42,9,FALSE)</f>
        <v>#N/A</v>
      </c>
      <c r="Y670" s="10" t="e">
        <f>VLOOKUP(AJ662,'FRC Site Data'!$B$3:$L$42,10,FALSE)</f>
        <v>#N/A</v>
      </c>
      <c r="Z670" s="10" t="e">
        <f>VLOOKUP(AJ662,'FRC Site Data'!$B$3:$L$42,11,FALSE)</f>
        <v>#N/A</v>
      </c>
      <c r="AA670" s="10" t="e">
        <f>VLOOKUP(AJ662,'CIR Team Info'!$C$5:$E$44,4,FALSE)</f>
        <v>#N/A</v>
      </c>
      <c r="AB670" s="161" t="b">
        <f>ISNUMBER(VLOOKUP(AJ662,Match!$T$5:$T$10,1,FALSE))</f>
        <v>0</v>
      </c>
      <c r="AC670" s="161" t="b">
        <f>IF(AB670=TRUE,(VLOOKUP($AJ662,Match!$T$5:$U$10,2,FALSE)))</f>
        <v>0</v>
      </c>
      <c r="AD670" s="8">
        <v>3</v>
      </c>
      <c r="AE670" s="8">
        <v>2</v>
      </c>
      <c r="AF670" s="8">
        <v>2</v>
      </c>
      <c r="AG670" s="8">
        <v>1</v>
      </c>
      <c r="AH670" s="8" t="str">
        <f t="shared" si="186"/>
        <v/>
      </c>
    </row>
    <row r="671" spans="1:34" x14ac:dyDescent="0.25">
      <c r="A671" s="29">
        <f t="shared" si="193"/>
        <v>0</v>
      </c>
      <c r="B671" s="29">
        <f t="shared" si="187"/>
        <v>0</v>
      </c>
      <c r="C671" s="29">
        <f t="shared" si="188"/>
        <v>0</v>
      </c>
      <c r="D671" s="29">
        <f t="shared" si="189"/>
        <v>0</v>
      </c>
      <c r="E671" s="29">
        <f t="shared" si="194"/>
        <v>0</v>
      </c>
      <c r="F671" s="29">
        <f t="shared" si="195"/>
        <v>0</v>
      </c>
      <c r="G671" s="29" t="str">
        <f t="shared" si="196"/>
        <v>offensive</v>
      </c>
      <c r="H671" s="16">
        <f t="shared" si="200"/>
        <v>0</v>
      </c>
      <c r="I671" s="16">
        <f t="shared" si="201"/>
        <v>0</v>
      </c>
      <c r="J671" s="16">
        <f t="shared" si="190"/>
        <v>0</v>
      </c>
      <c r="K671" s="16">
        <f t="shared" si="197"/>
        <v>0</v>
      </c>
      <c r="L671" s="67">
        <f t="shared" si="198"/>
        <v>0</v>
      </c>
      <c r="M671" s="4">
        <f t="shared" si="191"/>
        <v>0</v>
      </c>
      <c r="N671" s="4">
        <f t="shared" si="192"/>
        <v>0</v>
      </c>
      <c r="O671" s="4">
        <f t="shared" si="199"/>
        <v>0</v>
      </c>
      <c r="P671" s="4" t="e">
        <f>VLOOKUP(AJ663,'CIR Team Info'!$C$5:$E$44,2,FALSE)</f>
        <v>#N/A</v>
      </c>
      <c r="Q671" s="4" t="e">
        <f>VLOOKUP(AJ663,'CIR Team Info'!$C$5:$E$44,3,FALSE)</f>
        <v>#N/A</v>
      </c>
      <c r="R671" s="10" t="e">
        <f>VLOOKUP(AJ663,'FRC Site Data'!$B$3:$L$42,2,FALSE)</f>
        <v>#N/A</v>
      </c>
      <c r="S671" s="10" t="e">
        <f>VLOOKUP(AJ663,'FRC Site Data'!$B$3:$L$42,3,FALSE)</f>
        <v>#N/A</v>
      </c>
      <c r="T671" s="10" t="e">
        <f>VLOOKUP(AJ663,'FRC Site Data'!$B$3:$L$42,4,FALSE)</f>
        <v>#N/A</v>
      </c>
      <c r="U671" s="10" t="e">
        <f>VLOOKUP(AJ663,'FRC Site Data'!$B$3:$L$42,5,FALSE)</f>
        <v>#N/A</v>
      </c>
      <c r="V671" s="10" t="e">
        <f>VLOOKUP(AJ663,'FRC Site Data'!$B$3:$L$42,6,FALSE)</f>
        <v>#N/A</v>
      </c>
      <c r="W671" s="10" t="e">
        <f>VLOOKUP(AJ663,'FRC Site Data'!$B$3:$L$42,8,FALSE)</f>
        <v>#N/A</v>
      </c>
      <c r="X671" s="10" t="e">
        <f>VLOOKUP(AJ663,'FRC Site Data'!$B$3:$L$42,9,FALSE)</f>
        <v>#N/A</v>
      </c>
      <c r="Y671" s="10" t="e">
        <f>VLOOKUP(AJ663,'FRC Site Data'!$B$3:$L$42,10,FALSE)</f>
        <v>#N/A</v>
      </c>
      <c r="Z671" s="10" t="e">
        <f>VLOOKUP(AJ663,'FRC Site Data'!$B$3:$L$42,11,FALSE)</f>
        <v>#N/A</v>
      </c>
      <c r="AA671" s="10" t="e">
        <f>VLOOKUP(AJ663,'CIR Team Info'!$C$5:$E$44,4,FALSE)</f>
        <v>#N/A</v>
      </c>
      <c r="AB671" s="161" t="b">
        <f>ISNUMBER(VLOOKUP(AJ663,Match!$T$5:$T$10,1,FALSE))</f>
        <v>0</v>
      </c>
      <c r="AC671" s="161" t="b">
        <f>IF(AB671=TRUE,(VLOOKUP($AJ663,Match!$T$5:$U$10,2,FALSE)))</f>
        <v>0</v>
      </c>
      <c r="AD671" s="8">
        <v>3</v>
      </c>
      <c r="AE671" s="8">
        <v>2</v>
      </c>
      <c r="AF671" s="8">
        <v>2</v>
      </c>
      <c r="AG671" s="8">
        <v>1</v>
      </c>
      <c r="AH671" s="8" t="str">
        <f t="shared" si="186"/>
        <v/>
      </c>
    </row>
    <row r="672" spans="1:34" x14ac:dyDescent="0.25">
      <c r="A672" s="29">
        <f t="shared" si="193"/>
        <v>0</v>
      </c>
      <c r="B672" s="29">
        <f t="shared" si="187"/>
        <v>0</v>
      </c>
      <c r="C672" s="29">
        <f t="shared" si="188"/>
        <v>0</v>
      </c>
      <c r="D672" s="29">
        <f t="shared" si="189"/>
        <v>0</v>
      </c>
      <c r="E672" s="29">
        <f t="shared" si="194"/>
        <v>0</v>
      </c>
      <c r="F672" s="29">
        <f t="shared" si="195"/>
        <v>0</v>
      </c>
      <c r="G672" s="29" t="str">
        <f t="shared" si="196"/>
        <v>offensive</v>
      </c>
      <c r="H672" s="16">
        <f t="shared" si="200"/>
        <v>0</v>
      </c>
      <c r="I672" s="16">
        <f t="shared" si="201"/>
        <v>0</v>
      </c>
      <c r="J672" s="16">
        <f t="shared" si="190"/>
        <v>0</v>
      </c>
      <c r="K672" s="16">
        <f t="shared" si="197"/>
        <v>0</v>
      </c>
      <c r="L672" s="67">
        <f t="shared" si="198"/>
        <v>0</v>
      </c>
      <c r="M672" s="4">
        <f t="shared" si="191"/>
        <v>0</v>
      </c>
      <c r="N672" s="4">
        <f t="shared" si="192"/>
        <v>0</v>
      </c>
      <c r="O672" s="4">
        <f t="shared" si="199"/>
        <v>0</v>
      </c>
      <c r="P672" s="4" t="e">
        <f>VLOOKUP(AJ664,'CIR Team Info'!$C$5:$E$44,2,FALSE)</f>
        <v>#N/A</v>
      </c>
      <c r="Q672" s="4" t="e">
        <f>VLOOKUP(AJ664,'CIR Team Info'!$C$5:$E$44,3,FALSE)</f>
        <v>#N/A</v>
      </c>
      <c r="R672" s="10" t="e">
        <f>VLOOKUP(AJ664,'FRC Site Data'!$B$3:$L$42,2,FALSE)</f>
        <v>#N/A</v>
      </c>
      <c r="S672" s="10" t="e">
        <f>VLOOKUP(AJ664,'FRC Site Data'!$B$3:$L$42,3,FALSE)</f>
        <v>#N/A</v>
      </c>
      <c r="T672" s="10" t="e">
        <f>VLOOKUP(AJ664,'FRC Site Data'!$B$3:$L$42,4,FALSE)</f>
        <v>#N/A</v>
      </c>
      <c r="U672" s="10" t="e">
        <f>VLOOKUP(AJ664,'FRC Site Data'!$B$3:$L$42,5,FALSE)</f>
        <v>#N/A</v>
      </c>
      <c r="V672" s="10" t="e">
        <f>VLOOKUP(AJ664,'FRC Site Data'!$B$3:$L$42,6,FALSE)</f>
        <v>#N/A</v>
      </c>
      <c r="W672" s="10" t="e">
        <f>VLOOKUP(AJ664,'FRC Site Data'!$B$3:$L$42,8,FALSE)</f>
        <v>#N/A</v>
      </c>
      <c r="X672" s="10" t="e">
        <f>VLOOKUP(AJ664,'FRC Site Data'!$B$3:$L$42,9,FALSE)</f>
        <v>#N/A</v>
      </c>
      <c r="Y672" s="10" t="e">
        <f>VLOOKUP(AJ664,'FRC Site Data'!$B$3:$L$42,10,FALSE)</f>
        <v>#N/A</v>
      </c>
      <c r="Z672" s="10" t="e">
        <f>VLOOKUP(AJ664,'FRC Site Data'!$B$3:$L$42,11,FALSE)</f>
        <v>#N/A</v>
      </c>
      <c r="AA672" s="10" t="e">
        <f>VLOOKUP(AJ664,'CIR Team Info'!$C$5:$E$44,4,FALSE)</f>
        <v>#N/A</v>
      </c>
      <c r="AB672" s="161" t="b">
        <f>ISNUMBER(VLOOKUP(AJ664,Match!$T$5:$T$10,1,FALSE))</f>
        <v>0</v>
      </c>
      <c r="AC672" s="161" t="b">
        <f>IF(AB672=TRUE,(VLOOKUP($AJ664,Match!$T$5:$U$10,2,FALSE)))</f>
        <v>0</v>
      </c>
      <c r="AD672" s="8">
        <v>3</v>
      </c>
      <c r="AE672" s="8">
        <v>2</v>
      </c>
      <c r="AF672" s="8">
        <v>2</v>
      </c>
      <c r="AG672" s="8">
        <v>1</v>
      </c>
      <c r="AH672" s="8" t="str">
        <f t="shared" si="186"/>
        <v/>
      </c>
    </row>
    <row r="673" spans="1:34" x14ac:dyDescent="0.25">
      <c r="A673" s="29">
        <f t="shared" si="193"/>
        <v>0</v>
      </c>
      <c r="B673" s="29">
        <f t="shared" si="187"/>
        <v>0</v>
      </c>
      <c r="C673" s="29">
        <f t="shared" si="188"/>
        <v>0</v>
      </c>
      <c r="D673" s="29">
        <f t="shared" si="189"/>
        <v>0</v>
      </c>
      <c r="E673" s="29">
        <f t="shared" si="194"/>
        <v>0</v>
      </c>
      <c r="F673" s="29">
        <f t="shared" si="195"/>
        <v>0</v>
      </c>
      <c r="G673" s="29" t="str">
        <f t="shared" si="196"/>
        <v>offensive</v>
      </c>
      <c r="H673" s="16">
        <f t="shared" si="200"/>
        <v>0</v>
      </c>
      <c r="I673" s="16">
        <f t="shared" si="201"/>
        <v>0</v>
      </c>
      <c r="J673" s="16">
        <f t="shared" si="190"/>
        <v>0</v>
      </c>
      <c r="K673" s="16">
        <f t="shared" si="197"/>
        <v>0</v>
      </c>
      <c r="L673" s="67">
        <f t="shared" si="198"/>
        <v>0</v>
      </c>
      <c r="M673" s="4">
        <f t="shared" si="191"/>
        <v>0</v>
      </c>
      <c r="N673" s="4">
        <f t="shared" si="192"/>
        <v>0</v>
      </c>
      <c r="O673" s="4">
        <f t="shared" si="199"/>
        <v>0</v>
      </c>
      <c r="P673" s="4" t="e">
        <f>VLOOKUP(AJ665,'CIR Team Info'!$C$5:$E$44,2,FALSE)</f>
        <v>#N/A</v>
      </c>
      <c r="Q673" s="4" t="e">
        <f>VLOOKUP(AJ665,'CIR Team Info'!$C$5:$E$44,3,FALSE)</f>
        <v>#N/A</v>
      </c>
      <c r="R673" s="10" t="e">
        <f>VLOOKUP(AJ665,'FRC Site Data'!$B$3:$L$42,2,FALSE)</f>
        <v>#N/A</v>
      </c>
      <c r="S673" s="10" t="e">
        <f>VLOOKUP(AJ665,'FRC Site Data'!$B$3:$L$42,3,FALSE)</f>
        <v>#N/A</v>
      </c>
      <c r="T673" s="10" t="e">
        <f>VLOOKUP(AJ665,'FRC Site Data'!$B$3:$L$42,4,FALSE)</f>
        <v>#N/A</v>
      </c>
      <c r="U673" s="10" t="e">
        <f>VLOOKUP(AJ665,'FRC Site Data'!$B$3:$L$42,5,FALSE)</f>
        <v>#N/A</v>
      </c>
      <c r="V673" s="10" t="e">
        <f>VLOOKUP(AJ665,'FRC Site Data'!$B$3:$L$42,6,FALSE)</f>
        <v>#N/A</v>
      </c>
      <c r="W673" s="10" t="e">
        <f>VLOOKUP(AJ665,'FRC Site Data'!$B$3:$L$42,8,FALSE)</f>
        <v>#N/A</v>
      </c>
      <c r="X673" s="10" t="e">
        <f>VLOOKUP(AJ665,'FRC Site Data'!$B$3:$L$42,9,FALSE)</f>
        <v>#N/A</v>
      </c>
      <c r="Y673" s="10" t="e">
        <f>VLOOKUP(AJ665,'FRC Site Data'!$B$3:$L$42,10,FALSE)</f>
        <v>#N/A</v>
      </c>
      <c r="Z673" s="10" t="e">
        <f>VLOOKUP(AJ665,'FRC Site Data'!$B$3:$L$42,11,FALSE)</f>
        <v>#N/A</v>
      </c>
      <c r="AA673" s="10" t="e">
        <f>VLOOKUP(AJ665,'CIR Team Info'!$C$5:$E$44,4,FALSE)</f>
        <v>#N/A</v>
      </c>
      <c r="AB673" s="161" t="b">
        <f>ISNUMBER(VLOOKUP(AJ665,Match!$T$5:$T$10,1,FALSE))</f>
        <v>0</v>
      </c>
      <c r="AC673" s="161" t="b">
        <f>IF(AB673=TRUE,(VLOOKUP($AJ665,Match!$T$5:$U$10,2,FALSE)))</f>
        <v>0</v>
      </c>
      <c r="AD673" s="8">
        <v>3</v>
      </c>
      <c r="AE673" s="8">
        <v>2</v>
      </c>
      <c r="AF673" s="8">
        <v>2</v>
      </c>
      <c r="AG673" s="8">
        <v>1</v>
      </c>
      <c r="AH673" s="8" t="str">
        <f t="shared" si="186"/>
        <v/>
      </c>
    </row>
    <row r="674" spans="1:34" x14ac:dyDescent="0.25">
      <c r="A674" s="29">
        <f t="shared" si="193"/>
        <v>0</v>
      </c>
      <c r="B674" s="29">
        <f t="shared" si="187"/>
        <v>0</v>
      </c>
      <c r="C674" s="29">
        <f t="shared" si="188"/>
        <v>0</v>
      </c>
      <c r="D674" s="29">
        <f t="shared" si="189"/>
        <v>0</v>
      </c>
      <c r="E674" s="29">
        <f t="shared" si="194"/>
        <v>0</v>
      </c>
      <c r="F674" s="29">
        <f t="shared" si="195"/>
        <v>0</v>
      </c>
      <c r="G674" s="29" t="str">
        <f t="shared" si="196"/>
        <v>offensive</v>
      </c>
      <c r="H674" s="16">
        <f t="shared" si="200"/>
        <v>0</v>
      </c>
      <c r="I674" s="16">
        <f t="shared" si="201"/>
        <v>0</v>
      </c>
      <c r="J674" s="16">
        <f t="shared" si="190"/>
        <v>0</v>
      </c>
      <c r="K674" s="16">
        <f t="shared" si="197"/>
        <v>0</v>
      </c>
      <c r="L674" s="67">
        <f t="shared" si="198"/>
        <v>0</v>
      </c>
      <c r="M674" s="4">
        <f t="shared" si="191"/>
        <v>0</v>
      </c>
      <c r="N674" s="4">
        <f t="shared" si="192"/>
        <v>0</v>
      </c>
      <c r="O674" s="4">
        <f t="shared" si="199"/>
        <v>0</v>
      </c>
      <c r="P674" s="4" t="e">
        <f>VLOOKUP(AJ666,'CIR Team Info'!$C$5:$E$44,2,FALSE)</f>
        <v>#N/A</v>
      </c>
      <c r="Q674" s="4" t="e">
        <f>VLOOKUP(AJ666,'CIR Team Info'!$C$5:$E$44,3,FALSE)</f>
        <v>#N/A</v>
      </c>
      <c r="R674" s="10" t="e">
        <f>VLOOKUP(AJ666,'FRC Site Data'!$B$3:$L$42,2,FALSE)</f>
        <v>#N/A</v>
      </c>
      <c r="S674" s="10" t="e">
        <f>VLOOKUP(AJ666,'FRC Site Data'!$B$3:$L$42,3,FALSE)</f>
        <v>#N/A</v>
      </c>
      <c r="T674" s="10" t="e">
        <f>VLOOKUP(AJ666,'FRC Site Data'!$B$3:$L$42,4,FALSE)</f>
        <v>#N/A</v>
      </c>
      <c r="U674" s="10" t="e">
        <f>VLOOKUP(AJ666,'FRC Site Data'!$B$3:$L$42,5,FALSE)</f>
        <v>#N/A</v>
      </c>
      <c r="V674" s="10" t="e">
        <f>VLOOKUP(AJ666,'FRC Site Data'!$B$3:$L$42,6,FALSE)</f>
        <v>#N/A</v>
      </c>
      <c r="W674" s="10" t="e">
        <f>VLOOKUP(AJ666,'FRC Site Data'!$B$3:$L$42,8,FALSE)</f>
        <v>#N/A</v>
      </c>
      <c r="X674" s="10" t="e">
        <f>VLOOKUP(AJ666,'FRC Site Data'!$B$3:$L$42,9,FALSE)</f>
        <v>#N/A</v>
      </c>
      <c r="Y674" s="10" t="e">
        <f>VLOOKUP(AJ666,'FRC Site Data'!$B$3:$L$42,10,FALSE)</f>
        <v>#N/A</v>
      </c>
      <c r="Z674" s="10" t="e">
        <f>VLOOKUP(AJ666,'FRC Site Data'!$B$3:$L$42,11,FALSE)</f>
        <v>#N/A</v>
      </c>
      <c r="AA674" s="10" t="e">
        <f>VLOOKUP(AJ666,'CIR Team Info'!$C$5:$E$44,4,FALSE)</f>
        <v>#N/A</v>
      </c>
      <c r="AB674" s="161" t="b">
        <f>ISNUMBER(VLOOKUP(AJ666,Match!$T$5:$T$10,1,FALSE))</f>
        <v>0</v>
      </c>
      <c r="AC674" s="161" t="b">
        <f>IF(AB674=TRUE,(VLOOKUP($AJ666,Match!$T$5:$U$10,2,FALSE)))</f>
        <v>0</v>
      </c>
      <c r="AD674" s="8">
        <v>3</v>
      </c>
      <c r="AE674" s="8">
        <v>2</v>
      </c>
      <c r="AF674" s="8">
        <v>2</v>
      </c>
      <c r="AG674" s="8">
        <v>1</v>
      </c>
      <c r="AH674" s="8" t="str">
        <f t="shared" si="186"/>
        <v/>
      </c>
    </row>
    <row r="675" spans="1:34" x14ac:dyDescent="0.25">
      <c r="A675" s="29">
        <f t="shared" si="193"/>
        <v>0</v>
      </c>
      <c r="B675" s="29">
        <f t="shared" si="187"/>
        <v>0</v>
      </c>
      <c r="C675" s="29">
        <f t="shared" si="188"/>
        <v>0</v>
      </c>
      <c r="D675" s="29">
        <f t="shared" si="189"/>
        <v>0</v>
      </c>
      <c r="E675" s="29">
        <f t="shared" si="194"/>
        <v>0</v>
      </c>
      <c r="F675" s="29">
        <f t="shared" si="195"/>
        <v>0</v>
      </c>
      <c r="G675" s="29" t="str">
        <f t="shared" si="196"/>
        <v>offensive</v>
      </c>
      <c r="H675" s="16">
        <f t="shared" si="200"/>
        <v>0</v>
      </c>
      <c r="I675" s="16">
        <f t="shared" si="201"/>
        <v>0</v>
      </c>
      <c r="J675" s="16">
        <f t="shared" si="190"/>
        <v>0</v>
      </c>
      <c r="K675" s="16">
        <f t="shared" si="197"/>
        <v>0</v>
      </c>
      <c r="L675" s="67">
        <f t="shared" si="198"/>
        <v>0</v>
      </c>
      <c r="M675" s="4">
        <f t="shared" si="191"/>
        <v>0</v>
      </c>
      <c r="N675" s="4">
        <f t="shared" si="192"/>
        <v>0</v>
      </c>
      <c r="O675" s="4">
        <f t="shared" si="199"/>
        <v>0</v>
      </c>
      <c r="P675" s="4" t="e">
        <f>VLOOKUP(AJ667,'CIR Team Info'!$C$5:$E$44,2,FALSE)</f>
        <v>#N/A</v>
      </c>
      <c r="Q675" s="4" t="e">
        <f>VLOOKUP(AJ667,'CIR Team Info'!$C$5:$E$44,3,FALSE)</f>
        <v>#N/A</v>
      </c>
      <c r="R675" s="10" t="e">
        <f>VLOOKUP(AJ667,'FRC Site Data'!$B$3:$L$42,2,FALSE)</f>
        <v>#N/A</v>
      </c>
      <c r="S675" s="10" t="e">
        <f>VLOOKUP(AJ667,'FRC Site Data'!$B$3:$L$42,3,FALSE)</f>
        <v>#N/A</v>
      </c>
      <c r="T675" s="10" t="e">
        <f>VLOOKUP(AJ667,'FRC Site Data'!$B$3:$L$42,4,FALSE)</f>
        <v>#N/A</v>
      </c>
      <c r="U675" s="10" t="e">
        <f>VLOOKUP(AJ667,'FRC Site Data'!$B$3:$L$42,5,FALSE)</f>
        <v>#N/A</v>
      </c>
      <c r="V675" s="10" t="e">
        <f>VLOOKUP(AJ667,'FRC Site Data'!$B$3:$L$42,6,FALSE)</f>
        <v>#N/A</v>
      </c>
      <c r="W675" s="10" t="e">
        <f>VLOOKUP(AJ667,'FRC Site Data'!$B$3:$L$42,8,FALSE)</f>
        <v>#N/A</v>
      </c>
      <c r="X675" s="10" t="e">
        <f>VLOOKUP(AJ667,'FRC Site Data'!$B$3:$L$42,9,FALSE)</f>
        <v>#N/A</v>
      </c>
      <c r="Y675" s="10" t="e">
        <f>VLOOKUP(AJ667,'FRC Site Data'!$B$3:$L$42,10,FALSE)</f>
        <v>#N/A</v>
      </c>
      <c r="Z675" s="10" t="e">
        <f>VLOOKUP(AJ667,'FRC Site Data'!$B$3:$L$42,11,FALSE)</f>
        <v>#N/A</v>
      </c>
      <c r="AA675" s="10" t="e">
        <f>VLOOKUP(AJ667,'CIR Team Info'!$C$5:$E$44,4,FALSE)</f>
        <v>#N/A</v>
      </c>
      <c r="AB675" s="161" t="b">
        <f>ISNUMBER(VLOOKUP(AJ667,Match!$T$5:$T$10,1,FALSE))</f>
        <v>0</v>
      </c>
      <c r="AC675" s="161" t="b">
        <f>IF(AB675=TRUE,(VLOOKUP($AJ667,Match!$T$5:$U$10,2,FALSE)))</f>
        <v>0</v>
      </c>
      <c r="AD675" s="8">
        <v>3</v>
      </c>
      <c r="AE675" s="8">
        <v>2</v>
      </c>
      <c r="AF675" s="8">
        <v>2</v>
      </c>
      <c r="AG675" s="8">
        <v>1</v>
      </c>
      <c r="AH675" s="8" t="str">
        <f t="shared" ref="AH675:AH738" si="202">IF(AL667="Other","x","")</f>
        <v/>
      </c>
    </row>
    <row r="676" spans="1:34" x14ac:dyDescent="0.25">
      <c r="A676" s="29">
        <f t="shared" si="193"/>
        <v>0</v>
      </c>
      <c r="B676" s="29">
        <f t="shared" si="187"/>
        <v>0</v>
      </c>
      <c r="C676" s="29">
        <f t="shared" si="188"/>
        <v>0</v>
      </c>
      <c r="D676" s="29">
        <f t="shared" si="189"/>
        <v>0</v>
      </c>
      <c r="E676" s="29">
        <f t="shared" si="194"/>
        <v>0</v>
      </c>
      <c r="F676" s="29">
        <f t="shared" si="195"/>
        <v>0</v>
      </c>
      <c r="G676" s="29" t="str">
        <f t="shared" si="196"/>
        <v>offensive</v>
      </c>
      <c r="H676" s="16">
        <f t="shared" si="200"/>
        <v>0</v>
      </c>
      <c r="I676" s="16">
        <f t="shared" si="201"/>
        <v>0</v>
      </c>
      <c r="J676" s="16">
        <f t="shared" si="190"/>
        <v>0</v>
      </c>
      <c r="K676" s="16">
        <f t="shared" si="197"/>
        <v>0</v>
      </c>
      <c r="L676" s="67">
        <f t="shared" si="198"/>
        <v>0</v>
      </c>
      <c r="M676" s="4">
        <f t="shared" si="191"/>
        <v>0</v>
      </c>
      <c r="N676" s="4">
        <f t="shared" si="192"/>
        <v>0</v>
      </c>
      <c r="O676" s="4">
        <f t="shared" si="199"/>
        <v>0</v>
      </c>
      <c r="P676" s="4" t="e">
        <f>VLOOKUP(AJ668,'CIR Team Info'!$C$5:$E$44,2,FALSE)</f>
        <v>#N/A</v>
      </c>
      <c r="Q676" s="4" t="e">
        <f>VLOOKUP(AJ668,'CIR Team Info'!$C$5:$E$44,3,FALSE)</f>
        <v>#N/A</v>
      </c>
      <c r="R676" s="10" t="e">
        <f>VLOOKUP(AJ668,'FRC Site Data'!$B$3:$L$42,2,FALSE)</f>
        <v>#N/A</v>
      </c>
      <c r="S676" s="10" t="e">
        <f>VLOOKUP(AJ668,'FRC Site Data'!$B$3:$L$42,3,FALSE)</f>
        <v>#N/A</v>
      </c>
      <c r="T676" s="10" t="e">
        <f>VLOOKUP(AJ668,'FRC Site Data'!$B$3:$L$42,4,FALSE)</f>
        <v>#N/A</v>
      </c>
      <c r="U676" s="10" t="e">
        <f>VLOOKUP(AJ668,'FRC Site Data'!$B$3:$L$42,5,FALSE)</f>
        <v>#N/A</v>
      </c>
      <c r="V676" s="10" t="e">
        <f>VLOOKUP(AJ668,'FRC Site Data'!$B$3:$L$42,6,FALSE)</f>
        <v>#N/A</v>
      </c>
      <c r="W676" s="10" t="e">
        <f>VLOOKUP(AJ668,'FRC Site Data'!$B$3:$L$42,8,FALSE)</f>
        <v>#N/A</v>
      </c>
      <c r="X676" s="10" t="e">
        <f>VLOOKUP(AJ668,'FRC Site Data'!$B$3:$L$42,9,FALSE)</f>
        <v>#N/A</v>
      </c>
      <c r="Y676" s="10" t="e">
        <f>VLOOKUP(AJ668,'FRC Site Data'!$B$3:$L$42,10,FALSE)</f>
        <v>#N/A</v>
      </c>
      <c r="Z676" s="10" t="e">
        <f>VLOOKUP(AJ668,'FRC Site Data'!$B$3:$L$42,11,FALSE)</f>
        <v>#N/A</v>
      </c>
      <c r="AA676" s="10" t="e">
        <f>VLOOKUP(AJ668,'CIR Team Info'!$C$5:$E$44,4,FALSE)</f>
        <v>#N/A</v>
      </c>
      <c r="AB676" s="161" t="b">
        <f>ISNUMBER(VLOOKUP(AJ668,Match!$T$5:$T$10,1,FALSE))</f>
        <v>0</v>
      </c>
      <c r="AC676" s="161" t="b">
        <f>IF(AB676=TRUE,(VLOOKUP($AJ668,Match!$T$5:$U$10,2,FALSE)))</f>
        <v>0</v>
      </c>
      <c r="AD676" s="8">
        <v>3</v>
      </c>
      <c r="AE676" s="8">
        <v>2</v>
      </c>
      <c r="AF676" s="8">
        <v>2</v>
      </c>
      <c r="AG676" s="8">
        <v>1</v>
      </c>
      <c r="AH676" s="8" t="str">
        <f t="shared" si="202"/>
        <v/>
      </c>
    </row>
    <row r="677" spans="1:34" x14ac:dyDescent="0.25">
      <c r="A677" s="29">
        <f t="shared" si="193"/>
        <v>0</v>
      </c>
      <c r="B677" s="29">
        <f t="shared" si="187"/>
        <v>0</v>
      </c>
      <c r="C677" s="29">
        <f t="shared" si="188"/>
        <v>0</v>
      </c>
      <c r="D677" s="29">
        <f t="shared" si="189"/>
        <v>0</v>
      </c>
      <c r="E677" s="29">
        <f t="shared" si="194"/>
        <v>0</v>
      </c>
      <c r="F677" s="29">
        <f t="shared" si="195"/>
        <v>0</v>
      </c>
      <c r="G677" s="29" t="str">
        <f t="shared" si="196"/>
        <v>offensive</v>
      </c>
      <c r="H677" s="16">
        <f t="shared" si="200"/>
        <v>0</v>
      </c>
      <c r="I677" s="16">
        <f t="shared" si="201"/>
        <v>0</v>
      </c>
      <c r="J677" s="16">
        <f t="shared" si="190"/>
        <v>0</v>
      </c>
      <c r="K677" s="16">
        <f t="shared" si="197"/>
        <v>0</v>
      </c>
      <c r="L677" s="67">
        <f t="shared" si="198"/>
        <v>0</v>
      </c>
      <c r="M677" s="4">
        <f t="shared" si="191"/>
        <v>0</v>
      </c>
      <c r="N677" s="4">
        <f t="shared" si="192"/>
        <v>0</v>
      </c>
      <c r="O677" s="4">
        <f t="shared" si="199"/>
        <v>0</v>
      </c>
      <c r="P677" s="4" t="e">
        <f>VLOOKUP(AJ669,'CIR Team Info'!$C$5:$E$44,2,FALSE)</f>
        <v>#N/A</v>
      </c>
      <c r="Q677" s="4" t="e">
        <f>VLOOKUP(AJ669,'CIR Team Info'!$C$5:$E$44,3,FALSE)</f>
        <v>#N/A</v>
      </c>
      <c r="R677" s="10" t="e">
        <f>VLOOKUP(AJ669,'FRC Site Data'!$B$3:$L$42,2,FALSE)</f>
        <v>#N/A</v>
      </c>
      <c r="S677" s="10" t="e">
        <f>VLOOKUP(AJ669,'FRC Site Data'!$B$3:$L$42,3,FALSE)</f>
        <v>#N/A</v>
      </c>
      <c r="T677" s="10" t="e">
        <f>VLOOKUP(AJ669,'FRC Site Data'!$B$3:$L$42,4,FALSE)</f>
        <v>#N/A</v>
      </c>
      <c r="U677" s="10" t="e">
        <f>VLOOKUP(AJ669,'FRC Site Data'!$B$3:$L$42,5,FALSE)</f>
        <v>#N/A</v>
      </c>
      <c r="V677" s="10" t="e">
        <f>VLOOKUP(AJ669,'FRC Site Data'!$B$3:$L$42,6,FALSE)</f>
        <v>#N/A</v>
      </c>
      <c r="W677" s="10" t="e">
        <f>VLOOKUP(AJ669,'FRC Site Data'!$B$3:$L$42,8,FALSE)</f>
        <v>#N/A</v>
      </c>
      <c r="X677" s="10" t="e">
        <f>VLOOKUP(AJ669,'FRC Site Data'!$B$3:$L$42,9,FALSE)</f>
        <v>#N/A</v>
      </c>
      <c r="Y677" s="10" t="e">
        <f>VLOOKUP(AJ669,'FRC Site Data'!$B$3:$L$42,10,FALSE)</f>
        <v>#N/A</v>
      </c>
      <c r="Z677" s="10" t="e">
        <f>VLOOKUP(AJ669,'FRC Site Data'!$B$3:$L$42,11,FALSE)</f>
        <v>#N/A</v>
      </c>
      <c r="AA677" s="10" t="e">
        <f>VLOOKUP(AJ669,'CIR Team Info'!$C$5:$E$44,4,FALSE)</f>
        <v>#N/A</v>
      </c>
      <c r="AB677" s="161" t="b">
        <f>ISNUMBER(VLOOKUP(AJ669,Match!$T$5:$T$10,1,FALSE))</f>
        <v>0</v>
      </c>
      <c r="AC677" s="161" t="b">
        <f>IF(AB677=TRUE,(VLOOKUP($AJ669,Match!$T$5:$U$10,2,FALSE)))</f>
        <v>0</v>
      </c>
      <c r="AD677" s="8">
        <v>3</v>
      </c>
      <c r="AE677" s="8">
        <v>2</v>
      </c>
      <c r="AF677" s="8">
        <v>2</v>
      </c>
      <c r="AG677" s="8">
        <v>1</v>
      </c>
      <c r="AH677" s="8" t="str">
        <f t="shared" si="202"/>
        <v/>
      </c>
    </row>
    <row r="678" spans="1:34" x14ac:dyDescent="0.25">
      <c r="A678" s="29">
        <f t="shared" si="193"/>
        <v>0</v>
      </c>
      <c r="B678" s="29">
        <f t="shared" si="187"/>
        <v>0</v>
      </c>
      <c r="C678" s="29">
        <f t="shared" si="188"/>
        <v>0</v>
      </c>
      <c r="D678" s="29">
        <f t="shared" si="189"/>
        <v>0</v>
      </c>
      <c r="E678" s="29">
        <f t="shared" si="194"/>
        <v>0</v>
      </c>
      <c r="F678" s="29">
        <f t="shared" si="195"/>
        <v>0</v>
      </c>
      <c r="G678" s="29" t="str">
        <f t="shared" si="196"/>
        <v>offensive</v>
      </c>
      <c r="H678" s="16">
        <f t="shared" si="200"/>
        <v>0</v>
      </c>
      <c r="I678" s="16">
        <f t="shared" si="201"/>
        <v>0</v>
      </c>
      <c r="J678" s="16">
        <f t="shared" si="190"/>
        <v>0</v>
      </c>
      <c r="K678" s="16">
        <f t="shared" si="197"/>
        <v>0</v>
      </c>
      <c r="L678" s="67">
        <f t="shared" si="198"/>
        <v>0</v>
      </c>
      <c r="M678" s="4">
        <f t="shared" si="191"/>
        <v>0</v>
      </c>
      <c r="N678" s="4">
        <f t="shared" si="192"/>
        <v>0</v>
      </c>
      <c r="O678" s="4">
        <f t="shared" si="199"/>
        <v>0</v>
      </c>
      <c r="P678" s="4" t="e">
        <f>VLOOKUP(AJ670,'CIR Team Info'!$C$5:$E$44,2,FALSE)</f>
        <v>#N/A</v>
      </c>
      <c r="Q678" s="4" t="e">
        <f>VLOOKUP(AJ670,'CIR Team Info'!$C$5:$E$44,3,FALSE)</f>
        <v>#N/A</v>
      </c>
      <c r="R678" s="10" t="e">
        <f>VLOOKUP(AJ670,'FRC Site Data'!$B$3:$L$42,2,FALSE)</f>
        <v>#N/A</v>
      </c>
      <c r="S678" s="10" t="e">
        <f>VLOOKUP(AJ670,'FRC Site Data'!$B$3:$L$42,3,FALSE)</f>
        <v>#N/A</v>
      </c>
      <c r="T678" s="10" t="e">
        <f>VLOOKUP(AJ670,'FRC Site Data'!$B$3:$L$42,4,FALSE)</f>
        <v>#N/A</v>
      </c>
      <c r="U678" s="10" t="e">
        <f>VLOOKUP(AJ670,'FRC Site Data'!$B$3:$L$42,5,FALSE)</f>
        <v>#N/A</v>
      </c>
      <c r="V678" s="10" t="e">
        <f>VLOOKUP(AJ670,'FRC Site Data'!$B$3:$L$42,6,FALSE)</f>
        <v>#N/A</v>
      </c>
      <c r="W678" s="10" t="e">
        <f>VLOOKUP(AJ670,'FRC Site Data'!$B$3:$L$42,8,FALSE)</f>
        <v>#N/A</v>
      </c>
      <c r="X678" s="10" t="e">
        <f>VLOOKUP(AJ670,'FRC Site Data'!$B$3:$L$42,9,FALSE)</f>
        <v>#N/A</v>
      </c>
      <c r="Y678" s="10" t="e">
        <f>VLOOKUP(AJ670,'FRC Site Data'!$B$3:$L$42,10,FALSE)</f>
        <v>#N/A</v>
      </c>
      <c r="Z678" s="10" t="e">
        <f>VLOOKUP(AJ670,'FRC Site Data'!$B$3:$L$42,11,FALSE)</f>
        <v>#N/A</v>
      </c>
      <c r="AA678" s="10" t="e">
        <f>VLOOKUP(AJ670,'CIR Team Info'!$C$5:$E$44,4,FALSE)</f>
        <v>#N/A</v>
      </c>
      <c r="AB678" s="161" t="b">
        <f>ISNUMBER(VLOOKUP(AJ670,Match!$T$5:$T$10,1,FALSE))</f>
        <v>0</v>
      </c>
      <c r="AC678" s="161" t="b">
        <f>IF(AB678=TRUE,(VLOOKUP($AJ670,Match!$T$5:$U$10,2,FALSE)))</f>
        <v>0</v>
      </c>
      <c r="AD678" s="8">
        <v>3</v>
      </c>
      <c r="AE678" s="8">
        <v>2</v>
      </c>
      <c r="AF678" s="8">
        <v>2</v>
      </c>
      <c r="AG678" s="8">
        <v>1</v>
      </c>
      <c r="AH678" s="8" t="str">
        <f t="shared" si="202"/>
        <v/>
      </c>
    </row>
    <row r="679" spans="1:34" x14ac:dyDescent="0.25">
      <c r="A679" s="29">
        <f t="shared" si="193"/>
        <v>0</v>
      </c>
      <c r="B679" s="29">
        <f t="shared" si="187"/>
        <v>0</v>
      </c>
      <c r="C679" s="29">
        <f t="shared" si="188"/>
        <v>0</v>
      </c>
      <c r="D679" s="29">
        <f t="shared" si="189"/>
        <v>0</v>
      </c>
      <c r="E679" s="29">
        <f t="shared" si="194"/>
        <v>0</v>
      </c>
      <c r="F679" s="29">
        <f t="shared" si="195"/>
        <v>0</v>
      </c>
      <c r="G679" s="29" t="str">
        <f t="shared" si="196"/>
        <v>offensive</v>
      </c>
      <c r="H679" s="16">
        <f t="shared" si="200"/>
        <v>0</v>
      </c>
      <c r="I679" s="16">
        <f t="shared" si="201"/>
        <v>0</v>
      </c>
      <c r="J679" s="16">
        <f t="shared" si="190"/>
        <v>0</v>
      </c>
      <c r="K679" s="16">
        <f t="shared" si="197"/>
        <v>0</v>
      </c>
      <c r="L679" s="67">
        <f t="shared" si="198"/>
        <v>0</v>
      </c>
      <c r="M679" s="4">
        <f t="shared" si="191"/>
        <v>0</v>
      </c>
      <c r="N679" s="4">
        <f t="shared" si="192"/>
        <v>0</v>
      </c>
      <c r="O679" s="4">
        <f t="shared" si="199"/>
        <v>0</v>
      </c>
      <c r="P679" s="4" t="e">
        <f>VLOOKUP(AJ671,'CIR Team Info'!$C$5:$E$44,2,FALSE)</f>
        <v>#N/A</v>
      </c>
      <c r="Q679" s="4" t="e">
        <f>VLOOKUP(AJ671,'CIR Team Info'!$C$5:$E$44,3,FALSE)</f>
        <v>#N/A</v>
      </c>
      <c r="R679" s="10" t="e">
        <f>VLOOKUP(AJ671,'FRC Site Data'!$B$3:$L$42,2,FALSE)</f>
        <v>#N/A</v>
      </c>
      <c r="S679" s="10" t="e">
        <f>VLOOKUP(AJ671,'FRC Site Data'!$B$3:$L$42,3,FALSE)</f>
        <v>#N/A</v>
      </c>
      <c r="T679" s="10" t="e">
        <f>VLOOKUP(AJ671,'FRC Site Data'!$B$3:$L$42,4,FALSE)</f>
        <v>#N/A</v>
      </c>
      <c r="U679" s="10" t="e">
        <f>VLOOKUP(AJ671,'FRC Site Data'!$B$3:$L$42,5,FALSE)</f>
        <v>#N/A</v>
      </c>
      <c r="V679" s="10" t="e">
        <f>VLOOKUP(AJ671,'FRC Site Data'!$B$3:$L$42,6,FALSE)</f>
        <v>#N/A</v>
      </c>
      <c r="W679" s="10" t="e">
        <f>VLOOKUP(AJ671,'FRC Site Data'!$B$3:$L$42,8,FALSE)</f>
        <v>#N/A</v>
      </c>
      <c r="X679" s="10" t="e">
        <f>VLOOKUP(AJ671,'FRC Site Data'!$B$3:$L$42,9,FALSE)</f>
        <v>#N/A</v>
      </c>
      <c r="Y679" s="10" t="e">
        <f>VLOOKUP(AJ671,'FRC Site Data'!$B$3:$L$42,10,FALSE)</f>
        <v>#N/A</v>
      </c>
      <c r="Z679" s="10" t="e">
        <f>VLOOKUP(AJ671,'FRC Site Data'!$B$3:$L$42,11,FALSE)</f>
        <v>#N/A</v>
      </c>
      <c r="AA679" s="10" t="e">
        <f>VLOOKUP(AJ671,'CIR Team Info'!$C$5:$E$44,4,FALSE)</f>
        <v>#N/A</v>
      </c>
      <c r="AB679" s="161" t="b">
        <f>ISNUMBER(VLOOKUP(AJ671,Match!$T$5:$T$10,1,FALSE))</f>
        <v>0</v>
      </c>
      <c r="AC679" s="161" t="b">
        <f>IF(AB679=TRUE,(VLOOKUP($AJ671,Match!$T$5:$U$10,2,FALSE)))</f>
        <v>0</v>
      </c>
      <c r="AD679" s="8">
        <v>3</v>
      </c>
      <c r="AE679" s="8">
        <v>2</v>
      </c>
      <c r="AF679" s="8">
        <v>2</v>
      </c>
      <c r="AG679" s="8">
        <v>1</v>
      </c>
      <c r="AH679" s="8" t="str">
        <f t="shared" si="202"/>
        <v/>
      </c>
    </row>
    <row r="680" spans="1:34" x14ac:dyDescent="0.25">
      <c r="A680" s="29">
        <f t="shared" si="193"/>
        <v>0</v>
      </c>
      <c r="B680" s="29">
        <f t="shared" si="187"/>
        <v>0</v>
      </c>
      <c r="C680" s="29">
        <f t="shared" si="188"/>
        <v>0</v>
      </c>
      <c r="D680" s="29">
        <f t="shared" si="189"/>
        <v>0</v>
      </c>
      <c r="E680" s="29">
        <f t="shared" si="194"/>
        <v>0</v>
      </c>
      <c r="F680" s="29">
        <f t="shared" si="195"/>
        <v>0</v>
      </c>
      <c r="G680" s="29" t="str">
        <f t="shared" si="196"/>
        <v>offensive</v>
      </c>
      <c r="H680" s="16">
        <f t="shared" si="200"/>
        <v>0</v>
      </c>
      <c r="I680" s="16">
        <f t="shared" si="201"/>
        <v>0</v>
      </c>
      <c r="J680" s="16">
        <f t="shared" si="190"/>
        <v>0</v>
      </c>
      <c r="K680" s="16">
        <f t="shared" si="197"/>
        <v>0</v>
      </c>
      <c r="L680" s="67">
        <f t="shared" si="198"/>
        <v>0</v>
      </c>
      <c r="M680" s="4">
        <f t="shared" si="191"/>
        <v>0</v>
      </c>
      <c r="N680" s="4">
        <f t="shared" si="192"/>
        <v>0</v>
      </c>
      <c r="O680" s="4">
        <f t="shared" si="199"/>
        <v>0</v>
      </c>
      <c r="P680" s="4" t="e">
        <f>VLOOKUP(AJ672,'CIR Team Info'!$C$5:$E$44,2,FALSE)</f>
        <v>#N/A</v>
      </c>
      <c r="Q680" s="4" t="e">
        <f>VLOOKUP(AJ672,'CIR Team Info'!$C$5:$E$44,3,FALSE)</f>
        <v>#N/A</v>
      </c>
      <c r="R680" s="10" t="e">
        <f>VLOOKUP(AJ672,'FRC Site Data'!$B$3:$L$42,2,FALSE)</f>
        <v>#N/A</v>
      </c>
      <c r="S680" s="10" t="e">
        <f>VLOOKUP(AJ672,'FRC Site Data'!$B$3:$L$42,3,FALSE)</f>
        <v>#N/A</v>
      </c>
      <c r="T680" s="10" t="e">
        <f>VLOOKUP(AJ672,'FRC Site Data'!$B$3:$L$42,4,FALSE)</f>
        <v>#N/A</v>
      </c>
      <c r="U680" s="10" t="e">
        <f>VLOOKUP(AJ672,'FRC Site Data'!$B$3:$L$42,5,FALSE)</f>
        <v>#N/A</v>
      </c>
      <c r="V680" s="10" t="e">
        <f>VLOOKUP(AJ672,'FRC Site Data'!$B$3:$L$42,6,FALSE)</f>
        <v>#N/A</v>
      </c>
      <c r="W680" s="10" t="e">
        <f>VLOOKUP(AJ672,'FRC Site Data'!$B$3:$L$42,8,FALSE)</f>
        <v>#N/A</v>
      </c>
      <c r="X680" s="10" t="e">
        <f>VLOOKUP(AJ672,'FRC Site Data'!$B$3:$L$42,9,FALSE)</f>
        <v>#N/A</v>
      </c>
      <c r="Y680" s="10" t="e">
        <f>VLOOKUP(AJ672,'FRC Site Data'!$B$3:$L$42,10,FALSE)</f>
        <v>#N/A</v>
      </c>
      <c r="Z680" s="10" t="e">
        <f>VLOOKUP(AJ672,'FRC Site Data'!$B$3:$L$42,11,FALSE)</f>
        <v>#N/A</v>
      </c>
      <c r="AA680" s="10" t="e">
        <f>VLOOKUP(AJ672,'CIR Team Info'!$C$5:$E$44,4,FALSE)</f>
        <v>#N/A</v>
      </c>
      <c r="AB680" s="161" t="b">
        <f>ISNUMBER(VLOOKUP(AJ672,Match!$T$5:$T$10,1,FALSE))</f>
        <v>0</v>
      </c>
      <c r="AC680" s="161" t="b">
        <f>IF(AB680=TRUE,(VLOOKUP($AJ672,Match!$T$5:$U$10,2,FALSE)))</f>
        <v>0</v>
      </c>
      <c r="AD680" s="8">
        <v>3</v>
      </c>
      <c r="AE680" s="8">
        <v>2</v>
      </c>
      <c r="AF680" s="8">
        <v>2</v>
      </c>
      <c r="AG680" s="8">
        <v>1</v>
      </c>
      <c r="AH680" s="8" t="str">
        <f t="shared" si="202"/>
        <v/>
      </c>
    </row>
    <row r="681" spans="1:34" x14ac:dyDescent="0.25">
      <c r="A681" s="29">
        <f t="shared" si="193"/>
        <v>0</v>
      </c>
      <c r="B681" s="29">
        <f t="shared" si="187"/>
        <v>0</v>
      </c>
      <c r="C681" s="29">
        <f t="shared" si="188"/>
        <v>0</v>
      </c>
      <c r="D681" s="29">
        <f t="shared" si="189"/>
        <v>0</v>
      </c>
      <c r="E681" s="29">
        <f t="shared" si="194"/>
        <v>0</v>
      </c>
      <c r="F681" s="29">
        <f t="shared" si="195"/>
        <v>0</v>
      </c>
      <c r="G681" s="29" t="str">
        <f t="shared" si="196"/>
        <v>offensive</v>
      </c>
      <c r="H681" s="16">
        <f t="shared" si="200"/>
        <v>0</v>
      </c>
      <c r="I681" s="16">
        <f t="shared" si="201"/>
        <v>0</v>
      </c>
      <c r="J681" s="16">
        <f t="shared" si="190"/>
        <v>0</v>
      </c>
      <c r="K681" s="16">
        <f t="shared" si="197"/>
        <v>0</v>
      </c>
      <c r="L681" s="67">
        <f t="shared" si="198"/>
        <v>0</v>
      </c>
      <c r="M681" s="4">
        <f t="shared" si="191"/>
        <v>0</v>
      </c>
      <c r="N681" s="4">
        <f t="shared" si="192"/>
        <v>0</v>
      </c>
      <c r="O681" s="4">
        <f t="shared" si="199"/>
        <v>0</v>
      </c>
      <c r="P681" s="4" t="e">
        <f>VLOOKUP(AJ673,'CIR Team Info'!$C$5:$E$44,2,FALSE)</f>
        <v>#N/A</v>
      </c>
      <c r="Q681" s="4" t="e">
        <f>VLOOKUP(AJ673,'CIR Team Info'!$C$5:$E$44,3,FALSE)</f>
        <v>#N/A</v>
      </c>
      <c r="R681" s="10" t="e">
        <f>VLOOKUP(AJ673,'FRC Site Data'!$B$3:$L$42,2,FALSE)</f>
        <v>#N/A</v>
      </c>
      <c r="S681" s="10" t="e">
        <f>VLOOKUP(AJ673,'FRC Site Data'!$B$3:$L$42,3,FALSE)</f>
        <v>#N/A</v>
      </c>
      <c r="T681" s="10" t="e">
        <f>VLOOKUP(AJ673,'FRC Site Data'!$B$3:$L$42,4,FALSE)</f>
        <v>#N/A</v>
      </c>
      <c r="U681" s="10" t="e">
        <f>VLOOKUP(AJ673,'FRC Site Data'!$B$3:$L$42,5,FALSE)</f>
        <v>#N/A</v>
      </c>
      <c r="V681" s="10" t="e">
        <f>VLOOKUP(AJ673,'FRC Site Data'!$B$3:$L$42,6,FALSE)</f>
        <v>#N/A</v>
      </c>
      <c r="W681" s="10" t="e">
        <f>VLOOKUP(AJ673,'FRC Site Data'!$B$3:$L$42,8,FALSE)</f>
        <v>#N/A</v>
      </c>
      <c r="X681" s="10" t="e">
        <f>VLOOKUP(AJ673,'FRC Site Data'!$B$3:$L$42,9,FALSE)</f>
        <v>#N/A</v>
      </c>
      <c r="Y681" s="10" t="e">
        <f>VLOOKUP(AJ673,'FRC Site Data'!$B$3:$L$42,10,FALSE)</f>
        <v>#N/A</v>
      </c>
      <c r="Z681" s="10" t="e">
        <f>VLOOKUP(AJ673,'FRC Site Data'!$B$3:$L$42,11,FALSE)</f>
        <v>#N/A</v>
      </c>
      <c r="AA681" s="10" t="e">
        <f>VLOOKUP(AJ673,'CIR Team Info'!$C$5:$E$44,4,FALSE)</f>
        <v>#N/A</v>
      </c>
      <c r="AB681" s="161" t="b">
        <f>ISNUMBER(VLOOKUP(AJ673,Match!$T$5:$T$10,1,FALSE))</f>
        <v>0</v>
      </c>
      <c r="AC681" s="161" t="b">
        <f>IF(AB681=TRUE,(VLOOKUP($AJ673,Match!$T$5:$U$10,2,FALSE)))</f>
        <v>0</v>
      </c>
      <c r="AD681" s="8">
        <v>3</v>
      </c>
      <c r="AE681" s="8">
        <v>2</v>
      </c>
      <c r="AF681" s="8">
        <v>2</v>
      </c>
      <c r="AG681" s="8">
        <v>1</v>
      </c>
      <c r="AH681" s="8" t="str">
        <f t="shared" si="202"/>
        <v/>
      </c>
    </row>
    <row r="682" spans="1:34" x14ac:dyDescent="0.25">
      <c r="A682" s="29">
        <f t="shared" si="193"/>
        <v>0</v>
      </c>
      <c r="B682" s="29">
        <f t="shared" si="187"/>
        <v>0</v>
      </c>
      <c r="C682" s="29">
        <f t="shared" si="188"/>
        <v>0</v>
      </c>
      <c r="D682" s="29">
        <f t="shared" si="189"/>
        <v>0</v>
      </c>
      <c r="E682" s="29">
        <f t="shared" si="194"/>
        <v>0</v>
      </c>
      <c r="F682" s="29">
        <f t="shared" si="195"/>
        <v>0</v>
      </c>
      <c r="G682" s="29" t="str">
        <f t="shared" si="196"/>
        <v>offensive</v>
      </c>
      <c r="H682" s="16">
        <f t="shared" si="200"/>
        <v>0</v>
      </c>
      <c r="I682" s="16">
        <f t="shared" si="201"/>
        <v>0</v>
      </c>
      <c r="J682" s="16">
        <f t="shared" si="190"/>
        <v>0</v>
      </c>
      <c r="K682" s="16">
        <f t="shared" si="197"/>
        <v>0</v>
      </c>
      <c r="L682" s="67">
        <f t="shared" si="198"/>
        <v>0</v>
      </c>
      <c r="M682" s="4">
        <f t="shared" si="191"/>
        <v>0</v>
      </c>
      <c r="N682" s="4">
        <f t="shared" si="192"/>
        <v>0</v>
      </c>
      <c r="O682" s="4">
        <f t="shared" si="199"/>
        <v>0</v>
      </c>
      <c r="P682" s="4" t="e">
        <f>VLOOKUP(AJ674,'CIR Team Info'!$C$5:$E$44,2,FALSE)</f>
        <v>#N/A</v>
      </c>
      <c r="Q682" s="4" t="e">
        <f>VLOOKUP(AJ674,'CIR Team Info'!$C$5:$E$44,3,FALSE)</f>
        <v>#N/A</v>
      </c>
      <c r="R682" s="10" t="e">
        <f>VLOOKUP(AJ674,'FRC Site Data'!$B$3:$L$42,2,FALSE)</f>
        <v>#N/A</v>
      </c>
      <c r="S682" s="10" t="e">
        <f>VLOOKUP(AJ674,'FRC Site Data'!$B$3:$L$42,3,FALSE)</f>
        <v>#N/A</v>
      </c>
      <c r="T682" s="10" t="e">
        <f>VLOOKUP(AJ674,'FRC Site Data'!$B$3:$L$42,4,FALSE)</f>
        <v>#N/A</v>
      </c>
      <c r="U682" s="10" t="e">
        <f>VLOOKUP(AJ674,'FRC Site Data'!$B$3:$L$42,5,FALSE)</f>
        <v>#N/A</v>
      </c>
      <c r="V682" s="10" t="e">
        <f>VLOOKUP(AJ674,'FRC Site Data'!$B$3:$L$42,6,FALSE)</f>
        <v>#N/A</v>
      </c>
      <c r="W682" s="10" t="e">
        <f>VLOOKUP(AJ674,'FRC Site Data'!$B$3:$L$42,8,FALSE)</f>
        <v>#N/A</v>
      </c>
      <c r="X682" s="10" t="e">
        <f>VLOOKUP(AJ674,'FRC Site Data'!$B$3:$L$42,9,FALSE)</f>
        <v>#N/A</v>
      </c>
      <c r="Y682" s="10" t="e">
        <f>VLOOKUP(AJ674,'FRC Site Data'!$B$3:$L$42,10,FALSE)</f>
        <v>#N/A</v>
      </c>
      <c r="Z682" s="10" t="e">
        <f>VLOOKUP(AJ674,'FRC Site Data'!$B$3:$L$42,11,FALSE)</f>
        <v>#N/A</v>
      </c>
      <c r="AA682" s="10" t="e">
        <f>VLOOKUP(AJ674,'CIR Team Info'!$C$5:$E$44,4,FALSE)</f>
        <v>#N/A</v>
      </c>
      <c r="AB682" s="161" t="b">
        <f>ISNUMBER(VLOOKUP(AJ674,Match!$T$5:$T$10,1,FALSE))</f>
        <v>0</v>
      </c>
      <c r="AC682" s="161" t="b">
        <f>IF(AB682=TRUE,(VLOOKUP($AJ674,Match!$T$5:$U$10,2,FALSE)))</f>
        <v>0</v>
      </c>
      <c r="AD682" s="8">
        <v>3</v>
      </c>
      <c r="AE682" s="8">
        <v>2</v>
      </c>
      <c r="AF682" s="8">
        <v>2</v>
      </c>
      <c r="AG682" s="8">
        <v>1</v>
      </c>
      <c r="AH682" s="8" t="str">
        <f t="shared" si="202"/>
        <v/>
      </c>
    </row>
    <row r="683" spans="1:34" x14ac:dyDescent="0.25">
      <c r="A683" s="29">
        <f t="shared" si="193"/>
        <v>0</v>
      </c>
      <c r="B683" s="29">
        <f t="shared" si="187"/>
        <v>0</v>
      </c>
      <c r="C683" s="29">
        <f t="shared" si="188"/>
        <v>0</v>
      </c>
      <c r="D683" s="29">
        <f t="shared" si="189"/>
        <v>0</v>
      </c>
      <c r="E683" s="29">
        <f t="shared" si="194"/>
        <v>0</v>
      </c>
      <c r="F683" s="29">
        <f t="shared" si="195"/>
        <v>0</v>
      </c>
      <c r="G683" s="29" t="str">
        <f t="shared" si="196"/>
        <v>offensive</v>
      </c>
      <c r="H683" s="16">
        <f t="shared" si="200"/>
        <v>0</v>
      </c>
      <c r="I683" s="16">
        <f t="shared" si="201"/>
        <v>0</v>
      </c>
      <c r="J683" s="16">
        <f t="shared" si="190"/>
        <v>0</v>
      </c>
      <c r="K683" s="16">
        <f t="shared" si="197"/>
        <v>0</v>
      </c>
      <c r="L683" s="67">
        <f t="shared" si="198"/>
        <v>0</v>
      </c>
      <c r="M683" s="4">
        <f t="shared" si="191"/>
        <v>0</v>
      </c>
      <c r="N683" s="4">
        <f t="shared" si="192"/>
        <v>0</v>
      </c>
      <c r="O683" s="4">
        <f t="shared" si="199"/>
        <v>0</v>
      </c>
      <c r="P683" s="4" t="e">
        <f>VLOOKUP(AJ675,'CIR Team Info'!$C$5:$E$44,2,FALSE)</f>
        <v>#N/A</v>
      </c>
      <c r="Q683" s="4" t="e">
        <f>VLOOKUP(AJ675,'CIR Team Info'!$C$5:$E$44,3,FALSE)</f>
        <v>#N/A</v>
      </c>
      <c r="R683" s="10" t="e">
        <f>VLOOKUP(AJ675,'FRC Site Data'!$B$3:$L$42,2,FALSE)</f>
        <v>#N/A</v>
      </c>
      <c r="S683" s="10" t="e">
        <f>VLOOKUP(AJ675,'FRC Site Data'!$B$3:$L$42,3,FALSE)</f>
        <v>#N/A</v>
      </c>
      <c r="T683" s="10" t="e">
        <f>VLOOKUP(AJ675,'FRC Site Data'!$B$3:$L$42,4,FALSE)</f>
        <v>#N/A</v>
      </c>
      <c r="U683" s="10" t="e">
        <f>VLOOKUP(AJ675,'FRC Site Data'!$B$3:$L$42,5,FALSE)</f>
        <v>#N/A</v>
      </c>
      <c r="V683" s="10" t="e">
        <f>VLOOKUP(AJ675,'FRC Site Data'!$B$3:$L$42,6,FALSE)</f>
        <v>#N/A</v>
      </c>
      <c r="W683" s="10" t="e">
        <f>VLOOKUP(AJ675,'FRC Site Data'!$B$3:$L$42,8,FALSE)</f>
        <v>#N/A</v>
      </c>
      <c r="X683" s="10" t="e">
        <f>VLOOKUP(AJ675,'FRC Site Data'!$B$3:$L$42,9,FALSE)</f>
        <v>#N/A</v>
      </c>
      <c r="Y683" s="10" t="e">
        <f>VLOOKUP(AJ675,'FRC Site Data'!$B$3:$L$42,10,FALSE)</f>
        <v>#N/A</v>
      </c>
      <c r="Z683" s="10" t="e">
        <f>VLOOKUP(AJ675,'FRC Site Data'!$B$3:$L$42,11,FALSE)</f>
        <v>#N/A</v>
      </c>
      <c r="AA683" s="10" t="e">
        <f>VLOOKUP(AJ675,'CIR Team Info'!$C$5:$E$44,4,FALSE)</f>
        <v>#N/A</v>
      </c>
      <c r="AB683" s="161" t="b">
        <f>ISNUMBER(VLOOKUP(AJ675,Match!$T$5:$T$10,1,FALSE))</f>
        <v>0</v>
      </c>
      <c r="AC683" s="161" t="b">
        <f>IF(AB683=TRUE,(VLOOKUP($AJ675,Match!$T$5:$U$10,2,FALSE)))</f>
        <v>0</v>
      </c>
      <c r="AD683" s="8">
        <v>3</v>
      </c>
      <c r="AE683" s="8">
        <v>2</v>
      </c>
      <c r="AF683" s="8">
        <v>2</v>
      </c>
      <c r="AG683" s="8">
        <v>1</v>
      </c>
      <c r="AH683" s="8" t="str">
        <f t="shared" si="202"/>
        <v/>
      </c>
    </row>
    <row r="684" spans="1:34" x14ac:dyDescent="0.25">
      <c r="A684" s="29">
        <f t="shared" si="193"/>
        <v>0</v>
      </c>
      <c r="B684" s="29">
        <f t="shared" si="187"/>
        <v>0</v>
      </c>
      <c r="C684" s="29">
        <f t="shared" si="188"/>
        <v>0</v>
      </c>
      <c r="D684" s="29">
        <f t="shared" si="189"/>
        <v>0</v>
      </c>
      <c r="E684" s="29">
        <f t="shared" si="194"/>
        <v>0</v>
      </c>
      <c r="F684" s="29">
        <f t="shared" si="195"/>
        <v>0</v>
      </c>
      <c r="G684" s="29" t="str">
        <f t="shared" si="196"/>
        <v>offensive</v>
      </c>
      <c r="H684" s="16">
        <f t="shared" si="200"/>
        <v>0</v>
      </c>
      <c r="I684" s="16">
        <f t="shared" si="201"/>
        <v>0</v>
      </c>
      <c r="J684" s="16">
        <f t="shared" si="190"/>
        <v>0</v>
      </c>
      <c r="K684" s="16">
        <f t="shared" si="197"/>
        <v>0</v>
      </c>
      <c r="L684" s="67">
        <f t="shared" si="198"/>
        <v>0</v>
      </c>
      <c r="M684" s="4">
        <f t="shared" si="191"/>
        <v>0</v>
      </c>
      <c r="N684" s="4">
        <f t="shared" si="192"/>
        <v>0</v>
      </c>
      <c r="O684" s="4">
        <f t="shared" si="199"/>
        <v>0</v>
      </c>
      <c r="P684" s="4" t="e">
        <f>VLOOKUP(AJ676,'CIR Team Info'!$C$5:$E$44,2,FALSE)</f>
        <v>#N/A</v>
      </c>
      <c r="Q684" s="4" t="e">
        <f>VLOOKUP(AJ676,'CIR Team Info'!$C$5:$E$44,3,FALSE)</f>
        <v>#N/A</v>
      </c>
      <c r="R684" s="10" t="e">
        <f>VLOOKUP(AJ676,'FRC Site Data'!$B$3:$L$42,2,FALSE)</f>
        <v>#N/A</v>
      </c>
      <c r="S684" s="10" t="e">
        <f>VLOOKUP(AJ676,'FRC Site Data'!$B$3:$L$42,3,FALSE)</f>
        <v>#N/A</v>
      </c>
      <c r="T684" s="10" t="e">
        <f>VLOOKUP(AJ676,'FRC Site Data'!$B$3:$L$42,4,FALSE)</f>
        <v>#N/A</v>
      </c>
      <c r="U684" s="10" t="e">
        <f>VLOOKUP(AJ676,'FRC Site Data'!$B$3:$L$42,5,FALSE)</f>
        <v>#N/A</v>
      </c>
      <c r="V684" s="10" t="e">
        <f>VLOOKUP(AJ676,'FRC Site Data'!$B$3:$L$42,6,FALSE)</f>
        <v>#N/A</v>
      </c>
      <c r="W684" s="10" t="e">
        <f>VLOOKUP(AJ676,'FRC Site Data'!$B$3:$L$42,8,FALSE)</f>
        <v>#N/A</v>
      </c>
      <c r="X684" s="10" t="e">
        <f>VLOOKUP(AJ676,'FRC Site Data'!$B$3:$L$42,9,FALSE)</f>
        <v>#N/A</v>
      </c>
      <c r="Y684" s="10" t="e">
        <f>VLOOKUP(AJ676,'FRC Site Data'!$B$3:$L$42,10,FALSE)</f>
        <v>#N/A</v>
      </c>
      <c r="Z684" s="10" t="e">
        <f>VLOOKUP(AJ676,'FRC Site Data'!$B$3:$L$42,11,FALSE)</f>
        <v>#N/A</v>
      </c>
      <c r="AA684" s="10" t="e">
        <f>VLOOKUP(AJ676,'CIR Team Info'!$C$5:$E$44,4,FALSE)</f>
        <v>#N/A</v>
      </c>
      <c r="AB684" s="161" t="b">
        <f>ISNUMBER(VLOOKUP(AJ676,Match!$T$5:$T$10,1,FALSE))</f>
        <v>0</v>
      </c>
      <c r="AC684" s="161" t="b">
        <f>IF(AB684=TRUE,(VLOOKUP($AJ676,Match!$T$5:$U$10,2,FALSE)))</f>
        <v>0</v>
      </c>
      <c r="AD684" s="8">
        <v>3</v>
      </c>
      <c r="AE684" s="8">
        <v>2</v>
      </c>
      <c r="AF684" s="8">
        <v>2</v>
      </c>
      <c r="AG684" s="8">
        <v>1</v>
      </c>
      <c r="AH684" s="8" t="str">
        <f t="shared" si="202"/>
        <v/>
      </c>
    </row>
    <row r="685" spans="1:34" x14ac:dyDescent="0.25">
      <c r="A685" s="29">
        <f t="shared" si="193"/>
        <v>0</v>
      </c>
      <c r="B685" s="29">
        <f t="shared" si="187"/>
        <v>0</v>
      </c>
      <c r="C685" s="29">
        <f t="shared" si="188"/>
        <v>0</v>
      </c>
      <c r="D685" s="29">
        <f t="shared" si="189"/>
        <v>0</v>
      </c>
      <c r="E685" s="29">
        <f t="shared" si="194"/>
        <v>0</v>
      </c>
      <c r="F685" s="29">
        <f t="shared" si="195"/>
        <v>0</v>
      </c>
      <c r="G685" s="29" t="str">
        <f t="shared" si="196"/>
        <v>offensive</v>
      </c>
      <c r="H685" s="16">
        <f t="shared" si="200"/>
        <v>0</v>
      </c>
      <c r="I685" s="16">
        <f t="shared" si="201"/>
        <v>0</v>
      </c>
      <c r="J685" s="16">
        <f t="shared" si="190"/>
        <v>0</v>
      </c>
      <c r="K685" s="16">
        <f t="shared" si="197"/>
        <v>0</v>
      </c>
      <c r="L685" s="67">
        <f t="shared" si="198"/>
        <v>0</v>
      </c>
      <c r="M685" s="4">
        <f t="shared" si="191"/>
        <v>0</v>
      </c>
      <c r="N685" s="4">
        <f t="shared" si="192"/>
        <v>0</v>
      </c>
      <c r="O685" s="4">
        <f t="shared" si="199"/>
        <v>0</v>
      </c>
      <c r="P685" s="4" t="e">
        <f>VLOOKUP(AJ677,'CIR Team Info'!$C$5:$E$44,2,FALSE)</f>
        <v>#N/A</v>
      </c>
      <c r="Q685" s="4" t="e">
        <f>VLOOKUP(AJ677,'CIR Team Info'!$C$5:$E$44,3,FALSE)</f>
        <v>#N/A</v>
      </c>
      <c r="R685" s="10" t="e">
        <f>VLOOKUP(AJ677,'FRC Site Data'!$B$3:$L$42,2,FALSE)</f>
        <v>#N/A</v>
      </c>
      <c r="S685" s="10" t="e">
        <f>VLOOKUP(AJ677,'FRC Site Data'!$B$3:$L$42,3,FALSE)</f>
        <v>#N/A</v>
      </c>
      <c r="T685" s="10" t="e">
        <f>VLOOKUP(AJ677,'FRC Site Data'!$B$3:$L$42,4,FALSE)</f>
        <v>#N/A</v>
      </c>
      <c r="U685" s="10" t="e">
        <f>VLOOKUP(AJ677,'FRC Site Data'!$B$3:$L$42,5,FALSE)</f>
        <v>#N/A</v>
      </c>
      <c r="V685" s="10" t="e">
        <f>VLOOKUP(AJ677,'FRC Site Data'!$B$3:$L$42,6,FALSE)</f>
        <v>#N/A</v>
      </c>
      <c r="W685" s="10" t="e">
        <f>VLOOKUP(AJ677,'FRC Site Data'!$B$3:$L$42,8,FALSE)</f>
        <v>#N/A</v>
      </c>
      <c r="X685" s="10" t="e">
        <f>VLOOKUP(AJ677,'FRC Site Data'!$B$3:$L$42,9,FALSE)</f>
        <v>#N/A</v>
      </c>
      <c r="Y685" s="10" t="e">
        <f>VLOOKUP(AJ677,'FRC Site Data'!$B$3:$L$42,10,FALSE)</f>
        <v>#N/A</v>
      </c>
      <c r="Z685" s="10" t="e">
        <f>VLOOKUP(AJ677,'FRC Site Data'!$B$3:$L$42,11,FALSE)</f>
        <v>#N/A</v>
      </c>
      <c r="AA685" s="10" t="e">
        <f>VLOOKUP(AJ677,'CIR Team Info'!$C$5:$E$44,4,FALSE)</f>
        <v>#N/A</v>
      </c>
      <c r="AB685" s="161" t="b">
        <f>ISNUMBER(VLOOKUP(AJ677,Match!$T$5:$T$10,1,FALSE))</f>
        <v>0</v>
      </c>
      <c r="AC685" s="161" t="b">
        <f>IF(AB685=TRUE,(VLOOKUP($AJ677,Match!$T$5:$U$10,2,FALSE)))</f>
        <v>0</v>
      </c>
      <c r="AD685" s="8">
        <v>3</v>
      </c>
      <c r="AE685" s="8">
        <v>2</v>
      </c>
      <c r="AF685" s="8">
        <v>2</v>
      </c>
      <c r="AG685" s="8">
        <v>1</v>
      </c>
      <c r="AH685" s="8" t="str">
        <f t="shared" si="202"/>
        <v/>
      </c>
    </row>
    <row r="686" spans="1:34" x14ac:dyDescent="0.25">
      <c r="A686" s="29">
        <f t="shared" si="193"/>
        <v>0</v>
      </c>
      <c r="B686" s="29">
        <f t="shared" si="187"/>
        <v>0</v>
      </c>
      <c r="C686" s="29">
        <f t="shared" si="188"/>
        <v>0</v>
      </c>
      <c r="D686" s="29">
        <f t="shared" si="189"/>
        <v>0</v>
      </c>
      <c r="E686" s="29">
        <f t="shared" si="194"/>
        <v>0</v>
      </c>
      <c r="F686" s="29">
        <f t="shared" si="195"/>
        <v>0</v>
      </c>
      <c r="G686" s="29" t="str">
        <f t="shared" si="196"/>
        <v>offensive</v>
      </c>
      <c r="H686" s="16">
        <f t="shared" si="200"/>
        <v>0</v>
      </c>
      <c r="I686" s="16">
        <f t="shared" si="201"/>
        <v>0</v>
      </c>
      <c r="J686" s="16">
        <f t="shared" si="190"/>
        <v>0</v>
      </c>
      <c r="K686" s="16">
        <f t="shared" si="197"/>
        <v>0</v>
      </c>
      <c r="L686" s="67">
        <f t="shared" si="198"/>
        <v>0</v>
      </c>
      <c r="M686" s="4">
        <f t="shared" si="191"/>
        <v>0</v>
      </c>
      <c r="N686" s="4">
        <f t="shared" si="192"/>
        <v>0</v>
      </c>
      <c r="O686" s="4">
        <f t="shared" si="199"/>
        <v>0</v>
      </c>
      <c r="P686" s="4" t="e">
        <f>VLOOKUP(AJ678,'CIR Team Info'!$C$5:$E$44,2,FALSE)</f>
        <v>#N/A</v>
      </c>
      <c r="Q686" s="4" t="e">
        <f>VLOOKUP(AJ678,'CIR Team Info'!$C$5:$E$44,3,FALSE)</f>
        <v>#N/A</v>
      </c>
      <c r="R686" s="10" t="e">
        <f>VLOOKUP(AJ678,'FRC Site Data'!$B$3:$L$42,2,FALSE)</f>
        <v>#N/A</v>
      </c>
      <c r="S686" s="10" t="e">
        <f>VLOOKUP(AJ678,'FRC Site Data'!$B$3:$L$42,3,FALSE)</f>
        <v>#N/A</v>
      </c>
      <c r="T686" s="10" t="e">
        <f>VLOOKUP(AJ678,'FRC Site Data'!$B$3:$L$42,4,FALSE)</f>
        <v>#N/A</v>
      </c>
      <c r="U686" s="10" t="e">
        <f>VLOOKUP(AJ678,'FRC Site Data'!$B$3:$L$42,5,FALSE)</f>
        <v>#N/A</v>
      </c>
      <c r="V686" s="10" t="e">
        <f>VLOOKUP(AJ678,'FRC Site Data'!$B$3:$L$42,6,FALSE)</f>
        <v>#N/A</v>
      </c>
      <c r="W686" s="10" t="e">
        <f>VLOOKUP(AJ678,'FRC Site Data'!$B$3:$L$42,8,FALSE)</f>
        <v>#N/A</v>
      </c>
      <c r="X686" s="10" t="e">
        <f>VLOOKUP(AJ678,'FRC Site Data'!$B$3:$L$42,9,FALSE)</f>
        <v>#N/A</v>
      </c>
      <c r="Y686" s="10" t="e">
        <f>VLOOKUP(AJ678,'FRC Site Data'!$B$3:$L$42,10,FALSE)</f>
        <v>#N/A</v>
      </c>
      <c r="Z686" s="10" t="e">
        <f>VLOOKUP(AJ678,'FRC Site Data'!$B$3:$L$42,11,FALSE)</f>
        <v>#N/A</v>
      </c>
      <c r="AA686" s="10" t="e">
        <f>VLOOKUP(AJ678,'CIR Team Info'!$C$5:$E$44,4,FALSE)</f>
        <v>#N/A</v>
      </c>
      <c r="AB686" s="161" t="b">
        <f>ISNUMBER(VLOOKUP(AJ678,Match!$T$5:$T$10,1,FALSE))</f>
        <v>0</v>
      </c>
      <c r="AC686" s="161" t="b">
        <f>IF(AB686=TRUE,(VLOOKUP($AJ678,Match!$T$5:$U$10,2,FALSE)))</f>
        <v>0</v>
      </c>
      <c r="AD686" s="8">
        <v>3</v>
      </c>
      <c r="AE686" s="8">
        <v>2</v>
      </c>
      <c r="AF686" s="8">
        <v>2</v>
      </c>
      <c r="AG686" s="8">
        <v>1</v>
      </c>
      <c r="AH686" s="8" t="str">
        <f t="shared" si="202"/>
        <v/>
      </c>
    </row>
    <row r="687" spans="1:34" x14ac:dyDescent="0.25">
      <c r="A687" s="29">
        <f t="shared" si="193"/>
        <v>0</v>
      </c>
      <c r="B687" s="29">
        <f t="shared" si="187"/>
        <v>0</v>
      </c>
      <c r="C687" s="29">
        <f t="shared" si="188"/>
        <v>0</v>
      </c>
      <c r="D687" s="29">
        <f t="shared" si="189"/>
        <v>0</v>
      </c>
      <c r="E687" s="29">
        <f t="shared" si="194"/>
        <v>0</v>
      </c>
      <c r="F687" s="29">
        <f t="shared" si="195"/>
        <v>0</v>
      </c>
      <c r="G687" s="29" t="str">
        <f t="shared" si="196"/>
        <v>offensive</v>
      </c>
      <c r="H687" s="16">
        <f t="shared" si="200"/>
        <v>0</v>
      </c>
      <c r="I687" s="16">
        <f t="shared" si="201"/>
        <v>0</v>
      </c>
      <c r="J687" s="16">
        <f t="shared" si="190"/>
        <v>0</v>
      </c>
      <c r="K687" s="16">
        <f t="shared" si="197"/>
        <v>0</v>
      </c>
      <c r="L687" s="67">
        <f t="shared" si="198"/>
        <v>0</v>
      </c>
      <c r="M687" s="4">
        <f t="shared" si="191"/>
        <v>0</v>
      </c>
      <c r="N687" s="4">
        <f t="shared" si="192"/>
        <v>0</v>
      </c>
      <c r="O687" s="4">
        <f t="shared" si="199"/>
        <v>0</v>
      </c>
      <c r="P687" s="4" t="e">
        <f>VLOOKUP(AJ679,'CIR Team Info'!$C$5:$E$44,2,FALSE)</f>
        <v>#N/A</v>
      </c>
      <c r="Q687" s="4" t="e">
        <f>VLOOKUP(AJ679,'CIR Team Info'!$C$5:$E$44,3,FALSE)</f>
        <v>#N/A</v>
      </c>
      <c r="R687" s="10" t="e">
        <f>VLOOKUP(AJ679,'FRC Site Data'!$B$3:$L$42,2,FALSE)</f>
        <v>#N/A</v>
      </c>
      <c r="S687" s="10" t="e">
        <f>VLOOKUP(AJ679,'FRC Site Data'!$B$3:$L$42,3,FALSE)</f>
        <v>#N/A</v>
      </c>
      <c r="T687" s="10" t="e">
        <f>VLOOKUP(AJ679,'FRC Site Data'!$B$3:$L$42,4,FALSE)</f>
        <v>#N/A</v>
      </c>
      <c r="U687" s="10" t="e">
        <f>VLOOKUP(AJ679,'FRC Site Data'!$B$3:$L$42,5,FALSE)</f>
        <v>#N/A</v>
      </c>
      <c r="V687" s="10" t="e">
        <f>VLOOKUP(AJ679,'FRC Site Data'!$B$3:$L$42,6,FALSE)</f>
        <v>#N/A</v>
      </c>
      <c r="W687" s="10" t="e">
        <f>VLOOKUP(AJ679,'FRC Site Data'!$B$3:$L$42,8,FALSE)</f>
        <v>#N/A</v>
      </c>
      <c r="X687" s="10" t="e">
        <f>VLOOKUP(AJ679,'FRC Site Data'!$B$3:$L$42,9,FALSE)</f>
        <v>#N/A</v>
      </c>
      <c r="Y687" s="10" t="e">
        <f>VLOOKUP(AJ679,'FRC Site Data'!$B$3:$L$42,10,FALSE)</f>
        <v>#N/A</v>
      </c>
      <c r="Z687" s="10" t="e">
        <f>VLOOKUP(AJ679,'FRC Site Data'!$B$3:$L$42,11,FALSE)</f>
        <v>#N/A</v>
      </c>
      <c r="AA687" s="10" t="e">
        <f>VLOOKUP(AJ679,'CIR Team Info'!$C$5:$E$44,4,FALSE)</f>
        <v>#N/A</v>
      </c>
      <c r="AB687" s="161" t="b">
        <f>ISNUMBER(VLOOKUP(AJ679,Match!$T$5:$T$10,1,FALSE))</f>
        <v>0</v>
      </c>
      <c r="AC687" s="161" t="b">
        <f>IF(AB687=TRUE,(VLOOKUP($AJ679,Match!$T$5:$U$10,2,FALSE)))</f>
        <v>0</v>
      </c>
      <c r="AD687" s="8">
        <v>3</v>
      </c>
      <c r="AE687" s="8">
        <v>2</v>
      </c>
      <c r="AF687" s="8">
        <v>2</v>
      </c>
      <c r="AG687" s="8">
        <v>1</v>
      </c>
      <c r="AH687" s="8" t="str">
        <f t="shared" si="202"/>
        <v/>
      </c>
    </row>
    <row r="688" spans="1:34" x14ac:dyDescent="0.25">
      <c r="A688" s="29">
        <f t="shared" si="193"/>
        <v>0</v>
      </c>
      <c r="B688" s="29">
        <f t="shared" si="187"/>
        <v>0</v>
      </c>
      <c r="C688" s="29">
        <f t="shared" si="188"/>
        <v>0</v>
      </c>
      <c r="D688" s="29">
        <f t="shared" si="189"/>
        <v>0</v>
      </c>
      <c r="E688" s="29">
        <f t="shared" si="194"/>
        <v>0</v>
      </c>
      <c r="F688" s="29">
        <f t="shared" si="195"/>
        <v>0</v>
      </c>
      <c r="G688" s="29" t="str">
        <f t="shared" si="196"/>
        <v>offensive</v>
      </c>
      <c r="H688" s="16">
        <f t="shared" si="200"/>
        <v>0</v>
      </c>
      <c r="I688" s="16">
        <f t="shared" si="201"/>
        <v>0</v>
      </c>
      <c r="J688" s="16">
        <f t="shared" si="190"/>
        <v>0</v>
      </c>
      <c r="K688" s="16">
        <f t="shared" si="197"/>
        <v>0</v>
      </c>
      <c r="L688" s="67">
        <f t="shared" si="198"/>
        <v>0</v>
      </c>
      <c r="M688" s="4">
        <f t="shared" si="191"/>
        <v>0</v>
      </c>
      <c r="N688" s="4">
        <f t="shared" si="192"/>
        <v>0</v>
      </c>
      <c r="O688" s="4">
        <f t="shared" si="199"/>
        <v>0</v>
      </c>
      <c r="P688" s="4" t="e">
        <f>VLOOKUP(AJ680,'CIR Team Info'!$C$5:$E$44,2,FALSE)</f>
        <v>#N/A</v>
      </c>
      <c r="Q688" s="4" t="e">
        <f>VLOOKUP(AJ680,'CIR Team Info'!$C$5:$E$44,3,FALSE)</f>
        <v>#N/A</v>
      </c>
      <c r="R688" s="10" t="e">
        <f>VLOOKUP(AJ680,'FRC Site Data'!$B$3:$L$42,2,FALSE)</f>
        <v>#N/A</v>
      </c>
      <c r="S688" s="10" t="e">
        <f>VLOOKUP(AJ680,'FRC Site Data'!$B$3:$L$42,3,FALSE)</f>
        <v>#N/A</v>
      </c>
      <c r="T688" s="10" t="e">
        <f>VLOOKUP(AJ680,'FRC Site Data'!$B$3:$L$42,4,FALSE)</f>
        <v>#N/A</v>
      </c>
      <c r="U688" s="10" t="e">
        <f>VLOOKUP(AJ680,'FRC Site Data'!$B$3:$L$42,5,FALSE)</f>
        <v>#N/A</v>
      </c>
      <c r="V688" s="10" t="e">
        <f>VLOOKUP(AJ680,'FRC Site Data'!$B$3:$L$42,6,FALSE)</f>
        <v>#N/A</v>
      </c>
      <c r="W688" s="10" t="e">
        <f>VLOOKUP(AJ680,'FRC Site Data'!$B$3:$L$42,8,FALSE)</f>
        <v>#N/A</v>
      </c>
      <c r="X688" s="10" t="e">
        <f>VLOOKUP(AJ680,'FRC Site Data'!$B$3:$L$42,9,FALSE)</f>
        <v>#N/A</v>
      </c>
      <c r="Y688" s="10" t="e">
        <f>VLOOKUP(AJ680,'FRC Site Data'!$B$3:$L$42,10,FALSE)</f>
        <v>#N/A</v>
      </c>
      <c r="Z688" s="10" t="e">
        <f>VLOOKUP(AJ680,'FRC Site Data'!$B$3:$L$42,11,FALSE)</f>
        <v>#N/A</v>
      </c>
      <c r="AA688" s="10" t="e">
        <f>VLOOKUP(AJ680,'CIR Team Info'!$C$5:$E$44,4,FALSE)</f>
        <v>#N/A</v>
      </c>
      <c r="AB688" s="161" t="b">
        <f>ISNUMBER(VLOOKUP(AJ680,Match!$T$5:$T$10,1,FALSE))</f>
        <v>0</v>
      </c>
      <c r="AC688" s="161" t="b">
        <f>IF(AB688=TRUE,(VLOOKUP($AJ680,Match!$T$5:$U$10,2,FALSE)))</f>
        <v>0</v>
      </c>
      <c r="AD688" s="8">
        <v>3</v>
      </c>
      <c r="AE688" s="8">
        <v>2</v>
      </c>
      <c r="AF688" s="8">
        <v>2</v>
      </c>
      <c r="AG688" s="8">
        <v>1</v>
      </c>
      <c r="AH688" s="8" t="str">
        <f t="shared" si="202"/>
        <v/>
      </c>
    </row>
    <row r="689" spans="1:34" x14ac:dyDescent="0.25">
      <c r="A689" s="29">
        <f t="shared" si="193"/>
        <v>0</v>
      </c>
      <c r="B689" s="29">
        <f t="shared" si="187"/>
        <v>0</v>
      </c>
      <c r="C689" s="29">
        <f t="shared" si="188"/>
        <v>0</v>
      </c>
      <c r="D689" s="29">
        <f t="shared" si="189"/>
        <v>0</v>
      </c>
      <c r="E689" s="29">
        <f t="shared" si="194"/>
        <v>0</v>
      </c>
      <c r="F689" s="29">
        <f t="shared" si="195"/>
        <v>0</v>
      </c>
      <c r="G689" s="29" t="str">
        <f t="shared" si="196"/>
        <v>offensive</v>
      </c>
      <c r="H689" s="16">
        <f t="shared" si="200"/>
        <v>0</v>
      </c>
      <c r="I689" s="16">
        <f t="shared" si="201"/>
        <v>0</v>
      </c>
      <c r="J689" s="16">
        <f t="shared" si="190"/>
        <v>0</v>
      </c>
      <c r="K689" s="16">
        <f t="shared" si="197"/>
        <v>0</v>
      </c>
      <c r="L689" s="67">
        <f t="shared" si="198"/>
        <v>0</v>
      </c>
      <c r="M689" s="4">
        <f t="shared" si="191"/>
        <v>0</v>
      </c>
      <c r="N689" s="4">
        <f t="shared" si="192"/>
        <v>0</v>
      </c>
      <c r="O689" s="4">
        <f t="shared" si="199"/>
        <v>0</v>
      </c>
      <c r="P689" s="4" t="e">
        <f>VLOOKUP(AJ681,'CIR Team Info'!$C$5:$E$44,2,FALSE)</f>
        <v>#N/A</v>
      </c>
      <c r="Q689" s="4" t="e">
        <f>VLOOKUP(AJ681,'CIR Team Info'!$C$5:$E$44,3,FALSE)</f>
        <v>#N/A</v>
      </c>
      <c r="R689" s="10" t="e">
        <f>VLOOKUP(AJ681,'FRC Site Data'!$B$3:$L$42,2,FALSE)</f>
        <v>#N/A</v>
      </c>
      <c r="S689" s="10" t="e">
        <f>VLOOKUP(AJ681,'FRC Site Data'!$B$3:$L$42,3,FALSE)</f>
        <v>#N/A</v>
      </c>
      <c r="T689" s="10" t="e">
        <f>VLOOKUP(AJ681,'FRC Site Data'!$B$3:$L$42,4,FALSE)</f>
        <v>#N/A</v>
      </c>
      <c r="U689" s="10" t="e">
        <f>VLOOKUP(AJ681,'FRC Site Data'!$B$3:$L$42,5,FALSE)</f>
        <v>#N/A</v>
      </c>
      <c r="V689" s="10" t="e">
        <f>VLOOKUP(AJ681,'FRC Site Data'!$B$3:$L$42,6,FALSE)</f>
        <v>#N/A</v>
      </c>
      <c r="W689" s="10" t="e">
        <f>VLOOKUP(AJ681,'FRC Site Data'!$B$3:$L$42,8,FALSE)</f>
        <v>#N/A</v>
      </c>
      <c r="X689" s="10" t="e">
        <f>VLOOKUP(AJ681,'FRC Site Data'!$B$3:$L$42,9,FALSE)</f>
        <v>#N/A</v>
      </c>
      <c r="Y689" s="10" t="e">
        <f>VLOOKUP(AJ681,'FRC Site Data'!$B$3:$L$42,10,FALSE)</f>
        <v>#N/A</v>
      </c>
      <c r="Z689" s="10" t="e">
        <f>VLOOKUP(AJ681,'FRC Site Data'!$B$3:$L$42,11,FALSE)</f>
        <v>#N/A</v>
      </c>
      <c r="AA689" s="10" t="e">
        <f>VLOOKUP(AJ681,'CIR Team Info'!$C$5:$E$44,4,FALSE)</f>
        <v>#N/A</v>
      </c>
      <c r="AB689" s="161" t="b">
        <f>ISNUMBER(VLOOKUP(AJ681,Match!$T$5:$T$10,1,FALSE))</f>
        <v>0</v>
      </c>
      <c r="AC689" s="161" t="b">
        <f>IF(AB689=TRUE,(VLOOKUP($AJ681,Match!$T$5:$U$10,2,FALSE)))</f>
        <v>0</v>
      </c>
      <c r="AD689" s="8">
        <v>3</v>
      </c>
      <c r="AE689" s="8">
        <v>2</v>
      </c>
      <c r="AF689" s="8">
        <v>2</v>
      </c>
      <c r="AG689" s="8">
        <v>1</v>
      </c>
      <c r="AH689" s="8" t="str">
        <f t="shared" si="202"/>
        <v/>
      </c>
    </row>
    <row r="690" spans="1:34" x14ac:dyDescent="0.25">
      <c r="A690" s="29">
        <f t="shared" si="193"/>
        <v>0</v>
      </c>
      <c r="B690" s="29">
        <f t="shared" si="187"/>
        <v>0</v>
      </c>
      <c r="C690" s="29">
        <f t="shared" si="188"/>
        <v>0</v>
      </c>
      <c r="D690" s="29">
        <f t="shared" si="189"/>
        <v>0</v>
      </c>
      <c r="E690" s="29">
        <f t="shared" si="194"/>
        <v>0</v>
      </c>
      <c r="F690" s="29">
        <f t="shared" si="195"/>
        <v>0</v>
      </c>
      <c r="G690" s="29" t="str">
        <f t="shared" si="196"/>
        <v>offensive</v>
      </c>
      <c r="H690" s="16">
        <f t="shared" si="200"/>
        <v>0</v>
      </c>
      <c r="I690" s="16">
        <f t="shared" si="201"/>
        <v>0</v>
      </c>
      <c r="J690" s="16">
        <f t="shared" si="190"/>
        <v>0</v>
      </c>
      <c r="K690" s="16">
        <f t="shared" si="197"/>
        <v>0</v>
      </c>
      <c r="L690" s="67">
        <f t="shared" si="198"/>
        <v>0</v>
      </c>
      <c r="M690" s="4">
        <f t="shared" si="191"/>
        <v>0</v>
      </c>
      <c r="N690" s="4">
        <f t="shared" si="192"/>
        <v>0</v>
      </c>
      <c r="O690" s="4">
        <f t="shared" si="199"/>
        <v>0</v>
      </c>
      <c r="P690" s="4" t="e">
        <f>VLOOKUP(AJ682,'CIR Team Info'!$C$5:$E$44,2,FALSE)</f>
        <v>#N/A</v>
      </c>
      <c r="Q690" s="4" t="e">
        <f>VLOOKUP(AJ682,'CIR Team Info'!$C$5:$E$44,3,FALSE)</f>
        <v>#N/A</v>
      </c>
      <c r="R690" s="10" t="e">
        <f>VLOOKUP(AJ682,'FRC Site Data'!$B$3:$L$42,2,FALSE)</f>
        <v>#N/A</v>
      </c>
      <c r="S690" s="10" t="e">
        <f>VLOOKUP(AJ682,'FRC Site Data'!$B$3:$L$42,3,FALSE)</f>
        <v>#N/A</v>
      </c>
      <c r="T690" s="10" t="e">
        <f>VLOOKUP(AJ682,'FRC Site Data'!$B$3:$L$42,4,FALSE)</f>
        <v>#N/A</v>
      </c>
      <c r="U690" s="10" t="e">
        <f>VLOOKUP(AJ682,'FRC Site Data'!$B$3:$L$42,5,FALSE)</f>
        <v>#N/A</v>
      </c>
      <c r="V690" s="10" t="e">
        <f>VLOOKUP(AJ682,'FRC Site Data'!$B$3:$L$42,6,FALSE)</f>
        <v>#N/A</v>
      </c>
      <c r="W690" s="10" t="e">
        <f>VLOOKUP(AJ682,'FRC Site Data'!$B$3:$L$42,8,FALSE)</f>
        <v>#N/A</v>
      </c>
      <c r="X690" s="10" t="e">
        <f>VLOOKUP(AJ682,'FRC Site Data'!$B$3:$L$42,9,FALSE)</f>
        <v>#N/A</v>
      </c>
      <c r="Y690" s="10" t="e">
        <f>VLOOKUP(AJ682,'FRC Site Data'!$B$3:$L$42,10,FALSE)</f>
        <v>#N/A</v>
      </c>
      <c r="Z690" s="10" t="e">
        <f>VLOOKUP(AJ682,'FRC Site Data'!$B$3:$L$42,11,FALSE)</f>
        <v>#N/A</v>
      </c>
      <c r="AA690" s="10" t="e">
        <f>VLOOKUP(AJ682,'CIR Team Info'!$C$5:$E$44,4,FALSE)</f>
        <v>#N/A</v>
      </c>
      <c r="AB690" s="161" t="b">
        <f>ISNUMBER(VLOOKUP(AJ682,Match!$T$5:$T$10,1,FALSE))</f>
        <v>0</v>
      </c>
      <c r="AC690" s="161" t="b">
        <f>IF(AB690=TRUE,(VLOOKUP($AJ682,Match!$T$5:$U$10,2,FALSE)))</f>
        <v>0</v>
      </c>
      <c r="AD690" s="8">
        <v>3</v>
      </c>
      <c r="AE690" s="8">
        <v>2</v>
      </c>
      <c r="AF690" s="8">
        <v>2</v>
      </c>
      <c r="AG690" s="8">
        <v>1</v>
      </c>
      <c r="AH690" s="8" t="str">
        <f t="shared" si="202"/>
        <v/>
      </c>
    </row>
    <row r="691" spans="1:34" x14ac:dyDescent="0.25">
      <c r="A691" s="29">
        <f t="shared" si="193"/>
        <v>0</v>
      </c>
      <c r="B691" s="29">
        <f t="shared" si="187"/>
        <v>0</v>
      </c>
      <c r="C691" s="29">
        <f t="shared" si="188"/>
        <v>0</v>
      </c>
      <c r="D691" s="29">
        <f t="shared" si="189"/>
        <v>0</v>
      </c>
      <c r="E691" s="29">
        <f t="shared" si="194"/>
        <v>0</v>
      </c>
      <c r="F691" s="29">
        <f t="shared" si="195"/>
        <v>0</v>
      </c>
      <c r="G691" s="29" t="str">
        <f t="shared" si="196"/>
        <v>offensive</v>
      </c>
      <c r="H691" s="16">
        <f t="shared" si="200"/>
        <v>0</v>
      </c>
      <c r="I691" s="16">
        <f t="shared" si="201"/>
        <v>0</v>
      </c>
      <c r="J691" s="16">
        <f t="shared" si="190"/>
        <v>0</v>
      </c>
      <c r="K691" s="16">
        <f t="shared" si="197"/>
        <v>0</v>
      </c>
      <c r="L691" s="67">
        <f t="shared" si="198"/>
        <v>0</v>
      </c>
      <c r="M691" s="4">
        <f t="shared" si="191"/>
        <v>0</v>
      </c>
      <c r="N691" s="4">
        <f t="shared" si="192"/>
        <v>0</v>
      </c>
      <c r="O691" s="4">
        <f t="shared" si="199"/>
        <v>0</v>
      </c>
      <c r="P691" s="4" t="e">
        <f>VLOOKUP(AJ683,'CIR Team Info'!$C$5:$E$44,2,FALSE)</f>
        <v>#N/A</v>
      </c>
      <c r="Q691" s="4" t="e">
        <f>VLOOKUP(AJ683,'CIR Team Info'!$C$5:$E$44,3,FALSE)</f>
        <v>#N/A</v>
      </c>
      <c r="R691" s="10" t="e">
        <f>VLOOKUP(AJ683,'FRC Site Data'!$B$3:$L$42,2,FALSE)</f>
        <v>#N/A</v>
      </c>
      <c r="S691" s="10" t="e">
        <f>VLOOKUP(AJ683,'FRC Site Data'!$B$3:$L$42,3,FALSE)</f>
        <v>#N/A</v>
      </c>
      <c r="T691" s="10" t="e">
        <f>VLOOKUP(AJ683,'FRC Site Data'!$B$3:$L$42,4,FALSE)</f>
        <v>#N/A</v>
      </c>
      <c r="U691" s="10" t="e">
        <f>VLOOKUP(AJ683,'FRC Site Data'!$B$3:$L$42,5,FALSE)</f>
        <v>#N/A</v>
      </c>
      <c r="V691" s="10" t="e">
        <f>VLOOKUP(AJ683,'FRC Site Data'!$B$3:$L$42,6,FALSE)</f>
        <v>#N/A</v>
      </c>
      <c r="W691" s="10" t="e">
        <f>VLOOKUP(AJ683,'FRC Site Data'!$B$3:$L$42,8,FALSE)</f>
        <v>#N/A</v>
      </c>
      <c r="X691" s="10" t="e">
        <f>VLOOKUP(AJ683,'FRC Site Data'!$B$3:$L$42,9,FALSE)</f>
        <v>#N/A</v>
      </c>
      <c r="Y691" s="10" t="e">
        <f>VLOOKUP(AJ683,'FRC Site Data'!$B$3:$L$42,10,FALSE)</f>
        <v>#N/A</v>
      </c>
      <c r="Z691" s="10" t="e">
        <f>VLOOKUP(AJ683,'FRC Site Data'!$B$3:$L$42,11,FALSE)</f>
        <v>#N/A</v>
      </c>
      <c r="AA691" s="10" t="e">
        <f>VLOOKUP(AJ683,'CIR Team Info'!$C$5:$E$44,4,FALSE)</f>
        <v>#N/A</v>
      </c>
      <c r="AB691" s="161" t="b">
        <f>ISNUMBER(VLOOKUP(AJ683,Match!$T$5:$T$10,1,FALSE))</f>
        <v>0</v>
      </c>
      <c r="AC691" s="161" t="b">
        <f>IF(AB691=TRUE,(VLOOKUP($AJ683,Match!$T$5:$U$10,2,FALSE)))</f>
        <v>0</v>
      </c>
      <c r="AD691" s="8">
        <v>3</v>
      </c>
      <c r="AE691" s="8">
        <v>2</v>
      </c>
      <c r="AF691" s="8">
        <v>2</v>
      </c>
      <c r="AG691" s="8">
        <v>1</v>
      </c>
      <c r="AH691" s="8" t="str">
        <f t="shared" si="202"/>
        <v/>
      </c>
    </row>
    <row r="692" spans="1:34" x14ac:dyDescent="0.25">
      <c r="A692" s="29">
        <f t="shared" si="193"/>
        <v>0</v>
      </c>
      <c r="B692" s="29">
        <f t="shared" si="187"/>
        <v>0</v>
      </c>
      <c r="C692" s="29">
        <f t="shared" si="188"/>
        <v>0</v>
      </c>
      <c r="D692" s="29">
        <f t="shared" si="189"/>
        <v>0</v>
      </c>
      <c r="E692" s="29">
        <f t="shared" si="194"/>
        <v>0</v>
      </c>
      <c r="F692" s="29">
        <f t="shared" si="195"/>
        <v>0</v>
      </c>
      <c r="G692" s="29" t="str">
        <f t="shared" si="196"/>
        <v>offensive</v>
      </c>
      <c r="H692" s="16">
        <f t="shared" si="200"/>
        <v>0</v>
      </c>
      <c r="I692" s="16">
        <f t="shared" si="201"/>
        <v>0</v>
      </c>
      <c r="J692" s="16">
        <f t="shared" si="190"/>
        <v>0</v>
      </c>
      <c r="K692" s="16">
        <f t="shared" si="197"/>
        <v>0</v>
      </c>
      <c r="L692" s="67">
        <f t="shared" si="198"/>
        <v>0</v>
      </c>
      <c r="M692" s="4">
        <f t="shared" si="191"/>
        <v>0</v>
      </c>
      <c r="N692" s="4">
        <f t="shared" si="192"/>
        <v>0</v>
      </c>
      <c r="O692" s="4">
        <f t="shared" si="199"/>
        <v>0</v>
      </c>
      <c r="P692" s="4" t="e">
        <f>VLOOKUP(AJ684,'CIR Team Info'!$C$5:$E$44,2,FALSE)</f>
        <v>#N/A</v>
      </c>
      <c r="Q692" s="4" t="e">
        <f>VLOOKUP(AJ684,'CIR Team Info'!$C$5:$E$44,3,FALSE)</f>
        <v>#N/A</v>
      </c>
      <c r="R692" s="10" t="e">
        <f>VLOOKUP(AJ684,'FRC Site Data'!$B$3:$L$42,2,FALSE)</f>
        <v>#N/A</v>
      </c>
      <c r="S692" s="10" t="e">
        <f>VLOOKUP(AJ684,'FRC Site Data'!$B$3:$L$42,3,FALSE)</f>
        <v>#N/A</v>
      </c>
      <c r="T692" s="10" t="e">
        <f>VLOOKUP(AJ684,'FRC Site Data'!$B$3:$L$42,4,FALSE)</f>
        <v>#N/A</v>
      </c>
      <c r="U692" s="10" t="e">
        <f>VLOOKUP(AJ684,'FRC Site Data'!$B$3:$L$42,5,FALSE)</f>
        <v>#N/A</v>
      </c>
      <c r="V692" s="10" t="e">
        <f>VLOOKUP(AJ684,'FRC Site Data'!$B$3:$L$42,6,FALSE)</f>
        <v>#N/A</v>
      </c>
      <c r="W692" s="10" t="e">
        <f>VLOOKUP(AJ684,'FRC Site Data'!$B$3:$L$42,8,FALSE)</f>
        <v>#N/A</v>
      </c>
      <c r="X692" s="10" t="e">
        <f>VLOOKUP(AJ684,'FRC Site Data'!$B$3:$L$42,9,FALSE)</f>
        <v>#N/A</v>
      </c>
      <c r="Y692" s="10" t="e">
        <f>VLOOKUP(AJ684,'FRC Site Data'!$B$3:$L$42,10,FALSE)</f>
        <v>#N/A</v>
      </c>
      <c r="Z692" s="10" t="e">
        <f>VLOOKUP(AJ684,'FRC Site Data'!$B$3:$L$42,11,FALSE)</f>
        <v>#N/A</v>
      </c>
      <c r="AA692" s="10" t="e">
        <f>VLOOKUP(AJ684,'CIR Team Info'!$C$5:$E$44,4,FALSE)</f>
        <v>#N/A</v>
      </c>
      <c r="AB692" s="161" t="b">
        <f>ISNUMBER(VLOOKUP(AJ684,Match!$T$5:$T$10,1,FALSE))</f>
        <v>0</v>
      </c>
      <c r="AC692" s="161" t="b">
        <f>IF(AB692=TRUE,(VLOOKUP($AJ684,Match!$T$5:$U$10,2,FALSE)))</f>
        <v>0</v>
      </c>
      <c r="AD692" s="8">
        <v>3</v>
      </c>
      <c r="AE692" s="8">
        <v>2</v>
      </c>
      <c r="AF692" s="8">
        <v>2</v>
      </c>
      <c r="AG692" s="8">
        <v>1</v>
      </c>
      <c r="AH692" s="8" t="str">
        <f t="shared" si="202"/>
        <v/>
      </c>
    </row>
    <row r="693" spans="1:34" x14ac:dyDescent="0.25">
      <c r="A693" s="29">
        <f t="shared" si="193"/>
        <v>0</v>
      </c>
      <c r="B693" s="29">
        <f t="shared" si="187"/>
        <v>0</v>
      </c>
      <c r="C693" s="29">
        <f t="shared" si="188"/>
        <v>0</v>
      </c>
      <c r="D693" s="29">
        <f t="shared" si="189"/>
        <v>0</v>
      </c>
      <c r="E693" s="29">
        <f t="shared" si="194"/>
        <v>0</v>
      </c>
      <c r="F693" s="29">
        <f t="shared" si="195"/>
        <v>0</v>
      </c>
      <c r="G693" s="29" t="str">
        <f t="shared" si="196"/>
        <v>offensive</v>
      </c>
      <c r="H693" s="16">
        <f t="shared" si="200"/>
        <v>0</v>
      </c>
      <c r="I693" s="16">
        <f t="shared" si="201"/>
        <v>0</v>
      </c>
      <c r="J693" s="16">
        <f t="shared" si="190"/>
        <v>0</v>
      </c>
      <c r="K693" s="16">
        <f t="shared" si="197"/>
        <v>0</v>
      </c>
      <c r="L693" s="67">
        <f t="shared" si="198"/>
        <v>0</v>
      </c>
      <c r="M693" s="4">
        <f t="shared" si="191"/>
        <v>0</v>
      </c>
      <c r="N693" s="4">
        <f t="shared" si="192"/>
        <v>0</v>
      </c>
      <c r="O693" s="4">
        <f t="shared" si="199"/>
        <v>0</v>
      </c>
      <c r="P693" s="4" t="e">
        <f>VLOOKUP(AJ685,'CIR Team Info'!$C$5:$E$44,2,FALSE)</f>
        <v>#N/A</v>
      </c>
      <c r="Q693" s="4" t="e">
        <f>VLOOKUP(AJ685,'CIR Team Info'!$C$5:$E$44,3,FALSE)</f>
        <v>#N/A</v>
      </c>
      <c r="R693" s="10" t="e">
        <f>VLOOKUP(AJ685,'FRC Site Data'!$B$3:$L$42,2,FALSE)</f>
        <v>#N/A</v>
      </c>
      <c r="S693" s="10" t="e">
        <f>VLOOKUP(AJ685,'FRC Site Data'!$B$3:$L$42,3,FALSE)</f>
        <v>#N/A</v>
      </c>
      <c r="T693" s="10" t="e">
        <f>VLOOKUP(AJ685,'FRC Site Data'!$B$3:$L$42,4,FALSE)</f>
        <v>#N/A</v>
      </c>
      <c r="U693" s="10" t="e">
        <f>VLOOKUP(AJ685,'FRC Site Data'!$B$3:$L$42,5,FALSE)</f>
        <v>#N/A</v>
      </c>
      <c r="V693" s="10" t="e">
        <f>VLOOKUP(AJ685,'FRC Site Data'!$B$3:$L$42,6,FALSE)</f>
        <v>#N/A</v>
      </c>
      <c r="W693" s="10" t="e">
        <f>VLOOKUP(AJ685,'FRC Site Data'!$B$3:$L$42,8,FALSE)</f>
        <v>#N/A</v>
      </c>
      <c r="X693" s="10" t="e">
        <f>VLOOKUP(AJ685,'FRC Site Data'!$B$3:$L$42,9,FALSE)</f>
        <v>#N/A</v>
      </c>
      <c r="Y693" s="10" t="e">
        <f>VLOOKUP(AJ685,'FRC Site Data'!$B$3:$L$42,10,FALSE)</f>
        <v>#N/A</v>
      </c>
      <c r="Z693" s="10" t="e">
        <f>VLOOKUP(AJ685,'FRC Site Data'!$B$3:$L$42,11,FALSE)</f>
        <v>#N/A</v>
      </c>
      <c r="AA693" s="10" t="e">
        <f>VLOOKUP(AJ685,'CIR Team Info'!$C$5:$E$44,4,FALSE)</f>
        <v>#N/A</v>
      </c>
      <c r="AB693" s="161" t="b">
        <f>ISNUMBER(VLOOKUP(AJ685,Match!$T$5:$T$10,1,FALSE))</f>
        <v>0</v>
      </c>
      <c r="AC693" s="161" t="b">
        <f>IF(AB693=TRUE,(VLOOKUP($AJ685,Match!$T$5:$U$10,2,FALSE)))</f>
        <v>0</v>
      </c>
      <c r="AD693" s="8">
        <v>3</v>
      </c>
      <c r="AE693" s="8">
        <v>2</v>
      </c>
      <c r="AF693" s="8">
        <v>2</v>
      </c>
      <c r="AG693" s="8">
        <v>1</v>
      </c>
      <c r="AH693" s="8" t="str">
        <f t="shared" si="202"/>
        <v/>
      </c>
    </row>
    <row r="694" spans="1:34" x14ac:dyDescent="0.25">
      <c r="A694" s="29">
        <f t="shared" si="193"/>
        <v>0</v>
      </c>
      <c r="B694" s="29">
        <f t="shared" si="187"/>
        <v>0</v>
      </c>
      <c r="C694" s="29">
        <f t="shared" si="188"/>
        <v>0</v>
      </c>
      <c r="D694" s="29">
        <f t="shared" si="189"/>
        <v>0</v>
      </c>
      <c r="E694" s="29">
        <f t="shared" si="194"/>
        <v>0</v>
      </c>
      <c r="F694" s="29">
        <f t="shared" si="195"/>
        <v>0</v>
      </c>
      <c r="G694" s="29" t="str">
        <f t="shared" si="196"/>
        <v>offensive</v>
      </c>
      <c r="H694" s="16">
        <f t="shared" si="200"/>
        <v>0</v>
      </c>
      <c r="I694" s="16">
        <f t="shared" si="201"/>
        <v>0</v>
      </c>
      <c r="J694" s="16">
        <f t="shared" si="190"/>
        <v>0</v>
      </c>
      <c r="K694" s="16">
        <f t="shared" si="197"/>
        <v>0</v>
      </c>
      <c r="L694" s="67">
        <f t="shared" si="198"/>
        <v>0</v>
      </c>
      <c r="M694" s="4">
        <f t="shared" si="191"/>
        <v>0</v>
      </c>
      <c r="N694" s="4">
        <f t="shared" si="192"/>
        <v>0</v>
      </c>
      <c r="O694" s="4">
        <f t="shared" si="199"/>
        <v>0</v>
      </c>
      <c r="P694" s="4" t="e">
        <f>VLOOKUP(AJ686,'CIR Team Info'!$C$5:$E$44,2,FALSE)</f>
        <v>#N/A</v>
      </c>
      <c r="Q694" s="4" t="e">
        <f>VLOOKUP(AJ686,'CIR Team Info'!$C$5:$E$44,3,FALSE)</f>
        <v>#N/A</v>
      </c>
      <c r="R694" s="10" t="e">
        <f>VLOOKUP(AJ686,'FRC Site Data'!$B$3:$L$42,2,FALSE)</f>
        <v>#N/A</v>
      </c>
      <c r="S694" s="10" t="e">
        <f>VLOOKUP(AJ686,'FRC Site Data'!$B$3:$L$42,3,FALSE)</f>
        <v>#N/A</v>
      </c>
      <c r="T694" s="10" t="e">
        <f>VLOOKUP(AJ686,'FRC Site Data'!$B$3:$L$42,4,FALSE)</f>
        <v>#N/A</v>
      </c>
      <c r="U694" s="10" t="e">
        <f>VLOOKUP(AJ686,'FRC Site Data'!$B$3:$L$42,5,FALSE)</f>
        <v>#N/A</v>
      </c>
      <c r="V694" s="10" t="e">
        <f>VLOOKUP(AJ686,'FRC Site Data'!$B$3:$L$42,6,FALSE)</f>
        <v>#N/A</v>
      </c>
      <c r="W694" s="10" t="e">
        <f>VLOOKUP(AJ686,'FRC Site Data'!$B$3:$L$42,8,FALSE)</f>
        <v>#N/A</v>
      </c>
      <c r="X694" s="10" t="e">
        <f>VLOOKUP(AJ686,'FRC Site Data'!$B$3:$L$42,9,FALSE)</f>
        <v>#N/A</v>
      </c>
      <c r="Y694" s="10" t="e">
        <f>VLOOKUP(AJ686,'FRC Site Data'!$B$3:$L$42,10,FALSE)</f>
        <v>#N/A</v>
      </c>
      <c r="Z694" s="10" t="e">
        <f>VLOOKUP(AJ686,'FRC Site Data'!$B$3:$L$42,11,FALSE)</f>
        <v>#N/A</v>
      </c>
      <c r="AA694" s="10" t="e">
        <f>VLOOKUP(AJ686,'CIR Team Info'!$C$5:$E$44,4,FALSE)</f>
        <v>#N/A</v>
      </c>
      <c r="AB694" s="161" t="b">
        <f>ISNUMBER(VLOOKUP(AJ686,Match!$T$5:$T$10,1,FALSE))</f>
        <v>0</v>
      </c>
      <c r="AC694" s="161" t="b">
        <f>IF(AB694=TRUE,(VLOOKUP($AJ686,Match!$T$5:$U$10,2,FALSE)))</f>
        <v>0</v>
      </c>
      <c r="AD694" s="8">
        <v>3</v>
      </c>
      <c r="AE694" s="8">
        <v>2</v>
      </c>
      <c r="AF694" s="8">
        <v>2</v>
      </c>
      <c r="AG694" s="8">
        <v>1</v>
      </c>
      <c r="AH694" s="8" t="str">
        <f t="shared" si="202"/>
        <v/>
      </c>
    </row>
    <row r="695" spans="1:34" x14ac:dyDescent="0.25">
      <c r="A695" s="29">
        <f t="shared" si="193"/>
        <v>0</v>
      </c>
      <c r="B695" s="29">
        <f t="shared" si="187"/>
        <v>0</v>
      </c>
      <c r="C695" s="29">
        <f t="shared" si="188"/>
        <v>0</v>
      </c>
      <c r="D695" s="29">
        <f t="shared" si="189"/>
        <v>0</v>
      </c>
      <c r="E695" s="29">
        <f t="shared" si="194"/>
        <v>0</v>
      </c>
      <c r="F695" s="29">
        <f t="shared" si="195"/>
        <v>0</v>
      </c>
      <c r="G695" s="29" t="str">
        <f t="shared" si="196"/>
        <v>offensive</v>
      </c>
      <c r="H695" s="16">
        <f t="shared" si="200"/>
        <v>0</v>
      </c>
      <c r="I695" s="16">
        <f t="shared" si="201"/>
        <v>0</v>
      </c>
      <c r="J695" s="16">
        <f t="shared" si="190"/>
        <v>0</v>
      </c>
      <c r="K695" s="16">
        <f t="shared" si="197"/>
        <v>0</v>
      </c>
      <c r="L695" s="67">
        <f t="shared" si="198"/>
        <v>0</v>
      </c>
      <c r="M695" s="4">
        <f t="shared" si="191"/>
        <v>0</v>
      </c>
      <c r="N695" s="4">
        <f t="shared" si="192"/>
        <v>0</v>
      </c>
      <c r="O695" s="4">
        <f t="shared" si="199"/>
        <v>0</v>
      </c>
      <c r="P695" s="4" t="e">
        <f>VLOOKUP(AJ687,'CIR Team Info'!$C$5:$E$44,2,FALSE)</f>
        <v>#N/A</v>
      </c>
      <c r="Q695" s="4" t="e">
        <f>VLOOKUP(AJ687,'CIR Team Info'!$C$5:$E$44,3,FALSE)</f>
        <v>#N/A</v>
      </c>
      <c r="R695" s="10" t="e">
        <f>VLOOKUP(AJ687,'FRC Site Data'!$B$3:$L$42,2,FALSE)</f>
        <v>#N/A</v>
      </c>
      <c r="S695" s="10" t="e">
        <f>VLOOKUP(AJ687,'FRC Site Data'!$B$3:$L$42,3,FALSE)</f>
        <v>#N/A</v>
      </c>
      <c r="T695" s="10" t="e">
        <f>VLOOKUP(AJ687,'FRC Site Data'!$B$3:$L$42,4,FALSE)</f>
        <v>#N/A</v>
      </c>
      <c r="U695" s="10" t="e">
        <f>VLOOKUP(AJ687,'FRC Site Data'!$B$3:$L$42,5,FALSE)</f>
        <v>#N/A</v>
      </c>
      <c r="V695" s="10" t="e">
        <f>VLOOKUP(AJ687,'FRC Site Data'!$B$3:$L$42,6,FALSE)</f>
        <v>#N/A</v>
      </c>
      <c r="W695" s="10" t="e">
        <f>VLOOKUP(AJ687,'FRC Site Data'!$B$3:$L$42,8,FALSE)</f>
        <v>#N/A</v>
      </c>
      <c r="X695" s="10" t="e">
        <f>VLOOKUP(AJ687,'FRC Site Data'!$B$3:$L$42,9,FALSE)</f>
        <v>#N/A</v>
      </c>
      <c r="Y695" s="10" t="e">
        <f>VLOOKUP(AJ687,'FRC Site Data'!$B$3:$L$42,10,FALSE)</f>
        <v>#N/A</v>
      </c>
      <c r="Z695" s="10" t="e">
        <f>VLOOKUP(AJ687,'FRC Site Data'!$B$3:$L$42,11,FALSE)</f>
        <v>#N/A</v>
      </c>
      <c r="AA695" s="10" t="e">
        <f>VLOOKUP(AJ687,'CIR Team Info'!$C$5:$E$44,4,FALSE)</f>
        <v>#N/A</v>
      </c>
      <c r="AB695" s="161" t="b">
        <f>ISNUMBER(VLOOKUP(AJ687,Match!$T$5:$T$10,1,FALSE))</f>
        <v>0</v>
      </c>
      <c r="AC695" s="161" t="b">
        <f>IF(AB695=TRUE,(VLOOKUP($AJ687,Match!$T$5:$U$10,2,FALSE)))</f>
        <v>0</v>
      </c>
      <c r="AD695" s="8">
        <v>3</v>
      </c>
      <c r="AE695" s="8">
        <v>2</v>
      </c>
      <c r="AF695" s="8">
        <v>2</v>
      </c>
      <c r="AG695" s="8">
        <v>1</v>
      </c>
      <c r="AH695" s="8" t="str">
        <f t="shared" si="202"/>
        <v/>
      </c>
    </row>
    <row r="696" spans="1:34" x14ac:dyDescent="0.25">
      <c r="A696" s="29">
        <f t="shared" si="193"/>
        <v>0</v>
      </c>
      <c r="B696" s="29">
        <f t="shared" si="187"/>
        <v>0</v>
      </c>
      <c r="C696" s="29">
        <f t="shared" si="188"/>
        <v>0</v>
      </c>
      <c r="D696" s="29">
        <f t="shared" si="189"/>
        <v>0</v>
      </c>
      <c r="E696" s="29">
        <f t="shared" si="194"/>
        <v>0</v>
      </c>
      <c r="F696" s="29">
        <f t="shared" si="195"/>
        <v>0</v>
      </c>
      <c r="G696" s="29" t="str">
        <f t="shared" si="196"/>
        <v>offensive</v>
      </c>
      <c r="H696" s="16">
        <f t="shared" si="200"/>
        <v>0</v>
      </c>
      <c r="I696" s="16">
        <f t="shared" si="201"/>
        <v>0</v>
      </c>
      <c r="J696" s="16">
        <f t="shared" si="190"/>
        <v>0</v>
      </c>
      <c r="K696" s="16">
        <f t="shared" si="197"/>
        <v>0</v>
      </c>
      <c r="L696" s="67">
        <f t="shared" si="198"/>
        <v>0</v>
      </c>
      <c r="M696" s="4">
        <f t="shared" si="191"/>
        <v>0</v>
      </c>
      <c r="N696" s="4">
        <f t="shared" si="192"/>
        <v>0</v>
      </c>
      <c r="O696" s="4">
        <f t="shared" si="199"/>
        <v>0</v>
      </c>
      <c r="P696" s="4" t="e">
        <f>VLOOKUP(AJ688,'CIR Team Info'!$C$5:$E$44,2,FALSE)</f>
        <v>#N/A</v>
      </c>
      <c r="Q696" s="4" t="e">
        <f>VLOOKUP(AJ688,'CIR Team Info'!$C$5:$E$44,3,FALSE)</f>
        <v>#N/A</v>
      </c>
      <c r="R696" s="10" t="e">
        <f>VLOOKUP(AJ688,'FRC Site Data'!$B$3:$L$42,2,FALSE)</f>
        <v>#N/A</v>
      </c>
      <c r="S696" s="10" t="e">
        <f>VLOOKUP(AJ688,'FRC Site Data'!$B$3:$L$42,3,FALSE)</f>
        <v>#N/A</v>
      </c>
      <c r="T696" s="10" t="e">
        <f>VLOOKUP(AJ688,'FRC Site Data'!$B$3:$L$42,4,FALSE)</f>
        <v>#N/A</v>
      </c>
      <c r="U696" s="10" t="e">
        <f>VLOOKUP(AJ688,'FRC Site Data'!$B$3:$L$42,5,FALSE)</f>
        <v>#N/A</v>
      </c>
      <c r="V696" s="10" t="e">
        <f>VLOOKUP(AJ688,'FRC Site Data'!$B$3:$L$42,6,FALSE)</f>
        <v>#N/A</v>
      </c>
      <c r="W696" s="10" t="e">
        <f>VLOOKUP(AJ688,'FRC Site Data'!$B$3:$L$42,8,FALSE)</f>
        <v>#N/A</v>
      </c>
      <c r="X696" s="10" t="e">
        <f>VLOOKUP(AJ688,'FRC Site Data'!$B$3:$L$42,9,FALSE)</f>
        <v>#N/A</v>
      </c>
      <c r="Y696" s="10" t="e">
        <f>VLOOKUP(AJ688,'FRC Site Data'!$B$3:$L$42,10,FALSE)</f>
        <v>#N/A</v>
      </c>
      <c r="Z696" s="10" t="e">
        <f>VLOOKUP(AJ688,'FRC Site Data'!$B$3:$L$42,11,FALSE)</f>
        <v>#N/A</v>
      </c>
      <c r="AA696" s="10" t="e">
        <f>VLOOKUP(AJ688,'CIR Team Info'!$C$5:$E$44,4,FALSE)</f>
        <v>#N/A</v>
      </c>
      <c r="AB696" s="161" t="b">
        <f>ISNUMBER(VLOOKUP(AJ688,Match!$T$5:$T$10,1,FALSE))</f>
        <v>0</v>
      </c>
      <c r="AC696" s="161" t="b">
        <f>IF(AB696=TRUE,(VLOOKUP($AJ688,Match!$T$5:$U$10,2,FALSE)))</f>
        <v>0</v>
      </c>
      <c r="AD696" s="8">
        <v>3</v>
      </c>
      <c r="AE696" s="8">
        <v>2</v>
      </c>
      <c r="AF696" s="8">
        <v>2</v>
      </c>
      <c r="AG696" s="8">
        <v>1</v>
      </c>
      <c r="AH696" s="8" t="str">
        <f t="shared" si="202"/>
        <v/>
      </c>
    </row>
    <row r="697" spans="1:34" x14ac:dyDescent="0.25">
      <c r="A697" s="29">
        <f t="shared" si="193"/>
        <v>0</v>
      </c>
      <c r="B697" s="29">
        <f t="shared" si="187"/>
        <v>0</v>
      </c>
      <c r="C697" s="29">
        <f t="shared" si="188"/>
        <v>0</v>
      </c>
      <c r="D697" s="29">
        <f t="shared" si="189"/>
        <v>0</v>
      </c>
      <c r="E697" s="29">
        <f t="shared" si="194"/>
        <v>0</v>
      </c>
      <c r="F697" s="29">
        <f t="shared" si="195"/>
        <v>0</v>
      </c>
      <c r="G697" s="29" t="str">
        <f t="shared" si="196"/>
        <v>offensive</v>
      </c>
      <c r="H697" s="16">
        <f t="shared" si="200"/>
        <v>0</v>
      </c>
      <c r="I697" s="16">
        <f t="shared" si="201"/>
        <v>0</v>
      </c>
      <c r="J697" s="16">
        <f t="shared" si="190"/>
        <v>0</v>
      </c>
      <c r="K697" s="16">
        <f t="shared" si="197"/>
        <v>0</v>
      </c>
      <c r="L697" s="67">
        <f t="shared" si="198"/>
        <v>0</v>
      </c>
      <c r="M697" s="4">
        <f t="shared" si="191"/>
        <v>0</v>
      </c>
      <c r="N697" s="4">
        <f t="shared" si="192"/>
        <v>0</v>
      </c>
      <c r="O697" s="4">
        <f t="shared" si="199"/>
        <v>0</v>
      </c>
      <c r="P697" s="4" t="e">
        <f>VLOOKUP(AJ689,'CIR Team Info'!$C$5:$E$44,2,FALSE)</f>
        <v>#N/A</v>
      </c>
      <c r="Q697" s="4" t="e">
        <f>VLOOKUP(AJ689,'CIR Team Info'!$C$5:$E$44,3,FALSE)</f>
        <v>#N/A</v>
      </c>
      <c r="R697" s="10" t="e">
        <f>VLOOKUP(AJ689,'FRC Site Data'!$B$3:$L$42,2,FALSE)</f>
        <v>#N/A</v>
      </c>
      <c r="S697" s="10" t="e">
        <f>VLOOKUP(AJ689,'FRC Site Data'!$B$3:$L$42,3,FALSE)</f>
        <v>#N/A</v>
      </c>
      <c r="T697" s="10" t="e">
        <f>VLOOKUP(AJ689,'FRC Site Data'!$B$3:$L$42,4,FALSE)</f>
        <v>#N/A</v>
      </c>
      <c r="U697" s="10" t="e">
        <f>VLOOKUP(AJ689,'FRC Site Data'!$B$3:$L$42,5,FALSE)</f>
        <v>#N/A</v>
      </c>
      <c r="V697" s="10" t="e">
        <f>VLOOKUP(AJ689,'FRC Site Data'!$B$3:$L$42,6,FALSE)</f>
        <v>#N/A</v>
      </c>
      <c r="W697" s="10" t="e">
        <f>VLOOKUP(AJ689,'FRC Site Data'!$B$3:$L$42,8,FALSE)</f>
        <v>#N/A</v>
      </c>
      <c r="X697" s="10" t="e">
        <f>VLOOKUP(AJ689,'FRC Site Data'!$B$3:$L$42,9,FALSE)</f>
        <v>#N/A</v>
      </c>
      <c r="Y697" s="10" t="e">
        <f>VLOOKUP(AJ689,'FRC Site Data'!$B$3:$L$42,10,FALSE)</f>
        <v>#N/A</v>
      </c>
      <c r="Z697" s="10" t="e">
        <f>VLOOKUP(AJ689,'FRC Site Data'!$B$3:$L$42,11,FALSE)</f>
        <v>#N/A</v>
      </c>
      <c r="AA697" s="10" t="e">
        <f>VLOOKUP(AJ689,'CIR Team Info'!$C$5:$E$44,4,FALSE)</f>
        <v>#N/A</v>
      </c>
      <c r="AB697" s="161" t="b">
        <f>ISNUMBER(VLOOKUP(AJ689,Match!$T$5:$T$10,1,FALSE))</f>
        <v>0</v>
      </c>
      <c r="AC697" s="161" t="b">
        <f>IF(AB697=TRUE,(VLOOKUP($AJ689,Match!$T$5:$U$10,2,FALSE)))</f>
        <v>0</v>
      </c>
      <c r="AD697" s="8">
        <v>3</v>
      </c>
      <c r="AE697" s="8">
        <v>2</v>
      </c>
      <c r="AF697" s="8">
        <v>2</v>
      </c>
      <c r="AG697" s="8">
        <v>1</v>
      </c>
      <c r="AH697" s="8" t="str">
        <f t="shared" si="202"/>
        <v/>
      </c>
    </row>
    <row r="698" spans="1:34" x14ac:dyDescent="0.25">
      <c r="A698" s="29">
        <f t="shared" si="193"/>
        <v>0</v>
      </c>
      <c r="B698" s="29">
        <f t="shared" si="187"/>
        <v>0</v>
      </c>
      <c r="C698" s="29">
        <f t="shared" si="188"/>
        <v>0</v>
      </c>
      <c r="D698" s="29">
        <f t="shared" si="189"/>
        <v>0</v>
      </c>
      <c r="E698" s="29">
        <f t="shared" si="194"/>
        <v>0</v>
      </c>
      <c r="F698" s="29">
        <f t="shared" si="195"/>
        <v>0</v>
      </c>
      <c r="G698" s="29" t="str">
        <f t="shared" si="196"/>
        <v>offensive</v>
      </c>
      <c r="H698" s="16">
        <f t="shared" si="200"/>
        <v>0</v>
      </c>
      <c r="I698" s="16">
        <f t="shared" si="201"/>
        <v>0</v>
      </c>
      <c r="J698" s="16">
        <f t="shared" si="190"/>
        <v>0</v>
      </c>
      <c r="K698" s="16">
        <f t="shared" si="197"/>
        <v>0</v>
      </c>
      <c r="L698" s="67">
        <f t="shared" si="198"/>
        <v>0</v>
      </c>
      <c r="M698" s="4">
        <f t="shared" si="191"/>
        <v>0</v>
      </c>
      <c r="N698" s="4">
        <f t="shared" si="192"/>
        <v>0</v>
      </c>
      <c r="O698" s="4">
        <f t="shared" si="199"/>
        <v>0</v>
      </c>
      <c r="P698" s="4" t="e">
        <f>VLOOKUP(AJ690,'CIR Team Info'!$C$5:$E$44,2,FALSE)</f>
        <v>#N/A</v>
      </c>
      <c r="Q698" s="4" t="e">
        <f>VLOOKUP(AJ690,'CIR Team Info'!$C$5:$E$44,3,FALSE)</f>
        <v>#N/A</v>
      </c>
      <c r="R698" s="10" t="e">
        <f>VLOOKUP(AJ690,'FRC Site Data'!$B$3:$L$42,2,FALSE)</f>
        <v>#N/A</v>
      </c>
      <c r="S698" s="10" t="e">
        <f>VLOOKUP(AJ690,'FRC Site Data'!$B$3:$L$42,3,FALSE)</f>
        <v>#N/A</v>
      </c>
      <c r="T698" s="10" t="e">
        <f>VLOOKUP(AJ690,'FRC Site Data'!$B$3:$L$42,4,FALSE)</f>
        <v>#N/A</v>
      </c>
      <c r="U698" s="10" t="e">
        <f>VLOOKUP(AJ690,'FRC Site Data'!$B$3:$L$42,5,FALSE)</f>
        <v>#N/A</v>
      </c>
      <c r="V698" s="10" t="e">
        <f>VLOOKUP(AJ690,'FRC Site Data'!$B$3:$L$42,6,FALSE)</f>
        <v>#N/A</v>
      </c>
      <c r="W698" s="10" t="e">
        <f>VLOOKUP(AJ690,'FRC Site Data'!$B$3:$L$42,8,FALSE)</f>
        <v>#N/A</v>
      </c>
      <c r="X698" s="10" t="e">
        <f>VLOOKUP(AJ690,'FRC Site Data'!$B$3:$L$42,9,FALSE)</f>
        <v>#N/A</v>
      </c>
      <c r="Y698" s="10" t="e">
        <f>VLOOKUP(AJ690,'FRC Site Data'!$B$3:$L$42,10,FALSE)</f>
        <v>#N/A</v>
      </c>
      <c r="Z698" s="10" t="e">
        <f>VLOOKUP(AJ690,'FRC Site Data'!$B$3:$L$42,11,FALSE)</f>
        <v>#N/A</v>
      </c>
      <c r="AA698" s="10" t="e">
        <f>VLOOKUP(AJ690,'CIR Team Info'!$C$5:$E$44,4,FALSE)</f>
        <v>#N/A</v>
      </c>
      <c r="AB698" s="161" t="b">
        <f>ISNUMBER(VLOOKUP(AJ690,Match!$T$5:$T$10,1,FALSE))</f>
        <v>0</v>
      </c>
      <c r="AC698" s="161" t="b">
        <f>IF(AB698=TRUE,(VLOOKUP($AJ690,Match!$T$5:$U$10,2,FALSE)))</f>
        <v>0</v>
      </c>
      <c r="AD698" s="8">
        <v>3</v>
      </c>
      <c r="AE698" s="8">
        <v>2</v>
      </c>
      <c r="AF698" s="8">
        <v>2</v>
      </c>
      <c r="AG698" s="8">
        <v>1</v>
      </c>
      <c r="AH698" s="8" t="str">
        <f t="shared" si="202"/>
        <v/>
      </c>
    </row>
    <row r="699" spans="1:34" x14ac:dyDescent="0.25">
      <c r="A699" s="29">
        <f t="shared" si="193"/>
        <v>0</v>
      </c>
      <c r="B699" s="29">
        <f t="shared" si="187"/>
        <v>0</v>
      </c>
      <c r="C699" s="29">
        <f t="shared" si="188"/>
        <v>0</v>
      </c>
      <c r="D699" s="29">
        <f t="shared" si="189"/>
        <v>0</v>
      </c>
      <c r="E699" s="29">
        <f t="shared" si="194"/>
        <v>0</v>
      </c>
      <c r="F699" s="29">
        <f t="shared" si="195"/>
        <v>0</v>
      </c>
      <c r="G699" s="29" t="str">
        <f t="shared" si="196"/>
        <v>offensive</v>
      </c>
      <c r="H699" s="16">
        <f t="shared" si="200"/>
        <v>0</v>
      </c>
      <c r="I699" s="16">
        <f t="shared" si="201"/>
        <v>0</v>
      </c>
      <c r="J699" s="16">
        <f t="shared" si="190"/>
        <v>0</v>
      </c>
      <c r="K699" s="16">
        <f t="shared" si="197"/>
        <v>0</v>
      </c>
      <c r="L699" s="67">
        <f t="shared" si="198"/>
        <v>0</v>
      </c>
      <c r="M699" s="4">
        <f t="shared" si="191"/>
        <v>0</v>
      </c>
      <c r="N699" s="4">
        <f t="shared" si="192"/>
        <v>0</v>
      </c>
      <c r="O699" s="4">
        <f t="shared" si="199"/>
        <v>0</v>
      </c>
      <c r="P699" s="4" t="e">
        <f>VLOOKUP(AJ691,'CIR Team Info'!$C$5:$E$44,2,FALSE)</f>
        <v>#N/A</v>
      </c>
      <c r="Q699" s="4" t="e">
        <f>VLOOKUP(AJ691,'CIR Team Info'!$C$5:$E$44,3,FALSE)</f>
        <v>#N/A</v>
      </c>
      <c r="R699" s="10" t="e">
        <f>VLOOKUP(AJ691,'FRC Site Data'!$B$3:$L$42,2,FALSE)</f>
        <v>#N/A</v>
      </c>
      <c r="S699" s="10" t="e">
        <f>VLOOKUP(AJ691,'FRC Site Data'!$B$3:$L$42,3,FALSE)</f>
        <v>#N/A</v>
      </c>
      <c r="T699" s="10" t="e">
        <f>VLOOKUP(AJ691,'FRC Site Data'!$B$3:$L$42,4,FALSE)</f>
        <v>#N/A</v>
      </c>
      <c r="U699" s="10" t="e">
        <f>VLOOKUP(AJ691,'FRC Site Data'!$B$3:$L$42,5,FALSE)</f>
        <v>#N/A</v>
      </c>
      <c r="V699" s="10" t="e">
        <f>VLOOKUP(AJ691,'FRC Site Data'!$B$3:$L$42,6,FALSE)</f>
        <v>#N/A</v>
      </c>
      <c r="W699" s="10" t="e">
        <f>VLOOKUP(AJ691,'FRC Site Data'!$B$3:$L$42,8,FALSE)</f>
        <v>#N/A</v>
      </c>
      <c r="X699" s="10" t="e">
        <f>VLOOKUP(AJ691,'FRC Site Data'!$B$3:$L$42,9,FALSE)</f>
        <v>#N/A</v>
      </c>
      <c r="Y699" s="10" t="e">
        <f>VLOOKUP(AJ691,'FRC Site Data'!$B$3:$L$42,10,FALSE)</f>
        <v>#N/A</v>
      </c>
      <c r="Z699" s="10" t="e">
        <f>VLOOKUP(AJ691,'FRC Site Data'!$B$3:$L$42,11,FALSE)</f>
        <v>#N/A</v>
      </c>
      <c r="AA699" s="10" t="e">
        <f>VLOOKUP(AJ691,'CIR Team Info'!$C$5:$E$44,4,FALSE)</f>
        <v>#N/A</v>
      </c>
      <c r="AB699" s="161" t="b">
        <f>ISNUMBER(VLOOKUP(AJ691,Match!$T$5:$T$10,1,FALSE))</f>
        <v>0</v>
      </c>
      <c r="AC699" s="161" t="b">
        <f>IF(AB699=TRUE,(VLOOKUP($AJ691,Match!$T$5:$U$10,2,FALSE)))</f>
        <v>0</v>
      </c>
      <c r="AD699" s="8">
        <v>3</v>
      </c>
      <c r="AE699" s="8">
        <v>2</v>
      </c>
      <c r="AF699" s="8">
        <v>2</v>
      </c>
      <c r="AG699" s="8">
        <v>1</v>
      </c>
      <c r="AH699" s="8" t="str">
        <f t="shared" si="202"/>
        <v/>
      </c>
    </row>
    <row r="700" spans="1:34" x14ac:dyDescent="0.25">
      <c r="A700" s="29">
        <f t="shared" si="193"/>
        <v>0</v>
      </c>
      <c r="B700" s="29">
        <f t="shared" si="187"/>
        <v>0</v>
      </c>
      <c r="C700" s="29">
        <f t="shared" si="188"/>
        <v>0</v>
      </c>
      <c r="D700" s="29">
        <f t="shared" si="189"/>
        <v>0</v>
      </c>
      <c r="E700" s="29">
        <f t="shared" si="194"/>
        <v>0</v>
      </c>
      <c r="F700" s="29">
        <f t="shared" si="195"/>
        <v>0</v>
      </c>
      <c r="G700" s="29" t="str">
        <f t="shared" si="196"/>
        <v>offensive</v>
      </c>
      <c r="H700" s="16">
        <f t="shared" si="200"/>
        <v>0</v>
      </c>
      <c r="I700" s="16">
        <f t="shared" si="201"/>
        <v>0</v>
      </c>
      <c r="J700" s="16">
        <f t="shared" si="190"/>
        <v>0</v>
      </c>
      <c r="K700" s="16">
        <f t="shared" si="197"/>
        <v>0</v>
      </c>
      <c r="L700" s="67">
        <f t="shared" si="198"/>
        <v>0</v>
      </c>
      <c r="M700" s="4">
        <f t="shared" si="191"/>
        <v>0</v>
      </c>
      <c r="N700" s="4">
        <f t="shared" si="192"/>
        <v>0</v>
      </c>
      <c r="O700" s="4">
        <f t="shared" si="199"/>
        <v>0</v>
      </c>
      <c r="P700" s="4" t="e">
        <f>VLOOKUP(AJ692,'CIR Team Info'!$C$5:$E$44,2,FALSE)</f>
        <v>#N/A</v>
      </c>
      <c r="Q700" s="4" t="e">
        <f>VLOOKUP(AJ692,'CIR Team Info'!$C$5:$E$44,3,FALSE)</f>
        <v>#N/A</v>
      </c>
      <c r="R700" s="10" t="e">
        <f>VLOOKUP(AJ692,'FRC Site Data'!$B$3:$L$42,2,FALSE)</f>
        <v>#N/A</v>
      </c>
      <c r="S700" s="10" t="e">
        <f>VLOOKUP(AJ692,'FRC Site Data'!$B$3:$L$42,3,FALSE)</f>
        <v>#N/A</v>
      </c>
      <c r="T700" s="10" t="e">
        <f>VLOOKUP(AJ692,'FRC Site Data'!$B$3:$L$42,4,FALSE)</f>
        <v>#N/A</v>
      </c>
      <c r="U700" s="10" t="e">
        <f>VLOOKUP(AJ692,'FRC Site Data'!$B$3:$L$42,5,FALSE)</f>
        <v>#N/A</v>
      </c>
      <c r="V700" s="10" t="e">
        <f>VLOOKUP(AJ692,'FRC Site Data'!$B$3:$L$42,6,FALSE)</f>
        <v>#N/A</v>
      </c>
      <c r="W700" s="10" t="e">
        <f>VLOOKUP(AJ692,'FRC Site Data'!$B$3:$L$42,8,FALSE)</f>
        <v>#N/A</v>
      </c>
      <c r="X700" s="10" t="e">
        <f>VLOOKUP(AJ692,'FRC Site Data'!$B$3:$L$42,9,FALSE)</f>
        <v>#N/A</v>
      </c>
      <c r="Y700" s="10" t="e">
        <f>VLOOKUP(AJ692,'FRC Site Data'!$B$3:$L$42,10,FALSE)</f>
        <v>#N/A</v>
      </c>
      <c r="Z700" s="10" t="e">
        <f>VLOOKUP(AJ692,'FRC Site Data'!$B$3:$L$42,11,FALSE)</f>
        <v>#N/A</v>
      </c>
      <c r="AA700" s="10" t="e">
        <f>VLOOKUP(AJ692,'CIR Team Info'!$C$5:$E$44,4,FALSE)</f>
        <v>#N/A</v>
      </c>
      <c r="AB700" s="161" t="b">
        <f>ISNUMBER(VLOOKUP(AJ692,Match!$T$5:$T$10,1,FALSE))</f>
        <v>0</v>
      </c>
      <c r="AC700" s="161" t="b">
        <f>IF(AB700=TRUE,(VLOOKUP($AJ692,Match!$T$5:$U$10,2,FALSE)))</f>
        <v>0</v>
      </c>
      <c r="AD700" s="8">
        <v>3</v>
      </c>
      <c r="AE700" s="8">
        <v>2</v>
      </c>
      <c r="AF700" s="8">
        <v>2</v>
      </c>
      <c r="AG700" s="8">
        <v>1</v>
      </c>
      <c r="AH700" s="8" t="str">
        <f t="shared" si="202"/>
        <v/>
      </c>
    </row>
    <row r="701" spans="1:34" x14ac:dyDescent="0.25">
      <c r="A701" s="29">
        <f t="shared" si="193"/>
        <v>0</v>
      </c>
      <c r="B701" s="29">
        <f t="shared" si="187"/>
        <v>0</v>
      </c>
      <c r="C701" s="29">
        <f t="shared" si="188"/>
        <v>0</v>
      </c>
      <c r="D701" s="29">
        <f t="shared" si="189"/>
        <v>0</v>
      </c>
      <c r="E701" s="29">
        <f t="shared" si="194"/>
        <v>0</v>
      </c>
      <c r="F701" s="29">
        <f t="shared" si="195"/>
        <v>0</v>
      </c>
      <c r="G701" s="29" t="str">
        <f t="shared" si="196"/>
        <v>offensive</v>
      </c>
      <c r="H701" s="16">
        <f t="shared" si="200"/>
        <v>0</v>
      </c>
      <c r="I701" s="16">
        <f t="shared" si="201"/>
        <v>0</v>
      </c>
      <c r="J701" s="16">
        <f t="shared" si="190"/>
        <v>0</v>
      </c>
      <c r="K701" s="16">
        <f t="shared" si="197"/>
        <v>0</v>
      </c>
      <c r="L701" s="67">
        <f t="shared" si="198"/>
        <v>0</v>
      </c>
      <c r="M701" s="4">
        <f t="shared" si="191"/>
        <v>0</v>
      </c>
      <c r="N701" s="4">
        <f t="shared" si="192"/>
        <v>0</v>
      </c>
      <c r="O701" s="4">
        <f t="shared" si="199"/>
        <v>0</v>
      </c>
      <c r="P701" s="4" t="e">
        <f>VLOOKUP(AJ693,'CIR Team Info'!$C$5:$E$44,2,FALSE)</f>
        <v>#N/A</v>
      </c>
      <c r="Q701" s="4" t="e">
        <f>VLOOKUP(AJ693,'CIR Team Info'!$C$5:$E$44,3,FALSE)</f>
        <v>#N/A</v>
      </c>
      <c r="R701" s="10" t="e">
        <f>VLOOKUP(AJ693,'FRC Site Data'!$B$3:$L$42,2,FALSE)</f>
        <v>#N/A</v>
      </c>
      <c r="S701" s="10" t="e">
        <f>VLOOKUP(AJ693,'FRC Site Data'!$B$3:$L$42,3,FALSE)</f>
        <v>#N/A</v>
      </c>
      <c r="T701" s="10" t="e">
        <f>VLOOKUP(AJ693,'FRC Site Data'!$B$3:$L$42,4,FALSE)</f>
        <v>#N/A</v>
      </c>
      <c r="U701" s="10" t="e">
        <f>VLOOKUP(AJ693,'FRC Site Data'!$B$3:$L$42,5,FALSE)</f>
        <v>#N/A</v>
      </c>
      <c r="V701" s="10" t="e">
        <f>VLOOKUP(AJ693,'FRC Site Data'!$B$3:$L$42,6,FALSE)</f>
        <v>#N/A</v>
      </c>
      <c r="W701" s="10" t="e">
        <f>VLOOKUP(AJ693,'FRC Site Data'!$B$3:$L$42,8,FALSE)</f>
        <v>#N/A</v>
      </c>
      <c r="X701" s="10" t="e">
        <f>VLOOKUP(AJ693,'FRC Site Data'!$B$3:$L$42,9,FALSE)</f>
        <v>#N/A</v>
      </c>
      <c r="Y701" s="10" t="e">
        <f>VLOOKUP(AJ693,'FRC Site Data'!$B$3:$L$42,10,FALSE)</f>
        <v>#N/A</v>
      </c>
      <c r="Z701" s="10" t="e">
        <f>VLOOKUP(AJ693,'FRC Site Data'!$B$3:$L$42,11,FALSE)</f>
        <v>#N/A</v>
      </c>
      <c r="AA701" s="10" t="e">
        <f>VLOOKUP(AJ693,'CIR Team Info'!$C$5:$E$44,4,FALSE)</f>
        <v>#N/A</v>
      </c>
      <c r="AB701" s="161" t="b">
        <f>ISNUMBER(VLOOKUP(AJ693,Match!$T$5:$T$10,1,FALSE))</f>
        <v>0</v>
      </c>
      <c r="AC701" s="161" t="b">
        <f>IF(AB701=TRUE,(VLOOKUP($AJ693,Match!$T$5:$U$10,2,FALSE)))</f>
        <v>0</v>
      </c>
      <c r="AD701" s="8">
        <v>3</v>
      </c>
      <c r="AE701" s="8">
        <v>2</v>
      </c>
      <c r="AF701" s="8">
        <v>2</v>
      </c>
      <c r="AG701" s="8">
        <v>1</v>
      </c>
      <c r="AH701" s="8" t="str">
        <f t="shared" si="202"/>
        <v/>
      </c>
    </row>
    <row r="702" spans="1:34" x14ac:dyDescent="0.25">
      <c r="A702" s="29">
        <f t="shared" si="193"/>
        <v>0</v>
      </c>
      <c r="B702" s="29">
        <f t="shared" si="187"/>
        <v>0</v>
      </c>
      <c r="C702" s="29">
        <f t="shared" si="188"/>
        <v>0</v>
      </c>
      <c r="D702" s="29">
        <f t="shared" si="189"/>
        <v>0</v>
      </c>
      <c r="E702" s="29">
        <f t="shared" si="194"/>
        <v>0</v>
      </c>
      <c r="F702" s="29">
        <f t="shared" si="195"/>
        <v>0</v>
      </c>
      <c r="G702" s="29" t="str">
        <f t="shared" si="196"/>
        <v>offensive</v>
      </c>
      <c r="H702" s="16">
        <f t="shared" si="200"/>
        <v>0</v>
      </c>
      <c r="I702" s="16">
        <f t="shared" si="201"/>
        <v>0</v>
      </c>
      <c r="J702" s="16">
        <f t="shared" si="190"/>
        <v>0</v>
      </c>
      <c r="K702" s="16">
        <f t="shared" si="197"/>
        <v>0</v>
      </c>
      <c r="L702" s="67">
        <f t="shared" si="198"/>
        <v>0</v>
      </c>
      <c r="M702" s="4">
        <f t="shared" si="191"/>
        <v>0</v>
      </c>
      <c r="N702" s="4">
        <f t="shared" si="192"/>
        <v>0</v>
      </c>
      <c r="O702" s="4">
        <f t="shared" si="199"/>
        <v>0</v>
      </c>
      <c r="P702" s="4" t="e">
        <f>VLOOKUP(AJ694,'CIR Team Info'!$C$5:$E$44,2,FALSE)</f>
        <v>#N/A</v>
      </c>
      <c r="Q702" s="4" t="e">
        <f>VLOOKUP(AJ694,'CIR Team Info'!$C$5:$E$44,3,FALSE)</f>
        <v>#N/A</v>
      </c>
      <c r="R702" s="10" t="e">
        <f>VLOOKUP(AJ694,'FRC Site Data'!$B$3:$L$42,2,FALSE)</f>
        <v>#N/A</v>
      </c>
      <c r="S702" s="10" t="e">
        <f>VLOOKUP(AJ694,'FRC Site Data'!$B$3:$L$42,3,FALSE)</f>
        <v>#N/A</v>
      </c>
      <c r="T702" s="10" t="e">
        <f>VLOOKUP(AJ694,'FRC Site Data'!$B$3:$L$42,4,FALSE)</f>
        <v>#N/A</v>
      </c>
      <c r="U702" s="10" t="e">
        <f>VLOOKUP(AJ694,'FRC Site Data'!$B$3:$L$42,5,FALSE)</f>
        <v>#N/A</v>
      </c>
      <c r="V702" s="10" t="e">
        <f>VLOOKUP(AJ694,'FRC Site Data'!$B$3:$L$42,6,FALSE)</f>
        <v>#N/A</v>
      </c>
      <c r="W702" s="10" t="e">
        <f>VLOOKUP(AJ694,'FRC Site Data'!$B$3:$L$42,8,FALSE)</f>
        <v>#N/A</v>
      </c>
      <c r="X702" s="10" t="e">
        <f>VLOOKUP(AJ694,'FRC Site Data'!$B$3:$L$42,9,FALSE)</f>
        <v>#N/A</v>
      </c>
      <c r="Y702" s="10" t="e">
        <f>VLOOKUP(AJ694,'FRC Site Data'!$B$3:$L$42,10,FALSE)</f>
        <v>#N/A</v>
      </c>
      <c r="Z702" s="10" t="e">
        <f>VLOOKUP(AJ694,'FRC Site Data'!$B$3:$L$42,11,FALSE)</f>
        <v>#N/A</v>
      </c>
      <c r="AA702" s="10" t="e">
        <f>VLOOKUP(AJ694,'CIR Team Info'!$C$5:$E$44,4,FALSE)</f>
        <v>#N/A</v>
      </c>
      <c r="AB702" s="161" t="b">
        <f>ISNUMBER(VLOOKUP(AJ694,Match!$T$5:$T$10,1,FALSE))</f>
        <v>0</v>
      </c>
      <c r="AC702" s="161" t="b">
        <f>IF(AB702=TRUE,(VLOOKUP($AJ694,Match!$T$5:$U$10,2,FALSE)))</f>
        <v>0</v>
      </c>
      <c r="AD702" s="8">
        <v>3</v>
      </c>
      <c r="AE702" s="8">
        <v>2</v>
      </c>
      <c r="AF702" s="8">
        <v>2</v>
      </c>
      <c r="AG702" s="8">
        <v>1</v>
      </c>
      <c r="AH702" s="8" t="str">
        <f t="shared" si="202"/>
        <v/>
      </c>
    </row>
    <row r="703" spans="1:34" x14ac:dyDescent="0.25">
      <c r="A703" s="29">
        <f t="shared" si="193"/>
        <v>0</v>
      </c>
      <c r="B703" s="29">
        <f t="shared" si="187"/>
        <v>0</v>
      </c>
      <c r="C703" s="29">
        <f t="shared" si="188"/>
        <v>0</v>
      </c>
      <c r="D703" s="29">
        <f t="shared" si="189"/>
        <v>0</v>
      </c>
      <c r="E703" s="29">
        <f t="shared" si="194"/>
        <v>0</v>
      </c>
      <c r="F703" s="29">
        <f t="shared" si="195"/>
        <v>0</v>
      </c>
      <c r="G703" s="29" t="str">
        <f t="shared" si="196"/>
        <v>offensive</v>
      </c>
      <c r="H703" s="16">
        <f t="shared" si="200"/>
        <v>0</v>
      </c>
      <c r="I703" s="16">
        <f t="shared" si="201"/>
        <v>0</v>
      </c>
      <c r="J703" s="16">
        <f t="shared" si="190"/>
        <v>0</v>
      </c>
      <c r="K703" s="16">
        <f t="shared" si="197"/>
        <v>0</v>
      </c>
      <c r="L703" s="67">
        <f t="shared" si="198"/>
        <v>0</v>
      </c>
      <c r="M703" s="4">
        <f t="shared" si="191"/>
        <v>0</v>
      </c>
      <c r="N703" s="4">
        <f t="shared" si="192"/>
        <v>0</v>
      </c>
      <c r="O703" s="4">
        <f t="shared" si="199"/>
        <v>0</v>
      </c>
      <c r="P703" s="4" t="e">
        <f>VLOOKUP(AJ695,'CIR Team Info'!$C$5:$E$44,2,FALSE)</f>
        <v>#N/A</v>
      </c>
      <c r="Q703" s="4" t="e">
        <f>VLOOKUP(AJ695,'CIR Team Info'!$C$5:$E$44,3,FALSE)</f>
        <v>#N/A</v>
      </c>
      <c r="R703" s="10" t="e">
        <f>VLOOKUP(AJ695,'FRC Site Data'!$B$3:$L$42,2,FALSE)</f>
        <v>#N/A</v>
      </c>
      <c r="S703" s="10" t="e">
        <f>VLOOKUP(AJ695,'FRC Site Data'!$B$3:$L$42,3,FALSE)</f>
        <v>#N/A</v>
      </c>
      <c r="T703" s="10" t="e">
        <f>VLOOKUP(AJ695,'FRC Site Data'!$B$3:$L$42,4,FALSE)</f>
        <v>#N/A</v>
      </c>
      <c r="U703" s="10" t="e">
        <f>VLOOKUP(AJ695,'FRC Site Data'!$B$3:$L$42,5,FALSE)</f>
        <v>#N/A</v>
      </c>
      <c r="V703" s="10" t="e">
        <f>VLOOKUP(AJ695,'FRC Site Data'!$B$3:$L$42,6,FALSE)</f>
        <v>#N/A</v>
      </c>
      <c r="W703" s="10" t="e">
        <f>VLOOKUP(AJ695,'FRC Site Data'!$B$3:$L$42,8,FALSE)</f>
        <v>#N/A</v>
      </c>
      <c r="X703" s="10" t="e">
        <f>VLOOKUP(AJ695,'FRC Site Data'!$B$3:$L$42,9,FALSE)</f>
        <v>#N/A</v>
      </c>
      <c r="Y703" s="10" t="e">
        <f>VLOOKUP(AJ695,'FRC Site Data'!$B$3:$L$42,10,FALSE)</f>
        <v>#N/A</v>
      </c>
      <c r="Z703" s="10" t="e">
        <f>VLOOKUP(AJ695,'FRC Site Data'!$B$3:$L$42,11,FALSE)</f>
        <v>#N/A</v>
      </c>
      <c r="AA703" s="10" t="e">
        <f>VLOOKUP(AJ695,'CIR Team Info'!$C$5:$E$44,4,FALSE)</f>
        <v>#N/A</v>
      </c>
      <c r="AB703" s="161" t="b">
        <f>ISNUMBER(VLOOKUP(AJ695,Match!$T$5:$T$10,1,FALSE))</f>
        <v>0</v>
      </c>
      <c r="AC703" s="161" t="b">
        <f>IF(AB703=TRUE,(VLOOKUP($AJ695,Match!$T$5:$U$10,2,FALSE)))</f>
        <v>0</v>
      </c>
      <c r="AD703" s="8">
        <v>3</v>
      </c>
      <c r="AE703" s="8">
        <v>2</v>
      </c>
      <c r="AF703" s="8">
        <v>2</v>
      </c>
      <c r="AG703" s="8">
        <v>1</v>
      </c>
      <c r="AH703" s="8" t="str">
        <f t="shared" si="202"/>
        <v/>
      </c>
    </row>
    <row r="704" spans="1:34" x14ac:dyDescent="0.25">
      <c r="A704" s="29">
        <f t="shared" si="193"/>
        <v>0</v>
      </c>
      <c r="B704" s="29">
        <f t="shared" si="187"/>
        <v>0</v>
      </c>
      <c r="C704" s="29">
        <f t="shared" si="188"/>
        <v>0</v>
      </c>
      <c r="D704" s="29">
        <f t="shared" si="189"/>
        <v>0</v>
      </c>
      <c r="E704" s="29">
        <f t="shared" si="194"/>
        <v>0</v>
      </c>
      <c r="F704" s="29">
        <f t="shared" si="195"/>
        <v>0</v>
      </c>
      <c r="G704" s="29" t="str">
        <f t="shared" si="196"/>
        <v>offensive</v>
      </c>
      <c r="H704" s="16">
        <f t="shared" si="200"/>
        <v>0</v>
      </c>
      <c r="I704" s="16">
        <f t="shared" si="201"/>
        <v>0</v>
      </c>
      <c r="J704" s="16">
        <f t="shared" si="190"/>
        <v>0</v>
      </c>
      <c r="K704" s="16">
        <f t="shared" si="197"/>
        <v>0</v>
      </c>
      <c r="L704" s="67">
        <f t="shared" si="198"/>
        <v>0</v>
      </c>
      <c r="M704" s="4">
        <f t="shared" si="191"/>
        <v>0</v>
      </c>
      <c r="N704" s="4">
        <f t="shared" si="192"/>
        <v>0</v>
      </c>
      <c r="O704" s="4">
        <f t="shared" si="199"/>
        <v>0</v>
      </c>
      <c r="P704" s="4" t="e">
        <f>VLOOKUP(AJ696,'CIR Team Info'!$C$5:$E$44,2,FALSE)</f>
        <v>#N/A</v>
      </c>
      <c r="Q704" s="4" t="e">
        <f>VLOOKUP(AJ696,'CIR Team Info'!$C$5:$E$44,3,FALSE)</f>
        <v>#N/A</v>
      </c>
      <c r="R704" s="10" t="e">
        <f>VLOOKUP(AJ696,'FRC Site Data'!$B$3:$L$42,2,FALSE)</f>
        <v>#N/A</v>
      </c>
      <c r="S704" s="10" t="e">
        <f>VLOOKUP(AJ696,'FRC Site Data'!$B$3:$L$42,3,FALSE)</f>
        <v>#N/A</v>
      </c>
      <c r="T704" s="10" t="e">
        <f>VLOOKUP(AJ696,'FRC Site Data'!$B$3:$L$42,4,FALSE)</f>
        <v>#N/A</v>
      </c>
      <c r="U704" s="10" t="e">
        <f>VLOOKUP(AJ696,'FRC Site Data'!$B$3:$L$42,5,FALSE)</f>
        <v>#N/A</v>
      </c>
      <c r="V704" s="10" t="e">
        <f>VLOOKUP(AJ696,'FRC Site Data'!$B$3:$L$42,6,FALSE)</f>
        <v>#N/A</v>
      </c>
      <c r="W704" s="10" t="e">
        <f>VLOOKUP(AJ696,'FRC Site Data'!$B$3:$L$42,8,FALSE)</f>
        <v>#N/A</v>
      </c>
      <c r="X704" s="10" t="e">
        <f>VLOOKUP(AJ696,'FRC Site Data'!$B$3:$L$42,9,FALSE)</f>
        <v>#N/A</v>
      </c>
      <c r="Y704" s="10" t="e">
        <f>VLOOKUP(AJ696,'FRC Site Data'!$B$3:$L$42,10,FALSE)</f>
        <v>#N/A</v>
      </c>
      <c r="Z704" s="10" t="e">
        <f>VLOOKUP(AJ696,'FRC Site Data'!$B$3:$L$42,11,FALSE)</f>
        <v>#N/A</v>
      </c>
      <c r="AA704" s="10" t="e">
        <f>VLOOKUP(AJ696,'CIR Team Info'!$C$5:$E$44,4,FALSE)</f>
        <v>#N/A</v>
      </c>
      <c r="AB704" s="161" t="b">
        <f>ISNUMBER(VLOOKUP(AJ696,Match!$T$5:$T$10,1,FALSE))</f>
        <v>0</v>
      </c>
      <c r="AC704" s="161" t="b">
        <f>IF(AB704=TRUE,(VLOOKUP($AJ696,Match!$T$5:$U$10,2,FALSE)))</f>
        <v>0</v>
      </c>
      <c r="AD704" s="8">
        <v>3</v>
      </c>
      <c r="AE704" s="8">
        <v>2</v>
      </c>
      <c r="AF704" s="8">
        <v>2</v>
      </c>
      <c r="AG704" s="8">
        <v>1</v>
      </c>
      <c r="AH704" s="8" t="str">
        <f t="shared" si="202"/>
        <v/>
      </c>
    </row>
    <row r="705" spans="1:34" x14ac:dyDescent="0.25">
      <c r="A705" s="29">
        <f t="shared" si="193"/>
        <v>0</v>
      </c>
      <c r="B705" s="29">
        <f t="shared" si="187"/>
        <v>0</v>
      </c>
      <c r="C705" s="29">
        <f t="shared" si="188"/>
        <v>0</v>
      </c>
      <c r="D705" s="29">
        <f t="shared" si="189"/>
        <v>0</v>
      </c>
      <c r="E705" s="29">
        <f t="shared" si="194"/>
        <v>0</v>
      </c>
      <c r="F705" s="29">
        <f t="shared" si="195"/>
        <v>0</v>
      </c>
      <c r="G705" s="29" t="str">
        <f t="shared" si="196"/>
        <v>offensive</v>
      </c>
      <c r="H705" s="16">
        <f t="shared" si="200"/>
        <v>0</v>
      </c>
      <c r="I705" s="16">
        <f t="shared" si="201"/>
        <v>0</v>
      </c>
      <c r="J705" s="16">
        <f t="shared" si="190"/>
        <v>0</v>
      </c>
      <c r="K705" s="16">
        <f t="shared" si="197"/>
        <v>0</v>
      </c>
      <c r="L705" s="67">
        <f t="shared" si="198"/>
        <v>0</v>
      </c>
      <c r="M705" s="4">
        <f t="shared" si="191"/>
        <v>0</v>
      </c>
      <c r="N705" s="4">
        <f t="shared" si="192"/>
        <v>0</v>
      </c>
      <c r="O705" s="4">
        <f t="shared" si="199"/>
        <v>0</v>
      </c>
      <c r="P705" s="4" t="e">
        <f>VLOOKUP(AJ697,'CIR Team Info'!$C$5:$E$44,2,FALSE)</f>
        <v>#N/A</v>
      </c>
      <c r="Q705" s="4" t="e">
        <f>VLOOKUP(AJ697,'CIR Team Info'!$C$5:$E$44,3,FALSE)</f>
        <v>#N/A</v>
      </c>
      <c r="R705" s="10" t="e">
        <f>VLOOKUP(AJ697,'FRC Site Data'!$B$3:$L$42,2,FALSE)</f>
        <v>#N/A</v>
      </c>
      <c r="S705" s="10" t="e">
        <f>VLOOKUP(AJ697,'FRC Site Data'!$B$3:$L$42,3,FALSE)</f>
        <v>#N/A</v>
      </c>
      <c r="T705" s="10" t="e">
        <f>VLOOKUP(AJ697,'FRC Site Data'!$B$3:$L$42,4,FALSE)</f>
        <v>#N/A</v>
      </c>
      <c r="U705" s="10" t="e">
        <f>VLOOKUP(AJ697,'FRC Site Data'!$B$3:$L$42,5,FALSE)</f>
        <v>#N/A</v>
      </c>
      <c r="V705" s="10" t="e">
        <f>VLOOKUP(AJ697,'FRC Site Data'!$B$3:$L$42,6,FALSE)</f>
        <v>#N/A</v>
      </c>
      <c r="W705" s="10" t="e">
        <f>VLOOKUP(AJ697,'FRC Site Data'!$B$3:$L$42,8,FALSE)</f>
        <v>#N/A</v>
      </c>
      <c r="X705" s="10" t="e">
        <f>VLOOKUP(AJ697,'FRC Site Data'!$B$3:$L$42,9,FALSE)</f>
        <v>#N/A</v>
      </c>
      <c r="Y705" s="10" t="e">
        <f>VLOOKUP(AJ697,'FRC Site Data'!$B$3:$L$42,10,FALSE)</f>
        <v>#N/A</v>
      </c>
      <c r="Z705" s="10" t="e">
        <f>VLOOKUP(AJ697,'FRC Site Data'!$B$3:$L$42,11,FALSE)</f>
        <v>#N/A</v>
      </c>
      <c r="AA705" s="10" t="e">
        <f>VLOOKUP(AJ697,'CIR Team Info'!$C$5:$E$44,4,FALSE)</f>
        <v>#N/A</v>
      </c>
      <c r="AB705" s="161" t="b">
        <f>ISNUMBER(VLOOKUP(AJ697,Match!$T$5:$T$10,1,FALSE))</f>
        <v>0</v>
      </c>
      <c r="AC705" s="161" t="b">
        <f>IF(AB705=TRUE,(VLOOKUP($AJ697,Match!$T$5:$U$10,2,FALSE)))</f>
        <v>0</v>
      </c>
      <c r="AD705" s="8">
        <v>3</v>
      </c>
      <c r="AE705" s="8">
        <v>2</v>
      </c>
      <c r="AF705" s="8">
        <v>2</v>
      </c>
      <c r="AG705" s="8">
        <v>1</v>
      </c>
      <c r="AH705" s="8" t="str">
        <f t="shared" si="202"/>
        <v/>
      </c>
    </row>
    <row r="706" spans="1:34" x14ac:dyDescent="0.25">
      <c r="A706" s="29">
        <f t="shared" si="193"/>
        <v>0</v>
      </c>
      <c r="B706" s="29">
        <f t="shared" si="187"/>
        <v>0</v>
      </c>
      <c r="C706" s="29">
        <f t="shared" si="188"/>
        <v>0</v>
      </c>
      <c r="D706" s="29">
        <f t="shared" si="189"/>
        <v>0</v>
      </c>
      <c r="E706" s="29">
        <f t="shared" si="194"/>
        <v>0</v>
      </c>
      <c r="F706" s="29">
        <f t="shared" si="195"/>
        <v>0</v>
      </c>
      <c r="G706" s="29" t="str">
        <f t="shared" si="196"/>
        <v>offensive</v>
      </c>
      <c r="H706" s="16">
        <f t="shared" si="200"/>
        <v>0</v>
      </c>
      <c r="I706" s="16">
        <f t="shared" si="201"/>
        <v>0</v>
      </c>
      <c r="J706" s="16">
        <f t="shared" si="190"/>
        <v>0</v>
      </c>
      <c r="K706" s="16">
        <f t="shared" si="197"/>
        <v>0</v>
      </c>
      <c r="L706" s="67">
        <f t="shared" si="198"/>
        <v>0</v>
      </c>
      <c r="M706" s="4">
        <f t="shared" si="191"/>
        <v>0</v>
      </c>
      <c r="N706" s="4">
        <f t="shared" si="192"/>
        <v>0</v>
      </c>
      <c r="O706" s="4">
        <f t="shared" si="199"/>
        <v>0</v>
      </c>
      <c r="P706" s="4" t="e">
        <f>VLOOKUP(AJ698,'CIR Team Info'!$C$5:$E$44,2,FALSE)</f>
        <v>#N/A</v>
      </c>
      <c r="Q706" s="4" t="e">
        <f>VLOOKUP(AJ698,'CIR Team Info'!$C$5:$E$44,3,FALSE)</f>
        <v>#N/A</v>
      </c>
      <c r="R706" s="10" t="e">
        <f>VLOOKUP(AJ698,'FRC Site Data'!$B$3:$L$42,2,FALSE)</f>
        <v>#N/A</v>
      </c>
      <c r="S706" s="10" t="e">
        <f>VLOOKUP(AJ698,'FRC Site Data'!$B$3:$L$42,3,FALSE)</f>
        <v>#N/A</v>
      </c>
      <c r="T706" s="10" t="e">
        <f>VLOOKUP(AJ698,'FRC Site Data'!$B$3:$L$42,4,FALSE)</f>
        <v>#N/A</v>
      </c>
      <c r="U706" s="10" t="e">
        <f>VLOOKUP(AJ698,'FRC Site Data'!$B$3:$L$42,5,FALSE)</f>
        <v>#N/A</v>
      </c>
      <c r="V706" s="10" t="e">
        <f>VLOOKUP(AJ698,'FRC Site Data'!$B$3:$L$42,6,FALSE)</f>
        <v>#N/A</v>
      </c>
      <c r="W706" s="10" t="e">
        <f>VLOOKUP(AJ698,'FRC Site Data'!$B$3:$L$42,8,FALSE)</f>
        <v>#N/A</v>
      </c>
      <c r="X706" s="10" t="e">
        <f>VLOOKUP(AJ698,'FRC Site Data'!$B$3:$L$42,9,FALSE)</f>
        <v>#N/A</v>
      </c>
      <c r="Y706" s="10" t="e">
        <f>VLOOKUP(AJ698,'FRC Site Data'!$B$3:$L$42,10,FALSE)</f>
        <v>#N/A</v>
      </c>
      <c r="Z706" s="10" t="e">
        <f>VLOOKUP(AJ698,'FRC Site Data'!$B$3:$L$42,11,FALSE)</f>
        <v>#N/A</v>
      </c>
      <c r="AA706" s="10" t="e">
        <f>VLOOKUP(AJ698,'CIR Team Info'!$C$5:$E$44,4,FALSE)</f>
        <v>#N/A</v>
      </c>
      <c r="AB706" s="161" t="b">
        <f>ISNUMBER(VLOOKUP(AJ698,Match!$T$5:$T$10,1,FALSE))</f>
        <v>0</v>
      </c>
      <c r="AC706" s="161" t="b">
        <f>IF(AB706=TRUE,(VLOOKUP($AJ698,Match!$T$5:$U$10,2,FALSE)))</f>
        <v>0</v>
      </c>
      <c r="AD706" s="8">
        <v>3</v>
      </c>
      <c r="AE706" s="8">
        <v>2</v>
      </c>
      <c r="AF706" s="8">
        <v>2</v>
      </c>
      <c r="AG706" s="8">
        <v>1</v>
      </c>
      <c r="AH706" s="8" t="str">
        <f t="shared" si="202"/>
        <v/>
      </c>
    </row>
    <row r="707" spans="1:34" x14ac:dyDescent="0.25">
      <c r="A707" s="29">
        <f t="shared" si="193"/>
        <v>0</v>
      </c>
      <c r="B707" s="29">
        <f t="shared" si="187"/>
        <v>0</v>
      </c>
      <c r="C707" s="29">
        <f t="shared" si="188"/>
        <v>0</v>
      </c>
      <c r="D707" s="29">
        <f t="shared" si="189"/>
        <v>0</v>
      </c>
      <c r="E707" s="29">
        <f t="shared" si="194"/>
        <v>0</v>
      </c>
      <c r="F707" s="29">
        <f t="shared" si="195"/>
        <v>0</v>
      </c>
      <c r="G707" s="29" t="str">
        <f t="shared" si="196"/>
        <v>offensive</v>
      </c>
      <c r="H707" s="16">
        <f t="shared" si="200"/>
        <v>0</v>
      </c>
      <c r="I707" s="16">
        <f t="shared" si="201"/>
        <v>0</v>
      </c>
      <c r="J707" s="16">
        <f t="shared" si="190"/>
        <v>0</v>
      </c>
      <c r="K707" s="16">
        <f t="shared" si="197"/>
        <v>0</v>
      </c>
      <c r="L707" s="67">
        <f t="shared" si="198"/>
        <v>0</v>
      </c>
      <c r="M707" s="4">
        <f t="shared" si="191"/>
        <v>0</v>
      </c>
      <c r="N707" s="4">
        <f t="shared" si="192"/>
        <v>0</v>
      </c>
      <c r="O707" s="4">
        <f t="shared" si="199"/>
        <v>0</v>
      </c>
      <c r="P707" s="4" t="e">
        <f>VLOOKUP(AJ699,'CIR Team Info'!$C$5:$E$44,2,FALSE)</f>
        <v>#N/A</v>
      </c>
      <c r="Q707" s="4" t="e">
        <f>VLOOKUP(AJ699,'CIR Team Info'!$C$5:$E$44,3,FALSE)</f>
        <v>#N/A</v>
      </c>
      <c r="R707" s="10" t="e">
        <f>VLOOKUP(AJ699,'FRC Site Data'!$B$3:$L$42,2,FALSE)</f>
        <v>#N/A</v>
      </c>
      <c r="S707" s="10" t="e">
        <f>VLOOKUP(AJ699,'FRC Site Data'!$B$3:$L$42,3,FALSE)</f>
        <v>#N/A</v>
      </c>
      <c r="T707" s="10" t="e">
        <f>VLOOKUP(AJ699,'FRC Site Data'!$B$3:$L$42,4,FALSE)</f>
        <v>#N/A</v>
      </c>
      <c r="U707" s="10" t="e">
        <f>VLOOKUP(AJ699,'FRC Site Data'!$B$3:$L$42,5,FALSE)</f>
        <v>#N/A</v>
      </c>
      <c r="V707" s="10" t="e">
        <f>VLOOKUP(AJ699,'FRC Site Data'!$B$3:$L$42,6,FALSE)</f>
        <v>#N/A</v>
      </c>
      <c r="W707" s="10" t="e">
        <f>VLOOKUP(AJ699,'FRC Site Data'!$B$3:$L$42,8,FALSE)</f>
        <v>#N/A</v>
      </c>
      <c r="X707" s="10" t="e">
        <f>VLOOKUP(AJ699,'FRC Site Data'!$B$3:$L$42,9,FALSE)</f>
        <v>#N/A</v>
      </c>
      <c r="Y707" s="10" t="e">
        <f>VLOOKUP(AJ699,'FRC Site Data'!$B$3:$L$42,10,FALSE)</f>
        <v>#N/A</v>
      </c>
      <c r="Z707" s="10" t="e">
        <f>VLOOKUP(AJ699,'FRC Site Data'!$B$3:$L$42,11,FALSE)</f>
        <v>#N/A</v>
      </c>
      <c r="AA707" s="10" t="e">
        <f>VLOOKUP(AJ699,'CIR Team Info'!$C$5:$E$44,4,FALSE)</f>
        <v>#N/A</v>
      </c>
      <c r="AB707" s="161" t="b">
        <f>ISNUMBER(VLOOKUP(AJ699,Match!$T$5:$T$10,1,FALSE))</f>
        <v>0</v>
      </c>
      <c r="AC707" s="161" t="b">
        <f>IF(AB707=TRUE,(VLOOKUP($AJ699,Match!$T$5:$U$10,2,FALSE)))</f>
        <v>0</v>
      </c>
      <c r="AD707" s="8">
        <v>3</v>
      </c>
      <c r="AE707" s="8">
        <v>2</v>
      </c>
      <c r="AF707" s="8">
        <v>2</v>
      </c>
      <c r="AG707" s="8">
        <v>1</v>
      </c>
      <c r="AH707" s="8" t="str">
        <f t="shared" si="202"/>
        <v/>
      </c>
    </row>
    <row r="708" spans="1:34" x14ac:dyDescent="0.25">
      <c r="A708" s="29">
        <f t="shared" si="193"/>
        <v>0</v>
      </c>
      <c r="B708" s="29">
        <f t="shared" si="187"/>
        <v>0</v>
      </c>
      <c r="C708" s="29">
        <f t="shared" si="188"/>
        <v>0</v>
      </c>
      <c r="D708" s="29">
        <f t="shared" si="189"/>
        <v>0</v>
      </c>
      <c r="E708" s="29">
        <f t="shared" si="194"/>
        <v>0</v>
      </c>
      <c r="F708" s="29">
        <f t="shared" si="195"/>
        <v>0</v>
      </c>
      <c r="G708" s="29" t="str">
        <f t="shared" si="196"/>
        <v>offensive</v>
      </c>
      <c r="H708" s="16">
        <f t="shared" si="200"/>
        <v>0</v>
      </c>
      <c r="I708" s="16">
        <f t="shared" si="201"/>
        <v>0</v>
      </c>
      <c r="J708" s="16">
        <f t="shared" si="190"/>
        <v>0</v>
      </c>
      <c r="K708" s="16">
        <f t="shared" si="197"/>
        <v>0</v>
      </c>
      <c r="L708" s="67">
        <f t="shared" si="198"/>
        <v>0</v>
      </c>
      <c r="M708" s="4">
        <f t="shared" si="191"/>
        <v>0</v>
      </c>
      <c r="N708" s="4">
        <f t="shared" si="192"/>
        <v>0</v>
      </c>
      <c r="O708" s="4">
        <f t="shared" si="199"/>
        <v>0</v>
      </c>
      <c r="P708" s="4" t="e">
        <f>VLOOKUP(AJ700,'CIR Team Info'!$C$5:$E$44,2,FALSE)</f>
        <v>#N/A</v>
      </c>
      <c r="Q708" s="4" t="e">
        <f>VLOOKUP(AJ700,'CIR Team Info'!$C$5:$E$44,3,FALSE)</f>
        <v>#N/A</v>
      </c>
      <c r="R708" s="10" t="e">
        <f>VLOOKUP(AJ700,'FRC Site Data'!$B$3:$L$42,2,FALSE)</f>
        <v>#N/A</v>
      </c>
      <c r="S708" s="10" t="e">
        <f>VLOOKUP(AJ700,'FRC Site Data'!$B$3:$L$42,3,FALSE)</f>
        <v>#N/A</v>
      </c>
      <c r="T708" s="10" t="e">
        <f>VLOOKUP(AJ700,'FRC Site Data'!$B$3:$L$42,4,FALSE)</f>
        <v>#N/A</v>
      </c>
      <c r="U708" s="10" t="e">
        <f>VLOOKUP(AJ700,'FRC Site Data'!$B$3:$L$42,5,FALSE)</f>
        <v>#N/A</v>
      </c>
      <c r="V708" s="10" t="e">
        <f>VLOOKUP(AJ700,'FRC Site Data'!$B$3:$L$42,6,FALSE)</f>
        <v>#N/A</v>
      </c>
      <c r="W708" s="10" t="e">
        <f>VLOOKUP(AJ700,'FRC Site Data'!$B$3:$L$42,8,FALSE)</f>
        <v>#N/A</v>
      </c>
      <c r="X708" s="10" t="e">
        <f>VLOOKUP(AJ700,'FRC Site Data'!$B$3:$L$42,9,FALSE)</f>
        <v>#N/A</v>
      </c>
      <c r="Y708" s="10" t="e">
        <f>VLOOKUP(AJ700,'FRC Site Data'!$B$3:$L$42,10,FALSE)</f>
        <v>#N/A</v>
      </c>
      <c r="Z708" s="10" t="e">
        <f>VLOOKUP(AJ700,'FRC Site Data'!$B$3:$L$42,11,FALSE)</f>
        <v>#N/A</v>
      </c>
      <c r="AA708" s="10" t="e">
        <f>VLOOKUP(AJ700,'CIR Team Info'!$C$5:$E$44,4,FALSE)</f>
        <v>#N/A</v>
      </c>
      <c r="AB708" s="161" t="b">
        <f>ISNUMBER(VLOOKUP(AJ700,Match!$T$5:$T$10,1,FALSE))</f>
        <v>0</v>
      </c>
      <c r="AC708" s="161" t="b">
        <f>IF(AB708=TRUE,(VLOOKUP($AJ700,Match!$T$5:$U$10,2,FALSE)))</f>
        <v>0</v>
      </c>
      <c r="AD708" s="8">
        <v>3</v>
      </c>
      <c r="AE708" s="8">
        <v>2</v>
      </c>
      <c r="AF708" s="8">
        <v>2</v>
      </c>
      <c r="AG708" s="8">
        <v>1</v>
      </c>
      <c r="AH708" s="8" t="str">
        <f t="shared" si="202"/>
        <v/>
      </c>
    </row>
    <row r="709" spans="1:34" x14ac:dyDescent="0.25">
      <c r="A709" s="29">
        <f t="shared" si="193"/>
        <v>0</v>
      </c>
      <c r="B709" s="29">
        <f t="shared" si="187"/>
        <v>0</v>
      </c>
      <c r="C709" s="29">
        <f t="shared" si="188"/>
        <v>0</v>
      </c>
      <c r="D709" s="29">
        <f t="shared" si="189"/>
        <v>0</v>
      </c>
      <c r="E709" s="29">
        <f t="shared" si="194"/>
        <v>0</v>
      </c>
      <c r="F709" s="29">
        <f t="shared" si="195"/>
        <v>0</v>
      </c>
      <c r="G709" s="29" t="str">
        <f t="shared" si="196"/>
        <v>offensive</v>
      </c>
      <c r="H709" s="16">
        <f t="shared" si="200"/>
        <v>0</v>
      </c>
      <c r="I709" s="16">
        <f t="shared" si="201"/>
        <v>0</v>
      </c>
      <c r="J709" s="16">
        <f t="shared" si="190"/>
        <v>0</v>
      </c>
      <c r="K709" s="16">
        <f t="shared" si="197"/>
        <v>0</v>
      </c>
      <c r="L709" s="67">
        <f t="shared" si="198"/>
        <v>0</v>
      </c>
      <c r="M709" s="4">
        <f t="shared" si="191"/>
        <v>0</v>
      </c>
      <c r="N709" s="4">
        <f t="shared" si="192"/>
        <v>0</v>
      </c>
      <c r="O709" s="4">
        <f t="shared" si="199"/>
        <v>0</v>
      </c>
      <c r="P709" s="4" t="e">
        <f>VLOOKUP(AJ701,'CIR Team Info'!$C$5:$E$44,2,FALSE)</f>
        <v>#N/A</v>
      </c>
      <c r="Q709" s="4" t="e">
        <f>VLOOKUP(AJ701,'CIR Team Info'!$C$5:$E$44,3,FALSE)</f>
        <v>#N/A</v>
      </c>
      <c r="R709" s="10" t="e">
        <f>VLOOKUP(AJ701,'FRC Site Data'!$B$3:$L$42,2,FALSE)</f>
        <v>#N/A</v>
      </c>
      <c r="S709" s="10" t="e">
        <f>VLOOKUP(AJ701,'FRC Site Data'!$B$3:$L$42,3,FALSE)</f>
        <v>#N/A</v>
      </c>
      <c r="T709" s="10" t="e">
        <f>VLOOKUP(AJ701,'FRC Site Data'!$B$3:$L$42,4,FALSE)</f>
        <v>#N/A</v>
      </c>
      <c r="U709" s="10" t="e">
        <f>VLOOKUP(AJ701,'FRC Site Data'!$B$3:$L$42,5,FALSE)</f>
        <v>#N/A</v>
      </c>
      <c r="V709" s="10" t="e">
        <f>VLOOKUP(AJ701,'FRC Site Data'!$B$3:$L$42,6,FALSE)</f>
        <v>#N/A</v>
      </c>
      <c r="W709" s="10" t="e">
        <f>VLOOKUP(AJ701,'FRC Site Data'!$B$3:$L$42,8,FALSE)</f>
        <v>#N/A</v>
      </c>
      <c r="X709" s="10" t="e">
        <f>VLOOKUP(AJ701,'FRC Site Data'!$B$3:$L$42,9,FALSE)</f>
        <v>#N/A</v>
      </c>
      <c r="Y709" s="10" t="e">
        <f>VLOOKUP(AJ701,'FRC Site Data'!$B$3:$L$42,10,FALSE)</f>
        <v>#N/A</v>
      </c>
      <c r="Z709" s="10" t="e">
        <f>VLOOKUP(AJ701,'FRC Site Data'!$B$3:$L$42,11,FALSE)</f>
        <v>#N/A</v>
      </c>
      <c r="AA709" s="10" t="e">
        <f>VLOOKUP(AJ701,'CIR Team Info'!$C$5:$E$44,4,FALSE)</f>
        <v>#N/A</v>
      </c>
      <c r="AB709" s="161" t="b">
        <f>ISNUMBER(VLOOKUP(AJ701,Match!$T$5:$T$10,1,FALSE))</f>
        <v>0</v>
      </c>
      <c r="AC709" s="161" t="b">
        <f>IF(AB709=TRUE,(VLOOKUP($AJ701,Match!$T$5:$U$10,2,FALSE)))</f>
        <v>0</v>
      </c>
      <c r="AD709" s="8">
        <v>3</v>
      </c>
      <c r="AE709" s="8">
        <v>2</v>
      </c>
      <c r="AF709" s="8">
        <v>2</v>
      </c>
      <c r="AG709" s="8">
        <v>1</v>
      </c>
      <c r="AH709" s="8" t="str">
        <f t="shared" si="202"/>
        <v/>
      </c>
    </row>
    <row r="710" spans="1:34" x14ac:dyDescent="0.25">
      <c r="A710" s="29">
        <f t="shared" si="193"/>
        <v>0</v>
      </c>
      <c r="B710" s="29">
        <f t="shared" ref="B710:B773" si="203">H710*AD710*AO702</f>
        <v>0</v>
      </c>
      <c r="C710" s="29">
        <f t="shared" ref="C710:C773" si="204">I710*AE710*AV702</f>
        <v>0</v>
      </c>
      <c r="D710" s="29">
        <f t="shared" ref="D710:D773" si="205">J710*AF710*BF702</f>
        <v>0</v>
      </c>
      <c r="E710" s="29">
        <f t="shared" si="194"/>
        <v>0</v>
      </c>
      <c r="F710" s="29">
        <f t="shared" si="195"/>
        <v>0</v>
      </c>
      <c r="G710" s="29" t="str">
        <f t="shared" si="196"/>
        <v>offensive</v>
      </c>
      <c r="H710" s="16">
        <f t="shared" si="200"/>
        <v>0</v>
      </c>
      <c r="I710" s="16">
        <f t="shared" si="201"/>
        <v>0</v>
      </c>
      <c r="J710" s="16">
        <f t="shared" ref="J710:J773" si="206">IF(L710=0,0,BG702/L710)</f>
        <v>0</v>
      </c>
      <c r="K710" s="16">
        <f t="shared" si="197"/>
        <v>0</v>
      </c>
      <c r="L710" s="67">
        <f t="shared" si="198"/>
        <v>0</v>
      </c>
      <c r="M710" s="4">
        <f t="shared" ref="M710:M773" si="207">AO702+AV702+BD702+O710</f>
        <v>0</v>
      </c>
      <c r="N710" s="4">
        <f t="shared" si="192"/>
        <v>0</v>
      </c>
      <c r="O710" s="4">
        <f t="shared" si="199"/>
        <v>0</v>
      </c>
      <c r="P710" s="4" t="e">
        <f>VLOOKUP(AJ702,'CIR Team Info'!$C$5:$E$44,2,FALSE)</f>
        <v>#N/A</v>
      </c>
      <c r="Q710" s="4" t="e">
        <f>VLOOKUP(AJ702,'CIR Team Info'!$C$5:$E$44,3,FALSE)</f>
        <v>#N/A</v>
      </c>
      <c r="R710" s="10" t="e">
        <f>VLOOKUP(AJ702,'FRC Site Data'!$B$3:$L$42,2,FALSE)</f>
        <v>#N/A</v>
      </c>
      <c r="S710" s="10" t="e">
        <f>VLOOKUP(AJ702,'FRC Site Data'!$B$3:$L$42,3,FALSE)</f>
        <v>#N/A</v>
      </c>
      <c r="T710" s="10" t="e">
        <f>VLOOKUP(AJ702,'FRC Site Data'!$B$3:$L$42,4,FALSE)</f>
        <v>#N/A</v>
      </c>
      <c r="U710" s="10" t="e">
        <f>VLOOKUP(AJ702,'FRC Site Data'!$B$3:$L$42,5,FALSE)</f>
        <v>#N/A</v>
      </c>
      <c r="V710" s="10" t="e">
        <f>VLOOKUP(AJ702,'FRC Site Data'!$B$3:$L$42,6,FALSE)</f>
        <v>#N/A</v>
      </c>
      <c r="W710" s="10" t="e">
        <f>VLOOKUP(AJ702,'FRC Site Data'!$B$3:$L$42,8,FALSE)</f>
        <v>#N/A</v>
      </c>
      <c r="X710" s="10" t="e">
        <f>VLOOKUP(AJ702,'FRC Site Data'!$B$3:$L$42,9,FALSE)</f>
        <v>#N/A</v>
      </c>
      <c r="Y710" s="10" t="e">
        <f>VLOOKUP(AJ702,'FRC Site Data'!$B$3:$L$42,10,FALSE)</f>
        <v>#N/A</v>
      </c>
      <c r="Z710" s="10" t="e">
        <f>VLOOKUP(AJ702,'FRC Site Data'!$B$3:$L$42,11,FALSE)</f>
        <v>#N/A</v>
      </c>
      <c r="AA710" s="10" t="e">
        <f>VLOOKUP(AJ702,'CIR Team Info'!$C$5:$E$44,4,FALSE)</f>
        <v>#N/A</v>
      </c>
      <c r="AB710" s="161" t="b">
        <f>ISNUMBER(VLOOKUP(AJ702,Match!$T$5:$T$10,1,FALSE))</f>
        <v>0</v>
      </c>
      <c r="AC710" s="161" t="b">
        <f>IF(AB710=TRUE,(VLOOKUP($AJ702,Match!$T$5:$U$10,2,FALSE)))</f>
        <v>0</v>
      </c>
      <c r="AD710" s="8">
        <v>3</v>
      </c>
      <c r="AE710" s="8">
        <v>2</v>
      </c>
      <c r="AF710" s="8">
        <v>2</v>
      </c>
      <c r="AG710" s="8">
        <v>1</v>
      </c>
      <c r="AH710" s="8" t="str">
        <f t="shared" si="202"/>
        <v/>
      </c>
    </row>
    <row r="711" spans="1:34" x14ac:dyDescent="0.25">
      <c r="A711" s="29">
        <f t="shared" si="193"/>
        <v>0</v>
      </c>
      <c r="B711" s="29">
        <f t="shared" si="203"/>
        <v>0</v>
      </c>
      <c r="C711" s="29">
        <f t="shared" si="204"/>
        <v>0</v>
      </c>
      <c r="D711" s="29">
        <f t="shared" si="205"/>
        <v>0</v>
      </c>
      <c r="E711" s="29">
        <f t="shared" si="194"/>
        <v>0</v>
      </c>
      <c r="F711" s="29">
        <f t="shared" si="195"/>
        <v>0</v>
      </c>
      <c r="G711" s="29" t="str">
        <f t="shared" si="196"/>
        <v>offensive</v>
      </c>
      <c r="H711" s="16">
        <f t="shared" si="200"/>
        <v>0</v>
      </c>
      <c r="I711" s="16">
        <f t="shared" si="201"/>
        <v>0</v>
      </c>
      <c r="J711" s="16">
        <f t="shared" si="206"/>
        <v>0</v>
      </c>
      <c r="K711" s="16">
        <f t="shared" si="197"/>
        <v>0</v>
      </c>
      <c r="L711" s="67">
        <f t="shared" si="198"/>
        <v>0</v>
      </c>
      <c r="M711" s="4">
        <f t="shared" si="207"/>
        <v>0</v>
      </c>
      <c r="N711" s="4">
        <f t="shared" ref="N711:N774" si="208">AO703+AV703+BD703</f>
        <v>0</v>
      </c>
      <c r="O711" s="4">
        <f t="shared" si="199"/>
        <v>0</v>
      </c>
      <c r="P711" s="4" t="e">
        <f>VLOOKUP(AJ703,'CIR Team Info'!$C$5:$E$44,2,FALSE)</f>
        <v>#N/A</v>
      </c>
      <c r="Q711" s="4" t="e">
        <f>VLOOKUP(AJ703,'CIR Team Info'!$C$5:$E$44,3,FALSE)</f>
        <v>#N/A</v>
      </c>
      <c r="R711" s="10" t="e">
        <f>VLOOKUP(AJ703,'FRC Site Data'!$B$3:$L$42,2,FALSE)</f>
        <v>#N/A</v>
      </c>
      <c r="S711" s="10" t="e">
        <f>VLOOKUP(AJ703,'FRC Site Data'!$B$3:$L$42,3,FALSE)</f>
        <v>#N/A</v>
      </c>
      <c r="T711" s="10" t="e">
        <f>VLOOKUP(AJ703,'FRC Site Data'!$B$3:$L$42,4,FALSE)</f>
        <v>#N/A</v>
      </c>
      <c r="U711" s="10" t="e">
        <f>VLOOKUP(AJ703,'FRC Site Data'!$B$3:$L$42,5,FALSE)</f>
        <v>#N/A</v>
      </c>
      <c r="V711" s="10" t="e">
        <f>VLOOKUP(AJ703,'FRC Site Data'!$B$3:$L$42,6,FALSE)</f>
        <v>#N/A</v>
      </c>
      <c r="W711" s="10" t="e">
        <f>VLOOKUP(AJ703,'FRC Site Data'!$B$3:$L$42,8,FALSE)</f>
        <v>#N/A</v>
      </c>
      <c r="X711" s="10" t="e">
        <f>VLOOKUP(AJ703,'FRC Site Data'!$B$3:$L$42,9,FALSE)</f>
        <v>#N/A</v>
      </c>
      <c r="Y711" s="10" t="e">
        <f>VLOOKUP(AJ703,'FRC Site Data'!$B$3:$L$42,10,FALSE)</f>
        <v>#N/A</v>
      </c>
      <c r="Z711" s="10" t="e">
        <f>VLOOKUP(AJ703,'FRC Site Data'!$B$3:$L$42,11,FALSE)</f>
        <v>#N/A</v>
      </c>
      <c r="AA711" s="10" t="e">
        <f>VLOOKUP(AJ703,'CIR Team Info'!$C$5:$E$44,4,FALSE)</f>
        <v>#N/A</v>
      </c>
      <c r="AB711" s="161" t="b">
        <f>ISNUMBER(VLOOKUP(AJ703,Match!$T$5:$T$10,1,FALSE))</f>
        <v>0</v>
      </c>
      <c r="AC711" s="161" t="b">
        <f>IF(AB711=TRUE,(VLOOKUP($AJ703,Match!$T$5:$U$10,2,FALSE)))</f>
        <v>0</v>
      </c>
      <c r="AD711" s="8">
        <v>3</v>
      </c>
      <c r="AE711" s="8">
        <v>2</v>
      </c>
      <c r="AF711" s="8">
        <v>2</v>
      </c>
      <c r="AG711" s="8">
        <v>1</v>
      </c>
      <c r="AH711" s="8" t="str">
        <f t="shared" si="202"/>
        <v/>
      </c>
    </row>
    <row r="712" spans="1:34" x14ac:dyDescent="0.25">
      <c r="A712" s="29">
        <f t="shared" ref="A712:A775" si="209">SUM(B712:F712)</f>
        <v>0</v>
      </c>
      <c r="B712" s="29">
        <f t="shared" si="203"/>
        <v>0</v>
      </c>
      <c r="C712" s="29">
        <f t="shared" si="204"/>
        <v>0</v>
      </c>
      <c r="D712" s="29">
        <f t="shared" si="205"/>
        <v>0</v>
      </c>
      <c r="E712" s="29">
        <f t="shared" ref="E712:E775" si="210">K712*O712</f>
        <v>0</v>
      </c>
      <c r="F712" s="29">
        <f t="shared" ref="F712:F775" si="211">IF(AN704&gt;0,5)-2*COUNTIF(AQ704,"K")+5*COUNTIF(AS704,"T")+IF(AX704=3,2)+IF(AY704="T",2)</f>
        <v>0</v>
      </c>
      <c r="G712" s="29" t="str">
        <f t="shared" ref="G712:G775" si="212">IF((BB704+BC704)&gt;45,"defensive",IF((BB704+BC704)&gt;15,"both","offensive"))</f>
        <v>offensive</v>
      </c>
      <c r="H712" s="16">
        <f t="shared" si="200"/>
        <v>0</v>
      </c>
      <c r="I712" s="16">
        <f t="shared" si="201"/>
        <v>0</v>
      </c>
      <c r="J712" s="16">
        <f t="shared" si="206"/>
        <v>0</v>
      </c>
      <c r="K712" s="16">
        <f t="shared" ref="K712:K775" si="213">IF((BB704+BC704)=0,0,((AZ704*BB704*0.2)+(BA704*BC704*0.3))/(BB704+BC704))</f>
        <v>0</v>
      </c>
      <c r="L712" s="67">
        <f t="shared" ref="L712:L775" si="214">IF(BF704&gt;BG704,BF704,BG704)</f>
        <v>0</v>
      </c>
      <c r="M712" s="4">
        <f t="shared" si="207"/>
        <v>0</v>
      </c>
      <c r="N712" s="4">
        <f t="shared" si="208"/>
        <v>0</v>
      </c>
      <c r="O712" s="4">
        <f t="shared" ref="O712:O775" si="215">(AZ704*0.2*BB704*30/30)+(BA704*0.3*BC704*12/30)-BI704-BJ704</f>
        <v>0</v>
      </c>
      <c r="P712" s="4" t="e">
        <f>VLOOKUP(AJ704,'CIR Team Info'!$C$5:$E$44,2,FALSE)</f>
        <v>#N/A</v>
      </c>
      <c r="Q712" s="4" t="e">
        <f>VLOOKUP(AJ704,'CIR Team Info'!$C$5:$E$44,3,FALSE)</f>
        <v>#N/A</v>
      </c>
      <c r="R712" s="10" t="e">
        <f>VLOOKUP(AJ704,'FRC Site Data'!$B$3:$L$42,2,FALSE)</f>
        <v>#N/A</v>
      </c>
      <c r="S712" s="10" t="e">
        <f>VLOOKUP(AJ704,'FRC Site Data'!$B$3:$L$42,3,FALSE)</f>
        <v>#N/A</v>
      </c>
      <c r="T712" s="10" t="e">
        <f>VLOOKUP(AJ704,'FRC Site Data'!$B$3:$L$42,4,FALSE)</f>
        <v>#N/A</v>
      </c>
      <c r="U712" s="10" t="e">
        <f>VLOOKUP(AJ704,'FRC Site Data'!$B$3:$L$42,5,FALSE)</f>
        <v>#N/A</v>
      </c>
      <c r="V712" s="10" t="e">
        <f>VLOOKUP(AJ704,'FRC Site Data'!$B$3:$L$42,6,FALSE)</f>
        <v>#N/A</v>
      </c>
      <c r="W712" s="10" t="e">
        <f>VLOOKUP(AJ704,'FRC Site Data'!$B$3:$L$42,8,FALSE)</f>
        <v>#N/A</v>
      </c>
      <c r="X712" s="10" t="e">
        <f>VLOOKUP(AJ704,'FRC Site Data'!$B$3:$L$42,9,FALSE)</f>
        <v>#N/A</v>
      </c>
      <c r="Y712" s="10" t="e">
        <f>VLOOKUP(AJ704,'FRC Site Data'!$B$3:$L$42,10,FALSE)</f>
        <v>#N/A</v>
      </c>
      <c r="Z712" s="10" t="e">
        <f>VLOOKUP(AJ704,'FRC Site Data'!$B$3:$L$42,11,FALSE)</f>
        <v>#N/A</v>
      </c>
      <c r="AA712" s="10" t="e">
        <f>VLOOKUP(AJ704,'CIR Team Info'!$C$5:$E$44,4,FALSE)</f>
        <v>#N/A</v>
      </c>
      <c r="AB712" s="161" t="b">
        <f>ISNUMBER(VLOOKUP(AJ704,Match!$T$5:$T$10,1,FALSE))</f>
        <v>0</v>
      </c>
      <c r="AC712" s="161" t="b">
        <f>IF(AB712=TRUE,(VLOOKUP($AJ704,Match!$T$5:$U$10,2,FALSE)))</f>
        <v>0</v>
      </c>
      <c r="AD712" s="8">
        <v>3</v>
      </c>
      <c r="AE712" s="8">
        <v>2</v>
      </c>
      <c r="AF712" s="8">
        <v>2</v>
      </c>
      <c r="AG712" s="8">
        <v>1</v>
      </c>
      <c r="AH712" s="8" t="str">
        <f t="shared" si="202"/>
        <v/>
      </c>
    </row>
    <row r="713" spans="1:34" x14ac:dyDescent="0.25">
      <c r="A713" s="29">
        <f t="shared" si="209"/>
        <v>0</v>
      </c>
      <c r="B713" s="29">
        <f t="shared" si="203"/>
        <v>0</v>
      </c>
      <c r="C713" s="29">
        <f t="shared" si="204"/>
        <v>0</v>
      </c>
      <c r="D713" s="29">
        <f t="shared" si="205"/>
        <v>0</v>
      </c>
      <c r="E713" s="29">
        <f t="shared" si="210"/>
        <v>0</v>
      </c>
      <c r="F713" s="29">
        <f t="shared" si="211"/>
        <v>0</v>
      </c>
      <c r="G713" s="29" t="str">
        <f t="shared" si="212"/>
        <v>offensive</v>
      </c>
      <c r="H713" s="16">
        <f t="shared" si="200"/>
        <v>0</v>
      </c>
      <c r="I713" s="16">
        <f t="shared" si="201"/>
        <v>0</v>
      </c>
      <c r="J713" s="16">
        <f t="shared" si="206"/>
        <v>0</v>
      </c>
      <c r="K713" s="16">
        <f t="shared" si="213"/>
        <v>0</v>
      </c>
      <c r="L713" s="67">
        <f t="shared" si="214"/>
        <v>0</v>
      </c>
      <c r="M713" s="4">
        <f t="shared" si="207"/>
        <v>0</v>
      </c>
      <c r="N713" s="4">
        <f t="shared" si="208"/>
        <v>0</v>
      </c>
      <c r="O713" s="4">
        <f t="shared" si="215"/>
        <v>0</v>
      </c>
      <c r="P713" s="4" t="e">
        <f>VLOOKUP(AJ705,'CIR Team Info'!$C$5:$E$44,2,FALSE)</f>
        <v>#N/A</v>
      </c>
      <c r="Q713" s="4" t="e">
        <f>VLOOKUP(AJ705,'CIR Team Info'!$C$5:$E$44,3,FALSE)</f>
        <v>#N/A</v>
      </c>
      <c r="R713" s="10" t="e">
        <f>VLOOKUP(AJ705,'FRC Site Data'!$B$3:$L$42,2,FALSE)</f>
        <v>#N/A</v>
      </c>
      <c r="S713" s="10" t="e">
        <f>VLOOKUP(AJ705,'FRC Site Data'!$B$3:$L$42,3,FALSE)</f>
        <v>#N/A</v>
      </c>
      <c r="T713" s="10" t="e">
        <f>VLOOKUP(AJ705,'FRC Site Data'!$B$3:$L$42,4,FALSE)</f>
        <v>#N/A</v>
      </c>
      <c r="U713" s="10" t="e">
        <f>VLOOKUP(AJ705,'FRC Site Data'!$B$3:$L$42,5,FALSE)</f>
        <v>#N/A</v>
      </c>
      <c r="V713" s="10" t="e">
        <f>VLOOKUP(AJ705,'FRC Site Data'!$B$3:$L$42,6,FALSE)</f>
        <v>#N/A</v>
      </c>
      <c r="W713" s="10" t="e">
        <f>VLOOKUP(AJ705,'FRC Site Data'!$B$3:$L$42,8,FALSE)</f>
        <v>#N/A</v>
      </c>
      <c r="X713" s="10" t="e">
        <f>VLOOKUP(AJ705,'FRC Site Data'!$B$3:$L$42,9,FALSE)</f>
        <v>#N/A</v>
      </c>
      <c r="Y713" s="10" t="e">
        <f>VLOOKUP(AJ705,'FRC Site Data'!$B$3:$L$42,10,FALSE)</f>
        <v>#N/A</v>
      </c>
      <c r="Z713" s="10" t="e">
        <f>VLOOKUP(AJ705,'FRC Site Data'!$B$3:$L$42,11,FALSE)</f>
        <v>#N/A</v>
      </c>
      <c r="AA713" s="10" t="e">
        <f>VLOOKUP(AJ705,'CIR Team Info'!$C$5:$E$44,4,FALSE)</f>
        <v>#N/A</v>
      </c>
      <c r="AB713" s="161" t="b">
        <f>ISNUMBER(VLOOKUP(AJ705,Match!$T$5:$T$10,1,FALSE))</f>
        <v>0</v>
      </c>
      <c r="AC713" s="161" t="b">
        <f>IF(AB713=TRUE,(VLOOKUP($AJ705,Match!$T$5:$U$10,2,FALSE)))</f>
        <v>0</v>
      </c>
      <c r="AD713" s="8">
        <v>3</v>
      </c>
      <c r="AE713" s="8">
        <v>2</v>
      </c>
      <c r="AF713" s="8">
        <v>2</v>
      </c>
      <c r="AG713" s="8">
        <v>1</v>
      </c>
      <c r="AH713" s="8" t="str">
        <f t="shared" si="202"/>
        <v/>
      </c>
    </row>
    <row r="714" spans="1:34" x14ac:dyDescent="0.25">
      <c r="A714" s="29">
        <f t="shared" si="209"/>
        <v>0</v>
      </c>
      <c r="B714" s="29">
        <f t="shared" si="203"/>
        <v>0</v>
      </c>
      <c r="C714" s="29">
        <f t="shared" si="204"/>
        <v>0</v>
      </c>
      <c r="D714" s="29">
        <f t="shared" si="205"/>
        <v>0</v>
      </c>
      <c r="E714" s="29">
        <f t="shared" si="210"/>
        <v>0</v>
      </c>
      <c r="F714" s="29">
        <f t="shared" si="211"/>
        <v>0</v>
      </c>
      <c r="G714" s="29" t="str">
        <f t="shared" si="212"/>
        <v>offensive</v>
      </c>
      <c r="H714" s="16">
        <f t="shared" si="200"/>
        <v>0</v>
      </c>
      <c r="I714" s="16">
        <f t="shared" si="201"/>
        <v>0</v>
      </c>
      <c r="J714" s="16">
        <f t="shared" si="206"/>
        <v>0</v>
      </c>
      <c r="K714" s="16">
        <f t="shared" si="213"/>
        <v>0</v>
      </c>
      <c r="L714" s="67">
        <f t="shared" si="214"/>
        <v>0</v>
      </c>
      <c r="M714" s="4">
        <f t="shared" si="207"/>
        <v>0</v>
      </c>
      <c r="N714" s="4">
        <f t="shared" si="208"/>
        <v>0</v>
      </c>
      <c r="O714" s="4">
        <f t="shared" si="215"/>
        <v>0</v>
      </c>
      <c r="P714" s="4" t="e">
        <f>VLOOKUP(AJ706,'CIR Team Info'!$C$5:$E$44,2,FALSE)</f>
        <v>#N/A</v>
      </c>
      <c r="Q714" s="4" t="e">
        <f>VLOOKUP(AJ706,'CIR Team Info'!$C$5:$E$44,3,FALSE)</f>
        <v>#N/A</v>
      </c>
      <c r="R714" s="10" t="e">
        <f>VLOOKUP(AJ706,'FRC Site Data'!$B$3:$L$42,2,FALSE)</f>
        <v>#N/A</v>
      </c>
      <c r="S714" s="10" t="e">
        <f>VLOOKUP(AJ706,'FRC Site Data'!$B$3:$L$42,3,FALSE)</f>
        <v>#N/A</v>
      </c>
      <c r="T714" s="10" t="e">
        <f>VLOOKUP(AJ706,'FRC Site Data'!$B$3:$L$42,4,FALSE)</f>
        <v>#N/A</v>
      </c>
      <c r="U714" s="10" t="e">
        <f>VLOOKUP(AJ706,'FRC Site Data'!$B$3:$L$42,5,FALSE)</f>
        <v>#N/A</v>
      </c>
      <c r="V714" s="10" t="e">
        <f>VLOOKUP(AJ706,'FRC Site Data'!$B$3:$L$42,6,FALSE)</f>
        <v>#N/A</v>
      </c>
      <c r="W714" s="10" t="e">
        <f>VLOOKUP(AJ706,'FRC Site Data'!$B$3:$L$42,8,FALSE)</f>
        <v>#N/A</v>
      </c>
      <c r="X714" s="10" t="e">
        <f>VLOOKUP(AJ706,'FRC Site Data'!$B$3:$L$42,9,FALSE)</f>
        <v>#N/A</v>
      </c>
      <c r="Y714" s="10" t="e">
        <f>VLOOKUP(AJ706,'FRC Site Data'!$B$3:$L$42,10,FALSE)</f>
        <v>#N/A</v>
      </c>
      <c r="Z714" s="10" t="e">
        <f>VLOOKUP(AJ706,'FRC Site Data'!$B$3:$L$42,11,FALSE)</f>
        <v>#N/A</v>
      </c>
      <c r="AA714" s="10" t="e">
        <f>VLOOKUP(AJ706,'CIR Team Info'!$C$5:$E$44,4,FALSE)</f>
        <v>#N/A</v>
      </c>
      <c r="AB714" s="161" t="b">
        <f>ISNUMBER(VLOOKUP(AJ706,Match!$T$5:$T$10,1,FALSE))</f>
        <v>0</v>
      </c>
      <c r="AC714" s="161" t="b">
        <f>IF(AB714=TRUE,(VLOOKUP($AJ706,Match!$T$5:$U$10,2,FALSE)))</f>
        <v>0</v>
      </c>
      <c r="AD714" s="8">
        <v>3</v>
      </c>
      <c r="AE714" s="8">
        <v>2</v>
      </c>
      <c r="AF714" s="8">
        <v>2</v>
      </c>
      <c r="AG714" s="8">
        <v>1</v>
      </c>
      <c r="AH714" s="8" t="str">
        <f t="shared" si="202"/>
        <v/>
      </c>
    </row>
    <row r="715" spans="1:34" x14ac:dyDescent="0.25">
      <c r="A715" s="29">
        <f t="shared" si="209"/>
        <v>0</v>
      </c>
      <c r="B715" s="29">
        <f t="shared" si="203"/>
        <v>0</v>
      </c>
      <c r="C715" s="29">
        <f t="shared" si="204"/>
        <v>0</v>
      </c>
      <c r="D715" s="29">
        <f t="shared" si="205"/>
        <v>0</v>
      </c>
      <c r="E715" s="29">
        <f t="shared" si="210"/>
        <v>0</v>
      </c>
      <c r="F715" s="29">
        <f t="shared" si="211"/>
        <v>0</v>
      </c>
      <c r="G715" s="29" t="str">
        <f t="shared" si="212"/>
        <v>offensive</v>
      </c>
      <c r="H715" s="16">
        <f t="shared" si="200"/>
        <v>0</v>
      </c>
      <c r="I715" s="16">
        <f t="shared" si="201"/>
        <v>0</v>
      </c>
      <c r="J715" s="16">
        <f t="shared" si="206"/>
        <v>0</v>
      </c>
      <c r="K715" s="16">
        <f t="shared" si="213"/>
        <v>0</v>
      </c>
      <c r="L715" s="67">
        <f t="shared" si="214"/>
        <v>0</v>
      </c>
      <c r="M715" s="4">
        <f t="shared" si="207"/>
        <v>0</v>
      </c>
      <c r="N715" s="4">
        <f t="shared" si="208"/>
        <v>0</v>
      </c>
      <c r="O715" s="4">
        <f t="shared" si="215"/>
        <v>0</v>
      </c>
      <c r="P715" s="4" t="e">
        <f>VLOOKUP(AJ707,'CIR Team Info'!$C$5:$E$44,2,FALSE)</f>
        <v>#N/A</v>
      </c>
      <c r="Q715" s="4" t="e">
        <f>VLOOKUP(AJ707,'CIR Team Info'!$C$5:$E$44,3,FALSE)</f>
        <v>#N/A</v>
      </c>
      <c r="R715" s="10" t="e">
        <f>VLOOKUP(AJ707,'FRC Site Data'!$B$3:$L$42,2,FALSE)</f>
        <v>#N/A</v>
      </c>
      <c r="S715" s="10" t="e">
        <f>VLOOKUP(AJ707,'FRC Site Data'!$B$3:$L$42,3,FALSE)</f>
        <v>#N/A</v>
      </c>
      <c r="T715" s="10" t="e">
        <f>VLOOKUP(AJ707,'FRC Site Data'!$B$3:$L$42,4,FALSE)</f>
        <v>#N/A</v>
      </c>
      <c r="U715" s="10" t="e">
        <f>VLOOKUP(AJ707,'FRC Site Data'!$B$3:$L$42,5,FALSE)</f>
        <v>#N/A</v>
      </c>
      <c r="V715" s="10" t="e">
        <f>VLOOKUP(AJ707,'FRC Site Data'!$B$3:$L$42,6,FALSE)</f>
        <v>#N/A</v>
      </c>
      <c r="W715" s="10" t="e">
        <f>VLOOKUP(AJ707,'FRC Site Data'!$B$3:$L$42,8,FALSE)</f>
        <v>#N/A</v>
      </c>
      <c r="X715" s="10" t="e">
        <f>VLOOKUP(AJ707,'FRC Site Data'!$B$3:$L$42,9,FALSE)</f>
        <v>#N/A</v>
      </c>
      <c r="Y715" s="10" t="e">
        <f>VLOOKUP(AJ707,'FRC Site Data'!$B$3:$L$42,10,FALSE)</f>
        <v>#N/A</v>
      </c>
      <c r="Z715" s="10" t="e">
        <f>VLOOKUP(AJ707,'FRC Site Data'!$B$3:$L$42,11,FALSE)</f>
        <v>#N/A</v>
      </c>
      <c r="AA715" s="10" t="e">
        <f>VLOOKUP(AJ707,'CIR Team Info'!$C$5:$E$44,4,FALSE)</f>
        <v>#N/A</v>
      </c>
      <c r="AB715" s="161" t="b">
        <f>ISNUMBER(VLOOKUP(AJ707,Match!$T$5:$T$10,1,FALSE))</f>
        <v>0</v>
      </c>
      <c r="AC715" s="161" t="b">
        <f>IF(AB715=TRUE,(VLOOKUP($AJ707,Match!$T$5:$U$10,2,FALSE)))</f>
        <v>0</v>
      </c>
      <c r="AD715" s="8">
        <v>3</v>
      </c>
      <c r="AE715" s="8">
        <v>2</v>
      </c>
      <c r="AF715" s="8">
        <v>2</v>
      </c>
      <c r="AG715" s="8">
        <v>1</v>
      </c>
      <c r="AH715" s="8" t="str">
        <f t="shared" si="202"/>
        <v/>
      </c>
    </row>
    <row r="716" spans="1:34" x14ac:dyDescent="0.25">
      <c r="A716" s="29">
        <f t="shared" si="209"/>
        <v>0</v>
      </c>
      <c r="B716" s="29">
        <f t="shared" si="203"/>
        <v>0</v>
      </c>
      <c r="C716" s="29">
        <f t="shared" si="204"/>
        <v>0</v>
      </c>
      <c r="D716" s="29">
        <f t="shared" si="205"/>
        <v>0</v>
      </c>
      <c r="E716" s="29">
        <f t="shared" si="210"/>
        <v>0</v>
      </c>
      <c r="F716" s="29">
        <f t="shared" si="211"/>
        <v>0</v>
      </c>
      <c r="G716" s="29" t="str">
        <f t="shared" si="212"/>
        <v>offensive</v>
      </c>
      <c r="H716" s="16">
        <f t="shared" si="200"/>
        <v>0</v>
      </c>
      <c r="I716" s="16">
        <f t="shared" si="201"/>
        <v>0</v>
      </c>
      <c r="J716" s="16">
        <f t="shared" si="206"/>
        <v>0</v>
      </c>
      <c r="K716" s="16">
        <f t="shared" si="213"/>
        <v>0</v>
      </c>
      <c r="L716" s="67">
        <f t="shared" si="214"/>
        <v>0</v>
      </c>
      <c r="M716" s="4">
        <f t="shared" si="207"/>
        <v>0</v>
      </c>
      <c r="N716" s="4">
        <f t="shared" si="208"/>
        <v>0</v>
      </c>
      <c r="O716" s="4">
        <f t="shared" si="215"/>
        <v>0</v>
      </c>
      <c r="P716" s="4" t="e">
        <f>VLOOKUP(AJ708,'CIR Team Info'!$C$5:$E$44,2,FALSE)</f>
        <v>#N/A</v>
      </c>
      <c r="Q716" s="4" t="e">
        <f>VLOOKUP(AJ708,'CIR Team Info'!$C$5:$E$44,3,FALSE)</f>
        <v>#N/A</v>
      </c>
      <c r="R716" s="10" t="e">
        <f>VLOOKUP(AJ708,'FRC Site Data'!$B$3:$L$42,2,FALSE)</f>
        <v>#N/A</v>
      </c>
      <c r="S716" s="10" t="e">
        <f>VLOOKUP(AJ708,'FRC Site Data'!$B$3:$L$42,3,FALSE)</f>
        <v>#N/A</v>
      </c>
      <c r="T716" s="10" t="e">
        <f>VLOOKUP(AJ708,'FRC Site Data'!$B$3:$L$42,4,FALSE)</f>
        <v>#N/A</v>
      </c>
      <c r="U716" s="10" t="e">
        <f>VLOOKUP(AJ708,'FRC Site Data'!$B$3:$L$42,5,FALSE)</f>
        <v>#N/A</v>
      </c>
      <c r="V716" s="10" t="e">
        <f>VLOOKUP(AJ708,'FRC Site Data'!$B$3:$L$42,6,FALSE)</f>
        <v>#N/A</v>
      </c>
      <c r="W716" s="10" t="e">
        <f>VLOOKUP(AJ708,'FRC Site Data'!$B$3:$L$42,8,FALSE)</f>
        <v>#N/A</v>
      </c>
      <c r="X716" s="10" t="e">
        <f>VLOOKUP(AJ708,'FRC Site Data'!$B$3:$L$42,9,FALSE)</f>
        <v>#N/A</v>
      </c>
      <c r="Y716" s="10" t="e">
        <f>VLOOKUP(AJ708,'FRC Site Data'!$B$3:$L$42,10,FALSE)</f>
        <v>#N/A</v>
      </c>
      <c r="Z716" s="10" t="e">
        <f>VLOOKUP(AJ708,'FRC Site Data'!$B$3:$L$42,11,FALSE)</f>
        <v>#N/A</v>
      </c>
      <c r="AA716" s="10" t="e">
        <f>VLOOKUP(AJ708,'CIR Team Info'!$C$5:$E$44,4,FALSE)</f>
        <v>#N/A</v>
      </c>
      <c r="AB716" s="161" t="b">
        <f>ISNUMBER(VLOOKUP(AJ708,Match!$T$5:$T$10,1,FALSE))</f>
        <v>0</v>
      </c>
      <c r="AC716" s="161" t="b">
        <f>IF(AB716=TRUE,(VLOOKUP($AJ708,Match!$T$5:$U$10,2,FALSE)))</f>
        <v>0</v>
      </c>
      <c r="AD716" s="8">
        <v>3</v>
      </c>
      <c r="AE716" s="8">
        <v>2</v>
      </c>
      <c r="AF716" s="8">
        <v>2</v>
      </c>
      <c r="AG716" s="8">
        <v>1</v>
      </c>
      <c r="AH716" s="8" t="str">
        <f t="shared" si="202"/>
        <v/>
      </c>
    </row>
    <row r="717" spans="1:34" x14ac:dyDescent="0.25">
      <c r="A717" s="29">
        <f t="shared" si="209"/>
        <v>0</v>
      </c>
      <c r="B717" s="29">
        <f t="shared" si="203"/>
        <v>0</v>
      </c>
      <c r="C717" s="29">
        <f t="shared" si="204"/>
        <v>0</v>
      </c>
      <c r="D717" s="29">
        <f t="shared" si="205"/>
        <v>0</v>
      </c>
      <c r="E717" s="29">
        <f t="shared" si="210"/>
        <v>0</v>
      </c>
      <c r="F717" s="29">
        <f t="shared" si="211"/>
        <v>0</v>
      </c>
      <c r="G717" s="29" t="str">
        <f t="shared" si="212"/>
        <v>offensive</v>
      </c>
      <c r="H717" s="16">
        <f t="shared" si="200"/>
        <v>0</v>
      </c>
      <c r="I717" s="16">
        <f t="shared" si="201"/>
        <v>0</v>
      </c>
      <c r="J717" s="16">
        <f t="shared" si="206"/>
        <v>0</v>
      </c>
      <c r="K717" s="16">
        <f t="shared" si="213"/>
        <v>0</v>
      </c>
      <c r="L717" s="67">
        <f t="shared" si="214"/>
        <v>0</v>
      </c>
      <c r="M717" s="4">
        <f t="shared" si="207"/>
        <v>0</v>
      </c>
      <c r="N717" s="4">
        <f t="shared" si="208"/>
        <v>0</v>
      </c>
      <c r="O717" s="4">
        <f t="shared" si="215"/>
        <v>0</v>
      </c>
      <c r="P717" s="4" t="e">
        <f>VLOOKUP(AJ709,'CIR Team Info'!$C$5:$E$44,2,FALSE)</f>
        <v>#N/A</v>
      </c>
      <c r="Q717" s="4" t="e">
        <f>VLOOKUP(AJ709,'CIR Team Info'!$C$5:$E$44,3,FALSE)</f>
        <v>#N/A</v>
      </c>
      <c r="R717" s="10" t="e">
        <f>VLOOKUP(AJ709,'FRC Site Data'!$B$3:$L$42,2,FALSE)</f>
        <v>#N/A</v>
      </c>
      <c r="S717" s="10" t="e">
        <f>VLOOKUP(AJ709,'FRC Site Data'!$B$3:$L$42,3,FALSE)</f>
        <v>#N/A</v>
      </c>
      <c r="T717" s="10" t="e">
        <f>VLOOKUP(AJ709,'FRC Site Data'!$B$3:$L$42,4,FALSE)</f>
        <v>#N/A</v>
      </c>
      <c r="U717" s="10" t="e">
        <f>VLOOKUP(AJ709,'FRC Site Data'!$B$3:$L$42,5,FALSE)</f>
        <v>#N/A</v>
      </c>
      <c r="V717" s="10" t="e">
        <f>VLOOKUP(AJ709,'FRC Site Data'!$B$3:$L$42,6,FALSE)</f>
        <v>#N/A</v>
      </c>
      <c r="W717" s="10" t="e">
        <f>VLOOKUP(AJ709,'FRC Site Data'!$B$3:$L$42,8,FALSE)</f>
        <v>#N/A</v>
      </c>
      <c r="X717" s="10" t="e">
        <f>VLOOKUP(AJ709,'FRC Site Data'!$B$3:$L$42,9,FALSE)</f>
        <v>#N/A</v>
      </c>
      <c r="Y717" s="10" t="e">
        <f>VLOOKUP(AJ709,'FRC Site Data'!$B$3:$L$42,10,FALSE)</f>
        <v>#N/A</v>
      </c>
      <c r="Z717" s="10" t="e">
        <f>VLOOKUP(AJ709,'FRC Site Data'!$B$3:$L$42,11,FALSE)</f>
        <v>#N/A</v>
      </c>
      <c r="AA717" s="10" t="e">
        <f>VLOOKUP(AJ709,'CIR Team Info'!$C$5:$E$44,4,FALSE)</f>
        <v>#N/A</v>
      </c>
      <c r="AB717" s="161" t="b">
        <f>ISNUMBER(VLOOKUP(AJ709,Match!$T$5:$T$10,1,FALSE))</f>
        <v>0</v>
      </c>
      <c r="AC717" s="161" t="b">
        <f>IF(AB717=TRUE,(VLOOKUP($AJ709,Match!$T$5:$U$10,2,FALSE)))</f>
        <v>0</v>
      </c>
      <c r="AD717" s="8">
        <v>3</v>
      </c>
      <c r="AE717" s="8">
        <v>2</v>
      </c>
      <c r="AF717" s="8">
        <v>2</v>
      </c>
      <c r="AG717" s="8">
        <v>1</v>
      </c>
      <c r="AH717" s="8" t="str">
        <f t="shared" si="202"/>
        <v/>
      </c>
    </row>
    <row r="718" spans="1:34" x14ac:dyDescent="0.25">
      <c r="A718" s="29">
        <f t="shared" si="209"/>
        <v>0</v>
      </c>
      <c r="B718" s="29">
        <f t="shared" si="203"/>
        <v>0</v>
      </c>
      <c r="C718" s="29">
        <f t="shared" si="204"/>
        <v>0</v>
      </c>
      <c r="D718" s="29">
        <f t="shared" si="205"/>
        <v>0</v>
      </c>
      <c r="E718" s="29">
        <f t="shared" si="210"/>
        <v>0</v>
      </c>
      <c r="F718" s="29">
        <f t="shared" si="211"/>
        <v>0</v>
      </c>
      <c r="G718" s="29" t="str">
        <f t="shared" si="212"/>
        <v>offensive</v>
      </c>
      <c r="H718" s="16">
        <f t="shared" si="200"/>
        <v>0</v>
      </c>
      <c r="I718" s="16">
        <f t="shared" si="201"/>
        <v>0</v>
      </c>
      <c r="J718" s="16">
        <f t="shared" si="206"/>
        <v>0</v>
      </c>
      <c r="K718" s="16">
        <f t="shared" si="213"/>
        <v>0</v>
      </c>
      <c r="L718" s="67">
        <f t="shared" si="214"/>
        <v>0</v>
      </c>
      <c r="M718" s="4">
        <f t="shared" si="207"/>
        <v>0</v>
      </c>
      <c r="N718" s="4">
        <f t="shared" si="208"/>
        <v>0</v>
      </c>
      <c r="O718" s="4">
        <f t="shared" si="215"/>
        <v>0</v>
      </c>
      <c r="P718" s="4" t="e">
        <f>VLOOKUP(AJ710,'CIR Team Info'!$C$5:$E$44,2,FALSE)</f>
        <v>#N/A</v>
      </c>
      <c r="Q718" s="4" t="e">
        <f>VLOOKUP(AJ710,'CIR Team Info'!$C$5:$E$44,3,FALSE)</f>
        <v>#N/A</v>
      </c>
      <c r="R718" s="10" t="e">
        <f>VLOOKUP(AJ710,'FRC Site Data'!$B$3:$L$42,2,FALSE)</f>
        <v>#N/A</v>
      </c>
      <c r="S718" s="10" t="e">
        <f>VLOOKUP(AJ710,'FRC Site Data'!$B$3:$L$42,3,FALSE)</f>
        <v>#N/A</v>
      </c>
      <c r="T718" s="10" t="e">
        <f>VLOOKUP(AJ710,'FRC Site Data'!$B$3:$L$42,4,FALSE)</f>
        <v>#N/A</v>
      </c>
      <c r="U718" s="10" t="e">
        <f>VLOOKUP(AJ710,'FRC Site Data'!$B$3:$L$42,5,FALSE)</f>
        <v>#N/A</v>
      </c>
      <c r="V718" s="10" t="e">
        <f>VLOOKUP(AJ710,'FRC Site Data'!$B$3:$L$42,6,FALSE)</f>
        <v>#N/A</v>
      </c>
      <c r="W718" s="10" t="e">
        <f>VLOOKUP(AJ710,'FRC Site Data'!$B$3:$L$42,8,FALSE)</f>
        <v>#N/A</v>
      </c>
      <c r="X718" s="10" t="e">
        <f>VLOOKUP(AJ710,'FRC Site Data'!$B$3:$L$42,9,FALSE)</f>
        <v>#N/A</v>
      </c>
      <c r="Y718" s="10" t="e">
        <f>VLOOKUP(AJ710,'FRC Site Data'!$B$3:$L$42,10,FALSE)</f>
        <v>#N/A</v>
      </c>
      <c r="Z718" s="10" t="e">
        <f>VLOOKUP(AJ710,'FRC Site Data'!$B$3:$L$42,11,FALSE)</f>
        <v>#N/A</v>
      </c>
      <c r="AA718" s="10" t="e">
        <f>VLOOKUP(AJ710,'CIR Team Info'!$C$5:$E$44,4,FALSE)</f>
        <v>#N/A</v>
      </c>
      <c r="AB718" s="161" t="b">
        <f>ISNUMBER(VLOOKUP(AJ710,Match!$T$5:$T$10,1,FALSE))</f>
        <v>0</v>
      </c>
      <c r="AC718" s="161" t="b">
        <f>IF(AB718=TRUE,(VLOOKUP($AJ710,Match!$T$5:$U$10,2,FALSE)))</f>
        <v>0</v>
      </c>
      <c r="AD718" s="8">
        <v>3</v>
      </c>
      <c r="AE718" s="8">
        <v>2</v>
      </c>
      <c r="AF718" s="8">
        <v>2</v>
      </c>
      <c r="AG718" s="8">
        <v>1</v>
      </c>
      <c r="AH718" s="8" t="str">
        <f t="shared" si="202"/>
        <v/>
      </c>
    </row>
    <row r="719" spans="1:34" x14ac:dyDescent="0.25">
      <c r="A719" s="29">
        <f t="shared" si="209"/>
        <v>0</v>
      </c>
      <c r="B719" s="29">
        <f t="shared" si="203"/>
        <v>0</v>
      </c>
      <c r="C719" s="29">
        <f t="shared" si="204"/>
        <v>0</v>
      </c>
      <c r="D719" s="29">
        <f t="shared" si="205"/>
        <v>0</v>
      </c>
      <c r="E719" s="29">
        <f t="shared" si="210"/>
        <v>0</v>
      </c>
      <c r="F719" s="29">
        <f t="shared" si="211"/>
        <v>0</v>
      </c>
      <c r="G719" s="29" t="str">
        <f t="shared" si="212"/>
        <v>offensive</v>
      </c>
      <c r="H719" s="16">
        <f t="shared" ref="H719:H782" si="216">IF((AO711+AP711)=0,0,AO711/(AO711+AP711))</f>
        <v>0</v>
      </c>
      <c r="I719" s="16">
        <f t="shared" ref="I719:I782" si="217">IF((AV711+AW711)=0,0,AV711/(AV711+AW711))</f>
        <v>0</v>
      </c>
      <c r="J719" s="16">
        <f t="shared" si="206"/>
        <v>0</v>
      </c>
      <c r="K719" s="16">
        <f t="shared" si="213"/>
        <v>0</v>
      </c>
      <c r="L719" s="67">
        <f t="shared" si="214"/>
        <v>0</v>
      </c>
      <c r="M719" s="4">
        <f t="shared" si="207"/>
        <v>0</v>
      </c>
      <c r="N719" s="4">
        <f t="shared" si="208"/>
        <v>0</v>
      </c>
      <c r="O719" s="4">
        <f t="shared" si="215"/>
        <v>0</v>
      </c>
      <c r="P719" s="4" t="e">
        <f>VLOOKUP(AJ711,'CIR Team Info'!$C$5:$E$44,2,FALSE)</f>
        <v>#N/A</v>
      </c>
      <c r="Q719" s="4" t="e">
        <f>VLOOKUP(AJ711,'CIR Team Info'!$C$5:$E$44,3,FALSE)</f>
        <v>#N/A</v>
      </c>
      <c r="R719" s="10" t="e">
        <f>VLOOKUP(AJ711,'FRC Site Data'!$B$3:$L$42,2,FALSE)</f>
        <v>#N/A</v>
      </c>
      <c r="S719" s="10" t="e">
        <f>VLOOKUP(AJ711,'FRC Site Data'!$B$3:$L$42,3,FALSE)</f>
        <v>#N/A</v>
      </c>
      <c r="T719" s="10" t="e">
        <f>VLOOKUP(AJ711,'FRC Site Data'!$B$3:$L$42,4,FALSE)</f>
        <v>#N/A</v>
      </c>
      <c r="U719" s="10" t="e">
        <f>VLOOKUP(AJ711,'FRC Site Data'!$B$3:$L$42,5,FALSE)</f>
        <v>#N/A</v>
      </c>
      <c r="V719" s="10" t="e">
        <f>VLOOKUP(AJ711,'FRC Site Data'!$B$3:$L$42,6,FALSE)</f>
        <v>#N/A</v>
      </c>
      <c r="W719" s="10" t="e">
        <f>VLOOKUP(AJ711,'FRC Site Data'!$B$3:$L$42,8,FALSE)</f>
        <v>#N/A</v>
      </c>
      <c r="X719" s="10" t="e">
        <f>VLOOKUP(AJ711,'FRC Site Data'!$B$3:$L$42,9,FALSE)</f>
        <v>#N/A</v>
      </c>
      <c r="Y719" s="10" t="e">
        <f>VLOOKUP(AJ711,'FRC Site Data'!$B$3:$L$42,10,FALSE)</f>
        <v>#N/A</v>
      </c>
      <c r="Z719" s="10" t="e">
        <f>VLOOKUP(AJ711,'FRC Site Data'!$B$3:$L$42,11,FALSE)</f>
        <v>#N/A</v>
      </c>
      <c r="AA719" s="10" t="e">
        <f>VLOOKUP(AJ711,'CIR Team Info'!$C$5:$E$44,4,FALSE)</f>
        <v>#N/A</v>
      </c>
      <c r="AB719" s="161" t="b">
        <f>ISNUMBER(VLOOKUP(AJ711,Match!$T$5:$T$10,1,FALSE))</f>
        <v>0</v>
      </c>
      <c r="AC719" s="161" t="b">
        <f>IF(AB719=TRUE,(VLOOKUP($AJ711,Match!$T$5:$U$10,2,FALSE)))</f>
        <v>0</v>
      </c>
      <c r="AD719" s="8">
        <v>3</v>
      </c>
      <c r="AE719" s="8">
        <v>2</v>
      </c>
      <c r="AF719" s="8">
        <v>2</v>
      </c>
      <c r="AG719" s="8">
        <v>1</v>
      </c>
      <c r="AH719" s="8" t="str">
        <f t="shared" si="202"/>
        <v/>
      </c>
    </row>
    <row r="720" spans="1:34" x14ac:dyDescent="0.25">
      <c r="A720" s="29">
        <f t="shared" si="209"/>
        <v>0</v>
      </c>
      <c r="B720" s="29">
        <f t="shared" si="203"/>
        <v>0</v>
      </c>
      <c r="C720" s="29">
        <f t="shared" si="204"/>
        <v>0</v>
      </c>
      <c r="D720" s="29">
        <f t="shared" si="205"/>
        <v>0</v>
      </c>
      <c r="E720" s="29">
        <f t="shared" si="210"/>
        <v>0</v>
      </c>
      <c r="F720" s="29">
        <f t="shared" si="211"/>
        <v>0</v>
      </c>
      <c r="G720" s="29" t="str">
        <f t="shared" si="212"/>
        <v>offensive</v>
      </c>
      <c r="H720" s="16">
        <f t="shared" si="216"/>
        <v>0</v>
      </c>
      <c r="I720" s="16">
        <f t="shared" si="217"/>
        <v>0</v>
      </c>
      <c r="J720" s="16">
        <f t="shared" si="206"/>
        <v>0</v>
      </c>
      <c r="K720" s="16">
        <f t="shared" si="213"/>
        <v>0</v>
      </c>
      <c r="L720" s="67">
        <f t="shared" si="214"/>
        <v>0</v>
      </c>
      <c r="M720" s="4">
        <f t="shared" si="207"/>
        <v>0</v>
      </c>
      <c r="N720" s="4">
        <f t="shared" si="208"/>
        <v>0</v>
      </c>
      <c r="O720" s="4">
        <f t="shared" si="215"/>
        <v>0</v>
      </c>
      <c r="P720" s="4" t="e">
        <f>VLOOKUP(AJ712,'CIR Team Info'!$C$5:$E$44,2,FALSE)</f>
        <v>#N/A</v>
      </c>
      <c r="Q720" s="4" t="e">
        <f>VLOOKUP(AJ712,'CIR Team Info'!$C$5:$E$44,3,FALSE)</f>
        <v>#N/A</v>
      </c>
      <c r="R720" s="10" t="e">
        <f>VLOOKUP(AJ712,'FRC Site Data'!$B$3:$L$42,2,FALSE)</f>
        <v>#N/A</v>
      </c>
      <c r="S720" s="10" t="e">
        <f>VLOOKUP(AJ712,'FRC Site Data'!$B$3:$L$42,3,FALSE)</f>
        <v>#N/A</v>
      </c>
      <c r="T720" s="10" t="e">
        <f>VLOOKUP(AJ712,'FRC Site Data'!$B$3:$L$42,4,FALSE)</f>
        <v>#N/A</v>
      </c>
      <c r="U720" s="10" t="e">
        <f>VLOOKUP(AJ712,'FRC Site Data'!$B$3:$L$42,5,FALSE)</f>
        <v>#N/A</v>
      </c>
      <c r="V720" s="10" t="e">
        <f>VLOOKUP(AJ712,'FRC Site Data'!$B$3:$L$42,6,FALSE)</f>
        <v>#N/A</v>
      </c>
      <c r="W720" s="10" t="e">
        <f>VLOOKUP(AJ712,'FRC Site Data'!$B$3:$L$42,8,FALSE)</f>
        <v>#N/A</v>
      </c>
      <c r="X720" s="10" t="e">
        <f>VLOOKUP(AJ712,'FRC Site Data'!$B$3:$L$42,9,FALSE)</f>
        <v>#N/A</v>
      </c>
      <c r="Y720" s="10" t="e">
        <f>VLOOKUP(AJ712,'FRC Site Data'!$B$3:$L$42,10,FALSE)</f>
        <v>#N/A</v>
      </c>
      <c r="Z720" s="10" t="e">
        <f>VLOOKUP(AJ712,'FRC Site Data'!$B$3:$L$42,11,FALSE)</f>
        <v>#N/A</v>
      </c>
      <c r="AA720" s="10" t="e">
        <f>VLOOKUP(AJ712,'CIR Team Info'!$C$5:$E$44,4,FALSE)</f>
        <v>#N/A</v>
      </c>
      <c r="AB720" s="161" t="b">
        <f>ISNUMBER(VLOOKUP(AJ712,Match!$T$5:$T$10,1,FALSE))</f>
        <v>0</v>
      </c>
      <c r="AC720" s="161" t="b">
        <f>IF(AB720=TRUE,(VLOOKUP($AJ712,Match!$T$5:$U$10,2,FALSE)))</f>
        <v>0</v>
      </c>
      <c r="AD720" s="8">
        <v>3</v>
      </c>
      <c r="AE720" s="8">
        <v>2</v>
      </c>
      <c r="AF720" s="8">
        <v>2</v>
      </c>
      <c r="AG720" s="8">
        <v>1</v>
      </c>
      <c r="AH720" s="8" t="str">
        <f t="shared" si="202"/>
        <v/>
      </c>
    </row>
    <row r="721" spans="1:34" x14ac:dyDescent="0.25">
      <c r="A721" s="29">
        <f t="shared" si="209"/>
        <v>0</v>
      </c>
      <c r="B721" s="29">
        <f t="shared" si="203"/>
        <v>0</v>
      </c>
      <c r="C721" s="29">
        <f t="shared" si="204"/>
        <v>0</v>
      </c>
      <c r="D721" s="29">
        <f t="shared" si="205"/>
        <v>0</v>
      </c>
      <c r="E721" s="29">
        <f t="shared" si="210"/>
        <v>0</v>
      </c>
      <c r="F721" s="29">
        <f t="shared" si="211"/>
        <v>0</v>
      </c>
      <c r="G721" s="29" t="str">
        <f t="shared" si="212"/>
        <v>offensive</v>
      </c>
      <c r="H721" s="16">
        <f t="shared" si="216"/>
        <v>0</v>
      </c>
      <c r="I721" s="16">
        <f t="shared" si="217"/>
        <v>0</v>
      </c>
      <c r="J721" s="16">
        <f t="shared" si="206"/>
        <v>0</v>
      </c>
      <c r="K721" s="16">
        <f t="shared" si="213"/>
        <v>0</v>
      </c>
      <c r="L721" s="67">
        <f t="shared" si="214"/>
        <v>0</v>
      </c>
      <c r="M721" s="4">
        <f t="shared" si="207"/>
        <v>0</v>
      </c>
      <c r="N721" s="4">
        <f t="shared" si="208"/>
        <v>0</v>
      </c>
      <c r="O721" s="4">
        <f t="shared" si="215"/>
        <v>0</v>
      </c>
      <c r="P721" s="4" t="e">
        <f>VLOOKUP(AJ713,'CIR Team Info'!$C$5:$E$44,2,FALSE)</f>
        <v>#N/A</v>
      </c>
      <c r="Q721" s="4" t="e">
        <f>VLOOKUP(AJ713,'CIR Team Info'!$C$5:$E$44,3,FALSE)</f>
        <v>#N/A</v>
      </c>
      <c r="R721" s="10" t="e">
        <f>VLOOKUP(AJ713,'FRC Site Data'!$B$3:$L$42,2,FALSE)</f>
        <v>#N/A</v>
      </c>
      <c r="S721" s="10" t="e">
        <f>VLOOKUP(AJ713,'FRC Site Data'!$B$3:$L$42,3,FALSE)</f>
        <v>#N/A</v>
      </c>
      <c r="T721" s="10" t="e">
        <f>VLOOKUP(AJ713,'FRC Site Data'!$B$3:$L$42,4,FALSE)</f>
        <v>#N/A</v>
      </c>
      <c r="U721" s="10" t="e">
        <f>VLOOKUP(AJ713,'FRC Site Data'!$B$3:$L$42,5,FALSE)</f>
        <v>#N/A</v>
      </c>
      <c r="V721" s="10" t="e">
        <f>VLOOKUP(AJ713,'FRC Site Data'!$B$3:$L$42,6,FALSE)</f>
        <v>#N/A</v>
      </c>
      <c r="W721" s="10" t="e">
        <f>VLOOKUP(AJ713,'FRC Site Data'!$B$3:$L$42,8,FALSE)</f>
        <v>#N/A</v>
      </c>
      <c r="X721" s="10" t="e">
        <f>VLOOKUP(AJ713,'FRC Site Data'!$B$3:$L$42,9,FALSE)</f>
        <v>#N/A</v>
      </c>
      <c r="Y721" s="10" t="e">
        <f>VLOOKUP(AJ713,'FRC Site Data'!$B$3:$L$42,10,FALSE)</f>
        <v>#N/A</v>
      </c>
      <c r="Z721" s="10" t="e">
        <f>VLOOKUP(AJ713,'FRC Site Data'!$B$3:$L$42,11,FALSE)</f>
        <v>#N/A</v>
      </c>
      <c r="AA721" s="10" t="e">
        <f>VLOOKUP(AJ713,'CIR Team Info'!$C$5:$E$44,4,FALSE)</f>
        <v>#N/A</v>
      </c>
      <c r="AB721" s="161" t="b">
        <f>ISNUMBER(VLOOKUP(AJ713,Match!$T$5:$T$10,1,FALSE))</f>
        <v>0</v>
      </c>
      <c r="AC721" s="161" t="b">
        <f>IF(AB721=TRUE,(VLOOKUP($AJ713,Match!$T$5:$U$10,2,FALSE)))</f>
        <v>0</v>
      </c>
      <c r="AD721" s="8">
        <v>3</v>
      </c>
      <c r="AE721" s="8">
        <v>2</v>
      </c>
      <c r="AF721" s="8">
        <v>2</v>
      </c>
      <c r="AG721" s="8">
        <v>1</v>
      </c>
      <c r="AH721" s="8" t="str">
        <f t="shared" si="202"/>
        <v/>
      </c>
    </row>
    <row r="722" spans="1:34" x14ac:dyDescent="0.25">
      <c r="A722" s="29">
        <f t="shared" si="209"/>
        <v>0</v>
      </c>
      <c r="B722" s="29">
        <f t="shared" si="203"/>
        <v>0</v>
      </c>
      <c r="C722" s="29">
        <f t="shared" si="204"/>
        <v>0</v>
      </c>
      <c r="D722" s="29">
        <f t="shared" si="205"/>
        <v>0</v>
      </c>
      <c r="E722" s="29">
        <f t="shared" si="210"/>
        <v>0</v>
      </c>
      <c r="F722" s="29">
        <f t="shared" si="211"/>
        <v>0</v>
      </c>
      <c r="G722" s="29" t="str">
        <f t="shared" si="212"/>
        <v>offensive</v>
      </c>
      <c r="H722" s="16">
        <f t="shared" si="216"/>
        <v>0</v>
      </c>
      <c r="I722" s="16">
        <f t="shared" si="217"/>
        <v>0</v>
      </c>
      <c r="J722" s="16">
        <f t="shared" si="206"/>
        <v>0</v>
      </c>
      <c r="K722" s="16">
        <f t="shared" si="213"/>
        <v>0</v>
      </c>
      <c r="L722" s="67">
        <f t="shared" si="214"/>
        <v>0</v>
      </c>
      <c r="M722" s="4">
        <f t="shared" si="207"/>
        <v>0</v>
      </c>
      <c r="N722" s="4">
        <f t="shared" si="208"/>
        <v>0</v>
      </c>
      <c r="O722" s="4">
        <f t="shared" si="215"/>
        <v>0</v>
      </c>
      <c r="P722" s="4" t="e">
        <f>VLOOKUP(AJ714,'CIR Team Info'!$C$5:$E$44,2,FALSE)</f>
        <v>#N/A</v>
      </c>
      <c r="Q722" s="4" t="e">
        <f>VLOOKUP(AJ714,'CIR Team Info'!$C$5:$E$44,3,FALSE)</f>
        <v>#N/A</v>
      </c>
      <c r="R722" s="10" t="e">
        <f>VLOOKUP(AJ714,'FRC Site Data'!$B$3:$L$42,2,FALSE)</f>
        <v>#N/A</v>
      </c>
      <c r="S722" s="10" t="e">
        <f>VLOOKUP(AJ714,'FRC Site Data'!$B$3:$L$42,3,FALSE)</f>
        <v>#N/A</v>
      </c>
      <c r="T722" s="10" t="e">
        <f>VLOOKUP(AJ714,'FRC Site Data'!$B$3:$L$42,4,FALSE)</f>
        <v>#N/A</v>
      </c>
      <c r="U722" s="10" t="e">
        <f>VLOOKUP(AJ714,'FRC Site Data'!$B$3:$L$42,5,FALSE)</f>
        <v>#N/A</v>
      </c>
      <c r="V722" s="10" t="e">
        <f>VLOOKUP(AJ714,'FRC Site Data'!$B$3:$L$42,6,FALSE)</f>
        <v>#N/A</v>
      </c>
      <c r="W722" s="10" t="e">
        <f>VLOOKUP(AJ714,'FRC Site Data'!$B$3:$L$42,8,FALSE)</f>
        <v>#N/A</v>
      </c>
      <c r="X722" s="10" t="e">
        <f>VLOOKUP(AJ714,'FRC Site Data'!$B$3:$L$42,9,FALSE)</f>
        <v>#N/A</v>
      </c>
      <c r="Y722" s="10" t="e">
        <f>VLOOKUP(AJ714,'FRC Site Data'!$B$3:$L$42,10,FALSE)</f>
        <v>#N/A</v>
      </c>
      <c r="Z722" s="10" t="e">
        <f>VLOOKUP(AJ714,'FRC Site Data'!$B$3:$L$42,11,FALSE)</f>
        <v>#N/A</v>
      </c>
      <c r="AA722" s="10" t="e">
        <f>VLOOKUP(AJ714,'CIR Team Info'!$C$5:$E$44,4,FALSE)</f>
        <v>#N/A</v>
      </c>
      <c r="AB722" s="161" t="b">
        <f>ISNUMBER(VLOOKUP(AJ714,Match!$T$5:$T$10,1,FALSE))</f>
        <v>0</v>
      </c>
      <c r="AC722" s="161" t="b">
        <f>IF(AB722=TRUE,(VLOOKUP($AJ714,Match!$T$5:$U$10,2,FALSE)))</f>
        <v>0</v>
      </c>
      <c r="AD722" s="8">
        <v>3</v>
      </c>
      <c r="AE722" s="8">
        <v>2</v>
      </c>
      <c r="AF722" s="8">
        <v>2</v>
      </c>
      <c r="AG722" s="8">
        <v>1</v>
      </c>
      <c r="AH722" s="8" t="str">
        <f t="shared" si="202"/>
        <v/>
      </c>
    </row>
    <row r="723" spans="1:34" x14ac:dyDescent="0.25">
      <c r="A723" s="29">
        <f t="shared" si="209"/>
        <v>0</v>
      </c>
      <c r="B723" s="29">
        <f t="shared" si="203"/>
        <v>0</v>
      </c>
      <c r="C723" s="29">
        <f t="shared" si="204"/>
        <v>0</v>
      </c>
      <c r="D723" s="29">
        <f t="shared" si="205"/>
        <v>0</v>
      </c>
      <c r="E723" s="29">
        <f t="shared" si="210"/>
        <v>0</v>
      </c>
      <c r="F723" s="29">
        <f t="shared" si="211"/>
        <v>0</v>
      </c>
      <c r="G723" s="29" t="str">
        <f t="shared" si="212"/>
        <v>offensive</v>
      </c>
      <c r="H723" s="16">
        <f t="shared" si="216"/>
        <v>0</v>
      </c>
      <c r="I723" s="16">
        <f t="shared" si="217"/>
        <v>0</v>
      </c>
      <c r="J723" s="16">
        <f t="shared" si="206"/>
        <v>0</v>
      </c>
      <c r="K723" s="16">
        <f t="shared" si="213"/>
        <v>0</v>
      </c>
      <c r="L723" s="67">
        <f t="shared" si="214"/>
        <v>0</v>
      </c>
      <c r="M723" s="4">
        <f t="shared" si="207"/>
        <v>0</v>
      </c>
      <c r="N723" s="4">
        <f t="shared" si="208"/>
        <v>0</v>
      </c>
      <c r="O723" s="4">
        <f t="shared" si="215"/>
        <v>0</v>
      </c>
      <c r="P723" s="4" t="e">
        <f>VLOOKUP(AJ715,'CIR Team Info'!$C$5:$E$44,2,FALSE)</f>
        <v>#N/A</v>
      </c>
      <c r="Q723" s="4" t="e">
        <f>VLOOKUP(AJ715,'CIR Team Info'!$C$5:$E$44,3,FALSE)</f>
        <v>#N/A</v>
      </c>
      <c r="R723" s="10" t="e">
        <f>VLOOKUP(AJ715,'FRC Site Data'!$B$3:$L$42,2,FALSE)</f>
        <v>#N/A</v>
      </c>
      <c r="S723" s="10" t="e">
        <f>VLOOKUP(AJ715,'FRC Site Data'!$B$3:$L$42,3,FALSE)</f>
        <v>#N/A</v>
      </c>
      <c r="T723" s="10" t="e">
        <f>VLOOKUP(AJ715,'FRC Site Data'!$B$3:$L$42,4,FALSE)</f>
        <v>#N/A</v>
      </c>
      <c r="U723" s="10" t="e">
        <f>VLOOKUP(AJ715,'FRC Site Data'!$B$3:$L$42,5,FALSE)</f>
        <v>#N/A</v>
      </c>
      <c r="V723" s="10" t="e">
        <f>VLOOKUP(AJ715,'FRC Site Data'!$B$3:$L$42,6,FALSE)</f>
        <v>#N/A</v>
      </c>
      <c r="W723" s="10" t="e">
        <f>VLOOKUP(AJ715,'FRC Site Data'!$B$3:$L$42,8,FALSE)</f>
        <v>#N/A</v>
      </c>
      <c r="X723" s="10" t="e">
        <f>VLOOKUP(AJ715,'FRC Site Data'!$B$3:$L$42,9,FALSE)</f>
        <v>#N/A</v>
      </c>
      <c r="Y723" s="10" t="e">
        <f>VLOOKUP(AJ715,'FRC Site Data'!$B$3:$L$42,10,FALSE)</f>
        <v>#N/A</v>
      </c>
      <c r="Z723" s="10" t="e">
        <f>VLOOKUP(AJ715,'FRC Site Data'!$B$3:$L$42,11,FALSE)</f>
        <v>#N/A</v>
      </c>
      <c r="AA723" s="10" t="e">
        <f>VLOOKUP(AJ715,'CIR Team Info'!$C$5:$E$44,4,FALSE)</f>
        <v>#N/A</v>
      </c>
      <c r="AB723" s="161" t="b">
        <f>ISNUMBER(VLOOKUP(AJ715,Match!$T$5:$T$10,1,FALSE))</f>
        <v>0</v>
      </c>
      <c r="AC723" s="161" t="b">
        <f>IF(AB723=TRUE,(VLOOKUP($AJ715,Match!$T$5:$U$10,2,FALSE)))</f>
        <v>0</v>
      </c>
      <c r="AD723" s="8">
        <v>3</v>
      </c>
      <c r="AE723" s="8">
        <v>2</v>
      </c>
      <c r="AF723" s="8">
        <v>2</v>
      </c>
      <c r="AG723" s="8">
        <v>1</v>
      </c>
      <c r="AH723" s="8" t="str">
        <f t="shared" si="202"/>
        <v/>
      </c>
    </row>
    <row r="724" spans="1:34" x14ac:dyDescent="0.25">
      <c r="A724" s="29">
        <f t="shared" si="209"/>
        <v>0</v>
      </c>
      <c r="B724" s="29">
        <f t="shared" si="203"/>
        <v>0</v>
      </c>
      <c r="C724" s="29">
        <f t="shared" si="204"/>
        <v>0</v>
      </c>
      <c r="D724" s="29">
        <f t="shared" si="205"/>
        <v>0</v>
      </c>
      <c r="E724" s="29">
        <f t="shared" si="210"/>
        <v>0</v>
      </c>
      <c r="F724" s="29">
        <f t="shared" si="211"/>
        <v>0</v>
      </c>
      <c r="G724" s="29" t="str">
        <f t="shared" si="212"/>
        <v>offensive</v>
      </c>
      <c r="H724" s="16">
        <f t="shared" si="216"/>
        <v>0</v>
      </c>
      <c r="I724" s="16">
        <f t="shared" si="217"/>
        <v>0</v>
      </c>
      <c r="J724" s="16">
        <f t="shared" si="206"/>
        <v>0</v>
      </c>
      <c r="K724" s="16">
        <f t="shared" si="213"/>
        <v>0</v>
      </c>
      <c r="L724" s="67">
        <f t="shared" si="214"/>
        <v>0</v>
      </c>
      <c r="M724" s="4">
        <f t="shared" si="207"/>
        <v>0</v>
      </c>
      <c r="N724" s="4">
        <f t="shared" si="208"/>
        <v>0</v>
      </c>
      <c r="O724" s="4">
        <f t="shared" si="215"/>
        <v>0</v>
      </c>
      <c r="P724" s="4" t="e">
        <f>VLOOKUP(AJ716,'CIR Team Info'!$C$5:$E$44,2,FALSE)</f>
        <v>#N/A</v>
      </c>
      <c r="Q724" s="4" t="e">
        <f>VLOOKUP(AJ716,'CIR Team Info'!$C$5:$E$44,3,FALSE)</f>
        <v>#N/A</v>
      </c>
      <c r="R724" s="10" t="e">
        <f>VLOOKUP(AJ716,'FRC Site Data'!$B$3:$L$42,2,FALSE)</f>
        <v>#N/A</v>
      </c>
      <c r="S724" s="10" t="e">
        <f>VLOOKUP(AJ716,'FRC Site Data'!$B$3:$L$42,3,FALSE)</f>
        <v>#N/A</v>
      </c>
      <c r="T724" s="10" t="e">
        <f>VLOOKUP(AJ716,'FRC Site Data'!$B$3:$L$42,4,FALSE)</f>
        <v>#N/A</v>
      </c>
      <c r="U724" s="10" t="e">
        <f>VLOOKUP(AJ716,'FRC Site Data'!$B$3:$L$42,5,FALSE)</f>
        <v>#N/A</v>
      </c>
      <c r="V724" s="10" t="e">
        <f>VLOOKUP(AJ716,'FRC Site Data'!$B$3:$L$42,6,FALSE)</f>
        <v>#N/A</v>
      </c>
      <c r="W724" s="10" t="e">
        <f>VLOOKUP(AJ716,'FRC Site Data'!$B$3:$L$42,8,FALSE)</f>
        <v>#N/A</v>
      </c>
      <c r="X724" s="10" t="e">
        <f>VLOOKUP(AJ716,'FRC Site Data'!$B$3:$L$42,9,FALSE)</f>
        <v>#N/A</v>
      </c>
      <c r="Y724" s="10" t="e">
        <f>VLOOKUP(AJ716,'FRC Site Data'!$B$3:$L$42,10,FALSE)</f>
        <v>#N/A</v>
      </c>
      <c r="Z724" s="10" t="e">
        <f>VLOOKUP(AJ716,'FRC Site Data'!$B$3:$L$42,11,FALSE)</f>
        <v>#N/A</v>
      </c>
      <c r="AA724" s="10" t="e">
        <f>VLOOKUP(AJ716,'CIR Team Info'!$C$5:$E$44,4,FALSE)</f>
        <v>#N/A</v>
      </c>
      <c r="AB724" s="161" t="b">
        <f>ISNUMBER(VLOOKUP(AJ716,Match!$T$5:$T$10,1,FALSE))</f>
        <v>0</v>
      </c>
      <c r="AC724" s="161" t="b">
        <f>IF(AB724=TRUE,(VLOOKUP($AJ716,Match!$T$5:$U$10,2,FALSE)))</f>
        <v>0</v>
      </c>
      <c r="AD724" s="8">
        <v>3</v>
      </c>
      <c r="AE724" s="8">
        <v>2</v>
      </c>
      <c r="AF724" s="8">
        <v>2</v>
      </c>
      <c r="AG724" s="8">
        <v>1</v>
      </c>
      <c r="AH724" s="8" t="str">
        <f t="shared" si="202"/>
        <v/>
      </c>
    </row>
    <row r="725" spans="1:34" x14ac:dyDescent="0.25">
      <c r="A725" s="29">
        <f t="shared" si="209"/>
        <v>0</v>
      </c>
      <c r="B725" s="29">
        <f t="shared" si="203"/>
        <v>0</v>
      </c>
      <c r="C725" s="29">
        <f t="shared" si="204"/>
        <v>0</v>
      </c>
      <c r="D725" s="29">
        <f t="shared" si="205"/>
        <v>0</v>
      </c>
      <c r="E725" s="29">
        <f t="shared" si="210"/>
        <v>0</v>
      </c>
      <c r="F725" s="29">
        <f t="shared" si="211"/>
        <v>0</v>
      </c>
      <c r="G725" s="29" t="str">
        <f t="shared" si="212"/>
        <v>offensive</v>
      </c>
      <c r="H725" s="16">
        <f t="shared" si="216"/>
        <v>0</v>
      </c>
      <c r="I725" s="16">
        <f t="shared" si="217"/>
        <v>0</v>
      </c>
      <c r="J725" s="16">
        <f t="shared" si="206"/>
        <v>0</v>
      </c>
      <c r="K725" s="16">
        <f t="shared" si="213"/>
        <v>0</v>
      </c>
      <c r="L725" s="67">
        <f t="shared" si="214"/>
        <v>0</v>
      </c>
      <c r="M725" s="4">
        <f t="shared" si="207"/>
        <v>0</v>
      </c>
      <c r="N725" s="4">
        <f t="shared" si="208"/>
        <v>0</v>
      </c>
      <c r="O725" s="4">
        <f t="shared" si="215"/>
        <v>0</v>
      </c>
      <c r="P725" s="4" t="e">
        <f>VLOOKUP(AJ717,'CIR Team Info'!$C$5:$E$44,2,FALSE)</f>
        <v>#N/A</v>
      </c>
      <c r="Q725" s="4" t="e">
        <f>VLOOKUP(AJ717,'CIR Team Info'!$C$5:$E$44,3,FALSE)</f>
        <v>#N/A</v>
      </c>
      <c r="R725" s="10" t="e">
        <f>VLOOKUP(AJ717,'FRC Site Data'!$B$3:$L$42,2,FALSE)</f>
        <v>#N/A</v>
      </c>
      <c r="S725" s="10" t="e">
        <f>VLOOKUP(AJ717,'FRC Site Data'!$B$3:$L$42,3,FALSE)</f>
        <v>#N/A</v>
      </c>
      <c r="T725" s="10" t="e">
        <f>VLOOKUP(AJ717,'FRC Site Data'!$B$3:$L$42,4,FALSE)</f>
        <v>#N/A</v>
      </c>
      <c r="U725" s="10" t="e">
        <f>VLOOKUP(AJ717,'FRC Site Data'!$B$3:$L$42,5,FALSE)</f>
        <v>#N/A</v>
      </c>
      <c r="V725" s="10" t="e">
        <f>VLOOKUP(AJ717,'FRC Site Data'!$B$3:$L$42,6,FALSE)</f>
        <v>#N/A</v>
      </c>
      <c r="W725" s="10" t="e">
        <f>VLOOKUP(AJ717,'FRC Site Data'!$B$3:$L$42,8,FALSE)</f>
        <v>#N/A</v>
      </c>
      <c r="X725" s="10" t="e">
        <f>VLOOKUP(AJ717,'FRC Site Data'!$B$3:$L$42,9,FALSE)</f>
        <v>#N/A</v>
      </c>
      <c r="Y725" s="10" t="e">
        <f>VLOOKUP(AJ717,'FRC Site Data'!$B$3:$L$42,10,FALSE)</f>
        <v>#N/A</v>
      </c>
      <c r="Z725" s="10" t="e">
        <f>VLOOKUP(AJ717,'FRC Site Data'!$B$3:$L$42,11,FALSE)</f>
        <v>#N/A</v>
      </c>
      <c r="AA725" s="10" t="e">
        <f>VLOOKUP(AJ717,'CIR Team Info'!$C$5:$E$44,4,FALSE)</f>
        <v>#N/A</v>
      </c>
      <c r="AB725" s="161" t="b">
        <f>ISNUMBER(VLOOKUP(AJ717,Match!$T$5:$T$10,1,FALSE))</f>
        <v>0</v>
      </c>
      <c r="AC725" s="161" t="b">
        <f>IF(AB725=TRUE,(VLOOKUP($AJ717,Match!$T$5:$U$10,2,FALSE)))</f>
        <v>0</v>
      </c>
      <c r="AD725" s="8">
        <v>3</v>
      </c>
      <c r="AE725" s="8">
        <v>2</v>
      </c>
      <c r="AF725" s="8">
        <v>2</v>
      </c>
      <c r="AG725" s="8">
        <v>1</v>
      </c>
      <c r="AH725" s="8" t="str">
        <f t="shared" si="202"/>
        <v/>
      </c>
    </row>
    <row r="726" spans="1:34" x14ac:dyDescent="0.25">
      <c r="A726" s="29">
        <f t="shared" si="209"/>
        <v>0</v>
      </c>
      <c r="B726" s="29">
        <f t="shared" si="203"/>
        <v>0</v>
      </c>
      <c r="C726" s="29">
        <f t="shared" si="204"/>
        <v>0</v>
      </c>
      <c r="D726" s="29">
        <f t="shared" si="205"/>
        <v>0</v>
      </c>
      <c r="E726" s="29">
        <f t="shared" si="210"/>
        <v>0</v>
      </c>
      <c r="F726" s="29">
        <f t="shared" si="211"/>
        <v>0</v>
      </c>
      <c r="G726" s="29" t="str">
        <f t="shared" si="212"/>
        <v>offensive</v>
      </c>
      <c r="H726" s="16">
        <f t="shared" si="216"/>
        <v>0</v>
      </c>
      <c r="I726" s="16">
        <f t="shared" si="217"/>
        <v>0</v>
      </c>
      <c r="J726" s="16">
        <f t="shared" si="206"/>
        <v>0</v>
      </c>
      <c r="K726" s="16">
        <f t="shared" si="213"/>
        <v>0</v>
      </c>
      <c r="L726" s="67">
        <f t="shared" si="214"/>
        <v>0</v>
      </c>
      <c r="M726" s="4">
        <f t="shared" si="207"/>
        <v>0</v>
      </c>
      <c r="N726" s="4">
        <f t="shared" si="208"/>
        <v>0</v>
      </c>
      <c r="O726" s="4">
        <f t="shared" si="215"/>
        <v>0</v>
      </c>
      <c r="P726" s="4" t="e">
        <f>VLOOKUP(AJ718,'CIR Team Info'!$C$5:$E$44,2,FALSE)</f>
        <v>#N/A</v>
      </c>
      <c r="Q726" s="4" t="e">
        <f>VLOOKUP(AJ718,'CIR Team Info'!$C$5:$E$44,3,FALSE)</f>
        <v>#N/A</v>
      </c>
      <c r="R726" s="10" t="e">
        <f>VLOOKUP(AJ718,'FRC Site Data'!$B$3:$L$42,2,FALSE)</f>
        <v>#N/A</v>
      </c>
      <c r="S726" s="10" t="e">
        <f>VLOOKUP(AJ718,'FRC Site Data'!$B$3:$L$42,3,FALSE)</f>
        <v>#N/A</v>
      </c>
      <c r="T726" s="10" t="e">
        <f>VLOOKUP(AJ718,'FRC Site Data'!$B$3:$L$42,4,FALSE)</f>
        <v>#N/A</v>
      </c>
      <c r="U726" s="10" t="e">
        <f>VLOOKUP(AJ718,'FRC Site Data'!$B$3:$L$42,5,FALSE)</f>
        <v>#N/A</v>
      </c>
      <c r="V726" s="10" t="e">
        <f>VLOOKUP(AJ718,'FRC Site Data'!$B$3:$L$42,6,FALSE)</f>
        <v>#N/A</v>
      </c>
      <c r="W726" s="10" t="e">
        <f>VLOOKUP(AJ718,'FRC Site Data'!$B$3:$L$42,8,FALSE)</f>
        <v>#N/A</v>
      </c>
      <c r="X726" s="10" t="e">
        <f>VLOOKUP(AJ718,'FRC Site Data'!$B$3:$L$42,9,FALSE)</f>
        <v>#N/A</v>
      </c>
      <c r="Y726" s="10" t="e">
        <f>VLOOKUP(AJ718,'FRC Site Data'!$B$3:$L$42,10,FALSE)</f>
        <v>#N/A</v>
      </c>
      <c r="Z726" s="10" t="e">
        <f>VLOOKUP(AJ718,'FRC Site Data'!$B$3:$L$42,11,FALSE)</f>
        <v>#N/A</v>
      </c>
      <c r="AA726" s="10" t="e">
        <f>VLOOKUP(AJ718,'CIR Team Info'!$C$5:$E$44,4,FALSE)</f>
        <v>#N/A</v>
      </c>
      <c r="AB726" s="161" t="b">
        <f>ISNUMBER(VLOOKUP(AJ718,Match!$T$5:$T$10,1,FALSE))</f>
        <v>0</v>
      </c>
      <c r="AC726" s="161" t="b">
        <f>IF(AB726=TRUE,(VLOOKUP($AJ718,Match!$T$5:$U$10,2,FALSE)))</f>
        <v>0</v>
      </c>
      <c r="AD726" s="8">
        <v>3</v>
      </c>
      <c r="AE726" s="8">
        <v>2</v>
      </c>
      <c r="AF726" s="8">
        <v>2</v>
      </c>
      <c r="AG726" s="8">
        <v>1</v>
      </c>
      <c r="AH726" s="8" t="str">
        <f t="shared" si="202"/>
        <v/>
      </c>
    </row>
    <row r="727" spans="1:34" x14ac:dyDescent="0.25">
      <c r="A727" s="29">
        <f t="shared" si="209"/>
        <v>0</v>
      </c>
      <c r="B727" s="29">
        <f t="shared" si="203"/>
        <v>0</v>
      </c>
      <c r="C727" s="29">
        <f t="shared" si="204"/>
        <v>0</v>
      </c>
      <c r="D727" s="29">
        <f t="shared" si="205"/>
        <v>0</v>
      </c>
      <c r="E727" s="29">
        <f t="shared" si="210"/>
        <v>0</v>
      </c>
      <c r="F727" s="29">
        <f t="shared" si="211"/>
        <v>0</v>
      </c>
      <c r="G727" s="29" t="str">
        <f t="shared" si="212"/>
        <v>offensive</v>
      </c>
      <c r="H727" s="16">
        <f t="shared" si="216"/>
        <v>0</v>
      </c>
      <c r="I727" s="16">
        <f t="shared" si="217"/>
        <v>0</v>
      </c>
      <c r="J727" s="16">
        <f t="shared" si="206"/>
        <v>0</v>
      </c>
      <c r="K727" s="16">
        <f t="shared" si="213"/>
        <v>0</v>
      </c>
      <c r="L727" s="67">
        <f t="shared" si="214"/>
        <v>0</v>
      </c>
      <c r="M727" s="4">
        <f t="shared" si="207"/>
        <v>0</v>
      </c>
      <c r="N727" s="4">
        <f t="shared" si="208"/>
        <v>0</v>
      </c>
      <c r="O727" s="4">
        <f t="shared" si="215"/>
        <v>0</v>
      </c>
      <c r="P727" s="4" t="e">
        <f>VLOOKUP(AJ719,'CIR Team Info'!$C$5:$E$44,2,FALSE)</f>
        <v>#N/A</v>
      </c>
      <c r="Q727" s="4" t="e">
        <f>VLOOKUP(AJ719,'CIR Team Info'!$C$5:$E$44,3,FALSE)</f>
        <v>#N/A</v>
      </c>
      <c r="R727" s="10" t="e">
        <f>VLOOKUP(AJ719,'FRC Site Data'!$B$3:$L$42,2,FALSE)</f>
        <v>#N/A</v>
      </c>
      <c r="S727" s="10" t="e">
        <f>VLOOKUP(AJ719,'FRC Site Data'!$B$3:$L$42,3,FALSE)</f>
        <v>#N/A</v>
      </c>
      <c r="T727" s="10" t="e">
        <f>VLOOKUP(AJ719,'FRC Site Data'!$B$3:$L$42,4,FALSE)</f>
        <v>#N/A</v>
      </c>
      <c r="U727" s="10" t="e">
        <f>VLOOKUP(AJ719,'FRC Site Data'!$B$3:$L$42,5,FALSE)</f>
        <v>#N/A</v>
      </c>
      <c r="V727" s="10" t="e">
        <f>VLOOKUP(AJ719,'FRC Site Data'!$B$3:$L$42,6,FALSE)</f>
        <v>#N/A</v>
      </c>
      <c r="W727" s="10" t="e">
        <f>VLOOKUP(AJ719,'FRC Site Data'!$B$3:$L$42,8,FALSE)</f>
        <v>#N/A</v>
      </c>
      <c r="X727" s="10" t="e">
        <f>VLOOKUP(AJ719,'FRC Site Data'!$B$3:$L$42,9,FALSE)</f>
        <v>#N/A</v>
      </c>
      <c r="Y727" s="10" t="e">
        <f>VLOOKUP(AJ719,'FRC Site Data'!$B$3:$L$42,10,FALSE)</f>
        <v>#N/A</v>
      </c>
      <c r="Z727" s="10" t="e">
        <f>VLOOKUP(AJ719,'FRC Site Data'!$B$3:$L$42,11,FALSE)</f>
        <v>#N/A</v>
      </c>
      <c r="AA727" s="10" t="e">
        <f>VLOOKUP(AJ719,'CIR Team Info'!$C$5:$E$44,4,FALSE)</f>
        <v>#N/A</v>
      </c>
      <c r="AB727" s="161" t="b">
        <f>ISNUMBER(VLOOKUP(AJ719,Match!$T$5:$T$10,1,FALSE))</f>
        <v>0</v>
      </c>
      <c r="AC727" s="161" t="b">
        <f>IF(AB727=TRUE,(VLOOKUP($AJ719,Match!$T$5:$U$10,2,FALSE)))</f>
        <v>0</v>
      </c>
      <c r="AD727" s="8">
        <v>3</v>
      </c>
      <c r="AE727" s="8">
        <v>2</v>
      </c>
      <c r="AF727" s="8">
        <v>2</v>
      </c>
      <c r="AG727" s="8">
        <v>1</v>
      </c>
      <c r="AH727" s="8" t="str">
        <f t="shared" si="202"/>
        <v/>
      </c>
    </row>
    <row r="728" spans="1:34" x14ac:dyDescent="0.25">
      <c r="A728" s="29">
        <f t="shared" si="209"/>
        <v>0</v>
      </c>
      <c r="B728" s="29">
        <f t="shared" si="203"/>
        <v>0</v>
      </c>
      <c r="C728" s="29">
        <f t="shared" si="204"/>
        <v>0</v>
      </c>
      <c r="D728" s="29">
        <f t="shared" si="205"/>
        <v>0</v>
      </c>
      <c r="E728" s="29">
        <f t="shared" si="210"/>
        <v>0</v>
      </c>
      <c r="F728" s="29">
        <f t="shared" si="211"/>
        <v>0</v>
      </c>
      <c r="G728" s="29" t="str">
        <f t="shared" si="212"/>
        <v>offensive</v>
      </c>
      <c r="H728" s="16">
        <f t="shared" si="216"/>
        <v>0</v>
      </c>
      <c r="I728" s="16">
        <f t="shared" si="217"/>
        <v>0</v>
      </c>
      <c r="J728" s="16">
        <f t="shared" si="206"/>
        <v>0</v>
      </c>
      <c r="K728" s="16">
        <f t="shared" si="213"/>
        <v>0</v>
      </c>
      <c r="L728" s="67">
        <f t="shared" si="214"/>
        <v>0</v>
      </c>
      <c r="M728" s="4">
        <f t="shared" si="207"/>
        <v>0</v>
      </c>
      <c r="N728" s="4">
        <f t="shared" si="208"/>
        <v>0</v>
      </c>
      <c r="O728" s="4">
        <f t="shared" si="215"/>
        <v>0</v>
      </c>
      <c r="P728" s="4" t="e">
        <f>VLOOKUP(AJ720,'CIR Team Info'!$C$5:$E$44,2,FALSE)</f>
        <v>#N/A</v>
      </c>
      <c r="Q728" s="4" t="e">
        <f>VLOOKUP(AJ720,'CIR Team Info'!$C$5:$E$44,3,FALSE)</f>
        <v>#N/A</v>
      </c>
      <c r="R728" s="10" t="e">
        <f>VLOOKUP(AJ720,'FRC Site Data'!$B$3:$L$42,2,FALSE)</f>
        <v>#N/A</v>
      </c>
      <c r="S728" s="10" t="e">
        <f>VLOOKUP(AJ720,'FRC Site Data'!$B$3:$L$42,3,FALSE)</f>
        <v>#N/A</v>
      </c>
      <c r="T728" s="10" t="e">
        <f>VLOOKUP(AJ720,'FRC Site Data'!$B$3:$L$42,4,FALSE)</f>
        <v>#N/A</v>
      </c>
      <c r="U728" s="10" t="e">
        <f>VLOOKUP(AJ720,'FRC Site Data'!$B$3:$L$42,5,FALSE)</f>
        <v>#N/A</v>
      </c>
      <c r="V728" s="10" t="e">
        <f>VLOOKUP(AJ720,'FRC Site Data'!$B$3:$L$42,6,FALSE)</f>
        <v>#N/A</v>
      </c>
      <c r="W728" s="10" t="e">
        <f>VLOOKUP(AJ720,'FRC Site Data'!$B$3:$L$42,8,FALSE)</f>
        <v>#N/A</v>
      </c>
      <c r="X728" s="10" t="e">
        <f>VLOOKUP(AJ720,'FRC Site Data'!$B$3:$L$42,9,FALSE)</f>
        <v>#N/A</v>
      </c>
      <c r="Y728" s="10" t="e">
        <f>VLOOKUP(AJ720,'FRC Site Data'!$B$3:$L$42,10,FALSE)</f>
        <v>#N/A</v>
      </c>
      <c r="Z728" s="10" t="e">
        <f>VLOOKUP(AJ720,'FRC Site Data'!$B$3:$L$42,11,FALSE)</f>
        <v>#N/A</v>
      </c>
      <c r="AA728" s="10" t="e">
        <f>VLOOKUP(AJ720,'CIR Team Info'!$C$5:$E$44,4,FALSE)</f>
        <v>#N/A</v>
      </c>
      <c r="AB728" s="161" t="b">
        <f>ISNUMBER(VLOOKUP(AJ720,Match!$T$5:$T$10,1,FALSE))</f>
        <v>0</v>
      </c>
      <c r="AC728" s="161" t="b">
        <f>IF(AB728=TRUE,(VLOOKUP($AJ720,Match!$T$5:$U$10,2,FALSE)))</f>
        <v>0</v>
      </c>
      <c r="AD728" s="8">
        <v>3</v>
      </c>
      <c r="AE728" s="8">
        <v>2</v>
      </c>
      <c r="AF728" s="8">
        <v>2</v>
      </c>
      <c r="AG728" s="8">
        <v>1</v>
      </c>
      <c r="AH728" s="8" t="str">
        <f t="shared" si="202"/>
        <v/>
      </c>
    </row>
    <row r="729" spans="1:34" x14ac:dyDescent="0.25">
      <c r="A729" s="29">
        <f t="shared" si="209"/>
        <v>0</v>
      </c>
      <c r="B729" s="29">
        <f t="shared" si="203"/>
        <v>0</v>
      </c>
      <c r="C729" s="29">
        <f t="shared" si="204"/>
        <v>0</v>
      </c>
      <c r="D729" s="29">
        <f t="shared" si="205"/>
        <v>0</v>
      </c>
      <c r="E729" s="29">
        <f t="shared" si="210"/>
        <v>0</v>
      </c>
      <c r="F729" s="29">
        <f t="shared" si="211"/>
        <v>0</v>
      </c>
      <c r="G729" s="29" t="str">
        <f t="shared" si="212"/>
        <v>offensive</v>
      </c>
      <c r="H729" s="16">
        <f t="shared" si="216"/>
        <v>0</v>
      </c>
      <c r="I729" s="16">
        <f t="shared" si="217"/>
        <v>0</v>
      </c>
      <c r="J729" s="16">
        <f t="shared" si="206"/>
        <v>0</v>
      </c>
      <c r="K729" s="16">
        <f t="shared" si="213"/>
        <v>0</v>
      </c>
      <c r="L729" s="67">
        <f t="shared" si="214"/>
        <v>0</v>
      </c>
      <c r="M729" s="4">
        <f t="shared" si="207"/>
        <v>0</v>
      </c>
      <c r="N729" s="4">
        <f t="shared" si="208"/>
        <v>0</v>
      </c>
      <c r="O729" s="4">
        <f t="shared" si="215"/>
        <v>0</v>
      </c>
      <c r="P729" s="4" t="e">
        <f>VLOOKUP(AJ721,'CIR Team Info'!$C$5:$E$44,2,FALSE)</f>
        <v>#N/A</v>
      </c>
      <c r="Q729" s="4" t="e">
        <f>VLOOKUP(AJ721,'CIR Team Info'!$C$5:$E$44,3,FALSE)</f>
        <v>#N/A</v>
      </c>
      <c r="R729" s="10" t="e">
        <f>VLOOKUP(AJ721,'FRC Site Data'!$B$3:$L$42,2,FALSE)</f>
        <v>#N/A</v>
      </c>
      <c r="S729" s="10" t="e">
        <f>VLOOKUP(AJ721,'FRC Site Data'!$B$3:$L$42,3,FALSE)</f>
        <v>#N/A</v>
      </c>
      <c r="T729" s="10" t="e">
        <f>VLOOKUP(AJ721,'FRC Site Data'!$B$3:$L$42,4,FALSE)</f>
        <v>#N/A</v>
      </c>
      <c r="U729" s="10" t="e">
        <f>VLOOKUP(AJ721,'FRC Site Data'!$B$3:$L$42,5,FALSE)</f>
        <v>#N/A</v>
      </c>
      <c r="V729" s="10" t="e">
        <f>VLOOKUP(AJ721,'FRC Site Data'!$B$3:$L$42,6,FALSE)</f>
        <v>#N/A</v>
      </c>
      <c r="W729" s="10" t="e">
        <f>VLOOKUP(AJ721,'FRC Site Data'!$B$3:$L$42,8,FALSE)</f>
        <v>#N/A</v>
      </c>
      <c r="X729" s="10" t="e">
        <f>VLOOKUP(AJ721,'FRC Site Data'!$B$3:$L$42,9,FALSE)</f>
        <v>#N/A</v>
      </c>
      <c r="Y729" s="10" t="e">
        <f>VLOOKUP(AJ721,'FRC Site Data'!$B$3:$L$42,10,FALSE)</f>
        <v>#N/A</v>
      </c>
      <c r="Z729" s="10" t="e">
        <f>VLOOKUP(AJ721,'FRC Site Data'!$B$3:$L$42,11,FALSE)</f>
        <v>#N/A</v>
      </c>
      <c r="AA729" s="10" t="e">
        <f>VLOOKUP(AJ721,'CIR Team Info'!$C$5:$E$44,4,FALSE)</f>
        <v>#N/A</v>
      </c>
      <c r="AB729" s="161" t="b">
        <f>ISNUMBER(VLOOKUP(AJ721,Match!$T$5:$T$10,1,FALSE))</f>
        <v>0</v>
      </c>
      <c r="AC729" s="161" t="b">
        <f>IF(AB729=TRUE,(VLOOKUP($AJ721,Match!$T$5:$U$10,2,FALSE)))</f>
        <v>0</v>
      </c>
      <c r="AD729" s="8">
        <v>3</v>
      </c>
      <c r="AE729" s="8">
        <v>2</v>
      </c>
      <c r="AF729" s="8">
        <v>2</v>
      </c>
      <c r="AG729" s="8">
        <v>1</v>
      </c>
      <c r="AH729" s="8" t="str">
        <f t="shared" si="202"/>
        <v/>
      </c>
    </row>
    <row r="730" spans="1:34" x14ac:dyDescent="0.25">
      <c r="A730" s="29">
        <f t="shared" si="209"/>
        <v>0</v>
      </c>
      <c r="B730" s="29">
        <f t="shared" si="203"/>
        <v>0</v>
      </c>
      <c r="C730" s="29">
        <f t="shared" si="204"/>
        <v>0</v>
      </c>
      <c r="D730" s="29">
        <f t="shared" si="205"/>
        <v>0</v>
      </c>
      <c r="E730" s="29">
        <f t="shared" si="210"/>
        <v>0</v>
      </c>
      <c r="F730" s="29">
        <f t="shared" si="211"/>
        <v>0</v>
      </c>
      <c r="G730" s="29" t="str">
        <f t="shared" si="212"/>
        <v>offensive</v>
      </c>
      <c r="H730" s="16">
        <f t="shared" si="216"/>
        <v>0</v>
      </c>
      <c r="I730" s="16">
        <f t="shared" si="217"/>
        <v>0</v>
      </c>
      <c r="J730" s="16">
        <f t="shared" si="206"/>
        <v>0</v>
      </c>
      <c r="K730" s="16">
        <f t="shared" si="213"/>
        <v>0</v>
      </c>
      <c r="L730" s="67">
        <f t="shared" si="214"/>
        <v>0</v>
      </c>
      <c r="M730" s="4">
        <f t="shared" si="207"/>
        <v>0</v>
      </c>
      <c r="N730" s="4">
        <f t="shared" si="208"/>
        <v>0</v>
      </c>
      <c r="O730" s="4">
        <f t="shared" si="215"/>
        <v>0</v>
      </c>
      <c r="P730" s="4" t="e">
        <f>VLOOKUP(AJ722,'CIR Team Info'!$C$5:$E$44,2,FALSE)</f>
        <v>#N/A</v>
      </c>
      <c r="Q730" s="4" t="e">
        <f>VLOOKUP(AJ722,'CIR Team Info'!$C$5:$E$44,3,FALSE)</f>
        <v>#N/A</v>
      </c>
      <c r="R730" s="10" t="e">
        <f>VLOOKUP(AJ722,'FRC Site Data'!$B$3:$L$42,2,FALSE)</f>
        <v>#N/A</v>
      </c>
      <c r="S730" s="10" t="e">
        <f>VLOOKUP(AJ722,'FRC Site Data'!$B$3:$L$42,3,FALSE)</f>
        <v>#N/A</v>
      </c>
      <c r="T730" s="10" t="e">
        <f>VLOOKUP(AJ722,'FRC Site Data'!$B$3:$L$42,4,FALSE)</f>
        <v>#N/A</v>
      </c>
      <c r="U730" s="10" t="e">
        <f>VLOOKUP(AJ722,'FRC Site Data'!$B$3:$L$42,5,FALSE)</f>
        <v>#N/A</v>
      </c>
      <c r="V730" s="10" t="e">
        <f>VLOOKUP(AJ722,'FRC Site Data'!$B$3:$L$42,6,FALSE)</f>
        <v>#N/A</v>
      </c>
      <c r="W730" s="10" t="e">
        <f>VLOOKUP(AJ722,'FRC Site Data'!$B$3:$L$42,8,FALSE)</f>
        <v>#N/A</v>
      </c>
      <c r="X730" s="10" t="e">
        <f>VLOOKUP(AJ722,'FRC Site Data'!$B$3:$L$42,9,FALSE)</f>
        <v>#N/A</v>
      </c>
      <c r="Y730" s="10" t="e">
        <f>VLOOKUP(AJ722,'FRC Site Data'!$B$3:$L$42,10,FALSE)</f>
        <v>#N/A</v>
      </c>
      <c r="Z730" s="10" t="e">
        <f>VLOOKUP(AJ722,'FRC Site Data'!$B$3:$L$42,11,FALSE)</f>
        <v>#N/A</v>
      </c>
      <c r="AA730" s="10" t="e">
        <f>VLOOKUP(AJ722,'CIR Team Info'!$C$5:$E$44,4,FALSE)</f>
        <v>#N/A</v>
      </c>
      <c r="AB730" s="161" t="b">
        <f>ISNUMBER(VLOOKUP(AJ722,Match!$T$5:$T$10,1,FALSE))</f>
        <v>0</v>
      </c>
      <c r="AC730" s="161" t="b">
        <f>IF(AB730=TRUE,(VLOOKUP($AJ722,Match!$T$5:$U$10,2,FALSE)))</f>
        <v>0</v>
      </c>
      <c r="AD730" s="8">
        <v>3</v>
      </c>
      <c r="AE730" s="8">
        <v>2</v>
      </c>
      <c r="AF730" s="8">
        <v>2</v>
      </c>
      <c r="AG730" s="8">
        <v>1</v>
      </c>
      <c r="AH730" s="8" t="str">
        <f t="shared" si="202"/>
        <v/>
      </c>
    </row>
    <row r="731" spans="1:34" x14ac:dyDescent="0.25">
      <c r="A731" s="29">
        <f t="shared" si="209"/>
        <v>0</v>
      </c>
      <c r="B731" s="29">
        <f t="shared" si="203"/>
        <v>0</v>
      </c>
      <c r="C731" s="29">
        <f t="shared" si="204"/>
        <v>0</v>
      </c>
      <c r="D731" s="29">
        <f t="shared" si="205"/>
        <v>0</v>
      </c>
      <c r="E731" s="29">
        <f t="shared" si="210"/>
        <v>0</v>
      </c>
      <c r="F731" s="29">
        <f t="shared" si="211"/>
        <v>0</v>
      </c>
      <c r="G731" s="29" t="str">
        <f t="shared" si="212"/>
        <v>offensive</v>
      </c>
      <c r="H731" s="16">
        <f t="shared" si="216"/>
        <v>0</v>
      </c>
      <c r="I731" s="16">
        <f t="shared" si="217"/>
        <v>0</v>
      </c>
      <c r="J731" s="16">
        <f t="shared" si="206"/>
        <v>0</v>
      </c>
      <c r="K731" s="16">
        <f t="shared" si="213"/>
        <v>0</v>
      </c>
      <c r="L731" s="67">
        <f t="shared" si="214"/>
        <v>0</v>
      </c>
      <c r="M731" s="4">
        <f t="shared" si="207"/>
        <v>0</v>
      </c>
      <c r="N731" s="4">
        <f t="shared" si="208"/>
        <v>0</v>
      </c>
      <c r="O731" s="4">
        <f t="shared" si="215"/>
        <v>0</v>
      </c>
      <c r="P731" s="4" t="e">
        <f>VLOOKUP(AJ723,'CIR Team Info'!$C$5:$E$44,2,FALSE)</f>
        <v>#N/A</v>
      </c>
      <c r="Q731" s="4" t="e">
        <f>VLOOKUP(AJ723,'CIR Team Info'!$C$5:$E$44,3,FALSE)</f>
        <v>#N/A</v>
      </c>
      <c r="R731" s="10" t="e">
        <f>VLOOKUP(AJ723,'FRC Site Data'!$B$3:$L$42,2,FALSE)</f>
        <v>#N/A</v>
      </c>
      <c r="S731" s="10" t="e">
        <f>VLOOKUP(AJ723,'FRC Site Data'!$B$3:$L$42,3,FALSE)</f>
        <v>#N/A</v>
      </c>
      <c r="T731" s="10" t="e">
        <f>VLOOKUP(AJ723,'FRC Site Data'!$B$3:$L$42,4,FALSE)</f>
        <v>#N/A</v>
      </c>
      <c r="U731" s="10" t="e">
        <f>VLOOKUP(AJ723,'FRC Site Data'!$B$3:$L$42,5,FALSE)</f>
        <v>#N/A</v>
      </c>
      <c r="V731" s="10" t="e">
        <f>VLOOKUP(AJ723,'FRC Site Data'!$B$3:$L$42,6,FALSE)</f>
        <v>#N/A</v>
      </c>
      <c r="W731" s="10" t="e">
        <f>VLOOKUP(AJ723,'FRC Site Data'!$B$3:$L$42,8,FALSE)</f>
        <v>#N/A</v>
      </c>
      <c r="X731" s="10" t="e">
        <f>VLOOKUP(AJ723,'FRC Site Data'!$B$3:$L$42,9,FALSE)</f>
        <v>#N/A</v>
      </c>
      <c r="Y731" s="10" t="e">
        <f>VLOOKUP(AJ723,'FRC Site Data'!$B$3:$L$42,10,FALSE)</f>
        <v>#N/A</v>
      </c>
      <c r="Z731" s="10" t="e">
        <f>VLOOKUP(AJ723,'FRC Site Data'!$B$3:$L$42,11,FALSE)</f>
        <v>#N/A</v>
      </c>
      <c r="AA731" s="10" t="e">
        <f>VLOOKUP(AJ723,'CIR Team Info'!$C$5:$E$44,4,FALSE)</f>
        <v>#N/A</v>
      </c>
      <c r="AB731" s="161" t="b">
        <f>ISNUMBER(VLOOKUP(AJ723,Match!$T$5:$T$10,1,FALSE))</f>
        <v>0</v>
      </c>
      <c r="AC731" s="161" t="b">
        <f>IF(AB731=TRUE,(VLOOKUP($AJ723,Match!$T$5:$U$10,2,FALSE)))</f>
        <v>0</v>
      </c>
      <c r="AD731" s="8">
        <v>3</v>
      </c>
      <c r="AE731" s="8">
        <v>2</v>
      </c>
      <c r="AF731" s="8">
        <v>2</v>
      </c>
      <c r="AG731" s="8">
        <v>1</v>
      </c>
      <c r="AH731" s="8" t="str">
        <f t="shared" si="202"/>
        <v/>
      </c>
    </row>
    <row r="732" spans="1:34" x14ac:dyDescent="0.25">
      <c r="A732" s="29">
        <f t="shared" si="209"/>
        <v>0</v>
      </c>
      <c r="B732" s="29">
        <f t="shared" si="203"/>
        <v>0</v>
      </c>
      <c r="C732" s="29">
        <f t="shared" si="204"/>
        <v>0</v>
      </c>
      <c r="D732" s="29">
        <f t="shared" si="205"/>
        <v>0</v>
      </c>
      <c r="E732" s="29">
        <f t="shared" si="210"/>
        <v>0</v>
      </c>
      <c r="F732" s="29">
        <f t="shared" si="211"/>
        <v>0</v>
      </c>
      <c r="G732" s="29" t="str">
        <f t="shared" si="212"/>
        <v>offensive</v>
      </c>
      <c r="H732" s="16">
        <f t="shared" si="216"/>
        <v>0</v>
      </c>
      <c r="I732" s="16">
        <f t="shared" si="217"/>
        <v>0</v>
      </c>
      <c r="J732" s="16">
        <f t="shared" si="206"/>
        <v>0</v>
      </c>
      <c r="K732" s="16">
        <f t="shared" si="213"/>
        <v>0</v>
      </c>
      <c r="L732" s="67">
        <f t="shared" si="214"/>
        <v>0</v>
      </c>
      <c r="M732" s="4">
        <f t="shared" si="207"/>
        <v>0</v>
      </c>
      <c r="N732" s="4">
        <f t="shared" si="208"/>
        <v>0</v>
      </c>
      <c r="O732" s="4">
        <f t="shared" si="215"/>
        <v>0</v>
      </c>
      <c r="P732" s="4" t="e">
        <f>VLOOKUP(AJ724,'CIR Team Info'!$C$5:$E$44,2,FALSE)</f>
        <v>#N/A</v>
      </c>
      <c r="Q732" s="4" t="e">
        <f>VLOOKUP(AJ724,'CIR Team Info'!$C$5:$E$44,3,FALSE)</f>
        <v>#N/A</v>
      </c>
      <c r="R732" s="10" t="e">
        <f>VLOOKUP(AJ724,'FRC Site Data'!$B$3:$L$42,2,FALSE)</f>
        <v>#N/A</v>
      </c>
      <c r="S732" s="10" t="e">
        <f>VLOOKUP(AJ724,'FRC Site Data'!$B$3:$L$42,3,FALSE)</f>
        <v>#N/A</v>
      </c>
      <c r="T732" s="10" t="e">
        <f>VLOOKUP(AJ724,'FRC Site Data'!$B$3:$L$42,4,FALSE)</f>
        <v>#N/A</v>
      </c>
      <c r="U732" s="10" t="e">
        <f>VLOOKUP(AJ724,'FRC Site Data'!$B$3:$L$42,5,FALSE)</f>
        <v>#N/A</v>
      </c>
      <c r="V732" s="10" t="e">
        <f>VLOOKUP(AJ724,'FRC Site Data'!$B$3:$L$42,6,FALSE)</f>
        <v>#N/A</v>
      </c>
      <c r="W732" s="10" t="e">
        <f>VLOOKUP(AJ724,'FRC Site Data'!$B$3:$L$42,8,FALSE)</f>
        <v>#N/A</v>
      </c>
      <c r="X732" s="10" t="e">
        <f>VLOOKUP(AJ724,'FRC Site Data'!$B$3:$L$42,9,FALSE)</f>
        <v>#N/A</v>
      </c>
      <c r="Y732" s="10" t="e">
        <f>VLOOKUP(AJ724,'FRC Site Data'!$B$3:$L$42,10,FALSE)</f>
        <v>#N/A</v>
      </c>
      <c r="Z732" s="10" t="e">
        <f>VLOOKUP(AJ724,'FRC Site Data'!$B$3:$L$42,11,FALSE)</f>
        <v>#N/A</v>
      </c>
      <c r="AA732" s="10" t="e">
        <f>VLOOKUP(AJ724,'CIR Team Info'!$C$5:$E$44,4,FALSE)</f>
        <v>#N/A</v>
      </c>
      <c r="AB732" s="161" t="b">
        <f>ISNUMBER(VLOOKUP(AJ724,Match!$T$5:$T$10,1,FALSE))</f>
        <v>0</v>
      </c>
      <c r="AC732" s="161" t="b">
        <f>IF(AB732=TRUE,(VLOOKUP($AJ724,Match!$T$5:$U$10,2,FALSE)))</f>
        <v>0</v>
      </c>
      <c r="AD732" s="8">
        <v>3</v>
      </c>
      <c r="AE732" s="8">
        <v>2</v>
      </c>
      <c r="AF732" s="8">
        <v>2</v>
      </c>
      <c r="AG732" s="8">
        <v>1</v>
      </c>
      <c r="AH732" s="8" t="str">
        <f t="shared" si="202"/>
        <v/>
      </c>
    </row>
    <row r="733" spans="1:34" x14ac:dyDescent="0.25">
      <c r="A733" s="29">
        <f t="shared" si="209"/>
        <v>0</v>
      </c>
      <c r="B733" s="29">
        <f t="shared" si="203"/>
        <v>0</v>
      </c>
      <c r="C733" s="29">
        <f t="shared" si="204"/>
        <v>0</v>
      </c>
      <c r="D733" s="29">
        <f t="shared" si="205"/>
        <v>0</v>
      </c>
      <c r="E733" s="29">
        <f t="shared" si="210"/>
        <v>0</v>
      </c>
      <c r="F733" s="29">
        <f t="shared" si="211"/>
        <v>0</v>
      </c>
      <c r="G733" s="29" t="str">
        <f t="shared" si="212"/>
        <v>offensive</v>
      </c>
      <c r="H733" s="16">
        <f t="shared" si="216"/>
        <v>0</v>
      </c>
      <c r="I733" s="16">
        <f t="shared" si="217"/>
        <v>0</v>
      </c>
      <c r="J733" s="16">
        <f t="shared" si="206"/>
        <v>0</v>
      </c>
      <c r="K733" s="16">
        <f t="shared" si="213"/>
        <v>0</v>
      </c>
      <c r="L733" s="67">
        <f t="shared" si="214"/>
        <v>0</v>
      </c>
      <c r="M733" s="4">
        <f t="shared" si="207"/>
        <v>0</v>
      </c>
      <c r="N733" s="4">
        <f t="shared" si="208"/>
        <v>0</v>
      </c>
      <c r="O733" s="4">
        <f t="shared" si="215"/>
        <v>0</v>
      </c>
      <c r="P733" s="4" t="e">
        <f>VLOOKUP(AJ725,'CIR Team Info'!$C$5:$E$44,2,FALSE)</f>
        <v>#N/A</v>
      </c>
      <c r="Q733" s="4" t="e">
        <f>VLOOKUP(AJ725,'CIR Team Info'!$C$5:$E$44,3,FALSE)</f>
        <v>#N/A</v>
      </c>
      <c r="R733" s="10" t="e">
        <f>VLOOKUP(AJ725,'FRC Site Data'!$B$3:$L$42,2,FALSE)</f>
        <v>#N/A</v>
      </c>
      <c r="S733" s="10" t="e">
        <f>VLOOKUP(AJ725,'FRC Site Data'!$B$3:$L$42,3,FALSE)</f>
        <v>#N/A</v>
      </c>
      <c r="T733" s="10" t="e">
        <f>VLOOKUP(AJ725,'FRC Site Data'!$B$3:$L$42,4,FALSE)</f>
        <v>#N/A</v>
      </c>
      <c r="U733" s="10" t="e">
        <f>VLOOKUP(AJ725,'FRC Site Data'!$B$3:$L$42,5,FALSE)</f>
        <v>#N/A</v>
      </c>
      <c r="V733" s="10" t="e">
        <f>VLOOKUP(AJ725,'FRC Site Data'!$B$3:$L$42,6,FALSE)</f>
        <v>#N/A</v>
      </c>
      <c r="W733" s="10" t="e">
        <f>VLOOKUP(AJ725,'FRC Site Data'!$B$3:$L$42,8,FALSE)</f>
        <v>#N/A</v>
      </c>
      <c r="X733" s="10" t="e">
        <f>VLOOKUP(AJ725,'FRC Site Data'!$B$3:$L$42,9,FALSE)</f>
        <v>#N/A</v>
      </c>
      <c r="Y733" s="10" t="e">
        <f>VLOOKUP(AJ725,'FRC Site Data'!$B$3:$L$42,10,FALSE)</f>
        <v>#N/A</v>
      </c>
      <c r="Z733" s="10" t="e">
        <f>VLOOKUP(AJ725,'FRC Site Data'!$B$3:$L$42,11,FALSE)</f>
        <v>#N/A</v>
      </c>
      <c r="AA733" s="10" t="e">
        <f>VLOOKUP(AJ725,'CIR Team Info'!$C$5:$E$44,4,FALSE)</f>
        <v>#N/A</v>
      </c>
      <c r="AB733" s="161" t="b">
        <f>ISNUMBER(VLOOKUP(AJ725,Match!$T$5:$T$10,1,FALSE))</f>
        <v>0</v>
      </c>
      <c r="AC733" s="161" t="b">
        <f>IF(AB733=TRUE,(VLOOKUP($AJ725,Match!$T$5:$U$10,2,FALSE)))</f>
        <v>0</v>
      </c>
      <c r="AD733" s="8">
        <v>3</v>
      </c>
      <c r="AE733" s="8">
        <v>2</v>
      </c>
      <c r="AF733" s="8">
        <v>2</v>
      </c>
      <c r="AG733" s="8">
        <v>1</v>
      </c>
      <c r="AH733" s="8" t="str">
        <f t="shared" si="202"/>
        <v/>
      </c>
    </row>
    <row r="734" spans="1:34" x14ac:dyDescent="0.25">
      <c r="A734" s="29">
        <f t="shared" si="209"/>
        <v>0</v>
      </c>
      <c r="B734" s="29">
        <f t="shared" si="203"/>
        <v>0</v>
      </c>
      <c r="C734" s="29">
        <f t="shared" si="204"/>
        <v>0</v>
      </c>
      <c r="D734" s="29">
        <f t="shared" si="205"/>
        <v>0</v>
      </c>
      <c r="E734" s="29">
        <f t="shared" si="210"/>
        <v>0</v>
      </c>
      <c r="F734" s="29">
        <f t="shared" si="211"/>
        <v>0</v>
      </c>
      <c r="G734" s="29" t="str">
        <f t="shared" si="212"/>
        <v>offensive</v>
      </c>
      <c r="H734" s="16">
        <f t="shared" si="216"/>
        <v>0</v>
      </c>
      <c r="I734" s="16">
        <f t="shared" si="217"/>
        <v>0</v>
      </c>
      <c r="J734" s="16">
        <f t="shared" si="206"/>
        <v>0</v>
      </c>
      <c r="K734" s="16">
        <f t="shared" si="213"/>
        <v>0</v>
      </c>
      <c r="L734" s="67">
        <f t="shared" si="214"/>
        <v>0</v>
      </c>
      <c r="M734" s="4">
        <f t="shared" si="207"/>
        <v>0</v>
      </c>
      <c r="N734" s="4">
        <f t="shared" si="208"/>
        <v>0</v>
      </c>
      <c r="O734" s="4">
        <f t="shared" si="215"/>
        <v>0</v>
      </c>
      <c r="P734" s="4" t="e">
        <f>VLOOKUP(AJ726,'CIR Team Info'!$C$5:$E$44,2,FALSE)</f>
        <v>#N/A</v>
      </c>
      <c r="Q734" s="4" t="e">
        <f>VLOOKUP(AJ726,'CIR Team Info'!$C$5:$E$44,3,FALSE)</f>
        <v>#N/A</v>
      </c>
      <c r="R734" s="10" t="e">
        <f>VLOOKUP(AJ726,'FRC Site Data'!$B$3:$L$42,2,FALSE)</f>
        <v>#N/A</v>
      </c>
      <c r="S734" s="10" t="e">
        <f>VLOOKUP(AJ726,'FRC Site Data'!$B$3:$L$42,3,FALSE)</f>
        <v>#N/A</v>
      </c>
      <c r="T734" s="10" t="e">
        <f>VLOOKUP(AJ726,'FRC Site Data'!$B$3:$L$42,4,FALSE)</f>
        <v>#N/A</v>
      </c>
      <c r="U734" s="10" t="e">
        <f>VLOOKUP(AJ726,'FRC Site Data'!$B$3:$L$42,5,FALSE)</f>
        <v>#N/A</v>
      </c>
      <c r="V734" s="10" t="e">
        <f>VLOOKUP(AJ726,'FRC Site Data'!$B$3:$L$42,6,FALSE)</f>
        <v>#N/A</v>
      </c>
      <c r="W734" s="10" t="e">
        <f>VLOOKUP(AJ726,'FRC Site Data'!$B$3:$L$42,8,FALSE)</f>
        <v>#N/A</v>
      </c>
      <c r="X734" s="10" t="e">
        <f>VLOOKUP(AJ726,'FRC Site Data'!$B$3:$L$42,9,FALSE)</f>
        <v>#N/A</v>
      </c>
      <c r="Y734" s="10" t="e">
        <f>VLOOKUP(AJ726,'FRC Site Data'!$B$3:$L$42,10,FALSE)</f>
        <v>#N/A</v>
      </c>
      <c r="Z734" s="10" t="e">
        <f>VLOOKUP(AJ726,'FRC Site Data'!$B$3:$L$42,11,FALSE)</f>
        <v>#N/A</v>
      </c>
      <c r="AA734" s="10" t="e">
        <f>VLOOKUP(AJ726,'CIR Team Info'!$C$5:$E$44,4,FALSE)</f>
        <v>#N/A</v>
      </c>
      <c r="AB734" s="161" t="b">
        <f>ISNUMBER(VLOOKUP(AJ726,Match!$T$5:$T$10,1,FALSE))</f>
        <v>0</v>
      </c>
      <c r="AC734" s="161" t="b">
        <f>IF(AB734=TRUE,(VLOOKUP($AJ726,Match!$T$5:$U$10,2,FALSE)))</f>
        <v>0</v>
      </c>
      <c r="AD734" s="8">
        <v>3</v>
      </c>
      <c r="AE734" s="8">
        <v>2</v>
      </c>
      <c r="AF734" s="8">
        <v>2</v>
      </c>
      <c r="AG734" s="8">
        <v>1</v>
      </c>
      <c r="AH734" s="8" t="str">
        <f t="shared" si="202"/>
        <v/>
      </c>
    </row>
    <row r="735" spans="1:34" x14ac:dyDescent="0.25">
      <c r="A735" s="29">
        <f t="shared" si="209"/>
        <v>0</v>
      </c>
      <c r="B735" s="29">
        <f t="shared" si="203"/>
        <v>0</v>
      </c>
      <c r="C735" s="29">
        <f t="shared" si="204"/>
        <v>0</v>
      </c>
      <c r="D735" s="29">
        <f t="shared" si="205"/>
        <v>0</v>
      </c>
      <c r="E735" s="29">
        <f t="shared" si="210"/>
        <v>0</v>
      </c>
      <c r="F735" s="29">
        <f t="shared" si="211"/>
        <v>0</v>
      </c>
      <c r="G735" s="29" t="str">
        <f t="shared" si="212"/>
        <v>offensive</v>
      </c>
      <c r="H735" s="16">
        <f t="shared" si="216"/>
        <v>0</v>
      </c>
      <c r="I735" s="16">
        <f t="shared" si="217"/>
        <v>0</v>
      </c>
      <c r="J735" s="16">
        <f t="shared" si="206"/>
        <v>0</v>
      </c>
      <c r="K735" s="16">
        <f t="shared" si="213"/>
        <v>0</v>
      </c>
      <c r="L735" s="67">
        <f t="shared" si="214"/>
        <v>0</v>
      </c>
      <c r="M735" s="4">
        <f t="shared" si="207"/>
        <v>0</v>
      </c>
      <c r="N735" s="4">
        <f t="shared" si="208"/>
        <v>0</v>
      </c>
      <c r="O735" s="4">
        <f t="shared" si="215"/>
        <v>0</v>
      </c>
      <c r="P735" s="4" t="e">
        <f>VLOOKUP(AJ727,'CIR Team Info'!$C$5:$E$44,2,FALSE)</f>
        <v>#N/A</v>
      </c>
      <c r="Q735" s="4" t="e">
        <f>VLOOKUP(AJ727,'CIR Team Info'!$C$5:$E$44,3,FALSE)</f>
        <v>#N/A</v>
      </c>
      <c r="R735" s="10" t="e">
        <f>VLOOKUP(AJ727,'FRC Site Data'!$B$3:$L$42,2,FALSE)</f>
        <v>#N/A</v>
      </c>
      <c r="S735" s="10" t="e">
        <f>VLOOKUP(AJ727,'FRC Site Data'!$B$3:$L$42,3,FALSE)</f>
        <v>#N/A</v>
      </c>
      <c r="T735" s="10" t="e">
        <f>VLOOKUP(AJ727,'FRC Site Data'!$B$3:$L$42,4,FALSE)</f>
        <v>#N/A</v>
      </c>
      <c r="U735" s="10" t="e">
        <f>VLOOKUP(AJ727,'FRC Site Data'!$B$3:$L$42,5,FALSE)</f>
        <v>#N/A</v>
      </c>
      <c r="V735" s="10" t="e">
        <f>VLOOKUP(AJ727,'FRC Site Data'!$B$3:$L$42,6,FALSE)</f>
        <v>#N/A</v>
      </c>
      <c r="W735" s="10" t="e">
        <f>VLOOKUP(AJ727,'FRC Site Data'!$B$3:$L$42,8,FALSE)</f>
        <v>#N/A</v>
      </c>
      <c r="X735" s="10" t="e">
        <f>VLOOKUP(AJ727,'FRC Site Data'!$B$3:$L$42,9,FALSE)</f>
        <v>#N/A</v>
      </c>
      <c r="Y735" s="10" t="e">
        <f>VLOOKUP(AJ727,'FRC Site Data'!$B$3:$L$42,10,FALSE)</f>
        <v>#N/A</v>
      </c>
      <c r="Z735" s="10" t="e">
        <f>VLOOKUP(AJ727,'FRC Site Data'!$B$3:$L$42,11,FALSE)</f>
        <v>#N/A</v>
      </c>
      <c r="AA735" s="10" t="e">
        <f>VLOOKUP(AJ727,'CIR Team Info'!$C$5:$E$44,4,FALSE)</f>
        <v>#N/A</v>
      </c>
      <c r="AB735" s="161" t="b">
        <f>ISNUMBER(VLOOKUP(AJ727,Match!$T$5:$T$10,1,FALSE))</f>
        <v>0</v>
      </c>
      <c r="AC735" s="161" t="b">
        <f>IF(AB735=TRUE,(VLOOKUP($AJ727,Match!$T$5:$U$10,2,FALSE)))</f>
        <v>0</v>
      </c>
      <c r="AD735" s="8">
        <v>3</v>
      </c>
      <c r="AE735" s="8">
        <v>2</v>
      </c>
      <c r="AF735" s="8">
        <v>2</v>
      </c>
      <c r="AG735" s="8">
        <v>1</v>
      </c>
      <c r="AH735" s="8" t="str">
        <f t="shared" si="202"/>
        <v/>
      </c>
    </row>
    <row r="736" spans="1:34" x14ac:dyDescent="0.25">
      <c r="A736" s="29">
        <f t="shared" si="209"/>
        <v>0</v>
      </c>
      <c r="B736" s="29">
        <f t="shared" si="203"/>
        <v>0</v>
      </c>
      <c r="C736" s="29">
        <f t="shared" si="204"/>
        <v>0</v>
      </c>
      <c r="D736" s="29">
        <f t="shared" si="205"/>
        <v>0</v>
      </c>
      <c r="E736" s="29">
        <f t="shared" si="210"/>
        <v>0</v>
      </c>
      <c r="F736" s="29">
        <f t="shared" si="211"/>
        <v>0</v>
      </c>
      <c r="G736" s="29" t="str">
        <f t="shared" si="212"/>
        <v>offensive</v>
      </c>
      <c r="H736" s="16">
        <f t="shared" si="216"/>
        <v>0</v>
      </c>
      <c r="I736" s="16">
        <f t="shared" si="217"/>
        <v>0</v>
      </c>
      <c r="J736" s="16">
        <f t="shared" si="206"/>
        <v>0</v>
      </c>
      <c r="K736" s="16">
        <f t="shared" si="213"/>
        <v>0</v>
      </c>
      <c r="L736" s="67">
        <f t="shared" si="214"/>
        <v>0</v>
      </c>
      <c r="M736" s="4">
        <f t="shared" si="207"/>
        <v>0</v>
      </c>
      <c r="N736" s="4">
        <f t="shared" si="208"/>
        <v>0</v>
      </c>
      <c r="O736" s="4">
        <f t="shared" si="215"/>
        <v>0</v>
      </c>
      <c r="P736" s="4" t="e">
        <f>VLOOKUP(AJ728,'CIR Team Info'!$C$5:$E$44,2,FALSE)</f>
        <v>#N/A</v>
      </c>
      <c r="Q736" s="4" t="e">
        <f>VLOOKUP(AJ728,'CIR Team Info'!$C$5:$E$44,3,FALSE)</f>
        <v>#N/A</v>
      </c>
      <c r="R736" s="10" t="e">
        <f>VLOOKUP(AJ728,'FRC Site Data'!$B$3:$L$42,2,FALSE)</f>
        <v>#N/A</v>
      </c>
      <c r="S736" s="10" t="e">
        <f>VLOOKUP(AJ728,'FRC Site Data'!$B$3:$L$42,3,FALSE)</f>
        <v>#N/A</v>
      </c>
      <c r="T736" s="10" t="e">
        <f>VLOOKUP(AJ728,'FRC Site Data'!$B$3:$L$42,4,FALSE)</f>
        <v>#N/A</v>
      </c>
      <c r="U736" s="10" t="e">
        <f>VLOOKUP(AJ728,'FRC Site Data'!$B$3:$L$42,5,FALSE)</f>
        <v>#N/A</v>
      </c>
      <c r="V736" s="10" t="e">
        <f>VLOOKUP(AJ728,'FRC Site Data'!$B$3:$L$42,6,FALSE)</f>
        <v>#N/A</v>
      </c>
      <c r="W736" s="10" t="e">
        <f>VLOOKUP(AJ728,'FRC Site Data'!$B$3:$L$42,8,FALSE)</f>
        <v>#N/A</v>
      </c>
      <c r="X736" s="10" t="e">
        <f>VLOOKUP(AJ728,'FRC Site Data'!$B$3:$L$42,9,FALSE)</f>
        <v>#N/A</v>
      </c>
      <c r="Y736" s="10" t="e">
        <f>VLOOKUP(AJ728,'FRC Site Data'!$B$3:$L$42,10,FALSE)</f>
        <v>#N/A</v>
      </c>
      <c r="Z736" s="10" t="e">
        <f>VLOOKUP(AJ728,'FRC Site Data'!$B$3:$L$42,11,FALSE)</f>
        <v>#N/A</v>
      </c>
      <c r="AA736" s="10" t="e">
        <f>VLOOKUP(AJ728,'CIR Team Info'!$C$5:$E$44,4,FALSE)</f>
        <v>#N/A</v>
      </c>
      <c r="AB736" s="161" t="b">
        <f>ISNUMBER(VLOOKUP(AJ728,Match!$T$5:$T$10,1,FALSE))</f>
        <v>0</v>
      </c>
      <c r="AC736" s="161" t="b">
        <f>IF(AB736=TRUE,(VLOOKUP($AJ728,Match!$T$5:$U$10,2,FALSE)))</f>
        <v>0</v>
      </c>
      <c r="AD736" s="8">
        <v>3</v>
      </c>
      <c r="AE736" s="8">
        <v>2</v>
      </c>
      <c r="AF736" s="8">
        <v>2</v>
      </c>
      <c r="AG736" s="8">
        <v>1</v>
      </c>
      <c r="AH736" s="8" t="str">
        <f t="shared" si="202"/>
        <v/>
      </c>
    </row>
    <row r="737" spans="1:34" x14ac:dyDescent="0.25">
      <c r="A737" s="29">
        <f t="shared" si="209"/>
        <v>0</v>
      </c>
      <c r="B737" s="29">
        <f t="shared" si="203"/>
        <v>0</v>
      </c>
      <c r="C737" s="29">
        <f t="shared" si="204"/>
        <v>0</v>
      </c>
      <c r="D737" s="29">
        <f t="shared" si="205"/>
        <v>0</v>
      </c>
      <c r="E737" s="29">
        <f t="shared" si="210"/>
        <v>0</v>
      </c>
      <c r="F737" s="29">
        <f t="shared" si="211"/>
        <v>0</v>
      </c>
      <c r="G737" s="29" t="str">
        <f t="shared" si="212"/>
        <v>offensive</v>
      </c>
      <c r="H737" s="16">
        <f t="shared" si="216"/>
        <v>0</v>
      </c>
      <c r="I737" s="16">
        <f t="shared" si="217"/>
        <v>0</v>
      </c>
      <c r="J737" s="16">
        <f t="shared" si="206"/>
        <v>0</v>
      </c>
      <c r="K737" s="16">
        <f t="shared" si="213"/>
        <v>0</v>
      </c>
      <c r="L737" s="67">
        <f t="shared" si="214"/>
        <v>0</v>
      </c>
      <c r="M737" s="4">
        <f t="shared" si="207"/>
        <v>0</v>
      </c>
      <c r="N737" s="4">
        <f t="shared" si="208"/>
        <v>0</v>
      </c>
      <c r="O737" s="4">
        <f t="shared" si="215"/>
        <v>0</v>
      </c>
      <c r="P737" s="4" t="e">
        <f>VLOOKUP(AJ729,'CIR Team Info'!$C$5:$E$44,2,FALSE)</f>
        <v>#N/A</v>
      </c>
      <c r="Q737" s="4" t="e">
        <f>VLOOKUP(AJ729,'CIR Team Info'!$C$5:$E$44,3,FALSE)</f>
        <v>#N/A</v>
      </c>
      <c r="R737" s="10" t="e">
        <f>VLOOKUP(AJ729,'FRC Site Data'!$B$3:$L$42,2,FALSE)</f>
        <v>#N/A</v>
      </c>
      <c r="S737" s="10" t="e">
        <f>VLOOKUP(AJ729,'FRC Site Data'!$B$3:$L$42,3,FALSE)</f>
        <v>#N/A</v>
      </c>
      <c r="T737" s="10" t="e">
        <f>VLOOKUP(AJ729,'FRC Site Data'!$B$3:$L$42,4,FALSE)</f>
        <v>#N/A</v>
      </c>
      <c r="U737" s="10" t="e">
        <f>VLOOKUP(AJ729,'FRC Site Data'!$B$3:$L$42,5,FALSE)</f>
        <v>#N/A</v>
      </c>
      <c r="V737" s="10" t="e">
        <f>VLOOKUP(AJ729,'FRC Site Data'!$B$3:$L$42,6,FALSE)</f>
        <v>#N/A</v>
      </c>
      <c r="W737" s="10" t="e">
        <f>VLOOKUP(AJ729,'FRC Site Data'!$B$3:$L$42,8,FALSE)</f>
        <v>#N/A</v>
      </c>
      <c r="X737" s="10" t="e">
        <f>VLOOKUP(AJ729,'FRC Site Data'!$B$3:$L$42,9,FALSE)</f>
        <v>#N/A</v>
      </c>
      <c r="Y737" s="10" t="e">
        <f>VLOOKUP(AJ729,'FRC Site Data'!$B$3:$L$42,10,FALSE)</f>
        <v>#N/A</v>
      </c>
      <c r="Z737" s="10" t="e">
        <f>VLOOKUP(AJ729,'FRC Site Data'!$B$3:$L$42,11,FALSE)</f>
        <v>#N/A</v>
      </c>
      <c r="AA737" s="10" t="e">
        <f>VLOOKUP(AJ729,'CIR Team Info'!$C$5:$E$44,4,FALSE)</f>
        <v>#N/A</v>
      </c>
      <c r="AB737" s="161" t="b">
        <f>ISNUMBER(VLOOKUP(AJ729,Match!$T$5:$T$10,1,FALSE))</f>
        <v>0</v>
      </c>
      <c r="AC737" s="161" t="b">
        <f>IF(AB737=TRUE,(VLOOKUP($AJ729,Match!$T$5:$U$10,2,FALSE)))</f>
        <v>0</v>
      </c>
      <c r="AD737" s="8">
        <v>3</v>
      </c>
      <c r="AE737" s="8">
        <v>2</v>
      </c>
      <c r="AF737" s="8">
        <v>2</v>
      </c>
      <c r="AG737" s="8">
        <v>1</v>
      </c>
      <c r="AH737" s="8" t="str">
        <f t="shared" si="202"/>
        <v/>
      </c>
    </row>
    <row r="738" spans="1:34" x14ac:dyDescent="0.25">
      <c r="A738" s="29">
        <f t="shared" si="209"/>
        <v>0</v>
      </c>
      <c r="B738" s="29">
        <f t="shared" si="203"/>
        <v>0</v>
      </c>
      <c r="C738" s="29">
        <f t="shared" si="204"/>
        <v>0</v>
      </c>
      <c r="D738" s="29">
        <f t="shared" si="205"/>
        <v>0</v>
      </c>
      <c r="E738" s="29">
        <f t="shared" si="210"/>
        <v>0</v>
      </c>
      <c r="F738" s="29">
        <f t="shared" si="211"/>
        <v>0</v>
      </c>
      <c r="G738" s="29" t="str">
        <f t="shared" si="212"/>
        <v>offensive</v>
      </c>
      <c r="H738" s="16">
        <f t="shared" si="216"/>
        <v>0</v>
      </c>
      <c r="I738" s="16">
        <f t="shared" si="217"/>
        <v>0</v>
      </c>
      <c r="J738" s="16">
        <f t="shared" si="206"/>
        <v>0</v>
      </c>
      <c r="K738" s="16">
        <f t="shared" si="213"/>
        <v>0</v>
      </c>
      <c r="L738" s="67">
        <f t="shared" si="214"/>
        <v>0</v>
      </c>
      <c r="M738" s="4">
        <f t="shared" si="207"/>
        <v>0</v>
      </c>
      <c r="N738" s="4">
        <f t="shared" si="208"/>
        <v>0</v>
      </c>
      <c r="O738" s="4">
        <f t="shared" si="215"/>
        <v>0</v>
      </c>
      <c r="P738" s="4" t="e">
        <f>VLOOKUP(AJ730,'CIR Team Info'!$C$5:$E$44,2,FALSE)</f>
        <v>#N/A</v>
      </c>
      <c r="Q738" s="4" t="e">
        <f>VLOOKUP(AJ730,'CIR Team Info'!$C$5:$E$44,3,FALSE)</f>
        <v>#N/A</v>
      </c>
      <c r="R738" s="10" t="e">
        <f>VLOOKUP(AJ730,'FRC Site Data'!$B$3:$L$42,2,FALSE)</f>
        <v>#N/A</v>
      </c>
      <c r="S738" s="10" t="e">
        <f>VLOOKUP(AJ730,'FRC Site Data'!$B$3:$L$42,3,FALSE)</f>
        <v>#N/A</v>
      </c>
      <c r="T738" s="10" t="e">
        <f>VLOOKUP(AJ730,'FRC Site Data'!$B$3:$L$42,4,FALSE)</f>
        <v>#N/A</v>
      </c>
      <c r="U738" s="10" t="e">
        <f>VLOOKUP(AJ730,'FRC Site Data'!$B$3:$L$42,5,FALSE)</f>
        <v>#N/A</v>
      </c>
      <c r="V738" s="10" t="e">
        <f>VLOOKUP(AJ730,'FRC Site Data'!$B$3:$L$42,6,FALSE)</f>
        <v>#N/A</v>
      </c>
      <c r="W738" s="10" t="e">
        <f>VLOOKUP(AJ730,'FRC Site Data'!$B$3:$L$42,8,FALSE)</f>
        <v>#N/A</v>
      </c>
      <c r="X738" s="10" t="e">
        <f>VLOOKUP(AJ730,'FRC Site Data'!$B$3:$L$42,9,FALSE)</f>
        <v>#N/A</v>
      </c>
      <c r="Y738" s="10" t="e">
        <f>VLOOKUP(AJ730,'FRC Site Data'!$B$3:$L$42,10,FALSE)</f>
        <v>#N/A</v>
      </c>
      <c r="Z738" s="10" t="e">
        <f>VLOOKUP(AJ730,'FRC Site Data'!$B$3:$L$42,11,FALSE)</f>
        <v>#N/A</v>
      </c>
      <c r="AA738" s="10" t="e">
        <f>VLOOKUP(AJ730,'CIR Team Info'!$C$5:$E$44,4,FALSE)</f>
        <v>#N/A</v>
      </c>
      <c r="AB738" s="161" t="b">
        <f>ISNUMBER(VLOOKUP(AJ730,Match!$T$5:$T$10,1,FALSE))</f>
        <v>0</v>
      </c>
      <c r="AC738" s="161" t="b">
        <f>IF(AB738=TRUE,(VLOOKUP($AJ730,Match!$T$5:$U$10,2,FALSE)))</f>
        <v>0</v>
      </c>
      <c r="AD738" s="8">
        <v>3</v>
      </c>
      <c r="AE738" s="8">
        <v>2</v>
      </c>
      <c r="AF738" s="8">
        <v>2</v>
      </c>
      <c r="AG738" s="8">
        <v>1</v>
      </c>
      <c r="AH738" s="8" t="str">
        <f t="shared" si="202"/>
        <v/>
      </c>
    </row>
    <row r="739" spans="1:34" x14ac:dyDescent="0.25">
      <c r="A739" s="29">
        <f t="shared" si="209"/>
        <v>0</v>
      </c>
      <c r="B739" s="29">
        <f t="shared" si="203"/>
        <v>0</v>
      </c>
      <c r="C739" s="29">
        <f t="shared" si="204"/>
        <v>0</v>
      </c>
      <c r="D739" s="29">
        <f t="shared" si="205"/>
        <v>0</v>
      </c>
      <c r="E739" s="29">
        <f t="shared" si="210"/>
        <v>0</v>
      </c>
      <c r="F739" s="29">
        <f t="shared" si="211"/>
        <v>0</v>
      </c>
      <c r="G739" s="29" t="str">
        <f t="shared" si="212"/>
        <v>offensive</v>
      </c>
      <c r="H739" s="16">
        <f t="shared" si="216"/>
        <v>0</v>
      </c>
      <c r="I739" s="16">
        <f t="shared" si="217"/>
        <v>0</v>
      </c>
      <c r="J739" s="16">
        <f t="shared" si="206"/>
        <v>0</v>
      </c>
      <c r="K739" s="16">
        <f t="shared" si="213"/>
        <v>0</v>
      </c>
      <c r="L739" s="67">
        <f t="shared" si="214"/>
        <v>0</v>
      </c>
      <c r="M739" s="4">
        <f t="shared" si="207"/>
        <v>0</v>
      </c>
      <c r="N739" s="4">
        <f t="shared" si="208"/>
        <v>0</v>
      </c>
      <c r="O739" s="4">
        <f t="shared" si="215"/>
        <v>0</v>
      </c>
      <c r="P739" s="4" t="e">
        <f>VLOOKUP(AJ731,'CIR Team Info'!$C$5:$E$44,2,FALSE)</f>
        <v>#N/A</v>
      </c>
      <c r="Q739" s="4" t="e">
        <f>VLOOKUP(AJ731,'CIR Team Info'!$C$5:$E$44,3,FALSE)</f>
        <v>#N/A</v>
      </c>
      <c r="R739" s="10" t="e">
        <f>VLOOKUP(AJ731,'FRC Site Data'!$B$3:$L$42,2,FALSE)</f>
        <v>#N/A</v>
      </c>
      <c r="S739" s="10" t="e">
        <f>VLOOKUP(AJ731,'FRC Site Data'!$B$3:$L$42,3,FALSE)</f>
        <v>#N/A</v>
      </c>
      <c r="T739" s="10" t="e">
        <f>VLOOKUP(AJ731,'FRC Site Data'!$B$3:$L$42,4,FALSE)</f>
        <v>#N/A</v>
      </c>
      <c r="U739" s="10" t="e">
        <f>VLOOKUP(AJ731,'FRC Site Data'!$B$3:$L$42,5,FALSE)</f>
        <v>#N/A</v>
      </c>
      <c r="V739" s="10" t="e">
        <f>VLOOKUP(AJ731,'FRC Site Data'!$B$3:$L$42,6,FALSE)</f>
        <v>#N/A</v>
      </c>
      <c r="W739" s="10" t="e">
        <f>VLOOKUP(AJ731,'FRC Site Data'!$B$3:$L$42,8,FALSE)</f>
        <v>#N/A</v>
      </c>
      <c r="X739" s="10" t="e">
        <f>VLOOKUP(AJ731,'FRC Site Data'!$B$3:$L$42,9,FALSE)</f>
        <v>#N/A</v>
      </c>
      <c r="Y739" s="10" t="e">
        <f>VLOOKUP(AJ731,'FRC Site Data'!$B$3:$L$42,10,FALSE)</f>
        <v>#N/A</v>
      </c>
      <c r="Z739" s="10" t="e">
        <f>VLOOKUP(AJ731,'FRC Site Data'!$B$3:$L$42,11,FALSE)</f>
        <v>#N/A</v>
      </c>
      <c r="AA739" s="10" t="e">
        <f>VLOOKUP(AJ731,'CIR Team Info'!$C$5:$E$44,4,FALSE)</f>
        <v>#N/A</v>
      </c>
      <c r="AB739" s="161" t="b">
        <f>ISNUMBER(VLOOKUP(AJ731,Match!$T$5:$T$10,1,FALSE))</f>
        <v>0</v>
      </c>
      <c r="AC739" s="161" t="b">
        <f>IF(AB739=TRUE,(VLOOKUP($AJ731,Match!$T$5:$U$10,2,FALSE)))</f>
        <v>0</v>
      </c>
      <c r="AD739" s="8">
        <v>3</v>
      </c>
      <c r="AE739" s="8">
        <v>2</v>
      </c>
      <c r="AF739" s="8">
        <v>2</v>
      </c>
      <c r="AG739" s="8">
        <v>1</v>
      </c>
      <c r="AH739" s="8" t="str">
        <f t="shared" ref="AH739:AH802" si="218">IF(AL731="Other","x","")</f>
        <v/>
      </c>
    </row>
    <row r="740" spans="1:34" x14ac:dyDescent="0.25">
      <c r="A740" s="29">
        <f t="shared" si="209"/>
        <v>0</v>
      </c>
      <c r="B740" s="29">
        <f t="shared" si="203"/>
        <v>0</v>
      </c>
      <c r="C740" s="29">
        <f t="shared" si="204"/>
        <v>0</v>
      </c>
      <c r="D740" s="29">
        <f t="shared" si="205"/>
        <v>0</v>
      </c>
      <c r="E740" s="29">
        <f t="shared" si="210"/>
        <v>0</v>
      </c>
      <c r="F740" s="29">
        <f t="shared" si="211"/>
        <v>0</v>
      </c>
      <c r="G740" s="29" t="str">
        <f t="shared" si="212"/>
        <v>offensive</v>
      </c>
      <c r="H740" s="16">
        <f t="shared" si="216"/>
        <v>0</v>
      </c>
      <c r="I740" s="16">
        <f t="shared" si="217"/>
        <v>0</v>
      </c>
      <c r="J740" s="16">
        <f t="shared" si="206"/>
        <v>0</v>
      </c>
      <c r="K740" s="16">
        <f t="shared" si="213"/>
        <v>0</v>
      </c>
      <c r="L740" s="67">
        <f t="shared" si="214"/>
        <v>0</v>
      </c>
      <c r="M740" s="4">
        <f t="shared" si="207"/>
        <v>0</v>
      </c>
      <c r="N740" s="4">
        <f t="shared" si="208"/>
        <v>0</v>
      </c>
      <c r="O740" s="4">
        <f t="shared" si="215"/>
        <v>0</v>
      </c>
      <c r="P740" s="4" t="e">
        <f>VLOOKUP(AJ732,'CIR Team Info'!$C$5:$E$44,2,FALSE)</f>
        <v>#N/A</v>
      </c>
      <c r="Q740" s="4" t="e">
        <f>VLOOKUP(AJ732,'CIR Team Info'!$C$5:$E$44,3,FALSE)</f>
        <v>#N/A</v>
      </c>
      <c r="R740" s="10" t="e">
        <f>VLOOKUP(AJ732,'FRC Site Data'!$B$3:$L$42,2,FALSE)</f>
        <v>#N/A</v>
      </c>
      <c r="S740" s="10" t="e">
        <f>VLOOKUP(AJ732,'FRC Site Data'!$B$3:$L$42,3,FALSE)</f>
        <v>#N/A</v>
      </c>
      <c r="T740" s="10" t="e">
        <f>VLOOKUP(AJ732,'FRC Site Data'!$B$3:$L$42,4,FALSE)</f>
        <v>#N/A</v>
      </c>
      <c r="U740" s="10" t="e">
        <f>VLOOKUP(AJ732,'FRC Site Data'!$B$3:$L$42,5,FALSE)</f>
        <v>#N/A</v>
      </c>
      <c r="V740" s="10" t="e">
        <f>VLOOKUP(AJ732,'FRC Site Data'!$B$3:$L$42,6,FALSE)</f>
        <v>#N/A</v>
      </c>
      <c r="W740" s="10" t="e">
        <f>VLOOKUP(AJ732,'FRC Site Data'!$B$3:$L$42,8,FALSE)</f>
        <v>#N/A</v>
      </c>
      <c r="X740" s="10" t="e">
        <f>VLOOKUP(AJ732,'FRC Site Data'!$B$3:$L$42,9,FALSE)</f>
        <v>#N/A</v>
      </c>
      <c r="Y740" s="10" t="e">
        <f>VLOOKUP(AJ732,'FRC Site Data'!$B$3:$L$42,10,FALSE)</f>
        <v>#N/A</v>
      </c>
      <c r="Z740" s="10" t="e">
        <f>VLOOKUP(AJ732,'FRC Site Data'!$B$3:$L$42,11,FALSE)</f>
        <v>#N/A</v>
      </c>
      <c r="AA740" s="10" t="e">
        <f>VLOOKUP(AJ732,'CIR Team Info'!$C$5:$E$44,4,FALSE)</f>
        <v>#N/A</v>
      </c>
      <c r="AB740" s="161" t="b">
        <f>ISNUMBER(VLOOKUP(AJ732,Match!$T$5:$T$10,1,FALSE))</f>
        <v>0</v>
      </c>
      <c r="AC740" s="161" t="b">
        <f>IF(AB740=TRUE,(VLOOKUP($AJ732,Match!$T$5:$U$10,2,FALSE)))</f>
        <v>0</v>
      </c>
      <c r="AD740" s="8">
        <v>3</v>
      </c>
      <c r="AE740" s="8">
        <v>2</v>
      </c>
      <c r="AF740" s="8">
        <v>2</v>
      </c>
      <c r="AG740" s="8">
        <v>1</v>
      </c>
      <c r="AH740" s="8" t="str">
        <f t="shared" si="218"/>
        <v/>
      </c>
    </row>
    <row r="741" spans="1:34" x14ac:dyDescent="0.25">
      <c r="A741" s="29">
        <f t="shared" si="209"/>
        <v>0</v>
      </c>
      <c r="B741" s="29">
        <f t="shared" si="203"/>
        <v>0</v>
      </c>
      <c r="C741" s="29">
        <f t="shared" si="204"/>
        <v>0</v>
      </c>
      <c r="D741" s="29">
        <f t="shared" si="205"/>
        <v>0</v>
      </c>
      <c r="E741" s="29">
        <f t="shared" si="210"/>
        <v>0</v>
      </c>
      <c r="F741" s="29">
        <f t="shared" si="211"/>
        <v>0</v>
      </c>
      <c r="G741" s="29" t="str">
        <f t="shared" si="212"/>
        <v>offensive</v>
      </c>
      <c r="H741" s="16">
        <f t="shared" si="216"/>
        <v>0</v>
      </c>
      <c r="I741" s="16">
        <f t="shared" si="217"/>
        <v>0</v>
      </c>
      <c r="J741" s="16">
        <f t="shared" si="206"/>
        <v>0</v>
      </c>
      <c r="K741" s="16">
        <f t="shared" si="213"/>
        <v>0</v>
      </c>
      <c r="L741" s="67">
        <f t="shared" si="214"/>
        <v>0</v>
      </c>
      <c r="M741" s="4">
        <f t="shared" si="207"/>
        <v>0</v>
      </c>
      <c r="N741" s="4">
        <f t="shared" si="208"/>
        <v>0</v>
      </c>
      <c r="O741" s="4">
        <f t="shared" si="215"/>
        <v>0</v>
      </c>
      <c r="P741" s="4" t="e">
        <f>VLOOKUP(AJ733,'CIR Team Info'!$C$5:$E$44,2,FALSE)</f>
        <v>#N/A</v>
      </c>
      <c r="Q741" s="4" t="e">
        <f>VLOOKUP(AJ733,'CIR Team Info'!$C$5:$E$44,3,FALSE)</f>
        <v>#N/A</v>
      </c>
      <c r="R741" s="10" t="e">
        <f>VLOOKUP(AJ733,'FRC Site Data'!$B$3:$L$42,2,FALSE)</f>
        <v>#N/A</v>
      </c>
      <c r="S741" s="10" t="e">
        <f>VLOOKUP(AJ733,'FRC Site Data'!$B$3:$L$42,3,FALSE)</f>
        <v>#N/A</v>
      </c>
      <c r="T741" s="10" t="e">
        <f>VLOOKUP(AJ733,'FRC Site Data'!$B$3:$L$42,4,FALSE)</f>
        <v>#N/A</v>
      </c>
      <c r="U741" s="10" t="e">
        <f>VLOOKUP(AJ733,'FRC Site Data'!$B$3:$L$42,5,FALSE)</f>
        <v>#N/A</v>
      </c>
      <c r="V741" s="10" t="e">
        <f>VLOOKUP(AJ733,'FRC Site Data'!$B$3:$L$42,6,FALSE)</f>
        <v>#N/A</v>
      </c>
      <c r="W741" s="10" t="e">
        <f>VLOOKUP(AJ733,'FRC Site Data'!$B$3:$L$42,8,FALSE)</f>
        <v>#N/A</v>
      </c>
      <c r="X741" s="10" t="e">
        <f>VLOOKUP(AJ733,'FRC Site Data'!$B$3:$L$42,9,FALSE)</f>
        <v>#N/A</v>
      </c>
      <c r="Y741" s="10" t="e">
        <f>VLOOKUP(AJ733,'FRC Site Data'!$B$3:$L$42,10,FALSE)</f>
        <v>#N/A</v>
      </c>
      <c r="Z741" s="10" t="e">
        <f>VLOOKUP(AJ733,'FRC Site Data'!$B$3:$L$42,11,FALSE)</f>
        <v>#N/A</v>
      </c>
      <c r="AA741" s="10" t="e">
        <f>VLOOKUP(AJ733,'CIR Team Info'!$C$5:$E$44,4,FALSE)</f>
        <v>#N/A</v>
      </c>
      <c r="AB741" s="161" t="b">
        <f>ISNUMBER(VLOOKUP(AJ733,Match!$T$5:$T$10,1,FALSE))</f>
        <v>0</v>
      </c>
      <c r="AC741" s="161" t="b">
        <f>IF(AB741=TRUE,(VLOOKUP($AJ733,Match!$T$5:$U$10,2,FALSE)))</f>
        <v>0</v>
      </c>
      <c r="AD741" s="8">
        <v>3</v>
      </c>
      <c r="AE741" s="8">
        <v>2</v>
      </c>
      <c r="AF741" s="8">
        <v>2</v>
      </c>
      <c r="AG741" s="8">
        <v>1</v>
      </c>
      <c r="AH741" s="8" t="str">
        <f t="shared" si="218"/>
        <v/>
      </c>
    </row>
    <row r="742" spans="1:34" x14ac:dyDescent="0.25">
      <c r="A742" s="29">
        <f t="shared" si="209"/>
        <v>0</v>
      </c>
      <c r="B742" s="29">
        <f t="shared" si="203"/>
        <v>0</v>
      </c>
      <c r="C742" s="29">
        <f t="shared" si="204"/>
        <v>0</v>
      </c>
      <c r="D742" s="29">
        <f t="shared" si="205"/>
        <v>0</v>
      </c>
      <c r="E742" s="29">
        <f t="shared" si="210"/>
        <v>0</v>
      </c>
      <c r="F742" s="29">
        <f t="shared" si="211"/>
        <v>0</v>
      </c>
      <c r="G742" s="29" t="str">
        <f t="shared" si="212"/>
        <v>offensive</v>
      </c>
      <c r="H742" s="16">
        <f t="shared" si="216"/>
        <v>0</v>
      </c>
      <c r="I742" s="16">
        <f t="shared" si="217"/>
        <v>0</v>
      </c>
      <c r="J742" s="16">
        <f t="shared" si="206"/>
        <v>0</v>
      </c>
      <c r="K742" s="16">
        <f t="shared" si="213"/>
        <v>0</v>
      </c>
      <c r="L742" s="67">
        <f t="shared" si="214"/>
        <v>0</v>
      </c>
      <c r="M742" s="4">
        <f t="shared" si="207"/>
        <v>0</v>
      </c>
      <c r="N742" s="4">
        <f t="shared" si="208"/>
        <v>0</v>
      </c>
      <c r="O742" s="4">
        <f t="shared" si="215"/>
        <v>0</v>
      </c>
      <c r="P742" s="4" t="e">
        <f>VLOOKUP(AJ734,'CIR Team Info'!$C$5:$E$44,2,FALSE)</f>
        <v>#N/A</v>
      </c>
      <c r="Q742" s="4" t="e">
        <f>VLOOKUP(AJ734,'CIR Team Info'!$C$5:$E$44,3,FALSE)</f>
        <v>#N/A</v>
      </c>
      <c r="R742" s="10" t="e">
        <f>VLOOKUP(AJ734,'FRC Site Data'!$B$3:$L$42,2,FALSE)</f>
        <v>#N/A</v>
      </c>
      <c r="S742" s="10" t="e">
        <f>VLOOKUP(AJ734,'FRC Site Data'!$B$3:$L$42,3,FALSE)</f>
        <v>#N/A</v>
      </c>
      <c r="T742" s="10" t="e">
        <f>VLOOKUP(AJ734,'FRC Site Data'!$B$3:$L$42,4,FALSE)</f>
        <v>#N/A</v>
      </c>
      <c r="U742" s="10" t="e">
        <f>VLOOKUP(AJ734,'FRC Site Data'!$B$3:$L$42,5,FALSE)</f>
        <v>#N/A</v>
      </c>
      <c r="V742" s="10" t="e">
        <f>VLOOKUP(AJ734,'FRC Site Data'!$B$3:$L$42,6,FALSE)</f>
        <v>#N/A</v>
      </c>
      <c r="W742" s="10" t="e">
        <f>VLOOKUP(AJ734,'FRC Site Data'!$B$3:$L$42,8,FALSE)</f>
        <v>#N/A</v>
      </c>
      <c r="X742" s="10" t="e">
        <f>VLOOKUP(AJ734,'FRC Site Data'!$B$3:$L$42,9,FALSE)</f>
        <v>#N/A</v>
      </c>
      <c r="Y742" s="10" t="e">
        <f>VLOOKUP(AJ734,'FRC Site Data'!$B$3:$L$42,10,FALSE)</f>
        <v>#N/A</v>
      </c>
      <c r="Z742" s="10" t="e">
        <f>VLOOKUP(AJ734,'FRC Site Data'!$B$3:$L$42,11,FALSE)</f>
        <v>#N/A</v>
      </c>
      <c r="AA742" s="10" t="e">
        <f>VLOOKUP(AJ734,'CIR Team Info'!$C$5:$E$44,4,FALSE)</f>
        <v>#N/A</v>
      </c>
      <c r="AB742" s="161" t="b">
        <f>ISNUMBER(VLOOKUP(AJ734,Match!$T$5:$T$10,1,FALSE))</f>
        <v>0</v>
      </c>
      <c r="AC742" s="161" t="b">
        <f>IF(AB742=TRUE,(VLOOKUP($AJ734,Match!$T$5:$U$10,2,FALSE)))</f>
        <v>0</v>
      </c>
      <c r="AD742" s="8">
        <v>3</v>
      </c>
      <c r="AE742" s="8">
        <v>2</v>
      </c>
      <c r="AF742" s="8">
        <v>2</v>
      </c>
      <c r="AG742" s="8">
        <v>1</v>
      </c>
      <c r="AH742" s="8" t="str">
        <f t="shared" si="218"/>
        <v/>
      </c>
    </row>
    <row r="743" spans="1:34" x14ac:dyDescent="0.25">
      <c r="A743" s="29">
        <f t="shared" si="209"/>
        <v>0</v>
      </c>
      <c r="B743" s="29">
        <f t="shared" si="203"/>
        <v>0</v>
      </c>
      <c r="C743" s="29">
        <f t="shared" si="204"/>
        <v>0</v>
      </c>
      <c r="D743" s="29">
        <f t="shared" si="205"/>
        <v>0</v>
      </c>
      <c r="E743" s="29">
        <f t="shared" si="210"/>
        <v>0</v>
      </c>
      <c r="F743" s="29">
        <f t="shared" si="211"/>
        <v>0</v>
      </c>
      <c r="G743" s="29" t="str">
        <f t="shared" si="212"/>
        <v>offensive</v>
      </c>
      <c r="H743" s="16">
        <f t="shared" si="216"/>
        <v>0</v>
      </c>
      <c r="I743" s="16">
        <f t="shared" si="217"/>
        <v>0</v>
      </c>
      <c r="J743" s="16">
        <f t="shared" si="206"/>
        <v>0</v>
      </c>
      <c r="K743" s="16">
        <f t="shared" si="213"/>
        <v>0</v>
      </c>
      <c r="L743" s="67">
        <f t="shared" si="214"/>
        <v>0</v>
      </c>
      <c r="M743" s="4">
        <f t="shared" si="207"/>
        <v>0</v>
      </c>
      <c r="N743" s="4">
        <f t="shared" si="208"/>
        <v>0</v>
      </c>
      <c r="O743" s="4">
        <f t="shared" si="215"/>
        <v>0</v>
      </c>
      <c r="P743" s="4" t="e">
        <f>VLOOKUP(AJ735,'CIR Team Info'!$C$5:$E$44,2,FALSE)</f>
        <v>#N/A</v>
      </c>
      <c r="Q743" s="4" t="e">
        <f>VLOOKUP(AJ735,'CIR Team Info'!$C$5:$E$44,3,FALSE)</f>
        <v>#N/A</v>
      </c>
      <c r="R743" s="10" t="e">
        <f>VLOOKUP(AJ735,'FRC Site Data'!$B$3:$L$42,2,FALSE)</f>
        <v>#N/A</v>
      </c>
      <c r="S743" s="10" t="e">
        <f>VLOOKUP(AJ735,'FRC Site Data'!$B$3:$L$42,3,FALSE)</f>
        <v>#N/A</v>
      </c>
      <c r="T743" s="10" t="e">
        <f>VLOOKUP(AJ735,'FRC Site Data'!$B$3:$L$42,4,FALSE)</f>
        <v>#N/A</v>
      </c>
      <c r="U743" s="10" t="e">
        <f>VLOOKUP(AJ735,'FRC Site Data'!$B$3:$L$42,5,FALSE)</f>
        <v>#N/A</v>
      </c>
      <c r="V743" s="10" t="e">
        <f>VLOOKUP(AJ735,'FRC Site Data'!$B$3:$L$42,6,FALSE)</f>
        <v>#N/A</v>
      </c>
      <c r="W743" s="10" t="e">
        <f>VLOOKUP(AJ735,'FRC Site Data'!$B$3:$L$42,8,FALSE)</f>
        <v>#N/A</v>
      </c>
      <c r="X743" s="10" t="e">
        <f>VLOOKUP(AJ735,'FRC Site Data'!$B$3:$L$42,9,FALSE)</f>
        <v>#N/A</v>
      </c>
      <c r="Y743" s="10" t="e">
        <f>VLOOKUP(AJ735,'FRC Site Data'!$B$3:$L$42,10,FALSE)</f>
        <v>#N/A</v>
      </c>
      <c r="Z743" s="10" t="e">
        <f>VLOOKUP(AJ735,'FRC Site Data'!$B$3:$L$42,11,FALSE)</f>
        <v>#N/A</v>
      </c>
      <c r="AA743" s="10" t="e">
        <f>VLOOKUP(AJ735,'CIR Team Info'!$C$5:$E$44,4,FALSE)</f>
        <v>#N/A</v>
      </c>
      <c r="AB743" s="161" t="b">
        <f>ISNUMBER(VLOOKUP(AJ735,Match!$T$5:$T$10,1,FALSE))</f>
        <v>0</v>
      </c>
      <c r="AC743" s="161" t="b">
        <f>IF(AB743=TRUE,(VLOOKUP($AJ735,Match!$T$5:$U$10,2,FALSE)))</f>
        <v>0</v>
      </c>
      <c r="AD743" s="8">
        <v>3</v>
      </c>
      <c r="AE743" s="8">
        <v>2</v>
      </c>
      <c r="AF743" s="8">
        <v>2</v>
      </c>
      <c r="AG743" s="8">
        <v>1</v>
      </c>
      <c r="AH743" s="8" t="str">
        <f t="shared" si="218"/>
        <v/>
      </c>
    </row>
    <row r="744" spans="1:34" x14ac:dyDescent="0.25">
      <c r="A744" s="29">
        <f t="shared" si="209"/>
        <v>0</v>
      </c>
      <c r="B744" s="29">
        <f t="shared" si="203"/>
        <v>0</v>
      </c>
      <c r="C744" s="29">
        <f t="shared" si="204"/>
        <v>0</v>
      </c>
      <c r="D744" s="29">
        <f t="shared" si="205"/>
        <v>0</v>
      </c>
      <c r="E744" s="29">
        <f t="shared" si="210"/>
        <v>0</v>
      </c>
      <c r="F744" s="29">
        <f t="shared" si="211"/>
        <v>0</v>
      </c>
      <c r="G744" s="29" t="str">
        <f t="shared" si="212"/>
        <v>offensive</v>
      </c>
      <c r="H744" s="16">
        <f t="shared" si="216"/>
        <v>0</v>
      </c>
      <c r="I744" s="16">
        <f t="shared" si="217"/>
        <v>0</v>
      </c>
      <c r="J744" s="16">
        <f t="shared" si="206"/>
        <v>0</v>
      </c>
      <c r="K744" s="16">
        <f t="shared" si="213"/>
        <v>0</v>
      </c>
      <c r="L744" s="67">
        <f t="shared" si="214"/>
        <v>0</v>
      </c>
      <c r="M744" s="4">
        <f t="shared" si="207"/>
        <v>0</v>
      </c>
      <c r="N744" s="4">
        <f t="shared" si="208"/>
        <v>0</v>
      </c>
      <c r="O744" s="4">
        <f t="shared" si="215"/>
        <v>0</v>
      </c>
      <c r="P744" s="4" t="e">
        <f>VLOOKUP(AJ736,'CIR Team Info'!$C$5:$E$44,2,FALSE)</f>
        <v>#N/A</v>
      </c>
      <c r="Q744" s="4" t="e">
        <f>VLOOKUP(AJ736,'CIR Team Info'!$C$5:$E$44,3,FALSE)</f>
        <v>#N/A</v>
      </c>
      <c r="R744" s="10" t="e">
        <f>VLOOKUP(AJ736,'FRC Site Data'!$B$3:$L$42,2,FALSE)</f>
        <v>#N/A</v>
      </c>
      <c r="S744" s="10" t="e">
        <f>VLOOKUP(AJ736,'FRC Site Data'!$B$3:$L$42,3,FALSE)</f>
        <v>#N/A</v>
      </c>
      <c r="T744" s="10" t="e">
        <f>VLOOKUP(AJ736,'FRC Site Data'!$B$3:$L$42,4,FALSE)</f>
        <v>#N/A</v>
      </c>
      <c r="U744" s="10" t="e">
        <f>VLOOKUP(AJ736,'FRC Site Data'!$B$3:$L$42,5,FALSE)</f>
        <v>#N/A</v>
      </c>
      <c r="V744" s="10" t="e">
        <f>VLOOKUP(AJ736,'FRC Site Data'!$B$3:$L$42,6,FALSE)</f>
        <v>#N/A</v>
      </c>
      <c r="W744" s="10" t="e">
        <f>VLOOKUP(AJ736,'FRC Site Data'!$B$3:$L$42,8,FALSE)</f>
        <v>#N/A</v>
      </c>
      <c r="X744" s="10" t="e">
        <f>VLOOKUP(AJ736,'FRC Site Data'!$B$3:$L$42,9,FALSE)</f>
        <v>#N/A</v>
      </c>
      <c r="Y744" s="10" t="e">
        <f>VLOOKUP(AJ736,'FRC Site Data'!$B$3:$L$42,10,FALSE)</f>
        <v>#N/A</v>
      </c>
      <c r="Z744" s="10" t="e">
        <f>VLOOKUP(AJ736,'FRC Site Data'!$B$3:$L$42,11,FALSE)</f>
        <v>#N/A</v>
      </c>
      <c r="AA744" s="10" t="e">
        <f>VLOOKUP(AJ736,'CIR Team Info'!$C$5:$E$44,4,FALSE)</f>
        <v>#N/A</v>
      </c>
      <c r="AB744" s="161" t="b">
        <f>ISNUMBER(VLOOKUP(AJ736,Match!$T$5:$T$10,1,FALSE))</f>
        <v>0</v>
      </c>
      <c r="AC744" s="161" t="b">
        <f>IF(AB744=TRUE,(VLOOKUP($AJ736,Match!$T$5:$U$10,2,FALSE)))</f>
        <v>0</v>
      </c>
      <c r="AD744" s="8">
        <v>3</v>
      </c>
      <c r="AE744" s="8">
        <v>2</v>
      </c>
      <c r="AF744" s="8">
        <v>2</v>
      </c>
      <c r="AG744" s="8">
        <v>1</v>
      </c>
      <c r="AH744" s="8" t="str">
        <f t="shared" si="218"/>
        <v/>
      </c>
    </row>
    <row r="745" spans="1:34" x14ac:dyDescent="0.25">
      <c r="A745" s="29">
        <f t="shared" si="209"/>
        <v>0</v>
      </c>
      <c r="B745" s="29">
        <f t="shared" si="203"/>
        <v>0</v>
      </c>
      <c r="C745" s="29">
        <f t="shared" si="204"/>
        <v>0</v>
      </c>
      <c r="D745" s="29">
        <f t="shared" si="205"/>
        <v>0</v>
      </c>
      <c r="E745" s="29">
        <f t="shared" si="210"/>
        <v>0</v>
      </c>
      <c r="F745" s="29">
        <f t="shared" si="211"/>
        <v>0</v>
      </c>
      <c r="G745" s="29" t="str">
        <f t="shared" si="212"/>
        <v>offensive</v>
      </c>
      <c r="H745" s="16">
        <f t="shared" si="216"/>
        <v>0</v>
      </c>
      <c r="I745" s="16">
        <f t="shared" si="217"/>
        <v>0</v>
      </c>
      <c r="J745" s="16">
        <f t="shared" si="206"/>
        <v>0</v>
      </c>
      <c r="K745" s="16">
        <f t="shared" si="213"/>
        <v>0</v>
      </c>
      <c r="L745" s="67">
        <f t="shared" si="214"/>
        <v>0</v>
      </c>
      <c r="M745" s="4">
        <f t="shared" si="207"/>
        <v>0</v>
      </c>
      <c r="N745" s="4">
        <f t="shared" si="208"/>
        <v>0</v>
      </c>
      <c r="O745" s="4">
        <f t="shared" si="215"/>
        <v>0</v>
      </c>
      <c r="P745" s="4" t="e">
        <f>VLOOKUP(AJ737,'CIR Team Info'!$C$5:$E$44,2,FALSE)</f>
        <v>#N/A</v>
      </c>
      <c r="Q745" s="4" t="e">
        <f>VLOOKUP(AJ737,'CIR Team Info'!$C$5:$E$44,3,FALSE)</f>
        <v>#N/A</v>
      </c>
      <c r="R745" s="10" t="e">
        <f>VLOOKUP(AJ737,'FRC Site Data'!$B$3:$L$42,2,FALSE)</f>
        <v>#N/A</v>
      </c>
      <c r="S745" s="10" t="e">
        <f>VLOOKUP(AJ737,'FRC Site Data'!$B$3:$L$42,3,FALSE)</f>
        <v>#N/A</v>
      </c>
      <c r="T745" s="10" t="e">
        <f>VLOOKUP(AJ737,'FRC Site Data'!$B$3:$L$42,4,FALSE)</f>
        <v>#N/A</v>
      </c>
      <c r="U745" s="10" t="e">
        <f>VLOOKUP(AJ737,'FRC Site Data'!$B$3:$L$42,5,FALSE)</f>
        <v>#N/A</v>
      </c>
      <c r="V745" s="10" t="e">
        <f>VLOOKUP(AJ737,'FRC Site Data'!$B$3:$L$42,6,FALSE)</f>
        <v>#N/A</v>
      </c>
      <c r="W745" s="10" t="e">
        <f>VLOOKUP(AJ737,'FRC Site Data'!$B$3:$L$42,8,FALSE)</f>
        <v>#N/A</v>
      </c>
      <c r="X745" s="10" t="e">
        <f>VLOOKUP(AJ737,'FRC Site Data'!$B$3:$L$42,9,FALSE)</f>
        <v>#N/A</v>
      </c>
      <c r="Y745" s="10" t="e">
        <f>VLOOKUP(AJ737,'FRC Site Data'!$B$3:$L$42,10,FALSE)</f>
        <v>#N/A</v>
      </c>
      <c r="Z745" s="10" t="e">
        <f>VLOOKUP(AJ737,'FRC Site Data'!$B$3:$L$42,11,FALSE)</f>
        <v>#N/A</v>
      </c>
      <c r="AA745" s="10" t="e">
        <f>VLOOKUP(AJ737,'CIR Team Info'!$C$5:$E$44,4,FALSE)</f>
        <v>#N/A</v>
      </c>
      <c r="AB745" s="161" t="b">
        <f>ISNUMBER(VLOOKUP(AJ737,Match!$T$5:$T$10,1,FALSE))</f>
        <v>0</v>
      </c>
      <c r="AC745" s="161" t="b">
        <f>IF(AB745=TRUE,(VLOOKUP($AJ737,Match!$T$5:$U$10,2,FALSE)))</f>
        <v>0</v>
      </c>
      <c r="AD745" s="8">
        <v>3</v>
      </c>
      <c r="AE745" s="8">
        <v>2</v>
      </c>
      <c r="AF745" s="8">
        <v>2</v>
      </c>
      <c r="AG745" s="8">
        <v>1</v>
      </c>
      <c r="AH745" s="8" t="str">
        <f t="shared" si="218"/>
        <v/>
      </c>
    </row>
    <row r="746" spans="1:34" x14ac:dyDescent="0.25">
      <c r="A746" s="29">
        <f t="shared" si="209"/>
        <v>0</v>
      </c>
      <c r="B746" s="29">
        <f t="shared" si="203"/>
        <v>0</v>
      </c>
      <c r="C746" s="29">
        <f t="shared" si="204"/>
        <v>0</v>
      </c>
      <c r="D746" s="29">
        <f t="shared" si="205"/>
        <v>0</v>
      </c>
      <c r="E746" s="29">
        <f t="shared" si="210"/>
        <v>0</v>
      </c>
      <c r="F746" s="29">
        <f t="shared" si="211"/>
        <v>0</v>
      </c>
      <c r="G746" s="29" t="str">
        <f t="shared" si="212"/>
        <v>offensive</v>
      </c>
      <c r="H746" s="16">
        <f t="shared" si="216"/>
        <v>0</v>
      </c>
      <c r="I746" s="16">
        <f t="shared" si="217"/>
        <v>0</v>
      </c>
      <c r="J746" s="16">
        <f t="shared" si="206"/>
        <v>0</v>
      </c>
      <c r="K746" s="16">
        <f t="shared" si="213"/>
        <v>0</v>
      </c>
      <c r="L746" s="67">
        <f t="shared" si="214"/>
        <v>0</v>
      </c>
      <c r="M746" s="4">
        <f t="shared" si="207"/>
        <v>0</v>
      </c>
      <c r="N746" s="4">
        <f t="shared" si="208"/>
        <v>0</v>
      </c>
      <c r="O746" s="4">
        <f t="shared" si="215"/>
        <v>0</v>
      </c>
      <c r="P746" s="4" t="e">
        <f>VLOOKUP(AJ738,'CIR Team Info'!$C$5:$E$44,2,FALSE)</f>
        <v>#N/A</v>
      </c>
      <c r="Q746" s="4" t="e">
        <f>VLOOKUP(AJ738,'CIR Team Info'!$C$5:$E$44,3,FALSE)</f>
        <v>#N/A</v>
      </c>
      <c r="R746" s="10" t="e">
        <f>VLOOKUP(AJ738,'FRC Site Data'!$B$3:$L$42,2,FALSE)</f>
        <v>#N/A</v>
      </c>
      <c r="S746" s="10" t="e">
        <f>VLOOKUP(AJ738,'FRC Site Data'!$B$3:$L$42,3,FALSE)</f>
        <v>#N/A</v>
      </c>
      <c r="T746" s="10" t="e">
        <f>VLOOKUP(AJ738,'FRC Site Data'!$B$3:$L$42,4,FALSE)</f>
        <v>#N/A</v>
      </c>
      <c r="U746" s="10" t="e">
        <f>VLOOKUP(AJ738,'FRC Site Data'!$B$3:$L$42,5,FALSE)</f>
        <v>#N/A</v>
      </c>
      <c r="V746" s="10" t="e">
        <f>VLOOKUP(AJ738,'FRC Site Data'!$B$3:$L$42,6,FALSE)</f>
        <v>#N/A</v>
      </c>
      <c r="W746" s="10" t="e">
        <f>VLOOKUP(AJ738,'FRC Site Data'!$B$3:$L$42,8,FALSE)</f>
        <v>#N/A</v>
      </c>
      <c r="X746" s="10" t="e">
        <f>VLOOKUP(AJ738,'FRC Site Data'!$B$3:$L$42,9,FALSE)</f>
        <v>#N/A</v>
      </c>
      <c r="Y746" s="10" t="e">
        <f>VLOOKUP(AJ738,'FRC Site Data'!$B$3:$L$42,10,FALSE)</f>
        <v>#N/A</v>
      </c>
      <c r="Z746" s="10" t="e">
        <f>VLOOKUP(AJ738,'FRC Site Data'!$B$3:$L$42,11,FALSE)</f>
        <v>#N/A</v>
      </c>
      <c r="AA746" s="10" t="e">
        <f>VLOOKUP(AJ738,'CIR Team Info'!$C$5:$E$44,4,FALSE)</f>
        <v>#N/A</v>
      </c>
      <c r="AB746" s="161" t="b">
        <f>ISNUMBER(VLOOKUP(AJ738,Match!$T$5:$T$10,1,FALSE))</f>
        <v>0</v>
      </c>
      <c r="AC746" s="161" t="b">
        <f>IF(AB746=TRUE,(VLOOKUP($AJ738,Match!$T$5:$U$10,2,FALSE)))</f>
        <v>0</v>
      </c>
      <c r="AD746" s="8">
        <v>3</v>
      </c>
      <c r="AE746" s="8">
        <v>2</v>
      </c>
      <c r="AF746" s="8">
        <v>2</v>
      </c>
      <c r="AG746" s="8">
        <v>1</v>
      </c>
      <c r="AH746" s="8" t="str">
        <f t="shared" si="218"/>
        <v/>
      </c>
    </row>
    <row r="747" spans="1:34" x14ac:dyDescent="0.25">
      <c r="A747" s="29">
        <f t="shared" si="209"/>
        <v>0</v>
      </c>
      <c r="B747" s="29">
        <f t="shared" si="203"/>
        <v>0</v>
      </c>
      <c r="C747" s="29">
        <f t="shared" si="204"/>
        <v>0</v>
      </c>
      <c r="D747" s="29">
        <f t="shared" si="205"/>
        <v>0</v>
      </c>
      <c r="E747" s="29">
        <f t="shared" si="210"/>
        <v>0</v>
      </c>
      <c r="F747" s="29">
        <f t="shared" si="211"/>
        <v>0</v>
      </c>
      <c r="G747" s="29" t="str">
        <f t="shared" si="212"/>
        <v>offensive</v>
      </c>
      <c r="H747" s="16">
        <f t="shared" si="216"/>
        <v>0</v>
      </c>
      <c r="I747" s="16">
        <f t="shared" si="217"/>
        <v>0</v>
      </c>
      <c r="J747" s="16">
        <f t="shared" si="206"/>
        <v>0</v>
      </c>
      <c r="K747" s="16">
        <f t="shared" si="213"/>
        <v>0</v>
      </c>
      <c r="L747" s="67">
        <f t="shared" si="214"/>
        <v>0</v>
      </c>
      <c r="M747" s="4">
        <f t="shared" si="207"/>
        <v>0</v>
      </c>
      <c r="N747" s="4">
        <f t="shared" si="208"/>
        <v>0</v>
      </c>
      <c r="O747" s="4">
        <f t="shared" si="215"/>
        <v>0</v>
      </c>
      <c r="P747" s="4" t="e">
        <f>VLOOKUP(AJ739,'CIR Team Info'!$C$5:$E$44,2,FALSE)</f>
        <v>#N/A</v>
      </c>
      <c r="Q747" s="4" t="e">
        <f>VLOOKUP(AJ739,'CIR Team Info'!$C$5:$E$44,3,FALSE)</f>
        <v>#N/A</v>
      </c>
      <c r="R747" s="10" t="e">
        <f>VLOOKUP(AJ739,'FRC Site Data'!$B$3:$L$42,2,FALSE)</f>
        <v>#N/A</v>
      </c>
      <c r="S747" s="10" t="e">
        <f>VLOOKUP(AJ739,'FRC Site Data'!$B$3:$L$42,3,FALSE)</f>
        <v>#N/A</v>
      </c>
      <c r="T747" s="10" t="e">
        <f>VLOOKUP(AJ739,'FRC Site Data'!$B$3:$L$42,4,FALSE)</f>
        <v>#N/A</v>
      </c>
      <c r="U747" s="10" t="e">
        <f>VLOOKUP(AJ739,'FRC Site Data'!$B$3:$L$42,5,FALSE)</f>
        <v>#N/A</v>
      </c>
      <c r="V747" s="10" t="e">
        <f>VLOOKUP(AJ739,'FRC Site Data'!$B$3:$L$42,6,FALSE)</f>
        <v>#N/A</v>
      </c>
      <c r="W747" s="10" t="e">
        <f>VLOOKUP(AJ739,'FRC Site Data'!$B$3:$L$42,8,FALSE)</f>
        <v>#N/A</v>
      </c>
      <c r="X747" s="10" t="e">
        <f>VLOOKUP(AJ739,'FRC Site Data'!$B$3:$L$42,9,FALSE)</f>
        <v>#N/A</v>
      </c>
      <c r="Y747" s="10" t="e">
        <f>VLOOKUP(AJ739,'FRC Site Data'!$B$3:$L$42,10,FALSE)</f>
        <v>#N/A</v>
      </c>
      <c r="Z747" s="10" t="e">
        <f>VLOOKUP(AJ739,'FRC Site Data'!$B$3:$L$42,11,FALSE)</f>
        <v>#N/A</v>
      </c>
      <c r="AA747" s="10" t="e">
        <f>VLOOKUP(AJ739,'CIR Team Info'!$C$5:$E$44,4,FALSE)</f>
        <v>#N/A</v>
      </c>
      <c r="AB747" s="161" t="b">
        <f>ISNUMBER(VLOOKUP(AJ739,Match!$T$5:$T$10,1,FALSE))</f>
        <v>0</v>
      </c>
      <c r="AC747" s="161" t="b">
        <f>IF(AB747=TRUE,(VLOOKUP($AJ739,Match!$T$5:$U$10,2,FALSE)))</f>
        <v>0</v>
      </c>
      <c r="AD747" s="8">
        <v>3</v>
      </c>
      <c r="AE747" s="8">
        <v>2</v>
      </c>
      <c r="AF747" s="8">
        <v>2</v>
      </c>
      <c r="AG747" s="8">
        <v>1</v>
      </c>
      <c r="AH747" s="8" t="str">
        <f t="shared" si="218"/>
        <v/>
      </c>
    </row>
    <row r="748" spans="1:34" x14ac:dyDescent="0.25">
      <c r="A748" s="29">
        <f t="shared" si="209"/>
        <v>0</v>
      </c>
      <c r="B748" s="29">
        <f t="shared" si="203"/>
        <v>0</v>
      </c>
      <c r="C748" s="29">
        <f t="shared" si="204"/>
        <v>0</v>
      </c>
      <c r="D748" s="29">
        <f t="shared" si="205"/>
        <v>0</v>
      </c>
      <c r="E748" s="29">
        <f t="shared" si="210"/>
        <v>0</v>
      </c>
      <c r="F748" s="29">
        <f t="shared" si="211"/>
        <v>0</v>
      </c>
      <c r="G748" s="29" t="str">
        <f t="shared" si="212"/>
        <v>offensive</v>
      </c>
      <c r="H748" s="16">
        <f t="shared" si="216"/>
        <v>0</v>
      </c>
      <c r="I748" s="16">
        <f t="shared" si="217"/>
        <v>0</v>
      </c>
      <c r="J748" s="16">
        <f t="shared" si="206"/>
        <v>0</v>
      </c>
      <c r="K748" s="16">
        <f t="shared" si="213"/>
        <v>0</v>
      </c>
      <c r="L748" s="67">
        <f t="shared" si="214"/>
        <v>0</v>
      </c>
      <c r="M748" s="4">
        <f t="shared" si="207"/>
        <v>0</v>
      </c>
      <c r="N748" s="4">
        <f t="shared" si="208"/>
        <v>0</v>
      </c>
      <c r="O748" s="4">
        <f t="shared" si="215"/>
        <v>0</v>
      </c>
      <c r="P748" s="4" t="e">
        <f>VLOOKUP(AJ740,'CIR Team Info'!$C$5:$E$44,2,FALSE)</f>
        <v>#N/A</v>
      </c>
      <c r="Q748" s="4" t="e">
        <f>VLOOKUP(AJ740,'CIR Team Info'!$C$5:$E$44,3,FALSE)</f>
        <v>#N/A</v>
      </c>
      <c r="R748" s="10" t="e">
        <f>VLOOKUP(AJ740,'FRC Site Data'!$B$3:$L$42,2,FALSE)</f>
        <v>#N/A</v>
      </c>
      <c r="S748" s="10" t="e">
        <f>VLOOKUP(AJ740,'FRC Site Data'!$B$3:$L$42,3,FALSE)</f>
        <v>#N/A</v>
      </c>
      <c r="T748" s="10" t="e">
        <f>VLOOKUP(AJ740,'FRC Site Data'!$B$3:$L$42,4,FALSE)</f>
        <v>#N/A</v>
      </c>
      <c r="U748" s="10" t="e">
        <f>VLOOKUP(AJ740,'FRC Site Data'!$B$3:$L$42,5,FALSE)</f>
        <v>#N/A</v>
      </c>
      <c r="V748" s="10" t="e">
        <f>VLOOKUP(AJ740,'FRC Site Data'!$B$3:$L$42,6,FALSE)</f>
        <v>#N/A</v>
      </c>
      <c r="W748" s="10" t="e">
        <f>VLOOKUP(AJ740,'FRC Site Data'!$B$3:$L$42,8,FALSE)</f>
        <v>#N/A</v>
      </c>
      <c r="X748" s="10" t="e">
        <f>VLOOKUP(AJ740,'FRC Site Data'!$B$3:$L$42,9,FALSE)</f>
        <v>#N/A</v>
      </c>
      <c r="Y748" s="10" t="e">
        <f>VLOOKUP(AJ740,'FRC Site Data'!$B$3:$L$42,10,FALSE)</f>
        <v>#N/A</v>
      </c>
      <c r="Z748" s="10" t="e">
        <f>VLOOKUP(AJ740,'FRC Site Data'!$B$3:$L$42,11,FALSE)</f>
        <v>#N/A</v>
      </c>
      <c r="AA748" s="10" t="e">
        <f>VLOOKUP(AJ740,'CIR Team Info'!$C$5:$E$44,4,FALSE)</f>
        <v>#N/A</v>
      </c>
      <c r="AB748" s="161" t="b">
        <f>ISNUMBER(VLOOKUP(AJ740,Match!$T$5:$T$10,1,FALSE))</f>
        <v>0</v>
      </c>
      <c r="AC748" s="161" t="b">
        <f>IF(AB748=TRUE,(VLOOKUP($AJ740,Match!$T$5:$U$10,2,FALSE)))</f>
        <v>0</v>
      </c>
      <c r="AD748" s="8">
        <v>3</v>
      </c>
      <c r="AE748" s="8">
        <v>2</v>
      </c>
      <c r="AF748" s="8">
        <v>2</v>
      </c>
      <c r="AG748" s="8">
        <v>1</v>
      </c>
      <c r="AH748" s="8" t="str">
        <f t="shared" si="218"/>
        <v/>
      </c>
    </row>
    <row r="749" spans="1:34" x14ac:dyDescent="0.25">
      <c r="A749" s="29">
        <f t="shared" si="209"/>
        <v>0</v>
      </c>
      <c r="B749" s="29">
        <f t="shared" si="203"/>
        <v>0</v>
      </c>
      <c r="C749" s="29">
        <f t="shared" si="204"/>
        <v>0</v>
      </c>
      <c r="D749" s="29">
        <f t="shared" si="205"/>
        <v>0</v>
      </c>
      <c r="E749" s="29">
        <f t="shared" si="210"/>
        <v>0</v>
      </c>
      <c r="F749" s="29">
        <f t="shared" si="211"/>
        <v>0</v>
      </c>
      <c r="G749" s="29" t="str">
        <f t="shared" si="212"/>
        <v>offensive</v>
      </c>
      <c r="H749" s="16">
        <f t="shared" si="216"/>
        <v>0</v>
      </c>
      <c r="I749" s="16">
        <f t="shared" si="217"/>
        <v>0</v>
      </c>
      <c r="J749" s="16">
        <f t="shared" si="206"/>
        <v>0</v>
      </c>
      <c r="K749" s="16">
        <f t="shared" si="213"/>
        <v>0</v>
      </c>
      <c r="L749" s="67">
        <f t="shared" si="214"/>
        <v>0</v>
      </c>
      <c r="M749" s="4">
        <f t="shared" si="207"/>
        <v>0</v>
      </c>
      <c r="N749" s="4">
        <f t="shared" si="208"/>
        <v>0</v>
      </c>
      <c r="O749" s="4">
        <f t="shared" si="215"/>
        <v>0</v>
      </c>
      <c r="P749" s="4" t="e">
        <f>VLOOKUP(AJ741,'CIR Team Info'!$C$5:$E$44,2,FALSE)</f>
        <v>#N/A</v>
      </c>
      <c r="Q749" s="4" t="e">
        <f>VLOOKUP(AJ741,'CIR Team Info'!$C$5:$E$44,3,FALSE)</f>
        <v>#N/A</v>
      </c>
      <c r="R749" s="10" t="e">
        <f>VLOOKUP(AJ741,'FRC Site Data'!$B$3:$L$42,2,FALSE)</f>
        <v>#N/A</v>
      </c>
      <c r="S749" s="10" t="e">
        <f>VLOOKUP(AJ741,'FRC Site Data'!$B$3:$L$42,3,FALSE)</f>
        <v>#N/A</v>
      </c>
      <c r="T749" s="10" t="e">
        <f>VLOOKUP(AJ741,'FRC Site Data'!$B$3:$L$42,4,FALSE)</f>
        <v>#N/A</v>
      </c>
      <c r="U749" s="10" t="e">
        <f>VLOOKUP(AJ741,'FRC Site Data'!$B$3:$L$42,5,FALSE)</f>
        <v>#N/A</v>
      </c>
      <c r="V749" s="10" t="e">
        <f>VLOOKUP(AJ741,'FRC Site Data'!$B$3:$L$42,6,FALSE)</f>
        <v>#N/A</v>
      </c>
      <c r="W749" s="10" t="e">
        <f>VLOOKUP(AJ741,'FRC Site Data'!$B$3:$L$42,8,FALSE)</f>
        <v>#N/A</v>
      </c>
      <c r="X749" s="10" t="e">
        <f>VLOOKUP(AJ741,'FRC Site Data'!$B$3:$L$42,9,FALSE)</f>
        <v>#N/A</v>
      </c>
      <c r="Y749" s="10" t="e">
        <f>VLOOKUP(AJ741,'FRC Site Data'!$B$3:$L$42,10,FALSE)</f>
        <v>#N/A</v>
      </c>
      <c r="Z749" s="10" t="e">
        <f>VLOOKUP(AJ741,'FRC Site Data'!$B$3:$L$42,11,FALSE)</f>
        <v>#N/A</v>
      </c>
      <c r="AA749" s="10" t="e">
        <f>VLOOKUP(AJ741,'CIR Team Info'!$C$5:$E$44,4,FALSE)</f>
        <v>#N/A</v>
      </c>
      <c r="AB749" s="161" t="b">
        <f>ISNUMBER(VLOOKUP(AJ741,Match!$T$5:$T$10,1,FALSE))</f>
        <v>0</v>
      </c>
      <c r="AC749" s="161" t="b">
        <f>IF(AB749=TRUE,(VLOOKUP($AJ741,Match!$T$5:$U$10,2,FALSE)))</f>
        <v>0</v>
      </c>
      <c r="AD749" s="8">
        <v>3</v>
      </c>
      <c r="AE749" s="8">
        <v>2</v>
      </c>
      <c r="AF749" s="8">
        <v>2</v>
      </c>
      <c r="AG749" s="8">
        <v>1</v>
      </c>
      <c r="AH749" s="8" t="str">
        <f t="shared" si="218"/>
        <v/>
      </c>
    </row>
    <row r="750" spans="1:34" x14ac:dyDescent="0.25">
      <c r="A750" s="29">
        <f t="shared" si="209"/>
        <v>0</v>
      </c>
      <c r="B750" s="29">
        <f t="shared" si="203"/>
        <v>0</v>
      </c>
      <c r="C750" s="29">
        <f t="shared" si="204"/>
        <v>0</v>
      </c>
      <c r="D750" s="29">
        <f t="shared" si="205"/>
        <v>0</v>
      </c>
      <c r="E750" s="29">
        <f t="shared" si="210"/>
        <v>0</v>
      </c>
      <c r="F750" s="29">
        <f t="shared" si="211"/>
        <v>0</v>
      </c>
      <c r="G750" s="29" t="str">
        <f t="shared" si="212"/>
        <v>offensive</v>
      </c>
      <c r="H750" s="16">
        <f t="shared" si="216"/>
        <v>0</v>
      </c>
      <c r="I750" s="16">
        <f t="shared" si="217"/>
        <v>0</v>
      </c>
      <c r="J750" s="16">
        <f t="shared" si="206"/>
        <v>0</v>
      </c>
      <c r="K750" s="16">
        <f t="shared" si="213"/>
        <v>0</v>
      </c>
      <c r="L750" s="67">
        <f t="shared" si="214"/>
        <v>0</v>
      </c>
      <c r="M750" s="4">
        <f t="shared" si="207"/>
        <v>0</v>
      </c>
      <c r="N750" s="4">
        <f t="shared" si="208"/>
        <v>0</v>
      </c>
      <c r="O750" s="4">
        <f t="shared" si="215"/>
        <v>0</v>
      </c>
      <c r="P750" s="4" t="e">
        <f>VLOOKUP(AJ742,'CIR Team Info'!$C$5:$E$44,2,FALSE)</f>
        <v>#N/A</v>
      </c>
      <c r="Q750" s="4" t="e">
        <f>VLOOKUP(AJ742,'CIR Team Info'!$C$5:$E$44,3,FALSE)</f>
        <v>#N/A</v>
      </c>
      <c r="R750" s="10" t="e">
        <f>VLOOKUP(AJ742,'FRC Site Data'!$B$3:$L$42,2,FALSE)</f>
        <v>#N/A</v>
      </c>
      <c r="S750" s="10" t="e">
        <f>VLOOKUP(AJ742,'FRC Site Data'!$B$3:$L$42,3,FALSE)</f>
        <v>#N/A</v>
      </c>
      <c r="T750" s="10" t="e">
        <f>VLOOKUP(AJ742,'FRC Site Data'!$B$3:$L$42,4,FALSE)</f>
        <v>#N/A</v>
      </c>
      <c r="U750" s="10" t="e">
        <f>VLOOKUP(AJ742,'FRC Site Data'!$B$3:$L$42,5,FALSE)</f>
        <v>#N/A</v>
      </c>
      <c r="V750" s="10" t="e">
        <f>VLOOKUP(AJ742,'FRC Site Data'!$B$3:$L$42,6,FALSE)</f>
        <v>#N/A</v>
      </c>
      <c r="W750" s="10" t="e">
        <f>VLOOKUP(AJ742,'FRC Site Data'!$B$3:$L$42,8,FALSE)</f>
        <v>#N/A</v>
      </c>
      <c r="X750" s="10" t="e">
        <f>VLOOKUP(AJ742,'FRC Site Data'!$B$3:$L$42,9,FALSE)</f>
        <v>#N/A</v>
      </c>
      <c r="Y750" s="10" t="e">
        <f>VLOOKUP(AJ742,'FRC Site Data'!$B$3:$L$42,10,FALSE)</f>
        <v>#N/A</v>
      </c>
      <c r="Z750" s="10" t="e">
        <f>VLOOKUP(AJ742,'FRC Site Data'!$B$3:$L$42,11,FALSE)</f>
        <v>#N/A</v>
      </c>
      <c r="AA750" s="10" t="e">
        <f>VLOOKUP(AJ742,'CIR Team Info'!$C$5:$E$44,4,FALSE)</f>
        <v>#N/A</v>
      </c>
      <c r="AB750" s="161" t="b">
        <f>ISNUMBER(VLOOKUP(AJ742,Match!$T$5:$T$10,1,FALSE))</f>
        <v>0</v>
      </c>
      <c r="AC750" s="161" t="b">
        <f>IF(AB750=TRUE,(VLOOKUP($AJ742,Match!$T$5:$U$10,2,FALSE)))</f>
        <v>0</v>
      </c>
      <c r="AD750" s="8">
        <v>3</v>
      </c>
      <c r="AE750" s="8">
        <v>2</v>
      </c>
      <c r="AF750" s="8">
        <v>2</v>
      </c>
      <c r="AG750" s="8">
        <v>1</v>
      </c>
      <c r="AH750" s="8" t="str">
        <f t="shared" si="218"/>
        <v/>
      </c>
    </row>
    <row r="751" spans="1:34" x14ac:dyDescent="0.25">
      <c r="A751" s="29">
        <f t="shared" si="209"/>
        <v>0</v>
      </c>
      <c r="B751" s="29">
        <f t="shared" si="203"/>
        <v>0</v>
      </c>
      <c r="C751" s="29">
        <f t="shared" si="204"/>
        <v>0</v>
      </c>
      <c r="D751" s="29">
        <f t="shared" si="205"/>
        <v>0</v>
      </c>
      <c r="E751" s="29">
        <f t="shared" si="210"/>
        <v>0</v>
      </c>
      <c r="F751" s="29">
        <f t="shared" si="211"/>
        <v>0</v>
      </c>
      <c r="G751" s="29" t="str">
        <f t="shared" si="212"/>
        <v>offensive</v>
      </c>
      <c r="H751" s="16">
        <f t="shared" si="216"/>
        <v>0</v>
      </c>
      <c r="I751" s="16">
        <f t="shared" si="217"/>
        <v>0</v>
      </c>
      <c r="J751" s="16">
        <f t="shared" si="206"/>
        <v>0</v>
      </c>
      <c r="K751" s="16">
        <f t="shared" si="213"/>
        <v>0</v>
      </c>
      <c r="L751" s="67">
        <f t="shared" si="214"/>
        <v>0</v>
      </c>
      <c r="M751" s="4">
        <f t="shared" si="207"/>
        <v>0</v>
      </c>
      <c r="N751" s="4">
        <f t="shared" si="208"/>
        <v>0</v>
      </c>
      <c r="O751" s="4">
        <f t="shared" si="215"/>
        <v>0</v>
      </c>
      <c r="P751" s="4" t="e">
        <f>VLOOKUP(AJ743,'CIR Team Info'!$C$5:$E$44,2,FALSE)</f>
        <v>#N/A</v>
      </c>
      <c r="Q751" s="4" t="e">
        <f>VLOOKUP(AJ743,'CIR Team Info'!$C$5:$E$44,3,FALSE)</f>
        <v>#N/A</v>
      </c>
      <c r="R751" s="10" t="e">
        <f>VLOOKUP(AJ743,'FRC Site Data'!$B$3:$L$42,2,FALSE)</f>
        <v>#N/A</v>
      </c>
      <c r="S751" s="10" t="e">
        <f>VLOOKUP(AJ743,'FRC Site Data'!$B$3:$L$42,3,FALSE)</f>
        <v>#N/A</v>
      </c>
      <c r="T751" s="10" t="e">
        <f>VLOOKUP(AJ743,'FRC Site Data'!$B$3:$L$42,4,FALSE)</f>
        <v>#N/A</v>
      </c>
      <c r="U751" s="10" t="e">
        <f>VLOOKUP(AJ743,'FRC Site Data'!$B$3:$L$42,5,FALSE)</f>
        <v>#N/A</v>
      </c>
      <c r="V751" s="10" t="e">
        <f>VLOOKUP(AJ743,'FRC Site Data'!$B$3:$L$42,6,FALSE)</f>
        <v>#N/A</v>
      </c>
      <c r="W751" s="10" t="e">
        <f>VLOOKUP(AJ743,'FRC Site Data'!$B$3:$L$42,8,FALSE)</f>
        <v>#N/A</v>
      </c>
      <c r="X751" s="10" t="e">
        <f>VLOOKUP(AJ743,'FRC Site Data'!$B$3:$L$42,9,FALSE)</f>
        <v>#N/A</v>
      </c>
      <c r="Y751" s="10" t="e">
        <f>VLOOKUP(AJ743,'FRC Site Data'!$B$3:$L$42,10,FALSE)</f>
        <v>#N/A</v>
      </c>
      <c r="Z751" s="10" t="e">
        <f>VLOOKUP(AJ743,'FRC Site Data'!$B$3:$L$42,11,FALSE)</f>
        <v>#N/A</v>
      </c>
      <c r="AA751" s="10" t="e">
        <f>VLOOKUP(AJ743,'CIR Team Info'!$C$5:$E$44,4,FALSE)</f>
        <v>#N/A</v>
      </c>
      <c r="AB751" s="161" t="b">
        <f>ISNUMBER(VLOOKUP(AJ743,Match!$T$5:$T$10,1,FALSE))</f>
        <v>0</v>
      </c>
      <c r="AC751" s="161" t="b">
        <f>IF(AB751=TRUE,(VLOOKUP($AJ743,Match!$T$5:$U$10,2,FALSE)))</f>
        <v>0</v>
      </c>
      <c r="AD751" s="8">
        <v>3</v>
      </c>
      <c r="AE751" s="8">
        <v>2</v>
      </c>
      <c r="AF751" s="8">
        <v>2</v>
      </c>
      <c r="AG751" s="8">
        <v>1</v>
      </c>
      <c r="AH751" s="8" t="str">
        <f t="shared" si="218"/>
        <v/>
      </c>
    </row>
    <row r="752" spans="1:34" x14ac:dyDescent="0.25">
      <c r="A752" s="29">
        <f t="shared" si="209"/>
        <v>0</v>
      </c>
      <c r="B752" s="29">
        <f t="shared" si="203"/>
        <v>0</v>
      </c>
      <c r="C752" s="29">
        <f t="shared" si="204"/>
        <v>0</v>
      </c>
      <c r="D752" s="29">
        <f t="shared" si="205"/>
        <v>0</v>
      </c>
      <c r="E752" s="29">
        <f t="shared" si="210"/>
        <v>0</v>
      </c>
      <c r="F752" s="29">
        <f t="shared" si="211"/>
        <v>0</v>
      </c>
      <c r="G752" s="29" t="str">
        <f t="shared" si="212"/>
        <v>offensive</v>
      </c>
      <c r="H752" s="16">
        <f t="shared" si="216"/>
        <v>0</v>
      </c>
      <c r="I752" s="16">
        <f t="shared" si="217"/>
        <v>0</v>
      </c>
      <c r="J752" s="16">
        <f t="shared" si="206"/>
        <v>0</v>
      </c>
      <c r="K752" s="16">
        <f t="shared" si="213"/>
        <v>0</v>
      </c>
      <c r="L752" s="67">
        <f t="shared" si="214"/>
        <v>0</v>
      </c>
      <c r="M752" s="4">
        <f t="shared" si="207"/>
        <v>0</v>
      </c>
      <c r="N752" s="4">
        <f t="shared" si="208"/>
        <v>0</v>
      </c>
      <c r="O752" s="4">
        <f t="shared" si="215"/>
        <v>0</v>
      </c>
      <c r="P752" s="4" t="e">
        <f>VLOOKUP(AJ744,'CIR Team Info'!$C$5:$E$44,2,FALSE)</f>
        <v>#N/A</v>
      </c>
      <c r="Q752" s="4" t="e">
        <f>VLOOKUP(AJ744,'CIR Team Info'!$C$5:$E$44,3,FALSE)</f>
        <v>#N/A</v>
      </c>
      <c r="R752" s="10" t="e">
        <f>VLOOKUP(AJ744,'FRC Site Data'!$B$3:$L$42,2,FALSE)</f>
        <v>#N/A</v>
      </c>
      <c r="S752" s="10" t="e">
        <f>VLOOKUP(AJ744,'FRC Site Data'!$B$3:$L$42,3,FALSE)</f>
        <v>#N/A</v>
      </c>
      <c r="T752" s="10" t="e">
        <f>VLOOKUP(AJ744,'FRC Site Data'!$B$3:$L$42,4,FALSE)</f>
        <v>#N/A</v>
      </c>
      <c r="U752" s="10" t="e">
        <f>VLOOKUP(AJ744,'FRC Site Data'!$B$3:$L$42,5,FALSE)</f>
        <v>#N/A</v>
      </c>
      <c r="V752" s="10" t="e">
        <f>VLOOKUP(AJ744,'FRC Site Data'!$B$3:$L$42,6,FALSE)</f>
        <v>#N/A</v>
      </c>
      <c r="W752" s="10" t="e">
        <f>VLOOKUP(AJ744,'FRC Site Data'!$B$3:$L$42,8,FALSE)</f>
        <v>#N/A</v>
      </c>
      <c r="X752" s="10" t="e">
        <f>VLOOKUP(AJ744,'FRC Site Data'!$B$3:$L$42,9,FALSE)</f>
        <v>#N/A</v>
      </c>
      <c r="Y752" s="10" t="e">
        <f>VLOOKUP(AJ744,'FRC Site Data'!$B$3:$L$42,10,FALSE)</f>
        <v>#N/A</v>
      </c>
      <c r="Z752" s="10" t="e">
        <f>VLOOKUP(AJ744,'FRC Site Data'!$B$3:$L$42,11,FALSE)</f>
        <v>#N/A</v>
      </c>
      <c r="AA752" s="10" t="e">
        <f>VLOOKUP(AJ744,'CIR Team Info'!$C$5:$E$44,4,FALSE)</f>
        <v>#N/A</v>
      </c>
      <c r="AB752" s="161" t="b">
        <f>ISNUMBER(VLOOKUP(AJ744,Match!$T$5:$T$10,1,FALSE))</f>
        <v>0</v>
      </c>
      <c r="AC752" s="161" t="b">
        <f>IF(AB752=TRUE,(VLOOKUP($AJ744,Match!$T$5:$U$10,2,FALSE)))</f>
        <v>0</v>
      </c>
      <c r="AD752" s="8">
        <v>3</v>
      </c>
      <c r="AE752" s="8">
        <v>2</v>
      </c>
      <c r="AF752" s="8">
        <v>2</v>
      </c>
      <c r="AG752" s="8">
        <v>1</v>
      </c>
      <c r="AH752" s="8" t="str">
        <f t="shared" si="218"/>
        <v/>
      </c>
    </row>
    <row r="753" spans="1:34" x14ac:dyDescent="0.25">
      <c r="A753" s="29">
        <f t="shared" si="209"/>
        <v>0</v>
      </c>
      <c r="B753" s="29">
        <f t="shared" si="203"/>
        <v>0</v>
      </c>
      <c r="C753" s="29">
        <f t="shared" si="204"/>
        <v>0</v>
      </c>
      <c r="D753" s="29">
        <f t="shared" si="205"/>
        <v>0</v>
      </c>
      <c r="E753" s="29">
        <f t="shared" si="210"/>
        <v>0</v>
      </c>
      <c r="F753" s="29">
        <f t="shared" si="211"/>
        <v>0</v>
      </c>
      <c r="G753" s="29" t="str">
        <f t="shared" si="212"/>
        <v>offensive</v>
      </c>
      <c r="H753" s="16">
        <f t="shared" si="216"/>
        <v>0</v>
      </c>
      <c r="I753" s="16">
        <f t="shared" si="217"/>
        <v>0</v>
      </c>
      <c r="J753" s="16">
        <f t="shared" si="206"/>
        <v>0</v>
      </c>
      <c r="K753" s="16">
        <f t="shared" si="213"/>
        <v>0</v>
      </c>
      <c r="L753" s="67">
        <f t="shared" si="214"/>
        <v>0</v>
      </c>
      <c r="M753" s="4">
        <f t="shared" si="207"/>
        <v>0</v>
      </c>
      <c r="N753" s="4">
        <f t="shared" si="208"/>
        <v>0</v>
      </c>
      <c r="O753" s="4">
        <f t="shared" si="215"/>
        <v>0</v>
      </c>
      <c r="P753" s="4" t="e">
        <f>VLOOKUP(AJ745,'CIR Team Info'!$C$5:$E$44,2,FALSE)</f>
        <v>#N/A</v>
      </c>
      <c r="Q753" s="4" t="e">
        <f>VLOOKUP(AJ745,'CIR Team Info'!$C$5:$E$44,3,FALSE)</f>
        <v>#N/A</v>
      </c>
      <c r="R753" s="10" t="e">
        <f>VLOOKUP(AJ745,'FRC Site Data'!$B$3:$L$42,2,FALSE)</f>
        <v>#N/A</v>
      </c>
      <c r="S753" s="10" t="e">
        <f>VLOOKUP(AJ745,'FRC Site Data'!$B$3:$L$42,3,FALSE)</f>
        <v>#N/A</v>
      </c>
      <c r="T753" s="10" t="e">
        <f>VLOOKUP(AJ745,'FRC Site Data'!$B$3:$L$42,4,FALSE)</f>
        <v>#N/A</v>
      </c>
      <c r="U753" s="10" t="e">
        <f>VLOOKUP(AJ745,'FRC Site Data'!$B$3:$L$42,5,FALSE)</f>
        <v>#N/A</v>
      </c>
      <c r="V753" s="10" t="e">
        <f>VLOOKUP(AJ745,'FRC Site Data'!$B$3:$L$42,6,FALSE)</f>
        <v>#N/A</v>
      </c>
      <c r="W753" s="10" t="e">
        <f>VLOOKUP(AJ745,'FRC Site Data'!$B$3:$L$42,8,FALSE)</f>
        <v>#N/A</v>
      </c>
      <c r="X753" s="10" t="e">
        <f>VLOOKUP(AJ745,'FRC Site Data'!$B$3:$L$42,9,FALSE)</f>
        <v>#N/A</v>
      </c>
      <c r="Y753" s="10" t="e">
        <f>VLOOKUP(AJ745,'FRC Site Data'!$B$3:$L$42,10,FALSE)</f>
        <v>#N/A</v>
      </c>
      <c r="Z753" s="10" t="e">
        <f>VLOOKUP(AJ745,'FRC Site Data'!$B$3:$L$42,11,FALSE)</f>
        <v>#N/A</v>
      </c>
      <c r="AA753" s="10" t="e">
        <f>VLOOKUP(AJ745,'CIR Team Info'!$C$5:$E$44,4,FALSE)</f>
        <v>#N/A</v>
      </c>
      <c r="AB753" s="161" t="b">
        <f>ISNUMBER(VLOOKUP(AJ745,Match!$T$5:$T$10,1,FALSE))</f>
        <v>0</v>
      </c>
      <c r="AC753" s="161" t="b">
        <f>IF(AB753=TRUE,(VLOOKUP($AJ745,Match!$T$5:$U$10,2,FALSE)))</f>
        <v>0</v>
      </c>
      <c r="AD753" s="8">
        <v>3</v>
      </c>
      <c r="AE753" s="8">
        <v>2</v>
      </c>
      <c r="AF753" s="8">
        <v>2</v>
      </c>
      <c r="AG753" s="8">
        <v>1</v>
      </c>
      <c r="AH753" s="8" t="str">
        <f t="shared" si="218"/>
        <v/>
      </c>
    </row>
    <row r="754" spans="1:34" x14ac:dyDescent="0.25">
      <c r="A754" s="29">
        <f t="shared" si="209"/>
        <v>0</v>
      </c>
      <c r="B754" s="29">
        <f t="shared" si="203"/>
        <v>0</v>
      </c>
      <c r="C754" s="29">
        <f t="shared" si="204"/>
        <v>0</v>
      </c>
      <c r="D754" s="29">
        <f t="shared" si="205"/>
        <v>0</v>
      </c>
      <c r="E754" s="29">
        <f t="shared" si="210"/>
        <v>0</v>
      </c>
      <c r="F754" s="29">
        <f t="shared" si="211"/>
        <v>0</v>
      </c>
      <c r="G754" s="29" t="str">
        <f t="shared" si="212"/>
        <v>offensive</v>
      </c>
      <c r="H754" s="16">
        <f t="shared" si="216"/>
        <v>0</v>
      </c>
      <c r="I754" s="16">
        <f t="shared" si="217"/>
        <v>0</v>
      </c>
      <c r="J754" s="16">
        <f t="shared" si="206"/>
        <v>0</v>
      </c>
      <c r="K754" s="16">
        <f t="shared" si="213"/>
        <v>0</v>
      </c>
      <c r="L754" s="67">
        <f t="shared" si="214"/>
        <v>0</v>
      </c>
      <c r="M754" s="4">
        <f t="shared" si="207"/>
        <v>0</v>
      </c>
      <c r="N754" s="4">
        <f t="shared" si="208"/>
        <v>0</v>
      </c>
      <c r="O754" s="4">
        <f t="shared" si="215"/>
        <v>0</v>
      </c>
      <c r="P754" s="4" t="e">
        <f>VLOOKUP(AJ746,'CIR Team Info'!$C$5:$E$44,2,FALSE)</f>
        <v>#N/A</v>
      </c>
      <c r="Q754" s="4" t="e">
        <f>VLOOKUP(AJ746,'CIR Team Info'!$C$5:$E$44,3,FALSE)</f>
        <v>#N/A</v>
      </c>
      <c r="R754" s="10" t="e">
        <f>VLOOKUP(AJ746,'FRC Site Data'!$B$3:$L$42,2,FALSE)</f>
        <v>#N/A</v>
      </c>
      <c r="S754" s="10" t="e">
        <f>VLOOKUP(AJ746,'FRC Site Data'!$B$3:$L$42,3,FALSE)</f>
        <v>#N/A</v>
      </c>
      <c r="T754" s="10" t="e">
        <f>VLOOKUP(AJ746,'FRC Site Data'!$B$3:$L$42,4,FALSE)</f>
        <v>#N/A</v>
      </c>
      <c r="U754" s="10" t="e">
        <f>VLOOKUP(AJ746,'FRC Site Data'!$B$3:$L$42,5,FALSE)</f>
        <v>#N/A</v>
      </c>
      <c r="V754" s="10" t="e">
        <f>VLOOKUP(AJ746,'FRC Site Data'!$B$3:$L$42,6,FALSE)</f>
        <v>#N/A</v>
      </c>
      <c r="W754" s="10" t="e">
        <f>VLOOKUP(AJ746,'FRC Site Data'!$B$3:$L$42,8,FALSE)</f>
        <v>#N/A</v>
      </c>
      <c r="X754" s="10" t="e">
        <f>VLOOKUP(AJ746,'FRC Site Data'!$B$3:$L$42,9,FALSE)</f>
        <v>#N/A</v>
      </c>
      <c r="Y754" s="10" t="e">
        <f>VLOOKUP(AJ746,'FRC Site Data'!$B$3:$L$42,10,FALSE)</f>
        <v>#N/A</v>
      </c>
      <c r="Z754" s="10" t="e">
        <f>VLOOKUP(AJ746,'FRC Site Data'!$B$3:$L$42,11,FALSE)</f>
        <v>#N/A</v>
      </c>
      <c r="AA754" s="10" t="e">
        <f>VLOOKUP(AJ746,'CIR Team Info'!$C$5:$E$44,4,FALSE)</f>
        <v>#N/A</v>
      </c>
      <c r="AB754" s="161" t="b">
        <f>ISNUMBER(VLOOKUP(AJ746,Match!$T$5:$T$10,1,FALSE))</f>
        <v>0</v>
      </c>
      <c r="AC754" s="161" t="b">
        <f>IF(AB754=TRUE,(VLOOKUP($AJ746,Match!$T$5:$U$10,2,FALSE)))</f>
        <v>0</v>
      </c>
      <c r="AD754" s="8">
        <v>3</v>
      </c>
      <c r="AE754" s="8">
        <v>2</v>
      </c>
      <c r="AF754" s="8">
        <v>2</v>
      </c>
      <c r="AG754" s="8">
        <v>1</v>
      </c>
      <c r="AH754" s="8" t="str">
        <f t="shared" si="218"/>
        <v/>
      </c>
    </row>
    <row r="755" spans="1:34" x14ac:dyDescent="0.25">
      <c r="A755" s="29">
        <f t="shared" si="209"/>
        <v>0</v>
      </c>
      <c r="B755" s="29">
        <f t="shared" si="203"/>
        <v>0</v>
      </c>
      <c r="C755" s="29">
        <f t="shared" si="204"/>
        <v>0</v>
      </c>
      <c r="D755" s="29">
        <f t="shared" si="205"/>
        <v>0</v>
      </c>
      <c r="E755" s="29">
        <f t="shared" si="210"/>
        <v>0</v>
      </c>
      <c r="F755" s="29">
        <f t="shared" si="211"/>
        <v>0</v>
      </c>
      <c r="G755" s="29" t="str">
        <f t="shared" si="212"/>
        <v>offensive</v>
      </c>
      <c r="H755" s="16">
        <f t="shared" si="216"/>
        <v>0</v>
      </c>
      <c r="I755" s="16">
        <f t="shared" si="217"/>
        <v>0</v>
      </c>
      <c r="J755" s="16">
        <f t="shared" si="206"/>
        <v>0</v>
      </c>
      <c r="K755" s="16">
        <f t="shared" si="213"/>
        <v>0</v>
      </c>
      <c r="L755" s="67">
        <f t="shared" si="214"/>
        <v>0</v>
      </c>
      <c r="M755" s="4">
        <f t="shared" si="207"/>
        <v>0</v>
      </c>
      <c r="N755" s="4">
        <f t="shared" si="208"/>
        <v>0</v>
      </c>
      <c r="O755" s="4">
        <f t="shared" si="215"/>
        <v>0</v>
      </c>
      <c r="P755" s="4" t="e">
        <f>VLOOKUP(AJ747,'CIR Team Info'!$C$5:$E$44,2,FALSE)</f>
        <v>#N/A</v>
      </c>
      <c r="Q755" s="4" t="e">
        <f>VLOOKUP(AJ747,'CIR Team Info'!$C$5:$E$44,3,FALSE)</f>
        <v>#N/A</v>
      </c>
      <c r="R755" s="10" t="e">
        <f>VLOOKUP(AJ747,'FRC Site Data'!$B$3:$L$42,2,FALSE)</f>
        <v>#N/A</v>
      </c>
      <c r="S755" s="10" t="e">
        <f>VLOOKUP(AJ747,'FRC Site Data'!$B$3:$L$42,3,FALSE)</f>
        <v>#N/A</v>
      </c>
      <c r="T755" s="10" t="e">
        <f>VLOOKUP(AJ747,'FRC Site Data'!$B$3:$L$42,4,FALSE)</f>
        <v>#N/A</v>
      </c>
      <c r="U755" s="10" t="e">
        <f>VLOOKUP(AJ747,'FRC Site Data'!$B$3:$L$42,5,FALSE)</f>
        <v>#N/A</v>
      </c>
      <c r="V755" s="10" t="e">
        <f>VLOOKUP(AJ747,'FRC Site Data'!$B$3:$L$42,6,FALSE)</f>
        <v>#N/A</v>
      </c>
      <c r="W755" s="10" t="e">
        <f>VLOOKUP(AJ747,'FRC Site Data'!$B$3:$L$42,8,FALSE)</f>
        <v>#N/A</v>
      </c>
      <c r="X755" s="10" t="e">
        <f>VLOOKUP(AJ747,'FRC Site Data'!$B$3:$L$42,9,FALSE)</f>
        <v>#N/A</v>
      </c>
      <c r="Y755" s="10" t="e">
        <f>VLOOKUP(AJ747,'FRC Site Data'!$B$3:$L$42,10,FALSE)</f>
        <v>#N/A</v>
      </c>
      <c r="Z755" s="10" t="e">
        <f>VLOOKUP(AJ747,'FRC Site Data'!$B$3:$L$42,11,FALSE)</f>
        <v>#N/A</v>
      </c>
      <c r="AA755" s="10" t="e">
        <f>VLOOKUP(AJ747,'CIR Team Info'!$C$5:$E$44,4,FALSE)</f>
        <v>#N/A</v>
      </c>
      <c r="AB755" s="161" t="b">
        <f>ISNUMBER(VLOOKUP(AJ747,Match!$T$5:$T$10,1,FALSE))</f>
        <v>0</v>
      </c>
      <c r="AC755" s="161" t="b">
        <f>IF(AB755=TRUE,(VLOOKUP($AJ747,Match!$T$5:$U$10,2,FALSE)))</f>
        <v>0</v>
      </c>
      <c r="AD755" s="8">
        <v>3</v>
      </c>
      <c r="AE755" s="8">
        <v>2</v>
      </c>
      <c r="AF755" s="8">
        <v>2</v>
      </c>
      <c r="AG755" s="8">
        <v>1</v>
      </c>
      <c r="AH755" s="8" t="str">
        <f t="shared" si="218"/>
        <v/>
      </c>
    </row>
    <row r="756" spans="1:34" x14ac:dyDescent="0.25">
      <c r="A756" s="29">
        <f t="shared" si="209"/>
        <v>0</v>
      </c>
      <c r="B756" s="29">
        <f t="shared" si="203"/>
        <v>0</v>
      </c>
      <c r="C756" s="29">
        <f t="shared" si="204"/>
        <v>0</v>
      </c>
      <c r="D756" s="29">
        <f t="shared" si="205"/>
        <v>0</v>
      </c>
      <c r="E756" s="29">
        <f t="shared" si="210"/>
        <v>0</v>
      </c>
      <c r="F756" s="29">
        <f t="shared" si="211"/>
        <v>0</v>
      </c>
      <c r="G756" s="29" t="str">
        <f t="shared" si="212"/>
        <v>offensive</v>
      </c>
      <c r="H756" s="16">
        <f t="shared" si="216"/>
        <v>0</v>
      </c>
      <c r="I756" s="16">
        <f t="shared" si="217"/>
        <v>0</v>
      </c>
      <c r="J756" s="16">
        <f t="shared" si="206"/>
        <v>0</v>
      </c>
      <c r="K756" s="16">
        <f t="shared" si="213"/>
        <v>0</v>
      </c>
      <c r="L756" s="67">
        <f t="shared" si="214"/>
        <v>0</v>
      </c>
      <c r="M756" s="4">
        <f t="shared" si="207"/>
        <v>0</v>
      </c>
      <c r="N756" s="4">
        <f t="shared" si="208"/>
        <v>0</v>
      </c>
      <c r="O756" s="4">
        <f t="shared" si="215"/>
        <v>0</v>
      </c>
      <c r="P756" s="4" t="e">
        <f>VLOOKUP(AJ748,'CIR Team Info'!$C$5:$E$44,2,FALSE)</f>
        <v>#N/A</v>
      </c>
      <c r="Q756" s="4" t="e">
        <f>VLOOKUP(AJ748,'CIR Team Info'!$C$5:$E$44,3,FALSE)</f>
        <v>#N/A</v>
      </c>
      <c r="R756" s="10" t="e">
        <f>VLOOKUP(AJ748,'FRC Site Data'!$B$3:$L$42,2,FALSE)</f>
        <v>#N/A</v>
      </c>
      <c r="S756" s="10" t="e">
        <f>VLOOKUP(AJ748,'FRC Site Data'!$B$3:$L$42,3,FALSE)</f>
        <v>#N/A</v>
      </c>
      <c r="T756" s="10" t="e">
        <f>VLOOKUP(AJ748,'FRC Site Data'!$B$3:$L$42,4,FALSE)</f>
        <v>#N/A</v>
      </c>
      <c r="U756" s="10" t="e">
        <f>VLOOKUP(AJ748,'FRC Site Data'!$B$3:$L$42,5,FALSE)</f>
        <v>#N/A</v>
      </c>
      <c r="V756" s="10" t="e">
        <f>VLOOKUP(AJ748,'FRC Site Data'!$B$3:$L$42,6,FALSE)</f>
        <v>#N/A</v>
      </c>
      <c r="W756" s="10" t="e">
        <f>VLOOKUP(AJ748,'FRC Site Data'!$B$3:$L$42,8,FALSE)</f>
        <v>#N/A</v>
      </c>
      <c r="X756" s="10" t="e">
        <f>VLOOKUP(AJ748,'FRC Site Data'!$B$3:$L$42,9,FALSE)</f>
        <v>#N/A</v>
      </c>
      <c r="Y756" s="10" t="e">
        <f>VLOOKUP(AJ748,'FRC Site Data'!$B$3:$L$42,10,FALSE)</f>
        <v>#N/A</v>
      </c>
      <c r="Z756" s="10" t="e">
        <f>VLOOKUP(AJ748,'FRC Site Data'!$B$3:$L$42,11,FALSE)</f>
        <v>#N/A</v>
      </c>
      <c r="AA756" s="10" t="e">
        <f>VLOOKUP(AJ748,'CIR Team Info'!$C$5:$E$44,4,FALSE)</f>
        <v>#N/A</v>
      </c>
      <c r="AB756" s="161" t="b">
        <f>ISNUMBER(VLOOKUP(AJ748,Match!$T$5:$T$10,1,FALSE))</f>
        <v>0</v>
      </c>
      <c r="AC756" s="161" t="b">
        <f>IF(AB756=TRUE,(VLOOKUP($AJ748,Match!$T$5:$U$10,2,FALSE)))</f>
        <v>0</v>
      </c>
      <c r="AD756" s="8">
        <v>3</v>
      </c>
      <c r="AE756" s="8">
        <v>2</v>
      </c>
      <c r="AF756" s="8">
        <v>2</v>
      </c>
      <c r="AG756" s="8">
        <v>1</v>
      </c>
      <c r="AH756" s="8" t="str">
        <f t="shared" si="218"/>
        <v/>
      </c>
    </row>
    <row r="757" spans="1:34" x14ac:dyDescent="0.25">
      <c r="A757" s="29">
        <f t="shared" si="209"/>
        <v>0</v>
      </c>
      <c r="B757" s="29">
        <f t="shared" si="203"/>
        <v>0</v>
      </c>
      <c r="C757" s="29">
        <f t="shared" si="204"/>
        <v>0</v>
      </c>
      <c r="D757" s="29">
        <f t="shared" si="205"/>
        <v>0</v>
      </c>
      <c r="E757" s="29">
        <f t="shared" si="210"/>
        <v>0</v>
      </c>
      <c r="F757" s="29">
        <f t="shared" si="211"/>
        <v>0</v>
      </c>
      <c r="G757" s="29" t="str">
        <f t="shared" si="212"/>
        <v>offensive</v>
      </c>
      <c r="H757" s="16">
        <f t="shared" si="216"/>
        <v>0</v>
      </c>
      <c r="I757" s="16">
        <f t="shared" si="217"/>
        <v>0</v>
      </c>
      <c r="J757" s="16">
        <f t="shared" si="206"/>
        <v>0</v>
      </c>
      <c r="K757" s="16">
        <f t="shared" si="213"/>
        <v>0</v>
      </c>
      <c r="L757" s="67">
        <f t="shared" si="214"/>
        <v>0</v>
      </c>
      <c r="M757" s="4">
        <f t="shared" si="207"/>
        <v>0</v>
      </c>
      <c r="N757" s="4">
        <f t="shared" si="208"/>
        <v>0</v>
      </c>
      <c r="O757" s="4">
        <f t="shared" si="215"/>
        <v>0</v>
      </c>
      <c r="P757" s="4" t="e">
        <f>VLOOKUP(AJ749,'CIR Team Info'!$C$5:$E$44,2,FALSE)</f>
        <v>#N/A</v>
      </c>
      <c r="Q757" s="4" t="e">
        <f>VLOOKUP(AJ749,'CIR Team Info'!$C$5:$E$44,3,FALSE)</f>
        <v>#N/A</v>
      </c>
      <c r="R757" s="10" t="e">
        <f>VLOOKUP(AJ749,'FRC Site Data'!$B$3:$L$42,2,FALSE)</f>
        <v>#N/A</v>
      </c>
      <c r="S757" s="10" t="e">
        <f>VLOOKUP(AJ749,'FRC Site Data'!$B$3:$L$42,3,FALSE)</f>
        <v>#N/A</v>
      </c>
      <c r="T757" s="10" t="e">
        <f>VLOOKUP(AJ749,'FRC Site Data'!$B$3:$L$42,4,FALSE)</f>
        <v>#N/A</v>
      </c>
      <c r="U757" s="10" t="e">
        <f>VLOOKUP(AJ749,'FRC Site Data'!$B$3:$L$42,5,FALSE)</f>
        <v>#N/A</v>
      </c>
      <c r="V757" s="10" t="e">
        <f>VLOOKUP(AJ749,'FRC Site Data'!$B$3:$L$42,6,FALSE)</f>
        <v>#N/A</v>
      </c>
      <c r="W757" s="10" t="e">
        <f>VLOOKUP(AJ749,'FRC Site Data'!$B$3:$L$42,8,FALSE)</f>
        <v>#N/A</v>
      </c>
      <c r="X757" s="10" t="e">
        <f>VLOOKUP(AJ749,'FRC Site Data'!$B$3:$L$42,9,FALSE)</f>
        <v>#N/A</v>
      </c>
      <c r="Y757" s="10" t="e">
        <f>VLOOKUP(AJ749,'FRC Site Data'!$B$3:$L$42,10,FALSE)</f>
        <v>#N/A</v>
      </c>
      <c r="Z757" s="10" t="e">
        <f>VLOOKUP(AJ749,'FRC Site Data'!$B$3:$L$42,11,FALSE)</f>
        <v>#N/A</v>
      </c>
      <c r="AA757" s="10" t="e">
        <f>VLOOKUP(AJ749,'CIR Team Info'!$C$5:$E$44,4,FALSE)</f>
        <v>#N/A</v>
      </c>
      <c r="AB757" s="161" t="b">
        <f>ISNUMBER(VLOOKUP(AJ749,Match!$T$5:$T$10,1,FALSE))</f>
        <v>0</v>
      </c>
      <c r="AC757" s="161" t="b">
        <f>IF(AB757=TRUE,(VLOOKUP($AJ749,Match!$T$5:$U$10,2,FALSE)))</f>
        <v>0</v>
      </c>
      <c r="AD757" s="8">
        <v>3</v>
      </c>
      <c r="AE757" s="8">
        <v>2</v>
      </c>
      <c r="AF757" s="8">
        <v>2</v>
      </c>
      <c r="AG757" s="8">
        <v>1</v>
      </c>
      <c r="AH757" s="8" t="str">
        <f t="shared" si="218"/>
        <v/>
      </c>
    </row>
    <row r="758" spans="1:34" x14ac:dyDescent="0.25">
      <c r="A758" s="29">
        <f t="shared" si="209"/>
        <v>0</v>
      </c>
      <c r="B758" s="29">
        <f t="shared" si="203"/>
        <v>0</v>
      </c>
      <c r="C758" s="29">
        <f t="shared" si="204"/>
        <v>0</v>
      </c>
      <c r="D758" s="29">
        <f t="shared" si="205"/>
        <v>0</v>
      </c>
      <c r="E758" s="29">
        <f t="shared" si="210"/>
        <v>0</v>
      </c>
      <c r="F758" s="29">
        <f t="shared" si="211"/>
        <v>0</v>
      </c>
      <c r="G758" s="29" t="str">
        <f t="shared" si="212"/>
        <v>offensive</v>
      </c>
      <c r="H758" s="16">
        <f t="shared" si="216"/>
        <v>0</v>
      </c>
      <c r="I758" s="16">
        <f t="shared" si="217"/>
        <v>0</v>
      </c>
      <c r="J758" s="16">
        <f t="shared" si="206"/>
        <v>0</v>
      </c>
      <c r="K758" s="16">
        <f t="shared" si="213"/>
        <v>0</v>
      </c>
      <c r="L758" s="67">
        <f t="shared" si="214"/>
        <v>0</v>
      </c>
      <c r="M758" s="4">
        <f t="shared" si="207"/>
        <v>0</v>
      </c>
      <c r="N758" s="4">
        <f t="shared" si="208"/>
        <v>0</v>
      </c>
      <c r="O758" s="4">
        <f t="shared" si="215"/>
        <v>0</v>
      </c>
      <c r="P758" s="4" t="e">
        <f>VLOOKUP(AJ750,'CIR Team Info'!$C$5:$E$44,2,FALSE)</f>
        <v>#N/A</v>
      </c>
      <c r="Q758" s="4" t="e">
        <f>VLOOKUP(AJ750,'CIR Team Info'!$C$5:$E$44,3,FALSE)</f>
        <v>#N/A</v>
      </c>
      <c r="R758" s="10" t="e">
        <f>VLOOKUP(AJ750,'FRC Site Data'!$B$3:$L$42,2,FALSE)</f>
        <v>#N/A</v>
      </c>
      <c r="S758" s="10" t="e">
        <f>VLOOKUP(AJ750,'FRC Site Data'!$B$3:$L$42,3,FALSE)</f>
        <v>#N/A</v>
      </c>
      <c r="T758" s="10" t="e">
        <f>VLOOKUP(AJ750,'FRC Site Data'!$B$3:$L$42,4,FALSE)</f>
        <v>#N/A</v>
      </c>
      <c r="U758" s="10" t="e">
        <f>VLOOKUP(AJ750,'FRC Site Data'!$B$3:$L$42,5,FALSE)</f>
        <v>#N/A</v>
      </c>
      <c r="V758" s="10" t="e">
        <f>VLOOKUP(AJ750,'FRC Site Data'!$B$3:$L$42,6,FALSE)</f>
        <v>#N/A</v>
      </c>
      <c r="W758" s="10" t="e">
        <f>VLOOKUP(AJ750,'FRC Site Data'!$B$3:$L$42,8,FALSE)</f>
        <v>#N/A</v>
      </c>
      <c r="X758" s="10" t="e">
        <f>VLOOKUP(AJ750,'FRC Site Data'!$B$3:$L$42,9,FALSE)</f>
        <v>#N/A</v>
      </c>
      <c r="Y758" s="10" t="e">
        <f>VLOOKUP(AJ750,'FRC Site Data'!$B$3:$L$42,10,FALSE)</f>
        <v>#N/A</v>
      </c>
      <c r="Z758" s="10" t="e">
        <f>VLOOKUP(AJ750,'FRC Site Data'!$B$3:$L$42,11,FALSE)</f>
        <v>#N/A</v>
      </c>
      <c r="AA758" s="10" t="e">
        <f>VLOOKUP(AJ750,'CIR Team Info'!$C$5:$E$44,4,FALSE)</f>
        <v>#N/A</v>
      </c>
      <c r="AB758" s="161" t="b">
        <f>ISNUMBER(VLOOKUP(AJ750,Match!$T$5:$T$10,1,FALSE))</f>
        <v>0</v>
      </c>
      <c r="AC758" s="161" t="b">
        <f>IF(AB758=TRUE,(VLOOKUP($AJ750,Match!$T$5:$U$10,2,FALSE)))</f>
        <v>0</v>
      </c>
      <c r="AD758" s="8">
        <v>3</v>
      </c>
      <c r="AE758" s="8">
        <v>2</v>
      </c>
      <c r="AF758" s="8">
        <v>2</v>
      </c>
      <c r="AG758" s="8">
        <v>1</v>
      </c>
      <c r="AH758" s="8" t="str">
        <f t="shared" si="218"/>
        <v/>
      </c>
    </row>
    <row r="759" spans="1:34" x14ac:dyDescent="0.25">
      <c r="A759" s="29">
        <f t="shared" si="209"/>
        <v>0</v>
      </c>
      <c r="B759" s="29">
        <f t="shared" si="203"/>
        <v>0</v>
      </c>
      <c r="C759" s="29">
        <f t="shared" si="204"/>
        <v>0</v>
      </c>
      <c r="D759" s="29">
        <f t="shared" si="205"/>
        <v>0</v>
      </c>
      <c r="E759" s="29">
        <f t="shared" si="210"/>
        <v>0</v>
      </c>
      <c r="F759" s="29">
        <f t="shared" si="211"/>
        <v>0</v>
      </c>
      <c r="G759" s="29" t="str">
        <f t="shared" si="212"/>
        <v>offensive</v>
      </c>
      <c r="H759" s="16">
        <f t="shared" si="216"/>
        <v>0</v>
      </c>
      <c r="I759" s="16">
        <f t="shared" si="217"/>
        <v>0</v>
      </c>
      <c r="J759" s="16">
        <f t="shared" si="206"/>
        <v>0</v>
      </c>
      <c r="K759" s="16">
        <f t="shared" si="213"/>
        <v>0</v>
      </c>
      <c r="L759" s="67">
        <f t="shared" si="214"/>
        <v>0</v>
      </c>
      <c r="M759" s="4">
        <f t="shared" si="207"/>
        <v>0</v>
      </c>
      <c r="N759" s="4">
        <f t="shared" si="208"/>
        <v>0</v>
      </c>
      <c r="O759" s="4">
        <f t="shared" si="215"/>
        <v>0</v>
      </c>
      <c r="P759" s="4" t="e">
        <f>VLOOKUP(AJ751,'CIR Team Info'!$C$5:$E$44,2,FALSE)</f>
        <v>#N/A</v>
      </c>
      <c r="Q759" s="4" t="e">
        <f>VLOOKUP(AJ751,'CIR Team Info'!$C$5:$E$44,3,FALSE)</f>
        <v>#N/A</v>
      </c>
      <c r="R759" s="10" t="e">
        <f>VLOOKUP(AJ751,'FRC Site Data'!$B$3:$L$42,2,FALSE)</f>
        <v>#N/A</v>
      </c>
      <c r="S759" s="10" t="e">
        <f>VLOOKUP(AJ751,'FRC Site Data'!$B$3:$L$42,3,FALSE)</f>
        <v>#N/A</v>
      </c>
      <c r="T759" s="10" t="e">
        <f>VLOOKUP(AJ751,'FRC Site Data'!$B$3:$L$42,4,FALSE)</f>
        <v>#N/A</v>
      </c>
      <c r="U759" s="10" t="e">
        <f>VLOOKUP(AJ751,'FRC Site Data'!$B$3:$L$42,5,FALSE)</f>
        <v>#N/A</v>
      </c>
      <c r="V759" s="10" t="e">
        <f>VLOOKUP(AJ751,'FRC Site Data'!$B$3:$L$42,6,FALSE)</f>
        <v>#N/A</v>
      </c>
      <c r="W759" s="10" t="e">
        <f>VLOOKUP(AJ751,'FRC Site Data'!$B$3:$L$42,8,FALSE)</f>
        <v>#N/A</v>
      </c>
      <c r="X759" s="10" t="e">
        <f>VLOOKUP(AJ751,'FRC Site Data'!$B$3:$L$42,9,FALSE)</f>
        <v>#N/A</v>
      </c>
      <c r="Y759" s="10" t="e">
        <f>VLOOKUP(AJ751,'FRC Site Data'!$B$3:$L$42,10,FALSE)</f>
        <v>#N/A</v>
      </c>
      <c r="Z759" s="10" t="e">
        <f>VLOOKUP(AJ751,'FRC Site Data'!$B$3:$L$42,11,FALSE)</f>
        <v>#N/A</v>
      </c>
      <c r="AA759" s="10" t="e">
        <f>VLOOKUP(AJ751,'CIR Team Info'!$C$5:$E$44,4,FALSE)</f>
        <v>#N/A</v>
      </c>
      <c r="AB759" s="161" t="b">
        <f>ISNUMBER(VLOOKUP(AJ751,Match!$T$5:$T$10,1,FALSE))</f>
        <v>0</v>
      </c>
      <c r="AC759" s="161" t="b">
        <f>IF(AB759=TRUE,(VLOOKUP($AJ751,Match!$T$5:$U$10,2,FALSE)))</f>
        <v>0</v>
      </c>
      <c r="AD759" s="8">
        <v>3</v>
      </c>
      <c r="AE759" s="8">
        <v>2</v>
      </c>
      <c r="AF759" s="8">
        <v>2</v>
      </c>
      <c r="AG759" s="8">
        <v>1</v>
      </c>
      <c r="AH759" s="8" t="str">
        <f t="shared" si="218"/>
        <v/>
      </c>
    </row>
    <row r="760" spans="1:34" x14ac:dyDescent="0.25">
      <c r="A760" s="29">
        <f t="shared" si="209"/>
        <v>0</v>
      </c>
      <c r="B760" s="29">
        <f t="shared" si="203"/>
        <v>0</v>
      </c>
      <c r="C760" s="29">
        <f t="shared" si="204"/>
        <v>0</v>
      </c>
      <c r="D760" s="29">
        <f t="shared" si="205"/>
        <v>0</v>
      </c>
      <c r="E760" s="29">
        <f t="shared" si="210"/>
        <v>0</v>
      </c>
      <c r="F760" s="29">
        <f t="shared" si="211"/>
        <v>0</v>
      </c>
      <c r="G760" s="29" t="str">
        <f t="shared" si="212"/>
        <v>offensive</v>
      </c>
      <c r="H760" s="16">
        <f t="shared" si="216"/>
        <v>0</v>
      </c>
      <c r="I760" s="16">
        <f t="shared" si="217"/>
        <v>0</v>
      </c>
      <c r="J760" s="16">
        <f t="shared" si="206"/>
        <v>0</v>
      </c>
      <c r="K760" s="16">
        <f t="shared" si="213"/>
        <v>0</v>
      </c>
      <c r="L760" s="67">
        <f t="shared" si="214"/>
        <v>0</v>
      </c>
      <c r="M760" s="4">
        <f t="shared" si="207"/>
        <v>0</v>
      </c>
      <c r="N760" s="4">
        <f t="shared" si="208"/>
        <v>0</v>
      </c>
      <c r="O760" s="4">
        <f t="shared" si="215"/>
        <v>0</v>
      </c>
      <c r="P760" s="4" t="e">
        <f>VLOOKUP(AJ752,'CIR Team Info'!$C$5:$E$44,2,FALSE)</f>
        <v>#N/A</v>
      </c>
      <c r="Q760" s="4" t="e">
        <f>VLOOKUP(AJ752,'CIR Team Info'!$C$5:$E$44,3,FALSE)</f>
        <v>#N/A</v>
      </c>
      <c r="R760" s="10" t="e">
        <f>VLOOKUP(AJ752,'FRC Site Data'!$B$3:$L$42,2,FALSE)</f>
        <v>#N/A</v>
      </c>
      <c r="S760" s="10" t="e">
        <f>VLOOKUP(AJ752,'FRC Site Data'!$B$3:$L$42,3,FALSE)</f>
        <v>#N/A</v>
      </c>
      <c r="T760" s="10" t="e">
        <f>VLOOKUP(AJ752,'FRC Site Data'!$B$3:$L$42,4,FALSE)</f>
        <v>#N/A</v>
      </c>
      <c r="U760" s="10" t="e">
        <f>VLOOKUP(AJ752,'FRC Site Data'!$B$3:$L$42,5,FALSE)</f>
        <v>#N/A</v>
      </c>
      <c r="V760" s="10" t="e">
        <f>VLOOKUP(AJ752,'FRC Site Data'!$B$3:$L$42,6,FALSE)</f>
        <v>#N/A</v>
      </c>
      <c r="W760" s="10" t="e">
        <f>VLOOKUP(AJ752,'FRC Site Data'!$B$3:$L$42,8,FALSE)</f>
        <v>#N/A</v>
      </c>
      <c r="X760" s="10" t="e">
        <f>VLOOKUP(AJ752,'FRC Site Data'!$B$3:$L$42,9,FALSE)</f>
        <v>#N/A</v>
      </c>
      <c r="Y760" s="10" t="e">
        <f>VLOOKUP(AJ752,'FRC Site Data'!$B$3:$L$42,10,FALSE)</f>
        <v>#N/A</v>
      </c>
      <c r="Z760" s="10" t="e">
        <f>VLOOKUP(AJ752,'FRC Site Data'!$B$3:$L$42,11,FALSE)</f>
        <v>#N/A</v>
      </c>
      <c r="AA760" s="10" t="e">
        <f>VLOOKUP(AJ752,'CIR Team Info'!$C$5:$E$44,4,FALSE)</f>
        <v>#N/A</v>
      </c>
      <c r="AB760" s="161" t="b">
        <f>ISNUMBER(VLOOKUP(AJ752,Match!$T$5:$T$10,1,FALSE))</f>
        <v>0</v>
      </c>
      <c r="AC760" s="161" t="b">
        <f>IF(AB760=TRUE,(VLOOKUP($AJ752,Match!$T$5:$U$10,2,FALSE)))</f>
        <v>0</v>
      </c>
      <c r="AD760" s="8">
        <v>3</v>
      </c>
      <c r="AE760" s="8">
        <v>2</v>
      </c>
      <c r="AF760" s="8">
        <v>2</v>
      </c>
      <c r="AG760" s="8">
        <v>1</v>
      </c>
      <c r="AH760" s="8" t="str">
        <f t="shared" si="218"/>
        <v/>
      </c>
    </row>
    <row r="761" spans="1:34" x14ac:dyDescent="0.25">
      <c r="A761" s="29">
        <f t="shared" si="209"/>
        <v>0</v>
      </c>
      <c r="B761" s="29">
        <f t="shared" si="203"/>
        <v>0</v>
      </c>
      <c r="C761" s="29">
        <f t="shared" si="204"/>
        <v>0</v>
      </c>
      <c r="D761" s="29">
        <f t="shared" si="205"/>
        <v>0</v>
      </c>
      <c r="E761" s="29">
        <f t="shared" si="210"/>
        <v>0</v>
      </c>
      <c r="F761" s="29">
        <f t="shared" si="211"/>
        <v>0</v>
      </c>
      <c r="G761" s="29" t="str">
        <f t="shared" si="212"/>
        <v>offensive</v>
      </c>
      <c r="H761" s="16">
        <f t="shared" si="216"/>
        <v>0</v>
      </c>
      <c r="I761" s="16">
        <f t="shared" si="217"/>
        <v>0</v>
      </c>
      <c r="J761" s="16">
        <f t="shared" si="206"/>
        <v>0</v>
      </c>
      <c r="K761" s="16">
        <f t="shared" si="213"/>
        <v>0</v>
      </c>
      <c r="L761" s="67">
        <f t="shared" si="214"/>
        <v>0</v>
      </c>
      <c r="M761" s="4">
        <f t="shared" si="207"/>
        <v>0</v>
      </c>
      <c r="N761" s="4">
        <f t="shared" si="208"/>
        <v>0</v>
      </c>
      <c r="O761" s="4">
        <f t="shared" si="215"/>
        <v>0</v>
      </c>
      <c r="P761" s="4" t="e">
        <f>VLOOKUP(AJ753,'CIR Team Info'!$C$5:$E$44,2,FALSE)</f>
        <v>#N/A</v>
      </c>
      <c r="Q761" s="4" t="e">
        <f>VLOOKUP(AJ753,'CIR Team Info'!$C$5:$E$44,3,FALSE)</f>
        <v>#N/A</v>
      </c>
      <c r="R761" s="10" t="e">
        <f>VLOOKUP(AJ753,'FRC Site Data'!$B$3:$L$42,2,FALSE)</f>
        <v>#N/A</v>
      </c>
      <c r="S761" s="10" t="e">
        <f>VLOOKUP(AJ753,'FRC Site Data'!$B$3:$L$42,3,FALSE)</f>
        <v>#N/A</v>
      </c>
      <c r="T761" s="10" t="e">
        <f>VLOOKUP(AJ753,'FRC Site Data'!$B$3:$L$42,4,FALSE)</f>
        <v>#N/A</v>
      </c>
      <c r="U761" s="10" t="e">
        <f>VLOOKUP(AJ753,'FRC Site Data'!$B$3:$L$42,5,FALSE)</f>
        <v>#N/A</v>
      </c>
      <c r="V761" s="10" t="e">
        <f>VLOOKUP(AJ753,'FRC Site Data'!$B$3:$L$42,6,FALSE)</f>
        <v>#N/A</v>
      </c>
      <c r="W761" s="10" t="e">
        <f>VLOOKUP(AJ753,'FRC Site Data'!$B$3:$L$42,8,FALSE)</f>
        <v>#N/A</v>
      </c>
      <c r="X761" s="10" t="e">
        <f>VLOOKUP(AJ753,'FRC Site Data'!$B$3:$L$42,9,FALSE)</f>
        <v>#N/A</v>
      </c>
      <c r="Y761" s="10" t="e">
        <f>VLOOKUP(AJ753,'FRC Site Data'!$B$3:$L$42,10,FALSE)</f>
        <v>#N/A</v>
      </c>
      <c r="Z761" s="10" t="e">
        <f>VLOOKUP(AJ753,'FRC Site Data'!$B$3:$L$42,11,FALSE)</f>
        <v>#N/A</v>
      </c>
      <c r="AA761" s="10" t="e">
        <f>VLOOKUP(AJ753,'CIR Team Info'!$C$5:$E$44,4,FALSE)</f>
        <v>#N/A</v>
      </c>
      <c r="AB761" s="161" t="b">
        <f>ISNUMBER(VLOOKUP(AJ753,Match!$T$5:$T$10,1,FALSE))</f>
        <v>0</v>
      </c>
      <c r="AC761" s="161" t="b">
        <f>IF(AB761=TRUE,(VLOOKUP($AJ753,Match!$T$5:$U$10,2,FALSE)))</f>
        <v>0</v>
      </c>
      <c r="AD761" s="8">
        <v>3</v>
      </c>
      <c r="AE761" s="8">
        <v>2</v>
      </c>
      <c r="AF761" s="8">
        <v>2</v>
      </c>
      <c r="AG761" s="8">
        <v>1</v>
      </c>
      <c r="AH761" s="8" t="str">
        <f t="shared" si="218"/>
        <v/>
      </c>
    </row>
    <row r="762" spans="1:34" x14ac:dyDescent="0.25">
      <c r="A762" s="29">
        <f t="shared" si="209"/>
        <v>0</v>
      </c>
      <c r="B762" s="29">
        <f t="shared" si="203"/>
        <v>0</v>
      </c>
      <c r="C762" s="29">
        <f t="shared" si="204"/>
        <v>0</v>
      </c>
      <c r="D762" s="29">
        <f t="shared" si="205"/>
        <v>0</v>
      </c>
      <c r="E762" s="29">
        <f t="shared" si="210"/>
        <v>0</v>
      </c>
      <c r="F762" s="29">
        <f t="shared" si="211"/>
        <v>0</v>
      </c>
      <c r="G762" s="29" t="str">
        <f t="shared" si="212"/>
        <v>offensive</v>
      </c>
      <c r="H762" s="16">
        <f t="shared" si="216"/>
        <v>0</v>
      </c>
      <c r="I762" s="16">
        <f t="shared" si="217"/>
        <v>0</v>
      </c>
      <c r="J762" s="16">
        <f t="shared" si="206"/>
        <v>0</v>
      </c>
      <c r="K762" s="16">
        <f t="shared" si="213"/>
        <v>0</v>
      </c>
      <c r="L762" s="67">
        <f t="shared" si="214"/>
        <v>0</v>
      </c>
      <c r="M762" s="4">
        <f t="shared" si="207"/>
        <v>0</v>
      </c>
      <c r="N762" s="4">
        <f t="shared" si="208"/>
        <v>0</v>
      </c>
      <c r="O762" s="4">
        <f t="shared" si="215"/>
        <v>0</v>
      </c>
      <c r="P762" s="4" t="e">
        <f>VLOOKUP(AJ754,'CIR Team Info'!$C$5:$E$44,2,FALSE)</f>
        <v>#N/A</v>
      </c>
      <c r="Q762" s="4" t="e">
        <f>VLOOKUP(AJ754,'CIR Team Info'!$C$5:$E$44,3,FALSE)</f>
        <v>#N/A</v>
      </c>
      <c r="R762" s="10" t="e">
        <f>VLOOKUP(AJ754,'FRC Site Data'!$B$3:$L$42,2,FALSE)</f>
        <v>#N/A</v>
      </c>
      <c r="S762" s="10" t="e">
        <f>VLOOKUP(AJ754,'FRC Site Data'!$B$3:$L$42,3,FALSE)</f>
        <v>#N/A</v>
      </c>
      <c r="T762" s="10" t="e">
        <f>VLOOKUP(AJ754,'FRC Site Data'!$B$3:$L$42,4,FALSE)</f>
        <v>#N/A</v>
      </c>
      <c r="U762" s="10" t="e">
        <f>VLOOKUP(AJ754,'FRC Site Data'!$B$3:$L$42,5,FALSE)</f>
        <v>#N/A</v>
      </c>
      <c r="V762" s="10" t="e">
        <f>VLOOKUP(AJ754,'FRC Site Data'!$B$3:$L$42,6,FALSE)</f>
        <v>#N/A</v>
      </c>
      <c r="W762" s="10" t="e">
        <f>VLOOKUP(AJ754,'FRC Site Data'!$B$3:$L$42,8,FALSE)</f>
        <v>#N/A</v>
      </c>
      <c r="X762" s="10" t="e">
        <f>VLOOKUP(AJ754,'FRC Site Data'!$B$3:$L$42,9,FALSE)</f>
        <v>#N/A</v>
      </c>
      <c r="Y762" s="10" t="e">
        <f>VLOOKUP(AJ754,'FRC Site Data'!$B$3:$L$42,10,FALSE)</f>
        <v>#N/A</v>
      </c>
      <c r="Z762" s="10" t="e">
        <f>VLOOKUP(AJ754,'FRC Site Data'!$B$3:$L$42,11,FALSE)</f>
        <v>#N/A</v>
      </c>
      <c r="AA762" s="10" t="e">
        <f>VLOOKUP(AJ754,'CIR Team Info'!$C$5:$E$44,4,FALSE)</f>
        <v>#N/A</v>
      </c>
      <c r="AB762" s="161" t="b">
        <f>ISNUMBER(VLOOKUP(AJ754,Match!$T$5:$T$10,1,FALSE))</f>
        <v>0</v>
      </c>
      <c r="AC762" s="161" t="b">
        <f>IF(AB762=TRUE,(VLOOKUP($AJ754,Match!$T$5:$U$10,2,FALSE)))</f>
        <v>0</v>
      </c>
      <c r="AD762" s="8">
        <v>3</v>
      </c>
      <c r="AE762" s="8">
        <v>2</v>
      </c>
      <c r="AF762" s="8">
        <v>2</v>
      </c>
      <c r="AG762" s="8">
        <v>1</v>
      </c>
      <c r="AH762" s="8" t="str">
        <f t="shared" si="218"/>
        <v/>
      </c>
    </row>
    <row r="763" spans="1:34" x14ac:dyDescent="0.25">
      <c r="A763" s="29">
        <f t="shared" si="209"/>
        <v>0</v>
      </c>
      <c r="B763" s="29">
        <f t="shared" si="203"/>
        <v>0</v>
      </c>
      <c r="C763" s="29">
        <f t="shared" si="204"/>
        <v>0</v>
      </c>
      <c r="D763" s="29">
        <f t="shared" si="205"/>
        <v>0</v>
      </c>
      <c r="E763" s="29">
        <f t="shared" si="210"/>
        <v>0</v>
      </c>
      <c r="F763" s="29">
        <f t="shared" si="211"/>
        <v>0</v>
      </c>
      <c r="G763" s="29" t="str">
        <f t="shared" si="212"/>
        <v>offensive</v>
      </c>
      <c r="H763" s="16">
        <f t="shared" si="216"/>
        <v>0</v>
      </c>
      <c r="I763" s="16">
        <f t="shared" si="217"/>
        <v>0</v>
      </c>
      <c r="J763" s="16">
        <f t="shared" si="206"/>
        <v>0</v>
      </c>
      <c r="K763" s="16">
        <f t="shared" si="213"/>
        <v>0</v>
      </c>
      <c r="L763" s="67">
        <f t="shared" si="214"/>
        <v>0</v>
      </c>
      <c r="M763" s="4">
        <f t="shared" si="207"/>
        <v>0</v>
      </c>
      <c r="N763" s="4">
        <f t="shared" si="208"/>
        <v>0</v>
      </c>
      <c r="O763" s="4">
        <f t="shared" si="215"/>
        <v>0</v>
      </c>
      <c r="P763" s="4" t="e">
        <f>VLOOKUP(AJ755,'CIR Team Info'!$C$5:$E$44,2,FALSE)</f>
        <v>#N/A</v>
      </c>
      <c r="Q763" s="4" t="e">
        <f>VLOOKUP(AJ755,'CIR Team Info'!$C$5:$E$44,3,FALSE)</f>
        <v>#N/A</v>
      </c>
      <c r="R763" s="10" t="e">
        <f>VLOOKUP(AJ755,'FRC Site Data'!$B$3:$L$42,2,FALSE)</f>
        <v>#N/A</v>
      </c>
      <c r="S763" s="10" t="e">
        <f>VLOOKUP(AJ755,'FRC Site Data'!$B$3:$L$42,3,FALSE)</f>
        <v>#N/A</v>
      </c>
      <c r="T763" s="10" t="e">
        <f>VLOOKUP(AJ755,'FRC Site Data'!$B$3:$L$42,4,FALSE)</f>
        <v>#N/A</v>
      </c>
      <c r="U763" s="10" t="e">
        <f>VLOOKUP(AJ755,'FRC Site Data'!$B$3:$L$42,5,FALSE)</f>
        <v>#N/A</v>
      </c>
      <c r="V763" s="10" t="e">
        <f>VLOOKUP(AJ755,'FRC Site Data'!$B$3:$L$42,6,FALSE)</f>
        <v>#N/A</v>
      </c>
      <c r="W763" s="10" t="e">
        <f>VLOOKUP(AJ755,'FRC Site Data'!$B$3:$L$42,8,FALSE)</f>
        <v>#N/A</v>
      </c>
      <c r="X763" s="10" t="e">
        <f>VLOOKUP(AJ755,'FRC Site Data'!$B$3:$L$42,9,FALSE)</f>
        <v>#N/A</v>
      </c>
      <c r="Y763" s="10" t="e">
        <f>VLOOKUP(AJ755,'FRC Site Data'!$B$3:$L$42,10,FALSE)</f>
        <v>#N/A</v>
      </c>
      <c r="Z763" s="10" t="e">
        <f>VLOOKUP(AJ755,'FRC Site Data'!$B$3:$L$42,11,FALSE)</f>
        <v>#N/A</v>
      </c>
      <c r="AA763" s="10" t="e">
        <f>VLOOKUP(AJ755,'CIR Team Info'!$C$5:$E$44,4,FALSE)</f>
        <v>#N/A</v>
      </c>
      <c r="AB763" s="161" t="b">
        <f>ISNUMBER(VLOOKUP(AJ755,Match!$T$5:$T$10,1,FALSE))</f>
        <v>0</v>
      </c>
      <c r="AC763" s="161" t="b">
        <f>IF(AB763=TRUE,(VLOOKUP($AJ755,Match!$T$5:$U$10,2,FALSE)))</f>
        <v>0</v>
      </c>
      <c r="AD763" s="8">
        <v>3</v>
      </c>
      <c r="AE763" s="8">
        <v>2</v>
      </c>
      <c r="AF763" s="8">
        <v>2</v>
      </c>
      <c r="AG763" s="8">
        <v>1</v>
      </c>
      <c r="AH763" s="8" t="str">
        <f t="shared" si="218"/>
        <v/>
      </c>
    </row>
    <row r="764" spans="1:34" x14ac:dyDescent="0.25">
      <c r="A764" s="29">
        <f t="shared" si="209"/>
        <v>0</v>
      </c>
      <c r="B764" s="29">
        <f t="shared" si="203"/>
        <v>0</v>
      </c>
      <c r="C764" s="29">
        <f t="shared" si="204"/>
        <v>0</v>
      </c>
      <c r="D764" s="29">
        <f t="shared" si="205"/>
        <v>0</v>
      </c>
      <c r="E764" s="29">
        <f t="shared" si="210"/>
        <v>0</v>
      </c>
      <c r="F764" s="29">
        <f t="shared" si="211"/>
        <v>0</v>
      </c>
      <c r="G764" s="29" t="str">
        <f t="shared" si="212"/>
        <v>offensive</v>
      </c>
      <c r="H764" s="16">
        <f t="shared" si="216"/>
        <v>0</v>
      </c>
      <c r="I764" s="16">
        <f t="shared" si="217"/>
        <v>0</v>
      </c>
      <c r="J764" s="16">
        <f t="shared" si="206"/>
        <v>0</v>
      </c>
      <c r="K764" s="16">
        <f t="shared" si="213"/>
        <v>0</v>
      </c>
      <c r="L764" s="67">
        <f t="shared" si="214"/>
        <v>0</v>
      </c>
      <c r="M764" s="4">
        <f t="shared" si="207"/>
        <v>0</v>
      </c>
      <c r="N764" s="4">
        <f t="shared" si="208"/>
        <v>0</v>
      </c>
      <c r="O764" s="4">
        <f t="shared" si="215"/>
        <v>0</v>
      </c>
      <c r="P764" s="4" t="e">
        <f>VLOOKUP(AJ756,'CIR Team Info'!$C$5:$E$44,2,FALSE)</f>
        <v>#N/A</v>
      </c>
      <c r="Q764" s="4" t="e">
        <f>VLOOKUP(AJ756,'CIR Team Info'!$C$5:$E$44,3,FALSE)</f>
        <v>#N/A</v>
      </c>
      <c r="R764" s="10" t="e">
        <f>VLOOKUP(AJ756,'FRC Site Data'!$B$3:$L$42,2,FALSE)</f>
        <v>#N/A</v>
      </c>
      <c r="S764" s="10" t="e">
        <f>VLOOKUP(AJ756,'FRC Site Data'!$B$3:$L$42,3,FALSE)</f>
        <v>#N/A</v>
      </c>
      <c r="T764" s="10" t="e">
        <f>VLOOKUP(AJ756,'FRC Site Data'!$B$3:$L$42,4,FALSE)</f>
        <v>#N/A</v>
      </c>
      <c r="U764" s="10" t="e">
        <f>VLOOKUP(AJ756,'FRC Site Data'!$B$3:$L$42,5,FALSE)</f>
        <v>#N/A</v>
      </c>
      <c r="V764" s="10" t="e">
        <f>VLOOKUP(AJ756,'FRC Site Data'!$B$3:$L$42,6,FALSE)</f>
        <v>#N/A</v>
      </c>
      <c r="W764" s="10" t="e">
        <f>VLOOKUP(AJ756,'FRC Site Data'!$B$3:$L$42,8,FALSE)</f>
        <v>#N/A</v>
      </c>
      <c r="X764" s="10" t="e">
        <f>VLOOKUP(AJ756,'FRC Site Data'!$B$3:$L$42,9,FALSE)</f>
        <v>#N/A</v>
      </c>
      <c r="Y764" s="10" t="e">
        <f>VLOOKUP(AJ756,'FRC Site Data'!$B$3:$L$42,10,FALSE)</f>
        <v>#N/A</v>
      </c>
      <c r="Z764" s="10" t="e">
        <f>VLOOKUP(AJ756,'FRC Site Data'!$B$3:$L$42,11,FALSE)</f>
        <v>#N/A</v>
      </c>
      <c r="AA764" s="10" t="e">
        <f>VLOOKUP(AJ756,'CIR Team Info'!$C$5:$E$44,4,FALSE)</f>
        <v>#N/A</v>
      </c>
      <c r="AB764" s="161" t="b">
        <f>ISNUMBER(VLOOKUP(AJ756,Match!$T$5:$T$10,1,FALSE))</f>
        <v>0</v>
      </c>
      <c r="AC764" s="161" t="b">
        <f>IF(AB764=TRUE,(VLOOKUP($AJ756,Match!$T$5:$U$10,2,FALSE)))</f>
        <v>0</v>
      </c>
      <c r="AD764" s="8">
        <v>3</v>
      </c>
      <c r="AE764" s="8">
        <v>2</v>
      </c>
      <c r="AF764" s="8">
        <v>2</v>
      </c>
      <c r="AG764" s="8">
        <v>1</v>
      </c>
      <c r="AH764" s="8" t="str">
        <f t="shared" si="218"/>
        <v/>
      </c>
    </row>
    <row r="765" spans="1:34" x14ac:dyDescent="0.25">
      <c r="A765" s="29">
        <f t="shared" si="209"/>
        <v>0</v>
      </c>
      <c r="B765" s="29">
        <f t="shared" si="203"/>
        <v>0</v>
      </c>
      <c r="C765" s="29">
        <f t="shared" si="204"/>
        <v>0</v>
      </c>
      <c r="D765" s="29">
        <f t="shared" si="205"/>
        <v>0</v>
      </c>
      <c r="E765" s="29">
        <f t="shared" si="210"/>
        <v>0</v>
      </c>
      <c r="F765" s="29">
        <f t="shared" si="211"/>
        <v>0</v>
      </c>
      <c r="G765" s="29" t="str">
        <f t="shared" si="212"/>
        <v>offensive</v>
      </c>
      <c r="H765" s="16">
        <f t="shared" si="216"/>
        <v>0</v>
      </c>
      <c r="I765" s="16">
        <f t="shared" si="217"/>
        <v>0</v>
      </c>
      <c r="J765" s="16">
        <f t="shared" si="206"/>
        <v>0</v>
      </c>
      <c r="K765" s="16">
        <f t="shared" si="213"/>
        <v>0</v>
      </c>
      <c r="L765" s="67">
        <f t="shared" si="214"/>
        <v>0</v>
      </c>
      <c r="M765" s="4">
        <f t="shared" si="207"/>
        <v>0</v>
      </c>
      <c r="N765" s="4">
        <f t="shared" si="208"/>
        <v>0</v>
      </c>
      <c r="O765" s="4">
        <f t="shared" si="215"/>
        <v>0</v>
      </c>
      <c r="P765" s="4" t="e">
        <f>VLOOKUP(AJ757,'CIR Team Info'!$C$5:$E$44,2,FALSE)</f>
        <v>#N/A</v>
      </c>
      <c r="Q765" s="4" t="e">
        <f>VLOOKUP(AJ757,'CIR Team Info'!$C$5:$E$44,3,FALSE)</f>
        <v>#N/A</v>
      </c>
      <c r="R765" s="10" t="e">
        <f>VLOOKUP(AJ757,'FRC Site Data'!$B$3:$L$42,2,FALSE)</f>
        <v>#N/A</v>
      </c>
      <c r="S765" s="10" t="e">
        <f>VLOOKUP(AJ757,'FRC Site Data'!$B$3:$L$42,3,FALSE)</f>
        <v>#N/A</v>
      </c>
      <c r="T765" s="10" t="e">
        <f>VLOOKUP(AJ757,'FRC Site Data'!$B$3:$L$42,4,FALSE)</f>
        <v>#N/A</v>
      </c>
      <c r="U765" s="10" t="e">
        <f>VLOOKUP(AJ757,'FRC Site Data'!$B$3:$L$42,5,FALSE)</f>
        <v>#N/A</v>
      </c>
      <c r="V765" s="10" t="e">
        <f>VLOOKUP(AJ757,'FRC Site Data'!$B$3:$L$42,6,FALSE)</f>
        <v>#N/A</v>
      </c>
      <c r="W765" s="10" t="e">
        <f>VLOOKUP(AJ757,'FRC Site Data'!$B$3:$L$42,8,FALSE)</f>
        <v>#N/A</v>
      </c>
      <c r="X765" s="10" t="e">
        <f>VLOOKUP(AJ757,'FRC Site Data'!$B$3:$L$42,9,FALSE)</f>
        <v>#N/A</v>
      </c>
      <c r="Y765" s="10" t="e">
        <f>VLOOKUP(AJ757,'FRC Site Data'!$B$3:$L$42,10,FALSE)</f>
        <v>#N/A</v>
      </c>
      <c r="Z765" s="10" t="e">
        <f>VLOOKUP(AJ757,'FRC Site Data'!$B$3:$L$42,11,FALSE)</f>
        <v>#N/A</v>
      </c>
      <c r="AA765" s="10" t="e">
        <f>VLOOKUP(AJ757,'CIR Team Info'!$C$5:$E$44,4,FALSE)</f>
        <v>#N/A</v>
      </c>
      <c r="AB765" s="161" t="b">
        <f>ISNUMBER(VLOOKUP(AJ757,Match!$T$5:$T$10,1,FALSE))</f>
        <v>0</v>
      </c>
      <c r="AC765" s="161" t="b">
        <f>IF(AB765=TRUE,(VLOOKUP($AJ757,Match!$T$5:$U$10,2,FALSE)))</f>
        <v>0</v>
      </c>
      <c r="AD765" s="8">
        <v>3</v>
      </c>
      <c r="AE765" s="8">
        <v>2</v>
      </c>
      <c r="AF765" s="8">
        <v>2</v>
      </c>
      <c r="AG765" s="8">
        <v>1</v>
      </c>
      <c r="AH765" s="8" t="str">
        <f t="shared" si="218"/>
        <v/>
      </c>
    </row>
    <row r="766" spans="1:34" x14ac:dyDescent="0.25">
      <c r="A766" s="29">
        <f t="shared" si="209"/>
        <v>0</v>
      </c>
      <c r="B766" s="29">
        <f t="shared" si="203"/>
        <v>0</v>
      </c>
      <c r="C766" s="29">
        <f t="shared" si="204"/>
        <v>0</v>
      </c>
      <c r="D766" s="29">
        <f t="shared" si="205"/>
        <v>0</v>
      </c>
      <c r="E766" s="29">
        <f t="shared" si="210"/>
        <v>0</v>
      </c>
      <c r="F766" s="29">
        <f t="shared" si="211"/>
        <v>0</v>
      </c>
      <c r="G766" s="29" t="str">
        <f t="shared" si="212"/>
        <v>offensive</v>
      </c>
      <c r="H766" s="16">
        <f t="shared" si="216"/>
        <v>0</v>
      </c>
      <c r="I766" s="16">
        <f t="shared" si="217"/>
        <v>0</v>
      </c>
      <c r="J766" s="16">
        <f t="shared" si="206"/>
        <v>0</v>
      </c>
      <c r="K766" s="16">
        <f t="shared" si="213"/>
        <v>0</v>
      </c>
      <c r="L766" s="67">
        <f t="shared" si="214"/>
        <v>0</v>
      </c>
      <c r="M766" s="4">
        <f t="shared" si="207"/>
        <v>0</v>
      </c>
      <c r="N766" s="4">
        <f t="shared" si="208"/>
        <v>0</v>
      </c>
      <c r="O766" s="4">
        <f t="shared" si="215"/>
        <v>0</v>
      </c>
      <c r="P766" s="4" t="e">
        <f>VLOOKUP(AJ758,'CIR Team Info'!$C$5:$E$44,2,FALSE)</f>
        <v>#N/A</v>
      </c>
      <c r="Q766" s="4" t="e">
        <f>VLOOKUP(AJ758,'CIR Team Info'!$C$5:$E$44,3,FALSE)</f>
        <v>#N/A</v>
      </c>
      <c r="R766" s="10" t="e">
        <f>VLOOKUP(AJ758,'FRC Site Data'!$B$3:$L$42,2,FALSE)</f>
        <v>#N/A</v>
      </c>
      <c r="S766" s="10" t="e">
        <f>VLOOKUP(AJ758,'FRC Site Data'!$B$3:$L$42,3,FALSE)</f>
        <v>#N/A</v>
      </c>
      <c r="T766" s="10" t="e">
        <f>VLOOKUP(AJ758,'FRC Site Data'!$B$3:$L$42,4,FALSE)</f>
        <v>#N/A</v>
      </c>
      <c r="U766" s="10" t="e">
        <f>VLOOKUP(AJ758,'FRC Site Data'!$B$3:$L$42,5,FALSE)</f>
        <v>#N/A</v>
      </c>
      <c r="V766" s="10" t="e">
        <f>VLOOKUP(AJ758,'FRC Site Data'!$B$3:$L$42,6,FALSE)</f>
        <v>#N/A</v>
      </c>
      <c r="W766" s="10" t="e">
        <f>VLOOKUP(AJ758,'FRC Site Data'!$B$3:$L$42,8,FALSE)</f>
        <v>#N/A</v>
      </c>
      <c r="X766" s="10" t="e">
        <f>VLOOKUP(AJ758,'FRC Site Data'!$B$3:$L$42,9,FALSE)</f>
        <v>#N/A</v>
      </c>
      <c r="Y766" s="10" t="e">
        <f>VLOOKUP(AJ758,'FRC Site Data'!$B$3:$L$42,10,FALSE)</f>
        <v>#N/A</v>
      </c>
      <c r="Z766" s="10" t="e">
        <f>VLOOKUP(AJ758,'FRC Site Data'!$B$3:$L$42,11,FALSE)</f>
        <v>#N/A</v>
      </c>
      <c r="AA766" s="10" t="e">
        <f>VLOOKUP(AJ758,'CIR Team Info'!$C$5:$E$44,4,FALSE)</f>
        <v>#N/A</v>
      </c>
      <c r="AB766" s="161" t="b">
        <f>ISNUMBER(VLOOKUP(AJ758,Match!$T$5:$T$10,1,FALSE))</f>
        <v>0</v>
      </c>
      <c r="AC766" s="161" t="b">
        <f>IF(AB766=TRUE,(VLOOKUP($AJ758,Match!$T$5:$U$10,2,FALSE)))</f>
        <v>0</v>
      </c>
      <c r="AD766" s="8">
        <v>3</v>
      </c>
      <c r="AE766" s="8">
        <v>2</v>
      </c>
      <c r="AF766" s="8">
        <v>2</v>
      </c>
      <c r="AG766" s="8">
        <v>1</v>
      </c>
      <c r="AH766" s="8" t="str">
        <f t="shared" si="218"/>
        <v/>
      </c>
    </row>
    <row r="767" spans="1:34" x14ac:dyDescent="0.25">
      <c r="A767" s="29">
        <f t="shared" si="209"/>
        <v>0</v>
      </c>
      <c r="B767" s="29">
        <f t="shared" si="203"/>
        <v>0</v>
      </c>
      <c r="C767" s="29">
        <f t="shared" si="204"/>
        <v>0</v>
      </c>
      <c r="D767" s="29">
        <f t="shared" si="205"/>
        <v>0</v>
      </c>
      <c r="E767" s="29">
        <f t="shared" si="210"/>
        <v>0</v>
      </c>
      <c r="F767" s="29">
        <f t="shared" si="211"/>
        <v>0</v>
      </c>
      <c r="G767" s="29" t="str">
        <f t="shared" si="212"/>
        <v>offensive</v>
      </c>
      <c r="H767" s="16">
        <f t="shared" si="216"/>
        <v>0</v>
      </c>
      <c r="I767" s="16">
        <f t="shared" si="217"/>
        <v>0</v>
      </c>
      <c r="J767" s="16">
        <f t="shared" si="206"/>
        <v>0</v>
      </c>
      <c r="K767" s="16">
        <f t="shared" si="213"/>
        <v>0</v>
      </c>
      <c r="L767" s="67">
        <f t="shared" si="214"/>
        <v>0</v>
      </c>
      <c r="M767" s="4">
        <f t="shared" si="207"/>
        <v>0</v>
      </c>
      <c r="N767" s="4">
        <f t="shared" si="208"/>
        <v>0</v>
      </c>
      <c r="O767" s="4">
        <f t="shared" si="215"/>
        <v>0</v>
      </c>
      <c r="P767" s="4" t="e">
        <f>VLOOKUP(AJ759,'CIR Team Info'!$C$5:$E$44,2,FALSE)</f>
        <v>#N/A</v>
      </c>
      <c r="Q767" s="4" t="e">
        <f>VLOOKUP(AJ759,'CIR Team Info'!$C$5:$E$44,3,FALSE)</f>
        <v>#N/A</v>
      </c>
      <c r="R767" s="10" t="e">
        <f>VLOOKUP(AJ759,'FRC Site Data'!$B$3:$L$42,2,FALSE)</f>
        <v>#N/A</v>
      </c>
      <c r="S767" s="10" t="e">
        <f>VLOOKUP(AJ759,'FRC Site Data'!$B$3:$L$42,3,FALSE)</f>
        <v>#N/A</v>
      </c>
      <c r="T767" s="10" t="e">
        <f>VLOOKUP(AJ759,'FRC Site Data'!$B$3:$L$42,4,FALSE)</f>
        <v>#N/A</v>
      </c>
      <c r="U767" s="10" t="e">
        <f>VLOOKUP(AJ759,'FRC Site Data'!$B$3:$L$42,5,FALSE)</f>
        <v>#N/A</v>
      </c>
      <c r="V767" s="10" t="e">
        <f>VLOOKUP(AJ759,'FRC Site Data'!$B$3:$L$42,6,FALSE)</f>
        <v>#N/A</v>
      </c>
      <c r="W767" s="10" t="e">
        <f>VLOOKUP(AJ759,'FRC Site Data'!$B$3:$L$42,8,FALSE)</f>
        <v>#N/A</v>
      </c>
      <c r="X767" s="10" t="e">
        <f>VLOOKUP(AJ759,'FRC Site Data'!$B$3:$L$42,9,FALSE)</f>
        <v>#N/A</v>
      </c>
      <c r="Y767" s="10" t="e">
        <f>VLOOKUP(AJ759,'FRC Site Data'!$B$3:$L$42,10,FALSE)</f>
        <v>#N/A</v>
      </c>
      <c r="Z767" s="10" t="e">
        <f>VLOOKUP(AJ759,'FRC Site Data'!$B$3:$L$42,11,FALSE)</f>
        <v>#N/A</v>
      </c>
      <c r="AA767" s="10" t="e">
        <f>VLOOKUP(AJ759,'CIR Team Info'!$C$5:$E$44,4,FALSE)</f>
        <v>#N/A</v>
      </c>
      <c r="AB767" s="161" t="b">
        <f>ISNUMBER(VLOOKUP(AJ759,Match!$T$5:$T$10,1,FALSE))</f>
        <v>0</v>
      </c>
      <c r="AC767" s="161" t="b">
        <f>IF(AB767=TRUE,(VLOOKUP($AJ759,Match!$T$5:$U$10,2,FALSE)))</f>
        <v>0</v>
      </c>
      <c r="AD767" s="8">
        <v>3</v>
      </c>
      <c r="AE767" s="8">
        <v>2</v>
      </c>
      <c r="AF767" s="8">
        <v>2</v>
      </c>
      <c r="AG767" s="8">
        <v>1</v>
      </c>
      <c r="AH767" s="8" t="str">
        <f t="shared" si="218"/>
        <v/>
      </c>
    </row>
    <row r="768" spans="1:34" x14ac:dyDescent="0.25">
      <c r="A768" s="29">
        <f t="shared" si="209"/>
        <v>0</v>
      </c>
      <c r="B768" s="29">
        <f t="shared" si="203"/>
        <v>0</v>
      </c>
      <c r="C768" s="29">
        <f t="shared" si="204"/>
        <v>0</v>
      </c>
      <c r="D768" s="29">
        <f t="shared" si="205"/>
        <v>0</v>
      </c>
      <c r="E768" s="29">
        <f t="shared" si="210"/>
        <v>0</v>
      </c>
      <c r="F768" s="29">
        <f t="shared" si="211"/>
        <v>0</v>
      </c>
      <c r="G768" s="29" t="str">
        <f t="shared" si="212"/>
        <v>offensive</v>
      </c>
      <c r="H768" s="16">
        <f t="shared" si="216"/>
        <v>0</v>
      </c>
      <c r="I768" s="16">
        <f t="shared" si="217"/>
        <v>0</v>
      </c>
      <c r="J768" s="16">
        <f t="shared" si="206"/>
        <v>0</v>
      </c>
      <c r="K768" s="16">
        <f t="shared" si="213"/>
        <v>0</v>
      </c>
      <c r="L768" s="67">
        <f t="shared" si="214"/>
        <v>0</v>
      </c>
      <c r="M768" s="4">
        <f t="shared" si="207"/>
        <v>0</v>
      </c>
      <c r="N768" s="4">
        <f t="shared" si="208"/>
        <v>0</v>
      </c>
      <c r="O768" s="4">
        <f t="shared" si="215"/>
        <v>0</v>
      </c>
      <c r="P768" s="4" t="e">
        <f>VLOOKUP(AJ760,'CIR Team Info'!$C$5:$E$44,2,FALSE)</f>
        <v>#N/A</v>
      </c>
      <c r="Q768" s="4" t="e">
        <f>VLOOKUP(AJ760,'CIR Team Info'!$C$5:$E$44,3,FALSE)</f>
        <v>#N/A</v>
      </c>
      <c r="R768" s="10" t="e">
        <f>VLOOKUP(AJ760,'FRC Site Data'!$B$3:$L$42,2,FALSE)</f>
        <v>#N/A</v>
      </c>
      <c r="S768" s="10" t="e">
        <f>VLOOKUP(AJ760,'FRC Site Data'!$B$3:$L$42,3,FALSE)</f>
        <v>#N/A</v>
      </c>
      <c r="T768" s="10" t="e">
        <f>VLOOKUP(AJ760,'FRC Site Data'!$B$3:$L$42,4,FALSE)</f>
        <v>#N/A</v>
      </c>
      <c r="U768" s="10" t="e">
        <f>VLOOKUP(AJ760,'FRC Site Data'!$B$3:$L$42,5,FALSE)</f>
        <v>#N/A</v>
      </c>
      <c r="V768" s="10" t="e">
        <f>VLOOKUP(AJ760,'FRC Site Data'!$B$3:$L$42,6,FALSE)</f>
        <v>#N/A</v>
      </c>
      <c r="W768" s="10" t="e">
        <f>VLOOKUP(AJ760,'FRC Site Data'!$B$3:$L$42,8,FALSE)</f>
        <v>#N/A</v>
      </c>
      <c r="X768" s="10" t="e">
        <f>VLOOKUP(AJ760,'FRC Site Data'!$B$3:$L$42,9,FALSE)</f>
        <v>#N/A</v>
      </c>
      <c r="Y768" s="10" t="e">
        <f>VLOOKUP(AJ760,'FRC Site Data'!$B$3:$L$42,10,FALSE)</f>
        <v>#N/A</v>
      </c>
      <c r="Z768" s="10" t="e">
        <f>VLOOKUP(AJ760,'FRC Site Data'!$B$3:$L$42,11,FALSE)</f>
        <v>#N/A</v>
      </c>
      <c r="AA768" s="10" t="e">
        <f>VLOOKUP(AJ760,'CIR Team Info'!$C$5:$E$44,4,FALSE)</f>
        <v>#N/A</v>
      </c>
      <c r="AB768" s="161" t="b">
        <f>ISNUMBER(VLOOKUP(AJ760,Match!$T$5:$T$10,1,FALSE))</f>
        <v>0</v>
      </c>
      <c r="AC768" s="161" t="b">
        <f>IF(AB768=TRUE,(VLOOKUP($AJ760,Match!$T$5:$U$10,2,FALSE)))</f>
        <v>0</v>
      </c>
      <c r="AD768" s="8">
        <v>3</v>
      </c>
      <c r="AE768" s="8">
        <v>2</v>
      </c>
      <c r="AF768" s="8">
        <v>2</v>
      </c>
      <c r="AG768" s="8">
        <v>1</v>
      </c>
      <c r="AH768" s="8" t="str">
        <f t="shared" si="218"/>
        <v/>
      </c>
    </row>
    <row r="769" spans="1:34" x14ac:dyDescent="0.25">
      <c r="A769" s="29">
        <f t="shared" si="209"/>
        <v>0</v>
      </c>
      <c r="B769" s="29">
        <f t="shared" si="203"/>
        <v>0</v>
      </c>
      <c r="C769" s="29">
        <f t="shared" si="204"/>
        <v>0</v>
      </c>
      <c r="D769" s="29">
        <f t="shared" si="205"/>
        <v>0</v>
      </c>
      <c r="E769" s="29">
        <f t="shared" si="210"/>
        <v>0</v>
      </c>
      <c r="F769" s="29">
        <f t="shared" si="211"/>
        <v>0</v>
      </c>
      <c r="G769" s="29" t="str">
        <f t="shared" si="212"/>
        <v>offensive</v>
      </c>
      <c r="H769" s="16">
        <f t="shared" si="216"/>
        <v>0</v>
      </c>
      <c r="I769" s="16">
        <f t="shared" si="217"/>
        <v>0</v>
      </c>
      <c r="J769" s="16">
        <f t="shared" si="206"/>
        <v>0</v>
      </c>
      <c r="K769" s="16">
        <f t="shared" si="213"/>
        <v>0</v>
      </c>
      <c r="L769" s="67">
        <f t="shared" si="214"/>
        <v>0</v>
      </c>
      <c r="M769" s="4">
        <f t="shared" si="207"/>
        <v>0</v>
      </c>
      <c r="N769" s="4">
        <f t="shared" si="208"/>
        <v>0</v>
      </c>
      <c r="O769" s="4">
        <f t="shared" si="215"/>
        <v>0</v>
      </c>
      <c r="P769" s="4" t="e">
        <f>VLOOKUP(AJ761,'CIR Team Info'!$C$5:$E$44,2,FALSE)</f>
        <v>#N/A</v>
      </c>
      <c r="Q769" s="4" t="e">
        <f>VLOOKUP(AJ761,'CIR Team Info'!$C$5:$E$44,3,FALSE)</f>
        <v>#N/A</v>
      </c>
      <c r="R769" s="10" t="e">
        <f>VLOOKUP(AJ761,'FRC Site Data'!$B$3:$L$42,2,FALSE)</f>
        <v>#N/A</v>
      </c>
      <c r="S769" s="10" t="e">
        <f>VLOOKUP(AJ761,'FRC Site Data'!$B$3:$L$42,3,FALSE)</f>
        <v>#N/A</v>
      </c>
      <c r="T769" s="10" t="e">
        <f>VLOOKUP(AJ761,'FRC Site Data'!$B$3:$L$42,4,FALSE)</f>
        <v>#N/A</v>
      </c>
      <c r="U769" s="10" t="e">
        <f>VLOOKUP(AJ761,'FRC Site Data'!$B$3:$L$42,5,FALSE)</f>
        <v>#N/A</v>
      </c>
      <c r="V769" s="10" t="e">
        <f>VLOOKUP(AJ761,'FRC Site Data'!$B$3:$L$42,6,FALSE)</f>
        <v>#N/A</v>
      </c>
      <c r="W769" s="10" t="e">
        <f>VLOOKUP(AJ761,'FRC Site Data'!$B$3:$L$42,8,FALSE)</f>
        <v>#N/A</v>
      </c>
      <c r="X769" s="10" t="e">
        <f>VLOOKUP(AJ761,'FRC Site Data'!$B$3:$L$42,9,FALSE)</f>
        <v>#N/A</v>
      </c>
      <c r="Y769" s="10" t="e">
        <f>VLOOKUP(AJ761,'FRC Site Data'!$B$3:$L$42,10,FALSE)</f>
        <v>#N/A</v>
      </c>
      <c r="Z769" s="10" t="e">
        <f>VLOOKUP(AJ761,'FRC Site Data'!$B$3:$L$42,11,FALSE)</f>
        <v>#N/A</v>
      </c>
      <c r="AA769" s="10" t="e">
        <f>VLOOKUP(AJ761,'CIR Team Info'!$C$5:$E$44,4,FALSE)</f>
        <v>#N/A</v>
      </c>
      <c r="AB769" s="161" t="b">
        <f>ISNUMBER(VLOOKUP(AJ761,Match!$T$5:$T$10,1,FALSE))</f>
        <v>0</v>
      </c>
      <c r="AC769" s="161" t="b">
        <f>IF(AB769=TRUE,(VLOOKUP($AJ761,Match!$T$5:$U$10,2,FALSE)))</f>
        <v>0</v>
      </c>
      <c r="AD769" s="8">
        <v>3</v>
      </c>
      <c r="AE769" s="8">
        <v>2</v>
      </c>
      <c r="AF769" s="8">
        <v>2</v>
      </c>
      <c r="AG769" s="8">
        <v>1</v>
      </c>
      <c r="AH769" s="8" t="str">
        <f t="shared" si="218"/>
        <v/>
      </c>
    </row>
    <row r="770" spans="1:34" x14ac:dyDescent="0.25">
      <c r="A770" s="29">
        <f t="shared" si="209"/>
        <v>0</v>
      </c>
      <c r="B770" s="29">
        <f t="shared" si="203"/>
        <v>0</v>
      </c>
      <c r="C770" s="29">
        <f t="shared" si="204"/>
        <v>0</v>
      </c>
      <c r="D770" s="29">
        <f t="shared" si="205"/>
        <v>0</v>
      </c>
      <c r="E770" s="29">
        <f t="shared" si="210"/>
        <v>0</v>
      </c>
      <c r="F770" s="29">
        <f t="shared" si="211"/>
        <v>0</v>
      </c>
      <c r="G770" s="29" t="str">
        <f t="shared" si="212"/>
        <v>offensive</v>
      </c>
      <c r="H770" s="16">
        <f t="shared" si="216"/>
        <v>0</v>
      </c>
      <c r="I770" s="16">
        <f t="shared" si="217"/>
        <v>0</v>
      </c>
      <c r="J770" s="16">
        <f t="shared" si="206"/>
        <v>0</v>
      </c>
      <c r="K770" s="16">
        <f t="shared" si="213"/>
        <v>0</v>
      </c>
      <c r="L770" s="67">
        <f t="shared" si="214"/>
        <v>0</v>
      </c>
      <c r="M770" s="4">
        <f t="shared" si="207"/>
        <v>0</v>
      </c>
      <c r="N770" s="4">
        <f t="shared" si="208"/>
        <v>0</v>
      </c>
      <c r="O770" s="4">
        <f t="shared" si="215"/>
        <v>0</v>
      </c>
      <c r="P770" s="4" t="e">
        <f>VLOOKUP(AJ762,'CIR Team Info'!$C$5:$E$44,2,FALSE)</f>
        <v>#N/A</v>
      </c>
      <c r="Q770" s="4" t="e">
        <f>VLOOKUP(AJ762,'CIR Team Info'!$C$5:$E$44,3,FALSE)</f>
        <v>#N/A</v>
      </c>
      <c r="R770" s="10" t="e">
        <f>VLOOKUP(AJ762,'FRC Site Data'!$B$3:$L$42,2,FALSE)</f>
        <v>#N/A</v>
      </c>
      <c r="S770" s="10" t="e">
        <f>VLOOKUP(AJ762,'FRC Site Data'!$B$3:$L$42,3,FALSE)</f>
        <v>#N/A</v>
      </c>
      <c r="T770" s="10" t="e">
        <f>VLOOKUP(AJ762,'FRC Site Data'!$B$3:$L$42,4,FALSE)</f>
        <v>#N/A</v>
      </c>
      <c r="U770" s="10" t="e">
        <f>VLOOKUP(AJ762,'FRC Site Data'!$B$3:$L$42,5,FALSE)</f>
        <v>#N/A</v>
      </c>
      <c r="V770" s="10" t="e">
        <f>VLOOKUP(AJ762,'FRC Site Data'!$B$3:$L$42,6,FALSE)</f>
        <v>#N/A</v>
      </c>
      <c r="W770" s="10" t="e">
        <f>VLOOKUP(AJ762,'FRC Site Data'!$B$3:$L$42,8,FALSE)</f>
        <v>#N/A</v>
      </c>
      <c r="X770" s="10" t="e">
        <f>VLOOKUP(AJ762,'FRC Site Data'!$B$3:$L$42,9,FALSE)</f>
        <v>#N/A</v>
      </c>
      <c r="Y770" s="10" t="e">
        <f>VLOOKUP(AJ762,'FRC Site Data'!$B$3:$L$42,10,FALSE)</f>
        <v>#N/A</v>
      </c>
      <c r="Z770" s="10" t="e">
        <f>VLOOKUP(AJ762,'FRC Site Data'!$B$3:$L$42,11,FALSE)</f>
        <v>#N/A</v>
      </c>
      <c r="AA770" s="10" t="e">
        <f>VLOOKUP(AJ762,'CIR Team Info'!$C$5:$E$44,4,FALSE)</f>
        <v>#N/A</v>
      </c>
      <c r="AB770" s="161" t="b">
        <f>ISNUMBER(VLOOKUP(AJ762,Match!$T$5:$T$10,1,FALSE))</f>
        <v>0</v>
      </c>
      <c r="AC770" s="161" t="b">
        <f>IF(AB770=TRUE,(VLOOKUP($AJ762,Match!$T$5:$U$10,2,FALSE)))</f>
        <v>0</v>
      </c>
      <c r="AD770" s="8">
        <v>3</v>
      </c>
      <c r="AE770" s="8">
        <v>2</v>
      </c>
      <c r="AF770" s="8">
        <v>2</v>
      </c>
      <c r="AG770" s="8">
        <v>1</v>
      </c>
      <c r="AH770" s="8" t="str">
        <f t="shared" si="218"/>
        <v/>
      </c>
    </row>
    <row r="771" spans="1:34" x14ac:dyDescent="0.25">
      <c r="A771" s="29">
        <f t="shared" si="209"/>
        <v>0</v>
      </c>
      <c r="B771" s="29">
        <f t="shared" si="203"/>
        <v>0</v>
      </c>
      <c r="C771" s="29">
        <f t="shared" si="204"/>
        <v>0</v>
      </c>
      <c r="D771" s="29">
        <f t="shared" si="205"/>
        <v>0</v>
      </c>
      <c r="E771" s="29">
        <f t="shared" si="210"/>
        <v>0</v>
      </c>
      <c r="F771" s="29">
        <f t="shared" si="211"/>
        <v>0</v>
      </c>
      <c r="G771" s="29" t="str">
        <f t="shared" si="212"/>
        <v>offensive</v>
      </c>
      <c r="H771" s="16">
        <f t="shared" si="216"/>
        <v>0</v>
      </c>
      <c r="I771" s="16">
        <f t="shared" si="217"/>
        <v>0</v>
      </c>
      <c r="J771" s="16">
        <f t="shared" si="206"/>
        <v>0</v>
      </c>
      <c r="K771" s="16">
        <f t="shared" si="213"/>
        <v>0</v>
      </c>
      <c r="L771" s="67">
        <f t="shared" si="214"/>
        <v>0</v>
      </c>
      <c r="M771" s="4">
        <f t="shared" si="207"/>
        <v>0</v>
      </c>
      <c r="N771" s="4">
        <f t="shared" si="208"/>
        <v>0</v>
      </c>
      <c r="O771" s="4">
        <f t="shared" si="215"/>
        <v>0</v>
      </c>
      <c r="P771" s="4" t="e">
        <f>VLOOKUP(AJ763,'CIR Team Info'!$C$5:$E$44,2,FALSE)</f>
        <v>#N/A</v>
      </c>
      <c r="Q771" s="4" t="e">
        <f>VLOOKUP(AJ763,'CIR Team Info'!$C$5:$E$44,3,FALSE)</f>
        <v>#N/A</v>
      </c>
      <c r="R771" s="10" t="e">
        <f>VLOOKUP(AJ763,'FRC Site Data'!$B$3:$L$42,2,FALSE)</f>
        <v>#N/A</v>
      </c>
      <c r="S771" s="10" t="e">
        <f>VLOOKUP(AJ763,'FRC Site Data'!$B$3:$L$42,3,FALSE)</f>
        <v>#N/A</v>
      </c>
      <c r="T771" s="10" t="e">
        <f>VLOOKUP(AJ763,'FRC Site Data'!$B$3:$L$42,4,FALSE)</f>
        <v>#N/A</v>
      </c>
      <c r="U771" s="10" t="e">
        <f>VLOOKUP(AJ763,'FRC Site Data'!$B$3:$L$42,5,FALSE)</f>
        <v>#N/A</v>
      </c>
      <c r="V771" s="10" t="e">
        <f>VLOOKUP(AJ763,'FRC Site Data'!$B$3:$L$42,6,FALSE)</f>
        <v>#N/A</v>
      </c>
      <c r="W771" s="10" t="e">
        <f>VLOOKUP(AJ763,'FRC Site Data'!$B$3:$L$42,8,FALSE)</f>
        <v>#N/A</v>
      </c>
      <c r="X771" s="10" t="e">
        <f>VLOOKUP(AJ763,'FRC Site Data'!$B$3:$L$42,9,FALSE)</f>
        <v>#N/A</v>
      </c>
      <c r="Y771" s="10" t="e">
        <f>VLOOKUP(AJ763,'FRC Site Data'!$B$3:$L$42,10,FALSE)</f>
        <v>#N/A</v>
      </c>
      <c r="Z771" s="10" t="e">
        <f>VLOOKUP(AJ763,'FRC Site Data'!$B$3:$L$42,11,FALSE)</f>
        <v>#N/A</v>
      </c>
      <c r="AA771" s="10" t="e">
        <f>VLOOKUP(AJ763,'CIR Team Info'!$C$5:$E$44,4,FALSE)</f>
        <v>#N/A</v>
      </c>
      <c r="AB771" s="161" t="b">
        <f>ISNUMBER(VLOOKUP(AJ763,Match!$T$5:$T$10,1,FALSE))</f>
        <v>0</v>
      </c>
      <c r="AC771" s="161" t="b">
        <f>IF(AB771=TRUE,(VLOOKUP($AJ763,Match!$T$5:$U$10,2,FALSE)))</f>
        <v>0</v>
      </c>
      <c r="AD771" s="8">
        <v>3</v>
      </c>
      <c r="AE771" s="8">
        <v>2</v>
      </c>
      <c r="AF771" s="8">
        <v>2</v>
      </c>
      <c r="AG771" s="8">
        <v>1</v>
      </c>
      <c r="AH771" s="8" t="str">
        <f t="shared" si="218"/>
        <v/>
      </c>
    </row>
    <row r="772" spans="1:34" x14ac:dyDescent="0.25">
      <c r="A772" s="29">
        <f t="shared" si="209"/>
        <v>0</v>
      </c>
      <c r="B772" s="29">
        <f t="shared" si="203"/>
        <v>0</v>
      </c>
      <c r="C772" s="29">
        <f t="shared" si="204"/>
        <v>0</v>
      </c>
      <c r="D772" s="29">
        <f t="shared" si="205"/>
        <v>0</v>
      </c>
      <c r="E772" s="29">
        <f t="shared" si="210"/>
        <v>0</v>
      </c>
      <c r="F772" s="29">
        <f t="shared" si="211"/>
        <v>0</v>
      </c>
      <c r="G772" s="29" t="str">
        <f t="shared" si="212"/>
        <v>offensive</v>
      </c>
      <c r="H772" s="16">
        <f t="shared" si="216"/>
        <v>0</v>
      </c>
      <c r="I772" s="16">
        <f t="shared" si="217"/>
        <v>0</v>
      </c>
      <c r="J772" s="16">
        <f t="shared" si="206"/>
        <v>0</v>
      </c>
      <c r="K772" s="16">
        <f t="shared" si="213"/>
        <v>0</v>
      </c>
      <c r="L772" s="67">
        <f t="shared" si="214"/>
        <v>0</v>
      </c>
      <c r="M772" s="4">
        <f t="shared" si="207"/>
        <v>0</v>
      </c>
      <c r="N772" s="4">
        <f t="shared" si="208"/>
        <v>0</v>
      </c>
      <c r="O772" s="4">
        <f t="shared" si="215"/>
        <v>0</v>
      </c>
      <c r="P772" s="4" t="e">
        <f>VLOOKUP(AJ764,'CIR Team Info'!$C$5:$E$44,2,FALSE)</f>
        <v>#N/A</v>
      </c>
      <c r="Q772" s="4" t="e">
        <f>VLOOKUP(AJ764,'CIR Team Info'!$C$5:$E$44,3,FALSE)</f>
        <v>#N/A</v>
      </c>
      <c r="R772" s="10" t="e">
        <f>VLOOKUP(AJ764,'FRC Site Data'!$B$3:$L$42,2,FALSE)</f>
        <v>#N/A</v>
      </c>
      <c r="S772" s="10" t="e">
        <f>VLOOKUP(AJ764,'FRC Site Data'!$B$3:$L$42,3,FALSE)</f>
        <v>#N/A</v>
      </c>
      <c r="T772" s="10" t="e">
        <f>VLOOKUP(AJ764,'FRC Site Data'!$B$3:$L$42,4,FALSE)</f>
        <v>#N/A</v>
      </c>
      <c r="U772" s="10" t="e">
        <f>VLOOKUP(AJ764,'FRC Site Data'!$B$3:$L$42,5,FALSE)</f>
        <v>#N/A</v>
      </c>
      <c r="V772" s="10" t="e">
        <f>VLOOKUP(AJ764,'FRC Site Data'!$B$3:$L$42,6,FALSE)</f>
        <v>#N/A</v>
      </c>
      <c r="W772" s="10" t="e">
        <f>VLOOKUP(AJ764,'FRC Site Data'!$B$3:$L$42,8,FALSE)</f>
        <v>#N/A</v>
      </c>
      <c r="X772" s="10" t="e">
        <f>VLOOKUP(AJ764,'FRC Site Data'!$B$3:$L$42,9,FALSE)</f>
        <v>#N/A</v>
      </c>
      <c r="Y772" s="10" t="e">
        <f>VLOOKUP(AJ764,'FRC Site Data'!$B$3:$L$42,10,FALSE)</f>
        <v>#N/A</v>
      </c>
      <c r="Z772" s="10" t="e">
        <f>VLOOKUP(AJ764,'FRC Site Data'!$B$3:$L$42,11,FALSE)</f>
        <v>#N/A</v>
      </c>
      <c r="AA772" s="10" t="e">
        <f>VLOOKUP(AJ764,'CIR Team Info'!$C$5:$E$44,4,FALSE)</f>
        <v>#N/A</v>
      </c>
      <c r="AB772" s="161" t="b">
        <f>ISNUMBER(VLOOKUP(AJ764,Match!$T$5:$T$10,1,FALSE))</f>
        <v>0</v>
      </c>
      <c r="AC772" s="161" t="b">
        <f>IF(AB772=TRUE,(VLOOKUP($AJ764,Match!$T$5:$U$10,2,FALSE)))</f>
        <v>0</v>
      </c>
      <c r="AD772" s="8">
        <v>3</v>
      </c>
      <c r="AE772" s="8">
        <v>2</v>
      </c>
      <c r="AF772" s="8">
        <v>2</v>
      </c>
      <c r="AG772" s="8">
        <v>1</v>
      </c>
      <c r="AH772" s="8" t="str">
        <f t="shared" si="218"/>
        <v/>
      </c>
    </row>
    <row r="773" spans="1:34" x14ac:dyDescent="0.25">
      <c r="A773" s="29">
        <f t="shared" si="209"/>
        <v>0</v>
      </c>
      <c r="B773" s="29">
        <f t="shared" si="203"/>
        <v>0</v>
      </c>
      <c r="C773" s="29">
        <f t="shared" si="204"/>
        <v>0</v>
      </c>
      <c r="D773" s="29">
        <f t="shared" si="205"/>
        <v>0</v>
      </c>
      <c r="E773" s="29">
        <f t="shared" si="210"/>
        <v>0</v>
      </c>
      <c r="F773" s="29">
        <f t="shared" si="211"/>
        <v>0</v>
      </c>
      <c r="G773" s="29" t="str">
        <f t="shared" si="212"/>
        <v>offensive</v>
      </c>
      <c r="H773" s="16">
        <f t="shared" si="216"/>
        <v>0</v>
      </c>
      <c r="I773" s="16">
        <f t="shared" si="217"/>
        <v>0</v>
      </c>
      <c r="J773" s="16">
        <f t="shared" si="206"/>
        <v>0</v>
      </c>
      <c r="K773" s="16">
        <f t="shared" si="213"/>
        <v>0</v>
      </c>
      <c r="L773" s="67">
        <f t="shared" si="214"/>
        <v>0</v>
      </c>
      <c r="M773" s="4">
        <f t="shared" si="207"/>
        <v>0</v>
      </c>
      <c r="N773" s="4">
        <f t="shared" si="208"/>
        <v>0</v>
      </c>
      <c r="O773" s="4">
        <f t="shared" si="215"/>
        <v>0</v>
      </c>
      <c r="P773" s="4" t="e">
        <f>VLOOKUP(AJ765,'CIR Team Info'!$C$5:$E$44,2,FALSE)</f>
        <v>#N/A</v>
      </c>
      <c r="Q773" s="4" t="e">
        <f>VLOOKUP(AJ765,'CIR Team Info'!$C$5:$E$44,3,FALSE)</f>
        <v>#N/A</v>
      </c>
      <c r="R773" s="10" t="e">
        <f>VLOOKUP(AJ765,'FRC Site Data'!$B$3:$L$42,2,FALSE)</f>
        <v>#N/A</v>
      </c>
      <c r="S773" s="10" t="e">
        <f>VLOOKUP(AJ765,'FRC Site Data'!$B$3:$L$42,3,FALSE)</f>
        <v>#N/A</v>
      </c>
      <c r="T773" s="10" t="e">
        <f>VLOOKUP(AJ765,'FRC Site Data'!$B$3:$L$42,4,FALSE)</f>
        <v>#N/A</v>
      </c>
      <c r="U773" s="10" t="e">
        <f>VLOOKUP(AJ765,'FRC Site Data'!$B$3:$L$42,5,FALSE)</f>
        <v>#N/A</v>
      </c>
      <c r="V773" s="10" t="e">
        <f>VLOOKUP(AJ765,'FRC Site Data'!$B$3:$L$42,6,FALSE)</f>
        <v>#N/A</v>
      </c>
      <c r="W773" s="10" t="e">
        <f>VLOOKUP(AJ765,'FRC Site Data'!$B$3:$L$42,8,FALSE)</f>
        <v>#N/A</v>
      </c>
      <c r="X773" s="10" t="e">
        <f>VLOOKUP(AJ765,'FRC Site Data'!$B$3:$L$42,9,FALSE)</f>
        <v>#N/A</v>
      </c>
      <c r="Y773" s="10" t="e">
        <f>VLOOKUP(AJ765,'FRC Site Data'!$B$3:$L$42,10,FALSE)</f>
        <v>#N/A</v>
      </c>
      <c r="Z773" s="10" t="e">
        <f>VLOOKUP(AJ765,'FRC Site Data'!$B$3:$L$42,11,FALSE)</f>
        <v>#N/A</v>
      </c>
      <c r="AA773" s="10" t="e">
        <f>VLOOKUP(AJ765,'CIR Team Info'!$C$5:$E$44,4,FALSE)</f>
        <v>#N/A</v>
      </c>
      <c r="AB773" s="161" t="b">
        <f>ISNUMBER(VLOOKUP(AJ765,Match!$T$5:$T$10,1,FALSE))</f>
        <v>0</v>
      </c>
      <c r="AC773" s="161" t="b">
        <f>IF(AB773=TRUE,(VLOOKUP($AJ765,Match!$T$5:$U$10,2,FALSE)))</f>
        <v>0</v>
      </c>
      <c r="AD773" s="8">
        <v>3</v>
      </c>
      <c r="AE773" s="8">
        <v>2</v>
      </c>
      <c r="AF773" s="8">
        <v>2</v>
      </c>
      <c r="AG773" s="8">
        <v>1</v>
      </c>
      <c r="AH773" s="8" t="str">
        <f t="shared" si="218"/>
        <v/>
      </c>
    </row>
    <row r="774" spans="1:34" x14ac:dyDescent="0.25">
      <c r="A774" s="29">
        <f t="shared" si="209"/>
        <v>0</v>
      </c>
      <c r="B774" s="29">
        <f t="shared" ref="B774:B837" si="219">H774*AD774*AO766</f>
        <v>0</v>
      </c>
      <c r="C774" s="29">
        <f t="shared" ref="C774:C837" si="220">I774*AE774*AV766</f>
        <v>0</v>
      </c>
      <c r="D774" s="29">
        <f t="shared" ref="D774:D837" si="221">J774*AF774*BF766</f>
        <v>0</v>
      </c>
      <c r="E774" s="29">
        <f t="shared" si="210"/>
        <v>0</v>
      </c>
      <c r="F774" s="29">
        <f t="shared" si="211"/>
        <v>0</v>
      </c>
      <c r="G774" s="29" t="str">
        <f t="shared" si="212"/>
        <v>offensive</v>
      </c>
      <c r="H774" s="16">
        <f t="shared" si="216"/>
        <v>0</v>
      </c>
      <c r="I774" s="16">
        <f t="shared" si="217"/>
        <v>0</v>
      </c>
      <c r="J774" s="16">
        <f t="shared" ref="J774:J837" si="222">IF(L774=0,0,BG766/L774)</f>
        <v>0</v>
      </c>
      <c r="K774" s="16">
        <f t="shared" si="213"/>
        <v>0</v>
      </c>
      <c r="L774" s="67">
        <f t="shared" si="214"/>
        <v>0</v>
      </c>
      <c r="M774" s="4">
        <f t="shared" ref="M774:M837" si="223">AO766+AV766+BD766+O774</f>
        <v>0</v>
      </c>
      <c r="N774" s="4">
        <f t="shared" si="208"/>
        <v>0</v>
      </c>
      <c r="O774" s="4">
        <f t="shared" si="215"/>
        <v>0</v>
      </c>
      <c r="P774" s="4" t="e">
        <f>VLOOKUP(AJ766,'CIR Team Info'!$C$5:$E$44,2,FALSE)</f>
        <v>#N/A</v>
      </c>
      <c r="Q774" s="4" t="e">
        <f>VLOOKUP(AJ766,'CIR Team Info'!$C$5:$E$44,3,FALSE)</f>
        <v>#N/A</v>
      </c>
      <c r="R774" s="10" t="e">
        <f>VLOOKUP(AJ766,'FRC Site Data'!$B$3:$L$42,2,FALSE)</f>
        <v>#N/A</v>
      </c>
      <c r="S774" s="10" t="e">
        <f>VLOOKUP(AJ766,'FRC Site Data'!$B$3:$L$42,3,FALSE)</f>
        <v>#N/A</v>
      </c>
      <c r="T774" s="10" t="e">
        <f>VLOOKUP(AJ766,'FRC Site Data'!$B$3:$L$42,4,FALSE)</f>
        <v>#N/A</v>
      </c>
      <c r="U774" s="10" t="e">
        <f>VLOOKUP(AJ766,'FRC Site Data'!$B$3:$L$42,5,FALSE)</f>
        <v>#N/A</v>
      </c>
      <c r="V774" s="10" t="e">
        <f>VLOOKUP(AJ766,'FRC Site Data'!$B$3:$L$42,6,FALSE)</f>
        <v>#N/A</v>
      </c>
      <c r="W774" s="10" t="e">
        <f>VLOOKUP(AJ766,'FRC Site Data'!$B$3:$L$42,8,FALSE)</f>
        <v>#N/A</v>
      </c>
      <c r="X774" s="10" t="e">
        <f>VLOOKUP(AJ766,'FRC Site Data'!$B$3:$L$42,9,FALSE)</f>
        <v>#N/A</v>
      </c>
      <c r="Y774" s="10" t="e">
        <f>VLOOKUP(AJ766,'FRC Site Data'!$B$3:$L$42,10,FALSE)</f>
        <v>#N/A</v>
      </c>
      <c r="Z774" s="10" t="e">
        <f>VLOOKUP(AJ766,'FRC Site Data'!$B$3:$L$42,11,FALSE)</f>
        <v>#N/A</v>
      </c>
      <c r="AA774" s="10" t="e">
        <f>VLOOKUP(AJ766,'CIR Team Info'!$C$5:$E$44,4,FALSE)</f>
        <v>#N/A</v>
      </c>
      <c r="AB774" s="161" t="b">
        <f>ISNUMBER(VLOOKUP(AJ766,Match!$T$5:$T$10,1,FALSE))</f>
        <v>0</v>
      </c>
      <c r="AC774" s="161" t="b">
        <f>IF(AB774=TRUE,(VLOOKUP($AJ766,Match!$T$5:$U$10,2,FALSE)))</f>
        <v>0</v>
      </c>
      <c r="AD774" s="8">
        <v>3</v>
      </c>
      <c r="AE774" s="8">
        <v>2</v>
      </c>
      <c r="AF774" s="8">
        <v>2</v>
      </c>
      <c r="AG774" s="8">
        <v>1</v>
      </c>
      <c r="AH774" s="8" t="str">
        <f t="shared" si="218"/>
        <v/>
      </c>
    </row>
    <row r="775" spans="1:34" x14ac:dyDescent="0.25">
      <c r="A775" s="29">
        <f t="shared" si="209"/>
        <v>0</v>
      </c>
      <c r="B775" s="29">
        <f t="shared" si="219"/>
        <v>0</v>
      </c>
      <c r="C775" s="29">
        <f t="shared" si="220"/>
        <v>0</v>
      </c>
      <c r="D775" s="29">
        <f t="shared" si="221"/>
        <v>0</v>
      </c>
      <c r="E775" s="29">
        <f t="shared" si="210"/>
        <v>0</v>
      </c>
      <c r="F775" s="29">
        <f t="shared" si="211"/>
        <v>0</v>
      </c>
      <c r="G775" s="29" t="str">
        <f t="shared" si="212"/>
        <v>offensive</v>
      </c>
      <c r="H775" s="16">
        <f t="shared" si="216"/>
        <v>0</v>
      </c>
      <c r="I775" s="16">
        <f t="shared" si="217"/>
        <v>0</v>
      </c>
      <c r="J775" s="16">
        <f t="shared" si="222"/>
        <v>0</v>
      </c>
      <c r="K775" s="16">
        <f t="shared" si="213"/>
        <v>0</v>
      </c>
      <c r="L775" s="67">
        <f t="shared" si="214"/>
        <v>0</v>
      </c>
      <c r="M775" s="4">
        <f t="shared" si="223"/>
        <v>0</v>
      </c>
      <c r="N775" s="4">
        <f t="shared" ref="N775:N838" si="224">AO767+AV767+BD767</f>
        <v>0</v>
      </c>
      <c r="O775" s="4">
        <f t="shared" si="215"/>
        <v>0</v>
      </c>
      <c r="P775" s="4" t="e">
        <f>VLOOKUP(AJ767,'CIR Team Info'!$C$5:$E$44,2,FALSE)</f>
        <v>#N/A</v>
      </c>
      <c r="Q775" s="4" t="e">
        <f>VLOOKUP(AJ767,'CIR Team Info'!$C$5:$E$44,3,FALSE)</f>
        <v>#N/A</v>
      </c>
      <c r="R775" s="10" t="e">
        <f>VLOOKUP(AJ767,'FRC Site Data'!$B$3:$L$42,2,FALSE)</f>
        <v>#N/A</v>
      </c>
      <c r="S775" s="10" t="e">
        <f>VLOOKUP(AJ767,'FRC Site Data'!$B$3:$L$42,3,FALSE)</f>
        <v>#N/A</v>
      </c>
      <c r="T775" s="10" t="e">
        <f>VLOOKUP(AJ767,'FRC Site Data'!$B$3:$L$42,4,FALSE)</f>
        <v>#N/A</v>
      </c>
      <c r="U775" s="10" t="e">
        <f>VLOOKUP(AJ767,'FRC Site Data'!$B$3:$L$42,5,FALSE)</f>
        <v>#N/A</v>
      </c>
      <c r="V775" s="10" t="e">
        <f>VLOOKUP(AJ767,'FRC Site Data'!$B$3:$L$42,6,FALSE)</f>
        <v>#N/A</v>
      </c>
      <c r="W775" s="10" t="e">
        <f>VLOOKUP(AJ767,'FRC Site Data'!$B$3:$L$42,8,FALSE)</f>
        <v>#N/A</v>
      </c>
      <c r="X775" s="10" t="e">
        <f>VLOOKUP(AJ767,'FRC Site Data'!$B$3:$L$42,9,FALSE)</f>
        <v>#N/A</v>
      </c>
      <c r="Y775" s="10" t="e">
        <f>VLOOKUP(AJ767,'FRC Site Data'!$B$3:$L$42,10,FALSE)</f>
        <v>#N/A</v>
      </c>
      <c r="Z775" s="10" t="e">
        <f>VLOOKUP(AJ767,'FRC Site Data'!$B$3:$L$42,11,FALSE)</f>
        <v>#N/A</v>
      </c>
      <c r="AA775" s="10" t="e">
        <f>VLOOKUP(AJ767,'CIR Team Info'!$C$5:$E$44,4,FALSE)</f>
        <v>#N/A</v>
      </c>
      <c r="AB775" s="161" t="b">
        <f>ISNUMBER(VLOOKUP(AJ767,Match!$T$5:$T$10,1,FALSE))</f>
        <v>0</v>
      </c>
      <c r="AC775" s="161" t="b">
        <f>IF(AB775=TRUE,(VLOOKUP($AJ767,Match!$T$5:$U$10,2,FALSE)))</f>
        <v>0</v>
      </c>
      <c r="AD775" s="8">
        <v>3</v>
      </c>
      <c r="AE775" s="8">
        <v>2</v>
      </c>
      <c r="AF775" s="8">
        <v>2</v>
      </c>
      <c r="AG775" s="8">
        <v>1</v>
      </c>
      <c r="AH775" s="8" t="str">
        <f t="shared" si="218"/>
        <v/>
      </c>
    </row>
    <row r="776" spans="1:34" x14ac:dyDescent="0.25">
      <c r="A776" s="29">
        <f t="shared" ref="A776:A839" si="225">SUM(B776:F776)</f>
        <v>0</v>
      </c>
      <c r="B776" s="29">
        <f t="shared" si="219"/>
        <v>0</v>
      </c>
      <c r="C776" s="29">
        <f t="shared" si="220"/>
        <v>0</v>
      </c>
      <c r="D776" s="29">
        <f t="shared" si="221"/>
        <v>0</v>
      </c>
      <c r="E776" s="29">
        <f t="shared" ref="E776:E839" si="226">K776*O776</f>
        <v>0</v>
      </c>
      <c r="F776" s="29">
        <f t="shared" ref="F776:F839" si="227">IF(AN768&gt;0,5)-2*COUNTIF(AQ768,"K")+5*COUNTIF(AS768,"T")+IF(AX768=3,2)+IF(AY768="T",2)</f>
        <v>0</v>
      </c>
      <c r="G776" s="29" t="str">
        <f t="shared" ref="G776:G839" si="228">IF((BB768+BC768)&gt;45,"defensive",IF((BB768+BC768)&gt;15,"both","offensive"))</f>
        <v>offensive</v>
      </c>
      <c r="H776" s="16">
        <f t="shared" si="216"/>
        <v>0</v>
      </c>
      <c r="I776" s="16">
        <f t="shared" si="217"/>
        <v>0</v>
      </c>
      <c r="J776" s="16">
        <f t="shared" si="222"/>
        <v>0</v>
      </c>
      <c r="K776" s="16">
        <f t="shared" ref="K776:K839" si="229">IF((BB768+BC768)=0,0,((AZ768*BB768*0.2)+(BA768*BC768*0.3))/(BB768+BC768))</f>
        <v>0</v>
      </c>
      <c r="L776" s="67">
        <f t="shared" ref="L776:L839" si="230">IF(BF768&gt;BG768,BF768,BG768)</f>
        <v>0</v>
      </c>
      <c r="M776" s="4">
        <f t="shared" si="223"/>
        <v>0</v>
      </c>
      <c r="N776" s="4">
        <f t="shared" si="224"/>
        <v>0</v>
      </c>
      <c r="O776" s="4">
        <f t="shared" ref="O776:O839" si="231">(AZ768*0.2*BB768*30/30)+(BA768*0.3*BC768*12/30)-BI768-BJ768</f>
        <v>0</v>
      </c>
      <c r="P776" s="4" t="e">
        <f>VLOOKUP(AJ768,'CIR Team Info'!$C$5:$E$44,2,FALSE)</f>
        <v>#N/A</v>
      </c>
      <c r="Q776" s="4" t="e">
        <f>VLOOKUP(AJ768,'CIR Team Info'!$C$5:$E$44,3,FALSE)</f>
        <v>#N/A</v>
      </c>
      <c r="R776" s="10" t="e">
        <f>VLOOKUP(AJ768,'FRC Site Data'!$B$3:$L$42,2,FALSE)</f>
        <v>#N/A</v>
      </c>
      <c r="S776" s="10" t="e">
        <f>VLOOKUP(AJ768,'FRC Site Data'!$B$3:$L$42,3,FALSE)</f>
        <v>#N/A</v>
      </c>
      <c r="T776" s="10" t="e">
        <f>VLOOKUP(AJ768,'FRC Site Data'!$B$3:$L$42,4,FALSE)</f>
        <v>#N/A</v>
      </c>
      <c r="U776" s="10" t="e">
        <f>VLOOKUP(AJ768,'FRC Site Data'!$B$3:$L$42,5,FALSE)</f>
        <v>#N/A</v>
      </c>
      <c r="V776" s="10" t="e">
        <f>VLOOKUP(AJ768,'FRC Site Data'!$B$3:$L$42,6,FALSE)</f>
        <v>#N/A</v>
      </c>
      <c r="W776" s="10" t="e">
        <f>VLOOKUP(AJ768,'FRC Site Data'!$B$3:$L$42,8,FALSE)</f>
        <v>#N/A</v>
      </c>
      <c r="X776" s="10" t="e">
        <f>VLOOKUP(AJ768,'FRC Site Data'!$B$3:$L$42,9,FALSE)</f>
        <v>#N/A</v>
      </c>
      <c r="Y776" s="10" t="e">
        <f>VLOOKUP(AJ768,'FRC Site Data'!$B$3:$L$42,10,FALSE)</f>
        <v>#N/A</v>
      </c>
      <c r="Z776" s="10" t="e">
        <f>VLOOKUP(AJ768,'FRC Site Data'!$B$3:$L$42,11,FALSE)</f>
        <v>#N/A</v>
      </c>
      <c r="AA776" s="10" t="e">
        <f>VLOOKUP(AJ768,'CIR Team Info'!$C$5:$E$44,4,FALSE)</f>
        <v>#N/A</v>
      </c>
      <c r="AB776" s="161" t="b">
        <f>ISNUMBER(VLOOKUP(AJ768,Match!$T$5:$T$10,1,FALSE))</f>
        <v>0</v>
      </c>
      <c r="AC776" s="161" t="b">
        <f>IF(AB776=TRUE,(VLOOKUP($AJ768,Match!$T$5:$U$10,2,FALSE)))</f>
        <v>0</v>
      </c>
      <c r="AD776" s="8">
        <v>3</v>
      </c>
      <c r="AE776" s="8">
        <v>2</v>
      </c>
      <c r="AF776" s="8">
        <v>2</v>
      </c>
      <c r="AG776" s="8">
        <v>1</v>
      </c>
      <c r="AH776" s="8" t="str">
        <f t="shared" si="218"/>
        <v/>
      </c>
    </row>
    <row r="777" spans="1:34" x14ac:dyDescent="0.25">
      <c r="A777" s="29">
        <f t="shared" si="225"/>
        <v>0</v>
      </c>
      <c r="B777" s="29">
        <f t="shared" si="219"/>
        <v>0</v>
      </c>
      <c r="C777" s="29">
        <f t="shared" si="220"/>
        <v>0</v>
      </c>
      <c r="D777" s="29">
        <f t="shared" si="221"/>
        <v>0</v>
      </c>
      <c r="E777" s="29">
        <f t="shared" si="226"/>
        <v>0</v>
      </c>
      <c r="F777" s="29">
        <f t="shared" si="227"/>
        <v>0</v>
      </c>
      <c r="G777" s="29" t="str">
        <f t="shared" si="228"/>
        <v>offensive</v>
      </c>
      <c r="H777" s="16">
        <f t="shared" si="216"/>
        <v>0</v>
      </c>
      <c r="I777" s="16">
        <f t="shared" si="217"/>
        <v>0</v>
      </c>
      <c r="J777" s="16">
        <f t="shared" si="222"/>
        <v>0</v>
      </c>
      <c r="K777" s="16">
        <f t="shared" si="229"/>
        <v>0</v>
      </c>
      <c r="L777" s="67">
        <f t="shared" si="230"/>
        <v>0</v>
      </c>
      <c r="M777" s="4">
        <f t="shared" si="223"/>
        <v>0</v>
      </c>
      <c r="N777" s="4">
        <f t="shared" si="224"/>
        <v>0</v>
      </c>
      <c r="O777" s="4">
        <f t="shared" si="231"/>
        <v>0</v>
      </c>
      <c r="P777" s="4" t="e">
        <f>VLOOKUP(AJ769,'CIR Team Info'!$C$5:$E$44,2,FALSE)</f>
        <v>#N/A</v>
      </c>
      <c r="Q777" s="4" t="e">
        <f>VLOOKUP(AJ769,'CIR Team Info'!$C$5:$E$44,3,FALSE)</f>
        <v>#N/A</v>
      </c>
      <c r="R777" s="10" t="e">
        <f>VLOOKUP(AJ769,'FRC Site Data'!$B$3:$L$42,2,FALSE)</f>
        <v>#N/A</v>
      </c>
      <c r="S777" s="10" t="e">
        <f>VLOOKUP(AJ769,'FRC Site Data'!$B$3:$L$42,3,FALSE)</f>
        <v>#N/A</v>
      </c>
      <c r="T777" s="10" t="e">
        <f>VLOOKUP(AJ769,'FRC Site Data'!$B$3:$L$42,4,FALSE)</f>
        <v>#N/A</v>
      </c>
      <c r="U777" s="10" t="e">
        <f>VLOOKUP(AJ769,'FRC Site Data'!$B$3:$L$42,5,FALSE)</f>
        <v>#N/A</v>
      </c>
      <c r="V777" s="10" t="e">
        <f>VLOOKUP(AJ769,'FRC Site Data'!$B$3:$L$42,6,FALSE)</f>
        <v>#N/A</v>
      </c>
      <c r="W777" s="10" t="e">
        <f>VLOOKUP(AJ769,'FRC Site Data'!$B$3:$L$42,8,FALSE)</f>
        <v>#N/A</v>
      </c>
      <c r="X777" s="10" t="e">
        <f>VLOOKUP(AJ769,'FRC Site Data'!$B$3:$L$42,9,FALSE)</f>
        <v>#N/A</v>
      </c>
      <c r="Y777" s="10" t="e">
        <f>VLOOKUP(AJ769,'FRC Site Data'!$B$3:$L$42,10,FALSE)</f>
        <v>#N/A</v>
      </c>
      <c r="Z777" s="10" t="e">
        <f>VLOOKUP(AJ769,'FRC Site Data'!$B$3:$L$42,11,FALSE)</f>
        <v>#N/A</v>
      </c>
      <c r="AA777" s="10" t="e">
        <f>VLOOKUP(AJ769,'CIR Team Info'!$C$5:$E$44,4,FALSE)</f>
        <v>#N/A</v>
      </c>
      <c r="AB777" s="161" t="b">
        <f>ISNUMBER(VLOOKUP(AJ769,Match!$T$5:$T$10,1,FALSE))</f>
        <v>0</v>
      </c>
      <c r="AC777" s="161" t="b">
        <f>IF(AB777=TRUE,(VLOOKUP($AJ769,Match!$T$5:$U$10,2,FALSE)))</f>
        <v>0</v>
      </c>
      <c r="AD777" s="8">
        <v>3</v>
      </c>
      <c r="AE777" s="8">
        <v>2</v>
      </c>
      <c r="AF777" s="8">
        <v>2</v>
      </c>
      <c r="AG777" s="8">
        <v>1</v>
      </c>
      <c r="AH777" s="8" t="str">
        <f t="shared" si="218"/>
        <v/>
      </c>
    </row>
    <row r="778" spans="1:34" x14ac:dyDescent="0.25">
      <c r="A778" s="29">
        <f t="shared" si="225"/>
        <v>0</v>
      </c>
      <c r="B778" s="29">
        <f t="shared" si="219"/>
        <v>0</v>
      </c>
      <c r="C778" s="29">
        <f t="shared" si="220"/>
        <v>0</v>
      </c>
      <c r="D778" s="29">
        <f t="shared" si="221"/>
        <v>0</v>
      </c>
      <c r="E778" s="29">
        <f t="shared" si="226"/>
        <v>0</v>
      </c>
      <c r="F778" s="29">
        <f t="shared" si="227"/>
        <v>0</v>
      </c>
      <c r="G778" s="29" t="str">
        <f t="shared" si="228"/>
        <v>offensive</v>
      </c>
      <c r="H778" s="16">
        <f t="shared" si="216"/>
        <v>0</v>
      </c>
      <c r="I778" s="16">
        <f t="shared" si="217"/>
        <v>0</v>
      </c>
      <c r="J778" s="16">
        <f t="shared" si="222"/>
        <v>0</v>
      </c>
      <c r="K778" s="16">
        <f t="shared" si="229"/>
        <v>0</v>
      </c>
      <c r="L778" s="67">
        <f t="shared" si="230"/>
        <v>0</v>
      </c>
      <c r="M778" s="4">
        <f t="shared" si="223"/>
        <v>0</v>
      </c>
      <c r="N778" s="4">
        <f t="shared" si="224"/>
        <v>0</v>
      </c>
      <c r="O778" s="4">
        <f t="shared" si="231"/>
        <v>0</v>
      </c>
      <c r="P778" s="4" t="e">
        <f>VLOOKUP(AJ770,'CIR Team Info'!$C$5:$E$44,2,FALSE)</f>
        <v>#N/A</v>
      </c>
      <c r="Q778" s="4" t="e">
        <f>VLOOKUP(AJ770,'CIR Team Info'!$C$5:$E$44,3,FALSE)</f>
        <v>#N/A</v>
      </c>
      <c r="R778" s="10" t="e">
        <f>VLOOKUP(AJ770,'FRC Site Data'!$B$3:$L$42,2,FALSE)</f>
        <v>#N/A</v>
      </c>
      <c r="S778" s="10" t="e">
        <f>VLOOKUP(AJ770,'FRC Site Data'!$B$3:$L$42,3,FALSE)</f>
        <v>#N/A</v>
      </c>
      <c r="T778" s="10" t="e">
        <f>VLOOKUP(AJ770,'FRC Site Data'!$B$3:$L$42,4,FALSE)</f>
        <v>#N/A</v>
      </c>
      <c r="U778" s="10" t="e">
        <f>VLOOKUP(AJ770,'FRC Site Data'!$B$3:$L$42,5,FALSE)</f>
        <v>#N/A</v>
      </c>
      <c r="V778" s="10" t="e">
        <f>VLOOKUP(AJ770,'FRC Site Data'!$B$3:$L$42,6,FALSE)</f>
        <v>#N/A</v>
      </c>
      <c r="W778" s="10" t="e">
        <f>VLOOKUP(AJ770,'FRC Site Data'!$B$3:$L$42,8,FALSE)</f>
        <v>#N/A</v>
      </c>
      <c r="X778" s="10" t="e">
        <f>VLOOKUP(AJ770,'FRC Site Data'!$B$3:$L$42,9,FALSE)</f>
        <v>#N/A</v>
      </c>
      <c r="Y778" s="10" t="e">
        <f>VLOOKUP(AJ770,'FRC Site Data'!$B$3:$L$42,10,FALSE)</f>
        <v>#N/A</v>
      </c>
      <c r="Z778" s="10" t="e">
        <f>VLOOKUP(AJ770,'FRC Site Data'!$B$3:$L$42,11,FALSE)</f>
        <v>#N/A</v>
      </c>
      <c r="AA778" s="10" t="e">
        <f>VLOOKUP(AJ770,'CIR Team Info'!$C$5:$E$44,4,FALSE)</f>
        <v>#N/A</v>
      </c>
      <c r="AB778" s="161" t="b">
        <f>ISNUMBER(VLOOKUP(AJ770,Match!$T$5:$T$10,1,FALSE))</f>
        <v>0</v>
      </c>
      <c r="AC778" s="161" t="b">
        <f>IF(AB778=TRUE,(VLOOKUP($AJ770,Match!$T$5:$U$10,2,FALSE)))</f>
        <v>0</v>
      </c>
      <c r="AD778" s="8">
        <v>3</v>
      </c>
      <c r="AE778" s="8">
        <v>2</v>
      </c>
      <c r="AF778" s="8">
        <v>2</v>
      </c>
      <c r="AG778" s="8">
        <v>1</v>
      </c>
      <c r="AH778" s="8" t="str">
        <f t="shared" si="218"/>
        <v/>
      </c>
    </row>
    <row r="779" spans="1:34" x14ac:dyDescent="0.25">
      <c r="A779" s="29">
        <f t="shared" si="225"/>
        <v>0</v>
      </c>
      <c r="B779" s="29">
        <f t="shared" si="219"/>
        <v>0</v>
      </c>
      <c r="C779" s="29">
        <f t="shared" si="220"/>
        <v>0</v>
      </c>
      <c r="D779" s="29">
        <f t="shared" si="221"/>
        <v>0</v>
      </c>
      <c r="E779" s="29">
        <f t="shared" si="226"/>
        <v>0</v>
      </c>
      <c r="F779" s="29">
        <f t="shared" si="227"/>
        <v>0</v>
      </c>
      <c r="G779" s="29" t="str">
        <f t="shared" si="228"/>
        <v>offensive</v>
      </c>
      <c r="H779" s="16">
        <f t="shared" si="216"/>
        <v>0</v>
      </c>
      <c r="I779" s="16">
        <f t="shared" si="217"/>
        <v>0</v>
      </c>
      <c r="J779" s="16">
        <f t="shared" si="222"/>
        <v>0</v>
      </c>
      <c r="K779" s="16">
        <f t="shared" si="229"/>
        <v>0</v>
      </c>
      <c r="L779" s="67">
        <f t="shared" si="230"/>
        <v>0</v>
      </c>
      <c r="M779" s="4">
        <f t="shared" si="223"/>
        <v>0</v>
      </c>
      <c r="N779" s="4">
        <f t="shared" si="224"/>
        <v>0</v>
      </c>
      <c r="O779" s="4">
        <f t="shared" si="231"/>
        <v>0</v>
      </c>
      <c r="P779" s="4" t="e">
        <f>VLOOKUP(AJ771,'CIR Team Info'!$C$5:$E$44,2,FALSE)</f>
        <v>#N/A</v>
      </c>
      <c r="Q779" s="4" t="e">
        <f>VLOOKUP(AJ771,'CIR Team Info'!$C$5:$E$44,3,FALSE)</f>
        <v>#N/A</v>
      </c>
      <c r="R779" s="10" t="e">
        <f>VLOOKUP(AJ771,'FRC Site Data'!$B$3:$L$42,2,FALSE)</f>
        <v>#N/A</v>
      </c>
      <c r="S779" s="10" t="e">
        <f>VLOOKUP(AJ771,'FRC Site Data'!$B$3:$L$42,3,FALSE)</f>
        <v>#N/A</v>
      </c>
      <c r="T779" s="10" t="e">
        <f>VLOOKUP(AJ771,'FRC Site Data'!$B$3:$L$42,4,FALSE)</f>
        <v>#N/A</v>
      </c>
      <c r="U779" s="10" t="e">
        <f>VLOOKUP(AJ771,'FRC Site Data'!$B$3:$L$42,5,FALSE)</f>
        <v>#N/A</v>
      </c>
      <c r="V779" s="10" t="e">
        <f>VLOOKUP(AJ771,'FRC Site Data'!$B$3:$L$42,6,FALSE)</f>
        <v>#N/A</v>
      </c>
      <c r="W779" s="10" t="e">
        <f>VLOOKUP(AJ771,'FRC Site Data'!$B$3:$L$42,8,FALSE)</f>
        <v>#N/A</v>
      </c>
      <c r="X779" s="10" t="e">
        <f>VLOOKUP(AJ771,'FRC Site Data'!$B$3:$L$42,9,FALSE)</f>
        <v>#N/A</v>
      </c>
      <c r="Y779" s="10" t="e">
        <f>VLOOKUP(AJ771,'FRC Site Data'!$B$3:$L$42,10,FALSE)</f>
        <v>#N/A</v>
      </c>
      <c r="Z779" s="10" t="e">
        <f>VLOOKUP(AJ771,'FRC Site Data'!$B$3:$L$42,11,FALSE)</f>
        <v>#N/A</v>
      </c>
      <c r="AA779" s="10" t="e">
        <f>VLOOKUP(AJ771,'CIR Team Info'!$C$5:$E$44,4,FALSE)</f>
        <v>#N/A</v>
      </c>
      <c r="AB779" s="161" t="b">
        <f>ISNUMBER(VLOOKUP(AJ771,Match!$T$5:$T$10,1,FALSE))</f>
        <v>0</v>
      </c>
      <c r="AC779" s="161" t="b">
        <f>IF(AB779=TRUE,(VLOOKUP($AJ771,Match!$T$5:$U$10,2,FALSE)))</f>
        <v>0</v>
      </c>
      <c r="AD779" s="8">
        <v>3</v>
      </c>
      <c r="AE779" s="8">
        <v>2</v>
      </c>
      <c r="AF779" s="8">
        <v>2</v>
      </c>
      <c r="AG779" s="8">
        <v>1</v>
      </c>
      <c r="AH779" s="8" t="str">
        <f t="shared" si="218"/>
        <v/>
      </c>
    </row>
    <row r="780" spans="1:34" x14ac:dyDescent="0.25">
      <c r="A780" s="29">
        <f t="shared" si="225"/>
        <v>0</v>
      </c>
      <c r="B780" s="29">
        <f t="shared" si="219"/>
        <v>0</v>
      </c>
      <c r="C780" s="29">
        <f t="shared" si="220"/>
        <v>0</v>
      </c>
      <c r="D780" s="29">
        <f t="shared" si="221"/>
        <v>0</v>
      </c>
      <c r="E780" s="29">
        <f t="shared" si="226"/>
        <v>0</v>
      </c>
      <c r="F780" s="29">
        <f t="shared" si="227"/>
        <v>0</v>
      </c>
      <c r="G780" s="29" t="str">
        <f t="shared" si="228"/>
        <v>offensive</v>
      </c>
      <c r="H780" s="16">
        <f t="shared" si="216"/>
        <v>0</v>
      </c>
      <c r="I780" s="16">
        <f t="shared" si="217"/>
        <v>0</v>
      </c>
      <c r="J780" s="16">
        <f t="shared" si="222"/>
        <v>0</v>
      </c>
      <c r="K780" s="16">
        <f t="shared" si="229"/>
        <v>0</v>
      </c>
      <c r="L780" s="67">
        <f t="shared" si="230"/>
        <v>0</v>
      </c>
      <c r="M780" s="4">
        <f t="shared" si="223"/>
        <v>0</v>
      </c>
      <c r="N780" s="4">
        <f t="shared" si="224"/>
        <v>0</v>
      </c>
      <c r="O780" s="4">
        <f t="shared" si="231"/>
        <v>0</v>
      </c>
      <c r="P780" s="4" t="e">
        <f>VLOOKUP(AJ772,'CIR Team Info'!$C$5:$E$44,2,FALSE)</f>
        <v>#N/A</v>
      </c>
      <c r="Q780" s="4" t="e">
        <f>VLOOKUP(AJ772,'CIR Team Info'!$C$5:$E$44,3,FALSE)</f>
        <v>#N/A</v>
      </c>
      <c r="R780" s="10" t="e">
        <f>VLOOKUP(AJ772,'FRC Site Data'!$B$3:$L$42,2,FALSE)</f>
        <v>#N/A</v>
      </c>
      <c r="S780" s="10" t="e">
        <f>VLOOKUP(AJ772,'FRC Site Data'!$B$3:$L$42,3,FALSE)</f>
        <v>#N/A</v>
      </c>
      <c r="T780" s="10" t="e">
        <f>VLOOKUP(AJ772,'FRC Site Data'!$B$3:$L$42,4,FALSE)</f>
        <v>#N/A</v>
      </c>
      <c r="U780" s="10" t="e">
        <f>VLOOKUP(AJ772,'FRC Site Data'!$B$3:$L$42,5,FALSE)</f>
        <v>#N/A</v>
      </c>
      <c r="V780" s="10" t="e">
        <f>VLOOKUP(AJ772,'FRC Site Data'!$B$3:$L$42,6,FALSE)</f>
        <v>#N/A</v>
      </c>
      <c r="W780" s="10" t="e">
        <f>VLOOKUP(AJ772,'FRC Site Data'!$B$3:$L$42,8,FALSE)</f>
        <v>#N/A</v>
      </c>
      <c r="X780" s="10" t="e">
        <f>VLOOKUP(AJ772,'FRC Site Data'!$B$3:$L$42,9,FALSE)</f>
        <v>#N/A</v>
      </c>
      <c r="Y780" s="10" t="e">
        <f>VLOOKUP(AJ772,'FRC Site Data'!$B$3:$L$42,10,FALSE)</f>
        <v>#N/A</v>
      </c>
      <c r="Z780" s="10" t="e">
        <f>VLOOKUP(AJ772,'FRC Site Data'!$B$3:$L$42,11,FALSE)</f>
        <v>#N/A</v>
      </c>
      <c r="AA780" s="10" t="e">
        <f>VLOOKUP(AJ772,'CIR Team Info'!$C$5:$E$44,4,FALSE)</f>
        <v>#N/A</v>
      </c>
      <c r="AB780" s="161" t="b">
        <f>ISNUMBER(VLOOKUP(AJ772,Match!$T$5:$T$10,1,FALSE))</f>
        <v>0</v>
      </c>
      <c r="AC780" s="161" t="b">
        <f>IF(AB780=TRUE,(VLOOKUP($AJ772,Match!$T$5:$U$10,2,FALSE)))</f>
        <v>0</v>
      </c>
      <c r="AD780" s="8">
        <v>3</v>
      </c>
      <c r="AE780" s="8">
        <v>2</v>
      </c>
      <c r="AF780" s="8">
        <v>2</v>
      </c>
      <c r="AG780" s="8">
        <v>1</v>
      </c>
      <c r="AH780" s="8" t="str">
        <f t="shared" si="218"/>
        <v/>
      </c>
    </row>
    <row r="781" spans="1:34" x14ac:dyDescent="0.25">
      <c r="A781" s="29">
        <f t="shared" si="225"/>
        <v>0</v>
      </c>
      <c r="B781" s="29">
        <f t="shared" si="219"/>
        <v>0</v>
      </c>
      <c r="C781" s="29">
        <f t="shared" si="220"/>
        <v>0</v>
      </c>
      <c r="D781" s="29">
        <f t="shared" si="221"/>
        <v>0</v>
      </c>
      <c r="E781" s="29">
        <f t="shared" si="226"/>
        <v>0</v>
      </c>
      <c r="F781" s="29">
        <f t="shared" si="227"/>
        <v>0</v>
      </c>
      <c r="G781" s="29" t="str">
        <f t="shared" si="228"/>
        <v>offensive</v>
      </c>
      <c r="H781" s="16">
        <f t="shared" si="216"/>
        <v>0</v>
      </c>
      <c r="I781" s="16">
        <f t="shared" si="217"/>
        <v>0</v>
      </c>
      <c r="J781" s="16">
        <f t="shared" si="222"/>
        <v>0</v>
      </c>
      <c r="K781" s="16">
        <f t="shared" si="229"/>
        <v>0</v>
      </c>
      <c r="L781" s="67">
        <f t="shared" si="230"/>
        <v>0</v>
      </c>
      <c r="M781" s="4">
        <f t="shared" si="223"/>
        <v>0</v>
      </c>
      <c r="N781" s="4">
        <f t="shared" si="224"/>
        <v>0</v>
      </c>
      <c r="O781" s="4">
        <f t="shared" si="231"/>
        <v>0</v>
      </c>
      <c r="P781" s="4" t="e">
        <f>VLOOKUP(AJ773,'CIR Team Info'!$C$5:$E$44,2,FALSE)</f>
        <v>#N/A</v>
      </c>
      <c r="Q781" s="4" t="e">
        <f>VLOOKUP(AJ773,'CIR Team Info'!$C$5:$E$44,3,FALSE)</f>
        <v>#N/A</v>
      </c>
      <c r="R781" s="10" t="e">
        <f>VLOOKUP(AJ773,'FRC Site Data'!$B$3:$L$42,2,FALSE)</f>
        <v>#N/A</v>
      </c>
      <c r="S781" s="10" t="e">
        <f>VLOOKUP(AJ773,'FRC Site Data'!$B$3:$L$42,3,FALSE)</f>
        <v>#N/A</v>
      </c>
      <c r="T781" s="10" t="e">
        <f>VLOOKUP(AJ773,'FRC Site Data'!$B$3:$L$42,4,FALSE)</f>
        <v>#N/A</v>
      </c>
      <c r="U781" s="10" t="e">
        <f>VLOOKUP(AJ773,'FRC Site Data'!$B$3:$L$42,5,FALSE)</f>
        <v>#N/A</v>
      </c>
      <c r="V781" s="10" t="e">
        <f>VLOOKUP(AJ773,'FRC Site Data'!$B$3:$L$42,6,FALSE)</f>
        <v>#N/A</v>
      </c>
      <c r="W781" s="10" t="e">
        <f>VLOOKUP(AJ773,'FRC Site Data'!$B$3:$L$42,8,FALSE)</f>
        <v>#N/A</v>
      </c>
      <c r="X781" s="10" t="e">
        <f>VLOOKUP(AJ773,'FRC Site Data'!$B$3:$L$42,9,FALSE)</f>
        <v>#N/A</v>
      </c>
      <c r="Y781" s="10" t="e">
        <f>VLOOKUP(AJ773,'FRC Site Data'!$B$3:$L$42,10,FALSE)</f>
        <v>#N/A</v>
      </c>
      <c r="Z781" s="10" t="e">
        <f>VLOOKUP(AJ773,'FRC Site Data'!$B$3:$L$42,11,FALSE)</f>
        <v>#N/A</v>
      </c>
      <c r="AA781" s="10" t="e">
        <f>VLOOKUP(AJ773,'CIR Team Info'!$C$5:$E$44,4,FALSE)</f>
        <v>#N/A</v>
      </c>
      <c r="AB781" s="161" t="b">
        <f>ISNUMBER(VLOOKUP(AJ773,Match!$T$5:$T$10,1,FALSE))</f>
        <v>0</v>
      </c>
      <c r="AC781" s="161" t="b">
        <f>IF(AB781=TRUE,(VLOOKUP($AJ773,Match!$T$5:$U$10,2,FALSE)))</f>
        <v>0</v>
      </c>
      <c r="AD781" s="8">
        <v>3</v>
      </c>
      <c r="AE781" s="8">
        <v>2</v>
      </c>
      <c r="AF781" s="8">
        <v>2</v>
      </c>
      <c r="AG781" s="8">
        <v>1</v>
      </c>
      <c r="AH781" s="8" t="str">
        <f t="shared" si="218"/>
        <v/>
      </c>
    </row>
    <row r="782" spans="1:34" x14ac:dyDescent="0.25">
      <c r="A782" s="29">
        <f t="shared" si="225"/>
        <v>0</v>
      </c>
      <c r="B782" s="29">
        <f t="shared" si="219"/>
        <v>0</v>
      </c>
      <c r="C782" s="29">
        <f t="shared" si="220"/>
        <v>0</v>
      </c>
      <c r="D782" s="29">
        <f t="shared" si="221"/>
        <v>0</v>
      </c>
      <c r="E782" s="29">
        <f t="shared" si="226"/>
        <v>0</v>
      </c>
      <c r="F782" s="29">
        <f t="shared" si="227"/>
        <v>0</v>
      </c>
      <c r="G782" s="29" t="str">
        <f t="shared" si="228"/>
        <v>offensive</v>
      </c>
      <c r="H782" s="16">
        <f t="shared" si="216"/>
        <v>0</v>
      </c>
      <c r="I782" s="16">
        <f t="shared" si="217"/>
        <v>0</v>
      </c>
      <c r="J782" s="16">
        <f t="shared" si="222"/>
        <v>0</v>
      </c>
      <c r="K782" s="16">
        <f t="shared" si="229"/>
        <v>0</v>
      </c>
      <c r="L782" s="67">
        <f t="shared" si="230"/>
        <v>0</v>
      </c>
      <c r="M782" s="4">
        <f t="shared" si="223"/>
        <v>0</v>
      </c>
      <c r="N782" s="4">
        <f t="shared" si="224"/>
        <v>0</v>
      </c>
      <c r="O782" s="4">
        <f t="shared" si="231"/>
        <v>0</v>
      </c>
      <c r="P782" s="4" t="e">
        <f>VLOOKUP(AJ774,'CIR Team Info'!$C$5:$E$44,2,FALSE)</f>
        <v>#N/A</v>
      </c>
      <c r="Q782" s="4" t="e">
        <f>VLOOKUP(AJ774,'CIR Team Info'!$C$5:$E$44,3,FALSE)</f>
        <v>#N/A</v>
      </c>
      <c r="R782" s="10" t="e">
        <f>VLOOKUP(AJ774,'FRC Site Data'!$B$3:$L$42,2,FALSE)</f>
        <v>#N/A</v>
      </c>
      <c r="S782" s="10" t="e">
        <f>VLOOKUP(AJ774,'FRC Site Data'!$B$3:$L$42,3,FALSE)</f>
        <v>#N/A</v>
      </c>
      <c r="T782" s="10" t="e">
        <f>VLOOKUP(AJ774,'FRC Site Data'!$B$3:$L$42,4,FALSE)</f>
        <v>#N/A</v>
      </c>
      <c r="U782" s="10" t="e">
        <f>VLOOKUP(AJ774,'FRC Site Data'!$B$3:$L$42,5,FALSE)</f>
        <v>#N/A</v>
      </c>
      <c r="V782" s="10" t="e">
        <f>VLOOKUP(AJ774,'FRC Site Data'!$B$3:$L$42,6,FALSE)</f>
        <v>#N/A</v>
      </c>
      <c r="W782" s="10" t="e">
        <f>VLOOKUP(AJ774,'FRC Site Data'!$B$3:$L$42,8,FALSE)</f>
        <v>#N/A</v>
      </c>
      <c r="X782" s="10" t="e">
        <f>VLOOKUP(AJ774,'FRC Site Data'!$B$3:$L$42,9,FALSE)</f>
        <v>#N/A</v>
      </c>
      <c r="Y782" s="10" t="e">
        <f>VLOOKUP(AJ774,'FRC Site Data'!$B$3:$L$42,10,FALSE)</f>
        <v>#N/A</v>
      </c>
      <c r="Z782" s="10" t="e">
        <f>VLOOKUP(AJ774,'FRC Site Data'!$B$3:$L$42,11,FALSE)</f>
        <v>#N/A</v>
      </c>
      <c r="AA782" s="10" t="e">
        <f>VLOOKUP(AJ774,'CIR Team Info'!$C$5:$E$44,4,FALSE)</f>
        <v>#N/A</v>
      </c>
      <c r="AB782" s="161" t="b">
        <f>ISNUMBER(VLOOKUP(AJ774,Match!$T$5:$T$10,1,FALSE))</f>
        <v>0</v>
      </c>
      <c r="AC782" s="161" t="b">
        <f>IF(AB782=TRUE,(VLOOKUP($AJ774,Match!$T$5:$U$10,2,FALSE)))</f>
        <v>0</v>
      </c>
      <c r="AD782" s="8">
        <v>3</v>
      </c>
      <c r="AE782" s="8">
        <v>2</v>
      </c>
      <c r="AF782" s="8">
        <v>2</v>
      </c>
      <c r="AG782" s="8">
        <v>1</v>
      </c>
      <c r="AH782" s="8" t="str">
        <f t="shared" si="218"/>
        <v/>
      </c>
    </row>
    <row r="783" spans="1:34" x14ac:dyDescent="0.25">
      <c r="A783" s="29">
        <f t="shared" si="225"/>
        <v>0</v>
      </c>
      <c r="B783" s="29">
        <f t="shared" si="219"/>
        <v>0</v>
      </c>
      <c r="C783" s="29">
        <f t="shared" si="220"/>
        <v>0</v>
      </c>
      <c r="D783" s="29">
        <f t="shared" si="221"/>
        <v>0</v>
      </c>
      <c r="E783" s="29">
        <f t="shared" si="226"/>
        <v>0</v>
      </c>
      <c r="F783" s="29">
        <f t="shared" si="227"/>
        <v>0</v>
      </c>
      <c r="G783" s="29" t="str">
        <f t="shared" si="228"/>
        <v>offensive</v>
      </c>
      <c r="H783" s="16">
        <f t="shared" ref="H783:H846" si="232">IF((AO775+AP775)=0,0,AO775/(AO775+AP775))</f>
        <v>0</v>
      </c>
      <c r="I783" s="16">
        <f t="shared" ref="I783:I846" si="233">IF((AV775+AW775)=0,0,AV775/(AV775+AW775))</f>
        <v>0</v>
      </c>
      <c r="J783" s="16">
        <f t="shared" si="222"/>
        <v>0</v>
      </c>
      <c r="K783" s="16">
        <f t="shared" si="229"/>
        <v>0</v>
      </c>
      <c r="L783" s="67">
        <f t="shared" si="230"/>
        <v>0</v>
      </c>
      <c r="M783" s="4">
        <f t="shared" si="223"/>
        <v>0</v>
      </c>
      <c r="N783" s="4">
        <f t="shared" si="224"/>
        <v>0</v>
      </c>
      <c r="O783" s="4">
        <f t="shared" si="231"/>
        <v>0</v>
      </c>
      <c r="P783" s="4" t="e">
        <f>VLOOKUP(AJ775,'CIR Team Info'!$C$5:$E$44,2,FALSE)</f>
        <v>#N/A</v>
      </c>
      <c r="Q783" s="4" t="e">
        <f>VLOOKUP(AJ775,'CIR Team Info'!$C$5:$E$44,3,FALSE)</f>
        <v>#N/A</v>
      </c>
      <c r="R783" s="10" t="e">
        <f>VLOOKUP(AJ775,'FRC Site Data'!$B$3:$L$42,2,FALSE)</f>
        <v>#N/A</v>
      </c>
      <c r="S783" s="10" t="e">
        <f>VLOOKUP(AJ775,'FRC Site Data'!$B$3:$L$42,3,FALSE)</f>
        <v>#N/A</v>
      </c>
      <c r="T783" s="10" t="e">
        <f>VLOOKUP(AJ775,'FRC Site Data'!$B$3:$L$42,4,FALSE)</f>
        <v>#N/A</v>
      </c>
      <c r="U783" s="10" t="e">
        <f>VLOOKUP(AJ775,'FRC Site Data'!$B$3:$L$42,5,FALSE)</f>
        <v>#N/A</v>
      </c>
      <c r="V783" s="10" t="e">
        <f>VLOOKUP(AJ775,'FRC Site Data'!$B$3:$L$42,6,FALSE)</f>
        <v>#N/A</v>
      </c>
      <c r="W783" s="10" t="e">
        <f>VLOOKUP(AJ775,'FRC Site Data'!$B$3:$L$42,8,FALSE)</f>
        <v>#N/A</v>
      </c>
      <c r="X783" s="10" t="e">
        <f>VLOOKUP(AJ775,'FRC Site Data'!$B$3:$L$42,9,FALSE)</f>
        <v>#N/A</v>
      </c>
      <c r="Y783" s="10" t="e">
        <f>VLOOKUP(AJ775,'FRC Site Data'!$B$3:$L$42,10,FALSE)</f>
        <v>#N/A</v>
      </c>
      <c r="Z783" s="10" t="e">
        <f>VLOOKUP(AJ775,'FRC Site Data'!$B$3:$L$42,11,FALSE)</f>
        <v>#N/A</v>
      </c>
      <c r="AA783" s="10" t="e">
        <f>VLOOKUP(AJ775,'CIR Team Info'!$C$5:$E$44,4,FALSE)</f>
        <v>#N/A</v>
      </c>
      <c r="AB783" s="161" t="b">
        <f>ISNUMBER(VLOOKUP(AJ775,Match!$T$5:$T$10,1,FALSE))</f>
        <v>0</v>
      </c>
      <c r="AC783" s="161" t="b">
        <f>IF(AB783=TRUE,(VLOOKUP($AJ775,Match!$T$5:$U$10,2,FALSE)))</f>
        <v>0</v>
      </c>
      <c r="AD783" s="8">
        <v>3</v>
      </c>
      <c r="AE783" s="8">
        <v>2</v>
      </c>
      <c r="AF783" s="8">
        <v>2</v>
      </c>
      <c r="AG783" s="8">
        <v>1</v>
      </c>
      <c r="AH783" s="8" t="str">
        <f t="shared" si="218"/>
        <v/>
      </c>
    </row>
    <row r="784" spans="1:34" x14ac:dyDescent="0.25">
      <c r="A784" s="29">
        <f t="shared" si="225"/>
        <v>0</v>
      </c>
      <c r="B784" s="29">
        <f t="shared" si="219"/>
        <v>0</v>
      </c>
      <c r="C784" s="29">
        <f t="shared" si="220"/>
        <v>0</v>
      </c>
      <c r="D784" s="29">
        <f t="shared" si="221"/>
        <v>0</v>
      </c>
      <c r="E784" s="29">
        <f t="shared" si="226"/>
        <v>0</v>
      </c>
      <c r="F784" s="29">
        <f t="shared" si="227"/>
        <v>0</v>
      </c>
      <c r="G784" s="29" t="str">
        <f t="shared" si="228"/>
        <v>offensive</v>
      </c>
      <c r="H784" s="16">
        <f t="shared" si="232"/>
        <v>0</v>
      </c>
      <c r="I784" s="16">
        <f t="shared" si="233"/>
        <v>0</v>
      </c>
      <c r="J784" s="16">
        <f t="shared" si="222"/>
        <v>0</v>
      </c>
      <c r="K784" s="16">
        <f t="shared" si="229"/>
        <v>0</v>
      </c>
      <c r="L784" s="67">
        <f t="shared" si="230"/>
        <v>0</v>
      </c>
      <c r="M784" s="4">
        <f t="shared" si="223"/>
        <v>0</v>
      </c>
      <c r="N784" s="4">
        <f t="shared" si="224"/>
        <v>0</v>
      </c>
      <c r="O784" s="4">
        <f t="shared" si="231"/>
        <v>0</v>
      </c>
      <c r="P784" s="4" t="e">
        <f>VLOOKUP(AJ776,'CIR Team Info'!$C$5:$E$44,2,FALSE)</f>
        <v>#N/A</v>
      </c>
      <c r="Q784" s="4" t="e">
        <f>VLOOKUP(AJ776,'CIR Team Info'!$C$5:$E$44,3,FALSE)</f>
        <v>#N/A</v>
      </c>
      <c r="R784" s="10" t="e">
        <f>VLOOKUP(AJ776,'FRC Site Data'!$B$3:$L$42,2,FALSE)</f>
        <v>#N/A</v>
      </c>
      <c r="S784" s="10" t="e">
        <f>VLOOKUP(AJ776,'FRC Site Data'!$B$3:$L$42,3,FALSE)</f>
        <v>#N/A</v>
      </c>
      <c r="T784" s="10" t="e">
        <f>VLOOKUP(AJ776,'FRC Site Data'!$B$3:$L$42,4,FALSE)</f>
        <v>#N/A</v>
      </c>
      <c r="U784" s="10" t="e">
        <f>VLOOKUP(AJ776,'FRC Site Data'!$B$3:$L$42,5,FALSE)</f>
        <v>#N/A</v>
      </c>
      <c r="V784" s="10" t="e">
        <f>VLOOKUP(AJ776,'FRC Site Data'!$B$3:$L$42,6,FALSE)</f>
        <v>#N/A</v>
      </c>
      <c r="W784" s="10" t="e">
        <f>VLOOKUP(AJ776,'FRC Site Data'!$B$3:$L$42,8,FALSE)</f>
        <v>#N/A</v>
      </c>
      <c r="X784" s="10" t="e">
        <f>VLOOKUP(AJ776,'FRC Site Data'!$B$3:$L$42,9,FALSE)</f>
        <v>#N/A</v>
      </c>
      <c r="Y784" s="10" t="e">
        <f>VLOOKUP(AJ776,'FRC Site Data'!$B$3:$L$42,10,FALSE)</f>
        <v>#N/A</v>
      </c>
      <c r="Z784" s="10" t="e">
        <f>VLOOKUP(AJ776,'FRC Site Data'!$B$3:$L$42,11,FALSE)</f>
        <v>#N/A</v>
      </c>
      <c r="AA784" s="10" t="e">
        <f>VLOOKUP(AJ776,'CIR Team Info'!$C$5:$E$44,4,FALSE)</f>
        <v>#N/A</v>
      </c>
      <c r="AB784" s="161" t="b">
        <f>ISNUMBER(VLOOKUP(AJ776,Match!$T$5:$T$10,1,FALSE))</f>
        <v>0</v>
      </c>
      <c r="AC784" s="161" t="b">
        <f>IF(AB784=TRUE,(VLOOKUP($AJ776,Match!$T$5:$U$10,2,FALSE)))</f>
        <v>0</v>
      </c>
      <c r="AD784" s="8">
        <v>3</v>
      </c>
      <c r="AE784" s="8">
        <v>2</v>
      </c>
      <c r="AF784" s="8">
        <v>2</v>
      </c>
      <c r="AG784" s="8">
        <v>1</v>
      </c>
      <c r="AH784" s="8" t="str">
        <f t="shared" si="218"/>
        <v/>
      </c>
    </row>
    <row r="785" spans="1:34" x14ac:dyDescent="0.25">
      <c r="A785" s="29">
        <f t="shared" si="225"/>
        <v>0</v>
      </c>
      <c r="B785" s="29">
        <f t="shared" si="219"/>
        <v>0</v>
      </c>
      <c r="C785" s="29">
        <f t="shared" si="220"/>
        <v>0</v>
      </c>
      <c r="D785" s="29">
        <f t="shared" si="221"/>
        <v>0</v>
      </c>
      <c r="E785" s="29">
        <f t="shared" si="226"/>
        <v>0</v>
      </c>
      <c r="F785" s="29">
        <f t="shared" si="227"/>
        <v>0</v>
      </c>
      <c r="G785" s="29" t="str">
        <f t="shared" si="228"/>
        <v>offensive</v>
      </c>
      <c r="H785" s="16">
        <f t="shared" si="232"/>
        <v>0</v>
      </c>
      <c r="I785" s="16">
        <f t="shared" si="233"/>
        <v>0</v>
      </c>
      <c r="J785" s="16">
        <f t="shared" si="222"/>
        <v>0</v>
      </c>
      <c r="K785" s="16">
        <f t="shared" si="229"/>
        <v>0</v>
      </c>
      <c r="L785" s="67">
        <f t="shared" si="230"/>
        <v>0</v>
      </c>
      <c r="M785" s="4">
        <f t="shared" si="223"/>
        <v>0</v>
      </c>
      <c r="N785" s="4">
        <f t="shared" si="224"/>
        <v>0</v>
      </c>
      <c r="O785" s="4">
        <f t="shared" si="231"/>
        <v>0</v>
      </c>
      <c r="P785" s="4" t="e">
        <f>VLOOKUP(AJ777,'CIR Team Info'!$C$5:$E$44,2,FALSE)</f>
        <v>#N/A</v>
      </c>
      <c r="Q785" s="4" t="e">
        <f>VLOOKUP(AJ777,'CIR Team Info'!$C$5:$E$44,3,FALSE)</f>
        <v>#N/A</v>
      </c>
      <c r="R785" s="10" t="e">
        <f>VLOOKUP(AJ777,'FRC Site Data'!$B$3:$L$42,2,FALSE)</f>
        <v>#N/A</v>
      </c>
      <c r="S785" s="10" t="e">
        <f>VLOOKUP(AJ777,'FRC Site Data'!$B$3:$L$42,3,FALSE)</f>
        <v>#N/A</v>
      </c>
      <c r="T785" s="10" t="e">
        <f>VLOOKUP(AJ777,'FRC Site Data'!$B$3:$L$42,4,FALSE)</f>
        <v>#N/A</v>
      </c>
      <c r="U785" s="10" t="e">
        <f>VLOOKUP(AJ777,'FRC Site Data'!$B$3:$L$42,5,FALSE)</f>
        <v>#N/A</v>
      </c>
      <c r="V785" s="10" t="e">
        <f>VLOOKUP(AJ777,'FRC Site Data'!$B$3:$L$42,6,FALSE)</f>
        <v>#N/A</v>
      </c>
      <c r="W785" s="10" t="e">
        <f>VLOOKUP(AJ777,'FRC Site Data'!$B$3:$L$42,8,FALSE)</f>
        <v>#N/A</v>
      </c>
      <c r="X785" s="10" t="e">
        <f>VLOOKUP(AJ777,'FRC Site Data'!$B$3:$L$42,9,FALSE)</f>
        <v>#N/A</v>
      </c>
      <c r="Y785" s="10" t="e">
        <f>VLOOKUP(AJ777,'FRC Site Data'!$B$3:$L$42,10,FALSE)</f>
        <v>#N/A</v>
      </c>
      <c r="Z785" s="10" t="e">
        <f>VLOOKUP(AJ777,'FRC Site Data'!$B$3:$L$42,11,FALSE)</f>
        <v>#N/A</v>
      </c>
      <c r="AA785" s="10" t="e">
        <f>VLOOKUP(AJ777,'CIR Team Info'!$C$5:$E$44,4,FALSE)</f>
        <v>#N/A</v>
      </c>
      <c r="AB785" s="161" t="b">
        <f>ISNUMBER(VLOOKUP(AJ777,Match!$T$5:$T$10,1,FALSE))</f>
        <v>0</v>
      </c>
      <c r="AC785" s="161" t="b">
        <f>IF(AB785=TRUE,(VLOOKUP($AJ777,Match!$T$5:$U$10,2,FALSE)))</f>
        <v>0</v>
      </c>
      <c r="AD785" s="8">
        <v>3</v>
      </c>
      <c r="AE785" s="8">
        <v>2</v>
      </c>
      <c r="AF785" s="8">
        <v>2</v>
      </c>
      <c r="AG785" s="8">
        <v>1</v>
      </c>
      <c r="AH785" s="8" t="str">
        <f t="shared" si="218"/>
        <v/>
      </c>
    </row>
    <row r="786" spans="1:34" x14ac:dyDescent="0.25">
      <c r="A786" s="29">
        <f t="shared" si="225"/>
        <v>0</v>
      </c>
      <c r="B786" s="29">
        <f t="shared" si="219"/>
        <v>0</v>
      </c>
      <c r="C786" s="29">
        <f t="shared" si="220"/>
        <v>0</v>
      </c>
      <c r="D786" s="29">
        <f t="shared" si="221"/>
        <v>0</v>
      </c>
      <c r="E786" s="29">
        <f t="shared" si="226"/>
        <v>0</v>
      </c>
      <c r="F786" s="29">
        <f t="shared" si="227"/>
        <v>0</v>
      </c>
      <c r="G786" s="29" t="str">
        <f t="shared" si="228"/>
        <v>offensive</v>
      </c>
      <c r="H786" s="16">
        <f t="shared" si="232"/>
        <v>0</v>
      </c>
      <c r="I786" s="16">
        <f t="shared" si="233"/>
        <v>0</v>
      </c>
      <c r="J786" s="16">
        <f t="shared" si="222"/>
        <v>0</v>
      </c>
      <c r="K786" s="16">
        <f t="shared" si="229"/>
        <v>0</v>
      </c>
      <c r="L786" s="67">
        <f t="shared" si="230"/>
        <v>0</v>
      </c>
      <c r="M786" s="4">
        <f t="shared" si="223"/>
        <v>0</v>
      </c>
      <c r="N786" s="4">
        <f t="shared" si="224"/>
        <v>0</v>
      </c>
      <c r="O786" s="4">
        <f t="shared" si="231"/>
        <v>0</v>
      </c>
      <c r="P786" s="4" t="e">
        <f>VLOOKUP(AJ778,'CIR Team Info'!$C$5:$E$44,2,FALSE)</f>
        <v>#N/A</v>
      </c>
      <c r="Q786" s="4" t="e">
        <f>VLOOKUP(AJ778,'CIR Team Info'!$C$5:$E$44,3,FALSE)</f>
        <v>#N/A</v>
      </c>
      <c r="R786" s="10" t="e">
        <f>VLOOKUP(AJ778,'FRC Site Data'!$B$3:$L$42,2,FALSE)</f>
        <v>#N/A</v>
      </c>
      <c r="S786" s="10" t="e">
        <f>VLOOKUP(AJ778,'FRC Site Data'!$B$3:$L$42,3,FALSE)</f>
        <v>#N/A</v>
      </c>
      <c r="T786" s="10" t="e">
        <f>VLOOKUP(AJ778,'FRC Site Data'!$B$3:$L$42,4,FALSE)</f>
        <v>#N/A</v>
      </c>
      <c r="U786" s="10" t="e">
        <f>VLOOKUP(AJ778,'FRC Site Data'!$B$3:$L$42,5,FALSE)</f>
        <v>#N/A</v>
      </c>
      <c r="V786" s="10" t="e">
        <f>VLOOKUP(AJ778,'FRC Site Data'!$B$3:$L$42,6,FALSE)</f>
        <v>#N/A</v>
      </c>
      <c r="W786" s="10" t="e">
        <f>VLOOKUP(AJ778,'FRC Site Data'!$B$3:$L$42,8,FALSE)</f>
        <v>#N/A</v>
      </c>
      <c r="X786" s="10" t="e">
        <f>VLOOKUP(AJ778,'FRC Site Data'!$B$3:$L$42,9,FALSE)</f>
        <v>#N/A</v>
      </c>
      <c r="Y786" s="10" t="e">
        <f>VLOOKUP(AJ778,'FRC Site Data'!$B$3:$L$42,10,FALSE)</f>
        <v>#N/A</v>
      </c>
      <c r="Z786" s="10" t="e">
        <f>VLOOKUP(AJ778,'FRC Site Data'!$B$3:$L$42,11,FALSE)</f>
        <v>#N/A</v>
      </c>
      <c r="AA786" s="10" t="e">
        <f>VLOOKUP(AJ778,'CIR Team Info'!$C$5:$E$44,4,FALSE)</f>
        <v>#N/A</v>
      </c>
      <c r="AB786" s="161" t="b">
        <f>ISNUMBER(VLOOKUP(AJ778,Match!$T$5:$T$10,1,FALSE))</f>
        <v>0</v>
      </c>
      <c r="AC786" s="161" t="b">
        <f>IF(AB786=TRUE,(VLOOKUP($AJ778,Match!$T$5:$U$10,2,FALSE)))</f>
        <v>0</v>
      </c>
      <c r="AD786" s="8">
        <v>3</v>
      </c>
      <c r="AE786" s="8">
        <v>2</v>
      </c>
      <c r="AF786" s="8">
        <v>2</v>
      </c>
      <c r="AG786" s="8">
        <v>1</v>
      </c>
      <c r="AH786" s="8" t="str">
        <f t="shared" si="218"/>
        <v/>
      </c>
    </row>
    <row r="787" spans="1:34" x14ac:dyDescent="0.25">
      <c r="A787" s="29">
        <f t="shared" si="225"/>
        <v>0</v>
      </c>
      <c r="B787" s="29">
        <f t="shared" si="219"/>
        <v>0</v>
      </c>
      <c r="C787" s="29">
        <f t="shared" si="220"/>
        <v>0</v>
      </c>
      <c r="D787" s="29">
        <f t="shared" si="221"/>
        <v>0</v>
      </c>
      <c r="E787" s="29">
        <f t="shared" si="226"/>
        <v>0</v>
      </c>
      <c r="F787" s="29">
        <f t="shared" si="227"/>
        <v>0</v>
      </c>
      <c r="G787" s="29" t="str">
        <f t="shared" si="228"/>
        <v>offensive</v>
      </c>
      <c r="H787" s="16">
        <f t="shared" si="232"/>
        <v>0</v>
      </c>
      <c r="I787" s="16">
        <f t="shared" si="233"/>
        <v>0</v>
      </c>
      <c r="J787" s="16">
        <f t="shared" si="222"/>
        <v>0</v>
      </c>
      <c r="K787" s="16">
        <f t="shared" si="229"/>
        <v>0</v>
      </c>
      <c r="L787" s="67">
        <f t="shared" si="230"/>
        <v>0</v>
      </c>
      <c r="M787" s="4">
        <f t="shared" si="223"/>
        <v>0</v>
      </c>
      <c r="N787" s="4">
        <f t="shared" si="224"/>
        <v>0</v>
      </c>
      <c r="O787" s="4">
        <f t="shared" si="231"/>
        <v>0</v>
      </c>
      <c r="P787" s="4" t="e">
        <f>VLOOKUP(AJ779,'CIR Team Info'!$C$5:$E$44,2,FALSE)</f>
        <v>#N/A</v>
      </c>
      <c r="Q787" s="4" t="e">
        <f>VLOOKUP(AJ779,'CIR Team Info'!$C$5:$E$44,3,FALSE)</f>
        <v>#N/A</v>
      </c>
      <c r="R787" s="10" t="e">
        <f>VLOOKUP(AJ779,'FRC Site Data'!$B$3:$L$42,2,FALSE)</f>
        <v>#N/A</v>
      </c>
      <c r="S787" s="10" t="e">
        <f>VLOOKUP(AJ779,'FRC Site Data'!$B$3:$L$42,3,FALSE)</f>
        <v>#N/A</v>
      </c>
      <c r="T787" s="10" t="e">
        <f>VLOOKUP(AJ779,'FRC Site Data'!$B$3:$L$42,4,FALSE)</f>
        <v>#N/A</v>
      </c>
      <c r="U787" s="10" t="e">
        <f>VLOOKUP(AJ779,'FRC Site Data'!$B$3:$L$42,5,FALSE)</f>
        <v>#N/A</v>
      </c>
      <c r="V787" s="10" t="e">
        <f>VLOOKUP(AJ779,'FRC Site Data'!$B$3:$L$42,6,FALSE)</f>
        <v>#N/A</v>
      </c>
      <c r="W787" s="10" t="e">
        <f>VLOOKUP(AJ779,'FRC Site Data'!$B$3:$L$42,8,FALSE)</f>
        <v>#N/A</v>
      </c>
      <c r="X787" s="10" t="e">
        <f>VLOOKUP(AJ779,'FRC Site Data'!$B$3:$L$42,9,FALSE)</f>
        <v>#N/A</v>
      </c>
      <c r="Y787" s="10" t="e">
        <f>VLOOKUP(AJ779,'FRC Site Data'!$B$3:$L$42,10,FALSE)</f>
        <v>#N/A</v>
      </c>
      <c r="Z787" s="10" t="e">
        <f>VLOOKUP(AJ779,'FRC Site Data'!$B$3:$L$42,11,FALSE)</f>
        <v>#N/A</v>
      </c>
      <c r="AA787" s="10" t="e">
        <f>VLOOKUP(AJ779,'CIR Team Info'!$C$5:$E$44,4,FALSE)</f>
        <v>#N/A</v>
      </c>
      <c r="AB787" s="161" t="b">
        <f>ISNUMBER(VLOOKUP(AJ779,Match!$T$5:$T$10,1,FALSE))</f>
        <v>0</v>
      </c>
      <c r="AC787" s="161" t="b">
        <f>IF(AB787=TRUE,(VLOOKUP($AJ779,Match!$T$5:$U$10,2,FALSE)))</f>
        <v>0</v>
      </c>
      <c r="AD787" s="8">
        <v>3</v>
      </c>
      <c r="AE787" s="8">
        <v>2</v>
      </c>
      <c r="AF787" s="8">
        <v>2</v>
      </c>
      <c r="AG787" s="8">
        <v>1</v>
      </c>
      <c r="AH787" s="8" t="str">
        <f t="shared" si="218"/>
        <v/>
      </c>
    </row>
    <row r="788" spans="1:34" x14ac:dyDescent="0.25">
      <c r="A788" s="29">
        <f t="shared" si="225"/>
        <v>0</v>
      </c>
      <c r="B788" s="29">
        <f t="shared" si="219"/>
        <v>0</v>
      </c>
      <c r="C788" s="29">
        <f t="shared" si="220"/>
        <v>0</v>
      </c>
      <c r="D788" s="29">
        <f t="shared" si="221"/>
        <v>0</v>
      </c>
      <c r="E788" s="29">
        <f t="shared" si="226"/>
        <v>0</v>
      </c>
      <c r="F788" s="29">
        <f t="shared" si="227"/>
        <v>0</v>
      </c>
      <c r="G788" s="29" t="str">
        <f t="shared" si="228"/>
        <v>offensive</v>
      </c>
      <c r="H788" s="16">
        <f t="shared" si="232"/>
        <v>0</v>
      </c>
      <c r="I788" s="16">
        <f t="shared" si="233"/>
        <v>0</v>
      </c>
      <c r="J788" s="16">
        <f t="shared" si="222"/>
        <v>0</v>
      </c>
      <c r="K788" s="16">
        <f t="shared" si="229"/>
        <v>0</v>
      </c>
      <c r="L788" s="67">
        <f t="shared" si="230"/>
        <v>0</v>
      </c>
      <c r="M788" s="4">
        <f t="shared" si="223"/>
        <v>0</v>
      </c>
      <c r="N788" s="4">
        <f t="shared" si="224"/>
        <v>0</v>
      </c>
      <c r="O788" s="4">
        <f t="shared" si="231"/>
        <v>0</v>
      </c>
      <c r="P788" s="4" t="e">
        <f>VLOOKUP(AJ780,'CIR Team Info'!$C$5:$E$44,2,FALSE)</f>
        <v>#N/A</v>
      </c>
      <c r="Q788" s="4" t="e">
        <f>VLOOKUP(AJ780,'CIR Team Info'!$C$5:$E$44,3,FALSE)</f>
        <v>#N/A</v>
      </c>
      <c r="R788" s="10" t="e">
        <f>VLOOKUP(AJ780,'FRC Site Data'!$B$3:$L$42,2,FALSE)</f>
        <v>#N/A</v>
      </c>
      <c r="S788" s="10" t="e">
        <f>VLOOKUP(AJ780,'FRC Site Data'!$B$3:$L$42,3,FALSE)</f>
        <v>#N/A</v>
      </c>
      <c r="T788" s="10" t="e">
        <f>VLOOKUP(AJ780,'FRC Site Data'!$B$3:$L$42,4,FALSE)</f>
        <v>#N/A</v>
      </c>
      <c r="U788" s="10" t="e">
        <f>VLOOKUP(AJ780,'FRC Site Data'!$B$3:$L$42,5,FALSE)</f>
        <v>#N/A</v>
      </c>
      <c r="V788" s="10" t="e">
        <f>VLOOKUP(AJ780,'FRC Site Data'!$B$3:$L$42,6,FALSE)</f>
        <v>#N/A</v>
      </c>
      <c r="W788" s="10" t="e">
        <f>VLOOKUP(AJ780,'FRC Site Data'!$B$3:$L$42,8,FALSE)</f>
        <v>#N/A</v>
      </c>
      <c r="X788" s="10" t="e">
        <f>VLOOKUP(AJ780,'FRC Site Data'!$B$3:$L$42,9,FALSE)</f>
        <v>#N/A</v>
      </c>
      <c r="Y788" s="10" t="e">
        <f>VLOOKUP(AJ780,'FRC Site Data'!$B$3:$L$42,10,FALSE)</f>
        <v>#N/A</v>
      </c>
      <c r="Z788" s="10" t="e">
        <f>VLOOKUP(AJ780,'FRC Site Data'!$B$3:$L$42,11,FALSE)</f>
        <v>#N/A</v>
      </c>
      <c r="AA788" s="10" t="e">
        <f>VLOOKUP(AJ780,'CIR Team Info'!$C$5:$E$44,4,FALSE)</f>
        <v>#N/A</v>
      </c>
      <c r="AB788" s="161" t="b">
        <f>ISNUMBER(VLOOKUP(AJ780,Match!$T$5:$T$10,1,FALSE))</f>
        <v>0</v>
      </c>
      <c r="AC788" s="161" t="b">
        <f>IF(AB788=TRUE,(VLOOKUP($AJ780,Match!$T$5:$U$10,2,FALSE)))</f>
        <v>0</v>
      </c>
      <c r="AD788" s="8">
        <v>3</v>
      </c>
      <c r="AE788" s="8">
        <v>2</v>
      </c>
      <c r="AF788" s="8">
        <v>2</v>
      </c>
      <c r="AG788" s="8">
        <v>1</v>
      </c>
      <c r="AH788" s="8" t="str">
        <f t="shared" si="218"/>
        <v/>
      </c>
    </row>
    <row r="789" spans="1:34" x14ac:dyDescent="0.25">
      <c r="A789" s="29">
        <f t="shared" si="225"/>
        <v>0</v>
      </c>
      <c r="B789" s="29">
        <f t="shared" si="219"/>
        <v>0</v>
      </c>
      <c r="C789" s="29">
        <f t="shared" si="220"/>
        <v>0</v>
      </c>
      <c r="D789" s="29">
        <f t="shared" si="221"/>
        <v>0</v>
      </c>
      <c r="E789" s="29">
        <f t="shared" si="226"/>
        <v>0</v>
      </c>
      <c r="F789" s="29">
        <f t="shared" si="227"/>
        <v>0</v>
      </c>
      <c r="G789" s="29" t="str">
        <f t="shared" si="228"/>
        <v>offensive</v>
      </c>
      <c r="H789" s="16">
        <f t="shared" si="232"/>
        <v>0</v>
      </c>
      <c r="I789" s="16">
        <f t="shared" si="233"/>
        <v>0</v>
      </c>
      <c r="J789" s="16">
        <f t="shared" si="222"/>
        <v>0</v>
      </c>
      <c r="K789" s="16">
        <f t="shared" si="229"/>
        <v>0</v>
      </c>
      <c r="L789" s="67">
        <f t="shared" si="230"/>
        <v>0</v>
      </c>
      <c r="M789" s="4">
        <f t="shared" si="223"/>
        <v>0</v>
      </c>
      <c r="N789" s="4">
        <f t="shared" si="224"/>
        <v>0</v>
      </c>
      <c r="O789" s="4">
        <f t="shared" si="231"/>
        <v>0</v>
      </c>
      <c r="P789" s="4" t="e">
        <f>VLOOKUP(AJ781,'CIR Team Info'!$C$5:$E$44,2,FALSE)</f>
        <v>#N/A</v>
      </c>
      <c r="Q789" s="4" t="e">
        <f>VLOOKUP(AJ781,'CIR Team Info'!$C$5:$E$44,3,FALSE)</f>
        <v>#N/A</v>
      </c>
      <c r="R789" s="10" t="e">
        <f>VLOOKUP(AJ781,'FRC Site Data'!$B$3:$L$42,2,FALSE)</f>
        <v>#N/A</v>
      </c>
      <c r="S789" s="10" t="e">
        <f>VLOOKUP(AJ781,'FRC Site Data'!$B$3:$L$42,3,FALSE)</f>
        <v>#N/A</v>
      </c>
      <c r="T789" s="10" t="e">
        <f>VLOOKUP(AJ781,'FRC Site Data'!$B$3:$L$42,4,FALSE)</f>
        <v>#N/A</v>
      </c>
      <c r="U789" s="10" t="e">
        <f>VLOOKUP(AJ781,'FRC Site Data'!$B$3:$L$42,5,FALSE)</f>
        <v>#N/A</v>
      </c>
      <c r="V789" s="10" t="e">
        <f>VLOOKUP(AJ781,'FRC Site Data'!$B$3:$L$42,6,FALSE)</f>
        <v>#N/A</v>
      </c>
      <c r="W789" s="10" t="e">
        <f>VLOOKUP(AJ781,'FRC Site Data'!$B$3:$L$42,8,FALSE)</f>
        <v>#N/A</v>
      </c>
      <c r="X789" s="10" t="e">
        <f>VLOOKUP(AJ781,'FRC Site Data'!$B$3:$L$42,9,FALSE)</f>
        <v>#N/A</v>
      </c>
      <c r="Y789" s="10" t="e">
        <f>VLOOKUP(AJ781,'FRC Site Data'!$B$3:$L$42,10,FALSE)</f>
        <v>#N/A</v>
      </c>
      <c r="Z789" s="10" t="e">
        <f>VLOOKUP(AJ781,'FRC Site Data'!$B$3:$L$42,11,FALSE)</f>
        <v>#N/A</v>
      </c>
      <c r="AA789" s="10" t="e">
        <f>VLOOKUP(AJ781,'CIR Team Info'!$C$5:$E$44,4,FALSE)</f>
        <v>#N/A</v>
      </c>
      <c r="AB789" s="161" t="b">
        <f>ISNUMBER(VLOOKUP(AJ781,Match!$T$5:$T$10,1,FALSE))</f>
        <v>0</v>
      </c>
      <c r="AC789" s="161" t="b">
        <f>IF(AB789=TRUE,(VLOOKUP($AJ781,Match!$T$5:$U$10,2,FALSE)))</f>
        <v>0</v>
      </c>
      <c r="AD789" s="8">
        <v>3</v>
      </c>
      <c r="AE789" s="8">
        <v>2</v>
      </c>
      <c r="AF789" s="8">
        <v>2</v>
      </c>
      <c r="AG789" s="8">
        <v>1</v>
      </c>
      <c r="AH789" s="8" t="str">
        <f t="shared" si="218"/>
        <v/>
      </c>
    </row>
    <row r="790" spans="1:34" x14ac:dyDescent="0.25">
      <c r="A790" s="29">
        <f t="shared" si="225"/>
        <v>0</v>
      </c>
      <c r="B790" s="29">
        <f t="shared" si="219"/>
        <v>0</v>
      </c>
      <c r="C790" s="29">
        <f t="shared" si="220"/>
        <v>0</v>
      </c>
      <c r="D790" s="29">
        <f t="shared" si="221"/>
        <v>0</v>
      </c>
      <c r="E790" s="29">
        <f t="shared" si="226"/>
        <v>0</v>
      </c>
      <c r="F790" s="29">
        <f t="shared" si="227"/>
        <v>0</v>
      </c>
      <c r="G790" s="29" t="str">
        <f t="shared" si="228"/>
        <v>offensive</v>
      </c>
      <c r="H790" s="16">
        <f t="shared" si="232"/>
        <v>0</v>
      </c>
      <c r="I790" s="16">
        <f t="shared" si="233"/>
        <v>0</v>
      </c>
      <c r="J790" s="16">
        <f t="shared" si="222"/>
        <v>0</v>
      </c>
      <c r="K790" s="16">
        <f t="shared" si="229"/>
        <v>0</v>
      </c>
      <c r="L790" s="67">
        <f t="shared" si="230"/>
        <v>0</v>
      </c>
      <c r="M790" s="4">
        <f t="shared" si="223"/>
        <v>0</v>
      </c>
      <c r="N790" s="4">
        <f t="shared" si="224"/>
        <v>0</v>
      </c>
      <c r="O790" s="4">
        <f t="shared" si="231"/>
        <v>0</v>
      </c>
      <c r="P790" s="4" t="e">
        <f>VLOOKUP(AJ782,'CIR Team Info'!$C$5:$E$44,2,FALSE)</f>
        <v>#N/A</v>
      </c>
      <c r="Q790" s="4" t="e">
        <f>VLOOKUP(AJ782,'CIR Team Info'!$C$5:$E$44,3,FALSE)</f>
        <v>#N/A</v>
      </c>
      <c r="R790" s="10" t="e">
        <f>VLOOKUP(AJ782,'FRC Site Data'!$B$3:$L$42,2,FALSE)</f>
        <v>#N/A</v>
      </c>
      <c r="S790" s="10" t="e">
        <f>VLOOKUP(AJ782,'FRC Site Data'!$B$3:$L$42,3,FALSE)</f>
        <v>#N/A</v>
      </c>
      <c r="T790" s="10" t="e">
        <f>VLOOKUP(AJ782,'FRC Site Data'!$B$3:$L$42,4,FALSE)</f>
        <v>#N/A</v>
      </c>
      <c r="U790" s="10" t="e">
        <f>VLOOKUP(AJ782,'FRC Site Data'!$B$3:$L$42,5,FALSE)</f>
        <v>#N/A</v>
      </c>
      <c r="V790" s="10" t="e">
        <f>VLOOKUP(AJ782,'FRC Site Data'!$B$3:$L$42,6,FALSE)</f>
        <v>#N/A</v>
      </c>
      <c r="W790" s="10" t="e">
        <f>VLOOKUP(AJ782,'FRC Site Data'!$B$3:$L$42,8,FALSE)</f>
        <v>#N/A</v>
      </c>
      <c r="X790" s="10" t="e">
        <f>VLOOKUP(AJ782,'FRC Site Data'!$B$3:$L$42,9,FALSE)</f>
        <v>#N/A</v>
      </c>
      <c r="Y790" s="10" t="e">
        <f>VLOOKUP(AJ782,'FRC Site Data'!$B$3:$L$42,10,FALSE)</f>
        <v>#N/A</v>
      </c>
      <c r="Z790" s="10" t="e">
        <f>VLOOKUP(AJ782,'FRC Site Data'!$B$3:$L$42,11,FALSE)</f>
        <v>#N/A</v>
      </c>
      <c r="AA790" s="10" t="e">
        <f>VLOOKUP(AJ782,'CIR Team Info'!$C$5:$E$44,4,FALSE)</f>
        <v>#N/A</v>
      </c>
      <c r="AB790" s="161" t="b">
        <f>ISNUMBER(VLOOKUP(AJ782,Match!$T$5:$T$10,1,FALSE))</f>
        <v>0</v>
      </c>
      <c r="AC790" s="161" t="b">
        <f>IF(AB790=TRUE,(VLOOKUP($AJ782,Match!$T$5:$U$10,2,FALSE)))</f>
        <v>0</v>
      </c>
      <c r="AD790" s="8">
        <v>3</v>
      </c>
      <c r="AE790" s="8">
        <v>2</v>
      </c>
      <c r="AF790" s="8">
        <v>2</v>
      </c>
      <c r="AG790" s="8">
        <v>1</v>
      </c>
      <c r="AH790" s="8" t="str">
        <f t="shared" si="218"/>
        <v/>
      </c>
    </row>
    <row r="791" spans="1:34" x14ac:dyDescent="0.25">
      <c r="A791" s="29">
        <f t="shared" si="225"/>
        <v>0</v>
      </c>
      <c r="B791" s="29">
        <f t="shared" si="219"/>
        <v>0</v>
      </c>
      <c r="C791" s="29">
        <f t="shared" si="220"/>
        <v>0</v>
      </c>
      <c r="D791" s="29">
        <f t="shared" si="221"/>
        <v>0</v>
      </c>
      <c r="E791" s="29">
        <f t="shared" si="226"/>
        <v>0</v>
      </c>
      <c r="F791" s="29">
        <f t="shared" si="227"/>
        <v>0</v>
      </c>
      <c r="G791" s="29" t="str">
        <f t="shared" si="228"/>
        <v>offensive</v>
      </c>
      <c r="H791" s="16">
        <f t="shared" si="232"/>
        <v>0</v>
      </c>
      <c r="I791" s="16">
        <f t="shared" si="233"/>
        <v>0</v>
      </c>
      <c r="J791" s="16">
        <f t="shared" si="222"/>
        <v>0</v>
      </c>
      <c r="K791" s="16">
        <f t="shared" si="229"/>
        <v>0</v>
      </c>
      <c r="L791" s="67">
        <f t="shared" si="230"/>
        <v>0</v>
      </c>
      <c r="M791" s="4">
        <f t="shared" si="223"/>
        <v>0</v>
      </c>
      <c r="N791" s="4">
        <f t="shared" si="224"/>
        <v>0</v>
      </c>
      <c r="O791" s="4">
        <f t="shared" si="231"/>
        <v>0</v>
      </c>
      <c r="P791" s="4" t="e">
        <f>VLOOKUP(AJ783,'CIR Team Info'!$C$5:$E$44,2,FALSE)</f>
        <v>#N/A</v>
      </c>
      <c r="Q791" s="4" t="e">
        <f>VLOOKUP(AJ783,'CIR Team Info'!$C$5:$E$44,3,FALSE)</f>
        <v>#N/A</v>
      </c>
      <c r="R791" s="10" t="e">
        <f>VLOOKUP(AJ783,'FRC Site Data'!$B$3:$L$42,2,FALSE)</f>
        <v>#N/A</v>
      </c>
      <c r="S791" s="10" t="e">
        <f>VLOOKUP(AJ783,'FRC Site Data'!$B$3:$L$42,3,FALSE)</f>
        <v>#N/A</v>
      </c>
      <c r="T791" s="10" t="e">
        <f>VLOOKUP(AJ783,'FRC Site Data'!$B$3:$L$42,4,FALSE)</f>
        <v>#N/A</v>
      </c>
      <c r="U791" s="10" t="e">
        <f>VLOOKUP(AJ783,'FRC Site Data'!$B$3:$L$42,5,FALSE)</f>
        <v>#N/A</v>
      </c>
      <c r="V791" s="10" t="e">
        <f>VLOOKUP(AJ783,'FRC Site Data'!$B$3:$L$42,6,FALSE)</f>
        <v>#N/A</v>
      </c>
      <c r="W791" s="10" t="e">
        <f>VLOOKUP(AJ783,'FRC Site Data'!$B$3:$L$42,8,FALSE)</f>
        <v>#N/A</v>
      </c>
      <c r="X791" s="10" t="e">
        <f>VLOOKUP(AJ783,'FRC Site Data'!$B$3:$L$42,9,FALSE)</f>
        <v>#N/A</v>
      </c>
      <c r="Y791" s="10" t="e">
        <f>VLOOKUP(AJ783,'FRC Site Data'!$B$3:$L$42,10,FALSE)</f>
        <v>#N/A</v>
      </c>
      <c r="Z791" s="10" t="e">
        <f>VLOOKUP(AJ783,'FRC Site Data'!$B$3:$L$42,11,FALSE)</f>
        <v>#N/A</v>
      </c>
      <c r="AA791" s="10" t="e">
        <f>VLOOKUP(AJ783,'CIR Team Info'!$C$5:$E$44,4,FALSE)</f>
        <v>#N/A</v>
      </c>
      <c r="AB791" s="161" t="b">
        <f>ISNUMBER(VLOOKUP(AJ783,Match!$T$5:$T$10,1,FALSE))</f>
        <v>0</v>
      </c>
      <c r="AC791" s="161" t="b">
        <f>IF(AB791=TRUE,(VLOOKUP($AJ783,Match!$T$5:$U$10,2,FALSE)))</f>
        <v>0</v>
      </c>
      <c r="AD791" s="8">
        <v>3</v>
      </c>
      <c r="AE791" s="8">
        <v>2</v>
      </c>
      <c r="AF791" s="8">
        <v>2</v>
      </c>
      <c r="AG791" s="8">
        <v>1</v>
      </c>
      <c r="AH791" s="8" t="str">
        <f t="shared" si="218"/>
        <v/>
      </c>
    </row>
    <row r="792" spans="1:34" x14ac:dyDescent="0.25">
      <c r="A792" s="29">
        <f t="shared" si="225"/>
        <v>0</v>
      </c>
      <c r="B792" s="29">
        <f t="shared" si="219"/>
        <v>0</v>
      </c>
      <c r="C792" s="29">
        <f t="shared" si="220"/>
        <v>0</v>
      </c>
      <c r="D792" s="29">
        <f t="shared" si="221"/>
        <v>0</v>
      </c>
      <c r="E792" s="29">
        <f t="shared" si="226"/>
        <v>0</v>
      </c>
      <c r="F792" s="29">
        <f t="shared" si="227"/>
        <v>0</v>
      </c>
      <c r="G792" s="29" t="str">
        <f t="shared" si="228"/>
        <v>offensive</v>
      </c>
      <c r="H792" s="16">
        <f t="shared" si="232"/>
        <v>0</v>
      </c>
      <c r="I792" s="16">
        <f t="shared" si="233"/>
        <v>0</v>
      </c>
      <c r="J792" s="16">
        <f t="shared" si="222"/>
        <v>0</v>
      </c>
      <c r="K792" s="16">
        <f t="shared" si="229"/>
        <v>0</v>
      </c>
      <c r="L792" s="67">
        <f t="shared" si="230"/>
        <v>0</v>
      </c>
      <c r="M792" s="4">
        <f t="shared" si="223"/>
        <v>0</v>
      </c>
      <c r="N792" s="4">
        <f t="shared" si="224"/>
        <v>0</v>
      </c>
      <c r="O792" s="4">
        <f t="shared" si="231"/>
        <v>0</v>
      </c>
      <c r="P792" s="4" t="e">
        <f>VLOOKUP(AJ784,'CIR Team Info'!$C$5:$E$44,2,FALSE)</f>
        <v>#N/A</v>
      </c>
      <c r="Q792" s="4" t="e">
        <f>VLOOKUP(AJ784,'CIR Team Info'!$C$5:$E$44,3,FALSE)</f>
        <v>#N/A</v>
      </c>
      <c r="R792" s="10" t="e">
        <f>VLOOKUP(AJ784,'FRC Site Data'!$B$3:$L$42,2,FALSE)</f>
        <v>#N/A</v>
      </c>
      <c r="S792" s="10" t="e">
        <f>VLOOKUP(AJ784,'FRC Site Data'!$B$3:$L$42,3,FALSE)</f>
        <v>#N/A</v>
      </c>
      <c r="T792" s="10" t="e">
        <f>VLOOKUP(AJ784,'FRC Site Data'!$B$3:$L$42,4,FALSE)</f>
        <v>#N/A</v>
      </c>
      <c r="U792" s="10" t="e">
        <f>VLOOKUP(AJ784,'FRC Site Data'!$B$3:$L$42,5,FALSE)</f>
        <v>#N/A</v>
      </c>
      <c r="V792" s="10" t="e">
        <f>VLOOKUP(AJ784,'FRC Site Data'!$B$3:$L$42,6,FALSE)</f>
        <v>#N/A</v>
      </c>
      <c r="W792" s="10" t="e">
        <f>VLOOKUP(AJ784,'FRC Site Data'!$B$3:$L$42,8,FALSE)</f>
        <v>#N/A</v>
      </c>
      <c r="X792" s="10" t="e">
        <f>VLOOKUP(AJ784,'FRC Site Data'!$B$3:$L$42,9,FALSE)</f>
        <v>#N/A</v>
      </c>
      <c r="Y792" s="10" t="e">
        <f>VLOOKUP(AJ784,'FRC Site Data'!$B$3:$L$42,10,FALSE)</f>
        <v>#N/A</v>
      </c>
      <c r="Z792" s="10" t="e">
        <f>VLOOKUP(AJ784,'FRC Site Data'!$B$3:$L$42,11,FALSE)</f>
        <v>#N/A</v>
      </c>
      <c r="AA792" s="10" t="e">
        <f>VLOOKUP(AJ784,'CIR Team Info'!$C$5:$E$44,4,FALSE)</f>
        <v>#N/A</v>
      </c>
      <c r="AB792" s="161" t="b">
        <f>ISNUMBER(VLOOKUP(AJ784,Match!$T$5:$T$10,1,FALSE))</f>
        <v>0</v>
      </c>
      <c r="AC792" s="161" t="b">
        <f>IF(AB792=TRUE,(VLOOKUP($AJ784,Match!$T$5:$U$10,2,FALSE)))</f>
        <v>0</v>
      </c>
      <c r="AD792" s="8">
        <v>3</v>
      </c>
      <c r="AE792" s="8">
        <v>2</v>
      </c>
      <c r="AF792" s="8">
        <v>2</v>
      </c>
      <c r="AG792" s="8">
        <v>1</v>
      </c>
      <c r="AH792" s="8" t="str">
        <f t="shared" si="218"/>
        <v/>
      </c>
    </row>
    <row r="793" spans="1:34" x14ac:dyDescent="0.25">
      <c r="A793" s="29">
        <f t="shared" si="225"/>
        <v>0</v>
      </c>
      <c r="B793" s="29">
        <f t="shared" si="219"/>
        <v>0</v>
      </c>
      <c r="C793" s="29">
        <f t="shared" si="220"/>
        <v>0</v>
      </c>
      <c r="D793" s="29">
        <f t="shared" si="221"/>
        <v>0</v>
      </c>
      <c r="E793" s="29">
        <f t="shared" si="226"/>
        <v>0</v>
      </c>
      <c r="F793" s="29">
        <f t="shared" si="227"/>
        <v>0</v>
      </c>
      <c r="G793" s="29" t="str">
        <f t="shared" si="228"/>
        <v>offensive</v>
      </c>
      <c r="H793" s="16">
        <f t="shared" si="232"/>
        <v>0</v>
      </c>
      <c r="I793" s="16">
        <f t="shared" si="233"/>
        <v>0</v>
      </c>
      <c r="J793" s="16">
        <f t="shared" si="222"/>
        <v>0</v>
      </c>
      <c r="K793" s="16">
        <f t="shared" si="229"/>
        <v>0</v>
      </c>
      <c r="L793" s="67">
        <f t="shared" si="230"/>
        <v>0</v>
      </c>
      <c r="M793" s="4">
        <f t="shared" si="223"/>
        <v>0</v>
      </c>
      <c r="N793" s="4">
        <f t="shared" si="224"/>
        <v>0</v>
      </c>
      <c r="O793" s="4">
        <f t="shared" si="231"/>
        <v>0</v>
      </c>
      <c r="P793" s="4" t="e">
        <f>VLOOKUP(AJ785,'CIR Team Info'!$C$5:$E$44,2,FALSE)</f>
        <v>#N/A</v>
      </c>
      <c r="Q793" s="4" t="e">
        <f>VLOOKUP(AJ785,'CIR Team Info'!$C$5:$E$44,3,FALSE)</f>
        <v>#N/A</v>
      </c>
      <c r="R793" s="10" t="e">
        <f>VLOOKUP(AJ785,'FRC Site Data'!$B$3:$L$42,2,FALSE)</f>
        <v>#N/A</v>
      </c>
      <c r="S793" s="10" t="e">
        <f>VLOOKUP(AJ785,'FRC Site Data'!$B$3:$L$42,3,FALSE)</f>
        <v>#N/A</v>
      </c>
      <c r="T793" s="10" t="e">
        <f>VLOOKUP(AJ785,'FRC Site Data'!$B$3:$L$42,4,FALSE)</f>
        <v>#N/A</v>
      </c>
      <c r="U793" s="10" t="e">
        <f>VLOOKUP(AJ785,'FRC Site Data'!$B$3:$L$42,5,FALSE)</f>
        <v>#N/A</v>
      </c>
      <c r="V793" s="10" t="e">
        <f>VLOOKUP(AJ785,'FRC Site Data'!$B$3:$L$42,6,FALSE)</f>
        <v>#N/A</v>
      </c>
      <c r="W793" s="10" t="e">
        <f>VLOOKUP(AJ785,'FRC Site Data'!$B$3:$L$42,8,FALSE)</f>
        <v>#N/A</v>
      </c>
      <c r="X793" s="10" t="e">
        <f>VLOOKUP(AJ785,'FRC Site Data'!$B$3:$L$42,9,FALSE)</f>
        <v>#N/A</v>
      </c>
      <c r="Y793" s="10" t="e">
        <f>VLOOKUP(AJ785,'FRC Site Data'!$B$3:$L$42,10,FALSE)</f>
        <v>#N/A</v>
      </c>
      <c r="Z793" s="10" t="e">
        <f>VLOOKUP(AJ785,'FRC Site Data'!$B$3:$L$42,11,FALSE)</f>
        <v>#N/A</v>
      </c>
      <c r="AA793" s="10" t="e">
        <f>VLOOKUP(AJ785,'CIR Team Info'!$C$5:$E$44,4,FALSE)</f>
        <v>#N/A</v>
      </c>
      <c r="AB793" s="161" t="b">
        <f>ISNUMBER(VLOOKUP(AJ785,Match!$T$5:$T$10,1,FALSE))</f>
        <v>0</v>
      </c>
      <c r="AC793" s="161" t="b">
        <f>IF(AB793=TRUE,(VLOOKUP($AJ785,Match!$T$5:$U$10,2,FALSE)))</f>
        <v>0</v>
      </c>
      <c r="AD793" s="8">
        <v>3</v>
      </c>
      <c r="AE793" s="8">
        <v>2</v>
      </c>
      <c r="AF793" s="8">
        <v>2</v>
      </c>
      <c r="AG793" s="8">
        <v>1</v>
      </c>
      <c r="AH793" s="8" t="str">
        <f t="shared" si="218"/>
        <v/>
      </c>
    </row>
    <row r="794" spans="1:34" x14ac:dyDescent="0.25">
      <c r="A794" s="29">
        <f t="shared" si="225"/>
        <v>0</v>
      </c>
      <c r="B794" s="29">
        <f t="shared" si="219"/>
        <v>0</v>
      </c>
      <c r="C794" s="29">
        <f t="shared" si="220"/>
        <v>0</v>
      </c>
      <c r="D794" s="29">
        <f t="shared" si="221"/>
        <v>0</v>
      </c>
      <c r="E794" s="29">
        <f t="shared" si="226"/>
        <v>0</v>
      </c>
      <c r="F794" s="29">
        <f t="shared" si="227"/>
        <v>0</v>
      </c>
      <c r="G794" s="29" t="str">
        <f t="shared" si="228"/>
        <v>offensive</v>
      </c>
      <c r="H794" s="16">
        <f t="shared" si="232"/>
        <v>0</v>
      </c>
      <c r="I794" s="16">
        <f t="shared" si="233"/>
        <v>0</v>
      </c>
      <c r="J794" s="16">
        <f t="shared" si="222"/>
        <v>0</v>
      </c>
      <c r="K794" s="16">
        <f t="shared" si="229"/>
        <v>0</v>
      </c>
      <c r="L794" s="67">
        <f t="shared" si="230"/>
        <v>0</v>
      </c>
      <c r="M794" s="4">
        <f t="shared" si="223"/>
        <v>0</v>
      </c>
      <c r="N794" s="4">
        <f t="shared" si="224"/>
        <v>0</v>
      </c>
      <c r="O794" s="4">
        <f t="shared" si="231"/>
        <v>0</v>
      </c>
      <c r="P794" s="4" t="e">
        <f>VLOOKUP(AJ786,'CIR Team Info'!$C$5:$E$44,2,FALSE)</f>
        <v>#N/A</v>
      </c>
      <c r="Q794" s="4" t="e">
        <f>VLOOKUP(AJ786,'CIR Team Info'!$C$5:$E$44,3,FALSE)</f>
        <v>#N/A</v>
      </c>
      <c r="R794" s="10" t="e">
        <f>VLOOKUP(AJ786,'FRC Site Data'!$B$3:$L$42,2,FALSE)</f>
        <v>#N/A</v>
      </c>
      <c r="S794" s="10" t="e">
        <f>VLOOKUP(AJ786,'FRC Site Data'!$B$3:$L$42,3,FALSE)</f>
        <v>#N/A</v>
      </c>
      <c r="T794" s="10" t="e">
        <f>VLOOKUP(AJ786,'FRC Site Data'!$B$3:$L$42,4,FALSE)</f>
        <v>#N/A</v>
      </c>
      <c r="U794" s="10" t="e">
        <f>VLOOKUP(AJ786,'FRC Site Data'!$B$3:$L$42,5,FALSE)</f>
        <v>#N/A</v>
      </c>
      <c r="V794" s="10" t="e">
        <f>VLOOKUP(AJ786,'FRC Site Data'!$B$3:$L$42,6,FALSE)</f>
        <v>#N/A</v>
      </c>
      <c r="W794" s="10" t="e">
        <f>VLOOKUP(AJ786,'FRC Site Data'!$B$3:$L$42,8,FALSE)</f>
        <v>#N/A</v>
      </c>
      <c r="X794" s="10" t="e">
        <f>VLOOKUP(AJ786,'FRC Site Data'!$B$3:$L$42,9,FALSE)</f>
        <v>#N/A</v>
      </c>
      <c r="Y794" s="10" t="e">
        <f>VLOOKUP(AJ786,'FRC Site Data'!$B$3:$L$42,10,FALSE)</f>
        <v>#N/A</v>
      </c>
      <c r="Z794" s="10" t="e">
        <f>VLOOKUP(AJ786,'FRC Site Data'!$B$3:$L$42,11,FALSE)</f>
        <v>#N/A</v>
      </c>
      <c r="AA794" s="10" t="e">
        <f>VLOOKUP(AJ786,'CIR Team Info'!$C$5:$E$44,4,FALSE)</f>
        <v>#N/A</v>
      </c>
      <c r="AB794" s="161" t="b">
        <f>ISNUMBER(VLOOKUP(AJ786,Match!$T$5:$T$10,1,FALSE))</f>
        <v>0</v>
      </c>
      <c r="AC794" s="161" t="b">
        <f>IF(AB794=TRUE,(VLOOKUP($AJ786,Match!$T$5:$U$10,2,FALSE)))</f>
        <v>0</v>
      </c>
      <c r="AD794" s="8">
        <v>3</v>
      </c>
      <c r="AE794" s="8">
        <v>2</v>
      </c>
      <c r="AF794" s="8">
        <v>2</v>
      </c>
      <c r="AG794" s="8">
        <v>1</v>
      </c>
      <c r="AH794" s="8" t="str">
        <f t="shared" si="218"/>
        <v/>
      </c>
    </row>
    <row r="795" spans="1:34" x14ac:dyDescent="0.25">
      <c r="A795" s="29">
        <f t="shared" si="225"/>
        <v>0</v>
      </c>
      <c r="B795" s="29">
        <f t="shared" si="219"/>
        <v>0</v>
      </c>
      <c r="C795" s="29">
        <f t="shared" si="220"/>
        <v>0</v>
      </c>
      <c r="D795" s="29">
        <f t="shared" si="221"/>
        <v>0</v>
      </c>
      <c r="E795" s="29">
        <f t="shared" si="226"/>
        <v>0</v>
      </c>
      <c r="F795" s="29">
        <f t="shared" si="227"/>
        <v>0</v>
      </c>
      <c r="G795" s="29" t="str">
        <f t="shared" si="228"/>
        <v>offensive</v>
      </c>
      <c r="H795" s="16">
        <f t="shared" si="232"/>
        <v>0</v>
      </c>
      <c r="I795" s="16">
        <f t="shared" si="233"/>
        <v>0</v>
      </c>
      <c r="J795" s="16">
        <f t="shared" si="222"/>
        <v>0</v>
      </c>
      <c r="K795" s="16">
        <f t="shared" si="229"/>
        <v>0</v>
      </c>
      <c r="L795" s="67">
        <f t="shared" si="230"/>
        <v>0</v>
      </c>
      <c r="M795" s="4">
        <f t="shared" si="223"/>
        <v>0</v>
      </c>
      <c r="N795" s="4">
        <f t="shared" si="224"/>
        <v>0</v>
      </c>
      <c r="O795" s="4">
        <f t="shared" si="231"/>
        <v>0</v>
      </c>
      <c r="P795" s="4" t="e">
        <f>VLOOKUP(AJ787,'CIR Team Info'!$C$5:$E$44,2,FALSE)</f>
        <v>#N/A</v>
      </c>
      <c r="Q795" s="4" t="e">
        <f>VLOOKUP(AJ787,'CIR Team Info'!$C$5:$E$44,3,FALSE)</f>
        <v>#N/A</v>
      </c>
      <c r="R795" s="10" t="e">
        <f>VLOOKUP(AJ787,'FRC Site Data'!$B$3:$L$42,2,FALSE)</f>
        <v>#N/A</v>
      </c>
      <c r="S795" s="10" t="e">
        <f>VLOOKUP(AJ787,'FRC Site Data'!$B$3:$L$42,3,FALSE)</f>
        <v>#N/A</v>
      </c>
      <c r="T795" s="10" t="e">
        <f>VLOOKUP(AJ787,'FRC Site Data'!$B$3:$L$42,4,FALSE)</f>
        <v>#N/A</v>
      </c>
      <c r="U795" s="10" t="e">
        <f>VLOOKUP(AJ787,'FRC Site Data'!$B$3:$L$42,5,FALSE)</f>
        <v>#N/A</v>
      </c>
      <c r="V795" s="10" t="e">
        <f>VLOOKUP(AJ787,'FRC Site Data'!$B$3:$L$42,6,FALSE)</f>
        <v>#N/A</v>
      </c>
      <c r="W795" s="10" t="e">
        <f>VLOOKUP(AJ787,'FRC Site Data'!$B$3:$L$42,8,FALSE)</f>
        <v>#N/A</v>
      </c>
      <c r="X795" s="10" t="e">
        <f>VLOOKUP(AJ787,'FRC Site Data'!$B$3:$L$42,9,FALSE)</f>
        <v>#N/A</v>
      </c>
      <c r="Y795" s="10" t="e">
        <f>VLOOKUP(AJ787,'FRC Site Data'!$B$3:$L$42,10,FALSE)</f>
        <v>#N/A</v>
      </c>
      <c r="Z795" s="10" t="e">
        <f>VLOOKUP(AJ787,'FRC Site Data'!$B$3:$L$42,11,FALSE)</f>
        <v>#N/A</v>
      </c>
      <c r="AA795" s="10" t="e">
        <f>VLOOKUP(AJ787,'CIR Team Info'!$C$5:$E$44,4,FALSE)</f>
        <v>#N/A</v>
      </c>
      <c r="AB795" s="161" t="b">
        <f>ISNUMBER(VLOOKUP(AJ787,Match!$T$5:$T$10,1,FALSE))</f>
        <v>0</v>
      </c>
      <c r="AC795" s="161" t="b">
        <f>IF(AB795=TRUE,(VLOOKUP($AJ787,Match!$T$5:$U$10,2,FALSE)))</f>
        <v>0</v>
      </c>
      <c r="AD795" s="8">
        <v>3</v>
      </c>
      <c r="AE795" s="8">
        <v>2</v>
      </c>
      <c r="AF795" s="8">
        <v>2</v>
      </c>
      <c r="AG795" s="8">
        <v>1</v>
      </c>
      <c r="AH795" s="8" t="str">
        <f t="shared" si="218"/>
        <v/>
      </c>
    </row>
    <row r="796" spans="1:34" x14ac:dyDescent="0.25">
      <c r="A796" s="29">
        <f t="shared" si="225"/>
        <v>0</v>
      </c>
      <c r="B796" s="29">
        <f t="shared" si="219"/>
        <v>0</v>
      </c>
      <c r="C796" s="29">
        <f t="shared" si="220"/>
        <v>0</v>
      </c>
      <c r="D796" s="29">
        <f t="shared" si="221"/>
        <v>0</v>
      </c>
      <c r="E796" s="29">
        <f t="shared" si="226"/>
        <v>0</v>
      </c>
      <c r="F796" s="29">
        <f t="shared" si="227"/>
        <v>0</v>
      </c>
      <c r="G796" s="29" t="str">
        <f t="shared" si="228"/>
        <v>offensive</v>
      </c>
      <c r="H796" s="16">
        <f t="shared" si="232"/>
        <v>0</v>
      </c>
      <c r="I796" s="16">
        <f t="shared" si="233"/>
        <v>0</v>
      </c>
      <c r="J796" s="16">
        <f t="shared" si="222"/>
        <v>0</v>
      </c>
      <c r="K796" s="16">
        <f t="shared" si="229"/>
        <v>0</v>
      </c>
      <c r="L796" s="67">
        <f t="shared" si="230"/>
        <v>0</v>
      </c>
      <c r="M796" s="4">
        <f t="shared" si="223"/>
        <v>0</v>
      </c>
      <c r="N796" s="4">
        <f t="shared" si="224"/>
        <v>0</v>
      </c>
      <c r="O796" s="4">
        <f t="shared" si="231"/>
        <v>0</v>
      </c>
      <c r="P796" s="4" t="e">
        <f>VLOOKUP(AJ788,'CIR Team Info'!$C$5:$E$44,2,FALSE)</f>
        <v>#N/A</v>
      </c>
      <c r="Q796" s="4" t="e">
        <f>VLOOKUP(AJ788,'CIR Team Info'!$C$5:$E$44,3,FALSE)</f>
        <v>#N/A</v>
      </c>
      <c r="R796" s="10" t="e">
        <f>VLOOKUP(AJ788,'FRC Site Data'!$B$3:$L$42,2,FALSE)</f>
        <v>#N/A</v>
      </c>
      <c r="S796" s="10" t="e">
        <f>VLOOKUP(AJ788,'FRC Site Data'!$B$3:$L$42,3,FALSE)</f>
        <v>#N/A</v>
      </c>
      <c r="T796" s="10" t="e">
        <f>VLOOKUP(AJ788,'FRC Site Data'!$B$3:$L$42,4,FALSE)</f>
        <v>#N/A</v>
      </c>
      <c r="U796" s="10" t="e">
        <f>VLOOKUP(AJ788,'FRC Site Data'!$B$3:$L$42,5,FALSE)</f>
        <v>#N/A</v>
      </c>
      <c r="V796" s="10" t="e">
        <f>VLOOKUP(AJ788,'FRC Site Data'!$B$3:$L$42,6,FALSE)</f>
        <v>#N/A</v>
      </c>
      <c r="W796" s="10" t="e">
        <f>VLOOKUP(AJ788,'FRC Site Data'!$B$3:$L$42,8,FALSE)</f>
        <v>#N/A</v>
      </c>
      <c r="X796" s="10" t="e">
        <f>VLOOKUP(AJ788,'FRC Site Data'!$B$3:$L$42,9,FALSE)</f>
        <v>#N/A</v>
      </c>
      <c r="Y796" s="10" t="e">
        <f>VLOOKUP(AJ788,'FRC Site Data'!$B$3:$L$42,10,FALSE)</f>
        <v>#N/A</v>
      </c>
      <c r="Z796" s="10" t="e">
        <f>VLOOKUP(AJ788,'FRC Site Data'!$B$3:$L$42,11,FALSE)</f>
        <v>#N/A</v>
      </c>
      <c r="AA796" s="10" t="e">
        <f>VLOOKUP(AJ788,'CIR Team Info'!$C$5:$E$44,4,FALSE)</f>
        <v>#N/A</v>
      </c>
      <c r="AB796" s="161" t="b">
        <f>ISNUMBER(VLOOKUP(AJ788,Match!$T$5:$T$10,1,FALSE))</f>
        <v>0</v>
      </c>
      <c r="AC796" s="161" t="b">
        <f>IF(AB796=TRUE,(VLOOKUP($AJ788,Match!$T$5:$U$10,2,FALSE)))</f>
        <v>0</v>
      </c>
      <c r="AD796" s="8">
        <v>3</v>
      </c>
      <c r="AE796" s="8">
        <v>2</v>
      </c>
      <c r="AF796" s="8">
        <v>2</v>
      </c>
      <c r="AG796" s="8">
        <v>1</v>
      </c>
      <c r="AH796" s="8" t="str">
        <f t="shared" si="218"/>
        <v/>
      </c>
    </row>
    <row r="797" spans="1:34" x14ac:dyDescent="0.25">
      <c r="A797" s="29">
        <f t="shared" si="225"/>
        <v>0</v>
      </c>
      <c r="B797" s="29">
        <f t="shared" si="219"/>
        <v>0</v>
      </c>
      <c r="C797" s="29">
        <f t="shared" si="220"/>
        <v>0</v>
      </c>
      <c r="D797" s="29">
        <f t="shared" si="221"/>
        <v>0</v>
      </c>
      <c r="E797" s="29">
        <f t="shared" si="226"/>
        <v>0</v>
      </c>
      <c r="F797" s="29">
        <f t="shared" si="227"/>
        <v>0</v>
      </c>
      <c r="G797" s="29" t="str">
        <f t="shared" si="228"/>
        <v>offensive</v>
      </c>
      <c r="H797" s="16">
        <f t="shared" si="232"/>
        <v>0</v>
      </c>
      <c r="I797" s="16">
        <f t="shared" si="233"/>
        <v>0</v>
      </c>
      <c r="J797" s="16">
        <f t="shared" si="222"/>
        <v>0</v>
      </c>
      <c r="K797" s="16">
        <f t="shared" si="229"/>
        <v>0</v>
      </c>
      <c r="L797" s="67">
        <f t="shared" si="230"/>
        <v>0</v>
      </c>
      <c r="M797" s="4">
        <f t="shared" si="223"/>
        <v>0</v>
      </c>
      <c r="N797" s="4">
        <f t="shared" si="224"/>
        <v>0</v>
      </c>
      <c r="O797" s="4">
        <f t="shared" si="231"/>
        <v>0</v>
      </c>
      <c r="P797" s="4" t="e">
        <f>VLOOKUP(AJ789,'CIR Team Info'!$C$5:$E$44,2,FALSE)</f>
        <v>#N/A</v>
      </c>
      <c r="Q797" s="4" t="e">
        <f>VLOOKUP(AJ789,'CIR Team Info'!$C$5:$E$44,3,FALSE)</f>
        <v>#N/A</v>
      </c>
      <c r="R797" s="10" t="e">
        <f>VLOOKUP(AJ789,'FRC Site Data'!$B$3:$L$42,2,FALSE)</f>
        <v>#N/A</v>
      </c>
      <c r="S797" s="10" t="e">
        <f>VLOOKUP(AJ789,'FRC Site Data'!$B$3:$L$42,3,FALSE)</f>
        <v>#N/A</v>
      </c>
      <c r="T797" s="10" t="e">
        <f>VLOOKUP(AJ789,'FRC Site Data'!$B$3:$L$42,4,FALSE)</f>
        <v>#N/A</v>
      </c>
      <c r="U797" s="10" t="e">
        <f>VLOOKUP(AJ789,'FRC Site Data'!$B$3:$L$42,5,FALSE)</f>
        <v>#N/A</v>
      </c>
      <c r="V797" s="10" t="e">
        <f>VLOOKUP(AJ789,'FRC Site Data'!$B$3:$L$42,6,FALSE)</f>
        <v>#N/A</v>
      </c>
      <c r="W797" s="10" t="e">
        <f>VLOOKUP(AJ789,'FRC Site Data'!$B$3:$L$42,8,FALSE)</f>
        <v>#N/A</v>
      </c>
      <c r="X797" s="10" t="e">
        <f>VLOOKUP(AJ789,'FRC Site Data'!$B$3:$L$42,9,FALSE)</f>
        <v>#N/A</v>
      </c>
      <c r="Y797" s="10" t="e">
        <f>VLOOKUP(AJ789,'FRC Site Data'!$B$3:$L$42,10,FALSE)</f>
        <v>#N/A</v>
      </c>
      <c r="Z797" s="10" t="e">
        <f>VLOOKUP(AJ789,'FRC Site Data'!$B$3:$L$42,11,FALSE)</f>
        <v>#N/A</v>
      </c>
      <c r="AA797" s="10" t="e">
        <f>VLOOKUP(AJ789,'CIR Team Info'!$C$5:$E$44,4,FALSE)</f>
        <v>#N/A</v>
      </c>
      <c r="AB797" s="161" t="b">
        <f>ISNUMBER(VLOOKUP(AJ789,Match!$T$5:$T$10,1,FALSE))</f>
        <v>0</v>
      </c>
      <c r="AC797" s="161" t="b">
        <f>IF(AB797=TRUE,(VLOOKUP($AJ789,Match!$T$5:$U$10,2,FALSE)))</f>
        <v>0</v>
      </c>
      <c r="AD797" s="8">
        <v>3</v>
      </c>
      <c r="AE797" s="8">
        <v>2</v>
      </c>
      <c r="AF797" s="8">
        <v>2</v>
      </c>
      <c r="AG797" s="8">
        <v>1</v>
      </c>
      <c r="AH797" s="8" t="str">
        <f t="shared" si="218"/>
        <v/>
      </c>
    </row>
    <row r="798" spans="1:34" x14ac:dyDescent="0.25">
      <c r="A798" s="29">
        <f t="shared" si="225"/>
        <v>0</v>
      </c>
      <c r="B798" s="29">
        <f t="shared" si="219"/>
        <v>0</v>
      </c>
      <c r="C798" s="29">
        <f t="shared" si="220"/>
        <v>0</v>
      </c>
      <c r="D798" s="29">
        <f t="shared" si="221"/>
        <v>0</v>
      </c>
      <c r="E798" s="29">
        <f t="shared" si="226"/>
        <v>0</v>
      </c>
      <c r="F798" s="29">
        <f t="shared" si="227"/>
        <v>0</v>
      </c>
      <c r="G798" s="29" t="str">
        <f t="shared" si="228"/>
        <v>offensive</v>
      </c>
      <c r="H798" s="16">
        <f t="shared" si="232"/>
        <v>0</v>
      </c>
      <c r="I798" s="16">
        <f t="shared" si="233"/>
        <v>0</v>
      </c>
      <c r="J798" s="16">
        <f t="shared" si="222"/>
        <v>0</v>
      </c>
      <c r="K798" s="16">
        <f t="shared" si="229"/>
        <v>0</v>
      </c>
      <c r="L798" s="67">
        <f t="shared" si="230"/>
        <v>0</v>
      </c>
      <c r="M798" s="4">
        <f t="shared" si="223"/>
        <v>0</v>
      </c>
      <c r="N798" s="4">
        <f t="shared" si="224"/>
        <v>0</v>
      </c>
      <c r="O798" s="4">
        <f t="shared" si="231"/>
        <v>0</v>
      </c>
      <c r="P798" s="4" t="e">
        <f>VLOOKUP(AJ790,'CIR Team Info'!$C$5:$E$44,2,FALSE)</f>
        <v>#N/A</v>
      </c>
      <c r="Q798" s="4" t="e">
        <f>VLOOKUP(AJ790,'CIR Team Info'!$C$5:$E$44,3,FALSE)</f>
        <v>#N/A</v>
      </c>
      <c r="R798" s="10" t="e">
        <f>VLOOKUP(AJ790,'FRC Site Data'!$B$3:$L$42,2,FALSE)</f>
        <v>#N/A</v>
      </c>
      <c r="S798" s="10" t="e">
        <f>VLOOKUP(AJ790,'FRC Site Data'!$B$3:$L$42,3,FALSE)</f>
        <v>#N/A</v>
      </c>
      <c r="T798" s="10" t="e">
        <f>VLOOKUP(AJ790,'FRC Site Data'!$B$3:$L$42,4,FALSE)</f>
        <v>#N/A</v>
      </c>
      <c r="U798" s="10" t="e">
        <f>VLOOKUP(AJ790,'FRC Site Data'!$B$3:$L$42,5,FALSE)</f>
        <v>#N/A</v>
      </c>
      <c r="V798" s="10" t="e">
        <f>VLOOKUP(AJ790,'FRC Site Data'!$B$3:$L$42,6,FALSE)</f>
        <v>#N/A</v>
      </c>
      <c r="W798" s="10" t="e">
        <f>VLOOKUP(AJ790,'FRC Site Data'!$B$3:$L$42,8,FALSE)</f>
        <v>#N/A</v>
      </c>
      <c r="X798" s="10" t="e">
        <f>VLOOKUP(AJ790,'FRC Site Data'!$B$3:$L$42,9,FALSE)</f>
        <v>#N/A</v>
      </c>
      <c r="Y798" s="10" t="e">
        <f>VLOOKUP(AJ790,'FRC Site Data'!$B$3:$L$42,10,FALSE)</f>
        <v>#N/A</v>
      </c>
      <c r="Z798" s="10" t="e">
        <f>VLOOKUP(AJ790,'FRC Site Data'!$B$3:$L$42,11,FALSE)</f>
        <v>#N/A</v>
      </c>
      <c r="AA798" s="10" t="e">
        <f>VLOOKUP(AJ790,'CIR Team Info'!$C$5:$E$44,4,FALSE)</f>
        <v>#N/A</v>
      </c>
      <c r="AB798" s="161" t="b">
        <f>ISNUMBER(VLOOKUP(AJ790,Match!$T$5:$T$10,1,FALSE))</f>
        <v>0</v>
      </c>
      <c r="AC798" s="161" t="b">
        <f>IF(AB798=TRUE,(VLOOKUP($AJ790,Match!$T$5:$U$10,2,FALSE)))</f>
        <v>0</v>
      </c>
      <c r="AD798" s="8">
        <v>3</v>
      </c>
      <c r="AE798" s="8">
        <v>2</v>
      </c>
      <c r="AF798" s="8">
        <v>2</v>
      </c>
      <c r="AG798" s="8">
        <v>1</v>
      </c>
      <c r="AH798" s="8" t="str">
        <f t="shared" si="218"/>
        <v/>
      </c>
    </row>
    <row r="799" spans="1:34" x14ac:dyDescent="0.25">
      <c r="A799" s="29">
        <f t="shared" si="225"/>
        <v>0</v>
      </c>
      <c r="B799" s="29">
        <f t="shared" si="219"/>
        <v>0</v>
      </c>
      <c r="C799" s="29">
        <f t="shared" si="220"/>
        <v>0</v>
      </c>
      <c r="D799" s="29">
        <f t="shared" si="221"/>
        <v>0</v>
      </c>
      <c r="E799" s="29">
        <f t="shared" si="226"/>
        <v>0</v>
      </c>
      <c r="F799" s="29">
        <f t="shared" si="227"/>
        <v>0</v>
      </c>
      <c r="G799" s="29" t="str">
        <f t="shared" si="228"/>
        <v>offensive</v>
      </c>
      <c r="H799" s="16">
        <f t="shared" si="232"/>
        <v>0</v>
      </c>
      <c r="I799" s="16">
        <f t="shared" si="233"/>
        <v>0</v>
      </c>
      <c r="J799" s="16">
        <f t="shared" si="222"/>
        <v>0</v>
      </c>
      <c r="K799" s="16">
        <f t="shared" si="229"/>
        <v>0</v>
      </c>
      <c r="L799" s="67">
        <f t="shared" si="230"/>
        <v>0</v>
      </c>
      <c r="M799" s="4">
        <f t="shared" si="223"/>
        <v>0</v>
      </c>
      <c r="N799" s="4">
        <f t="shared" si="224"/>
        <v>0</v>
      </c>
      <c r="O799" s="4">
        <f t="shared" si="231"/>
        <v>0</v>
      </c>
      <c r="P799" s="4" t="e">
        <f>VLOOKUP(AJ791,'CIR Team Info'!$C$5:$E$44,2,FALSE)</f>
        <v>#N/A</v>
      </c>
      <c r="Q799" s="4" t="e">
        <f>VLOOKUP(AJ791,'CIR Team Info'!$C$5:$E$44,3,FALSE)</f>
        <v>#N/A</v>
      </c>
      <c r="R799" s="10" t="e">
        <f>VLOOKUP(AJ791,'FRC Site Data'!$B$3:$L$42,2,FALSE)</f>
        <v>#N/A</v>
      </c>
      <c r="S799" s="10" t="e">
        <f>VLOOKUP(AJ791,'FRC Site Data'!$B$3:$L$42,3,FALSE)</f>
        <v>#N/A</v>
      </c>
      <c r="T799" s="10" t="e">
        <f>VLOOKUP(AJ791,'FRC Site Data'!$B$3:$L$42,4,FALSE)</f>
        <v>#N/A</v>
      </c>
      <c r="U799" s="10" t="e">
        <f>VLOOKUP(AJ791,'FRC Site Data'!$B$3:$L$42,5,FALSE)</f>
        <v>#N/A</v>
      </c>
      <c r="V799" s="10" t="e">
        <f>VLOOKUP(AJ791,'FRC Site Data'!$B$3:$L$42,6,FALSE)</f>
        <v>#N/A</v>
      </c>
      <c r="W799" s="10" t="e">
        <f>VLOOKUP(AJ791,'FRC Site Data'!$B$3:$L$42,8,FALSE)</f>
        <v>#N/A</v>
      </c>
      <c r="X799" s="10" t="e">
        <f>VLOOKUP(AJ791,'FRC Site Data'!$B$3:$L$42,9,FALSE)</f>
        <v>#N/A</v>
      </c>
      <c r="Y799" s="10" t="e">
        <f>VLOOKUP(AJ791,'FRC Site Data'!$B$3:$L$42,10,FALSE)</f>
        <v>#N/A</v>
      </c>
      <c r="Z799" s="10" t="e">
        <f>VLOOKUP(AJ791,'FRC Site Data'!$B$3:$L$42,11,FALSE)</f>
        <v>#N/A</v>
      </c>
      <c r="AA799" s="10" t="e">
        <f>VLOOKUP(AJ791,'CIR Team Info'!$C$5:$E$44,4,FALSE)</f>
        <v>#N/A</v>
      </c>
      <c r="AB799" s="161" t="b">
        <f>ISNUMBER(VLOOKUP(AJ791,Match!$T$5:$T$10,1,FALSE))</f>
        <v>0</v>
      </c>
      <c r="AC799" s="161" t="b">
        <f>IF(AB799=TRUE,(VLOOKUP($AJ791,Match!$T$5:$U$10,2,FALSE)))</f>
        <v>0</v>
      </c>
      <c r="AD799" s="8">
        <v>3</v>
      </c>
      <c r="AE799" s="8">
        <v>2</v>
      </c>
      <c r="AF799" s="8">
        <v>2</v>
      </c>
      <c r="AG799" s="8">
        <v>1</v>
      </c>
      <c r="AH799" s="8" t="str">
        <f t="shared" si="218"/>
        <v/>
      </c>
    </row>
    <row r="800" spans="1:34" x14ac:dyDescent="0.25">
      <c r="A800" s="29">
        <f t="shared" si="225"/>
        <v>0</v>
      </c>
      <c r="B800" s="29">
        <f t="shared" si="219"/>
        <v>0</v>
      </c>
      <c r="C800" s="29">
        <f t="shared" si="220"/>
        <v>0</v>
      </c>
      <c r="D800" s="29">
        <f t="shared" si="221"/>
        <v>0</v>
      </c>
      <c r="E800" s="29">
        <f t="shared" si="226"/>
        <v>0</v>
      </c>
      <c r="F800" s="29">
        <f t="shared" si="227"/>
        <v>0</v>
      </c>
      <c r="G800" s="29" t="str">
        <f t="shared" si="228"/>
        <v>offensive</v>
      </c>
      <c r="H800" s="16">
        <f t="shared" si="232"/>
        <v>0</v>
      </c>
      <c r="I800" s="16">
        <f t="shared" si="233"/>
        <v>0</v>
      </c>
      <c r="J800" s="16">
        <f t="shared" si="222"/>
        <v>0</v>
      </c>
      <c r="K800" s="16">
        <f t="shared" si="229"/>
        <v>0</v>
      </c>
      <c r="L800" s="67">
        <f t="shared" si="230"/>
        <v>0</v>
      </c>
      <c r="M800" s="4">
        <f t="shared" si="223"/>
        <v>0</v>
      </c>
      <c r="N800" s="4">
        <f t="shared" si="224"/>
        <v>0</v>
      </c>
      <c r="O800" s="4">
        <f t="shared" si="231"/>
        <v>0</v>
      </c>
      <c r="P800" s="4" t="e">
        <f>VLOOKUP(AJ792,'CIR Team Info'!$C$5:$E$44,2,FALSE)</f>
        <v>#N/A</v>
      </c>
      <c r="Q800" s="4" t="e">
        <f>VLOOKUP(AJ792,'CIR Team Info'!$C$5:$E$44,3,FALSE)</f>
        <v>#N/A</v>
      </c>
      <c r="R800" s="10" t="e">
        <f>VLOOKUP(AJ792,'FRC Site Data'!$B$3:$L$42,2,FALSE)</f>
        <v>#N/A</v>
      </c>
      <c r="S800" s="10" t="e">
        <f>VLOOKUP(AJ792,'FRC Site Data'!$B$3:$L$42,3,FALSE)</f>
        <v>#N/A</v>
      </c>
      <c r="T800" s="10" t="e">
        <f>VLOOKUP(AJ792,'FRC Site Data'!$B$3:$L$42,4,FALSE)</f>
        <v>#N/A</v>
      </c>
      <c r="U800" s="10" t="e">
        <f>VLOOKUP(AJ792,'FRC Site Data'!$B$3:$L$42,5,FALSE)</f>
        <v>#N/A</v>
      </c>
      <c r="V800" s="10" t="e">
        <f>VLOOKUP(AJ792,'FRC Site Data'!$B$3:$L$42,6,FALSE)</f>
        <v>#N/A</v>
      </c>
      <c r="W800" s="10" t="e">
        <f>VLOOKUP(AJ792,'FRC Site Data'!$B$3:$L$42,8,FALSE)</f>
        <v>#N/A</v>
      </c>
      <c r="X800" s="10" t="e">
        <f>VLOOKUP(AJ792,'FRC Site Data'!$B$3:$L$42,9,FALSE)</f>
        <v>#N/A</v>
      </c>
      <c r="Y800" s="10" t="e">
        <f>VLOOKUP(AJ792,'FRC Site Data'!$B$3:$L$42,10,FALSE)</f>
        <v>#N/A</v>
      </c>
      <c r="Z800" s="10" t="e">
        <f>VLOOKUP(AJ792,'FRC Site Data'!$B$3:$L$42,11,FALSE)</f>
        <v>#N/A</v>
      </c>
      <c r="AA800" s="10" t="e">
        <f>VLOOKUP(AJ792,'CIR Team Info'!$C$5:$E$44,4,FALSE)</f>
        <v>#N/A</v>
      </c>
      <c r="AB800" s="161" t="b">
        <f>ISNUMBER(VLOOKUP(AJ792,Match!$T$5:$T$10,1,FALSE))</f>
        <v>0</v>
      </c>
      <c r="AC800" s="161" t="b">
        <f>IF(AB800=TRUE,(VLOOKUP($AJ792,Match!$T$5:$U$10,2,FALSE)))</f>
        <v>0</v>
      </c>
      <c r="AD800" s="8">
        <v>3</v>
      </c>
      <c r="AE800" s="8">
        <v>2</v>
      </c>
      <c r="AF800" s="8">
        <v>2</v>
      </c>
      <c r="AG800" s="8">
        <v>1</v>
      </c>
      <c r="AH800" s="8" t="str">
        <f t="shared" si="218"/>
        <v/>
      </c>
    </row>
    <row r="801" spans="1:34" x14ac:dyDescent="0.25">
      <c r="A801" s="29">
        <f t="shared" si="225"/>
        <v>0</v>
      </c>
      <c r="B801" s="29">
        <f t="shared" si="219"/>
        <v>0</v>
      </c>
      <c r="C801" s="29">
        <f t="shared" si="220"/>
        <v>0</v>
      </c>
      <c r="D801" s="29">
        <f t="shared" si="221"/>
        <v>0</v>
      </c>
      <c r="E801" s="29">
        <f t="shared" si="226"/>
        <v>0</v>
      </c>
      <c r="F801" s="29">
        <f t="shared" si="227"/>
        <v>0</v>
      </c>
      <c r="G801" s="29" t="str">
        <f t="shared" si="228"/>
        <v>offensive</v>
      </c>
      <c r="H801" s="16">
        <f t="shared" si="232"/>
        <v>0</v>
      </c>
      <c r="I801" s="16">
        <f t="shared" si="233"/>
        <v>0</v>
      </c>
      <c r="J801" s="16">
        <f t="shared" si="222"/>
        <v>0</v>
      </c>
      <c r="K801" s="16">
        <f t="shared" si="229"/>
        <v>0</v>
      </c>
      <c r="L801" s="67">
        <f t="shared" si="230"/>
        <v>0</v>
      </c>
      <c r="M801" s="4">
        <f t="shared" si="223"/>
        <v>0</v>
      </c>
      <c r="N801" s="4">
        <f t="shared" si="224"/>
        <v>0</v>
      </c>
      <c r="O801" s="4">
        <f t="shared" si="231"/>
        <v>0</v>
      </c>
      <c r="P801" s="4" t="e">
        <f>VLOOKUP(AJ793,'CIR Team Info'!$C$5:$E$44,2,FALSE)</f>
        <v>#N/A</v>
      </c>
      <c r="Q801" s="4" t="e">
        <f>VLOOKUP(AJ793,'CIR Team Info'!$C$5:$E$44,3,FALSE)</f>
        <v>#N/A</v>
      </c>
      <c r="R801" s="10" t="e">
        <f>VLOOKUP(AJ793,'FRC Site Data'!$B$3:$L$42,2,FALSE)</f>
        <v>#N/A</v>
      </c>
      <c r="S801" s="10" t="e">
        <f>VLOOKUP(AJ793,'FRC Site Data'!$B$3:$L$42,3,FALSE)</f>
        <v>#N/A</v>
      </c>
      <c r="T801" s="10" t="e">
        <f>VLOOKUP(AJ793,'FRC Site Data'!$B$3:$L$42,4,FALSE)</f>
        <v>#N/A</v>
      </c>
      <c r="U801" s="10" t="e">
        <f>VLOOKUP(AJ793,'FRC Site Data'!$B$3:$L$42,5,FALSE)</f>
        <v>#N/A</v>
      </c>
      <c r="V801" s="10" t="e">
        <f>VLOOKUP(AJ793,'FRC Site Data'!$B$3:$L$42,6,FALSE)</f>
        <v>#N/A</v>
      </c>
      <c r="W801" s="10" t="e">
        <f>VLOOKUP(AJ793,'FRC Site Data'!$B$3:$L$42,8,FALSE)</f>
        <v>#N/A</v>
      </c>
      <c r="X801" s="10" t="e">
        <f>VLOOKUP(AJ793,'FRC Site Data'!$B$3:$L$42,9,FALSE)</f>
        <v>#N/A</v>
      </c>
      <c r="Y801" s="10" t="e">
        <f>VLOOKUP(AJ793,'FRC Site Data'!$B$3:$L$42,10,FALSE)</f>
        <v>#N/A</v>
      </c>
      <c r="Z801" s="10" t="e">
        <f>VLOOKUP(AJ793,'FRC Site Data'!$B$3:$L$42,11,FALSE)</f>
        <v>#N/A</v>
      </c>
      <c r="AA801" s="10" t="e">
        <f>VLOOKUP(AJ793,'CIR Team Info'!$C$5:$E$44,4,FALSE)</f>
        <v>#N/A</v>
      </c>
      <c r="AB801" s="161" t="b">
        <f>ISNUMBER(VLOOKUP(AJ793,Match!$T$5:$T$10,1,FALSE))</f>
        <v>0</v>
      </c>
      <c r="AC801" s="161" t="b">
        <f>IF(AB801=TRUE,(VLOOKUP($AJ793,Match!$T$5:$U$10,2,FALSE)))</f>
        <v>0</v>
      </c>
      <c r="AD801" s="8">
        <v>3</v>
      </c>
      <c r="AE801" s="8">
        <v>2</v>
      </c>
      <c r="AF801" s="8">
        <v>2</v>
      </c>
      <c r="AG801" s="8">
        <v>1</v>
      </c>
      <c r="AH801" s="8" t="str">
        <f t="shared" si="218"/>
        <v/>
      </c>
    </row>
    <row r="802" spans="1:34" x14ac:dyDescent="0.25">
      <c r="A802" s="29">
        <f t="shared" si="225"/>
        <v>0</v>
      </c>
      <c r="B802" s="29">
        <f t="shared" si="219"/>
        <v>0</v>
      </c>
      <c r="C802" s="29">
        <f t="shared" si="220"/>
        <v>0</v>
      </c>
      <c r="D802" s="29">
        <f t="shared" si="221"/>
        <v>0</v>
      </c>
      <c r="E802" s="29">
        <f t="shared" si="226"/>
        <v>0</v>
      </c>
      <c r="F802" s="29">
        <f t="shared" si="227"/>
        <v>0</v>
      </c>
      <c r="G802" s="29" t="str">
        <f t="shared" si="228"/>
        <v>offensive</v>
      </c>
      <c r="H802" s="16">
        <f t="shared" si="232"/>
        <v>0</v>
      </c>
      <c r="I802" s="16">
        <f t="shared" si="233"/>
        <v>0</v>
      </c>
      <c r="J802" s="16">
        <f t="shared" si="222"/>
        <v>0</v>
      </c>
      <c r="K802" s="16">
        <f t="shared" si="229"/>
        <v>0</v>
      </c>
      <c r="L802" s="67">
        <f t="shared" si="230"/>
        <v>0</v>
      </c>
      <c r="M802" s="4">
        <f t="shared" si="223"/>
        <v>0</v>
      </c>
      <c r="N802" s="4">
        <f t="shared" si="224"/>
        <v>0</v>
      </c>
      <c r="O802" s="4">
        <f t="shared" si="231"/>
        <v>0</v>
      </c>
      <c r="P802" s="4" t="e">
        <f>VLOOKUP(AJ794,'CIR Team Info'!$C$5:$E$44,2,FALSE)</f>
        <v>#N/A</v>
      </c>
      <c r="Q802" s="4" t="e">
        <f>VLOOKUP(AJ794,'CIR Team Info'!$C$5:$E$44,3,FALSE)</f>
        <v>#N/A</v>
      </c>
      <c r="R802" s="10" t="e">
        <f>VLOOKUP(AJ794,'FRC Site Data'!$B$3:$L$42,2,FALSE)</f>
        <v>#N/A</v>
      </c>
      <c r="S802" s="10" t="e">
        <f>VLOOKUP(AJ794,'FRC Site Data'!$B$3:$L$42,3,FALSE)</f>
        <v>#N/A</v>
      </c>
      <c r="T802" s="10" t="e">
        <f>VLOOKUP(AJ794,'FRC Site Data'!$B$3:$L$42,4,FALSE)</f>
        <v>#N/A</v>
      </c>
      <c r="U802" s="10" t="e">
        <f>VLOOKUP(AJ794,'FRC Site Data'!$B$3:$L$42,5,FALSE)</f>
        <v>#N/A</v>
      </c>
      <c r="V802" s="10" t="e">
        <f>VLOOKUP(AJ794,'FRC Site Data'!$B$3:$L$42,6,FALSE)</f>
        <v>#N/A</v>
      </c>
      <c r="W802" s="10" t="e">
        <f>VLOOKUP(AJ794,'FRC Site Data'!$B$3:$L$42,8,FALSE)</f>
        <v>#N/A</v>
      </c>
      <c r="X802" s="10" t="e">
        <f>VLOOKUP(AJ794,'FRC Site Data'!$B$3:$L$42,9,FALSE)</f>
        <v>#N/A</v>
      </c>
      <c r="Y802" s="10" t="e">
        <f>VLOOKUP(AJ794,'FRC Site Data'!$B$3:$L$42,10,FALSE)</f>
        <v>#N/A</v>
      </c>
      <c r="Z802" s="10" t="e">
        <f>VLOOKUP(AJ794,'FRC Site Data'!$B$3:$L$42,11,FALSE)</f>
        <v>#N/A</v>
      </c>
      <c r="AA802" s="10" t="e">
        <f>VLOOKUP(AJ794,'CIR Team Info'!$C$5:$E$44,4,FALSE)</f>
        <v>#N/A</v>
      </c>
      <c r="AB802" s="161" t="b">
        <f>ISNUMBER(VLOOKUP(AJ794,Match!$T$5:$T$10,1,FALSE))</f>
        <v>0</v>
      </c>
      <c r="AC802" s="161" t="b">
        <f>IF(AB802=TRUE,(VLOOKUP($AJ794,Match!$T$5:$U$10,2,FALSE)))</f>
        <v>0</v>
      </c>
      <c r="AD802" s="8">
        <v>3</v>
      </c>
      <c r="AE802" s="8">
        <v>2</v>
      </c>
      <c r="AF802" s="8">
        <v>2</v>
      </c>
      <c r="AG802" s="8">
        <v>1</v>
      </c>
      <c r="AH802" s="8" t="str">
        <f t="shared" si="218"/>
        <v/>
      </c>
    </row>
    <row r="803" spans="1:34" x14ac:dyDescent="0.25">
      <c r="A803" s="29">
        <f t="shared" si="225"/>
        <v>0</v>
      </c>
      <c r="B803" s="29">
        <f t="shared" si="219"/>
        <v>0</v>
      </c>
      <c r="C803" s="29">
        <f t="shared" si="220"/>
        <v>0</v>
      </c>
      <c r="D803" s="29">
        <f t="shared" si="221"/>
        <v>0</v>
      </c>
      <c r="E803" s="29">
        <f t="shared" si="226"/>
        <v>0</v>
      </c>
      <c r="F803" s="29">
        <f t="shared" si="227"/>
        <v>0</v>
      </c>
      <c r="G803" s="29" t="str">
        <f t="shared" si="228"/>
        <v>offensive</v>
      </c>
      <c r="H803" s="16">
        <f t="shared" si="232"/>
        <v>0</v>
      </c>
      <c r="I803" s="16">
        <f t="shared" si="233"/>
        <v>0</v>
      </c>
      <c r="J803" s="16">
        <f t="shared" si="222"/>
        <v>0</v>
      </c>
      <c r="K803" s="16">
        <f t="shared" si="229"/>
        <v>0</v>
      </c>
      <c r="L803" s="67">
        <f t="shared" si="230"/>
        <v>0</v>
      </c>
      <c r="M803" s="4">
        <f t="shared" si="223"/>
        <v>0</v>
      </c>
      <c r="N803" s="4">
        <f t="shared" si="224"/>
        <v>0</v>
      </c>
      <c r="O803" s="4">
        <f t="shared" si="231"/>
        <v>0</v>
      </c>
      <c r="P803" s="4" t="e">
        <f>VLOOKUP(AJ795,'CIR Team Info'!$C$5:$E$44,2,FALSE)</f>
        <v>#N/A</v>
      </c>
      <c r="Q803" s="4" t="e">
        <f>VLOOKUP(AJ795,'CIR Team Info'!$C$5:$E$44,3,FALSE)</f>
        <v>#N/A</v>
      </c>
      <c r="R803" s="10" t="e">
        <f>VLOOKUP(AJ795,'FRC Site Data'!$B$3:$L$42,2,FALSE)</f>
        <v>#N/A</v>
      </c>
      <c r="S803" s="10" t="e">
        <f>VLOOKUP(AJ795,'FRC Site Data'!$B$3:$L$42,3,FALSE)</f>
        <v>#N/A</v>
      </c>
      <c r="T803" s="10" t="e">
        <f>VLOOKUP(AJ795,'FRC Site Data'!$B$3:$L$42,4,FALSE)</f>
        <v>#N/A</v>
      </c>
      <c r="U803" s="10" t="e">
        <f>VLOOKUP(AJ795,'FRC Site Data'!$B$3:$L$42,5,FALSE)</f>
        <v>#N/A</v>
      </c>
      <c r="V803" s="10" t="e">
        <f>VLOOKUP(AJ795,'FRC Site Data'!$B$3:$L$42,6,FALSE)</f>
        <v>#N/A</v>
      </c>
      <c r="W803" s="10" t="e">
        <f>VLOOKUP(AJ795,'FRC Site Data'!$B$3:$L$42,8,FALSE)</f>
        <v>#N/A</v>
      </c>
      <c r="X803" s="10" t="e">
        <f>VLOOKUP(AJ795,'FRC Site Data'!$B$3:$L$42,9,FALSE)</f>
        <v>#N/A</v>
      </c>
      <c r="Y803" s="10" t="e">
        <f>VLOOKUP(AJ795,'FRC Site Data'!$B$3:$L$42,10,FALSE)</f>
        <v>#N/A</v>
      </c>
      <c r="Z803" s="10" t="e">
        <f>VLOOKUP(AJ795,'FRC Site Data'!$B$3:$L$42,11,FALSE)</f>
        <v>#N/A</v>
      </c>
      <c r="AA803" s="10" t="e">
        <f>VLOOKUP(AJ795,'CIR Team Info'!$C$5:$E$44,4,FALSE)</f>
        <v>#N/A</v>
      </c>
      <c r="AB803" s="161" t="b">
        <f>ISNUMBER(VLOOKUP(AJ795,Match!$T$5:$T$10,1,FALSE))</f>
        <v>0</v>
      </c>
      <c r="AC803" s="161" t="b">
        <f>IF(AB803=TRUE,(VLOOKUP($AJ795,Match!$T$5:$U$10,2,FALSE)))</f>
        <v>0</v>
      </c>
      <c r="AD803" s="8">
        <v>3</v>
      </c>
      <c r="AE803" s="8">
        <v>2</v>
      </c>
      <c r="AF803" s="8">
        <v>2</v>
      </c>
      <c r="AG803" s="8">
        <v>1</v>
      </c>
      <c r="AH803" s="8" t="str">
        <f t="shared" ref="AH803:AH866" si="234">IF(AL795="Other","x","")</f>
        <v/>
      </c>
    </row>
    <row r="804" spans="1:34" x14ac:dyDescent="0.25">
      <c r="A804" s="29">
        <f t="shared" si="225"/>
        <v>0</v>
      </c>
      <c r="B804" s="29">
        <f t="shared" si="219"/>
        <v>0</v>
      </c>
      <c r="C804" s="29">
        <f t="shared" si="220"/>
        <v>0</v>
      </c>
      <c r="D804" s="29">
        <f t="shared" si="221"/>
        <v>0</v>
      </c>
      <c r="E804" s="29">
        <f t="shared" si="226"/>
        <v>0</v>
      </c>
      <c r="F804" s="29">
        <f t="shared" si="227"/>
        <v>0</v>
      </c>
      <c r="G804" s="29" t="str">
        <f t="shared" si="228"/>
        <v>offensive</v>
      </c>
      <c r="H804" s="16">
        <f t="shared" si="232"/>
        <v>0</v>
      </c>
      <c r="I804" s="16">
        <f t="shared" si="233"/>
        <v>0</v>
      </c>
      <c r="J804" s="16">
        <f t="shared" si="222"/>
        <v>0</v>
      </c>
      <c r="K804" s="16">
        <f t="shared" si="229"/>
        <v>0</v>
      </c>
      <c r="L804" s="67">
        <f t="shared" si="230"/>
        <v>0</v>
      </c>
      <c r="M804" s="4">
        <f t="shared" si="223"/>
        <v>0</v>
      </c>
      <c r="N804" s="4">
        <f t="shared" si="224"/>
        <v>0</v>
      </c>
      <c r="O804" s="4">
        <f t="shared" si="231"/>
        <v>0</v>
      </c>
      <c r="P804" s="4" t="e">
        <f>VLOOKUP(AJ796,'CIR Team Info'!$C$5:$E$44,2,FALSE)</f>
        <v>#N/A</v>
      </c>
      <c r="Q804" s="4" t="e">
        <f>VLOOKUP(AJ796,'CIR Team Info'!$C$5:$E$44,3,FALSE)</f>
        <v>#N/A</v>
      </c>
      <c r="R804" s="10" t="e">
        <f>VLOOKUP(AJ796,'FRC Site Data'!$B$3:$L$42,2,FALSE)</f>
        <v>#N/A</v>
      </c>
      <c r="S804" s="10" t="e">
        <f>VLOOKUP(AJ796,'FRC Site Data'!$B$3:$L$42,3,FALSE)</f>
        <v>#N/A</v>
      </c>
      <c r="T804" s="10" t="e">
        <f>VLOOKUP(AJ796,'FRC Site Data'!$B$3:$L$42,4,FALSE)</f>
        <v>#N/A</v>
      </c>
      <c r="U804" s="10" t="e">
        <f>VLOOKUP(AJ796,'FRC Site Data'!$B$3:$L$42,5,FALSE)</f>
        <v>#N/A</v>
      </c>
      <c r="V804" s="10" t="e">
        <f>VLOOKUP(AJ796,'FRC Site Data'!$B$3:$L$42,6,FALSE)</f>
        <v>#N/A</v>
      </c>
      <c r="W804" s="10" t="e">
        <f>VLOOKUP(AJ796,'FRC Site Data'!$B$3:$L$42,8,FALSE)</f>
        <v>#N/A</v>
      </c>
      <c r="X804" s="10" t="e">
        <f>VLOOKUP(AJ796,'FRC Site Data'!$B$3:$L$42,9,FALSE)</f>
        <v>#N/A</v>
      </c>
      <c r="Y804" s="10" t="e">
        <f>VLOOKUP(AJ796,'FRC Site Data'!$B$3:$L$42,10,FALSE)</f>
        <v>#N/A</v>
      </c>
      <c r="Z804" s="10" t="e">
        <f>VLOOKUP(AJ796,'FRC Site Data'!$B$3:$L$42,11,FALSE)</f>
        <v>#N/A</v>
      </c>
      <c r="AA804" s="10" t="e">
        <f>VLOOKUP(AJ796,'CIR Team Info'!$C$5:$E$44,4,FALSE)</f>
        <v>#N/A</v>
      </c>
      <c r="AB804" s="161" t="b">
        <f>ISNUMBER(VLOOKUP(AJ796,Match!$T$5:$T$10,1,FALSE))</f>
        <v>0</v>
      </c>
      <c r="AC804" s="161" t="b">
        <f>IF(AB804=TRUE,(VLOOKUP($AJ796,Match!$T$5:$U$10,2,FALSE)))</f>
        <v>0</v>
      </c>
      <c r="AD804" s="8">
        <v>3</v>
      </c>
      <c r="AE804" s="8">
        <v>2</v>
      </c>
      <c r="AF804" s="8">
        <v>2</v>
      </c>
      <c r="AG804" s="8">
        <v>1</v>
      </c>
      <c r="AH804" s="8" t="str">
        <f t="shared" si="234"/>
        <v/>
      </c>
    </row>
    <row r="805" spans="1:34" x14ac:dyDescent="0.25">
      <c r="A805" s="29">
        <f t="shared" si="225"/>
        <v>0</v>
      </c>
      <c r="B805" s="29">
        <f t="shared" si="219"/>
        <v>0</v>
      </c>
      <c r="C805" s="29">
        <f t="shared" si="220"/>
        <v>0</v>
      </c>
      <c r="D805" s="29">
        <f t="shared" si="221"/>
        <v>0</v>
      </c>
      <c r="E805" s="29">
        <f t="shared" si="226"/>
        <v>0</v>
      </c>
      <c r="F805" s="29">
        <f t="shared" si="227"/>
        <v>0</v>
      </c>
      <c r="G805" s="29" t="str">
        <f t="shared" si="228"/>
        <v>offensive</v>
      </c>
      <c r="H805" s="16">
        <f t="shared" si="232"/>
        <v>0</v>
      </c>
      <c r="I805" s="16">
        <f t="shared" si="233"/>
        <v>0</v>
      </c>
      <c r="J805" s="16">
        <f t="shared" si="222"/>
        <v>0</v>
      </c>
      <c r="K805" s="16">
        <f t="shared" si="229"/>
        <v>0</v>
      </c>
      <c r="L805" s="67">
        <f t="shared" si="230"/>
        <v>0</v>
      </c>
      <c r="M805" s="4">
        <f t="shared" si="223"/>
        <v>0</v>
      </c>
      <c r="N805" s="4">
        <f t="shared" si="224"/>
        <v>0</v>
      </c>
      <c r="O805" s="4">
        <f t="shared" si="231"/>
        <v>0</v>
      </c>
      <c r="P805" s="4" t="e">
        <f>VLOOKUP(AJ797,'CIR Team Info'!$C$5:$E$44,2,FALSE)</f>
        <v>#N/A</v>
      </c>
      <c r="Q805" s="4" t="e">
        <f>VLOOKUP(AJ797,'CIR Team Info'!$C$5:$E$44,3,FALSE)</f>
        <v>#N/A</v>
      </c>
      <c r="R805" s="10" t="e">
        <f>VLOOKUP(AJ797,'FRC Site Data'!$B$3:$L$42,2,FALSE)</f>
        <v>#N/A</v>
      </c>
      <c r="S805" s="10" t="e">
        <f>VLOOKUP(AJ797,'FRC Site Data'!$B$3:$L$42,3,FALSE)</f>
        <v>#N/A</v>
      </c>
      <c r="T805" s="10" t="e">
        <f>VLOOKUP(AJ797,'FRC Site Data'!$B$3:$L$42,4,FALSE)</f>
        <v>#N/A</v>
      </c>
      <c r="U805" s="10" t="e">
        <f>VLOOKUP(AJ797,'FRC Site Data'!$B$3:$L$42,5,FALSE)</f>
        <v>#N/A</v>
      </c>
      <c r="V805" s="10" t="e">
        <f>VLOOKUP(AJ797,'FRC Site Data'!$B$3:$L$42,6,FALSE)</f>
        <v>#N/A</v>
      </c>
      <c r="W805" s="10" t="e">
        <f>VLOOKUP(AJ797,'FRC Site Data'!$B$3:$L$42,8,FALSE)</f>
        <v>#N/A</v>
      </c>
      <c r="X805" s="10" t="e">
        <f>VLOOKUP(AJ797,'FRC Site Data'!$B$3:$L$42,9,FALSE)</f>
        <v>#N/A</v>
      </c>
      <c r="Y805" s="10" t="e">
        <f>VLOOKUP(AJ797,'FRC Site Data'!$B$3:$L$42,10,FALSE)</f>
        <v>#N/A</v>
      </c>
      <c r="Z805" s="10" t="e">
        <f>VLOOKUP(AJ797,'FRC Site Data'!$B$3:$L$42,11,FALSE)</f>
        <v>#N/A</v>
      </c>
      <c r="AA805" s="10" t="e">
        <f>VLOOKUP(AJ797,'CIR Team Info'!$C$5:$E$44,4,FALSE)</f>
        <v>#N/A</v>
      </c>
      <c r="AB805" s="161" t="b">
        <f>ISNUMBER(VLOOKUP(AJ797,Match!$T$5:$T$10,1,FALSE))</f>
        <v>0</v>
      </c>
      <c r="AC805" s="161" t="b">
        <f>IF(AB805=TRUE,(VLOOKUP($AJ797,Match!$T$5:$U$10,2,FALSE)))</f>
        <v>0</v>
      </c>
      <c r="AD805" s="8">
        <v>3</v>
      </c>
      <c r="AE805" s="8">
        <v>2</v>
      </c>
      <c r="AF805" s="8">
        <v>2</v>
      </c>
      <c r="AG805" s="8">
        <v>1</v>
      </c>
      <c r="AH805" s="8" t="str">
        <f t="shared" si="234"/>
        <v/>
      </c>
    </row>
    <row r="806" spans="1:34" x14ac:dyDescent="0.25">
      <c r="A806" s="29">
        <f t="shared" si="225"/>
        <v>0</v>
      </c>
      <c r="B806" s="29">
        <f t="shared" si="219"/>
        <v>0</v>
      </c>
      <c r="C806" s="29">
        <f t="shared" si="220"/>
        <v>0</v>
      </c>
      <c r="D806" s="29">
        <f t="shared" si="221"/>
        <v>0</v>
      </c>
      <c r="E806" s="29">
        <f t="shared" si="226"/>
        <v>0</v>
      </c>
      <c r="F806" s="29">
        <f t="shared" si="227"/>
        <v>0</v>
      </c>
      <c r="G806" s="29" t="str">
        <f t="shared" si="228"/>
        <v>offensive</v>
      </c>
      <c r="H806" s="16">
        <f t="shared" si="232"/>
        <v>0</v>
      </c>
      <c r="I806" s="16">
        <f t="shared" si="233"/>
        <v>0</v>
      </c>
      <c r="J806" s="16">
        <f t="shared" si="222"/>
        <v>0</v>
      </c>
      <c r="K806" s="16">
        <f t="shared" si="229"/>
        <v>0</v>
      </c>
      <c r="L806" s="67">
        <f t="shared" si="230"/>
        <v>0</v>
      </c>
      <c r="M806" s="4">
        <f t="shared" si="223"/>
        <v>0</v>
      </c>
      <c r="N806" s="4">
        <f t="shared" si="224"/>
        <v>0</v>
      </c>
      <c r="O806" s="4">
        <f t="shared" si="231"/>
        <v>0</v>
      </c>
      <c r="P806" s="4" t="e">
        <f>VLOOKUP(AJ798,'CIR Team Info'!$C$5:$E$44,2,FALSE)</f>
        <v>#N/A</v>
      </c>
      <c r="Q806" s="4" t="e">
        <f>VLOOKUP(AJ798,'CIR Team Info'!$C$5:$E$44,3,FALSE)</f>
        <v>#N/A</v>
      </c>
      <c r="R806" s="10" t="e">
        <f>VLOOKUP(AJ798,'FRC Site Data'!$B$3:$L$42,2,FALSE)</f>
        <v>#N/A</v>
      </c>
      <c r="S806" s="10" t="e">
        <f>VLOOKUP(AJ798,'FRC Site Data'!$B$3:$L$42,3,FALSE)</f>
        <v>#N/A</v>
      </c>
      <c r="T806" s="10" t="e">
        <f>VLOOKUP(AJ798,'FRC Site Data'!$B$3:$L$42,4,FALSE)</f>
        <v>#N/A</v>
      </c>
      <c r="U806" s="10" t="e">
        <f>VLOOKUP(AJ798,'FRC Site Data'!$B$3:$L$42,5,FALSE)</f>
        <v>#N/A</v>
      </c>
      <c r="V806" s="10" t="e">
        <f>VLOOKUP(AJ798,'FRC Site Data'!$B$3:$L$42,6,FALSE)</f>
        <v>#N/A</v>
      </c>
      <c r="W806" s="10" t="e">
        <f>VLOOKUP(AJ798,'FRC Site Data'!$B$3:$L$42,8,FALSE)</f>
        <v>#N/A</v>
      </c>
      <c r="X806" s="10" t="e">
        <f>VLOOKUP(AJ798,'FRC Site Data'!$B$3:$L$42,9,FALSE)</f>
        <v>#N/A</v>
      </c>
      <c r="Y806" s="10" t="e">
        <f>VLOOKUP(AJ798,'FRC Site Data'!$B$3:$L$42,10,FALSE)</f>
        <v>#N/A</v>
      </c>
      <c r="Z806" s="10" t="e">
        <f>VLOOKUP(AJ798,'FRC Site Data'!$B$3:$L$42,11,FALSE)</f>
        <v>#N/A</v>
      </c>
      <c r="AA806" s="10" t="e">
        <f>VLOOKUP(AJ798,'CIR Team Info'!$C$5:$E$44,4,FALSE)</f>
        <v>#N/A</v>
      </c>
      <c r="AB806" s="161" t="b">
        <f>ISNUMBER(VLOOKUP(AJ798,Match!$T$5:$T$10,1,FALSE))</f>
        <v>0</v>
      </c>
      <c r="AC806" s="161" t="b">
        <f>IF(AB806=TRUE,(VLOOKUP($AJ798,Match!$T$5:$U$10,2,FALSE)))</f>
        <v>0</v>
      </c>
      <c r="AD806" s="8">
        <v>3</v>
      </c>
      <c r="AE806" s="8">
        <v>2</v>
      </c>
      <c r="AF806" s="8">
        <v>2</v>
      </c>
      <c r="AG806" s="8">
        <v>1</v>
      </c>
      <c r="AH806" s="8" t="str">
        <f t="shared" si="234"/>
        <v/>
      </c>
    </row>
    <row r="807" spans="1:34" x14ac:dyDescent="0.25">
      <c r="A807" s="29">
        <f t="shared" si="225"/>
        <v>0</v>
      </c>
      <c r="B807" s="29">
        <f t="shared" si="219"/>
        <v>0</v>
      </c>
      <c r="C807" s="29">
        <f t="shared" si="220"/>
        <v>0</v>
      </c>
      <c r="D807" s="29">
        <f t="shared" si="221"/>
        <v>0</v>
      </c>
      <c r="E807" s="29">
        <f t="shared" si="226"/>
        <v>0</v>
      </c>
      <c r="F807" s="29">
        <f t="shared" si="227"/>
        <v>0</v>
      </c>
      <c r="G807" s="29" t="str">
        <f t="shared" si="228"/>
        <v>offensive</v>
      </c>
      <c r="H807" s="16">
        <f t="shared" si="232"/>
        <v>0</v>
      </c>
      <c r="I807" s="16">
        <f t="shared" si="233"/>
        <v>0</v>
      </c>
      <c r="J807" s="16">
        <f t="shared" si="222"/>
        <v>0</v>
      </c>
      <c r="K807" s="16">
        <f t="shared" si="229"/>
        <v>0</v>
      </c>
      <c r="L807" s="67">
        <f t="shared" si="230"/>
        <v>0</v>
      </c>
      <c r="M807" s="4">
        <f t="shared" si="223"/>
        <v>0</v>
      </c>
      <c r="N807" s="4">
        <f t="shared" si="224"/>
        <v>0</v>
      </c>
      <c r="O807" s="4">
        <f t="shared" si="231"/>
        <v>0</v>
      </c>
      <c r="P807" s="4" t="e">
        <f>VLOOKUP(AJ799,'CIR Team Info'!$C$5:$E$44,2,FALSE)</f>
        <v>#N/A</v>
      </c>
      <c r="Q807" s="4" t="e">
        <f>VLOOKUP(AJ799,'CIR Team Info'!$C$5:$E$44,3,FALSE)</f>
        <v>#N/A</v>
      </c>
      <c r="R807" s="10" t="e">
        <f>VLOOKUP(AJ799,'FRC Site Data'!$B$3:$L$42,2,FALSE)</f>
        <v>#N/A</v>
      </c>
      <c r="S807" s="10" t="e">
        <f>VLOOKUP(AJ799,'FRC Site Data'!$B$3:$L$42,3,FALSE)</f>
        <v>#N/A</v>
      </c>
      <c r="T807" s="10" t="e">
        <f>VLOOKUP(AJ799,'FRC Site Data'!$B$3:$L$42,4,FALSE)</f>
        <v>#N/A</v>
      </c>
      <c r="U807" s="10" t="e">
        <f>VLOOKUP(AJ799,'FRC Site Data'!$B$3:$L$42,5,FALSE)</f>
        <v>#N/A</v>
      </c>
      <c r="V807" s="10" t="e">
        <f>VLOOKUP(AJ799,'FRC Site Data'!$B$3:$L$42,6,FALSE)</f>
        <v>#N/A</v>
      </c>
      <c r="W807" s="10" t="e">
        <f>VLOOKUP(AJ799,'FRC Site Data'!$B$3:$L$42,8,FALSE)</f>
        <v>#N/A</v>
      </c>
      <c r="X807" s="10" t="e">
        <f>VLOOKUP(AJ799,'FRC Site Data'!$B$3:$L$42,9,FALSE)</f>
        <v>#N/A</v>
      </c>
      <c r="Y807" s="10" t="e">
        <f>VLOOKUP(AJ799,'FRC Site Data'!$B$3:$L$42,10,FALSE)</f>
        <v>#N/A</v>
      </c>
      <c r="Z807" s="10" t="e">
        <f>VLOOKUP(AJ799,'FRC Site Data'!$B$3:$L$42,11,FALSE)</f>
        <v>#N/A</v>
      </c>
      <c r="AA807" s="10" t="e">
        <f>VLOOKUP(AJ799,'CIR Team Info'!$C$5:$E$44,4,FALSE)</f>
        <v>#N/A</v>
      </c>
      <c r="AB807" s="161" t="b">
        <f>ISNUMBER(VLOOKUP(AJ799,Match!$T$5:$T$10,1,FALSE))</f>
        <v>0</v>
      </c>
      <c r="AC807" s="161" t="b">
        <f>IF(AB807=TRUE,(VLOOKUP($AJ799,Match!$T$5:$U$10,2,FALSE)))</f>
        <v>0</v>
      </c>
      <c r="AD807" s="8">
        <v>3</v>
      </c>
      <c r="AE807" s="8">
        <v>2</v>
      </c>
      <c r="AF807" s="8">
        <v>2</v>
      </c>
      <c r="AG807" s="8">
        <v>1</v>
      </c>
      <c r="AH807" s="8" t="str">
        <f t="shared" si="234"/>
        <v/>
      </c>
    </row>
    <row r="808" spans="1:34" x14ac:dyDescent="0.25">
      <c r="A808" s="29">
        <f t="shared" si="225"/>
        <v>0</v>
      </c>
      <c r="B808" s="29">
        <f t="shared" si="219"/>
        <v>0</v>
      </c>
      <c r="C808" s="29">
        <f t="shared" si="220"/>
        <v>0</v>
      </c>
      <c r="D808" s="29">
        <f t="shared" si="221"/>
        <v>0</v>
      </c>
      <c r="E808" s="29">
        <f t="shared" si="226"/>
        <v>0</v>
      </c>
      <c r="F808" s="29">
        <f t="shared" si="227"/>
        <v>0</v>
      </c>
      <c r="G808" s="29" t="str">
        <f t="shared" si="228"/>
        <v>offensive</v>
      </c>
      <c r="H808" s="16">
        <f t="shared" si="232"/>
        <v>0</v>
      </c>
      <c r="I808" s="16">
        <f t="shared" si="233"/>
        <v>0</v>
      </c>
      <c r="J808" s="16">
        <f t="shared" si="222"/>
        <v>0</v>
      </c>
      <c r="K808" s="16">
        <f t="shared" si="229"/>
        <v>0</v>
      </c>
      <c r="L808" s="67">
        <f t="shared" si="230"/>
        <v>0</v>
      </c>
      <c r="M808" s="4">
        <f t="shared" si="223"/>
        <v>0</v>
      </c>
      <c r="N808" s="4">
        <f t="shared" si="224"/>
        <v>0</v>
      </c>
      <c r="O808" s="4">
        <f t="shared" si="231"/>
        <v>0</v>
      </c>
      <c r="P808" s="4" t="e">
        <f>VLOOKUP(AJ800,'CIR Team Info'!$C$5:$E$44,2,FALSE)</f>
        <v>#N/A</v>
      </c>
      <c r="Q808" s="4" t="e">
        <f>VLOOKUP(AJ800,'CIR Team Info'!$C$5:$E$44,3,FALSE)</f>
        <v>#N/A</v>
      </c>
      <c r="R808" s="10" t="e">
        <f>VLOOKUP(AJ800,'FRC Site Data'!$B$3:$L$42,2,FALSE)</f>
        <v>#N/A</v>
      </c>
      <c r="S808" s="10" t="e">
        <f>VLOOKUP(AJ800,'FRC Site Data'!$B$3:$L$42,3,FALSE)</f>
        <v>#N/A</v>
      </c>
      <c r="T808" s="10" t="e">
        <f>VLOOKUP(AJ800,'FRC Site Data'!$B$3:$L$42,4,FALSE)</f>
        <v>#N/A</v>
      </c>
      <c r="U808" s="10" t="e">
        <f>VLOOKUP(AJ800,'FRC Site Data'!$B$3:$L$42,5,FALSE)</f>
        <v>#N/A</v>
      </c>
      <c r="V808" s="10" t="e">
        <f>VLOOKUP(AJ800,'FRC Site Data'!$B$3:$L$42,6,FALSE)</f>
        <v>#N/A</v>
      </c>
      <c r="W808" s="10" t="e">
        <f>VLOOKUP(AJ800,'FRC Site Data'!$B$3:$L$42,8,FALSE)</f>
        <v>#N/A</v>
      </c>
      <c r="X808" s="10" t="e">
        <f>VLOOKUP(AJ800,'FRC Site Data'!$B$3:$L$42,9,FALSE)</f>
        <v>#N/A</v>
      </c>
      <c r="Y808" s="10" t="e">
        <f>VLOOKUP(AJ800,'FRC Site Data'!$B$3:$L$42,10,FALSE)</f>
        <v>#N/A</v>
      </c>
      <c r="Z808" s="10" t="e">
        <f>VLOOKUP(AJ800,'FRC Site Data'!$B$3:$L$42,11,FALSE)</f>
        <v>#N/A</v>
      </c>
      <c r="AA808" s="10" t="e">
        <f>VLOOKUP(AJ800,'CIR Team Info'!$C$5:$E$44,4,FALSE)</f>
        <v>#N/A</v>
      </c>
      <c r="AB808" s="161" t="b">
        <f>ISNUMBER(VLOOKUP(AJ800,Match!$T$5:$T$10,1,FALSE))</f>
        <v>0</v>
      </c>
      <c r="AC808" s="161" t="b">
        <f>IF(AB808=TRUE,(VLOOKUP($AJ800,Match!$T$5:$U$10,2,FALSE)))</f>
        <v>0</v>
      </c>
      <c r="AD808" s="8">
        <v>3</v>
      </c>
      <c r="AE808" s="8">
        <v>2</v>
      </c>
      <c r="AF808" s="8">
        <v>2</v>
      </c>
      <c r="AG808" s="8">
        <v>1</v>
      </c>
      <c r="AH808" s="8" t="str">
        <f t="shared" si="234"/>
        <v/>
      </c>
    </row>
    <row r="809" spans="1:34" x14ac:dyDescent="0.25">
      <c r="A809" s="29">
        <f t="shared" si="225"/>
        <v>0</v>
      </c>
      <c r="B809" s="29">
        <f t="shared" si="219"/>
        <v>0</v>
      </c>
      <c r="C809" s="29">
        <f t="shared" si="220"/>
        <v>0</v>
      </c>
      <c r="D809" s="29">
        <f t="shared" si="221"/>
        <v>0</v>
      </c>
      <c r="E809" s="29">
        <f t="shared" si="226"/>
        <v>0</v>
      </c>
      <c r="F809" s="29">
        <f t="shared" si="227"/>
        <v>0</v>
      </c>
      <c r="G809" s="29" t="str">
        <f t="shared" si="228"/>
        <v>offensive</v>
      </c>
      <c r="H809" s="16">
        <f t="shared" si="232"/>
        <v>0</v>
      </c>
      <c r="I809" s="16">
        <f t="shared" si="233"/>
        <v>0</v>
      </c>
      <c r="J809" s="16">
        <f t="shared" si="222"/>
        <v>0</v>
      </c>
      <c r="K809" s="16">
        <f t="shared" si="229"/>
        <v>0</v>
      </c>
      <c r="L809" s="67">
        <f t="shared" si="230"/>
        <v>0</v>
      </c>
      <c r="M809" s="4">
        <f t="shared" si="223"/>
        <v>0</v>
      </c>
      <c r="N809" s="4">
        <f t="shared" si="224"/>
        <v>0</v>
      </c>
      <c r="O809" s="4">
        <f t="shared" si="231"/>
        <v>0</v>
      </c>
      <c r="P809" s="4" t="e">
        <f>VLOOKUP(AJ801,'CIR Team Info'!$C$5:$E$44,2,FALSE)</f>
        <v>#N/A</v>
      </c>
      <c r="Q809" s="4" t="e">
        <f>VLOOKUP(AJ801,'CIR Team Info'!$C$5:$E$44,3,FALSE)</f>
        <v>#N/A</v>
      </c>
      <c r="R809" s="10" t="e">
        <f>VLOOKUP(AJ801,'FRC Site Data'!$B$3:$L$42,2,FALSE)</f>
        <v>#N/A</v>
      </c>
      <c r="S809" s="10" t="e">
        <f>VLOOKUP(AJ801,'FRC Site Data'!$B$3:$L$42,3,FALSE)</f>
        <v>#N/A</v>
      </c>
      <c r="T809" s="10" t="e">
        <f>VLOOKUP(AJ801,'FRC Site Data'!$B$3:$L$42,4,FALSE)</f>
        <v>#N/A</v>
      </c>
      <c r="U809" s="10" t="e">
        <f>VLOOKUP(AJ801,'FRC Site Data'!$B$3:$L$42,5,FALSE)</f>
        <v>#N/A</v>
      </c>
      <c r="V809" s="10" t="e">
        <f>VLOOKUP(AJ801,'FRC Site Data'!$B$3:$L$42,6,FALSE)</f>
        <v>#N/A</v>
      </c>
      <c r="W809" s="10" t="e">
        <f>VLOOKUP(AJ801,'FRC Site Data'!$B$3:$L$42,8,FALSE)</f>
        <v>#N/A</v>
      </c>
      <c r="X809" s="10" t="e">
        <f>VLOOKUP(AJ801,'FRC Site Data'!$B$3:$L$42,9,FALSE)</f>
        <v>#N/A</v>
      </c>
      <c r="Y809" s="10" t="e">
        <f>VLOOKUP(AJ801,'FRC Site Data'!$B$3:$L$42,10,FALSE)</f>
        <v>#N/A</v>
      </c>
      <c r="Z809" s="10" t="e">
        <f>VLOOKUP(AJ801,'FRC Site Data'!$B$3:$L$42,11,FALSE)</f>
        <v>#N/A</v>
      </c>
      <c r="AA809" s="10" t="e">
        <f>VLOOKUP(AJ801,'CIR Team Info'!$C$5:$E$44,4,FALSE)</f>
        <v>#N/A</v>
      </c>
      <c r="AB809" s="161" t="b">
        <f>ISNUMBER(VLOOKUP(AJ801,Match!$T$5:$T$10,1,FALSE))</f>
        <v>0</v>
      </c>
      <c r="AC809" s="161" t="b">
        <f>IF(AB809=TRUE,(VLOOKUP($AJ801,Match!$T$5:$U$10,2,FALSE)))</f>
        <v>0</v>
      </c>
      <c r="AD809" s="8">
        <v>3</v>
      </c>
      <c r="AE809" s="8">
        <v>2</v>
      </c>
      <c r="AF809" s="8">
        <v>2</v>
      </c>
      <c r="AG809" s="8">
        <v>1</v>
      </c>
      <c r="AH809" s="8" t="str">
        <f t="shared" si="234"/>
        <v/>
      </c>
    </row>
    <row r="810" spans="1:34" x14ac:dyDescent="0.25">
      <c r="A810" s="29">
        <f t="shared" si="225"/>
        <v>0</v>
      </c>
      <c r="B810" s="29">
        <f t="shared" si="219"/>
        <v>0</v>
      </c>
      <c r="C810" s="29">
        <f t="shared" si="220"/>
        <v>0</v>
      </c>
      <c r="D810" s="29">
        <f t="shared" si="221"/>
        <v>0</v>
      </c>
      <c r="E810" s="29">
        <f t="shared" si="226"/>
        <v>0</v>
      </c>
      <c r="F810" s="29">
        <f t="shared" si="227"/>
        <v>0</v>
      </c>
      <c r="G810" s="29" t="str">
        <f t="shared" si="228"/>
        <v>offensive</v>
      </c>
      <c r="H810" s="16">
        <f t="shared" si="232"/>
        <v>0</v>
      </c>
      <c r="I810" s="16">
        <f t="shared" si="233"/>
        <v>0</v>
      </c>
      <c r="J810" s="16">
        <f t="shared" si="222"/>
        <v>0</v>
      </c>
      <c r="K810" s="16">
        <f t="shared" si="229"/>
        <v>0</v>
      </c>
      <c r="L810" s="67">
        <f t="shared" si="230"/>
        <v>0</v>
      </c>
      <c r="M810" s="4">
        <f t="shared" si="223"/>
        <v>0</v>
      </c>
      <c r="N810" s="4">
        <f t="shared" si="224"/>
        <v>0</v>
      </c>
      <c r="O810" s="4">
        <f t="shared" si="231"/>
        <v>0</v>
      </c>
      <c r="P810" s="4" t="e">
        <f>VLOOKUP(AJ802,'CIR Team Info'!$C$5:$E$44,2,FALSE)</f>
        <v>#N/A</v>
      </c>
      <c r="Q810" s="4" t="e">
        <f>VLOOKUP(AJ802,'CIR Team Info'!$C$5:$E$44,3,FALSE)</f>
        <v>#N/A</v>
      </c>
      <c r="R810" s="10" t="e">
        <f>VLOOKUP(AJ802,'FRC Site Data'!$B$3:$L$42,2,FALSE)</f>
        <v>#N/A</v>
      </c>
      <c r="S810" s="10" t="e">
        <f>VLOOKUP(AJ802,'FRC Site Data'!$B$3:$L$42,3,FALSE)</f>
        <v>#N/A</v>
      </c>
      <c r="T810" s="10" t="e">
        <f>VLOOKUP(AJ802,'FRC Site Data'!$B$3:$L$42,4,FALSE)</f>
        <v>#N/A</v>
      </c>
      <c r="U810" s="10" t="e">
        <f>VLOOKUP(AJ802,'FRC Site Data'!$B$3:$L$42,5,FALSE)</f>
        <v>#N/A</v>
      </c>
      <c r="V810" s="10" t="e">
        <f>VLOOKUP(AJ802,'FRC Site Data'!$B$3:$L$42,6,FALSE)</f>
        <v>#N/A</v>
      </c>
      <c r="W810" s="10" t="e">
        <f>VLOOKUP(AJ802,'FRC Site Data'!$B$3:$L$42,8,FALSE)</f>
        <v>#N/A</v>
      </c>
      <c r="X810" s="10" t="e">
        <f>VLOOKUP(AJ802,'FRC Site Data'!$B$3:$L$42,9,FALSE)</f>
        <v>#N/A</v>
      </c>
      <c r="Y810" s="10" t="e">
        <f>VLOOKUP(AJ802,'FRC Site Data'!$B$3:$L$42,10,FALSE)</f>
        <v>#N/A</v>
      </c>
      <c r="Z810" s="10" t="e">
        <f>VLOOKUP(AJ802,'FRC Site Data'!$B$3:$L$42,11,FALSE)</f>
        <v>#N/A</v>
      </c>
      <c r="AA810" s="10" t="e">
        <f>VLOOKUP(AJ802,'CIR Team Info'!$C$5:$E$44,4,FALSE)</f>
        <v>#N/A</v>
      </c>
      <c r="AB810" s="161" t="b">
        <f>ISNUMBER(VLOOKUP(AJ802,Match!$T$5:$T$10,1,FALSE))</f>
        <v>0</v>
      </c>
      <c r="AC810" s="161" t="b">
        <f>IF(AB810=TRUE,(VLOOKUP($AJ802,Match!$T$5:$U$10,2,FALSE)))</f>
        <v>0</v>
      </c>
      <c r="AD810" s="8">
        <v>3</v>
      </c>
      <c r="AE810" s="8">
        <v>2</v>
      </c>
      <c r="AF810" s="8">
        <v>2</v>
      </c>
      <c r="AG810" s="8">
        <v>1</v>
      </c>
      <c r="AH810" s="8" t="str">
        <f t="shared" si="234"/>
        <v/>
      </c>
    </row>
    <row r="811" spans="1:34" x14ac:dyDescent="0.25">
      <c r="A811" s="29">
        <f t="shared" si="225"/>
        <v>0</v>
      </c>
      <c r="B811" s="29">
        <f t="shared" si="219"/>
        <v>0</v>
      </c>
      <c r="C811" s="29">
        <f t="shared" si="220"/>
        <v>0</v>
      </c>
      <c r="D811" s="29">
        <f t="shared" si="221"/>
        <v>0</v>
      </c>
      <c r="E811" s="29">
        <f t="shared" si="226"/>
        <v>0</v>
      </c>
      <c r="F811" s="29">
        <f t="shared" si="227"/>
        <v>0</v>
      </c>
      <c r="G811" s="29" t="str">
        <f t="shared" si="228"/>
        <v>offensive</v>
      </c>
      <c r="H811" s="16">
        <f t="shared" si="232"/>
        <v>0</v>
      </c>
      <c r="I811" s="16">
        <f t="shared" si="233"/>
        <v>0</v>
      </c>
      <c r="J811" s="16">
        <f t="shared" si="222"/>
        <v>0</v>
      </c>
      <c r="K811" s="16">
        <f t="shared" si="229"/>
        <v>0</v>
      </c>
      <c r="L811" s="67">
        <f t="shared" si="230"/>
        <v>0</v>
      </c>
      <c r="M811" s="4">
        <f t="shared" si="223"/>
        <v>0</v>
      </c>
      <c r="N811" s="4">
        <f t="shared" si="224"/>
        <v>0</v>
      </c>
      <c r="O811" s="4">
        <f t="shared" si="231"/>
        <v>0</v>
      </c>
      <c r="P811" s="4" t="e">
        <f>VLOOKUP(AJ803,'CIR Team Info'!$C$5:$E$44,2,FALSE)</f>
        <v>#N/A</v>
      </c>
      <c r="Q811" s="4" t="e">
        <f>VLOOKUP(AJ803,'CIR Team Info'!$C$5:$E$44,3,FALSE)</f>
        <v>#N/A</v>
      </c>
      <c r="R811" s="10" t="e">
        <f>VLOOKUP(AJ803,'FRC Site Data'!$B$3:$L$42,2,FALSE)</f>
        <v>#N/A</v>
      </c>
      <c r="S811" s="10" t="e">
        <f>VLOOKUP(AJ803,'FRC Site Data'!$B$3:$L$42,3,FALSE)</f>
        <v>#N/A</v>
      </c>
      <c r="T811" s="10" t="e">
        <f>VLOOKUP(AJ803,'FRC Site Data'!$B$3:$L$42,4,FALSE)</f>
        <v>#N/A</v>
      </c>
      <c r="U811" s="10" t="e">
        <f>VLOOKUP(AJ803,'FRC Site Data'!$B$3:$L$42,5,FALSE)</f>
        <v>#N/A</v>
      </c>
      <c r="V811" s="10" t="e">
        <f>VLOOKUP(AJ803,'FRC Site Data'!$B$3:$L$42,6,FALSE)</f>
        <v>#N/A</v>
      </c>
      <c r="W811" s="10" t="e">
        <f>VLOOKUP(AJ803,'FRC Site Data'!$B$3:$L$42,8,FALSE)</f>
        <v>#N/A</v>
      </c>
      <c r="X811" s="10" t="e">
        <f>VLOOKUP(AJ803,'FRC Site Data'!$B$3:$L$42,9,FALSE)</f>
        <v>#N/A</v>
      </c>
      <c r="Y811" s="10" t="e">
        <f>VLOOKUP(AJ803,'FRC Site Data'!$B$3:$L$42,10,FALSE)</f>
        <v>#N/A</v>
      </c>
      <c r="Z811" s="10" t="e">
        <f>VLOOKUP(AJ803,'FRC Site Data'!$B$3:$L$42,11,FALSE)</f>
        <v>#N/A</v>
      </c>
      <c r="AA811" s="10" t="e">
        <f>VLOOKUP(AJ803,'CIR Team Info'!$C$5:$E$44,4,FALSE)</f>
        <v>#N/A</v>
      </c>
      <c r="AB811" s="161" t="b">
        <f>ISNUMBER(VLOOKUP(AJ803,Match!$T$5:$T$10,1,FALSE))</f>
        <v>0</v>
      </c>
      <c r="AC811" s="161" t="b">
        <f>IF(AB811=TRUE,(VLOOKUP($AJ803,Match!$T$5:$U$10,2,FALSE)))</f>
        <v>0</v>
      </c>
      <c r="AD811" s="8">
        <v>3</v>
      </c>
      <c r="AE811" s="8">
        <v>2</v>
      </c>
      <c r="AF811" s="8">
        <v>2</v>
      </c>
      <c r="AG811" s="8">
        <v>1</v>
      </c>
      <c r="AH811" s="8" t="str">
        <f t="shared" si="234"/>
        <v/>
      </c>
    </row>
    <row r="812" spans="1:34" x14ac:dyDescent="0.25">
      <c r="A812" s="29">
        <f t="shared" si="225"/>
        <v>0</v>
      </c>
      <c r="B812" s="29">
        <f t="shared" si="219"/>
        <v>0</v>
      </c>
      <c r="C812" s="29">
        <f t="shared" si="220"/>
        <v>0</v>
      </c>
      <c r="D812" s="29">
        <f t="shared" si="221"/>
        <v>0</v>
      </c>
      <c r="E812" s="29">
        <f t="shared" si="226"/>
        <v>0</v>
      </c>
      <c r="F812" s="29">
        <f t="shared" si="227"/>
        <v>0</v>
      </c>
      <c r="G812" s="29" t="str">
        <f t="shared" si="228"/>
        <v>offensive</v>
      </c>
      <c r="H812" s="16">
        <f t="shared" si="232"/>
        <v>0</v>
      </c>
      <c r="I812" s="16">
        <f t="shared" si="233"/>
        <v>0</v>
      </c>
      <c r="J812" s="16">
        <f t="shared" si="222"/>
        <v>0</v>
      </c>
      <c r="K812" s="16">
        <f t="shared" si="229"/>
        <v>0</v>
      </c>
      <c r="L812" s="67">
        <f t="shared" si="230"/>
        <v>0</v>
      </c>
      <c r="M812" s="4">
        <f t="shared" si="223"/>
        <v>0</v>
      </c>
      <c r="N812" s="4">
        <f t="shared" si="224"/>
        <v>0</v>
      </c>
      <c r="O812" s="4">
        <f t="shared" si="231"/>
        <v>0</v>
      </c>
      <c r="P812" s="4" t="e">
        <f>VLOOKUP(AJ804,'CIR Team Info'!$C$5:$E$44,2,FALSE)</f>
        <v>#N/A</v>
      </c>
      <c r="Q812" s="4" t="e">
        <f>VLOOKUP(AJ804,'CIR Team Info'!$C$5:$E$44,3,FALSE)</f>
        <v>#N/A</v>
      </c>
      <c r="R812" s="10" t="e">
        <f>VLOOKUP(AJ804,'FRC Site Data'!$B$3:$L$42,2,FALSE)</f>
        <v>#N/A</v>
      </c>
      <c r="S812" s="10" t="e">
        <f>VLOOKUP(AJ804,'FRC Site Data'!$B$3:$L$42,3,FALSE)</f>
        <v>#N/A</v>
      </c>
      <c r="T812" s="10" t="e">
        <f>VLOOKUP(AJ804,'FRC Site Data'!$B$3:$L$42,4,FALSE)</f>
        <v>#N/A</v>
      </c>
      <c r="U812" s="10" t="e">
        <f>VLOOKUP(AJ804,'FRC Site Data'!$B$3:$L$42,5,FALSE)</f>
        <v>#N/A</v>
      </c>
      <c r="V812" s="10" t="e">
        <f>VLOOKUP(AJ804,'FRC Site Data'!$B$3:$L$42,6,FALSE)</f>
        <v>#N/A</v>
      </c>
      <c r="W812" s="10" t="e">
        <f>VLOOKUP(AJ804,'FRC Site Data'!$B$3:$L$42,8,FALSE)</f>
        <v>#N/A</v>
      </c>
      <c r="X812" s="10" t="e">
        <f>VLOOKUP(AJ804,'FRC Site Data'!$B$3:$L$42,9,FALSE)</f>
        <v>#N/A</v>
      </c>
      <c r="Y812" s="10" t="e">
        <f>VLOOKUP(AJ804,'FRC Site Data'!$B$3:$L$42,10,FALSE)</f>
        <v>#N/A</v>
      </c>
      <c r="Z812" s="10" t="e">
        <f>VLOOKUP(AJ804,'FRC Site Data'!$B$3:$L$42,11,FALSE)</f>
        <v>#N/A</v>
      </c>
      <c r="AA812" s="10" t="e">
        <f>VLOOKUP(AJ804,'CIR Team Info'!$C$5:$E$44,4,FALSE)</f>
        <v>#N/A</v>
      </c>
      <c r="AB812" s="161" t="b">
        <f>ISNUMBER(VLOOKUP(AJ804,Match!$T$5:$T$10,1,FALSE))</f>
        <v>0</v>
      </c>
      <c r="AC812" s="161" t="b">
        <f>IF(AB812=TRUE,(VLOOKUP($AJ804,Match!$T$5:$U$10,2,FALSE)))</f>
        <v>0</v>
      </c>
      <c r="AD812" s="8">
        <v>3</v>
      </c>
      <c r="AE812" s="8">
        <v>2</v>
      </c>
      <c r="AF812" s="8">
        <v>2</v>
      </c>
      <c r="AG812" s="8">
        <v>1</v>
      </c>
      <c r="AH812" s="8" t="str">
        <f t="shared" si="234"/>
        <v/>
      </c>
    </row>
    <row r="813" spans="1:34" x14ac:dyDescent="0.25">
      <c r="A813" s="29">
        <f t="shared" si="225"/>
        <v>0</v>
      </c>
      <c r="B813" s="29">
        <f t="shared" si="219"/>
        <v>0</v>
      </c>
      <c r="C813" s="29">
        <f t="shared" si="220"/>
        <v>0</v>
      </c>
      <c r="D813" s="29">
        <f t="shared" si="221"/>
        <v>0</v>
      </c>
      <c r="E813" s="29">
        <f t="shared" si="226"/>
        <v>0</v>
      </c>
      <c r="F813" s="29">
        <f t="shared" si="227"/>
        <v>0</v>
      </c>
      <c r="G813" s="29" t="str">
        <f t="shared" si="228"/>
        <v>offensive</v>
      </c>
      <c r="H813" s="16">
        <f t="shared" si="232"/>
        <v>0</v>
      </c>
      <c r="I813" s="16">
        <f t="shared" si="233"/>
        <v>0</v>
      </c>
      <c r="J813" s="16">
        <f t="shared" si="222"/>
        <v>0</v>
      </c>
      <c r="K813" s="16">
        <f t="shared" si="229"/>
        <v>0</v>
      </c>
      <c r="L813" s="67">
        <f t="shared" si="230"/>
        <v>0</v>
      </c>
      <c r="M813" s="4">
        <f t="shared" si="223"/>
        <v>0</v>
      </c>
      <c r="N813" s="4">
        <f t="shared" si="224"/>
        <v>0</v>
      </c>
      <c r="O813" s="4">
        <f t="shared" si="231"/>
        <v>0</v>
      </c>
      <c r="P813" s="4" t="e">
        <f>VLOOKUP(AJ805,'CIR Team Info'!$C$5:$E$44,2,FALSE)</f>
        <v>#N/A</v>
      </c>
      <c r="Q813" s="4" t="e">
        <f>VLOOKUP(AJ805,'CIR Team Info'!$C$5:$E$44,3,FALSE)</f>
        <v>#N/A</v>
      </c>
      <c r="R813" s="10" t="e">
        <f>VLOOKUP(AJ805,'FRC Site Data'!$B$3:$L$42,2,FALSE)</f>
        <v>#N/A</v>
      </c>
      <c r="S813" s="10" t="e">
        <f>VLOOKUP(AJ805,'FRC Site Data'!$B$3:$L$42,3,FALSE)</f>
        <v>#N/A</v>
      </c>
      <c r="T813" s="10" t="e">
        <f>VLOOKUP(AJ805,'FRC Site Data'!$B$3:$L$42,4,FALSE)</f>
        <v>#N/A</v>
      </c>
      <c r="U813" s="10" t="e">
        <f>VLOOKUP(AJ805,'FRC Site Data'!$B$3:$L$42,5,FALSE)</f>
        <v>#N/A</v>
      </c>
      <c r="V813" s="10" t="e">
        <f>VLOOKUP(AJ805,'FRC Site Data'!$B$3:$L$42,6,FALSE)</f>
        <v>#N/A</v>
      </c>
      <c r="W813" s="10" t="e">
        <f>VLOOKUP(AJ805,'FRC Site Data'!$B$3:$L$42,8,FALSE)</f>
        <v>#N/A</v>
      </c>
      <c r="X813" s="10" t="e">
        <f>VLOOKUP(AJ805,'FRC Site Data'!$B$3:$L$42,9,FALSE)</f>
        <v>#N/A</v>
      </c>
      <c r="Y813" s="10" t="e">
        <f>VLOOKUP(AJ805,'FRC Site Data'!$B$3:$L$42,10,FALSE)</f>
        <v>#N/A</v>
      </c>
      <c r="Z813" s="10" t="e">
        <f>VLOOKUP(AJ805,'FRC Site Data'!$B$3:$L$42,11,FALSE)</f>
        <v>#N/A</v>
      </c>
      <c r="AA813" s="10" t="e">
        <f>VLOOKUP(AJ805,'CIR Team Info'!$C$5:$E$44,4,FALSE)</f>
        <v>#N/A</v>
      </c>
      <c r="AB813" s="161" t="b">
        <f>ISNUMBER(VLOOKUP(AJ805,Match!$T$5:$T$10,1,FALSE))</f>
        <v>0</v>
      </c>
      <c r="AC813" s="161" t="b">
        <f>IF(AB813=TRUE,(VLOOKUP($AJ805,Match!$T$5:$U$10,2,FALSE)))</f>
        <v>0</v>
      </c>
      <c r="AD813" s="8">
        <v>3</v>
      </c>
      <c r="AE813" s="8">
        <v>2</v>
      </c>
      <c r="AF813" s="8">
        <v>2</v>
      </c>
      <c r="AG813" s="8">
        <v>1</v>
      </c>
      <c r="AH813" s="8" t="str">
        <f t="shared" si="234"/>
        <v/>
      </c>
    </row>
    <row r="814" spans="1:34" x14ac:dyDescent="0.25">
      <c r="A814" s="29">
        <f t="shared" si="225"/>
        <v>0</v>
      </c>
      <c r="B814" s="29">
        <f t="shared" si="219"/>
        <v>0</v>
      </c>
      <c r="C814" s="29">
        <f t="shared" si="220"/>
        <v>0</v>
      </c>
      <c r="D814" s="29">
        <f t="shared" si="221"/>
        <v>0</v>
      </c>
      <c r="E814" s="29">
        <f t="shared" si="226"/>
        <v>0</v>
      </c>
      <c r="F814" s="29">
        <f t="shared" si="227"/>
        <v>0</v>
      </c>
      <c r="G814" s="29" t="str">
        <f t="shared" si="228"/>
        <v>offensive</v>
      </c>
      <c r="H814" s="16">
        <f t="shared" si="232"/>
        <v>0</v>
      </c>
      <c r="I814" s="16">
        <f t="shared" si="233"/>
        <v>0</v>
      </c>
      <c r="J814" s="16">
        <f t="shared" si="222"/>
        <v>0</v>
      </c>
      <c r="K814" s="16">
        <f t="shared" si="229"/>
        <v>0</v>
      </c>
      <c r="L814" s="67">
        <f t="shared" si="230"/>
        <v>0</v>
      </c>
      <c r="M814" s="4">
        <f t="shared" si="223"/>
        <v>0</v>
      </c>
      <c r="N814" s="4">
        <f t="shared" si="224"/>
        <v>0</v>
      </c>
      <c r="O814" s="4">
        <f t="shared" si="231"/>
        <v>0</v>
      </c>
      <c r="P814" s="4" t="e">
        <f>VLOOKUP(AJ806,'CIR Team Info'!$C$5:$E$44,2,FALSE)</f>
        <v>#N/A</v>
      </c>
      <c r="Q814" s="4" t="e">
        <f>VLOOKUP(AJ806,'CIR Team Info'!$C$5:$E$44,3,FALSE)</f>
        <v>#N/A</v>
      </c>
      <c r="R814" s="10" t="e">
        <f>VLOOKUP(AJ806,'FRC Site Data'!$B$3:$L$42,2,FALSE)</f>
        <v>#N/A</v>
      </c>
      <c r="S814" s="10" t="e">
        <f>VLOOKUP(AJ806,'FRC Site Data'!$B$3:$L$42,3,FALSE)</f>
        <v>#N/A</v>
      </c>
      <c r="T814" s="10" t="e">
        <f>VLOOKUP(AJ806,'FRC Site Data'!$B$3:$L$42,4,FALSE)</f>
        <v>#N/A</v>
      </c>
      <c r="U814" s="10" t="e">
        <f>VLOOKUP(AJ806,'FRC Site Data'!$B$3:$L$42,5,FALSE)</f>
        <v>#N/A</v>
      </c>
      <c r="V814" s="10" t="e">
        <f>VLOOKUP(AJ806,'FRC Site Data'!$B$3:$L$42,6,FALSE)</f>
        <v>#N/A</v>
      </c>
      <c r="W814" s="10" t="e">
        <f>VLOOKUP(AJ806,'FRC Site Data'!$B$3:$L$42,8,FALSE)</f>
        <v>#N/A</v>
      </c>
      <c r="X814" s="10" t="e">
        <f>VLOOKUP(AJ806,'FRC Site Data'!$B$3:$L$42,9,FALSE)</f>
        <v>#N/A</v>
      </c>
      <c r="Y814" s="10" t="e">
        <f>VLOOKUP(AJ806,'FRC Site Data'!$B$3:$L$42,10,FALSE)</f>
        <v>#N/A</v>
      </c>
      <c r="Z814" s="10" t="e">
        <f>VLOOKUP(AJ806,'FRC Site Data'!$B$3:$L$42,11,FALSE)</f>
        <v>#N/A</v>
      </c>
      <c r="AA814" s="10" t="e">
        <f>VLOOKUP(AJ806,'CIR Team Info'!$C$5:$E$44,4,FALSE)</f>
        <v>#N/A</v>
      </c>
      <c r="AB814" s="161" t="b">
        <f>ISNUMBER(VLOOKUP(AJ806,Match!$T$5:$T$10,1,FALSE))</f>
        <v>0</v>
      </c>
      <c r="AC814" s="161" t="b">
        <f>IF(AB814=TRUE,(VLOOKUP($AJ806,Match!$T$5:$U$10,2,FALSE)))</f>
        <v>0</v>
      </c>
      <c r="AD814" s="8">
        <v>3</v>
      </c>
      <c r="AE814" s="8">
        <v>2</v>
      </c>
      <c r="AF814" s="8">
        <v>2</v>
      </c>
      <c r="AG814" s="8">
        <v>1</v>
      </c>
      <c r="AH814" s="8" t="str">
        <f t="shared" si="234"/>
        <v/>
      </c>
    </row>
    <row r="815" spans="1:34" x14ac:dyDescent="0.25">
      <c r="A815" s="29">
        <f t="shared" si="225"/>
        <v>0</v>
      </c>
      <c r="B815" s="29">
        <f t="shared" si="219"/>
        <v>0</v>
      </c>
      <c r="C815" s="29">
        <f t="shared" si="220"/>
        <v>0</v>
      </c>
      <c r="D815" s="29">
        <f t="shared" si="221"/>
        <v>0</v>
      </c>
      <c r="E815" s="29">
        <f t="shared" si="226"/>
        <v>0</v>
      </c>
      <c r="F815" s="29">
        <f t="shared" si="227"/>
        <v>0</v>
      </c>
      <c r="G815" s="29" t="str">
        <f t="shared" si="228"/>
        <v>offensive</v>
      </c>
      <c r="H815" s="16">
        <f t="shared" si="232"/>
        <v>0</v>
      </c>
      <c r="I815" s="16">
        <f t="shared" si="233"/>
        <v>0</v>
      </c>
      <c r="J815" s="16">
        <f t="shared" si="222"/>
        <v>0</v>
      </c>
      <c r="K815" s="16">
        <f t="shared" si="229"/>
        <v>0</v>
      </c>
      <c r="L815" s="67">
        <f t="shared" si="230"/>
        <v>0</v>
      </c>
      <c r="M815" s="4">
        <f t="shared" si="223"/>
        <v>0</v>
      </c>
      <c r="N815" s="4">
        <f t="shared" si="224"/>
        <v>0</v>
      </c>
      <c r="O815" s="4">
        <f t="shared" si="231"/>
        <v>0</v>
      </c>
      <c r="P815" s="4" t="e">
        <f>VLOOKUP(AJ807,'CIR Team Info'!$C$5:$E$44,2,FALSE)</f>
        <v>#N/A</v>
      </c>
      <c r="Q815" s="4" t="e">
        <f>VLOOKUP(AJ807,'CIR Team Info'!$C$5:$E$44,3,FALSE)</f>
        <v>#N/A</v>
      </c>
      <c r="R815" s="10" t="e">
        <f>VLOOKUP(AJ807,'FRC Site Data'!$B$3:$L$42,2,FALSE)</f>
        <v>#N/A</v>
      </c>
      <c r="S815" s="10" t="e">
        <f>VLOOKUP(AJ807,'FRC Site Data'!$B$3:$L$42,3,FALSE)</f>
        <v>#N/A</v>
      </c>
      <c r="T815" s="10" t="e">
        <f>VLOOKUP(AJ807,'FRC Site Data'!$B$3:$L$42,4,FALSE)</f>
        <v>#N/A</v>
      </c>
      <c r="U815" s="10" t="e">
        <f>VLOOKUP(AJ807,'FRC Site Data'!$B$3:$L$42,5,FALSE)</f>
        <v>#N/A</v>
      </c>
      <c r="V815" s="10" t="e">
        <f>VLOOKUP(AJ807,'FRC Site Data'!$B$3:$L$42,6,FALSE)</f>
        <v>#N/A</v>
      </c>
      <c r="W815" s="10" t="e">
        <f>VLOOKUP(AJ807,'FRC Site Data'!$B$3:$L$42,8,FALSE)</f>
        <v>#N/A</v>
      </c>
      <c r="X815" s="10" t="e">
        <f>VLOOKUP(AJ807,'FRC Site Data'!$B$3:$L$42,9,FALSE)</f>
        <v>#N/A</v>
      </c>
      <c r="Y815" s="10" t="e">
        <f>VLOOKUP(AJ807,'FRC Site Data'!$B$3:$L$42,10,FALSE)</f>
        <v>#N/A</v>
      </c>
      <c r="Z815" s="10" t="e">
        <f>VLOOKUP(AJ807,'FRC Site Data'!$B$3:$L$42,11,FALSE)</f>
        <v>#N/A</v>
      </c>
      <c r="AA815" s="10" t="e">
        <f>VLOOKUP(AJ807,'CIR Team Info'!$C$5:$E$44,4,FALSE)</f>
        <v>#N/A</v>
      </c>
      <c r="AB815" s="161" t="b">
        <f>ISNUMBER(VLOOKUP(AJ807,Match!$T$5:$T$10,1,FALSE))</f>
        <v>0</v>
      </c>
      <c r="AC815" s="161" t="b">
        <f>IF(AB815=TRUE,(VLOOKUP($AJ807,Match!$T$5:$U$10,2,FALSE)))</f>
        <v>0</v>
      </c>
      <c r="AD815" s="8">
        <v>3</v>
      </c>
      <c r="AE815" s="8">
        <v>2</v>
      </c>
      <c r="AF815" s="8">
        <v>2</v>
      </c>
      <c r="AG815" s="8">
        <v>1</v>
      </c>
      <c r="AH815" s="8" t="str">
        <f t="shared" si="234"/>
        <v/>
      </c>
    </row>
    <row r="816" spans="1:34" x14ac:dyDescent="0.25">
      <c r="A816" s="29">
        <f t="shared" si="225"/>
        <v>0</v>
      </c>
      <c r="B816" s="29">
        <f t="shared" si="219"/>
        <v>0</v>
      </c>
      <c r="C816" s="29">
        <f t="shared" si="220"/>
        <v>0</v>
      </c>
      <c r="D816" s="29">
        <f t="shared" si="221"/>
        <v>0</v>
      </c>
      <c r="E816" s="29">
        <f t="shared" si="226"/>
        <v>0</v>
      </c>
      <c r="F816" s="29">
        <f t="shared" si="227"/>
        <v>0</v>
      </c>
      <c r="G816" s="29" t="str">
        <f t="shared" si="228"/>
        <v>offensive</v>
      </c>
      <c r="H816" s="16">
        <f t="shared" si="232"/>
        <v>0</v>
      </c>
      <c r="I816" s="16">
        <f t="shared" si="233"/>
        <v>0</v>
      </c>
      <c r="J816" s="16">
        <f t="shared" si="222"/>
        <v>0</v>
      </c>
      <c r="K816" s="16">
        <f t="shared" si="229"/>
        <v>0</v>
      </c>
      <c r="L816" s="67">
        <f t="shared" si="230"/>
        <v>0</v>
      </c>
      <c r="M816" s="4">
        <f t="shared" si="223"/>
        <v>0</v>
      </c>
      <c r="N816" s="4">
        <f t="shared" si="224"/>
        <v>0</v>
      </c>
      <c r="O816" s="4">
        <f t="shared" si="231"/>
        <v>0</v>
      </c>
      <c r="P816" s="4" t="e">
        <f>VLOOKUP(AJ808,'CIR Team Info'!$C$5:$E$44,2,FALSE)</f>
        <v>#N/A</v>
      </c>
      <c r="Q816" s="4" t="e">
        <f>VLOOKUP(AJ808,'CIR Team Info'!$C$5:$E$44,3,FALSE)</f>
        <v>#N/A</v>
      </c>
      <c r="R816" s="10" t="e">
        <f>VLOOKUP(AJ808,'FRC Site Data'!$B$3:$L$42,2,FALSE)</f>
        <v>#N/A</v>
      </c>
      <c r="S816" s="10" t="e">
        <f>VLOOKUP(AJ808,'FRC Site Data'!$B$3:$L$42,3,FALSE)</f>
        <v>#N/A</v>
      </c>
      <c r="T816" s="10" t="e">
        <f>VLOOKUP(AJ808,'FRC Site Data'!$B$3:$L$42,4,FALSE)</f>
        <v>#N/A</v>
      </c>
      <c r="U816" s="10" t="e">
        <f>VLOOKUP(AJ808,'FRC Site Data'!$B$3:$L$42,5,FALSE)</f>
        <v>#N/A</v>
      </c>
      <c r="V816" s="10" t="e">
        <f>VLOOKUP(AJ808,'FRC Site Data'!$B$3:$L$42,6,FALSE)</f>
        <v>#N/A</v>
      </c>
      <c r="W816" s="10" t="e">
        <f>VLOOKUP(AJ808,'FRC Site Data'!$B$3:$L$42,8,FALSE)</f>
        <v>#N/A</v>
      </c>
      <c r="X816" s="10" t="e">
        <f>VLOOKUP(AJ808,'FRC Site Data'!$B$3:$L$42,9,FALSE)</f>
        <v>#N/A</v>
      </c>
      <c r="Y816" s="10" t="e">
        <f>VLOOKUP(AJ808,'FRC Site Data'!$B$3:$L$42,10,FALSE)</f>
        <v>#N/A</v>
      </c>
      <c r="Z816" s="10" t="e">
        <f>VLOOKUP(AJ808,'FRC Site Data'!$B$3:$L$42,11,FALSE)</f>
        <v>#N/A</v>
      </c>
      <c r="AA816" s="10" t="e">
        <f>VLOOKUP(AJ808,'CIR Team Info'!$C$5:$E$44,4,FALSE)</f>
        <v>#N/A</v>
      </c>
      <c r="AB816" s="161" t="b">
        <f>ISNUMBER(VLOOKUP(AJ808,Match!$T$5:$T$10,1,FALSE))</f>
        <v>0</v>
      </c>
      <c r="AC816" s="161" t="b">
        <f>IF(AB816=TRUE,(VLOOKUP($AJ808,Match!$T$5:$U$10,2,FALSE)))</f>
        <v>0</v>
      </c>
      <c r="AD816" s="8">
        <v>3</v>
      </c>
      <c r="AE816" s="8">
        <v>2</v>
      </c>
      <c r="AF816" s="8">
        <v>2</v>
      </c>
      <c r="AG816" s="8">
        <v>1</v>
      </c>
      <c r="AH816" s="8" t="str">
        <f t="shared" si="234"/>
        <v/>
      </c>
    </row>
    <row r="817" spans="1:34" x14ac:dyDescent="0.25">
      <c r="A817" s="29">
        <f t="shared" si="225"/>
        <v>0</v>
      </c>
      <c r="B817" s="29">
        <f t="shared" si="219"/>
        <v>0</v>
      </c>
      <c r="C817" s="29">
        <f t="shared" si="220"/>
        <v>0</v>
      </c>
      <c r="D817" s="29">
        <f t="shared" si="221"/>
        <v>0</v>
      </c>
      <c r="E817" s="29">
        <f t="shared" si="226"/>
        <v>0</v>
      </c>
      <c r="F817" s="29">
        <f t="shared" si="227"/>
        <v>0</v>
      </c>
      <c r="G817" s="29" t="str">
        <f t="shared" si="228"/>
        <v>offensive</v>
      </c>
      <c r="H817" s="16">
        <f t="shared" si="232"/>
        <v>0</v>
      </c>
      <c r="I817" s="16">
        <f t="shared" si="233"/>
        <v>0</v>
      </c>
      <c r="J817" s="16">
        <f t="shared" si="222"/>
        <v>0</v>
      </c>
      <c r="K817" s="16">
        <f t="shared" si="229"/>
        <v>0</v>
      </c>
      <c r="L817" s="67">
        <f t="shared" si="230"/>
        <v>0</v>
      </c>
      <c r="M817" s="4">
        <f t="shared" si="223"/>
        <v>0</v>
      </c>
      <c r="N817" s="4">
        <f t="shared" si="224"/>
        <v>0</v>
      </c>
      <c r="O817" s="4">
        <f t="shared" si="231"/>
        <v>0</v>
      </c>
      <c r="P817" s="4" t="e">
        <f>VLOOKUP(AJ809,'CIR Team Info'!$C$5:$E$44,2,FALSE)</f>
        <v>#N/A</v>
      </c>
      <c r="Q817" s="4" t="e">
        <f>VLOOKUP(AJ809,'CIR Team Info'!$C$5:$E$44,3,FALSE)</f>
        <v>#N/A</v>
      </c>
      <c r="R817" s="10" t="e">
        <f>VLOOKUP(AJ809,'FRC Site Data'!$B$3:$L$42,2,FALSE)</f>
        <v>#N/A</v>
      </c>
      <c r="S817" s="10" t="e">
        <f>VLOOKUP(AJ809,'FRC Site Data'!$B$3:$L$42,3,FALSE)</f>
        <v>#N/A</v>
      </c>
      <c r="T817" s="10" t="e">
        <f>VLOOKUP(AJ809,'FRC Site Data'!$B$3:$L$42,4,FALSE)</f>
        <v>#N/A</v>
      </c>
      <c r="U817" s="10" t="e">
        <f>VLOOKUP(AJ809,'FRC Site Data'!$B$3:$L$42,5,FALSE)</f>
        <v>#N/A</v>
      </c>
      <c r="V817" s="10" t="e">
        <f>VLOOKUP(AJ809,'FRC Site Data'!$B$3:$L$42,6,FALSE)</f>
        <v>#N/A</v>
      </c>
      <c r="W817" s="10" t="e">
        <f>VLOOKUP(AJ809,'FRC Site Data'!$B$3:$L$42,8,FALSE)</f>
        <v>#N/A</v>
      </c>
      <c r="X817" s="10" t="e">
        <f>VLOOKUP(AJ809,'FRC Site Data'!$B$3:$L$42,9,FALSE)</f>
        <v>#N/A</v>
      </c>
      <c r="Y817" s="10" t="e">
        <f>VLOOKUP(AJ809,'FRC Site Data'!$B$3:$L$42,10,FALSE)</f>
        <v>#N/A</v>
      </c>
      <c r="Z817" s="10" t="e">
        <f>VLOOKUP(AJ809,'FRC Site Data'!$B$3:$L$42,11,FALSE)</f>
        <v>#N/A</v>
      </c>
      <c r="AA817" s="10" t="e">
        <f>VLOOKUP(AJ809,'CIR Team Info'!$C$5:$E$44,4,FALSE)</f>
        <v>#N/A</v>
      </c>
      <c r="AB817" s="161" t="b">
        <f>ISNUMBER(VLOOKUP(AJ809,Match!$T$5:$T$10,1,FALSE))</f>
        <v>0</v>
      </c>
      <c r="AC817" s="161" t="b">
        <f>IF(AB817=TRUE,(VLOOKUP($AJ809,Match!$T$5:$U$10,2,FALSE)))</f>
        <v>0</v>
      </c>
      <c r="AD817" s="8">
        <v>3</v>
      </c>
      <c r="AE817" s="8">
        <v>2</v>
      </c>
      <c r="AF817" s="8">
        <v>2</v>
      </c>
      <c r="AG817" s="8">
        <v>1</v>
      </c>
      <c r="AH817" s="8" t="str">
        <f t="shared" si="234"/>
        <v/>
      </c>
    </row>
    <row r="818" spans="1:34" x14ac:dyDescent="0.25">
      <c r="A818" s="29">
        <f t="shared" si="225"/>
        <v>0</v>
      </c>
      <c r="B818" s="29">
        <f t="shared" si="219"/>
        <v>0</v>
      </c>
      <c r="C818" s="29">
        <f t="shared" si="220"/>
        <v>0</v>
      </c>
      <c r="D818" s="29">
        <f t="shared" si="221"/>
        <v>0</v>
      </c>
      <c r="E818" s="29">
        <f t="shared" si="226"/>
        <v>0</v>
      </c>
      <c r="F818" s="29">
        <f t="shared" si="227"/>
        <v>0</v>
      </c>
      <c r="G818" s="29" t="str">
        <f t="shared" si="228"/>
        <v>offensive</v>
      </c>
      <c r="H818" s="16">
        <f t="shared" si="232"/>
        <v>0</v>
      </c>
      <c r="I818" s="16">
        <f t="shared" si="233"/>
        <v>0</v>
      </c>
      <c r="J818" s="16">
        <f t="shared" si="222"/>
        <v>0</v>
      </c>
      <c r="K818" s="16">
        <f t="shared" si="229"/>
        <v>0</v>
      </c>
      <c r="L818" s="67">
        <f t="shared" si="230"/>
        <v>0</v>
      </c>
      <c r="M818" s="4">
        <f t="shared" si="223"/>
        <v>0</v>
      </c>
      <c r="N818" s="4">
        <f t="shared" si="224"/>
        <v>0</v>
      </c>
      <c r="O818" s="4">
        <f t="shared" si="231"/>
        <v>0</v>
      </c>
      <c r="P818" s="4" t="e">
        <f>VLOOKUP(AJ810,'CIR Team Info'!$C$5:$E$44,2,FALSE)</f>
        <v>#N/A</v>
      </c>
      <c r="Q818" s="4" t="e">
        <f>VLOOKUP(AJ810,'CIR Team Info'!$C$5:$E$44,3,FALSE)</f>
        <v>#N/A</v>
      </c>
      <c r="R818" s="10" t="e">
        <f>VLOOKUP(AJ810,'FRC Site Data'!$B$3:$L$42,2,FALSE)</f>
        <v>#N/A</v>
      </c>
      <c r="S818" s="10" t="e">
        <f>VLOOKUP(AJ810,'FRC Site Data'!$B$3:$L$42,3,FALSE)</f>
        <v>#N/A</v>
      </c>
      <c r="T818" s="10" t="e">
        <f>VLOOKUP(AJ810,'FRC Site Data'!$B$3:$L$42,4,FALSE)</f>
        <v>#N/A</v>
      </c>
      <c r="U818" s="10" t="e">
        <f>VLOOKUP(AJ810,'FRC Site Data'!$B$3:$L$42,5,FALSE)</f>
        <v>#N/A</v>
      </c>
      <c r="V818" s="10" t="e">
        <f>VLOOKUP(AJ810,'FRC Site Data'!$B$3:$L$42,6,FALSE)</f>
        <v>#N/A</v>
      </c>
      <c r="W818" s="10" t="e">
        <f>VLOOKUP(AJ810,'FRC Site Data'!$B$3:$L$42,8,FALSE)</f>
        <v>#N/A</v>
      </c>
      <c r="X818" s="10" t="e">
        <f>VLOOKUP(AJ810,'FRC Site Data'!$B$3:$L$42,9,FALSE)</f>
        <v>#N/A</v>
      </c>
      <c r="Y818" s="10" t="e">
        <f>VLOOKUP(AJ810,'FRC Site Data'!$B$3:$L$42,10,FALSE)</f>
        <v>#N/A</v>
      </c>
      <c r="Z818" s="10" t="e">
        <f>VLOOKUP(AJ810,'FRC Site Data'!$B$3:$L$42,11,FALSE)</f>
        <v>#N/A</v>
      </c>
      <c r="AA818" s="10" t="e">
        <f>VLOOKUP(AJ810,'CIR Team Info'!$C$5:$E$44,4,FALSE)</f>
        <v>#N/A</v>
      </c>
      <c r="AB818" s="161" t="b">
        <f>ISNUMBER(VLOOKUP(AJ810,Match!$T$5:$T$10,1,FALSE))</f>
        <v>0</v>
      </c>
      <c r="AC818" s="161" t="b">
        <f>IF(AB818=TRUE,(VLOOKUP($AJ810,Match!$T$5:$U$10,2,FALSE)))</f>
        <v>0</v>
      </c>
      <c r="AD818" s="8">
        <v>3</v>
      </c>
      <c r="AE818" s="8">
        <v>2</v>
      </c>
      <c r="AF818" s="8">
        <v>2</v>
      </c>
      <c r="AG818" s="8">
        <v>1</v>
      </c>
      <c r="AH818" s="8" t="str">
        <f t="shared" si="234"/>
        <v/>
      </c>
    </row>
    <row r="819" spans="1:34" x14ac:dyDescent="0.25">
      <c r="A819" s="29">
        <f t="shared" si="225"/>
        <v>0</v>
      </c>
      <c r="B819" s="29">
        <f t="shared" si="219"/>
        <v>0</v>
      </c>
      <c r="C819" s="29">
        <f t="shared" si="220"/>
        <v>0</v>
      </c>
      <c r="D819" s="29">
        <f t="shared" si="221"/>
        <v>0</v>
      </c>
      <c r="E819" s="29">
        <f t="shared" si="226"/>
        <v>0</v>
      </c>
      <c r="F819" s="29">
        <f t="shared" si="227"/>
        <v>0</v>
      </c>
      <c r="G819" s="29" t="str">
        <f t="shared" si="228"/>
        <v>offensive</v>
      </c>
      <c r="H819" s="16">
        <f t="shared" si="232"/>
        <v>0</v>
      </c>
      <c r="I819" s="16">
        <f t="shared" si="233"/>
        <v>0</v>
      </c>
      <c r="J819" s="16">
        <f t="shared" si="222"/>
        <v>0</v>
      </c>
      <c r="K819" s="16">
        <f t="shared" si="229"/>
        <v>0</v>
      </c>
      <c r="L819" s="67">
        <f t="shared" si="230"/>
        <v>0</v>
      </c>
      <c r="M819" s="4">
        <f t="shared" si="223"/>
        <v>0</v>
      </c>
      <c r="N819" s="4">
        <f t="shared" si="224"/>
        <v>0</v>
      </c>
      <c r="O819" s="4">
        <f t="shared" si="231"/>
        <v>0</v>
      </c>
      <c r="P819" s="4" t="e">
        <f>VLOOKUP(AJ811,'CIR Team Info'!$C$5:$E$44,2,FALSE)</f>
        <v>#N/A</v>
      </c>
      <c r="Q819" s="4" t="e">
        <f>VLOOKUP(AJ811,'CIR Team Info'!$C$5:$E$44,3,FALSE)</f>
        <v>#N/A</v>
      </c>
      <c r="R819" s="10" t="e">
        <f>VLOOKUP(AJ811,'FRC Site Data'!$B$3:$L$42,2,FALSE)</f>
        <v>#N/A</v>
      </c>
      <c r="S819" s="10" t="e">
        <f>VLOOKUP(AJ811,'FRC Site Data'!$B$3:$L$42,3,FALSE)</f>
        <v>#N/A</v>
      </c>
      <c r="T819" s="10" t="e">
        <f>VLOOKUP(AJ811,'FRC Site Data'!$B$3:$L$42,4,FALSE)</f>
        <v>#N/A</v>
      </c>
      <c r="U819" s="10" t="e">
        <f>VLOOKUP(AJ811,'FRC Site Data'!$B$3:$L$42,5,FALSE)</f>
        <v>#N/A</v>
      </c>
      <c r="V819" s="10" t="e">
        <f>VLOOKUP(AJ811,'FRC Site Data'!$B$3:$L$42,6,FALSE)</f>
        <v>#N/A</v>
      </c>
      <c r="W819" s="10" t="e">
        <f>VLOOKUP(AJ811,'FRC Site Data'!$B$3:$L$42,8,FALSE)</f>
        <v>#N/A</v>
      </c>
      <c r="X819" s="10" t="e">
        <f>VLOOKUP(AJ811,'FRC Site Data'!$B$3:$L$42,9,FALSE)</f>
        <v>#N/A</v>
      </c>
      <c r="Y819" s="10" t="e">
        <f>VLOOKUP(AJ811,'FRC Site Data'!$B$3:$L$42,10,FALSE)</f>
        <v>#N/A</v>
      </c>
      <c r="Z819" s="10" t="e">
        <f>VLOOKUP(AJ811,'FRC Site Data'!$B$3:$L$42,11,FALSE)</f>
        <v>#N/A</v>
      </c>
      <c r="AA819" s="10" t="e">
        <f>VLOOKUP(AJ811,'CIR Team Info'!$C$5:$E$44,4,FALSE)</f>
        <v>#N/A</v>
      </c>
      <c r="AB819" s="161" t="b">
        <f>ISNUMBER(VLOOKUP(AJ811,Match!$T$5:$T$10,1,FALSE))</f>
        <v>0</v>
      </c>
      <c r="AC819" s="161" t="b">
        <f>IF(AB819=TRUE,(VLOOKUP($AJ811,Match!$T$5:$U$10,2,FALSE)))</f>
        <v>0</v>
      </c>
      <c r="AD819" s="8">
        <v>3</v>
      </c>
      <c r="AE819" s="8">
        <v>2</v>
      </c>
      <c r="AF819" s="8">
        <v>2</v>
      </c>
      <c r="AG819" s="8">
        <v>1</v>
      </c>
      <c r="AH819" s="8" t="str">
        <f t="shared" si="234"/>
        <v/>
      </c>
    </row>
    <row r="820" spans="1:34" x14ac:dyDescent="0.25">
      <c r="A820" s="29">
        <f t="shared" si="225"/>
        <v>0</v>
      </c>
      <c r="B820" s="29">
        <f t="shared" si="219"/>
        <v>0</v>
      </c>
      <c r="C820" s="29">
        <f t="shared" si="220"/>
        <v>0</v>
      </c>
      <c r="D820" s="29">
        <f t="shared" si="221"/>
        <v>0</v>
      </c>
      <c r="E820" s="29">
        <f t="shared" si="226"/>
        <v>0</v>
      </c>
      <c r="F820" s="29">
        <f t="shared" si="227"/>
        <v>0</v>
      </c>
      <c r="G820" s="29" t="str">
        <f t="shared" si="228"/>
        <v>offensive</v>
      </c>
      <c r="H820" s="16">
        <f t="shared" si="232"/>
        <v>0</v>
      </c>
      <c r="I820" s="16">
        <f t="shared" si="233"/>
        <v>0</v>
      </c>
      <c r="J820" s="16">
        <f t="shared" si="222"/>
        <v>0</v>
      </c>
      <c r="K820" s="16">
        <f t="shared" si="229"/>
        <v>0</v>
      </c>
      <c r="L820" s="67">
        <f t="shared" si="230"/>
        <v>0</v>
      </c>
      <c r="M820" s="4">
        <f t="shared" si="223"/>
        <v>0</v>
      </c>
      <c r="N820" s="4">
        <f t="shared" si="224"/>
        <v>0</v>
      </c>
      <c r="O820" s="4">
        <f t="shared" si="231"/>
        <v>0</v>
      </c>
      <c r="P820" s="4" t="e">
        <f>VLOOKUP(AJ812,'CIR Team Info'!$C$5:$E$44,2,FALSE)</f>
        <v>#N/A</v>
      </c>
      <c r="Q820" s="4" t="e">
        <f>VLOOKUP(AJ812,'CIR Team Info'!$C$5:$E$44,3,FALSE)</f>
        <v>#N/A</v>
      </c>
      <c r="R820" s="10" t="e">
        <f>VLOOKUP(AJ812,'FRC Site Data'!$B$3:$L$42,2,FALSE)</f>
        <v>#N/A</v>
      </c>
      <c r="S820" s="10" t="e">
        <f>VLOOKUP(AJ812,'FRC Site Data'!$B$3:$L$42,3,FALSE)</f>
        <v>#N/A</v>
      </c>
      <c r="T820" s="10" t="e">
        <f>VLOOKUP(AJ812,'FRC Site Data'!$B$3:$L$42,4,FALSE)</f>
        <v>#N/A</v>
      </c>
      <c r="U820" s="10" t="e">
        <f>VLOOKUP(AJ812,'FRC Site Data'!$B$3:$L$42,5,FALSE)</f>
        <v>#N/A</v>
      </c>
      <c r="V820" s="10" t="e">
        <f>VLOOKUP(AJ812,'FRC Site Data'!$B$3:$L$42,6,FALSE)</f>
        <v>#N/A</v>
      </c>
      <c r="W820" s="10" t="e">
        <f>VLOOKUP(AJ812,'FRC Site Data'!$B$3:$L$42,8,FALSE)</f>
        <v>#N/A</v>
      </c>
      <c r="X820" s="10" t="e">
        <f>VLOOKUP(AJ812,'FRC Site Data'!$B$3:$L$42,9,FALSE)</f>
        <v>#N/A</v>
      </c>
      <c r="Y820" s="10" t="e">
        <f>VLOOKUP(AJ812,'FRC Site Data'!$B$3:$L$42,10,FALSE)</f>
        <v>#N/A</v>
      </c>
      <c r="Z820" s="10" t="e">
        <f>VLOOKUP(AJ812,'FRC Site Data'!$B$3:$L$42,11,FALSE)</f>
        <v>#N/A</v>
      </c>
      <c r="AA820" s="10" t="e">
        <f>VLOOKUP(AJ812,'CIR Team Info'!$C$5:$E$44,4,FALSE)</f>
        <v>#N/A</v>
      </c>
      <c r="AB820" s="161" t="b">
        <f>ISNUMBER(VLOOKUP(AJ812,Match!$T$5:$T$10,1,FALSE))</f>
        <v>0</v>
      </c>
      <c r="AC820" s="161" t="b">
        <f>IF(AB820=TRUE,(VLOOKUP($AJ812,Match!$T$5:$U$10,2,FALSE)))</f>
        <v>0</v>
      </c>
      <c r="AD820" s="8">
        <v>3</v>
      </c>
      <c r="AE820" s="8">
        <v>2</v>
      </c>
      <c r="AF820" s="8">
        <v>2</v>
      </c>
      <c r="AG820" s="8">
        <v>1</v>
      </c>
      <c r="AH820" s="8" t="str">
        <f t="shared" si="234"/>
        <v/>
      </c>
    </row>
    <row r="821" spans="1:34" x14ac:dyDescent="0.25">
      <c r="A821" s="29">
        <f t="shared" si="225"/>
        <v>0</v>
      </c>
      <c r="B821" s="29">
        <f t="shared" si="219"/>
        <v>0</v>
      </c>
      <c r="C821" s="29">
        <f t="shared" si="220"/>
        <v>0</v>
      </c>
      <c r="D821" s="29">
        <f t="shared" si="221"/>
        <v>0</v>
      </c>
      <c r="E821" s="29">
        <f t="shared" si="226"/>
        <v>0</v>
      </c>
      <c r="F821" s="29">
        <f t="shared" si="227"/>
        <v>0</v>
      </c>
      <c r="G821" s="29" t="str">
        <f t="shared" si="228"/>
        <v>offensive</v>
      </c>
      <c r="H821" s="16">
        <f t="shared" si="232"/>
        <v>0</v>
      </c>
      <c r="I821" s="16">
        <f t="shared" si="233"/>
        <v>0</v>
      </c>
      <c r="J821" s="16">
        <f t="shared" si="222"/>
        <v>0</v>
      </c>
      <c r="K821" s="16">
        <f t="shared" si="229"/>
        <v>0</v>
      </c>
      <c r="L821" s="67">
        <f t="shared" si="230"/>
        <v>0</v>
      </c>
      <c r="M821" s="4">
        <f t="shared" si="223"/>
        <v>0</v>
      </c>
      <c r="N821" s="4">
        <f t="shared" si="224"/>
        <v>0</v>
      </c>
      <c r="O821" s="4">
        <f t="shared" si="231"/>
        <v>0</v>
      </c>
      <c r="P821" s="4" t="e">
        <f>VLOOKUP(AJ813,'CIR Team Info'!$C$5:$E$44,2,FALSE)</f>
        <v>#N/A</v>
      </c>
      <c r="Q821" s="4" t="e">
        <f>VLOOKUP(AJ813,'CIR Team Info'!$C$5:$E$44,3,FALSE)</f>
        <v>#N/A</v>
      </c>
      <c r="R821" s="10" t="e">
        <f>VLOOKUP(AJ813,'FRC Site Data'!$B$3:$L$42,2,FALSE)</f>
        <v>#N/A</v>
      </c>
      <c r="S821" s="10" t="e">
        <f>VLOOKUP(AJ813,'FRC Site Data'!$B$3:$L$42,3,FALSE)</f>
        <v>#N/A</v>
      </c>
      <c r="T821" s="10" t="e">
        <f>VLOOKUP(AJ813,'FRC Site Data'!$B$3:$L$42,4,FALSE)</f>
        <v>#N/A</v>
      </c>
      <c r="U821" s="10" t="e">
        <f>VLOOKUP(AJ813,'FRC Site Data'!$B$3:$L$42,5,FALSE)</f>
        <v>#N/A</v>
      </c>
      <c r="V821" s="10" t="e">
        <f>VLOOKUP(AJ813,'FRC Site Data'!$B$3:$L$42,6,FALSE)</f>
        <v>#N/A</v>
      </c>
      <c r="W821" s="10" t="e">
        <f>VLOOKUP(AJ813,'FRC Site Data'!$B$3:$L$42,8,FALSE)</f>
        <v>#N/A</v>
      </c>
      <c r="X821" s="10" t="e">
        <f>VLOOKUP(AJ813,'FRC Site Data'!$B$3:$L$42,9,FALSE)</f>
        <v>#N/A</v>
      </c>
      <c r="Y821" s="10" t="e">
        <f>VLOOKUP(AJ813,'FRC Site Data'!$B$3:$L$42,10,FALSE)</f>
        <v>#N/A</v>
      </c>
      <c r="Z821" s="10" t="e">
        <f>VLOOKUP(AJ813,'FRC Site Data'!$B$3:$L$42,11,FALSE)</f>
        <v>#N/A</v>
      </c>
      <c r="AA821" s="10" t="e">
        <f>VLOOKUP(AJ813,'CIR Team Info'!$C$5:$E$44,4,FALSE)</f>
        <v>#N/A</v>
      </c>
      <c r="AB821" s="161" t="b">
        <f>ISNUMBER(VLOOKUP(AJ813,Match!$T$5:$T$10,1,FALSE))</f>
        <v>0</v>
      </c>
      <c r="AC821" s="161" t="b">
        <f>IF(AB821=TRUE,(VLOOKUP($AJ813,Match!$T$5:$U$10,2,FALSE)))</f>
        <v>0</v>
      </c>
      <c r="AD821" s="8">
        <v>3</v>
      </c>
      <c r="AE821" s="8">
        <v>2</v>
      </c>
      <c r="AF821" s="8">
        <v>2</v>
      </c>
      <c r="AG821" s="8">
        <v>1</v>
      </c>
      <c r="AH821" s="8" t="str">
        <f t="shared" si="234"/>
        <v/>
      </c>
    </row>
    <row r="822" spans="1:34" x14ac:dyDescent="0.25">
      <c r="A822" s="29">
        <f t="shared" si="225"/>
        <v>0</v>
      </c>
      <c r="B822" s="29">
        <f t="shared" si="219"/>
        <v>0</v>
      </c>
      <c r="C822" s="29">
        <f t="shared" si="220"/>
        <v>0</v>
      </c>
      <c r="D822" s="29">
        <f t="shared" si="221"/>
        <v>0</v>
      </c>
      <c r="E822" s="29">
        <f t="shared" si="226"/>
        <v>0</v>
      </c>
      <c r="F822" s="29">
        <f t="shared" si="227"/>
        <v>0</v>
      </c>
      <c r="G822" s="29" t="str">
        <f t="shared" si="228"/>
        <v>offensive</v>
      </c>
      <c r="H822" s="16">
        <f t="shared" si="232"/>
        <v>0</v>
      </c>
      <c r="I822" s="16">
        <f t="shared" si="233"/>
        <v>0</v>
      </c>
      <c r="J822" s="16">
        <f t="shared" si="222"/>
        <v>0</v>
      </c>
      <c r="K822" s="16">
        <f t="shared" si="229"/>
        <v>0</v>
      </c>
      <c r="L822" s="67">
        <f t="shared" si="230"/>
        <v>0</v>
      </c>
      <c r="M822" s="4">
        <f t="shared" si="223"/>
        <v>0</v>
      </c>
      <c r="N822" s="4">
        <f t="shared" si="224"/>
        <v>0</v>
      </c>
      <c r="O822" s="4">
        <f t="shared" si="231"/>
        <v>0</v>
      </c>
      <c r="P822" s="4" t="e">
        <f>VLOOKUP(AJ814,'CIR Team Info'!$C$5:$E$44,2,FALSE)</f>
        <v>#N/A</v>
      </c>
      <c r="Q822" s="4" t="e">
        <f>VLOOKUP(AJ814,'CIR Team Info'!$C$5:$E$44,3,FALSE)</f>
        <v>#N/A</v>
      </c>
      <c r="R822" s="10" t="e">
        <f>VLOOKUP(AJ814,'FRC Site Data'!$B$3:$L$42,2,FALSE)</f>
        <v>#N/A</v>
      </c>
      <c r="S822" s="10" t="e">
        <f>VLOOKUP(AJ814,'FRC Site Data'!$B$3:$L$42,3,FALSE)</f>
        <v>#N/A</v>
      </c>
      <c r="T822" s="10" t="e">
        <f>VLOOKUP(AJ814,'FRC Site Data'!$B$3:$L$42,4,FALSE)</f>
        <v>#N/A</v>
      </c>
      <c r="U822" s="10" t="e">
        <f>VLOOKUP(AJ814,'FRC Site Data'!$B$3:$L$42,5,FALSE)</f>
        <v>#N/A</v>
      </c>
      <c r="V822" s="10" t="e">
        <f>VLOOKUP(AJ814,'FRC Site Data'!$B$3:$L$42,6,FALSE)</f>
        <v>#N/A</v>
      </c>
      <c r="W822" s="10" t="e">
        <f>VLOOKUP(AJ814,'FRC Site Data'!$B$3:$L$42,8,FALSE)</f>
        <v>#N/A</v>
      </c>
      <c r="X822" s="10" t="e">
        <f>VLOOKUP(AJ814,'FRC Site Data'!$B$3:$L$42,9,FALSE)</f>
        <v>#N/A</v>
      </c>
      <c r="Y822" s="10" t="e">
        <f>VLOOKUP(AJ814,'FRC Site Data'!$B$3:$L$42,10,FALSE)</f>
        <v>#N/A</v>
      </c>
      <c r="Z822" s="10" t="e">
        <f>VLOOKUP(AJ814,'FRC Site Data'!$B$3:$L$42,11,FALSE)</f>
        <v>#N/A</v>
      </c>
      <c r="AA822" s="10" t="e">
        <f>VLOOKUP(AJ814,'CIR Team Info'!$C$5:$E$44,4,FALSE)</f>
        <v>#N/A</v>
      </c>
      <c r="AB822" s="161" t="b">
        <f>ISNUMBER(VLOOKUP(AJ814,Match!$T$5:$T$10,1,FALSE))</f>
        <v>0</v>
      </c>
      <c r="AC822" s="161" t="b">
        <f>IF(AB822=TRUE,(VLOOKUP($AJ814,Match!$T$5:$U$10,2,FALSE)))</f>
        <v>0</v>
      </c>
      <c r="AD822" s="8">
        <v>3</v>
      </c>
      <c r="AE822" s="8">
        <v>2</v>
      </c>
      <c r="AF822" s="8">
        <v>2</v>
      </c>
      <c r="AG822" s="8">
        <v>1</v>
      </c>
      <c r="AH822" s="8" t="str">
        <f t="shared" si="234"/>
        <v/>
      </c>
    </row>
    <row r="823" spans="1:34" x14ac:dyDescent="0.25">
      <c r="A823" s="29">
        <f t="shared" si="225"/>
        <v>0</v>
      </c>
      <c r="B823" s="29">
        <f t="shared" si="219"/>
        <v>0</v>
      </c>
      <c r="C823" s="29">
        <f t="shared" si="220"/>
        <v>0</v>
      </c>
      <c r="D823" s="29">
        <f t="shared" si="221"/>
        <v>0</v>
      </c>
      <c r="E823" s="29">
        <f t="shared" si="226"/>
        <v>0</v>
      </c>
      <c r="F823" s="29">
        <f t="shared" si="227"/>
        <v>0</v>
      </c>
      <c r="G823" s="29" t="str">
        <f t="shared" si="228"/>
        <v>offensive</v>
      </c>
      <c r="H823" s="16">
        <f t="shared" si="232"/>
        <v>0</v>
      </c>
      <c r="I823" s="16">
        <f t="shared" si="233"/>
        <v>0</v>
      </c>
      <c r="J823" s="16">
        <f t="shared" si="222"/>
        <v>0</v>
      </c>
      <c r="K823" s="16">
        <f t="shared" si="229"/>
        <v>0</v>
      </c>
      <c r="L823" s="67">
        <f t="shared" si="230"/>
        <v>0</v>
      </c>
      <c r="M823" s="4">
        <f t="shared" si="223"/>
        <v>0</v>
      </c>
      <c r="N823" s="4">
        <f t="shared" si="224"/>
        <v>0</v>
      </c>
      <c r="O823" s="4">
        <f t="shared" si="231"/>
        <v>0</v>
      </c>
      <c r="P823" s="4" t="e">
        <f>VLOOKUP(AJ815,'CIR Team Info'!$C$5:$E$44,2,FALSE)</f>
        <v>#N/A</v>
      </c>
      <c r="Q823" s="4" t="e">
        <f>VLOOKUP(AJ815,'CIR Team Info'!$C$5:$E$44,3,FALSE)</f>
        <v>#N/A</v>
      </c>
      <c r="R823" s="10" t="e">
        <f>VLOOKUP(AJ815,'FRC Site Data'!$B$3:$L$42,2,FALSE)</f>
        <v>#N/A</v>
      </c>
      <c r="S823" s="10" t="e">
        <f>VLOOKUP(AJ815,'FRC Site Data'!$B$3:$L$42,3,FALSE)</f>
        <v>#N/A</v>
      </c>
      <c r="T823" s="10" t="e">
        <f>VLOOKUP(AJ815,'FRC Site Data'!$B$3:$L$42,4,FALSE)</f>
        <v>#N/A</v>
      </c>
      <c r="U823" s="10" t="e">
        <f>VLOOKUP(AJ815,'FRC Site Data'!$B$3:$L$42,5,FALSE)</f>
        <v>#N/A</v>
      </c>
      <c r="V823" s="10" t="e">
        <f>VLOOKUP(AJ815,'FRC Site Data'!$B$3:$L$42,6,FALSE)</f>
        <v>#N/A</v>
      </c>
      <c r="W823" s="10" t="e">
        <f>VLOOKUP(AJ815,'FRC Site Data'!$B$3:$L$42,8,FALSE)</f>
        <v>#N/A</v>
      </c>
      <c r="X823" s="10" t="e">
        <f>VLOOKUP(AJ815,'FRC Site Data'!$B$3:$L$42,9,FALSE)</f>
        <v>#N/A</v>
      </c>
      <c r="Y823" s="10" t="e">
        <f>VLOOKUP(AJ815,'FRC Site Data'!$B$3:$L$42,10,FALSE)</f>
        <v>#N/A</v>
      </c>
      <c r="Z823" s="10" t="e">
        <f>VLOOKUP(AJ815,'FRC Site Data'!$B$3:$L$42,11,FALSE)</f>
        <v>#N/A</v>
      </c>
      <c r="AA823" s="10" t="e">
        <f>VLOOKUP(AJ815,'CIR Team Info'!$C$5:$E$44,4,FALSE)</f>
        <v>#N/A</v>
      </c>
      <c r="AB823" s="161" t="b">
        <f>ISNUMBER(VLOOKUP(AJ815,Match!$T$5:$T$10,1,FALSE))</f>
        <v>0</v>
      </c>
      <c r="AC823" s="161" t="b">
        <f>IF(AB823=TRUE,(VLOOKUP($AJ815,Match!$T$5:$U$10,2,FALSE)))</f>
        <v>0</v>
      </c>
      <c r="AD823" s="8">
        <v>3</v>
      </c>
      <c r="AE823" s="8">
        <v>2</v>
      </c>
      <c r="AF823" s="8">
        <v>2</v>
      </c>
      <c r="AG823" s="8">
        <v>1</v>
      </c>
      <c r="AH823" s="8" t="str">
        <f t="shared" si="234"/>
        <v/>
      </c>
    </row>
    <row r="824" spans="1:34" x14ac:dyDescent="0.25">
      <c r="A824" s="29">
        <f t="shared" si="225"/>
        <v>0</v>
      </c>
      <c r="B824" s="29">
        <f t="shared" si="219"/>
        <v>0</v>
      </c>
      <c r="C824" s="29">
        <f t="shared" si="220"/>
        <v>0</v>
      </c>
      <c r="D824" s="29">
        <f t="shared" si="221"/>
        <v>0</v>
      </c>
      <c r="E824" s="29">
        <f t="shared" si="226"/>
        <v>0</v>
      </c>
      <c r="F824" s="29">
        <f t="shared" si="227"/>
        <v>0</v>
      </c>
      <c r="G824" s="29" t="str">
        <f t="shared" si="228"/>
        <v>offensive</v>
      </c>
      <c r="H824" s="16">
        <f t="shared" si="232"/>
        <v>0</v>
      </c>
      <c r="I824" s="16">
        <f t="shared" si="233"/>
        <v>0</v>
      </c>
      <c r="J824" s="16">
        <f t="shared" si="222"/>
        <v>0</v>
      </c>
      <c r="K824" s="16">
        <f t="shared" si="229"/>
        <v>0</v>
      </c>
      <c r="L824" s="67">
        <f t="shared" si="230"/>
        <v>0</v>
      </c>
      <c r="M824" s="4">
        <f t="shared" si="223"/>
        <v>0</v>
      </c>
      <c r="N824" s="4">
        <f t="shared" si="224"/>
        <v>0</v>
      </c>
      <c r="O824" s="4">
        <f t="shared" si="231"/>
        <v>0</v>
      </c>
      <c r="P824" s="4" t="e">
        <f>VLOOKUP(AJ816,'CIR Team Info'!$C$5:$E$44,2,FALSE)</f>
        <v>#N/A</v>
      </c>
      <c r="Q824" s="4" t="e">
        <f>VLOOKUP(AJ816,'CIR Team Info'!$C$5:$E$44,3,FALSE)</f>
        <v>#N/A</v>
      </c>
      <c r="R824" s="10" t="e">
        <f>VLOOKUP(AJ816,'FRC Site Data'!$B$3:$L$42,2,FALSE)</f>
        <v>#N/A</v>
      </c>
      <c r="S824" s="10" t="e">
        <f>VLOOKUP(AJ816,'FRC Site Data'!$B$3:$L$42,3,FALSE)</f>
        <v>#N/A</v>
      </c>
      <c r="T824" s="10" t="e">
        <f>VLOOKUP(AJ816,'FRC Site Data'!$B$3:$L$42,4,FALSE)</f>
        <v>#N/A</v>
      </c>
      <c r="U824" s="10" t="e">
        <f>VLOOKUP(AJ816,'FRC Site Data'!$B$3:$L$42,5,FALSE)</f>
        <v>#N/A</v>
      </c>
      <c r="V824" s="10" t="e">
        <f>VLOOKUP(AJ816,'FRC Site Data'!$B$3:$L$42,6,FALSE)</f>
        <v>#N/A</v>
      </c>
      <c r="W824" s="10" t="e">
        <f>VLOOKUP(AJ816,'FRC Site Data'!$B$3:$L$42,8,FALSE)</f>
        <v>#N/A</v>
      </c>
      <c r="X824" s="10" t="e">
        <f>VLOOKUP(AJ816,'FRC Site Data'!$B$3:$L$42,9,FALSE)</f>
        <v>#N/A</v>
      </c>
      <c r="Y824" s="10" t="e">
        <f>VLOOKUP(AJ816,'FRC Site Data'!$B$3:$L$42,10,FALSE)</f>
        <v>#N/A</v>
      </c>
      <c r="Z824" s="10" t="e">
        <f>VLOOKUP(AJ816,'FRC Site Data'!$B$3:$L$42,11,FALSE)</f>
        <v>#N/A</v>
      </c>
      <c r="AA824" s="10" t="e">
        <f>VLOOKUP(AJ816,'CIR Team Info'!$C$5:$E$44,4,FALSE)</f>
        <v>#N/A</v>
      </c>
      <c r="AB824" s="161" t="b">
        <f>ISNUMBER(VLOOKUP(AJ816,Match!$T$5:$T$10,1,FALSE))</f>
        <v>0</v>
      </c>
      <c r="AC824" s="161" t="b">
        <f>IF(AB824=TRUE,(VLOOKUP($AJ816,Match!$T$5:$U$10,2,FALSE)))</f>
        <v>0</v>
      </c>
      <c r="AD824" s="8">
        <v>3</v>
      </c>
      <c r="AE824" s="8">
        <v>2</v>
      </c>
      <c r="AF824" s="8">
        <v>2</v>
      </c>
      <c r="AG824" s="8">
        <v>1</v>
      </c>
      <c r="AH824" s="8" t="str">
        <f t="shared" si="234"/>
        <v/>
      </c>
    </row>
    <row r="825" spans="1:34" x14ac:dyDescent="0.25">
      <c r="A825" s="29">
        <f t="shared" si="225"/>
        <v>0</v>
      </c>
      <c r="B825" s="29">
        <f t="shared" si="219"/>
        <v>0</v>
      </c>
      <c r="C825" s="29">
        <f t="shared" si="220"/>
        <v>0</v>
      </c>
      <c r="D825" s="29">
        <f t="shared" si="221"/>
        <v>0</v>
      </c>
      <c r="E825" s="29">
        <f t="shared" si="226"/>
        <v>0</v>
      </c>
      <c r="F825" s="29">
        <f t="shared" si="227"/>
        <v>0</v>
      </c>
      <c r="G825" s="29" t="str">
        <f t="shared" si="228"/>
        <v>offensive</v>
      </c>
      <c r="H825" s="16">
        <f t="shared" si="232"/>
        <v>0</v>
      </c>
      <c r="I825" s="16">
        <f t="shared" si="233"/>
        <v>0</v>
      </c>
      <c r="J825" s="16">
        <f t="shared" si="222"/>
        <v>0</v>
      </c>
      <c r="K825" s="16">
        <f t="shared" si="229"/>
        <v>0</v>
      </c>
      <c r="L825" s="67">
        <f t="shared" si="230"/>
        <v>0</v>
      </c>
      <c r="M825" s="4">
        <f t="shared" si="223"/>
        <v>0</v>
      </c>
      <c r="N825" s="4">
        <f t="shared" si="224"/>
        <v>0</v>
      </c>
      <c r="O825" s="4">
        <f t="shared" si="231"/>
        <v>0</v>
      </c>
      <c r="P825" s="4" t="e">
        <f>VLOOKUP(AJ817,'CIR Team Info'!$C$5:$E$44,2,FALSE)</f>
        <v>#N/A</v>
      </c>
      <c r="Q825" s="4" t="e">
        <f>VLOOKUP(AJ817,'CIR Team Info'!$C$5:$E$44,3,FALSE)</f>
        <v>#N/A</v>
      </c>
      <c r="R825" s="10" t="e">
        <f>VLOOKUP(AJ817,'FRC Site Data'!$B$3:$L$42,2,FALSE)</f>
        <v>#N/A</v>
      </c>
      <c r="S825" s="10" t="e">
        <f>VLOOKUP(AJ817,'FRC Site Data'!$B$3:$L$42,3,FALSE)</f>
        <v>#N/A</v>
      </c>
      <c r="T825" s="10" t="e">
        <f>VLOOKUP(AJ817,'FRC Site Data'!$B$3:$L$42,4,FALSE)</f>
        <v>#N/A</v>
      </c>
      <c r="U825" s="10" t="e">
        <f>VLOOKUP(AJ817,'FRC Site Data'!$B$3:$L$42,5,FALSE)</f>
        <v>#N/A</v>
      </c>
      <c r="V825" s="10" t="e">
        <f>VLOOKUP(AJ817,'FRC Site Data'!$B$3:$L$42,6,FALSE)</f>
        <v>#N/A</v>
      </c>
      <c r="W825" s="10" t="e">
        <f>VLOOKUP(AJ817,'FRC Site Data'!$B$3:$L$42,8,FALSE)</f>
        <v>#N/A</v>
      </c>
      <c r="X825" s="10" t="e">
        <f>VLOOKUP(AJ817,'FRC Site Data'!$B$3:$L$42,9,FALSE)</f>
        <v>#N/A</v>
      </c>
      <c r="Y825" s="10" t="e">
        <f>VLOOKUP(AJ817,'FRC Site Data'!$B$3:$L$42,10,FALSE)</f>
        <v>#N/A</v>
      </c>
      <c r="Z825" s="10" t="e">
        <f>VLOOKUP(AJ817,'FRC Site Data'!$B$3:$L$42,11,FALSE)</f>
        <v>#N/A</v>
      </c>
      <c r="AA825" s="10" t="e">
        <f>VLOOKUP(AJ817,'CIR Team Info'!$C$5:$E$44,4,FALSE)</f>
        <v>#N/A</v>
      </c>
      <c r="AB825" s="161" t="b">
        <f>ISNUMBER(VLOOKUP(AJ817,Match!$T$5:$T$10,1,FALSE))</f>
        <v>0</v>
      </c>
      <c r="AC825" s="161" t="b">
        <f>IF(AB825=TRUE,(VLOOKUP($AJ817,Match!$T$5:$U$10,2,FALSE)))</f>
        <v>0</v>
      </c>
      <c r="AD825" s="8">
        <v>3</v>
      </c>
      <c r="AE825" s="8">
        <v>2</v>
      </c>
      <c r="AF825" s="8">
        <v>2</v>
      </c>
      <c r="AG825" s="8">
        <v>1</v>
      </c>
      <c r="AH825" s="8" t="str">
        <f t="shared" si="234"/>
        <v/>
      </c>
    </row>
    <row r="826" spans="1:34" x14ac:dyDescent="0.25">
      <c r="A826" s="29">
        <f t="shared" si="225"/>
        <v>0</v>
      </c>
      <c r="B826" s="29">
        <f t="shared" si="219"/>
        <v>0</v>
      </c>
      <c r="C826" s="29">
        <f t="shared" si="220"/>
        <v>0</v>
      </c>
      <c r="D826" s="29">
        <f t="shared" si="221"/>
        <v>0</v>
      </c>
      <c r="E826" s="29">
        <f t="shared" si="226"/>
        <v>0</v>
      </c>
      <c r="F826" s="29">
        <f t="shared" si="227"/>
        <v>0</v>
      </c>
      <c r="G826" s="29" t="str">
        <f t="shared" si="228"/>
        <v>offensive</v>
      </c>
      <c r="H826" s="16">
        <f t="shared" si="232"/>
        <v>0</v>
      </c>
      <c r="I826" s="16">
        <f t="shared" si="233"/>
        <v>0</v>
      </c>
      <c r="J826" s="16">
        <f t="shared" si="222"/>
        <v>0</v>
      </c>
      <c r="K826" s="16">
        <f t="shared" si="229"/>
        <v>0</v>
      </c>
      <c r="L826" s="67">
        <f t="shared" si="230"/>
        <v>0</v>
      </c>
      <c r="M826" s="4">
        <f t="shared" si="223"/>
        <v>0</v>
      </c>
      <c r="N826" s="4">
        <f t="shared" si="224"/>
        <v>0</v>
      </c>
      <c r="O826" s="4">
        <f t="shared" si="231"/>
        <v>0</v>
      </c>
      <c r="P826" s="4" t="e">
        <f>VLOOKUP(AJ818,'CIR Team Info'!$C$5:$E$44,2,FALSE)</f>
        <v>#N/A</v>
      </c>
      <c r="Q826" s="4" t="e">
        <f>VLOOKUP(AJ818,'CIR Team Info'!$C$5:$E$44,3,FALSE)</f>
        <v>#N/A</v>
      </c>
      <c r="R826" s="10" t="e">
        <f>VLOOKUP(AJ818,'FRC Site Data'!$B$3:$L$42,2,FALSE)</f>
        <v>#N/A</v>
      </c>
      <c r="S826" s="10" t="e">
        <f>VLOOKUP(AJ818,'FRC Site Data'!$B$3:$L$42,3,FALSE)</f>
        <v>#N/A</v>
      </c>
      <c r="T826" s="10" t="e">
        <f>VLOOKUP(AJ818,'FRC Site Data'!$B$3:$L$42,4,FALSE)</f>
        <v>#N/A</v>
      </c>
      <c r="U826" s="10" t="e">
        <f>VLOOKUP(AJ818,'FRC Site Data'!$B$3:$L$42,5,FALSE)</f>
        <v>#N/A</v>
      </c>
      <c r="V826" s="10" t="e">
        <f>VLOOKUP(AJ818,'FRC Site Data'!$B$3:$L$42,6,FALSE)</f>
        <v>#N/A</v>
      </c>
      <c r="W826" s="10" t="e">
        <f>VLOOKUP(AJ818,'FRC Site Data'!$B$3:$L$42,8,FALSE)</f>
        <v>#N/A</v>
      </c>
      <c r="X826" s="10" t="e">
        <f>VLOOKUP(AJ818,'FRC Site Data'!$B$3:$L$42,9,FALSE)</f>
        <v>#N/A</v>
      </c>
      <c r="Y826" s="10" t="e">
        <f>VLOOKUP(AJ818,'FRC Site Data'!$B$3:$L$42,10,FALSE)</f>
        <v>#N/A</v>
      </c>
      <c r="Z826" s="10" t="e">
        <f>VLOOKUP(AJ818,'FRC Site Data'!$B$3:$L$42,11,FALSE)</f>
        <v>#N/A</v>
      </c>
      <c r="AA826" s="10" t="e">
        <f>VLOOKUP(AJ818,'CIR Team Info'!$C$5:$E$44,4,FALSE)</f>
        <v>#N/A</v>
      </c>
      <c r="AB826" s="161" t="b">
        <f>ISNUMBER(VLOOKUP(AJ818,Match!$T$5:$T$10,1,FALSE))</f>
        <v>0</v>
      </c>
      <c r="AC826" s="161" t="b">
        <f>IF(AB826=TRUE,(VLOOKUP($AJ818,Match!$T$5:$U$10,2,FALSE)))</f>
        <v>0</v>
      </c>
      <c r="AD826" s="8">
        <v>3</v>
      </c>
      <c r="AE826" s="8">
        <v>2</v>
      </c>
      <c r="AF826" s="8">
        <v>2</v>
      </c>
      <c r="AG826" s="8">
        <v>1</v>
      </c>
      <c r="AH826" s="8" t="str">
        <f t="shared" si="234"/>
        <v/>
      </c>
    </row>
    <row r="827" spans="1:34" x14ac:dyDescent="0.25">
      <c r="A827" s="29">
        <f t="shared" si="225"/>
        <v>0</v>
      </c>
      <c r="B827" s="29">
        <f t="shared" si="219"/>
        <v>0</v>
      </c>
      <c r="C827" s="29">
        <f t="shared" si="220"/>
        <v>0</v>
      </c>
      <c r="D827" s="29">
        <f t="shared" si="221"/>
        <v>0</v>
      </c>
      <c r="E827" s="29">
        <f t="shared" si="226"/>
        <v>0</v>
      </c>
      <c r="F827" s="29">
        <f t="shared" si="227"/>
        <v>0</v>
      </c>
      <c r="G827" s="29" t="str">
        <f t="shared" si="228"/>
        <v>offensive</v>
      </c>
      <c r="H827" s="16">
        <f t="shared" si="232"/>
        <v>0</v>
      </c>
      <c r="I827" s="16">
        <f t="shared" si="233"/>
        <v>0</v>
      </c>
      <c r="J827" s="16">
        <f t="shared" si="222"/>
        <v>0</v>
      </c>
      <c r="K827" s="16">
        <f t="shared" si="229"/>
        <v>0</v>
      </c>
      <c r="L827" s="67">
        <f t="shared" si="230"/>
        <v>0</v>
      </c>
      <c r="M827" s="4">
        <f t="shared" si="223"/>
        <v>0</v>
      </c>
      <c r="N827" s="4">
        <f t="shared" si="224"/>
        <v>0</v>
      </c>
      <c r="O827" s="4">
        <f t="shared" si="231"/>
        <v>0</v>
      </c>
      <c r="P827" s="4" t="e">
        <f>VLOOKUP(AJ819,'CIR Team Info'!$C$5:$E$44,2,FALSE)</f>
        <v>#N/A</v>
      </c>
      <c r="Q827" s="4" t="e">
        <f>VLOOKUP(AJ819,'CIR Team Info'!$C$5:$E$44,3,FALSE)</f>
        <v>#N/A</v>
      </c>
      <c r="R827" s="10" t="e">
        <f>VLOOKUP(AJ819,'FRC Site Data'!$B$3:$L$42,2,FALSE)</f>
        <v>#N/A</v>
      </c>
      <c r="S827" s="10" t="e">
        <f>VLOOKUP(AJ819,'FRC Site Data'!$B$3:$L$42,3,FALSE)</f>
        <v>#N/A</v>
      </c>
      <c r="T827" s="10" t="e">
        <f>VLOOKUP(AJ819,'FRC Site Data'!$B$3:$L$42,4,FALSE)</f>
        <v>#N/A</v>
      </c>
      <c r="U827" s="10" t="e">
        <f>VLOOKUP(AJ819,'FRC Site Data'!$B$3:$L$42,5,FALSE)</f>
        <v>#N/A</v>
      </c>
      <c r="V827" s="10" t="e">
        <f>VLOOKUP(AJ819,'FRC Site Data'!$B$3:$L$42,6,FALSE)</f>
        <v>#N/A</v>
      </c>
      <c r="W827" s="10" t="e">
        <f>VLOOKUP(AJ819,'FRC Site Data'!$B$3:$L$42,8,FALSE)</f>
        <v>#N/A</v>
      </c>
      <c r="X827" s="10" t="e">
        <f>VLOOKUP(AJ819,'FRC Site Data'!$B$3:$L$42,9,FALSE)</f>
        <v>#N/A</v>
      </c>
      <c r="Y827" s="10" t="e">
        <f>VLOOKUP(AJ819,'FRC Site Data'!$B$3:$L$42,10,FALSE)</f>
        <v>#N/A</v>
      </c>
      <c r="Z827" s="10" t="e">
        <f>VLOOKUP(AJ819,'FRC Site Data'!$B$3:$L$42,11,FALSE)</f>
        <v>#N/A</v>
      </c>
      <c r="AA827" s="10" t="e">
        <f>VLOOKUP(AJ819,'CIR Team Info'!$C$5:$E$44,4,FALSE)</f>
        <v>#N/A</v>
      </c>
      <c r="AB827" s="161" t="b">
        <f>ISNUMBER(VLOOKUP(AJ819,Match!$T$5:$T$10,1,FALSE))</f>
        <v>0</v>
      </c>
      <c r="AC827" s="161" t="b">
        <f>IF(AB827=TRUE,(VLOOKUP($AJ819,Match!$T$5:$U$10,2,FALSE)))</f>
        <v>0</v>
      </c>
      <c r="AD827" s="8">
        <v>3</v>
      </c>
      <c r="AE827" s="8">
        <v>2</v>
      </c>
      <c r="AF827" s="8">
        <v>2</v>
      </c>
      <c r="AG827" s="8">
        <v>1</v>
      </c>
      <c r="AH827" s="8" t="str">
        <f t="shared" si="234"/>
        <v/>
      </c>
    </row>
    <row r="828" spans="1:34" x14ac:dyDescent="0.25">
      <c r="A828" s="29">
        <f t="shared" si="225"/>
        <v>0</v>
      </c>
      <c r="B828" s="29">
        <f t="shared" si="219"/>
        <v>0</v>
      </c>
      <c r="C828" s="29">
        <f t="shared" si="220"/>
        <v>0</v>
      </c>
      <c r="D828" s="29">
        <f t="shared" si="221"/>
        <v>0</v>
      </c>
      <c r="E828" s="29">
        <f t="shared" si="226"/>
        <v>0</v>
      </c>
      <c r="F828" s="29">
        <f t="shared" si="227"/>
        <v>0</v>
      </c>
      <c r="G828" s="29" t="str">
        <f t="shared" si="228"/>
        <v>offensive</v>
      </c>
      <c r="H828" s="16">
        <f t="shared" si="232"/>
        <v>0</v>
      </c>
      <c r="I828" s="16">
        <f t="shared" si="233"/>
        <v>0</v>
      </c>
      <c r="J828" s="16">
        <f t="shared" si="222"/>
        <v>0</v>
      </c>
      <c r="K828" s="16">
        <f t="shared" si="229"/>
        <v>0</v>
      </c>
      <c r="L828" s="67">
        <f t="shared" si="230"/>
        <v>0</v>
      </c>
      <c r="M828" s="4">
        <f t="shared" si="223"/>
        <v>0</v>
      </c>
      <c r="N828" s="4">
        <f t="shared" si="224"/>
        <v>0</v>
      </c>
      <c r="O828" s="4">
        <f t="shared" si="231"/>
        <v>0</v>
      </c>
      <c r="P828" s="4" t="e">
        <f>VLOOKUP(AJ820,'CIR Team Info'!$C$5:$E$44,2,FALSE)</f>
        <v>#N/A</v>
      </c>
      <c r="Q828" s="4" t="e">
        <f>VLOOKUP(AJ820,'CIR Team Info'!$C$5:$E$44,3,FALSE)</f>
        <v>#N/A</v>
      </c>
      <c r="R828" s="10" t="e">
        <f>VLOOKUP(AJ820,'FRC Site Data'!$B$3:$L$42,2,FALSE)</f>
        <v>#N/A</v>
      </c>
      <c r="S828" s="10" t="e">
        <f>VLOOKUP(AJ820,'FRC Site Data'!$B$3:$L$42,3,FALSE)</f>
        <v>#N/A</v>
      </c>
      <c r="T828" s="10" t="e">
        <f>VLOOKUP(AJ820,'FRC Site Data'!$B$3:$L$42,4,FALSE)</f>
        <v>#N/A</v>
      </c>
      <c r="U828" s="10" t="e">
        <f>VLOOKUP(AJ820,'FRC Site Data'!$B$3:$L$42,5,FALSE)</f>
        <v>#N/A</v>
      </c>
      <c r="V828" s="10" t="e">
        <f>VLOOKUP(AJ820,'FRC Site Data'!$B$3:$L$42,6,FALSE)</f>
        <v>#N/A</v>
      </c>
      <c r="W828" s="10" t="e">
        <f>VLOOKUP(AJ820,'FRC Site Data'!$B$3:$L$42,8,FALSE)</f>
        <v>#N/A</v>
      </c>
      <c r="X828" s="10" t="e">
        <f>VLOOKUP(AJ820,'FRC Site Data'!$B$3:$L$42,9,FALSE)</f>
        <v>#N/A</v>
      </c>
      <c r="Y828" s="10" t="e">
        <f>VLOOKUP(AJ820,'FRC Site Data'!$B$3:$L$42,10,FALSE)</f>
        <v>#N/A</v>
      </c>
      <c r="Z828" s="10" t="e">
        <f>VLOOKUP(AJ820,'FRC Site Data'!$B$3:$L$42,11,FALSE)</f>
        <v>#N/A</v>
      </c>
      <c r="AA828" s="10" t="e">
        <f>VLOOKUP(AJ820,'CIR Team Info'!$C$5:$E$44,4,FALSE)</f>
        <v>#N/A</v>
      </c>
      <c r="AB828" s="161" t="b">
        <f>ISNUMBER(VLOOKUP(AJ820,Match!$T$5:$T$10,1,FALSE))</f>
        <v>0</v>
      </c>
      <c r="AC828" s="161" t="b">
        <f>IF(AB828=TRUE,(VLOOKUP($AJ820,Match!$T$5:$U$10,2,FALSE)))</f>
        <v>0</v>
      </c>
      <c r="AD828" s="8">
        <v>3</v>
      </c>
      <c r="AE828" s="8">
        <v>2</v>
      </c>
      <c r="AF828" s="8">
        <v>2</v>
      </c>
      <c r="AG828" s="8">
        <v>1</v>
      </c>
      <c r="AH828" s="8" t="str">
        <f t="shared" si="234"/>
        <v/>
      </c>
    </row>
    <row r="829" spans="1:34" x14ac:dyDescent="0.25">
      <c r="A829" s="29">
        <f t="shared" si="225"/>
        <v>0</v>
      </c>
      <c r="B829" s="29">
        <f t="shared" si="219"/>
        <v>0</v>
      </c>
      <c r="C829" s="29">
        <f t="shared" si="220"/>
        <v>0</v>
      </c>
      <c r="D829" s="29">
        <f t="shared" si="221"/>
        <v>0</v>
      </c>
      <c r="E829" s="29">
        <f t="shared" si="226"/>
        <v>0</v>
      </c>
      <c r="F829" s="29">
        <f t="shared" si="227"/>
        <v>0</v>
      </c>
      <c r="G829" s="29" t="str">
        <f t="shared" si="228"/>
        <v>offensive</v>
      </c>
      <c r="H829" s="16">
        <f t="shared" si="232"/>
        <v>0</v>
      </c>
      <c r="I829" s="16">
        <f t="shared" si="233"/>
        <v>0</v>
      </c>
      <c r="J829" s="16">
        <f t="shared" si="222"/>
        <v>0</v>
      </c>
      <c r="K829" s="16">
        <f t="shared" si="229"/>
        <v>0</v>
      </c>
      <c r="L829" s="67">
        <f t="shared" si="230"/>
        <v>0</v>
      </c>
      <c r="M829" s="4">
        <f t="shared" si="223"/>
        <v>0</v>
      </c>
      <c r="N829" s="4">
        <f t="shared" si="224"/>
        <v>0</v>
      </c>
      <c r="O829" s="4">
        <f t="shared" si="231"/>
        <v>0</v>
      </c>
      <c r="P829" s="4" t="e">
        <f>VLOOKUP(AJ821,'CIR Team Info'!$C$5:$E$44,2,FALSE)</f>
        <v>#N/A</v>
      </c>
      <c r="Q829" s="4" t="e">
        <f>VLOOKUP(AJ821,'CIR Team Info'!$C$5:$E$44,3,FALSE)</f>
        <v>#N/A</v>
      </c>
      <c r="R829" s="10" t="e">
        <f>VLOOKUP(AJ821,'FRC Site Data'!$B$3:$L$42,2,FALSE)</f>
        <v>#N/A</v>
      </c>
      <c r="S829" s="10" t="e">
        <f>VLOOKUP(AJ821,'FRC Site Data'!$B$3:$L$42,3,FALSE)</f>
        <v>#N/A</v>
      </c>
      <c r="T829" s="10" t="e">
        <f>VLOOKUP(AJ821,'FRC Site Data'!$B$3:$L$42,4,FALSE)</f>
        <v>#N/A</v>
      </c>
      <c r="U829" s="10" t="e">
        <f>VLOOKUP(AJ821,'FRC Site Data'!$B$3:$L$42,5,FALSE)</f>
        <v>#N/A</v>
      </c>
      <c r="V829" s="10" t="e">
        <f>VLOOKUP(AJ821,'FRC Site Data'!$B$3:$L$42,6,FALSE)</f>
        <v>#N/A</v>
      </c>
      <c r="W829" s="10" t="e">
        <f>VLOOKUP(AJ821,'FRC Site Data'!$B$3:$L$42,8,FALSE)</f>
        <v>#N/A</v>
      </c>
      <c r="X829" s="10" t="e">
        <f>VLOOKUP(AJ821,'FRC Site Data'!$B$3:$L$42,9,FALSE)</f>
        <v>#N/A</v>
      </c>
      <c r="Y829" s="10" t="e">
        <f>VLOOKUP(AJ821,'FRC Site Data'!$B$3:$L$42,10,FALSE)</f>
        <v>#N/A</v>
      </c>
      <c r="Z829" s="10" t="e">
        <f>VLOOKUP(AJ821,'FRC Site Data'!$B$3:$L$42,11,FALSE)</f>
        <v>#N/A</v>
      </c>
      <c r="AA829" s="10" t="e">
        <f>VLOOKUP(AJ821,'CIR Team Info'!$C$5:$E$44,4,FALSE)</f>
        <v>#N/A</v>
      </c>
      <c r="AB829" s="161" t="b">
        <f>ISNUMBER(VLOOKUP(AJ821,Match!$T$5:$T$10,1,FALSE))</f>
        <v>0</v>
      </c>
      <c r="AC829" s="161" t="b">
        <f>IF(AB829=TRUE,(VLOOKUP($AJ821,Match!$T$5:$U$10,2,FALSE)))</f>
        <v>0</v>
      </c>
      <c r="AD829" s="8">
        <v>3</v>
      </c>
      <c r="AE829" s="8">
        <v>2</v>
      </c>
      <c r="AF829" s="8">
        <v>2</v>
      </c>
      <c r="AG829" s="8">
        <v>1</v>
      </c>
      <c r="AH829" s="8" t="str">
        <f t="shared" si="234"/>
        <v/>
      </c>
    </row>
    <row r="830" spans="1:34" x14ac:dyDescent="0.25">
      <c r="A830" s="29">
        <f t="shared" si="225"/>
        <v>0</v>
      </c>
      <c r="B830" s="29">
        <f t="shared" si="219"/>
        <v>0</v>
      </c>
      <c r="C830" s="29">
        <f t="shared" si="220"/>
        <v>0</v>
      </c>
      <c r="D830" s="29">
        <f t="shared" si="221"/>
        <v>0</v>
      </c>
      <c r="E830" s="29">
        <f t="shared" si="226"/>
        <v>0</v>
      </c>
      <c r="F830" s="29">
        <f t="shared" si="227"/>
        <v>0</v>
      </c>
      <c r="G830" s="29" t="str">
        <f t="shared" si="228"/>
        <v>offensive</v>
      </c>
      <c r="H830" s="16">
        <f t="shared" si="232"/>
        <v>0</v>
      </c>
      <c r="I830" s="16">
        <f t="shared" si="233"/>
        <v>0</v>
      </c>
      <c r="J830" s="16">
        <f t="shared" si="222"/>
        <v>0</v>
      </c>
      <c r="K830" s="16">
        <f t="shared" si="229"/>
        <v>0</v>
      </c>
      <c r="L830" s="67">
        <f t="shared" si="230"/>
        <v>0</v>
      </c>
      <c r="M830" s="4">
        <f t="shared" si="223"/>
        <v>0</v>
      </c>
      <c r="N830" s="4">
        <f t="shared" si="224"/>
        <v>0</v>
      </c>
      <c r="O830" s="4">
        <f t="shared" si="231"/>
        <v>0</v>
      </c>
      <c r="P830" s="4" t="e">
        <f>VLOOKUP(AJ822,'CIR Team Info'!$C$5:$E$44,2,FALSE)</f>
        <v>#N/A</v>
      </c>
      <c r="Q830" s="4" t="e">
        <f>VLOOKUP(AJ822,'CIR Team Info'!$C$5:$E$44,3,FALSE)</f>
        <v>#N/A</v>
      </c>
      <c r="R830" s="10" t="e">
        <f>VLOOKUP(AJ822,'FRC Site Data'!$B$3:$L$42,2,FALSE)</f>
        <v>#N/A</v>
      </c>
      <c r="S830" s="10" t="e">
        <f>VLOOKUP(AJ822,'FRC Site Data'!$B$3:$L$42,3,FALSE)</f>
        <v>#N/A</v>
      </c>
      <c r="T830" s="10" t="e">
        <f>VLOOKUP(AJ822,'FRC Site Data'!$B$3:$L$42,4,FALSE)</f>
        <v>#N/A</v>
      </c>
      <c r="U830" s="10" t="e">
        <f>VLOOKUP(AJ822,'FRC Site Data'!$B$3:$L$42,5,FALSE)</f>
        <v>#N/A</v>
      </c>
      <c r="V830" s="10" t="e">
        <f>VLOOKUP(AJ822,'FRC Site Data'!$B$3:$L$42,6,FALSE)</f>
        <v>#N/A</v>
      </c>
      <c r="W830" s="10" t="e">
        <f>VLOOKUP(AJ822,'FRC Site Data'!$B$3:$L$42,8,FALSE)</f>
        <v>#N/A</v>
      </c>
      <c r="X830" s="10" t="e">
        <f>VLOOKUP(AJ822,'FRC Site Data'!$B$3:$L$42,9,FALSE)</f>
        <v>#N/A</v>
      </c>
      <c r="Y830" s="10" t="e">
        <f>VLOOKUP(AJ822,'FRC Site Data'!$B$3:$L$42,10,FALSE)</f>
        <v>#N/A</v>
      </c>
      <c r="Z830" s="10" t="e">
        <f>VLOOKUP(AJ822,'FRC Site Data'!$B$3:$L$42,11,FALSE)</f>
        <v>#N/A</v>
      </c>
      <c r="AA830" s="10" t="e">
        <f>VLOOKUP(AJ822,'CIR Team Info'!$C$5:$E$44,4,FALSE)</f>
        <v>#N/A</v>
      </c>
      <c r="AB830" s="161" t="b">
        <f>ISNUMBER(VLOOKUP(AJ822,Match!$T$5:$T$10,1,FALSE))</f>
        <v>0</v>
      </c>
      <c r="AC830" s="161" t="b">
        <f>IF(AB830=TRUE,(VLOOKUP($AJ822,Match!$T$5:$U$10,2,FALSE)))</f>
        <v>0</v>
      </c>
      <c r="AD830" s="8">
        <v>3</v>
      </c>
      <c r="AE830" s="8">
        <v>2</v>
      </c>
      <c r="AF830" s="8">
        <v>2</v>
      </c>
      <c r="AG830" s="8">
        <v>1</v>
      </c>
      <c r="AH830" s="8" t="str">
        <f t="shared" si="234"/>
        <v/>
      </c>
    </row>
    <row r="831" spans="1:34" x14ac:dyDescent="0.25">
      <c r="A831" s="29">
        <f t="shared" si="225"/>
        <v>0</v>
      </c>
      <c r="B831" s="29">
        <f t="shared" si="219"/>
        <v>0</v>
      </c>
      <c r="C831" s="29">
        <f t="shared" si="220"/>
        <v>0</v>
      </c>
      <c r="D831" s="29">
        <f t="shared" si="221"/>
        <v>0</v>
      </c>
      <c r="E831" s="29">
        <f t="shared" si="226"/>
        <v>0</v>
      </c>
      <c r="F831" s="29">
        <f t="shared" si="227"/>
        <v>0</v>
      </c>
      <c r="G831" s="29" t="str">
        <f t="shared" si="228"/>
        <v>offensive</v>
      </c>
      <c r="H831" s="16">
        <f t="shared" si="232"/>
        <v>0</v>
      </c>
      <c r="I831" s="16">
        <f t="shared" si="233"/>
        <v>0</v>
      </c>
      <c r="J831" s="16">
        <f t="shared" si="222"/>
        <v>0</v>
      </c>
      <c r="K831" s="16">
        <f t="shared" si="229"/>
        <v>0</v>
      </c>
      <c r="L831" s="67">
        <f t="shared" si="230"/>
        <v>0</v>
      </c>
      <c r="M831" s="4">
        <f t="shared" si="223"/>
        <v>0</v>
      </c>
      <c r="N831" s="4">
        <f t="shared" si="224"/>
        <v>0</v>
      </c>
      <c r="O831" s="4">
        <f t="shared" si="231"/>
        <v>0</v>
      </c>
      <c r="P831" s="4" t="e">
        <f>VLOOKUP(AJ823,'CIR Team Info'!$C$5:$E$44,2,FALSE)</f>
        <v>#N/A</v>
      </c>
      <c r="Q831" s="4" t="e">
        <f>VLOOKUP(AJ823,'CIR Team Info'!$C$5:$E$44,3,FALSE)</f>
        <v>#N/A</v>
      </c>
      <c r="R831" s="10" t="e">
        <f>VLOOKUP(AJ823,'FRC Site Data'!$B$3:$L$42,2,FALSE)</f>
        <v>#N/A</v>
      </c>
      <c r="S831" s="10" t="e">
        <f>VLOOKUP(AJ823,'FRC Site Data'!$B$3:$L$42,3,FALSE)</f>
        <v>#N/A</v>
      </c>
      <c r="T831" s="10" t="e">
        <f>VLOOKUP(AJ823,'FRC Site Data'!$B$3:$L$42,4,FALSE)</f>
        <v>#N/A</v>
      </c>
      <c r="U831" s="10" t="e">
        <f>VLOOKUP(AJ823,'FRC Site Data'!$B$3:$L$42,5,FALSE)</f>
        <v>#N/A</v>
      </c>
      <c r="V831" s="10" t="e">
        <f>VLOOKUP(AJ823,'FRC Site Data'!$B$3:$L$42,6,FALSE)</f>
        <v>#N/A</v>
      </c>
      <c r="W831" s="10" t="e">
        <f>VLOOKUP(AJ823,'FRC Site Data'!$B$3:$L$42,8,FALSE)</f>
        <v>#N/A</v>
      </c>
      <c r="X831" s="10" t="e">
        <f>VLOOKUP(AJ823,'FRC Site Data'!$B$3:$L$42,9,FALSE)</f>
        <v>#N/A</v>
      </c>
      <c r="Y831" s="10" t="e">
        <f>VLOOKUP(AJ823,'FRC Site Data'!$B$3:$L$42,10,FALSE)</f>
        <v>#N/A</v>
      </c>
      <c r="Z831" s="10" t="e">
        <f>VLOOKUP(AJ823,'FRC Site Data'!$B$3:$L$42,11,FALSE)</f>
        <v>#N/A</v>
      </c>
      <c r="AA831" s="10" t="e">
        <f>VLOOKUP(AJ823,'CIR Team Info'!$C$5:$E$44,4,FALSE)</f>
        <v>#N/A</v>
      </c>
      <c r="AB831" s="161" t="b">
        <f>ISNUMBER(VLOOKUP(AJ823,Match!$T$5:$T$10,1,FALSE))</f>
        <v>0</v>
      </c>
      <c r="AC831" s="161" t="b">
        <f>IF(AB831=TRUE,(VLOOKUP($AJ823,Match!$T$5:$U$10,2,FALSE)))</f>
        <v>0</v>
      </c>
      <c r="AD831" s="8">
        <v>3</v>
      </c>
      <c r="AE831" s="8">
        <v>2</v>
      </c>
      <c r="AF831" s="8">
        <v>2</v>
      </c>
      <c r="AG831" s="8">
        <v>1</v>
      </c>
      <c r="AH831" s="8" t="str">
        <f t="shared" si="234"/>
        <v/>
      </c>
    </row>
    <row r="832" spans="1:34" x14ac:dyDescent="0.25">
      <c r="A832" s="29">
        <f t="shared" si="225"/>
        <v>0</v>
      </c>
      <c r="B832" s="29">
        <f t="shared" si="219"/>
        <v>0</v>
      </c>
      <c r="C832" s="29">
        <f t="shared" si="220"/>
        <v>0</v>
      </c>
      <c r="D832" s="29">
        <f t="shared" si="221"/>
        <v>0</v>
      </c>
      <c r="E832" s="29">
        <f t="shared" si="226"/>
        <v>0</v>
      </c>
      <c r="F832" s="29">
        <f t="shared" si="227"/>
        <v>0</v>
      </c>
      <c r="G832" s="29" t="str">
        <f t="shared" si="228"/>
        <v>offensive</v>
      </c>
      <c r="H832" s="16">
        <f t="shared" si="232"/>
        <v>0</v>
      </c>
      <c r="I832" s="16">
        <f t="shared" si="233"/>
        <v>0</v>
      </c>
      <c r="J832" s="16">
        <f t="shared" si="222"/>
        <v>0</v>
      </c>
      <c r="K832" s="16">
        <f t="shared" si="229"/>
        <v>0</v>
      </c>
      <c r="L832" s="67">
        <f t="shared" si="230"/>
        <v>0</v>
      </c>
      <c r="M832" s="4">
        <f t="shared" si="223"/>
        <v>0</v>
      </c>
      <c r="N832" s="4">
        <f t="shared" si="224"/>
        <v>0</v>
      </c>
      <c r="O832" s="4">
        <f t="shared" si="231"/>
        <v>0</v>
      </c>
      <c r="P832" s="4" t="e">
        <f>VLOOKUP(AJ824,'CIR Team Info'!$C$5:$E$44,2,FALSE)</f>
        <v>#N/A</v>
      </c>
      <c r="Q832" s="4" t="e">
        <f>VLOOKUP(AJ824,'CIR Team Info'!$C$5:$E$44,3,FALSE)</f>
        <v>#N/A</v>
      </c>
      <c r="R832" s="10" t="e">
        <f>VLOOKUP(AJ824,'FRC Site Data'!$B$3:$L$42,2,FALSE)</f>
        <v>#N/A</v>
      </c>
      <c r="S832" s="10" t="e">
        <f>VLOOKUP(AJ824,'FRC Site Data'!$B$3:$L$42,3,FALSE)</f>
        <v>#N/A</v>
      </c>
      <c r="T832" s="10" t="e">
        <f>VLOOKUP(AJ824,'FRC Site Data'!$B$3:$L$42,4,FALSE)</f>
        <v>#N/A</v>
      </c>
      <c r="U832" s="10" t="e">
        <f>VLOOKUP(AJ824,'FRC Site Data'!$B$3:$L$42,5,FALSE)</f>
        <v>#N/A</v>
      </c>
      <c r="V832" s="10" t="e">
        <f>VLOOKUP(AJ824,'FRC Site Data'!$B$3:$L$42,6,FALSE)</f>
        <v>#N/A</v>
      </c>
      <c r="W832" s="10" t="e">
        <f>VLOOKUP(AJ824,'FRC Site Data'!$B$3:$L$42,8,FALSE)</f>
        <v>#N/A</v>
      </c>
      <c r="X832" s="10" t="e">
        <f>VLOOKUP(AJ824,'FRC Site Data'!$B$3:$L$42,9,FALSE)</f>
        <v>#N/A</v>
      </c>
      <c r="Y832" s="10" t="e">
        <f>VLOOKUP(AJ824,'FRC Site Data'!$B$3:$L$42,10,FALSE)</f>
        <v>#N/A</v>
      </c>
      <c r="Z832" s="10" t="e">
        <f>VLOOKUP(AJ824,'FRC Site Data'!$B$3:$L$42,11,FALSE)</f>
        <v>#N/A</v>
      </c>
      <c r="AA832" s="10" t="e">
        <f>VLOOKUP(AJ824,'CIR Team Info'!$C$5:$E$44,4,FALSE)</f>
        <v>#N/A</v>
      </c>
      <c r="AB832" s="161" t="b">
        <f>ISNUMBER(VLOOKUP(AJ824,Match!$T$5:$T$10,1,FALSE))</f>
        <v>0</v>
      </c>
      <c r="AC832" s="161" t="b">
        <f>IF(AB832=TRUE,(VLOOKUP($AJ824,Match!$T$5:$U$10,2,FALSE)))</f>
        <v>0</v>
      </c>
      <c r="AD832" s="8">
        <v>3</v>
      </c>
      <c r="AE832" s="8">
        <v>2</v>
      </c>
      <c r="AF832" s="8">
        <v>2</v>
      </c>
      <c r="AG832" s="8">
        <v>1</v>
      </c>
      <c r="AH832" s="8" t="str">
        <f t="shared" si="234"/>
        <v/>
      </c>
    </row>
    <row r="833" spans="1:34" x14ac:dyDescent="0.25">
      <c r="A833" s="29">
        <f t="shared" si="225"/>
        <v>0</v>
      </c>
      <c r="B833" s="29">
        <f t="shared" si="219"/>
        <v>0</v>
      </c>
      <c r="C833" s="29">
        <f t="shared" si="220"/>
        <v>0</v>
      </c>
      <c r="D833" s="29">
        <f t="shared" si="221"/>
        <v>0</v>
      </c>
      <c r="E833" s="29">
        <f t="shared" si="226"/>
        <v>0</v>
      </c>
      <c r="F833" s="29">
        <f t="shared" si="227"/>
        <v>0</v>
      </c>
      <c r="G833" s="29" t="str">
        <f t="shared" si="228"/>
        <v>offensive</v>
      </c>
      <c r="H833" s="16">
        <f t="shared" si="232"/>
        <v>0</v>
      </c>
      <c r="I833" s="16">
        <f t="shared" si="233"/>
        <v>0</v>
      </c>
      <c r="J833" s="16">
        <f t="shared" si="222"/>
        <v>0</v>
      </c>
      <c r="K833" s="16">
        <f t="shared" si="229"/>
        <v>0</v>
      </c>
      <c r="L833" s="67">
        <f t="shared" si="230"/>
        <v>0</v>
      </c>
      <c r="M833" s="4">
        <f t="shared" si="223"/>
        <v>0</v>
      </c>
      <c r="N833" s="4">
        <f t="shared" si="224"/>
        <v>0</v>
      </c>
      <c r="O833" s="4">
        <f t="shared" si="231"/>
        <v>0</v>
      </c>
      <c r="P833" s="4" t="e">
        <f>VLOOKUP(AJ825,'CIR Team Info'!$C$5:$E$44,2,FALSE)</f>
        <v>#N/A</v>
      </c>
      <c r="Q833" s="4" t="e">
        <f>VLOOKUP(AJ825,'CIR Team Info'!$C$5:$E$44,3,FALSE)</f>
        <v>#N/A</v>
      </c>
      <c r="R833" s="10" t="e">
        <f>VLOOKUP(AJ825,'FRC Site Data'!$B$3:$L$42,2,FALSE)</f>
        <v>#N/A</v>
      </c>
      <c r="S833" s="10" t="e">
        <f>VLOOKUP(AJ825,'FRC Site Data'!$B$3:$L$42,3,FALSE)</f>
        <v>#N/A</v>
      </c>
      <c r="T833" s="10" t="e">
        <f>VLOOKUP(AJ825,'FRC Site Data'!$B$3:$L$42,4,FALSE)</f>
        <v>#N/A</v>
      </c>
      <c r="U833" s="10" t="e">
        <f>VLOOKUP(AJ825,'FRC Site Data'!$B$3:$L$42,5,FALSE)</f>
        <v>#N/A</v>
      </c>
      <c r="V833" s="10" t="e">
        <f>VLOOKUP(AJ825,'FRC Site Data'!$B$3:$L$42,6,FALSE)</f>
        <v>#N/A</v>
      </c>
      <c r="W833" s="10" t="e">
        <f>VLOOKUP(AJ825,'FRC Site Data'!$B$3:$L$42,8,FALSE)</f>
        <v>#N/A</v>
      </c>
      <c r="X833" s="10" t="e">
        <f>VLOOKUP(AJ825,'FRC Site Data'!$B$3:$L$42,9,FALSE)</f>
        <v>#N/A</v>
      </c>
      <c r="Y833" s="10" t="e">
        <f>VLOOKUP(AJ825,'FRC Site Data'!$B$3:$L$42,10,FALSE)</f>
        <v>#N/A</v>
      </c>
      <c r="Z833" s="10" t="e">
        <f>VLOOKUP(AJ825,'FRC Site Data'!$B$3:$L$42,11,FALSE)</f>
        <v>#N/A</v>
      </c>
      <c r="AA833" s="10" t="e">
        <f>VLOOKUP(AJ825,'CIR Team Info'!$C$5:$E$44,4,FALSE)</f>
        <v>#N/A</v>
      </c>
      <c r="AB833" s="161" t="b">
        <f>ISNUMBER(VLOOKUP(AJ825,Match!$T$5:$T$10,1,FALSE))</f>
        <v>0</v>
      </c>
      <c r="AC833" s="161" t="b">
        <f>IF(AB833=TRUE,(VLOOKUP($AJ825,Match!$T$5:$U$10,2,FALSE)))</f>
        <v>0</v>
      </c>
      <c r="AD833" s="8">
        <v>3</v>
      </c>
      <c r="AE833" s="8">
        <v>2</v>
      </c>
      <c r="AF833" s="8">
        <v>2</v>
      </c>
      <c r="AG833" s="8">
        <v>1</v>
      </c>
      <c r="AH833" s="8" t="str">
        <f t="shared" si="234"/>
        <v/>
      </c>
    </row>
    <row r="834" spans="1:34" x14ac:dyDescent="0.25">
      <c r="A834" s="29">
        <f t="shared" si="225"/>
        <v>0</v>
      </c>
      <c r="B834" s="29">
        <f t="shared" si="219"/>
        <v>0</v>
      </c>
      <c r="C834" s="29">
        <f t="shared" si="220"/>
        <v>0</v>
      </c>
      <c r="D834" s="29">
        <f t="shared" si="221"/>
        <v>0</v>
      </c>
      <c r="E834" s="29">
        <f t="shared" si="226"/>
        <v>0</v>
      </c>
      <c r="F834" s="29">
        <f t="shared" si="227"/>
        <v>0</v>
      </c>
      <c r="G834" s="29" t="str">
        <f t="shared" si="228"/>
        <v>offensive</v>
      </c>
      <c r="H834" s="16">
        <f t="shared" si="232"/>
        <v>0</v>
      </c>
      <c r="I834" s="16">
        <f t="shared" si="233"/>
        <v>0</v>
      </c>
      <c r="J834" s="16">
        <f t="shared" si="222"/>
        <v>0</v>
      </c>
      <c r="K834" s="16">
        <f t="shared" si="229"/>
        <v>0</v>
      </c>
      <c r="L834" s="67">
        <f t="shared" si="230"/>
        <v>0</v>
      </c>
      <c r="M834" s="4">
        <f t="shared" si="223"/>
        <v>0</v>
      </c>
      <c r="N834" s="4">
        <f t="shared" si="224"/>
        <v>0</v>
      </c>
      <c r="O834" s="4">
        <f t="shared" si="231"/>
        <v>0</v>
      </c>
      <c r="P834" s="4" t="e">
        <f>VLOOKUP(AJ826,'CIR Team Info'!$C$5:$E$44,2,FALSE)</f>
        <v>#N/A</v>
      </c>
      <c r="Q834" s="4" t="e">
        <f>VLOOKUP(AJ826,'CIR Team Info'!$C$5:$E$44,3,FALSE)</f>
        <v>#N/A</v>
      </c>
      <c r="R834" s="10" t="e">
        <f>VLOOKUP(AJ826,'FRC Site Data'!$B$3:$L$42,2,FALSE)</f>
        <v>#N/A</v>
      </c>
      <c r="S834" s="10" t="e">
        <f>VLOOKUP(AJ826,'FRC Site Data'!$B$3:$L$42,3,FALSE)</f>
        <v>#N/A</v>
      </c>
      <c r="T834" s="10" t="e">
        <f>VLOOKUP(AJ826,'FRC Site Data'!$B$3:$L$42,4,FALSE)</f>
        <v>#N/A</v>
      </c>
      <c r="U834" s="10" t="e">
        <f>VLOOKUP(AJ826,'FRC Site Data'!$B$3:$L$42,5,FALSE)</f>
        <v>#N/A</v>
      </c>
      <c r="V834" s="10" t="e">
        <f>VLOOKUP(AJ826,'FRC Site Data'!$B$3:$L$42,6,FALSE)</f>
        <v>#N/A</v>
      </c>
      <c r="W834" s="10" t="e">
        <f>VLOOKUP(AJ826,'FRC Site Data'!$B$3:$L$42,8,FALSE)</f>
        <v>#N/A</v>
      </c>
      <c r="X834" s="10" t="e">
        <f>VLOOKUP(AJ826,'FRC Site Data'!$B$3:$L$42,9,FALSE)</f>
        <v>#N/A</v>
      </c>
      <c r="Y834" s="10" t="e">
        <f>VLOOKUP(AJ826,'FRC Site Data'!$B$3:$L$42,10,FALSE)</f>
        <v>#N/A</v>
      </c>
      <c r="Z834" s="10" t="e">
        <f>VLOOKUP(AJ826,'FRC Site Data'!$B$3:$L$42,11,FALSE)</f>
        <v>#N/A</v>
      </c>
      <c r="AA834" s="10" t="e">
        <f>VLOOKUP(AJ826,'CIR Team Info'!$C$5:$E$44,4,FALSE)</f>
        <v>#N/A</v>
      </c>
      <c r="AB834" s="161" t="b">
        <f>ISNUMBER(VLOOKUP(AJ826,Match!$T$5:$T$10,1,FALSE))</f>
        <v>0</v>
      </c>
      <c r="AC834" s="161" t="b">
        <f>IF(AB834=TRUE,(VLOOKUP($AJ826,Match!$T$5:$U$10,2,FALSE)))</f>
        <v>0</v>
      </c>
      <c r="AD834" s="8">
        <v>3</v>
      </c>
      <c r="AE834" s="8">
        <v>2</v>
      </c>
      <c r="AF834" s="8">
        <v>2</v>
      </c>
      <c r="AG834" s="8">
        <v>1</v>
      </c>
      <c r="AH834" s="8" t="str">
        <f t="shared" si="234"/>
        <v/>
      </c>
    </row>
    <row r="835" spans="1:34" x14ac:dyDescent="0.25">
      <c r="A835" s="29">
        <f t="shared" si="225"/>
        <v>0</v>
      </c>
      <c r="B835" s="29">
        <f t="shared" si="219"/>
        <v>0</v>
      </c>
      <c r="C835" s="29">
        <f t="shared" si="220"/>
        <v>0</v>
      </c>
      <c r="D835" s="29">
        <f t="shared" si="221"/>
        <v>0</v>
      </c>
      <c r="E835" s="29">
        <f t="shared" si="226"/>
        <v>0</v>
      </c>
      <c r="F835" s="29">
        <f t="shared" si="227"/>
        <v>0</v>
      </c>
      <c r="G835" s="29" t="str">
        <f t="shared" si="228"/>
        <v>offensive</v>
      </c>
      <c r="H835" s="16">
        <f t="shared" si="232"/>
        <v>0</v>
      </c>
      <c r="I835" s="16">
        <f t="shared" si="233"/>
        <v>0</v>
      </c>
      <c r="J835" s="16">
        <f t="shared" si="222"/>
        <v>0</v>
      </c>
      <c r="K835" s="16">
        <f t="shared" si="229"/>
        <v>0</v>
      </c>
      <c r="L835" s="67">
        <f t="shared" si="230"/>
        <v>0</v>
      </c>
      <c r="M835" s="4">
        <f t="shared" si="223"/>
        <v>0</v>
      </c>
      <c r="N835" s="4">
        <f t="shared" si="224"/>
        <v>0</v>
      </c>
      <c r="O835" s="4">
        <f t="shared" si="231"/>
        <v>0</v>
      </c>
      <c r="P835" s="4" t="e">
        <f>VLOOKUP(AJ827,'CIR Team Info'!$C$5:$E$44,2,FALSE)</f>
        <v>#N/A</v>
      </c>
      <c r="Q835" s="4" t="e">
        <f>VLOOKUP(AJ827,'CIR Team Info'!$C$5:$E$44,3,FALSE)</f>
        <v>#N/A</v>
      </c>
      <c r="R835" s="10" t="e">
        <f>VLOOKUP(AJ827,'FRC Site Data'!$B$3:$L$42,2,FALSE)</f>
        <v>#N/A</v>
      </c>
      <c r="S835" s="10" t="e">
        <f>VLOOKUP(AJ827,'FRC Site Data'!$B$3:$L$42,3,FALSE)</f>
        <v>#N/A</v>
      </c>
      <c r="T835" s="10" t="e">
        <f>VLOOKUP(AJ827,'FRC Site Data'!$B$3:$L$42,4,FALSE)</f>
        <v>#N/A</v>
      </c>
      <c r="U835" s="10" t="e">
        <f>VLOOKUP(AJ827,'FRC Site Data'!$B$3:$L$42,5,FALSE)</f>
        <v>#N/A</v>
      </c>
      <c r="V835" s="10" t="e">
        <f>VLOOKUP(AJ827,'FRC Site Data'!$B$3:$L$42,6,FALSE)</f>
        <v>#N/A</v>
      </c>
      <c r="W835" s="10" t="e">
        <f>VLOOKUP(AJ827,'FRC Site Data'!$B$3:$L$42,8,FALSE)</f>
        <v>#N/A</v>
      </c>
      <c r="X835" s="10" t="e">
        <f>VLOOKUP(AJ827,'FRC Site Data'!$B$3:$L$42,9,FALSE)</f>
        <v>#N/A</v>
      </c>
      <c r="Y835" s="10" t="e">
        <f>VLOOKUP(AJ827,'FRC Site Data'!$B$3:$L$42,10,FALSE)</f>
        <v>#N/A</v>
      </c>
      <c r="Z835" s="10" t="e">
        <f>VLOOKUP(AJ827,'FRC Site Data'!$B$3:$L$42,11,FALSE)</f>
        <v>#N/A</v>
      </c>
      <c r="AA835" s="10" t="e">
        <f>VLOOKUP(AJ827,'CIR Team Info'!$C$5:$E$44,4,FALSE)</f>
        <v>#N/A</v>
      </c>
      <c r="AB835" s="161" t="b">
        <f>ISNUMBER(VLOOKUP(AJ827,Match!$T$5:$T$10,1,FALSE))</f>
        <v>0</v>
      </c>
      <c r="AC835" s="161" t="b">
        <f>IF(AB835=TRUE,(VLOOKUP($AJ827,Match!$T$5:$U$10,2,FALSE)))</f>
        <v>0</v>
      </c>
      <c r="AD835" s="8">
        <v>3</v>
      </c>
      <c r="AE835" s="8">
        <v>2</v>
      </c>
      <c r="AF835" s="8">
        <v>2</v>
      </c>
      <c r="AG835" s="8">
        <v>1</v>
      </c>
      <c r="AH835" s="8" t="str">
        <f t="shared" si="234"/>
        <v/>
      </c>
    </row>
    <row r="836" spans="1:34" x14ac:dyDescent="0.25">
      <c r="A836" s="29">
        <f t="shared" si="225"/>
        <v>0</v>
      </c>
      <c r="B836" s="29">
        <f t="shared" si="219"/>
        <v>0</v>
      </c>
      <c r="C836" s="29">
        <f t="shared" si="220"/>
        <v>0</v>
      </c>
      <c r="D836" s="29">
        <f t="shared" si="221"/>
        <v>0</v>
      </c>
      <c r="E836" s="29">
        <f t="shared" si="226"/>
        <v>0</v>
      </c>
      <c r="F836" s="29">
        <f t="shared" si="227"/>
        <v>0</v>
      </c>
      <c r="G836" s="29" t="str">
        <f t="shared" si="228"/>
        <v>offensive</v>
      </c>
      <c r="H836" s="16">
        <f t="shared" si="232"/>
        <v>0</v>
      </c>
      <c r="I836" s="16">
        <f t="shared" si="233"/>
        <v>0</v>
      </c>
      <c r="J836" s="16">
        <f t="shared" si="222"/>
        <v>0</v>
      </c>
      <c r="K836" s="16">
        <f t="shared" si="229"/>
        <v>0</v>
      </c>
      <c r="L836" s="67">
        <f t="shared" si="230"/>
        <v>0</v>
      </c>
      <c r="M836" s="4">
        <f t="shared" si="223"/>
        <v>0</v>
      </c>
      <c r="N836" s="4">
        <f t="shared" si="224"/>
        <v>0</v>
      </c>
      <c r="O836" s="4">
        <f t="shared" si="231"/>
        <v>0</v>
      </c>
      <c r="P836" s="4" t="e">
        <f>VLOOKUP(AJ828,'CIR Team Info'!$C$5:$E$44,2,FALSE)</f>
        <v>#N/A</v>
      </c>
      <c r="Q836" s="4" t="e">
        <f>VLOOKUP(AJ828,'CIR Team Info'!$C$5:$E$44,3,FALSE)</f>
        <v>#N/A</v>
      </c>
      <c r="R836" s="10" t="e">
        <f>VLOOKUP(AJ828,'FRC Site Data'!$B$3:$L$42,2,FALSE)</f>
        <v>#N/A</v>
      </c>
      <c r="S836" s="10" t="e">
        <f>VLOOKUP(AJ828,'FRC Site Data'!$B$3:$L$42,3,FALSE)</f>
        <v>#N/A</v>
      </c>
      <c r="T836" s="10" t="e">
        <f>VLOOKUP(AJ828,'FRC Site Data'!$B$3:$L$42,4,FALSE)</f>
        <v>#N/A</v>
      </c>
      <c r="U836" s="10" t="e">
        <f>VLOOKUP(AJ828,'FRC Site Data'!$B$3:$L$42,5,FALSE)</f>
        <v>#N/A</v>
      </c>
      <c r="V836" s="10" t="e">
        <f>VLOOKUP(AJ828,'FRC Site Data'!$B$3:$L$42,6,FALSE)</f>
        <v>#N/A</v>
      </c>
      <c r="W836" s="10" t="e">
        <f>VLOOKUP(AJ828,'FRC Site Data'!$B$3:$L$42,8,FALSE)</f>
        <v>#N/A</v>
      </c>
      <c r="X836" s="10" t="e">
        <f>VLOOKUP(AJ828,'FRC Site Data'!$B$3:$L$42,9,FALSE)</f>
        <v>#N/A</v>
      </c>
      <c r="Y836" s="10" t="e">
        <f>VLOOKUP(AJ828,'FRC Site Data'!$B$3:$L$42,10,FALSE)</f>
        <v>#N/A</v>
      </c>
      <c r="Z836" s="10" t="e">
        <f>VLOOKUP(AJ828,'FRC Site Data'!$B$3:$L$42,11,FALSE)</f>
        <v>#N/A</v>
      </c>
      <c r="AA836" s="10" t="e">
        <f>VLOOKUP(AJ828,'CIR Team Info'!$C$5:$E$44,4,FALSE)</f>
        <v>#N/A</v>
      </c>
      <c r="AB836" s="161" t="b">
        <f>ISNUMBER(VLOOKUP(AJ828,Match!$T$5:$T$10,1,FALSE))</f>
        <v>0</v>
      </c>
      <c r="AC836" s="161" t="b">
        <f>IF(AB836=TRUE,(VLOOKUP($AJ828,Match!$T$5:$U$10,2,FALSE)))</f>
        <v>0</v>
      </c>
      <c r="AD836" s="8">
        <v>3</v>
      </c>
      <c r="AE836" s="8">
        <v>2</v>
      </c>
      <c r="AF836" s="8">
        <v>2</v>
      </c>
      <c r="AG836" s="8">
        <v>1</v>
      </c>
      <c r="AH836" s="8" t="str">
        <f t="shared" si="234"/>
        <v/>
      </c>
    </row>
    <row r="837" spans="1:34" x14ac:dyDescent="0.25">
      <c r="A837" s="29">
        <f t="shared" si="225"/>
        <v>0</v>
      </c>
      <c r="B837" s="29">
        <f t="shared" si="219"/>
        <v>0</v>
      </c>
      <c r="C837" s="29">
        <f t="shared" si="220"/>
        <v>0</v>
      </c>
      <c r="D837" s="29">
        <f t="shared" si="221"/>
        <v>0</v>
      </c>
      <c r="E837" s="29">
        <f t="shared" si="226"/>
        <v>0</v>
      </c>
      <c r="F837" s="29">
        <f t="shared" si="227"/>
        <v>0</v>
      </c>
      <c r="G837" s="29" t="str">
        <f t="shared" si="228"/>
        <v>offensive</v>
      </c>
      <c r="H837" s="16">
        <f t="shared" si="232"/>
        <v>0</v>
      </c>
      <c r="I837" s="16">
        <f t="shared" si="233"/>
        <v>0</v>
      </c>
      <c r="J837" s="16">
        <f t="shared" si="222"/>
        <v>0</v>
      </c>
      <c r="K837" s="16">
        <f t="shared" si="229"/>
        <v>0</v>
      </c>
      <c r="L837" s="67">
        <f t="shared" si="230"/>
        <v>0</v>
      </c>
      <c r="M837" s="4">
        <f t="shared" si="223"/>
        <v>0</v>
      </c>
      <c r="N837" s="4">
        <f t="shared" si="224"/>
        <v>0</v>
      </c>
      <c r="O837" s="4">
        <f t="shared" si="231"/>
        <v>0</v>
      </c>
      <c r="P837" s="4" t="e">
        <f>VLOOKUP(AJ829,'CIR Team Info'!$C$5:$E$44,2,FALSE)</f>
        <v>#N/A</v>
      </c>
      <c r="Q837" s="4" t="e">
        <f>VLOOKUP(AJ829,'CIR Team Info'!$C$5:$E$44,3,FALSE)</f>
        <v>#N/A</v>
      </c>
      <c r="R837" s="10" t="e">
        <f>VLOOKUP(AJ829,'FRC Site Data'!$B$3:$L$42,2,FALSE)</f>
        <v>#N/A</v>
      </c>
      <c r="S837" s="10" t="e">
        <f>VLOOKUP(AJ829,'FRC Site Data'!$B$3:$L$42,3,FALSE)</f>
        <v>#N/A</v>
      </c>
      <c r="T837" s="10" t="e">
        <f>VLOOKUP(AJ829,'FRC Site Data'!$B$3:$L$42,4,FALSE)</f>
        <v>#N/A</v>
      </c>
      <c r="U837" s="10" t="e">
        <f>VLOOKUP(AJ829,'FRC Site Data'!$B$3:$L$42,5,FALSE)</f>
        <v>#N/A</v>
      </c>
      <c r="V837" s="10" t="e">
        <f>VLOOKUP(AJ829,'FRC Site Data'!$B$3:$L$42,6,FALSE)</f>
        <v>#N/A</v>
      </c>
      <c r="W837" s="10" t="e">
        <f>VLOOKUP(AJ829,'FRC Site Data'!$B$3:$L$42,8,FALSE)</f>
        <v>#N/A</v>
      </c>
      <c r="X837" s="10" t="e">
        <f>VLOOKUP(AJ829,'FRC Site Data'!$B$3:$L$42,9,FALSE)</f>
        <v>#N/A</v>
      </c>
      <c r="Y837" s="10" t="e">
        <f>VLOOKUP(AJ829,'FRC Site Data'!$B$3:$L$42,10,FALSE)</f>
        <v>#N/A</v>
      </c>
      <c r="Z837" s="10" t="e">
        <f>VLOOKUP(AJ829,'FRC Site Data'!$B$3:$L$42,11,FALSE)</f>
        <v>#N/A</v>
      </c>
      <c r="AA837" s="10" t="e">
        <f>VLOOKUP(AJ829,'CIR Team Info'!$C$5:$E$44,4,FALSE)</f>
        <v>#N/A</v>
      </c>
      <c r="AB837" s="161" t="b">
        <f>ISNUMBER(VLOOKUP(AJ829,Match!$T$5:$T$10,1,FALSE))</f>
        <v>0</v>
      </c>
      <c r="AC837" s="161" t="b">
        <f>IF(AB837=TRUE,(VLOOKUP($AJ829,Match!$T$5:$U$10,2,FALSE)))</f>
        <v>0</v>
      </c>
      <c r="AD837" s="8">
        <v>3</v>
      </c>
      <c r="AE837" s="8">
        <v>2</v>
      </c>
      <c r="AF837" s="8">
        <v>2</v>
      </c>
      <c r="AG837" s="8">
        <v>1</v>
      </c>
      <c r="AH837" s="8" t="str">
        <f t="shared" si="234"/>
        <v/>
      </c>
    </row>
    <row r="838" spans="1:34" x14ac:dyDescent="0.25">
      <c r="A838" s="29">
        <f t="shared" si="225"/>
        <v>0</v>
      </c>
      <c r="B838" s="29">
        <f t="shared" ref="B838:B901" si="235">H838*AD838*AO830</f>
        <v>0</v>
      </c>
      <c r="C838" s="29">
        <f t="shared" ref="C838:C901" si="236">I838*AE838*AV830</f>
        <v>0</v>
      </c>
      <c r="D838" s="29">
        <f t="shared" ref="D838:D901" si="237">J838*AF838*BF830</f>
        <v>0</v>
      </c>
      <c r="E838" s="29">
        <f t="shared" si="226"/>
        <v>0</v>
      </c>
      <c r="F838" s="29">
        <f t="shared" si="227"/>
        <v>0</v>
      </c>
      <c r="G838" s="29" t="str">
        <f t="shared" si="228"/>
        <v>offensive</v>
      </c>
      <c r="H838" s="16">
        <f t="shared" si="232"/>
        <v>0</v>
      </c>
      <c r="I838" s="16">
        <f t="shared" si="233"/>
        <v>0</v>
      </c>
      <c r="J838" s="16">
        <f t="shared" ref="J838:J901" si="238">IF(L838=0,0,BG830/L838)</f>
        <v>0</v>
      </c>
      <c r="K838" s="16">
        <f t="shared" si="229"/>
        <v>0</v>
      </c>
      <c r="L838" s="67">
        <f t="shared" si="230"/>
        <v>0</v>
      </c>
      <c r="M838" s="4">
        <f t="shared" ref="M838:M901" si="239">AO830+AV830+BD830+O838</f>
        <v>0</v>
      </c>
      <c r="N838" s="4">
        <f t="shared" si="224"/>
        <v>0</v>
      </c>
      <c r="O838" s="4">
        <f t="shared" si="231"/>
        <v>0</v>
      </c>
      <c r="P838" s="4" t="e">
        <f>VLOOKUP(AJ830,'CIR Team Info'!$C$5:$E$44,2,FALSE)</f>
        <v>#N/A</v>
      </c>
      <c r="Q838" s="4" t="e">
        <f>VLOOKUP(AJ830,'CIR Team Info'!$C$5:$E$44,3,FALSE)</f>
        <v>#N/A</v>
      </c>
      <c r="R838" s="10" t="e">
        <f>VLOOKUP(AJ830,'FRC Site Data'!$B$3:$L$42,2,FALSE)</f>
        <v>#N/A</v>
      </c>
      <c r="S838" s="10" t="e">
        <f>VLOOKUP(AJ830,'FRC Site Data'!$B$3:$L$42,3,FALSE)</f>
        <v>#N/A</v>
      </c>
      <c r="T838" s="10" t="e">
        <f>VLOOKUP(AJ830,'FRC Site Data'!$B$3:$L$42,4,FALSE)</f>
        <v>#N/A</v>
      </c>
      <c r="U838" s="10" t="e">
        <f>VLOOKUP(AJ830,'FRC Site Data'!$B$3:$L$42,5,FALSE)</f>
        <v>#N/A</v>
      </c>
      <c r="V838" s="10" t="e">
        <f>VLOOKUP(AJ830,'FRC Site Data'!$B$3:$L$42,6,FALSE)</f>
        <v>#N/A</v>
      </c>
      <c r="W838" s="10" t="e">
        <f>VLOOKUP(AJ830,'FRC Site Data'!$B$3:$L$42,8,FALSE)</f>
        <v>#N/A</v>
      </c>
      <c r="X838" s="10" t="e">
        <f>VLOOKUP(AJ830,'FRC Site Data'!$B$3:$L$42,9,FALSE)</f>
        <v>#N/A</v>
      </c>
      <c r="Y838" s="10" t="e">
        <f>VLOOKUP(AJ830,'FRC Site Data'!$B$3:$L$42,10,FALSE)</f>
        <v>#N/A</v>
      </c>
      <c r="Z838" s="10" t="e">
        <f>VLOOKUP(AJ830,'FRC Site Data'!$B$3:$L$42,11,FALSE)</f>
        <v>#N/A</v>
      </c>
      <c r="AA838" s="10" t="e">
        <f>VLOOKUP(AJ830,'CIR Team Info'!$C$5:$E$44,4,FALSE)</f>
        <v>#N/A</v>
      </c>
      <c r="AB838" s="161" t="b">
        <f>ISNUMBER(VLOOKUP(AJ830,Match!$T$5:$T$10,1,FALSE))</f>
        <v>0</v>
      </c>
      <c r="AC838" s="161" t="b">
        <f>IF(AB838=TRUE,(VLOOKUP($AJ830,Match!$T$5:$U$10,2,FALSE)))</f>
        <v>0</v>
      </c>
      <c r="AD838" s="8">
        <v>3</v>
      </c>
      <c r="AE838" s="8">
        <v>2</v>
      </c>
      <c r="AF838" s="8">
        <v>2</v>
      </c>
      <c r="AG838" s="8">
        <v>1</v>
      </c>
      <c r="AH838" s="8" t="str">
        <f t="shared" si="234"/>
        <v/>
      </c>
    </row>
    <row r="839" spans="1:34" x14ac:dyDescent="0.25">
      <c r="A839" s="29">
        <f t="shared" si="225"/>
        <v>0</v>
      </c>
      <c r="B839" s="29">
        <f t="shared" si="235"/>
        <v>0</v>
      </c>
      <c r="C839" s="29">
        <f t="shared" si="236"/>
        <v>0</v>
      </c>
      <c r="D839" s="29">
        <f t="shared" si="237"/>
        <v>0</v>
      </c>
      <c r="E839" s="29">
        <f t="shared" si="226"/>
        <v>0</v>
      </c>
      <c r="F839" s="29">
        <f t="shared" si="227"/>
        <v>0</v>
      </c>
      <c r="G839" s="29" t="str">
        <f t="shared" si="228"/>
        <v>offensive</v>
      </c>
      <c r="H839" s="16">
        <f t="shared" si="232"/>
        <v>0</v>
      </c>
      <c r="I839" s="16">
        <f t="shared" si="233"/>
        <v>0</v>
      </c>
      <c r="J839" s="16">
        <f t="shared" si="238"/>
        <v>0</v>
      </c>
      <c r="K839" s="16">
        <f t="shared" si="229"/>
        <v>0</v>
      </c>
      <c r="L839" s="67">
        <f t="shared" si="230"/>
        <v>0</v>
      </c>
      <c r="M839" s="4">
        <f t="shared" si="239"/>
        <v>0</v>
      </c>
      <c r="N839" s="4">
        <f t="shared" ref="N839:N902" si="240">AO831+AV831+BD831</f>
        <v>0</v>
      </c>
      <c r="O839" s="4">
        <f t="shared" si="231"/>
        <v>0</v>
      </c>
      <c r="P839" s="4" t="e">
        <f>VLOOKUP(AJ831,'CIR Team Info'!$C$5:$E$44,2,FALSE)</f>
        <v>#N/A</v>
      </c>
      <c r="Q839" s="4" t="e">
        <f>VLOOKUP(AJ831,'CIR Team Info'!$C$5:$E$44,3,FALSE)</f>
        <v>#N/A</v>
      </c>
      <c r="R839" s="10" t="e">
        <f>VLOOKUP(AJ831,'FRC Site Data'!$B$3:$L$42,2,FALSE)</f>
        <v>#N/A</v>
      </c>
      <c r="S839" s="10" t="e">
        <f>VLOOKUP(AJ831,'FRC Site Data'!$B$3:$L$42,3,FALSE)</f>
        <v>#N/A</v>
      </c>
      <c r="T839" s="10" t="e">
        <f>VLOOKUP(AJ831,'FRC Site Data'!$B$3:$L$42,4,FALSE)</f>
        <v>#N/A</v>
      </c>
      <c r="U839" s="10" t="e">
        <f>VLOOKUP(AJ831,'FRC Site Data'!$B$3:$L$42,5,FALSE)</f>
        <v>#N/A</v>
      </c>
      <c r="V839" s="10" t="e">
        <f>VLOOKUP(AJ831,'FRC Site Data'!$B$3:$L$42,6,FALSE)</f>
        <v>#N/A</v>
      </c>
      <c r="W839" s="10" t="e">
        <f>VLOOKUP(AJ831,'FRC Site Data'!$B$3:$L$42,8,FALSE)</f>
        <v>#N/A</v>
      </c>
      <c r="X839" s="10" t="e">
        <f>VLOOKUP(AJ831,'FRC Site Data'!$B$3:$L$42,9,FALSE)</f>
        <v>#N/A</v>
      </c>
      <c r="Y839" s="10" t="e">
        <f>VLOOKUP(AJ831,'FRC Site Data'!$B$3:$L$42,10,FALSE)</f>
        <v>#N/A</v>
      </c>
      <c r="Z839" s="10" t="e">
        <f>VLOOKUP(AJ831,'FRC Site Data'!$B$3:$L$42,11,FALSE)</f>
        <v>#N/A</v>
      </c>
      <c r="AA839" s="10" t="e">
        <f>VLOOKUP(AJ831,'CIR Team Info'!$C$5:$E$44,4,FALSE)</f>
        <v>#N/A</v>
      </c>
      <c r="AB839" s="161" t="b">
        <f>ISNUMBER(VLOOKUP(AJ831,Match!$T$5:$T$10,1,FALSE))</f>
        <v>0</v>
      </c>
      <c r="AC839" s="161" t="b">
        <f>IF(AB839=TRUE,(VLOOKUP($AJ831,Match!$T$5:$U$10,2,FALSE)))</f>
        <v>0</v>
      </c>
      <c r="AD839" s="8">
        <v>3</v>
      </c>
      <c r="AE839" s="8">
        <v>2</v>
      </c>
      <c r="AF839" s="8">
        <v>2</v>
      </c>
      <c r="AG839" s="8">
        <v>1</v>
      </c>
      <c r="AH839" s="8" t="str">
        <f t="shared" si="234"/>
        <v/>
      </c>
    </row>
    <row r="840" spans="1:34" x14ac:dyDescent="0.25">
      <c r="A840" s="29">
        <f t="shared" ref="A840:A903" si="241">SUM(B840:F840)</f>
        <v>0</v>
      </c>
      <c r="B840" s="29">
        <f t="shared" si="235"/>
        <v>0</v>
      </c>
      <c r="C840" s="29">
        <f t="shared" si="236"/>
        <v>0</v>
      </c>
      <c r="D840" s="29">
        <f t="shared" si="237"/>
        <v>0</v>
      </c>
      <c r="E840" s="29">
        <f t="shared" ref="E840:E903" si="242">K840*O840</f>
        <v>0</v>
      </c>
      <c r="F840" s="29">
        <f t="shared" ref="F840:F903" si="243">IF(AN832&gt;0,5)-2*COUNTIF(AQ832,"K")+5*COUNTIF(AS832,"T")+IF(AX832=3,2)+IF(AY832="T",2)</f>
        <v>0</v>
      </c>
      <c r="G840" s="29" t="str">
        <f t="shared" ref="G840:G903" si="244">IF((BB832+BC832)&gt;45,"defensive",IF((BB832+BC832)&gt;15,"both","offensive"))</f>
        <v>offensive</v>
      </c>
      <c r="H840" s="16">
        <f t="shared" si="232"/>
        <v>0</v>
      </c>
      <c r="I840" s="16">
        <f t="shared" si="233"/>
        <v>0</v>
      </c>
      <c r="J840" s="16">
        <f t="shared" si="238"/>
        <v>0</v>
      </c>
      <c r="K840" s="16">
        <f t="shared" ref="K840:K903" si="245">IF((BB832+BC832)=0,0,((AZ832*BB832*0.2)+(BA832*BC832*0.3))/(BB832+BC832))</f>
        <v>0</v>
      </c>
      <c r="L840" s="67">
        <f t="shared" ref="L840:L903" si="246">IF(BF832&gt;BG832,BF832,BG832)</f>
        <v>0</v>
      </c>
      <c r="M840" s="4">
        <f t="shared" si="239"/>
        <v>0</v>
      </c>
      <c r="N840" s="4">
        <f t="shared" si="240"/>
        <v>0</v>
      </c>
      <c r="O840" s="4">
        <f t="shared" ref="O840:O903" si="247">(AZ832*0.2*BB832*30/30)+(BA832*0.3*BC832*12/30)-BI832-BJ832</f>
        <v>0</v>
      </c>
      <c r="P840" s="4" t="e">
        <f>VLOOKUP(AJ832,'CIR Team Info'!$C$5:$E$44,2,FALSE)</f>
        <v>#N/A</v>
      </c>
      <c r="Q840" s="4" t="e">
        <f>VLOOKUP(AJ832,'CIR Team Info'!$C$5:$E$44,3,FALSE)</f>
        <v>#N/A</v>
      </c>
      <c r="R840" s="10" t="e">
        <f>VLOOKUP(AJ832,'FRC Site Data'!$B$3:$L$42,2,FALSE)</f>
        <v>#N/A</v>
      </c>
      <c r="S840" s="10" t="e">
        <f>VLOOKUP(AJ832,'FRC Site Data'!$B$3:$L$42,3,FALSE)</f>
        <v>#N/A</v>
      </c>
      <c r="T840" s="10" t="e">
        <f>VLOOKUP(AJ832,'FRC Site Data'!$B$3:$L$42,4,FALSE)</f>
        <v>#N/A</v>
      </c>
      <c r="U840" s="10" t="e">
        <f>VLOOKUP(AJ832,'FRC Site Data'!$B$3:$L$42,5,FALSE)</f>
        <v>#N/A</v>
      </c>
      <c r="V840" s="10" t="e">
        <f>VLOOKUP(AJ832,'FRC Site Data'!$B$3:$L$42,6,FALSE)</f>
        <v>#N/A</v>
      </c>
      <c r="W840" s="10" t="e">
        <f>VLOOKUP(AJ832,'FRC Site Data'!$B$3:$L$42,8,FALSE)</f>
        <v>#N/A</v>
      </c>
      <c r="X840" s="10" t="e">
        <f>VLOOKUP(AJ832,'FRC Site Data'!$B$3:$L$42,9,FALSE)</f>
        <v>#N/A</v>
      </c>
      <c r="Y840" s="10" t="e">
        <f>VLOOKUP(AJ832,'FRC Site Data'!$B$3:$L$42,10,FALSE)</f>
        <v>#N/A</v>
      </c>
      <c r="Z840" s="10" t="e">
        <f>VLOOKUP(AJ832,'FRC Site Data'!$B$3:$L$42,11,FALSE)</f>
        <v>#N/A</v>
      </c>
      <c r="AA840" s="10" t="e">
        <f>VLOOKUP(AJ832,'CIR Team Info'!$C$5:$E$44,4,FALSE)</f>
        <v>#N/A</v>
      </c>
      <c r="AB840" s="161" t="b">
        <f>ISNUMBER(VLOOKUP(AJ832,Match!$T$5:$T$10,1,FALSE))</f>
        <v>0</v>
      </c>
      <c r="AC840" s="161" t="b">
        <f>IF(AB840=TRUE,(VLOOKUP($AJ832,Match!$T$5:$U$10,2,FALSE)))</f>
        <v>0</v>
      </c>
      <c r="AD840" s="8">
        <v>3</v>
      </c>
      <c r="AE840" s="8">
        <v>2</v>
      </c>
      <c r="AF840" s="8">
        <v>2</v>
      </c>
      <c r="AG840" s="8">
        <v>1</v>
      </c>
      <c r="AH840" s="8" t="str">
        <f t="shared" si="234"/>
        <v/>
      </c>
    </row>
    <row r="841" spans="1:34" x14ac:dyDescent="0.25">
      <c r="A841" s="29">
        <f t="shared" si="241"/>
        <v>0</v>
      </c>
      <c r="B841" s="29">
        <f t="shared" si="235"/>
        <v>0</v>
      </c>
      <c r="C841" s="29">
        <f t="shared" si="236"/>
        <v>0</v>
      </c>
      <c r="D841" s="29">
        <f t="shared" si="237"/>
        <v>0</v>
      </c>
      <c r="E841" s="29">
        <f t="shared" si="242"/>
        <v>0</v>
      </c>
      <c r="F841" s="29">
        <f t="shared" si="243"/>
        <v>0</v>
      </c>
      <c r="G841" s="29" t="str">
        <f t="shared" si="244"/>
        <v>offensive</v>
      </c>
      <c r="H841" s="16">
        <f t="shared" si="232"/>
        <v>0</v>
      </c>
      <c r="I841" s="16">
        <f t="shared" si="233"/>
        <v>0</v>
      </c>
      <c r="J841" s="16">
        <f t="shared" si="238"/>
        <v>0</v>
      </c>
      <c r="K841" s="16">
        <f t="shared" si="245"/>
        <v>0</v>
      </c>
      <c r="L841" s="67">
        <f t="shared" si="246"/>
        <v>0</v>
      </c>
      <c r="M841" s="4">
        <f t="shared" si="239"/>
        <v>0</v>
      </c>
      <c r="N841" s="4">
        <f t="shared" si="240"/>
        <v>0</v>
      </c>
      <c r="O841" s="4">
        <f t="shared" si="247"/>
        <v>0</v>
      </c>
      <c r="P841" s="4" t="e">
        <f>VLOOKUP(AJ833,'CIR Team Info'!$C$5:$E$44,2,FALSE)</f>
        <v>#N/A</v>
      </c>
      <c r="Q841" s="4" t="e">
        <f>VLOOKUP(AJ833,'CIR Team Info'!$C$5:$E$44,3,FALSE)</f>
        <v>#N/A</v>
      </c>
      <c r="R841" s="10" t="e">
        <f>VLOOKUP(AJ833,'FRC Site Data'!$B$3:$L$42,2,FALSE)</f>
        <v>#N/A</v>
      </c>
      <c r="S841" s="10" t="e">
        <f>VLOOKUP(AJ833,'FRC Site Data'!$B$3:$L$42,3,FALSE)</f>
        <v>#N/A</v>
      </c>
      <c r="T841" s="10" t="e">
        <f>VLOOKUP(AJ833,'FRC Site Data'!$B$3:$L$42,4,FALSE)</f>
        <v>#N/A</v>
      </c>
      <c r="U841" s="10" t="e">
        <f>VLOOKUP(AJ833,'FRC Site Data'!$B$3:$L$42,5,FALSE)</f>
        <v>#N/A</v>
      </c>
      <c r="V841" s="10" t="e">
        <f>VLOOKUP(AJ833,'FRC Site Data'!$B$3:$L$42,6,FALSE)</f>
        <v>#N/A</v>
      </c>
      <c r="W841" s="10" t="e">
        <f>VLOOKUP(AJ833,'FRC Site Data'!$B$3:$L$42,8,FALSE)</f>
        <v>#N/A</v>
      </c>
      <c r="X841" s="10" t="e">
        <f>VLOOKUP(AJ833,'FRC Site Data'!$B$3:$L$42,9,FALSE)</f>
        <v>#N/A</v>
      </c>
      <c r="Y841" s="10" t="e">
        <f>VLOOKUP(AJ833,'FRC Site Data'!$B$3:$L$42,10,FALSE)</f>
        <v>#N/A</v>
      </c>
      <c r="Z841" s="10" t="e">
        <f>VLOOKUP(AJ833,'FRC Site Data'!$B$3:$L$42,11,FALSE)</f>
        <v>#N/A</v>
      </c>
      <c r="AA841" s="10" t="e">
        <f>VLOOKUP(AJ833,'CIR Team Info'!$C$5:$E$44,4,FALSE)</f>
        <v>#N/A</v>
      </c>
      <c r="AB841" s="161" t="b">
        <f>ISNUMBER(VLOOKUP(AJ833,Match!$T$5:$T$10,1,FALSE))</f>
        <v>0</v>
      </c>
      <c r="AC841" s="161" t="b">
        <f>IF(AB841=TRUE,(VLOOKUP($AJ833,Match!$T$5:$U$10,2,FALSE)))</f>
        <v>0</v>
      </c>
      <c r="AD841" s="8">
        <v>3</v>
      </c>
      <c r="AE841" s="8">
        <v>2</v>
      </c>
      <c r="AF841" s="8">
        <v>2</v>
      </c>
      <c r="AG841" s="8">
        <v>1</v>
      </c>
      <c r="AH841" s="8" t="str">
        <f t="shared" si="234"/>
        <v/>
      </c>
    </row>
    <row r="842" spans="1:34" x14ac:dyDescent="0.25">
      <c r="A842" s="29">
        <f t="shared" si="241"/>
        <v>0</v>
      </c>
      <c r="B842" s="29">
        <f t="shared" si="235"/>
        <v>0</v>
      </c>
      <c r="C842" s="29">
        <f t="shared" si="236"/>
        <v>0</v>
      </c>
      <c r="D842" s="29">
        <f t="shared" si="237"/>
        <v>0</v>
      </c>
      <c r="E842" s="29">
        <f t="shared" si="242"/>
        <v>0</v>
      </c>
      <c r="F842" s="29">
        <f t="shared" si="243"/>
        <v>0</v>
      </c>
      <c r="G842" s="29" t="str">
        <f t="shared" si="244"/>
        <v>offensive</v>
      </c>
      <c r="H842" s="16">
        <f t="shared" si="232"/>
        <v>0</v>
      </c>
      <c r="I842" s="16">
        <f t="shared" si="233"/>
        <v>0</v>
      </c>
      <c r="J842" s="16">
        <f t="shared" si="238"/>
        <v>0</v>
      </c>
      <c r="K842" s="16">
        <f t="shared" si="245"/>
        <v>0</v>
      </c>
      <c r="L842" s="67">
        <f t="shared" si="246"/>
        <v>0</v>
      </c>
      <c r="M842" s="4">
        <f t="shared" si="239"/>
        <v>0</v>
      </c>
      <c r="N842" s="4">
        <f t="shared" si="240"/>
        <v>0</v>
      </c>
      <c r="O842" s="4">
        <f t="shared" si="247"/>
        <v>0</v>
      </c>
      <c r="P842" s="4" t="e">
        <f>VLOOKUP(AJ834,'CIR Team Info'!$C$5:$E$44,2,FALSE)</f>
        <v>#N/A</v>
      </c>
      <c r="Q842" s="4" t="e">
        <f>VLOOKUP(AJ834,'CIR Team Info'!$C$5:$E$44,3,FALSE)</f>
        <v>#N/A</v>
      </c>
      <c r="R842" s="10" t="e">
        <f>VLOOKUP(AJ834,'FRC Site Data'!$B$3:$L$42,2,FALSE)</f>
        <v>#N/A</v>
      </c>
      <c r="S842" s="10" t="e">
        <f>VLOOKUP(AJ834,'FRC Site Data'!$B$3:$L$42,3,FALSE)</f>
        <v>#N/A</v>
      </c>
      <c r="T842" s="10" t="e">
        <f>VLOOKUP(AJ834,'FRC Site Data'!$B$3:$L$42,4,FALSE)</f>
        <v>#N/A</v>
      </c>
      <c r="U842" s="10" t="e">
        <f>VLOOKUP(AJ834,'FRC Site Data'!$B$3:$L$42,5,FALSE)</f>
        <v>#N/A</v>
      </c>
      <c r="V842" s="10" t="e">
        <f>VLOOKUP(AJ834,'FRC Site Data'!$B$3:$L$42,6,FALSE)</f>
        <v>#N/A</v>
      </c>
      <c r="W842" s="10" t="e">
        <f>VLOOKUP(AJ834,'FRC Site Data'!$B$3:$L$42,8,FALSE)</f>
        <v>#N/A</v>
      </c>
      <c r="X842" s="10" t="e">
        <f>VLOOKUP(AJ834,'FRC Site Data'!$B$3:$L$42,9,FALSE)</f>
        <v>#N/A</v>
      </c>
      <c r="Y842" s="10" t="e">
        <f>VLOOKUP(AJ834,'FRC Site Data'!$B$3:$L$42,10,FALSE)</f>
        <v>#N/A</v>
      </c>
      <c r="Z842" s="10" t="e">
        <f>VLOOKUP(AJ834,'FRC Site Data'!$B$3:$L$42,11,FALSE)</f>
        <v>#N/A</v>
      </c>
      <c r="AA842" s="10" t="e">
        <f>VLOOKUP(AJ834,'CIR Team Info'!$C$5:$E$44,4,FALSE)</f>
        <v>#N/A</v>
      </c>
      <c r="AB842" s="161" t="b">
        <f>ISNUMBER(VLOOKUP(AJ834,Match!$T$5:$T$10,1,FALSE))</f>
        <v>0</v>
      </c>
      <c r="AC842" s="161" t="b">
        <f>IF(AB842=TRUE,(VLOOKUP($AJ834,Match!$T$5:$U$10,2,FALSE)))</f>
        <v>0</v>
      </c>
      <c r="AD842" s="8">
        <v>3</v>
      </c>
      <c r="AE842" s="8">
        <v>2</v>
      </c>
      <c r="AF842" s="8">
        <v>2</v>
      </c>
      <c r="AG842" s="8">
        <v>1</v>
      </c>
      <c r="AH842" s="8" t="str">
        <f t="shared" si="234"/>
        <v/>
      </c>
    </row>
    <row r="843" spans="1:34" x14ac:dyDescent="0.25">
      <c r="A843" s="29">
        <f t="shared" si="241"/>
        <v>0</v>
      </c>
      <c r="B843" s="29">
        <f t="shared" si="235"/>
        <v>0</v>
      </c>
      <c r="C843" s="29">
        <f t="shared" si="236"/>
        <v>0</v>
      </c>
      <c r="D843" s="29">
        <f t="shared" si="237"/>
        <v>0</v>
      </c>
      <c r="E843" s="29">
        <f t="shared" si="242"/>
        <v>0</v>
      </c>
      <c r="F843" s="29">
        <f t="shared" si="243"/>
        <v>0</v>
      </c>
      <c r="G843" s="29" t="str">
        <f t="shared" si="244"/>
        <v>offensive</v>
      </c>
      <c r="H843" s="16">
        <f t="shared" si="232"/>
        <v>0</v>
      </c>
      <c r="I843" s="16">
        <f t="shared" si="233"/>
        <v>0</v>
      </c>
      <c r="J843" s="16">
        <f t="shared" si="238"/>
        <v>0</v>
      </c>
      <c r="K843" s="16">
        <f t="shared" si="245"/>
        <v>0</v>
      </c>
      <c r="L843" s="67">
        <f t="shared" si="246"/>
        <v>0</v>
      </c>
      <c r="M843" s="4">
        <f t="shared" si="239"/>
        <v>0</v>
      </c>
      <c r="N843" s="4">
        <f t="shared" si="240"/>
        <v>0</v>
      </c>
      <c r="O843" s="4">
        <f t="shared" si="247"/>
        <v>0</v>
      </c>
      <c r="P843" s="4" t="e">
        <f>VLOOKUP(AJ835,'CIR Team Info'!$C$5:$E$44,2,FALSE)</f>
        <v>#N/A</v>
      </c>
      <c r="Q843" s="4" t="e">
        <f>VLOOKUP(AJ835,'CIR Team Info'!$C$5:$E$44,3,FALSE)</f>
        <v>#N/A</v>
      </c>
      <c r="R843" s="10" t="e">
        <f>VLOOKUP(AJ835,'FRC Site Data'!$B$3:$L$42,2,FALSE)</f>
        <v>#N/A</v>
      </c>
      <c r="S843" s="10" t="e">
        <f>VLOOKUP(AJ835,'FRC Site Data'!$B$3:$L$42,3,FALSE)</f>
        <v>#N/A</v>
      </c>
      <c r="T843" s="10" t="e">
        <f>VLOOKUP(AJ835,'FRC Site Data'!$B$3:$L$42,4,FALSE)</f>
        <v>#N/A</v>
      </c>
      <c r="U843" s="10" t="e">
        <f>VLOOKUP(AJ835,'FRC Site Data'!$B$3:$L$42,5,FALSE)</f>
        <v>#N/A</v>
      </c>
      <c r="V843" s="10" t="e">
        <f>VLOOKUP(AJ835,'FRC Site Data'!$B$3:$L$42,6,FALSE)</f>
        <v>#N/A</v>
      </c>
      <c r="W843" s="10" t="e">
        <f>VLOOKUP(AJ835,'FRC Site Data'!$B$3:$L$42,8,FALSE)</f>
        <v>#N/A</v>
      </c>
      <c r="X843" s="10" t="e">
        <f>VLOOKUP(AJ835,'FRC Site Data'!$B$3:$L$42,9,FALSE)</f>
        <v>#N/A</v>
      </c>
      <c r="Y843" s="10" t="e">
        <f>VLOOKUP(AJ835,'FRC Site Data'!$B$3:$L$42,10,FALSE)</f>
        <v>#N/A</v>
      </c>
      <c r="Z843" s="10" t="e">
        <f>VLOOKUP(AJ835,'FRC Site Data'!$B$3:$L$42,11,FALSE)</f>
        <v>#N/A</v>
      </c>
      <c r="AA843" s="10" t="e">
        <f>VLOOKUP(AJ835,'CIR Team Info'!$C$5:$E$44,4,FALSE)</f>
        <v>#N/A</v>
      </c>
      <c r="AB843" s="161" t="b">
        <f>ISNUMBER(VLOOKUP(AJ835,Match!$T$5:$T$10,1,FALSE))</f>
        <v>0</v>
      </c>
      <c r="AC843" s="161" t="b">
        <f>IF(AB843=TRUE,(VLOOKUP($AJ835,Match!$T$5:$U$10,2,FALSE)))</f>
        <v>0</v>
      </c>
      <c r="AD843" s="8">
        <v>3</v>
      </c>
      <c r="AE843" s="8">
        <v>2</v>
      </c>
      <c r="AF843" s="8">
        <v>2</v>
      </c>
      <c r="AG843" s="8">
        <v>1</v>
      </c>
      <c r="AH843" s="8" t="str">
        <f t="shared" si="234"/>
        <v/>
      </c>
    </row>
    <row r="844" spans="1:34" x14ac:dyDescent="0.25">
      <c r="A844" s="29">
        <f t="shared" si="241"/>
        <v>0</v>
      </c>
      <c r="B844" s="29">
        <f t="shared" si="235"/>
        <v>0</v>
      </c>
      <c r="C844" s="29">
        <f t="shared" si="236"/>
        <v>0</v>
      </c>
      <c r="D844" s="29">
        <f t="shared" si="237"/>
        <v>0</v>
      </c>
      <c r="E844" s="29">
        <f t="shared" si="242"/>
        <v>0</v>
      </c>
      <c r="F844" s="29">
        <f t="shared" si="243"/>
        <v>0</v>
      </c>
      <c r="G844" s="29" t="str">
        <f t="shared" si="244"/>
        <v>offensive</v>
      </c>
      <c r="H844" s="16">
        <f t="shared" si="232"/>
        <v>0</v>
      </c>
      <c r="I844" s="16">
        <f t="shared" si="233"/>
        <v>0</v>
      </c>
      <c r="J844" s="16">
        <f t="shared" si="238"/>
        <v>0</v>
      </c>
      <c r="K844" s="16">
        <f t="shared" si="245"/>
        <v>0</v>
      </c>
      <c r="L844" s="67">
        <f t="shared" si="246"/>
        <v>0</v>
      </c>
      <c r="M844" s="4">
        <f t="shared" si="239"/>
        <v>0</v>
      </c>
      <c r="N844" s="4">
        <f t="shared" si="240"/>
        <v>0</v>
      </c>
      <c r="O844" s="4">
        <f t="shared" si="247"/>
        <v>0</v>
      </c>
      <c r="P844" s="4" t="e">
        <f>VLOOKUP(AJ836,'CIR Team Info'!$C$5:$E$44,2,FALSE)</f>
        <v>#N/A</v>
      </c>
      <c r="Q844" s="4" t="e">
        <f>VLOOKUP(AJ836,'CIR Team Info'!$C$5:$E$44,3,FALSE)</f>
        <v>#N/A</v>
      </c>
      <c r="R844" s="10" t="e">
        <f>VLOOKUP(AJ836,'FRC Site Data'!$B$3:$L$42,2,FALSE)</f>
        <v>#N/A</v>
      </c>
      <c r="S844" s="10" t="e">
        <f>VLOOKUP(AJ836,'FRC Site Data'!$B$3:$L$42,3,FALSE)</f>
        <v>#N/A</v>
      </c>
      <c r="T844" s="10" t="e">
        <f>VLOOKUP(AJ836,'FRC Site Data'!$B$3:$L$42,4,FALSE)</f>
        <v>#N/A</v>
      </c>
      <c r="U844" s="10" t="e">
        <f>VLOOKUP(AJ836,'FRC Site Data'!$B$3:$L$42,5,FALSE)</f>
        <v>#N/A</v>
      </c>
      <c r="V844" s="10" t="e">
        <f>VLOOKUP(AJ836,'FRC Site Data'!$B$3:$L$42,6,FALSE)</f>
        <v>#N/A</v>
      </c>
      <c r="W844" s="10" t="e">
        <f>VLOOKUP(AJ836,'FRC Site Data'!$B$3:$L$42,8,FALSE)</f>
        <v>#N/A</v>
      </c>
      <c r="X844" s="10" t="e">
        <f>VLOOKUP(AJ836,'FRC Site Data'!$B$3:$L$42,9,FALSE)</f>
        <v>#N/A</v>
      </c>
      <c r="Y844" s="10" t="e">
        <f>VLOOKUP(AJ836,'FRC Site Data'!$B$3:$L$42,10,FALSE)</f>
        <v>#N/A</v>
      </c>
      <c r="Z844" s="10" t="e">
        <f>VLOOKUP(AJ836,'FRC Site Data'!$B$3:$L$42,11,FALSE)</f>
        <v>#N/A</v>
      </c>
      <c r="AA844" s="10" t="e">
        <f>VLOOKUP(AJ836,'CIR Team Info'!$C$5:$E$44,4,FALSE)</f>
        <v>#N/A</v>
      </c>
      <c r="AB844" s="161" t="b">
        <f>ISNUMBER(VLOOKUP(AJ836,Match!$T$5:$T$10,1,FALSE))</f>
        <v>0</v>
      </c>
      <c r="AC844" s="161" t="b">
        <f>IF(AB844=TRUE,(VLOOKUP($AJ836,Match!$T$5:$U$10,2,FALSE)))</f>
        <v>0</v>
      </c>
      <c r="AD844" s="8">
        <v>3</v>
      </c>
      <c r="AE844" s="8">
        <v>2</v>
      </c>
      <c r="AF844" s="8">
        <v>2</v>
      </c>
      <c r="AG844" s="8">
        <v>1</v>
      </c>
      <c r="AH844" s="8" t="str">
        <f t="shared" si="234"/>
        <v/>
      </c>
    </row>
    <row r="845" spans="1:34" x14ac:dyDescent="0.25">
      <c r="A845" s="29">
        <f t="shared" si="241"/>
        <v>0</v>
      </c>
      <c r="B845" s="29">
        <f t="shared" si="235"/>
        <v>0</v>
      </c>
      <c r="C845" s="29">
        <f t="shared" si="236"/>
        <v>0</v>
      </c>
      <c r="D845" s="29">
        <f t="shared" si="237"/>
        <v>0</v>
      </c>
      <c r="E845" s="29">
        <f t="shared" si="242"/>
        <v>0</v>
      </c>
      <c r="F845" s="29">
        <f t="shared" si="243"/>
        <v>0</v>
      </c>
      <c r="G845" s="29" t="str">
        <f t="shared" si="244"/>
        <v>offensive</v>
      </c>
      <c r="H845" s="16">
        <f t="shared" si="232"/>
        <v>0</v>
      </c>
      <c r="I845" s="16">
        <f t="shared" si="233"/>
        <v>0</v>
      </c>
      <c r="J845" s="16">
        <f t="shared" si="238"/>
        <v>0</v>
      </c>
      <c r="K845" s="16">
        <f t="shared" si="245"/>
        <v>0</v>
      </c>
      <c r="L845" s="67">
        <f t="shared" si="246"/>
        <v>0</v>
      </c>
      <c r="M845" s="4">
        <f t="shared" si="239"/>
        <v>0</v>
      </c>
      <c r="N845" s="4">
        <f t="shared" si="240"/>
        <v>0</v>
      </c>
      <c r="O845" s="4">
        <f t="shared" si="247"/>
        <v>0</v>
      </c>
      <c r="P845" s="4" t="e">
        <f>VLOOKUP(AJ837,'CIR Team Info'!$C$5:$E$44,2,FALSE)</f>
        <v>#N/A</v>
      </c>
      <c r="Q845" s="4" t="e">
        <f>VLOOKUP(AJ837,'CIR Team Info'!$C$5:$E$44,3,FALSE)</f>
        <v>#N/A</v>
      </c>
      <c r="R845" s="10" t="e">
        <f>VLOOKUP(AJ837,'FRC Site Data'!$B$3:$L$42,2,FALSE)</f>
        <v>#N/A</v>
      </c>
      <c r="S845" s="10" t="e">
        <f>VLOOKUP(AJ837,'FRC Site Data'!$B$3:$L$42,3,FALSE)</f>
        <v>#N/A</v>
      </c>
      <c r="T845" s="10" t="e">
        <f>VLOOKUP(AJ837,'FRC Site Data'!$B$3:$L$42,4,FALSE)</f>
        <v>#N/A</v>
      </c>
      <c r="U845" s="10" t="e">
        <f>VLOOKUP(AJ837,'FRC Site Data'!$B$3:$L$42,5,FALSE)</f>
        <v>#N/A</v>
      </c>
      <c r="V845" s="10" t="e">
        <f>VLOOKUP(AJ837,'FRC Site Data'!$B$3:$L$42,6,FALSE)</f>
        <v>#N/A</v>
      </c>
      <c r="W845" s="10" t="e">
        <f>VLOOKUP(AJ837,'FRC Site Data'!$B$3:$L$42,8,FALSE)</f>
        <v>#N/A</v>
      </c>
      <c r="X845" s="10" t="e">
        <f>VLOOKUP(AJ837,'FRC Site Data'!$B$3:$L$42,9,FALSE)</f>
        <v>#N/A</v>
      </c>
      <c r="Y845" s="10" t="e">
        <f>VLOOKUP(AJ837,'FRC Site Data'!$B$3:$L$42,10,FALSE)</f>
        <v>#N/A</v>
      </c>
      <c r="Z845" s="10" t="e">
        <f>VLOOKUP(AJ837,'FRC Site Data'!$B$3:$L$42,11,FALSE)</f>
        <v>#N/A</v>
      </c>
      <c r="AA845" s="10" t="e">
        <f>VLOOKUP(AJ837,'CIR Team Info'!$C$5:$E$44,4,FALSE)</f>
        <v>#N/A</v>
      </c>
      <c r="AB845" s="161" t="b">
        <f>ISNUMBER(VLOOKUP(AJ837,Match!$T$5:$T$10,1,FALSE))</f>
        <v>0</v>
      </c>
      <c r="AC845" s="161" t="b">
        <f>IF(AB845=TRUE,(VLOOKUP($AJ837,Match!$T$5:$U$10,2,FALSE)))</f>
        <v>0</v>
      </c>
      <c r="AD845" s="8">
        <v>3</v>
      </c>
      <c r="AE845" s="8">
        <v>2</v>
      </c>
      <c r="AF845" s="8">
        <v>2</v>
      </c>
      <c r="AG845" s="8">
        <v>1</v>
      </c>
      <c r="AH845" s="8" t="str">
        <f t="shared" si="234"/>
        <v/>
      </c>
    </row>
    <row r="846" spans="1:34" x14ac:dyDescent="0.25">
      <c r="A846" s="29">
        <f t="shared" si="241"/>
        <v>0</v>
      </c>
      <c r="B846" s="29">
        <f t="shared" si="235"/>
        <v>0</v>
      </c>
      <c r="C846" s="29">
        <f t="shared" si="236"/>
        <v>0</v>
      </c>
      <c r="D846" s="29">
        <f t="shared" si="237"/>
        <v>0</v>
      </c>
      <c r="E846" s="29">
        <f t="shared" si="242"/>
        <v>0</v>
      </c>
      <c r="F846" s="29">
        <f t="shared" si="243"/>
        <v>0</v>
      </c>
      <c r="G846" s="29" t="str">
        <f t="shared" si="244"/>
        <v>offensive</v>
      </c>
      <c r="H846" s="16">
        <f t="shared" si="232"/>
        <v>0</v>
      </c>
      <c r="I846" s="16">
        <f t="shared" si="233"/>
        <v>0</v>
      </c>
      <c r="J846" s="16">
        <f t="shared" si="238"/>
        <v>0</v>
      </c>
      <c r="K846" s="16">
        <f t="shared" si="245"/>
        <v>0</v>
      </c>
      <c r="L846" s="67">
        <f t="shared" si="246"/>
        <v>0</v>
      </c>
      <c r="M846" s="4">
        <f t="shared" si="239"/>
        <v>0</v>
      </c>
      <c r="N846" s="4">
        <f t="shared" si="240"/>
        <v>0</v>
      </c>
      <c r="O846" s="4">
        <f t="shared" si="247"/>
        <v>0</v>
      </c>
      <c r="P846" s="4" t="e">
        <f>VLOOKUP(AJ838,'CIR Team Info'!$C$5:$E$44,2,FALSE)</f>
        <v>#N/A</v>
      </c>
      <c r="Q846" s="4" t="e">
        <f>VLOOKUP(AJ838,'CIR Team Info'!$C$5:$E$44,3,FALSE)</f>
        <v>#N/A</v>
      </c>
      <c r="R846" s="10" t="e">
        <f>VLOOKUP(AJ838,'FRC Site Data'!$B$3:$L$42,2,FALSE)</f>
        <v>#N/A</v>
      </c>
      <c r="S846" s="10" t="e">
        <f>VLOOKUP(AJ838,'FRC Site Data'!$B$3:$L$42,3,FALSE)</f>
        <v>#N/A</v>
      </c>
      <c r="T846" s="10" t="e">
        <f>VLOOKUP(AJ838,'FRC Site Data'!$B$3:$L$42,4,FALSE)</f>
        <v>#N/A</v>
      </c>
      <c r="U846" s="10" t="e">
        <f>VLOOKUP(AJ838,'FRC Site Data'!$B$3:$L$42,5,FALSE)</f>
        <v>#N/A</v>
      </c>
      <c r="V846" s="10" t="e">
        <f>VLOOKUP(AJ838,'FRC Site Data'!$B$3:$L$42,6,FALSE)</f>
        <v>#N/A</v>
      </c>
      <c r="W846" s="10" t="e">
        <f>VLOOKUP(AJ838,'FRC Site Data'!$B$3:$L$42,8,FALSE)</f>
        <v>#N/A</v>
      </c>
      <c r="X846" s="10" t="e">
        <f>VLOOKUP(AJ838,'FRC Site Data'!$B$3:$L$42,9,FALSE)</f>
        <v>#N/A</v>
      </c>
      <c r="Y846" s="10" t="e">
        <f>VLOOKUP(AJ838,'FRC Site Data'!$B$3:$L$42,10,FALSE)</f>
        <v>#N/A</v>
      </c>
      <c r="Z846" s="10" t="e">
        <f>VLOOKUP(AJ838,'FRC Site Data'!$B$3:$L$42,11,FALSE)</f>
        <v>#N/A</v>
      </c>
      <c r="AA846" s="10" t="e">
        <f>VLOOKUP(AJ838,'CIR Team Info'!$C$5:$E$44,4,FALSE)</f>
        <v>#N/A</v>
      </c>
      <c r="AB846" s="161" t="b">
        <f>ISNUMBER(VLOOKUP(AJ838,Match!$T$5:$T$10,1,FALSE))</f>
        <v>0</v>
      </c>
      <c r="AC846" s="161" t="b">
        <f>IF(AB846=TRUE,(VLOOKUP($AJ838,Match!$T$5:$U$10,2,FALSE)))</f>
        <v>0</v>
      </c>
      <c r="AD846" s="8">
        <v>3</v>
      </c>
      <c r="AE846" s="8">
        <v>2</v>
      </c>
      <c r="AF846" s="8">
        <v>2</v>
      </c>
      <c r="AG846" s="8">
        <v>1</v>
      </c>
      <c r="AH846" s="8" t="str">
        <f t="shared" si="234"/>
        <v/>
      </c>
    </row>
    <row r="847" spans="1:34" x14ac:dyDescent="0.25">
      <c r="A847" s="29">
        <f t="shared" si="241"/>
        <v>0</v>
      </c>
      <c r="B847" s="29">
        <f t="shared" si="235"/>
        <v>0</v>
      </c>
      <c r="C847" s="29">
        <f t="shared" si="236"/>
        <v>0</v>
      </c>
      <c r="D847" s="29">
        <f t="shared" si="237"/>
        <v>0</v>
      </c>
      <c r="E847" s="29">
        <f t="shared" si="242"/>
        <v>0</v>
      </c>
      <c r="F847" s="29">
        <f t="shared" si="243"/>
        <v>0</v>
      </c>
      <c r="G847" s="29" t="str">
        <f t="shared" si="244"/>
        <v>offensive</v>
      </c>
      <c r="H847" s="16">
        <f t="shared" ref="H847:H910" si="248">IF((AO839+AP839)=0,0,AO839/(AO839+AP839))</f>
        <v>0</v>
      </c>
      <c r="I847" s="16">
        <f t="shared" ref="I847:I910" si="249">IF((AV839+AW839)=0,0,AV839/(AV839+AW839))</f>
        <v>0</v>
      </c>
      <c r="J847" s="16">
        <f t="shared" si="238"/>
        <v>0</v>
      </c>
      <c r="K847" s="16">
        <f t="shared" si="245"/>
        <v>0</v>
      </c>
      <c r="L847" s="67">
        <f t="shared" si="246"/>
        <v>0</v>
      </c>
      <c r="M847" s="4">
        <f t="shared" si="239"/>
        <v>0</v>
      </c>
      <c r="N847" s="4">
        <f t="shared" si="240"/>
        <v>0</v>
      </c>
      <c r="O847" s="4">
        <f t="shared" si="247"/>
        <v>0</v>
      </c>
      <c r="P847" s="4" t="e">
        <f>VLOOKUP(AJ839,'CIR Team Info'!$C$5:$E$44,2,FALSE)</f>
        <v>#N/A</v>
      </c>
      <c r="Q847" s="4" t="e">
        <f>VLOOKUP(AJ839,'CIR Team Info'!$C$5:$E$44,3,FALSE)</f>
        <v>#N/A</v>
      </c>
      <c r="R847" s="10" t="e">
        <f>VLOOKUP(AJ839,'FRC Site Data'!$B$3:$L$42,2,FALSE)</f>
        <v>#N/A</v>
      </c>
      <c r="S847" s="10" t="e">
        <f>VLOOKUP(AJ839,'FRC Site Data'!$B$3:$L$42,3,FALSE)</f>
        <v>#N/A</v>
      </c>
      <c r="T847" s="10" t="e">
        <f>VLOOKUP(AJ839,'FRC Site Data'!$B$3:$L$42,4,FALSE)</f>
        <v>#N/A</v>
      </c>
      <c r="U847" s="10" t="e">
        <f>VLOOKUP(AJ839,'FRC Site Data'!$B$3:$L$42,5,FALSE)</f>
        <v>#N/A</v>
      </c>
      <c r="V847" s="10" t="e">
        <f>VLOOKUP(AJ839,'FRC Site Data'!$B$3:$L$42,6,FALSE)</f>
        <v>#N/A</v>
      </c>
      <c r="W847" s="10" t="e">
        <f>VLOOKUP(AJ839,'FRC Site Data'!$B$3:$L$42,8,FALSE)</f>
        <v>#N/A</v>
      </c>
      <c r="X847" s="10" t="e">
        <f>VLOOKUP(AJ839,'FRC Site Data'!$B$3:$L$42,9,FALSE)</f>
        <v>#N/A</v>
      </c>
      <c r="Y847" s="10" t="e">
        <f>VLOOKUP(AJ839,'FRC Site Data'!$B$3:$L$42,10,FALSE)</f>
        <v>#N/A</v>
      </c>
      <c r="Z847" s="10" t="e">
        <f>VLOOKUP(AJ839,'FRC Site Data'!$B$3:$L$42,11,FALSE)</f>
        <v>#N/A</v>
      </c>
      <c r="AA847" s="10" t="e">
        <f>VLOOKUP(AJ839,'CIR Team Info'!$C$5:$E$44,4,FALSE)</f>
        <v>#N/A</v>
      </c>
      <c r="AB847" s="161" t="b">
        <f>ISNUMBER(VLOOKUP(AJ839,Match!$T$5:$T$10,1,FALSE))</f>
        <v>0</v>
      </c>
      <c r="AC847" s="161" t="b">
        <f>IF(AB847=TRUE,(VLOOKUP($AJ839,Match!$T$5:$U$10,2,FALSE)))</f>
        <v>0</v>
      </c>
      <c r="AD847" s="8">
        <v>3</v>
      </c>
      <c r="AE847" s="8">
        <v>2</v>
      </c>
      <c r="AF847" s="8">
        <v>2</v>
      </c>
      <c r="AG847" s="8">
        <v>1</v>
      </c>
      <c r="AH847" s="8" t="str">
        <f t="shared" si="234"/>
        <v/>
      </c>
    </row>
    <row r="848" spans="1:34" x14ac:dyDescent="0.25">
      <c r="A848" s="29">
        <f t="shared" si="241"/>
        <v>0</v>
      </c>
      <c r="B848" s="29">
        <f t="shared" si="235"/>
        <v>0</v>
      </c>
      <c r="C848" s="29">
        <f t="shared" si="236"/>
        <v>0</v>
      </c>
      <c r="D848" s="29">
        <f t="shared" si="237"/>
        <v>0</v>
      </c>
      <c r="E848" s="29">
        <f t="shared" si="242"/>
        <v>0</v>
      </c>
      <c r="F848" s="29">
        <f t="shared" si="243"/>
        <v>0</v>
      </c>
      <c r="G848" s="29" t="str">
        <f t="shared" si="244"/>
        <v>offensive</v>
      </c>
      <c r="H848" s="16">
        <f t="shared" si="248"/>
        <v>0</v>
      </c>
      <c r="I848" s="16">
        <f t="shared" si="249"/>
        <v>0</v>
      </c>
      <c r="J848" s="16">
        <f t="shared" si="238"/>
        <v>0</v>
      </c>
      <c r="K848" s="16">
        <f t="shared" si="245"/>
        <v>0</v>
      </c>
      <c r="L848" s="67">
        <f t="shared" si="246"/>
        <v>0</v>
      </c>
      <c r="M848" s="4">
        <f t="shared" si="239"/>
        <v>0</v>
      </c>
      <c r="N848" s="4">
        <f t="shared" si="240"/>
        <v>0</v>
      </c>
      <c r="O848" s="4">
        <f t="shared" si="247"/>
        <v>0</v>
      </c>
      <c r="P848" s="4" t="e">
        <f>VLOOKUP(AJ840,'CIR Team Info'!$C$5:$E$44,2,FALSE)</f>
        <v>#N/A</v>
      </c>
      <c r="Q848" s="4" t="e">
        <f>VLOOKUP(AJ840,'CIR Team Info'!$C$5:$E$44,3,FALSE)</f>
        <v>#N/A</v>
      </c>
      <c r="R848" s="10" t="e">
        <f>VLOOKUP(AJ840,'FRC Site Data'!$B$3:$L$42,2,FALSE)</f>
        <v>#N/A</v>
      </c>
      <c r="S848" s="10" t="e">
        <f>VLOOKUP(AJ840,'FRC Site Data'!$B$3:$L$42,3,FALSE)</f>
        <v>#N/A</v>
      </c>
      <c r="T848" s="10" t="e">
        <f>VLOOKUP(AJ840,'FRC Site Data'!$B$3:$L$42,4,FALSE)</f>
        <v>#N/A</v>
      </c>
      <c r="U848" s="10" t="e">
        <f>VLOOKUP(AJ840,'FRC Site Data'!$B$3:$L$42,5,FALSE)</f>
        <v>#N/A</v>
      </c>
      <c r="V848" s="10" t="e">
        <f>VLOOKUP(AJ840,'FRC Site Data'!$B$3:$L$42,6,FALSE)</f>
        <v>#N/A</v>
      </c>
      <c r="W848" s="10" t="e">
        <f>VLOOKUP(AJ840,'FRC Site Data'!$B$3:$L$42,8,FALSE)</f>
        <v>#N/A</v>
      </c>
      <c r="X848" s="10" t="e">
        <f>VLOOKUP(AJ840,'FRC Site Data'!$B$3:$L$42,9,FALSE)</f>
        <v>#N/A</v>
      </c>
      <c r="Y848" s="10" t="e">
        <f>VLOOKUP(AJ840,'FRC Site Data'!$B$3:$L$42,10,FALSE)</f>
        <v>#N/A</v>
      </c>
      <c r="Z848" s="10" t="e">
        <f>VLOOKUP(AJ840,'FRC Site Data'!$B$3:$L$42,11,FALSE)</f>
        <v>#N/A</v>
      </c>
      <c r="AA848" s="10" t="e">
        <f>VLOOKUP(AJ840,'CIR Team Info'!$C$5:$E$44,4,FALSE)</f>
        <v>#N/A</v>
      </c>
      <c r="AB848" s="161" t="b">
        <f>ISNUMBER(VLOOKUP(AJ840,Match!$T$5:$T$10,1,FALSE))</f>
        <v>0</v>
      </c>
      <c r="AC848" s="161" t="b">
        <f>IF(AB848=TRUE,(VLOOKUP($AJ840,Match!$T$5:$U$10,2,FALSE)))</f>
        <v>0</v>
      </c>
      <c r="AD848" s="8">
        <v>3</v>
      </c>
      <c r="AE848" s="8">
        <v>2</v>
      </c>
      <c r="AF848" s="8">
        <v>2</v>
      </c>
      <c r="AG848" s="8">
        <v>1</v>
      </c>
      <c r="AH848" s="8" t="str">
        <f t="shared" si="234"/>
        <v/>
      </c>
    </row>
    <row r="849" spans="1:34" x14ac:dyDescent="0.25">
      <c r="A849" s="29">
        <f t="shared" si="241"/>
        <v>0</v>
      </c>
      <c r="B849" s="29">
        <f t="shared" si="235"/>
        <v>0</v>
      </c>
      <c r="C849" s="29">
        <f t="shared" si="236"/>
        <v>0</v>
      </c>
      <c r="D849" s="29">
        <f t="shared" si="237"/>
        <v>0</v>
      </c>
      <c r="E849" s="29">
        <f t="shared" si="242"/>
        <v>0</v>
      </c>
      <c r="F849" s="29">
        <f t="shared" si="243"/>
        <v>0</v>
      </c>
      <c r="G849" s="29" t="str">
        <f t="shared" si="244"/>
        <v>offensive</v>
      </c>
      <c r="H849" s="16">
        <f t="shared" si="248"/>
        <v>0</v>
      </c>
      <c r="I849" s="16">
        <f t="shared" si="249"/>
        <v>0</v>
      </c>
      <c r="J849" s="16">
        <f t="shared" si="238"/>
        <v>0</v>
      </c>
      <c r="K849" s="16">
        <f t="shared" si="245"/>
        <v>0</v>
      </c>
      <c r="L849" s="67">
        <f t="shared" si="246"/>
        <v>0</v>
      </c>
      <c r="M849" s="4">
        <f t="shared" si="239"/>
        <v>0</v>
      </c>
      <c r="N849" s="4">
        <f t="shared" si="240"/>
        <v>0</v>
      </c>
      <c r="O849" s="4">
        <f t="shared" si="247"/>
        <v>0</v>
      </c>
      <c r="P849" s="4" t="e">
        <f>VLOOKUP(AJ841,'CIR Team Info'!$C$5:$E$44,2,FALSE)</f>
        <v>#N/A</v>
      </c>
      <c r="Q849" s="4" t="e">
        <f>VLOOKUP(AJ841,'CIR Team Info'!$C$5:$E$44,3,FALSE)</f>
        <v>#N/A</v>
      </c>
      <c r="R849" s="10" t="e">
        <f>VLOOKUP(AJ841,'FRC Site Data'!$B$3:$L$42,2,FALSE)</f>
        <v>#N/A</v>
      </c>
      <c r="S849" s="10" t="e">
        <f>VLOOKUP(AJ841,'FRC Site Data'!$B$3:$L$42,3,FALSE)</f>
        <v>#N/A</v>
      </c>
      <c r="T849" s="10" t="e">
        <f>VLOOKUP(AJ841,'FRC Site Data'!$B$3:$L$42,4,FALSE)</f>
        <v>#N/A</v>
      </c>
      <c r="U849" s="10" t="e">
        <f>VLOOKUP(AJ841,'FRC Site Data'!$B$3:$L$42,5,FALSE)</f>
        <v>#N/A</v>
      </c>
      <c r="V849" s="10" t="e">
        <f>VLOOKUP(AJ841,'FRC Site Data'!$B$3:$L$42,6,FALSE)</f>
        <v>#N/A</v>
      </c>
      <c r="W849" s="10" t="e">
        <f>VLOOKUP(AJ841,'FRC Site Data'!$B$3:$L$42,8,FALSE)</f>
        <v>#N/A</v>
      </c>
      <c r="X849" s="10" t="e">
        <f>VLOOKUP(AJ841,'FRC Site Data'!$B$3:$L$42,9,FALSE)</f>
        <v>#N/A</v>
      </c>
      <c r="Y849" s="10" t="e">
        <f>VLOOKUP(AJ841,'FRC Site Data'!$B$3:$L$42,10,FALSE)</f>
        <v>#N/A</v>
      </c>
      <c r="Z849" s="10" t="e">
        <f>VLOOKUP(AJ841,'FRC Site Data'!$B$3:$L$42,11,FALSE)</f>
        <v>#N/A</v>
      </c>
      <c r="AA849" s="10" t="e">
        <f>VLOOKUP(AJ841,'CIR Team Info'!$C$5:$E$44,4,FALSE)</f>
        <v>#N/A</v>
      </c>
      <c r="AB849" s="161" t="b">
        <f>ISNUMBER(VLOOKUP(AJ841,Match!$T$5:$T$10,1,FALSE))</f>
        <v>0</v>
      </c>
      <c r="AC849" s="161" t="b">
        <f>IF(AB849=TRUE,(VLOOKUP($AJ841,Match!$T$5:$U$10,2,FALSE)))</f>
        <v>0</v>
      </c>
      <c r="AD849" s="8">
        <v>3</v>
      </c>
      <c r="AE849" s="8">
        <v>2</v>
      </c>
      <c r="AF849" s="8">
        <v>2</v>
      </c>
      <c r="AG849" s="8">
        <v>1</v>
      </c>
      <c r="AH849" s="8" t="str">
        <f t="shared" si="234"/>
        <v/>
      </c>
    </row>
    <row r="850" spans="1:34" x14ac:dyDescent="0.25">
      <c r="A850" s="29">
        <f t="shared" si="241"/>
        <v>0</v>
      </c>
      <c r="B850" s="29">
        <f t="shared" si="235"/>
        <v>0</v>
      </c>
      <c r="C850" s="29">
        <f t="shared" si="236"/>
        <v>0</v>
      </c>
      <c r="D850" s="29">
        <f t="shared" si="237"/>
        <v>0</v>
      </c>
      <c r="E850" s="29">
        <f t="shared" si="242"/>
        <v>0</v>
      </c>
      <c r="F850" s="29">
        <f t="shared" si="243"/>
        <v>0</v>
      </c>
      <c r="G850" s="29" t="str">
        <f t="shared" si="244"/>
        <v>offensive</v>
      </c>
      <c r="H850" s="16">
        <f t="shared" si="248"/>
        <v>0</v>
      </c>
      <c r="I850" s="16">
        <f t="shared" si="249"/>
        <v>0</v>
      </c>
      <c r="J850" s="16">
        <f t="shared" si="238"/>
        <v>0</v>
      </c>
      <c r="K850" s="16">
        <f t="shared" si="245"/>
        <v>0</v>
      </c>
      <c r="L850" s="67">
        <f t="shared" si="246"/>
        <v>0</v>
      </c>
      <c r="M850" s="4">
        <f t="shared" si="239"/>
        <v>0</v>
      </c>
      <c r="N850" s="4">
        <f t="shared" si="240"/>
        <v>0</v>
      </c>
      <c r="O850" s="4">
        <f t="shared" si="247"/>
        <v>0</v>
      </c>
      <c r="P850" s="4" t="e">
        <f>VLOOKUP(AJ842,'CIR Team Info'!$C$5:$E$44,2,FALSE)</f>
        <v>#N/A</v>
      </c>
      <c r="Q850" s="4" t="e">
        <f>VLOOKUP(AJ842,'CIR Team Info'!$C$5:$E$44,3,FALSE)</f>
        <v>#N/A</v>
      </c>
      <c r="R850" s="10" t="e">
        <f>VLOOKUP(AJ842,'FRC Site Data'!$B$3:$L$42,2,FALSE)</f>
        <v>#N/A</v>
      </c>
      <c r="S850" s="10" t="e">
        <f>VLOOKUP(AJ842,'FRC Site Data'!$B$3:$L$42,3,FALSE)</f>
        <v>#N/A</v>
      </c>
      <c r="T850" s="10" t="e">
        <f>VLOOKUP(AJ842,'FRC Site Data'!$B$3:$L$42,4,FALSE)</f>
        <v>#N/A</v>
      </c>
      <c r="U850" s="10" t="e">
        <f>VLOOKUP(AJ842,'FRC Site Data'!$B$3:$L$42,5,FALSE)</f>
        <v>#N/A</v>
      </c>
      <c r="V850" s="10" t="e">
        <f>VLOOKUP(AJ842,'FRC Site Data'!$B$3:$L$42,6,FALSE)</f>
        <v>#N/A</v>
      </c>
      <c r="W850" s="10" t="e">
        <f>VLOOKUP(AJ842,'FRC Site Data'!$B$3:$L$42,8,FALSE)</f>
        <v>#N/A</v>
      </c>
      <c r="X850" s="10" t="e">
        <f>VLOOKUP(AJ842,'FRC Site Data'!$B$3:$L$42,9,FALSE)</f>
        <v>#N/A</v>
      </c>
      <c r="Y850" s="10" t="e">
        <f>VLOOKUP(AJ842,'FRC Site Data'!$B$3:$L$42,10,FALSE)</f>
        <v>#N/A</v>
      </c>
      <c r="Z850" s="10" t="e">
        <f>VLOOKUP(AJ842,'FRC Site Data'!$B$3:$L$42,11,FALSE)</f>
        <v>#N/A</v>
      </c>
      <c r="AA850" s="10" t="e">
        <f>VLOOKUP(AJ842,'CIR Team Info'!$C$5:$E$44,4,FALSE)</f>
        <v>#N/A</v>
      </c>
      <c r="AB850" s="161" t="b">
        <f>ISNUMBER(VLOOKUP(AJ842,Match!$T$5:$T$10,1,FALSE))</f>
        <v>0</v>
      </c>
      <c r="AC850" s="161" t="b">
        <f>IF(AB850=TRUE,(VLOOKUP($AJ842,Match!$T$5:$U$10,2,FALSE)))</f>
        <v>0</v>
      </c>
      <c r="AD850" s="8">
        <v>3</v>
      </c>
      <c r="AE850" s="8">
        <v>2</v>
      </c>
      <c r="AF850" s="8">
        <v>2</v>
      </c>
      <c r="AG850" s="8">
        <v>1</v>
      </c>
      <c r="AH850" s="8" t="str">
        <f t="shared" si="234"/>
        <v/>
      </c>
    </row>
    <row r="851" spans="1:34" x14ac:dyDescent="0.25">
      <c r="A851" s="29">
        <f t="shared" si="241"/>
        <v>0</v>
      </c>
      <c r="B851" s="29">
        <f t="shared" si="235"/>
        <v>0</v>
      </c>
      <c r="C851" s="29">
        <f t="shared" si="236"/>
        <v>0</v>
      </c>
      <c r="D851" s="29">
        <f t="shared" si="237"/>
        <v>0</v>
      </c>
      <c r="E851" s="29">
        <f t="shared" si="242"/>
        <v>0</v>
      </c>
      <c r="F851" s="29">
        <f t="shared" si="243"/>
        <v>0</v>
      </c>
      <c r="G851" s="29" t="str">
        <f t="shared" si="244"/>
        <v>offensive</v>
      </c>
      <c r="H851" s="16">
        <f t="shared" si="248"/>
        <v>0</v>
      </c>
      <c r="I851" s="16">
        <f t="shared" si="249"/>
        <v>0</v>
      </c>
      <c r="J851" s="16">
        <f t="shared" si="238"/>
        <v>0</v>
      </c>
      <c r="K851" s="16">
        <f t="shared" si="245"/>
        <v>0</v>
      </c>
      <c r="L851" s="67">
        <f t="shared" si="246"/>
        <v>0</v>
      </c>
      <c r="M851" s="4">
        <f t="shared" si="239"/>
        <v>0</v>
      </c>
      <c r="N851" s="4">
        <f t="shared" si="240"/>
        <v>0</v>
      </c>
      <c r="O851" s="4">
        <f t="shared" si="247"/>
        <v>0</v>
      </c>
      <c r="P851" s="4" t="e">
        <f>VLOOKUP(AJ843,'CIR Team Info'!$C$5:$E$44,2,FALSE)</f>
        <v>#N/A</v>
      </c>
      <c r="Q851" s="4" t="e">
        <f>VLOOKUP(AJ843,'CIR Team Info'!$C$5:$E$44,3,FALSE)</f>
        <v>#N/A</v>
      </c>
      <c r="R851" s="10" t="e">
        <f>VLOOKUP(AJ843,'FRC Site Data'!$B$3:$L$42,2,FALSE)</f>
        <v>#N/A</v>
      </c>
      <c r="S851" s="10" t="e">
        <f>VLOOKUP(AJ843,'FRC Site Data'!$B$3:$L$42,3,FALSE)</f>
        <v>#N/A</v>
      </c>
      <c r="T851" s="10" t="e">
        <f>VLOOKUP(AJ843,'FRC Site Data'!$B$3:$L$42,4,FALSE)</f>
        <v>#N/A</v>
      </c>
      <c r="U851" s="10" t="e">
        <f>VLOOKUP(AJ843,'FRC Site Data'!$B$3:$L$42,5,FALSE)</f>
        <v>#N/A</v>
      </c>
      <c r="V851" s="10" t="e">
        <f>VLOOKUP(AJ843,'FRC Site Data'!$B$3:$L$42,6,FALSE)</f>
        <v>#N/A</v>
      </c>
      <c r="W851" s="10" t="e">
        <f>VLOOKUP(AJ843,'FRC Site Data'!$B$3:$L$42,8,FALSE)</f>
        <v>#N/A</v>
      </c>
      <c r="X851" s="10" t="e">
        <f>VLOOKUP(AJ843,'FRC Site Data'!$B$3:$L$42,9,FALSE)</f>
        <v>#N/A</v>
      </c>
      <c r="Y851" s="10" t="e">
        <f>VLOOKUP(AJ843,'FRC Site Data'!$B$3:$L$42,10,FALSE)</f>
        <v>#N/A</v>
      </c>
      <c r="Z851" s="10" t="e">
        <f>VLOOKUP(AJ843,'FRC Site Data'!$B$3:$L$42,11,FALSE)</f>
        <v>#N/A</v>
      </c>
      <c r="AA851" s="10" t="e">
        <f>VLOOKUP(AJ843,'CIR Team Info'!$C$5:$E$44,4,FALSE)</f>
        <v>#N/A</v>
      </c>
      <c r="AB851" s="161" t="b">
        <f>ISNUMBER(VLOOKUP(AJ843,Match!$T$5:$T$10,1,FALSE))</f>
        <v>0</v>
      </c>
      <c r="AC851" s="161" t="b">
        <f>IF(AB851=TRUE,(VLOOKUP($AJ843,Match!$T$5:$U$10,2,FALSE)))</f>
        <v>0</v>
      </c>
      <c r="AD851" s="8">
        <v>3</v>
      </c>
      <c r="AE851" s="8">
        <v>2</v>
      </c>
      <c r="AF851" s="8">
        <v>2</v>
      </c>
      <c r="AG851" s="8">
        <v>1</v>
      </c>
      <c r="AH851" s="8" t="str">
        <f t="shared" si="234"/>
        <v/>
      </c>
    </row>
    <row r="852" spans="1:34" x14ac:dyDescent="0.25">
      <c r="A852" s="29">
        <f t="shared" si="241"/>
        <v>0</v>
      </c>
      <c r="B852" s="29">
        <f t="shared" si="235"/>
        <v>0</v>
      </c>
      <c r="C852" s="29">
        <f t="shared" si="236"/>
        <v>0</v>
      </c>
      <c r="D852" s="29">
        <f t="shared" si="237"/>
        <v>0</v>
      </c>
      <c r="E852" s="29">
        <f t="shared" si="242"/>
        <v>0</v>
      </c>
      <c r="F852" s="29">
        <f t="shared" si="243"/>
        <v>0</v>
      </c>
      <c r="G852" s="29" t="str">
        <f t="shared" si="244"/>
        <v>offensive</v>
      </c>
      <c r="H852" s="16">
        <f t="shared" si="248"/>
        <v>0</v>
      </c>
      <c r="I852" s="16">
        <f t="shared" si="249"/>
        <v>0</v>
      </c>
      <c r="J852" s="16">
        <f t="shared" si="238"/>
        <v>0</v>
      </c>
      <c r="K852" s="16">
        <f t="shared" si="245"/>
        <v>0</v>
      </c>
      <c r="L852" s="67">
        <f t="shared" si="246"/>
        <v>0</v>
      </c>
      <c r="M852" s="4">
        <f t="shared" si="239"/>
        <v>0</v>
      </c>
      <c r="N852" s="4">
        <f t="shared" si="240"/>
        <v>0</v>
      </c>
      <c r="O852" s="4">
        <f t="shared" si="247"/>
        <v>0</v>
      </c>
      <c r="P852" s="4" t="e">
        <f>VLOOKUP(AJ844,'CIR Team Info'!$C$5:$E$44,2,FALSE)</f>
        <v>#N/A</v>
      </c>
      <c r="Q852" s="4" t="e">
        <f>VLOOKUP(AJ844,'CIR Team Info'!$C$5:$E$44,3,FALSE)</f>
        <v>#N/A</v>
      </c>
      <c r="R852" s="10" t="e">
        <f>VLOOKUP(AJ844,'FRC Site Data'!$B$3:$L$42,2,FALSE)</f>
        <v>#N/A</v>
      </c>
      <c r="S852" s="10" t="e">
        <f>VLOOKUP(AJ844,'FRC Site Data'!$B$3:$L$42,3,FALSE)</f>
        <v>#N/A</v>
      </c>
      <c r="T852" s="10" t="e">
        <f>VLOOKUP(AJ844,'FRC Site Data'!$B$3:$L$42,4,FALSE)</f>
        <v>#N/A</v>
      </c>
      <c r="U852" s="10" t="e">
        <f>VLOOKUP(AJ844,'FRC Site Data'!$B$3:$L$42,5,FALSE)</f>
        <v>#N/A</v>
      </c>
      <c r="V852" s="10" t="e">
        <f>VLOOKUP(AJ844,'FRC Site Data'!$B$3:$L$42,6,FALSE)</f>
        <v>#N/A</v>
      </c>
      <c r="W852" s="10" t="e">
        <f>VLOOKUP(AJ844,'FRC Site Data'!$B$3:$L$42,8,FALSE)</f>
        <v>#N/A</v>
      </c>
      <c r="X852" s="10" t="e">
        <f>VLOOKUP(AJ844,'FRC Site Data'!$B$3:$L$42,9,FALSE)</f>
        <v>#N/A</v>
      </c>
      <c r="Y852" s="10" t="e">
        <f>VLOOKUP(AJ844,'FRC Site Data'!$B$3:$L$42,10,FALSE)</f>
        <v>#N/A</v>
      </c>
      <c r="Z852" s="10" t="e">
        <f>VLOOKUP(AJ844,'FRC Site Data'!$B$3:$L$42,11,FALSE)</f>
        <v>#N/A</v>
      </c>
      <c r="AA852" s="10" t="e">
        <f>VLOOKUP(AJ844,'CIR Team Info'!$C$5:$E$44,4,FALSE)</f>
        <v>#N/A</v>
      </c>
      <c r="AB852" s="161" t="b">
        <f>ISNUMBER(VLOOKUP(AJ844,Match!$T$5:$T$10,1,FALSE))</f>
        <v>0</v>
      </c>
      <c r="AC852" s="161" t="b">
        <f>IF(AB852=TRUE,(VLOOKUP($AJ844,Match!$T$5:$U$10,2,FALSE)))</f>
        <v>0</v>
      </c>
      <c r="AD852" s="8">
        <v>3</v>
      </c>
      <c r="AE852" s="8">
        <v>2</v>
      </c>
      <c r="AF852" s="8">
        <v>2</v>
      </c>
      <c r="AG852" s="8">
        <v>1</v>
      </c>
      <c r="AH852" s="8" t="str">
        <f t="shared" si="234"/>
        <v/>
      </c>
    </row>
    <row r="853" spans="1:34" x14ac:dyDescent="0.25">
      <c r="A853" s="29">
        <f t="shared" si="241"/>
        <v>0</v>
      </c>
      <c r="B853" s="29">
        <f t="shared" si="235"/>
        <v>0</v>
      </c>
      <c r="C853" s="29">
        <f t="shared" si="236"/>
        <v>0</v>
      </c>
      <c r="D853" s="29">
        <f t="shared" si="237"/>
        <v>0</v>
      </c>
      <c r="E853" s="29">
        <f t="shared" si="242"/>
        <v>0</v>
      </c>
      <c r="F853" s="29">
        <f t="shared" si="243"/>
        <v>0</v>
      </c>
      <c r="G853" s="29" t="str">
        <f t="shared" si="244"/>
        <v>offensive</v>
      </c>
      <c r="H853" s="16">
        <f t="shared" si="248"/>
        <v>0</v>
      </c>
      <c r="I853" s="16">
        <f t="shared" si="249"/>
        <v>0</v>
      </c>
      <c r="J853" s="16">
        <f t="shared" si="238"/>
        <v>0</v>
      </c>
      <c r="K853" s="16">
        <f t="shared" si="245"/>
        <v>0</v>
      </c>
      <c r="L853" s="67">
        <f t="shared" si="246"/>
        <v>0</v>
      </c>
      <c r="M853" s="4">
        <f t="shared" si="239"/>
        <v>0</v>
      </c>
      <c r="N853" s="4">
        <f t="shared" si="240"/>
        <v>0</v>
      </c>
      <c r="O853" s="4">
        <f t="shared" si="247"/>
        <v>0</v>
      </c>
      <c r="P853" s="4" t="e">
        <f>VLOOKUP(AJ845,'CIR Team Info'!$C$5:$E$44,2,FALSE)</f>
        <v>#N/A</v>
      </c>
      <c r="Q853" s="4" t="e">
        <f>VLOOKUP(AJ845,'CIR Team Info'!$C$5:$E$44,3,FALSE)</f>
        <v>#N/A</v>
      </c>
      <c r="R853" s="10" t="e">
        <f>VLOOKUP(AJ845,'FRC Site Data'!$B$3:$L$42,2,FALSE)</f>
        <v>#N/A</v>
      </c>
      <c r="S853" s="10" t="e">
        <f>VLOOKUP(AJ845,'FRC Site Data'!$B$3:$L$42,3,FALSE)</f>
        <v>#N/A</v>
      </c>
      <c r="T853" s="10" t="e">
        <f>VLOOKUP(AJ845,'FRC Site Data'!$B$3:$L$42,4,FALSE)</f>
        <v>#N/A</v>
      </c>
      <c r="U853" s="10" t="e">
        <f>VLOOKUP(AJ845,'FRC Site Data'!$B$3:$L$42,5,FALSE)</f>
        <v>#N/A</v>
      </c>
      <c r="V853" s="10" t="e">
        <f>VLOOKUP(AJ845,'FRC Site Data'!$B$3:$L$42,6,FALSE)</f>
        <v>#N/A</v>
      </c>
      <c r="W853" s="10" t="e">
        <f>VLOOKUP(AJ845,'FRC Site Data'!$B$3:$L$42,8,FALSE)</f>
        <v>#N/A</v>
      </c>
      <c r="X853" s="10" t="e">
        <f>VLOOKUP(AJ845,'FRC Site Data'!$B$3:$L$42,9,FALSE)</f>
        <v>#N/A</v>
      </c>
      <c r="Y853" s="10" t="e">
        <f>VLOOKUP(AJ845,'FRC Site Data'!$B$3:$L$42,10,FALSE)</f>
        <v>#N/A</v>
      </c>
      <c r="Z853" s="10" t="e">
        <f>VLOOKUP(AJ845,'FRC Site Data'!$B$3:$L$42,11,FALSE)</f>
        <v>#N/A</v>
      </c>
      <c r="AA853" s="10" t="e">
        <f>VLOOKUP(AJ845,'CIR Team Info'!$C$5:$E$44,4,FALSE)</f>
        <v>#N/A</v>
      </c>
      <c r="AB853" s="161" t="b">
        <f>ISNUMBER(VLOOKUP(AJ845,Match!$T$5:$T$10,1,FALSE))</f>
        <v>0</v>
      </c>
      <c r="AC853" s="161" t="b">
        <f>IF(AB853=TRUE,(VLOOKUP($AJ845,Match!$T$5:$U$10,2,FALSE)))</f>
        <v>0</v>
      </c>
      <c r="AD853" s="8">
        <v>3</v>
      </c>
      <c r="AE853" s="8">
        <v>2</v>
      </c>
      <c r="AF853" s="8">
        <v>2</v>
      </c>
      <c r="AG853" s="8">
        <v>1</v>
      </c>
      <c r="AH853" s="8" t="str">
        <f t="shared" si="234"/>
        <v/>
      </c>
    </row>
    <row r="854" spans="1:34" x14ac:dyDescent="0.25">
      <c r="A854" s="29">
        <f t="shared" si="241"/>
        <v>0</v>
      </c>
      <c r="B854" s="29">
        <f t="shared" si="235"/>
        <v>0</v>
      </c>
      <c r="C854" s="29">
        <f t="shared" si="236"/>
        <v>0</v>
      </c>
      <c r="D854" s="29">
        <f t="shared" si="237"/>
        <v>0</v>
      </c>
      <c r="E854" s="29">
        <f t="shared" si="242"/>
        <v>0</v>
      </c>
      <c r="F854" s="29">
        <f t="shared" si="243"/>
        <v>0</v>
      </c>
      <c r="G854" s="29" t="str">
        <f t="shared" si="244"/>
        <v>offensive</v>
      </c>
      <c r="H854" s="16">
        <f t="shared" si="248"/>
        <v>0</v>
      </c>
      <c r="I854" s="16">
        <f t="shared" si="249"/>
        <v>0</v>
      </c>
      <c r="J854" s="16">
        <f t="shared" si="238"/>
        <v>0</v>
      </c>
      <c r="K854" s="16">
        <f t="shared" si="245"/>
        <v>0</v>
      </c>
      <c r="L854" s="67">
        <f t="shared" si="246"/>
        <v>0</v>
      </c>
      <c r="M854" s="4">
        <f t="shared" si="239"/>
        <v>0</v>
      </c>
      <c r="N854" s="4">
        <f t="shared" si="240"/>
        <v>0</v>
      </c>
      <c r="O854" s="4">
        <f t="shared" si="247"/>
        <v>0</v>
      </c>
      <c r="P854" s="4" t="e">
        <f>VLOOKUP(AJ846,'CIR Team Info'!$C$5:$E$44,2,FALSE)</f>
        <v>#N/A</v>
      </c>
      <c r="Q854" s="4" t="e">
        <f>VLOOKUP(AJ846,'CIR Team Info'!$C$5:$E$44,3,FALSE)</f>
        <v>#N/A</v>
      </c>
      <c r="R854" s="10" t="e">
        <f>VLOOKUP(AJ846,'FRC Site Data'!$B$3:$L$42,2,FALSE)</f>
        <v>#N/A</v>
      </c>
      <c r="S854" s="10" t="e">
        <f>VLOOKUP(AJ846,'FRC Site Data'!$B$3:$L$42,3,FALSE)</f>
        <v>#N/A</v>
      </c>
      <c r="T854" s="10" t="e">
        <f>VLOOKUP(AJ846,'FRC Site Data'!$B$3:$L$42,4,FALSE)</f>
        <v>#N/A</v>
      </c>
      <c r="U854" s="10" t="e">
        <f>VLOOKUP(AJ846,'FRC Site Data'!$B$3:$L$42,5,FALSE)</f>
        <v>#N/A</v>
      </c>
      <c r="V854" s="10" t="e">
        <f>VLOOKUP(AJ846,'FRC Site Data'!$B$3:$L$42,6,FALSE)</f>
        <v>#N/A</v>
      </c>
      <c r="W854" s="10" t="e">
        <f>VLOOKUP(AJ846,'FRC Site Data'!$B$3:$L$42,8,FALSE)</f>
        <v>#N/A</v>
      </c>
      <c r="X854" s="10" t="e">
        <f>VLOOKUP(AJ846,'FRC Site Data'!$B$3:$L$42,9,FALSE)</f>
        <v>#N/A</v>
      </c>
      <c r="Y854" s="10" t="e">
        <f>VLOOKUP(AJ846,'FRC Site Data'!$B$3:$L$42,10,FALSE)</f>
        <v>#N/A</v>
      </c>
      <c r="Z854" s="10" t="e">
        <f>VLOOKUP(AJ846,'FRC Site Data'!$B$3:$L$42,11,FALSE)</f>
        <v>#N/A</v>
      </c>
      <c r="AA854" s="10" t="e">
        <f>VLOOKUP(AJ846,'CIR Team Info'!$C$5:$E$44,4,FALSE)</f>
        <v>#N/A</v>
      </c>
      <c r="AB854" s="161" t="b">
        <f>ISNUMBER(VLOOKUP(AJ846,Match!$T$5:$T$10,1,FALSE))</f>
        <v>0</v>
      </c>
      <c r="AC854" s="161" t="b">
        <f>IF(AB854=TRUE,(VLOOKUP($AJ846,Match!$T$5:$U$10,2,FALSE)))</f>
        <v>0</v>
      </c>
      <c r="AD854" s="8">
        <v>3</v>
      </c>
      <c r="AE854" s="8">
        <v>2</v>
      </c>
      <c r="AF854" s="8">
        <v>2</v>
      </c>
      <c r="AG854" s="8">
        <v>1</v>
      </c>
      <c r="AH854" s="8" t="str">
        <f t="shared" si="234"/>
        <v/>
      </c>
    </row>
    <row r="855" spans="1:34" x14ac:dyDescent="0.25">
      <c r="A855" s="29">
        <f t="shared" si="241"/>
        <v>0</v>
      </c>
      <c r="B855" s="29">
        <f t="shared" si="235"/>
        <v>0</v>
      </c>
      <c r="C855" s="29">
        <f t="shared" si="236"/>
        <v>0</v>
      </c>
      <c r="D855" s="29">
        <f t="shared" si="237"/>
        <v>0</v>
      </c>
      <c r="E855" s="29">
        <f t="shared" si="242"/>
        <v>0</v>
      </c>
      <c r="F855" s="29">
        <f t="shared" si="243"/>
        <v>0</v>
      </c>
      <c r="G855" s="29" t="str">
        <f t="shared" si="244"/>
        <v>offensive</v>
      </c>
      <c r="H855" s="16">
        <f t="shared" si="248"/>
        <v>0</v>
      </c>
      <c r="I855" s="16">
        <f t="shared" si="249"/>
        <v>0</v>
      </c>
      <c r="J855" s="16">
        <f t="shared" si="238"/>
        <v>0</v>
      </c>
      <c r="K855" s="16">
        <f t="shared" si="245"/>
        <v>0</v>
      </c>
      <c r="L855" s="67">
        <f t="shared" si="246"/>
        <v>0</v>
      </c>
      <c r="M855" s="4">
        <f t="shared" si="239"/>
        <v>0</v>
      </c>
      <c r="N855" s="4">
        <f t="shared" si="240"/>
        <v>0</v>
      </c>
      <c r="O855" s="4">
        <f t="shared" si="247"/>
        <v>0</v>
      </c>
      <c r="P855" s="4" t="e">
        <f>VLOOKUP(AJ847,'CIR Team Info'!$C$5:$E$44,2,FALSE)</f>
        <v>#N/A</v>
      </c>
      <c r="Q855" s="4" t="e">
        <f>VLOOKUP(AJ847,'CIR Team Info'!$C$5:$E$44,3,FALSE)</f>
        <v>#N/A</v>
      </c>
      <c r="R855" s="10" t="e">
        <f>VLOOKUP(AJ847,'FRC Site Data'!$B$3:$L$42,2,FALSE)</f>
        <v>#N/A</v>
      </c>
      <c r="S855" s="10" t="e">
        <f>VLOOKUP(AJ847,'FRC Site Data'!$B$3:$L$42,3,FALSE)</f>
        <v>#N/A</v>
      </c>
      <c r="T855" s="10" t="e">
        <f>VLOOKUP(AJ847,'FRC Site Data'!$B$3:$L$42,4,FALSE)</f>
        <v>#N/A</v>
      </c>
      <c r="U855" s="10" t="e">
        <f>VLOOKUP(AJ847,'FRC Site Data'!$B$3:$L$42,5,FALSE)</f>
        <v>#N/A</v>
      </c>
      <c r="V855" s="10" t="e">
        <f>VLOOKUP(AJ847,'FRC Site Data'!$B$3:$L$42,6,FALSE)</f>
        <v>#N/A</v>
      </c>
      <c r="W855" s="10" t="e">
        <f>VLOOKUP(AJ847,'FRC Site Data'!$B$3:$L$42,8,FALSE)</f>
        <v>#N/A</v>
      </c>
      <c r="X855" s="10" t="e">
        <f>VLOOKUP(AJ847,'FRC Site Data'!$B$3:$L$42,9,FALSE)</f>
        <v>#N/A</v>
      </c>
      <c r="Y855" s="10" t="e">
        <f>VLOOKUP(AJ847,'FRC Site Data'!$B$3:$L$42,10,FALSE)</f>
        <v>#N/A</v>
      </c>
      <c r="Z855" s="10" t="e">
        <f>VLOOKUP(AJ847,'FRC Site Data'!$B$3:$L$42,11,FALSE)</f>
        <v>#N/A</v>
      </c>
      <c r="AA855" s="10" t="e">
        <f>VLOOKUP(AJ847,'CIR Team Info'!$C$5:$E$44,4,FALSE)</f>
        <v>#N/A</v>
      </c>
      <c r="AB855" s="161" t="b">
        <f>ISNUMBER(VLOOKUP(AJ847,Match!$T$5:$T$10,1,FALSE))</f>
        <v>0</v>
      </c>
      <c r="AC855" s="161" t="b">
        <f>IF(AB855=TRUE,(VLOOKUP($AJ847,Match!$T$5:$U$10,2,FALSE)))</f>
        <v>0</v>
      </c>
      <c r="AD855" s="8">
        <v>3</v>
      </c>
      <c r="AE855" s="8">
        <v>2</v>
      </c>
      <c r="AF855" s="8">
        <v>2</v>
      </c>
      <c r="AG855" s="8">
        <v>1</v>
      </c>
      <c r="AH855" s="8" t="str">
        <f t="shared" si="234"/>
        <v/>
      </c>
    </row>
    <row r="856" spans="1:34" x14ac:dyDescent="0.25">
      <c r="A856" s="29">
        <f t="shared" si="241"/>
        <v>0</v>
      </c>
      <c r="B856" s="29">
        <f t="shared" si="235"/>
        <v>0</v>
      </c>
      <c r="C856" s="29">
        <f t="shared" si="236"/>
        <v>0</v>
      </c>
      <c r="D856" s="29">
        <f t="shared" si="237"/>
        <v>0</v>
      </c>
      <c r="E856" s="29">
        <f t="shared" si="242"/>
        <v>0</v>
      </c>
      <c r="F856" s="29">
        <f t="shared" si="243"/>
        <v>0</v>
      </c>
      <c r="G856" s="29" t="str">
        <f t="shared" si="244"/>
        <v>offensive</v>
      </c>
      <c r="H856" s="16">
        <f t="shared" si="248"/>
        <v>0</v>
      </c>
      <c r="I856" s="16">
        <f t="shared" si="249"/>
        <v>0</v>
      </c>
      <c r="J856" s="16">
        <f t="shared" si="238"/>
        <v>0</v>
      </c>
      <c r="K856" s="16">
        <f t="shared" si="245"/>
        <v>0</v>
      </c>
      <c r="L856" s="67">
        <f t="shared" si="246"/>
        <v>0</v>
      </c>
      <c r="M856" s="4">
        <f t="shared" si="239"/>
        <v>0</v>
      </c>
      <c r="N856" s="4">
        <f t="shared" si="240"/>
        <v>0</v>
      </c>
      <c r="O856" s="4">
        <f t="shared" si="247"/>
        <v>0</v>
      </c>
      <c r="P856" s="4" t="e">
        <f>VLOOKUP(AJ848,'CIR Team Info'!$C$5:$E$44,2,FALSE)</f>
        <v>#N/A</v>
      </c>
      <c r="Q856" s="4" t="e">
        <f>VLOOKUP(AJ848,'CIR Team Info'!$C$5:$E$44,3,FALSE)</f>
        <v>#N/A</v>
      </c>
      <c r="R856" s="10" t="e">
        <f>VLOOKUP(AJ848,'FRC Site Data'!$B$3:$L$42,2,FALSE)</f>
        <v>#N/A</v>
      </c>
      <c r="S856" s="10" t="e">
        <f>VLOOKUP(AJ848,'FRC Site Data'!$B$3:$L$42,3,FALSE)</f>
        <v>#N/A</v>
      </c>
      <c r="T856" s="10" t="e">
        <f>VLOOKUP(AJ848,'FRC Site Data'!$B$3:$L$42,4,FALSE)</f>
        <v>#N/A</v>
      </c>
      <c r="U856" s="10" t="e">
        <f>VLOOKUP(AJ848,'FRC Site Data'!$B$3:$L$42,5,FALSE)</f>
        <v>#N/A</v>
      </c>
      <c r="V856" s="10" t="e">
        <f>VLOOKUP(AJ848,'FRC Site Data'!$B$3:$L$42,6,FALSE)</f>
        <v>#N/A</v>
      </c>
      <c r="W856" s="10" t="e">
        <f>VLOOKUP(AJ848,'FRC Site Data'!$B$3:$L$42,8,FALSE)</f>
        <v>#N/A</v>
      </c>
      <c r="X856" s="10" t="e">
        <f>VLOOKUP(AJ848,'FRC Site Data'!$B$3:$L$42,9,FALSE)</f>
        <v>#N/A</v>
      </c>
      <c r="Y856" s="10" t="e">
        <f>VLOOKUP(AJ848,'FRC Site Data'!$B$3:$L$42,10,FALSE)</f>
        <v>#N/A</v>
      </c>
      <c r="Z856" s="10" t="e">
        <f>VLOOKUP(AJ848,'FRC Site Data'!$B$3:$L$42,11,FALSE)</f>
        <v>#N/A</v>
      </c>
      <c r="AA856" s="10" t="e">
        <f>VLOOKUP(AJ848,'CIR Team Info'!$C$5:$E$44,4,FALSE)</f>
        <v>#N/A</v>
      </c>
      <c r="AB856" s="161" t="b">
        <f>ISNUMBER(VLOOKUP(AJ848,Match!$T$5:$T$10,1,FALSE))</f>
        <v>0</v>
      </c>
      <c r="AC856" s="161" t="b">
        <f>IF(AB856=TRUE,(VLOOKUP($AJ848,Match!$T$5:$U$10,2,FALSE)))</f>
        <v>0</v>
      </c>
      <c r="AD856" s="8">
        <v>3</v>
      </c>
      <c r="AE856" s="8">
        <v>2</v>
      </c>
      <c r="AF856" s="8">
        <v>2</v>
      </c>
      <c r="AG856" s="8">
        <v>1</v>
      </c>
      <c r="AH856" s="8" t="str">
        <f t="shared" si="234"/>
        <v/>
      </c>
    </row>
    <row r="857" spans="1:34" x14ac:dyDescent="0.25">
      <c r="A857" s="29">
        <f t="shared" si="241"/>
        <v>0</v>
      </c>
      <c r="B857" s="29">
        <f t="shared" si="235"/>
        <v>0</v>
      </c>
      <c r="C857" s="29">
        <f t="shared" si="236"/>
        <v>0</v>
      </c>
      <c r="D857" s="29">
        <f t="shared" si="237"/>
        <v>0</v>
      </c>
      <c r="E857" s="29">
        <f t="shared" si="242"/>
        <v>0</v>
      </c>
      <c r="F857" s="29">
        <f t="shared" si="243"/>
        <v>0</v>
      </c>
      <c r="G857" s="29" t="str">
        <f t="shared" si="244"/>
        <v>offensive</v>
      </c>
      <c r="H857" s="16">
        <f t="shared" si="248"/>
        <v>0</v>
      </c>
      <c r="I857" s="16">
        <f t="shared" si="249"/>
        <v>0</v>
      </c>
      <c r="J857" s="16">
        <f t="shared" si="238"/>
        <v>0</v>
      </c>
      <c r="K857" s="16">
        <f t="shared" si="245"/>
        <v>0</v>
      </c>
      <c r="L857" s="67">
        <f t="shared" si="246"/>
        <v>0</v>
      </c>
      <c r="M857" s="4">
        <f t="shared" si="239"/>
        <v>0</v>
      </c>
      <c r="N857" s="4">
        <f t="shared" si="240"/>
        <v>0</v>
      </c>
      <c r="O857" s="4">
        <f t="shared" si="247"/>
        <v>0</v>
      </c>
      <c r="P857" s="4" t="e">
        <f>VLOOKUP(AJ849,'CIR Team Info'!$C$5:$E$44,2,FALSE)</f>
        <v>#N/A</v>
      </c>
      <c r="Q857" s="4" t="e">
        <f>VLOOKUP(AJ849,'CIR Team Info'!$C$5:$E$44,3,FALSE)</f>
        <v>#N/A</v>
      </c>
      <c r="R857" s="10" t="e">
        <f>VLOOKUP(AJ849,'FRC Site Data'!$B$3:$L$42,2,FALSE)</f>
        <v>#N/A</v>
      </c>
      <c r="S857" s="10" t="e">
        <f>VLOOKUP(AJ849,'FRC Site Data'!$B$3:$L$42,3,FALSE)</f>
        <v>#N/A</v>
      </c>
      <c r="T857" s="10" t="e">
        <f>VLOOKUP(AJ849,'FRC Site Data'!$B$3:$L$42,4,FALSE)</f>
        <v>#N/A</v>
      </c>
      <c r="U857" s="10" t="e">
        <f>VLOOKUP(AJ849,'FRC Site Data'!$B$3:$L$42,5,FALSE)</f>
        <v>#N/A</v>
      </c>
      <c r="V857" s="10" t="e">
        <f>VLOOKUP(AJ849,'FRC Site Data'!$B$3:$L$42,6,FALSE)</f>
        <v>#N/A</v>
      </c>
      <c r="W857" s="10" t="e">
        <f>VLOOKUP(AJ849,'FRC Site Data'!$B$3:$L$42,8,FALSE)</f>
        <v>#N/A</v>
      </c>
      <c r="X857" s="10" t="e">
        <f>VLOOKUP(AJ849,'FRC Site Data'!$B$3:$L$42,9,FALSE)</f>
        <v>#N/A</v>
      </c>
      <c r="Y857" s="10" t="e">
        <f>VLOOKUP(AJ849,'FRC Site Data'!$B$3:$L$42,10,FALSE)</f>
        <v>#N/A</v>
      </c>
      <c r="Z857" s="10" t="e">
        <f>VLOOKUP(AJ849,'FRC Site Data'!$B$3:$L$42,11,FALSE)</f>
        <v>#N/A</v>
      </c>
      <c r="AA857" s="10" t="e">
        <f>VLOOKUP(AJ849,'CIR Team Info'!$C$5:$E$44,4,FALSE)</f>
        <v>#N/A</v>
      </c>
      <c r="AB857" s="161" t="b">
        <f>ISNUMBER(VLOOKUP(AJ849,Match!$T$5:$T$10,1,FALSE))</f>
        <v>0</v>
      </c>
      <c r="AC857" s="161" t="b">
        <f>IF(AB857=TRUE,(VLOOKUP($AJ849,Match!$T$5:$U$10,2,FALSE)))</f>
        <v>0</v>
      </c>
      <c r="AD857" s="8">
        <v>3</v>
      </c>
      <c r="AE857" s="8">
        <v>2</v>
      </c>
      <c r="AF857" s="8">
        <v>2</v>
      </c>
      <c r="AG857" s="8">
        <v>1</v>
      </c>
      <c r="AH857" s="8" t="str">
        <f t="shared" si="234"/>
        <v/>
      </c>
    </row>
    <row r="858" spans="1:34" x14ac:dyDescent="0.25">
      <c r="A858" s="29">
        <f t="shared" si="241"/>
        <v>0</v>
      </c>
      <c r="B858" s="29">
        <f t="shared" si="235"/>
        <v>0</v>
      </c>
      <c r="C858" s="29">
        <f t="shared" si="236"/>
        <v>0</v>
      </c>
      <c r="D858" s="29">
        <f t="shared" si="237"/>
        <v>0</v>
      </c>
      <c r="E858" s="29">
        <f t="shared" si="242"/>
        <v>0</v>
      </c>
      <c r="F858" s="29">
        <f t="shared" si="243"/>
        <v>0</v>
      </c>
      <c r="G858" s="29" t="str">
        <f t="shared" si="244"/>
        <v>offensive</v>
      </c>
      <c r="H858" s="16">
        <f t="shared" si="248"/>
        <v>0</v>
      </c>
      <c r="I858" s="16">
        <f t="shared" si="249"/>
        <v>0</v>
      </c>
      <c r="J858" s="16">
        <f t="shared" si="238"/>
        <v>0</v>
      </c>
      <c r="K858" s="16">
        <f t="shared" si="245"/>
        <v>0</v>
      </c>
      <c r="L858" s="67">
        <f t="shared" si="246"/>
        <v>0</v>
      </c>
      <c r="M858" s="4">
        <f t="shared" si="239"/>
        <v>0</v>
      </c>
      <c r="N858" s="4">
        <f t="shared" si="240"/>
        <v>0</v>
      </c>
      <c r="O858" s="4">
        <f t="shared" si="247"/>
        <v>0</v>
      </c>
      <c r="P858" s="4" t="e">
        <f>VLOOKUP(AJ850,'CIR Team Info'!$C$5:$E$44,2,FALSE)</f>
        <v>#N/A</v>
      </c>
      <c r="Q858" s="4" t="e">
        <f>VLOOKUP(AJ850,'CIR Team Info'!$C$5:$E$44,3,FALSE)</f>
        <v>#N/A</v>
      </c>
      <c r="R858" s="10" t="e">
        <f>VLOOKUP(AJ850,'FRC Site Data'!$B$3:$L$42,2,FALSE)</f>
        <v>#N/A</v>
      </c>
      <c r="S858" s="10" t="e">
        <f>VLOOKUP(AJ850,'FRC Site Data'!$B$3:$L$42,3,FALSE)</f>
        <v>#N/A</v>
      </c>
      <c r="T858" s="10" t="e">
        <f>VLOOKUP(AJ850,'FRC Site Data'!$B$3:$L$42,4,FALSE)</f>
        <v>#N/A</v>
      </c>
      <c r="U858" s="10" t="e">
        <f>VLOOKUP(AJ850,'FRC Site Data'!$B$3:$L$42,5,FALSE)</f>
        <v>#N/A</v>
      </c>
      <c r="V858" s="10" t="e">
        <f>VLOOKUP(AJ850,'FRC Site Data'!$B$3:$L$42,6,FALSE)</f>
        <v>#N/A</v>
      </c>
      <c r="W858" s="10" t="e">
        <f>VLOOKUP(AJ850,'FRC Site Data'!$B$3:$L$42,8,FALSE)</f>
        <v>#N/A</v>
      </c>
      <c r="X858" s="10" t="e">
        <f>VLOOKUP(AJ850,'FRC Site Data'!$B$3:$L$42,9,FALSE)</f>
        <v>#N/A</v>
      </c>
      <c r="Y858" s="10" t="e">
        <f>VLOOKUP(AJ850,'FRC Site Data'!$B$3:$L$42,10,FALSE)</f>
        <v>#N/A</v>
      </c>
      <c r="Z858" s="10" t="e">
        <f>VLOOKUP(AJ850,'FRC Site Data'!$B$3:$L$42,11,FALSE)</f>
        <v>#N/A</v>
      </c>
      <c r="AA858" s="10" t="e">
        <f>VLOOKUP(AJ850,'CIR Team Info'!$C$5:$E$44,4,FALSE)</f>
        <v>#N/A</v>
      </c>
      <c r="AB858" s="161" t="b">
        <f>ISNUMBER(VLOOKUP(AJ850,Match!$T$5:$T$10,1,FALSE))</f>
        <v>0</v>
      </c>
      <c r="AC858" s="161" t="b">
        <f>IF(AB858=TRUE,(VLOOKUP($AJ850,Match!$T$5:$U$10,2,FALSE)))</f>
        <v>0</v>
      </c>
      <c r="AD858" s="8">
        <v>3</v>
      </c>
      <c r="AE858" s="8">
        <v>2</v>
      </c>
      <c r="AF858" s="8">
        <v>2</v>
      </c>
      <c r="AG858" s="8">
        <v>1</v>
      </c>
      <c r="AH858" s="8" t="str">
        <f t="shared" si="234"/>
        <v/>
      </c>
    </row>
    <row r="859" spans="1:34" x14ac:dyDescent="0.25">
      <c r="A859" s="29">
        <f t="shared" si="241"/>
        <v>0</v>
      </c>
      <c r="B859" s="29">
        <f t="shared" si="235"/>
        <v>0</v>
      </c>
      <c r="C859" s="29">
        <f t="shared" si="236"/>
        <v>0</v>
      </c>
      <c r="D859" s="29">
        <f t="shared" si="237"/>
        <v>0</v>
      </c>
      <c r="E859" s="29">
        <f t="shared" si="242"/>
        <v>0</v>
      </c>
      <c r="F859" s="29">
        <f t="shared" si="243"/>
        <v>0</v>
      </c>
      <c r="G859" s="29" t="str">
        <f t="shared" si="244"/>
        <v>offensive</v>
      </c>
      <c r="H859" s="16">
        <f t="shared" si="248"/>
        <v>0</v>
      </c>
      <c r="I859" s="16">
        <f t="shared" si="249"/>
        <v>0</v>
      </c>
      <c r="J859" s="16">
        <f t="shared" si="238"/>
        <v>0</v>
      </c>
      <c r="K859" s="16">
        <f t="shared" si="245"/>
        <v>0</v>
      </c>
      <c r="L859" s="67">
        <f t="shared" si="246"/>
        <v>0</v>
      </c>
      <c r="M859" s="4">
        <f t="shared" si="239"/>
        <v>0</v>
      </c>
      <c r="N859" s="4">
        <f t="shared" si="240"/>
        <v>0</v>
      </c>
      <c r="O859" s="4">
        <f t="shared" si="247"/>
        <v>0</v>
      </c>
      <c r="P859" s="4" t="e">
        <f>VLOOKUP(AJ851,'CIR Team Info'!$C$5:$E$44,2,FALSE)</f>
        <v>#N/A</v>
      </c>
      <c r="Q859" s="4" t="e">
        <f>VLOOKUP(AJ851,'CIR Team Info'!$C$5:$E$44,3,FALSE)</f>
        <v>#N/A</v>
      </c>
      <c r="R859" s="10" t="e">
        <f>VLOOKUP(AJ851,'FRC Site Data'!$B$3:$L$42,2,FALSE)</f>
        <v>#N/A</v>
      </c>
      <c r="S859" s="10" t="e">
        <f>VLOOKUP(AJ851,'FRC Site Data'!$B$3:$L$42,3,FALSE)</f>
        <v>#N/A</v>
      </c>
      <c r="T859" s="10" t="e">
        <f>VLOOKUP(AJ851,'FRC Site Data'!$B$3:$L$42,4,FALSE)</f>
        <v>#N/A</v>
      </c>
      <c r="U859" s="10" t="e">
        <f>VLOOKUP(AJ851,'FRC Site Data'!$B$3:$L$42,5,FALSE)</f>
        <v>#N/A</v>
      </c>
      <c r="V859" s="10" t="e">
        <f>VLOOKUP(AJ851,'FRC Site Data'!$B$3:$L$42,6,FALSE)</f>
        <v>#N/A</v>
      </c>
      <c r="W859" s="10" t="e">
        <f>VLOOKUP(AJ851,'FRC Site Data'!$B$3:$L$42,8,FALSE)</f>
        <v>#N/A</v>
      </c>
      <c r="X859" s="10" t="e">
        <f>VLOOKUP(AJ851,'FRC Site Data'!$B$3:$L$42,9,FALSE)</f>
        <v>#N/A</v>
      </c>
      <c r="Y859" s="10" t="e">
        <f>VLOOKUP(AJ851,'FRC Site Data'!$B$3:$L$42,10,FALSE)</f>
        <v>#N/A</v>
      </c>
      <c r="Z859" s="10" t="e">
        <f>VLOOKUP(AJ851,'FRC Site Data'!$B$3:$L$42,11,FALSE)</f>
        <v>#N/A</v>
      </c>
      <c r="AA859" s="10" t="e">
        <f>VLOOKUP(AJ851,'CIR Team Info'!$C$5:$E$44,4,FALSE)</f>
        <v>#N/A</v>
      </c>
      <c r="AB859" s="161" t="b">
        <f>ISNUMBER(VLOOKUP(AJ851,Match!$T$5:$T$10,1,FALSE))</f>
        <v>0</v>
      </c>
      <c r="AC859" s="161" t="b">
        <f>IF(AB859=TRUE,(VLOOKUP($AJ851,Match!$T$5:$U$10,2,FALSE)))</f>
        <v>0</v>
      </c>
      <c r="AD859" s="8">
        <v>3</v>
      </c>
      <c r="AE859" s="8">
        <v>2</v>
      </c>
      <c r="AF859" s="8">
        <v>2</v>
      </c>
      <c r="AG859" s="8">
        <v>1</v>
      </c>
      <c r="AH859" s="8" t="str">
        <f t="shared" si="234"/>
        <v/>
      </c>
    </row>
    <row r="860" spans="1:34" x14ac:dyDescent="0.25">
      <c r="A860" s="29">
        <f t="shared" si="241"/>
        <v>0</v>
      </c>
      <c r="B860" s="29">
        <f t="shared" si="235"/>
        <v>0</v>
      </c>
      <c r="C860" s="29">
        <f t="shared" si="236"/>
        <v>0</v>
      </c>
      <c r="D860" s="29">
        <f t="shared" si="237"/>
        <v>0</v>
      </c>
      <c r="E860" s="29">
        <f t="shared" si="242"/>
        <v>0</v>
      </c>
      <c r="F860" s="29">
        <f t="shared" si="243"/>
        <v>0</v>
      </c>
      <c r="G860" s="29" t="str">
        <f t="shared" si="244"/>
        <v>offensive</v>
      </c>
      <c r="H860" s="16">
        <f t="shared" si="248"/>
        <v>0</v>
      </c>
      <c r="I860" s="16">
        <f t="shared" si="249"/>
        <v>0</v>
      </c>
      <c r="J860" s="16">
        <f t="shared" si="238"/>
        <v>0</v>
      </c>
      <c r="K860" s="16">
        <f t="shared" si="245"/>
        <v>0</v>
      </c>
      <c r="L860" s="67">
        <f t="shared" si="246"/>
        <v>0</v>
      </c>
      <c r="M860" s="4">
        <f t="shared" si="239"/>
        <v>0</v>
      </c>
      <c r="N860" s="4">
        <f t="shared" si="240"/>
        <v>0</v>
      </c>
      <c r="O860" s="4">
        <f t="shared" si="247"/>
        <v>0</v>
      </c>
      <c r="P860" s="4" t="e">
        <f>VLOOKUP(AJ852,'CIR Team Info'!$C$5:$E$44,2,FALSE)</f>
        <v>#N/A</v>
      </c>
      <c r="Q860" s="4" t="e">
        <f>VLOOKUP(AJ852,'CIR Team Info'!$C$5:$E$44,3,FALSE)</f>
        <v>#N/A</v>
      </c>
      <c r="R860" s="10" t="e">
        <f>VLOOKUP(AJ852,'FRC Site Data'!$B$3:$L$42,2,FALSE)</f>
        <v>#N/A</v>
      </c>
      <c r="S860" s="10" t="e">
        <f>VLOOKUP(AJ852,'FRC Site Data'!$B$3:$L$42,3,FALSE)</f>
        <v>#N/A</v>
      </c>
      <c r="T860" s="10" t="e">
        <f>VLOOKUP(AJ852,'FRC Site Data'!$B$3:$L$42,4,FALSE)</f>
        <v>#N/A</v>
      </c>
      <c r="U860" s="10" t="e">
        <f>VLOOKUP(AJ852,'FRC Site Data'!$B$3:$L$42,5,FALSE)</f>
        <v>#N/A</v>
      </c>
      <c r="V860" s="10" t="e">
        <f>VLOOKUP(AJ852,'FRC Site Data'!$B$3:$L$42,6,FALSE)</f>
        <v>#N/A</v>
      </c>
      <c r="W860" s="10" t="e">
        <f>VLOOKUP(AJ852,'FRC Site Data'!$B$3:$L$42,8,FALSE)</f>
        <v>#N/A</v>
      </c>
      <c r="X860" s="10" t="e">
        <f>VLOOKUP(AJ852,'FRC Site Data'!$B$3:$L$42,9,FALSE)</f>
        <v>#N/A</v>
      </c>
      <c r="Y860" s="10" t="e">
        <f>VLOOKUP(AJ852,'FRC Site Data'!$B$3:$L$42,10,FALSE)</f>
        <v>#N/A</v>
      </c>
      <c r="Z860" s="10" t="e">
        <f>VLOOKUP(AJ852,'FRC Site Data'!$B$3:$L$42,11,FALSE)</f>
        <v>#N/A</v>
      </c>
      <c r="AA860" s="10" t="e">
        <f>VLOOKUP(AJ852,'CIR Team Info'!$C$5:$E$44,4,FALSE)</f>
        <v>#N/A</v>
      </c>
      <c r="AB860" s="161" t="b">
        <f>ISNUMBER(VLOOKUP(AJ852,Match!$T$5:$T$10,1,FALSE))</f>
        <v>0</v>
      </c>
      <c r="AC860" s="161" t="b">
        <f>IF(AB860=TRUE,(VLOOKUP($AJ852,Match!$T$5:$U$10,2,FALSE)))</f>
        <v>0</v>
      </c>
      <c r="AD860" s="8">
        <v>3</v>
      </c>
      <c r="AE860" s="8">
        <v>2</v>
      </c>
      <c r="AF860" s="8">
        <v>2</v>
      </c>
      <c r="AG860" s="8">
        <v>1</v>
      </c>
      <c r="AH860" s="8" t="str">
        <f t="shared" si="234"/>
        <v/>
      </c>
    </row>
    <row r="861" spans="1:34" x14ac:dyDescent="0.25">
      <c r="A861" s="29">
        <f t="shared" si="241"/>
        <v>0</v>
      </c>
      <c r="B861" s="29">
        <f t="shared" si="235"/>
        <v>0</v>
      </c>
      <c r="C861" s="29">
        <f t="shared" si="236"/>
        <v>0</v>
      </c>
      <c r="D861" s="29">
        <f t="shared" si="237"/>
        <v>0</v>
      </c>
      <c r="E861" s="29">
        <f t="shared" si="242"/>
        <v>0</v>
      </c>
      <c r="F861" s="29">
        <f t="shared" si="243"/>
        <v>0</v>
      </c>
      <c r="G861" s="29" t="str">
        <f t="shared" si="244"/>
        <v>offensive</v>
      </c>
      <c r="H861" s="16">
        <f t="shared" si="248"/>
        <v>0</v>
      </c>
      <c r="I861" s="16">
        <f t="shared" si="249"/>
        <v>0</v>
      </c>
      <c r="J861" s="16">
        <f t="shared" si="238"/>
        <v>0</v>
      </c>
      <c r="K861" s="16">
        <f t="shared" si="245"/>
        <v>0</v>
      </c>
      <c r="L861" s="67">
        <f t="shared" si="246"/>
        <v>0</v>
      </c>
      <c r="M861" s="4">
        <f t="shared" si="239"/>
        <v>0</v>
      </c>
      <c r="N861" s="4">
        <f t="shared" si="240"/>
        <v>0</v>
      </c>
      <c r="O861" s="4">
        <f t="shared" si="247"/>
        <v>0</v>
      </c>
      <c r="P861" s="4" t="e">
        <f>VLOOKUP(AJ853,'CIR Team Info'!$C$5:$E$44,2,FALSE)</f>
        <v>#N/A</v>
      </c>
      <c r="Q861" s="4" t="e">
        <f>VLOOKUP(AJ853,'CIR Team Info'!$C$5:$E$44,3,FALSE)</f>
        <v>#N/A</v>
      </c>
      <c r="R861" s="10" t="e">
        <f>VLOOKUP(AJ853,'FRC Site Data'!$B$3:$L$42,2,FALSE)</f>
        <v>#N/A</v>
      </c>
      <c r="S861" s="10" t="e">
        <f>VLOOKUP(AJ853,'FRC Site Data'!$B$3:$L$42,3,FALSE)</f>
        <v>#N/A</v>
      </c>
      <c r="T861" s="10" t="e">
        <f>VLOOKUP(AJ853,'FRC Site Data'!$B$3:$L$42,4,FALSE)</f>
        <v>#N/A</v>
      </c>
      <c r="U861" s="10" t="e">
        <f>VLOOKUP(AJ853,'FRC Site Data'!$B$3:$L$42,5,FALSE)</f>
        <v>#N/A</v>
      </c>
      <c r="V861" s="10" t="e">
        <f>VLOOKUP(AJ853,'FRC Site Data'!$B$3:$L$42,6,FALSE)</f>
        <v>#N/A</v>
      </c>
      <c r="W861" s="10" t="e">
        <f>VLOOKUP(AJ853,'FRC Site Data'!$B$3:$L$42,8,FALSE)</f>
        <v>#N/A</v>
      </c>
      <c r="X861" s="10" t="e">
        <f>VLOOKUP(AJ853,'FRC Site Data'!$B$3:$L$42,9,FALSE)</f>
        <v>#N/A</v>
      </c>
      <c r="Y861" s="10" t="e">
        <f>VLOOKUP(AJ853,'FRC Site Data'!$B$3:$L$42,10,FALSE)</f>
        <v>#N/A</v>
      </c>
      <c r="Z861" s="10" t="e">
        <f>VLOOKUP(AJ853,'FRC Site Data'!$B$3:$L$42,11,FALSE)</f>
        <v>#N/A</v>
      </c>
      <c r="AA861" s="10" t="e">
        <f>VLOOKUP(AJ853,'CIR Team Info'!$C$5:$E$44,4,FALSE)</f>
        <v>#N/A</v>
      </c>
      <c r="AB861" s="161" t="b">
        <f>ISNUMBER(VLOOKUP(AJ853,Match!$T$5:$T$10,1,FALSE))</f>
        <v>0</v>
      </c>
      <c r="AC861" s="161" t="b">
        <f>IF(AB861=TRUE,(VLOOKUP($AJ853,Match!$T$5:$U$10,2,FALSE)))</f>
        <v>0</v>
      </c>
      <c r="AD861" s="8">
        <v>3</v>
      </c>
      <c r="AE861" s="8">
        <v>2</v>
      </c>
      <c r="AF861" s="8">
        <v>2</v>
      </c>
      <c r="AG861" s="8">
        <v>1</v>
      </c>
      <c r="AH861" s="8" t="str">
        <f t="shared" si="234"/>
        <v/>
      </c>
    </row>
    <row r="862" spans="1:34" x14ac:dyDescent="0.25">
      <c r="A862" s="29">
        <f t="shared" si="241"/>
        <v>0</v>
      </c>
      <c r="B862" s="29">
        <f t="shared" si="235"/>
        <v>0</v>
      </c>
      <c r="C862" s="29">
        <f t="shared" si="236"/>
        <v>0</v>
      </c>
      <c r="D862" s="29">
        <f t="shared" si="237"/>
        <v>0</v>
      </c>
      <c r="E862" s="29">
        <f t="shared" si="242"/>
        <v>0</v>
      </c>
      <c r="F862" s="29">
        <f t="shared" si="243"/>
        <v>0</v>
      </c>
      <c r="G862" s="29" t="str">
        <f t="shared" si="244"/>
        <v>offensive</v>
      </c>
      <c r="H862" s="16">
        <f t="shared" si="248"/>
        <v>0</v>
      </c>
      <c r="I862" s="16">
        <f t="shared" si="249"/>
        <v>0</v>
      </c>
      <c r="J862" s="16">
        <f t="shared" si="238"/>
        <v>0</v>
      </c>
      <c r="K862" s="16">
        <f t="shared" si="245"/>
        <v>0</v>
      </c>
      <c r="L862" s="67">
        <f t="shared" si="246"/>
        <v>0</v>
      </c>
      <c r="M862" s="4">
        <f t="shared" si="239"/>
        <v>0</v>
      </c>
      <c r="N862" s="4">
        <f t="shared" si="240"/>
        <v>0</v>
      </c>
      <c r="O862" s="4">
        <f t="shared" si="247"/>
        <v>0</v>
      </c>
      <c r="P862" s="4" t="e">
        <f>VLOOKUP(AJ854,'CIR Team Info'!$C$5:$E$44,2,FALSE)</f>
        <v>#N/A</v>
      </c>
      <c r="Q862" s="4" t="e">
        <f>VLOOKUP(AJ854,'CIR Team Info'!$C$5:$E$44,3,FALSE)</f>
        <v>#N/A</v>
      </c>
      <c r="R862" s="10" t="e">
        <f>VLOOKUP(AJ854,'FRC Site Data'!$B$3:$L$42,2,FALSE)</f>
        <v>#N/A</v>
      </c>
      <c r="S862" s="10" t="e">
        <f>VLOOKUP(AJ854,'FRC Site Data'!$B$3:$L$42,3,FALSE)</f>
        <v>#N/A</v>
      </c>
      <c r="T862" s="10" t="e">
        <f>VLOOKUP(AJ854,'FRC Site Data'!$B$3:$L$42,4,FALSE)</f>
        <v>#N/A</v>
      </c>
      <c r="U862" s="10" t="e">
        <f>VLOOKUP(AJ854,'FRC Site Data'!$B$3:$L$42,5,FALSE)</f>
        <v>#N/A</v>
      </c>
      <c r="V862" s="10" t="e">
        <f>VLOOKUP(AJ854,'FRC Site Data'!$B$3:$L$42,6,FALSE)</f>
        <v>#N/A</v>
      </c>
      <c r="W862" s="10" t="e">
        <f>VLOOKUP(AJ854,'FRC Site Data'!$B$3:$L$42,8,FALSE)</f>
        <v>#N/A</v>
      </c>
      <c r="X862" s="10" t="e">
        <f>VLOOKUP(AJ854,'FRC Site Data'!$B$3:$L$42,9,FALSE)</f>
        <v>#N/A</v>
      </c>
      <c r="Y862" s="10" t="e">
        <f>VLOOKUP(AJ854,'FRC Site Data'!$B$3:$L$42,10,FALSE)</f>
        <v>#N/A</v>
      </c>
      <c r="Z862" s="10" t="e">
        <f>VLOOKUP(AJ854,'FRC Site Data'!$B$3:$L$42,11,FALSE)</f>
        <v>#N/A</v>
      </c>
      <c r="AA862" s="10" t="e">
        <f>VLOOKUP(AJ854,'CIR Team Info'!$C$5:$E$44,4,FALSE)</f>
        <v>#N/A</v>
      </c>
      <c r="AB862" s="161" t="b">
        <f>ISNUMBER(VLOOKUP(AJ854,Match!$T$5:$T$10,1,FALSE))</f>
        <v>0</v>
      </c>
      <c r="AC862" s="161" t="b">
        <f>IF(AB862=TRUE,(VLOOKUP($AJ854,Match!$T$5:$U$10,2,FALSE)))</f>
        <v>0</v>
      </c>
      <c r="AD862" s="8">
        <v>3</v>
      </c>
      <c r="AE862" s="8">
        <v>2</v>
      </c>
      <c r="AF862" s="8">
        <v>2</v>
      </c>
      <c r="AG862" s="8">
        <v>1</v>
      </c>
      <c r="AH862" s="8" t="str">
        <f t="shared" si="234"/>
        <v/>
      </c>
    </row>
    <row r="863" spans="1:34" x14ac:dyDescent="0.25">
      <c r="A863" s="29">
        <f t="shared" si="241"/>
        <v>0</v>
      </c>
      <c r="B863" s="29">
        <f t="shared" si="235"/>
        <v>0</v>
      </c>
      <c r="C863" s="29">
        <f t="shared" si="236"/>
        <v>0</v>
      </c>
      <c r="D863" s="29">
        <f t="shared" si="237"/>
        <v>0</v>
      </c>
      <c r="E863" s="29">
        <f t="shared" si="242"/>
        <v>0</v>
      </c>
      <c r="F863" s="29">
        <f t="shared" si="243"/>
        <v>0</v>
      </c>
      <c r="G863" s="29" t="str">
        <f t="shared" si="244"/>
        <v>offensive</v>
      </c>
      <c r="H863" s="16">
        <f t="shared" si="248"/>
        <v>0</v>
      </c>
      <c r="I863" s="16">
        <f t="shared" si="249"/>
        <v>0</v>
      </c>
      <c r="J863" s="16">
        <f t="shared" si="238"/>
        <v>0</v>
      </c>
      <c r="K863" s="16">
        <f t="shared" si="245"/>
        <v>0</v>
      </c>
      <c r="L863" s="67">
        <f t="shared" si="246"/>
        <v>0</v>
      </c>
      <c r="M863" s="4">
        <f t="shared" si="239"/>
        <v>0</v>
      </c>
      <c r="N863" s="4">
        <f t="shared" si="240"/>
        <v>0</v>
      </c>
      <c r="O863" s="4">
        <f t="shared" si="247"/>
        <v>0</v>
      </c>
      <c r="P863" s="4" t="e">
        <f>VLOOKUP(AJ855,'CIR Team Info'!$C$5:$E$44,2,FALSE)</f>
        <v>#N/A</v>
      </c>
      <c r="Q863" s="4" t="e">
        <f>VLOOKUP(AJ855,'CIR Team Info'!$C$5:$E$44,3,FALSE)</f>
        <v>#N/A</v>
      </c>
      <c r="R863" s="10" t="e">
        <f>VLOOKUP(AJ855,'FRC Site Data'!$B$3:$L$42,2,FALSE)</f>
        <v>#N/A</v>
      </c>
      <c r="S863" s="10" t="e">
        <f>VLOOKUP(AJ855,'FRC Site Data'!$B$3:$L$42,3,FALSE)</f>
        <v>#N/A</v>
      </c>
      <c r="T863" s="10" t="e">
        <f>VLOOKUP(AJ855,'FRC Site Data'!$B$3:$L$42,4,FALSE)</f>
        <v>#N/A</v>
      </c>
      <c r="U863" s="10" t="e">
        <f>VLOOKUP(AJ855,'FRC Site Data'!$B$3:$L$42,5,FALSE)</f>
        <v>#N/A</v>
      </c>
      <c r="V863" s="10" t="e">
        <f>VLOOKUP(AJ855,'FRC Site Data'!$B$3:$L$42,6,FALSE)</f>
        <v>#N/A</v>
      </c>
      <c r="W863" s="10" t="e">
        <f>VLOOKUP(AJ855,'FRC Site Data'!$B$3:$L$42,8,FALSE)</f>
        <v>#N/A</v>
      </c>
      <c r="X863" s="10" t="e">
        <f>VLOOKUP(AJ855,'FRC Site Data'!$B$3:$L$42,9,FALSE)</f>
        <v>#N/A</v>
      </c>
      <c r="Y863" s="10" t="e">
        <f>VLOOKUP(AJ855,'FRC Site Data'!$B$3:$L$42,10,FALSE)</f>
        <v>#N/A</v>
      </c>
      <c r="Z863" s="10" t="e">
        <f>VLOOKUP(AJ855,'FRC Site Data'!$B$3:$L$42,11,FALSE)</f>
        <v>#N/A</v>
      </c>
      <c r="AA863" s="10" t="e">
        <f>VLOOKUP(AJ855,'CIR Team Info'!$C$5:$E$44,4,FALSE)</f>
        <v>#N/A</v>
      </c>
      <c r="AB863" s="161" t="b">
        <f>ISNUMBER(VLOOKUP(AJ855,Match!$T$5:$T$10,1,FALSE))</f>
        <v>0</v>
      </c>
      <c r="AC863" s="161" t="b">
        <f>IF(AB863=TRUE,(VLOOKUP($AJ855,Match!$T$5:$U$10,2,FALSE)))</f>
        <v>0</v>
      </c>
      <c r="AD863" s="8">
        <v>3</v>
      </c>
      <c r="AE863" s="8">
        <v>2</v>
      </c>
      <c r="AF863" s="8">
        <v>2</v>
      </c>
      <c r="AG863" s="8">
        <v>1</v>
      </c>
      <c r="AH863" s="8" t="str">
        <f t="shared" si="234"/>
        <v/>
      </c>
    </row>
    <row r="864" spans="1:34" x14ac:dyDescent="0.25">
      <c r="A864" s="29">
        <f t="shared" si="241"/>
        <v>0</v>
      </c>
      <c r="B864" s="29">
        <f t="shared" si="235"/>
        <v>0</v>
      </c>
      <c r="C864" s="29">
        <f t="shared" si="236"/>
        <v>0</v>
      </c>
      <c r="D864" s="29">
        <f t="shared" si="237"/>
        <v>0</v>
      </c>
      <c r="E864" s="29">
        <f t="shared" si="242"/>
        <v>0</v>
      </c>
      <c r="F864" s="29">
        <f t="shared" si="243"/>
        <v>0</v>
      </c>
      <c r="G864" s="29" t="str">
        <f t="shared" si="244"/>
        <v>offensive</v>
      </c>
      <c r="H864" s="16">
        <f t="shared" si="248"/>
        <v>0</v>
      </c>
      <c r="I864" s="16">
        <f t="shared" si="249"/>
        <v>0</v>
      </c>
      <c r="J864" s="16">
        <f t="shared" si="238"/>
        <v>0</v>
      </c>
      <c r="K864" s="16">
        <f t="shared" si="245"/>
        <v>0</v>
      </c>
      <c r="L864" s="67">
        <f t="shared" si="246"/>
        <v>0</v>
      </c>
      <c r="M864" s="4">
        <f t="shared" si="239"/>
        <v>0</v>
      </c>
      <c r="N864" s="4">
        <f t="shared" si="240"/>
        <v>0</v>
      </c>
      <c r="O864" s="4">
        <f t="shared" si="247"/>
        <v>0</v>
      </c>
      <c r="P864" s="4" t="e">
        <f>VLOOKUP(AJ856,'CIR Team Info'!$C$5:$E$44,2,FALSE)</f>
        <v>#N/A</v>
      </c>
      <c r="Q864" s="4" t="e">
        <f>VLOOKUP(AJ856,'CIR Team Info'!$C$5:$E$44,3,FALSE)</f>
        <v>#N/A</v>
      </c>
      <c r="R864" s="10" t="e">
        <f>VLOOKUP(AJ856,'FRC Site Data'!$B$3:$L$42,2,FALSE)</f>
        <v>#N/A</v>
      </c>
      <c r="S864" s="10" t="e">
        <f>VLOOKUP(AJ856,'FRC Site Data'!$B$3:$L$42,3,FALSE)</f>
        <v>#N/A</v>
      </c>
      <c r="T864" s="10" t="e">
        <f>VLOOKUP(AJ856,'FRC Site Data'!$B$3:$L$42,4,FALSE)</f>
        <v>#N/A</v>
      </c>
      <c r="U864" s="10" t="e">
        <f>VLOOKUP(AJ856,'FRC Site Data'!$B$3:$L$42,5,FALSE)</f>
        <v>#N/A</v>
      </c>
      <c r="V864" s="10" t="e">
        <f>VLOOKUP(AJ856,'FRC Site Data'!$B$3:$L$42,6,FALSE)</f>
        <v>#N/A</v>
      </c>
      <c r="W864" s="10" t="e">
        <f>VLOOKUP(AJ856,'FRC Site Data'!$B$3:$L$42,8,FALSE)</f>
        <v>#N/A</v>
      </c>
      <c r="X864" s="10" t="e">
        <f>VLOOKUP(AJ856,'FRC Site Data'!$B$3:$L$42,9,FALSE)</f>
        <v>#N/A</v>
      </c>
      <c r="Y864" s="10" t="e">
        <f>VLOOKUP(AJ856,'FRC Site Data'!$B$3:$L$42,10,FALSE)</f>
        <v>#N/A</v>
      </c>
      <c r="Z864" s="10" t="e">
        <f>VLOOKUP(AJ856,'FRC Site Data'!$B$3:$L$42,11,FALSE)</f>
        <v>#N/A</v>
      </c>
      <c r="AA864" s="10" t="e">
        <f>VLOOKUP(AJ856,'CIR Team Info'!$C$5:$E$44,4,FALSE)</f>
        <v>#N/A</v>
      </c>
      <c r="AB864" s="161" t="b">
        <f>ISNUMBER(VLOOKUP(AJ856,Match!$T$5:$T$10,1,FALSE))</f>
        <v>0</v>
      </c>
      <c r="AC864" s="161" t="b">
        <f>IF(AB864=TRUE,(VLOOKUP($AJ856,Match!$T$5:$U$10,2,FALSE)))</f>
        <v>0</v>
      </c>
      <c r="AD864" s="8">
        <v>3</v>
      </c>
      <c r="AE864" s="8">
        <v>2</v>
      </c>
      <c r="AF864" s="8">
        <v>2</v>
      </c>
      <c r="AG864" s="8">
        <v>1</v>
      </c>
      <c r="AH864" s="8" t="str">
        <f t="shared" si="234"/>
        <v/>
      </c>
    </row>
    <row r="865" spans="1:34" x14ac:dyDescent="0.25">
      <c r="A865" s="29">
        <f t="shared" si="241"/>
        <v>0</v>
      </c>
      <c r="B865" s="29">
        <f t="shared" si="235"/>
        <v>0</v>
      </c>
      <c r="C865" s="29">
        <f t="shared" si="236"/>
        <v>0</v>
      </c>
      <c r="D865" s="29">
        <f t="shared" si="237"/>
        <v>0</v>
      </c>
      <c r="E865" s="29">
        <f t="shared" si="242"/>
        <v>0</v>
      </c>
      <c r="F865" s="29">
        <f t="shared" si="243"/>
        <v>0</v>
      </c>
      <c r="G865" s="29" t="str">
        <f t="shared" si="244"/>
        <v>offensive</v>
      </c>
      <c r="H865" s="16">
        <f t="shared" si="248"/>
        <v>0</v>
      </c>
      <c r="I865" s="16">
        <f t="shared" si="249"/>
        <v>0</v>
      </c>
      <c r="J865" s="16">
        <f t="shared" si="238"/>
        <v>0</v>
      </c>
      <c r="K865" s="16">
        <f t="shared" si="245"/>
        <v>0</v>
      </c>
      <c r="L865" s="67">
        <f t="shared" si="246"/>
        <v>0</v>
      </c>
      <c r="M865" s="4">
        <f t="shared" si="239"/>
        <v>0</v>
      </c>
      <c r="N865" s="4">
        <f t="shared" si="240"/>
        <v>0</v>
      </c>
      <c r="O865" s="4">
        <f t="shared" si="247"/>
        <v>0</v>
      </c>
      <c r="P865" s="4" t="e">
        <f>VLOOKUP(AJ857,'CIR Team Info'!$C$5:$E$44,2,FALSE)</f>
        <v>#N/A</v>
      </c>
      <c r="Q865" s="4" t="e">
        <f>VLOOKUP(AJ857,'CIR Team Info'!$C$5:$E$44,3,FALSE)</f>
        <v>#N/A</v>
      </c>
      <c r="R865" s="10" t="e">
        <f>VLOOKUP(AJ857,'FRC Site Data'!$B$3:$L$42,2,FALSE)</f>
        <v>#N/A</v>
      </c>
      <c r="S865" s="10" t="e">
        <f>VLOOKUP(AJ857,'FRC Site Data'!$B$3:$L$42,3,FALSE)</f>
        <v>#N/A</v>
      </c>
      <c r="T865" s="10" t="e">
        <f>VLOOKUP(AJ857,'FRC Site Data'!$B$3:$L$42,4,FALSE)</f>
        <v>#N/A</v>
      </c>
      <c r="U865" s="10" t="e">
        <f>VLOOKUP(AJ857,'FRC Site Data'!$B$3:$L$42,5,FALSE)</f>
        <v>#N/A</v>
      </c>
      <c r="V865" s="10" t="e">
        <f>VLOOKUP(AJ857,'FRC Site Data'!$B$3:$L$42,6,FALSE)</f>
        <v>#N/A</v>
      </c>
      <c r="W865" s="10" t="e">
        <f>VLOOKUP(AJ857,'FRC Site Data'!$B$3:$L$42,8,FALSE)</f>
        <v>#N/A</v>
      </c>
      <c r="X865" s="10" t="e">
        <f>VLOOKUP(AJ857,'FRC Site Data'!$B$3:$L$42,9,FALSE)</f>
        <v>#N/A</v>
      </c>
      <c r="Y865" s="10" t="e">
        <f>VLOOKUP(AJ857,'FRC Site Data'!$B$3:$L$42,10,FALSE)</f>
        <v>#N/A</v>
      </c>
      <c r="Z865" s="10" t="e">
        <f>VLOOKUP(AJ857,'FRC Site Data'!$B$3:$L$42,11,FALSE)</f>
        <v>#N/A</v>
      </c>
      <c r="AA865" s="10" t="e">
        <f>VLOOKUP(AJ857,'CIR Team Info'!$C$5:$E$44,4,FALSE)</f>
        <v>#N/A</v>
      </c>
      <c r="AB865" s="161" t="b">
        <f>ISNUMBER(VLOOKUP(AJ857,Match!$T$5:$T$10,1,FALSE))</f>
        <v>0</v>
      </c>
      <c r="AC865" s="161" t="b">
        <f>IF(AB865=TRUE,(VLOOKUP($AJ857,Match!$T$5:$U$10,2,FALSE)))</f>
        <v>0</v>
      </c>
      <c r="AD865" s="8">
        <v>3</v>
      </c>
      <c r="AE865" s="8">
        <v>2</v>
      </c>
      <c r="AF865" s="8">
        <v>2</v>
      </c>
      <c r="AG865" s="8">
        <v>1</v>
      </c>
      <c r="AH865" s="8" t="str">
        <f t="shared" si="234"/>
        <v/>
      </c>
    </row>
    <row r="866" spans="1:34" x14ac:dyDescent="0.25">
      <c r="A866" s="29">
        <f t="shared" si="241"/>
        <v>0</v>
      </c>
      <c r="B866" s="29">
        <f t="shared" si="235"/>
        <v>0</v>
      </c>
      <c r="C866" s="29">
        <f t="shared" si="236"/>
        <v>0</v>
      </c>
      <c r="D866" s="29">
        <f t="shared" si="237"/>
        <v>0</v>
      </c>
      <c r="E866" s="29">
        <f t="shared" si="242"/>
        <v>0</v>
      </c>
      <c r="F866" s="29">
        <f t="shared" si="243"/>
        <v>0</v>
      </c>
      <c r="G866" s="29" t="str">
        <f t="shared" si="244"/>
        <v>offensive</v>
      </c>
      <c r="H866" s="16">
        <f t="shared" si="248"/>
        <v>0</v>
      </c>
      <c r="I866" s="16">
        <f t="shared" si="249"/>
        <v>0</v>
      </c>
      <c r="J866" s="16">
        <f t="shared" si="238"/>
        <v>0</v>
      </c>
      <c r="K866" s="16">
        <f t="shared" si="245"/>
        <v>0</v>
      </c>
      <c r="L866" s="67">
        <f t="shared" si="246"/>
        <v>0</v>
      </c>
      <c r="M866" s="4">
        <f t="shared" si="239"/>
        <v>0</v>
      </c>
      <c r="N866" s="4">
        <f t="shared" si="240"/>
        <v>0</v>
      </c>
      <c r="O866" s="4">
        <f t="shared" si="247"/>
        <v>0</v>
      </c>
      <c r="P866" s="4" t="e">
        <f>VLOOKUP(AJ858,'CIR Team Info'!$C$5:$E$44,2,FALSE)</f>
        <v>#N/A</v>
      </c>
      <c r="Q866" s="4" t="e">
        <f>VLOOKUP(AJ858,'CIR Team Info'!$C$5:$E$44,3,FALSE)</f>
        <v>#N/A</v>
      </c>
      <c r="R866" s="10" t="e">
        <f>VLOOKUP(AJ858,'FRC Site Data'!$B$3:$L$42,2,FALSE)</f>
        <v>#N/A</v>
      </c>
      <c r="S866" s="10" t="e">
        <f>VLOOKUP(AJ858,'FRC Site Data'!$B$3:$L$42,3,FALSE)</f>
        <v>#N/A</v>
      </c>
      <c r="T866" s="10" t="e">
        <f>VLOOKUP(AJ858,'FRC Site Data'!$B$3:$L$42,4,FALSE)</f>
        <v>#N/A</v>
      </c>
      <c r="U866" s="10" t="e">
        <f>VLOOKUP(AJ858,'FRC Site Data'!$B$3:$L$42,5,FALSE)</f>
        <v>#N/A</v>
      </c>
      <c r="V866" s="10" t="e">
        <f>VLOOKUP(AJ858,'FRC Site Data'!$B$3:$L$42,6,FALSE)</f>
        <v>#N/A</v>
      </c>
      <c r="W866" s="10" t="e">
        <f>VLOOKUP(AJ858,'FRC Site Data'!$B$3:$L$42,8,FALSE)</f>
        <v>#N/A</v>
      </c>
      <c r="X866" s="10" t="e">
        <f>VLOOKUP(AJ858,'FRC Site Data'!$B$3:$L$42,9,FALSE)</f>
        <v>#N/A</v>
      </c>
      <c r="Y866" s="10" t="e">
        <f>VLOOKUP(AJ858,'FRC Site Data'!$B$3:$L$42,10,FALSE)</f>
        <v>#N/A</v>
      </c>
      <c r="Z866" s="10" t="e">
        <f>VLOOKUP(AJ858,'FRC Site Data'!$B$3:$L$42,11,FALSE)</f>
        <v>#N/A</v>
      </c>
      <c r="AA866" s="10" t="e">
        <f>VLOOKUP(AJ858,'CIR Team Info'!$C$5:$E$44,4,FALSE)</f>
        <v>#N/A</v>
      </c>
      <c r="AB866" s="161" t="b">
        <f>ISNUMBER(VLOOKUP(AJ858,Match!$T$5:$T$10,1,FALSE))</f>
        <v>0</v>
      </c>
      <c r="AC866" s="161" t="b">
        <f>IF(AB866=TRUE,(VLOOKUP($AJ858,Match!$T$5:$U$10,2,FALSE)))</f>
        <v>0</v>
      </c>
      <c r="AD866" s="8">
        <v>3</v>
      </c>
      <c r="AE866" s="8">
        <v>2</v>
      </c>
      <c r="AF866" s="8">
        <v>2</v>
      </c>
      <c r="AG866" s="8">
        <v>1</v>
      </c>
      <c r="AH866" s="8" t="str">
        <f t="shared" si="234"/>
        <v/>
      </c>
    </row>
    <row r="867" spans="1:34" x14ac:dyDescent="0.25">
      <c r="A867" s="29">
        <f t="shared" si="241"/>
        <v>0</v>
      </c>
      <c r="B867" s="29">
        <f t="shared" si="235"/>
        <v>0</v>
      </c>
      <c r="C867" s="29">
        <f t="shared" si="236"/>
        <v>0</v>
      </c>
      <c r="D867" s="29">
        <f t="shared" si="237"/>
        <v>0</v>
      </c>
      <c r="E867" s="29">
        <f t="shared" si="242"/>
        <v>0</v>
      </c>
      <c r="F867" s="29">
        <f t="shared" si="243"/>
        <v>0</v>
      </c>
      <c r="G867" s="29" t="str">
        <f t="shared" si="244"/>
        <v>offensive</v>
      </c>
      <c r="H867" s="16">
        <f t="shared" si="248"/>
        <v>0</v>
      </c>
      <c r="I867" s="16">
        <f t="shared" si="249"/>
        <v>0</v>
      </c>
      <c r="J867" s="16">
        <f t="shared" si="238"/>
        <v>0</v>
      </c>
      <c r="K867" s="16">
        <f t="shared" si="245"/>
        <v>0</v>
      </c>
      <c r="L867" s="67">
        <f t="shared" si="246"/>
        <v>0</v>
      </c>
      <c r="M867" s="4">
        <f t="shared" si="239"/>
        <v>0</v>
      </c>
      <c r="N867" s="4">
        <f t="shared" si="240"/>
        <v>0</v>
      </c>
      <c r="O867" s="4">
        <f t="shared" si="247"/>
        <v>0</v>
      </c>
      <c r="P867" s="4" t="e">
        <f>VLOOKUP(AJ859,'CIR Team Info'!$C$5:$E$44,2,FALSE)</f>
        <v>#N/A</v>
      </c>
      <c r="Q867" s="4" t="e">
        <f>VLOOKUP(AJ859,'CIR Team Info'!$C$5:$E$44,3,FALSE)</f>
        <v>#N/A</v>
      </c>
      <c r="R867" s="10" t="e">
        <f>VLOOKUP(AJ859,'FRC Site Data'!$B$3:$L$42,2,FALSE)</f>
        <v>#N/A</v>
      </c>
      <c r="S867" s="10" t="e">
        <f>VLOOKUP(AJ859,'FRC Site Data'!$B$3:$L$42,3,FALSE)</f>
        <v>#N/A</v>
      </c>
      <c r="T867" s="10" t="e">
        <f>VLOOKUP(AJ859,'FRC Site Data'!$B$3:$L$42,4,FALSE)</f>
        <v>#N/A</v>
      </c>
      <c r="U867" s="10" t="e">
        <f>VLOOKUP(AJ859,'FRC Site Data'!$B$3:$L$42,5,FALSE)</f>
        <v>#N/A</v>
      </c>
      <c r="V867" s="10" t="e">
        <f>VLOOKUP(AJ859,'FRC Site Data'!$B$3:$L$42,6,FALSE)</f>
        <v>#N/A</v>
      </c>
      <c r="W867" s="10" t="e">
        <f>VLOOKUP(AJ859,'FRC Site Data'!$B$3:$L$42,8,FALSE)</f>
        <v>#N/A</v>
      </c>
      <c r="X867" s="10" t="e">
        <f>VLOOKUP(AJ859,'FRC Site Data'!$B$3:$L$42,9,FALSE)</f>
        <v>#N/A</v>
      </c>
      <c r="Y867" s="10" t="e">
        <f>VLOOKUP(AJ859,'FRC Site Data'!$B$3:$L$42,10,FALSE)</f>
        <v>#N/A</v>
      </c>
      <c r="Z867" s="10" t="e">
        <f>VLOOKUP(AJ859,'FRC Site Data'!$B$3:$L$42,11,FALSE)</f>
        <v>#N/A</v>
      </c>
      <c r="AA867" s="10" t="e">
        <f>VLOOKUP(AJ859,'CIR Team Info'!$C$5:$E$44,4,FALSE)</f>
        <v>#N/A</v>
      </c>
      <c r="AB867" s="161" t="b">
        <f>ISNUMBER(VLOOKUP(AJ859,Match!$T$5:$T$10,1,FALSE))</f>
        <v>0</v>
      </c>
      <c r="AC867" s="161" t="b">
        <f>IF(AB867=TRUE,(VLOOKUP($AJ859,Match!$T$5:$U$10,2,FALSE)))</f>
        <v>0</v>
      </c>
      <c r="AD867" s="8">
        <v>3</v>
      </c>
      <c r="AE867" s="8">
        <v>2</v>
      </c>
      <c r="AF867" s="8">
        <v>2</v>
      </c>
      <c r="AG867" s="8">
        <v>1</v>
      </c>
      <c r="AH867" s="8" t="str">
        <f t="shared" ref="AH867:AH930" si="250">IF(AL859="Other","x","")</f>
        <v/>
      </c>
    </row>
    <row r="868" spans="1:34" x14ac:dyDescent="0.25">
      <c r="A868" s="29">
        <f t="shared" si="241"/>
        <v>0</v>
      </c>
      <c r="B868" s="29">
        <f t="shared" si="235"/>
        <v>0</v>
      </c>
      <c r="C868" s="29">
        <f t="shared" si="236"/>
        <v>0</v>
      </c>
      <c r="D868" s="29">
        <f t="shared" si="237"/>
        <v>0</v>
      </c>
      <c r="E868" s="29">
        <f t="shared" si="242"/>
        <v>0</v>
      </c>
      <c r="F868" s="29">
        <f t="shared" si="243"/>
        <v>0</v>
      </c>
      <c r="G868" s="29" t="str">
        <f t="shared" si="244"/>
        <v>offensive</v>
      </c>
      <c r="H868" s="16">
        <f t="shared" si="248"/>
        <v>0</v>
      </c>
      <c r="I868" s="16">
        <f t="shared" si="249"/>
        <v>0</v>
      </c>
      <c r="J868" s="16">
        <f t="shared" si="238"/>
        <v>0</v>
      </c>
      <c r="K868" s="16">
        <f t="shared" si="245"/>
        <v>0</v>
      </c>
      <c r="L868" s="67">
        <f t="shared" si="246"/>
        <v>0</v>
      </c>
      <c r="M868" s="4">
        <f t="shared" si="239"/>
        <v>0</v>
      </c>
      <c r="N868" s="4">
        <f t="shared" si="240"/>
        <v>0</v>
      </c>
      <c r="O868" s="4">
        <f t="shared" si="247"/>
        <v>0</v>
      </c>
      <c r="P868" s="4" t="e">
        <f>VLOOKUP(AJ860,'CIR Team Info'!$C$5:$E$44,2,FALSE)</f>
        <v>#N/A</v>
      </c>
      <c r="Q868" s="4" t="e">
        <f>VLOOKUP(AJ860,'CIR Team Info'!$C$5:$E$44,3,FALSE)</f>
        <v>#N/A</v>
      </c>
      <c r="R868" s="10" t="e">
        <f>VLOOKUP(AJ860,'FRC Site Data'!$B$3:$L$42,2,FALSE)</f>
        <v>#N/A</v>
      </c>
      <c r="S868" s="10" t="e">
        <f>VLOOKUP(AJ860,'FRC Site Data'!$B$3:$L$42,3,FALSE)</f>
        <v>#N/A</v>
      </c>
      <c r="T868" s="10" t="e">
        <f>VLOOKUP(AJ860,'FRC Site Data'!$B$3:$L$42,4,FALSE)</f>
        <v>#N/A</v>
      </c>
      <c r="U868" s="10" t="e">
        <f>VLOOKUP(AJ860,'FRC Site Data'!$B$3:$L$42,5,FALSE)</f>
        <v>#N/A</v>
      </c>
      <c r="V868" s="10" t="e">
        <f>VLOOKUP(AJ860,'FRC Site Data'!$B$3:$L$42,6,FALSE)</f>
        <v>#N/A</v>
      </c>
      <c r="W868" s="10" t="e">
        <f>VLOOKUP(AJ860,'FRC Site Data'!$B$3:$L$42,8,FALSE)</f>
        <v>#N/A</v>
      </c>
      <c r="X868" s="10" t="e">
        <f>VLOOKUP(AJ860,'FRC Site Data'!$B$3:$L$42,9,FALSE)</f>
        <v>#N/A</v>
      </c>
      <c r="Y868" s="10" t="e">
        <f>VLOOKUP(AJ860,'FRC Site Data'!$B$3:$L$42,10,FALSE)</f>
        <v>#N/A</v>
      </c>
      <c r="Z868" s="10" t="e">
        <f>VLOOKUP(AJ860,'FRC Site Data'!$B$3:$L$42,11,FALSE)</f>
        <v>#N/A</v>
      </c>
      <c r="AA868" s="10" t="e">
        <f>VLOOKUP(AJ860,'CIR Team Info'!$C$5:$E$44,4,FALSE)</f>
        <v>#N/A</v>
      </c>
      <c r="AB868" s="161" t="b">
        <f>ISNUMBER(VLOOKUP(AJ860,Match!$T$5:$T$10,1,FALSE))</f>
        <v>0</v>
      </c>
      <c r="AC868" s="161" t="b">
        <f>IF(AB868=TRUE,(VLOOKUP($AJ860,Match!$T$5:$U$10,2,FALSE)))</f>
        <v>0</v>
      </c>
      <c r="AD868" s="8">
        <v>3</v>
      </c>
      <c r="AE868" s="8">
        <v>2</v>
      </c>
      <c r="AF868" s="8">
        <v>2</v>
      </c>
      <c r="AG868" s="8">
        <v>1</v>
      </c>
      <c r="AH868" s="8" t="str">
        <f t="shared" si="250"/>
        <v/>
      </c>
    </row>
    <row r="869" spans="1:34" x14ac:dyDescent="0.25">
      <c r="A869" s="29">
        <f t="shared" si="241"/>
        <v>0</v>
      </c>
      <c r="B869" s="29">
        <f t="shared" si="235"/>
        <v>0</v>
      </c>
      <c r="C869" s="29">
        <f t="shared" si="236"/>
        <v>0</v>
      </c>
      <c r="D869" s="29">
        <f t="shared" si="237"/>
        <v>0</v>
      </c>
      <c r="E869" s="29">
        <f t="shared" si="242"/>
        <v>0</v>
      </c>
      <c r="F869" s="29">
        <f t="shared" si="243"/>
        <v>0</v>
      </c>
      <c r="G869" s="29" t="str">
        <f t="shared" si="244"/>
        <v>offensive</v>
      </c>
      <c r="H869" s="16">
        <f t="shared" si="248"/>
        <v>0</v>
      </c>
      <c r="I869" s="16">
        <f t="shared" si="249"/>
        <v>0</v>
      </c>
      <c r="J869" s="16">
        <f t="shared" si="238"/>
        <v>0</v>
      </c>
      <c r="K869" s="16">
        <f t="shared" si="245"/>
        <v>0</v>
      </c>
      <c r="L869" s="67">
        <f t="shared" si="246"/>
        <v>0</v>
      </c>
      <c r="M869" s="4">
        <f t="shared" si="239"/>
        <v>0</v>
      </c>
      <c r="N869" s="4">
        <f t="shared" si="240"/>
        <v>0</v>
      </c>
      <c r="O869" s="4">
        <f t="shared" si="247"/>
        <v>0</v>
      </c>
      <c r="P869" s="4" t="e">
        <f>VLOOKUP(AJ861,'CIR Team Info'!$C$5:$E$44,2,FALSE)</f>
        <v>#N/A</v>
      </c>
      <c r="Q869" s="4" t="e">
        <f>VLOOKUP(AJ861,'CIR Team Info'!$C$5:$E$44,3,FALSE)</f>
        <v>#N/A</v>
      </c>
      <c r="R869" s="10" t="e">
        <f>VLOOKUP(AJ861,'FRC Site Data'!$B$3:$L$42,2,FALSE)</f>
        <v>#N/A</v>
      </c>
      <c r="S869" s="10" t="e">
        <f>VLOOKUP(AJ861,'FRC Site Data'!$B$3:$L$42,3,FALSE)</f>
        <v>#N/A</v>
      </c>
      <c r="T869" s="10" t="e">
        <f>VLOOKUP(AJ861,'FRC Site Data'!$B$3:$L$42,4,FALSE)</f>
        <v>#N/A</v>
      </c>
      <c r="U869" s="10" t="e">
        <f>VLOOKUP(AJ861,'FRC Site Data'!$B$3:$L$42,5,FALSE)</f>
        <v>#N/A</v>
      </c>
      <c r="V869" s="10" t="e">
        <f>VLOOKUP(AJ861,'FRC Site Data'!$B$3:$L$42,6,FALSE)</f>
        <v>#N/A</v>
      </c>
      <c r="W869" s="10" t="e">
        <f>VLOOKUP(AJ861,'FRC Site Data'!$B$3:$L$42,8,FALSE)</f>
        <v>#N/A</v>
      </c>
      <c r="X869" s="10" t="e">
        <f>VLOOKUP(AJ861,'FRC Site Data'!$B$3:$L$42,9,FALSE)</f>
        <v>#N/A</v>
      </c>
      <c r="Y869" s="10" t="e">
        <f>VLOOKUP(AJ861,'FRC Site Data'!$B$3:$L$42,10,FALSE)</f>
        <v>#N/A</v>
      </c>
      <c r="Z869" s="10" t="e">
        <f>VLOOKUP(AJ861,'FRC Site Data'!$B$3:$L$42,11,FALSE)</f>
        <v>#N/A</v>
      </c>
      <c r="AA869" s="10" t="e">
        <f>VLOOKUP(AJ861,'CIR Team Info'!$C$5:$E$44,4,FALSE)</f>
        <v>#N/A</v>
      </c>
      <c r="AB869" s="161" t="b">
        <f>ISNUMBER(VLOOKUP(AJ861,Match!$T$5:$T$10,1,FALSE))</f>
        <v>0</v>
      </c>
      <c r="AC869" s="161" t="b">
        <f>IF(AB869=TRUE,(VLOOKUP($AJ861,Match!$T$5:$U$10,2,FALSE)))</f>
        <v>0</v>
      </c>
      <c r="AD869" s="8">
        <v>3</v>
      </c>
      <c r="AE869" s="8">
        <v>2</v>
      </c>
      <c r="AF869" s="8">
        <v>2</v>
      </c>
      <c r="AG869" s="8">
        <v>1</v>
      </c>
      <c r="AH869" s="8" t="str">
        <f t="shared" si="250"/>
        <v/>
      </c>
    </row>
    <row r="870" spans="1:34" x14ac:dyDescent="0.25">
      <c r="A870" s="29">
        <f t="shared" si="241"/>
        <v>0</v>
      </c>
      <c r="B870" s="29">
        <f t="shared" si="235"/>
        <v>0</v>
      </c>
      <c r="C870" s="29">
        <f t="shared" si="236"/>
        <v>0</v>
      </c>
      <c r="D870" s="29">
        <f t="shared" si="237"/>
        <v>0</v>
      </c>
      <c r="E870" s="29">
        <f t="shared" si="242"/>
        <v>0</v>
      </c>
      <c r="F870" s="29">
        <f t="shared" si="243"/>
        <v>0</v>
      </c>
      <c r="G870" s="29" t="str">
        <f t="shared" si="244"/>
        <v>offensive</v>
      </c>
      <c r="H870" s="16">
        <f t="shared" si="248"/>
        <v>0</v>
      </c>
      <c r="I870" s="16">
        <f t="shared" si="249"/>
        <v>0</v>
      </c>
      <c r="J870" s="16">
        <f t="shared" si="238"/>
        <v>0</v>
      </c>
      <c r="K870" s="16">
        <f t="shared" si="245"/>
        <v>0</v>
      </c>
      <c r="L870" s="67">
        <f t="shared" si="246"/>
        <v>0</v>
      </c>
      <c r="M870" s="4">
        <f t="shared" si="239"/>
        <v>0</v>
      </c>
      <c r="N870" s="4">
        <f t="shared" si="240"/>
        <v>0</v>
      </c>
      <c r="O870" s="4">
        <f t="shared" si="247"/>
        <v>0</v>
      </c>
      <c r="P870" s="4" t="e">
        <f>VLOOKUP(AJ862,'CIR Team Info'!$C$5:$E$44,2,FALSE)</f>
        <v>#N/A</v>
      </c>
      <c r="Q870" s="4" t="e">
        <f>VLOOKUP(AJ862,'CIR Team Info'!$C$5:$E$44,3,FALSE)</f>
        <v>#N/A</v>
      </c>
      <c r="R870" s="10" t="e">
        <f>VLOOKUP(AJ862,'FRC Site Data'!$B$3:$L$42,2,FALSE)</f>
        <v>#N/A</v>
      </c>
      <c r="S870" s="10" t="e">
        <f>VLOOKUP(AJ862,'FRC Site Data'!$B$3:$L$42,3,FALSE)</f>
        <v>#N/A</v>
      </c>
      <c r="T870" s="10" t="e">
        <f>VLOOKUP(AJ862,'FRC Site Data'!$B$3:$L$42,4,FALSE)</f>
        <v>#N/A</v>
      </c>
      <c r="U870" s="10" t="e">
        <f>VLOOKUP(AJ862,'FRC Site Data'!$B$3:$L$42,5,FALSE)</f>
        <v>#N/A</v>
      </c>
      <c r="V870" s="10" t="e">
        <f>VLOOKUP(AJ862,'FRC Site Data'!$B$3:$L$42,6,FALSE)</f>
        <v>#N/A</v>
      </c>
      <c r="W870" s="10" t="e">
        <f>VLOOKUP(AJ862,'FRC Site Data'!$B$3:$L$42,8,FALSE)</f>
        <v>#N/A</v>
      </c>
      <c r="X870" s="10" t="e">
        <f>VLOOKUP(AJ862,'FRC Site Data'!$B$3:$L$42,9,FALSE)</f>
        <v>#N/A</v>
      </c>
      <c r="Y870" s="10" t="e">
        <f>VLOOKUP(AJ862,'FRC Site Data'!$B$3:$L$42,10,FALSE)</f>
        <v>#N/A</v>
      </c>
      <c r="Z870" s="10" t="e">
        <f>VLOOKUP(AJ862,'FRC Site Data'!$B$3:$L$42,11,FALSE)</f>
        <v>#N/A</v>
      </c>
      <c r="AA870" s="10" t="e">
        <f>VLOOKUP(AJ862,'CIR Team Info'!$C$5:$E$44,4,FALSE)</f>
        <v>#N/A</v>
      </c>
      <c r="AB870" s="161" t="b">
        <f>ISNUMBER(VLOOKUP(AJ862,Match!$T$5:$T$10,1,FALSE))</f>
        <v>0</v>
      </c>
      <c r="AC870" s="161" t="b">
        <f>IF(AB870=TRUE,(VLOOKUP($AJ862,Match!$T$5:$U$10,2,FALSE)))</f>
        <v>0</v>
      </c>
      <c r="AD870" s="8">
        <v>3</v>
      </c>
      <c r="AE870" s="8">
        <v>2</v>
      </c>
      <c r="AF870" s="8">
        <v>2</v>
      </c>
      <c r="AG870" s="8">
        <v>1</v>
      </c>
      <c r="AH870" s="8" t="str">
        <f t="shared" si="250"/>
        <v/>
      </c>
    </row>
    <row r="871" spans="1:34" x14ac:dyDescent="0.25">
      <c r="A871" s="29">
        <f t="shared" si="241"/>
        <v>0</v>
      </c>
      <c r="B871" s="29">
        <f t="shared" si="235"/>
        <v>0</v>
      </c>
      <c r="C871" s="29">
        <f t="shared" si="236"/>
        <v>0</v>
      </c>
      <c r="D871" s="29">
        <f t="shared" si="237"/>
        <v>0</v>
      </c>
      <c r="E871" s="29">
        <f t="shared" si="242"/>
        <v>0</v>
      </c>
      <c r="F871" s="29">
        <f t="shared" si="243"/>
        <v>0</v>
      </c>
      <c r="G871" s="29" t="str">
        <f t="shared" si="244"/>
        <v>offensive</v>
      </c>
      <c r="H871" s="16">
        <f t="shared" si="248"/>
        <v>0</v>
      </c>
      <c r="I871" s="16">
        <f t="shared" si="249"/>
        <v>0</v>
      </c>
      <c r="J871" s="16">
        <f t="shared" si="238"/>
        <v>0</v>
      </c>
      <c r="K871" s="16">
        <f t="shared" si="245"/>
        <v>0</v>
      </c>
      <c r="L871" s="67">
        <f t="shared" si="246"/>
        <v>0</v>
      </c>
      <c r="M871" s="4">
        <f t="shared" si="239"/>
        <v>0</v>
      </c>
      <c r="N871" s="4">
        <f t="shared" si="240"/>
        <v>0</v>
      </c>
      <c r="O871" s="4">
        <f t="shared" si="247"/>
        <v>0</v>
      </c>
      <c r="P871" s="4" t="e">
        <f>VLOOKUP(AJ863,'CIR Team Info'!$C$5:$E$44,2,FALSE)</f>
        <v>#N/A</v>
      </c>
      <c r="Q871" s="4" t="e">
        <f>VLOOKUP(AJ863,'CIR Team Info'!$C$5:$E$44,3,FALSE)</f>
        <v>#N/A</v>
      </c>
      <c r="R871" s="10" t="e">
        <f>VLOOKUP(AJ863,'FRC Site Data'!$B$3:$L$42,2,FALSE)</f>
        <v>#N/A</v>
      </c>
      <c r="S871" s="10" t="e">
        <f>VLOOKUP(AJ863,'FRC Site Data'!$B$3:$L$42,3,FALSE)</f>
        <v>#N/A</v>
      </c>
      <c r="T871" s="10" t="e">
        <f>VLOOKUP(AJ863,'FRC Site Data'!$B$3:$L$42,4,FALSE)</f>
        <v>#N/A</v>
      </c>
      <c r="U871" s="10" t="e">
        <f>VLOOKUP(AJ863,'FRC Site Data'!$B$3:$L$42,5,FALSE)</f>
        <v>#N/A</v>
      </c>
      <c r="V871" s="10" t="e">
        <f>VLOOKUP(AJ863,'FRC Site Data'!$B$3:$L$42,6,FALSE)</f>
        <v>#N/A</v>
      </c>
      <c r="W871" s="10" t="e">
        <f>VLOOKUP(AJ863,'FRC Site Data'!$B$3:$L$42,8,FALSE)</f>
        <v>#N/A</v>
      </c>
      <c r="X871" s="10" t="e">
        <f>VLOOKUP(AJ863,'FRC Site Data'!$B$3:$L$42,9,FALSE)</f>
        <v>#N/A</v>
      </c>
      <c r="Y871" s="10" t="e">
        <f>VLOOKUP(AJ863,'FRC Site Data'!$B$3:$L$42,10,FALSE)</f>
        <v>#N/A</v>
      </c>
      <c r="Z871" s="10" t="e">
        <f>VLOOKUP(AJ863,'FRC Site Data'!$B$3:$L$42,11,FALSE)</f>
        <v>#N/A</v>
      </c>
      <c r="AA871" s="10" t="e">
        <f>VLOOKUP(AJ863,'CIR Team Info'!$C$5:$E$44,4,FALSE)</f>
        <v>#N/A</v>
      </c>
      <c r="AB871" s="161" t="b">
        <f>ISNUMBER(VLOOKUP(AJ863,Match!$T$5:$T$10,1,FALSE))</f>
        <v>0</v>
      </c>
      <c r="AC871" s="161" t="b">
        <f>IF(AB871=TRUE,(VLOOKUP($AJ863,Match!$T$5:$U$10,2,FALSE)))</f>
        <v>0</v>
      </c>
      <c r="AD871" s="8">
        <v>3</v>
      </c>
      <c r="AE871" s="8">
        <v>2</v>
      </c>
      <c r="AF871" s="8">
        <v>2</v>
      </c>
      <c r="AG871" s="8">
        <v>1</v>
      </c>
      <c r="AH871" s="8" t="str">
        <f t="shared" si="250"/>
        <v/>
      </c>
    </row>
    <row r="872" spans="1:34" x14ac:dyDescent="0.25">
      <c r="A872" s="29">
        <f t="shared" si="241"/>
        <v>0</v>
      </c>
      <c r="B872" s="29">
        <f t="shared" si="235"/>
        <v>0</v>
      </c>
      <c r="C872" s="29">
        <f t="shared" si="236"/>
        <v>0</v>
      </c>
      <c r="D872" s="29">
        <f t="shared" si="237"/>
        <v>0</v>
      </c>
      <c r="E872" s="29">
        <f t="shared" si="242"/>
        <v>0</v>
      </c>
      <c r="F872" s="29">
        <f t="shared" si="243"/>
        <v>0</v>
      </c>
      <c r="G872" s="29" t="str">
        <f t="shared" si="244"/>
        <v>offensive</v>
      </c>
      <c r="H872" s="16">
        <f t="shared" si="248"/>
        <v>0</v>
      </c>
      <c r="I872" s="16">
        <f t="shared" si="249"/>
        <v>0</v>
      </c>
      <c r="J872" s="16">
        <f t="shared" si="238"/>
        <v>0</v>
      </c>
      <c r="K872" s="16">
        <f t="shared" si="245"/>
        <v>0</v>
      </c>
      <c r="L872" s="67">
        <f t="shared" si="246"/>
        <v>0</v>
      </c>
      <c r="M872" s="4">
        <f t="shared" si="239"/>
        <v>0</v>
      </c>
      <c r="N872" s="4">
        <f t="shared" si="240"/>
        <v>0</v>
      </c>
      <c r="O872" s="4">
        <f t="shared" si="247"/>
        <v>0</v>
      </c>
      <c r="P872" s="4" t="e">
        <f>VLOOKUP(AJ864,'CIR Team Info'!$C$5:$E$44,2,FALSE)</f>
        <v>#N/A</v>
      </c>
      <c r="Q872" s="4" t="e">
        <f>VLOOKUP(AJ864,'CIR Team Info'!$C$5:$E$44,3,FALSE)</f>
        <v>#N/A</v>
      </c>
      <c r="R872" s="10" t="e">
        <f>VLOOKUP(AJ864,'FRC Site Data'!$B$3:$L$42,2,FALSE)</f>
        <v>#N/A</v>
      </c>
      <c r="S872" s="10" t="e">
        <f>VLOOKUP(AJ864,'FRC Site Data'!$B$3:$L$42,3,FALSE)</f>
        <v>#N/A</v>
      </c>
      <c r="T872" s="10" t="e">
        <f>VLOOKUP(AJ864,'FRC Site Data'!$B$3:$L$42,4,FALSE)</f>
        <v>#N/A</v>
      </c>
      <c r="U872" s="10" t="e">
        <f>VLOOKUP(AJ864,'FRC Site Data'!$B$3:$L$42,5,FALSE)</f>
        <v>#N/A</v>
      </c>
      <c r="V872" s="10" t="e">
        <f>VLOOKUP(AJ864,'FRC Site Data'!$B$3:$L$42,6,FALSE)</f>
        <v>#N/A</v>
      </c>
      <c r="W872" s="10" t="e">
        <f>VLOOKUP(AJ864,'FRC Site Data'!$B$3:$L$42,8,FALSE)</f>
        <v>#N/A</v>
      </c>
      <c r="X872" s="10" t="e">
        <f>VLOOKUP(AJ864,'FRC Site Data'!$B$3:$L$42,9,FALSE)</f>
        <v>#N/A</v>
      </c>
      <c r="Y872" s="10" t="e">
        <f>VLOOKUP(AJ864,'FRC Site Data'!$B$3:$L$42,10,FALSE)</f>
        <v>#N/A</v>
      </c>
      <c r="Z872" s="10" t="e">
        <f>VLOOKUP(AJ864,'FRC Site Data'!$B$3:$L$42,11,FALSE)</f>
        <v>#N/A</v>
      </c>
      <c r="AA872" s="10" t="e">
        <f>VLOOKUP(AJ864,'CIR Team Info'!$C$5:$E$44,4,FALSE)</f>
        <v>#N/A</v>
      </c>
      <c r="AB872" s="161" t="b">
        <f>ISNUMBER(VLOOKUP(AJ864,Match!$T$5:$T$10,1,FALSE))</f>
        <v>0</v>
      </c>
      <c r="AC872" s="161" t="b">
        <f>IF(AB872=TRUE,(VLOOKUP($AJ864,Match!$T$5:$U$10,2,FALSE)))</f>
        <v>0</v>
      </c>
      <c r="AD872" s="8">
        <v>3</v>
      </c>
      <c r="AE872" s="8">
        <v>2</v>
      </c>
      <c r="AF872" s="8">
        <v>2</v>
      </c>
      <c r="AG872" s="8">
        <v>1</v>
      </c>
      <c r="AH872" s="8" t="str">
        <f t="shared" si="250"/>
        <v/>
      </c>
    </row>
    <row r="873" spans="1:34" x14ac:dyDescent="0.25">
      <c r="A873" s="29">
        <f t="shared" si="241"/>
        <v>0</v>
      </c>
      <c r="B873" s="29">
        <f t="shared" si="235"/>
        <v>0</v>
      </c>
      <c r="C873" s="29">
        <f t="shared" si="236"/>
        <v>0</v>
      </c>
      <c r="D873" s="29">
        <f t="shared" si="237"/>
        <v>0</v>
      </c>
      <c r="E873" s="29">
        <f t="shared" si="242"/>
        <v>0</v>
      </c>
      <c r="F873" s="29">
        <f t="shared" si="243"/>
        <v>0</v>
      </c>
      <c r="G873" s="29" t="str">
        <f t="shared" si="244"/>
        <v>offensive</v>
      </c>
      <c r="H873" s="16">
        <f t="shared" si="248"/>
        <v>0</v>
      </c>
      <c r="I873" s="16">
        <f t="shared" si="249"/>
        <v>0</v>
      </c>
      <c r="J873" s="16">
        <f t="shared" si="238"/>
        <v>0</v>
      </c>
      <c r="K873" s="16">
        <f t="shared" si="245"/>
        <v>0</v>
      </c>
      <c r="L873" s="67">
        <f t="shared" si="246"/>
        <v>0</v>
      </c>
      <c r="M873" s="4">
        <f t="shared" si="239"/>
        <v>0</v>
      </c>
      <c r="N873" s="4">
        <f t="shared" si="240"/>
        <v>0</v>
      </c>
      <c r="O873" s="4">
        <f t="shared" si="247"/>
        <v>0</v>
      </c>
      <c r="P873" s="4" t="e">
        <f>VLOOKUP(AJ865,'CIR Team Info'!$C$5:$E$44,2,FALSE)</f>
        <v>#N/A</v>
      </c>
      <c r="Q873" s="4" t="e">
        <f>VLOOKUP(AJ865,'CIR Team Info'!$C$5:$E$44,3,FALSE)</f>
        <v>#N/A</v>
      </c>
      <c r="R873" s="10" t="e">
        <f>VLOOKUP(AJ865,'FRC Site Data'!$B$3:$L$42,2,FALSE)</f>
        <v>#N/A</v>
      </c>
      <c r="S873" s="10" t="e">
        <f>VLOOKUP(AJ865,'FRC Site Data'!$B$3:$L$42,3,FALSE)</f>
        <v>#N/A</v>
      </c>
      <c r="T873" s="10" t="e">
        <f>VLOOKUP(AJ865,'FRC Site Data'!$B$3:$L$42,4,FALSE)</f>
        <v>#N/A</v>
      </c>
      <c r="U873" s="10" t="e">
        <f>VLOOKUP(AJ865,'FRC Site Data'!$B$3:$L$42,5,FALSE)</f>
        <v>#N/A</v>
      </c>
      <c r="V873" s="10" t="e">
        <f>VLOOKUP(AJ865,'FRC Site Data'!$B$3:$L$42,6,FALSE)</f>
        <v>#N/A</v>
      </c>
      <c r="W873" s="10" t="e">
        <f>VLOOKUP(AJ865,'FRC Site Data'!$B$3:$L$42,8,FALSE)</f>
        <v>#N/A</v>
      </c>
      <c r="X873" s="10" t="e">
        <f>VLOOKUP(AJ865,'FRC Site Data'!$B$3:$L$42,9,FALSE)</f>
        <v>#N/A</v>
      </c>
      <c r="Y873" s="10" t="e">
        <f>VLOOKUP(AJ865,'FRC Site Data'!$B$3:$L$42,10,FALSE)</f>
        <v>#N/A</v>
      </c>
      <c r="Z873" s="10" t="e">
        <f>VLOOKUP(AJ865,'FRC Site Data'!$B$3:$L$42,11,FALSE)</f>
        <v>#N/A</v>
      </c>
      <c r="AA873" s="10" t="e">
        <f>VLOOKUP(AJ865,'CIR Team Info'!$C$5:$E$44,4,FALSE)</f>
        <v>#N/A</v>
      </c>
      <c r="AB873" s="161" t="b">
        <f>ISNUMBER(VLOOKUP(AJ865,Match!$T$5:$T$10,1,FALSE))</f>
        <v>0</v>
      </c>
      <c r="AC873" s="161" t="b">
        <f>IF(AB873=TRUE,(VLOOKUP($AJ865,Match!$T$5:$U$10,2,FALSE)))</f>
        <v>0</v>
      </c>
      <c r="AD873" s="8">
        <v>3</v>
      </c>
      <c r="AE873" s="8">
        <v>2</v>
      </c>
      <c r="AF873" s="8">
        <v>2</v>
      </c>
      <c r="AG873" s="8">
        <v>1</v>
      </c>
      <c r="AH873" s="8" t="str">
        <f t="shared" si="250"/>
        <v/>
      </c>
    </row>
    <row r="874" spans="1:34" x14ac:dyDescent="0.25">
      <c r="A874" s="29">
        <f t="shared" si="241"/>
        <v>0</v>
      </c>
      <c r="B874" s="29">
        <f t="shared" si="235"/>
        <v>0</v>
      </c>
      <c r="C874" s="29">
        <f t="shared" si="236"/>
        <v>0</v>
      </c>
      <c r="D874" s="29">
        <f t="shared" si="237"/>
        <v>0</v>
      </c>
      <c r="E874" s="29">
        <f t="shared" si="242"/>
        <v>0</v>
      </c>
      <c r="F874" s="29">
        <f t="shared" si="243"/>
        <v>0</v>
      </c>
      <c r="G874" s="29" t="str">
        <f t="shared" si="244"/>
        <v>offensive</v>
      </c>
      <c r="H874" s="16">
        <f t="shared" si="248"/>
        <v>0</v>
      </c>
      <c r="I874" s="16">
        <f t="shared" si="249"/>
        <v>0</v>
      </c>
      <c r="J874" s="16">
        <f t="shared" si="238"/>
        <v>0</v>
      </c>
      <c r="K874" s="16">
        <f t="shared" si="245"/>
        <v>0</v>
      </c>
      <c r="L874" s="67">
        <f t="shared" si="246"/>
        <v>0</v>
      </c>
      <c r="M874" s="4">
        <f t="shared" si="239"/>
        <v>0</v>
      </c>
      <c r="N874" s="4">
        <f t="shared" si="240"/>
        <v>0</v>
      </c>
      <c r="O874" s="4">
        <f t="shared" si="247"/>
        <v>0</v>
      </c>
      <c r="P874" s="4" t="e">
        <f>VLOOKUP(AJ866,'CIR Team Info'!$C$5:$E$44,2,FALSE)</f>
        <v>#N/A</v>
      </c>
      <c r="Q874" s="4" t="e">
        <f>VLOOKUP(AJ866,'CIR Team Info'!$C$5:$E$44,3,FALSE)</f>
        <v>#N/A</v>
      </c>
      <c r="R874" s="10" t="e">
        <f>VLOOKUP(AJ866,'FRC Site Data'!$B$3:$L$42,2,FALSE)</f>
        <v>#N/A</v>
      </c>
      <c r="S874" s="10" t="e">
        <f>VLOOKUP(AJ866,'FRC Site Data'!$B$3:$L$42,3,FALSE)</f>
        <v>#N/A</v>
      </c>
      <c r="T874" s="10" t="e">
        <f>VLOOKUP(AJ866,'FRC Site Data'!$B$3:$L$42,4,FALSE)</f>
        <v>#N/A</v>
      </c>
      <c r="U874" s="10" t="e">
        <f>VLOOKUP(AJ866,'FRC Site Data'!$B$3:$L$42,5,FALSE)</f>
        <v>#N/A</v>
      </c>
      <c r="V874" s="10" t="e">
        <f>VLOOKUP(AJ866,'FRC Site Data'!$B$3:$L$42,6,FALSE)</f>
        <v>#N/A</v>
      </c>
      <c r="W874" s="10" t="e">
        <f>VLOOKUP(AJ866,'FRC Site Data'!$B$3:$L$42,8,FALSE)</f>
        <v>#N/A</v>
      </c>
      <c r="X874" s="10" t="e">
        <f>VLOOKUP(AJ866,'FRC Site Data'!$B$3:$L$42,9,FALSE)</f>
        <v>#N/A</v>
      </c>
      <c r="Y874" s="10" t="e">
        <f>VLOOKUP(AJ866,'FRC Site Data'!$B$3:$L$42,10,FALSE)</f>
        <v>#N/A</v>
      </c>
      <c r="Z874" s="10" t="e">
        <f>VLOOKUP(AJ866,'FRC Site Data'!$B$3:$L$42,11,FALSE)</f>
        <v>#N/A</v>
      </c>
      <c r="AA874" s="10" t="e">
        <f>VLOOKUP(AJ866,'CIR Team Info'!$C$5:$E$44,4,FALSE)</f>
        <v>#N/A</v>
      </c>
      <c r="AB874" s="161" t="b">
        <f>ISNUMBER(VLOOKUP(AJ866,Match!$T$5:$T$10,1,FALSE))</f>
        <v>0</v>
      </c>
      <c r="AC874" s="161" t="b">
        <f>IF(AB874=TRUE,(VLOOKUP($AJ866,Match!$T$5:$U$10,2,FALSE)))</f>
        <v>0</v>
      </c>
      <c r="AD874" s="8">
        <v>3</v>
      </c>
      <c r="AE874" s="8">
        <v>2</v>
      </c>
      <c r="AF874" s="8">
        <v>2</v>
      </c>
      <c r="AG874" s="8">
        <v>1</v>
      </c>
      <c r="AH874" s="8" t="str">
        <f t="shared" si="250"/>
        <v/>
      </c>
    </row>
    <row r="875" spans="1:34" x14ac:dyDescent="0.25">
      <c r="A875" s="29">
        <f t="shared" si="241"/>
        <v>0</v>
      </c>
      <c r="B875" s="29">
        <f t="shared" si="235"/>
        <v>0</v>
      </c>
      <c r="C875" s="29">
        <f t="shared" si="236"/>
        <v>0</v>
      </c>
      <c r="D875" s="29">
        <f t="shared" si="237"/>
        <v>0</v>
      </c>
      <c r="E875" s="29">
        <f t="shared" si="242"/>
        <v>0</v>
      </c>
      <c r="F875" s="29">
        <f t="shared" si="243"/>
        <v>0</v>
      </c>
      <c r="G875" s="29" t="str">
        <f t="shared" si="244"/>
        <v>offensive</v>
      </c>
      <c r="H875" s="16">
        <f t="shared" si="248"/>
        <v>0</v>
      </c>
      <c r="I875" s="16">
        <f t="shared" si="249"/>
        <v>0</v>
      </c>
      <c r="J875" s="16">
        <f t="shared" si="238"/>
        <v>0</v>
      </c>
      <c r="K875" s="16">
        <f t="shared" si="245"/>
        <v>0</v>
      </c>
      <c r="L875" s="67">
        <f t="shared" si="246"/>
        <v>0</v>
      </c>
      <c r="M875" s="4">
        <f t="shared" si="239"/>
        <v>0</v>
      </c>
      <c r="N875" s="4">
        <f t="shared" si="240"/>
        <v>0</v>
      </c>
      <c r="O875" s="4">
        <f t="shared" si="247"/>
        <v>0</v>
      </c>
      <c r="P875" s="4" t="e">
        <f>VLOOKUP(AJ867,'CIR Team Info'!$C$5:$E$44,2,FALSE)</f>
        <v>#N/A</v>
      </c>
      <c r="Q875" s="4" t="e">
        <f>VLOOKUP(AJ867,'CIR Team Info'!$C$5:$E$44,3,FALSE)</f>
        <v>#N/A</v>
      </c>
      <c r="R875" s="10" t="e">
        <f>VLOOKUP(AJ867,'FRC Site Data'!$B$3:$L$42,2,FALSE)</f>
        <v>#N/A</v>
      </c>
      <c r="S875" s="10" t="e">
        <f>VLOOKUP(AJ867,'FRC Site Data'!$B$3:$L$42,3,FALSE)</f>
        <v>#N/A</v>
      </c>
      <c r="T875" s="10" t="e">
        <f>VLOOKUP(AJ867,'FRC Site Data'!$B$3:$L$42,4,FALSE)</f>
        <v>#N/A</v>
      </c>
      <c r="U875" s="10" t="e">
        <f>VLOOKUP(AJ867,'FRC Site Data'!$B$3:$L$42,5,FALSE)</f>
        <v>#N/A</v>
      </c>
      <c r="V875" s="10" t="e">
        <f>VLOOKUP(AJ867,'FRC Site Data'!$B$3:$L$42,6,FALSE)</f>
        <v>#N/A</v>
      </c>
      <c r="W875" s="10" t="e">
        <f>VLOOKUP(AJ867,'FRC Site Data'!$B$3:$L$42,8,FALSE)</f>
        <v>#N/A</v>
      </c>
      <c r="X875" s="10" t="e">
        <f>VLOOKUP(AJ867,'FRC Site Data'!$B$3:$L$42,9,FALSE)</f>
        <v>#N/A</v>
      </c>
      <c r="Y875" s="10" t="e">
        <f>VLOOKUP(AJ867,'FRC Site Data'!$B$3:$L$42,10,FALSE)</f>
        <v>#N/A</v>
      </c>
      <c r="Z875" s="10" t="e">
        <f>VLOOKUP(AJ867,'FRC Site Data'!$B$3:$L$42,11,FALSE)</f>
        <v>#N/A</v>
      </c>
      <c r="AA875" s="10" t="e">
        <f>VLOOKUP(AJ867,'CIR Team Info'!$C$5:$E$44,4,FALSE)</f>
        <v>#N/A</v>
      </c>
      <c r="AB875" s="161" t="b">
        <f>ISNUMBER(VLOOKUP(AJ867,Match!$T$5:$T$10,1,FALSE))</f>
        <v>0</v>
      </c>
      <c r="AC875" s="161" t="b">
        <f>IF(AB875=TRUE,(VLOOKUP($AJ867,Match!$T$5:$U$10,2,FALSE)))</f>
        <v>0</v>
      </c>
      <c r="AD875" s="8">
        <v>3</v>
      </c>
      <c r="AE875" s="8">
        <v>2</v>
      </c>
      <c r="AF875" s="8">
        <v>2</v>
      </c>
      <c r="AG875" s="8">
        <v>1</v>
      </c>
      <c r="AH875" s="8" t="str">
        <f t="shared" si="250"/>
        <v/>
      </c>
    </row>
    <row r="876" spans="1:34" x14ac:dyDescent="0.25">
      <c r="A876" s="29">
        <f t="shared" si="241"/>
        <v>0</v>
      </c>
      <c r="B876" s="29">
        <f t="shared" si="235"/>
        <v>0</v>
      </c>
      <c r="C876" s="29">
        <f t="shared" si="236"/>
        <v>0</v>
      </c>
      <c r="D876" s="29">
        <f t="shared" si="237"/>
        <v>0</v>
      </c>
      <c r="E876" s="29">
        <f t="shared" si="242"/>
        <v>0</v>
      </c>
      <c r="F876" s="29">
        <f t="shared" si="243"/>
        <v>0</v>
      </c>
      <c r="G876" s="29" t="str">
        <f t="shared" si="244"/>
        <v>offensive</v>
      </c>
      <c r="H876" s="16">
        <f t="shared" si="248"/>
        <v>0</v>
      </c>
      <c r="I876" s="16">
        <f t="shared" si="249"/>
        <v>0</v>
      </c>
      <c r="J876" s="16">
        <f t="shared" si="238"/>
        <v>0</v>
      </c>
      <c r="K876" s="16">
        <f t="shared" si="245"/>
        <v>0</v>
      </c>
      <c r="L876" s="67">
        <f t="shared" si="246"/>
        <v>0</v>
      </c>
      <c r="M876" s="4">
        <f t="shared" si="239"/>
        <v>0</v>
      </c>
      <c r="N876" s="4">
        <f t="shared" si="240"/>
        <v>0</v>
      </c>
      <c r="O876" s="4">
        <f t="shared" si="247"/>
        <v>0</v>
      </c>
      <c r="P876" s="4" t="e">
        <f>VLOOKUP(AJ868,'CIR Team Info'!$C$5:$E$44,2,FALSE)</f>
        <v>#N/A</v>
      </c>
      <c r="Q876" s="4" t="e">
        <f>VLOOKUP(AJ868,'CIR Team Info'!$C$5:$E$44,3,FALSE)</f>
        <v>#N/A</v>
      </c>
      <c r="R876" s="10" t="e">
        <f>VLOOKUP(AJ868,'FRC Site Data'!$B$3:$L$42,2,FALSE)</f>
        <v>#N/A</v>
      </c>
      <c r="S876" s="10" t="e">
        <f>VLOOKUP(AJ868,'FRC Site Data'!$B$3:$L$42,3,FALSE)</f>
        <v>#N/A</v>
      </c>
      <c r="T876" s="10" t="e">
        <f>VLOOKUP(AJ868,'FRC Site Data'!$B$3:$L$42,4,FALSE)</f>
        <v>#N/A</v>
      </c>
      <c r="U876" s="10" t="e">
        <f>VLOOKUP(AJ868,'FRC Site Data'!$B$3:$L$42,5,FALSE)</f>
        <v>#N/A</v>
      </c>
      <c r="V876" s="10" t="e">
        <f>VLOOKUP(AJ868,'FRC Site Data'!$B$3:$L$42,6,FALSE)</f>
        <v>#N/A</v>
      </c>
      <c r="W876" s="10" t="e">
        <f>VLOOKUP(AJ868,'FRC Site Data'!$B$3:$L$42,8,FALSE)</f>
        <v>#N/A</v>
      </c>
      <c r="X876" s="10" t="e">
        <f>VLOOKUP(AJ868,'FRC Site Data'!$B$3:$L$42,9,FALSE)</f>
        <v>#N/A</v>
      </c>
      <c r="Y876" s="10" t="e">
        <f>VLOOKUP(AJ868,'FRC Site Data'!$B$3:$L$42,10,FALSE)</f>
        <v>#N/A</v>
      </c>
      <c r="Z876" s="10" t="e">
        <f>VLOOKUP(AJ868,'FRC Site Data'!$B$3:$L$42,11,FALSE)</f>
        <v>#N/A</v>
      </c>
      <c r="AA876" s="10" t="e">
        <f>VLOOKUP(AJ868,'CIR Team Info'!$C$5:$E$44,4,FALSE)</f>
        <v>#N/A</v>
      </c>
      <c r="AB876" s="161" t="b">
        <f>ISNUMBER(VLOOKUP(AJ868,Match!$T$5:$T$10,1,FALSE))</f>
        <v>0</v>
      </c>
      <c r="AC876" s="161" t="b">
        <f>IF(AB876=TRUE,(VLOOKUP($AJ868,Match!$T$5:$U$10,2,FALSE)))</f>
        <v>0</v>
      </c>
      <c r="AD876" s="8">
        <v>3</v>
      </c>
      <c r="AE876" s="8">
        <v>2</v>
      </c>
      <c r="AF876" s="8">
        <v>2</v>
      </c>
      <c r="AG876" s="8">
        <v>1</v>
      </c>
      <c r="AH876" s="8" t="str">
        <f t="shared" si="250"/>
        <v/>
      </c>
    </row>
    <row r="877" spans="1:34" x14ac:dyDescent="0.25">
      <c r="A877" s="29">
        <f t="shared" si="241"/>
        <v>0</v>
      </c>
      <c r="B877" s="29">
        <f t="shared" si="235"/>
        <v>0</v>
      </c>
      <c r="C877" s="29">
        <f t="shared" si="236"/>
        <v>0</v>
      </c>
      <c r="D877" s="29">
        <f t="shared" si="237"/>
        <v>0</v>
      </c>
      <c r="E877" s="29">
        <f t="shared" si="242"/>
        <v>0</v>
      </c>
      <c r="F877" s="29">
        <f t="shared" si="243"/>
        <v>0</v>
      </c>
      <c r="G877" s="29" t="str">
        <f t="shared" si="244"/>
        <v>offensive</v>
      </c>
      <c r="H877" s="16">
        <f t="shared" si="248"/>
        <v>0</v>
      </c>
      <c r="I877" s="16">
        <f t="shared" si="249"/>
        <v>0</v>
      </c>
      <c r="J877" s="16">
        <f t="shared" si="238"/>
        <v>0</v>
      </c>
      <c r="K877" s="16">
        <f t="shared" si="245"/>
        <v>0</v>
      </c>
      <c r="L877" s="67">
        <f t="shared" si="246"/>
        <v>0</v>
      </c>
      <c r="M877" s="4">
        <f t="shared" si="239"/>
        <v>0</v>
      </c>
      <c r="N877" s="4">
        <f t="shared" si="240"/>
        <v>0</v>
      </c>
      <c r="O877" s="4">
        <f t="shared" si="247"/>
        <v>0</v>
      </c>
      <c r="P877" s="4" t="e">
        <f>VLOOKUP(AJ869,'CIR Team Info'!$C$5:$E$44,2,FALSE)</f>
        <v>#N/A</v>
      </c>
      <c r="Q877" s="4" t="e">
        <f>VLOOKUP(AJ869,'CIR Team Info'!$C$5:$E$44,3,FALSE)</f>
        <v>#N/A</v>
      </c>
      <c r="R877" s="10" t="e">
        <f>VLOOKUP(AJ869,'FRC Site Data'!$B$3:$L$42,2,FALSE)</f>
        <v>#N/A</v>
      </c>
      <c r="S877" s="10" t="e">
        <f>VLOOKUP(AJ869,'FRC Site Data'!$B$3:$L$42,3,FALSE)</f>
        <v>#N/A</v>
      </c>
      <c r="T877" s="10" t="e">
        <f>VLOOKUP(AJ869,'FRC Site Data'!$B$3:$L$42,4,FALSE)</f>
        <v>#N/A</v>
      </c>
      <c r="U877" s="10" t="e">
        <f>VLOOKUP(AJ869,'FRC Site Data'!$B$3:$L$42,5,FALSE)</f>
        <v>#N/A</v>
      </c>
      <c r="V877" s="10" t="e">
        <f>VLOOKUP(AJ869,'FRC Site Data'!$B$3:$L$42,6,FALSE)</f>
        <v>#N/A</v>
      </c>
      <c r="W877" s="10" t="e">
        <f>VLOOKUP(AJ869,'FRC Site Data'!$B$3:$L$42,8,FALSE)</f>
        <v>#N/A</v>
      </c>
      <c r="X877" s="10" t="e">
        <f>VLOOKUP(AJ869,'FRC Site Data'!$B$3:$L$42,9,FALSE)</f>
        <v>#N/A</v>
      </c>
      <c r="Y877" s="10" t="e">
        <f>VLOOKUP(AJ869,'FRC Site Data'!$B$3:$L$42,10,FALSE)</f>
        <v>#N/A</v>
      </c>
      <c r="Z877" s="10" t="e">
        <f>VLOOKUP(AJ869,'FRC Site Data'!$B$3:$L$42,11,FALSE)</f>
        <v>#N/A</v>
      </c>
      <c r="AA877" s="10" t="e">
        <f>VLOOKUP(AJ869,'CIR Team Info'!$C$5:$E$44,4,FALSE)</f>
        <v>#N/A</v>
      </c>
      <c r="AB877" s="161" t="b">
        <f>ISNUMBER(VLOOKUP(AJ869,Match!$T$5:$T$10,1,FALSE))</f>
        <v>0</v>
      </c>
      <c r="AC877" s="161" t="b">
        <f>IF(AB877=TRUE,(VLOOKUP($AJ869,Match!$T$5:$U$10,2,FALSE)))</f>
        <v>0</v>
      </c>
      <c r="AD877" s="8">
        <v>3</v>
      </c>
      <c r="AE877" s="8">
        <v>2</v>
      </c>
      <c r="AF877" s="8">
        <v>2</v>
      </c>
      <c r="AG877" s="8">
        <v>1</v>
      </c>
      <c r="AH877" s="8" t="str">
        <f t="shared" si="250"/>
        <v/>
      </c>
    </row>
    <row r="878" spans="1:34" x14ac:dyDescent="0.25">
      <c r="A878" s="29">
        <f t="shared" si="241"/>
        <v>0</v>
      </c>
      <c r="B878" s="29">
        <f t="shared" si="235"/>
        <v>0</v>
      </c>
      <c r="C878" s="29">
        <f t="shared" si="236"/>
        <v>0</v>
      </c>
      <c r="D878" s="29">
        <f t="shared" si="237"/>
        <v>0</v>
      </c>
      <c r="E878" s="29">
        <f t="shared" si="242"/>
        <v>0</v>
      </c>
      <c r="F878" s="29">
        <f t="shared" si="243"/>
        <v>0</v>
      </c>
      <c r="G878" s="29" t="str">
        <f t="shared" si="244"/>
        <v>offensive</v>
      </c>
      <c r="H878" s="16">
        <f t="shared" si="248"/>
        <v>0</v>
      </c>
      <c r="I878" s="16">
        <f t="shared" si="249"/>
        <v>0</v>
      </c>
      <c r="J878" s="16">
        <f t="shared" si="238"/>
        <v>0</v>
      </c>
      <c r="K878" s="16">
        <f t="shared" si="245"/>
        <v>0</v>
      </c>
      <c r="L878" s="67">
        <f t="shared" si="246"/>
        <v>0</v>
      </c>
      <c r="M878" s="4">
        <f t="shared" si="239"/>
        <v>0</v>
      </c>
      <c r="N878" s="4">
        <f t="shared" si="240"/>
        <v>0</v>
      </c>
      <c r="O878" s="4">
        <f t="shared" si="247"/>
        <v>0</v>
      </c>
      <c r="P878" s="4" t="e">
        <f>VLOOKUP(AJ870,'CIR Team Info'!$C$5:$E$44,2,FALSE)</f>
        <v>#N/A</v>
      </c>
      <c r="Q878" s="4" t="e">
        <f>VLOOKUP(AJ870,'CIR Team Info'!$C$5:$E$44,3,FALSE)</f>
        <v>#N/A</v>
      </c>
      <c r="R878" s="10" t="e">
        <f>VLOOKUP(AJ870,'FRC Site Data'!$B$3:$L$42,2,FALSE)</f>
        <v>#N/A</v>
      </c>
      <c r="S878" s="10" t="e">
        <f>VLOOKUP(AJ870,'FRC Site Data'!$B$3:$L$42,3,FALSE)</f>
        <v>#N/A</v>
      </c>
      <c r="T878" s="10" t="e">
        <f>VLOOKUP(AJ870,'FRC Site Data'!$B$3:$L$42,4,FALSE)</f>
        <v>#N/A</v>
      </c>
      <c r="U878" s="10" t="e">
        <f>VLOOKUP(AJ870,'FRC Site Data'!$B$3:$L$42,5,FALSE)</f>
        <v>#N/A</v>
      </c>
      <c r="V878" s="10" t="e">
        <f>VLOOKUP(AJ870,'FRC Site Data'!$B$3:$L$42,6,FALSE)</f>
        <v>#N/A</v>
      </c>
      <c r="W878" s="10" t="e">
        <f>VLOOKUP(AJ870,'FRC Site Data'!$B$3:$L$42,8,FALSE)</f>
        <v>#N/A</v>
      </c>
      <c r="X878" s="10" t="e">
        <f>VLOOKUP(AJ870,'FRC Site Data'!$B$3:$L$42,9,FALSE)</f>
        <v>#N/A</v>
      </c>
      <c r="Y878" s="10" t="e">
        <f>VLOOKUP(AJ870,'FRC Site Data'!$B$3:$L$42,10,FALSE)</f>
        <v>#N/A</v>
      </c>
      <c r="Z878" s="10" t="e">
        <f>VLOOKUP(AJ870,'FRC Site Data'!$B$3:$L$42,11,FALSE)</f>
        <v>#N/A</v>
      </c>
      <c r="AA878" s="10" t="e">
        <f>VLOOKUP(AJ870,'CIR Team Info'!$C$5:$E$44,4,FALSE)</f>
        <v>#N/A</v>
      </c>
      <c r="AB878" s="161" t="b">
        <f>ISNUMBER(VLOOKUP(AJ870,Match!$T$5:$T$10,1,FALSE))</f>
        <v>0</v>
      </c>
      <c r="AC878" s="161" t="b">
        <f>IF(AB878=TRUE,(VLOOKUP($AJ870,Match!$T$5:$U$10,2,FALSE)))</f>
        <v>0</v>
      </c>
      <c r="AD878" s="8">
        <v>3</v>
      </c>
      <c r="AE878" s="8">
        <v>2</v>
      </c>
      <c r="AF878" s="8">
        <v>2</v>
      </c>
      <c r="AG878" s="8">
        <v>1</v>
      </c>
      <c r="AH878" s="8" t="str">
        <f t="shared" si="250"/>
        <v/>
      </c>
    </row>
    <row r="879" spans="1:34" x14ac:dyDescent="0.25">
      <c r="A879" s="29">
        <f t="shared" si="241"/>
        <v>0</v>
      </c>
      <c r="B879" s="29">
        <f t="shared" si="235"/>
        <v>0</v>
      </c>
      <c r="C879" s="29">
        <f t="shared" si="236"/>
        <v>0</v>
      </c>
      <c r="D879" s="29">
        <f t="shared" si="237"/>
        <v>0</v>
      </c>
      <c r="E879" s="29">
        <f t="shared" si="242"/>
        <v>0</v>
      </c>
      <c r="F879" s="29">
        <f t="shared" si="243"/>
        <v>0</v>
      </c>
      <c r="G879" s="29" t="str">
        <f t="shared" si="244"/>
        <v>offensive</v>
      </c>
      <c r="H879" s="16">
        <f t="shared" si="248"/>
        <v>0</v>
      </c>
      <c r="I879" s="16">
        <f t="shared" si="249"/>
        <v>0</v>
      </c>
      <c r="J879" s="16">
        <f t="shared" si="238"/>
        <v>0</v>
      </c>
      <c r="K879" s="16">
        <f t="shared" si="245"/>
        <v>0</v>
      </c>
      <c r="L879" s="67">
        <f t="shared" si="246"/>
        <v>0</v>
      </c>
      <c r="M879" s="4">
        <f t="shared" si="239"/>
        <v>0</v>
      </c>
      <c r="N879" s="4">
        <f t="shared" si="240"/>
        <v>0</v>
      </c>
      <c r="O879" s="4">
        <f t="shared" si="247"/>
        <v>0</v>
      </c>
      <c r="P879" s="4" t="e">
        <f>VLOOKUP(AJ871,'CIR Team Info'!$C$5:$E$44,2,FALSE)</f>
        <v>#N/A</v>
      </c>
      <c r="Q879" s="4" t="e">
        <f>VLOOKUP(AJ871,'CIR Team Info'!$C$5:$E$44,3,FALSE)</f>
        <v>#N/A</v>
      </c>
      <c r="R879" s="10" t="e">
        <f>VLOOKUP(AJ871,'FRC Site Data'!$B$3:$L$42,2,FALSE)</f>
        <v>#N/A</v>
      </c>
      <c r="S879" s="10" t="e">
        <f>VLOOKUP(AJ871,'FRC Site Data'!$B$3:$L$42,3,FALSE)</f>
        <v>#N/A</v>
      </c>
      <c r="T879" s="10" t="e">
        <f>VLOOKUP(AJ871,'FRC Site Data'!$B$3:$L$42,4,FALSE)</f>
        <v>#N/A</v>
      </c>
      <c r="U879" s="10" t="e">
        <f>VLOOKUP(AJ871,'FRC Site Data'!$B$3:$L$42,5,FALSE)</f>
        <v>#N/A</v>
      </c>
      <c r="V879" s="10" t="e">
        <f>VLOOKUP(AJ871,'FRC Site Data'!$B$3:$L$42,6,FALSE)</f>
        <v>#N/A</v>
      </c>
      <c r="W879" s="10" t="e">
        <f>VLOOKUP(AJ871,'FRC Site Data'!$B$3:$L$42,8,FALSE)</f>
        <v>#N/A</v>
      </c>
      <c r="X879" s="10" t="e">
        <f>VLOOKUP(AJ871,'FRC Site Data'!$B$3:$L$42,9,FALSE)</f>
        <v>#N/A</v>
      </c>
      <c r="Y879" s="10" t="e">
        <f>VLOOKUP(AJ871,'FRC Site Data'!$B$3:$L$42,10,FALSE)</f>
        <v>#N/A</v>
      </c>
      <c r="Z879" s="10" t="e">
        <f>VLOOKUP(AJ871,'FRC Site Data'!$B$3:$L$42,11,FALSE)</f>
        <v>#N/A</v>
      </c>
      <c r="AA879" s="10" t="e">
        <f>VLOOKUP(AJ871,'CIR Team Info'!$C$5:$E$44,4,FALSE)</f>
        <v>#N/A</v>
      </c>
      <c r="AB879" s="161" t="b">
        <f>ISNUMBER(VLOOKUP(AJ871,Match!$T$5:$T$10,1,FALSE))</f>
        <v>0</v>
      </c>
      <c r="AC879" s="161" t="b">
        <f>IF(AB879=TRUE,(VLOOKUP($AJ871,Match!$T$5:$U$10,2,FALSE)))</f>
        <v>0</v>
      </c>
      <c r="AD879" s="8">
        <v>3</v>
      </c>
      <c r="AE879" s="8">
        <v>2</v>
      </c>
      <c r="AF879" s="8">
        <v>2</v>
      </c>
      <c r="AG879" s="8">
        <v>1</v>
      </c>
      <c r="AH879" s="8" t="str">
        <f t="shared" si="250"/>
        <v/>
      </c>
    </row>
    <row r="880" spans="1:34" x14ac:dyDescent="0.25">
      <c r="A880" s="29">
        <f t="shared" si="241"/>
        <v>0</v>
      </c>
      <c r="B880" s="29">
        <f t="shared" si="235"/>
        <v>0</v>
      </c>
      <c r="C880" s="29">
        <f t="shared" si="236"/>
        <v>0</v>
      </c>
      <c r="D880" s="29">
        <f t="shared" si="237"/>
        <v>0</v>
      </c>
      <c r="E880" s="29">
        <f t="shared" si="242"/>
        <v>0</v>
      </c>
      <c r="F880" s="29">
        <f t="shared" si="243"/>
        <v>0</v>
      </c>
      <c r="G880" s="29" t="str">
        <f t="shared" si="244"/>
        <v>offensive</v>
      </c>
      <c r="H880" s="16">
        <f t="shared" si="248"/>
        <v>0</v>
      </c>
      <c r="I880" s="16">
        <f t="shared" si="249"/>
        <v>0</v>
      </c>
      <c r="J880" s="16">
        <f t="shared" si="238"/>
        <v>0</v>
      </c>
      <c r="K880" s="16">
        <f t="shared" si="245"/>
        <v>0</v>
      </c>
      <c r="L880" s="67">
        <f t="shared" si="246"/>
        <v>0</v>
      </c>
      <c r="M880" s="4">
        <f t="shared" si="239"/>
        <v>0</v>
      </c>
      <c r="N880" s="4">
        <f t="shared" si="240"/>
        <v>0</v>
      </c>
      <c r="O880" s="4">
        <f t="shared" si="247"/>
        <v>0</v>
      </c>
      <c r="P880" s="4" t="e">
        <f>VLOOKUP(AJ872,'CIR Team Info'!$C$5:$E$44,2,FALSE)</f>
        <v>#N/A</v>
      </c>
      <c r="Q880" s="4" t="e">
        <f>VLOOKUP(AJ872,'CIR Team Info'!$C$5:$E$44,3,FALSE)</f>
        <v>#N/A</v>
      </c>
      <c r="R880" s="10" t="e">
        <f>VLOOKUP(AJ872,'FRC Site Data'!$B$3:$L$42,2,FALSE)</f>
        <v>#N/A</v>
      </c>
      <c r="S880" s="10" t="e">
        <f>VLOOKUP(AJ872,'FRC Site Data'!$B$3:$L$42,3,FALSE)</f>
        <v>#N/A</v>
      </c>
      <c r="T880" s="10" t="e">
        <f>VLOOKUP(AJ872,'FRC Site Data'!$B$3:$L$42,4,FALSE)</f>
        <v>#N/A</v>
      </c>
      <c r="U880" s="10" t="e">
        <f>VLOOKUP(AJ872,'FRC Site Data'!$B$3:$L$42,5,FALSE)</f>
        <v>#N/A</v>
      </c>
      <c r="V880" s="10" t="e">
        <f>VLOOKUP(AJ872,'FRC Site Data'!$B$3:$L$42,6,FALSE)</f>
        <v>#N/A</v>
      </c>
      <c r="W880" s="10" t="e">
        <f>VLOOKUP(AJ872,'FRC Site Data'!$B$3:$L$42,8,FALSE)</f>
        <v>#N/A</v>
      </c>
      <c r="X880" s="10" t="e">
        <f>VLOOKUP(AJ872,'FRC Site Data'!$B$3:$L$42,9,FALSE)</f>
        <v>#N/A</v>
      </c>
      <c r="Y880" s="10" t="e">
        <f>VLOOKUP(AJ872,'FRC Site Data'!$B$3:$L$42,10,FALSE)</f>
        <v>#N/A</v>
      </c>
      <c r="Z880" s="10" t="e">
        <f>VLOOKUP(AJ872,'FRC Site Data'!$B$3:$L$42,11,FALSE)</f>
        <v>#N/A</v>
      </c>
      <c r="AA880" s="10" t="e">
        <f>VLOOKUP(AJ872,'CIR Team Info'!$C$5:$E$44,4,FALSE)</f>
        <v>#N/A</v>
      </c>
      <c r="AB880" s="161" t="b">
        <f>ISNUMBER(VLOOKUP(AJ872,Match!$T$5:$T$10,1,FALSE))</f>
        <v>0</v>
      </c>
      <c r="AC880" s="161" t="b">
        <f>IF(AB880=TRUE,(VLOOKUP($AJ872,Match!$T$5:$U$10,2,FALSE)))</f>
        <v>0</v>
      </c>
      <c r="AD880" s="8">
        <v>3</v>
      </c>
      <c r="AE880" s="8">
        <v>2</v>
      </c>
      <c r="AF880" s="8">
        <v>2</v>
      </c>
      <c r="AG880" s="8">
        <v>1</v>
      </c>
      <c r="AH880" s="8" t="str">
        <f t="shared" si="250"/>
        <v/>
      </c>
    </row>
    <row r="881" spans="1:34" x14ac:dyDescent="0.25">
      <c r="A881" s="29">
        <f t="shared" si="241"/>
        <v>0</v>
      </c>
      <c r="B881" s="29">
        <f t="shared" si="235"/>
        <v>0</v>
      </c>
      <c r="C881" s="29">
        <f t="shared" si="236"/>
        <v>0</v>
      </c>
      <c r="D881" s="29">
        <f t="shared" si="237"/>
        <v>0</v>
      </c>
      <c r="E881" s="29">
        <f t="shared" si="242"/>
        <v>0</v>
      </c>
      <c r="F881" s="29">
        <f t="shared" si="243"/>
        <v>0</v>
      </c>
      <c r="G881" s="29" t="str">
        <f t="shared" si="244"/>
        <v>offensive</v>
      </c>
      <c r="H881" s="16">
        <f t="shared" si="248"/>
        <v>0</v>
      </c>
      <c r="I881" s="16">
        <f t="shared" si="249"/>
        <v>0</v>
      </c>
      <c r="J881" s="16">
        <f t="shared" si="238"/>
        <v>0</v>
      </c>
      <c r="K881" s="16">
        <f t="shared" si="245"/>
        <v>0</v>
      </c>
      <c r="L881" s="67">
        <f t="shared" si="246"/>
        <v>0</v>
      </c>
      <c r="M881" s="4">
        <f t="shared" si="239"/>
        <v>0</v>
      </c>
      <c r="N881" s="4">
        <f t="shared" si="240"/>
        <v>0</v>
      </c>
      <c r="O881" s="4">
        <f t="shared" si="247"/>
        <v>0</v>
      </c>
      <c r="P881" s="4" t="e">
        <f>VLOOKUP(AJ873,'CIR Team Info'!$C$5:$E$44,2,FALSE)</f>
        <v>#N/A</v>
      </c>
      <c r="Q881" s="4" t="e">
        <f>VLOOKUP(AJ873,'CIR Team Info'!$C$5:$E$44,3,FALSE)</f>
        <v>#N/A</v>
      </c>
      <c r="R881" s="10" t="e">
        <f>VLOOKUP(AJ873,'FRC Site Data'!$B$3:$L$42,2,FALSE)</f>
        <v>#N/A</v>
      </c>
      <c r="S881" s="10" t="e">
        <f>VLOOKUP(AJ873,'FRC Site Data'!$B$3:$L$42,3,FALSE)</f>
        <v>#N/A</v>
      </c>
      <c r="T881" s="10" t="e">
        <f>VLOOKUP(AJ873,'FRC Site Data'!$B$3:$L$42,4,FALSE)</f>
        <v>#N/A</v>
      </c>
      <c r="U881" s="10" t="e">
        <f>VLOOKUP(AJ873,'FRC Site Data'!$B$3:$L$42,5,FALSE)</f>
        <v>#N/A</v>
      </c>
      <c r="V881" s="10" t="e">
        <f>VLOOKUP(AJ873,'FRC Site Data'!$B$3:$L$42,6,FALSE)</f>
        <v>#N/A</v>
      </c>
      <c r="W881" s="10" t="e">
        <f>VLOOKUP(AJ873,'FRC Site Data'!$B$3:$L$42,8,FALSE)</f>
        <v>#N/A</v>
      </c>
      <c r="X881" s="10" t="e">
        <f>VLOOKUP(AJ873,'FRC Site Data'!$B$3:$L$42,9,FALSE)</f>
        <v>#N/A</v>
      </c>
      <c r="Y881" s="10" t="e">
        <f>VLOOKUP(AJ873,'FRC Site Data'!$B$3:$L$42,10,FALSE)</f>
        <v>#N/A</v>
      </c>
      <c r="Z881" s="10" t="e">
        <f>VLOOKUP(AJ873,'FRC Site Data'!$B$3:$L$42,11,FALSE)</f>
        <v>#N/A</v>
      </c>
      <c r="AA881" s="10" t="e">
        <f>VLOOKUP(AJ873,'CIR Team Info'!$C$5:$E$44,4,FALSE)</f>
        <v>#N/A</v>
      </c>
      <c r="AB881" s="161" t="b">
        <f>ISNUMBER(VLOOKUP(AJ873,Match!$T$5:$T$10,1,FALSE))</f>
        <v>0</v>
      </c>
      <c r="AC881" s="161" t="b">
        <f>IF(AB881=TRUE,(VLOOKUP($AJ873,Match!$T$5:$U$10,2,FALSE)))</f>
        <v>0</v>
      </c>
      <c r="AD881" s="8">
        <v>3</v>
      </c>
      <c r="AE881" s="8">
        <v>2</v>
      </c>
      <c r="AF881" s="8">
        <v>2</v>
      </c>
      <c r="AG881" s="8">
        <v>1</v>
      </c>
      <c r="AH881" s="8" t="str">
        <f t="shared" si="250"/>
        <v/>
      </c>
    </row>
    <row r="882" spans="1:34" x14ac:dyDescent="0.25">
      <c r="A882" s="29">
        <f t="shared" si="241"/>
        <v>0</v>
      </c>
      <c r="B882" s="29">
        <f t="shared" si="235"/>
        <v>0</v>
      </c>
      <c r="C882" s="29">
        <f t="shared" si="236"/>
        <v>0</v>
      </c>
      <c r="D882" s="29">
        <f t="shared" si="237"/>
        <v>0</v>
      </c>
      <c r="E882" s="29">
        <f t="shared" si="242"/>
        <v>0</v>
      </c>
      <c r="F882" s="29">
        <f t="shared" si="243"/>
        <v>0</v>
      </c>
      <c r="G882" s="29" t="str">
        <f t="shared" si="244"/>
        <v>offensive</v>
      </c>
      <c r="H882" s="16">
        <f t="shared" si="248"/>
        <v>0</v>
      </c>
      <c r="I882" s="16">
        <f t="shared" si="249"/>
        <v>0</v>
      </c>
      <c r="J882" s="16">
        <f t="shared" si="238"/>
        <v>0</v>
      </c>
      <c r="K882" s="16">
        <f t="shared" si="245"/>
        <v>0</v>
      </c>
      <c r="L882" s="67">
        <f t="shared" si="246"/>
        <v>0</v>
      </c>
      <c r="M882" s="4">
        <f t="shared" si="239"/>
        <v>0</v>
      </c>
      <c r="N882" s="4">
        <f t="shared" si="240"/>
        <v>0</v>
      </c>
      <c r="O882" s="4">
        <f t="shared" si="247"/>
        <v>0</v>
      </c>
      <c r="P882" s="4" t="e">
        <f>VLOOKUP(AJ874,'CIR Team Info'!$C$5:$E$44,2,FALSE)</f>
        <v>#N/A</v>
      </c>
      <c r="Q882" s="4" t="e">
        <f>VLOOKUP(AJ874,'CIR Team Info'!$C$5:$E$44,3,FALSE)</f>
        <v>#N/A</v>
      </c>
      <c r="R882" s="10" t="e">
        <f>VLOOKUP(AJ874,'FRC Site Data'!$B$3:$L$42,2,FALSE)</f>
        <v>#N/A</v>
      </c>
      <c r="S882" s="10" t="e">
        <f>VLOOKUP(AJ874,'FRC Site Data'!$B$3:$L$42,3,FALSE)</f>
        <v>#N/A</v>
      </c>
      <c r="T882" s="10" t="e">
        <f>VLOOKUP(AJ874,'FRC Site Data'!$B$3:$L$42,4,FALSE)</f>
        <v>#N/A</v>
      </c>
      <c r="U882" s="10" t="e">
        <f>VLOOKUP(AJ874,'FRC Site Data'!$B$3:$L$42,5,FALSE)</f>
        <v>#N/A</v>
      </c>
      <c r="V882" s="10" t="e">
        <f>VLOOKUP(AJ874,'FRC Site Data'!$B$3:$L$42,6,FALSE)</f>
        <v>#N/A</v>
      </c>
      <c r="W882" s="10" t="e">
        <f>VLOOKUP(AJ874,'FRC Site Data'!$B$3:$L$42,8,FALSE)</f>
        <v>#N/A</v>
      </c>
      <c r="X882" s="10" t="e">
        <f>VLOOKUP(AJ874,'FRC Site Data'!$B$3:$L$42,9,FALSE)</f>
        <v>#N/A</v>
      </c>
      <c r="Y882" s="10" t="e">
        <f>VLOOKUP(AJ874,'FRC Site Data'!$B$3:$L$42,10,FALSE)</f>
        <v>#N/A</v>
      </c>
      <c r="Z882" s="10" t="e">
        <f>VLOOKUP(AJ874,'FRC Site Data'!$B$3:$L$42,11,FALSE)</f>
        <v>#N/A</v>
      </c>
      <c r="AA882" s="10" t="e">
        <f>VLOOKUP(AJ874,'CIR Team Info'!$C$5:$E$44,4,FALSE)</f>
        <v>#N/A</v>
      </c>
      <c r="AB882" s="161" t="b">
        <f>ISNUMBER(VLOOKUP(AJ874,Match!$T$5:$T$10,1,FALSE))</f>
        <v>0</v>
      </c>
      <c r="AC882" s="161" t="b">
        <f>IF(AB882=TRUE,(VLOOKUP($AJ874,Match!$T$5:$U$10,2,FALSE)))</f>
        <v>0</v>
      </c>
      <c r="AD882" s="8">
        <v>3</v>
      </c>
      <c r="AE882" s="8">
        <v>2</v>
      </c>
      <c r="AF882" s="8">
        <v>2</v>
      </c>
      <c r="AG882" s="8">
        <v>1</v>
      </c>
      <c r="AH882" s="8" t="str">
        <f t="shared" si="250"/>
        <v/>
      </c>
    </row>
    <row r="883" spans="1:34" x14ac:dyDescent="0.25">
      <c r="A883" s="29">
        <f t="shared" si="241"/>
        <v>0</v>
      </c>
      <c r="B883" s="29">
        <f t="shared" si="235"/>
        <v>0</v>
      </c>
      <c r="C883" s="29">
        <f t="shared" si="236"/>
        <v>0</v>
      </c>
      <c r="D883" s="29">
        <f t="shared" si="237"/>
        <v>0</v>
      </c>
      <c r="E883" s="29">
        <f t="shared" si="242"/>
        <v>0</v>
      </c>
      <c r="F883" s="29">
        <f t="shared" si="243"/>
        <v>0</v>
      </c>
      <c r="G883" s="29" t="str">
        <f t="shared" si="244"/>
        <v>offensive</v>
      </c>
      <c r="H883" s="16">
        <f t="shared" si="248"/>
        <v>0</v>
      </c>
      <c r="I883" s="16">
        <f t="shared" si="249"/>
        <v>0</v>
      </c>
      <c r="J883" s="16">
        <f t="shared" si="238"/>
        <v>0</v>
      </c>
      <c r="K883" s="16">
        <f t="shared" si="245"/>
        <v>0</v>
      </c>
      <c r="L883" s="67">
        <f t="shared" si="246"/>
        <v>0</v>
      </c>
      <c r="M883" s="4">
        <f t="shared" si="239"/>
        <v>0</v>
      </c>
      <c r="N883" s="4">
        <f t="shared" si="240"/>
        <v>0</v>
      </c>
      <c r="O883" s="4">
        <f t="shared" si="247"/>
        <v>0</v>
      </c>
      <c r="P883" s="4" t="e">
        <f>VLOOKUP(AJ875,'CIR Team Info'!$C$5:$E$44,2,FALSE)</f>
        <v>#N/A</v>
      </c>
      <c r="Q883" s="4" t="e">
        <f>VLOOKUP(AJ875,'CIR Team Info'!$C$5:$E$44,3,FALSE)</f>
        <v>#N/A</v>
      </c>
      <c r="R883" s="10" t="e">
        <f>VLOOKUP(AJ875,'FRC Site Data'!$B$3:$L$42,2,FALSE)</f>
        <v>#N/A</v>
      </c>
      <c r="S883" s="10" t="e">
        <f>VLOOKUP(AJ875,'FRC Site Data'!$B$3:$L$42,3,FALSE)</f>
        <v>#N/A</v>
      </c>
      <c r="T883" s="10" t="e">
        <f>VLOOKUP(AJ875,'FRC Site Data'!$B$3:$L$42,4,FALSE)</f>
        <v>#N/A</v>
      </c>
      <c r="U883" s="10" t="e">
        <f>VLOOKUP(AJ875,'FRC Site Data'!$B$3:$L$42,5,FALSE)</f>
        <v>#N/A</v>
      </c>
      <c r="V883" s="10" t="e">
        <f>VLOOKUP(AJ875,'FRC Site Data'!$B$3:$L$42,6,FALSE)</f>
        <v>#N/A</v>
      </c>
      <c r="W883" s="10" t="e">
        <f>VLOOKUP(AJ875,'FRC Site Data'!$B$3:$L$42,8,FALSE)</f>
        <v>#N/A</v>
      </c>
      <c r="X883" s="10" t="e">
        <f>VLOOKUP(AJ875,'FRC Site Data'!$B$3:$L$42,9,FALSE)</f>
        <v>#N/A</v>
      </c>
      <c r="Y883" s="10" t="e">
        <f>VLOOKUP(AJ875,'FRC Site Data'!$B$3:$L$42,10,FALSE)</f>
        <v>#N/A</v>
      </c>
      <c r="Z883" s="10" t="e">
        <f>VLOOKUP(AJ875,'FRC Site Data'!$B$3:$L$42,11,FALSE)</f>
        <v>#N/A</v>
      </c>
      <c r="AA883" s="10" t="e">
        <f>VLOOKUP(AJ875,'CIR Team Info'!$C$5:$E$44,4,FALSE)</f>
        <v>#N/A</v>
      </c>
      <c r="AB883" s="161" t="b">
        <f>ISNUMBER(VLOOKUP(AJ875,Match!$T$5:$T$10,1,FALSE))</f>
        <v>0</v>
      </c>
      <c r="AC883" s="161" t="b">
        <f>IF(AB883=TRUE,(VLOOKUP($AJ875,Match!$T$5:$U$10,2,FALSE)))</f>
        <v>0</v>
      </c>
      <c r="AD883" s="8">
        <v>3</v>
      </c>
      <c r="AE883" s="8">
        <v>2</v>
      </c>
      <c r="AF883" s="8">
        <v>2</v>
      </c>
      <c r="AG883" s="8">
        <v>1</v>
      </c>
      <c r="AH883" s="8" t="str">
        <f t="shared" si="250"/>
        <v/>
      </c>
    </row>
    <row r="884" spans="1:34" x14ac:dyDescent="0.25">
      <c r="A884" s="29">
        <f t="shared" si="241"/>
        <v>0</v>
      </c>
      <c r="B884" s="29">
        <f t="shared" si="235"/>
        <v>0</v>
      </c>
      <c r="C884" s="29">
        <f t="shared" si="236"/>
        <v>0</v>
      </c>
      <c r="D884" s="29">
        <f t="shared" si="237"/>
        <v>0</v>
      </c>
      <c r="E884" s="29">
        <f t="shared" si="242"/>
        <v>0</v>
      </c>
      <c r="F884" s="29">
        <f t="shared" si="243"/>
        <v>0</v>
      </c>
      <c r="G884" s="29" t="str">
        <f t="shared" si="244"/>
        <v>offensive</v>
      </c>
      <c r="H884" s="16">
        <f t="shared" si="248"/>
        <v>0</v>
      </c>
      <c r="I884" s="16">
        <f t="shared" si="249"/>
        <v>0</v>
      </c>
      <c r="J884" s="16">
        <f t="shared" si="238"/>
        <v>0</v>
      </c>
      <c r="K884" s="16">
        <f t="shared" si="245"/>
        <v>0</v>
      </c>
      <c r="L884" s="67">
        <f t="shared" si="246"/>
        <v>0</v>
      </c>
      <c r="M884" s="4">
        <f t="shared" si="239"/>
        <v>0</v>
      </c>
      <c r="N884" s="4">
        <f t="shared" si="240"/>
        <v>0</v>
      </c>
      <c r="O884" s="4">
        <f t="shared" si="247"/>
        <v>0</v>
      </c>
      <c r="P884" s="4" t="e">
        <f>VLOOKUP(AJ876,'CIR Team Info'!$C$5:$E$44,2,FALSE)</f>
        <v>#N/A</v>
      </c>
      <c r="Q884" s="4" t="e">
        <f>VLOOKUP(AJ876,'CIR Team Info'!$C$5:$E$44,3,FALSE)</f>
        <v>#N/A</v>
      </c>
      <c r="R884" s="10" t="e">
        <f>VLOOKUP(AJ876,'FRC Site Data'!$B$3:$L$42,2,FALSE)</f>
        <v>#N/A</v>
      </c>
      <c r="S884" s="10" t="e">
        <f>VLOOKUP(AJ876,'FRC Site Data'!$B$3:$L$42,3,FALSE)</f>
        <v>#N/A</v>
      </c>
      <c r="T884" s="10" t="e">
        <f>VLOOKUP(AJ876,'FRC Site Data'!$B$3:$L$42,4,FALSE)</f>
        <v>#N/A</v>
      </c>
      <c r="U884" s="10" t="e">
        <f>VLOOKUP(AJ876,'FRC Site Data'!$B$3:$L$42,5,FALSE)</f>
        <v>#N/A</v>
      </c>
      <c r="V884" s="10" t="e">
        <f>VLOOKUP(AJ876,'FRC Site Data'!$B$3:$L$42,6,FALSE)</f>
        <v>#N/A</v>
      </c>
      <c r="W884" s="10" t="e">
        <f>VLOOKUP(AJ876,'FRC Site Data'!$B$3:$L$42,8,FALSE)</f>
        <v>#N/A</v>
      </c>
      <c r="X884" s="10" t="e">
        <f>VLOOKUP(AJ876,'FRC Site Data'!$B$3:$L$42,9,FALSE)</f>
        <v>#N/A</v>
      </c>
      <c r="Y884" s="10" t="e">
        <f>VLOOKUP(AJ876,'FRC Site Data'!$B$3:$L$42,10,FALSE)</f>
        <v>#N/A</v>
      </c>
      <c r="Z884" s="10" t="e">
        <f>VLOOKUP(AJ876,'FRC Site Data'!$B$3:$L$42,11,FALSE)</f>
        <v>#N/A</v>
      </c>
      <c r="AA884" s="10" t="e">
        <f>VLOOKUP(AJ876,'CIR Team Info'!$C$5:$E$44,4,FALSE)</f>
        <v>#N/A</v>
      </c>
      <c r="AB884" s="161" t="b">
        <f>ISNUMBER(VLOOKUP(AJ876,Match!$T$5:$T$10,1,FALSE))</f>
        <v>0</v>
      </c>
      <c r="AC884" s="161" t="b">
        <f>IF(AB884=TRUE,(VLOOKUP($AJ876,Match!$T$5:$U$10,2,FALSE)))</f>
        <v>0</v>
      </c>
      <c r="AD884" s="8">
        <v>3</v>
      </c>
      <c r="AE884" s="8">
        <v>2</v>
      </c>
      <c r="AF884" s="8">
        <v>2</v>
      </c>
      <c r="AG884" s="8">
        <v>1</v>
      </c>
      <c r="AH884" s="8" t="str">
        <f t="shared" si="250"/>
        <v/>
      </c>
    </row>
    <row r="885" spans="1:34" x14ac:dyDescent="0.25">
      <c r="A885" s="29">
        <f t="shared" si="241"/>
        <v>0</v>
      </c>
      <c r="B885" s="29">
        <f t="shared" si="235"/>
        <v>0</v>
      </c>
      <c r="C885" s="29">
        <f t="shared" si="236"/>
        <v>0</v>
      </c>
      <c r="D885" s="29">
        <f t="shared" si="237"/>
        <v>0</v>
      </c>
      <c r="E885" s="29">
        <f t="shared" si="242"/>
        <v>0</v>
      </c>
      <c r="F885" s="29">
        <f t="shared" si="243"/>
        <v>0</v>
      </c>
      <c r="G885" s="29" t="str">
        <f t="shared" si="244"/>
        <v>offensive</v>
      </c>
      <c r="H885" s="16">
        <f t="shared" si="248"/>
        <v>0</v>
      </c>
      <c r="I885" s="16">
        <f t="shared" si="249"/>
        <v>0</v>
      </c>
      <c r="J885" s="16">
        <f t="shared" si="238"/>
        <v>0</v>
      </c>
      <c r="K885" s="16">
        <f t="shared" si="245"/>
        <v>0</v>
      </c>
      <c r="L885" s="67">
        <f t="shared" si="246"/>
        <v>0</v>
      </c>
      <c r="M885" s="4">
        <f t="shared" si="239"/>
        <v>0</v>
      </c>
      <c r="N885" s="4">
        <f t="shared" si="240"/>
        <v>0</v>
      </c>
      <c r="O885" s="4">
        <f t="shared" si="247"/>
        <v>0</v>
      </c>
      <c r="P885" s="4" t="e">
        <f>VLOOKUP(AJ877,'CIR Team Info'!$C$5:$E$44,2,FALSE)</f>
        <v>#N/A</v>
      </c>
      <c r="Q885" s="4" t="e">
        <f>VLOOKUP(AJ877,'CIR Team Info'!$C$5:$E$44,3,FALSE)</f>
        <v>#N/A</v>
      </c>
      <c r="R885" s="10" t="e">
        <f>VLOOKUP(AJ877,'FRC Site Data'!$B$3:$L$42,2,FALSE)</f>
        <v>#N/A</v>
      </c>
      <c r="S885" s="10" t="e">
        <f>VLOOKUP(AJ877,'FRC Site Data'!$B$3:$L$42,3,FALSE)</f>
        <v>#N/A</v>
      </c>
      <c r="T885" s="10" t="e">
        <f>VLOOKUP(AJ877,'FRC Site Data'!$B$3:$L$42,4,FALSE)</f>
        <v>#N/A</v>
      </c>
      <c r="U885" s="10" t="e">
        <f>VLOOKUP(AJ877,'FRC Site Data'!$B$3:$L$42,5,FALSE)</f>
        <v>#N/A</v>
      </c>
      <c r="V885" s="10" t="e">
        <f>VLOOKUP(AJ877,'FRC Site Data'!$B$3:$L$42,6,FALSE)</f>
        <v>#N/A</v>
      </c>
      <c r="W885" s="10" t="e">
        <f>VLOOKUP(AJ877,'FRC Site Data'!$B$3:$L$42,8,FALSE)</f>
        <v>#N/A</v>
      </c>
      <c r="X885" s="10" t="e">
        <f>VLOOKUP(AJ877,'FRC Site Data'!$B$3:$L$42,9,FALSE)</f>
        <v>#N/A</v>
      </c>
      <c r="Y885" s="10" t="e">
        <f>VLOOKUP(AJ877,'FRC Site Data'!$B$3:$L$42,10,FALSE)</f>
        <v>#N/A</v>
      </c>
      <c r="Z885" s="10" t="e">
        <f>VLOOKUP(AJ877,'FRC Site Data'!$B$3:$L$42,11,FALSE)</f>
        <v>#N/A</v>
      </c>
      <c r="AA885" s="10" t="e">
        <f>VLOOKUP(AJ877,'CIR Team Info'!$C$5:$E$44,4,FALSE)</f>
        <v>#N/A</v>
      </c>
      <c r="AB885" s="161" t="b">
        <f>ISNUMBER(VLOOKUP(AJ877,Match!$T$5:$T$10,1,FALSE))</f>
        <v>0</v>
      </c>
      <c r="AC885" s="161" t="b">
        <f>IF(AB885=TRUE,(VLOOKUP($AJ877,Match!$T$5:$U$10,2,FALSE)))</f>
        <v>0</v>
      </c>
      <c r="AD885" s="8">
        <v>3</v>
      </c>
      <c r="AE885" s="8">
        <v>2</v>
      </c>
      <c r="AF885" s="8">
        <v>2</v>
      </c>
      <c r="AG885" s="8">
        <v>1</v>
      </c>
      <c r="AH885" s="8" t="str">
        <f t="shared" si="250"/>
        <v/>
      </c>
    </row>
    <row r="886" spans="1:34" x14ac:dyDescent="0.25">
      <c r="A886" s="29">
        <f t="shared" si="241"/>
        <v>0</v>
      </c>
      <c r="B886" s="29">
        <f t="shared" si="235"/>
        <v>0</v>
      </c>
      <c r="C886" s="29">
        <f t="shared" si="236"/>
        <v>0</v>
      </c>
      <c r="D886" s="29">
        <f t="shared" si="237"/>
        <v>0</v>
      </c>
      <c r="E886" s="29">
        <f t="shared" si="242"/>
        <v>0</v>
      </c>
      <c r="F886" s="29">
        <f t="shared" si="243"/>
        <v>0</v>
      </c>
      <c r="G886" s="29" t="str">
        <f t="shared" si="244"/>
        <v>offensive</v>
      </c>
      <c r="H886" s="16">
        <f t="shared" si="248"/>
        <v>0</v>
      </c>
      <c r="I886" s="16">
        <f t="shared" si="249"/>
        <v>0</v>
      </c>
      <c r="J886" s="16">
        <f t="shared" si="238"/>
        <v>0</v>
      </c>
      <c r="K886" s="16">
        <f t="shared" si="245"/>
        <v>0</v>
      </c>
      <c r="L886" s="67">
        <f t="shared" si="246"/>
        <v>0</v>
      </c>
      <c r="M886" s="4">
        <f t="shared" si="239"/>
        <v>0</v>
      </c>
      <c r="N886" s="4">
        <f t="shared" si="240"/>
        <v>0</v>
      </c>
      <c r="O886" s="4">
        <f t="shared" si="247"/>
        <v>0</v>
      </c>
      <c r="P886" s="4" t="e">
        <f>VLOOKUP(AJ878,'CIR Team Info'!$C$5:$E$44,2,FALSE)</f>
        <v>#N/A</v>
      </c>
      <c r="Q886" s="4" t="e">
        <f>VLOOKUP(AJ878,'CIR Team Info'!$C$5:$E$44,3,FALSE)</f>
        <v>#N/A</v>
      </c>
      <c r="R886" s="10" t="e">
        <f>VLOOKUP(AJ878,'FRC Site Data'!$B$3:$L$42,2,FALSE)</f>
        <v>#N/A</v>
      </c>
      <c r="S886" s="10" t="e">
        <f>VLOOKUP(AJ878,'FRC Site Data'!$B$3:$L$42,3,FALSE)</f>
        <v>#N/A</v>
      </c>
      <c r="T886" s="10" t="e">
        <f>VLOOKUP(AJ878,'FRC Site Data'!$B$3:$L$42,4,FALSE)</f>
        <v>#N/A</v>
      </c>
      <c r="U886" s="10" t="e">
        <f>VLOOKUP(AJ878,'FRC Site Data'!$B$3:$L$42,5,FALSE)</f>
        <v>#N/A</v>
      </c>
      <c r="V886" s="10" t="e">
        <f>VLOOKUP(AJ878,'FRC Site Data'!$B$3:$L$42,6,FALSE)</f>
        <v>#N/A</v>
      </c>
      <c r="W886" s="10" t="e">
        <f>VLOOKUP(AJ878,'FRC Site Data'!$B$3:$L$42,8,FALSE)</f>
        <v>#N/A</v>
      </c>
      <c r="X886" s="10" t="e">
        <f>VLOOKUP(AJ878,'FRC Site Data'!$B$3:$L$42,9,FALSE)</f>
        <v>#N/A</v>
      </c>
      <c r="Y886" s="10" t="e">
        <f>VLOOKUP(AJ878,'FRC Site Data'!$B$3:$L$42,10,FALSE)</f>
        <v>#N/A</v>
      </c>
      <c r="Z886" s="10" t="e">
        <f>VLOOKUP(AJ878,'FRC Site Data'!$B$3:$L$42,11,FALSE)</f>
        <v>#N/A</v>
      </c>
      <c r="AA886" s="10" t="e">
        <f>VLOOKUP(AJ878,'CIR Team Info'!$C$5:$E$44,4,FALSE)</f>
        <v>#N/A</v>
      </c>
      <c r="AB886" s="161" t="b">
        <f>ISNUMBER(VLOOKUP(AJ878,Match!$T$5:$T$10,1,FALSE))</f>
        <v>0</v>
      </c>
      <c r="AC886" s="161" t="b">
        <f>IF(AB886=TRUE,(VLOOKUP($AJ878,Match!$T$5:$U$10,2,FALSE)))</f>
        <v>0</v>
      </c>
      <c r="AD886" s="8">
        <v>3</v>
      </c>
      <c r="AE886" s="8">
        <v>2</v>
      </c>
      <c r="AF886" s="8">
        <v>2</v>
      </c>
      <c r="AG886" s="8">
        <v>1</v>
      </c>
      <c r="AH886" s="8" t="str">
        <f t="shared" si="250"/>
        <v/>
      </c>
    </row>
    <row r="887" spans="1:34" x14ac:dyDescent="0.25">
      <c r="A887" s="29">
        <f t="shared" si="241"/>
        <v>0</v>
      </c>
      <c r="B887" s="29">
        <f t="shared" si="235"/>
        <v>0</v>
      </c>
      <c r="C887" s="29">
        <f t="shared" si="236"/>
        <v>0</v>
      </c>
      <c r="D887" s="29">
        <f t="shared" si="237"/>
        <v>0</v>
      </c>
      <c r="E887" s="29">
        <f t="shared" si="242"/>
        <v>0</v>
      </c>
      <c r="F887" s="29">
        <f t="shared" si="243"/>
        <v>0</v>
      </c>
      <c r="G887" s="29" t="str">
        <f t="shared" si="244"/>
        <v>offensive</v>
      </c>
      <c r="H887" s="16">
        <f t="shared" si="248"/>
        <v>0</v>
      </c>
      <c r="I887" s="16">
        <f t="shared" si="249"/>
        <v>0</v>
      </c>
      <c r="J887" s="16">
        <f t="shared" si="238"/>
        <v>0</v>
      </c>
      <c r="K887" s="16">
        <f t="shared" si="245"/>
        <v>0</v>
      </c>
      <c r="L887" s="67">
        <f t="shared" si="246"/>
        <v>0</v>
      </c>
      <c r="M887" s="4">
        <f t="shared" si="239"/>
        <v>0</v>
      </c>
      <c r="N887" s="4">
        <f t="shared" si="240"/>
        <v>0</v>
      </c>
      <c r="O887" s="4">
        <f t="shared" si="247"/>
        <v>0</v>
      </c>
      <c r="P887" s="4" t="e">
        <f>VLOOKUP(AJ879,'CIR Team Info'!$C$5:$E$44,2,FALSE)</f>
        <v>#N/A</v>
      </c>
      <c r="Q887" s="4" t="e">
        <f>VLOOKUP(AJ879,'CIR Team Info'!$C$5:$E$44,3,FALSE)</f>
        <v>#N/A</v>
      </c>
      <c r="R887" s="10" t="e">
        <f>VLOOKUP(AJ879,'FRC Site Data'!$B$3:$L$42,2,FALSE)</f>
        <v>#N/A</v>
      </c>
      <c r="S887" s="10" t="e">
        <f>VLOOKUP(AJ879,'FRC Site Data'!$B$3:$L$42,3,FALSE)</f>
        <v>#N/A</v>
      </c>
      <c r="T887" s="10" t="e">
        <f>VLOOKUP(AJ879,'FRC Site Data'!$B$3:$L$42,4,FALSE)</f>
        <v>#N/A</v>
      </c>
      <c r="U887" s="10" t="e">
        <f>VLOOKUP(AJ879,'FRC Site Data'!$B$3:$L$42,5,FALSE)</f>
        <v>#N/A</v>
      </c>
      <c r="V887" s="10" t="e">
        <f>VLOOKUP(AJ879,'FRC Site Data'!$B$3:$L$42,6,FALSE)</f>
        <v>#N/A</v>
      </c>
      <c r="W887" s="10" t="e">
        <f>VLOOKUP(AJ879,'FRC Site Data'!$B$3:$L$42,8,FALSE)</f>
        <v>#N/A</v>
      </c>
      <c r="X887" s="10" t="e">
        <f>VLOOKUP(AJ879,'FRC Site Data'!$B$3:$L$42,9,FALSE)</f>
        <v>#N/A</v>
      </c>
      <c r="Y887" s="10" t="e">
        <f>VLOOKUP(AJ879,'FRC Site Data'!$B$3:$L$42,10,FALSE)</f>
        <v>#N/A</v>
      </c>
      <c r="Z887" s="10" t="e">
        <f>VLOOKUP(AJ879,'FRC Site Data'!$B$3:$L$42,11,FALSE)</f>
        <v>#N/A</v>
      </c>
      <c r="AA887" s="10" t="e">
        <f>VLOOKUP(AJ879,'CIR Team Info'!$C$5:$E$44,4,FALSE)</f>
        <v>#N/A</v>
      </c>
      <c r="AB887" s="161" t="b">
        <f>ISNUMBER(VLOOKUP(AJ879,Match!$T$5:$T$10,1,FALSE))</f>
        <v>0</v>
      </c>
      <c r="AC887" s="161" t="b">
        <f>IF(AB887=TRUE,(VLOOKUP($AJ879,Match!$T$5:$U$10,2,FALSE)))</f>
        <v>0</v>
      </c>
      <c r="AD887" s="8">
        <v>3</v>
      </c>
      <c r="AE887" s="8">
        <v>2</v>
      </c>
      <c r="AF887" s="8">
        <v>2</v>
      </c>
      <c r="AG887" s="8">
        <v>1</v>
      </c>
      <c r="AH887" s="8" t="str">
        <f t="shared" si="250"/>
        <v/>
      </c>
    </row>
    <row r="888" spans="1:34" x14ac:dyDescent="0.25">
      <c r="A888" s="29">
        <f t="shared" si="241"/>
        <v>0</v>
      </c>
      <c r="B888" s="29">
        <f t="shared" si="235"/>
        <v>0</v>
      </c>
      <c r="C888" s="29">
        <f t="shared" si="236"/>
        <v>0</v>
      </c>
      <c r="D888" s="29">
        <f t="shared" si="237"/>
        <v>0</v>
      </c>
      <c r="E888" s="29">
        <f t="shared" si="242"/>
        <v>0</v>
      </c>
      <c r="F888" s="29">
        <f t="shared" si="243"/>
        <v>0</v>
      </c>
      <c r="G888" s="29" t="str">
        <f t="shared" si="244"/>
        <v>offensive</v>
      </c>
      <c r="H888" s="16">
        <f t="shared" si="248"/>
        <v>0</v>
      </c>
      <c r="I888" s="16">
        <f t="shared" si="249"/>
        <v>0</v>
      </c>
      <c r="J888" s="16">
        <f t="shared" si="238"/>
        <v>0</v>
      </c>
      <c r="K888" s="16">
        <f t="shared" si="245"/>
        <v>0</v>
      </c>
      <c r="L888" s="67">
        <f t="shared" si="246"/>
        <v>0</v>
      </c>
      <c r="M888" s="4">
        <f t="shared" si="239"/>
        <v>0</v>
      </c>
      <c r="N888" s="4">
        <f t="shared" si="240"/>
        <v>0</v>
      </c>
      <c r="O888" s="4">
        <f t="shared" si="247"/>
        <v>0</v>
      </c>
      <c r="P888" s="4" t="e">
        <f>VLOOKUP(AJ880,'CIR Team Info'!$C$5:$E$44,2,FALSE)</f>
        <v>#N/A</v>
      </c>
      <c r="Q888" s="4" t="e">
        <f>VLOOKUP(AJ880,'CIR Team Info'!$C$5:$E$44,3,FALSE)</f>
        <v>#N/A</v>
      </c>
      <c r="R888" s="10" t="e">
        <f>VLOOKUP(AJ880,'FRC Site Data'!$B$3:$L$42,2,FALSE)</f>
        <v>#N/A</v>
      </c>
      <c r="S888" s="10" t="e">
        <f>VLOOKUP(AJ880,'FRC Site Data'!$B$3:$L$42,3,FALSE)</f>
        <v>#N/A</v>
      </c>
      <c r="T888" s="10" t="e">
        <f>VLOOKUP(AJ880,'FRC Site Data'!$B$3:$L$42,4,FALSE)</f>
        <v>#N/A</v>
      </c>
      <c r="U888" s="10" t="e">
        <f>VLOOKUP(AJ880,'FRC Site Data'!$B$3:$L$42,5,FALSE)</f>
        <v>#N/A</v>
      </c>
      <c r="V888" s="10" t="e">
        <f>VLOOKUP(AJ880,'FRC Site Data'!$B$3:$L$42,6,FALSE)</f>
        <v>#N/A</v>
      </c>
      <c r="W888" s="10" t="e">
        <f>VLOOKUP(AJ880,'FRC Site Data'!$B$3:$L$42,8,FALSE)</f>
        <v>#N/A</v>
      </c>
      <c r="X888" s="10" t="e">
        <f>VLOOKUP(AJ880,'FRC Site Data'!$B$3:$L$42,9,FALSE)</f>
        <v>#N/A</v>
      </c>
      <c r="Y888" s="10" t="e">
        <f>VLOOKUP(AJ880,'FRC Site Data'!$B$3:$L$42,10,FALSE)</f>
        <v>#N/A</v>
      </c>
      <c r="Z888" s="10" t="e">
        <f>VLOOKUP(AJ880,'FRC Site Data'!$B$3:$L$42,11,FALSE)</f>
        <v>#N/A</v>
      </c>
      <c r="AA888" s="10" t="e">
        <f>VLOOKUP(AJ880,'CIR Team Info'!$C$5:$E$44,4,FALSE)</f>
        <v>#N/A</v>
      </c>
      <c r="AB888" s="161" t="b">
        <f>ISNUMBER(VLOOKUP(AJ880,Match!$T$5:$T$10,1,FALSE))</f>
        <v>0</v>
      </c>
      <c r="AC888" s="161" t="b">
        <f>IF(AB888=TRUE,(VLOOKUP($AJ880,Match!$T$5:$U$10,2,FALSE)))</f>
        <v>0</v>
      </c>
      <c r="AD888" s="8">
        <v>3</v>
      </c>
      <c r="AE888" s="8">
        <v>2</v>
      </c>
      <c r="AF888" s="8">
        <v>2</v>
      </c>
      <c r="AG888" s="8">
        <v>1</v>
      </c>
      <c r="AH888" s="8" t="str">
        <f t="shared" si="250"/>
        <v/>
      </c>
    </row>
    <row r="889" spans="1:34" x14ac:dyDescent="0.25">
      <c r="A889" s="29">
        <f t="shared" si="241"/>
        <v>0</v>
      </c>
      <c r="B889" s="29">
        <f t="shared" si="235"/>
        <v>0</v>
      </c>
      <c r="C889" s="29">
        <f t="shared" si="236"/>
        <v>0</v>
      </c>
      <c r="D889" s="29">
        <f t="shared" si="237"/>
        <v>0</v>
      </c>
      <c r="E889" s="29">
        <f t="shared" si="242"/>
        <v>0</v>
      </c>
      <c r="F889" s="29">
        <f t="shared" si="243"/>
        <v>0</v>
      </c>
      <c r="G889" s="29" t="str">
        <f t="shared" si="244"/>
        <v>offensive</v>
      </c>
      <c r="H889" s="16">
        <f t="shared" si="248"/>
        <v>0</v>
      </c>
      <c r="I889" s="16">
        <f t="shared" si="249"/>
        <v>0</v>
      </c>
      <c r="J889" s="16">
        <f t="shared" si="238"/>
        <v>0</v>
      </c>
      <c r="K889" s="16">
        <f t="shared" si="245"/>
        <v>0</v>
      </c>
      <c r="L889" s="67">
        <f t="shared" si="246"/>
        <v>0</v>
      </c>
      <c r="M889" s="4">
        <f t="shared" si="239"/>
        <v>0</v>
      </c>
      <c r="N889" s="4">
        <f t="shared" si="240"/>
        <v>0</v>
      </c>
      <c r="O889" s="4">
        <f t="shared" si="247"/>
        <v>0</v>
      </c>
      <c r="P889" s="4" t="e">
        <f>VLOOKUP(AJ881,'CIR Team Info'!$C$5:$E$44,2,FALSE)</f>
        <v>#N/A</v>
      </c>
      <c r="Q889" s="4" t="e">
        <f>VLOOKUP(AJ881,'CIR Team Info'!$C$5:$E$44,3,FALSE)</f>
        <v>#N/A</v>
      </c>
      <c r="R889" s="10" t="e">
        <f>VLOOKUP(AJ881,'FRC Site Data'!$B$3:$L$42,2,FALSE)</f>
        <v>#N/A</v>
      </c>
      <c r="S889" s="10" t="e">
        <f>VLOOKUP(AJ881,'FRC Site Data'!$B$3:$L$42,3,FALSE)</f>
        <v>#N/A</v>
      </c>
      <c r="T889" s="10" t="e">
        <f>VLOOKUP(AJ881,'FRC Site Data'!$B$3:$L$42,4,FALSE)</f>
        <v>#N/A</v>
      </c>
      <c r="U889" s="10" t="e">
        <f>VLOOKUP(AJ881,'FRC Site Data'!$B$3:$L$42,5,FALSE)</f>
        <v>#N/A</v>
      </c>
      <c r="V889" s="10" t="e">
        <f>VLOOKUP(AJ881,'FRC Site Data'!$B$3:$L$42,6,FALSE)</f>
        <v>#N/A</v>
      </c>
      <c r="W889" s="10" t="e">
        <f>VLOOKUP(AJ881,'FRC Site Data'!$B$3:$L$42,8,FALSE)</f>
        <v>#N/A</v>
      </c>
      <c r="X889" s="10" t="e">
        <f>VLOOKUP(AJ881,'FRC Site Data'!$B$3:$L$42,9,FALSE)</f>
        <v>#N/A</v>
      </c>
      <c r="Y889" s="10" t="e">
        <f>VLOOKUP(AJ881,'FRC Site Data'!$B$3:$L$42,10,FALSE)</f>
        <v>#N/A</v>
      </c>
      <c r="Z889" s="10" t="e">
        <f>VLOOKUP(AJ881,'FRC Site Data'!$B$3:$L$42,11,FALSE)</f>
        <v>#N/A</v>
      </c>
      <c r="AA889" s="10" t="e">
        <f>VLOOKUP(AJ881,'CIR Team Info'!$C$5:$E$44,4,FALSE)</f>
        <v>#N/A</v>
      </c>
      <c r="AB889" s="161" t="b">
        <f>ISNUMBER(VLOOKUP(AJ881,Match!$T$5:$T$10,1,FALSE))</f>
        <v>0</v>
      </c>
      <c r="AC889" s="161" t="b">
        <f>IF(AB889=TRUE,(VLOOKUP($AJ881,Match!$T$5:$U$10,2,FALSE)))</f>
        <v>0</v>
      </c>
      <c r="AD889" s="8">
        <v>3</v>
      </c>
      <c r="AE889" s="8">
        <v>2</v>
      </c>
      <c r="AF889" s="8">
        <v>2</v>
      </c>
      <c r="AG889" s="8">
        <v>1</v>
      </c>
      <c r="AH889" s="8" t="str">
        <f t="shared" si="250"/>
        <v/>
      </c>
    </row>
    <row r="890" spans="1:34" x14ac:dyDescent="0.25">
      <c r="A890" s="29">
        <f t="shared" si="241"/>
        <v>0</v>
      </c>
      <c r="B890" s="29">
        <f t="shared" si="235"/>
        <v>0</v>
      </c>
      <c r="C890" s="29">
        <f t="shared" si="236"/>
        <v>0</v>
      </c>
      <c r="D890" s="29">
        <f t="shared" si="237"/>
        <v>0</v>
      </c>
      <c r="E890" s="29">
        <f t="shared" si="242"/>
        <v>0</v>
      </c>
      <c r="F890" s="29">
        <f t="shared" si="243"/>
        <v>0</v>
      </c>
      <c r="G890" s="29" t="str">
        <f t="shared" si="244"/>
        <v>offensive</v>
      </c>
      <c r="H890" s="16">
        <f t="shared" si="248"/>
        <v>0</v>
      </c>
      <c r="I890" s="16">
        <f t="shared" si="249"/>
        <v>0</v>
      </c>
      <c r="J890" s="16">
        <f t="shared" si="238"/>
        <v>0</v>
      </c>
      <c r="K890" s="16">
        <f t="shared" si="245"/>
        <v>0</v>
      </c>
      <c r="L890" s="67">
        <f t="shared" si="246"/>
        <v>0</v>
      </c>
      <c r="M890" s="4">
        <f t="shared" si="239"/>
        <v>0</v>
      </c>
      <c r="N890" s="4">
        <f t="shared" si="240"/>
        <v>0</v>
      </c>
      <c r="O890" s="4">
        <f t="shared" si="247"/>
        <v>0</v>
      </c>
      <c r="P890" s="4" t="e">
        <f>VLOOKUP(AJ882,'CIR Team Info'!$C$5:$E$44,2,FALSE)</f>
        <v>#N/A</v>
      </c>
      <c r="Q890" s="4" t="e">
        <f>VLOOKUP(AJ882,'CIR Team Info'!$C$5:$E$44,3,FALSE)</f>
        <v>#N/A</v>
      </c>
      <c r="R890" s="10" t="e">
        <f>VLOOKUP(AJ882,'FRC Site Data'!$B$3:$L$42,2,FALSE)</f>
        <v>#N/A</v>
      </c>
      <c r="S890" s="10" t="e">
        <f>VLOOKUP(AJ882,'FRC Site Data'!$B$3:$L$42,3,FALSE)</f>
        <v>#N/A</v>
      </c>
      <c r="T890" s="10" t="e">
        <f>VLOOKUP(AJ882,'FRC Site Data'!$B$3:$L$42,4,FALSE)</f>
        <v>#N/A</v>
      </c>
      <c r="U890" s="10" t="e">
        <f>VLOOKUP(AJ882,'FRC Site Data'!$B$3:$L$42,5,FALSE)</f>
        <v>#N/A</v>
      </c>
      <c r="V890" s="10" t="e">
        <f>VLOOKUP(AJ882,'FRC Site Data'!$B$3:$L$42,6,FALSE)</f>
        <v>#N/A</v>
      </c>
      <c r="W890" s="10" t="e">
        <f>VLOOKUP(AJ882,'FRC Site Data'!$B$3:$L$42,8,FALSE)</f>
        <v>#N/A</v>
      </c>
      <c r="X890" s="10" t="e">
        <f>VLOOKUP(AJ882,'FRC Site Data'!$B$3:$L$42,9,FALSE)</f>
        <v>#N/A</v>
      </c>
      <c r="Y890" s="10" t="e">
        <f>VLOOKUP(AJ882,'FRC Site Data'!$B$3:$L$42,10,FALSE)</f>
        <v>#N/A</v>
      </c>
      <c r="Z890" s="10" t="e">
        <f>VLOOKUP(AJ882,'FRC Site Data'!$B$3:$L$42,11,FALSE)</f>
        <v>#N/A</v>
      </c>
      <c r="AA890" s="10" t="e">
        <f>VLOOKUP(AJ882,'CIR Team Info'!$C$5:$E$44,4,FALSE)</f>
        <v>#N/A</v>
      </c>
      <c r="AB890" s="161" t="b">
        <f>ISNUMBER(VLOOKUP(AJ882,Match!$T$5:$T$10,1,FALSE))</f>
        <v>0</v>
      </c>
      <c r="AC890" s="161" t="b">
        <f>IF(AB890=TRUE,(VLOOKUP($AJ882,Match!$T$5:$U$10,2,FALSE)))</f>
        <v>0</v>
      </c>
      <c r="AD890" s="8">
        <v>3</v>
      </c>
      <c r="AE890" s="8">
        <v>2</v>
      </c>
      <c r="AF890" s="8">
        <v>2</v>
      </c>
      <c r="AG890" s="8">
        <v>1</v>
      </c>
      <c r="AH890" s="8" t="str">
        <f t="shared" si="250"/>
        <v/>
      </c>
    </row>
    <row r="891" spans="1:34" x14ac:dyDescent="0.25">
      <c r="A891" s="29">
        <f t="shared" si="241"/>
        <v>0</v>
      </c>
      <c r="B891" s="29">
        <f t="shared" si="235"/>
        <v>0</v>
      </c>
      <c r="C891" s="29">
        <f t="shared" si="236"/>
        <v>0</v>
      </c>
      <c r="D891" s="29">
        <f t="shared" si="237"/>
        <v>0</v>
      </c>
      <c r="E891" s="29">
        <f t="shared" si="242"/>
        <v>0</v>
      </c>
      <c r="F891" s="29">
        <f t="shared" si="243"/>
        <v>0</v>
      </c>
      <c r="G891" s="29" t="str">
        <f t="shared" si="244"/>
        <v>offensive</v>
      </c>
      <c r="H891" s="16">
        <f t="shared" si="248"/>
        <v>0</v>
      </c>
      <c r="I891" s="16">
        <f t="shared" si="249"/>
        <v>0</v>
      </c>
      <c r="J891" s="16">
        <f t="shared" si="238"/>
        <v>0</v>
      </c>
      <c r="K891" s="16">
        <f t="shared" si="245"/>
        <v>0</v>
      </c>
      <c r="L891" s="67">
        <f t="shared" si="246"/>
        <v>0</v>
      </c>
      <c r="M891" s="4">
        <f t="shared" si="239"/>
        <v>0</v>
      </c>
      <c r="N891" s="4">
        <f t="shared" si="240"/>
        <v>0</v>
      </c>
      <c r="O891" s="4">
        <f t="shared" si="247"/>
        <v>0</v>
      </c>
      <c r="P891" s="4" t="e">
        <f>VLOOKUP(AJ883,'CIR Team Info'!$C$5:$E$44,2,FALSE)</f>
        <v>#N/A</v>
      </c>
      <c r="Q891" s="4" t="e">
        <f>VLOOKUP(AJ883,'CIR Team Info'!$C$5:$E$44,3,FALSE)</f>
        <v>#N/A</v>
      </c>
      <c r="R891" s="10" t="e">
        <f>VLOOKUP(AJ883,'FRC Site Data'!$B$3:$L$42,2,FALSE)</f>
        <v>#N/A</v>
      </c>
      <c r="S891" s="10" t="e">
        <f>VLOOKUP(AJ883,'FRC Site Data'!$B$3:$L$42,3,FALSE)</f>
        <v>#N/A</v>
      </c>
      <c r="T891" s="10" t="e">
        <f>VLOOKUP(AJ883,'FRC Site Data'!$B$3:$L$42,4,FALSE)</f>
        <v>#N/A</v>
      </c>
      <c r="U891" s="10" t="e">
        <f>VLOOKUP(AJ883,'FRC Site Data'!$B$3:$L$42,5,FALSE)</f>
        <v>#N/A</v>
      </c>
      <c r="V891" s="10" t="e">
        <f>VLOOKUP(AJ883,'FRC Site Data'!$B$3:$L$42,6,FALSE)</f>
        <v>#N/A</v>
      </c>
      <c r="W891" s="10" t="e">
        <f>VLOOKUP(AJ883,'FRC Site Data'!$B$3:$L$42,8,FALSE)</f>
        <v>#N/A</v>
      </c>
      <c r="X891" s="10" t="e">
        <f>VLOOKUP(AJ883,'FRC Site Data'!$B$3:$L$42,9,FALSE)</f>
        <v>#N/A</v>
      </c>
      <c r="Y891" s="10" t="e">
        <f>VLOOKUP(AJ883,'FRC Site Data'!$B$3:$L$42,10,FALSE)</f>
        <v>#N/A</v>
      </c>
      <c r="Z891" s="10" t="e">
        <f>VLOOKUP(AJ883,'FRC Site Data'!$B$3:$L$42,11,FALSE)</f>
        <v>#N/A</v>
      </c>
      <c r="AA891" s="10" t="e">
        <f>VLOOKUP(AJ883,'CIR Team Info'!$C$5:$E$44,4,FALSE)</f>
        <v>#N/A</v>
      </c>
      <c r="AB891" s="161" t="b">
        <f>ISNUMBER(VLOOKUP(AJ883,Match!$T$5:$T$10,1,FALSE))</f>
        <v>0</v>
      </c>
      <c r="AC891" s="161" t="b">
        <f>IF(AB891=TRUE,(VLOOKUP($AJ883,Match!$T$5:$U$10,2,FALSE)))</f>
        <v>0</v>
      </c>
      <c r="AD891" s="8">
        <v>3</v>
      </c>
      <c r="AE891" s="8">
        <v>2</v>
      </c>
      <c r="AF891" s="8">
        <v>2</v>
      </c>
      <c r="AG891" s="8">
        <v>1</v>
      </c>
      <c r="AH891" s="8" t="str">
        <f t="shared" si="250"/>
        <v/>
      </c>
    </row>
    <row r="892" spans="1:34" x14ac:dyDescent="0.25">
      <c r="A892" s="29">
        <f t="shared" si="241"/>
        <v>0</v>
      </c>
      <c r="B892" s="29">
        <f t="shared" si="235"/>
        <v>0</v>
      </c>
      <c r="C892" s="29">
        <f t="shared" si="236"/>
        <v>0</v>
      </c>
      <c r="D892" s="29">
        <f t="shared" si="237"/>
        <v>0</v>
      </c>
      <c r="E892" s="29">
        <f t="shared" si="242"/>
        <v>0</v>
      </c>
      <c r="F892" s="29">
        <f t="shared" si="243"/>
        <v>0</v>
      </c>
      <c r="G892" s="29" t="str">
        <f t="shared" si="244"/>
        <v>offensive</v>
      </c>
      <c r="H892" s="16">
        <f t="shared" si="248"/>
        <v>0</v>
      </c>
      <c r="I892" s="16">
        <f t="shared" si="249"/>
        <v>0</v>
      </c>
      <c r="J892" s="16">
        <f t="shared" si="238"/>
        <v>0</v>
      </c>
      <c r="K892" s="16">
        <f t="shared" si="245"/>
        <v>0</v>
      </c>
      <c r="L892" s="67">
        <f t="shared" si="246"/>
        <v>0</v>
      </c>
      <c r="M892" s="4">
        <f t="shared" si="239"/>
        <v>0</v>
      </c>
      <c r="N892" s="4">
        <f t="shared" si="240"/>
        <v>0</v>
      </c>
      <c r="O892" s="4">
        <f t="shared" si="247"/>
        <v>0</v>
      </c>
      <c r="P892" s="4" t="e">
        <f>VLOOKUP(AJ884,'CIR Team Info'!$C$5:$E$44,2,FALSE)</f>
        <v>#N/A</v>
      </c>
      <c r="Q892" s="4" t="e">
        <f>VLOOKUP(AJ884,'CIR Team Info'!$C$5:$E$44,3,FALSE)</f>
        <v>#N/A</v>
      </c>
      <c r="R892" s="10" t="e">
        <f>VLOOKUP(AJ884,'FRC Site Data'!$B$3:$L$42,2,FALSE)</f>
        <v>#N/A</v>
      </c>
      <c r="S892" s="10" t="e">
        <f>VLOOKUP(AJ884,'FRC Site Data'!$B$3:$L$42,3,FALSE)</f>
        <v>#N/A</v>
      </c>
      <c r="T892" s="10" t="e">
        <f>VLOOKUP(AJ884,'FRC Site Data'!$B$3:$L$42,4,FALSE)</f>
        <v>#N/A</v>
      </c>
      <c r="U892" s="10" t="e">
        <f>VLOOKUP(AJ884,'FRC Site Data'!$B$3:$L$42,5,FALSE)</f>
        <v>#N/A</v>
      </c>
      <c r="V892" s="10" t="e">
        <f>VLOOKUP(AJ884,'FRC Site Data'!$B$3:$L$42,6,FALSE)</f>
        <v>#N/A</v>
      </c>
      <c r="W892" s="10" t="e">
        <f>VLOOKUP(AJ884,'FRC Site Data'!$B$3:$L$42,8,FALSE)</f>
        <v>#N/A</v>
      </c>
      <c r="X892" s="10" t="e">
        <f>VLOOKUP(AJ884,'FRC Site Data'!$B$3:$L$42,9,FALSE)</f>
        <v>#N/A</v>
      </c>
      <c r="Y892" s="10" t="e">
        <f>VLOOKUP(AJ884,'FRC Site Data'!$B$3:$L$42,10,FALSE)</f>
        <v>#N/A</v>
      </c>
      <c r="Z892" s="10" t="e">
        <f>VLOOKUP(AJ884,'FRC Site Data'!$B$3:$L$42,11,FALSE)</f>
        <v>#N/A</v>
      </c>
      <c r="AA892" s="10" t="e">
        <f>VLOOKUP(AJ884,'CIR Team Info'!$C$5:$E$44,4,FALSE)</f>
        <v>#N/A</v>
      </c>
      <c r="AB892" s="161" t="b">
        <f>ISNUMBER(VLOOKUP(AJ884,Match!$T$5:$T$10,1,FALSE))</f>
        <v>0</v>
      </c>
      <c r="AC892" s="161" t="b">
        <f>IF(AB892=TRUE,(VLOOKUP($AJ884,Match!$T$5:$U$10,2,FALSE)))</f>
        <v>0</v>
      </c>
      <c r="AD892" s="8">
        <v>3</v>
      </c>
      <c r="AE892" s="8">
        <v>2</v>
      </c>
      <c r="AF892" s="8">
        <v>2</v>
      </c>
      <c r="AG892" s="8">
        <v>1</v>
      </c>
      <c r="AH892" s="8" t="str">
        <f t="shared" si="250"/>
        <v/>
      </c>
    </row>
    <row r="893" spans="1:34" x14ac:dyDescent="0.25">
      <c r="A893" s="29">
        <f t="shared" si="241"/>
        <v>0</v>
      </c>
      <c r="B893" s="29">
        <f t="shared" si="235"/>
        <v>0</v>
      </c>
      <c r="C893" s="29">
        <f t="shared" si="236"/>
        <v>0</v>
      </c>
      <c r="D893" s="29">
        <f t="shared" si="237"/>
        <v>0</v>
      </c>
      <c r="E893" s="29">
        <f t="shared" si="242"/>
        <v>0</v>
      </c>
      <c r="F893" s="29">
        <f t="shared" si="243"/>
        <v>0</v>
      </c>
      <c r="G893" s="29" t="str">
        <f t="shared" si="244"/>
        <v>offensive</v>
      </c>
      <c r="H893" s="16">
        <f t="shared" si="248"/>
        <v>0</v>
      </c>
      <c r="I893" s="16">
        <f t="shared" si="249"/>
        <v>0</v>
      </c>
      <c r="J893" s="16">
        <f t="shared" si="238"/>
        <v>0</v>
      </c>
      <c r="K893" s="16">
        <f t="shared" si="245"/>
        <v>0</v>
      </c>
      <c r="L893" s="67">
        <f t="shared" si="246"/>
        <v>0</v>
      </c>
      <c r="M893" s="4">
        <f t="shared" si="239"/>
        <v>0</v>
      </c>
      <c r="N893" s="4">
        <f t="shared" si="240"/>
        <v>0</v>
      </c>
      <c r="O893" s="4">
        <f t="shared" si="247"/>
        <v>0</v>
      </c>
      <c r="P893" s="4" t="e">
        <f>VLOOKUP(AJ885,'CIR Team Info'!$C$5:$E$44,2,FALSE)</f>
        <v>#N/A</v>
      </c>
      <c r="Q893" s="4" t="e">
        <f>VLOOKUP(AJ885,'CIR Team Info'!$C$5:$E$44,3,FALSE)</f>
        <v>#N/A</v>
      </c>
      <c r="R893" s="10" t="e">
        <f>VLOOKUP(AJ885,'FRC Site Data'!$B$3:$L$42,2,FALSE)</f>
        <v>#N/A</v>
      </c>
      <c r="S893" s="10" t="e">
        <f>VLOOKUP(AJ885,'FRC Site Data'!$B$3:$L$42,3,FALSE)</f>
        <v>#N/A</v>
      </c>
      <c r="T893" s="10" t="e">
        <f>VLOOKUP(AJ885,'FRC Site Data'!$B$3:$L$42,4,FALSE)</f>
        <v>#N/A</v>
      </c>
      <c r="U893" s="10" t="e">
        <f>VLOOKUP(AJ885,'FRC Site Data'!$B$3:$L$42,5,FALSE)</f>
        <v>#N/A</v>
      </c>
      <c r="V893" s="10" t="e">
        <f>VLOOKUP(AJ885,'FRC Site Data'!$B$3:$L$42,6,FALSE)</f>
        <v>#N/A</v>
      </c>
      <c r="W893" s="10" t="e">
        <f>VLOOKUP(AJ885,'FRC Site Data'!$B$3:$L$42,8,FALSE)</f>
        <v>#N/A</v>
      </c>
      <c r="X893" s="10" t="e">
        <f>VLOOKUP(AJ885,'FRC Site Data'!$B$3:$L$42,9,FALSE)</f>
        <v>#N/A</v>
      </c>
      <c r="Y893" s="10" t="e">
        <f>VLOOKUP(AJ885,'FRC Site Data'!$B$3:$L$42,10,FALSE)</f>
        <v>#N/A</v>
      </c>
      <c r="Z893" s="10" t="e">
        <f>VLOOKUP(AJ885,'FRC Site Data'!$B$3:$L$42,11,FALSE)</f>
        <v>#N/A</v>
      </c>
      <c r="AA893" s="10" t="e">
        <f>VLOOKUP(AJ885,'CIR Team Info'!$C$5:$E$44,4,FALSE)</f>
        <v>#N/A</v>
      </c>
      <c r="AB893" s="161" t="b">
        <f>ISNUMBER(VLOOKUP(AJ885,Match!$T$5:$T$10,1,FALSE))</f>
        <v>0</v>
      </c>
      <c r="AC893" s="161" t="b">
        <f>IF(AB893=TRUE,(VLOOKUP($AJ885,Match!$T$5:$U$10,2,FALSE)))</f>
        <v>0</v>
      </c>
      <c r="AD893" s="8">
        <v>3</v>
      </c>
      <c r="AE893" s="8">
        <v>2</v>
      </c>
      <c r="AF893" s="8">
        <v>2</v>
      </c>
      <c r="AG893" s="8">
        <v>1</v>
      </c>
      <c r="AH893" s="8" t="str">
        <f t="shared" si="250"/>
        <v/>
      </c>
    </row>
    <row r="894" spans="1:34" x14ac:dyDescent="0.25">
      <c r="A894" s="29">
        <f t="shared" si="241"/>
        <v>0</v>
      </c>
      <c r="B894" s="29">
        <f t="shared" si="235"/>
        <v>0</v>
      </c>
      <c r="C894" s="29">
        <f t="shared" si="236"/>
        <v>0</v>
      </c>
      <c r="D894" s="29">
        <f t="shared" si="237"/>
        <v>0</v>
      </c>
      <c r="E894" s="29">
        <f t="shared" si="242"/>
        <v>0</v>
      </c>
      <c r="F894" s="29">
        <f t="shared" si="243"/>
        <v>0</v>
      </c>
      <c r="G894" s="29" t="str">
        <f t="shared" si="244"/>
        <v>offensive</v>
      </c>
      <c r="H894" s="16">
        <f t="shared" si="248"/>
        <v>0</v>
      </c>
      <c r="I894" s="16">
        <f t="shared" si="249"/>
        <v>0</v>
      </c>
      <c r="J894" s="16">
        <f t="shared" si="238"/>
        <v>0</v>
      </c>
      <c r="K894" s="16">
        <f t="shared" si="245"/>
        <v>0</v>
      </c>
      <c r="L894" s="67">
        <f t="shared" si="246"/>
        <v>0</v>
      </c>
      <c r="M894" s="4">
        <f t="shared" si="239"/>
        <v>0</v>
      </c>
      <c r="N894" s="4">
        <f t="shared" si="240"/>
        <v>0</v>
      </c>
      <c r="O894" s="4">
        <f t="shared" si="247"/>
        <v>0</v>
      </c>
      <c r="P894" s="4" t="e">
        <f>VLOOKUP(AJ886,'CIR Team Info'!$C$5:$E$44,2,FALSE)</f>
        <v>#N/A</v>
      </c>
      <c r="Q894" s="4" t="e">
        <f>VLOOKUP(AJ886,'CIR Team Info'!$C$5:$E$44,3,FALSE)</f>
        <v>#N/A</v>
      </c>
      <c r="R894" s="10" t="e">
        <f>VLOOKUP(AJ886,'FRC Site Data'!$B$3:$L$42,2,FALSE)</f>
        <v>#N/A</v>
      </c>
      <c r="S894" s="10" t="e">
        <f>VLOOKUP(AJ886,'FRC Site Data'!$B$3:$L$42,3,FALSE)</f>
        <v>#N/A</v>
      </c>
      <c r="T894" s="10" t="e">
        <f>VLOOKUP(AJ886,'FRC Site Data'!$B$3:$L$42,4,FALSE)</f>
        <v>#N/A</v>
      </c>
      <c r="U894" s="10" t="e">
        <f>VLOOKUP(AJ886,'FRC Site Data'!$B$3:$L$42,5,FALSE)</f>
        <v>#N/A</v>
      </c>
      <c r="V894" s="10" t="e">
        <f>VLOOKUP(AJ886,'FRC Site Data'!$B$3:$L$42,6,FALSE)</f>
        <v>#N/A</v>
      </c>
      <c r="W894" s="10" t="e">
        <f>VLOOKUP(AJ886,'FRC Site Data'!$B$3:$L$42,8,FALSE)</f>
        <v>#N/A</v>
      </c>
      <c r="X894" s="10" t="e">
        <f>VLOOKUP(AJ886,'FRC Site Data'!$B$3:$L$42,9,FALSE)</f>
        <v>#N/A</v>
      </c>
      <c r="Y894" s="10" t="e">
        <f>VLOOKUP(AJ886,'FRC Site Data'!$B$3:$L$42,10,FALSE)</f>
        <v>#N/A</v>
      </c>
      <c r="Z894" s="10" t="e">
        <f>VLOOKUP(AJ886,'FRC Site Data'!$B$3:$L$42,11,FALSE)</f>
        <v>#N/A</v>
      </c>
      <c r="AA894" s="10" t="e">
        <f>VLOOKUP(AJ886,'CIR Team Info'!$C$5:$E$44,4,FALSE)</f>
        <v>#N/A</v>
      </c>
      <c r="AB894" s="161" t="b">
        <f>ISNUMBER(VLOOKUP(AJ886,Match!$T$5:$T$10,1,FALSE))</f>
        <v>0</v>
      </c>
      <c r="AC894" s="161" t="b">
        <f>IF(AB894=TRUE,(VLOOKUP($AJ886,Match!$T$5:$U$10,2,FALSE)))</f>
        <v>0</v>
      </c>
      <c r="AD894" s="8">
        <v>3</v>
      </c>
      <c r="AE894" s="8">
        <v>2</v>
      </c>
      <c r="AF894" s="8">
        <v>2</v>
      </c>
      <c r="AG894" s="8">
        <v>1</v>
      </c>
      <c r="AH894" s="8" t="str">
        <f t="shared" si="250"/>
        <v/>
      </c>
    </row>
    <row r="895" spans="1:34" x14ac:dyDescent="0.25">
      <c r="A895" s="29">
        <f t="shared" si="241"/>
        <v>0</v>
      </c>
      <c r="B895" s="29">
        <f t="shared" si="235"/>
        <v>0</v>
      </c>
      <c r="C895" s="29">
        <f t="shared" si="236"/>
        <v>0</v>
      </c>
      <c r="D895" s="29">
        <f t="shared" si="237"/>
        <v>0</v>
      </c>
      <c r="E895" s="29">
        <f t="shared" si="242"/>
        <v>0</v>
      </c>
      <c r="F895" s="29">
        <f t="shared" si="243"/>
        <v>0</v>
      </c>
      <c r="G895" s="29" t="str">
        <f t="shared" si="244"/>
        <v>offensive</v>
      </c>
      <c r="H895" s="16">
        <f t="shared" si="248"/>
        <v>0</v>
      </c>
      <c r="I895" s="16">
        <f t="shared" si="249"/>
        <v>0</v>
      </c>
      <c r="J895" s="16">
        <f t="shared" si="238"/>
        <v>0</v>
      </c>
      <c r="K895" s="16">
        <f t="shared" si="245"/>
        <v>0</v>
      </c>
      <c r="L895" s="67">
        <f t="shared" si="246"/>
        <v>0</v>
      </c>
      <c r="M895" s="4">
        <f t="shared" si="239"/>
        <v>0</v>
      </c>
      <c r="N895" s="4">
        <f t="shared" si="240"/>
        <v>0</v>
      </c>
      <c r="O895" s="4">
        <f t="shared" si="247"/>
        <v>0</v>
      </c>
      <c r="P895" s="4" t="e">
        <f>VLOOKUP(AJ887,'CIR Team Info'!$C$5:$E$44,2,FALSE)</f>
        <v>#N/A</v>
      </c>
      <c r="Q895" s="4" t="e">
        <f>VLOOKUP(AJ887,'CIR Team Info'!$C$5:$E$44,3,FALSE)</f>
        <v>#N/A</v>
      </c>
      <c r="R895" s="10" t="e">
        <f>VLOOKUP(AJ887,'FRC Site Data'!$B$3:$L$42,2,FALSE)</f>
        <v>#N/A</v>
      </c>
      <c r="S895" s="10" t="e">
        <f>VLOOKUP(AJ887,'FRC Site Data'!$B$3:$L$42,3,FALSE)</f>
        <v>#N/A</v>
      </c>
      <c r="T895" s="10" t="e">
        <f>VLOOKUP(AJ887,'FRC Site Data'!$B$3:$L$42,4,FALSE)</f>
        <v>#N/A</v>
      </c>
      <c r="U895" s="10" t="e">
        <f>VLOOKUP(AJ887,'FRC Site Data'!$B$3:$L$42,5,FALSE)</f>
        <v>#N/A</v>
      </c>
      <c r="V895" s="10" t="e">
        <f>VLOOKUP(AJ887,'FRC Site Data'!$B$3:$L$42,6,FALSE)</f>
        <v>#N/A</v>
      </c>
      <c r="W895" s="10" t="e">
        <f>VLOOKUP(AJ887,'FRC Site Data'!$B$3:$L$42,8,FALSE)</f>
        <v>#N/A</v>
      </c>
      <c r="X895" s="10" t="e">
        <f>VLOOKUP(AJ887,'FRC Site Data'!$B$3:$L$42,9,FALSE)</f>
        <v>#N/A</v>
      </c>
      <c r="Y895" s="10" t="e">
        <f>VLOOKUP(AJ887,'FRC Site Data'!$B$3:$L$42,10,FALSE)</f>
        <v>#N/A</v>
      </c>
      <c r="Z895" s="10" t="e">
        <f>VLOOKUP(AJ887,'FRC Site Data'!$B$3:$L$42,11,FALSE)</f>
        <v>#N/A</v>
      </c>
      <c r="AA895" s="10" t="e">
        <f>VLOOKUP(AJ887,'CIR Team Info'!$C$5:$E$44,4,FALSE)</f>
        <v>#N/A</v>
      </c>
      <c r="AB895" s="161" t="b">
        <f>ISNUMBER(VLOOKUP(AJ887,Match!$T$5:$T$10,1,FALSE))</f>
        <v>0</v>
      </c>
      <c r="AC895" s="161" t="b">
        <f>IF(AB895=TRUE,(VLOOKUP($AJ887,Match!$T$5:$U$10,2,FALSE)))</f>
        <v>0</v>
      </c>
      <c r="AD895" s="8">
        <v>3</v>
      </c>
      <c r="AE895" s="8">
        <v>2</v>
      </c>
      <c r="AF895" s="8">
        <v>2</v>
      </c>
      <c r="AG895" s="8">
        <v>1</v>
      </c>
      <c r="AH895" s="8" t="str">
        <f t="shared" si="250"/>
        <v/>
      </c>
    </row>
    <row r="896" spans="1:34" x14ac:dyDescent="0.25">
      <c r="A896" s="29">
        <f t="shared" si="241"/>
        <v>0</v>
      </c>
      <c r="B896" s="29">
        <f t="shared" si="235"/>
        <v>0</v>
      </c>
      <c r="C896" s="29">
        <f t="shared" si="236"/>
        <v>0</v>
      </c>
      <c r="D896" s="29">
        <f t="shared" si="237"/>
        <v>0</v>
      </c>
      <c r="E896" s="29">
        <f t="shared" si="242"/>
        <v>0</v>
      </c>
      <c r="F896" s="29">
        <f t="shared" si="243"/>
        <v>0</v>
      </c>
      <c r="G896" s="29" t="str">
        <f t="shared" si="244"/>
        <v>offensive</v>
      </c>
      <c r="H896" s="16">
        <f t="shared" si="248"/>
        <v>0</v>
      </c>
      <c r="I896" s="16">
        <f t="shared" si="249"/>
        <v>0</v>
      </c>
      <c r="J896" s="16">
        <f t="shared" si="238"/>
        <v>0</v>
      </c>
      <c r="K896" s="16">
        <f t="shared" si="245"/>
        <v>0</v>
      </c>
      <c r="L896" s="67">
        <f t="shared" si="246"/>
        <v>0</v>
      </c>
      <c r="M896" s="4">
        <f t="shared" si="239"/>
        <v>0</v>
      </c>
      <c r="N896" s="4">
        <f t="shared" si="240"/>
        <v>0</v>
      </c>
      <c r="O896" s="4">
        <f t="shared" si="247"/>
        <v>0</v>
      </c>
      <c r="P896" s="4" t="e">
        <f>VLOOKUP(AJ888,'CIR Team Info'!$C$5:$E$44,2,FALSE)</f>
        <v>#N/A</v>
      </c>
      <c r="Q896" s="4" t="e">
        <f>VLOOKUP(AJ888,'CIR Team Info'!$C$5:$E$44,3,FALSE)</f>
        <v>#N/A</v>
      </c>
      <c r="R896" s="10" t="e">
        <f>VLOOKUP(AJ888,'FRC Site Data'!$B$3:$L$42,2,FALSE)</f>
        <v>#N/A</v>
      </c>
      <c r="S896" s="10" t="e">
        <f>VLOOKUP(AJ888,'FRC Site Data'!$B$3:$L$42,3,FALSE)</f>
        <v>#N/A</v>
      </c>
      <c r="T896" s="10" t="e">
        <f>VLOOKUP(AJ888,'FRC Site Data'!$B$3:$L$42,4,FALSE)</f>
        <v>#N/A</v>
      </c>
      <c r="U896" s="10" t="e">
        <f>VLOOKUP(AJ888,'FRC Site Data'!$B$3:$L$42,5,FALSE)</f>
        <v>#N/A</v>
      </c>
      <c r="V896" s="10" t="e">
        <f>VLOOKUP(AJ888,'FRC Site Data'!$B$3:$L$42,6,FALSE)</f>
        <v>#N/A</v>
      </c>
      <c r="W896" s="10" t="e">
        <f>VLOOKUP(AJ888,'FRC Site Data'!$B$3:$L$42,8,FALSE)</f>
        <v>#N/A</v>
      </c>
      <c r="X896" s="10" t="e">
        <f>VLOOKUP(AJ888,'FRC Site Data'!$B$3:$L$42,9,FALSE)</f>
        <v>#N/A</v>
      </c>
      <c r="Y896" s="10" t="e">
        <f>VLOOKUP(AJ888,'FRC Site Data'!$B$3:$L$42,10,FALSE)</f>
        <v>#N/A</v>
      </c>
      <c r="Z896" s="10" t="e">
        <f>VLOOKUP(AJ888,'FRC Site Data'!$B$3:$L$42,11,FALSE)</f>
        <v>#N/A</v>
      </c>
      <c r="AA896" s="10" t="e">
        <f>VLOOKUP(AJ888,'CIR Team Info'!$C$5:$E$44,4,FALSE)</f>
        <v>#N/A</v>
      </c>
      <c r="AB896" s="161" t="b">
        <f>ISNUMBER(VLOOKUP(AJ888,Match!$T$5:$T$10,1,FALSE))</f>
        <v>0</v>
      </c>
      <c r="AC896" s="161" t="b">
        <f>IF(AB896=TRUE,(VLOOKUP($AJ888,Match!$T$5:$U$10,2,FALSE)))</f>
        <v>0</v>
      </c>
      <c r="AD896" s="8">
        <v>3</v>
      </c>
      <c r="AE896" s="8">
        <v>2</v>
      </c>
      <c r="AF896" s="8">
        <v>2</v>
      </c>
      <c r="AG896" s="8">
        <v>1</v>
      </c>
      <c r="AH896" s="8" t="str">
        <f t="shared" si="250"/>
        <v/>
      </c>
    </row>
    <row r="897" spans="1:34" x14ac:dyDescent="0.25">
      <c r="A897" s="29">
        <f t="shared" si="241"/>
        <v>0</v>
      </c>
      <c r="B897" s="29">
        <f t="shared" si="235"/>
        <v>0</v>
      </c>
      <c r="C897" s="29">
        <f t="shared" si="236"/>
        <v>0</v>
      </c>
      <c r="D897" s="29">
        <f t="shared" si="237"/>
        <v>0</v>
      </c>
      <c r="E897" s="29">
        <f t="shared" si="242"/>
        <v>0</v>
      </c>
      <c r="F897" s="29">
        <f t="shared" si="243"/>
        <v>0</v>
      </c>
      <c r="G897" s="29" t="str">
        <f t="shared" si="244"/>
        <v>offensive</v>
      </c>
      <c r="H897" s="16">
        <f t="shared" si="248"/>
        <v>0</v>
      </c>
      <c r="I897" s="16">
        <f t="shared" si="249"/>
        <v>0</v>
      </c>
      <c r="J897" s="16">
        <f t="shared" si="238"/>
        <v>0</v>
      </c>
      <c r="K897" s="16">
        <f t="shared" si="245"/>
        <v>0</v>
      </c>
      <c r="L897" s="67">
        <f t="shared" si="246"/>
        <v>0</v>
      </c>
      <c r="M897" s="4">
        <f t="shared" si="239"/>
        <v>0</v>
      </c>
      <c r="N897" s="4">
        <f t="shared" si="240"/>
        <v>0</v>
      </c>
      <c r="O897" s="4">
        <f t="shared" si="247"/>
        <v>0</v>
      </c>
      <c r="P897" s="4" t="e">
        <f>VLOOKUP(AJ889,'CIR Team Info'!$C$5:$E$44,2,FALSE)</f>
        <v>#N/A</v>
      </c>
      <c r="Q897" s="4" t="e">
        <f>VLOOKUP(AJ889,'CIR Team Info'!$C$5:$E$44,3,FALSE)</f>
        <v>#N/A</v>
      </c>
      <c r="R897" s="10" t="e">
        <f>VLOOKUP(AJ889,'FRC Site Data'!$B$3:$L$42,2,FALSE)</f>
        <v>#N/A</v>
      </c>
      <c r="S897" s="10" t="e">
        <f>VLOOKUP(AJ889,'FRC Site Data'!$B$3:$L$42,3,FALSE)</f>
        <v>#N/A</v>
      </c>
      <c r="T897" s="10" t="e">
        <f>VLOOKUP(AJ889,'FRC Site Data'!$B$3:$L$42,4,FALSE)</f>
        <v>#N/A</v>
      </c>
      <c r="U897" s="10" t="e">
        <f>VLOOKUP(AJ889,'FRC Site Data'!$B$3:$L$42,5,FALSE)</f>
        <v>#N/A</v>
      </c>
      <c r="V897" s="10" t="e">
        <f>VLOOKUP(AJ889,'FRC Site Data'!$B$3:$L$42,6,FALSE)</f>
        <v>#N/A</v>
      </c>
      <c r="W897" s="10" t="e">
        <f>VLOOKUP(AJ889,'FRC Site Data'!$B$3:$L$42,8,FALSE)</f>
        <v>#N/A</v>
      </c>
      <c r="X897" s="10" t="e">
        <f>VLOOKUP(AJ889,'FRC Site Data'!$B$3:$L$42,9,FALSE)</f>
        <v>#N/A</v>
      </c>
      <c r="Y897" s="10" t="e">
        <f>VLOOKUP(AJ889,'FRC Site Data'!$B$3:$L$42,10,FALSE)</f>
        <v>#N/A</v>
      </c>
      <c r="Z897" s="10" t="e">
        <f>VLOOKUP(AJ889,'FRC Site Data'!$B$3:$L$42,11,FALSE)</f>
        <v>#N/A</v>
      </c>
      <c r="AA897" s="10" t="e">
        <f>VLOOKUP(AJ889,'CIR Team Info'!$C$5:$E$44,4,FALSE)</f>
        <v>#N/A</v>
      </c>
      <c r="AB897" s="161" t="b">
        <f>ISNUMBER(VLOOKUP(AJ889,Match!$T$5:$T$10,1,FALSE))</f>
        <v>0</v>
      </c>
      <c r="AC897" s="161" t="b">
        <f>IF(AB897=TRUE,(VLOOKUP($AJ889,Match!$T$5:$U$10,2,FALSE)))</f>
        <v>0</v>
      </c>
      <c r="AD897" s="8">
        <v>3</v>
      </c>
      <c r="AE897" s="8">
        <v>2</v>
      </c>
      <c r="AF897" s="8">
        <v>2</v>
      </c>
      <c r="AG897" s="8">
        <v>1</v>
      </c>
      <c r="AH897" s="8" t="str">
        <f t="shared" si="250"/>
        <v/>
      </c>
    </row>
    <row r="898" spans="1:34" x14ac:dyDescent="0.25">
      <c r="A898" s="29">
        <f t="shared" si="241"/>
        <v>0</v>
      </c>
      <c r="B898" s="29">
        <f t="shared" si="235"/>
        <v>0</v>
      </c>
      <c r="C898" s="29">
        <f t="shared" si="236"/>
        <v>0</v>
      </c>
      <c r="D898" s="29">
        <f t="shared" si="237"/>
        <v>0</v>
      </c>
      <c r="E898" s="29">
        <f t="shared" si="242"/>
        <v>0</v>
      </c>
      <c r="F898" s="29">
        <f t="shared" si="243"/>
        <v>0</v>
      </c>
      <c r="G898" s="29" t="str">
        <f t="shared" si="244"/>
        <v>offensive</v>
      </c>
      <c r="H898" s="16">
        <f t="shared" si="248"/>
        <v>0</v>
      </c>
      <c r="I898" s="16">
        <f t="shared" si="249"/>
        <v>0</v>
      </c>
      <c r="J898" s="16">
        <f t="shared" si="238"/>
        <v>0</v>
      </c>
      <c r="K898" s="16">
        <f t="shared" si="245"/>
        <v>0</v>
      </c>
      <c r="L898" s="67">
        <f t="shared" si="246"/>
        <v>0</v>
      </c>
      <c r="M898" s="4">
        <f t="shared" si="239"/>
        <v>0</v>
      </c>
      <c r="N898" s="4">
        <f t="shared" si="240"/>
        <v>0</v>
      </c>
      <c r="O898" s="4">
        <f t="shared" si="247"/>
        <v>0</v>
      </c>
      <c r="P898" s="4" t="e">
        <f>VLOOKUP(AJ890,'CIR Team Info'!$C$5:$E$44,2,FALSE)</f>
        <v>#N/A</v>
      </c>
      <c r="Q898" s="4" t="e">
        <f>VLOOKUP(AJ890,'CIR Team Info'!$C$5:$E$44,3,FALSE)</f>
        <v>#N/A</v>
      </c>
      <c r="R898" s="10" t="e">
        <f>VLOOKUP(AJ890,'FRC Site Data'!$B$3:$L$42,2,FALSE)</f>
        <v>#N/A</v>
      </c>
      <c r="S898" s="10" t="e">
        <f>VLOOKUP(AJ890,'FRC Site Data'!$B$3:$L$42,3,FALSE)</f>
        <v>#N/A</v>
      </c>
      <c r="T898" s="10" t="e">
        <f>VLOOKUP(AJ890,'FRC Site Data'!$B$3:$L$42,4,FALSE)</f>
        <v>#N/A</v>
      </c>
      <c r="U898" s="10" t="e">
        <f>VLOOKUP(AJ890,'FRC Site Data'!$B$3:$L$42,5,FALSE)</f>
        <v>#N/A</v>
      </c>
      <c r="V898" s="10" t="e">
        <f>VLOOKUP(AJ890,'FRC Site Data'!$B$3:$L$42,6,FALSE)</f>
        <v>#N/A</v>
      </c>
      <c r="W898" s="10" t="e">
        <f>VLOOKUP(AJ890,'FRC Site Data'!$B$3:$L$42,8,FALSE)</f>
        <v>#N/A</v>
      </c>
      <c r="X898" s="10" t="e">
        <f>VLOOKUP(AJ890,'FRC Site Data'!$B$3:$L$42,9,FALSE)</f>
        <v>#N/A</v>
      </c>
      <c r="Y898" s="10" t="e">
        <f>VLOOKUP(AJ890,'FRC Site Data'!$B$3:$L$42,10,FALSE)</f>
        <v>#N/A</v>
      </c>
      <c r="Z898" s="10" t="e">
        <f>VLOOKUP(AJ890,'FRC Site Data'!$B$3:$L$42,11,FALSE)</f>
        <v>#N/A</v>
      </c>
      <c r="AA898" s="10" t="e">
        <f>VLOOKUP(AJ890,'CIR Team Info'!$C$5:$E$44,4,FALSE)</f>
        <v>#N/A</v>
      </c>
      <c r="AB898" s="161" t="b">
        <f>ISNUMBER(VLOOKUP(AJ890,Match!$T$5:$T$10,1,FALSE))</f>
        <v>0</v>
      </c>
      <c r="AC898" s="161" t="b">
        <f>IF(AB898=TRUE,(VLOOKUP($AJ890,Match!$T$5:$U$10,2,FALSE)))</f>
        <v>0</v>
      </c>
      <c r="AD898" s="8">
        <v>3</v>
      </c>
      <c r="AE898" s="8">
        <v>2</v>
      </c>
      <c r="AF898" s="8">
        <v>2</v>
      </c>
      <c r="AG898" s="8">
        <v>1</v>
      </c>
      <c r="AH898" s="8" t="str">
        <f t="shared" si="250"/>
        <v/>
      </c>
    </row>
    <row r="899" spans="1:34" x14ac:dyDescent="0.25">
      <c r="A899" s="29">
        <f t="shared" si="241"/>
        <v>0</v>
      </c>
      <c r="B899" s="29">
        <f t="shared" si="235"/>
        <v>0</v>
      </c>
      <c r="C899" s="29">
        <f t="shared" si="236"/>
        <v>0</v>
      </c>
      <c r="D899" s="29">
        <f t="shared" si="237"/>
        <v>0</v>
      </c>
      <c r="E899" s="29">
        <f t="shared" si="242"/>
        <v>0</v>
      </c>
      <c r="F899" s="29">
        <f t="shared" si="243"/>
        <v>0</v>
      </c>
      <c r="G899" s="29" t="str">
        <f t="shared" si="244"/>
        <v>offensive</v>
      </c>
      <c r="H899" s="16">
        <f t="shared" si="248"/>
        <v>0</v>
      </c>
      <c r="I899" s="16">
        <f t="shared" si="249"/>
        <v>0</v>
      </c>
      <c r="J899" s="16">
        <f t="shared" si="238"/>
        <v>0</v>
      </c>
      <c r="K899" s="16">
        <f t="shared" si="245"/>
        <v>0</v>
      </c>
      <c r="L899" s="67">
        <f t="shared" si="246"/>
        <v>0</v>
      </c>
      <c r="M899" s="4">
        <f t="shared" si="239"/>
        <v>0</v>
      </c>
      <c r="N899" s="4">
        <f t="shared" si="240"/>
        <v>0</v>
      </c>
      <c r="O899" s="4">
        <f t="shared" si="247"/>
        <v>0</v>
      </c>
      <c r="P899" s="4" t="e">
        <f>VLOOKUP(AJ891,'CIR Team Info'!$C$5:$E$44,2,FALSE)</f>
        <v>#N/A</v>
      </c>
      <c r="Q899" s="4" t="e">
        <f>VLOOKUP(AJ891,'CIR Team Info'!$C$5:$E$44,3,FALSE)</f>
        <v>#N/A</v>
      </c>
      <c r="R899" s="10" t="e">
        <f>VLOOKUP(AJ891,'FRC Site Data'!$B$3:$L$42,2,FALSE)</f>
        <v>#N/A</v>
      </c>
      <c r="S899" s="10" t="e">
        <f>VLOOKUP(AJ891,'FRC Site Data'!$B$3:$L$42,3,FALSE)</f>
        <v>#N/A</v>
      </c>
      <c r="T899" s="10" t="e">
        <f>VLOOKUP(AJ891,'FRC Site Data'!$B$3:$L$42,4,FALSE)</f>
        <v>#N/A</v>
      </c>
      <c r="U899" s="10" t="e">
        <f>VLOOKUP(AJ891,'FRC Site Data'!$B$3:$L$42,5,FALSE)</f>
        <v>#N/A</v>
      </c>
      <c r="V899" s="10" t="e">
        <f>VLOOKUP(AJ891,'FRC Site Data'!$B$3:$L$42,6,FALSE)</f>
        <v>#N/A</v>
      </c>
      <c r="W899" s="10" t="e">
        <f>VLOOKUP(AJ891,'FRC Site Data'!$B$3:$L$42,8,FALSE)</f>
        <v>#N/A</v>
      </c>
      <c r="X899" s="10" t="e">
        <f>VLOOKUP(AJ891,'FRC Site Data'!$B$3:$L$42,9,FALSE)</f>
        <v>#N/A</v>
      </c>
      <c r="Y899" s="10" t="e">
        <f>VLOOKUP(AJ891,'FRC Site Data'!$B$3:$L$42,10,FALSE)</f>
        <v>#N/A</v>
      </c>
      <c r="Z899" s="10" t="e">
        <f>VLOOKUP(AJ891,'FRC Site Data'!$B$3:$L$42,11,FALSE)</f>
        <v>#N/A</v>
      </c>
      <c r="AA899" s="10" t="e">
        <f>VLOOKUP(AJ891,'CIR Team Info'!$C$5:$E$44,4,FALSE)</f>
        <v>#N/A</v>
      </c>
      <c r="AB899" s="161" t="b">
        <f>ISNUMBER(VLOOKUP(AJ891,Match!$T$5:$T$10,1,FALSE))</f>
        <v>0</v>
      </c>
      <c r="AC899" s="161" t="b">
        <f>IF(AB899=TRUE,(VLOOKUP($AJ891,Match!$T$5:$U$10,2,FALSE)))</f>
        <v>0</v>
      </c>
      <c r="AD899" s="8">
        <v>3</v>
      </c>
      <c r="AE899" s="8">
        <v>2</v>
      </c>
      <c r="AF899" s="8">
        <v>2</v>
      </c>
      <c r="AG899" s="8">
        <v>1</v>
      </c>
      <c r="AH899" s="8" t="str">
        <f t="shared" si="250"/>
        <v/>
      </c>
    </row>
    <row r="900" spans="1:34" x14ac:dyDescent="0.25">
      <c r="A900" s="29">
        <f t="shared" si="241"/>
        <v>0</v>
      </c>
      <c r="B900" s="29">
        <f t="shared" si="235"/>
        <v>0</v>
      </c>
      <c r="C900" s="29">
        <f t="shared" si="236"/>
        <v>0</v>
      </c>
      <c r="D900" s="29">
        <f t="shared" si="237"/>
        <v>0</v>
      </c>
      <c r="E900" s="29">
        <f t="shared" si="242"/>
        <v>0</v>
      </c>
      <c r="F900" s="29">
        <f t="shared" si="243"/>
        <v>0</v>
      </c>
      <c r="G900" s="29" t="str">
        <f t="shared" si="244"/>
        <v>offensive</v>
      </c>
      <c r="H900" s="16">
        <f t="shared" si="248"/>
        <v>0</v>
      </c>
      <c r="I900" s="16">
        <f t="shared" si="249"/>
        <v>0</v>
      </c>
      <c r="J900" s="16">
        <f t="shared" si="238"/>
        <v>0</v>
      </c>
      <c r="K900" s="16">
        <f t="shared" si="245"/>
        <v>0</v>
      </c>
      <c r="L900" s="67">
        <f t="shared" si="246"/>
        <v>0</v>
      </c>
      <c r="M900" s="4">
        <f t="shared" si="239"/>
        <v>0</v>
      </c>
      <c r="N900" s="4">
        <f t="shared" si="240"/>
        <v>0</v>
      </c>
      <c r="O900" s="4">
        <f t="shared" si="247"/>
        <v>0</v>
      </c>
      <c r="P900" s="4" t="e">
        <f>VLOOKUP(AJ892,'CIR Team Info'!$C$5:$E$44,2,FALSE)</f>
        <v>#N/A</v>
      </c>
      <c r="Q900" s="4" t="e">
        <f>VLOOKUP(AJ892,'CIR Team Info'!$C$5:$E$44,3,FALSE)</f>
        <v>#N/A</v>
      </c>
      <c r="R900" s="10" t="e">
        <f>VLOOKUP(AJ892,'FRC Site Data'!$B$3:$L$42,2,FALSE)</f>
        <v>#N/A</v>
      </c>
      <c r="S900" s="10" t="e">
        <f>VLOOKUP(AJ892,'FRC Site Data'!$B$3:$L$42,3,FALSE)</f>
        <v>#N/A</v>
      </c>
      <c r="T900" s="10" t="e">
        <f>VLOOKUP(AJ892,'FRC Site Data'!$B$3:$L$42,4,FALSE)</f>
        <v>#N/A</v>
      </c>
      <c r="U900" s="10" t="e">
        <f>VLOOKUP(AJ892,'FRC Site Data'!$B$3:$L$42,5,FALSE)</f>
        <v>#N/A</v>
      </c>
      <c r="V900" s="10" t="e">
        <f>VLOOKUP(AJ892,'FRC Site Data'!$B$3:$L$42,6,FALSE)</f>
        <v>#N/A</v>
      </c>
      <c r="W900" s="10" t="e">
        <f>VLOOKUP(AJ892,'FRC Site Data'!$B$3:$L$42,8,FALSE)</f>
        <v>#N/A</v>
      </c>
      <c r="X900" s="10" t="e">
        <f>VLOOKUP(AJ892,'FRC Site Data'!$B$3:$L$42,9,FALSE)</f>
        <v>#N/A</v>
      </c>
      <c r="Y900" s="10" t="e">
        <f>VLOOKUP(AJ892,'FRC Site Data'!$B$3:$L$42,10,FALSE)</f>
        <v>#N/A</v>
      </c>
      <c r="Z900" s="10" t="e">
        <f>VLOOKUP(AJ892,'FRC Site Data'!$B$3:$L$42,11,FALSE)</f>
        <v>#N/A</v>
      </c>
      <c r="AA900" s="10" t="e">
        <f>VLOOKUP(AJ892,'CIR Team Info'!$C$5:$E$44,4,FALSE)</f>
        <v>#N/A</v>
      </c>
      <c r="AB900" s="161" t="b">
        <f>ISNUMBER(VLOOKUP(AJ892,Match!$T$5:$T$10,1,FALSE))</f>
        <v>0</v>
      </c>
      <c r="AC900" s="161" t="b">
        <f>IF(AB900=TRUE,(VLOOKUP($AJ892,Match!$T$5:$U$10,2,FALSE)))</f>
        <v>0</v>
      </c>
      <c r="AD900" s="8">
        <v>3</v>
      </c>
      <c r="AE900" s="8">
        <v>2</v>
      </c>
      <c r="AF900" s="8">
        <v>2</v>
      </c>
      <c r="AG900" s="8">
        <v>1</v>
      </c>
      <c r="AH900" s="8" t="str">
        <f t="shared" si="250"/>
        <v/>
      </c>
    </row>
    <row r="901" spans="1:34" x14ac:dyDescent="0.25">
      <c r="A901" s="29">
        <f t="shared" si="241"/>
        <v>0</v>
      </c>
      <c r="B901" s="29">
        <f t="shared" si="235"/>
        <v>0</v>
      </c>
      <c r="C901" s="29">
        <f t="shared" si="236"/>
        <v>0</v>
      </c>
      <c r="D901" s="29">
        <f t="shared" si="237"/>
        <v>0</v>
      </c>
      <c r="E901" s="29">
        <f t="shared" si="242"/>
        <v>0</v>
      </c>
      <c r="F901" s="29">
        <f t="shared" si="243"/>
        <v>0</v>
      </c>
      <c r="G901" s="29" t="str">
        <f t="shared" si="244"/>
        <v>offensive</v>
      </c>
      <c r="H901" s="16">
        <f t="shared" si="248"/>
        <v>0</v>
      </c>
      <c r="I901" s="16">
        <f t="shared" si="249"/>
        <v>0</v>
      </c>
      <c r="J901" s="16">
        <f t="shared" si="238"/>
        <v>0</v>
      </c>
      <c r="K901" s="16">
        <f t="shared" si="245"/>
        <v>0</v>
      </c>
      <c r="L901" s="67">
        <f t="shared" si="246"/>
        <v>0</v>
      </c>
      <c r="M901" s="4">
        <f t="shared" si="239"/>
        <v>0</v>
      </c>
      <c r="N901" s="4">
        <f t="shared" si="240"/>
        <v>0</v>
      </c>
      <c r="O901" s="4">
        <f t="shared" si="247"/>
        <v>0</v>
      </c>
      <c r="P901" s="4" t="e">
        <f>VLOOKUP(AJ893,'CIR Team Info'!$C$5:$E$44,2,FALSE)</f>
        <v>#N/A</v>
      </c>
      <c r="Q901" s="4" t="e">
        <f>VLOOKUP(AJ893,'CIR Team Info'!$C$5:$E$44,3,FALSE)</f>
        <v>#N/A</v>
      </c>
      <c r="R901" s="10" t="e">
        <f>VLOOKUP(AJ893,'FRC Site Data'!$B$3:$L$42,2,FALSE)</f>
        <v>#N/A</v>
      </c>
      <c r="S901" s="10" t="e">
        <f>VLOOKUP(AJ893,'FRC Site Data'!$B$3:$L$42,3,FALSE)</f>
        <v>#N/A</v>
      </c>
      <c r="T901" s="10" t="e">
        <f>VLOOKUP(AJ893,'FRC Site Data'!$B$3:$L$42,4,FALSE)</f>
        <v>#N/A</v>
      </c>
      <c r="U901" s="10" t="e">
        <f>VLOOKUP(AJ893,'FRC Site Data'!$B$3:$L$42,5,FALSE)</f>
        <v>#N/A</v>
      </c>
      <c r="V901" s="10" t="e">
        <f>VLOOKUP(AJ893,'FRC Site Data'!$B$3:$L$42,6,FALSE)</f>
        <v>#N/A</v>
      </c>
      <c r="W901" s="10" t="e">
        <f>VLOOKUP(AJ893,'FRC Site Data'!$B$3:$L$42,8,FALSE)</f>
        <v>#N/A</v>
      </c>
      <c r="X901" s="10" t="e">
        <f>VLOOKUP(AJ893,'FRC Site Data'!$B$3:$L$42,9,FALSE)</f>
        <v>#N/A</v>
      </c>
      <c r="Y901" s="10" t="e">
        <f>VLOOKUP(AJ893,'FRC Site Data'!$B$3:$L$42,10,FALSE)</f>
        <v>#N/A</v>
      </c>
      <c r="Z901" s="10" t="e">
        <f>VLOOKUP(AJ893,'FRC Site Data'!$B$3:$L$42,11,FALSE)</f>
        <v>#N/A</v>
      </c>
      <c r="AA901" s="10" t="e">
        <f>VLOOKUP(AJ893,'CIR Team Info'!$C$5:$E$44,4,FALSE)</f>
        <v>#N/A</v>
      </c>
      <c r="AB901" s="161" t="b">
        <f>ISNUMBER(VLOOKUP(AJ893,Match!$T$5:$T$10,1,FALSE))</f>
        <v>0</v>
      </c>
      <c r="AC901" s="161" t="b">
        <f>IF(AB901=TRUE,(VLOOKUP($AJ893,Match!$T$5:$U$10,2,FALSE)))</f>
        <v>0</v>
      </c>
      <c r="AD901" s="8">
        <v>3</v>
      </c>
      <c r="AE901" s="8">
        <v>2</v>
      </c>
      <c r="AF901" s="8">
        <v>2</v>
      </c>
      <c r="AG901" s="8">
        <v>1</v>
      </c>
      <c r="AH901" s="8" t="str">
        <f t="shared" si="250"/>
        <v/>
      </c>
    </row>
    <row r="902" spans="1:34" x14ac:dyDescent="0.25">
      <c r="A902" s="29">
        <f t="shared" si="241"/>
        <v>0</v>
      </c>
      <c r="B902" s="29">
        <f t="shared" ref="B902:B946" si="251">H902*AD902*AO894</f>
        <v>0</v>
      </c>
      <c r="C902" s="29">
        <f t="shared" ref="C902:C946" si="252">I902*AE902*AV894</f>
        <v>0</v>
      </c>
      <c r="D902" s="29">
        <f t="shared" ref="D902:D946" si="253">J902*AF902*BF894</f>
        <v>0</v>
      </c>
      <c r="E902" s="29">
        <f t="shared" si="242"/>
        <v>0</v>
      </c>
      <c r="F902" s="29">
        <f t="shared" si="243"/>
        <v>0</v>
      </c>
      <c r="G902" s="29" t="str">
        <f t="shared" si="244"/>
        <v>offensive</v>
      </c>
      <c r="H902" s="16">
        <f t="shared" si="248"/>
        <v>0</v>
      </c>
      <c r="I902" s="16">
        <f t="shared" si="249"/>
        <v>0</v>
      </c>
      <c r="J902" s="16">
        <f t="shared" ref="J902:J946" si="254">IF(L902=0,0,BG894/L902)</f>
        <v>0</v>
      </c>
      <c r="K902" s="16">
        <f t="shared" si="245"/>
        <v>0</v>
      </c>
      <c r="L902" s="67">
        <f t="shared" si="246"/>
        <v>0</v>
      </c>
      <c r="M902" s="4">
        <f t="shared" ref="M902:M946" si="255">AO894+AV894+BD894+O902</f>
        <v>0</v>
      </c>
      <c r="N902" s="4">
        <f t="shared" si="240"/>
        <v>0</v>
      </c>
      <c r="O902" s="4">
        <f t="shared" si="247"/>
        <v>0</v>
      </c>
      <c r="P902" s="4" t="e">
        <f>VLOOKUP(AJ894,'CIR Team Info'!$C$5:$E$44,2,FALSE)</f>
        <v>#N/A</v>
      </c>
      <c r="Q902" s="4" t="e">
        <f>VLOOKUP(AJ894,'CIR Team Info'!$C$5:$E$44,3,FALSE)</f>
        <v>#N/A</v>
      </c>
      <c r="R902" s="10" t="e">
        <f>VLOOKUP(AJ894,'FRC Site Data'!$B$3:$L$42,2,FALSE)</f>
        <v>#N/A</v>
      </c>
      <c r="S902" s="10" t="e">
        <f>VLOOKUP(AJ894,'FRC Site Data'!$B$3:$L$42,3,FALSE)</f>
        <v>#N/A</v>
      </c>
      <c r="T902" s="10" t="e">
        <f>VLOOKUP(AJ894,'FRC Site Data'!$B$3:$L$42,4,FALSE)</f>
        <v>#N/A</v>
      </c>
      <c r="U902" s="10" t="e">
        <f>VLOOKUP(AJ894,'FRC Site Data'!$B$3:$L$42,5,FALSE)</f>
        <v>#N/A</v>
      </c>
      <c r="V902" s="10" t="e">
        <f>VLOOKUP(AJ894,'FRC Site Data'!$B$3:$L$42,6,FALSE)</f>
        <v>#N/A</v>
      </c>
      <c r="W902" s="10" t="e">
        <f>VLOOKUP(AJ894,'FRC Site Data'!$B$3:$L$42,8,FALSE)</f>
        <v>#N/A</v>
      </c>
      <c r="X902" s="10" t="e">
        <f>VLOOKUP(AJ894,'FRC Site Data'!$B$3:$L$42,9,FALSE)</f>
        <v>#N/A</v>
      </c>
      <c r="Y902" s="10" t="e">
        <f>VLOOKUP(AJ894,'FRC Site Data'!$B$3:$L$42,10,FALSE)</f>
        <v>#N/A</v>
      </c>
      <c r="Z902" s="10" t="e">
        <f>VLOOKUP(AJ894,'FRC Site Data'!$B$3:$L$42,11,FALSE)</f>
        <v>#N/A</v>
      </c>
      <c r="AA902" s="10" t="e">
        <f>VLOOKUP(AJ894,'CIR Team Info'!$C$5:$E$44,4,FALSE)</f>
        <v>#N/A</v>
      </c>
      <c r="AB902" s="161" t="b">
        <f>ISNUMBER(VLOOKUP(AJ894,Match!$T$5:$T$10,1,FALSE))</f>
        <v>0</v>
      </c>
      <c r="AC902" s="161" t="b">
        <f>IF(AB902=TRUE,(VLOOKUP($AJ894,Match!$T$5:$U$10,2,FALSE)))</f>
        <v>0</v>
      </c>
      <c r="AD902" s="8">
        <v>3</v>
      </c>
      <c r="AE902" s="8">
        <v>2</v>
      </c>
      <c r="AF902" s="8">
        <v>2</v>
      </c>
      <c r="AG902" s="8">
        <v>1</v>
      </c>
      <c r="AH902" s="8" t="str">
        <f t="shared" si="250"/>
        <v/>
      </c>
    </row>
    <row r="903" spans="1:34" x14ac:dyDescent="0.25">
      <c r="A903" s="29">
        <f t="shared" si="241"/>
        <v>0</v>
      </c>
      <c r="B903" s="29">
        <f t="shared" si="251"/>
        <v>0</v>
      </c>
      <c r="C903" s="29">
        <f t="shared" si="252"/>
        <v>0</v>
      </c>
      <c r="D903" s="29">
        <f t="shared" si="253"/>
        <v>0</v>
      </c>
      <c r="E903" s="29">
        <f t="shared" si="242"/>
        <v>0</v>
      </c>
      <c r="F903" s="29">
        <f t="shared" si="243"/>
        <v>0</v>
      </c>
      <c r="G903" s="29" t="str">
        <f t="shared" si="244"/>
        <v>offensive</v>
      </c>
      <c r="H903" s="16">
        <f t="shared" si="248"/>
        <v>0</v>
      </c>
      <c r="I903" s="16">
        <f t="shared" si="249"/>
        <v>0</v>
      </c>
      <c r="J903" s="16">
        <f t="shared" si="254"/>
        <v>0</v>
      </c>
      <c r="K903" s="16">
        <f t="shared" si="245"/>
        <v>0</v>
      </c>
      <c r="L903" s="67">
        <f t="shared" si="246"/>
        <v>0</v>
      </c>
      <c r="M903" s="4">
        <f t="shared" si="255"/>
        <v>0</v>
      </c>
      <c r="N903" s="4">
        <f t="shared" ref="N903:N941" si="256">AO895+AV895+BD895</f>
        <v>0</v>
      </c>
      <c r="O903" s="4">
        <f t="shared" si="247"/>
        <v>0</v>
      </c>
      <c r="P903" s="4" t="e">
        <f>VLOOKUP(AJ895,'CIR Team Info'!$C$5:$E$44,2,FALSE)</f>
        <v>#N/A</v>
      </c>
      <c r="Q903" s="4" t="e">
        <f>VLOOKUP(AJ895,'CIR Team Info'!$C$5:$E$44,3,FALSE)</f>
        <v>#N/A</v>
      </c>
      <c r="R903" s="10" t="e">
        <f>VLOOKUP(AJ895,'FRC Site Data'!$B$3:$L$42,2,FALSE)</f>
        <v>#N/A</v>
      </c>
      <c r="S903" s="10" t="e">
        <f>VLOOKUP(AJ895,'FRC Site Data'!$B$3:$L$42,3,FALSE)</f>
        <v>#N/A</v>
      </c>
      <c r="T903" s="10" t="e">
        <f>VLOOKUP(AJ895,'FRC Site Data'!$B$3:$L$42,4,FALSE)</f>
        <v>#N/A</v>
      </c>
      <c r="U903" s="10" t="e">
        <f>VLOOKUP(AJ895,'FRC Site Data'!$B$3:$L$42,5,FALSE)</f>
        <v>#N/A</v>
      </c>
      <c r="V903" s="10" t="e">
        <f>VLOOKUP(AJ895,'FRC Site Data'!$B$3:$L$42,6,FALSE)</f>
        <v>#N/A</v>
      </c>
      <c r="W903" s="10" t="e">
        <f>VLOOKUP(AJ895,'FRC Site Data'!$B$3:$L$42,8,FALSE)</f>
        <v>#N/A</v>
      </c>
      <c r="X903" s="10" t="e">
        <f>VLOOKUP(AJ895,'FRC Site Data'!$B$3:$L$42,9,FALSE)</f>
        <v>#N/A</v>
      </c>
      <c r="Y903" s="10" t="e">
        <f>VLOOKUP(AJ895,'FRC Site Data'!$B$3:$L$42,10,FALSE)</f>
        <v>#N/A</v>
      </c>
      <c r="Z903" s="10" t="e">
        <f>VLOOKUP(AJ895,'FRC Site Data'!$B$3:$L$42,11,FALSE)</f>
        <v>#N/A</v>
      </c>
      <c r="AA903" s="10" t="e">
        <f>VLOOKUP(AJ895,'CIR Team Info'!$C$5:$E$44,4,FALSE)</f>
        <v>#N/A</v>
      </c>
      <c r="AB903" s="161" t="b">
        <f>ISNUMBER(VLOOKUP(AJ895,Match!$T$5:$T$10,1,FALSE))</f>
        <v>0</v>
      </c>
      <c r="AC903" s="161" t="b">
        <f>IF(AB903=TRUE,(VLOOKUP($AJ895,Match!$T$5:$U$10,2,FALSE)))</f>
        <v>0</v>
      </c>
      <c r="AD903" s="8">
        <v>3</v>
      </c>
      <c r="AE903" s="8">
        <v>2</v>
      </c>
      <c r="AF903" s="8">
        <v>2</v>
      </c>
      <c r="AG903" s="8">
        <v>1</v>
      </c>
      <c r="AH903" s="8" t="str">
        <f t="shared" si="250"/>
        <v/>
      </c>
    </row>
    <row r="904" spans="1:34" x14ac:dyDescent="0.25">
      <c r="A904" s="29">
        <f t="shared" ref="A904:A941" si="257">SUM(B904:F904)</f>
        <v>0</v>
      </c>
      <c r="B904" s="29">
        <f t="shared" si="251"/>
        <v>0</v>
      </c>
      <c r="C904" s="29">
        <f t="shared" si="252"/>
        <v>0</v>
      </c>
      <c r="D904" s="29">
        <f t="shared" si="253"/>
        <v>0</v>
      </c>
      <c r="E904" s="29">
        <f t="shared" ref="E904:E941" si="258">K904*O904</f>
        <v>0</v>
      </c>
      <c r="F904" s="29">
        <f t="shared" ref="F904:F941" si="259">IF(AN896&gt;0,5)-2*COUNTIF(AQ896,"K")+5*COUNTIF(AS896,"T")+IF(AX896=3,2)+IF(AY896="T",2)</f>
        <v>0</v>
      </c>
      <c r="G904" s="29" t="str">
        <f t="shared" ref="G904:G941" si="260">IF((BB896+BC896)&gt;45,"defensive",IF((BB896+BC896)&gt;15,"both","offensive"))</f>
        <v>offensive</v>
      </c>
      <c r="H904" s="16">
        <f t="shared" si="248"/>
        <v>0</v>
      </c>
      <c r="I904" s="16">
        <f t="shared" si="249"/>
        <v>0</v>
      </c>
      <c r="J904" s="16">
        <f t="shared" si="254"/>
        <v>0</v>
      </c>
      <c r="K904" s="16">
        <f t="shared" ref="K904:K941" si="261">IF((BB896+BC896)=0,0,((AZ896*BB896*0.2)+(BA896*BC896*0.3))/(BB896+BC896))</f>
        <v>0</v>
      </c>
      <c r="L904" s="67">
        <f t="shared" ref="L904:L941" si="262">IF(BF896&gt;BG896,BF896,BG896)</f>
        <v>0</v>
      </c>
      <c r="M904" s="4">
        <f t="shared" si="255"/>
        <v>0</v>
      </c>
      <c r="N904" s="4">
        <f t="shared" si="256"/>
        <v>0</v>
      </c>
      <c r="O904" s="4">
        <f t="shared" ref="O904:O941" si="263">(AZ896*0.2*BB896*30/30)+(BA896*0.3*BC896*12/30)-BI896-BJ896</f>
        <v>0</v>
      </c>
      <c r="P904" s="4" t="e">
        <f>VLOOKUP(AJ896,'CIR Team Info'!$C$5:$E$44,2,FALSE)</f>
        <v>#N/A</v>
      </c>
      <c r="Q904" s="4" t="e">
        <f>VLOOKUP(AJ896,'CIR Team Info'!$C$5:$E$44,3,FALSE)</f>
        <v>#N/A</v>
      </c>
      <c r="R904" s="10" t="e">
        <f>VLOOKUP(AJ896,'FRC Site Data'!$B$3:$L$42,2,FALSE)</f>
        <v>#N/A</v>
      </c>
      <c r="S904" s="10" t="e">
        <f>VLOOKUP(AJ896,'FRC Site Data'!$B$3:$L$42,3,FALSE)</f>
        <v>#N/A</v>
      </c>
      <c r="T904" s="10" t="e">
        <f>VLOOKUP(AJ896,'FRC Site Data'!$B$3:$L$42,4,FALSE)</f>
        <v>#N/A</v>
      </c>
      <c r="U904" s="10" t="e">
        <f>VLOOKUP(AJ896,'FRC Site Data'!$B$3:$L$42,5,FALSE)</f>
        <v>#N/A</v>
      </c>
      <c r="V904" s="10" t="e">
        <f>VLOOKUP(AJ896,'FRC Site Data'!$B$3:$L$42,6,FALSE)</f>
        <v>#N/A</v>
      </c>
      <c r="W904" s="10" t="e">
        <f>VLOOKUP(AJ896,'FRC Site Data'!$B$3:$L$42,8,FALSE)</f>
        <v>#N/A</v>
      </c>
      <c r="X904" s="10" t="e">
        <f>VLOOKUP(AJ896,'FRC Site Data'!$B$3:$L$42,9,FALSE)</f>
        <v>#N/A</v>
      </c>
      <c r="Y904" s="10" t="e">
        <f>VLOOKUP(AJ896,'FRC Site Data'!$B$3:$L$42,10,FALSE)</f>
        <v>#N/A</v>
      </c>
      <c r="Z904" s="10" t="e">
        <f>VLOOKUP(AJ896,'FRC Site Data'!$B$3:$L$42,11,FALSE)</f>
        <v>#N/A</v>
      </c>
      <c r="AA904" s="10" t="e">
        <f>VLOOKUP(AJ896,'CIR Team Info'!$C$5:$E$44,4,FALSE)</f>
        <v>#N/A</v>
      </c>
      <c r="AB904" s="161" t="b">
        <f>ISNUMBER(VLOOKUP(AJ896,Match!$T$5:$T$10,1,FALSE))</f>
        <v>0</v>
      </c>
      <c r="AC904" s="161" t="b">
        <f>IF(AB904=TRUE,(VLOOKUP($AJ896,Match!$T$5:$U$10,2,FALSE)))</f>
        <v>0</v>
      </c>
      <c r="AD904" s="8">
        <v>3</v>
      </c>
      <c r="AE904" s="8">
        <v>2</v>
      </c>
      <c r="AF904" s="8">
        <v>2</v>
      </c>
      <c r="AG904" s="8">
        <v>1</v>
      </c>
      <c r="AH904" s="8" t="str">
        <f t="shared" si="250"/>
        <v/>
      </c>
    </row>
    <row r="905" spans="1:34" x14ac:dyDescent="0.25">
      <c r="A905" s="29">
        <f t="shared" si="257"/>
        <v>0</v>
      </c>
      <c r="B905" s="29">
        <f t="shared" si="251"/>
        <v>0</v>
      </c>
      <c r="C905" s="29">
        <f t="shared" si="252"/>
        <v>0</v>
      </c>
      <c r="D905" s="29">
        <f t="shared" si="253"/>
        <v>0</v>
      </c>
      <c r="E905" s="29">
        <f t="shared" si="258"/>
        <v>0</v>
      </c>
      <c r="F905" s="29">
        <f t="shared" si="259"/>
        <v>0</v>
      </c>
      <c r="G905" s="29" t="str">
        <f t="shared" si="260"/>
        <v>offensive</v>
      </c>
      <c r="H905" s="16">
        <f t="shared" si="248"/>
        <v>0</v>
      </c>
      <c r="I905" s="16">
        <f t="shared" si="249"/>
        <v>0</v>
      </c>
      <c r="J905" s="16">
        <f t="shared" si="254"/>
        <v>0</v>
      </c>
      <c r="K905" s="16">
        <f t="shared" si="261"/>
        <v>0</v>
      </c>
      <c r="L905" s="67">
        <f t="shared" si="262"/>
        <v>0</v>
      </c>
      <c r="M905" s="4">
        <f t="shared" si="255"/>
        <v>0</v>
      </c>
      <c r="N905" s="4">
        <f t="shared" si="256"/>
        <v>0</v>
      </c>
      <c r="O905" s="4">
        <f t="shared" si="263"/>
        <v>0</v>
      </c>
      <c r="P905" s="4" t="e">
        <f>VLOOKUP(AJ897,'CIR Team Info'!$C$5:$E$44,2,FALSE)</f>
        <v>#N/A</v>
      </c>
      <c r="Q905" s="4" t="e">
        <f>VLOOKUP(AJ897,'CIR Team Info'!$C$5:$E$44,3,FALSE)</f>
        <v>#N/A</v>
      </c>
      <c r="R905" s="10" t="e">
        <f>VLOOKUP(AJ897,'FRC Site Data'!$B$3:$L$42,2,FALSE)</f>
        <v>#N/A</v>
      </c>
      <c r="S905" s="10" t="e">
        <f>VLOOKUP(AJ897,'FRC Site Data'!$B$3:$L$42,3,FALSE)</f>
        <v>#N/A</v>
      </c>
      <c r="T905" s="10" t="e">
        <f>VLOOKUP(AJ897,'FRC Site Data'!$B$3:$L$42,4,FALSE)</f>
        <v>#N/A</v>
      </c>
      <c r="U905" s="10" t="e">
        <f>VLOOKUP(AJ897,'FRC Site Data'!$B$3:$L$42,5,FALSE)</f>
        <v>#N/A</v>
      </c>
      <c r="V905" s="10" t="e">
        <f>VLOOKUP(AJ897,'FRC Site Data'!$B$3:$L$42,6,FALSE)</f>
        <v>#N/A</v>
      </c>
      <c r="W905" s="10" t="e">
        <f>VLOOKUP(AJ897,'FRC Site Data'!$B$3:$L$42,8,FALSE)</f>
        <v>#N/A</v>
      </c>
      <c r="X905" s="10" t="e">
        <f>VLOOKUP(AJ897,'FRC Site Data'!$B$3:$L$42,9,FALSE)</f>
        <v>#N/A</v>
      </c>
      <c r="Y905" s="10" t="e">
        <f>VLOOKUP(AJ897,'FRC Site Data'!$B$3:$L$42,10,FALSE)</f>
        <v>#N/A</v>
      </c>
      <c r="Z905" s="10" t="e">
        <f>VLOOKUP(AJ897,'FRC Site Data'!$B$3:$L$42,11,FALSE)</f>
        <v>#N/A</v>
      </c>
      <c r="AA905" s="10" t="e">
        <f>VLOOKUP(AJ897,'CIR Team Info'!$C$5:$E$44,4,FALSE)</f>
        <v>#N/A</v>
      </c>
      <c r="AB905" s="161" t="b">
        <f>ISNUMBER(VLOOKUP(AJ897,Match!$T$5:$T$10,1,FALSE))</f>
        <v>0</v>
      </c>
      <c r="AC905" s="161" t="b">
        <f>IF(AB905=TRUE,(VLOOKUP($AJ897,Match!$T$5:$U$10,2,FALSE)))</f>
        <v>0</v>
      </c>
      <c r="AD905" s="8">
        <v>3</v>
      </c>
      <c r="AE905" s="8">
        <v>2</v>
      </c>
      <c r="AF905" s="8">
        <v>2</v>
      </c>
      <c r="AG905" s="8">
        <v>1</v>
      </c>
      <c r="AH905" s="8" t="str">
        <f t="shared" si="250"/>
        <v/>
      </c>
    </row>
    <row r="906" spans="1:34" x14ac:dyDescent="0.25">
      <c r="A906" s="29">
        <f t="shared" si="257"/>
        <v>0</v>
      </c>
      <c r="B906" s="29">
        <f t="shared" si="251"/>
        <v>0</v>
      </c>
      <c r="C906" s="29">
        <f t="shared" si="252"/>
        <v>0</v>
      </c>
      <c r="D906" s="29">
        <f t="shared" si="253"/>
        <v>0</v>
      </c>
      <c r="E906" s="29">
        <f t="shared" si="258"/>
        <v>0</v>
      </c>
      <c r="F906" s="29">
        <f t="shared" si="259"/>
        <v>0</v>
      </c>
      <c r="G906" s="29" t="str">
        <f t="shared" si="260"/>
        <v>offensive</v>
      </c>
      <c r="H906" s="16">
        <f t="shared" si="248"/>
        <v>0</v>
      </c>
      <c r="I906" s="16">
        <f t="shared" si="249"/>
        <v>0</v>
      </c>
      <c r="J906" s="16">
        <f t="shared" si="254"/>
        <v>0</v>
      </c>
      <c r="K906" s="16">
        <f t="shared" si="261"/>
        <v>0</v>
      </c>
      <c r="L906" s="67">
        <f t="shared" si="262"/>
        <v>0</v>
      </c>
      <c r="M906" s="4">
        <f t="shared" si="255"/>
        <v>0</v>
      </c>
      <c r="N906" s="4">
        <f t="shared" si="256"/>
        <v>0</v>
      </c>
      <c r="O906" s="4">
        <f t="shared" si="263"/>
        <v>0</v>
      </c>
      <c r="P906" s="4" t="e">
        <f>VLOOKUP(AJ898,'CIR Team Info'!$C$5:$E$44,2,FALSE)</f>
        <v>#N/A</v>
      </c>
      <c r="Q906" s="4" t="e">
        <f>VLOOKUP(AJ898,'CIR Team Info'!$C$5:$E$44,3,FALSE)</f>
        <v>#N/A</v>
      </c>
      <c r="R906" s="10" t="e">
        <f>VLOOKUP(AJ898,'FRC Site Data'!$B$3:$L$42,2,FALSE)</f>
        <v>#N/A</v>
      </c>
      <c r="S906" s="10" t="e">
        <f>VLOOKUP(AJ898,'FRC Site Data'!$B$3:$L$42,3,FALSE)</f>
        <v>#N/A</v>
      </c>
      <c r="T906" s="10" t="e">
        <f>VLOOKUP(AJ898,'FRC Site Data'!$B$3:$L$42,4,FALSE)</f>
        <v>#N/A</v>
      </c>
      <c r="U906" s="10" t="e">
        <f>VLOOKUP(AJ898,'FRC Site Data'!$B$3:$L$42,5,FALSE)</f>
        <v>#N/A</v>
      </c>
      <c r="V906" s="10" t="e">
        <f>VLOOKUP(AJ898,'FRC Site Data'!$B$3:$L$42,6,FALSE)</f>
        <v>#N/A</v>
      </c>
      <c r="W906" s="10" t="e">
        <f>VLOOKUP(AJ898,'FRC Site Data'!$B$3:$L$42,8,FALSE)</f>
        <v>#N/A</v>
      </c>
      <c r="X906" s="10" t="e">
        <f>VLOOKUP(AJ898,'FRC Site Data'!$B$3:$L$42,9,FALSE)</f>
        <v>#N/A</v>
      </c>
      <c r="Y906" s="10" t="e">
        <f>VLOOKUP(AJ898,'FRC Site Data'!$B$3:$L$42,10,FALSE)</f>
        <v>#N/A</v>
      </c>
      <c r="Z906" s="10" t="e">
        <f>VLOOKUP(AJ898,'FRC Site Data'!$B$3:$L$42,11,FALSE)</f>
        <v>#N/A</v>
      </c>
      <c r="AA906" s="10" t="e">
        <f>VLOOKUP(AJ898,'CIR Team Info'!$C$5:$E$44,4,FALSE)</f>
        <v>#N/A</v>
      </c>
      <c r="AB906" s="161" t="b">
        <f>ISNUMBER(VLOOKUP(AJ898,Match!$T$5:$T$10,1,FALSE))</f>
        <v>0</v>
      </c>
      <c r="AC906" s="161" t="b">
        <f>IF(AB906=TRUE,(VLOOKUP($AJ898,Match!$T$5:$U$10,2,FALSE)))</f>
        <v>0</v>
      </c>
      <c r="AD906" s="8">
        <v>3</v>
      </c>
      <c r="AE906" s="8">
        <v>2</v>
      </c>
      <c r="AF906" s="8">
        <v>2</v>
      </c>
      <c r="AG906" s="8">
        <v>1</v>
      </c>
      <c r="AH906" s="8" t="str">
        <f t="shared" si="250"/>
        <v/>
      </c>
    </row>
    <row r="907" spans="1:34" x14ac:dyDescent="0.25">
      <c r="A907" s="29">
        <f t="shared" si="257"/>
        <v>0</v>
      </c>
      <c r="B907" s="29">
        <f t="shared" si="251"/>
        <v>0</v>
      </c>
      <c r="C907" s="29">
        <f t="shared" si="252"/>
        <v>0</v>
      </c>
      <c r="D907" s="29">
        <f t="shared" si="253"/>
        <v>0</v>
      </c>
      <c r="E907" s="29">
        <f t="shared" si="258"/>
        <v>0</v>
      </c>
      <c r="F907" s="29">
        <f t="shared" si="259"/>
        <v>0</v>
      </c>
      <c r="G907" s="29" t="str">
        <f t="shared" si="260"/>
        <v>offensive</v>
      </c>
      <c r="H907" s="16">
        <f t="shared" si="248"/>
        <v>0</v>
      </c>
      <c r="I907" s="16">
        <f t="shared" si="249"/>
        <v>0</v>
      </c>
      <c r="J907" s="16">
        <f t="shared" si="254"/>
        <v>0</v>
      </c>
      <c r="K907" s="16">
        <f t="shared" si="261"/>
        <v>0</v>
      </c>
      <c r="L907" s="67">
        <f t="shared" si="262"/>
        <v>0</v>
      </c>
      <c r="M907" s="4">
        <f t="shared" si="255"/>
        <v>0</v>
      </c>
      <c r="N907" s="4">
        <f t="shared" si="256"/>
        <v>0</v>
      </c>
      <c r="O907" s="4">
        <f t="shared" si="263"/>
        <v>0</v>
      </c>
      <c r="P907" s="4" t="e">
        <f>VLOOKUP(AJ899,'CIR Team Info'!$C$5:$E$44,2,FALSE)</f>
        <v>#N/A</v>
      </c>
      <c r="Q907" s="4" t="e">
        <f>VLOOKUP(AJ899,'CIR Team Info'!$C$5:$E$44,3,FALSE)</f>
        <v>#N/A</v>
      </c>
      <c r="R907" s="10" t="e">
        <f>VLOOKUP(AJ899,'FRC Site Data'!$B$3:$L$42,2,FALSE)</f>
        <v>#N/A</v>
      </c>
      <c r="S907" s="10" t="e">
        <f>VLOOKUP(AJ899,'FRC Site Data'!$B$3:$L$42,3,FALSE)</f>
        <v>#N/A</v>
      </c>
      <c r="T907" s="10" t="e">
        <f>VLOOKUP(AJ899,'FRC Site Data'!$B$3:$L$42,4,FALSE)</f>
        <v>#N/A</v>
      </c>
      <c r="U907" s="10" t="e">
        <f>VLOOKUP(AJ899,'FRC Site Data'!$B$3:$L$42,5,FALSE)</f>
        <v>#N/A</v>
      </c>
      <c r="V907" s="10" t="e">
        <f>VLOOKUP(AJ899,'FRC Site Data'!$B$3:$L$42,6,FALSE)</f>
        <v>#N/A</v>
      </c>
      <c r="W907" s="10" t="e">
        <f>VLOOKUP(AJ899,'FRC Site Data'!$B$3:$L$42,8,FALSE)</f>
        <v>#N/A</v>
      </c>
      <c r="X907" s="10" t="e">
        <f>VLOOKUP(AJ899,'FRC Site Data'!$B$3:$L$42,9,FALSE)</f>
        <v>#N/A</v>
      </c>
      <c r="Y907" s="10" t="e">
        <f>VLOOKUP(AJ899,'FRC Site Data'!$B$3:$L$42,10,FALSE)</f>
        <v>#N/A</v>
      </c>
      <c r="Z907" s="10" t="e">
        <f>VLOOKUP(AJ899,'FRC Site Data'!$B$3:$L$42,11,FALSE)</f>
        <v>#N/A</v>
      </c>
      <c r="AA907" s="10" t="e">
        <f>VLOOKUP(AJ899,'CIR Team Info'!$C$5:$E$44,4,FALSE)</f>
        <v>#N/A</v>
      </c>
      <c r="AB907" s="161" t="b">
        <f>ISNUMBER(VLOOKUP(AJ899,Match!$T$5:$T$10,1,FALSE))</f>
        <v>0</v>
      </c>
      <c r="AC907" s="161" t="b">
        <f>IF(AB907=TRUE,(VLOOKUP($AJ899,Match!$T$5:$U$10,2,FALSE)))</f>
        <v>0</v>
      </c>
      <c r="AD907" s="8">
        <v>3</v>
      </c>
      <c r="AE907" s="8">
        <v>2</v>
      </c>
      <c r="AF907" s="8">
        <v>2</v>
      </c>
      <c r="AG907" s="8">
        <v>1</v>
      </c>
      <c r="AH907" s="8" t="str">
        <f t="shared" si="250"/>
        <v/>
      </c>
    </row>
    <row r="908" spans="1:34" x14ac:dyDescent="0.25">
      <c r="A908" s="29">
        <f t="shared" si="257"/>
        <v>0</v>
      </c>
      <c r="B908" s="29">
        <f t="shared" si="251"/>
        <v>0</v>
      </c>
      <c r="C908" s="29">
        <f t="shared" si="252"/>
        <v>0</v>
      </c>
      <c r="D908" s="29">
        <f t="shared" si="253"/>
        <v>0</v>
      </c>
      <c r="E908" s="29">
        <f t="shared" si="258"/>
        <v>0</v>
      </c>
      <c r="F908" s="29">
        <f t="shared" si="259"/>
        <v>0</v>
      </c>
      <c r="G908" s="29" t="str">
        <f t="shared" si="260"/>
        <v>offensive</v>
      </c>
      <c r="H908" s="16">
        <f t="shared" si="248"/>
        <v>0</v>
      </c>
      <c r="I908" s="16">
        <f t="shared" si="249"/>
        <v>0</v>
      </c>
      <c r="J908" s="16">
        <f t="shared" si="254"/>
        <v>0</v>
      </c>
      <c r="K908" s="16">
        <f t="shared" si="261"/>
        <v>0</v>
      </c>
      <c r="L908" s="67">
        <f t="shared" si="262"/>
        <v>0</v>
      </c>
      <c r="M908" s="4">
        <f t="shared" si="255"/>
        <v>0</v>
      </c>
      <c r="N908" s="4">
        <f t="shared" si="256"/>
        <v>0</v>
      </c>
      <c r="O908" s="4">
        <f t="shared" si="263"/>
        <v>0</v>
      </c>
      <c r="P908" s="4" t="e">
        <f>VLOOKUP(AJ900,'CIR Team Info'!$C$5:$E$44,2,FALSE)</f>
        <v>#N/A</v>
      </c>
      <c r="Q908" s="4" t="e">
        <f>VLOOKUP(AJ900,'CIR Team Info'!$C$5:$E$44,3,FALSE)</f>
        <v>#N/A</v>
      </c>
      <c r="R908" s="10" t="e">
        <f>VLOOKUP(AJ900,'FRC Site Data'!$B$3:$L$42,2,FALSE)</f>
        <v>#N/A</v>
      </c>
      <c r="S908" s="10" t="e">
        <f>VLOOKUP(AJ900,'FRC Site Data'!$B$3:$L$42,3,FALSE)</f>
        <v>#N/A</v>
      </c>
      <c r="T908" s="10" t="e">
        <f>VLOOKUP(AJ900,'FRC Site Data'!$B$3:$L$42,4,FALSE)</f>
        <v>#N/A</v>
      </c>
      <c r="U908" s="10" t="e">
        <f>VLOOKUP(AJ900,'FRC Site Data'!$B$3:$L$42,5,FALSE)</f>
        <v>#N/A</v>
      </c>
      <c r="V908" s="10" t="e">
        <f>VLOOKUP(AJ900,'FRC Site Data'!$B$3:$L$42,6,FALSE)</f>
        <v>#N/A</v>
      </c>
      <c r="W908" s="10" t="e">
        <f>VLOOKUP(AJ900,'FRC Site Data'!$B$3:$L$42,8,FALSE)</f>
        <v>#N/A</v>
      </c>
      <c r="X908" s="10" t="e">
        <f>VLOOKUP(AJ900,'FRC Site Data'!$B$3:$L$42,9,FALSE)</f>
        <v>#N/A</v>
      </c>
      <c r="Y908" s="10" t="e">
        <f>VLOOKUP(AJ900,'FRC Site Data'!$B$3:$L$42,10,FALSE)</f>
        <v>#N/A</v>
      </c>
      <c r="Z908" s="10" t="e">
        <f>VLOOKUP(AJ900,'FRC Site Data'!$B$3:$L$42,11,FALSE)</f>
        <v>#N/A</v>
      </c>
      <c r="AA908" s="10" t="e">
        <f>VLOOKUP(AJ900,'CIR Team Info'!$C$5:$E$44,4,FALSE)</f>
        <v>#N/A</v>
      </c>
      <c r="AB908" s="161" t="b">
        <f>ISNUMBER(VLOOKUP(AJ900,Match!$T$5:$T$10,1,FALSE))</f>
        <v>0</v>
      </c>
      <c r="AC908" s="161" t="b">
        <f>IF(AB908=TRUE,(VLOOKUP($AJ900,Match!$T$5:$U$10,2,FALSE)))</f>
        <v>0</v>
      </c>
      <c r="AD908" s="8">
        <v>3</v>
      </c>
      <c r="AE908" s="8">
        <v>2</v>
      </c>
      <c r="AF908" s="8">
        <v>2</v>
      </c>
      <c r="AG908" s="8">
        <v>1</v>
      </c>
      <c r="AH908" s="8" t="str">
        <f t="shared" si="250"/>
        <v/>
      </c>
    </row>
    <row r="909" spans="1:34" x14ac:dyDescent="0.25">
      <c r="A909" s="29">
        <f t="shared" si="257"/>
        <v>0</v>
      </c>
      <c r="B909" s="29">
        <f t="shared" si="251"/>
        <v>0</v>
      </c>
      <c r="C909" s="29">
        <f t="shared" si="252"/>
        <v>0</v>
      </c>
      <c r="D909" s="29">
        <f t="shared" si="253"/>
        <v>0</v>
      </c>
      <c r="E909" s="29">
        <f t="shared" si="258"/>
        <v>0</v>
      </c>
      <c r="F909" s="29">
        <f t="shared" si="259"/>
        <v>0</v>
      </c>
      <c r="G909" s="29" t="str">
        <f t="shared" si="260"/>
        <v>offensive</v>
      </c>
      <c r="H909" s="16">
        <f t="shared" si="248"/>
        <v>0</v>
      </c>
      <c r="I909" s="16">
        <f t="shared" si="249"/>
        <v>0</v>
      </c>
      <c r="J909" s="16">
        <f t="shared" si="254"/>
        <v>0</v>
      </c>
      <c r="K909" s="16">
        <f t="shared" si="261"/>
        <v>0</v>
      </c>
      <c r="L909" s="67">
        <f t="shared" si="262"/>
        <v>0</v>
      </c>
      <c r="M909" s="4">
        <f t="shared" si="255"/>
        <v>0</v>
      </c>
      <c r="N909" s="4">
        <f t="shared" si="256"/>
        <v>0</v>
      </c>
      <c r="O909" s="4">
        <f t="shared" si="263"/>
        <v>0</v>
      </c>
      <c r="P909" s="4" t="e">
        <f>VLOOKUP(AJ901,'CIR Team Info'!$C$5:$E$44,2,FALSE)</f>
        <v>#N/A</v>
      </c>
      <c r="Q909" s="4" t="e">
        <f>VLOOKUP(AJ901,'CIR Team Info'!$C$5:$E$44,3,FALSE)</f>
        <v>#N/A</v>
      </c>
      <c r="R909" s="10" t="e">
        <f>VLOOKUP(AJ901,'FRC Site Data'!$B$3:$L$42,2,FALSE)</f>
        <v>#N/A</v>
      </c>
      <c r="S909" s="10" t="e">
        <f>VLOOKUP(AJ901,'FRC Site Data'!$B$3:$L$42,3,FALSE)</f>
        <v>#N/A</v>
      </c>
      <c r="T909" s="10" t="e">
        <f>VLOOKUP(AJ901,'FRC Site Data'!$B$3:$L$42,4,FALSE)</f>
        <v>#N/A</v>
      </c>
      <c r="U909" s="10" t="e">
        <f>VLOOKUP(AJ901,'FRC Site Data'!$B$3:$L$42,5,FALSE)</f>
        <v>#N/A</v>
      </c>
      <c r="V909" s="10" t="e">
        <f>VLOOKUP(AJ901,'FRC Site Data'!$B$3:$L$42,6,FALSE)</f>
        <v>#N/A</v>
      </c>
      <c r="W909" s="10" t="e">
        <f>VLOOKUP(AJ901,'FRC Site Data'!$B$3:$L$42,8,FALSE)</f>
        <v>#N/A</v>
      </c>
      <c r="X909" s="10" t="e">
        <f>VLOOKUP(AJ901,'FRC Site Data'!$B$3:$L$42,9,FALSE)</f>
        <v>#N/A</v>
      </c>
      <c r="Y909" s="10" t="e">
        <f>VLOOKUP(AJ901,'FRC Site Data'!$B$3:$L$42,10,FALSE)</f>
        <v>#N/A</v>
      </c>
      <c r="Z909" s="10" t="e">
        <f>VLOOKUP(AJ901,'FRC Site Data'!$B$3:$L$42,11,FALSE)</f>
        <v>#N/A</v>
      </c>
      <c r="AA909" s="10" t="e">
        <f>VLOOKUP(AJ901,'CIR Team Info'!$C$5:$E$44,4,FALSE)</f>
        <v>#N/A</v>
      </c>
      <c r="AB909" s="161" t="b">
        <f>ISNUMBER(VLOOKUP(AJ901,Match!$T$5:$T$10,1,FALSE))</f>
        <v>0</v>
      </c>
      <c r="AC909" s="161" t="b">
        <f>IF(AB909=TRUE,(VLOOKUP($AJ901,Match!$T$5:$U$10,2,FALSE)))</f>
        <v>0</v>
      </c>
      <c r="AD909" s="8">
        <v>3</v>
      </c>
      <c r="AE909" s="8">
        <v>2</v>
      </c>
      <c r="AF909" s="8">
        <v>2</v>
      </c>
      <c r="AG909" s="8">
        <v>1</v>
      </c>
      <c r="AH909" s="8" t="str">
        <f t="shared" si="250"/>
        <v/>
      </c>
    </row>
    <row r="910" spans="1:34" x14ac:dyDescent="0.25">
      <c r="A910" s="29">
        <f t="shared" si="257"/>
        <v>0</v>
      </c>
      <c r="B910" s="29">
        <f t="shared" si="251"/>
        <v>0</v>
      </c>
      <c r="C910" s="29">
        <f t="shared" si="252"/>
        <v>0</v>
      </c>
      <c r="D910" s="29">
        <f t="shared" si="253"/>
        <v>0</v>
      </c>
      <c r="E910" s="29">
        <f t="shared" si="258"/>
        <v>0</v>
      </c>
      <c r="F910" s="29">
        <f t="shared" si="259"/>
        <v>0</v>
      </c>
      <c r="G910" s="29" t="str">
        <f t="shared" si="260"/>
        <v>offensive</v>
      </c>
      <c r="H910" s="16">
        <f t="shared" si="248"/>
        <v>0</v>
      </c>
      <c r="I910" s="16">
        <f t="shared" si="249"/>
        <v>0</v>
      </c>
      <c r="J910" s="16">
        <f t="shared" si="254"/>
        <v>0</v>
      </c>
      <c r="K910" s="16">
        <f t="shared" si="261"/>
        <v>0</v>
      </c>
      <c r="L910" s="67">
        <f t="shared" si="262"/>
        <v>0</v>
      </c>
      <c r="M910" s="4">
        <f t="shared" si="255"/>
        <v>0</v>
      </c>
      <c r="N910" s="4">
        <f t="shared" si="256"/>
        <v>0</v>
      </c>
      <c r="O910" s="4">
        <f t="shared" si="263"/>
        <v>0</v>
      </c>
      <c r="P910" s="4" t="e">
        <f>VLOOKUP(AJ902,'CIR Team Info'!$C$5:$E$44,2,FALSE)</f>
        <v>#N/A</v>
      </c>
      <c r="Q910" s="4" t="e">
        <f>VLOOKUP(AJ902,'CIR Team Info'!$C$5:$E$44,3,FALSE)</f>
        <v>#N/A</v>
      </c>
      <c r="R910" s="10" t="e">
        <f>VLOOKUP(AJ902,'FRC Site Data'!$B$3:$L$42,2,FALSE)</f>
        <v>#N/A</v>
      </c>
      <c r="S910" s="10" t="e">
        <f>VLOOKUP(AJ902,'FRC Site Data'!$B$3:$L$42,3,FALSE)</f>
        <v>#N/A</v>
      </c>
      <c r="T910" s="10" t="e">
        <f>VLOOKUP(AJ902,'FRC Site Data'!$B$3:$L$42,4,FALSE)</f>
        <v>#N/A</v>
      </c>
      <c r="U910" s="10" t="e">
        <f>VLOOKUP(AJ902,'FRC Site Data'!$B$3:$L$42,5,FALSE)</f>
        <v>#N/A</v>
      </c>
      <c r="V910" s="10" t="e">
        <f>VLOOKUP(AJ902,'FRC Site Data'!$B$3:$L$42,6,FALSE)</f>
        <v>#N/A</v>
      </c>
      <c r="W910" s="10" t="e">
        <f>VLOOKUP(AJ902,'FRC Site Data'!$B$3:$L$42,8,FALSE)</f>
        <v>#N/A</v>
      </c>
      <c r="X910" s="10" t="e">
        <f>VLOOKUP(AJ902,'FRC Site Data'!$B$3:$L$42,9,FALSE)</f>
        <v>#N/A</v>
      </c>
      <c r="Y910" s="10" t="e">
        <f>VLOOKUP(AJ902,'FRC Site Data'!$B$3:$L$42,10,FALSE)</f>
        <v>#N/A</v>
      </c>
      <c r="Z910" s="10" t="e">
        <f>VLOOKUP(AJ902,'FRC Site Data'!$B$3:$L$42,11,FALSE)</f>
        <v>#N/A</v>
      </c>
      <c r="AA910" s="10" t="e">
        <f>VLOOKUP(AJ902,'CIR Team Info'!$C$5:$E$44,4,FALSE)</f>
        <v>#N/A</v>
      </c>
      <c r="AB910" s="161" t="b">
        <f>ISNUMBER(VLOOKUP(AJ902,Match!$T$5:$T$10,1,FALSE))</f>
        <v>0</v>
      </c>
      <c r="AC910" s="161" t="b">
        <f>IF(AB910=TRUE,(VLOOKUP($AJ902,Match!$T$5:$U$10,2,FALSE)))</f>
        <v>0</v>
      </c>
      <c r="AD910" s="8">
        <v>3</v>
      </c>
      <c r="AE910" s="8">
        <v>2</v>
      </c>
      <c r="AF910" s="8">
        <v>2</v>
      </c>
      <c r="AG910" s="8">
        <v>1</v>
      </c>
      <c r="AH910" s="8" t="str">
        <f t="shared" si="250"/>
        <v/>
      </c>
    </row>
    <row r="911" spans="1:34" x14ac:dyDescent="0.25">
      <c r="A911" s="29">
        <f t="shared" si="257"/>
        <v>0</v>
      </c>
      <c r="B911" s="29">
        <f t="shared" si="251"/>
        <v>0</v>
      </c>
      <c r="C911" s="29">
        <f t="shared" si="252"/>
        <v>0</v>
      </c>
      <c r="D911" s="29">
        <f t="shared" si="253"/>
        <v>0</v>
      </c>
      <c r="E911" s="29">
        <f t="shared" si="258"/>
        <v>0</v>
      </c>
      <c r="F911" s="29">
        <f t="shared" si="259"/>
        <v>0</v>
      </c>
      <c r="G911" s="29" t="str">
        <f t="shared" si="260"/>
        <v>offensive</v>
      </c>
      <c r="H911" s="16">
        <f t="shared" ref="H911:H941" si="264">IF((AO903+AP903)=0,0,AO903/(AO903+AP903))</f>
        <v>0</v>
      </c>
      <c r="I911" s="16">
        <f t="shared" ref="I911:I941" si="265">IF((AV903+AW903)=0,0,AV903/(AV903+AW903))</f>
        <v>0</v>
      </c>
      <c r="J911" s="16">
        <f t="shared" si="254"/>
        <v>0</v>
      </c>
      <c r="K911" s="16">
        <f t="shared" si="261"/>
        <v>0</v>
      </c>
      <c r="L911" s="67">
        <f t="shared" si="262"/>
        <v>0</v>
      </c>
      <c r="M911" s="4">
        <f t="shared" si="255"/>
        <v>0</v>
      </c>
      <c r="N911" s="4">
        <f t="shared" si="256"/>
        <v>0</v>
      </c>
      <c r="O911" s="4">
        <f t="shared" si="263"/>
        <v>0</v>
      </c>
      <c r="P911" s="4" t="e">
        <f>VLOOKUP(AJ903,'CIR Team Info'!$C$5:$E$44,2,FALSE)</f>
        <v>#N/A</v>
      </c>
      <c r="Q911" s="4" t="e">
        <f>VLOOKUP(AJ903,'CIR Team Info'!$C$5:$E$44,3,FALSE)</f>
        <v>#N/A</v>
      </c>
      <c r="R911" s="10" t="e">
        <f>VLOOKUP(AJ903,'FRC Site Data'!$B$3:$L$42,2,FALSE)</f>
        <v>#N/A</v>
      </c>
      <c r="S911" s="10" t="e">
        <f>VLOOKUP(AJ903,'FRC Site Data'!$B$3:$L$42,3,FALSE)</f>
        <v>#N/A</v>
      </c>
      <c r="T911" s="10" t="e">
        <f>VLOOKUP(AJ903,'FRC Site Data'!$B$3:$L$42,4,FALSE)</f>
        <v>#N/A</v>
      </c>
      <c r="U911" s="10" t="e">
        <f>VLOOKUP(AJ903,'FRC Site Data'!$B$3:$L$42,5,FALSE)</f>
        <v>#N/A</v>
      </c>
      <c r="V911" s="10" t="e">
        <f>VLOOKUP(AJ903,'FRC Site Data'!$B$3:$L$42,6,FALSE)</f>
        <v>#N/A</v>
      </c>
      <c r="W911" s="10" t="e">
        <f>VLOOKUP(AJ903,'FRC Site Data'!$B$3:$L$42,8,FALSE)</f>
        <v>#N/A</v>
      </c>
      <c r="X911" s="10" t="e">
        <f>VLOOKUP(AJ903,'FRC Site Data'!$B$3:$L$42,9,FALSE)</f>
        <v>#N/A</v>
      </c>
      <c r="Y911" s="10" t="e">
        <f>VLOOKUP(AJ903,'FRC Site Data'!$B$3:$L$42,10,FALSE)</f>
        <v>#N/A</v>
      </c>
      <c r="Z911" s="10" t="e">
        <f>VLOOKUP(AJ903,'FRC Site Data'!$B$3:$L$42,11,FALSE)</f>
        <v>#N/A</v>
      </c>
      <c r="AA911" s="10" t="e">
        <f>VLOOKUP(AJ903,'CIR Team Info'!$C$5:$E$44,4,FALSE)</f>
        <v>#N/A</v>
      </c>
      <c r="AB911" s="161" t="b">
        <f>ISNUMBER(VLOOKUP(AJ903,Match!$T$5:$T$10,1,FALSE))</f>
        <v>0</v>
      </c>
      <c r="AC911" s="161" t="b">
        <f>IF(AB911=TRUE,(VLOOKUP($AJ903,Match!$T$5:$U$10,2,FALSE)))</f>
        <v>0</v>
      </c>
      <c r="AD911" s="8">
        <v>3</v>
      </c>
      <c r="AE911" s="8">
        <v>2</v>
      </c>
      <c r="AF911" s="8">
        <v>2</v>
      </c>
      <c r="AG911" s="8">
        <v>1</v>
      </c>
      <c r="AH911" s="8" t="str">
        <f t="shared" si="250"/>
        <v/>
      </c>
    </row>
    <row r="912" spans="1:34" x14ac:dyDescent="0.25">
      <c r="A912" s="29">
        <f t="shared" si="257"/>
        <v>0</v>
      </c>
      <c r="B912" s="29">
        <f t="shared" si="251"/>
        <v>0</v>
      </c>
      <c r="C912" s="29">
        <f t="shared" si="252"/>
        <v>0</v>
      </c>
      <c r="D912" s="29">
        <f t="shared" si="253"/>
        <v>0</v>
      </c>
      <c r="E912" s="29">
        <f t="shared" si="258"/>
        <v>0</v>
      </c>
      <c r="F912" s="29">
        <f t="shared" si="259"/>
        <v>0</v>
      </c>
      <c r="G912" s="29" t="str">
        <f t="shared" si="260"/>
        <v>offensive</v>
      </c>
      <c r="H912" s="16">
        <f t="shared" si="264"/>
        <v>0</v>
      </c>
      <c r="I912" s="16">
        <f t="shared" si="265"/>
        <v>0</v>
      </c>
      <c r="J912" s="16">
        <f t="shared" si="254"/>
        <v>0</v>
      </c>
      <c r="K912" s="16">
        <f t="shared" si="261"/>
        <v>0</v>
      </c>
      <c r="L912" s="67">
        <f t="shared" si="262"/>
        <v>0</v>
      </c>
      <c r="M912" s="4">
        <f t="shared" si="255"/>
        <v>0</v>
      </c>
      <c r="N912" s="4">
        <f t="shared" si="256"/>
        <v>0</v>
      </c>
      <c r="O912" s="4">
        <f t="shared" si="263"/>
        <v>0</v>
      </c>
      <c r="P912" s="4" t="e">
        <f>VLOOKUP(AJ904,'CIR Team Info'!$C$5:$E$44,2,FALSE)</f>
        <v>#N/A</v>
      </c>
      <c r="Q912" s="4" t="e">
        <f>VLOOKUP(AJ904,'CIR Team Info'!$C$5:$E$44,3,FALSE)</f>
        <v>#N/A</v>
      </c>
      <c r="R912" s="10" t="e">
        <f>VLOOKUP(AJ904,'FRC Site Data'!$B$3:$L$42,2,FALSE)</f>
        <v>#N/A</v>
      </c>
      <c r="S912" s="10" t="e">
        <f>VLOOKUP(AJ904,'FRC Site Data'!$B$3:$L$42,3,FALSE)</f>
        <v>#N/A</v>
      </c>
      <c r="T912" s="10" t="e">
        <f>VLOOKUP(AJ904,'FRC Site Data'!$B$3:$L$42,4,FALSE)</f>
        <v>#N/A</v>
      </c>
      <c r="U912" s="10" t="e">
        <f>VLOOKUP(AJ904,'FRC Site Data'!$B$3:$L$42,5,FALSE)</f>
        <v>#N/A</v>
      </c>
      <c r="V912" s="10" t="e">
        <f>VLOOKUP(AJ904,'FRC Site Data'!$B$3:$L$42,6,FALSE)</f>
        <v>#N/A</v>
      </c>
      <c r="W912" s="10" t="e">
        <f>VLOOKUP(AJ904,'FRC Site Data'!$B$3:$L$42,8,FALSE)</f>
        <v>#N/A</v>
      </c>
      <c r="X912" s="10" t="e">
        <f>VLOOKUP(AJ904,'FRC Site Data'!$B$3:$L$42,9,FALSE)</f>
        <v>#N/A</v>
      </c>
      <c r="Y912" s="10" t="e">
        <f>VLOOKUP(AJ904,'FRC Site Data'!$B$3:$L$42,10,FALSE)</f>
        <v>#N/A</v>
      </c>
      <c r="Z912" s="10" t="e">
        <f>VLOOKUP(AJ904,'FRC Site Data'!$B$3:$L$42,11,FALSE)</f>
        <v>#N/A</v>
      </c>
      <c r="AA912" s="10" t="e">
        <f>VLOOKUP(AJ904,'CIR Team Info'!$C$5:$E$44,4,FALSE)</f>
        <v>#N/A</v>
      </c>
      <c r="AB912" s="161" t="b">
        <f>ISNUMBER(VLOOKUP(AJ904,Match!$T$5:$T$10,1,FALSE))</f>
        <v>0</v>
      </c>
      <c r="AC912" s="161" t="b">
        <f>IF(AB912=TRUE,(VLOOKUP($AJ904,Match!$T$5:$U$10,2,FALSE)))</f>
        <v>0</v>
      </c>
      <c r="AD912" s="8">
        <v>3</v>
      </c>
      <c r="AE912" s="8">
        <v>2</v>
      </c>
      <c r="AF912" s="8">
        <v>2</v>
      </c>
      <c r="AG912" s="8">
        <v>1</v>
      </c>
      <c r="AH912" s="8" t="str">
        <f t="shared" si="250"/>
        <v/>
      </c>
    </row>
    <row r="913" spans="1:34" x14ac:dyDescent="0.25">
      <c r="A913" s="29">
        <f t="shared" si="257"/>
        <v>0</v>
      </c>
      <c r="B913" s="29">
        <f t="shared" si="251"/>
        <v>0</v>
      </c>
      <c r="C913" s="29">
        <f t="shared" si="252"/>
        <v>0</v>
      </c>
      <c r="D913" s="29">
        <f t="shared" si="253"/>
        <v>0</v>
      </c>
      <c r="E913" s="29">
        <f t="shared" si="258"/>
        <v>0</v>
      </c>
      <c r="F913" s="29">
        <f t="shared" si="259"/>
        <v>0</v>
      </c>
      <c r="G913" s="29" t="str">
        <f t="shared" si="260"/>
        <v>offensive</v>
      </c>
      <c r="H913" s="16">
        <f t="shared" si="264"/>
        <v>0</v>
      </c>
      <c r="I913" s="16">
        <f t="shared" si="265"/>
        <v>0</v>
      </c>
      <c r="J913" s="16">
        <f t="shared" si="254"/>
        <v>0</v>
      </c>
      <c r="K913" s="16">
        <f t="shared" si="261"/>
        <v>0</v>
      </c>
      <c r="L913" s="67">
        <f t="shared" si="262"/>
        <v>0</v>
      </c>
      <c r="M913" s="4">
        <f t="shared" si="255"/>
        <v>0</v>
      </c>
      <c r="N913" s="4">
        <f t="shared" si="256"/>
        <v>0</v>
      </c>
      <c r="O913" s="4">
        <f t="shared" si="263"/>
        <v>0</v>
      </c>
      <c r="P913" s="4" t="e">
        <f>VLOOKUP(AJ905,'CIR Team Info'!$C$5:$E$44,2,FALSE)</f>
        <v>#N/A</v>
      </c>
      <c r="Q913" s="4" t="e">
        <f>VLOOKUP(AJ905,'CIR Team Info'!$C$5:$E$44,3,FALSE)</f>
        <v>#N/A</v>
      </c>
      <c r="R913" s="10" t="e">
        <f>VLOOKUP(AJ905,'FRC Site Data'!$B$3:$L$42,2,FALSE)</f>
        <v>#N/A</v>
      </c>
      <c r="S913" s="10" t="e">
        <f>VLOOKUP(AJ905,'FRC Site Data'!$B$3:$L$42,3,FALSE)</f>
        <v>#N/A</v>
      </c>
      <c r="T913" s="10" t="e">
        <f>VLOOKUP(AJ905,'FRC Site Data'!$B$3:$L$42,4,FALSE)</f>
        <v>#N/A</v>
      </c>
      <c r="U913" s="10" t="e">
        <f>VLOOKUP(AJ905,'FRC Site Data'!$B$3:$L$42,5,FALSE)</f>
        <v>#N/A</v>
      </c>
      <c r="V913" s="10" t="e">
        <f>VLOOKUP(AJ905,'FRC Site Data'!$B$3:$L$42,6,FALSE)</f>
        <v>#N/A</v>
      </c>
      <c r="W913" s="10" t="e">
        <f>VLOOKUP(AJ905,'FRC Site Data'!$B$3:$L$42,8,FALSE)</f>
        <v>#N/A</v>
      </c>
      <c r="X913" s="10" t="e">
        <f>VLOOKUP(AJ905,'FRC Site Data'!$B$3:$L$42,9,FALSE)</f>
        <v>#N/A</v>
      </c>
      <c r="Y913" s="10" t="e">
        <f>VLOOKUP(AJ905,'FRC Site Data'!$B$3:$L$42,10,FALSE)</f>
        <v>#N/A</v>
      </c>
      <c r="Z913" s="10" t="e">
        <f>VLOOKUP(AJ905,'FRC Site Data'!$B$3:$L$42,11,FALSE)</f>
        <v>#N/A</v>
      </c>
      <c r="AA913" s="10" t="e">
        <f>VLOOKUP(AJ905,'CIR Team Info'!$C$5:$E$44,4,FALSE)</f>
        <v>#N/A</v>
      </c>
      <c r="AB913" s="161" t="b">
        <f>ISNUMBER(VLOOKUP(AJ905,Match!$T$5:$T$10,1,FALSE))</f>
        <v>0</v>
      </c>
      <c r="AC913" s="161" t="b">
        <f>IF(AB913=TRUE,(VLOOKUP($AJ905,Match!$T$5:$U$10,2,FALSE)))</f>
        <v>0</v>
      </c>
      <c r="AD913" s="8">
        <v>3</v>
      </c>
      <c r="AE913" s="8">
        <v>2</v>
      </c>
      <c r="AF913" s="8">
        <v>2</v>
      </c>
      <c r="AG913" s="8">
        <v>1</v>
      </c>
      <c r="AH913" s="8" t="str">
        <f t="shared" si="250"/>
        <v/>
      </c>
    </row>
    <row r="914" spans="1:34" x14ac:dyDescent="0.25">
      <c r="A914" s="29">
        <f t="shared" si="257"/>
        <v>0</v>
      </c>
      <c r="B914" s="29">
        <f t="shared" si="251"/>
        <v>0</v>
      </c>
      <c r="C914" s="29">
        <f t="shared" si="252"/>
        <v>0</v>
      </c>
      <c r="D914" s="29">
        <f t="shared" si="253"/>
        <v>0</v>
      </c>
      <c r="E914" s="29">
        <f t="shared" si="258"/>
        <v>0</v>
      </c>
      <c r="F914" s="29">
        <f t="shared" si="259"/>
        <v>0</v>
      </c>
      <c r="G914" s="29" t="str">
        <f t="shared" si="260"/>
        <v>offensive</v>
      </c>
      <c r="H914" s="16">
        <f t="shared" si="264"/>
        <v>0</v>
      </c>
      <c r="I914" s="16">
        <f t="shared" si="265"/>
        <v>0</v>
      </c>
      <c r="J914" s="16">
        <f t="shared" si="254"/>
        <v>0</v>
      </c>
      <c r="K914" s="16">
        <f t="shared" si="261"/>
        <v>0</v>
      </c>
      <c r="L914" s="67">
        <f t="shared" si="262"/>
        <v>0</v>
      </c>
      <c r="M914" s="4">
        <f t="shared" si="255"/>
        <v>0</v>
      </c>
      <c r="N914" s="4">
        <f t="shared" si="256"/>
        <v>0</v>
      </c>
      <c r="O914" s="4">
        <f t="shared" si="263"/>
        <v>0</v>
      </c>
      <c r="P914" s="4" t="e">
        <f>VLOOKUP(AJ906,'CIR Team Info'!$C$5:$E$44,2,FALSE)</f>
        <v>#N/A</v>
      </c>
      <c r="Q914" s="4" t="e">
        <f>VLOOKUP(AJ906,'CIR Team Info'!$C$5:$E$44,3,FALSE)</f>
        <v>#N/A</v>
      </c>
      <c r="R914" s="10" t="e">
        <f>VLOOKUP(AJ906,'FRC Site Data'!$B$3:$L$42,2,FALSE)</f>
        <v>#N/A</v>
      </c>
      <c r="S914" s="10" t="e">
        <f>VLOOKUP(AJ906,'FRC Site Data'!$B$3:$L$42,3,FALSE)</f>
        <v>#N/A</v>
      </c>
      <c r="T914" s="10" t="e">
        <f>VLOOKUP(AJ906,'FRC Site Data'!$B$3:$L$42,4,FALSE)</f>
        <v>#N/A</v>
      </c>
      <c r="U914" s="10" t="e">
        <f>VLOOKUP(AJ906,'FRC Site Data'!$B$3:$L$42,5,FALSE)</f>
        <v>#N/A</v>
      </c>
      <c r="V914" s="10" t="e">
        <f>VLOOKUP(AJ906,'FRC Site Data'!$B$3:$L$42,6,FALSE)</f>
        <v>#N/A</v>
      </c>
      <c r="W914" s="10" t="e">
        <f>VLOOKUP(AJ906,'FRC Site Data'!$B$3:$L$42,8,FALSE)</f>
        <v>#N/A</v>
      </c>
      <c r="X914" s="10" t="e">
        <f>VLOOKUP(AJ906,'FRC Site Data'!$B$3:$L$42,9,FALSE)</f>
        <v>#N/A</v>
      </c>
      <c r="Y914" s="10" t="e">
        <f>VLOOKUP(AJ906,'FRC Site Data'!$B$3:$L$42,10,FALSE)</f>
        <v>#N/A</v>
      </c>
      <c r="Z914" s="10" t="e">
        <f>VLOOKUP(AJ906,'FRC Site Data'!$B$3:$L$42,11,FALSE)</f>
        <v>#N/A</v>
      </c>
      <c r="AA914" s="10" t="e">
        <f>VLOOKUP(AJ906,'CIR Team Info'!$C$5:$E$44,4,FALSE)</f>
        <v>#N/A</v>
      </c>
      <c r="AB914" s="161" t="b">
        <f>ISNUMBER(VLOOKUP(AJ906,Match!$T$5:$T$10,1,FALSE))</f>
        <v>0</v>
      </c>
      <c r="AC914" s="161" t="b">
        <f>IF(AB914=TRUE,(VLOOKUP($AJ906,Match!$T$5:$U$10,2,FALSE)))</f>
        <v>0</v>
      </c>
      <c r="AD914" s="8">
        <v>3</v>
      </c>
      <c r="AE914" s="8">
        <v>2</v>
      </c>
      <c r="AF914" s="8">
        <v>2</v>
      </c>
      <c r="AG914" s="8">
        <v>1</v>
      </c>
      <c r="AH914" s="8" t="str">
        <f t="shared" si="250"/>
        <v/>
      </c>
    </row>
    <row r="915" spans="1:34" x14ac:dyDescent="0.25">
      <c r="A915" s="29">
        <f t="shared" si="257"/>
        <v>0</v>
      </c>
      <c r="B915" s="29">
        <f t="shared" si="251"/>
        <v>0</v>
      </c>
      <c r="C915" s="29">
        <f t="shared" si="252"/>
        <v>0</v>
      </c>
      <c r="D915" s="29">
        <f t="shared" si="253"/>
        <v>0</v>
      </c>
      <c r="E915" s="29">
        <f t="shared" si="258"/>
        <v>0</v>
      </c>
      <c r="F915" s="29">
        <f t="shared" si="259"/>
        <v>0</v>
      </c>
      <c r="G915" s="29" t="str">
        <f t="shared" si="260"/>
        <v>offensive</v>
      </c>
      <c r="H915" s="16">
        <f t="shared" si="264"/>
        <v>0</v>
      </c>
      <c r="I915" s="16">
        <f t="shared" si="265"/>
        <v>0</v>
      </c>
      <c r="J915" s="16">
        <f t="shared" si="254"/>
        <v>0</v>
      </c>
      <c r="K915" s="16">
        <f t="shared" si="261"/>
        <v>0</v>
      </c>
      <c r="L915" s="67">
        <f t="shared" si="262"/>
        <v>0</v>
      </c>
      <c r="M915" s="4">
        <f t="shared" si="255"/>
        <v>0</v>
      </c>
      <c r="N915" s="4">
        <f t="shared" si="256"/>
        <v>0</v>
      </c>
      <c r="O915" s="4">
        <f t="shared" si="263"/>
        <v>0</v>
      </c>
      <c r="P915" s="4" t="e">
        <f>VLOOKUP(AJ907,'CIR Team Info'!$C$5:$E$44,2,FALSE)</f>
        <v>#N/A</v>
      </c>
      <c r="Q915" s="4" t="e">
        <f>VLOOKUP(AJ907,'CIR Team Info'!$C$5:$E$44,3,FALSE)</f>
        <v>#N/A</v>
      </c>
      <c r="R915" s="10" t="e">
        <f>VLOOKUP(AJ907,'FRC Site Data'!$B$3:$L$42,2,FALSE)</f>
        <v>#N/A</v>
      </c>
      <c r="S915" s="10" t="e">
        <f>VLOOKUP(AJ907,'FRC Site Data'!$B$3:$L$42,3,FALSE)</f>
        <v>#N/A</v>
      </c>
      <c r="T915" s="10" t="e">
        <f>VLOOKUP(AJ907,'FRC Site Data'!$B$3:$L$42,4,FALSE)</f>
        <v>#N/A</v>
      </c>
      <c r="U915" s="10" t="e">
        <f>VLOOKUP(AJ907,'FRC Site Data'!$B$3:$L$42,5,FALSE)</f>
        <v>#N/A</v>
      </c>
      <c r="V915" s="10" t="e">
        <f>VLOOKUP(AJ907,'FRC Site Data'!$B$3:$L$42,6,FALSE)</f>
        <v>#N/A</v>
      </c>
      <c r="W915" s="10" t="e">
        <f>VLOOKUP(AJ907,'FRC Site Data'!$B$3:$L$42,8,FALSE)</f>
        <v>#N/A</v>
      </c>
      <c r="X915" s="10" t="e">
        <f>VLOOKUP(AJ907,'FRC Site Data'!$B$3:$L$42,9,FALSE)</f>
        <v>#N/A</v>
      </c>
      <c r="Y915" s="10" t="e">
        <f>VLOOKUP(AJ907,'FRC Site Data'!$B$3:$L$42,10,FALSE)</f>
        <v>#N/A</v>
      </c>
      <c r="Z915" s="10" t="e">
        <f>VLOOKUP(AJ907,'FRC Site Data'!$B$3:$L$42,11,FALSE)</f>
        <v>#N/A</v>
      </c>
      <c r="AA915" s="10" t="e">
        <f>VLOOKUP(AJ907,'CIR Team Info'!$C$5:$E$44,4,FALSE)</f>
        <v>#N/A</v>
      </c>
      <c r="AB915" s="161" t="b">
        <f>ISNUMBER(VLOOKUP(AJ907,Match!$T$5:$T$10,1,FALSE))</f>
        <v>0</v>
      </c>
      <c r="AC915" s="161" t="b">
        <f>IF(AB915=TRUE,(VLOOKUP($AJ907,Match!$T$5:$U$10,2,FALSE)))</f>
        <v>0</v>
      </c>
      <c r="AD915" s="8">
        <v>3</v>
      </c>
      <c r="AE915" s="8">
        <v>2</v>
      </c>
      <c r="AF915" s="8">
        <v>2</v>
      </c>
      <c r="AG915" s="8">
        <v>1</v>
      </c>
      <c r="AH915" s="8" t="str">
        <f t="shared" si="250"/>
        <v/>
      </c>
    </row>
    <row r="916" spans="1:34" x14ac:dyDescent="0.25">
      <c r="A916" s="29">
        <f t="shared" si="257"/>
        <v>0</v>
      </c>
      <c r="B916" s="29">
        <f t="shared" si="251"/>
        <v>0</v>
      </c>
      <c r="C916" s="29">
        <f t="shared" si="252"/>
        <v>0</v>
      </c>
      <c r="D916" s="29">
        <f t="shared" si="253"/>
        <v>0</v>
      </c>
      <c r="E916" s="29">
        <f t="shared" si="258"/>
        <v>0</v>
      </c>
      <c r="F916" s="29">
        <f t="shared" si="259"/>
        <v>0</v>
      </c>
      <c r="G916" s="29" t="str">
        <f t="shared" si="260"/>
        <v>offensive</v>
      </c>
      <c r="H916" s="16">
        <f t="shared" si="264"/>
        <v>0</v>
      </c>
      <c r="I916" s="16">
        <f t="shared" si="265"/>
        <v>0</v>
      </c>
      <c r="J916" s="16">
        <f t="shared" si="254"/>
        <v>0</v>
      </c>
      <c r="K916" s="16">
        <f t="shared" si="261"/>
        <v>0</v>
      </c>
      <c r="L916" s="67">
        <f t="shared" si="262"/>
        <v>0</v>
      </c>
      <c r="M916" s="4">
        <f t="shared" si="255"/>
        <v>0</v>
      </c>
      <c r="N916" s="4">
        <f t="shared" si="256"/>
        <v>0</v>
      </c>
      <c r="O916" s="4">
        <f t="shared" si="263"/>
        <v>0</v>
      </c>
      <c r="P916" s="4" t="e">
        <f>VLOOKUP(AJ908,'CIR Team Info'!$C$5:$E$44,2,FALSE)</f>
        <v>#N/A</v>
      </c>
      <c r="Q916" s="4" t="e">
        <f>VLOOKUP(AJ908,'CIR Team Info'!$C$5:$E$44,3,FALSE)</f>
        <v>#N/A</v>
      </c>
      <c r="R916" s="10" t="e">
        <f>VLOOKUP(AJ908,'FRC Site Data'!$B$3:$L$42,2,FALSE)</f>
        <v>#N/A</v>
      </c>
      <c r="S916" s="10" t="e">
        <f>VLOOKUP(AJ908,'FRC Site Data'!$B$3:$L$42,3,FALSE)</f>
        <v>#N/A</v>
      </c>
      <c r="T916" s="10" t="e">
        <f>VLOOKUP(AJ908,'FRC Site Data'!$B$3:$L$42,4,FALSE)</f>
        <v>#N/A</v>
      </c>
      <c r="U916" s="10" t="e">
        <f>VLOOKUP(AJ908,'FRC Site Data'!$B$3:$L$42,5,FALSE)</f>
        <v>#N/A</v>
      </c>
      <c r="V916" s="10" t="e">
        <f>VLOOKUP(AJ908,'FRC Site Data'!$B$3:$L$42,6,FALSE)</f>
        <v>#N/A</v>
      </c>
      <c r="W916" s="10" t="e">
        <f>VLOOKUP(AJ908,'FRC Site Data'!$B$3:$L$42,8,FALSE)</f>
        <v>#N/A</v>
      </c>
      <c r="X916" s="10" t="e">
        <f>VLOOKUP(AJ908,'FRC Site Data'!$B$3:$L$42,9,FALSE)</f>
        <v>#N/A</v>
      </c>
      <c r="Y916" s="10" t="e">
        <f>VLOOKUP(AJ908,'FRC Site Data'!$B$3:$L$42,10,FALSE)</f>
        <v>#N/A</v>
      </c>
      <c r="Z916" s="10" t="e">
        <f>VLOOKUP(AJ908,'FRC Site Data'!$B$3:$L$42,11,FALSE)</f>
        <v>#N/A</v>
      </c>
      <c r="AA916" s="10" t="e">
        <f>VLOOKUP(AJ908,'CIR Team Info'!$C$5:$E$44,4,FALSE)</f>
        <v>#N/A</v>
      </c>
      <c r="AB916" s="161" t="b">
        <f>ISNUMBER(VLOOKUP(AJ908,Match!$T$5:$T$10,1,FALSE))</f>
        <v>0</v>
      </c>
      <c r="AC916" s="161" t="b">
        <f>IF(AB916=TRUE,(VLOOKUP($AJ908,Match!$T$5:$U$10,2,FALSE)))</f>
        <v>0</v>
      </c>
      <c r="AD916" s="8">
        <v>3</v>
      </c>
      <c r="AE916" s="8">
        <v>2</v>
      </c>
      <c r="AF916" s="8">
        <v>2</v>
      </c>
      <c r="AG916" s="8">
        <v>1</v>
      </c>
      <c r="AH916" s="8" t="str">
        <f t="shared" si="250"/>
        <v/>
      </c>
    </row>
    <row r="917" spans="1:34" x14ac:dyDescent="0.25">
      <c r="A917" s="29">
        <f t="shared" si="257"/>
        <v>0</v>
      </c>
      <c r="B917" s="29">
        <f t="shared" si="251"/>
        <v>0</v>
      </c>
      <c r="C917" s="29">
        <f t="shared" si="252"/>
        <v>0</v>
      </c>
      <c r="D917" s="29">
        <f t="shared" si="253"/>
        <v>0</v>
      </c>
      <c r="E917" s="29">
        <f t="shared" si="258"/>
        <v>0</v>
      </c>
      <c r="F917" s="29">
        <f t="shared" si="259"/>
        <v>0</v>
      </c>
      <c r="G917" s="29" t="str">
        <f t="shared" si="260"/>
        <v>offensive</v>
      </c>
      <c r="H917" s="16">
        <f t="shared" si="264"/>
        <v>0</v>
      </c>
      <c r="I917" s="16">
        <f t="shared" si="265"/>
        <v>0</v>
      </c>
      <c r="J917" s="16">
        <f t="shared" si="254"/>
        <v>0</v>
      </c>
      <c r="K917" s="16">
        <f t="shared" si="261"/>
        <v>0</v>
      </c>
      <c r="L917" s="67">
        <f t="shared" si="262"/>
        <v>0</v>
      </c>
      <c r="M917" s="4">
        <f t="shared" si="255"/>
        <v>0</v>
      </c>
      <c r="N917" s="4">
        <f t="shared" si="256"/>
        <v>0</v>
      </c>
      <c r="O917" s="4">
        <f t="shared" si="263"/>
        <v>0</v>
      </c>
      <c r="P917" s="4" t="e">
        <f>VLOOKUP(AJ909,'CIR Team Info'!$C$5:$E$44,2,FALSE)</f>
        <v>#N/A</v>
      </c>
      <c r="Q917" s="4" t="e">
        <f>VLOOKUP(AJ909,'CIR Team Info'!$C$5:$E$44,3,FALSE)</f>
        <v>#N/A</v>
      </c>
      <c r="R917" s="10" t="e">
        <f>VLOOKUP(AJ909,'FRC Site Data'!$B$3:$L$42,2,FALSE)</f>
        <v>#N/A</v>
      </c>
      <c r="S917" s="10" t="e">
        <f>VLOOKUP(AJ909,'FRC Site Data'!$B$3:$L$42,3,FALSE)</f>
        <v>#N/A</v>
      </c>
      <c r="T917" s="10" t="e">
        <f>VLOOKUP(AJ909,'FRC Site Data'!$B$3:$L$42,4,FALSE)</f>
        <v>#N/A</v>
      </c>
      <c r="U917" s="10" t="e">
        <f>VLOOKUP(AJ909,'FRC Site Data'!$B$3:$L$42,5,FALSE)</f>
        <v>#N/A</v>
      </c>
      <c r="V917" s="10" t="e">
        <f>VLOOKUP(AJ909,'FRC Site Data'!$B$3:$L$42,6,FALSE)</f>
        <v>#N/A</v>
      </c>
      <c r="W917" s="10" t="e">
        <f>VLOOKUP(AJ909,'FRC Site Data'!$B$3:$L$42,8,FALSE)</f>
        <v>#N/A</v>
      </c>
      <c r="X917" s="10" t="e">
        <f>VLOOKUP(AJ909,'FRC Site Data'!$B$3:$L$42,9,FALSE)</f>
        <v>#N/A</v>
      </c>
      <c r="Y917" s="10" t="e">
        <f>VLOOKUP(AJ909,'FRC Site Data'!$B$3:$L$42,10,FALSE)</f>
        <v>#N/A</v>
      </c>
      <c r="Z917" s="10" t="e">
        <f>VLOOKUP(AJ909,'FRC Site Data'!$B$3:$L$42,11,FALSE)</f>
        <v>#N/A</v>
      </c>
      <c r="AA917" s="10" t="e">
        <f>VLOOKUP(AJ909,'CIR Team Info'!$C$5:$E$44,4,FALSE)</f>
        <v>#N/A</v>
      </c>
      <c r="AB917" s="161" t="b">
        <f>ISNUMBER(VLOOKUP(AJ909,Match!$T$5:$T$10,1,FALSE))</f>
        <v>0</v>
      </c>
      <c r="AC917" s="161" t="b">
        <f>IF(AB917=TRUE,(VLOOKUP($AJ909,Match!$T$5:$U$10,2,FALSE)))</f>
        <v>0</v>
      </c>
      <c r="AD917" s="8">
        <v>3</v>
      </c>
      <c r="AE917" s="8">
        <v>2</v>
      </c>
      <c r="AF917" s="8">
        <v>2</v>
      </c>
      <c r="AG917" s="8">
        <v>1</v>
      </c>
      <c r="AH917" s="8" t="str">
        <f t="shared" si="250"/>
        <v/>
      </c>
    </row>
    <row r="918" spans="1:34" x14ac:dyDescent="0.25">
      <c r="A918" s="29">
        <f t="shared" si="257"/>
        <v>0</v>
      </c>
      <c r="B918" s="29">
        <f t="shared" si="251"/>
        <v>0</v>
      </c>
      <c r="C918" s="29">
        <f t="shared" si="252"/>
        <v>0</v>
      </c>
      <c r="D918" s="29">
        <f t="shared" si="253"/>
        <v>0</v>
      </c>
      <c r="E918" s="29">
        <f t="shared" si="258"/>
        <v>0</v>
      </c>
      <c r="F918" s="29">
        <f t="shared" si="259"/>
        <v>0</v>
      </c>
      <c r="G918" s="29" t="str">
        <f t="shared" si="260"/>
        <v>offensive</v>
      </c>
      <c r="H918" s="16">
        <f t="shared" si="264"/>
        <v>0</v>
      </c>
      <c r="I918" s="16">
        <f t="shared" si="265"/>
        <v>0</v>
      </c>
      <c r="J918" s="16">
        <f t="shared" si="254"/>
        <v>0</v>
      </c>
      <c r="K918" s="16">
        <f t="shared" si="261"/>
        <v>0</v>
      </c>
      <c r="L918" s="67">
        <f t="shared" si="262"/>
        <v>0</v>
      </c>
      <c r="M918" s="4">
        <f t="shared" si="255"/>
        <v>0</v>
      </c>
      <c r="N918" s="4">
        <f t="shared" si="256"/>
        <v>0</v>
      </c>
      <c r="O918" s="4">
        <f t="shared" si="263"/>
        <v>0</v>
      </c>
      <c r="P918" s="4" t="e">
        <f>VLOOKUP(AJ910,'CIR Team Info'!$C$5:$E$44,2,FALSE)</f>
        <v>#N/A</v>
      </c>
      <c r="Q918" s="4" t="e">
        <f>VLOOKUP(AJ910,'CIR Team Info'!$C$5:$E$44,3,FALSE)</f>
        <v>#N/A</v>
      </c>
      <c r="R918" s="10" t="e">
        <f>VLOOKUP(AJ910,'FRC Site Data'!$B$3:$L$42,2,FALSE)</f>
        <v>#N/A</v>
      </c>
      <c r="S918" s="10" t="e">
        <f>VLOOKUP(AJ910,'FRC Site Data'!$B$3:$L$42,3,FALSE)</f>
        <v>#N/A</v>
      </c>
      <c r="T918" s="10" t="e">
        <f>VLOOKUP(AJ910,'FRC Site Data'!$B$3:$L$42,4,FALSE)</f>
        <v>#N/A</v>
      </c>
      <c r="U918" s="10" t="e">
        <f>VLOOKUP(AJ910,'FRC Site Data'!$B$3:$L$42,5,FALSE)</f>
        <v>#N/A</v>
      </c>
      <c r="V918" s="10" t="e">
        <f>VLOOKUP(AJ910,'FRC Site Data'!$B$3:$L$42,6,FALSE)</f>
        <v>#N/A</v>
      </c>
      <c r="W918" s="10" t="e">
        <f>VLOOKUP(AJ910,'FRC Site Data'!$B$3:$L$42,8,FALSE)</f>
        <v>#N/A</v>
      </c>
      <c r="X918" s="10" t="e">
        <f>VLOOKUP(AJ910,'FRC Site Data'!$B$3:$L$42,9,FALSE)</f>
        <v>#N/A</v>
      </c>
      <c r="Y918" s="10" t="e">
        <f>VLOOKUP(AJ910,'FRC Site Data'!$B$3:$L$42,10,FALSE)</f>
        <v>#N/A</v>
      </c>
      <c r="Z918" s="10" t="e">
        <f>VLOOKUP(AJ910,'FRC Site Data'!$B$3:$L$42,11,FALSE)</f>
        <v>#N/A</v>
      </c>
      <c r="AA918" s="10" t="e">
        <f>VLOOKUP(AJ910,'CIR Team Info'!$C$5:$E$44,4,FALSE)</f>
        <v>#N/A</v>
      </c>
      <c r="AB918" s="161" t="b">
        <f>ISNUMBER(VLOOKUP(AJ910,Match!$T$5:$T$10,1,FALSE))</f>
        <v>0</v>
      </c>
      <c r="AC918" s="161" t="b">
        <f>IF(AB918=TRUE,(VLOOKUP($AJ910,Match!$T$5:$U$10,2,FALSE)))</f>
        <v>0</v>
      </c>
      <c r="AD918" s="8">
        <v>3</v>
      </c>
      <c r="AE918" s="8">
        <v>2</v>
      </c>
      <c r="AF918" s="8">
        <v>2</v>
      </c>
      <c r="AG918" s="8">
        <v>1</v>
      </c>
      <c r="AH918" s="8" t="str">
        <f t="shared" si="250"/>
        <v/>
      </c>
    </row>
    <row r="919" spans="1:34" x14ac:dyDescent="0.25">
      <c r="A919" s="29">
        <f t="shared" si="257"/>
        <v>0</v>
      </c>
      <c r="B919" s="29">
        <f t="shared" si="251"/>
        <v>0</v>
      </c>
      <c r="C919" s="29">
        <f t="shared" si="252"/>
        <v>0</v>
      </c>
      <c r="D919" s="29">
        <f t="shared" si="253"/>
        <v>0</v>
      </c>
      <c r="E919" s="29">
        <f t="shared" si="258"/>
        <v>0</v>
      </c>
      <c r="F919" s="29">
        <f t="shared" si="259"/>
        <v>0</v>
      </c>
      <c r="G919" s="29" t="str">
        <f t="shared" si="260"/>
        <v>offensive</v>
      </c>
      <c r="H919" s="16">
        <f t="shared" si="264"/>
        <v>0</v>
      </c>
      <c r="I919" s="16">
        <f t="shared" si="265"/>
        <v>0</v>
      </c>
      <c r="J919" s="16">
        <f t="shared" si="254"/>
        <v>0</v>
      </c>
      <c r="K919" s="16">
        <f t="shared" si="261"/>
        <v>0</v>
      </c>
      <c r="L919" s="67">
        <f t="shared" si="262"/>
        <v>0</v>
      </c>
      <c r="M919" s="4">
        <f t="shared" si="255"/>
        <v>0</v>
      </c>
      <c r="N919" s="4">
        <f t="shared" si="256"/>
        <v>0</v>
      </c>
      <c r="O919" s="4">
        <f t="shared" si="263"/>
        <v>0</v>
      </c>
      <c r="P919" s="4" t="e">
        <f>VLOOKUP(AJ911,'CIR Team Info'!$C$5:$E$44,2,FALSE)</f>
        <v>#N/A</v>
      </c>
      <c r="Q919" s="4" t="e">
        <f>VLOOKUP(AJ911,'CIR Team Info'!$C$5:$E$44,3,FALSE)</f>
        <v>#N/A</v>
      </c>
      <c r="R919" s="10" t="e">
        <f>VLOOKUP(AJ911,'FRC Site Data'!$B$3:$L$42,2,FALSE)</f>
        <v>#N/A</v>
      </c>
      <c r="S919" s="10" t="e">
        <f>VLOOKUP(AJ911,'FRC Site Data'!$B$3:$L$42,3,FALSE)</f>
        <v>#N/A</v>
      </c>
      <c r="T919" s="10" t="e">
        <f>VLOOKUP(AJ911,'FRC Site Data'!$B$3:$L$42,4,FALSE)</f>
        <v>#N/A</v>
      </c>
      <c r="U919" s="10" t="e">
        <f>VLOOKUP(AJ911,'FRC Site Data'!$B$3:$L$42,5,FALSE)</f>
        <v>#N/A</v>
      </c>
      <c r="V919" s="10" t="e">
        <f>VLOOKUP(AJ911,'FRC Site Data'!$B$3:$L$42,6,FALSE)</f>
        <v>#N/A</v>
      </c>
      <c r="W919" s="10" t="e">
        <f>VLOOKUP(AJ911,'FRC Site Data'!$B$3:$L$42,8,FALSE)</f>
        <v>#N/A</v>
      </c>
      <c r="X919" s="10" t="e">
        <f>VLOOKUP(AJ911,'FRC Site Data'!$B$3:$L$42,9,FALSE)</f>
        <v>#N/A</v>
      </c>
      <c r="Y919" s="10" t="e">
        <f>VLOOKUP(AJ911,'FRC Site Data'!$B$3:$L$42,10,FALSE)</f>
        <v>#N/A</v>
      </c>
      <c r="Z919" s="10" t="e">
        <f>VLOOKUP(AJ911,'FRC Site Data'!$B$3:$L$42,11,FALSE)</f>
        <v>#N/A</v>
      </c>
      <c r="AA919" s="10" t="e">
        <f>VLOOKUP(AJ911,'CIR Team Info'!$C$5:$E$44,4,FALSE)</f>
        <v>#N/A</v>
      </c>
      <c r="AB919" s="161" t="b">
        <f>ISNUMBER(VLOOKUP(AJ911,Match!$T$5:$T$10,1,FALSE))</f>
        <v>0</v>
      </c>
      <c r="AC919" s="161" t="b">
        <f>IF(AB919=TRUE,(VLOOKUP($AJ911,Match!$T$5:$U$10,2,FALSE)))</f>
        <v>0</v>
      </c>
      <c r="AD919" s="8">
        <v>3</v>
      </c>
      <c r="AE919" s="8">
        <v>2</v>
      </c>
      <c r="AF919" s="8">
        <v>2</v>
      </c>
      <c r="AG919" s="8">
        <v>1</v>
      </c>
      <c r="AH919" s="8" t="str">
        <f t="shared" si="250"/>
        <v/>
      </c>
    </row>
    <row r="920" spans="1:34" x14ac:dyDescent="0.25">
      <c r="A920" s="29">
        <f t="shared" si="257"/>
        <v>0</v>
      </c>
      <c r="B920" s="29">
        <f t="shared" si="251"/>
        <v>0</v>
      </c>
      <c r="C920" s="29">
        <f t="shared" si="252"/>
        <v>0</v>
      </c>
      <c r="D920" s="29">
        <f t="shared" si="253"/>
        <v>0</v>
      </c>
      <c r="E920" s="29">
        <f t="shared" si="258"/>
        <v>0</v>
      </c>
      <c r="F920" s="29">
        <f t="shared" si="259"/>
        <v>0</v>
      </c>
      <c r="G920" s="29" t="str">
        <f t="shared" si="260"/>
        <v>offensive</v>
      </c>
      <c r="H920" s="16">
        <f t="shared" si="264"/>
        <v>0</v>
      </c>
      <c r="I920" s="16">
        <f t="shared" si="265"/>
        <v>0</v>
      </c>
      <c r="J920" s="16">
        <f t="shared" si="254"/>
        <v>0</v>
      </c>
      <c r="K920" s="16">
        <f t="shared" si="261"/>
        <v>0</v>
      </c>
      <c r="L920" s="67">
        <f t="shared" si="262"/>
        <v>0</v>
      </c>
      <c r="M920" s="4">
        <f t="shared" si="255"/>
        <v>0</v>
      </c>
      <c r="N920" s="4">
        <f t="shared" si="256"/>
        <v>0</v>
      </c>
      <c r="O920" s="4">
        <f t="shared" si="263"/>
        <v>0</v>
      </c>
      <c r="P920" s="4" t="e">
        <f>VLOOKUP(AJ912,'CIR Team Info'!$C$5:$E$44,2,FALSE)</f>
        <v>#N/A</v>
      </c>
      <c r="Q920" s="4" t="e">
        <f>VLOOKUP(AJ912,'CIR Team Info'!$C$5:$E$44,3,FALSE)</f>
        <v>#N/A</v>
      </c>
      <c r="R920" s="10" t="e">
        <f>VLOOKUP(AJ912,'FRC Site Data'!$B$3:$L$42,2,FALSE)</f>
        <v>#N/A</v>
      </c>
      <c r="S920" s="10" t="e">
        <f>VLOOKUP(AJ912,'FRC Site Data'!$B$3:$L$42,3,FALSE)</f>
        <v>#N/A</v>
      </c>
      <c r="T920" s="10" t="e">
        <f>VLOOKUP(AJ912,'FRC Site Data'!$B$3:$L$42,4,FALSE)</f>
        <v>#N/A</v>
      </c>
      <c r="U920" s="10" t="e">
        <f>VLOOKUP(AJ912,'FRC Site Data'!$B$3:$L$42,5,FALSE)</f>
        <v>#N/A</v>
      </c>
      <c r="V920" s="10" t="e">
        <f>VLOOKUP(AJ912,'FRC Site Data'!$B$3:$L$42,6,FALSE)</f>
        <v>#N/A</v>
      </c>
      <c r="W920" s="10" t="e">
        <f>VLOOKUP(AJ912,'FRC Site Data'!$B$3:$L$42,8,FALSE)</f>
        <v>#N/A</v>
      </c>
      <c r="X920" s="10" t="e">
        <f>VLOOKUP(AJ912,'FRC Site Data'!$B$3:$L$42,9,FALSE)</f>
        <v>#N/A</v>
      </c>
      <c r="Y920" s="10" t="e">
        <f>VLOOKUP(AJ912,'FRC Site Data'!$B$3:$L$42,10,FALSE)</f>
        <v>#N/A</v>
      </c>
      <c r="Z920" s="10" t="e">
        <f>VLOOKUP(AJ912,'FRC Site Data'!$B$3:$L$42,11,FALSE)</f>
        <v>#N/A</v>
      </c>
      <c r="AA920" s="10" t="e">
        <f>VLOOKUP(AJ912,'CIR Team Info'!$C$5:$E$44,4,FALSE)</f>
        <v>#N/A</v>
      </c>
      <c r="AB920" s="161" t="b">
        <f>ISNUMBER(VLOOKUP(AJ912,Match!$T$5:$T$10,1,FALSE))</f>
        <v>0</v>
      </c>
      <c r="AC920" s="161" t="b">
        <f>IF(AB920=TRUE,(VLOOKUP($AJ912,Match!$T$5:$U$10,2,FALSE)))</f>
        <v>0</v>
      </c>
      <c r="AD920" s="8">
        <v>3</v>
      </c>
      <c r="AE920" s="8">
        <v>2</v>
      </c>
      <c r="AF920" s="8">
        <v>2</v>
      </c>
      <c r="AG920" s="8">
        <v>1</v>
      </c>
      <c r="AH920" s="8" t="str">
        <f t="shared" si="250"/>
        <v/>
      </c>
    </row>
    <row r="921" spans="1:34" x14ac:dyDescent="0.25">
      <c r="A921" s="29">
        <f t="shared" si="257"/>
        <v>0</v>
      </c>
      <c r="B921" s="29">
        <f t="shared" si="251"/>
        <v>0</v>
      </c>
      <c r="C921" s="29">
        <f t="shared" si="252"/>
        <v>0</v>
      </c>
      <c r="D921" s="29">
        <f t="shared" si="253"/>
        <v>0</v>
      </c>
      <c r="E921" s="29">
        <f t="shared" si="258"/>
        <v>0</v>
      </c>
      <c r="F921" s="29">
        <f t="shared" si="259"/>
        <v>0</v>
      </c>
      <c r="G921" s="29" t="str">
        <f t="shared" si="260"/>
        <v>offensive</v>
      </c>
      <c r="H921" s="16">
        <f t="shared" si="264"/>
        <v>0</v>
      </c>
      <c r="I921" s="16">
        <f t="shared" si="265"/>
        <v>0</v>
      </c>
      <c r="J921" s="16">
        <f t="shared" si="254"/>
        <v>0</v>
      </c>
      <c r="K921" s="16">
        <f t="shared" si="261"/>
        <v>0</v>
      </c>
      <c r="L921" s="67">
        <f t="shared" si="262"/>
        <v>0</v>
      </c>
      <c r="M921" s="4">
        <f t="shared" si="255"/>
        <v>0</v>
      </c>
      <c r="N921" s="4">
        <f t="shared" si="256"/>
        <v>0</v>
      </c>
      <c r="O921" s="4">
        <f t="shared" si="263"/>
        <v>0</v>
      </c>
      <c r="P921" s="4" t="e">
        <f>VLOOKUP(AJ913,'CIR Team Info'!$C$5:$E$44,2,FALSE)</f>
        <v>#N/A</v>
      </c>
      <c r="Q921" s="4" t="e">
        <f>VLOOKUP(AJ913,'CIR Team Info'!$C$5:$E$44,3,FALSE)</f>
        <v>#N/A</v>
      </c>
      <c r="R921" s="10" t="e">
        <f>VLOOKUP(AJ913,'FRC Site Data'!$B$3:$L$42,2,FALSE)</f>
        <v>#N/A</v>
      </c>
      <c r="S921" s="10" t="e">
        <f>VLOOKUP(AJ913,'FRC Site Data'!$B$3:$L$42,3,FALSE)</f>
        <v>#N/A</v>
      </c>
      <c r="T921" s="10" t="e">
        <f>VLOOKUP(AJ913,'FRC Site Data'!$B$3:$L$42,4,FALSE)</f>
        <v>#N/A</v>
      </c>
      <c r="U921" s="10" t="e">
        <f>VLOOKUP(AJ913,'FRC Site Data'!$B$3:$L$42,5,FALSE)</f>
        <v>#N/A</v>
      </c>
      <c r="V921" s="10" t="e">
        <f>VLOOKUP(AJ913,'FRC Site Data'!$B$3:$L$42,6,FALSE)</f>
        <v>#N/A</v>
      </c>
      <c r="W921" s="10" t="e">
        <f>VLOOKUP(AJ913,'FRC Site Data'!$B$3:$L$42,8,FALSE)</f>
        <v>#N/A</v>
      </c>
      <c r="X921" s="10" t="e">
        <f>VLOOKUP(AJ913,'FRC Site Data'!$B$3:$L$42,9,FALSE)</f>
        <v>#N/A</v>
      </c>
      <c r="Y921" s="10" t="e">
        <f>VLOOKUP(AJ913,'FRC Site Data'!$B$3:$L$42,10,FALSE)</f>
        <v>#N/A</v>
      </c>
      <c r="Z921" s="10" t="e">
        <f>VLOOKUP(AJ913,'FRC Site Data'!$B$3:$L$42,11,FALSE)</f>
        <v>#N/A</v>
      </c>
      <c r="AA921" s="10" t="e">
        <f>VLOOKUP(AJ913,'CIR Team Info'!$C$5:$E$44,4,FALSE)</f>
        <v>#N/A</v>
      </c>
      <c r="AB921" s="161" t="b">
        <f>ISNUMBER(VLOOKUP(AJ913,Match!$T$5:$T$10,1,FALSE))</f>
        <v>0</v>
      </c>
      <c r="AC921" s="161" t="b">
        <f>IF(AB921=TRUE,(VLOOKUP($AJ913,Match!$T$5:$U$10,2,FALSE)))</f>
        <v>0</v>
      </c>
      <c r="AD921" s="8">
        <v>3</v>
      </c>
      <c r="AE921" s="8">
        <v>2</v>
      </c>
      <c r="AF921" s="8">
        <v>2</v>
      </c>
      <c r="AG921" s="8">
        <v>1</v>
      </c>
      <c r="AH921" s="8" t="str">
        <f t="shared" si="250"/>
        <v/>
      </c>
    </row>
    <row r="922" spans="1:34" x14ac:dyDescent="0.25">
      <c r="A922" s="29">
        <f t="shared" si="257"/>
        <v>0</v>
      </c>
      <c r="B922" s="29">
        <f t="shared" si="251"/>
        <v>0</v>
      </c>
      <c r="C922" s="29">
        <f t="shared" si="252"/>
        <v>0</v>
      </c>
      <c r="D922" s="29">
        <f t="shared" si="253"/>
        <v>0</v>
      </c>
      <c r="E922" s="29">
        <f t="shared" si="258"/>
        <v>0</v>
      </c>
      <c r="F922" s="29">
        <f t="shared" si="259"/>
        <v>0</v>
      </c>
      <c r="G922" s="29" t="str">
        <f t="shared" si="260"/>
        <v>offensive</v>
      </c>
      <c r="H922" s="16">
        <f t="shared" si="264"/>
        <v>0</v>
      </c>
      <c r="I922" s="16">
        <f t="shared" si="265"/>
        <v>0</v>
      </c>
      <c r="J922" s="16">
        <f t="shared" si="254"/>
        <v>0</v>
      </c>
      <c r="K922" s="16">
        <f t="shared" si="261"/>
        <v>0</v>
      </c>
      <c r="L922" s="67">
        <f t="shared" si="262"/>
        <v>0</v>
      </c>
      <c r="M922" s="4">
        <f t="shared" si="255"/>
        <v>0</v>
      </c>
      <c r="N922" s="4">
        <f t="shared" si="256"/>
        <v>0</v>
      </c>
      <c r="O922" s="4">
        <f t="shared" si="263"/>
        <v>0</v>
      </c>
      <c r="P922" s="4" t="e">
        <f>VLOOKUP(AJ914,'CIR Team Info'!$C$5:$E$44,2,FALSE)</f>
        <v>#N/A</v>
      </c>
      <c r="Q922" s="4" t="e">
        <f>VLOOKUP(AJ914,'CIR Team Info'!$C$5:$E$44,3,FALSE)</f>
        <v>#N/A</v>
      </c>
      <c r="R922" s="10" t="e">
        <f>VLOOKUP(AJ914,'FRC Site Data'!$B$3:$L$42,2,FALSE)</f>
        <v>#N/A</v>
      </c>
      <c r="S922" s="10" t="e">
        <f>VLOOKUP(AJ914,'FRC Site Data'!$B$3:$L$42,3,FALSE)</f>
        <v>#N/A</v>
      </c>
      <c r="T922" s="10" t="e">
        <f>VLOOKUP(AJ914,'FRC Site Data'!$B$3:$L$42,4,FALSE)</f>
        <v>#N/A</v>
      </c>
      <c r="U922" s="10" t="e">
        <f>VLOOKUP(AJ914,'FRC Site Data'!$B$3:$L$42,5,FALSE)</f>
        <v>#N/A</v>
      </c>
      <c r="V922" s="10" t="e">
        <f>VLOOKUP(AJ914,'FRC Site Data'!$B$3:$L$42,6,FALSE)</f>
        <v>#N/A</v>
      </c>
      <c r="W922" s="10" t="e">
        <f>VLOOKUP(AJ914,'FRC Site Data'!$B$3:$L$42,8,FALSE)</f>
        <v>#N/A</v>
      </c>
      <c r="X922" s="10" t="e">
        <f>VLOOKUP(AJ914,'FRC Site Data'!$B$3:$L$42,9,FALSE)</f>
        <v>#N/A</v>
      </c>
      <c r="Y922" s="10" t="e">
        <f>VLOOKUP(AJ914,'FRC Site Data'!$B$3:$L$42,10,FALSE)</f>
        <v>#N/A</v>
      </c>
      <c r="Z922" s="10" t="e">
        <f>VLOOKUP(AJ914,'FRC Site Data'!$B$3:$L$42,11,FALSE)</f>
        <v>#N/A</v>
      </c>
      <c r="AA922" s="10" t="e">
        <f>VLOOKUP(AJ914,'CIR Team Info'!$C$5:$E$44,4,FALSE)</f>
        <v>#N/A</v>
      </c>
      <c r="AB922" s="161" t="b">
        <f>ISNUMBER(VLOOKUP(AJ914,Match!$T$5:$T$10,1,FALSE))</f>
        <v>0</v>
      </c>
      <c r="AC922" s="161" t="b">
        <f>IF(AB922=TRUE,(VLOOKUP($AJ914,Match!$T$5:$U$10,2,FALSE)))</f>
        <v>0</v>
      </c>
      <c r="AD922" s="8">
        <v>3</v>
      </c>
      <c r="AE922" s="8">
        <v>2</v>
      </c>
      <c r="AF922" s="8">
        <v>2</v>
      </c>
      <c r="AG922" s="8">
        <v>1</v>
      </c>
      <c r="AH922" s="8" t="str">
        <f t="shared" si="250"/>
        <v/>
      </c>
    </row>
    <row r="923" spans="1:34" x14ac:dyDescent="0.25">
      <c r="A923" s="29">
        <f t="shared" si="257"/>
        <v>0</v>
      </c>
      <c r="B923" s="29">
        <f t="shared" si="251"/>
        <v>0</v>
      </c>
      <c r="C923" s="29">
        <f t="shared" si="252"/>
        <v>0</v>
      </c>
      <c r="D923" s="29">
        <f t="shared" si="253"/>
        <v>0</v>
      </c>
      <c r="E923" s="29">
        <f t="shared" si="258"/>
        <v>0</v>
      </c>
      <c r="F923" s="29">
        <f t="shared" si="259"/>
        <v>0</v>
      </c>
      <c r="G923" s="29" t="str">
        <f t="shared" si="260"/>
        <v>offensive</v>
      </c>
      <c r="H923" s="16">
        <f t="shared" si="264"/>
        <v>0</v>
      </c>
      <c r="I923" s="16">
        <f t="shared" si="265"/>
        <v>0</v>
      </c>
      <c r="J923" s="16">
        <f t="shared" si="254"/>
        <v>0</v>
      </c>
      <c r="K923" s="16">
        <f t="shared" si="261"/>
        <v>0</v>
      </c>
      <c r="L923" s="67">
        <f t="shared" si="262"/>
        <v>0</v>
      </c>
      <c r="M923" s="4">
        <f t="shared" si="255"/>
        <v>0</v>
      </c>
      <c r="N923" s="4">
        <f t="shared" si="256"/>
        <v>0</v>
      </c>
      <c r="O923" s="4">
        <f t="shared" si="263"/>
        <v>0</v>
      </c>
      <c r="P923" s="4" t="e">
        <f>VLOOKUP(AJ915,'CIR Team Info'!$C$5:$E$44,2,FALSE)</f>
        <v>#N/A</v>
      </c>
      <c r="Q923" s="4" t="e">
        <f>VLOOKUP(AJ915,'CIR Team Info'!$C$5:$E$44,3,FALSE)</f>
        <v>#N/A</v>
      </c>
      <c r="R923" s="10" t="e">
        <f>VLOOKUP(AJ915,'FRC Site Data'!$B$3:$L$42,2,FALSE)</f>
        <v>#N/A</v>
      </c>
      <c r="S923" s="10" t="e">
        <f>VLOOKUP(AJ915,'FRC Site Data'!$B$3:$L$42,3,FALSE)</f>
        <v>#N/A</v>
      </c>
      <c r="T923" s="10" t="e">
        <f>VLOOKUP(AJ915,'FRC Site Data'!$B$3:$L$42,4,FALSE)</f>
        <v>#N/A</v>
      </c>
      <c r="U923" s="10" t="e">
        <f>VLOOKUP(AJ915,'FRC Site Data'!$B$3:$L$42,5,FALSE)</f>
        <v>#N/A</v>
      </c>
      <c r="V923" s="10" t="e">
        <f>VLOOKUP(AJ915,'FRC Site Data'!$B$3:$L$42,6,FALSE)</f>
        <v>#N/A</v>
      </c>
      <c r="W923" s="10" t="e">
        <f>VLOOKUP(AJ915,'FRC Site Data'!$B$3:$L$42,8,FALSE)</f>
        <v>#N/A</v>
      </c>
      <c r="X923" s="10" t="e">
        <f>VLOOKUP(AJ915,'FRC Site Data'!$B$3:$L$42,9,FALSE)</f>
        <v>#N/A</v>
      </c>
      <c r="Y923" s="10" t="e">
        <f>VLOOKUP(AJ915,'FRC Site Data'!$B$3:$L$42,10,FALSE)</f>
        <v>#N/A</v>
      </c>
      <c r="Z923" s="10" t="e">
        <f>VLOOKUP(AJ915,'FRC Site Data'!$B$3:$L$42,11,FALSE)</f>
        <v>#N/A</v>
      </c>
      <c r="AA923" s="10" t="e">
        <f>VLOOKUP(AJ915,'CIR Team Info'!$C$5:$E$44,4,FALSE)</f>
        <v>#N/A</v>
      </c>
      <c r="AB923" s="161" t="b">
        <f>ISNUMBER(VLOOKUP(AJ915,Match!$T$5:$T$10,1,FALSE))</f>
        <v>0</v>
      </c>
      <c r="AC923" s="161" t="b">
        <f>IF(AB923=TRUE,(VLOOKUP($AJ915,Match!$T$5:$U$10,2,FALSE)))</f>
        <v>0</v>
      </c>
      <c r="AD923" s="8">
        <v>3</v>
      </c>
      <c r="AE923" s="8">
        <v>2</v>
      </c>
      <c r="AF923" s="8">
        <v>2</v>
      </c>
      <c r="AG923" s="8">
        <v>1</v>
      </c>
      <c r="AH923" s="8" t="str">
        <f t="shared" si="250"/>
        <v/>
      </c>
    </row>
    <row r="924" spans="1:34" x14ac:dyDescent="0.25">
      <c r="A924" s="29">
        <f t="shared" si="257"/>
        <v>0</v>
      </c>
      <c r="B924" s="29">
        <f t="shared" si="251"/>
        <v>0</v>
      </c>
      <c r="C924" s="29">
        <f t="shared" si="252"/>
        <v>0</v>
      </c>
      <c r="D924" s="29">
        <f t="shared" si="253"/>
        <v>0</v>
      </c>
      <c r="E924" s="29">
        <f t="shared" si="258"/>
        <v>0</v>
      </c>
      <c r="F924" s="29">
        <f t="shared" si="259"/>
        <v>0</v>
      </c>
      <c r="G924" s="29" t="str">
        <f t="shared" si="260"/>
        <v>offensive</v>
      </c>
      <c r="H924" s="16">
        <f t="shared" si="264"/>
        <v>0</v>
      </c>
      <c r="I924" s="16">
        <f t="shared" si="265"/>
        <v>0</v>
      </c>
      <c r="J924" s="16">
        <f t="shared" si="254"/>
        <v>0</v>
      </c>
      <c r="K924" s="16">
        <f t="shared" si="261"/>
        <v>0</v>
      </c>
      <c r="L924" s="67">
        <f t="shared" si="262"/>
        <v>0</v>
      </c>
      <c r="M924" s="4">
        <f t="shared" si="255"/>
        <v>0</v>
      </c>
      <c r="N924" s="4">
        <f t="shared" si="256"/>
        <v>0</v>
      </c>
      <c r="O924" s="4">
        <f t="shared" si="263"/>
        <v>0</v>
      </c>
      <c r="P924" s="4" t="e">
        <f>VLOOKUP(AJ916,'CIR Team Info'!$C$5:$E$44,2,FALSE)</f>
        <v>#N/A</v>
      </c>
      <c r="Q924" s="4" t="e">
        <f>VLOOKUP(AJ916,'CIR Team Info'!$C$5:$E$44,3,FALSE)</f>
        <v>#N/A</v>
      </c>
      <c r="R924" s="10" t="e">
        <f>VLOOKUP(AJ916,'FRC Site Data'!$B$3:$L$42,2,FALSE)</f>
        <v>#N/A</v>
      </c>
      <c r="S924" s="10" t="e">
        <f>VLOOKUP(AJ916,'FRC Site Data'!$B$3:$L$42,3,FALSE)</f>
        <v>#N/A</v>
      </c>
      <c r="T924" s="10" t="e">
        <f>VLOOKUP(AJ916,'FRC Site Data'!$B$3:$L$42,4,FALSE)</f>
        <v>#N/A</v>
      </c>
      <c r="U924" s="10" t="e">
        <f>VLOOKUP(AJ916,'FRC Site Data'!$B$3:$L$42,5,FALSE)</f>
        <v>#N/A</v>
      </c>
      <c r="V924" s="10" t="e">
        <f>VLOOKUP(AJ916,'FRC Site Data'!$B$3:$L$42,6,FALSE)</f>
        <v>#N/A</v>
      </c>
      <c r="W924" s="10" t="e">
        <f>VLOOKUP(AJ916,'FRC Site Data'!$B$3:$L$42,8,FALSE)</f>
        <v>#N/A</v>
      </c>
      <c r="X924" s="10" t="e">
        <f>VLOOKUP(AJ916,'FRC Site Data'!$B$3:$L$42,9,FALSE)</f>
        <v>#N/A</v>
      </c>
      <c r="Y924" s="10" t="e">
        <f>VLOOKUP(AJ916,'FRC Site Data'!$B$3:$L$42,10,FALSE)</f>
        <v>#N/A</v>
      </c>
      <c r="Z924" s="10" t="e">
        <f>VLOOKUP(AJ916,'FRC Site Data'!$B$3:$L$42,11,FALSE)</f>
        <v>#N/A</v>
      </c>
      <c r="AA924" s="10" t="e">
        <f>VLOOKUP(AJ916,'CIR Team Info'!$C$5:$E$44,4,FALSE)</f>
        <v>#N/A</v>
      </c>
      <c r="AB924" s="161" t="b">
        <f>ISNUMBER(VLOOKUP(AJ916,Match!$T$5:$T$10,1,FALSE))</f>
        <v>0</v>
      </c>
      <c r="AC924" s="161" t="b">
        <f>IF(AB924=TRUE,(VLOOKUP($AJ916,Match!$T$5:$U$10,2,FALSE)))</f>
        <v>0</v>
      </c>
      <c r="AD924" s="8">
        <v>3</v>
      </c>
      <c r="AE924" s="8">
        <v>2</v>
      </c>
      <c r="AF924" s="8">
        <v>2</v>
      </c>
      <c r="AG924" s="8">
        <v>1</v>
      </c>
      <c r="AH924" s="8" t="str">
        <f t="shared" si="250"/>
        <v/>
      </c>
    </row>
    <row r="925" spans="1:34" x14ac:dyDescent="0.25">
      <c r="A925" s="29">
        <f t="shared" si="257"/>
        <v>0</v>
      </c>
      <c r="B925" s="29">
        <f t="shared" si="251"/>
        <v>0</v>
      </c>
      <c r="C925" s="29">
        <f t="shared" si="252"/>
        <v>0</v>
      </c>
      <c r="D925" s="29">
        <f t="shared" si="253"/>
        <v>0</v>
      </c>
      <c r="E925" s="29">
        <f t="shared" si="258"/>
        <v>0</v>
      </c>
      <c r="F925" s="29">
        <f t="shared" si="259"/>
        <v>0</v>
      </c>
      <c r="G925" s="29" t="str">
        <f t="shared" si="260"/>
        <v>offensive</v>
      </c>
      <c r="H925" s="16">
        <f t="shared" si="264"/>
        <v>0</v>
      </c>
      <c r="I925" s="16">
        <f t="shared" si="265"/>
        <v>0</v>
      </c>
      <c r="J925" s="16">
        <f t="shared" si="254"/>
        <v>0</v>
      </c>
      <c r="K925" s="16">
        <f t="shared" si="261"/>
        <v>0</v>
      </c>
      <c r="L925" s="67">
        <f t="shared" si="262"/>
        <v>0</v>
      </c>
      <c r="M925" s="4">
        <f t="shared" si="255"/>
        <v>0</v>
      </c>
      <c r="N925" s="4">
        <f t="shared" si="256"/>
        <v>0</v>
      </c>
      <c r="O925" s="4">
        <f t="shared" si="263"/>
        <v>0</v>
      </c>
      <c r="P925" s="4" t="e">
        <f>VLOOKUP(AJ917,'CIR Team Info'!$C$5:$E$44,2,FALSE)</f>
        <v>#N/A</v>
      </c>
      <c r="Q925" s="4" t="e">
        <f>VLOOKUP(AJ917,'CIR Team Info'!$C$5:$E$44,3,FALSE)</f>
        <v>#N/A</v>
      </c>
      <c r="R925" s="10" t="e">
        <f>VLOOKUP(AJ917,'FRC Site Data'!$B$3:$L$42,2,FALSE)</f>
        <v>#N/A</v>
      </c>
      <c r="S925" s="10" t="e">
        <f>VLOOKUP(AJ917,'FRC Site Data'!$B$3:$L$42,3,FALSE)</f>
        <v>#N/A</v>
      </c>
      <c r="T925" s="10" t="e">
        <f>VLOOKUP(AJ917,'FRC Site Data'!$B$3:$L$42,4,FALSE)</f>
        <v>#N/A</v>
      </c>
      <c r="U925" s="10" t="e">
        <f>VLOOKUP(AJ917,'FRC Site Data'!$B$3:$L$42,5,FALSE)</f>
        <v>#N/A</v>
      </c>
      <c r="V925" s="10" t="e">
        <f>VLOOKUP(AJ917,'FRC Site Data'!$B$3:$L$42,6,FALSE)</f>
        <v>#N/A</v>
      </c>
      <c r="W925" s="10" t="e">
        <f>VLOOKUP(AJ917,'FRC Site Data'!$B$3:$L$42,8,FALSE)</f>
        <v>#N/A</v>
      </c>
      <c r="X925" s="10" t="e">
        <f>VLOOKUP(AJ917,'FRC Site Data'!$B$3:$L$42,9,FALSE)</f>
        <v>#N/A</v>
      </c>
      <c r="Y925" s="10" t="e">
        <f>VLOOKUP(AJ917,'FRC Site Data'!$B$3:$L$42,10,FALSE)</f>
        <v>#N/A</v>
      </c>
      <c r="Z925" s="10" t="e">
        <f>VLOOKUP(AJ917,'FRC Site Data'!$B$3:$L$42,11,FALSE)</f>
        <v>#N/A</v>
      </c>
      <c r="AA925" s="10" t="e">
        <f>VLOOKUP(AJ917,'CIR Team Info'!$C$5:$E$44,4,FALSE)</f>
        <v>#N/A</v>
      </c>
      <c r="AB925" s="161" t="b">
        <f>ISNUMBER(VLOOKUP(AJ917,Match!$T$5:$T$10,1,FALSE))</f>
        <v>0</v>
      </c>
      <c r="AC925" s="161" t="b">
        <f>IF(AB925=TRUE,(VLOOKUP($AJ917,Match!$T$5:$U$10,2,FALSE)))</f>
        <v>0</v>
      </c>
      <c r="AD925" s="8">
        <v>3</v>
      </c>
      <c r="AE925" s="8">
        <v>2</v>
      </c>
      <c r="AF925" s="8">
        <v>2</v>
      </c>
      <c r="AG925" s="8">
        <v>1</v>
      </c>
      <c r="AH925" s="8" t="str">
        <f t="shared" si="250"/>
        <v/>
      </c>
    </row>
    <row r="926" spans="1:34" x14ac:dyDescent="0.25">
      <c r="A926" s="29">
        <f t="shared" si="257"/>
        <v>0</v>
      </c>
      <c r="B926" s="29">
        <f t="shared" si="251"/>
        <v>0</v>
      </c>
      <c r="C926" s="29">
        <f t="shared" si="252"/>
        <v>0</v>
      </c>
      <c r="D926" s="29">
        <f t="shared" si="253"/>
        <v>0</v>
      </c>
      <c r="E926" s="29">
        <f t="shared" si="258"/>
        <v>0</v>
      </c>
      <c r="F926" s="29">
        <f t="shared" si="259"/>
        <v>0</v>
      </c>
      <c r="G926" s="29" t="str">
        <f t="shared" si="260"/>
        <v>offensive</v>
      </c>
      <c r="H926" s="16">
        <f t="shared" si="264"/>
        <v>0</v>
      </c>
      <c r="I926" s="16">
        <f t="shared" si="265"/>
        <v>0</v>
      </c>
      <c r="J926" s="16">
        <f t="shared" si="254"/>
        <v>0</v>
      </c>
      <c r="K926" s="16">
        <f t="shared" si="261"/>
        <v>0</v>
      </c>
      <c r="L926" s="67">
        <f t="shared" si="262"/>
        <v>0</v>
      </c>
      <c r="M926" s="4">
        <f t="shared" si="255"/>
        <v>0</v>
      </c>
      <c r="N926" s="4">
        <f t="shared" si="256"/>
        <v>0</v>
      </c>
      <c r="O926" s="4">
        <f t="shared" si="263"/>
        <v>0</v>
      </c>
      <c r="P926" s="4" t="e">
        <f>VLOOKUP(AJ918,'CIR Team Info'!$C$5:$E$44,2,FALSE)</f>
        <v>#N/A</v>
      </c>
      <c r="Q926" s="4" t="e">
        <f>VLOOKUP(AJ918,'CIR Team Info'!$C$5:$E$44,3,FALSE)</f>
        <v>#N/A</v>
      </c>
      <c r="R926" s="10" t="e">
        <f>VLOOKUP(AJ918,'FRC Site Data'!$B$3:$L$42,2,FALSE)</f>
        <v>#N/A</v>
      </c>
      <c r="S926" s="10" t="e">
        <f>VLOOKUP(AJ918,'FRC Site Data'!$B$3:$L$42,3,FALSE)</f>
        <v>#N/A</v>
      </c>
      <c r="T926" s="10" t="e">
        <f>VLOOKUP(AJ918,'FRC Site Data'!$B$3:$L$42,4,FALSE)</f>
        <v>#N/A</v>
      </c>
      <c r="U926" s="10" t="e">
        <f>VLOOKUP(AJ918,'FRC Site Data'!$B$3:$L$42,5,FALSE)</f>
        <v>#N/A</v>
      </c>
      <c r="V926" s="10" t="e">
        <f>VLOOKUP(AJ918,'FRC Site Data'!$B$3:$L$42,6,FALSE)</f>
        <v>#N/A</v>
      </c>
      <c r="W926" s="10" t="e">
        <f>VLOOKUP(AJ918,'FRC Site Data'!$B$3:$L$42,8,FALSE)</f>
        <v>#N/A</v>
      </c>
      <c r="X926" s="10" t="e">
        <f>VLOOKUP(AJ918,'FRC Site Data'!$B$3:$L$42,9,FALSE)</f>
        <v>#N/A</v>
      </c>
      <c r="Y926" s="10" t="e">
        <f>VLOOKUP(AJ918,'FRC Site Data'!$B$3:$L$42,10,FALSE)</f>
        <v>#N/A</v>
      </c>
      <c r="Z926" s="10" t="e">
        <f>VLOOKUP(AJ918,'FRC Site Data'!$B$3:$L$42,11,FALSE)</f>
        <v>#N/A</v>
      </c>
      <c r="AA926" s="10" t="e">
        <f>VLOOKUP(AJ918,'CIR Team Info'!$C$5:$E$44,4,FALSE)</f>
        <v>#N/A</v>
      </c>
      <c r="AB926" s="161" t="b">
        <f>ISNUMBER(VLOOKUP(AJ918,Match!$T$5:$T$10,1,FALSE))</f>
        <v>0</v>
      </c>
      <c r="AC926" s="161" t="b">
        <f>IF(AB926=TRUE,(VLOOKUP($AJ918,Match!$T$5:$U$10,2,FALSE)))</f>
        <v>0</v>
      </c>
      <c r="AD926" s="8">
        <v>3</v>
      </c>
      <c r="AE926" s="8">
        <v>2</v>
      </c>
      <c r="AF926" s="8">
        <v>2</v>
      </c>
      <c r="AG926" s="8">
        <v>1</v>
      </c>
      <c r="AH926" s="8" t="str">
        <f t="shared" si="250"/>
        <v/>
      </c>
    </row>
    <row r="927" spans="1:34" x14ac:dyDescent="0.25">
      <c r="A927" s="29">
        <f t="shared" si="257"/>
        <v>0</v>
      </c>
      <c r="B927" s="29">
        <f t="shared" si="251"/>
        <v>0</v>
      </c>
      <c r="C927" s="29">
        <f t="shared" si="252"/>
        <v>0</v>
      </c>
      <c r="D927" s="29">
        <f t="shared" si="253"/>
        <v>0</v>
      </c>
      <c r="E927" s="29">
        <f t="shared" si="258"/>
        <v>0</v>
      </c>
      <c r="F927" s="29">
        <f t="shared" si="259"/>
        <v>0</v>
      </c>
      <c r="G927" s="29" t="str">
        <f t="shared" si="260"/>
        <v>offensive</v>
      </c>
      <c r="H927" s="16">
        <f t="shared" si="264"/>
        <v>0</v>
      </c>
      <c r="I927" s="16">
        <f t="shared" si="265"/>
        <v>0</v>
      </c>
      <c r="J927" s="16">
        <f t="shared" si="254"/>
        <v>0</v>
      </c>
      <c r="K927" s="16">
        <f t="shared" si="261"/>
        <v>0</v>
      </c>
      <c r="L927" s="67">
        <f t="shared" si="262"/>
        <v>0</v>
      </c>
      <c r="M927" s="4">
        <f t="shared" si="255"/>
        <v>0</v>
      </c>
      <c r="N927" s="4">
        <f t="shared" si="256"/>
        <v>0</v>
      </c>
      <c r="O927" s="4">
        <f t="shared" si="263"/>
        <v>0</v>
      </c>
      <c r="P927" s="4" t="e">
        <f>VLOOKUP(AJ919,'CIR Team Info'!$C$5:$E$44,2,FALSE)</f>
        <v>#N/A</v>
      </c>
      <c r="Q927" s="4" t="e">
        <f>VLOOKUP(AJ919,'CIR Team Info'!$C$5:$E$44,3,FALSE)</f>
        <v>#N/A</v>
      </c>
      <c r="R927" s="10" t="e">
        <f>VLOOKUP(AJ919,'FRC Site Data'!$B$3:$L$42,2,FALSE)</f>
        <v>#N/A</v>
      </c>
      <c r="S927" s="10" t="e">
        <f>VLOOKUP(AJ919,'FRC Site Data'!$B$3:$L$42,3,FALSE)</f>
        <v>#N/A</v>
      </c>
      <c r="T927" s="10" t="e">
        <f>VLOOKUP(AJ919,'FRC Site Data'!$B$3:$L$42,4,FALSE)</f>
        <v>#N/A</v>
      </c>
      <c r="U927" s="10" t="e">
        <f>VLOOKUP(AJ919,'FRC Site Data'!$B$3:$L$42,5,FALSE)</f>
        <v>#N/A</v>
      </c>
      <c r="V927" s="10" t="e">
        <f>VLOOKUP(AJ919,'FRC Site Data'!$B$3:$L$42,6,FALSE)</f>
        <v>#N/A</v>
      </c>
      <c r="W927" s="10" t="e">
        <f>VLOOKUP(AJ919,'FRC Site Data'!$B$3:$L$42,8,FALSE)</f>
        <v>#N/A</v>
      </c>
      <c r="X927" s="10" t="e">
        <f>VLOOKUP(AJ919,'FRC Site Data'!$B$3:$L$42,9,FALSE)</f>
        <v>#N/A</v>
      </c>
      <c r="Y927" s="10" t="e">
        <f>VLOOKUP(AJ919,'FRC Site Data'!$B$3:$L$42,10,FALSE)</f>
        <v>#N/A</v>
      </c>
      <c r="Z927" s="10" t="e">
        <f>VLOOKUP(AJ919,'FRC Site Data'!$B$3:$L$42,11,FALSE)</f>
        <v>#N/A</v>
      </c>
      <c r="AA927" s="10" t="e">
        <f>VLOOKUP(AJ919,'CIR Team Info'!$C$5:$E$44,4,FALSE)</f>
        <v>#N/A</v>
      </c>
      <c r="AB927" s="161" t="b">
        <f>ISNUMBER(VLOOKUP(AJ919,Match!$T$5:$T$10,1,FALSE))</f>
        <v>0</v>
      </c>
      <c r="AC927" s="161" t="b">
        <f>IF(AB927=TRUE,(VLOOKUP($AJ919,Match!$T$5:$U$10,2,FALSE)))</f>
        <v>0</v>
      </c>
      <c r="AD927" s="8">
        <v>3</v>
      </c>
      <c r="AE927" s="8">
        <v>2</v>
      </c>
      <c r="AF927" s="8">
        <v>2</v>
      </c>
      <c r="AG927" s="8">
        <v>1</v>
      </c>
      <c r="AH927" s="8" t="str">
        <f t="shared" si="250"/>
        <v/>
      </c>
    </row>
    <row r="928" spans="1:34" x14ac:dyDescent="0.25">
      <c r="A928" s="29">
        <f t="shared" si="257"/>
        <v>0</v>
      </c>
      <c r="B928" s="29">
        <f t="shared" si="251"/>
        <v>0</v>
      </c>
      <c r="C928" s="29">
        <f t="shared" si="252"/>
        <v>0</v>
      </c>
      <c r="D928" s="29">
        <f t="shared" si="253"/>
        <v>0</v>
      </c>
      <c r="E928" s="29">
        <f t="shared" si="258"/>
        <v>0</v>
      </c>
      <c r="F928" s="29">
        <f t="shared" si="259"/>
        <v>0</v>
      </c>
      <c r="G928" s="29" t="str">
        <f t="shared" si="260"/>
        <v>offensive</v>
      </c>
      <c r="H928" s="16">
        <f t="shared" si="264"/>
        <v>0</v>
      </c>
      <c r="I928" s="16">
        <f t="shared" si="265"/>
        <v>0</v>
      </c>
      <c r="J928" s="16">
        <f t="shared" si="254"/>
        <v>0</v>
      </c>
      <c r="K928" s="16">
        <f t="shared" si="261"/>
        <v>0</v>
      </c>
      <c r="L928" s="67">
        <f t="shared" si="262"/>
        <v>0</v>
      </c>
      <c r="M928" s="4">
        <f t="shared" si="255"/>
        <v>0</v>
      </c>
      <c r="N928" s="4">
        <f t="shared" si="256"/>
        <v>0</v>
      </c>
      <c r="O928" s="4">
        <f t="shared" si="263"/>
        <v>0</v>
      </c>
      <c r="P928" s="4" t="e">
        <f>VLOOKUP(AJ920,'CIR Team Info'!$C$5:$E$44,2,FALSE)</f>
        <v>#N/A</v>
      </c>
      <c r="Q928" s="4" t="e">
        <f>VLOOKUP(AJ920,'CIR Team Info'!$C$5:$E$44,3,FALSE)</f>
        <v>#N/A</v>
      </c>
      <c r="R928" s="10" t="e">
        <f>VLOOKUP(AJ920,'FRC Site Data'!$B$3:$L$42,2,FALSE)</f>
        <v>#N/A</v>
      </c>
      <c r="S928" s="10" t="e">
        <f>VLOOKUP(AJ920,'FRC Site Data'!$B$3:$L$42,3,FALSE)</f>
        <v>#N/A</v>
      </c>
      <c r="T928" s="10" t="e">
        <f>VLOOKUP(AJ920,'FRC Site Data'!$B$3:$L$42,4,FALSE)</f>
        <v>#N/A</v>
      </c>
      <c r="U928" s="10" t="e">
        <f>VLOOKUP(AJ920,'FRC Site Data'!$B$3:$L$42,5,FALSE)</f>
        <v>#N/A</v>
      </c>
      <c r="V928" s="10" t="e">
        <f>VLOOKUP(AJ920,'FRC Site Data'!$B$3:$L$42,6,FALSE)</f>
        <v>#N/A</v>
      </c>
      <c r="W928" s="10" t="e">
        <f>VLOOKUP(AJ920,'FRC Site Data'!$B$3:$L$42,8,FALSE)</f>
        <v>#N/A</v>
      </c>
      <c r="X928" s="10" t="e">
        <f>VLOOKUP(AJ920,'FRC Site Data'!$B$3:$L$42,9,FALSE)</f>
        <v>#N/A</v>
      </c>
      <c r="Y928" s="10" t="e">
        <f>VLOOKUP(AJ920,'FRC Site Data'!$B$3:$L$42,10,FALSE)</f>
        <v>#N/A</v>
      </c>
      <c r="Z928" s="10" t="e">
        <f>VLOOKUP(AJ920,'FRC Site Data'!$B$3:$L$42,11,FALSE)</f>
        <v>#N/A</v>
      </c>
      <c r="AA928" s="10" t="e">
        <f>VLOOKUP(AJ920,'CIR Team Info'!$C$5:$E$44,4,FALSE)</f>
        <v>#N/A</v>
      </c>
      <c r="AB928" s="161" t="b">
        <f>ISNUMBER(VLOOKUP(AJ920,Match!$T$5:$T$10,1,FALSE))</f>
        <v>0</v>
      </c>
      <c r="AC928" s="161" t="b">
        <f>IF(AB928=TRUE,(VLOOKUP($AJ920,Match!$T$5:$U$10,2,FALSE)))</f>
        <v>0</v>
      </c>
      <c r="AD928" s="8">
        <v>3</v>
      </c>
      <c r="AE928" s="8">
        <v>2</v>
      </c>
      <c r="AF928" s="8">
        <v>2</v>
      </c>
      <c r="AG928" s="8">
        <v>1</v>
      </c>
      <c r="AH928" s="8" t="str">
        <f t="shared" si="250"/>
        <v/>
      </c>
    </row>
    <row r="929" spans="1:63" x14ac:dyDescent="0.25">
      <c r="A929" s="29">
        <f t="shared" si="257"/>
        <v>0</v>
      </c>
      <c r="B929" s="29">
        <f t="shared" si="251"/>
        <v>0</v>
      </c>
      <c r="C929" s="29">
        <f t="shared" si="252"/>
        <v>0</v>
      </c>
      <c r="D929" s="29">
        <f t="shared" si="253"/>
        <v>0</v>
      </c>
      <c r="E929" s="29">
        <f t="shared" si="258"/>
        <v>0</v>
      </c>
      <c r="F929" s="29">
        <f t="shared" si="259"/>
        <v>0</v>
      </c>
      <c r="G929" s="29" t="str">
        <f t="shared" si="260"/>
        <v>offensive</v>
      </c>
      <c r="H929" s="16">
        <f t="shared" si="264"/>
        <v>0</v>
      </c>
      <c r="I929" s="16">
        <f t="shared" si="265"/>
        <v>0</v>
      </c>
      <c r="J929" s="16">
        <f t="shared" si="254"/>
        <v>0</v>
      </c>
      <c r="K929" s="16">
        <f t="shared" si="261"/>
        <v>0</v>
      </c>
      <c r="L929" s="67">
        <f t="shared" si="262"/>
        <v>0</v>
      </c>
      <c r="M929" s="4">
        <f t="shared" si="255"/>
        <v>0</v>
      </c>
      <c r="N929" s="4">
        <f t="shared" si="256"/>
        <v>0</v>
      </c>
      <c r="O929" s="4">
        <f t="shared" si="263"/>
        <v>0</v>
      </c>
      <c r="P929" s="4" t="e">
        <f>VLOOKUP(AJ921,'CIR Team Info'!$C$5:$E$44,2,FALSE)</f>
        <v>#N/A</v>
      </c>
      <c r="Q929" s="4" t="e">
        <f>VLOOKUP(AJ921,'CIR Team Info'!$C$5:$E$44,3,FALSE)</f>
        <v>#N/A</v>
      </c>
      <c r="R929" s="10" t="e">
        <f>VLOOKUP(AJ921,'FRC Site Data'!$B$3:$L$42,2,FALSE)</f>
        <v>#N/A</v>
      </c>
      <c r="S929" s="10" t="e">
        <f>VLOOKUP(AJ921,'FRC Site Data'!$B$3:$L$42,3,FALSE)</f>
        <v>#N/A</v>
      </c>
      <c r="T929" s="10" t="e">
        <f>VLOOKUP(AJ921,'FRC Site Data'!$B$3:$L$42,4,FALSE)</f>
        <v>#N/A</v>
      </c>
      <c r="U929" s="10" t="e">
        <f>VLOOKUP(AJ921,'FRC Site Data'!$B$3:$L$42,5,FALSE)</f>
        <v>#N/A</v>
      </c>
      <c r="V929" s="10" t="e">
        <f>VLOOKUP(AJ921,'FRC Site Data'!$B$3:$L$42,6,FALSE)</f>
        <v>#N/A</v>
      </c>
      <c r="W929" s="10" t="e">
        <f>VLOOKUP(AJ921,'FRC Site Data'!$B$3:$L$42,8,FALSE)</f>
        <v>#N/A</v>
      </c>
      <c r="X929" s="10" t="e">
        <f>VLOOKUP(AJ921,'FRC Site Data'!$B$3:$L$42,9,FALSE)</f>
        <v>#N/A</v>
      </c>
      <c r="Y929" s="10" t="e">
        <f>VLOOKUP(AJ921,'FRC Site Data'!$B$3:$L$42,10,FALSE)</f>
        <v>#N/A</v>
      </c>
      <c r="Z929" s="10" t="e">
        <f>VLOOKUP(AJ921,'FRC Site Data'!$B$3:$L$42,11,FALSE)</f>
        <v>#N/A</v>
      </c>
      <c r="AA929" s="10" t="e">
        <f>VLOOKUP(AJ921,'CIR Team Info'!$C$5:$E$44,4,FALSE)</f>
        <v>#N/A</v>
      </c>
      <c r="AB929" s="161" t="b">
        <f>ISNUMBER(VLOOKUP(AJ921,Match!$T$5:$T$10,1,FALSE))</f>
        <v>0</v>
      </c>
      <c r="AC929" s="161" t="b">
        <f>IF(AB929=TRUE,(VLOOKUP($AJ921,Match!$T$5:$U$10,2,FALSE)))</f>
        <v>0</v>
      </c>
      <c r="AD929" s="8">
        <v>3</v>
      </c>
      <c r="AE929" s="8">
        <v>2</v>
      </c>
      <c r="AF929" s="8">
        <v>2</v>
      </c>
      <c r="AG929" s="8">
        <v>1</v>
      </c>
      <c r="AH929" s="8" t="str">
        <f t="shared" si="250"/>
        <v/>
      </c>
    </row>
    <row r="930" spans="1:63" x14ac:dyDescent="0.25">
      <c r="A930" s="29">
        <f t="shared" si="257"/>
        <v>0</v>
      </c>
      <c r="B930" s="29">
        <f t="shared" si="251"/>
        <v>0</v>
      </c>
      <c r="C930" s="29">
        <f t="shared" si="252"/>
        <v>0</v>
      </c>
      <c r="D930" s="29">
        <f t="shared" si="253"/>
        <v>0</v>
      </c>
      <c r="E930" s="29">
        <f t="shared" si="258"/>
        <v>0</v>
      </c>
      <c r="F930" s="29">
        <f t="shared" si="259"/>
        <v>0</v>
      </c>
      <c r="G930" s="29" t="str">
        <f t="shared" si="260"/>
        <v>offensive</v>
      </c>
      <c r="H930" s="16">
        <f t="shared" si="264"/>
        <v>0</v>
      </c>
      <c r="I930" s="16">
        <f t="shared" si="265"/>
        <v>0</v>
      </c>
      <c r="J930" s="16">
        <f t="shared" si="254"/>
        <v>0</v>
      </c>
      <c r="K930" s="16">
        <f t="shared" si="261"/>
        <v>0</v>
      </c>
      <c r="L930" s="67">
        <f t="shared" si="262"/>
        <v>0</v>
      </c>
      <c r="M930" s="4">
        <f t="shared" si="255"/>
        <v>0</v>
      </c>
      <c r="N930" s="4">
        <f t="shared" si="256"/>
        <v>0</v>
      </c>
      <c r="O930" s="4">
        <f t="shared" si="263"/>
        <v>0</v>
      </c>
      <c r="P930" s="4" t="e">
        <f>VLOOKUP(AJ922,'CIR Team Info'!$C$5:$E$44,2,FALSE)</f>
        <v>#N/A</v>
      </c>
      <c r="Q930" s="4" t="e">
        <f>VLOOKUP(AJ922,'CIR Team Info'!$C$5:$E$44,3,FALSE)</f>
        <v>#N/A</v>
      </c>
      <c r="R930" s="10" t="e">
        <f>VLOOKUP(AJ922,'FRC Site Data'!$B$3:$L$42,2,FALSE)</f>
        <v>#N/A</v>
      </c>
      <c r="S930" s="10" t="e">
        <f>VLOOKUP(AJ922,'FRC Site Data'!$B$3:$L$42,3,FALSE)</f>
        <v>#N/A</v>
      </c>
      <c r="T930" s="10" t="e">
        <f>VLOOKUP(AJ922,'FRC Site Data'!$B$3:$L$42,4,FALSE)</f>
        <v>#N/A</v>
      </c>
      <c r="U930" s="10" t="e">
        <f>VLOOKUP(AJ922,'FRC Site Data'!$B$3:$L$42,5,FALSE)</f>
        <v>#N/A</v>
      </c>
      <c r="V930" s="10" t="e">
        <f>VLOOKUP(AJ922,'FRC Site Data'!$B$3:$L$42,6,FALSE)</f>
        <v>#N/A</v>
      </c>
      <c r="W930" s="10" t="e">
        <f>VLOOKUP(AJ922,'FRC Site Data'!$B$3:$L$42,8,FALSE)</f>
        <v>#N/A</v>
      </c>
      <c r="X930" s="10" t="e">
        <f>VLOOKUP(AJ922,'FRC Site Data'!$B$3:$L$42,9,FALSE)</f>
        <v>#N/A</v>
      </c>
      <c r="Y930" s="10" t="e">
        <f>VLOOKUP(AJ922,'FRC Site Data'!$B$3:$L$42,10,FALSE)</f>
        <v>#N/A</v>
      </c>
      <c r="Z930" s="10" t="e">
        <f>VLOOKUP(AJ922,'FRC Site Data'!$B$3:$L$42,11,FALSE)</f>
        <v>#N/A</v>
      </c>
      <c r="AA930" s="10" t="e">
        <f>VLOOKUP(AJ922,'CIR Team Info'!$C$5:$E$44,4,FALSE)</f>
        <v>#N/A</v>
      </c>
      <c r="AB930" s="161" t="b">
        <f>ISNUMBER(VLOOKUP(AJ922,Match!$T$5:$T$10,1,FALSE))</f>
        <v>0</v>
      </c>
      <c r="AC930" s="161" t="b">
        <f>IF(AB930=TRUE,(VLOOKUP($AJ922,Match!$T$5:$U$10,2,FALSE)))</f>
        <v>0</v>
      </c>
      <c r="AD930" s="8">
        <v>3</v>
      </c>
      <c r="AE930" s="8">
        <v>2</v>
      </c>
      <c r="AF930" s="8">
        <v>2</v>
      </c>
      <c r="AG930" s="8">
        <v>1</v>
      </c>
      <c r="AH930" s="8" t="str">
        <f t="shared" si="250"/>
        <v/>
      </c>
    </row>
    <row r="931" spans="1:63" x14ac:dyDescent="0.25">
      <c r="A931" s="29">
        <f t="shared" si="257"/>
        <v>0</v>
      </c>
      <c r="B931" s="29">
        <f t="shared" si="251"/>
        <v>0</v>
      </c>
      <c r="C931" s="29">
        <f t="shared" si="252"/>
        <v>0</v>
      </c>
      <c r="D931" s="29">
        <f t="shared" si="253"/>
        <v>0</v>
      </c>
      <c r="E931" s="29">
        <f t="shared" si="258"/>
        <v>0</v>
      </c>
      <c r="F931" s="29">
        <f t="shared" si="259"/>
        <v>0</v>
      </c>
      <c r="G931" s="29" t="str">
        <f t="shared" si="260"/>
        <v>offensive</v>
      </c>
      <c r="H931" s="16">
        <f t="shared" si="264"/>
        <v>0</v>
      </c>
      <c r="I931" s="16">
        <f t="shared" si="265"/>
        <v>0</v>
      </c>
      <c r="J931" s="16">
        <f t="shared" si="254"/>
        <v>0</v>
      </c>
      <c r="K931" s="16">
        <f t="shared" si="261"/>
        <v>0</v>
      </c>
      <c r="L931" s="67">
        <f t="shared" si="262"/>
        <v>0</v>
      </c>
      <c r="M931" s="4">
        <f t="shared" si="255"/>
        <v>0</v>
      </c>
      <c r="N931" s="4">
        <f t="shared" si="256"/>
        <v>0</v>
      </c>
      <c r="O931" s="4">
        <f t="shared" si="263"/>
        <v>0</v>
      </c>
      <c r="P931" s="4" t="e">
        <f>VLOOKUP(AJ923,'CIR Team Info'!$C$5:$E$44,2,FALSE)</f>
        <v>#N/A</v>
      </c>
      <c r="Q931" s="4" t="e">
        <f>VLOOKUP(AJ923,'CIR Team Info'!$C$5:$E$44,3,FALSE)</f>
        <v>#N/A</v>
      </c>
      <c r="R931" s="10" t="e">
        <f>VLOOKUP(AJ923,'FRC Site Data'!$B$3:$L$42,2,FALSE)</f>
        <v>#N/A</v>
      </c>
      <c r="S931" s="10" t="e">
        <f>VLOOKUP(AJ923,'FRC Site Data'!$B$3:$L$42,3,FALSE)</f>
        <v>#N/A</v>
      </c>
      <c r="T931" s="10" t="e">
        <f>VLOOKUP(AJ923,'FRC Site Data'!$B$3:$L$42,4,FALSE)</f>
        <v>#N/A</v>
      </c>
      <c r="U931" s="10" t="e">
        <f>VLOOKUP(AJ923,'FRC Site Data'!$B$3:$L$42,5,FALSE)</f>
        <v>#N/A</v>
      </c>
      <c r="V931" s="10" t="e">
        <f>VLOOKUP(AJ923,'FRC Site Data'!$B$3:$L$42,6,FALSE)</f>
        <v>#N/A</v>
      </c>
      <c r="W931" s="10" t="e">
        <f>VLOOKUP(AJ923,'FRC Site Data'!$B$3:$L$42,8,FALSE)</f>
        <v>#N/A</v>
      </c>
      <c r="X931" s="10" t="e">
        <f>VLOOKUP(AJ923,'FRC Site Data'!$B$3:$L$42,9,FALSE)</f>
        <v>#N/A</v>
      </c>
      <c r="Y931" s="10" t="e">
        <f>VLOOKUP(AJ923,'FRC Site Data'!$B$3:$L$42,10,FALSE)</f>
        <v>#N/A</v>
      </c>
      <c r="Z931" s="10" t="e">
        <f>VLOOKUP(AJ923,'FRC Site Data'!$B$3:$L$42,11,FALSE)</f>
        <v>#N/A</v>
      </c>
      <c r="AA931" s="10" t="e">
        <f>VLOOKUP(AJ923,'CIR Team Info'!$C$5:$E$44,4,FALSE)</f>
        <v>#N/A</v>
      </c>
      <c r="AB931" s="161" t="b">
        <f>ISNUMBER(VLOOKUP(AJ923,Match!$T$5:$T$10,1,FALSE))</f>
        <v>0</v>
      </c>
      <c r="AC931" s="161" t="b">
        <f>IF(AB931=TRUE,(VLOOKUP($AJ923,Match!$T$5:$U$10,2,FALSE)))</f>
        <v>0</v>
      </c>
      <c r="AD931" s="8">
        <v>3</v>
      </c>
      <c r="AE931" s="8">
        <v>2</v>
      </c>
      <c r="AF931" s="8">
        <v>2</v>
      </c>
      <c r="AG931" s="8">
        <v>1</v>
      </c>
      <c r="AH931" s="8" t="str">
        <f t="shared" ref="AH931:AH941" si="266">IF(AL923="Other","x","")</f>
        <v/>
      </c>
    </row>
    <row r="932" spans="1:63" x14ac:dyDescent="0.25">
      <c r="A932" s="29">
        <f t="shared" si="257"/>
        <v>0</v>
      </c>
      <c r="B932" s="29">
        <f t="shared" si="251"/>
        <v>0</v>
      </c>
      <c r="C932" s="29">
        <f t="shared" si="252"/>
        <v>0</v>
      </c>
      <c r="D932" s="29">
        <f t="shared" si="253"/>
        <v>0</v>
      </c>
      <c r="E932" s="29">
        <f t="shared" si="258"/>
        <v>0</v>
      </c>
      <c r="F932" s="29">
        <f t="shared" si="259"/>
        <v>0</v>
      </c>
      <c r="G932" s="29" t="str">
        <f t="shared" si="260"/>
        <v>offensive</v>
      </c>
      <c r="H932" s="16">
        <f t="shared" si="264"/>
        <v>0</v>
      </c>
      <c r="I932" s="16">
        <f t="shared" si="265"/>
        <v>0</v>
      </c>
      <c r="J932" s="16">
        <f t="shared" si="254"/>
        <v>0</v>
      </c>
      <c r="K932" s="16">
        <f t="shared" si="261"/>
        <v>0</v>
      </c>
      <c r="L932" s="67">
        <f t="shared" si="262"/>
        <v>0</v>
      </c>
      <c r="M932" s="4">
        <f t="shared" si="255"/>
        <v>0</v>
      </c>
      <c r="N932" s="4">
        <f t="shared" si="256"/>
        <v>0</v>
      </c>
      <c r="O932" s="4">
        <f t="shared" si="263"/>
        <v>0</v>
      </c>
      <c r="P932" s="4" t="e">
        <f>VLOOKUP(AJ924,'CIR Team Info'!$C$5:$E$44,2,FALSE)</f>
        <v>#N/A</v>
      </c>
      <c r="Q932" s="4" t="e">
        <f>VLOOKUP(AJ924,'CIR Team Info'!$C$5:$E$44,3,FALSE)</f>
        <v>#N/A</v>
      </c>
      <c r="R932" s="10" t="e">
        <f>VLOOKUP(AJ924,'FRC Site Data'!$B$3:$L$42,2,FALSE)</f>
        <v>#N/A</v>
      </c>
      <c r="S932" s="10" t="e">
        <f>VLOOKUP(AJ924,'FRC Site Data'!$B$3:$L$42,3,FALSE)</f>
        <v>#N/A</v>
      </c>
      <c r="T932" s="10" t="e">
        <f>VLOOKUP(AJ924,'FRC Site Data'!$B$3:$L$42,4,FALSE)</f>
        <v>#N/A</v>
      </c>
      <c r="U932" s="10" t="e">
        <f>VLOOKUP(AJ924,'FRC Site Data'!$B$3:$L$42,5,FALSE)</f>
        <v>#N/A</v>
      </c>
      <c r="V932" s="10" t="e">
        <f>VLOOKUP(AJ924,'FRC Site Data'!$B$3:$L$42,6,FALSE)</f>
        <v>#N/A</v>
      </c>
      <c r="W932" s="10" t="e">
        <f>VLOOKUP(AJ924,'FRC Site Data'!$B$3:$L$42,8,FALSE)</f>
        <v>#N/A</v>
      </c>
      <c r="X932" s="10" t="e">
        <f>VLOOKUP(AJ924,'FRC Site Data'!$B$3:$L$42,9,FALSE)</f>
        <v>#N/A</v>
      </c>
      <c r="Y932" s="10" t="e">
        <f>VLOOKUP(AJ924,'FRC Site Data'!$B$3:$L$42,10,FALSE)</f>
        <v>#N/A</v>
      </c>
      <c r="Z932" s="10" t="e">
        <f>VLOOKUP(AJ924,'FRC Site Data'!$B$3:$L$42,11,FALSE)</f>
        <v>#N/A</v>
      </c>
      <c r="AA932" s="10" t="e">
        <f>VLOOKUP(AJ924,'CIR Team Info'!$C$5:$E$44,4,FALSE)</f>
        <v>#N/A</v>
      </c>
      <c r="AB932" s="161" t="b">
        <f>ISNUMBER(VLOOKUP(AJ924,Match!$T$5:$T$10,1,FALSE))</f>
        <v>0</v>
      </c>
      <c r="AC932" s="161" t="b">
        <f>IF(AB932=TRUE,(VLOOKUP($AJ924,Match!$T$5:$U$10,2,FALSE)))</f>
        <v>0</v>
      </c>
      <c r="AD932" s="8">
        <v>3</v>
      </c>
      <c r="AE932" s="8">
        <v>2</v>
      </c>
      <c r="AF932" s="8">
        <v>2</v>
      </c>
      <c r="AG932" s="8">
        <v>1</v>
      </c>
      <c r="AH932" s="8" t="str">
        <f t="shared" si="266"/>
        <v/>
      </c>
    </row>
    <row r="933" spans="1:63" x14ac:dyDescent="0.25">
      <c r="A933" s="29">
        <f t="shared" si="257"/>
        <v>0</v>
      </c>
      <c r="B933" s="29">
        <f t="shared" si="251"/>
        <v>0</v>
      </c>
      <c r="C933" s="29">
        <f t="shared" si="252"/>
        <v>0</v>
      </c>
      <c r="D933" s="29">
        <f t="shared" si="253"/>
        <v>0</v>
      </c>
      <c r="E933" s="29">
        <f t="shared" si="258"/>
        <v>0</v>
      </c>
      <c r="F933" s="29">
        <f t="shared" si="259"/>
        <v>0</v>
      </c>
      <c r="G933" s="29" t="str">
        <f t="shared" si="260"/>
        <v>offensive</v>
      </c>
      <c r="H933" s="16">
        <f t="shared" si="264"/>
        <v>0</v>
      </c>
      <c r="I933" s="16">
        <f t="shared" si="265"/>
        <v>0</v>
      </c>
      <c r="J933" s="16">
        <f t="shared" si="254"/>
        <v>0</v>
      </c>
      <c r="K933" s="16">
        <f t="shared" si="261"/>
        <v>0</v>
      </c>
      <c r="L933" s="67">
        <f t="shared" si="262"/>
        <v>0</v>
      </c>
      <c r="M933" s="4">
        <f t="shared" si="255"/>
        <v>0</v>
      </c>
      <c r="N933" s="4">
        <f t="shared" si="256"/>
        <v>0</v>
      </c>
      <c r="O933" s="4">
        <f t="shared" si="263"/>
        <v>0</v>
      </c>
      <c r="P933" s="4" t="e">
        <f>VLOOKUP(AJ925,'CIR Team Info'!$C$5:$E$44,2,FALSE)</f>
        <v>#N/A</v>
      </c>
      <c r="Q933" s="4" t="e">
        <f>VLOOKUP(AJ925,'CIR Team Info'!$C$5:$E$44,3,FALSE)</f>
        <v>#N/A</v>
      </c>
      <c r="R933" s="10" t="e">
        <f>VLOOKUP(AJ925,'FRC Site Data'!$B$3:$L$42,2,FALSE)</f>
        <v>#N/A</v>
      </c>
      <c r="S933" s="10" t="e">
        <f>VLOOKUP(AJ925,'FRC Site Data'!$B$3:$L$42,3,FALSE)</f>
        <v>#N/A</v>
      </c>
      <c r="T933" s="10" t="e">
        <f>VLOOKUP(AJ925,'FRC Site Data'!$B$3:$L$42,4,FALSE)</f>
        <v>#N/A</v>
      </c>
      <c r="U933" s="10" t="e">
        <f>VLOOKUP(AJ925,'FRC Site Data'!$B$3:$L$42,5,FALSE)</f>
        <v>#N/A</v>
      </c>
      <c r="V933" s="10" t="e">
        <f>VLOOKUP(AJ925,'FRC Site Data'!$B$3:$L$42,6,FALSE)</f>
        <v>#N/A</v>
      </c>
      <c r="W933" s="10" t="e">
        <f>VLOOKUP(AJ925,'FRC Site Data'!$B$3:$L$42,8,FALSE)</f>
        <v>#N/A</v>
      </c>
      <c r="X933" s="10" t="e">
        <f>VLOOKUP(AJ925,'FRC Site Data'!$B$3:$L$42,9,FALSE)</f>
        <v>#N/A</v>
      </c>
      <c r="Y933" s="10" t="e">
        <f>VLOOKUP(AJ925,'FRC Site Data'!$B$3:$L$42,10,FALSE)</f>
        <v>#N/A</v>
      </c>
      <c r="Z933" s="10" t="e">
        <f>VLOOKUP(AJ925,'FRC Site Data'!$B$3:$L$42,11,FALSE)</f>
        <v>#N/A</v>
      </c>
      <c r="AA933" s="10" t="e">
        <f>VLOOKUP(AJ925,'CIR Team Info'!$C$5:$E$44,4,FALSE)</f>
        <v>#N/A</v>
      </c>
      <c r="AB933" s="161" t="b">
        <f>ISNUMBER(VLOOKUP(AJ925,Match!$T$5:$T$10,1,FALSE))</f>
        <v>0</v>
      </c>
      <c r="AC933" s="161" t="b">
        <f>IF(AB933=TRUE,(VLOOKUP($AJ925,Match!$T$5:$U$10,2,FALSE)))</f>
        <v>0</v>
      </c>
      <c r="AD933" s="8">
        <v>3</v>
      </c>
      <c r="AE933" s="8">
        <v>2</v>
      </c>
      <c r="AF933" s="8">
        <v>2</v>
      </c>
      <c r="AG933" s="8">
        <v>1</v>
      </c>
      <c r="AH933" s="8" t="str">
        <f t="shared" si="266"/>
        <v/>
      </c>
    </row>
    <row r="934" spans="1:63" x14ac:dyDescent="0.25">
      <c r="A934" s="29">
        <f t="shared" si="257"/>
        <v>0</v>
      </c>
      <c r="B934" s="29">
        <f t="shared" si="251"/>
        <v>0</v>
      </c>
      <c r="C934" s="29">
        <f t="shared" si="252"/>
        <v>0</v>
      </c>
      <c r="D934" s="29">
        <f t="shared" si="253"/>
        <v>0</v>
      </c>
      <c r="E934" s="29">
        <f t="shared" si="258"/>
        <v>0</v>
      </c>
      <c r="F934" s="29">
        <f t="shared" si="259"/>
        <v>0</v>
      </c>
      <c r="G934" s="29" t="str">
        <f t="shared" si="260"/>
        <v>offensive</v>
      </c>
      <c r="H934" s="16">
        <f t="shared" si="264"/>
        <v>0</v>
      </c>
      <c r="I934" s="16">
        <f t="shared" si="265"/>
        <v>0</v>
      </c>
      <c r="J934" s="16">
        <f t="shared" si="254"/>
        <v>0</v>
      </c>
      <c r="K934" s="16">
        <f t="shared" si="261"/>
        <v>0</v>
      </c>
      <c r="L934" s="67">
        <f t="shared" si="262"/>
        <v>0</v>
      </c>
      <c r="M934" s="4">
        <f t="shared" si="255"/>
        <v>0</v>
      </c>
      <c r="N934" s="4">
        <f t="shared" si="256"/>
        <v>0</v>
      </c>
      <c r="O934" s="4">
        <f t="shared" si="263"/>
        <v>0</v>
      </c>
      <c r="P934" s="4" t="e">
        <f>VLOOKUP(AJ926,'CIR Team Info'!$C$5:$E$44,2,FALSE)</f>
        <v>#N/A</v>
      </c>
      <c r="Q934" s="4" t="e">
        <f>VLOOKUP(AJ926,'CIR Team Info'!$C$5:$E$44,3,FALSE)</f>
        <v>#N/A</v>
      </c>
      <c r="R934" s="10" t="e">
        <f>VLOOKUP(AJ926,'FRC Site Data'!$B$3:$L$42,2,FALSE)</f>
        <v>#N/A</v>
      </c>
      <c r="S934" s="10" t="e">
        <f>VLOOKUP(AJ926,'FRC Site Data'!$B$3:$L$42,3,FALSE)</f>
        <v>#N/A</v>
      </c>
      <c r="T934" s="10" t="e">
        <f>VLOOKUP(AJ926,'FRC Site Data'!$B$3:$L$42,4,FALSE)</f>
        <v>#N/A</v>
      </c>
      <c r="U934" s="10" t="e">
        <f>VLOOKUP(AJ926,'FRC Site Data'!$B$3:$L$42,5,FALSE)</f>
        <v>#N/A</v>
      </c>
      <c r="V934" s="10" t="e">
        <f>VLOOKUP(AJ926,'FRC Site Data'!$B$3:$L$42,6,FALSE)</f>
        <v>#N/A</v>
      </c>
      <c r="W934" s="10" t="e">
        <f>VLOOKUP(AJ926,'FRC Site Data'!$B$3:$L$42,8,FALSE)</f>
        <v>#N/A</v>
      </c>
      <c r="X934" s="10" t="e">
        <f>VLOOKUP(AJ926,'FRC Site Data'!$B$3:$L$42,9,FALSE)</f>
        <v>#N/A</v>
      </c>
      <c r="Y934" s="10" t="e">
        <f>VLOOKUP(AJ926,'FRC Site Data'!$B$3:$L$42,10,FALSE)</f>
        <v>#N/A</v>
      </c>
      <c r="Z934" s="10" t="e">
        <f>VLOOKUP(AJ926,'FRC Site Data'!$B$3:$L$42,11,FALSE)</f>
        <v>#N/A</v>
      </c>
      <c r="AA934" s="10" t="e">
        <f>VLOOKUP(AJ926,'CIR Team Info'!$C$5:$E$44,4,FALSE)</f>
        <v>#N/A</v>
      </c>
      <c r="AB934" s="161" t="b">
        <f>ISNUMBER(VLOOKUP(AJ926,Match!$T$5:$T$10,1,FALSE))</f>
        <v>0</v>
      </c>
      <c r="AC934" s="161" t="b">
        <f>IF(AB934=TRUE,(VLOOKUP($AJ926,Match!$T$5:$U$10,2,FALSE)))</f>
        <v>0</v>
      </c>
      <c r="AD934" s="8">
        <v>3</v>
      </c>
      <c r="AE934" s="8">
        <v>2</v>
      </c>
      <c r="AF934" s="8">
        <v>2</v>
      </c>
      <c r="AG934" s="8">
        <v>1</v>
      </c>
      <c r="AH934" s="8" t="str">
        <f t="shared" si="266"/>
        <v/>
      </c>
    </row>
    <row r="935" spans="1:63" x14ac:dyDescent="0.25">
      <c r="A935" s="29">
        <f t="shared" si="257"/>
        <v>0</v>
      </c>
      <c r="B935" s="29">
        <f t="shared" si="251"/>
        <v>0</v>
      </c>
      <c r="C935" s="29">
        <f t="shared" si="252"/>
        <v>0</v>
      </c>
      <c r="D935" s="29">
        <f t="shared" si="253"/>
        <v>0</v>
      </c>
      <c r="E935" s="29">
        <f t="shared" si="258"/>
        <v>0</v>
      </c>
      <c r="F935" s="29">
        <f t="shared" si="259"/>
        <v>0</v>
      </c>
      <c r="G935" s="29" t="str">
        <f t="shared" si="260"/>
        <v>offensive</v>
      </c>
      <c r="H935" s="16">
        <f t="shared" si="264"/>
        <v>0</v>
      </c>
      <c r="I935" s="16">
        <f t="shared" si="265"/>
        <v>0</v>
      </c>
      <c r="J935" s="16">
        <f t="shared" si="254"/>
        <v>0</v>
      </c>
      <c r="K935" s="16">
        <f t="shared" si="261"/>
        <v>0</v>
      </c>
      <c r="L935" s="67">
        <f t="shared" si="262"/>
        <v>0</v>
      </c>
      <c r="M935" s="4">
        <f t="shared" si="255"/>
        <v>0</v>
      </c>
      <c r="N935" s="4">
        <f t="shared" si="256"/>
        <v>0</v>
      </c>
      <c r="O935" s="4">
        <f t="shared" si="263"/>
        <v>0</v>
      </c>
      <c r="P935" s="4" t="e">
        <f>VLOOKUP(AJ927,'CIR Team Info'!$C$5:$E$44,2,FALSE)</f>
        <v>#N/A</v>
      </c>
      <c r="Q935" s="4" t="e">
        <f>VLOOKUP(AJ927,'CIR Team Info'!$C$5:$E$44,3,FALSE)</f>
        <v>#N/A</v>
      </c>
      <c r="R935" s="10" t="e">
        <f>VLOOKUP(AJ927,'FRC Site Data'!$B$3:$L$42,2,FALSE)</f>
        <v>#N/A</v>
      </c>
      <c r="S935" s="10" t="e">
        <f>VLOOKUP(AJ927,'FRC Site Data'!$B$3:$L$42,3,FALSE)</f>
        <v>#N/A</v>
      </c>
      <c r="T935" s="10" t="e">
        <f>VLOOKUP(AJ927,'FRC Site Data'!$B$3:$L$42,4,FALSE)</f>
        <v>#N/A</v>
      </c>
      <c r="U935" s="10" t="e">
        <f>VLOOKUP(AJ927,'FRC Site Data'!$B$3:$L$42,5,FALSE)</f>
        <v>#N/A</v>
      </c>
      <c r="V935" s="10" t="e">
        <f>VLOOKUP(AJ927,'FRC Site Data'!$B$3:$L$42,6,FALSE)</f>
        <v>#N/A</v>
      </c>
      <c r="W935" s="10" t="e">
        <f>VLOOKUP(AJ927,'FRC Site Data'!$B$3:$L$42,8,FALSE)</f>
        <v>#N/A</v>
      </c>
      <c r="X935" s="10" t="e">
        <f>VLOOKUP(AJ927,'FRC Site Data'!$B$3:$L$42,9,FALSE)</f>
        <v>#N/A</v>
      </c>
      <c r="Y935" s="10" t="e">
        <f>VLOOKUP(AJ927,'FRC Site Data'!$B$3:$L$42,10,FALSE)</f>
        <v>#N/A</v>
      </c>
      <c r="Z935" s="10" t="e">
        <f>VLOOKUP(AJ927,'FRC Site Data'!$B$3:$L$42,11,FALSE)</f>
        <v>#N/A</v>
      </c>
      <c r="AA935" s="10" t="e">
        <f>VLOOKUP(AJ927,'CIR Team Info'!$C$5:$E$44,4,FALSE)</f>
        <v>#N/A</v>
      </c>
      <c r="AB935" s="161" t="b">
        <f>ISNUMBER(VLOOKUP(AJ927,Match!$T$5:$T$10,1,FALSE))</f>
        <v>0</v>
      </c>
      <c r="AC935" s="161" t="b">
        <f>IF(AB935=TRUE,(VLOOKUP($AJ927,Match!$T$5:$U$10,2,FALSE)))</f>
        <v>0</v>
      </c>
      <c r="AD935" s="8">
        <v>3</v>
      </c>
      <c r="AE935" s="8">
        <v>2</v>
      </c>
      <c r="AF935" s="8">
        <v>2</v>
      </c>
      <c r="AG935" s="8">
        <v>1</v>
      </c>
      <c r="AH935" s="8" t="str">
        <f t="shared" si="266"/>
        <v/>
      </c>
    </row>
    <row r="936" spans="1:63" x14ac:dyDescent="0.25">
      <c r="A936" s="29">
        <f t="shared" si="257"/>
        <v>0</v>
      </c>
      <c r="B936" s="29">
        <f t="shared" si="251"/>
        <v>0</v>
      </c>
      <c r="C936" s="29">
        <f t="shared" si="252"/>
        <v>0</v>
      </c>
      <c r="D936" s="29">
        <f t="shared" si="253"/>
        <v>0</v>
      </c>
      <c r="E936" s="29">
        <f t="shared" si="258"/>
        <v>0</v>
      </c>
      <c r="F936" s="29">
        <f t="shared" si="259"/>
        <v>0</v>
      </c>
      <c r="G936" s="29" t="str">
        <f t="shared" si="260"/>
        <v>offensive</v>
      </c>
      <c r="H936" s="16">
        <f t="shared" si="264"/>
        <v>0</v>
      </c>
      <c r="I936" s="16">
        <f t="shared" si="265"/>
        <v>0</v>
      </c>
      <c r="J936" s="16">
        <f t="shared" si="254"/>
        <v>0</v>
      </c>
      <c r="K936" s="16">
        <f t="shared" si="261"/>
        <v>0</v>
      </c>
      <c r="L936" s="67">
        <f t="shared" si="262"/>
        <v>0</v>
      </c>
      <c r="M936" s="4">
        <f t="shared" si="255"/>
        <v>0</v>
      </c>
      <c r="N936" s="4">
        <f t="shared" si="256"/>
        <v>0</v>
      </c>
      <c r="O936" s="4">
        <f t="shared" si="263"/>
        <v>0</v>
      </c>
      <c r="P936" s="4" t="e">
        <f>VLOOKUP(AJ928,'CIR Team Info'!$C$5:$E$44,2,FALSE)</f>
        <v>#N/A</v>
      </c>
      <c r="Q936" s="4" t="e">
        <f>VLOOKUP(AJ928,'CIR Team Info'!$C$5:$E$44,3,FALSE)</f>
        <v>#N/A</v>
      </c>
      <c r="R936" s="10" t="e">
        <f>VLOOKUP(AJ928,'FRC Site Data'!$B$3:$L$42,2,FALSE)</f>
        <v>#N/A</v>
      </c>
      <c r="S936" s="10" t="e">
        <f>VLOOKUP(AJ928,'FRC Site Data'!$B$3:$L$42,3,FALSE)</f>
        <v>#N/A</v>
      </c>
      <c r="T936" s="10" t="e">
        <f>VLOOKUP(AJ928,'FRC Site Data'!$B$3:$L$42,4,FALSE)</f>
        <v>#N/A</v>
      </c>
      <c r="U936" s="10" t="e">
        <f>VLOOKUP(AJ928,'FRC Site Data'!$B$3:$L$42,5,FALSE)</f>
        <v>#N/A</v>
      </c>
      <c r="V936" s="10" t="e">
        <f>VLOOKUP(AJ928,'FRC Site Data'!$B$3:$L$42,6,FALSE)</f>
        <v>#N/A</v>
      </c>
      <c r="W936" s="10" t="e">
        <f>VLOOKUP(AJ928,'FRC Site Data'!$B$3:$L$42,8,FALSE)</f>
        <v>#N/A</v>
      </c>
      <c r="X936" s="10" t="e">
        <f>VLOOKUP(AJ928,'FRC Site Data'!$B$3:$L$42,9,FALSE)</f>
        <v>#N/A</v>
      </c>
      <c r="Y936" s="10" t="e">
        <f>VLOOKUP(AJ928,'FRC Site Data'!$B$3:$L$42,10,FALSE)</f>
        <v>#N/A</v>
      </c>
      <c r="Z936" s="10" t="e">
        <f>VLOOKUP(AJ928,'FRC Site Data'!$B$3:$L$42,11,FALSE)</f>
        <v>#N/A</v>
      </c>
      <c r="AA936" s="10" t="e">
        <f>VLOOKUP(AJ928,'CIR Team Info'!$C$5:$E$44,4,FALSE)</f>
        <v>#N/A</v>
      </c>
      <c r="AB936" s="161" t="b">
        <f>ISNUMBER(VLOOKUP(AJ928,Match!$T$5:$T$10,1,FALSE))</f>
        <v>0</v>
      </c>
      <c r="AC936" s="161" t="b">
        <f>IF(AB936=TRUE,(VLOOKUP($AJ928,Match!$T$5:$U$10,2,FALSE)))</f>
        <v>0</v>
      </c>
      <c r="AD936" s="8">
        <v>3</v>
      </c>
      <c r="AE936" s="8">
        <v>2</v>
      </c>
      <c r="AF936" s="8">
        <v>2</v>
      </c>
      <c r="AG936" s="8">
        <v>1</v>
      </c>
      <c r="AH936" s="8" t="str">
        <f t="shared" si="266"/>
        <v/>
      </c>
    </row>
    <row r="937" spans="1:63" x14ac:dyDescent="0.25">
      <c r="A937" s="29">
        <f t="shared" si="257"/>
        <v>0</v>
      </c>
      <c r="B937" s="29">
        <f t="shared" si="251"/>
        <v>0</v>
      </c>
      <c r="C937" s="29">
        <f t="shared" si="252"/>
        <v>0</v>
      </c>
      <c r="D937" s="29">
        <f t="shared" si="253"/>
        <v>0</v>
      </c>
      <c r="E937" s="29">
        <f t="shared" si="258"/>
        <v>0</v>
      </c>
      <c r="F937" s="29">
        <f t="shared" si="259"/>
        <v>0</v>
      </c>
      <c r="G937" s="29" t="str">
        <f t="shared" si="260"/>
        <v>offensive</v>
      </c>
      <c r="H937" s="16">
        <f t="shared" si="264"/>
        <v>0</v>
      </c>
      <c r="I937" s="16">
        <f t="shared" si="265"/>
        <v>0</v>
      </c>
      <c r="J937" s="16">
        <f t="shared" si="254"/>
        <v>0</v>
      </c>
      <c r="K937" s="16">
        <f t="shared" si="261"/>
        <v>0</v>
      </c>
      <c r="L937" s="67">
        <f t="shared" si="262"/>
        <v>0</v>
      </c>
      <c r="M937" s="4">
        <f t="shared" si="255"/>
        <v>0</v>
      </c>
      <c r="N937" s="4">
        <f t="shared" si="256"/>
        <v>0</v>
      </c>
      <c r="O937" s="4">
        <f t="shared" si="263"/>
        <v>0</v>
      </c>
      <c r="P937" s="4" t="e">
        <f>VLOOKUP(AJ929,'CIR Team Info'!$C$5:$E$44,2,FALSE)</f>
        <v>#N/A</v>
      </c>
      <c r="Q937" s="4" t="e">
        <f>VLOOKUP(AJ929,'CIR Team Info'!$C$5:$E$44,3,FALSE)</f>
        <v>#N/A</v>
      </c>
      <c r="R937" s="10" t="e">
        <f>VLOOKUP(AJ929,'FRC Site Data'!$B$3:$L$42,2,FALSE)</f>
        <v>#N/A</v>
      </c>
      <c r="S937" s="10" t="e">
        <f>VLOOKUP(AJ929,'FRC Site Data'!$B$3:$L$42,3,FALSE)</f>
        <v>#N/A</v>
      </c>
      <c r="T937" s="10" t="e">
        <f>VLOOKUP(AJ929,'FRC Site Data'!$B$3:$L$42,4,FALSE)</f>
        <v>#N/A</v>
      </c>
      <c r="U937" s="10" t="e">
        <f>VLOOKUP(AJ929,'FRC Site Data'!$B$3:$L$42,5,FALSE)</f>
        <v>#N/A</v>
      </c>
      <c r="V937" s="10" t="e">
        <f>VLOOKUP(AJ929,'FRC Site Data'!$B$3:$L$42,6,FALSE)</f>
        <v>#N/A</v>
      </c>
      <c r="W937" s="10" t="e">
        <f>VLOOKUP(AJ929,'FRC Site Data'!$B$3:$L$42,8,FALSE)</f>
        <v>#N/A</v>
      </c>
      <c r="X937" s="10" t="e">
        <f>VLOOKUP(AJ929,'FRC Site Data'!$B$3:$L$42,9,FALSE)</f>
        <v>#N/A</v>
      </c>
      <c r="Y937" s="10" t="e">
        <f>VLOOKUP(AJ929,'FRC Site Data'!$B$3:$L$42,10,FALSE)</f>
        <v>#N/A</v>
      </c>
      <c r="Z937" s="10" t="e">
        <f>VLOOKUP(AJ929,'FRC Site Data'!$B$3:$L$42,11,FALSE)</f>
        <v>#N/A</v>
      </c>
      <c r="AA937" s="10" t="e">
        <f>VLOOKUP(AJ929,'CIR Team Info'!$C$5:$E$44,4,FALSE)</f>
        <v>#N/A</v>
      </c>
      <c r="AB937" s="161" t="b">
        <f>ISNUMBER(VLOOKUP(AJ929,Match!$T$5:$T$10,1,FALSE))</f>
        <v>0</v>
      </c>
      <c r="AC937" s="161" t="b">
        <f>IF(AB937=TRUE,(VLOOKUP($AJ929,Match!$T$5:$U$10,2,FALSE)))</f>
        <v>0</v>
      </c>
      <c r="AD937" s="8">
        <v>3</v>
      </c>
      <c r="AE937" s="8">
        <v>2</v>
      </c>
      <c r="AF937" s="8">
        <v>2</v>
      </c>
      <c r="AG937" s="8">
        <v>1</v>
      </c>
      <c r="AH937" s="8" t="str">
        <f t="shared" si="266"/>
        <v/>
      </c>
    </row>
    <row r="938" spans="1:63" x14ac:dyDescent="0.25">
      <c r="A938" s="29">
        <f t="shared" si="257"/>
        <v>0</v>
      </c>
      <c r="B938" s="29">
        <f t="shared" si="251"/>
        <v>0</v>
      </c>
      <c r="C938" s="29">
        <f t="shared" si="252"/>
        <v>0</v>
      </c>
      <c r="D938" s="29">
        <f t="shared" si="253"/>
        <v>0</v>
      </c>
      <c r="E938" s="29">
        <f t="shared" si="258"/>
        <v>0</v>
      </c>
      <c r="F938" s="29">
        <f t="shared" si="259"/>
        <v>0</v>
      </c>
      <c r="G938" s="29" t="str">
        <f t="shared" si="260"/>
        <v>offensive</v>
      </c>
      <c r="H938" s="16">
        <f t="shared" si="264"/>
        <v>0</v>
      </c>
      <c r="I938" s="16">
        <f t="shared" si="265"/>
        <v>0</v>
      </c>
      <c r="J938" s="16">
        <f t="shared" si="254"/>
        <v>0</v>
      </c>
      <c r="K938" s="16">
        <f t="shared" si="261"/>
        <v>0</v>
      </c>
      <c r="L938" s="67">
        <f t="shared" si="262"/>
        <v>0</v>
      </c>
      <c r="M938" s="4">
        <f t="shared" si="255"/>
        <v>0</v>
      </c>
      <c r="N938" s="4">
        <f t="shared" si="256"/>
        <v>0</v>
      </c>
      <c r="O938" s="4">
        <f t="shared" si="263"/>
        <v>0</v>
      </c>
      <c r="P938" s="4" t="e">
        <f>VLOOKUP(AJ930,'CIR Team Info'!$C$5:$E$44,2,FALSE)</f>
        <v>#N/A</v>
      </c>
      <c r="Q938" s="4" t="e">
        <f>VLOOKUP(AJ930,'CIR Team Info'!$C$5:$E$44,3,FALSE)</f>
        <v>#N/A</v>
      </c>
      <c r="R938" s="10" t="e">
        <f>VLOOKUP(AJ930,'FRC Site Data'!$B$3:$L$42,2,FALSE)</f>
        <v>#N/A</v>
      </c>
      <c r="S938" s="10" t="e">
        <f>VLOOKUP(AJ930,'FRC Site Data'!$B$3:$L$42,3,FALSE)</f>
        <v>#N/A</v>
      </c>
      <c r="T938" s="10" t="e">
        <f>VLOOKUP(AJ930,'FRC Site Data'!$B$3:$L$42,4,FALSE)</f>
        <v>#N/A</v>
      </c>
      <c r="U938" s="10" t="e">
        <f>VLOOKUP(AJ930,'FRC Site Data'!$B$3:$L$42,5,FALSE)</f>
        <v>#N/A</v>
      </c>
      <c r="V938" s="10" t="e">
        <f>VLOOKUP(AJ930,'FRC Site Data'!$B$3:$L$42,6,FALSE)</f>
        <v>#N/A</v>
      </c>
      <c r="W938" s="10" t="e">
        <f>VLOOKUP(AJ930,'FRC Site Data'!$B$3:$L$42,8,FALSE)</f>
        <v>#N/A</v>
      </c>
      <c r="X938" s="10" t="e">
        <f>VLOOKUP(AJ930,'FRC Site Data'!$B$3:$L$42,9,FALSE)</f>
        <v>#N/A</v>
      </c>
      <c r="Y938" s="10" t="e">
        <f>VLOOKUP(AJ930,'FRC Site Data'!$B$3:$L$42,10,FALSE)</f>
        <v>#N/A</v>
      </c>
      <c r="Z938" s="10" t="e">
        <f>VLOOKUP(AJ930,'FRC Site Data'!$B$3:$L$42,11,FALSE)</f>
        <v>#N/A</v>
      </c>
      <c r="AA938" s="10" t="e">
        <f>VLOOKUP(AJ930,'CIR Team Info'!$C$5:$E$44,4,FALSE)</f>
        <v>#N/A</v>
      </c>
      <c r="AB938" s="161" t="b">
        <f>ISNUMBER(VLOOKUP(AJ930,Match!$T$5:$T$10,1,FALSE))</f>
        <v>0</v>
      </c>
      <c r="AC938" s="161" t="b">
        <f>IF(AB938=TRUE,(VLOOKUP($AJ930,Match!$T$5:$U$10,2,FALSE)))</f>
        <v>0</v>
      </c>
      <c r="AD938" s="8">
        <v>3</v>
      </c>
      <c r="AE938" s="8">
        <v>2</v>
      </c>
      <c r="AF938" s="8">
        <v>2</v>
      </c>
      <c r="AG938" s="8">
        <v>1</v>
      </c>
      <c r="AH938" s="8" t="str">
        <f t="shared" si="266"/>
        <v/>
      </c>
    </row>
    <row r="939" spans="1:63" x14ac:dyDescent="0.25">
      <c r="A939" s="29">
        <f t="shared" si="257"/>
        <v>0</v>
      </c>
      <c r="B939" s="29">
        <f t="shared" si="251"/>
        <v>0</v>
      </c>
      <c r="C939" s="29">
        <f t="shared" si="252"/>
        <v>0</v>
      </c>
      <c r="D939" s="29">
        <f t="shared" si="253"/>
        <v>0</v>
      </c>
      <c r="E939" s="29">
        <f t="shared" si="258"/>
        <v>0</v>
      </c>
      <c r="F939" s="29">
        <f t="shared" si="259"/>
        <v>0</v>
      </c>
      <c r="G939" s="29" t="str">
        <f t="shared" si="260"/>
        <v>offensive</v>
      </c>
      <c r="H939" s="16">
        <f t="shared" si="264"/>
        <v>0</v>
      </c>
      <c r="I939" s="16">
        <f t="shared" si="265"/>
        <v>0</v>
      </c>
      <c r="J939" s="16">
        <f t="shared" si="254"/>
        <v>0</v>
      </c>
      <c r="K939" s="16">
        <f t="shared" si="261"/>
        <v>0</v>
      </c>
      <c r="L939" s="67">
        <f t="shared" si="262"/>
        <v>0</v>
      </c>
      <c r="M939" s="4">
        <f t="shared" si="255"/>
        <v>0</v>
      </c>
      <c r="N939" s="4">
        <f t="shared" si="256"/>
        <v>0</v>
      </c>
      <c r="O939" s="4">
        <f t="shared" si="263"/>
        <v>0</v>
      </c>
      <c r="P939" s="4" t="e">
        <f>VLOOKUP(AJ931,'CIR Team Info'!$C$5:$E$44,2,FALSE)</f>
        <v>#N/A</v>
      </c>
      <c r="Q939" s="4" t="e">
        <f>VLOOKUP(AJ931,'CIR Team Info'!$C$5:$E$44,3,FALSE)</f>
        <v>#N/A</v>
      </c>
      <c r="R939" s="10" t="e">
        <f>VLOOKUP(AJ931,'FRC Site Data'!$B$3:$L$42,2,FALSE)</f>
        <v>#N/A</v>
      </c>
      <c r="S939" s="10" t="e">
        <f>VLOOKUP(AJ931,'FRC Site Data'!$B$3:$L$42,3,FALSE)</f>
        <v>#N/A</v>
      </c>
      <c r="T939" s="10" t="e">
        <f>VLOOKUP(AJ931,'FRC Site Data'!$B$3:$L$42,4,FALSE)</f>
        <v>#N/A</v>
      </c>
      <c r="U939" s="10" t="e">
        <f>VLOOKUP(AJ931,'FRC Site Data'!$B$3:$L$42,5,FALSE)</f>
        <v>#N/A</v>
      </c>
      <c r="V939" s="10" t="e">
        <f>VLOOKUP(AJ931,'FRC Site Data'!$B$3:$L$42,6,FALSE)</f>
        <v>#N/A</v>
      </c>
      <c r="W939" s="10" t="e">
        <f>VLOOKUP(AJ931,'FRC Site Data'!$B$3:$L$42,8,FALSE)</f>
        <v>#N/A</v>
      </c>
      <c r="X939" s="10" t="e">
        <f>VLOOKUP(AJ931,'FRC Site Data'!$B$3:$L$42,9,FALSE)</f>
        <v>#N/A</v>
      </c>
      <c r="Y939" s="10" t="e">
        <f>VLOOKUP(AJ931,'FRC Site Data'!$B$3:$L$42,10,FALSE)</f>
        <v>#N/A</v>
      </c>
      <c r="Z939" s="10" t="e">
        <f>VLOOKUP(AJ931,'FRC Site Data'!$B$3:$L$42,11,FALSE)</f>
        <v>#N/A</v>
      </c>
      <c r="AA939" s="10" t="e">
        <f>VLOOKUP(AJ931,'CIR Team Info'!$C$5:$E$44,4,FALSE)</f>
        <v>#N/A</v>
      </c>
      <c r="AB939" s="161" t="b">
        <f>ISNUMBER(VLOOKUP(AJ931,Match!$T$5:$T$10,1,FALSE))</f>
        <v>0</v>
      </c>
      <c r="AC939" s="161" t="b">
        <f>IF(AB939=TRUE,(VLOOKUP($AJ931,Match!$T$5:$U$10,2,FALSE)))</f>
        <v>0</v>
      </c>
      <c r="AD939" s="8">
        <v>3</v>
      </c>
      <c r="AE939" s="8">
        <v>2</v>
      </c>
      <c r="AF939" s="8">
        <v>2</v>
      </c>
      <c r="AG939" s="8">
        <v>1</v>
      </c>
      <c r="AH939" s="8" t="str">
        <f t="shared" si="266"/>
        <v/>
      </c>
    </row>
    <row r="940" spans="1:63" x14ac:dyDescent="0.25">
      <c r="A940" s="29">
        <f t="shared" si="257"/>
        <v>0</v>
      </c>
      <c r="B940" s="29">
        <f t="shared" si="251"/>
        <v>0</v>
      </c>
      <c r="C940" s="29">
        <f t="shared" si="252"/>
        <v>0</v>
      </c>
      <c r="D940" s="29">
        <f t="shared" si="253"/>
        <v>0</v>
      </c>
      <c r="E940" s="29">
        <f t="shared" si="258"/>
        <v>0</v>
      </c>
      <c r="F940" s="29">
        <f t="shared" si="259"/>
        <v>0</v>
      </c>
      <c r="G940" s="29" t="str">
        <f t="shared" si="260"/>
        <v>offensive</v>
      </c>
      <c r="H940" s="16">
        <f t="shared" si="264"/>
        <v>0</v>
      </c>
      <c r="I940" s="16">
        <f t="shared" si="265"/>
        <v>0</v>
      </c>
      <c r="J940" s="16">
        <f t="shared" si="254"/>
        <v>0</v>
      </c>
      <c r="K940" s="16">
        <f t="shared" si="261"/>
        <v>0</v>
      </c>
      <c r="L940" s="67">
        <f t="shared" si="262"/>
        <v>0</v>
      </c>
      <c r="M940" s="4">
        <f t="shared" si="255"/>
        <v>0</v>
      </c>
      <c r="N940" s="4">
        <f t="shared" si="256"/>
        <v>0</v>
      </c>
      <c r="O940" s="4">
        <f t="shared" si="263"/>
        <v>0</v>
      </c>
      <c r="P940" s="4" t="e">
        <f>VLOOKUP(AJ932,'CIR Team Info'!$C$5:$E$44,2,FALSE)</f>
        <v>#N/A</v>
      </c>
      <c r="Q940" s="4" t="e">
        <f>VLOOKUP(AJ932,'CIR Team Info'!$C$5:$E$44,3,FALSE)</f>
        <v>#N/A</v>
      </c>
      <c r="R940" s="10" t="e">
        <f>VLOOKUP(AJ932,'FRC Site Data'!$B$3:$L$42,2,FALSE)</f>
        <v>#N/A</v>
      </c>
      <c r="S940" s="10" t="e">
        <f>VLOOKUP(AJ932,'FRC Site Data'!$B$3:$L$42,3,FALSE)</f>
        <v>#N/A</v>
      </c>
      <c r="T940" s="10" t="e">
        <f>VLOOKUP(AJ932,'FRC Site Data'!$B$3:$L$42,4,FALSE)</f>
        <v>#N/A</v>
      </c>
      <c r="U940" s="10" t="e">
        <f>VLOOKUP(AJ932,'FRC Site Data'!$B$3:$L$42,5,FALSE)</f>
        <v>#N/A</v>
      </c>
      <c r="V940" s="10" t="e">
        <f>VLOOKUP(AJ932,'FRC Site Data'!$B$3:$L$42,6,FALSE)</f>
        <v>#N/A</v>
      </c>
      <c r="W940" s="10" t="e">
        <f>VLOOKUP(AJ932,'FRC Site Data'!$B$3:$L$42,8,FALSE)</f>
        <v>#N/A</v>
      </c>
      <c r="X940" s="10" t="e">
        <f>VLOOKUP(AJ932,'FRC Site Data'!$B$3:$L$42,9,FALSE)</f>
        <v>#N/A</v>
      </c>
      <c r="Y940" s="10" t="e">
        <f>VLOOKUP(AJ932,'FRC Site Data'!$B$3:$L$42,10,FALSE)</f>
        <v>#N/A</v>
      </c>
      <c r="Z940" s="10" t="e">
        <f>VLOOKUP(AJ932,'FRC Site Data'!$B$3:$L$42,11,FALSE)</f>
        <v>#N/A</v>
      </c>
      <c r="AA940" s="10" t="e">
        <f>VLOOKUP(AJ932,'CIR Team Info'!$C$5:$E$44,4,FALSE)</f>
        <v>#N/A</v>
      </c>
      <c r="AB940" s="161" t="b">
        <f>ISNUMBER(VLOOKUP(AJ932,Match!$T$5:$T$10,1,FALSE))</f>
        <v>0</v>
      </c>
      <c r="AC940" s="161" t="b">
        <f>IF(AB940=TRUE,(VLOOKUP($AJ932,Match!$T$5:$U$10,2,FALSE)))</f>
        <v>0</v>
      </c>
      <c r="AD940" s="8">
        <v>3</v>
      </c>
      <c r="AE940" s="8">
        <v>2</v>
      </c>
      <c r="AF940" s="8">
        <v>2</v>
      </c>
      <c r="AG940" s="8">
        <v>1</v>
      </c>
      <c r="AH940" s="8" t="str">
        <f t="shared" si="266"/>
        <v/>
      </c>
    </row>
    <row r="941" spans="1:63" x14ac:dyDescent="0.25">
      <c r="A941" s="29">
        <f t="shared" si="257"/>
        <v>0</v>
      </c>
      <c r="B941" s="29">
        <f t="shared" si="251"/>
        <v>0</v>
      </c>
      <c r="C941" s="29">
        <f t="shared" si="252"/>
        <v>0</v>
      </c>
      <c r="D941" s="29">
        <f t="shared" si="253"/>
        <v>0</v>
      </c>
      <c r="E941" s="29">
        <f t="shared" si="258"/>
        <v>0</v>
      </c>
      <c r="F941" s="29">
        <f t="shared" si="259"/>
        <v>0</v>
      </c>
      <c r="G941" s="29" t="str">
        <f t="shared" si="260"/>
        <v>offensive</v>
      </c>
      <c r="H941" s="16">
        <f t="shared" si="264"/>
        <v>0</v>
      </c>
      <c r="I941" s="16">
        <f t="shared" si="265"/>
        <v>0</v>
      </c>
      <c r="J941" s="16">
        <f t="shared" si="254"/>
        <v>0</v>
      </c>
      <c r="K941" s="16">
        <f t="shared" si="261"/>
        <v>0</v>
      </c>
      <c r="L941" s="67">
        <f t="shared" si="262"/>
        <v>0</v>
      </c>
      <c r="M941" s="4">
        <f t="shared" si="255"/>
        <v>0</v>
      </c>
      <c r="N941" s="4">
        <f t="shared" si="256"/>
        <v>0</v>
      </c>
      <c r="O941" s="4">
        <f t="shared" si="263"/>
        <v>0</v>
      </c>
      <c r="P941" s="4" t="e">
        <f>VLOOKUP(AJ933,'CIR Team Info'!$C$5:$E$44,2,FALSE)</f>
        <v>#N/A</v>
      </c>
      <c r="Q941" s="4" t="e">
        <f>VLOOKUP(AJ933,'CIR Team Info'!$C$5:$E$44,3,FALSE)</f>
        <v>#N/A</v>
      </c>
      <c r="R941" s="10" t="e">
        <f>VLOOKUP(AJ933,'FRC Site Data'!$B$3:$L$42,2,FALSE)</f>
        <v>#N/A</v>
      </c>
      <c r="S941" s="10" t="e">
        <f>VLOOKUP(AJ933,'FRC Site Data'!$B$3:$L$42,3,FALSE)</f>
        <v>#N/A</v>
      </c>
      <c r="T941" s="10" t="e">
        <f>VLOOKUP(AJ933,'FRC Site Data'!$B$3:$L$42,4,FALSE)</f>
        <v>#N/A</v>
      </c>
      <c r="U941" s="10" t="e">
        <f>VLOOKUP(AJ933,'FRC Site Data'!$B$3:$L$42,5,FALSE)</f>
        <v>#N/A</v>
      </c>
      <c r="V941" s="10" t="e">
        <f>VLOOKUP(AJ933,'FRC Site Data'!$B$3:$L$42,6,FALSE)</f>
        <v>#N/A</v>
      </c>
      <c r="W941" s="10" t="e">
        <f>VLOOKUP(AJ933,'FRC Site Data'!$B$3:$L$42,8,FALSE)</f>
        <v>#N/A</v>
      </c>
      <c r="X941" s="10" t="e">
        <f>VLOOKUP(AJ933,'FRC Site Data'!$B$3:$L$42,9,FALSE)</f>
        <v>#N/A</v>
      </c>
      <c r="Y941" s="10" t="e">
        <f>VLOOKUP(AJ933,'FRC Site Data'!$B$3:$L$42,10,FALSE)</f>
        <v>#N/A</v>
      </c>
      <c r="Z941" s="10" t="e">
        <f>VLOOKUP(AJ933,'FRC Site Data'!$B$3:$L$42,11,FALSE)</f>
        <v>#N/A</v>
      </c>
      <c r="AA941" s="10" t="e">
        <f>VLOOKUP(AJ933,'CIR Team Info'!$C$5:$E$44,4,FALSE)</f>
        <v>#N/A</v>
      </c>
      <c r="AB941" s="161" t="b">
        <f>ISNUMBER(VLOOKUP(AJ933,Match!$T$5:$T$10,1,FALSE))</f>
        <v>0</v>
      </c>
      <c r="AC941" s="161" t="b">
        <f>IF(AB941=TRUE,(VLOOKUP($AJ933,Match!$T$5:$U$10,2,FALSE)))</f>
        <v>0</v>
      </c>
      <c r="AD941" s="8">
        <v>3</v>
      </c>
      <c r="AE941" s="8">
        <v>2</v>
      </c>
      <c r="AF941" s="8">
        <v>2</v>
      </c>
      <c r="AG941" s="8">
        <v>1</v>
      </c>
      <c r="AH941" s="8" t="str">
        <f t="shared" si="266"/>
        <v/>
      </c>
    </row>
    <row r="942" spans="1:63" s="149" customFormat="1" x14ac:dyDescent="0.25">
      <c r="A942" s="29">
        <f t="shared" ref="A942:A946" si="267">SUM(B942:F942)</f>
        <v>0</v>
      </c>
      <c r="B942" s="29">
        <f t="shared" si="251"/>
        <v>0</v>
      </c>
      <c r="C942" s="29">
        <f t="shared" si="252"/>
        <v>0</v>
      </c>
      <c r="D942" s="29">
        <f t="shared" si="253"/>
        <v>0</v>
      </c>
      <c r="E942" s="29">
        <f t="shared" ref="E942:E946" si="268">K942*O942</f>
        <v>0</v>
      </c>
      <c r="F942" s="29">
        <f t="shared" ref="F942:F946" si="269">IF(AN934&gt;0,5)-2*COUNTIF(AQ934,"K")+5*COUNTIF(AS934,"T")+IF(AX934=3,2)+IF(AY934="T",2)</f>
        <v>0</v>
      </c>
      <c r="G942" s="29" t="str">
        <f t="shared" ref="G942:G946" si="270">IF((BB934+BC934)&gt;45,"defensive",IF((BB934+BC934)&gt;15,"both","offensive"))</f>
        <v>offensive</v>
      </c>
      <c r="H942" s="16">
        <f t="shared" ref="H942:H946" si="271">IF((AO934+AP934)=0,0,AO934/(AO934+AP934))</f>
        <v>0</v>
      </c>
      <c r="I942" s="16">
        <f t="shared" ref="I942:I946" si="272">IF((AV934+AW934)=0,0,AV934/(AV934+AW934))</f>
        <v>0</v>
      </c>
      <c r="J942" s="16">
        <f t="shared" si="254"/>
        <v>0</v>
      </c>
      <c r="K942" s="16">
        <f t="shared" ref="K942:K946" si="273">IF((BB934+BC934)=0,0,((AZ934*BB934*0.2)+(BA934*BC934*0.3))/(BB934+BC934))</f>
        <v>0</v>
      </c>
      <c r="L942" s="67">
        <f t="shared" ref="L942:L946" si="274">IF(BF934&gt;BG934,BF934,BG934)</f>
        <v>0</v>
      </c>
      <c r="M942" s="4">
        <f t="shared" si="255"/>
        <v>0</v>
      </c>
      <c r="N942" s="4">
        <f t="shared" ref="N942:N946" si="275">AO934+AV934+BD934</f>
        <v>0</v>
      </c>
      <c r="O942" s="4">
        <f t="shared" ref="O942:O946" si="276">(AZ934*0.2*BB934*30/30)+(BA934*0.3*BC934*12/30)-BI934-BJ934</f>
        <v>0</v>
      </c>
      <c r="P942" s="4" t="e">
        <f>VLOOKUP(AJ934,'CIR Team Info'!$C$5:$E$44,2,FALSE)</f>
        <v>#N/A</v>
      </c>
      <c r="Q942" s="4" t="e">
        <f>VLOOKUP(AJ934,'CIR Team Info'!$C$5:$E$44,3,FALSE)</f>
        <v>#N/A</v>
      </c>
      <c r="R942" s="10" t="e">
        <f>VLOOKUP(AJ934,'FRC Site Data'!$B$3:$L$42,2,FALSE)</f>
        <v>#N/A</v>
      </c>
      <c r="S942" s="10" t="e">
        <f>VLOOKUP(AJ934,'FRC Site Data'!$B$3:$L$42,3,FALSE)</f>
        <v>#N/A</v>
      </c>
      <c r="T942" s="10" t="e">
        <f>VLOOKUP(AJ934,'FRC Site Data'!$B$3:$L$42,4,FALSE)</f>
        <v>#N/A</v>
      </c>
      <c r="U942" s="10" t="e">
        <f>VLOOKUP(AJ934,'FRC Site Data'!$B$3:$L$42,5,FALSE)</f>
        <v>#N/A</v>
      </c>
      <c r="V942" s="10" t="e">
        <f>VLOOKUP(AJ934,'FRC Site Data'!$B$3:$L$42,6,FALSE)</f>
        <v>#N/A</v>
      </c>
      <c r="W942" s="10" t="e">
        <f>VLOOKUP(AJ934,'FRC Site Data'!$B$3:$L$42,8,FALSE)</f>
        <v>#N/A</v>
      </c>
      <c r="X942" s="10" t="e">
        <f>VLOOKUP(AJ934,'FRC Site Data'!$B$3:$L$42,9,FALSE)</f>
        <v>#N/A</v>
      </c>
      <c r="Y942" s="10" t="e">
        <f>VLOOKUP(AJ934,'FRC Site Data'!$B$3:$L$42,10,FALSE)</f>
        <v>#N/A</v>
      </c>
      <c r="Z942" s="10" t="e">
        <f>VLOOKUP(AJ934,'FRC Site Data'!$B$3:$L$42,11,FALSE)</f>
        <v>#N/A</v>
      </c>
      <c r="AA942" s="10" t="e">
        <f>VLOOKUP(AJ934,'CIR Team Info'!$C$5:$E$44,4,FALSE)</f>
        <v>#N/A</v>
      </c>
      <c r="AB942" s="161" t="b">
        <f>ISNUMBER(VLOOKUP(AJ934,Match!$T$5:$T$10,1,FALSE))</f>
        <v>0</v>
      </c>
      <c r="AC942" s="161" t="b">
        <f>IF(AB942=TRUE,(VLOOKUP($AJ934,Match!$T$5:$U$10,2,FALSE)))</f>
        <v>0</v>
      </c>
      <c r="AD942" s="8">
        <v>4</v>
      </c>
      <c r="AE942" s="8">
        <v>3</v>
      </c>
      <c r="AF942" s="8">
        <v>3</v>
      </c>
      <c r="AG942" s="8">
        <v>2</v>
      </c>
      <c r="AH942" s="8" t="str">
        <f t="shared" ref="AH942:AH946" si="277">IF(AL934="Other","x","")</f>
        <v/>
      </c>
      <c r="AI942" s="13"/>
      <c r="AJ942" s="12"/>
      <c r="AK942" s="12"/>
      <c r="AL942" s="12"/>
      <c r="AM942" s="12"/>
      <c r="AN942" s="12"/>
      <c r="AO942" s="12"/>
      <c r="AP942" s="12"/>
      <c r="AQ942" s="12"/>
      <c r="AR942" s="12"/>
      <c r="AS942" s="12"/>
      <c r="AT942" s="12"/>
      <c r="AU942" s="12"/>
      <c r="AV942" s="12"/>
      <c r="AW942" s="12"/>
      <c r="AX942" s="12"/>
      <c r="AY942" s="12"/>
      <c r="AZ942" s="24"/>
      <c r="BA942" s="12"/>
      <c r="BB942" s="12"/>
      <c r="BC942" s="24"/>
      <c r="BD942" s="12"/>
      <c r="BE942" s="12"/>
      <c r="BF942" s="12"/>
      <c r="BG942" s="12"/>
      <c r="BH942" s="12"/>
      <c r="BI942" s="12"/>
      <c r="BJ942" s="12"/>
      <c r="BK942" s="1"/>
    </row>
    <row r="943" spans="1:63" s="149" customFormat="1" x14ac:dyDescent="0.25">
      <c r="A943" s="29">
        <f t="shared" si="267"/>
        <v>0</v>
      </c>
      <c r="B943" s="29">
        <f t="shared" si="251"/>
        <v>0</v>
      </c>
      <c r="C943" s="29">
        <f t="shared" si="252"/>
        <v>0</v>
      </c>
      <c r="D943" s="29">
        <f t="shared" si="253"/>
        <v>0</v>
      </c>
      <c r="E943" s="29">
        <f t="shared" si="268"/>
        <v>0</v>
      </c>
      <c r="F943" s="29">
        <f t="shared" si="269"/>
        <v>0</v>
      </c>
      <c r="G943" s="29" t="str">
        <f t="shared" si="270"/>
        <v>offensive</v>
      </c>
      <c r="H943" s="16">
        <f t="shared" si="271"/>
        <v>0</v>
      </c>
      <c r="I943" s="16">
        <f t="shared" si="272"/>
        <v>0</v>
      </c>
      <c r="J943" s="16">
        <f t="shared" si="254"/>
        <v>0</v>
      </c>
      <c r="K943" s="16">
        <f t="shared" si="273"/>
        <v>0</v>
      </c>
      <c r="L943" s="67">
        <f t="shared" si="274"/>
        <v>0</v>
      </c>
      <c r="M943" s="4">
        <f t="shared" si="255"/>
        <v>0</v>
      </c>
      <c r="N943" s="4">
        <f t="shared" si="275"/>
        <v>0</v>
      </c>
      <c r="O943" s="4">
        <f t="shared" si="276"/>
        <v>0</v>
      </c>
      <c r="P943" s="4" t="e">
        <f>VLOOKUP(AJ935,'CIR Team Info'!$C$5:$E$44,2,FALSE)</f>
        <v>#N/A</v>
      </c>
      <c r="Q943" s="4" t="e">
        <f>VLOOKUP(AJ935,'CIR Team Info'!$C$5:$E$44,3,FALSE)</f>
        <v>#N/A</v>
      </c>
      <c r="R943" s="10" t="e">
        <f>VLOOKUP(AJ935,'FRC Site Data'!$B$3:$L$42,2,FALSE)</f>
        <v>#N/A</v>
      </c>
      <c r="S943" s="10" t="e">
        <f>VLOOKUP(AJ935,'FRC Site Data'!$B$3:$L$42,3,FALSE)</f>
        <v>#N/A</v>
      </c>
      <c r="T943" s="10" t="e">
        <f>VLOOKUP(AJ935,'FRC Site Data'!$B$3:$L$42,4,FALSE)</f>
        <v>#N/A</v>
      </c>
      <c r="U943" s="10" t="e">
        <f>VLOOKUP(AJ935,'FRC Site Data'!$B$3:$L$42,5,FALSE)</f>
        <v>#N/A</v>
      </c>
      <c r="V943" s="10" t="e">
        <f>VLOOKUP(AJ935,'FRC Site Data'!$B$3:$L$42,6,FALSE)</f>
        <v>#N/A</v>
      </c>
      <c r="W943" s="10" t="e">
        <f>VLOOKUP(AJ935,'FRC Site Data'!$B$3:$L$42,8,FALSE)</f>
        <v>#N/A</v>
      </c>
      <c r="X943" s="10" t="e">
        <f>VLOOKUP(AJ935,'FRC Site Data'!$B$3:$L$42,9,FALSE)</f>
        <v>#N/A</v>
      </c>
      <c r="Y943" s="10" t="e">
        <f>VLOOKUP(AJ935,'FRC Site Data'!$B$3:$L$42,10,FALSE)</f>
        <v>#N/A</v>
      </c>
      <c r="Z943" s="10" t="e">
        <f>VLOOKUP(AJ935,'FRC Site Data'!$B$3:$L$42,11,FALSE)</f>
        <v>#N/A</v>
      </c>
      <c r="AA943" s="10" t="e">
        <f>VLOOKUP(AJ935,'CIR Team Info'!$C$5:$E$44,4,FALSE)</f>
        <v>#N/A</v>
      </c>
      <c r="AB943" s="161" t="b">
        <f>ISNUMBER(VLOOKUP(AJ935,Match!$T$5:$T$10,1,FALSE))</f>
        <v>0</v>
      </c>
      <c r="AC943" s="161" t="b">
        <f>IF(AB943=TRUE,(VLOOKUP($AJ935,Match!$T$5:$U$10,2,FALSE)))</f>
        <v>0</v>
      </c>
      <c r="AD943" s="8">
        <v>5</v>
      </c>
      <c r="AE943" s="8">
        <v>4</v>
      </c>
      <c r="AF943" s="8">
        <v>4</v>
      </c>
      <c r="AG943" s="8">
        <v>3</v>
      </c>
      <c r="AH943" s="8" t="str">
        <f t="shared" si="277"/>
        <v/>
      </c>
      <c r="AI943" s="13"/>
      <c r="AJ943" s="12"/>
      <c r="AK943" s="12"/>
      <c r="AL943" s="12"/>
      <c r="AM943" s="12"/>
      <c r="AN943" s="12"/>
      <c r="AO943" s="12"/>
      <c r="AP943" s="12"/>
      <c r="AQ943" s="12"/>
      <c r="AR943" s="12"/>
      <c r="AS943" s="12"/>
      <c r="AT943" s="12"/>
      <c r="AU943" s="12"/>
      <c r="AV943" s="12"/>
      <c r="AW943" s="12"/>
      <c r="AX943" s="12"/>
      <c r="AY943" s="12"/>
      <c r="AZ943" s="24"/>
      <c r="BA943" s="12"/>
      <c r="BB943" s="12"/>
      <c r="BC943" s="24"/>
      <c r="BD943" s="12"/>
      <c r="BE943" s="12"/>
      <c r="BF943" s="12"/>
      <c r="BG943" s="12"/>
      <c r="BH943" s="12"/>
      <c r="BI943" s="12"/>
      <c r="BJ943" s="12"/>
      <c r="BK943" s="1"/>
    </row>
    <row r="944" spans="1:63" s="149" customFormat="1" x14ac:dyDescent="0.25">
      <c r="A944" s="29">
        <f t="shared" si="267"/>
        <v>0</v>
      </c>
      <c r="B944" s="29">
        <f t="shared" si="251"/>
        <v>0</v>
      </c>
      <c r="C944" s="29">
        <f t="shared" si="252"/>
        <v>0</v>
      </c>
      <c r="D944" s="29">
        <f t="shared" si="253"/>
        <v>0</v>
      </c>
      <c r="E944" s="29">
        <f t="shared" si="268"/>
        <v>0</v>
      </c>
      <c r="F944" s="29">
        <f t="shared" si="269"/>
        <v>0</v>
      </c>
      <c r="G944" s="29" t="str">
        <f t="shared" si="270"/>
        <v>offensive</v>
      </c>
      <c r="H944" s="16">
        <f t="shared" si="271"/>
        <v>0</v>
      </c>
      <c r="I944" s="16">
        <f t="shared" si="272"/>
        <v>0</v>
      </c>
      <c r="J944" s="16">
        <f t="shared" si="254"/>
        <v>0</v>
      </c>
      <c r="K944" s="16">
        <f t="shared" si="273"/>
        <v>0</v>
      </c>
      <c r="L944" s="67">
        <f t="shared" si="274"/>
        <v>0</v>
      </c>
      <c r="M944" s="4">
        <f t="shared" si="255"/>
        <v>0</v>
      </c>
      <c r="N944" s="4">
        <f t="shared" si="275"/>
        <v>0</v>
      </c>
      <c r="O944" s="4">
        <f t="shared" si="276"/>
        <v>0</v>
      </c>
      <c r="P944" s="4" t="e">
        <f>VLOOKUP(AJ936,'CIR Team Info'!$C$5:$E$44,2,FALSE)</f>
        <v>#N/A</v>
      </c>
      <c r="Q944" s="4" t="e">
        <f>VLOOKUP(AJ936,'CIR Team Info'!$C$5:$E$44,3,FALSE)</f>
        <v>#N/A</v>
      </c>
      <c r="R944" s="10" t="e">
        <f>VLOOKUP(AJ936,'FRC Site Data'!$B$3:$L$42,2,FALSE)</f>
        <v>#N/A</v>
      </c>
      <c r="S944" s="10" t="e">
        <f>VLOOKUP(AJ936,'FRC Site Data'!$B$3:$L$42,3,FALSE)</f>
        <v>#N/A</v>
      </c>
      <c r="T944" s="10" t="e">
        <f>VLOOKUP(AJ936,'FRC Site Data'!$B$3:$L$42,4,FALSE)</f>
        <v>#N/A</v>
      </c>
      <c r="U944" s="10" t="e">
        <f>VLOOKUP(AJ936,'FRC Site Data'!$B$3:$L$42,5,FALSE)</f>
        <v>#N/A</v>
      </c>
      <c r="V944" s="10" t="e">
        <f>VLOOKUP(AJ936,'FRC Site Data'!$B$3:$L$42,6,FALSE)</f>
        <v>#N/A</v>
      </c>
      <c r="W944" s="10" t="e">
        <f>VLOOKUP(AJ936,'FRC Site Data'!$B$3:$L$42,8,FALSE)</f>
        <v>#N/A</v>
      </c>
      <c r="X944" s="10" t="e">
        <f>VLOOKUP(AJ936,'FRC Site Data'!$B$3:$L$42,9,FALSE)</f>
        <v>#N/A</v>
      </c>
      <c r="Y944" s="10" t="e">
        <f>VLOOKUP(AJ936,'FRC Site Data'!$B$3:$L$42,10,FALSE)</f>
        <v>#N/A</v>
      </c>
      <c r="Z944" s="10" t="e">
        <f>VLOOKUP(AJ936,'FRC Site Data'!$B$3:$L$42,11,FALSE)</f>
        <v>#N/A</v>
      </c>
      <c r="AA944" s="10" t="e">
        <f>VLOOKUP(AJ936,'CIR Team Info'!$C$5:$E$44,4,FALSE)</f>
        <v>#N/A</v>
      </c>
      <c r="AB944" s="161" t="b">
        <f>ISNUMBER(VLOOKUP(AJ936,Match!$T$5:$T$10,1,FALSE))</f>
        <v>0</v>
      </c>
      <c r="AC944" s="161" t="b">
        <f>IF(AB944=TRUE,(VLOOKUP($AJ936,Match!$T$5:$U$10,2,FALSE)))</f>
        <v>0</v>
      </c>
      <c r="AD944" s="8">
        <v>6</v>
      </c>
      <c r="AE944" s="8">
        <v>5</v>
      </c>
      <c r="AF944" s="8">
        <v>5</v>
      </c>
      <c r="AG944" s="8">
        <v>4</v>
      </c>
      <c r="AH944" s="8" t="str">
        <f t="shared" si="277"/>
        <v/>
      </c>
      <c r="AI944" s="13"/>
      <c r="AJ944" s="12"/>
      <c r="AK944" s="12"/>
      <c r="AL944" s="12"/>
      <c r="AM944" s="12"/>
      <c r="AN944" s="12"/>
      <c r="AO944" s="12"/>
      <c r="AP944" s="12"/>
      <c r="AQ944" s="12"/>
      <c r="AR944" s="12"/>
      <c r="AS944" s="12"/>
      <c r="AT944" s="12"/>
      <c r="AU944" s="12"/>
      <c r="AV944" s="12"/>
      <c r="AW944" s="12"/>
      <c r="AX944" s="12"/>
      <c r="AY944" s="12"/>
      <c r="AZ944" s="24"/>
      <c r="BA944" s="12"/>
      <c r="BB944" s="12"/>
      <c r="BC944" s="24"/>
      <c r="BD944" s="12"/>
      <c r="BE944" s="12"/>
      <c r="BF944" s="12"/>
      <c r="BG944" s="12"/>
      <c r="BH944" s="12"/>
      <c r="BI944" s="12"/>
      <c r="BJ944" s="12"/>
      <c r="BK944" s="1"/>
    </row>
    <row r="945" spans="1:63" s="149" customFormat="1" x14ac:dyDescent="0.25">
      <c r="A945" s="29">
        <f t="shared" si="267"/>
        <v>0</v>
      </c>
      <c r="B945" s="29">
        <f t="shared" si="251"/>
        <v>0</v>
      </c>
      <c r="C945" s="29">
        <f t="shared" si="252"/>
        <v>0</v>
      </c>
      <c r="D945" s="29">
        <f t="shared" si="253"/>
        <v>0</v>
      </c>
      <c r="E945" s="29">
        <f t="shared" si="268"/>
        <v>0</v>
      </c>
      <c r="F945" s="29">
        <f t="shared" si="269"/>
        <v>0</v>
      </c>
      <c r="G945" s="29" t="str">
        <f t="shared" si="270"/>
        <v>offensive</v>
      </c>
      <c r="H945" s="16">
        <f t="shared" si="271"/>
        <v>0</v>
      </c>
      <c r="I945" s="16">
        <f t="shared" si="272"/>
        <v>0</v>
      </c>
      <c r="J945" s="16">
        <f t="shared" si="254"/>
        <v>0</v>
      </c>
      <c r="K945" s="16">
        <f t="shared" si="273"/>
        <v>0</v>
      </c>
      <c r="L945" s="67">
        <f t="shared" si="274"/>
        <v>0</v>
      </c>
      <c r="M945" s="4">
        <f t="shared" si="255"/>
        <v>0</v>
      </c>
      <c r="N945" s="4">
        <f t="shared" si="275"/>
        <v>0</v>
      </c>
      <c r="O945" s="4">
        <f t="shared" si="276"/>
        <v>0</v>
      </c>
      <c r="P945" s="4" t="e">
        <f>VLOOKUP(AJ937,'CIR Team Info'!$C$5:$E$44,2,FALSE)</f>
        <v>#N/A</v>
      </c>
      <c r="Q945" s="4" t="e">
        <f>VLOOKUP(AJ937,'CIR Team Info'!$C$5:$E$44,3,FALSE)</f>
        <v>#N/A</v>
      </c>
      <c r="R945" s="10" t="e">
        <f>VLOOKUP(AJ937,'FRC Site Data'!$B$3:$L$42,2,FALSE)</f>
        <v>#N/A</v>
      </c>
      <c r="S945" s="10" t="e">
        <f>VLOOKUP(AJ937,'FRC Site Data'!$B$3:$L$42,3,FALSE)</f>
        <v>#N/A</v>
      </c>
      <c r="T945" s="10" t="e">
        <f>VLOOKUP(AJ937,'FRC Site Data'!$B$3:$L$42,4,FALSE)</f>
        <v>#N/A</v>
      </c>
      <c r="U945" s="10" t="e">
        <f>VLOOKUP(AJ937,'FRC Site Data'!$B$3:$L$42,5,FALSE)</f>
        <v>#N/A</v>
      </c>
      <c r="V945" s="10" t="e">
        <f>VLOOKUP(AJ937,'FRC Site Data'!$B$3:$L$42,6,FALSE)</f>
        <v>#N/A</v>
      </c>
      <c r="W945" s="10" t="e">
        <f>VLOOKUP(AJ937,'FRC Site Data'!$B$3:$L$42,8,FALSE)</f>
        <v>#N/A</v>
      </c>
      <c r="X945" s="10" t="e">
        <f>VLOOKUP(AJ937,'FRC Site Data'!$B$3:$L$42,9,FALSE)</f>
        <v>#N/A</v>
      </c>
      <c r="Y945" s="10" t="e">
        <f>VLOOKUP(AJ937,'FRC Site Data'!$B$3:$L$42,10,FALSE)</f>
        <v>#N/A</v>
      </c>
      <c r="Z945" s="10" t="e">
        <f>VLOOKUP(AJ937,'FRC Site Data'!$B$3:$L$42,11,FALSE)</f>
        <v>#N/A</v>
      </c>
      <c r="AA945" s="10" t="e">
        <f>VLOOKUP(AJ937,'CIR Team Info'!$C$5:$E$44,4,FALSE)</f>
        <v>#N/A</v>
      </c>
      <c r="AB945" s="161" t="b">
        <f>ISNUMBER(VLOOKUP(AJ937,Match!$T$5:$T$10,1,FALSE))</f>
        <v>0</v>
      </c>
      <c r="AC945" s="161" t="b">
        <f>IF(AB945=TRUE,(VLOOKUP($AJ937,Match!$T$5:$U$10,2,FALSE)))</f>
        <v>0</v>
      </c>
      <c r="AD945" s="8">
        <v>7</v>
      </c>
      <c r="AE945" s="8">
        <v>6</v>
      </c>
      <c r="AF945" s="8">
        <v>6</v>
      </c>
      <c r="AG945" s="8">
        <v>5</v>
      </c>
      <c r="AH945" s="8" t="str">
        <f t="shared" si="277"/>
        <v/>
      </c>
      <c r="AI945" s="13"/>
      <c r="AJ945" s="12"/>
      <c r="AK945" s="12"/>
      <c r="AL945" s="12"/>
      <c r="AM945" s="12"/>
      <c r="AN945" s="12"/>
      <c r="AO945" s="12"/>
      <c r="AP945" s="12"/>
      <c r="AQ945" s="12"/>
      <c r="AR945" s="12"/>
      <c r="AS945" s="12"/>
      <c r="AT945" s="12"/>
      <c r="AU945" s="12"/>
      <c r="AV945" s="12"/>
      <c r="AW945" s="12"/>
      <c r="AX945" s="12"/>
      <c r="AY945" s="12"/>
      <c r="AZ945" s="24"/>
      <c r="BA945" s="12"/>
      <c r="BB945" s="12"/>
      <c r="BC945" s="24"/>
      <c r="BD945" s="12"/>
      <c r="BE945" s="12"/>
      <c r="BF945" s="12"/>
      <c r="BG945" s="12"/>
      <c r="BH945" s="12"/>
      <c r="BI945" s="12"/>
      <c r="BJ945" s="12"/>
      <c r="BK945" s="1"/>
    </row>
    <row r="946" spans="1:63" s="149" customFormat="1" x14ac:dyDescent="0.25">
      <c r="A946" s="29">
        <f t="shared" si="267"/>
        <v>0</v>
      </c>
      <c r="B946" s="29">
        <f t="shared" si="251"/>
        <v>0</v>
      </c>
      <c r="C946" s="29">
        <f t="shared" si="252"/>
        <v>0</v>
      </c>
      <c r="D946" s="29">
        <f t="shared" si="253"/>
        <v>0</v>
      </c>
      <c r="E946" s="29">
        <f t="shared" si="268"/>
        <v>0</v>
      </c>
      <c r="F946" s="29">
        <f t="shared" si="269"/>
        <v>0</v>
      </c>
      <c r="G946" s="29" t="str">
        <f t="shared" si="270"/>
        <v>offensive</v>
      </c>
      <c r="H946" s="16">
        <f t="shared" si="271"/>
        <v>0</v>
      </c>
      <c r="I946" s="16">
        <f t="shared" si="272"/>
        <v>0</v>
      </c>
      <c r="J946" s="16">
        <f t="shared" si="254"/>
        <v>0</v>
      </c>
      <c r="K946" s="16">
        <f t="shared" si="273"/>
        <v>0</v>
      </c>
      <c r="L946" s="67">
        <f t="shared" si="274"/>
        <v>0</v>
      </c>
      <c r="M946" s="4">
        <f t="shared" si="255"/>
        <v>0</v>
      </c>
      <c r="N946" s="4">
        <f t="shared" si="275"/>
        <v>0</v>
      </c>
      <c r="O946" s="4">
        <f t="shared" si="276"/>
        <v>0</v>
      </c>
      <c r="P946" s="4" t="e">
        <f>VLOOKUP(AJ938,'CIR Team Info'!$C$5:$E$44,2,FALSE)</f>
        <v>#N/A</v>
      </c>
      <c r="Q946" s="4" t="e">
        <f>VLOOKUP(AJ938,'CIR Team Info'!$C$5:$E$44,3,FALSE)</f>
        <v>#N/A</v>
      </c>
      <c r="R946" s="10" t="e">
        <f>VLOOKUP(AJ938,'FRC Site Data'!$B$3:$L$42,2,FALSE)</f>
        <v>#N/A</v>
      </c>
      <c r="S946" s="10" t="e">
        <f>VLOOKUP(AJ938,'FRC Site Data'!$B$3:$L$42,3,FALSE)</f>
        <v>#N/A</v>
      </c>
      <c r="T946" s="10" t="e">
        <f>VLOOKUP(AJ938,'FRC Site Data'!$B$3:$L$42,4,FALSE)</f>
        <v>#N/A</v>
      </c>
      <c r="U946" s="10" t="e">
        <f>VLOOKUP(AJ938,'FRC Site Data'!$B$3:$L$42,5,FALSE)</f>
        <v>#N/A</v>
      </c>
      <c r="V946" s="10" t="e">
        <f>VLOOKUP(AJ938,'FRC Site Data'!$B$3:$L$42,6,FALSE)</f>
        <v>#N/A</v>
      </c>
      <c r="W946" s="10" t="e">
        <f>VLOOKUP(AJ938,'FRC Site Data'!$B$3:$L$42,8,FALSE)</f>
        <v>#N/A</v>
      </c>
      <c r="X946" s="10" t="e">
        <f>VLOOKUP(AJ938,'FRC Site Data'!$B$3:$L$42,9,FALSE)</f>
        <v>#N/A</v>
      </c>
      <c r="Y946" s="10" t="e">
        <f>VLOOKUP(AJ938,'FRC Site Data'!$B$3:$L$42,10,FALSE)</f>
        <v>#N/A</v>
      </c>
      <c r="Z946" s="10" t="e">
        <f>VLOOKUP(AJ938,'FRC Site Data'!$B$3:$L$42,11,FALSE)</f>
        <v>#N/A</v>
      </c>
      <c r="AA946" s="10" t="e">
        <f>VLOOKUP(AJ938,'CIR Team Info'!$C$5:$E$44,4,FALSE)</f>
        <v>#N/A</v>
      </c>
      <c r="AB946" s="161" t="b">
        <f>ISNUMBER(VLOOKUP(AJ938,Match!$T$5:$T$10,1,FALSE))</f>
        <v>0</v>
      </c>
      <c r="AC946" s="161" t="b">
        <f>IF(AB946=TRUE,(VLOOKUP($AJ938,Match!$T$5:$U$10,2,FALSE)))</f>
        <v>0</v>
      </c>
      <c r="AD946" s="8">
        <v>8</v>
      </c>
      <c r="AE946" s="8">
        <v>7</v>
      </c>
      <c r="AF946" s="8">
        <v>7</v>
      </c>
      <c r="AG946" s="8">
        <v>6</v>
      </c>
      <c r="AH946" s="8" t="str">
        <f t="shared" si="277"/>
        <v/>
      </c>
      <c r="AI946" s="13"/>
      <c r="AJ946" s="12"/>
      <c r="AK946" s="12"/>
      <c r="AL946" s="12"/>
      <c r="AM946" s="12"/>
      <c r="AN946" s="12"/>
      <c r="AO946" s="12"/>
      <c r="AP946" s="12"/>
      <c r="AQ946" s="12"/>
      <c r="AR946" s="12"/>
      <c r="AS946" s="12"/>
      <c r="AT946" s="12"/>
      <c r="AU946" s="12"/>
      <c r="AV946" s="12"/>
      <c r="AW946" s="12"/>
      <c r="AX946" s="12"/>
      <c r="AY946" s="12"/>
      <c r="AZ946" s="24"/>
      <c r="BA946" s="12"/>
      <c r="BB946" s="12"/>
      <c r="BC946" s="24"/>
      <c r="BD946" s="12"/>
      <c r="BE946" s="12"/>
      <c r="BF946" s="12"/>
      <c r="BG946" s="12"/>
      <c r="BH946" s="12"/>
      <c r="BI946" s="12"/>
      <c r="BJ946" s="12"/>
      <c r="BK946" s="1"/>
    </row>
  </sheetData>
  <phoneticPr fontId="7"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2" r:id="rId4" name="Button 6">
              <controlPr defaultSize="0" print="0" autoFill="0" autoPict="0" macro="[0]!Match_Scout_paste">
                <anchor moveWithCells="1" sizeWithCells="1">
                  <from>
                    <xdr:col>34</xdr:col>
                    <xdr:colOff>171450</xdr:colOff>
                    <xdr:row>0</xdr:row>
                    <xdr:rowOff>104775</xdr:rowOff>
                  </from>
                  <to>
                    <xdr:col>34</xdr:col>
                    <xdr:colOff>1104900</xdr:colOff>
                    <xdr:row>0</xdr:row>
                    <xdr:rowOff>238125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indexed="11"/>
  </sheetPr>
  <dimension ref="A1:BS948"/>
  <sheetViews>
    <sheetView tabSelected="1" topLeftCell="AR1" zoomScaleNormal="100" workbookViewId="0">
      <pane ySplit="1" topLeftCell="A2" activePane="bottomLeft" state="frozen"/>
      <selection pane="bottomLeft" activeCell="BA7" sqref="BA7"/>
    </sheetView>
  </sheetViews>
  <sheetFormatPr defaultRowHeight="15" x14ac:dyDescent="0.25"/>
  <cols>
    <col min="1" max="1" width="9.85546875" style="29" customWidth="1"/>
    <col min="2" max="2" width="13" style="29" customWidth="1"/>
    <col min="3" max="7" width="10.42578125" style="29" customWidth="1"/>
    <col min="8" max="8" width="13.140625" style="16" customWidth="1"/>
    <col min="9" max="11" width="10.5703125" style="16" customWidth="1"/>
    <col min="12" max="12" width="10.5703125" style="67" customWidth="1"/>
    <col min="13" max="14" width="10.5703125" style="17" customWidth="1"/>
    <col min="15" max="15" width="18.140625" style="4" customWidth="1"/>
    <col min="16" max="16" width="18.5703125" style="4" customWidth="1"/>
    <col min="17" max="17" width="7.140625" style="4" customWidth="1"/>
    <col min="18" max="24" width="6.85546875" style="10" customWidth="1"/>
    <col min="25" max="25" width="10.28515625" style="10" customWidth="1"/>
    <col min="26" max="26" width="7.85546875" style="10" customWidth="1"/>
    <col min="27" max="27" width="7.85546875" style="163" customWidth="1"/>
    <col min="28" max="29" width="11.85546875" style="161" customWidth="1"/>
    <col min="30" max="30" width="13.140625" style="8" customWidth="1"/>
    <col min="31" max="33" width="10.5703125" style="8" customWidth="1"/>
    <col min="34" max="34" width="7.28515625" style="8" customWidth="1"/>
    <col min="35" max="35" width="18" style="13" customWidth="1"/>
    <col min="36" max="37" width="12.28515625" style="12" customWidth="1"/>
    <col min="38" max="38" width="15.5703125" style="12" customWidth="1"/>
    <col min="39" max="47" width="12.28515625" style="12" customWidth="1"/>
    <col min="48" max="48" width="13.28515625" style="12" customWidth="1"/>
    <col min="49" max="49" width="14" style="12" customWidth="1"/>
    <col min="50" max="50" width="12.28515625" style="12" customWidth="1"/>
    <col min="51" max="51" width="14.42578125" style="12" customWidth="1"/>
    <col min="52" max="52" width="13.140625" style="24" customWidth="1"/>
    <col min="53" max="53" width="14.7109375" style="12" customWidth="1"/>
    <col min="54" max="54" width="12.28515625" style="12" customWidth="1"/>
    <col min="55" max="55" width="13.5703125" style="24" customWidth="1"/>
    <col min="56" max="56" width="14.140625" style="12" customWidth="1"/>
    <col min="57" max="57" width="14.28515625" style="12" customWidth="1"/>
    <col min="58" max="58" width="9.140625" style="12"/>
    <col min="59" max="59" width="11.85546875" style="12" customWidth="1"/>
    <col min="60" max="60" width="12.28515625" style="12" customWidth="1"/>
    <col min="61" max="61" width="9.140625" style="12"/>
    <col min="62" max="62" width="11.85546875" style="12" customWidth="1"/>
    <col min="63" max="63" width="56" style="1" customWidth="1"/>
    <col min="64" max="76" width="12.28515625" style="191" customWidth="1"/>
    <col min="77" max="16384" width="9.140625" style="191"/>
  </cols>
  <sheetData>
    <row r="1" spans="1:71" s="2" customFormat="1" ht="33" customHeight="1" x14ac:dyDescent="0.25">
      <c r="A1" s="28" t="s">
        <v>11</v>
      </c>
      <c r="B1" s="28" t="s">
        <v>8</v>
      </c>
      <c r="C1" s="28" t="s">
        <v>9</v>
      </c>
      <c r="D1" s="28" t="s">
        <v>31</v>
      </c>
      <c r="E1" s="28" t="s">
        <v>10</v>
      </c>
      <c r="F1" s="28" t="s">
        <v>78</v>
      </c>
      <c r="G1" s="28" t="s">
        <v>103</v>
      </c>
      <c r="H1" s="15" t="s">
        <v>32</v>
      </c>
      <c r="I1" s="15" t="s">
        <v>33</v>
      </c>
      <c r="J1" s="15" t="s">
        <v>34</v>
      </c>
      <c r="K1" s="15" t="s">
        <v>35</v>
      </c>
      <c r="L1" s="66" t="s">
        <v>77</v>
      </c>
      <c r="M1" s="18" t="s">
        <v>37</v>
      </c>
      <c r="N1" s="18" t="s">
        <v>38</v>
      </c>
      <c r="O1" s="3" t="s">
        <v>15</v>
      </c>
      <c r="P1" s="3" t="s">
        <v>16</v>
      </c>
      <c r="Q1" s="3" t="s">
        <v>4</v>
      </c>
      <c r="R1" s="9" t="str">
        <f>'FRC Site Data'!C2</f>
        <v>QS</v>
      </c>
      <c r="S1" s="9" t="str">
        <f>'FRC Site Data'!D2</f>
        <v>AP</v>
      </c>
      <c r="T1" s="9" t="str">
        <f>'FRC Site Data'!E2</f>
        <v>CP</v>
      </c>
      <c r="U1" s="9" t="str">
        <f>'FRC Site Data'!F2</f>
        <v>TP</v>
      </c>
      <c r="V1" s="9" t="str">
        <f>'FRC Site Data'!G2</f>
        <v>Record (W-L-T)</v>
      </c>
      <c r="W1" s="9" t="str">
        <f>'FRC Site Data'!I2</f>
        <v>Played</v>
      </c>
      <c r="X1" s="9">
        <f>'FRC Site Data'!J2</f>
        <v>0</v>
      </c>
      <c r="Y1" s="9" t="str">
        <f>'FRC Site Data'!K2</f>
        <v>Record
(W-L-T)</v>
      </c>
      <c r="Z1" s="9" t="str">
        <f>'FRC Site Data'!L2</f>
        <v>FRC
Rank</v>
      </c>
      <c r="AA1" s="162" t="e">
        <f>'CIR Team Info'!#REF!</f>
        <v>#REF!</v>
      </c>
      <c r="AB1" s="160" t="s">
        <v>141</v>
      </c>
      <c r="AC1" s="160" t="s">
        <v>372</v>
      </c>
      <c r="AD1" s="7" t="s">
        <v>12</v>
      </c>
      <c r="AE1" s="7" t="s">
        <v>13</v>
      </c>
      <c r="AF1" s="7" t="s">
        <v>30</v>
      </c>
      <c r="AG1" s="7" t="s">
        <v>14</v>
      </c>
      <c r="AH1" s="7" t="s">
        <v>47</v>
      </c>
      <c r="AI1" s="193" t="s">
        <v>714</v>
      </c>
      <c r="AJ1" s="193" t="s">
        <v>715</v>
      </c>
      <c r="AK1" s="193" t="s">
        <v>716</v>
      </c>
      <c r="AL1" s="193" t="s">
        <v>717</v>
      </c>
      <c r="AM1" s="193" t="s">
        <v>718</v>
      </c>
      <c r="AN1" s="193" t="s">
        <v>719</v>
      </c>
      <c r="AO1" s="193" t="s">
        <v>720</v>
      </c>
      <c r="AP1" s="193" t="s">
        <v>721</v>
      </c>
      <c r="AQ1" s="193" t="s">
        <v>722</v>
      </c>
      <c r="AR1" s="193" t="s">
        <v>723</v>
      </c>
      <c r="AS1" s="193" t="s">
        <v>724</v>
      </c>
      <c r="AT1" s="193" t="s">
        <v>725</v>
      </c>
      <c r="AU1" s="193" t="s">
        <v>726</v>
      </c>
      <c r="AV1" s="193" t="s">
        <v>727</v>
      </c>
      <c r="AW1" s="193" t="s">
        <v>728</v>
      </c>
      <c r="AX1" s="193" t="s">
        <v>691</v>
      </c>
      <c r="AY1" s="193" t="s">
        <v>729</v>
      </c>
      <c r="AZ1" s="193" t="s">
        <v>730</v>
      </c>
      <c r="BA1" s="193" t="s">
        <v>731</v>
      </c>
      <c r="BB1" s="193"/>
      <c r="BC1" s="193"/>
      <c r="BD1" s="193"/>
      <c r="BE1" s="193"/>
      <c r="BF1" s="193"/>
      <c r="BG1" s="193"/>
      <c r="BH1" s="193"/>
      <c r="BI1" s="193"/>
      <c r="BJ1" s="190"/>
      <c r="BK1" s="190"/>
      <c r="BL1" s="190"/>
      <c r="BS1" s="191"/>
    </row>
    <row r="2" spans="1:71" x14ac:dyDescent="0.25">
      <c r="A2" s="29" t="e">
        <f t="shared" ref="A2:A63" si="0">SUM(B2:F2)</f>
        <v>#REF!</v>
      </c>
      <c r="B2" s="29" t="e">
        <f>H2*AD2*#REF!</f>
        <v>#REF!</v>
      </c>
      <c r="C2" s="29" t="e">
        <f>I2*AE2*#REF!</f>
        <v>#REF!</v>
      </c>
      <c r="D2" s="29" t="e">
        <f>J2*AF2*#REF!</f>
        <v>#REF!</v>
      </c>
      <c r="E2" s="29" t="e">
        <f t="shared" ref="E2:E64" si="1">K2*O2</f>
        <v>#REF!</v>
      </c>
      <c r="F2" s="29" t="e">
        <f>IF(#REF!&gt;0,5)-2*COUNTIF(#REF!,"K")+5*COUNTIF(#REF!,"T")+IF(#REF!=3,2)+IF(#REF!="T",2)</f>
        <v>#REF!</v>
      </c>
      <c r="G2" s="29" t="e">
        <f>IF((#REF!+#REF!)&gt;45,"defensive",IF((#REF!+#REF!)&gt;15,"both","offensive"))</f>
        <v>#REF!</v>
      </c>
      <c r="H2" s="16" t="e">
        <f>IF((#REF!+#REF!)=0,0,#REF!/(#REF!+#REF!))</f>
        <v>#REF!</v>
      </c>
      <c r="I2" s="16" t="e">
        <f>IF((#REF!+#REF!)=0,0,#REF!/(#REF!+#REF!))</f>
        <v>#REF!</v>
      </c>
      <c r="J2" s="16" t="e">
        <f>IF(L2=0,0,#REF!/L2)</f>
        <v>#REF!</v>
      </c>
      <c r="K2" s="16" t="e">
        <f>IF((#REF!+#REF!)=0,0,((#REF!*#REF!*0.2)+(#REF!*#REF!*0.3))/(#REF!+#REF!))</f>
        <v>#REF!</v>
      </c>
      <c r="L2" s="67" t="e">
        <f>IF(#REF!&gt;#REF!,#REF!,#REF!)</f>
        <v>#REF!</v>
      </c>
      <c r="M2" s="4" t="e">
        <f>#REF!+#REF!+#REF!+O2</f>
        <v>#REF!</v>
      </c>
      <c r="N2" s="4" t="e">
        <f>#REF!+#REF!+#REF!</f>
        <v>#REF!</v>
      </c>
      <c r="O2" s="4" t="e">
        <f>(#REF!*0.2*#REF!*30/30)+(#REF!*0.3*#REF!*12/30)-#REF!-#REF!</f>
        <v>#REF!</v>
      </c>
      <c r="P2" s="4" t="e">
        <f>VLOOKUP(#REF!,'CIR Team Info'!$C$5:$E$44,2,FALSE)</f>
        <v>#REF!</v>
      </c>
      <c r="Q2" s="4" t="e">
        <f>VLOOKUP(#REF!,'CIR Team Info'!$C$5:$E$44,3,FALSE)</f>
        <v>#REF!</v>
      </c>
      <c r="R2" s="10" t="e">
        <f>VLOOKUP(#REF!,'FRC Site Data'!$B$3:$L$42,2,FALSE)</f>
        <v>#REF!</v>
      </c>
      <c r="S2" s="10" t="e">
        <f>VLOOKUP(#REF!,'FRC Site Data'!$B$3:$L$42,3,FALSE)</f>
        <v>#REF!</v>
      </c>
      <c r="T2" s="10" t="e">
        <f>VLOOKUP(#REF!,'FRC Site Data'!$B$3:$L$42,4,FALSE)</f>
        <v>#REF!</v>
      </c>
      <c r="U2" s="10" t="e">
        <f>VLOOKUP(#REF!,'FRC Site Data'!$B$3:$L$42,5,FALSE)</f>
        <v>#REF!</v>
      </c>
      <c r="V2" s="10" t="e">
        <f>VLOOKUP(#REF!,'FRC Site Data'!$B$3:$L$42,6,FALSE)</f>
        <v>#REF!</v>
      </c>
      <c r="W2" s="10" t="e">
        <f>VLOOKUP(#REF!,'FRC Site Data'!$B$3:$L$42,8,FALSE)</f>
        <v>#REF!</v>
      </c>
      <c r="X2" s="10" t="e">
        <f>VLOOKUP(#REF!,'FRC Site Data'!$B$3:$L$42,9,FALSE)</f>
        <v>#REF!</v>
      </c>
      <c r="Y2" s="10" t="e">
        <f>VLOOKUP(#REF!,'FRC Site Data'!$B$3:$L$42,10,FALSE)</f>
        <v>#REF!</v>
      </c>
      <c r="Z2" s="10" t="e">
        <f>VLOOKUP(#REF!,'FRC Site Data'!$B$3:$L$42,11,FALSE)</f>
        <v>#REF!</v>
      </c>
      <c r="AA2" s="10" t="e">
        <f>VLOOKUP(#REF!,'CIR Team Info'!$C$5:$E$44,4,FALSE)</f>
        <v>#REF!</v>
      </c>
      <c r="AB2" s="161" t="b">
        <f>ISNUMBER(VLOOKUP(#REF!,Match!$T$5:$T$10,1,FALSE))</f>
        <v>0</v>
      </c>
      <c r="AC2" s="161" t="b">
        <f>IF(AB2=TRUE,(VLOOKUP(#REF!,Match!$T$5:$U$10,2,FALSE)))</f>
        <v>0</v>
      </c>
      <c r="AD2" s="8">
        <v>3</v>
      </c>
      <c r="AE2" s="8">
        <v>2</v>
      </c>
      <c r="AF2" s="8">
        <v>2</v>
      </c>
      <c r="AG2" s="8">
        <v>1</v>
      </c>
      <c r="AH2" s="8" t="e">
        <f>IF(#REF!="Other","x","")</f>
        <v>#REF!</v>
      </c>
      <c r="AI2" s="12" t="s">
        <v>732</v>
      </c>
      <c r="AJ2" s="12">
        <v>3434</v>
      </c>
      <c r="AK2" s="12">
        <v>3</v>
      </c>
      <c r="AL2" s="12" t="s">
        <v>735</v>
      </c>
      <c r="AM2" s="12" t="s">
        <v>645</v>
      </c>
      <c r="AN2" s="12" t="s">
        <v>646</v>
      </c>
      <c r="AO2" s="12" t="s">
        <v>647</v>
      </c>
      <c r="AP2" s="12" t="s">
        <v>42</v>
      </c>
      <c r="AQ2" s="12" t="s">
        <v>42</v>
      </c>
      <c r="AR2" s="12" t="s">
        <v>42</v>
      </c>
      <c r="AS2" s="12" t="s">
        <v>42</v>
      </c>
      <c r="AT2" s="12" t="s">
        <v>46</v>
      </c>
      <c r="AU2" s="12" t="s">
        <v>736</v>
      </c>
      <c r="AV2" s="12" t="s">
        <v>46</v>
      </c>
      <c r="AW2" s="12" t="s">
        <v>46</v>
      </c>
      <c r="AX2" s="12" t="s">
        <v>649</v>
      </c>
      <c r="AY2" s="12" t="s">
        <v>737</v>
      </c>
      <c r="AZ2" s="12" t="s">
        <v>738</v>
      </c>
      <c r="BA2" s="12" t="s">
        <v>739</v>
      </c>
      <c r="BC2" s="12"/>
      <c r="BK2" s="12"/>
    </row>
    <row r="3" spans="1:71" x14ac:dyDescent="0.25">
      <c r="A3" s="29" t="e">
        <f t="shared" si="0"/>
        <v>#REF!</v>
      </c>
      <c r="B3" s="29" t="e">
        <f>H3*AD3*#REF!</f>
        <v>#REF!</v>
      </c>
      <c r="C3" s="29" t="e">
        <f>I3*AE3*#REF!</f>
        <v>#REF!</v>
      </c>
      <c r="D3" s="29" t="e">
        <f>J3*AF3*#REF!</f>
        <v>#REF!</v>
      </c>
      <c r="E3" s="29" t="e">
        <f t="shared" si="1"/>
        <v>#REF!</v>
      </c>
      <c r="F3" s="29" t="e">
        <f>IF(#REF!&gt;0,5)-2*COUNTIF(#REF!,"K")+5*COUNTIF(#REF!,"T")+IF(#REF!=3,2)+IF(#REF!="T",2)</f>
        <v>#REF!</v>
      </c>
      <c r="G3" s="29" t="e">
        <f>IF((#REF!+#REF!)&gt;45,"defensive",IF((#REF!+#REF!)&gt;15,"both","offensive"))</f>
        <v>#REF!</v>
      </c>
      <c r="H3" s="16" t="e">
        <f>IF((#REF!+#REF!)=0,0,#REF!/(#REF!+#REF!))</f>
        <v>#REF!</v>
      </c>
      <c r="I3" s="16" t="e">
        <f>IF((#REF!+#REF!)=0,0,#REF!/(#REF!+#REF!))</f>
        <v>#REF!</v>
      </c>
      <c r="J3" s="16" t="e">
        <f>IF(L3=0,0,#REF!/L3)</f>
        <v>#REF!</v>
      </c>
      <c r="K3" s="16" t="e">
        <f>IF((#REF!+#REF!)=0,0,((#REF!*#REF!*0.2)+(#REF!*#REF!*0.3))/(#REF!+#REF!))</f>
        <v>#REF!</v>
      </c>
      <c r="L3" s="67" t="e">
        <f>IF(#REF!&gt;#REF!,#REF!,#REF!)</f>
        <v>#REF!</v>
      </c>
      <c r="M3" s="4" t="e">
        <f>#REF!+#REF!+#REF!+O3</f>
        <v>#REF!</v>
      </c>
      <c r="N3" s="4" t="e">
        <f>#REF!+#REF!+#REF!</f>
        <v>#REF!</v>
      </c>
      <c r="O3" s="4" t="e">
        <f>(#REF!*0.2*#REF!*30/30)+(#REF!*0.3*#REF!*12/30)-#REF!-#REF!</f>
        <v>#REF!</v>
      </c>
      <c r="P3" s="4" t="e">
        <f>VLOOKUP(#REF!,'CIR Team Info'!$C$5:$E$44,2,FALSE)</f>
        <v>#REF!</v>
      </c>
      <c r="Q3" s="4" t="e">
        <f>VLOOKUP(#REF!,'CIR Team Info'!$C$5:$E$44,3,FALSE)</f>
        <v>#REF!</v>
      </c>
      <c r="R3" s="10" t="e">
        <f>VLOOKUP(#REF!,'FRC Site Data'!$B$3:$L$42,2,FALSE)</f>
        <v>#REF!</v>
      </c>
      <c r="S3" s="10" t="e">
        <f>VLOOKUP(#REF!,'FRC Site Data'!$B$3:$L$42,3,FALSE)</f>
        <v>#REF!</v>
      </c>
      <c r="T3" s="10" t="e">
        <f>VLOOKUP(#REF!,'FRC Site Data'!$B$3:$L$42,4,FALSE)</f>
        <v>#REF!</v>
      </c>
      <c r="U3" s="10" t="e">
        <f>VLOOKUP(#REF!,'FRC Site Data'!$B$3:$L$42,5,FALSE)</f>
        <v>#REF!</v>
      </c>
      <c r="V3" s="10" t="e">
        <f>VLOOKUP(#REF!,'FRC Site Data'!$B$3:$L$42,6,FALSE)</f>
        <v>#REF!</v>
      </c>
      <c r="W3" s="10" t="e">
        <f>VLOOKUP(#REF!,'FRC Site Data'!$B$3:$L$42,8,FALSE)</f>
        <v>#REF!</v>
      </c>
      <c r="X3" s="10" t="e">
        <f>VLOOKUP(#REF!,'FRC Site Data'!$B$3:$L$42,9,FALSE)</f>
        <v>#REF!</v>
      </c>
      <c r="Y3" s="10" t="e">
        <f>VLOOKUP(#REF!,'FRC Site Data'!$B$3:$L$42,10,FALSE)</f>
        <v>#REF!</v>
      </c>
      <c r="Z3" s="10" t="e">
        <f>VLOOKUP(#REF!,'FRC Site Data'!$B$3:$L$42,11,FALSE)</f>
        <v>#REF!</v>
      </c>
      <c r="AA3" s="10" t="e">
        <f>VLOOKUP(#REF!,'CIR Team Info'!$C$5:$E$44,4,FALSE)</f>
        <v>#REF!</v>
      </c>
      <c r="AB3" s="161" t="b">
        <f>ISNUMBER(VLOOKUP(#REF!,Match!$T$5:$T$10,1,FALSE))</f>
        <v>0</v>
      </c>
      <c r="AC3" s="161" t="b">
        <f>IF(AB3=TRUE,(VLOOKUP(#REF!,Match!$T$5:$U$10,2,FALSE)))</f>
        <v>0</v>
      </c>
      <c r="AD3" s="8">
        <v>3</v>
      </c>
      <c r="AE3" s="8">
        <v>2</v>
      </c>
      <c r="AF3" s="8">
        <v>2</v>
      </c>
      <c r="AG3" s="8">
        <v>1</v>
      </c>
      <c r="AH3" s="8" t="e">
        <f>IF(#REF!="Other","x","")</f>
        <v>#REF!</v>
      </c>
      <c r="AI3" s="12" t="s">
        <v>732</v>
      </c>
      <c r="AJ3" s="12">
        <v>1212</v>
      </c>
      <c r="AK3" s="12">
        <v>4</v>
      </c>
      <c r="AL3" s="12" t="s">
        <v>735</v>
      </c>
      <c r="AM3" s="12" t="s">
        <v>645</v>
      </c>
      <c r="AN3" s="12" t="s">
        <v>646</v>
      </c>
      <c r="AO3" s="12" t="s">
        <v>647</v>
      </c>
      <c r="AP3" s="12" t="s">
        <v>46</v>
      </c>
      <c r="AQ3" s="12" t="s">
        <v>42</v>
      </c>
      <c r="AR3" s="12" t="s">
        <v>42</v>
      </c>
      <c r="AS3" s="12" t="s">
        <v>46</v>
      </c>
      <c r="AT3" s="12" t="s">
        <v>46</v>
      </c>
      <c r="AU3" s="12" t="s">
        <v>648</v>
      </c>
      <c r="AV3" s="12" t="s">
        <v>42</v>
      </c>
      <c r="AW3" s="12" t="s">
        <v>42</v>
      </c>
      <c r="AX3" s="12" t="s">
        <v>740</v>
      </c>
      <c r="AY3" s="12" t="s">
        <v>737</v>
      </c>
      <c r="AZ3" s="12" t="s">
        <v>741</v>
      </c>
      <c r="BA3" s="12" t="s">
        <v>742</v>
      </c>
      <c r="BC3" s="12"/>
      <c r="BK3" s="12"/>
    </row>
    <row r="4" spans="1:71" x14ac:dyDescent="0.25">
      <c r="A4" s="29" t="e">
        <f t="shared" si="0"/>
        <v>#REF!</v>
      </c>
      <c r="B4" s="29" t="e">
        <f>H4*AD4*#REF!</f>
        <v>#REF!</v>
      </c>
      <c r="C4" s="29" t="e">
        <f>I4*AE4*#REF!</f>
        <v>#REF!</v>
      </c>
      <c r="D4" s="29" t="e">
        <f>J4*AF4*#REF!</f>
        <v>#REF!</v>
      </c>
      <c r="E4" s="29" t="e">
        <f t="shared" si="1"/>
        <v>#REF!</v>
      </c>
      <c r="F4" s="29" t="e">
        <f>IF(#REF!&gt;0,5)-2*COUNTIF(#REF!,"K")+5*COUNTIF(#REF!,"T")+IF(#REF!=3,2)+IF(#REF!="T",2)</f>
        <v>#REF!</v>
      </c>
      <c r="G4" s="29" t="e">
        <f>IF((#REF!+#REF!)&gt;45,"defensive",IF((#REF!+#REF!)&gt;15,"both","offensive"))</f>
        <v>#REF!</v>
      </c>
      <c r="H4" s="16" t="e">
        <f>IF((#REF!+#REF!)=0,0,#REF!/(#REF!+#REF!))</f>
        <v>#REF!</v>
      </c>
      <c r="I4" s="16" t="e">
        <f>IF((#REF!+#REF!)=0,0,#REF!/(#REF!+#REF!))</f>
        <v>#REF!</v>
      </c>
      <c r="J4" s="16" t="e">
        <f>IF(L4=0,0,#REF!/L4)</f>
        <v>#REF!</v>
      </c>
      <c r="K4" s="16" t="e">
        <f>IF((#REF!+#REF!)=0,0,((#REF!*#REF!*0.2)+(#REF!*#REF!*0.3))/(#REF!+#REF!))</f>
        <v>#REF!</v>
      </c>
      <c r="L4" s="67" t="e">
        <f>IF(#REF!&gt;#REF!,#REF!,#REF!)</f>
        <v>#REF!</v>
      </c>
      <c r="M4" s="4" t="e">
        <f>#REF!+#REF!+#REF!+O4</f>
        <v>#REF!</v>
      </c>
      <c r="N4" s="4" t="e">
        <f>#REF!+#REF!+#REF!</f>
        <v>#REF!</v>
      </c>
      <c r="O4" s="4" t="e">
        <f>(#REF!*0.2*#REF!*30/30)+(#REF!*0.3*#REF!*12/30)-#REF!-#REF!</f>
        <v>#REF!</v>
      </c>
      <c r="P4" s="4" t="e">
        <f>VLOOKUP(#REF!,'CIR Team Info'!$C$5:$E$44,2,FALSE)</f>
        <v>#REF!</v>
      </c>
      <c r="Q4" s="4" t="e">
        <f>VLOOKUP(#REF!,'CIR Team Info'!$C$5:$E$44,3,FALSE)</f>
        <v>#REF!</v>
      </c>
      <c r="R4" s="10" t="e">
        <f>VLOOKUP(#REF!,'FRC Site Data'!$B$3:$L$42,2,FALSE)</f>
        <v>#REF!</v>
      </c>
      <c r="S4" s="10" t="e">
        <f>VLOOKUP(#REF!,'FRC Site Data'!$B$3:$L$42,3,FALSE)</f>
        <v>#REF!</v>
      </c>
      <c r="T4" s="10" t="e">
        <f>VLOOKUP(#REF!,'FRC Site Data'!$B$3:$L$42,4,FALSE)</f>
        <v>#REF!</v>
      </c>
      <c r="U4" s="10" t="e">
        <f>VLOOKUP(#REF!,'FRC Site Data'!$B$3:$L$42,5,FALSE)</f>
        <v>#REF!</v>
      </c>
      <c r="V4" s="10" t="e">
        <f>VLOOKUP(#REF!,'FRC Site Data'!$B$3:$L$42,6,FALSE)</f>
        <v>#REF!</v>
      </c>
      <c r="W4" s="10" t="e">
        <f>VLOOKUP(#REF!,'FRC Site Data'!$B$3:$L$42,8,FALSE)</f>
        <v>#REF!</v>
      </c>
      <c r="X4" s="10" t="e">
        <f>VLOOKUP(#REF!,'FRC Site Data'!$B$3:$L$42,9,FALSE)</f>
        <v>#REF!</v>
      </c>
      <c r="Y4" s="10" t="e">
        <f>VLOOKUP(#REF!,'FRC Site Data'!$B$3:$L$42,10,FALSE)</f>
        <v>#REF!</v>
      </c>
      <c r="Z4" s="10" t="e">
        <f>VLOOKUP(#REF!,'FRC Site Data'!$B$3:$L$42,11,FALSE)</f>
        <v>#REF!</v>
      </c>
      <c r="AA4" s="10" t="e">
        <f>VLOOKUP(#REF!,'CIR Team Info'!$C$5:$E$44,4,FALSE)</f>
        <v>#REF!</v>
      </c>
      <c r="AB4" s="161" t="b">
        <f>ISNUMBER(VLOOKUP(#REF!,Match!$T$5:$T$10,1,FALSE))</f>
        <v>0</v>
      </c>
      <c r="AC4" s="161" t="b">
        <f>IF(AB4=TRUE,(VLOOKUP(#REF!,Match!$T$5:$U$10,2,FALSE)))</f>
        <v>0</v>
      </c>
      <c r="AD4" s="8">
        <v>3</v>
      </c>
      <c r="AE4" s="8">
        <v>2</v>
      </c>
      <c r="AF4" s="8">
        <v>2</v>
      </c>
      <c r="AG4" s="8">
        <v>1</v>
      </c>
      <c r="AH4" s="8" t="e">
        <f>IF(#REF!="Other","x","")</f>
        <v>#REF!</v>
      </c>
      <c r="AI4" s="12" t="s">
        <v>746</v>
      </c>
      <c r="AJ4" s="12">
        <v>6578</v>
      </c>
      <c r="AL4" s="12" t="s">
        <v>735</v>
      </c>
      <c r="AM4" s="12" t="s">
        <v>747</v>
      </c>
      <c r="AN4" s="12" t="s">
        <v>748</v>
      </c>
      <c r="AO4" s="12" t="s">
        <v>647</v>
      </c>
      <c r="AP4" s="12" t="s">
        <v>46</v>
      </c>
      <c r="AQ4" s="12" t="s">
        <v>42</v>
      </c>
      <c r="AR4" s="12" t="s">
        <v>42</v>
      </c>
      <c r="AS4" s="12" t="s">
        <v>42</v>
      </c>
      <c r="AT4" s="12" t="s">
        <v>46</v>
      </c>
      <c r="AU4" s="12" t="s">
        <v>736</v>
      </c>
      <c r="AV4" s="12" t="s">
        <v>46</v>
      </c>
      <c r="AW4" s="12" t="s">
        <v>46</v>
      </c>
      <c r="AX4" s="12" t="s">
        <v>740</v>
      </c>
      <c r="AY4" s="12" t="s">
        <v>749</v>
      </c>
      <c r="AZ4" s="12" t="s">
        <v>750</v>
      </c>
      <c r="BA4" s="12" t="s">
        <v>751</v>
      </c>
      <c r="BC4" s="12"/>
      <c r="BK4" s="12"/>
    </row>
    <row r="5" spans="1:71" x14ac:dyDescent="0.25">
      <c r="A5" s="29" t="e">
        <f t="shared" si="0"/>
        <v>#REF!</v>
      </c>
      <c r="B5" s="29" t="e">
        <f>H5*AD5*#REF!</f>
        <v>#REF!</v>
      </c>
      <c r="C5" s="29" t="e">
        <f>I5*AE5*#REF!</f>
        <v>#REF!</v>
      </c>
      <c r="D5" s="29" t="e">
        <f>J5*AF5*#REF!</f>
        <v>#REF!</v>
      </c>
      <c r="E5" s="29" t="e">
        <f t="shared" si="1"/>
        <v>#REF!</v>
      </c>
      <c r="F5" s="29" t="e">
        <f>IF(#REF!&gt;0,5)-2*COUNTIF(#REF!,"K")+5*COUNTIF(#REF!,"T")+IF(#REF!=3,2)+IF(#REF!="T",2)</f>
        <v>#REF!</v>
      </c>
      <c r="G5" s="29" t="e">
        <f>IF((#REF!+#REF!)&gt;45,"defensive",IF((#REF!+#REF!)&gt;15,"both","offensive"))</f>
        <v>#REF!</v>
      </c>
      <c r="H5" s="16" t="e">
        <f>IF((#REF!+#REF!)=0,0,#REF!/(#REF!+#REF!))</f>
        <v>#REF!</v>
      </c>
      <c r="I5" s="16" t="e">
        <f>IF((#REF!+#REF!)=0,0,#REF!/(#REF!+#REF!))</f>
        <v>#REF!</v>
      </c>
      <c r="J5" s="16" t="e">
        <f>IF(L5=0,0,#REF!/L5)</f>
        <v>#REF!</v>
      </c>
      <c r="K5" s="16" t="e">
        <f>IF((#REF!+#REF!)=0,0,((#REF!*#REF!*0.2)+(#REF!*#REF!*0.3))/(#REF!+#REF!))</f>
        <v>#REF!</v>
      </c>
      <c r="L5" s="67" t="e">
        <f>IF(#REF!&gt;#REF!,#REF!,#REF!)</f>
        <v>#REF!</v>
      </c>
      <c r="M5" s="4" t="e">
        <f>#REF!+#REF!+#REF!+O5</f>
        <v>#REF!</v>
      </c>
      <c r="N5" s="4" t="e">
        <f>#REF!+#REF!+#REF!</f>
        <v>#REF!</v>
      </c>
      <c r="O5" s="4" t="e">
        <f>(#REF!*0.2*#REF!*30/30)+(#REF!*0.3*#REF!*12/30)-#REF!-#REF!</f>
        <v>#REF!</v>
      </c>
      <c r="P5" s="4" t="e">
        <f>VLOOKUP(#REF!,'CIR Team Info'!$C$5:$E$44,2,FALSE)</f>
        <v>#REF!</v>
      </c>
      <c r="Q5" s="4" t="e">
        <f>VLOOKUP(#REF!,'CIR Team Info'!$C$5:$E$44,3,FALSE)</f>
        <v>#REF!</v>
      </c>
      <c r="R5" s="10" t="e">
        <f>VLOOKUP(#REF!,'FRC Site Data'!$B$3:$L$42,2,FALSE)</f>
        <v>#REF!</v>
      </c>
      <c r="S5" s="10" t="e">
        <f>VLOOKUP(#REF!,'FRC Site Data'!$B$3:$L$42,3,FALSE)</f>
        <v>#REF!</v>
      </c>
      <c r="T5" s="10" t="e">
        <f>VLOOKUP(#REF!,'FRC Site Data'!$B$3:$L$42,4,FALSE)</f>
        <v>#REF!</v>
      </c>
      <c r="U5" s="10" t="e">
        <f>VLOOKUP(#REF!,'FRC Site Data'!$B$3:$L$42,5,FALSE)</f>
        <v>#REF!</v>
      </c>
      <c r="V5" s="10" t="e">
        <f>VLOOKUP(#REF!,'FRC Site Data'!$B$3:$L$42,6,FALSE)</f>
        <v>#REF!</v>
      </c>
      <c r="W5" s="10" t="e">
        <f>VLOOKUP(#REF!,'FRC Site Data'!$B$3:$L$42,8,FALSE)</f>
        <v>#REF!</v>
      </c>
      <c r="X5" s="10" t="e">
        <f>VLOOKUP(#REF!,'FRC Site Data'!$B$3:$L$42,9,FALSE)</f>
        <v>#REF!</v>
      </c>
      <c r="Y5" s="10" t="e">
        <f>VLOOKUP(#REF!,'FRC Site Data'!$B$3:$L$42,10,FALSE)</f>
        <v>#REF!</v>
      </c>
      <c r="Z5" s="10" t="e">
        <f>VLOOKUP(#REF!,'FRC Site Data'!$B$3:$L$42,11,FALSE)</f>
        <v>#REF!</v>
      </c>
      <c r="AA5" s="10" t="e">
        <f>VLOOKUP(#REF!,'CIR Team Info'!$C$5:$E$44,4,FALSE)</f>
        <v>#REF!</v>
      </c>
      <c r="AB5" s="161" t="b">
        <f>ISNUMBER(VLOOKUP(#REF!,Match!$T$5:$T$10,1,FALSE))</f>
        <v>0</v>
      </c>
      <c r="AC5" s="161" t="b">
        <f>IF(AB5=TRUE,(VLOOKUP(#REF!,Match!$T$5:$U$10,2,FALSE)))</f>
        <v>0</v>
      </c>
      <c r="AD5" s="8">
        <v>3</v>
      </c>
      <c r="AE5" s="8">
        <v>2</v>
      </c>
      <c r="AF5" s="8">
        <v>2</v>
      </c>
      <c r="AG5" s="8">
        <v>1</v>
      </c>
      <c r="AH5" s="8" t="e">
        <f>IF(#REF!="Other","x","")</f>
        <v>#REF!</v>
      </c>
      <c r="AI5" s="12" t="s">
        <v>746</v>
      </c>
      <c r="AJ5" s="12">
        <v>1736</v>
      </c>
      <c r="AL5" s="12" t="s">
        <v>735</v>
      </c>
      <c r="AM5" s="12" t="s">
        <v>645</v>
      </c>
      <c r="AN5" s="12" t="s">
        <v>748</v>
      </c>
      <c r="AO5" s="12" t="s">
        <v>752</v>
      </c>
      <c r="AP5" s="12" t="s">
        <v>42</v>
      </c>
      <c r="AQ5" s="12" t="s">
        <v>42</v>
      </c>
      <c r="AR5" s="12" t="s">
        <v>42</v>
      </c>
      <c r="AS5" s="12" t="s">
        <v>42</v>
      </c>
      <c r="AT5" s="12" t="s">
        <v>42</v>
      </c>
      <c r="AU5" s="12" t="s">
        <v>736</v>
      </c>
      <c r="AV5" s="12" t="s">
        <v>42</v>
      </c>
      <c r="AW5" s="12" t="s">
        <v>42</v>
      </c>
      <c r="AX5" s="12" t="s">
        <v>740</v>
      </c>
      <c r="AY5" s="12" t="s">
        <v>753</v>
      </c>
      <c r="AZ5" s="12" t="s">
        <v>754</v>
      </c>
      <c r="BC5" s="12"/>
      <c r="BK5" s="12"/>
    </row>
    <row r="6" spans="1:71" x14ac:dyDescent="0.25">
      <c r="A6" s="29" t="e">
        <f t="shared" si="0"/>
        <v>#REF!</v>
      </c>
      <c r="B6" s="29" t="e">
        <f>H6*AD6*#REF!</f>
        <v>#REF!</v>
      </c>
      <c r="C6" s="29" t="e">
        <f>I6*AE6*#REF!</f>
        <v>#REF!</v>
      </c>
      <c r="D6" s="29" t="e">
        <f>J6*AF6*#REF!</f>
        <v>#REF!</v>
      </c>
      <c r="E6" s="29" t="e">
        <f t="shared" si="1"/>
        <v>#REF!</v>
      </c>
      <c r="F6" s="29" t="e">
        <f>IF(#REF!&gt;0,5)-2*COUNTIF(#REF!,"K")+5*COUNTIF(#REF!,"T")+IF(#REF!=3,2)+IF(#REF!="T",2)</f>
        <v>#REF!</v>
      </c>
      <c r="G6" s="29" t="e">
        <f>IF((#REF!+#REF!)&gt;45,"defensive",IF((#REF!+#REF!)&gt;15,"both","offensive"))</f>
        <v>#REF!</v>
      </c>
      <c r="H6" s="16" t="e">
        <f>IF((#REF!+#REF!)=0,0,#REF!/(#REF!+#REF!))</f>
        <v>#REF!</v>
      </c>
      <c r="I6" s="16" t="e">
        <f>IF((#REF!+#REF!)=0,0,#REF!/(#REF!+#REF!))</f>
        <v>#REF!</v>
      </c>
      <c r="J6" s="16" t="e">
        <f>IF(L6=0,0,#REF!/L6)</f>
        <v>#REF!</v>
      </c>
      <c r="K6" s="16" t="e">
        <f>IF((#REF!+#REF!)=0,0,((#REF!*#REF!*0.2)+(#REF!*#REF!*0.3))/(#REF!+#REF!))</f>
        <v>#REF!</v>
      </c>
      <c r="L6" s="67" t="e">
        <f>IF(#REF!&gt;#REF!,#REF!,#REF!)</f>
        <v>#REF!</v>
      </c>
      <c r="M6" s="4" t="e">
        <f>#REF!+#REF!+#REF!+O6</f>
        <v>#REF!</v>
      </c>
      <c r="N6" s="4" t="e">
        <f>#REF!+#REF!+#REF!</f>
        <v>#REF!</v>
      </c>
      <c r="O6" s="4" t="e">
        <f>(#REF!*0.2*#REF!*30/30)+(#REF!*0.3*#REF!*12/30)-#REF!-#REF!</f>
        <v>#REF!</v>
      </c>
      <c r="P6" s="4" t="e">
        <f>VLOOKUP(#REF!,'CIR Team Info'!$C$5:$E$44,2,FALSE)</f>
        <v>#REF!</v>
      </c>
      <c r="Q6" s="4" t="e">
        <f>VLOOKUP(#REF!,'CIR Team Info'!$C$5:$E$44,3,FALSE)</f>
        <v>#REF!</v>
      </c>
      <c r="R6" s="10" t="e">
        <f>VLOOKUP(#REF!,'FRC Site Data'!$B$3:$L$42,2,FALSE)</f>
        <v>#REF!</v>
      </c>
      <c r="S6" s="10" t="e">
        <f>VLOOKUP(#REF!,'FRC Site Data'!$B$3:$L$42,3,FALSE)</f>
        <v>#REF!</v>
      </c>
      <c r="T6" s="10" t="e">
        <f>VLOOKUP(#REF!,'FRC Site Data'!$B$3:$L$42,4,FALSE)</f>
        <v>#REF!</v>
      </c>
      <c r="U6" s="10" t="e">
        <f>VLOOKUP(#REF!,'FRC Site Data'!$B$3:$L$42,5,FALSE)</f>
        <v>#REF!</v>
      </c>
      <c r="V6" s="10" t="e">
        <f>VLOOKUP(#REF!,'FRC Site Data'!$B$3:$L$42,6,FALSE)</f>
        <v>#REF!</v>
      </c>
      <c r="W6" s="10" t="e">
        <f>VLOOKUP(#REF!,'FRC Site Data'!$B$3:$L$42,8,FALSE)</f>
        <v>#REF!</v>
      </c>
      <c r="X6" s="10" t="e">
        <f>VLOOKUP(#REF!,'FRC Site Data'!$B$3:$L$42,9,FALSE)</f>
        <v>#REF!</v>
      </c>
      <c r="Y6" s="10" t="e">
        <f>VLOOKUP(#REF!,'FRC Site Data'!$B$3:$L$42,10,FALSE)</f>
        <v>#REF!</v>
      </c>
      <c r="Z6" s="10" t="e">
        <f>VLOOKUP(#REF!,'FRC Site Data'!$B$3:$L$42,11,FALSE)</f>
        <v>#REF!</v>
      </c>
      <c r="AA6" s="10" t="e">
        <f>VLOOKUP(#REF!,'CIR Team Info'!$C$5:$E$44,4,FALSE)</f>
        <v>#REF!</v>
      </c>
      <c r="AB6" s="161" t="b">
        <f>ISNUMBER(VLOOKUP(#REF!,Match!$T$5:$T$10,1,FALSE))</f>
        <v>0</v>
      </c>
      <c r="AC6" s="161" t="b">
        <f>IF(AB6=TRUE,(VLOOKUP(#REF!,Match!$T$5:$U$10,2,FALSE)))</f>
        <v>0</v>
      </c>
      <c r="AD6" s="8">
        <v>3</v>
      </c>
      <c r="AE6" s="8">
        <v>2</v>
      </c>
      <c r="AF6" s="8">
        <v>2</v>
      </c>
      <c r="AG6" s="8">
        <v>1</v>
      </c>
      <c r="AH6" s="8" t="e">
        <f>IF(#REF!="Other","x","")</f>
        <v>#REF!</v>
      </c>
      <c r="AI6" s="12" t="s">
        <v>746</v>
      </c>
      <c r="AJ6" s="12">
        <v>6578</v>
      </c>
      <c r="AL6" s="12" t="s">
        <v>735</v>
      </c>
      <c r="AM6" s="12" t="s">
        <v>747</v>
      </c>
      <c r="AN6" s="12" t="s">
        <v>748</v>
      </c>
      <c r="AO6" s="12" t="s">
        <v>647</v>
      </c>
      <c r="AP6" s="12" t="s">
        <v>46</v>
      </c>
      <c r="AQ6" s="12" t="s">
        <v>42</v>
      </c>
      <c r="AR6" s="12" t="s">
        <v>42</v>
      </c>
      <c r="AS6" s="12" t="s">
        <v>42</v>
      </c>
      <c r="AT6" s="12" t="s">
        <v>46</v>
      </c>
      <c r="AU6" s="12" t="s">
        <v>736</v>
      </c>
      <c r="AV6" s="12" t="s">
        <v>46</v>
      </c>
      <c r="AW6" s="12" t="s">
        <v>46</v>
      </c>
      <c r="AX6" s="12" t="s">
        <v>740</v>
      </c>
      <c r="AY6" s="12" t="s">
        <v>749</v>
      </c>
      <c r="AZ6" s="12" t="s">
        <v>750</v>
      </c>
      <c r="BA6" s="12" t="s">
        <v>751</v>
      </c>
      <c r="BC6" s="12"/>
      <c r="BK6" s="12"/>
    </row>
    <row r="7" spans="1:71" x14ac:dyDescent="0.25">
      <c r="A7" s="29" t="e">
        <f t="shared" si="0"/>
        <v>#REF!</v>
      </c>
      <c r="B7" s="29" t="e">
        <f>H7*AD7*#REF!</f>
        <v>#REF!</v>
      </c>
      <c r="C7" s="29" t="e">
        <f>I7*AE7*#REF!</f>
        <v>#REF!</v>
      </c>
      <c r="D7" s="29" t="e">
        <f>J7*AF7*#REF!</f>
        <v>#REF!</v>
      </c>
      <c r="E7" s="29" t="e">
        <f t="shared" si="1"/>
        <v>#REF!</v>
      </c>
      <c r="F7" s="29" t="e">
        <f>IF(#REF!&gt;0,5)-2*COUNTIF(#REF!,"K")+5*COUNTIF(#REF!,"T")+IF(#REF!=3,2)+IF(#REF!="T",2)</f>
        <v>#REF!</v>
      </c>
      <c r="G7" s="29" t="e">
        <f>IF((#REF!+#REF!)&gt;45,"defensive",IF((#REF!+#REF!)&gt;15,"both","offensive"))</f>
        <v>#REF!</v>
      </c>
      <c r="H7" s="16" t="e">
        <f>IF((#REF!+#REF!)=0,0,#REF!/(#REF!+#REF!))</f>
        <v>#REF!</v>
      </c>
      <c r="I7" s="16" t="e">
        <f>IF((#REF!+#REF!)=0,0,#REF!/(#REF!+#REF!))</f>
        <v>#REF!</v>
      </c>
      <c r="J7" s="16" t="e">
        <f>IF(L7=0,0,#REF!/L7)</f>
        <v>#REF!</v>
      </c>
      <c r="K7" s="16" t="e">
        <f>IF((#REF!+#REF!)=0,0,((#REF!*#REF!*0.2)+(#REF!*#REF!*0.3))/(#REF!+#REF!))</f>
        <v>#REF!</v>
      </c>
      <c r="L7" s="67" t="e">
        <f>IF(#REF!&gt;#REF!,#REF!,#REF!)</f>
        <v>#REF!</v>
      </c>
      <c r="M7" s="4" t="e">
        <f>#REF!+#REF!+#REF!+O7</f>
        <v>#REF!</v>
      </c>
      <c r="N7" s="4" t="e">
        <f>#REF!+#REF!+#REF!</f>
        <v>#REF!</v>
      </c>
      <c r="O7" s="4" t="e">
        <f>(#REF!*0.2*#REF!*30/30)+(#REF!*0.3*#REF!*12/30)-#REF!-#REF!</f>
        <v>#REF!</v>
      </c>
      <c r="P7" s="4" t="e">
        <f>VLOOKUP(#REF!,'CIR Team Info'!$C$5:$E$44,2,FALSE)</f>
        <v>#REF!</v>
      </c>
      <c r="Q7" s="4" t="e">
        <f>VLOOKUP(#REF!,'CIR Team Info'!$C$5:$E$44,3,FALSE)</f>
        <v>#REF!</v>
      </c>
      <c r="R7" s="10" t="e">
        <f>VLOOKUP(#REF!,'FRC Site Data'!$B$3:$L$42,2,FALSE)</f>
        <v>#REF!</v>
      </c>
      <c r="S7" s="10" t="e">
        <f>VLOOKUP(#REF!,'FRC Site Data'!$B$3:$L$42,3,FALSE)</f>
        <v>#REF!</v>
      </c>
      <c r="T7" s="10" t="e">
        <f>VLOOKUP(#REF!,'FRC Site Data'!$B$3:$L$42,4,FALSE)</f>
        <v>#REF!</v>
      </c>
      <c r="U7" s="10" t="e">
        <f>VLOOKUP(#REF!,'FRC Site Data'!$B$3:$L$42,5,FALSE)</f>
        <v>#REF!</v>
      </c>
      <c r="V7" s="10" t="e">
        <f>VLOOKUP(#REF!,'FRC Site Data'!$B$3:$L$42,6,FALSE)</f>
        <v>#REF!</v>
      </c>
      <c r="W7" s="10" t="e">
        <f>VLOOKUP(#REF!,'FRC Site Data'!$B$3:$L$42,8,FALSE)</f>
        <v>#REF!</v>
      </c>
      <c r="X7" s="10" t="e">
        <f>VLOOKUP(#REF!,'FRC Site Data'!$B$3:$L$42,9,FALSE)</f>
        <v>#REF!</v>
      </c>
      <c r="Y7" s="10" t="e">
        <f>VLOOKUP(#REF!,'FRC Site Data'!$B$3:$L$42,10,FALSE)</f>
        <v>#REF!</v>
      </c>
      <c r="Z7" s="10" t="e">
        <f>VLOOKUP(#REF!,'FRC Site Data'!$B$3:$L$42,11,FALSE)</f>
        <v>#REF!</v>
      </c>
      <c r="AA7" s="10" t="e">
        <f>VLOOKUP(#REF!,'CIR Team Info'!$C$5:$E$44,4,FALSE)</f>
        <v>#REF!</v>
      </c>
      <c r="AB7" s="161" t="b">
        <f>ISNUMBER(VLOOKUP(#REF!,Match!$T$5:$T$10,1,FALSE))</f>
        <v>0</v>
      </c>
      <c r="AC7" s="161" t="b">
        <f>IF(AB7=TRUE,(VLOOKUP(#REF!,Match!$T$5:$U$10,2,FALSE)))</f>
        <v>0</v>
      </c>
      <c r="AD7" s="8">
        <v>3</v>
      </c>
      <c r="AE7" s="8">
        <v>2</v>
      </c>
      <c r="AF7" s="8">
        <v>2</v>
      </c>
      <c r="AG7" s="8">
        <v>1</v>
      </c>
      <c r="AH7" s="8" t="e">
        <f>IF(#REF!="Other","x","")</f>
        <v>#REF!</v>
      </c>
      <c r="AI7" s="12" t="s">
        <v>755</v>
      </c>
      <c r="AJ7" s="12">
        <v>1736</v>
      </c>
      <c r="AL7" s="12" t="s">
        <v>735</v>
      </c>
      <c r="AM7" s="12" t="s">
        <v>645</v>
      </c>
      <c r="AN7" s="12" t="s">
        <v>646</v>
      </c>
      <c r="AO7" s="12" t="s">
        <v>647</v>
      </c>
      <c r="AP7" s="12" t="s">
        <v>46</v>
      </c>
      <c r="AQ7" s="12" t="s">
        <v>42</v>
      </c>
      <c r="AR7" s="12" t="s">
        <v>42</v>
      </c>
      <c r="AS7" s="12" t="s">
        <v>46</v>
      </c>
      <c r="AT7" s="12" t="s">
        <v>46</v>
      </c>
      <c r="AU7" s="12" t="s">
        <v>648</v>
      </c>
      <c r="AV7" s="12" t="s">
        <v>46</v>
      </c>
      <c r="AW7" s="12" t="s">
        <v>46</v>
      </c>
      <c r="AX7" s="12" t="s">
        <v>649</v>
      </c>
      <c r="AZ7" s="12"/>
      <c r="BA7" s="12" t="s">
        <v>756</v>
      </c>
      <c r="BC7" s="12"/>
      <c r="BK7" s="12"/>
    </row>
    <row r="8" spans="1:71" x14ac:dyDescent="0.25">
      <c r="A8" s="29" t="e">
        <f t="shared" si="0"/>
        <v>#REF!</v>
      </c>
      <c r="B8" s="29" t="e">
        <f>H8*AD8*#REF!</f>
        <v>#REF!</v>
      </c>
      <c r="C8" s="29" t="e">
        <f>I8*AE8*#REF!</f>
        <v>#REF!</v>
      </c>
      <c r="D8" s="29" t="e">
        <f>J8*AF8*#REF!</f>
        <v>#REF!</v>
      </c>
      <c r="E8" s="29" t="e">
        <f t="shared" si="1"/>
        <v>#REF!</v>
      </c>
      <c r="F8" s="29" t="e">
        <f>IF(#REF!&gt;0,5)-2*COUNTIF(#REF!,"K")+5*COUNTIF(#REF!,"T")+IF(#REF!=3,2)+IF(#REF!="T",2)</f>
        <v>#REF!</v>
      </c>
      <c r="G8" s="29" t="e">
        <f>IF((#REF!+#REF!)&gt;45,"defensive",IF((#REF!+#REF!)&gt;15,"both","offensive"))</f>
        <v>#REF!</v>
      </c>
      <c r="H8" s="16" t="e">
        <f>IF((#REF!+#REF!)=0,0,#REF!/(#REF!+#REF!))</f>
        <v>#REF!</v>
      </c>
      <c r="I8" s="16" t="e">
        <f>IF((#REF!+#REF!)=0,0,#REF!/(#REF!+#REF!))</f>
        <v>#REF!</v>
      </c>
      <c r="J8" s="16" t="e">
        <f>IF(L8=0,0,#REF!/L8)</f>
        <v>#REF!</v>
      </c>
      <c r="K8" s="16" t="e">
        <f>IF((#REF!+#REF!)=0,0,((#REF!*#REF!*0.2)+(#REF!*#REF!*0.3))/(#REF!+#REF!))</f>
        <v>#REF!</v>
      </c>
      <c r="L8" s="67" t="e">
        <f>IF(#REF!&gt;#REF!,#REF!,#REF!)</f>
        <v>#REF!</v>
      </c>
      <c r="M8" s="4" t="e">
        <f>#REF!+#REF!+#REF!+O8</f>
        <v>#REF!</v>
      </c>
      <c r="N8" s="4" t="e">
        <f>#REF!+#REF!+#REF!</f>
        <v>#REF!</v>
      </c>
      <c r="O8" s="4" t="e">
        <f>(#REF!*0.2*#REF!*30/30)+(#REF!*0.3*#REF!*12/30)-#REF!-#REF!</f>
        <v>#REF!</v>
      </c>
      <c r="P8" s="4" t="e">
        <f>VLOOKUP(#REF!,'CIR Team Info'!$C$5:$E$44,2,FALSE)</f>
        <v>#REF!</v>
      </c>
      <c r="Q8" s="4" t="e">
        <f>VLOOKUP(#REF!,'CIR Team Info'!$C$5:$E$44,3,FALSE)</f>
        <v>#REF!</v>
      </c>
      <c r="R8" s="10" t="e">
        <f>VLOOKUP(#REF!,'FRC Site Data'!$B$3:$L$42,2,FALSE)</f>
        <v>#REF!</v>
      </c>
      <c r="S8" s="10" t="e">
        <f>VLOOKUP(#REF!,'FRC Site Data'!$B$3:$L$42,3,FALSE)</f>
        <v>#REF!</v>
      </c>
      <c r="T8" s="10" t="e">
        <f>VLOOKUP(#REF!,'FRC Site Data'!$B$3:$L$42,4,FALSE)</f>
        <v>#REF!</v>
      </c>
      <c r="U8" s="10" t="e">
        <f>VLOOKUP(#REF!,'FRC Site Data'!$B$3:$L$42,5,FALSE)</f>
        <v>#REF!</v>
      </c>
      <c r="V8" s="10" t="e">
        <f>VLOOKUP(#REF!,'FRC Site Data'!$B$3:$L$42,6,FALSE)</f>
        <v>#REF!</v>
      </c>
      <c r="W8" s="10" t="e">
        <f>VLOOKUP(#REF!,'FRC Site Data'!$B$3:$L$42,8,FALSE)</f>
        <v>#REF!</v>
      </c>
      <c r="X8" s="10" t="e">
        <f>VLOOKUP(#REF!,'FRC Site Data'!$B$3:$L$42,9,FALSE)</f>
        <v>#REF!</v>
      </c>
      <c r="Y8" s="10" t="e">
        <f>VLOOKUP(#REF!,'FRC Site Data'!$B$3:$L$42,10,FALSE)</f>
        <v>#REF!</v>
      </c>
      <c r="Z8" s="10" t="e">
        <f>VLOOKUP(#REF!,'FRC Site Data'!$B$3:$L$42,11,FALSE)</f>
        <v>#REF!</v>
      </c>
      <c r="AA8" s="10" t="e">
        <f>VLOOKUP(#REF!,'CIR Team Info'!$C$5:$E$44,4,FALSE)</f>
        <v>#REF!</v>
      </c>
      <c r="AB8" s="161" t="b">
        <f>ISNUMBER(VLOOKUP(#REF!,Match!$T$5:$T$10,1,FALSE))</f>
        <v>0</v>
      </c>
      <c r="AC8" s="161" t="b">
        <f>IF(AB8=TRUE,(VLOOKUP(#REF!,Match!$T$5:$U$10,2,FALSE)))</f>
        <v>0</v>
      </c>
      <c r="AD8" s="8">
        <v>3</v>
      </c>
      <c r="AE8" s="8">
        <v>2</v>
      </c>
      <c r="AF8" s="8">
        <v>2</v>
      </c>
      <c r="AG8" s="8">
        <v>1</v>
      </c>
      <c r="AH8" s="8" t="e">
        <f>IF(#REF!="Other","x","")</f>
        <v>#REF!</v>
      </c>
      <c r="AI8" s="12" t="s">
        <v>757</v>
      </c>
      <c r="AZ8" s="12"/>
      <c r="BC8" s="12"/>
      <c r="BK8" s="12"/>
    </row>
    <row r="9" spans="1:71" x14ac:dyDescent="0.25">
      <c r="A9" s="29" t="e">
        <f t="shared" si="0"/>
        <v>#REF!</v>
      </c>
      <c r="B9" s="29" t="e">
        <f>H9*AD9*#REF!</f>
        <v>#REF!</v>
      </c>
      <c r="C9" s="29" t="e">
        <f>I9*AE9*#REF!</f>
        <v>#REF!</v>
      </c>
      <c r="D9" s="29" t="e">
        <f>J9*AF9*#REF!</f>
        <v>#REF!</v>
      </c>
      <c r="E9" s="29" t="e">
        <f t="shared" si="1"/>
        <v>#REF!</v>
      </c>
      <c r="F9" s="29" t="e">
        <f>IF(#REF!&gt;0,5)-2*COUNTIF(#REF!,"K")+5*COUNTIF(#REF!,"T")+IF(#REF!=3,2)+IF(#REF!="T",2)</f>
        <v>#REF!</v>
      </c>
      <c r="G9" s="29" t="e">
        <f>IF((#REF!+#REF!)&gt;45,"defensive",IF((#REF!+#REF!)&gt;15,"both","offensive"))</f>
        <v>#REF!</v>
      </c>
      <c r="H9" s="16" t="e">
        <f>IF((#REF!+#REF!)=0,0,#REF!/(#REF!+#REF!))</f>
        <v>#REF!</v>
      </c>
      <c r="I9" s="16" t="e">
        <f>IF((#REF!+#REF!)=0,0,#REF!/(#REF!+#REF!))</f>
        <v>#REF!</v>
      </c>
      <c r="J9" s="16" t="e">
        <f>IF(L9=0,0,#REF!/L9)</f>
        <v>#REF!</v>
      </c>
      <c r="K9" s="16" t="e">
        <f>IF((#REF!+#REF!)=0,0,((#REF!*#REF!*0.2)+(#REF!*#REF!*0.3))/(#REF!+#REF!))</f>
        <v>#REF!</v>
      </c>
      <c r="L9" s="67" t="e">
        <f>IF(#REF!&gt;#REF!,#REF!,#REF!)</f>
        <v>#REF!</v>
      </c>
      <c r="M9" s="4" t="e">
        <f>#REF!+#REF!+#REF!+O9</f>
        <v>#REF!</v>
      </c>
      <c r="N9" s="4" t="e">
        <f>#REF!+#REF!+#REF!</f>
        <v>#REF!</v>
      </c>
      <c r="O9" s="4" t="e">
        <f>(#REF!*0.2*#REF!*30/30)+(#REF!*0.3*#REF!*12/30)-#REF!-#REF!</f>
        <v>#REF!</v>
      </c>
      <c r="P9" s="4" t="e">
        <f>VLOOKUP(#REF!,'CIR Team Info'!$C$5:$E$44,2,FALSE)</f>
        <v>#REF!</v>
      </c>
      <c r="Q9" s="4" t="e">
        <f>VLOOKUP(#REF!,'CIR Team Info'!$C$5:$E$44,3,FALSE)</f>
        <v>#REF!</v>
      </c>
      <c r="R9" s="10" t="e">
        <f>VLOOKUP(#REF!,'FRC Site Data'!$B$3:$L$42,2,FALSE)</f>
        <v>#REF!</v>
      </c>
      <c r="S9" s="10" t="e">
        <f>VLOOKUP(#REF!,'FRC Site Data'!$B$3:$L$42,3,FALSE)</f>
        <v>#REF!</v>
      </c>
      <c r="T9" s="10" t="e">
        <f>VLOOKUP(#REF!,'FRC Site Data'!$B$3:$L$42,4,FALSE)</f>
        <v>#REF!</v>
      </c>
      <c r="U9" s="10" t="e">
        <f>VLOOKUP(#REF!,'FRC Site Data'!$B$3:$L$42,5,FALSE)</f>
        <v>#REF!</v>
      </c>
      <c r="V9" s="10" t="e">
        <f>VLOOKUP(#REF!,'FRC Site Data'!$B$3:$L$42,6,FALSE)</f>
        <v>#REF!</v>
      </c>
      <c r="W9" s="10" t="e">
        <f>VLOOKUP(#REF!,'FRC Site Data'!$B$3:$L$42,8,FALSE)</f>
        <v>#REF!</v>
      </c>
      <c r="X9" s="10" t="e">
        <f>VLOOKUP(#REF!,'FRC Site Data'!$B$3:$L$42,9,FALSE)</f>
        <v>#REF!</v>
      </c>
      <c r="Y9" s="10" t="e">
        <f>VLOOKUP(#REF!,'FRC Site Data'!$B$3:$L$42,10,FALSE)</f>
        <v>#REF!</v>
      </c>
      <c r="Z9" s="10" t="e">
        <f>VLOOKUP(#REF!,'FRC Site Data'!$B$3:$L$42,11,FALSE)</f>
        <v>#REF!</v>
      </c>
      <c r="AA9" s="10" t="e">
        <f>VLOOKUP(#REF!,'CIR Team Info'!$C$5:$E$44,4,FALSE)</f>
        <v>#REF!</v>
      </c>
      <c r="AB9" s="161" t="b">
        <f>ISNUMBER(VLOOKUP(#REF!,Match!$T$5:$T$10,1,FALSE))</f>
        <v>0</v>
      </c>
      <c r="AC9" s="161" t="b">
        <f>IF(AB9=TRUE,(VLOOKUP(#REF!,Match!$T$5:$U$10,2,FALSE)))</f>
        <v>0</v>
      </c>
      <c r="AD9" s="8">
        <v>3</v>
      </c>
      <c r="AE9" s="8">
        <v>2</v>
      </c>
      <c r="AF9" s="8">
        <v>2</v>
      </c>
      <c r="AG9" s="8">
        <v>1</v>
      </c>
      <c r="AH9" s="8" t="e">
        <f>IF(#REF!="Other","x","")</f>
        <v>#REF!</v>
      </c>
      <c r="BA9" s="24"/>
      <c r="BC9" s="12"/>
      <c r="BK9" s="12"/>
    </row>
    <row r="10" spans="1:71" x14ac:dyDescent="0.25">
      <c r="A10" s="29" t="e">
        <f t="shared" si="0"/>
        <v>#VALUE!</v>
      </c>
      <c r="B10" s="29" t="e">
        <f t="shared" ref="B10:B71" si="2">H10*AD10*AO2</f>
        <v>#VALUE!</v>
      </c>
      <c r="C10" s="29" t="e">
        <f t="shared" ref="C10:C71" si="3">I10*AE10*AV2</f>
        <v>#VALUE!</v>
      </c>
      <c r="D10" s="29">
        <f t="shared" ref="D10:D71" si="4">J10*AF10*BF2</f>
        <v>0</v>
      </c>
      <c r="E10" s="29" t="e">
        <f t="shared" si="1"/>
        <v>#VALUE!</v>
      </c>
      <c r="F10" s="29">
        <f t="shared" ref="F10:F71" si="5">IF(AN2&gt;0,5)-2*COUNTIF(AQ2,"K")+5*COUNTIF(AS2,"T")+IF(AX2=3,2)+IF(AY2="T",2)</f>
        <v>10</v>
      </c>
      <c r="G10" s="29" t="str">
        <f t="shared" ref="G10:G71" si="6">IF((BB2+BC2)&gt;45,"defensive",IF((BB2+BC2)&gt;15,"both","offensive"))</f>
        <v>offensive</v>
      </c>
      <c r="H10" s="16" t="e">
        <f t="shared" ref="H10:H71" si="7">IF((AO2+AP2)=0,0,AO2/(AO2+AP2))</f>
        <v>#VALUE!</v>
      </c>
      <c r="I10" s="16" t="e">
        <f t="shared" ref="I10:I71" si="8">IF((AV2+AW2)=0,0,AV2/(AV2+AW2))</f>
        <v>#VALUE!</v>
      </c>
      <c r="J10" s="16">
        <f t="shared" ref="J10:J71" si="9">IF(L10=0,0,BG2/L10)</f>
        <v>0</v>
      </c>
      <c r="K10" s="16">
        <f t="shared" ref="K10:K71" si="10">IF((BB2+BC2)=0,0,((AZ2*BB2*0.2)+(BA2*BC2*0.3))/(BB2+BC2))</f>
        <v>0</v>
      </c>
      <c r="L10" s="67">
        <f t="shared" ref="L10:L71" si="11">IF(BF2&gt;BG2,BF2,BG2)</f>
        <v>0</v>
      </c>
      <c r="M10" s="4" t="e">
        <f t="shared" ref="M10:M71" si="12">AO2+AV2+BD2+O10</f>
        <v>#VALUE!</v>
      </c>
      <c r="N10" s="4" t="e">
        <f t="shared" ref="N10:N71" si="13">AO2+AV2+BD2</f>
        <v>#VALUE!</v>
      </c>
      <c r="O10" s="4" t="e">
        <f t="shared" ref="O10:O71" si="14">(AZ2*0.2*BB2*30/30)+(BA2*0.3*BC2*12/30)-BI2-BJ2</f>
        <v>#VALUE!</v>
      </c>
      <c r="P10" s="4" t="e">
        <f>VLOOKUP(AJ2,'CIR Team Info'!$C$5:$E$44,2,FALSE)</f>
        <v>#N/A</v>
      </c>
      <c r="Q10" s="4" t="e">
        <f>VLOOKUP(AJ2,'CIR Team Info'!$C$5:$E$44,3,FALSE)</f>
        <v>#N/A</v>
      </c>
      <c r="R10" s="10" t="e">
        <f>VLOOKUP(AJ2,'FRC Site Data'!$B$3:$L$42,2,FALSE)</f>
        <v>#N/A</v>
      </c>
      <c r="S10" s="10" t="e">
        <f>VLOOKUP(AJ2,'FRC Site Data'!$B$3:$L$42,3,FALSE)</f>
        <v>#N/A</v>
      </c>
      <c r="T10" s="10" t="e">
        <f>VLOOKUP(AJ2,'FRC Site Data'!$B$3:$L$42,4,FALSE)</f>
        <v>#N/A</v>
      </c>
      <c r="U10" s="10" t="e">
        <f>VLOOKUP(AJ2,'FRC Site Data'!$B$3:$L$42,5,FALSE)</f>
        <v>#N/A</v>
      </c>
      <c r="V10" s="10" t="e">
        <f>VLOOKUP(AJ2,'FRC Site Data'!$B$3:$L$42,6,FALSE)</f>
        <v>#N/A</v>
      </c>
      <c r="W10" s="10" t="e">
        <f>VLOOKUP(AJ2,'FRC Site Data'!$B$3:$L$42,8,FALSE)</f>
        <v>#N/A</v>
      </c>
      <c r="X10" s="10" t="e">
        <f>VLOOKUP(AJ2,'FRC Site Data'!$B$3:$L$42,9,FALSE)</f>
        <v>#N/A</v>
      </c>
      <c r="Y10" s="10" t="e">
        <f>VLOOKUP(AJ2,'FRC Site Data'!$B$3:$L$42,10,FALSE)</f>
        <v>#N/A</v>
      </c>
      <c r="Z10" s="10" t="e">
        <f>VLOOKUP(AJ2,'FRC Site Data'!$B$3:$L$42,11,FALSE)</f>
        <v>#N/A</v>
      </c>
      <c r="AA10" s="10" t="e">
        <f>VLOOKUP(AJ2,'CIR Team Info'!$C$5:$E$44,4,FALSE)</f>
        <v>#N/A</v>
      </c>
      <c r="AB10" s="161" t="b">
        <f>ISNUMBER(VLOOKUP(AJ2,Match!$T$5:$T$10,1,FALSE))</f>
        <v>0</v>
      </c>
      <c r="AC10" s="161" t="b">
        <f>IF(AB10=TRUE,(VLOOKUP($AJ2,Match!$T$5:$U$10,2,FALSE)))</f>
        <v>0</v>
      </c>
      <c r="AD10" s="8">
        <v>3</v>
      </c>
      <c r="AE10" s="8">
        <v>2</v>
      </c>
      <c r="AF10" s="8">
        <v>2</v>
      </c>
      <c r="AG10" s="8">
        <v>1</v>
      </c>
      <c r="BA10" s="24"/>
      <c r="BC10" s="12"/>
    </row>
    <row r="11" spans="1:71" x14ac:dyDescent="0.25">
      <c r="A11" s="29" t="e">
        <f t="shared" si="0"/>
        <v>#VALUE!</v>
      </c>
      <c r="B11" s="29" t="e">
        <f t="shared" si="2"/>
        <v>#VALUE!</v>
      </c>
      <c r="C11" s="29" t="e">
        <f t="shared" si="3"/>
        <v>#VALUE!</v>
      </c>
      <c r="D11" s="29">
        <f t="shared" si="4"/>
        <v>0</v>
      </c>
      <c r="E11" s="29" t="e">
        <f t="shared" si="1"/>
        <v>#VALUE!</v>
      </c>
      <c r="F11" s="29">
        <f t="shared" si="5"/>
        <v>5</v>
      </c>
      <c r="G11" s="29" t="str">
        <f t="shared" si="6"/>
        <v>offensive</v>
      </c>
      <c r="H11" s="16" t="e">
        <f t="shared" si="7"/>
        <v>#VALUE!</v>
      </c>
      <c r="I11" s="16" t="e">
        <f t="shared" si="8"/>
        <v>#VALUE!</v>
      </c>
      <c r="J11" s="16">
        <f t="shared" si="9"/>
        <v>0</v>
      </c>
      <c r="K11" s="16">
        <f>IF((BB3+BC3)=0,0,((AZ3*BB3*0.2)+(#REF!*BC3*0.3))/(BB3+BC3))</f>
        <v>0</v>
      </c>
      <c r="L11" s="67">
        <f t="shared" si="11"/>
        <v>0</v>
      </c>
      <c r="M11" s="4" t="e">
        <f t="shared" si="12"/>
        <v>#VALUE!</v>
      </c>
      <c r="N11" s="4" t="e">
        <f t="shared" si="13"/>
        <v>#VALUE!</v>
      </c>
      <c r="O11" s="4" t="e">
        <f>(AZ3*0.2*BB3*30/30)+(#REF!*0.3*BC3*12/30)-BI3-BJ3</f>
        <v>#VALUE!</v>
      </c>
      <c r="P11" s="4" t="e">
        <f>VLOOKUP(AJ3,'CIR Team Info'!$C$5:$E$44,2,FALSE)</f>
        <v>#N/A</v>
      </c>
      <c r="Q11" s="4" t="e">
        <f>VLOOKUP(AJ3,'CIR Team Info'!$C$5:$E$44,3,FALSE)</f>
        <v>#N/A</v>
      </c>
      <c r="R11" s="10" t="e">
        <f>VLOOKUP(AJ3,'FRC Site Data'!$B$3:$L$42,2,FALSE)</f>
        <v>#N/A</v>
      </c>
      <c r="S11" s="10" t="e">
        <f>VLOOKUP(AJ3,'FRC Site Data'!$B$3:$L$42,3,FALSE)</f>
        <v>#N/A</v>
      </c>
      <c r="T11" s="10" t="e">
        <f>VLOOKUP(AJ3,'FRC Site Data'!$B$3:$L$42,4,FALSE)</f>
        <v>#N/A</v>
      </c>
      <c r="U11" s="10" t="e">
        <f>VLOOKUP(AJ3,'FRC Site Data'!$B$3:$L$42,5,FALSE)</f>
        <v>#N/A</v>
      </c>
      <c r="V11" s="10" t="e">
        <f>VLOOKUP(AJ3,'FRC Site Data'!$B$3:$L$42,6,FALSE)</f>
        <v>#N/A</v>
      </c>
      <c r="W11" s="10" t="e">
        <f>VLOOKUP(AJ3,'FRC Site Data'!$B$3:$L$42,8,FALSE)</f>
        <v>#N/A</v>
      </c>
      <c r="X11" s="10" t="e">
        <f>VLOOKUP(AJ3,'FRC Site Data'!$B$3:$L$42,9,FALSE)</f>
        <v>#N/A</v>
      </c>
      <c r="Y11" s="10" t="e">
        <f>VLOOKUP(AJ3,'FRC Site Data'!$B$3:$L$42,10,FALSE)</f>
        <v>#N/A</v>
      </c>
      <c r="Z11" s="10" t="e">
        <f>VLOOKUP(AJ3,'FRC Site Data'!$B$3:$L$42,11,FALSE)</f>
        <v>#N/A</v>
      </c>
      <c r="AA11" s="10" t="e">
        <f>VLOOKUP(AJ3,'CIR Team Info'!$C$5:$E$44,4,FALSE)</f>
        <v>#N/A</v>
      </c>
      <c r="AB11" s="161" t="b">
        <f>ISNUMBER(VLOOKUP(AJ3,Match!$T$5:$T$10,1,FALSE))</f>
        <v>0</v>
      </c>
      <c r="AC11" s="161" t="b">
        <f>IF(AB11=TRUE,(VLOOKUP($AJ3,Match!$T$5:$U$10,2,FALSE)))</f>
        <v>0</v>
      </c>
      <c r="AD11" s="8">
        <v>3</v>
      </c>
      <c r="AE11" s="8">
        <v>2</v>
      </c>
      <c r="AF11" s="8">
        <v>2</v>
      </c>
      <c r="AG11" s="8">
        <v>1</v>
      </c>
      <c r="AH11" s="8" t="str">
        <f t="shared" ref="AH11:AH74" si="15">IF(AL3="Other","x","")</f>
        <v/>
      </c>
      <c r="BA11" s="24"/>
      <c r="BC11" s="12"/>
    </row>
    <row r="12" spans="1:71" x14ac:dyDescent="0.25">
      <c r="A12" s="29" t="e">
        <f t="shared" si="0"/>
        <v>#VALUE!</v>
      </c>
      <c r="B12" s="29" t="e">
        <f t="shared" si="2"/>
        <v>#VALUE!</v>
      </c>
      <c r="C12" s="29" t="e">
        <f t="shared" si="3"/>
        <v>#VALUE!</v>
      </c>
      <c r="D12" s="29">
        <f t="shared" si="4"/>
        <v>0</v>
      </c>
      <c r="E12" s="29" t="e">
        <f t="shared" si="1"/>
        <v>#VALUE!</v>
      </c>
      <c r="F12" s="29">
        <f t="shared" si="5"/>
        <v>10</v>
      </c>
      <c r="G12" s="29" t="str">
        <f t="shared" si="6"/>
        <v>offensive</v>
      </c>
      <c r="H12" s="16" t="e">
        <f t="shared" si="7"/>
        <v>#VALUE!</v>
      </c>
      <c r="I12" s="16" t="e">
        <f t="shared" si="8"/>
        <v>#VALUE!</v>
      </c>
      <c r="J12" s="16">
        <f t="shared" si="9"/>
        <v>0</v>
      </c>
      <c r="K12" s="16">
        <f t="shared" si="10"/>
        <v>0</v>
      </c>
      <c r="L12" s="67">
        <f t="shared" si="11"/>
        <v>0</v>
      </c>
      <c r="M12" s="4" t="e">
        <f t="shared" si="12"/>
        <v>#VALUE!</v>
      </c>
      <c r="N12" s="4" t="e">
        <f t="shared" si="13"/>
        <v>#VALUE!</v>
      </c>
      <c r="O12" s="4" t="e">
        <f t="shared" si="14"/>
        <v>#VALUE!</v>
      </c>
      <c r="P12" s="4" t="e">
        <f>VLOOKUP(AJ4,'CIR Team Info'!$C$5:$E$44,2,FALSE)</f>
        <v>#N/A</v>
      </c>
      <c r="Q12" s="4" t="e">
        <f>VLOOKUP(AJ4,'CIR Team Info'!$C$5:$E$44,3,FALSE)</f>
        <v>#N/A</v>
      </c>
      <c r="R12" s="10" t="e">
        <f>VLOOKUP(AJ4,'FRC Site Data'!$B$3:$L$42,2,FALSE)</f>
        <v>#N/A</v>
      </c>
      <c r="S12" s="10" t="e">
        <f>VLOOKUP(AJ4,'FRC Site Data'!$B$3:$L$42,3,FALSE)</f>
        <v>#N/A</v>
      </c>
      <c r="T12" s="10" t="e">
        <f>VLOOKUP(AJ4,'FRC Site Data'!$B$3:$L$42,4,FALSE)</f>
        <v>#N/A</v>
      </c>
      <c r="U12" s="10" t="e">
        <f>VLOOKUP(AJ4,'FRC Site Data'!$B$3:$L$42,5,FALSE)</f>
        <v>#N/A</v>
      </c>
      <c r="V12" s="10" t="e">
        <f>VLOOKUP(AJ4,'FRC Site Data'!$B$3:$L$42,6,FALSE)</f>
        <v>#N/A</v>
      </c>
      <c r="W12" s="10" t="e">
        <f>VLOOKUP(AJ4,'FRC Site Data'!$B$3:$L$42,8,FALSE)</f>
        <v>#N/A</v>
      </c>
      <c r="X12" s="10" t="e">
        <f>VLOOKUP(AJ4,'FRC Site Data'!$B$3:$L$42,9,FALSE)</f>
        <v>#N/A</v>
      </c>
      <c r="Y12" s="10" t="e">
        <f>VLOOKUP(AJ4,'FRC Site Data'!$B$3:$L$42,10,FALSE)</f>
        <v>#N/A</v>
      </c>
      <c r="Z12" s="10" t="e">
        <f>VLOOKUP(AJ4,'FRC Site Data'!$B$3:$L$42,11,FALSE)</f>
        <v>#N/A</v>
      </c>
      <c r="AA12" s="10" t="e">
        <f>VLOOKUP(AJ4,'CIR Team Info'!$C$5:$E$44,4,FALSE)</f>
        <v>#N/A</v>
      </c>
      <c r="AB12" s="161" t="b">
        <f>ISNUMBER(VLOOKUP(AJ4,Match!$T$5:$T$10,1,FALSE))</f>
        <v>0</v>
      </c>
      <c r="AC12" s="161" t="b">
        <f>IF(AB12=TRUE,(VLOOKUP($AJ4,Match!$T$5:$U$10,2,FALSE)))</f>
        <v>0</v>
      </c>
      <c r="AD12" s="8">
        <v>3</v>
      </c>
      <c r="AE12" s="8">
        <v>2</v>
      </c>
      <c r="AF12" s="8">
        <v>2</v>
      </c>
      <c r="AG12" s="8">
        <v>1</v>
      </c>
      <c r="AH12" s="8" t="str">
        <f t="shared" si="15"/>
        <v/>
      </c>
      <c r="BA12" s="24"/>
      <c r="BC12" s="12"/>
    </row>
    <row r="13" spans="1:71" x14ac:dyDescent="0.25">
      <c r="A13" s="29" t="e">
        <f t="shared" si="0"/>
        <v>#VALUE!</v>
      </c>
      <c r="B13" s="29" t="e">
        <f t="shared" si="2"/>
        <v>#VALUE!</v>
      </c>
      <c r="C13" s="29" t="e">
        <f t="shared" si="3"/>
        <v>#VALUE!</v>
      </c>
      <c r="D13" s="29">
        <f t="shared" si="4"/>
        <v>0</v>
      </c>
      <c r="E13" s="29" t="e">
        <f t="shared" si="1"/>
        <v>#VALUE!</v>
      </c>
      <c r="F13" s="29">
        <f t="shared" si="5"/>
        <v>10</v>
      </c>
      <c r="G13" s="29" t="str">
        <f t="shared" si="6"/>
        <v>offensive</v>
      </c>
      <c r="H13" s="16" t="e">
        <f t="shared" si="7"/>
        <v>#VALUE!</v>
      </c>
      <c r="I13" s="16" t="e">
        <f t="shared" si="8"/>
        <v>#VALUE!</v>
      </c>
      <c r="J13" s="16">
        <f t="shared" si="9"/>
        <v>0</v>
      </c>
      <c r="K13" s="16">
        <f t="shared" si="10"/>
        <v>0</v>
      </c>
      <c r="L13" s="67">
        <f t="shared" si="11"/>
        <v>0</v>
      </c>
      <c r="M13" s="4" t="e">
        <f t="shared" si="12"/>
        <v>#VALUE!</v>
      </c>
      <c r="N13" s="4" t="e">
        <f t="shared" si="13"/>
        <v>#VALUE!</v>
      </c>
      <c r="O13" s="4" t="e">
        <f t="shared" si="14"/>
        <v>#VALUE!</v>
      </c>
      <c r="P13" s="4" t="e">
        <f>VLOOKUP(AJ5,'CIR Team Info'!$C$5:$E$44,2,FALSE)</f>
        <v>#N/A</v>
      </c>
      <c r="Q13" s="4" t="e">
        <f>VLOOKUP(AJ5,'CIR Team Info'!$C$5:$E$44,3,FALSE)</f>
        <v>#N/A</v>
      </c>
      <c r="R13" s="10">
        <f>VLOOKUP(AJ5,'FRC Site Data'!$B$3:$L$42,2,FALSE)</f>
        <v>10</v>
      </c>
      <c r="S13" s="10">
        <f>VLOOKUP(AJ5,'FRC Site Data'!$B$3:$L$42,3,FALSE)</f>
        <v>178</v>
      </c>
      <c r="T13" s="10">
        <f>VLOOKUP(AJ5,'FRC Site Data'!$B$3:$L$42,4,FALSE)</f>
        <v>80</v>
      </c>
      <c r="U13" s="10">
        <f>VLOOKUP(AJ5,'FRC Site Data'!$B$3:$L$42,5,FALSE)</f>
        <v>213</v>
      </c>
      <c r="V13" s="10">
        <f>VLOOKUP(AJ5,'FRC Site Data'!$B$3:$L$42,6,FALSE)</f>
        <v>36649</v>
      </c>
      <c r="W13" s="10">
        <f>VLOOKUP(AJ5,'FRC Site Data'!$B$3:$L$42,8,FALSE)</f>
        <v>8</v>
      </c>
      <c r="X13" s="10">
        <f>VLOOKUP(AJ5,'FRC Site Data'!$B$3:$L$42,9,FALSE)</f>
        <v>0</v>
      </c>
      <c r="Y13" s="10" t="str">
        <f>VLOOKUP(AJ5,'FRC Site Data'!$B$3:$L$42,10,FALSE)</f>
        <v>05-03-00</v>
      </c>
      <c r="Z13" s="10">
        <f>VLOOKUP(AJ5,'FRC Site Data'!$B$3:$L$42,11,FALSE)</f>
        <v>11</v>
      </c>
      <c r="AA13" s="10" t="e">
        <f>VLOOKUP(AJ5,'CIR Team Info'!$C$5:$E$44,4,FALSE)</f>
        <v>#N/A</v>
      </c>
      <c r="AB13" s="161" t="b">
        <f>ISNUMBER(VLOOKUP(AJ5,Match!$T$5:$T$10,1,FALSE))</f>
        <v>1</v>
      </c>
      <c r="AC13" s="161" t="str">
        <f>IF(AB13=TRUE,(VLOOKUP($AJ5,Match!$T$5:$U$10,2,FALSE)))</f>
        <v>Red 1</v>
      </c>
      <c r="AD13" s="8">
        <v>3</v>
      </c>
      <c r="AE13" s="8">
        <v>2</v>
      </c>
      <c r="AF13" s="8">
        <v>2</v>
      </c>
      <c r="AG13" s="8">
        <v>1</v>
      </c>
      <c r="AH13" s="8" t="str">
        <f t="shared" si="15"/>
        <v/>
      </c>
      <c r="BA13" s="24"/>
      <c r="BC13" s="12"/>
    </row>
    <row r="14" spans="1:71" x14ac:dyDescent="0.25">
      <c r="A14" s="29" t="e">
        <f t="shared" si="0"/>
        <v>#VALUE!</v>
      </c>
      <c r="B14" s="29" t="e">
        <f t="shared" si="2"/>
        <v>#VALUE!</v>
      </c>
      <c r="C14" s="29" t="e">
        <f t="shared" si="3"/>
        <v>#VALUE!</v>
      </c>
      <c r="D14" s="29">
        <f t="shared" si="4"/>
        <v>0</v>
      </c>
      <c r="E14" s="29" t="e">
        <f t="shared" si="1"/>
        <v>#VALUE!</v>
      </c>
      <c r="F14" s="29">
        <f t="shared" si="5"/>
        <v>10</v>
      </c>
      <c r="G14" s="29" t="str">
        <f t="shared" si="6"/>
        <v>offensive</v>
      </c>
      <c r="H14" s="16" t="e">
        <f t="shared" si="7"/>
        <v>#VALUE!</v>
      </c>
      <c r="I14" s="16" t="e">
        <f t="shared" si="8"/>
        <v>#VALUE!</v>
      </c>
      <c r="J14" s="16">
        <f t="shared" si="9"/>
        <v>0</v>
      </c>
      <c r="K14" s="16">
        <f t="shared" si="10"/>
        <v>0</v>
      </c>
      <c r="L14" s="67">
        <f t="shared" si="11"/>
        <v>0</v>
      </c>
      <c r="M14" s="4" t="e">
        <f t="shared" si="12"/>
        <v>#VALUE!</v>
      </c>
      <c r="N14" s="4" t="e">
        <f t="shared" si="13"/>
        <v>#VALUE!</v>
      </c>
      <c r="O14" s="4" t="e">
        <f t="shared" si="14"/>
        <v>#VALUE!</v>
      </c>
      <c r="P14" s="4" t="e">
        <f>VLOOKUP(AJ6,'CIR Team Info'!$C$5:$E$44,2,FALSE)</f>
        <v>#N/A</v>
      </c>
      <c r="Q14" s="4" t="e">
        <f>VLOOKUP(AJ6,'CIR Team Info'!$C$5:$E$44,3,FALSE)</f>
        <v>#N/A</v>
      </c>
      <c r="R14" s="10" t="e">
        <f>VLOOKUP(AJ6,'FRC Site Data'!$B$3:$L$42,2,FALSE)</f>
        <v>#N/A</v>
      </c>
      <c r="S14" s="10" t="e">
        <f>VLOOKUP(AJ6,'FRC Site Data'!$B$3:$L$42,3,FALSE)</f>
        <v>#N/A</v>
      </c>
      <c r="T14" s="10" t="e">
        <f>VLOOKUP(AJ6,'FRC Site Data'!$B$3:$L$42,4,FALSE)</f>
        <v>#N/A</v>
      </c>
      <c r="U14" s="10" t="e">
        <f>VLOOKUP(AJ6,'FRC Site Data'!$B$3:$L$42,5,FALSE)</f>
        <v>#N/A</v>
      </c>
      <c r="V14" s="10" t="e">
        <f>VLOOKUP(AJ6,'FRC Site Data'!$B$3:$L$42,6,FALSE)</f>
        <v>#N/A</v>
      </c>
      <c r="W14" s="10" t="e">
        <f>VLOOKUP(AJ6,'FRC Site Data'!$B$3:$L$42,8,FALSE)</f>
        <v>#N/A</v>
      </c>
      <c r="X14" s="10" t="e">
        <f>VLOOKUP(AJ6,'FRC Site Data'!$B$3:$L$42,9,FALSE)</f>
        <v>#N/A</v>
      </c>
      <c r="Y14" s="10" t="e">
        <f>VLOOKUP(AJ6,'FRC Site Data'!$B$3:$L$42,10,FALSE)</f>
        <v>#N/A</v>
      </c>
      <c r="Z14" s="10" t="e">
        <f>VLOOKUP(AJ6,'FRC Site Data'!$B$3:$L$42,11,FALSE)</f>
        <v>#N/A</v>
      </c>
      <c r="AA14" s="10" t="e">
        <f>VLOOKUP(AJ6,'CIR Team Info'!$C$5:$E$44,4,FALSE)</f>
        <v>#N/A</v>
      </c>
      <c r="AB14" s="161" t="b">
        <f>ISNUMBER(VLOOKUP(AJ6,Match!$T$5:$T$10,1,FALSE))</f>
        <v>0</v>
      </c>
      <c r="AC14" s="161" t="b">
        <f>IF(AB14=TRUE,(VLOOKUP($AJ6,Match!$T$5:$U$10,2,FALSE)))</f>
        <v>0</v>
      </c>
      <c r="AD14" s="8">
        <v>3</v>
      </c>
      <c r="AE14" s="8">
        <v>2</v>
      </c>
      <c r="AF14" s="8">
        <v>2</v>
      </c>
      <c r="AG14" s="8">
        <v>1</v>
      </c>
      <c r="AH14" s="8" t="str">
        <f t="shared" si="15"/>
        <v/>
      </c>
      <c r="BA14" s="24"/>
      <c r="BC14" s="12"/>
    </row>
    <row r="15" spans="1:71" x14ac:dyDescent="0.25">
      <c r="A15" s="29" t="e">
        <f t="shared" si="0"/>
        <v>#VALUE!</v>
      </c>
      <c r="B15" s="29" t="e">
        <f t="shared" si="2"/>
        <v>#VALUE!</v>
      </c>
      <c r="C15" s="29" t="e">
        <f t="shared" si="3"/>
        <v>#VALUE!</v>
      </c>
      <c r="D15" s="29">
        <f t="shared" si="4"/>
        <v>0</v>
      </c>
      <c r="E15" s="29" t="e">
        <f t="shared" si="1"/>
        <v>#VALUE!</v>
      </c>
      <c r="F15" s="29">
        <f t="shared" si="5"/>
        <v>5</v>
      </c>
      <c r="G15" s="29" t="str">
        <f t="shared" si="6"/>
        <v>offensive</v>
      </c>
      <c r="H15" s="16" t="e">
        <f t="shared" si="7"/>
        <v>#VALUE!</v>
      </c>
      <c r="I15" s="16" t="e">
        <f t="shared" si="8"/>
        <v>#VALUE!</v>
      </c>
      <c r="J15" s="16">
        <f t="shared" si="9"/>
        <v>0</v>
      </c>
      <c r="K15" s="16">
        <f t="shared" si="10"/>
        <v>0</v>
      </c>
      <c r="L15" s="67">
        <f t="shared" si="11"/>
        <v>0</v>
      </c>
      <c r="M15" s="4" t="e">
        <f t="shared" si="12"/>
        <v>#VALUE!</v>
      </c>
      <c r="N15" s="4" t="e">
        <f t="shared" si="13"/>
        <v>#VALUE!</v>
      </c>
      <c r="O15" s="4" t="e">
        <f t="shared" si="14"/>
        <v>#VALUE!</v>
      </c>
      <c r="P15" s="4" t="e">
        <f>VLOOKUP(AJ7,'CIR Team Info'!$C$5:$E$44,2,FALSE)</f>
        <v>#N/A</v>
      </c>
      <c r="Q15" s="4" t="e">
        <f>VLOOKUP(AJ7,'CIR Team Info'!$C$5:$E$44,3,FALSE)</f>
        <v>#N/A</v>
      </c>
      <c r="R15" s="10">
        <f>VLOOKUP(AJ7,'FRC Site Data'!$B$3:$L$42,2,FALSE)</f>
        <v>10</v>
      </c>
      <c r="S15" s="10">
        <f>VLOOKUP(AJ7,'FRC Site Data'!$B$3:$L$42,3,FALSE)</f>
        <v>178</v>
      </c>
      <c r="T15" s="10">
        <f>VLOOKUP(AJ7,'FRC Site Data'!$B$3:$L$42,4,FALSE)</f>
        <v>80</v>
      </c>
      <c r="U15" s="10">
        <f>VLOOKUP(AJ7,'FRC Site Data'!$B$3:$L$42,5,FALSE)</f>
        <v>213</v>
      </c>
      <c r="V15" s="10">
        <f>VLOOKUP(AJ7,'FRC Site Data'!$B$3:$L$42,6,FALSE)</f>
        <v>36649</v>
      </c>
      <c r="W15" s="10">
        <f>VLOOKUP(AJ7,'FRC Site Data'!$B$3:$L$42,8,FALSE)</f>
        <v>8</v>
      </c>
      <c r="X15" s="10">
        <f>VLOOKUP(AJ7,'FRC Site Data'!$B$3:$L$42,9,FALSE)</f>
        <v>0</v>
      </c>
      <c r="Y15" s="10" t="str">
        <f>VLOOKUP(AJ7,'FRC Site Data'!$B$3:$L$42,10,FALSE)</f>
        <v>05-03-00</v>
      </c>
      <c r="Z15" s="10">
        <f>VLOOKUP(AJ7,'FRC Site Data'!$B$3:$L$42,11,FALSE)</f>
        <v>11</v>
      </c>
      <c r="AA15" s="10" t="e">
        <f>VLOOKUP(AJ7,'CIR Team Info'!$C$5:$E$44,4,FALSE)</f>
        <v>#N/A</v>
      </c>
      <c r="AB15" s="161" t="b">
        <f>ISNUMBER(VLOOKUP(AJ7,Match!$T$5:$T$10,1,FALSE))</f>
        <v>1</v>
      </c>
      <c r="AC15" s="161" t="str">
        <f>IF(AB15=TRUE,(VLOOKUP($AJ7,Match!$T$5:$U$10,2,FALSE)))</f>
        <v>Red 1</v>
      </c>
      <c r="AD15" s="8">
        <v>3</v>
      </c>
      <c r="AE15" s="8">
        <v>2</v>
      </c>
      <c r="AF15" s="8">
        <v>2</v>
      </c>
      <c r="AG15" s="8">
        <v>1</v>
      </c>
      <c r="AH15" s="8" t="str">
        <f t="shared" si="15"/>
        <v/>
      </c>
      <c r="BA15" s="24"/>
      <c r="BC15" s="12"/>
    </row>
    <row r="16" spans="1:71" x14ac:dyDescent="0.25">
      <c r="A16" s="29">
        <f t="shared" si="0"/>
        <v>0</v>
      </c>
      <c r="B16" s="29">
        <f t="shared" si="2"/>
        <v>0</v>
      </c>
      <c r="C16" s="29">
        <f t="shared" si="3"/>
        <v>0</v>
      </c>
      <c r="D16" s="29">
        <f t="shared" si="4"/>
        <v>0</v>
      </c>
      <c r="E16" s="29">
        <f t="shared" si="1"/>
        <v>0</v>
      </c>
      <c r="F16" s="29">
        <f t="shared" si="5"/>
        <v>0</v>
      </c>
      <c r="G16" s="29" t="str">
        <f t="shared" si="6"/>
        <v>offensive</v>
      </c>
      <c r="H16" s="16">
        <f t="shared" si="7"/>
        <v>0</v>
      </c>
      <c r="I16" s="16">
        <f t="shared" si="8"/>
        <v>0</v>
      </c>
      <c r="J16" s="16">
        <f t="shared" si="9"/>
        <v>0</v>
      </c>
      <c r="K16" s="16">
        <f t="shared" si="10"/>
        <v>0</v>
      </c>
      <c r="L16" s="67">
        <f t="shared" si="11"/>
        <v>0</v>
      </c>
      <c r="M16" s="4">
        <f t="shared" si="12"/>
        <v>0</v>
      </c>
      <c r="N16" s="4">
        <f t="shared" si="13"/>
        <v>0</v>
      </c>
      <c r="O16" s="4">
        <f t="shared" si="14"/>
        <v>0</v>
      </c>
      <c r="P16" s="4" t="e">
        <f>VLOOKUP(AJ8,'CIR Team Info'!$C$5:$E$44,2,FALSE)</f>
        <v>#N/A</v>
      </c>
      <c r="Q16" s="4" t="e">
        <f>VLOOKUP(AJ8,'CIR Team Info'!$C$5:$E$44,3,FALSE)</f>
        <v>#N/A</v>
      </c>
      <c r="R16" s="10" t="e">
        <f>VLOOKUP(AJ8,'FRC Site Data'!$B$3:$L$42,2,FALSE)</f>
        <v>#N/A</v>
      </c>
      <c r="S16" s="10" t="e">
        <f>VLOOKUP(AJ8,'FRC Site Data'!$B$3:$L$42,3,FALSE)</f>
        <v>#N/A</v>
      </c>
      <c r="T16" s="10" t="e">
        <f>VLOOKUP(AJ8,'FRC Site Data'!$B$3:$L$42,4,FALSE)</f>
        <v>#N/A</v>
      </c>
      <c r="U16" s="10" t="e">
        <f>VLOOKUP(AJ8,'FRC Site Data'!$B$3:$L$42,5,FALSE)</f>
        <v>#N/A</v>
      </c>
      <c r="V16" s="10" t="e">
        <f>VLOOKUP(AJ8,'FRC Site Data'!$B$3:$L$42,6,FALSE)</f>
        <v>#N/A</v>
      </c>
      <c r="W16" s="10" t="e">
        <f>VLOOKUP(AJ8,'FRC Site Data'!$B$3:$L$42,8,FALSE)</f>
        <v>#N/A</v>
      </c>
      <c r="X16" s="10" t="e">
        <f>VLOOKUP(AJ8,'FRC Site Data'!$B$3:$L$42,9,FALSE)</f>
        <v>#N/A</v>
      </c>
      <c r="Y16" s="10" t="e">
        <f>VLOOKUP(AJ8,'FRC Site Data'!$B$3:$L$42,10,FALSE)</f>
        <v>#N/A</v>
      </c>
      <c r="Z16" s="10" t="e">
        <f>VLOOKUP(AJ8,'FRC Site Data'!$B$3:$L$42,11,FALSE)</f>
        <v>#N/A</v>
      </c>
      <c r="AA16" s="10" t="e">
        <f>VLOOKUP(AJ8,'CIR Team Info'!$C$5:$E$44,4,FALSE)</f>
        <v>#N/A</v>
      </c>
      <c r="AB16" s="161" t="b">
        <f>ISNUMBER(VLOOKUP(AJ8,Match!$T$5:$T$10,1,FALSE))</f>
        <v>0</v>
      </c>
      <c r="AC16" s="161" t="b">
        <f>IF(AB16=TRUE,(VLOOKUP($AJ8,Match!$T$5:$U$10,2,FALSE)))</f>
        <v>0</v>
      </c>
      <c r="AD16" s="8">
        <v>3</v>
      </c>
      <c r="AE16" s="8">
        <v>2</v>
      </c>
      <c r="AF16" s="8">
        <v>2</v>
      </c>
      <c r="AG16" s="8">
        <v>1</v>
      </c>
      <c r="AH16" s="8" t="str">
        <f t="shared" si="15"/>
        <v/>
      </c>
      <c r="BA16" s="24"/>
      <c r="BC16" s="12"/>
    </row>
    <row r="17" spans="1:55" x14ac:dyDescent="0.25">
      <c r="A17" s="29">
        <f t="shared" si="0"/>
        <v>0</v>
      </c>
      <c r="B17" s="29">
        <f t="shared" si="2"/>
        <v>0</v>
      </c>
      <c r="C17" s="29">
        <f t="shared" si="3"/>
        <v>0</v>
      </c>
      <c r="D17" s="29">
        <f t="shared" si="4"/>
        <v>0</v>
      </c>
      <c r="E17" s="29">
        <f t="shared" si="1"/>
        <v>0</v>
      </c>
      <c r="F17" s="29">
        <f t="shared" si="5"/>
        <v>0</v>
      </c>
      <c r="G17" s="29" t="str">
        <f t="shared" si="6"/>
        <v>offensive</v>
      </c>
      <c r="H17" s="16">
        <f t="shared" si="7"/>
        <v>0</v>
      </c>
      <c r="I17" s="16">
        <f t="shared" si="8"/>
        <v>0</v>
      </c>
      <c r="J17" s="16">
        <f t="shared" si="9"/>
        <v>0</v>
      </c>
      <c r="K17" s="16">
        <f t="shared" si="10"/>
        <v>0</v>
      </c>
      <c r="L17" s="67">
        <f t="shared" si="11"/>
        <v>0</v>
      </c>
      <c r="M17" s="4">
        <f t="shared" si="12"/>
        <v>0</v>
      </c>
      <c r="N17" s="4">
        <f t="shared" si="13"/>
        <v>0</v>
      </c>
      <c r="O17" s="4">
        <f t="shared" si="14"/>
        <v>0</v>
      </c>
      <c r="P17" s="4" t="e">
        <f>VLOOKUP(AJ9,'CIR Team Info'!$C$5:$E$44,2,FALSE)</f>
        <v>#N/A</v>
      </c>
      <c r="Q17" s="4" t="e">
        <f>VLOOKUP(AJ9,'CIR Team Info'!$C$5:$E$44,3,FALSE)</f>
        <v>#N/A</v>
      </c>
      <c r="R17" s="10" t="e">
        <f>VLOOKUP(AJ9,'FRC Site Data'!$B$3:$L$42,2,FALSE)</f>
        <v>#N/A</v>
      </c>
      <c r="S17" s="10" t="e">
        <f>VLOOKUP(AJ9,'FRC Site Data'!$B$3:$L$42,3,FALSE)</f>
        <v>#N/A</v>
      </c>
      <c r="T17" s="10" t="e">
        <f>VLOOKUP(AJ9,'FRC Site Data'!$B$3:$L$42,4,FALSE)</f>
        <v>#N/A</v>
      </c>
      <c r="U17" s="10" t="e">
        <f>VLOOKUP(AJ9,'FRC Site Data'!$B$3:$L$42,5,FALSE)</f>
        <v>#N/A</v>
      </c>
      <c r="V17" s="10" t="e">
        <f>VLOOKUP(AJ9,'FRC Site Data'!$B$3:$L$42,6,FALSE)</f>
        <v>#N/A</v>
      </c>
      <c r="W17" s="10" t="e">
        <f>VLOOKUP(AJ9,'FRC Site Data'!$B$3:$L$42,8,FALSE)</f>
        <v>#N/A</v>
      </c>
      <c r="X17" s="10" t="e">
        <f>VLOOKUP(AJ9,'FRC Site Data'!$B$3:$L$42,9,FALSE)</f>
        <v>#N/A</v>
      </c>
      <c r="Y17" s="10" t="e">
        <f>VLOOKUP(AJ9,'FRC Site Data'!$B$3:$L$42,10,FALSE)</f>
        <v>#N/A</v>
      </c>
      <c r="Z17" s="10" t="e">
        <f>VLOOKUP(AJ9,'FRC Site Data'!$B$3:$L$42,11,FALSE)</f>
        <v>#N/A</v>
      </c>
      <c r="AA17" s="10" t="e">
        <f>VLOOKUP(AJ9,'CIR Team Info'!$C$5:$E$44,4,FALSE)</f>
        <v>#N/A</v>
      </c>
      <c r="AB17" s="161" t="b">
        <f>ISNUMBER(VLOOKUP(AJ9,Match!$T$5:$T$10,1,FALSE))</f>
        <v>0</v>
      </c>
      <c r="AC17" s="161" t="b">
        <f>IF(AB17=TRUE,(VLOOKUP($AJ9,Match!$T$5:$U$10,2,FALSE)))</f>
        <v>0</v>
      </c>
      <c r="AD17" s="8">
        <v>3</v>
      </c>
      <c r="AE17" s="8">
        <v>2</v>
      </c>
      <c r="AF17" s="8">
        <v>2</v>
      </c>
      <c r="AG17" s="8">
        <v>1</v>
      </c>
      <c r="AH17" s="8" t="str">
        <f t="shared" si="15"/>
        <v/>
      </c>
      <c r="BA17" s="24"/>
      <c r="BC17" s="12"/>
    </row>
    <row r="18" spans="1:55" x14ac:dyDescent="0.25">
      <c r="A18" s="29">
        <f t="shared" si="0"/>
        <v>0</v>
      </c>
      <c r="B18" s="29">
        <f t="shared" si="2"/>
        <v>0</v>
      </c>
      <c r="C18" s="29">
        <f t="shared" si="3"/>
        <v>0</v>
      </c>
      <c r="D18" s="29">
        <f t="shared" si="4"/>
        <v>0</v>
      </c>
      <c r="E18" s="29">
        <f t="shared" si="1"/>
        <v>0</v>
      </c>
      <c r="F18" s="29">
        <f t="shared" si="5"/>
        <v>0</v>
      </c>
      <c r="G18" s="29" t="str">
        <f t="shared" si="6"/>
        <v>offensive</v>
      </c>
      <c r="H18" s="16">
        <f t="shared" si="7"/>
        <v>0</v>
      </c>
      <c r="I18" s="16">
        <f t="shared" si="8"/>
        <v>0</v>
      </c>
      <c r="J18" s="16">
        <f t="shared" si="9"/>
        <v>0</v>
      </c>
      <c r="K18" s="16">
        <f t="shared" si="10"/>
        <v>0</v>
      </c>
      <c r="L18" s="67">
        <f t="shared" si="11"/>
        <v>0</v>
      </c>
      <c r="M18" s="4">
        <f t="shared" si="12"/>
        <v>0</v>
      </c>
      <c r="N18" s="4">
        <f t="shared" si="13"/>
        <v>0</v>
      </c>
      <c r="O18" s="4">
        <f t="shared" si="14"/>
        <v>0</v>
      </c>
      <c r="P18" s="4" t="e">
        <f>VLOOKUP(AJ10,'CIR Team Info'!$C$5:$E$44,2,FALSE)</f>
        <v>#N/A</v>
      </c>
      <c r="Q18" s="4" t="e">
        <f>VLOOKUP(AJ10,'CIR Team Info'!$C$5:$E$44,3,FALSE)</f>
        <v>#N/A</v>
      </c>
      <c r="R18" s="10" t="e">
        <f>VLOOKUP(AJ10,'FRC Site Data'!$B$3:$L$42,2,FALSE)</f>
        <v>#N/A</v>
      </c>
      <c r="S18" s="10" t="e">
        <f>VLOOKUP(AJ10,'FRC Site Data'!$B$3:$L$42,3,FALSE)</f>
        <v>#N/A</v>
      </c>
      <c r="T18" s="10" t="e">
        <f>VLOOKUP(AJ10,'FRC Site Data'!$B$3:$L$42,4,FALSE)</f>
        <v>#N/A</v>
      </c>
      <c r="U18" s="10" t="e">
        <f>VLOOKUP(AJ10,'FRC Site Data'!$B$3:$L$42,5,FALSE)</f>
        <v>#N/A</v>
      </c>
      <c r="V18" s="10" t="e">
        <f>VLOOKUP(AJ10,'FRC Site Data'!$B$3:$L$42,6,FALSE)</f>
        <v>#N/A</v>
      </c>
      <c r="W18" s="10" t="e">
        <f>VLOOKUP(AJ10,'FRC Site Data'!$B$3:$L$42,8,FALSE)</f>
        <v>#N/A</v>
      </c>
      <c r="X18" s="10" t="e">
        <f>VLOOKUP(AJ10,'FRC Site Data'!$B$3:$L$42,9,FALSE)</f>
        <v>#N/A</v>
      </c>
      <c r="Y18" s="10" t="e">
        <f>VLOOKUP(AJ10,'FRC Site Data'!$B$3:$L$42,10,FALSE)</f>
        <v>#N/A</v>
      </c>
      <c r="Z18" s="10" t="e">
        <f>VLOOKUP(AJ10,'FRC Site Data'!$B$3:$L$42,11,FALSE)</f>
        <v>#N/A</v>
      </c>
      <c r="AA18" s="10" t="e">
        <f>VLOOKUP(AJ10,'CIR Team Info'!$C$5:$E$44,4,FALSE)</f>
        <v>#N/A</v>
      </c>
      <c r="AB18" s="161" t="b">
        <f>ISNUMBER(VLOOKUP(AJ10,Match!$T$5:$T$10,1,FALSE))</f>
        <v>0</v>
      </c>
      <c r="AC18" s="161" t="b">
        <f>IF(AB18=TRUE,(VLOOKUP($AJ10,Match!$T$5:$U$10,2,FALSE)))</f>
        <v>0</v>
      </c>
      <c r="AD18" s="8">
        <v>3</v>
      </c>
      <c r="AE18" s="8">
        <v>2</v>
      </c>
      <c r="AF18" s="8">
        <v>2</v>
      </c>
      <c r="AG18" s="8">
        <v>1</v>
      </c>
      <c r="AH18" s="8" t="str">
        <f t="shared" si="15"/>
        <v/>
      </c>
      <c r="BA18" s="24"/>
      <c r="BC18" s="12"/>
    </row>
    <row r="19" spans="1:55" x14ac:dyDescent="0.25">
      <c r="A19" s="29">
        <f t="shared" si="0"/>
        <v>0</v>
      </c>
      <c r="B19" s="29">
        <f t="shared" si="2"/>
        <v>0</v>
      </c>
      <c r="C19" s="29">
        <f t="shared" si="3"/>
        <v>0</v>
      </c>
      <c r="D19" s="29">
        <f t="shared" si="4"/>
        <v>0</v>
      </c>
      <c r="E19" s="29">
        <f t="shared" si="1"/>
        <v>0</v>
      </c>
      <c r="F19" s="29">
        <f t="shared" si="5"/>
        <v>0</v>
      </c>
      <c r="G19" s="29" t="str">
        <f t="shared" si="6"/>
        <v>offensive</v>
      </c>
      <c r="H19" s="16">
        <f t="shared" si="7"/>
        <v>0</v>
      </c>
      <c r="I19" s="16">
        <f t="shared" si="8"/>
        <v>0</v>
      </c>
      <c r="J19" s="16">
        <f t="shared" si="9"/>
        <v>0</v>
      </c>
      <c r="K19" s="16">
        <f t="shared" si="10"/>
        <v>0</v>
      </c>
      <c r="L19" s="67">
        <f t="shared" si="11"/>
        <v>0</v>
      </c>
      <c r="M19" s="4">
        <f t="shared" si="12"/>
        <v>0</v>
      </c>
      <c r="N19" s="4">
        <f t="shared" si="13"/>
        <v>0</v>
      </c>
      <c r="O19" s="4">
        <f t="shared" si="14"/>
        <v>0</v>
      </c>
      <c r="P19" s="4" t="e">
        <f>VLOOKUP(AJ11,'CIR Team Info'!$C$5:$E$44,2,FALSE)</f>
        <v>#N/A</v>
      </c>
      <c r="Q19" s="4" t="e">
        <f>VLOOKUP(AJ11,'CIR Team Info'!$C$5:$E$44,3,FALSE)</f>
        <v>#N/A</v>
      </c>
      <c r="R19" s="10" t="e">
        <f>VLOOKUP(AJ11,'FRC Site Data'!$B$3:$L$42,2,FALSE)</f>
        <v>#N/A</v>
      </c>
      <c r="S19" s="10" t="e">
        <f>VLOOKUP(AJ11,'FRC Site Data'!$B$3:$L$42,3,FALSE)</f>
        <v>#N/A</v>
      </c>
      <c r="T19" s="10" t="e">
        <f>VLOOKUP(AJ11,'FRC Site Data'!$B$3:$L$42,4,FALSE)</f>
        <v>#N/A</v>
      </c>
      <c r="U19" s="10" t="e">
        <f>VLOOKUP(AJ11,'FRC Site Data'!$B$3:$L$42,5,FALSE)</f>
        <v>#N/A</v>
      </c>
      <c r="V19" s="10" t="e">
        <f>VLOOKUP(AJ11,'FRC Site Data'!$B$3:$L$42,6,FALSE)</f>
        <v>#N/A</v>
      </c>
      <c r="W19" s="10" t="e">
        <f>VLOOKUP(AJ11,'FRC Site Data'!$B$3:$L$42,8,FALSE)</f>
        <v>#N/A</v>
      </c>
      <c r="X19" s="10" t="e">
        <f>VLOOKUP(AJ11,'FRC Site Data'!$B$3:$L$42,9,FALSE)</f>
        <v>#N/A</v>
      </c>
      <c r="Y19" s="10" t="e">
        <f>VLOOKUP(AJ11,'FRC Site Data'!$B$3:$L$42,10,FALSE)</f>
        <v>#N/A</v>
      </c>
      <c r="Z19" s="10" t="e">
        <f>VLOOKUP(AJ11,'FRC Site Data'!$B$3:$L$42,11,FALSE)</f>
        <v>#N/A</v>
      </c>
      <c r="AA19" s="10" t="e">
        <f>VLOOKUP(AJ11,'CIR Team Info'!$C$5:$E$44,4,FALSE)</f>
        <v>#N/A</v>
      </c>
      <c r="AB19" s="161" t="b">
        <f>ISNUMBER(VLOOKUP(AJ11,Match!$T$5:$T$10,1,FALSE))</f>
        <v>0</v>
      </c>
      <c r="AC19" s="161" t="b">
        <f>IF(AB19=TRUE,(VLOOKUP($AJ11,Match!$T$5:$U$10,2,FALSE)))</f>
        <v>0</v>
      </c>
      <c r="AD19" s="8">
        <v>3</v>
      </c>
      <c r="AE19" s="8">
        <v>2</v>
      </c>
      <c r="AF19" s="8">
        <v>2</v>
      </c>
      <c r="AG19" s="8">
        <v>1</v>
      </c>
      <c r="AH19" s="8" t="str">
        <f t="shared" si="15"/>
        <v/>
      </c>
      <c r="BA19" s="24"/>
      <c r="BC19" s="12"/>
    </row>
    <row r="20" spans="1:55" x14ac:dyDescent="0.25">
      <c r="A20" s="29">
        <f t="shared" si="0"/>
        <v>0</v>
      </c>
      <c r="B20" s="29">
        <f t="shared" si="2"/>
        <v>0</v>
      </c>
      <c r="C20" s="29">
        <f t="shared" si="3"/>
        <v>0</v>
      </c>
      <c r="D20" s="29">
        <f t="shared" si="4"/>
        <v>0</v>
      </c>
      <c r="E20" s="29">
        <f t="shared" si="1"/>
        <v>0</v>
      </c>
      <c r="F20" s="29">
        <f t="shared" si="5"/>
        <v>0</v>
      </c>
      <c r="G20" s="29" t="str">
        <f t="shared" si="6"/>
        <v>offensive</v>
      </c>
      <c r="H20" s="16">
        <f t="shared" si="7"/>
        <v>0</v>
      </c>
      <c r="I20" s="16">
        <f t="shared" si="8"/>
        <v>0</v>
      </c>
      <c r="J20" s="16">
        <f t="shared" si="9"/>
        <v>0</v>
      </c>
      <c r="K20" s="16">
        <f t="shared" si="10"/>
        <v>0</v>
      </c>
      <c r="L20" s="67">
        <f t="shared" si="11"/>
        <v>0</v>
      </c>
      <c r="M20" s="4">
        <f t="shared" si="12"/>
        <v>0</v>
      </c>
      <c r="N20" s="4">
        <f t="shared" si="13"/>
        <v>0</v>
      </c>
      <c r="O20" s="4">
        <f t="shared" si="14"/>
        <v>0</v>
      </c>
      <c r="P20" s="4" t="e">
        <f>VLOOKUP(AJ12,'CIR Team Info'!$C$5:$E$44,2,FALSE)</f>
        <v>#N/A</v>
      </c>
      <c r="Q20" s="4" t="e">
        <f>VLOOKUP(AJ12,'CIR Team Info'!$C$5:$E$44,3,FALSE)</f>
        <v>#N/A</v>
      </c>
      <c r="R20" s="10" t="e">
        <f>VLOOKUP(AJ12,'FRC Site Data'!$B$3:$L$42,2,FALSE)</f>
        <v>#N/A</v>
      </c>
      <c r="S20" s="10" t="e">
        <f>VLOOKUP(AJ12,'FRC Site Data'!$B$3:$L$42,3,FALSE)</f>
        <v>#N/A</v>
      </c>
      <c r="T20" s="10" t="e">
        <f>VLOOKUP(AJ12,'FRC Site Data'!$B$3:$L$42,4,FALSE)</f>
        <v>#N/A</v>
      </c>
      <c r="U20" s="10" t="e">
        <f>VLOOKUP(AJ12,'FRC Site Data'!$B$3:$L$42,5,FALSE)</f>
        <v>#N/A</v>
      </c>
      <c r="V20" s="10" t="e">
        <f>VLOOKUP(AJ12,'FRC Site Data'!$B$3:$L$42,6,FALSE)</f>
        <v>#N/A</v>
      </c>
      <c r="W20" s="10" t="e">
        <f>VLOOKUP(AJ12,'FRC Site Data'!$B$3:$L$42,8,FALSE)</f>
        <v>#N/A</v>
      </c>
      <c r="X20" s="10" t="e">
        <f>VLOOKUP(AJ12,'FRC Site Data'!$B$3:$L$42,9,FALSE)</f>
        <v>#N/A</v>
      </c>
      <c r="Y20" s="10" t="e">
        <f>VLOOKUP(AJ12,'FRC Site Data'!$B$3:$L$42,10,FALSE)</f>
        <v>#N/A</v>
      </c>
      <c r="Z20" s="10" t="e">
        <f>VLOOKUP(AJ12,'FRC Site Data'!$B$3:$L$42,11,FALSE)</f>
        <v>#N/A</v>
      </c>
      <c r="AA20" s="10" t="e">
        <f>VLOOKUP(AJ12,'CIR Team Info'!$C$5:$E$44,4,FALSE)</f>
        <v>#N/A</v>
      </c>
      <c r="AB20" s="161" t="b">
        <f>ISNUMBER(VLOOKUP(AJ12,Match!$T$5:$T$10,1,FALSE))</f>
        <v>0</v>
      </c>
      <c r="AC20" s="161" t="b">
        <f>IF(AB20=TRUE,(VLOOKUP($AJ12,Match!$T$5:$U$10,2,FALSE)))</f>
        <v>0</v>
      </c>
      <c r="AD20" s="8">
        <v>3</v>
      </c>
      <c r="AE20" s="8">
        <v>2</v>
      </c>
      <c r="AF20" s="8">
        <v>2</v>
      </c>
      <c r="AG20" s="8">
        <v>1</v>
      </c>
      <c r="AH20" s="8" t="str">
        <f t="shared" si="15"/>
        <v/>
      </c>
      <c r="BA20" s="24"/>
      <c r="BC20" s="12"/>
    </row>
    <row r="21" spans="1:55" x14ac:dyDescent="0.25">
      <c r="A21" s="29">
        <f t="shared" si="0"/>
        <v>0</v>
      </c>
      <c r="B21" s="29">
        <f t="shared" si="2"/>
        <v>0</v>
      </c>
      <c r="C21" s="29">
        <f t="shared" si="3"/>
        <v>0</v>
      </c>
      <c r="D21" s="29">
        <f t="shared" si="4"/>
        <v>0</v>
      </c>
      <c r="E21" s="29">
        <f t="shared" si="1"/>
        <v>0</v>
      </c>
      <c r="F21" s="29">
        <f t="shared" si="5"/>
        <v>0</v>
      </c>
      <c r="G21" s="29" t="str">
        <f t="shared" si="6"/>
        <v>offensive</v>
      </c>
      <c r="H21" s="16">
        <f t="shared" si="7"/>
        <v>0</v>
      </c>
      <c r="I21" s="16">
        <f t="shared" si="8"/>
        <v>0</v>
      </c>
      <c r="J21" s="16">
        <f t="shared" si="9"/>
        <v>0</v>
      </c>
      <c r="K21" s="16">
        <f t="shared" si="10"/>
        <v>0</v>
      </c>
      <c r="L21" s="67">
        <f t="shared" si="11"/>
        <v>0</v>
      </c>
      <c r="M21" s="4">
        <f t="shared" si="12"/>
        <v>0</v>
      </c>
      <c r="N21" s="4">
        <f t="shared" si="13"/>
        <v>0</v>
      </c>
      <c r="O21" s="4">
        <f t="shared" si="14"/>
        <v>0</v>
      </c>
      <c r="P21" s="4" t="e">
        <f>VLOOKUP(AJ13,'CIR Team Info'!$C$5:$E$44,2,FALSE)</f>
        <v>#N/A</v>
      </c>
      <c r="Q21" s="4" t="e">
        <f>VLOOKUP(AJ13,'CIR Team Info'!$C$5:$E$44,3,FALSE)</f>
        <v>#N/A</v>
      </c>
      <c r="R21" s="10" t="e">
        <f>VLOOKUP(AJ13,'FRC Site Data'!$B$3:$L$42,2,FALSE)</f>
        <v>#N/A</v>
      </c>
      <c r="S21" s="10" t="e">
        <f>VLOOKUP(AJ13,'FRC Site Data'!$B$3:$L$42,3,FALSE)</f>
        <v>#N/A</v>
      </c>
      <c r="T21" s="10" t="e">
        <f>VLOOKUP(AJ13,'FRC Site Data'!$B$3:$L$42,4,FALSE)</f>
        <v>#N/A</v>
      </c>
      <c r="U21" s="10" t="e">
        <f>VLOOKUP(AJ13,'FRC Site Data'!$B$3:$L$42,5,FALSE)</f>
        <v>#N/A</v>
      </c>
      <c r="V21" s="10" t="e">
        <f>VLOOKUP(AJ13,'FRC Site Data'!$B$3:$L$42,6,FALSE)</f>
        <v>#N/A</v>
      </c>
      <c r="W21" s="10" t="e">
        <f>VLOOKUP(AJ13,'FRC Site Data'!$B$3:$L$42,8,FALSE)</f>
        <v>#N/A</v>
      </c>
      <c r="X21" s="10" t="e">
        <f>VLOOKUP(AJ13,'FRC Site Data'!$B$3:$L$42,9,FALSE)</f>
        <v>#N/A</v>
      </c>
      <c r="Y21" s="10" t="e">
        <f>VLOOKUP(AJ13,'FRC Site Data'!$B$3:$L$42,10,FALSE)</f>
        <v>#N/A</v>
      </c>
      <c r="Z21" s="10" t="e">
        <f>VLOOKUP(AJ13,'FRC Site Data'!$B$3:$L$42,11,FALSE)</f>
        <v>#N/A</v>
      </c>
      <c r="AA21" s="10" t="e">
        <f>VLOOKUP(AJ13,'CIR Team Info'!$C$5:$E$44,4,FALSE)</f>
        <v>#N/A</v>
      </c>
      <c r="AB21" s="161" t="b">
        <f>ISNUMBER(VLOOKUP(AJ13,Match!$T$5:$T$10,1,FALSE))</f>
        <v>0</v>
      </c>
      <c r="AC21" s="161" t="b">
        <f>IF(AB21=TRUE,(VLOOKUP($AJ13,Match!$T$5:$U$10,2,FALSE)))</f>
        <v>0</v>
      </c>
      <c r="AD21" s="8">
        <v>3</v>
      </c>
      <c r="AE21" s="8">
        <v>2</v>
      </c>
      <c r="AF21" s="8">
        <v>2</v>
      </c>
      <c r="AG21" s="8">
        <v>1</v>
      </c>
      <c r="AH21" s="8" t="str">
        <f t="shared" si="15"/>
        <v/>
      </c>
      <c r="BA21" s="24"/>
      <c r="BC21" s="12"/>
    </row>
    <row r="22" spans="1:55" x14ac:dyDescent="0.25">
      <c r="A22" s="29">
        <f t="shared" si="0"/>
        <v>0</v>
      </c>
      <c r="B22" s="29">
        <f t="shared" si="2"/>
        <v>0</v>
      </c>
      <c r="C22" s="29">
        <f t="shared" si="3"/>
        <v>0</v>
      </c>
      <c r="D22" s="29">
        <f t="shared" si="4"/>
        <v>0</v>
      </c>
      <c r="E22" s="29">
        <f t="shared" si="1"/>
        <v>0</v>
      </c>
      <c r="F22" s="29">
        <f t="shared" si="5"/>
        <v>0</v>
      </c>
      <c r="G22" s="29" t="str">
        <f t="shared" si="6"/>
        <v>offensive</v>
      </c>
      <c r="H22" s="16">
        <f t="shared" si="7"/>
        <v>0</v>
      </c>
      <c r="I22" s="16">
        <f t="shared" si="8"/>
        <v>0</v>
      </c>
      <c r="J22" s="16">
        <f t="shared" si="9"/>
        <v>0</v>
      </c>
      <c r="K22" s="16">
        <f t="shared" si="10"/>
        <v>0</v>
      </c>
      <c r="L22" s="67">
        <f t="shared" si="11"/>
        <v>0</v>
      </c>
      <c r="M22" s="4">
        <f t="shared" si="12"/>
        <v>0</v>
      </c>
      <c r="N22" s="4">
        <f t="shared" si="13"/>
        <v>0</v>
      </c>
      <c r="O22" s="4">
        <f t="shared" si="14"/>
        <v>0</v>
      </c>
      <c r="P22" s="4" t="e">
        <f>VLOOKUP(AJ14,'CIR Team Info'!$C$5:$E$44,2,FALSE)</f>
        <v>#N/A</v>
      </c>
      <c r="Q22" s="4" t="e">
        <f>VLOOKUP(AJ14,'CIR Team Info'!$C$5:$E$44,3,FALSE)</f>
        <v>#N/A</v>
      </c>
      <c r="R22" s="10" t="e">
        <f>VLOOKUP(AJ14,'FRC Site Data'!$B$3:$L$42,2,FALSE)</f>
        <v>#N/A</v>
      </c>
      <c r="S22" s="10" t="e">
        <f>VLOOKUP(AJ14,'FRC Site Data'!$B$3:$L$42,3,FALSE)</f>
        <v>#N/A</v>
      </c>
      <c r="T22" s="10" t="e">
        <f>VLOOKUP(AJ14,'FRC Site Data'!$B$3:$L$42,4,FALSE)</f>
        <v>#N/A</v>
      </c>
      <c r="U22" s="10" t="e">
        <f>VLOOKUP(AJ14,'FRC Site Data'!$B$3:$L$42,5,FALSE)</f>
        <v>#N/A</v>
      </c>
      <c r="V22" s="10" t="e">
        <f>VLOOKUP(AJ14,'FRC Site Data'!$B$3:$L$42,6,FALSE)</f>
        <v>#N/A</v>
      </c>
      <c r="W22" s="10" t="e">
        <f>VLOOKUP(AJ14,'FRC Site Data'!$B$3:$L$42,8,FALSE)</f>
        <v>#N/A</v>
      </c>
      <c r="X22" s="10" t="e">
        <f>VLOOKUP(AJ14,'FRC Site Data'!$B$3:$L$42,9,FALSE)</f>
        <v>#N/A</v>
      </c>
      <c r="Y22" s="10" t="e">
        <f>VLOOKUP(AJ14,'FRC Site Data'!$B$3:$L$42,10,FALSE)</f>
        <v>#N/A</v>
      </c>
      <c r="Z22" s="10" t="e">
        <f>VLOOKUP(AJ14,'FRC Site Data'!$B$3:$L$42,11,FALSE)</f>
        <v>#N/A</v>
      </c>
      <c r="AA22" s="10" t="e">
        <f>VLOOKUP(AJ14,'CIR Team Info'!$C$5:$E$44,4,FALSE)</f>
        <v>#N/A</v>
      </c>
      <c r="AB22" s="161" t="b">
        <f>ISNUMBER(VLOOKUP(AJ14,Match!$T$5:$T$10,1,FALSE))</f>
        <v>0</v>
      </c>
      <c r="AC22" s="161" t="b">
        <f>IF(AB22=TRUE,(VLOOKUP($AJ14,Match!$T$5:$U$10,2,FALSE)))</f>
        <v>0</v>
      </c>
      <c r="AD22" s="8">
        <v>3</v>
      </c>
      <c r="AE22" s="8">
        <v>2</v>
      </c>
      <c r="AF22" s="8">
        <v>2</v>
      </c>
      <c r="AG22" s="8">
        <v>1</v>
      </c>
      <c r="AH22" s="8" t="str">
        <f t="shared" si="15"/>
        <v/>
      </c>
      <c r="BA22" s="24"/>
      <c r="BC22" s="12"/>
    </row>
    <row r="23" spans="1:55" x14ac:dyDescent="0.25">
      <c r="A23" s="29">
        <f t="shared" si="0"/>
        <v>0</v>
      </c>
      <c r="B23" s="29">
        <f t="shared" si="2"/>
        <v>0</v>
      </c>
      <c r="C23" s="29">
        <f t="shared" si="3"/>
        <v>0</v>
      </c>
      <c r="D23" s="29">
        <f t="shared" si="4"/>
        <v>0</v>
      </c>
      <c r="E23" s="29">
        <f t="shared" si="1"/>
        <v>0</v>
      </c>
      <c r="F23" s="29">
        <f t="shared" si="5"/>
        <v>0</v>
      </c>
      <c r="G23" s="29" t="str">
        <f t="shared" si="6"/>
        <v>offensive</v>
      </c>
      <c r="H23" s="16">
        <f t="shared" si="7"/>
        <v>0</v>
      </c>
      <c r="I23" s="16">
        <f t="shared" si="8"/>
        <v>0</v>
      </c>
      <c r="J23" s="16">
        <f t="shared" si="9"/>
        <v>0</v>
      </c>
      <c r="K23" s="16">
        <f t="shared" si="10"/>
        <v>0</v>
      </c>
      <c r="L23" s="67">
        <f t="shared" si="11"/>
        <v>0</v>
      </c>
      <c r="M23" s="4">
        <f t="shared" si="12"/>
        <v>0</v>
      </c>
      <c r="N23" s="4">
        <f t="shared" si="13"/>
        <v>0</v>
      </c>
      <c r="O23" s="4">
        <f t="shared" si="14"/>
        <v>0</v>
      </c>
      <c r="P23" s="4" t="e">
        <f>VLOOKUP(AJ15,'CIR Team Info'!$C$5:$E$44,2,FALSE)</f>
        <v>#N/A</v>
      </c>
      <c r="Q23" s="4" t="e">
        <f>VLOOKUP(AJ15,'CIR Team Info'!$C$5:$E$44,3,FALSE)</f>
        <v>#N/A</v>
      </c>
      <c r="R23" s="10" t="e">
        <f>VLOOKUP(AJ15,'FRC Site Data'!$B$3:$L$42,2,FALSE)</f>
        <v>#N/A</v>
      </c>
      <c r="S23" s="10" t="e">
        <f>VLOOKUP(AJ15,'FRC Site Data'!$B$3:$L$42,3,FALSE)</f>
        <v>#N/A</v>
      </c>
      <c r="T23" s="10" t="e">
        <f>VLOOKUP(AJ15,'FRC Site Data'!$B$3:$L$42,4,FALSE)</f>
        <v>#N/A</v>
      </c>
      <c r="U23" s="10" t="e">
        <f>VLOOKUP(AJ15,'FRC Site Data'!$B$3:$L$42,5,FALSE)</f>
        <v>#N/A</v>
      </c>
      <c r="V23" s="10" t="e">
        <f>VLOOKUP(AJ15,'FRC Site Data'!$B$3:$L$42,6,FALSE)</f>
        <v>#N/A</v>
      </c>
      <c r="W23" s="10" t="e">
        <f>VLOOKUP(AJ15,'FRC Site Data'!$B$3:$L$42,8,FALSE)</f>
        <v>#N/A</v>
      </c>
      <c r="X23" s="10" t="e">
        <f>VLOOKUP(AJ15,'FRC Site Data'!$B$3:$L$42,9,FALSE)</f>
        <v>#N/A</v>
      </c>
      <c r="Y23" s="10" t="e">
        <f>VLOOKUP(AJ15,'FRC Site Data'!$B$3:$L$42,10,FALSE)</f>
        <v>#N/A</v>
      </c>
      <c r="Z23" s="10" t="e">
        <f>VLOOKUP(AJ15,'FRC Site Data'!$B$3:$L$42,11,FALSE)</f>
        <v>#N/A</v>
      </c>
      <c r="AA23" s="10" t="e">
        <f>VLOOKUP(AJ15,'CIR Team Info'!$C$5:$E$44,4,FALSE)</f>
        <v>#N/A</v>
      </c>
      <c r="AB23" s="161" t="b">
        <f>ISNUMBER(VLOOKUP(AJ15,Match!$T$5:$T$10,1,FALSE))</f>
        <v>0</v>
      </c>
      <c r="AC23" s="161" t="b">
        <f>IF(AB23=TRUE,(VLOOKUP($AJ15,Match!$T$5:$U$10,2,FALSE)))</f>
        <v>0</v>
      </c>
      <c r="AD23" s="8">
        <v>3</v>
      </c>
      <c r="AE23" s="8">
        <v>2</v>
      </c>
      <c r="AF23" s="8">
        <v>2</v>
      </c>
      <c r="AG23" s="8">
        <v>1</v>
      </c>
      <c r="AH23" s="8" t="str">
        <f t="shared" si="15"/>
        <v/>
      </c>
      <c r="BA23" s="24"/>
      <c r="BC23" s="12"/>
    </row>
    <row r="24" spans="1:55" x14ac:dyDescent="0.25">
      <c r="A24" s="29">
        <f t="shared" si="0"/>
        <v>0</v>
      </c>
      <c r="B24" s="29">
        <f t="shared" si="2"/>
        <v>0</v>
      </c>
      <c r="C24" s="29">
        <f t="shared" si="3"/>
        <v>0</v>
      </c>
      <c r="D24" s="29">
        <f t="shared" si="4"/>
        <v>0</v>
      </c>
      <c r="E24" s="29">
        <f t="shared" si="1"/>
        <v>0</v>
      </c>
      <c r="F24" s="29">
        <f t="shared" si="5"/>
        <v>0</v>
      </c>
      <c r="G24" s="29" t="str">
        <f t="shared" si="6"/>
        <v>offensive</v>
      </c>
      <c r="H24" s="16">
        <f t="shared" si="7"/>
        <v>0</v>
      </c>
      <c r="I24" s="16">
        <f t="shared" si="8"/>
        <v>0</v>
      </c>
      <c r="J24" s="16">
        <f t="shared" si="9"/>
        <v>0</v>
      </c>
      <c r="K24" s="16">
        <f t="shared" si="10"/>
        <v>0</v>
      </c>
      <c r="L24" s="67">
        <f t="shared" si="11"/>
        <v>0</v>
      </c>
      <c r="M24" s="4">
        <f t="shared" si="12"/>
        <v>0</v>
      </c>
      <c r="N24" s="4">
        <f t="shared" si="13"/>
        <v>0</v>
      </c>
      <c r="O24" s="4">
        <f t="shared" si="14"/>
        <v>0</v>
      </c>
      <c r="P24" s="4" t="e">
        <f>VLOOKUP(AJ16,'CIR Team Info'!$C$5:$E$44,2,FALSE)</f>
        <v>#N/A</v>
      </c>
      <c r="Q24" s="4" t="e">
        <f>VLOOKUP(AJ16,'CIR Team Info'!$C$5:$E$44,3,FALSE)</f>
        <v>#N/A</v>
      </c>
      <c r="R24" s="10" t="e">
        <f>VLOOKUP(AJ16,'FRC Site Data'!$B$3:$L$42,2,FALSE)</f>
        <v>#N/A</v>
      </c>
      <c r="S24" s="10" t="e">
        <f>VLOOKUP(AJ16,'FRC Site Data'!$B$3:$L$42,3,FALSE)</f>
        <v>#N/A</v>
      </c>
      <c r="T24" s="10" t="e">
        <f>VLOOKUP(AJ16,'FRC Site Data'!$B$3:$L$42,4,FALSE)</f>
        <v>#N/A</v>
      </c>
      <c r="U24" s="10" t="e">
        <f>VLOOKUP(AJ16,'FRC Site Data'!$B$3:$L$42,5,FALSE)</f>
        <v>#N/A</v>
      </c>
      <c r="V24" s="10" t="e">
        <f>VLOOKUP(AJ16,'FRC Site Data'!$B$3:$L$42,6,FALSE)</f>
        <v>#N/A</v>
      </c>
      <c r="W24" s="10" t="e">
        <f>VLOOKUP(AJ16,'FRC Site Data'!$B$3:$L$42,8,FALSE)</f>
        <v>#N/A</v>
      </c>
      <c r="X24" s="10" t="e">
        <f>VLOOKUP(AJ16,'FRC Site Data'!$B$3:$L$42,9,FALSE)</f>
        <v>#N/A</v>
      </c>
      <c r="Y24" s="10" t="e">
        <f>VLOOKUP(AJ16,'FRC Site Data'!$B$3:$L$42,10,FALSE)</f>
        <v>#N/A</v>
      </c>
      <c r="Z24" s="10" t="e">
        <f>VLOOKUP(AJ16,'FRC Site Data'!$B$3:$L$42,11,FALSE)</f>
        <v>#N/A</v>
      </c>
      <c r="AA24" s="10" t="e">
        <f>VLOOKUP(AJ16,'CIR Team Info'!$C$5:$E$44,4,FALSE)</f>
        <v>#N/A</v>
      </c>
      <c r="AB24" s="161" t="b">
        <f>ISNUMBER(VLOOKUP(AJ16,Match!$T$5:$T$10,1,FALSE))</f>
        <v>0</v>
      </c>
      <c r="AC24" s="161" t="b">
        <f>IF(AB24=TRUE,(VLOOKUP($AJ16,Match!$T$5:$U$10,2,FALSE)))</f>
        <v>0</v>
      </c>
      <c r="AD24" s="8">
        <v>3</v>
      </c>
      <c r="AE24" s="8">
        <v>2</v>
      </c>
      <c r="AF24" s="8">
        <v>2</v>
      </c>
      <c r="AG24" s="8">
        <v>1</v>
      </c>
      <c r="AH24" s="8" t="str">
        <f t="shared" si="15"/>
        <v/>
      </c>
      <c r="BA24" s="24"/>
      <c r="BC24" s="12"/>
    </row>
    <row r="25" spans="1:55" x14ac:dyDescent="0.25">
      <c r="A25" s="29">
        <f t="shared" si="0"/>
        <v>0</v>
      </c>
      <c r="B25" s="29">
        <f t="shared" si="2"/>
        <v>0</v>
      </c>
      <c r="C25" s="29">
        <f t="shared" si="3"/>
        <v>0</v>
      </c>
      <c r="D25" s="29">
        <f t="shared" si="4"/>
        <v>0</v>
      </c>
      <c r="E25" s="29">
        <f t="shared" si="1"/>
        <v>0</v>
      </c>
      <c r="F25" s="29">
        <f t="shared" si="5"/>
        <v>0</v>
      </c>
      <c r="G25" s="29" t="str">
        <f t="shared" si="6"/>
        <v>offensive</v>
      </c>
      <c r="H25" s="16">
        <f t="shared" si="7"/>
        <v>0</v>
      </c>
      <c r="I25" s="16">
        <f t="shared" si="8"/>
        <v>0</v>
      </c>
      <c r="J25" s="16">
        <f t="shared" si="9"/>
        <v>0</v>
      </c>
      <c r="K25" s="16">
        <f t="shared" si="10"/>
        <v>0</v>
      </c>
      <c r="L25" s="67">
        <f t="shared" si="11"/>
        <v>0</v>
      </c>
      <c r="M25" s="4">
        <f t="shared" si="12"/>
        <v>0</v>
      </c>
      <c r="N25" s="4">
        <f t="shared" si="13"/>
        <v>0</v>
      </c>
      <c r="O25" s="4">
        <f t="shared" si="14"/>
        <v>0</v>
      </c>
      <c r="P25" s="4" t="e">
        <f>VLOOKUP(AJ17,'CIR Team Info'!$C$5:$E$44,2,FALSE)</f>
        <v>#N/A</v>
      </c>
      <c r="Q25" s="4" t="e">
        <f>VLOOKUP(AJ17,'CIR Team Info'!$C$5:$E$44,3,FALSE)</f>
        <v>#N/A</v>
      </c>
      <c r="R25" s="10" t="e">
        <f>VLOOKUP(AJ17,'FRC Site Data'!$B$3:$L$42,2,FALSE)</f>
        <v>#N/A</v>
      </c>
      <c r="S25" s="10" t="e">
        <f>VLOOKUP(AJ17,'FRC Site Data'!$B$3:$L$42,3,FALSE)</f>
        <v>#N/A</v>
      </c>
      <c r="T25" s="10" t="e">
        <f>VLOOKUP(AJ17,'FRC Site Data'!$B$3:$L$42,4,FALSE)</f>
        <v>#N/A</v>
      </c>
      <c r="U25" s="10" t="e">
        <f>VLOOKUP(AJ17,'FRC Site Data'!$B$3:$L$42,5,FALSE)</f>
        <v>#N/A</v>
      </c>
      <c r="V25" s="10" t="e">
        <f>VLOOKUP(AJ17,'FRC Site Data'!$B$3:$L$42,6,FALSE)</f>
        <v>#N/A</v>
      </c>
      <c r="W25" s="10" t="e">
        <f>VLOOKUP(AJ17,'FRC Site Data'!$B$3:$L$42,8,FALSE)</f>
        <v>#N/A</v>
      </c>
      <c r="X25" s="10" t="e">
        <f>VLOOKUP(AJ17,'FRC Site Data'!$B$3:$L$42,9,FALSE)</f>
        <v>#N/A</v>
      </c>
      <c r="Y25" s="10" t="e">
        <f>VLOOKUP(AJ17,'FRC Site Data'!$B$3:$L$42,10,FALSE)</f>
        <v>#N/A</v>
      </c>
      <c r="Z25" s="10" t="e">
        <f>VLOOKUP(AJ17,'FRC Site Data'!$B$3:$L$42,11,FALSE)</f>
        <v>#N/A</v>
      </c>
      <c r="AA25" s="10" t="e">
        <f>VLOOKUP(AJ17,'CIR Team Info'!$C$5:$E$44,4,FALSE)</f>
        <v>#N/A</v>
      </c>
      <c r="AB25" s="161" t="b">
        <f>ISNUMBER(VLOOKUP(AJ17,Match!$T$5:$T$10,1,FALSE))</f>
        <v>0</v>
      </c>
      <c r="AC25" s="161" t="b">
        <f>IF(AB25=TRUE,(VLOOKUP($AJ17,Match!$T$5:$U$10,2,FALSE)))</f>
        <v>0</v>
      </c>
      <c r="AD25" s="8">
        <v>3</v>
      </c>
      <c r="AE25" s="8">
        <v>2</v>
      </c>
      <c r="AF25" s="8">
        <v>2</v>
      </c>
      <c r="AG25" s="8">
        <v>1</v>
      </c>
      <c r="AH25" s="8" t="str">
        <f t="shared" si="15"/>
        <v/>
      </c>
      <c r="BA25" s="24"/>
      <c r="BC25" s="12"/>
    </row>
    <row r="26" spans="1:55" x14ac:dyDescent="0.25">
      <c r="A26" s="29">
        <f t="shared" si="0"/>
        <v>0</v>
      </c>
      <c r="B26" s="29">
        <f t="shared" si="2"/>
        <v>0</v>
      </c>
      <c r="C26" s="29">
        <f t="shared" si="3"/>
        <v>0</v>
      </c>
      <c r="D26" s="29">
        <f t="shared" si="4"/>
        <v>0</v>
      </c>
      <c r="E26" s="29">
        <f t="shared" si="1"/>
        <v>0</v>
      </c>
      <c r="F26" s="29">
        <f t="shared" si="5"/>
        <v>0</v>
      </c>
      <c r="G26" s="29" t="str">
        <f t="shared" si="6"/>
        <v>offensive</v>
      </c>
      <c r="H26" s="16">
        <f t="shared" si="7"/>
        <v>0</v>
      </c>
      <c r="I26" s="16">
        <f t="shared" si="8"/>
        <v>0</v>
      </c>
      <c r="J26" s="16">
        <f t="shared" si="9"/>
        <v>0</v>
      </c>
      <c r="K26" s="16">
        <f t="shared" si="10"/>
        <v>0</v>
      </c>
      <c r="L26" s="67">
        <f t="shared" si="11"/>
        <v>0</v>
      </c>
      <c r="M26" s="4">
        <f t="shared" si="12"/>
        <v>0</v>
      </c>
      <c r="N26" s="4">
        <f t="shared" si="13"/>
        <v>0</v>
      </c>
      <c r="O26" s="4">
        <f t="shared" si="14"/>
        <v>0</v>
      </c>
      <c r="P26" s="4" t="e">
        <f>VLOOKUP(AJ18,'CIR Team Info'!$C$5:$E$44,2,FALSE)</f>
        <v>#N/A</v>
      </c>
      <c r="Q26" s="4" t="e">
        <f>VLOOKUP(AJ18,'CIR Team Info'!$C$5:$E$44,3,FALSE)</f>
        <v>#N/A</v>
      </c>
      <c r="R26" s="10" t="e">
        <f>VLOOKUP(AJ18,'FRC Site Data'!$B$3:$L$42,2,FALSE)</f>
        <v>#N/A</v>
      </c>
      <c r="S26" s="10" t="e">
        <f>VLOOKUP(AJ18,'FRC Site Data'!$B$3:$L$42,3,FALSE)</f>
        <v>#N/A</v>
      </c>
      <c r="T26" s="10" t="e">
        <f>VLOOKUP(AJ18,'FRC Site Data'!$B$3:$L$42,4,FALSE)</f>
        <v>#N/A</v>
      </c>
      <c r="U26" s="10" t="e">
        <f>VLOOKUP(AJ18,'FRC Site Data'!$B$3:$L$42,5,FALSE)</f>
        <v>#N/A</v>
      </c>
      <c r="V26" s="10" t="e">
        <f>VLOOKUP(AJ18,'FRC Site Data'!$B$3:$L$42,6,FALSE)</f>
        <v>#N/A</v>
      </c>
      <c r="W26" s="10" t="e">
        <f>VLOOKUP(AJ18,'FRC Site Data'!$B$3:$L$42,8,FALSE)</f>
        <v>#N/A</v>
      </c>
      <c r="X26" s="10" t="e">
        <f>VLOOKUP(AJ18,'FRC Site Data'!$B$3:$L$42,9,FALSE)</f>
        <v>#N/A</v>
      </c>
      <c r="Y26" s="10" t="e">
        <f>VLOOKUP(AJ18,'FRC Site Data'!$B$3:$L$42,10,FALSE)</f>
        <v>#N/A</v>
      </c>
      <c r="Z26" s="10" t="e">
        <f>VLOOKUP(AJ18,'FRC Site Data'!$B$3:$L$42,11,FALSE)</f>
        <v>#N/A</v>
      </c>
      <c r="AA26" s="10" t="e">
        <f>VLOOKUP(AJ18,'CIR Team Info'!$C$5:$E$44,4,FALSE)</f>
        <v>#N/A</v>
      </c>
      <c r="AB26" s="161" t="b">
        <f>ISNUMBER(VLOOKUP(AJ18,Match!$T$5:$T$10,1,FALSE))</f>
        <v>0</v>
      </c>
      <c r="AC26" s="161" t="b">
        <f>IF(AB26=TRUE,(VLOOKUP($AJ18,Match!$T$5:$U$10,2,FALSE)))</f>
        <v>0</v>
      </c>
      <c r="AD26" s="8">
        <v>3</v>
      </c>
      <c r="AE26" s="8">
        <v>2</v>
      </c>
      <c r="AF26" s="8">
        <v>2</v>
      </c>
      <c r="AG26" s="8">
        <v>1</v>
      </c>
      <c r="AH26" s="8" t="str">
        <f t="shared" si="15"/>
        <v/>
      </c>
      <c r="BA26" s="24"/>
      <c r="BC26" s="12"/>
    </row>
    <row r="27" spans="1:55" x14ac:dyDescent="0.25">
      <c r="A27" s="29">
        <f t="shared" si="0"/>
        <v>0</v>
      </c>
      <c r="B27" s="29">
        <f t="shared" si="2"/>
        <v>0</v>
      </c>
      <c r="C27" s="29">
        <f t="shared" si="3"/>
        <v>0</v>
      </c>
      <c r="D27" s="29">
        <f t="shared" si="4"/>
        <v>0</v>
      </c>
      <c r="E27" s="29">
        <f t="shared" si="1"/>
        <v>0</v>
      </c>
      <c r="F27" s="29">
        <f t="shared" si="5"/>
        <v>0</v>
      </c>
      <c r="G27" s="29" t="str">
        <f t="shared" si="6"/>
        <v>offensive</v>
      </c>
      <c r="H27" s="16">
        <f t="shared" si="7"/>
        <v>0</v>
      </c>
      <c r="I27" s="16">
        <f t="shared" si="8"/>
        <v>0</v>
      </c>
      <c r="J27" s="16">
        <f t="shared" si="9"/>
        <v>0</v>
      </c>
      <c r="K27" s="16">
        <f t="shared" si="10"/>
        <v>0</v>
      </c>
      <c r="L27" s="67">
        <f t="shared" si="11"/>
        <v>0</v>
      </c>
      <c r="M27" s="4">
        <f t="shared" si="12"/>
        <v>0</v>
      </c>
      <c r="N27" s="4">
        <f t="shared" si="13"/>
        <v>0</v>
      </c>
      <c r="O27" s="4">
        <f t="shared" si="14"/>
        <v>0</v>
      </c>
      <c r="P27" s="4" t="e">
        <f>VLOOKUP(AJ19,'CIR Team Info'!$C$5:$E$44,2,FALSE)</f>
        <v>#N/A</v>
      </c>
      <c r="Q27" s="4" t="e">
        <f>VLOOKUP(AJ19,'CIR Team Info'!$C$5:$E$44,3,FALSE)</f>
        <v>#N/A</v>
      </c>
      <c r="R27" s="10" t="e">
        <f>VLOOKUP(AJ19,'FRC Site Data'!$B$3:$L$42,2,FALSE)</f>
        <v>#N/A</v>
      </c>
      <c r="S27" s="10" t="e">
        <f>VLOOKUP(AJ19,'FRC Site Data'!$B$3:$L$42,3,FALSE)</f>
        <v>#N/A</v>
      </c>
      <c r="T27" s="10" t="e">
        <f>VLOOKUP(AJ19,'FRC Site Data'!$B$3:$L$42,4,FALSE)</f>
        <v>#N/A</v>
      </c>
      <c r="U27" s="10" t="e">
        <f>VLOOKUP(AJ19,'FRC Site Data'!$B$3:$L$42,5,FALSE)</f>
        <v>#N/A</v>
      </c>
      <c r="V27" s="10" t="e">
        <f>VLOOKUP(AJ19,'FRC Site Data'!$B$3:$L$42,6,FALSE)</f>
        <v>#N/A</v>
      </c>
      <c r="W27" s="10" t="e">
        <f>VLOOKUP(AJ19,'FRC Site Data'!$B$3:$L$42,8,FALSE)</f>
        <v>#N/A</v>
      </c>
      <c r="X27" s="10" t="e">
        <f>VLOOKUP(AJ19,'FRC Site Data'!$B$3:$L$42,9,FALSE)</f>
        <v>#N/A</v>
      </c>
      <c r="Y27" s="10" t="e">
        <f>VLOOKUP(AJ19,'FRC Site Data'!$B$3:$L$42,10,FALSE)</f>
        <v>#N/A</v>
      </c>
      <c r="Z27" s="10" t="e">
        <f>VLOOKUP(AJ19,'FRC Site Data'!$B$3:$L$42,11,FALSE)</f>
        <v>#N/A</v>
      </c>
      <c r="AA27" s="10" t="e">
        <f>VLOOKUP(AJ19,'CIR Team Info'!$C$5:$E$44,4,FALSE)</f>
        <v>#N/A</v>
      </c>
      <c r="AB27" s="161" t="b">
        <f>ISNUMBER(VLOOKUP(AJ19,Match!$T$5:$T$10,1,FALSE))</f>
        <v>0</v>
      </c>
      <c r="AC27" s="161" t="b">
        <f>IF(AB27=TRUE,(VLOOKUP($AJ19,Match!$T$5:$U$10,2,FALSE)))</f>
        <v>0</v>
      </c>
      <c r="AD27" s="8">
        <v>3</v>
      </c>
      <c r="AE27" s="8">
        <v>2</v>
      </c>
      <c r="AF27" s="8">
        <v>2</v>
      </c>
      <c r="AG27" s="8">
        <v>1</v>
      </c>
      <c r="AH27" s="8" t="str">
        <f t="shared" si="15"/>
        <v/>
      </c>
      <c r="BA27" s="24"/>
      <c r="BC27" s="12"/>
    </row>
    <row r="28" spans="1:55" x14ac:dyDescent="0.25">
      <c r="A28" s="29">
        <f t="shared" si="0"/>
        <v>0</v>
      </c>
      <c r="B28" s="29">
        <f t="shared" si="2"/>
        <v>0</v>
      </c>
      <c r="C28" s="29">
        <f t="shared" si="3"/>
        <v>0</v>
      </c>
      <c r="D28" s="29">
        <f t="shared" si="4"/>
        <v>0</v>
      </c>
      <c r="E28" s="29">
        <f t="shared" si="1"/>
        <v>0</v>
      </c>
      <c r="F28" s="29">
        <f t="shared" si="5"/>
        <v>0</v>
      </c>
      <c r="G28" s="29" t="str">
        <f t="shared" si="6"/>
        <v>offensive</v>
      </c>
      <c r="H28" s="16">
        <f t="shared" si="7"/>
        <v>0</v>
      </c>
      <c r="I28" s="16">
        <f t="shared" si="8"/>
        <v>0</v>
      </c>
      <c r="J28" s="16">
        <f t="shared" si="9"/>
        <v>0</v>
      </c>
      <c r="K28" s="16">
        <f t="shared" si="10"/>
        <v>0</v>
      </c>
      <c r="L28" s="67">
        <f t="shared" si="11"/>
        <v>0</v>
      </c>
      <c r="M28" s="4">
        <f t="shared" si="12"/>
        <v>0</v>
      </c>
      <c r="N28" s="4">
        <f t="shared" si="13"/>
        <v>0</v>
      </c>
      <c r="O28" s="4">
        <f t="shared" si="14"/>
        <v>0</v>
      </c>
      <c r="P28" s="4" t="e">
        <f>VLOOKUP(AJ20,'CIR Team Info'!$C$5:$E$44,2,FALSE)</f>
        <v>#N/A</v>
      </c>
      <c r="Q28" s="4" t="e">
        <f>VLOOKUP(AJ20,'CIR Team Info'!$C$5:$E$44,3,FALSE)</f>
        <v>#N/A</v>
      </c>
      <c r="R28" s="10" t="e">
        <f>VLOOKUP(AJ20,'FRC Site Data'!$B$3:$L$42,2,FALSE)</f>
        <v>#N/A</v>
      </c>
      <c r="S28" s="10" t="e">
        <f>VLOOKUP(AJ20,'FRC Site Data'!$B$3:$L$42,3,FALSE)</f>
        <v>#N/A</v>
      </c>
      <c r="T28" s="10" t="e">
        <f>VLOOKUP(AJ20,'FRC Site Data'!$B$3:$L$42,4,FALSE)</f>
        <v>#N/A</v>
      </c>
      <c r="U28" s="10" t="e">
        <f>VLOOKUP(AJ20,'FRC Site Data'!$B$3:$L$42,5,FALSE)</f>
        <v>#N/A</v>
      </c>
      <c r="V28" s="10" t="e">
        <f>VLOOKUP(AJ20,'FRC Site Data'!$B$3:$L$42,6,FALSE)</f>
        <v>#N/A</v>
      </c>
      <c r="W28" s="10" t="e">
        <f>VLOOKUP(AJ20,'FRC Site Data'!$B$3:$L$42,8,FALSE)</f>
        <v>#N/A</v>
      </c>
      <c r="X28" s="10" t="e">
        <f>VLOOKUP(AJ20,'FRC Site Data'!$B$3:$L$42,9,FALSE)</f>
        <v>#N/A</v>
      </c>
      <c r="Y28" s="10" t="e">
        <f>VLOOKUP(AJ20,'FRC Site Data'!$B$3:$L$42,10,FALSE)</f>
        <v>#N/A</v>
      </c>
      <c r="Z28" s="10" t="e">
        <f>VLOOKUP(AJ20,'FRC Site Data'!$B$3:$L$42,11,FALSE)</f>
        <v>#N/A</v>
      </c>
      <c r="AA28" s="10" t="e">
        <f>VLOOKUP(AJ20,'CIR Team Info'!$C$5:$E$44,4,FALSE)</f>
        <v>#N/A</v>
      </c>
      <c r="AB28" s="161" t="b">
        <f>ISNUMBER(VLOOKUP(AJ20,Match!$T$5:$T$10,1,FALSE))</f>
        <v>0</v>
      </c>
      <c r="AC28" s="161" t="b">
        <f>IF(AB28=TRUE,(VLOOKUP($AJ20,Match!$T$5:$U$10,2,FALSE)))</f>
        <v>0</v>
      </c>
      <c r="AD28" s="8">
        <v>3</v>
      </c>
      <c r="AE28" s="8">
        <v>2</v>
      </c>
      <c r="AF28" s="8">
        <v>2</v>
      </c>
      <c r="AG28" s="8">
        <v>1</v>
      </c>
      <c r="AH28" s="8" t="str">
        <f t="shared" si="15"/>
        <v/>
      </c>
      <c r="BA28" s="24"/>
      <c r="BC28" s="12"/>
    </row>
    <row r="29" spans="1:55" x14ac:dyDescent="0.25">
      <c r="A29" s="29">
        <f t="shared" si="0"/>
        <v>0</v>
      </c>
      <c r="B29" s="29">
        <f t="shared" si="2"/>
        <v>0</v>
      </c>
      <c r="C29" s="29">
        <f t="shared" si="3"/>
        <v>0</v>
      </c>
      <c r="D29" s="29">
        <f t="shared" si="4"/>
        <v>0</v>
      </c>
      <c r="E29" s="29">
        <f t="shared" si="1"/>
        <v>0</v>
      </c>
      <c r="F29" s="29">
        <f t="shared" si="5"/>
        <v>0</v>
      </c>
      <c r="G29" s="29" t="str">
        <f t="shared" si="6"/>
        <v>offensive</v>
      </c>
      <c r="H29" s="16">
        <f t="shared" si="7"/>
        <v>0</v>
      </c>
      <c r="I29" s="16">
        <f t="shared" si="8"/>
        <v>0</v>
      </c>
      <c r="J29" s="16">
        <f t="shared" si="9"/>
        <v>0</v>
      </c>
      <c r="K29" s="16">
        <f t="shared" si="10"/>
        <v>0</v>
      </c>
      <c r="L29" s="67">
        <f t="shared" si="11"/>
        <v>0</v>
      </c>
      <c r="M29" s="4">
        <f t="shared" si="12"/>
        <v>0</v>
      </c>
      <c r="N29" s="4">
        <f t="shared" si="13"/>
        <v>0</v>
      </c>
      <c r="O29" s="4">
        <f t="shared" si="14"/>
        <v>0</v>
      </c>
      <c r="P29" s="4" t="e">
        <f>VLOOKUP(AJ21,'CIR Team Info'!$C$5:$E$44,2,FALSE)</f>
        <v>#N/A</v>
      </c>
      <c r="Q29" s="4" t="e">
        <f>VLOOKUP(AJ21,'CIR Team Info'!$C$5:$E$44,3,FALSE)</f>
        <v>#N/A</v>
      </c>
      <c r="R29" s="10" t="e">
        <f>VLOOKUP(AJ21,'FRC Site Data'!$B$3:$L$42,2,FALSE)</f>
        <v>#N/A</v>
      </c>
      <c r="S29" s="10" t="e">
        <f>VLOOKUP(AJ21,'FRC Site Data'!$B$3:$L$42,3,FALSE)</f>
        <v>#N/A</v>
      </c>
      <c r="T29" s="10" t="e">
        <f>VLOOKUP(AJ21,'FRC Site Data'!$B$3:$L$42,4,FALSE)</f>
        <v>#N/A</v>
      </c>
      <c r="U29" s="10" t="e">
        <f>VLOOKUP(AJ21,'FRC Site Data'!$B$3:$L$42,5,FALSE)</f>
        <v>#N/A</v>
      </c>
      <c r="V29" s="10" t="e">
        <f>VLOOKUP(AJ21,'FRC Site Data'!$B$3:$L$42,6,FALSE)</f>
        <v>#N/A</v>
      </c>
      <c r="W29" s="10" t="e">
        <f>VLOOKUP(AJ21,'FRC Site Data'!$B$3:$L$42,8,FALSE)</f>
        <v>#N/A</v>
      </c>
      <c r="X29" s="10" t="e">
        <f>VLOOKUP(AJ21,'FRC Site Data'!$B$3:$L$42,9,FALSE)</f>
        <v>#N/A</v>
      </c>
      <c r="Y29" s="10" t="e">
        <f>VLOOKUP(AJ21,'FRC Site Data'!$B$3:$L$42,10,FALSE)</f>
        <v>#N/A</v>
      </c>
      <c r="Z29" s="10" t="e">
        <f>VLOOKUP(AJ21,'FRC Site Data'!$B$3:$L$42,11,FALSE)</f>
        <v>#N/A</v>
      </c>
      <c r="AA29" s="10" t="e">
        <f>VLOOKUP(AJ21,'CIR Team Info'!$C$5:$E$44,4,FALSE)</f>
        <v>#N/A</v>
      </c>
      <c r="AB29" s="161" t="b">
        <f>ISNUMBER(VLOOKUP(AJ21,Match!$T$5:$T$10,1,FALSE))</f>
        <v>0</v>
      </c>
      <c r="AC29" s="161" t="b">
        <f>IF(AB29=TRUE,(VLOOKUP($AJ21,Match!$T$5:$U$10,2,FALSE)))</f>
        <v>0</v>
      </c>
      <c r="AD29" s="8">
        <v>3</v>
      </c>
      <c r="AE29" s="8">
        <v>2</v>
      </c>
      <c r="AF29" s="8">
        <v>2</v>
      </c>
      <c r="AG29" s="8">
        <v>1</v>
      </c>
      <c r="AH29" s="8" t="str">
        <f t="shared" si="15"/>
        <v/>
      </c>
      <c r="BA29" s="24"/>
      <c r="BC29" s="12"/>
    </row>
    <row r="30" spans="1:55" x14ac:dyDescent="0.25">
      <c r="A30" s="29">
        <f t="shared" si="0"/>
        <v>0</v>
      </c>
      <c r="B30" s="29">
        <f t="shared" si="2"/>
        <v>0</v>
      </c>
      <c r="C30" s="29">
        <f t="shared" si="3"/>
        <v>0</v>
      </c>
      <c r="D30" s="29">
        <f t="shared" si="4"/>
        <v>0</v>
      </c>
      <c r="E30" s="29">
        <f t="shared" si="1"/>
        <v>0</v>
      </c>
      <c r="F30" s="29">
        <f t="shared" si="5"/>
        <v>0</v>
      </c>
      <c r="G30" s="29" t="str">
        <f t="shared" si="6"/>
        <v>offensive</v>
      </c>
      <c r="H30" s="16">
        <f t="shared" si="7"/>
        <v>0</v>
      </c>
      <c r="I30" s="16">
        <f t="shared" si="8"/>
        <v>0</v>
      </c>
      <c r="J30" s="16">
        <f t="shared" si="9"/>
        <v>0</v>
      </c>
      <c r="K30" s="16">
        <f t="shared" si="10"/>
        <v>0</v>
      </c>
      <c r="L30" s="67">
        <f t="shared" si="11"/>
        <v>0</v>
      </c>
      <c r="M30" s="4">
        <f t="shared" si="12"/>
        <v>0</v>
      </c>
      <c r="N30" s="4">
        <f t="shared" si="13"/>
        <v>0</v>
      </c>
      <c r="O30" s="4">
        <f t="shared" si="14"/>
        <v>0</v>
      </c>
      <c r="P30" s="4" t="e">
        <f>VLOOKUP(AJ22,'CIR Team Info'!$C$5:$E$44,2,FALSE)</f>
        <v>#N/A</v>
      </c>
      <c r="Q30" s="4" t="e">
        <f>VLOOKUP(AJ22,'CIR Team Info'!$C$5:$E$44,3,FALSE)</f>
        <v>#N/A</v>
      </c>
      <c r="R30" s="10" t="e">
        <f>VLOOKUP(AJ22,'FRC Site Data'!$B$3:$L$42,2,FALSE)</f>
        <v>#N/A</v>
      </c>
      <c r="S30" s="10" t="e">
        <f>VLOOKUP(AJ22,'FRC Site Data'!$B$3:$L$42,3,FALSE)</f>
        <v>#N/A</v>
      </c>
      <c r="T30" s="10" t="e">
        <f>VLOOKUP(AJ22,'FRC Site Data'!$B$3:$L$42,4,FALSE)</f>
        <v>#N/A</v>
      </c>
      <c r="U30" s="10" t="e">
        <f>VLOOKUP(AJ22,'FRC Site Data'!$B$3:$L$42,5,FALSE)</f>
        <v>#N/A</v>
      </c>
      <c r="V30" s="10" t="e">
        <f>VLOOKUP(AJ22,'FRC Site Data'!$B$3:$L$42,6,FALSE)</f>
        <v>#N/A</v>
      </c>
      <c r="W30" s="10" t="e">
        <f>VLOOKUP(AJ22,'FRC Site Data'!$B$3:$L$42,8,FALSE)</f>
        <v>#N/A</v>
      </c>
      <c r="X30" s="10" t="e">
        <f>VLOOKUP(AJ22,'FRC Site Data'!$B$3:$L$42,9,FALSE)</f>
        <v>#N/A</v>
      </c>
      <c r="Y30" s="10" t="e">
        <f>VLOOKUP(AJ22,'FRC Site Data'!$B$3:$L$42,10,FALSE)</f>
        <v>#N/A</v>
      </c>
      <c r="Z30" s="10" t="e">
        <f>VLOOKUP(AJ22,'FRC Site Data'!$B$3:$L$42,11,FALSE)</f>
        <v>#N/A</v>
      </c>
      <c r="AA30" s="10" t="e">
        <f>VLOOKUP(AJ22,'CIR Team Info'!$C$5:$E$44,4,FALSE)</f>
        <v>#N/A</v>
      </c>
      <c r="AB30" s="161" t="b">
        <f>ISNUMBER(VLOOKUP(AJ22,Match!$T$5:$T$10,1,FALSE))</f>
        <v>0</v>
      </c>
      <c r="AC30" s="161" t="b">
        <f>IF(AB30=TRUE,(VLOOKUP($AJ22,Match!$T$5:$U$10,2,FALSE)))</f>
        <v>0</v>
      </c>
      <c r="AD30" s="8">
        <v>3</v>
      </c>
      <c r="AE30" s="8">
        <v>2</v>
      </c>
      <c r="AF30" s="8">
        <v>2</v>
      </c>
      <c r="AG30" s="8">
        <v>1</v>
      </c>
      <c r="AH30" s="8" t="str">
        <f t="shared" si="15"/>
        <v/>
      </c>
      <c r="BA30" s="24"/>
      <c r="BC30" s="12"/>
    </row>
    <row r="31" spans="1:55" x14ac:dyDescent="0.25">
      <c r="A31" s="29">
        <f t="shared" si="0"/>
        <v>0</v>
      </c>
      <c r="B31" s="29">
        <f t="shared" si="2"/>
        <v>0</v>
      </c>
      <c r="C31" s="29">
        <f t="shared" si="3"/>
        <v>0</v>
      </c>
      <c r="D31" s="29">
        <f t="shared" si="4"/>
        <v>0</v>
      </c>
      <c r="E31" s="29">
        <f t="shared" si="1"/>
        <v>0</v>
      </c>
      <c r="F31" s="29">
        <f t="shared" si="5"/>
        <v>0</v>
      </c>
      <c r="G31" s="29" t="str">
        <f t="shared" si="6"/>
        <v>offensive</v>
      </c>
      <c r="H31" s="16">
        <f t="shared" si="7"/>
        <v>0</v>
      </c>
      <c r="I31" s="16">
        <f t="shared" si="8"/>
        <v>0</v>
      </c>
      <c r="J31" s="16">
        <f t="shared" si="9"/>
        <v>0</v>
      </c>
      <c r="K31" s="16">
        <f t="shared" si="10"/>
        <v>0</v>
      </c>
      <c r="L31" s="67">
        <f t="shared" si="11"/>
        <v>0</v>
      </c>
      <c r="M31" s="4">
        <f t="shared" si="12"/>
        <v>0</v>
      </c>
      <c r="N31" s="4">
        <f t="shared" si="13"/>
        <v>0</v>
      </c>
      <c r="O31" s="4">
        <f t="shared" si="14"/>
        <v>0</v>
      </c>
      <c r="P31" s="4" t="e">
        <f>VLOOKUP(AJ23,'CIR Team Info'!$C$5:$E$44,2,FALSE)</f>
        <v>#N/A</v>
      </c>
      <c r="Q31" s="4" t="e">
        <f>VLOOKUP(AJ23,'CIR Team Info'!$C$5:$E$44,3,FALSE)</f>
        <v>#N/A</v>
      </c>
      <c r="R31" s="10" t="e">
        <f>VLOOKUP(AJ23,'FRC Site Data'!$B$3:$L$42,2,FALSE)</f>
        <v>#N/A</v>
      </c>
      <c r="S31" s="10" t="e">
        <f>VLOOKUP(AJ23,'FRC Site Data'!$B$3:$L$42,3,FALSE)</f>
        <v>#N/A</v>
      </c>
      <c r="T31" s="10" t="e">
        <f>VLOOKUP(AJ23,'FRC Site Data'!$B$3:$L$42,4,FALSE)</f>
        <v>#N/A</v>
      </c>
      <c r="U31" s="10" t="e">
        <f>VLOOKUP(AJ23,'FRC Site Data'!$B$3:$L$42,5,FALSE)</f>
        <v>#N/A</v>
      </c>
      <c r="V31" s="10" t="e">
        <f>VLOOKUP(AJ23,'FRC Site Data'!$B$3:$L$42,6,FALSE)</f>
        <v>#N/A</v>
      </c>
      <c r="W31" s="10" t="e">
        <f>VLOOKUP(AJ23,'FRC Site Data'!$B$3:$L$42,8,FALSE)</f>
        <v>#N/A</v>
      </c>
      <c r="X31" s="10" t="e">
        <f>VLOOKUP(AJ23,'FRC Site Data'!$B$3:$L$42,9,FALSE)</f>
        <v>#N/A</v>
      </c>
      <c r="Y31" s="10" t="e">
        <f>VLOOKUP(AJ23,'FRC Site Data'!$B$3:$L$42,10,FALSE)</f>
        <v>#N/A</v>
      </c>
      <c r="Z31" s="10" t="e">
        <f>VLOOKUP(AJ23,'FRC Site Data'!$B$3:$L$42,11,FALSE)</f>
        <v>#N/A</v>
      </c>
      <c r="AA31" s="10" t="e">
        <f>VLOOKUP(AJ23,'CIR Team Info'!$C$5:$E$44,4,FALSE)</f>
        <v>#N/A</v>
      </c>
      <c r="AB31" s="161" t="b">
        <f>ISNUMBER(VLOOKUP(AJ23,Match!$T$5:$T$10,1,FALSE))</f>
        <v>0</v>
      </c>
      <c r="AC31" s="161" t="b">
        <f>IF(AB31=TRUE,(VLOOKUP($AJ23,Match!$T$5:$U$10,2,FALSE)))</f>
        <v>0</v>
      </c>
      <c r="AD31" s="8">
        <v>3</v>
      </c>
      <c r="AE31" s="8">
        <v>2</v>
      </c>
      <c r="AF31" s="8">
        <v>2</v>
      </c>
      <c r="AG31" s="8">
        <v>1</v>
      </c>
      <c r="AH31" s="8" t="str">
        <f t="shared" si="15"/>
        <v/>
      </c>
      <c r="BA31" s="24"/>
      <c r="BC31" s="12"/>
    </row>
    <row r="32" spans="1:55" x14ac:dyDescent="0.25">
      <c r="A32" s="29">
        <f t="shared" si="0"/>
        <v>0</v>
      </c>
      <c r="B32" s="29">
        <f t="shared" si="2"/>
        <v>0</v>
      </c>
      <c r="C32" s="29">
        <f t="shared" si="3"/>
        <v>0</v>
      </c>
      <c r="D32" s="29">
        <f t="shared" si="4"/>
        <v>0</v>
      </c>
      <c r="E32" s="29">
        <f t="shared" si="1"/>
        <v>0</v>
      </c>
      <c r="F32" s="29">
        <f t="shared" si="5"/>
        <v>0</v>
      </c>
      <c r="G32" s="29" t="str">
        <f t="shared" si="6"/>
        <v>offensive</v>
      </c>
      <c r="H32" s="16">
        <f t="shared" si="7"/>
        <v>0</v>
      </c>
      <c r="I32" s="16">
        <f t="shared" si="8"/>
        <v>0</v>
      </c>
      <c r="J32" s="16">
        <f t="shared" si="9"/>
        <v>0</v>
      </c>
      <c r="K32" s="16">
        <f t="shared" si="10"/>
        <v>0</v>
      </c>
      <c r="L32" s="67">
        <f t="shared" si="11"/>
        <v>0</v>
      </c>
      <c r="M32" s="4">
        <f t="shared" si="12"/>
        <v>0</v>
      </c>
      <c r="N32" s="4">
        <f t="shared" si="13"/>
        <v>0</v>
      </c>
      <c r="O32" s="4">
        <f t="shared" si="14"/>
        <v>0</v>
      </c>
      <c r="P32" s="4" t="e">
        <f>VLOOKUP(AJ24,'CIR Team Info'!$C$5:$E$44,2,FALSE)</f>
        <v>#N/A</v>
      </c>
      <c r="Q32" s="4" t="e">
        <f>VLOOKUP(AJ24,'CIR Team Info'!$C$5:$E$44,3,FALSE)</f>
        <v>#N/A</v>
      </c>
      <c r="R32" s="10" t="e">
        <f>VLOOKUP(AJ24,'FRC Site Data'!$B$3:$L$42,2,FALSE)</f>
        <v>#N/A</v>
      </c>
      <c r="S32" s="10" t="e">
        <f>VLOOKUP(AJ24,'FRC Site Data'!$B$3:$L$42,3,FALSE)</f>
        <v>#N/A</v>
      </c>
      <c r="T32" s="10" t="e">
        <f>VLOOKUP(AJ24,'FRC Site Data'!$B$3:$L$42,4,FALSE)</f>
        <v>#N/A</v>
      </c>
      <c r="U32" s="10" t="e">
        <f>VLOOKUP(AJ24,'FRC Site Data'!$B$3:$L$42,5,FALSE)</f>
        <v>#N/A</v>
      </c>
      <c r="V32" s="10" t="e">
        <f>VLOOKUP(AJ24,'FRC Site Data'!$B$3:$L$42,6,FALSE)</f>
        <v>#N/A</v>
      </c>
      <c r="W32" s="10" t="e">
        <f>VLOOKUP(AJ24,'FRC Site Data'!$B$3:$L$42,8,FALSE)</f>
        <v>#N/A</v>
      </c>
      <c r="X32" s="10" t="e">
        <f>VLOOKUP(AJ24,'FRC Site Data'!$B$3:$L$42,9,FALSE)</f>
        <v>#N/A</v>
      </c>
      <c r="Y32" s="10" t="e">
        <f>VLOOKUP(AJ24,'FRC Site Data'!$B$3:$L$42,10,FALSE)</f>
        <v>#N/A</v>
      </c>
      <c r="Z32" s="10" t="e">
        <f>VLOOKUP(AJ24,'FRC Site Data'!$B$3:$L$42,11,FALSE)</f>
        <v>#N/A</v>
      </c>
      <c r="AA32" s="10" t="e">
        <f>VLOOKUP(AJ24,'CIR Team Info'!$C$5:$E$44,4,FALSE)</f>
        <v>#N/A</v>
      </c>
      <c r="AB32" s="161" t="b">
        <f>ISNUMBER(VLOOKUP(AJ24,Match!$T$5:$T$10,1,FALSE))</f>
        <v>0</v>
      </c>
      <c r="AC32" s="161" t="b">
        <f>IF(AB32=TRUE,(VLOOKUP($AJ24,Match!$T$5:$U$10,2,FALSE)))</f>
        <v>0</v>
      </c>
      <c r="AD32" s="8">
        <v>3</v>
      </c>
      <c r="AE32" s="8">
        <v>2</v>
      </c>
      <c r="AF32" s="8">
        <v>2</v>
      </c>
      <c r="AG32" s="8">
        <v>1</v>
      </c>
      <c r="AH32" s="8" t="str">
        <f t="shared" si="15"/>
        <v/>
      </c>
      <c r="BA32" s="24"/>
      <c r="BC32" s="12"/>
    </row>
    <row r="33" spans="1:55" x14ac:dyDescent="0.25">
      <c r="A33" s="29">
        <f t="shared" si="0"/>
        <v>0</v>
      </c>
      <c r="B33" s="29">
        <f t="shared" si="2"/>
        <v>0</v>
      </c>
      <c r="C33" s="29">
        <f t="shared" si="3"/>
        <v>0</v>
      </c>
      <c r="D33" s="29">
        <f t="shared" si="4"/>
        <v>0</v>
      </c>
      <c r="E33" s="29">
        <f t="shared" si="1"/>
        <v>0</v>
      </c>
      <c r="F33" s="29">
        <f t="shared" si="5"/>
        <v>0</v>
      </c>
      <c r="G33" s="29" t="str">
        <f t="shared" si="6"/>
        <v>offensive</v>
      </c>
      <c r="H33" s="16">
        <f t="shared" si="7"/>
        <v>0</v>
      </c>
      <c r="I33" s="16">
        <f t="shared" si="8"/>
        <v>0</v>
      </c>
      <c r="J33" s="16">
        <f t="shared" si="9"/>
        <v>0</v>
      </c>
      <c r="K33" s="16">
        <f t="shared" si="10"/>
        <v>0</v>
      </c>
      <c r="L33" s="67">
        <f t="shared" si="11"/>
        <v>0</v>
      </c>
      <c r="M33" s="4">
        <f t="shared" si="12"/>
        <v>0</v>
      </c>
      <c r="N33" s="4">
        <f t="shared" si="13"/>
        <v>0</v>
      </c>
      <c r="O33" s="4">
        <f t="shared" si="14"/>
        <v>0</v>
      </c>
      <c r="P33" s="4" t="e">
        <f>VLOOKUP(AJ25,'CIR Team Info'!$C$5:$E$44,2,FALSE)</f>
        <v>#N/A</v>
      </c>
      <c r="Q33" s="4" t="e">
        <f>VLOOKUP(AJ25,'CIR Team Info'!$C$5:$E$44,3,FALSE)</f>
        <v>#N/A</v>
      </c>
      <c r="R33" s="10" t="e">
        <f>VLOOKUP(AJ25,'FRC Site Data'!$B$3:$L$42,2,FALSE)</f>
        <v>#N/A</v>
      </c>
      <c r="S33" s="10" t="e">
        <f>VLOOKUP(AJ25,'FRC Site Data'!$B$3:$L$42,3,FALSE)</f>
        <v>#N/A</v>
      </c>
      <c r="T33" s="10" t="e">
        <f>VLOOKUP(AJ25,'FRC Site Data'!$B$3:$L$42,4,FALSE)</f>
        <v>#N/A</v>
      </c>
      <c r="U33" s="10" t="e">
        <f>VLOOKUP(AJ25,'FRC Site Data'!$B$3:$L$42,5,FALSE)</f>
        <v>#N/A</v>
      </c>
      <c r="V33" s="10" t="e">
        <f>VLOOKUP(AJ25,'FRC Site Data'!$B$3:$L$42,6,FALSE)</f>
        <v>#N/A</v>
      </c>
      <c r="W33" s="10" t="e">
        <f>VLOOKUP(AJ25,'FRC Site Data'!$B$3:$L$42,8,FALSE)</f>
        <v>#N/A</v>
      </c>
      <c r="X33" s="10" t="e">
        <f>VLOOKUP(AJ25,'FRC Site Data'!$B$3:$L$42,9,FALSE)</f>
        <v>#N/A</v>
      </c>
      <c r="Y33" s="10" t="e">
        <f>VLOOKUP(AJ25,'FRC Site Data'!$B$3:$L$42,10,FALSE)</f>
        <v>#N/A</v>
      </c>
      <c r="Z33" s="10" t="e">
        <f>VLOOKUP(AJ25,'FRC Site Data'!$B$3:$L$42,11,FALSE)</f>
        <v>#N/A</v>
      </c>
      <c r="AA33" s="10" t="e">
        <f>VLOOKUP(AJ25,'CIR Team Info'!$C$5:$E$44,4,FALSE)</f>
        <v>#N/A</v>
      </c>
      <c r="AB33" s="161" t="b">
        <f>ISNUMBER(VLOOKUP(AJ25,Match!$T$5:$T$10,1,FALSE))</f>
        <v>0</v>
      </c>
      <c r="AC33" s="161" t="b">
        <f>IF(AB33=TRUE,(VLOOKUP($AJ25,Match!$T$5:$U$10,2,FALSE)))</f>
        <v>0</v>
      </c>
      <c r="AD33" s="8">
        <v>3</v>
      </c>
      <c r="AE33" s="8">
        <v>2</v>
      </c>
      <c r="AF33" s="8">
        <v>2</v>
      </c>
      <c r="AG33" s="8">
        <v>1</v>
      </c>
      <c r="AH33" s="8" t="str">
        <f t="shared" si="15"/>
        <v/>
      </c>
      <c r="BA33" s="24"/>
      <c r="BC33" s="12"/>
    </row>
    <row r="34" spans="1:55" x14ac:dyDescent="0.25">
      <c r="A34" s="29">
        <f t="shared" si="0"/>
        <v>0</v>
      </c>
      <c r="B34" s="29">
        <f t="shared" si="2"/>
        <v>0</v>
      </c>
      <c r="C34" s="29">
        <f t="shared" si="3"/>
        <v>0</v>
      </c>
      <c r="D34" s="29">
        <f t="shared" si="4"/>
        <v>0</v>
      </c>
      <c r="E34" s="29">
        <f t="shared" si="1"/>
        <v>0</v>
      </c>
      <c r="F34" s="29">
        <f t="shared" si="5"/>
        <v>0</v>
      </c>
      <c r="G34" s="29" t="str">
        <f t="shared" si="6"/>
        <v>offensive</v>
      </c>
      <c r="H34" s="16">
        <f t="shared" si="7"/>
        <v>0</v>
      </c>
      <c r="I34" s="16">
        <f t="shared" si="8"/>
        <v>0</v>
      </c>
      <c r="J34" s="16">
        <f t="shared" si="9"/>
        <v>0</v>
      </c>
      <c r="K34" s="16">
        <f t="shared" si="10"/>
        <v>0</v>
      </c>
      <c r="L34" s="67">
        <f t="shared" si="11"/>
        <v>0</v>
      </c>
      <c r="M34" s="4">
        <f t="shared" si="12"/>
        <v>0</v>
      </c>
      <c r="N34" s="4">
        <f t="shared" si="13"/>
        <v>0</v>
      </c>
      <c r="O34" s="4">
        <f t="shared" si="14"/>
        <v>0</v>
      </c>
      <c r="P34" s="4" t="e">
        <f>VLOOKUP(AJ26,'CIR Team Info'!$C$5:$E$44,2,FALSE)</f>
        <v>#N/A</v>
      </c>
      <c r="Q34" s="4" t="e">
        <f>VLOOKUP(AJ26,'CIR Team Info'!$C$5:$E$44,3,FALSE)</f>
        <v>#N/A</v>
      </c>
      <c r="R34" s="10" t="e">
        <f>VLOOKUP(AJ26,'FRC Site Data'!$B$3:$L$42,2,FALSE)</f>
        <v>#N/A</v>
      </c>
      <c r="S34" s="10" t="e">
        <f>VLOOKUP(AJ26,'FRC Site Data'!$B$3:$L$42,3,FALSE)</f>
        <v>#N/A</v>
      </c>
      <c r="T34" s="10" t="e">
        <f>VLOOKUP(AJ26,'FRC Site Data'!$B$3:$L$42,4,FALSE)</f>
        <v>#N/A</v>
      </c>
      <c r="U34" s="10" t="e">
        <f>VLOOKUP(AJ26,'FRC Site Data'!$B$3:$L$42,5,FALSE)</f>
        <v>#N/A</v>
      </c>
      <c r="V34" s="10" t="e">
        <f>VLOOKUP(AJ26,'FRC Site Data'!$B$3:$L$42,6,FALSE)</f>
        <v>#N/A</v>
      </c>
      <c r="W34" s="10" t="e">
        <f>VLOOKUP(AJ26,'FRC Site Data'!$B$3:$L$42,8,FALSE)</f>
        <v>#N/A</v>
      </c>
      <c r="X34" s="10" t="e">
        <f>VLOOKUP(AJ26,'FRC Site Data'!$B$3:$L$42,9,FALSE)</f>
        <v>#N/A</v>
      </c>
      <c r="Y34" s="10" t="e">
        <f>VLOOKUP(AJ26,'FRC Site Data'!$B$3:$L$42,10,FALSE)</f>
        <v>#N/A</v>
      </c>
      <c r="Z34" s="10" t="e">
        <f>VLOOKUP(AJ26,'FRC Site Data'!$B$3:$L$42,11,FALSE)</f>
        <v>#N/A</v>
      </c>
      <c r="AA34" s="10" t="e">
        <f>VLOOKUP(AJ26,'CIR Team Info'!$C$5:$E$44,4,FALSE)</f>
        <v>#N/A</v>
      </c>
      <c r="AB34" s="161" t="b">
        <f>ISNUMBER(VLOOKUP(AJ26,Match!$T$5:$T$10,1,FALSE))</f>
        <v>0</v>
      </c>
      <c r="AC34" s="161" t="b">
        <f>IF(AB34=TRUE,(VLOOKUP($AJ26,Match!$T$5:$U$10,2,FALSE)))</f>
        <v>0</v>
      </c>
      <c r="AD34" s="8">
        <v>3</v>
      </c>
      <c r="AE34" s="8">
        <v>2</v>
      </c>
      <c r="AF34" s="8">
        <v>2</v>
      </c>
      <c r="AG34" s="8">
        <v>1</v>
      </c>
      <c r="AH34" s="8" t="str">
        <f t="shared" si="15"/>
        <v/>
      </c>
      <c r="BA34" s="24"/>
      <c r="BC34" s="12"/>
    </row>
    <row r="35" spans="1:55" x14ac:dyDescent="0.25">
      <c r="A35" s="29">
        <f t="shared" si="0"/>
        <v>0</v>
      </c>
      <c r="B35" s="29">
        <f t="shared" si="2"/>
        <v>0</v>
      </c>
      <c r="C35" s="29">
        <f t="shared" si="3"/>
        <v>0</v>
      </c>
      <c r="D35" s="29">
        <f t="shared" si="4"/>
        <v>0</v>
      </c>
      <c r="E35" s="29">
        <f t="shared" si="1"/>
        <v>0</v>
      </c>
      <c r="F35" s="29">
        <f t="shared" si="5"/>
        <v>0</v>
      </c>
      <c r="G35" s="29" t="str">
        <f t="shared" si="6"/>
        <v>offensive</v>
      </c>
      <c r="H35" s="16">
        <f t="shared" si="7"/>
        <v>0</v>
      </c>
      <c r="I35" s="16">
        <f t="shared" si="8"/>
        <v>0</v>
      </c>
      <c r="J35" s="16">
        <f t="shared" si="9"/>
        <v>0</v>
      </c>
      <c r="K35" s="16">
        <f t="shared" si="10"/>
        <v>0</v>
      </c>
      <c r="L35" s="67">
        <f t="shared" si="11"/>
        <v>0</v>
      </c>
      <c r="M35" s="4">
        <f t="shared" si="12"/>
        <v>0</v>
      </c>
      <c r="N35" s="4">
        <f t="shared" si="13"/>
        <v>0</v>
      </c>
      <c r="O35" s="4">
        <f t="shared" si="14"/>
        <v>0</v>
      </c>
      <c r="P35" s="4" t="e">
        <f>VLOOKUP(AJ27,'CIR Team Info'!$C$5:$E$44,2,FALSE)</f>
        <v>#N/A</v>
      </c>
      <c r="Q35" s="4" t="e">
        <f>VLOOKUP(AJ27,'CIR Team Info'!$C$5:$E$44,3,FALSE)</f>
        <v>#N/A</v>
      </c>
      <c r="R35" s="10" t="e">
        <f>VLOOKUP(AJ27,'FRC Site Data'!$B$3:$L$42,2,FALSE)</f>
        <v>#N/A</v>
      </c>
      <c r="S35" s="10" t="e">
        <f>VLOOKUP(AJ27,'FRC Site Data'!$B$3:$L$42,3,FALSE)</f>
        <v>#N/A</v>
      </c>
      <c r="T35" s="10" t="e">
        <f>VLOOKUP(AJ27,'FRC Site Data'!$B$3:$L$42,4,FALSE)</f>
        <v>#N/A</v>
      </c>
      <c r="U35" s="10" t="e">
        <f>VLOOKUP(AJ27,'FRC Site Data'!$B$3:$L$42,5,FALSE)</f>
        <v>#N/A</v>
      </c>
      <c r="V35" s="10" t="e">
        <f>VLOOKUP(AJ27,'FRC Site Data'!$B$3:$L$42,6,FALSE)</f>
        <v>#N/A</v>
      </c>
      <c r="W35" s="10" t="e">
        <f>VLOOKUP(AJ27,'FRC Site Data'!$B$3:$L$42,8,FALSE)</f>
        <v>#N/A</v>
      </c>
      <c r="X35" s="10" t="e">
        <f>VLOOKUP(AJ27,'FRC Site Data'!$B$3:$L$42,9,FALSE)</f>
        <v>#N/A</v>
      </c>
      <c r="Y35" s="10" t="e">
        <f>VLOOKUP(AJ27,'FRC Site Data'!$B$3:$L$42,10,FALSE)</f>
        <v>#N/A</v>
      </c>
      <c r="Z35" s="10" t="e">
        <f>VLOOKUP(AJ27,'FRC Site Data'!$B$3:$L$42,11,FALSE)</f>
        <v>#N/A</v>
      </c>
      <c r="AA35" s="10" t="e">
        <f>VLOOKUP(AJ27,'CIR Team Info'!$C$5:$E$44,4,FALSE)</f>
        <v>#N/A</v>
      </c>
      <c r="AB35" s="161" t="b">
        <f>ISNUMBER(VLOOKUP(AJ27,Match!$T$5:$T$10,1,FALSE))</f>
        <v>0</v>
      </c>
      <c r="AC35" s="161" t="b">
        <f>IF(AB35=TRUE,(VLOOKUP($AJ27,Match!$T$5:$U$10,2,FALSE)))</f>
        <v>0</v>
      </c>
      <c r="AD35" s="8">
        <v>3</v>
      </c>
      <c r="AE35" s="8">
        <v>2</v>
      </c>
      <c r="AF35" s="8">
        <v>2</v>
      </c>
      <c r="AG35" s="8">
        <v>1</v>
      </c>
      <c r="AH35" s="8" t="str">
        <f t="shared" si="15"/>
        <v/>
      </c>
      <c r="BA35" s="24"/>
      <c r="BC35" s="12"/>
    </row>
    <row r="36" spans="1:55" x14ac:dyDescent="0.25">
      <c r="A36" s="29">
        <f t="shared" si="0"/>
        <v>0</v>
      </c>
      <c r="B36" s="29">
        <f t="shared" si="2"/>
        <v>0</v>
      </c>
      <c r="C36" s="29">
        <f t="shared" si="3"/>
        <v>0</v>
      </c>
      <c r="D36" s="29">
        <f t="shared" si="4"/>
        <v>0</v>
      </c>
      <c r="E36" s="29">
        <f t="shared" si="1"/>
        <v>0</v>
      </c>
      <c r="F36" s="29">
        <f t="shared" si="5"/>
        <v>0</v>
      </c>
      <c r="G36" s="29" t="str">
        <f t="shared" si="6"/>
        <v>offensive</v>
      </c>
      <c r="H36" s="16">
        <f t="shared" si="7"/>
        <v>0</v>
      </c>
      <c r="I36" s="16">
        <f t="shared" si="8"/>
        <v>0</v>
      </c>
      <c r="J36" s="16">
        <f t="shared" si="9"/>
        <v>0</v>
      </c>
      <c r="K36" s="16">
        <f t="shared" si="10"/>
        <v>0</v>
      </c>
      <c r="L36" s="67">
        <f t="shared" si="11"/>
        <v>0</v>
      </c>
      <c r="M36" s="4">
        <f t="shared" si="12"/>
        <v>0</v>
      </c>
      <c r="N36" s="4">
        <f t="shared" si="13"/>
        <v>0</v>
      </c>
      <c r="O36" s="4">
        <f t="shared" si="14"/>
        <v>0</v>
      </c>
      <c r="P36" s="4" t="e">
        <f>VLOOKUP(AJ28,'CIR Team Info'!$C$5:$E$44,2,FALSE)</f>
        <v>#N/A</v>
      </c>
      <c r="Q36" s="4" t="e">
        <f>VLOOKUP(AJ28,'CIR Team Info'!$C$5:$E$44,3,FALSE)</f>
        <v>#N/A</v>
      </c>
      <c r="R36" s="10" t="e">
        <f>VLOOKUP(AJ28,'FRC Site Data'!$B$3:$L$42,2,FALSE)</f>
        <v>#N/A</v>
      </c>
      <c r="S36" s="10" t="e">
        <f>VLOOKUP(AJ28,'FRC Site Data'!$B$3:$L$42,3,FALSE)</f>
        <v>#N/A</v>
      </c>
      <c r="T36" s="10" t="e">
        <f>VLOOKUP(AJ28,'FRC Site Data'!$B$3:$L$42,4,FALSE)</f>
        <v>#N/A</v>
      </c>
      <c r="U36" s="10" t="e">
        <f>VLOOKUP(AJ28,'FRC Site Data'!$B$3:$L$42,5,FALSE)</f>
        <v>#N/A</v>
      </c>
      <c r="V36" s="10" t="e">
        <f>VLOOKUP(AJ28,'FRC Site Data'!$B$3:$L$42,6,FALSE)</f>
        <v>#N/A</v>
      </c>
      <c r="W36" s="10" t="e">
        <f>VLOOKUP(AJ28,'FRC Site Data'!$B$3:$L$42,8,FALSE)</f>
        <v>#N/A</v>
      </c>
      <c r="X36" s="10" t="e">
        <f>VLOOKUP(AJ28,'FRC Site Data'!$B$3:$L$42,9,FALSE)</f>
        <v>#N/A</v>
      </c>
      <c r="Y36" s="10" t="e">
        <f>VLOOKUP(AJ28,'FRC Site Data'!$B$3:$L$42,10,FALSE)</f>
        <v>#N/A</v>
      </c>
      <c r="Z36" s="10" t="e">
        <f>VLOOKUP(AJ28,'FRC Site Data'!$B$3:$L$42,11,FALSE)</f>
        <v>#N/A</v>
      </c>
      <c r="AA36" s="10" t="e">
        <f>VLOOKUP(AJ28,'CIR Team Info'!$C$5:$E$44,4,FALSE)</f>
        <v>#N/A</v>
      </c>
      <c r="AB36" s="161" t="b">
        <f>ISNUMBER(VLOOKUP(AJ28,Match!$T$5:$T$10,1,FALSE))</f>
        <v>0</v>
      </c>
      <c r="AC36" s="161" t="b">
        <f>IF(AB36=TRUE,(VLOOKUP($AJ28,Match!$T$5:$U$10,2,FALSE)))</f>
        <v>0</v>
      </c>
      <c r="AD36" s="8">
        <v>3</v>
      </c>
      <c r="AE36" s="8">
        <v>2</v>
      </c>
      <c r="AF36" s="8">
        <v>2</v>
      </c>
      <c r="AG36" s="8">
        <v>1</v>
      </c>
      <c r="AH36" s="8" t="str">
        <f t="shared" si="15"/>
        <v/>
      </c>
      <c r="BA36" s="24"/>
      <c r="BC36" s="12"/>
    </row>
    <row r="37" spans="1:55" x14ac:dyDescent="0.25">
      <c r="A37" s="29">
        <f t="shared" si="0"/>
        <v>0</v>
      </c>
      <c r="B37" s="29">
        <f t="shared" si="2"/>
        <v>0</v>
      </c>
      <c r="C37" s="29">
        <f t="shared" si="3"/>
        <v>0</v>
      </c>
      <c r="D37" s="29">
        <f t="shared" si="4"/>
        <v>0</v>
      </c>
      <c r="E37" s="29">
        <f t="shared" si="1"/>
        <v>0</v>
      </c>
      <c r="F37" s="29">
        <f t="shared" si="5"/>
        <v>0</v>
      </c>
      <c r="G37" s="29" t="str">
        <f t="shared" si="6"/>
        <v>offensive</v>
      </c>
      <c r="H37" s="16">
        <f t="shared" si="7"/>
        <v>0</v>
      </c>
      <c r="I37" s="16">
        <f t="shared" si="8"/>
        <v>0</v>
      </c>
      <c r="J37" s="16">
        <f t="shared" si="9"/>
        <v>0</v>
      </c>
      <c r="K37" s="16">
        <f t="shared" si="10"/>
        <v>0</v>
      </c>
      <c r="L37" s="67">
        <f t="shared" si="11"/>
        <v>0</v>
      </c>
      <c r="M37" s="4">
        <f t="shared" si="12"/>
        <v>0</v>
      </c>
      <c r="N37" s="4">
        <f t="shared" si="13"/>
        <v>0</v>
      </c>
      <c r="O37" s="4">
        <f t="shared" si="14"/>
        <v>0</v>
      </c>
      <c r="P37" s="4" t="e">
        <f>VLOOKUP(AJ29,'CIR Team Info'!$C$5:$E$44,2,FALSE)</f>
        <v>#N/A</v>
      </c>
      <c r="Q37" s="4" t="e">
        <f>VLOOKUP(AJ29,'CIR Team Info'!$C$5:$E$44,3,FALSE)</f>
        <v>#N/A</v>
      </c>
      <c r="R37" s="10" t="e">
        <f>VLOOKUP(AJ29,'FRC Site Data'!$B$3:$L$42,2,FALSE)</f>
        <v>#N/A</v>
      </c>
      <c r="S37" s="10" t="e">
        <f>VLOOKUP(AJ29,'FRC Site Data'!$B$3:$L$42,3,FALSE)</f>
        <v>#N/A</v>
      </c>
      <c r="T37" s="10" t="e">
        <f>VLOOKUP(AJ29,'FRC Site Data'!$B$3:$L$42,4,FALSE)</f>
        <v>#N/A</v>
      </c>
      <c r="U37" s="10" t="e">
        <f>VLOOKUP(AJ29,'FRC Site Data'!$B$3:$L$42,5,FALSE)</f>
        <v>#N/A</v>
      </c>
      <c r="V37" s="10" t="e">
        <f>VLOOKUP(AJ29,'FRC Site Data'!$B$3:$L$42,6,FALSE)</f>
        <v>#N/A</v>
      </c>
      <c r="W37" s="10" t="e">
        <f>VLOOKUP(AJ29,'FRC Site Data'!$B$3:$L$42,8,FALSE)</f>
        <v>#N/A</v>
      </c>
      <c r="X37" s="10" t="e">
        <f>VLOOKUP(AJ29,'FRC Site Data'!$B$3:$L$42,9,FALSE)</f>
        <v>#N/A</v>
      </c>
      <c r="Y37" s="10" t="e">
        <f>VLOOKUP(AJ29,'FRC Site Data'!$B$3:$L$42,10,FALSE)</f>
        <v>#N/A</v>
      </c>
      <c r="Z37" s="10" t="e">
        <f>VLOOKUP(AJ29,'FRC Site Data'!$B$3:$L$42,11,FALSE)</f>
        <v>#N/A</v>
      </c>
      <c r="AA37" s="10" t="e">
        <f>VLOOKUP(AJ29,'CIR Team Info'!$C$5:$E$44,4,FALSE)</f>
        <v>#N/A</v>
      </c>
      <c r="AB37" s="161" t="b">
        <f>ISNUMBER(VLOOKUP(AJ29,Match!$T$5:$T$10,1,FALSE))</f>
        <v>0</v>
      </c>
      <c r="AC37" s="161" t="b">
        <f>IF(AB37=TRUE,(VLOOKUP($AJ29,Match!$T$5:$U$10,2,FALSE)))</f>
        <v>0</v>
      </c>
      <c r="AD37" s="8">
        <v>3</v>
      </c>
      <c r="AE37" s="8">
        <v>2</v>
      </c>
      <c r="AF37" s="8">
        <v>2</v>
      </c>
      <c r="AG37" s="8">
        <v>1</v>
      </c>
      <c r="AH37" s="8" t="str">
        <f t="shared" si="15"/>
        <v/>
      </c>
      <c r="BA37" s="24"/>
      <c r="BC37" s="12"/>
    </row>
    <row r="38" spans="1:55" x14ac:dyDescent="0.25">
      <c r="A38" s="29">
        <f t="shared" si="0"/>
        <v>0</v>
      </c>
      <c r="B38" s="29">
        <f t="shared" si="2"/>
        <v>0</v>
      </c>
      <c r="C38" s="29">
        <f t="shared" si="3"/>
        <v>0</v>
      </c>
      <c r="D38" s="29">
        <f t="shared" si="4"/>
        <v>0</v>
      </c>
      <c r="E38" s="29">
        <f t="shared" si="1"/>
        <v>0</v>
      </c>
      <c r="F38" s="29">
        <f t="shared" si="5"/>
        <v>0</v>
      </c>
      <c r="G38" s="29" t="str">
        <f t="shared" si="6"/>
        <v>offensive</v>
      </c>
      <c r="H38" s="16">
        <f t="shared" si="7"/>
        <v>0</v>
      </c>
      <c r="I38" s="16">
        <f t="shared" si="8"/>
        <v>0</v>
      </c>
      <c r="J38" s="16">
        <f t="shared" si="9"/>
        <v>0</v>
      </c>
      <c r="K38" s="16">
        <f t="shared" si="10"/>
        <v>0</v>
      </c>
      <c r="L38" s="67">
        <f t="shared" si="11"/>
        <v>0</v>
      </c>
      <c r="M38" s="4">
        <f t="shared" si="12"/>
        <v>0</v>
      </c>
      <c r="N38" s="4">
        <f t="shared" si="13"/>
        <v>0</v>
      </c>
      <c r="O38" s="4">
        <f t="shared" si="14"/>
        <v>0</v>
      </c>
      <c r="P38" s="4" t="e">
        <f>VLOOKUP(AJ30,'CIR Team Info'!$C$5:$E$44,2,FALSE)</f>
        <v>#N/A</v>
      </c>
      <c r="Q38" s="4" t="e">
        <f>VLOOKUP(AJ30,'CIR Team Info'!$C$5:$E$44,3,FALSE)</f>
        <v>#N/A</v>
      </c>
      <c r="R38" s="10" t="e">
        <f>VLOOKUP(AJ30,'FRC Site Data'!$B$3:$L$42,2,FALSE)</f>
        <v>#N/A</v>
      </c>
      <c r="S38" s="10" t="e">
        <f>VLOOKUP(AJ30,'FRC Site Data'!$B$3:$L$42,3,FALSE)</f>
        <v>#N/A</v>
      </c>
      <c r="T38" s="10" t="e">
        <f>VLOOKUP(AJ30,'FRC Site Data'!$B$3:$L$42,4,FALSE)</f>
        <v>#N/A</v>
      </c>
      <c r="U38" s="10" t="e">
        <f>VLOOKUP(AJ30,'FRC Site Data'!$B$3:$L$42,5,FALSE)</f>
        <v>#N/A</v>
      </c>
      <c r="V38" s="10" t="e">
        <f>VLOOKUP(AJ30,'FRC Site Data'!$B$3:$L$42,6,FALSE)</f>
        <v>#N/A</v>
      </c>
      <c r="W38" s="10" t="e">
        <f>VLOOKUP(AJ30,'FRC Site Data'!$B$3:$L$42,8,FALSE)</f>
        <v>#N/A</v>
      </c>
      <c r="X38" s="10" t="e">
        <f>VLOOKUP(AJ30,'FRC Site Data'!$B$3:$L$42,9,FALSE)</f>
        <v>#N/A</v>
      </c>
      <c r="Y38" s="10" t="e">
        <f>VLOOKUP(AJ30,'FRC Site Data'!$B$3:$L$42,10,FALSE)</f>
        <v>#N/A</v>
      </c>
      <c r="Z38" s="10" t="e">
        <f>VLOOKUP(AJ30,'FRC Site Data'!$B$3:$L$42,11,FALSE)</f>
        <v>#N/A</v>
      </c>
      <c r="AA38" s="10" t="e">
        <f>VLOOKUP(AJ30,'CIR Team Info'!$C$5:$E$44,4,FALSE)</f>
        <v>#N/A</v>
      </c>
      <c r="AB38" s="161" t="b">
        <f>ISNUMBER(VLOOKUP(AJ30,Match!$T$5:$T$10,1,FALSE))</f>
        <v>0</v>
      </c>
      <c r="AC38" s="161" t="b">
        <f>IF(AB38=TRUE,(VLOOKUP($AJ30,Match!$T$5:$U$10,2,FALSE)))</f>
        <v>0</v>
      </c>
      <c r="AD38" s="8">
        <v>3</v>
      </c>
      <c r="AE38" s="8">
        <v>2</v>
      </c>
      <c r="AF38" s="8">
        <v>2</v>
      </c>
      <c r="AG38" s="8">
        <v>1</v>
      </c>
      <c r="AH38" s="8" t="str">
        <f t="shared" si="15"/>
        <v/>
      </c>
      <c r="BA38" s="24"/>
      <c r="BC38" s="12"/>
    </row>
    <row r="39" spans="1:55" x14ac:dyDescent="0.25">
      <c r="A39" s="29">
        <f t="shared" si="0"/>
        <v>0</v>
      </c>
      <c r="B39" s="29">
        <f t="shared" si="2"/>
        <v>0</v>
      </c>
      <c r="C39" s="29">
        <f t="shared" si="3"/>
        <v>0</v>
      </c>
      <c r="D39" s="29">
        <f t="shared" si="4"/>
        <v>0</v>
      </c>
      <c r="E39" s="29">
        <f t="shared" si="1"/>
        <v>0</v>
      </c>
      <c r="F39" s="29">
        <f t="shared" si="5"/>
        <v>0</v>
      </c>
      <c r="G39" s="29" t="str">
        <f t="shared" si="6"/>
        <v>offensive</v>
      </c>
      <c r="H39" s="16">
        <f t="shared" si="7"/>
        <v>0</v>
      </c>
      <c r="I39" s="16">
        <f t="shared" si="8"/>
        <v>0</v>
      </c>
      <c r="J39" s="16">
        <f t="shared" si="9"/>
        <v>0</v>
      </c>
      <c r="K39" s="16">
        <f t="shared" si="10"/>
        <v>0</v>
      </c>
      <c r="L39" s="67">
        <f t="shared" si="11"/>
        <v>0</v>
      </c>
      <c r="M39" s="4">
        <f t="shared" si="12"/>
        <v>0</v>
      </c>
      <c r="N39" s="4">
        <f t="shared" si="13"/>
        <v>0</v>
      </c>
      <c r="O39" s="4">
        <f t="shared" si="14"/>
        <v>0</v>
      </c>
      <c r="P39" s="4" t="e">
        <f>VLOOKUP(AJ31,'CIR Team Info'!$C$5:$E$44,2,FALSE)</f>
        <v>#N/A</v>
      </c>
      <c r="Q39" s="4" t="e">
        <f>VLOOKUP(AJ31,'CIR Team Info'!$C$5:$E$44,3,FALSE)</f>
        <v>#N/A</v>
      </c>
      <c r="R39" s="10" t="e">
        <f>VLOOKUP(AJ31,'FRC Site Data'!$B$3:$L$42,2,FALSE)</f>
        <v>#N/A</v>
      </c>
      <c r="S39" s="10" t="e">
        <f>VLOOKUP(AJ31,'FRC Site Data'!$B$3:$L$42,3,FALSE)</f>
        <v>#N/A</v>
      </c>
      <c r="T39" s="10" t="e">
        <f>VLOOKUP(AJ31,'FRC Site Data'!$B$3:$L$42,4,FALSE)</f>
        <v>#N/A</v>
      </c>
      <c r="U39" s="10" t="e">
        <f>VLOOKUP(AJ31,'FRC Site Data'!$B$3:$L$42,5,FALSE)</f>
        <v>#N/A</v>
      </c>
      <c r="V39" s="10" t="e">
        <f>VLOOKUP(AJ31,'FRC Site Data'!$B$3:$L$42,6,FALSE)</f>
        <v>#N/A</v>
      </c>
      <c r="W39" s="10" t="e">
        <f>VLOOKUP(AJ31,'FRC Site Data'!$B$3:$L$42,8,FALSE)</f>
        <v>#N/A</v>
      </c>
      <c r="X39" s="10" t="e">
        <f>VLOOKUP(AJ31,'FRC Site Data'!$B$3:$L$42,9,FALSE)</f>
        <v>#N/A</v>
      </c>
      <c r="Y39" s="10" t="e">
        <f>VLOOKUP(AJ31,'FRC Site Data'!$B$3:$L$42,10,FALSE)</f>
        <v>#N/A</v>
      </c>
      <c r="Z39" s="10" t="e">
        <f>VLOOKUP(AJ31,'FRC Site Data'!$B$3:$L$42,11,FALSE)</f>
        <v>#N/A</v>
      </c>
      <c r="AA39" s="10" t="e">
        <f>VLOOKUP(AJ31,'CIR Team Info'!$C$5:$E$44,4,FALSE)</f>
        <v>#N/A</v>
      </c>
      <c r="AB39" s="161" t="b">
        <f>ISNUMBER(VLOOKUP(AJ31,Match!$T$5:$T$10,1,FALSE))</f>
        <v>0</v>
      </c>
      <c r="AC39" s="161" t="b">
        <f>IF(AB39=TRUE,(VLOOKUP($AJ31,Match!$T$5:$U$10,2,FALSE)))</f>
        <v>0</v>
      </c>
      <c r="AD39" s="8">
        <v>3</v>
      </c>
      <c r="AE39" s="8">
        <v>2</v>
      </c>
      <c r="AF39" s="8">
        <v>2</v>
      </c>
      <c r="AG39" s="8">
        <v>1</v>
      </c>
      <c r="AH39" s="8" t="str">
        <f t="shared" si="15"/>
        <v/>
      </c>
      <c r="BA39" s="24"/>
      <c r="BC39" s="12"/>
    </row>
    <row r="40" spans="1:55" x14ac:dyDescent="0.25">
      <c r="A40" s="29">
        <f t="shared" si="0"/>
        <v>0</v>
      </c>
      <c r="B40" s="29">
        <f t="shared" si="2"/>
        <v>0</v>
      </c>
      <c r="C40" s="29">
        <f t="shared" si="3"/>
        <v>0</v>
      </c>
      <c r="D40" s="29">
        <f t="shared" si="4"/>
        <v>0</v>
      </c>
      <c r="E40" s="29">
        <f t="shared" si="1"/>
        <v>0</v>
      </c>
      <c r="F40" s="29">
        <f t="shared" si="5"/>
        <v>0</v>
      </c>
      <c r="G40" s="29" t="str">
        <f t="shared" si="6"/>
        <v>offensive</v>
      </c>
      <c r="H40" s="16">
        <f t="shared" si="7"/>
        <v>0</v>
      </c>
      <c r="I40" s="16">
        <f t="shared" si="8"/>
        <v>0</v>
      </c>
      <c r="J40" s="16">
        <f t="shared" si="9"/>
        <v>0</v>
      </c>
      <c r="K40" s="16">
        <f t="shared" si="10"/>
        <v>0</v>
      </c>
      <c r="L40" s="67">
        <f t="shared" si="11"/>
        <v>0</v>
      </c>
      <c r="M40" s="4">
        <f t="shared" si="12"/>
        <v>0</v>
      </c>
      <c r="N40" s="4">
        <f t="shared" si="13"/>
        <v>0</v>
      </c>
      <c r="O40" s="4">
        <f t="shared" si="14"/>
        <v>0</v>
      </c>
      <c r="P40" s="4" t="e">
        <f>VLOOKUP(AJ32,'CIR Team Info'!$C$5:$E$44,2,FALSE)</f>
        <v>#N/A</v>
      </c>
      <c r="Q40" s="4" t="e">
        <f>VLOOKUP(AJ32,'CIR Team Info'!$C$5:$E$44,3,FALSE)</f>
        <v>#N/A</v>
      </c>
      <c r="R40" s="10" t="e">
        <f>VLOOKUP(AJ32,'FRC Site Data'!$B$3:$L$42,2,FALSE)</f>
        <v>#N/A</v>
      </c>
      <c r="S40" s="10" t="e">
        <f>VLOOKUP(AJ32,'FRC Site Data'!$B$3:$L$42,3,FALSE)</f>
        <v>#N/A</v>
      </c>
      <c r="T40" s="10" t="e">
        <f>VLOOKUP(AJ32,'FRC Site Data'!$B$3:$L$42,4,FALSE)</f>
        <v>#N/A</v>
      </c>
      <c r="U40" s="10" t="e">
        <f>VLOOKUP(AJ32,'FRC Site Data'!$B$3:$L$42,5,FALSE)</f>
        <v>#N/A</v>
      </c>
      <c r="V40" s="10" t="e">
        <f>VLOOKUP(AJ32,'FRC Site Data'!$B$3:$L$42,6,FALSE)</f>
        <v>#N/A</v>
      </c>
      <c r="W40" s="10" t="e">
        <f>VLOOKUP(AJ32,'FRC Site Data'!$B$3:$L$42,8,FALSE)</f>
        <v>#N/A</v>
      </c>
      <c r="X40" s="10" t="e">
        <f>VLOOKUP(AJ32,'FRC Site Data'!$B$3:$L$42,9,FALSE)</f>
        <v>#N/A</v>
      </c>
      <c r="Y40" s="10" t="e">
        <f>VLOOKUP(AJ32,'FRC Site Data'!$B$3:$L$42,10,FALSE)</f>
        <v>#N/A</v>
      </c>
      <c r="Z40" s="10" t="e">
        <f>VLOOKUP(AJ32,'FRC Site Data'!$B$3:$L$42,11,FALSE)</f>
        <v>#N/A</v>
      </c>
      <c r="AA40" s="10" t="e">
        <f>VLOOKUP(AJ32,'CIR Team Info'!$C$5:$E$44,4,FALSE)</f>
        <v>#N/A</v>
      </c>
      <c r="AB40" s="161" t="b">
        <f>ISNUMBER(VLOOKUP(AJ32,Match!$T$5:$T$10,1,FALSE))</f>
        <v>0</v>
      </c>
      <c r="AC40" s="161" t="b">
        <f>IF(AB40=TRUE,(VLOOKUP($AJ32,Match!$T$5:$U$10,2,FALSE)))</f>
        <v>0</v>
      </c>
      <c r="AD40" s="8">
        <v>3</v>
      </c>
      <c r="AE40" s="8">
        <v>2</v>
      </c>
      <c r="AF40" s="8">
        <v>2</v>
      </c>
      <c r="AG40" s="8">
        <v>1</v>
      </c>
      <c r="AH40" s="8" t="str">
        <f t="shared" si="15"/>
        <v/>
      </c>
      <c r="BA40" s="24"/>
      <c r="BC40" s="12"/>
    </row>
    <row r="41" spans="1:55" x14ac:dyDescent="0.25">
      <c r="A41" s="29">
        <f t="shared" si="0"/>
        <v>0</v>
      </c>
      <c r="B41" s="29">
        <f t="shared" si="2"/>
        <v>0</v>
      </c>
      <c r="C41" s="29">
        <f t="shared" si="3"/>
        <v>0</v>
      </c>
      <c r="D41" s="29">
        <f t="shared" si="4"/>
        <v>0</v>
      </c>
      <c r="E41" s="29">
        <f t="shared" si="1"/>
        <v>0</v>
      </c>
      <c r="F41" s="29">
        <f t="shared" si="5"/>
        <v>0</v>
      </c>
      <c r="G41" s="29" t="str">
        <f t="shared" si="6"/>
        <v>offensive</v>
      </c>
      <c r="H41" s="16">
        <f t="shared" si="7"/>
        <v>0</v>
      </c>
      <c r="I41" s="16">
        <f t="shared" si="8"/>
        <v>0</v>
      </c>
      <c r="J41" s="16">
        <f t="shared" si="9"/>
        <v>0</v>
      </c>
      <c r="K41" s="16">
        <f t="shared" si="10"/>
        <v>0</v>
      </c>
      <c r="L41" s="67">
        <f t="shared" si="11"/>
        <v>0</v>
      </c>
      <c r="M41" s="4">
        <f t="shared" si="12"/>
        <v>0</v>
      </c>
      <c r="N41" s="4">
        <f t="shared" si="13"/>
        <v>0</v>
      </c>
      <c r="O41" s="4">
        <f t="shared" si="14"/>
        <v>0</v>
      </c>
      <c r="P41" s="4" t="e">
        <f>VLOOKUP(AJ33,'CIR Team Info'!$C$5:$E$44,2,FALSE)</f>
        <v>#N/A</v>
      </c>
      <c r="Q41" s="4" t="e">
        <f>VLOOKUP(AJ33,'CIR Team Info'!$C$5:$E$44,3,FALSE)</f>
        <v>#N/A</v>
      </c>
      <c r="R41" s="10" t="e">
        <f>VLOOKUP(AJ33,'FRC Site Data'!$B$3:$L$42,2,FALSE)</f>
        <v>#N/A</v>
      </c>
      <c r="S41" s="10" t="e">
        <f>VLOOKUP(AJ33,'FRC Site Data'!$B$3:$L$42,3,FALSE)</f>
        <v>#N/A</v>
      </c>
      <c r="T41" s="10" t="e">
        <f>VLOOKUP(AJ33,'FRC Site Data'!$B$3:$L$42,4,FALSE)</f>
        <v>#N/A</v>
      </c>
      <c r="U41" s="10" t="e">
        <f>VLOOKUP(AJ33,'FRC Site Data'!$B$3:$L$42,5,FALSE)</f>
        <v>#N/A</v>
      </c>
      <c r="V41" s="10" t="e">
        <f>VLOOKUP(AJ33,'FRC Site Data'!$B$3:$L$42,6,FALSE)</f>
        <v>#N/A</v>
      </c>
      <c r="W41" s="10" t="e">
        <f>VLOOKUP(AJ33,'FRC Site Data'!$B$3:$L$42,8,FALSE)</f>
        <v>#N/A</v>
      </c>
      <c r="X41" s="10" t="e">
        <f>VLOOKUP(AJ33,'FRC Site Data'!$B$3:$L$42,9,FALSE)</f>
        <v>#N/A</v>
      </c>
      <c r="Y41" s="10" t="e">
        <f>VLOOKUP(AJ33,'FRC Site Data'!$B$3:$L$42,10,FALSE)</f>
        <v>#N/A</v>
      </c>
      <c r="Z41" s="10" t="e">
        <f>VLOOKUP(AJ33,'FRC Site Data'!$B$3:$L$42,11,FALSE)</f>
        <v>#N/A</v>
      </c>
      <c r="AA41" s="10" t="e">
        <f>VLOOKUP(AJ33,'CIR Team Info'!$C$5:$E$44,4,FALSE)</f>
        <v>#N/A</v>
      </c>
      <c r="AB41" s="161" t="b">
        <f>ISNUMBER(VLOOKUP(AJ33,Match!$T$5:$T$10,1,FALSE))</f>
        <v>0</v>
      </c>
      <c r="AC41" s="161" t="b">
        <f>IF(AB41=TRUE,(VLOOKUP($AJ33,Match!$T$5:$U$10,2,FALSE)))</f>
        <v>0</v>
      </c>
      <c r="AD41" s="8">
        <v>3</v>
      </c>
      <c r="AE41" s="8">
        <v>2</v>
      </c>
      <c r="AF41" s="8">
        <v>2</v>
      </c>
      <c r="AG41" s="8">
        <v>1</v>
      </c>
      <c r="AH41" s="8" t="str">
        <f t="shared" si="15"/>
        <v/>
      </c>
      <c r="BA41" s="24"/>
      <c r="BC41" s="12"/>
    </row>
    <row r="42" spans="1:55" x14ac:dyDescent="0.25">
      <c r="A42" s="29">
        <f t="shared" si="0"/>
        <v>0</v>
      </c>
      <c r="B42" s="29">
        <f t="shared" si="2"/>
        <v>0</v>
      </c>
      <c r="C42" s="29">
        <f t="shared" si="3"/>
        <v>0</v>
      </c>
      <c r="D42" s="29">
        <f t="shared" si="4"/>
        <v>0</v>
      </c>
      <c r="E42" s="29">
        <f t="shared" si="1"/>
        <v>0</v>
      </c>
      <c r="F42" s="29">
        <f t="shared" si="5"/>
        <v>0</v>
      </c>
      <c r="G42" s="29" t="str">
        <f t="shared" si="6"/>
        <v>offensive</v>
      </c>
      <c r="H42" s="16">
        <f t="shared" si="7"/>
        <v>0</v>
      </c>
      <c r="I42" s="16">
        <f t="shared" si="8"/>
        <v>0</v>
      </c>
      <c r="J42" s="16">
        <f t="shared" si="9"/>
        <v>0</v>
      </c>
      <c r="K42" s="16">
        <f t="shared" si="10"/>
        <v>0</v>
      </c>
      <c r="L42" s="67">
        <f t="shared" si="11"/>
        <v>0</v>
      </c>
      <c r="M42" s="4">
        <f t="shared" si="12"/>
        <v>0</v>
      </c>
      <c r="N42" s="4">
        <f t="shared" si="13"/>
        <v>0</v>
      </c>
      <c r="O42" s="4">
        <f t="shared" si="14"/>
        <v>0</v>
      </c>
      <c r="P42" s="4" t="e">
        <f>VLOOKUP(AJ34,'CIR Team Info'!$C$5:$E$44,2,FALSE)</f>
        <v>#N/A</v>
      </c>
      <c r="Q42" s="4" t="e">
        <f>VLOOKUP(AJ34,'CIR Team Info'!$C$5:$E$44,3,FALSE)</f>
        <v>#N/A</v>
      </c>
      <c r="R42" s="10" t="e">
        <f>VLOOKUP(AJ34,'FRC Site Data'!$B$3:$L$42,2,FALSE)</f>
        <v>#N/A</v>
      </c>
      <c r="S42" s="10" t="e">
        <f>VLOOKUP(AJ34,'FRC Site Data'!$B$3:$L$42,3,FALSE)</f>
        <v>#N/A</v>
      </c>
      <c r="T42" s="10" t="e">
        <f>VLOOKUP(AJ34,'FRC Site Data'!$B$3:$L$42,4,FALSE)</f>
        <v>#N/A</v>
      </c>
      <c r="U42" s="10" t="e">
        <f>VLOOKUP(AJ34,'FRC Site Data'!$B$3:$L$42,5,FALSE)</f>
        <v>#N/A</v>
      </c>
      <c r="V42" s="10" t="e">
        <f>VLOOKUP(AJ34,'FRC Site Data'!$B$3:$L$42,6,FALSE)</f>
        <v>#N/A</v>
      </c>
      <c r="W42" s="10" t="e">
        <f>VLOOKUP(AJ34,'FRC Site Data'!$B$3:$L$42,8,FALSE)</f>
        <v>#N/A</v>
      </c>
      <c r="X42" s="10" t="e">
        <f>VLOOKUP(AJ34,'FRC Site Data'!$B$3:$L$42,9,FALSE)</f>
        <v>#N/A</v>
      </c>
      <c r="Y42" s="10" t="e">
        <f>VLOOKUP(AJ34,'FRC Site Data'!$B$3:$L$42,10,FALSE)</f>
        <v>#N/A</v>
      </c>
      <c r="Z42" s="10" t="e">
        <f>VLOOKUP(AJ34,'FRC Site Data'!$B$3:$L$42,11,FALSE)</f>
        <v>#N/A</v>
      </c>
      <c r="AA42" s="10" t="e">
        <f>VLOOKUP(AJ34,'CIR Team Info'!$C$5:$E$44,4,FALSE)</f>
        <v>#N/A</v>
      </c>
      <c r="AB42" s="161" t="b">
        <f>ISNUMBER(VLOOKUP(AJ34,Match!$T$5:$T$10,1,FALSE))</f>
        <v>0</v>
      </c>
      <c r="AC42" s="161" t="b">
        <f>IF(AB42=TRUE,(VLOOKUP($AJ34,Match!$T$5:$U$10,2,FALSE)))</f>
        <v>0</v>
      </c>
      <c r="AD42" s="8">
        <v>3</v>
      </c>
      <c r="AE42" s="8">
        <v>2</v>
      </c>
      <c r="AF42" s="8">
        <v>2</v>
      </c>
      <c r="AG42" s="8">
        <v>1</v>
      </c>
      <c r="AH42" s="8" t="str">
        <f t="shared" si="15"/>
        <v/>
      </c>
      <c r="BA42" s="24"/>
      <c r="BC42" s="12"/>
    </row>
    <row r="43" spans="1:55" x14ac:dyDescent="0.25">
      <c r="A43" s="29">
        <f t="shared" si="0"/>
        <v>0</v>
      </c>
      <c r="B43" s="29">
        <f t="shared" si="2"/>
        <v>0</v>
      </c>
      <c r="C43" s="29">
        <f t="shared" si="3"/>
        <v>0</v>
      </c>
      <c r="D43" s="29">
        <f t="shared" si="4"/>
        <v>0</v>
      </c>
      <c r="E43" s="29">
        <f t="shared" si="1"/>
        <v>0</v>
      </c>
      <c r="F43" s="29">
        <f t="shared" si="5"/>
        <v>0</v>
      </c>
      <c r="G43" s="29" t="str">
        <f t="shared" si="6"/>
        <v>offensive</v>
      </c>
      <c r="H43" s="16">
        <f t="shared" si="7"/>
        <v>0</v>
      </c>
      <c r="I43" s="16">
        <f t="shared" si="8"/>
        <v>0</v>
      </c>
      <c r="J43" s="16">
        <f t="shared" si="9"/>
        <v>0</v>
      </c>
      <c r="K43" s="16">
        <f t="shared" si="10"/>
        <v>0</v>
      </c>
      <c r="L43" s="67">
        <f t="shared" si="11"/>
        <v>0</v>
      </c>
      <c r="M43" s="4">
        <f t="shared" si="12"/>
        <v>0</v>
      </c>
      <c r="N43" s="4">
        <f t="shared" si="13"/>
        <v>0</v>
      </c>
      <c r="O43" s="4">
        <f t="shared" si="14"/>
        <v>0</v>
      </c>
      <c r="P43" s="4" t="e">
        <f>VLOOKUP(AJ35,'CIR Team Info'!$C$5:$E$44,2,FALSE)</f>
        <v>#N/A</v>
      </c>
      <c r="Q43" s="4" t="e">
        <f>VLOOKUP(AJ35,'CIR Team Info'!$C$5:$E$44,3,FALSE)</f>
        <v>#N/A</v>
      </c>
      <c r="R43" s="10" t="e">
        <f>VLOOKUP(AJ35,'FRC Site Data'!$B$3:$L$42,2,FALSE)</f>
        <v>#N/A</v>
      </c>
      <c r="S43" s="10" t="e">
        <f>VLOOKUP(AJ35,'FRC Site Data'!$B$3:$L$42,3,FALSE)</f>
        <v>#N/A</v>
      </c>
      <c r="T43" s="10" t="e">
        <f>VLOOKUP(AJ35,'FRC Site Data'!$B$3:$L$42,4,FALSE)</f>
        <v>#N/A</v>
      </c>
      <c r="U43" s="10" t="e">
        <f>VLOOKUP(AJ35,'FRC Site Data'!$B$3:$L$42,5,FALSE)</f>
        <v>#N/A</v>
      </c>
      <c r="V43" s="10" t="e">
        <f>VLOOKUP(AJ35,'FRC Site Data'!$B$3:$L$42,6,FALSE)</f>
        <v>#N/A</v>
      </c>
      <c r="W43" s="10" t="e">
        <f>VLOOKUP(AJ35,'FRC Site Data'!$B$3:$L$42,8,FALSE)</f>
        <v>#N/A</v>
      </c>
      <c r="X43" s="10" t="e">
        <f>VLOOKUP(AJ35,'FRC Site Data'!$B$3:$L$42,9,FALSE)</f>
        <v>#N/A</v>
      </c>
      <c r="Y43" s="10" t="e">
        <f>VLOOKUP(AJ35,'FRC Site Data'!$B$3:$L$42,10,FALSE)</f>
        <v>#N/A</v>
      </c>
      <c r="Z43" s="10" t="e">
        <f>VLOOKUP(AJ35,'FRC Site Data'!$B$3:$L$42,11,FALSE)</f>
        <v>#N/A</v>
      </c>
      <c r="AA43" s="10" t="e">
        <f>VLOOKUP(AJ35,'CIR Team Info'!$C$5:$E$44,4,FALSE)</f>
        <v>#N/A</v>
      </c>
      <c r="AB43" s="161" t="b">
        <f>ISNUMBER(VLOOKUP(AJ35,Match!$T$5:$T$10,1,FALSE))</f>
        <v>0</v>
      </c>
      <c r="AC43" s="161" t="b">
        <f>IF(AB43=TRUE,(VLOOKUP($AJ35,Match!$T$5:$U$10,2,FALSE)))</f>
        <v>0</v>
      </c>
      <c r="AD43" s="8">
        <v>3</v>
      </c>
      <c r="AE43" s="8">
        <v>2</v>
      </c>
      <c r="AF43" s="8">
        <v>2</v>
      </c>
      <c r="AG43" s="8">
        <v>1</v>
      </c>
      <c r="AH43" s="8" t="str">
        <f t="shared" si="15"/>
        <v/>
      </c>
      <c r="BA43" s="24"/>
      <c r="BC43" s="12"/>
    </row>
    <row r="44" spans="1:55" x14ac:dyDescent="0.25">
      <c r="A44" s="29">
        <f t="shared" si="0"/>
        <v>0</v>
      </c>
      <c r="B44" s="29">
        <f t="shared" si="2"/>
        <v>0</v>
      </c>
      <c r="C44" s="29">
        <f t="shared" si="3"/>
        <v>0</v>
      </c>
      <c r="D44" s="29">
        <f t="shared" si="4"/>
        <v>0</v>
      </c>
      <c r="E44" s="29">
        <f t="shared" si="1"/>
        <v>0</v>
      </c>
      <c r="F44" s="29">
        <f t="shared" si="5"/>
        <v>0</v>
      </c>
      <c r="G44" s="29" t="str">
        <f t="shared" si="6"/>
        <v>offensive</v>
      </c>
      <c r="H44" s="16">
        <f t="shared" si="7"/>
        <v>0</v>
      </c>
      <c r="I44" s="16">
        <f t="shared" si="8"/>
        <v>0</v>
      </c>
      <c r="J44" s="16">
        <f t="shared" si="9"/>
        <v>0</v>
      </c>
      <c r="K44" s="16">
        <f t="shared" si="10"/>
        <v>0</v>
      </c>
      <c r="L44" s="67">
        <f t="shared" si="11"/>
        <v>0</v>
      </c>
      <c r="M44" s="4">
        <f t="shared" si="12"/>
        <v>0</v>
      </c>
      <c r="N44" s="4">
        <f t="shared" si="13"/>
        <v>0</v>
      </c>
      <c r="O44" s="4">
        <f t="shared" si="14"/>
        <v>0</v>
      </c>
      <c r="P44" s="4" t="e">
        <f>VLOOKUP(AJ36,'CIR Team Info'!$C$5:$E$44,2,FALSE)</f>
        <v>#N/A</v>
      </c>
      <c r="Q44" s="4" t="e">
        <f>VLOOKUP(AJ36,'CIR Team Info'!$C$5:$E$44,3,FALSE)</f>
        <v>#N/A</v>
      </c>
      <c r="R44" s="10" t="e">
        <f>VLOOKUP(AJ36,'FRC Site Data'!$B$3:$L$42,2,FALSE)</f>
        <v>#N/A</v>
      </c>
      <c r="S44" s="10" t="e">
        <f>VLOOKUP(AJ36,'FRC Site Data'!$B$3:$L$42,3,FALSE)</f>
        <v>#N/A</v>
      </c>
      <c r="T44" s="10" t="e">
        <f>VLOOKUP(AJ36,'FRC Site Data'!$B$3:$L$42,4,FALSE)</f>
        <v>#N/A</v>
      </c>
      <c r="U44" s="10" t="e">
        <f>VLOOKUP(AJ36,'FRC Site Data'!$B$3:$L$42,5,FALSE)</f>
        <v>#N/A</v>
      </c>
      <c r="V44" s="10" t="e">
        <f>VLOOKUP(AJ36,'FRC Site Data'!$B$3:$L$42,6,FALSE)</f>
        <v>#N/A</v>
      </c>
      <c r="W44" s="10" t="e">
        <f>VLOOKUP(AJ36,'FRC Site Data'!$B$3:$L$42,8,FALSE)</f>
        <v>#N/A</v>
      </c>
      <c r="X44" s="10" t="e">
        <f>VLOOKUP(AJ36,'FRC Site Data'!$B$3:$L$42,9,FALSE)</f>
        <v>#N/A</v>
      </c>
      <c r="Y44" s="10" t="e">
        <f>VLOOKUP(AJ36,'FRC Site Data'!$B$3:$L$42,10,FALSE)</f>
        <v>#N/A</v>
      </c>
      <c r="Z44" s="10" t="e">
        <f>VLOOKUP(AJ36,'FRC Site Data'!$B$3:$L$42,11,FALSE)</f>
        <v>#N/A</v>
      </c>
      <c r="AA44" s="10" t="e">
        <f>VLOOKUP(AJ36,'CIR Team Info'!$C$5:$E$44,4,FALSE)</f>
        <v>#N/A</v>
      </c>
      <c r="AB44" s="161" t="b">
        <f>ISNUMBER(VLOOKUP(AJ36,Match!$T$5:$T$10,1,FALSE))</f>
        <v>0</v>
      </c>
      <c r="AC44" s="161" t="b">
        <f>IF(AB44=TRUE,(VLOOKUP($AJ36,Match!$T$5:$U$10,2,FALSE)))</f>
        <v>0</v>
      </c>
      <c r="AD44" s="8">
        <v>3</v>
      </c>
      <c r="AE44" s="8">
        <v>2</v>
      </c>
      <c r="AF44" s="8">
        <v>2</v>
      </c>
      <c r="AG44" s="8">
        <v>1</v>
      </c>
      <c r="AH44" s="8" t="str">
        <f t="shared" si="15"/>
        <v/>
      </c>
      <c r="BA44" s="24"/>
      <c r="BC44" s="12"/>
    </row>
    <row r="45" spans="1:55" x14ac:dyDescent="0.25">
      <c r="A45" s="29">
        <f t="shared" si="0"/>
        <v>0</v>
      </c>
      <c r="B45" s="29">
        <f t="shared" si="2"/>
        <v>0</v>
      </c>
      <c r="C45" s="29">
        <f t="shared" si="3"/>
        <v>0</v>
      </c>
      <c r="D45" s="29">
        <f t="shared" si="4"/>
        <v>0</v>
      </c>
      <c r="E45" s="29">
        <f t="shared" si="1"/>
        <v>0</v>
      </c>
      <c r="F45" s="29">
        <f t="shared" si="5"/>
        <v>0</v>
      </c>
      <c r="G45" s="29" t="str">
        <f t="shared" si="6"/>
        <v>offensive</v>
      </c>
      <c r="H45" s="16">
        <f t="shared" si="7"/>
        <v>0</v>
      </c>
      <c r="I45" s="16">
        <f t="shared" si="8"/>
        <v>0</v>
      </c>
      <c r="J45" s="16">
        <f t="shared" si="9"/>
        <v>0</v>
      </c>
      <c r="K45" s="16">
        <f t="shared" si="10"/>
        <v>0</v>
      </c>
      <c r="L45" s="67">
        <f t="shared" si="11"/>
        <v>0</v>
      </c>
      <c r="M45" s="4">
        <f t="shared" si="12"/>
        <v>0</v>
      </c>
      <c r="N45" s="4">
        <f t="shared" si="13"/>
        <v>0</v>
      </c>
      <c r="O45" s="4">
        <f t="shared" si="14"/>
        <v>0</v>
      </c>
      <c r="P45" s="4" t="e">
        <f>VLOOKUP(AJ37,'CIR Team Info'!$C$5:$E$44,2,FALSE)</f>
        <v>#N/A</v>
      </c>
      <c r="Q45" s="4" t="e">
        <f>VLOOKUP(AJ37,'CIR Team Info'!$C$5:$E$44,3,FALSE)</f>
        <v>#N/A</v>
      </c>
      <c r="R45" s="10" t="e">
        <f>VLOOKUP(AJ37,'FRC Site Data'!$B$3:$L$42,2,FALSE)</f>
        <v>#N/A</v>
      </c>
      <c r="S45" s="10" t="e">
        <f>VLOOKUP(AJ37,'FRC Site Data'!$B$3:$L$42,3,FALSE)</f>
        <v>#N/A</v>
      </c>
      <c r="T45" s="10" t="e">
        <f>VLOOKUP(AJ37,'FRC Site Data'!$B$3:$L$42,4,FALSE)</f>
        <v>#N/A</v>
      </c>
      <c r="U45" s="10" t="e">
        <f>VLOOKUP(AJ37,'FRC Site Data'!$B$3:$L$42,5,FALSE)</f>
        <v>#N/A</v>
      </c>
      <c r="V45" s="10" t="e">
        <f>VLOOKUP(AJ37,'FRC Site Data'!$B$3:$L$42,6,FALSE)</f>
        <v>#N/A</v>
      </c>
      <c r="W45" s="10" t="e">
        <f>VLOOKUP(AJ37,'FRC Site Data'!$B$3:$L$42,8,FALSE)</f>
        <v>#N/A</v>
      </c>
      <c r="X45" s="10" t="e">
        <f>VLOOKUP(AJ37,'FRC Site Data'!$B$3:$L$42,9,FALSE)</f>
        <v>#N/A</v>
      </c>
      <c r="Y45" s="10" t="e">
        <f>VLOOKUP(AJ37,'FRC Site Data'!$B$3:$L$42,10,FALSE)</f>
        <v>#N/A</v>
      </c>
      <c r="Z45" s="10" t="e">
        <f>VLOOKUP(AJ37,'FRC Site Data'!$B$3:$L$42,11,FALSE)</f>
        <v>#N/A</v>
      </c>
      <c r="AA45" s="10" t="e">
        <f>VLOOKUP(AJ37,'CIR Team Info'!$C$5:$E$44,4,FALSE)</f>
        <v>#N/A</v>
      </c>
      <c r="AB45" s="161" t="b">
        <f>ISNUMBER(VLOOKUP(AJ37,Match!$T$5:$T$10,1,FALSE))</f>
        <v>0</v>
      </c>
      <c r="AC45" s="161" t="b">
        <f>IF(AB45=TRUE,(VLOOKUP($AJ37,Match!$T$5:$U$10,2,FALSE)))</f>
        <v>0</v>
      </c>
      <c r="AD45" s="8">
        <v>3</v>
      </c>
      <c r="AE45" s="8">
        <v>2</v>
      </c>
      <c r="AF45" s="8">
        <v>2</v>
      </c>
      <c r="AG45" s="8">
        <v>1</v>
      </c>
      <c r="AH45" s="8" t="str">
        <f t="shared" si="15"/>
        <v/>
      </c>
      <c r="BA45" s="24"/>
      <c r="BC45" s="12"/>
    </row>
    <row r="46" spans="1:55" x14ac:dyDescent="0.25">
      <c r="A46" s="29">
        <f t="shared" si="0"/>
        <v>0</v>
      </c>
      <c r="B46" s="29">
        <f t="shared" si="2"/>
        <v>0</v>
      </c>
      <c r="C46" s="29">
        <f t="shared" si="3"/>
        <v>0</v>
      </c>
      <c r="D46" s="29">
        <f t="shared" si="4"/>
        <v>0</v>
      </c>
      <c r="E46" s="29">
        <f t="shared" si="1"/>
        <v>0</v>
      </c>
      <c r="F46" s="29">
        <f t="shared" si="5"/>
        <v>0</v>
      </c>
      <c r="G46" s="29" t="str">
        <f t="shared" si="6"/>
        <v>offensive</v>
      </c>
      <c r="H46" s="16">
        <f t="shared" si="7"/>
        <v>0</v>
      </c>
      <c r="I46" s="16">
        <f t="shared" si="8"/>
        <v>0</v>
      </c>
      <c r="J46" s="16">
        <f t="shared" si="9"/>
        <v>0</v>
      </c>
      <c r="K46" s="16">
        <f t="shared" si="10"/>
        <v>0</v>
      </c>
      <c r="L46" s="67">
        <f t="shared" si="11"/>
        <v>0</v>
      </c>
      <c r="M46" s="4">
        <f t="shared" si="12"/>
        <v>0</v>
      </c>
      <c r="N46" s="4">
        <f t="shared" si="13"/>
        <v>0</v>
      </c>
      <c r="O46" s="4">
        <f t="shared" si="14"/>
        <v>0</v>
      </c>
      <c r="P46" s="4" t="e">
        <f>VLOOKUP(AJ38,'CIR Team Info'!$C$5:$E$44,2,FALSE)</f>
        <v>#N/A</v>
      </c>
      <c r="Q46" s="4" t="e">
        <f>VLOOKUP(AJ38,'CIR Team Info'!$C$5:$E$44,3,FALSE)</f>
        <v>#N/A</v>
      </c>
      <c r="R46" s="10" t="e">
        <f>VLOOKUP(AJ38,'FRC Site Data'!$B$3:$L$42,2,FALSE)</f>
        <v>#N/A</v>
      </c>
      <c r="S46" s="10" t="e">
        <f>VLOOKUP(AJ38,'FRC Site Data'!$B$3:$L$42,3,FALSE)</f>
        <v>#N/A</v>
      </c>
      <c r="T46" s="10" t="e">
        <f>VLOOKUP(AJ38,'FRC Site Data'!$B$3:$L$42,4,FALSE)</f>
        <v>#N/A</v>
      </c>
      <c r="U46" s="10" t="e">
        <f>VLOOKUP(AJ38,'FRC Site Data'!$B$3:$L$42,5,FALSE)</f>
        <v>#N/A</v>
      </c>
      <c r="V46" s="10" t="e">
        <f>VLOOKUP(AJ38,'FRC Site Data'!$B$3:$L$42,6,FALSE)</f>
        <v>#N/A</v>
      </c>
      <c r="W46" s="10" t="e">
        <f>VLOOKUP(AJ38,'FRC Site Data'!$B$3:$L$42,8,FALSE)</f>
        <v>#N/A</v>
      </c>
      <c r="X46" s="10" t="e">
        <f>VLOOKUP(AJ38,'FRC Site Data'!$B$3:$L$42,9,FALSE)</f>
        <v>#N/A</v>
      </c>
      <c r="Y46" s="10" t="e">
        <f>VLOOKUP(AJ38,'FRC Site Data'!$B$3:$L$42,10,FALSE)</f>
        <v>#N/A</v>
      </c>
      <c r="Z46" s="10" t="e">
        <f>VLOOKUP(AJ38,'FRC Site Data'!$B$3:$L$42,11,FALSE)</f>
        <v>#N/A</v>
      </c>
      <c r="AA46" s="10" t="e">
        <f>VLOOKUP(AJ38,'CIR Team Info'!$C$5:$E$44,4,FALSE)</f>
        <v>#N/A</v>
      </c>
      <c r="AB46" s="161" t="b">
        <f>ISNUMBER(VLOOKUP(AJ38,Match!$T$5:$T$10,1,FALSE))</f>
        <v>0</v>
      </c>
      <c r="AC46" s="161" t="b">
        <f>IF(AB46=TRUE,(VLOOKUP($AJ38,Match!$T$5:$U$10,2,FALSE)))</f>
        <v>0</v>
      </c>
      <c r="AD46" s="8">
        <v>3</v>
      </c>
      <c r="AE46" s="8">
        <v>2</v>
      </c>
      <c r="AF46" s="8">
        <v>2</v>
      </c>
      <c r="AG46" s="8">
        <v>1</v>
      </c>
      <c r="AH46" s="8" t="str">
        <f t="shared" si="15"/>
        <v/>
      </c>
      <c r="BA46" s="24"/>
      <c r="BC46" s="12"/>
    </row>
    <row r="47" spans="1:55" x14ac:dyDescent="0.25">
      <c r="A47" s="29">
        <f t="shared" si="0"/>
        <v>0</v>
      </c>
      <c r="B47" s="29">
        <f t="shared" si="2"/>
        <v>0</v>
      </c>
      <c r="C47" s="29">
        <f t="shared" si="3"/>
        <v>0</v>
      </c>
      <c r="D47" s="29">
        <f t="shared" si="4"/>
        <v>0</v>
      </c>
      <c r="E47" s="29">
        <f t="shared" si="1"/>
        <v>0</v>
      </c>
      <c r="F47" s="29">
        <f t="shared" si="5"/>
        <v>0</v>
      </c>
      <c r="G47" s="29" t="str">
        <f t="shared" si="6"/>
        <v>offensive</v>
      </c>
      <c r="H47" s="16">
        <f t="shared" si="7"/>
        <v>0</v>
      </c>
      <c r="I47" s="16">
        <f t="shared" si="8"/>
        <v>0</v>
      </c>
      <c r="J47" s="16">
        <f t="shared" si="9"/>
        <v>0</v>
      </c>
      <c r="K47" s="16">
        <f t="shared" si="10"/>
        <v>0</v>
      </c>
      <c r="L47" s="67">
        <f t="shared" si="11"/>
        <v>0</v>
      </c>
      <c r="M47" s="4">
        <f t="shared" si="12"/>
        <v>0</v>
      </c>
      <c r="N47" s="4">
        <f t="shared" si="13"/>
        <v>0</v>
      </c>
      <c r="O47" s="4">
        <f t="shared" si="14"/>
        <v>0</v>
      </c>
      <c r="P47" s="4" t="e">
        <f>VLOOKUP(AJ39,'CIR Team Info'!$C$5:$E$44,2,FALSE)</f>
        <v>#N/A</v>
      </c>
      <c r="Q47" s="4" t="e">
        <f>VLOOKUP(AJ39,'CIR Team Info'!$C$5:$E$44,3,FALSE)</f>
        <v>#N/A</v>
      </c>
      <c r="R47" s="10" t="e">
        <f>VLOOKUP(AJ39,'FRC Site Data'!$B$3:$L$42,2,FALSE)</f>
        <v>#N/A</v>
      </c>
      <c r="S47" s="10" t="e">
        <f>VLOOKUP(AJ39,'FRC Site Data'!$B$3:$L$42,3,FALSE)</f>
        <v>#N/A</v>
      </c>
      <c r="T47" s="10" t="e">
        <f>VLOOKUP(AJ39,'FRC Site Data'!$B$3:$L$42,4,FALSE)</f>
        <v>#N/A</v>
      </c>
      <c r="U47" s="10" t="e">
        <f>VLOOKUP(AJ39,'FRC Site Data'!$B$3:$L$42,5,FALSE)</f>
        <v>#N/A</v>
      </c>
      <c r="V47" s="10" t="e">
        <f>VLOOKUP(AJ39,'FRC Site Data'!$B$3:$L$42,6,FALSE)</f>
        <v>#N/A</v>
      </c>
      <c r="W47" s="10" t="e">
        <f>VLOOKUP(AJ39,'FRC Site Data'!$B$3:$L$42,8,FALSE)</f>
        <v>#N/A</v>
      </c>
      <c r="X47" s="10" t="e">
        <f>VLOOKUP(AJ39,'FRC Site Data'!$B$3:$L$42,9,FALSE)</f>
        <v>#N/A</v>
      </c>
      <c r="Y47" s="10" t="e">
        <f>VLOOKUP(AJ39,'FRC Site Data'!$B$3:$L$42,10,FALSE)</f>
        <v>#N/A</v>
      </c>
      <c r="Z47" s="10" t="e">
        <f>VLOOKUP(AJ39,'FRC Site Data'!$B$3:$L$42,11,FALSE)</f>
        <v>#N/A</v>
      </c>
      <c r="AA47" s="10" t="e">
        <f>VLOOKUP(AJ39,'CIR Team Info'!$C$5:$E$44,4,FALSE)</f>
        <v>#N/A</v>
      </c>
      <c r="AB47" s="161" t="b">
        <f>ISNUMBER(VLOOKUP(AJ39,Match!$T$5:$T$10,1,FALSE))</f>
        <v>0</v>
      </c>
      <c r="AC47" s="161" t="b">
        <f>IF(AB47=TRUE,(VLOOKUP($AJ39,Match!$T$5:$U$10,2,FALSE)))</f>
        <v>0</v>
      </c>
      <c r="AD47" s="8">
        <v>3</v>
      </c>
      <c r="AE47" s="8">
        <v>2</v>
      </c>
      <c r="AF47" s="8">
        <v>2</v>
      </c>
      <c r="AG47" s="8">
        <v>1</v>
      </c>
      <c r="AH47" s="8" t="str">
        <f t="shared" si="15"/>
        <v/>
      </c>
      <c r="BA47" s="24"/>
      <c r="BC47" s="12"/>
    </row>
    <row r="48" spans="1:55" x14ac:dyDescent="0.25">
      <c r="A48" s="29">
        <f t="shared" si="0"/>
        <v>0</v>
      </c>
      <c r="B48" s="29">
        <f t="shared" si="2"/>
        <v>0</v>
      </c>
      <c r="C48" s="29">
        <f t="shared" si="3"/>
        <v>0</v>
      </c>
      <c r="D48" s="29">
        <f t="shared" si="4"/>
        <v>0</v>
      </c>
      <c r="E48" s="29">
        <f t="shared" si="1"/>
        <v>0</v>
      </c>
      <c r="F48" s="29">
        <f t="shared" si="5"/>
        <v>0</v>
      </c>
      <c r="G48" s="29" t="str">
        <f t="shared" si="6"/>
        <v>offensive</v>
      </c>
      <c r="H48" s="16">
        <f t="shared" si="7"/>
        <v>0</v>
      </c>
      <c r="I48" s="16">
        <f t="shared" si="8"/>
        <v>0</v>
      </c>
      <c r="J48" s="16">
        <f t="shared" si="9"/>
        <v>0</v>
      </c>
      <c r="K48" s="16">
        <f t="shared" si="10"/>
        <v>0</v>
      </c>
      <c r="L48" s="67">
        <f t="shared" si="11"/>
        <v>0</v>
      </c>
      <c r="M48" s="4">
        <f t="shared" si="12"/>
        <v>0</v>
      </c>
      <c r="N48" s="4">
        <f t="shared" si="13"/>
        <v>0</v>
      </c>
      <c r="O48" s="4">
        <f t="shared" si="14"/>
        <v>0</v>
      </c>
      <c r="P48" s="4" t="e">
        <f>VLOOKUP(AJ40,'CIR Team Info'!$C$5:$E$44,2,FALSE)</f>
        <v>#N/A</v>
      </c>
      <c r="Q48" s="4" t="e">
        <f>VLOOKUP(AJ40,'CIR Team Info'!$C$5:$E$44,3,FALSE)</f>
        <v>#N/A</v>
      </c>
      <c r="R48" s="10" t="e">
        <f>VLOOKUP(AJ40,'FRC Site Data'!$B$3:$L$42,2,FALSE)</f>
        <v>#N/A</v>
      </c>
      <c r="S48" s="10" t="e">
        <f>VLOOKUP(AJ40,'FRC Site Data'!$B$3:$L$42,3,FALSE)</f>
        <v>#N/A</v>
      </c>
      <c r="T48" s="10" t="e">
        <f>VLOOKUP(AJ40,'FRC Site Data'!$B$3:$L$42,4,FALSE)</f>
        <v>#N/A</v>
      </c>
      <c r="U48" s="10" t="e">
        <f>VLOOKUP(AJ40,'FRC Site Data'!$B$3:$L$42,5,FALSE)</f>
        <v>#N/A</v>
      </c>
      <c r="V48" s="10" t="e">
        <f>VLOOKUP(AJ40,'FRC Site Data'!$B$3:$L$42,6,FALSE)</f>
        <v>#N/A</v>
      </c>
      <c r="W48" s="10" t="e">
        <f>VLOOKUP(AJ40,'FRC Site Data'!$B$3:$L$42,8,FALSE)</f>
        <v>#N/A</v>
      </c>
      <c r="X48" s="10" t="e">
        <f>VLOOKUP(AJ40,'FRC Site Data'!$B$3:$L$42,9,FALSE)</f>
        <v>#N/A</v>
      </c>
      <c r="Y48" s="10" t="e">
        <f>VLOOKUP(AJ40,'FRC Site Data'!$B$3:$L$42,10,FALSE)</f>
        <v>#N/A</v>
      </c>
      <c r="Z48" s="10" t="e">
        <f>VLOOKUP(AJ40,'FRC Site Data'!$B$3:$L$42,11,FALSE)</f>
        <v>#N/A</v>
      </c>
      <c r="AA48" s="10" t="e">
        <f>VLOOKUP(AJ40,'CIR Team Info'!$C$5:$E$44,4,FALSE)</f>
        <v>#N/A</v>
      </c>
      <c r="AB48" s="161" t="b">
        <f>ISNUMBER(VLOOKUP(AJ40,Match!$T$5:$T$10,1,FALSE))</f>
        <v>0</v>
      </c>
      <c r="AC48" s="161" t="b">
        <f>IF(AB48=TRUE,(VLOOKUP($AJ40,Match!$T$5:$U$10,2,FALSE)))</f>
        <v>0</v>
      </c>
      <c r="AD48" s="8">
        <v>3</v>
      </c>
      <c r="AE48" s="8">
        <v>2</v>
      </c>
      <c r="AF48" s="8">
        <v>2</v>
      </c>
      <c r="AG48" s="8">
        <v>1</v>
      </c>
      <c r="AH48" s="8" t="str">
        <f t="shared" si="15"/>
        <v/>
      </c>
      <c r="BA48" s="24"/>
      <c r="BC48" s="12"/>
    </row>
    <row r="49" spans="1:55" x14ac:dyDescent="0.25">
      <c r="A49" s="29">
        <f t="shared" si="0"/>
        <v>0</v>
      </c>
      <c r="B49" s="29">
        <f t="shared" si="2"/>
        <v>0</v>
      </c>
      <c r="C49" s="29">
        <f t="shared" si="3"/>
        <v>0</v>
      </c>
      <c r="D49" s="29">
        <f t="shared" si="4"/>
        <v>0</v>
      </c>
      <c r="E49" s="29">
        <f t="shared" si="1"/>
        <v>0</v>
      </c>
      <c r="F49" s="29">
        <f t="shared" si="5"/>
        <v>0</v>
      </c>
      <c r="G49" s="29" t="str">
        <f t="shared" si="6"/>
        <v>offensive</v>
      </c>
      <c r="H49" s="16">
        <f t="shared" si="7"/>
        <v>0</v>
      </c>
      <c r="I49" s="16">
        <f t="shared" si="8"/>
        <v>0</v>
      </c>
      <c r="J49" s="16">
        <f t="shared" si="9"/>
        <v>0</v>
      </c>
      <c r="K49" s="16">
        <f t="shared" si="10"/>
        <v>0</v>
      </c>
      <c r="L49" s="67">
        <f t="shared" si="11"/>
        <v>0</v>
      </c>
      <c r="M49" s="4">
        <f t="shared" si="12"/>
        <v>0</v>
      </c>
      <c r="N49" s="4">
        <f t="shared" si="13"/>
        <v>0</v>
      </c>
      <c r="O49" s="4">
        <f t="shared" si="14"/>
        <v>0</v>
      </c>
      <c r="P49" s="4" t="e">
        <f>VLOOKUP(AJ41,'CIR Team Info'!$C$5:$E$44,2,FALSE)</f>
        <v>#N/A</v>
      </c>
      <c r="Q49" s="4" t="e">
        <f>VLOOKUP(AJ41,'CIR Team Info'!$C$5:$E$44,3,FALSE)</f>
        <v>#N/A</v>
      </c>
      <c r="R49" s="10" t="e">
        <f>VLOOKUP(AJ41,'FRC Site Data'!$B$3:$L$42,2,FALSE)</f>
        <v>#N/A</v>
      </c>
      <c r="S49" s="10" t="e">
        <f>VLOOKUP(AJ41,'FRC Site Data'!$B$3:$L$42,3,FALSE)</f>
        <v>#N/A</v>
      </c>
      <c r="T49" s="10" t="e">
        <f>VLOOKUP(AJ41,'FRC Site Data'!$B$3:$L$42,4,FALSE)</f>
        <v>#N/A</v>
      </c>
      <c r="U49" s="10" t="e">
        <f>VLOOKUP(AJ41,'FRC Site Data'!$B$3:$L$42,5,FALSE)</f>
        <v>#N/A</v>
      </c>
      <c r="V49" s="10" t="e">
        <f>VLOOKUP(AJ41,'FRC Site Data'!$B$3:$L$42,6,FALSE)</f>
        <v>#N/A</v>
      </c>
      <c r="W49" s="10" t="e">
        <f>VLOOKUP(AJ41,'FRC Site Data'!$B$3:$L$42,8,FALSE)</f>
        <v>#N/A</v>
      </c>
      <c r="X49" s="10" t="e">
        <f>VLOOKUP(AJ41,'FRC Site Data'!$B$3:$L$42,9,FALSE)</f>
        <v>#N/A</v>
      </c>
      <c r="Y49" s="10" t="e">
        <f>VLOOKUP(AJ41,'FRC Site Data'!$B$3:$L$42,10,FALSE)</f>
        <v>#N/A</v>
      </c>
      <c r="Z49" s="10" t="e">
        <f>VLOOKUP(AJ41,'FRC Site Data'!$B$3:$L$42,11,FALSE)</f>
        <v>#N/A</v>
      </c>
      <c r="AA49" s="10" t="e">
        <f>VLOOKUP(AJ41,'CIR Team Info'!$C$5:$E$44,4,FALSE)</f>
        <v>#N/A</v>
      </c>
      <c r="AB49" s="161" t="b">
        <f>ISNUMBER(VLOOKUP(AJ41,Match!$T$5:$T$10,1,FALSE))</f>
        <v>0</v>
      </c>
      <c r="AC49" s="161" t="b">
        <f>IF(AB49=TRUE,(VLOOKUP($AJ41,Match!$T$5:$U$10,2,FALSE)))</f>
        <v>0</v>
      </c>
      <c r="AD49" s="8">
        <v>3</v>
      </c>
      <c r="AE49" s="8">
        <v>2</v>
      </c>
      <c r="AF49" s="8">
        <v>2</v>
      </c>
      <c r="AG49" s="8">
        <v>1</v>
      </c>
      <c r="AH49" s="8" t="str">
        <f t="shared" si="15"/>
        <v/>
      </c>
      <c r="BA49" s="24"/>
      <c r="BC49" s="12"/>
    </row>
    <row r="50" spans="1:55" x14ac:dyDescent="0.25">
      <c r="A50" s="29">
        <f t="shared" si="0"/>
        <v>0</v>
      </c>
      <c r="B50" s="29">
        <f t="shared" si="2"/>
        <v>0</v>
      </c>
      <c r="C50" s="29">
        <f t="shared" si="3"/>
        <v>0</v>
      </c>
      <c r="D50" s="29">
        <f t="shared" si="4"/>
        <v>0</v>
      </c>
      <c r="E50" s="29">
        <f t="shared" si="1"/>
        <v>0</v>
      </c>
      <c r="F50" s="29">
        <f t="shared" si="5"/>
        <v>0</v>
      </c>
      <c r="G50" s="29" t="str">
        <f t="shared" si="6"/>
        <v>offensive</v>
      </c>
      <c r="H50" s="16">
        <f t="shared" si="7"/>
        <v>0</v>
      </c>
      <c r="I50" s="16">
        <f t="shared" si="8"/>
        <v>0</v>
      </c>
      <c r="J50" s="16">
        <f t="shared" si="9"/>
        <v>0</v>
      </c>
      <c r="K50" s="16">
        <f t="shared" si="10"/>
        <v>0</v>
      </c>
      <c r="L50" s="67">
        <f t="shared" si="11"/>
        <v>0</v>
      </c>
      <c r="M50" s="4">
        <f t="shared" si="12"/>
        <v>0</v>
      </c>
      <c r="N50" s="4">
        <f t="shared" si="13"/>
        <v>0</v>
      </c>
      <c r="O50" s="4">
        <f t="shared" si="14"/>
        <v>0</v>
      </c>
      <c r="P50" s="4" t="e">
        <f>VLOOKUP(AJ42,'CIR Team Info'!$C$5:$E$44,2,FALSE)</f>
        <v>#N/A</v>
      </c>
      <c r="Q50" s="4" t="e">
        <f>VLOOKUP(AJ42,'CIR Team Info'!$C$5:$E$44,3,FALSE)</f>
        <v>#N/A</v>
      </c>
      <c r="R50" s="10" t="e">
        <f>VLOOKUP(AJ42,'FRC Site Data'!$B$3:$L$42,2,FALSE)</f>
        <v>#N/A</v>
      </c>
      <c r="S50" s="10" t="e">
        <f>VLOOKUP(AJ42,'FRC Site Data'!$B$3:$L$42,3,FALSE)</f>
        <v>#N/A</v>
      </c>
      <c r="T50" s="10" t="e">
        <f>VLOOKUP(AJ42,'FRC Site Data'!$B$3:$L$42,4,FALSE)</f>
        <v>#N/A</v>
      </c>
      <c r="U50" s="10" t="e">
        <f>VLOOKUP(AJ42,'FRC Site Data'!$B$3:$L$42,5,FALSE)</f>
        <v>#N/A</v>
      </c>
      <c r="V50" s="10" t="e">
        <f>VLOOKUP(AJ42,'FRC Site Data'!$B$3:$L$42,6,FALSE)</f>
        <v>#N/A</v>
      </c>
      <c r="W50" s="10" t="e">
        <f>VLOOKUP(AJ42,'FRC Site Data'!$B$3:$L$42,8,FALSE)</f>
        <v>#N/A</v>
      </c>
      <c r="X50" s="10" t="e">
        <f>VLOOKUP(AJ42,'FRC Site Data'!$B$3:$L$42,9,FALSE)</f>
        <v>#N/A</v>
      </c>
      <c r="Y50" s="10" t="e">
        <f>VLOOKUP(AJ42,'FRC Site Data'!$B$3:$L$42,10,FALSE)</f>
        <v>#N/A</v>
      </c>
      <c r="Z50" s="10" t="e">
        <f>VLOOKUP(AJ42,'FRC Site Data'!$B$3:$L$42,11,FALSE)</f>
        <v>#N/A</v>
      </c>
      <c r="AA50" s="10" t="e">
        <f>VLOOKUP(AJ42,'CIR Team Info'!$C$5:$E$44,4,FALSE)</f>
        <v>#N/A</v>
      </c>
      <c r="AB50" s="161" t="b">
        <f>ISNUMBER(VLOOKUP(AJ42,Match!$T$5:$T$10,1,FALSE))</f>
        <v>0</v>
      </c>
      <c r="AC50" s="161" t="b">
        <f>IF(AB50=TRUE,(VLOOKUP($AJ42,Match!$T$5:$U$10,2,FALSE)))</f>
        <v>0</v>
      </c>
      <c r="AD50" s="8">
        <v>3</v>
      </c>
      <c r="AE50" s="8">
        <v>2</v>
      </c>
      <c r="AF50" s="8">
        <v>2</v>
      </c>
      <c r="AG50" s="8">
        <v>1</v>
      </c>
      <c r="AH50" s="8" t="str">
        <f t="shared" si="15"/>
        <v/>
      </c>
      <c r="BA50" s="24"/>
      <c r="BC50" s="12"/>
    </row>
    <row r="51" spans="1:55" x14ac:dyDescent="0.25">
      <c r="A51" s="29">
        <f t="shared" si="0"/>
        <v>0</v>
      </c>
      <c r="B51" s="29">
        <f t="shared" si="2"/>
        <v>0</v>
      </c>
      <c r="C51" s="29">
        <f t="shared" si="3"/>
        <v>0</v>
      </c>
      <c r="D51" s="29">
        <f t="shared" si="4"/>
        <v>0</v>
      </c>
      <c r="E51" s="29">
        <f t="shared" si="1"/>
        <v>0</v>
      </c>
      <c r="F51" s="29">
        <f t="shared" si="5"/>
        <v>0</v>
      </c>
      <c r="G51" s="29" t="str">
        <f t="shared" si="6"/>
        <v>offensive</v>
      </c>
      <c r="H51" s="16">
        <f t="shared" si="7"/>
        <v>0</v>
      </c>
      <c r="I51" s="16">
        <f t="shared" si="8"/>
        <v>0</v>
      </c>
      <c r="J51" s="16">
        <f t="shared" si="9"/>
        <v>0</v>
      </c>
      <c r="K51" s="16">
        <f t="shared" si="10"/>
        <v>0</v>
      </c>
      <c r="L51" s="67">
        <f t="shared" si="11"/>
        <v>0</v>
      </c>
      <c r="M51" s="4">
        <f t="shared" si="12"/>
        <v>0</v>
      </c>
      <c r="N51" s="4">
        <f t="shared" si="13"/>
        <v>0</v>
      </c>
      <c r="O51" s="4">
        <f t="shared" si="14"/>
        <v>0</v>
      </c>
      <c r="P51" s="4" t="e">
        <f>VLOOKUP(AJ43,'CIR Team Info'!$C$5:$E$44,2,FALSE)</f>
        <v>#N/A</v>
      </c>
      <c r="Q51" s="4" t="e">
        <f>VLOOKUP(AJ43,'CIR Team Info'!$C$5:$E$44,3,FALSE)</f>
        <v>#N/A</v>
      </c>
      <c r="R51" s="10" t="e">
        <f>VLOOKUP(AJ43,'FRC Site Data'!$B$3:$L$42,2,FALSE)</f>
        <v>#N/A</v>
      </c>
      <c r="S51" s="10" t="e">
        <f>VLOOKUP(AJ43,'FRC Site Data'!$B$3:$L$42,3,FALSE)</f>
        <v>#N/A</v>
      </c>
      <c r="T51" s="10" t="e">
        <f>VLOOKUP(AJ43,'FRC Site Data'!$B$3:$L$42,4,FALSE)</f>
        <v>#N/A</v>
      </c>
      <c r="U51" s="10" t="e">
        <f>VLOOKUP(AJ43,'FRC Site Data'!$B$3:$L$42,5,FALSE)</f>
        <v>#N/A</v>
      </c>
      <c r="V51" s="10" t="e">
        <f>VLOOKUP(AJ43,'FRC Site Data'!$B$3:$L$42,6,FALSE)</f>
        <v>#N/A</v>
      </c>
      <c r="W51" s="10" t="e">
        <f>VLOOKUP(AJ43,'FRC Site Data'!$B$3:$L$42,8,FALSE)</f>
        <v>#N/A</v>
      </c>
      <c r="X51" s="10" t="e">
        <f>VLOOKUP(AJ43,'FRC Site Data'!$B$3:$L$42,9,FALSE)</f>
        <v>#N/A</v>
      </c>
      <c r="Y51" s="10" t="e">
        <f>VLOOKUP(AJ43,'FRC Site Data'!$B$3:$L$42,10,FALSE)</f>
        <v>#N/A</v>
      </c>
      <c r="Z51" s="10" t="e">
        <f>VLOOKUP(AJ43,'FRC Site Data'!$B$3:$L$42,11,FALSE)</f>
        <v>#N/A</v>
      </c>
      <c r="AA51" s="10" t="e">
        <f>VLOOKUP(AJ43,'CIR Team Info'!$C$5:$E$44,4,FALSE)</f>
        <v>#N/A</v>
      </c>
      <c r="AB51" s="161" t="b">
        <f>ISNUMBER(VLOOKUP(AJ43,Match!$T$5:$T$10,1,FALSE))</f>
        <v>0</v>
      </c>
      <c r="AC51" s="161" t="b">
        <f>IF(AB51=TRUE,(VLOOKUP($AJ43,Match!$T$5:$U$10,2,FALSE)))</f>
        <v>0</v>
      </c>
      <c r="AD51" s="8">
        <v>3</v>
      </c>
      <c r="AE51" s="8">
        <v>2</v>
      </c>
      <c r="AF51" s="8">
        <v>2</v>
      </c>
      <c r="AG51" s="8">
        <v>1</v>
      </c>
      <c r="AH51" s="8" t="str">
        <f t="shared" si="15"/>
        <v/>
      </c>
      <c r="BA51" s="24"/>
      <c r="BC51" s="12"/>
    </row>
    <row r="52" spans="1:55" x14ac:dyDescent="0.25">
      <c r="A52" s="29">
        <f t="shared" si="0"/>
        <v>0</v>
      </c>
      <c r="B52" s="29">
        <f t="shared" si="2"/>
        <v>0</v>
      </c>
      <c r="C52" s="29">
        <f t="shared" si="3"/>
        <v>0</v>
      </c>
      <c r="D52" s="29">
        <f t="shared" si="4"/>
        <v>0</v>
      </c>
      <c r="E52" s="29">
        <f t="shared" si="1"/>
        <v>0</v>
      </c>
      <c r="F52" s="29">
        <f t="shared" si="5"/>
        <v>0</v>
      </c>
      <c r="G52" s="29" t="str">
        <f t="shared" si="6"/>
        <v>offensive</v>
      </c>
      <c r="H52" s="16">
        <f t="shared" si="7"/>
        <v>0</v>
      </c>
      <c r="I52" s="16">
        <f t="shared" si="8"/>
        <v>0</v>
      </c>
      <c r="J52" s="16">
        <f t="shared" si="9"/>
        <v>0</v>
      </c>
      <c r="K52" s="16">
        <f t="shared" si="10"/>
        <v>0</v>
      </c>
      <c r="L52" s="67">
        <f t="shared" si="11"/>
        <v>0</v>
      </c>
      <c r="M52" s="4">
        <f t="shared" si="12"/>
        <v>0</v>
      </c>
      <c r="N52" s="4">
        <f t="shared" si="13"/>
        <v>0</v>
      </c>
      <c r="O52" s="4">
        <f t="shared" si="14"/>
        <v>0</v>
      </c>
      <c r="P52" s="4" t="e">
        <f>VLOOKUP(AJ44,'CIR Team Info'!$C$5:$E$44,2,FALSE)</f>
        <v>#N/A</v>
      </c>
      <c r="Q52" s="4" t="e">
        <f>VLOOKUP(AJ44,'CIR Team Info'!$C$5:$E$44,3,FALSE)</f>
        <v>#N/A</v>
      </c>
      <c r="R52" s="10" t="e">
        <f>VLOOKUP(AJ44,'FRC Site Data'!$B$3:$L$42,2,FALSE)</f>
        <v>#N/A</v>
      </c>
      <c r="S52" s="10" t="e">
        <f>VLOOKUP(AJ44,'FRC Site Data'!$B$3:$L$42,3,FALSE)</f>
        <v>#N/A</v>
      </c>
      <c r="T52" s="10" t="e">
        <f>VLOOKUP(AJ44,'FRC Site Data'!$B$3:$L$42,4,FALSE)</f>
        <v>#N/A</v>
      </c>
      <c r="U52" s="10" t="e">
        <f>VLOOKUP(AJ44,'FRC Site Data'!$B$3:$L$42,5,FALSE)</f>
        <v>#N/A</v>
      </c>
      <c r="V52" s="10" t="e">
        <f>VLOOKUP(AJ44,'FRC Site Data'!$B$3:$L$42,6,FALSE)</f>
        <v>#N/A</v>
      </c>
      <c r="W52" s="10" t="e">
        <f>VLOOKUP(AJ44,'FRC Site Data'!$B$3:$L$42,8,FALSE)</f>
        <v>#N/A</v>
      </c>
      <c r="X52" s="10" t="e">
        <f>VLOOKUP(AJ44,'FRC Site Data'!$B$3:$L$42,9,FALSE)</f>
        <v>#N/A</v>
      </c>
      <c r="Y52" s="10" t="e">
        <f>VLOOKUP(AJ44,'FRC Site Data'!$B$3:$L$42,10,FALSE)</f>
        <v>#N/A</v>
      </c>
      <c r="Z52" s="10" t="e">
        <f>VLOOKUP(AJ44,'FRC Site Data'!$B$3:$L$42,11,FALSE)</f>
        <v>#N/A</v>
      </c>
      <c r="AA52" s="10" t="e">
        <f>VLOOKUP(AJ44,'CIR Team Info'!$C$5:$E$44,4,FALSE)</f>
        <v>#N/A</v>
      </c>
      <c r="AB52" s="161" t="b">
        <f>ISNUMBER(VLOOKUP(AJ44,Match!$T$5:$T$10,1,FALSE))</f>
        <v>0</v>
      </c>
      <c r="AC52" s="161" t="b">
        <f>IF(AB52=TRUE,(VLOOKUP($AJ44,Match!$T$5:$U$10,2,FALSE)))</f>
        <v>0</v>
      </c>
      <c r="AD52" s="8">
        <v>3</v>
      </c>
      <c r="AE52" s="8">
        <v>2</v>
      </c>
      <c r="AF52" s="8">
        <v>2</v>
      </c>
      <c r="AG52" s="8">
        <v>1</v>
      </c>
      <c r="AH52" s="8" t="str">
        <f t="shared" si="15"/>
        <v/>
      </c>
      <c r="BA52" s="24"/>
      <c r="BC52" s="12"/>
    </row>
    <row r="53" spans="1:55" x14ac:dyDescent="0.25">
      <c r="A53" s="29">
        <f t="shared" si="0"/>
        <v>0</v>
      </c>
      <c r="B53" s="29">
        <f t="shared" si="2"/>
        <v>0</v>
      </c>
      <c r="C53" s="29">
        <f t="shared" si="3"/>
        <v>0</v>
      </c>
      <c r="D53" s="29">
        <f t="shared" si="4"/>
        <v>0</v>
      </c>
      <c r="E53" s="29">
        <f t="shared" si="1"/>
        <v>0</v>
      </c>
      <c r="F53" s="29">
        <f t="shared" si="5"/>
        <v>0</v>
      </c>
      <c r="G53" s="29" t="str">
        <f t="shared" si="6"/>
        <v>offensive</v>
      </c>
      <c r="H53" s="16">
        <f t="shared" si="7"/>
        <v>0</v>
      </c>
      <c r="I53" s="16">
        <f t="shared" si="8"/>
        <v>0</v>
      </c>
      <c r="J53" s="16">
        <f t="shared" si="9"/>
        <v>0</v>
      </c>
      <c r="K53" s="16">
        <f t="shared" si="10"/>
        <v>0</v>
      </c>
      <c r="L53" s="67">
        <f t="shared" si="11"/>
        <v>0</v>
      </c>
      <c r="M53" s="4">
        <f t="shared" si="12"/>
        <v>0</v>
      </c>
      <c r="N53" s="4">
        <f t="shared" si="13"/>
        <v>0</v>
      </c>
      <c r="O53" s="4">
        <f t="shared" si="14"/>
        <v>0</v>
      </c>
      <c r="P53" s="4" t="e">
        <f>VLOOKUP(AJ45,'CIR Team Info'!$C$5:$E$44,2,FALSE)</f>
        <v>#N/A</v>
      </c>
      <c r="Q53" s="4" t="e">
        <f>VLOOKUP(AJ45,'CIR Team Info'!$C$5:$E$44,3,FALSE)</f>
        <v>#N/A</v>
      </c>
      <c r="R53" s="10" t="e">
        <f>VLOOKUP(AJ45,'FRC Site Data'!$B$3:$L$42,2,FALSE)</f>
        <v>#N/A</v>
      </c>
      <c r="S53" s="10" t="e">
        <f>VLOOKUP(AJ45,'FRC Site Data'!$B$3:$L$42,3,FALSE)</f>
        <v>#N/A</v>
      </c>
      <c r="T53" s="10" t="e">
        <f>VLOOKUP(AJ45,'FRC Site Data'!$B$3:$L$42,4,FALSE)</f>
        <v>#N/A</v>
      </c>
      <c r="U53" s="10" t="e">
        <f>VLOOKUP(AJ45,'FRC Site Data'!$B$3:$L$42,5,FALSE)</f>
        <v>#N/A</v>
      </c>
      <c r="V53" s="10" t="e">
        <f>VLOOKUP(AJ45,'FRC Site Data'!$B$3:$L$42,6,FALSE)</f>
        <v>#N/A</v>
      </c>
      <c r="W53" s="10" t="e">
        <f>VLOOKUP(AJ45,'FRC Site Data'!$B$3:$L$42,8,FALSE)</f>
        <v>#N/A</v>
      </c>
      <c r="X53" s="10" t="e">
        <f>VLOOKUP(AJ45,'FRC Site Data'!$B$3:$L$42,9,FALSE)</f>
        <v>#N/A</v>
      </c>
      <c r="Y53" s="10" t="e">
        <f>VLOOKUP(AJ45,'FRC Site Data'!$B$3:$L$42,10,FALSE)</f>
        <v>#N/A</v>
      </c>
      <c r="Z53" s="10" t="e">
        <f>VLOOKUP(AJ45,'FRC Site Data'!$B$3:$L$42,11,FALSE)</f>
        <v>#N/A</v>
      </c>
      <c r="AA53" s="10" t="e">
        <f>VLOOKUP(AJ45,'CIR Team Info'!$C$5:$E$44,4,FALSE)</f>
        <v>#N/A</v>
      </c>
      <c r="AB53" s="161" t="b">
        <f>ISNUMBER(VLOOKUP(AJ45,Match!$T$5:$T$10,1,FALSE))</f>
        <v>0</v>
      </c>
      <c r="AC53" s="161" t="b">
        <f>IF(AB53=TRUE,(VLOOKUP($AJ45,Match!$T$5:$U$10,2,FALSE)))</f>
        <v>0</v>
      </c>
      <c r="AD53" s="8">
        <v>3</v>
      </c>
      <c r="AE53" s="8">
        <v>2</v>
      </c>
      <c r="AF53" s="8">
        <v>2</v>
      </c>
      <c r="AG53" s="8">
        <v>1</v>
      </c>
      <c r="AH53" s="8" t="str">
        <f t="shared" si="15"/>
        <v/>
      </c>
      <c r="BA53" s="24"/>
      <c r="BC53" s="12"/>
    </row>
    <row r="54" spans="1:55" x14ac:dyDescent="0.25">
      <c r="A54" s="29">
        <f t="shared" si="0"/>
        <v>0</v>
      </c>
      <c r="B54" s="29">
        <f t="shared" si="2"/>
        <v>0</v>
      </c>
      <c r="C54" s="29">
        <f t="shared" si="3"/>
        <v>0</v>
      </c>
      <c r="D54" s="29">
        <f t="shared" si="4"/>
        <v>0</v>
      </c>
      <c r="E54" s="29">
        <f t="shared" si="1"/>
        <v>0</v>
      </c>
      <c r="F54" s="29">
        <f t="shared" si="5"/>
        <v>0</v>
      </c>
      <c r="G54" s="29" t="str">
        <f t="shared" si="6"/>
        <v>offensive</v>
      </c>
      <c r="H54" s="16">
        <f t="shared" si="7"/>
        <v>0</v>
      </c>
      <c r="I54" s="16">
        <f t="shared" si="8"/>
        <v>0</v>
      </c>
      <c r="J54" s="16">
        <f t="shared" si="9"/>
        <v>0</v>
      </c>
      <c r="K54" s="16">
        <f t="shared" si="10"/>
        <v>0</v>
      </c>
      <c r="L54" s="67">
        <f t="shared" si="11"/>
        <v>0</v>
      </c>
      <c r="M54" s="4">
        <f t="shared" si="12"/>
        <v>0</v>
      </c>
      <c r="N54" s="4">
        <f t="shared" si="13"/>
        <v>0</v>
      </c>
      <c r="O54" s="4">
        <f t="shared" si="14"/>
        <v>0</v>
      </c>
      <c r="P54" s="4" t="e">
        <f>VLOOKUP(AJ46,'CIR Team Info'!$C$5:$E$44,2,FALSE)</f>
        <v>#N/A</v>
      </c>
      <c r="Q54" s="4" t="e">
        <f>VLOOKUP(AJ46,'CIR Team Info'!$C$5:$E$44,3,FALSE)</f>
        <v>#N/A</v>
      </c>
      <c r="R54" s="10" t="e">
        <f>VLOOKUP(AJ46,'FRC Site Data'!$B$3:$L$42,2,FALSE)</f>
        <v>#N/A</v>
      </c>
      <c r="S54" s="10" t="e">
        <f>VLOOKUP(AJ46,'FRC Site Data'!$B$3:$L$42,3,FALSE)</f>
        <v>#N/A</v>
      </c>
      <c r="T54" s="10" t="e">
        <f>VLOOKUP(AJ46,'FRC Site Data'!$B$3:$L$42,4,FALSE)</f>
        <v>#N/A</v>
      </c>
      <c r="U54" s="10" t="e">
        <f>VLOOKUP(AJ46,'FRC Site Data'!$B$3:$L$42,5,FALSE)</f>
        <v>#N/A</v>
      </c>
      <c r="V54" s="10" t="e">
        <f>VLOOKUP(AJ46,'FRC Site Data'!$B$3:$L$42,6,FALSE)</f>
        <v>#N/A</v>
      </c>
      <c r="W54" s="10" t="e">
        <f>VLOOKUP(AJ46,'FRC Site Data'!$B$3:$L$42,8,FALSE)</f>
        <v>#N/A</v>
      </c>
      <c r="X54" s="10" t="e">
        <f>VLOOKUP(AJ46,'FRC Site Data'!$B$3:$L$42,9,FALSE)</f>
        <v>#N/A</v>
      </c>
      <c r="Y54" s="10" t="e">
        <f>VLOOKUP(AJ46,'FRC Site Data'!$B$3:$L$42,10,FALSE)</f>
        <v>#N/A</v>
      </c>
      <c r="Z54" s="10" t="e">
        <f>VLOOKUP(AJ46,'FRC Site Data'!$B$3:$L$42,11,FALSE)</f>
        <v>#N/A</v>
      </c>
      <c r="AA54" s="10" t="e">
        <f>VLOOKUP(AJ46,'CIR Team Info'!$C$5:$E$44,4,FALSE)</f>
        <v>#N/A</v>
      </c>
      <c r="AB54" s="161" t="b">
        <f>ISNUMBER(VLOOKUP(AJ46,Match!$T$5:$T$10,1,FALSE))</f>
        <v>0</v>
      </c>
      <c r="AC54" s="161" t="b">
        <f>IF(AB54=TRUE,(VLOOKUP($AJ46,Match!$T$5:$U$10,2,FALSE)))</f>
        <v>0</v>
      </c>
      <c r="AD54" s="8">
        <v>3</v>
      </c>
      <c r="AE54" s="8">
        <v>2</v>
      </c>
      <c r="AF54" s="8">
        <v>2</v>
      </c>
      <c r="AG54" s="8">
        <v>1</v>
      </c>
      <c r="AH54" s="8" t="str">
        <f t="shared" si="15"/>
        <v/>
      </c>
      <c r="BA54" s="24"/>
      <c r="BC54" s="12"/>
    </row>
    <row r="55" spans="1:55" x14ac:dyDescent="0.25">
      <c r="A55" s="29">
        <f t="shared" si="0"/>
        <v>0</v>
      </c>
      <c r="B55" s="29">
        <f t="shared" si="2"/>
        <v>0</v>
      </c>
      <c r="C55" s="29">
        <f t="shared" si="3"/>
        <v>0</v>
      </c>
      <c r="D55" s="29">
        <f t="shared" si="4"/>
        <v>0</v>
      </c>
      <c r="E55" s="29">
        <f t="shared" si="1"/>
        <v>0</v>
      </c>
      <c r="F55" s="29">
        <f t="shared" si="5"/>
        <v>0</v>
      </c>
      <c r="G55" s="29" t="str">
        <f t="shared" si="6"/>
        <v>offensive</v>
      </c>
      <c r="H55" s="16">
        <f t="shared" si="7"/>
        <v>0</v>
      </c>
      <c r="I55" s="16">
        <f t="shared" si="8"/>
        <v>0</v>
      </c>
      <c r="J55" s="16">
        <f t="shared" si="9"/>
        <v>0</v>
      </c>
      <c r="K55" s="16">
        <f t="shared" si="10"/>
        <v>0</v>
      </c>
      <c r="L55" s="67">
        <f t="shared" si="11"/>
        <v>0</v>
      </c>
      <c r="M55" s="4">
        <f t="shared" si="12"/>
        <v>0</v>
      </c>
      <c r="N55" s="4">
        <f t="shared" si="13"/>
        <v>0</v>
      </c>
      <c r="O55" s="4">
        <f t="shared" si="14"/>
        <v>0</v>
      </c>
      <c r="P55" s="4" t="e">
        <f>VLOOKUP(AJ47,'CIR Team Info'!$C$5:$E$44,2,FALSE)</f>
        <v>#N/A</v>
      </c>
      <c r="Q55" s="4" t="e">
        <f>VLOOKUP(AJ47,'CIR Team Info'!$C$5:$E$44,3,FALSE)</f>
        <v>#N/A</v>
      </c>
      <c r="R55" s="10" t="e">
        <f>VLOOKUP(AJ47,'FRC Site Data'!$B$3:$L$42,2,FALSE)</f>
        <v>#N/A</v>
      </c>
      <c r="S55" s="10" t="e">
        <f>VLOOKUP(AJ47,'FRC Site Data'!$B$3:$L$42,3,FALSE)</f>
        <v>#N/A</v>
      </c>
      <c r="T55" s="10" t="e">
        <f>VLOOKUP(AJ47,'FRC Site Data'!$B$3:$L$42,4,FALSE)</f>
        <v>#N/A</v>
      </c>
      <c r="U55" s="10" t="e">
        <f>VLOOKUP(AJ47,'FRC Site Data'!$B$3:$L$42,5,FALSE)</f>
        <v>#N/A</v>
      </c>
      <c r="V55" s="10" t="e">
        <f>VLOOKUP(AJ47,'FRC Site Data'!$B$3:$L$42,6,FALSE)</f>
        <v>#N/A</v>
      </c>
      <c r="W55" s="10" t="e">
        <f>VLOOKUP(AJ47,'FRC Site Data'!$B$3:$L$42,8,FALSE)</f>
        <v>#N/A</v>
      </c>
      <c r="X55" s="10" t="e">
        <f>VLOOKUP(AJ47,'FRC Site Data'!$B$3:$L$42,9,FALSE)</f>
        <v>#N/A</v>
      </c>
      <c r="Y55" s="10" t="e">
        <f>VLOOKUP(AJ47,'FRC Site Data'!$B$3:$L$42,10,FALSE)</f>
        <v>#N/A</v>
      </c>
      <c r="Z55" s="10" t="e">
        <f>VLOOKUP(AJ47,'FRC Site Data'!$B$3:$L$42,11,FALSE)</f>
        <v>#N/A</v>
      </c>
      <c r="AA55" s="10" t="e">
        <f>VLOOKUP(AJ47,'CIR Team Info'!$C$5:$E$44,4,FALSE)</f>
        <v>#N/A</v>
      </c>
      <c r="AB55" s="161" t="b">
        <f>ISNUMBER(VLOOKUP(AJ47,Match!$T$5:$T$10,1,FALSE))</f>
        <v>0</v>
      </c>
      <c r="AC55" s="161" t="b">
        <f>IF(AB55=TRUE,(VLOOKUP($AJ47,Match!$T$5:$U$10,2,FALSE)))</f>
        <v>0</v>
      </c>
      <c r="AD55" s="8">
        <v>3</v>
      </c>
      <c r="AE55" s="8">
        <v>2</v>
      </c>
      <c r="AF55" s="8">
        <v>2</v>
      </c>
      <c r="AG55" s="8">
        <v>1</v>
      </c>
      <c r="AH55" s="8" t="str">
        <f t="shared" si="15"/>
        <v/>
      </c>
      <c r="BA55" s="24"/>
      <c r="BC55" s="12"/>
    </row>
    <row r="56" spans="1:55" x14ac:dyDescent="0.25">
      <c r="A56" s="29">
        <f t="shared" si="0"/>
        <v>0</v>
      </c>
      <c r="B56" s="29">
        <f t="shared" si="2"/>
        <v>0</v>
      </c>
      <c r="C56" s="29">
        <f t="shared" si="3"/>
        <v>0</v>
      </c>
      <c r="D56" s="29">
        <f t="shared" si="4"/>
        <v>0</v>
      </c>
      <c r="E56" s="29">
        <f t="shared" si="1"/>
        <v>0</v>
      </c>
      <c r="F56" s="29">
        <f t="shared" si="5"/>
        <v>0</v>
      </c>
      <c r="G56" s="29" t="str">
        <f t="shared" si="6"/>
        <v>offensive</v>
      </c>
      <c r="H56" s="16">
        <f t="shared" si="7"/>
        <v>0</v>
      </c>
      <c r="I56" s="16">
        <f t="shared" si="8"/>
        <v>0</v>
      </c>
      <c r="J56" s="16">
        <f t="shared" si="9"/>
        <v>0</v>
      </c>
      <c r="K56" s="16">
        <f t="shared" si="10"/>
        <v>0</v>
      </c>
      <c r="L56" s="67">
        <f t="shared" si="11"/>
        <v>0</v>
      </c>
      <c r="M56" s="4">
        <f t="shared" si="12"/>
        <v>0</v>
      </c>
      <c r="N56" s="4">
        <f t="shared" si="13"/>
        <v>0</v>
      </c>
      <c r="O56" s="4">
        <f t="shared" si="14"/>
        <v>0</v>
      </c>
      <c r="P56" s="4" t="e">
        <f>VLOOKUP(AJ48,'CIR Team Info'!$C$5:$E$44,2,FALSE)</f>
        <v>#N/A</v>
      </c>
      <c r="Q56" s="4" t="e">
        <f>VLOOKUP(AJ48,'CIR Team Info'!$C$5:$E$44,3,FALSE)</f>
        <v>#N/A</v>
      </c>
      <c r="R56" s="10" t="e">
        <f>VLOOKUP(AJ48,'FRC Site Data'!$B$3:$L$42,2,FALSE)</f>
        <v>#N/A</v>
      </c>
      <c r="S56" s="10" t="e">
        <f>VLOOKUP(AJ48,'FRC Site Data'!$B$3:$L$42,3,FALSE)</f>
        <v>#N/A</v>
      </c>
      <c r="T56" s="10" t="e">
        <f>VLOOKUP(AJ48,'FRC Site Data'!$B$3:$L$42,4,FALSE)</f>
        <v>#N/A</v>
      </c>
      <c r="U56" s="10" t="e">
        <f>VLOOKUP(AJ48,'FRC Site Data'!$B$3:$L$42,5,FALSE)</f>
        <v>#N/A</v>
      </c>
      <c r="V56" s="10" t="e">
        <f>VLOOKUP(AJ48,'FRC Site Data'!$B$3:$L$42,6,FALSE)</f>
        <v>#N/A</v>
      </c>
      <c r="W56" s="10" t="e">
        <f>VLOOKUP(AJ48,'FRC Site Data'!$B$3:$L$42,8,FALSE)</f>
        <v>#N/A</v>
      </c>
      <c r="X56" s="10" t="e">
        <f>VLOOKUP(AJ48,'FRC Site Data'!$B$3:$L$42,9,FALSE)</f>
        <v>#N/A</v>
      </c>
      <c r="Y56" s="10" t="e">
        <f>VLOOKUP(AJ48,'FRC Site Data'!$B$3:$L$42,10,FALSE)</f>
        <v>#N/A</v>
      </c>
      <c r="Z56" s="10" t="e">
        <f>VLOOKUP(AJ48,'FRC Site Data'!$B$3:$L$42,11,FALSE)</f>
        <v>#N/A</v>
      </c>
      <c r="AA56" s="10" t="e">
        <f>VLOOKUP(AJ48,'CIR Team Info'!$C$5:$E$44,4,FALSE)</f>
        <v>#N/A</v>
      </c>
      <c r="AB56" s="161" t="b">
        <f>ISNUMBER(VLOOKUP(AJ48,Match!$T$5:$T$10,1,FALSE))</f>
        <v>0</v>
      </c>
      <c r="AC56" s="161" t="b">
        <f>IF(AB56=TRUE,(VLOOKUP($AJ48,Match!$T$5:$U$10,2,FALSE)))</f>
        <v>0</v>
      </c>
      <c r="AD56" s="8">
        <v>3</v>
      </c>
      <c r="AE56" s="8">
        <v>2</v>
      </c>
      <c r="AF56" s="8">
        <v>2</v>
      </c>
      <c r="AG56" s="8">
        <v>1</v>
      </c>
      <c r="AH56" s="8" t="str">
        <f t="shared" si="15"/>
        <v/>
      </c>
      <c r="BA56" s="24"/>
      <c r="BC56" s="12"/>
    </row>
    <row r="57" spans="1:55" x14ac:dyDescent="0.25">
      <c r="A57" s="29">
        <f t="shared" si="0"/>
        <v>0</v>
      </c>
      <c r="B57" s="29">
        <f t="shared" si="2"/>
        <v>0</v>
      </c>
      <c r="C57" s="29">
        <f t="shared" si="3"/>
        <v>0</v>
      </c>
      <c r="D57" s="29">
        <f t="shared" si="4"/>
        <v>0</v>
      </c>
      <c r="E57" s="29">
        <f t="shared" si="1"/>
        <v>0</v>
      </c>
      <c r="F57" s="29">
        <f t="shared" si="5"/>
        <v>0</v>
      </c>
      <c r="G57" s="29" t="str">
        <f t="shared" si="6"/>
        <v>offensive</v>
      </c>
      <c r="H57" s="16">
        <f t="shared" si="7"/>
        <v>0</v>
      </c>
      <c r="I57" s="16">
        <f t="shared" si="8"/>
        <v>0</v>
      </c>
      <c r="J57" s="16">
        <f t="shared" si="9"/>
        <v>0</v>
      </c>
      <c r="K57" s="16">
        <f t="shared" si="10"/>
        <v>0</v>
      </c>
      <c r="L57" s="67">
        <f t="shared" si="11"/>
        <v>0</v>
      </c>
      <c r="M57" s="4">
        <f t="shared" si="12"/>
        <v>0</v>
      </c>
      <c r="N57" s="4">
        <f t="shared" si="13"/>
        <v>0</v>
      </c>
      <c r="O57" s="4">
        <f t="shared" si="14"/>
        <v>0</v>
      </c>
      <c r="P57" s="4" t="e">
        <f>VLOOKUP(AJ49,'CIR Team Info'!$C$5:$E$44,2,FALSE)</f>
        <v>#N/A</v>
      </c>
      <c r="Q57" s="4" t="e">
        <f>VLOOKUP(AJ49,'CIR Team Info'!$C$5:$E$44,3,FALSE)</f>
        <v>#N/A</v>
      </c>
      <c r="R57" s="10" t="e">
        <f>VLOOKUP(AJ49,'FRC Site Data'!$B$3:$L$42,2,FALSE)</f>
        <v>#N/A</v>
      </c>
      <c r="S57" s="10" t="e">
        <f>VLOOKUP(AJ49,'FRC Site Data'!$B$3:$L$42,3,FALSE)</f>
        <v>#N/A</v>
      </c>
      <c r="T57" s="10" t="e">
        <f>VLOOKUP(AJ49,'FRC Site Data'!$B$3:$L$42,4,FALSE)</f>
        <v>#N/A</v>
      </c>
      <c r="U57" s="10" t="e">
        <f>VLOOKUP(AJ49,'FRC Site Data'!$B$3:$L$42,5,FALSE)</f>
        <v>#N/A</v>
      </c>
      <c r="V57" s="10" t="e">
        <f>VLOOKUP(AJ49,'FRC Site Data'!$B$3:$L$42,6,FALSE)</f>
        <v>#N/A</v>
      </c>
      <c r="W57" s="10" t="e">
        <f>VLOOKUP(AJ49,'FRC Site Data'!$B$3:$L$42,8,FALSE)</f>
        <v>#N/A</v>
      </c>
      <c r="X57" s="10" t="e">
        <f>VLOOKUP(AJ49,'FRC Site Data'!$B$3:$L$42,9,FALSE)</f>
        <v>#N/A</v>
      </c>
      <c r="Y57" s="10" t="e">
        <f>VLOOKUP(AJ49,'FRC Site Data'!$B$3:$L$42,10,FALSE)</f>
        <v>#N/A</v>
      </c>
      <c r="Z57" s="10" t="e">
        <f>VLOOKUP(AJ49,'FRC Site Data'!$B$3:$L$42,11,FALSE)</f>
        <v>#N/A</v>
      </c>
      <c r="AA57" s="10" t="e">
        <f>VLOOKUP(AJ49,'CIR Team Info'!$C$5:$E$44,4,FALSE)</f>
        <v>#N/A</v>
      </c>
      <c r="AB57" s="161" t="b">
        <f>ISNUMBER(VLOOKUP(AJ49,Match!$T$5:$T$10,1,FALSE))</f>
        <v>0</v>
      </c>
      <c r="AC57" s="161" t="b">
        <f>IF(AB57=TRUE,(VLOOKUP($AJ49,Match!$T$5:$U$10,2,FALSE)))</f>
        <v>0</v>
      </c>
      <c r="AD57" s="8">
        <v>3</v>
      </c>
      <c r="AE57" s="8">
        <v>2</v>
      </c>
      <c r="AF57" s="8">
        <v>2</v>
      </c>
      <c r="AG57" s="8">
        <v>1</v>
      </c>
      <c r="AH57" s="8" t="str">
        <f t="shared" si="15"/>
        <v/>
      </c>
      <c r="BA57" s="24"/>
      <c r="BC57" s="12"/>
    </row>
    <row r="58" spans="1:55" x14ac:dyDescent="0.25">
      <c r="A58" s="29">
        <f t="shared" si="0"/>
        <v>0</v>
      </c>
      <c r="B58" s="29">
        <f t="shared" si="2"/>
        <v>0</v>
      </c>
      <c r="C58" s="29">
        <f t="shared" si="3"/>
        <v>0</v>
      </c>
      <c r="D58" s="29">
        <f t="shared" si="4"/>
        <v>0</v>
      </c>
      <c r="E58" s="29">
        <f t="shared" si="1"/>
        <v>0</v>
      </c>
      <c r="F58" s="29">
        <f t="shared" si="5"/>
        <v>0</v>
      </c>
      <c r="G58" s="29" t="str">
        <f t="shared" si="6"/>
        <v>offensive</v>
      </c>
      <c r="H58" s="16">
        <f t="shared" si="7"/>
        <v>0</v>
      </c>
      <c r="I58" s="16">
        <f t="shared" si="8"/>
        <v>0</v>
      </c>
      <c r="J58" s="16">
        <f t="shared" si="9"/>
        <v>0</v>
      </c>
      <c r="K58" s="16">
        <f t="shared" si="10"/>
        <v>0</v>
      </c>
      <c r="L58" s="67">
        <f t="shared" si="11"/>
        <v>0</v>
      </c>
      <c r="M58" s="4">
        <f t="shared" si="12"/>
        <v>0</v>
      </c>
      <c r="N58" s="4">
        <f t="shared" si="13"/>
        <v>0</v>
      </c>
      <c r="O58" s="4">
        <f t="shared" si="14"/>
        <v>0</v>
      </c>
      <c r="P58" s="4" t="e">
        <f>VLOOKUP(AJ50,'CIR Team Info'!$C$5:$E$44,2,FALSE)</f>
        <v>#N/A</v>
      </c>
      <c r="Q58" s="4" t="e">
        <f>VLOOKUP(AJ50,'CIR Team Info'!$C$5:$E$44,3,FALSE)</f>
        <v>#N/A</v>
      </c>
      <c r="R58" s="10" t="e">
        <f>VLOOKUP(AJ50,'FRC Site Data'!$B$3:$L$42,2,FALSE)</f>
        <v>#N/A</v>
      </c>
      <c r="S58" s="10" t="e">
        <f>VLOOKUP(AJ50,'FRC Site Data'!$B$3:$L$42,3,FALSE)</f>
        <v>#N/A</v>
      </c>
      <c r="T58" s="10" t="e">
        <f>VLOOKUP(AJ50,'FRC Site Data'!$B$3:$L$42,4,FALSE)</f>
        <v>#N/A</v>
      </c>
      <c r="U58" s="10" t="e">
        <f>VLOOKUP(AJ50,'FRC Site Data'!$B$3:$L$42,5,FALSE)</f>
        <v>#N/A</v>
      </c>
      <c r="V58" s="10" t="e">
        <f>VLOOKUP(AJ50,'FRC Site Data'!$B$3:$L$42,6,FALSE)</f>
        <v>#N/A</v>
      </c>
      <c r="W58" s="10" t="e">
        <f>VLOOKUP(AJ50,'FRC Site Data'!$B$3:$L$42,8,FALSE)</f>
        <v>#N/A</v>
      </c>
      <c r="X58" s="10" t="e">
        <f>VLOOKUP(AJ50,'FRC Site Data'!$B$3:$L$42,9,FALSE)</f>
        <v>#N/A</v>
      </c>
      <c r="Y58" s="10" t="e">
        <f>VLOOKUP(AJ50,'FRC Site Data'!$B$3:$L$42,10,FALSE)</f>
        <v>#N/A</v>
      </c>
      <c r="Z58" s="10" t="e">
        <f>VLOOKUP(AJ50,'FRC Site Data'!$B$3:$L$42,11,FALSE)</f>
        <v>#N/A</v>
      </c>
      <c r="AA58" s="10" t="e">
        <f>VLOOKUP(AJ50,'CIR Team Info'!$C$5:$E$44,4,FALSE)</f>
        <v>#N/A</v>
      </c>
      <c r="AB58" s="161" t="b">
        <f>ISNUMBER(VLOOKUP(AJ50,Match!$T$5:$T$10,1,FALSE))</f>
        <v>0</v>
      </c>
      <c r="AC58" s="161" t="b">
        <f>IF(AB58=TRUE,(VLOOKUP($AJ50,Match!$T$5:$U$10,2,FALSE)))</f>
        <v>0</v>
      </c>
      <c r="AD58" s="8">
        <v>3</v>
      </c>
      <c r="AE58" s="8">
        <v>2</v>
      </c>
      <c r="AF58" s="8">
        <v>2</v>
      </c>
      <c r="AG58" s="8">
        <v>1</v>
      </c>
      <c r="AH58" s="8" t="str">
        <f t="shared" si="15"/>
        <v/>
      </c>
      <c r="BA58" s="24"/>
      <c r="BC58" s="12"/>
    </row>
    <row r="59" spans="1:55" x14ac:dyDescent="0.25">
      <c r="A59" s="29">
        <f t="shared" si="0"/>
        <v>0</v>
      </c>
      <c r="B59" s="29">
        <f t="shared" si="2"/>
        <v>0</v>
      </c>
      <c r="C59" s="29">
        <f t="shared" si="3"/>
        <v>0</v>
      </c>
      <c r="D59" s="29">
        <f t="shared" si="4"/>
        <v>0</v>
      </c>
      <c r="E59" s="29">
        <f t="shared" si="1"/>
        <v>0</v>
      </c>
      <c r="F59" s="29">
        <f t="shared" si="5"/>
        <v>0</v>
      </c>
      <c r="G59" s="29" t="str">
        <f t="shared" si="6"/>
        <v>offensive</v>
      </c>
      <c r="H59" s="16">
        <f t="shared" si="7"/>
        <v>0</v>
      </c>
      <c r="I59" s="16">
        <f t="shared" si="8"/>
        <v>0</v>
      </c>
      <c r="J59" s="16">
        <f t="shared" si="9"/>
        <v>0</v>
      </c>
      <c r="K59" s="16">
        <f t="shared" si="10"/>
        <v>0</v>
      </c>
      <c r="L59" s="67">
        <f t="shared" si="11"/>
        <v>0</v>
      </c>
      <c r="M59" s="4">
        <f t="shared" si="12"/>
        <v>0</v>
      </c>
      <c r="N59" s="4">
        <f t="shared" si="13"/>
        <v>0</v>
      </c>
      <c r="O59" s="4">
        <f t="shared" si="14"/>
        <v>0</v>
      </c>
      <c r="P59" s="4" t="e">
        <f>VLOOKUP(AJ51,'CIR Team Info'!$C$5:$E$44,2,FALSE)</f>
        <v>#N/A</v>
      </c>
      <c r="Q59" s="4" t="e">
        <f>VLOOKUP(AJ51,'CIR Team Info'!$C$5:$E$44,3,FALSE)</f>
        <v>#N/A</v>
      </c>
      <c r="R59" s="10" t="e">
        <f>VLOOKUP(AJ51,'FRC Site Data'!$B$3:$L$42,2,FALSE)</f>
        <v>#N/A</v>
      </c>
      <c r="S59" s="10" t="e">
        <f>VLOOKUP(AJ51,'FRC Site Data'!$B$3:$L$42,3,FALSE)</f>
        <v>#N/A</v>
      </c>
      <c r="T59" s="10" t="e">
        <f>VLOOKUP(AJ51,'FRC Site Data'!$B$3:$L$42,4,FALSE)</f>
        <v>#N/A</v>
      </c>
      <c r="U59" s="10" t="e">
        <f>VLOOKUP(AJ51,'FRC Site Data'!$B$3:$L$42,5,FALSE)</f>
        <v>#N/A</v>
      </c>
      <c r="V59" s="10" t="e">
        <f>VLOOKUP(AJ51,'FRC Site Data'!$B$3:$L$42,6,FALSE)</f>
        <v>#N/A</v>
      </c>
      <c r="W59" s="10" t="e">
        <f>VLOOKUP(AJ51,'FRC Site Data'!$B$3:$L$42,8,FALSE)</f>
        <v>#N/A</v>
      </c>
      <c r="X59" s="10" t="e">
        <f>VLOOKUP(AJ51,'FRC Site Data'!$B$3:$L$42,9,FALSE)</f>
        <v>#N/A</v>
      </c>
      <c r="Y59" s="10" t="e">
        <f>VLOOKUP(AJ51,'FRC Site Data'!$B$3:$L$42,10,FALSE)</f>
        <v>#N/A</v>
      </c>
      <c r="Z59" s="10" t="e">
        <f>VLOOKUP(AJ51,'FRC Site Data'!$B$3:$L$42,11,FALSE)</f>
        <v>#N/A</v>
      </c>
      <c r="AA59" s="10" t="e">
        <f>VLOOKUP(AJ51,'CIR Team Info'!$C$5:$E$44,4,FALSE)</f>
        <v>#N/A</v>
      </c>
      <c r="AB59" s="161" t="b">
        <f>ISNUMBER(VLOOKUP(AJ51,Match!$T$5:$T$10,1,FALSE))</f>
        <v>0</v>
      </c>
      <c r="AC59" s="161" t="b">
        <f>IF(AB59=TRUE,(VLOOKUP($AJ51,Match!$T$5:$U$10,2,FALSE)))</f>
        <v>0</v>
      </c>
      <c r="AD59" s="8">
        <v>3</v>
      </c>
      <c r="AE59" s="8">
        <v>2</v>
      </c>
      <c r="AF59" s="8">
        <v>2</v>
      </c>
      <c r="AG59" s="8">
        <v>1</v>
      </c>
      <c r="AH59" s="8" t="str">
        <f t="shared" si="15"/>
        <v/>
      </c>
      <c r="BA59" s="24"/>
      <c r="BC59" s="12"/>
    </row>
    <row r="60" spans="1:55" x14ac:dyDescent="0.25">
      <c r="A60" s="29">
        <f t="shared" si="0"/>
        <v>0</v>
      </c>
      <c r="B60" s="29">
        <f t="shared" si="2"/>
        <v>0</v>
      </c>
      <c r="C60" s="29">
        <f t="shared" si="3"/>
        <v>0</v>
      </c>
      <c r="D60" s="29">
        <f t="shared" si="4"/>
        <v>0</v>
      </c>
      <c r="E60" s="29">
        <f t="shared" si="1"/>
        <v>0</v>
      </c>
      <c r="F60" s="29">
        <f t="shared" si="5"/>
        <v>0</v>
      </c>
      <c r="G60" s="29" t="str">
        <f t="shared" si="6"/>
        <v>offensive</v>
      </c>
      <c r="H60" s="16">
        <f t="shared" si="7"/>
        <v>0</v>
      </c>
      <c r="I60" s="16">
        <f t="shared" si="8"/>
        <v>0</v>
      </c>
      <c r="J60" s="16">
        <f t="shared" si="9"/>
        <v>0</v>
      </c>
      <c r="K60" s="16">
        <f t="shared" si="10"/>
        <v>0</v>
      </c>
      <c r="L60" s="67">
        <f t="shared" si="11"/>
        <v>0</v>
      </c>
      <c r="M60" s="4">
        <f t="shared" si="12"/>
        <v>0</v>
      </c>
      <c r="N60" s="4">
        <f t="shared" si="13"/>
        <v>0</v>
      </c>
      <c r="O60" s="4">
        <f t="shared" si="14"/>
        <v>0</v>
      </c>
      <c r="P60" s="4" t="e">
        <f>VLOOKUP(AJ52,'CIR Team Info'!$C$5:$E$44,2,FALSE)</f>
        <v>#N/A</v>
      </c>
      <c r="Q60" s="4" t="e">
        <f>VLOOKUP(AJ52,'CIR Team Info'!$C$5:$E$44,3,FALSE)</f>
        <v>#N/A</v>
      </c>
      <c r="R60" s="10" t="e">
        <f>VLOOKUP(AJ52,'FRC Site Data'!$B$3:$L$42,2,FALSE)</f>
        <v>#N/A</v>
      </c>
      <c r="S60" s="10" t="e">
        <f>VLOOKUP(AJ52,'FRC Site Data'!$B$3:$L$42,3,FALSE)</f>
        <v>#N/A</v>
      </c>
      <c r="T60" s="10" t="e">
        <f>VLOOKUP(AJ52,'FRC Site Data'!$B$3:$L$42,4,FALSE)</f>
        <v>#N/A</v>
      </c>
      <c r="U60" s="10" t="e">
        <f>VLOOKUP(AJ52,'FRC Site Data'!$B$3:$L$42,5,FALSE)</f>
        <v>#N/A</v>
      </c>
      <c r="V60" s="10" t="e">
        <f>VLOOKUP(AJ52,'FRC Site Data'!$B$3:$L$42,6,FALSE)</f>
        <v>#N/A</v>
      </c>
      <c r="W60" s="10" t="e">
        <f>VLOOKUP(AJ52,'FRC Site Data'!$B$3:$L$42,8,FALSE)</f>
        <v>#N/A</v>
      </c>
      <c r="X60" s="10" t="e">
        <f>VLOOKUP(AJ52,'FRC Site Data'!$B$3:$L$42,9,FALSE)</f>
        <v>#N/A</v>
      </c>
      <c r="Y60" s="10" t="e">
        <f>VLOOKUP(AJ52,'FRC Site Data'!$B$3:$L$42,10,FALSE)</f>
        <v>#N/A</v>
      </c>
      <c r="Z60" s="10" t="e">
        <f>VLOOKUP(AJ52,'FRC Site Data'!$B$3:$L$42,11,FALSE)</f>
        <v>#N/A</v>
      </c>
      <c r="AA60" s="10" t="e">
        <f>VLOOKUP(AJ52,'CIR Team Info'!$C$5:$E$44,4,FALSE)</f>
        <v>#N/A</v>
      </c>
      <c r="AB60" s="161" t="b">
        <f>ISNUMBER(VLOOKUP(AJ52,Match!$T$5:$T$10,1,FALSE))</f>
        <v>0</v>
      </c>
      <c r="AC60" s="161" t="b">
        <f>IF(AB60=TRUE,(VLOOKUP($AJ52,Match!$T$5:$U$10,2,FALSE)))</f>
        <v>0</v>
      </c>
      <c r="AD60" s="8">
        <v>3</v>
      </c>
      <c r="AE60" s="8">
        <v>2</v>
      </c>
      <c r="AF60" s="8">
        <v>2</v>
      </c>
      <c r="AG60" s="8">
        <v>1</v>
      </c>
      <c r="AH60" s="8" t="str">
        <f t="shared" si="15"/>
        <v/>
      </c>
      <c r="BA60" s="24"/>
      <c r="BC60" s="12"/>
    </row>
    <row r="61" spans="1:55" x14ac:dyDescent="0.25">
      <c r="A61" s="29">
        <f t="shared" si="0"/>
        <v>0</v>
      </c>
      <c r="B61" s="29">
        <f t="shared" si="2"/>
        <v>0</v>
      </c>
      <c r="C61" s="29">
        <f t="shared" si="3"/>
        <v>0</v>
      </c>
      <c r="D61" s="29">
        <f t="shared" si="4"/>
        <v>0</v>
      </c>
      <c r="E61" s="29">
        <f t="shared" si="1"/>
        <v>0</v>
      </c>
      <c r="F61" s="29">
        <f t="shared" si="5"/>
        <v>0</v>
      </c>
      <c r="G61" s="29" t="str">
        <f t="shared" si="6"/>
        <v>offensive</v>
      </c>
      <c r="H61" s="16">
        <f t="shared" si="7"/>
        <v>0</v>
      </c>
      <c r="I61" s="16">
        <f t="shared" si="8"/>
        <v>0</v>
      </c>
      <c r="J61" s="16">
        <f t="shared" si="9"/>
        <v>0</v>
      </c>
      <c r="K61" s="16">
        <f t="shared" si="10"/>
        <v>0</v>
      </c>
      <c r="L61" s="67">
        <f t="shared" si="11"/>
        <v>0</v>
      </c>
      <c r="M61" s="4">
        <f t="shared" si="12"/>
        <v>0</v>
      </c>
      <c r="N61" s="4">
        <f t="shared" si="13"/>
        <v>0</v>
      </c>
      <c r="O61" s="4">
        <f t="shared" si="14"/>
        <v>0</v>
      </c>
      <c r="P61" s="4" t="e">
        <f>VLOOKUP(AJ53,'CIR Team Info'!$C$5:$E$44,2,FALSE)</f>
        <v>#N/A</v>
      </c>
      <c r="Q61" s="4" t="e">
        <f>VLOOKUP(AJ53,'CIR Team Info'!$C$5:$E$44,3,FALSE)</f>
        <v>#N/A</v>
      </c>
      <c r="R61" s="10" t="e">
        <f>VLOOKUP(AJ53,'FRC Site Data'!$B$3:$L$42,2,FALSE)</f>
        <v>#N/A</v>
      </c>
      <c r="S61" s="10" t="e">
        <f>VLOOKUP(AJ53,'FRC Site Data'!$B$3:$L$42,3,FALSE)</f>
        <v>#N/A</v>
      </c>
      <c r="T61" s="10" t="e">
        <f>VLOOKUP(AJ53,'FRC Site Data'!$B$3:$L$42,4,FALSE)</f>
        <v>#N/A</v>
      </c>
      <c r="U61" s="10" t="e">
        <f>VLOOKUP(AJ53,'FRC Site Data'!$B$3:$L$42,5,FALSE)</f>
        <v>#N/A</v>
      </c>
      <c r="V61" s="10" t="e">
        <f>VLOOKUP(AJ53,'FRC Site Data'!$B$3:$L$42,6,FALSE)</f>
        <v>#N/A</v>
      </c>
      <c r="W61" s="10" t="e">
        <f>VLOOKUP(AJ53,'FRC Site Data'!$B$3:$L$42,8,FALSE)</f>
        <v>#N/A</v>
      </c>
      <c r="X61" s="10" t="e">
        <f>VLOOKUP(AJ53,'FRC Site Data'!$B$3:$L$42,9,FALSE)</f>
        <v>#N/A</v>
      </c>
      <c r="Y61" s="10" t="e">
        <f>VLOOKUP(AJ53,'FRC Site Data'!$B$3:$L$42,10,FALSE)</f>
        <v>#N/A</v>
      </c>
      <c r="Z61" s="10" t="e">
        <f>VLOOKUP(AJ53,'FRC Site Data'!$B$3:$L$42,11,FALSE)</f>
        <v>#N/A</v>
      </c>
      <c r="AA61" s="10" t="e">
        <f>VLOOKUP(AJ53,'CIR Team Info'!$C$5:$E$44,4,FALSE)</f>
        <v>#N/A</v>
      </c>
      <c r="AB61" s="161" t="b">
        <f>ISNUMBER(VLOOKUP(AJ53,Match!$T$5:$T$10,1,FALSE))</f>
        <v>0</v>
      </c>
      <c r="AC61" s="161" t="b">
        <f>IF(AB61=TRUE,(VLOOKUP($AJ53,Match!$T$5:$U$10,2,FALSE)))</f>
        <v>0</v>
      </c>
      <c r="AD61" s="8">
        <v>3</v>
      </c>
      <c r="AE61" s="8">
        <v>2</v>
      </c>
      <c r="AF61" s="8">
        <v>2</v>
      </c>
      <c r="AG61" s="8">
        <v>1</v>
      </c>
      <c r="AH61" s="8" t="str">
        <f t="shared" si="15"/>
        <v/>
      </c>
      <c r="BA61" s="24"/>
      <c r="BC61" s="12"/>
    </row>
    <row r="62" spans="1:55" x14ac:dyDescent="0.25">
      <c r="A62" s="29">
        <f t="shared" si="0"/>
        <v>0</v>
      </c>
      <c r="B62" s="29">
        <f t="shared" si="2"/>
        <v>0</v>
      </c>
      <c r="C62" s="29">
        <f t="shared" si="3"/>
        <v>0</v>
      </c>
      <c r="D62" s="29">
        <f t="shared" si="4"/>
        <v>0</v>
      </c>
      <c r="E62" s="29">
        <f t="shared" si="1"/>
        <v>0</v>
      </c>
      <c r="F62" s="29">
        <f t="shared" si="5"/>
        <v>0</v>
      </c>
      <c r="G62" s="29" t="str">
        <f t="shared" si="6"/>
        <v>offensive</v>
      </c>
      <c r="H62" s="16">
        <f t="shared" si="7"/>
        <v>0</v>
      </c>
      <c r="I62" s="16">
        <f t="shared" si="8"/>
        <v>0</v>
      </c>
      <c r="J62" s="16">
        <f t="shared" si="9"/>
        <v>0</v>
      </c>
      <c r="K62" s="16">
        <f t="shared" si="10"/>
        <v>0</v>
      </c>
      <c r="L62" s="67">
        <f t="shared" si="11"/>
        <v>0</v>
      </c>
      <c r="M62" s="4">
        <f t="shared" si="12"/>
        <v>0</v>
      </c>
      <c r="N62" s="4">
        <f t="shared" si="13"/>
        <v>0</v>
      </c>
      <c r="O62" s="4">
        <f t="shared" si="14"/>
        <v>0</v>
      </c>
      <c r="P62" s="4" t="e">
        <f>VLOOKUP(AJ54,'CIR Team Info'!$C$5:$E$44,2,FALSE)</f>
        <v>#N/A</v>
      </c>
      <c r="Q62" s="4" t="e">
        <f>VLOOKUP(AJ54,'CIR Team Info'!$C$5:$E$44,3,FALSE)</f>
        <v>#N/A</v>
      </c>
      <c r="R62" s="10" t="e">
        <f>VLOOKUP(AJ54,'FRC Site Data'!$B$3:$L$42,2,FALSE)</f>
        <v>#N/A</v>
      </c>
      <c r="S62" s="10" t="e">
        <f>VLOOKUP(AJ54,'FRC Site Data'!$B$3:$L$42,3,FALSE)</f>
        <v>#N/A</v>
      </c>
      <c r="T62" s="10" t="e">
        <f>VLOOKUP(AJ54,'FRC Site Data'!$B$3:$L$42,4,FALSE)</f>
        <v>#N/A</v>
      </c>
      <c r="U62" s="10" t="e">
        <f>VLOOKUP(AJ54,'FRC Site Data'!$B$3:$L$42,5,FALSE)</f>
        <v>#N/A</v>
      </c>
      <c r="V62" s="10" t="e">
        <f>VLOOKUP(AJ54,'FRC Site Data'!$B$3:$L$42,6,FALSE)</f>
        <v>#N/A</v>
      </c>
      <c r="W62" s="10" t="e">
        <f>VLOOKUP(AJ54,'FRC Site Data'!$B$3:$L$42,8,FALSE)</f>
        <v>#N/A</v>
      </c>
      <c r="X62" s="10" t="e">
        <f>VLOOKUP(AJ54,'FRC Site Data'!$B$3:$L$42,9,FALSE)</f>
        <v>#N/A</v>
      </c>
      <c r="Y62" s="10" t="e">
        <f>VLOOKUP(AJ54,'FRC Site Data'!$B$3:$L$42,10,FALSE)</f>
        <v>#N/A</v>
      </c>
      <c r="Z62" s="10" t="e">
        <f>VLOOKUP(AJ54,'FRC Site Data'!$B$3:$L$42,11,FALSE)</f>
        <v>#N/A</v>
      </c>
      <c r="AA62" s="10" t="e">
        <f>VLOOKUP(AJ54,'CIR Team Info'!$C$5:$E$44,4,FALSE)</f>
        <v>#N/A</v>
      </c>
      <c r="AB62" s="161" t="b">
        <f>ISNUMBER(VLOOKUP(AJ54,Match!$T$5:$T$10,1,FALSE))</f>
        <v>0</v>
      </c>
      <c r="AC62" s="161" t="b">
        <f>IF(AB62=TRUE,(VLOOKUP($AJ54,Match!$T$5:$U$10,2,FALSE)))</f>
        <v>0</v>
      </c>
      <c r="AD62" s="8">
        <v>3</v>
      </c>
      <c r="AE62" s="8">
        <v>2</v>
      </c>
      <c r="AF62" s="8">
        <v>2</v>
      </c>
      <c r="AG62" s="8">
        <v>1</v>
      </c>
      <c r="AH62" s="8" t="str">
        <f t="shared" si="15"/>
        <v/>
      </c>
      <c r="BA62" s="24"/>
      <c r="BC62" s="12"/>
    </row>
    <row r="63" spans="1:55" x14ac:dyDescent="0.25">
      <c r="A63" s="29">
        <f t="shared" si="0"/>
        <v>0</v>
      </c>
      <c r="B63" s="29">
        <f t="shared" si="2"/>
        <v>0</v>
      </c>
      <c r="C63" s="29">
        <f t="shared" si="3"/>
        <v>0</v>
      </c>
      <c r="D63" s="29">
        <f t="shared" si="4"/>
        <v>0</v>
      </c>
      <c r="E63" s="29">
        <f t="shared" si="1"/>
        <v>0</v>
      </c>
      <c r="F63" s="29">
        <f t="shared" si="5"/>
        <v>0</v>
      </c>
      <c r="G63" s="29" t="str">
        <f t="shared" si="6"/>
        <v>offensive</v>
      </c>
      <c r="H63" s="16">
        <f t="shared" si="7"/>
        <v>0</v>
      </c>
      <c r="I63" s="16">
        <f t="shared" si="8"/>
        <v>0</v>
      </c>
      <c r="J63" s="16">
        <f t="shared" si="9"/>
        <v>0</v>
      </c>
      <c r="K63" s="16">
        <f t="shared" si="10"/>
        <v>0</v>
      </c>
      <c r="L63" s="67">
        <f t="shared" si="11"/>
        <v>0</v>
      </c>
      <c r="M63" s="4">
        <f t="shared" si="12"/>
        <v>0</v>
      </c>
      <c r="N63" s="4">
        <f t="shared" si="13"/>
        <v>0</v>
      </c>
      <c r="O63" s="4">
        <f t="shared" si="14"/>
        <v>0</v>
      </c>
      <c r="P63" s="4" t="e">
        <f>VLOOKUP(AJ55,'CIR Team Info'!$C$5:$E$44,2,FALSE)</f>
        <v>#N/A</v>
      </c>
      <c r="Q63" s="4" t="e">
        <f>VLOOKUP(AJ55,'CIR Team Info'!$C$5:$E$44,3,FALSE)</f>
        <v>#N/A</v>
      </c>
      <c r="R63" s="10" t="e">
        <f>VLOOKUP(AJ55,'FRC Site Data'!$B$3:$L$42,2,FALSE)</f>
        <v>#N/A</v>
      </c>
      <c r="S63" s="10" t="e">
        <f>VLOOKUP(AJ55,'FRC Site Data'!$B$3:$L$42,3,FALSE)</f>
        <v>#N/A</v>
      </c>
      <c r="T63" s="10" t="e">
        <f>VLOOKUP(AJ55,'FRC Site Data'!$B$3:$L$42,4,FALSE)</f>
        <v>#N/A</v>
      </c>
      <c r="U63" s="10" t="e">
        <f>VLOOKUP(AJ55,'FRC Site Data'!$B$3:$L$42,5,FALSE)</f>
        <v>#N/A</v>
      </c>
      <c r="V63" s="10" t="e">
        <f>VLOOKUP(AJ55,'FRC Site Data'!$B$3:$L$42,6,FALSE)</f>
        <v>#N/A</v>
      </c>
      <c r="W63" s="10" t="e">
        <f>VLOOKUP(AJ55,'FRC Site Data'!$B$3:$L$42,8,FALSE)</f>
        <v>#N/A</v>
      </c>
      <c r="X63" s="10" t="e">
        <f>VLOOKUP(AJ55,'FRC Site Data'!$B$3:$L$42,9,FALSE)</f>
        <v>#N/A</v>
      </c>
      <c r="Y63" s="10" t="e">
        <f>VLOOKUP(AJ55,'FRC Site Data'!$B$3:$L$42,10,FALSE)</f>
        <v>#N/A</v>
      </c>
      <c r="Z63" s="10" t="e">
        <f>VLOOKUP(AJ55,'FRC Site Data'!$B$3:$L$42,11,FALSE)</f>
        <v>#N/A</v>
      </c>
      <c r="AA63" s="10" t="e">
        <f>VLOOKUP(AJ55,'CIR Team Info'!$C$5:$E$44,4,FALSE)</f>
        <v>#N/A</v>
      </c>
      <c r="AB63" s="161" t="b">
        <f>ISNUMBER(VLOOKUP(AJ55,Match!$T$5:$T$10,1,FALSE))</f>
        <v>0</v>
      </c>
      <c r="AC63" s="161" t="b">
        <f>IF(AB63=TRUE,(VLOOKUP($AJ55,Match!$T$5:$U$10,2,FALSE)))</f>
        <v>0</v>
      </c>
      <c r="AD63" s="8">
        <v>3</v>
      </c>
      <c r="AE63" s="8">
        <v>2</v>
      </c>
      <c r="AF63" s="8">
        <v>2</v>
      </c>
      <c r="AG63" s="8">
        <v>1</v>
      </c>
      <c r="AH63" s="8" t="str">
        <f t="shared" si="15"/>
        <v/>
      </c>
      <c r="BA63" s="24"/>
      <c r="BC63" s="12"/>
    </row>
    <row r="64" spans="1:55" x14ac:dyDescent="0.25">
      <c r="A64" s="29">
        <f t="shared" ref="A64:A127" si="16">SUM(B64:F64)</f>
        <v>0</v>
      </c>
      <c r="B64" s="29">
        <f t="shared" si="2"/>
        <v>0</v>
      </c>
      <c r="C64" s="29">
        <f t="shared" si="3"/>
        <v>0</v>
      </c>
      <c r="D64" s="29">
        <f t="shared" si="4"/>
        <v>0</v>
      </c>
      <c r="E64" s="29">
        <f t="shared" si="1"/>
        <v>0</v>
      </c>
      <c r="F64" s="29">
        <f t="shared" si="5"/>
        <v>0</v>
      </c>
      <c r="G64" s="29" t="str">
        <f t="shared" si="6"/>
        <v>offensive</v>
      </c>
      <c r="H64" s="16">
        <f t="shared" si="7"/>
        <v>0</v>
      </c>
      <c r="I64" s="16">
        <f t="shared" si="8"/>
        <v>0</v>
      </c>
      <c r="J64" s="16">
        <f t="shared" si="9"/>
        <v>0</v>
      </c>
      <c r="K64" s="16">
        <f t="shared" si="10"/>
        <v>0</v>
      </c>
      <c r="L64" s="67">
        <f t="shared" si="11"/>
        <v>0</v>
      </c>
      <c r="M64" s="4">
        <f t="shared" si="12"/>
        <v>0</v>
      </c>
      <c r="N64" s="4">
        <f t="shared" si="13"/>
        <v>0</v>
      </c>
      <c r="O64" s="4">
        <f t="shared" si="14"/>
        <v>0</v>
      </c>
      <c r="P64" s="4" t="e">
        <f>VLOOKUP(AJ56,'CIR Team Info'!$C$5:$E$44,2,FALSE)</f>
        <v>#N/A</v>
      </c>
      <c r="Q64" s="4" t="e">
        <f>VLOOKUP(AJ56,'CIR Team Info'!$C$5:$E$44,3,FALSE)</f>
        <v>#N/A</v>
      </c>
      <c r="R64" s="10" t="e">
        <f>VLOOKUP(AJ56,'FRC Site Data'!$B$3:$L$42,2,FALSE)</f>
        <v>#N/A</v>
      </c>
      <c r="S64" s="10" t="e">
        <f>VLOOKUP(AJ56,'FRC Site Data'!$B$3:$L$42,3,FALSE)</f>
        <v>#N/A</v>
      </c>
      <c r="T64" s="10" t="e">
        <f>VLOOKUP(AJ56,'FRC Site Data'!$B$3:$L$42,4,FALSE)</f>
        <v>#N/A</v>
      </c>
      <c r="U64" s="10" t="e">
        <f>VLOOKUP(AJ56,'FRC Site Data'!$B$3:$L$42,5,FALSE)</f>
        <v>#N/A</v>
      </c>
      <c r="V64" s="10" t="e">
        <f>VLOOKUP(AJ56,'FRC Site Data'!$B$3:$L$42,6,FALSE)</f>
        <v>#N/A</v>
      </c>
      <c r="W64" s="10" t="e">
        <f>VLOOKUP(AJ56,'FRC Site Data'!$B$3:$L$42,8,FALSE)</f>
        <v>#N/A</v>
      </c>
      <c r="X64" s="10" t="e">
        <f>VLOOKUP(AJ56,'FRC Site Data'!$B$3:$L$42,9,FALSE)</f>
        <v>#N/A</v>
      </c>
      <c r="Y64" s="10" t="e">
        <f>VLOOKUP(AJ56,'FRC Site Data'!$B$3:$L$42,10,FALSE)</f>
        <v>#N/A</v>
      </c>
      <c r="Z64" s="10" t="e">
        <f>VLOOKUP(AJ56,'FRC Site Data'!$B$3:$L$42,11,FALSE)</f>
        <v>#N/A</v>
      </c>
      <c r="AA64" s="10" t="e">
        <f>VLOOKUP(AJ56,'CIR Team Info'!$C$5:$E$44,4,FALSE)</f>
        <v>#N/A</v>
      </c>
      <c r="AB64" s="161" t="b">
        <f>ISNUMBER(VLOOKUP(AJ56,Match!$T$5:$T$10,1,FALSE))</f>
        <v>0</v>
      </c>
      <c r="AC64" s="161" t="b">
        <f>IF(AB64=TRUE,(VLOOKUP($AJ56,Match!$T$5:$U$10,2,FALSE)))</f>
        <v>0</v>
      </c>
      <c r="AD64" s="8">
        <v>3</v>
      </c>
      <c r="AE64" s="8">
        <v>2</v>
      </c>
      <c r="AF64" s="8">
        <v>2</v>
      </c>
      <c r="AG64" s="8">
        <v>1</v>
      </c>
      <c r="AH64" s="8" t="str">
        <f t="shared" si="15"/>
        <v/>
      </c>
      <c r="BA64" s="24"/>
      <c r="BC64" s="12"/>
    </row>
    <row r="65" spans="1:55" x14ac:dyDescent="0.25">
      <c r="A65" s="29">
        <f t="shared" si="16"/>
        <v>0</v>
      </c>
      <c r="B65" s="29">
        <f t="shared" si="2"/>
        <v>0</v>
      </c>
      <c r="C65" s="29">
        <f t="shared" si="3"/>
        <v>0</v>
      </c>
      <c r="D65" s="29">
        <f t="shared" si="4"/>
        <v>0</v>
      </c>
      <c r="E65" s="29">
        <f t="shared" ref="E65:E128" si="17">K65*O65</f>
        <v>0</v>
      </c>
      <c r="F65" s="29">
        <f t="shared" si="5"/>
        <v>0</v>
      </c>
      <c r="G65" s="29" t="str">
        <f t="shared" si="6"/>
        <v>offensive</v>
      </c>
      <c r="H65" s="16">
        <f t="shared" si="7"/>
        <v>0</v>
      </c>
      <c r="I65" s="16">
        <f t="shared" si="8"/>
        <v>0</v>
      </c>
      <c r="J65" s="16">
        <f t="shared" si="9"/>
        <v>0</v>
      </c>
      <c r="K65" s="16">
        <f t="shared" si="10"/>
        <v>0</v>
      </c>
      <c r="L65" s="67">
        <f t="shared" si="11"/>
        <v>0</v>
      </c>
      <c r="M65" s="4">
        <f t="shared" si="12"/>
        <v>0</v>
      </c>
      <c r="N65" s="4">
        <f t="shared" si="13"/>
        <v>0</v>
      </c>
      <c r="O65" s="4">
        <f t="shared" si="14"/>
        <v>0</v>
      </c>
      <c r="P65" s="4" t="e">
        <f>VLOOKUP(AJ57,'CIR Team Info'!$C$5:$E$44,2,FALSE)</f>
        <v>#N/A</v>
      </c>
      <c r="Q65" s="4" t="e">
        <f>VLOOKUP(AJ57,'CIR Team Info'!$C$5:$E$44,3,FALSE)</f>
        <v>#N/A</v>
      </c>
      <c r="R65" s="10" t="e">
        <f>VLOOKUP(AJ57,'FRC Site Data'!$B$3:$L$42,2,FALSE)</f>
        <v>#N/A</v>
      </c>
      <c r="S65" s="10" t="e">
        <f>VLOOKUP(AJ57,'FRC Site Data'!$B$3:$L$42,3,FALSE)</f>
        <v>#N/A</v>
      </c>
      <c r="T65" s="10" t="e">
        <f>VLOOKUP(AJ57,'FRC Site Data'!$B$3:$L$42,4,FALSE)</f>
        <v>#N/A</v>
      </c>
      <c r="U65" s="10" t="e">
        <f>VLOOKUP(AJ57,'FRC Site Data'!$B$3:$L$42,5,FALSE)</f>
        <v>#N/A</v>
      </c>
      <c r="V65" s="10" t="e">
        <f>VLOOKUP(AJ57,'FRC Site Data'!$B$3:$L$42,6,FALSE)</f>
        <v>#N/A</v>
      </c>
      <c r="W65" s="10" t="e">
        <f>VLOOKUP(AJ57,'FRC Site Data'!$B$3:$L$42,8,FALSE)</f>
        <v>#N/A</v>
      </c>
      <c r="X65" s="10" t="e">
        <f>VLOOKUP(AJ57,'FRC Site Data'!$B$3:$L$42,9,FALSE)</f>
        <v>#N/A</v>
      </c>
      <c r="Y65" s="10" t="e">
        <f>VLOOKUP(AJ57,'FRC Site Data'!$B$3:$L$42,10,FALSE)</f>
        <v>#N/A</v>
      </c>
      <c r="Z65" s="10" t="e">
        <f>VLOOKUP(AJ57,'FRC Site Data'!$B$3:$L$42,11,FALSE)</f>
        <v>#N/A</v>
      </c>
      <c r="AA65" s="10" t="e">
        <f>VLOOKUP(AJ57,'CIR Team Info'!$C$5:$E$44,4,FALSE)</f>
        <v>#N/A</v>
      </c>
      <c r="AB65" s="161" t="b">
        <f>ISNUMBER(VLOOKUP(AJ57,Match!$T$5:$T$10,1,FALSE))</f>
        <v>0</v>
      </c>
      <c r="AC65" s="161" t="b">
        <f>IF(AB65=TRUE,(VLOOKUP($AJ57,Match!$T$5:$U$10,2,FALSE)))</f>
        <v>0</v>
      </c>
      <c r="AD65" s="8">
        <v>3</v>
      </c>
      <c r="AE65" s="8">
        <v>2</v>
      </c>
      <c r="AF65" s="8">
        <v>2</v>
      </c>
      <c r="AG65" s="8">
        <v>1</v>
      </c>
      <c r="AH65" s="8" t="str">
        <f t="shared" si="15"/>
        <v/>
      </c>
      <c r="BA65" s="24"/>
      <c r="BC65" s="12"/>
    </row>
    <row r="66" spans="1:55" x14ac:dyDescent="0.25">
      <c r="A66" s="29">
        <f t="shared" si="16"/>
        <v>0</v>
      </c>
      <c r="B66" s="29">
        <f t="shared" si="2"/>
        <v>0</v>
      </c>
      <c r="C66" s="29">
        <f t="shared" si="3"/>
        <v>0</v>
      </c>
      <c r="D66" s="29">
        <f t="shared" si="4"/>
        <v>0</v>
      </c>
      <c r="E66" s="29">
        <f t="shared" si="17"/>
        <v>0</v>
      </c>
      <c r="F66" s="29">
        <f t="shared" si="5"/>
        <v>0</v>
      </c>
      <c r="G66" s="29" t="str">
        <f t="shared" si="6"/>
        <v>offensive</v>
      </c>
      <c r="H66" s="16">
        <f t="shared" si="7"/>
        <v>0</v>
      </c>
      <c r="I66" s="16">
        <f t="shared" si="8"/>
        <v>0</v>
      </c>
      <c r="J66" s="16">
        <f t="shared" si="9"/>
        <v>0</v>
      </c>
      <c r="K66" s="16">
        <f t="shared" si="10"/>
        <v>0</v>
      </c>
      <c r="L66" s="67">
        <f t="shared" si="11"/>
        <v>0</v>
      </c>
      <c r="M66" s="4">
        <f t="shared" si="12"/>
        <v>0</v>
      </c>
      <c r="N66" s="4">
        <f t="shared" si="13"/>
        <v>0</v>
      </c>
      <c r="O66" s="4">
        <f t="shared" si="14"/>
        <v>0</v>
      </c>
      <c r="P66" s="4" t="e">
        <f>VLOOKUP(AJ58,'CIR Team Info'!$C$5:$E$44,2,FALSE)</f>
        <v>#N/A</v>
      </c>
      <c r="Q66" s="4" t="e">
        <f>VLOOKUP(AJ58,'CIR Team Info'!$C$5:$E$44,3,FALSE)</f>
        <v>#N/A</v>
      </c>
      <c r="R66" s="10" t="e">
        <f>VLOOKUP(AJ58,'FRC Site Data'!$B$3:$L$42,2,FALSE)</f>
        <v>#N/A</v>
      </c>
      <c r="S66" s="10" t="e">
        <f>VLOOKUP(AJ58,'FRC Site Data'!$B$3:$L$42,3,FALSE)</f>
        <v>#N/A</v>
      </c>
      <c r="T66" s="10" t="e">
        <f>VLOOKUP(AJ58,'FRC Site Data'!$B$3:$L$42,4,FALSE)</f>
        <v>#N/A</v>
      </c>
      <c r="U66" s="10" t="e">
        <f>VLOOKUP(AJ58,'FRC Site Data'!$B$3:$L$42,5,FALSE)</f>
        <v>#N/A</v>
      </c>
      <c r="V66" s="10" t="e">
        <f>VLOOKUP(AJ58,'FRC Site Data'!$B$3:$L$42,6,FALSE)</f>
        <v>#N/A</v>
      </c>
      <c r="W66" s="10" t="e">
        <f>VLOOKUP(AJ58,'FRC Site Data'!$B$3:$L$42,8,FALSE)</f>
        <v>#N/A</v>
      </c>
      <c r="X66" s="10" t="e">
        <f>VLOOKUP(AJ58,'FRC Site Data'!$B$3:$L$42,9,FALSE)</f>
        <v>#N/A</v>
      </c>
      <c r="Y66" s="10" t="e">
        <f>VLOOKUP(AJ58,'FRC Site Data'!$B$3:$L$42,10,FALSE)</f>
        <v>#N/A</v>
      </c>
      <c r="Z66" s="10" t="e">
        <f>VLOOKUP(AJ58,'FRC Site Data'!$B$3:$L$42,11,FALSE)</f>
        <v>#N/A</v>
      </c>
      <c r="AA66" s="10" t="e">
        <f>VLOOKUP(AJ58,'CIR Team Info'!$C$5:$E$44,4,FALSE)</f>
        <v>#N/A</v>
      </c>
      <c r="AB66" s="161" t="b">
        <f>ISNUMBER(VLOOKUP(AJ58,Match!$T$5:$T$10,1,FALSE))</f>
        <v>0</v>
      </c>
      <c r="AC66" s="161" t="b">
        <f>IF(AB66=TRUE,(VLOOKUP($AJ58,Match!$T$5:$U$10,2,FALSE)))</f>
        <v>0</v>
      </c>
      <c r="AD66" s="8">
        <v>3</v>
      </c>
      <c r="AE66" s="8">
        <v>2</v>
      </c>
      <c r="AF66" s="8">
        <v>2</v>
      </c>
      <c r="AG66" s="8">
        <v>1</v>
      </c>
      <c r="AH66" s="8" t="str">
        <f t="shared" si="15"/>
        <v/>
      </c>
      <c r="BA66" s="24"/>
      <c r="BC66" s="12"/>
    </row>
    <row r="67" spans="1:55" x14ac:dyDescent="0.25">
      <c r="A67" s="29">
        <f t="shared" si="16"/>
        <v>0</v>
      </c>
      <c r="B67" s="29">
        <f t="shared" si="2"/>
        <v>0</v>
      </c>
      <c r="C67" s="29">
        <f t="shared" si="3"/>
        <v>0</v>
      </c>
      <c r="D67" s="29">
        <f t="shared" si="4"/>
        <v>0</v>
      </c>
      <c r="E67" s="29">
        <f t="shared" si="17"/>
        <v>0</v>
      </c>
      <c r="F67" s="29">
        <f t="shared" si="5"/>
        <v>0</v>
      </c>
      <c r="G67" s="29" t="str">
        <f t="shared" si="6"/>
        <v>offensive</v>
      </c>
      <c r="H67" s="16">
        <f t="shared" si="7"/>
        <v>0</v>
      </c>
      <c r="I67" s="16">
        <f t="shared" si="8"/>
        <v>0</v>
      </c>
      <c r="J67" s="16">
        <f t="shared" si="9"/>
        <v>0</v>
      </c>
      <c r="K67" s="16">
        <f t="shared" si="10"/>
        <v>0</v>
      </c>
      <c r="L67" s="67">
        <f t="shared" si="11"/>
        <v>0</v>
      </c>
      <c r="M67" s="4">
        <f t="shared" si="12"/>
        <v>0</v>
      </c>
      <c r="N67" s="4">
        <f t="shared" si="13"/>
        <v>0</v>
      </c>
      <c r="O67" s="4">
        <f t="shared" si="14"/>
        <v>0</v>
      </c>
      <c r="P67" s="4" t="e">
        <f>VLOOKUP(AJ59,'CIR Team Info'!$C$5:$E$44,2,FALSE)</f>
        <v>#N/A</v>
      </c>
      <c r="Q67" s="4" t="e">
        <f>VLOOKUP(AJ59,'CIR Team Info'!$C$5:$E$44,3,FALSE)</f>
        <v>#N/A</v>
      </c>
      <c r="R67" s="10" t="e">
        <f>VLOOKUP(AJ59,'FRC Site Data'!$B$3:$L$42,2,FALSE)</f>
        <v>#N/A</v>
      </c>
      <c r="S67" s="10" t="e">
        <f>VLOOKUP(AJ59,'FRC Site Data'!$B$3:$L$42,3,FALSE)</f>
        <v>#N/A</v>
      </c>
      <c r="T67" s="10" t="e">
        <f>VLOOKUP(AJ59,'FRC Site Data'!$B$3:$L$42,4,FALSE)</f>
        <v>#N/A</v>
      </c>
      <c r="U67" s="10" t="e">
        <f>VLOOKUP(AJ59,'FRC Site Data'!$B$3:$L$42,5,FALSE)</f>
        <v>#N/A</v>
      </c>
      <c r="V67" s="10" t="e">
        <f>VLOOKUP(AJ59,'FRC Site Data'!$B$3:$L$42,6,FALSE)</f>
        <v>#N/A</v>
      </c>
      <c r="W67" s="10" t="e">
        <f>VLOOKUP(AJ59,'FRC Site Data'!$B$3:$L$42,8,FALSE)</f>
        <v>#N/A</v>
      </c>
      <c r="X67" s="10" t="e">
        <f>VLOOKUP(AJ59,'FRC Site Data'!$B$3:$L$42,9,FALSE)</f>
        <v>#N/A</v>
      </c>
      <c r="Y67" s="10" t="e">
        <f>VLOOKUP(AJ59,'FRC Site Data'!$B$3:$L$42,10,FALSE)</f>
        <v>#N/A</v>
      </c>
      <c r="Z67" s="10" t="e">
        <f>VLOOKUP(AJ59,'FRC Site Data'!$B$3:$L$42,11,FALSE)</f>
        <v>#N/A</v>
      </c>
      <c r="AA67" s="10" t="e">
        <f>VLOOKUP(AJ59,'CIR Team Info'!$C$5:$E$44,4,FALSE)</f>
        <v>#N/A</v>
      </c>
      <c r="AB67" s="161" t="b">
        <f>ISNUMBER(VLOOKUP(AJ59,Match!$T$5:$T$10,1,FALSE))</f>
        <v>0</v>
      </c>
      <c r="AC67" s="161" t="b">
        <f>IF(AB67=TRUE,(VLOOKUP($AJ59,Match!$T$5:$U$10,2,FALSE)))</f>
        <v>0</v>
      </c>
      <c r="AD67" s="8">
        <v>3</v>
      </c>
      <c r="AE67" s="8">
        <v>2</v>
      </c>
      <c r="AF67" s="8">
        <v>2</v>
      </c>
      <c r="AG67" s="8">
        <v>1</v>
      </c>
      <c r="AH67" s="8" t="str">
        <f t="shared" si="15"/>
        <v/>
      </c>
      <c r="BA67" s="24"/>
      <c r="BC67" s="12"/>
    </row>
    <row r="68" spans="1:55" x14ac:dyDescent="0.25">
      <c r="A68" s="29">
        <f t="shared" si="16"/>
        <v>0</v>
      </c>
      <c r="B68" s="29">
        <f t="shared" si="2"/>
        <v>0</v>
      </c>
      <c r="C68" s="29">
        <f t="shared" si="3"/>
        <v>0</v>
      </c>
      <c r="D68" s="29">
        <f t="shared" si="4"/>
        <v>0</v>
      </c>
      <c r="E68" s="29">
        <f t="shared" si="17"/>
        <v>0</v>
      </c>
      <c r="F68" s="29">
        <f t="shared" si="5"/>
        <v>0</v>
      </c>
      <c r="G68" s="29" t="str">
        <f t="shared" si="6"/>
        <v>offensive</v>
      </c>
      <c r="H68" s="16">
        <f t="shared" si="7"/>
        <v>0</v>
      </c>
      <c r="I68" s="16">
        <f t="shared" si="8"/>
        <v>0</v>
      </c>
      <c r="J68" s="16">
        <f t="shared" si="9"/>
        <v>0</v>
      </c>
      <c r="K68" s="16">
        <f t="shared" si="10"/>
        <v>0</v>
      </c>
      <c r="L68" s="67">
        <f t="shared" si="11"/>
        <v>0</v>
      </c>
      <c r="M68" s="4">
        <f t="shared" si="12"/>
        <v>0</v>
      </c>
      <c r="N68" s="4">
        <f t="shared" si="13"/>
        <v>0</v>
      </c>
      <c r="O68" s="4">
        <f t="shared" si="14"/>
        <v>0</v>
      </c>
      <c r="P68" s="4" t="e">
        <f>VLOOKUP(AJ60,'CIR Team Info'!$C$5:$E$44,2,FALSE)</f>
        <v>#N/A</v>
      </c>
      <c r="Q68" s="4" t="e">
        <f>VLOOKUP(AJ60,'CIR Team Info'!$C$5:$E$44,3,FALSE)</f>
        <v>#N/A</v>
      </c>
      <c r="R68" s="10" t="e">
        <f>VLOOKUP(AJ60,'FRC Site Data'!$B$3:$L$42,2,FALSE)</f>
        <v>#N/A</v>
      </c>
      <c r="S68" s="10" t="e">
        <f>VLOOKUP(AJ60,'FRC Site Data'!$B$3:$L$42,3,FALSE)</f>
        <v>#N/A</v>
      </c>
      <c r="T68" s="10" t="e">
        <f>VLOOKUP(AJ60,'FRC Site Data'!$B$3:$L$42,4,FALSE)</f>
        <v>#N/A</v>
      </c>
      <c r="U68" s="10" t="e">
        <f>VLOOKUP(AJ60,'FRC Site Data'!$B$3:$L$42,5,FALSE)</f>
        <v>#N/A</v>
      </c>
      <c r="V68" s="10" t="e">
        <f>VLOOKUP(AJ60,'FRC Site Data'!$B$3:$L$42,6,FALSE)</f>
        <v>#N/A</v>
      </c>
      <c r="W68" s="10" t="e">
        <f>VLOOKUP(AJ60,'FRC Site Data'!$B$3:$L$42,8,FALSE)</f>
        <v>#N/A</v>
      </c>
      <c r="X68" s="10" t="e">
        <f>VLOOKUP(AJ60,'FRC Site Data'!$B$3:$L$42,9,FALSE)</f>
        <v>#N/A</v>
      </c>
      <c r="Y68" s="10" t="e">
        <f>VLOOKUP(AJ60,'FRC Site Data'!$B$3:$L$42,10,FALSE)</f>
        <v>#N/A</v>
      </c>
      <c r="Z68" s="10" t="e">
        <f>VLOOKUP(AJ60,'FRC Site Data'!$B$3:$L$42,11,FALSE)</f>
        <v>#N/A</v>
      </c>
      <c r="AA68" s="10" t="e">
        <f>VLOOKUP(AJ60,'CIR Team Info'!$C$5:$E$44,4,FALSE)</f>
        <v>#N/A</v>
      </c>
      <c r="AB68" s="161" t="b">
        <f>ISNUMBER(VLOOKUP(AJ60,Match!$T$5:$T$10,1,FALSE))</f>
        <v>0</v>
      </c>
      <c r="AC68" s="161" t="b">
        <f>IF(AB68=TRUE,(VLOOKUP($AJ60,Match!$T$5:$U$10,2,FALSE)))</f>
        <v>0</v>
      </c>
      <c r="AD68" s="8">
        <v>3</v>
      </c>
      <c r="AE68" s="8">
        <v>2</v>
      </c>
      <c r="AF68" s="8">
        <v>2</v>
      </c>
      <c r="AG68" s="8">
        <v>1</v>
      </c>
      <c r="AH68" s="8" t="str">
        <f t="shared" si="15"/>
        <v/>
      </c>
      <c r="BA68" s="24"/>
      <c r="BC68" s="12"/>
    </row>
    <row r="69" spans="1:55" x14ac:dyDescent="0.25">
      <c r="A69" s="29">
        <f t="shared" si="16"/>
        <v>0</v>
      </c>
      <c r="B69" s="29">
        <f t="shared" si="2"/>
        <v>0</v>
      </c>
      <c r="C69" s="29">
        <f t="shared" si="3"/>
        <v>0</v>
      </c>
      <c r="D69" s="29">
        <f t="shared" si="4"/>
        <v>0</v>
      </c>
      <c r="E69" s="29">
        <f t="shared" si="17"/>
        <v>0</v>
      </c>
      <c r="F69" s="29">
        <f t="shared" si="5"/>
        <v>0</v>
      </c>
      <c r="G69" s="29" t="str">
        <f t="shared" si="6"/>
        <v>offensive</v>
      </c>
      <c r="H69" s="16">
        <f t="shared" si="7"/>
        <v>0</v>
      </c>
      <c r="I69" s="16">
        <f t="shared" si="8"/>
        <v>0</v>
      </c>
      <c r="J69" s="16">
        <f t="shared" si="9"/>
        <v>0</v>
      </c>
      <c r="K69" s="16">
        <f t="shared" si="10"/>
        <v>0</v>
      </c>
      <c r="L69" s="67">
        <f t="shared" si="11"/>
        <v>0</v>
      </c>
      <c r="M69" s="4">
        <f t="shared" si="12"/>
        <v>0</v>
      </c>
      <c r="N69" s="4">
        <f t="shared" si="13"/>
        <v>0</v>
      </c>
      <c r="O69" s="4">
        <f t="shared" si="14"/>
        <v>0</v>
      </c>
      <c r="P69" s="4" t="e">
        <f>VLOOKUP(AJ61,'CIR Team Info'!$C$5:$E$44,2,FALSE)</f>
        <v>#N/A</v>
      </c>
      <c r="Q69" s="4" t="e">
        <f>VLOOKUP(AJ61,'CIR Team Info'!$C$5:$E$44,3,FALSE)</f>
        <v>#N/A</v>
      </c>
      <c r="R69" s="10" t="e">
        <f>VLOOKUP(AJ61,'FRC Site Data'!$B$3:$L$42,2,FALSE)</f>
        <v>#N/A</v>
      </c>
      <c r="S69" s="10" t="e">
        <f>VLOOKUP(AJ61,'FRC Site Data'!$B$3:$L$42,3,FALSE)</f>
        <v>#N/A</v>
      </c>
      <c r="T69" s="10" t="e">
        <f>VLOOKUP(AJ61,'FRC Site Data'!$B$3:$L$42,4,FALSE)</f>
        <v>#N/A</v>
      </c>
      <c r="U69" s="10" t="e">
        <f>VLOOKUP(AJ61,'FRC Site Data'!$B$3:$L$42,5,FALSE)</f>
        <v>#N/A</v>
      </c>
      <c r="V69" s="10" t="e">
        <f>VLOOKUP(AJ61,'FRC Site Data'!$B$3:$L$42,6,FALSE)</f>
        <v>#N/A</v>
      </c>
      <c r="W69" s="10" t="e">
        <f>VLOOKUP(AJ61,'FRC Site Data'!$B$3:$L$42,8,FALSE)</f>
        <v>#N/A</v>
      </c>
      <c r="X69" s="10" t="e">
        <f>VLOOKUP(AJ61,'FRC Site Data'!$B$3:$L$42,9,FALSE)</f>
        <v>#N/A</v>
      </c>
      <c r="Y69" s="10" t="e">
        <f>VLOOKUP(AJ61,'FRC Site Data'!$B$3:$L$42,10,FALSE)</f>
        <v>#N/A</v>
      </c>
      <c r="Z69" s="10" t="e">
        <f>VLOOKUP(AJ61,'FRC Site Data'!$B$3:$L$42,11,FALSE)</f>
        <v>#N/A</v>
      </c>
      <c r="AA69" s="10" t="e">
        <f>VLOOKUP(AJ61,'CIR Team Info'!$C$5:$E$44,4,FALSE)</f>
        <v>#N/A</v>
      </c>
      <c r="AB69" s="161" t="b">
        <f>ISNUMBER(VLOOKUP(AJ61,Match!$T$5:$T$10,1,FALSE))</f>
        <v>0</v>
      </c>
      <c r="AC69" s="161" t="b">
        <f>IF(AB69=TRUE,(VLOOKUP($AJ61,Match!$T$5:$U$10,2,FALSE)))</f>
        <v>0</v>
      </c>
      <c r="AD69" s="8">
        <v>3</v>
      </c>
      <c r="AE69" s="8">
        <v>2</v>
      </c>
      <c r="AF69" s="8">
        <v>2</v>
      </c>
      <c r="AG69" s="8">
        <v>1</v>
      </c>
      <c r="AH69" s="8" t="str">
        <f t="shared" si="15"/>
        <v/>
      </c>
      <c r="BA69" s="24"/>
      <c r="BC69" s="12"/>
    </row>
    <row r="70" spans="1:55" x14ac:dyDescent="0.25">
      <c r="A70" s="29">
        <f t="shared" si="16"/>
        <v>0</v>
      </c>
      <c r="B70" s="29">
        <f t="shared" si="2"/>
        <v>0</v>
      </c>
      <c r="C70" s="29">
        <f t="shared" si="3"/>
        <v>0</v>
      </c>
      <c r="D70" s="29">
        <f t="shared" si="4"/>
        <v>0</v>
      </c>
      <c r="E70" s="29">
        <f t="shared" si="17"/>
        <v>0</v>
      </c>
      <c r="F70" s="29">
        <f t="shared" si="5"/>
        <v>0</v>
      </c>
      <c r="G70" s="29" t="str">
        <f t="shared" si="6"/>
        <v>offensive</v>
      </c>
      <c r="H70" s="16">
        <f t="shared" si="7"/>
        <v>0</v>
      </c>
      <c r="I70" s="16">
        <f t="shared" si="8"/>
        <v>0</v>
      </c>
      <c r="J70" s="16">
        <f t="shared" si="9"/>
        <v>0</v>
      </c>
      <c r="K70" s="16">
        <f t="shared" si="10"/>
        <v>0</v>
      </c>
      <c r="L70" s="67">
        <f t="shared" si="11"/>
        <v>0</v>
      </c>
      <c r="M70" s="4">
        <f t="shared" si="12"/>
        <v>0</v>
      </c>
      <c r="N70" s="4">
        <f t="shared" si="13"/>
        <v>0</v>
      </c>
      <c r="O70" s="4">
        <f t="shared" si="14"/>
        <v>0</v>
      </c>
      <c r="P70" s="4" t="e">
        <f>VLOOKUP(AJ62,'CIR Team Info'!$C$5:$E$44,2,FALSE)</f>
        <v>#N/A</v>
      </c>
      <c r="Q70" s="4" t="e">
        <f>VLOOKUP(AJ62,'CIR Team Info'!$C$5:$E$44,3,FALSE)</f>
        <v>#N/A</v>
      </c>
      <c r="R70" s="10" t="e">
        <f>VLOOKUP(AJ62,'FRC Site Data'!$B$3:$L$42,2,FALSE)</f>
        <v>#N/A</v>
      </c>
      <c r="S70" s="10" t="e">
        <f>VLOOKUP(AJ62,'FRC Site Data'!$B$3:$L$42,3,FALSE)</f>
        <v>#N/A</v>
      </c>
      <c r="T70" s="10" t="e">
        <f>VLOOKUP(AJ62,'FRC Site Data'!$B$3:$L$42,4,FALSE)</f>
        <v>#N/A</v>
      </c>
      <c r="U70" s="10" t="e">
        <f>VLOOKUP(AJ62,'FRC Site Data'!$B$3:$L$42,5,FALSE)</f>
        <v>#N/A</v>
      </c>
      <c r="V70" s="10" t="e">
        <f>VLOOKUP(AJ62,'FRC Site Data'!$B$3:$L$42,6,FALSE)</f>
        <v>#N/A</v>
      </c>
      <c r="W70" s="10" t="e">
        <f>VLOOKUP(AJ62,'FRC Site Data'!$B$3:$L$42,8,FALSE)</f>
        <v>#N/A</v>
      </c>
      <c r="X70" s="10" t="e">
        <f>VLOOKUP(AJ62,'FRC Site Data'!$B$3:$L$42,9,FALSE)</f>
        <v>#N/A</v>
      </c>
      <c r="Y70" s="10" t="e">
        <f>VLOOKUP(AJ62,'FRC Site Data'!$B$3:$L$42,10,FALSE)</f>
        <v>#N/A</v>
      </c>
      <c r="Z70" s="10" t="e">
        <f>VLOOKUP(AJ62,'FRC Site Data'!$B$3:$L$42,11,FALSE)</f>
        <v>#N/A</v>
      </c>
      <c r="AA70" s="10" t="e">
        <f>VLOOKUP(AJ62,'CIR Team Info'!$C$5:$E$44,4,FALSE)</f>
        <v>#N/A</v>
      </c>
      <c r="AB70" s="161" t="b">
        <f>ISNUMBER(VLOOKUP(AJ62,Match!$T$5:$T$10,1,FALSE))</f>
        <v>0</v>
      </c>
      <c r="AC70" s="161" t="b">
        <f>IF(AB70=TRUE,(VLOOKUP($AJ62,Match!$T$5:$U$10,2,FALSE)))</f>
        <v>0</v>
      </c>
      <c r="AD70" s="8">
        <v>3</v>
      </c>
      <c r="AE70" s="8">
        <v>2</v>
      </c>
      <c r="AF70" s="8">
        <v>2</v>
      </c>
      <c r="AG70" s="8">
        <v>1</v>
      </c>
      <c r="AH70" s="8" t="str">
        <f t="shared" si="15"/>
        <v/>
      </c>
      <c r="BA70" s="24"/>
      <c r="BC70" s="12"/>
    </row>
    <row r="71" spans="1:55" x14ac:dyDescent="0.25">
      <c r="A71" s="29">
        <f t="shared" si="16"/>
        <v>0</v>
      </c>
      <c r="B71" s="29">
        <f t="shared" si="2"/>
        <v>0</v>
      </c>
      <c r="C71" s="29">
        <f t="shared" si="3"/>
        <v>0</v>
      </c>
      <c r="D71" s="29">
        <f t="shared" si="4"/>
        <v>0</v>
      </c>
      <c r="E71" s="29">
        <f t="shared" si="17"/>
        <v>0</v>
      </c>
      <c r="F71" s="29">
        <f t="shared" si="5"/>
        <v>0</v>
      </c>
      <c r="G71" s="29" t="str">
        <f t="shared" si="6"/>
        <v>offensive</v>
      </c>
      <c r="H71" s="16">
        <f t="shared" si="7"/>
        <v>0</v>
      </c>
      <c r="I71" s="16">
        <f t="shared" si="8"/>
        <v>0</v>
      </c>
      <c r="J71" s="16">
        <f t="shared" si="9"/>
        <v>0</v>
      </c>
      <c r="K71" s="16">
        <f t="shared" si="10"/>
        <v>0</v>
      </c>
      <c r="L71" s="67">
        <f t="shared" si="11"/>
        <v>0</v>
      </c>
      <c r="M71" s="4">
        <f t="shared" si="12"/>
        <v>0</v>
      </c>
      <c r="N71" s="4">
        <f t="shared" si="13"/>
        <v>0</v>
      </c>
      <c r="O71" s="4">
        <f t="shared" si="14"/>
        <v>0</v>
      </c>
      <c r="P71" s="4" t="e">
        <f>VLOOKUP(AJ63,'CIR Team Info'!$C$5:$E$44,2,FALSE)</f>
        <v>#N/A</v>
      </c>
      <c r="Q71" s="4" t="e">
        <f>VLOOKUP(AJ63,'CIR Team Info'!$C$5:$E$44,3,FALSE)</f>
        <v>#N/A</v>
      </c>
      <c r="R71" s="10" t="e">
        <f>VLOOKUP(AJ63,'FRC Site Data'!$B$3:$L$42,2,FALSE)</f>
        <v>#N/A</v>
      </c>
      <c r="S71" s="10" t="e">
        <f>VLOOKUP(AJ63,'FRC Site Data'!$B$3:$L$42,3,FALSE)</f>
        <v>#N/A</v>
      </c>
      <c r="T71" s="10" t="e">
        <f>VLOOKUP(AJ63,'FRC Site Data'!$B$3:$L$42,4,FALSE)</f>
        <v>#N/A</v>
      </c>
      <c r="U71" s="10" t="e">
        <f>VLOOKUP(AJ63,'FRC Site Data'!$B$3:$L$42,5,FALSE)</f>
        <v>#N/A</v>
      </c>
      <c r="V71" s="10" t="e">
        <f>VLOOKUP(AJ63,'FRC Site Data'!$B$3:$L$42,6,FALSE)</f>
        <v>#N/A</v>
      </c>
      <c r="W71" s="10" t="e">
        <f>VLOOKUP(AJ63,'FRC Site Data'!$B$3:$L$42,8,FALSE)</f>
        <v>#N/A</v>
      </c>
      <c r="X71" s="10" t="e">
        <f>VLOOKUP(AJ63,'FRC Site Data'!$B$3:$L$42,9,FALSE)</f>
        <v>#N/A</v>
      </c>
      <c r="Y71" s="10" t="e">
        <f>VLOOKUP(AJ63,'FRC Site Data'!$B$3:$L$42,10,FALSE)</f>
        <v>#N/A</v>
      </c>
      <c r="Z71" s="10" t="e">
        <f>VLOOKUP(AJ63,'FRC Site Data'!$B$3:$L$42,11,FALSE)</f>
        <v>#N/A</v>
      </c>
      <c r="AA71" s="10" t="e">
        <f>VLOOKUP(AJ63,'CIR Team Info'!$C$5:$E$44,4,FALSE)</f>
        <v>#N/A</v>
      </c>
      <c r="AB71" s="161" t="b">
        <f>ISNUMBER(VLOOKUP(AJ63,Match!$T$5:$T$10,1,FALSE))</f>
        <v>0</v>
      </c>
      <c r="AC71" s="161" t="b">
        <f>IF(AB71=TRUE,(VLOOKUP($AJ63,Match!$T$5:$U$10,2,FALSE)))</f>
        <v>0</v>
      </c>
      <c r="AD71" s="8">
        <v>3</v>
      </c>
      <c r="AE71" s="8">
        <v>2</v>
      </c>
      <c r="AF71" s="8">
        <v>2</v>
      </c>
      <c r="AG71" s="8">
        <v>1</v>
      </c>
      <c r="AH71" s="8" t="str">
        <f t="shared" si="15"/>
        <v/>
      </c>
      <c r="BA71" s="24"/>
      <c r="BC71" s="12"/>
    </row>
    <row r="72" spans="1:55" x14ac:dyDescent="0.25">
      <c r="A72" s="29">
        <f t="shared" si="16"/>
        <v>0</v>
      </c>
      <c r="B72" s="29">
        <f t="shared" ref="B72:B135" si="18">H72*AD72*AO64</f>
        <v>0</v>
      </c>
      <c r="C72" s="29">
        <f t="shared" ref="C72:C135" si="19">I72*AE72*AV64</f>
        <v>0</v>
      </c>
      <c r="D72" s="29">
        <f t="shared" ref="D72:D135" si="20">J72*AF72*BF64</f>
        <v>0</v>
      </c>
      <c r="E72" s="29">
        <f t="shared" si="17"/>
        <v>0</v>
      </c>
      <c r="F72" s="29">
        <f t="shared" ref="F72:F135" si="21">IF(AN64&gt;0,5)-2*COUNTIF(AQ64,"K")+5*COUNTIF(AS64,"T")+IF(AX64=3,2)+IF(AY64="T",2)</f>
        <v>0</v>
      </c>
      <c r="G72" s="29" t="str">
        <f t="shared" ref="G72:G135" si="22">IF((BB64+BC64)&gt;45,"defensive",IF((BB64+BC64)&gt;15,"both","offensive"))</f>
        <v>offensive</v>
      </c>
      <c r="H72" s="16">
        <f t="shared" ref="H72:H135" si="23">IF((AO64+AP64)=0,0,AO64/(AO64+AP64))</f>
        <v>0</v>
      </c>
      <c r="I72" s="16">
        <f t="shared" ref="I72:I135" si="24">IF((AV64+AW64)=0,0,AV64/(AV64+AW64))</f>
        <v>0</v>
      </c>
      <c r="J72" s="16">
        <f t="shared" ref="J72:J135" si="25">IF(L72=0,0,BG64/L72)</f>
        <v>0</v>
      </c>
      <c r="K72" s="16">
        <f t="shared" ref="K72:K135" si="26">IF((BB64+BC64)=0,0,((AZ64*BB64*0.2)+(BA64*BC64*0.3))/(BB64+BC64))</f>
        <v>0</v>
      </c>
      <c r="L72" s="67">
        <f t="shared" ref="L72:L135" si="27">IF(BF64&gt;BG64,BF64,BG64)</f>
        <v>0</v>
      </c>
      <c r="M72" s="4">
        <f t="shared" ref="M72:M135" si="28">AO64+AV64+BD64+O72</f>
        <v>0</v>
      </c>
      <c r="N72" s="4">
        <f t="shared" ref="N72:N135" si="29">AO64+AV64+BD64</f>
        <v>0</v>
      </c>
      <c r="O72" s="4">
        <f t="shared" ref="O72:O135" si="30">(AZ64*0.2*BB64*30/30)+(BA64*0.3*BC64*12/30)-BI64-BJ64</f>
        <v>0</v>
      </c>
      <c r="P72" s="4" t="e">
        <f>VLOOKUP(AJ64,'CIR Team Info'!$C$5:$E$44,2,FALSE)</f>
        <v>#N/A</v>
      </c>
      <c r="Q72" s="4" t="e">
        <f>VLOOKUP(AJ64,'CIR Team Info'!$C$5:$E$44,3,FALSE)</f>
        <v>#N/A</v>
      </c>
      <c r="R72" s="10" t="e">
        <f>VLOOKUP(AJ64,'FRC Site Data'!$B$3:$L$42,2,FALSE)</f>
        <v>#N/A</v>
      </c>
      <c r="S72" s="10" t="e">
        <f>VLOOKUP(AJ64,'FRC Site Data'!$B$3:$L$42,3,FALSE)</f>
        <v>#N/A</v>
      </c>
      <c r="T72" s="10" t="e">
        <f>VLOOKUP(AJ64,'FRC Site Data'!$B$3:$L$42,4,FALSE)</f>
        <v>#N/A</v>
      </c>
      <c r="U72" s="10" t="e">
        <f>VLOOKUP(AJ64,'FRC Site Data'!$B$3:$L$42,5,FALSE)</f>
        <v>#N/A</v>
      </c>
      <c r="V72" s="10" t="e">
        <f>VLOOKUP(AJ64,'FRC Site Data'!$B$3:$L$42,6,FALSE)</f>
        <v>#N/A</v>
      </c>
      <c r="W72" s="10" t="e">
        <f>VLOOKUP(AJ64,'FRC Site Data'!$B$3:$L$42,8,FALSE)</f>
        <v>#N/A</v>
      </c>
      <c r="X72" s="10" t="e">
        <f>VLOOKUP(AJ64,'FRC Site Data'!$B$3:$L$42,9,FALSE)</f>
        <v>#N/A</v>
      </c>
      <c r="Y72" s="10" t="e">
        <f>VLOOKUP(AJ64,'FRC Site Data'!$B$3:$L$42,10,FALSE)</f>
        <v>#N/A</v>
      </c>
      <c r="Z72" s="10" t="e">
        <f>VLOOKUP(AJ64,'FRC Site Data'!$B$3:$L$42,11,FALSE)</f>
        <v>#N/A</v>
      </c>
      <c r="AA72" s="10" t="e">
        <f>VLOOKUP(AJ64,'CIR Team Info'!$C$5:$E$44,4,FALSE)</f>
        <v>#N/A</v>
      </c>
      <c r="AB72" s="161" t="b">
        <f>ISNUMBER(VLOOKUP(AJ64,Match!$T$5:$T$10,1,FALSE))</f>
        <v>0</v>
      </c>
      <c r="AC72" s="161" t="b">
        <f>IF(AB72=TRUE,(VLOOKUP($AJ64,Match!$T$5:$U$10,2,FALSE)))</f>
        <v>0</v>
      </c>
      <c r="AD72" s="8">
        <v>3</v>
      </c>
      <c r="AE72" s="8">
        <v>2</v>
      </c>
      <c r="AF72" s="8">
        <v>2</v>
      </c>
      <c r="AG72" s="8">
        <v>1</v>
      </c>
      <c r="AH72" s="8" t="str">
        <f t="shared" si="15"/>
        <v/>
      </c>
      <c r="BA72" s="24"/>
      <c r="BC72" s="12"/>
    </row>
    <row r="73" spans="1:55" x14ac:dyDescent="0.25">
      <c r="A73" s="29">
        <f t="shared" si="16"/>
        <v>0</v>
      </c>
      <c r="B73" s="29">
        <f t="shared" si="18"/>
        <v>0</v>
      </c>
      <c r="C73" s="29">
        <f t="shared" si="19"/>
        <v>0</v>
      </c>
      <c r="D73" s="29">
        <f t="shared" si="20"/>
        <v>0</v>
      </c>
      <c r="E73" s="29">
        <f t="shared" si="17"/>
        <v>0</v>
      </c>
      <c r="F73" s="29">
        <f t="shared" si="21"/>
        <v>0</v>
      </c>
      <c r="G73" s="29" t="str">
        <f t="shared" si="22"/>
        <v>offensive</v>
      </c>
      <c r="H73" s="16">
        <f t="shared" si="23"/>
        <v>0</v>
      </c>
      <c r="I73" s="16">
        <f t="shared" si="24"/>
        <v>0</v>
      </c>
      <c r="J73" s="16">
        <f t="shared" si="25"/>
        <v>0</v>
      </c>
      <c r="K73" s="16">
        <f t="shared" si="26"/>
        <v>0</v>
      </c>
      <c r="L73" s="67">
        <f t="shared" si="27"/>
        <v>0</v>
      </c>
      <c r="M73" s="4">
        <f t="shared" si="28"/>
        <v>0</v>
      </c>
      <c r="N73" s="4">
        <f t="shared" si="29"/>
        <v>0</v>
      </c>
      <c r="O73" s="4">
        <f t="shared" si="30"/>
        <v>0</v>
      </c>
      <c r="P73" s="4" t="e">
        <f>VLOOKUP(AJ65,'CIR Team Info'!$C$5:$E$44,2,FALSE)</f>
        <v>#N/A</v>
      </c>
      <c r="Q73" s="4" t="e">
        <f>VLOOKUP(AJ65,'CIR Team Info'!$C$5:$E$44,3,FALSE)</f>
        <v>#N/A</v>
      </c>
      <c r="R73" s="10" t="e">
        <f>VLOOKUP(AJ65,'FRC Site Data'!$B$3:$L$42,2,FALSE)</f>
        <v>#N/A</v>
      </c>
      <c r="S73" s="10" t="e">
        <f>VLOOKUP(AJ65,'FRC Site Data'!$B$3:$L$42,3,FALSE)</f>
        <v>#N/A</v>
      </c>
      <c r="T73" s="10" t="e">
        <f>VLOOKUP(AJ65,'FRC Site Data'!$B$3:$L$42,4,FALSE)</f>
        <v>#N/A</v>
      </c>
      <c r="U73" s="10" t="e">
        <f>VLOOKUP(AJ65,'FRC Site Data'!$B$3:$L$42,5,FALSE)</f>
        <v>#N/A</v>
      </c>
      <c r="V73" s="10" t="e">
        <f>VLOOKUP(AJ65,'FRC Site Data'!$B$3:$L$42,6,FALSE)</f>
        <v>#N/A</v>
      </c>
      <c r="W73" s="10" t="e">
        <f>VLOOKUP(AJ65,'FRC Site Data'!$B$3:$L$42,8,FALSE)</f>
        <v>#N/A</v>
      </c>
      <c r="X73" s="10" t="e">
        <f>VLOOKUP(AJ65,'FRC Site Data'!$B$3:$L$42,9,FALSE)</f>
        <v>#N/A</v>
      </c>
      <c r="Y73" s="10" t="e">
        <f>VLOOKUP(AJ65,'FRC Site Data'!$B$3:$L$42,10,FALSE)</f>
        <v>#N/A</v>
      </c>
      <c r="Z73" s="10" t="e">
        <f>VLOOKUP(AJ65,'FRC Site Data'!$B$3:$L$42,11,FALSE)</f>
        <v>#N/A</v>
      </c>
      <c r="AA73" s="10" t="e">
        <f>VLOOKUP(AJ65,'CIR Team Info'!$C$5:$E$44,4,FALSE)</f>
        <v>#N/A</v>
      </c>
      <c r="AB73" s="161" t="b">
        <f>ISNUMBER(VLOOKUP(AJ65,Match!$T$5:$T$10,1,FALSE))</f>
        <v>0</v>
      </c>
      <c r="AC73" s="161" t="b">
        <f>IF(AB73=TRUE,(VLOOKUP($AJ65,Match!$T$5:$U$10,2,FALSE)))</f>
        <v>0</v>
      </c>
      <c r="AD73" s="8">
        <v>3</v>
      </c>
      <c r="AE73" s="8">
        <v>2</v>
      </c>
      <c r="AF73" s="8">
        <v>2</v>
      </c>
      <c r="AG73" s="8">
        <v>1</v>
      </c>
      <c r="AH73" s="8" t="str">
        <f t="shared" si="15"/>
        <v/>
      </c>
      <c r="BA73" s="24"/>
      <c r="BC73" s="12"/>
    </row>
    <row r="74" spans="1:55" x14ac:dyDescent="0.25">
      <c r="A74" s="29">
        <f t="shared" si="16"/>
        <v>0</v>
      </c>
      <c r="B74" s="29">
        <f t="shared" si="18"/>
        <v>0</v>
      </c>
      <c r="C74" s="29">
        <f t="shared" si="19"/>
        <v>0</v>
      </c>
      <c r="D74" s="29">
        <f t="shared" si="20"/>
        <v>0</v>
      </c>
      <c r="E74" s="29">
        <f t="shared" si="17"/>
        <v>0</v>
      </c>
      <c r="F74" s="29">
        <f t="shared" si="21"/>
        <v>0</v>
      </c>
      <c r="G74" s="29" t="str">
        <f t="shared" si="22"/>
        <v>offensive</v>
      </c>
      <c r="H74" s="16">
        <f t="shared" si="23"/>
        <v>0</v>
      </c>
      <c r="I74" s="16">
        <f t="shared" si="24"/>
        <v>0</v>
      </c>
      <c r="J74" s="16">
        <f t="shared" si="25"/>
        <v>0</v>
      </c>
      <c r="K74" s="16">
        <f t="shared" si="26"/>
        <v>0</v>
      </c>
      <c r="L74" s="67">
        <f t="shared" si="27"/>
        <v>0</v>
      </c>
      <c r="M74" s="4">
        <f t="shared" si="28"/>
        <v>0</v>
      </c>
      <c r="N74" s="4">
        <f t="shared" si="29"/>
        <v>0</v>
      </c>
      <c r="O74" s="4">
        <f t="shared" si="30"/>
        <v>0</v>
      </c>
      <c r="P74" s="4" t="e">
        <f>VLOOKUP(AJ66,'CIR Team Info'!$C$5:$E$44,2,FALSE)</f>
        <v>#N/A</v>
      </c>
      <c r="Q74" s="4" t="e">
        <f>VLOOKUP(AJ66,'CIR Team Info'!$C$5:$E$44,3,FALSE)</f>
        <v>#N/A</v>
      </c>
      <c r="R74" s="10" t="e">
        <f>VLOOKUP(AJ66,'FRC Site Data'!$B$3:$L$42,2,FALSE)</f>
        <v>#N/A</v>
      </c>
      <c r="S74" s="10" t="e">
        <f>VLOOKUP(AJ66,'FRC Site Data'!$B$3:$L$42,3,FALSE)</f>
        <v>#N/A</v>
      </c>
      <c r="T74" s="10" t="e">
        <f>VLOOKUP(AJ66,'FRC Site Data'!$B$3:$L$42,4,FALSE)</f>
        <v>#N/A</v>
      </c>
      <c r="U74" s="10" t="e">
        <f>VLOOKUP(AJ66,'FRC Site Data'!$B$3:$L$42,5,FALSE)</f>
        <v>#N/A</v>
      </c>
      <c r="V74" s="10" t="e">
        <f>VLOOKUP(AJ66,'FRC Site Data'!$B$3:$L$42,6,FALSE)</f>
        <v>#N/A</v>
      </c>
      <c r="W74" s="10" t="e">
        <f>VLOOKUP(AJ66,'FRC Site Data'!$B$3:$L$42,8,FALSE)</f>
        <v>#N/A</v>
      </c>
      <c r="X74" s="10" t="e">
        <f>VLOOKUP(AJ66,'FRC Site Data'!$B$3:$L$42,9,FALSE)</f>
        <v>#N/A</v>
      </c>
      <c r="Y74" s="10" t="e">
        <f>VLOOKUP(AJ66,'FRC Site Data'!$B$3:$L$42,10,FALSE)</f>
        <v>#N/A</v>
      </c>
      <c r="Z74" s="10" t="e">
        <f>VLOOKUP(AJ66,'FRC Site Data'!$B$3:$L$42,11,FALSE)</f>
        <v>#N/A</v>
      </c>
      <c r="AA74" s="10" t="e">
        <f>VLOOKUP(AJ66,'CIR Team Info'!$C$5:$E$44,4,FALSE)</f>
        <v>#N/A</v>
      </c>
      <c r="AB74" s="161" t="b">
        <f>ISNUMBER(VLOOKUP(AJ66,Match!$T$5:$T$10,1,FALSE))</f>
        <v>0</v>
      </c>
      <c r="AC74" s="161" t="b">
        <f>IF(AB74=TRUE,(VLOOKUP($AJ66,Match!$T$5:$U$10,2,FALSE)))</f>
        <v>0</v>
      </c>
      <c r="AD74" s="8">
        <v>3</v>
      </c>
      <c r="AE74" s="8">
        <v>2</v>
      </c>
      <c r="AF74" s="8">
        <v>2</v>
      </c>
      <c r="AG74" s="8">
        <v>1</v>
      </c>
      <c r="AH74" s="8" t="str">
        <f t="shared" si="15"/>
        <v/>
      </c>
      <c r="BA74" s="24"/>
      <c r="BC74" s="12"/>
    </row>
    <row r="75" spans="1:55" x14ac:dyDescent="0.25">
      <c r="A75" s="29">
        <f t="shared" si="16"/>
        <v>0</v>
      </c>
      <c r="B75" s="29">
        <f t="shared" si="18"/>
        <v>0</v>
      </c>
      <c r="C75" s="29">
        <f t="shared" si="19"/>
        <v>0</v>
      </c>
      <c r="D75" s="29">
        <f t="shared" si="20"/>
        <v>0</v>
      </c>
      <c r="E75" s="29">
        <f t="shared" si="17"/>
        <v>0</v>
      </c>
      <c r="F75" s="29">
        <f t="shared" si="21"/>
        <v>0</v>
      </c>
      <c r="G75" s="29" t="str">
        <f t="shared" si="22"/>
        <v>offensive</v>
      </c>
      <c r="H75" s="16">
        <f t="shared" si="23"/>
        <v>0</v>
      </c>
      <c r="I75" s="16">
        <f t="shared" si="24"/>
        <v>0</v>
      </c>
      <c r="J75" s="16">
        <f t="shared" si="25"/>
        <v>0</v>
      </c>
      <c r="K75" s="16">
        <f t="shared" si="26"/>
        <v>0</v>
      </c>
      <c r="L75" s="67">
        <f t="shared" si="27"/>
        <v>0</v>
      </c>
      <c r="M75" s="4">
        <f t="shared" si="28"/>
        <v>0</v>
      </c>
      <c r="N75" s="4">
        <f t="shared" si="29"/>
        <v>0</v>
      </c>
      <c r="O75" s="4">
        <f t="shared" si="30"/>
        <v>0</v>
      </c>
      <c r="P75" s="4" t="e">
        <f>VLOOKUP(AJ67,'CIR Team Info'!$C$5:$E$44,2,FALSE)</f>
        <v>#N/A</v>
      </c>
      <c r="Q75" s="4" t="e">
        <f>VLOOKUP(AJ67,'CIR Team Info'!$C$5:$E$44,3,FALSE)</f>
        <v>#N/A</v>
      </c>
      <c r="R75" s="10" t="e">
        <f>VLOOKUP(AJ67,'FRC Site Data'!$B$3:$L$42,2,FALSE)</f>
        <v>#N/A</v>
      </c>
      <c r="S75" s="10" t="e">
        <f>VLOOKUP(AJ67,'FRC Site Data'!$B$3:$L$42,3,FALSE)</f>
        <v>#N/A</v>
      </c>
      <c r="T75" s="10" t="e">
        <f>VLOOKUP(AJ67,'FRC Site Data'!$B$3:$L$42,4,FALSE)</f>
        <v>#N/A</v>
      </c>
      <c r="U75" s="10" t="e">
        <f>VLOOKUP(AJ67,'FRC Site Data'!$B$3:$L$42,5,FALSE)</f>
        <v>#N/A</v>
      </c>
      <c r="V75" s="10" t="e">
        <f>VLOOKUP(AJ67,'FRC Site Data'!$B$3:$L$42,6,FALSE)</f>
        <v>#N/A</v>
      </c>
      <c r="W75" s="10" t="e">
        <f>VLOOKUP(AJ67,'FRC Site Data'!$B$3:$L$42,8,FALSE)</f>
        <v>#N/A</v>
      </c>
      <c r="X75" s="10" t="e">
        <f>VLOOKUP(AJ67,'FRC Site Data'!$B$3:$L$42,9,FALSE)</f>
        <v>#N/A</v>
      </c>
      <c r="Y75" s="10" t="e">
        <f>VLOOKUP(AJ67,'FRC Site Data'!$B$3:$L$42,10,FALSE)</f>
        <v>#N/A</v>
      </c>
      <c r="Z75" s="10" t="e">
        <f>VLOOKUP(AJ67,'FRC Site Data'!$B$3:$L$42,11,FALSE)</f>
        <v>#N/A</v>
      </c>
      <c r="AA75" s="10" t="e">
        <f>VLOOKUP(AJ67,'CIR Team Info'!$C$5:$E$44,4,FALSE)</f>
        <v>#N/A</v>
      </c>
      <c r="AB75" s="161" t="b">
        <f>ISNUMBER(VLOOKUP(AJ67,Match!$T$5:$T$10,1,FALSE))</f>
        <v>0</v>
      </c>
      <c r="AC75" s="161" t="b">
        <f>IF(AB75=TRUE,(VLOOKUP($AJ67,Match!$T$5:$U$10,2,FALSE)))</f>
        <v>0</v>
      </c>
      <c r="AD75" s="8">
        <v>3</v>
      </c>
      <c r="AE75" s="8">
        <v>2</v>
      </c>
      <c r="AF75" s="8">
        <v>2</v>
      </c>
      <c r="AG75" s="8">
        <v>1</v>
      </c>
      <c r="AH75" s="8" t="str">
        <f t="shared" ref="AH75:AH85" si="31">IF(AL67="Other","x","")</f>
        <v/>
      </c>
      <c r="BA75" s="24"/>
    </row>
    <row r="76" spans="1:55" x14ac:dyDescent="0.25">
      <c r="A76" s="29">
        <f t="shared" si="16"/>
        <v>0</v>
      </c>
      <c r="B76" s="29">
        <f t="shared" si="18"/>
        <v>0</v>
      </c>
      <c r="C76" s="29">
        <f t="shared" si="19"/>
        <v>0</v>
      </c>
      <c r="D76" s="29">
        <f t="shared" si="20"/>
        <v>0</v>
      </c>
      <c r="E76" s="29">
        <f t="shared" si="17"/>
        <v>0</v>
      </c>
      <c r="F76" s="29">
        <f t="shared" si="21"/>
        <v>0</v>
      </c>
      <c r="G76" s="29" t="str">
        <f t="shared" si="22"/>
        <v>offensive</v>
      </c>
      <c r="H76" s="16">
        <f t="shared" si="23"/>
        <v>0</v>
      </c>
      <c r="I76" s="16">
        <f t="shared" si="24"/>
        <v>0</v>
      </c>
      <c r="J76" s="16">
        <f t="shared" si="25"/>
        <v>0</v>
      </c>
      <c r="K76" s="16">
        <f t="shared" si="26"/>
        <v>0</v>
      </c>
      <c r="L76" s="67">
        <f t="shared" si="27"/>
        <v>0</v>
      </c>
      <c r="M76" s="4">
        <f t="shared" si="28"/>
        <v>0</v>
      </c>
      <c r="N76" s="4">
        <f t="shared" si="29"/>
        <v>0</v>
      </c>
      <c r="O76" s="4">
        <f t="shared" si="30"/>
        <v>0</v>
      </c>
      <c r="P76" s="4" t="e">
        <f>VLOOKUP(AJ68,'CIR Team Info'!$C$5:$E$44,2,FALSE)</f>
        <v>#N/A</v>
      </c>
      <c r="Q76" s="4" t="e">
        <f>VLOOKUP(AJ68,'CIR Team Info'!$C$5:$E$44,3,FALSE)</f>
        <v>#N/A</v>
      </c>
      <c r="R76" s="10" t="e">
        <f>VLOOKUP(AJ68,'FRC Site Data'!$B$3:$L$42,2,FALSE)</f>
        <v>#N/A</v>
      </c>
      <c r="S76" s="10" t="e">
        <f>VLOOKUP(AJ68,'FRC Site Data'!$B$3:$L$42,3,FALSE)</f>
        <v>#N/A</v>
      </c>
      <c r="T76" s="10" t="e">
        <f>VLOOKUP(AJ68,'FRC Site Data'!$B$3:$L$42,4,FALSE)</f>
        <v>#N/A</v>
      </c>
      <c r="U76" s="10" t="e">
        <f>VLOOKUP(AJ68,'FRC Site Data'!$B$3:$L$42,5,FALSE)</f>
        <v>#N/A</v>
      </c>
      <c r="V76" s="10" t="e">
        <f>VLOOKUP(AJ68,'FRC Site Data'!$B$3:$L$42,6,FALSE)</f>
        <v>#N/A</v>
      </c>
      <c r="W76" s="10" t="e">
        <f>VLOOKUP(AJ68,'FRC Site Data'!$B$3:$L$42,8,FALSE)</f>
        <v>#N/A</v>
      </c>
      <c r="X76" s="10" t="e">
        <f>VLOOKUP(AJ68,'FRC Site Data'!$B$3:$L$42,9,FALSE)</f>
        <v>#N/A</v>
      </c>
      <c r="Y76" s="10" t="e">
        <f>VLOOKUP(AJ68,'FRC Site Data'!$B$3:$L$42,10,FALSE)</f>
        <v>#N/A</v>
      </c>
      <c r="Z76" s="10" t="e">
        <f>VLOOKUP(AJ68,'FRC Site Data'!$B$3:$L$42,11,FALSE)</f>
        <v>#N/A</v>
      </c>
      <c r="AA76" s="10" t="e">
        <f>VLOOKUP(AJ68,'CIR Team Info'!$C$5:$E$44,4,FALSE)</f>
        <v>#N/A</v>
      </c>
      <c r="AB76" s="161" t="b">
        <f>ISNUMBER(VLOOKUP(AJ68,Match!$T$5:$T$10,1,FALSE))</f>
        <v>0</v>
      </c>
      <c r="AC76" s="161" t="b">
        <f>IF(AB76=TRUE,(VLOOKUP($AJ68,Match!$T$5:$U$10,2,FALSE)))</f>
        <v>0</v>
      </c>
      <c r="AD76" s="8">
        <v>3</v>
      </c>
      <c r="AE76" s="8">
        <v>2</v>
      </c>
      <c r="AF76" s="8">
        <v>2</v>
      </c>
      <c r="AG76" s="8">
        <v>1</v>
      </c>
      <c r="AH76" s="8" t="str">
        <f t="shared" si="31"/>
        <v/>
      </c>
      <c r="BA76" s="24"/>
    </row>
    <row r="77" spans="1:55" x14ac:dyDescent="0.25">
      <c r="A77" s="29">
        <f t="shared" si="16"/>
        <v>0</v>
      </c>
      <c r="B77" s="29">
        <f t="shared" si="18"/>
        <v>0</v>
      </c>
      <c r="C77" s="29">
        <f t="shared" si="19"/>
        <v>0</v>
      </c>
      <c r="D77" s="29">
        <f t="shared" si="20"/>
        <v>0</v>
      </c>
      <c r="E77" s="29">
        <f t="shared" si="17"/>
        <v>0</v>
      </c>
      <c r="F77" s="29">
        <f t="shared" si="21"/>
        <v>0</v>
      </c>
      <c r="G77" s="29" t="str">
        <f t="shared" si="22"/>
        <v>offensive</v>
      </c>
      <c r="H77" s="16">
        <f t="shared" si="23"/>
        <v>0</v>
      </c>
      <c r="I77" s="16">
        <f t="shared" si="24"/>
        <v>0</v>
      </c>
      <c r="J77" s="16">
        <f t="shared" si="25"/>
        <v>0</v>
      </c>
      <c r="K77" s="16">
        <f t="shared" si="26"/>
        <v>0</v>
      </c>
      <c r="L77" s="67">
        <f t="shared" si="27"/>
        <v>0</v>
      </c>
      <c r="M77" s="4">
        <f t="shared" si="28"/>
        <v>0</v>
      </c>
      <c r="N77" s="4">
        <f t="shared" si="29"/>
        <v>0</v>
      </c>
      <c r="O77" s="4">
        <f t="shared" si="30"/>
        <v>0</v>
      </c>
      <c r="P77" s="4" t="e">
        <f>VLOOKUP(AJ69,'CIR Team Info'!$C$5:$E$44,2,FALSE)</f>
        <v>#N/A</v>
      </c>
      <c r="Q77" s="4" t="e">
        <f>VLOOKUP(AJ69,'CIR Team Info'!$C$5:$E$44,3,FALSE)</f>
        <v>#N/A</v>
      </c>
      <c r="R77" s="10" t="e">
        <f>VLOOKUP(AJ69,'FRC Site Data'!$B$3:$L$42,2,FALSE)</f>
        <v>#N/A</v>
      </c>
      <c r="S77" s="10" t="e">
        <f>VLOOKUP(AJ69,'FRC Site Data'!$B$3:$L$42,3,FALSE)</f>
        <v>#N/A</v>
      </c>
      <c r="T77" s="10" t="e">
        <f>VLOOKUP(AJ69,'FRC Site Data'!$B$3:$L$42,4,FALSE)</f>
        <v>#N/A</v>
      </c>
      <c r="U77" s="10" t="e">
        <f>VLOOKUP(AJ69,'FRC Site Data'!$B$3:$L$42,5,FALSE)</f>
        <v>#N/A</v>
      </c>
      <c r="V77" s="10" t="e">
        <f>VLOOKUP(AJ69,'FRC Site Data'!$B$3:$L$42,6,FALSE)</f>
        <v>#N/A</v>
      </c>
      <c r="W77" s="10" t="e">
        <f>VLOOKUP(AJ69,'FRC Site Data'!$B$3:$L$42,8,FALSE)</f>
        <v>#N/A</v>
      </c>
      <c r="X77" s="10" t="e">
        <f>VLOOKUP(AJ69,'FRC Site Data'!$B$3:$L$42,9,FALSE)</f>
        <v>#N/A</v>
      </c>
      <c r="Y77" s="10" t="e">
        <f>VLOOKUP(AJ69,'FRC Site Data'!$B$3:$L$42,10,FALSE)</f>
        <v>#N/A</v>
      </c>
      <c r="Z77" s="10" t="e">
        <f>VLOOKUP(AJ69,'FRC Site Data'!$B$3:$L$42,11,FALSE)</f>
        <v>#N/A</v>
      </c>
      <c r="AA77" s="10" t="e">
        <f>VLOOKUP(AJ69,'CIR Team Info'!$C$5:$E$44,4,FALSE)</f>
        <v>#N/A</v>
      </c>
      <c r="AB77" s="161" t="b">
        <f>ISNUMBER(VLOOKUP(AJ69,Match!$T$5:$T$10,1,FALSE))</f>
        <v>0</v>
      </c>
      <c r="AC77" s="161" t="b">
        <f>IF(AB77=TRUE,(VLOOKUP($AJ69,Match!$T$5:$U$10,2,FALSE)))</f>
        <v>0</v>
      </c>
      <c r="AD77" s="8">
        <v>3</v>
      </c>
      <c r="AE77" s="8">
        <v>2</v>
      </c>
      <c r="AF77" s="8">
        <v>2</v>
      </c>
      <c r="AG77" s="8">
        <v>1</v>
      </c>
      <c r="AH77" s="8" t="str">
        <f t="shared" si="31"/>
        <v/>
      </c>
      <c r="BA77" s="24"/>
    </row>
    <row r="78" spans="1:55" x14ac:dyDescent="0.25">
      <c r="A78" s="29">
        <f t="shared" si="16"/>
        <v>0</v>
      </c>
      <c r="B78" s="29">
        <f t="shared" si="18"/>
        <v>0</v>
      </c>
      <c r="C78" s="29">
        <f t="shared" si="19"/>
        <v>0</v>
      </c>
      <c r="D78" s="29">
        <f t="shared" si="20"/>
        <v>0</v>
      </c>
      <c r="E78" s="29">
        <f t="shared" si="17"/>
        <v>0</v>
      </c>
      <c r="F78" s="29">
        <f t="shared" si="21"/>
        <v>0</v>
      </c>
      <c r="G78" s="29" t="str">
        <f t="shared" si="22"/>
        <v>offensive</v>
      </c>
      <c r="H78" s="16">
        <f t="shared" si="23"/>
        <v>0</v>
      </c>
      <c r="I78" s="16">
        <f t="shared" si="24"/>
        <v>0</v>
      </c>
      <c r="J78" s="16">
        <f t="shared" si="25"/>
        <v>0</v>
      </c>
      <c r="K78" s="16">
        <f t="shared" si="26"/>
        <v>0</v>
      </c>
      <c r="L78" s="67">
        <f t="shared" si="27"/>
        <v>0</v>
      </c>
      <c r="M78" s="4">
        <f t="shared" si="28"/>
        <v>0</v>
      </c>
      <c r="N78" s="4">
        <f t="shared" si="29"/>
        <v>0</v>
      </c>
      <c r="O78" s="4">
        <f t="shared" si="30"/>
        <v>0</v>
      </c>
      <c r="P78" s="4" t="e">
        <f>VLOOKUP(AJ70,'CIR Team Info'!$C$5:$E$44,2,FALSE)</f>
        <v>#N/A</v>
      </c>
      <c r="Q78" s="4" t="e">
        <f>VLOOKUP(AJ70,'CIR Team Info'!$C$5:$E$44,3,FALSE)</f>
        <v>#N/A</v>
      </c>
      <c r="R78" s="10" t="e">
        <f>VLOOKUP(AJ70,'FRC Site Data'!$B$3:$L$42,2,FALSE)</f>
        <v>#N/A</v>
      </c>
      <c r="S78" s="10" t="e">
        <f>VLOOKUP(AJ70,'FRC Site Data'!$B$3:$L$42,3,FALSE)</f>
        <v>#N/A</v>
      </c>
      <c r="T78" s="10" t="e">
        <f>VLOOKUP(AJ70,'FRC Site Data'!$B$3:$L$42,4,FALSE)</f>
        <v>#N/A</v>
      </c>
      <c r="U78" s="10" t="e">
        <f>VLOOKUP(AJ70,'FRC Site Data'!$B$3:$L$42,5,FALSE)</f>
        <v>#N/A</v>
      </c>
      <c r="V78" s="10" t="e">
        <f>VLOOKUP(AJ70,'FRC Site Data'!$B$3:$L$42,6,FALSE)</f>
        <v>#N/A</v>
      </c>
      <c r="W78" s="10" t="e">
        <f>VLOOKUP(AJ70,'FRC Site Data'!$B$3:$L$42,8,FALSE)</f>
        <v>#N/A</v>
      </c>
      <c r="X78" s="10" t="e">
        <f>VLOOKUP(AJ70,'FRC Site Data'!$B$3:$L$42,9,FALSE)</f>
        <v>#N/A</v>
      </c>
      <c r="Y78" s="10" t="e">
        <f>VLOOKUP(AJ70,'FRC Site Data'!$B$3:$L$42,10,FALSE)</f>
        <v>#N/A</v>
      </c>
      <c r="Z78" s="10" t="e">
        <f>VLOOKUP(AJ70,'FRC Site Data'!$B$3:$L$42,11,FALSE)</f>
        <v>#N/A</v>
      </c>
      <c r="AA78" s="10" t="e">
        <f>VLOOKUP(AJ70,'CIR Team Info'!$C$5:$E$44,4,FALSE)</f>
        <v>#N/A</v>
      </c>
      <c r="AB78" s="161" t="b">
        <f>ISNUMBER(VLOOKUP(AJ70,Match!$T$5:$T$10,1,FALSE))</f>
        <v>0</v>
      </c>
      <c r="AC78" s="161" t="b">
        <f>IF(AB78=TRUE,(VLOOKUP($AJ70,Match!$T$5:$U$10,2,FALSE)))</f>
        <v>0</v>
      </c>
      <c r="AD78" s="8">
        <v>3</v>
      </c>
      <c r="AE78" s="8">
        <v>2</v>
      </c>
      <c r="AF78" s="8">
        <v>2</v>
      </c>
      <c r="AG78" s="8">
        <v>1</v>
      </c>
      <c r="AH78" s="8" t="str">
        <f t="shared" si="31"/>
        <v/>
      </c>
      <c r="BA78" s="24"/>
    </row>
    <row r="79" spans="1:55" x14ac:dyDescent="0.25">
      <c r="A79" s="29">
        <f t="shared" si="16"/>
        <v>0</v>
      </c>
      <c r="B79" s="29">
        <f t="shared" si="18"/>
        <v>0</v>
      </c>
      <c r="C79" s="29">
        <f t="shared" si="19"/>
        <v>0</v>
      </c>
      <c r="D79" s="29">
        <f t="shared" si="20"/>
        <v>0</v>
      </c>
      <c r="E79" s="29">
        <f t="shared" si="17"/>
        <v>0</v>
      </c>
      <c r="F79" s="29">
        <f t="shared" si="21"/>
        <v>0</v>
      </c>
      <c r="G79" s="29" t="str">
        <f t="shared" si="22"/>
        <v>offensive</v>
      </c>
      <c r="H79" s="16">
        <f t="shared" si="23"/>
        <v>0</v>
      </c>
      <c r="I79" s="16">
        <f t="shared" si="24"/>
        <v>0</v>
      </c>
      <c r="J79" s="16">
        <f t="shared" si="25"/>
        <v>0</v>
      </c>
      <c r="K79" s="16">
        <f t="shared" si="26"/>
        <v>0</v>
      </c>
      <c r="L79" s="67">
        <f t="shared" si="27"/>
        <v>0</v>
      </c>
      <c r="M79" s="4">
        <f t="shared" si="28"/>
        <v>0</v>
      </c>
      <c r="N79" s="4">
        <f t="shared" si="29"/>
        <v>0</v>
      </c>
      <c r="O79" s="4">
        <f t="shared" si="30"/>
        <v>0</v>
      </c>
      <c r="P79" s="4" t="e">
        <f>VLOOKUP(AJ71,'CIR Team Info'!$C$5:$E$44,2,FALSE)</f>
        <v>#N/A</v>
      </c>
      <c r="Q79" s="4" t="e">
        <f>VLOOKUP(AJ71,'CIR Team Info'!$C$5:$E$44,3,FALSE)</f>
        <v>#N/A</v>
      </c>
      <c r="R79" s="10" t="e">
        <f>VLOOKUP(AJ71,'FRC Site Data'!$B$3:$L$42,2,FALSE)</f>
        <v>#N/A</v>
      </c>
      <c r="S79" s="10" t="e">
        <f>VLOOKUP(AJ71,'FRC Site Data'!$B$3:$L$42,3,FALSE)</f>
        <v>#N/A</v>
      </c>
      <c r="T79" s="10" t="e">
        <f>VLOOKUP(AJ71,'FRC Site Data'!$B$3:$L$42,4,FALSE)</f>
        <v>#N/A</v>
      </c>
      <c r="U79" s="10" t="e">
        <f>VLOOKUP(AJ71,'FRC Site Data'!$B$3:$L$42,5,FALSE)</f>
        <v>#N/A</v>
      </c>
      <c r="V79" s="10" t="e">
        <f>VLOOKUP(AJ71,'FRC Site Data'!$B$3:$L$42,6,FALSE)</f>
        <v>#N/A</v>
      </c>
      <c r="W79" s="10" t="e">
        <f>VLOOKUP(AJ71,'FRC Site Data'!$B$3:$L$42,8,FALSE)</f>
        <v>#N/A</v>
      </c>
      <c r="X79" s="10" t="e">
        <f>VLOOKUP(AJ71,'FRC Site Data'!$B$3:$L$42,9,FALSE)</f>
        <v>#N/A</v>
      </c>
      <c r="Y79" s="10" t="e">
        <f>VLOOKUP(AJ71,'FRC Site Data'!$B$3:$L$42,10,FALSE)</f>
        <v>#N/A</v>
      </c>
      <c r="Z79" s="10" t="e">
        <f>VLOOKUP(AJ71,'FRC Site Data'!$B$3:$L$42,11,FALSE)</f>
        <v>#N/A</v>
      </c>
      <c r="AA79" s="10" t="e">
        <f>VLOOKUP(AJ71,'CIR Team Info'!$C$5:$E$44,4,FALSE)</f>
        <v>#N/A</v>
      </c>
      <c r="AB79" s="161" t="b">
        <f>ISNUMBER(VLOOKUP(AJ71,Match!$T$5:$T$10,1,FALSE))</f>
        <v>0</v>
      </c>
      <c r="AC79" s="161" t="b">
        <f>IF(AB79=TRUE,(VLOOKUP($AJ71,Match!$T$5:$U$10,2,FALSE)))</f>
        <v>0</v>
      </c>
      <c r="AD79" s="8">
        <v>3</v>
      </c>
      <c r="AE79" s="8">
        <v>2</v>
      </c>
      <c r="AF79" s="8">
        <v>2</v>
      </c>
      <c r="AG79" s="8">
        <v>1</v>
      </c>
      <c r="AH79" s="8" t="str">
        <f t="shared" si="31"/>
        <v/>
      </c>
      <c r="BA79" s="24"/>
    </row>
    <row r="80" spans="1:55" x14ac:dyDescent="0.25">
      <c r="A80" s="29">
        <f t="shared" si="16"/>
        <v>0</v>
      </c>
      <c r="B80" s="29">
        <f t="shared" si="18"/>
        <v>0</v>
      </c>
      <c r="C80" s="29">
        <f t="shared" si="19"/>
        <v>0</v>
      </c>
      <c r="D80" s="29">
        <f t="shared" si="20"/>
        <v>0</v>
      </c>
      <c r="E80" s="29">
        <f t="shared" si="17"/>
        <v>0</v>
      </c>
      <c r="F80" s="29">
        <f t="shared" si="21"/>
        <v>0</v>
      </c>
      <c r="G80" s="29" t="str">
        <f t="shared" si="22"/>
        <v>offensive</v>
      </c>
      <c r="H80" s="16">
        <f t="shared" si="23"/>
        <v>0</v>
      </c>
      <c r="I80" s="16">
        <f t="shared" si="24"/>
        <v>0</v>
      </c>
      <c r="J80" s="16">
        <f t="shared" si="25"/>
        <v>0</v>
      </c>
      <c r="K80" s="16">
        <f t="shared" si="26"/>
        <v>0</v>
      </c>
      <c r="L80" s="67">
        <f t="shared" si="27"/>
        <v>0</v>
      </c>
      <c r="M80" s="4">
        <f t="shared" si="28"/>
        <v>0</v>
      </c>
      <c r="N80" s="4">
        <f t="shared" si="29"/>
        <v>0</v>
      </c>
      <c r="O80" s="4">
        <f t="shared" si="30"/>
        <v>0</v>
      </c>
      <c r="P80" s="4" t="e">
        <f>VLOOKUP(AJ72,'CIR Team Info'!$C$5:$E$44,2,FALSE)</f>
        <v>#N/A</v>
      </c>
      <c r="Q80" s="4" t="e">
        <f>VLOOKUP(AJ72,'CIR Team Info'!$C$5:$E$44,3,FALSE)</f>
        <v>#N/A</v>
      </c>
      <c r="R80" s="10" t="e">
        <f>VLOOKUP(AJ72,'FRC Site Data'!$B$3:$L$42,2,FALSE)</f>
        <v>#N/A</v>
      </c>
      <c r="S80" s="10" t="e">
        <f>VLOOKUP(AJ72,'FRC Site Data'!$B$3:$L$42,3,FALSE)</f>
        <v>#N/A</v>
      </c>
      <c r="T80" s="10" t="e">
        <f>VLOOKUP(AJ72,'FRC Site Data'!$B$3:$L$42,4,FALSE)</f>
        <v>#N/A</v>
      </c>
      <c r="U80" s="10" t="e">
        <f>VLOOKUP(AJ72,'FRC Site Data'!$B$3:$L$42,5,FALSE)</f>
        <v>#N/A</v>
      </c>
      <c r="V80" s="10" t="e">
        <f>VLOOKUP(AJ72,'FRC Site Data'!$B$3:$L$42,6,FALSE)</f>
        <v>#N/A</v>
      </c>
      <c r="W80" s="10" t="e">
        <f>VLOOKUP(AJ72,'FRC Site Data'!$B$3:$L$42,8,FALSE)</f>
        <v>#N/A</v>
      </c>
      <c r="X80" s="10" t="e">
        <f>VLOOKUP(AJ72,'FRC Site Data'!$B$3:$L$42,9,FALSE)</f>
        <v>#N/A</v>
      </c>
      <c r="Y80" s="10" t="e">
        <f>VLOOKUP(AJ72,'FRC Site Data'!$B$3:$L$42,10,FALSE)</f>
        <v>#N/A</v>
      </c>
      <c r="Z80" s="10" t="e">
        <f>VLOOKUP(AJ72,'FRC Site Data'!$B$3:$L$42,11,FALSE)</f>
        <v>#N/A</v>
      </c>
      <c r="AA80" s="10" t="e">
        <f>VLOOKUP(AJ72,'CIR Team Info'!$C$5:$E$44,4,FALSE)</f>
        <v>#N/A</v>
      </c>
      <c r="AB80" s="161" t="b">
        <f>ISNUMBER(VLOOKUP(AJ72,Match!$T$5:$T$10,1,FALSE))</f>
        <v>0</v>
      </c>
      <c r="AC80" s="161" t="b">
        <f>IF(AB80=TRUE,(VLOOKUP($AJ72,Match!$T$5:$U$10,2,FALSE)))</f>
        <v>0</v>
      </c>
      <c r="AD80" s="8">
        <v>3</v>
      </c>
      <c r="AE80" s="8">
        <v>2</v>
      </c>
      <c r="AF80" s="8">
        <v>2</v>
      </c>
      <c r="AG80" s="8">
        <v>1</v>
      </c>
      <c r="AH80" s="8" t="str">
        <f t="shared" si="31"/>
        <v/>
      </c>
      <c r="BA80" s="24"/>
    </row>
    <row r="81" spans="1:55" x14ac:dyDescent="0.25">
      <c r="A81" s="29">
        <f t="shared" si="16"/>
        <v>0</v>
      </c>
      <c r="B81" s="29">
        <f t="shared" si="18"/>
        <v>0</v>
      </c>
      <c r="C81" s="29">
        <f t="shared" si="19"/>
        <v>0</v>
      </c>
      <c r="D81" s="29">
        <f t="shared" si="20"/>
        <v>0</v>
      </c>
      <c r="E81" s="29">
        <f t="shared" si="17"/>
        <v>0</v>
      </c>
      <c r="F81" s="29">
        <f t="shared" si="21"/>
        <v>0</v>
      </c>
      <c r="G81" s="29" t="str">
        <f t="shared" si="22"/>
        <v>offensive</v>
      </c>
      <c r="H81" s="16">
        <f t="shared" si="23"/>
        <v>0</v>
      </c>
      <c r="I81" s="16">
        <f t="shared" si="24"/>
        <v>0</v>
      </c>
      <c r="J81" s="16">
        <f t="shared" si="25"/>
        <v>0</v>
      </c>
      <c r="K81" s="16">
        <f t="shared" si="26"/>
        <v>0</v>
      </c>
      <c r="L81" s="67">
        <f t="shared" si="27"/>
        <v>0</v>
      </c>
      <c r="M81" s="4">
        <f t="shared" si="28"/>
        <v>0</v>
      </c>
      <c r="N81" s="4">
        <f t="shared" si="29"/>
        <v>0</v>
      </c>
      <c r="O81" s="4">
        <f t="shared" si="30"/>
        <v>0</v>
      </c>
      <c r="P81" s="4" t="e">
        <f>VLOOKUP(AJ73,'CIR Team Info'!$C$5:$E$44,2,FALSE)</f>
        <v>#N/A</v>
      </c>
      <c r="Q81" s="4" t="e">
        <f>VLOOKUP(AJ73,'CIR Team Info'!$C$5:$E$44,3,FALSE)</f>
        <v>#N/A</v>
      </c>
      <c r="R81" s="10" t="e">
        <f>VLOOKUP(AJ73,'FRC Site Data'!$B$3:$L$42,2,FALSE)</f>
        <v>#N/A</v>
      </c>
      <c r="S81" s="10" t="e">
        <f>VLOOKUP(AJ73,'FRC Site Data'!$B$3:$L$42,3,FALSE)</f>
        <v>#N/A</v>
      </c>
      <c r="T81" s="10" t="e">
        <f>VLOOKUP(AJ73,'FRC Site Data'!$B$3:$L$42,4,FALSE)</f>
        <v>#N/A</v>
      </c>
      <c r="U81" s="10" t="e">
        <f>VLOOKUP(AJ73,'FRC Site Data'!$B$3:$L$42,5,FALSE)</f>
        <v>#N/A</v>
      </c>
      <c r="V81" s="10" t="e">
        <f>VLOOKUP(AJ73,'FRC Site Data'!$B$3:$L$42,6,FALSE)</f>
        <v>#N/A</v>
      </c>
      <c r="W81" s="10" t="e">
        <f>VLOOKUP(AJ73,'FRC Site Data'!$B$3:$L$42,8,FALSE)</f>
        <v>#N/A</v>
      </c>
      <c r="X81" s="10" t="e">
        <f>VLOOKUP(AJ73,'FRC Site Data'!$B$3:$L$42,9,FALSE)</f>
        <v>#N/A</v>
      </c>
      <c r="Y81" s="10" t="e">
        <f>VLOOKUP(AJ73,'FRC Site Data'!$B$3:$L$42,10,FALSE)</f>
        <v>#N/A</v>
      </c>
      <c r="Z81" s="10" t="e">
        <f>VLOOKUP(AJ73,'FRC Site Data'!$B$3:$L$42,11,FALSE)</f>
        <v>#N/A</v>
      </c>
      <c r="AA81" s="10" t="e">
        <f>VLOOKUP(AJ73,'CIR Team Info'!$C$5:$E$44,4,FALSE)</f>
        <v>#N/A</v>
      </c>
      <c r="AB81" s="161" t="b">
        <f>ISNUMBER(VLOOKUP(AJ73,Match!$T$5:$T$10,1,FALSE))</f>
        <v>0</v>
      </c>
      <c r="AC81" s="161" t="b">
        <f>IF(AB81=TRUE,(VLOOKUP($AJ73,Match!$T$5:$U$10,2,FALSE)))</f>
        <v>0</v>
      </c>
      <c r="AD81" s="8">
        <v>3</v>
      </c>
      <c r="AE81" s="8">
        <v>2</v>
      </c>
      <c r="AF81" s="8">
        <v>2</v>
      </c>
      <c r="AG81" s="8">
        <v>1</v>
      </c>
      <c r="AH81" s="8" t="str">
        <f t="shared" si="31"/>
        <v/>
      </c>
      <c r="BA81" s="24"/>
    </row>
    <row r="82" spans="1:55" x14ac:dyDescent="0.25">
      <c r="A82" s="29">
        <f t="shared" si="16"/>
        <v>0</v>
      </c>
      <c r="B82" s="29">
        <f t="shared" si="18"/>
        <v>0</v>
      </c>
      <c r="C82" s="29">
        <f t="shared" si="19"/>
        <v>0</v>
      </c>
      <c r="D82" s="29">
        <f t="shared" si="20"/>
        <v>0</v>
      </c>
      <c r="E82" s="29">
        <f t="shared" si="17"/>
        <v>0</v>
      </c>
      <c r="F82" s="29">
        <f t="shared" si="21"/>
        <v>0</v>
      </c>
      <c r="G82" s="29" t="str">
        <f t="shared" si="22"/>
        <v>offensive</v>
      </c>
      <c r="H82" s="16">
        <f t="shared" si="23"/>
        <v>0</v>
      </c>
      <c r="I82" s="16">
        <f t="shared" si="24"/>
        <v>0</v>
      </c>
      <c r="J82" s="16">
        <f t="shared" si="25"/>
        <v>0</v>
      </c>
      <c r="K82" s="16">
        <f t="shared" si="26"/>
        <v>0</v>
      </c>
      <c r="L82" s="67">
        <f t="shared" si="27"/>
        <v>0</v>
      </c>
      <c r="M82" s="4">
        <f t="shared" si="28"/>
        <v>0</v>
      </c>
      <c r="N82" s="4">
        <f t="shared" si="29"/>
        <v>0</v>
      </c>
      <c r="O82" s="4">
        <f t="shared" si="30"/>
        <v>0</v>
      </c>
      <c r="P82" s="4" t="e">
        <f>VLOOKUP(AJ74,'CIR Team Info'!$C$5:$E$44,2,FALSE)</f>
        <v>#N/A</v>
      </c>
      <c r="Q82" s="4" t="e">
        <f>VLOOKUP(AJ74,'CIR Team Info'!$C$5:$E$44,3,FALSE)</f>
        <v>#N/A</v>
      </c>
      <c r="R82" s="10" t="e">
        <f>VLOOKUP(AJ74,'FRC Site Data'!$B$3:$L$42,2,FALSE)</f>
        <v>#N/A</v>
      </c>
      <c r="S82" s="10" t="e">
        <f>VLOOKUP(AJ74,'FRC Site Data'!$B$3:$L$42,3,FALSE)</f>
        <v>#N/A</v>
      </c>
      <c r="T82" s="10" t="e">
        <f>VLOOKUP(AJ74,'FRC Site Data'!$B$3:$L$42,4,FALSE)</f>
        <v>#N/A</v>
      </c>
      <c r="U82" s="10" t="e">
        <f>VLOOKUP(AJ74,'FRC Site Data'!$B$3:$L$42,5,FALSE)</f>
        <v>#N/A</v>
      </c>
      <c r="V82" s="10" t="e">
        <f>VLOOKUP(AJ74,'FRC Site Data'!$B$3:$L$42,6,FALSE)</f>
        <v>#N/A</v>
      </c>
      <c r="W82" s="10" t="e">
        <f>VLOOKUP(AJ74,'FRC Site Data'!$B$3:$L$42,8,FALSE)</f>
        <v>#N/A</v>
      </c>
      <c r="X82" s="10" t="e">
        <f>VLOOKUP(AJ74,'FRC Site Data'!$B$3:$L$42,9,FALSE)</f>
        <v>#N/A</v>
      </c>
      <c r="Y82" s="10" t="e">
        <f>VLOOKUP(AJ74,'FRC Site Data'!$B$3:$L$42,10,FALSE)</f>
        <v>#N/A</v>
      </c>
      <c r="Z82" s="10" t="e">
        <f>VLOOKUP(AJ74,'FRC Site Data'!$B$3:$L$42,11,FALSE)</f>
        <v>#N/A</v>
      </c>
      <c r="AA82" s="10" t="e">
        <f>VLOOKUP(AJ74,'CIR Team Info'!$C$5:$E$44,4,FALSE)</f>
        <v>#N/A</v>
      </c>
      <c r="AB82" s="161" t="b">
        <f>ISNUMBER(VLOOKUP(AJ74,Match!$T$5:$T$10,1,FALSE))</f>
        <v>0</v>
      </c>
      <c r="AC82" s="161" t="b">
        <f>IF(AB82=TRUE,(VLOOKUP($AJ74,Match!$T$5:$U$10,2,FALSE)))</f>
        <v>0</v>
      </c>
      <c r="AD82" s="8">
        <v>3</v>
      </c>
      <c r="AE82" s="8">
        <v>2</v>
      </c>
      <c r="AF82" s="8">
        <v>2</v>
      </c>
      <c r="AG82" s="8">
        <v>1</v>
      </c>
      <c r="AH82" s="8" t="str">
        <f t="shared" si="31"/>
        <v/>
      </c>
      <c r="BA82" s="24"/>
    </row>
    <row r="83" spans="1:55" x14ac:dyDescent="0.25">
      <c r="A83" s="29">
        <f t="shared" si="16"/>
        <v>0</v>
      </c>
      <c r="B83" s="29">
        <f t="shared" si="18"/>
        <v>0</v>
      </c>
      <c r="C83" s="29">
        <f t="shared" si="19"/>
        <v>0</v>
      </c>
      <c r="D83" s="29">
        <f t="shared" si="20"/>
        <v>0</v>
      </c>
      <c r="E83" s="29">
        <f t="shared" si="17"/>
        <v>0</v>
      </c>
      <c r="F83" s="29">
        <f t="shared" si="21"/>
        <v>0</v>
      </c>
      <c r="G83" s="29" t="str">
        <f t="shared" si="22"/>
        <v>offensive</v>
      </c>
      <c r="H83" s="16">
        <f t="shared" si="23"/>
        <v>0</v>
      </c>
      <c r="I83" s="16">
        <f t="shared" si="24"/>
        <v>0</v>
      </c>
      <c r="J83" s="16">
        <f t="shared" si="25"/>
        <v>0</v>
      </c>
      <c r="K83" s="16">
        <f t="shared" si="26"/>
        <v>0</v>
      </c>
      <c r="L83" s="67">
        <f t="shared" si="27"/>
        <v>0</v>
      </c>
      <c r="M83" s="4">
        <f t="shared" si="28"/>
        <v>0</v>
      </c>
      <c r="N83" s="4">
        <f t="shared" si="29"/>
        <v>0</v>
      </c>
      <c r="O83" s="4">
        <f t="shared" si="30"/>
        <v>0</v>
      </c>
      <c r="P83" s="4" t="e">
        <f>VLOOKUP(AJ75,'CIR Team Info'!$C$5:$E$44,2,FALSE)</f>
        <v>#N/A</v>
      </c>
      <c r="Q83" s="4" t="e">
        <f>VLOOKUP(AJ75,'CIR Team Info'!$C$5:$E$44,3,FALSE)</f>
        <v>#N/A</v>
      </c>
      <c r="R83" s="10" t="e">
        <f>VLOOKUP(AJ75,'FRC Site Data'!$B$3:$L$42,2,FALSE)</f>
        <v>#N/A</v>
      </c>
      <c r="S83" s="10" t="e">
        <f>VLOOKUP(AJ75,'FRC Site Data'!$B$3:$L$42,3,FALSE)</f>
        <v>#N/A</v>
      </c>
      <c r="T83" s="10" t="e">
        <f>VLOOKUP(AJ75,'FRC Site Data'!$B$3:$L$42,4,FALSE)</f>
        <v>#N/A</v>
      </c>
      <c r="U83" s="10" t="e">
        <f>VLOOKUP(AJ75,'FRC Site Data'!$B$3:$L$42,5,FALSE)</f>
        <v>#N/A</v>
      </c>
      <c r="V83" s="10" t="e">
        <f>VLOOKUP(AJ75,'FRC Site Data'!$B$3:$L$42,6,FALSE)</f>
        <v>#N/A</v>
      </c>
      <c r="W83" s="10" t="e">
        <f>VLOOKUP(AJ75,'FRC Site Data'!$B$3:$L$42,8,FALSE)</f>
        <v>#N/A</v>
      </c>
      <c r="X83" s="10" t="e">
        <f>VLOOKUP(AJ75,'FRC Site Data'!$B$3:$L$42,9,FALSE)</f>
        <v>#N/A</v>
      </c>
      <c r="Y83" s="10" t="e">
        <f>VLOOKUP(AJ75,'FRC Site Data'!$B$3:$L$42,10,FALSE)</f>
        <v>#N/A</v>
      </c>
      <c r="Z83" s="10" t="e">
        <f>VLOOKUP(AJ75,'FRC Site Data'!$B$3:$L$42,11,FALSE)</f>
        <v>#N/A</v>
      </c>
      <c r="AA83" s="10" t="e">
        <f>VLOOKUP(AJ75,'CIR Team Info'!$C$5:$E$44,4,FALSE)</f>
        <v>#N/A</v>
      </c>
      <c r="AB83" s="161" t="b">
        <f>ISNUMBER(VLOOKUP(AJ75,Match!$T$5:$T$10,1,FALSE))</f>
        <v>0</v>
      </c>
      <c r="AC83" s="161" t="b">
        <f>IF(AB83=TRUE,(VLOOKUP($AJ75,Match!$T$5:$U$10,2,FALSE)))</f>
        <v>0</v>
      </c>
      <c r="AD83" s="8">
        <v>3</v>
      </c>
      <c r="AE83" s="8">
        <v>2</v>
      </c>
      <c r="AF83" s="8">
        <v>2</v>
      </c>
      <c r="AG83" s="8">
        <v>1</v>
      </c>
      <c r="AH83" s="8" t="str">
        <f t="shared" si="31"/>
        <v/>
      </c>
      <c r="BA83" s="24"/>
      <c r="BC83" s="12"/>
    </row>
    <row r="84" spans="1:55" x14ac:dyDescent="0.25">
      <c r="A84" s="29">
        <f t="shared" si="16"/>
        <v>0</v>
      </c>
      <c r="B84" s="29">
        <f t="shared" si="18"/>
        <v>0</v>
      </c>
      <c r="C84" s="29">
        <f t="shared" si="19"/>
        <v>0</v>
      </c>
      <c r="D84" s="29">
        <f t="shared" si="20"/>
        <v>0</v>
      </c>
      <c r="E84" s="29">
        <f t="shared" si="17"/>
        <v>0</v>
      </c>
      <c r="F84" s="29">
        <f t="shared" si="21"/>
        <v>0</v>
      </c>
      <c r="G84" s="29" t="str">
        <f t="shared" si="22"/>
        <v>offensive</v>
      </c>
      <c r="H84" s="16">
        <f t="shared" si="23"/>
        <v>0</v>
      </c>
      <c r="I84" s="16">
        <f t="shared" si="24"/>
        <v>0</v>
      </c>
      <c r="J84" s="16">
        <f t="shared" si="25"/>
        <v>0</v>
      </c>
      <c r="K84" s="16">
        <f t="shared" si="26"/>
        <v>0</v>
      </c>
      <c r="L84" s="67">
        <f t="shared" si="27"/>
        <v>0</v>
      </c>
      <c r="M84" s="4">
        <f t="shared" si="28"/>
        <v>0</v>
      </c>
      <c r="N84" s="4">
        <f t="shared" si="29"/>
        <v>0</v>
      </c>
      <c r="O84" s="4">
        <f t="shared" si="30"/>
        <v>0</v>
      </c>
      <c r="P84" s="4" t="e">
        <f>VLOOKUP(AJ76,'CIR Team Info'!$C$5:$E$44,2,FALSE)</f>
        <v>#N/A</v>
      </c>
      <c r="Q84" s="4" t="e">
        <f>VLOOKUP(AJ76,'CIR Team Info'!$C$5:$E$44,3,FALSE)</f>
        <v>#N/A</v>
      </c>
      <c r="R84" s="10" t="e">
        <f>VLOOKUP(AJ76,'FRC Site Data'!$B$3:$L$42,2,FALSE)</f>
        <v>#N/A</v>
      </c>
      <c r="S84" s="10" t="e">
        <f>VLOOKUP(AJ76,'FRC Site Data'!$B$3:$L$42,3,FALSE)</f>
        <v>#N/A</v>
      </c>
      <c r="T84" s="10" t="e">
        <f>VLOOKUP(AJ76,'FRC Site Data'!$B$3:$L$42,4,FALSE)</f>
        <v>#N/A</v>
      </c>
      <c r="U84" s="10" t="e">
        <f>VLOOKUP(AJ76,'FRC Site Data'!$B$3:$L$42,5,FALSE)</f>
        <v>#N/A</v>
      </c>
      <c r="V84" s="10" t="e">
        <f>VLOOKUP(AJ76,'FRC Site Data'!$B$3:$L$42,6,FALSE)</f>
        <v>#N/A</v>
      </c>
      <c r="W84" s="10" t="e">
        <f>VLOOKUP(AJ76,'FRC Site Data'!$B$3:$L$42,8,FALSE)</f>
        <v>#N/A</v>
      </c>
      <c r="X84" s="10" t="e">
        <f>VLOOKUP(AJ76,'FRC Site Data'!$B$3:$L$42,9,FALSE)</f>
        <v>#N/A</v>
      </c>
      <c r="Y84" s="10" t="e">
        <f>VLOOKUP(AJ76,'FRC Site Data'!$B$3:$L$42,10,FALSE)</f>
        <v>#N/A</v>
      </c>
      <c r="Z84" s="10" t="e">
        <f>VLOOKUP(AJ76,'FRC Site Data'!$B$3:$L$42,11,FALSE)</f>
        <v>#N/A</v>
      </c>
      <c r="AA84" s="10" t="e">
        <f>VLOOKUP(AJ76,'CIR Team Info'!$C$5:$E$44,4,FALSE)</f>
        <v>#N/A</v>
      </c>
      <c r="AB84" s="161" t="b">
        <f>ISNUMBER(VLOOKUP(AJ76,Match!$T$5:$T$10,1,FALSE))</f>
        <v>0</v>
      </c>
      <c r="AC84" s="161" t="b">
        <f>IF(AB84=TRUE,(VLOOKUP($AJ76,Match!$T$5:$U$10,2,FALSE)))</f>
        <v>0</v>
      </c>
      <c r="AD84" s="8">
        <v>3</v>
      </c>
      <c r="AE84" s="8">
        <v>2</v>
      </c>
      <c r="AF84" s="8">
        <v>2</v>
      </c>
      <c r="AG84" s="8">
        <v>1</v>
      </c>
      <c r="AH84" s="8" t="str">
        <f t="shared" si="31"/>
        <v/>
      </c>
      <c r="BA84" s="24"/>
      <c r="BC84" s="12"/>
    </row>
    <row r="85" spans="1:55" x14ac:dyDescent="0.25">
      <c r="A85" s="29">
        <f t="shared" si="16"/>
        <v>0</v>
      </c>
      <c r="B85" s="29">
        <f t="shared" si="18"/>
        <v>0</v>
      </c>
      <c r="C85" s="29">
        <f t="shared" si="19"/>
        <v>0</v>
      </c>
      <c r="D85" s="29">
        <f t="shared" si="20"/>
        <v>0</v>
      </c>
      <c r="E85" s="29">
        <f t="shared" si="17"/>
        <v>0</v>
      </c>
      <c r="F85" s="29">
        <f t="shared" si="21"/>
        <v>0</v>
      </c>
      <c r="G85" s="29" t="str">
        <f t="shared" si="22"/>
        <v>offensive</v>
      </c>
      <c r="H85" s="16">
        <f t="shared" si="23"/>
        <v>0</v>
      </c>
      <c r="I85" s="16">
        <f t="shared" si="24"/>
        <v>0</v>
      </c>
      <c r="J85" s="16">
        <f t="shared" si="25"/>
        <v>0</v>
      </c>
      <c r="K85" s="16">
        <f t="shared" si="26"/>
        <v>0</v>
      </c>
      <c r="L85" s="67">
        <f t="shared" si="27"/>
        <v>0</v>
      </c>
      <c r="M85" s="4">
        <f t="shared" si="28"/>
        <v>0</v>
      </c>
      <c r="N85" s="4">
        <f t="shared" si="29"/>
        <v>0</v>
      </c>
      <c r="O85" s="4">
        <f t="shared" si="30"/>
        <v>0</v>
      </c>
      <c r="P85" s="4" t="e">
        <f>VLOOKUP(AJ77,'CIR Team Info'!$C$5:$E$44,2,FALSE)</f>
        <v>#N/A</v>
      </c>
      <c r="Q85" s="4" t="e">
        <f>VLOOKUP(AJ77,'CIR Team Info'!$C$5:$E$44,3,FALSE)</f>
        <v>#N/A</v>
      </c>
      <c r="R85" s="10" t="e">
        <f>VLOOKUP(AJ77,'FRC Site Data'!$B$3:$L$42,2,FALSE)</f>
        <v>#N/A</v>
      </c>
      <c r="S85" s="10" t="e">
        <f>VLOOKUP(AJ77,'FRC Site Data'!$B$3:$L$42,3,FALSE)</f>
        <v>#N/A</v>
      </c>
      <c r="T85" s="10" t="e">
        <f>VLOOKUP(AJ77,'FRC Site Data'!$B$3:$L$42,4,FALSE)</f>
        <v>#N/A</v>
      </c>
      <c r="U85" s="10" t="e">
        <f>VLOOKUP(AJ77,'FRC Site Data'!$B$3:$L$42,5,FALSE)</f>
        <v>#N/A</v>
      </c>
      <c r="V85" s="10" t="e">
        <f>VLOOKUP(AJ77,'FRC Site Data'!$B$3:$L$42,6,FALSE)</f>
        <v>#N/A</v>
      </c>
      <c r="W85" s="10" t="e">
        <f>VLOOKUP(AJ77,'FRC Site Data'!$B$3:$L$42,8,FALSE)</f>
        <v>#N/A</v>
      </c>
      <c r="X85" s="10" t="e">
        <f>VLOOKUP(AJ77,'FRC Site Data'!$B$3:$L$42,9,FALSE)</f>
        <v>#N/A</v>
      </c>
      <c r="Y85" s="10" t="e">
        <f>VLOOKUP(AJ77,'FRC Site Data'!$B$3:$L$42,10,FALSE)</f>
        <v>#N/A</v>
      </c>
      <c r="Z85" s="10" t="e">
        <f>VLOOKUP(AJ77,'FRC Site Data'!$B$3:$L$42,11,FALSE)</f>
        <v>#N/A</v>
      </c>
      <c r="AA85" s="10" t="e">
        <f>VLOOKUP(AJ77,'CIR Team Info'!$C$5:$E$44,4,FALSE)</f>
        <v>#N/A</v>
      </c>
      <c r="AB85" s="161" t="b">
        <f>ISNUMBER(VLOOKUP(AJ77,Match!$T$5:$T$10,1,FALSE))</f>
        <v>0</v>
      </c>
      <c r="AC85" s="161" t="b">
        <f>IF(AB85=TRUE,(VLOOKUP($AJ77,Match!$T$5:$U$10,2,FALSE)))</f>
        <v>0</v>
      </c>
      <c r="AD85" s="8">
        <v>3</v>
      </c>
      <c r="AE85" s="8">
        <v>2</v>
      </c>
      <c r="AF85" s="8">
        <v>2</v>
      </c>
      <c r="AG85" s="8">
        <v>1</v>
      </c>
      <c r="AH85" s="8" t="str">
        <f t="shared" si="31"/>
        <v/>
      </c>
      <c r="BA85" s="24"/>
      <c r="BC85" s="12"/>
    </row>
    <row r="86" spans="1:55" x14ac:dyDescent="0.25">
      <c r="A86" s="29">
        <f t="shared" si="16"/>
        <v>0</v>
      </c>
      <c r="B86" s="29">
        <f t="shared" si="18"/>
        <v>0</v>
      </c>
      <c r="C86" s="29">
        <f t="shared" si="19"/>
        <v>0</v>
      </c>
      <c r="D86" s="29">
        <f t="shared" si="20"/>
        <v>0</v>
      </c>
      <c r="E86" s="29">
        <f t="shared" si="17"/>
        <v>0</v>
      </c>
      <c r="F86" s="29">
        <f t="shared" si="21"/>
        <v>0</v>
      </c>
      <c r="G86" s="29" t="str">
        <f t="shared" si="22"/>
        <v>offensive</v>
      </c>
      <c r="H86" s="16">
        <f t="shared" si="23"/>
        <v>0</v>
      </c>
      <c r="I86" s="16">
        <f t="shared" si="24"/>
        <v>0</v>
      </c>
      <c r="J86" s="16">
        <f t="shared" si="25"/>
        <v>0</v>
      </c>
      <c r="K86" s="16">
        <f t="shared" si="26"/>
        <v>0</v>
      </c>
      <c r="L86" s="67">
        <f t="shared" si="27"/>
        <v>0</v>
      </c>
      <c r="M86" s="4">
        <f t="shared" si="28"/>
        <v>0</v>
      </c>
      <c r="N86" s="4">
        <f t="shared" si="29"/>
        <v>0</v>
      </c>
      <c r="O86" s="4">
        <f t="shared" si="30"/>
        <v>0</v>
      </c>
      <c r="P86" s="4" t="e">
        <f>VLOOKUP(AJ78,'CIR Team Info'!$C$5:$E$44,2,FALSE)</f>
        <v>#N/A</v>
      </c>
      <c r="Q86" s="4" t="e">
        <f>VLOOKUP(AJ78,'CIR Team Info'!$C$5:$E$44,3,FALSE)</f>
        <v>#N/A</v>
      </c>
      <c r="R86" s="10" t="e">
        <f>VLOOKUP(AJ78,'FRC Site Data'!$B$3:$L$42,2,FALSE)</f>
        <v>#N/A</v>
      </c>
      <c r="S86" s="10" t="e">
        <f>VLOOKUP(AJ78,'FRC Site Data'!$B$3:$L$42,3,FALSE)</f>
        <v>#N/A</v>
      </c>
      <c r="T86" s="10" t="e">
        <f>VLOOKUP(AJ78,'FRC Site Data'!$B$3:$L$42,4,FALSE)</f>
        <v>#N/A</v>
      </c>
      <c r="U86" s="10" t="e">
        <f>VLOOKUP(AJ78,'FRC Site Data'!$B$3:$L$42,5,FALSE)</f>
        <v>#N/A</v>
      </c>
      <c r="V86" s="10" t="e">
        <f>VLOOKUP(AJ78,'FRC Site Data'!$B$3:$L$42,6,FALSE)</f>
        <v>#N/A</v>
      </c>
      <c r="W86" s="10" t="e">
        <f>VLOOKUP(AJ78,'FRC Site Data'!$B$3:$L$42,8,FALSE)</f>
        <v>#N/A</v>
      </c>
      <c r="X86" s="10" t="e">
        <f>VLOOKUP(AJ78,'FRC Site Data'!$B$3:$L$42,9,FALSE)</f>
        <v>#N/A</v>
      </c>
      <c r="Y86" s="10" t="e">
        <f>VLOOKUP(AJ78,'FRC Site Data'!$B$3:$L$42,10,FALSE)</f>
        <v>#N/A</v>
      </c>
      <c r="Z86" s="10" t="e">
        <f>VLOOKUP(AJ78,'FRC Site Data'!$B$3:$L$42,11,FALSE)</f>
        <v>#N/A</v>
      </c>
      <c r="AA86" s="10" t="e">
        <f>VLOOKUP(AJ78,'CIR Team Info'!$C$5:$E$44,4,FALSE)</f>
        <v>#N/A</v>
      </c>
      <c r="AB86" s="161" t="b">
        <f>ISNUMBER(VLOOKUP(AJ78,Match!$T$5:$T$10,1,FALSE))</f>
        <v>0</v>
      </c>
      <c r="AC86" s="161" t="b">
        <f>IF(AB86=TRUE,(VLOOKUP($AJ78,Match!$T$5:$U$10,2,FALSE)))</f>
        <v>0</v>
      </c>
      <c r="AD86" s="8">
        <v>3</v>
      </c>
      <c r="AE86" s="8">
        <v>2</v>
      </c>
      <c r="AF86" s="8">
        <v>2</v>
      </c>
      <c r="AG86" s="8">
        <v>1</v>
      </c>
      <c r="AH86" s="8" t="s">
        <v>36</v>
      </c>
      <c r="BA86" s="24"/>
      <c r="BC86" s="12"/>
    </row>
    <row r="87" spans="1:55" x14ac:dyDescent="0.25">
      <c r="A87" s="29">
        <f t="shared" si="16"/>
        <v>0</v>
      </c>
      <c r="B87" s="29">
        <f t="shared" si="18"/>
        <v>0</v>
      </c>
      <c r="C87" s="29">
        <f t="shared" si="19"/>
        <v>0</v>
      </c>
      <c r="D87" s="29">
        <f t="shared" si="20"/>
        <v>0</v>
      </c>
      <c r="E87" s="29">
        <f t="shared" si="17"/>
        <v>0</v>
      </c>
      <c r="F87" s="29">
        <f t="shared" si="21"/>
        <v>0</v>
      </c>
      <c r="G87" s="29" t="str">
        <f t="shared" si="22"/>
        <v>offensive</v>
      </c>
      <c r="H87" s="16">
        <f t="shared" si="23"/>
        <v>0</v>
      </c>
      <c r="I87" s="16">
        <f t="shared" si="24"/>
        <v>0</v>
      </c>
      <c r="J87" s="16">
        <f t="shared" si="25"/>
        <v>0</v>
      </c>
      <c r="K87" s="16">
        <f t="shared" si="26"/>
        <v>0</v>
      </c>
      <c r="L87" s="67">
        <f t="shared" si="27"/>
        <v>0</v>
      </c>
      <c r="M87" s="4">
        <f t="shared" si="28"/>
        <v>0</v>
      </c>
      <c r="N87" s="4">
        <f t="shared" si="29"/>
        <v>0</v>
      </c>
      <c r="O87" s="4">
        <f t="shared" si="30"/>
        <v>0</v>
      </c>
      <c r="P87" s="4" t="e">
        <f>VLOOKUP(AJ79,'CIR Team Info'!$C$5:$E$44,2,FALSE)</f>
        <v>#N/A</v>
      </c>
      <c r="Q87" s="4" t="e">
        <f>VLOOKUP(AJ79,'CIR Team Info'!$C$5:$E$44,3,FALSE)</f>
        <v>#N/A</v>
      </c>
      <c r="R87" s="10" t="e">
        <f>VLOOKUP(AJ79,'FRC Site Data'!$B$3:$L$42,2,FALSE)</f>
        <v>#N/A</v>
      </c>
      <c r="S87" s="10" t="e">
        <f>VLOOKUP(AJ79,'FRC Site Data'!$B$3:$L$42,3,FALSE)</f>
        <v>#N/A</v>
      </c>
      <c r="T87" s="10" t="e">
        <f>VLOOKUP(AJ79,'FRC Site Data'!$B$3:$L$42,4,FALSE)</f>
        <v>#N/A</v>
      </c>
      <c r="U87" s="10" t="e">
        <f>VLOOKUP(AJ79,'FRC Site Data'!$B$3:$L$42,5,FALSE)</f>
        <v>#N/A</v>
      </c>
      <c r="V87" s="10" t="e">
        <f>VLOOKUP(AJ79,'FRC Site Data'!$B$3:$L$42,6,FALSE)</f>
        <v>#N/A</v>
      </c>
      <c r="W87" s="10" t="e">
        <f>VLOOKUP(AJ79,'FRC Site Data'!$B$3:$L$42,8,FALSE)</f>
        <v>#N/A</v>
      </c>
      <c r="X87" s="10" t="e">
        <f>VLOOKUP(AJ79,'FRC Site Data'!$B$3:$L$42,9,FALSE)</f>
        <v>#N/A</v>
      </c>
      <c r="Y87" s="10" t="e">
        <f>VLOOKUP(AJ79,'FRC Site Data'!$B$3:$L$42,10,FALSE)</f>
        <v>#N/A</v>
      </c>
      <c r="Z87" s="10" t="e">
        <f>VLOOKUP(AJ79,'FRC Site Data'!$B$3:$L$42,11,FALSE)</f>
        <v>#N/A</v>
      </c>
      <c r="AA87" s="10" t="e">
        <f>VLOOKUP(AJ79,'CIR Team Info'!$C$5:$E$44,4,FALSE)</f>
        <v>#N/A</v>
      </c>
      <c r="AB87" s="161" t="b">
        <f>ISNUMBER(VLOOKUP(AJ79,Match!$T$5:$T$10,1,FALSE))</f>
        <v>0</v>
      </c>
      <c r="AC87" s="161" t="b">
        <f>IF(AB87=TRUE,(VLOOKUP($AJ79,Match!$T$5:$U$10,2,FALSE)))</f>
        <v>0</v>
      </c>
      <c r="AD87" s="8">
        <v>3</v>
      </c>
      <c r="AE87" s="8">
        <v>2</v>
      </c>
      <c r="AF87" s="8">
        <v>2</v>
      </c>
      <c r="AG87" s="8">
        <v>1</v>
      </c>
      <c r="AH87" s="8" t="s">
        <v>36</v>
      </c>
      <c r="BA87" s="24"/>
      <c r="BC87" s="12"/>
    </row>
    <row r="88" spans="1:55" x14ac:dyDescent="0.25">
      <c r="A88" s="29">
        <f t="shared" si="16"/>
        <v>0</v>
      </c>
      <c r="B88" s="29">
        <f t="shared" si="18"/>
        <v>0</v>
      </c>
      <c r="C88" s="29">
        <f t="shared" si="19"/>
        <v>0</v>
      </c>
      <c r="D88" s="29">
        <f t="shared" si="20"/>
        <v>0</v>
      </c>
      <c r="E88" s="29">
        <f t="shared" si="17"/>
        <v>0</v>
      </c>
      <c r="F88" s="29">
        <f t="shared" si="21"/>
        <v>0</v>
      </c>
      <c r="G88" s="29" t="str">
        <f t="shared" si="22"/>
        <v>offensive</v>
      </c>
      <c r="H88" s="16">
        <f t="shared" si="23"/>
        <v>0</v>
      </c>
      <c r="I88" s="16">
        <f t="shared" si="24"/>
        <v>0</v>
      </c>
      <c r="J88" s="16">
        <f t="shared" si="25"/>
        <v>0</v>
      </c>
      <c r="K88" s="16">
        <f t="shared" si="26"/>
        <v>0</v>
      </c>
      <c r="L88" s="67">
        <f t="shared" si="27"/>
        <v>0</v>
      </c>
      <c r="M88" s="4">
        <f t="shared" si="28"/>
        <v>0</v>
      </c>
      <c r="N88" s="4">
        <f t="shared" si="29"/>
        <v>0</v>
      </c>
      <c r="O88" s="4">
        <f t="shared" si="30"/>
        <v>0</v>
      </c>
      <c r="P88" s="4" t="e">
        <f>VLOOKUP(AJ80,'CIR Team Info'!$C$5:$E$44,2,FALSE)</f>
        <v>#N/A</v>
      </c>
      <c r="Q88" s="4" t="e">
        <f>VLOOKUP(AJ80,'CIR Team Info'!$C$5:$E$44,3,FALSE)</f>
        <v>#N/A</v>
      </c>
      <c r="R88" s="10" t="e">
        <f>VLOOKUP(AJ80,'FRC Site Data'!$B$3:$L$42,2,FALSE)</f>
        <v>#N/A</v>
      </c>
      <c r="S88" s="10" t="e">
        <f>VLOOKUP(AJ80,'FRC Site Data'!$B$3:$L$42,3,FALSE)</f>
        <v>#N/A</v>
      </c>
      <c r="T88" s="10" t="e">
        <f>VLOOKUP(AJ80,'FRC Site Data'!$B$3:$L$42,4,FALSE)</f>
        <v>#N/A</v>
      </c>
      <c r="U88" s="10" t="e">
        <f>VLOOKUP(AJ80,'FRC Site Data'!$B$3:$L$42,5,FALSE)</f>
        <v>#N/A</v>
      </c>
      <c r="V88" s="10" t="e">
        <f>VLOOKUP(AJ80,'FRC Site Data'!$B$3:$L$42,6,FALSE)</f>
        <v>#N/A</v>
      </c>
      <c r="W88" s="10" t="e">
        <f>VLOOKUP(AJ80,'FRC Site Data'!$B$3:$L$42,8,FALSE)</f>
        <v>#N/A</v>
      </c>
      <c r="X88" s="10" t="e">
        <f>VLOOKUP(AJ80,'FRC Site Data'!$B$3:$L$42,9,FALSE)</f>
        <v>#N/A</v>
      </c>
      <c r="Y88" s="10" t="e">
        <f>VLOOKUP(AJ80,'FRC Site Data'!$B$3:$L$42,10,FALSE)</f>
        <v>#N/A</v>
      </c>
      <c r="Z88" s="10" t="e">
        <f>VLOOKUP(AJ80,'FRC Site Data'!$B$3:$L$42,11,FALSE)</f>
        <v>#N/A</v>
      </c>
      <c r="AA88" s="10" t="e">
        <f>VLOOKUP(AJ80,'CIR Team Info'!$C$5:$E$44,4,FALSE)</f>
        <v>#N/A</v>
      </c>
      <c r="AB88" s="161" t="b">
        <f>ISNUMBER(VLOOKUP(AJ80,Match!$T$5:$T$10,1,FALSE))</f>
        <v>0</v>
      </c>
      <c r="AC88" s="161" t="b">
        <f>IF(AB88=TRUE,(VLOOKUP($AJ80,Match!$T$5:$U$10,2,FALSE)))</f>
        <v>0</v>
      </c>
      <c r="AD88" s="8">
        <v>3</v>
      </c>
      <c r="AE88" s="8">
        <v>2</v>
      </c>
      <c r="AF88" s="8">
        <v>2</v>
      </c>
      <c r="AG88" s="8">
        <v>1</v>
      </c>
      <c r="AH88" s="8" t="s">
        <v>36</v>
      </c>
      <c r="BA88" s="24"/>
      <c r="BC88" s="12"/>
    </row>
    <row r="89" spans="1:55" x14ac:dyDescent="0.25">
      <c r="A89" s="29">
        <f t="shared" si="16"/>
        <v>0</v>
      </c>
      <c r="B89" s="29">
        <f t="shared" si="18"/>
        <v>0</v>
      </c>
      <c r="C89" s="29">
        <f t="shared" si="19"/>
        <v>0</v>
      </c>
      <c r="D89" s="29">
        <f t="shared" si="20"/>
        <v>0</v>
      </c>
      <c r="E89" s="29">
        <f t="shared" si="17"/>
        <v>0</v>
      </c>
      <c r="F89" s="29">
        <f t="shared" si="21"/>
        <v>0</v>
      </c>
      <c r="G89" s="29" t="str">
        <f t="shared" si="22"/>
        <v>offensive</v>
      </c>
      <c r="H89" s="16">
        <f t="shared" si="23"/>
        <v>0</v>
      </c>
      <c r="I89" s="16">
        <f t="shared" si="24"/>
        <v>0</v>
      </c>
      <c r="J89" s="16">
        <f t="shared" si="25"/>
        <v>0</v>
      </c>
      <c r="K89" s="16">
        <f t="shared" si="26"/>
        <v>0</v>
      </c>
      <c r="L89" s="67">
        <f t="shared" si="27"/>
        <v>0</v>
      </c>
      <c r="M89" s="4">
        <f t="shared" si="28"/>
        <v>0</v>
      </c>
      <c r="N89" s="4">
        <f t="shared" si="29"/>
        <v>0</v>
      </c>
      <c r="O89" s="4">
        <f t="shared" si="30"/>
        <v>0</v>
      </c>
      <c r="P89" s="4" t="e">
        <f>VLOOKUP(AJ81,'CIR Team Info'!$C$5:$E$44,2,FALSE)</f>
        <v>#N/A</v>
      </c>
      <c r="Q89" s="4" t="e">
        <f>VLOOKUP(AJ81,'CIR Team Info'!$C$5:$E$44,3,FALSE)</f>
        <v>#N/A</v>
      </c>
      <c r="R89" s="10" t="e">
        <f>VLOOKUP(AJ81,'FRC Site Data'!$B$3:$L$42,2,FALSE)</f>
        <v>#N/A</v>
      </c>
      <c r="S89" s="10" t="e">
        <f>VLOOKUP(AJ81,'FRC Site Data'!$B$3:$L$42,3,FALSE)</f>
        <v>#N/A</v>
      </c>
      <c r="T89" s="10" t="e">
        <f>VLOOKUP(AJ81,'FRC Site Data'!$B$3:$L$42,4,FALSE)</f>
        <v>#N/A</v>
      </c>
      <c r="U89" s="10" t="e">
        <f>VLOOKUP(AJ81,'FRC Site Data'!$B$3:$L$42,5,FALSE)</f>
        <v>#N/A</v>
      </c>
      <c r="V89" s="10" t="e">
        <f>VLOOKUP(AJ81,'FRC Site Data'!$B$3:$L$42,6,FALSE)</f>
        <v>#N/A</v>
      </c>
      <c r="W89" s="10" t="e">
        <f>VLOOKUP(AJ81,'FRC Site Data'!$B$3:$L$42,8,FALSE)</f>
        <v>#N/A</v>
      </c>
      <c r="X89" s="10" t="e">
        <f>VLOOKUP(AJ81,'FRC Site Data'!$B$3:$L$42,9,FALSE)</f>
        <v>#N/A</v>
      </c>
      <c r="Y89" s="10" t="e">
        <f>VLOOKUP(AJ81,'FRC Site Data'!$B$3:$L$42,10,FALSE)</f>
        <v>#N/A</v>
      </c>
      <c r="Z89" s="10" t="e">
        <f>VLOOKUP(AJ81,'FRC Site Data'!$B$3:$L$42,11,FALSE)</f>
        <v>#N/A</v>
      </c>
      <c r="AA89" s="10" t="e">
        <f>VLOOKUP(AJ81,'CIR Team Info'!$C$5:$E$44,4,FALSE)</f>
        <v>#N/A</v>
      </c>
      <c r="AB89" s="161" t="b">
        <f>ISNUMBER(VLOOKUP(AJ81,Match!$T$5:$T$10,1,FALSE))</f>
        <v>0</v>
      </c>
      <c r="AC89" s="161" t="b">
        <f>IF(AB89=TRUE,(VLOOKUP($AJ81,Match!$T$5:$U$10,2,FALSE)))</f>
        <v>0</v>
      </c>
      <c r="AD89" s="8">
        <v>3</v>
      </c>
      <c r="AE89" s="8">
        <v>2</v>
      </c>
      <c r="AF89" s="8">
        <v>2</v>
      </c>
      <c r="AG89" s="8">
        <v>1</v>
      </c>
      <c r="AH89" s="8" t="s">
        <v>36</v>
      </c>
      <c r="BA89" s="24"/>
      <c r="BC89" s="12"/>
    </row>
    <row r="90" spans="1:55" x14ac:dyDescent="0.25">
      <c r="A90" s="29">
        <f t="shared" si="16"/>
        <v>0</v>
      </c>
      <c r="B90" s="29">
        <f t="shared" si="18"/>
        <v>0</v>
      </c>
      <c r="C90" s="29">
        <f t="shared" si="19"/>
        <v>0</v>
      </c>
      <c r="D90" s="29">
        <f t="shared" si="20"/>
        <v>0</v>
      </c>
      <c r="E90" s="29">
        <f t="shared" si="17"/>
        <v>0</v>
      </c>
      <c r="F90" s="29">
        <f t="shared" si="21"/>
        <v>0</v>
      </c>
      <c r="G90" s="29" t="str">
        <f t="shared" si="22"/>
        <v>offensive</v>
      </c>
      <c r="H90" s="16">
        <f t="shared" si="23"/>
        <v>0</v>
      </c>
      <c r="I90" s="16">
        <f t="shared" si="24"/>
        <v>0</v>
      </c>
      <c r="J90" s="16">
        <f t="shared" si="25"/>
        <v>0</v>
      </c>
      <c r="K90" s="16">
        <f t="shared" si="26"/>
        <v>0</v>
      </c>
      <c r="L90" s="67">
        <f t="shared" si="27"/>
        <v>0</v>
      </c>
      <c r="M90" s="4">
        <f t="shared" si="28"/>
        <v>0</v>
      </c>
      <c r="N90" s="4">
        <f t="shared" si="29"/>
        <v>0</v>
      </c>
      <c r="O90" s="4">
        <f t="shared" si="30"/>
        <v>0</v>
      </c>
      <c r="P90" s="4" t="e">
        <f>VLOOKUP(AJ82,'CIR Team Info'!$C$5:$E$44,2,FALSE)</f>
        <v>#N/A</v>
      </c>
      <c r="Q90" s="4" t="e">
        <f>VLOOKUP(AJ82,'CIR Team Info'!$C$5:$E$44,3,FALSE)</f>
        <v>#N/A</v>
      </c>
      <c r="R90" s="10" t="e">
        <f>VLOOKUP(AJ82,'FRC Site Data'!$B$3:$L$42,2,FALSE)</f>
        <v>#N/A</v>
      </c>
      <c r="S90" s="10" t="e">
        <f>VLOOKUP(AJ82,'FRC Site Data'!$B$3:$L$42,3,FALSE)</f>
        <v>#N/A</v>
      </c>
      <c r="T90" s="10" t="e">
        <f>VLOOKUP(AJ82,'FRC Site Data'!$B$3:$L$42,4,FALSE)</f>
        <v>#N/A</v>
      </c>
      <c r="U90" s="10" t="e">
        <f>VLOOKUP(AJ82,'FRC Site Data'!$B$3:$L$42,5,FALSE)</f>
        <v>#N/A</v>
      </c>
      <c r="V90" s="10" t="e">
        <f>VLOOKUP(AJ82,'FRC Site Data'!$B$3:$L$42,6,FALSE)</f>
        <v>#N/A</v>
      </c>
      <c r="W90" s="10" t="e">
        <f>VLOOKUP(AJ82,'FRC Site Data'!$B$3:$L$42,8,FALSE)</f>
        <v>#N/A</v>
      </c>
      <c r="X90" s="10" t="e">
        <f>VLOOKUP(AJ82,'FRC Site Data'!$B$3:$L$42,9,FALSE)</f>
        <v>#N/A</v>
      </c>
      <c r="Y90" s="10" t="e">
        <f>VLOOKUP(AJ82,'FRC Site Data'!$B$3:$L$42,10,FALSE)</f>
        <v>#N/A</v>
      </c>
      <c r="Z90" s="10" t="e">
        <f>VLOOKUP(AJ82,'FRC Site Data'!$B$3:$L$42,11,FALSE)</f>
        <v>#N/A</v>
      </c>
      <c r="AA90" s="10" t="e">
        <f>VLOOKUP(AJ82,'CIR Team Info'!$C$5:$E$44,4,FALSE)</f>
        <v>#N/A</v>
      </c>
      <c r="AB90" s="161" t="b">
        <f>ISNUMBER(VLOOKUP(AJ82,Match!$T$5:$T$10,1,FALSE))</f>
        <v>0</v>
      </c>
      <c r="AC90" s="161" t="b">
        <f>IF(AB90=TRUE,(VLOOKUP($AJ82,Match!$T$5:$U$10,2,FALSE)))</f>
        <v>0</v>
      </c>
      <c r="AD90" s="8">
        <v>3</v>
      </c>
      <c r="AE90" s="8">
        <v>2</v>
      </c>
      <c r="AF90" s="8">
        <v>2</v>
      </c>
      <c r="AG90" s="8">
        <v>1</v>
      </c>
      <c r="AH90" s="8" t="s">
        <v>36</v>
      </c>
      <c r="BA90" s="24"/>
      <c r="BC90" s="12"/>
    </row>
    <row r="91" spans="1:55" x14ac:dyDescent="0.25">
      <c r="A91" s="29">
        <f t="shared" si="16"/>
        <v>0</v>
      </c>
      <c r="B91" s="29">
        <f t="shared" si="18"/>
        <v>0</v>
      </c>
      <c r="C91" s="29">
        <f t="shared" si="19"/>
        <v>0</v>
      </c>
      <c r="D91" s="29">
        <f t="shared" si="20"/>
        <v>0</v>
      </c>
      <c r="E91" s="29">
        <f t="shared" si="17"/>
        <v>0</v>
      </c>
      <c r="F91" s="29">
        <f t="shared" si="21"/>
        <v>0</v>
      </c>
      <c r="G91" s="29" t="str">
        <f t="shared" si="22"/>
        <v>offensive</v>
      </c>
      <c r="H91" s="16">
        <f t="shared" si="23"/>
        <v>0</v>
      </c>
      <c r="I91" s="16">
        <f t="shared" si="24"/>
        <v>0</v>
      </c>
      <c r="J91" s="16">
        <f t="shared" si="25"/>
        <v>0</v>
      </c>
      <c r="K91" s="16">
        <f t="shared" si="26"/>
        <v>0</v>
      </c>
      <c r="L91" s="67">
        <f t="shared" si="27"/>
        <v>0</v>
      </c>
      <c r="M91" s="4">
        <f t="shared" si="28"/>
        <v>0</v>
      </c>
      <c r="N91" s="4">
        <f t="shared" si="29"/>
        <v>0</v>
      </c>
      <c r="O91" s="4">
        <f t="shared" si="30"/>
        <v>0</v>
      </c>
      <c r="P91" s="4" t="e">
        <f>VLOOKUP(AJ83,'CIR Team Info'!$C$5:$E$44,2,FALSE)</f>
        <v>#N/A</v>
      </c>
      <c r="Q91" s="4" t="e">
        <f>VLOOKUP(AJ83,'CIR Team Info'!$C$5:$E$44,3,FALSE)</f>
        <v>#N/A</v>
      </c>
      <c r="R91" s="10" t="e">
        <f>VLOOKUP(AJ83,'FRC Site Data'!$B$3:$L$42,2,FALSE)</f>
        <v>#N/A</v>
      </c>
      <c r="S91" s="10" t="e">
        <f>VLOOKUP(AJ83,'FRC Site Data'!$B$3:$L$42,3,FALSE)</f>
        <v>#N/A</v>
      </c>
      <c r="T91" s="10" t="e">
        <f>VLOOKUP(AJ83,'FRC Site Data'!$B$3:$L$42,4,FALSE)</f>
        <v>#N/A</v>
      </c>
      <c r="U91" s="10" t="e">
        <f>VLOOKUP(AJ83,'FRC Site Data'!$B$3:$L$42,5,FALSE)</f>
        <v>#N/A</v>
      </c>
      <c r="V91" s="10" t="e">
        <f>VLOOKUP(AJ83,'FRC Site Data'!$B$3:$L$42,6,FALSE)</f>
        <v>#N/A</v>
      </c>
      <c r="W91" s="10" t="e">
        <f>VLOOKUP(AJ83,'FRC Site Data'!$B$3:$L$42,8,FALSE)</f>
        <v>#N/A</v>
      </c>
      <c r="X91" s="10" t="e">
        <f>VLOOKUP(AJ83,'FRC Site Data'!$B$3:$L$42,9,FALSE)</f>
        <v>#N/A</v>
      </c>
      <c r="Y91" s="10" t="e">
        <f>VLOOKUP(AJ83,'FRC Site Data'!$B$3:$L$42,10,FALSE)</f>
        <v>#N/A</v>
      </c>
      <c r="Z91" s="10" t="e">
        <f>VLOOKUP(AJ83,'FRC Site Data'!$B$3:$L$42,11,FALSE)</f>
        <v>#N/A</v>
      </c>
      <c r="AA91" s="10" t="e">
        <f>VLOOKUP(AJ83,'CIR Team Info'!$C$5:$E$44,4,FALSE)</f>
        <v>#N/A</v>
      </c>
      <c r="AB91" s="161" t="b">
        <f>ISNUMBER(VLOOKUP(AJ83,Match!$T$5:$T$10,1,FALSE))</f>
        <v>0</v>
      </c>
      <c r="AC91" s="161" t="b">
        <f>IF(AB91=TRUE,(VLOOKUP($AJ83,Match!$T$5:$U$10,2,FALSE)))</f>
        <v>0</v>
      </c>
      <c r="AD91" s="8">
        <v>3</v>
      </c>
      <c r="AE91" s="8">
        <v>2</v>
      </c>
      <c r="AF91" s="8">
        <v>2</v>
      </c>
      <c r="AG91" s="8">
        <v>1</v>
      </c>
      <c r="AH91" s="8" t="str">
        <f t="shared" ref="AH91:AH154" si="32">IF(AL83="Other","x","")</f>
        <v/>
      </c>
      <c r="BA91" s="24"/>
      <c r="BC91" s="12"/>
    </row>
    <row r="92" spans="1:55" x14ac:dyDescent="0.25">
      <c r="A92" s="29">
        <f t="shared" si="16"/>
        <v>0</v>
      </c>
      <c r="B92" s="29">
        <f t="shared" si="18"/>
        <v>0</v>
      </c>
      <c r="C92" s="29">
        <f t="shared" si="19"/>
        <v>0</v>
      </c>
      <c r="D92" s="29">
        <f t="shared" si="20"/>
        <v>0</v>
      </c>
      <c r="E92" s="29">
        <f t="shared" si="17"/>
        <v>0</v>
      </c>
      <c r="F92" s="29">
        <f t="shared" si="21"/>
        <v>0</v>
      </c>
      <c r="G92" s="29" t="str">
        <f t="shared" si="22"/>
        <v>offensive</v>
      </c>
      <c r="H92" s="16">
        <f t="shared" si="23"/>
        <v>0</v>
      </c>
      <c r="I92" s="16">
        <f t="shared" si="24"/>
        <v>0</v>
      </c>
      <c r="J92" s="16">
        <f t="shared" si="25"/>
        <v>0</v>
      </c>
      <c r="K92" s="16">
        <f t="shared" si="26"/>
        <v>0</v>
      </c>
      <c r="L92" s="67">
        <f t="shared" si="27"/>
        <v>0</v>
      </c>
      <c r="M92" s="4">
        <f t="shared" si="28"/>
        <v>0</v>
      </c>
      <c r="N92" s="4">
        <f t="shared" si="29"/>
        <v>0</v>
      </c>
      <c r="O92" s="4">
        <f t="shared" si="30"/>
        <v>0</v>
      </c>
      <c r="P92" s="4" t="e">
        <f>VLOOKUP(AJ84,'CIR Team Info'!$C$5:$E$44,2,FALSE)</f>
        <v>#N/A</v>
      </c>
      <c r="Q92" s="4" t="e">
        <f>VLOOKUP(AJ84,'CIR Team Info'!$C$5:$E$44,3,FALSE)</f>
        <v>#N/A</v>
      </c>
      <c r="R92" s="10" t="e">
        <f>VLOOKUP(AJ84,'FRC Site Data'!$B$3:$L$42,2,FALSE)</f>
        <v>#N/A</v>
      </c>
      <c r="S92" s="10" t="e">
        <f>VLOOKUP(AJ84,'FRC Site Data'!$B$3:$L$42,3,FALSE)</f>
        <v>#N/A</v>
      </c>
      <c r="T92" s="10" t="e">
        <f>VLOOKUP(AJ84,'FRC Site Data'!$B$3:$L$42,4,FALSE)</f>
        <v>#N/A</v>
      </c>
      <c r="U92" s="10" t="e">
        <f>VLOOKUP(AJ84,'FRC Site Data'!$B$3:$L$42,5,FALSE)</f>
        <v>#N/A</v>
      </c>
      <c r="V92" s="10" t="e">
        <f>VLOOKUP(AJ84,'FRC Site Data'!$B$3:$L$42,6,FALSE)</f>
        <v>#N/A</v>
      </c>
      <c r="W92" s="10" t="e">
        <f>VLOOKUP(AJ84,'FRC Site Data'!$B$3:$L$42,8,FALSE)</f>
        <v>#N/A</v>
      </c>
      <c r="X92" s="10" t="e">
        <f>VLOOKUP(AJ84,'FRC Site Data'!$B$3:$L$42,9,FALSE)</f>
        <v>#N/A</v>
      </c>
      <c r="Y92" s="10" t="e">
        <f>VLOOKUP(AJ84,'FRC Site Data'!$B$3:$L$42,10,FALSE)</f>
        <v>#N/A</v>
      </c>
      <c r="Z92" s="10" t="e">
        <f>VLOOKUP(AJ84,'FRC Site Data'!$B$3:$L$42,11,FALSE)</f>
        <v>#N/A</v>
      </c>
      <c r="AA92" s="10" t="e">
        <f>VLOOKUP(AJ84,'CIR Team Info'!$C$5:$E$44,4,FALSE)</f>
        <v>#N/A</v>
      </c>
      <c r="AB92" s="161" t="b">
        <f>ISNUMBER(VLOOKUP(AJ84,Match!$T$5:$T$10,1,FALSE))</f>
        <v>0</v>
      </c>
      <c r="AC92" s="161" t="b">
        <f>IF(AB92=TRUE,(VLOOKUP($AJ84,Match!$T$5:$U$10,2,FALSE)))</f>
        <v>0</v>
      </c>
      <c r="AD92" s="8">
        <v>3</v>
      </c>
      <c r="AE92" s="8">
        <v>2</v>
      </c>
      <c r="AF92" s="8">
        <v>2</v>
      </c>
      <c r="AG92" s="8">
        <v>1</v>
      </c>
      <c r="AH92" s="8" t="str">
        <f t="shared" si="32"/>
        <v/>
      </c>
      <c r="BA92" s="24"/>
      <c r="BC92" s="12"/>
    </row>
    <row r="93" spans="1:55" x14ac:dyDescent="0.25">
      <c r="A93" s="29">
        <f t="shared" si="16"/>
        <v>0</v>
      </c>
      <c r="B93" s="29">
        <f t="shared" si="18"/>
        <v>0</v>
      </c>
      <c r="C93" s="29">
        <f t="shared" si="19"/>
        <v>0</v>
      </c>
      <c r="D93" s="29">
        <f t="shared" si="20"/>
        <v>0</v>
      </c>
      <c r="E93" s="29">
        <f t="shared" si="17"/>
        <v>0</v>
      </c>
      <c r="F93" s="29">
        <f t="shared" si="21"/>
        <v>0</v>
      </c>
      <c r="G93" s="29" t="str">
        <f t="shared" si="22"/>
        <v>offensive</v>
      </c>
      <c r="H93" s="16">
        <f t="shared" si="23"/>
        <v>0</v>
      </c>
      <c r="I93" s="16">
        <f t="shared" si="24"/>
        <v>0</v>
      </c>
      <c r="J93" s="16">
        <f t="shared" si="25"/>
        <v>0</v>
      </c>
      <c r="K93" s="16">
        <f t="shared" si="26"/>
        <v>0</v>
      </c>
      <c r="L93" s="67">
        <f t="shared" si="27"/>
        <v>0</v>
      </c>
      <c r="M93" s="4">
        <f t="shared" si="28"/>
        <v>0</v>
      </c>
      <c r="N93" s="4">
        <f t="shared" si="29"/>
        <v>0</v>
      </c>
      <c r="O93" s="4">
        <f t="shared" si="30"/>
        <v>0</v>
      </c>
      <c r="P93" s="4" t="e">
        <f>VLOOKUP(AJ85,'CIR Team Info'!$C$5:$E$44,2,FALSE)</f>
        <v>#N/A</v>
      </c>
      <c r="Q93" s="4" t="e">
        <f>VLOOKUP(AJ85,'CIR Team Info'!$C$5:$E$44,3,FALSE)</f>
        <v>#N/A</v>
      </c>
      <c r="R93" s="10" t="e">
        <f>VLOOKUP(AJ85,'FRC Site Data'!$B$3:$L$42,2,FALSE)</f>
        <v>#N/A</v>
      </c>
      <c r="S93" s="10" t="e">
        <f>VLOOKUP(AJ85,'FRC Site Data'!$B$3:$L$42,3,FALSE)</f>
        <v>#N/A</v>
      </c>
      <c r="T93" s="10" t="e">
        <f>VLOOKUP(AJ85,'FRC Site Data'!$B$3:$L$42,4,FALSE)</f>
        <v>#N/A</v>
      </c>
      <c r="U93" s="10" t="e">
        <f>VLOOKUP(AJ85,'FRC Site Data'!$B$3:$L$42,5,FALSE)</f>
        <v>#N/A</v>
      </c>
      <c r="V93" s="10" t="e">
        <f>VLOOKUP(AJ85,'FRC Site Data'!$B$3:$L$42,6,FALSE)</f>
        <v>#N/A</v>
      </c>
      <c r="W93" s="10" t="e">
        <f>VLOOKUP(AJ85,'FRC Site Data'!$B$3:$L$42,8,FALSE)</f>
        <v>#N/A</v>
      </c>
      <c r="X93" s="10" t="e">
        <f>VLOOKUP(AJ85,'FRC Site Data'!$B$3:$L$42,9,FALSE)</f>
        <v>#N/A</v>
      </c>
      <c r="Y93" s="10" t="e">
        <f>VLOOKUP(AJ85,'FRC Site Data'!$B$3:$L$42,10,FALSE)</f>
        <v>#N/A</v>
      </c>
      <c r="Z93" s="10" t="e">
        <f>VLOOKUP(AJ85,'FRC Site Data'!$B$3:$L$42,11,FALSE)</f>
        <v>#N/A</v>
      </c>
      <c r="AA93" s="10" t="e">
        <f>VLOOKUP(AJ85,'CIR Team Info'!$C$5:$E$44,4,FALSE)</f>
        <v>#N/A</v>
      </c>
      <c r="AB93" s="161" t="b">
        <f>ISNUMBER(VLOOKUP(AJ85,Match!$T$5:$T$10,1,FALSE))</f>
        <v>0</v>
      </c>
      <c r="AC93" s="161" t="b">
        <f>IF(AB93=TRUE,(VLOOKUP($AJ85,Match!$T$5:$U$10,2,FALSE)))</f>
        <v>0</v>
      </c>
      <c r="AD93" s="8">
        <v>3</v>
      </c>
      <c r="AE93" s="8">
        <v>2</v>
      </c>
      <c r="AF93" s="8">
        <v>2</v>
      </c>
      <c r="AG93" s="8">
        <v>1</v>
      </c>
      <c r="AH93" s="8" t="str">
        <f t="shared" si="32"/>
        <v/>
      </c>
      <c r="BA93" s="24"/>
      <c r="BC93" s="12"/>
    </row>
    <row r="94" spans="1:55" x14ac:dyDescent="0.25">
      <c r="A94" s="29">
        <f t="shared" si="16"/>
        <v>0</v>
      </c>
      <c r="B94" s="29">
        <f t="shared" si="18"/>
        <v>0</v>
      </c>
      <c r="C94" s="29">
        <f t="shared" si="19"/>
        <v>0</v>
      </c>
      <c r="D94" s="29">
        <f t="shared" si="20"/>
        <v>0</v>
      </c>
      <c r="E94" s="29">
        <f t="shared" si="17"/>
        <v>0</v>
      </c>
      <c r="F94" s="29">
        <f t="shared" si="21"/>
        <v>0</v>
      </c>
      <c r="G94" s="29" t="str">
        <f t="shared" si="22"/>
        <v>offensive</v>
      </c>
      <c r="H94" s="16">
        <f t="shared" si="23"/>
        <v>0</v>
      </c>
      <c r="I94" s="16">
        <f t="shared" si="24"/>
        <v>0</v>
      </c>
      <c r="J94" s="16">
        <f t="shared" si="25"/>
        <v>0</v>
      </c>
      <c r="K94" s="16">
        <f t="shared" si="26"/>
        <v>0</v>
      </c>
      <c r="L94" s="67">
        <f t="shared" si="27"/>
        <v>0</v>
      </c>
      <c r="M94" s="4">
        <f t="shared" si="28"/>
        <v>0</v>
      </c>
      <c r="N94" s="4">
        <f t="shared" si="29"/>
        <v>0</v>
      </c>
      <c r="O94" s="4">
        <f t="shared" si="30"/>
        <v>0</v>
      </c>
      <c r="P94" s="4" t="e">
        <f>VLOOKUP(AJ86,'CIR Team Info'!$C$5:$E$44,2,FALSE)</f>
        <v>#N/A</v>
      </c>
      <c r="Q94" s="4" t="e">
        <f>VLOOKUP(AJ86,'CIR Team Info'!$C$5:$E$44,3,FALSE)</f>
        <v>#N/A</v>
      </c>
      <c r="R94" s="10" t="e">
        <f>VLOOKUP(AJ86,'FRC Site Data'!$B$3:$L$42,2,FALSE)</f>
        <v>#N/A</v>
      </c>
      <c r="S94" s="10" t="e">
        <f>VLOOKUP(AJ86,'FRC Site Data'!$B$3:$L$42,3,FALSE)</f>
        <v>#N/A</v>
      </c>
      <c r="T94" s="10" t="e">
        <f>VLOOKUP(AJ86,'FRC Site Data'!$B$3:$L$42,4,FALSE)</f>
        <v>#N/A</v>
      </c>
      <c r="U94" s="10" t="e">
        <f>VLOOKUP(AJ86,'FRC Site Data'!$B$3:$L$42,5,FALSE)</f>
        <v>#N/A</v>
      </c>
      <c r="V94" s="10" t="e">
        <f>VLOOKUP(AJ86,'FRC Site Data'!$B$3:$L$42,6,FALSE)</f>
        <v>#N/A</v>
      </c>
      <c r="W94" s="10" t="e">
        <f>VLOOKUP(AJ86,'FRC Site Data'!$B$3:$L$42,8,FALSE)</f>
        <v>#N/A</v>
      </c>
      <c r="X94" s="10" t="e">
        <f>VLOOKUP(AJ86,'FRC Site Data'!$B$3:$L$42,9,FALSE)</f>
        <v>#N/A</v>
      </c>
      <c r="Y94" s="10" t="e">
        <f>VLOOKUP(AJ86,'FRC Site Data'!$B$3:$L$42,10,FALSE)</f>
        <v>#N/A</v>
      </c>
      <c r="Z94" s="10" t="e">
        <f>VLOOKUP(AJ86,'FRC Site Data'!$B$3:$L$42,11,FALSE)</f>
        <v>#N/A</v>
      </c>
      <c r="AA94" s="10" t="e">
        <f>VLOOKUP(AJ86,'CIR Team Info'!$C$5:$E$44,4,FALSE)</f>
        <v>#N/A</v>
      </c>
      <c r="AB94" s="161" t="b">
        <f>ISNUMBER(VLOOKUP(AJ86,Match!$T$5:$T$10,1,FALSE))</f>
        <v>0</v>
      </c>
      <c r="AC94" s="161" t="b">
        <f>IF(AB94=TRUE,(VLOOKUP($AJ86,Match!$T$5:$U$10,2,FALSE)))</f>
        <v>0</v>
      </c>
      <c r="AD94" s="8">
        <v>3</v>
      </c>
      <c r="AE94" s="8">
        <v>2</v>
      </c>
      <c r="AF94" s="8">
        <v>2</v>
      </c>
      <c r="AG94" s="8">
        <v>1</v>
      </c>
      <c r="AH94" s="8" t="str">
        <f t="shared" si="32"/>
        <v/>
      </c>
      <c r="BA94" s="24"/>
      <c r="BC94" s="12"/>
    </row>
    <row r="95" spans="1:55" x14ac:dyDescent="0.25">
      <c r="A95" s="29">
        <f t="shared" si="16"/>
        <v>0</v>
      </c>
      <c r="B95" s="29">
        <f t="shared" si="18"/>
        <v>0</v>
      </c>
      <c r="C95" s="29">
        <f t="shared" si="19"/>
        <v>0</v>
      </c>
      <c r="D95" s="29">
        <f t="shared" si="20"/>
        <v>0</v>
      </c>
      <c r="E95" s="29">
        <f t="shared" si="17"/>
        <v>0</v>
      </c>
      <c r="F95" s="29">
        <f t="shared" si="21"/>
        <v>0</v>
      </c>
      <c r="G95" s="29" t="str">
        <f t="shared" si="22"/>
        <v>offensive</v>
      </c>
      <c r="H95" s="16">
        <f t="shared" si="23"/>
        <v>0</v>
      </c>
      <c r="I95" s="16">
        <f t="shared" si="24"/>
        <v>0</v>
      </c>
      <c r="J95" s="16">
        <f t="shared" si="25"/>
        <v>0</v>
      </c>
      <c r="K95" s="16">
        <f t="shared" si="26"/>
        <v>0</v>
      </c>
      <c r="L95" s="67">
        <f t="shared" si="27"/>
        <v>0</v>
      </c>
      <c r="M95" s="4">
        <f t="shared" si="28"/>
        <v>0</v>
      </c>
      <c r="N95" s="4">
        <f t="shared" si="29"/>
        <v>0</v>
      </c>
      <c r="O95" s="4">
        <f t="shared" si="30"/>
        <v>0</v>
      </c>
      <c r="P95" s="4" t="e">
        <f>VLOOKUP(AJ87,'CIR Team Info'!$C$5:$E$44,2,FALSE)</f>
        <v>#N/A</v>
      </c>
      <c r="Q95" s="4" t="e">
        <f>VLOOKUP(AJ87,'CIR Team Info'!$C$5:$E$44,3,FALSE)</f>
        <v>#N/A</v>
      </c>
      <c r="R95" s="10" t="e">
        <f>VLOOKUP(AJ87,'FRC Site Data'!$B$3:$L$42,2,FALSE)</f>
        <v>#N/A</v>
      </c>
      <c r="S95" s="10" t="e">
        <f>VLOOKUP(AJ87,'FRC Site Data'!$B$3:$L$42,3,FALSE)</f>
        <v>#N/A</v>
      </c>
      <c r="T95" s="10" t="e">
        <f>VLOOKUP(AJ87,'FRC Site Data'!$B$3:$L$42,4,FALSE)</f>
        <v>#N/A</v>
      </c>
      <c r="U95" s="10" t="e">
        <f>VLOOKUP(AJ87,'FRC Site Data'!$B$3:$L$42,5,FALSE)</f>
        <v>#N/A</v>
      </c>
      <c r="V95" s="10" t="e">
        <f>VLOOKUP(AJ87,'FRC Site Data'!$B$3:$L$42,6,FALSE)</f>
        <v>#N/A</v>
      </c>
      <c r="W95" s="10" t="e">
        <f>VLOOKUP(AJ87,'FRC Site Data'!$B$3:$L$42,8,FALSE)</f>
        <v>#N/A</v>
      </c>
      <c r="X95" s="10" t="e">
        <f>VLOOKUP(AJ87,'FRC Site Data'!$B$3:$L$42,9,FALSE)</f>
        <v>#N/A</v>
      </c>
      <c r="Y95" s="10" t="e">
        <f>VLOOKUP(AJ87,'FRC Site Data'!$B$3:$L$42,10,FALSE)</f>
        <v>#N/A</v>
      </c>
      <c r="Z95" s="10" t="e">
        <f>VLOOKUP(AJ87,'FRC Site Data'!$B$3:$L$42,11,FALSE)</f>
        <v>#N/A</v>
      </c>
      <c r="AA95" s="10" t="e">
        <f>VLOOKUP(AJ87,'CIR Team Info'!$C$5:$E$44,4,FALSE)</f>
        <v>#N/A</v>
      </c>
      <c r="AB95" s="161" t="b">
        <f>ISNUMBER(VLOOKUP(AJ87,Match!$T$5:$T$10,1,FALSE))</f>
        <v>0</v>
      </c>
      <c r="AC95" s="161" t="b">
        <f>IF(AB95=TRUE,(VLOOKUP($AJ87,Match!$T$5:$U$10,2,FALSE)))</f>
        <v>0</v>
      </c>
      <c r="AD95" s="8">
        <v>3</v>
      </c>
      <c r="AE95" s="8">
        <v>2</v>
      </c>
      <c r="AF95" s="8">
        <v>2</v>
      </c>
      <c r="AG95" s="8">
        <v>1</v>
      </c>
      <c r="AH95" s="8" t="str">
        <f t="shared" si="32"/>
        <v/>
      </c>
      <c r="BA95" s="24"/>
      <c r="BC95" s="12"/>
    </row>
    <row r="96" spans="1:55" x14ac:dyDescent="0.25">
      <c r="A96" s="29">
        <f t="shared" si="16"/>
        <v>0</v>
      </c>
      <c r="B96" s="29">
        <f t="shared" si="18"/>
        <v>0</v>
      </c>
      <c r="C96" s="29">
        <f t="shared" si="19"/>
        <v>0</v>
      </c>
      <c r="D96" s="29">
        <f t="shared" si="20"/>
        <v>0</v>
      </c>
      <c r="E96" s="29">
        <f t="shared" si="17"/>
        <v>0</v>
      </c>
      <c r="F96" s="29">
        <f t="shared" si="21"/>
        <v>0</v>
      </c>
      <c r="G96" s="29" t="str">
        <f t="shared" si="22"/>
        <v>offensive</v>
      </c>
      <c r="H96" s="16">
        <f t="shared" si="23"/>
        <v>0</v>
      </c>
      <c r="I96" s="16">
        <f t="shared" si="24"/>
        <v>0</v>
      </c>
      <c r="J96" s="16">
        <f t="shared" si="25"/>
        <v>0</v>
      </c>
      <c r="K96" s="16">
        <f t="shared" si="26"/>
        <v>0</v>
      </c>
      <c r="L96" s="67">
        <f t="shared" si="27"/>
        <v>0</v>
      </c>
      <c r="M96" s="4">
        <f t="shared" si="28"/>
        <v>0</v>
      </c>
      <c r="N96" s="4">
        <f t="shared" si="29"/>
        <v>0</v>
      </c>
      <c r="O96" s="4">
        <f t="shared" si="30"/>
        <v>0</v>
      </c>
      <c r="P96" s="4" t="e">
        <f>VLOOKUP(AJ88,'CIR Team Info'!$C$5:$E$44,2,FALSE)</f>
        <v>#N/A</v>
      </c>
      <c r="Q96" s="4" t="e">
        <f>VLOOKUP(AJ88,'CIR Team Info'!$C$5:$E$44,3,FALSE)</f>
        <v>#N/A</v>
      </c>
      <c r="R96" s="10" t="e">
        <f>VLOOKUP(AJ88,'FRC Site Data'!$B$3:$L$42,2,FALSE)</f>
        <v>#N/A</v>
      </c>
      <c r="S96" s="10" t="e">
        <f>VLOOKUP(AJ88,'FRC Site Data'!$B$3:$L$42,3,FALSE)</f>
        <v>#N/A</v>
      </c>
      <c r="T96" s="10" t="e">
        <f>VLOOKUP(AJ88,'FRC Site Data'!$B$3:$L$42,4,FALSE)</f>
        <v>#N/A</v>
      </c>
      <c r="U96" s="10" t="e">
        <f>VLOOKUP(AJ88,'FRC Site Data'!$B$3:$L$42,5,FALSE)</f>
        <v>#N/A</v>
      </c>
      <c r="V96" s="10" t="e">
        <f>VLOOKUP(AJ88,'FRC Site Data'!$B$3:$L$42,6,FALSE)</f>
        <v>#N/A</v>
      </c>
      <c r="W96" s="10" t="e">
        <f>VLOOKUP(AJ88,'FRC Site Data'!$B$3:$L$42,8,FALSE)</f>
        <v>#N/A</v>
      </c>
      <c r="X96" s="10" t="e">
        <f>VLOOKUP(AJ88,'FRC Site Data'!$B$3:$L$42,9,FALSE)</f>
        <v>#N/A</v>
      </c>
      <c r="Y96" s="10" t="e">
        <f>VLOOKUP(AJ88,'FRC Site Data'!$B$3:$L$42,10,FALSE)</f>
        <v>#N/A</v>
      </c>
      <c r="Z96" s="10" t="e">
        <f>VLOOKUP(AJ88,'FRC Site Data'!$B$3:$L$42,11,FALSE)</f>
        <v>#N/A</v>
      </c>
      <c r="AA96" s="10" t="e">
        <f>VLOOKUP(AJ88,'CIR Team Info'!$C$5:$E$44,4,FALSE)</f>
        <v>#N/A</v>
      </c>
      <c r="AB96" s="161" t="b">
        <f>ISNUMBER(VLOOKUP($AJ88,Match!$T$5:$T$10,1,FALSE))</f>
        <v>0</v>
      </c>
      <c r="AC96" s="161" t="b">
        <f>IF(AB96=TRUE,(VLOOKUP($AJ88,Match!$T$5:$U$10,2,FALSE)))</f>
        <v>0</v>
      </c>
      <c r="AD96" s="8">
        <v>3</v>
      </c>
      <c r="AE96" s="8">
        <v>2</v>
      </c>
      <c r="AF96" s="8">
        <v>2</v>
      </c>
      <c r="AG96" s="8">
        <v>1</v>
      </c>
      <c r="AH96" s="8" t="str">
        <f t="shared" si="32"/>
        <v/>
      </c>
      <c r="BA96" s="24"/>
      <c r="BC96" s="12"/>
    </row>
    <row r="97" spans="1:55" x14ac:dyDescent="0.25">
      <c r="A97" s="29">
        <f t="shared" si="16"/>
        <v>0</v>
      </c>
      <c r="B97" s="29">
        <f t="shared" si="18"/>
        <v>0</v>
      </c>
      <c r="C97" s="29">
        <f t="shared" si="19"/>
        <v>0</v>
      </c>
      <c r="D97" s="29">
        <f t="shared" si="20"/>
        <v>0</v>
      </c>
      <c r="E97" s="29">
        <f t="shared" si="17"/>
        <v>0</v>
      </c>
      <c r="F97" s="29">
        <f t="shared" si="21"/>
        <v>0</v>
      </c>
      <c r="G97" s="29" t="str">
        <f t="shared" si="22"/>
        <v>offensive</v>
      </c>
      <c r="H97" s="16">
        <f t="shared" si="23"/>
        <v>0</v>
      </c>
      <c r="I97" s="16">
        <f t="shared" si="24"/>
        <v>0</v>
      </c>
      <c r="J97" s="16">
        <f t="shared" si="25"/>
        <v>0</v>
      </c>
      <c r="K97" s="16">
        <f t="shared" si="26"/>
        <v>0</v>
      </c>
      <c r="L97" s="67">
        <f t="shared" si="27"/>
        <v>0</v>
      </c>
      <c r="M97" s="4">
        <f t="shared" si="28"/>
        <v>0</v>
      </c>
      <c r="N97" s="4">
        <f t="shared" si="29"/>
        <v>0</v>
      </c>
      <c r="O97" s="4">
        <f t="shared" si="30"/>
        <v>0</v>
      </c>
      <c r="P97" s="4" t="e">
        <f>VLOOKUP(AJ89,'CIR Team Info'!$C$5:$E$44,2,FALSE)</f>
        <v>#N/A</v>
      </c>
      <c r="Q97" s="4" t="e">
        <f>VLOOKUP(AJ89,'CIR Team Info'!$C$5:$E$44,3,FALSE)</f>
        <v>#N/A</v>
      </c>
      <c r="R97" s="10" t="e">
        <f>VLOOKUP(AJ89,'FRC Site Data'!$B$3:$L$42,2,FALSE)</f>
        <v>#N/A</v>
      </c>
      <c r="S97" s="10" t="e">
        <f>VLOOKUP(AJ89,'FRC Site Data'!$B$3:$L$42,3,FALSE)</f>
        <v>#N/A</v>
      </c>
      <c r="T97" s="10" t="e">
        <f>VLOOKUP(AJ89,'FRC Site Data'!$B$3:$L$42,4,FALSE)</f>
        <v>#N/A</v>
      </c>
      <c r="U97" s="10" t="e">
        <f>VLOOKUP(AJ89,'FRC Site Data'!$B$3:$L$42,5,FALSE)</f>
        <v>#N/A</v>
      </c>
      <c r="V97" s="10" t="e">
        <f>VLOOKUP(AJ89,'FRC Site Data'!$B$3:$L$42,6,FALSE)</f>
        <v>#N/A</v>
      </c>
      <c r="W97" s="10" t="e">
        <f>VLOOKUP(AJ89,'FRC Site Data'!$B$3:$L$42,8,FALSE)</f>
        <v>#N/A</v>
      </c>
      <c r="X97" s="10" t="e">
        <f>VLOOKUP(AJ89,'FRC Site Data'!$B$3:$L$42,9,FALSE)</f>
        <v>#N/A</v>
      </c>
      <c r="Y97" s="10" t="e">
        <f>VLOOKUP(AJ89,'FRC Site Data'!$B$3:$L$42,10,FALSE)</f>
        <v>#N/A</v>
      </c>
      <c r="Z97" s="10" t="e">
        <f>VLOOKUP(AJ89,'FRC Site Data'!$B$3:$L$42,11,FALSE)</f>
        <v>#N/A</v>
      </c>
      <c r="AA97" s="10" t="e">
        <f>VLOOKUP(AJ89,'CIR Team Info'!$C$5:$E$44,4,FALSE)</f>
        <v>#N/A</v>
      </c>
      <c r="AB97" s="161" t="b">
        <f>ISNUMBER(VLOOKUP(AJ89,Match!$T$5:$T$10,1,FALSE))</f>
        <v>0</v>
      </c>
      <c r="AC97" s="161" t="b">
        <f>IF(AB97=TRUE,(VLOOKUP($AJ89,Match!$T$5:$U$10,2,FALSE)))</f>
        <v>0</v>
      </c>
      <c r="AD97" s="8">
        <v>3</v>
      </c>
      <c r="AE97" s="8">
        <v>2</v>
      </c>
      <c r="AF97" s="8">
        <v>2</v>
      </c>
      <c r="AG97" s="8">
        <v>1</v>
      </c>
      <c r="AH97" s="8" t="str">
        <f t="shared" si="32"/>
        <v/>
      </c>
      <c r="BA97" s="24"/>
      <c r="BC97" s="12"/>
    </row>
    <row r="98" spans="1:55" x14ac:dyDescent="0.25">
      <c r="A98" s="29">
        <f t="shared" si="16"/>
        <v>0</v>
      </c>
      <c r="B98" s="29">
        <f t="shared" si="18"/>
        <v>0</v>
      </c>
      <c r="C98" s="29">
        <f t="shared" si="19"/>
        <v>0</v>
      </c>
      <c r="D98" s="29">
        <f t="shared" si="20"/>
        <v>0</v>
      </c>
      <c r="E98" s="29">
        <f t="shared" si="17"/>
        <v>0</v>
      </c>
      <c r="F98" s="29">
        <f t="shared" si="21"/>
        <v>0</v>
      </c>
      <c r="G98" s="29" t="str">
        <f t="shared" si="22"/>
        <v>offensive</v>
      </c>
      <c r="H98" s="16">
        <f t="shared" si="23"/>
        <v>0</v>
      </c>
      <c r="I98" s="16">
        <f t="shared" si="24"/>
        <v>0</v>
      </c>
      <c r="J98" s="16">
        <f t="shared" si="25"/>
        <v>0</v>
      </c>
      <c r="K98" s="16">
        <f t="shared" si="26"/>
        <v>0</v>
      </c>
      <c r="L98" s="67">
        <f t="shared" si="27"/>
        <v>0</v>
      </c>
      <c r="M98" s="4">
        <f t="shared" si="28"/>
        <v>0</v>
      </c>
      <c r="N98" s="4">
        <f t="shared" si="29"/>
        <v>0</v>
      </c>
      <c r="O98" s="4">
        <f t="shared" si="30"/>
        <v>0</v>
      </c>
      <c r="P98" s="4" t="e">
        <f>VLOOKUP(AJ90,'CIR Team Info'!$C$5:$E$44,2,FALSE)</f>
        <v>#N/A</v>
      </c>
      <c r="Q98" s="4" t="e">
        <f>VLOOKUP(AJ90,'CIR Team Info'!$C$5:$E$44,3,FALSE)</f>
        <v>#N/A</v>
      </c>
      <c r="R98" s="10" t="e">
        <f>VLOOKUP(AJ90,'FRC Site Data'!$B$3:$L$42,2,FALSE)</f>
        <v>#N/A</v>
      </c>
      <c r="S98" s="10" t="e">
        <f>VLOOKUP(AJ90,'FRC Site Data'!$B$3:$L$42,3,FALSE)</f>
        <v>#N/A</v>
      </c>
      <c r="T98" s="10" t="e">
        <f>VLOOKUP(AJ90,'FRC Site Data'!$B$3:$L$42,4,FALSE)</f>
        <v>#N/A</v>
      </c>
      <c r="U98" s="10" t="e">
        <f>VLOOKUP(AJ90,'FRC Site Data'!$B$3:$L$42,5,FALSE)</f>
        <v>#N/A</v>
      </c>
      <c r="V98" s="10" t="e">
        <f>VLOOKUP(AJ90,'FRC Site Data'!$B$3:$L$42,6,FALSE)</f>
        <v>#N/A</v>
      </c>
      <c r="W98" s="10" t="e">
        <f>VLOOKUP(AJ90,'FRC Site Data'!$B$3:$L$42,8,FALSE)</f>
        <v>#N/A</v>
      </c>
      <c r="X98" s="10" t="e">
        <f>VLOOKUP(AJ90,'FRC Site Data'!$B$3:$L$42,9,FALSE)</f>
        <v>#N/A</v>
      </c>
      <c r="Y98" s="10" t="e">
        <f>VLOOKUP(AJ90,'FRC Site Data'!$B$3:$L$42,10,FALSE)</f>
        <v>#N/A</v>
      </c>
      <c r="Z98" s="10" t="e">
        <f>VLOOKUP(AJ90,'FRC Site Data'!$B$3:$L$42,11,FALSE)</f>
        <v>#N/A</v>
      </c>
      <c r="AA98" s="10" t="e">
        <f>VLOOKUP(AJ90,'CIR Team Info'!$C$5:$E$44,4,FALSE)</f>
        <v>#N/A</v>
      </c>
      <c r="AB98" s="161" t="b">
        <f>ISNUMBER(VLOOKUP(AJ90,Match!$T$5:$T$10,1,FALSE))</f>
        <v>0</v>
      </c>
      <c r="AC98" s="161" t="b">
        <f>IF(AB98=TRUE,(VLOOKUP($AJ90,Match!$T$5:$U$10,2,FALSE)))</f>
        <v>0</v>
      </c>
      <c r="AD98" s="8">
        <v>3</v>
      </c>
      <c r="AE98" s="8">
        <v>2</v>
      </c>
      <c r="AF98" s="8">
        <v>2</v>
      </c>
      <c r="AG98" s="8">
        <v>1</v>
      </c>
      <c r="AH98" s="8" t="str">
        <f t="shared" si="32"/>
        <v/>
      </c>
      <c r="BA98" s="24"/>
      <c r="BC98" s="12"/>
    </row>
    <row r="99" spans="1:55" x14ac:dyDescent="0.25">
      <c r="A99" s="29">
        <f t="shared" si="16"/>
        <v>0</v>
      </c>
      <c r="B99" s="29">
        <f t="shared" si="18"/>
        <v>0</v>
      </c>
      <c r="C99" s="29">
        <f t="shared" si="19"/>
        <v>0</v>
      </c>
      <c r="D99" s="29">
        <f t="shared" si="20"/>
        <v>0</v>
      </c>
      <c r="E99" s="29">
        <f t="shared" si="17"/>
        <v>0</v>
      </c>
      <c r="F99" s="29">
        <f t="shared" si="21"/>
        <v>0</v>
      </c>
      <c r="G99" s="29" t="str">
        <f t="shared" si="22"/>
        <v>offensive</v>
      </c>
      <c r="H99" s="16">
        <f t="shared" si="23"/>
        <v>0</v>
      </c>
      <c r="I99" s="16">
        <f t="shared" si="24"/>
        <v>0</v>
      </c>
      <c r="J99" s="16">
        <f t="shared" si="25"/>
        <v>0</v>
      </c>
      <c r="K99" s="16">
        <f t="shared" si="26"/>
        <v>0</v>
      </c>
      <c r="L99" s="67">
        <f t="shared" si="27"/>
        <v>0</v>
      </c>
      <c r="M99" s="4">
        <f t="shared" si="28"/>
        <v>0</v>
      </c>
      <c r="N99" s="4">
        <f t="shared" si="29"/>
        <v>0</v>
      </c>
      <c r="O99" s="4">
        <f t="shared" si="30"/>
        <v>0</v>
      </c>
      <c r="P99" s="4" t="e">
        <f>VLOOKUP(AJ91,'CIR Team Info'!$C$5:$E$44,2,FALSE)</f>
        <v>#N/A</v>
      </c>
      <c r="Q99" s="4" t="e">
        <f>VLOOKUP(AJ91,'CIR Team Info'!$C$5:$E$44,3,FALSE)</f>
        <v>#N/A</v>
      </c>
      <c r="R99" s="10" t="e">
        <f>VLOOKUP(AJ91,'FRC Site Data'!$B$3:$L$42,2,FALSE)</f>
        <v>#N/A</v>
      </c>
      <c r="S99" s="10" t="e">
        <f>VLOOKUP(AJ91,'FRC Site Data'!$B$3:$L$42,3,FALSE)</f>
        <v>#N/A</v>
      </c>
      <c r="T99" s="10" t="e">
        <f>VLOOKUP(AJ91,'FRC Site Data'!$B$3:$L$42,4,FALSE)</f>
        <v>#N/A</v>
      </c>
      <c r="U99" s="10" t="e">
        <f>VLOOKUP(AJ91,'FRC Site Data'!$B$3:$L$42,5,FALSE)</f>
        <v>#N/A</v>
      </c>
      <c r="V99" s="10" t="e">
        <f>VLOOKUP(AJ91,'FRC Site Data'!$B$3:$L$42,6,FALSE)</f>
        <v>#N/A</v>
      </c>
      <c r="W99" s="10" t="e">
        <f>VLOOKUP(AJ91,'FRC Site Data'!$B$3:$L$42,8,FALSE)</f>
        <v>#N/A</v>
      </c>
      <c r="X99" s="10" t="e">
        <f>VLOOKUP(AJ91,'FRC Site Data'!$B$3:$L$42,9,FALSE)</f>
        <v>#N/A</v>
      </c>
      <c r="Y99" s="10" t="e">
        <f>VLOOKUP(AJ91,'FRC Site Data'!$B$3:$L$42,10,FALSE)</f>
        <v>#N/A</v>
      </c>
      <c r="Z99" s="10" t="e">
        <f>VLOOKUP(AJ91,'FRC Site Data'!$B$3:$L$42,11,FALSE)</f>
        <v>#N/A</v>
      </c>
      <c r="AA99" s="10" t="e">
        <f>VLOOKUP(AJ91,'CIR Team Info'!$C$5:$E$44,4,FALSE)</f>
        <v>#N/A</v>
      </c>
      <c r="AB99" s="161" t="b">
        <f>ISNUMBER(VLOOKUP(AJ91,Match!$T$5:$T$10,1,FALSE))</f>
        <v>0</v>
      </c>
      <c r="AC99" s="161" t="b">
        <f>IF(AB99=TRUE,(VLOOKUP($AJ91,Match!$T$5:$U$10,2,FALSE)))</f>
        <v>0</v>
      </c>
      <c r="AD99" s="8">
        <v>3</v>
      </c>
      <c r="AE99" s="8">
        <v>2</v>
      </c>
      <c r="AF99" s="8">
        <v>2</v>
      </c>
      <c r="AG99" s="8">
        <v>1</v>
      </c>
      <c r="AH99" s="8" t="str">
        <f t="shared" si="32"/>
        <v/>
      </c>
      <c r="BA99" s="24"/>
      <c r="BC99" s="12"/>
    </row>
    <row r="100" spans="1:55" x14ac:dyDescent="0.25">
      <c r="A100" s="29">
        <f t="shared" si="16"/>
        <v>0</v>
      </c>
      <c r="B100" s="29">
        <f t="shared" si="18"/>
        <v>0</v>
      </c>
      <c r="C100" s="29">
        <f t="shared" si="19"/>
        <v>0</v>
      </c>
      <c r="D100" s="29">
        <f t="shared" si="20"/>
        <v>0</v>
      </c>
      <c r="E100" s="29">
        <f t="shared" si="17"/>
        <v>0</v>
      </c>
      <c r="F100" s="29">
        <f t="shared" si="21"/>
        <v>0</v>
      </c>
      <c r="G100" s="29" t="str">
        <f t="shared" si="22"/>
        <v>offensive</v>
      </c>
      <c r="H100" s="16">
        <f t="shared" si="23"/>
        <v>0</v>
      </c>
      <c r="I100" s="16">
        <f t="shared" si="24"/>
        <v>0</v>
      </c>
      <c r="J100" s="16">
        <f t="shared" si="25"/>
        <v>0</v>
      </c>
      <c r="K100" s="16">
        <f t="shared" si="26"/>
        <v>0</v>
      </c>
      <c r="L100" s="67">
        <f t="shared" si="27"/>
        <v>0</v>
      </c>
      <c r="M100" s="4">
        <f t="shared" si="28"/>
        <v>0</v>
      </c>
      <c r="N100" s="4">
        <f t="shared" si="29"/>
        <v>0</v>
      </c>
      <c r="O100" s="4">
        <f t="shared" si="30"/>
        <v>0</v>
      </c>
      <c r="P100" s="4" t="e">
        <f>VLOOKUP(AJ92,'CIR Team Info'!$C$5:$E$44,2,FALSE)</f>
        <v>#N/A</v>
      </c>
      <c r="Q100" s="4" t="e">
        <f>VLOOKUP(AJ92,'CIR Team Info'!$C$5:$E$44,3,FALSE)</f>
        <v>#N/A</v>
      </c>
      <c r="R100" s="10" t="e">
        <f>VLOOKUP(AJ92,'FRC Site Data'!$B$3:$L$42,2,FALSE)</f>
        <v>#N/A</v>
      </c>
      <c r="S100" s="10" t="e">
        <f>VLOOKUP(AJ92,'FRC Site Data'!$B$3:$L$42,3,FALSE)</f>
        <v>#N/A</v>
      </c>
      <c r="T100" s="10" t="e">
        <f>VLOOKUP(AJ92,'FRC Site Data'!$B$3:$L$42,4,FALSE)</f>
        <v>#N/A</v>
      </c>
      <c r="U100" s="10" t="e">
        <f>VLOOKUP(AJ92,'FRC Site Data'!$B$3:$L$42,5,FALSE)</f>
        <v>#N/A</v>
      </c>
      <c r="V100" s="10" t="e">
        <f>VLOOKUP(AJ92,'FRC Site Data'!$B$3:$L$42,6,FALSE)</f>
        <v>#N/A</v>
      </c>
      <c r="W100" s="10" t="e">
        <f>VLOOKUP(AJ92,'FRC Site Data'!$B$3:$L$42,8,FALSE)</f>
        <v>#N/A</v>
      </c>
      <c r="X100" s="10" t="e">
        <f>VLOOKUP(AJ92,'FRC Site Data'!$B$3:$L$42,9,FALSE)</f>
        <v>#N/A</v>
      </c>
      <c r="Y100" s="10" t="e">
        <f>VLOOKUP(AJ92,'FRC Site Data'!$B$3:$L$42,10,FALSE)</f>
        <v>#N/A</v>
      </c>
      <c r="Z100" s="10" t="e">
        <f>VLOOKUP(AJ92,'FRC Site Data'!$B$3:$L$42,11,FALSE)</f>
        <v>#N/A</v>
      </c>
      <c r="AA100" s="10" t="e">
        <f>VLOOKUP(AJ92,'CIR Team Info'!$C$5:$E$44,4,FALSE)</f>
        <v>#N/A</v>
      </c>
      <c r="AB100" s="161" t="b">
        <f>ISNUMBER(VLOOKUP(AJ92,Match!$T$5:$T$10,1,FALSE))</f>
        <v>0</v>
      </c>
      <c r="AC100" s="161" t="b">
        <f>IF(AB100=TRUE,(VLOOKUP($AJ92,Match!$T$5:$U$10,2,FALSE)))</f>
        <v>0</v>
      </c>
      <c r="AD100" s="8">
        <v>3</v>
      </c>
      <c r="AE100" s="8">
        <v>2</v>
      </c>
      <c r="AF100" s="8">
        <v>2</v>
      </c>
      <c r="AG100" s="8">
        <v>1</v>
      </c>
      <c r="AH100" s="8" t="str">
        <f t="shared" si="32"/>
        <v/>
      </c>
      <c r="BA100" s="24"/>
      <c r="BC100" s="12"/>
    </row>
    <row r="101" spans="1:55" x14ac:dyDescent="0.25">
      <c r="A101" s="29">
        <f t="shared" si="16"/>
        <v>0</v>
      </c>
      <c r="B101" s="29">
        <f t="shared" si="18"/>
        <v>0</v>
      </c>
      <c r="C101" s="29">
        <f t="shared" si="19"/>
        <v>0</v>
      </c>
      <c r="D101" s="29">
        <f t="shared" si="20"/>
        <v>0</v>
      </c>
      <c r="E101" s="29">
        <f t="shared" si="17"/>
        <v>0</v>
      </c>
      <c r="F101" s="29">
        <f t="shared" si="21"/>
        <v>0</v>
      </c>
      <c r="G101" s="29" t="str">
        <f t="shared" si="22"/>
        <v>offensive</v>
      </c>
      <c r="H101" s="16">
        <f t="shared" si="23"/>
        <v>0</v>
      </c>
      <c r="I101" s="16">
        <f t="shared" si="24"/>
        <v>0</v>
      </c>
      <c r="J101" s="16">
        <f t="shared" si="25"/>
        <v>0</v>
      </c>
      <c r="K101" s="16">
        <f t="shared" si="26"/>
        <v>0</v>
      </c>
      <c r="L101" s="67">
        <f t="shared" si="27"/>
        <v>0</v>
      </c>
      <c r="M101" s="4">
        <f t="shared" si="28"/>
        <v>0</v>
      </c>
      <c r="N101" s="4">
        <f t="shared" si="29"/>
        <v>0</v>
      </c>
      <c r="O101" s="4">
        <f t="shared" si="30"/>
        <v>0</v>
      </c>
      <c r="P101" s="4" t="e">
        <f>VLOOKUP(AJ93,'CIR Team Info'!$C$5:$E$44,2,FALSE)</f>
        <v>#N/A</v>
      </c>
      <c r="Q101" s="4" t="e">
        <f>VLOOKUP(AJ93,'CIR Team Info'!$C$5:$E$44,3,FALSE)</f>
        <v>#N/A</v>
      </c>
      <c r="R101" s="10" t="e">
        <f>VLOOKUP(AJ93,'FRC Site Data'!$B$3:$L$42,2,FALSE)</f>
        <v>#N/A</v>
      </c>
      <c r="S101" s="10" t="e">
        <f>VLOOKUP(AJ93,'FRC Site Data'!$B$3:$L$42,3,FALSE)</f>
        <v>#N/A</v>
      </c>
      <c r="T101" s="10" t="e">
        <f>VLOOKUP(AJ93,'FRC Site Data'!$B$3:$L$42,4,FALSE)</f>
        <v>#N/A</v>
      </c>
      <c r="U101" s="10" t="e">
        <f>VLOOKUP(AJ93,'FRC Site Data'!$B$3:$L$42,5,FALSE)</f>
        <v>#N/A</v>
      </c>
      <c r="V101" s="10" t="e">
        <f>VLOOKUP(AJ93,'FRC Site Data'!$B$3:$L$42,6,FALSE)</f>
        <v>#N/A</v>
      </c>
      <c r="W101" s="10" t="e">
        <f>VLOOKUP(AJ93,'FRC Site Data'!$B$3:$L$42,8,FALSE)</f>
        <v>#N/A</v>
      </c>
      <c r="X101" s="10" t="e">
        <f>VLOOKUP(AJ93,'FRC Site Data'!$B$3:$L$42,9,FALSE)</f>
        <v>#N/A</v>
      </c>
      <c r="Y101" s="10" t="e">
        <f>VLOOKUP(AJ93,'FRC Site Data'!$B$3:$L$42,10,FALSE)</f>
        <v>#N/A</v>
      </c>
      <c r="Z101" s="10" t="e">
        <f>VLOOKUP(AJ93,'FRC Site Data'!$B$3:$L$42,11,FALSE)</f>
        <v>#N/A</v>
      </c>
      <c r="AA101" s="10" t="e">
        <f>VLOOKUP(AJ93,'CIR Team Info'!$C$5:$E$44,4,FALSE)</f>
        <v>#N/A</v>
      </c>
      <c r="AB101" s="161" t="b">
        <f>ISNUMBER(VLOOKUP(AJ93,Match!$T$5:$T$10,1,FALSE))</f>
        <v>0</v>
      </c>
      <c r="AC101" s="161" t="b">
        <f>IF(AB101=TRUE,(VLOOKUP($AJ93,Match!$T$5:$U$10,2,FALSE)))</f>
        <v>0</v>
      </c>
      <c r="AD101" s="8">
        <v>3</v>
      </c>
      <c r="AE101" s="8">
        <v>2</v>
      </c>
      <c r="AF101" s="8">
        <v>2</v>
      </c>
      <c r="AG101" s="8">
        <v>1</v>
      </c>
      <c r="AH101" s="8" t="str">
        <f t="shared" si="32"/>
        <v/>
      </c>
      <c r="BA101" s="24"/>
      <c r="BC101" s="12"/>
    </row>
    <row r="102" spans="1:55" x14ac:dyDescent="0.25">
      <c r="A102" s="29">
        <f t="shared" si="16"/>
        <v>0</v>
      </c>
      <c r="B102" s="29">
        <f t="shared" si="18"/>
        <v>0</v>
      </c>
      <c r="C102" s="29">
        <f t="shared" si="19"/>
        <v>0</v>
      </c>
      <c r="D102" s="29">
        <f t="shared" si="20"/>
        <v>0</v>
      </c>
      <c r="E102" s="29">
        <f t="shared" si="17"/>
        <v>0</v>
      </c>
      <c r="F102" s="29">
        <f t="shared" si="21"/>
        <v>0</v>
      </c>
      <c r="G102" s="29" t="str">
        <f t="shared" si="22"/>
        <v>offensive</v>
      </c>
      <c r="H102" s="16">
        <f t="shared" si="23"/>
        <v>0</v>
      </c>
      <c r="I102" s="16">
        <f t="shared" si="24"/>
        <v>0</v>
      </c>
      <c r="J102" s="16">
        <f t="shared" si="25"/>
        <v>0</v>
      </c>
      <c r="K102" s="16">
        <f t="shared" si="26"/>
        <v>0</v>
      </c>
      <c r="L102" s="67">
        <f t="shared" si="27"/>
        <v>0</v>
      </c>
      <c r="M102" s="4">
        <f t="shared" si="28"/>
        <v>0</v>
      </c>
      <c r="N102" s="4">
        <f t="shared" si="29"/>
        <v>0</v>
      </c>
      <c r="O102" s="4">
        <f t="shared" si="30"/>
        <v>0</v>
      </c>
      <c r="P102" s="4" t="e">
        <f>VLOOKUP(AJ94,'CIR Team Info'!$C$5:$E$44,2,FALSE)</f>
        <v>#N/A</v>
      </c>
      <c r="Q102" s="4" t="e">
        <f>VLOOKUP(AJ94,'CIR Team Info'!$C$5:$E$44,3,FALSE)</f>
        <v>#N/A</v>
      </c>
      <c r="R102" s="10" t="e">
        <f>VLOOKUP(AJ94,'FRC Site Data'!$B$3:$L$42,2,FALSE)</f>
        <v>#N/A</v>
      </c>
      <c r="S102" s="10" t="e">
        <f>VLOOKUP(AJ94,'FRC Site Data'!$B$3:$L$42,3,FALSE)</f>
        <v>#N/A</v>
      </c>
      <c r="T102" s="10" t="e">
        <f>VLOOKUP(AJ94,'FRC Site Data'!$B$3:$L$42,4,FALSE)</f>
        <v>#N/A</v>
      </c>
      <c r="U102" s="10" t="e">
        <f>VLOOKUP(AJ94,'FRC Site Data'!$B$3:$L$42,5,FALSE)</f>
        <v>#N/A</v>
      </c>
      <c r="V102" s="10" t="e">
        <f>VLOOKUP(AJ94,'FRC Site Data'!$B$3:$L$42,6,FALSE)</f>
        <v>#N/A</v>
      </c>
      <c r="W102" s="10" t="e">
        <f>VLOOKUP(AJ94,'FRC Site Data'!$B$3:$L$42,8,FALSE)</f>
        <v>#N/A</v>
      </c>
      <c r="X102" s="10" t="e">
        <f>VLOOKUP(AJ94,'FRC Site Data'!$B$3:$L$42,9,FALSE)</f>
        <v>#N/A</v>
      </c>
      <c r="Y102" s="10" t="e">
        <f>VLOOKUP(AJ94,'FRC Site Data'!$B$3:$L$42,10,FALSE)</f>
        <v>#N/A</v>
      </c>
      <c r="Z102" s="10" t="e">
        <f>VLOOKUP(AJ94,'FRC Site Data'!$B$3:$L$42,11,FALSE)</f>
        <v>#N/A</v>
      </c>
      <c r="AA102" s="10" t="e">
        <f>VLOOKUP(AJ94,'CIR Team Info'!$C$5:$E$44,4,FALSE)</f>
        <v>#N/A</v>
      </c>
      <c r="AB102" s="161" t="b">
        <f>ISNUMBER(VLOOKUP(AJ94,Match!$T$5:$T$10,1,FALSE))</f>
        <v>0</v>
      </c>
      <c r="AC102" s="161" t="b">
        <f>IF(AB102=TRUE,(VLOOKUP($AJ94,Match!$T$5:$U$10,2,FALSE)))</f>
        <v>0</v>
      </c>
      <c r="AD102" s="8">
        <v>3</v>
      </c>
      <c r="AE102" s="8">
        <v>2</v>
      </c>
      <c r="AF102" s="8">
        <v>2</v>
      </c>
      <c r="AG102" s="8">
        <v>1</v>
      </c>
      <c r="AH102" s="8" t="str">
        <f t="shared" si="32"/>
        <v/>
      </c>
      <c r="BA102" s="24"/>
      <c r="BC102" s="12"/>
    </row>
    <row r="103" spans="1:55" x14ac:dyDescent="0.25">
      <c r="A103" s="29">
        <f t="shared" si="16"/>
        <v>0</v>
      </c>
      <c r="B103" s="29">
        <f t="shared" si="18"/>
        <v>0</v>
      </c>
      <c r="C103" s="29">
        <f t="shared" si="19"/>
        <v>0</v>
      </c>
      <c r="D103" s="29">
        <f t="shared" si="20"/>
        <v>0</v>
      </c>
      <c r="E103" s="29">
        <f t="shared" si="17"/>
        <v>0</v>
      </c>
      <c r="F103" s="29">
        <f t="shared" si="21"/>
        <v>0</v>
      </c>
      <c r="G103" s="29" t="str">
        <f t="shared" si="22"/>
        <v>offensive</v>
      </c>
      <c r="H103" s="16">
        <f t="shared" si="23"/>
        <v>0</v>
      </c>
      <c r="I103" s="16">
        <f t="shared" si="24"/>
        <v>0</v>
      </c>
      <c r="J103" s="16">
        <f t="shared" si="25"/>
        <v>0</v>
      </c>
      <c r="K103" s="16">
        <f t="shared" si="26"/>
        <v>0</v>
      </c>
      <c r="L103" s="67">
        <f t="shared" si="27"/>
        <v>0</v>
      </c>
      <c r="M103" s="4">
        <f t="shared" si="28"/>
        <v>0</v>
      </c>
      <c r="N103" s="4">
        <f t="shared" si="29"/>
        <v>0</v>
      </c>
      <c r="O103" s="4">
        <f t="shared" si="30"/>
        <v>0</v>
      </c>
      <c r="P103" s="4" t="e">
        <f>VLOOKUP(AJ95,'CIR Team Info'!$C$5:$E$44,2,FALSE)</f>
        <v>#N/A</v>
      </c>
      <c r="Q103" s="4" t="e">
        <f>VLOOKUP(AJ95,'CIR Team Info'!$C$5:$E$44,3,FALSE)</f>
        <v>#N/A</v>
      </c>
      <c r="R103" s="10" t="e">
        <f>VLOOKUP(AJ95,'FRC Site Data'!$B$3:$L$42,2,FALSE)</f>
        <v>#N/A</v>
      </c>
      <c r="S103" s="10" t="e">
        <f>VLOOKUP(AJ95,'FRC Site Data'!$B$3:$L$42,3,FALSE)</f>
        <v>#N/A</v>
      </c>
      <c r="T103" s="10" t="e">
        <f>VLOOKUP(AJ95,'FRC Site Data'!$B$3:$L$42,4,FALSE)</f>
        <v>#N/A</v>
      </c>
      <c r="U103" s="10" t="e">
        <f>VLOOKUP(AJ95,'FRC Site Data'!$B$3:$L$42,5,FALSE)</f>
        <v>#N/A</v>
      </c>
      <c r="V103" s="10" t="e">
        <f>VLOOKUP(AJ95,'FRC Site Data'!$B$3:$L$42,6,FALSE)</f>
        <v>#N/A</v>
      </c>
      <c r="W103" s="10" t="e">
        <f>VLOOKUP(AJ95,'FRC Site Data'!$B$3:$L$42,8,FALSE)</f>
        <v>#N/A</v>
      </c>
      <c r="X103" s="10" t="e">
        <f>VLOOKUP(AJ95,'FRC Site Data'!$B$3:$L$42,9,FALSE)</f>
        <v>#N/A</v>
      </c>
      <c r="Y103" s="10" t="e">
        <f>VLOOKUP(AJ95,'FRC Site Data'!$B$3:$L$42,10,FALSE)</f>
        <v>#N/A</v>
      </c>
      <c r="Z103" s="10" t="e">
        <f>VLOOKUP(AJ95,'FRC Site Data'!$B$3:$L$42,11,FALSE)</f>
        <v>#N/A</v>
      </c>
      <c r="AA103" s="10" t="e">
        <f>VLOOKUP(AJ95,'CIR Team Info'!$C$5:$E$44,4,FALSE)</f>
        <v>#N/A</v>
      </c>
      <c r="AB103" s="161" t="b">
        <f>ISNUMBER(VLOOKUP(AJ95,Match!$T$5:$T$10,1,FALSE))</f>
        <v>0</v>
      </c>
      <c r="AC103" s="161" t="b">
        <f>IF(AB103=TRUE,(VLOOKUP($AJ95,Match!$T$5:$U$10,2,FALSE)))</f>
        <v>0</v>
      </c>
      <c r="AD103" s="8">
        <v>3</v>
      </c>
      <c r="AE103" s="8">
        <v>2</v>
      </c>
      <c r="AF103" s="8">
        <v>2</v>
      </c>
      <c r="AG103" s="8">
        <v>1</v>
      </c>
      <c r="AH103" s="8" t="str">
        <f t="shared" si="32"/>
        <v/>
      </c>
      <c r="BA103" s="24"/>
      <c r="BC103" s="12"/>
    </row>
    <row r="104" spans="1:55" x14ac:dyDescent="0.25">
      <c r="A104" s="29">
        <f t="shared" si="16"/>
        <v>0</v>
      </c>
      <c r="B104" s="29">
        <f t="shared" si="18"/>
        <v>0</v>
      </c>
      <c r="C104" s="29">
        <f t="shared" si="19"/>
        <v>0</v>
      </c>
      <c r="D104" s="29">
        <f t="shared" si="20"/>
        <v>0</v>
      </c>
      <c r="E104" s="29">
        <f t="shared" si="17"/>
        <v>0</v>
      </c>
      <c r="F104" s="29">
        <f t="shared" si="21"/>
        <v>0</v>
      </c>
      <c r="G104" s="29" t="str">
        <f t="shared" si="22"/>
        <v>offensive</v>
      </c>
      <c r="H104" s="16">
        <f t="shared" si="23"/>
        <v>0</v>
      </c>
      <c r="I104" s="16">
        <f t="shared" si="24"/>
        <v>0</v>
      </c>
      <c r="J104" s="16">
        <f t="shared" si="25"/>
        <v>0</v>
      </c>
      <c r="K104" s="16">
        <f t="shared" si="26"/>
        <v>0</v>
      </c>
      <c r="L104" s="67">
        <f t="shared" si="27"/>
        <v>0</v>
      </c>
      <c r="M104" s="4">
        <f t="shared" si="28"/>
        <v>0</v>
      </c>
      <c r="N104" s="4">
        <f t="shared" si="29"/>
        <v>0</v>
      </c>
      <c r="O104" s="4">
        <f t="shared" si="30"/>
        <v>0</v>
      </c>
      <c r="P104" s="4" t="e">
        <f>VLOOKUP(AJ96,'CIR Team Info'!$C$5:$E$44,2,FALSE)</f>
        <v>#N/A</v>
      </c>
      <c r="Q104" s="4" t="e">
        <f>VLOOKUP(AJ96,'CIR Team Info'!$C$5:$E$44,3,FALSE)</f>
        <v>#N/A</v>
      </c>
      <c r="R104" s="10" t="e">
        <f>VLOOKUP(AJ96,'FRC Site Data'!$B$3:$L$42,2,FALSE)</f>
        <v>#N/A</v>
      </c>
      <c r="S104" s="10" t="e">
        <f>VLOOKUP(AJ96,'FRC Site Data'!$B$3:$L$42,3,FALSE)</f>
        <v>#N/A</v>
      </c>
      <c r="T104" s="10" t="e">
        <f>VLOOKUP(AJ96,'FRC Site Data'!$B$3:$L$42,4,FALSE)</f>
        <v>#N/A</v>
      </c>
      <c r="U104" s="10" t="e">
        <f>VLOOKUP(AJ96,'FRC Site Data'!$B$3:$L$42,5,FALSE)</f>
        <v>#N/A</v>
      </c>
      <c r="V104" s="10" t="e">
        <f>VLOOKUP(AJ96,'FRC Site Data'!$B$3:$L$42,6,FALSE)</f>
        <v>#N/A</v>
      </c>
      <c r="W104" s="10" t="e">
        <f>VLOOKUP(AJ96,'FRC Site Data'!$B$3:$L$42,8,FALSE)</f>
        <v>#N/A</v>
      </c>
      <c r="X104" s="10" t="e">
        <f>VLOOKUP(AJ96,'FRC Site Data'!$B$3:$L$42,9,FALSE)</f>
        <v>#N/A</v>
      </c>
      <c r="Y104" s="10" t="e">
        <f>VLOOKUP(AJ96,'FRC Site Data'!$B$3:$L$42,10,FALSE)</f>
        <v>#N/A</v>
      </c>
      <c r="Z104" s="10" t="e">
        <f>VLOOKUP(AJ96,'FRC Site Data'!$B$3:$L$42,11,FALSE)</f>
        <v>#N/A</v>
      </c>
      <c r="AA104" s="10" t="e">
        <f>VLOOKUP(AJ96,'CIR Team Info'!$C$5:$E$44,4,FALSE)</f>
        <v>#N/A</v>
      </c>
      <c r="AB104" s="161" t="b">
        <f>ISNUMBER(VLOOKUP(AJ96,Match!$T$5:$T$10,1,FALSE))</f>
        <v>0</v>
      </c>
      <c r="AC104" s="161" t="b">
        <f>IF(AB104=TRUE,(VLOOKUP($AJ96,Match!$T$5:$U$10,2,FALSE)))</f>
        <v>0</v>
      </c>
      <c r="AD104" s="8">
        <v>3</v>
      </c>
      <c r="AE104" s="8">
        <v>2</v>
      </c>
      <c r="AF104" s="8">
        <v>2</v>
      </c>
      <c r="AG104" s="8">
        <v>1</v>
      </c>
      <c r="AH104" s="8" t="str">
        <f t="shared" si="32"/>
        <v/>
      </c>
      <c r="BA104" s="24"/>
      <c r="BC104" s="12"/>
    </row>
    <row r="105" spans="1:55" x14ac:dyDescent="0.25">
      <c r="A105" s="29">
        <f t="shared" si="16"/>
        <v>0</v>
      </c>
      <c r="B105" s="29">
        <f t="shared" si="18"/>
        <v>0</v>
      </c>
      <c r="C105" s="29">
        <f t="shared" si="19"/>
        <v>0</v>
      </c>
      <c r="D105" s="29">
        <f t="shared" si="20"/>
        <v>0</v>
      </c>
      <c r="E105" s="29">
        <f t="shared" si="17"/>
        <v>0</v>
      </c>
      <c r="F105" s="29">
        <f t="shared" si="21"/>
        <v>0</v>
      </c>
      <c r="G105" s="29" t="str">
        <f t="shared" si="22"/>
        <v>offensive</v>
      </c>
      <c r="H105" s="16">
        <f t="shared" si="23"/>
        <v>0</v>
      </c>
      <c r="I105" s="16">
        <f t="shared" si="24"/>
        <v>0</v>
      </c>
      <c r="J105" s="16">
        <f t="shared" si="25"/>
        <v>0</v>
      </c>
      <c r="K105" s="16">
        <f t="shared" si="26"/>
        <v>0</v>
      </c>
      <c r="L105" s="67">
        <f t="shared" si="27"/>
        <v>0</v>
      </c>
      <c r="M105" s="4">
        <f t="shared" si="28"/>
        <v>0</v>
      </c>
      <c r="N105" s="4">
        <f t="shared" si="29"/>
        <v>0</v>
      </c>
      <c r="O105" s="4">
        <f t="shared" si="30"/>
        <v>0</v>
      </c>
      <c r="P105" s="4" t="e">
        <f>VLOOKUP(AJ97,'CIR Team Info'!$C$5:$E$44,2,FALSE)</f>
        <v>#N/A</v>
      </c>
      <c r="Q105" s="4" t="e">
        <f>VLOOKUP(AJ97,'CIR Team Info'!$C$5:$E$44,3,FALSE)</f>
        <v>#N/A</v>
      </c>
      <c r="R105" s="10" t="e">
        <f>VLOOKUP(AJ97,'FRC Site Data'!$B$3:$L$42,2,FALSE)</f>
        <v>#N/A</v>
      </c>
      <c r="S105" s="10" t="e">
        <f>VLOOKUP(AJ97,'FRC Site Data'!$B$3:$L$42,3,FALSE)</f>
        <v>#N/A</v>
      </c>
      <c r="T105" s="10" t="e">
        <f>VLOOKUP(AJ97,'FRC Site Data'!$B$3:$L$42,4,FALSE)</f>
        <v>#N/A</v>
      </c>
      <c r="U105" s="10" t="e">
        <f>VLOOKUP(AJ97,'FRC Site Data'!$B$3:$L$42,5,FALSE)</f>
        <v>#N/A</v>
      </c>
      <c r="V105" s="10" t="e">
        <f>VLOOKUP(AJ97,'FRC Site Data'!$B$3:$L$42,6,FALSE)</f>
        <v>#N/A</v>
      </c>
      <c r="W105" s="10" t="e">
        <f>VLOOKUP(AJ97,'FRC Site Data'!$B$3:$L$42,8,FALSE)</f>
        <v>#N/A</v>
      </c>
      <c r="X105" s="10" t="e">
        <f>VLOOKUP(AJ97,'FRC Site Data'!$B$3:$L$42,9,FALSE)</f>
        <v>#N/A</v>
      </c>
      <c r="Y105" s="10" t="e">
        <f>VLOOKUP(AJ97,'FRC Site Data'!$B$3:$L$42,10,FALSE)</f>
        <v>#N/A</v>
      </c>
      <c r="Z105" s="10" t="e">
        <f>VLOOKUP(AJ97,'FRC Site Data'!$B$3:$L$42,11,FALSE)</f>
        <v>#N/A</v>
      </c>
      <c r="AA105" s="10" t="e">
        <f>VLOOKUP(AJ97,'CIR Team Info'!$C$5:$E$44,4,FALSE)</f>
        <v>#N/A</v>
      </c>
      <c r="AB105" s="161" t="b">
        <f>ISNUMBER(VLOOKUP(AJ97,Match!$T$5:$T$10,1,FALSE))</f>
        <v>0</v>
      </c>
      <c r="AC105" s="161" t="b">
        <f>IF(AB105=TRUE,(VLOOKUP($AJ97,Match!$T$5:$U$10,2,FALSE)))</f>
        <v>0</v>
      </c>
      <c r="AD105" s="8">
        <v>3</v>
      </c>
      <c r="AE105" s="8">
        <v>2</v>
      </c>
      <c r="AF105" s="8">
        <v>2</v>
      </c>
      <c r="AG105" s="8">
        <v>1</v>
      </c>
      <c r="AH105" s="8" t="str">
        <f t="shared" si="32"/>
        <v/>
      </c>
      <c r="BA105" s="24"/>
      <c r="BC105" s="12"/>
    </row>
    <row r="106" spans="1:55" x14ac:dyDescent="0.25">
      <c r="A106" s="29">
        <f t="shared" si="16"/>
        <v>0</v>
      </c>
      <c r="B106" s="29">
        <f t="shared" si="18"/>
        <v>0</v>
      </c>
      <c r="C106" s="29">
        <f t="shared" si="19"/>
        <v>0</v>
      </c>
      <c r="D106" s="29">
        <f t="shared" si="20"/>
        <v>0</v>
      </c>
      <c r="E106" s="29">
        <f t="shared" si="17"/>
        <v>0</v>
      </c>
      <c r="F106" s="29">
        <f t="shared" si="21"/>
        <v>0</v>
      </c>
      <c r="G106" s="29" t="str">
        <f t="shared" si="22"/>
        <v>offensive</v>
      </c>
      <c r="H106" s="16">
        <f t="shared" si="23"/>
        <v>0</v>
      </c>
      <c r="I106" s="16">
        <f t="shared" si="24"/>
        <v>0</v>
      </c>
      <c r="J106" s="16">
        <f t="shared" si="25"/>
        <v>0</v>
      </c>
      <c r="K106" s="16">
        <f t="shared" si="26"/>
        <v>0</v>
      </c>
      <c r="L106" s="67">
        <f t="shared" si="27"/>
        <v>0</v>
      </c>
      <c r="M106" s="4">
        <f t="shared" si="28"/>
        <v>0</v>
      </c>
      <c r="N106" s="4">
        <f t="shared" si="29"/>
        <v>0</v>
      </c>
      <c r="O106" s="4">
        <f t="shared" si="30"/>
        <v>0</v>
      </c>
      <c r="P106" s="4" t="e">
        <f>VLOOKUP(AJ98,'CIR Team Info'!$C$5:$E$44,2,FALSE)</f>
        <v>#N/A</v>
      </c>
      <c r="Q106" s="4" t="e">
        <f>VLOOKUP(AJ98,'CIR Team Info'!$C$5:$E$44,3,FALSE)</f>
        <v>#N/A</v>
      </c>
      <c r="R106" s="10" t="e">
        <f>VLOOKUP(AJ98,'FRC Site Data'!$B$3:$L$42,2,FALSE)</f>
        <v>#N/A</v>
      </c>
      <c r="S106" s="10" t="e">
        <f>VLOOKUP(AJ98,'FRC Site Data'!$B$3:$L$42,3,FALSE)</f>
        <v>#N/A</v>
      </c>
      <c r="T106" s="10" t="e">
        <f>VLOOKUP(AJ98,'FRC Site Data'!$B$3:$L$42,4,FALSE)</f>
        <v>#N/A</v>
      </c>
      <c r="U106" s="10" t="e">
        <f>VLOOKUP(AJ98,'FRC Site Data'!$B$3:$L$42,5,FALSE)</f>
        <v>#N/A</v>
      </c>
      <c r="V106" s="10" t="e">
        <f>VLOOKUP(AJ98,'FRC Site Data'!$B$3:$L$42,6,FALSE)</f>
        <v>#N/A</v>
      </c>
      <c r="W106" s="10" t="e">
        <f>VLOOKUP(AJ98,'FRC Site Data'!$B$3:$L$42,8,FALSE)</f>
        <v>#N/A</v>
      </c>
      <c r="X106" s="10" t="e">
        <f>VLOOKUP(AJ98,'FRC Site Data'!$B$3:$L$42,9,FALSE)</f>
        <v>#N/A</v>
      </c>
      <c r="Y106" s="10" t="e">
        <f>VLOOKUP(AJ98,'FRC Site Data'!$B$3:$L$42,10,FALSE)</f>
        <v>#N/A</v>
      </c>
      <c r="Z106" s="10" t="e">
        <f>VLOOKUP(AJ98,'FRC Site Data'!$B$3:$L$42,11,FALSE)</f>
        <v>#N/A</v>
      </c>
      <c r="AA106" s="10" t="e">
        <f>VLOOKUP(AJ98,'CIR Team Info'!$C$5:$E$44,4,FALSE)</f>
        <v>#N/A</v>
      </c>
      <c r="AB106" s="161" t="b">
        <f>ISNUMBER(VLOOKUP(AJ98,Match!$T$5:$T$10,1,FALSE))</f>
        <v>0</v>
      </c>
      <c r="AC106" s="161" t="b">
        <f>IF(AB106=TRUE,(VLOOKUP($AJ98,Match!$T$5:$U$10,2,FALSE)))</f>
        <v>0</v>
      </c>
      <c r="AD106" s="8">
        <v>3</v>
      </c>
      <c r="AE106" s="8">
        <v>2</v>
      </c>
      <c r="AF106" s="8">
        <v>2</v>
      </c>
      <c r="AG106" s="8">
        <v>1</v>
      </c>
      <c r="AH106" s="8" t="str">
        <f t="shared" si="32"/>
        <v/>
      </c>
      <c r="BA106" s="24"/>
      <c r="BC106" s="12"/>
    </row>
    <row r="107" spans="1:55" x14ac:dyDescent="0.25">
      <c r="A107" s="29">
        <f t="shared" si="16"/>
        <v>0</v>
      </c>
      <c r="B107" s="29">
        <f t="shared" si="18"/>
        <v>0</v>
      </c>
      <c r="C107" s="29">
        <f t="shared" si="19"/>
        <v>0</v>
      </c>
      <c r="D107" s="29">
        <f t="shared" si="20"/>
        <v>0</v>
      </c>
      <c r="E107" s="29">
        <f t="shared" si="17"/>
        <v>0</v>
      </c>
      <c r="F107" s="29">
        <f t="shared" si="21"/>
        <v>0</v>
      </c>
      <c r="G107" s="29" t="str">
        <f t="shared" si="22"/>
        <v>offensive</v>
      </c>
      <c r="H107" s="16">
        <f t="shared" si="23"/>
        <v>0</v>
      </c>
      <c r="I107" s="16">
        <f t="shared" si="24"/>
        <v>0</v>
      </c>
      <c r="J107" s="16">
        <f t="shared" si="25"/>
        <v>0</v>
      </c>
      <c r="K107" s="16">
        <f t="shared" si="26"/>
        <v>0</v>
      </c>
      <c r="L107" s="67">
        <f t="shared" si="27"/>
        <v>0</v>
      </c>
      <c r="M107" s="4">
        <f t="shared" si="28"/>
        <v>0</v>
      </c>
      <c r="N107" s="4">
        <f t="shared" si="29"/>
        <v>0</v>
      </c>
      <c r="O107" s="4">
        <f t="shared" si="30"/>
        <v>0</v>
      </c>
      <c r="P107" s="4" t="e">
        <f>VLOOKUP(AJ99,'CIR Team Info'!$C$5:$E$44,2,FALSE)</f>
        <v>#N/A</v>
      </c>
      <c r="Q107" s="4" t="e">
        <f>VLOOKUP(AJ99,'CIR Team Info'!$C$5:$E$44,3,FALSE)</f>
        <v>#N/A</v>
      </c>
      <c r="R107" s="10" t="e">
        <f>VLOOKUP(AJ99,'FRC Site Data'!$B$3:$L$42,2,FALSE)</f>
        <v>#N/A</v>
      </c>
      <c r="S107" s="10" t="e">
        <f>VLOOKUP(AJ99,'FRC Site Data'!$B$3:$L$42,3,FALSE)</f>
        <v>#N/A</v>
      </c>
      <c r="T107" s="10" t="e">
        <f>VLOOKUP(AJ99,'FRC Site Data'!$B$3:$L$42,4,FALSE)</f>
        <v>#N/A</v>
      </c>
      <c r="U107" s="10" t="e">
        <f>VLOOKUP(AJ99,'FRC Site Data'!$B$3:$L$42,5,FALSE)</f>
        <v>#N/A</v>
      </c>
      <c r="V107" s="10" t="e">
        <f>VLOOKUP(AJ99,'FRC Site Data'!$B$3:$L$42,6,FALSE)</f>
        <v>#N/A</v>
      </c>
      <c r="W107" s="10" t="e">
        <f>VLOOKUP(AJ99,'FRC Site Data'!$B$3:$L$42,8,FALSE)</f>
        <v>#N/A</v>
      </c>
      <c r="X107" s="10" t="e">
        <f>VLOOKUP(AJ99,'FRC Site Data'!$B$3:$L$42,9,FALSE)</f>
        <v>#N/A</v>
      </c>
      <c r="Y107" s="10" t="e">
        <f>VLOOKUP(AJ99,'FRC Site Data'!$B$3:$L$42,10,FALSE)</f>
        <v>#N/A</v>
      </c>
      <c r="Z107" s="10" t="e">
        <f>VLOOKUP(AJ99,'FRC Site Data'!$B$3:$L$42,11,FALSE)</f>
        <v>#N/A</v>
      </c>
      <c r="AA107" s="10" t="e">
        <f>VLOOKUP(AJ99,'CIR Team Info'!$C$5:$E$44,4,FALSE)</f>
        <v>#N/A</v>
      </c>
      <c r="AB107" s="161" t="b">
        <f>ISNUMBER(VLOOKUP(AJ99,Match!$T$5:$T$10,1,FALSE))</f>
        <v>0</v>
      </c>
      <c r="AC107" s="161" t="b">
        <f>IF(AB107=TRUE,(VLOOKUP($AJ99,Match!$T$5:$U$10,2,FALSE)))</f>
        <v>0</v>
      </c>
      <c r="AD107" s="8">
        <v>3</v>
      </c>
      <c r="AE107" s="8">
        <v>2</v>
      </c>
      <c r="AF107" s="8">
        <v>2</v>
      </c>
      <c r="AG107" s="8">
        <v>1</v>
      </c>
      <c r="AH107" s="8" t="str">
        <f t="shared" si="32"/>
        <v/>
      </c>
      <c r="BA107" s="24"/>
      <c r="BC107" s="12"/>
    </row>
    <row r="108" spans="1:55" x14ac:dyDescent="0.25">
      <c r="A108" s="29">
        <f t="shared" si="16"/>
        <v>0</v>
      </c>
      <c r="B108" s="29">
        <f t="shared" si="18"/>
        <v>0</v>
      </c>
      <c r="C108" s="29">
        <f t="shared" si="19"/>
        <v>0</v>
      </c>
      <c r="D108" s="29">
        <f t="shared" si="20"/>
        <v>0</v>
      </c>
      <c r="E108" s="29">
        <f t="shared" si="17"/>
        <v>0</v>
      </c>
      <c r="F108" s="29">
        <f t="shared" si="21"/>
        <v>0</v>
      </c>
      <c r="G108" s="29" t="str">
        <f t="shared" si="22"/>
        <v>offensive</v>
      </c>
      <c r="H108" s="16">
        <f t="shared" si="23"/>
        <v>0</v>
      </c>
      <c r="I108" s="16">
        <f t="shared" si="24"/>
        <v>0</v>
      </c>
      <c r="J108" s="16">
        <f t="shared" si="25"/>
        <v>0</v>
      </c>
      <c r="K108" s="16">
        <f t="shared" si="26"/>
        <v>0</v>
      </c>
      <c r="L108" s="67">
        <f t="shared" si="27"/>
        <v>0</v>
      </c>
      <c r="M108" s="4">
        <f t="shared" si="28"/>
        <v>0</v>
      </c>
      <c r="N108" s="4">
        <f t="shared" si="29"/>
        <v>0</v>
      </c>
      <c r="O108" s="4">
        <f t="shared" si="30"/>
        <v>0</v>
      </c>
      <c r="P108" s="4" t="e">
        <f>VLOOKUP(AJ100,'CIR Team Info'!$C$5:$E$44,2,FALSE)</f>
        <v>#N/A</v>
      </c>
      <c r="Q108" s="4" t="e">
        <f>VLOOKUP(AJ100,'CIR Team Info'!$C$5:$E$44,3,FALSE)</f>
        <v>#N/A</v>
      </c>
      <c r="R108" s="10" t="e">
        <f>VLOOKUP(AJ100,'FRC Site Data'!$B$3:$L$42,2,FALSE)</f>
        <v>#N/A</v>
      </c>
      <c r="S108" s="10" t="e">
        <f>VLOOKUP(AJ100,'FRC Site Data'!$B$3:$L$42,3,FALSE)</f>
        <v>#N/A</v>
      </c>
      <c r="T108" s="10" t="e">
        <f>VLOOKUP(AJ100,'FRC Site Data'!$B$3:$L$42,4,FALSE)</f>
        <v>#N/A</v>
      </c>
      <c r="U108" s="10" t="e">
        <f>VLOOKUP(AJ100,'FRC Site Data'!$B$3:$L$42,5,FALSE)</f>
        <v>#N/A</v>
      </c>
      <c r="V108" s="10" t="e">
        <f>VLOOKUP(AJ100,'FRC Site Data'!$B$3:$L$42,6,FALSE)</f>
        <v>#N/A</v>
      </c>
      <c r="W108" s="10" t="e">
        <f>VLOOKUP(AJ100,'FRC Site Data'!$B$3:$L$42,8,FALSE)</f>
        <v>#N/A</v>
      </c>
      <c r="X108" s="10" t="e">
        <f>VLOOKUP(AJ100,'FRC Site Data'!$B$3:$L$42,9,FALSE)</f>
        <v>#N/A</v>
      </c>
      <c r="Y108" s="10" t="e">
        <f>VLOOKUP(AJ100,'FRC Site Data'!$B$3:$L$42,10,FALSE)</f>
        <v>#N/A</v>
      </c>
      <c r="Z108" s="10" t="e">
        <f>VLOOKUP(AJ100,'FRC Site Data'!$B$3:$L$42,11,FALSE)</f>
        <v>#N/A</v>
      </c>
      <c r="AA108" s="10" t="e">
        <f>VLOOKUP(AJ100,'CIR Team Info'!$C$5:$E$44,4,FALSE)</f>
        <v>#N/A</v>
      </c>
      <c r="AB108" s="161" t="b">
        <f>ISNUMBER(VLOOKUP(AJ100,Match!$T$5:$T$10,1,FALSE))</f>
        <v>0</v>
      </c>
      <c r="AC108" s="161" t="b">
        <f>IF(AB108=TRUE,(VLOOKUP($AJ100,Match!$T$5:$U$10,2,FALSE)))</f>
        <v>0</v>
      </c>
      <c r="AD108" s="8">
        <v>3</v>
      </c>
      <c r="AE108" s="8">
        <v>2</v>
      </c>
      <c r="AF108" s="8">
        <v>2</v>
      </c>
      <c r="AG108" s="8">
        <v>1</v>
      </c>
      <c r="AH108" s="8" t="str">
        <f t="shared" si="32"/>
        <v/>
      </c>
      <c r="BA108" s="24"/>
      <c r="BC108" s="12"/>
    </row>
    <row r="109" spans="1:55" x14ac:dyDescent="0.25">
      <c r="A109" s="29">
        <f t="shared" si="16"/>
        <v>0</v>
      </c>
      <c r="B109" s="29">
        <f t="shared" si="18"/>
        <v>0</v>
      </c>
      <c r="C109" s="29">
        <f t="shared" si="19"/>
        <v>0</v>
      </c>
      <c r="D109" s="29">
        <f t="shared" si="20"/>
        <v>0</v>
      </c>
      <c r="E109" s="29">
        <f t="shared" si="17"/>
        <v>0</v>
      </c>
      <c r="F109" s="29">
        <f t="shared" si="21"/>
        <v>0</v>
      </c>
      <c r="G109" s="29" t="str">
        <f t="shared" si="22"/>
        <v>offensive</v>
      </c>
      <c r="H109" s="16">
        <f t="shared" si="23"/>
        <v>0</v>
      </c>
      <c r="I109" s="16">
        <f t="shared" si="24"/>
        <v>0</v>
      </c>
      <c r="J109" s="16">
        <f t="shared" si="25"/>
        <v>0</v>
      </c>
      <c r="K109" s="16">
        <f t="shared" si="26"/>
        <v>0</v>
      </c>
      <c r="L109" s="67">
        <f t="shared" si="27"/>
        <v>0</v>
      </c>
      <c r="M109" s="4">
        <f t="shared" si="28"/>
        <v>0</v>
      </c>
      <c r="N109" s="4">
        <f t="shared" si="29"/>
        <v>0</v>
      </c>
      <c r="O109" s="4">
        <f t="shared" si="30"/>
        <v>0</v>
      </c>
      <c r="P109" s="4" t="e">
        <f>VLOOKUP(AJ101,'CIR Team Info'!$C$5:$E$44,2,FALSE)</f>
        <v>#N/A</v>
      </c>
      <c r="Q109" s="4" t="e">
        <f>VLOOKUP(AJ101,'CIR Team Info'!$C$5:$E$44,3,FALSE)</f>
        <v>#N/A</v>
      </c>
      <c r="R109" s="10" t="e">
        <f>VLOOKUP(AJ101,'FRC Site Data'!$B$3:$L$42,2,FALSE)</f>
        <v>#N/A</v>
      </c>
      <c r="S109" s="10" t="e">
        <f>VLOOKUP(AJ101,'FRC Site Data'!$B$3:$L$42,3,FALSE)</f>
        <v>#N/A</v>
      </c>
      <c r="T109" s="10" t="e">
        <f>VLOOKUP(AJ101,'FRC Site Data'!$B$3:$L$42,4,FALSE)</f>
        <v>#N/A</v>
      </c>
      <c r="U109" s="10" t="e">
        <f>VLOOKUP(AJ101,'FRC Site Data'!$B$3:$L$42,5,FALSE)</f>
        <v>#N/A</v>
      </c>
      <c r="V109" s="10" t="e">
        <f>VLOOKUP(AJ101,'FRC Site Data'!$B$3:$L$42,6,FALSE)</f>
        <v>#N/A</v>
      </c>
      <c r="W109" s="10" t="e">
        <f>VLOOKUP(AJ101,'FRC Site Data'!$B$3:$L$42,8,FALSE)</f>
        <v>#N/A</v>
      </c>
      <c r="X109" s="10" t="e">
        <f>VLOOKUP(AJ101,'FRC Site Data'!$B$3:$L$42,9,FALSE)</f>
        <v>#N/A</v>
      </c>
      <c r="Y109" s="10" t="e">
        <f>VLOOKUP(AJ101,'FRC Site Data'!$B$3:$L$42,10,FALSE)</f>
        <v>#N/A</v>
      </c>
      <c r="Z109" s="10" t="e">
        <f>VLOOKUP(AJ101,'FRC Site Data'!$B$3:$L$42,11,FALSE)</f>
        <v>#N/A</v>
      </c>
      <c r="AA109" s="10" t="e">
        <f>VLOOKUP(AJ101,'CIR Team Info'!$C$5:$E$44,4,FALSE)</f>
        <v>#N/A</v>
      </c>
      <c r="AB109" s="161" t="b">
        <f>ISNUMBER(VLOOKUP(AJ101,Match!$T$5:$T$10,1,FALSE))</f>
        <v>0</v>
      </c>
      <c r="AC109" s="161" t="b">
        <f>IF(AB109=TRUE,(VLOOKUP($AJ101,Match!$T$5:$U$10,2,FALSE)))</f>
        <v>0</v>
      </c>
      <c r="AD109" s="8">
        <v>3</v>
      </c>
      <c r="AE109" s="8">
        <v>2</v>
      </c>
      <c r="AF109" s="8">
        <v>2</v>
      </c>
      <c r="AG109" s="8">
        <v>1</v>
      </c>
      <c r="AH109" s="8" t="str">
        <f t="shared" si="32"/>
        <v/>
      </c>
      <c r="BA109" s="24"/>
      <c r="BC109" s="12"/>
    </row>
    <row r="110" spans="1:55" x14ac:dyDescent="0.25">
      <c r="A110" s="29">
        <f t="shared" si="16"/>
        <v>0</v>
      </c>
      <c r="B110" s="29">
        <f t="shared" si="18"/>
        <v>0</v>
      </c>
      <c r="C110" s="29">
        <f t="shared" si="19"/>
        <v>0</v>
      </c>
      <c r="D110" s="29">
        <f t="shared" si="20"/>
        <v>0</v>
      </c>
      <c r="E110" s="29">
        <f t="shared" si="17"/>
        <v>0</v>
      </c>
      <c r="F110" s="29">
        <f t="shared" si="21"/>
        <v>0</v>
      </c>
      <c r="G110" s="29" t="str">
        <f t="shared" si="22"/>
        <v>offensive</v>
      </c>
      <c r="H110" s="16">
        <f t="shared" si="23"/>
        <v>0</v>
      </c>
      <c r="I110" s="16">
        <f t="shared" si="24"/>
        <v>0</v>
      </c>
      <c r="J110" s="16">
        <f t="shared" si="25"/>
        <v>0</v>
      </c>
      <c r="K110" s="16">
        <f t="shared" si="26"/>
        <v>0</v>
      </c>
      <c r="L110" s="67">
        <f t="shared" si="27"/>
        <v>0</v>
      </c>
      <c r="M110" s="4">
        <f t="shared" si="28"/>
        <v>0</v>
      </c>
      <c r="N110" s="4">
        <f t="shared" si="29"/>
        <v>0</v>
      </c>
      <c r="O110" s="4">
        <f t="shared" si="30"/>
        <v>0</v>
      </c>
      <c r="P110" s="4" t="e">
        <f>VLOOKUP(AJ102,'CIR Team Info'!$C$5:$E$44,2,FALSE)</f>
        <v>#N/A</v>
      </c>
      <c r="Q110" s="4" t="e">
        <f>VLOOKUP(AJ102,'CIR Team Info'!$C$5:$E$44,3,FALSE)</f>
        <v>#N/A</v>
      </c>
      <c r="R110" s="10" t="e">
        <f>VLOOKUP(AJ102,'FRC Site Data'!$B$3:$L$42,2,FALSE)</f>
        <v>#N/A</v>
      </c>
      <c r="S110" s="10" t="e">
        <f>VLOOKUP(AJ102,'FRC Site Data'!$B$3:$L$42,3,FALSE)</f>
        <v>#N/A</v>
      </c>
      <c r="T110" s="10" t="e">
        <f>VLOOKUP(AJ102,'FRC Site Data'!$B$3:$L$42,4,FALSE)</f>
        <v>#N/A</v>
      </c>
      <c r="U110" s="10" t="e">
        <f>VLOOKUP(AJ102,'FRC Site Data'!$B$3:$L$42,5,FALSE)</f>
        <v>#N/A</v>
      </c>
      <c r="V110" s="10" t="e">
        <f>VLOOKUP(AJ102,'FRC Site Data'!$B$3:$L$42,6,FALSE)</f>
        <v>#N/A</v>
      </c>
      <c r="W110" s="10" t="e">
        <f>VLOOKUP(AJ102,'FRC Site Data'!$B$3:$L$42,8,FALSE)</f>
        <v>#N/A</v>
      </c>
      <c r="X110" s="10" t="e">
        <f>VLOOKUP(AJ102,'FRC Site Data'!$B$3:$L$42,9,FALSE)</f>
        <v>#N/A</v>
      </c>
      <c r="Y110" s="10" t="e">
        <f>VLOOKUP(AJ102,'FRC Site Data'!$B$3:$L$42,10,FALSE)</f>
        <v>#N/A</v>
      </c>
      <c r="Z110" s="10" t="e">
        <f>VLOOKUP(AJ102,'FRC Site Data'!$B$3:$L$42,11,FALSE)</f>
        <v>#N/A</v>
      </c>
      <c r="AA110" s="10" t="e">
        <f>VLOOKUP(AJ102,'CIR Team Info'!$C$5:$E$44,4,FALSE)</f>
        <v>#N/A</v>
      </c>
      <c r="AB110" s="161" t="b">
        <f>ISNUMBER(VLOOKUP(AJ102,Match!$T$5:$T$10,1,FALSE))</f>
        <v>0</v>
      </c>
      <c r="AC110" s="161" t="b">
        <f>IF(AB110=TRUE,(VLOOKUP($AJ102,Match!$T$5:$U$10,2,FALSE)))</f>
        <v>0</v>
      </c>
      <c r="AD110" s="8">
        <v>3</v>
      </c>
      <c r="AE110" s="8">
        <v>2</v>
      </c>
      <c r="AF110" s="8">
        <v>2</v>
      </c>
      <c r="AG110" s="8">
        <v>1</v>
      </c>
      <c r="AH110" s="8" t="str">
        <f t="shared" si="32"/>
        <v/>
      </c>
      <c r="BA110" s="24"/>
      <c r="BC110" s="12"/>
    </row>
    <row r="111" spans="1:55" x14ac:dyDescent="0.25">
      <c r="A111" s="29">
        <f t="shared" si="16"/>
        <v>0</v>
      </c>
      <c r="B111" s="29">
        <f t="shared" si="18"/>
        <v>0</v>
      </c>
      <c r="C111" s="29">
        <f t="shared" si="19"/>
        <v>0</v>
      </c>
      <c r="D111" s="29">
        <f t="shared" si="20"/>
        <v>0</v>
      </c>
      <c r="E111" s="29">
        <f t="shared" si="17"/>
        <v>0</v>
      </c>
      <c r="F111" s="29">
        <f t="shared" si="21"/>
        <v>0</v>
      </c>
      <c r="G111" s="29" t="str">
        <f t="shared" si="22"/>
        <v>offensive</v>
      </c>
      <c r="H111" s="16">
        <f t="shared" si="23"/>
        <v>0</v>
      </c>
      <c r="I111" s="16">
        <f t="shared" si="24"/>
        <v>0</v>
      </c>
      <c r="J111" s="16">
        <f t="shared" si="25"/>
        <v>0</v>
      </c>
      <c r="K111" s="16">
        <f t="shared" si="26"/>
        <v>0</v>
      </c>
      <c r="L111" s="67">
        <f t="shared" si="27"/>
        <v>0</v>
      </c>
      <c r="M111" s="4">
        <f t="shared" si="28"/>
        <v>0</v>
      </c>
      <c r="N111" s="4">
        <f t="shared" si="29"/>
        <v>0</v>
      </c>
      <c r="O111" s="4">
        <f t="shared" si="30"/>
        <v>0</v>
      </c>
      <c r="P111" s="4" t="e">
        <f>VLOOKUP(AJ103,'CIR Team Info'!$C$5:$E$44,2,FALSE)</f>
        <v>#N/A</v>
      </c>
      <c r="Q111" s="4" t="e">
        <f>VLOOKUP(AJ103,'CIR Team Info'!$C$5:$E$44,3,FALSE)</f>
        <v>#N/A</v>
      </c>
      <c r="R111" s="10" t="e">
        <f>VLOOKUP(AJ103,'FRC Site Data'!$B$3:$L$42,2,FALSE)</f>
        <v>#N/A</v>
      </c>
      <c r="S111" s="10" t="e">
        <f>VLOOKUP(AJ103,'FRC Site Data'!$B$3:$L$42,3,FALSE)</f>
        <v>#N/A</v>
      </c>
      <c r="T111" s="10" t="e">
        <f>VLOOKUP(AJ103,'FRC Site Data'!$B$3:$L$42,4,FALSE)</f>
        <v>#N/A</v>
      </c>
      <c r="U111" s="10" t="e">
        <f>VLOOKUP(AJ103,'FRC Site Data'!$B$3:$L$42,5,FALSE)</f>
        <v>#N/A</v>
      </c>
      <c r="V111" s="10" t="e">
        <f>VLOOKUP(AJ103,'FRC Site Data'!$B$3:$L$42,6,FALSE)</f>
        <v>#N/A</v>
      </c>
      <c r="W111" s="10" t="e">
        <f>VLOOKUP(AJ103,'FRC Site Data'!$B$3:$L$42,8,FALSE)</f>
        <v>#N/A</v>
      </c>
      <c r="X111" s="10" t="e">
        <f>VLOOKUP(AJ103,'FRC Site Data'!$B$3:$L$42,9,FALSE)</f>
        <v>#N/A</v>
      </c>
      <c r="Y111" s="10" t="e">
        <f>VLOOKUP(AJ103,'FRC Site Data'!$B$3:$L$42,10,FALSE)</f>
        <v>#N/A</v>
      </c>
      <c r="Z111" s="10" t="e">
        <f>VLOOKUP(AJ103,'FRC Site Data'!$B$3:$L$42,11,FALSE)</f>
        <v>#N/A</v>
      </c>
      <c r="AA111" s="10" t="e">
        <f>VLOOKUP(AJ103,'CIR Team Info'!$C$5:$E$44,4,FALSE)</f>
        <v>#N/A</v>
      </c>
      <c r="AB111" s="161" t="b">
        <f>ISNUMBER(VLOOKUP(AJ103,Match!$T$5:$T$10,1,FALSE))</f>
        <v>0</v>
      </c>
      <c r="AC111" s="161" t="b">
        <f>IF(AB111=TRUE,(VLOOKUP($AJ103,Match!$T$5:$U$10,2,FALSE)))</f>
        <v>0</v>
      </c>
      <c r="AD111" s="8">
        <v>3</v>
      </c>
      <c r="AE111" s="8">
        <v>2</v>
      </c>
      <c r="AF111" s="8">
        <v>2</v>
      </c>
      <c r="AG111" s="8">
        <v>1</v>
      </c>
      <c r="AH111" s="8" t="str">
        <f t="shared" si="32"/>
        <v/>
      </c>
      <c r="BA111" s="24"/>
      <c r="BC111" s="12"/>
    </row>
    <row r="112" spans="1:55" x14ac:dyDescent="0.25">
      <c r="A112" s="29">
        <f t="shared" si="16"/>
        <v>0</v>
      </c>
      <c r="B112" s="29">
        <f t="shared" si="18"/>
        <v>0</v>
      </c>
      <c r="C112" s="29">
        <f t="shared" si="19"/>
        <v>0</v>
      </c>
      <c r="D112" s="29">
        <f t="shared" si="20"/>
        <v>0</v>
      </c>
      <c r="E112" s="29">
        <f t="shared" si="17"/>
        <v>0</v>
      </c>
      <c r="F112" s="29">
        <f t="shared" si="21"/>
        <v>0</v>
      </c>
      <c r="G112" s="29" t="str">
        <f t="shared" si="22"/>
        <v>offensive</v>
      </c>
      <c r="H112" s="16">
        <f t="shared" si="23"/>
        <v>0</v>
      </c>
      <c r="I112" s="16">
        <f t="shared" si="24"/>
        <v>0</v>
      </c>
      <c r="J112" s="16">
        <f t="shared" si="25"/>
        <v>0</v>
      </c>
      <c r="K112" s="16">
        <f t="shared" si="26"/>
        <v>0</v>
      </c>
      <c r="L112" s="67">
        <f t="shared" si="27"/>
        <v>0</v>
      </c>
      <c r="M112" s="4">
        <f t="shared" si="28"/>
        <v>0</v>
      </c>
      <c r="N112" s="4">
        <f t="shared" si="29"/>
        <v>0</v>
      </c>
      <c r="O112" s="4">
        <f t="shared" si="30"/>
        <v>0</v>
      </c>
      <c r="P112" s="4" t="e">
        <f>VLOOKUP(AJ104,'CIR Team Info'!$C$5:$E$44,2,FALSE)</f>
        <v>#N/A</v>
      </c>
      <c r="Q112" s="4" t="e">
        <f>VLOOKUP(AJ104,'CIR Team Info'!$C$5:$E$44,3,FALSE)</f>
        <v>#N/A</v>
      </c>
      <c r="R112" s="10" t="e">
        <f>VLOOKUP(AJ104,'FRC Site Data'!$B$3:$L$42,2,FALSE)</f>
        <v>#N/A</v>
      </c>
      <c r="S112" s="10" t="e">
        <f>VLOOKUP(AJ104,'FRC Site Data'!$B$3:$L$42,3,FALSE)</f>
        <v>#N/A</v>
      </c>
      <c r="T112" s="10" t="e">
        <f>VLOOKUP(AJ104,'FRC Site Data'!$B$3:$L$42,4,FALSE)</f>
        <v>#N/A</v>
      </c>
      <c r="U112" s="10" t="e">
        <f>VLOOKUP(AJ104,'FRC Site Data'!$B$3:$L$42,5,FALSE)</f>
        <v>#N/A</v>
      </c>
      <c r="V112" s="10" t="e">
        <f>VLOOKUP(AJ104,'FRC Site Data'!$B$3:$L$42,6,FALSE)</f>
        <v>#N/A</v>
      </c>
      <c r="W112" s="10" t="e">
        <f>VLOOKUP(AJ104,'FRC Site Data'!$B$3:$L$42,8,FALSE)</f>
        <v>#N/A</v>
      </c>
      <c r="X112" s="10" t="e">
        <f>VLOOKUP(AJ104,'FRC Site Data'!$B$3:$L$42,9,FALSE)</f>
        <v>#N/A</v>
      </c>
      <c r="Y112" s="10" t="e">
        <f>VLOOKUP(AJ104,'FRC Site Data'!$B$3:$L$42,10,FALSE)</f>
        <v>#N/A</v>
      </c>
      <c r="Z112" s="10" t="e">
        <f>VLOOKUP(AJ104,'FRC Site Data'!$B$3:$L$42,11,FALSE)</f>
        <v>#N/A</v>
      </c>
      <c r="AA112" s="10" t="e">
        <f>VLOOKUP(AJ104,'CIR Team Info'!$C$5:$E$44,4,FALSE)</f>
        <v>#N/A</v>
      </c>
      <c r="AB112" s="161" t="b">
        <f>ISNUMBER(VLOOKUP(AJ104,Match!$T$5:$T$10,1,FALSE))</f>
        <v>0</v>
      </c>
      <c r="AC112" s="161" t="b">
        <f>IF(AB112=TRUE,(VLOOKUP($AJ104,Match!$T$5:$U$10,2,FALSE)))</f>
        <v>0</v>
      </c>
      <c r="AD112" s="8">
        <v>3</v>
      </c>
      <c r="AE112" s="8">
        <v>2</v>
      </c>
      <c r="AF112" s="8">
        <v>2</v>
      </c>
      <c r="AG112" s="8">
        <v>1</v>
      </c>
      <c r="AH112" s="8" t="str">
        <f t="shared" si="32"/>
        <v/>
      </c>
      <c r="BA112" s="24"/>
      <c r="BC112" s="12"/>
    </row>
    <row r="113" spans="1:55" x14ac:dyDescent="0.25">
      <c r="A113" s="29">
        <f t="shared" si="16"/>
        <v>0</v>
      </c>
      <c r="B113" s="29">
        <f t="shared" si="18"/>
        <v>0</v>
      </c>
      <c r="C113" s="29">
        <f t="shared" si="19"/>
        <v>0</v>
      </c>
      <c r="D113" s="29">
        <f t="shared" si="20"/>
        <v>0</v>
      </c>
      <c r="E113" s="29">
        <f t="shared" si="17"/>
        <v>0</v>
      </c>
      <c r="F113" s="29">
        <f t="shared" si="21"/>
        <v>0</v>
      </c>
      <c r="G113" s="29" t="str">
        <f t="shared" si="22"/>
        <v>offensive</v>
      </c>
      <c r="H113" s="16">
        <f t="shared" si="23"/>
        <v>0</v>
      </c>
      <c r="I113" s="16">
        <f t="shared" si="24"/>
        <v>0</v>
      </c>
      <c r="J113" s="16">
        <f t="shared" si="25"/>
        <v>0</v>
      </c>
      <c r="K113" s="16">
        <f t="shared" si="26"/>
        <v>0</v>
      </c>
      <c r="L113" s="67">
        <f t="shared" si="27"/>
        <v>0</v>
      </c>
      <c r="M113" s="4">
        <f t="shared" si="28"/>
        <v>0</v>
      </c>
      <c r="N113" s="4">
        <f t="shared" si="29"/>
        <v>0</v>
      </c>
      <c r="O113" s="4">
        <f t="shared" si="30"/>
        <v>0</v>
      </c>
      <c r="P113" s="4" t="e">
        <f>VLOOKUP(AJ105,'CIR Team Info'!$C$5:$E$44,2,FALSE)</f>
        <v>#N/A</v>
      </c>
      <c r="Q113" s="4" t="e">
        <f>VLOOKUP(AJ105,'CIR Team Info'!$C$5:$E$44,3,FALSE)</f>
        <v>#N/A</v>
      </c>
      <c r="R113" s="10" t="e">
        <f>VLOOKUP(AJ105,'FRC Site Data'!$B$3:$L$42,2,FALSE)</f>
        <v>#N/A</v>
      </c>
      <c r="S113" s="10" t="e">
        <f>VLOOKUP(AJ105,'FRC Site Data'!$B$3:$L$42,3,FALSE)</f>
        <v>#N/A</v>
      </c>
      <c r="T113" s="10" t="e">
        <f>VLOOKUP(AJ105,'FRC Site Data'!$B$3:$L$42,4,FALSE)</f>
        <v>#N/A</v>
      </c>
      <c r="U113" s="10" t="e">
        <f>VLOOKUP(AJ105,'FRC Site Data'!$B$3:$L$42,5,FALSE)</f>
        <v>#N/A</v>
      </c>
      <c r="V113" s="10" t="e">
        <f>VLOOKUP(AJ105,'FRC Site Data'!$B$3:$L$42,6,FALSE)</f>
        <v>#N/A</v>
      </c>
      <c r="W113" s="10" t="e">
        <f>VLOOKUP(AJ105,'FRC Site Data'!$B$3:$L$42,8,FALSE)</f>
        <v>#N/A</v>
      </c>
      <c r="X113" s="10" t="e">
        <f>VLOOKUP(AJ105,'FRC Site Data'!$B$3:$L$42,9,FALSE)</f>
        <v>#N/A</v>
      </c>
      <c r="Y113" s="10" t="e">
        <f>VLOOKUP(AJ105,'FRC Site Data'!$B$3:$L$42,10,FALSE)</f>
        <v>#N/A</v>
      </c>
      <c r="Z113" s="10" t="e">
        <f>VLOOKUP(AJ105,'FRC Site Data'!$B$3:$L$42,11,FALSE)</f>
        <v>#N/A</v>
      </c>
      <c r="AA113" s="10" t="e">
        <f>VLOOKUP(AJ105,'CIR Team Info'!$C$5:$E$44,4,FALSE)</f>
        <v>#N/A</v>
      </c>
      <c r="AB113" s="161" t="b">
        <f>ISNUMBER(VLOOKUP(AJ105,Match!$T$5:$T$10,1,FALSE))</f>
        <v>0</v>
      </c>
      <c r="AC113" s="161" t="b">
        <f>IF(AB113=TRUE,(VLOOKUP($AJ105,Match!$T$5:$U$10,2,FALSE)))</f>
        <v>0</v>
      </c>
      <c r="AD113" s="8">
        <v>3</v>
      </c>
      <c r="AE113" s="8">
        <v>2</v>
      </c>
      <c r="AF113" s="8">
        <v>2</v>
      </c>
      <c r="AG113" s="8">
        <v>1</v>
      </c>
      <c r="AH113" s="8" t="str">
        <f t="shared" si="32"/>
        <v/>
      </c>
      <c r="BA113" s="24"/>
      <c r="BC113" s="12"/>
    </row>
    <row r="114" spans="1:55" x14ac:dyDescent="0.25">
      <c r="A114" s="29">
        <f t="shared" si="16"/>
        <v>0</v>
      </c>
      <c r="B114" s="29">
        <f t="shared" si="18"/>
        <v>0</v>
      </c>
      <c r="C114" s="29">
        <f t="shared" si="19"/>
        <v>0</v>
      </c>
      <c r="D114" s="29">
        <f t="shared" si="20"/>
        <v>0</v>
      </c>
      <c r="E114" s="29">
        <f t="shared" si="17"/>
        <v>0</v>
      </c>
      <c r="F114" s="29">
        <f t="shared" si="21"/>
        <v>0</v>
      </c>
      <c r="G114" s="29" t="str">
        <f t="shared" si="22"/>
        <v>offensive</v>
      </c>
      <c r="H114" s="16">
        <f t="shared" si="23"/>
        <v>0</v>
      </c>
      <c r="I114" s="16">
        <f t="shared" si="24"/>
        <v>0</v>
      </c>
      <c r="J114" s="16">
        <f t="shared" si="25"/>
        <v>0</v>
      </c>
      <c r="K114" s="16">
        <f t="shared" si="26"/>
        <v>0</v>
      </c>
      <c r="L114" s="67">
        <f t="shared" si="27"/>
        <v>0</v>
      </c>
      <c r="M114" s="4">
        <f t="shared" si="28"/>
        <v>0</v>
      </c>
      <c r="N114" s="4">
        <f t="shared" si="29"/>
        <v>0</v>
      </c>
      <c r="O114" s="4">
        <f t="shared" si="30"/>
        <v>0</v>
      </c>
      <c r="P114" s="4" t="e">
        <f>VLOOKUP(AJ106,'CIR Team Info'!$C$5:$E$44,2,FALSE)</f>
        <v>#N/A</v>
      </c>
      <c r="Q114" s="4" t="e">
        <f>VLOOKUP(AJ106,'CIR Team Info'!$C$5:$E$44,3,FALSE)</f>
        <v>#N/A</v>
      </c>
      <c r="R114" s="10" t="e">
        <f>VLOOKUP(AJ106,'FRC Site Data'!$B$3:$L$42,2,FALSE)</f>
        <v>#N/A</v>
      </c>
      <c r="S114" s="10" t="e">
        <f>VLOOKUP(AJ106,'FRC Site Data'!$B$3:$L$42,3,FALSE)</f>
        <v>#N/A</v>
      </c>
      <c r="T114" s="10" t="e">
        <f>VLOOKUP(AJ106,'FRC Site Data'!$B$3:$L$42,4,FALSE)</f>
        <v>#N/A</v>
      </c>
      <c r="U114" s="10" t="e">
        <f>VLOOKUP(AJ106,'FRC Site Data'!$B$3:$L$42,5,FALSE)</f>
        <v>#N/A</v>
      </c>
      <c r="V114" s="10" t="e">
        <f>VLOOKUP(AJ106,'FRC Site Data'!$B$3:$L$42,6,FALSE)</f>
        <v>#N/A</v>
      </c>
      <c r="W114" s="10" t="e">
        <f>VLOOKUP(AJ106,'FRC Site Data'!$B$3:$L$42,8,FALSE)</f>
        <v>#N/A</v>
      </c>
      <c r="X114" s="10" t="e">
        <f>VLOOKUP(AJ106,'FRC Site Data'!$B$3:$L$42,9,FALSE)</f>
        <v>#N/A</v>
      </c>
      <c r="Y114" s="10" t="e">
        <f>VLOOKUP(AJ106,'FRC Site Data'!$B$3:$L$42,10,FALSE)</f>
        <v>#N/A</v>
      </c>
      <c r="Z114" s="10" t="e">
        <f>VLOOKUP(AJ106,'FRC Site Data'!$B$3:$L$42,11,FALSE)</f>
        <v>#N/A</v>
      </c>
      <c r="AA114" s="10" t="e">
        <f>VLOOKUP(AJ106,'CIR Team Info'!$C$5:$E$44,4,FALSE)</f>
        <v>#N/A</v>
      </c>
      <c r="AB114" s="161" t="b">
        <f>ISNUMBER(VLOOKUP(AJ106,Match!$T$5:$T$10,1,FALSE))</f>
        <v>0</v>
      </c>
      <c r="AC114" s="161" t="b">
        <f>IF(AB114=TRUE,(VLOOKUP($AJ106,Match!$T$5:$U$10,2,FALSE)))</f>
        <v>0</v>
      </c>
      <c r="AD114" s="8">
        <v>3</v>
      </c>
      <c r="AE114" s="8">
        <v>2</v>
      </c>
      <c r="AF114" s="8">
        <v>2</v>
      </c>
      <c r="AG114" s="8">
        <v>1</v>
      </c>
      <c r="AH114" s="8" t="str">
        <f t="shared" si="32"/>
        <v/>
      </c>
      <c r="BA114" s="24"/>
      <c r="BC114" s="12"/>
    </row>
    <row r="115" spans="1:55" x14ac:dyDescent="0.25">
      <c r="A115" s="29">
        <f t="shared" si="16"/>
        <v>0</v>
      </c>
      <c r="B115" s="29">
        <f t="shared" si="18"/>
        <v>0</v>
      </c>
      <c r="C115" s="29">
        <f t="shared" si="19"/>
        <v>0</v>
      </c>
      <c r="D115" s="29">
        <f t="shared" si="20"/>
        <v>0</v>
      </c>
      <c r="E115" s="29">
        <f t="shared" si="17"/>
        <v>0</v>
      </c>
      <c r="F115" s="29">
        <f t="shared" si="21"/>
        <v>0</v>
      </c>
      <c r="G115" s="29" t="str">
        <f t="shared" si="22"/>
        <v>offensive</v>
      </c>
      <c r="H115" s="16">
        <f t="shared" si="23"/>
        <v>0</v>
      </c>
      <c r="I115" s="16">
        <f t="shared" si="24"/>
        <v>0</v>
      </c>
      <c r="J115" s="16">
        <f t="shared" si="25"/>
        <v>0</v>
      </c>
      <c r="K115" s="16">
        <f t="shared" si="26"/>
        <v>0</v>
      </c>
      <c r="L115" s="67">
        <f t="shared" si="27"/>
        <v>0</v>
      </c>
      <c r="M115" s="4">
        <f t="shared" si="28"/>
        <v>0</v>
      </c>
      <c r="N115" s="4">
        <f t="shared" si="29"/>
        <v>0</v>
      </c>
      <c r="O115" s="4">
        <f t="shared" si="30"/>
        <v>0</v>
      </c>
      <c r="P115" s="4" t="e">
        <f>VLOOKUP(AJ107,'CIR Team Info'!$C$5:$E$44,2,FALSE)</f>
        <v>#N/A</v>
      </c>
      <c r="Q115" s="4" t="e">
        <f>VLOOKUP(AJ107,'CIR Team Info'!$C$5:$E$44,3,FALSE)</f>
        <v>#N/A</v>
      </c>
      <c r="R115" s="10" t="e">
        <f>VLOOKUP(AJ107,'FRC Site Data'!$B$3:$L$42,2,FALSE)</f>
        <v>#N/A</v>
      </c>
      <c r="S115" s="10" t="e">
        <f>VLOOKUP(AJ107,'FRC Site Data'!$B$3:$L$42,3,FALSE)</f>
        <v>#N/A</v>
      </c>
      <c r="T115" s="10" t="e">
        <f>VLOOKUP(AJ107,'FRC Site Data'!$B$3:$L$42,4,FALSE)</f>
        <v>#N/A</v>
      </c>
      <c r="U115" s="10" t="e">
        <f>VLOOKUP(AJ107,'FRC Site Data'!$B$3:$L$42,5,FALSE)</f>
        <v>#N/A</v>
      </c>
      <c r="V115" s="10" t="e">
        <f>VLOOKUP(AJ107,'FRC Site Data'!$B$3:$L$42,6,FALSE)</f>
        <v>#N/A</v>
      </c>
      <c r="W115" s="10" t="e">
        <f>VLOOKUP(AJ107,'FRC Site Data'!$B$3:$L$42,8,FALSE)</f>
        <v>#N/A</v>
      </c>
      <c r="X115" s="10" t="e">
        <f>VLOOKUP(AJ107,'FRC Site Data'!$B$3:$L$42,9,FALSE)</f>
        <v>#N/A</v>
      </c>
      <c r="Y115" s="10" t="e">
        <f>VLOOKUP(AJ107,'FRC Site Data'!$B$3:$L$42,10,FALSE)</f>
        <v>#N/A</v>
      </c>
      <c r="Z115" s="10" t="e">
        <f>VLOOKUP(AJ107,'FRC Site Data'!$B$3:$L$42,11,FALSE)</f>
        <v>#N/A</v>
      </c>
      <c r="AA115" s="10" t="e">
        <f>VLOOKUP(AJ107,'CIR Team Info'!$C$5:$E$44,4,FALSE)</f>
        <v>#N/A</v>
      </c>
      <c r="AB115" s="161" t="b">
        <f>ISNUMBER(VLOOKUP(AJ107,Match!$T$5:$T$10,1,FALSE))</f>
        <v>0</v>
      </c>
      <c r="AC115" s="161" t="b">
        <f>IF(AB115=TRUE,(VLOOKUP($AJ107,Match!$T$5:$U$10,2,FALSE)))</f>
        <v>0</v>
      </c>
      <c r="AD115" s="8">
        <v>3</v>
      </c>
      <c r="AE115" s="8">
        <v>2</v>
      </c>
      <c r="AF115" s="8">
        <v>2</v>
      </c>
      <c r="AG115" s="8">
        <v>1</v>
      </c>
      <c r="AH115" s="8" t="str">
        <f t="shared" si="32"/>
        <v/>
      </c>
      <c r="BA115" s="24"/>
      <c r="BC115" s="12"/>
    </row>
    <row r="116" spans="1:55" x14ac:dyDescent="0.25">
      <c r="A116" s="29">
        <f t="shared" si="16"/>
        <v>0</v>
      </c>
      <c r="B116" s="29">
        <f t="shared" si="18"/>
        <v>0</v>
      </c>
      <c r="C116" s="29">
        <f t="shared" si="19"/>
        <v>0</v>
      </c>
      <c r="D116" s="29">
        <f t="shared" si="20"/>
        <v>0</v>
      </c>
      <c r="E116" s="29">
        <f t="shared" si="17"/>
        <v>0</v>
      </c>
      <c r="F116" s="29">
        <f t="shared" si="21"/>
        <v>0</v>
      </c>
      <c r="G116" s="29" t="str">
        <f t="shared" si="22"/>
        <v>offensive</v>
      </c>
      <c r="H116" s="16">
        <f t="shared" si="23"/>
        <v>0</v>
      </c>
      <c r="I116" s="16">
        <f t="shared" si="24"/>
        <v>0</v>
      </c>
      <c r="J116" s="16">
        <f t="shared" si="25"/>
        <v>0</v>
      </c>
      <c r="K116" s="16">
        <f t="shared" si="26"/>
        <v>0</v>
      </c>
      <c r="L116" s="67">
        <f t="shared" si="27"/>
        <v>0</v>
      </c>
      <c r="M116" s="4">
        <f t="shared" si="28"/>
        <v>0</v>
      </c>
      <c r="N116" s="4">
        <f t="shared" si="29"/>
        <v>0</v>
      </c>
      <c r="O116" s="4">
        <f t="shared" si="30"/>
        <v>0</v>
      </c>
      <c r="P116" s="4" t="e">
        <f>VLOOKUP(AJ108,'CIR Team Info'!$C$5:$E$44,2,FALSE)</f>
        <v>#N/A</v>
      </c>
      <c r="Q116" s="4" t="e">
        <f>VLOOKUP(AJ108,'CIR Team Info'!$C$5:$E$44,3,FALSE)</f>
        <v>#N/A</v>
      </c>
      <c r="R116" s="10" t="e">
        <f>VLOOKUP(AJ108,'FRC Site Data'!$B$3:$L$42,2,FALSE)</f>
        <v>#N/A</v>
      </c>
      <c r="S116" s="10" t="e">
        <f>VLOOKUP(AJ108,'FRC Site Data'!$B$3:$L$42,3,FALSE)</f>
        <v>#N/A</v>
      </c>
      <c r="T116" s="10" t="e">
        <f>VLOOKUP(AJ108,'FRC Site Data'!$B$3:$L$42,4,FALSE)</f>
        <v>#N/A</v>
      </c>
      <c r="U116" s="10" t="e">
        <f>VLOOKUP(AJ108,'FRC Site Data'!$B$3:$L$42,5,FALSE)</f>
        <v>#N/A</v>
      </c>
      <c r="V116" s="10" t="e">
        <f>VLOOKUP(AJ108,'FRC Site Data'!$B$3:$L$42,6,FALSE)</f>
        <v>#N/A</v>
      </c>
      <c r="W116" s="10" t="e">
        <f>VLOOKUP(AJ108,'FRC Site Data'!$B$3:$L$42,8,FALSE)</f>
        <v>#N/A</v>
      </c>
      <c r="X116" s="10" t="e">
        <f>VLOOKUP(AJ108,'FRC Site Data'!$B$3:$L$42,9,FALSE)</f>
        <v>#N/A</v>
      </c>
      <c r="Y116" s="10" t="e">
        <f>VLOOKUP(AJ108,'FRC Site Data'!$B$3:$L$42,10,FALSE)</f>
        <v>#N/A</v>
      </c>
      <c r="Z116" s="10" t="e">
        <f>VLOOKUP(AJ108,'FRC Site Data'!$B$3:$L$42,11,FALSE)</f>
        <v>#N/A</v>
      </c>
      <c r="AA116" s="10" t="e">
        <f>VLOOKUP(AJ108,'CIR Team Info'!$C$5:$E$44,4,FALSE)</f>
        <v>#N/A</v>
      </c>
      <c r="AB116" s="161" t="b">
        <f>ISNUMBER(VLOOKUP(AJ108,Match!$T$5:$T$10,1,FALSE))</f>
        <v>0</v>
      </c>
      <c r="AC116" s="161" t="b">
        <f>IF(AB116=TRUE,(VLOOKUP($AJ108,Match!$T$5:$U$10,2,FALSE)))</f>
        <v>0</v>
      </c>
      <c r="AD116" s="8">
        <v>3</v>
      </c>
      <c r="AE116" s="8">
        <v>2</v>
      </c>
      <c r="AF116" s="8">
        <v>2</v>
      </c>
      <c r="AG116" s="8">
        <v>1</v>
      </c>
      <c r="AH116" s="8" t="str">
        <f t="shared" si="32"/>
        <v/>
      </c>
      <c r="BA116" s="24"/>
      <c r="BC116" s="12"/>
    </row>
    <row r="117" spans="1:55" x14ac:dyDescent="0.25">
      <c r="A117" s="29">
        <f t="shared" si="16"/>
        <v>0</v>
      </c>
      <c r="B117" s="29">
        <f t="shared" si="18"/>
        <v>0</v>
      </c>
      <c r="C117" s="29">
        <f t="shared" si="19"/>
        <v>0</v>
      </c>
      <c r="D117" s="29">
        <f t="shared" si="20"/>
        <v>0</v>
      </c>
      <c r="E117" s="29">
        <f t="shared" si="17"/>
        <v>0</v>
      </c>
      <c r="F117" s="29">
        <f t="shared" si="21"/>
        <v>0</v>
      </c>
      <c r="G117" s="29" t="str">
        <f t="shared" si="22"/>
        <v>offensive</v>
      </c>
      <c r="H117" s="16">
        <f t="shared" si="23"/>
        <v>0</v>
      </c>
      <c r="I117" s="16">
        <f t="shared" si="24"/>
        <v>0</v>
      </c>
      <c r="J117" s="16">
        <f t="shared" si="25"/>
        <v>0</v>
      </c>
      <c r="K117" s="16">
        <f t="shared" si="26"/>
        <v>0</v>
      </c>
      <c r="L117" s="67">
        <f t="shared" si="27"/>
        <v>0</v>
      </c>
      <c r="M117" s="4">
        <f t="shared" si="28"/>
        <v>0</v>
      </c>
      <c r="N117" s="4">
        <f t="shared" si="29"/>
        <v>0</v>
      </c>
      <c r="O117" s="4">
        <f t="shared" si="30"/>
        <v>0</v>
      </c>
      <c r="P117" s="4" t="e">
        <f>VLOOKUP(AJ109,'CIR Team Info'!$C$5:$E$44,2,FALSE)</f>
        <v>#N/A</v>
      </c>
      <c r="Q117" s="4" t="e">
        <f>VLOOKUP(AJ109,'CIR Team Info'!$C$5:$E$44,3,FALSE)</f>
        <v>#N/A</v>
      </c>
      <c r="R117" s="10" t="e">
        <f>VLOOKUP(AJ109,'FRC Site Data'!$B$3:$L$42,2,FALSE)</f>
        <v>#N/A</v>
      </c>
      <c r="S117" s="10" t="e">
        <f>VLOOKUP(AJ109,'FRC Site Data'!$B$3:$L$42,3,FALSE)</f>
        <v>#N/A</v>
      </c>
      <c r="T117" s="10" t="e">
        <f>VLOOKUP(AJ109,'FRC Site Data'!$B$3:$L$42,4,FALSE)</f>
        <v>#N/A</v>
      </c>
      <c r="U117" s="10" t="e">
        <f>VLOOKUP(AJ109,'FRC Site Data'!$B$3:$L$42,5,FALSE)</f>
        <v>#N/A</v>
      </c>
      <c r="V117" s="10" t="e">
        <f>VLOOKUP(AJ109,'FRC Site Data'!$B$3:$L$42,6,FALSE)</f>
        <v>#N/A</v>
      </c>
      <c r="W117" s="10" t="e">
        <f>VLOOKUP(AJ109,'FRC Site Data'!$B$3:$L$42,8,FALSE)</f>
        <v>#N/A</v>
      </c>
      <c r="X117" s="10" t="e">
        <f>VLOOKUP(AJ109,'FRC Site Data'!$B$3:$L$42,9,FALSE)</f>
        <v>#N/A</v>
      </c>
      <c r="Y117" s="10" t="e">
        <f>VLOOKUP(AJ109,'FRC Site Data'!$B$3:$L$42,10,FALSE)</f>
        <v>#N/A</v>
      </c>
      <c r="Z117" s="10" t="e">
        <f>VLOOKUP(AJ109,'FRC Site Data'!$B$3:$L$42,11,FALSE)</f>
        <v>#N/A</v>
      </c>
      <c r="AA117" s="10" t="e">
        <f>VLOOKUP(AJ109,'CIR Team Info'!$C$5:$E$44,4,FALSE)</f>
        <v>#N/A</v>
      </c>
      <c r="AB117" s="161" t="b">
        <f>ISNUMBER(VLOOKUP(AJ109,Match!$T$5:$T$10,1,FALSE))</f>
        <v>0</v>
      </c>
      <c r="AC117" s="161" t="b">
        <f>IF(AB117=TRUE,(VLOOKUP($AJ109,Match!$T$5:$U$10,2,FALSE)))</f>
        <v>0</v>
      </c>
      <c r="AD117" s="8">
        <v>3</v>
      </c>
      <c r="AE117" s="8">
        <v>2</v>
      </c>
      <c r="AF117" s="8">
        <v>2</v>
      </c>
      <c r="AG117" s="8">
        <v>1</v>
      </c>
      <c r="AH117" s="8" t="str">
        <f t="shared" si="32"/>
        <v/>
      </c>
      <c r="BA117" s="24"/>
      <c r="BC117" s="12"/>
    </row>
    <row r="118" spans="1:55" x14ac:dyDescent="0.25">
      <c r="A118" s="29">
        <f t="shared" si="16"/>
        <v>0</v>
      </c>
      <c r="B118" s="29">
        <f t="shared" si="18"/>
        <v>0</v>
      </c>
      <c r="C118" s="29">
        <f t="shared" si="19"/>
        <v>0</v>
      </c>
      <c r="D118" s="29">
        <f t="shared" si="20"/>
        <v>0</v>
      </c>
      <c r="E118" s="29">
        <f t="shared" si="17"/>
        <v>0</v>
      </c>
      <c r="F118" s="29">
        <f t="shared" si="21"/>
        <v>0</v>
      </c>
      <c r="G118" s="29" t="str">
        <f t="shared" si="22"/>
        <v>offensive</v>
      </c>
      <c r="H118" s="16">
        <f t="shared" si="23"/>
        <v>0</v>
      </c>
      <c r="I118" s="16">
        <f t="shared" si="24"/>
        <v>0</v>
      </c>
      <c r="J118" s="16">
        <f t="shared" si="25"/>
        <v>0</v>
      </c>
      <c r="K118" s="16">
        <f t="shared" si="26"/>
        <v>0</v>
      </c>
      <c r="L118" s="67">
        <f t="shared" si="27"/>
        <v>0</v>
      </c>
      <c r="M118" s="4">
        <f t="shared" si="28"/>
        <v>0</v>
      </c>
      <c r="N118" s="4">
        <f t="shared" si="29"/>
        <v>0</v>
      </c>
      <c r="O118" s="4">
        <f t="shared" si="30"/>
        <v>0</v>
      </c>
      <c r="P118" s="4" t="e">
        <f>VLOOKUP(AJ110,'CIR Team Info'!$C$5:$E$44,2,FALSE)</f>
        <v>#N/A</v>
      </c>
      <c r="Q118" s="4" t="e">
        <f>VLOOKUP(AJ110,'CIR Team Info'!$C$5:$E$44,3,FALSE)</f>
        <v>#N/A</v>
      </c>
      <c r="R118" s="10" t="e">
        <f>VLOOKUP(AJ110,'FRC Site Data'!$B$3:$L$42,2,FALSE)</f>
        <v>#N/A</v>
      </c>
      <c r="S118" s="10" t="e">
        <f>VLOOKUP(AJ110,'FRC Site Data'!$B$3:$L$42,3,FALSE)</f>
        <v>#N/A</v>
      </c>
      <c r="T118" s="10" t="e">
        <f>VLOOKUP(AJ110,'FRC Site Data'!$B$3:$L$42,4,FALSE)</f>
        <v>#N/A</v>
      </c>
      <c r="U118" s="10" t="e">
        <f>VLOOKUP(AJ110,'FRC Site Data'!$B$3:$L$42,5,FALSE)</f>
        <v>#N/A</v>
      </c>
      <c r="V118" s="10" t="e">
        <f>VLOOKUP(AJ110,'FRC Site Data'!$B$3:$L$42,6,FALSE)</f>
        <v>#N/A</v>
      </c>
      <c r="W118" s="10" t="e">
        <f>VLOOKUP(AJ110,'FRC Site Data'!$B$3:$L$42,8,FALSE)</f>
        <v>#N/A</v>
      </c>
      <c r="X118" s="10" t="e">
        <f>VLOOKUP(AJ110,'FRC Site Data'!$B$3:$L$42,9,FALSE)</f>
        <v>#N/A</v>
      </c>
      <c r="Y118" s="10" t="e">
        <f>VLOOKUP(AJ110,'FRC Site Data'!$B$3:$L$42,10,FALSE)</f>
        <v>#N/A</v>
      </c>
      <c r="Z118" s="10" t="e">
        <f>VLOOKUP(AJ110,'FRC Site Data'!$B$3:$L$42,11,FALSE)</f>
        <v>#N/A</v>
      </c>
      <c r="AA118" s="10" t="e">
        <f>VLOOKUP(AJ110,'CIR Team Info'!$C$5:$E$44,4,FALSE)</f>
        <v>#N/A</v>
      </c>
      <c r="AB118" s="161" t="b">
        <f>ISNUMBER(VLOOKUP(AJ110,Match!$T$5:$T$10,1,FALSE))</f>
        <v>0</v>
      </c>
      <c r="AC118" s="161" t="b">
        <f>IF(AB118=TRUE,(VLOOKUP($AJ110,Match!$T$5:$U$10,2,FALSE)))</f>
        <v>0</v>
      </c>
      <c r="AD118" s="8">
        <v>3</v>
      </c>
      <c r="AE118" s="8">
        <v>2</v>
      </c>
      <c r="AF118" s="8">
        <v>2</v>
      </c>
      <c r="AG118" s="8">
        <v>1</v>
      </c>
      <c r="AH118" s="8" t="str">
        <f t="shared" si="32"/>
        <v/>
      </c>
      <c r="BA118" s="24"/>
      <c r="BC118" s="12"/>
    </row>
    <row r="119" spans="1:55" x14ac:dyDescent="0.25">
      <c r="A119" s="29">
        <f t="shared" si="16"/>
        <v>0</v>
      </c>
      <c r="B119" s="29">
        <f t="shared" si="18"/>
        <v>0</v>
      </c>
      <c r="C119" s="29">
        <f t="shared" si="19"/>
        <v>0</v>
      </c>
      <c r="D119" s="29">
        <f t="shared" si="20"/>
        <v>0</v>
      </c>
      <c r="E119" s="29">
        <f t="shared" si="17"/>
        <v>0</v>
      </c>
      <c r="F119" s="29">
        <f t="shared" si="21"/>
        <v>0</v>
      </c>
      <c r="G119" s="29" t="str">
        <f t="shared" si="22"/>
        <v>offensive</v>
      </c>
      <c r="H119" s="16">
        <f t="shared" si="23"/>
        <v>0</v>
      </c>
      <c r="I119" s="16">
        <f t="shared" si="24"/>
        <v>0</v>
      </c>
      <c r="J119" s="16">
        <f t="shared" si="25"/>
        <v>0</v>
      </c>
      <c r="K119" s="16">
        <f t="shared" si="26"/>
        <v>0</v>
      </c>
      <c r="L119" s="67">
        <f t="shared" si="27"/>
        <v>0</v>
      </c>
      <c r="M119" s="4">
        <f t="shared" si="28"/>
        <v>0</v>
      </c>
      <c r="N119" s="4">
        <f t="shared" si="29"/>
        <v>0</v>
      </c>
      <c r="O119" s="4">
        <f t="shared" si="30"/>
        <v>0</v>
      </c>
      <c r="P119" s="4" t="e">
        <f>VLOOKUP(AJ111,'CIR Team Info'!$C$5:$E$44,2,FALSE)</f>
        <v>#N/A</v>
      </c>
      <c r="Q119" s="4" t="e">
        <f>VLOOKUP(AJ111,'CIR Team Info'!$C$5:$E$44,3,FALSE)</f>
        <v>#N/A</v>
      </c>
      <c r="R119" s="10" t="e">
        <f>VLOOKUP(AJ111,'FRC Site Data'!$B$3:$L$42,2,FALSE)</f>
        <v>#N/A</v>
      </c>
      <c r="S119" s="10" t="e">
        <f>VLOOKUP(AJ111,'FRC Site Data'!$B$3:$L$42,3,FALSE)</f>
        <v>#N/A</v>
      </c>
      <c r="T119" s="10" t="e">
        <f>VLOOKUP(AJ111,'FRC Site Data'!$B$3:$L$42,4,FALSE)</f>
        <v>#N/A</v>
      </c>
      <c r="U119" s="10" t="e">
        <f>VLOOKUP(AJ111,'FRC Site Data'!$B$3:$L$42,5,FALSE)</f>
        <v>#N/A</v>
      </c>
      <c r="V119" s="10" t="e">
        <f>VLOOKUP(AJ111,'FRC Site Data'!$B$3:$L$42,6,FALSE)</f>
        <v>#N/A</v>
      </c>
      <c r="W119" s="10" t="e">
        <f>VLOOKUP(AJ111,'FRC Site Data'!$B$3:$L$42,8,FALSE)</f>
        <v>#N/A</v>
      </c>
      <c r="X119" s="10" t="e">
        <f>VLOOKUP(AJ111,'FRC Site Data'!$B$3:$L$42,9,FALSE)</f>
        <v>#N/A</v>
      </c>
      <c r="Y119" s="10" t="e">
        <f>VLOOKUP(AJ111,'FRC Site Data'!$B$3:$L$42,10,FALSE)</f>
        <v>#N/A</v>
      </c>
      <c r="Z119" s="10" t="e">
        <f>VLOOKUP(AJ111,'FRC Site Data'!$B$3:$L$42,11,FALSE)</f>
        <v>#N/A</v>
      </c>
      <c r="AA119" s="10" t="e">
        <f>VLOOKUP(AJ111,'CIR Team Info'!$C$5:$E$44,4,FALSE)</f>
        <v>#N/A</v>
      </c>
      <c r="AB119" s="161" t="b">
        <f>ISNUMBER(VLOOKUP(AJ111,Match!$T$5:$T$10,1,FALSE))</f>
        <v>0</v>
      </c>
      <c r="AC119" s="161" t="b">
        <f>IF(AB119=TRUE,(VLOOKUP($AJ111,Match!$T$5:$U$10,2,FALSE)))</f>
        <v>0</v>
      </c>
      <c r="AD119" s="8">
        <v>3</v>
      </c>
      <c r="AE119" s="8">
        <v>2</v>
      </c>
      <c r="AF119" s="8">
        <v>2</v>
      </c>
      <c r="AG119" s="8">
        <v>1</v>
      </c>
      <c r="AH119" s="8" t="str">
        <f t="shared" si="32"/>
        <v/>
      </c>
      <c r="BA119" s="24"/>
      <c r="BC119" s="12"/>
    </row>
    <row r="120" spans="1:55" x14ac:dyDescent="0.25">
      <c r="A120" s="29">
        <f t="shared" si="16"/>
        <v>0</v>
      </c>
      <c r="B120" s="29">
        <f t="shared" si="18"/>
        <v>0</v>
      </c>
      <c r="C120" s="29">
        <f t="shared" si="19"/>
        <v>0</v>
      </c>
      <c r="D120" s="29">
        <f t="shared" si="20"/>
        <v>0</v>
      </c>
      <c r="E120" s="29">
        <f t="shared" si="17"/>
        <v>0</v>
      </c>
      <c r="F120" s="29">
        <f t="shared" si="21"/>
        <v>0</v>
      </c>
      <c r="G120" s="29" t="str">
        <f t="shared" si="22"/>
        <v>offensive</v>
      </c>
      <c r="H120" s="16">
        <f t="shared" si="23"/>
        <v>0</v>
      </c>
      <c r="I120" s="16">
        <f t="shared" si="24"/>
        <v>0</v>
      </c>
      <c r="J120" s="16">
        <f t="shared" si="25"/>
        <v>0</v>
      </c>
      <c r="K120" s="16">
        <f t="shared" si="26"/>
        <v>0</v>
      </c>
      <c r="L120" s="67">
        <f t="shared" si="27"/>
        <v>0</v>
      </c>
      <c r="M120" s="4">
        <f t="shared" si="28"/>
        <v>0</v>
      </c>
      <c r="N120" s="4">
        <f t="shared" si="29"/>
        <v>0</v>
      </c>
      <c r="O120" s="4">
        <f t="shared" si="30"/>
        <v>0</v>
      </c>
      <c r="P120" s="4" t="e">
        <f>VLOOKUP(AJ112,'CIR Team Info'!$C$5:$E$44,2,FALSE)</f>
        <v>#N/A</v>
      </c>
      <c r="Q120" s="4" t="e">
        <f>VLOOKUP(AJ112,'CIR Team Info'!$C$5:$E$44,3,FALSE)</f>
        <v>#N/A</v>
      </c>
      <c r="R120" s="10" t="e">
        <f>VLOOKUP(AJ112,'FRC Site Data'!$B$3:$L$42,2,FALSE)</f>
        <v>#N/A</v>
      </c>
      <c r="S120" s="10" t="e">
        <f>VLOOKUP(AJ112,'FRC Site Data'!$B$3:$L$42,3,FALSE)</f>
        <v>#N/A</v>
      </c>
      <c r="T120" s="10" t="e">
        <f>VLOOKUP(AJ112,'FRC Site Data'!$B$3:$L$42,4,FALSE)</f>
        <v>#N/A</v>
      </c>
      <c r="U120" s="10" t="e">
        <f>VLOOKUP(AJ112,'FRC Site Data'!$B$3:$L$42,5,FALSE)</f>
        <v>#N/A</v>
      </c>
      <c r="V120" s="10" t="e">
        <f>VLOOKUP(AJ112,'FRC Site Data'!$B$3:$L$42,6,FALSE)</f>
        <v>#N/A</v>
      </c>
      <c r="W120" s="10" t="e">
        <f>VLOOKUP(AJ112,'FRC Site Data'!$B$3:$L$42,8,FALSE)</f>
        <v>#N/A</v>
      </c>
      <c r="X120" s="10" t="e">
        <f>VLOOKUP(AJ112,'FRC Site Data'!$B$3:$L$42,9,FALSE)</f>
        <v>#N/A</v>
      </c>
      <c r="Y120" s="10" t="e">
        <f>VLOOKUP(AJ112,'FRC Site Data'!$B$3:$L$42,10,FALSE)</f>
        <v>#N/A</v>
      </c>
      <c r="Z120" s="10" t="e">
        <f>VLOOKUP(AJ112,'FRC Site Data'!$B$3:$L$42,11,FALSE)</f>
        <v>#N/A</v>
      </c>
      <c r="AA120" s="10" t="e">
        <f>VLOOKUP(AJ112,'CIR Team Info'!$C$5:$E$44,4,FALSE)</f>
        <v>#N/A</v>
      </c>
      <c r="AB120" s="161" t="b">
        <f>ISNUMBER(VLOOKUP(AJ112,Match!$T$5:$T$10,1,FALSE))</f>
        <v>0</v>
      </c>
      <c r="AC120" s="161" t="b">
        <f>IF(AB120=TRUE,(VLOOKUP($AJ112,Match!$T$5:$U$10,2,FALSE)))</f>
        <v>0</v>
      </c>
      <c r="AD120" s="8">
        <v>3</v>
      </c>
      <c r="AE120" s="8">
        <v>2</v>
      </c>
      <c r="AF120" s="8">
        <v>2</v>
      </c>
      <c r="AG120" s="8">
        <v>1</v>
      </c>
      <c r="AH120" s="8" t="str">
        <f t="shared" si="32"/>
        <v/>
      </c>
      <c r="BA120" s="24"/>
      <c r="BC120" s="12"/>
    </row>
    <row r="121" spans="1:55" x14ac:dyDescent="0.25">
      <c r="A121" s="29">
        <f t="shared" si="16"/>
        <v>0</v>
      </c>
      <c r="B121" s="29">
        <f t="shared" si="18"/>
        <v>0</v>
      </c>
      <c r="C121" s="29">
        <f t="shared" si="19"/>
        <v>0</v>
      </c>
      <c r="D121" s="29">
        <f t="shared" si="20"/>
        <v>0</v>
      </c>
      <c r="E121" s="29">
        <f t="shared" si="17"/>
        <v>0</v>
      </c>
      <c r="F121" s="29">
        <f t="shared" si="21"/>
        <v>0</v>
      </c>
      <c r="G121" s="29" t="str">
        <f t="shared" si="22"/>
        <v>offensive</v>
      </c>
      <c r="H121" s="16">
        <f t="shared" si="23"/>
        <v>0</v>
      </c>
      <c r="I121" s="16">
        <f t="shared" si="24"/>
        <v>0</v>
      </c>
      <c r="J121" s="16">
        <f t="shared" si="25"/>
        <v>0</v>
      </c>
      <c r="K121" s="16">
        <f t="shared" si="26"/>
        <v>0</v>
      </c>
      <c r="L121" s="67">
        <f t="shared" si="27"/>
        <v>0</v>
      </c>
      <c r="M121" s="4">
        <f t="shared" si="28"/>
        <v>0</v>
      </c>
      <c r="N121" s="4">
        <f t="shared" si="29"/>
        <v>0</v>
      </c>
      <c r="O121" s="4">
        <f t="shared" si="30"/>
        <v>0</v>
      </c>
      <c r="P121" s="4" t="e">
        <f>VLOOKUP(AJ113,'CIR Team Info'!$C$5:$E$44,2,FALSE)</f>
        <v>#N/A</v>
      </c>
      <c r="Q121" s="4" t="e">
        <f>VLOOKUP(AJ113,'CIR Team Info'!$C$5:$E$44,3,FALSE)</f>
        <v>#N/A</v>
      </c>
      <c r="R121" s="10" t="e">
        <f>VLOOKUP(AJ113,'FRC Site Data'!$B$3:$L$42,2,FALSE)</f>
        <v>#N/A</v>
      </c>
      <c r="S121" s="10" t="e">
        <f>VLOOKUP(AJ113,'FRC Site Data'!$B$3:$L$42,3,FALSE)</f>
        <v>#N/A</v>
      </c>
      <c r="T121" s="10" t="e">
        <f>VLOOKUP(AJ113,'FRC Site Data'!$B$3:$L$42,4,FALSE)</f>
        <v>#N/A</v>
      </c>
      <c r="U121" s="10" t="e">
        <f>VLOOKUP(AJ113,'FRC Site Data'!$B$3:$L$42,5,FALSE)</f>
        <v>#N/A</v>
      </c>
      <c r="V121" s="10" t="e">
        <f>VLOOKUP(AJ113,'FRC Site Data'!$B$3:$L$42,6,FALSE)</f>
        <v>#N/A</v>
      </c>
      <c r="W121" s="10" t="e">
        <f>VLOOKUP(AJ113,'FRC Site Data'!$B$3:$L$42,8,FALSE)</f>
        <v>#N/A</v>
      </c>
      <c r="X121" s="10" t="e">
        <f>VLOOKUP(AJ113,'FRC Site Data'!$B$3:$L$42,9,FALSE)</f>
        <v>#N/A</v>
      </c>
      <c r="Y121" s="10" t="e">
        <f>VLOOKUP(AJ113,'FRC Site Data'!$B$3:$L$42,10,FALSE)</f>
        <v>#N/A</v>
      </c>
      <c r="Z121" s="10" t="e">
        <f>VLOOKUP(AJ113,'FRC Site Data'!$B$3:$L$42,11,FALSE)</f>
        <v>#N/A</v>
      </c>
      <c r="AA121" s="10" t="e">
        <f>VLOOKUP(AJ113,'CIR Team Info'!$C$5:$E$44,4,FALSE)</f>
        <v>#N/A</v>
      </c>
      <c r="AB121" s="161" t="b">
        <f>ISNUMBER(VLOOKUP(AJ113,Match!$T$5:$T$10,1,FALSE))</f>
        <v>0</v>
      </c>
      <c r="AC121" s="161" t="b">
        <f>IF(AB121=TRUE,(VLOOKUP($AJ113,Match!$T$5:$U$10,2,FALSE)))</f>
        <v>0</v>
      </c>
      <c r="AD121" s="8">
        <v>3</v>
      </c>
      <c r="AE121" s="8">
        <v>2</v>
      </c>
      <c r="AF121" s="8">
        <v>2</v>
      </c>
      <c r="AG121" s="8">
        <v>1</v>
      </c>
      <c r="AH121" s="8" t="str">
        <f t="shared" si="32"/>
        <v/>
      </c>
      <c r="BA121" s="24"/>
      <c r="BC121" s="12"/>
    </row>
    <row r="122" spans="1:55" x14ac:dyDescent="0.25">
      <c r="A122" s="29">
        <f t="shared" si="16"/>
        <v>0</v>
      </c>
      <c r="B122" s="29">
        <f t="shared" si="18"/>
        <v>0</v>
      </c>
      <c r="C122" s="29">
        <f t="shared" si="19"/>
        <v>0</v>
      </c>
      <c r="D122" s="29">
        <f t="shared" si="20"/>
        <v>0</v>
      </c>
      <c r="E122" s="29">
        <f t="shared" si="17"/>
        <v>0</v>
      </c>
      <c r="F122" s="29">
        <f t="shared" si="21"/>
        <v>0</v>
      </c>
      <c r="G122" s="29" t="str">
        <f t="shared" si="22"/>
        <v>offensive</v>
      </c>
      <c r="H122" s="16">
        <f t="shared" si="23"/>
        <v>0</v>
      </c>
      <c r="I122" s="16">
        <f t="shared" si="24"/>
        <v>0</v>
      </c>
      <c r="J122" s="16">
        <f t="shared" si="25"/>
        <v>0</v>
      </c>
      <c r="K122" s="16">
        <f t="shared" si="26"/>
        <v>0</v>
      </c>
      <c r="L122" s="67">
        <f t="shared" si="27"/>
        <v>0</v>
      </c>
      <c r="M122" s="4">
        <f t="shared" si="28"/>
        <v>0</v>
      </c>
      <c r="N122" s="4">
        <f t="shared" si="29"/>
        <v>0</v>
      </c>
      <c r="O122" s="4">
        <f t="shared" si="30"/>
        <v>0</v>
      </c>
      <c r="P122" s="4" t="e">
        <f>VLOOKUP(AJ114,'CIR Team Info'!$C$5:$E$44,2,FALSE)</f>
        <v>#N/A</v>
      </c>
      <c r="Q122" s="4" t="e">
        <f>VLOOKUP(AJ114,'CIR Team Info'!$C$5:$E$44,3,FALSE)</f>
        <v>#N/A</v>
      </c>
      <c r="R122" s="10" t="e">
        <f>VLOOKUP(AJ114,'FRC Site Data'!$B$3:$L$42,2,FALSE)</f>
        <v>#N/A</v>
      </c>
      <c r="S122" s="10" t="e">
        <f>VLOOKUP(AJ114,'FRC Site Data'!$B$3:$L$42,3,FALSE)</f>
        <v>#N/A</v>
      </c>
      <c r="T122" s="10" t="e">
        <f>VLOOKUP(AJ114,'FRC Site Data'!$B$3:$L$42,4,FALSE)</f>
        <v>#N/A</v>
      </c>
      <c r="U122" s="10" t="e">
        <f>VLOOKUP(AJ114,'FRC Site Data'!$B$3:$L$42,5,FALSE)</f>
        <v>#N/A</v>
      </c>
      <c r="V122" s="10" t="e">
        <f>VLOOKUP(AJ114,'FRC Site Data'!$B$3:$L$42,6,FALSE)</f>
        <v>#N/A</v>
      </c>
      <c r="W122" s="10" t="e">
        <f>VLOOKUP(AJ114,'FRC Site Data'!$B$3:$L$42,8,FALSE)</f>
        <v>#N/A</v>
      </c>
      <c r="X122" s="10" t="e">
        <f>VLOOKUP(AJ114,'FRC Site Data'!$B$3:$L$42,9,FALSE)</f>
        <v>#N/A</v>
      </c>
      <c r="Y122" s="10" t="e">
        <f>VLOOKUP(AJ114,'FRC Site Data'!$B$3:$L$42,10,FALSE)</f>
        <v>#N/A</v>
      </c>
      <c r="Z122" s="10" t="e">
        <f>VLOOKUP(AJ114,'FRC Site Data'!$B$3:$L$42,11,FALSE)</f>
        <v>#N/A</v>
      </c>
      <c r="AA122" s="10" t="e">
        <f>VLOOKUP(AJ114,'CIR Team Info'!$C$5:$E$44,4,FALSE)</f>
        <v>#N/A</v>
      </c>
      <c r="AB122" s="161" t="b">
        <f>ISNUMBER(VLOOKUP(AJ114,Match!$T$5:$T$10,1,FALSE))</f>
        <v>0</v>
      </c>
      <c r="AC122" s="161" t="b">
        <f>IF(AB122=TRUE,(VLOOKUP($AJ114,Match!$T$5:$U$10,2,FALSE)))</f>
        <v>0</v>
      </c>
      <c r="AD122" s="8">
        <v>3</v>
      </c>
      <c r="AE122" s="8">
        <v>2</v>
      </c>
      <c r="AF122" s="8">
        <v>2</v>
      </c>
      <c r="AG122" s="8">
        <v>1</v>
      </c>
      <c r="AH122" s="8" t="str">
        <f t="shared" si="32"/>
        <v/>
      </c>
      <c r="BA122" s="24"/>
      <c r="BC122" s="12"/>
    </row>
    <row r="123" spans="1:55" x14ac:dyDescent="0.25">
      <c r="A123" s="29">
        <f t="shared" si="16"/>
        <v>0</v>
      </c>
      <c r="B123" s="29">
        <f t="shared" si="18"/>
        <v>0</v>
      </c>
      <c r="C123" s="29">
        <f t="shared" si="19"/>
        <v>0</v>
      </c>
      <c r="D123" s="29">
        <f t="shared" si="20"/>
        <v>0</v>
      </c>
      <c r="E123" s="29">
        <f t="shared" si="17"/>
        <v>0</v>
      </c>
      <c r="F123" s="29">
        <f t="shared" si="21"/>
        <v>0</v>
      </c>
      <c r="G123" s="29" t="str">
        <f t="shared" si="22"/>
        <v>offensive</v>
      </c>
      <c r="H123" s="16">
        <f t="shared" si="23"/>
        <v>0</v>
      </c>
      <c r="I123" s="16">
        <f t="shared" si="24"/>
        <v>0</v>
      </c>
      <c r="J123" s="16">
        <f t="shared" si="25"/>
        <v>0</v>
      </c>
      <c r="K123" s="16">
        <f t="shared" si="26"/>
        <v>0</v>
      </c>
      <c r="L123" s="67">
        <f t="shared" si="27"/>
        <v>0</v>
      </c>
      <c r="M123" s="4">
        <f t="shared" si="28"/>
        <v>0</v>
      </c>
      <c r="N123" s="4">
        <f t="shared" si="29"/>
        <v>0</v>
      </c>
      <c r="O123" s="4">
        <f t="shared" si="30"/>
        <v>0</v>
      </c>
      <c r="P123" s="4" t="e">
        <f>VLOOKUP(AJ115,'CIR Team Info'!$C$5:$E$44,2,FALSE)</f>
        <v>#N/A</v>
      </c>
      <c r="Q123" s="4" t="e">
        <f>VLOOKUP(AJ115,'CIR Team Info'!$C$5:$E$44,3,FALSE)</f>
        <v>#N/A</v>
      </c>
      <c r="R123" s="10" t="e">
        <f>VLOOKUP(AJ115,'FRC Site Data'!$B$3:$L$42,2,FALSE)</f>
        <v>#N/A</v>
      </c>
      <c r="S123" s="10" t="e">
        <f>VLOOKUP(AJ115,'FRC Site Data'!$B$3:$L$42,3,FALSE)</f>
        <v>#N/A</v>
      </c>
      <c r="T123" s="10" t="e">
        <f>VLOOKUP(AJ115,'FRC Site Data'!$B$3:$L$42,4,FALSE)</f>
        <v>#N/A</v>
      </c>
      <c r="U123" s="10" t="e">
        <f>VLOOKUP(AJ115,'FRC Site Data'!$B$3:$L$42,5,FALSE)</f>
        <v>#N/A</v>
      </c>
      <c r="V123" s="10" t="e">
        <f>VLOOKUP(AJ115,'FRC Site Data'!$B$3:$L$42,6,FALSE)</f>
        <v>#N/A</v>
      </c>
      <c r="W123" s="10" t="e">
        <f>VLOOKUP(AJ115,'FRC Site Data'!$B$3:$L$42,8,FALSE)</f>
        <v>#N/A</v>
      </c>
      <c r="X123" s="10" t="e">
        <f>VLOOKUP(AJ115,'FRC Site Data'!$B$3:$L$42,9,FALSE)</f>
        <v>#N/A</v>
      </c>
      <c r="Y123" s="10" t="e">
        <f>VLOOKUP(AJ115,'FRC Site Data'!$B$3:$L$42,10,FALSE)</f>
        <v>#N/A</v>
      </c>
      <c r="Z123" s="10" t="e">
        <f>VLOOKUP(AJ115,'FRC Site Data'!$B$3:$L$42,11,FALSE)</f>
        <v>#N/A</v>
      </c>
      <c r="AA123" s="10" t="e">
        <f>VLOOKUP(AJ115,'CIR Team Info'!$C$5:$E$44,4,FALSE)</f>
        <v>#N/A</v>
      </c>
      <c r="AB123" s="161" t="b">
        <f>ISNUMBER(VLOOKUP(AJ115,Match!$T$5:$T$10,1,FALSE))</f>
        <v>0</v>
      </c>
      <c r="AC123" s="161" t="b">
        <f>IF(AB123=TRUE,(VLOOKUP($AJ115,Match!$T$5:$U$10,2,FALSE)))</f>
        <v>0</v>
      </c>
      <c r="AD123" s="8">
        <v>3</v>
      </c>
      <c r="AE123" s="8">
        <v>2</v>
      </c>
      <c r="AF123" s="8">
        <v>2</v>
      </c>
      <c r="AG123" s="8">
        <v>1</v>
      </c>
      <c r="AH123" s="8" t="str">
        <f t="shared" si="32"/>
        <v/>
      </c>
      <c r="BA123" s="24"/>
      <c r="BC123" s="12"/>
    </row>
    <row r="124" spans="1:55" x14ac:dyDescent="0.25">
      <c r="A124" s="29">
        <f t="shared" si="16"/>
        <v>0</v>
      </c>
      <c r="B124" s="29">
        <f t="shared" si="18"/>
        <v>0</v>
      </c>
      <c r="C124" s="29">
        <f t="shared" si="19"/>
        <v>0</v>
      </c>
      <c r="D124" s="29">
        <f t="shared" si="20"/>
        <v>0</v>
      </c>
      <c r="E124" s="29">
        <f t="shared" si="17"/>
        <v>0</v>
      </c>
      <c r="F124" s="29">
        <f t="shared" si="21"/>
        <v>0</v>
      </c>
      <c r="G124" s="29" t="str">
        <f t="shared" si="22"/>
        <v>offensive</v>
      </c>
      <c r="H124" s="16">
        <f t="shared" si="23"/>
        <v>0</v>
      </c>
      <c r="I124" s="16">
        <f t="shared" si="24"/>
        <v>0</v>
      </c>
      <c r="J124" s="16">
        <f t="shared" si="25"/>
        <v>0</v>
      </c>
      <c r="K124" s="16">
        <f t="shared" si="26"/>
        <v>0</v>
      </c>
      <c r="L124" s="67">
        <f t="shared" si="27"/>
        <v>0</v>
      </c>
      <c r="M124" s="4">
        <f t="shared" si="28"/>
        <v>0</v>
      </c>
      <c r="N124" s="4">
        <f t="shared" si="29"/>
        <v>0</v>
      </c>
      <c r="O124" s="4">
        <f t="shared" si="30"/>
        <v>0</v>
      </c>
      <c r="P124" s="4" t="e">
        <f>VLOOKUP(AJ116,'CIR Team Info'!$C$5:$E$44,2,FALSE)</f>
        <v>#N/A</v>
      </c>
      <c r="Q124" s="4" t="e">
        <f>VLOOKUP(AJ116,'CIR Team Info'!$C$5:$E$44,3,FALSE)</f>
        <v>#N/A</v>
      </c>
      <c r="R124" s="10" t="e">
        <f>VLOOKUP(AJ116,'FRC Site Data'!$B$3:$L$42,2,FALSE)</f>
        <v>#N/A</v>
      </c>
      <c r="S124" s="10" t="e">
        <f>VLOOKUP(AJ116,'FRC Site Data'!$B$3:$L$42,3,FALSE)</f>
        <v>#N/A</v>
      </c>
      <c r="T124" s="10" t="e">
        <f>VLOOKUP(AJ116,'FRC Site Data'!$B$3:$L$42,4,FALSE)</f>
        <v>#N/A</v>
      </c>
      <c r="U124" s="10" t="e">
        <f>VLOOKUP(AJ116,'FRC Site Data'!$B$3:$L$42,5,FALSE)</f>
        <v>#N/A</v>
      </c>
      <c r="V124" s="10" t="e">
        <f>VLOOKUP(AJ116,'FRC Site Data'!$B$3:$L$42,6,FALSE)</f>
        <v>#N/A</v>
      </c>
      <c r="W124" s="10" t="e">
        <f>VLOOKUP(AJ116,'FRC Site Data'!$B$3:$L$42,8,FALSE)</f>
        <v>#N/A</v>
      </c>
      <c r="X124" s="10" t="e">
        <f>VLOOKUP(AJ116,'FRC Site Data'!$B$3:$L$42,9,FALSE)</f>
        <v>#N/A</v>
      </c>
      <c r="Y124" s="10" t="e">
        <f>VLOOKUP(AJ116,'FRC Site Data'!$B$3:$L$42,10,FALSE)</f>
        <v>#N/A</v>
      </c>
      <c r="Z124" s="10" t="e">
        <f>VLOOKUP(AJ116,'FRC Site Data'!$B$3:$L$42,11,FALSE)</f>
        <v>#N/A</v>
      </c>
      <c r="AA124" s="10" t="e">
        <f>VLOOKUP(AJ116,'CIR Team Info'!$C$5:$E$44,4,FALSE)</f>
        <v>#N/A</v>
      </c>
      <c r="AB124" s="161" t="b">
        <f>ISNUMBER(VLOOKUP(AJ116,Match!$T$5:$T$10,1,FALSE))</f>
        <v>0</v>
      </c>
      <c r="AC124" s="161" t="b">
        <f>IF(AB124=TRUE,(VLOOKUP($AJ116,Match!$T$5:$U$10,2,FALSE)))</f>
        <v>0</v>
      </c>
      <c r="AD124" s="8">
        <v>3</v>
      </c>
      <c r="AE124" s="8">
        <v>2</v>
      </c>
      <c r="AF124" s="8">
        <v>2</v>
      </c>
      <c r="AG124" s="8">
        <v>1</v>
      </c>
      <c r="AH124" s="8" t="str">
        <f t="shared" si="32"/>
        <v/>
      </c>
      <c r="BA124" s="24"/>
      <c r="BC124" s="12"/>
    </row>
    <row r="125" spans="1:55" x14ac:dyDescent="0.25">
      <c r="A125" s="29">
        <f t="shared" si="16"/>
        <v>0</v>
      </c>
      <c r="B125" s="29">
        <f t="shared" si="18"/>
        <v>0</v>
      </c>
      <c r="C125" s="29">
        <f t="shared" si="19"/>
        <v>0</v>
      </c>
      <c r="D125" s="29">
        <f t="shared" si="20"/>
        <v>0</v>
      </c>
      <c r="E125" s="29">
        <f t="shared" si="17"/>
        <v>0</v>
      </c>
      <c r="F125" s="29">
        <f t="shared" si="21"/>
        <v>0</v>
      </c>
      <c r="G125" s="29" t="str">
        <f t="shared" si="22"/>
        <v>offensive</v>
      </c>
      <c r="H125" s="16">
        <f t="shared" si="23"/>
        <v>0</v>
      </c>
      <c r="I125" s="16">
        <f t="shared" si="24"/>
        <v>0</v>
      </c>
      <c r="J125" s="16">
        <f t="shared" si="25"/>
        <v>0</v>
      </c>
      <c r="K125" s="16">
        <f t="shared" si="26"/>
        <v>0</v>
      </c>
      <c r="L125" s="67">
        <f t="shared" si="27"/>
        <v>0</v>
      </c>
      <c r="M125" s="4">
        <f t="shared" si="28"/>
        <v>0</v>
      </c>
      <c r="N125" s="4">
        <f t="shared" si="29"/>
        <v>0</v>
      </c>
      <c r="O125" s="4">
        <f t="shared" si="30"/>
        <v>0</v>
      </c>
      <c r="P125" s="4" t="e">
        <f>VLOOKUP(AJ117,'CIR Team Info'!$C$5:$E$44,2,FALSE)</f>
        <v>#N/A</v>
      </c>
      <c r="Q125" s="4" t="e">
        <f>VLOOKUP(AJ117,'CIR Team Info'!$C$5:$E$44,3,FALSE)</f>
        <v>#N/A</v>
      </c>
      <c r="R125" s="10" t="e">
        <f>VLOOKUP(AJ117,'FRC Site Data'!$B$3:$L$42,2,FALSE)</f>
        <v>#N/A</v>
      </c>
      <c r="S125" s="10" t="e">
        <f>VLOOKUP(AJ117,'FRC Site Data'!$B$3:$L$42,3,FALSE)</f>
        <v>#N/A</v>
      </c>
      <c r="T125" s="10" t="e">
        <f>VLOOKUP(AJ117,'FRC Site Data'!$B$3:$L$42,4,FALSE)</f>
        <v>#N/A</v>
      </c>
      <c r="U125" s="10" t="e">
        <f>VLOOKUP(AJ117,'FRC Site Data'!$B$3:$L$42,5,FALSE)</f>
        <v>#N/A</v>
      </c>
      <c r="V125" s="10" t="e">
        <f>VLOOKUP(AJ117,'FRC Site Data'!$B$3:$L$42,6,FALSE)</f>
        <v>#N/A</v>
      </c>
      <c r="W125" s="10" t="e">
        <f>VLOOKUP(AJ117,'FRC Site Data'!$B$3:$L$42,8,FALSE)</f>
        <v>#N/A</v>
      </c>
      <c r="X125" s="10" t="e">
        <f>VLOOKUP(AJ117,'FRC Site Data'!$B$3:$L$42,9,FALSE)</f>
        <v>#N/A</v>
      </c>
      <c r="Y125" s="10" t="e">
        <f>VLOOKUP(AJ117,'FRC Site Data'!$B$3:$L$42,10,FALSE)</f>
        <v>#N/A</v>
      </c>
      <c r="Z125" s="10" t="e">
        <f>VLOOKUP(AJ117,'FRC Site Data'!$B$3:$L$42,11,FALSE)</f>
        <v>#N/A</v>
      </c>
      <c r="AA125" s="10" t="e">
        <f>VLOOKUP(AJ117,'CIR Team Info'!$C$5:$E$44,4,FALSE)</f>
        <v>#N/A</v>
      </c>
      <c r="AB125" s="161" t="b">
        <f>ISNUMBER(VLOOKUP(AJ117,Match!$T$5:$T$10,1,FALSE))</f>
        <v>0</v>
      </c>
      <c r="AC125" s="161" t="b">
        <f>IF(AB125=TRUE,(VLOOKUP($AJ117,Match!$T$5:$U$10,2,FALSE)))</f>
        <v>0</v>
      </c>
      <c r="AD125" s="8">
        <v>3</v>
      </c>
      <c r="AE125" s="8">
        <v>2</v>
      </c>
      <c r="AF125" s="8">
        <v>2</v>
      </c>
      <c r="AG125" s="8">
        <v>1</v>
      </c>
      <c r="AH125" s="8" t="str">
        <f t="shared" si="32"/>
        <v/>
      </c>
      <c r="BA125" s="24"/>
      <c r="BC125" s="12"/>
    </row>
    <row r="126" spans="1:55" x14ac:dyDescent="0.25">
      <c r="A126" s="29">
        <f t="shared" si="16"/>
        <v>0</v>
      </c>
      <c r="B126" s="29">
        <f t="shared" si="18"/>
        <v>0</v>
      </c>
      <c r="C126" s="29">
        <f t="shared" si="19"/>
        <v>0</v>
      </c>
      <c r="D126" s="29">
        <f t="shared" si="20"/>
        <v>0</v>
      </c>
      <c r="E126" s="29">
        <f t="shared" si="17"/>
        <v>0</v>
      </c>
      <c r="F126" s="29">
        <f t="shared" si="21"/>
        <v>0</v>
      </c>
      <c r="G126" s="29" t="str">
        <f t="shared" si="22"/>
        <v>offensive</v>
      </c>
      <c r="H126" s="16">
        <f t="shared" si="23"/>
        <v>0</v>
      </c>
      <c r="I126" s="16">
        <f t="shared" si="24"/>
        <v>0</v>
      </c>
      <c r="J126" s="16">
        <f t="shared" si="25"/>
        <v>0</v>
      </c>
      <c r="K126" s="16">
        <f t="shared" si="26"/>
        <v>0</v>
      </c>
      <c r="L126" s="67">
        <f t="shared" si="27"/>
        <v>0</v>
      </c>
      <c r="M126" s="4">
        <f t="shared" si="28"/>
        <v>0</v>
      </c>
      <c r="N126" s="4">
        <f t="shared" si="29"/>
        <v>0</v>
      </c>
      <c r="O126" s="4">
        <f t="shared" si="30"/>
        <v>0</v>
      </c>
      <c r="P126" s="4" t="e">
        <f>VLOOKUP(AJ118,'CIR Team Info'!$C$5:$E$44,2,FALSE)</f>
        <v>#N/A</v>
      </c>
      <c r="Q126" s="4" t="e">
        <f>VLOOKUP(AJ118,'CIR Team Info'!$C$5:$E$44,3,FALSE)</f>
        <v>#N/A</v>
      </c>
      <c r="R126" s="10" t="e">
        <f>VLOOKUP(AJ118,'FRC Site Data'!$B$3:$L$42,2,FALSE)</f>
        <v>#N/A</v>
      </c>
      <c r="S126" s="10" t="e">
        <f>VLOOKUP(AJ118,'FRC Site Data'!$B$3:$L$42,3,FALSE)</f>
        <v>#N/A</v>
      </c>
      <c r="T126" s="10" t="e">
        <f>VLOOKUP(AJ118,'FRC Site Data'!$B$3:$L$42,4,FALSE)</f>
        <v>#N/A</v>
      </c>
      <c r="U126" s="10" t="e">
        <f>VLOOKUP(AJ118,'FRC Site Data'!$B$3:$L$42,5,FALSE)</f>
        <v>#N/A</v>
      </c>
      <c r="V126" s="10" t="e">
        <f>VLOOKUP(AJ118,'FRC Site Data'!$B$3:$L$42,6,FALSE)</f>
        <v>#N/A</v>
      </c>
      <c r="W126" s="10" t="e">
        <f>VLOOKUP(AJ118,'FRC Site Data'!$B$3:$L$42,8,FALSE)</f>
        <v>#N/A</v>
      </c>
      <c r="X126" s="10" t="e">
        <f>VLOOKUP(AJ118,'FRC Site Data'!$B$3:$L$42,9,FALSE)</f>
        <v>#N/A</v>
      </c>
      <c r="Y126" s="10" t="e">
        <f>VLOOKUP(AJ118,'FRC Site Data'!$B$3:$L$42,10,FALSE)</f>
        <v>#N/A</v>
      </c>
      <c r="Z126" s="10" t="e">
        <f>VLOOKUP(AJ118,'FRC Site Data'!$B$3:$L$42,11,FALSE)</f>
        <v>#N/A</v>
      </c>
      <c r="AA126" s="10" t="e">
        <f>VLOOKUP(AJ118,'CIR Team Info'!$C$5:$E$44,4,FALSE)</f>
        <v>#N/A</v>
      </c>
      <c r="AB126" s="161" t="b">
        <f>ISNUMBER(VLOOKUP(AJ118,Match!$T$5:$T$10,1,FALSE))</f>
        <v>0</v>
      </c>
      <c r="AC126" s="161" t="b">
        <f>IF(AB126=TRUE,(VLOOKUP($AJ118,Match!$T$5:$U$10,2,FALSE)))</f>
        <v>0</v>
      </c>
      <c r="AD126" s="8">
        <v>3</v>
      </c>
      <c r="AE126" s="8">
        <v>2</v>
      </c>
      <c r="AF126" s="8">
        <v>2</v>
      </c>
      <c r="AG126" s="8">
        <v>1</v>
      </c>
      <c r="AH126" s="8" t="str">
        <f t="shared" si="32"/>
        <v/>
      </c>
      <c r="BA126" s="24"/>
      <c r="BC126" s="12"/>
    </row>
    <row r="127" spans="1:55" x14ac:dyDescent="0.25">
      <c r="A127" s="29">
        <f t="shared" si="16"/>
        <v>0</v>
      </c>
      <c r="B127" s="29">
        <f t="shared" si="18"/>
        <v>0</v>
      </c>
      <c r="C127" s="29">
        <f t="shared" si="19"/>
        <v>0</v>
      </c>
      <c r="D127" s="29">
        <f t="shared" si="20"/>
        <v>0</v>
      </c>
      <c r="E127" s="29">
        <f t="shared" si="17"/>
        <v>0</v>
      </c>
      <c r="F127" s="29">
        <f t="shared" si="21"/>
        <v>0</v>
      </c>
      <c r="G127" s="29" t="str">
        <f t="shared" si="22"/>
        <v>offensive</v>
      </c>
      <c r="H127" s="16">
        <f t="shared" si="23"/>
        <v>0</v>
      </c>
      <c r="I127" s="16">
        <f t="shared" si="24"/>
        <v>0</v>
      </c>
      <c r="J127" s="16">
        <f t="shared" si="25"/>
        <v>0</v>
      </c>
      <c r="K127" s="16">
        <f t="shared" si="26"/>
        <v>0</v>
      </c>
      <c r="L127" s="67">
        <f t="shared" si="27"/>
        <v>0</v>
      </c>
      <c r="M127" s="4">
        <f t="shared" si="28"/>
        <v>0</v>
      </c>
      <c r="N127" s="4">
        <f t="shared" si="29"/>
        <v>0</v>
      </c>
      <c r="O127" s="4">
        <f t="shared" si="30"/>
        <v>0</v>
      </c>
      <c r="P127" s="4" t="e">
        <f>VLOOKUP(AJ119,'CIR Team Info'!$C$5:$E$44,2,FALSE)</f>
        <v>#N/A</v>
      </c>
      <c r="Q127" s="4" t="e">
        <f>VLOOKUP(AJ119,'CIR Team Info'!$C$5:$E$44,3,FALSE)</f>
        <v>#N/A</v>
      </c>
      <c r="R127" s="10" t="e">
        <f>VLOOKUP(AJ119,'FRC Site Data'!$B$3:$L$42,2,FALSE)</f>
        <v>#N/A</v>
      </c>
      <c r="S127" s="10" t="e">
        <f>VLOOKUP(AJ119,'FRC Site Data'!$B$3:$L$42,3,FALSE)</f>
        <v>#N/A</v>
      </c>
      <c r="T127" s="10" t="e">
        <f>VLOOKUP(AJ119,'FRC Site Data'!$B$3:$L$42,4,FALSE)</f>
        <v>#N/A</v>
      </c>
      <c r="U127" s="10" t="e">
        <f>VLOOKUP(AJ119,'FRC Site Data'!$B$3:$L$42,5,FALSE)</f>
        <v>#N/A</v>
      </c>
      <c r="V127" s="10" t="e">
        <f>VLOOKUP(AJ119,'FRC Site Data'!$B$3:$L$42,6,FALSE)</f>
        <v>#N/A</v>
      </c>
      <c r="W127" s="10" t="e">
        <f>VLOOKUP(AJ119,'FRC Site Data'!$B$3:$L$42,8,FALSE)</f>
        <v>#N/A</v>
      </c>
      <c r="X127" s="10" t="e">
        <f>VLOOKUP(AJ119,'FRC Site Data'!$B$3:$L$42,9,FALSE)</f>
        <v>#N/A</v>
      </c>
      <c r="Y127" s="10" t="e">
        <f>VLOOKUP(AJ119,'FRC Site Data'!$B$3:$L$42,10,FALSE)</f>
        <v>#N/A</v>
      </c>
      <c r="Z127" s="10" t="e">
        <f>VLOOKUP(AJ119,'FRC Site Data'!$B$3:$L$42,11,FALSE)</f>
        <v>#N/A</v>
      </c>
      <c r="AA127" s="10" t="e">
        <f>VLOOKUP(AJ119,'CIR Team Info'!$C$5:$E$44,4,FALSE)</f>
        <v>#N/A</v>
      </c>
      <c r="AB127" s="161" t="b">
        <f>ISNUMBER(VLOOKUP(AJ119,Match!$T$5:$T$10,1,FALSE))</f>
        <v>0</v>
      </c>
      <c r="AC127" s="161" t="b">
        <f>IF(AB127=TRUE,(VLOOKUP($AJ119,Match!$T$5:$U$10,2,FALSE)))</f>
        <v>0</v>
      </c>
      <c r="AD127" s="8">
        <v>3</v>
      </c>
      <c r="AE127" s="8">
        <v>2</v>
      </c>
      <c r="AF127" s="8">
        <v>2</v>
      </c>
      <c r="AG127" s="8">
        <v>1</v>
      </c>
      <c r="AH127" s="8" t="str">
        <f t="shared" si="32"/>
        <v/>
      </c>
      <c r="BA127" s="24"/>
      <c r="BC127" s="12"/>
    </row>
    <row r="128" spans="1:55" x14ac:dyDescent="0.25">
      <c r="A128" s="29">
        <f t="shared" ref="A128:A191" si="33">SUM(B128:F128)</f>
        <v>0</v>
      </c>
      <c r="B128" s="29">
        <f t="shared" si="18"/>
        <v>0</v>
      </c>
      <c r="C128" s="29">
        <f t="shared" si="19"/>
        <v>0</v>
      </c>
      <c r="D128" s="29">
        <f t="shared" si="20"/>
        <v>0</v>
      </c>
      <c r="E128" s="29">
        <f t="shared" si="17"/>
        <v>0</v>
      </c>
      <c r="F128" s="29">
        <f t="shared" si="21"/>
        <v>0</v>
      </c>
      <c r="G128" s="29" t="str">
        <f t="shared" si="22"/>
        <v>offensive</v>
      </c>
      <c r="H128" s="16">
        <f t="shared" si="23"/>
        <v>0</v>
      </c>
      <c r="I128" s="16">
        <f t="shared" si="24"/>
        <v>0</v>
      </c>
      <c r="J128" s="16">
        <f t="shared" si="25"/>
        <v>0</v>
      </c>
      <c r="K128" s="16">
        <f t="shared" si="26"/>
        <v>0</v>
      </c>
      <c r="L128" s="67">
        <f t="shared" si="27"/>
        <v>0</v>
      </c>
      <c r="M128" s="4">
        <f t="shared" si="28"/>
        <v>0</v>
      </c>
      <c r="N128" s="4">
        <f t="shared" si="29"/>
        <v>0</v>
      </c>
      <c r="O128" s="4">
        <f t="shared" si="30"/>
        <v>0</v>
      </c>
      <c r="P128" s="4" t="e">
        <f>VLOOKUP(AJ120,'CIR Team Info'!$C$5:$E$44,2,FALSE)</f>
        <v>#N/A</v>
      </c>
      <c r="Q128" s="4" t="e">
        <f>VLOOKUP(AJ120,'CIR Team Info'!$C$5:$E$44,3,FALSE)</f>
        <v>#N/A</v>
      </c>
      <c r="R128" s="10" t="e">
        <f>VLOOKUP(AJ120,'FRC Site Data'!$B$3:$L$42,2,FALSE)</f>
        <v>#N/A</v>
      </c>
      <c r="S128" s="10" t="e">
        <f>VLOOKUP(AJ120,'FRC Site Data'!$B$3:$L$42,3,FALSE)</f>
        <v>#N/A</v>
      </c>
      <c r="T128" s="10" t="e">
        <f>VLOOKUP(AJ120,'FRC Site Data'!$B$3:$L$42,4,FALSE)</f>
        <v>#N/A</v>
      </c>
      <c r="U128" s="10" t="e">
        <f>VLOOKUP(AJ120,'FRC Site Data'!$B$3:$L$42,5,FALSE)</f>
        <v>#N/A</v>
      </c>
      <c r="V128" s="10" t="e">
        <f>VLOOKUP(AJ120,'FRC Site Data'!$B$3:$L$42,6,FALSE)</f>
        <v>#N/A</v>
      </c>
      <c r="W128" s="10" t="e">
        <f>VLOOKUP(AJ120,'FRC Site Data'!$B$3:$L$42,8,FALSE)</f>
        <v>#N/A</v>
      </c>
      <c r="X128" s="10" t="e">
        <f>VLOOKUP(AJ120,'FRC Site Data'!$B$3:$L$42,9,FALSE)</f>
        <v>#N/A</v>
      </c>
      <c r="Y128" s="10" t="e">
        <f>VLOOKUP(AJ120,'FRC Site Data'!$B$3:$L$42,10,FALSE)</f>
        <v>#N/A</v>
      </c>
      <c r="Z128" s="10" t="e">
        <f>VLOOKUP(AJ120,'FRC Site Data'!$B$3:$L$42,11,FALSE)</f>
        <v>#N/A</v>
      </c>
      <c r="AA128" s="10" t="e">
        <f>VLOOKUP(AJ120,'CIR Team Info'!$C$5:$E$44,4,FALSE)</f>
        <v>#N/A</v>
      </c>
      <c r="AB128" s="161" t="b">
        <f>ISNUMBER(VLOOKUP(AJ120,Match!$T$5:$T$10,1,FALSE))</f>
        <v>0</v>
      </c>
      <c r="AC128" s="161" t="b">
        <f>IF(AB128=TRUE,(VLOOKUP($AJ120,Match!$T$5:$U$10,2,FALSE)))</f>
        <v>0</v>
      </c>
      <c r="AD128" s="8">
        <v>3</v>
      </c>
      <c r="AE128" s="8">
        <v>2</v>
      </c>
      <c r="AF128" s="8">
        <v>2</v>
      </c>
      <c r="AG128" s="8">
        <v>1</v>
      </c>
      <c r="AH128" s="8" t="str">
        <f t="shared" si="32"/>
        <v/>
      </c>
      <c r="BA128" s="24"/>
      <c r="BC128" s="12"/>
    </row>
    <row r="129" spans="1:55" x14ac:dyDescent="0.25">
      <c r="A129" s="29">
        <f t="shared" si="33"/>
        <v>0</v>
      </c>
      <c r="B129" s="29">
        <f t="shared" si="18"/>
        <v>0</v>
      </c>
      <c r="C129" s="29">
        <f t="shared" si="19"/>
        <v>0</v>
      </c>
      <c r="D129" s="29">
        <f t="shared" si="20"/>
        <v>0</v>
      </c>
      <c r="E129" s="29">
        <f t="shared" ref="E129:E192" si="34">K129*O129</f>
        <v>0</v>
      </c>
      <c r="F129" s="29">
        <f t="shared" si="21"/>
        <v>0</v>
      </c>
      <c r="G129" s="29" t="str">
        <f t="shared" si="22"/>
        <v>offensive</v>
      </c>
      <c r="H129" s="16">
        <f t="shared" si="23"/>
        <v>0</v>
      </c>
      <c r="I129" s="16">
        <f t="shared" si="24"/>
        <v>0</v>
      </c>
      <c r="J129" s="16">
        <f t="shared" si="25"/>
        <v>0</v>
      </c>
      <c r="K129" s="16">
        <f t="shared" si="26"/>
        <v>0</v>
      </c>
      <c r="L129" s="67">
        <f t="shared" si="27"/>
        <v>0</v>
      </c>
      <c r="M129" s="4">
        <f t="shared" si="28"/>
        <v>0</v>
      </c>
      <c r="N129" s="4">
        <f t="shared" si="29"/>
        <v>0</v>
      </c>
      <c r="O129" s="4">
        <f t="shared" si="30"/>
        <v>0</v>
      </c>
      <c r="P129" s="4" t="e">
        <f>VLOOKUP(AJ121,'CIR Team Info'!$C$5:$E$44,2,FALSE)</f>
        <v>#N/A</v>
      </c>
      <c r="Q129" s="4" t="e">
        <f>VLOOKUP(AJ121,'CIR Team Info'!$C$5:$E$44,3,FALSE)</f>
        <v>#N/A</v>
      </c>
      <c r="R129" s="10" t="e">
        <f>VLOOKUP(AJ121,'FRC Site Data'!$B$3:$L$42,2,FALSE)</f>
        <v>#N/A</v>
      </c>
      <c r="S129" s="10" t="e">
        <f>VLOOKUP(AJ121,'FRC Site Data'!$B$3:$L$42,3,FALSE)</f>
        <v>#N/A</v>
      </c>
      <c r="T129" s="10" t="e">
        <f>VLOOKUP(AJ121,'FRC Site Data'!$B$3:$L$42,4,FALSE)</f>
        <v>#N/A</v>
      </c>
      <c r="U129" s="10" t="e">
        <f>VLOOKUP(AJ121,'FRC Site Data'!$B$3:$L$42,5,FALSE)</f>
        <v>#N/A</v>
      </c>
      <c r="V129" s="10" t="e">
        <f>VLOOKUP(AJ121,'FRC Site Data'!$B$3:$L$42,6,FALSE)</f>
        <v>#N/A</v>
      </c>
      <c r="W129" s="10" t="e">
        <f>VLOOKUP(AJ121,'FRC Site Data'!$B$3:$L$42,8,FALSE)</f>
        <v>#N/A</v>
      </c>
      <c r="X129" s="10" t="e">
        <f>VLOOKUP(AJ121,'FRC Site Data'!$B$3:$L$42,9,FALSE)</f>
        <v>#N/A</v>
      </c>
      <c r="Y129" s="10" t="e">
        <f>VLOOKUP(AJ121,'FRC Site Data'!$B$3:$L$42,10,FALSE)</f>
        <v>#N/A</v>
      </c>
      <c r="Z129" s="10" t="e">
        <f>VLOOKUP(AJ121,'FRC Site Data'!$B$3:$L$42,11,FALSE)</f>
        <v>#N/A</v>
      </c>
      <c r="AA129" s="10" t="e">
        <f>VLOOKUP(AJ121,'CIR Team Info'!$C$5:$E$44,4,FALSE)</f>
        <v>#N/A</v>
      </c>
      <c r="AB129" s="161" t="b">
        <f>ISNUMBER(VLOOKUP(AJ121,Match!$T$5:$T$10,1,FALSE))</f>
        <v>0</v>
      </c>
      <c r="AC129" s="161" t="b">
        <f>IF(AB129=TRUE,(VLOOKUP($AJ121,Match!$T$5:$U$10,2,FALSE)))</f>
        <v>0</v>
      </c>
      <c r="AD129" s="8">
        <v>3</v>
      </c>
      <c r="AE129" s="8">
        <v>2</v>
      </c>
      <c r="AF129" s="8">
        <v>2</v>
      </c>
      <c r="AG129" s="8">
        <v>1</v>
      </c>
      <c r="AH129" s="8" t="str">
        <f t="shared" si="32"/>
        <v/>
      </c>
      <c r="BA129" s="24"/>
      <c r="BC129" s="12"/>
    </row>
    <row r="130" spans="1:55" x14ac:dyDescent="0.25">
      <c r="A130" s="29">
        <f t="shared" si="33"/>
        <v>0</v>
      </c>
      <c r="B130" s="29">
        <f t="shared" si="18"/>
        <v>0</v>
      </c>
      <c r="C130" s="29">
        <f t="shared" si="19"/>
        <v>0</v>
      </c>
      <c r="D130" s="29">
        <f t="shared" si="20"/>
        <v>0</v>
      </c>
      <c r="E130" s="29">
        <f t="shared" si="34"/>
        <v>0</v>
      </c>
      <c r="F130" s="29">
        <f t="shared" si="21"/>
        <v>0</v>
      </c>
      <c r="G130" s="29" t="str">
        <f t="shared" si="22"/>
        <v>offensive</v>
      </c>
      <c r="H130" s="16">
        <f t="shared" si="23"/>
        <v>0</v>
      </c>
      <c r="I130" s="16">
        <f t="shared" si="24"/>
        <v>0</v>
      </c>
      <c r="J130" s="16">
        <f t="shared" si="25"/>
        <v>0</v>
      </c>
      <c r="K130" s="16">
        <f t="shared" si="26"/>
        <v>0</v>
      </c>
      <c r="L130" s="67">
        <f t="shared" si="27"/>
        <v>0</v>
      </c>
      <c r="M130" s="4">
        <f t="shared" si="28"/>
        <v>0</v>
      </c>
      <c r="N130" s="4">
        <f t="shared" si="29"/>
        <v>0</v>
      </c>
      <c r="O130" s="4">
        <f t="shared" si="30"/>
        <v>0</v>
      </c>
      <c r="P130" s="4" t="e">
        <f>VLOOKUP(AJ122,'CIR Team Info'!$C$5:$E$44,2,FALSE)</f>
        <v>#N/A</v>
      </c>
      <c r="Q130" s="4" t="e">
        <f>VLOOKUP(AJ122,'CIR Team Info'!$C$5:$E$44,3,FALSE)</f>
        <v>#N/A</v>
      </c>
      <c r="R130" s="10" t="e">
        <f>VLOOKUP(AJ122,'FRC Site Data'!$B$3:$L$42,2,FALSE)</f>
        <v>#N/A</v>
      </c>
      <c r="S130" s="10" t="e">
        <f>VLOOKUP(AJ122,'FRC Site Data'!$B$3:$L$42,3,FALSE)</f>
        <v>#N/A</v>
      </c>
      <c r="T130" s="10" t="e">
        <f>VLOOKUP(AJ122,'FRC Site Data'!$B$3:$L$42,4,FALSE)</f>
        <v>#N/A</v>
      </c>
      <c r="U130" s="10" t="e">
        <f>VLOOKUP(AJ122,'FRC Site Data'!$B$3:$L$42,5,FALSE)</f>
        <v>#N/A</v>
      </c>
      <c r="V130" s="10" t="e">
        <f>VLOOKUP(AJ122,'FRC Site Data'!$B$3:$L$42,6,FALSE)</f>
        <v>#N/A</v>
      </c>
      <c r="W130" s="10" t="e">
        <f>VLOOKUP(AJ122,'FRC Site Data'!$B$3:$L$42,8,FALSE)</f>
        <v>#N/A</v>
      </c>
      <c r="X130" s="10" t="e">
        <f>VLOOKUP(AJ122,'FRC Site Data'!$B$3:$L$42,9,FALSE)</f>
        <v>#N/A</v>
      </c>
      <c r="Y130" s="10" t="e">
        <f>VLOOKUP(AJ122,'FRC Site Data'!$B$3:$L$42,10,FALSE)</f>
        <v>#N/A</v>
      </c>
      <c r="Z130" s="10" t="e">
        <f>VLOOKUP(AJ122,'FRC Site Data'!$B$3:$L$42,11,FALSE)</f>
        <v>#N/A</v>
      </c>
      <c r="AA130" s="10" t="e">
        <f>VLOOKUP(AJ122,'CIR Team Info'!$C$5:$E$44,4,FALSE)</f>
        <v>#N/A</v>
      </c>
      <c r="AB130" s="161" t="b">
        <f>ISNUMBER(VLOOKUP(AJ122,Match!$T$5:$T$10,1,FALSE))</f>
        <v>0</v>
      </c>
      <c r="AC130" s="161" t="b">
        <f>IF(AB130=TRUE,(VLOOKUP($AJ122,Match!$T$5:$U$10,2,FALSE)))</f>
        <v>0</v>
      </c>
      <c r="AD130" s="8">
        <v>3</v>
      </c>
      <c r="AE130" s="8">
        <v>2</v>
      </c>
      <c r="AF130" s="8">
        <v>2</v>
      </c>
      <c r="AG130" s="8">
        <v>1</v>
      </c>
      <c r="AH130" s="8" t="str">
        <f t="shared" si="32"/>
        <v/>
      </c>
      <c r="BA130" s="24"/>
      <c r="BC130" s="12"/>
    </row>
    <row r="131" spans="1:55" x14ac:dyDescent="0.25">
      <c r="A131" s="29">
        <f t="shared" si="33"/>
        <v>0</v>
      </c>
      <c r="B131" s="29">
        <f t="shared" si="18"/>
        <v>0</v>
      </c>
      <c r="C131" s="29">
        <f t="shared" si="19"/>
        <v>0</v>
      </c>
      <c r="D131" s="29">
        <f t="shared" si="20"/>
        <v>0</v>
      </c>
      <c r="E131" s="29">
        <f t="shared" si="34"/>
        <v>0</v>
      </c>
      <c r="F131" s="29">
        <f t="shared" si="21"/>
        <v>0</v>
      </c>
      <c r="G131" s="29" t="str">
        <f t="shared" si="22"/>
        <v>offensive</v>
      </c>
      <c r="H131" s="16">
        <f t="shared" si="23"/>
        <v>0</v>
      </c>
      <c r="I131" s="16">
        <f t="shared" si="24"/>
        <v>0</v>
      </c>
      <c r="J131" s="16">
        <f t="shared" si="25"/>
        <v>0</v>
      </c>
      <c r="K131" s="16">
        <f t="shared" si="26"/>
        <v>0</v>
      </c>
      <c r="L131" s="67">
        <f t="shared" si="27"/>
        <v>0</v>
      </c>
      <c r="M131" s="4">
        <f t="shared" si="28"/>
        <v>0</v>
      </c>
      <c r="N131" s="4">
        <f t="shared" si="29"/>
        <v>0</v>
      </c>
      <c r="O131" s="4">
        <f t="shared" si="30"/>
        <v>0</v>
      </c>
      <c r="P131" s="4" t="e">
        <f>VLOOKUP(AJ123,'CIR Team Info'!$C$5:$E$44,2,FALSE)</f>
        <v>#N/A</v>
      </c>
      <c r="Q131" s="4" t="e">
        <f>VLOOKUP(AJ123,'CIR Team Info'!$C$5:$E$44,3,FALSE)</f>
        <v>#N/A</v>
      </c>
      <c r="R131" s="10" t="e">
        <f>VLOOKUP(AJ123,'FRC Site Data'!$B$3:$L$42,2,FALSE)</f>
        <v>#N/A</v>
      </c>
      <c r="S131" s="10" t="e">
        <f>VLOOKUP(AJ123,'FRC Site Data'!$B$3:$L$42,3,FALSE)</f>
        <v>#N/A</v>
      </c>
      <c r="T131" s="10" t="e">
        <f>VLOOKUP(AJ123,'FRC Site Data'!$B$3:$L$42,4,FALSE)</f>
        <v>#N/A</v>
      </c>
      <c r="U131" s="10" t="e">
        <f>VLOOKUP(AJ123,'FRC Site Data'!$B$3:$L$42,5,FALSE)</f>
        <v>#N/A</v>
      </c>
      <c r="V131" s="10" t="e">
        <f>VLOOKUP(AJ123,'FRC Site Data'!$B$3:$L$42,6,FALSE)</f>
        <v>#N/A</v>
      </c>
      <c r="W131" s="10" t="e">
        <f>VLOOKUP(AJ123,'FRC Site Data'!$B$3:$L$42,8,FALSE)</f>
        <v>#N/A</v>
      </c>
      <c r="X131" s="10" t="e">
        <f>VLOOKUP(AJ123,'FRC Site Data'!$B$3:$L$42,9,FALSE)</f>
        <v>#N/A</v>
      </c>
      <c r="Y131" s="10" t="e">
        <f>VLOOKUP(AJ123,'FRC Site Data'!$B$3:$L$42,10,FALSE)</f>
        <v>#N/A</v>
      </c>
      <c r="Z131" s="10" t="e">
        <f>VLOOKUP(AJ123,'FRC Site Data'!$B$3:$L$42,11,FALSE)</f>
        <v>#N/A</v>
      </c>
      <c r="AA131" s="10" t="e">
        <f>VLOOKUP(AJ123,'CIR Team Info'!$C$5:$E$44,4,FALSE)</f>
        <v>#N/A</v>
      </c>
      <c r="AB131" s="161" t="b">
        <f>ISNUMBER(VLOOKUP(AJ123,Match!$T$5:$T$10,1,FALSE))</f>
        <v>0</v>
      </c>
      <c r="AC131" s="161" t="b">
        <f>IF(AB131=TRUE,(VLOOKUP($AJ123,Match!$T$5:$U$10,2,FALSE)))</f>
        <v>0</v>
      </c>
      <c r="AD131" s="8">
        <v>3</v>
      </c>
      <c r="AE131" s="8">
        <v>2</v>
      </c>
      <c r="AF131" s="8">
        <v>2</v>
      </c>
      <c r="AG131" s="8">
        <v>1</v>
      </c>
      <c r="AH131" s="8" t="str">
        <f t="shared" si="32"/>
        <v/>
      </c>
      <c r="BA131" s="24"/>
      <c r="BC131" s="12"/>
    </row>
    <row r="132" spans="1:55" x14ac:dyDescent="0.25">
      <c r="A132" s="29">
        <f t="shared" si="33"/>
        <v>0</v>
      </c>
      <c r="B132" s="29">
        <f t="shared" si="18"/>
        <v>0</v>
      </c>
      <c r="C132" s="29">
        <f t="shared" si="19"/>
        <v>0</v>
      </c>
      <c r="D132" s="29">
        <f t="shared" si="20"/>
        <v>0</v>
      </c>
      <c r="E132" s="29">
        <f t="shared" si="34"/>
        <v>0</v>
      </c>
      <c r="F132" s="29">
        <f t="shared" si="21"/>
        <v>0</v>
      </c>
      <c r="G132" s="29" t="str">
        <f t="shared" si="22"/>
        <v>offensive</v>
      </c>
      <c r="H132" s="16">
        <f t="shared" si="23"/>
        <v>0</v>
      </c>
      <c r="I132" s="16">
        <f t="shared" si="24"/>
        <v>0</v>
      </c>
      <c r="J132" s="16">
        <f t="shared" si="25"/>
        <v>0</v>
      </c>
      <c r="K132" s="16">
        <f t="shared" si="26"/>
        <v>0</v>
      </c>
      <c r="L132" s="67">
        <f t="shared" si="27"/>
        <v>0</v>
      </c>
      <c r="M132" s="4">
        <f t="shared" si="28"/>
        <v>0</v>
      </c>
      <c r="N132" s="4">
        <f t="shared" si="29"/>
        <v>0</v>
      </c>
      <c r="O132" s="4">
        <f t="shared" si="30"/>
        <v>0</v>
      </c>
      <c r="P132" s="4" t="e">
        <f>VLOOKUP(AJ124,'CIR Team Info'!$C$5:$E$44,2,FALSE)</f>
        <v>#N/A</v>
      </c>
      <c r="Q132" s="4" t="e">
        <f>VLOOKUP(AJ124,'CIR Team Info'!$C$5:$E$44,3,FALSE)</f>
        <v>#N/A</v>
      </c>
      <c r="R132" s="10" t="e">
        <f>VLOOKUP(AJ124,'FRC Site Data'!$B$3:$L$42,2,FALSE)</f>
        <v>#N/A</v>
      </c>
      <c r="S132" s="10" t="e">
        <f>VLOOKUP(AJ124,'FRC Site Data'!$B$3:$L$42,3,FALSE)</f>
        <v>#N/A</v>
      </c>
      <c r="T132" s="10" t="e">
        <f>VLOOKUP(AJ124,'FRC Site Data'!$B$3:$L$42,4,FALSE)</f>
        <v>#N/A</v>
      </c>
      <c r="U132" s="10" t="e">
        <f>VLOOKUP(AJ124,'FRC Site Data'!$B$3:$L$42,5,FALSE)</f>
        <v>#N/A</v>
      </c>
      <c r="V132" s="10" t="e">
        <f>VLOOKUP(AJ124,'FRC Site Data'!$B$3:$L$42,6,FALSE)</f>
        <v>#N/A</v>
      </c>
      <c r="W132" s="10" t="e">
        <f>VLOOKUP(AJ124,'FRC Site Data'!$B$3:$L$42,8,FALSE)</f>
        <v>#N/A</v>
      </c>
      <c r="X132" s="10" t="e">
        <f>VLOOKUP(AJ124,'FRC Site Data'!$B$3:$L$42,9,FALSE)</f>
        <v>#N/A</v>
      </c>
      <c r="Y132" s="10" t="e">
        <f>VLOOKUP(AJ124,'FRC Site Data'!$B$3:$L$42,10,FALSE)</f>
        <v>#N/A</v>
      </c>
      <c r="Z132" s="10" t="e">
        <f>VLOOKUP(AJ124,'FRC Site Data'!$B$3:$L$42,11,FALSE)</f>
        <v>#N/A</v>
      </c>
      <c r="AA132" s="10" t="e">
        <f>VLOOKUP(AJ124,'CIR Team Info'!$C$5:$E$44,4,FALSE)</f>
        <v>#N/A</v>
      </c>
      <c r="AB132" s="161" t="b">
        <f>ISNUMBER(VLOOKUP(AJ124,Match!$T$5:$T$10,1,FALSE))</f>
        <v>0</v>
      </c>
      <c r="AC132" s="161" t="b">
        <f>IF(AB132=TRUE,(VLOOKUP($AJ124,Match!$T$5:$U$10,2,FALSE)))</f>
        <v>0</v>
      </c>
      <c r="AD132" s="8">
        <v>3</v>
      </c>
      <c r="AE132" s="8">
        <v>2</v>
      </c>
      <c r="AF132" s="8">
        <v>2</v>
      </c>
      <c r="AG132" s="8">
        <v>1</v>
      </c>
      <c r="AH132" s="8" t="str">
        <f t="shared" si="32"/>
        <v/>
      </c>
      <c r="BA132" s="24"/>
      <c r="BC132" s="12"/>
    </row>
    <row r="133" spans="1:55" x14ac:dyDescent="0.25">
      <c r="A133" s="29">
        <f t="shared" si="33"/>
        <v>0</v>
      </c>
      <c r="B133" s="29">
        <f t="shared" si="18"/>
        <v>0</v>
      </c>
      <c r="C133" s="29">
        <f t="shared" si="19"/>
        <v>0</v>
      </c>
      <c r="D133" s="29">
        <f t="shared" si="20"/>
        <v>0</v>
      </c>
      <c r="E133" s="29">
        <f t="shared" si="34"/>
        <v>0</v>
      </c>
      <c r="F133" s="29">
        <f t="shared" si="21"/>
        <v>0</v>
      </c>
      <c r="G133" s="29" t="str">
        <f t="shared" si="22"/>
        <v>offensive</v>
      </c>
      <c r="H133" s="16">
        <f t="shared" si="23"/>
        <v>0</v>
      </c>
      <c r="I133" s="16">
        <f t="shared" si="24"/>
        <v>0</v>
      </c>
      <c r="J133" s="16">
        <f t="shared" si="25"/>
        <v>0</v>
      </c>
      <c r="K133" s="16">
        <f t="shared" si="26"/>
        <v>0</v>
      </c>
      <c r="L133" s="67">
        <f t="shared" si="27"/>
        <v>0</v>
      </c>
      <c r="M133" s="4">
        <f t="shared" si="28"/>
        <v>0</v>
      </c>
      <c r="N133" s="4">
        <f t="shared" si="29"/>
        <v>0</v>
      </c>
      <c r="O133" s="4">
        <f t="shared" si="30"/>
        <v>0</v>
      </c>
      <c r="P133" s="4" t="e">
        <f>VLOOKUP(AJ125,'CIR Team Info'!$C$5:$E$44,2,FALSE)</f>
        <v>#N/A</v>
      </c>
      <c r="Q133" s="4" t="e">
        <f>VLOOKUP(AJ125,'CIR Team Info'!$C$5:$E$44,3,FALSE)</f>
        <v>#N/A</v>
      </c>
      <c r="R133" s="10" t="e">
        <f>VLOOKUP(AJ125,'FRC Site Data'!$B$3:$L$42,2,FALSE)</f>
        <v>#N/A</v>
      </c>
      <c r="S133" s="10" t="e">
        <f>VLOOKUP(AJ125,'FRC Site Data'!$B$3:$L$42,3,FALSE)</f>
        <v>#N/A</v>
      </c>
      <c r="T133" s="10" t="e">
        <f>VLOOKUP(AJ125,'FRC Site Data'!$B$3:$L$42,4,FALSE)</f>
        <v>#N/A</v>
      </c>
      <c r="U133" s="10" t="e">
        <f>VLOOKUP(AJ125,'FRC Site Data'!$B$3:$L$42,5,FALSE)</f>
        <v>#N/A</v>
      </c>
      <c r="V133" s="10" t="e">
        <f>VLOOKUP(AJ125,'FRC Site Data'!$B$3:$L$42,6,FALSE)</f>
        <v>#N/A</v>
      </c>
      <c r="W133" s="10" t="e">
        <f>VLOOKUP(AJ125,'FRC Site Data'!$B$3:$L$42,8,FALSE)</f>
        <v>#N/A</v>
      </c>
      <c r="X133" s="10" t="e">
        <f>VLOOKUP(AJ125,'FRC Site Data'!$B$3:$L$42,9,FALSE)</f>
        <v>#N/A</v>
      </c>
      <c r="Y133" s="10" t="e">
        <f>VLOOKUP(AJ125,'FRC Site Data'!$B$3:$L$42,10,FALSE)</f>
        <v>#N/A</v>
      </c>
      <c r="Z133" s="10" t="e">
        <f>VLOOKUP(AJ125,'FRC Site Data'!$B$3:$L$42,11,FALSE)</f>
        <v>#N/A</v>
      </c>
      <c r="AA133" s="10" t="e">
        <f>VLOOKUP(AJ125,'CIR Team Info'!$C$5:$E$44,4,FALSE)</f>
        <v>#N/A</v>
      </c>
      <c r="AB133" s="161" t="b">
        <f>ISNUMBER(VLOOKUP(AJ125,Match!$T$5:$T$10,1,FALSE))</f>
        <v>0</v>
      </c>
      <c r="AC133" s="161" t="b">
        <f>IF(AB133=TRUE,(VLOOKUP($AJ125,Match!$T$5:$U$10,2,FALSE)))</f>
        <v>0</v>
      </c>
      <c r="AD133" s="8">
        <v>3</v>
      </c>
      <c r="AE133" s="8">
        <v>2</v>
      </c>
      <c r="AF133" s="8">
        <v>2</v>
      </c>
      <c r="AG133" s="8">
        <v>1</v>
      </c>
      <c r="AH133" s="8" t="str">
        <f t="shared" si="32"/>
        <v/>
      </c>
      <c r="BA133" s="24"/>
      <c r="BC133" s="12"/>
    </row>
    <row r="134" spans="1:55" x14ac:dyDescent="0.25">
      <c r="A134" s="29">
        <f t="shared" si="33"/>
        <v>0</v>
      </c>
      <c r="B134" s="29">
        <f t="shared" si="18"/>
        <v>0</v>
      </c>
      <c r="C134" s="29">
        <f t="shared" si="19"/>
        <v>0</v>
      </c>
      <c r="D134" s="29">
        <f t="shared" si="20"/>
        <v>0</v>
      </c>
      <c r="E134" s="29">
        <f t="shared" si="34"/>
        <v>0</v>
      </c>
      <c r="F134" s="29">
        <f t="shared" si="21"/>
        <v>0</v>
      </c>
      <c r="G134" s="29" t="str">
        <f t="shared" si="22"/>
        <v>offensive</v>
      </c>
      <c r="H134" s="16">
        <f t="shared" si="23"/>
        <v>0</v>
      </c>
      <c r="I134" s="16">
        <f t="shared" si="24"/>
        <v>0</v>
      </c>
      <c r="J134" s="16">
        <f t="shared" si="25"/>
        <v>0</v>
      </c>
      <c r="K134" s="16">
        <f t="shared" si="26"/>
        <v>0</v>
      </c>
      <c r="L134" s="67">
        <f t="shared" si="27"/>
        <v>0</v>
      </c>
      <c r="M134" s="4">
        <f t="shared" si="28"/>
        <v>0</v>
      </c>
      <c r="N134" s="4">
        <f t="shared" si="29"/>
        <v>0</v>
      </c>
      <c r="O134" s="4">
        <f t="shared" si="30"/>
        <v>0</v>
      </c>
      <c r="P134" s="4" t="e">
        <f>VLOOKUP(AJ126,'CIR Team Info'!$C$5:$E$44,2,FALSE)</f>
        <v>#N/A</v>
      </c>
      <c r="Q134" s="4" t="e">
        <f>VLOOKUP(AJ126,'CIR Team Info'!$C$5:$E$44,3,FALSE)</f>
        <v>#N/A</v>
      </c>
      <c r="R134" s="10" t="e">
        <f>VLOOKUP(AJ126,'FRC Site Data'!$B$3:$L$42,2,FALSE)</f>
        <v>#N/A</v>
      </c>
      <c r="S134" s="10" t="e">
        <f>VLOOKUP(AJ126,'FRC Site Data'!$B$3:$L$42,3,FALSE)</f>
        <v>#N/A</v>
      </c>
      <c r="T134" s="10" t="e">
        <f>VLOOKUP(AJ126,'FRC Site Data'!$B$3:$L$42,4,FALSE)</f>
        <v>#N/A</v>
      </c>
      <c r="U134" s="10" t="e">
        <f>VLOOKUP(AJ126,'FRC Site Data'!$B$3:$L$42,5,FALSE)</f>
        <v>#N/A</v>
      </c>
      <c r="V134" s="10" t="e">
        <f>VLOOKUP(AJ126,'FRC Site Data'!$B$3:$L$42,6,FALSE)</f>
        <v>#N/A</v>
      </c>
      <c r="W134" s="10" t="e">
        <f>VLOOKUP(AJ126,'FRC Site Data'!$B$3:$L$42,8,FALSE)</f>
        <v>#N/A</v>
      </c>
      <c r="X134" s="10" t="e">
        <f>VLOOKUP(AJ126,'FRC Site Data'!$B$3:$L$42,9,FALSE)</f>
        <v>#N/A</v>
      </c>
      <c r="Y134" s="10" t="e">
        <f>VLOOKUP(AJ126,'FRC Site Data'!$B$3:$L$42,10,FALSE)</f>
        <v>#N/A</v>
      </c>
      <c r="Z134" s="10" t="e">
        <f>VLOOKUP(AJ126,'FRC Site Data'!$B$3:$L$42,11,FALSE)</f>
        <v>#N/A</v>
      </c>
      <c r="AA134" s="10" t="e">
        <f>VLOOKUP(AJ126,'CIR Team Info'!$C$5:$E$44,4,FALSE)</f>
        <v>#N/A</v>
      </c>
      <c r="AB134" s="161" t="b">
        <f>ISNUMBER(VLOOKUP(AJ126,Match!$T$5:$T$10,1,FALSE))</f>
        <v>0</v>
      </c>
      <c r="AC134" s="161" t="b">
        <f>IF(AB134=TRUE,(VLOOKUP($AJ126,Match!$T$5:$U$10,2,FALSE)))</f>
        <v>0</v>
      </c>
      <c r="AD134" s="8">
        <v>3</v>
      </c>
      <c r="AE134" s="8">
        <v>2</v>
      </c>
      <c r="AF134" s="8">
        <v>2</v>
      </c>
      <c r="AG134" s="8">
        <v>1</v>
      </c>
      <c r="AH134" s="8" t="str">
        <f t="shared" si="32"/>
        <v/>
      </c>
      <c r="BA134" s="24"/>
      <c r="BC134" s="12"/>
    </row>
    <row r="135" spans="1:55" x14ac:dyDescent="0.25">
      <c r="A135" s="29">
        <f t="shared" si="33"/>
        <v>0</v>
      </c>
      <c r="B135" s="29">
        <f t="shared" si="18"/>
        <v>0</v>
      </c>
      <c r="C135" s="29">
        <f t="shared" si="19"/>
        <v>0</v>
      </c>
      <c r="D135" s="29">
        <f t="shared" si="20"/>
        <v>0</v>
      </c>
      <c r="E135" s="29">
        <f t="shared" si="34"/>
        <v>0</v>
      </c>
      <c r="F135" s="29">
        <f t="shared" si="21"/>
        <v>0</v>
      </c>
      <c r="G135" s="29" t="str">
        <f t="shared" si="22"/>
        <v>offensive</v>
      </c>
      <c r="H135" s="16">
        <f t="shared" si="23"/>
        <v>0</v>
      </c>
      <c r="I135" s="16">
        <f t="shared" si="24"/>
        <v>0</v>
      </c>
      <c r="J135" s="16">
        <f t="shared" si="25"/>
        <v>0</v>
      </c>
      <c r="K135" s="16">
        <f t="shared" si="26"/>
        <v>0</v>
      </c>
      <c r="L135" s="67">
        <f t="shared" si="27"/>
        <v>0</v>
      </c>
      <c r="M135" s="4">
        <f t="shared" si="28"/>
        <v>0</v>
      </c>
      <c r="N135" s="4">
        <f t="shared" si="29"/>
        <v>0</v>
      </c>
      <c r="O135" s="4">
        <f t="shared" si="30"/>
        <v>0</v>
      </c>
      <c r="P135" s="4" t="e">
        <f>VLOOKUP(AJ127,'CIR Team Info'!$C$5:$E$44,2,FALSE)</f>
        <v>#N/A</v>
      </c>
      <c r="Q135" s="4" t="e">
        <f>VLOOKUP(AJ127,'CIR Team Info'!$C$5:$E$44,3,FALSE)</f>
        <v>#N/A</v>
      </c>
      <c r="R135" s="10" t="e">
        <f>VLOOKUP(AJ127,'FRC Site Data'!$B$3:$L$42,2,FALSE)</f>
        <v>#N/A</v>
      </c>
      <c r="S135" s="10" t="e">
        <f>VLOOKUP(AJ127,'FRC Site Data'!$B$3:$L$42,3,FALSE)</f>
        <v>#N/A</v>
      </c>
      <c r="T135" s="10" t="e">
        <f>VLOOKUP(AJ127,'FRC Site Data'!$B$3:$L$42,4,FALSE)</f>
        <v>#N/A</v>
      </c>
      <c r="U135" s="10" t="e">
        <f>VLOOKUP(AJ127,'FRC Site Data'!$B$3:$L$42,5,FALSE)</f>
        <v>#N/A</v>
      </c>
      <c r="V135" s="10" t="e">
        <f>VLOOKUP(AJ127,'FRC Site Data'!$B$3:$L$42,6,FALSE)</f>
        <v>#N/A</v>
      </c>
      <c r="W135" s="10" t="e">
        <f>VLOOKUP(AJ127,'FRC Site Data'!$B$3:$L$42,8,FALSE)</f>
        <v>#N/A</v>
      </c>
      <c r="X135" s="10" t="e">
        <f>VLOOKUP(AJ127,'FRC Site Data'!$B$3:$L$42,9,FALSE)</f>
        <v>#N/A</v>
      </c>
      <c r="Y135" s="10" t="e">
        <f>VLOOKUP(AJ127,'FRC Site Data'!$B$3:$L$42,10,FALSE)</f>
        <v>#N/A</v>
      </c>
      <c r="Z135" s="10" t="e">
        <f>VLOOKUP(AJ127,'FRC Site Data'!$B$3:$L$42,11,FALSE)</f>
        <v>#N/A</v>
      </c>
      <c r="AA135" s="10" t="e">
        <f>VLOOKUP(AJ127,'CIR Team Info'!$C$5:$E$44,4,FALSE)</f>
        <v>#N/A</v>
      </c>
      <c r="AB135" s="161" t="b">
        <f>ISNUMBER(VLOOKUP(AJ127,Match!$T$5:$T$10,1,FALSE))</f>
        <v>0</v>
      </c>
      <c r="AC135" s="161" t="b">
        <f>IF(AB135=TRUE,(VLOOKUP($AJ127,Match!$T$5:$U$10,2,FALSE)))</f>
        <v>0</v>
      </c>
      <c r="AD135" s="8">
        <v>3</v>
      </c>
      <c r="AE135" s="8">
        <v>2</v>
      </c>
      <c r="AF135" s="8">
        <v>2</v>
      </c>
      <c r="AG135" s="8">
        <v>1</v>
      </c>
      <c r="AH135" s="8" t="str">
        <f t="shared" si="32"/>
        <v/>
      </c>
      <c r="BA135" s="24"/>
      <c r="BC135" s="12"/>
    </row>
    <row r="136" spans="1:55" x14ac:dyDescent="0.25">
      <c r="A136" s="29">
        <f t="shared" si="33"/>
        <v>0</v>
      </c>
      <c r="B136" s="29">
        <f t="shared" ref="B136:B199" si="35">H136*AD136*AO128</f>
        <v>0</v>
      </c>
      <c r="C136" s="29">
        <f t="shared" ref="C136:C199" si="36">I136*AE136*AV128</f>
        <v>0</v>
      </c>
      <c r="D136" s="29">
        <f t="shared" ref="D136:D199" si="37">J136*AF136*BF128</f>
        <v>0</v>
      </c>
      <c r="E136" s="29">
        <f t="shared" si="34"/>
        <v>0</v>
      </c>
      <c r="F136" s="29">
        <f t="shared" ref="F136:F199" si="38">IF(AN128&gt;0,5)-2*COUNTIF(AQ128,"K")+5*COUNTIF(AS128,"T")+IF(AX128=3,2)+IF(AY128="T",2)</f>
        <v>0</v>
      </c>
      <c r="G136" s="29" t="str">
        <f t="shared" ref="G136:G199" si="39">IF((BB128+BC128)&gt;45,"defensive",IF((BB128+BC128)&gt;15,"both","offensive"))</f>
        <v>offensive</v>
      </c>
      <c r="H136" s="16">
        <f t="shared" ref="H136:H199" si="40">IF((AO128+AP128)=0,0,AO128/(AO128+AP128))</f>
        <v>0</v>
      </c>
      <c r="I136" s="16">
        <f t="shared" ref="I136:I199" si="41">IF((AV128+AW128)=0,0,AV128/(AV128+AW128))</f>
        <v>0</v>
      </c>
      <c r="J136" s="16">
        <f t="shared" ref="J136:J199" si="42">IF(L136=0,0,BG128/L136)</f>
        <v>0</v>
      </c>
      <c r="K136" s="16">
        <f t="shared" ref="K136:K199" si="43">IF((BB128+BC128)=0,0,((AZ128*BB128*0.2)+(BA128*BC128*0.3))/(BB128+BC128))</f>
        <v>0</v>
      </c>
      <c r="L136" s="67">
        <f t="shared" ref="L136:L199" si="44">IF(BF128&gt;BG128,BF128,BG128)</f>
        <v>0</v>
      </c>
      <c r="M136" s="4">
        <f t="shared" ref="M136:M199" si="45">AO128+AV128+BD128+O136</f>
        <v>0</v>
      </c>
      <c r="N136" s="4">
        <f t="shared" ref="N136:N199" si="46">AO128+AV128+BD128</f>
        <v>0</v>
      </c>
      <c r="O136" s="4">
        <f t="shared" ref="O136:O199" si="47">(AZ128*0.2*BB128*30/30)+(BA128*0.3*BC128*12/30)-BI128-BJ128</f>
        <v>0</v>
      </c>
      <c r="P136" s="4" t="e">
        <f>VLOOKUP(AJ128,'CIR Team Info'!$C$5:$E$44,2,FALSE)</f>
        <v>#N/A</v>
      </c>
      <c r="Q136" s="4" t="e">
        <f>VLOOKUP(AJ128,'CIR Team Info'!$C$5:$E$44,3,FALSE)</f>
        <v>#N/A</v>
      </c>
      <c r="R136" s="10" t="e">
        <f>VLOOKUP(AJ128,'FRC Site Data'!$B$3:$L$42,2,FALSE)</f>
        <v>#N/A</v>
      </c>
      <c r="S136" s="10" t="e">
        <f>VLOOKUP(AJ128,'FRC Site Data'!$B$3:$L$42,3,FALSE)</f>
        <v>#N/A</v>
      </c>
      <c r="T136" s="10" t="e">
        <f>VLOOKUP(AJ128,'FRC Site Data'!$B$3:$L$42,4,FALSE)</f>
        <v>#N/A</v>
      </c>
      <c r="U136" s="10" t="e">
        <f>VLOOKUP(AJ128,'FRC Site Data'!$B$3:$L$42,5,FALSE)</f>
        <v>#N/A</v>
      </c>
      <c r="V136" s="10" t="e">
        <f>VLOOKUP(AJ128,'FRC Site Data'!$B$3:$L$42,6,FALSE)</f>
        <v>#N/A</v>
      </c>
      <c r="W136" s="10" t="e">
        <f>VLOOKUP(AJ128,'FRC Site Data'!$B$3:$L$42,8,FALSE)</f>
        <v>#N/A</v>
      </c>
      <c r="X136" s="10" t="e">
        <f>VLOOKUP(AJ128,'FRC Site Data'!$B$3:$L$42,9,FALSE)</f>
        <v>#N/A</v>
      </c>
      <c r="Y136" s="10" t="e">
        <f>VLOOKUP(AJ128,'FRC Site Data'!$B$3:$L$42,10,FALSE)</f>
        <v>#N/A</v>
      </c>
      <c r="Z136" s="10" t="e">
        <f>VLOOKUP(AJ128,'FRC Site Data'!$B$3:$L$42,11,FALSE)</f>
        <v>#N/A</v>
      </c>
      <c r="AA136" s="10" t="e">
        <f>VLOOKUP(AJ128,'CIR Team Info'!$C$5:$E$44,4,FALSE)</f>
        <v>#N/A</v>
      </c>
      <c r="AB136" s="161" t="b">
        <f>ISNUMBER(VLOOKUP(AJ128,Match!$T$5:$T$10,1,FALSE))</f>
        <v>0</v>
      </c>
      <c r="AC136" s="161" t="b">
        <f>IF(AB136=TRUE,(VLOOKUP($AJ128,Match!$T$5:$U$10,2,FALSE)))</f>
        <v>0</v>
      </c>
      <c r="AD136" s="8">
        <v>3</v>
      </c>
      <c r="AE136" s="8">
        <v>2</v>
      </c>
      <c r="AF136" s="8">
        <v>2</v>
      </c>
      <c r="AG136" s="8">
        <v>1</v>
      </c>
      <c r="AH136" s="8" t="str">
        <f t="shared" si="32"/>
        <v/>
      </c>
      <c r="BA136" s="24"/>
      <c r="BC136" s="12"/>
    </row>
    <row r="137" spans="1:55" x14ac:dyDescent="0.25">
      <c r="A137" s="29">
        <f t="shared" si="33"/>
        <v>0</v>
      </c>
      <c r="B137" s="29">
        <f t="shared" si="35"/>
        <v>0</v>
      </c>
      <c r="C137" s="29">
        <f t="shared" si="36"/>
        <v>0</v>
      </c>
      <c r="D137" s="29">
        <f t="shared" si="37"/>
        <v>0</v>
      </c>
      <c r="E137" s="29">
        <f t="shared" si="34"/>
        <v>0</v>
      </c>
      <c r="F137" s="29">
        <f t="shared" si="38"/>
        <v>0</v>
      </c>
      <c r="G137" s="29" t="str">
        <f t="shared" si="39"/>
        <v>offensive</v>
      </c>
      <c r="H137" s="16">
        <f t="shared" si="40"/>
        <v>0</v>
      </c>
      <c r="I137" s="16">
        <f t="shared" si="41"/>
        <v>0</v>
      </c>
      <c r="J137" s="16">
        <f t="shared" si="42"/>
        <v>0</v>
      </c>
      <c r="K137" s="16">
        <f t="shared" si="43"/>
        <v>0</v>
      </c>
      <c r="L137" s="67">
        <f t="shared" si="44"/>
        <v>0</v>
      </c>
      <c r="M137" s="4">
        <f t="shared" si="45"/>
        <v>0</v>
      </c>
      <c r="N137" s="4">
        <f t="shared" si="46"/>
        <v>0</v>
      </c>
      <c r="O137" s="4">
        <f t="shared" si="47"/>
        <v>0</v>
      </c>
      <c r="P137" s="4" t="e">
        <f>VLOOKUP(AJ129,'CIR Team Info'!$C$5:$E$44,2,FALSE)</f>
        <v>#N/A</v>
      </c>
      <c r="Q137" s="4" t="e">
        <f>VLOOKUP(AJ129,'CIR Team Info'!$C$5:$E$44,3,FALSE)</f>
        <v>#N/A</v>
      </c>
      <c r="R137" s="10" t="e">
        <f>VLOOKUP(AJ129,'FRC Site Data'!$B$3:$L$42,2,FALSE)</f>
        <v>#N/A</v>
      </c>
      <c r="S137" s="10" t="e">
        <f>VLOOKUP(AJ129,'FRC Site Data'!$B$3:$L$42,3,FALSE)</f>
        <v>#N/A</v>
      </c>
      <c r="T137" s="10" t="e">
        <f>VLOOKUP(AJ129,'FRC Site Data'!$B$3:$L$42,4,FALSE)</f>
        <v>#N/A</v>
      </c>
      <c r="U137" s="10" t="e">
        <f>VLOOKUP(AJ129,'FRC Site Data'!$B$3:$L$42,5,FALSE)</f>
        <v>#N/A</v>
      </c>
      <c r="V137" s="10" t="e">
        <f>VLOOKUP(AJ129,'FRC Site Data'!$B$3:$L$42,6,FALSE)</f>
        <v>#N/A</v>
      </c>
      <c r="W137" s="10" t="e">
        <f>VLOOKUP(AJ129,'FRC Site Data'!$B$3:$L$42,8,FALSE)</f>
        <v>#N/A</v>
      </c>
      <c r="X137" s="10" t="e">
        <f>VLOOKUP(AJ129,'FRC Site Data'!$B$3:$L$42,9,FALSE)</f>
        <v>#N/A</v>
      </c>
      <c r="Y137" s="10" t="e">
        <f>VLOOKUP(AJ129,'FRC Site Data'!$B$3:$L$42,10,FALSE)</f>
        <v>#N/A</v>
      </c>
      <c r="Z137" s="10" t="e">
        <f>VLOOKUP(AJ129,'FRC Site Data'!$B$3:$L$42,11,FALSE)</f>
        <v>#N/A</v>
      </c>
      <c r="AA137" s="10" t="e">
        <f>VLOOKUP(AJ129,'CIR Team Info'!$C$5:$E$44,4,FALSE)</f>
        <v>#N/A</v>
      </c>
      <c r="AB137" s="161" t="b">
        <f>ISNUMBER(VLOOKUP(AJ129,Match!$T$5:$T$10,1,FALSE))</f>
        <v>0</v>
      </c>
      <c r="AC137" s="161" t="b">
        <f>IF(AB137=TRUE,(VLOOKUP($AJ129,Match!$T$5:$U$10,2,FALSE)))</f>
        <v>0</v>
      </c>
      <c r="AD137" s="8">
        <v>3</v>
      </c>
      <c r="AE137" s="8">
        <v>2</v>
      </c>
      <c r="AF137" s="8">
        <v>2</v>
      </c>
      <c r="AG137" s="8">
        <v>1</v>
      </c>
      <c r="AH137" s="8" t="str">
        <f t="shared" si="32"/>
        <v/>
      </c>
      <c r="BA137" s="24"/>
      <c r="BC137" s="12"/>
    </row>
    <row r="138" spans="1:55" x14ac:dyDescent="0.25">
      <c r="A138" s="29">
        <f t="shared" si="33"/>
        <v>0</v>
      </c>
      <c r="B138" s="29">
        <f t="shared" si="35"/>
        <v>0</v>
      </c>
      <c r="C138" s="29">
        <f t="shared" si="36"/>
        <v>0</v>
      </c>
      <c r="D138" s="29">
        <f t="shared" si="37"/>
        <v>0</v>
      </c>
      <c r="E138" s="29">
        <f t="shared" si="34"/>
        <v>0</v>
      </c>
      <c r="F138" s="29">
        <f t="shared" si="38"/>
        <v>0</v>
      </c>
      <c r="G138" s="29" t="str">
        <f t="shared" si="39"/>
        <v>offensive</v>
      </c>
      <c r="H138" s="16">
        <f t="shared" si="40"/>
        <v>0</v>
      </c>
      <c r="I138" s="16">
        <f t="shared" si="41"/>
        <v>0</v>
      </c>
      <c r="J138" s="16">
        <f t="shared" si="42"/>
        <v>0</v>
      </c>
      <c r="K138" s="16">
        <f t="shared" si="43"/>
        <v>0</v>
      </c>
      <c r="L138" s="67">
        <f t="shared" si="44"/>
        <v>0</v>
      </c>
      <c r="M138" s="4">
        <f t="shared" si="45"/>
        <v>0</v>
      </c>
      <c r="N138" s="4">
        <f t="shared" si="46"/>
        <v>0</v>
      </c>
      <c r="O138" s="4">
        <f t="shared" si="47"/>
        <v>0</v>
      </c>
      <c r="P138" s="4" t="e">
        <f>VLOOKUP(AJ130,'CIR Team Info'!$C$5:$E$44,2,FALSE)</f>
        <v>#N/A</v>
      </c>
      <c r="Q138" s="4" t="e">
        <f>VLOOKUP(AJ130,'CIR Team Info'!$C$5:$E$44,3,FALSE)</f>
        <v>#N/A</v>
      </c>
      <c r="R138" s="10" t="e">
        <f>VLOOKUP(AJ130,'FRC Site Data'!$B$3:$L$42,2,FALSE)</f>
        <v>#N/A</v>
      </c>
      <c r="S138" s="10" t="e">
        <f>VLOOKUP(AJ130,'FRC Site Data'!$B$3:$L$42,3,FALSE)</f>
        <v>#N/A</v>
      </c>
      <c r="T138" s="10" t="e">
        <f>VLOOKUP(AJ130,'FRC Site Data'!$B$3:$L$42,4,FALSE)</f>
        <v>#N/A</v>
      </c>
      <c r="U138" s="10" t="e">
        <f>VLOOKUP(AJ130,'FRC Site Data'!$B$3:$L$42,5,FALSE)</f>
        <v>#N/A</v>
      </c>
      <c r="V138" s="10" t="e">
        <f>VLOOKUP(AJ130,'FRC Site Data'!$B$3:$L$42,6,FALSE)</f>
        <v>#N/A</v>
      </c>
      <c r="W138" s="10" t="e">
        <f>VLOOKUP(AJ130,'FRC Site Data'!$B$3:$L$42,8,FALSE)</f>
        <v>#N/A</v>
      </c>
      <c r="X138" s="10" t="e">
        <f>VLOOKUP(AJ130,'FRC Site Data'!$B$3:$L$42,9,FALSE)</f>
        <v>#N/A</v>
      </c>
      <c r="Y138" s="10" t="e">
        <f>VLOOKUP(AJ130,'FRC Site Data'!$B$3:$L$42,10,FALSE)</f>
        <v>#N/A</v>
      </c>
      <c r="Z138" s="10" t="e">
        <f>VLOOKUP(AJ130,'FRC Site Data'!$B$3:$L$42,11,FALSE)</f>
        <v>#N/A</v>
      </c>
      <c r="AA138" s="10" t="e">
        <f>VLOOKUP(AJ130,'CIR Team Info'!$C$5:$E$44,4,FALSE)</f>
        <v>#N/A</v>
      </c>
      <c r="AB138" s="161" t="b">
        <f>ISNUMBER(VLOOKUP(AJ130,Match!$T$5:$T$10,1,FALSE))</f>
        <v>0</v>
      </c>
      <c r="AC138" s="161" t="b">
        <f>IF(AB138=TRUE,(VLOOKUP($AJ130,Match!$T$5:$U$10,2,FALSE)))</f>
        <v>0</v>
      </c>
      <c r="AD138" s="8">
        <v>3</v>
      </c>
      <c r="AE138" s="8">
        <v>2</v>
      </c>
      <c r="AF138" s="8">
        <v>2</v>
      </c>
      <c r="AG138" s="8">
        <v>1</v>
      </c>
      <c r="AH138" s="8" t="str">
        <f t="shared" si="32"/>
        <v/>
      </c>
      <c r="BA138" s="24"/>
      <c r="BC138" s="12"/>
    </row>
    <row r="139" spans="1:55" x14ac:dyDescent="0.25">
      <c r="A139" s="29">
        <f t="shared" si="33"/>
        <v>0</v>
      </c>
      <c r="B139" s="29">
        <f t="shared" si="35"/>
        <v>0</v>
      </c>
      <c r="C139" s="29">
        <f t="shared" si="36"/>
        <v>0</v>
      </c>
      <c r="D139" s="29">
        <f t="shared" si="37"/>
        <v>0</v>
      </c>
      <c r="E139" s="29">
        <f t="shared" si="34"/>
        <v>0</v>
      </c>
      <c r="F139" s="29">
        <f t="shared" si="38"/>
        <v>0</v>
      </c>
      <c r="G139" s="29" t="str">
        <f t="shared" si="39"/>
        <v>offensive</v>
      </c>
      <c r="H139" s="16">
        <f t="shared" si="40"/>
        <v>0</v>
      </c>
      <c r="I139" s="16">
        <f t="shared" si="41"/>
        <v>0</v>
      </c>
      <c r="J139" s="16">
        <f t="shared" si="42"/>
        <v>0</v>
      </c>
      <c r="K139" s="16">
        <f t="shared" si="43"/>
        <v>0</v>
      </c>
      <c r="L139" s="67">
        <f t="shared" si="44"/>
        <v>0</v>
      </c>
      <c r="M139" s="4">
        <f t="shared" si="45"/>
        <v>0</v>
      </c>
      <c r="N139" s="4">
        <f t="shared" si="46"/>
        <v>0</v>
      </c>
      <c r="O139" s="4">
        <f t="shared" si="47"/>
        <v>0</v>
      </c>
      <c r="P139" s="4" t="e">
        <f>VLOOKUP(AJ131,'CIR Team Info'!$C$5:$E$44,2,FALSE)</f>
        <v>#N/A</v>
      </c>
      <c r="Q139" s="4" t="e">
        <f>VLOOKUP(AJ131,'CIR Team Info'!$C$5:$E$44,3,FALSE)</f>
        <v>#N/A</v>
      </c>
      <c r="R139" s="10" t="e">
        <f>VLOOKUP(AJ131,'FRC Site Data'!$B$3:$L$42,2,FALSE)</f>
        <v>#N/A</v>
      </c>
      <c r="S139" s="10" t="e">
        <f>VLOOKUP(AJ131,'FRC Site Data'!$B$3:$L$42,3,FALSE)</f>
        <v>#N/A</v>
      </c>
      <c r="T139" s="10" t="e">
        <f>VLOOKUP(AJ131,'FRC Site Data'!$B$3:$L$42,4,FALSE)</f>
        <v>#N/A</v>
      </c>
      <c r="U139" s="10" t="e">
        <f>VLOOKUP(AJ131,'FRC Site Data'!$B$3:$L$42,5,FALSE)</f>
        <v>#N/A</v>
      </c>
      <c r="V139" s="10" t="e">
        <f>VLOOKUP(AJ131,'FRC Site Data'!$B$3:$L$42,6,FALSE)</f>
        <v>#N/A</v>
      </c>
      <c r="W139" s="10" t="e">
        <f>VLOOKUP(AJ131,'FRC Site Data'!$B$3:$L$42,8,FALSE)</f>
        <v>#N/A</v>
      </c>
      <c r="X139" s="10" t="e">
        <f>VLOOKUP(AJ131,'FRC Site Data'!$B$3:$L$42,9,FALSE)</f>
        <v>#N/A</v>
      </c>
      <c r="Y139" s="10" t="e">
        <f>VLOOKUP(AJ131,'FRC Site Data'!$B$3:$L$42,10,FALSE)</f>
        <v>#N/A</v>
      </c>
      <c r="Z139" s="10" t="e">
        <f>VLOOKUP(AJ131,'FRC Site Data'!$B$3:$L$42,11,FALSE)</f>
        <v>#N/A</v>
      </c>
      <c r="AA139" s="10" t="e">
        <f>VLOOKUP(AJ131,'CIR Team Info'!$C$5:$E$44,4,FALSE)</f>
        <v>#N/A</v>
      </c>
      <c r="AB139" s="161" t="b">
        <f>ISNUMBER(VLOOKUP(AJ131,Match!$T$5:$T$10,1,FALSE))</f>
        <v>0</v>
      </c>
      <c r="AC139" s="161" t="b">
        <f>IF(AB139=TRUE,(VLOOKUP($AJ131,Match!$T$5:$U$10,2,FALSE)))</f>
        <v>0</v>
      </c>
      <c r="AD139" s="8">
        <v>3</v>
      </c>
      <c r="AE139" s="8">
        <v>2</v>
      </c>
      <c r="AF139" s="8">
        <v>2</v>
      </c>
      <c r="AG139" s="8">
        <v>1</v>
      </c>
      <c r="AH139" s="8" t="str">
        <f t="shared" si="32"/>
        <v/>
      </c>
      <c r="BA139" s="24"/>
      <c r="BC139" s="12"/>
    </row>
    <row r="140" spans="1:55" x14ac:dyDescent="0.25">
      <c r="A140" s="29">
        <f t="shared" si="33"/>
        <v>0</v>
      </c>
      <c r="B140" s="29">
        <f t="shared" si="35"/>
        <v>0</v>
      </c>
      <c r="C140" s="29">
        <f t="shared" si="36"/>
        <v>0</v>
      </c>
      <c r="D140" s="29">
        <f t="shared" si="37"/>
        <v>0</v>
      </c>
      <c r="E140" s="29">
        <f t="shared" si="34"/>
        <v>0</v>
      </c>
      <c r="F140" s="29">
        <f t="shared" si="38"/>
        <v>0</v>
      </c>
      <c r="G140" s="29" t="str">
        <f t="shared" si="39"/>
        <v>offensive</v>
      </c>
      <c r="H140" s="16">
        <f t="shared" si="40"/>
        <v>0</v>
      </c>
      <c r="I140" s="16">
        <f t="shared" si="41"/>
        <v>0</v>
      </c>
      <c r="J140" s="16">
        <f t="shared" si="42"/>
        <v>0</v>
      </c>
      <c r="K140" s="16">
        <f t="shared" si="43"/>
        <v>0</v>
      </c>
      <c r="L140" s="67">
        <f t="shared" si="44"/>
        <v>0</v>
      </c>
      <c r="M140" s="4">
        <f t="shared" si="45"/>
        <v>0</v>
      </c>
      <c r="N140" s="4">
        <f t="shared" si="46"/>
        <v>0</v>
      </c>
      <c r="O140" s="4">
        <f t="shared" si="47"/>
        <v>0</v>
      </c>
      <c r="P140" s="4" t="e">
        <f>VLOOKUP(AJ132,'CIR Team Info'!$C$5:$E$44,2,FALSE)</f>
        <v>#N/A</v>
      </c>
      <c r="Q140" s="4" t="e">
        <f>VLOOKUP(AJ132,'CIR Team Info'!$C$5:$E$44,3,FALSE)</f>
        <v>#N/A</v>
      </c>
      <c r="R140" s="10" t="e">
        <f>VLOOKUP(AJ132,'FRC Site Data'!$B$3:$L$42,2,FALSE)</f>
        <v>#N/A</v>
      </c>
      <c r="S140" s="10" t="e">
        <f>VLOOKUP(AJ132,'FRC Site Data'!$B$3:$L$42,3,FALSE)</f>
        <v>#N/A</v>
      </c>
      <c r="T140" s="10" t="e">
        <f>VLOOKUP(AJ132,'FRC Site Data'!$B$3:$L$42,4,FALSE)</f>
        <v>#N/A</v>
      </c>
      <c r="U140" s="10" t="e">
        <f>VLOOKUP(AJ132,'FRC Site Data'!$B$3:$L$42,5,FALSE)</f>
        <v>#N/A</v>
      </c>
      <c r="V140" s="10" t="e">
        <f>VLOOKUP(AJ132,'FRC Site Data'!$B$3:$L$42,6,FALSE)</f>
        <v>#N/A</v>
      </c>
      <c r="W140" s="10" t="e">
        <f>VLOOKUP(AJ132,'FRC Site Data'!$B$3:$L$42,8,FALSE)</f>
        <v>#N/A</v>
      </c>
      <c r="X140" s="10" t="e">
        <f>VLOOKUP(AJ132,'FRC Site Data'!$B$3:$L$42,9,FALSE)</f>
        <v>#N/A</v>
      </c>
      <c r="Y140" s="10" t="e">
        <f>VLOOKUP(AJ132,'FRC Site Data'!$B$3:$L$42,10,FALSE)</f>
        <v>#N/A</v>
      </c>
      <c r="Z140" s="10" t="e">
        <f>VLOOKUP(AJ132,'FRC Site Data'!$B$3:$L$42,11,FALSE)</f>
        <v>#N/A</v>
      </c>
      <c r="AA140" s="10" t="e">
        <f>VLOOKUP(AJ132,'CIR Team Info'!$C$5:$E$44,4,FALSE)</f>
        <v>#N/A</v>
      </c>
      <c r="AB140" s="161" t="b">
        <f>ISNUMBER(VLOOKUP(AJ132,Match!$T$5:$T$10,1,FALSE))</f>
        <v>0</v>
      </c>
      <c r="AC140" s="161" t="b">
        <f>IF(AB140=TRUE,(VLOOKUP($AJ132,Match!$T$5:$U$10,2,FALSE)))</f>
        <v>0</v>
      </c>
      <c r="AD140" s="8">
        <v>3</v>
      </c>
      <c r="AE140" s="8">
        <v>2</v>
      </c>
      <c r="AF140" s="8">
        <v>2</v>
      </c>
      <c r="AG140" s="8">
        <v>1</v>
      </c>
      <c r="AH140" s="8" t="str">
        <f t="shared" si="32"/>
        <v/>
      </c>
      <c r="BA140" s="24"/>
      <c r="BC140" s="12"/>
    </row>
    <row r="141" spans="1:55" x14ac:dyDescent="0.25">
      <c r="A141" s="29">
        <f t="shared" si="33"/>
        <v>0</v>
      </c>
      <c r="B141" s="29">
        <f t="shared" si="35"/>
        <v>0</v>
      </c>
      <c r="C141" s="29">
        <f t="shared" si="36"/>
        <v>0</v>
      </c>
      <c r="D141" s="29">
        <f t="shared" si="37"/>
        <v>0</v>
      </c>
      <c r="E141" s="29">
        <f t="shared" si="34"/>
        <v>0</v>
      </c>
      <c r="F141" s="29">
        <f t="shared" si="38"/>
        <v>0</v>
      </c>
      <c r="G141" s="29" t="str">
        <f t="shared" si="39"/>
        <v>offensive</v>
      </c>
      <c r="H141" s="16">
        <f t="shared" si="40"/>
        <v>0</v>
      </c>
      <c r="I141" s="16">
        <f t="shared" si="41"/>
        <v>0</v>
      </c>
      <c r="J141" s="16">
        <f t="shared" si="42"/>
        <v>0</v>
      </c>
      <c r="K141" s="16">
        <f t="shared" si="43"/>
        <v>0</v>
      </c>
      <c r="L141" s="67">
        <f t="shared" si="44"/>
        <v>0</v>
      </c>
      <c r="M141" s="4">
        <f t="shared" si="45"/>
        <v>0</v>
      </c>
      <c r="N141" s="4">
        <f t="shared" si="46"/>
        <v>0</v>
      </c>
      <c r="O141" s="4">
        <f t="shared" si="47"/>
        <v>0</v>
      </c>
      <c r="P141" s="4" t="e">
        <f>VLOOKUP(AJ133,'CIR Team Info'!$C$5:$E$44,2,FALSE)</f>
        <v>#N/A</v>
      </c>
      <c r="Q141" s="4" t="e">
        <f>VLOOKUP(AJ133,'CIR Team Info'!$C$5:$E$44,3,FALSE)</f>
        <v>#N/A</v>
      </c>
      <c r="R141" s="10" t="e">
        <f>VLOOKUP(AJ133,'FRC Site Data'!$B$3:$L$42,2,FALSE)</f>
        <v>#N/A</v>
      </c>
      <c r="S141" s="10" t="e">
        <f>VLOOKUP(AJ133,'FRC Site Data'!$B$3:$L$42,3,FALSE)</f>
        <v>#N/A</v>
      </c>
      <c r="T141" s="10" t="e">
        <f>VLOOKUP(AJ133,'FRC Site Data'!$B$3:$L$42,4,FALSE)</f>
        <v>#N/A</v>
      </c>
      <c r="U141" s="10" t="e">
        <f>VLOOKUP(AJ133,'FRC Site Data'!$B$3:$L$42,5,FALSE)</f>
        <v>#N/A</v>
      </c>
      <c r="V141" s="10" t="e">
        <f>VLOOKUP(AJ133,'FRC Site Data'!$B$3:$L$42,6,FALSE)</f>
        <v>#N/A</v>
      </c>
      <c r="W141" s="10" t="e">
        <f>VLOOKUP(AJ133,'FRC Site Data'!$B$3:$L$42,8,FALSE)</f>
        <v>#N/A</v>
      </c>
      <c r="X141" s="10" t="e">
        <f>VLOOKUP(AJ133,'FRC Site Data'!$B$3:$L$42,9,FALSE)</f>
        <v>#N/A</v>
      </c>
      <c r="Y141" s="10" t="e">
        <f>VLOOKUP(AJ133,'FRC Site Data'!$B$3:$L$42,10,FALSE)</f>
        <v>#N/A</v>
      </c>
      <c r="Z141" s="10" t="e">
        <f>VLOOKUP(AJ133,'FRC Site Data'!$B$3:$L$42,11,FALSE)</f>
        <v>#N/A</v>
      </c>
      <c r="AA141" s="10" t="e">
        <f>VLOOKUP(AJ133,'CIR Team Info'!$C$5:$E$44,4,FALSE)</f>
        <v>#N/A</v>
      </c>
      <c r="AB141" s="161" t="b">
        <f>ISNUMBER(VLOOKUP(AJ133,Match!$T$5:$T$10,1,FALSE))</f>
        <v>0</v>
      </c>
      <c r="AC141" s="161" t="b">
        <f>IF(AB141=TRUE,(VLOOKUP($AJ133,Match!$T$5:$U$10,2,FALSE)))</f>
        <v>0</v>
      </c>
      <c r="AD141" s="8">
        <v>3</v>
      </c>
      <c r="AE141" s="8">
        <v>2</v>
      </c>
      <c r="AF141" s="8">
        <v>2</v>
      </c>
      <c r="AG141" s="8">
        <v>1</v>
      </c>
      <c r="AH141" s="8" t="str">
        <f t="shared" si="32"/>
        <v/>
      </c>
      <c r="BA141" s="24"/>
      <c r="BC141" s="12"/>
    </row>
    <row r="142" spans="1:55" x14ac:dyDescent="0.25">
      <c r="A142" s="29">
        <f t="shared" si="33"/>
        <v>0</v>
      </c>
      <c r="B142" s="29">
        <f t="shared" si="35"/>
        <v>0</v>
      </c>
      <c r="C142" s="29">
        <f t="shared" si="36"/>
        <v>0</v>
      </c>
      <c r="D142" s="29">
        <f t="shared" si="37"/>
        <v>0</v>
      </c>
      <c r="E142" s="29">
        <f t="shared" si="34"/>
        <v>0</v>
      </c>
      <c r="F142" s="29">
        <f t="shared" si="38"/>
        <v>0</v>
      </c>
      <c r="G142" s="29" t="str">
        <f t="shared" si="39"/>
        <v>offensive</v>
      </c>
      <c r="H142" s="16">
        <f t="shared" si="40"/>
        <v>0</v>
      </c>
      <c r="I142" s="16">
        <f t="shared" si="41"/>
        <v>0</v>
      </c>
      <c r="J142" s="16">
        <f t="shared" si="42"/>
        <v>0</v>
      </c>
      <c r="K142" s="16">
        <f t="shared" si="43"/>
        <v>0</v>
      </c>
      <c r="L142" s="67">
        <f t="shared" si="44"/>
        <v>0</v>
      </c>
      <c r="M142" s="4">
        <f t="shared" si="45"/>
        <v>0</v>
      </c>
      <c r="N142" s="4">
        <f t="shared" si="46"/>
        <v>0</v>
      </c>
      <c r="O142" s="4">
        <f t="shared" si="47"/>
        <v>0</v>
      </c>
      <c r="P142" s="4" t="e">
        <f>VLOOKUP(AJ134,'CIR Team Info'!$C$5:$E$44,2,FALSE)</f>
        <v>#N/A</v>
      </c>
      <c r="Q142" s="4" t="e">
        <f>VLOOKUP(AJ134,'CIR Team Info'!$C$5:$E$44,3,FALSE)</f>
        <v>#N/A</v>
      </c>
      <c r="R142" s="10" t="e">
        <f>VLOOKUP(AJ134,'FRC Site Data'!$B$3:$L$42,2,FALSE)</f>
        <v>#N/A</v>
      </c>
      <c r="S142" s="10" t="e">
        <f>VLOOKUP(AJ134,'FRC Site Data'!$B$3:$L$42,3,FALSE)</f>
        <v>#N/A</v>
      </c>
      <c r="T142" s="10" t="e">
        <f>VLOOKUP(AJ134,'FRC Site Data'!$B$3:$L$42,4,FALSE)</f>
        <v>#N/A</v>
      </c>
      <c r="U142" s="10" t="e">
        <f>VLOOKUP(AJ134,'FRC Site Data'!$B$3:$L$42,5,FALSE)</f>
        <v>#N/A</v>
      </c>
      <c r="V142" s="10" t="e">
        <f>VLOOKUP(AJ134,'FRC Site Data'!$B$3:$L$42,6,FALSE)</f>
        <v>#N/A</v>
      </c>
      <c r="W142" s="10" t="e">
        <f>VLOOKUP(AJ134,'FRC Site Data'!$B$3:$L$42,8,FALSE)</f>
        <v>#N/A</v>
      </c>
      <c r="X142" s="10" t="e">
        <f>VLOOKUP(AJ134,'FRC Site Data'!$B$3:$L$42,9,FALSE)</f>
        <v>#N/A</v>
      </c>
      <c r="Y142" s="10" t="e">
        <f>VLOOKUP(AJ134,'FRC Site Data'!$B$3:$L$42,10,FALSE)</f>
        <v>#N/A</v>
      </c>
      <c r="Z142" s="10" t="e">
        <f>VLOOKUP(AJ134,'FRC Site Data'!$B$3:$L$42,11,FALSE)</f>
        <v>#N/A</v>
      </c>
      <c r="AA142" s="10" t="e">
        <f>VLOOKUP(AJ134,'CIR Team Info'!$C$5:$E$44,4,FALSE)</f>
        <v>#N/A</v>
      </c>
      <c r="AB142" s="161" t="b">
        <f>ISNUMBER(VLOOKUP(AJ134,Match!$T$5:$T$10,1,FALSE))</f>
        <v>0</v>
      </c>
      <c r="AC142" s="161" t="b">
        <f>IF(AB142=TRUE,(VLOOKUP($AJ134,Match!$T$5:$U$10,2,FALSE)))</f>
        <v>0</v>
      </c>
      <c r="AD142" s="8">
        <v>3</v>
      </c>
      <c r="AE142" s="8">
        <v>2</v>
      </c>
      <c r="AF142" s="8">
        <v>2</v>
      </c>
      <c r="AG142" s="8">
        <v>1</v>
      </c>
      <c r="AH142" s="8" t="str">
        <f t="shared" si="32"/>
        <v/>
      </c>
      <c r="BA142" s="24"/>
      <c r="BC142" s="12"/>
    </row>
    <row r="143" spans="1:55" x14ac:dyDescent="0.25">
      <c r="A143" s="29">
        <f t="shared" si="33"/>
        <v>0</v>
      </c>
      <c r="B143" s="29">
        <f t="shared" si="35"/>
        <v>0</v>
      </c>
      <c r="C143" s="29">
        <f t="shared" si="36"/>
        <v>0</v>
      </c>
      <c r="D143" s="29">
        <f t="shared" si="37"/>
        <v>0</v>
      </c>
      <c r="E143" s="29">
        <f t="shared" si="34"/>
        <v>0</v>
      </c>
      <c r="F143" s="29">
        <f t="shared" si="38"/>
        <v>0</v>
      </c>
      <c r="G143" s="29" t="str">
        <f t="shared" si="39"/>
        <v>offensive</v>
      </c>
      <c r="H143" s="16">
        <f t="shared" si="40"/>
        <v>0</v>
      </c>
      <c r="I143" s="16">
        <f t="shared" si="41"/>
        <v>0</v>
      </c>
      <c r="J143" s="16">
        <f t="shared" si="42"/>
        <v>0</v>
      </c>
      <c r="K143" s="16">
        <f t="shared" si="43"/>
        <v>0</v>
      </c>
      <c r="L143" s="67">
        <f t="shared" si="44"/>
        <v>0</v>
      </c>
      <c r="M143" s="4">
        <f t="shared" si="45"/>
        <v>0</v>
      </c>
      <c r="N143" s="4">
        <f t="shared" si="46"/>
        <v>0</v>
      </c>
      <c r="O143" s="4">
        <f t="shared" si="47"/>
        <v>0</v>
      </c>
      <c r="P143" s="4" t="e">
        <f>VLOOKUP(AJ135,'CIR Team Info'!$C$5:$E$44,2,FALSE)</f>
        <v>#N/A</v>
      </c>
      <c r="Q143" s="4" t="e">
        <f>VLOOKUP(AJ135,'CIR Team Info'!$C$5:$E$44,3,FALSE)</f>
        <v>#N/A</v>
      </c>
      <c r="R143" s="10" t="e">
        <f>VLOOKUP(AJ135,'FRC Site Data'!$B$3:$L$42,2,FALSE)</f>
        <v>#N/A</v>
      </c>
      <c r="S143" s="10" t="e">
        <f>VLOOKUP(AJ135,'FRC Site Data'!$B$3:$L$42,3,FALSE)</f>
        <v>#N/A</v>
      </c>
      <c r="T143" s="10" t="e">
        <f>VLOOKUP(AJ135,'FRC Site Data'!$B$3:$L$42,4,FALSE)</f>
        <v>#N/A</v>
      </c>
      <c r="U143" s="10" t="e">
        <f>VLOOKUP(AJ135,'FRC Site Data'!$B$3:$L$42,5,FALSE)</f>
        <v>#N/A</v>
      </c>
      <c r="V143" s="10" t="e">
        <f>VLOOKUP(AJ135,'FRC Site Data'!$B$3:$L$42,6,FALSE)</f>
        <v>#N/A</v>
      </c>
      <c r="W143" s="10" t="e">
        <f>VLOOKUP(AJ135,'FRC Site Data'!$B$3:$L$42,8,FALSE)</f>
        <v>#N/A</v>
      </c>
      <c r="X143" s="10" t="e">
        <f>VLOOKUP(AJ135,'FRC Site Data'!$B$3:$L$42,9,FALSE)</f>
        <v>#N/A</v>
      </c>
      <c r="Y143" s="10" t="e">
        <f>VLOOKUP(AJ135,'FRC Site Data'!$B$3:$L$42,10,FALSE)</f>
        <v>#N/A</v>
      </c>
      <c r="Z143" s="10" t="e">
        <f>VLOOKUP(AJ135,'FRC Site Data'!$B$3:$L$42,11,FALSE)</f>
        <v>#N/A</v>
      </c>
      <c r="AA143" s="10" t="e">
        <f>VLOOKUP(AJ135,'CIR Team Info'!$C$5:$E$44,4,FALSE)</f>
        <v>#N/A</v>
      </c>
      <c r="AB143" s="161" t="b">
        <f>ISNUMBER(VLOOKUP(AJ135,Match!$T$5:$T$10,1,FALSE))</f>
        <v>0</v>
      </c>
      <c r="AC143" s="161" t="b">
        <f>IF(AB143=TRUE,(VLOOKUP($AJ135,Match!$T$5:$U$10,2,FALSE)))</f>
        <v>0</v>
      </c>
      <c r="AD143" s="8">
        <v>3</v>
      </c>
      <c r="AE143" s="8">
        <v>2</v>
      </c>
      <c r="AF143" s="8">
        <v>2</v>
      </c>
      <c r="AG143" s="8">
        <v>1</v>
      </c>
      <c r="AH143" s="8" t="str">
        <f t="shared" si="32"/>
        <v/>
      </c>
      <c r="BA143" s="24"/>
      <c r="BC143" s="12"/>
    </row>
    <row r="144" spans="1:55" x14ac:dyDescent="0.25">
      <c r="A144" s="29">
        <f t="shared" si="33"/>
        <v>0</v>
      </c>
      <c r="B144" s="29">
        <f t="shared" si="35"/>
        <v>0</v>
      </c>
      <c r="C144" s="29">
        <f t="shared" si="36"/>
        <v>0</v>
      </c>
      <c r="D144" s="29">
        <f t="shared" si="37"/>
        <v>0</v>
      </c>
      <c r="E144" s="29">
        <f t="shared" si="34"/>
        <v>0</v>
      </c>
      <c r="F144" s="29">
        <f t="shared" si="38"/>
        <v>0</v>
      </c>
      <c r="G144" s="29" t="str">
        <f t="shared" si="39"/>
        <v>offensive</v>
      </c>
      <c r="H144" s="16">
        <f t="shared" si="40"/>
        <v>0</v>
      </c>
      <c r="I144" s="16">
        <f t="shared" si="41"/>
        <v>0</v>
      </c>
      <c r="J144" s="16">
        <f t="shared" si="42"/>
        <v>0</v>
      </c>
      <c r="K144" s="16">
        <f t="shared" si="43"/>
        <v>0</v>
      </c>
      <c r="L144" s="67">
        <f t="shared" si="44"/>
        <v>0</v>
      </c>
      <c r="M144" s="4">
        <f t="shared" si="45"/>
        <v>0</v>
      </c>
      <c r="N144" s="4">
        <f t="shared" si="46"/>
        <v>0</v>
      </c>
      <c r="O144" s="4">
        <f t="shared" si="47"/>
        <v>0</v>
      </c>
      <c r="P144" s="4" t="e">
        <f>VLOOKUP(AJ136,'CIR Team Info'!$C$5:$E$44,2,FALSE)</f>
        <v>#N/A</v>
      </c>
      <c r="Q144" s="4" t="e">
        <f>VLOOKUP(AJ136,'CIR Team Info'!$C$5:$E$44,3,FALSE)</f>
        <v>#N/A</v>
      </c>
      <c r="R144" s="10" t="e">
        <f>VLOOKUP(AJ136,'FRC Site Data'!$B$3:$L$42,2,FALSE)</f>
        <v>#N/A</v>
      </c>
      <c r="S144" s="10" t="e">
        <f>VLOOKUP(AJ136,'FRC Site Data'!$B$3:$L$42,3,FALSE)</f>
        <v>#N/A</v>
      </c>
      <c r="T144" s="10" t="e">
        <f>VLOOKUP(AJ136,'FRC Site Data'!$B$3:$L$42,4,FALSE)</f>
        <v>#N/A</v>
      </c>
      <c r="U144" s="10" t="e">
        <f>VLOOKUP(AJ136,'FRC Site Data'!$B$3:$L$42,5,FALSE)</f>
        <v>#N/A</v>
      </c>
      <c r="V144" s="10" t="e">
        <f>VLOOKUP(AJ136,'FRC Site Data'!$B$3:$L$42,6,FALSE)</f>
        <v>#N/A</v>
      </c>
      <c r="W144" s="10" t="e">
        <f>VLOOKUP(AJ136,'FRC Site Data'!$B$3:$L$42,8,FALSE)</f>
        <v>#N/A</v>
      </c>
      <c r="X144" s="10" t="e">
        <f>VLOOKUP(AJ136,'FRC Site Data'!$B$3:$L$42,9,FALSE)</f>
        <v>#N/A</v>
      </c>
      <c r="Y144" s="10" t="e">
        <f>VLOOKUP(AJ136,'FRC Site Data'!$B$3:$L$42,10,FALSE)</f>
        <v>#N/A</v>
      </c>
      <c r="Z144" s="10" t="e">
        <f>VLOOKUP(AJ136,'FRC Site Data'!$B$3:$L$42,11,FALSE)</f>
        <v>#N/A</v>
      </c>
      <c r="AA144" s="10" t="e">
        <f>VLOOKUP(AJ136,'CIR Team Info'!$C$5:$E$44,4,FALSE)</f>
        <v>#N/A</v>
      </c>
      <c r="AB144" s="161" t="b">
        <f>ISNUMBER(VLOOKUP(AJ136,Match!$T$5:$T$10,1,FALSE))</f>
        <v>0</v>
      </c>
      <c r="AC144" s="161" t="b">
        <f>IF(AB144=TRUE,(VLOOKUP($AJ136,Match!$T$5:$U$10,2,FALSE)))</f>
        <v>0</v>
      </c>
      <c r="AD144" s="8">
        <v>3</v>
      </c>
      <c r="AE144" s="8">
        <v>2</v>
      </c>
      <c r="AF144" s="8">
        <v>2</v>
      </c>
      <c r="AG144" s="8">
        <v>1</v>
      </c>
      <c r="AH144" s="8" t="str">
        <f t="shared" si="32"/>
        <v/>
      </c>
      <c r="BA144" s="24"/>
      <c r="BC144" s="12"/>
    </row>
    <row r="145" spans="1:55" x14ac:dyDescent="0.25">
      <c r="A145" s="29">
        <f t="shared" si="33"/>
        <v>0</v>
      </c>
      <c r="B145" s="29">
        <f t="shared" si="35"/>
        <v>0</v>
      </c>
      <c r="C145" s="29">
        <f t="shared" si="36"/>
        <v>0</v>
      </c>
      <c r="D145" s="29">
        <f t="shared" si="37"/>
        <v>0</v>
      </c>
      <c r="E145" s="29">
        <f t="shared" si="34"/>
        <v>0</v>
      </c>
      <c r="F145" s="29">
        <f t="shared" si="38"/>
        <v>0</v>
      </c>
      <c r="G145" s="29" t="str">
        <f t="shared" si="39"/>
        <v>offensive</v>
      </c>
      <c r="H145" s="16">
        <f t="shared" si="40"/>
        <v>0</v>
      </c>
      <c r="I145" s="16">
        <f t="shared" si="41"/>
        <v>0</v>
      </c>
      <c r="J145" s="16">
        <f t="shared" si="42"/>
        <v>0</v>
      </c>
      <c r="K145" s="16">
        <f t="shared" si="43"/>
        <v>0</v>
      </c>
      <c r="L145" s="67">
        <f t="shared" si="44"/>
        <v>0</v>
      </c>
      <c r="M145" s="4">
        <f t="shared" si="45"/>
        <v>0</v>
      </c>
      <c r="N145" s="4">
        <f t="shared" si="46"/>
        <v>0</v>
      </c>
      <c r="O145" s="4">
        <f t="shared" si="47"/>
        <v>0</v>
      </c>
      <c r="P145" s="4" t="e">
        <f>VLOOKUP(AJ137,'CIR Team Info'!$C$5:$E$44,2,FALSE)</f>
        <v>#N/A</v>
      </c>
      <c r="Q145" s="4" t="e">
        <f>VLOOKUP(AJ137,'CIR Team Info'!$C$5:$E$44,3,FALSE)</f>
        <v>#N/A</v>
      </c>
      <c r="R145" s="10" t="e">
        <f>VLOOKUP(AJ137,'FRC Site Data'!$B$3:$L$42,2,FALSE)</f>
        <v>#N/A</v>
      </c>
      <c r="S145" s="10" t="e">
        <f>VLOOKUP(AJ137,'FRC Site Data'!$B$3:$L$42,3,FALSE)</f>
        <v>#N/A</v>
      </c>
      <c r="T145" s="10" t="e">
        <f>VLOOKUP(AJ137,'FRC Site Data'!$B$3:$L$42,4,FALSE)</f>
        <v>#N/A</v>
      </c>
      <c r="U145" s="10" t="e">
        <f>VLOOKUP(AJ137,'FRC Site Data'!$B$3:$L$42,5,FALSE)</f>
        <v>#N/A</v>
      </c>
      <c r="V145" s="10" t="e">
        <f>VLOOKUP(AJ137,'FRC Site Data'!$B$3:$L$42,6,FALSE)</f>
        <v>#N/A</v>
      </c>
      <c r="W145" s="10" t="e">
        <f>VLOOKUP(AJ137,'FRC Site Data'!$B$3:$L$42,8,FALSE)</f>
        <v>#N/A</v>
      </c>
      <c r="X145" s="10" t="e">
        <f>VLOOKUP(AJ137,'FRC Site Data'!$B$3:$L$42,9,FALSE)</f>
        <v>#N/A</v>
      </c>
      <c r="Y145" s="10" t="e">
        <f>VLOOKUP(AJ137,'FRC Site Data'!$B$3:$L$42,10,FALSE)</f>
        <v>#N/A</v>
      </c>
      <c r="Z145" s="10" t="e">
        <f>VLOOKUP(AJ137,'FRC Site Data'!$B$3:$L$42,11,FALSE)</f>
        <v>#N/A</v>
      </c>
      <c r="AA145" s="10" t="e">
        <f>VLOOKUP(AJ137,'CIR Team Info'!$C$5:$E$44,4,FALSE)</f>
        <v>#N/A</v>
      </c>
      <c r="AB145" s="161" t="b">
        <f>ISNUMBER(VLOOKUP(AJ137,Match!$T$5:$T$10,1,FALSE))</f>
        <v>0</v>
      </c>
      <c r="AC145" s="161" t="b">
        <f>IF(AB145=TRUE,(VLOOKUP($AJ137,Match!$T$5:$U$10,2,FALSE)))</f>
        <v>0</v>
      </c>
      <c r="AD145" s="8">
        <v>3</v>
      </c>
      <c r="AE145" s="8">
        <v>2</v>
      </c>
      <c r="AF145" s="8">
        <v>2</v>
      </c>
      <c r="AG145" s="8">
        <v>1</v>
      </c>
      <c r="AH145" s="8" t="str">
        <f t="shared" si="32"/>
        <v/>
      </c>
      <c r="BA145" s="24"/>
      <c r="BC145" s="12"/>
    </row>
    <row r="146" spans="1:55" x14ac:dyDescent="0.25">
      <c r="A146" s="29">
        <f t="shared" si="33"/>
        <v>0</v>
      </c>
      <c r="B146" s="29">
        <f t="shared" si="35"/>
        <v>0</v>
      </c>
      <c r="C146" s="29">
        <f t="shared" si="36"/>
        <v>0</v>
      </c>
      <c r="D146" s="29">
        <f t="shared" si="37"/>
        <v>0</v>
      </c>
      <c r="E146" s="29">
        <f t="shared" si="34"/>
        <v>0</v>
      </c>
      <c r="F146" s="29">
        <f t="shared" si="38"/>
        <v>0</v>
      </c>
      <c r="G146" s="29" t="str">
        <f t="shared" si="39"/>
        <v>offensive</v>
      </c>
      <c r="H146" s="16">
        <f t="shared" si="40"/>
        <v>0</v>
      </c>
      <c r="I146" s="16">
        <f t="shared" si="41"/>
        <v>0</v>
      </c>
      <c r="J146" s="16">
        <f t="shared" si="42"/>
        <v>0</v>
      </c>
      <c r="K146" s="16">
        <f t="shared" si="43"/>
        <v>0</v>
      </c>
      <c r="L146" s="67">
        <f t="shared" si="44"/>
        <v>0</v>
      </c>
      <c r="M146" s="4">
        <f t="shared" si="45"/>
        <v>0</v>
      </c>
      <c r="N146" s="4">
        <f t="shared" si="46"/>
        <v>0</v>
      </c>
      <c r="O146" s="4">
        <f t="shared" si="47"/>
        <v>0</v>
      </c>
      <c r="P146" s="4" t="e">
        <f>VLOOKUP(AJ138,'CIR Team Info'!$C$5:$E$44,2,FALSE)</f>
        <v>#N/A</v>
      </c>
      <c r="Q146" s="4" t="e">
        <f>VLOOKUP(AJ138,'CIR Team Info'!$C$5:$E$44,3,FALSE)</f>
        <v>#N/A</v>
      </c>
      <c r="R146" s="10" t="e">
        <f>VLOOKUP(AJ138,'FRC Site Data'!$B$3:$L$42,2,FALSE)</f>
        <v>#N/A</v>
      </c>
      <c r="S146" s="10" t="e">
        <f>VLOOKUP(AJ138,'FRC Site Data'!$B$3:$L$42,3,FALSE)</f>
        <v>#N/A</v>
      </c>
      <c r="T146" s="10" t="e">
        <f>VLOOKUP(AJ138,'FRC Site Data'!$B$3:$L$42,4,FALSE)</f>
        <v>#N/A</v>
      </c>
      <c r="U146" s="10" t="e">
        <f>VLOOKUP(AJ138,'FRC Site Data'!$B$3:$L$42,5,FALSE)</f>
        <v>#N/A</v>
      </c>
      <c r="V146" s="10" t="e">
        <f>VLOOKUP(AJ138,'FRC Site Data'!$B$3:$L$42,6,FALSE)</f>
        <v>#N/A</v>
      </c>
      <c r="W146" s="10" t="e">
        <f>VLOOKUP(AJ138,'FRC Site Data'!$B$3:$L$42,8,FALSE)</f>
        <v>#N/A</v>
      </c>
      <c r="X146" s="10" t="e">
        <f>VLOOKUP(AJ138,'FRC Site Data'!$B$3:$L$42,9,FALSE)</f>
        <v>#N/A</v>
      </c>
      <c r="Y146" s="10" t="e">
        <f>VLOOKUP(AJ138,'FRC Site Data'!$B$3:$L$42,10,FALSE)</f>
        <v>#N/A</v>
      </c>
      <c r="Z146" s="10" t="e">
        <f>VLOOKUP(AJ138,'FRC Site Data'!$B$3:$L$42,11,FALSE)</f>
        <v>#N/A</v>
      </c>
      <c r="AA146" s="10" t="e">
        <f>VLOOKUP(AJ138,'CIR Team Info'!$C$5:$E$44,4,FALSE)</f>
        <v>#N/A</v>
      </c>
      <c r="AB146" s="161" t="b">
        <f>ISNUMBER(VLOOKUP(AJ138,Match!$T$5:$T$10,1,FALSE))</f>
        <v>0</v>
      </c>
      <c r="AC146" s="161" t="b">
        <f>IF(AB146=TRUE,(VLOOKUP($AJ138,Match!$T$5:$U$10,2,FALSE)))</f>
        <v>0</v>
      </c>
      <c r="AD146" s="8">
        <v>3</v>
      </c>
      <c r="AE146" s="8">
        <v>2</v>
      </c>
      <c r="AF146" s="8">
        <v>2</v>
      </c>
      <c r="AG146" s="8">
        <v>1</v>
      </c>
      <c r="AH146" s="8" t="str">
        <f t="shared" si="32"/>
        <v/>
      </c>
      <c r="BA146" s="24"/>
      <c r="BC146" s="12"/>
    </row>
    <row r="147" spans="1:55" x14ac:dyDescent="0.25">
      <c r="A147" s="29">
        <f t="shared" si="33"/>
        <v>0</v>
      </c>
      <c r="B147" s="29">
        <f t="shared" si="35"/>
        <v>0</v>
      </c>
      <c r="C147" s="29">
        <f t="shared" si="36"/>
        <v>0</v>
      </c>
      <c r="D147" s="29">
        <f t="shared" si="37"/>
        <v>0</v>
      </c>
      <c r="E147" s="29">
        <f t="shared" si="34"/>
        <v>0</v>
      </c>
      <c r="F147" s="29">
        <f t="shared" si="38"/>
        <v>0</v>
      </c>
      <c r="G147" s="29" t="str">
        <f t="shared" si="39"/>
        <v>offensive</v>
      </c>
      <c r="H147" s="16">
        <f t="shared" si="40"/>
        <v>0</v>
      </c>
      <c r="I147" s="16">
        <f t="shared" si="41"/>
        <v>0</v>
      </c>
      <c r="J147" s="16">
        <f t="shared" si="42"/>
        <v>0</v>
      </c>
      <c r="K147" s="16">
        <f t="shared" si="43"/>
        <v>0</v>
      </c>
      <c r="L147" s="67">
        <f t="shared" si="44"/>
        <v>0</v>
      </c>
      <c r="M147" s="4">
        <f t="shared" si="45"/>
        <v>0</v>
      </c>
      <c r="N147" s="4">
        <f t="shared" si="46"/>
        <v>0</v>
      </c>
      <c r="O147" s="4">
        <f t="shared" si="47"/>
        <v>0</v>
      </c>
      <c r="P147" s="4" t="e">
        <f>VLOOKUP(AJ139,'CIR Team Info'!$C$5:$E$44,2,FALSE)</f>
        <v>#N/A</v>
      </c>
      <c r="Q147" s="4" t="e">
        <f>VLOOKUP(AJ139,'CIR Team Info'!$C$5:$E$44,3,FALSE)</f>
        <v>#N/A</v>
      </c>
      <c r="R147" s="10" t="e">
        <f>VLOOKUP(AJ139,'FRC Site Data'!$B$3:$L$42,2,FALSE)</f>
        <v>#N/A</v>
      </c>
      <c r="S147" s="10" t="e">
        <f>VLOOKUP(AJ139,'FRC Site Data'!$B$3:$L$42,3,FALSE)</f>
        <v>#N/A</v>
      </c>
      <c r="T147" s="10" t="e">
        <f>VLOOKUP(AJ139,'FRC Site Data'!$B$3:$L$42,4,FALSE)</f>
        <v>#N/A</v>
      </c>
      <c r="U147" s="10" t="e">
        <f>VLOOKUP(AJ139,'FRC Site Data'!$B$3:$L$42,5,FALSE)</f>
        <v>#N/A</v>
      </c>
      <c r="V147" s="10" t="e">
        <f>VLOOKUP(AJ139,'FRC Site Data'!$B$3:$L$42,6,FALSE)</f>
        <v>#N/A</v>
      </c>
      <c r="W147" s="10" t="e">
        <f>VLOOKUP(AJ139,'FRC Site Data'!$B$3:$L$42,8,FALSE)</f>
        <v>#N/A</v>
      </c>
      <c r="X147" s="10" t="e">
        <f>VLOOKUP(AJ139,'FRC Site Data'!$B$3:$L$42,9,FALSE)</f>
        <v>#N/A</v>
      </c>
      <c r="Y147" s="10" t="e">
        <f>VLOOKUP(AJ139,'FRC Site Data'!$B$3:$L$42,10,FALSE)</f>
        <v>#N/A</v>
      </c>
      <c r="Z147" s="10" t="e">
        <f>VLOOKUP(AJ139,'FRC Site Data'!$B$3:$L$42,11,FALSE)</f>
        <v>#N/A</v>
      </c>
      <c r="AA147" s="10" t="e">
        <f>VLOOKUP(AJ139,'CIR Team Info'!$C$5:$E$44,4,FALSE)</f>
        <v>#N/A</v>
      </c>
      <c r="AB147" s="161" t="b">
        <f>ISNUMBER(VLOOKUP(AJ139,Match!$T$5:$T$10,1,FALSE))</f>
        <v>0</v>
      </c>
      <c r="AC147" s="161" t="b">
        <f>IF(AB147=TRUE,(VLOOKUP($AJ139,Match!$T$5:$U$10,2,FALSE)))</f>
        <v>0</v>
      </c>
      <c r="AD147" s="8">
        <v>3</v>
      </c>
      <c r="AE147" s="8">
        <v>2</v>
      </c>
      <c r="AF147" s="8">
        <v>2</v>
      </c>
      <c r="AG147" s="8">
        <v>1</v>
      </c>
      <c r="AH147" s="8" t="str">
        <f t="shared" si="32"/>
        <v/>
      </c>
      <c r="BA147" s="24"/>
      <c r="BC147" s="12"/>
    </row>
    <row r="148" spans="1:55" x14ac:dyDescent="0.25">
      <c r="A148" s="29">
        <f t="shared" si="33"/>
        <v>0</v>
      </c>
      <c r="B148" s="29">
        <f t="shared" si="35"/>
        <v>0</v>
      </c>
      <c r="C148" s="29">
        <f t="shared" si="36"/>
        <v>0</v>
      </c>
      <c r="D148" s="29">
        <f t="shared" si="37"/>
        <v>0</v>
      </c>
      <c r="E148" s="29">
        <f t="shared" si="34"/>
        <v>0</v>
      </c>
      <c r="F148" s="29">
        <f t="shared" si="38"/>
        <v>0</v>
      </c>
      <c r="G148" s="29" t="str">
        <f t="shared" si="39"/>
        <v>offensive</v>
      </c>
      <c r="H148" s="16">
        <f t="shared" si="40"/>
        <v>0</v>
      </c>
      <c r="I148" s="16">
        <f t="shared" si="41"/>
        <v>0</v>
      </c>
      <c r="J148" s="16">
        <f t="shared" si="42"/>
        <v>0</v>
      </c>
      <c r="K148" s="16">
        <f t="shared" si="43"/>
        <v>0</v>
      </c>
      <c r="L148" s="67">
        <f t="shared" si="44"/>
        <v>0</v>
      </c>
      <c r="M148" s="4">
        <f t="shared" si="45"/>
        <v>0</v>
      </c>
      <c r="N148" s="4">
        <f t="shared" si="46"/>
        <v>0</v>
      </c>
      <c r="O148" s="4">
        <f t="shared" si="47"/>
        <v>0</v>
      </c>
      <c r="P148" s="4" t="e">
        <f>VLOOKUP(AJ140,'CIR Team Info'!$C$5:$E$44,2,FALSE)</f>
        <v>#N/A</v>
      </c>
      <c r="Q148" s="4" t="e">
        <f>VLOOKUP(AJ140,'CIR Team Info'!$C$5:$E$44,3,FALSE)</f>
        <v>#N/A</v>
      </c>
      <c r="R148" s="10" t="e">
        <f>VLOOKUP(AJ140,'FRC Site Data'!$B$3:$L$42,2,FALSE)</f>
        <v>#N/A</v>
      </c>
      <c r="S148" s="10" t="e">
        <f>VLOOKUP(AJ140,'FRC Site Data'!$B$3:$L$42,3,FALSE)</f>
        <v>#N/A</v>
      </c>
      <c r="T148" s="10" t="e">
        <f>VLOOKUP(AJ140,'FRC Site Data'!$B$3:$L$42,4,FALSE)</f>
        <v>#N/A</v>
      </c>
      <c r="U148" s="10" t="e">
        <f>VLOOKUP(AJ140,'FRC Site Data'!$B$3:$L$42,5,FALSE)</f>
        <v>#N/A</v>
      </c>
      <c r="V148" s="10" t="e">
        <f>VLOOKUP(AJ140,'FRC Site Data'!$B$3:$L$42,6,FALSE)</f>
        <v>#N/A</v>
      </c>
      <c r="W148" s="10" t="e">
        <f>VLOOKUP(AJ140,'FRC Site Data'!$B$3:$L$42,8,FALSE)</f>
        <v>#N/A</v>
      </c>
      <c r="X148" s="10" t="e">
        <f>VLOOKUP(AJ140,'FRC Site Data'!$B$3:$L$42,9,FALSE)</f>
        <v>#N/A</v>
      </c>
      <c r="Y148" s="10" t="e">
        <f>VLOOKUP(AJ140,'FRC Site Data'!$B$3:$L$42,10,FALSE)</f>
        <v>#N/A</v>
      </c>
      <c r="Z148" s="10" t="e">
        <f>VLOOKUP(AJ140,'FRC Site Data'!$B$3:$L$42,11,FALSE)</f>
        <v>#N/A</v>
      </c>
      <c r="AA148" s="10" t="e">
        <f>VLOOKUP(AJ140,'CIR Team Info'!$C$5:$E$44,4,FALSE)</f>
        <v>#N/A</v>
      </c>
      <c r="AB148" s="161" t="b">
        <f>ISNUMBER(VLOOKUP(AJ140,Match!$T$5:$T$10,1,FALSE))</f>
        <v>0</v>
      </c>
      <c r="AC148" s="161" t="b">
        <f>IF(AB148=TRUE,(VLOOKUP($AJ140,Match!$T$5:$U$10,2,FALSE)))</f>
        <v>0</v>
      </c>
      <c r="AD148" s="8">
        <v>3</v>
      </c>
      <c r="AE148" s="8">
        <v>2</v>
      </c>
      <c r="AF148" s="8">
        <v>2</v>
      </c>
      <c r="AG148" s="8">
        <v>1</v>
      </c>
      <c r="AH148" s="8" t="str">
        <f t="shared" si="32"/>
        <v/>
      </c>
      <c r="BA148" s="24"/>
      <c r="BC148" s="12"/>
    </row>
    <row r="149" spans="1:55" x14ac:dyDescent="0.25">
      <c r="A149" s="29">
        <f t="shared" si="33"/>
        <v>0</v>
      </c>
      <c r="B149" s="29">
        <f t="shared" si="35"/>
        <v>0</v>
      </c>
      <c r="C149" s="29">
        <f t="shared" si="36"/>
        <v>0</v>
      </c>
      <c r="D149" s="29">
        <f t="shared" si="37"/>
        <v>0</v>
      </c>
      <c r="E149" s="29">
        <f t="shared" si="34"/>
        <v>0</v>
      </c>
      <c r="F149" s="29">
        <f t="shared" si="38"/>
        <v>0</v>
      </c>
      <c r="G149" s="29" t="str">
        <f t="shared" si="39"/>
        <v>offensive</v>
      </c>
      <c r="H149" s="16">
        <f t="shared" si="40"/>
        <v>0</v>
      </c>
      <c r="I149" s="16">
        <f t="shared" si="41"/>
        <v>0</v>
      </c>
      <c r="J149" s="16">
        <f t="shared" si="42"/>
        <v>0</v>
      </c>
      <c r="K149" s="16">
        <f t="shared" si="43"/>
        <v>0</v>
      </c>
      <c r="L149" s="67">
        <f t="shared" si="44"/>
        <v>0</v>
      </c>
      <c r="M149" s="4">
        <f t="shared" si="45"/>
        <v>0</v>
      </c>
      <c r="N149" s="4">
        <f t="shared" si="46"/>
        <v>0</v>
      </c>
      <c r="O149" s="4">
        <f t="shared" si="47"/>
        <v>0</v>
      </c>
      <c r="P149" s="4" t="e">
        <f>VLOOKUP(AJ141,'CIR Team Info'!$C$5:$E$44,2,FALSE)</f>
        <v>#N/A</v>
      </c>
      <c r="Q149" s="4" t="e">
        <f>VLOOKUP(AJ141,'CIR Team Info'!$C$5:$E$44,3,FALSE)</f>
        <v>#N/A</v>
      </c>
      <c r="R149" s="10" t="e">
        <f>VLOOKUP(AJ141,'FRC Site Data'!$B$3:$L$42,2,FALSE)</f>
        <v>#N/A</v>
      </c>
      <c r="S149" s="10" t="e">
        <f>VLOOKUP(AJ141,'FRC Site Data'!$B$3:$L$42,3,FALSE)</f>
        <v>#N/A</v>
      </c>
      <c r="T149" s="10" t="e">
        <f>VLOOKUP(AJ141,'FRC Site Data'!$B$3:$L$42,4,FALSE)</f>
        <v>#N/A</v>
      </c>
      <c r="U149" s="10" t="e">
        <f>VLOOKUP(AJ141,'FRC Site Data'!$B$3:$L$42,5,FALSE)</f>
        <v>#N/A</v>
      </c>
      <c r="V149" s="10" t="e">
        <f>VLOOKUP(AJ141,'FRC Site Data'!$B$3:$L$42,6,FALSE)</f>
        <v>#N/A</v>
      </c>
      <c r="W149" s="10" t="e">
        <f>VLOOKUP(AJ141,'FRC Site Data'!$B$3:$L$42,8,FALSE)</f>
        <v>#N/A</v>
      </c>
      <c r="X149" s="10" t="e">
        <f>VLOOKUP(AJ141,'FRC Site Data'!$B$3:$L$42,9,FALSE)</f>
        <v>#N/A</v>
      </c>
      <c r="Y149" s="10" t="e">
        <f>VLOOKUP(AJ141,'FRC Site Data'!$B$3:$L$42,10,FALSE)</f>
        <v>#N/A</v>
      </c>
      <c r="Z149" s="10" t="e">
        <f>VLOOKUP(AJ141,'FRC Site Data'!$B$3:$L$42,11,FALSE)</f>
        <v>#N/A</v>
      </c>
      <c r="AA149" s="10" t="e">
        <f>VLOOKUP(AJ141,'CIR Team Info'!$C$5:$E$44,4,FALSE)</f>
        <v>#N/A</v>
      </c>
      <c r="AB149" s="161" t="b">
        <f>ISNUMBER(VLOOKUP(AJ141,Match!$T$5:$T$10,1,FALSE))</f>
        <v>0</v>
      </c>
      <c r="AC149" s="161" t="b">
        <f>IF(AB149=TRUE,(VLOOKUP($AJ141,Match!$T$5:$U$10,2,FALSE)))</f>
        <v>0</v>
      </c>
      <c r="AD149" s="8">
        <v>3</v>
      </c>
      <c r="AE149" s="8">
        <v>2</v>
      </c>
      <c r="AF149" s="8">
        <v>2</v>
      </c>
      <c r="AG149" s="8">
        <v>1</v>
      </c>
      <c r="AH149" s="8" t="str">
        <f t="shared" si="32"/>
        <v/>
      </c>
      <c r="BA149" s="24"/>
      <c r="BC149" s="12"/>
    </row>
    <row r="150" spans="1:55" x14ac:dyDescent="0.25">
      <c r="A150" s="29">
        <f t="shared" si="33"/>
        <v>0</v>
      </c>
      <c r="B150" s="29">
        <f t="shared" si="35"/>
        <v>0</v>
      </c>
      <c r="C150" s="29">
        <f t="shared" si="36"/>
        <v>0</v>
      </c>
      <c r="D150" s="29">
        <f t="shared" si="37"/>
        <v>0</v>
      </c>
      <c r="E150" s="29">
        <f t="shared" si="34"/>
        <v>0</v>
      </c>
      <c r="F150" s="29">
        <f t="shared" si="38"/>
        <v>0</v>
      </c>
      <c r="G150" s="29" t="str">
        <f t="shared" si="39"/>
        <v>offensive</v>
      </c>
      <c r="H150" s="16">
        <f t="shared" si="40"/>
        <v>0</v>
      </c>
      <c r="I150" s="16">
        <f t="shared" si="41"/>
        <v>0</v>
      </c>
      <c r="J150" s="16">
        <f t="shared" si="42"/>
        <v>0</v>
      </c>
      <c r="K150" s="16">
        <f t="shared" si="43"/>
        <v>0</v>
      </c>
      <c r="L150" s="67">
        <f t="shared" si="44"/>
        <v>0</v>
      </c>
      <c r="M150" s="4">
        <f t="shared" si="45"/>
        <v>0</v>
      </c>
      <c r="N150" s="4">
        <f t="shared" si="46"/>
        <v>0</v>
      </c>
      <c r="O150" s="4">
        <f t="shared" si="47"/>
        <v>0</v>
      </c>
      <c r="P150" s="4" t="e">
        <f>VLOOKUP(AJ142,'CIR Team Info'!$C$5:$E$44,2,FALSE)</f>
        <v>#N/A</v>
      </c>
      <c r="Q150" s="4" t="e">
        <f>VLOOKUP(AJ142,'CIR Team Info'!$C$5:$E$44,3,FALSE)</f>
        <v>#N/A</v>
      </c>
      <c r="R150" s="10" t="e">
        <f>VLOOKUP(AJ142,'FRC Site Data'!$B$3:$L$42,2,FALSE)</f>
        <v>#N/A</v>
      </c>
      <c r="S150" s="10" t="e">
        <f>VLOOKUP(AJ142,'FRC Site Data'!$B$3:$L$42,3,FALSE)</f>
        <v>#N/A</v>
      </c>
      <c r="T150" s="10" t="e">
        <f>VLOOKUP(AJ142,'FRC Site Data'!$B$3:$L$42,4,FALSE)</f>
        <v>#N/A</v>
      </c>
      <c r="U150" s="10" t="e">
        <f>VLOOKUP(AJ142,'FRC Site Data'!$B$3:$L$42,5,FALSE)</f>
        <v>#N/A</v>
      </c>
      <c r="V150" s="10" t="e">
        <f>VLOOKUP(AJ142,'FRC Site Data'!$B$3:$L$42,6,FALSE)</f>
        <v>#N/A</v>
      </c>
      <c r="W150" s="10" t="e">
        <f>VLOOKUP(AJ142,'FRC Site Data'!$B$3:$L$42,8,FALSE)</f>
        <v>#N/A</v>
      </c>
      <c r="X150" s="10" t="e">
        <f>VLOOKUP(AJ142,'FRC Site Data'!$B$3:$L$42,9,FALSE)</f>
        <v>#N/A</v>
      </c>
      <c r="Y150" s="10" t="e">
        <f>VLOOKUP(AJ142,'FRC Site Data'!$B$3:$L$42,10,FALSE)</f>
        <v>#N/A</v>
      </c>
      <c r="Z150" s="10" t="e">
        <f>VLOOKUP(AJ142,'FRC Site Data'!$B$3:$L$42,11,FALSE)</f>
        <v>#N/A</v>
      </c>
      <c r="AA150" s="10" t="e">
        <f>VLOOKUP(AJ142,'CIR Team Info'!$C$5:$E$44,4,FALSE)</f>
        <v>#N/A</v>
      </c>
      <c r="AB150" s="161" t="b">
        <f>ISNUMBER(VLOOKUP(AJ142,Match!$T$5:$T$10,1,FALSE))</f>
        <v>0</v>
      </c>
      <c r="AC150" s="161" t="b">
        <f>IF(AB150=TRUE,(VLOOKUP($AJ142,Match!$T$5:$U$10,2,FALSE)))</f>
        <v>0</v>
      </c>
      <c r="AD150" s="8">
        <v>3</v>
      </c>
      <c r="AE150" s="8">
        <v>2</v>
      </c>
      <c r="AF150" s="8">
        <v>2</v>
      </c>
      <c r="AG150" s="8">
        <v>1</v>
      </c>
      <c r="AH150" s="8" t="str">
        <f t="shared" si="32"/>
        <v/>
      </c>
      <c r="BA150" s="24"/>
      <c r="BC150" s="12"/>
    </row>
    <row r="151" spans="1:55" x14ac:dyDescent="0.25">
      <c r="A151" s="29">
        <f t="shared" si="33"/>
        <v>0</v>
      </c>
      <c r="B151" s="29">
        <f t="shared" si="35"/>
        <v>0</v>
      </c>
      <c r="C151" s="29">
        <f t="shared" si="36"/>
        <v>0</v>
      </c>
      <c r="D151" s="29">
        <f t="shared" si="37"/>
        <v>0</v>
      </c>
      <c r="E151" s="29">
        <f t="shared" si="34"/>
        <v>0</v>
      </c>
      <c r="F151" s="29">
        <f t="shared" si="38"/>
        <v>0</v>
      </c>
      <c r="G151" s="29" t="str">
        <f t="shared" si="39"/>
        <v>offensive</v>
      </c>
      <c r="H151" s="16">
        <f t="shared" si="40"/>
        <v>0</v>
      </c>
      <c r="I151" s="16">
        <f t="shared" si="41"/>
        <v>0</v>
      </c>
      <c r="J151" s="16">
        <f t="shared" si="42"/>
        <v>0</v>
      </c>
      <c r="K151" s="16">
        <f t="shared" si="43"/>
        <v>0</v>
      </c>
      <c r="L151" s="67">
        <f t="shared" si="44"/>
        <v>0</v>
      </c>
      <c r="M151" s="4">
        <f t="shared" si="45"/>
        <v>0</v>
      </c>
      <c r="N151" s="4">
        <f t="shared" si="46"/>
        <v>0</v>
      </c>
      <c r="O151" s="4">
        <f t="shared" si="47"/>
        <v>0</v>
      </c>
      <c r="P151" s="4" t="e">
        <f>VLOOKUP(AJ143,'CIR Team Info'!$C$5:$E$44,2,FALSE)</f>
        <v>#N/A</v>
      </c>
      <c r="Q151" s="4" t="e">
        <f>VLOOKUP(AJ143,'CIR Team Info'!$C$5:$E$44,3,FALSE)</f>
        <v>#N/A</v>
      </c>
      <c r="R151" s="10" t="e">
        <f>VLOOKUP(AJ143,'FRC Site Data'!$B$3:$L$42,2,FALSE)</f>
        <v>#N/A</v>
      </c>
      <c r="S151" s="10" t="e">
        <f>VLOOKUP(AJ143,'FRC Site Data'!$B$3:$L$42,3,FALSE)</f>
        <v>#N/A</v>
      </c>
      <c r="T151" s="10" t="e">
        <f>VLOOKUP(AJ143,'FRC Site Data'!$B$3:$L$42,4,FALSE)</f>
        <v>#N/A</v>
      </c>
      <c r="U151" s="10" t="e">
        <f>VLOOKUP(AJ143,'FRC Site Data'!$B$3:$L$42,5,FALSE)</f>
        <v>#N/A</v>
      </c>
      <c r="V151" s="10" t="e">
        <f>VLOOKUP(AJ143,'FRC Site Data'!$B$3:$L$42,6,FALSE)</f>
        <v>#N/A</v>
      </c>
      <c r="W151" s="10" t="e">
        <f>VLOOKUP(AJ143,'FRC Site Data'!$B$3:$L$42,8,FALSE)</f>
        <v>#N/A</v>
      </c>
      <c r="X151" s="10" t="e">
        <f>VLOOKUP(AJ143,'FRC Site Data'!$B$3:$L$42,9,FALSE)</f>
        <v>#N/A</v>
      </c>
      <c r="Y151" s="10" t="e">
        <f>VLOOKUP(AJ143,'FRC Site Data'!$B$3:$L$42,10,FALSE)</f>
        <v>#N/A</v>
      </c>
      <c r="Z151" s="10" t="e">
        <f>VLOOKUP(AJ143,'FRC Site Data'!$B$3:$L$42,11,FALSE)</f>
        <v>#N/A</v>
      </c>
      <c r="AA151" s="10" t="e">
        <f>VLOOKUP(AJ143,'CIR Team Info'!$C$5:$E$44,4,FALSE)</f>
        <v>#N/A</v>
      </c>
      <c r="AB151" s="161" t="b">
        <f>ISNUMBER(VLOOKUP(AJ143,Match!$T$5:$T$10,1,FALSE))</f>
        <v>0</v>
      </c>
      <c r="AC151" s="161" t="b">
        <f>IF(AB151=TRUE,(VLOOKUP($AJ143,Match!$T$5:$U$10,2,FALSE)))</f>
        <v>0</v>
      </c>
      <c r="AD151" s="8">
        <v>3</v>
      </c>
      <c r="AE151" s="8">
        <v>2</v>
      </c>
      <c r="AF151" s="8">
        <v>2</v>
      </c>
      <c r="AG151" s="8">
        <v>1</v>
      </c>
      <c r="AH151" s="8" t="str">
        <f t="shared" si="32"/>
        <v/>
      </c>
      <c r="BA151" s="24"/>
      <c r="BC151" s="12"/>
    </row>
    <row r="152" spans="1:55" x14ac:dyDescent="0.25">
      <c r="A152" s="29">
        <f t="shared" si="33"/>
        <v>0</v>
      </c>
      <c r="B152" s="29">
        <f t="shared" si="35"/>
        <v>0</v>
      </c>
      <c r="C152" s="29">
        <f t="shared" si="36"/>
        <v>0</v>
      </c>
      <c r="D152" s="29">
        <f t="shared" si="37"/>
        <v>0</v>
      </c>
      <c r="E152" s="29">
        <f t="shared" si="34"/>
        <v>0</v>
      </c>
      <c r="F152" s="29">
        <f t="shared" si="38"/>
        <v>0</v>
      </c>
      <c r="G152" s="29" t="str">
        <f t="shared" si="39"/>
        <v>offensive</v>
      </c>
      <c r="H152" s="16">
        <f t="shared" si="40"/>
        <v>0</v>
      </c>
      <c r="I152" s="16">
        <f t="shared" si="41"/>
        <v>0</v>
      </c>
      <c r="J152" s="16">
        <f t="shared" si="42"/>
        <v>0</v>
      </c>
      <c r="K152" s="16">
        <f t="shared" si="43"/>
        <v>0</v>
      </c>
      <c r="L152" s="67">
        <f t="shared" si="44"/>
        <v>0</v>
      </c>
      <c r="M152" s="4">
        <f t="shared" si="45"/>
        <v>0</v>
      </c>
      <c r="N152" s="4">
        <f t="shared" si="46"/>
        <v>0</v>
      </c>
      <c r="O152" s="4">
        <f t="shared" si="47"/>
        <v>0</v>
      </c>
      <c r="P152" s="4" t="e">
        <f>VLOOKUP(AJ144,'CIR Team Info'!$C$5:$E$44,2,FALSE)</f>
        <v>#N/A</v>
      </c>
      <c r="Q152" s="4" t="e">
        <f>VLOOKUP(AJ144,'CIR Team Info'!$C$5:$E$44,3,FALSE)</f>
        <v>#N/A</v>
      </c>
      <c r="R152" s="10" t="e">
        <f>VLOOKUP(AJ144,'FRC Site Data'!$B$3:$L$42,2,FALSE)</f>
        <v>#N/A</v>
      </c>
      <c r="S152" s="10" t="e">
        <f>VLOOKUP(AJ144,'FRC Site Data'!$B$3:$L$42,3,FALSE)</f>
        <v>#N/A</v>
      </c>
      <c r="T152" s="10" t="e">
        <f>VLOOKUP(AJ144,'FRC Site Data'!$B$3:$L$42,4,FALSE)</f>
        <v>#N/A</v>
      </c>
      <c r="U152" s="10" t="e">
        <f>VLOOKUP(AJ144,'FRC Site Data'!$B$3:$L$42,5,FALSE)</f>
        <v>#N/A</v>
      </c>
      <c r="V152" s="10" t="e">
        <f>VLOOKUP(AJ144,'FRC Site Data'!$B$3:$L$42,6,FALSE)</f>
        <v>#N/A</v>
      </c>
      <c r="W152" s="10" t="e">
        <f>VLOOKUP(AJ144,'FRC Site Data'!$B$3:$L$42,8,FALSE)</f>
        <v>#N/A</v>
      </c>
      <c r="X152" s="10" t="e">
        <f>VLOOKUP(AJ144,'FRC Site Data'!$B$3:$L$42,9,FALSE)</f>
        <v>#N/A</v>
      </c>
      <c r="Y152" s="10" t="e">
        <f>VLOOKUP(AJ144,'FRC Site Data'!$B$3:$L$42,10,FALSE)</f>
        <v>#N/A</v>
      </c>
      <c r="Z152" s="10" t="e">
        <f>VLOOKUP(AJ144,'FRC Site Data'!$B$3:$L$42,11,FALSE)</f>
        <v>#N/A</v>
      </c>
      <c r="AA152" s="10" t="e">
        <f>VLOOKUP(AJ144,'CIR Team Info'!$C$5:$E$44,4,FALSE)</f>
        <v>#N/A</v>
      </c>
      <c r="AB152" s="161" t="b">
        <f>ISNUMBER(VLOOKUP(AJ144,Match!$T$5:$T$10,1,FALSE))</f>
        <v>0</v>
      </c>
      <c r="AC152" s="161" t="b">
        <f>IF(AB152=TRUE,(VLOOKUP($AJ144,Match!$T$5:$U$10,2,FALSE)))</f>
        <v>0</v>
      </c>
      <c r="AD152" s="8">
        <v>3</v>
      </c>
      <c r="AE152" s="8">
        <v>2</v>
      </c>
      <c r="AF152" s="8">
        <v>2</v>
      </c>
      <c r="AG152" s="8">
        <v>1</v>
      </c>
      <c r="AH152" s="8" t="str">
        <f t="shared" si="32"/>
        <v/>
      </c>
      <c r="BA152" s="24"/>
      <c r="BC152" s="12"/>
    </row>
    <row r="153" spans="1:55" x14ac:dyDescent="0.25">
      <c r="A153" s="29">
        <f t="shared" si="33"/>
        <v>0</v>
      </c>
      <c r="B153" s="29">
        <f t="shared" si="35"/>
        <v>0</v>
      </c>
      <c r="C153" s="29">
        <f t="shared" si="36"/>
        <v>0</v>
      </c>
      <c r="D153" s="29">
        <f t="shared" si="37"/>
        <v>0</v>
      </c>
      <c r="E153" s="29">
        <f t="shared" si="34"/>
        <v>0</v>
      </c>
      <c r="F153" s="29">
        <f t="shared" si="38"/>
        <v>0</v>
      </c>
      <c r="G153" s="29" t="str">
        <f t="shared" si="39"/>
        <v>offensive</v>
      </c>
      <c r="H153" s="16">
        <f t="shared" si="40"/>
        <v>0</v>
      </c>
      <c r="I153" s="16">
        <f t="shared" si="41"/>
        <v>0</v>
      </c>
      <c r="J153" s="16">
        <f t="shared" si="42"/>
        <v>0</v>
      </c>
      <c r="K153" s="16">
        <f t="shared" si="43"/>
        <v>0</v>
      </c>
      <c r="L153" s="67">
        <f t="shared" si="44"/>
        <v>0</v>
      </c>
      <c r="M153" s="4">
        <f t="shared" si="45"/>
        <v>0</v>
      </c>
      <c r="N153" s="4">
        <f t="shared" si="46"/>
        <v>0</v>
      </c>
      <c r="O153" s="4">
        <f t="shared" si="47"/>
        <v>0</v>
      </c>
      <c r="P153" s="4" t="e">
        <f>VLOOKUP(AJ145,'CIR Team Info'!$C$5:$E$44,2,FALSE)</f>
        <v>#N/A</v>
      </c>
      <c r="Q153" s="4" t="e">
        <f>VLOOKUP(AJ145,'CIR Team Info'!$C$5:$E$44,3,FALSE)</f>
        <v>#N/A</v>
      </c>
      <c r="R153" s="10" t="e">
        <f>VLOOKUP(AJ145,'FRC Site Data'!$B$3:$L$42,2,FALSE)</f>
        <v>#N/A</v>
      </c>
      <c r="S153" s="10" t="e">
        <f>VLOOKUP(AJ145,'FRC Site Data'!$B$3:$L$42,3,FALSE)</f>
        <v>#N/A</v>
      </c>
      <c r="T153" s="10" t="e">
        <f>VLOOKUP(AJ145,'FRC Site Data'!$B$3:$L$42,4,FALSE)</f>
        <v>#N/A</v>
      </c>
      <c r="U153" s="10" t="e">
        <f>VLOOKUP(AJ145,'FRC Site Data'!$B$3:$L$42,5,FALSE)</f>
        <v>#N/A</v>
      </c>
      <c r="V153" s="10" t="e">
        <f>VLOOKUP(AJ145,'FRC Site Data'!$B$3:$L$42,6,FALSE)</f>
        <v>#N/A</v>
      </c>
      <c r="W153" s="10" t="e">
        <f>VLOOKUP(AJ145,'FRC Site Data'!$B$3:$L$42,8,FALSE)</f>
        <v>#N/A</v>
      </c>
      <c r="X153" s="10" t="e">
        <f>VLOOKUP(AJ145,'FRC Site Data'!$B$3:$L$42,9,FALSE)</f>
        <v>#N/A</v>
      </c>
      <c r="Y153" s="10" t="e">
        <f>VLOOKUP(AJ145,'FRC Site Data'!$B$3:$L$42,10,FALSE)</f>
        <v>#N/A</v>
      </c>
      <c r="Z153" s="10" t="e">
        <f>VLOOKUP(AJ145,'FRC Site Data'!$B$3:$L$42,11,FALSE)</f>
        <v>#N/A</v>
      </c>
      <c r="AA153" s="10" t="e">
        <f>VLOOKUP(AJ145,'CIR Team Info'!$C$5:$E$44,4,FALSE)</f>
        <v>#N/A</v>
      </c>
      <c r="AB153" s="161" t="b">
        <f>ISNUMBER(VLOOKUP(AJ145,Match!$T$5:$T$10,1,FALSE))</f>
        <v>0</v>
      </c>
      <c r="AC153" s="161" t="b">
        <f>IF(AB153=TRUE,(VLOOKUP($AJ145,Match!$T$5:$U$10,2,FALSE)))</f>
        <v>0</v>
      </c>
      <c r="AD153" s="8">
        <v>3</v>
      </c>
      <c r="AE153" s="8">
        <v>2</v>
      </c>
      <c r="AF153" s="8">
        <v>2</v>
      </c>
      <c r="AG153" s="8">
        <v>1</v>
      </c>
      <c r="AH153" s="8" t="str">
        <f t="shared" si="32"/>
        <v/>
      </c>
      <c r="BA153" s="24"/>
      <c r="BC153" s="12"/>
    </row>
    <row r="154" spans="1:55" x14ac:dyDescent="0.25">
      <c r="A154" s="29">
        <f t="shared" si="33"/>
        <v>0</v>
      </c>
      <c r="B154" s="29">
        <f t="shared" si="35"/>
        <v>0</v>
      </c>
      <c r="C154" s="29">
        <f t="shared" si="36"/>
        <v>0</v>
      </c>
      <c r="D154" s="29">
        <f t="shared" si="37"/>
        <v>0</v>
      </c>
      <c r="E154" s="29">
        <f t="shared" si="34"/>
        <v>0</v>
      </c>
      <c r="F154" s="29">
        <f t="shared" si="38"/>
        <v>0</v>
      </c>
      <c r="G154" s="29" t="str">
        <f t="shared" si="39"/>
        <v>offensive</v>
      </c>
      <c r="H154" s="16">
        <f t="shared" si="40"/>
        <v>0</v>
      </c>
      <c r="I154" s="16">
        <f t="shared" si="41"/>
        <v>0</v>
      </c>
      <c r="J154" s="16">
        <f t="shared" si="42"/>
        <v>0</v>
      </c>
      <c r="K154" s="16">
        <f t="shared" si="43"/>
        <v>0</v>
      </c>
      <c r="L154" s="67">
        <f t="shared" si="44"/>
        <v>0</v>
      </c>
      <c r="M154" s="4">
        <f t="shared" si="45"/>
        <v>0</v>
      </c>
      <c r="N154" s="4">
        <f t="shared" si="46"/>
        <v>0</v>
      </c>
      <c r="O154" s="4">
        <f t="shared" si="47"/>
        <v>0</v>
      </c>
      <c r="P154" s="4" t="e">
        <f>VLOOKUP(AJ146,'CIR Team Info'!$C$5:$E$44,2,FALSE)</f>
        <v>#N/A</v>
      </c>
      <c r="Q154" s="4" t="e">
        <f>VLOOKUP(AJ146,'CIR Team Info'!$C$5:$E$44,3,FALSE)</f>
        <v>#N/A</v>
      </c>
      <c r="R154" s="10" t="e">
        <f>VLOOKUP(AJ146,'FRC Site Data'!$B$3:$L$42,2,FALSE)</f>
        <v>#N/A</v>
      </c>
      <c r="S154" s="10" t="e">
        <f>VLOOKUP(AJ146,'FRC Site Data'!$B$3:$L$42,3,FALSE)</f>
        <v>#N/A</v>
      </c>
      <c r="T154" s="10" t="e">
        <f>VLOOKUP(AJ146,'FRC Site Data'!$B$3:$L$42,4,FALSE)</f>
        <v>#N/A</v>
      </c>
      <c r="U154" s="10" t="e">
        <f>VLOOKUP(AJ146,'FRC Site Data'!$B$3:$L$42,5,FALSE)</f>
        <v>#N/A</v>
      </c>
      <c r="V154" s="10" t="e">
        <f>VLOOKUP(AJ146,'FRC Site Data'!$B$3:$L$42,6,FALSE)</f>
        <v>#N/A</v>
      </c>
      <c r="W154" s="10" t="e">
        <f>VLOOKUP(AJ146,'FRC Site Data'!$B$3:$L$42,8,FALSE)</f>
        <v>#N/A</v>
      </c>
      <c r="X154" s="10" t="e">
        <f>VLOOKUP(AJ146,'FRC Site Data'!$B$3:$L$42,9,FALSE)</f>
        <v>#N/A</v>
      </c>
      <c r="Y154" s="10" t="e">
        <f>VLOOKUP(AJ146,'FRC Site Data'!$B$3:$L$42,10,FALSE)</f>
        <v>#N/A</v>
      </c>
      <c r="Z154" s="10" t="e">
        <f>VLOOKUP(AJ146,'FRC Site Data'!$B$3:$L$42,11,FALSE)</f>
        <v>#N/A</v>
      </c>
      <c r="AA154" s="10" t="e">
        <f>VLOOKUP(AJ146,'CIR Team Info'!$C$5:$E$44,4,FALSE)</f>
        <v>#N/A</v>
      </c>
      <c r="AB154" s="161" t="b">
        <f>ISNUMBER(VLOOKUP(AJ146,Match!$T$5:$T$10,1,FALSE))</f>
        <v>0</v>
      </c>
      <c r="AC154" s="161" t="b">
        <f>IF(AB154=TRUE,(VLOOKUP($AJ146,Match!$T$5:$U$10,2,FALSE)))</f>
        <v>0</v>
      </c>
      <c r="AD154" s="8">
        <v>3</v>
      </c>
      <c r="AE154" s="8">
        <v>2</v>
      </c>
      <c r="AF154" s="8">
        <v>2</v>
      </c>
      <c r="AG154" s="8">
        <v>1</v>
      </c>
      <c r="AH154" s="8" t="str">
        <f t="shared" si="32"/>
        <v/>
      </c>
      <c r="BA154" s="24"/>
      <c r="BC154" s="12"/>
    </row>
    <row r="155" spans="1:55" x14ac:dyDescent="0.25">
      <c r="A155" s="29">
        <f t="shared" si="33"/>
        <v>0</v>
      </c>
      <c r="B155" s="29">
        <f t="shared" si="35"/>
        <v>0</v>
      </c>
      <c r="C155" s="29">
        <f t="shared" si="36"/>
        <v>0</v>
      </c>
      <c r="D155" s="29">
        <f t="shared" si="37"/>
        <v>0</v>
      </c>
      <c r="E155" s="29">
        <f t="shared" si="34"/>
        <v>0</v>
      </c>
      <c r="F155" s="29">
        <f t="shared" si="38"/>
        <v>0</v>
      </c>
      <c r="G155" s="29" t="str">
        <f t="shared" si="39"/>
        <v>offensive</v>
      </c>
      <c r="H155" s="16">
        <f t="shared" si="40"/>
        <v>0</v>
      </c>
      <c r="I155" s="16">
        <f t="shared" si="41"/>
        <v>0</v>
      </c>
      <c r="J155" s="16">
        <f t="shared" si="42"/>
        <v>0</v>
      </c>
      <c r="K155" s="16">
        <f t="shared" si="43"/>
        <v>0</v>
      </c>
      <c r="L155" s="67">
        <f t="shared" si="44"/>
        <v>0</v>
      </c>
      <c r="M155" s="4">
        <f t="shared" si="45"/>
        <v>0</v>
      </c>
      <c r="N155" s="4">
        <f t="shared" si="46"/>
        <v>0</v>
      </c>
      <c r="O155" s="4">
        <f t="shared" si="47"/>
        <v>0</v>
      </c>
      <c r="P155" s="4" t="e">
        <f>VLOOKUP(AJ147,'CIR Team Info'!$C$5:$E$44,2,FALSE)</f>
        <v>#N/A</v>
      </c>
      <c r="Q155" s="4" t="e">
        <f>VLOOKUP(AJ147,'CIR Team Info'!$C$5:$E$44,3,FALSE)</f>
        <v>#N/A</v>
      </c>
      <c r="R155" s="10" t="e">
        <f>VLOOKUP(AJ147,'FRC Site Data'!$B$3:$L$42,2,FALSE)</f>
        <v>#N/A</v>
      </c>
      <c r="S155" s="10" t="e">
        <f>VLOOKUP(AJ147,'FRC Site Data'!$B$3:$L$42,3,FALSE)</f>
        <v>#N/A</v>
      </c>
      <c r="T155" s="10" t="e">
        <f>VLOOKUP(AJ147,'FRC Site Data'!$B$3:$L$42,4,FALSE)</f>
        <v>#N/A</v>
      </c>
      <c r="U155" s="10" t="e">
        <f>VLOOKUP(AJ147,'FRC Site Data'!$B$3:$L$42,5,FALSE)</f>
        <v>#N/A</v>
      </c>
      <c r="V155" s="10" t="e">
        <f>VLOOKUP(AJ147,'FRC Site Data'!$B$3:$L$42,6,FALSE)</f>
        <v>#N/A</v>
      </c>
      <c r="W155" s="10" t="e">
        <f>VLOOKUP(AJ147,'FRC Site Data'!$B$3:$L$42,8,FALSE)</f>
        <v>#N/A</v>
      </c>
      <c r="X155" s="10" t="e">
        <f>VLOOKUP(AJ147,'FRC Site Data'!$B$3:$L$42,9,FALSE)</f>
        <v>#N/A</v>
      </c>
      <c r="Y155" s="10" t="e">
        <f>VLOOKUP(AJ147,'FRC Site Data'!$B$3:$L$42,10,FALSE)</f>
        <v>#N/A</v>
      </c>
      <c r="Z155" s="10" t="e">
        <f>VLOOKUP(AJ147,'FRC Site Data'!$B$3:$L$42,11,FALSE)</f>
        <v>#N/A</v>
      </c>
      <c r="AA155" s="10" t="e">
        <f>VLOOKUP(AJ147,'CIR Team Info'!$C$5:$E$44,4,FALSE)</f>
        <v>#N/A</v>
      </c>
      <c r="AB155" s="161" t="b">
        <f>ISNUMBER(VLOOKUP(AJ147,Match!$T$5:$T$10,1,FALSE))</f>
        <v>0</v>
      </c>
      <c r="AC155" s="161" t="b">
        <f>IF(AB155=TRUE,(VLOOKUP($AJ147,Match!$T$5:$U$10,2,FALSE)))</f>
        <v>0</v>
      </c>
      <c r="AD155" s="8">
        <v>3</v>
      </c>
      <c r="AE155" s="8">
        <v>2</v>
      </c>
      <c r="AF155" s="8">
        <v>2</v>
      </c>
      <c r="AG155" s="8">
        <v>1</v>
      </c>
      <c r="AH155" s="8" t="str">
        <f t="shared" ref="AH155:AH218" si="48">IF(AL147="Other","x","")</f>
        <v/>
      </c>
      <c r="BA155" s="24"/>
      <c r="BC155" s="12"/>
    </row>
    <row r="156" spans="1:55" x14ac:dyDescent="0.25">
      <c r="A156" s="29">
        <f t="shared" si="33"/>
        <v>0</v>
      </c>
      <c r="B156" s="29">
        <f t="shared" si="35"/>
        <v>0</v>
      </c>
      <c r="C156" s="29">
        <f t="shared" si="36"/>
        <v>0</v>
      </c>
      <c r="D156" s="29">
        <f t="shared" si="37"/>
        <v>0</v>
      </c>
      <c r="E156" s="29">
        <f t="shared" si="34"/>
        <v>0</v>
      </c>
      <c r="F156" s="29">
        <f t="shared" si="38"/>
        <v>0</v>
      </c>
      <c r="G156" s="29" t="str">
        <f t="shared" si="39"/>
        <v>offensive</v>
      </c>
      <c r="H156" s="16">
        <f t="shared" si="40"/>
        <v>0</v>
      </c>
      <c r="I156" s="16">
        <f t="shared" si="41"/>
        <v>0</v>
      </c>
      <c r="J156" s="16">
        <f t="shared" si="42"/>
        <v>0</v>
      </c>
      <c r="K156" s="16">
        <f t="shared" si="43"/>
        <v>0</v>
      </c>
      <c r="L156" s="67">
        <f t="shared" si="44"/>
        <v>0</v>
      </c>
      <c r="M156" s="4">
        <f t="shared" si="45"/>
        <v>0</v>
      </c>
      <c r="N156" s="4">
        <f t="shared" si="46"/>
        <v>0</v>
      </c>
      <c r="O156" s="4">
        <f t="shared" si="47"/>
        <v>0</v>
      </c>
      <c r="P156" s="4" t="e">
        <f>VLOOKUP(AJ148,'CIR Team Info'!$C$5:$E$44,2,FALSE)</f>
        <v>#N/A</v>
      </c>
      <c r="Q156" s="4" t="e">
        <f>VLOOKUP(AJ148,'CIR Team Info'!$C$5:$E$44,3,FALSE)</f>
        <v>#N/A</v>
      </c>
      <c r="R156" s="10" t="e">
        <f>VLOOKUP(AJ148,'FRC Site Data'!$B$3:$L$42,2,FALSE)</f>
        <v>#N/A</v>
      </c>
      <c r="S156" s="10" t="e">
        <f>VLOOKUP(AJ148,'FRC Site Data'!$B$3:$L$42,3,FALSE)</f>
        <v>#N/A</v>
      </c>
      <c r="T156" s="10" t="e">
        <f>VLOOKUP(AJ148,'FRC Site Data'!$B$3:$L$42,4,FALSE)</f>
        <v>#N/A</v>
      </c>
      <c r="U156" s="10" t="e">
        <f>VLOOKUP(AJ148,'FRC Site Data'!$B$3:$L$42,5,FALSE)</f>
        <v>#N/A</v>
      </c>
      <c r="V156" s="10" t="e">
        <f>VLOOKUP(AJ148,'FRC Site Data'!$B$3:$L$42,6,FALSE)</f>
        <v>#N/A</v>
      </c>
      <c r="W156" s="10" t="e">
        <f>VLOOKUP(AJ148,'FRC Site Data'!$B$3:$L$42,8,FALSE)</f>
        <v>#N/A</v>
      </c>
      <c r="X156" s="10" t="e">
        <f>VLOOKUP(AJ148,'FRC Site Data'!$B$3:$L$42,9,FALSE)</f>
        <v>#N/A</v>
      </c>
      <c r="Y156" s="10" t="e">
        <f>VLOOKUP(AJ148,'FRC Site Data'!$B$3:$L$42,10,FALSE)</f>
        <v>#N/A</v>
      </c>
      <c r="Z156" s="10" t="e">
        <f>VLOOKUP(AJ148,'FRC Site Data'!$B$3:$L$42,11,FALSE)</f>
        <v>#N/A</v>
      </c>
      <c r="AA156" s="10" t="e">
        <f>VLOOKUP(AJ148,'CIR Team Info'!$C$5:$E$44,4,FALSE)</f>
        <v>#N/A</v>
      </c>
      <c r="AB156" s="161" t="b">
        <f>ISNUMBER(VLOOKUP(AJ148,Match!$T$5:$T$10,1,FALSE))</f>
        <v>0</v>
      </c>
      <c r="AC156" s="161" t="b">
        <f>IF(AB156=TRUE,(VLOOKUP($AJ148,Match!$T$5:$U$10,2,FALSE)))</f>
        <v>0</v>
      </c>
      <c r="AD156" s="8">
        <v>3</v>
      </c>
      <c r="AE156" s="8">
        <v>2</v>
      </c>
      <c r="AF156" s="8">
        <v>2</v>
      </c>
      <c r="AG156" s="8">
        <v>1</v>
      </c>
      <c r="AH156" s="8" t="str">
        <f t="shared" si="48"/>
        <v/>
      </c>
      <c r="BA156" s="24"/>
      <c r="BC156" s="12"/>
    </row>
    <row r="157" spans="1:55" x14ac:dyDescent="0.25">
      <c r="A157" s="29">
        <f t="shared" si="33"/>
        <v>0</v>
      </c>
      <c r="B157" s="29">
        <f t="shared" si="35"/>
        <v>0</v>
      </c>
      <c r="C157" s="29">
        <f t="shared" si="36"/>
        <v>0</v>
      </c>
      <c r="D157" s="29">
        <f t="shared" si="37"/>
        <v>0</v>
      </c>
      <c r="E157" s="29">
        <f t="shared" si="34"/>
        <v>0</v>
      </c>
      <c r="F157" s="29">
        <f t="shared" si="38"/>
        <v>0</v>
      </c>
      <c r="G157" s="29" t="str">
        <f t="shared" si="39"/>
        <v>offensive</v>
      </c>
      <c r="H157" s="16">
        <f t="shared" si="40"/>
        <v>0</v>
      </c>
      <c r="I157" s="16">
        <f t="shared" si="41"/>
        <v>0</v>
      </c>
      <c r="J157" s="16">
        <f t="shared" si="42"/>
        <v>0</v>
      </c>
      <c r="K157" s="16">
        <f t="shared" si="43"/>
        <v>0</v>
      </c>
      <c r="L157" s="67">
        <f t="shared" si="44"/>
        <v>0</v>
      </c>
      <c r="M157" s="4">
        <f t="shared" si="45"/>
        <v>0</v>
      </c>
      <c r="N157" s="4">
        <f t="shared" si="46"/>
        <v>0</v>
      </c>
      <c r="O157" s="4">
        <f t="shared" si="47"/>
        <v>0</v>
      </c>
      <c r="P157" s="4" t="e">
        <f>VLOOKUP(AJ149,'CIR Team Info'!$C$5:$E$44,2,FALSE)</f>
        <v>#N/A</v>
      </c>
      <c r="Q157" s="4" t="e">
        <f>VLOOKUP(AJ149,'CIR Team Info'!$C$5:$E$44,3,FALSE)</f>
        <v>#N/A</v>
      </c>
      <c r="R157" s="10" t="e">
        <f>VLOOKUP(AJ149,'FRC Site Data'!$B$3:$L$42,2,FALSE)</f>
        <v>#N/A</v>
      </c>
      <c r="S157" s="10" t="e">
        <f>VLOOKUP(AJ149,'FRC Site Data'!$B$3:$L$42,3,FALSE)</f>
        <v>#N/A</v>
      </c>
      <c r="T157" s="10" t="e">
        <f>VLOOKUP(AJ149,'FRC Site Data'!$B$3:$L$42,4,FALSE)</f>
        <v>#N/A</v>
      </c>
      <c r="U157" s="10" t="e">
        <f>VLOOKUP(AJ149,'FRC Site Data'!$B$3:$L$42,5,FALSE)</f>
        <v>#N/A</v>
      </c>
      <c r="V157" s="10" t="e">
        <f>VLOOKUP(AJ149,'FRC Site Data'!$B$3:$L$42,6,FALSE)</f>
        <v>#N/A</v>
      </c>
      <c r="W157" s="10" t="e">
        <f>VLOOKUP(AJ149,'FRC Site Data'!$B$3:$L$42,8,FALSE)</f>
        <v>#N/A</v>
      </c>
      <c r="X157" s="10" t="e">
        <f>VLOOKUP(AJ149,'FRC Site Data'!$B$3:$L$42,9,FALSE)</f>
        <v>#N/A</v>
      </c>
      <c r="Y157" s="10" t="e">
        <f>VLOOKUP(AJ149,'FRC Site Data'!$B$3:$L$42,10,FALSE)</f>
        <v>#N/A</v>
      </c>
      <c r="Z157" s="10" t="e">
        <f>VLOOKUP(AJ149,'FRC Site Data'!$B$3:$L$42,11,FALSE)</f>
        <v>#N/A</v>
      </c>
      <c r="AA157" s="10" t="e">
        <f>VLOOKUP(AJ149,'CIR Team Info'!$C$5:$E$44,4,FALSE)</f>
        <v>#N/A</v>
      </c>
      <c r="AB157" s="161" t="b">
        <f>ISNUMBER(VLOOKUP(AJ149,Match!$T$5:$T$10,1,FALSE))</f>
        <v>0</v>
      </c>
      <c r="AC157" s="161" t="b">
        <f>IF(AB157=TRUE,(VLOOKUP($AJ149,Match!$T$5:$U$10,2,FALSE)))</f>
        <v>0</v>
      </c>
      <c r="AD157" s="8">
        <v>3</v>
      </c>
      <c r="AE157" s="8">
        <v>2</v>
      </c>
      <c r="AF157" s="8">
        <v>2</v>
      </c>
      <c r="AG157" s="8">
        <v>1</v>
      </c>
      <c r="AH157" s="8" t="str">
        <f t="shared" si="48"/>
        <v/>
      </c>
      <c r="BA157" s="24"/>
      <c r="BC157" s="12"/>
    </row>
    <row r="158" spans="1:55" x14ac:dyDescent="0.25">
      <c r="A158" s="29">
        <f t="shared" si="33"/>
        <v>0</v>
      </c>
      <c r="B158" s="29">
        <f t="shared" si="35"/>
        <v>0</v>
      </c>
      <c r="C158" s="29">
        <f t="shared" si="36"/>
        <v>0</v>
      </c>
      <c r="D158" s="29">
        <f t="shared" si="37"/>
        <v>0</v>
      </c>
      <c r="E158" s="29">
        <f t="shared" si="34"/>
        <v>0</v>
      </c>
      <c r="F158" s="29">
        <f t="shared" si="38"/>
        <v>0</v>
      </c>
      <c r="G158" s="29" t="str">
        <f t="shared" si="39"/>
        <v>offensive</v>
      </c>
      <c r="H158" s="16">
        <f t="shared" si="40"/>
        <v>0</v>
      </c>
      <c r="I158" s="16">
        <f t="shared" si="41"/>
        <v>0</v>
      </c>
      <c r="J158" s="16">
        <f t="shared" si="42"/>
        <v>0</v>
      </c>
      <c r="K158" s="16">
        <f t="shared" si="43"/>
        <v>0</v>
      </c>
      <c r="L158" s="67">
        <f t="shared" si="44"/>
        <v>0</v>
      </c>
      <c r="M158" s="4">
        <f t="shared" si="45"/>
        <v>0</v>
      </c>
      <c r="N158" s="4">
        <f t="shared" si="46"/>
        <v>0</v>
      </c>
      <c r="O158" s="4">
        <f t="shared" si="47"/>
        <v>0</v>
      </c>
      <c r="P158" s="4" t="e">
        <f>VLOOKUP(AJ150,'CIR Team Info'!$C$5:$E$44,2,FALSE)</f>
        <v>#N/A</v>
      </c>
      <c r="Q158" s="4" t="e">
        <f>VLOOKUP(AJ150,'CIR Team Info'!$C$5:$E$44,3,FALSE)</f>
        <v>#N/A</v>
      </c>
      <c r="R158" s="10" t="e">
        <f>VLOOKUP(AJ150,'FRC Site Data'!$B$3:$L$42,2,FALSE)</f>
        <v>#N/A</v>
      </c>
      <c r="S158" s="10" t="e">
        <f>VLOOKUP(AJ150,'FRC Site Data'!$B$3:$L$42,3,FALSE)</f>
        <v>#N/A</v>
      </c>
      <c r="T158" s="10" t="e">
        <f>VLOOKUP(AJ150,'FRC Site Data'!$B$3:$L$42,4,FALSE)</f>
        <v>#N/A</v>
      </c>
      <c r="U158" s="10" t="e">
        <f>VLOOKUP(AJ150,'FRC Site Data'!$B$3:$L$42,5,FALSE)</f>
        <v>#N/A</v>
      </c>
      <c r="V158" s="10" t="e">
        <f>VLOOKUP(AJ150,'FRC Site Data'!$B$3:$L$42,6,FALSE)</f>
        <v>#N/A</v>
      </c>
      <c r="W158" s="10" t="e">
        <f>VLOOKUP(AJ150,'FRC Site Data'!$B$3:$L$42,8,FALSE)</f>
        <v>#N/A</v>
      </c>
      <c r="X158" s="10" t="e">
        <f>VLOOKUP(AJ150,'FRC Site Data'!$B$3:$L$42,9,FALSE)</f>
        <v>#N/A</v>
      </c>
      <c r="Y158" s="10" t="e">
        <f>VLOOKUP(AJ150,'FRC Site Data'!$B$3:$L$42,10,FALSE)</f>
        <v>#N/A</v>
      </c>
      <c r="Z158" s="10" t="e">
        <f>VLOOKUP(AJ150,'FRC Site Data'!$B$3:$L$42,11,FALSE)</f>
        <v>#N/A</v>
      </c>
      <c r="AA158" s="10" t="e">
        <f>VLOOKUP(AJ150,'CIR Team Info'!$C$5:$E$44,4,FALSE)</f>
        <v>#N/A</v>
      </c>
      <c r="AB158" s="161" t="b">
        <f>ISNUMBER(VLOOKUP(AJ150,Match!$T$5:$T$10,1,FALSE))</f>
        <v>0</v>
      </c>
      <c r="AC158" s="161" t="b">
        <f>IF(AB158=TRUE,(VLOOKUP($AJ150,Match!$T$5:$U$10,2,FALSE)))</f>
        <v>0</v>
      </c>
      <c r="AD158" s="8">
        <v>3</v>
      </c>
      <c r="AE158" s="8">
        <v>2</v>
      </c>
      <c r="AF158" s="8">
        <v>2</v>
      </c>
      <c r="AG158" s="8">
        <v>1</v>
      </c>
      <c r="AH158" s="8" t="str">
        <f t="shared" si="48"/>
        <v/>
      </c>
      <c r="BA158" s="24"/>
      <c r="BC158" s="12"/>
    </row>
    <row r="159" spans="1:55" x14ac:dyDescent="0.25">
      <c r="A159" s="29">
        <f t="shared" si="33"/>
        <v>0</v>
      </c>
      <c r="B159" s="29">
        <f t="shared" si="35"/>
        <v>0</v>
      </c>
      <c r="C159" s="29">
        <f t="shared" si="36"/>
        <v>0</v>
      </c>
      <c r="D159" s="29">
        <f t="shared" si="37"/>
        <v>0</v>
      </c>
      <c r="E159" s="29">
        <f t="shared" si="34"/>
        <v>0</v>
      </c>
      <c r="F159" s="29">
        <f t="shared" si="38"/>
        <v>0</v>
      </c>
      <c r="G159" s="29" t="str">
        <f t="shared" si="39"/>
        <v>offensive</v>
      </c>
      <c r="H159" s="16">
        <f t="shared" si="40"/>
        <v>0</v>
      </c>
      <c r="I159" s="16">
        <f t="shared" si="41"/>
        <v>0</v>
      </c>
      <c r="J159" s="16">
        <f t="shared" si="42"/>
        <v>0</v>
      </c>
      <c r="K159" s="16">
        <f t="shared" si="43"/>
        <v>0</v>
      </c>
      <c r="L159" s="67">
        <f t="shared" si="44"/>
        <v>0</v>
      </c>
      <c r="M159" s="4">
        <f t="shared" si="45"/>
        <v>0</v>
      </c>
      <c r="N159" s="4">
        <f t="shared" si="46"/>
        <v>0</v>
      </c>
      <c r="O159" s="4">
        <f t="shared" si="47"/>
        <v>0</v>
      </c>
      <c r="P159" s="4" t="e">
        <f>VLOOKUP(AJ151,'CIR Team Info'!$C$5:$E$44,2,FALSE)</f>
        <v>#N/A</v>
      </c>
      <c r="Q159" s="4" t="e">
        <f>VLOOKUP(AJ151,'CIR Team Info'!$C$5:$E$44,3,FALSE)</f>
        <v>#N/A</v>
      </c>
      <c r="R159" s="10" t="e">
        <f>VLOOKUP(AJ151,'FRC Site Data'!$B$3:$L$42,2,FALSE)</f>
        <v>#N/A</v>
      </c>
      <c r="S159" s="10" t="e">
        <f>VLOOKUP(AJ151,'FRC Site Data'!$B$3:$L$42,3,FALSE)</f>
        <v>#N/A</v>
      </c>
      <c r="T159" s="10" t="e">
        <f>VLOOKUP(AJ151,'FRC Site Data'!$B$3:$L$42,4,FALSE)</f>
        <v>#N/A</v>
      </c>
      <c r="U159" s="10" t="e">
        <f>VLOOKUP(AJ151,'FRC Site Data'!$B$3:$L$42,5,FALSE)</f>
        <v>#N/A</v>
      </c>
      <c r="V159" s="10" t="e">
        <f>VLOOKUP(AJ151,'FRC Site Data'!$B$3:$L$42,6,FALSE)</f>
        <v>#N/A</v>
      </c>
      <c r="W159" s="10" t="e">
        <f>VLOOKUP(AJ151,'FRC Site Data'!$B$3:$L$42,8,FALSE)</f>
        <v>#N/A</v>
      </c>
      <c r="X159" s="10" t="e">
        <f>VLOOKUP(AJ151,'FRC Site Data'!$B$3:$L$42,9,FALSE)</f>
        <v>#N/A</v>
      </c>
      <c r="Y159" s="10" t="e">
        <f>VLOOKUP(AJ151,'FRC Site Data'!$B$3:$L$42,10,FALSE)</f>
        <v>#N/A</v>
      </c>
      <c r="Z159" s="10" t="e">
        <f>VLOOKUP(AJ151,'FRC Site Data'!$B$3:$L$42,11,FALSE)</f>
        <v>#N/A</v>
      </c>
      <c r="AA159" s="10" t="e">
        <f>VLOOKUP(AJ151,'CIR Team Info'!$C$5:$E$44,4,FALSE)</f>
        <v>#N/A</v>
      </c>
      <c r="AB159" s="161" t="b">
        <f>ISNUMBER(VLOOKUP(AJ151,Match!$T$5:$T$10,1,FALSE))</f>
        <v>0</v>
      </c>
      <c r="AC159" s="161" t="b">
        <f>IF(AB159=TRUE,(VLOOKUP($AJ151,Match!$T$5:$U$10,2,FALSE)))</f>
        <v>0</v>
      </c>
      <c r="AD159" s="8">
        <v>3</v>
      </c>
      <c r="AE159" s="8">
        <v>2</v>
      </c>
      <c r="AF159" s="8">
        <v>2</v>
      </c>
      <c r="AG159" s="8">
        <v>1</v>
      </c>
      <c r="AH159" s="8" t="str">
        <f t="shared" si="48"/>
        <v/>
      </c>
      <c r="BA159" s="24"/>
      <c r="BC159" s="12"/>
    </row>
    <row r="160" spans="1:55" x14ac:dyDescent="0.25">
      <c r="A160" s="29">
        <f t="shared" si="33"/>
        <v>0</v>
      </c>
      <c r="B160" s="29">
        <f t="shared" si="35"/>
        <v>0</v>
      </c>
      <c r="C160" s="29">
        <f t="shared" si="36"/>
        <v>0</v>
      </c>
      <c r="D160" s="29">
        <f t="shared" si="37"/>
        <v>0</v>
      </c>
      <c r="E160" s="29">
        <f t="shared" si="34"/>
        <v>0</v>
      </c>
      <c r="F160" s="29">
        <f t="shared" si="38"/>
        <v>0</v>
      </c>
      <c r="G160" s="29" t="str">
        <f t="shared" si="39"/>
        <v>offensive</v>
      </c>
      <c r="H160" s="16">
        <f t="shared" si="40"/>
        <v>0</v>
      </c>
      <c r="I160" s="16">
        <f t="shared" si="41"/>
        <v>0</v>
      </c>
      <c r="J160" s="16">
        <f t="shared" si="42"/>
        <v>0</v>
      </c>
      <c r="K160" s="16">
        <f t="shared" si="43"/>
        <v>0</v>
      </c>
      <c r="L160" s="67">
        <f t="shared" si="44"/>
        <v>0</v>
      </c>
      <c r="M160" s="4">
        <f t="shared" si="45"/>
        <v>0</v>
      </c>
      <c r="N160" s="4">
        <f t="shared" si="46"/>
        <v>0</v>
      </c>
      <c r="O160" s="4">
        <f t="shared" si="47"/>
        <v>0</v>
      </c>
      <c r="P160" s="4" t="e">
        <f>VLOOKUP(AJ152,'CIR Team Info'!$C$5:$E$44,2,FALSE)</f>
        <v>#N/A</v>
      </c>
      <c r="Q160" s="4" t="e">
        <f>VLOOKUP(AJ152,'CIR Team Info'!$C$5:$E$44,3,FALSE)</f>
        <v>#N/A</v>
      </c>
      <c r="R160" s="10" t="e">
        <f>VLOOKUP(AJ152,'FRC Site Data'!$B$3:$L$42,2,FALSE)</f>
        <v>#N/A</v>
      </c>
      <c r="S160" s="10" t="e">
        <f>VLOOKUP(AJ152,'FRC Site Data'!$B$3:$L$42,3,FALSE)</f>
        <v>#N/A</v>
      </c>
      <c r="T160" s="10" t="e">
        <f>VLOOKUP(AJ152,'FRC Site Data'!$B$3:$L$42,4,FALSE)</f>
        <v>#N/A</v>
      </c>
      <c r="U160" s="10" t="e">
        <f>VLOOKUP(AJ152,'FRC Site Data'!$B$3:$L$42,5,FALSE)</f>
        <v>#N/A</v>
      </c>
      <c r="V160" s="10" t="e">
        <f>VLOOKUP(AJ152,'FRC Site Data'!$B$3:$L$42,6,FALSE)</f>
        <v>#N/A</v>
      </c>
      <c r="W160" s="10" t="e">
        <f>VLOOKUP(AJ152,'FRC Site Data'!$B$3:$L$42,8,FALSE)</f>
        <v>#N/A</v>
      </c>
      <c r="X160" s="10" t="e">
        <f>VLOOKUP(AJ152,'FRC Site Data'!$B$3:$L$42,9,FALSE)</f>
        <v>#N/A</v>
      </c>
      <c r="Y160" s="10" t="e">
        <f>VLOOKUP(AJ152,'FRC Site Data'!$B$3:$L$42,10,FALSE)</f>
        <v>#N/A</v>
      </c>
      <c r="Z160" s="10" t="e">
        <f>VLOOKUP(AJ152,'FRC Site Data'!$B$3:$L$42,11,FALSE)</f>
        <v>#N/A</v>
      </c>
      <c r="AA160" s="10" t="e">
        <f>VLOOKUP(AJ152,'CIR Team Info'!$C$5:$E$44,4,FALSE)</f>
        <v>#N/A</v>
      </c>
      <c r="AB160" s="161" t="b">
        <f>ISNUMBER(VLOOKUP(AJ152,Match!$T$5:$T$10,1,FALSE))</f>
        <v>0</v>
      </c>
      <c r="AC160" s="161" t="b">
        <f>IF(AB160=TRUE,(VLOOKUP($AJ152,Match!$T$5:$U$10,2,FALSE)))</f>
        <v>0</v>
      </c>
      <c r="AD160" s="8">
        <v>3</v>
      </c>
      <c r="AE160" s="8">
        <v>2</v>
      </c>
      <c r="AF160" s="8">
        <v>2</v>
      </c>
      <c r="AG160" s="8">
        <v>1</v>
      </c>
      <c r="AH160" s="8" t="str">
        <f t="shared" si="48"/>
        <v/>
      </c>
      <c r="BA160" s="24"/>
      <c r="BC160" s="12"/>
    </row>
    <row r="161" spans="1:55" x14ac:dyDescent="0.25">
      <c r="A161" s="29">
        <f t="shared" si="33"/>
        <v>0</v>
      </c>
      <c r="B161" s="29">
        <f t="shared" si="35"/>
        <v>0</v>
      </c>
      <c r="C161" s="29">
        <f t="shared" si="36"/>
        <v>0</v>
      </c>
      <c r="D161" s="29">
        <f t="shared" si="37"/>
        <v>0</v>
      </c>
      <c r="E161" s="29">
        <f t="shared" si="34"/>
        <v>0</v>
      </c>
      <c r="F161" s="29">
        <f t="shared" si="38"/>
        <v>0</v>
      </c>
      <c r="G161" s="29" t="str">
        <f t="shared" si="39"/>
        <v>offensive</v>
      </c>
      <c r="H161" s="16">
        <f t="shared" si="40"/>
        <v>0</v>
      </c>
      <c r="I161" s="16">
        <f t="shared" si="41"/>
        <v>0</v>
      </c>
      <c r="J161" s="16">
        <f t="shared" si="42"/>
        <v>0</v>
      </c>
      <c r="K161" s="16">
        <f t="shared" si="43"/>
        <v>0</v>
      </c>
      <c r="L161" s="67">
        <f t="shared" si="44"/>
        <v>0</v>
      </c>
      <c r="M161" s="4">
        <f t="shared" si="45"/>
        <v>0</v>
      </c>
      <c r="N161" s="4">
        <f t="shared" si="46"/>
        <v>0</v>
      </c>
      <c r="O161" s="4">
        <f t="shared" si="47"/>
        <v>0</v>
      </c>
      <c r="P161" s="4" t="e">
        <f>VLOOKUP(AJ153,'CIR Team Info'!$C$5:$E$44,2,FALSE)</f>
        <v>#N/A</v>
      </c>
      <c r="Q161" s="4" t="e">
        <f>VLOOKUP(AJ153,'CIR Team Info'!$C$5:$E$44,3,FALSE)</f>
        <v>#N/A</v>
      </c>
      <c r="R161" s="10" t="e">
        <f>VLOOKUP(AJ153,'FRC Site Data'!$B$3:$L$42,2,FALSE)</f>
        <v>#N/A</v>
      </c>
      <c r="S161" s="10" t="e">
        <f>VLOOKUP(AJ153,'FRC Site Data'!$B$3:$L$42,3,FALSE)</f>
        <v>#N/A</v>
      </c>
      <c r="T161" s="10" t="e">
        <f>VLOOKUP(AJ153,'FRC Site Data'!$B$3:$L$42,4,FALSE)</f>
        <v>#N/A</v>
      </c>
      <c r="U161" s="10" t="e">
        <f>VLOOKUP(AJ153,'FRC Site Data'!$B$3:$L$42,5,FALSE)</f>
        <v>#N/A</v>
      </c>
      <c r="V161" s="10" t="e">
        <f>VLOOKUP(AJ153,'FRC Site Data'!$B$3:$L$42,6,FALSE)</f>
        <v>#N/A</v>
      </c>
      <c r="W161" s="10" t="e">
        <f>VLOOKUP(AJ153,'FRC Site Data'!$B$3:$L$42,8,FALSE)</f>
        <v>#N/A</v>
      </c>
      <c r="X161" s="10" t="e">
        <f>VLOOKUP(AJ153,'FRC Site Data'!$B$3:$L$42,9,FALSE)</f>
        <v>#N/A</v>
      </c>
      <c r="Y161" s="10" t="e">
        <f>VLOOKUP(AJ153,'FRC Site Data'!$B$3:$L$42,10,FALSE)</f>
        <v>#N/A</v>
      </c>
      <c r="Z161" s="10" t="e">
        <f>VLOOKUP(AJ153,'FRC Site Data'!$B$3:$L$42,11,FALSE)</f>
        <v>#N/A</v>
      </c>
      <c r="AA161" s="10" t="e">
        <f>VLOOKUP(AJ153,'CIR Team Info'!$C$5:$E$44,4,FALSE)</f>
        <v>#N/A</v>
      </c>
      <c r="AB161" s="161" t="b">
        <f>ISNUMBER(VLOOKUP(AJ153,Match!$T$5:$T$10,1,FALSE))</f>
        <v>0</v>
      </c>
      <c r="AC161" s="161" t="b">
        <f>IF(AB161=TRUE,(VLOOKUP($AJ153,Match!$T$5:$U$10,2,FALSE)))</f>
        <v>0</v>
      </c>
      <c r="AD161" s="8">
        <v>3</v>
      </c>
      <c r="AE161" s="8">
        <v>2</v>
      </c>
      <c r="AF161" s="8">
        <v>2</v>
      </c>
      <c r="AG161" s="8">
        <v>1</v>
      </c>
      <c r="AH161" s="8" t="str">
        <f t="shared" si="48"/>
        <v/>
      </c>
      <c r="BA161" s="24"/>
      <c r="BC161" s="12"/>
    </row>
    <row r="162" spans="1:55" x14ac:dyDescent="0.25">
      <c r="A162" s="29">
        <f t="shared" si="33"/>
        <v>0</v>
      </c>
      <c r="B162" s="29">
        <f t="shared" si="35"/>
        <v>0</v>
      </c>
      <c r="C162" s="29">
        <f t="shared" si="36"/>
        <v>0</v>
      </c>
      <c r="D162" s="29">
        <f t="shared" si="37"/>
        <v>0</v>
      </c>
      <c r="E162" s="29">
        <f t="shared" si="34"/>
        <v>0</v>
      </c>
      <c r="F162" s="29">
        <f t="shared" si="38"/>
        <v>0</v>
      </c>
      <c r="G162" s="29" t="str">
        <f t="shared" si="39"/>
        <v>offensive</v>
      </c>
      <c r="H162" s="16">
        <f t="shared" si="40"/>
        <v>0</v>
      </c>
      <c r="I162" s="16">
        <f t="shared" si="41"/>
        <v>0</v>
      </c>
      <c r="J162" s="16">
        <f t="shared" si="42"/>
        <v>0</v>
      </c>
      <c r="K162" s="16">
        <f t="shared" si="43"/>
        <v>0</v>
      </c>
      <c r="L162" s="67">
        <f t="shared" si="44"/>
        <v>0</v>
      </c>
      <c r="M162" s="4">
        <f t="shared" si="45"/>
        <v>0</v>
      </c>
      <c r="N162" s="4">
        <f t="shared" si="46"/>
        <v>0</v>
      </c>
      <c r="O162" s="4">
        <f t="shared" si="47"/>
        <v>0</v>
      </c>
      <c r="P162" s="4" t="e">
        <f>VLOOKUP(AJ154,'CIR Team Info'!$C$5:$E$44,2,FALSE)</f>
        <v>#N/A</v>
      </c>
      <c r="Q162" s="4" t="e">
        <f>VLOOKUP(AJ154,'CIR Team Info'!$C$5:$E$44,3,FALSE)</f>
        <v>#N/A</v>
      </c>
      <c r="R162" s="10" t="e">
        <f>VLOOKUP(AJ154,'FRC Site Data'!$B$3:$L$42,2,FALSE)</f>
        <v>#N/A</v>
      </c>
      <c r="S162" s="10" t="e">
        <f>VLOOKUP(AJ154,'FRC Site Data'!$B$3:$L$42,3,FALSE)</f>
        <v>#N/A</v>
      </c>
      <c r="T162" s="10" t="e">
        <f>VLOOKUP(AJ154,'FRC Site Data'!$B$3:$L$42,4,FALSE)</f>
        <v>#N/A</v>
      </c>
      <c r="U162" s="10" t="e">
        <f>VLOOKUP(AJ154,'FRC Site Data'!$B$3:$L$42,5,FALSE)</f>
        <v>#N/A</v>
      </c>
      <c r="V162" s="10" t="e">
        <f>VLOOKUP(AJ154,'FRC Site Data'!$B$3:$L$42,6,FALSE)</f>
        <v>#N/A</v>
      </c>
      <c r="W162" s="10" t="e">
        <f>VLOOKUP(AJ154,'FRC Site Data'!$B$3:$L$42,8,FALSE)</f>
        <v>#N/A</v>
      </c>
      <c r="X162" s="10" t="e">
        <f>VLOOKUP(AJ154,'FRC Site Data'!$B$3:$L$42,9,FALSE)</f>
        <v>#N/A</v>
      </c>
      <c r="Y162" s="10" t="e">
        <f>VLOOKUP(AJ154,'FRC Site Data'!$B$3:$L$42,10,FALSE)</f>
        <v>#N/A</v>
      </c>
      <c r="Z162" s="10" t="e">
        <f>VLOOKUP(AJ154,'FRC Site Data'!$B$3:$L$42,11,FALSE)</f>
        <v>#N/A</v>
      </c>
      <c r="AA162" s="10" t="e">
        <f>VLOOKUP(AJ154,'CIR Team Info'!$C$5:$E$44,4,FALSE)</f>
        <v>#N/A</v>
      </c>
      <c r="AB162" s="161" t="b">
        <f>ISNUMBER(VLOOKUP(AJ154,Match!$T$5:$T$10,1,FALSE))</f>
        <v>0</v>
      </c>
      <c r="AC162" s="161" t="b">
        <f>IF(AB162=TRUE,(VLOOKUP($AJ154,Match!$T$5:$U$10,2,FALSE)))</f>
        <v>0</v>
      </c>
      <c r="AD162" s="8">
        <v>3</v>
      </c>
      <c r="AE162" s="8">
        <v>2</v>
      </c>
      <c r="AF162" s="8">
        <v>2</v>
      </c>
      <c r="AG162" s="8">
        <v>1</v>
      </c>
      <c r="AH162" s="8" t="str">
        <f t="shared" si="48"/>
        <v/>
      </c>
      <c r="BA162" s="24"/>
      <c r="BC162" s="12"/>
    </row>
    <row r="163" spans="1:55" x14ac:dyDescent="0.25">
      <c r="A163" s="29">
        <f t="shared" si="33"/>
        <v>0</v>
      </c>
      <c r="B163" s="29">
        <f t="shared" si="35"/>
        <v>0</v>
      </c>
      <c r="C163" s="29">
        <f t="shared" si="36"/>
        <v>0</v>
      </c>
      <c r="D163" s="29">
        <f t="shared" si="37"/>
        <v>0</v>
      </c>
      <c r="E163" s="29">
        <f t="shared" si="34"/>
        <v>0</v>
      </c>
      <c r="F163" s="29">
        <f t="shared" si="38"/>
        <v>0</v>
      </c>
      <c r="G163" s="29" t="str">
        <f t="shared" si="39"/>
        <v>offensive</v>
      </c>
      <c r="H163" s="16">
        <f t="shared" si="40"/>
        <v>0</v>
      </c>
      <c r="I163" s="16">
        <f t="shared" si="41"/>
        <v>0</v>
      </c>
      <c r="J163" s="16">
        <f t="shared" si="42"/>
        <v>0</v>
      </c>
      <c r="K163" s="16">
        <f t="shared" si="43"/>
        <v>0</v>
      </c>
      <c r="L163" s="67">
        <f t="shared" si="44"/>
        <v>0</v>
      </c>
      <c r="M163" s="4">
        <f t="shared" si="45"/>
        <v>0</v>
      </c>
      <c r="N163" s="4">
        <f t="shared" si="46"/>
        <v>0</v>
      </c>
      <c r="O163" s="4">
        <f t="shared" si="47"/>
        <v>0</v>
      </c>
      <c r="P163" s="4" t="e">
        <f>VLOOKUP(AJ155,'CIR Team Info'!$C$5:$E$44,2,FALSE)</f>
        <v>#N/A</v>
      </c>
      <c r="Q163" s="4" t="e">
        <f>VLOOKUP(AJ155,'CIR Team Info'!$C$5:$E$44,3,FALSE)</f>
        <v>#N/A</v>
      </c>
      <c r="R163" s="10" t="e">
        <f>VLOOKUP(AJ155,'FRC Site Data'!$B$3:$L$42,2,FALSE)</f>
        <v>#N/A</v>
      </c>
      <c r="S163" s="10" t="e">
        <f>VLOOKUP(AJ155,'FRC Site Data'!$B$3:$L$42,3,FALSE)</f>
        <v>#N/A</v>
      </c>
      <c r="T163" s="10" t="e">
        <f>VLOOKUP(AJ155,'FRC Site Data'!$B$3:$L$42,4,FALSE)</f>
        <v>#N/A</v>
      </c>
      <c r="U163" s="10" t="e">
        <f>VLOOKUP(AJ155,'FRC Site Data'!$B$3:$L$42,5,FALSE)</f>
        <v>#N/A</v>
      </c>
      <c r="V163" s="10" t="e">
        <f>VLOOKUP(AJ155,'FRC Site Data'!$B$3:$L$42,6,FALSE)</f>
        <v>#N/A</v>
      </c>
      <c r="W163" s="10" t="e">
        <f>VLOOKUP(AJ155,'FRC Site Data'!$B$3:$L$42,8,FALSE)</f>
        <v>#N/A</v>
      </c>
      <c r="X163" s="10" t="e">
        <f>VLOOKUP(AJ155,'FRC Site Data'!$B$3:$L$42,9,FALSE)</f>
        <v>#N/A</v>
      </c>
      <c r="Y163" s="10" t="e">
        <f>VLOOKUP(AJ155,'FRC Site Data'!$B$3:$L$42,10,FALSE)</f>
        <v>#N/A</v>
      </c>
      <c r="Z163" s="10" t="e">
        <f>VLOOKUP(AJ155,'FRC Site Data'!$B$3:$L$42,11,FALSE)</f>
        <v>#N/A</v>
      </c>
      <c r="AA163" s="10" t="e">
        <f>VLOOKUP(AJ155,'CIR Team Info'!$C$5:$E$44,4,FALSE)</f>
        <v>#N/A</v>
      </c>
      <c r="AB163" s="161" t="b">
        <f>ISNUMBER(VLOOKUP(AJ155,Match!$T$5:$T$10,1,FALSE))</f>
        <v>0</v>
      </c>
      <c r="AC163" s="161" t="b">
        <f>IF(AB163=TRUE,(VLOOKUP($AJ155,Match!$T$5:$U$10,2,FALSE)))</f>
        <v>0</v>
      </c>
      <c r="AD163" s="8">
        <v>3</v>
      </c>
      <c r="AE163" s="8">
        <v>2</v>
      </c>
      <c r="AF163" s="8">
        <v>2</v>
      </c>
      <c r="AG163" s="8">
        <v>1</v>
      </c>
      <c r="AH163" s="8" t="str">
        <f t="shared" si="48"/>
        <v/>
      </c>
      <c r="BA163" s="24"/>
      <c r="BC163" s="12"/>
    </row>
    <row r="164" spans="1:55" x14ac:dyDescent="0.25">
      <c r="A164" s="29">
        <f t="shared" si="33"/>
        <v>0</v>
      </c>
      <c r="B164" s="29">
        <f t="shared" si="35"/>
        <v>0</v>
      </c>
      <c r="C164" s="29">
        <f t="shared" si="36"/>
        <v>0</v>
      </c>
      <c r="D164" s="29">
        <f t="shared" si="37"/>
        <v>0</v>
      </c>
      <c r="E164" s="29">
        <f t="shared" si="34"/>
        <v>0</v>
      </c>
      <c r="F164" s="29">
        <f t="shared" si="38"/>
        <v>0</v>
      </c>
      <c r="G164" s="29" t="str">
        <f t="shared" si="39"/>
        <v>offensive</v>
      </c>
      <c r="H164" s="16">
        <f t="shared" si="40"/>
        <v>0</v>
      </c>
      <c r="I164" s="16">
        <f t="shared" si="41"/>
        <v>0</v>
      </c>
      <c r="J164" s="16">
        <f t="shared" si="42"/>
        <v>0</v>
      </c>
      <c r="K164" s="16">
        <f t="shared" si="43"/>
        <v>0</v>
      </c>
      <c r="L164" s="67">
        <f t="shared" si="44"/>
        <v>0</v>
      </c>
      <c r="M164" s="4">
        <f t="shared" si="45"/>
        <v>0</v>
      </c>
      <c r="N164" s="4">
        <f t="shared" si="46"/>
        <v>0</v>
      </c>
      <c r="O164" s="4">
        <f t="shared" si="47"/>
        <v>0</v>
      </c>
      <c r="P164" s="4" t="e">
        <f>VLOOKUP(AJ156,'CIR Team Info'!$C$5:$E$44,2,FALSE)</f>
        <v>#N/A</v>
      </c>
      <c r="Q164" s="4" t="e">
        <f>VLOOKUP(AJ156,'CIR Team Info'!$C$5:$E$44,3,FALSE)</f>
        <v>#N/A</v>
      </c>
      <c r="R164" s="10" t="e">
        <f>VLOOKUP(AJ156,'FRC Site Data'!$B$3:$L$42,2,FALSE)</f>
        <v>#N/A</v>
      </c>
      <c r="S164" s="10" t="e">
        <f>VLOOKUP(AJ156,'FRC Site Data'!$B$3:$L$42,3,FALSE)</f>
        <v>#N/A</v>
      </c>
      <c r="T164" s="10" t="e">
        <f>VLOOKUP(AJ156,'FRC Site Data'!$B$3:$L$42,4,FALSE)</f>
        <v>#N/A</v>
      </c>
      <c r="U164" s="10" t="e">
        <f>VLOOKUP(AJ156,'FRC Site Data'!$B$3:$L$42,5,FALSE)</f>
        <v>#N/A</v>
      </c>
      <c r="V164" s="10" t="e">
        <f>VLOOKUP(AJ156,'FRC Site Data'!$B$3:$L$42,6,FALSE)</f>
        <v>#N/A</v>
      </c>
      <c r="W164" s="10" t="e">
        <f>VLOOKUP(AJ156,'FRC Site Data'!$B$3:$L$42,8,FALSE)</f>
        <v>#N/A</v>
      </c>
      <c r="X164" s="10" t="e">
        <f>VLOOKUP(AJ156,'FRC Site Data'!$B$3:$L$42,9,FALSE)</f>
        <v>#N/A</v>
      </c>
      <c r="Y164" s="10" t="e">
        <f>VLOOKUP(AJ156,'FRC Site Data'!$B$3:$L$42,10,FALSE)</f>
        <v>#N/A</v>
      </c>
      <c r="Z164" s="10" t="e">
        <f>VLOOKUP(AJ156,'FRC Site Data'!$B$3:$L$42,11,FALSE)</f>
        <v>#N/A</v>
      </c>
      <c r="AA164" s="10" t="e">
        <f>VLOOKUP(AJ156,'CIR Team Info'!$C$5:$E$44,4,FALSE)</f>
        <v>#N/A</v>
      </c>
      <c r="AB164" s="161" t="b">
        <f>ISNUMBER(VLOOKUP(AJ156,Match!$T$5:$T$10,1,FALSE))</f>
        <v>0</v>
      </c>
      <c r="AC164" s="161" t="b">
        <f>IF(AB164=TRUE,(VLOOKUP($AJ156,Match!$T$5:$U$10,2,FALSE)))</f>
        <v>0</v>
      </c>
      <c r="AD164" s="8">
        <v>3</v>
      </c>
      <c r="AE164" s="8">
        <v>2</v>
      </c>
      <c r="AF164" s="8">
        <v>2</v>
      </c>
      <c r="AG164" s="8">
        <v>1</v>
      </c>
      <c r="AH164" s="8" t="str">
        <f t="shared" si="48"/>
        <v/>
      </c>
      <c r="BA164" s="24"/>
      <c r="BC164" s="12"/>
    </row>
    <row r="165" spans="1:55" x14ac:dyDescent="0.25">
      <c r="A165" s="29">
        <f t="shared" si="33"/>
        <v>0</v>
      </c>
      <c r="B165" s="29">
        <f t="shared" si="35"/>
        <v>0</v>
      </c>
      <c r="C165" s="29">
        <f t="shared" si="36"/>
        <v>0</v>
      </c>
      <c r="D165" s="29">
        <f t="shared" si="37"/>
        <v>0</v>
      </c>
      <c r="E165" s="29">
        <f t="shared" si="34"/>
        <v>0</v>
      </c>
      <c r="F165" s="29">
        <f t="shared" si="38"/>
        <v>0</v>
      </c>
      <c r="G165" s="29" t="str">
        <f t="shared" si="39"/>
        <v>offensive</v>
      </c>
      <c r="H165" s="16">
        <f t="shared" si="40"/>
        <v>0</v>
      </c>
      <c r="I165" s="16">
        <f t="shared" si="41"/>
        <v>0</v>
      </c>
      <c r="J165" s="16">
        <f t="shared" si="42"/>
        <v>0</v>
      </c>
      <c r="K165" s="16">
        <f t="shared" si="43"/>
        <v>0</v>
      </c>
      <c r="L165" s="67">
        <f t="shared" si="44"/>
        <v>0</v>
      </c>
      <c r="M165" s="4">
        <f t="shared" si="45"/>
        <v>0</v>
      </c>
      <c r="N165" s="4">
        <f t="shared" si="46"/>
        <v>0</v>
      </c>
      <c r="O165" s="4">
        <f t="shared" si="47"/>
        <v>0</v>
      </c>
      <c r="P165" s="4" t="e">
        <f>VLOOKUP(AJ157,'CIR Team Info'!$C$5:$E$44,2,FALSE)</f>
        <v>#N/A</v>
      </c>
      <c r="Q165" s="4" t="e">
        <f>VLOOKUP(AJ157,'CIR Team Info'!$C$5:$E$44,3,FALSE)</f>
        <v>#N/A</v>
      </c>
      <c r="R165" s="10" t="e">
        <f>VLOOKUP(AJ157,'FRC Site Data'!$B$3:$L$42,2,FALSE)</f>
        <v>#N/A</v>
      </c>
      <c r="S165" s="10" t="e">
        <f>VLOOKUP(AJ157,'FRC Site Data'!$B$3:$L$42,3,FALSE)</f>
        <v>#N/A</v>
      </c>
      <c r="T165" s="10" t="e">
        <f>VLOOKUP(AJ157,'FRC Site Data'!$B$3:$L$42,4,FALSE)</f>
        <v>#N/A</v>
      </c>
      <c r="U165" s="10" t="e">
        <f>VLOOKUP(AJ157,'FRC Site Data'!$B$3:$L$42,5,FALSE)</f>
        <v>#N/A</v>
      </c>
      <c r="V165" s="10" t="e">
        <f>VLOOKUP(AJ157,'FRC Site Data'!$B$3:$L$42,6,FALSE)</f>
        <v>#N/A</v>
      </c>
      <c r="W165" s="10" t="e">
        <f>VLOOKUP(AJ157,'FRC Site Data'!$B$3:$L$42,8,FALSE)</f>
        <v>#N/A</v>
      </c>
      <c r="X165" s="10" t="e">
        <f>VLOOKUP(AJ157,'FRC Site Data'!$B$3:$L$42,9,FALSE)</f>
        <v>#N/A</v>
      </c>
      <c r="Y165" s="10" t="e">
        <f>VLOOKUP(AJ157,'FRC Site Data'!$B$3:$L$42,10,FALSE)</f>
        <v>#N/A</v>
      </c>
      <c r="Z165" s="10" t="e">
        <f>VLOOKUP(AJ157,'FRC Site Data'!$B$3:$L$42,11,FALSE)</f>
        <v>#N/A</v>
      </c>
      <c r="AA165" s="10" t="e">
        <f>VLOOKUP(AJ157,'CIR Team Info'!$C$5:$E$44,4,FALSE)</f>
        <v>#N/A</v>
      </c>
      <c r="AB165" s="161" t="b">
        <f>ISNUMBER(VLOOKUP(AJ157,Match!$T$5:$T$10,1,FALSE))</f>
        <v>0</v>
      </c>
      <c r="AC165" s="161" t="b">
        <f>IF(AB165=TRUE,(VLOOKUP($AJ157,Match!$T$5:$U$10,2,FALSE)))</f>
        <v>0</v>
      </c>
      <c r="AD165" s="8">
        <v>3</v>
      </c>
      <c r="AE165" s="8">
        <v>2</v>
      </c>
      <c r="AF165" s="8">
        <v>2</v>
      </c>
      <c r="AG165" s="8">
        <v>1</v>
      </c>
      <c r="AH165" s="8" t="str">
        <f t="shared" si="48"/>
        <v/>
      </c>
      <c r="BA165" s="24"/>
      <c r="BC165" s="12"/>
    </row>
    <row r="166" spans="1:55" x14ac:dyDescent="0.25">
      <c r="A166" s="29">
        <f t="shared" si="33"/>
        <v>0</v>
      </c>
      <c r="B166" s="29">
        <f t="shared" si="35"/>
        <v>0</v>
      </c>
      <c r="C166" s="29">
        <f t="shared" si="36"/>
        <v>0</v>
      </c>
      <c r="D166" s="29">
        <f t="shared" si="37"/>
        <v>0</v>
      </c>
      <c r="E166" s="29">
        <f t="shared" si="34"/>
        <v>0</v>
      </c>
      <c r="F166" s="29">
        <f t="shared" si="38"/>
        <v>0</v>
      </c>
      <c r="G166" s="29" t="str">
        <f t="shared" si="39"/>
        <v>offensive</v>
      </c>
      <c r="H166" s="16">
        <f t="shared" si="40"/>
        <v>0</v>
      </c>
      <c r="I166" s="16">
        <f t="shared" si="41"/>
        <v>0</v>
      </c>
      <c r="J166" s="16">
        <f t="shared" si="42"/>
        <v>0</v>
      </c>
      <c r="K166" s="16">
        <f t="shared" si="43"/>
        <v>0</v>
      </c>
      <c r="L166" s="67">
        <f t="shared" si="44"/>
        <v>0</v>
      </c>
      <c r="M166" s="4">
        <f t="shared" si="45"/>
        <v>0</v>
      </c>
      <c r="N166" s="4">
        <f t="shared" si="46"/>
        <v>0</v>
      </c>
      <c r="O166" s="4">
        <f t="shared" si="47"/>
        <v>0</v>
      </c>
      <c r="P166" s="4" t="e">
        <f>VLOOKUP(AJ158,'CIR Team Info'!$C$5:$E$44,2,FALSE)</f>
        <v>#N/A</v>
      </c>
      <c r="Q166" s="4" t="e">
        <f>VLOOKUP(AJ158,'CIR Team Info'!$C$5:$E$44,3,FALSE)</f>
        <v>#N/A</v>
      </c>
      <c r="R166" s="10" t="e">
        <f>VLOOKUP(AJ158,'FRC Site Data'!$B$3:$L$42,2,FALSE)</f>
        <v>#N/A</v>
      </c>
      <c r="S166" s="10" t="e">
        <f>VLOOKUP(AJ158,'FRC Site Data'!$B$3:$L$42,3,FALSE)</f>
        <v>#N/A</v>
      </c>
      <c r="T166" s="10" t="e">
        <f>VLOOKUP(AJ158,'FRC Site Data'!$B$3:$L$42,4,FALSE)</f>
        <v>#N/A</v>
      </c>
      <c r="U166" s="10" t="e">
        <f>VLOOKUP(AJ158,'FRC Site Data'!$B$3:$L$42,5,FALSE)</f>
        <v>#N/A</v>
      </c>
      <c r="V166" s="10" t="e">
        <f>VLOOKUP(AJ158,'FRC Site Data'!$B$3:$L$42,6,FALSE)</f>
        <v>#N/A</v>
      </c>
      <c r="W166" s="10" t="e">
        <f>VLOOKUP(AJ158,'FRC Site Data'!$B$3:$L$42,8,FALSE)</f>
        <v>#N/A</v>
      </c>
      <c r="X166" s="10" t="e">
        <f>VLOOKUP(AJ158,'FRC Site Data'!$B$3:$L$42,9,FALSE)</f>
        <v>#N/A</v>
      </c>
      <c r="Y166" s="10" t="e">
        <f>VLOOKUP(AJ158,'FRC Site Data'!$B$3:$L$42,10,FALSE)</f>
        <v>#N/A</v>
      </c>
      <c r="Z166" s="10" t="e">
        <f>VLOOKUP(AJ158,'FRC Site Data'!$B$3:$L$42,11,FALSE)</f>
        <v>#N/A</v>
      </c>
      <c r="AA166" s="10" t="e">
        <f>VLOOKUP(AJ158,'CIR Team Info'!$C$5:$E$44,4,FALSE)</f>
        <v>#N/A</v>
      </c>
      <c r="AB166" s="161" t="b">
        <f>ISNUMBER(VLOOKUP(AJ158,Match!$T$5:$T$10,1,FALSE))</f>
        <v>0</v>
      </c>
      <c r="AC166" s="161" t="b">
        <f>IF(AB166=TRUE,(VLOOKUP($AJ158,Match!$T$5:$U$10,2,FALSE)))</f>
        <v>0</v>
      </c>
      <c r="AD166" s="8">
        <v>3</v>
      </c>
      <c r="AE166" s="8">
        <v>2</v>
      </c>
      <c r="AF166" s="8">
        <v>2</v>
      </c>
      <c r="AG166" s="8">
        <v>1</v>
      </c>
      <c r="AH166" s="8" t="str">
        <f t="shared" si="48"/>
        <v/>
      </c>
      <c r="BA166" s="24"/>
      <c r="BC166" s="12"/>
    </row>
    <row r="167" spans="1:55" x14ac:dyDescent="0.25">
      <c r="A167" s="29">
        <f t="shared" si="33"/>
        <v>0</v>
      </c>
      <c r="B167" s="29">
        <f t="shared" si="35"/>
        <v>0</v>
      </c>
      <c r="C167" s="29">
        <f t="shared" si="36"/>
        <v>0</v>
      </c>
      <c r="D167" s="29">
        <f t="shared" si="37"/>
        <v>0</v>
      </c>
      <c r="E167" s="29">
        <f t="shared" si="34"/>
        <v>0</v>
      </c>
      <c r="F167" s="29">
        <f t="shared" si="38"/>
        <v>0</v>
      </c>
      <c r="G167" s="29" t="str">
        <f t="shared" si="39"/>
        <v>offensive</v>
      </c>
      <c r="H167" s="16">
        <f t="shared" si="40"/>
        <v>0</v>
      </c>
      <c r="I167" s="16">
        <f t="shared" si="41"/>
        <v>0</v>
      </c>
      <c r="J167" s="16">
        <f t="shared" si="42"/>
        <v>0</v>
      </c>
      <c r="K167" s="16">
        <f t="shared" si="43"/>
        <v>0</v>
      </c>
      <c r="L167" s="67">
        <f t="shared" si="44"/>
        <v>0</v>
      </c>
      <c r="M167" s="4">
        <f t="shared" si="45"/>
        <v>0</v>
      </c>
      <c r="N167" s="4">
        <f t="shared" si="46"/>
        <v>0</v>
      </c>
      <c r="O167" s="4">
        <f t="shared" si="47"/>
        <v>0</v>
      </c>
      <c r="P167" s="4" t="e">
        <f>VLOOKUP(AJ159,'CIR Team Info'!$C$5:$E$44,2,FALSE)</f>
        <v>#N/A</v>
      </c>
      <c r="Q167" s="4" t="e">
        <f>VLOOKUP(AJ159,'CIR Team Info'!$C$5:$E$44,3,FALSE)</f>
        <v>#N/A</v>
      </c>
      <c r="R167" s="10" t="e">
        <f>VLOOKUP(AJ159,'FRC Site Data'!$B$3:$L$42,2,FALSE)</f>
        <v>#N/A</v>
      </c>
      <c r="S167" s="10" t="e">
        <f>VLOOKUP(AJ159,'FRC Site Data'!$B$3:$L$42,3,FALSE)</f>
        <v>#N/A</v>
      </c>
      <c r="T167" s="10" t="e">
        <f>VLOOKUP(AJ159,'FRC Site Data'!$B$3:$L$42,4,FALSE)</f>
        <v>#N/A</v>
      </c>
      <c r="U167" s="10" t="e">
        <f>VLOOKUP(AJ159,'FRC Site Data'!$B$3:$L$42,5,FALSE)</f>
        <v>#N/A</v>
      </c>
      <c r="V167" s="10" t="e">
        <f>VLOOKUP(AJ159,'FRC Site Data'!$B$3:$L$42,6,FALSE)</f>
        <v>#N/A</v>
      </c>
      <c r="W167" s="10" t="e">
        <f>VLOOKUP(AJ159,'FRC Site Data'!$B$3:$L$42,8,FALSE)</f>
        <v>#N/A</v>
      </c>
      <c r="X167" s="10" t="e">
        <f>VLOOKUP(AJ159,'FRC Site Data'!$B$3:$L$42,9,FALSE)</f>
        <v>#N/A</v>
      </c>
      <c r="Y167" s="10" t="e">
        <f>VLOOKUP(AJ159,'FRC Site Data'!$B$3:$L$42,10,FALSE)</f>
        <v>#N/A</v>
      </c>
      <c r="Z167" s="10" t="e">
        <f>VLOOKUP(AJ159,'FRC Site Data'!$B$3:$L$42,11,FALSE)</f>
        <v>#N/A</v>
      </c>
      <c r="AA167" s="10" t="e">
        <f>VLOOKUP(AJ159,'CIR Team Info'!$C$5:$E$44,4,FALSE)</f>
        <v>#N/A</v>
      </c>
      <c r="AB167" s="161" t="b">
        <f>ISNUMBER(VLOOKUP(AJ159,Match!$T$5:$T$10,1,FALSE))</f>
        <v>0</v>
      </c>
      <c r="AC167" s="161" t="b">
        <f>IF(AB167=TRUE,(VLOOKUP($AJ159,Match!$T$5:$U$10,2,FALSE)))</f>
        <v>0</v>
      </c>
      <c r="AD167" s="8">
        <v>3</v>
      </c>
      <c r="AE167" s="8">
        <v>2</v>
      </c>
      <c r="AF167" s="8">
        <v>2</v>
      </c>
      <c r="AG167" s="8">
        <v>1</v>
      </c>
      <c r="AH167" s="8" t="str">
        <f t="shared" si="48"/>
        <v/>
      </c>
      <c r="BA167" s="24"/>
      <c r="BC167" s="12"/>
    </row>
    <row r="168" spans="1:55" x14ac:dyDescent="0.25">
      <c r="A168" s="29">
        <f t="shared" si="33"/>
        <v>0</v>
      </c>
      <c r="B168" s="29">
        <f t="shared" si="35"/>
        <v>0</v>
      </c>
      <c r="C168" s="29">
        <f t="shared" si="36"/>
        <v>0</v>
      </c>
      <c r="D168" s="29">
        <f t="shared" si="37"/>
        <v>0</v>
      </c>
      <c r="E168" s="29">
        <f t="shared" si="34"/>
        <v>0</v>
      </c>
      <c r="F168" s="29">
        <f t="shared" si="38"/>
        <v>0</v>
      </c>
      <c r="G168" s="29" t="str">
        <f t="shared" si="39"/>
        <v>offensive</v>
      </c>
      <c r="H168" s="16">
        <f t="shared" si="40"/>
        <v>0</v>
      </c>
      <c r="I168" s="16">
        <f t="shared" si="41"/>
        <v>0</v>
      </c>
      <c r="J168" s="16">
        <f t="shared" si="42"/>
        <v>0</v>
      </c>
      <c r="K168" s="16">
        <f t="shared" si="43"/>
        <v>0</v>
      </c>
      <c r="L168" s="67">
        <f t="shared" si="44"/>
        <v>0</v>
      </c>
      <c r="M168" s="4">
        <f t="shared" si="45"/>
        <v>0</v>
      </c>
      <c r="N168" s="4">
        <f t="shared" si="46"/>
        <v>0</v>
      </c>
      <c r="O168" s="4">
        <f t="shared" si="47"/>
        <v>0</v>
      </c>
      <c r="P168" s="4" t="e">
        <f>VLOOKUP(AJ160,'CIR Team Info'!$C$5:$E$44,2,FALSE)</f>
        <v>#N/A</v>
      </c>
      <c r="Q168" s="4" t="e">
        <f>VLOOKUP(AJ160,'CIR Team Info'!$C$5:$E$44,3,FALSE)</f>
        <v>#N/A</v>
      </c>
      <c r="R168" s="10" t="e">
        <f>VLOOKUP(AJ160,'FRC Site Data'!$B$3:$L$42,2,FALSE)</f>
        <v>#N/A</v>
      </c>
      <c r="S168" s="10" t="e">
        <f>VLOOKUP(AJ160,'FRC Site Data'!$B$3:$L$42,3,FALSE)</f>
        <v>#N/A</v>
      </c>
      <c r="T168" s="10" t="e">
        <f>VLOOKUP(AJ160,'FRC Site Data'!$B$3:$L$42,4,FALSE)</f>
        <v>#N/A</v>
      </c>
      <c r="U168" s="10" t="e">
        <f>VLOOKUP(AJ160,'FRC Site Data'!$B$3:$L$42,5,FALSE)</f>
        <v>#N/A</v>
      </c>
      <c r="V168" s="10" t="e">
        <f>VLOOKUP(AJ160,'FRC Site Data'!$B$3:$L$42,6,FALSE)</f>
        <v>#N/A</v>
      </c>
      <c r="W168" s="10" t="e">
        <f>VLOOKUP(AJ160,'FRC Site Data'!$B$3:$L$42,8,FALSE)</f>
        <v>#N/A</v>
      </c>
      <c r="X168" s="10" t="e">
        <f>VLOOKUP(AJ160,'FRC Site Data'!$B$3:$L$42,9,FALSE)</f>
        <v>#N/A</v>
      </c>
      <c r="Y168" s="10" t="e">
        <f>VLOOKUP(AJ160,'FRC Site Data'!$B$3:$L$42,10,FALSE)</f>
        <v>#N/A</v>
      </c>
      <c r="Z168" s="10" t="e">
        <f>VLOOKUP(AJ160,'FRC Site Data'!$B$3:$L$42,11,FALSE)</f>
        <v>#N/A</v>
      </c>
      <c r="AA168" s="10" t="e">
        <f>VLOOKUP(AJ160,'CIR Team Info'!$C$5:$E$44,4,FALSE)</f>
        <v>#N/A</v>
      </c>
      <c r="AB168" s="161" t="b">
        <f>ISNUMBER(VLOOKUP(AJ160,Match!$T$5:$T$10,1,FALSE))</f>
        <v>0</v>
      </c>
      <c r="AC168" s="161" t="b">
        <f>IF(AB168=TRUE,(VLOOKUP($AJ160,Match!$T$5:$U$10,2,FALSE)))</f>
        <v>0</v>
      </c>
      <c r="AD168" s="8">
        <v>3</v>
      </c>
      <c r="AE168" s="8">
        <v>2</v>
      </c>
      <c r="AF168" s="8">
        <v>2</v>
      </c>
      <c r="AG168" s="8">
        <v>1</v>
      </c>
      <c r="AH168" s="8" t="str">
        <f t="shared" si="48"/>
        <v/>
      </c>
      <c r="BA168" s="24"/>
      <c r="BC168" s="12"/>
    </row>
    <row r="169" spans="1:55" x14ac:dyDescent="0.25">
      <c r="A169" s="29">
        <f t="shared" si="33"/>
        <v>0</v>
      </c>
      <c r="B169" s="29">
        <f t="shared" si="35"/>
        <v>0</v>
      </c>
      <c r="C169" s="29">
        <f t="shared" si="36"/>
        <v>0</v>
      </c>
      <c r="D169" s="29">
        <f t="shared" si="37"/>
        <v>0</v>
      </c>
      <c r="E169" s="29">
        <f t="shared" si="34"/>
        <v>0</v>
      </c>
      <c r="F169" s="29">
        <f t="shared" si="38"/>
        <v>0</v>
      </c>
      <c r="G169" s="29" t="str">
        <f t="shared" si="39"/>
        <v>offensive</v>
      </c>
      <c r="H169" s="16">
        <f t="shared" si="40"/>
        <v>0</v>
      </c>
      <c r="I169" s="16">
        <f t="shared" si="41"/>
        <v>0</v>
      </c>
      <c r="J169" s="16">
        <f t="shared" si="42"/>
        <v>0</v>
      </c>
      <c r="K169" s="16">
        <f t="shared" si="43"/>
        <v>0</v>
      </c>
      <c r="L169" s="67">
        <f t="shared" si="44"/>
        <v>0</v>
      </c>
      <c r="M169" s="4">
        <f t="shared" si="45"/>
        <v>0</v>
      </c>
      <c r="N169" s="4">
        <f t="shared" si="46"/>
        <v>0</v>
      </c>
      <c r="O169" s="4">
        <f t="shared" si="47"/>
        <v>0</v>
      </c>
      <c r="P169" s="4" t="e">
        <f>VLOOKUP(AJ161,'CIR Team Info'!$C$5:$E$44,2,FALSE)</f>
        <v>#N/A</v>
      </c>
      <c r="Q169" s="4" t="e">
        <f>VLOOKUP(AJ161,'CIR Team Info'!$C$5:$E$44,3,FALSE)</f>
        <v>#N/A</v>
      </c>
      <c r="R169" s="10" t="e">
        <f>VLOOKUP(AJ161,'FRC Site Data'!$B$3:$L$42,2,FALSE)</f>
        <v>#N/A</v>
      </c>
      <c r="S169" s="10" t="e">
        <f>VLOOKUP(AJ161,'FRC Site Data'!$B$3:$L$42,3,FALSE)</f>
        <v>#N/A</v>
      </c>
      <c r="T169" s="10" t="e">
        <f>VLOOKUP(AJ161,'FRC Site Data'!$B$3:$L$42,4,FALSE)</f>
        <v>#N/A</v>
      </c>
      <c r="U169" s="10" t="e">
        <f>VLOOKUP(AJ161,'FRC Site Data'!$B$3:$L$42,5,FALSE)</f>
        <v>#N/A</v>
      </c>
      <c r="V169" s="10" t="e">
        <f>VLOOKUP(AJ161,'FRC Site Data'!$B$3:$L$42,6,FALSE)</f>
        <v>#N/A</v>
      </c>
      <c r="W169" s="10" t="e">
        <f>VLOOKUP(AJ161,'FRC Site Data'!$B$3:$L$42,8,FALSE)</f>
        <v>#N/A</v>
      </c>
      <c r="X169" s="10" t="e">
        <f>VLOOKUP(AJ161,'FRC Site Data'!$B$3:$L$42,9,FALSE)</f>
        <v>#N/A</v>
      </c>
      <c r="Y169" s="10" t="e">
        <f>VLOOKUP(AJ161,'FRC Site Data'!$B$3:$L$42,10,FALSE)</f>
        <v>#N/A</v>
      </c>
      <c r="Z169" s="10" t="e">
        <f>VLOOKUP(AJ161,'FRC Site Data'!$B$3:$L$42,11,FALSE)</f>
        <v>#N/A</v>
      </c>
      <c r="AA169" s="10" t="e">
        <f>VLOOKUP(AJ161,'CIR Team Info'!$C$5:$E$44,4,FALSE)</f>
        <v>#N/A</v>
      </c>
      <c r="AB169" s="161" t="b">
        <f>ISNUMBER(VLOOKUP(AJ161,Match!$T$5:$T$10,1,FALSE))</f>
        <v>0</v>
      </c>
      <c r="AC169" s="161" t="b">
        <f>IF(AB169=TRUE,(VLOOKUP($AJ161,Match!$T$5:$U$10,2,FALSE)))</f>
        <v>0</v>
      </c>
      <c r="AD169" s="8">
        <v>3</v>
      </c>
      <c r="AE169" s="8">
        <v>2</v>
      </c>
      <c r="AF169" s="8">
        <v>2</v>
      </c>
      <c r="AG169" s="8">
        <v>1</v>
      </c>
      <c r="AH169" s="8" t="str">
        <f t="shared" si="48"/>
        <v/>
      </c>
      <c r="BA169" s="24"/>
      <c r="BC169" s="12"/>
    </row>
    <row r="170" spans="1:55" x14ac:dyDescent="0.25">
      <c r="A170" s="29">
        <f t="shared" si="33"/>
        <v>0</v>
      </c>
      <c r="B170" s="29">
        <f t="shared" si="35"/>
        <v>0</v>
      </c>
      <c r="C170" s="29">
        <f t="shared" si="36"/>
        <v>0</v>
      </c>
      <c r="D170" s="29">
        <f t="shared" si="37"/>
        <v>0</v>
      </c>
      <c r="E170" s="29">
        <f t="shared" si="34"/>
        <v>0</v>
      </c>
      <c r="F170" s="29">
        <f t="shared" si="38"/>
        <v>0</v>
      </c>
      <c r="G170" s="29" t="str">
        <f t="shared" si="39"/>
        <v>offensive</v>
      </c>
      <c r="H170" s="16">
        <f t="shared" si="40"/>
        <v>0</v>
      </c>
      <c r="I170" s="16">
        <f t="shared" si="41"/>
        <v>0</v>
      </c>
      <c r="J170" s="16">
        <f t="shared" si="42"/>
        <v>0</v>
      </c>
      <c r="K170" s="16">
        <f t="shared" si="43"/>
        <v>0</v>
      </c>
      <c r="L170" s="67">
        <f t="shared" si="44"/>
        <v>0</v>
      </c>
      <c r="M170" s="4">
        <f t="shared" si="45"/>
        <v>0</v>
      </c>
      <c r="N170" s="4">
        <f t="shared" si="46"/>
        <v>0</v>
      </c>
      <c r="O170" s="4">
        <f t="shared" si="47"/>
        <v>0</v>
      </c>
      <c r="P170" s="4" t="e">
        <f>VLOOKUP(AJ162,'CIR Team Info'!$C$5:$E$44,2,FALSE)</f>
        <v>#N/A</v>
      </c>
      <c r="Q170" s="4" t="e">
        <f>VLOOKUP(AJ162,'CIR Team Info'!$C$5:$E$44,3,FALSE)</f>
        <v>#N/A</v>
      </c>
      <c r="R170" s="10" t="e">
        <f>VLOOKUP(AJ162,'FRC Site Data'!$B$3:$L$42,2,FALSE)</f>
        <v>#N/A</v>
      </c>
      <c r="S170" s="10" t="e">
        <f>VLOOKUP(AJ162,'FRC Site Data'!$B$3:$L$42,3,FALSE)</f>
        <v>#N/A</v>
      </c>
      <c r="T170" s="10" t="e">
        <f>VLOOKUP(AJ162,'FRC Site Data'!$B$3:$L$42,4,FALSE)</f>
        <v>#N/A</v>
      </c>
      <c r="U170" s="10" t="e">
        <f>VLOOKUP(AJ162,'FRC Site Data'!$B$3:$L$42,5,FALSE)</f>
        <v>#N/A</v>
      </c>
      <c r="V170" s="10" t="e">
        <f>VLOOKUP(AJ162,'FRC Site Data'!$B$3:$L$42,6,FALSE)</f>
        <v>#N/A</v>
      </c>
      <c r="W170" s="10" t="e">
        <f>VLOOKUP(AJ162,'FRC Site Data'!$B$3:$L$42,8,FALSE)</f>
        <v>#N/A</v>
      </c>
      <c r="X170" s="10" t="e">
        <f>VLOOKUP(AJ162,'FRC Site Data'!$B$3:$L$42,9,FALSE)</f>
        <v>#N/A</v>
      </c>
      <c r="Y170" s="10" t="e">
        <f>VLOOKUP(AJ162,'FRC Site Data'!$B$3:$L$42,10,FALSE)</f>
        <v>#N/A</v>
      </c>
      <c r="Z170" s="10" t="e">
        <f>VLOOKUP(AJ162,'FRC Site Data'!$B$3:$L$42,11,FALSE)</f>
        <v>#N/A</v>
      </c>
      <c r="AA170" s="10" t="e">
        <f>VLOOKUP(AJ162,'CIR Team Info'!$C$5:$E$44,4,FALSE)</f>
        <v>#N/A</v>
      </c>
      <c r="AB170" s="161" t="b">
        <f>ISNUMBER(VLOOKUP(AJ162,Match!$T$5:$T$10,1,FALSE))</f>
        <v>0</v>
      </c>
      <c r="AC170" s="161" t="b">
        <f>IF(AB170=TRUE,(VLOOKUP($AJ162,Match!$T$5:$U$10,2,FALSE)))</f>
        <v>0</v>
      </c>
      <c r="AD170" s="8">
        <v>3</v>
      </c>
      <c r="AE170" s="8">
        <v>2</v>
      </c>
      <c r="AF170" s="8">
        <v>2</v>
      </c>
      <c r="AG170" s="8">
        <v>1</v>
      </c>
      <c r="AH170" s="8" t="str">
        <f t="shared" si="48"/>
        <v/>
      </c>
      <c r="BA170" s="24"/>
      <c r="BC170" s="12"/>
    </row>
    <row r="171" spans="1:55" x14ac:dyDescent="0.25">
      <c r="A171" s="29">
        <f t="shared" si="33"/>
        <v>0</v>
      </c>
      <c r="B171" s="29">
        <f t="shared" si="35"/>
        <v>0</v>
      </c>
      <c r="C171" s="29">
        <f t="shared" si="36"/>
        <v>0</v>
      </c>
      <c r="D171" s="29">
        <f t="shared" si="37"/>
        <v>0</v>
      </c>
      <c r="E171" s="29">
        <f t="shared" si="34"/>
        <v>0</v>
      </c>
      <c r="F171" s="29">
        <f t="shared" si="38"/>
        <v>0</v>
      </c>
      <c r="G171" s="29" t="str">
        <f t="shared" si="39"/>
        <v>offensive</v>
      </c>
      <c r="H171" s="16">
        <f t="shared" si="40"/>
        <v>0</v>
      </c>
      <c r="I171" s="16">
        <f t="shared" si="41"/>
        <v>0</v>
      </c>
      <c r="J171" s="16">
        <f t="shared" si="42"/>
        <v>0</v>
      </c>
      <c r="K171" s="16">
        <f t="shared" si="43"/>
        <v>0</v>
      </c>
      <c r="L171" s="67">
        <f t="shared" si="44"/>
        <v>0</v>
      </c>
      <c r="M171" s="4">
        <f t="shared" si="45"/>
        <v>0</v>
      </c>
      <c r="N171" s="4">
        <f t="shared" si="46"/>
        <v>0</v>
      </c>
      <c r="O171" s="4">
        <f t="shared" si="47"/>
        <v>0</v>
      </c>
      <c r="P171" s="4" t="e">
        <f>VLOOKUP(AJ163,'CIR Team Info'!$C$5:$E$44,2,FALSE)</f>
        <v>#N/A</v>
      </c>
      <c r="Q171" s="4" t="e">
        <f>VLOOKUP(AJ163,'CIR Team Info'!$C$5:$E$44,3,FALSE)</f>
        <v>#N/A</v>
      </c>
      <c r="R171" s="10" t="e">
        <f>VLOOKUP(AJ163,'FRC Site Data'!$B$3:$L$42,2,FALSE)</f>
        <v>#N/A</v>
      </c>
      <c r="S171" s="10" t="e">
        <f>VLOOKUP(AJ163,'FRC Site Data'!$B$3:$L$42,3,FALSE)</f>
        <v>#N/A</v>
      </c>
      <c r="T171" s="10" t="e">
        <f>VLOOKUP(AJ163,'FRC Site Data'!$B$3:$L$42,4,FALSE)</f>
        <v>#N/A</v>
      </c>
      <c r="U171" s="10" t="e">
        <f>VLOOKUP(AJ163,'FRC Site Data'!$B$3:$L$42,5,FALSE)</f>
        <v>#N/A</v>
      </c>
      <c r="V171" s="10" t="e">
        <f>VLOOKUP(AJ163,'FRC Site Data'!$B$3:$L$42,6,FALSE)</f>
        <v>#N/A</v>
      </c>
      <c r="W171" s="10" t="e">
        <f>VLOOKUP(AJ163,'FRC Site Data'!$B$3:$L$42,8,FALSE)</f>
        <v>#N/A</v>
      </c>
      <c r="X171" s="10" t="e">
        <f>VLOOKUP(AJ163,'FRC Site Data'!$B$3:$L$42,9,FALSE)</f>
        <v>#N/A</v>
      </c>
      <c r="Y171" s="10" t="e">
        <f>VLOOKUP(AJ163,'FRC Site Data'!$B$3:$L$42,10,FALSE)</f>
        <v>#N/A</v>
      </c>
      <c r="Z171" s="10" t="e">
        <f>VLOOKUP(AJ163,'FRC Site Data'!$B$3:$L$42,11,FALSE)</f>
        <v>#N/A</v>
      </c>
      <c r="AA171" s="10" t="e">
        <f>VLOOKUP(AJ163,'CIR Team Info'!$C$5:$E$44,4,FALSE)</f>
        <v>#N/A</v>
      </c>
      <c r="AB171" s="161" t="b">
        <f>ISNUMBER(VLOOKUP(AJ163,Match!$T$5:$T$10,1,FALSE))</f>
        <v>0</v>
      </c>
      <c r="AC171" s="161" t="b">
        <f>IF(AB171=TRUE,(VLOOKUP($AJ163,Match!$T$5:$U$10,2,FALSE)))</f>
        <v>0</v>
      </c>
      <c r="AD171" s="8">
        <v>3</v>
      </c>
      <c r="AE171" s="8">
        <v>2</v>
      </c>
      <c r="AF171" s="8">
        <v>2</v>
      </c>
      <c r="AG171" s="8">
        <v>1</v>
      </c>
      <c r="AH171" s="8" t="str">
        <f t="shared" si="48"/>
        <v/>
      </c>
      <c r="BA171" s="24"/>
      <c r="BC171" s="12"/>
    </row>
    <row r="172" spans="1:55" x14ac:dyDescent="0.25">
      <c r="A172" s="29">
        <f t="shared" si="33"/>
        <v>0</v>
      </c>
      <c r="B172" s="29">
        <f t="shared" si="35"/>
        <v>0</v>
      </c>
      <c r="C172" s="29">
        <f t="shared" si="36"/>
        <v>0</v>
      </c>
      <c r="D172" s="29">
        <f t="shared" si="37"/>
        <v>0</v>
      </c>
      <c r="E172" s="29">
        <f t="shared" si="34"/>
        <v>0</v>
      </c>
      <c r="F172" s="29">
        <f t="shared" si="38"/>
        <v>0</v>
      </c>
      <c r="G172" s="29" t="str">
        <f t="shared" si="39"/>
        <v>offensive</v>
      </c>
      <c r="H172" s="16">
        <f t="shared" si="40"/>
        <v>0</v>
      </c>
      <c r="I172" s="16">
        <f t="shared" si="41"/>
        <v>0</v>
      </c>
      <c r="J172" s="16">
        <f t="shared" si="42"/>
        <v>0</v>
      </c>
      <c r="K172" s="16">
        <f t="shared" si="43"/>
        <v>0</v>
      </c>
      <c r="L172" s="67">
        <f t="shared" si="44"/>
        <v>0</v>
      </c>
      <c r="M172" s="4">
        <f t="shared" si="45"/>
        <v>0</v>
      </c>
      <c r="N172" s="4">
        <f t="shared" si="46"/>
        <v>0</v>
      </c>
      <c r="O172" s="4">
        <f t="shared" si="47"/>
        <v>0</v>
      </c>
      <c r="P172" s="4" t="e">
        <f>VLOOKUP(AJ164,'CIR Team Info'!$C$5:$E$44,2,FALSE)</f>
        <v>#N/A</v>
      </c>
      <c r="Q172" s="4" t="e">
        <f>VLOOKUP(AJ164,'CIR Team Info'!$C$5:$E$44,3,FALSE)</f>
        <v>#N/A</v>
      </c>
      <c r="R172" s="10" t="e">
        <f>VLOOKUP(AJ164,'FRC Site Data'!$B$3:$L$42,2,FALSE)</f>
        <v>#N/A</v>
      </c>
      <c r="S172" s="10" t="e">
        <f>VLOOKUP(AJ164,'FRC Site Data'!$B$3:$L$42,3,FALSE)</f>
        <v>#N/A</v>
      </c>
      <c r="T172" s="10" t="e">
        <f>VLOOKUP(AJ164,'FRC Site Data'!$B$3:$L$42,4,FALSE)</f>
        <v>#N/A</v>
      </c>
      <c r="U172" s="10" t="e">
        <f>VLOOKUP(AJ164,'FRC Site Data'!$B$3:$L$42,5,FALSE)</f>
        <v>#N/A</v>
      </c>
      <c r="V172" s="10" t="e">
        <f>VLOOKUP(AJ164,'FRC Site Data'!$B$3:$L$42,6,FALSE)</f>
        <v>#N/A</v>
      </c>
      <c r="W172" s="10" t="e">
        <f>VLOOKUP(AJ164,'FRC Site Data'!$B$3:$L$42,8,FALSE)</f>
        <v>#N/A</v>
      </c>
      <c r="X172" s="10" t="e">
        <f>VLOOKUP(AJ164,'FRC Site Data'!$B$3:$L$42,9,FALSE)</f>
        <v>#N/A</v>
      </c>
      <c r="Y172" s="10" t="e">
        <f>VLOOKUP(AJ164,'FRC Site Data'!$B$3:$L$42,10,FALSE)</f>
        <v>#N/A</v>
      </c>
      <c r="Z172" s="10" t="e">
        <f>VLOOKUP(AJ164,'FRC Site Data'!$B$3:$L$42,11,FALSE)</f>
        <v>#N/A</v>
      </c>
      <c r="AA172" s="10" t="e">
        <f>VLOOKUP(AJ164,'CIR Team Info'!$C$5:$E$44,4,FALSE)</f>
        <v>#N/A</v>
      </c>
      <c r="AB172" s="161" t="b">
        <f>ISNUMBER(VLOOKUP(AJ164,Match!$T$5:$T$10,1,FALSE))</f>
        <v>0</v>
      </c>
      <c r="AC172" s="161" t="b">
        <f>IF(AB172=TRUE,(VLOOKUP($AJ164,Match!$T$5:$U$10,2,FALSE)))</f>
        <v>0</v>
      </c>
      <c r="AD172" s="8">
        <v>3</v>
      </c>
      <c r="AE172" s="8">
        <v>2</v>
      </c>
      <c r="AF172" s="8">
        <v>2</v>
      </c>
      <c r="AG172" s="8">
        <v>1</v>
      </c>
      <c r="AH172" s="8" t="str">
        <f t="shared" si="48"/>
        <v/>
      </c>
      <c r="BA172" s="24"/>
      <c r="BC172" s="12"/>
    </row>
    <row r="173" spans="1:55" x14ac:dyDescent="0.25">
      <c r="A173" s="29">
        <f t="shared" si="33"/>
        <v>0</v>
      </c>
      <c r="B173" s="29">
        <f t="shared" si="35"/>
        <v>0</v>
      </c>
      <c r="C173" s="29">
        <f t="shared" si="36"/>
        <v>0</v>
      </c>
      <c r="D173" s="29">
        <f t="shared" si="37"/>
        <v>0</v>
      </c>
      <c r="E173" s="29">
        <f t="shared" si="34"/>
        <v>0</v>
      </c>
      <c r="F173" s="29">
        <f t="shared" si="38"/>
        <v>0</v>
      </c>
      <c r="G173" s="29" t="str">
        <f t="shared" si="39"/>
        <v>offensive</v>
      </c>
      <c r="H173" s="16">
        <f t="shared" si="40"/>
        <v>0</v>
      </c>
      <c r="I173" s="16">
        <f t="shared" si="41"/>
        <v>0</v>
      </c>
      <c r="J173" s="16">
        <f t="shared" si="42"/>
        <v>0</v>
      </c>
      <c r="K173" s="16">
        <f t="shared" si="43"/>
        <v>0</v>
      </c>
      <c r="L173" s="67">
        <f t="shared" si="44"/>
        <v>0</v>
      </c>
      <c r="M173" s="4">
        <f t="shared" si="45"/>
        <v>0</v>
      </c>
      <c r="N173" s="4">
        <f t="shared" si="46"/>
        <v>0</v>
      </c>
      <c r="O173" s="4">
        <f t="shared" si="47"/>
        <v>0</v>
      </c>
      <c r="P173" s="4" t="e">
        <f>VLOOKUP(AJ165,'CIR Team Info'!$C$5:$E$44,2,FALSE)</f>
        <v>#N/A</v>
      </c>
      <c r="Q173" s="4" t="e">
        <f>VLOOKUP(AJ165,'CIR Team Info'!$C$5:$E$44,3,FALSE)</f>
        <v>#N/A</v>
      </c>
      <c r="R173" s="10" t="e">
        <f>VLOOKUP(AJ165,'FRC Site Data'!$B$3:$L$42,2,FALSE)</f>
        <v>#N/A</v>
      </c>
      <c r="S173" s="10" t="e">
        <f>VLOOKUP(AJ165,'FRC Site Data'!$B$3:$L$42,3,FALSE)</f>
        <v>#N/A</v>
      </c>
      <c r="T173" s="10" t="e">
        <f>VLOOKUP(AJ165,'FRC Site Data'!$B$3:$L$42,4,FALSE)</f>
        <v>#N/A</v>
      </c>
      <c r="U173" s="10" t="e">
        <f>VLOOKUP(AJ165,'FRC Site Data'!$B$3:$L$42,5,FALSE)</f>
        <v>#N/A</v>
      </c>
      <c r="V173" s="10" t="e">
        <f>VLOOKUP(AJ165,'FRC Site Data'!$B$3:$L$42,6,FALSE)</f>
        <v>#N/A</v>
      </c>
      <c r="W173" s="10" t="e">
        <f>VLOOKUP(AJ165,'FRC Site Data'!$B$3:$L$42,8,FALSE)</f>
        <v>#N/A</v>
      </c>
      <c r="X173" s="10" t="e">
        <f>VLOOKUP(AJ165,'FRC Site Data'!$B$3:$L$42,9,FALSE)</f>
        <v>#N/A</v>
      </c>
      <c r="Y173" s="10" t="e">
        <f>VLOOKUP(AJ165,'FRC Site Data'!$B$3:$L$42,10,FALSE)</f>
        <v>#N/A</v>
      </c>
      <c r="Z173" s="10" t="e">
        <f>VLOOKUP(AJ165,'FRC Site Data'!$B$3:$L$42,11,FALSE)</f>
        <v>#N/A</v>
      </c>
      <c r="AA173" s="10" t="e">
        <f>VLOOKUP(AJ165,'CIR Team Info'!$C$5:$E$44,4,FALSE)</f>
        <v>#N/A</v>
      </c>
      <c r="AB173" s="161" t="b">
        <f>ISNUMBER(VLOOKUP(AJ165,Match!$T$5:$T$10,1,FALSE))</f>
        <v>0</v>
      </c>
      <c r="AC173" s="161" t="b">
        <f>IF(AB173=TRUE,(VLOOKUP($AJ165,Match!$T$5:$U$10,2,FALSE)))</f>
        <v>0</v>
      </c>
      <c r="AD173" s="8">
        <v>3</v>
      </c>
      <c r="AE173" s="8">
        <v>2</v>
      </c>
      <c r="AF173" s="8">
        <v>2</v>
      </c>
      <c r="AG173" s="8">
        <v>1</v>
      </c>
      <c r="AH173" s="8" t="str">
        <f t="shared" si="48"/>
        <v/>
      </c>
      <c r="BA173" s="24"/>
      <c r="BC173" s="12"/>
    </row>
    <row r="174" spans="1:55" x14ac:dyDescent="0.25">
      <c r="A174" s="29">
        <f t="shared" si="33"/>
        <v>0</v>
      </c>
      <c r="B174" s="29">
        <f t="shared" si="35"/>
        <v>0</v>
      </c>
      <c r="C174" s="29">
        <f t="shared" si="36"/>
        <v>0</v>
      </c>
      <c r="D174" s="29">
        <f t="shared" si="37"/>
        <v>0</v>
      </c>
      <c r="E174" s="29">
        <f t="shared" si="34"/>
        <v>0</v>
      </c>
      <c r="F174" s="29">
        <f t="shared" si="38"/>
        <v>0</v>
      </c>
      <c r="G174" s="29" t="str">
        <f t="shared" si="39"/>
        <v>offensive</v>
      </c>
      <c r="H174" s="16">
        <f t="shared" si="40"/>
        <v>0</v>
      </c>
      <c r="I174" s="16">
        <f t="shared" si="41"/>
        <v>0</v>
      </c>
      <c r="J174" s="16">
        <f t="shared" si="42"/>
        <v>0</v>
      </c>
      <c r="K174" s="16">
        <f t="shared" si="43"/>
        <v>0</v>
      </c>
      <c r="L174" s="67">
        <f t="shared" si="44"/>
        <v>0</v>
      </c>
      <c r="M174" s="4">
        <f t="shared" si="45"/>
        <v>0</v>
      </c>
      <c r="N174" s="4">
        <f t="shared" si="46"/>
        <v>0</v>
      </c>
      <c r="O174" s="4">
        <f t="shared" si="47"/>
        <v>0</v>
      </c>
      <c r="P174" s="4" t="e">
        <f>VLOOKUP(AJ166,'CIR Team Info'!$C$5:$E$44,2,FALSE)</f>
        <v>#N/A</v>
      </c>
      <c r="Q174" s="4" t="e">
        <f>VLOOKUP(AJ166,'CIR Team Info'!$C$5:$E$44,3,FALSE)</f>
        <v>#N/A</v>
      </c>
      <c r="R174" s="10" t="e">
        <f>VLOOKUP(AJ166,'FRC Site Data'!$B$3:$L$42,2,FALSE)</f>
        <v>#N/A</v>
      </c>
      <c r="S174" s="10" t="e">
        <f>VLOOKUP(AJ166,'FRC Site Data'!$B$3:$L$42,3,FALSE)</f>
        <v>#N/A</v>
      </c>
      <c r="T174" s="10" t="e">
        <f>VLOOKUP(AJ166,'FRC Site Data'!$B$3:$L$42,4,FALSE)</f>
        <v>#N/A</v>
      </c>
      <c r="U174" s="10" t="e">
        <f>VLOOKUP(AJ166,'FRC Site Data'!$B$3:$L$42,5,FALSE)</f>
        <v>#N/A</v>
      </c>
      <c r="V174" s="10" t="e">
        <f>VLOOKUP(AJ166,'FRC Site Data'!$B$3:$L$42,6,FALSE)</f>
        <v>#N/A</v>
      </c>
      <c r="W174" s="10" t="e">
        <f>VLOOKUP(AJ166,'FRC Site Data'!$B$3:$L$42,8,FALSE)</f>
        <v>#N/A</v>
      </c>
      <c r="X174" s="10" t="e">
        <f>VLOOKUP(AJ166,'FRC Site Data'!$B$3:$L$42,9,FALSE)</f>
        <v>#N/A</v>
      </c>
      <c r="Y174" s="10" t="e">
        <f>VLOOKUP(AJ166,'FRC Site Data'!$B$3:$L$42,10,FALSE)</f>
        <v>#N/A</v>
      </c>
      <c r="Z174" s="10" t="e">
        <f>VLOOKUP(AJ166,'FRC Site Data'!$B$3:$L$42,11,FALSE)</f>
        <v>#N/A</v>
      </c>
      <c r="AA174" s="10" t="e">
        <f>VLOOKUP(AJ166,'CIR Team Info'!$C$5:$E$44,4,FALSE)</f>
        <v>#N/A</v>
      </c>
      <c r="AB174" s="161" t="b">
        <f>ISNUMBER(VLOOKUP(AJ166,Match!$T$5:$T$10,1,FALSE))</f>
        <v>0</v>
      </c>
      <c r="AC174" s="161" t="b">
        <f>IF(AB174=TRUE,(VLOOKUP($AJ166,Match!$T$5:$U$10,2,FALSE)))</f>
        <v>0</v>
      </c>
      <c r="AD174" s="8">
        <v>3</v>
      </c>
      <c r="AE174" s="8">
        <v>2</v>
      </c>
      <c r="AF174" s="8">
        <v>2</v>
      </c>
      <c r="AG174" s="8">
        <v>1</v>
      </c>
      <c r="AH174" s="8" t="str">
        <f t="shared" si="48"/>
        <v/>
      </c>
      <c r="BA174" s="24"/>
      <c r="BC174" s="12"/>
    </row>
    <row r="175" spans="1:55" x14ac:dyDescent="0.25">
      <c r="A175" s="29">
        <f t="shared" si="33"/>
        <v>0</v>
      </c>
      <c r="B175" s="29">
        <f t="shared" si="35"/>
        <v>0</v>
      </c>
      <c r="C175" s="29">
        <f t="shared" si="36"/>
        <v>0</v>
      </c>
      <c r="D175" s="29">
        <f t="shared" si="37"/>
        <v>0</v>
      </c>
      <c r="E175" s="29">
        <f t="shared" si="34"/>
        <v>0</v>
      </c>
      <c r="F175" s="29">
        <f t="shared" si="38"/>
        <v>0</v>
      </c>
      <c r="G175" s="29" t="str">
        <f t="shared" si="39"/>
        <v>offensive</v>
      </c>
      <c r="H175" s="16">
        <f t="shared" si="40"/>
        <v>0</v>
      </c>
      <c r="I175" s="16">
        <f t="shared" si="41"/>
        <v>0</v>
      </c>
      <c r="J175" s="16">
        <f t="shared" si="42"/>
        <v>0</v>
      </c>
      <c r="K175" s="16">
        <f t="shared" si="43"/>
        <v>0</v>
      </c>
      <c r="L175" s="67">
        <f t="shared" si="44"/>
        <v>0</v>
      </c>
      <c r="M175" s="4">
        <f t="shared" si="45"/>
        <v>0</v>
      </c>
      <c r="N175" s="4">
        <f t="shared" si="46"/>
        <v>0</v>
      </c>
      <c r="O175" s="4">
        <f t="shared" si="47"/>
        <v>0</v>
      </c>
      <c r="P175" s="4" t="e">
        <f>VLOOKUP(AJ167,'CIR Team Info'!$C$5:$E$44,2,FALSE)</f>
        <v>#N/A</v>
      </c>
      <c r="Q175" s="4" t="e">
        <f>VLOOKUP(AJ167,'CIR Team Info'!$C$5:$E$44,3,FALSE)</f>
        <v>#N/A</v>
      </c>
      <c r="R175" s="10" t="e">
        <f>VLOOKUP(AJ167,'FRC Site Data'!$B$3:$L$42,2,FALSE)</f>
        <v>#N/A</v>
      </c>
      <c r="S175" s="10" t="e">
        <f>VLOOKUP(AJ167,'FRC Site Data'!$B$3:$L$42,3,FALSE)</f>
        <v>#N/A</v>
      </c>
      <c r="T175" s="10" t="e">
        <f>VLOOKUP(AJ167,'FRC Site Data'!$B$3:$L$42,4,FALSE)</f>
        <v>#N/A</v>
      </c>
      <c r="U175" s="10" t="e">
        <f>VLOOKUP(AJ167,'FRC Site Data'!$B$3:$L$42,5,FALSE)</f>
        <v>#N/A</v>
      </c>
      <c r="V175" s="10" t="e">
        <f>VLOOKUP(AJ167,'FRC Site Data'!$B$3:$L$42,6,FALSE)</f>
        <v>#N/A</v>
      </c>
      <c r="W175" s="10" t="e">
        <f>VLOOKUP(AJ167,'FRC Site Data'!$B$3:$L$42,8,FALSE)</f>
        <v>#N/A</v>
      </c>
      <c r="X175" s="10" t="e">
        <f>VLOOKUP(AJ167,'FRC Site Data'!$B$3:$L$42,9,FALSE)</f>
        <v>#N/A</v>
      </c>
      <c r="Y175" s="10" t="e">
        <f>VLOOKUP(AJ167,'FRC Site Data'!$B$3:$L$42,10,FALSE)</f>
        <v>#N/A</v>
      </c>
      <c r="Z175" s="10" t="e">
        <f>VLOOKUP(AJ167,'FRC Site Data'!$B$3:$L$42,11,FALSE)</f>
        <v>#N/A</v>
      </c>
      <c r="AA175" s="10" t="e">
        <f>VLOOKUP(AJ167,'CIR Team Info'!$C$5:$E$44,4,FALSE)</f>
        <v>#N/A</v>
      </c>
      <c r="AB175" s="161" t="b">
        <f>ISNUMBER(VLOOKUP(AJ167,Match!$T$5:$T$10,1,FALSE))</f>
        <v>0</v>
      </c>
      <c r="AC175" s="161" t="b">
        <f>IF(AB175=TRUE,(VLOOKUP($AJ167,Match!$T$5:$U$10,2,FALSE)))</f>
        <v>0</v>
      </c>
      <c r="AD175" s="8">
        <v>3</v>
      </c>
      <c r="AE175" s="8">
        <v>2</v>
      </c>
      <c r="AF175" s="8">
        <v>2</v>
      </c>
      <c r="AG175" s="8">
        <v>1</v>
      </c>
      <c r="AH175" s="8" t="str">
        <f t="shared" si="48"/>
        <v/>
      </c>
      <c r="BA175" s="24"/>
      <c r="BC175" s="12"/>
    </row>
    <row r="176" spans="1:55" x14ac:dyDescent="0.25">
      <c r="A176" s="29">
        <f t="shared" si="33"/>
        <v>0</v>
      </c>
      <c r="B176" s="29">
        <f t="shared" si="35"/>
        <v>0</v>
      </c>
      <c r="C176" s="29">
        <f t="shared" si="36"/>
        <v>0</v>
      </c>
      <c r="D176" s="29">
        <f t="shared" si="37"/>
        <v>0</v>
      </c>
      <c r="E176" s="29">
        <f t="shared" si="34"/>
        <v>0</v>
      </c>
      <c r="F176" s="29">
        <f t="shared" si="38"/>
        <v>0</v>
      </c>
      <c r="G176" s="29" t="str">
        <f t="shared" si="39"/>
        <v>offensive</v>
      </c>
      <c r="H176" s="16">
        <f t="shared" si="40"/>
        <v>0</v>
      </c>
      <c r="I176" s="16">
        <f t="shared" si="41"/>
        <v>0</v>
      </c>
      <c r="J176" s="16">
        <f t="shared" si="42"/>
        <v>0</v>
      </c>
      <c r="K176" s="16">
        <f t="shared" si="43"/>
        <v>0</v>
      </c>
      <c r="L176" s="67">
        <f t="shared" si="44"/>
        <v>0</v>
      </c>
      <c r="M176" s="4">
        <f t="shared" si="45"/>
        <v>0</v>
      </c>
      <c r="N176" s="4">
        <f t="shared" si="46"/>
        <v>0</v>
      </c>
      <c r="O176" s="4">
        <f t="shared" si="47"/>
        <v>0</v>
      </c>
      <c r="P176" s="4" t="e">
        <f>VLOOKUP(AJ168,'CIR Team Info'!$C$5:$E$44,2,FALSE)</f>
        <v>#N/A</v>
      </c>
      <c r="Q176" s="4" t="e">
        <f>VLOOKUP(AJ168,'CIR Team Info'!$C$5:$E$44,3,FALSE)</f>
        <v>#N/A</v>
      </c>
      <c r="R176" s="10" t="e">
        <f>VLOOKUP(AJ168,'FRC Site Data'!$B$3:$L$42,2,FALSE)</f>
        <v>#N/A</v>
      </c>
      <c r="S176" s="10" t="e">
        <f>VLOOKUP(AJ168,'FRC Site Data'!$B$3:$L$42,3,FALSE)</f>
        <v>#N/A</v>
      </c>
      <c r="T176" s="10" t="e">
        <f>VLOOKUP(AJ168,'FRC Site Data'!$B$3:$L$42,4,FALSE)</f>
        <v>#N/A</v>
      </c>
      <c r="U176" s="10" t="e">
        <f>VLOOKUP(AJ168,'FRC Site Data'!$B$3:$L$42,5,FALSE)</f>
        <v>#N/A</v>
      </c>
      <c r="V176" s="10" t="e">
        <f>VLOOKUP(AJ168,'FRC Site Data'!$B$3:$L$42,6,FALSE)</f>
        <v>#N/A</v>
      </c>
      <c r="W176" s="10" t="e">
        <f>VLOOKUP(AJ168,'FRC Site Data'!$B$3:$L$42,8,FALSE)</f>
        <v>#N/A</v>
      </c>
      <c r="X176" s="10" t="e">
        <f>VLOOKUP(AJ168,'FRC Site Data'!$B$3:$L$42,9,FALSE)</f>
        <v>#N/A</v>
      </c>
      <c r="Y176" s="10" t="e">
        <f>VLOOKUP(AJ168,'FRC Site Data'!$B$3:$L$42,10,FALSE)</f>
        <v>#N/A</v>
      </c>
      <c r="Z176" s="10" t="e">
        <f>VLOOKUP(AJ168,'FRC Site Data'!$B$3:$L$42,11,FALSE)</f>
        <v>#N/A</v>
      </c>
      <c r="AA176" s="10" t="e">
        <f>VLOOKUP(AJ168,'CIR Team Info'!$C$5:$E$44,4,FALSE)</f>
        <v>#N/A</v>
      </c>
      <c r="AB176" s="161" t="b">
        <f>ISNUMBER(VLOOKUP(AJ168,Match!$T$5:$T$10,1,FALSE))</f>
        <v>0</v>
      </c>
      <c r="AC176" s="161" t="b">
        <f>IF(AB176=TRUE,(VLOOKUP($AJ168,Match!$T$5:$U$10,2,FALSE)))</f>
        <v>0</v>
      </c>
      <c r="AD176" s="8">
        <v>3</v>
      </c>
      <c r="AE176" s="8">
        <v>2</v>
      </c>
      <c r="AF176" s="8">
        <v>2</v>
      </c>
      <c r="AG176" s="8">
        <v>1</v>
      </c>
      <c r="AH176" s="8" t="str">
        <f t="shared" si="48"/>
        <v/>
      </c>
      <c r="BA176" s="24"/>
      <c r="BC176" s="12"/>
    </row>
    <row r="177" spans="1:55" x14ac:dyDescent="0.25">
      <c r="A177" s="29">
        <f t="shared" si="33"/>
        <v>0</v>
      </c>
      <c r="B177" s="29">
        <f t="shared" si="35"/>
        <v>0</v>
      </c>
      <c r="C177" s="29">
        <f t="shared" si="36"/>
        <v>0</v>
      </c>
      <c r="D177" s="29">
        <f t="shared" si="37"/>
        <v>0</v>
      </c>
      <c r="E177" s="29">
        <f t="shared" si="34"/>
        <v>0</v>
      </c>
      <c r="F177" s="29">
        <f t="shared" si="38"/>
        <v>0</v>
      </c>
      <c r="G177" s="29" t="str">
        <f t="shared" si="39"/>
        <v>offensive</v>
      </c>
      <c r="H177" s="16">
        <f t="shared" si="40"/>
        <v>0</v>
      </c>
      <c r="I177" s="16">
        <f t="shared" si="41"/>
        <v>0</v>
      </c>
      <c r="J177" s="16">
        <f t="shared" si="42"/>
        <v>0</v>
      </c>
      <c r="K177" s="16">
        <f t="shared" si="43"/>
        <v>0</v>
      </c>
      <c r="L177" s="67">
        <f t="shared" si="44"/>
        <v>0</v>
      </c>
      <c r="M177" s="4">
        <f t="shared" si="45"/>
        <v>0</v>
      </c>
      <c r="N177" s="4">
        <f t="shared" si="46"/>
        <v>0</v>
      </c>
      <c r="O177" s="4">
        <f t="shared" si="47"/>
        <v>0</v>
      </c>
      <c r="P177" s="4" t="e">
        <f>VLOOKUP(AJ169,'CIR Team Info'!$C$5:$E$44,2,FALSE)</f>
        <v>#N/A</v>
      </c>
      <c r="Q177" s="4" t="e">
        <f>VLOOKUP(AJ169,'CIR Team Info'!$C$5:$E$44,3,FALSE)</f>
        <v>#N/A</v>
      </c>
      <c r="R177" s="10" t="e">
        <f>VLOOKUP(AJ169,'FRC Site Data'!$B$3:$L$42,2,FALSE)</f>
        <v>#N/A</v>
      </c>
      <c r="S177" s="10" t="e">
        <f>VLOOKUP(AJ169,'FRC Site Data'!$B$3:$L$42,3,FALSE)</f>
        <v>#N/A</v>
      </c>
      <c r="T177" s="10" t="e">
        <f>VLOOKUP(AJ169,'FRC Site Data'!$B$3:$L$42,4,FALSE)</f>
        <v>#N/A</v>
      </c>
      <c r="U177" s="10" t="e">
        <f>VLOOKUP(AJ169,'FRC Site Data'!$B$3:$L$42,5,FALSE)</f>
        <v>#N/A</v>
      </c>
      <c r="V177" s="10" t="e">
        <f>VLOOKUP(AJ169,'FRC Site Data'!$B$3:$L$42,6,FALSE)</f>
        <v>#N/A</v>
      </c>
      <c r="W177" s="10" t="e">
        <f>VLOOKUP(AJ169,'FRC Site Data'!$B$3:$L$42,8,FALSE)</f>
        <v>#N/A</v>
      </c>
      <c r="X177" s="10" t="e">
        <f>VLOOKUP(AJ169,'FRC Site Data'!$B$3:$L$42,9,FALSE)</f>
        <v>#N/A</v>
      </c>
      <c r="Y177" s="10" t="e">
        <f>VLOOKUP(AJ169,'FRC Site Data'!$B$3:$L$42,10,FALSE)</f>
        <v>#N/A</v>
      </c>
      <c r="Z177" s="10" t="e">
        <f>VLOOKUP(AJ169,'FRC Site Data'!$B$3:$L$42,11,FALSE)</f>
        <v>#N/A</v>
      </c>
      <c r="AA177" s="10" t="e">
        <f>VLOOKUP(AJ169,'CIR Team Info'!$C$5:$E$44,4,FALSE)</f>
        <v>#N/A</v>
      </c>
      <c r="AB177" s="161" t="b">
        <f>ISNUMBER(VLOOKUP(AJ169,Match!$T$5:$T$10,1,FALSE))</f>
        <v>0</v>
      </c>
      <c r="AC177" s="161" t="b">
        <f>IF(AB177=TRUE,(VLOOKUP($AJ169,Match!$T$5:$U$10,2,FALSE)))</f>
        <v>0</v>
      </c>
      <c r="AD177" s="8">
        <v>3</v>
      </c>
      <c r="AE177" s="8">
        <v>2</v>
      </c>
      <c r="AF177" s="8">
        <v>2</v>
      </c>
      <c r="AG177" s="8">
        <v>1</v>
      </c>
      <c r="AH177" s="8" t="str">
        <f t="shared" si="48"/>
        <v/>
      </c>
      <c r="BA177" s="24"/>
      <c r="BC177" s="12"/>
    </row>
    <row r="178" spans="1:55" x14ac:dyDescent="0.25">
      <c r="A178" s="29">
        <f t="shared" si="33"/>
        <v>0</v>
      </c>
      <c r="B178" s="29">
        <f t="shared" si="35"/>
        <v>0</v>
      </c>
      <c r="C178" s="29">
        <f t="shared" si="36"/>
        <v>0</v>
      </c>
      <c r="D178" s="29">
        <f t="shared" si="37"/>
        <v>0</v>
      </c>
      <c r="E178" s="29">
        <f t="shared" si="34"/>
        <v>0</v>
      </c>
      <c r="F178" s="29">
        <f t="shared" si="38"/>
        <v>0</v>
      </c>
      <c r="G178" s="29" t="str">
        <f t="shared" si="39"/>
        <v>offensive</v>
      </c>
      <c r="H178" s="16">
        <f t="shared" si="40"/>
        <v>0</v>
      </c>
      <c r="I178" s="16">
        <f t="shared" si="41"/>
        <v>0</v>
      </c>
      <c r="J178" s="16">
        <f t="shared" si="42"/>
        <v>0</v>
      </c>
      <c r="K178" s="16">
        <f t="shared" si="43"/>
        <v>0</v>
      </c>
      <c r="L178" s="67">
        <f t="shared" si="44"/>
        <v>0</v>
      </c>
      <c r="M178" s="4">
        <f t="shared" si="45"/>
        <v>0</v>
      </c>
      <c r="N178" s="4">
        <f t="shared" si="46"/>
        <v>0</v>
      </c>
      <c r="O178" s="4">
        <f t="shared" si="47"/>
        <v>0</v>
      </c>
      <c r="P178" s="4" t="e">
        <f>VLOOKUP(AJ170,'CIR Team Info'!$C$5:$E$44,2,FALSE)</f>
        <v>#N/A</v>
      </c>
      <c r="Q178" s="4" t="e">
        <f>VLOOKUP(AJ170,'CIR Team Info'!$C$5:$E$44,3,FALSE)</f>
        <v>#N/A</v>
      </c>
      <c r="R178" s="10" t="e">
        <f>VLOOKUP(AJ170,'FRC Site Data'!$B$3:$L$42,2,FALSE)</f>
        <v>#N/A</v>
      </c>
      <c r="S178" s="10" t="e">
        <f>VLOOKUP(AJ170,'FRC Site Data'!$B$3:$L$42,3,FALSE)</f>
        <v>#N/A</v>
      </c>
      <c r="T178" s="10" t="e">
        <f>VLOOKUP(AJ170,'FRC Site Data'!$B$3:$L$42,4,FALSE)</f>
        <v>#N/A</v>
      </c>
      <c r="U178" s="10" t="e">
        <f>VLOOKUP(AJ170,'FRC Site Data'!$B$3:$L$42,5,FALSE)</f>
        <v>#N/A</v>
      </c>
      <c r="V178" s="10" t="e">
        <f>VLOOKUP(AJ170,'FRC Site Data'!$B$3:$L$42,6,FALSE)</f>
        <v>#N/A</v>
      </c>
      <c r="W178" s="10" t="e">
        <f>VLOOKUP(AJ170,'FRC Site Data'!$B$3:$L$42,8,FALSE)</f>
        <v>#N/A</v>
      </c>
      <c r="X178" s="10" t="e">
        <f>VLOOKUP(AJ170,'FRC Site Data'!$B$3:$L$42,9,FALSE)</f>
        <v>#N/A</v>
      </c>
      <c r="Y178" s="10" t="e">
        <f>VLOOKUP(AJ170,'FRC Site Data'!$B$3:$L$42,10,FALSE)</f>
        <v>#N/A</v>
      </c>
      <c r="Z178" s="10" t="e">
        <f>VLOOKUP(AJ170,'FRC Site Data'!$B$3:$L$42,11,FALSE)</f>
        <v>#N/A</v>
      </c>
      <c r="AA178" s="10" t="e">
        <f>VLOOKUP(AJ170,'CIR Team Info'!$C$5:$E$44,4,FALSE)</f>
        <v>#N/A</v>
      </c>
      <c r="AB178" s="161" t="b">
        <f>ISNUMBER(VLOOKUP(AJ170,Match!$T$5:$T$10,1,FALSE))</f>
        <v>0</v>
      </c>
      <c r="AC178" s="161" t="b">
        <f>IF(AB178=TRUE,(VLOOKUP($AJ170,Match!$T$5:$U$10,2,FALSE)))</f>
        <v>0</v>
      </c>
      <c r="AD178" s="8">
        <v>3</v>
      </c>
      <c r="AE178" s="8">
        <v>2</v>
      </c>
      <c r="AF178" s="8">
        <v>2</v>
      </c>
      <c r="AG178" s="8">
        <v>1</v>
      </c>
      <c r="AH178" s="8" t="str">
        <f t="shared" si="48"/>
        <v/>
      </c>
      <c r="BA178" s="24"/>
    </row>
    <row r="179" spans="1:55" x14ac:dyDescent="0.25">
      <c r="A179" s="29">
        <f t="shared" si="33"/>
        <v>0</v>
      </c>
      <c r="B179" s="29">
        <f t="shared" si="35"/>
        <v>0</v>
      </c>
      <c r="C179" s="29">
        <f t="shared" si="36"/>
        <v>0</v>
      </c>
      <c r="D179" s="29">
        <f t="shared" si="37"/>
        <v>0</v>
      </c>
      <c r="E179" s="29">
        <f t="shared" si="34"/>
        <v>0</v>
      </c>
      <c r="F179" s="29">
        <f t="shared" si="38"/>
        <v>0</v>
      </c>
      <c r="G179" s="29" t="str">
        <f t="shared" si="39"/>
        <v>offensive</v>
      </c>
      <c r="H179" s="16">
        <f t="shared" si="40"/>
        <v>0</v>
      </c>
      <c r="I179" s="16">
        <f t="shared" si="41"/>
        <v>0</v>
      </c>
      <c r="J179" s="16">
        <f t="shared" si="42"/>
        <v>0</v>
      </c>
      <c r="K179" s="16">
        <f t="shared" si="43"/>
        <v>0</v>
      </c>
      <c r="L179" s="67">
        <f t="shared" si="44"/>
        <v>0</v>
      </c>
      <c r="M179" s="4">
        <f t="shared" si="45"/>
        <v>0</v>
      </c>
      <c r="N179" s="4">
        <f t="shared" si="46"/>
        <v>0</v>
      </c>
      <c r="O179" s="4">
        <f t="shared" si="47"/>
        <v>0</v>
      </c>
      <c r="P179" s="4" t="e">
        <f>VLOOKUP(AJ171,'CIR Team Info'!$C$5:$E$44,2,FALSE)</f>
        <v>#N/A</v>
      </c>
      <c r="Q179" s="4" t="e">
        <f>VLOOKUP(AJ171,'CIR Team Info'!$C$5:$E$44,3,FALSE)</f>
        <v>#N/A</v>
      </c>
      <c r="R179" s="10" t="e">
        <f>VLOOKUP(AJ171,'FRC Site Data'!$B$3:$L$42,2,FALSE)</f>
        <v>#N/A</v>
      </c>
      <c r="S179" s="10" t="e">
        <f>VLOOKUP(AJ171,'FRC Site Data'!$B$3:$L$42,3,FALSE)</f>
        <v>#N/A</v>
      </c>
      <c r="T179" s="10" t="e">
        <f>VLOOKUP(AJ171,'FRC Site Data'!$B$3:$L$42,4,FALSE)</f>
        <v>#N/A</v>
      </c>
      <c r="U179" s="10" t="e">
        <f>VLOOKUP(AJ171,'FRC Site Data'!$B$3:$L$42,5,FALSE)</f>
        <v>#N/A</v>
      </c>
      <c r="V179" s="10" t="e">
        <f>VLOOKUP(AJ171,'FRC Site Data'!$B$3:$L$42,6,FALSE)</f>
        <v>#N/A</v>
      </c>
      <c r="W179" s="10" t="e">
        <f>VLOOKUP(AJ171,'FRC Site Data'!$B$3:$L$42,8,FALSE)</f>
        <v>#N/A</v>
      </c>
      <c r="X179" s="10" t="e">
        <f>VLOOKUP(AJ171,'FRC Site Data'!$B$3:$L$42,9,FALSE)</f>
        <v>#N/A</v>
      </c>
      <c r="Y179" s="10" t="e">
        <f>VLOOKUP(AJ171,'FRC Site Data'!$B$3:$L$42,10,FALSE)</f>
        <v>#N/A</v>
      </c>
      <c r="Z179" s="10" t="e">
        <f>VLOOKUP(AJ171,'FRC Site Data'!$B$3:$L$42,11,FALSE)</f>
        <v>#N/A</v>
      </c>
      <c r="AA179" s="10" t="e">
        <f>VLOOKUP(AJ171,'CIR Team Info'!$C$5:$E$44,4,FALSE)</f>
        <v>#N/A</v>
      </c>
      <c r="AB179" s="161" t="b">
        <f>ISNUMBER(VLOOKUP(AJ171,Match!$T$5:$T$10,1,FALSE))</f>
        <v>0</v>
      </c>
      <c r="AC179" s="161" t="b">
        <f>IF(AB179=TRUE,(VLOOKUP($AJ171,Match!$T$5:$U$10,2,FALSE)))</f>
        <v>0</v>
      </c>
      <c r="AD179" s="8">
        <v>3</v>
      </c>
      <c r="AE179" s="8">
        <v>2</v>
      </c>
      <c r="AF179" s="8">
        <v>2</v>
      </c>
      <c r="AG179" s="8">
        <v>1</v>
      </c>
      <c r="AH179" s="8" t="str">
        <f t="shared" si="48"/>
        <v/>
      </c>
      <c r="BA179" s="24"/>
    </row>
    <row r="180" spans="1:55" x14ac:dyDescent="0.25">
      <c r="A180" s="29">
        <f t="shared" si="33"/>
        <v>0</v>
      </c>
      <c r="B180" s="29">
        <f t="shared" si="35"/>
        <v>0</v>
      </c>
      <c r="C180" s="29">
        <f t="shared" si="36"/>
        <v>0</v>
      </c>
      <c r="D180" s="29">
        <f t="shared" si="37"/>
        <v>0</v>
      </c>
      <c r="E180" s="29">
        <f t="shared" si="34"/>
        <v>0</v>
      </c>
      <c r="F180" s="29">
        <f t="shared" si="38"/>
        <v>0</v>
      </c>
      <c r="G180" s="29" t="str">
        <f t="shared" si="39"/>
        <v>offensive</v>
      </c>
      <c r="H180" s="16">
        <f t="shared" si="40"/>
        <v>0</v>
      </c>
      <c r="I180" s="16">
        <f t="shared" si="41"/>
        <v>0</v>
      </c>
      <c r="J180" s="16">
        <f t="shared" si="42"/>
        <v>0</v>
      </c>
      <c r="K180" s="16">
        <f t="shared" si="43"/>
        <v>0</v>
      </c>
      <c r="L180" s="67">
        <f t="shared" si="44"/>
        <v>0</v>
      </c>
      <c r="M180" s="4">
        <f t="shared" si="45"/>
        <v>0</v>
      </c>
      <c r="N180" s="4">
        <f t="shared" si="46"/>
        <v>0</v>
      </c>
      <c r="O180" s="4">
        <f t="shared" si="47"/>
        <v>0</v>
      </c>
      <c r="P180" s="4" t="e">
        <f>VLOOKUP(AJ172,'CIR Team Info'!$C$5:$E$44,2,FALSE)</f>
        <v>#N/A</v>
      </c>
      <c r="Q180" s="4" t="e">
        <f>VLOOKUP(AJ172,'CIR Team Info'!$C$5:$E$44,3,FALSE)</f>
        <v>#N/A</v>
      </c>
      <c r="R180" s="10" t="e">
        <f>VLOOKUP(AJ172,'FRC Site Data'!$B$3:$L$42,2,FALSE)</f>
        <v>#N/A</v>
      </c>
      <c r="S180" s="10" t="e">
        <f>VLOOKUP(AJ172,'FRC Site Data'!$B$3:$L$42,3,FALSE)</f>
        <v>#N/A</v>
      </c>
      <c r="T180" s="10" t="e">
        <f>VLOOKUP(AJ172,'FRC Site Data'!$B$3:$L$42,4,FALSE)</f>
        <v>#N/A</v>
      </c>
      <c r="U180" s="10" t="e">
        <f>VLOOKUP(AJ172,'FRC Site Data'!$B$3:$L$42,5,FALSE)</f>
        <v>#N/A</v>
      </c>
      <c r="V180" s="10" t="e">
        <f>VLOOKUP(AJ172,'FRC Site Data'!$B$3:$L$42,6,FALSE)</f>
        <v>#N/A</v>
      </c>
      <c r="W180" s="10" t="e">
        <f>VLOOKUP(AJ172,'FRC Site Data'!$B$3:$L$42,8,FALSE)</f>
        <v>#N/A</v>
      </c>
      <c r="X180" s="10" t="e">
        <f>VLOOKUP(AJ172,'FRC Site Data'!$B$3:$L$42,9,FALSE)</f>
        <v>#N/A</v>
      </c>
      <c r="Y180" s="10" t="e">
        <f>VLOOKUP(AJ172,'FRC Site Data'!$B$3:$L$42,10,FALSE)</f>
        <v>#N/A</v>
      </c>
      <c r="Z180" s="10" t="e">
        <f>VLOOKUP(AJ172,'FRC Site Data'!$B$3:$L$42,11,FALSE)</f>
        <v>#N/A</v>
      </c>
      <c r="AA180" s="10" t="e">
        <f>VLOOKUP(AJ172,'CIR Team Info'!$C$5:$E$44,4,FALSE)</f>
        <v>#N/A</v>
      </c>
      <c r="AB180" s="161" t="b">
        <f>ISNUMBER(VLOOKUP(AJ172,Match!$T$5:$T$10,1,FALSE))</f>
        <v>0</v>
      </c>
      <c r="AC180" s="161" t="b">
        <f>IF(AB180=TRUE,(VLOOKUP($AJ172,Match!$T$5:$U$10,2,FALSE)))</f>
        <v>0</v>
      </c>
      <c r="AD180" s="8">
        <v>3</v>
      </c>
      <c r="AE180" s="8">
        <v>2</v>
      </c>
      <c r="AF180" s="8">
        <v>2</v>
      </c>
      <c r="AG180" s="8">
        <v>1</v>
      </c>
      <c r="AH180" s="8" t="str">
        <f t="shared" si="48"/>
        <v/>
      </c>
      <c r="BA180" s="24"/>
    </row>
    <row r="181" spans="1:55" x14ac:dyDescent="0.25">
      <c r="A181" s="29">
        <f t="shared" si="33"/>
        <v>0</v>
      </c>
      <c r="B181" s="29">
        <f t="shared" si="35"/>
        <v>0</v>
      </c>
      <c r="C181" s="29">
        <f t="shared" si="36"/>
        <v>0</v>
      </c>
      <c r="D181" s="29">
        <f t="shared" si="37"/>
        <v>0</v>
      </c>
      <c r="E181" s="29">
        <f t="shared" si="34"/>
        <v>0</v>
      </c>
      <c r="F181" s="29">
        <f t="shared" si="38"/>
        <v>0</v>
      </c>
      <c r="G181" s="29" t="str">
        <f t="shared" si="39"/>
        <v>offensive</v>
      </c>
      <c r="H181" s="16">
        <f t="shared" si="40"/>
        <v>0</v>
      </c>
      <c r="I181" s="16">
        <f t="shared" si="41"/>
        <v>0</v>
      </c>
      <c r="J181" s="16">
        <f t="shared" si="42"/>
        <v>0</v>
      </c>
      <c r="K181" s="16">
        <f t="shared" si="43"/>
        <v>0</v>
      </c>
      <c r="L181" s="67">
        <f t="shared" si="44"/>
        <v>0</v>
      </c>
      <c r="M181" s="4">
        <f t="shared" si="45"/>
        <v>0</v>
      </c>
      <c r="N181" s="4">
        <f t="shared" si="46"/>
        <v>0</v>
      </c>
      <c r="O181" s="4">
        <f t="shared" si="47"/>
        <v>0</v>
      </c>
      <c r="P181" s="4" t="e">
        <f>VLOOKUP(AJ173,'CIR Team Info'!$C$5:$E$44,2,FALSE)</f>
        <v>#N/A</v>
      </c>
      <c r="Q181" s="4" t="e">
        <f>VLOOKUP(AJ173,'CIR Team Info'!$C$5:$E$44,3,FALSE)</f>
        <v>#N/A</v>
      </c>
      <c r="R181" s="10" t="e">
        <f>VLOOKUP(AJ173,'FRC Site Data'!$B$3:$L$42,2,FALSE)</f>
        <v>#N/A</v>
      </c>
      <c r="S181" s="10" t="e">
        <f>VLOOKUP(AJ173,'FRC Site Data'!$B$3:$L$42,3,FALSE)</f>
        <v>#N/A</v>
      </c>
      <c r="T181" s="10" t="e">
        <f>VLOOKUP(AJ173,'FRC Site Data'!$B$3:$L$42,4,FALSE)</f>
        <v>#N/A</v>
      </c>
      <c r="U181" s="10" t="e">
        <f>VLOOKUP(AJ173,'FRC Site Data'!$B$3:$L$42,5,FALSE)</f>
        <v>#N/A</v>
      </c>
      <c r="V181" s="10" t="e">
        <f>VLOOKUP(AJ173,'FRC Site Data'!$B$3:$L$42,6,FALSE)</f>
        <v>#N/A</v>
      </c>
      <c r="W181" s="10" t="e">
        <f>VLOOKUP(AJ173,'FRC Site Data'!$B$3:$L$42,8,FALSE)</f>
        <v>#N/A</v>
      </c>
      <c r="X181" s="10" t="e">
        <f>VLOOKUP(AJ173,'FRC Site Data'!$B$3:$L$42,9,FALSE)</f>
        <v>#N/A</v>
      </c>
      <c r="Y181" s="10" t="e">
        <f>VLOOKUP(AJ173,'FRC Site Data'!$B$3:$L$42,10,FALSE)</f>
        <v>#N/A</v>
      </c>
      <c r="Z181" s="10" t="e">
        <f>VLOOKUP(AJ173,'FRC Site Data'!$B$3:$L$42,11,FALSE)</f>
        <v>#N/A</v>
      </c>
      <c r="AA181" s="10" t="e">
        <f>VLOOKUP(AJ173,'CIR Team Info'!$C$5:$E$44,4,FALSE)</f>
        <v>#N/A</v>
      </c>
      <c r="AB181" s="161" t="b">
        <f>ISNUMBER(VLOOKUP(AJ173,Match!$T$5:$T$10,1,FALSE))</f>
        <v>0</v>
      </c>
      <c r="AC181" s="161" t="b">
        <f>IF(AB181=TRUE,(VLOOKUP($AJ173,Match!$T$5:$U$10,2,FALSE)))</f>
        <v>0</v>
      </c>
      <c r="AD181" s="8">
        <v>3</v>
      </c>
      <c r="AE181" s="8">
        <v>2</v>
      </c>
      <c r="AF181" s="8">
        <v>2</v>
      </c>
      <c r="AG181" s="8">
        <v>1</v>
      </c>
      <c r="AH181" s="8" t="str">
        <f t="shared" si="48"/>
        <v/>
      </c>
      <c r="BA181" s="24"/>
    </row>
    <row r="182" spans="1:55" x14ac:dyDescent="0.25">
      <c r="A182" s="29">
        <f t="shared" si="33"/>
        <v>0</v>
      </c>
      <c r="B182" s="29">
        <f t="shared" si="35"/>
        <v>0</v>
      </c>
      <c r="C182" s="29">
        <f t="shared" si="36"/>
        <v>0</v>
      </c>
      <c r="D182" s="29">
        <f t="shared" si="37"/>
        <v>0</v>
      </c>
      <c r="E182" s="29">
        <f t="shared" si="34"/>
        <v>0</v>
      </c>
      <c r="F182" s="29">
        <f t="shared" si="38"/>
        <v>0</v>
      </c>
      <c r="G182" s="29" t="str">
        <f t="shared" si="39"/>
        <v>offensive</v>
      </c>
      <c r="H182" s="16">
        <f t="shared" si="40"/>
        <v>0</v>
      </c>
      <c r="I182" s="16">
        <f t="shared" si="41"/>
        <v>0</v>
      </c>
      <c r="J182" s="16">
        <f t="shared" si="42"/>
        <v>0</v>
      </c>
      <c r="K182" s="16">
        <f t="shared" si="43"/>
        <v>0</v>
      </c>
      <c r="L182" s="67">
        <f t="shared" si="44"/>
        <v>0</v>
      </c>
      <c r="M182" s="4">
        <f t="shared" si="45"/>
        <v>0</v>
      </c>
      <c r="N182" s="4">
        <f t="shared" si="46"/>
        <v>0</v>
      </c>
      <c r="O182" s="4">
        <f t="shared" si="47"/>
        <v>0</v>
      </c>
      <c r="P182" s="4" t="e">
        <f>VLOOKUP(AJ174,'CIR Team Info'!$C$5:$E$44,2,FALSE)</f>
        <v>#N/A</v>
      </c>
      <c r="Q182" s="4" t="e">
        <f>VLOOKUP(AJ174,'CIR Team Info'!$C$5:$E$44,3,FALSE)</f>
        <v>#N/A</v>
      </c>
      <c r="R182" s="10" t="e">
        <f>VLOOKUP(AJ174,'FRC Site Data'!$B$3:$L$42,2,FALSE)</f>
        <v>#N/A</v>
      </c>
      <c r="S182" s="10" t="e">
        <f>VLOOKUP(AJ174,'FRC Site Data'!$B$3:$L$42,3,FALSE)</f>
        <v>#N/A</v>
      </c>
      <c r="T182" s="10" t="e">
        <f>VLOOKUP(AJ174,'FRC Site Data'!$B$3:$L$42,4,FALSE)</f>
        <v>#N/A</v>
      </c>
      <c r="U182" s="10" t="e">
        <f>VLOOKUP(AJ174,'FRC Site Data'!$B$3:$L$42,5,FALSE)</f>
        <v>#N/A</v>
      </c>
      <c r="V182" s="10" t="e">
        <f>VLOOKUP(AJ174,'FRC Site Data'!$B$3:$L$42,6,FALSE)</f>
        <v>#N/A</v>
      </c>
      <c r="W182" s="10" t="e">
        <f>VLOOKUP(AJ174,'FRC Site Data'!$B$3:$L$42,8,FALSE)</f>
        <v>#N/A</v>
      </c>
      <c r="X182" s="10" t="e">
        <f>VLOOKUP(AJ174,'FRC Site Data'!$B$3:$L$42,9,FALSE)</f>
        <v>#N/A</v>
      </c>
      <c r="Y182" s="10" t="e">
        <f>VLOOKUP(AJ174,'FRC Site Data'!$B$3:$L$42,10,FALSE)</f>
        <v>#N/A</v>
      </c>
      <c r="Z182" s="10" t="e">
        <f>VLOOKUP(AJ174,'FRC Site Data'!$B$3:$L$42,11,FALSE)</f>
        <v>#N/A</v>
      </c>
      <c r="AA182" s="10" t="e">
        <f>VLOOKUP(AJ174,'CIR Team Info'!$C$5:$E$44,4,FALSE)</f>
        <v>#N/A</v>
      </c>
      <c r="AB182" s="161" t="b">
        <f>ISNUMBER(VLOOKUP(AJ174,Match!$T$5:$T$10,1,FALSE))</f>
        <v>0</v>
      </c>
      <c r="AC182" s="161" t="b">
        <f>IF(AB182=TRUE,(VLOOKUP($AJ174,Match!$T$5:$U$10,2,FALSE)))</f>
        <v>0</v>
      </c>
      <c r="AD182" s="8">
        <v>3</v>
      </c>
      <c r="AE182" s="8">
        <v>2</v>
      </c>
      <c r="AF182" s="8">
        <v>2</v>
      </c>
      <c r="AG182" s="8">
        <v>1</v>
      </c>
      <c r="AH182" s="8" t="str">
        <f t="shared" si="48"/>
        <v/>
      </c>
      <c r="BA182" s="24"/>
    </row>
    <row r="183" spans="1:55" x14ac:dyDescent="0.25">
      <c r="A183" s="29">
        <f t="shared" si="33"/>
        <v>0</v>
      </c>
      <c r="B183" s="29">
        <f t="shared" si="35"/>
        <v>0</v>
      </c>
      <c r="C183" s="29">
        <f t="shared" si="36"/>
        <v>0</v>
      </c>
      <c r="D183" s="29">
        <f t="shared" si="37"/>
        <v>0</v>
      </c>
      <c r="E183" s="29">
        <f t="shared" si="34"/>
        <v>0</v>
      </c>
      <c r="F183" s="29">
        <f t="shared" si="38"/>
        <v>0</v>
      </c>
      <c r="G183" s="29" t="str">
        <f t="shared" si="39"/>
        <v>offensive</v>
      </c>
      <c r="H183" s="16">
        <f t="shared" si="40"/>
        <v>0</v>
      </c>
      <c r="I183" s="16">
        <f t="shared" si="41"/>
        <v>0</v>
      </c>
      <c r="J183" s="16">
        <f t="shared" si="42"/>
        <v>0</v>
      </c>
      <c r="K183" s="16">
        <f t="shared" si="43"/>
        <v>0</v>
      </c>
      <c r="L183" s="67">
        <f t="shared" si="44"/>
        <v>0</v>
      </c>
      <c r="M183" s="4">
        <f t="shared" si="45"/>
        <v>0</v>
      </c>
      <c r="N183" s="4">
        <f t="shared" si="46"/>
        <v>0</v>
      </c>
      <c r="O183" s="4">
        <f t="shared" si="47"/>
        <v>0</v>
      </c>
      <c r="P183" s="4" t="e">
        <f>VLOOKUP(AJ175,'CIR Team Info'!$C$5:$E$44,2,FALSE)</f>
        <v>#N/A</v>
      </c>
      <c r="Q183" s="4" t="e">
        <f>VLOOKUP(AJ175,'CIR Team Info'!$C$5:$E$44,3,FALSE)</f>
        <v>#N/A</v>
      </c>
      <c r="R183" s="10" t="e">
        <f>VLOOKUP(AJ175,'FRC Site Data'!$B$3:$L$42,2,FALSE)</f>
        <v>#N/A</v>
      </c>
      <c r="S183" s="10" t="e">
        <f>VLOOKUP(AJ175,'FRC Site Data'!$B$3:$L$42,3,FALSE)</f>
        <v>#N/A</v>
      </c>
      <c r="T183" s="10" t="e">
        <f>VLOOKUP(AJ175,'FRC Site Data'!$B$3:$L$42,4,FALSE)</f>
        <v>#N/A</v>
      </c>
      <c r="U183" s="10" t="e">
        <f>VLOOKUP(AJ175,'FRC Site Data'!$B$3:$L$42,5,FALSE)</f>
        <v>#N/A</v>
      </c>
      <c r="V183" s="10" t="e">
        <f>VLOOKUP(AJ175,'FRC Site Data'!$B$3:$L$42,6,FALSE)</f>
        <v>#N/A</v>
      </c>
      <c r="W183" s="10" t="e">
        <f>VLOOKUP(AJ175,'FRC Site Data'!$B$3:$L$42,8,FALSE)</f>
        <v>#N/A</v>
      </c>
      <c r="X183" s="10" t="e">
        <f>VLOOKUP(AJ175,'FRC Site Data'!$B$3:$L$42,9,FALSE)</f>
        <v>#N/A</v>
      </c>
      <c r="Y183" s="10" t="e">
        <f>VLOOKUP(AJ175,'FRC Site Data'!$B$3:$L$42,10,FALSE)</f>
        <v>#N/A</v>
      </c>
      <c r="Z183" s="10" t="e">
        <f>VLOOKUP(AJ175,'FRC Site Data'!$B$3:$L$42,11,FALSE)</f>
        <v>#N/A</v>
      </c>
      <c r="AA183" s="10" t="e">
        <f>VLOOKUP(AJ175,'CIR Team Info'!$C$5:$E$44,4,FALSE)</f>
        <v>#N/A</v>
      </c>
      <c r="AB183" s="161" t="b">
        <f>ISNUMBER(VLOOKUP(AJ175,Match!$T$5:$T$10,1,FALSE))</f>
        <v>0</v>
      </c>
      <c r="AC183" s="161" t="b">
        <f>IF(AB183=TRUE,(VLOOKUP($AJ175,Match!$T$5:$U$10,2,FALSE)))</f>
        <v>0</v>
      </c>
      <c r="AD183" s="8">
        <v>3</v>
      </c>
      <c r="AE183" s="8">
        <v>2</v>
      </c>
      <c r="AF183" s="8">
        <v>2</v>
      </c>
      <c r="AG183" s="8">
        <v>1</v>
      </c>
      <c r="AH183" s="8" t="str">
        <f t="shared" si="48"/>
        <v/>
      </c>
      <c r="BA183" s="24"/>
    </row>
    <row r="184" spans="1:55" x14ac:dyDescent="0.25">
      <c r="A184" s="29">
        <f t="shared" si="33"/>
        <v>0</v>
      </c>
      <c r="B184" s="29">
        <f t="shared" si="35"/>
        <v>0</v>
      </c>
      <c r="C184" s="29">
        <f t="shared" si="36"/>
        <v>0</v>
      </c>
      <c r="D184" s="29">
        <f t="shared" si="37"/>
        <v>0</v>
      </c>
      <c r="E184" s="29">
        <f t="shared" si="34"/>
        <v>0</v>
      </c>
      <c r="F184" s="29">
        <f t="shared" si="38"/>
        <v>0</v>
      </c>
      <c r="G184" s="29" t="str">
        <f t="shared" si="39"/>
        <v>offensive</v>
      </c>
      <c r="H184" s="16">
        <f t="shared" si="40"/>
        <v>0</v>
      </c>
      <c r="I184" s="16">
        <f t="shared" si="41"/>
        <v>0</v>
      </c>
      <c r="J184" s="16">
        <f t="shared" si="42"/>
        <v>0</v>
      </c>
      <c r="K184" s="16">
        <f t="shared" si="43"/>
        <v>0</v>
      </c>
      <c r="L184" s="67">
        <f t="shared" si="44"/>
        <v>0</v>
      </c>
      <c r="M184" s="4">
        <f t="shared" si="45"/>
        <v>0</v>
      </c>
      <c r="N184" s="4">
        <f t="shared" si="46"/>
        <v>0</v>
      </c>
      <c r="O184" s="4">
        <f t="shared" si="47"/>
        <v>0</v>
      </c>
      <c r="P184" s="4" t="e">
        <f>VLOOKUP(AJ176,'CIR Team Info'!$C$5:$E$44,2,FALSE)</f>
        <v>#N/A</v>
      </c>
      <c r="Q184" s="4" t="e">
        <f>VLOOKUP(AJ176,'CIR Team Info'!$C$5:$E$44,3,FALSE)</f>
        <v>#N/A</v>
      </c>
      <c r="R184" s="10" t="e">
        <f>VLOOKUP(AJ176,'FRC Site Data'!$B$3:$L$42,2,FALSE)</f>
        <v>#N/A</v>
      </c>
      <c r="S184" s="10" t="e">
        <f>VLOOKUP(AJ176,'FRC Site Data'!$B$3:$L$42,3,FALSE)</f>
        <v>#N/A</v>
      </c>
      <c r="T184" s="10" t="e">
        <f>VLOOKUP(AJ176,'FRC Site Data'!$B$3:$L$42,4,FALSE)</f>
        <v>#N/A</v>
      </c>
      <c r="U184" s="10" t="e">
        <f>VLOOKUP(AJ176,'FRC Site Data'!$B$3:$L$42,5,FALSE)</f>
        <v>#N/A</v>
      </c>
      <c r="V184" s="10" t="e">
        <f>VLOOKUP(AJ176,'FRC Site Data'!$B$3:$L$42,6,FALSE)</f>
        <v>#N/A</v>
      </c>
      <c r="W184" s="10" t="e">
        <f>VLOOKUP(AJ176,'FRC Site Data'!$B$3:$L$42,8,FALSE)</f>
        <v>#N/A</v>
      </c>
      <c r="X184" s="10" t="e">
        <f>VLOOKUP(AJ176,'FRC Site Data'!$B$3:$L$42,9,FALSE)</f>
        <v>#N/A</v>
      </c>
      <c r="Y184" s="10" t="e">
        <f>VLOOKUP(AJ176,'FRC Site Data'!$B$3:$L$42,10,FALSE)</f>
        <v>#N/A</v>
      </c>
      <c r="Z184" s="10" t="e">
        <f>VLOOKUP(AJ176,'FRC Site Data'!$B$3:$L$42,11,FALSE)</f>
        <v>#N/A</v>
      </c>
      <c r="AA184" s="10" t="e">
        <f>VLOOKUP(AJ176,'CIR Team Info'!$C$5:$E$44,4,FALSE)</f>
        <v>#N/A</v>
      </c>
      <c r="AB184" s="161" t="b">
        <f>ISNUMBER(VLOOKUP(AJ176,Match!$T$5:$T$10,1,FALSE))</f>
        <v>0</v>
      </c>
      <c r="AC184" s="161" t="b">
        <f>IF(AB184=TRUE,(VLOOKUP($AJ176,Match!$T$5:$U$10,2,FALSE)))</f>
        <v>0</v>
      </c>
      <c r="AD184" s="8">
        <v>3</v>
      </c>
      <c r="AE184" s="8">
        <v>2</v>
      </c>
      <c r="AF184" s="8">
        <v>2</v>
      </c>
      <c r="AG184" s="8">
        <v>1</v>
      </c>
      <c r="AH184" s="8" t="str">
        <f t="shared" si="48"/>
        <v/>
      </c>
      <c r="BA184" s="24"/>
    </row>
    <row r="185" spans="1:55" x14ac:dyDescent="0.25">
      <c r="A185" s="29">
        <f t="shared" si="33"/>
        <v>0</v>
      </c>
      <c r="B185" s="29">
        <f t="shared" si="35"/>
        <v>0</v>
      </c>
      <c r="C185" s="29">
        <f t="shared" si="36"/>
        <v>0</v>
      </c>
      <c r="D185" s="29">
        <f t="shared" si="37"/>
        <v>0</v>
      </c>
      <c r="E185" s="29">
        <f t="shared" si="34"/>
        <v>0</v>
      </c>
      <c r="F185" s="29">
        <f t="shared" si="38"/>
        <v>0</v>
      </c>
      <c r="G185" s="29" t="str">
        <f t="shared" si="39"/>
        <v>offensive</v>
      </c>
      <c r="H185" s="16">
        <f t="shared" si="40"/>
        <v>0</v>
      </c>
      <c r="I185" s="16">
        <f t="shared" si="41"/>
        <v>0</v>
      </c>
      <c r="J185" s="16">
        <f t="shared" si="42"/>
        <v>0</v>
      </c>
      <c r="K185" s="16">
        <f t="shared" si="43"/>
        <v>0</v>
      </c>
      <c r="L185" s="67">
        <f t="shared" si="44"/>
        <v>0</v>
      </c>
      <c r="M185" s="4">
        <f t="shared" si="45"/>
        <v>0</v>
      </c>
      <c r="N185" s="4">
        <f t="shared" si="46"/>
        <v>0</v>
      </c>
      <c r="O185" s="4">
        <f t="shared" si="47"/>
        <v>0</v>
      </c>
      <c r="P185" s="4" t="e">
        <f>VLOOKUP(AJ177,'CIR Team Info'!$C$5:$E$44,2,FALSE)</f>
        <v>#N/A</v>
      </c>
      <c r="Q185" s="4" t="e">
        <f>VLOOKUP(AJ177,'CIR Team Info'!$C$5:$E$44,3,FALSE)</f>
        <v>#N/A</v>
      </c>
      <c r="R185" s="10" t="e">
        <f>VLOOKUP(AJ177,'FRC Site Data'!$B$3:$L$42,2,FALSE)</f>
        <v>#N/A</v>
      </c>
      <c r="S185" s="10" t="e">
        <f>VLOOKUP(AJ177,'FRC Site Data'!$B$3:$L$42,3,FALSE)</f>
        <v>#N/A</v>
      </c>
      <c r="T185" s="10" t="e">
        <f>VLOOKUP(AJ177,'FRC Site Data'!$B$3:$L$42,4,FALSE)</f>
        <v>#N/A</v>
      </c>
      <c r="U185" s="10" t="e">
        <f>VLOOKUP(AJ177,'FRC Site Data'!$B$3:$L$42,5,FALSE)</f>
        <v>#N/A</v>
      </c>
      <c r="V185" s="10" t="e">
        <f>VLOOKUP(AJ177,'FRC Site Data'!$B$3:$L$42,6,FALSE)</f>
        <v>#N/A</v>
      </c>
      <c r="W185" s="10" t="e">
        <f>VLOOKUP(AJ177,'FRC Site Data'!$B$3:$L$42,8,FALSE)</f>
        <v>#N/A</v>
      </c>
      <c r="X185" s="10" t="e">
        <f>VLOOKUP(AJ177,'FRC Site Data'!$B$3:$L$42,9,FALSE)</f>
        <v>#N/A</v>
      </c>
      <c r="Y185" s="10" t="e">
        <f>VLOOKUP(AJ177,'FRC Site Data'!$B$3:$L$42,10,FALSE)</f>
        <v>#N/A</v>
      </c>
      <c r="Z185" s="10" t="e">
        <f>VLOOKUP(AJ177,'FRC Site Data'!$B$3:$L$42,11,FALSE)</f>
        <v>#N/A</v>
      </c>
      <c r="AA185" s="10" t="e">
        <f>VLOOKUP(AJ177,'CIR Team Info'!$C$5:$E$44,4,FALSE)</f>
        <v>#N/A</v>
      </c>
      <c r="AB185" s="161" t="b">
        <f>ISNUMBER(VLOOKUP(AJ177,Match!$T$5:$T$10,1,FALSE))</f>
        <v>0</v>
      </c>
      <c r="AC185" s="161" t="b">
        <f>IF(AB185=TRUE,(VLOOKUP($AJ177,Match!$T$5:$U$10,2,FALSE)))</f>
        <v>0</v>
      </c>
      <c r="AD185" s="8">
        <v>3</v>
      </c>
      <c r="AE185" s="8">
        <v>2</v>
      </c>
      <c r="AF185" s="8">
        <v>2</v>
      </c>
      <c r="AG185" s="8">
        <v>1</v>
      </c>
      <c r="AH185" s="8" t="str">
        <f t="shared" si="48"/>
        <v/>
      </c>
      <c r="BA185" s="24"/>
    </row>
    <row r="186" spans="1:55" x14ac:dyDescent="0.25">
      <c r="A186" s="29">
        <f t="shared" si="33"/>
        <v>0</v>
      </c>
      <c r="B186" s="29">
        <f t="shared" si="35"/>
        <v>0</v>
      </c>
      <c r="C186" s="29">
        <f t="shared" si="36"/>
        <v>0</v>
      </c>
      <c r="D186" s="29">
        <f t="shared" si="37"/>
        <v>0</v>
      </c>
      <c r="E186" s="29">
        <f t="shared" si="34"/>
        <v>0</v>
      </c>
      <c r="F186" s="29">
        <f t="shared" si="38"/>
        <v>0</v>
      </c>
      <c r="G186" s="29" t="str">
        <f t="shared" si="39"/>
        <v>offensive</v>
      </c>
      <c r="H186" s="16">
        <f t="shared" si="40"/>
        <v>0</v>
      </c>
      <c r="I186" s="16">
        <f t="shared" si="41"/>
        <v>0</v>
      </c>
      <c r="J186" s="16">
        <f t="shared" si="42"/>
        <v>0</v>
      </c>
      <c r="K186" s="16">
        <f t="shared" si="43"/>
        <v>0</v>
      </c>
      <c r="L186" s="67">
        <f t="shared" si="44"/>
        <v>0</v>
      </c>
      <c r="M186" s="4">
        <f t="shared" si="45"/>
        <v>0</v>
      </c>
      <c r="N186" s="4">
        <f t="shared" si="46"/>
        <v>0</v>
      </c>
      <c r="O186" s="4">
        <f t="shared" si="47"/>
        <v>0</v>
      </c>
      <c r="P186" s="4" t="e">
        <f>VLOOKUP(AJ178,'CIR Team Info'!$C$5:$E$44,2,FALSE)</f>
        <v>#N/A</v>
      </c>
      <c r="Q186" s="4" t="e">
        <f>VLOOKUP(AJ178,'CIR Team Info'!$C$5:$E$44,3,FALSE)</f>
        <v>#N/A</v>
      </c>
      <c r="R186" s="10" t="e">
        <f>VLOOKUP(AJ178,'FRC Site Data'!$B$3:$L$42,2,FALSE)</f>
        <v>#N/A</v>
      </c>
      <c r="S186" s="10" t="e">
        <f>VLOOKUP(AJ178,'FRC Site Data'!$B$3:$L$42,3,FALSE)</f>
        <v>#N/A</v>
      </c>
      <c r="T186" s="10" t="e">
        <f>VLOOKUP(AJ178,'FRC Site Data'!$B$3:$L$42,4,FALSE)</f>
        <v>#N/A</v>
      </c>
      <c r="U186" s="10" t="e">
        <f>VLOOKUP(AJ178,'FRC Site Data'!$B$3:$L$42,5,FALSE)</f>
        <v>#N/A</v>
      </c>
      <c r="V186" s="10" t="e">
        <f>VLOOKUP(AJ178,'FRC Site Data'!$B$3:$L$42,6,FALSE)</f>
        <v>#N/A</v>
      </c>
      <c r="W186" s="10" t="e">
        <f>VLOOKUP(AJ178,'FRC Site Data'!$B$3:$L$42,8,FALSE)</f>
        <v>#N/A</v>
      </c>
      <c r="X186" s="10" t="e">
        <f>VLOOKUP(AJ178,'FRC Site Data'!$B$3:$L$42,9,FALSE)</f>
        <v>#N/A</v>
      </c>
      <c r="Y186" s="10" t="e">
        <f>VLOOKUP(AJ178,'FRC Site Data'!$B$3:$L$42,10,FALSE)</f>
        <v>#N/A</v>
      </c>
      <c r="Z186" s="10" t="e">
        <f>VLOOKUP(AJ178,'FRC Site Data'!$B$3:$L$42,11,FALSE)</f>
        <v>#N/A</v>
      </c>
      <c r="AA186" s="10" t="e">
        <f>VLOOKUP(AJ178,'CIR Team Info'!$C$5:$E$44,4,FALSE)</f>
        <v>#N/A</v>
      </c>
      <c r="AB186" s="161" t="b">
        <f>ISNUMBER(VLOOKUP(AJ178,Match!$T$5:$T$10,1,FALSE))</f>
        <v>0</v>
      </c>
      <c r="AC186" s="161" t="b">
        <f>IF(AB186=TRUE,(VLOOKUP($AJ178,Match!$T$5:$U$10,2,FALSE)))</f>
        <v>0</v>
      </c>
      <c r="AD186" s="8">
        <v>3</v>
      </c>
      <c r="AE186" s="8">
        <v>2</v>
      </c>
      <c r="AF186" s="8">
        <v>2</v>
      </c>
      <c r="AG186" s="8">
        <v>1</v>
      </c>
      <c r="AH186" s="8" t="str">
        <f t="shared" si="48"/>
        <v/>
      </c>
      <c r="BA186" s="24"/>
      <c r="BC186" s="12"/>
    </row>
    <row r="187" spans="1:55" x14ac:dyDescent="0.25">
      <c r="A187" s="29">
        <f t="shared" si="33"/>
        <v>0</v>
      </c>
      <c r="B187" s="29">
        <f t="shared" si="35"/>
        <v>0</v>
      </c>
      <c r="C187" s="29">
        <f t="shared" si="36"/>
        <v>0</v>
      </c>
      <c r="D187" s="29">
        <f t="shared" si="37"/>
        <v>0</v>
      </c>
      <c r="E187" s="29">
        <f t="shared" si="34"/>
        <v>0</v>
      </c>
      <c r="F187" s="29">
        <f t="shared" si="38"/>
        <v>0</v>
      </c>
      <c r="G187" s="29" t="str">
        <f t="shared" si="39"/>
        <v>offensive</v>
      </c>
      <c r="H187" s="16">
        <f t="shared" si="40"/>
        <v>0</v>
      </c>
      <c r="I187" s="16">
        <f t="shared" si="41"/>
        <v>0</v>
      </c>
      <c r="J187" s="16">
        <f t="shared" si="42"/>
        <v>0</v>
      </c>
      <c r="K187" s="16">
        <f t="shared" si="43"/>
        <v>0</v>
      </c>
      <c r="L187" s="67">
        <f t="shared" si="44"/>
        <v>0</v>
      </c>
      <c r="M187" s="4">
        <f t="shared" si="45"/>
        <v>0</v>
      </c>
      <c r="N187" s="4">
        <f t="shared" si="46"/>
        <v>0</v>
      </c>
      <c r="O187" s="4">
        <f t="shared" si="47"/>
        <v>0</v>
      </c>
      <c r="P187" s="4" t="e">
        <f>VLOOKUP(AJ179,'CIR Team Info'!$C$5:$E$44,2,FALSE)</f>
        <v>#N/A</v>
      </c>
      <c r="Q187" s="4" t="e">
        <f>VLOOKUP(AJ179,'CIR Team Info'!$C$5:$E$44,3,FALSE)</f>
        <v>#N/A</v>
      </c>
      <c r="R187" s="10" t="e">
        <f>VLOOKUP(AJ179,'FRC Site Data'!$B$3:$L$42,2,FALSE)</f>
        <v>#N/A</v>
      </c>
      <c r="S187" s="10" t="e">
        <f>VLOOKUP(AJ179,'FRC Site Data'!$B$3:$L$42,3,FALSE)</f>
        <v>#N/A</v>
      </c>
      <c r="T187" s="10" t="e">
        <f>VLOOKUP(AJ179,'FRC Site Data'!$B$3:$L$42,4,FALSE)</f>
        <v>#N/A</v>
      </c>
      <c r="U187" s="10" t="e">
        <f>VLOOKUP(AJ179,'FRC Site Data'!$B$3:$L$42,5,FALSE)</f>
        <v>#N/A</v>
      </c>
      <c r="V187" s="10" t="e">
        <f>VLOOKUP(AJ179,'FRC Site Data'!$B$3:$L$42,6,FALSE)</f>
        <v>#N/A</v>
      </c>
      <c r="W187" s="10" t="e">
        <f>VLOOKUP(AJ179,'FRC Site Data'!$B$3:$L$42,8,FALSE)</f>
        <v>#N/A</v>
      </c>
      <c r="X187" s="10" t="e">
        <f>VLOOKUP(AJ179,'FRC Site Data'!$B$3:$L$42,9,FALSE)</f>
        <v>#N/A</v>
      </c>
      <c r="Y187" s="10" t="e">
        <f>VLOOKUP(AJ179,'FRC Site Data'!$B$3:$L$42,10,FALSE)</f>
        <v>#N/A</v>
      </c>
      <c r="Z187" s="10" t="e">
        <f>VLOOKUP(AJ179,'FRC Site Data'!$B$3:$L$42,11,FALSE)</f>
        <v>#N/A</v>
      </c>
      <c r="AA187" s="10" t="e">
        <f>VLOOKUP(AJ179,'CIR Team Info'!$C$5:$E$44,4,FALSE)</f>
        <v>#N/A</v>
      </c>
      <c r="AB187" s="161" t="b">
        <f>ISNUMBER(VLOOKUP(AJ179,Match!$T$5:$T$10,1,FALSE))</f>
        <v>0</v>
      </c>
      <c r="AC187" s="161" t="b">
        <f>IF(AB187=TRUE,(VLOOKUP($AJ179,Match!$T$5:$U$10,2,FALSE)))</f>
        <v>0</v>
      </c>
      <c r="AD187" s="8">
        <v>3</v>
      </c>
      <c r="AE187" s="8">
        <v>2</v>
      </c>
      <c r="AF187" s="8">
        <v>2</v>
      </c>
      <c r="AG187" s="8">
        <v>1</v>
      </c>
      <c r="AH187" s="8" t="str">
        <f t="shared" si="48"/>
        <v/>
      </c>
      <c r="BA187" s="24"/>
      <c r="BC187" s="12"/>
    </row>
    <row r="188" spans="1:55" x14ac:dyDescent="0.25">
      <c r="A188" s="29">
        <f t="shared" si="33"/>
        <v>0</v>
      </c>
      <c r="B188" s="29">
        <f t="shared" si="35"/>
        <v>0</v>
      </c>
      <c r="C188" s="29">
        <f t="shared" si="36"/>
        <v>0</v>
      </c>
      <c r="D188" s="29">
        <f t="shared" si="37"/>
        <v>0</v>
      </c>
      <c r="E188" s="29">
        <f t="shared" si="34"/>
        <v>0</v>
      </c>
      <c r="F188" s="29">
        <f t="shared" si="38"/>
        <v>0</v>
      </c>
      <c r="G188" s="29" t="str">
        <f t="shared" si="39"/>
        <v>offensive</v>
      </c>
      <c r="H188" s="16">
        <f t="shared" si="40"/>
        <v>0</v>
      </c>
      <c r="I188" s="16">
        <f t="shared" si="41"/>
        <v>0</v>
      </c>
      <c r="J188" s="16">
        <f t="shared" si="42"/>
        <v>0</v>
      </c>
      <c r="K188" s="16">
        <f t="shared" si="43"/>
        <v>0</v>
      </c>
      <c r="L188" s="67">
        <f t="shared" si="44"/>
        <v>0</v>
      </c>
      <c r="M188" s="4">
        <f t="shared" si="45"/>
        <v>0</v>
      </c>
      <c r="N188" s="4">
        <f t="shared" si="46"/>
        <v>0</v>
      </c>
      <c r="O188" s="4">
        <f t="shared" si="47"/>
        <v>0</v>
      </c>
      <c r="P188" s="4" t="e">
        <f>VLOOKUP(AJ180,'CIR Team Info'!$C$5:$E$44,2,FALSE)</f>
        <v>#N/A</v>
      </c>
      <c r="Q188" s="4" t="e">
        <f>VLOOKUP(AJ180,'CIR Team Info'!$C$5:$E$44,3,FALSE)</f>
        <v>#N/A</v>
      </c>
      <c r="R188" s="10" t="e">
        <f>VLOOKUP(AJ180,'FRC Site Data'!$B$3:$L$42,2,FALSE)</f>
        <v>#N/A</v>
      </c>
      <c r="S188" s="10" t="e">
        <f>VLOOKUP(AJ180,'FRC Site Data'!$B$3:$L$42,3,FALSE)</f>
        <v>#N/A</v>
      </c>
      <c r="T188" s="10" t="e">
        <f>VLOOKUP(AJ180,'FRC Site Data'!$B$3:$L$42,4,FALSE)</f>
        <v>#N/A</v>
      </c>
      <c r="U188" s="10" t="e">
        <f>VLOOKUP(AJ180,'FRC Site Data'!$B$3:$L$42,5,FALSE)</f>
        <v>#N/A</v>
      </c>
      <c r="V188" s="10" t="e">
        <f>VLOOKUP(AJ180,'FRC Site Data'!$B$3:$L$42,6,FALSE)</f>
        <v>#N/A</v>
      </c>
      <c r="W188" s="10" t="e">
        <f>VLOOKUP(AJ180,'FRC Site Data'!$B$3:$L$42,8,FALSE)</f>
        <v>#N/A</v>
      </c>
      <c r="X188" s="10" t="e">
        <f>VLOOKUP(AJ180,'FRC Site Data'!$B$3:$L$42,9,FALSE)</f>
        <v>#N/A</v>
      </c>
      <c r="Y188" s="10" t="e">
        <f>VLOOKUP(AJ180,'FRC Site Data'!$B$3:$L$42,10,FALSE)</f>
        <v>#N/A</v>
      </c>
      <c r="Z188" s="10" t="e">
        <f>VLOOKUP(AJ180,'FRC Site Data'!$B$3:$L$42,11,FALSE)</f>
        <v>#N/A</v>
      </c>
      <c r="AA188" s="10" t="e">
        <f>VLOOKUP(AJ180,'CIR Team Info'!$C$5:$E$44,4,FALSE)</f>
        <v>#N/A</v>
      </c>
      <c r="AB188" s="161" t="b">
        <f>ISNUMBER(VLOOKUP(AJ180,Match!$T$5:$T$10,1,FALSE))</f>
        <v>0</v>
      </c>
      <c r="AC188" s="161" t="b">
        <f>IF(AB188=TRUE,(VLOOKUP($AJ180,Match!$T$5:$U$10,2,FALSE)))</f>
        <v>0</v>
      </c>
      <c r="AD188" s="8">
        <v>3</v>
      </c>
      <c r="AE188" s="8">
        <v>2</v>
      </c>
      <c r="AF188" s="8">
        <v>2</v>
      </c>
      <c r="AG188" s="8">
        <v>1</v>
      </c>
      <c r="AH188" s="8" t="str">
        <f t="shared" si="48"/>
        <v/>
      </c>
      <c r="BA188" s="24"/>
      <c r="BC188" s="12"/>
    </row>
    <row r="189" spans="1:55" x14ac:dyDescent="0.25">
      <c r="A189" s="29">
        <f t="shared" si="33"/>
        <v>0</v>
      </c>
      <c r="B189" s="29">
        <f t="shared" si="35"/>
        <v>0</v>
      </c>
      <c r="C189" s="29">
        <f t="shared" si="36"/>
        <v>0</v>
      </c>
      <c r="D189" s="29">
        <f t="shared" si="37"/>
        <v>0</v>
      </c>
      <c r="E189" s="29">
        <f t="shared" si="34"/>
        <v>0</v>
      </c>
      <c r="F189" s="29">
        <f t="shared" si="38"/>
        <v>0</v>
      </c>
      <c r="G189" s="29" t="str">
        <f t="shared" si="39"/>
        <v>offensive</v>
      </c>
      <c r="H189" s="16">
        <f t="shared" si="40"/>
        <v>0</v>
      </c>
      <c r="I189" s="16">
        <f t="shared" si="41"/>
        <v>0</v>
      </c>
      <c r="J189" s="16">
        <f t="shared" si="42"/>
        <v>0</v>
      </c>
      <c r="K189" s="16">
        <f t="shared" si="43"/>
        <v>0</v>
      </c>
      <c r="L189" s="67">
        <f t="shared" si="44"/>
        <v>0</v>
      </c>
      <c r="M189" s="4">
        <f t="shared" si="45"/>
        <v>0</v>
      </c>
      <c r="N189" s="4">
        <f t="shared" si="46"/>
        <v>0</v>
      </c>
      <c r="O189" s="4">
        <f t="shared" si="47"/>
        <v>0</v>
      </c>
      <c r="P189" s="4" t="e">
        <f>VLOOKUP(AJ181,'CIR Team Info'!$C$5:$E$44,2,FALSE)</f>
        <v>#N/A</v>
      </c>
      <c r="Q189" s="4" t="e">
        <f>VLOOKUP(AJ181,'CIR Team Info'!$C$5:$E$44,3,FALSE)</f>
        <v>#N/A</v>
      </c>
      <c r="R189" s="10" t="e">
        <f>VLOOKUP(AJ181,'FRC Site Data'!$B$3:$L$42,2,FALSE)</f>
        <v>#N/A</v>
      </c>
      <c r="S189" s="10" t="e">
        <f>VLOOKUP(AJ181,'FRC Site Data'!$B$3:$L$42,3,FALSE)</f>
        <v>#N/A</v>
      </c>
      <c r="T189" s="10" t="e">
        <f>VLOOKUP(AJ181,'FRC Site Data'!$B$3:$L$42,4,FALSE)</f>
        <v>#N/A</v>
      </c>
      <c r="U189" s="10" t="e">
        <f>VLOOKUP(AJ181,'FRC Site Data'!$B$3:$L$42,5,FALSE)</f>
        <v>#N/A</v>
      </c>
      <c r="V189" s="10" t="e">
        <f>VLOOKUP(AJ181,'FRC Site Data'!$B$3:$L$42,6,FALSE)</f>
        <v>#N/A</v>
      </c>
      <c r="W189" s="10" t="e">
        <f>VLOOKUP(AJ181,'FRC Site Data'!$B$3:$L$42,8,FALSE)</f>
        <v>#N/A</v>
      </c>
      <c r="X189" s="10" t="e">
        <f>VLOOKUP(AJ181,'FRC Site Data'!$B$3:$L$42,9,FALSE)</f>
        <v>#N/A</v>
      </c>
      <c r="Y189" s="10" t="e">
        <f>VLOOKUP(AJ181,'FRC Site Data'!$B$3:$L$42,10,FALSE)</f>
        <v>#N/A</v>
      </c>
      <c r="Z189" s="10" t="e">
        <f>VLOOKUP(AJ181,'FRC Site Data'!$B$3:$L$42,11,FALSE)</f>
        <v>#N/A</v>
      </c>
      <c r="AA189" s="10" t="e">
        <f>VLOOKUP(AJ181,'CIR Team Info'!$C$5:$E$44,4,FALSE)</f>
        <v>#N/A</v>
      </c>
      <c r="AB189" s="161" t="b">
        <f>ISNUMBER(VLOOKUP(AJ181,Match!$T$5:$T$10,1,FALSE))</f>
        <v>0</v>
      </c>
      <c r="AC189" s="161" t="b">
        <f>IF(AB189=TRUE,(VLOOKUP($AJ181,Match!$T$5:$U$10,2,FALSE)))</f>
        <v>0</v>
      </c>
      <c r="AD189" s="8">
        <v>3</v>
      </c>
      <c r="AE189" s="8">
        <v>2</v>
      </c>
      <c r="AF189" s="8">
        <v>2</v>
      </c>
      <c r="AG189" s="8">
        <v>1</v>
      </c>
      <c r="AH189" s="8" t="str">
        <f t="shared" si="48"/>
        <v/>
      </c>
      <c r="BA189" s="24"/>
      <c r="BC189" s="12"/>
    </row>
    <row r="190" spans="1:55" x14ac:dyDescent="0.25">
      <c r="A190" s="29">
        <f t="shared" si="33"/>
        <v>0</v>
      </c>
      <c r="B190" s="29">
        <f t="shared" si="35"/>
        <v>0</v>
      </c>
      <c r="C190" s="29">
        <f t="shared" si="36"/>
        <v>0</v>
      </c>
      <c r="D190" s="29">
        <f t="shared" si="37"/>
        <v>0</v>
      </c>
      <c r="E190" s="29">
        <f t="shared" si="34"/>
        <v>0</v>
      </c>
      <c r="F190" s="29">
        <f t="shared" si="38"/>
        <v>0</v>
      </c>
      <c r="G190" s="29" t="str">
        <f t="shared" si="39"/>
        <v>offensive</v>
      </c>
      <c r="H190" s="16">
        <f t="shared" si="40"/>
        <v>0</v>
      </c>
      <c r="I190" s="16">
        <f t="shared" si="41"/>
        <v>0</v>
      </c>
      <c r="J190" s="16">
        <f t="shared" si="42"/>
        <v>0</v>
      </c>
      <c r="K190" s="16">
        <f t="shared" si="43"/>
        <v>0</v>
      </c>
      <c r="L190" s="67">
        <f t="shared" si="44"/>
        <v>0</v>
      </c>
      <c r="M190" s="4">
        <f t="shared" si="45"/>
        <v>0</v>
      </c>
      <c r="N190" s="4">
        <f t="shared" si="46"/>
        <v>0</v>
      </c>
      <c r="O190" s="4">
        <f t="shared" si="47"/>
        <v>0</v>
      </c>
      <c r="P190" s="4" t="e">
        <f>VLOOKUP(AJ182,'CIR Team Info'!$C$5:$E$44,2,FALSE)</f>
        <v>#N/A</v>
      </c>
      <c r="Q190" s="4" t="e">
        <f>VLOOKUP(AJ182,'CIR Team Info'!$C$5:$E$44,3,FALSE)</f>
        <v>#N/A</v>
      </c>
      <c r="R190" s="10" t="e">
        <f>VLOOKUP(AJ182,'FRC Site Data'!$B$3:$L$42,2,FALSE)</f>
        <v>#N/A</v>
      </c>
      <c r="S190" s="10" t="e">
        <f>VLOOKUP(AJ182,'FRC Site Data'!$B$3:$L$42,3,FALSE)</f>
        <v>#N/A</v>
      </c>
      <c r="T190" s="10" t="e">
        <f>VLOOKUP(AJ182,'FRC Site Data'!$B$3:$L$42,4,FALSE)</f>
        <v>#N/A</v>
      </c>
      <c r="U190" s="10" t="e">
        <f>VLOOKUP(AJ182,'FRC Site Data'!$B$3:$L$42,5,FALSE)</f>
        <v>#N/A</v>
      </c>
      <c r="V190" s="10" t="e">
        <f>VLOOKUP(AJ182,'FRC Site Data'!$B$3:$L$42,6,FALSE)</f>
        <v>#N/A</v>
      </c>
      <c r="W190" s="10" t="e">
        <f>VLOOKUP(AJ182,'FRC Site Data'!$B$3:$L$42,8,FALSE)</f>
        <v>#N/A</v>
      </c>
      <c r="X190" s="10" t="e">
        <f>VLOOKUP(AJ182,'FRC Site Data'!$B$3:$L$42,9,FALSE)</f>
        <v>#N/A</v>
      </c>
      <c r="Y190" s="10" t="e">
        <f>VLOOKUP(AJ182,'FRC Site Data'!$B$3:$L$42,10,FALSE)</f>
        <v>#N/A</v>
      </c>
      <c r="Z190" s="10" t="e">
        <f>VLOOKUP(AJ182,'FRC Site Data'!$B$3:$L$42,11,FALSE)</f>
        <v>#N/A</v>
      </c>
      <c r="AA190" s="10" t="e">
        <f>VLOOKUP(AJ182,'CIR Team Info'!$C$5:$E$44,4,FALSE)</f>
        <v>#N/A</v>
      </c>
      <c r="AB190" s="161" t="b">
        <f>ISNUMBER(VLOOKUP(AJ182,Match!$T$5:$T$10,1,FALSE))</f>
        <v>0</v>
      </c>
      <c r="AC190" s="161" t="b">
        <f>IF(AB190=TRUE,(VLOOKUP($AJ182,Match!$T$5:$U$10,2,FALSE)))</f>
        <v>0</v>
      </c>
      <c r="AD190" s="8">
        <v>3</v>
      </c>
      <c r="AE190" s="8">
        <v>2</v>
      </c>
      <c r="AF190" s="8">
        <v>2</v>
      </c>
      <c r="AG190" s="8">
        <v>1</v>
      </c>
      <c r="AH190" s="8" t="str">
        <f t="shared" si="48"/>
        <v/>
      </c>
      <c r="BA190" s="24"/>
      <c r="BC190" s="12"/>
    </row>
    <row r="191" spans="1:55" x14ac:dyDescent="0.25">
      <c r="A191" s="29">
        <f t="shared" si="33"/>
        <v>0</v>
      </c>
      <c r="B191" s="29">
        <f t="shared" si="35"/>
        <v>0</v>
      </c>
      <c r="C191" s="29">
        <f t="shared" si="36"/>
        <v>0</v>
      </c>
      <c r="D191" s="29">
        <f t="shared" si="37"/>
        <v>0</v>
      </c>
      <c r="E191" s="29">
        <f t="shared" si="34"/>
        <v>0</v>
      </c>
      <c r="F191" s="29">
        <f t="shared" si="38"/>
        <v>0</v>
      </c>
      <c r="G191" s="29" t="str">
        <f t="shared" si="39"/>
        <v>offensive</v>
      </c>
      <c r="H191" s="16">
        <f t="shared" si="40"/>
        <v>0</v>
      </c>
      <c r="I191" s="16">
        <f t="shared" si="41"/>
        <v>0</v>
      </c>
      <c r="J191" s="16">
        <f t="shared" si="42"/>
        <v>0</v>
      </c>
      <c r="K191" s="16">
        <f t="shared" si="43"/>
        <v>0</v>
      </c>
      <c r="L191" s="67">
        <f t="shared" si="44"/>
        <v>0</v>
      </c>
      <c r="M191" s="4">
        <f t="shared" si="45"/>
        <v>0</v>
      </c>
      <c r="N191" s="4">
        <f t="shared" si="46"/>
        <v>0</v>
      </c>
      <c r="O191" s="4">
        <f t="shared" si="47"/>
        <v>0</v>
      </c>
      <c r="P191" s="4" t="e">
        <f>VLOOKUP(AJ183,'CIR Team Info'!$C$5:$E$44,2,FALSE)</f>
        <v>#N/A</v>
      </c>
      <c r="Q191" s="4" t="e">
        <f>VLOOKUP(AJ183,'CIR Team Info'!$C$5:$E$44,3,FALSE)</f>
        <v>#N/A</v>
      </c>
      <c r="R191" s="10" t="e">
        <f>VLOOKUP(AJ183,'FRC Site Data'!$B$3:$L$42,2,FALSE)</f>
        <v>#N/A</v>
      </c>
      <c r="S191" s="10" t="e">
        <f>VLOOKUP(AJ183,'FRC Site Data'!$B$3:$L$42,3,FALSE)</f>
        <v>#N/A</v>
      </c>
      <c r="T191" s="10" t="e">
        <f>VLOOKUP(AJ183,'FRC Site Data'!$B$3:$L$42,4,FALSE)</f>
        <v>#N/A</v>
      </c>
      <c r="U191" s="10" t="e">
        <f>VLOOKUP(AJ183,'FRC Site Data'!$B$3:$L$42,5,FALSE)</f>
        <v>#N/A</v>
      </c>
      <c r="V191" s="10" t="e">
        <f>VLOOKUP(AJ183,'FRC Site Data'!$B$3:$L$42,6,FALSE)</f>
        <v>#N/A</v>
      </c>
      <c r="W191" s="10" t="e">
        <f>VLOOKUP(AJ183,'FRC Site Data'!$B$3:$L$42,8,FALSE)</f>
        <v>#N/A</v>
      </c>
      <c r="X191" s="10" t="e">
        <f>VLOOKUP(AJ183,'FRC Site Data'!$B$3:$L$42,9,FALSE)</f>
        <v>#N/A</v>
      </c>
      <c r="Y191" s="10" t="e">
        <f>VLOOKUP(AJ183,'FRC Site Data'!$B$3:$L$42,10,FALSE)</f>
        <v>#N/A</v>
      </c>
      <c r="Z191" s="10" t="e">
        <f>VLOOKUP(AJ183,'FRC Site Data'!$B$3:$L$42,11,FALSE)</f>
        <v>#N/A</v>
      </c>
      <c r="AA191" s="10" t="e">
        <f>VLOOKUP(AJ183,'CIR Team Info'!$C$5:$E$44,4,FALSE)</f>
        <v>#N/A</v>
      </c>
      <c r="AB191" s="161" t="b">
        <f>ISNUMBER(VLOOKUP(AJ183,Match!$T$5:$T$10,1,FALSE))</f>
        <v>0</v>
      </c>
      <c r="AC191" s="161" t="b">
        <f>IF(AB191=TRUE,(VLOOKUP($AJ183,Match!$T$5:$U$10,2,FALSE)))</f>
        <v>0</v>
      </c>
      <c r="AD191" s="8">
        <v>3</v>
      </c>
      <c r="AE191" s="8">
        <v>2</v>
      </c>
      <c r="AF191" s="8">
        <v>2</v>
      </c>
      <c r="AG191" s="8">
        <v>1</v>
      </c>
      <c r="AH191" s="8" t="str">
        <f t="shared" si="48"/>
        <v/>
      </c>
      <c r="BA191" s="24"/>
      <c r="BC191" s="12"/>
    </row>
    <row r="192" spans="1:55" x14ac:dyDescent="0.25">
      <c r="A192" s="29">
        <f t="shared" ref="A192:A255" si="49">SUM(B192:F192)</f>
        <v>0</v>
      </c>
      <c r="B192" s="29">
        <f t="shared" si="35"/>
        <v>0</v>
      </c>
      <c r="C192" s="29">
        <f t="shared" si="36"/>
        <v>0</v>
      </c>
      <c r="D192" s="29">
        <f t="shared" si="37"/>
        <v>0</v>
      </c>
      <c r="E192" s="29">
        <f t="shared" si="34"/>
        <v>0</v>
      </c>
      <c r="F192" s="29">
        <f t="shared" si="38"/>
        <v>0</v>
      </c>
      <c r="G192" s="29" t="str">
        <f t="shared" si="39"/>
        <v>offensive</v>
      </c>
      <c r="H192" s="16">
        <f t="shared" si="40"/>
        <v>0</v>
      </c>
      <c r="I192" s="16">
        <f t="shared" si="41"/>
        <v>0</v>
      </c>
      <c r="J192" s="16">
        <f t="shared" si="42"/>
        <v>0</v>
      </c>
      <c r="K192" s="16">
        <f t="shared" si="43"/>
        <v>0</v>
      </c>
      <c r="L192" s="67">
        <f t="shared" si="44"/>
        <v>0</v>
      </c>
      <c r="M192" s="4">
        <f t="shared" si="45"/>
        <v>0</v>
      </c>
      <c r="N192" s="4">
        <f t="shared" si="46"/>
        <v>0</v>
      </c>
      <c r="O192" s="4">
        <f t="shared" si="47"/>
        <v>0</v>
      </c>
      <c r="P192" s="4" t="e">
        <f>VLOOKUP(AJ184,'CIR Team Info'!$C$5:$E$44,2,FALSE)</f>
        <v>#N/A</v>
      </c>
      <c r="Q192" s="4" t="e">
        <f>VLOOKUP(AJ184,'CIR Team Info'!$C$5:$E$44,3,FALSE)</f>
        <v>#N/A</v>
      </c>
      <c r="R192" s="10" t="e">
        <f>VLOOKUP(AJ184,'FRC Site Data'!$B$3:$L$42,2,FALSE)</f>
        <v>#N/A</v>
      </c>
      <c r="S192" s="10" t="e">
        <f>VLOOKUP(AJ184,'FRC Site Data'!$B$3:$L$42,3,FALSE)</f>
        <v>#N/A</v>
      </c>
      <c r="T192" s="10" t="e">
        <f>VLOOKUP(AJ184,'FRC Site Data'!$B$3:$L$42,4,FALSE)</f>
        <v>#N/A</v>
      </c>
      <c r="U192" s="10" t="e">
        <f>VLOOKUP(AJ184,'FRC Site Data'!$B$3:$L$42,5,FALSE)</f>
        <v>#N/A</v>
      </c>
      <c r="V192" s="10" t="e">
        <f>VLOOKUP(AJ184,'FRC Site Data'!$B$3:$L$42,6,FALSE)</f>
        <v>#N/A</v>
      </c>
      <c r="W192" s="10" t="e">
        <f>VLOOKUP(AJ184,'FRC Site Data'!$B$3:$L$42,8,FALSE)</f>
        <v>#N/A</v>
      </c>
      <c r="X192" s="10" t="e">
        <f>VLOOKUP(AJ184,'FRC Site Data'!$B$3:$L$42,9,FALSE)</f>
        <v>#N/A</v>
      </c>
      <c r="Y192" s="10" t="e">
        <f>VLOOKUP(AJ184,'FRC Site Data'!$B$3:$L$42,10,FALSE)</f>
        <v>#N/A</v>
      </c>
      <c r="Z192" s="10" t="e">
        <f>VLOOKUP(AJ184,'FRC Site Data'!$B$3:$L$42,11,FALSE)</f>
        <v>#N/A</v>
      </c>
      <c r="AA192" s="10" t="e">
        <f>VLOOKUP(AJ184,'CIR Team Info'!$C$5:$E$44,4,FALSE)</f>
        <v>#N/A</v>
      </c>
      <c r="AB192" s="161" t="b">
        <f>ISNUMBER(VLOOKUP(AJ184,Match!$T$5:$T$10,1,FALSE))</f>
        <v>0</v>
      </c>
      <c r="AC192" s="161" t="b">
        <f>IF(AB192=TRUE,(VLOOKUP($AJ184,Match!$T$5:$U$10,2,FALSE)))</f>
        <v>0</v>
      </c>
      <c r="AD192" s="8">
        <v>3</v>
      </c>
      <c r="AE192" s="8">
        <v>2</v>
      </c>
      <c r="AF192" s="8">
        <v>2</v>
      </c>
      <c r="AG192" s="8">
        <v>1</v>
      </c>
      <c r="AH192" s="8" t="str">
        <f t="shared" si="48"/>
        <v/>
      </c>
      <c r="BA192" s="24"/>
      <c r="BC192" s="12"/>
    </row>
    <row r="193" spans="1:55" x14ac:dyDescent="0.25">
      <c r="A193" s="29">
        <f t="shared" si="49"/>
        <v>0</v>
      </c>
      <c r="B193" s="29">
        <f t="shared" si="35"/>
        <v>0</v>
      </c>
      <c r="C193" s="29">
        <f t="shared" si="36"/>
        <v>0</v>
      </c>
      <c r="D193" s="29">
        <f t="shared" si="37"/>
        <v>0</v>
      </c>
      <c r="E193" s="29">
        <f t="shared" ref="E193:E256" si="50">K193*O193</f>
        <v>0</v>
      </c>
      <c r="F193" s="29">
        <f t="shared" si="38"/>
        <v>0</v>
      </c>
      <c r="G193" s="29" t="str">
        <f t="shared" si="39"/>
        <v>offensive</v>
      </c>
      <c r="H193" s="16">
        <f t="shared" si="40"/>
        <v>0</v>
      </c>
      <c r="I193" s="16">
        <f t="shared" si="41"/>
        <v>0</v>
      </c>
      <c r="J193" s="16">
        <f t="shared" si="42"/>
        <v>0</v>
      </c>
      <c r="K193" s="16">
        <f t="shared" si="43"/>
        <v>0</v>
      </c>
      <c r="L193" s="67">
        <f t="shared" si="44"/>
        <v>0</v>
      </c>
      <c r="M193" s="4">
        <f t="shared" si="45"/>
        <v>0</v>
      </c>
      <c r="N193" s="4">
        <f t="shared" si="46"/>
        <v>0</v>
      </c>
      <c r="O193" s="4">
        <f t="shared" si="47"/>
        <v>0</v>
      </c>
      <c r="P193" s="4" t="e">
        <f>VLOOKUP(AJ185,'CIR Team Info'!$C$5:$E$44,2,FALSE)</f>
        <v>#N/A</v>
      </c>
      <c r="Q193" s="4" t="e">
        <f>VLOOKUP(AJ185,'CIR Team Info'!$C$5:$E$44,3,FALSE)</f>
        <v>#N/A</v>
      </c>
      <c r="R193" s="10" t="e">
        <f>VLOOKUP(AJ185,'FRC Site Data'!$B$3:$L$42,2,FALSE)</f>
        <v>#N/A</v>
      </c>
      <c r="S193" s="10" t="e">
        <f>VLOOKUP(AJ185,'FRC Site Data'!$B$3:$L$42,3,FALSE)</f>
        <v>#N/A</v>
      </c>
      <c r="T193" s="10" t="e">
        <f>VLOOKUP(AJ185,'FRC Site Data'!$B$3:$L$42,4,FALSE)</f>
        <v>#N/A</v>
      </c>
      <c r="U193" s="10" t="e">
        <f>VLOOKUP(AJ185,'FRC Site Data'!$B$3:$L$42,5,FALSE)</f>
        <v>#N/A</v>
      </c>
      <c r="V193" s="10" t="e">
        <f>VLOOKUP(AJ185,'FRC Site Data'!$B$3:$L$42,6,FALSE)</f>
        <v>#N/A</v>
      </c>
      <c r="W193" s="10" t="e">
        <f>VLOOKUP(AJ185,'FRC Site Data'!$B$3:$L$42,8,FALSE)</f>
        <v>#N/A</v>
      </c>
      <c r="X193" s="10" t="e">
        <f>VLOOKUP(AJ185,'FRC Site Data'!$B$3:$L$42,9,FALSE)</f>
        <v>#N/A</v>
      </c>
      <c r="Y193" s="10" t="e">
        <f>VLOOKUP(AJ185,'FRC Site Data'!$B$3:$L$42,10,FALSE)</f>
        <v>#N/A</v>
      </c>
      <c r="Z193" s="10" t="e">
        <f>VLOOKUP(AJ185,'FRC Site Data'!$B$3:$L$42,11,FALSE)</f>
        <v>#N/A</v>
      </c>
      <c r="AA193" s="10" t="e">
        <f>VLOOKUP(AJ185,'CIR Team Info'!$C$5:$E$44,4,FALSE)</f>
        <v>#N/A</v>
      </c>
      <c r="AB193" s="161" t="b">
        <f>ISNUMBER(VLOOKUP(AJ185,Match!$T$5:$T$10,1,FALSE))</f>
        <v>0</v>
      </c>
      <c r="AC193" s="161" t="b">
        <f>IF(AB193=TRUE,(VLOOKUP($AJ185,Match!$T$5:$U$10,2,FALSE)))</f>
        <v>0</v>
      </c>
      <c r="AD193" s="8">
        <v>3</v>
      </c>
      <c r="AE193" s="8">
        <v>2</v>
      </c>
      <c r="AF193" s="8">
        <v>2</v>
      </c>
      <c r="AG193" s="8">
        <v>1</v>
      </c>
      <c r="AH193" s="8" t="str">
        <f t="shared" si="48"/>
        <v/>
      </c>
      <c r="BA193" s="24"/>
      <c r="BC193" s="12"/>
    </row>
    <row r="194" spans="1:55" x14ac:dyDescent="0.25">
      <c r="A194" s="29">
        <f t="shared" si="49"/>
        <v>0</v>
      </c>
      <c r="B194" s="29">
        <f t="shared" si="35"/>
        <v>0</v>
      </c>
      <c r="C194" s="29">
        <f t="shared" si="36"/>
        <v>0</v>
      </c>
      <c r="D194" s="29">
        <f t="shared" si="37"/>
        <v>0</v>
      </c>
      <c r="E194" s="29">
        <f t="shared" si="50"/>
        <v>0</v>
      </c>
      <c r="F194" s="29">
        <f t="shared" si="38"/>
        <v>0</v>
      </c>
      <c r="G194" s="29" t="str">
        <f t="shared" si="39"/>
        <v>offensive</v>
      </c>
      <c r="H194" s="16">
        <f t="shared" si="40"/>
        <v>0</v>
      </c>
      <c r="I194" s="16">
        <f t="shared" si="41"/>
        <v>0</v>
      </c>
      <c r="J194" s="16">
        <f t="shared" si="42"/>
        <v>0</v>
      </c>
      <c r="K194" s="16">
        <f t="shared" si="43"/>
        <v>0</v>
      </c>
      <c r="L194" s="67">
        <f t="shared" si="44"/>
        <v>0</v>
      </c>
      <c r="M194" s="4">
        <f t="shared" si="45"/>
        <v>0</v>
      </c>
      <c r="N194" s="4">
        <f t="shared" si="46"/>
        <v>0</v>
      </c>
      <c r="O194" s="4">
        <f t="shared" si="47"/>
        <v>0</v>
      </c>
      <c r="P194" s="4" t="e">
        <f>VLOOKUP(AJ186,'CIR Team Info'!$C$5:$E$44,2,FALSE)</f>
        <v>#N/A</v>
      </c>
      <c r="Q194" s="4" t="e">
        <f>VLOOKUP(AJ186,'CIR Team Info'!$C$5:$E$44,3,FALSE)</f>
        <v>#N/A</v>
      </c>
      <c r="R194" s="10" t="e">
        <f>VLOOKUP(AJ186,'FRC Site Data'!$B$3:$L$42,2,FALSE)</f>
        <v>#N/A</v>
      </c>
      <c r="S194" s="10" t="e">
        <f>VLOOKUP(AJ186,'FRC Site Data'!$B$3:$L$42,3,FALSE)</f>
        <v>#N/A</v>
      </c>
      <c r="T194" s="10" t="e">
        <f>VLOOKUP(AJ186,'FRC Site Data'!$B$3:$L$42,4,FALSE)</f>
        <v>#N/A</v>
      </c>
      <c r="U194" s="10" t="e">
        <f>VLOOKUP(AJ186,'FRC Site Data'!$B$3:$L$42,5,FALSE)</f>
        <v>#N/A</v>
      </c>
      <c r="V194" s="10" t="e">
        <f>VLOOKUP(AJ186,'FRC Site Data'!$B$3:$L$42,6,FALSE)</f>
        <v>#N/A</v>
      </c>
      <c r="W194" s="10" t="e">
        <f>VLOOKUP(AJ186,'FRC Site Data'!$B$3:$L$42,8,FALSE)</f>
        <v>#N/A</v>
      </c>
      <c r="X194" s="10" t="e">
        <f>VLOOKUP(AJ186,'FRC Site Data'!$B$3:$L$42,9,FALSE)</f>
        <v>#N/A</v>
      </c>
      <c r="Y194" s="10" t="e">
        <f>VLOOKUP(AJ186,'FRC Site Data'!$B$3:$L$42,10,FALSE)</f>
        <v>#N/A</v>
      </c>
      <c r="Z194" s="10" t="e">
        <f>VLOOKUP(AJ186,'FRC Site Data'!$B$3:$L$42,11,FALSE)</f>
        <v>#N/A</v>
      </c>
      <c r="AA194" s="10" t="e">
        <f>VLOOKUP(AJ186,'CIR Team Info'!$C$5:$E$44,4,FALSE)</f>
        <v>#N/A</v>
      </c>
      <c r="AB194" s="161" t="b">
        <f>ISNUMBER(VLOOKUP(AJ186,Match!$T$5:$T$10,1,FALSE))</f>
        <v>0</v>
      </c>
      <c r="AC194" s="161" t="b">
        <f>IF(AB194=TRUE,(VLOOKUP($AJ186,Match!$T$5:$U$10,2,FALSE)))</f>
        <v>0</v>
      </c>
      <c r="AD194" s="8">
        <v>3</v>
      </c>
      <c r="AE194" s="8">
        <v>2</v>
      </c>
      <c r="AF194" s="8">
        <v>2</v>
      </c>
      <c r="AG194" s="8">
        <v>1</v>
      </c>
      <c r="AH194" s="8" t="str">
        <f t="shared" si="48"/>
        <v/>
      </c>
      <c r="BA194" s="24"/>
      <c r="BC194" s="12"/>
    </row>
    <row r="195" spans="1:55" x14ac:dyDescent="0.25">
      <c r="A195" s="29">
        <f t="shared" si="49"/>
        <v>0</v>
      </c>
      <c r="B195" s="29">
        <f t="shared" si="35"/>
        <v>0</v>
      </c>
      <c r="C195" s="29">
        <f t="shared" si="36"/>
        <v>0</v>
      </c>
      <c r="D195" s="29">
        <f t="shared" si="37"/>
        <v>0</v>
      </c>
      <c r="E195" s="29">
        <f t="shared" si="50"/>
        <v>0</v>
      </c>
      <c r="F195" s="29">
        <f t="shared" si="38"/>
        <v>0</v>
      </c>
      <c r="G195" s="29" t="str">
        <f t="shared" si="39"/>
        <v>offensive</v>
      </c>
      <c r="H195" s="16">
        <f t="shared" si="40"/>
        <v>0</v>
      </c>
      <c r="I195" s="16">
        <f t="shared" si="41"/>
        <v>0</v>
      </c>
      <c r="J195" s="16">
        <f t="shared" si="42"/>
        <v>0</v>
      </c>
      <c r="K195" s="16">
        <f t="shared" si="43"/>
        <v>0</v>
      </c>
      <c r="L195" s="67">
        <f t="shared" si="44"/>
        <v>0</v>
      </c>
      <c r="M195" s="4">
        <f t="shared" si="45"/>
        <v>0</v>
      </c>
      <c r="N195" s="4">
        <f t="shared" si="46"/>
        <v>0</v>
      </c>
      <c r="O195" s="4">
        <f t="shared" si="47"/>
        <v>0</v>
      </c>
      <c r="P195" s="4" t="e">
        <f>VLOOKUP(AJ187,'CIR Team Info'!$C$5:$E$44,2,FALSE)</f>
        <v>#N/A</v>
      </c>
      <c r="Q195" s="4" t="e">
        <f>VLOOKUP(AJ187,'CIR Team Info'!$C$5:$E$44,3,FALSE)</f>
        <v>#N/A</v>
      </c>
      <c r="R195" s="10" t="e">
        <f>VLOOKUP(AJ187,'FRC Site Data'!$B$3:$L$42,2,FALSE)</f>
        <v>#N/A</v>
      </c>
      <c r="S195" s="10" t="e">
        <f>VLOOKUP(AJ187,'FRC Site Data'!$B$3:$L$42,3,FALSE)</f>
        <v>#N/A</v>
      </c>
      <c r="T195" s="10" t="e">
        <f>VLOOKUP(AJ187,'FRC Site Data'!$B$3:$L$42,4,FALSE)</f>
        <v>#N/A</v>
      </c>
      <c r="U195" s="10" t="e">
        <f>VLOOKUP(AJ187,'FRC Site Data'!$B$3:$L$42,5,FALSE)</f>
        <v>#N/A</v>
      </c>
      <c r="V195" s="10" t="e">
        <f>VLOOKUP(AJ187,'FRC Site Data'!$B$3:$L$42,6,FALSE)</f>
        <v>#N/A</v>
      </c>
      <c r="W195" s="10" t="e">
        <f>VLOOKUP(AJ187,'FRC Site Data'!$B$3:$L$42,8,FALSE)</f>
        <v>#N/A</v>
      </c>
      <c r="X195" s="10" t="e">
        <f>VLOOKUP(AJ187,'FRC Site Data'!$B$3:$L$42,9,FALSE)</f>
        <v>#N/A</v>
      </c>
      <c r="Y195" s="10" t="e">
        <f>VLOOKUP(AJ187,'FRC Site Data'!$B$3:$L$42,10,FALSE)</f>
        <v>#N/A</v>
      </c>
      <c r="Z195" s="10" t="e">
        <f>VLOOKUP(AJ187,'FRC Site Data'!$B$3:$L$42,11,FALSE)</f>
        <v>#N/A</v>
      </c>
      <c r="AA195" s="10" t="e">
        <f>VLOOKUP(AJ187,'CIR Team Info'!$C$5:$E$44,4,FALSE)</f>
        <v>#N/A</v>
      </c>
      <c r="AB195" s="161" t="b">
        <f>ISNUMBER(VLOOKUP(AJ187,Match!$T$5:$T$10,1,FALSE))</f>
        <v>0</v>
      </c>
      <c r="AC195" s="161" t="b">
        <f>IF(AB195=TRUE,(VLOOKUP($AJ187,Match!$T$5:$U$10,2,FALSE)))</f>
        <v>0</v>
      </c>
      <c r="AD195" s="8">
        <v>3</v>
      </c>
      <c r="AE195" s="8">
        <v>2</v>
      </c>
      <c r="AF195" s="8">
        <v>2</v>
      </c>
      <c r="AG195" s="8">
        <v>1</v>
      </c>
      <c r="AH195" s="8" t="str">
        <f t="shared" si="48"/>
        <v/>
      </c>
      <c r="BA195" s="24"/>
      <c r="BC195" s="12"/>
    </row>
    <row r="196" spans="1:55" x14ac:dyDescent="0.25">
      <c r="A196" s="29">
        <f t="shared" si="49"/>
        <v>0</v>
      </c>
      <c r="B196" s="29">
        <f t="shared" si="35"/>
        <v>0</v>
      </c>
      <c r="C196" s="29">
        <f t="shared" si="36"/>
        <v>0</v>
      </c>
      <c r="D196" s="29">
        <f t="shared" si="37"/>
        <v>0</v>
      </c>
      <c r="E196" s="29">
        <f t="shared" si="50"/>
        <v>0</v>
      </c>
      <c r="F196" s="29">
        <f t="shared" si="38"/>
        <v>0</v>
      </c>
      <c r="G196" s="29" t="str">
        <f t="shared" si="39"/>
        <v>offensive</v>
      </c>
      <c r="H196" s="16">
        <f t="shared" si="40"/>
        <v>0</v>
      </c>
      <c r="I196" s="16">
        <f t="shared" si="41"/>
        <v>0</v>
      </c>
      <c r="J196" s="16">
        <f t="shared" si="42"/>
        <v>0</v>
      </c>
      <c r="K196" s="16">
        <f t="shared" si="43"/>
        <v>0</v>
      </c>
      <c r="L196" s="67">
        <f t="shared" si="44"/>
        <v>0</v>
      </c>
      <c r="M196" s="4">
        <f t="shared" si="45"/>
        <v>0</v>
      </c>
      <c r="N196" s="4">
        <f t="shared" si="46"/>
        <v>0</v>
      </c>
      <c r="O196" s="4">
        <f t="shared" si="47"/>
        <v>0</v>
      </c>
      <c r="P196" s="4" t="e">
        <f>VLOOKUP(AJ188,'CIR Team Info'!$C$5:$E$44,2,FALSE)</f>
        <v>#N/A</v>
      </c>
      <c r="Q196" s="4" t="e">
        <f>VLOOKUP(AJ188,'CIR Team Info'!$C$5:$E$44,3,FALSE)</f>
        <v>#N/A</v>
      </c>
      <c r="R196" s="10" t="e">
        <f>VLOOKUP(AJ188,'FRC Site Data'!$B$3:$L$42,2,FALSE)</f>
        <v>#N/A</v>
      </c>
      <c r="S196" s="10" t="e">
        <f>VLOOKUP(AJ188,'FRC Site Data'!$B$3:$L$42,3,FALSE)</f>
        <v>#N/A</v>
      </c>
      <c r="T196" s="10" t="e">
        <f>VLOOKUP(AJ188,'FRC Site Data'!$B$3:$L$42,4,FALSE)</f>
        <v>#N/A</v>
      </c>
      <c r="U196" s="10" t="e">
        <f>VLOOKUP(AJ188,'FRC Site Data'!$B$3:$L$42,5,FALSE)</f>
        <v>#N/A</v>
      </c>
      <c r="V196" s="10" t="e">
        <f>VLOOKUP(AJ188,'FRC Site Data'!$B$3:$L$42,6,FALSE)</f>
        <v>#N/A</v>
      </c>
      <c r="W196" s="10" t="e">
        <f>VLOOKUP(AJ188,'FRC Site Data'!$B$3:$L$42,8,FALSE)</f>
        <v>#N/A</v>
      </c>
      <c r="X196" s="10" t="e">
        <f>VLOOKUP(AJ188,'FRC Site Data'!$B$3:$L$42,9,FALSE)</f>
        <v>#N/A</v>
      </c>
      <c r="Y196" s="10" t="e">
        <f>VLOOKUP(AJ188,'FRC Site Data'!$B$3:$L$42,10,FALSE)</f>
        <v>#N/A</v>
      </c>
      <c r="Z196" s="10" t="e">
        <f>VLOOKUP(AJ188,'FRC Site Data'!$B$3:$L$42,11,FALSE)</f>
        <v>#N/A</v>
      </c>
      <c r="AA196" s="10" t="e">
        <f>VLOOKUP(AJ188,'CIR Team Info'!$C$5:$E$44,4,FALSE)</f>
        <v>#N/A</v>
      </c>
      <c r="AB196" s="161" t="b">
        <f>ISNUMBER(VLOOKUP(AJ188,Match!$T$5:$T$10,1,FALSE))</f>
        <v>0</v>
      </c>
      <c r="AC196" s="161" t="b">
        <f>IF(AB196=TRUE,(VLOOKUP($AJ188,Match!$T$5:$U$10,2,FALSE)))</f>
        <v>0</v>
      </c>
      <c r="AD196" s="8">
        <v>3</v>
      </c>
      <c r="AE196" s="8">
        <v>2</v>
      </c>
      <c r="AF196" s="8">
        <v>2</v>
      </c>
      <c r="AG196" s="8">
        <v>1</v>
      </c>
      <c r="AH196" s="8" t="str">
        <f t="shared" si="48"/>
        <v/>
      </c>
      <c r="BA196" s="24"/>
      <c r="BC196" s="12"/>
    </row>
    <row r="197" spans="1:55" x14ac:dyDescent="0.25">
      <c r="A197" s="29">
        <f t="shared" si="49"/>
        <v>0</v>
      </c>
      <c r="B197" s="29">
        <f t="shared" si="35"/>
        <v>0</v>
      </c>
      <c r="C197" s="29">
        <f t="shared" si="36"/>
        <v>0</v>
      </c>
      <c r="D197" s="29">
        <f t="shared" si="37"/>
        <v>0</v>
      </c>
      <c r="E197" s="29">
        <f t="shared" si="50"/>
        <v>0</v>
      </c>
      <c r="F197" s="29">
        <f t="shared" si="38"/>
        <v>0</v>
      </c>
      <c r="G197" s="29" t="str">
        <f t="shared" si="39"/>
        <v>offensive</v>
      </c>
      <c r="H197" s="16">
        <f t="shared" si="40"/>
        <v>0</v>
      </c>
      <c r="I197" s="16">
        <f t="shared" si="41"/>
        <v>0</v>
      </c>
      <c r="J197" s="16">
        <f t="shared" si="42"/>
        <v>0</v>
      </c>
      <c r="K197" s="16">
        <f t="shared" si="43"/>
        <v>0</v>
      </c>
      <c r="L197" s="67">
        <f t="shared" si="44"/>
        <v>0</v>
      </c>
      <c r="M197" s="4">
        <f t="shared" si="45"/>
        <v>0</v>
      </c>
      <c r="N197" s="4">
        <f t="shared" si="46"/>
        <v>0</v>
      </c>
      <c r="O197" s="4">
        <f t="shared" si="47"/>
        <v>0</v>
      </c>
      <c r="P197" s="4" t="e">
        <f>VLOOKUP(AJ189,'CIR Team Info'!$C$5:$E$44,2,FALSE)</f>
        <v>#N/A</v>
      </c>
      <c r="Q197" s="4" t="e">
        <f>VLOOKUP(AJ189,'CIR Team Info'!$C$5:$E$44,3,FALSE)</f>
        <v>#N/A</v>
      </c>
      <c r="R197" s="10" t="e">
        <f>VLOOKUP(AJ189,'FRC Site Data'!$B$3:$L$42,2,FALSE)</f>
        <v>#N/A</v>
      </c>
      <c r="S197" s="10" t="e">
        <f>VLOOKUP(AJ189,'FRC Site Data'!$B$3:$L$42,3,FALSE)</f>
        <v>#N/A</v>
      </c>
      <c r="T197" s="10" t="e">
        <f>VLOOKUP(AJ189,'FRC Site Data'!$B$3:$L$42,4,FALSE)</f>
        <v>#N/A</v>
      </c>
      <c r="U197" s="10" t="e">
        <f>VLOOKUP(AJ189,'FRC Site Data'!$B$3:$L$42,5,FALSE)</f>
        <v>#N/A</v>
      </c>
      <c r="V197" s="10" t="e">
        <f>VLOOKUP(AJ189,'FRC Site Data'!$B$3:$L$42,6,FALSE)</f>
        <v>#N/A</v>
      </c>
      <c r="W197" s="10" t="e">
        <f>VLOOKUP(AJ189,'FRC Site Data'!$B$3:$L$42,8,FALSE)</f>
        <v>#N/A</v>
      </c>
      <c r="X197" s="10" t="e">
        <f>VLOOKUP(AJ189,'FRC Site Data'!$B$3:$L$42,9,FALSE)</f>
        <v>#N/A</v>
      </c>
      <c r="Y197" s="10" t="e">
        <f>VLOOKUP(AJ189,'FRC Site Data'!$B$3:$L$42,10,FALSE)</f>
        <v>#N/A</v>
      </c>
      <c r="Z197" s="10" t="e">
        <f>VLOOKUP(AJ189,'FRC Site Data'!$B$3:$L$42,11,FALSE)</f>
        <v>#N/A</v>
      </c>
      <c r="AA197" s="10" t="e">
        <f>VLOOKUP(AJ189,'CIR Team Info'!$C$5:$E$44,4,FALSE)</f>
        <v>#N/A</v>
      </c>
      <c r="AB197" s="161" t="b">
        <f>ISNUMBER(VLOOKUP(AJ189,Match!$T$5:$T$10,1,FALSE))</f>
        <v>0</v>
      </c>
      <c r="AC197" s="161" t="b">
        <f>IF(AB197=TRUE,(VLOOKUP($AJ189,Match!$T$5:$U$10,2,FALSE)))</f>
        <v>0</v>
      </c>
      <c r="AD197" s="8">
        <v>3</v>
      </c>
      <c r="AE197" s="8">
        <v>2</v>
      </c>
      <c r="AF197" s="8">
        <v>2</v>
      </c>
      <c r="AG197" s="8">
        <v>1</v>
      </c>
      <c r="AH197" s="8" t="str">
        <f t="shared" si="48"/>
        <v/>
      </c>
      <c r="BA197" s="24"/>
    </row>
    <row r="198" spans="1:55" x14ac:dyDescent="0.25">
      <c r="A198" s="29">
        <f t="shared" si="49"/>
        <v>0</v>
      </c>
      <c r="B198" s="29">
        <f t="shared" si="35"/>
        <v>0</v>
      </c>
      <c r="C198" s="29">
        <f t="shared" si="36"/>
        <v>0</v>
      </c>
      <c r="D198" s="29">
        <f t="shared" si="37"/>
        <v>0</v>
      </c>
      <c r="E198" s="29">
        <f t="shared" si="50"/>
        <v>0</v>
      </c>
      <c r="F198" s="29">
        <f t="shared" si="38"/>
        <v>0</v>
      </c>
      <c r="G198" s="29" t="str">
        <f t="shared" si="39"/>
        <v>offensive</v>
      </c>
      <c r="H198" s="16">
        <f t="shared" si="40"/>
        <v>0</v>
      </c>
      <c r="I198" s="16">
        <f t="shared" si="41"/>
        <v>0</v>
      </c>
      <c r="J198" s="16">
        <f t="shared" si="42"/>
        <v>0</v>
      </c>
      <c r="K198" s="16">
        <f t="shared" si="43"/>
        <v>0</v>
      </c>
      <c r="L198" s="67">
        <f t="shared" si="44"/>
        <v>0</v>
      </c>
      <c r="M198" s="4">
        <f t="shared" si="45"/>
        <v>0</v>
      </c>
      <c r="N198" s="4">
        <f t="shared" si="46"/>
        <v>0</v>
      </c>
      <c r="O198" s="4">
        <f t="shared" si="47"/>
        <v>0</v>
      </c>
      <c r="P198" s="4" t="e">
        <f>VLOOKUP(AJ190,'CIR Team Info'!$C$5:$E$44,2,FALSE)</f>
        <v>#N/A</v>
      </c>
      <c r="Q198" s="4" t="e">
        <f>VLOOKUP(AJ190,'CIR Team Info'!$C$5:$E$44,3,FALSE)</f>
        <v>#N/A</v>
      </c>
      <c r="R198" s="10" t="e">
        <f>VLOOKUP(AJ190,'FRC Site Data'!$B$3:$L$42,2,FALSE)</f>
        <v>#N/A</v>
      </c>
      <c r="S198" s="10" t="e">
        <f>VLOOKUP(AJ190,'FRC Site Data'!$B$3:$L$42,3,FALSE)</f>
        <v>#N/A</v>
      </c>
      <c r="T198" s="10" t="e">
        <f>VLOOKUP(AJ190,'FRC Site Data'!$B$3:$L$42,4,FALSE)</f>
        <v>#N/A</v>
      </c>
      <c r="U198" s="10" t="e">
        <f>VLOOKUP(AJ190,'FRC Site Data'!$B$3:$L$42,5,FALSE)</f>
        <v>#N/A</v>
      </c>
      <c r="V198" s="10" t="e">
        <f>VLOOKUP(AJ190,'FRC Site Data'!$B$3:$L$42,6,FALSE)</f>
        <v>#N/A</v>
      </c>
      <c r="W198" s="10" t="e">
        <f>VLOOKUP(AJ190,'FRC Site Data'!$B$3:$L$42,8,FALSE)</f>
        <v>#N/A</v>
      </c>
      <c r="X198" s="10" t="e">
        <f>VLOOKUP(AJ190,'FRC Site Data'!$B$3:$L$42,9,FALSE)</f>
        <v>#N/A</v>
      </c>
      <c r="Y198" s="10" t="e">
        <f>VLOOKUP(AJ190,'FRC Site Data'!$B$3:$L$42,10,FALSE)</f>
        <v>#N/A</v>
      </c>
      <c r="Z198" s="10" t="e">
        <f>VLOOKUP(AJ190,'FRC Site Data'!$B$3:$L$42,11,FALSE)</f>
        <v>#N/A</v>
      </c>
      <c r="AA198" s="10" t="e">
        <f>VLOOKUP(AJ190,'CIR Team Info'!$C$5:$E$44,4,FALSE)</f>
        <v>#N/A</v>
      </c>
      <c r="AB198" s="161" t="b">
        <f>ISNUMBER(VLOOKUP(AJ190,Match!$T$5:$T$10,1,FALSE))</f>
        <v>0</v>
      </c>
      <c r="AC198" s="161" t="b">
        <f>IF(AB198=TRUE,(VLOOKUP($AJ190,Match!$T$5:$U$10,2,FALSE)))</f>
        <v>0</v>
      </c>
      <c r="AD198" s="8">
        <v>3</v>
      </c>
      <c r="AE198" s="8">
        <v>2</v>
      </c>
      <c r="AF198" s="8">
        <v>2</v>
      </c>
      <c r="AG198" s="8">
        <v>1</v>
      </c>
      <c r="AH198" s="8" t="str">
        <f t="shared" si="48"/>
        <v/>
      </c>
      <c r="BA198" s="24"/>
      <c r="BC198" s="12"/>
    </row>
    <row r="199" spans="1:55" x14ac:dyDescent="0.25">
      <c r="A199" s="29">
        <f t="shared" si="49"/>
        <v>0</v>
      </c>
      <c r="B199" s="29">
        <f t="shared" si="35"/>
        <v>0</v>
      </c>
      <c r="C199" s="29">
        <f t="shared" si="36"/>
        <v>0</v>
      </c>
      <c r="D199" s="29">
        <f t="shared" si="37"/>
        <v>0</v>
      </c>
      <c r="E199" s="29">
        <f t="shared" si="50"/>
        <v>0</v>
      </c>
      <c r="F199" s="29">
        <f t="shared" si="38"/>
        <v>0</v>
      </c>
      <c r="G199" s="29" t="str">
        <f t="shared" si="39"/>
        <v>offensive</v>
      </c>
      <c r="H199" s="16">
        <f t="shared" si="40"/>
        <v>0</v>
      </c>
      <c r="I199" s="16">
        <f t="shared" si="41"/>
        <v>0</v>
      </c>
      <c r="J199" s="16">
        <f t="shared" si="42"/>
        <v>0</v>
      </c>
      <c r="K199" s="16">
        <f t="shared" si="43"/>
        <v>0</v>
      </c>
      <c r="L199" s="67">
        <f t="shared" si="44"/>
        <v>0</v>
      </c>
      <c r="M199" s="4">
        <f t="shared" si="45"/>
        <v>0</v>
      </c>
      <c r="N199" s="4">
        <f t="shared" si="46"/>
        <v>0</v>
      </c>
      <c r="O199" s="4">
        <f t="shared" si="47"/>
        <v>0</v>
      </c>
      <c r="P199" s="4" t="e">
        <f>VLOOKUP(AJ191,'CIR Team Info'!$C$5:$E$44,2,FALSE)</f>
        <v>#N/A</v>
      </c>
      <c r="Q199" s="4" t="e">
        <f>VLOOKUP(AJ191,'CIR Team Info'!$C$5:$E$44,3,FALSE)</f>
        <v>#N/A</v>
      </c>
      <c r="R199" s="10" t="e">
        <f>VLOOKUP(AJ191,'FRC Site Data'!$B$3:$L$42,2,FALSE)</f>
        <v>#N/A</v>
      </c>
      <c r="S199" s="10" t="e">
        <f>VLOOKUP(AJ191,'FRC Site Data'!$B$3:$L$42,3,FALSE)</f>
        <v>#N/A</v>
      </c>
      <c r="T199" s="10" t="e">
        <f>VLOOKUP(AJ191,'FRC Site Data'!$B$3:$L$42,4,FALSE)</f>
        <v>#N/A</v>
      </c>
      <c r="U199" s="10" t="e">
        <f>VLOOKUP(AJ191,'FRC Site Data'!$B$3:$L$42,5,FALSE)</f>
        <v>#N/A</v>
      </c>
      <c r="V199" s="10" t="e">
        <f>VLOOKUP(AJ191,'FRC Site Data'!$B$3:$L$42,6,FALSE)</f>
        <v>#N/A</v>
      </c>
      <c r="W199" s="10" t="e">
        <f>VLOOKUP(AJ191,'FRC Site Data'!$B$3:$L$42,8,FALSE)</f>
        <v>#N/A</v>
      </c>
      <c r="X199" s="10" t="e">
        <f>VLOOKUP(AJ191,'FRC Site Data'!$B$3:$L$42,9,FALSE)</f>
        <v>#N/A</v>
      </c>
      <c r="Y199" s="10" t="e">
        <f>VLOOKUP(AJ191,'FRC Site Data'!$B$3:$L$42,10,FALSE)</f>
        <v>#N/A</v>
      </c>
      <c r="Z199" s="10" t="e">
        <f>VLOOKUP(AJ191,'FRC Site Data'!$B$3:$L$42,11,FALSE)</f>
        <v>#N/A</v>
      </c>
      <c r="AA199" s="10" t="e">
        <f>VLOOKUP(AJ191,'CIR Team Info'!$C$5:$E$44,4,FALSE)</f>
        <v>#N/A</v>
      </c>
      <c r="AB199" s="161" t="b">
        <f>ISNUMBER(VLOOKUP(AJ191,Match!$T$5:$T$10,1,FALSE))</f>
        <v>0</v>
      </c>
      <c r="AC199" s="161" t="b">
        <f>IF(AB199=TRUE,(VLOOKUP($AJ191,Match!$T$5:$U$10,2,FALSE)))</f>
        <v>0</v>
      </c>
      <c r="AD199" s="8">
        <v>3</v>
      </c>
      <c r="AE199" s="8">
        <v>2</v>
      </c>
      <c r="AF199" s="8">
        <v>2</v>
      </c>
      <c r="AG199" s="8">
        <v>1</v>
      </c>
      <c r="AH199" s="8" t="str">
        <f t="shared" si="48"/>
        <v/>
      </c>
      <c r="BA199" s="24"/>
      <c r="BC199" s="12"/>
    </row>
    <row r="200" spans="1:55" x14ac:dyDescent="0.25">
      <c r="A200" s="29">
        <f t="shared" si="49"/>
        <v>0</v>
      </c>
      <c r="B200" s="29">
        <f t="shared" ref="B200:B263" si="51">H200*AD200*AO192</f>
        <v>0</v>
      </c>
      <c r="C200" s="29">
        <f t="shared" ref="C200:C263" si="52">I200*AE200*AV192</f>
        <v>0</v>
      </c>
      <c r="D200" s="29">
        <f t="shared" ref="D200:D263" si="53">J200*AF200*BF192</f>
        <v>0</v>
      </c>
      <c r="E200" s="29">
        <f t="shared" si="50"/>
        <v>0</v>
      </c>
      <c r="F200" s="29">
        <f t="shared" ref="F200:F263" si="54">IF(AN192&gt;0,5)-2*COUNTIF(AQ192,"K")+5*COUNTIF(AS192,"T")+IF(AX192=3,2)+IF(AY192="T",2)</f>
        <v>0</v>
      </c>
      <c r="G200" s="29" t="str">
        <f t="shared" ref="G200:G263" si="55">IF((BB192+BC192)&gt;45,"defensive",IF((BB192+BC192)&gt;15,"both","offensive"))</f>
        <v>offensive</v>
      </c>
      <c r="H200" s="16">
        <f t="shared" ref="H200:H263" si="56">IF((AO192+AP192)=0,0,AO192/(AO192+AP192))</f>
        <v>0</v>
      </c>
      <c r="I200" s="16">
        <f t="shared" ref="I200:I263" si="57">IF((AV192+AW192)=0,0,AV192/(AV192+AW192))</f>
        <v>0</v>
      </c>
      <c r="J200" s="16">
        <f t="shared" ref="J200:J263" si="58">IF(L200=0,0,BG192/L200)</f>
        <v>0</v>
      </c>
      <c r="K200" s="16">
        <f t="shared" ref="K200:K263" si="59">IF((BB192+BC192)=0,0,((AZ192*BB192*0.2)+(BA192*BC192*0.3))/(BB192+BC192))</f>
        <v>0</v>
      </c>
      <c r="L200" s="67">
        <f t="shared" ref="L200:L263" si="60">IF(BF192&gt;BG192,BF192,BG192)</f>
        <v>0</v>
      </c>
      <c r="M200" s="4">
        <f t="shared" ref="M200:M263" si="61">AO192+AV192+BD192+O200</f>
        <v>0</v>
      </c>
      <c r="N200" s="4">
        <f t="shared" ref="N200:N263" si="62">AO192+AV192+BD192</f>
        <v>0</v>
      </c>
      <c r="O200" s="4">
        <f t="shared" ref="O200:O263" si="63">(AZ192*0.2*BB192*30/30)+(BA192*0.3*BC192*12/30)-BI192-BJ192</f>
        <v>0</v>
      </c>
      <c r="P200" s="4" t="e">
        <f>VLOOKUP(AJ192,'CIR Team Info'!$C$5:$E$44,2,FALSE)</f>
        <v>#N/A</v>
      </c>
      <c r="Q200" s="4" t="e">
        <f>VLOOKUP(AJ192,'CIR Team Info'!$C$5:$E$44,3,FALSE)</f>
        <v>#N/A</v>
      </c>
      <c r="R200" s="10" t="e">
        <f>VLOOKUP(AJ192,'FRC Site Data'!$B$3:$L$42,2,FALSE)</f>
        <v>#N/A</v>
      </c>
      <c r="S200" s="10" t="e">
        <f>VLOOKUP(AJ192,'FRC Site Data'!$B$3:$L$42,3,FALSE)</f>
        <v>#N/A</v>
      </c>
      <c r="T200" s="10" t="e">
        <f>VLOOKUP(AJ192,'FRC Site Data'!$B$3:$L$42,4,FALSE)</f>
        <v>#N/A</v>
      </c>
      <c r="U200" s="10" t="e">
        <f>VLOOKUP(AJ192,'FRC Site Data'!$B$3:$L$42,5,FALSE)</f>
        <v>#N/A</v>
      </c>
      <c r="V200" s="10" t="e">
        <f>VLOOKUP(AJ192,'FRC Site Data'!$B$3:$L$42,6,FALSE)</f>
        <v>#N/A</v>
      </c>
      <c r="W200" s="10" t="e">
        <f>VLOOKUP(AJ192,'FRC Site Data'!$B$3:$L$42,8,FALSE)</f>
        <v>#N/A</v>
      </c>
      <c r="X200" s="10" t="e">
        <f>VLOOKUP(AJ192,'FRC Site Data'!$B$3:$L$42,9,FALSE)</f>
        <v>#N/A</v>
      </c>
      <c r="Y200" s="10" t="e">
        <f>VLOOKUP(AJ192,'FRC Site Data'!$B$3:$L$42,10,FALSE)</f>
        <v>#N/A</v>
      </c>
      <c r="Z200" s="10" t="e">
        <f>VLOOKUP(AJ192,'FRC Site Data'!$B$3:$L$42,11,FALSE)</f>
        <v>#N/A</v>
      </c>
      <c r="AA200" s="10" t="e">
        <f>VLOOKUP(AJ192,'CIR Team Info'!$C$5:$E$44,4,FALSE)</f>
        <v>#N/A</v>
      </c>
      <c r="AB200" s="161" t="b">
        <f>ISNUMBER(VLOOKUP(AJ192,Match!$T$5:$T$10,1,FALSE))</f>
        <v>0</v>
      </c>
      <c r="AC200" s="161" t="b">
        <f>IF(AB200=TRUE,(VLOOKUP($AJ192,Match!$T$5:$U$10,2,FALSE)))</f>
        <v>0</v>
      </c>
      <c r="AD200" s="8">
        <v>3</v>
      </c>
      <c r="AE200" s="8">
        <v>2</v>
      </c>
      <c r="AF200" s="8">
        <v>2</v>
      </c>
      <c r="AG200" s="8">
        <v>1</v>
      </c>
      <c r="AH200" s="8" t="str">
        <f t="shared" si="48"/>
        <v/>
      </c>
      <c r="BA200" s="24"/>
      <c r="BC200" s="12"/>
    </row>
    <row r="201" spans="1:55" x14ac:dyDescent="0.25">
      <c r="A201" s="29">
        <f t="shared" si="49"/>
        <v>0</v>
      </c>
      <c r="B201" s="29">
        <f t="shared" si="51"/>
        <v>0</v>
      </c>
      <c r="C201" s="29">
        <f t="shared" si="52"/>
        <v>0</v>
      </c>
      <c r="D201" s="29">
        <f t="shared" si="53"/>
        <v>0</v>
      </c>
      <c r="E201" s="29">
        <f t="shared" si="50"/>
        <v>0</v>
      </c>
      <c r="F201" s="29">
        <f t="shared" si="54"/>
        <v>0</v>
      </c>
      <c r="G201" s="29" t="str">
        <f t="shared" si="55"/>
        <v>offensive</v>
      </c>
      <c r="H201" s="16">
        <f t="shared" si="56"/>
        <v>0</v>
      </c>
      <c r="I201" s="16">
        <f t="shared" si="57"/>
        <v>0</v>
      </c>
      <c r="J201" s="16">
        <f t="shared" si="58"/>
        <v>0</v>
      </c>
      <c r="K201" s="16">
        <f t="shared" si="59"/>
        <v>0</v>
      </c>
      <c r="L201" s="67">
        <f t="shared" si="60"/>
        <v>0</v>
      </c>
      <c r="M201" s="4">
        <f t="shared" si="61"/>
        <v>0</v>
      </c>
      <c r="N201" s="4">
        <f t="shared" si="62"/>
        <v>0</v>
      </c>
      <c r="O201" s="4">
        <f t="shared" si="63"/>
        <v>0</v>
      </c>
      <c r="P201" s="4" t="e">
        <f>VLOOKUP(AJ193,'CIR Team Info'!$C$5:$E$44,2,FALSE)</f>
        <v>#N/A</v>
      </c>
      <c r="Q201" s="4" t="e">
        <f>VLOOKUP(AJ193,'CIR Team Info'!$C$5:$E$44,3,FALSE)</f>
        <v>#N/A</v>
      </c>
      <c r="R201" s="10" t="e">
        <f>VLOOKUP(AJ193,'FRC Site Data'!$B$3:$L$42,2,FALSE)</f>
        <v>#N/A</v>
      </c>
      <c r="S201" s="10" t="e">
        <f>VLOOKUP(AJ193,'FRC Site Data'!$B$3:$L$42,3,FALSE)</f>
        <v>#N/A</v>
      </c>
      <c r="T201" s="10" t="e">
        <f>VLOOKUP(AJ193,'FRC Site Data'!$B$3:$L$42,4,FALSE)</f>
        <v>#N/A</v>
      </c>
      <c r="U201" s="10" t="e">
        <f>VLOOKUP(AJ193,'FRC Site Data'!$B$3:$L$42,5,FALSE)</f>
        <v>#N/A</v>
      </c>
      <c r="V201" s="10" t="e">
        <f>VLOOKUP(AJ193,'FRC Site Data'!$B$3:$L$42,6,FALSE)</f>
        <v>#N/A</v>
      </c>
      <c r="W201" s="10" t="e">
        <f>VLOOKUP(AJ193,'FRC Site Data'!$B$3:$L$42,8,FALSE)</f>
        <v>#N/A</v>
      </c>
      <c r="X201" s="10" t="e">
        <f>VLOOKUP(AJ193,'FRC Site Data'!$B$3:$L$42,9,FALSE)</f>
        <v>#N/A</v>
      </c>
      <c r="Y201" s="10" t="e">
        <f>VLOOKUP(AJ193,'FRC Site Data'!$B$3:$L$42,10,FALSE)</f>
        <v>#N/A</v>
      </c>
      <c r="Z201" s="10" t="e">
        <f>VLOOKUP(AJ193,'FRC Site Data'!$B$3:$L$42,11,FALSE)</f>
        <v>#N/A</v>
      </c>
      <c r="AA201" s="10" t="e">
        <f>VLOOKUP(AJ193,'CIR Team Info'!$C$5:$E$44,4,FALSE)</f>
        <v>#N/A</v>
      </c>
      <c r="AB201" s="161" t="b">
        <f>ISNUMBER(VLOOKUP(AJ193,Match!$T$5:$T$10,1,FALSE))</f>
        <v>0</v>
      </c>
      <c r="AC201" s="161" t="b">
        <f>IF(AB201=TRUE,(VLOOKUP($AJ193,Match!$T$5:$U$10,2,FALSE)))</f>
        <v>0</v>
      </c>
      <c r="AD201" s="8">
        <v>3</v>
      </c>
      <c r="AE201" s="8">
        <v>2</v>
      </c>
      <c r="AF201" s="8">
        <v>2</v>
      </c>
      <c r="AG201" s="8">
        <v>1</v>
      </c>
      <c r="AH201" s="8" t="str">
        <f t="shared" si="48"/>
        <v/>
      </c>
      <c r="BA201" s="24"/>
      <c r="BC201" s="12"/>
    </row>
    <row r="202" spans="1:55" x14ac:dyDescent="0.25">
      <c r="A202" s="29">
        <f t="shared" si="49"/>
        <v>0</v>
      </c>
      <c r="B202" s="29">
        <f t="shared" si="51"/>
        <v>0</v>
      </c>
      <c r="C202" s="29">
        <f t="shared" si="52"/>
        <v>0</v>
      </c>
      <c r="D202" s="29">
        <f t="shared" si="53"/>
        <v>0</v>
      </c>
      <c r="E202" s="29">
        <f t="shared" si="50"/>
        <v>0</v>
      </c>
      <c r="F202" s="29">
        <f t="shared" si="54"/>
        <v>0</v>
      </c>
      <c r="G202" s="29" t="str">
        <f t="shared" si="55"/>
        <v>offensive</v>
      </c>
      <c r="H202" s="16">
        <f t="shared" si="56"/>
        <v>0</v>
      </c>
      <c r="I202" s="16">
        <f t="shared" si="57"/>
        <v>0</v>
      </c>
      <c r="J202" s="16">
        <f t="shared" si="58"/>
        <v>0</v>
      </c>
      <c r="K202" s="16">
        <f t="shared" si="59"/>
        <v>0</v>
      </c>
      <c r="L202" s="67">
        <f t="shared" si="60"/>
        <v>0</v>
      </c>
      <c r="M202" s="4">
        <f t="shared" si="61"/>
        <v>0</v>
      </c>
      <c r="N202" s="4">
        <f t="shared" si="62"/>
        <v>0</v>
      </c>
      <c r="O202" s="4">
        <f t="shared" si="63"/>
        <v>0</v>
      </c>
      <c r="P202" s="4" t="e">
        <f>VLOOKUP(AJ194,'CIR Team Info'!$C$5:$E$44,2,FALSE)</f>
        <v>#N/A</v>
      </c>
      <c r="Q202" s="4" t="e">
        <f>VLOOKUP(AJ194,'CIR Team Info'!$C$5:$E$44,3,FALSE)</f>
        <v>#N/A</v>
      </c>
      <c r="R202" s="10" t="e">
        <f>VLOOKUP(AJ194,'FRC Site Data'!$B$3:$L$42,2,FALSE)</f>
        <v>#N/A</v>
      </c>
      <c r="S202" s="10" t="e">
        <f>VLOOKUP(AJ194,'FRC Site Data'!$B$3:$L$42,3,FALSE)</f>
        <v>#N/A</v>
      </c>
      <c r="T202" s="10" t="e">
        <f>VLOOKUP(AJ194,'FRC Site Data'!$B$3:$L$42,4,FALSE)</f>
        <v>#N/A</v>
      </c>
      <c r="U202" s="10" t="e">
        <f>VLOOKUP(AJ194,'FRC Site Data'!$B$3:$L$42,5,FALSE)</f>
        <v>#N/A</v>
      </c>
      <c r="V202" s="10" t="e">
        <f>VLOOKUP(AJ194,'FRC Site Data'!$B$3:$L$42,6,FALSE)</f>
        <v>#N/A</v>
      </c>
      <c r="W202" s="10" t="e">
        <f>VLOOKUP(AJ194,'FRC Site Data'!$B$3:$L$42,8,FALSE)</f>
        <v>#N/A</v>
      </c>
      <c r="X202" s="10" t="e">
        <f>VLOOKUP(AJ194,'FRC Site Data'!$B$3:$L$42,9,FALSE)</f>
        <v>#N/A</v>
      </c>
      <c r="Y202" s="10" t="e">
        <f>VLOOKUP(AJ194,'FRC Site Data'!$B$3:$L$42,10,FALSE)</f>
        <v>#N/A</v>
      </c>
      <c r="Z202" s="10" t="e">
        <f>VLOOKUP(AJ194,'FRC Site Data'!$B$3:$L$42,11,FALSE)</f>
        <v>#N/A</v>
      </c>
      <c r="AA202" s="10" t="e">
        <f>VLOOKUP(AJ194,'CIR Team Info'!$C$5:$E$44,4,FALSE)</f>
        <v>#N/A</v>
      </c>
      <c r="AB202" s="161" t="b">
        <f>ISNUMBER(VLOOKUP(AJ194,Match!$T$5:$T$10,1,FALSE))</f>
        <v>0</v>
      </c>
      <c r="AC202" s="161" t="b">
        <f>IF(AB202=TRUE,(VLOOKUP($AJ194,Match!$T$5:$U$10,2,FALSE)))</f>
        <v>0</v>
      </c>
      <c r="AD202" s="8">
        <v>3</v>
      </c>
      <c r="AE202" s="8">
        <v>2</v>
      </c>
      <c r="AF202" s="8">
        <v>2</v>
      </c>
      <c r="AG202" s="8">
        <v>1</v>
      </c>
      <c r="AH202" s="8" t="str">
        <f t="shared" si="48"/>
        <v/>
      </c>
      <c r="BA202" s="24"/>
      <c r="BC202" s="12"/>
    </row>
    <row r="203" spans="1:55" x14ac:dyDescent="0.25">
      <c r="A203" s="29">
        <f t="shared" si="49"/>
        <v>0</v>
      </c>
      <c r="B203" s="29">
        <f t="shared" si="51"/>
        <v>0</v>
      </c>
      <c r="C203" s="29">
        <f t="shared" si="52"/>
        <v>0</v>
      </c>
      <c r="D203" s="29">
        <f t="shared" si="53"/>
        <v>0</v>
      </c>
      <c r="E203" s="29">
        <f t="shared" si="50"/>
        <v>0</v>
      </c>
      <c r="F203" s="29">
        <f t="shared" si="54"/>
        <v>0</v>
      </c>
      <c r="G203" s="29" t="str">
        <f t="shared" si="55"/>
        <v>offensive</v>
      </c>
      <c r="H203" s="16">
        <f t="shared" si="56"/>
        <v>0</v>
      </c>
      <c r="I203" s="16">
        <f t="shared" si="57"/>
        <v>0</v>
      </c>
      <c r="J203" s="16">
        <f t="shared" si="58"/>
        <v>0</v>
      </c>
      <c r="K203" s="16">
        <f t="shared" si="59"/>
        <v>0</v>
      </c>
      <c r="L203" s="67">
        <f t="shared" si="60"/>
        <v>0</v>
      </c>
      <c r="M203" s="4">
        <f t="shared" si="61"/>
        <v>0</v>
      </c>
      <c r="N203" s="4">
        <f t="shared" si="62"/>
        <v>0</v>
      </c>
      <c r="O203" s="4">
        <f t="shared" si="63"/>
        <v>0</v>
      </c>
      <c r="P203" s="4" t="e">
        <f>VLOOKUP(AJ195,'CIR Team Info'!$C$5:$E$44,2,FALSE)</f>
        <v>#N/A</v>
      </c>
      <c r="Q203" s="4" t="e">
        <f>VLOOKUP(AJ195,'CIR Team Info'!$C$5:$E$44,3,FALSE)</f>
        <v>#N/A</v>
      </c>
      <c r="R203" s="10" t="e">
        <f>VLOOKUP(AJ195,'FRC Site Data'!$B$3:$L$42,2,FALSE)</f>
        <v>#N/A</v>
      </c>
      <c r="S203" s="10" t="e">
        <f>VLOOKUP(AJ195,'FRC Site Data'!$B$3:$L$42,3,FALSE)</f>
        <v>#N/A</v>
      </c>
      <c r="T203" s="10" t="e">
        <f>VLOOKUP(AJ195,'FRC Site Data'!$B$3:$L$42,4,FALSE)</f>
        <v>#N/A</v>
      </c>
      <c r="U203" s="10" t="e">
        <f>VLOOKUP(AJ195,'FRC Site Data'!$B$3:$L$42,5,FALSE)</f>
        <v>#N/A</v>
      </c>
      <c r="V203" s="10" t="e">
        <f>VLOOKUP(AJ195,'FRC Site Data'!$B$3:$L$42,6,FALSE)</f>
        <v>#N/A</v>
      </c>
      <c r="W203" s="10" t="e">
        <f>VLOOKUP(AJ195,'FRC Site Data'!$B$3:$L$42,8,FALSE)</f>
        <v>#N/A</v>
      </c>
      <c r="X203" s="10" t="e">
        <f>VLOOKUP(AJ195,'FRC Site Data'!$B$3:$L$42,9,FALSE)</f>
        <v>#N/A</v>
      </c>
      <c r="Y203" s="10" t="e">
        <f>VLOOKUP(AJ195,'FRC Site Data'!$B$3:$L$42,10,FALSE)</f>
        <v>#N/A</v>
      </c>
      <c r="Z203" s="10" t="e">
        <f>VLOOKUP(AJ195,'FRC Site Data'!$B$3:$L$42,11,FALSE)</f>
        <v>#N/A</v>
      </c>
      <c r="AA203" s="10" t="e">
        <f>VLOOKUP(AJ195,'CIR Team Info'!$C$5:$E$44,4,FALSE)</f>
        <v>#N/A</v>
      </c>
      <c r="AB203" s="161" t="b">
        <f>ISNUMBER(VLOOKUP(AJ195,Match!$T$5:$T$10,1,FALSE))</f>
        <v>0</v>
      </c>
      <c r="AC203" s="161" t="b">
        <f>IF(AB203=TRUE,(VLOOKUP($AJ195,Match!$T$5:$U$10,2,FALSE)))</f>
        <v>0</v>
      </c>
      <c r="AD203" s="8">
        <v>3</v>
      </c>
      <c r="AE203" s="8">
        <v>2</v>
      </c>
      <c r="AF203" s="8">
        <v>2</v>
      </c>
      <c r="AG203" s="8">
        <v>1</v>
      </c>
      <c r="AH203" s="8" t="str">
        <f t="shared" si="48"/>
        <v/>
      </c>
      <c r="BA203" s="24"/>
      <c r="BC203" s="12"/>
    </row>
    <row r="204" spans="1:55" x14ac:dyDescent="0.25">
      <c r="A204" s="29">
        <f t="shared" si="49"/>
        <v>0</v>
      </c>
      <c r="B204" s="29">
        <f t="shared" si="51"/>
        <v>0</v>
      </c>
      <c r="C204" s="29">
        <f t="shared" si="52"/>
        <v>0</v>
      </c>
      <c r="D204" s="29">
        <f t="shared" si="53"/>
        <v>0</v>
      </c>
      <c r="E204" s="29">
        <f t="shared" si="50"/>
        <v>0</v>
      </c>
      <c r="F204" s="29">
        <f t="shared" si="54"/>
        <v>0</v>
      </c>
      <c r="G204" s="29" t="str">
        <f t="shared" si="55"/>
        <v>offensive</v>
      </c>
      <c r="H204" s="16">
        <f t="shared" si="56"/>
        <v>0</v>
      </c>
      <c r="I204" s="16">
        <f t="shared" si="57"/>
        <v>0</v>
      </c>
      <c r="J204" s="16">
        <f t="shared" si="58"/>
        <v>0</v>
      </c>
      <c r="K204" s="16">
        <f t="shared" si="59"/>
        <v>0</v>
      </c>
      <c r="L204" s="67">
        <f t="shared" si="60"/>
        <v>0</v>
      </c>
      <c r="M204" s="4">
        <f t="shared" si="61"/>
        <v>0</v>
      </c>
      <c r="N204" s="4">
        <f t="shared" si="62"/>
        <v>0</v>
      </c>
      <c r="O204" s="4">
        <f t="shared" si="63"/>
        <v>0</v>
      </c>
      <c r="P204" s="4" t="e">
        <f>VLOOKUP(AJ196,'CIR Team Info'!$C$5:$E$44,2,FALSE)</f>
        <v>#N/A</v>
      </c>
      <c r="Q204" s="4" t="e">
        <f>VLOOKUP(AJ196,'CIR Team Info'!$C$5:$E$44,3,FALSE)</f>
        <v>#N/A</v>
      </c>
      <c r="R204" s="10" t="e">
        <f>VLOOKUP(AJ196,'FRC Site Data'!$B$3:$L$42,2,FALSE)</f>
        <v>#N/A</v>
      </c>
      <c r="S204" s="10" t="e">
        <f>VLOOKUP(AJ196,'FRC Site Data'!$B$3:$L$42,3,FALSE)</f>
        <v>#N/A</v>
      </c>
      <c r="T204" s="10" t="e">
        <f>VLOOKUP(AJ196,'FRC Site Data'!$B$3:$L$42,4,FALSE)</f>
        <v>#N/A</v>
      </c>
      <c r="U204" s="10" t="e">
        <f>VLOOKUP(AJ196,'FRC Site Data'!$B$3:$L$42,5,FALSE)</f>
        <v>#N/A</v>
      </c>
      <c r="V204" s="10" t="e">
        <f>VLOOKUP(AJ196,'FRC Site Data'!$B$3:$L$42,6,FALSE)</f>
        <v>#N/A</v>
      </c>
      <c r="W204" s="10" t="e">
        <f>VLOOKUP(AJ196,'FRC Site Data'!$B$3:$L$42,8,FALSE)</f>
        <v>#N/A</v>
      </c>
      <c r="X204" s="10" t="e">
        <f>VLOOKUP(AJ196,'FRC Site Data'!$B$3:$L$42,9,FALSE)</f>
        <v>#N/A</v>
      </c>
      <c r="Y204" s="10" t="e">
        <f>VLOOKUP(AJ196,'FRC Site Data'!$B$3:$L$42,10,FALSE)</f>
        <v>#N/A</v>
      </c>
      <c r="Z204" s="10" t="e">
        <f>VLOOKUP(AJ196,'FRC Site Data'!$B$3:$L$42,11,FALSE)</f>
        <v>#N/A</v>
      </c>
      <c r="AA204" s="10" t="e">
        <f>VLOOKUP(AJ196,'CIR Team Info'!$C$5:$E$44,4,FALSE)</f>
        <v>#N/A</v>
      </c>
      <c r="AB204" s="161" t="b">
        <f>ISNUMBER(VLOOKUP(AJ196,Match!$T$5:$T$10,1,FALSE))</f>
        <v>0</v>
      </c>
      <c r="AC204" s="161" t="b">
        <f>IF(AB204=TRUE,(VLOOKUP($AJ196,Match!$T$5:$U$10,2,FALSE)))</f>
        <v>0</v>
      </c>
      <c r="AD204" s="8">
        <v>3</v>
      </c>
      <c r="AE204" s="8">
        <v>2</v>
      </c>
      <c r="AF204" s="8">
        <v>2</v>
      </c>
      <c r="AG204" s="8">
        <v>1</v>
      </c>
      <c r="AH204" s="8" t="str">
        <f t="shared" si="48"/>
        <v/>
      </c>
      <c r="BA204" s="24"/>
      <c r="BC204" s="12"/>
    </row>
    <row r="205" spans="1:55" x14ac:dyDescent="0.25">
      <c r="A205" s="29">
        <f t="shared" si="49"/>
        <v>0</v>
      </c>
      <c r="B205" s="29">
        <f t="shared" si="51"/>
        <v>0</v>
      </c>
      <c r="C205" s="29">
        <f t="shared" si="52"/>
        <v>0</v>
      </c>
      <c r="D205" s="29">
        <f t="shared" si="53"/>
        <v>0</v>
      </c>
      <c r="E205" s="29">
        <f t="shared" si="50"/>
        <v>0</v>
      </c>
      <c r="F205" s="29">
        <f t="shared" si="54"/>
        <v>0</v>
      </c>
      <c r="G205" s="29" t="str">
        <f t="shared" si="55"/>
        <v>offensive</v>
      </c>
      <c r="H205" s="16">
        <f t="shared" si="56"/>
        <v>0</v>
      </c>
      <c r="I205" s="16">
        <f t="shared" si="57"/>
        <v>0</v>
      </c>
      <c r="J205" s="16">
        <f t="shared" si="58"/>
        <v>0</v>
      </c>
      <c r="K205" s="16">
        <f t="shared" si="59"/>
        <v>0</v>
      </c>
      <c r="L205" s="67">
        <f t="shared" si="60"/>
        <v>0</v>
      </c>
      <c r="M205" s="4">
        <f t="shared" si="61"/>
        <v>0</v>
      </c>
      <c r="N205" s="4">
        <f t="shared" si="62"/>
        <v>0</v>
      </c>
      <c r="O205" s="4">
        <f t="shared" si="63"/>
        <v>0</v>
      </c>
      <c r="P205" s="4" t="e">
        <f>VLOOKUP(AJ197,'CIR Team Info'!$C$5:$E$44,2,FALSE)</f>
        <v>#N/A</v>
      </c>
      <c r="Q205" s="4" t="e">
        <f>VLOOKUP(AJ197,'CIR Team Info'!$C$5:$E$44,3,FALSE)</f>
        <v>#N/A</v>
      </c>
      <c r="R205" s="10" t="e">
        <f>VLOOKUP(AJ197,'FRC Site Data'!$B$3:$L$42,2,FALSE)</f>
        <v>#N/A</v>
      </c>
      <c r="S205" s="10" t="e">
        <f>VLOOKUP(AJ197,'FRC Site Data'!$B$3:$L$42,3,FALSE)</f>
        <v>#N/A</v>
      </c>
      <c r="T205" s="10" t="e">
        <f>VLOOKUP(AJ197,'FRC Site Data'!$B$3:$L$42,4,FALSE)</f>
        <v>#N/A</v>
      </c>
      <c r="U205" s="10" t="e">
        <f>VLOOKUP(AJ197,'FRC Site Data'!$B$3:$L$42,5,FALSE)</f>
        <v>#N/A</v>
      </c>
      <c r="V205" s="10" t="e">
        <f>VLOOKUP(AJ197,'FRC Site Data'!$B$3:$L$42,6,FALSE)</f>
        <v>#N/A</v>
      </c>
      <c r="W205" s="10" t="e">
        <f>VLOOKUP(AJ197,'FRC Site Data'!$B$3:$L$42,8,FALSE)</f>
        <v>#N/A</v>
      </c>
      <c r="X205" s="10" t="e">
        <f>VLOOKUP(AJ197,'FRC Site Data'!$B$3:$L$42,9,FALSE)</f>
        <v>#N/A</v>
      </c>
      <c r="Y205" s="10" t="e">
        <f>VLOOKUP(AJ197,'FRC Site Data'!$B$3:$L$42,10,FALSE)</f>
        <v>#N/A</v>
      </c>
      <c r="Z205" s="10" t="e">
        <f>VLOOKUP(AJ197,'FRC Site Data'!$B$3:$L$42,11,FALSE)</f>
        <v>#N/A</v>
      </c>
      <c r="AA205" s="10" t="e">
        <f>VLOOKUP(AJ197,'CIR Team Info'!$C$5:$E$44,4,FALSE)</f>
        <v>#N/A</v>
      </c>
      <c r="AB205" s="161" t="b">
        <f>ISNUMBER(VLOOKUP(AJ197,Match!$T$5:$T$10,1,FALSE))</f>
        <v>0</v>
      </c>
      <c r="AC205" s="161" t="b">
        <f>IF(AB205=TRUE,(VLOOKUP($AJ197,Match!$T$5:$U$10,2,FALSE)))</f>
        <v>0</v>
      </c>
      <c r="AD205" s="8">
        <v>3</v>
      </c>
      <c r="AE205" s="8">
        <v>2</v>
      </c>
      <c r="AF205" s="8">
        <v>2</v>
      </c>
      <c r="AG205" s="8">
        <v>1</v>
      </c>
      <c r="AH205" s="8" t="str">
        <f t="shared" si="48"/>
        <v/>
      </c>
      <c r="BA205" s="24"/>
      <c r="BC205" s="12"/>
    </row>
    <row r="206" spans="1:55" x14ac:dyDescent="0.25">
      <c r="A206" s="29">
        <f t="shared" si="49"/>
        <v>0</v>
      </c>
      <c r="B206" s="29">
        <f t="shared" si="51"/>
        <v>0</v>
      </c>
      <c r="C206" s="29">
        <f t="shared" si="52"/>
        <v>0</v>
      </c>
      <c r="D206" s="29">
        <f t="shared" si="53"/>
        <v>0</v>
      </c>
      <c r="E206" s="29">
        <f t="shared" si="50"/>
        <v>0</v>
      </c>
      <c r="F206" s="29">
        <f t="shared" si="54"/>
        <v>0</v>
      </c>
      <c r="G206" s="29" t="str">
        <f t="shared" si="55"/>
        <v>offensive</v>
      </c>
      <c r="H206" s="16">
        <f t="shared" si="56"/>
        <v>0</v>
      </c>
      <c r="I206" s="16">
        <f t="shared" si="57"/>
        <v>0</v>
      </c>
      <c r="J206" s="16">
        <f t="shared" si="58"/>
        <v>0</v>
      </c>
      <c r="K206" s="16">
        <f t="shared" si="59"/>
        <v>0</v>
      </c>
      <c r="L206" s="67">
        <f t="shared" si="60"/>
        <v>0</v>
      </c>
      <c r="M206" s="4">
        <f t="shared" si="61"/>
        <v>0</v>
      </c>
      <c r="N206" s="4">
        <f t="shared" si="62"/>
        <v>0</v>
      </c>
      <c r="O206" s="4">
        <f t="shared" si="63"/>
        <v>0</v>
      </c>
      <c r="P206" s="4" t="e">
        <f>VLOOKUP(AJ198,'CIR Team Info'!$C$5:$E$44,2,FALSE)</f>
        <v>#N/A</v>
      </c>
      <c r="Q206" s="4" t="e">
        <f>VLOOKUP(AJ198,'CIR Team Info'!$C$5:$E$44,3,FALSE)</f>
        <v>#N/A</v>
      </c>
      <c r="R206" s="10" t="e">
        <f>VLOOKUP(AJ198,'FRC Site Data'!$B$3:$L$42,2,FALSE)</f>
        <v>#N/A</v>
      </c>
      <c r="S206" s="10" t="e">
        <f>VLOOKUP(AJ198,'FRC Site Data'!$B$3:$L$42,3,FALSE)</f>
        <v>#N/A</v>
      </c>
      <c r="T206" s="10" t="e">
        <f>VLOOKUP(AJ198,'FRC Site Data'!$B$3:$L$42,4,FALSE)</f>
        <v>#N/A</v>
      </c>
      <c r="U206" s="10" t="e">
        <f>VLOOKUP(AJ198,'FRC Site Data'!$B$3:$L$42,5,FALSE)</f>
        <v>#N/A</v>
      </c>
      <c r="V206" s="10" t="e">
        <f>VLOOKUP(AJ198,'FRC Site Data'!$B$3:$L$42,6,FALSE)</f>
        <v>#N/A</v>
      </c>
      <c r="W206" s="10" t="e">
        <f>VLOOKUP(AJ198,'FRC Site Data'!$B$3:$L$42,8,FALSE)</f>
        <v>#N/A</v>
      </c>
      <c r="X206" s="10" t="e">
        <f>VLOOKUP(AJ198,'FRC Site Data'!$B$3:$L$42,9,FALSE)</f>
        <v>#N/A</v>
      </c>
      <c r="Y206" s="10" t="e">
        <f>VLOOKUP(AJ198,'FRC Site Data'!$B$3:$L$42,10,FALSE)</f>
        <v>#N/A</v>
      </c>
      <c r="Z206" s="10" t="e">
        <f>VLOOKUP(AJ198,'FRC Site Data'!$B$3:$L$42,11,FALSE)</f>
        <v>#N/A</v>
      </c>
      <c r="AA206" s="10" t="e">
        <f>VLOOKUP(AJ198,'CIR Team Info'!$C$5:$E$44,4,FALSE)</f>
        <v>#N/A</v>
      </c>
      <c r="AB206" s="161" t="b">
        <f>ISNUMBER(VLOOKUP(AJ198,Match!$T$5:$T$10,1,FALSE))</f>
        <v>0</v>
      </c>
      <c r="AC206" s="161" t="b">
        <f>IF(AB206=TRUE,(VLOOKUP($AJ198,Match!$T$5:$U$10,2,FALSE)))</f>
        <v>0</v>
      </c>
      <c r="AD206" s="8">
        <v>3</v>
      </c>
      <c r="AE206" s="8">
        <v>2</v>
      </c>
      <c r="AF206" s="8">
        <v>2</v>
      </c>
      <c r="AG206" s="8">
        <v>1</v>
      </c>
      <c r="AH206" s="8" t="str">
        <f t="shared" si="48"/>
        <v/>
      </c>
      <c r="AI206" s="12"/>
      <c r="AZ206" s="12"/>
      <c r="BC206" s="12"/>
    </row>
    <row r="207" spans="1:55" x14ac:dyDescent="0.25">
      <c r="A207" s="29">
        <f t="shared" si="49"/>
        <v>0</v>
      </c>
      <c r="B207" s="29">
        <f t="shared" si="51"/>
        <v>0</v>
      </c>
      <c r="C207" s="29">
        <f t="shared" si="52"/>
        <v>0</v>
      </c>
      <c r="D207" s="29">
        <f t="shared" si="53"/>
        <v>0</v>
      </c>
      <c r="E207" s="29">
        <f t="shared" si="50"/>
        <v>0</v>
      </c>
      <c r="F207" s="29">
        <f t="shared" si="54"/>
        <v>0</v>
      </c>
      <c r="G207" s="29" t="str">
        <f t="shared" si="55"/>
        <v>offensive</v>
      </c>
      <c r="H207" s="16">
        <f t="shared" si="56"/>
        <v>0</v>
      </c>
      <c r="I207" s="16">
        <f t="shared" si="57"/>
        <v>0</v>
      </c>
      <c r="J207" s="16">
        <f t="shared" si="58"/>
        <v>0</v>
      </c>
      <c r="K207" s="16">
        <f t="shared" si="59"/>
        <v>0</v>
      </c>
      <c r="L207" s="67">
        <f t="shared" si="60"/>
        <v>0</v>
      </c>
      <c r="M207" s="4">
        <f t="shared" si="61"/>
        <v>0</v>
      </c>
      <c r="N207" s="4">
        <f t="shared" si="62"/>
        <v>0</v>
      </c>
      <c r="O207" s="4">
        <f t="shared" si="63"/>
        <v>0</v>
      </c>
      <c r="P207" s="4" t="e">
        <f>VLOOKUP(AJ199,'CIR Team Info'!$C$5:$E$44,2,FALSE)</f>
        <v>#N/A</v>
      </c>
      <c r="Q207" s="4" t="e">
        <f>VLOOKUP(AJ199,'CIR Team Info'!$C$5:$E$44,3,FALSE)</f>
        <v>#N/A</v>
      </c>
      <c r="R207" s="10" t="e">
        <f>VLOOKUP(AJ199,'FRC Site Data'!$B$3:$L$42,2,FALSE)</f>
        <v>#N/A</v>
      </c>
      <c r="S207" s="10" t="e">
        <f>VLOOKUP(AJ199,'FRC Site Data'!$B$3:$L$42,3,FALSE)</f>
        <v>#N/A</v>
      </c>
      <c r="T207" s="10" t="e">
        <f>VLOOKUP(AJ199,'FRC Site Data'!$B$3:$L$42,4,FALSE)</f>
        <v>#N/A</v>
      </c>
      <c r="U207" s="10" t="e">
        <f>VLOOKUP(AJ199,'FRC Site Data'!$B$3:$L$42,5,FALSE)</f>
        <v>#N/A</v>
      </c>
      <c r="V207" s="10" t="e">
        <f>VLOOKUP(AJ199,'FRC Site Data'!$B$3:$L$42,6,FALSE)</f>
        <v>#N/A</v>
      </c>
      <c r="W207" s="10" t="e">
        <f>VLOOKUP(AJ199,'FRC Site Data'!$B$3:$L$42,8,FALSE)</f>
        <v>#N/A</v>
      </c>
      <c r="X207" s="10" t="e">
        <f>VLOOKUP(AJ199,'FRC Site Data'!$B$3:$L$42,9,FALSE)</f>
        <v>#N/A</v>
      </c>
      <c r="Y207" s="10" t="e">
        <f>VLOOKUP(AJ199,'FRC Site Data'!$B$3:$L$42,10,FALSE)</f>
        <v>#N/A</v>
      </c>
      <c r="Z207" s="10" t="e">
        <f>VLOOKUP(AJ199,'FRC Site Data'!$B$3:$L$42,11,FALSE)</f>
        <v>#N/A</v>
      </c>
      <c r="AA207" s="10" t="e">
        <f>VLOOKUP(AJ199,'CIR Team Info'!$C$5:$E$44,4,FALSE)</f>
        <v>#N/A</v>
      </c>
      <c r="AB207" s="161" t="b">
        <f>ISNUMBER(VLOOKUP(AJ199,Match!$T$5:$T$10,1,FALSE))</f>
        <v>0</v>
      </c>
      <c r="AC207" s="161" t="b">
        <f>IF(AB207=TRUE,(VLOOKUP($AJ199,Match!$T$5:$U$10,2,FALSE)))</f>
        <v>0</v>
      </c>
      <c r="AD207" s="8">
        <v>3</v>
      </c>
      <c r="AE207" s="8">
        <v>2</v>
      </c>
      <c r="AF207" s="8">
        <v>2</v>
      </c>
      <c r="AG207" s="8">
        <v>1</v>
      </c>
      <c r="AH207" s="8" t="str">
        <f t="shared" si="48"/>
        <v/>
      </c>
      <c r="AI207" s="12"/>
      <c r="AZ207" s="12"/>
      <c r="BC207" s="12"/>
    </row>
    <row r="208" spans="1:55" x14ac:dyDescent="0.25">
      <c r="A208" s="29">
        <f t="shared" si="49"/>
        <v>0</v>
      </c>
      <c r="B208" s="29">
        <f t="shared" si="51"/>
        <v>0</v>
      </c>
      <c r="C208" s="29">
        <f t="shared" si="52"/>
        <v>0</v>
      </c>
      <c r="D208" s="29">
        <f t="shared" si="53"/>
        <v>0</v>
      </c>
      <c r="E208" s="29">
        <f t="shared" si="50"/>
        <v>0</v>
      </c>
      <c r="F208" s="29">
        <f t="shared" si="54"/>
        <v>0</v>
      </c>
      <c r="G208" s="29" t="str">
        <f t="shared" si="55"/>
        <v>offensive</v>
      </c>
      <c r="H208" s="16">
        <f t="shared" si="56"/>
        <v>0</v>
      </c>
      <c r="I208" s="16">
        <f t="shared" si="57"/>
        <v>0</v>
      </c>
      <c r="J208" s="16">
        <f t="shared" si="58"/>
        <v>0</v>
      </c>
      <c r="K208" s="16">
        <f t="shared" si="59"/>
        <v>0</v>
      </c>
      <c r="L208" s="67">
        <f t="shared" si="60"/>
        <v>0</v>
      </c>
      <c r="M208" s="4">
        <f t="shared" si="61"/>
        <v>0</v>
      </c>
      <c r="N208" s="4">
        <f t="shared" si="62"/>
        <v>0</v>
      </c>
      <c r="O208" s="4">
        <f t="shared" si="63"/>
        <v>0</v>
      </c>
      <c r="P208" s="4" t="e">
        <f>VLOOKUP(AJ200,'CIR Team Info'!$C$5:$E$44,2,FALSE)</f>
        <v>#N/A</v>
      </c>
      <c r="Q208" s="4" t="e">
        <f>VLOOKUP(AJ200,'CIR Team Info'!$C$5:$E$44,3,FALSE)</f>
        <v>#N/A</v>
      </c>
      <c r="R208" s="10" t="e">
        <f>VLOOKUP(AJ200,'FRC Site Data'!$B$3:$L$42,2,FALSE)</f>
        <v>#N/A</v>
      </c>
      <c r="S208" s="10" t="e">
        <f>VLOOKUP(AJ200,'FRC Site Data'!$B$3:$L$42,3,FALSE)</f>
        <v>#N/A</v>
      </c>
      <c r="T208" s="10" t="e">
        <f>VLOOKUP(AJ200,'FRC Site Data'!$B$3:$L$42,4,FALSE)</f>
        <v>#N/A</v>
      </c>
      <c r="U208" s="10" t="e">
        <f>VLOOKUP(AJ200,'FRC Site Data'!$B$3:$L$42,5,FALSE)</f>
        <v>#N/A</v>
      </c>
      <c r="V208" s="10" t="e">
        <f>VLOOKUP(AJ200,'FRC Site Data'!$B$3:$L$42,6,FALSE)</f>
        <v>#N/A</v>
      </c>
      <c r="W208" s="10" t="e">
        <f>VLOOKUP(AJ200,'FRC Site Data'!$B$3:$L$42,8,FALSE)</f>
        <v>#N/A</v>
      </c>
      <c r="X208" s="10" t="e">
        <f>VLOOKUP(AJ200,'FRC Site Data'!$B$3:$L$42,9,FALSE)</f>
        <v>#N/A</v>
      </c>
      <c r="Y208" s="10" t="e">
        <f>VLOOKUP(AJ200,'FRC Site Data'!$B$3:$L$42,10,FALSE)</f>
        <v>#N/A</v>
      </c>
      <c r="Z208" s="10" t="e">
        <f>VLOOKUP(AJ200,'FRC Site Data'!$B$3:$L$42,11,FALSE)</f>
        <v>#N/A</v>
      </c>
      <c r="AA208" s="10" t="e">
        <f>VLOOKUP(AJ200,'CIR Team Info'!$C$5:$E$44,4,FALSE)</f>
        <v>#N/A</v>
      </c>
      <c r="AB208" s="161" t="b">
        <f>ISNUMBER(VLOOKUP(AJ200,Match!$T$5:$T$10,1,FALSE))</f>
        <v>0</v>
      </c>
      <c r="AC208" s="161" t="b">
        <f>IF(AB208=TRUE,(VLOOKUP($AJ200,Match!$T$5:$U$10,2,FALSE)))</f>
        <v>0</v>
      </c>
      <c r="AD208" s="8">
        <v>3</v>
      </c>
      <c r="AE208" s="8">
        <v>2</v>
      </c>
      <c r="AF208" s="8">
        <v>2</v>
      </c>
      <c r="AG208" s="8">
        <v>1</v>
      </c>
      <c r="AH208" s="8" t="str">
        <f t="shared" si="48"/>
        <v/>
      </c>
      <c r="AI208" s="12"/>
      <c r="AZ208" s="12"/>
      <c r="BC208" s="12"/>
    </row>
    <row r="209" spans="1:65" x14ac:dyDescent="0.25">
      <c r="A209" s="29">
        <f t="shared" si="49"/>
        <v>0</v>
      </c>
      <c r="B209" s="29">
        <f t="shared" si="51"/>
        <v>0</v>
      </c>
      <c r="C209" s="29">
        <f t="shared" si="52"/>
        <v>0</v>
      </c>
      <c r="D209" s="29">
        <f t="shared" si="53"/>
        <v>0</v>
      </c>
      <c r="E209" s="29">
        <f t="shared" si="50"/>
        <v>0</v>
      </c>
      <c r="F209" s="29">
        <f t="shared" si="54"/>
        <v>0</v>
      </c>
      <c r="G209" s="29" t="str">
        <f t="shared" si="55"/>
        <v>offensive</v>
      </c>
      <c r="H209" s="16">
        <f t="shared" si="56"/>
        <v>0</v>
      </c>
      <c r="I209" s="16">
        <f t="shared" si="57"/>
        <v>0</v>
      </c>
      <c r="J209" s="16">
        <f t="shared" si="58"/>
        <v>0</v>
      </c>
      <c r="K209" s="16">
        <f t="shared" si="59"/>
        <v>0</v>
      </c>
      <c r="L209" s="67">
        <f t="shared" si="60"/>
        <v>0</v>
      </c>
      <c r="M209" s="4">
        <f t="shared" si="61"/>
        <v>0</v>
      </c>
      <c r="N209" s="4">
        <f t="shared" si="62"/>
        <v>0</v>
      </c>
      <c r="O209" s="4">
        <f t="shared" si="63"/>
        <v>0</v>
      </c>
      <c r="P209" s="4" t="e">
        <f>VLOOKUP(AJ201,'CIR Team Info'!$C$5:$E$44,2,FALSE)</f>
        <v>#N/A</v>
      </c>
      <c r="Q209" s="4" t="e">
        <f>VLOOKUP(AJ201,'CIR Team Info'!$C$5:$E$44,3,FALSE)</f>
        <v>#N/A</v>
      </c>
      <c r="R209" s="10" t="e">
        <f>VLOOKUP(AJ201,'FRC Site Data'!$B$3:$L$42,2,FALSE)</f>
        <v>#N/A</v>
      </c>
      <c r="S209" s="10" t="e">
        <f>VLOOKUP(AJ201,'FRC Site Data'!$B$3:$L$42,3,FALSE)</f>
        <v>#N/A</v>
      </c>
      <c r="T209" s="10" t="e">
        <f>VLOOKUP(AJ201,'FRC Site Data'!$B$3:$L$42,4,FALSE)</f>
        <v>#N/A</v>
      </c>
      <c r="U209" s="10" t="e">
        <f>VLOOKUP(AJ201,'FRC Site Data'!$B$3:$L$42,5,FALSE)</f>
        <v>#N/A</v>
      </c>
      <c r="V209" s="10" t="e">
        <f>VLOOKUP(AJ201,'FRC Site Data'!$B$3:$L$42,6,FALSE)</f>
        <v>#N/A</v>
      </c>
      <c r="W209" s="10" t="e">
        <f>VLOOKUP(AJ201,'FRC Site Data'!$B$3:$L$42,8,FALSE)</f>
        <v>#N/A</v>
      </c>
      <c r="X209" s="10" t="e">
        <f>VLOOKUP(AJ201,'FRC Site Data'!$B$3:$L$42,9,FALSE)</f>
        <v>#N/A</v>
      </c>
      <c r="Y209" s="10" t="e">
        <f>VLOOKUP(AJ201,'FRC Site Data'!$B$3:$L$42,10,FALSE)</f>
        <v>#N/A</v>
      </c>
      <c r="Z209" s="10" t="e">
        <f>VLOOKUP(AJ201,'FRC Site Data'!$B$3:$L$42,11,FALSE)</f>
        <v>#N/A</v>
      </c>
      <c r="AA209" s="10" t="e">
        <f>VLOOKUP(AJ201,'CIR Team Info'!$C$5:$E$44,4,FALSE)</f>
        <v>#N/A</v>
      </c>
      <c r="AB209" s="161" t="b">
        <f>ISNUMBER(VLOOKUP(AJ201,Match!$T$5:$T$10,1,FALSE))</f>
        <v>0</v>
      </c>
      <c r="AC209" s="161" t="b">
        <f>IF(AB209=TRUE,(VLOOKUP($AJ201,Match!$T$5:$U$10,2,FALSE)))</f>
        <v>0</v>
      </c>
      <c r="AD209" s="8">
        <v>3</v>
      </c>
      <c r="AE209" s="8">
        <v>2</v>
      </c>
      <c r="AF209" s="8">
        <v>2</v>
      </c>
      <c r="AG209" s="8">
        <v>1</v>
      </c>
      <c r="AH209" s="8" t="str">
        <f t="shared" si="48"/>
        <v/>
      </c>
      <c r="AI209" s="12"/>
      <c r="AZ209" s="12"/>
      <c r="BC209" s="12"/>
    </row>
    <row r="210" spans="1:65" x14ac:dyDescent="0.25">
      <c r="A210" s="29">
        <f t="shared" si="49"/>
        <v>0</v>
      </c>
      <c r="B210" s="29">
        <f t="shared" si="51"/>
        <v>0</v>
      </c>
      <c r="C210" s="29">
        <f t="shared" si="52"/>
        <v>0</v>
      </c>
      <c r="D210" s="29">
        <f t="shared" si="53"/>
        <v>0</v>
      </c>
      <c r="E210" s="29">
        <f t="shared" si="50"/>
        <v>0</v>
      </c>
      <c r="F210" s="29">
        <f t="shared" si="54"/>
        <v>0</v>
      </c>
      <c r="G210" s="29" t="str">
        <f t="shared" si="55"/>
        <v>offensive</v>
      </c>
      <c r="H210" s="16">
        <f t="shared" si="56"/>
        <v>0</v>
      </c>
      <c r="I210" s="16">
        <f t="shared" si="57"/>
        <v>0</v>
      </c>
      <c r="J210" s="16">
        <f t="shared" si="58"/>
        <v>0</v>
      </c>
      <c r="K210" s="16">
        <f t="shared" si="59"/>
        <v>0</v>
      </c>
      <c r="L210" s="67">
        <f t="shared" si="60"/>
        <v>0</v>
      </c>
      <c r="M210" s="4">
        <f t="shared" si="61"/>
        <v>0</v>
      </c>
      <c r="N210" s="4">
        <f t="shared" si="62"/>
        <v>0</v>
      </c>
      <c r="O210" s="4">
        <f t="shared" si="63"/>
        <v>0</v>
      </c>
      <c r="P210" s="4" t="e">
        <f>VLOOKUP(AJ202,'CIR Team Info'!$C$5:$E$44,2,FALSE)</f>
        <v>#N/A</v>
      </c>
      <c r="Q210" s="4" t="e">
        <f>VLOOKUP(AJ202,'CIR Team Info'!$C$5:$E$44,3,FALSE)</f>
        <v>#N/A</v>
      </c>
      <c r="R210" s="10" t="e">
        <f>VLOOKUP(AJ202,'FRC Site Data'!$B$3:$L$42,2,FALSE)</f>
        <v>#N/A</v>
      </c>
      <c r="S210" s="10" t="e">
        <f>VLOOKUP(AJ202,'FRC Site Data'!$B$3:$L$42,3,FALSE)</f>
        <v>#N/A</v>
      </c>
      <c r="T210" s="10" t="e">
        <f>VLOOKUP(AJ202,'FRC Site Data'!$B$3:$L$42,4,FALSE)</f>
        <v>#N/A</v>
      </c>
      <c r="U210" s="10" t="e">
        <f>VLOOKUP(AJ202,'FRC Site Data'!$B$3:$L$42,5,FALSE)</f>
        <v>#N/A</v>
      </c>
      <c r="V210" s="10" t="e">
        <f>VLOOKUP(AJ202,'FRC Site Data'!$B$3:$L$42,6,FALSE)</f>
        <v>#N/A</v>
      </c>
      <c r="W210" s="10" t="e">
        <f>VLOOKUP(AJ202,'FRC Site Data'!$B$3:$L$42,8,FALSE)</f>
        <v>#N/A</v>
      </c>
      <c r="X210" s="10" t="e">
        <f>VLOOKUP(AJ202,'FRC Site Data'!$B$3:$L$42,9,FALSE)</f>
        <v>#N/A</v>
      </c>
      <c r="Y210" s="10" t="e">
        <f>VLOOKUP(AJ202,'FRC Site Data'!$B$3:$L$42,10,FALSE)</f>
        <v>#N/A</v>
      </c>
      <c r="Z210" s="10" t="e">
        <f>VLOOKUP(AJ202,'FRC Site Data'!$B$3:$L$42,11,FALSE)</f>
        <v>#N/A</v>
      </c>
      <c r="AA210" s="10" t="e">
        <f>VLOOKUP(AJ202,'CIR Team Info'!$C$5:$E$44,4,FALSE)</f>
        <v>#N/A</v>
      </c>
      <c r="AB210" s="161" t="b">
        <f>ISNUMBER(VLOOKUP(AJ202,Match!$T$5:$T$10,1,FALSE))</f>
        <v>0</v>
      </c>
      <c r="AC210" s="161" t="b">
        <f>IF(AB210=TRUE,(VLOOKUP($AJ202,Match!$T$5:$U$10,2,FALSE)))</f>
        <v>0</v>
      </c>
      <c r="AD210" s="8">
        <v>3</v>
      </c>
      <c r="AE210" s="8">
        <v>2</v>
      </c>
      <c r="AF210" s="8">
        <v>2</v>
      </c>
      <c r="AG210" s="8">
        <v>1</v>
      </c>
      <c r="AH210" s="8" t="str">
        <f t="shared" si="48"/>
        <v/>
      </c>
      <c r="AI210" s="12"/>
      <c r="AZ210" s="12"/>
      <c r="BC210" s="12"/>
    </row>
    <row r="211" spans="1:65" x14ac:dyDescent="0.25">
      <c r="A211" s="29">
        <f t="shared" si="49"/>
        <v>0</v>
      </c>
      <c r="B211" s="29">
        <f t="shared" si="51"/>
        <v>0</v>
      </c>
      <c r="C211" s="29">
        <f t="shared" si="52"/>
        <v>0</v>
      </c>
      <c r="D211" s="29">
        <f t="shared" si="53"/>
        <v>0</v>
      </c>
      <c r="E211" s="29">
        <f t="shared" si="50"/>
        <v>0</v>
      </c>
      <c r="F211" s="29">
        <f t="shared" si="54"/>
        <v>0</v>
      </c>
      <c r="G211" s="29" t="str">
        <f t="shared" si="55"/>
        <v>offensive</v>
      </c>
      <c r="H211" s="16">
        <f t="shared" si="56"/>
        <v>0</v>
      </c>
      <c r="I211" s="16">
        <f t="shared" si="57"/>
        <v>0</v>
      </c>
      <c r="J211" s="16">
        <f t="shared" si="58"/>
        <v>0</v>
      </c>
      <c r="K211" s="16">
        <f t="shared" si="59"/>
        <v>0</v>
      </c>
      <c r="L211" s="67">
        <f t="shared" si="60"/>
        <v>0</v>
      </c>
      <c r="M211" s="4">
        <f t="shared" si="61"/>
        <v>0</v>
      </c>
      <c r="N211" s="4">
        <f t="shared" si="62"/>
        <v>0</v>
      </c>
      <c r="O211" s="4">
        <f t="shared" si="63"/>
        <v>0</v>
      </c>
      <c r="P211" s="4" t="e">
        <f>VLOOKUP(AJ203,'CIR Team Info'!$C$5:$E$44,2,FALSE)</f>
        <v>#N/A</v>
      </c>
      <c r="Q211" s="4" t="e">
        <f>VLOOKUP(AJ203,'CIR Team Info'!$C$5:$E$44,3,FALSE)</f>
        <v>#N/A</v>
      </c>
      <c r="R211" s="10" t="e">
        <f>VLOOKUP(AJ203,'FRC Site Data'!$B$3:$L$42,2,FALSE)</f>
        <v>#N/A</v>
      </c>
      <c r="S211" s="10" t="e">
        <f>VLOOKUP(AJ203,'FRC Site Data'!$B$3:$L$42,3,FALSE)</f>
        <v>#N/A</v>
      </c>
      <c r="T211" s="10" t="e">
        <f>VLOOKUP(AJ203,'FRC Site Data'!$B$3:$L$42,4,FALSE)</f>
        <v>#N/A</v>
      </c>
      <c r="U211" s="10" t="e">
        <f>VLOOKUP(AJ203,'FRC Site Data'!$B$3:$L$42,5,FALSE)</f>
        <v>#N/A</v>
      </c>
      <c r="V211" s="10" t="e">
        <f>VLOOKUP(AJ203,'FRC Site Data'!$B$3:$L$42,6,FALSE)</f>
        <v>#N/A</v>
      </c>
      <c r="W211" s="10" t="e">
        <f>VLOOKUP(AJ203,'FRC Site Data'!$B$3:$L$42,8,FALSE)</f>
        <v>#N/A</v>
      </c>
      <c r="X211" s="10" t="e">
        <f>VLOOKUP(AJ203,'FRC Site Data'!$B$3:$L$42,9,FALSE)</f>
        <v>#N/A</v>
      </c>
      <c r="Y211" s="10" t="e">
        <f>VLOOKUP(AJ203,'FRC Site Data'!$B$3:$L$42,10,FALSE)</f>
        <v>#N/A</v>
      </c>
      <c r="Z211" s="10" t="e">
        <f>VLOOKUP(AJ203,'FRC Site Data'!$B$3:$L$42,11,FALSE)</f>
        <v>#N/A</v>
      </c>
      <c r="AA211" s="10" t="e">
        <f>VLOOKUP(AJ203,'CIR Team Info'!$C$5:$E$44,4,FALSE)</f>
        <v>#N/A</v>
      </c>
      <c r="AB211" s="161" t="b">
        <f>ISNUMBER(VLOOKUP(AJ203,Match!$T$5:$T$10,1,FALSE))</f>
        <v>0</v>
      </c>
      <c r="AC211" s="161" t="b">
        <f>IF(AB211=TRUE,(VLOOKUP($AJ203,Match!$T$5:$U$10,2,FALSE)))</f>
        <v>0</v>
      </c>
      <c r="AD211" s="8">
        <v>3</v>
      </c>
      <c r="AE211" s="8">
        <v>2</v>
      </c>
      <c r="AF211" s="8">
        <v>2</v>
      </c>
      <c r="AG211" s="8">
        <v>1</v>
      </c>
      <c r="AH211" s="8" t="str">
        <f t="shared" si="48"/>
        <v/>
      </c>
      <c r="AI211" s="12"/>
      <c r="AZ211" s="12"/>
      <c r="BC211" s="12"/>
    </row>
    <row r="212" spans="1:65" x14ac:dyDescent="0.25">
      <c r="A212" s="29">
        <f t="shared" si="49"/>
        <v>0</v>
      </c>
      <c r="B212" s="29">
        <f t="shared" si="51"/>
        <v>0</v>
      </c>
      <c r="C212" s="29">
        <f t="shared" si="52"/>
        <v>0</v>
      </c>
      <c r="D212" s="29">
        <f t="shared" si="53"/>
        <v>0</v>
      </c>
      <c r="E212" s="29">
        <f t="shared" si="50"/>
        <v>0</v>
      </c>
      <c r="F212" s="29">
        <f t="shared" si="54"/>
        <v>0</v>
      </c>
      <c r="G212" s="29" t="str">
        <f t="shared" si="55"/>
        <v>offensive</v>
      </c>
      <c r="H212" s="16">
        <f t="shared" si="56"/>
        <v>0</v>
      </c>
      <c r="I212" s="16">
        <f t="shared" si="57"/>
        <v>0</v>
      </c>
      <c r="J212" s="16">
        <f t="shared" si="58"/>
        <v>0</v>
      </c>
      <c r="K212" s="16">
        <f t="shared" si="59"/>
        <v>0</v>
      </c>
      <c r="L212" s="67">
        <f t="shared" si="60"/>
        <v>0</v>
      </c>
      <c r="M212" s="4">
        <f t="shared" si="61"/>
        <v>0</v>
      </c>
      <c r="N212" s="4">
        <f t="shared" si="62"/>
        <v>0</v>
      </c>
      <c r="O212" s="4">
        <f t="shared" si="63"/>
        <v>0</v>
      </c>
      <c r="P212" s="4" t="e">
        <f>VLOOKUP(AJ204,'CIR Team Info'!$C$5:$E$44,2,FALSE)</f>
        <v>#N/A</v>
      </c>
      <c r="Q212" s="4" t="e">
        <f>VLOOKUP(AJ204,'CIR Team Info'!$C$5:$E$44,3,FALSE)</f>
        <v>#N/A</v>
      </c>
      <c r="R212" s="10" t="e">
        <f>VLOOKUP(AJ204,'FRC Site Data'!$B$3:$L$42,2,FALSE)</f>
        <v>#N/A</v>
      </c>
      <c r="S212" s="10" t="e">
        <f>VLOOKUP(AJ204,'FRC Site Data'!$B$3:$L$42,3,FALSE)</f>
        <v>#N/A</v>
      </c>
      <c r="T212" s="10" t="e">
        <f>VLOOKUP(AJ204,'FRC Site Data'!$B$3:$L$42,4,FALSE)</f>
        <v>#N/A</v>
      </c>
      <c r="U212" s="10" t="e">
        <f>VLOOKUP(AJ204,'FRC Site Data'!$B$3:$L$42,5,FALSE)</f>
        <v>#N/A</v>
      </c>
      <c r="V212" s="10" t="e">
        <f>VLOOKUP(AJ204,'FRC Site Data'!$B$3:$L$42,6,FALSE)</f>
        <v>#N/A</v>
      </c>
      <c r="W212" s="10" t="e">
        <f>VLOOKUP(AJ204,'FRC Site Data'!$B$3:$L$42,8,FALSE)</f>
        <v>#N/A</v>
      </c>
      <c r="X212" s="10" t="e">
        <f>VLOOKUP(AJ204,'FRC Site Data'!$B$3:$L$42,9,FALSE)</f>
        <v>#N/A</v>
      </c>
      <c r="Y212" s="10" t="e">
        <f>VLOOKUP(AJ204,'FRC Site Data'!$B$3:$L$42,10,FALSE)</f>
        <v>#N/A</v>
      </c>
      <c r="Z212" s="10" t="e">
        <f>VLOOKUP(AJ204,'FRC Site Data'!$B$3:$L$42,11,FALSE)</f>
        <v>#N/A</v>
      </c>
      <c r="AA212" s="10" t="e">
        <f>VLOOKUP(AJ204,'CIR Team Info'!$C$5:$E$44,4,FALSE)</f>
        <v>#N/A</v>
      </c>
      <c r="AB212" s="161" t="b">
        <f>ISNUMBER(VLOOKUP(AJ204,Match!$T$5:$T$10,1,FALSE))</f>
        <v>0</v>
      </c>
      <c r="AC212" s="161" t="b">
        <f>IF(AB212=TRUE,(VLOOKUP($AJ204,Match!$T$5:$U$10,2,FALSE)))</f>
        <v>0</v>
      </c>
      <c r="AD212" s="8">
        <v>3</v>
      </c>
      <c r="AE212" s="8">
        <v>2</v>
      </c>
      <c r="AF212" s="8">
        <v>2</v>
      </c>
      <c r="AG212" s="8">
        <v>1</v>
      </c>
      <c r="AH212" s="8" t="str">
        <f t="shared" si="48"/>
        <v/>
      </c>
      <c r="AI212" s="12"/>
      <c r="AZ212" s="12"/>
      <c r="BC212" s="12"/>
    </row>
    <row r="213" spans="1:65" x14ac:dyDescent="0.25">
      <c r="A213" s="29">
        <f t="shared" si="49"/>
        <v>0</v>
      </c>
      <c r="B213" s="29">
        <f t="shared" si="51"/>
        <v>0</v>
      </c>
      <c r="C213" s="29">
        <f t="shared" si="52"/>
        <v>0</v>
      </c>
      <c r="D213" s="29">
        <f t="shared" si="53"/>
        <v>0</v>
      </c>
      <c r="E213" s="29">
        <f t="shared" si="50"/>
        <v>0</v>
      </c>
      <c r="F213" s="29">
        <f t="shared" si="54"/>
        <v>0</v>
      </c>
      <c r="G213" s="29" t="str">
        <f t="shared" si="55"/>
        <v>offensive</v>
      </c>
      <c r="H213" s="16">
        <f t="shared" si="56"/>
        <v>0</v>
      </c>
      <c r="I213" s="16">
        <f t="shared" si="57"/>
        <v>0</v>
      </c>
      <c r="J213" s="16">
        <f t="shared" si="58"/>
        <v>0</v>
      </c>
      <c r="K213" s="16">
        <f t="shared" si="59"/>
        <v>0</v>
      </c>
      <c r="L213" s="67">
        <f t="shared" si="60"/>
        <v>0</v>
      </c>
      <c r="M213" s="4">
        <f t="shared" si="61"/>
        <v>0</v>
      </c>
      <c r="N213" s="4">
        <f t="shared" si="62"/>
        <v>0</v>
      </c>
      <c r="O213" s="4">
        <f t="shared" si="63"/>
        <v>0</v>
      </c>
      <c r="P213" s="4" t="e">
        <f>VLOOKUP(AJ205,'CIR Team Info'!$C$5:$E$44,2,FALSE)</f>
        <v>#N/A</v>
      </c>
      <c r="Q213" s="4" t="e">
        <f>VLOOKUP(AJ205,'CIR Team Info'!$C$5:$E$44,3,FALSE)</f>
        <v>#N/A</v>
      </c>
      <c r="R213" s="10" t="e">
        <f>VLOOKUP(AJ205,'FRC Site Data'!$B$3:$L$42,2,FALSE)</f>
        <v>#N/A</v>
      </c>
      <c r="S213" s="10" t="e">
        <f>VLOOKUP(AJ205,'FRC Site Data'!$B$3:$L$42,3,FALSE)</f>
        <v>#N/A</v>
      </c>
      <c r="T213" s="10" t="e">
        <f>VLOOKUP(AJ205,'FRC Site Data'!$B$3:$L$42,4,FALSE)</f>
        <v>#N/A</v>
      </c>
      <c r="U213" s="10" t="e">
        <f>VLOOKUP(AJ205,'FRC Site Data'!$B$3:$L$42,5,FALSE)</f>
        <v>#N/A</v>
      </c>
      <c r="V213" s="10" t="e">
        <f>VLOOKUP(AJ205,'FRC Site Data'!$B$3:$L$42,6,FALSE)</f>
        <v>#N/A</v>
      </c>
      <c r="W213" s="10" t="e">
        <f>VLOOKUP(AJ205,'FRC Site Data'!$B$3:$L$42,8,FALSE)</f>
        <v>#N/A</v>
      </c>
      <c r="X213" s="10" t="e">
        <f>VLOOKUP(AJ205,'FRC Site Data'!$B$3:$L$42,9,FALSE)</f>
        <v>#N/A</v>
      </c>
      <c r="Y213" s="10" t="e">
        <f>VLOOKUP(AJ205,'FRC Site Data'!$B$3:$L$42,10,FALSE)</f>
        <v>#N/A</v>
      </c>
      <c r="Z213" s="10" t="e">
        <f>VLOOKUP(AJ205,'FRC Site Data'!$B$3:$L$42,11,FALSE)</f>
        <v>#N/A</v>
      </c>
      <c r="AA213" s="10" t="e">
        <f>VLOOKUP(AJ205,'CIR Team Info'!$C$5:$E$44,4,FALSE)</f>
        <v>#N/A</v>
      </c>
      <c r="AB213" s="161" t="b">
        <f>ISNUMBER(VLOOKUP(AJ205,Match!$T$5:$T$10,1,FALSE))</f>
        <v>0</v>
      </c>
      <c r="AC213" s="161" t="b">
        <f>IF(AB213=TRUE,(VLOOKUP($AJ205,Match!$T$5:$U$10,2,FALSE)))</f>
        <v>0</v>
      </c>
      <c r="AD213" s="8">
        <v>3</v>
      </c>
      <c r="AE213" s="8">
        <v>2</v>
      </c>
      <c r="AF213" s="8">
        <v>2</v>
      </c>
      <c r="AG213" s="8">
        <v>1</v>
      </c>
      <c r="AH213" s="8" t="str">
        <f t="shared" si="48"/>
        <v/>
      </c>
      <c r="AI213" s="12"/>
      <c r="AZ213" s="12"/>
      <c r="BC213" s="12"/>
    </row>
    <row r="214" spans="1:65" x14ac:dyDescent="0.25">
      <c r="A214" s="29">
        <f t="shared" si="49"/>
        <v>0</v>
      </c>
      <c r="B214" s="29">
        <f t="shared" si="51"/>
        <v>0</v>
      </c>
      <c r="C214" s="29">
        <f t="shared" si="52"/>
        <v>0</v>
      </c>
      <c r="D214" s="29">
        <f t="shared" si="53"/>
        <v>0</v>
      </c>
      <c r="E214" s="29">
        <f t="shared" si="50"/>
        <v>0</v>
      </c>
      <c r="F214" s="29">
        <f t="shared" si="54"/>
        <v>0</v>
      </c>
      <c r="G214" s="29" t="str">
        <f t="shared" si="55"/>
        <v>offensive</v>
      </c>
      <c r="H214" s="16">
        <f t="shared" si="56"/>
        <v>0</v>
      </c>
      <c r="I214" s="16">
        <f t="shared" si="57"/>
        <v>0</v>
      </c>
      <c r="J214" s="16">
        <f t="shared" si="58"/>
        <v>0</v>
      </c>
      <c r="K214" s="16">
        <f t="shared" si="59"/>
        <v>0</v>
      </c>
      <c r="L214" s="67">
        <f t="shared" si="60"/>
        <v>0</v>
      </c>
      <c r="M214" s="4">
        <f t="shared" si="61"/>
        <v>0</v>
      </c>
      <c r="N214" s="4">
        <f t="shared" si="62"/>
        <v>0</v>
      </c>
      <c r="O214" s="4">
        <f t="shared" si="63"/>
        <v>0</v>
      </c>
      <c r="P214" s="4" t="e">
        <f>VLOOKUP(AJ206,'CIR Team Info'!$C$5:$E$44,2,FALSE)</f>
        <v>#N/A</v>
      </c>
      <c r="Q214" s="4" t="e">
        <f>VLOOKUP(AJ206,'CIR Team Info'!$C$5:$E$44,3,FALSE)</f>
        <v>#N/A</v>
      </c>
      <c r="R214" s="10" t="e">
        <f>VLOOKUP(AJ206,'FRC Site Data'!$B$3:$L$42,2,FALSE)</f>
        <v>#N/A</v>
      </c>
      <c r="S214" s="10" t="e">
        <f>VLOOKUP(AJ206,'FRC Site Data'!$B$3:$L$42,3,FALSE)</f>
        <v>#N/A</v>
      </c>
      <c r="T214" s="10" t="e">
        <f>VLOOKUP(AJ206,'FRC Site Data'!$B$3:$L$42,4,FALSE)</f>
        <v>#N/A</v>
      </c>
      <c r="U214" s="10" t="e">
        <f>VLOOKUP(AJ206,'FRC Site Data'!$B$3:$L$42,5,FALSE)</f>
        <v>#N/A</v>
      </c>
      <c r="V214" s="10" t="e">
        <f>VLOOKUP(AJ206,'FRC Site Data'!$B$3:$L$42,6,FALSE)</f>
        <v>#N/A</v>
      </c>
      <c r="W214" s="10" t="e">
        <f>VLOOKUP(AJ206,'FRC Site Data'!$B$3:$L$42,8,FALSE)</f>
        <v>#N/A</v>
      </c>
      <c r="X214" s="10" t="e">
        <f>VLOOKUP(AJ206,'FRC Site Data'!$B$3:$L$42,9,FALSE)</f>
        <v>#N/A</v>
      </c>
      <c r="Y214" s="10" t="e">
        <f>VLOOKUP(AJ206,'FRC Site Data'!$B$3:$L$42,10,FALSE)</f>
        <v>#N/A</v>
      </c>
      <c r="Z214" s="10" t="e">
        <f>VLOOKUP(AJ206,'FRC Site Data'!$B$3:$L$42,11,FALSE)</f>
        <v>#N/A</v>
      </c>
      <c r="AA214" s="10" t="e">
        <f>VLOOKUP(AJ206,'CIR Team Info'!$C$5:$E$44,4,FALSE)</f>
        <v>#N/A</v>
      </c>
      <c r="AB214" s="161" t="b">
        <f>ISNUMBER(VLOOKUP(AJ206,Match!$T$5:$T$10,1,FALSE))</f>
        <v>0</v>
      </c>
      <c r="AC214" s="161" t="b">
        <f>IF(AB214=TRUE,(VLOOKUP($AJ206,Match!$T$5:$U$10,2,FALSE)))</f>
        <v>0</v>
      </c>
      <c r="AD214" s="8">
        <v>3</v>
      </c>
      <c r="AE214" s="8">
        <v>2</v>
      </c>
      <c r="AF214" s="8">
        <v>2</v>
      </c>
      <c r="AG214" s="8">
        <v>1</v>
      </c>
      <c r="AH214" s="8" t="str">
        <f t="shared" si="48"/>
        <v/>
      </c>
      <c r="AI214" s="12"/>
      <c r="AZ214" s="12"/>
      <c r="BC214" s="12"/>
    </row>
    <row r="215" spans="1:65" x14ac:dyDescent="0.25">
      <c r="A215" s="29">
        <f t="shared" si="49"/>
        <v>0</v>
      </c>
      <c r="B215" s="29">
        <f t="shared" si="51"/>
        <v>0</v>
      </c>
      <c r="C215" s="29">
        <f t="shared" si="52"/>
        <v>0</v>
      </c>
      <c r="D215" s="29">
        <f t="shared" si="53"/>
        <v>0</v>
      </c>
      <c r="E215" s="29">
        <f t="shared" si="50"/>
        <v>0</v>
      </c>
      <c r="F215" s="29">
        <f t="shared" si="54"/>
        <v>0</v>
      </c>
      <c r="G215" s="29" t="str">
        <f t="shared" si="55"/>
        <v>offensive</v>
      </c>
      <c r="H215" s="16">
        <f t="shared" si="56"/>
        <v>0</v>
      </c>
      <c r="I215" s="16">
        <f t="shared" si="57"/>
        <v>0</v>
      </c>
      <c r="J215" s="16">
        <f t="shared" si="58"/>
        <v>0</v>
      </c>
      <c r="K215" s="16">
        <f t="shared" si="59"/>
        <v>0</v>
      </c>
      <c r="L215" s="67">
        <f t="shared" si="60"/>
        <v>0</v>
      </c>
      <c r="M215" s="4">
        <f t="shared" si="61"/>
        <v>0</v>
      </c>
      <c r="N215" s="4">
        <f t="shared" si="62"/>
        <v>0</v>
      </c>
      <c r="O215" s="4">
        <f t="shared" si="63"/>
        <v>0</v>
      </c>
      <c r="P215" s="4" t="e">
        <f>VLOOKUP(AJ207,'CIR Team Info'!$C$5:$E$44,2,FALSE)</f>
        <v>#N/A</v>
      </c>
      <c r="Q215" s="4" t="e">
        <f>VLOOKUP(AJ207,'CIR Team Info'!$C$5:$E$44,3,FALSE)</f>
        <v>#N/A</v>
      </c>
      <c r="R215" s="10" t="e">
        <f>VLOOKUP(AJ207,'FRC Site Data'!$B$3:$L$42,2,FALSE)</f>
        <v>#N/A</v>
      </c>
      <c r="S215" s="10" t="e">
        <f>VLOOKUP(AJ207,'FRC Site Data'!$B$3:$L$42,3,FALSE)</f>
        <v>#N/A</v>
      </c>
      <c r="T215" s="10" t="e">
        <f>VLOOKUP(AJ207,'FRC Site Data'!$B$3:$L$42,4,FALSE)</f>
        <v>#N/A</v>
      </c>
      <c r="U215" s="10" t="e">
        <f>VLOOKUP(AJ207,'FRC Site Data'!$B$3:$L$42,5,FALSE)</f>
        <v>#N/A</v>
      </c>
      <c r="V215" s="10" t="e">
        <f>VLOOKUP(AJ207,'FRC Site Data'!$B$3:$L$42,6,FALSE)</f>
        <v>#N/A</v>
      </c>
      <c r="W215" s="10" t="e">
        <f>VLOOKUP(AJ207,'FRC Site Data'!$B$3:$L$42,8,FALSE)</f>
        <v>#N/A</v>
      </c>
      <c r="X215" s="10" t="e">
        <f>VLOOKUP(AJ207,'FRC Site Data'!$B$3:$L$42,9,FALSE)</f>
        <v>#N/A</v>
      </c>
      <c r="Y215" s="10" t="e">
        <f>VLOOKUP(AJ207,'FRC Site Data'!$B$3:$L$42,10,FALSE)</f>
        <v>#N/A</v>
      </c>
      <c r="Z215" s="10" t="e">
        <f>VLOOKUP(AJ207,'FRC Site Data'!$B$3:$L$42,11,FALSE)</f>
        <v>#N/A</v>
      </c>
      <c r="AA215" s="10" t="e">
        <f>VLOOKUP(AJ207,'CIR Team Info'!$C$5:$E$44,4,FALSE)</f>
        <v>#N/A</v>
      </c>
      <c r="AB215" s="161" t="b">
        <f>ISNUMBER(VLOOKUP(AJ207,Match!$T$5:$T$10,1,FALSE))</f>
        <v>0</v>
      </c>
      <c r="AC215" s="161" t="b">
        <f>IF(AB215=TRUE,(VLOOKUP($AJ207,Match!$T$5:$U$10,2,FALSE)))</f>
        <v>0</v>
      </c>
      <c r="AD215" s="8">
        <v>3</v>
      </c>
      <c r="AE215" s="8">
        <v>2</v>
      </c>
      <c r="AF215" s="8">
        <v>2</v>
      </c>
      <c r="AG215" s="8">
        <v>1</v>
      </c>
      <c r="AH215" s="8" t="str">
        <f t="shared" si="48"/>
        <v/>
      </c>
      <c r="AI215" s="12"/>
      <c r="AZ215" s="12"/>
      <c r="BC215" s="12"/>
      <c r="BL215" s="12"/>
      <c r="BM215" s="12"/>
    </row>
    <row r="216" spans="1:65" x14ac:dyDescent="0.25">
      <c r="A216" s="29">
        <f t="shared" si="49"/>
        <v>0</v>
      </c>
      <c r="B216" s="29">
        <f t="shared" si="51"/>
        <v>0</v>
      </c>
      <c r="C216" s="29">
        <f t="shared" si="52"/>
        <v>0</v>
      </c>
      <c r="D216" s="29">
        <f t="shared" si="53"/>
        <v>0</v>
      </c>
      <c r="E216" s="29">
        <f t="shared" si="50"/>
        <v>0</v>
      </c>
      <c r="F216" s="29">
        <f t="shared" si="54"/>
        <v>0</v>
      </c>
      <c r="G216" s="29" t="str">
        <f t="shared" si="55"/>
        <v>offensive</v>
      </c>
      <c r="H216" s="16">
        <f t="shared" si="56"/>
        <v>0</v>
      </c>
      <c r="I216" s="16">
        <f t="shared" si="57"/>
        <v>0</v>
      </c>
      <c r="J216" s="16">
        <f t="shared" si="58"/>
        <v>0</v>
      </c>
      <c r="K216" s="16">
        <f t="shared" si="59"/>
        <v>0</v>
      </c>
      <c r="L216" s="67">
        <f t="shared" si="60"/>
        <v>0</v>
      </c>
      <c r="M216" s="4">
        <f t="shared" si="61"/>
        <v>0</v>
      </c>
      <c r="N216" s="4">
        <f t="shared" si="62"/>
        <v>0</v>
      </c>
      <c r="O216" s="4">
        <f t="shared" si="63"/>
        <v>0</v>
      </c>
      <c r="P216" s="4" t="e">
        <f>VLOOKUP(AJ208,'CIR Team Info'!$C$5:$E$44,2,FALSE)</f>
        <v>#N/A</v>
      </c>
      <c r="Q216" s="4" t="e">
        <f>VLOOKUP(AJ208,'CIR Team Info'!$C$5:$E$44,3,FALSE)</f>
        <v>#N/A</v>
      </c>
      <c r="R216" s="10" t="e">
        <f>VLOOKUP(AJ208,'FRC Site Data'!$B$3:$L$42,2,FALSE)</f>
        <v>#N/A</v>
      </c>
      <c r="S216" s="10" t="e">
        <f>VLOOKUP(AJ208,'FRC Site Data'!$B$3:$L$42,3,FALSE)</f>
        <v>#N/A</v>
      </c>
      <c r="T216" s="10" t="e">
        <f>VLOOKUP(AJ208,'FRC Site Data'!$B$3:$L$42,4,FALSE)</f>
        <v>#N/A</v>
      </c>
      <c r="U216" s="10" t="e">
        <f>VLOOKUP(AJ208,'FRC Site Data'!$B$3:$L$42,5,FALSE)</f>
        <v>#N/A</v>
      </c>
      <c r="V216" s="10" t="e">
        <f>VLOOKUP(AJ208,'FRC Site Data'!$B$3:$L$42,6,FALSE)</f>
        <v>#N/A</v>
      </c>
      <c r="W216" s="10" t="e">
        <f>VLOOKUP(AJ208,'FRC Site Data'!$B$3:$L$42,8,FALSE)</f>
        <v>#N/A</v>
      </c>
      <c r="X216" s="10" t="e">
        <f>VLOOKUP(AJ208,'FRC Site Data'!$B$3:$L$42,9,FALSE)</f>
        <v>#N/A</v>
      </c>
      <c r="Y216" s="10" t="e">
        <f>VLOOKUP(AJ208,'FRC Site Data'!$B$3:$L$42,10,FALSE)</f>
        <v>#N/A</v>
      </c>
      <c r="Z216" s="10" t="e">
        <f>VLOOKUP(AJ208,'FRC Site Data'!$B$3:$L$42,11,FALSE)</f>
        <v>#N/A</v>
      </c>
      <c r="AA216" s="10" t="e">
        <f>VLOOKUP(AJ208,'CIR Team Info'!$C$5:$E$44,4,FALSE)</f>
        <v>#N/A</v>
      </c>
      <c r="AB216" s="161" t="b">
        <f>ISNUMBER(VLOOKUP(AJ208,Match!$T$5:$T$10,1,FALSE))</f>
        <v>0</v>
      </c>
      <c r="AC216" s="161" t="b">
        <f>IF(AB216=TRUE,(VLOOKUP($AJ208,Match!$T$5:$U$10,2,FALSE)))</f>
        <v>0</v>
      </c>
      <c r="AD216" s="8">
        <v>3</v>
      </c>
      <c r="AE216" s="8">
        <v>2</v>
      </c>
      <c r="AF216" s="8">
        <v>2</v>
      </c>
      <c r="AG216" s="8">
        <v>1</v>
      </c>
      <c r="AH216" s="8" t="str">
        <f t="shared" si="48"/>
        <v/>
      </c>
      <c r="AI216" s="12"/>
      <c r="AZ216" s="12"/>
      <c r="BC216" s="12"/>
      <c r="BL216" s="12"/>
      <c r="BM216" s="12"/>
    </row>
    <row r="217" spans="1:65" x14ac:dyDescent="0.25">
      <c r="A217" s="29">
        <f t="shared" si="49"/>
        <v>0</v>
      </c>
      <c r="B217" s="29">
        <f t="shared" si="51"/>
        <v>0</v>
      </c>
      <c r="C217" s="29">
        <f t="shared" si="52"/>
        <v>0</v>
      </c>
      <c r="D217" s="29">
        <f t="shared" si="53"/>
        <v>0</v>
      </c>
      <c r="E217" s="29">
        <f t="shared" si="50"/>
        <v>0</v>
      </c>
      <c r="F217" s="29">
        <f t="shared" si="54"/>
        <v>0</v>
      </c>
      <c r="G217" s="29" t="str">
        <f t="shared" si="55"/>
        <v>offensive</v>
      </c>
      <c r="H217" s="16">
        <f t="shared" si="56"/>
        <v>0</v>
      </c>
      <c r="I217" s="16">
        <f t="shared" si="57"/>
        <v>0</v>
      </c>
      <c r="J217" s="16">
        <f t="shared" si="58"/>
        <v>0</v>
      </c>
      <c r="K217" s="16">
        <f t="shared" si="59"/>
        <v>0</v>
      </c>
      <c r="L217" s="67">
        <f t="shared" si="60"/>
        <v>0</v>
      </c>
      <c r="M217" s="4">
        <f t="shared" si="61"/>
        <v>0</v>
      </c>
      <c r="N217" s="4">
        <f t="shared" si="62"/>
        <v>0</v>
      </c>
      <c r="O217" s="4">
        <f t="shared" si="63"/>
        <v>0</v>
      </c>
      <c r="P217" s="4" t="e">
        <f>VLOOKUP(AJ209,'CIR Team Info'!$C$5:$E$44,2,FALSE)</f>
        <v>#N/A</v>
      </c>
      <c r="Q217" s="4" t="e">
        <f>VLOOKUP(AJ209,'CIR Team Info'!$C$5:$E$44,3,FALSE)</f>
        <v>#N/A</v>
      </c>
      <c r="R217" s="10" t="e">
        <f>VLOOKUP(AJ209,'FRC Site Data'!$B$3:$L$42,2,FALSE)</f>
        <v>#N/A</v>
      </c>
      <c r="S217" s="10" t="e">
        <f>VLOOKUP(AJ209,'FRC Site Data'!$B$3:$L$42,3,FALSE)</f>
        <v>#N/A</v>
      </c>
      <c r="T217" s="10" t="e">
        <f>VLOOKUP(AJ209,'FRC Site Data'!$B$3:$L$42,4,FALSE)</f>
        <v>#N/A</v>
      </c>
      <c r="U217" s="10" t="e">
        <f>VLOOKUP(AJ209,'FRC Site Data'!$B$3:$L$42,5,FALSE)</f>
        <v>#N/A</v>
      </c>
      <c r="V217" s="10" t="e">
        <f>VLOOKUP(AJ209,'FRC Site Data'!$B$3:$L$42,6,FALSE)</f>
        <v>#N/A</v>
      </c>
      <c r="W217" s="10" t="e">
        <f>VLOOKUP(AJ209,'FRC Site Data'!$B$3:$L$42,8,FALSE)</f>
        <v>#N/A</v>
      </c>
      <c r="X217" s="10" t="e">
        <f>VLOOKUP(AJ209,'FRC Site Data'!$B$3:$L$42,9,FALSE)</f>
        <v>#N/A</v>
      </c>
      <c r="Y217" s="10" t="e">
        <f>VLOOKUP(AJ209,'FRC Site Data'!$B$3:$L$42,10,FALSE)</f>
        <v>#N/A</v>
      </c>
      <c r="Z217" s="10" t="e">
        <f>VLOOKUP(AJ209,'FRC Site Data'!$B$3:$L$42,11,FALSE)</f>
        <v>#N/A</v>
      </c>
      <c r="AA217" s="10" t="e">
        <f>VLOOKUP(AJ209,'CIR Team Info'!$C$5:$E$44,4,FALSE)</f>
        <v>#N/A</v>
      </c>
      <c r="AB217" s="161" t="b">
        <f>ISNUMBER(VLOOKUP(AJ209,Match!$T$5:$T$10,1,FALSE))</f>
        <v>0</v>
      </c>
      <c r="AC217" s="161" t="b">
        <f>IF(AB217=TRUE,(VLOOKUP($AJ209,Match!$T$5:$U$10,2,FALSE)))</f>
        <v>0</v>
      </c>
      <c r="AD217" s="8">
        <v>3</v>
      </c>
      <c r="AE217" s="8">
        <v>2</v>
      </c>
      <c r="AF217" s="8">
        <v>2</v>
      </c>
      <c r="AG217" s="8">
        <v>1</v>
      </c>
      <c r="AH217" s="8" t="str">
        <f t="shared" si="48"/>
        <v/>
      </c>
      <c r="AI217" s="12"/>
      <c r="AZ217" s="12"/>
      <c r="BC217" s="12"/>
      <c r="BL217" s="12"/>
      <c r="BM217" s="12"/>
    </row>
    <row r="218" spans="1:65" x14ac:dyDescent="0.25">
      <c r="A218" s="29">
        <f t="shared" si="49"/>
        <v>0</v>
      </c>
      <c r="B218" s="29">
        <f t="shared" si="51"/>
        <v>0</v>
      </c>
      <c r="C218" s="29">
        <f t="shared" si="52"/>
        <v>0</v>
      </c>
      <c r="D218" s="29">
        <f t="shared" si="53"/>
        <v>0</v>
      </c>
      <c r="E218" s="29">
        <f t="shared" si="50"/>
        <v>0</v>
      </c>
      <c r="F218" s="29">
        <f t="shared" si="54"/>
        <v>0</v>
      </c>
      <c r="G218" s="29" t="str">
        <f t="shared" si="55"/>
        <v>offensive</v>
      </c>
      <c r="H218" s="16">
        <f t="shared" si="56"/>
        <v>0</v>
      </c>
      <c r="I218" s="16">
        <f t="shared" si="57"/>
        <v>0</v>
      </c>
      <c r="J218" s="16">
        <f t="shared" si="58"/>
        <v>0</v>
      </c>
      <c r="K218" s="16">
        <f t="shared" si="59"/>
        <v>0</v>
      </c>
      <c r="L218" s="67">
        <f t="shared" si="60"/>
        <v>0</v>
      </c>
      <c r="M218" s="4">
        <f t="shared" si="61"/>
        <v>0</v>
      </c>
      <c r="N218" s="4">
        <f t="shared" si="62"/>
        <v>0</v>
      </c>
      <c r="O218" s="4">
        <f t="shared" si="63"/>
        <v>0</v>
      </c>
      <c r="P218" s="4" t="e">
        <f>VLOOKUP(AJ210,'CIR Team Info'!$C$5:$E$44,2,FALSE)</f>
        <v>#N/A</v>
      </c>
      <c r="Q218" s="4" t="e">
        <f>VLOOKUP(AJ210,'CIR Team Info'!$C$5:$E$44,3,FALSE)</f>
        <v>#N/A</v>
      </c>
      <c r="R218" s="10" t="e">
        <f>VLOOKUP(AJ210,'FRC Site Data'!$B$3:$L$42,2,FALSE)</f>
        <v>#N/A</v>
      </c>
      <c r="S218" s="10" t="e">
        <f>VLOOKUP(AJ210,'FRC Site Data'!$B$3:$L$42,3,FALSE)</f>
        <v>#N/A</v>
      </c>
      <c r="T218" s="10" t="e">
        <f>VLOOKUP(AJ210,'FRC Site Data'!$B$3:$L$42,4,FALSE)</f>
        <v>#N/A</v>
      </c>
      <c r="U218" s="10" t="e">
        <f>VLOOKUP(AJ210,'FRC Site Data'!$B$3:$L$42,5,FALSE)</f>
        <v>#N/A</v>
      </c>
      <c r="V218" s="10" t="e">
        <f>VLOOKUP(AJ210,'FRC Site Data'!$B$3:$L$42,6,FALSE)</f>
        <v>#N/A</v>
      </c>
      <c r="W218" s="10" t="e">
        <f>VLOOKUP(AJ210,'FRC Site Data'!$B$3:$L$42,8,FALSE)</f>
        <v>#N/A</v>
      </c>
      <c r="X218" s="10" t="e">
        <f>VLOOKUP(AJ210,'FRC Site Data'!$B$3:$L$42,9,FALSE)</f>
        <v>#N/A</v>
      </c>
      <c r="Y218" s="10" t="e">
        <f>VLOOKUP(AJ210,'FRC Site Data'!$B$3:$L$42,10,FALSE)</f>
        <v>#N/A</v>
      </c>
      <c r="Z218" s="10" t="e">
        <f>VLOOKUP(AJ210,'FRC Site Data'!$B$3:$L$42,11,FALSE)</f>
        <v>#N/A</v>
      </c>
      <c r="AA218" s="10" t="e">
        <f>VLOOKUP(AJ210,'CIR Team Info'!$C$5:$E$44,4,FALSE)</f>
        <v>#N/A</v>
      </c>
      <c r="AB218" s="161" t="b">
        <f>ISNUMBER(VLOOKUP(AJ210,Match!$T$5:$T$10,1,FALSE))</f>
        <v>0</v>
      </c>
      <c r="AC218" s="161" t="b">
        <f>IF(AB218=TRUE,(VLOOKUP($AJ210,Match!$T$5:$U$10,2,FALSE)))</f>
        <v>0</v>
      </c>
      <c r="AD218" s="8">
        <v>3</v>
      </c>
      <c r="AE218" s="8">
        <v>2</v>
      </c>
      <c r="AF218" s="8">
        <v>2</v>
      </c>
      <c r="AG218" s="8">
        <v>1</v>
      </c>
      <c r="AH218" s="8" t="str">
        <f t="shared" si="48"/>
        <v/>
      </c>
      <c r="AI218" s="12"/>
      <c r="AZ218" s="12"/>
      <c r="BC218" s="12"/>
    </row>
    <row r="219" spans="1:65" x14ac:dyDescent="0.25">
      <c r="A219" s="29">
        <f t="shared" si="49"/>
        <v>0</v>
      </c>
      <c r="B219" s="29">
        <f t="shared" si="51"/>
        <v>0</v>
      </c>
      <c r="C219" s="29">
        <f t="shared" si="52"/>
        <v>0</v>
      </c>
      <c r="D219" s="29">
        <f t="shared" si="53"/>
        <v>0</v>
      </c>
      <c r="E219" s="29">
        <f t="shared" si="50"/>
        <v>0</v>
      </c>
      <c r="F219" s="29">
        <f t="shared" si="54"/>
        <v>0</v>
      </c>
      <c r="G219" s="29" t="str">
        <f t="shared" si="55"/>
        <v>offensive</v>
      </c>
      <c r="H219" s="16">
        <f t="shared" si="56"/>
        <v>0</v>
      </c>
      <c r="I219" s="16">
        <f t="shared" si="57"/>
        <v>0</v>
      </c>
      <c r="J219" s="16">
        <f t="shared" si="58"/>
        <v>0</v>
      </c>
      <c r="K219" s="16">
        <f t="shared" si="59"/>
        <v>0</v>
      </c>
      <c r="L219" s="67">
        <f t="shared" si="60"/>
        <v>0</v>
      </c>
      <c r="M219" s="4">
        <f t="shared" si="61"/>
        <v>0</v>
      </c>
      <c r="N219" s="4">
        <f t="shared" si="62"/>
        <v>0</v>
      </c>
      <c r="O219" s="4">
        <f t="shared" si="63"/>
        <v>0</v>
      </c>
      <c r="P219" s="4" t="s">
        <v>126</v>
      </c>
      <c r="Q219" s="4" t="e">
        <f>VLOOKUP(AJ211,'CIR Team Info'!$C$5:$E$44,3,FALSE)</f>
        <v>#N/A</v>
      </c>
      <c r="R219" s="10" t="e">
        <f>VLOOKUP(AJ211,'FRC Site Data'!$B$3:$L$42,2,FALSE)</f>
        <v>#N/A</v>
      </c>
      <c r="S219" s="10" t="e">
        <f>VLOOKUP(AJ211,'FRC Site Data'!$B$3:$L$42,3,FALSE)</f>
        <v>#N/A</v>
      </c>
      <c r="T219" s="10" t="e">
        <f>VLOOKUP(AJ211,'FRC Site Data'!$B$3:$L$42,4,FALSE)</f>
        <v>#N/A</v>
      </c>
      <c r="U219" s="10" t="e">
        <f>VLOOKUP(AJ211,'FRC Site Data'!$B$3:$L$42,5,FALSE)</f>
        <v>#N/A</v>
      </c>
      <c r="V219" s="10" t="e">
        <f>VLOOKUP(AJ211,'FRC Site Data'!$B$3:$L$42,6,FALSE)</f>
        <v>#N/A</v>
      </c>
      <c r="W219" s="10" t="e">
        <f>VLOOKUP(AJ211,'FRC Site Data'!$B$3:$L$42,8,FALSE)</f>
        <v>#N/A</v>
      </c>
      <c r="X219" s="10" t="e">
        <f>VLOOKUP(AJ211,'FRC Site Data'!$B$3:$L$42,9,FALSE)</f>
        <v>#N/A</v>
      </c>
      <c r="Y219" s="10" t="e">
        <f>VLOOKUP(AJ211,'FRC Site Data'!$B$3:$L$42,10,FALSE)</f>
        <v>#N/A</v>
      </c>
      <c r="Z219" s="10" t="e">
        <f>VLOOKUP(AJ211,'FRC Site Data'!$B$3:$L$42,11,FALSE)</f>
        <v>#N/A</v>
      </c>
      <c r="AA219" s="10" t="e">
        <f>VLOOKUP(AJ211,'CIR Team Info'!$C$5:$E$44,4,FALSE)</f>
        <v>#N/A</v>
      </c>
      <c r="AB219" s="161" t="b">
        <f>ISNUMBER(VLOOKUP(AJ211,Match!$T$5:$T$10,1,FALSE))</f>
        <v>0</v>
      </c>
      <c r="AC219" s="161" t="b">
        <f>IF(AB219=TRUE,(VLOOKUP($AJ211,Match!$T$5:$U$10,2,FALSE)))</f>
        <v>0</v>
      </c>
      <c r="AD219" s="8">
        <v>3</v>
      </c>
      <c r="AE219" s="8">
        <v>2</v>
      </c>
      <c r="AF219" s="8">
        <v>2</v>
      </c>
      <c r="AG219" s="8">
        <v>1</v>
      </c>
      <c r="AH219" s="8" t="str">
        <f t="shared" ref="AH219:AH282" si="64">IF(AL211="Other","x","")</f>
        <v/>
      </c>
      <c r="AI219" s="12"/>
      <c r="AZ219" s="12"/>
      <c r="BC219" s="12"/>
    </row>
    <row r="220" spans="1:65" x14ac:dyDescent="0.25">
      <c r="A220" s="29">
        <f t="shared" si="49"/>
        <v>0</v>
      </c>
      <c r="B220" s="29">
        <f t="shared" si="51"/>
        <v>0</v>
      </c>
      <c r="C220" s="29">
        <f t="shared" si="52"/>
        <v>0</v>
      </c>
      <c r="D220" s="29">
        <f t="shared" si="53"/>
        <v>0</v>
      </c>
      <c r="E220" s="29">
        <f t="shared" si="50"/>
        <v>0</v>
      </c>
      <c r="F220" s="29">
        <f t="shared" si="54"/>
        <v>0</v>
      </c>
      <c r="G220" s="29" t="str">
        <f t="shared" si="55"/>
        <v>offensive</v>
      </c>
      <c r="H220" s="16">
        <f t="shared" si="56"/>
        <v>0</v>
      </c>
      <c r="I220" s="16">
        <f t="shared" si="57"/>
        <v>0</v>
      </c>
      <c r="J220" s="16">
        <f t="shared" si="58"/>
        <v>0</v>
      </c>
      <c r="K220" s="16">
        <f t="shared" si="59"/>
        <v>0</v>
      </c>
      <c r="L220" s="67">
        <f t="shared" si="60"/>
        <v>0</v>
      </c>
      <c r="M220" s="4">
        <f t="shared" si="61"/>
        <v>0</v>
      </c>
      <c r="N220" s="4">
        <f t="shared" si="62"/>
        <v>0</v>
      </c>
      <c r="O220" s="4">
        <f t="shared" si="63"/>
        <v>0</v>
      </c>
      <c r="P220" s="4" t="e">
        <f>VLOOKUP(AJ212,'CIR Team Info'!$C$5:$E$44,2,FALSE)</f>
        <v>#N/A</v>
      </c>
      <c r="Q220" s="4" t="e">
        <f>VLOOKUP(AJ212,'CIR Team Info'!$C$5:$E$44,3,FALSE)</f>
        <v>#N/A</v>
      </c>
      <c r="R220" s="10" t="e">
        <f>VLOOKUP(AJ212,'FRC Site Data'!$B$3:$L$42,2,FALSE)</f>
        <v>#N/A</v>
      </c>
      <c r="S220" s="10" t="e">
        <f>VLOOKUP(AJ212,'FRC Site Data'!$B$3:$L$42,3,FALSE)</f>
        <v>#N/A</v>
      </c>
      <c r="T220" s="10" t="e">
        <f>VLOOKUP(AJ212,'FRC Site Data'!$B$3:$L$42,4,FALSE)</f>
        <v>#N/A</v>
      </c>
      <c r="U220" s="10" t="e">
        <f>VLOOKUP(AJ212,'FRC Site Data'!$B$3:$L$42,5,FALSE)</f>
        <v>#N/A</v>
      </c>
      <c r="V220" s="10" t="e">
        <f>VLOOKUP(AJ212,'FRC Site Data'!$B$3:$L$42,6,FALSE)</f>
        <v>#N/A</v>
      </c>
      <c r="W220" s="10" t="e">
        <f>VLOOKUP(AJ212,'FRC Site Data'!$B$3:$L$42,8,FALSE)</f>
        <v>#N/A</v>
      </c>
      <c r="X220" s="10" t="e">
        <f>VLOOKUP(AJ212,'FRC Site Data'!$B$3:$L$42,9,FALSE)</f>
        <v>#N/A</v>
      </c>
      <c r="Y220" s="10" t="e">
        <f>VLOOKUP(AJ212,'FRC Site Data'!$B$3:$L$42,10,FALSE)</f>
        <v>#N/A</v>
      </c>
      <c r="Z220" s="10" t="e">
        <f>VLOOKUP(AJ212,'FRC Site Data'!$B$3:$L$42,11,FALSE)</f>
        <v>#N/A</v>
      </c>
      <c r="AA220" s="10" t="e">
        <f>VLOOKUP(AJ212,'CIR Team Info'!$C$5:$E$44,4,FALSE)</f>
        <v>#N/A</v>
      </c>
      <c r="AB220" s="161" t="b">
        <f>ISNUMBER(VLOOKUP(AJ212,Match!$T$5:$T$10,1,FALSE))</f>
        <v>0</v>
      </c>
      <c r="AC220" s="161" t="b">
        <f>IF(AB220=TRUE,(VLOOKUP($AJ212,Match!$T$5:$U$10,2,FALSE)))</f>
        <v>0</v>
      </c>
      <c r="AD220" s="8">
        <v>3</v>
      </c>
      <c r="AE220" s="8">
        <v>2</v>
      </c>
      <c r="AF220" s="8">
        <v>2</v>
      </c>
      <c r="AG220" s="8">
        <v>1</v>
      </c>
      <c r="AH220" s="8" t="str">
        <f t="shared" si="64"/>
        <v/>
      </c>
      <c r="AI220" s="12"/>
      <c r="AZ220" s="12"/>
      <c r="BC220" s="12"/>
    </row>
    <row r="221" spans="1:65" x14ac:dyDescent="0.25">
      <c r="A221" s="29">
        <f t="shared" si="49"/>
        <v>0</v>
      </c>
      <c r="B221" s="29">
        <f t="shared" si="51"/>
        <v>0</v>
      </c>
      <c r="C221" s="29">
        <f t="shared" si="52"/>
        <v>0</v>
      </c>
      <c r="D221" s="29">
        <f t="shared" si="53"/>
        <v>0</v>
      </c>
      <c r="E221" s="29">
        <f t="shared" si="50"/>
        <v>0</v>
      </c>
      <c r="F221" s="29">
        <f t="shared" si="54"/>
        <v>0</v>
      </c>
      <c r="G221" s="29" t="str">
        <f t="shared" si="55"/>
        <v>offensive</v>
      </c>
      <c r="H221" s="16">
        <f t="shared" si="56"/>
        <v>0</v>
      </c>
      <c r="I221" s="16">
        <f t="shared" si="57"/>
        <v>0</v>
      </c>
      <c r="J221" s="16">
        <f t="shared" si="58"/>
        <v>0</v>
      </c>
      <c r="K221" s="16">
        <f t="shared" si="59"/>
        <v>0</v>
      </c>
      <c r="L221" s="67">
        <f t="shared" si="60"/>
        <v>0</v>
      </c>
      <c r="M221" s="4">
        <f t="shared" si="61"/>
        <v>0</v>
      </c>
      <c r="N221" s="4">
        <f t="shared" si="62"/>
        <v>0</v>
      </c>
      <c r="O221" s="4">
        <f t="shared" si="63"/>
        <v>0</v>
      </c>
      <c r="P221" s="4" t="e">
        <f>VLOOKUP(AJ213,'CIR Team Info'!$C$5:$E$44,2,FALSE)</f>
        <v>#N/A</v>
      </c>
      <c r="Q221" s="4" t="e">
        <f>VLOOKUP(AJ213,'CIR Team Info'!$C$5:$E$44,3,FALSE)</f>
        <v>#N/A</v>
      </c>
      <c r="R221" s="10" t="e">
        <f>VLOOKUP(AJ213,'FRC Site Data'!$B$3:$L$42,2,FALSE)</f>
        <v>#N/A</v>
      </c>
      <c r="S221" s="10" t="e">
        <f>VLOOKUP(AJ213,'FRC Site Data'!$B$3:$L$42,3,FALSE)</f>
        <v>#N/A</v>
      </c>
      <c r="T221" s="10" t="e">
        <f>VLOOKUP(AJ213,'FRC Site Data'!$B$3:$L$42,4,FALSE)</f>
        <v>#N/A</v>
      </c>
      <c r="U221" s="10" t="e">
        <f>VLOOKUP(AJ213,'FRC Site Data'!$B$3:$L$42,5,FALSE)</f>
        <v>#N/A</v>
      </c>
      <c r="V221" s="10" t="e">
        <f>VLOOKUP(AJ213,'FRC Site Data'!$B$3:$L$42,6,FALSE)</f>
        <v>#N/A</v>
      </c>
      <c r="W221" s="10" t="e">
        <f>VLOOKUP(AJ213,'FRC Site Data'!$B$3:$L$42,8,FALSE)</f>
        <v>#N/A</v>
      </c>
      <c r="X221" s="10" t="e">
        <f>VLOOKUP(AJ213,'FRC Site Data'!$B$3:$L$42,9,FALSE)</f>
        <v>#N/A</v>
      </c>
      <c r="Y221" s="10" t="e">
        <f>VLOOKUP(AJ213,'FRC Site Data'!$B$3:$L$42,10,FALSE)</f>
        <v>#N/A</v>
      </c>
      <c r="Z221" s="10" t="e">
        <f>VLOOKUP(AJ213,'FRC Site Data'!$B$3:$L$42,11,FALSE)</f>
        <v>#N/A</v>
      </c>
      <c r="AA221" s="10" t="e">
        <f>VLOOKUP(AJ213,'CIR Team Info'!$C$5:$E$44,4,FALSE)</f>
        <v>#N/A</v>
      </c>
      <c r="AB221" s="161" t="b">
        <f>ISNUMBER(VLOOKUP(AJ213,Match!$T$5:$T$10,1,FALSE))</f>
        <v>0</v>
      </c>
      <c r="AC221" s="161" t="b">
        <f>IF(AB221=TRUE,(VLOOKUP($AJ213,Match!$T$5:$U$10,2,FALSE)))</f>
        <v>0</v>
      </c>
      <c r="AD221" s="8">
        <v>3</v>
      </c>
      <c r="AE221" s="8">
        <v>2</v>
      </c>
      <c r="AF221" s="8">
        <v>2</v>
      </c>
      <c r="AG221" s="8">
        <v>1</v>
      </c>
      <c r="AH221" s="8" t="str">
        <f t="shared" si="64"/>
        <v/>
      </c>
      <c r="AI221" s="12"/>
      <c r="AZ221" s="12"/>
      <c r="BC221" s="12"/>
    </row>
    <row r="222" spans="1:65" x14ac:dyDescent="0.25">
      <c r="A222" s="29">
        <f t="shared" si="49"/>
        <v>0</v>
      </c>
      <c r="B222" s="29">
        <f t="shared" si="51"/>
        <v>0</v>
      </c>
      <c r="C222" s="29">
        <f t="shared" si="52"/>
        <v>0</v>
      </c>
      <c r="D222" s="29">
        <f t="shared" si="53"/>
        <v>0</v>
      </c>
      <c r="E222" s="29">
        <f t="shared" si="50"/>
        <v>0</v>
      </c>
      <c r="F222" s="29">
        <f t="shared" si="54"/>
        <v>0</v>
      </c>
      <c r="G222" s="29" t="str">
        <f t="shared" si="55"/>
        <v>offensive</v>
      </c>
      <c r="H222" s="16">
        <f t="shared" si="56"/>
        <v>0</v>
      </c>
      <c r="I222" s="16">
        <f t="shared" si="57"/>
        <v>0</v>
      </c>
      <c r="J222" s="16">
        <f t="shared" si="58"/>
        <v>0</v>
      </c>
      <c r="K222" s="16">
        <f t="shared" si="59"/>
        <v>0</v>
      </c>
      <c r="L222" s="67">
        <f t="shared" si="60"/>
        <v>0</v>
      </c>
      <c r="M222" s="4">
        <f t="shared" si="61"/>
        <v>0</v>
      </c>
      <c r="N222" s="4">
        <f t="shared" si="62"/>
        <v>0</v>
      </c>
      <c r="O222" s="4">
        <f t="shared" si="63"/>
        <v>0</v>
      </c>
      <c r="P222" s="4" t="e">
        <f>VLOOKUP(AJ214,'CIR Team Info'!$C$5:$E$44,2,FALSE)</f>
        <v>#N/A</v>
      </c>
      <c r="Q222" s="4" t="e">
        <f>VLOOKUP(AJ214,'CIR Team Info'!$C$5:$E$44,3,FALSE)</f>
        <v>#N/A</v>
      </c>
      <c r="R222" s="10" t="e">
        <f>VLOOKUP(AJ214,'FRC Site Data'!$B$3:$L$42,2,FALSE)</f>
        <v>#N/A</v>
      </c>
      <c r="S222" s="10" t="e">
        <f>VLOOKUP(AJ214,'FRC Site Data'!$B$3:$L$42,3,FALSE)</f>
        <v>#N/A</v>
      </c>
      <c r="T222" s="10" t="e">
        <f>VLOOKUP(AJ214,'FRC Site Data'!$B$3:$L$42,4,FALSE)</f>
        <v>#N/A</v>
      </c>
      <c r="U222" s="10" t="e">
        <f>VLOOKUP(AJ214,'FRC Site Data'!$B$3:$L$42,5,FALSE)</f>
        <v>#N/A</v>
      </c>
      <c r="V222" s="10" t="e">
        <f>VLOOKUP(AJ214,'FRC Site Data'!$B$3:$L$42,6,FALSE)</f>
        <v>#N/A</v>
      </c>
      <c r="W222" s="10" t="e">
        <f>VLOOKUP(AJ214,'FRC Site Data'!$B$3:$L$42,8,FALSE)</f>
        <v>#N/A</v>
      </c>
      <c r="X222" s="10" t="e">
        <f>VLOOKUP(AJ214,'FRC Site Data'!$B$3:$L$42,9,FALSE)</f>
        <v>#N/A</v>
      </c>
      <c r="Y222" s="10" t="e">
        <f>VLOOKUP(AJ214,'FRC Site Data'!$B$3:$L$42,10,FALSE)</f>
        <v>#N/A</v>
      </c>
      <c r="Z222" s="10" t="e">
        <f>VLOOKUP(AJ214,'FRC Site Data'!$B$3:$L$42,11,FALSE)</f>
        <v>#N/A</v>
      </c>
      <c r="AA222" s="10" t="e">
        <f>VLOOKUP(AJ214,'CIR Team Info'!$C$5:$E$44,4,FALSE)</f>
        <v>#N/A</v>
      </c>
      <c r="AB222" s="161" t="b">
        <f>ISNUMBER(VLOOKUP(AJ214,Match!$T$5:$T$10,1,FALSE))</f>
        <v>0</v>
      </c>
      <c r="AC222" s="161" t="b">
        <f>IF(AB222=TRUE,(VLOOKUP($AJ214,Match!$T$5:$U$10,2,FALSE)))</f>
        <v>0</v>
      </c>
      <c r="AD222" s="8">
        <v>3</v>
      </c>
      <c r="AE222" s="8">
        <v>2</v>
      </c>
      <c r="AF222" s="8">
        <v>2</v>
      </c>
      <c r="AG222" s="8">
        <v>1</v>
      </c>
      <c r="AH222" s="8" t="str">
        <f t="shared" si="64"/>
        <v/>
      </c>
      <c r="AI222" s="12"/>
      <c r="AZ222" s="12"/>
      <c r="BC222" s="12"/>
    </row>
    <row r="223" spans="1:65" x14ac:dyDescent="0.25">
      <c r="A223" s="29">
        <f t="shared" si="49"/>
        <v>0</v>
      </c>
      <c r="B223" s="29">
        <f t="shared" si="51"/>
        <v>0</v>
      </c>
      <c r="C223" s="29">
        <f t="shared" si="52"/>
        <v>0</v>
      </c>
      <c r="D223" s="29">
        <f t="shared" si="53"/>
        <v>0</v>
      </c>
      <c r="E223" s="29">
        <f t="shared" si="50"/>
        <v>0</v>
      </c>
      <c r="F223" s="29">
        <f t="shared" si="54"/>
        <v>0</v>
      </c>
      <c r="G223" s="29" t="str">
        <f t="shared" si="55"/>
        <v>offensive</v>
      </c>
      <c r="H223" s="16">
        <f t="shared" si="56"/>
        <v>0</v>
      </c>
      <c r="I223" s="16">
        <f t="shared" si="57"/>
        <v>0</v>
      </c>
      <c r="J223" s="16">
        <f t="shared" si="58"/>
        <v>0</v>
      </c>
      <c r="K223" s="16">
        <f t="shared" si="59"/>
        <v>0</v>
      </c>
      <c r="L223" s="67">
        <f t="shared" si="60"/>
        <v>0</v>
      </c>
      <c r="M223" s="4">
        <f t="shared" si="61"/>
        <v>0</v>
      </c>
      <c r="N223" s="4">
        <f t="shared" si="62"/>
        <v>0</v>
      </c>
      <c r="O223" s="4">
        <f t="shared" si="63"/>
        <v>0</v>
      </c>
      <c r="P223" s="4" t="e">
        <f>VLOOKUP(AJ215,'CIR Team Info'!$C$5:$E$44,2,FALSE)</f>
        <v>#N/A</v>
      </c>
      <c r="Q223" s="4" t="e">
        <f>VLOOKUP(AJ215,'CIR Team Info'!$C$5:$E$44,3,FALSE)</f>
        <v>#N/A</v>
      </c>
      <c r="R223" s="10" t="e">
        <f>VLOOKUP(AJ215,'FRC Site Data'!$B$3:$L$42,2,FALSE)</f>
        <v>#N/A</v>
      </c>
      <c r="S223" s="10" t="e">
        <f>VLOOKUP(AJ215,'FRC Site Data'!$B$3:$L$42,3,FALSE)</f>
        <v>#N/A</v>
      </c>
      <c r="T223" s="10" t="e">
        <f>VLOOKUP(AJ215,'FRC Site Data'!$B$3:$L$42,4,FALSE)</f>
        <v>#N/A</v>
      </c>
      <c r="U223" s="10" t="e">
        <f>VLOOKUP(AJ215,'FRC Site Data'!$B$3:$L$42,5,FALSE)</f>
        <v>#N/A</v>
      </c>
      <c r="V223" s="10" t="e">
        <f>VLOOKUP(AJ215,'FRC Site Data'!$B$3:$L$42,6,FALSE)</f>
        <v>#N/A</v>
      </c>
      <c r="W223" s="10" t="e">
        <f>VLOOKUP(AJ215,'FRC Site Data'!$B$3:$L$42,8,FALSE)</f>
        <v>#N/A</v>
      </c>
      <c r="X223" s="10" t="e">
        <f>VLOOKUP(AJ215,'FRC Site Data'!$B$3:$L$42,9,FALSE)</f>
        <v>#N/A</v>
      </c>
      <c r="Y223" s="10" t="e">
        <f>VLOOKUP(AJ215,'FRC Site Data'!$B$3:$L$42,10,FALSE)</f>
        <v>#N/A</v>
      </c>
      <c r="Z223" s="10" t="e">
        <f>VLOOKUP(AJ215,'FRC Site Data'!$B$3:$L$42,11,FALSE)</f>
        <v>#N/A</v>
      </c>
      <c r="AA223" s="10" t="e">
        <f>VLOOKUP(AJ215,'CIR Team Info'!$C$5:$E$44,4,FALSE)</f>
        <v>#N/A</v>
      </c>
      <c r="AB223" s="161" t="b">
        <f>ISNUMBER(VLOOKUP(AJ215,Match!$T$5:$T$10,1,FALSE))</f>
        <v>0</v>
      </c>
      <c r="AC223" s="161" t="b">
        <f>IF(AB223=TRUE,(VLOOKUP($AJ215,Match!$T$5:$U$10,2,FALSE)))</f>
        <v>0</v>
      </c>
      <c r="AD223" s="8">
        <v>3</v>
      </c>
      <c r="AE223" s="8">
        <v>2</v>
      </c>
      <c r="AF223" s="8">
        <v>2</v>
      </c>
      <c r="AG223" s="8">
        <v>1</v>
      </c>
      <c r="AH223" s="8" t="str">
        <f t="shared" si="64"/>
        <v/>
      </c>
      <c r="AI223" s="12"/>
      <c r="AZ223" s="12"/>
      <c r="BC223" s="12"/>
    </row>
    <row r="224" spans="1:65" x14ac:dyDescent="0.25">
      <c r="A224" s="29">
        <f t="shared" si="49"/>
        <v>0</v>
      </c>
      <c r="B224" s="29">
        <f t="shared" si="51"/>
        <v>0</v>
      </c>
      <c r="C224" s="29">
        <f t="shared" si="52"/>
        <v>0</v>
      </c>
      <c r="D224" s="29">
        <f t="shared" si="53"/>
        <v>0</v>
      </c>
      <c r="E224" s="29">
        <f t="shared" si="50"/>
        <v>0</v>
      </c>
      <c r="F224" s="29">
        <f t="shared" si="54"/>
        <v>0</v>
      </c>
      <c r="G224" s="29" t="str">
        <f t="shared" si="55"/>
        <v>offensive</v>
      </c>
      <c r="H224" s="16">
        <f t="shared" si="56"/>
        <v>0</v>
      </c>
      <c r="I224" s="16">
        <f t="shared" si="57"/>
        <v>0</v>
      </c>
      <c r="J224" s="16">
        <f t="shared" si="58"/>
        <v>0</v>
      </c>
      <c r="K224" s="16">
        <f t="shared" si="59"/>
        <v>0</v>
      </c>
      <c r="L224" s="67">
        <f t="shared" si="60"/>
        <v>0</v>
      </c>
      <c r="M224" s="4">
        <f t="shared" si="61"/>
        <v>0</v>
      </c>
      <c r="N224" s="4">
        <f t="shared" si="62"/>
        <v>0</v>
      </c>
      <c r="O224" s="4">
        <f t="shared" si="63"/>
        <v>0</v>
      </c>
      <c r="P224" s="4" t="e">
        <f>VLOOKUP(AJ216,'CIR Team Info'!$C$5:$E$44,2,FALSE)</f>
        <v>#N/A</v>
      </c>
      <c r="Q224" s="4" t="e">
        <f>VLOOKUP(AJ216,'CIR Team Info'!$C$5:$E$44,3,FALSE)</f>
        <v>#N/A</v>
      </c>
      <c r="R224" s="10" t="e">
        <f>VLOOKUP(AJ216,'FRC Site Data'!$B$3:$L$42,2,FALSE)</f>
        <v>#N/A</v>
      </c>
      <c r="S224" s="10" t="e">
        <f>VLOOKUP(AJ216,'FRC Site Data'!$B$3:$L$42,3,FALSE)</f>
        <v>#N/A</v>
      </c>
      <c r="T224" s="10" t="e">
        <f>VLOOKUP(AJ216,'FRC Site Data'!$B$3:$L$42,4,FALSE)</f>
        <v>#N/A</v>
      </c>
      <c r="U224" s="10" t="e">
        <f>VLOOKUP(AJ216,'FRC Site Data'!$B$3:$L$42,5,FALSE)</f>
        <v>#N/A</v>
      </c>
      <c r="V224" s="10" t="e">
        <f>VLOOKUP(AJ216,'FRC Site Data'!$B$3:$L$42,6,FALSE)</f>
        <v>#N/A</v>
      </c>
      <c r="W224" s="10" t="e">
        <f>VLOOKUP(AJ216,'FRC Site Data'!$B$3:$L$42,8,FALSE)</f>
        <v>#N/A</v>
      </c>
      <c r="X224" s="10" t="e">
        <f>VLOOKUP(AJ216,'FRC Site Data'!$B$3:$L$42,9,FALSE)</f>
        <v>#N/A</v>
      </c>
      <c r="Y224" s="10" t="e">
        <f>VLOOKUP(AJ216,'FRC Site Data'!$B$3:$L$42,10,FALSE)</f>
        <v>#N/A</v>
      </c>
      <c r="Z224" s="10" t="e">
        <f>VLOOKUP(AJ216,'FRC Site Data'!$B$3:$L$42,11,FALSE)</f>
        <v>#N/A</v>
      </c>
      <c r="AA224" s="10" t="e">
        <f>VLOOKUP(AJ216,'CIR Team Info'!$C$5:$E$44,4,FALSE)</f>
        <v>#N/A</v>
      </c>
      <c r="AB224" s="161" t="b">
        <f>ISNUMBER(VLOOKUP(AJ216,Match!$T$5:$T$10,1,FALSE))</f>
        <v>0</v>
      </c>
      <c r="AC224" s="161" t="b">
        <f>IF(AB224=TRUE,(VLOOKUP($AJ216,Match!$T$5:$U$10,2,FALSE)))</f>
        <v>0</v>
      </c>
      <c r="AD224" s="8">
        <v>3</v>
      </c>
      <c r="AE224" s="8">
        <v>2</v>
      </c>
      <c r="AF224" s="8">
        <v>2</v>
      </c>
      <c r="AG224" s="8">
        <v>1</v>
      </c>
      <c r="AH224" s="8" t="str">
        <f t="shared" si="64"/>
        <v/>
      </c>
      <c r="AI224" s="12"/>
      <c r="AZ224" s="12"/>
      <c r="BC224" s="12"/>
    </row>
    <row r="225" spans="1:63" x14ac:dyDescent="0.25">
      <c r="A225" s="29">
        <f t="shared" si="49"/>
        <v>0</v>
      </c>
      <c r="B225" s="29">
        <f t="shared" si="51"/>
        <v>0</v>
      </c>
      <c r="C225" s="29">
        <f t="shared" si="52"/>
        <v>0</v>
      </c>
      <c r="D225" s="29">
        <f t="shared" si="53"/>
        <v>0</v>
      </c>
      <c r="E225" s="29">
        <f t="shared" si="50"/>
        <v>0</v>
      </c>
      <c r="F225" s="29">
        <f t="shared" si="54"/>
        <v>0</v>
      </c>
      <c r="G225" s="29" t="str">
        <f t="shared" si="55"/>
        <v>offensive</v>
      </c>
      <c r="H225" s="16">
        <f t="shared" si="56"/>
        <v>0</v>
      </c>
      <c r="I225" s="16">
        <f t="shared" si="57"/>
        <v>0</v>
      </c>
      <c r="J225" s="16">
        <f t="shared" si="58"/>
        <v>0</v>
      </c>
      <c r="K225" s="16">
        <f t="shared" si="59"/>
        <v>0</v>
      </c>
      <c r="L225" s="67">
        <f t="shared" si="60"/>
        <v>0</v>
      </c>
      <c r="M225" s="4">
        <f t="shared" si="61"/>
        <v>0</v>
      </c>
      <c r="N225" s="4">
        <f t="shared" si="62"/>
        <v>0</v>
      </c>
      <c r="O225" s="4">
        <f t="shared" si="63"/>
        <v>0</v>
      </c>
      <c r="P225" s="4" t="e">
        <f>VLOOKUP(AJ217,'CIR Team Info'!$C$5:$E$44,2,FALSE)</f>
        <v>#N/A</v>
      </c>
      <c r="Q225" s="4" t="e">
        <f>VLOOKUP(AJ217,'CIR Team Info'!$C$5:$E$44,3,FALSE)</f>
        <v>#N/A</v>
      </c>
      <c r="R225" s="10" t="e">
        <f>VLOOKUP(AJ217,'FRC Site Data'!$B$3:$L$42,2,FALSE)</f>
        <v>#N/A</v>
      </c>
      <c r="S225" s="10" t="e">
        <f>VLOOKUP(AJ217,'FRC Site Data'!$B$3:$L$42,3,FALSE)</f>
        <v>#N/A</v>
      </c>
      <c r="T225" s="10" t="e">
        <f>VLOOKUP(AJ217,'FRC Site Data'!$B$3:$L$42,4,FALSE)</f>
        <v>#N/A</v>
      </c>
      <c r="U225" s="10" t="e">
        <f>VLOOKUP(AJ217,'FRC Site Data'!$B$3:$L$42,5,FALSE)</f>
        <v>#N/A</v>
      </c>
      <c r="V225" s="10" t="e">
        <f>VLOOKUP(AJ217,'FRC Site Data'!$B$3:$L$42,6,FALSE)</f>
        <v>#N/A</v>
      </c>
      <c r="W225" s="10" t="e">
        <f>VLOOKUP(AJ217,'FRC Site Data'!$B$3:$L$42,8,FALSE)</f>
        <v>#N/A</v>
      </c>
      <c r="X225" s="10" t="e">
        <f>VLOOKUP(AJ217,'FRC Site Data'!$B$3:$L$42,9,FALSE)</f>
        <v>#N/A</v>
      </c>
      <c r="Y225" s="10" t="e">
        <f>VLOOKUP(AJ217,'FRC Site Data'!$B$3:$L$42,10,FALSE)</f>
        <v>#N/A</v>
      </c>
      <c r="Z225" s="10" t="e">
        <f>VLOOKUP(AJ217,'FRC Site Data'!$B$3:$L$42,11,FALSE)</f>
        <v>#N/A</v>
      </c>
      <c r="AA225" s="10" t="e">
        <f>VLOOKUP(AJ217,'CIR Team Info'!$C$5:$E$44,4,FALSE)</f>
        <v>#N/A</v>
      </c>
      <c r="AB225" s="161" t="b">
        <f>ISNUMBER(VLOOKUP(AJ217,Match!$T$5:$T$10,1,FALSE))</f>
        <v>0</v>
      </c>
      <c r="AC225" s="161" t="b">
        <f>IF(AB225=TRUE,(VLOOKUP($AJ217,Match!$T$5:$U$10,2,FALSE)))</f>
        <v>0</v>
      </c>
      <c r="AD225" s="8">
        <v>3</v>
      </c>
      <c r="AE225" s="8">
        <v>2</v>
      </c>
      <c r="AF225" s="8">
        <v>2</v>
      </c>
      <c r="AG225" s="8">
        <v>1</v>
      </c>
      <c r="AH225" s="8" t="str">
        <f t="shared" si="64"/>
        <v/>
      </c>
      <c r="AI225" s="12"/>
      <c r="AZ225" s="12"/>
      <c r="BC225" s="12"/>
    </row>
    <row r="226" spans="1:63" x14ac:dyDescent="0.25">
      <c r="A226" s="29">
        <f t="shared" si="49"/>
        <v>0</v>
      </c>
      <c r="B226" s="29">
        <f t="shared" si="51"/>
        <v>0</v>
      </c>
      <c r="C226" s="29">
        <f t="shared" si="52"/>
        <v>0</v>
      </c>
      <c r="D226" s="29">
        <f t="shared" si="53"/>
        <v>0</v>
      </c>
      <c r="E226" s="29">
        <f t="shared" si="50"/>
        <v>0</v>
      </c>
      <c r="F226" s="29">
        <f t="shared" si="54"/>
        <v>0</v>
      </c>
      <c r="G226" s="29" t="str">
        <f t="shared" si="55"/>
        <v>offensive</v>
      </c>
      <c r="H226" s="16">
        <f t="shared" si="56"/>
        <v>0</v>
      </c>
      <c r="I226" s="16">
        <f t="shared" si="57"/>
        <v>0</v>
      </c>
      <c r="J226" s="16">
        <f t="shared" si="58"/>
        <v>0</v>
      </c>
      <c r="K226" s="16">
        <f t="shared" si="59"/>
        <v>0</v>
      </c>
      <c r="L226" s="67">
        <f t="shared" si="60"/>
        <v>0</v>
      </c>
      <c r="M226" s="4">
        <f t="shared" si="61"/>
        <v>0</v>
      </c>
      <c r="N226" s="4">
        <f t="shared" si="62"/>
        <v>0</v>
      </c>
      <c r="O226" s="4">
        <f t="shared" si="63"/>
        <v>0</v>
      </c>
      <c r="P226" s="4" t="e">
        <f>VLOOKUP(AJ218,'CIR Team Info'!$C$5:$E$44,2,FALSE)</f>
        <v>#N/A</v>
      </c>
      <c r="Q226" s="4" t="e">
        <f>VLOOKUP(AJ218,'CIR Team Info'!$C$5:$E$44,3,FALSE)</f>
        <v>#N/A</v>
      </c>
      <c r="R226" s="10" t="e">
        <f>VLOOKUP(AJ218,'FRC Site Data'!$B$3:$L$42,2,FALSE)</f>
        <v>#N/A</v>
      </c>
      <c r="S226" s="10" t="e">
        <f>VLOOKUP(AJ218,'FRC Site Data'!$B$3:$L$42,3,FALSE)</f>
        <v>#N/A</v>
      </c>
      <c r="T226" s="10" t="e">
        <f>VLOOKUP(AJ218,'FRC Site Data'!$B$3:$L$42,4,FALSE)</f>
        <v>#N/A</v>
      </c>
      <c r="U226" s="10" t="e">
        <f>VLOOKUP(AJ218,'FRC Site Data'!$B$3:$L$42,5,FALSE)</f>
        <v>#N/A</v>
      </c>
      <c r="V226" s="10" t="e">
        <f>VLOOKUP(AJ218,'FRC Site Data'!$B$3:$L$42,6,FALSE)</f>
        <v>#N/A</v>
      </c>
      <c r="W226" s="10" t="e">
        <f>VLOOKUP(AJ218,'FRC Site Data'!$B$3:$L$42,8,FALSE)</f>
        <v>#N/A</v>
      </c>
      <c r="X226" s="10" t="e">
        <f>VLOOKUP(AJ218,'FRC Site Data'!$B$3:$L$42,9,FALSE)</f>
        <v>#N/A</v>
      </c>
      <c r="Y226" s="10" t="e">
        <f>VLOOKUP(AJ218,'FRC Site Data'!$B$3:$L$42,10,FALSE)</f>
        <v>#N/A</v>
      </c>
      <c r="Z226" s="10" t="e">
        <f>VLOOKUP(AJ218,'FRC Site Data'!$B$3:$L$42,11,FALSE)</f>
        <v>#N/A</v>
      </c>
      <c r="AA226" s="10" t="e">
        <f>VLOOKUP(AJ218,'CIR Team Info'!$C$5:$E$44,4,FALSE)</f>
        <v>#N/A</v>
      </c>
      <c r="AB226" s="161" t="b">
        <f>ISNUMBER(VLOOKUP(AJ218,Match!$T$5:$T$10,1,FALSE))</f>
        <v>0</v>
      </c>
      <c r="AC226" s="161" t="b">
        <f>IF(AB226=TRUE,(VLOOKUP($AJ218,Match!$T$5:$U$10,2,FALSE)))</f>
        <v>0</v>
      </c>
      <c r="AD226" s="8">
        <v>3</v>
      </c>
      <c r="AE226" s="8">
        <v>2</v>
      </c>
      <c r="AF226" s="8">
        <v>2</v>
      </c>
      <c r="AG226" s="8">
        <v>1</v>
      </c>
      <c r="AH226" s="8" t="str">
        <f t="shared" si="64"/>
        <v/>
      </c>
      <c r="AI226" s="12"/>
      <c r="AZ226" s="12"/>
      <c r="BC226" s="12"/>
    </row>
    <row r="227" spans="1:63" x14ac:dyDescent="0.25">
      <c r="A227" s="29">
        <f t="shared" si="49"/>
        <v>0</v>
      </c>
      <c r="B227" s="29">
        <f t="shared" si="51"/>
        <v>0</v>
      </c>
      <c r="C227" s="29">
        <f t="shared" si="52"/>
        <v>0</v>
      </c>
      <c r="D227" s="29">
        <f t="shared" si="53"/>
        <v>0</v>
      </c>
      <c r="E227" s="29">
        <f t="shared" si="50"/>
        <v>0</v>
      </c>
      <c r="F227" s="29">
        <f t="shared" si="54"/>
        <v>0</v>
      </c>
      <c r="G227" s="29" t="str">
        <f t="shared" si="55"/>
        <v>offensive</v>
      </c>
      <c r="H227" s="16">
        <f t="shared" si="56"/>
        <v>0</v>
      </c>
      <c r="I227" s="16">
        <f t="shared" si="57"/>
        <v>0</v>
      </c>
      <c r="J227" s="16">
        <f t="shared" si="58"/>
        <v>0</v>
      </c>
      <c r="K227" s="16">
        <f t="shared" si="59"/>
        <v>0</v>
      </c>
      <c r="L227" s="67">
        <f t="shared" si="60"/>
        <v>0</v>
      </c>
      <c r="M227" s="4">
        <f t="shared" si="61"/>
        <v>0</v>
      </c>
      <c r="N227" s="4">
        <f t="shared" si="62"/>
        <v>0</v>
      </c>
      <c r="O227" s="4">
        <f t="shared" si="63"/>
        <v>0</v>
      </c>
      <c r="P227" s="4" t="e">
        <f>VLOOKUP(AJ219,'CIR Team Info'!$C$5:$E$44,2,FALSE)</f>
        <v>#N/A</v>
      </c>
      <c r="Q227" s="4" t="e">
        <f>VLOOKUP(AJ219,'CIR Team Info'!$C$5:$E$44,3,FALSE)</f>
        <v>#N/A</v>
      </c>
      <c r="R227" s="10" t="e">
        <f>VLOOKUP(AJ219,'FRC Site Data'!$B$3:$L$42,2,FALSE)</f>
        <v>#N/A</v>
      </c>
      <c r="S227" s="10" t="e">
        <f>VLOOKUP(AJ219,'FRC Site Data'!$B$3:$L$42,3,FALSE)</f>
        <v>#N/A</v>
      </c>
      <c r="T227" s="10" t="e">
        <f>VLOOKUP(AJ219,'FRC Site Data'!$B$3:$L$42,4,FALSE)</f>
        <v>#N/A</v>
      </c>
      <c r="U227" s="10" t="e">
        <f>VLOOKUP(AJ219,'FRC Site Data'!$B$3:$L$42,5,FALSE)</f>
        <v>#N/A</v>
      </c>
      <c r="V227" s="10" t="e">
        <f>VLOOKUP(AJ219,'FRC Site Data'!$B$3:$L$42,6,FALSE)</f>
        <v>#N/A</v>
      </c>
      <c r="W227" s="10" t="e">
        <f>VLOOKUP(AJ219,'FRC Site Data'!$B$3:$L$42,8,FALSE)</f>
        <v>#N/A</v>
      </c>
      <c r="X227" s="10" t="e">
        <f>VLOOKUP(AJ219,'FRC Site Data'!$B$3:$L$42,9,FALSE)</f>
        <v>#N/A</v>
      </c>
      <c r="Y227" s="10" t="e">
        <f>VLOOKUP(AJ219,'FRC Site Data'!$B$3:$L$42,10,FALSE)</f>
        <v>#N/A</v>
      </c>
      <c r="Z227" s="10" t="e">
        <f>VLOOKUP(AJ219,'FRC Site Data'!$B$3:$L$42,11,FALSE)</f>
        <v>#N/A</v>
      </c>
      <c r="AA227" s="10" t="e">
        <f>VLOOKUP(AJ219,'CIR Team Info'!$C$5:$E$44,4,FALSE)</f>
        <v>#N/A</v>
      </c>
      <c r="AB227" s="161" t="b">
        <f>ISNUMBER(VLOOKUP(AJ219,Match!$T$5:$T$10,1,FALSE))</f>
        <v>0</v>
      </c>
      <c r="AC227" s="161" t="b">
        <f>IF(AB227=TRUE,(VLOOKUP($AJ219,Match!$T$5:$U$10,2,FALSE)))</f>
        <v>0</v>
      </c>
      <c r="AD227" s="8">
        <v>3</v>
      </c>
      <c r="AE227" s="8">
        <v>2</v>
      </c>
      <c r="AF227" s="8">
        <v>2</v>
      </c>
      <c r="AG227" s="8">
        <v>1</v>
      </c>
      <c r="AH227" s="8" t="str">
        <f t="shared" si="64"/>
        <v/>
      </c>
      <c r="AI227" s="12"/>
      <c r="AZ227" s="12"/>
      <c r="BC227" s="12"/>
    </row>
    <row r="228" spans="1:63" x14ac:dyDescent="0.25">
      <c r="A228" s="29">
        <f t="shared" si="49"/>
        <v>0</v>
      </c>
      <c r="B228" s="29">
        <f t="shared" si="51"/>
        <v>0</v>
      </c>
      <c r="C228" s="29">
        <f t="shared" si="52"/>
        <v>0</v>
      </c>
      <c r="D228" s="29">
        <f t="shared" si="53"/>
        <v>0</v>
      </c>
      <c r="E228" s="29">
        <f t="shared" si="50"/>
        <v>0</v>
      </c>
      <c r="F228" s="29">
        <f t="shared" si="54"/>
        <v>0</v>
      </c>
      <c r="G228" s="29" t="str">
        <f t="shared" si="55"/>
        <v>offensive</v>
      </c>
      <c r="H228" s="16">
        <f t="shared" si="56"/>
        <v>0</v>
      </c>
      <c r="I228" s="16">
        <f t="shared" si="57"/>
        <v>0</v>
      </c>
      <c r="J228" s="16">
        <f t="shared" si="58"/>
        <v>0</v>
      </c>
      <c r="K228" s="16">
        <f t="shared" si="59"/>
        <v>0</v>
      </c>
      <c r="L228" s="67">
        <f t="shared" si="60"/>
        <v>0</v>
      </c>
      <c r="M228" s="4">
        <f t="shared" si="61"/>
        <v>0</v>
      </c>
      <c r="N228" s="4">
        <f t="shared" si="62"/>
        <v>0</v>
      </c>
      <c r="O228" s="4">
        <f t="shared" si="63"/>
        <v>0</v>
      </c>
      <c r="P228" s="4" t="e">
        <f>VLOOKUP(AJ220,'CIR Team Info'!$C$5:$E$44,2,FALSE)</f>
        <v>#N/A</v>
      </c>
      <c r="Q228" s="4" t="e">
        <f>VLOOKUP(AJ220,'CIR Team Info'!$C$5:$E$44,3,FALSE)</f>
        <v>#N/A</v>
      </c>
      <c r="R228" s="10" t="e">
        <f>VLOOKUP(AJ220,'FRC Site Data'!$B$3:$L$42,2,FALSE)</f>
        <v>#N/A</v>
      </c>
      <c r="S228" s="10" t="e">
        <f>VLOOKUP(AJ220,'FRC Site Data'!$B$3:$L$42,3,FALSE)</f>
        <v>#N/A</v>
      </c>
      <c r="T228" s="10" t="e">
        <f>VLOOKUP(AJ220,'FRC Site Data'!$B$3:$L$42,4,FALSE)</f>
        <v>#N/A</v>
      </c>
      <c r="U228" s="10" t="e">
        <f>VLOOKUP(AJ220,'FRC Site Data'!$B$3:$L$42,5,FALSE)</f>
        <v>#N/A</v>
      </c>
      <c r="V228" s="10" t="e">
        <f>VLOOKUP(AJ220,'FRC Site Data'!$B$3:$L$42,6,FALSE)</f>
        <v>#N/A</v>
      </c>
      <c r="W228" s="10" t="e">
        <f>VLOOKUP(AJ220,'FRC Site Data'!$B$3:$L$42,8,FALSE)</f>
        <v>#N/A</v>
      </c>
      <c r="X228" s="10" t="e">
        <f>VLOOKUP(AJ220,'FRC Site Data'!$B$3:$L$42,9,FALSE)</f>
        <v>#N/A</v>
      </c>
      <c r="Y228" s="10" t="e">
        <f>VLOOKUP(AJ220,'FRC Site Data'!$B$3:$L$42,10,FALSE)</f>
        <v>#N/A</v>
      </c>
      <c r="Z228" s="10" t="e">
        <f>VLOOKUP(AJ220,'FRC Site Data'!$B$3:$L$42,11,FALSE)</f>
        <v>#N/A</v>
      </c>
      <c r="AA228" s="10" t="e">
        <f>VLOOKUP(AJ220,'CIR Team Info'!$C$5:$E$44,4,FALSE)</f>
        <v>#N/A</v>
      </c>
      <c r="AB228" s="161" t="b">
        <f>ISNUMBER(VLOOKUP(AJ220,Match!$T$5:$T$10,1,FALSE))</f>
        <v>0</v>
      </c>
      <c r="AC228" s="161" t="b">
        <f>IF(AB228=TRUE,(VLOOKUP($AJ220,Match!$T$5:$U$10,2,FALSE)))</f>
        <v>0</v>
      </c>
      <c r="AD228" s="8">
        <v>3</v>
      </c>
      <c r="AE228" s="8">
        <v>2</v>
      </c>
      <c r="AF228" s="8">
        <v>2</v>
      </c>
      <c r="AG228" s="8">
        <v>1</v>
      </c>
      <c r="AH228" s="8" t="str">
        <f t="shared" si="64"/>
        <v/>
      </c>
      <c r="AI228" s="12"/>
      <c r="AZ228" s="12"/>
      <c r="BC228" s="12"/>
    </row>
    <row r="229" spans="1:63" x14ac:dyDescent="0.25">
      <c r="A229" s="29">
        <f t="shared" si="49"/>
        <v>0</v>
      </c>
      <c r="B229" s="29">
        <f t="shared" si="51"/>
        <v>0</v>
      </c>
      <c r="C229" s="29">
        <f t="shared" si="52"/>
        <v>0</v>
      </c>
      <c r="D229" s="29">
        <f t="shared" si="53"/>
        <v>0</v>
      </c>
      <c r="E229" s="29">
        <f t="shared" si="50"/>
        <v>0</v>
      </c>
      <c r="F229" s="29">
        <f t="shared" si="54"/>
        <v>0</v>
      </c>
      <c r="G229" s="29" t="str">
        <f t="shared" si="55"/>
        <v>offensive</v>
      </c>
      <c r="H229" s="16">
        <f t="shared" si="56"/>
        <v>0</v>
      </c>
      <c r="I229" s="16">
        <f t="shared" si="57"/>
        <v>0</v>
      </c>
      <c r="J229" s="16">
        <f t="shared" si="58"/>
        <v>0</v>
      </c>
      <c r="K229" s="16">
        <f t="shared" si="59"/>
        <v>0</v>
      </c>
      <c r="L229" s="67">
        <f t="shared" si="60"/>
        <v>0</v>
      </c>
      <c r="M229" s="4">
        <f t="shared" si="61"/>
        <v>0</v>
      </c>
      <c r="N229" s="4">
        <f t="shared" si="62"/>
        <v>0</v>
      </c>
      <c r="O229" s="4">
        <f t="shared" si="63"/>
        <v>0</v>
      </c>
      <c r="P229" s="4" t="e">
        <f>VLOOKUP(AJ221,'CIR Team Info'!$C$5:$E$44,2,FALSE)</f>
        <v>#N/A</v>
      </c>
      <c r="Q229" s="4" t="e">
        <f>VLOOKUP(AJ221,'CIR Team Info'!$C$5:$E$44,3,FALSE)</f>
        <v>#N/A</v>
      </c>
      <c r="R229" s="10" t="e">
        <f>VLOOKUP(AJ221,'FRC Site Data'!$B$3:$L$42,2,FALSE)</f>
        <v>#N/A</v>
      </c>
      <c r="S229" s="10" t="e">
        <f>VLOOKUP(AJ221,'FRC Site Data'!$B$3:$L$42,3,FALSE)</f>
        <v>#N/A</v>
      </c>
      <c r="T229" s="10" t="e">
        <f>VLOOKUP(AJ221,'FRC Site Data'!$B$3:$L$42,4,FALSE)</f>
        <v>#N/A</v>
      </c>
      <c r="U229" s="10" t="e">
        <f>VLOOKUP(AJ221,'FRC Site Data'!$B$3:$L$42,5,FALSE)</f>
        <v>#N/A</v>
      </c>
      <c r="V229" s="10" t="e">
        <f>VLOOKUP(AJ221,'FRC Site Data'!$B$3:$L$42,6,FALSE)</f>
        <v>#N/A</v>
      </c>
      <c r="W229" s="10" t="e">
        <f>VLOOKUP(AJ221,'FRC Site Data'!$B$3:$L$42,8,FALSE)</f>
        <v>#N/A</v>
      </c>
      <c r="X229" s="10" t="e">
        <f>VLOOKUP(AJ221,'FRC Site Data'!$B$3:$L$42,9,FALSE)</f>
        <v>#N/A</v>
      </c>
      <c r="Y229" s="10" t="e">
        <f>VLOOKUP(AJ221,'FRC Site Data'!$B$3:$L$42,10,FALSE)</f>
        <v>#N/A</v>
      </c>
      <c r="Z229" s="10" t="e">
        <f>VLOOKUP(AJ221,'FRC Site Data'!$B$3:$L$42,11,FALSE)</f>
        <v>#N/A</v>
      </c>
      <c r="AA229" s="10" t="e">
        <f>VLOOKUP(AJ221,'CIR Team Info'!$C$5:$E$44,4,FALSE)</f>
        <v>#N/A</v>
      </c>
      <c r="AB229" s="161" t="b">
        <f>ISNUMBER(VLOOKUP(AJ221,Match!$T$5:$T$10,1,FALSE))</f>
        <v>0</v>
      </c>
      <c r="AC229" s="161" t="b">
        <f>IF(AB229=TRUE,(VLOOKUP($AJ221,Match!$T$5:$U$10,2,FALSE)))</f>
        <v>0</v>
      </c>
      <c r="AD229" s="8">
        <v>3</v>
      </c>
      <c r="AE229" s="8">
        <v>2</v>
      </c>
      <c r="AF229" s="8">
        <v>2</v>
      </c>
      <c r="AG229" s="8">
        <v>1</v>
      </c>
      <c r="AI229" s="12"/>
      <c r="AZ229" s="12"/>
      <c r="BC229" s="12"/>
    </row>
    <row r="230" spans="1:63" x14ac:dyDescent="0.25">
      <c r="A230" s="29">
        <f t="shared" si="49"/>
        <v>0</v>
      </c>
      <c r="B230" s="29">
        <f t="shared" si="51"/>
        <v>0</v>
      </c>
      <c r="C230" s="29">
        <f t="shared" si="52"/>
        <v>0</v>
      </c>
      <c r="D230" s="29">
        <f t="shared" si="53"/>
        <v>0</v>
      </c>
      <c r="E230" s="29">
        <f t="shared" si="50"/>
        <v>0</v>
      </c>
      <c r="F230" s="29">
        <f t="shared" si="54"/>
        <v>0</v>
      </c>
      <c r="G230" s="29" t="str">
        <f t="shared" si="55"/>
        <v>offensive</v>
      </c>
      <c r="H230" s="16">
        <f t="shared" si="56"/>
        <v>0</v>
      </c>
      <c r="I230" s="16">
        <f t="shared" si="57"/>
        <v>0</v>
      </c>
      <c r="J230" s="16">
        <f t="shared" si="58"/>
        <v>0</v>
      </c>
      <c r="K230" s="16">
        <f t="shared" si="59"/>
        <v>0</v>
      </c>
      <c r="L230" s="67">
        <f t="shared" si="60"/>
        <v>0</v>
      </c>
      <c r="M230" s="4">
        <f t="shared" si="61"/>
        <v>0</v>
      </c>
      <c r="N230" s="4">
        <f t="shared" si="62"/>
        <v>0</v>
      </c>
      <c r="O230" s="4">
        <f t="shared" si="63"/>
        <v>0</v>
      </c>
      <c r="P230" s="4" t="e">
        <f>VLOOKUP(AJ222,'CIR Team Info'!$C$5:$E$44,2,FALSE)</f>
        <v>#N/A</v>
      </c>
      <c r="Q230" s="4" t="e">
        <f>VLOOKUP(AJ222,'CIR Team Info'!$C$5:$E$44,3,FALSE)</f>
        <v>#N/A</v>
      </c>
      <c r="R230" s="10" t="e">
        <f>VLOOKUP(AJ222,'FRC Site Data'!$B$3:$L$42,2,FALSE)</f>
        <v>#N/A</v>
      </c>
      <c r="S230" s="10" t="e">
        <f>VLOOKUP(AJ222,'FRC Site Data'!$B$3:$L$42,3,FALSE)</f>
        <v>#N/A</v>
      </c>
      <c r="T230" s="10" t="e">
        <f>VLOOKUP(AJ222,'FRC Site Data'!$B$3:$L$42,4,FALSE)</f>
        <v>#N/A</v>
      </c>
      <c r="U230" s="10" t="e">
        <f>VLOOKUP(AJ222,'FRC Site Data'!$B$3:$L$42,5,FALSE)</f>
        <v>#N/A</v>
      </c>
      <c r="V230" s="10" t="e">
        <f>VLOOKUP(AJ222,'FRC Site Data'!$B$3:$L$42,6,FALSE)</f>
        <v>#N/A</v>
      </c>
      <c r="W230" s="10" t="e">
        <f>VLOOKUP(AJ222,'FRC Site Data'!$B$3:$L$42,8,FALSE)</f>
        <v>#N/A</v>
      </c>
      <c r="X230" s="10" t="e">
        <f>VLOOKUP(AJ222,'FRC Site Data'!$B$3:$L$42,9,FALSE)</f>
        <v>#N/A</v>
      </c>
      <c r="Y230" s="10" t="e">
        <f>VLOOKUP(AJ222,'FRC Site Data'!$B$3:$L$42,10,FALSE)</f>
        <v>#N/A</v>
      </c>
      <c r="Z230" s="10" t="e">
        <f>VLOOKUP(AJ222,'FRC Site Data'!$B$3:$L$42,11,FALSE)</f>
        <v>#N/A</v>
      </c>
      <c r="AA230" s="10" t="e">
        <f>VLOOKUP(AJ222,'CIR Team Info'!$C$5:$E$44,4,FALSE)</f>
        <v>#N/A</v>
      </c>
      <c r="AB230" s="161" t="b">
        <f>ISNUMBER(VLOOKUP(AJ222,Match!$T$5:$T$10,1,FALSE))</f>
        <v>0</v>
      </c>
      <c r="AC230" s="161" t="b">
        <f>IF(AB230=TRUE,(VLOOKUP($AJ222,Match!$T$5:$U$10,2,FALSE)))</f>
        <v>0</v>
      </c>
      <c r="AD230" s="8">
        <v>3</v>
      </c>
      <c r="AE230" s="8">
        <v>2</v>
      </c>
      <c r="AF230" s="8">
        <v>2</v>
      </c>
      <c r="AG230" s="8">
        <v>1</v>
      </c>
      <c r="AI230" s="12"/>
      <c r="AZ230" s="12"/>
      <c r="BC230" s="12"/>
    </row>
    <row r="231" spans="1:63" x14ac:dyDescent="0.25">
      <c r="A231" s="29">
        <f t="shared" si="49"/>
        <v>0</v>
      </c>
      <c r="B231" s="29">
        <f t="shared" si="51"/>
        <v>0</v>
      </c>
      <c r="C231" s="29">
        <f t="shared" si="52"/>
        <v>0</v>
      </c>
      <c r="D231" s="29">
        <f t="shared" si="53"/>
        <v>0</v>
      </c>
      <c r="E231" s="29">
        <f t="shared" si="50"/>
        <v>0</v>
      </c>
      <c r="F231" s="29">
        <f t="shared" si="54"/>
        <v>0</v>
      </c>
      <c r="G231" s="29" t="str">
        <f t="shared" si="55"/>
        <v>offensive</v>
      </c>
      <c r="H231" s="16">
        <f t="shared" si="56"/>
        <v>0</v>
      </c>
      <c r="I231" s="16">
        <f t="shared" si="57"/>
        <v>0</v>
      </c>
      <c r="J231" s="16">
        <f t="shared" si="58"/>
        <v>0</v>
      </c>
      <c r="K231" s="16">
        <f t="shared" si="59"/>
        <v>0</v>
      </c>
      <c r="L231" s="67">
        <f t="shared" si="60"/>
        <v>0</v>
      </c>
      <c r="M231" s="4">
        <f t="shared" si="61"/>
        <v>0</v>
      </c>
      <c r="N231" s="4">
        <f t="shared" si="62"/>
        <v>0</v>
      </c>
      <c r="O231" s="4">
        <f t="shared" si="63"/>
        <v>0</v>
      </c>
      <c r="P231" s="4" t="e">
        <f>VLOOKUP(AJ223,'CIR Team Info'!$C$5:$E$44,2,FALSE)</f>
        <v>#N/A</v>
      </c>
      <c r="Q231" s="4" t="e">
        <f>VLOOKUP(AJ223,'CIR Team Info'!$C$5:$E$44,3,FALSE)</f>
        <v>#N/A</v>
      </c>
      <c r="R231" s="10" t="e">
        <f>VLOOKUP(AJ223,'FRC Site Data'!$B$3:$L$42,2,FALSE)</f>
        <v>#N/A</v>
      </c>
      <c r="S231" s="10" t="e">
        <f>VLOOKUP(AJ223,'FRC Site Data'!$B$3:$L$42,3,FALSE)</f>
        <v>#N/A</v>
      </c>
      <c r="T231" s="10" t="e">
        <f>VLOOKUP(AJ223,'FRC Site Data'!$B$3:$L$42,4,FALSE)</f>
        <v>#N/A</v>
      </c>
      <c r="U231" s="10" t="e">
        <f>VLOOKUP(AJ223,'FRC Site Data'!$B$3:$L$42,5,FALSE)</f>
        <v>#N/A</v>
      </c>
      <c r="V231" s="10" t="e">
        <f>VLOOKUP(AJ223,'FRC Site Data'!$B$3:$L$42,6,FALSE)</f>
        <v>#N/A</v>
      </c>
      <c r="W231" s="10" t="e">
        <f>VLOOKUP(AJ223,'FRC Site Data'!$B$3:$L$42,8,FALSE)</f>
        <v>#N/A</v>
      </c>
      <c r="X231" s="10" t="e">
        <f>VLOOKUP(AJ223,'FRC Site Data'!$B$3:$L$42,9,FALSE)</f>
        <v>#N/A</v>
      </c>
      <c r="Y231" s="10" t="e">
        <f>VLOOKUP(AJ223,'FRC Site Data'!$B$3:$L$42,10,FALSE)</f>
        <v>#N/A</v>
      </c>
      <c r="Z231" s="10" t="e">
        <f>VLOOKUP(AJ223,'FRC Site Data'!$B$3:$L$42,11,FALSE)</f>
        <v>#N/A</v>
      </c>
      <c r="AA231" s="10" t="e">
        <f>VLOOKUP(AJ223,'CIR Team Info'!$C$5:$E$44,4,FALSE)</f>
        <v>#N/A</v>
      </c>
      <c r="AB231" s="161" t="b">
        <f>ISNUMBER(VLOOKUP(AJ223,Match!$T$5:$T$10,1,FALSE))</f>
        <v>0</v>
      </c>
      <c r="AC231" s="161" t="b">
        <f>IF(AB231=TRUE,(VLOOKUP($AJ223,Match!$T$5:$U$10,2,FALSE)))</f>
        <v>0</v>
      </c>
      <c r="AD231" s="8">
        <v>3</v>
      </c>
      <c r="AE231" s="8">
        <v>2</v>
      </c>
      <c r="AF231" s="8">
        <v>2</v>
      </c>
      <c r="AG231" s="8">
        <v>1</v>
      </c>
      <c r="AI231" s="12"/>
      <c r="AZ231" s="12"/>
      <c r="BC231" s="12"/>
    </row>
    <row r="232" spans="1:63" x14ac:dyDescent="0.25">
      <c r="A232" s="29">
        <f t="shared" si="49"/>
        <v>0</v>
      </c>
      <c r="B232" s="29">
        <f t="shared" si="51"/>
        <v>0</v>
      </c>
      <c r="C232" s="29">
        <f t="shared" si="52"/>
        <v>0</v>
      </c>
      <c r="D232" s="29">
        <f t="shared" si="53"/>
        <v>0</v>
      </c>
      <c r="E232" s="29">
        <f t="shared" si="50"/>
        <v>0</v>
      </c>
      <c r="F232" s="29">
        <f t="shared" si="54"/>
        <v>0</v>
      </c>
      <c r="G232" s="29" t="str">
        <f t="shared" si="55"/>
        <v>offensive</v>
      </c>
      <c r="H232" s="16">
        <f t="shared" si="56"/>
        <v>0</v>
      </c>
      <c r="I232" s="16">
        <f t="shared" si="57"/>
        <v>0</v>
      </c>
      <c r="J232" s="16">
        <f t="shared" si="58"/>
        <v>0</v>
      </c>
      <c r="K232" s="16">
        <f t="shared" si="59"/>
        <v>0</v>
      </c>
      <c r="L232" s="67">
        <f t="shared" si="60"/>
        <v>0</v>
      </c>
      <c r="M232" s="4">
        <f t="shared" si="61"/>
        <v>0</v>
      </c>
      <c r="N232" s="4">
        <f t="shared" si="62"/>
        <v>0</v>
      </c>
      <c r="O232" s="4">
        <f t="shared" si="63"/>
        <v>0</v>
      </c>
      <c r="P232" s="4" t="e">
        <f>VLOOKUP(AJ224,'CIR Team Info'!$C$5:$E$44,2,FALSE)</f>
        <v>#N/A</v>
      </c>
      <c r="Q232" s="4" t="e">
        <f>VLOOKUP(AJ224,'CIR Team Info'!$C$5:$E$44,3,FALSE)</f>
        <v>#N/A</v>
      </c>
      <c r="R232" s="10" t="e">
        <f>VLOOKUP(AJ224,'FRC Site Data'!$B$3:$L$42,2,FALSE)</f>
        <v>#N/A</v>
      </c>
      <c r="S232" s="10" t="e">
        <f>VLOOKUP(AJ224,'FRC Site Data'!$B$3:$L$42,3,FALSE)</f>
        <v>#N/A</v>
      </c>
      <c r="T232" s="10" t="e">
        <f>VLOOKUP(AJ224,'FRC Site Data'!$B$3:$L$42,4,FALSE)</f>
        <v>#N/A</v>
      </c>
      <c r="U232" s="10" t="e">
        <f>VLOOKUP(AJ224,'FRC Site Data'!$B$3:$L$42,5,FALSE)</f>
        <v>#N/A</v>
      </c>
      <c r="V232" s="10" t="e">
        <f>VLOOKUP(AJ224,'FRC Site Data'!$B$3:$L$42,6,FALSE)</f>
        <v>#N/A</v>
      </c>
      <c r="W232" s="10" t="e">
        <f>VLOOKUP(AJ224,'FRC Site Data'!$B$3:$L$42,8,FALSE)</f>
        <v>#N/A</v>
      </c>
      <c r="X232" s="10" t="e">
        <f>VLOOKUP(AJ224,'FRC Site Data'!$B$3:$L$42,9,FALSE)</f>
        <v>#N/A</v>
      </c>
      <c r="Y232" s="10" t="e">
        <f>VLOOKUP(AJ224,'FRC Site Data'!$B$3:$L$42,10,FALSE)</f>
        <v>#N/A</v>
      </c>
      <c r="Z232" s="10" t="e">
        <f>VLOOKUP(AJ224,'FRC Site Data'!$B$3:$L$42,11,FALSE)</f>
        <v>#N/A</v>
      </c>
      <c r="AA232" s="10" t="e">
        <f>VLOOKUP(AJ224,'CIR Team Info'!$C$5:$E$44,4,FALSE)</f>
        <v>#N/A</v>
      </c>
      <c r="AB232" s="161" t="b">
        <f>ISNUMBER(VLOOKUP(AJ224,Match!$T$5:$T$10,1,FALSE))</f>
        <v>0</v>
      </c>
      <c r="AC232" s="161" t="b">
        <f>IF(AB232=TRUE,(VLOOKUP($AJ224,Match!$T$5:$U$10,2,FALSE)))</f>
        <v>0</v>
      </c>
      <c r="AD232" s="8">
        <v>3</v>
      </c>
      <c r="AE232" s="8">
        <v>2</v>
      </c>
      <c r="AF232" s="8">
        <v>2</v>
      </c>
      <c r="AG232" s="8">
        <v>1</v>
      </c>
      <c r="AI232" s="12"/>
      <c r="AZ232" s="12"/>
      <c r="BC232" s="12"/>
    </row>
    <row r="233" spans="1:63" x14ac:dyDescent="0.25">
      <c r="A233" s="29">
        <f t="shared" si="49"/>
        <v>0</v>
      </c>
      <c r="B233" s="29">
        <f t="shared" si="51"/>
        <v>0</v>
      </c>
      <c r="C233" s="29">
        <f t="shared" si="52"/>
        <v>0</v>
      </c>
      <c r="D233" s="29">
        <f t="shared" si="53"/>
        <v>0</v>
      </c>
      <c r="E233" s="29">
        <f t="shared" si="50"/>
        <v>0</v>
      </c>
      <c r="F233" s="29">
        <f t="shared" si="54"/>
        <v>0</v>
      </c>
      <c r="G233" s="29" t="str">
        <f t="shared" si="55"/>
        <v>offensive</v>
      </c>
      <c r="H233" s="16">
        <f t="shared" si="56"/>
        <v>0</v>
      </c>
      <c r="I233" s="16">
        <f t="shared" si="57"/>
        <v>0</v>
      </c>
      <c r="J233" s="16">
        <f t="shared" si="58"/>
        <v>0</v>
      </c>
      <c r="K233" s="16">
        <f t="shared" si="59"/>
        <v>0</v>
      </c>
      <c r="L233" s="67">
        <f t="shared" si="60"/>
        <v>0</v>
      </c>
      <c r="M233" s="4">
        <f t="shared" si="61"/>
        <v>0</v>
      </c>
      <c r="N233" s="4">
        <f t="shared" si="62"/>
        <v>0</v>
      </c>
      <c r="O233" s="4">
        <f t="shared" si="63"/>
        <v>0</v>
      </c>
      <c r="P233" s="4" t="e">
        <f>VLOOKUP(AJ225,'CIR Team Info'!$C$5:$E$44,2,FALSE)</f>
        <v>#N/A</v>
      </c>
      <c r="Q233" s="4" t="e">
        <f>VLOOKUP(AJ225,'CIR Team Info'!$C$5:$E$44,3,FALSE)</f>
        <v>#N/A</v>
      </c>
      <c r="R233" s="10" t="e">
        <f>VLOOKUP(AJ225,'FRC Site Data'!$B$3:$L$42,2,FALSE)</f>
        <v>#N/A</v>
      </c>
      <c r="S233" s="10" t="e">
        <f>VLOOKUP(AJ225,'FRC Site Data'!$B$3:$L$42,3,FALSE)</f>
        <v>#N/A</v>
      </c>
      <c r="T233" s="10" t="e">
        <f>VLOOKUP(AJ225,'FRC Site Data'!$B$3:$L$42,4,FALSE)</f>
        <v>#N/A</v>
      </c>
      <c r="U233" s="10" t="e">
        <f>VLOOKUP(AJ225,'FRC Site Data'!$B$3:$L$42,5,FALSE)</f>
        <v>#N/A</v>
      </c>
      <c r="V233" s="10" t="e">
        <f>VLOOKUP(AJ225,'FRC Site Data'!$B$3:$L$42,6,FALSE)</f>
        <v>#N/A</v>
      </c>
      <c r="W233" s="10" t="e">
        <f>VLOOKUP(AJ225,'FRC Site Data'!$B$3:$L$42,8,FALSE)</f>
        <v>#N/A</v>
      </c>
      <c r="X233" s="10" t="e">
        <f>VLOOKUP(AJ225,'FRC Site Data'!$B$3:$L$42,9,FALSE)</f>
        <v>#N/A</v>
      </c>
      <c r="Y233" s="10" t="e">
        <f>VLOOKUP(AJ225,'FRC Site Data'!$B$3:$L$42,10,FALSE)</f>
        <v>#N/A</v>
      </c>
      <c r="Z233" s="10" t="e">
        <f>VLOOKUP(AJ225,'FRC Site Data'!$B$3:$L$42,11,FALSE)</f>
        <v>#N/A</v>
      </c>
      <c r="AA233" s="10" t="e">
        <f>VLOOKUP(AJ225,'CIR Team Info'!$C$5:$E$44,4,FALSE)</f>
        <v>#N/A</v>
      </c>
      <c r="AB233" s="161" t="b">
        <f>ISNUMBER(VLOOKUP(AJ225,Match!$T$5:$T$10,1,FALSE))</f>
        <v>0</v>
      </c>
      <c r="AC233" s="161" t="b">
        <f>IF(AB233=TRUE,(VLOOKUP($AJ225,Match!$T$5:$U$10,2,FALSE)))</f>
        <v>0</v>
      </c>
      <c r="AD233" s="8">
        <v>3</v>
      </c>
      <c r="AE233" s="8">
        <v>2</v>
      </c>
      <c r="AF233" s="8">
        <v>2</v>
      </c>
      <c r="AG233" s="8">
        <v>1</v>
      </c>
      <c r="AI233" s="12"/>
      <c r="AZ233" s="12"/>
      <c r="BC233" s="12"/>
    </row>
    <row r="234" spans="1:63" x14ac:dyDescent="0.25">
      <c r="A234" s="29">
        <f t="shared" si="49"/>
        <v>0</v>
      </c>
      <c r="B234" s="29">
        <f t="shared" si="51"/>
        <v>0</v>
      </c>
      <c r="C234" s="29">
        <f t="shared" si="52"/>
        <v>0</v>
      </c>
      <c r="D234" s="29">
        <f t="shared" si="53"/>
        <v>0</v>
      </c>
      <c r="E234" s="29">
        <f t="shared" si="50"/>
        <v>0</v>
      </c>
      <c r="F234" s="29">
        <f t="shared" si="54"/>
        <v>0</v>
      </c>
      <c r="G234" s="29" t="str">
        <f t="shared" si="55"/>
        <v>offensive</v>
      </c>
      <c r="H234" s="16">
        <f t="shared" si="56"/>
        <v>0</v>
      </c>
      <c r="I234" s="16">
        <f t="shared" si="57"/>
        <v>0</v>
      </c>
      <c r="J234" s="16">
        <f t="shared" si="58"/>
        <v>0</v>
      </c>
      <c r="K234" s="16">
        <f t="shared" si="59"/>
        <v>0</v>
      </c>
      <c r="L234" s="67">
        <f t="shared" si="60"/>
        <v>0</v>
      </c>
      <c r="M234" s="4">
        <f t="shared" si="61"/>
        <v>0</v>
      </c>
      <c r="N234" s="4">
        <f t="shared" si="62"/>
        <v>0</v>
      </c>
      <c r="O234" s="4">
        <f t="shared" si="63"/>
        <v>0</v>
      </c>
      <c r="P234" s="4" t="e">
        <f>VLOOKUP(AJ226,'CIR Team Info'!$C$5:$E$44,2,FALSE)</f>
        <v>#N/A</v>
      </c>
      <c r="Q234" s="4" t="e">
        <f>VLOOKUP(AJ226,'CIR Team Info'!$C$5:$E$44,3,FALSE)</f>
        <v>#N/A</v>
      </c>
      <c r="R234" s="10" t="e">
        <f>VLOOKUP(AJ226,'FRC Site Data'!$B$3:$L$42,2,FALSE)</f>
        <v>#N/A</v>
      </c>
      <c r="S234" s="10" t="e">
        <f>VLOOKUP(AJ226,'FRC Site Data'!$B$3:$L$42,3,FALSE)</f>
        <v>#N/A</v>
      </c>
      <c r="T234" s="10" t="e">
        <f>VLOOKUP(AJ226,'FRC Site Data'!$B$3:$L$42,4,FALSE)</f>
        <v>#N/A</v>
      </c>
      <c r="U234" s="10" t="e">
        <f>VLOOKUP(AJ226,'FRC Site Data'!$B$3:$L$42,5,FALSE)</f>
        <v>#N/A</v>
      </c>
      <c r="V234" s="10" t="e">
        <f>VLOOKUP(AJ226,'FRC Site Data'!$B$3:$L$42,6,FALSE)</f>
        <v>#N/A</v>
      </c>
      <c r="W234" s="10" t="e">
        <f>VLOOKUP(AJ226,'FRC Site Data'!$B$3:$L$42,8,FALSE)</f>
        <v>#N/A</v>
      </c>
      <c r="X234" s="10" t="e">
        <f>VLOOKUP(AJ226,'FRC Site Data'!$B$3:$L$42,9,FALSE)</f>
        <v>#N/A</v>
      </c>
      <c r="Y234" s="10" t="e">
        <f>VLOOKUP(AJ226,'FRC Site Data'!$B$3:$L$42,10,FALSE)</f>
        <v>#N/A</v>
      </c>
      <c r="Z234" s="10" t="e">
        <f>VLOOKUP(AJ226,'FRC Site Data'!$B$3:$L$42,11,FALSE)</f>
        <v>#N/A</v>
      </c>
      <c r="AA234" s="10" t="e">
        <f>VLOOKUP(AJ226,'CIR Team Info'!$C$5:$E$44,4,FALSE)</f>
        <v>#N/A</v>
      </c>
      <c r="AB234" s="161" t="b">
        <f>ISNUMBER(VLOOKUP(AJ226,Match!$T$5:$T$10,1,FALSE))</f>
        <v>0</v>
      </c>
      <c r="AC234" s="161" t="b">
        <f>IF(AB234=TRUE,(VLOOKUP($AJ226,Match!$T$5:$U$10,2,FALSE)))</f>
        <v>0</v>
      </c>
      <c r="AD234" s="8">
        <v>3</v>
      </c>
      <c r="AE234" s="8">
        <v>2</v>
      </c>
      <c r="AF234" s="8">
        <v>2</v>
      </c>
      <c r="AG234" s="8">
        <v>1</v>
      </c>
      <c r="AH234" s="8" t="s">
        <v>128</v>
      </c>
      <c r="AI234" s="12"/>
      <c r="AZ234" s="12"/>
      <c r="BC234" s="12"/>
    </row>
    <row r="235" spans="1:63" x14ac:dyDescent="0.25">
      <c r="A235" s="29">
        <f t="shared" si="49"/>
        <v>0</v>
      </c>
      <c r="B235" s="29">
        <f t="shared" si="51"/>
        <v>0</v>
      </c>
      <c r="C235" s="29">
        <f t="shared" si="52"/>
        <v>0</v>
      </c>
      <c r="D235" s="29">
        <f t="shared" si="53"/>
        <v>0</v>
      </c>
      <c r="E235" s="29">
        <f t="shared" si="50"/>
        <v>0</v>
      </c>
      <c r="F235" s="29">
        <f t="shared" si="54"/>
        <v>0</v>
      </c>
      <c r="G235" s="29" t="str">
        <f t="shared" si="55"/>
        <v>offensive</v>
      </c>
      <c r="H235" s="16">
        <f t="shared" si="56"/>
        <v>0</v>
      </c>
      <c r="I235" s="16">
        <f t="shared" si="57"/>
        <v>0</v>
      </c>
      <c r="J235" s="16">
        <f t="shared" si="58"/>
        <v>0</v>
      </c>
      <c r="K235" s="16">
        <f t="shared" si="59"/>
        <v>0</v>
      </c>
      <c r="L235" s="67">
        <f t="shared" si="60"/>
        <v>0</v>
      </c>
      <c r="M235" s="4">
        <f t="shared" si="61"/>
        <v>0</v>
      </c>
      <c r="N235" s="4">
        <f t="shared" si="62"/>
        <v>0</v>
      </c>
      <c r="O235" s="4">
        <f t="shared" si="63"/>
        <v>0</v>
      </c>
      <c r="P235" s="4" t="e">
        <f>VLOOKUP(AJ227,'CIR Team Info'!$C$5:$E$44,2,FALSE)</f>
        <v>#N/A</v>
      </c>
      <c r="Q235" s="4" t="e">
        <f>VLOOKUP(AJ227,'CIR Team Info'!$C$5:$E$44,3,FALSE)</f>
        <v>#N/A</v>
      </c>
      <c r="R235" s="10" t="e">
        <f>VLOOKUP(AJ227,'FRC Site Data'!$B$3:$L$42,2,FALSE)</f>
        <v>#N/A</v>
      </c>
      <c r="S235" s="10" t="e">
        <f>VLOOKUP(AJ227,'FRC Site Data'!$B$3:$L$42,3,FALSE)</f>
        <v>#N/A</v>
      </c>
      <c r="T235" s="10" t="e">
        <f>VLOOKUP(AJ227,'FRC Site Data'!$B$3:$L$42,4,FALSE)</f>
        <v>#N/A</v>
      </c>
      <c r="U235" s="10" t="e">
        <f>VLOOKUP(AJ227,'FRC Site Data'!$B$3:$L$42,5,FALSE)</f>
        <v>#N/A</v>
      </c>
      <c r="V235" s="10" t="e">
        <f>VLOOKUP(AJ227,'FRC Site Data'!$B$3:$L$42,6,FALSE)</f>
        <v>#N/A</v>
      </c>
      <c r="W235" s="10" t="e">
        <f>VLOOKUP(AJ227,'FRC Site Data'!$B$3:$L$42,8,FALSE)</f>
        <v>#N/A</v>
      </c>
      <c r="X235" s="10" t="e">
        <f>VLOOKUP(AJ227,'FRC Site Data'!$B$3:$L$42,9,FALSE)</f>
        <v>#N/A</v>
      </c>
      <c r="Y235" s="10" t="e">
        <f>VLOOKUP(AJ227,'FRC Site Data'!$B$3:$L$42,10,FALSE)</f>
        <v>#N/A</v>
      </c>
      <c r="Z235" s="10" t="e">
        <f>VLOOKUP(AJ227,'FRC Site Data'!$B$3:$L$42,11,FALSE)</f>
        <v>#N/A</v>
      </c>
      <c r="AA235" s="10" t="e">
        <f>VLOOKUP(AJ227,'CIR Team Info'!$C$5:$E$44,4,FALSE)</f>
        <v>#N/A</v>
      </c>
      <c r="AB235" s="161" t="b">
        <f>ISNUMBER(VLOOKUP(AJ227,Match!$T$5:$T$10,1,FALSE))</f>
        <v>0</v>
      </c>
      <c r="AC235" s="161" t="b">
        <f>IF(AB235=TRUE,(VLOOKUP($AJ227,Match!$T$5:$U$10,2,FALSE)))</f>
        <v>0</v>
      </c>
      <c r="AD235" s="8">
        <v>3</v>
      </c>
      <c r="AE235" s="8">
        <v>2</v>
      </c>
      <c r="AF235" s="8">
        <v>2</v>
      </c>
      <c r="AG235" s="8">
        <v>1</v>
      </c>
      <c r="AH235" s="8" t="s">
        <v>128</v>
      </c>
      <c r="AI235" s="12"/>
      <c r="AZ235" s="12"/>
      <c r="BC235" s="12"/>
    </row>
    <row r="236" spans="1:63" x14ac:dyDescent="0.25">
      <c r="A236" s="29">
        <f t="shared" si="49"/>
        <v>0</v>
      </c>
      <c r="B236" s="29">
        <f t="shared" si="51"/>
        <v>0</v>
      </c>
      <c r="C236" s="29">
        <f t="shared" si="52"/>
        <v>0</v>
      </c>
      <c r="D236" s="29">
        <f t="shared" si="53"/>
        <v>0</v>
      </c>
      <c r="E236" s="29">
        <f t="shared" si="50"/>
        <v>0</v>
      </c>
      <c r="F236" s="29">
        <f t="shared" si="54"/>
        <v>0</v>
      </c>
      <c r="G236" s="29" t="str">
        <f t="shared" si="55"/>
        <v>offensive</v>
      </c>
      <c r="H236" s="16">
        <f t="shared" si="56"/>
        <v>0</v>
      </c>
      <c r="I236" s="16">
        <f t="shared" si="57"/>
        <v>0</v>
      </c>
      <c r="J236" s="16">
        <f t="shared" si="58"/>
        <v>0</v>
      </c>
      <c r="K236" s="16">
        <f t="shared" si="59"/>
        <v>0</v>
      </c>
      <c r="L236" s="67">
        <f t="shared" si="60"/>
        <v>0</v>
      </c>
      <c r="M236" s="4">
        <f t="shared" si="61"/>
        <v>0</v>
      </c>
      <c r="N236" s="4">
        <f t="shared" si="62"/>
        <v>0</v>
      </c>
      <c r="O236" s="4">
        <f t="shared" si="63"/>
        <v>0</v>
      </c>
      <c r="P236" s="4" t="e">
        <f>VLOOKUP(AJ228,'CIR Team Info'!$C$5:$E$44,2,FALSE)</f>
        <v>#N/A</v>
      </c>
      <c r="Q236" s="4" t="e">
        <f>VLOOKUP(AJ228,'CIR Team Info'!$C$5:$E$44,3,FALSE)</f>
        <v>#N/A</v>
      </c>
      <c r="R236" s="10" t="e">
        <f>VLOOKUP(AJ228,'FRC Site Data'!$B$3:$L$42,2,FALSE)</f>
        <v>#N/A</v>
      </c>
      <c r="S236" s="10" t="e">
        <f>VLOOKUP(AJ228,'FRC Site Data'!$B$3:$L$42,3,FALSE)</f>
        <v>#N/A</v>
      </c>
      <c r="T236" s="10" t="e">
        <f>VLOOKUP(AJ228,'FRC Site Data'!$B$3:$L$42,4,FALSE)</f>
        <v>#N/A</v>
      </c>
      <c r="U236" s="10" t="e">
        <f>VLOOKUP(AJ228,'FRC Site Data'!$B$3:$L$42,5,FALSE)</f>
        <v>#N/A</v>
      </c>
      <c r="V236" s="10" t="e">
        <f>VLOOKUP(AJ228,'FRC Site Data'!$B$3:$L$42,6,FALSE)</f>
        <v>#N/A</v>
      </c>
      <c r="W236" s="10" t="e">
        <f>VLOOKUP(AJ228,'FRC Site Data'!$B$3:$L$42,8,FALSE)</f>
        <v>#N/A</v>
      </c>
      <c r="X236" s="10" t="e">
        <f>VLOOKUP(AJ228,'FRC Site Data'!$B$3:$L$42,9,FALSE)</f>
        <v>#N/A</v>
      </c>
      <c r="Y236" s="10" t="e">
        <f>VLOOKUP(AJ228,'FRC Site Data'!$B$3:$L$42,10,FALSE)</f>
        <v>#N/A</v>
      </c>
      <c r="Z236" s="10" t="e">
        <f>VLOOKUP(AJ228,'FRC Site Data'!$B$3:$L$42,11,FALSE)</f>
        <v>#N/A</v>
      </c>
      <c r="AA236" s="10" t="e">
        <f>VLOOKUP(AJ228,'CIR Team Info'!$C$5:$E$44,4,FALSE)</f>
        <v>#N/A</v>
      </c>
      <c r="AB236" s="161" t="b">
        <f>ISNUMBER(VLOOKUP(AJ228,Match!$T$5:$T$10,1,FALSE))</f>
        <v>0</v>
      </c>
      <c r="AC236" s="161" t="b">
        <f>IF(AB236=TRUE,(VLOOKUP($AJ228,Match!$T$5:$U$10,2,FALSE)))</f>
        <v>0</v>
      </c>
      <c r="AD236" s="8">
        <v>3</v>
      </c>
      <c r="AE236" s="8">
        <v>2</v>
      </c>
      <c r="AF236" s="8">
        <v>2</v>
      </c>
      <c r="AG236" s="8">
        <v>1</v>
      </c>
      <c r="AH236" s="8" t="s">
        <v>128</v>
      </c>
      <c r="AI236" s="12"/>
      <c r="AZ236" s="12"/>
      <c r="BC236" s="12"/>
    </row>
    <row r="237" spans="1:63" x14ac:dyDescent="0.25">
      <c r="A237" s="29">
        <f t="shared" si="49"/>
        <v>0</v>
      </c>
      <c r="B237" s="29">
        <f t="shared" si="51"/>
        <v>0</v>
      </c>
      <c r="C237" s="29">
        <f t="shared" si="52"/>
        <v>0</v>
      </c>
      <c r="D237" s="29">
        <f t="shared" si="53"/>
        <v>0</v>
      </c>
      <c r="E237" s="29">
        <f t="shared" si="50"/>
        <v>0</v>
      </c>
      <c r="F237" s="29">
        <f t="shared" si="54"/>
        <v>0</v>
      </c>
      <c r="G237" s="29" t="str">
        <f t="shared" si="55"/>
        <v>offensive</v>
      </c>
      <c r="H237" s="16">
        <f t="shared" si="56"/>
        <v>0</v>
      </c>
      <c r="I237" s="16">
        <f t="shared" si="57"/>
        <v>0</v>
      </c>
      <c r="J237" s="16">
        <f t="shared" si="58"/>
        <v>0</v>
      </c>
      <c r="K237" s="16">
        <f t="shared" si="59"/>
        <v>0</v>
      </c>
      <c r="L237" s="67">
        <f t="shared" si="60"/>
        <v>0</v>
      </c>
      <c r="M237" s="4">
        <f t="shared" si="61"/>
        <v>0</v>
      </c>
      <c r="N237" s="4">
        <f t="shared" si="62"/>
        <v>0</v>
      </c>
      <c r="O237" s="4">
        <f t="shared" si="63"/>
        <v>0</v>
      </c>
      <c r="P237" s="4" t="e">
        <f>VLOOKUP(AJ229,'CIR Team Info'!$C$5:$E$44,2,FALSE)</f>
        <v>#N/A</v>
      </c>
      <c r="Q237" s="4" t="e">
        <f>VLOOKUP(AJ229,'CIR Team Info'!$C$5:$E$44,3,FALSE)</f>
        <v>#N/A</v>
      </c>
      <c r="R237" s="10" t="e">
        <f>VLOOKUP(AJ229,'FRC Site Data'!$B$3:$L$42,2,FALSE)</f>
        <v>#N/A</v>
      </c>
      <c r="S237" s="10" t="e">
        <f>VLOOKUP(AJ229,'FRC Site Data'!$B$3:$L$42,3,FALSE)</f>
        <v>#N/A</v>
      </c>
      <c r="T237" s="10" t="e">
        <f>VLOOKUP(AJ229,'FRC Site Data'!$B$3:$L$42,4,FALSE)</f>
        <v>#N/A</v>
      </c>
      <c r="U237" s="10" t="e">
        <f>VLOOKUP(AJ229,'FRC Site Data'!$B$3:$L$42,5,FALSE)</f>
        <v>#N/A</v>
      </c>
      <c r="V237" s="10" t="e">
        <f>VLOOKUP(AJ229,'FRC Site Data'!$B$3:$L$42,6,FALSE)</f>
        <v>#N/A</v>
      </c>
      <c r="W237" s="10" t="e">
        <f>VLOOKUP(AJ229,'FRC Site Data'!$B$3:$L$42,8,FALSE)</f>
        <v>#N/A</v>
      </c>
      <c r="X237" s="10" t="e">
        <f>VLOOKUP(AJ229,'FRC Site Data'!$B$3:$L$42,9,FALSE)</f>
        <v>#N/A</v>
      </c>
      <c r="Y237" s="10" t="e">
        <f>VLOOKUP(AJ229,'FRC Site Data'!$B$3:$L$42,10,FALSE)</f>
        <v>#N/A</v>
      </c>
      <c r="Z237" s="10" t="e">
        <f>VLOOKUP(AJ229,'FRC Site Data'!$B$3:$L$42,11,FALSE)</f>
        <v>#N/A</v>
      </c>
      <c r="AA237" s="10" t="e">
        <f>VLOOKUP(AJ229,'CIR Team Info'!$C$5:$E$44,4,FALSE)</f>
        <v>#N/A</v>
      </c>
      <c r="AB237" s="161" t="b">
        <f>ISNUMBER(VLOOKUP(AJ229,Match!$T$5:$T$10,1,FALSE))</f>
        <v>0</v>
      </c>
      <c r="AC237" s="161" t="b">
        <f>IF(AB237=TRUE,(VLOOKUP($AJ229,Match!$T$5:$U$10,2,FALSE)))</f>
        <v>0</v>
      </c>
      <c r="AD237" s="8">
        <v>3</v>
      </c>
      <c r="AE237" s="8">
        <v>2</v>
      </c>
      <c r="AF237" s="8">
        <v>2</v>
      </c>
      <c r="AG237" s="8">
        <v>1</v>
      </c>
      <c r="AH237" s="8" t="s">
        <v>128</v>
      </c>
      <c r="AI237" s="12"/>
      <c r="AZ237" s="12"/>
      <c r="BC237" s="12"/>
      <c r="BK237" s="12"/>
    </row>
    <row r="238" spans="1:63" x14ac:dyDescent="0.25">
      <c r="A238" s="29">
        <f t="shared" si="49"/>
        <v>0</v>
      </c>
      <c r="B238" s="29">
        <f t="shared" si="51"/>
        <v>0</v>
      </c>
      <c r="C238" s="29">
        <f t="shared" si="52"/>
        <v>0</v>
      </c>
      <c r="D238" s="29">
        <f t="shared" si="53"/>
        <v>0</v>
      </c>
      <c r="E238" s="29">
        <f t="shared" si="50"/>
        <v>0</v>
      </c>
      <c r="F238" s="29">
        <f t="shared" si="54"/>
        <v>0</v>
      </c>
      <c r="G238" s="29" t="str">
        <f t="shared" si="55"/>
        <v>offensive</v>
      </c>
      <c r="H238" s="16">
        <f t="shared" si="56"/>
        <v>0</v>
      </c>
      <c r="I238" s="16">
        <f t="shared" si="57"/>
        <v>0</v>
      </c>
      <c r="J238" s="16">
        <f t="shared" si="58"/>
        <v>0</v>
      </c>
      <c r="K238" s="16">
        <f t="shared" si="59"/>
        <v>0</v>
      </c>
      <c r="L238" s="67">
        <f t="shared" si="60"/>
        <v>0</v>
      </c>
      <c r="M238" s="4">
        <f t="shared" si="61"/>
        <v>0</v>
      </c>
      <c r="N238" s="4">
        <f t="shared" si="62"/>
        <v>0</v>
      </c>
      <c r="O238" s="4">
        <f t="shared" si="63"/>
        <v>0</v>
      </c>
      <c r="P238" s="4" t="e">
        <f>VLOOKUP(AJ230,'CIR Team Info'!$C$5:$E$44,2,FALSE)</f>
        <v>#N/A</v>
      </c>
      <c r="Q238" s="4" t="e">
        <f>VLOOKUP(AJ230,'CIR Team Info'!$C$5:$E$44,3,FALSE)</f>
        <v>#N/A</v>
      </c>
      <c r="R238" s="10" t="e">
        <f>VLOOKUP(AJ230,'FRC Site Data'!$B$3:$L$42,2,FALSE)</f>
        <v>#N/A</v>
      </c>
      <c r="S238" s="10" t="e">
        <f>VLOOKUP(AJ230,'FRC Site Data'!$B$3:$L$42,3,FALSE)</f>
        <v>#N/A</v>
      </c>
      <c r="T238" s="10" t="e">
        <f>VLOOKUP(AJ230,'FRC Site Data'!$B$3:$L$42,4,FALSE)</f>
        <v>#N/A</v>
      </c>
      <c r="U238" s="10" t="e">
        <f>VLOOKUP(AJ230,'FRC Site Data'!$B$3:$L$42,5,FALSE)</f>
        <v>#N/A</v>
      </c>
      <c r="V238" s="10" t="e">
        <f>VLOOKUP(AJ230,'FRC Site Data'!$B$3:$L$42,6,FALSE)</f>
        <v>#N/A</v>
      </c>
      <c r="W238" s="10" t="e">
        <f>VLOOKUP(AJ230,'FRC Site Data'!$B$3:$L$42,8,FALSE)</f>
        <v>#N/A</v>
      </c>
      <c r="X238" s="10" t="e">
        <f>VLOOKUP(AJ230,'FRC Site Data'!$B$3:$L$42,9,FALSE)</f>
        <v>#N/A</v>
      </c>
      <c r="Y238" s="10" t="e">
        <f>VLOOKUP(AJ230,'FRC Site Data'!$B$3:$L$42,10,FALSE)</f>
        <v>#N/A</v>
      </c>
      <c r="Z238" s="10" t="e">
        <f>VLOOKUP(AJ230,'FRC Site Data'!$B$3:$L$42,11,FALSE)</f>
        <v>#N/A</v>
      </c>
      <c r="AA238" s="10" t="e">
        <f>VLOOKUP(AJ230,'CIR Team Info'!$C$5:$E$44,4,FALSE)</f>
        <v>#N/A</v>
      </c>
      <c r="AB238" s="161" t="b">
        <f>ISNUMBER(VLOOKUP(AJ230,Match!$T$5:$T$10,1,FALSE))</f>
        <v>0</v>
      </c>
      <c r="AC238" s="161" t="b">
        <f>IF(AB238=TRUE,(VLOOKUP($AJ230,Match!$T$5:$U$10,2,FALSE)))</f>
        <v>0</v>
      </c>
      <c r="AD238" s="8">
        <v>3</v>
      </c>
      <c r="AE238" s="8">
        <v>2</v>
      </c>
      <c r="AF238" s="8">
        <v>2</v>
      </c>
      <c r="AG238" s="8">
        <v>1</v>
      </c>
      <c r="AH238" s="8" t="str">
        <f t="shared" si="64"/>
        <v/>
      </c>
      <c r="AI238" s="12"/>
      <c r="AZ238" s="12"/>
      <c r="BC238" s="12"/>
      <c r="BK238" s="12"/>
    </row>
    <row r="239" spans="1:63" x14ac:dyDescent="0.25">
      <c r="A239" s="29">
        <f t="shared" si="49"/>
        <v>0</v>
      </c>
      <c r="B239" s="29">
        <f t="shared" si="51"/>
        <v>0</v>
      </c>
      <c r="C239" s="29">
        <f t="shared" si="52"/>
        <v>0</v>
      </c>
      <c r="D239" s="29">
        <f t="shared" si="53"/>
        <v>0</v>
      </c>
      <c r="E239" s="29">
        <f t="shared" si="50"/>
        <v>0</v>
      </c>
      <c r="F239" s="29">
        <f t="shared" si="54"/>
        <v>0</v>
      </c>
      <c r="G239" s="29" t="str">
        <f t="shared" si="55"/>
        <v>offensive</v>
      </c>
      <c r="H239" s="16">
        <f t="shared" si="56"/>
        <v>0</v>
      </c>
      <c r="I239" s="16">
        <f t="shared" si="57"/>
        <v>0</v>
      </c>
      <c r="J239" s="16">
        <f t="shared" si="58"/>
        <v>0</v>
      </c>
      <c r="K239" s="16">
        <f t="shared" si="59"/>
        <v>0</v>
      </c>
      <c r="L239" s="67">
        <f t="shared" si="60"/>
        <v>0</v>
      </c>
      <c r="M239" s="4">
        <f t="shared" si="61"/>
        <v>0</v>
      </c>
      <c r="N239" s="4">
        <f t="shared" si="62"/>
        <v>0</v>
      </c>
      <c r="O239" s="4">
        <f t="shared" si="63"/>
        <v>0</v>
      </c>
      <c r="P239" s="4" t="e">
        <f>VLOOKUP(AJ231,'CIR Team Info'!$C$5:$E$44,2,FALSE)</f>
        <v>#N/A</v>
      </c>
      <c r="Q239" s="4" t="e">
        <f>VLOOKUP(AJ231,'CIR Team Info'!$C$5:$E$44,3,FALSE)</f>
        <v>#N/A</v>
      </c>
      <c r="R239" s="10" t="e">
        <f>VLOOKUP(AJ231,'FRC Site Data'!$B$3:$L$42,2,FALSE)</f>
        <v>#N/A</v>
      </c>
      <c r="S239" s="10" t="e">
        <f>VLOOKUP(AJ231,'FRC Site Data'!$B$3:$L$42,3,FALSE)</f>
        <v>#N/A</v>
      </c>
      <c r="T239" s="10" t="e">
        <f>VLOOKUP(AJ231,'FRC Site Data'!$B$3:$L$42,4,FALSE)</f>
        <v>#N/A</v>
      </c>
      <c r="U239" s="10" t="e">
        <f>VLOOKUP(AJ231,'FRC Site Data'!$B$3:$L$42,5,FALSE)</f>
        <v>#N/A</v>
      </c>
      <c r="V239" s="10" t="e">
        <f>VLOOKUP(AJ231,'FRC Site Data'!$B$3:$L$42,6,FALSE)</f>
        <v>#N/A</v>
      </c>
      <c r="W239" s="10" t="e">
        <f>VLOOKUP(AJ231,'FRC Site Data'!$B$3:$L$42,8,FALSE)</f>
        <v>#N/A</v>
      </c>
      <c r="X239" s="10" t="e">
        <f>VLOOKUP(AJ231,'FRC Site Data'!$B$3:$L$42,9,FALSE)</f>
        <v>#N/A</v>
      </c>
      <c r="Y239" s="10" t="e">
        <f>VLOOKUP(AJ231,'FRC Site Data'!$B$3:$L$42,10,FALSE)</f>
        <v>#N/A</v>
      </c>
      <c r="Z239" s="10" t="e">
        <f>VLOOKUP(AJ231,'FRC Site Data'!$B$3:$L$42,11,FALSE)</f>
        <v>#N/A</v>
      </c>
      <c r="AA239" s="10" t="e">
        <f>VLOOKUP(AJ231,'CIR Team Info'!$C$5:$E$44,4,FALSE)</f>
        <v>#N/A</v>
      </c>
      <c r="AB239" s="161" t="b">
        <f>ISNUMBER(VLOOKUP(AJ231,Match!$T$5:$T$10,1,FALSE))</f>
        <v>0</v>
      </c>
      <c r="AC239" s="161" t="b">
        <f>IF(AB239=TRUE,(VLOOKUP($AJ231,Match!$T$5:$U$10,2,FALSE)))</f>
        <v>0</v>
      </c>
      <c r="AD239" s="8">
        <v>3</v>
      </c>
      <c r="AE239" s="8">
        <v>2</v>
      </c>
      <c r="AF239" s="8">
        <v>2</v>
      </c>
      <c r="AG239" s="8">
        <v>1</v>
      </c>
      <c r="AH239" s="8" t="str">
        <f t="shared" si="64"/>
        <v/>
      </c>
      <c r="AI239" s="12"/>
      <c r="AZ239" s="12"/>
      <c r="BC239" s="12"/>
      <c r="BK239" s="12"/>
    </row>
    <row r="240" spans="1:63" x14ac:dyDescent="0.25">
      <c r="A240" s="29">
        <f t="shared" si="49"/>
        <v>0</v>
      </c>
      <c r="B240" s="29">
        <f t="shared" si="51"/>
        <v>0</v>
      </c>
      <c r="C240" s="29">
        <f t="shared" si="52"/>
        <v>0</v>
      </c>
      <c r="D240" s="29">
        <f t="shared" si="53"/>
        <v>0</v>
      </c>
      <c r="E240" s="29">
        <f t="shared" si="50"/>
        <v>0</v>
      </c>
      <c r="F240" s="29">
        <f t="shared" si="54"/>
        <v>0</v>
      </c>
      <c r="G240" s="29" t="str">
        <f t="shared" si="55"/>
        <v>offensive</v>
      </c>
      <c r="H240" s="16">
        <f t="shared" si="56"/>
        <v>0</v>
      </c>
      <c r="I240" s="16">
        <f t="shared" si="57"/>
        <v>0</v>
      </c>
      <c r="J240" s="16">
        <f t="shared" si="58"/>
        <v>0</v>
      </c>
      <c r="K240" s="16">
        <f t="shared" si="59"/>
        <v>0</v>
      </c>
      <c r="L240" s="67">
        <f t="shared" si="60"/>
        <v>0</v>
      </c>
      <c r="M240" s="4">
        <f t="shared" si="61"/>
        <v>0</v>
      </c>
      <c r="N240" s="4">
        <f t="shared" si="62"/>
        <v>0</v>
      </c>
      <c r="O240" s="4">
        <f t="shared" si="63"/>
        <v>0</v>
      </c>
      <c r="P240" s="4" t="e">
        <f>VLOOKUP(AJ232,'CIR Team Info'!$C$5:$E$44,2,FALSE)</f>
        <v>#N/A</v>
      </c>
      <c r="Q240" s="4" t="e">
        <f>VLOOKUP(AJ232,'CIR Team Info'!$C$5:$E$44,3,FALSE)</f>
        <v>#N/A</v>
      </c>
      <c r="R240" s="10" t="e">
        <f>VLOOKUP(AJ232,'FRC Site Data'!$B$3:$L$42,2,FALSE)</f>
        <v>#N/A</v>
      </c>
      <c r="S240" s="10" t="e">
        <f>VLOOKUP(AJ232,'FRC Site Data'!$B$3:$L$42,3,FALSE)</f>
        <v>#N/A</v>
      </c>
      <c r="T240" s="10" t="e">
        <f>VLOOKUP(AJ232,'FRC Site Data'!$B$3:$L$42,4,FALSE)</f>
        <v>#N/A</v>
      </c>
      <c r="U240" s="10" t="e">
        <f>VLOOKUP(AJ232,'FRC Site Data'!$B$3:$L$42,5,FALSE)</f>
        <v>#N/A</v>
      </c>
      <c r="V240" s="10" t="e">
        <f>VLOOKUP(AJ232,'FRC Site Data'!$B$3:$L$42,6,FALSE)</f>
        <v>#N/A</v>
      </c>
      <c r="W240" s="10" t="e">
        <f>VLOOKUP(AJ232,'FRC Site Data'!$B$3:$L$42,8,FALSE)</f>
        <v>#N/A</v>
      </c>
      <c r="X240" s="10" t="e">
        <f>VLOOKUP(AJ232,'FRC Site Data'!$B$3:$L$42,9,FALSE)</f>
        <v>#N/A</v>
      </c>
      <c r="Y240" s="10" t="e">
        <f>VLOOKUP(AJ232,'FRC Site Data'!$B$3:$L$42,10,FALSE)</f>
        <v>#N/A</v>
      </c>
      <c r="Z240" s="10" t="e">
        <f>VLOOKUP(AJ232,'FRC Site Data'!$B$3:$L$42,11,FALSE)</f>
        <v>#N/A</v>
      </c>
      <c r="AA240" s="10" t="e">
        <f>VLOOKUP(AJ232,'CIR Team Info'!$C$5:$E$44,4,FALSE)</f>
        <v>#N/A</v>
      </c>
      <c r="AB240" s="161" t="b">
        <f>ISNUMBER(VLOOKUP(AJ232,Match!$T$5:$T$10,1,FALSE))</f>
        <v>0</v>
      </c>
      <c r="AC240" s="161" t="b">
        <f>IF(AB240=TRUE,(VLOOKUP($AJ232,Match!$T$5:$U$10,2,FALSE)))</f>
        <v>0</v>
      </c>
      <c r="AD240" s="8">
        <v>3</v>
      </c>
      <c r="AE240" s="8">
        <v>2</v>
      </c>
      <c r="AF240" s="8">
        <v>2</v>
      </c>
      <c r="AG240" s="8">
        <v>1</v>
      </c>
      <c r="AH240" s="8" t="str">
        <f t="shared" si="64"/>
        <v/>
      </c>
      <c r="AI240" s="12"/>
      <c r="AZ240" s="12"/>
      <c r="BC240" s="12"/>
      <c r="BK240" s="12"/>
    </row>
    <row r="241" spans="1:63" x14ac:dyDescent="0.25">
      <c r="A241" s="29">
        <f t="shared" si="49"/>
        <v>0</v>
      </c>
      <c r="B241" s="29">
        <f t="shared" si="51"/>
        <v>0</v>
      </c>
      <c r="C241" s="29">
        <f t="shared" si="52"/>
        <v>0</v>
      </c>
      <c r="D241" s="29">
        <f t="shared" si="53"/>
        <v>0</v>
      </c>
      <c r="E241" s="29">
        <f t="shared" si="50"/>
        <v>0</v>
      </c>
      <c r="F241" s="29">
        <f t="shared" si="54"/>
        <v>0</v>
      </c>
      <c r="G241" s="29" t="str">
        <f t="shared" si="55"/>
        <v>offensive</v>
      </c>
      <c r="H241" s="16">
        <f t="shared" si="56"/>
        <v>0</v>
      </c>
      <c r="I241" s="16">
        <f t="shared" si="57"/>
        <v>0</v>
      </c>
      <c r="J241" s="16">
        <f t="shared" si="58"/>
        <v>0</v>
      </c>
      <c r="K241" s="16">
        <f t="shared" si="59"/>
        <v>0</v>
      </c>
      <c r="L241" s="67">
        <f t="shared" si="60"/>
        <v>0</v>
      </c>
      <c r="M241" s="4">
        <f t="shared" si="61"/>
        <v>0</v>
      </c>
      <c r="N241" s="4">
        <f t="shared" si="62"/>
        <v>0</v>
      </c>
      <c r="O241" s="4">
        <f t="shared" si="63"/>
        <v>0</v>
      </c>
      <c r="P241" s="4" t="e">
        <f>VLOOKUP(AJ233,'CIR Team Info'!$C$5:$E$44,2,FALSE)</f>
        <v>#N/A</v>
      </c>
      <c r="Q241" s="4" t="e">
        <f>VLOOKUP(AJ233,'CIR Team Info'!$C$5:$E$44,3,FALSE)</f>
        <v>#N/A</v>
      </c>
      <c r="R241" s="10" t="e">
        <f>VLOOKUP(AJ233,'FRC Site Data'!$B$3:$L$42,2,FALSE)</f>
        <v>#N/A</v>
      </c>
      <c r="S241" s="10" t="e">
        <f>VLOOKUP(AJ233,'FRC Site Data'!$B$3:$L$42,3,FALSE)</f>
        <v>#N/A</v>
      </c>
      <c r="T241" s="10" t="e">
        <f>VLOOKUP(AJ233,'FRC Site Data'!$B$3:$L$42,4,FALSE)</f>
        <v>#N/A</v>
      </c>
      <c r="U241" s="10" t="e">
        <f>VLOOKUP(AJ233,'FRC Site Data'!$B$3:$L$42,5,FALSE)</f>
        <v>#N/A</v>
      </c>
      <c r="V241" s="10" t="e">
        <f>VLOOKUP(AJ233,'FRC Site Data'!$B$3:$L$42,6,FALSE)</f>
        <v>#N/A</v>
      </c>
      <c r="W241" s="10" t="e">
        <f>VLOOKUP(AJ233,'FRC Site Data'!$B$3:$L$42,8,FALSE)</f>
        <v>#N/A</v>
      </c>
      <c r="X241" s="10" t="e">
        <f>VLOOKUP(AJ233,'FRC Site Data'!$B$3:$L$42,9,FALSE)</f>
        <v>#N/A</v>
      </c>
      <c r="Y241" s="10" t="e">
        <f>VLOOKUP(AJ233,'FRC Site Data'!$B$3:$L$42,10,FALSE)</f>
        <v>#N/A</v>
      </c>
      <c r="Z241" s="10" t="e">
        <f>VLOOKUP(AJ233,'FRC Site Data'!$B$3:$L$42,11,FALSE)</f>
        <v>#N/A</v>
      </c>
      <c r="AA241" s="10" t="e">
        <f>VLOOKUP(AJ233,'CIR Team Info'!$C$5:$E$44,4,FALSE)</f>
        <v>#N/A</v>
      </c>
      <c r="AB241" s="161" t="b">
        <f>ISNUMBER(VLOOKUP(AJ233,Match!$T$5:$T$10,1,FALSE))</f>
        <v>0</v>
      </c>
      <c r="AC241" s="161" t="b">
        <f>IF(AB241=TRUE,(VLOOKUP($AJ233,Match!$T$5:$U$10,2,FALSE)))</f>
        <v>0</v>
      </c>
      <c r="AD241" s="8">
        <v>3</v>
      </c>
      <c r="AE241" s="8">
        <v>2</v>
      </c>
      <c r="AF241" s="8">
        <v>2</v>
      </c>
      <c r="AG241" s="8">
        <v>1</v>
      </c>
      <c r="AH241" s="8" t="str">
        <f t="shared" si="64"/>
        <v/>
      </c>
      <c r="AI241" s="12"/>
      <c r="AZ241" s="12"/>
      <c r="BC241" s="12"/>
      <c r="BK241" s="12"/>
    </row>
    <row r="242" spans="1:63" x14ac:dyDescent="0.25">
      <c r="A242" s="29">
        <f t="shared" si="49"/>
        <v>0</v>
      </c>
      <c r="B242" s="29">
        <f t="shared" si="51"/>
        <v>0</v>
      </c>
      <c r="C242" s="29">
        <f t="shared" si="52"/>
        <v>0</v>
      </c>
      <c r="D242" s="29">
        <f t="shared" si="53"/>
        <v>0</v>
      </c>
      <c r="E242" s="29">
        <f t="shared" si="50"/>
        <v>0</v>
      </c>
      <c r="F242" s="29">
        <f t="shared" si="54"/>
        <v>0</v>
      </c>
      <c r="G242" s="29" t="str">
        <f t="shared" si="55"/>
        <v>offensive</v>
      </c>
      <c r="H242" s="16">
        <f t="shared" si="56"/>
        <v>0</v>
      </c>
      <c r="I242" s="16">
        <f t="shared" si="57"/>
        <v>0</v>
      </c>
      <c r="J242" s="16">
        <f t="shared" si="58"/>
        <v>0</v>
      </c>
      <c r="K242" s="16">
        <f t="shared" si="59"/>
        <v>0</v>
      </c>
      <c r="L242" s="67">
        <f t="shared" si="60"/>
        <v>0</v>
      </c>
      <c r="M242" s="4">
        <f t="shared" si="61"/>
        <v>0</v>
      </c>
      <c r="N242" s="4">
        <f t="shared" si="62"/>
        <v>0</v>
      </c>
      <c r="O242" s="4">
        <f t="shared" si="63"/>
        <v>0</v>
      </c>
      <c r="P242" s="4" t="e">
        <f>VLOOKUP(AJ234,'CIR Team Info'!$C$5:$E$44,2,FALSE)</f>
        <v>#N/A</v>
      </c>
      <c r="Q242" s="4" t="e">
        <f>VLOOKUP(AJ234,'CIR Team Info'!$C$5:$E$44,3,FALSE)</f>
        <v>#N/A</v>
      </c>
      <c r="R242" s="10" t="e">
        <f>VLOOKUP(AJ234,'FRC Site Data'!$B$3:$L$42,2,FALSE)</f>
        <v>#N/A</v>
      </c>
      <c r="S242" s="10" t="e">
        <f>VLOOKUP(AJ234,'FRC Site Data'!$B$3:$L$42,3,FALSE)</f>
        <v>#N/A</v>
      </c>
      <c r="T242" s="10" t="e">
        <f>VLOOKUP(AJ234,'FRC Site Data'!$B$3:$L$42,4,FALSE)</f>
        <v>#N/A</v>
      </c>
      <c r="U242" s="10" t="e">
        <f>VLOOKUP(AJ234,'FRC Site Data'!$B$3:$L$42,5,FALSE)</f>
        <v>#N/A</v>
      </c>
      <c r="V242" s="10" t="e">
        <f>VLOOKUP(AJ234,'FRC Site Data'!$B$3:$L$42,6,FALSE)</f>
        <v>#N/A</v>
      </c>
      <c r="W242" s="10" t="e">
        <f>VLOOKUP(AJ234,'FRC Site Data'!$B$3:$L$42,8,FALSE)</f>
        <v>#N/A</v>
      </c>
      <c r="X242" s="10" t="e">
        <f>VLOOKUP(AJ234,'FRC Site Data'!$B$3:$L$42,9,FALSE)</f>
        <v>#N/A</v>
      </c>
      <c r="Y242" s="10" t="e">
        <f>VLOOKUP(AJ234,'FRC Site Data'!$B$3:$L$42,10,FALSE)</f>
        <v>#N/A</v>
      </c>
      <c r="Z242" s="10" t="e">
        <f>VLOOKUP(AJ234,'FRC Site Data'!$B$3:$L$42,11,FALSE)</f>
        <v>#N/A</v>
      </c>
      <c r="AA242" s="10" t="e">
        <f>VLOOKUP(AJ234,'CIR Team Info'!$C$5:$E$44,4,FALSE)</f>
        <v>#N/A</v>
      </c>
      <c r="AB242" s="161" t="b">
        <f>ISNUMBER(VLOOKUP(AJ234,Match!$T$5:$T$10,1,FALSE))</f>
        <v>0</v>
      </c>
      <c r="AC242" s="161" t="b">
        <f>IF(AB242=TRUE,(VLOOKUP($AJ234,Match!$T$5:$U$10,2,FALSE)))</f>
        <v>0</v>
      </c>
      <c r="AD242" s="8">
        <v>3</v>
      </c>
      <c r="AE242" s="8">
        <v>2</v>
      </c>
      <c r="AF242" s="8">
        <v>2</v>
      </c>
      <c r="AG242" s="8">
        <v>1</v>
      </c>
      <c r="AH242" s="8" t="str">
        <f t="shared" si="64"/>
        <v/>
      </c>
      <c r="AI242" s="12"/>
      <c r="AZ242" s="12"/>
      <c r="BC242" s="12"/>
      <c r="BK242" s="12"/>
    </row>
    <row r="243" spans="1:63" x14ac:dyDescent="0.25">
      <c r="A243" s="29">
        <f t="shared" si="49"/>
        <v>0</v>
      </c>
      <c r="B243" s="29">
        <f t="shared" si="51"/>
        <v>0</v>
      </c>
      <c r="C243" s="29">
        <f t="shared" si="52"/>
        <v>0</v>
      </c>
      <c r="D243" s="29">
        <f t="shared" si="53"/>
        <v>0</v>
      </c>
      <c r="E243" s="29">
        <f t="shared" si="50"/>
        <v>0</v>
      </c>
      <c r="F243" s="29">
        <f t="shared" si="54"/>
        <v>0</v>
      </c>
      <c r="G243" s="29" t="str">
        <f t="shared" si="55"/>
        <v>offensive</v>
      </c>
      <c r="H243" s="16">
        <f t="shared" si="56"/>
        <v>0</v>
      </c>
      <c r="I243" s="16">
        <f t="shared" si="57"/>
        <v>0</v>
      </c>
      <c r="J243" s="16">
        <f t="shared" si="58"/>
        <v>0</v>
      </c>
      <c r="K243" s="16">
        <f t="shared" si="59"/>
        <v>0</v>
      </c>
      <c r="L243" s="67">
        <f t="shared" si="60"/>
        <v>0</v>
      </c>
      <c r="M243" s="4">
        <f t="shared" si="61"/>
        <v>0</v>
      </c>
      <c r="N243" s="4">
        <f t="shared" si="62"/>
        <v>0</v>
      </c>
      <c r="O243" s="4">
        <f t="shared" si="63"/>
        <v>0</v>
      </c>
      <c r="P243" s="4" t="e">
        <f>VLOOKUP(AJ235,'CIR Team Info'!$C$5:$E$44,2,FALSE)</f>
        <v>#N/A</v>
      </c>
      <c r="Q243" s="4" t="e">
        <f>VLOOKUP(AJ235,'CIR Team Info'!$C$5:$E$44,3,FALSE)</f>
        <v>#N/A</v>
      </c>
      <c r="R243" s="10" t="e">
        <f>VLOOKUP(AJ235,'FRC Site Data'!$B$3:$L$42,2,FALSE)</f>
        <v>#N/A</v>
      </c>
      <c r="S243" s="10" t="e">
        <f>VLOOKUP(AJ235,'FRC Site Data'!$B$3:$L$42,3,FALSE)</f>
        <v>#N/A</v>
      </c>
      <c r="T243" s="10" t="e">
        <f>VLOOKUP(AJ235,'FRC Site Data'!$B$3:$L$42,4,FALSE)</f>
        <v>#N/A</v>
      </c>
      <c r="U243" s="10" t="e">
        <f>VLOOKUP(AJ235,'FRC Site Data'!$B$3:$L$42,5,FALSE)</f>
        <v>#N/A</v>
      </c>
      <c r="V243" s="10" t="e">
        <f>VLOOKUP(AJ235,'FRC Site Data'!$B$3:$L$42,6,FALSE)</f>
        <v>#N/A</v>
      </c>
      <c r="W243" s="10" t="e">
        <f>VLOOKUP(AJ235,'FRC Site Data'!$B$3:$L$42,8,FALSE)</f>
        <v>#N/A</v>
      </c>
      <c r="X243" s="10" t="e">
        <f>VLOOKUP(AJ235,'FRC Site Data'!$B$3:$L$42,9,FALSE)</f>
        <v>#N/A</v>
      </c>
      <c r="Y243" s="10" t="e">
        <f>VLOOKUP(AJ235,'FRC Site Data'!$B$3:$L$42,10,FALSE)</f>
        <v>#N/A</v>
      </c>
      <c r="Z243" s="10" t="e">
        <f>VLOOKUP(AJ235,'FRC Site Data'!$B$3:$L$42,11,FALSE)</f>
        <v>#N/A</v>
      </c>
      <c r="AA243" s="10" t="e">
        <f>VLOOKUP(AJ235,'CIR Team Info'!$C$5:$E$44,4,FALSE)</f>
        <v>#N/A</v>
      </c>
      <c r="AB243" s="161" t="b">
        <f>ISNUMBER(VLOOKUP(AJ235,Match!$T$5:$T$10,1,FALSE))</f>
        <v>0</v>
      </c>
      <c r="AC243" s="161" t="b">
        <f>IF(AB243=TRUE,(VLOOKUP($AJ235,Match!$T$5:$U$10,2,FALSE)))</f>
        <v>0</v>
      </c>
      <c r="AD243" s="8">
        <v>3</v>
      </c>
      <c r="AE243" s="8">
        <v>2</v>
      </c>
      <c r="AF243" s="8">
        <v>2</v>
      </c>
      <c r="AG243" s="8">
        <v>1</v>
      </c>
      <c r="AH243" s="8" t="str">
        <f t="shared" si="64"/>
        <v/>
      </c>
      <c r="AI243" s="12"/>
      <c r="AZ243" s="12"/>
      <c r="BC243" s="12"/>
      <c r="BK243" s="12"/>
    </row>
    <row r="244" spans="1:63" x14ac:dyDescent="0.25">
      <c r="A244" s="29">
        <f t="shared" si="49"/>
        <v>0</v>
      </c>
      <c r="B244" s="29">
        <f t="shared" si="51"/>
        <v>0</v>
      </c>
      <c r="C244" s="29">
        <f t="shared" si="52"/>
        <v>0</v>
      </c>
      <c r="D244" s="29">
        <f t="shared" si="53"/>
        <v>0</v>
      </c>
      <c r="E244" s="29">
        <f t="shared" si="50"/>
        <v>0</v>
      </c>
      <c r="F244" s="29">
        <f t="shared" si="54"/>
        <v>0</v>
      </c>
      <c r="G244" s="29" t="str">
        <f t="shared" si="55"/>
        <v>offensive</v>
      </c>
      <c r="H244" s="16">
        <f t="shared" si="56"/>
        <v>0</v>
      </c>
      <c r="I244" s="16">
        <f t="shared" si="57"/>
        <v>0</v>
      </c>
      <c r="J244" s="16">
        <f t="shared" si="58"/>
        <v>0</v>
      </c>
      <c r="K244" s="16">
        <f t="shared" si="59"/>
        <v>0</v>
      </c>
      <c r="L244" s="67">
        <f t="shared" si="60"/>
        <v>0</v>
      </c>
      <c r="M244" s="4">
        <f t="shared" si="61"/>
        <v>0</v>
      </c>
      <c r="N244" s="4">
        <f t="shared" si="62"/>
        <v>0</v>
      </c>
      <c r="O244" s="4">
        <f t="shared" si="63"/>
        <v>0</v>
      </c>
      <c r="P244" s="4" t="e">
        <f>VLOOKUP(AJ236,'CIR Team Info'!$C$5:$E$44,2,FALSE)</f>
        <v>#N/A</v>
      </c>
      <c r="Q244" s="4" t="e">
        <f>VLOOKUP(AJ236,'CIR Team Info'!$C$5:$E$44,3,FALSE)</f>
        <v>#N/A</v>
      </c>
      <c r="R244" s="10" t="e">
        <f>VLOOKUP(AJ236,'FRC Site Data'!$B$3:$L$42,2,FALSE)</f>
        <v>#N/A</v>
      </c>
      <c r="S244" s="10" t="e">
        <f>VLOOKUP(AJ236,'FRC Site Data'!$B$3:$L$42,3,FALSE)</f>
        <v>#N/A</v>
      </c>
      <c r="T244" s="10" t="e">
        <f>VLOOKUP(AJ236,'FRC Site Data'!$B$3:$L$42,4,FALSE)</f>
        <v>#N/A</v>
      </c>
      <c r="U244" s="10" t="e">
        <f>VLOOKUP(AJ236,'FRC Site Data'!$B$3:$L$42,5,FALSE)</f>
        <v>#N/A</v>
      </c>
      <c r="V244" s="10" t="e">
        <f>VLOOKUP(AJ236,'FRC Site Data'!$B$3:$L$42,6,FALSE)</f>
        <v>#N/A</v>
      </c>
      <c r="W244" s="10" t="e">
        <f>VLOOKUP(AJ236,'FRC Site Data'!$B$3:$L$42,8,FALSE)</f>
        <v>#N/A</v>
      </c>
      <c r="X244" s="10" t="e">
        <f>VLOOKUP(AJ236,'FRC Site Data'!$B$3:$L$42,9,FALSE)</f>
        <v>#N/A</v>
      </c>
      <c r="Y244" s="10" t="e">
        <f>VLOOKUP(AJ236,'FRC Site Data'!$B$3:$L$42,10,FALSE)</f>
        <v>#N/A</v>
      </c>
      <c r="Z244" s="10" t="e">
        <f>VLOOKUP(AJ236,'FRC Site Data'!$B$3:$L$42,11,FALSE)</f>
        <v>#N/A</v>
      </c>
      <c r="AA244" s="10" t="e">
        <f>VLOOKUP(AJ236,'CIR Team Info'!$C$5:$E$44,4,FALSE)</f>
        <v>#N/A</v>
      </c>
      <c r="AB244" s="161" t="b">
        <f>ISNUMBER(VLOOKUP(AJ236,Match!$T$5:$T$10,1,FALSE))</f>
        <v>0</v>
      </c>
      <c r="AC244" s="161" t="b">
        <f>IF(AB244=TRUE,(VLOOKUP($AJ236,Match!$T$5:$U$10,2,FALSE)))</f>
        <v>0</v>
      </c>
      <c r="AD244" s="8">
        <v>3</v>
      </c>
      <c r="AE244" s="8">
        <v>2</v>
      </c>
      <c r="AF244" s="8">
        <v>2</v>
      </c>
      <c r="AG244" s="8">
        <v>1</v>
      </c>
      <c r="AH244" s="8" t="str">
        <f t="shared" si="64"/>
        <v/>
      </c>
      <c r="AI244" s="12"/>
      <c r="AZ244" s="12"/>
      <c r="BC244" s="12"/>
      <c r="BK244" s="12"/>
    </row>
    <row r="245" spans="1:63" x14ac:dyDescent="0.25">
      <c r="A245" s="29">
        <f t="shared" si="49"/>
        <v>0</v>
      </c>
      <c r="B245" s="29">
        <f t="shared" si="51"/>
        <v>0</v>
      </c>
      <c r="C245" s="29">
        <f t="shared" si="52"/>
        <v>0</v>
      </c>
      <c r="D245" s="29">
        <f t="shared" si="53"/>
        <v>0</v>
      </c>
      <c r="E245" s="29">
        <f t="shared" si="50"/>
        <v>0</v>
      </c>
      <c r="F245" s="29">
        <f t="shared" si="54"/>
        <v>0</v>
      </c>
      <c r="G245" s="29" t="str">
        <f t="shared" si="55"/>
        <v>offensive</v>
      </c>
      <c r="H245" s="16">
        <f t="shared" si="56"/>
        <v>0</v>
      </c>
      <c r="I245" s="16">
        <f t="shared" si="57"/>
        <v>0</v>
      </c>
      <c r="J245" s="16">
        <f t="shared" si="58"/>
        <v>0</v>
      </c>
      <c r="K245" s="16">
        <f t="shared" si="59"/>
        <v>0</v>
      </c>
      <c r="L245" s="67">
        <f t="shared" si="60"/>
        <v>0</v>
      </c>
      <c r="M245" s="4">
        <f t="shared" si="61"/>
        <v>0</v>
      </c>
      <c r="N245" s="4">
        <f t="shared" si="62"/>
        <v>0</v>
      </c>
      <c r="O245" s="4">
        <f t="shared" si="63"/>
        <v>0</v>
      </c>
      <c r="P245" s="4" t="e">
        <f>VLOOKUP(AJ237,'CIR Team Info'!$C$5:$E$44,2,FALSE)</f>
        <v>#N/A</v>
      </c>
      <c r="Q245" s="4" t="e">
        <f>VLOOKUP(AJ237,'CIR Team Info'!$C$5:$E$44,3,FALSE)</f>
        <v>#N/A</v>
      </c>
      <c r="R245" s="10" t="e">
        <f>VLOOKUP(AJ237,'FRC Site Data'!$B$3:$L$42,2,FALSE)</f>
        <v>#N/A</v>
      </c>
      <c r="S245" s="10" t="e">
        <f>VLOOKUP(AJ237,'FRC Site Data'!$B$3:$L$42,3,FALSE)</f>
        <v>#N/A</v>
      </c>
      <c r="T245" s="10" t="e">
        <f>VLOOKUP(AJ237,'FRC Site Data'!$B$3:$L$42,4,FALSE)</f>
        <v>#N/A</v>
      </c>
      <c r="U245" s="10" t="e">
        <f>VLOOKUP(AJ237,'FRC Site Data'!$B$3:$L$42,5,FALSE)</f>
        <v>#N/A</v>
      </c>
      <c r="V245" s="10" t="e">
        <f>VLOOKUP(AJ237,'FRC Site Data'!$B$3:$L$42,6,FALSE)</f>
        <v>#N/A</v>
      </c>
      <c r="W245" s="10" t="e">
        <f>VLOOKUP(AJ237,'FRC Site Data'!$B$3:$L$42,8,FALSE)</f>
        <v>#N/A</v>
      </c>
      <c r="X245" s="10" t="e">
        <f>VLOOKUP(AJ237,'FRC Site Data'!$B$3:$L$42,9,FALSE)</f>
        <v>#N/A</v>
      </c>
      <c r="Y245" s="10" t="e">
        <f>VLOOKUP(AJ237,'FRC Site Data'!$B$3:$L$42,10,FALSE)</f>
        <v>#N/A</v>
      </c>
      <c r="Z245" s="10" t="e">
        <f>VLOOKUP(AJ237,'FRC Site Data'!$B$3:$L$42,11,FALSE)</f>
        <v>#N/A</v>
      </c>
      <c r="AA245" s="10" t="e">
        <f>VLOOKUP(AJ237,'CIR Team Info'!$C$5:$E$44,4,FALSE)</f>
        <v>#N/A</v>
      </c>
      <c r="AB245" s="161" t="b">
        <f>ISNUMBER(VLOOKUP(AJ237,Match!$T$5:$T$10,1,FALSE))</f>
        <v>0</v>
      </c>
      <c r="AC245" s="161" t="b">
        <f>IF(AB245=TRUE,(VLOOKUP($AJ237,Match!$T$5:$U$10,2,FALSE)))</f>
        <v>0</v>
      </c>
      <c r="AD245" s="8">
        <v>3</v>
      </c>
      <c r="AE245" s="8">
        <v>2</v>
      </c>
      <c r="AF245" s="8">
        <v>2</v>
      </c>
      <c r="AG245" s="8">
        <v>1</v>
      </c>
      <c r="AH245" s="8" t="str">
        <f t="shared" si="64"/>
        <v/>
      </c>
      <c r="AI245" s="12"/>
      <c r="AZ245" s="12"/>
      <c r="BC245" s="12"/>
      <c r="BK245" s="12"/>
    </row>
    <row r="246" spans="1:63" x14ac:dyDescent="0.25">
      <c r="A246" s="29">
        <f t="shared" si="49"/>
        <v>0</v>
      </c>
      <c r="B246" s="29">
        <f t="shared" si="51"/>
        <v>0</v>
      </c>
      <c r="C246" s="29">
        <f t="shared" si="52"/>
        <v>0</v>
      </c>
      <c r="D246" s="29">
        <f t="shared" si="53"/>
        <v>0</v>
      </c>
      <c r="E246" s="29">
        <f t="shared" si="50"/>
        <v>0</v>
      </c>
      <c r="F246" s="29">
        <f t="shared" si="54"/>
        <v>0</v>
      </c>
      <c r="G246" s="29" t="str">
        <f t="shared" si="55"/>
        <v>offensive</v>
      </c>
      <c r="H246" s="16">
        <f t="shared" si="56"/>
        <v>0</v>
      </c>
      <c r="I246" s="16">
        <f t="shared" si="57"/>
        <v>0</v>
      </c>
      <c r="J246" s="16">
        <f t="shared" si="58"/>
        <v>0</v>
      </c>
      <c r="K246" s="16">
        <f t="shared" si="59"/>
        <v>0</v>
      </c>
      <c r="L246" s="67">
        <f t="shared" si="60"/>
        <v>0</v>
      </c>
      <c r="M246" s="4">
        <f t="shared" si="61"/>
        <v>0</v>
      </c>
      <c r="N246" s="4">
        <f t="shared" si="62"/>
        <v>0</v>
      </c>
      <c r="O246" s="4">
        <f t="shared" si="63"/>
        <v>0</v>
      </c>
      <c r="P246" s="4" t="e">
        <f>VLOOKUP(AJ238,'CIR Team Info'!$C$5:$E$44,2,FALSE)</f>
        <v>#N/A</v>
      </c>
      <c r="Q246" s="4" t="e">
        <f>VLOOKUP(AJ238,'CIR Team Info'!$C$5:$E$44,3,FALSE)</f>
        <v>#N/A</v>
      </c>
      <c r="R246" s="10" t="e">
        <f>VLOOKUP(AJ238,'FRC Site Data'!$B$3:$L$42,2,FALSE)</f>
        <v>#N/A</v>
      </c>
      <c r="S246" s="10" t="e">
        <f>VLOOKUP(AJ238,'FRC Site Data'!$B$3:$L$42,3,FALSE)</f>
        <v>#N/A</v>
      </c>
      <c r="T246" s="10" t="e">
        <f>VLOOKUP(AJ238,'FRC Site Data'!$B$3:$L$42,4,FALSE)</f>
        <v>#N/A</v>
      </c>
      <c r="U246" s="10" t="e">
        <f>VLOOKUP(AJ238,'FRC Site Data'!$B$3:$L$42,5,FALSE)</f>
        <v>#N/A</v>
      </c>
      <c r="V246" s="10" t="e">
        <f>VLOOKUP(AJ238,'FRC Site Data'!$B$3:$L$42,6,FALSE)</f>
        <v>#N/A</v>
      </c>
      <c r="W246" s="10" t="e">
        <f>VLOOKUP(AJ238,'FRC Site Data'!$B$3:$L$42,8,FALSE)</f>
        <v>#N/A</v>
      </c>
      <c r="X246" s="10" t="e">
        <f>VLOOKUP(AJ238,'FRC Site Data'!$B$3:$L$42,9,FALSE)</f>
        <v>#N/A</v>
      </c>
      <c r="Y246" s="10" t="e">
        <f>VLOOKUP(AJ238,'FRC Site Data'!$B$3:$L$42,10,FALSE)</f>
        <v>#N/A</v>
      </c>
      <c r="Z246" s="10" t="e">
        <f>VLOOKUP(AJ238,'FRC Site Data'!$B$3:$L$42,11,FALSE)</f>
        <v>#N/A</v>
      </c>
      <c r="AA246" s="10" t="e">
        <f>VLOOKUP(AJ238,'CIR Team Info'!$C$5:$E$44,4,FALSE)</f>
        <v>#N/A</v>
      </c>
      <c r="AB246" s="161" t="b">
        <f>ISNUMBER(VLOOKUP(AJ238,Match!$T$5:$T$10,1,FALSE))</f>
        <v>0</v>
      </c>
      <c r="AC246" s="161" t="b">
        <f>IF(AB246=TRUE,(VLOOKUP($AJ238,Match!$T$5:$U$10,2,FALSE)))</f>
        <v>0</v>
      </c>
      <c r="AD246" s="8">
        <v>3</v>
      </c>
      <c r="AE246" s="8">
        <v>2</v>
      </c>
      <c r="AF246" s="8">
        <v>2</v>
      </c>
      <c r="AG246" s="8">
        <v>1</v>
      </c>
      <c r="AH246" s="8" t="str">
        <f t="shared" si="64"/>
        <v/>
      </c>
      <c r="AI246" s="12"/>
      <c r="AZ246" s="12"/>
      <c r="BC246" s="12"/>
      <c r="BK246" s="12"/>
    </row>
    <row r="247" spans="1:63" x14ac:dyDescent="0.25">
      <c r="A247" s="29">
        <f t="shared" si="49"/>
        <v>0</v>
      </c>
      <c r="B247" s="29">
        <f t="shared" si="51"/>
        <v>0</v>
      </c>
      <c r="C247" s="29">
        <f t="shared" si="52"/>
        <v>0</v>
      </c>
      <c r="D247" s="29">
        <f t="shared" si="53"/>
        <v>0</v>
      </c>
      <c r="E247" s="29">
        <f t="shared" si="50"/>
        <v>0</v>
      </c>
      <c r="F247" s="29">
        <f t="shared" si="54"/>
        <v>0</v>
      </c>
      <c r="G247" s="29" t="str">
        <f t="shared" si="55"/>
        <v>offensive</v>
      </c>
      <c r="H247" s="16">
        <f t="shared" si="56"/>
        <v>0</v>
      </c>
      <c r="I247" s="16">
        <f t="shared" si="57"/>
        <v>0</v>
      </c>
      <c r="J247" s="16">
        <f t="shared" si="58"/>
        <v>0</v>
      </c>
      <c r="K247" s="16">
        <f t="shared" si="59"/>
        <v>0</v>
      </c>
      <c r="L247" s="67">
        <f t="shared" si="60"/>
        <v>0</v>
      </c>
      <c r="M247" s="4">
        <f t="shared" si="61"/>
        <v>0</v>
      </c>
      <c r="N247" s="4">
        <f t="shared" si="62"/>
        <v>0</v>
      </c>
      <c r="O247" s="4">
        <f t="shared" si="63"/>
        <v>0</v>
      </c>
      <c r="P247" s="4" t="e">
        <f>VLOOKUP(AJ239,'CIR Team Info'!$C$5:$E$44,2,FALSE)</f>
        <v>#N/A</v>
      </c>
      <c r="Q247" s="4" t="e">
        <f>VLOOKUP(AJ239,'CIR Team Info'!$C$5:$E$44,3,FALSE)</f>
        <v>#N/A</v>
      </c>
      <c r="R247" s="10" t="e">
        <f>VLOOKUP(AJ239,'FRC Site Data'!$B$3:$L$42,2,FALSE)</f>
        <v>#N/A</v>
      </c>
      <c r="S247" s="10" t="e">
        <f>VLOOKUP(AJ239,'FRC Site Data'!$B$3:$L$42,3,FALSE)</f>
        <v>#N/A</v>
      </c>
      <c r="T247" s="10" t="e">
        <f>VLOOKUP(AJ239,'FRC Site Data'!$B$3:$L$42,4,FALSE)</f>
        <v>#N/A</v>
      </c>
      <c r="U247" s="10" t="e">
        <f>VLOOKUP(AJ239,'FRC Site Data'!$B$3:$L$42,5,FALSE)</f>
        <v>#N/A</v>
      </c>
      <c r="V247" s="10" t="e">
        <f>VLOOKUP(AJ239,'FRC Site Data'!$B$3:$L$42,6,FALSE)</f>
        <v>#N/A</v>
      </c>
      <c r="W247" s="10" t="e">
        <f>VLOOKUP(AJ239,'FRC Site Data'!$B$3:$L$42,8,FALSE)</f>
        <v>#N/A</v>
      </c>
      <c r="X247" s="10" t="e">
        <f>VLOOKUP(AJ239,'FRC Site Data'!$B$3:$L$42,9,FALSE)</f>
        <v>#N/A</v>
      </c>
      <c r="Y247" s="10" t="e">
        <f>VLOOKUP(AJ239,'FRC Site Data'!$B$3:$L$42,10,FALSE)</f>
        <v>#N/A</v>
      </c>
      <c r="Z247" s="10" t="e">
        <f>VLOOKUP(AJ239,'FRC Site Data'!$B$3:$L$42,11,FALSE)</f>
        <v>#N/A</v>
      </c>
      <c r="AA247" s="10" t="e">
        <f>VLOOKUP(AJ239,'CIR Team Info'!$C$5:$E$44,4,FALSE)</f>
        <v>#N/A</v>
      </c>
      <c r="AB247" s="161" t="b">
        <f>ISNUMBER(VLOOKUP(AJ239,Match!$T$5:$T$10,1,FALSE))</f>
        <v>0</v>
      </c>
      <c r="AC247" s="161" t="b">
        <f>IF(AB247=TRUE,(VLOOKUP($AJ239,Match!$T$5:$U$10,2,FALSE)))</f>
        <v>0</v>
      </c>
      <c r="AD247" s="8">
        <v>3</v>
      </c>
      <c r="AE247" s="8">
        <v>2</v>
      </c>
      <c r="AF247" s="8">
        <v>2</v>
      </c>
      <c r="AG247" s="8">
        <v>1</v>
      </c>
      <c r="AH247" s="8" t="str">
        <f t="shared" si="64"/>
        <v/>
      </c>
      <c r="AI247" s="12"/>
      <c r="AZ247" s="12"/>
      <c r="BC247" s="12"/>
      <c r="BK247" s="12"/>
    </row>
    <row r="248" spans="1:63" x14ac:dyDescent="0.25">
      <c r="A248" s="29">
        <f t="shared" si="49"/>
        <v>0</v>
      </c>
      <c r="B248" s="29">
        <f t="shared" si="51"/>
        <v>0</v>
      </c>
      <c r="C248" s="29">
        <f t="shared" si="52"/>
        <v>0</v>
      </c>
      <c r="D248" s="29">
        <f t="shared" si="53"/>
        <v>0</v>
      </c>
      <c r="E248" s="29">
        <f t="shared" si="50"/>
        <v>0</v>
      </c>
      <c r="F248" s="29">
        <f t="shared" si="54"/>
        <v>0</v>
      </c>
      <c r="G248" s="29" t="str">
        <f t="shared" si="55"/>
        <v>offensive</v>
      </c>
      <c r="H248" s="16">
        <f t="shared" si="56"/>
        <v>0</v>
      </c>
      <c r="I248" s="16">
        <f t="shared" si="57"/>
        <v>0</v>
      </c>
      <c r="J248" s="16">
        <f t="shared" si="58"/>
        <v>0</v>
      </c>
      <c r="K248" s="16">
        <f t="shared" si="59"/>
        <v>0</v>
      </c>
      <c r="L248" s="67">
        <f t="shared" si="60"/>
        <v>0</v>
      </c>
      <c r="M248" s="4">
        <f t="shared" si="61"/>
        <v>0</v>
      </c>
      <c r="N248" s="4">
        <f t="shared" si="62"/>
        <v>0</v>
      </c>
      <c r="O248" s="4">
        <f t="shared" si="63"/>
        <v>0</v>
      </c>
      <c r="P248" s="4" t="e">
        <f>VLOOKUP(AJ240,'CIR Team Info'!$C$5:$E$44,2,FALSE)</f>
        <v>#N/A</v>
      </c>
      <c r="Q248" s="4" t="e">
        <f>VLOOKUP(AJ240,'CIR Team Info'!$C$5:$E$44,3,FALSE)</f>
        <v>#N/A</v>
      </c>
      <c r="R248" s="10" t="e">
        <f>VLOOKUP(AJ240,'FRC Site Data'!$B$3:$L$42,2,FALSE)</f>
        <v>#N/A</v>
      </c>
      <c r="S248" s="10" t="e">
        <f>VLOOKUP(AJ240,'FRC Site Data'!$B$3:$L$42,3,FALSE)</f>
        <v>#N/A</v>
      </c>
      <c r="T248" s="10" t="e">
        <f>VLOOKUP(AJ240,'FRC Site Data'!$B$3:$L$42,4,FALSE)</f>
        <v>#N/A</v>
      </c>
      <c r="U248" s="10" t="e">
        <f>VLOOKUP(AJ240,'FRC Site Data'!$B$3:$L$42,5,FALSE)</f>
        <v>#N/A</v>
      </c>
      <c r="V248" s="10" t="e">
        <f>VLOOKUP(AJ240,'FRC Site Data'!$B$3:$L$42,6,FALSE)</f>
        <v>#N/A</v>
      </c>
      <c r="W248" s="10" t="e">
        <f>VLOOKUP(AJ240,'FRC Site Data'!$B$3:$L$42,8,FALSE)</f>
        <v>#N/A</v>
      </c>
      <c r="X248" s="10" t="e">
        <f>VLOOKUP(AJ240,'FRC Site Data'!$B$3:$L$42,9,FALSE)</f>
        <v>#N/A</v>
      </c>
      <c r="Y248" s="10" t="e">
        <f>VLOOKUP(AJ240,'FRC Site Data'!$B$3:$L$42,10,FALSE)</f>
        <v>#N/A</v>
      </c>
      <c r="Z248" s="10" t="e">
        <f>VLOOKUP(AJ240,'FRC Site Data'!$B$3:$L$42,11,FALSE)</f>
        <v>#N/A</v>
      </c>
      <c r="AA248" s="10" t="e">
        <f>VLOOKUP(AJ240,'CIR Team Info'!$C$5:$E$44,4,FALSE)</f>
        <v>#N/A</v>
      </c>
      <c r="AB248" s="161" t="b">
        <f>ISNUMBER(VLOOKUP(AJ240,Match!$T$5:$T$10,1,FALSE))</f>
        <v>0</v>
      </c>
      <c r="AC248" s="161" t="b">
        <f>IF(AB248=TRUE,(VLOOKUP($AJ240,Match!$T$5:$U$10,2,FALSE)))</f>
        <v>0</v>
      </c>
      <c r="AD248" s="8">
        <v>3</v>
      </c>
      <c r="AE248" s="8">
        <v>2</v>
      </c>
      <c r="AF248" s="8">
        <v>2</v>
      </c>
      <c r="AG248" s="8">
        <v>1</v>
      </c>
      <c r="AH248" s="8" t="str">
        <f t="shared" si="64"/>
        <v/>
      </c>
      <c r="AI248" s="12"/>
      <c r="AZ248" s="12"/>
      <c r="BC248" s="12"/>
      <c r="BK248" s="12"/>
    </row>
    <row r="249" spans="1:63" x14ac:dyDescent="0.25">
      <c r="A249" s="29">
        <f t="shared" si="49"/>
        <v>0</v>
      </c>
      <c r="B249" s="29">
        <f t="shared" si="51"/>
        <v>0</v>
      </c>
      <c r="C249" s="29">
        <f t="shared" si="52"/>
        <v>0</v>
      </c>
      <c r="D249" s="29">
        <f t="shared" si="53"/>
        <v>0</v>
      </c>
      <c r="E249" s="29">
        <f t="shared" si="50"/>
        <v>0</v>
      </c>
      <c r="F249" s="29">
        <f t="shared" si="54"/>
        <v>0</v>
      </c>
      <c r="G249" s="29" t="str">
        <f t="shared" si="55"/>
        <v>offensive</v>
      </c>
      <c r="H249" s="16">
        <f t="shared" si="56"/>
        <v>0</v>
      </c>
      <c r="I249" s="16">
        <f t="shared" si="57"/>
        <v>0</v>
      </c>
      <c r="J249" s="16">
        <f t="shared" si="58"/>
        <v>0</v>
      </c>
      <c r="K249" s="16">
        <f t="shared" si="59"/>
        <v>0</v>
      </c>
      <c r="L249" s="67">
        <f t="shared" si="60"/>
        <v>0</v>
      </c>
      <c r="M249" s="4">
        <f t="shared" si="61"/>
        <v>0</v>
      </c>
      <c r="N249" s="4">
        <f t="shared" si="62"/>
        <v>0</v>
      </c>
      <c r="O249" s="4">
        <f t="shared" si="63"/>
        <v>0</v>
      </c>
      <c r="P249" s="4" t="e">
        <f>VLOOKUP(AJ241,'CIR Team Info'!$C$5:$E$44,2,FALSE)</f>
        <v>#N/A</v>
      </c>
      <c r="Q249" s="4" t="e">
        <f>VLOOKUP(AJ241,'CIR Team Info'!$C$5:$E$44,3,FALSE)</f>
        <v>#N/A</v>
      </c>
      <c r="R249" s="10" t="e">
        <f>VLOOKUP(AJ241,'FRC Site Data'!$B$3:$L$42,2,FALSE)</f>
        <v>#N/A</v>
      </c>
      <c r="S249" s="10" t="e">
        <f>VLOOKUP(AJ241,'FRC Site Data'!$B$3:$L$42,3,FALSE)</f>
        <v>#N/A</v>
      </c>
      <c r="T249" s="10" t="e">
        <f>VLOOKUP(AJ241,'FRC Site Data'!$B$3:$L$42,4,FALSE)</f>
        <v>#N/A</v>
      </c>
      <c r="U249" s="10" t="e">
        <f>VLOOKUP(AJ241,'FRC Site Data'!$B$3:$L$42,5,FALSE)</f>
        <v>#N/A</v>
      </c>
      <c r="V249" s="10" t="e">
        <f>VLOOKUP(AJ241,'FRC Site Data'!$B$3:$L$42,6,FALSE)</f>
        <v>#N/A</v>
      </c>
      <c r="W249" s="10" t="e">
        <f>VLOOKUP(AJ241,'FRC Site Data'!$B$3:$L$42,8,FALSE)</f>
        <v>#N/A</v>
      </c>
      <c r="X249" s="10" t="e">
        <f>VLOOKUP(AJ241,'FRC Site Data'!$B$3:$L$42,9,FALSE)</f>
        <v>#N/A</v>
      </c>
      <c r="Y249" s="10" t="e">
        <f>VLOOKUP(AJ241,'FRC Site Data'!$B$3:$L$42,10,FALSE)</f>
        <v>#N/A</v>
      </c>
      <c r="Z249" s="10" t="e">
        <f>VLOOKUP(AJ241,'FRC Site Data'!$B$3:$L$42,11,FALSE)</f>
        <v>#N/A</v>
      </c>
      <c r="AA249" s="10" t="e">
        <f>VLOOKUP(AJ241,'CIR Team Info'!$C$5:$E$44,4,FALSE)</f>
        <v>#N/A</v>
      </c>
      <c r="AB249" s="161" t="b">
        <f>ISNUMBER(VLOOKUP(AJ241,Match!$T$5:$T$10,1,FALSE))</f>
        <v>0</v>
      </c>
      <c r="AC249" s="161" t="b">
        <f>IF(AB249=TRUE,(VLOOKUP($AJ241,Match!$T$5:$U$10,2,FALSE)))</f>
        <v>0</v>
      </c>
      <c r="AD249" s="8">
        <v>3</v>
      </c>
      <c r="AE249" s="8">
        <v>2</v>
      </c>
      <c r="AF249" s="8">
        <v>2</v>
      </c>
      <c r="AG249" s="8">
        <v>1</v>
      </c>
      <c r="AH249" s="8" t="str">
        <f t="shared" si="64"/>
        <v/>
      </c>
      <c r="AI249" s="12"/>
      <c r="AZ249" s="12"/>
      <c r="BC249" s="12"/>
      <c r="BK249" s="12"/>
    </row>
    <row r="250" spans="1:63" x14ac:dyDescent="0.25">
      <c r="A250" s="29">
        <f t="shared" si="49"/>
        <v>0</v>
      </c>
      <c r="B250" s="29">
        <f t="shared" si="51"/>
        <v>0</v>
      </c>
      <c r="C250" s="29">
        <f t="shared" si="52"/>
        <v>0</v>
      </c>
      <c r="D250" s="29">
        <f t="shared" si="53"/>
        <v>0</v>
      </c>
      <c r="E250" s="29">
        <f t="shared" si="50"/>
        <v>0</v>
      </c>
      <c r="F250" s="29">
        <f t="shared" si="54"/>
        <v>0</v>
      </c>
      <c r="G250" s="29" t="str">
        <f t="shared" si="55"/>
        <v>offensive</v>
      </c>
      <c r="H250" s="16">
        <f t="shared" si="56"/>
        <v>0</v>
      </c>
      <c r="I250" s="16">
        <f t="shared" si="57"/>
        <v>0</v>
      </c>
      <c r="J250" s="16">
        <f t="shared" si="58"/>
        <v>0</v>
      </c>
      <c r="K250" s="16">
        <f t="shared" si="59"/>
        <v>0</v>
      </c>
      <c r="L250" s="67">
        <f t="shared" si="60"/>
        <v>0</v>
      </c>
      <c r="M250" s="4">
        <f t="shared" si="61"/>
        <v>0</v>
      </c>
      <c r="N250" s="4">
        <f t="shared" si="62"/>
        <v>0</v>
      </c>
      <c r="O250" s="4">
        <f t="shared" si="63"/>
        <v>0</v>
      </c>
      <c r="P250" s="4" t="e">
        <f>VLOOKUP(AJ242,'CIR Team Info'!$C$5:$E$44,2,FALSE)</f>
        <v>#N/A</v>
      </c>
      <c r="Q250" s="4" t="e">
        <f>VLOOKUP(AJ242,'CIR Team Info'!$C$5:$E$44,3,FALSE)</f>
        <v>#N/A</v>
      </c>
      <c r="R250" s="10" t="e">
        <f>VLOOKUP(AJ242,'FRC Site Data'!$B$3:$L$42,2,FALSE)</f>
        <v>#N/A</v>
      </c>
      <c r="S250" s="10" t="e">
        <f>VLOOKUP(AJ242,'FRC Site Data'!$B$3:$L$42,3,FALSE)</f>
        <v>#N/A</v>
      </c>
      <c r="T250" s="10" t="e">
        <f>VLOOKUP(AJ242,'FRC Site Data'!$B$3:$L$42,4,FALSE)</f>
        <v>#N/A</v>
      </c>
      <c r="U250" s="10" t="e">
        <f>VLOOKUP(AJ242,'FRC Site Data'!$B$3:$L$42,5,FALSE)</f>
        <v>#N/A</v>
      </c>
      <c r="V250" s="10" t="e">
        <f>VLOOKUP(AJ242,'FRC Site Data'!$B$3:$L$42,6,FALSE)</f>
        <v>#N/A</v>
      </c>
      <c r="W250" s="10" t="e">
        <f>VLOOKUP(AJ242,'FRC Site Data'!$B$3:$L$42,8,FALSE)</f>
        <v>#N/A</v>
      </c>
      <c r="X250" s="10" t="e">
        <f>VLOOKUP(AJ242,'FRC Site Data'!$B$3:$L$42,9,FALSE)</f>
        <v>#N/A</v>
      </c>
      <c r="Y250" s="10" t="e">
        <f>VLOOKUP(AJ242,'FRC Site Data'!$B$3:$L$42,10,FALSE)</f>
        <v>#N/A</v>
      </c>
      <c r="Z250" s="10" t="e">
        <f>VLOOKUP(AJ242,'FRC Site Data'!$B$3:$L$42,11,FALSE)</f>
        <v>#N/A</v>
      </c>
      <c r="AA250" s="10" t="e">
        <f>VLOOKUP(AJ242,'CIR Team Info'!$C$5:$E$44,4,FALSE)</f>
        <v>#N/A</v>
      </c>
      <c r="AB250" s="161" t="b">
        <f>ISNUMBER(VLOOKUP(AJ242,Match!$T$5:$T$10,1,FALSE))</f>
        <v>0</v>
      </c>
      <c r="AC250" s="161" t="b">
        <f>IF(AB250=TRUE,(VLOOKUP($AJ242,Match!$T$5:$U$10,2,FALSE)))</f>
        <v>0</v>
      </c>
      <c r="AD250" s="8">
        <v>3</v>
      </c>
      <c r="AE250" s="8">
        <v>2</v>
      </c>
      <c r="AF250" s="8">
        <v>2</v>
      </c>
      <c r="AG250" s="8">
        <v>1</v>
      </c>
      <c r="AH250" s="8" t="str">
        <f t="shared" si="64"/>
        <v/>
      </c>
      <c r="AI250" s="12"/>
      <c r="AZ250" s="12"/>
      <c r="BC250" s="12"/>
      <c r="BK250" s="12"/>
    </row>
    <row r="251" spans="1:63" x14ac:dyDescent="0.25">
      <c r="A251" s="29">
        <f t="shared" si="49"/>
        <v>0</v>
      </c>
      <c r="B251" s="29">
        <f t="shared" si="51"/>
        <v>0</v>
      </c>
      <c r="C251" s="29">
        <f t="shared" si="52"/>
        <v>0</v>
      </c>
      <c r="D251" s="29">
        <f t="shared" si="53"/>
        <v>0</v>
      </c>
      <c r="E251" s="29">
        <f t="shared" si="50"/>
        <v>0</v>
      </c>
      <c r="F251" s="29">
        <f t="shared" si="54"/>
        <v>0</v>
      </c>
      <c r="G251" s="29" t="str">
        <f t="shared" si="55"/>
        <v>offensive</v>
      </c>
      <c r="H251" s="16">
        <f t="shared" si="56"/>
        <v>0</v>
      </c>
      <c r="I251" s="16">
        <f t="shared" si="57"/>
        <v>0</v>
      </c>
      <c r="J251" s="16">
        <f t="shared" si="58"/>
        <v>0</v>
      </c>
      <c r="K251" s="16">
        <f t="shared" si="59"/>
        <v>0</v>
      </c>
      <c r="L251" s="67">
        <f t="shared" si="60"/>
        <v>0</v>
      </c>
      <c r="M251" s="4">
        <f t="shared" si="61"/>
        <v>0</v>
      </c>
      <c r="N251" s="4">
        <f t="shared" si="62"/>
        <v>0</v>
      </c>
      <c r="O251" s="4">
        <f t="shared" si="63"/>
        <v>0</v>
      </c>
      <c r="P251" s="4" t="e">
        <f>VLOOKUP(AJ243,'CIR Team Info'!$C$5:$E$44,2,FALSE)</f>
        <v>#N/A</v>
      </c>
      <c r="Q251" s="4" t="e">
        <f>VLOOKUP(AJ243,'CIR Team Info'!$C$5:$E$44,3,FALSE)</f>
        <v>#N/A</v>
      </c>
      <c r="R251" s="10" t="e">
        <f>VLOOKUP(AJ243,'FRC Site Data'!$B$3:$L$42,2,FALSE)</f>
        <v>#N/A</v>
      </c>
      <c r="S251" s="10" t="e">
        <f>VLOOKUP(AJ243,'FRC Site Data'!$B$3:$L$42,3,FALSE)</f>
        <v>#N/A</v>
      </c>
      <c r="T251" s="10" t="e">
        <f>VLOOKUP(AJ243,'FRC Site Data'!$B$3:$L$42,4,FALSE)</f>
        <v>#N/A</v>
      </c>
      <c r="U251" s="10" t="e">
        <f>VLOOKUP(AJ243,'FRC Site Data'!$B$3:$L$42,5,FALSE)</f>
        <v>#N/A</v>
      </c>
      <c r="V251" s="10" t="e">
        <f>VLOOKUP(AJ243,'FRC Site Data'!$B$3:$L$42,6,FALSE)</f>
        <v>#N/A</v>
      </c>
      <c r="W251" s="10" t="e">
        <f>VLOOKUP(AJ243,'FRC Site Data'!$B$3:$L$42,8,FALSE)</f>
        <v>#N/A</v>
      </c>
      <c r="X251" s="10" t="e">
        <f>VLOOKUP(AJ243,'FRC Site Data'!$B$3:$L$42,9,FALSE)</f>
        <v>#N/A</v>
      </c>
      <c r="Y251" s="10" t="e">
        <f>VLOOKUP(AJ243,'FRC Site Data'!$B$3:$L$42,10,FALSE)</f>
        <v>#N/A</v>
      </c>
      <c r="Z251" s="10" t="e">
        <f>VLOOKUP(AJ243,'FRC Site Data'!$B$3:$L$42,11,FALSE)</f>
        <v>#N/A</v>
      </c>
      <c r="AA251" s="10" t="e">
        <f>VLOOKUP(AJ243,'CIR Team Info'!$C$5:$E$44,4,FALSE)</f>
        <v>#N/A</v>
      </c>
      <c r="AB251" s="161" t="b">
        <f>ISNUMBER(VLOOKUP(AJ243,Match!$T$5:$T$10,1,FALSE))</f>
        <v>0</v>
      </c>
      <c r="AC251" s="161" t="b">
        <f>IF(AB251=TRUE,(VLOOKUP($AJ243,Match!$T$5:$U$10,2,FALSE)))</f>
        <v>0</v>
      </c>
      <c r="AD251" s="8">
        <v>3</v>
      </c>
      <c r="AE251" s="8">
        <v>2</v>
      </c>
      <c r="AF251" s="8">
        <v>2</v>
      </c>
      <c r="AG251" s="8">
        <v>1</v>
      </c>
      <c r="AH251" s="8" t="str">
        <f t="shared" si="64"/>
        <v/>
      </c>
      <c r="AI251" s="12"/>
      <c r="AZ251" s="12"/>
      <c r="BC251" s="12"/>
      <c r="BK251" s="12"/>
    </row>
    <row r="252" spans="1:63" x14ac:dyDescent="0.25">
      <c r="A252" s="29">
        <f t="shared" si="49"/>
        <v>0</v>
      </c>
      <c r="B252" s="29">
        <f t="shared" si="51"/>
        <v>0</v>
      </c>
      <c r="C252" s="29">
        <f t="shared" si="52"/>
        <v>0</v>
      </c>
      <c r="D252" s="29">
        <f t="shared" si="53"/>
        <v>0</v>
      </c>
      <c r="E252" s="29">
        <f t="shared" si="50"/>
        <v>0</v>
      </c>
      <c r="F252" s="29">
        <f t="shared" si="54"/>
        <v>0</v>
      </c>
      <c r="G252" s="29" t="str">
        <f t="shared" si="55"/>
        <v>offensive</v>
      </c>
      <c r="H252" s="16">
        <f t="shared" si="56"/>
        <v>0</v>
      </c>
      <c r="I252" s="16">
        <f t="shared" si="57"/>
        <v>0</v>
      </c>
      <c r="J252" s="16">
        <f t="shared" si="58"/>
        <v>0</v>
      </c>
      <c r="K252" s="16">
        <f t="shared" si="59"/>
        <v>0</v>
      </c>
      <c r="L252" s="67">
        <f t="shared" si="60"/>
        <v>0</v>
      </c>
      <c r="M252" s="4">
        <f t="shared" si="61"/>
        <v>0</v>
      </c>
      <c r="N252" s="4">
        <f t="shared" si="62"/>
        <v>0</v>
      </c>
      <c r="O252" s="4">
        <f t="shared" si="63"/>
        <v>0</v>
      </c>
      <c r="P252" s="4" t="e">
        <f>VLOOKUP(AJ244,'CIR Team Info'!$C$5:$E$44,2,FALSE)</f>
        <v>#N/A</v>
      </c>
      <c r="Q252" s="4" t="e">
        <f>VLOOKUP(AJ244,'CIR Team Info'!$C$5:$E$44,3,FALSE)</f>
        <v>#N/A</v>
      </c>
      <c r="R252" s="10" t="e">
        <f>VLOOKUP(AJ244,'FRC Site Data'!$B$3:$L$42,2,FALSE)</f>
        <v>#N/A</v>
      </c>
      <c r="S252" s="10" t="e">
        <f>VLOOKUP(AJ244,'FRC Site Data'!$B$3:$L$42,3,FALSE)</f>
        <v>#N/A</v>
      </c>
      <c r="T252" s="10" t="e">
        <f>VLOOKUP(AJ244,'FRC Site Data'!$B$3:$L$42,4,FALSE)</f>
        <v>#N/A</v>
      </c>
      <c r="U252" s="10" t="e">
        <f>VLOOKUP(AJ244,'FRC Site Data'!$B$3:$L$42,5,FALSE)</f>
        <v>#N/A</v>
      </c>
      <c r="V252" s="10" t="e">
        <f>VLOOKUP(AJ244,'FRC Site Data'!$B$3:$L$42,6,FALSE)</f>
        <v>#N/A</v>
      </c>
      <c r="W252" s="10" t="e">
        <f>VLOOKUP(AJ244,'FRC Site Data'!$B$3:$L$42,8,FALSE)</f>
        <v>#N/A</v>
      </c>
      <c r="X252" s="10" t="e">
        <f>VLOOKUP(AJ244,'FRC Site Data'!$B$3:$L$42,9,FALSE)</f>
        <v>#N/A</v>
      </c>
      <c r="Y252" s="10" t="e">
        <f>VLOOKUP(AJ244,'FRC Site Data'!$B$3:$L$42,10,FALSE)</f>
        <v>#N/A</v>
      </c>
      <c r="Z252" s="10" t="e">
        <f>VLOOKUP(AJ244,'FRC Site Data'!$B$3:$L$42,11,FALSE)</f>
        <v>#N/A</v>
      </c>
      <c r="AA252" s="10" t="e">
        <f>VLOOKUP(AJ244,'CIR Team Info'!$C$5:$E$44,4,FALSE)</f>
        <v>#N/A</v>
      </c>
      <c r="AB252" s="161" t="b">
        <f>ISNUMBER(VLOOKUP(AJ244,Match!$T$5:$T$10,1,FALSE))</f>
        <v>0</v>
      </c>
      <c r="AC252" s="161" t="b">
        <f>IF(AB252=TRUE,(VLOOKUP($AJ244,Match!$T$5:$U$10,2,FALSE)))</f>
        <v>0</v>
      </c>
      <c r="AD252" s="8">
        <v>3</v>
      </c>
      <c r="AE252" s="8">
        <v>2</v>
      </c>
      <c r="AF252" s="8">
        <v>2</v>
      </c>
      <c r="AG252" s="8">
        <v>1</v>
      </c>
      <c r="AH252" s="8" t="str">
        <f t="shared" si="64"/>
        <v/>
      </c>
      <c r="AI252" s="12"/>
      <c r="AZ252" s="12"/>
      <c r="BC252" s="12"/>
      <c r="BK252" s="12"/>
    </row>
    <row r="253" spans="1:63" x14ac:dyDescent="0.25">
      <c r="A253" s="29">
        <f t="shared" si="49"/>
        <v>0</v>
      </c>
      <c r="B253" s="29">
        <f t="shared" si="51"/>
        <v>0</v>
      </c>
      <c r="C253" s="29">
        <f t="shared" si="52"/>
        <v>0</v>
      </c>
      <c r="D253" s="29">
        <f t="shared" si="53"/>
        <v>0</v>
      </c>
      <c r="E253" s="29">
        <f t="shared" si="50"/>
        <v>0</v>
      </c>
      <c r="F253" s="29">
        <f t="shared" si="54"/>
        <v>0</v>
      </c>
      <c r="G253" s="29" t="str">
        <f t="shared" si="55"/>
        <v>offensive</v>
      </c>
      <c r="H253" s="16">
        <f t="shared" si="56"/>
        <v>0</v>
      </c>
      <c r="I253" s="16">
        <f t="shared" si="57"/>
        <v>0</v>
      </c>
      <c r="J253" s="16">
        <f t="shared" si="58"/>
        <v>0</v>
      </c>
      <c r="K253" s="16">
        <f t="shared" si="59"/>
        <v>0</v>
      </c>
      <c r="L253" s="67">
        <f t="shared" si="60"/>
        <v>0</v>
      </c>
      <c r="M253" s="4">
        <f t="shared" si="61"/>
        <v>0</v>
      </c>
      <c r="N253" s="4">
        <f t="shared" si="62"/>
        <v>0</v>
      </c>
      <c r="O253" s="4">
        <f t="shared" si="63"/>
        <v>0</v>
      </c>
      <c r="P253" s="4" t="e">
        <f>VLOOKUP(AJ245,'CIR Team Info'!$C$5:$E$44,2,FALSE)</f>
        <v>#N/A</v>
      </c>
      <c r="Q253" s="4" t="e">
        <f>VLOOKUP(AJ245,'CIR Team Info'!$C$5:$E$44,3,FALSE)</f>
        <v>#N/A</v>
      </c>
      <c r="R253" s="10" t="e">
        <f>VLOOKUP(AJ245,'FRC Site Data'!$B$3:$L$42,2,FALSE)</f>
        <v>#N/A</v>
      </c>
      <c r="S253" s="10" t="e">
        <f>VLOOKUP(AJ245,'FRC Site Data'!$B$3:$L$42,3,FALSE)</f>
        <v>#N/A</v>
      </c>
      <c r="T253" s="10" t="e">
        <f>VLOOKUP(AJ245,'FRC Site Data'!$B$3:$L$42,4,FALSE)</f>
        <v>#N/A</v>
      </c>
      <c r="U253" s="10" t="e">
        <f>VLOOKUP(AJ245,'FRC Site Data'!$B$3:$L$42,5,FALSE)</f>
        <v>#N/A</v>
      </c>
      <c r="V253" s="10" t="e">
        <f>VLOOKUP(AJ245,'FRC Site Data'!$B$3:$L$42,6,FALSE)</f>
        <v>#N/A</v>
      </c>
      <c r="W253" s="10" t="e">
        <f>VLOOKUP(AJ245,'FRC Site Data'!$B$3:$L$42,8,FALSE)</f>
        <v>#N/A</v>
      </c>
      <c r="X253" s="10" t="e">
        <f>VLOOKUP(AJ245,'FRC Site Data'!$B$3:$L$42,9,FALSE)</f>
        <v>#N/A</v>
      </c>
      <c r="Y253" s="10" t="e">
        <f>VLOOKUP(AJ245,'FRC Site Data'!$B$3:$L$42,10,FALSE)</f>
        <v>#N/A</v>
      </c>
      <c r="Z253" s="10" t="e">
        <f>VLOOKUP(AJ245,'FRC Site Data'!$B$3:$L$42,11,FALSE)</f>
        <v>#N/A</v>
      </c>
      <c r="AA253" s="10" t="e">
        <f>VLOOKUP(AJ245,'CIR Team Info'!$C$5:$E$44,4,FALSE)</f>
        <v>#N/A</v>
      </c>
      <c r="AB253" s="161" t="b">
        <f>ISNUMBER(VLOOKUP(AJ245,Match!$T$5:$T$10,1,FALSE))</f>
        <v>0</v>
      </c>
      <c r="AC253" s="161" t="b">
        <f>IF(AB253=TRUE,(VLOOKUP($AJ245,Match!$T$5:$U$10,2,FALSE)))</f>
        <v>0</v>
      </c>
      <c r="AD253" s="8">
        <v>3</v>
      </c>
      <c r="AE253" s="8">
        <v>2</v>
      </c>
      <c r="AF253" s="8">
        <v>2</v>
      </c>
      <c r="AG253" s="8">
        <v>1</v>
      </c>
      <c r="AH253" s="8" t="str">
        <f t="shared" si="64"/>
        <v/>
      </c>
      <c r="AI253" s="12"/>
      <c r="AZ253" s="12"/>
      <c r="BC253" s="12"/>
      <c r="BK253" s="12"/>
    </row>
    <row r="254" spans="1:63" x14ac:dyDescent="0.25">
      <c r="A254" s="29">
        <f t="shared" si="49"/>
        <v>0</v>
      </c>
      <c r="B254" s="29">
        <f t="shared" si="51"/>
        <v>0</v>
      </c>
      <c r="C254" s="29">
        <f t="shared" si="52"/>
        <v>0</v>
      </c>
      <c r="D254" s="29">
        <f t="shared" si="53"/>
        <v>0</v>
      </c>
      <c r="E254" s="29">
        <f t="shared" si="50"/>
        <v>0</v>
      </c>
      <c r="F254" s="29">
        <f t="shared" si="54"/>
        <v>0</v>
      </c>
      <c r="G254" s="29" t="str">
        <f t="shared" si="55"/>
        <v>offensive</v>
      </c>
      <c r="H254" s="16">
        <f t="shared" si="56"/>
        <v>0</v>
      </c>
      <c r="I254" s="16">
        <f t="shared" si="57"/>
        <v>0</v>
      </c>
      <c r="J254" s="16">
        <f t="shared" si="58"/>
        <v>0</v>
      </c>
      <c r="K254" s="16">
        <f t="shared" si="59"/>
        <v>0</v>
      </c>
      <c r="L254" s="67">
        <f t="shared" si="60"/>
        <v>0</v>
      </c>
      <c r="M254" s="4">
        <f t="shared" si="61"/>
        <v>0</v>
      </c>
      <c r="N254" s="4">
        <f t="shared" si="62"/>
        <v>0</v>
      </c>
      <c r="O254" s="4">
        <f t="shared" si="63"/>
        <v>0</v>
      </c>
      <c r="P254" s="4" t="e">
        <f>VLOOKUP(AJ246,'CIR Team Info'!$C$5:$E$44,2,FALSE)</f>
        <v>#N/A</v>
      </c>
      <c r="Q254" s="4" t="e">
        <f>VLOOKUP(AJ246,'CIR Team Info'!$C$5:$E$44,3,FALSE)</f>
        <v>#N/A</v>
      </c>
      <c r="R254" s="10" t="e">
        <f>VLOOKUP(AJ246,'FRC Site Data'!$B$3:$L$42,2,FALSE)</f>
        <v>#N/A</v>
      </c>
      <c r="S254" s="10" t="e">
        <f>VLOOKUP(AJ246,'FRC Site Data'!$B$3:$L$42,3,FALSE)</f>
        <v>#N/A</v>
      </c>
      <c r="T254" s="10" t="e">
        <f>VLOOKUP(AJ246,'FRC Site Data'!$B$3:$L$42,4,FALSE)</f>
        <v>#N/A</v>
      </c>
      <c r="U254" s="10" t="e">
        <f>VLOOKUP(AJ246,'FRC Site Data'!$B$3:$L$42,5,FALSE)</f>
        <v>#N/A</v>
      </c>
      <c r="V254" s="10" t="e">
        <f>VLOOKUP(AJ246,'FRC Site Data'!$B$3:$L$42,6,FALSE)</f>
        <v>#N/A</v>
      </c>
      <c r="W254" s="10" t="e">
        <f>VLOOKUP(AJ246,'FRC Site Data'!$B$3:$L$42,8,FALSE)</f>
        <v>#N/A</v>
      </c>
      <c r="X254" s="10" t="e">
        <f>VLOOKUP(AJ246,'FRC Site Data'!$B$3:$L$42,9,FALSE)</f>
        <v>#N/A</v>
      </c>
      <c r="Y254" s="10" t="e">
        <f>VLOOKUP(AJ246,'FRC Site Data'!$B$3:$L$42,10,FALSE)</f>
        <v>#N/A</v>
      </c>
      <c r="Z254" s="10" t="e">
        <f>VLOOKUP(AJ246,'FRC Site Data'!$B$3:$L$42,11,FALSE)</f>
        <v>#N/A</v>
      </c>
      <c r="AA254" s="10" t="e">
        <f>VLOOKUP(AJ246,'CIR Team Info'!$C$5:$E$44,4,FALSE)</f>
        <v>#N/A</v>
      </c>
      <c r="AB254" s="161" t="b">
        <f>ISNUMBER(VLOOKUP(AJ246,Match!$T$5:$T$10,1,FALSE))</f>
        <v>0</v>
      </c>
      <c r="AC254" s="161" t="b">
        <f>IF(AB254=TRUE,(VLOOKUP($AJ246,Match!$T$5:$U$10,2,FALSE)))</f>
        <v>0</v>
      </c>
      <c r="AD254" s="8">
        <v>3</v>
      </c>
      <c r="AE254" s="8">
        <v>2</v>
      </c>
      <c r="AF254" s="8">
        <v>2</v>
      </c>
      <c r="AG254" s="8">
        <v>1</v>
      </c>
      <c r="AH254" s="8" t="str">
        <f t="shared" si="64"/>
        <v/>
      </c>
      <c r="AI254" s="12"/>
      <c r="AZ254" s="12"/>
      <c r="BC254" s="12"/>
      <c r="BK254" s="12"/>
    </row>
    <row r="255" spans="1:63" x14ac:dyDescent="0.25">
      <c r="A255" s="29">
        <f t="shared" si="49"/>
        <v>0</v>
      </c>
      <c r="B255" s="29">
        <f t="shared" si="51"/>
        <v>0</v>
      </c>
      <c r="C255" s="29">
        <f t="shared" si="52"/>
        <v>0</v>
      </c>
      <c r="D255" s="29">
        <f t="shared" si="53"/>
        <v>0</v>
      </c>
      <c r="E255" s="29">
        <f t="shared" si="50"/>
        <v>0</v>
      </c>
      <c r="F255" s="29">
        <f t="shared" si="54"/>
        <v>0</v>
      </c>
      <c r="G255" s="29" t="str">
        <f t="shared" si="55"/>
        <v>offensive</v>
      </c>
      <c r="H255" s="16">
        <f t="shared" si="56"/>
        <v>0</v>
      </c>
      <c r="I255" s="16">
        <f t="shared" si="57"/>
        <v>0</v>
      </c>
      <c r="J255" s="16">
        <f t="shared" si="58"/>
        <v>0</v>
      </c>
      <c r="K255" s="16">
        <f t="shared" si="59"/>
        <v>0</v>
      </c>
      <c r="L255" s="67">
        <f t="shared" si="60"/>
        <v>0</v>
      </c>
      <c r="M255" s="4">
        <f t="shared" si="61"/>
        <v>0</v>
      </c>
      <c r="N255" s="4">
        <f t="shared" si="62"/>
        <v>0</v>
      </c>
      <c r="O255" s="4">
        <f t="shared" si="63"/>
        <v>0</v>
      </c>
      <c r="P255" s="4" t="e">
        <f>VLOOKUP(AJ247,'CIR Team Info'!$C$5:$E$44,2,FALSE)</f>
        <v>#N/A</v>
      </c>
      <c r="Q255" s="4" t="e">
        <f>VLOOKUP(AJ247,'CIR Team Info'!$C$5:$E$44,3,FALSE)</f>
        <v>#N/A</v>
      </c>
      <c r="R255" s="10" t="e">
        <f>VLOOKUP(AJ247,'FRC Site Data'!$B$3:$L$42,2,FALSE)</f>
        <v>#N/A</v>
      </c>
      <c r="S255" s="10" t="e">
        <f>VLOOKUP(AJ247,'FRC Site Data'!$B$3:$L$42,3,FALSE)</f>
        <v>#N/A</v>
      </c>
      <c r="T255" s="10" t="e">
        <f>VLOOKUP(AJ247,'FRC Site Data'!$B$3:$L$42,4,FALSE)</f>
        <v>#N/A</v>
      </c>
      <c r="U255" s="10" t="e">
        <f>VLOOKUP(AJ247,'FRC Site Data'!$B$3:$L$42,5,FALSE)</f>
        <v>#N/A</v>
      </c>
      <c r="V255" s="10" t="e">
        <f>VLOOKUP(AJ247,'FRC Site Data'!$B$3:$L$42,6,FALSE)</f>
        <v>#N/A</v>
      </c>
      <c r="W255" s="10" t="e">
        <f>VLOOKUP(AJ247,'FRC Site Data'!$B$3:$L$42,8,FALSE)</f>
        <v>#N/A</v>
      </c>
      <c r="X255" s="10" t="e">
        <f>VLOOKUP(AJ247,'FRC Site Data'!$B$3:$L$42,9,FALSE)</f>
        <v>#N/A</v>
      </c>
      <c r="Y255" s="10" t="e">
        <f>VLOOKUP(AJ247,'FRC Site Data'!$B$3:$L$42,10,FALSE)</f>
        <v>#N/A</v>
      </c>
      <c r="Z255" s="10" t="e">
        <f>VLOOKUP(AJ247,'FRC Site Data'!$B$3:$L$42,11,FALSE)</f>
        <v>#N/A</v>
      </c>
      <c r="AA255" s="10" t="e">
        <f>VLOOKUP(AJ247,'CIR Team Info'!$C$5:$E$44,4,FALSE)</f>
        <v>#N/A</v>
      </c>
      <c r="AB255" s="161" t="b">
        <f>ISNUMBER(VLOOKUP(AJ247,Match!$T$5:$T$10,1,FALSE))</f>
        <v>0</v>
      </c>
      <c r="AC255" s="161" t="b">
        <f>IF(AB255=TRUE,(VLOOKUP($AJ247,Match!$T$5:$U$10,2,FALSE)))</f>
        <v>0</v>
      </c>
      <c r="AD255" s="8">
        <v>3</v>
      </c>
      <c r="AE255" s="8">
        <v>2</v>
      </c>
      <c r="AF255" s="8">
        <v>2</v>
      </c>
      <c r="AG255" s="8">
        <v>1</v>
      </c>
      <c r="AH255" s="8" t="str">
        <f t="shared" si="64"/>
        <v/>
      </c>
      <c r="AI255" s="12"/>
      <c r="AZ255" s="12"/>
      <c r="BC255" s="12"/>
      <c r="BK255" s="12"/>
    </row>
    <row r="256" spans="1:63" x14ac:dyDescent="0.25">
      <c r="A256" s="29">
        <f t="shared" ref="A256:A294" si="65">SUM(B256:F256)</f>
        <v>0</v>
      </c>
      <c r="B256" s="29">
        <f t="shared" si="51"/>
        <v>0</v>
      </c>
      <c r="C256" s="29">
        <f t="shared" si="52"/>
        <v>0</v>
      </c>
      <c r="D256" s="29">
        <f t="shared" si="53"/>
        <v>0</v>
      </c>
      <c r="E256" s="29">
        <f t="shared" si="50"/>
        <v>0</v>
      </c>
      <c r="F256" s="29">
        <f t="shared" si="54"/>
        <v>0</v>
      </c>
      <c r="G256" s="29" t="str">
        <f t="shared" si="55"/>
        <v>offensive</v>
      </c>
      <c r="H256" s="16">
        <f t="shared" si="56"/>
        <v>0</v>
      </c>
      <c r="I256" s="16">
        <f t="shared" si="57"/>
        <v>0</v>
      </c>
      <c r="J256" s="16">
        <f t="shared" si="58"/>
        <v>0</v>
      </c>
      <c r="K256" s="16">
        <f t="shared" si="59"/>
        <v>0</v>
      </c>
      <c r="L256" s="67">
        <f t="shared" si="60"/>
        <v>0</v>
      </c>
      <c r="M256" s="4">
        <f t="shared" si="61"/>
        <v>0</v>
      </c>
      <c r="N256" s="4">
        <f t="shared" si="62"/>
        <v>0</v>
      </c>
      <c r="O256" s="4">
        <f t="shared" si="63"/>
        <v>0</v>
      </c>
      <c r="P256" s="4" t="e">
        <f>VLOOKUP(AJ248,'CIR Team Info'!$C$5:$E$44,2,FALSE)</f>
        <v>#N/A</v>
      </c>
      <c r="Q256" s="4" t="e">
        <f>VLOOKUP(AJ248,'CIR Team Info'!$C$5:$E$44,3,FALSE)</f>
        <v>#N/A</v>
      </c>
      <c r="R256" s="10" t="e">
        <f>VLOOKUP(AJ248,'FRC Site Data'!$B$3:$L$42,2,FALSE)</f>
        <v>#N/A</v>
      </c>
      <c r="S256" s="10" t="e">
        <f>VLOOKUP(AJ248,'FRC Site Data'!$B$3:$L$42,3,FALSE)</f>
        <v>#N/A</v>
      </c>
      <c r="T256" s="10" t="e">
        <f>VLOOKUP(AJ248,'FRC Site Data'!$B$3:$L$42,4,FALSE)</f>
        <v>#N/A</v>
      </c>
      <c r="U256" s="10" t="e">
        <f>VLOOKUP(AJ248,'FRC Site Data'!$B$3:$L$42,5,FALSE)</f>
        <v>#N/A</v>
      </c>
      <c r="V256" s="10" t="e">
        <f>VLOOKUP(AJ248,'FRC Site Data'!$B$3:$L$42,6,FALSE)</f>
        <v>#N/A</v>
      </c>
      <c r="W256" s="10" t="e">
        <f>VLOOKUP(AJ248,'FRC Site Data'!$B$3:$L$42,8,FALSE)</f>
        <v>#N/A</v>
      </c>
      <c r="X256" s="10" t="e">
        <f>VLOOKUP(AJ248,'FRC Site Data'!$B$3:$L$42,9,FALSE)</f>
        <v>#N/A</v>
      </c>
      <c r="Y256" s="10" t="e">
        <f>VLOOKUP(AJ248,'FRC Site Data'!$B$3:$L$42,10,FALSE)</f>
        <v>#N/A</v>
      </c>
      <c r="Z256" s="10" t="e">
        <f>VLOOKUP(AJ248,'FRC Site Data'!$B$3:$L$42,11,FALSE)</f>
        <v>#N/A</v>
      </c>
      <c r="AA256" s="10" t="e">
        <f>VLOOKUP(AJ248,'CIR Team Info'!$C$5:$E$44,4,FALSE)</f>
        <v>#N/A</v>
      </c>
      <c r="AB256" s="161" t="b">
        <f>ISNUMBER(VLOOKUP(AJ248,Match!$T$5:$T$10,1,FALSE))</f>
        <v>0</v>
      </c>
      <c r="AC256" s="161" t="b">
        <f>IF(AB256=TRUE,(VLOOKUP($AJ248,Match!$T$5:$U$10,2,FALSE)))</f>
        <v>0</v>
      </c>
      <c r="AD256" s="8">
        <v>3</v>
      </c>
      <c r="AE256" s="8">
        <v>2</v>
      </c>
      <c r="AF256" s="8">
        <v>2</v>
      </c>
      <c r="AG256" s="8">
        <v>1</v>
      </c>
      <c r="AH256" s="8" t="str">
        <f t="shared" si="64"/>
        <v/>
      </c>
      <c r="AI256" s="12"/>
      <c r="AZ256" s="12"/>
      <c r="BC256" s="12"/>
      <c r="BK256" s="12"/>
    </row>
    <row r="257" spans="1:63" x14ac:dyDescent="0.25">
      <c r="A257" s="29">
        <f t="shared" si="65"/>
        <v>0</v>
      </c>
      <c r="B257" s="29">
        <f t="shared" si="51"/>
        <v>0</v>
      </c>
      <c r="C257" s="29">
        <f t="shared" si="52"/>
        <v>0</v>
      </c>
      <c r="D257" s="29">
        <f t="shared" si="53"/>
        <v>0</v>
      </c>
      <c r="E257" s="29">
        <f t="shared" ref="E257:E320" si="66">K257*O257</f>
        <v>0</v>
      </c>
      <c r="F257" s="29">
        <f t="shared" si="54"/>
        <v>0</v>
      </c>
      <c r="G257" s="29" t="str">
        <f t="shared" si="55"/>
        <v>offensive</v>
      </c>
      <c r="H257" s="16">
        <f t="shared" si="56"/>
        <v>0</v>
      </c>
      <c r="I257" s="16">
        <f t="shared" si="57"/>
        <v>0</v>
      </c>
      <c r="J257" s="16">
        <f t="shared" si="58"/>
        <v>0</v>
      </c>
      <c r="K257" s="16">
        <f t="shared" si="59"/>
        <v>0</v>
      </c>
      <c r="L257" s="67">
        <f t="shared" si="60"/>
        <v>0</v>
      </c>
      <c r="M257" s="4">
        <f t="shared" si="61"/>
        <v>0</v>
      </c>
      <c r="N257" s="4">
        <f t="shared" si="62"/>
        <v>0</v>
      </c>
      <c r="O257" s="4">
        <f t="shared" si="63"/>
        <v>0</v>
      </c>
      <c r="P257" s="4" t="e">
        <f>VLOOKUP(AJ249,'CIR Team Info'!$C$5:$E$44,2,FALSE)</f>
        <v>#N/A</v>
      </c>
      <c r="Q257" s="4" t="e">
        <f>VLOOKUP(AJ249,'CIR Team Info'!$C$5:$E$44,3,FALSE)</f>
        <v>#N/A</v>
      </c>
      <c r="R257" s="10" t="e">
        <f>VLOOKUP(AJ249,'FRC Site Data'!$B$3:$L$42,2,FALSE)</f>
        <v>#N/A</v>
      </c>
      <c r="S257" s="10" t="e">
        <f>VLOOKUP(AJ249,'FRC Site Data'!$B$3:$L$42,3,FALSE)</f>
        <v>#N/A</v>
      </c>
      <c r="T257" s="10" t="e">
        <f>VLOOKUP(AJ249,'FRC Site Data'!$B$3:$L$42,4,FALSE)</f>
        <v>#N/A</v>
      </c>
      <c r="U257" s="10" t="e">
        <f>VLOOKUP(AJ249,'FRC Site Data'!$B$3:$L$42,5,FALSE)</f>
        <v>#N/A</v>
      </c>
      <c r="V257" s="10" t="e">
        <f>VLOOKUP(AJ249,'FRC Site Data'!$B$3:$L$42,6,FALSE)</f>
        <v>#N/A</v>
      </c>
      <c r="W257" s="10" t="e">
        <f>VLOOKUP(AJ249,'FRC Site Data'!$B$3:$L$42,8,FALSE)</f>
        <v>#N/A</v>
      </c>
      <c r="X257" s="10" t="e">
        <f>VLOOKUP(AJ249,'FRC Site Data'!$B$3:$L$42,9,FALSE)</f>
        <v>#N/A</v>
      </c>
      <c r="Y257" s="10" t="e">
        <f>VLOOKUP(AJ249,'FRC Site Data'!$B$3:$L$42,10,FALSE)</f>
        <v>#N/A</v>
      </c>
      <c r="Z257" s="10" t="e">
        <f>VLOOKUP(AJ249,'FRC Site Data'!$B$3:$L$42,11,FALSE)</f>
        <v>#N/A</v>
      </c>
      <c r="AA257" s="10" t="e">
        <f>VLOOKUP(AJ249,'CIR Team Info'!$C$5:$E$44,4,FALSE)</f>
        <v>#N/A</v>
      </c>
      <c r="AB257" s="161" t="b">
        <f>ISNUMBER(VLOOKUP(AJ249,Match!$T$5:$T$10,1,FALSE))</f>
        <v>0</v>
      </c>
      <c r="AC257" s="161" t="b">
        <f>IF(AB257=TRUE,(VLOOKUP($AJ249,Match!$T$5:$U$10,2,FALSE)))</f>
        <v>0</v>
      </c>
      <c r="AD257" s="8">
        <v>3</v>
      </c>
      <c r="AE257" s="8">
        <v>2</v>
      </c>
      <c r="AF257" s="8">
        <v>2</v>
      </c>
      <c r="AG257" s="8">
        <v>1</v>
      </c>
      <c r="AH257" s="8" t="str">
        <f t="shared" si="64"/>
        <v/>
      </c>
      <c r="AI257" s="12"/>
      <c r="AZ257" s="12"/>
      <c r="BC257" s="12"/>
      <c r="BK257" s="12"/>
    </row>
    <row r="258" spans="1:63" x14ac:dyDescent="0.25">
      <c r="A258" s="29">
        <f t="shared" si="65"/>
        <v>0</v>
      </c>
      <c r="B258" s="29">
        <f t="shared" si="51"/>
        <v>0</v>
      </c>
      <c r="C258" s="29">
        <f t="shared" si="52"/>
        <v>0</v>
      </c>
      <c r="D258" s="29">
        <f t="shared" si="53"/>
        <v>0</v>
      </c>
      <c r="E258" s="29">
        <f t="shared" si="66"/>
        <v>0</v>
      </c>
      <c r="F258" s="29">
        <f t="shared" si="54"/>
        <v>0</v>
      </c>
      <c r="G258" s="29" t="str">
        <f t="shared" si="55"/>
        <v>offensive</v>
      </c>
      <c r="H258" s="16">
        <f t="shared" si="56"/>
        <v>0</v>
      </c>
      <c r="I258" s="16">
        <f t="shared" si="57"/>
        <v>0</v>
      </c>
      <c r="J258" s="16">
        <f t="shared" si="58"/>
        <v>0</v>
      </c>
      <c r="K258" s="16">
        <f t="shared" si="59"/>
        <v>0</v>
      </c>
      <c r="L258" s="67">
        <f t="shared" si="60"/>
        <v>0</v>
      </c>
      <c r="M258" s="4">
        <f t="shared" si="61"/>
        <v>0</v>
      </c>
      <c r="N258" s="4">
        <f t="shared" si="62"/>
        <v>0</v>
      </c>
      <c r="O258" s="4">
        <f t="shared" si="63"/>
        <v>0</v>
      </c>
      <c r="P258" s="4" t="e">
        <f>VLOOKUP(AJ250,'CIR Team Info'!$C$5:$E$44,2,FALSE)</f>
        <v>#N/A</v>
      </c>
      <c r="Q258" s="4" t="e">
        <f>VLOOKUP(AJ250,'CIR Team Info'!$C$5:$E$44,3,FALSE)</f>
        <v>#N/A</v>
      </c>
      <c r="R258" s="10" t="e">
        <f>VLOOKUP(AJ250,'FRC Site Data'!$B$3:$L$42,2,FALSE)</f>
        <v>#N/A</v>
      </c>
      <c r="S258" s="10" t="e">
        <f>VLOOKUP(AJ250,'FRC Site Data'!$B$3:$L$42,3,FALSE)</f>
        <v>#N/A</v>
      </c>
      <c r="T258" s="10" t="e">
        <f>VLOOKUP(AJ250,'FRC Site Data'!$B$3:$L$42,4,FALSE)</f>
        <v>#N/A</v>
      </c>
      <c r="U258" s="10" t="e">
        <f>VLOOKUP(AJ250,'FRC Site Data'!$B$3:$L$42,5,FALSE)</f>
        <v>#N/A</v>
      </c>
      <c r="V258" s="10" t="e">
        <f>VLOOKUP(AJ250,'FRC Site Data'!$B$3:$L$42,6,FALSE)</f>
        <v>#N/A</v>
      </c>
      <c r="W258" s="10" t="e">
        <f>VLOOKUP(AJ250,'FRC Site Data'!$B$3:$L$42,8,FALSE)</f>
        <v>#N/A</v>
      </c>
      <c r="X258" s="10" t="e">
        <f>VLOOKUP(AJ250,'FRC Site Data'!$B$3:$L$42,9,FALSE)</f>
        <v>#N/A</v>
      </c>
      <c r="Y258" s="10" t="e">
        <f>VLOOKUP(AJ250,'FRC Site Data'!$B$3:$L$42,10,FALSE)</f>
        <v>#N/A</v>
      </c>
      <c r="Z258" s="10" t="e">
        <f>VLOOKUP(AJ250,'FRC Site Data'!$B$3:$L$42,11,FALSE)</f>
        <v>#N/A</v>
      </c>
      <c r="AA258" s="10" t="e">
        <f>VLOOKUP(AJ250,'CIR Team Info'!$C$5:$E$44,4,FALSE)</f>
        <v>#N/A</v>
      </c>
      <c r="AB258" s="161" t="b">
        <f>ISNUMBER(VLOOKUP(AJ250,Match!$T$5:$T$10,1,FALSE))</f>
        <v>0</v>
      </c>
      <c r="AC258" s="161" t="b">
        <f>IF(AB258=TRUE,(VLOOKUP($AJ250,Match!$T$5:$U$10,2,FALSE)))</f>
        <v>0</v>
      </c>
      <c r="AD258" s="8">
        <v>3</v>
      </c>
      <c r="AE258" s="8">
        <v>2</v>
      </c>
      <c r="AF258" s="8">
        <v>2</v>
      </c>
      <c r="AG258" s="8">
        <v>1</v>
      </c>
      <c r="AH258" s="8" t="str">
        <f t="shared" si="64"/>
        <v/>
      </c>
      <c r="AI258" s="12"/>
      <c r="AZ258" s="12"/>
      <c r="BC258" s="12"/>
      <c r="BK258" s="12"/>
    </row>
    <row r="259" spans="1:63" x14ac:dyDescent="0.25">
      <c r="A259" s="29">
        <f t="shared" si="65"/>
        <v>0</v>
      </c>
      <c r="B259" s="29">
        <f t="shared" si="51"/>
        <v>0</v>
      </c>
      <c r="C259" s="29">
        <f t="shared" si="52"/>
        <v>0</v>
      </c>
      <c r="D259" s="29">
        <f t="shared" si="53"/>
        <v>0</v>
      </c>
      <c r="E259" s="29">
        <f t="shared" si="66"/>
        <v>0</v>
      </c>
      <c r="F259" s="29">
        <f t="shared" si="54"/>
        <v>0</v>
      </c>
      <c r="G259" s="29" t="str">
        <f t="shared" si="55"/>
        <v>offensive</v>
      </c>
      <c r="H259" s="16">
        <f t="shared" si="56"/>
        <v>0</v>
      </c>
      <c r="I259" s="16">
        <f t="shared" si="57"/>
        <v>0</v>
      </c>
      <c r="J259" s="16">
        <f t="shared" si="58"/>
        <v>0</v>
      </c>
      <c r="K259" s="16">
        <f t="shared" si="59"/>
        <v>0</v>
      </c>
      <c r="L259" s="67">
        <f t="shared" si="60"/>
        <v>0</v>
      </c>
      <c r="M259" s="4">
        <f t="shared" si="61"/>
        <v>0</v>
      </c>
      <c r="N259" s="4">
        <f t="shared" si="62"/>
        <v>0</v>
      </c>
      <c r="O259" s="4">
        <f t="shared" si="63"/>
        <v>0</v>
      </c>
      <c r="P259" s="4" t="e">
        <f>VLOOKUP(AJ251,'CIR Team Info'!$C$5:$E$44,2,FALSE)</f>
        <v>#N/A</v>
      </c>
      <c r="Q259" s="4" t="e">
        <f>VLOOKUP(AJ251,'CIR Team Info'!$C$5:$E$44,3,FALSE)</f>
        <v>#N/A</v>
      </c>
      <c r="R259" s="10" t="e">
        <f>VLOOKUP(AJ251,'FRC Site Data'!$B$3:$L$42,2,FALSE)</f>
        <v>#N/A</v>
      </c>
      <c r="S259" s="10" t="e">
        <f>VLOOKUP(AJ251,'FRC Site Data'!$B$3:$L$42,3,FALSE)</f>
        <v>#N/A</v>
      </c>
      <c r="T259" s="10" t="e">
        <f>VLOOKUP(AJ251,'FRC Site Data'!$B$3:$L$42,4,FALSE)</f>
        <v>#N/A</v>
      </c>
      <c r="U259" s="10" t="e">
        <f>VLOOKUP(AJ251,'FRC Site Data'!$B$3:$L$42,5,FALSE)</f>
        <v>#N/A</v>
      </c>
      <c r="V259" s="10" t="e">
        <f>VLOOKUP(AJ251,'FRC Site Data'!$B$3:$L$42,6,FALSE)</f>
        <v>#N/A</v>
      </c>
      <c r="W259" s="10" t="e">
        <f>VLOOKUP(AJ251,'FRC Site Data'!$B$3:$L$42,8,FALSE)</f>
        <v>#N/A</v>
      </c>
      <c r="X259" s="10" t="e">
        <f>VLOOKUP(AJ251,'FRC Site Data'!$B$3:$L$42,9,FALSE)</f>
        <v>#N/A</v>
      </c>
      <c r="Y259" s="10" t="e">
        <f>VLOOKUP(AJ251,'FRC Site Data'!$B$3:$L$42,10,FALSE)</f>
        <v>#N/A</v>
      </c>
      <c r="Z259" s="10" t="e">
        <f>VLOOKUP(AJ251,'FRC Site Data'!$B$3:$L$42,11,FALSE)</f>
        <v>#N/A</v>
      </c>
      <c r="AA259" s="10" t="e">
        <f>VLOOKUP(AJ251,'CIR Team Info'!$C$5:$E$44,4,FALSE)</f>
        <v>#N/A</v>
      </c>
      <c r="AB259" s="161" t="b">
        <f>ISNUMBER(VLOOKUP(AJ251,Match!$T$5:$T$10,1,FALSE))</f>
        <v>0</v>
      </c>
      <c r="AC259" s="161" t="b">
        <f>IF(AB259=TRUE,(VLOOKUP($AJ251,Match!$T$5:$U$10,2,FALSE)))</f>
        <v>0</v>
      </c>
      <c r="AD259" s="8">
        <v>3</v>
      </c>
      <c r="AE259" s="8">
        <v>2</v>
      </c>
      <c r="AF259" s="8">
        <v>2</v>
      </c>
      <c r="AG259" s="8">
        <v>1</v>
      </c>
      <c r="AH259" s="8" t="str">
        <f t="shared" si="64"/>
        <v/>
      </c>
      <c r="AI259" s="12"/>
      <c r="AZ259" s="12"/>
      <c r="BC259" s="12"/>
      <c r="BK259" s="12"/>
    </row>
    <row r="260" spans="1:63" x14ac:dyDescent="0.25">
      <c r="A260" s="29">
        <f t="shared" si="65"/>
        <v>0</v>
      </c>
      <c r="B260" s="29">
        <f t="shared" si="51"/>
        <v>0</v>
      </c>
      <c r="C260" s="29">
        <f t="shared" si="52"/>
        <v>0</v>
      </c>
      <c r="D260" s="29">
        <f t="shared" si="53"/>
        <v>0</v>
      </c>
      <c r="E260" s="29">
        <f t="shared" si="66"/>
        <v>0</v>
      </c>
      <c r="F260" s="29">
        <f t="shared" si="54"/>
        <v>0</v>
      </c>
      <c r="G260" s="29" t="str">
        <f t="shared" si="55"/>
        <v>offensive</v>
      </c>
      <c r="H260" s="16">
        <f t="shared" si="56"/>
        <v>0</v>
      </c>
      <c r="I260" s="16">
        <f t="shared" si="57"/>
        <v>0</v>
      </c>
      <c r="J260" s="16">
        <f t="shared" si="58"/>
        <v>0</v>
      </c>
      <c r="K260" s="16">
        <f t="shared" si="59"/>
        <v>0</v>
      </c>
      <c r="L260" s="67">
        <f t="shared" si="60"/>
        <v>0</v>
      </c>
      <c r="M260" s="4">
        <f t="shared" si="61"/>
        <v>0</v>
      </c>
      <c r="N260" s="4">
        <f t="shared" si="62"/>
        <v>0</v>
      </c>
      <c r="O260" s="4">
        <f t="shared" si="63"/>
        <v>0</v>
      </c>
      <c r="P260" s="4" t="e">
        <f>VLOOKUP(AJ252,'CIR Team Info'!$C$5:$E$44,2,FALSE)</f>
        <v>#N/A</v>
      </c>
      <c r="Q260" s="4" t="e">
        <f>VLOOKUP(AJ252,'CIR Team Info'!$C$5:$E$44,3,FALSE)</f>
        <v>#N/A</v>
      </c>
      <c r="R260" s="10" t="e">
        <f>VLOOKUP(AJ252,'FRC Site Data'!$B$3:$L$42,2,FALSE)</f>
        <v>#N/A</v>
      </c>
      <c r="S260" s="10" t="e">
        <f>VLOOKUP(AJ252,'FRC Site Data'!$B$3:$L$42,3,FALSE)</f>
        <v>#N/A</v>
      </c>
      <c r="T260" s="10" t="e">
        <f>VLOOKUP(AJ252,'FRC Site Data'!$B$3:$L$42,4,FALSE)</f>
        <v>#N/A</v>
      </c>
      <c r="U260" s="10" t="e">
        <f>VLOOKUP(AJ252,'FRC Site Data'!$B$3:$L$42,5,FALSE)</f>
        <v>#N/A</v>
      </c>
      <c r="V260" s="10" t="e">
        <f>VLOOKUP(AJ252,'FRC Site Data'!$B$3:$L$42,6,FALSE)</f>
        <v>#N/A</v>
      </c>
      <c r="W260" s="10" t="e">
        <f>VLOOKUP(AJ252,'FRC Site Data'!$B$3:$L$42,8,FALSE)</f>
        <v>#N/A</v>
      </c>
      <c r="X260" s="10" t="e">
        <f>VLOOKUP(AJ252,'FRC Site Data'!$B$3:$L$42,9,FALSE)</f>
        <v>#N/A</v>
      </c>
      <c r="Y260" s="10" t="e">
        <f>VLOOKUP(AJ252,'FRC Site Data'!$B$3:$L$42,10,FALSE)</f>
        <v>#N/A</v>
      </c>
      <c r="Z260" s="10" t="e">
        <f>VLOOKUP(AJ252,'FRC Site Data'!$B$3:$L$42,11,FALSE)</f>
        <v>#N/A</v>
      </c>
      <c r="AA260" s="10" t="e">
        <f>VLOOKUP(AJ252,'CIR Team Info'!$C$5:$E$44,4,FALSE)</f>
        <v>#N/A</v>
      </c>
      <c r="AB260" s="161" t="b">
        <f>ISNUMBER(VLOOKUP(AJ252,Match!$T$5:$T$10,1,FALSE))</f>
        <v>0</v>
      </c>
      <c r="AC260" s="161" t="b">
        <f>IF(AB260=TRUE,(VLOOKUP($AJ252,Match!$T$5:$U$10,2,FALSE)))</f>
        <v>0</v>
      </c>
      <c r="AD260" s="8">
        <v>3</v>
      </c>
      <c r="AE260" s="8">
        <v>2</v>
      </c>
      <c r="AF260" s="8">
        <v>2</v>
      </c>
      <c r="AG260" s="8">
        <v>1</v>
      </c>
      <c r="AH260" s="8" t="str">
        <f t="shared" si="64"/>
        <v/>
      </c>
      <c r="AI260" s="12"/>
      <c r="AZ260" s="12"/>
      <c r="BC260" s="12"/>
      <c r="BK260" s="12"/>
    </row>
    <row r="261" spans="1:63" x14ac:dyDescent="0.25">
      <c r="A261" s="29">
        <f t="shared" si="65"/>
        <v>0</v>
      </c>
      <c r="B261" s="29">
        <f t="shared" si="51"/>
        <v>0</v>
      </c>
      <c r="C261" s="29">
        <f t="shared" si="52"/>
        <v>0</v>
      </c>
      <c r="D261" s="29">
        <f t="shared" si="53"/>
        <v>0</v>
      </c>
      <c r="E261" s="29">
        <f t="shared" si="66"/>
        <v>0</v>
      </c>
      <c r="F261" s="29">
        <f t="shared" si="54"/>
        <v>0</v>
      </c>
      <c r="G261" s="29" t="str">
        <f t="shared" si="55"/>
        <v>offensive</v>
      </c>
      <c r="H261" s="16">
        <f t="shared" si="56"/>
        <v>0</v>
      </c>
      <c r="I261" s="16">
        <f t="shared" si="57"/>
        <v>0</v>
      </c>
      <c r="J261" s="16">
        <f t="shared" si="58"/>
        <v>0</v>
      </c>
      <c r="K261" s="16">
        <f t="shared" si="59"/>
        <v>0</v>
      </c>
      <c r="L261" s="67">
        <f t="shared" si="60"/>
        <v>0</v>
      </c>
      <c r="M261" s="4">
        <f t="shared" si="61"/>
        <v>0</v>
      </c>
      <c r="N261" s="4">
        <f t="shared" si="62"/>
        <v>0</v>
      </c>
      <c r="O261" s="4">
        <f t="shared" si="63"/>
        <v>0</v>
      </c>
      <c r="P261" s="4" t="e">
        <f>VLOOKUP(AJ253,'CIR Team Info'!$C$5:$E$44,2,FALSE)</f>
        <v>#N/A</v>
      </c>
      <c r="Q261" s="4" t="e">
        <f>VLOOKUP(AJ253,'CIR Team Info'!$C$5:$E$44,3,FALSE)</f>
        <v>#N/A</v>
      </c>
      <c r="R261" s="10" t="e">
        <f>VLOOKUP(AJ253,'FRC Site Data'!$B$3:$L$42,2,FALSE)</f>
        <v>#N/A</v>
      </c>
      <c r="S261" s="10" t="e">
        <f>VLOOKUP(AJ253,'FRC Site Data'!$B$3:$L$42,3,FALSE)</f>
        <v>#N/A</v>
      </c>
      <c r="T261" s="10" t="e">
        <f>VLOOKUP(AJ253,'FRC Site Data'!$B$3:$L$42,4,FALSE)</f>
        <v>#N/A</v>
      </c>
      <c r="U261" s="10" t="e">
        <f>VLOOKUP(AJ253,'FRC Site Data'!$B$3:$L$42,5,FALSE)</f>
        <v>#N/A</v>
      </c>
      <c r="V261" s="10" t="e">
        <f>VLOOKUP(AJ253,'FRC Site Data'!$B$3:$L$42,6,FALSE)</f>
        <v>#N/A</v>
      </c>
      <c r="W261" s="10" t="e">
        <f>VLOOKUP(AJ253,'FRC Site Data'!$B$3:$L$42,8,FALSE)</f>
        <v>#N/A</v>
      </c>
      <c r="X261" s="10" t="e">
        <f>VLOOKUP(AJ253,'FRC Site Data'!$B$3:$L$42,9,FALSE)</f>
        <v>#N/A</v>
      </c>
      <c r="Y261" s="10" t="e">
        <f>VLOOKUP(AJ253,'FRC Site Data'!$B$3:$L$42,10,FALSE)</f>
        <v>#N/A</v>
      </c>
      <c r="Z261" s="10" t="e">
        <f>VLOOKUP(AJ253,'FRC Site Data'!$B$3:$L$42,11,FALSE)</f>
        <v>#N/A</v>
      </c>
      <c r="AA261" s="10" t="e">
        <f>VLOOKUP(AJ253,'CIR Team Info'!$C$5:$E$44,4,FALSE)</f>
        <v>#N/A</v>
      </c>
      <c r="AB261" s="161" t="b">
        <f>ISNUMBER(VLOOKUP(AJ253,Match!$T$5:$T$10,1,FALSE))</f>
        <v>0</v>
      </c>
      <c r="AC261" s="161" t="b">
        <f>IF(AB261=TRUE,(VLOOKUP($AJ253,Match!$T$5:$U$10,2,FALSE)))</f>
        <v>0</v>
      </c>
      <c r="AD261" s="8">
        <v>3</v>
      </c>
      <c r="AE261" s="8">
        <v>2</v>
      </c>
      <c r="AF261" s="8">
        <v>2</v>
      </c>
      <c r="AG261" s="8">
        <v>1</v>
      </c>
      <c r="AH261" s="8" t="str">
        <f t="shared" si="64"/>
        <v/>
      </c>
      <c r="AI261" s="12"/>
      <c r="AZ261" s="12"/>
      <c r="BC261" s="12"/>
      <c r="BK261" s="12"/>
    </row>
    <row r="262" spans="1:63" x14ac:dyDescent="0.25">
      <c r="A262" s="29">
        <f t="shared" si="65"/>
        <v>0</v>
      </c>
      <c r="B262" s="29">
        <f t="shared" si="51"/>
        <v>0</v>
      </c>
      <c r="C262" s="29">
        <f t="shared" si="52"/>
        <v>0</v>
      </c>
      <c r="D262" s="29">
        <f t="shared" si="53"/>
        <v>0</v>
      </c>
      <c r="E262" s="29">
        <f t="shared" si="66"/>
        <v>0</v>
      </c>
      <c r="F262" s="29">
        <f t="shared" si="54"/>
        <v>0</v>
      </c>
      <c r="G262" s="29" t="str">
        <f t="shared" si="55"/>
        <v>offensive</v>
      </c>
      <c r="H262" s="16">
        <f t="shared" si="56"/>
        <v>0</v>
      </c>
      <c r="I262" s="16">
        <f t="shared" si="57"/>
        <v>0</v>
      </c>
      <c r="J262" s="16">
        <f t="shared" si="58"/>
        <v>0</v>
      </c>
      <c r="K262" s="16">
        <f t="shared" si="59"/>
        <v>0</v>
      </c>
      <c r="L262" s="67">
        <f t="shared" si="60"/>
        <v>0</v>
      </c>
      <c r="M262" s="4">
        <f t="shared" si="61"/>
        <v>0</v>
      </c>
      <c r="N262" s="4">
        <f t="shared" si="62"/>
        <v>0</v>
      </c>
      <c r="O262" s="4">
        <f t="shared" si="63"/>
        <v>0</v>
      </c>
      <c r="P262" s="4" t="e">
        <f>VLOOKUP(AJ254,'CIR Team Info'!$C$5:$E$44,2,FALSE)</f>
        <v>#N/A</v>
      </c>
      <c r="Q262" s="4" t="e">
        <f>VLOOKUP(AJ254,'CIR Team Info'!$C$5:$E$44,3,FALSE)</f>
        <v>#N/A</v>
      </c>
      <c r="R262" s="10" t="e">
        <f>VLOOKUP(AJ254,'FRC Site Data'!$B$3:$L$42,2,FALSE)</f>
        <v>#N/A</v>
      </c>
      <c r="S262" s="10" t="e">
        <f>VLOOKUP(AJ254,'FRC Site Data'!$B$3:$L$42,3,FALSE)</f>
        <v>#N/A</v>
      </c>
      <c r="T262" s="10" t="e">
        <f>VLOOKUP(AJ254,'FRC Site Data'!$B$3:$L$42,4,FALSE)</f>
        <v>#N/A</v>
      </c>
      <c r="U262" s="10" t="e">
        <f>VLOOKUP(AJ254,'FRC Site Data'!$B$3:$L$42,5,FALSE)</f>
        <v>#N/A</v>
      </c>
      <c r="V262" s="10" t="e">
        <f>VLOOKUP(AJ254,'FRC Site Data'!$B$3:$L$42,6,FALSE)</f>
        <v>#N/A</v>
      </c>
      <c r="W262" s="10" t="e">
        <f>VLOOKUP(AJ254,'FRC Site Data'!$B$3:$L$42,8,FALSE)</f>
        <v>#N/A</v>
      </c>
      <c r="X262" s="10" t="e">
        <f>VLOOKUP(AJ254,'FRC Site Data'!$B$3:$L$42,9,FALSE)</f>
        <v>#N/A</v>
      </c>
      <c r="Y262" s="10" t="e">
        <f>VLOOKUP(AJ254,'FRC Site Data'!$B$3:$L$42,10,FALSE)</f>
        <v>#N/A</v>
      </c>
      <c r="Z262" s="10" t="e">
        <f>VLOOKUP(AJ254,'FRC Site Data'!$B$3:$L$42,11,FALSE)</f>
        <v>#N/A</v>
      </c>
      <c r="AA262" s="10" t="e">
        <f>VLOOKUP(AJ254,'CIR Team Info'!$C$5:$E$44,4,FALSE)</f>
        <v>#N/A</v>
      </c>
      <c r="AB262" s="161" t="b">
        <f>ISNUMBER(VLOOKUP(AJ254,Match!$T$5:$T$10,1,FALSE))</f>
        <v>0</v>
      </c>
      <c r="AC262" s="161" t="b">
        <f>IF(AB262=TRUE,(VLOOKUP($AJ254,Match!$T$5:$U$10,2,FALSE)))</f>
        <v>0</v>
      </c>
      <c r="AD262" s="8">
        <v>3</v>
      </c>
      <c r="AE262" s="8">
        <v>2</v>
      </c>
      <c r="AF262" s="8">
        <v>2</v>
      </c>
      <c r="AG262" s="8">
        <v>1</v>
      </c>
      <c r="AH262" s="8" t="str">
        <f t="shared" si="64"/>
        <v/>
      </c>
      <c r="AI262" s="12"/>
      <c r="AZ262" s="12"/>
      <c r="BC262" s="12"/>
      <c r="BK262" s="12"/>
    </row>
    <row r="263" spans="1:63" x14ac:dyDescent="0.25">
      <c r="A263" s="29">
        <f t="shared" si="65"/>
        <v>0</v>
      </c>
      <c r="B263" s="29">
        <f t="shared" si="51"/>
        <v>0</v>
      </c>
      <c r="C263" s="29">
        <f t="shared" si="52"/>
        <v>0</v>
      </c>
      <c r="D263" s="29">
        <f t="shared" si="53"/>
        <v>0</v>
      </c>
      <c r="E263" s="29">
        <f t="shared" si="66"/>
        <v>0</v>
      </c>
      <c r="F263" s="29">
        <f t="shared" si="54"/>
        <v>0</v>
      </c>
      <c r="G263" s="29" t="str">
        <f t="shared" si="55"/>
        <v>offensive</v>
      </c>
      <c r="H263" s="16">
        <f t="shared" si="56"/>
        <v>0</v>
      </c>
      <c r="I263" s="16">
        <f t="shared" si="57"/>
        <v>0</v>
      </c>
      <c r="J263" s="16">
        <f t="shared" si="58"/>
        <v>0</v>
      </c>
      <c r="K263" s="16">
        <f t="shared" si="59"/>
        <v>0</v>
      </c>
      <c r="L263" s="67">
        <f t="shared" si="60"/>
        <v>0</v>
      </c>
      <c r="M263" s="4">
        <f t="shared" si="61"/>
        <v>0</v>
      </c>
      <c r="N263" s="4">
        <f t="shared" si="62"/>
        <v>0</v>
      </c>
      <c r="O263" s="4">
        <f t="shared" si="63"/>
        <v>0</v>
      </c>
      <c r="P263" s="4" t="e">
        <f>VLOOKUP(AJ255,'CIR Team Info'!$C$5:$E$44,2,FALSE)</f>
        <v>#N/A</v>
      </c>
      <c r="Q263" s="4" t="e">
        <f>VLOOKUP(AJ255,'CIR Team Info'!$C$5:$E$44,3,FALSE)</f>
        <v>#N/A</v>
      </c>
      <c r="R263" s="10" t="e">
        <f>VLOOKUP(AJ255,'FRC Site Data'!$B$3:$L$42,2,FALSE)</f>
        <v>#N/A</v>
      </c>
      <c r="S263" s="10" t="e">
        <f>VLOOKUP(AJ255,'FRC Site Data'!$B$3:$L$42,3,FALSE)</f>
        <v>#N/A</v>
      </c>
      <c r="T263" s="10" t="e">
        <f>VLOOKUP(AJ255,'FRC Site Data'!$B$3:$L$42,4,FALSE)</f>
        <v>#N/A</v>
      </c>
      <c r="U263" s="10" t="e">
        <f>VLOOKUP(AJ255,'FRC Site Data'!$B$3:$L$42,5,FALSE)</f>
        <v>#N/A</v>
      </c>
      <c r="V263" s="10" t="e">
        <f>VLOOKUP(AJ255,'FRC Site Data'!$B$3:$L$42,6,FALSE)</f>
        <v>#N/A</v>
      </c>
      <c r="W263" s="10" t="e">
        <f>VLOOKUP(AJ255,'FRC Site Data'!$B$3:$L$42,8,FALSE)</f>
        <v>#N/A</v>
      </c>
      <c r="X263" s="10" t="e">
        <f>VLOOKUP(AJ255,'FRC Site Data'!$B$3:$L$42,9,FALSE)</f>
        <v>#N/A</v>
      </c>
      <c r="Y263" s="10" t="e">
        <f>VLOOKUP(AJ255,'FRC Site Data'!$B$3:$L$42,10,FALSE)</f>
        <v>#N/A</v>
      </c>
      <c r="Z263" s="10" t="e">
        <f>VLOOKUP(AJ255,'FRC Site Data'!$B$3:$L$42,11,FALSE)</f>
        <v>#N/A</v>
      </c>
      <c r="AA263" s="10" t="e">
        <f>VLOOKUP(AJ255,'CIR Team Info'!$C$5:$E$44,4,FALSE)</f>
        <v>#N/A</v>
      </c>
      <c r="AB263" s="161" t="b">
        <f>ISNUMBER(VLOOKUP(AJ255,Match!$T$5:$T$10,1,FALSE))</f>
        <v>0</v>
      </c>
      <c r="AC263" s="161" t="b">
        <f>IF(AB263=TRUE,(VLOOKUP($AJ255,Match!$T$5:$U$10,2,FALSE)))</f>
        <v>0</v>
      </c>
      <c r="AD263" s="8">
        <v>3</v>
      </c>
      <c r="AE263" s="8">
        <v>2</v>
      </c>
      <c r="AF263" s="8">
        <v>2</v>
      </c>
      <c r="AG263" s="8">
        <v>1</v>
      </c>
      <c r="AH263" s="8" t="str">
        <f t="shared" si="64"/>
        <v/>
      </c>
      <c r="AI263" s="12"/>
      <c r="AZ263" s="12"/>
      <c r="BC263" s="12"/>
      <c r="BK263" s="12"/>
    </row>
    <row r="264" spans="1:63" x14ac:dyDescent="0.25">
      <c r="A264" s="29">
        <f t="shared" si="65"/>
        <v>0</v>
      </c>
      <c r="B264" s="29">
        <f t="shared" ref="B264:B327" si="67">H264*AD264*AO256</f>
        <v>0</v>
      </c>
      <c r="C264" s="29">
        <f t="shared" ref="C264:C327" si="68">I264*AE264*AV256</f>
        <v>0</v>
      </c>
      <c r="D264" s="29">
        <f t="shared" ref="D264:D327" si="69">J264*AF264*BF256</f>
        <v>0</v>
      </c>
      <c r="E264" s="29">
        <f t="shared" si="66"/>
        <v>0</v>
      </c>
      <c r="F264" s="29">
        <f t="shared" ref="F264:F327" si="70">IF(AN256&gt;0,5)-2*COUNTIF(AQ256,"K")+5*COUNTIF(AS256,"T")+IF(AX256=3,2)+IF(AY256="T",2)</f>
        <v>0</v>
      </c>
      <c r="G264" s="29" t="str">
        <f t="shared" ref="G264:G327" si="71">IF((BB256+BC256)&gt;45,"defensive",IF((BB256+BC256)&gt;15,"both","offensive"))</f>
        <v>offensive</v>
      </c>
      <c r="H264" s="16">
        <f t="shared" ref="H264:H327" si="72">IF((AO256+AP256)=0,0,AO256/(AO256+AP256))</f>
        <v>0</v>
      </c>
      <c r="I264" s="16">
        <f t="shared" ref="I264:I327" si="73">IF((AV256+AW256)=0,0,AV256/(AV256+AW256))</f>
        <v>0</v>
      </c>
      <c r="J264" s="16">
        <f t="shared" ref="J264:J327" si="74">IF(L264=0,0,BG256/L264)</f>
        <v>0</v>
      </c>
      <c r="K264" s="16">
        <f t="shared" ref="K264:K327" si="75">IF((BB256+BC256)=0,0,((AZ256*BB256*0.2)+(BA256*BC256*0.3))/(BB256+BC256))</f>
        <v>0</v>
      </c>
      <c r="L264" s="67">
        <f t="shared" ref="L264:L327" si="76">IF(BF256&gt;BG256,BF256,BG256)</f>
        <v>0</v>
      </c>
      <c r="M264" s="4">
        <f t="shared" ref="M264:M327" si="77">AO256+AV256+BD256+O264</f>
        <v>0</v>
      </c>
      <c r="N264" s="4">
        <f t="shared" ref="N264:N327" si="78">AO256+AV256+BD256</f>
        <v>0</v>
      </c>
      <c r="O264" s="4">
        <f t="shared" ref="O264:O327" si="79">(AZ256*0.2*BB256*30/30)+(BA256*0.3*BC256*12/30)-BI256-BJ256</f>
        <v>0</v>
      </c>
      <c r="P264" s="4" t="e">
        <f>VLOOKUP(AJ256,'CIR Team Info'!$C$5:$E$44,2,FALSE)</f>
        <v>#N/A</v>
      </c>
      <c r="Q264" s="4" t="e">
        <f>VLOOKUP(AJ256,'CIR Team Info'!$C$5:$E$44,3,FALSE)</f>
        <v>#N/A</v>
      </c>
      <c r="R264" s="10" t="e">
        <f>VLOOKUP(AJ256,'FRC Site Data'!$B$3:$L$42,2,FALSE)</f>
        <v>#N/A</v>
      </c>
      <c r="S264" s="10" t="e">
        <f>VLOOKUP(AJ256,'FRC Site Data'!$B$3:$L$42,3,FALSE)</f>
        <v>#N/A</v>
      </c>
      <c r="T264" s="10" t="e">
        <f>VLOOKUP(AJ256,'FRC Site Data'!$B$3:$L$42,4,FALSE)</f>
        <v>#N/A</v>
      </c>
      <c r="U264" s="10" t="e">
        <f>VLOOKUP(AJ256,'FRC Site Data'!$B$3:$L$42,5,FALSE)</f>
        <v>#N/A</v>
      </c>
      <c r="V264" s="10" t="e">
        <f>VLOOKUP(AJ256,'FRC Site Data'!$B$3:$L$42,6,FALSE)</f>
        <v>#N/A</v>
      </c>
      <c r="W264" s="10" t="e">
        <f>VLOOKUP(AJ256,'FRC Site Data'!$B$3:$L$42,8,FALSE)</f>
        <v>#N/A</v>
      </c>
      <c r="X264" s="10" t="e">
        <f>VLOOKUP(AJ256,'FRC Site Data'!$B$3:$L$42,9,FALSE)</f>
        <v>#N/A</v>
      </c>
      <c r="Y264" s="10" t="e">
        <f>VLOOKUP(AJ256,'FRC Site Data'!$B$3:$L$42,10,FALSE)</f>
        <v>#N/A</v>
      </c>
      <c r="Z264" s="10" t="e">
        <f>VLOOKUP(AJ256,'FRC Site Data'!$B$3:$L$42,11,FALSE)</f>
        <v>#N/A</v>
      </c>
      <c r="AA264" s="10" t="e">
        <f>VLOOKUP(AJ256,'CIR Team Info'!$C$5:$E$44,4,FALSE)</f>
        <v>#N/A</v>
      </c>
      <c r="AB264" s="161" t="b">
        <f>ISNUMBER(VLOOKUP(AJ256,Match!$T$5:$T$10,1,FALSE))</f>
        <v>0</v>
      </c>
      <c r="AC264" s="161" t="b">
        <f>IF(AB264=TRUE,(VLOOKUP($AJ256,Match!$T$5:$U$10,2,FALSE)))</f>
        <v>0</v>
      </c>
      <c r="AD264" s="8">
        <v>3</v>
      </c>
      <c r="AE264" s="8">
        <v>2</v>
      </c>
      <c r="AF264" s="8">
        <v>2</v>
      </c>
      <c r="AG264" s="8">
        <v>1</v>
      </c>
      <c r="AH264" s="8" t="str">
        <f t="shared" si="64"/>
        <v/>
      </c>
      <c r="AI264" s="12"/>
      <c r="AZ264" s="12"/>
      <c r="BC264" s="12"/>
      <c r="BK264" s="12"/>
    </row>
    <row r="265" spans="1:63" x14ac:dyDescent="0.25">
      <c r="A265" s="29">
        <f t="shared" si="65"/>
        <v>0</v>
      </c>
      <c r="B265" s="29">
        <f t="shared" si="67"/>
        <v>0</v>
      </c>
      <c r="C265" s="29">
        <f t="shared" si="68"/>
        <v>0</v>
      </c>
      <c r="D265" s="29">
        <f t="shared" si="69"/>
        <v>0</v>
      </c>
      <c r="E265" s="29">
        <f t="shared" si="66"/>
        <v>0</v>
      </c>
      <c r="F265" s="29">
        <f t="shared" si="70"/>
        <v>0</v>
      </c>
      <c r="G265" s="29" t="str">
        <f t="shared" si="71"/>
        <v>offensive</v>
      </c>
      <c r="H265" s="16">
        <f t="shared" si="72"/>
        <v>0</v>
      </c>
      <c r="I265" s="16">
        <f t="shared" si="73"/>
        <v>0</v>
      </c>
      <c r="J265" s="16">
        <f t="shared" si="74"/>
        <v>0</v>
      </c>
      <c r="K265" s="16">
        <f t="shared" si="75"/>
        <v>0</v>
      </c>
      <c r="L265" s="67">
        <f t="shared" si="76"/>
        <v>0</v>
      </c>
      <c r="M265" s="4">
        <f t="shared" si="77"/>
        <v>0</v>
      </c>
      <c r="N265" s="4">
        <f t="shared" si="78"/>
        <v>0</v>
      </c>
      <c r="O265" s="4">
        <f t="shared" si="79"/>
        <v>0</v>
      </c>
      <c r="P265" s="4" t="e">
        <f>VLOOKUP(AJ257,'CIR Team Info'!$C$5:$E$44,2,FALSE)</f>
        <v>#N/A</v>
      </c>
      <c r="Q265" s="4" t="e">
        <f>VLOOKUP(AJ257,'CIR Team Info'!$C$5:$E$44,3,FALSE)</f>
        <v>#N/A</v>
      </c>
      <c r="R265" s="10" t="e">
        <f>VLOOKUP(AJ257,'FRC Site Data'!$B$3:$L$42,2,FALSE)</f>
        <v>#N/A</v>
      </c>
      <c r="S265" s="10" t="e">
        <f>VLOOKUP(AJ257,'FRC Site Data'!$B$3:$L$42,3,FALSE)</f>
        <v>#N/A</v>
      </c>
      <c r="T265" s="10" t="e">
        <f>VLOOKUP(AJ257,'FRC Site Data'!$B$3:$L$42,4,FALSE)</f>
        <v>#N/A</v>
      </c>
      <c r="U265" s="10" t="e">
        <f>VLOOKUP(AJ257,'FRC Site Data'!$B$3:$L$42,5,FALSE)</f>
        <v>#N/A</v>
      </c>
      <c r="V265" s="10" t="e">
        <f>VLOOKUP(AJ257,'FRC Site Data'!$B$3:$L$42,6,FALSE)</f>
        <v>#N/A</v>
      </c>
      <c r="W265" s="10" t="e">
        <f>VLOOKUP(AJ257,'FRC Site Data'!$B$3:$L$42,8,FALSE)</f>
        <v>#N/A</v>
      </c>
      <c r="X265" s="10" t="e">
        <f>VLOOKUP(AJ257,'FRC Site Data'!$B$3:$L$42,9,FALSE)</f>
        <v>#N/A</v>
      </c>
      <c r="Y265" s="10" t="e">
        <f>VLOOKUP(AJ257,'FRC Site Data'!$B$3:$L$42,10,FALSE)</f>
        <v>#N/A</v>
      </c>
      <c r="Z265" s="10" t="e">
        <f>VLOOKUP(AJ257,'FRC Site Data'!$B$3:$L$42,11,FALSE)</f>
        <v>#N/A</v>
      </c>
      <c r="AA265" s="10" t="e">
        <f>VLOOKUP(AJ257,'CIR Team Info'!$C$5:$E$44,4,FALSE)</f>
        <v>#N/A</v>
      </c>
      <c r="AB265" s="161" t="b">
        <f>ISNUMBER(VLOOKUP(AJ257,Match!$T$5:$T$10,1,FALSE))</f>
        <v>0</v>
      </c>
      <c r="AC265" s="161" t="b">
        <f>IF(AB265=TRUE,(VLOOKUP($AJ257,Match!$T$5:$U$10,2,FALSE)))</f>
        <v>0</v>
      </c>
      <c r="AD265" s="8">
        <v>3</v>
      </c>
      <c r="AE265" s="8">
        <v>2</v>
      </c>
      <c r="AF265" s="8">
        <v>2</v>
      </c>
      <c r="AG265" s="8">
        <v>1</v>
      </c>
      <c r="AH265" s="8" t="str">
        <f t="shared" si="64"/>
        <v/>
      </c>
      <c r="AI265" s="12"/>
      <c r="AZ265" s="12"/>
      <c r="BC265" s="12"/>
      <c r="BK265" s="12"/>
    </row>
    <row r="266" spans="1:63" x14ac:dyDescent="0.25">
      <c r="A266" s="29">
        <f t="shared" si="65"/>
        <v>0</v>
      </c>
      <c r="B266" s="29">
        <f t="shared" si="67"/>
        <v>0</v>
      </c>
      <c r="C266" s="29">
        <f t="shared" si="68"/>
        <v>0</v>
      </c>
      <c r="D266" s="29">
        <f t="shared" si="69"/>
        <v>0</v>
      </c>
      <c r="E266" s="29">
        <f t="shared" si="66"/>
        <v>0</v>
      </c>
      <c r="F266" s="29">
        <f t="shared" si="70"/>
        <v>0</v>
      </c>
      <c r="G266" s="29" t="str">
        <f t="shared" si="71"/>
        <v>offensive</v>
      </c>
      <c r="H266" s="16">
        <f t="shared" si="72"/>
        <v>0</v>
      </c>
      <c r="I266" s="16">
        <f t="shared" si="73"/>
        <v>0</v>
      </c>
      <c r="J266" s="16">
        <f t="shared" si="74"/>
        <v>0</v>
      </c>
      <c r="K266" s="16">
        <f t="shared" si="75"/>
        <v>0</v>
      </c>
      <c r="L266" s="67">
        <f t="shared" si="76"/>
        <v>0</v>
      </c>
      <c r="M266" s="4">
        <f t="shared" si="77"/>
        <v>0</v>
      </c>
      <c r="N266" s="4">
        <f t="shared" si="78"/>
        <v>0</v>
      </c>
      <c r="O266" s="4">
        <f t="shared" si="79"/>
        <v>0</v>
      </c>
      <c r="P266" s="4" t="e">
        <f>VLOOKUP(AJ258,'CIR Team Info'!$C$5:$E$44,2,FALSE)</f>
        <v>#N/A</v>
      </c>
      <c r="Q266" s="4" t="e">
        <f>VLOOKUP(AJ258,'CIR Team Info'!$C$5:$E$44,3,FALSE)</f>
        <v>#N/A</v>
      </c>
      <c r="R266" s="10" t="e">
        <f>VLOOKUP(AJ258,'FRC Site Data'!$B$3:$L$42,2,FALSE)</f>
        <v>#N/A</v>
      </c>
      <c r="S266" s="10" t="e">
        <f>VLOOKUP(AJ258,'FRC Site Data'!$B$3:$L$42,3,FALSE)</f>
        <v>#N/A</v>
      </c>
      <c r="T266" s="10" t="e">
        <f>VLOOKUP(AJ258,'FRC Site Data'!$B$3:$L$42,4,FALSE)</f>
        <v>#N/A</v>
      </c>
      <c r="U266" s="10" t="e">
        <f>VLOOKUP(AJ258,'FRC Site Data'!$B$3:$L$42,5,FALSE)</f>
        <v>#N/A</v>
      </c>
      <c r="V266" s="10" t="e">
        <f>VLOOKUP(AJ258,'FRC Site Data'!$B$3:$L$42,6,FALSE)</f>
        <v>#N/A</v>
      </c>
      <c r="W266" s="10" t="e">
        <f>VLOOKUP(AJ258,'FRC Site Data'!$B$3:$L$42,8,FALSE)</f>
        <v>#N/A</v>
      </c>
      <c r="X266" s="10" t="e">
        <f>VLOOKUP(AJ258,'FRC Site Data'!$B$3:$L$42,9,FALSE)</f>
        <v>#N/A</v>
      </c>
      <c r="Y266" s="10" t="e">
        <f>VLOOKUP(AJ258,'FRC Site Data'!$B$3:$L$42,10,FALSE)</f>
        <v>#N/A</v>
      </c>
      <c r="Z266" s="10" t="e">
        <f>VLOOKUP(AJ258,'FRC Site Data'!$B$3:$L$42,11,FALSE)</f>
        <v>#N/A</v>
      </c>
      <c r="AA266" s="10" t="e">
        <f>VLOOKUP(AJ258,'CIR Team Info'!$C$5:$E$44,4,FALSE)</f>
        <v>#N/A</v>
      </c>
      <c r="AB266" s="161" t="b">
        <f>ISNUMBER(VLOOKUP(AJ258,Match!$T$5:$T$10,1,FALSE))</f>
        <v>0</v>
      </c>
      <c r="AC266" s="161" t="b">
        <f>IF(AB266=TRUE,(VLOOKUP($AJ258,Match!$T$5:$U$10,2,FALSE)))</f>
        <v>0</v>
      </c>
      <c r="AD266" s="8">
        <v>3</v>
      </c>
      <c r="AE266" s="8">
        <v>2</v>
      </c>
      <c r="AF266" s="8">
        <v>2</v>
      </c>
      <c r="AG266" s="8">
        <v>1</v>
      </c>
      <c r="AH266" s="8" t="str">
        <f t="shared" si="64"/>
        <v/>
      </c>
      <c r="AI266" s="12"/>
      <c r="AZ266" s="12"/>
      <c r="BC266" s="12"/>
      <c r="BK266" s="12"/>
    </row>
    <row r="267" spans="1:63" x14ac:dyDescent="0.25">
      <c r="A267" s="29">
        <f t="shared" si="65"/>
        <v>0</v>
      </c>
      <c r="B267" s="29">
        <f t="shared" si="67"/>
        <v>0</v>
      </c>
      <c r="C267" s="29">
        <f t="shared" si="68"/>
        <v>0</v>
      </c>
      <c r="D267" s="29">
        <f t="shared" si="69"/>
        <v>0</v>
      </c>
      <c r="E267" s="29">
        <f t="shared" si="66"/>
        <v>0</v>
      </c>
      <c r="F267" s="29">
        <f t="shared" si="70"/>
        <v>0</v>
      </c>
      <c r="G267" s="29" t="str">
        <f t="shared" si="71"/>
        <v>offensive</v>
      </c>
      <c r="H267" s="16">
        <f t="shared" si="72"/>
        <v>0</v>
      </c>
      <c r="I267" s="16">
        <f t="shared" si="73"/>
        <v>0</v>
      </c>
      <c r="J267" s="16">
        <f t="shared" si="74"/>
        <v>0</v>
      </c>
      <c r="K267" s="16">
        <f t="shared" si="75"/>
        <v>0</v>
      </c>
      <c r="L267" s="67">
        <f t="shared" si="76"/>
        <v>0</v>
      </c>
      <c r="M267" s="4">
        <f t="shared" si="77"/>
        <v>0</v>
      </c>
      <c r="N267" s="4">
        <f t="shared" si="78"/>
        <v>0</v>
      </c>
      <c r="O267" s="4">
        <f t="shared" si="79"/>
        <v>0</v>
      </c>
      <c r="P267" s="4" t="e">
        <f>VLOOKUP(AJ259,'CIR Team Info'!$C$5:$E$44,2,FALSE)</f>
        <v>#N/A</v>
      </c>
      <c r="Q267" s="4" t="e">
        <f>VLOOKUP(AJ259,'CIR Team Info'!$C$5:$E$44,3,FALSE)</f>
        <v>#N/A</v>
      </c>
      <c r="R267" s="10" t="e">
        <f>VLOOKUP(AJ259,'FRC Site Data'!$B$3:$L$42,2,FALSE)</f>
        <v>#N/A</v>
      </c>
      <c r="S267" s="10" t="e">
        <f>VLOOKUP(AJ259,'FRC Site Data'!$B$3:$L$42,3,FALSE)</f>
        <v>#N/A</v>
      </c>
      <c r="T267" s="10" t="e">
        <f>VLOOKUP(AJ259,'FRC Site Data'!$B$3:$L$42,4,FALSE)</f>
        <v>#N/A</v>
      </c>
      <c r="U267" s="10" t="e">
        <f>VLOOKUP(AJ259,'FRC Site Data'!$B$3:$L$42,5,FALSE)</f>
        <v>#N/A</v>
      </c>
      <c r="V267" s="10" t="e">
        <f>VLOOKUP(AJ259,'FRC Site Data'!$B$3:$L$42,6,FALSE)</f>
        <v>#N/A</v>
      </c>
      <c r="W267" s="10" t="e">
        <f>VLOOKUP(AJ259,'FRC Site Data'!$B$3:$L$42,8,FALSE)</f>
        <v>#N/A</v>
      </c>
      <c r="X267" s="10" t="e">
        <f>VLOOKUP(AJ259,'FRC Site Data'!$B$3:$L$42,9,FALSE)</f>
        <v>#N/A</v>
      </c>
      <c r="Y267" s="10" t="e">
        <f>VLOOKUP(AJ259,'FRC Site Data'!$B$3:$L$42,10,FALSE)</f>
        <v>#N/A</v>
      </c>
      <c r="Z267" s="10" t="e">
        <f>VLOOKUP(AJ259,'FRC Site Data'!$B$3:$L$42,11,FALSE)</f>
        <v>#N/A</v>
      </c>
      <c r="AA267" s="10" t="e">
        <f>VLOOKUP(AJ259,'CIR Team Info'!$C$5:$E$44,4,FALSE)</f>
        <v>#N/A</v>
      </c>
      <c r="AB267" s="161" t="b">
        <f>ISNUMBER(VLOOKUP(AJ259,Match!$T$5:$T$10,1,FALSE))</f>
        <v>0</v>
      </c>
      <c r="AC267" s="161" t="b">
        <f>IF(AB267=TRUE,(VLOOKUP($AJ259,Match!$T$5:$U$10,2,FALSE)))</f>
        <v>0</v>
      </c>
      <c r="AD267" s="8">
        <v>3</v>
      </c>
      <c r="AE267" s="8">
        <v>2</v>
      </c>
      <c r="AF267" s="8">
        <v>2</v>
      </c>
      <c r="AG267" s="8">
        <v>1</v>
      </c>
      <c r="AH267" s="8" t="str">
        <f t="shared" si="64"/>
        <v/>
      </c>
      <c r="AI267" s="12"/>
      <c r="AZ267" s="12"/>
      <c r="BC267" s="12"/>
      <c r="BK267" s="12"/>
    </row>
    <row r="268" spans="1:63" x14ac:dyDescent="0.25">
      <c r="A268" s="29">
        <f t="shared" si="65"/>
        <v>0</v>
      </c>
      <c r="B268" s="29">
        <f t="shared" si="67"/>
        <v>0</v>
      </c>
      <c r="C268" s="29">
        <f t="shared" si="68"/>
        <v>0</v>
      </c>
      <c r="D268" s="29">
        <f t="shared" si="69"/>
        <v>0</v>
      </c>
      <c r="E268" s="29">
        <f t="shared" si="66"/>
        <v>0</v>
      </c>
      <c r="F268" s="29">
        <f t="shared" si="70"/>
        <v>0</v>
      </c>
      <c r="G268" s="29" t="str">
        <f t="shared" si="71"/>
        <v>offensive</v>
      </c>
      <c r="H268" s="16">
        <f t="shared" si="72"/>
        <v>0</v>
      </c>
      <c r="I268" s="16">
        <f t="shared" si="73"/>
        <v>0</v>
      </c>
      <c r="J268" s="16">
        <f t="shared" si="74"/>
        <v>0</v>
      </c>
      <c r="K268" s="16">
        <f t="shared" si="75"/>
        <v>0</v>
      </c>
      <c r="L268" s="67">
        <f t="shared" si="76"/>
        <v>0</v>
      </c>
      <c r="M268" s="4">
        <f t="shared" si="77"/>
        <v>0</v>
      </c>
      <c r="N268" s="4">
        <f t="shared" si="78"/>
        <v>0</v>
      </c>
      <c r="O268" s="4">
        <f t="shared" si="79"/>
        <v>0</v>
      </c>
      <c r="P268" s="4" t="e">
        <f>VLOOKUP(AJ260,'CIR Team Info'!$C$5:$E$44,2,FALSE)</f>
        <v>#N/A</v>
      </c>
      <c r="Q268" s="4" t="e">
        <f>VLOOKUP(AJ260,'CIR Team Info'!$C$5:$E$44,3,FALSE)</f>
        <v>#N/A</v>
      </c>
      <c r="R268" s="10" t="e">
        <f>VLOOKUP(AJ260,'FRC Site Data'!$B$3:$L$42,2,FALSE)</f>
        <v>#N/A</v>
      </c>
      <c r="S268" s="10" t="e">
        <f>VLOOKUP(AJ260,'FRC Site Data'!$B$3:$L$42,3,FALSE)</f>
        <v>#N/A</v>
      </c>
      <c r="T268" s="10" t="e">
        <f>VLOOKUP(AJ260,'FRC Site Data'!$B$3:$L$42,4,FALSE)</f>
        <v>#N/A</v>
      </c>
      <c r="U268" s="10" t="e">
        <f>VLOOKUP(AJ260,'FRC Site Data'!$B$3:$L$42,5,FALSE)</f>
        <v>#N/A</v>
      </c>
      <c r="V268" s="10" t="e">
        <f>VLOOKUP(AJ260,'FRC Site Data'!$B$3:$L$42,6,FALSE)</f>
        <v>#N/A</v>
      </c>
      <c r="W268" s="10" t="e">
        <f>VLOOKUP(AJ260,'FRC Site Data'!$B$3:$L$42,8,FALSE)</f>
        <v>#N/A</v>
      </c>
      <c r="X268" s="10" t="e">
        <f>VLOOKUP(AJ260,'FRC Site Data'!$B$3:$L$42,9,FALSE)</f>
        <v>#N/A</v>
      </c>
      <c r="Y268" s="10" t="e">
        <f>VLOOKUP(AJ260,'FRC Site Data'!$B$3:$L$42,10,FALSE)</f>
        <v>#N/A</v>
      </c>
      <c r="Z268" s="10" t="e">
        <f>VLOOKUP(AJ260,'FRC Site Data'!$B$3:$L$42,11,FALSE)</f>
        <v>#N/A</v>
      </c>
      <c r="AA268" s="10" t="e">
        <f>VLOOKUP(AJ260,'CIR Team Info'!$C$5:$E$44,4,FALSE)</f>
        <v>#N/A</v>
      </c>
      <c r="AB268" s="161" t="b">
        <f>ISNUMBER(VLOOKUP(AJ260,Match!$T$5:$T$10,1,FALSE))</f>
        <v>0</v>
      </c>
      <c r="AC268" s="161" t="b">
        <f>IF(AB268=TRUE,(VLOOKUP($AJ260,Match!$T$5:$U$10,2,FALSE)))</f>
        <v>0</v>
      </c>
      <c r="AD268" s="8">
        <v>3</v>
      </c>
      <c r="AE268" s="8">
        <v>2</v>
      </c>
      <c r="AF268" s="8">
        <v>2</v>
      </c>
      <c r="AG268" s="8">
        <v>1</v>
      </c>
      <c r="AH268" s="8" t="str">
        <f t="shared" si="64"/>
        <v/>
      </c>
      <c r="AI268" s="12"/>
      <c r="AZ268" s="12"/>
      <c r="BC268" s="12"/>
      <c r="BK268" s="12"/>
    </row>
    <row r="269" spans="1:63" x14ac:dyDescent="0.25">
      <c r="A269" s="29">
        <f t="shared" si="65"/>
        <v>0</v>
      </c>
      <c r="B269" s="29">
        <f t="shared" si="67"/>
        <v>0</v>
      </c>
      <c r="C269" s="29">
        <f t="shared" si="68"/>
        <v>0</v>
      </c>
      <c r="D269" s="29">
        <f t="shared" si="69"/>
        <v>0</v>
      </c>
      <c r="E269" s="29">
        <f t="shared" si="66"/>
        <v>0</v>
      </c>
      <c r="F269" s="29">
        <f t="shared" si="70"/>
        <v>0</v>
      </c>
      <c r="G269" s="29" t="str">
        <f t="shared" si="71"/>
        <v>offensive</v>
      </c>
      <c r="H269" s="16">
        <f t="shared" si="72"/>
        <v>0</v>
      </c>
      <c r="I269" s="16">
        <f t="shared" si="73"/>
        <v>0</v>
      </c>
      <c r="J269" s="16">
        <f t="shared" si="74"/>
        <v>0</v>
      </c>
      <c r="K269" s="16">
        <f t="shared" si="75"/>
        <v>0</v>
      </c>
      <c r="L269" s="67">
        <f t="shared" si="76"/>
        <v>0</v>
      </c>
      <c r="M269" s="4">
        <f t="shared" si="77"/>
        <v>0</v>
      </c>
      <c r="N269" s="4">
        <f t="shared" si="78"/>
        <v>0</v>
      </c>
      <c r="O269" s="4">
        <f t="shared" si="79"/>
        <v>0</v>
      </c>
      <c r="P269" s="4" t="e">
        <f>VLOOKUP(AJ261,'CIR Team Info'!$C$5:$E$44,2,FALSE)</f>
        <v>#N/A</v>
      </c>
      <c r="Q269" s="4" t="e">
        <f>VLOOKUP(AJ261,'CIR Team Info'!$C$5:$E$44,3,FALSE)</f>
        <v>#N/A</v>
      </c>
      <c r="R269" s="10" t="e">
        <f>VLOOKUP(AJ261,'FRC Site Data'!$B$3:$L$42,2,FALSE)</f>
        <v>#N/A</v>
      </c>
      <c r="S269" s="10" t="e">
        <f>VLOOKUP(AJ261,'FRC Site Data'!$B$3:$L$42,3,FALSE)</f>
        <v>#N/A</v>
      </c>
      <c r="T269" s="10" t="e">
        <f>VLOOKUP(AJ261,'FRC Site Data'!$B$3:$L$42,4,FALSE)</f>
        <v>#N/A</v>
      </c>
      <c r="U269" s="10" t="e">
        <f>VLOOKUP(AJ261,'FRC Site Data'!$B$3:$L$42,5,FALSE)</f>
        <v>#N/A</v>
      </c>
      <c r="V269" s="10" t="e">
        <f>VLOOKUP(AJ261,'FRC Site Data'!$B$3:$L$42,6,FALSE)</f>
        <v>#N/A</v>
      </c>
      <c r="W269" s="10" t="e">
        <f>VLOOKUP(AJ261,'FRC Site Data'!$B$3:$L$42,8,FALSE)</f>
        <v>#N/A</v>
      </c>
      <c r="X269" s="10" t="e">
        <f>VLOOKUP(AJ261,'FRC Site Data'!$B$3:$L$42,9,FALSE)</f>
        <v>#N/A</v>
      </c>
      <c r="Y269" s="10" t="e">
        <f>VLOOKUP(AJ261,'FRC Site Data'!$B$3:$L$42,10,FALSE)</f>
        <v>#N/A</v>
      </c>
      <c r="Z269" s="10" t="e">
        <f>VLOOKUP(AJ261,'FRC Site Data'!$B$3:$L$42,11,FALSE)</f>
        <v>#N/A</v>
      </c>
      <c r="AA269" s="10" t="e">
        <f>VLOOKUP(AJ261,'CIR Team Info'!$C$5:$E$44,4,FALSE)</f>
        <v>#N/A</v>
      </c>
      <c r="AB269" s="161" t="b">
        <f>ISNUMBER(VLOOKUP(AJ261,Match!$T$5:$T$10,1,FALSE))</f>
        <v>0</v>
      </c>
      <c r="AC269" s="161" t="b">
        <f>IF(AB269=TRUE,(VLOOKUP($AJ261,Match!$T$5:$U$10,2,FALSE)))</f>
        <v>0</v>
      </c>
      <c r="AD269" s="8">
        <v>3</v>
      </c>
      <c r="AE269" s="8">
        <v>2</v>
      </c>
      <c r="AF269" s="8">
        <v>2</v>
      </c>
      <c r="AG269" s="8">
        <v>1</v>
      </c>
      <c r="AH269" s="8" t="str">
        <f t="shared" si="64"/>
        <v/>
      </c>
      <c r="AI269" s="12"/>
      <c r="AZ269" s="12"/>
      <c r="BC269" s="12"/>
      <c r="BK269" s="12"/>
    </row>
    <row r="270" spans="1:63" x14ac:dyDescent="0.25">
      <c r="A270" s="29">
        <f t="shared" si="65"/>
        <v>0</v>
      </c>
      <c r="B270" s="29">
        <f t="shared" si="67"/>
        <v>0</v>
      </c>
      <c r="C270" s="29">
        <f t="shared" si="68"/>
        <v>0</v>
      </c>
      <c r="D270" s="29">
        <f t="shared" si="69"/>
        <v>0</v>
      </c>
      <c r="E270" s="29">
        <f t="shared" si="66"/>
        <v>0</v>
      </c>
      <c r="F270" s="29">
        <f t="shared" si="70"/>
        <v>0</v>
      </c>
      <c r="G270" s="29" t="str">
        <f t="shared" si="71"/>
        <v>offensive</v>
      </c>
      <c r="H270" s="16">
        <f t="shared" si="72"/>
        <v>0</v>
      </c>
      <c r="I270" s="16">
        <f t="shared" si="73"/>
        <v>0</v>
      </c>
      <c r="J270" s="16">
        <f t="shared" si="74"/>
        <v>0</v>
      </c>
      <c r="K270" s="16">
        <f t="shared" si="75"/>
        <v>0</v>
      </c>
      <c r="L270" s="67">
        <f t="shared" si="76"/>
        <v>0</v>
      </c>
      <c r="M270" s="4">
        <f t="shared" si="77"/>
        <v>0</v>
      </c>
      <c r="N270" s="4">
        <f t="shared" si="78"/>
        <v>0</v>
      </c>
      <c r="O270" s="4">
        <f t="shared" si="79"/>
        <v>0</v>
      </c>
      <c r="P270" s="4" t="e">
        <f>VLOOKUP(AJ262,'CIR Team Info'!$C$5:$E$44,2,FALSE)</f>
        <v>#N/A</v>
      </c>
      <c r="Q270" s="4" t="e">
        <f>VLOOKUP(AJ262,'CIR Team Info'!$C$5:$E$44,3,FALSE)</f>
        <v>#N/A</v>
      </c>
      <c r="R270" s="10" t="e">
        <f>VLOOKUP(AJ262,'FRC Site Data'!$B$3:$L$42,2,FALSE)</f>
        <v>#N/A</v>
      </c>
      <c r="S270" s="10" t="e">
        <f>VLOOKUP(AJ262,'FRC Site Data'!$B$3:$L$42,3,FALSE)</f>
        <v>#N/A</v>
      </c>
      <c r="T270" s="10" t="e">
        <f>VLOOKUP(AJ262,'FRC Site Data'!$B$3:$L$42,4,FALSE)</f>
        <v>#N/A</v>
      </c>
      <c r="U270" s="10" t="e">
        <f>VLOOKUP(AJ262,'FRC Site Data'!$B$3:$L$42,5,FALSE)</f>
        <v>#N/A</v>
      </c>
      <c r="V270" s="10" t="e">
        <f>VLOOKUP(AJ262,'FRC Site Data'!$B$3:$L$42,6,FALSE)</f>
        <v>#N/A</v>
      </c>
      <c r="W270" s="10" t="e">
        <f>VLOOKUP(AJ262,'FRC Site Data'!$B$3:$L$42,8,FALSE)</f>
        <v>#N/A</v>
      </c>
      <c r="X270" s="10" t="e">
        <f>VLOOKUP(AJ262,'FRC Site Data'!$B$3:$L$42,9,FALSE)</f>
        <v>#N/A</v>
      </c>
      <c r="Y270" s="10" t="e">
        <f>VLOOKUP(AJ262,'FRC Site Data'!$B$3:$L$42,10,FALSE)</f>
        <v>#N/A</v>
      </c>
      <c r="Z270" s="10" t="e">
        <f>VLOOKUP(AJ262,'FRC Site Data'!$B$3:$L$42,11,FALSE)</f>
        <v>#N/A</v>
      </c>
      <c r="AA270" s="10" t="e">
        <f>VLOOKUP(AJ262,'CIR Team Info'!$C$5:$E$44,4,FALSE)</f>
        <v>#N/A</v>
      </c>
      <c r="AB270" s="161" t="b">
        <f>ISNUMBER(VLOOKUP(AJ262,Match!$T$5:$T$10,1,FALSE))</f>
        <v>0</v>
      </c>
      <c r="AC270" s="161" t="b">
        <f>IF(AB270=TRUE,(VLOOKUP($AJ262,Match!$T$5:$U$10,2,FALSE)))</f>
        <v>0</v>
      </c>
      <c r="AD270" s="8">
        <v>3</v>
      </c>
      <c r="AE270" s="8">
        <v>2</v>
      </c>
      <c r="AF270" s="8">
        <v>2</v>
      </c>
      <c r="AG270" s="8">
        <v>1</v>
      </c>
      <c r="AH270" s="8" t="str">
        <f t="shared" si="64"/>
        <v/>
      </c>
      <c r="AI270" s="12"/>
      <c r="AZ270" s="12"/>
      <c r="BC270" s="12"/>
      <c r="BK270" s="12"/>
    </row>
    <row r="271" spans="1:63" x14ac:dyDescent="0.25">
      <c r="A271" s="29">
        <f t="shared" si="65"/>
        <v>0</v>
      </c>
      <c r="B271" s="29">
        <f t="shared" si="67"/>
        <v>0</v>
      </c>
      <c r="C271" s="29">
        <f t="shared" si="68"/>
        <v>0</v>
      </c>
      <c r="D271" s="29">
        <f t="shared" si="69"/>
        <v>0</v>
      </c>
      <c r="E271" s="29">
        <f t="shared" si="66"/>
        <v>0</v>
      </c>
      <c r="F271" s="29">
        <f t="shared" si="70"/>
        <v>0</v>
      </c>
      <c r="G271" s="29" t="str">
        <f t="shared" si="71"/>
        <v>offensive</v>
      </c>
      <c r="H271" s="16">
        <f t="shared" si="72"/>
        <v>0</v>
      </c>
      <c r="I271" s="16">
        <f t="shared" si="73"/>
        <v>0</v>
      </c>
      <c r="J271" s="16">
        <f t="shared" si="74"/>
        <v>0</v>
      </c>
      <c r="K271" s="16">
        <f t="shared" si="75"/>
        <v>0</v>
      </c>
      <c r="L271" s="67">
        <f t="shared" si="76"/>
        <v>0</v>
      </c>
      <c r="M271" s="4">
        <f t="shared" si="77"/>
        <v>0</v>
      </c>
      <c r="N271" s="4">
        <f t="shared" si="78"/>
        <v>0</v>
      </c>
      <c r="O271" s="4">
        <f t="shared" si="79"/>
        <v>0</v>
      </c>
      <c r="P271" s="4" t="e">
        <f>VLOOKUP(AJ263,'CIR Team Info'!$C$5:$E$44,2,FALSE)</f>
        <v>#N/A</v>
      </c>
      <c r="Q271" s="4" t="e">
        <f>VLOOKUP(AJ263,'CIR Team Info'!$C$5:$E$44,3,FALSE)</f>
        <v>#N/A</v>
      </c>
      <c r="R271" s="10" t="e">
        <f>VLOOKUP(AJ263,'FRC Site Data'!$B$3:$L$42,2,FALSE)</f>
        <v>#N/A</v>
      </c>
      <c r="S271" s="10" t="e">
        <f>VLOOKUP(AJ263,'FRC Site Data'!$B$3:$L$42,3,FALSE)</f>
        <v>#N/A</v>
      </c>
      <c r="T271" s="10" t="e">
        <f>VLOOKUP(AJ263,'FRC Site Data'!$B$3:$L$42,4,FALSE)</f>
        <v>#N/A</v>
      </c>
      <c r="U271" s="10" t="e">
        <f>VLOOKUP(AJ263,'FRC Site Data'!$B$3:$L$42,5,FALSE)</f>
        <v>#N/A</v>
      </c>
      <c r="V271" s="10" t="e">
        <f>VLOOKUP(AJ263,'FRC Site Data'!$B$3:$L$42,6,FALSE)</f>
        <v>#N/A</v>
      </c>
      <c r="W271" s="10" t="e">
        <f>VLOOKUP(AJ263,'FRC Site Data'!$B$3:$L$42,8,FALSE)</f>
        <v>#N/A</v>
      </c>
      <c r="X271" s="10" t="e">
        <f>VLOOKUP(AJ263,'FRC Site Data'!$B$3:$L$42,9,FALSE)</f>
        <v>#N/A</v>
      </c>
      <c r="Y271" s="10" t="e">
        <f>VLOOKUP(AJ263,'FRC Site Data'!$B$3:$L$42,10,FALSE)</f>
        <v>#N/A</v>
      </c>
      <c r="Z271" s="10" t="e">
        <f>VLOOKUP(AJ263,'FRC Site Data'!$B$3:$L$42,11,FALSE)</f>
        <v>#N/A</v>
      </c>
      <c r="AA271" s="10" t="e">
        <f>VLOOKUP(AJ263,'CIR Team Info'!$C$5:$E$44,4,FALSE)</f>
        <v>#N/A</v>
      </c>
      <c r="AB271" s="161" t="b">
        <f>ISNUMBER(VLOOKUP(AJ263,Match!$T$5:$T$10,1,FALSE))</f>
        <v>0</v>
      </c>
      <c r="AC271" s="161" t="b">
        <f>IF(AB271=TRUE,(VLOOKUP($AJ263,Match!$T$5:$U$10,2,FALSE)))</f>
        <v>0</v>
      </c>
      <c r="AD271" s="8">
        <v>3</v>
      </c>
      <c r="AE271" s="8">
        <v>2</v>
      </c>
      <c r="AF271" s="8">
        <v>2</v>
      </c>
      <c r="AG271" s="8">
        <v>1</v>
      </c>
      <c r="AH271" s="8" t="str">
        <f t="shared" si="64"/>
        <v/>
      </c>
      <c r="AI271" s="12"/>
      <c r="AZ271" s="12"/>
      <c r="BC271" s="12"/>
      <c r="BK271" s="12"/>
    </row>
    <row r="272" spans="1:63" x14ac:dyDescent="0.25">
      <c r="A272" s="29">
        <f t="shared" si="65"/>
        <v>0</v>
      </c>
      <c r="B272" s="29">
        <f t="shared" si="67"/>
        <v>0</v>
      </c>
      <c r="C272" s="29">
        <f t="shared" si="68"/>
        <v>0</v>
      </c>
      <c r="D272" s="29">
        <f t="shared" si="69"/>
        <v>0</v>
      </c>
      <c r="E272" s="29">
        <f t="shared" si="66"/>
        <v>0</v>
      </c>
      <c r="F272" s="29">
        <f t="shared" si="70"/>
        <v>0</v>
      </c>
      <c r="G272" s="29" t="str">
        <f t="shared" si="71"/>
        <v>offensive</v>
      </c>
      <c r="H272" s="16">
        <f t="shared" si="72"/>
        <v>0</v>
      </c>
      <c r="I272" s="16">
        <f t="shared" si="73"/>
        <v>0</v>
      </c>
      <c r="J272" s="16">
        <f t="shared" si="74"/>
        <v>0</v>
      </c>
      <c r="K272" s="16">
        <f t="shared" si="75"/>
        <v>0</v>
      </c>
      <c r="L272" s="67">
        <f t="shared" si="76"/>
        <v>0</v>
      </c>
      <c r="M272" s="4">
        <f t="shared" si="77"/>
        <v>0</v>
      </c>
      <c r="N272" s="4">
        <f t="shared" si="78"/>
        <v>0</v>
      </c>
      <c r="O272" s="4">
        <f t="shared" si="79"/>
        <v>0</v>
      </c>
      <c r="P272" s="4" t="e">
        <f>VLOOKUP(AJ264,'CIR Team Info'!$C$5:$E$44,2,FALSE)</f>
        <v>#N/A</v>
      </c>
      <c r="Q272" s="4" t="e">
        <f>VLOOKUP(AJ264,'CIR Team Info'!$C$5:$E$44,3,FALSE)</f>
        <v>#N/A</v>
      </c>
      <c r="R272" s="10" t="e">
        <f>VLOOKUP(AJ264,'FRC Site Data'!$B$3:$L$42,2,FALSE)</f>
        <v>#N/A</v>
      </c>
      <c r="S272" s="10" t="e">
        <f>VLOOKUP(AJ264,'FRC Site Data'!$B$3:$L$42,3,FALSE)</f>
        <v>#N/A</v>
      </c>
      <c r="T272" s="10" t="e">
        <f>VLOOKUP(AJ264,'FRC Site Data'!$B$3:$L$42,4,FALSE)</f>
        <v>#N/A</v>
      </c>
      <c r="U272" s="10" t="e">
        <f>VLOOKUP(AJ264,'FRC Site Data'!$B$3:$L$42,5,FALSE)</f>
        <v>#N/A</v>
      </c>
      <c r="V272" s="10" t="e">
        <f>VLOOKUP(AJ264,'FRC Site Data'!$B$3:$L$42,6,FALSE)</f>
        <v>#N/A</v>
      </c>
      <c r="W272" s="10" t="e">
        <f>VLOOKUP(AJ264,'FRC Site Data'!$B$3:$L$42,8,FALSE)</f>
        <v>#N/A</v>
      </c>
      <c r="X272" s="10" t="e">
        <f>VLOOKUP(AJ264,'FRC Site Data'!$B$3:$L$42,9,FALSE)</f>
        <v>#N/A</v>
      </c>
      <c r="Y272" s="10" t="e">
        <f>VLOOKUP(AJ264,'FRC Site Data'!$B$3:$L$42,10,FALSE)</f>
        <v>#N/A</v>
      </c>
      <c r="Z272" s="10" t="e">
        <f>VLOOKUP(AJ264,'FRC Site Data'!$B$3:$L$42,11,FALSE)</f>
        <v>#N/A</v>
      </c>
      <c r="AA272" s="10" t="e">
        <f>VLOOKUP(AJ264,'CIR Team Info'!$C$5:$E$44,4,FALSE)</f>
        <v>#N/A</v>
      </c>
      <c r="AB272" s="161" t="b">
        <f>ISNUMBER(VLOOKUP(AJ264,Match!$T$5:$T$10,1,FALSE))</f>
        <v>0</v>
      </c>
      <c r="AC272" s="161" t="b">
        <f>IF(AB272=TRUE,(VLOOKUP($AJ264,Match!$T$5:$U$10,2,FALSE)))</f>
        <v>0</v>
      </c>
      <c r="AD272" s="8">
        <v>3</v>
      </c>
      <c r="AE272" s="8">
        <v>2</v>
      </c>
      <c r="AF272" s="8">
        <v>2</v>
      </c>
      <c r="AG272" s="8">
        <v>1</v>
      </c>
      <c r="AH272" s="8" t="str">
        <f t="shared" si="64"/>
        <v/>
      </c>
      <c r="AI272" s="12"/>
      <c r="AZ272" s="12"/>
      <c r="BC272" s="12"/>
      <c r="BK272" s="12"/>
    </row>
    <row r="273" spans="1:63" x14ac:dyDescent="0.25">
      <c r="A273" s="29">
        <f t="shared" si="65"/>
        <v>0</v>
      </c>
      <c r="B273" s="29">
        <f t="shared" si="67"/>
        <v>0</v>
      </c>
      <c r="C273" s="29">
        <f t="shared" si="68"/>
        <v>0</v>
      </c>
      <c r="D273" s="29">
        <f t="shared" si="69"/>
        <v>0</v>
      </c>
      <c r="E273" s="29">
        <f t="shared" si="66"/>
        <v>0</v>
      </c>
      <c r="F273" s="29">
        <f t="shared" si="70"/>
        <v>0</v>
      </c>
      <c r="G273" s="29" t="str">
        <f t="shared" si="71"/>
        <v>offensive</v>
      </c>
      <c r="H273" s="16">
        <f t="shared" si="72"/>
        <v>0</v>
      </c>
      <c r="I273" s="16">
        <f t="shared" si="73"/>
        <v>0</v>
      </c>
      <c r="J273" s="16">
        <f t="shared" si="74"/>
        <v>0</v>
      </c>
      <c r="K273" s="16">
        <f t="shared" si="75"/>
        <v>0</v>
      </c>
      <c r="L273" s="67">
        <f t="shared" si="76"/>
        <v>0</v>
      </c>
      <c r="M273" s="4">
        <f t="shared" si="77"/>
        <v>0</v>
      </c>
      <c r="N273" s="4">
        <f t="shared" si="78"/>
        <v>0</v>
      </c>
      <c r="O273" s="4">
        <f t="shared" si="79"/>
        <v>0</v>
      </c>
      <c r="P273" s="4" t="e">
        <f>VLOOKUP(AJ265,'CIR Team Info'!$C$5:$E$44,2,FALSE)</f>
        <v>#N/A</v>
      </c>
      <c r="Q273" s="4" t="e">
        <f>VLOOKUP(AJ265,'CIR Team Info'!$C$5:$E$44,3,FALSE)</f>
        <v>#N/A</v>
      </c>
      <c r="R273" s="10" t="e">
        <f>VLOOKUP(AJ265,'FRC Site Data'!$B$3:$L$42,2,FALSE)</f>
        <v>#N/A</v>
      </c>
      <c r="S273" s="10" t="e">
        <f>VLOOKUP(AJ265,'FRC Site Data'!$B$3:$L$42,3,FALSE)</f>
        <v>#N/A</v>
      </c>
      <c r="T273" s="10" t="e">
        <f>VLOOKUP(AJ265,'FRC Site Data'!$B$3:$L$42,4,FALSE)</f>
        <v>#N/A</v>
      </c>
      <c r="U273" s="10" t="e">
        <f>VLOOKUP(AJ265,'FRC Site Data'!$B$3:$L$42,5,FALSE)</f>
        <v>#N/A</v>
      </c>
      <c r="V273" s="10" t="e">
        <f>VLOOKUP(AJ265,'FRC Site Data'!$B$3:$L$42,6,FALSE)</f>
        <v>#N/A</v>
      </c>
      <c r="W273" s="10" t="e">
        <f>VLOOKUP(AJ265,'FRC Site Data'!$B$3:$L$42,8,FALSE)</f>
        <v>#N/A</v>
      </c>
      <c r="X273" s="10" t="e">
        <f>VLOOKUP(AJ265,'FRC Site Data'!$B$3:$L$42,9,FALSE)</f>
        <v>#N/A</v>
      </c>
      <c r="Y273" s="10" t="e">
        <f>VLOOKUP(AJ265,'FRC Site Data'!$B$3:$L$42,10,FALSE)</f>
        <v>#N/A</v>
      </c>
      <c r="Z273" s="10" t="e">
        <f>VLOOKUP(AJ265,'FRC Site Data'!$B$3:$L$42,11,FALSE)</f>
        <v>#N/A</v>
      </c>
      <c r="AA273" s="10" t="e">
        <f>VLOOKUP(AJ265,'CIR Team Info'!$C$5:$E$44,4,FALSE)</f>
        <v>#N/A</v>
      </c>
      <c r="AB273" s="161" t="b">
        <f>ISNUMBER(VLOOKUP(AJ265,Match!$T$5:$T$10,1,FALSE))</f>
        <v>0</v>
      </c>
      <c r="AC273" s="161" t="b">
        <f>IF(AB273=TRUE,(VLOOKUP($AJ265,Match!$T$5:$U$10,2,FALSE)))</f>
        <v>0</v>
      </c>
      <c r="AD273" s="8">
        <v>3</v>
      </c>
      <c r="AE273" s="8">
        <v>2</v>
      </c>
      <c r="AF273" s="8">
        <v>2</v>
      </c>
      <c r="AG273" s="8">
        <v>1</v>
      </c>
      <c r="AH273" s="8" t="str">
        <f t="shared" si="64"/>
        <v/>
      </c>
      <c r="AI273" s="12"/>
      <c r="AZ273" s="12"/>
      <c r="BC273" s="12"/>
      <c r="BK273" s="12"/>
    </row>
    <row r="274" spans="1:63" x14ac:dyDescent="0.25">
      <c r="A274" s="29">
        <f t="shared" si="65"/>
        <v>0</v>
      </c>
      <c r="B274" s="29">
        <f t="shared" si="67"/>
        <v>0</v>
      </c>
      <c r="C274" s="29">
        <f t="shared" si="68"/>
        <v>0</v>
      </c>
      <c r="D274" s="29">
        <f t="shared" si="69"/>
        <v>0</v>
      </c>
      <c r="E274" s="29">
        <f t="shared" si="66"/>
        <v>0</v>
      </c>
      <c r="F274" s="29">
        <f t="shared" si="70"/>
        <v>0</v>
      </c>
      <c r="G274" s="29" t="str">
        <f t="shared" si="71"/>
        <v>offensive</v>
      </c>
      <c r="H274" s="16">
        <f t="shared" si="72"/>
        <v>0</v>
      </c>
      <c r="I274" s="16">
        <f t="shared" si="73"/>
        <v>0</v>
      </c>
      <c r="J274" s="16">
        <f t="shared" si="74"/>
        <v>0</v>
      </c>
      <c r="K274" s="16">
        <f t="shared" si="75"/>
        <v>0</v>
      </c>
      <c r="L274" s="67">
        <f t="shared" si="76"/>
        <v>0</v>
      </c>
      <c r="M274" s="4">
        <f t="shared" si="77"/>
        <v>0</v>
      </c>
      <c r="N274" s="4">
        <f t="shared" si="78"/>
        <v>0</v>
      </c>
      <c r="O274" s="4">
        <f t="shared" si="79"/>
        <v>0</v>
      </c>
      <c r="P274" s="4" t="e">
        <f>VLOOKUP(AJ266,'CIR Team Info'!$C$5:$E$44,2,FALSE)</f>
        <v>#N/A</v>
      </c>
      <c r="Q274" s="4" t="e">
        <f>VLOOKUP(AJ266,'CIR Team Info'!$C$5:$E$44,3,FALSE)</f>
        <v>#N/A</v>
      </c>
      <c r="R274" s="10" t="e">
        <f>VLOOKUP(AJ266,'FRC Site Data'!$B$3:$L$42,2,FALSE)</f>
        <v>#N/A</v>
      </c>
      <c r="S274" s="10" t="e">
        <f>VLOOKUP(AJ266,'FRC Site Data'!$B$3:$L$42,3,FALSE)</f>
        <v>#N/A</v>
      </c>
      <c r="T274" s="10" t="e">
        <f>VLOOKUP(AJ266,'FRC Site Data'!$B$3:$L$42,4,FALSE)</f>
        <v>#N/A</v>
      </c>
      <c r="U274" s="10" t="e">
        <f>VLOOKUP(AJ266,'FRC Site Data'!$B$3:$L$42,5,FALSE)</f>
        <v>#N/A</v>
      </c>
      <c r="V274" s="10" t="e">
        <f>VLOOKUP(AJ266,'FRC Site Data'!$B$3:$L$42,6,FALSE)</f>
        <v>#N/A</v>
      </c>
      <c r="W274" s="10" t="e">
        <f>VLOOKUP(AJ266,'FRC Site Data'!$B$3:$L$42,8,FALSE)</f>
        <v>#N/A</v>
      </c>
      <c r="X274" s="10" t="e">
        <f>VLOOKUP(AJ266,'FRC Site Data'!$B$3:$L$42,9,FALSE)</f>
        <v>#N/A</v>
      </c>
      <c r="Y274" s="10" t="e">
        <f>VLOOKUP(AJ266,'FRC Site Data'!$B$3:$L$42,10,FALSE)</f>
        <v>#N/A</v>
      </c>
      <c r="Z274" s="10" t="e">
        <f>VLOOKUP(AJ266,'FRC Site Data'!$B$3:$L$42,11,FALSE)</f>
        <v>#N/A</v>
      </c>
      <c r="AA274" s="10" t="e">
        <f>VLOOKUP(AJ266,'CIR Team Info'!$C$5:$E$44,4,FALSE)</f>
        <v>#N/A</v>
      </c>
      <c r="AB274" s="161" t="b">
        <f>ISNUMBER(VLOOKUP(AJ266,Match!$T$5:$T$10,1,FALSE))</f>
        <v>0</v>
      </c>
      <c r="AC274" s="161" t="b">
        <f>IF(AB274=TRUE,(VLOOKUP($AJ266,Match!$T$5:$U$10,2,FALSE)))</f>
        <v>0</v>
      </c>
      <c r="AD274" s="8">
        <v>3</v>
      </c>
      <c r="AE274" s="8">
        <v>2</v>
      </c>
      <c r="AF274" s="8">
        <v>2</v>
      </c>
      <c r="AG274" s="8">
        <v>1</v>
      </c>
      <c r="AH274" s="8" t="str">
        <f t="shared" si="64"/>
        <v/>
      </c>
      <c r="AI274" s="12"/>
      <c r="AZ274" s="12"/>
      <c r="BC274" s="12"/>
      <c r="BK274" s="12"/>
    </row>
    <row r="275" spans="1:63" x14ac:dyDescent="0.25">
      <c r="A275" s="29">
        <f t="shared" si="65"/>
        <v>0</v>
      </c>
      <c r="B275" s="29">
        <f t="shared" si="67"/>
        <v>0</v>
      </c>
      <c r="C275" s="29">
        <f t="shared" si="68"/>
        <v>0</v>
      </c>
      <c r="D275" s="29">
        <f t="shared" si="69"/>
        <v>0</v>
      </c>
      <c r="E275" s="29">
        <f t="shared" si="66"/>
        <v>0</v>
      </c>
      <c r="F275" s="29">
        <f t="shared" si="70"/>
        <v>0</v>
      </c>
      <c r="G275" s="29" t="str">
        <f t="shared" si="71"/>
        <v>offensive</v>
      </c>
      <c r="H275" s="16">
        <f t="shared" si="72"/>
        <v>0</v>
      </c>
      <c r="I275" s="16">
        <f t="shared" si="73"/>
        <v>0</v>
      </c>
      <c r="J275" s="16">
        <f t="shared" si="74"/>
        <v>0</v>
      </c>
      <c r="K275" s="16">
        <f t="shared" si="75"/>
        <v>0</v>
      </c>
      <c r="L275" s="67">
        <f t="shared" si="76"/>
        <v>0</v>
      </c>
      <c r="M275" s="4">
        <f t="shared" si="77"/>
        <v>0</v>
      </c>
      <c r="N275" s="4">
        <f t="shared" si="78"/>
        <v>0</v>
      </c>
      <c r="O275" s="4">
        <f t="shared" si="79"/>
        <v>0</v>
      </c>
      <c r="P275" s="4" t="e">
        <f>VLOOKUP(AJ267,'CIR Team Info'!$C$5:$E$44,2,FALSE)</f>
        <v>#N/A</v>
      </c>
      <c r="Q275" s="4" t="e">
        <f>VLOOKUP(AJ267,'CIR Team Info'!$C$5:$E$44,3,FALSE)</f>
        <v>#N/A</v>
      </c>
      <c r="R275" s="10" t="e">
        <f>VLOOKUP(AJ267,'FRC Site Data'!$B$3:$L$42,2,FALSE)</f>
        <v>#N/A</v>
      </c>
      <c r="S275" s="10" t="e">
        <f>VLOOKUP(AJ267,'FRC Site Data'!$B$3:$L$42,3,FALSE)</f>
        <v>#N/A</v>
      </c>
      <c r="T275" s="10" t="e">
        <f>VLOOKUP(AJ267,'FRC Site Data'!$B$3:$L$42,4,FALSE)</f>
        <v>#N/A</v>
      </c>
      <c r="U275" s="10" t="e">
        <f>VLOOKUP(AJ267,'FRC Site Data'!$B$3:$L$42,5,FALSE)</f>
        <v>#N/A</v>
      </c>
      <c r="V275" s="10" t="e">
        <f>VLOOKUP(AJ267,'FRC Site Data'!$B$3:$L$42,6,FALSE)</f>
        <v>#N/A</v>
      </c>
      <c r="W275" s="10" t="e">
        <f>VLOOKUP(AJ267,'FRC Site Data'!$B$3:$L$42,8,FALSE)</f>
        <v>#N/A</v>
      </c>
      <c r="X275" s="10" t="e">
        <f>VLOOKUP(AJ267,'FRC Site Data'!$B$3:$L$42,9,FALSE)</f>
        <v>#N/A</v>
      </c>
      <c r="Y275" s="10" t="e">
        <f>VLOOKUP(AJ267,'FRC Site Data'!$B$3:$L$42,10,FALSE)</f>
        <v>#N/A</v>
      </c>
      <c r="Z275" s="10" t="e">
        <f>VLOOKUP(AJ267,'FRC Site Data'!$B$3:$L$42,11,FALSE)</f>
        <v>#N/A</v>
      </c>
      <c r="AA275" s="10" t="e">
        <f>VLOOKUP(AJ267,'CIR Team Info'!$C$5:$E$44,4,FALSE)</f>
        <v>#N/A</v>
      </c>
      <c r="AB275" s="161" t="b">
        <f>ISNUMBER(VLOOKUP(AJ267,Match!$T$5:$T$10,1,FALSE))</f>
        <v>0</v>
      </c>
      <c r="AC275" s="161" t="b">
        <f>IF(AB275=TRUE,(VLOOKUP($AJ267,Match!$T$5:$U$10,2,FALSE)))</f>
        <v>0</v>
      </c>
      <c r="AD275" s="8">
        <v>3</v>
      </c>
      <c r="AE275" s="8">
        <v>2</v>
      </c>
      <c r="AF275" s="8">
        <v>2</v>
      </c>
      <c r="AG275" s="8">
        <v>1</v>
      </c>
      <c r="AH275" s="8" t="str">
        <f t="shared" si="64"/>
        <v/>
      </c>
      <c r="AI275" s="12"/>
      <c r="AZ275" s="12"/>
      <c r="BC275" s="12"/>
      <c r="BK275" s="12"/>
    </row>
    <row r="276" spans="1:63" x14ac:dyDescent="0.25">
      <c r="A276" s="29">
        <f t="shared" si="65"/>
        <v>0</v>
      </c>
      <c r="B276" s="29">
        <f t="shared" si="67"/>
        <v>0</v>
      </c>
      <c r="C276" s="29">
        <f t="shared" si="68"/>
        <v>0</v>
      </c>
      <c r="D276" s="29">
        <f t="shared" si="69"/>
        <v>0</v>
      </c>
      <c r="E276" s="29">
        <f t="shared" si="66"/>
        <v>0</v>
      </c>
      <c r="F276" s="29">
        <f t="shared" si="70"/>
        <v>0</v>
      </c>
      <c r="G276" s="29" t="str">
        <f t="shared" si="71"/>
        <v>offensive</v>
      </c>
      <c r="H276" s="16">
        <f t="shared" si="72"/>
        <v>0</v>
      </c>
      <c r="I276" s="16">
        <f t="shared" si="73"/>
        <v>0</v>
      </c>
      <c r="J276" s="16">
        <f t="shared" si="74"/>
        <v>0</v>
      </c>
      <c r="K276" s="16">
        <f t="shared" si="75"/>
        <v>0</v>
      </c>
      <c r="L276" s="67">
        <f t="shared" si="76"/>
        <v>0</v>
      </c>
      <c r="M276" s="4">
        <f t="shared" si="77"/>
        <v>0</v>
      </c>
      <c r="N276" s="4">
        <f t="shared" si="78"/>
        <v>0</v>
      </c>
      <c r="O276" s="4">
        <f t="shared" si="79"/>
        <v>0</v>
      </c>
      <c r="P276" s="4" t="e">
        <f>VLOOKUP(AJ268,'CIR Team Info'!$C$5:$E$44,2,FALSE)</f>
        <v>#N/A</v>
      </c>
      <c r="Q276" s="4" t="e">
        <f>VLOOKUP(AJ268,'CIR Team Info'!$C$5:$E$44,3,FALSE)</f>
        <v>#N/A</v>
      </c>
      <c r="R276" s="10" t="e">
        <f>VLOOKUP(AJ268,'FRC Site Data'!$B$3:$L$42,2,FALSE)</f>
        <v>#N/A</v>
      </c>
      <c r="S276" s="10" t="e">
        <f>VLOOKUP(AJ268,'FRC Site Data'!$B$3:$L$42,3,FALSE)</f>
        <v>#N/A</v>
      </c>
      <c r="T276" s="10" t="e">
        <f>VLOOKUP(AJ268,'FRC Site Data'!$B$3:$L$42,4,FALSE)</f>
        <v>#N/A</v>
      </c>
      <c r="U276" s="10" t="e">
        <f>VLOOKUP(AJ268,'FRC Site Data'!$B$3:$L$42,5,FALSE)</f>
        <v>#N/A</v>
      </c>
      <c r="V276" s="10" t="e">
        <f>VLOOKUP(AJ268,'FRC Site Data'!$B$3:$L$42,6,FALSE)</f>
        <v>#N/A</v>
      </c>
      <c r="W276" s="10" t="e">
        <f>VLOOKUP(AJ268,'FRC Site Data'!$B$3:$L$42,8,FALSE)</f>
        <v>#N/A</v>
      </c>
      <c r="X276" s="10" t="e">
        <f>VLOOKUP(AJ268,'FRC Site Data'!$B$3:$L$42,9,FALSE)</f>
        <v>#N/A</v>
      </c>
      <c r="Y276" s="10" t="e">
        <f>VLOOKUP(AJ268,'FRC Site Data'!$B$3:$L$42,10,FALSE)</f>
        <v>#N/A</v>
      </c>
      <c r="Z276" s="10" t="e">
        <f>VLOOKUP(AJ268,'FRC Site Data'!$B$3:$L$42,11,FALSE)</f>
        <v>#N/A</v>
      </c>
      <c r="AA276" s="10" t="e">
        <f>VLOOKUP(AJ268,'CIR Team Info'!$C$5:$E$44,4,FALSE)</f>
        <v>#N/A</v>
      </c>
      <c r="AB276" s="161" t="b">
        <f>ISNUMBER(VLOOKUP(AJ268,Match!$T$5:$T$10,1,FALSE))</f>
        <v>0</v>
      </c>
      <c r="AC276" s="161" t="b">
        <f>IF(AB276=TRUE,(VLOOKUP($AJ268,Match!$T$5:$U$10,2,FALSE)))</f>
        <v>0</v>
      </c>
      <c r="AD276" s="8">
        <v>3</v>
      </c>
      <c r="AE276" s="8">
        <v>2</v>
      </c>
      <c r="AF276" s="8">
        <v>2</v>
      </c>
      <c r="AG276" s="8">
        <v>1</v>
      </c>
      <c r="AH276" s="8" t="str">
        <f t="shared" si="64"/>
        <v/>
      </c>
      <c r="AI276" s="12"/>
      <c r="AZ276" s="12"/>
      <c r="BC276" s="12"/>
      <c r="BK276" s="12"/>
    </row>
    <row r="277" spans="1:63" x14ac:dyDescent="0.25">
      <c r="A277" s="29">
        <f t="shared" si="65"/>
        <v>0</v>
      </c>
      <c r="B277" s="29">
        <f t="shared" si="67"/>
        <v>0</v>
      </c>
      <c r="C277" s="29">
        <f t="shared" si="68"/>
        <v>0</v>
      </c>
      <c r="D277" s="29">
        <f t="shared" si="69"/>
        <v>0</v>
      </c>
      <c r="E277" s="29">
        <f t="shared" si="66"/>
        <v>0</v>
      </c>
      <c r="F277" s="29">
        <f t="shared" si="70"/>
        <v>0</v>
      </c>
      <c r="G277" s="29" t="str">
        <f t="shared" si="71"/>
        <v>offensive</v>
      </c>
      <c r="H277" s="16">
        <f t="shared" si="72"/>
        <v>0</v>
      </c>
      <c r="I277" s="16">
        <f t="shared" si="73"/>
        <v>0</v>
      </c>
      <c r="J277" s="16">
        <f t="shared" si="74"/>
        <v>0</v>
      </c>
      <c r="K277" s="16">
        <f t="shared" si="75"/>
        <v>0</v>
      </c>
      <c r="L277" s="67">
        <f t="shared" si="76"/>
        <v>0</v>
      </c>
      <c r="M277" s="4">
        <f t="shared" si="77"/>
        <v>0</v>
      </c>
      <c r="N277" s="4">
        <f t="shared" si="78"/>
        <v>0</v>
      </c>
      <c r="O277" s="4">
        <f t="shared" si="79"/>
        <v>0</v>
      </c>
      <c r="P277" s="4" t="e">
        <f>VLOOKUP(AJ269,'CIR Team Info'!$C$5:$E$44,2,FALSE)</f>
        <v>#N/A</v>
      </c>
      <c r="Q277" s="4" t="e">
        <f>VLOOKUP(AJ269,'CIR Team Info'!$C$5:$E$44,3,FALSE)</f>
        <v>#N/A</v>
      </c>
      <c r="R277" s="10" t="e">
        <f>VLOOKUP(AJ269,'FRC Site Data'!$B$3:$L$42,2,FALSE)</f>
        <v>#N/A</v>
      </c>
      <c r="S277" s="10" t="e">
        <f>VLOOKUP(AJ269,'FRC Site Data'!$B$3:$L$42,3,FALSE)</f>
        <v>#N/A</v>
      </c>
      <c r="T277" s="10" t="e">
        <f>VLOOKUP(AJ269,'FRC Site Data'!$B$3:$L$42,4,FALSE)</f>
        <v>#N/A</v>
      </c>
      <c r="U277" s="10" t="e">
        <f>VLOOKUP(AJ269,'FRC Site Data'!$B$3:$L$42,5,FALSE)</f>
        <v>#N/A</v>
      </c>
      <c r="V277" s="10" t="e">
        <f>VLOOKUP(AJ269,'FRC Site Data'!$B$3:$L$42,6,FALSE)</f>
        <v>#N/A</v>
      </c>
      <c r="W277" s="10" t="e">
        <f>VLOOKUP(AJ269,'FRC Site Data'!$B$3:$L$42,8,FALSE)</f>
        <v>#N/A</v>
      </c>
      <c r="X277" s="10" t="e">
        <f>VLOOKUP(AJ269,'FRC Site Data'!$B$3:$L$42,9,FALSE)</f>
        <v>#N/A</v>
      </c>
      <c r="Y277" s="10" t="e">
        <f>VLOOKUP(AJ269,'FRC Site Data'!$B$3:$L$42,10,FALSE)</f>
        <v>#N/A</v>
      </c>
      <c r="Z277" s="10" t="e">
        <f>VLOOKUP(AJ269,'FRC Site Data'!$B$3:$L$42,11,FALSE)</f>
        <v>#N/A</v>
      </c>
      <c r="AA277" s="10" t="e">
        <f>VLOOKUP(AJ269,'CIR Team Info'!$C$5:$E$44,4,FALSE)</f>
        <v>#N/A</v>
      </c>
      <c r="AB277" s="161" t="b">
        <f>ISNUMBER(VLOOKUP(AJ269,Match!$T$5:$T$10,1,FALSE))</f>
        <v>0</v>
      </c>
      <c r="AC277" s="161" t="b">
        <f>IF(AB277=TRUE,(VLOOKUP($AJ269,Match!$T$5:$U$10,2,FALSE)))</f>
        <v>0</v>
      </c>
      <c r="AD277" s="8">
        <v>3</v>
      </c>
      <c r="AE277" s="8">
        <v>2</v>
      </c>
      <c r="AF277" s="8">
        <v>2</v>
      </c>
      <c r="AG277" s="8">
        <v>1</v>
      </c>
      <c r="AH277" s="8" t="str">
        <f t="shared" si="64"/>
        <v/>
      </c>
      <c r="AI277" s="12"/>
      <c r="AZ277" s="12"/>
      <c r="BC277" s="12"/>
      <c r="BK277" s="12"/>
    </row>
    <row r="278" spans="1:63" x14ac:dyDescent="0.25">
      <c r="A278" s="29">
        <f t="shared" si="65"/>
        <v>0</v>
      </c>
      <c r="B278" s="29">
        <f t="shared" si="67"/>
        <v>0</v>
      </c>
      <c r="C278" s="29">
        <f t="shared" si="68"/>
        <v>0</v>
      </c>
      <c r="D278" s="29">
        <f t="shared" si="69"/>
        <v>0</v>
      </c>
      <c r="E278" s="29">
        <f t="shared" si="66"/>
        <v>0</v>
      </c>
      <c r="F278" s="29">
        <f t="shared" si="70"/>
        <v>0</v>
      </c>
      <c r="G278" s="29" t="str">
        <f t="shared" si="71"/>
        <v>offensive</v>
      </c>
      <c r="H278" s="16">
        <f t="shared" si="72"/>
        <v>0</v>
      </c>
      <c r="I278" s="16">
        <f t="shared" si="73"/>
        <v>0</v>
      </c>
      <c r="J278" s="16">
        <f t="shared" si="74"/>
        <v>0</v>
      </c>
      <c r="K278" s="16">
        <f t="shared" si="75"/>
        <v>0</v>
      </c>
      <c r="L278" s="67">
        <f t="shared" si="76"/>
        <v>0</v>
      </c>
      <c r="M278" s="4">
        <f t="shared" si="77"/>
        <v>0</v>
      </c>
      <c r="N278" s="4">
        <f t="shared" si="78"/>
        <v>0</v>
      </c>
      <c r="O278" s="4">
        <f t="shared" si="79"/>
        <v>0</v>
      </c>
      <c r="P278" s="4" t="e">
        <f>VLOOKUP(AJ270,'CIR Team Info'!$C$5:$E$44,2,FALSE)</f>
        <v>#N/A</v>
      </c>
      <c r="Q278" s="4" t="e">
        <f>VLOOKUP(AJ270,'CIR Team Info'!$C$5:$E$44,3,FALSE)</f>
        <v>#N/A</v>
      </c>
      <c r="R278" s="10" t="e">
        <f>VLOOKUP(AJ270,'FRC Site Data'!$B$3:$L$42,2,FALSE)</f>
        <v>#N/A</v>
      </c>
      <c r="S278" s="10" t="e">
        <f>VLOOKUP(AJ270,'FRC Site Data'!$B$3:$L$42,3,FALSE)</f>
        <v>#N/A</v>
      </c>
      <c r="T278" s="10" t="e">
        <f>VLOOKUP(AJ270,'FRC Site Data'!$B$3:$L$42,4,FALSE)</f>
        <v>#N/A</v>
      </c>
      <c r="U278" s="10" t="e">
        <f>VLOOKUP(AJ270,'FRC Site Data'!$B$3:$L$42,5,FALSE)</f>
        <v>#N/A</v>
      </c>
      <c r="V278" s="10" t="e">
        <f>VLOOKUP(AJ270,'FRC Site Data'!$B$3:$L$42,6,FALSE)</f>
        <v>#N/A</v>
      </c>
      <c r="W278" s="10" t="e">
        <f>VLOOKUP(AJ270,'FRC Site Data'!$B$3:$L$42,8,FALSE)</f>
        <v>#N/A</v>
      </c>
      <c r="X278" s="10" t="e">
        <f>VLOOKUP(AJ270,'FRC Site Data'!$B$3:$L$42,9,FALSE)</f>
        <v>#N/A</v>
      </c>
      <c r="Y278" s="10" t="e">
        <f>VLOOKUP(AJ270,'FRC Site Data'!$B$3:$L$42,10,FALSE)</f>
        <v>#N/A</v>
      </c>
      <c r="Z278" s="10" t="e">
        <f>VLOOKUP(AJ270,'FRC Site Data'!$B$3:$L$42,11,FALSE)</f>
        <v>#N/A</v>
      </c>
      <c r="AA278" s="10" t="e">
        <f>VLOOKUP(AJ270,'CIR Team Info'!$C$5:$E$44,4,FALSE)</f>
        <v>#N/A</v>
      </c>
      <c r="AB278" s="161" t="b">
        <f>ISNUMBER(VLOOKUP(AJ270,Match!$T$5:$T$10,1,FALSE))</f>
        <v>0</v>
      </c>
      <c r="AC278" s="161" t="b">
        <f>IF(AB278=TRUE,(VLOOKUP($AJ270,Match!$T$5:$U$10,2,FALSE)))</f>
        <v>0</v>
      </c>
      <c r="AD278" s="8">
        <v>3</v>
      </c>
      <c r="AE278" s="8">
        <v>2</v>
      </c>
      <c r="AF278" s="8">
        <v>2</v>
      </c>
      <c r="AG278" s="8">
        <v>1</v>
      </c>
      <c r="AH278" s="8" t="str">
        <f t="shared" si="64"/>
        <v/>
      </c>
      <c r="AI278" s="12"/>
      <c r="AZ278" s="12"/>
      <c r="BC278" s="12"/>
      <c r="BK278" s="12"/>
    </row>
    <row r="279" spans="1:63" x14ac:dyDescent="0.25">
      <c r="A279" s="29">
        <f t="shared" si="65"/>
        <v>0</v>
      </c>
      <c r="B279" s="29">
        <f t="shared" si="67"/>
        <v>0</v>
      </c>
      <c r="C279" s="29">
        <f t="shared" si="68"/>
        <v>0</v>
      </c>
      <c r="D279" s="29">
        <f t="shared" si="69"/>
        <v>0</v>
      </c>
      <c r="E279" s="29">
        <f t="shared" si="66"/>
        <v>0</v>
      </c>
      <c r="F279" s="29">
        <f t="shared" si="70"/>
        <v>0</v>
      </c>
      <c r="G279" s="29" t="str">
        <f t="shared" si="71"/>
        <v>offensive</v>
      </c>
      <c r="H279" s="16">
        <f t="shared" si="72"/>
        <v>0</v>
      </c>
      <c r="I279" s="16">
        <f t="shared" si="73"/>
        <v>0</v>
      </c>
      <c r="J279" s="16">
        <f t="shared" si="74"/>
        <v>0</v>
      </c>
      <c r="K279" s="16">
        <f t="shared" si="75"/>
        <v>0</v>
      </c>
      <c r="L279" s="67">
        <f t="shared" si="76"/>
        <v>0</v>
      </c>
      <c r="M279" s="4">
        <f t="shared" si="77"/>
        <v>0</v>
      </c>
      <c r="N279" s="4">
        <f t="shared" si="78"/>
        <v>0</v>
      </c>
      <c r="O279" s="4">
        <f t="shared" si="79"/>
        <v>0</v>
      </c>
      <c r="P279" s="4" t="e">
        <f>VLOOKUP(AJ271,'CIR Team Info'!$C$5:$E$44,2,FALSE)</f>
        <v>#N/A</v>
      </c>
      <c r="Q279" s="4" t="e">
        <f>VLOOKUP(AJ271,'CIR Team Info'!$C$5:$E$44,3,FALSE)</f>
        <v>#N/A</v>
      </c>
      <c r="R279" s="10" t="e">
        <f>VLOOKUP(AJ271,'FRC Site Data'!$B$3:$L$42,2,FALSE)</f>
        <v>#N/A</v>
      </c>
      <c r="S279" s="10" t="e">
        <f>VLOOKUP(AJ271,'FRC Site Data'!$B$3:$L$42,3,FALSE)</f>
        <v>#N/A</v>
      </c>
      <c r="T279" s="10" t="e">
        <f>VLOOKUP(AJ271,'FRC Site Data'!$B$3:$L$42,4,FALSE)</f>
        <v>#N/A</v>
      </c>
      <c r="U279" s="10" t="e">
        <f>VLOOKUP(AJ271,'FRC Site Data'!$B$3:$L$42,5,FALSE)</f>
        <v>#N/A</v>
      </c>
      <c r="V279" s="10" t="e">
        <f>VLOOKUP(AJ271,'FRC Site Data'!$B$3:$L$42,6,FALSE)</f>
        <v>#N/A</v>
      </c>
      <c r="W279" s="10" t="e">
        <f>VLOOKUP(AJ271,'FRC Site Data'!$B$3:$L$42,8,FALSE)</f>
        <v>#N/A</v>
      </c>
      <c r="X279" s="10" t="e">
        <f>VLOOKUP(AJ271,'FRC Site Data'!$B$3:$L$42,9,FALSE)</f>
        <v>#N/A</v>
      </c>
      <c r="Y279" s="10" t="e">
        <f>VLOOKUP(AJ271,'FRC Site Data'!$B$3:$L$42,10,FALSE)</f>
        <v>#N/A</v>
      </c>
      <c r="Z279" s="10" t="e">
        <f>VLOOKUP(AJ271,'FRC Site Data'!$B$3:$L$42,11,FALSE)</f>
        <v>#N/A</v>
      </c>
      <c r="AA279" s="10" t="e">
        <f>VLOOKUP(AJ271,'CIR Team Info'!$C$5:$E$44,4,FALSE)</f>
        <v>#N/A</v>
      </c>
      <c r="AB279" s="161" t="b">
        <f>ISNUMBER(VLOOKUP(AJ271,Match!$T$5:$T$10,1,FALSE))</f>
        <v>0</v>
      </c>
      <c r="AC279" s="161" t="b">
        <f>IF(AB279=TRUE,(VLOOKUP($AJ271,Match!$T$5:$U$10,2,FALSE)))</f>
        <v>0</v>
      </c>
      <c r="AD279" s="8">
        <v>3</v>
      </c>
      <c r="AE279" s="8">
        <v>2</v>
      </c>
      <c r="AF279" s="8">
        <v>2</v>
      </c>
      <c r="AG279" s="8">
        <v>1</v>
      </c>
      <c r="AH279" s="8" t="str">
        <f t="shared" si="64"/>
        <v/>
      </c>
      <c r="AI279" s="12"/>
      <c r="AZ279" s="12"/>
      <c r="BC279" s="12"/>
      <c r="BK279" s="12"/>
    </row>
    <row r="280" spans="1:63" x14ac:dyDescent="0.25">
      <c r="A280" s="29">
        <f t="shared" si="65"/>
        <v>0</v>
      </c>
      <c r="B280" s="29">
        <f t="shared" si="67"/>
        <v>0</v>
      </c>
      <c r="C280" s="29">
        <f t="shared" si="68"/>
        <v>0</v>
      </c>
      <c r="D280" s="29">
        <f t="shared" si="69"/>
        <v>0</v>
      </c>
      <c r="E280" s="29">
        <f t="shared" si="66"/>
        <v>0</v>
      </c>
      <c r="F280" s="29">
        <f t="shared" si="70"/>
        <v>0</v>
      </c>
      <c r="G280" s="29" t="str">
        <f t="shared" si="71"/>
        <v>offensive</v>
      </c>
      <c r="H280" s="16">
        <f t="shared" si="72"/>
        <v>0</v>
      </c>
      <c r="I280" s="16">
        <f t="shared" si="73"/>
        <v>0</v>
      </c>
      <c r="J280" s="16">
        <f t="shared" si="74"/>
        <v>0</v>
      </c>
      <c r="K280" s="16">
        <f t="shared" si="75"/>
        <v>0</v>
      </c>
      <c r="L280" s="67">
        <f t="shared" si="76"/>
        <v>0</v>
      </c>
      <c r="M280" s="4">
        <f t="shared" si="77"/>
        <v>0</v>
      </c>
      <c r="N280" s="4">
        <f t="shared" si="78"/>
        <v>0</v>
      </c>
      <c r="O280" s="4">
        <f t="shared" si="79"/>
        <v>0</v>
      </c>
      <c r="P280" s="4" t="e">
        <f>VLOOKUP(AJ272,'CIR Team Info'!$C$5:$E$44,2,FALSE)</f>
        <v>#N/A</v>
      </c>
      <c r="Q280" s="4" t="e">
        <f>VLOOKUP(AJ272,'CIR Team Info'!$C$5:$E$44,3,FALSE)</f>
        <v>#N/A</v>
      </c>
      <c r="R280" s="10" t="e">
        <f>VLOOKUP(AJ272,'FRC Site Data'!$B$3:$L$42,2,FALSE)</f>
        <v>#N/A</v>
      </c>
      <c r="S280" s="10" t="e">
        <f>VLOOKUP(AJ272,'FRC Site Data'!$B$3:$L$42,3,FALSE)</f>
        <v>#N/A</v>
      </c>
      <c r="T280" s="10" t="e">
        <f>VLOOKUP(AJ272,'FRC Site Data'!$B$3:$L$42,4,FALSE)</f>
        <v>#N/A</v>
      </c>
      <c r="U280" s="10" t="e">
        <f>VLOOKUP(AJ272,'FRC Site Data'!$B$3:$L$42,5,FALSE)</f>
        <v>#N/A</v>
      </c>
      <c r="V280" s="10" t="e">
        <f>VLOOKUP(AJ272,'FRC Site Data'!$B$3:$L$42,6,FALSE)</f>
        <v>#N/A</v>
      </c>
      <c r="W280" s="10" t="e">
        <f>VLOOKUP(AJ272,'FRC Site Data'!$B$3:$L$42,8,FALSE)</f>
        <v>#N/A</v>
      </c>
      <c r="X280" s="10" t="e">
        <f>VLOOKUP(AJ272,'FRC Site Data'!$B$3:$L$42,9,FALSE)</f>
        <v>#N/A</v>
      </c>
      <c r="Y280" s="10" t="e">
        <f>VLOOKUP(AJ272,'FRC Site Data'!$B$3:$L$42,10,FALSE)</f>
        <v>#N/A</v>
      </c>
      <c r="Z280" s="10" t="e">
        <f>VLOOKUP(AJ272,'FRC Site Data'!$B$3:$L$42,11,FALSE)</f>
        <v>#N/A</v>
      </c>
      <c r="AA280" s="10" t="e">
        <f>VLOOKUP(AJ272,'CIR Team Info'!$C$5:$E$44,4,FALSE)</f>
        <v>#N/A</v>
      </c>
      <c r="AB280" s="161" t="b">
        <f>ISNUMBER(VLOOKUP(AJ272,Match!$T$5:$T$10,1,FALSE))</f>
        <v>0</v>
      </c>
      <c r="AC280" s="161" t="b">
        <f>IF(AB280=TRUE,(VLOOKUP($AJ272,Match!$T$5:$U$10,2,FALSE)))</f>
        <v>0</v>
      </c>
      <c r="AD280" s="8">
        <v>3</v>
      </c>
      <c r="AE280" s="8">
        <v>2</v>
      </c>
      <c r="AF280" s="8">
        <v>2</v>
      </c>
      <c r="AG280" s="8">
        <v>1</v>
      </c>
      <c r="AH280" s="8" t="str">
        <f t="shared" si="64"/>
        <v/>
      </c>
      <c r="AI280" s="12"/>
      <c r="AZ280" s="12"/>
      <c r="BC280" s="12"/>
      <c r="BK280" s="12"/>
    </row>
    <row r="281" spans="1:63" x14ac:dyDescent="0.25">
      <c r="A281" s="29">
        <f t="shared" si="65"/>
        <v>0</v>
      </c>
      <c r="B281" s="29">
        <f t="shared" si="67"/>
        <v>0</v>
      </c>
      <c r="C281" s="29">
        <f t="shared" si="68"/>
        <v>0</v>
      </c>
      <c r="D281" s="29">
        <f t="shared" si="69"/>
        <v>0</v>
      </c>
      <c r="E281" s="29">
        <f t="shared" si="66"/>
        <v>0</v>
      </c>
      <c r="F281" s="29">
        <f t="shared" si="70"/>
        <v>0</v>
      </c>
      <c r="G281" s="29" t="str">
        <f t="shared" si="71"/>
        <v>offensive</v>
      </c>
      <c r="H281" s="16">
        <f t="shared" si="72"/>
        <v>0</v>
      </c>
      <c r="I281" s="16">
        <f t="shared" si="73"/>
        <v>0</v>
      </c>
      <c r="J281" s="16">
        <f t="shared" si="74"/>
        <v>0</v>
      </c>
      <c r="K281" s="16">
        <f t="shared" si="75"/>
        <v>0</v>
      </c>
      <c r="L281" s="67">
        <f t="shared" si="76"/>
        <v>0</v>
      </c>
      <c r="M281" s="4">
        <f t="shared" si="77"/>
        <v>0</v>
      </c>
      <c r="N281" s="4">
        <f t="shared" si="78"/>
        <v>0</v>
      </c>
      <c r="O281" s="4">
        <f t="shared" si="79"/>
        <v>0</v>
      </c>
      <c r="P281" s="4" t="e">
        <f>VLOOKUP(AJ273,'CIR Team Info'!$C$5:$E$44,2,FALSE)</f>
        <v>#N/A</v>
      </c>
      <c r="Q281" s="4" t="e">
        <f>VLOOKUP(AJ273,'CIR Team Info'!$C$5:$E$44,3,FALSE)</f>
        <v>#N/A</v>
      </c>
      <c r="R281" s="10" t="e">
        <f>VLOOKUP(AJ273,'FRC Site Data'!$B$3:$L$42,2,FALSE)</f>
        <v>#N/A</v>
      </c>
      <c r="S281" s="10" t="e">
        <f>VLOOKUP(AJ273,'FRC Site Data'!$B$3:$L$42,3,FALSE)</f>
        <v>#N/A</v>
      </c>
      <c r="T281" s="10" t="e">
        <f>VLOOKUP(AJ273,'FRC Site Data'!$B$3:$L$42,4,FALSE)</f>
        <v>#N/A</v>
      </c>
      <c r="U281" s="10" t="e">
        <f>VLOOKUP(AJ273,'FRC Site Data'!$B$3:$L$42,5,FALSE)</f>
        <v>#N/A</v>
      </c>
      <c r="V281" s="10" t="e">
        <f>VLOOKUP(AJ273,'FRC Site Data'!$B$3:$L$42,6,FALSE)</f>
        <v>#N/A</v>
      </c>
      <c r="W281" s="10" t="e">
        <f>VLOOKUP(AJ273,'FRC Site Data'!$B$3:$L$42,8,FALSE)</f>
        <v>#N/A</v>
      </c>
      <c r="X281" s="10" t="e">
        <f>VLOOKUP(AJ273,'FRC Site Data'!$B$3:$L$42,9,FALSE)</f>
        <v>#N/A</v>
      </c>
      <c r="Y281" s="10" t="e">
        <f>VLOOKUP(AJ273,'FRC Site Data'!$B$3:$L$42,10,FALSE)</f>
        <v>#N/A</v>
      </c>
      <c r="Z281" s="10" t="e">
        <f>VLOOKUP(AJ273,'FRC Site Data'!$B$3:$L$42,11,FALSE)</f>
        <v>#N/A</v>
      </c>
      <c r="AA281" s="10" t="e">
        <f>VLOOKUP(AJ273,'CIR Team Info'!$C$5:$E$44,4,FALSE)</f>
        <v>#N/A</v>
      </c>
      <c r="AB281" s="161" t="b">
        <f>ISNUMBER(VLOOKUP(AJ273,Match!$T$5:$T$10,1,FALSE))</f>
        <v>0</v>
      </c>
      <c r="AC281" s="161" t="b">
        <f>IF(AB281=TRUE,(VLOOKUP($AJ273,Match!$T$5:$U$10,2,FALSE)))</f>
        <v>0</v>
      </c>
      <c r="AD281" s="8">
        <v>3</v>
      </c>
      <c r="AE281" s="8">
        <v>2</v>
      </c>
      <c r="AF281" s="8">
        <v>2</v>
      </c>
      <c r="AG281" s="8">
        <v>1</v>
      </c>
      <c r="AH281" s="8" t="str">
        <f t="shared" si="64"/>
        <v/>
      </c>
      <c r="AI281" s="12"/>
      <c r="AZ281" s="12"/>
      <c r="BC281" s="12"/>
      <c r="BK281" s="12"/>
    </row>
    <row r="282" spans="1:63" x14ac:dyDescent="0.25">
      <c r="A282" s="29">
        <f t="shared" si="65"/>
        <v>0</v>
      </c>
      <c r="B282" s="29">
        <f t="shared" si="67"/>
        <v>0</v>
      </c>
      <c r="C282" s="29">
        <f t="shared" si="68"/>
        <v>0</v>
      </c>
      <c r="D282" s="29">
        <f t="shared" si="69"/>
        <v>0</v>
      </c>
      <c r="E282" s="29">
        <f t="shared" si="66"/>
        <v>0</v>
      </c>
      <c r="F282" s="29">
        <f t="shared" si="70"/>
        <v>0</v>
      </c>
      <c r="G282" s="29" t="str">
        <f t="shared" si="71"/>
        <v>offensive</v>
      </c>
      <c r="H282" s="16">
        <f t="shared" si="72"/>
        <v>0</v>
      </c>
      <c r="I282" s="16">
        <f t="shared" si="73"/>
        <v>0</v>
      </c>
      <c r="J282" s="16">
        <f t="shared" si="74"/>
        <v>0</v>
      </c>
      <c r="K282" s="16">
        <f t="shared" si="75"/>
        <v>0</v>
      </c>
      <c r="L282" s="67">
        <f t="shared" si="76"/>
        <v>0</v>
      </c>
      <c r="M282" s="4">
        <f t="shared" si="77"/>
        <v>0</v>
      </c>
      <c r="N282" s="4">
        <f t="shared" si="78"/>
        <v>0</v>
      </c>
      <c r="O282" s="4">
        <f t="shared" si="79"/>
        <v>0</v>
      </c>
      <c r="P282" s="4" t="e">
        <f>VLOOKUP(AJ274,'CIR Team Info'!$C$5:$E$44,2,FALSE)</f>
        <v>#N/A</v>
      </c>
      <c r="Q282" s="4" t="e">
        <f>VLOOKUP(AJ274,'CIR Team Info'!$C$5:$E$44,3,FALSE)</f>
        <v>#N/A</v>
      </c>
      <c r="R282" s="10" t="e">
        <f>VLOOKUP(AJ274,'FRC Site Data'!$B$3:$L$42,2,FALSE)</f>
        <v>#N/A</v>
      </c>
      <c r="S282" s="10" t="e">
        <f>VLOOKUP(AJ274,'FRC Site Data'!$B$3:$L$42,3,FALSE)</f>
        <v>#N/A</v>
      </c>
      <c r="T282" s="10" t="e">
        <f>VLOOKUP(AJ274,'FRC Site Data'!$B$3:$L$42,4,FALSE)</f>
        <v>#N/A</v>
      </c>
      <c r="U282" s="10" t="e">
        <f>VLOOKUP(AJ274,'FRC Site Data'!$B$3:$L$42,5,FALSE)</f>
        <v>#N/A</v>
      </c>
      <c r="V282" s="10" t="e">
        <f>VLOOKUP(AJ274,'FRC Site Data'!$B$3:$L$42,6,FALSE)</f>
        <v>#N/A</v>
      </c>
      <c r="W282" s="10" t="e">
        <f>VLOOKUP(AJ274,'FRC Site Data'!$B$3:$L$42,8,FALSE)</f>
        <v>#N/A</v>
      </c>
      <c r="X282" s="10" t="e">
        <f>VLOOKUP(AJ274,'FRC Site Data'!$B$3:$L$42,9,FALSE)</f>
        <v>#N/A</v>
      </c>
      <c r="Y282" s="10" t="e">
        <f>VLOOKUP(AJ274,'FRC Site Data'!$B$3:$L$42,10,FALSE)</f>
        <v>#N/A</v>
      </c>
      <c r="Z282" s="10" t="e">
        <f>VLOOKUP(AJ274,'FRC Site Data'!$B$3:$L$42,11,FALSE)</f>
        <v>#N/A</v>
      </c>
      <c r="AA282" s="10" t="e">
        <f>VLOOKUP(AJ274,'CIR Team Info'!$C$5:$E$44,4,FALSE)</f>
        <v>#N/A</v>
      </c>
      <c r="AB282" s="161" t="b">
        <f>ISNUMBER(VLOOKUP(AJ274,Match!$T$5:$T$10,1,FALSE))</f>
        <v>0</v>
      </c>
      <c r="AC282" s="161" t="b">
        <f>IF(AB282=TRUE,(VLOOKUP($AJ274,Match!$T$5:$U$10,2,FALSE)))</f>
        <v>0</v>
      </c>
      <c r="AD282" s="8">
        <v>3</v>
      </c>
      <c r="AE282" s="8">
        <v>2</v>
      </c>
      <c r="AF282" s="8">
        <v>2</v>
      </c>
      <c r="AG282" s="8">
        <v>1</v>
      </c>
      <c r="AH282" s="8" t="str">
        <f t="shared" si="64"/>
        <v/>
      </c>
      <c r="AI282" s="12"/>
      <c r="AZ282" s="12"/>
      <c r="BC282" s="12"/>
      <c r="BK282" s="12"/>
    </row>
    <row r="283" spans="1:63" x14ac:dyDescent="0.25">
      <c r="A283" s="29">
        <f t="shared" si="65"/>
        <v>0</v>
      </c>
      <c r="B283" s="29">
        <f t="shared" si="67"/>
        <v>0</v>
      </c>
      <c r="C283" s="29">
        <f t="shared" si="68"/>
        <v>0</v>
      </c>
      <c r="D283" s="29">
        <f t="shared" si="69"/>
        <v>0</v>
      </c>
      <c r="E283" s="29">
        <f t="shared" si="66"/>
        <v>0</v>
      </c>
      <c r="F283" s="29">
        <f t="shared" si="70"/>
        <v>0</v>
      </c>
      <c r="G283" s="29" t="str">
        <f t="shared" si="71"/>
        <v>offensive</v>
      </c>
      <c r="H283" s="16">
        <f t="shared" si="72"/>
        <v>0</v>
      </c>
      <c r="I283" s="16">
        <f t="shared" si="73"/>
        <v>0</v>
      </c>
      <c r="J283" s="16">
        <f t="shared" si="74"/>
        <v>0</v>
      </c>
      <c r="K283" s="16">
        <f t="shared" si="75"/>
        <v>0</v>
      </c>
      <c r="L283" s="67">
        <f t="shared" si="76"/>
        <v>0</v>
      </c>
      <c r="M283" s="4">
        <f t="shared" si="77"/>
        <v>0</v>
      </c>
      <c r="N283" s="4">
        <f t="shared" si="78"/>
        <v>0</v>
      </c>
      <c r="O283" s="4">
        <f t="shared" si="79"/>
        <v>0</v>
      </c>
      <c r="P283" s="4" t="e">
        <f>VLOOKUP(AJ275,'CIR Team Info'!$C$5:$E$44,2,FALSE)</f>
        <v>#N/A</v>
      </c>
      <c r="Q283" s="4" t="e">
        <f>VLOOKUP(AJ275,'CIR Team Info'!$C$5:$E$44,3,FALSE)</f>
        <v>#N/A</v>
      </c>
      <c r="R283" s="10" t="e">
        <f>VLOOKUP(AJ275,'FRC Site Data'!$B$3:$L$42,2,FALSE)</f>
        <v>#N/A</v>
      </c>
      <c r="S283" s="10" t="e">
        <f>VLOOKUP(AJ275,'FRC Site Data'!$B$3:$L$42,3,FALSE)</f>
        <v>#N/A</v>
      </c>
      <c r="T283" s="10" t="e">
        <f>VLOOKUP(AJ275,'FRC Site Data'!$B$3:$L$42,4,FALSE)</f>
        <v>#N/A</v>
      </c>
      <c r="U283" s="10" t="e">
        <f>VLOOKUP(AJ275,'FRC Site Data'!$B$3:$L$42,5,FALSE)</f>
        <v>#N/A</v>
      </c>
      <c r="V283" s="10" t="e">
        <f>VLOOKUP(AJ275,'FRC Site Data'!$B$3:$L$42,6,FALSE)</f>
        <v>#N/A</v>
      </c>
      <c r="W283" s="10" t="e">
        <f>VLOOKUP(AJ275,'FRC Site Data'!$B$3:$L$42,8,FALSE)</f>
        <v>#N/A</v>
      </c>
      <c r="X283" s="10" t="e">
        <f>VLOOKUP(AJ275,'FRC Site Data'!$B$3:$L$42,9,FALSE)</f>
        <v>#N/A</v>
      </c>
      <c r="Y283" s="10" t="e">
        <f>VLOOKUP(AJ275,'FRC Site Data'!$B$3:$L$42,10,FALSE)</f>
        <v>#N/A</v>
      </c>
      <c r="Z283" s="10" t="e">
        <f>VLOOKUP(AJ275,'FRC Site Data'!$B$3:$L$42,11,FALSE)</f>
        <v>#N/A</v>
      </c>
      <c r="AA283" s="10" t="e">
        <f>VLOOKUP(AJ275,'CIR Team Info'!$C$5:$E$44,4,FALSE)</f>
        <v>#N/A</v>
      </c>
      <c r="AB283" s="161" t="b">
        <f>ISNUMBER(VLOOKUP(AJ275,Match!$T$5:$T$10,1,FALSE))</f>
        <v>0</v>
      </c>
      <c r="AC283" s="161" t="b">
        <f>IF(AB283=TRUE,(VLOOKUP($AJ275,Match!$T$5:$U$10,2,FALSE)))</f>
        <v>0</v>
      </c>
      <c r="AD283" s="8">
        <v>3</v>
      </c>
      <c r="AE283" s="8">
        <v>2</v>
      </c>
      <c r="AF283" s="8">
        <v>2</v>
      </c>
      <c r="AG283" s="8">
        <v>1</v>
      </c>
      <c r="AH283" s="8" t="str">
        <f t="shared" ref="AH283:AH346" si="80">IF(AL275="Other","x","")</f>
        <v/>
      </c>
      <c r="AI283" s="12"/>
      <c r="AZ283" s="12"/>
      <c r="BC283" s="12"/>
      <c r="BK283" s="12"/>
    </row>
    <row r="284" spans="1:63" x14ac:dyDescent="0.25">
      <c r="A284" s="29">
        <f t="shared" si="65"/>
        <v>0</v>
      </c>
      <c r="B284" s="29">
        <f t="shared" si="67"/>
        <v>0</v>
      </c>
      <c r="C284" s="29">
        <f t="shared" si="68"/>
        <v>0</v>
      </c>
      <c r="D284" s="29">
        <f t="shared" si="69"/>
        <v>0</v>
      </c>
      <c r="E284" s="29">
        <f t="shared" si="66"/>
        <v>0</v>
      </c>
      <c r="F284" s="29">
        <f t="shared" si="70"/>
        <v>0</v>
      </c>
      <c r="G284" s="29" t="str">
        <f t="shared" si="71"/>
        <v>offensive</v>
      </c>
      <c r="H284" s="16">
        <f t="shared" si="72"/>
        <v>0</v>
      </c>
      <c r="I284" s="16">
        <f t="shared" si="73"/>
        <v>0</v>
      </c>
      <c r="J284" s="16">
        <f t="shared" si="74"/>
        <v>0</v>
      </c>
      <c r="K284" s="16">
        <f t="shared" si="75"/>
        <v>0</v>
      </c>
      <c r="L284" s="67">
        <f t="shared" si="76"/>
        <v>0</v>
      </c>
      <c r="M284" s="4">
        <f t="shared" si="77"/>
        <v>0</v>
      </c>
      <c r="N284" s="4">
        <f t="shared" si="78"/>
        <v>0</v>
      </c>
      <c r="O284" s="4">
        <f t="shared" si="79"/>
        <v>0</v>
      </c>
      <c r="P284" s="4" t="e">
        <f>VLOOKUP(AJ276,'CIR Team Info'!$C$5:$E$44,2,FALSE)</f>
        <v>#N/A</v>
      </c>
      <c r="Q284" s="4" t="e">
        <f>VLOOKUP(AJ276,'CIR Team Info'!$C$5:$E$44,3,FALSE)</f>
        <v>#N/A</v>
      </c>
      <c r="R284" s="10" t="e">
        <f>VLOOKUP(AJ276,'FRC Site Data'!$B$3:$L$42,2,FALSE)</f>
        <v>#N/A</v>
      </c>
      <c r="S284" s="10" t="e">
        <f>VLOOKUP(AJ276,'FRC Site Data'!$B$3:$L$42,3,FALSE)</f>
        <v>#N/A</v>
      </c>
      <c r="T284" s="10" t="e">
        <f>VLOOKUP(AJ276,'FRC Site Data'!$B$3:$L$42,4,FALSE)</f>
        <v>#N/A</v>
      </c>
      <c r="U284" s="10" t="e">
        <f>VLOOKUP(AJ276,'FRC Site Data'!$B$3:$L$42,5,FALSE)</f>
        <v>#N/A</v>
      </c>
      <c r="V284" s="10" t="e">
        <f>VLOOKUP(AJ276,'FRC Site Data'!$B$3:$L$42,6,FALSE)</f>
        <v>#N/A</v>
      </c>
      <c r="W284" s="10" t="e">
        <f>VLOOKUP(AJ276,'FRC Site Data'!$B$3:$L$42,8,FALSE)</f>
        <v>#N/A</v>
      </c>
      <c r="X284" s="10" t="e">
        <f>VLOOKUP(AJ276,'FRC Site Data'!$B$3:$L$42,9,FALSE)</f>
        <v>#N/A</v>
      </c>
      <c r="Y284" s="10" t="e">
        <f>VLOOKUP(AJ276,'FRC Site Data'!$B$3:$L$42,10,FALSE)</f>
        <v>#N/A</v>
      </c>
      <c r="Z284" s="10" t="e">
        <f>VLOOKUP(AJ276,'FRC Site Data'!$B$3:$L$42,11,FALSE)</f>
        <v>#N/A</v>
      </c>
      <c r="AA284" s="10" t="e">
        <f>VLOOKUP(AJ276,'CIR Team Info'!$C$5:$E$44,4,FALSE)</f>
        <v>#N/A</v>
      </c>
      <c r="AB284" s="161" t="b">
        <f>ISNUMBER(VLOOKUP(AJ276,Match!$T$5:$T$10,1,FALSE))</f>
        <v>0</v>
      </c>
      <c r="AC284" s="161" t="b">
        <f>IF(AB284=TRUE,(VLOOKUP($AJ276,Match!$T$5:$U$10,2,FALSE)))</f>
        <v>0</v>
      </c>
      <c r="AD284" s="8">
        <v>3</v>
      </c>
      <c r="AE284" s="8">
        <v>2</v>
      </c>
      <c r="AF284" s="8">
        <v>2</v>
      </c>
      <c r="AG284" s="8">
        <v>1</v>
      </c>
      <c r="AH284" s="8" t="str">
        <f t="shared" si="80"/>
        <v/>
      </c>
      <c r="AI284" s="12"/>
      <c r="AZ284" s="12"/>
      <c r="BC284" s="12"/>
      <c r="BK284" s="12"/>
    </row>
    <row r="285" spans="1:63" x14ac:dyDescent="0.25">
      <c r="A285" s="29">
        <f t="shared" si="65"/>
        <v>0</v>
      </c>
      <c r="B285" s="29">
        <f t="shared" si="67"/>
        <v>0</v>
      </c>
      <c r="C285" s="29">
        <f t="shared" si="68"/>
        <v>0</v>
      </c>
      <c r="D285" s="29">
        <f t="shared" si="69"/>
        <v>0</v>
      </c>
      <c r="E285" s="29">
        <f t="shared" si="66"/>
        <v>0</v>
      </c>
      <c r="F285" s="29">
        <f t="shared" si="70"/>
        <v>0</v>
      </c>
      <c r="G285" s="29" t="str">
        <f t="shared" si="71"/>
        <v>offensive</v>
      </c>
      <c r="H285" s="16">
        <f t="shared" si="72"/>
        <v>0</v>
      </c>
      <c r="I285" s="16">
        <f t="shared" si="73"/>
        <v>0</v>
      </c>
      <c r="J285" s="16">
        <f t="shared" si="74"/>
        <v>0</v>
      </c>
      <c r="K285" s="16">
        <f t="shared" si="75"/>
        <v>0</v>
      </c>
      <c r="L285" s="67">
        <f t="shared" si="76"/>
        <v>0</v>
      </c>
      <c r="M285" s="4">
        <f t="shared" si="77"/>
        <v>0</v>
      </c>
      <c r="N285" s="4">
        <f t="shared" si="78"/>
        <v>0</v>
      </c>
      <c r="O285" s="4">
        <f t="shared" si="79"/>
        <v>0</v>
      </c>
      <c r="P285" s="4" t="e">
        <f>VLOOKUP(AJ277,'CIR Team Info'!$C$5:$E$44,2,FALSE)</f>
        <v>#N/A</v>
      </c>
      <c r="Q285" s="4" t="e">
        <f>VLOOKUP(AJ277,'CIR Team Info'!$C$5:$E$44,3,FALSE)</f>
        <v>#N/A</v>
      </c>
      <c r="R285" s="10" t="e">
        <f>VLOOKUP(AJ277,'FRC Site Data'!$B$3:$L$42,2,FALSE)</f>
        <v>#N/A</v>
      </c>
      <c r="S285" s="10" t="e">
        <f>VLOOKUP(AJ277,'FRC Site Data'!$B$3:$L$42,3,FALSE)</f>
        <v>#N/A</v>
      </c>
      <c r="T285" s="10" t="e">
        <f>VLOOKUP(AJ277,'FRC Site Data'!$B$3:$L$42,4,FALSE)</f>
        <v>#N/A</v>
      </c>
      <c r="U285" s="10" t="e">
        <f>VLOOKUP(AJ277,'FRC Site Data'!$B$3:$L$42,5,FALSE)</f>
        <v>#N/A</v>
      </c>
      <c r="V285" s="10" t="e">
        <f>VLOOKUP(AJ277,'FRC Site Data'!$B$3:$L$42,6,FALSE)</f>
        <v>#N/A</v>
      </c>
      <c r="W285" s="10" t="e">
        <f>VLOOKUP(AJ277,'FRC Site Data'!$B$3:$L$42,8,FALSE)</f>
        <v>#N/A</v>
      </c>
      <c r="X285" s="10" t="e">
        <f>VLOOKUP(AJ277,'FRC Site Data'!$B$3:$L$42,9,FALSE)</f>
        <v>#N/A</v>
      </c>
      <c r="Y285" s="10" t="e">
        <f>VLOOKUP(AJ277,'FRC Site Data'!$B$3:$L$42,10,FALSE)</f>
        <v>#N/A</v>
      </c>
      <c r="Z285" s="10" t="e">
        <f>VLOOKUP(AJ277,'FRC Site Data'!$B$3:$L$42,11,FALSE)</f>
        <v>#N/A</v>
      </c>
      <c r="AA285" s="10" t="e">
        <f>VLOOKUP(AJ277,'CIR Team Info'!$C$5:$E$44,4,FALSE)</f>
        <v>#N/A</v>
      </c>
      <c r="AB285" s="161" t="b">
        <f>ISNUMBER(VLOOKUP(AJ277,Match!$T$5:$T$10,1,FALSE))</f>
        <v>0</v>
      </c>
      <c r="AC285" s="161" t="b">
        <f>IF(AB285=TRUE,(VLOOKUP($AJ277,Match!$T$5:$U$10,2,FALSE)))</f>
        <v>0</v>
      </c>
      <c r="AD285" s="8">
        <v>3</v>
      </c>
      <c r="AE285" s="8">
        <v>2</v>
      </c>
      <c r="AF285" s="8">
        <v>2</v>
      </c>
      <c r="AG285" s="8">
        <v>1</v>
      </c>
      <c r="AH285" s="8" t="str">
        <f t="shared" si="80"/>
        <v/>
      </c>
      <c r="AI285" s="12"/>
      <c r="AZ285" s="12"/>
      <c r="BC285" s="12"/>
      <c r="BK285" s="12"/>
    </row>
    <row r="286" spans="1:63" x14ac:dyDescent="0.25">
      <c r="A286" s="29">
        <f t="shared" si="65"/>
        <v>0</v>
      </c>
      <c r="B286" s="29">
        <f t="shared" si="67"/>
        <v>0</v>
      </c>
      <c r="C286" s="29">
        <f t="shared" si="68"/>
        <v>0</v>
      </c>
      <c r="D286" s="29">
        <f t="shared" si="69"/>
        <v>0</v>
      </c>
      <c r="E286" s="29">
        <f t="shared" si="66"/>
        <v>0</v>
      </c>
      <c r="F286" s="29">
        <f t="shared" si="70"/>
        <v>0</v>
      </c>
      <c r="G286" s="29" t="str">
        <f t="shared" si="71"/>
        <v>offensive</v>
      </c>
      <c r="H286" s="16">
        <f t="shared" si="72"/>
        <v>0</v>
      </c>
      <c r="I286" s="16">
        <f t="shared" si="73"/>
        <v>0</v>
      </c>
      <c r="J286" s="16">
        <f t="shared" si="74"/>
        <v>0</v>
      </c>
      <c r="K286" s="16">
        <f t="shared" si="75"/>
        <v>0</v>
      </c>
      <c r="L286" s="67">
        <f t="shared" si="76"/>
        <v>0</v>
      </c>
      <c r="M286" s="4">
        <f t="shared" si="77"/>
        <v>0</v>
      </c>
      <c r="N286" s="4">
        <f t="shared" si="78"/>
        <v>0</v>
      </c>
      <c r="O286" s="4">
        <f t="shared" si="79"/>
        <v>0</v>
      </c>
      <c r="P286" s="4" t="e">
        <f>VLOOKUP(AJ278,'CIR Team Info'!$C$5:$E$44,2,FALSE)</f>
        <v>#N/A</v>
      </c>
      <c r="Q286" s="4" t="e">
        <f>VLOOKUP(AJ278,'CIR Team Info'!$C$5:$E$44,3,FALSE)</f>
        <v>#N/A</v>
      </c>
      <c r="R286" s="10" t="e">
        <f>VLOOKUP(AJ278,'FRC Site Data'!$B$3:$L$42,2,FALSE)</f>
        <v>#N/A</v>
      </c>
      <c r="S286" s="10" t="e">
        <f>VLOOKUP(AJ278,'FRC Site Data'!$B$3:$L$42,3,FALSE)</f>
        <v>#N/A</v>
      </c>
      <c r="T286" s="10" t="e">
        <f>VLOOKUP(AJ278,'FRC Site Data'!$B$3:$L$42,4,FALSE)</f>
        <v>#N/A</v>
      </c>
      <c r="U286" s="10" t="e">
        <f>VLOOKUP(AJ278,'FRC Site Data'!$B$3:$L$42,5,FALSE)</f>
        <v>#N/A</v>
      </c>
      <c r="V286" s="10" t="e">
        <f>VLOOKUP(AJ278,'FRC Site Data'!$B$3:$L$42,6,FALSE)</f>
        <v>#N/A</v>
      </c>
      <c r="W286" s="10" t="e">
        <f>VLOOKUP(AJ278,'FRC Site Data'!$B$3:$L$42,8,FALSE)</f>
        <v>#N/A</v>
      </c>
      <c r="X286" s="10" t="e">
        <f>VLOOKUP(AJ278,'FRC Site Data'!$B$3:$L$42,9,FALSE)</f>
        <v>#N/A</v>
      </c>
      <c r="Y286" s="10" t="e">
        <f>VLOOKUP(AJ278,'FRC Site Data'!$B$3:$L$42,10,FALSE)</f>
        <v>#N/A</v>
      </c>
      <c r="Z286" s="10" t="e">
        <f>VLOOKUP(AJ278,'FRC Site Data'!$B$3:$L$42,11,FALSE)</f>
        <v>#N/A</v>
      </c>
      <c r="AA286" s="10" t="e">
        <f>VLOOKUP(AJ278,'CIR Team Info'!$C$5:$E$44,4,FALSE)</f>
        <v>#N/A</v>
      </c>
      <c r="AB286" s="161" t="b">
        <f>ISNUMBER(VLOOKUP(AJ278,Match!$T$5:$T$10,1,FALSE))</f>
        <v>0</v>
      </c>
      <c r="AC286" s="161" t="b">
        <f>IF(AB286=TRUE,(VLOOKUP($AJ278,Match!$T$5:$U$10,2,FALSE)))</f>
        <v>0</v>
      </c>
      <c r="AD286" s="8">
        <v>3</v>
      </c>
      <c r="AE286" s="8">
        <v>2</v>
      </c>
      <c r="AF286" s="8">
        <v>2</v>
      </c>
      <c r="AG286" s="8">
        <v>1</v>
      </c>
      <c r="AH286" s="8" t="str">
        <f t="shared" si="80"/>
        <v/>
      </c>
      <c r="AI286" s="12"/>
      <c r="AZ286" s="12"/>
      <c r="BC286" s="12"/>
      <c r="BK286" s="12"/>
    </row>
    <row r="287" spans="1:63" x14ac:dyDescent="0.25">
      <c r="A287" s="29">
        <f t="shared" si="65"/>
        <v>0</v>
      </c>
      <c r="B287" s="29">
        <f t="shared" si="67"/>
        <v>0</v>
      </c>
      <c r="C287" s="29">
        <f t="shared" si="68"/>
        <v>0</v>
      </c>
      <c r="D287" s="29">
        <f t="shared" si="69"/>
        <v>0</v>
      </c>
      <c r="E287" s="29">
        <f t="shared" si="66"/>
        <v>0</v>
      </c>
      <c r="F287" s="29">
        <f t="shared" si="70"/>
        <v>0</v>
      </c>
      <c r="G287" s="29" t="str">
        <f t="shared" si="71"/>
        <v>offensive</v>
      </c>
      <c r="H287" s="16">
        <f t="shared" si="72"/>
        <v>0</v>
      </c>
      <c r="I287" s="16">
        <f t="shared" si="73"/>
        <v>0</v>
      </c>
      <c r="J287" s="16">
        <f t="shared" si="74"/>
        <v>0</v>
      </c>
      <c r="K287" s="16">
        <f t="shared" si="75"/>
        <v>0</v>
      </c>
      <c r="L287" s="67">
        <f t="shared" si="76"/>
        <v>0</v>
      </c>
      <c r="M287" s="4">
        <f t="shared" si="77"/>
        <v>0</v>
      </c>
      <c r="N287" s="4">
        <f t="shared" si="78"/>
        <v>0</v>
      </c>
      <c r="O287" s="4">
        <f t="shared" si="79"/>
        <v>0</v>
      </c>
      <c r="P287" s="4" t="e">
        <f>VLOOKUP(AJ279,'CIR Team Info'!$C$5:$E$44,2,FALSE)</f>
        <v>#N/A</v>
      </c>
      <c r="Q287" s="4" t="e">
        <f>VLOOKUP(AJ279,'CIR Team Info'!$C$5:$E$44,3,FALSE)</f>
        <v>#N/A</v>
      </c>
      <c r="R287" s="10" t="e">
        <f>VLOOKUP(AJ279,'FRC Site Data'!$B$3:$L$42,2,FALSE)</f>
        <v>#N/A</v>
      </c>
      <c r="S287" s="10" t="e">
        <f>VLOOKUP(AJ279,'FRC Site Data'!$B$3:$L$42,3,FALSE)</f>
        <v>#N/A</v>
      </c>
      <c r="T287" s="10" t="e">
        <f>VLOOKUP(AJ279,'FRC Site Data'!$B$3:$L$42,4,FALSE)</f>
        <v>#N/A</v>
      </c>
      <c r="U287" s="10" t="e">
        <f>VLOOKUP(AJ279,'FRC Site Data'!$B$3:$L$42,5,FALSE)</f>
        <v>#N/A</v>
      </c>
      <c r="V287" s="10" t="e">
        <f>VLOOKUP(AJ279,'FRC Site Data'!$B$3:$L$42,6,FALSE)</f>
        <v>#N/A</v>
      </c>
      <c r="W287" s="10" t="e">
        <f>VLOOKUP(AJ279,'FRC Site Data'!$B$3:$L$42,8,FALSE)</f>
        <v>#N/A</v>
      </c>
      <c r="X287" s="10" t="e">
        <f>VLOOKUP(AJ279,'FRC Site Data'!$B$3:$L$42,9,FALSE)</f>
        <v>#N/A</v>
      </c>
      <c r="Y287" s="10" t="e">
        <f>VLOOKUP(AJ279,'FRC Site Data'!$B$3:$L$42,10,FALSE)</f>
        <v>#N/A</v>
      </c>
      <c r="Z287" s="10" t="e">
        <f>VLOOKUP(AJ279,'FRC Site Data'!$B$3:$L$42,11,FALSE)</f>
        <v>#N/A</v>
      </c>
      <c r="AA287" s="10" t="e">
        <f>VLOOKUP(AJ279,'CIR Team Info'!$C$5:$E$44,4,FALSE)</f>
        <v>#N/A</v>
      </c>
      <c r="AB287" s="161" t="b">
        <f>ISNUMBER(VLOOKUP(AJ279,Match!$T$5:$T$10,1,FALSE))</f>
        <v>0</v>
      </c>
      <c r="AC287" s="161" t="b">
        <f>IF(AB287=TRUE,(VLOOKUP($AJ279,Match!$T$5:$U$10,2,FALSE)))</f>
        <v>0</v>
      </c>
      <c r="AD287" s="8">
        <v>3</v>
      </c>
      <c r="AE287" s="8">
        <v>2</v>
      </c>
      <c r="AF287" s="8">
        <v>2</v>
      </c>
      <c r="AG287" s="8">
        <v>1</v>
      </c>
      <c r="AH287" s="8" t="str">
        <f t="shared" si="80"/>
        <v/>
      </c>
      <c r="AI287" s="12"/>
      <c r="AZ287" s="12"/>
      <c r="BC287" s="12"/>
      <c r="BK287" s="12"/>
    </row>
    <row r="288" spans="1:63" x14ac:dyDescent="0.25">
      <c r="A288" s="29">
        <f t="shared" si="65"/>
        <v>0</v>
      </c>
      <c r="B288" s="29">
        <f t="shared" si="67"/>
        <v>0</v>
      </c>
      <c r="C288" s="29">
        <f t="shared" si="68"/>
        <v>0</v>
      </c>
      <c r="D288" s="29">
        <f t="shared" si="69"/>
        <v>0</v>
      </c>
      <c r="E288" s="29">
        <f t="shared" si="66"/>
        <v>0</v>
      </c>
      <c r="F288" s="29">
        <f t="shared" si="70"/>
        <v>0</v>
      </c>
      <c r="G288" s="29" t="str">
        <f t="shared" si="71"/>
        <v>offensive</v>
      </c>
      <c r="H288" s="16">
        <f t="shared" si="72"/>
        <v>0</v>
      </c>
      <c r="I288" s="16">
        <f t="shared" si="73"/>
        <v>0</v>
      </c>
      <c r="J288" s="16">
        <f t="shared" si="74"/>
        <v>0</v>
      </c>
      <c r="K288" s="16">
        <f t="shared" si="75"/>
        <v>0</v>
      </c>
      <c r="L288" s="67">
        <f t="shared" si="76"/>
        <v>0</v>
      </c>
      <c r="M288" s="4">
        <f t="shared" si="77"/>
        <v>0</v>
      </c>
      <c r="N288" s="4">
        <f t="shared" si="78"/>
        <v>0</v>
      </c>
      <c r="O288" s="4">
        <f t="shared" si="79"/>
        <v>0</v>
      </c>
      <c r="P288" s="4" t="e">
        <f>VLOOKUP(AJ280,'CIR Team Info'!$C$5:$E$44,2,FALSE)</f>
        <v>#N/A</v>
      </c>
      <c r="Q288" s="4" t="e">
        <f>VLOOKUP(AJ280,'CIR Team Info'!$C$5:$E$44,3,FALSE)</f>
        <v>#N/A</v>
      </c>
      <c r="R288" s="10" t="e">
        <f>VLOOKUP(AJ280,'FRC Site Data'!$B$3:$L$42,2,FALSE)</f>
        <v>#N/A</v>
      </c>
      <c r="S288" s="10" t="e">
        <f>VLOOKUP(AJ280,'FRC Site Data'!$B$3:$L$42,3,FALSE)</f>
        <v>#N/A</v>
      </c>
      <c r="T288" s="10" t="e">
        <f>VLOOKUP(AJ280,'FRC Site Data'!$B$3:$L$42,4,FALSE)</f>
        <v>#N/A</v>
      </c>
      <c r="U288" s="10" t="e">
        <f>VLOOKUP(AJ280,'FRC Site Data'!$B$3:$L$42,5,FALSE)</f>
        <v>#N/A</v>
      </c>
      <c r="V288" s="10" t="e">
        <f>VLOOKUP(AJ280,'FRC Site Data'!$B$3:$L$42,6,FALSE)</f>
        <v>#N/A</v>
      </c>
      <c r="W288" s="10" t="e">
        <f>VLOOKUP(AJ280,'FRC Site Data'!$B$3:$L$42,8,FALSE)</f>
        <v>#N/A</v>
      </c>
      <c r="X288" s="10" t="e">
        <f>VLOOKUP(AJ280,'FRC Site Data'!$B$3:$L$42,9,FALSE)</f>
        <v>#N/A</v>
      </c>
      <c r="Y288" s="10" t="e">
        <f>VLOOKUP(AJ280,'FRC Site Data'!$B$3:$L$42,10,FALSE)</f>
        <v>#N/A</v>
      </c>
      <c r="Z288" s="10" t="e">
        <f>VLOOKUP(AJ280,'FRC Site Data'!$B$3:$L$42,11,FALSE)</f>
        <v>#N/A</v>
      </c>
      <c r="AA288" s="10" t="e">
        <f>VLOOKUP(AJ280,'CIR Team Info'!$C$5:$E$44,4,FALSE)</f>
        <v>#N/A</v>
      </c>
      <c r="AB288" s="161" t="b">
        <f>ISNUMBER(VLOOKUP(AJ280,Match!$T$5:$T$10,1,FALSE))</f>
        <v>0</v>
      </c>
      <c r="AC288" s="161" t="b">
        <f>IF(AB288=TRUE,(VLOOKUP($AJ280,Match!$T$5:$U$10,2,FALSE)))</f>
        <v>0</v>
      </c>
      <c r="AD288" s="8">
        <v>3</v>
      </c>
      <c r="AE288" s="8">
        <v>2</v>
      </c>
      <c r="AF288" s="8">
        <v>2</v>
      </c>
      <c r="AG288" s="8">
        <v>1</v>
      </c>
      <c r="AH288" s="8" t="str">
        <f t="shared" si="80"/>
        <v/>
      </c>
      <c r="AI288" s="12"/>
      <c r="AZ288" s="12"/>
      <c r="BC288" s="12"/>
      <c r="BK288" s="12"/>
    </row>
    <row r="289" spans="1:63" x14ac:dyDescent="0.25">
      <c r="A289" s="29">
        <f t="shared" si="65"/>
        <v>0</v>
      </c>
      <c r="B289" s="29">
        <f t="shared" si="67"/>
        <v>0</v>
      </c>
      <c r="C289" s="29">
        <f t="shared" si="68"/>
        <v>0</v>
      </c>
      <c r="D289" s="29">
        <f t="shared" si="69"/>
        <v>0</v>
      </c>
      <c r="E289" s="29">
        <f t="shared" si="66"/>
        <v>0</v>
      </c>
      <c r="F289" s="29">
        <f t="shared" si="70"/>
        <v>0</v>
      </c>
      <c r="G289" s="29" t="str">
        <f t="shared" si="71"/>
        <v>offensive</v>
      </c>
      <c r="H289" s="16">
        <f t="shared" si="72"/>
        <v>0</v>
      </c>
      <c r="I289" s="16">
        <f t="shared" si="73"/>
        <v>0</v>
      </c>
      <c r="J289" s="16">
        <f t="shared" si="74"/>
        <v>0</v>
      </c>
      <c r="K289" s="16">
        <f t="shared" si="75"/>
        <v>0</v>
      </c>
      <c r="L289" s="67">
        <f t="shared" si="76"/>
        <v>0</v>
      </c>
      <c r="M289" s="4">
        <f t="shared" si="77"/>
        <v>0</v>
      </c>
      <c r="N289" s="4">
        <f t="shared" si="78"/>
        <v>0</v>
      </c>
      <c r="O289" s="4">
        <f t="shared" si="79"/>
        <v>0</v>
      </c>
      <c r="P289" s="4" t="e">
        <f>VLOOKUP(AJ281,'CIR Team Info'!$C$5:$E$44,2,FALSE)</f>
        <v>#N/A</v>
      </c>
      <c r="Q289" s="4" t="e">
        <f>VLOOKUP(AJ281,'CIR Team Info'!$C$5:$E$44,3,FALSE)</f>
        <v>#N/A</v>
      </c>
      <c r="R289" s="10" t="e">
        <f>VLOOKUP(AJ281,'FRC Site Data'!$B$3:$L$42,2,FALSE)</f>
        <v>#N/A</v>
      </c>
      <c r="S289" s="10" t="e">
        <f>VLOOKUP(AJ281,'FRC Site Data'!$B$3:$L$42,3,FALSE)</f>
        <v>#N/A</v>
      </c>
      <c r="T289" s="10" t="e">
        <f>VLOOKUP(AJ281,'FRC Site Data'!$B$3:$L$42,4,FALSE)</f>
        <v>#N/A</v>
      </c>
      <c r="U289" s="10" t="e">
        <f>VLOOKUP(AJ281,'FRC Site Data'!$B$3:$L$42,5,FALSE)</f>
        <v>#N/A</v>
      </c>
      <c r="V289" s="10" t="e">
        <f>VLOOKUP(AJ281,'FRC Site Data'!$B$3:$L$42,6,FALSE)</f>
        <v>#N/A</v>
      </c>
      <c r="W289" s="10" t="e">
        <f>VLOOKUP(AJ281,'FRC Site Data'!$B$3:$L$42,8,FALSE)</f>
        <v>#N/A</v>
      </c>
      <c r="X289" s="10" t="e">
        <f>VLOOKUP(AJ281,'FRC Site Data'!$B$3:$L$42,9,FALSE)</f>
        <v>#N/A</v>
      </c>
      <c r="Y289" s="10" t="e">
        <f>VLOOKUP(AJ281,'FRC Site Data'!$B$3:$L$42,10,FALSE)</f>
        <v>#N/A</v>
      </c>
      <c r="Z289" s="10" t="e">
        <f>VLOOKUP(AJ281,'FRC Site Data'!$B$3:$L$42,11,FALSE)</f>
        <v>#N/A</v>
      </c>
      <c r="AA289" s="10" t="e">
        <f>VLOOKUP(AJ281,'CIR Team Info'!$C$5:$E$44,4,FALSE)</f>
        <v>#N/A</v>
      </c>
      <c r="AB289" s="161" t="b">
        <f>ISNUMBER(VLOOKUP(AJ281,Match!$T$5:$T$10,1,FALSE))</f>
        <v>0</v>
      </c>
      <c r="AC289" s="161" t="b">
        <f>IF(AB289=TRUE,(VLOOKUP($AJ281,Match!$T$5:$U$10,2,FALSE)))</f>
        <v>0</v>
      </c>
      <c r="AD289" s="8">
        <v>3</v>
      </c>
      <c r="AE289" s="8">
        <v>2</v>
      </c>
      <c r="AF289" s="8">
        <v>2</v>
      </c>
      <c r="AG289" s="8">
        <v>1</v>
      </c>
      <c r="AH289" s="8" t="str">
        <f t="shared" si="80"/>
        <v/>
      </c>
      <c r="AI289" s="12"/>
      <c r="AZ289" s="12"/>
      <c r="BC289" s="12"/>
      <c r="BK289" s="12"/>
    </row>
    <row r="290" spans="1:63" x14ac:dyDescent="0.25">
      <c r="A290" s="29">
        <f t="shared" si="65"/>
        <v>0</v>
      </c>
      <c r="B290" s="29">
        <f t="shared" si="67"/>
        <v>0</v>
      </c>
      <c r="C290" s="29">
        <f t="shared" si="68"/>
        <v>0</v>
      </c>
      <c r="D290" s="29">
        <f t="shared" si="69"/>
        <v>0</v>
      </c>
      <c r="E290" s="29">
        <f t="shared" si="66"/>
        <v>0</v>
      </c>
      <c r="F290" s="29">
        <f t="shared" si="70"/>
        <v>0</v>
      </c>
      <c r="G290" s="29" t="str">
        <f t="shared" si="71"/>
        <v>offensive</v>
      </c>
      <c r="H290" s="16">
        <f t="shared" si="72"/>
        <v>0</v>
      </c>
      <c r="I290" s="16">
        <f t="shared" si="73"/>
        <v>0</v>
      </c>
      <c r="J290" s="16">
        <f t="shared" si="74"/>
        <v>0</v>
      </c>
      <c r="K290" s="16">
        <f t="shared" si="75"/>
        <v>0</v>
      </c>
      <c r="L290" s="67">
        <f t="shared" si="76"/>
        <v>0</v>
      </c>
      <c r="M290" s="4">
        <f t="shared" si="77"/>
        <v>0</v>
      </c>
      <c r="N290" s="4">
        <f t="shared" si="78"/>
        <v>0</v>
      </c>
      <c r="O290" s="4">
        <f t="shared" si="79"/>
        <v>0</v>
      </c>
      <c r="P290" s="4" t="e">
        <f>VLOOKUP(AJ282,'CIR Team Info'!$C$5:$E$44,2,FALSE)</f>
        <v>#N/A</v>
      </c>
      <c r="Q290" s="4" t="e">
        <f>VLOOKUP(AJ282,'CIR Team Info'!$C$5:$E$44,3,FALSE)</f>
        <v>#N/A</v>
      </c>
      <c r="R290" s="10" t="e">
        <f>VLOOKUP(AJ282,'FRC Site Data'!$B$3:$L$42,2,FALSE)</f>
        <v>#N/A</v>
      </c>
      <c r="S290" s="10" t="e">
        <f>VLOOKUP(AJ282,'FRC Site Data'!$B$3:$L$42,3,FALSE)</f>
        <v>#N/A</v>
      </c>
      <c r="T290" s="10" t="e">
        <f>VLOOKUP(AJ282,'FRC Site Data'!$B$3:$L$42,4,FALSE)</f>
        <v>#N/A</v>
      </c>
      <c r="U290" s="10" t="e">
        <f>VLOOKUP(AJ282,'FRC Site Data'!$B$3:$L$42,5,FALSE)</f>
        <v>#N/A</v>
      </c>
      <c r="V290" s="10" t="e">
        <f>VLOOKUP(AJ282,'FRC Site Data'!$B$3:$L$42,6,FALSE)</f>
        <v>#N/A</v>
      </c>
      <c r="W290" s="10" t="e">
        <f>VLOOKUP(AJ282,'FRC Site Data'!$B$3:$L$42,8,FALSE)</f>
        <v>#N/A</v>
      </c>
      <c r="X290" s="10" t="e">
        <f>VLOOKUP(AJ282,'FRC Site Data'!$B$3:$L$42,9,FALSE)</f>
        <v>#N/A</v>
      </c>
      <c r="Y290" s="10" t="e">
        <f>VLOOKUP(AJ282,'FRC Site Data'!$B$3:$L$42,10,FALSE)</f>
        <v>#N/A</v>
      </c>
      <c r="Z290" s="10" t="e">
        <f>VLOOKUP(AJ282,'FRC Site Data'!$B$3:$L$42,11,FALSE)</f>
        <v>#N/A</v>
      </c>
      <c r="AA290" s="10" t="e">
        <f>VLOOKUP(AJ282,'CIR Team Info'!$C$5:$E$44,4,FALSE)</f>
        <v>#N/A</v>
      </c>
      <c r="AB290" s="161" t="b">
        <f>ISNUMBER(VLOOKUP(AJ282,Match!$T$5:$T$10,1,FALSE))</f>
        <v>0</v>
      </c>
      <c r="AC290" s="161" t="b">
        <f>IF(AB290=TRUE,(VLOOKUP($AJ282,Match!$T$5:$U$10,2,FALSE)))</f>
        <v>0</v>
      </c>
      <c r="AD290" s="8">
        <v>3</v>
      </c>
      <c r="AE290" s="8">
        <v>2</v>
      </c>
      <c r="AF290" s="8">
        <v>2</v>
      </c>
      <c r="AG290" s="8">
        <v>1</v>
      </c>
      <c r="AH290" s="8" t="str">
        <f t="shared" si="80"/>
        <v/>
      </c>
      <c r="AI290" s="12"/>
      <c r="AZ290" s="12"/>
      <c r="BC290" s="12"/>
      <c r="BK290" s="12"/>
    </row>
    <row r="291" spans="1:63" x14ac:dyDescent="0.25">
      <c r="A291" s="29">
        <f t="shared" si="65"/>
        <v>0</v>
      </c>
      <c r="B291" s="29">
        <f t="shared" si="67"/>
        <v>0</v>
      </c>
      <c r="C291" s="29">
        <f t="shared" si="68"/>
        <v>0</v>
      </c>
      <c r="D291" s="29">
        <f t="shared" si="69"/>
        <v>0</v>
      </c>
      <c r="E291" s="29">
        <f t="shared" si="66"/>
        <v>0</v>
      </c>
      <c r="F291" s="29">
        <f t="shared" si="70"/>
        <v>0</v>
      </c>
      <c r="G291" s="29" t="str">
        <f t="shared" si="71"/>
        <v>offensive</v>
      </c>
      <c r="H291" s="16">
        <f t="shared" si="72"/>
        <v>0</v>
      </c>
      <c r="I291" s="16">
        <f t="shared" si="73"/>
        <v>0</v>
      </c>
      <c r="J291" s="16">
        <f t="shared" si="74"/>
        <v>0</v>
      </c>
      <c r="K291" s="16">
        <f t="shared" si="75"/>
        <v>0</v>
      </c>
      <c r="L291" s="67">
        <f t="shared" si="76"/>
        <v>0</v>
      </c>
      <c r="M291" s="4">
        <f t="shared" si="77"/>
        <v>0</v>
      </c>
      <c r="N291" s="4">
        <f t="shared" si="78"/>
        <v>0</v>
      </c>
      <c r="O291" s="4">
        <f t="shared" si="79"/>
        <v>0</v>
      </c>
      <c r="P291" s="4" t="e">
        <f>VLOOKUP(AJ283,'CIR Team Info'!$C$5:$E$44,2,FALSE)</f>
        <v>#N/A</v>
      </c>
      <c r="Q291" s="4" t="e">
        <f>VLOOKUP(AJ283,'CIR Team Info'!$C$5:$E$44,3,FALSE)</f>
        <v>#N/A</v>
      </c>
      <c r="R291" s="10" t="e">
        <f>VLOOKUP(AJ283,'FRC Site Data'!$B$3:$L$42,2,FALSE)</f>
        <v>#N/A</v>
      </c>
      <c r="S291" s="10" t="e">
        <f>VLOOKUP(AJ283,'FRC Site Data'!$B$3:$L$42,3,FALSE)</f>
        <v>#N/A</v>
      </c>
      <c r="T291" s="10" t="e">
        <f>VLOOKUP(AJ283,'FRC Site Data'!$B$3:$L$42,4,FALSE)</f>
        <v>#N/A</v>
      </c>
      <c r="U291" s="10" t="e">
        <f>VLOOKUP(AJ283,'FRC Site Data'!$B$3:$L$42,5,FALSE)</f>
        <v>#N/A</v>
      </c>
      <c r="V291" s="10" t="e">
        <f>VLOOKUP(AJ283,'FRC Site Data'!$B$3:$L$42,6,FALSE)</f>
        <v>#N/A</v>
      </c>
      <c r="W291" s="10" t="e">
        <f>VLOOKUP(AJ283,'FRC Site Data'!$B$3:$L$42,8,FALSE)</f>
        <v>#N/A</v>
      </c>
      <c r="X291" s="10" t="e">
        <f>VLOOKUP(AJ283,'FRC Site Data'!$B$3:$L$42,9,FALSE)</f>
        <v>#N/A</v>
      </c>
      <c r="Y291" s="10" t="e">
        <f>VLOOKUP(AJ283,'FRC Site Data'!$B$3:$L$42,10,FALSE)</f>
        <v>#N/A</v>
      </c>
      <c r="Z291" s="10" t="e">
        <f>VLOOKUP(AJ283,'FRC Site Data'!$B$3:$L$42,11,FALSE)</f>
        <v>#N/A</v>
      </c>
      <c r="AA291" s="10" t="e">
        <f>VLOOKUP(AJ283,'CIR Team Info'!$C$5:$E$44,4,FALSE)</f>
        <v>#N/A</v>
      </c>
      <c r="AB291" s="161" t="b">
        <f>ISNUMBER(VLOOKUP(AJ283,Match!$T$5:$T$10,1,FALSE))</f>
        <v>0</v>
      </c>
      <c r="AC291" s="161" t="b">
        <f>IF(AB291=TRUE,(VLOOKUP($AJ283,Match!$T$5:$U$10,2,FALSE)))</f>
        <v>0</v>
      </c>
      <c r="AD291" s="8">
        <v>3</v>
      </c>
      <c r="AE291" s="8">
        <v>2</v>
      </c>
      <c r="AF291" s="8">
        <v>2</v>
      </c>
      <c r="AG291" s="8">
        <v>1</v>
      </c>
      <c r="AH291" s="8" t="str">
        <f t="shared" si="80"/>
        <v/>
      </c>
      <c r="AI291" s="12"/>
      <c r="AZ291" s="12"/>
      <c r="BC291" s="12"/>
      <c r="BK291" s="12"/>
    </row>
    <row r="292" spans="1:63" x14ac:dyDescent="0.25">
      <c r="A292" s="29">
        <f t="shared" si="65"/>
        <v>0</v>
      </c>
      <c r="B292" s="29">
        <f t="shared" si="67"/>
        <v>0</v>
      </c>
      <c r="C292" s="29">
        <f t="shared" si="68"/>
        <v>0</v>
      </c>
      <c r="D292" s="29">
        <f t="shared" si="69"/>
        <v>0</v>
      </c>
      <c r="E292" s="29">
        <f t="shared" si="66"/>
        <v>0</v>
      </c>
      <c r="F292" s="29">
        <f t="shared" si="70"/>
        <v>0</v>
      </c>
      <c r="G292" s="29" t="str">
        <f t="shared" si="71"/>
        <v>offensive</v>
      </c>
      <c r="H292" s="16">
        <f t="shared" si="72"/>
        <v>0</v>
      </c>
      <c r="I292" s="16">
        <f t="shared" si="73"/>
        <v>0</v>
      </c>
      <c r="J292" s="16">
        <f t="shared" si="74"/>
        <v>0</v>
      </c>
      <c r="K292" s="16">
        <f t="shared" si="75"/>
        <v>0</v>
      </c>
      <c r="L292" s="67">
        <f t="shared" si="76"/>
        <v>0</v>
      </c>
      <c r="M292" s="4">
        <f t="shared" si="77"/>
        <v>0</v>
      </c>
      <c r="N292" s="4">
        <f t="shared" si="78"/>
        <v>0</v>
      </c>
      <c r="O292" s="4">
        <f t="shared" si="79"/>
        <v>0</v>
      </c>
      <c r="P292" s="4" t="e">
        <f>VLOOKUP(AJ284,'CIR Team Info'!$C$5:$E$44,2,FALSE)</f>
        <v>#N/A</v>
      </c>
      <c r="Q292" s="4" t="e">
        <f>VLOOKUP(AJ284,'CIR Team Info'!$C$5:$E$44,3,FALSE)</f>
        <v>#N/A</v>
      </c>
      <c r="R292" s="10" t="e">
        <f>VLOOKUP(AJ284,'FRC Site Data'!$B$3:$L$42,2,FALSE)</f>
        <v>#N/A</v>
      </c>
      <c r="S292" s="10" t="e">
        <f>VLOOKUP(AJ284,'FRC Site Data'!$B$3:$L$42,3,FALSE)</f>
        <v>#N/A</v>
      </c>
      <c r="T292" s="10" t="e">
        <f>VLOOKUP(AJ284,'FRC Site Data'!$B$3:$L$42,4,FALSE)</f>
        <v>#N/A</v>
      </c>
      <c r="U292" s="10" t="e">
        <f>VLOOKUP(AJ284,'FRC Site Data'!$B$3:$L$42,5,FALSE)</f>
        <v>#N/A</v>
      </c>
      <c r="V292" s="10" t="e">
        <f>VLOOKUP(AJ284,'FRC Site Data'!$B$3:$L$42,6,FALSE)</f>
        <v>#N/A</v>
      </c>
      <c r="W292" s="10" t="e">
        <f>VLOOKUP(AJ284,'FRC Site Data'!$B$3:$L$42,8,FALSE)</f>
        <v>#N/A</v>
      </c>
      <c r="X292" s="10" t="e">
        <f>VLOOKUP(AJ284,'FRC Site Data'!$B$3:$L$42,9,FALSE)</f>
        <v>#N/A</v>
      </c>
      <c r="Y292" s="10" t="e">
        <f>VLOOKUP(AJ284,'FRC Site Data'!$B$3:$L$42,10,FALSE)</f>
        <v>#N/A</v>
      </c>
      <c r="Z292" s="10" t="e">
        <f>VLOOKUP(AJ284,'FRC Site Data'!$B$3:$L$42,11,FALSE)</f>
        <v>#N/A</v>
      </c>
      <c r="AA292" s="10" t="e">
        <f>VLOOKUP(AJ284,'CIR Team Info'!$C$5:$E$44,4,FALSE)</f>
        <v>#N/A</v>
      </c>
      <c r="AB292" s="161" t="b">
        <f>ISNUMBER(VLOOKUP(AJ284,Match!$T$5:$T$10,1,FALSE))</f>
        <v>0</v>
      </c>
      <c r="AC292" s="161" t="b">
        <f>IF(AB292=TRUE,(VLOOKUP($AJ284,Match!$T$5:$U$10,2,FALSE)))</f>
        <v>0</v>
      </c>
      <c r="AD292" s="8">
        <v>3</v>
      </c>
      <c r="AE292" s="8">
        <v>2</v>
      </c>
      <c r="AF292" s="8">
        <v>2</v>
      </c>
      <c r="AG292" s="8">
        <v>1</v>
      </c>
      <c r="AH292" s="8" t="str">
        <f t="shared" si="80"/>
        <v/>
      </c>
      <c r="AI292" s="12"/>
      <c r="AZ292" s="12"/>
      <c r="BC292" s="12"/>
      <c r="BK292" s="12"/>
    </row>
    <row r="293" spans="1:63" x14ac:dyDescent="0.25">
      <c r="A293" s="29">
        <f t="shared" si="65"/>
        <v>0</v>
      </c>
      <c r="B293" s="29">
        <f t="shared" si="67"/>
        <v>0</v>
      </c>
      <c r="C293" s="29">
        <f t="shared" si="68"/>
        <v>0</v>
      </c>
      <c r="D293" s="29">
        <f t="shared" si="69"/>
        <v>0</v>
      </c>
      <c r="E293" s="29">
        <f t="shared" si="66"/>
        <v>0</v>
      </c>
      <c r="F293" s="29">
        <f t="shared" si="70"/>
        <v>0</v>
      </c>
      <c r="G293" s="29" t="str">
        <f t="shared" si="71"/>
        <v>offensive</v>
      </c>
      <c r="H293" s="16">
        <f t="shared" si="72"/>
        <v>0</v>
      </c>
      <c r="I293" s="16">
        <f t="shared" si="73"/>
        <v>0</v>
      </c>
      <c r="J293" s="16">
        <f t="shared" si="74"/>
        <v>0</v>
      </c>
      <c r="K293" s="16">
        <f t="shared" si="75"/>
        <v>0</v>
      </c>
      <c r="L293" s="67">
        <f t="shared" si="76"/>
        <v>0</v>
      </c>
      <c r="M293" s="4">
        <f t="shared" si="77"/>
        <v>0</v>
      </c>
      <c r="N293" s="4">
        <f t="shared" si="78"/>
        <v>0</v>
      </c>
      <c r="O293" s="4">
        <f t="shared" si="79"/>
        <v>0</v>
      </c>
      <c r="P293" s="4" t="e">
        <f>VLOOKUP(AJ285,'CIR Team Info'!$C$5:$E$44,2,FALSE)</f>
        <v>#N/A</v>
      </c>
      <c r="Q293" s="4" t="e">
        <f>VLOOKUP(AJ285,'CIR Team Info'!$C$5:$E$44,3,FALSE)</f>
        <v>#N/A</v>
      </c>
      <c r="R293" s="10" t="e">
        <f>VLOOKUP(AJ285,'FRC Site Data'!$B$3:$L$42,2,FALSE)</f>
        <v>#N/A</v>
      </c>
      <c r="S293" s="10" t="e">
        <f>VLOOKUP(AJ285,'FRC Site Data'!$B$3:$L$42,3,FALSE)</f>
        <v>#N/A</v>
      </c>
      <c r="T293" s="10" t="e">
        <f>VLOOKUP(AJ285,'FRC Site Data'!$B$3:$L$42,4,FALSE)</f>
        <v>#N/A</v>
      </c>
      <c r="U293" s="10" t="e">
        <f>VLOOKUP(AJ285,'FRC Site Data'!$B$3:$L$42,5,FALSE)</f>
        <v>#N/A</v>
      </c>
      <c r="V293" s="10" t="e">
        <f>VLOOKUP(AJ285,'FRC Site Data'!$B$3:$L$42,6,FALSE)</f>
        <v>#N/A</v>
      </c>
      <c r="W293" s="10" t="e">
        <f>VLOOKUP(AJ285,'FRC Site Data'!$B$3:$L$42,8,FALSE)</f>
        <v>#N/A</v>
      </c>
      <c r="X293" s="10" t="e">
        <f>VLOOKUP(AJ285,'FRC Site Data'!$B$3:$L$42,9,FALSE)</f>
        <v>#N/A</v>
      </c>
      <c r="Y293" s="10" t="e">
        <f>VLOOKUP(AJ285,'FRC Site Data'!$B$3:$L$42,10,FALSE)</f>
        <v>#N/A</v>
      </c>
      <c r="Z293" s="10" t="e">
        <f>VLOOKUP(AJ285,'FRC Site Data'!$B$3:$L$42,11,FALSE)</f>
        <v>#N/A</v>
      </c>
      <c r="AA293" s="10" t="e">
        <f>VLOOKUP(AJ285,'CIR Team Info'!$C$5:$E$44,4,FALSE)</f>
        <v>#N/A</v>
      </c>
      <c r="AB293" s="161" t="b">
        <f>ISNUMBER(VLOOKUP(AJ285,Match!$T$5:$T$10,1,FALSE))</f>
        <v>0</v>
      </c>
      <c r="AC293" s="161" t="b">
        <f>IF(AB293=TRUE,(VLOOKUP($AJ285,Match!$T$5:$U$10,2,FALSE)))</f>
        <v>0</v>
      </c>
      <c r="AD293" s="8">
        <v>3</v>
      </c>
      <c r="AE293" s="8">
        <v>2</v>
      </c>
      <c r="AF293" s="8">
        <v>2</v>
      </c>
      <c r="AG293" s="8">
        <v>1</v>
      </c>
      <c r="AH293" s="8" t="str">
        <f t="shared" si="80"/>
        <v/>
      </c>
      <c r="AI293" s="12"/>
      <c r="AZ293" s="12"/>
      <c r="BC293" s="12"/>
      <c r="BK293" s="12"/>
    </row>
    <row r="294" spans="1:63" x14ac:dyDescent="0.25">
      <c r="A294" s="29">
        <f t="shared" si="65"/>
        <v>0</v>
      </c>
      <c r="B294" s="29">
        <f t="shared" si="67"/>
        <v>0</v>
      </c>
      <c r="C294" s="29">
        <f t="shared" si="68"/>
        <v>0</v>
      </c>
      <c r="D294" s="29">
        <f t="shared" si="69"/>
        <v>0</v>
      </c>
      <c r="E294" s="29">
        <f t="shared" si="66"/>
        <v>0</v>
      </c>
      <c r="F294" s="29">
        <f t="shared" si="70"/>
        <v>0</v>
      </c>
      <c r="G294" s="29" t="str">
        <f t="shared" si="71"/>
        <v>offensive</v>
      </c>
      <c r="H294" s="16">
        <f t="shared" si="72"/>
        <v>0</v>
      </c>
      <c r="I294" s="16">
        <f t="shared" si="73"/>
        <v>0</v>
      </c>
      <c r="J294" s="16">
        <f t="shared" si="74"/>
        <v>0</v>
      </c>
      <c r="K294" s="16">
        <f t="shared" si="75"/>
        <v>0</v>
      </c>
      <c r="L294" s="67">
        <f t="shared" si="76"/>
        <v>0</v>
      </c>
      <c r="M294" s="4">
        <f t="shared" si="77"/>
        <v>0</v>
      </c>
      <c r="N294" s="4">
        <f t="shared" si="78"/>
        <v>0</v>
      </c>
      <c r="O294" s="4">
        <f t="shared" si="79"/>
        <v>0</v>
      </c>
      <c r="P294" s="4" t="e">
        <f>VLOOKUP(AJ286,'CIR Team Info'!$C$5:$E$44,2,FALSE)</f>
        <v>#N/A</v>
      </c>
      <c r="Q294" s="4" t="e">
        <f>VLOOKUP(AJ286,'CIR Team Info'!$C$5:$E$44,3,FALSE)</f>
        <v>#N/A</v>
      </c>
      <c r="R294" s="10" t="e">
        <f>VLOOKUP(AJ286,'FRC Site Data'!$B$3:$L$42,2,FALSE)</f>
        <v>#N/A</v>
      </c>
      <c r="S294" s="10" t="e">
        <f>VLOOKUP(AJ286,'FRC Site Data'!$B$3:$L$42,3,FALSE)</f>
        <v>#N/A</v>
      </c>
      <c r="T294" s="10" t="e">
        <f>VLOOKUP(AJ286,'FRC Site Data'!$B$3:$L$42,4,FALSE)</f>
        <v>#N/A</v>
      </c>
      <c r="U294" s="10" t="e">
        <f>VLOOKUP(AJ286,'FRC Site Data'!$B$3:$L$42,5,FALSE)</f>
        <v>#N/A</v>
      </c>
      <c r="V294" s="10" t="e">
        <f>VLOOKUP(AJ286,'FRC Site Data'!$B$3:$L$42,6,FALSE)</f>
        <v>#N/A</v>
      </c>
      <c r="W294" s="10" t="e">
        <f>VLOOKUP(AJ286,'FRC Site Data'!$B$3:$L$42,8,FALSE)</f>
        <v>#N/A</v>
      </c>
      <c r="X294" s="10" t="e">
        <f>VLOOKUP(AJ286,'FRC Site Data'!$B$3:$L$42,9,FALSE)</f>
        <v>#N/A</v>
      </c>
      <c r="Y294" s="10" t="e">
        <f>VLOOKUP(AJ286,'FRC Site Data'!$B$3:$L$42,10,FALSE)</f>
        <v>#N/A</v>
      </c>
      <c r="Z294" s="10" t="e">
        <f>VLOOKUP(AJ286,'FRC Site Data'!$B$3:$L$42,11,FALSE)</f>
        <v>#N/A</v>
      </c>
      <c r="AA294" s="10" t="e">
        <f>VLOOKUP(AJ286,'CIR Team Info'!$C$5:$E$44,4,FALSE)</f>
        <v>#N/A</v>
      </c>
      <c r="AB294" s="161" t="b">
        <f>ISNUMBER(VLOOKUP(AJ286,Match!$T$5:$T$10,1,FALSE))</f>
        <v>0</v>
      </c>
      <c r="AC294" s="161" t="b">
        <f>IF(AB294=TRUE,(VLOOKUP($AJ286,Match!$T$5:$U$10,2,FALSE)))</f>
        <v>0</v>
      </c>
      <c r="AD294" s="8">
        <v>3</v>
      </c>
      <c r="AE294" s="8">
        <v>2</v>
      </c>
      <c r="AF294" s="8">
        <v>2</v>
      </c>
      <c r="AG294" s="8">
        <v>1</v>
      </c>
      <c r="AH294" s="8" t="str">
        <f t="shared" si="80"/>
        <v/>
      </c>
      <c r="AI294" s="12"/>
      <c r="AZ294" s="12"/>
      <c r="BC294" s="12"/>
      <c r="BK294" s="12"/>
    </row>
    <row r="295" spans="1:63" x14ac:dyDescent="0.25">
      <c r="A295" s="29">
        <f t="shared" ref="A295:A358" si="81">SUM(B295:F295)</f>
        <v>0</v>
      </c>
      <c r="B295" s="29">
        <f t="shared" si="67"/>
        <v>0</v>
      </c>
      <c r="C295" s="29">
        <f t="shared" si="68"/>
        <v>0</v>
      </c>
      <c r="D295" s="29">
        <f t="shared" si="69"/>
        <v>0</v>
      </c>
      <c r="E295" s="29">
        <f t="shared" si="66"/>
        <v>0</v>
      </c>
      <c r="F295" s="29">
        <f t="shared" si="70"/>
        <v>0</v>
      </c>
      <c r="G295" s="29" t="str">
        <f t="shared" si="71"/>
        <v>offensive</v>
      </c>
      <c r="H295" s="16">
        <f t="shared" si="72"/>
        <v>0</v>
      </c>
      <c r="I295" s="16">
        <f t="shared" si="73"/>
        <v>0</v>
      </c>
      <c r="J295" s="16">
        <f t="shared" si="74"/>
        <v>0</v>
      </c>
      <c r="K295" s="16">
        <f t="shared" si="75"/>
        <v>0</v>
      </c>
      <c r="L295" s="67">
        <f t="shared" si="76"/>
        <v>0</v>
      </c>
      <c r="M295" s="4">
        <f t="shared" si="77"/>
        <v>0</v>
      </c>
      <c r="N295" s="4">
        <f t="shared" si="78"/>
        <v>0</v>
      </c>
      <c r="O295" s="4">
        <f t="shared" si="79"/>
        <v>0</v>
      </c>
      <c r="P295" s="4" t="e">
        <f>VLOOKUP(AJ287,'CIR Team Info'!$C$5:$E$44,2,FALSE)</f>
        <v>#N/A</v>
      </c>
      <c r="Q295" s="4" t="e">
        <f>VLOOKUP(AJ287,'CIR Team Info'!$C$5:$E$44,3,FALSE)</f>
        <v>#N/A</v>
      </c>
      <c r="R295" s="10" t="e">
        <f>VLOOKUP(AJ287,'FRC Site Data'!$B$3:$L$42,2,FALSE)</f>
        <v>#N/A</v>
      </c>
      <c r="S295" s="10" t="e">
        <f>VLOOKUP(AJ287,'FRC Site Data'!$B$3:$L$42,3,FALSE)</f>
        <v>#N/A</v>
      </c>
      <c r="T295" s="10" t="e">
        <f>VLOOKUP(AJ287,'FRC Site Data'!$B$3:$L$42,4,FALSE)</f>
        <v>#N/A</v>
      </c>
      <c r="U295" s="10" t="e">
        <f>VLOOKUP(AJ287,'FRC Site Data'!$B$3:$L$42,5,FALSE)</f>
        <v>#N/A</v>
      </c>
      <c r="V295" s="10" t="e">
        <f>VLOOKUP(AJ287,'FRC Site Data'!$B$3:$L$42,6,FALSE)</f>
        <v>#N/A</v>
      </c>
      <c r="W295" s="10" t="e">
        <f>VLOOKUP(AJ287,'FRC Site Data'!$B$3:$L$42,8,FALSE)</f>
        <v>#N/A</v>
      </c>
      <c r="X295" s="10" t="e">
        <f>VLOOKUP(AJ287,'FRC Site Data'!$B$3:$L$42,9,FALSE)</f>
        <v>#N/A</v>
      </c>
      <c r="Y295" s="10" t="e">
        <f>VLOOKUP(AJ287,'FRC Site Data'!$B$3:$L$42,10,FALSE)</f>
        <v>#N/A</v>
      </c>
      <c r="Z295" s="10" t="e">
        <f>VLOOKUP(AJ287,'FRC Site Data'!$B$3:$L$42,11,FALSE)</f>
        <v>#N/A</v>
      </c>
      <c r="AA295" s="10" t="e">
        <f>VLOOKUP(AJ287,'CIR Team Info'!$C$5:$E$44,4,FALSE)</f>
        <v>#N/A</v>
      </c>
      <c r="AB295" s="161" t="b">
        <f>ISNUMBER(VLOOKUP(AJ287,Match!$T$5:$T$10,1,FALSE))</f>
        <v>0</v>
      </c>
      <c r="AC295" s="161" t="b">
        <f>IF(AB295=TRUE,(VLOOKUP($AJ287,Match!$T$5:$U$10,2,FALSE)))</f>
        <v>0</v>
      </c>
      <c r="AD295" s="8">
        <v>3</v>
      </c>
      <c r="AE295" s="8">
        <v>2</v>
      </c>
      <c r="AF295" s="8">
        <v>2</v>
      </c>
      <c r="AG295" s="8">
        <v>1</v>
      </c>
      <c r="AH295" s="8" t="str">
        <f t="shared" si="80"/>
        <v/>
      </c>
      <c r="AI295" s="12"/>
      <c r="AZ295" s="12"/>
      <c r="BC295" s="12"/>
      <c r="BK295" s="12"/>
    </row>
    <row r="296" spans="1:63" x14ac:dyDescent="0.25">
      <c r="A296" s="29">
        <f t="shared" si="81"/>
        <v>0</v>
      </c>
      <c r="B296" s="29">
        <f t="shared" si="67"/>
        <v>0</v>
      </c>
      <c r="C296" s="29">
        <f t="shared" si="68"/>
        <v>0</v>
      </c>
      <c r="D296" s="29">
        <f t="shared" si="69"/>
        <v>0</v>
      </c>
      <c r="E296" s="29">
        <f t="shared" si="66"/>
        <v>0</v>
      </c>
      <c r="F296" s="29">
        <f t="shared" si="70"/>
        <v>0</v>
      </c>
      <c r="G296" s="29" t="str">
        <f t="shared" si="71"/>
        <v>offensive</v>
      </c>
      <c r="H296" s="16">
        <f t="shared" si="72"/>
        <v>0</v>
      </c>
      <c r="I296" s="16">
        <f t="shared" si="73"/>
        <v>0</v>
      </c>
      <c r="J296" s="16">
        <f t="shared" si="74"/>
        <v>0</v>
      </c>
      <c r="K296" s="16">
        <f t="shared" si="75"/>
        <v>0</v>
      </c>
      <c r="L296" s="67">
        <f t="shared" si="76"/>
        <v>0</v>
      </c>
      <c r="M296" s="4">
        <f t="shared" si="77"/>
        <v>0</v>
      </c>
      <c r="N296" s="4">
        <f t="shared" si="78"/>
        <v>0</v>
      </c>
      <c r="O296" s="4">
        <f t="shared" si="79"/>
        <v>0</v>
      </c>
      <c r="P296" s="4" t="e">
        <f>VLOOKUP(AJ288,'CIR Team Info'!$C$5:$E$44,2,FALSE)</f>
        <v>#N/A</v>
      </c>
      <c r="Q296" s="4" t="e">
        <f>VLOOKUP(AJ288,'CIR Team Info'!$C$5:$E$44,3,FALSE)</f>
        <v>#N/A</v>
      </c>
      <c r="R296" s="10" t="e">
        <f>VLOOKUP(AJ288,'FRC Site Data'!$B$3:$L$42,2,FALSE)</f>
        <v>#N/A</v>
      </c>
      <c r="S296" s="10" t="e">
        <f>VLOOKUP(AJ288,'FRC Site Data'!$B$3:$L$42,3,FALSE)</f>
        <v>#N/A</v>
      </c>
      <c r="T296" s="10" t="e">
        <f>VLOOKUP(AJ288,'FRC Site Data'!$B$3:$L$42,4,FALSE)</f>
        <v>#N/A</v>
      </c>
      <c r="U296" s="10" t="e">
        <f>VLOOKUP(AJ288,'FRC Site Data'!$B$3:$L$42,5,FALSE)</f>
        <v>#N/A</v>
      </c>
      <c r="V296" s="10" t="e">
        <f>VLOOKUP(AJ288,'FRC Site Data'!$B$3:$L$42,6,FALSE)</f>
        <v>#N/A</v>
      </c>
      <c r="W296" s="10" t="e">
        <f>VLOOKUP(AJ288,'FRC Site Data'!$B$3:$L$42,8,FALSE)</f>
        <v>#N/A</v>
      </c>
      <c r="X296" s="10" t="e">
        <f>VLOOKUP(AJ288,'FRC Site Data'!$B$3:$L$42,9,FALSE)</f>
        <v>#N/A</v>
      </c>
      <c r="Y296" s="10" t="e">
        <f>VLOOKUP(AJ288,'FRC Site Data'!$B$3:$L$42,10,FALSE)</f>
        <v>#N/A</v>
      </c>
      <c r="Z296" s="10" t="e">
        <f>VLOOKUP(AJ288,'FRC Site Data'!$B$3:$L$42,11,FALSE)</f>
        <v>#N/A</v>
      </c>
      <c r="AA296" s="10" t="e">
        <f>VLOOKUP(AJ288,'CIR Team Info'!$C$5:$E$44,4,FALSE)</f>
        <v>#N/A</v>
      </c>
      <c r="AB296" s="161" t="b">
        <f>ISNUMBER(VLOOKUP(AJ288,Match!$T$5:$T$10,1,FALSE))</f>
        <v>0</v>
      </c>
      <c r="AC296" s="161" t="b">
        <f>IF(AB296=TRUE,(VLOOKUP($AJ288,Match!$T$5:$U$10,2,FALSE)))</f>
        <v>0</v>
      </c>
      <c r="AD296" s="8">
        <v>3</v>
      </c>
      <c r="AE296" s="8">
        <v>2</v>
      </c>
      <c r="AF296" s="8">
        <v>2</v>
      </c>
      <c r="AG296" s="8">
        <v>1</v>
      </c>
      <c r="AH296" s="8" t="str">
        <f t="shared" si="80"/>
        <v/>
      </c>
      <c r="AI296" s="12"/>
      <c r="AZ296" s="12"/>
      <c r="BC296" s="12"/>
      <c r="BK296" s="12"/>
    </row>
    <row r="297" spans="1:63" x14ac:dyDescent="0.25">
      <c r="A297" s="29">
        <f t="shared" si="81"/>
        <v>0</v>
      </c>
      <c r="B297" s="29">
        <f t="shared" si="67"/>
        <v>0</v>
      </c>
      <c r="C297" s="29">
        <f t="shared" si="68"/>
        <v>0</v>
      </c>
      <c r="D297" s="29">
        <f t="shared" si="69"/>
        <v>0</v>
      </c>
      <c r="E297" s="29">
        <f t="shared" si="66"/>
        <v>0</v>
      </c>
      <c r="F297" s="29">
        <f t="shared" si="70"/>
        <v>0</v>
      </c>
      <c r="G297" s="29" t="str">
        <f t="shared" si="71"/>
        <v>offensive</v>
      </c>
      <c r="H297" s="16">
        <f t="shared" si="72"/>
        <v>0</v>
      </c>
      <c r="I297" s="16">
        <f t="shared" si="73"/>
        <v>0</v>
      </c>
      <c r="J297" s="16">
        <f t="shared" si="74"/>
        <v>0</v>
      </c>
      <c r="K297" s="16">
        <f t="shared" si="75"/>
        <v>0</v>
      </c>
      <c r="L297" s="67">
        <f t="shared" si="76"/>
        <v>0</v>
      </c>
      <c r="M297" s="4">
        <f t="shared" si="77"/>
        <v>0</v>
      </c>
      <c r="N297" s="4">
        <f t="shared" si="78"/>
        <v>0</v>
      </c>
      <c r="O297" s="4">
        <f t="shared" si="79"/>
        <v>0</v>
      </c>
      <c r="P297" s="4" t="e">
        <f>VLOOKUP(AJ289,'CIR Team Info'!$C$5:$E$44,2,FALSE)</f>
        <v>#N/A</v>
      </c>
      <c r="Q297" s="4" t="e">
        <f>VLOOKUP(AJ289,'CIR Team Info'!$C$5:$E$44,3,FALSE)</f>
        <v>#N/A</v>
      </c>
      <c r="R297" s="10" t="e">
        <f>VLOOKUP(AJ289,'FRC Site Data'!$B$3:$L$42,2,FALSE)</f>
        <v>#N/A</v>
      </c>
      <c r="S297" s="10" t="e">
        <f>VLOOKUP(AJ289,'FRC Site Data'!$B$3:$L$42,3,FALSE)</f>
        <v>#N/A</v>
      </c>
      <c r="T297" s="10" t="e">
        <f>VLOOKUP(AJ289,'FRC Site Data'!$B$3:$L$42,4,FALSE)</f>
        <v>#N/A</v>
      </c>
      <c r="U297" s="10" t="e">
        <f>VLOOKUP(AJ289,'FRC Site Data'!$B$3:$L$42,5,FALSE)</f>
        <v>#N/A</v>
      </c>
      <c r="V297" s="10" t="e">
        <f>VLOOKUP(AJ289,'FRC Site Data'!$B$3:$L$42,6,FALSE)</f>
        <v>#N/A</v>
      </c>
      <c r="W297" s="10" t="e">
        <f>VLOOKUP(AJ289,'FRC Site Data'!$B$3:$L$42,8,FALSE)</f>
        <v>#N/A</v>
      </c>
      <c r="X297" s="10" t="e">
        <f>VLOOKUP(AJ289,'FRC Site Data'!$B$3:$L$42,9,FALSE)</f>
        <v>#N/A</v>
      </c>
      <c r="Y297" s="10" t="e">
        <f>VLOOKUP(AJ289,'FRC Site Data'!$B$3:$L$42,10,FALSE)</f>
        <v>#N/A</v>
      </c>
      <c r="Z297" s="10" t="e">
        <f>VLOOKUP(AJ289,'FRC Site Data'!$B$3:$L$42,11,FALSE)</f>
        <v>#N/A</v>
      </c>
      <c r="AA297" s="10" t="e">
        <f>VLOOKUP(AJ289,'CIR Team Info'!$C$5:$E$44,4,FALSE)</f>
        <v>#N/A</v>
      </c>
      <c r="AB297" s="161" t="b">
        <f>ISNUMBER(VLOOKUP(AJ289,Match!$T$5:$T$10,1,FALSE))</f>
        <v>0</v>
      </c>
      <c r="AC297" s="161" t="b">
        <f>IF(AB297=TRUE,(VLOOKUP($AJ289,Match!$T$5:$U$10,2,FALSE)))</f>
        <v>0</v>
      </c>
      <c r="AD297" s="8">
        <v>3</v>
      </c>
      <c r="AE297" s="8">
        <v>2</v>
      </c>
      <c r="AF297" s="8">
        <v>2</v>
      </c>
      <c r="AG297" s="8">
        <v>1</v>
      </c>
      <c r="AH297" s="8" t="str">
        <f t="shared" si="80"/>
        <v/>
      </c>
      <c r="AI297" s="12"/>
      <c r="AZ297" s="12"/>
      <c r="BC297" s="12"/>
      <c r="BK297" s="12"/>
    </row>
    <row r="298" spans="1:63" x14ac:dyDescent="0.25">
      <c r="A298" s="29">
        <f t="shared" si="81"/>
        <v>0</v>
      </c>
      <c r="B298" s="29">
        <f t="shared" si="67"/>
        <v>0</v>
      </c>
      <c r="C298" s="29">
        <f t="shared" si="68"/>
        <v>0</v>
      </c>
      <c r="D298" s="29">
        <f t="shared" si="69"/>
        <v>0</v>
      </c>
      <c r="E298" s="29">
        <f t="shared" si="66"/>
        <v>0</v>
      </c>
      <c r="F298" s="29">
        <f t="shared" si="70"/>
        <v>0</v>
      </c>
      <c r="G298" s="29" t="str">
        <f t="shared" si="71"/>
        <v>offensive</v>
      </c>
      <c r="H298" s="16">
        <f t="shared" si="72"/>
        <v>0</v>
      </c>
      <c r="I298" s="16">
        <f t="shared" si="73"/>
        <v>0</v>
      </c>
      <c r="J298" s="16">
        <f t="shared" si="74"/>
        <v>0</v>
      </c>
      <c r="K298" s="16">
        <f t="shared" si="75"/>
        <v>0</v>
      </c>
      <c r="L298" s="67">
        <f t="shared" si="76"/>
        <v>0</v>
      </c>
      <c r="M298" s="4">
        <f t="shared" si="77"/>
        <v>0</v>
      </c>
      <c r="N298" s="4">
        <f t="shared" si="78"/>
        <v>0</v>
      </c>
      <c r="O298" s="4">
        <f t="shared" si="79"/>
        <v>0</v>
      </c>
      <c r="P298" s="4" t="e">
        <f>VLOOKUP(AJ290,'CIR Team Info'!$C$5:$E$44,2,FALSE)</f>
        <v>#N/A</v>
      </c>
      <c r="Q298" s="4" t="e">
        <f>VLOOKUP(AJ290,'CIR Team Info'!$C$5:$E$44,3,FALSE)</f>
        <v>#N/A</v>
      </c>
      <c r="R298" s="10" t="e">
        <f>VLOOKUP(AJ290,'FRC Site Data'!$B$3:$L$42,2,FALSE)</f>
        <v>#N/A</v>
      </c>
      <c r="S298" s="10" t="e">
        <f>VLOOKUP(AJ290,'FRC Site Data'!$B$3:$L$42,3,FALSE)</f>
        <v>#N/A</v>
      </c>
      <c r="T298" s="10" t="e">
        <f>VLOOKUP(AJ290,'FRC Site Data'!$B$3:$L$42,4,FALSE)</f>
        <v>#N/A</v>
      </c>
      <c r="U298" s="10" t="e">
        <f>VLOOKUP(AJ290,'FRC Site Data'!$B$3:$L$42,5,FALSE)</f>
        <v>#N/A</v>
      </c>
      <c r="V298" s="10" t="e">
        <f>VLOOKUP(AJ290,'FRC Site Data'!$B$3:$L$42,6,FALSE)</f>
        <v>#N/A</v>
      </c>
      <c r="W298" s="10" t="e">
        <f>VLOOKUP(AJ290,'FRC Site Data'!$B$3:$L$42,8,FALSE)</f>
        <v>#N/A</v>
      </c>
      <c r="X298" s="10" t="e">
        <f>VLOOKUP(AJ290,'FRC Site Data'!$B$3:$L$42,9,FALSE)</f>
        <v>#N/A</v>
      </c>
      <c r="Y298" s="10" t="e">
        <f>VLOOKUP(AJ290,'FRC Site Data'!$B$3:$L$42,10,FALSE)</f>
        <v>#N/A</v>
      </c>
      <c r="Z298" s="10" t="e">
        <f>VLOOKUP(AJ290,'FRC Site Data'!$B$3:$L$42,11,FALSE)</f>
        <v>#N/A</v>
      </c>
      <c r="AA298" s="10" t="e">
        <f>VLOOKUP(AJ290,'CIR Team Info'!$C$5:$E$44,4,FALSE)</f>
        <v>#N/A</v>
      </c>
      <c r="AB298" s="161" t="b">
        <f>ISNUMBER(VLOOKUP(AJ290,Match!$T$5:$T$10,1,FALSE))</f>
        <v>0</v>
      </c>
      <c r="AC298" s="161" t="b">
        <f>IF(AB298=TRUE,(VLOOKUP($AJ290,Match!$T$5:$U$10,2,FALSE)))</f>
        <v>0</v>
      </c>
      <c r="AD298" s="8">
        <v>3</v>
      </c>
      <c r="AE298" s="8">
        <v>2</v>
      </c>
      <c r="AF298" s="8">
        <v>2</v>
      </c>
      <c r="AG298" s="8">
        <v>1</v>
      </c>
      <c r="AH298" s="8" t="str">
        <f t="shared" si="80"/>
        <v/>
      </c>
      <c r="AI298" s="12"/>
      <c r="AZ298" s="12"/>
      <c r="BC298" s="12"/>
      <c r="BK298" s="12"/>
    </row>
    <row r="299" spans="1:63" x14ac:dyDescent="0.25">
      <c r="A299" s="29">
        <f t="shared" si="81"/>
        <v>0</v>
      </c>
      <c r="B299" s="29">
        <f t="shared" si="67"/>
        <v>0</v>
      </c>
      <c r="C299" s="29">
        <f t="shared" si="68"/>
        <v>0</v>
      </c>
      <c r="D299" s="29">
        <f t="shared" si="69"/>
        <v>0</v>
      </c>
      <c r="E299" s="29">
        <f t="shared" si="66"/>
        <v>0</v>
      </c>
      <c r="F299" s="29">
        <f t="shared" si="70"/>
        <v>0</v>
      </c>
      <c r="G299" s="29" t="str">
        <f t="shared" si="71"/>
        <v>offensive</v>
      </c>
      <c r="H299" s="16">
        <f t="shared" si="72"/>
        <v>0</v>
      </c>
      <c r="I299" s="16">
        <f t="shared" si="73"/>
        <v>0</v>
      </c>
      <c r="J299" s="16">
        <f t="shared" si="74"/>
        <v>0</v>
      </c>
      <c r="K299" s="16">
        <f t="shared" si="75"/>
        <v>0</v>
      </c>
      <c r="L299" s="67">
        <f t="shared" si="76"/>
        <v>0</v>
      </c>
      <c r="M299" s="4">
        <f t="shared" si="77"/>
        <v>0</v>
      </c>
      <c r="N299" s="4">
        <f t="shared" si="78"/>
        <v>0</v>
      </c>
      <c r="O299" s="4">
        <f t="shared" si="79"/>
        <v>0</v>
      </c>
      <c r="P299" s="4" t="e">
        <f>VLOOKUP(AJ291,'CIR Team Info'!$C$5:$E$44,2,FALSE)</f>
        <v>#N/A</v>
      </c>
      <c r="Q299" s="4" t="e">
        <f>VLOOKUP(AJ291,'CIR Team Info'!$C$5:$E$44,3,FALSE)</f>
        <v>#N/A</v>
      </c>
      <c r="R299" s="10" t="e">
        <f>VLOOKUP(AJ291,'FRC Site Data'!$B$3:$L$42,2,FALSE)</f>
        <v>#N/A</v>
      </c>
      <c r="S299" s="10" t="e">
        <f>VLOOKUP(AJ291,'FRC Site Data'!$B$3:$L$42,3,FALSE)</f>
        <v>#N/A</v>
      </c>
      <c r="T299" s="10" t="e">
        <f>VLOOKUP(AJ291,'FRC Site Data'!$B$3:$L$42,4,FALSE)</f>
        <v>#N/A</v>
      </c>
      <c r="U299" s="10" t="e">
        <f>VLOOKUP(AJ291,'FRC Site Data'!$B$3:$L$42,5,FALSE)</f>
        <v>#N/A</v>
      </c>
      <c r="V299" s="10" t="e">
        <f>VLOOKUP(AJ291,'FRC Site Data'!$B$3:$L$42,6,FALSE)</f>
        <v>#N/A</v>
      </c>
      <c r="W299" s="10" t="e">
        <f>VLOOKUP(AJ291,'FRC Site Data'!$B$3:$L$42,8,FALSE)</f>
        <v>#N/A</v>
      </c>
      <c r="X299" s="10" t="e">
        <f>VLOOKUP(AJ291,'FRC Site Data'!$B$3:$L$42,9,FALSE)</f>
        <v>#N/A</v>
      </c>
      <c r="Y299" s="10" t="e">
        <f>VLOOKUP(AJ291,'FRC Site Data'!$B$3:$L$42,10,FALSE)</f>
        <v>#N/A</v>
      </c>
      <c r="Z299" s="10" t="e">
        <f>VLOOKUP(AJ291,'FRC Site Data'!$B$3:$L$42,11,FALSE)</f>
        <v>#N/A</v>
      </c>
      <c r="AA299" s="10" t="e">
        <f>VLOOKUP(AJ291,'CIR Team Info'!$C$5:$E$44,4,FALSE)</f>
        <v>#N/A</v>
      </c>
      <c r="AB299" s="161" t="b">
        <f>ISNUMBER(VLOOKUP(AJ291,Match!$T$5:$T$10,1,FALSE))</f>
        <v>0</v>
      </c>
      <c r="AC299" s="161" t="b">
        <f>IF(AB299=TRUE,(VLOOKUP($AJ291,Match!$T$5:$U$10,2,FALSE)))</f>
        <v>0</v>
      </c>
      <c r="AD299" s="8">
        <v>3</v>
      </c>
      <c r="AE299" s="8">
        <v>2</v>
      </c>
      <c r="AF299" s="8">
        <v>2</v>
      </c>
      <c r="AG299" s="8">
        <v>1</v>
      </c>
      <c r="AH299" s="8" t="str">
        <f t="shared" si="80"/>
        <v/>
      </c>
      <c r="AI299" s="12"/>
      <c r="AZ299" s="12"/>
      <c r="BC299" s="12"/>
      <c r="BK299" s="12"/>
    </row>
    <row r="300" spans="1:63" x14ac:dyDescent="0.25">
      <c r="A300" s="29">
        <f t="shared" si="81"/>
        <v>0</v>
      </c>
      <c r="B300" s="29">
        <f t="shared" si="67"/>
        <v>0</v>
      </c>
      <c r="C300" s="29">
        <f t="shared" si="68"/>
        <v>0</v>
      </c>
      <c r="D300" s="29">
        <f t="shared" si="69"/>
        <v>0</v>
      </c>
      <c r="E300" s="29">
        <f t="shared" si="66"/>
        <v>0</v>
      </c>
      <c r="F300" s="29">
        <f t="shared" si="70"/>
        <v>0</v>
      </c>
      <c r="G300" s="29" t="str">
        <f t="shared" si="71"/>
        <v>offensive</v>
      </c>
      <c r="H300" s="16">
        <f t="shared" si="72"/>
        <v>0</v>
      </c>
      <c r="I300" s="16">
        <f t="shared" si="73"/>
        <v>0</v>
      </c>
      <c r="J300" s="16">
        <f t="shared" si="74"/>
        <v>0</v>
      </c>
      <c r="K300" s="16">
        <f t="shared" si="75"/>
        <v>0</v>
      </c>
      <c r="L300" s="67">
        <f t="shared" si="76"/>
        <v>0</v>
      </c>
      <c r="M300" s="4">
        <f t="shared" si="77"/>
        <v>0</v>
      </c>
      <c r="N300" s="4">
        <f t="shared" si="78"/>
        <v>0</v>
      </c>
      <c r="O300" s="4">
        <f t="shared" si="79"/>
        <v>0</v>
      </c>
      <c r="P300" s="4" t="e">
        <f>VLOOKUP(AJ292,'CIR Team Info'!$C$5:$E$44,2,FALSE)</f>
        <v>#N/A</v>
      </c>
      <c r="Q300" s="4" t="e">
        <f>VLOOKUP(AJ292,'CIR Team Info'!$C$5:$E$44,3,FALSE)</f>
        <v>#N/A</v>
      </c>
      <c r="R300" s="10" t="e">
        <f>VLOOKUP(AJ292,'FRC Site Data'!$B$3:$L$42,2,FALSE)</f>
        <v>#N/A</v>
      </c>
      <c r="S300" s="10" t="e">
        <f>VLOOKUP(AJ292,'FRC Site Data'!$B$3:$L$42,3,FALSE)</f>
        <v>#N/A</v>
      </c>
      <c r="T300" s="10" t="e">
        <f>VLOOKUP(AJ292,'FRC Site Data'!$B$3:$L$42,4,FALSE)</f>
        <v>#N/A</v>
      </c>
      <c r="U300" s="10" t="e">
        <f>VLOOKUP(AJ292,'FRC Site Data'!$B$3:$L$42,5,FALSE)</f>
        <v>#N/A</v>
      </c>
      <c r="V300" s="10" t="e">
        <f>VLOOKUP(AJ292,'FRC Site Data'!$B$3:$L$42,6,FALSE)</f>
        <v>#N/A</v>
      </c>
      <c r="W300" s="10" t="e">
        <f>VLOOKUP(AJ292,'FRC Site Data'!$B$3:$L$42,8,FALSE)</f>
        <v>#N/A</v>
      </c>
      <c r="X300" s="10" t="e">
        <f>VLOOKUP(AJ292,'FRC Site Data'!$B$3:$L$42,9,FALSE)</f>
        <v>#N/A</v>
      </c>
      <c r="Y300" s="10" t="e">
        <f>VLOOKUP(AJ292,'FRC Site Data'!$B$3:$L$42,10,FALSE)</f>
        <v>#N/A</v>
      </c>
      <c r="Z300" s="10" t="e">
        <f>VLOOKUP(AJ292,'FRC Site Data'!$B$3:$L$42,11,FALSE)</f>
        <v>#N/A</v>
      </c>
      <c r="AA300" s="10" t="e">
        <f>VLOOKUP(AJ292,'CIR Team Info'!$C$5:$E$44,4,FALSE)</f>
        <v>#N/A</v>
      </c>
      <c r="AB300" s="161" t="b">
        <f>ISNUMBER(VLOOKUP(AJ292,Match!$T$5:$T$10,1,FALSE))</f>
        <v>0</v>
      </c>
      <c r="AC300" s="161" t="b">
        <f>IF(AB300=TRUE,(VLOOKUP($AJ292,Match!$T$5:$U$10,2,FALSE)))</f>
        <v>0</v>
      </c>
      <c r="AD300" s="8">
        <v>3</v>
      </c>
      <c r="AE300" s="8">
        <v>2</v>
      </c>
      <c r="AF300" s="8">
        <v>2</v>
      </c>
      <c r="AG300" s="8">
        <v>1</v>
      </c>
      <c r="AH300" s="8" t="str">
        <f t="shared" si="80"/>
        <v/>
      </c>
      <c r="AI300" s="12"/>
      <c r="AZ300" s="12"/>
      <c r="BC300" s="12"/>
      <c r="BK300" s="12"/>
    </row>
    <row r="301" spans="1:63" x14ac:dyDescent="0.25">
      <c r="A301" s="29">
        <f t="shared" si="81"/>
        <v>0</v>
      </c>
      <c r="B301" s="29">
        <f t="shared" si="67"/>
        <v>0</v>
      </c>
      <c r="C301" s="29">
        <f t="shared" si="68"/>
        <v>0</v>
      </c>
      <c r="D301" s="29">
        <f t="shared" si="69"/>
        <v>0</v>
      </c>
      <c r="E301" s="29">
        <f t="shared" si="66"/>
        <v>0</v>
      </c>
      <c r="F301" s="29">
        <f t="shared" si="70"/>
        <v>0</v>
      </c>
      <c r="G301" s="29" t="str">
        <f t="shared" si="71"/>
        <v>offensive</v>
      </c>
      <c r="H301" s="16">
        <f t="shared" si="72"/>
        <v>0</v>
      </c>
      <c r="I301" s="16">
        <f t="shared" si="73"/>
        <v>0</v>
      </c>
      <c r="J301" s="16">
        <f t="shared" si="74"/>
        <v>0</v>
      </c>
      <c r="K301" s="16">
        <f t="shared" si="75"/>
        <v>0</v>
      </c>
      <c r="L301" s="67">
        <f t="shared" si="76"/>
        <v>0</v>
      </c>
      <c r="M301" s="4">
        <f t="shared" si="77"/>
        <v>0</v>
      </c>
      <c r="N301" s="4">
        <f t="shared" si="78"/>
        <v>0</v>
      </c>
      <c r="O301" s="4">
        <f t="shared" si="79"/>
        <v>0</v>
      </c>
      <c r="P301" s="4" t="e">
        <f>VLOOKUP(AJ293,'CIR Team Info'!$C$5:$E$44,2,FALSE)</f>
        <v>#N/A</v>
      </c>
      <c r="Q301" s="4" t="e">
        <f>VLOOKUP(AJ293,'CIR Team Info'!$C$5:$E$44,3,FALSE)</f>
        <v>#N/A</v>
      </c>
      <c r="R301" s="10" t="e">
        <f>VLOOKUP(AJ293,'FRC Site Data'!$B$3:$L$42,2,FALSE)</f>
        <v>#N/A</v>
      </c>
      <c r="S301" s="10" t="e">
        <f>VLOOKUP(AJ293,'FRC Site Data'!$B$3:$L$42,3,FALSE)</f>
        <v>#N/A</v>
      </c>
      <c r="T301" s="10" t="e">
        <f>VLOOKUP(AJ293,'FRC Site Data'!$B$3:$L$42,4,FALSE)</f>
        <v>#N/A</v>
      </c>
      <c r="U301" s="10" t="e">
        <f>VLOOKUP(AJ293,'FRC Site Data'!$B$3:$L$42,5,FALSE)</f>
        <v>#N/A</v>
      </c>
      <c r="V301" s="10" t="e">
        <f>VLOOKUP(AJ293,'FRC Site Data'!$B$3:$L$42,6,FALSE)</f>
        <v>#N/A</v>
      </c>
      <c r="W301" s="10" t="e">
        <f>VLOOKUP(AJ293,'FRC Site Data'!$B$3:$L$42,8,FALSE)</f>
        <v>#N/A</v>
      </c>
      <c r="X301" s="10" t="e">
        <f>VLOOKUP(AJ293,'FRC Site Data'!$B$3:$L$42,9,FALSE)</f>
        <v>#N/A</v>
      </c>
      <c r="Y301" s="10" t="e">
        <f>VLOOKUP(AJ293,'FRC Site Data'!$B$3:$L$42,10,FALSE)</f>
        <v>#N/A</v>
      </c>
      <c r="Z301" s="10" t="e">
        <f>VLOOKUP(AJ293,'FRC Site Data'!$B$3:$L$42,11,FALSE)</f>
        <v>#N/A</v>
      </c>
      <c r="AA301" s="10" t="e">
        <f>VLOOKUP(AJ293,'CIR Team Info'!$C$5:$E$44,4,FALSE)</f>
        <v>#N/A</v>
      </c>
      <c r="AB301" s="161" t="b">
        <f>ISNUMBER(VLOOKUP(AJ293,Match!$T$5:$T$10,1,FALSE))</f>
        <v>0</v>
      </c>
      <c r="AC301" s="161" t="b">
        <f>IF(AB301=TRUE,(VLOOKUP($AJ293,Match!$T$5:$U$10,2,FALSE)))</f>
        <v>0</v>
      </c>
      <c r="AD301" s="8">
        <v>3</v>
      </c>
      <c r="AE301" s="8">
        <v>2</v>
      </c>
      <c r="AF301" s="8">
        <v>2</v>
      </c>
      <c r="AG301" s="8">
        <v>1</v>
      </c>
      <c r="AH301" s="8" t="str">
        <f t="shared" si="80"/>
        <v/>
      </c>
      <c r="AI301" s="12"/>
      <c r="AZ301" s="12"/>
      <c r="BC301" s="12"/>
      <c r="BK301" s="12"/>
    </row>
    <row r="302" spans="1:63" x14ac:dyDescent="0.25">
      <c r="A302" s="29">
        <f t="shared" si="81"/>
        <v>0</v>
      </c>
      <c r="B302" s="29">
        <f t="shared" si="67"/>
        <v>0</v>
      </c>
      <c r="C302" s="29">
        <f t="shared" si="68"/>
        <v>0</v>
      </c>
      <c r="D302" s="29">
        <f t="shared" si="69"/>
        <v>0</v>
      </c>
      <c r="E302" s="29">
        <f t="shared" si="66"/>
        <v>0</v>
      </c>
      <c r="F302" s="29">
        <f t="shared" si="70"/>
        <v>0</v>
      </c>
      <c r="G302" s="29" t="str">
        <f t="shared" si="71"/>
        <v>offensive</v>
      </c>
      <c r="H302" s="16">
        <f t="shared" si="72"/>
        <v>0</v>
      </c>
      <c r="I302" s="16">
        <f t="shared" si="73"/>
        <v>0</v>
      </c>
      <c r="J302" s="16">
        <f t="shared" si="74"/>
        <v>0</v>
      </c>
      <c r="K302" s="16">
        <f t="shared" si="75"/>
        <v>0</v>
      </c>
      <c r="L302" s="67">
        <f t="shared" si="76"/>
        <v>0</v>
      </c>
      <c r="M302" s="4">
        <f t="shared" si="77"/>
        <v>0</v>
      </c>
      <c r="N302" s="4">
        <f t="shared" si="78"/>
        <v>0</v>
      </c>
      <c r="O302" s="4">
        <f t="shared" si="79"/>
        <v>0</v>
      </c>
      <c r="P302" s="4" t="e">
        <f>VLOOKUP(AJ294,'CIR Team Info'!$C$5:$E$44,2,FALSE)</f>
        <v>#N/A</v>
      </c>
      <c r="Q302" s="4" t="e">
        <f>VLOOKUP(AJ294,'CIR Team Info'!$C$5:$E$44,3,FALSE)</f>
        <v>#N/A</v>
      </c>
      <c r="R302" s="10" t="e">
        <f>VLOOKUP(AJ294,'FRC Site Data'!$B$3:$L$42,2,FALSE)</f>
        <v>#N/A</v>
      </c>
      <c r="S302" s="10" t="e">
        <f>VLOOKUP(AJ294,'FRC Site Data'!$B$3:$L$42,3,FALSE)</f>
        <v>#N/A</v>
      </c>
      <c r="T302" s="10" t="e">
        <f>VLOOKUP(AJ294,'FRC Site Data'!$B$3:$L$42,4,FALSE)</f>
        <v>#N/A</v>
      </c>
      <c r="U302" s="10" t="e">
        <f>VLOOKUP(AJ294,'FRC Site Data'!$B$3:$L$42,5,FALSE)</f>
        <v>#N/A</v>
      </c>
      <c r="V302" s="10" t="e">
        <f>VLOOKUP(AJ294,'FRC Site Data'!$B$3:$L$42,6,FALSE)</f>
        <v>#N/A</v>
      </c>
      <c r="W302" s="10" t="e">
        <f>VLOOKUP(AJ294,'FRC Site Data'!$B$3:$L$42,8,FALSE)</f>
        <v>#N/A</v>
      </c>
      <c r="X302" s="10" t="e">
        <f>VLOOKUP(AJ294,'FRC Site Data'!$B$3:$L$42,9,FALSE)</f>
        <v>#N/A</v>
      </c>
      <c r="Y302" s="10" t="e">
        <f>VLOOKUP(AJ294,'FRC Site Data'!$B$3:$L$42,10,FALSE)</f>
        <v>#N/A</v>
      </c>
      <c r="Z302" s="10" t="e">
        <f>VLOOKUP(AJ294,'FRC Site Data'!$B$3:$L$42,11,FALSE)</f>
        <v>#N/A</v>
      </c>
      <c r="AA302" s="10" t="e">
        <f>VLOOKUP(AJ294,'CIR Team Info'!$C$5:$E$44,4,FALSE)</f>
        <v>#N/A</v>
      </c>
      <c r="AB302" s="161" t="b">
        <f>ISNUMBER(VLOOKUP(AJ294,Match!$T$5:$T$10,1,FALSE))</f>
        <v>0</v>
      </c>
      <c r="AC302" s="161" t="b">
        <f>IF(AB302=TRUE,(VLOOKUP($AJ294,Match!$T$5:$U$10,2,FALSE)))</f>
        <v>0</v>
      </c>
      <c r="AD302" s="8">
        <v>3</v>
      </c>
      <c r="AE302" s="8">
        <v>2</v>
      </c>
      <c r="AF302" s="8">
        <v>2</v>
      </c>
      <c r="AG302" s="8">
        <v>1</v>
      </c>
      <c r="AH302" s="8" t="str">
        <f t="shared" si="80"/>
        <v/>
      </c>
      <c r="AI302" s="12"/>
      <c r="AZ302" s="12"/>
      <c r="BC302" s="12"/>
      <c r="BK302" s="12"/>
    </row>
    <row r="303" spans="1:63" x14ac:dyDescent="0.25">
      <c r="A303" s="29">
        <f t="shared" si="81"/>
        <v>0</v>
      </c>
      <c r="B303" s="29">
        <f t="shared" si="67"/>
        <v>0</v>
      </c>
      <c r="C303" s="29">
        <f t="shared" si="68"/>
        <v>0</v>
      </c>
      <c r="D303" s="29">
        <f t="shared" si="69"/>
        <v>0</v>
      </c>
      <c r="E303" s="29">
        <f t="shared" si="66"/>
        <v>0</v>
      </c>
      <c r="F303" s="29">
        <f t="shared" si="70"/>
        <v>0</v>
      </c>
      <c r="G303" s="29" t="str">
        <f t="shared" si="71"/>
        <v>offensive</v>
      </c>
      <c r="H303" s="16">
        <f t="shared" si="72"/>
        <v>0</v>
      </c>
      <c r="I303" s="16">
        <f t="shared" si="73"/>
        <v>0</v>
      </c>
      <c r="J303" s="16">
        <f t="shared" si="74"/>
        <v>0</v>
      </c>
      <c r="K303" s="16">
        <f t="shared" si="75"/>
        <v>0</v>
      </c>
      <c r="L303" s="67">
        <f t="shared" si="76"/>
        <v>0</v>
      </c>
      <c r="M303" s="4">
        <f t="shared" si="77"/>
        <v>0</v>
      </c>
      <c r="N303" s="4">
        <f t="shared" si="78"/>
        <v>0</v>
      </c>
      <c r="O303" s="4">
        <f t="shared" si="79"/>
        <v>0</v>
      </c>
      <c r="P303" s="4" t="e">
        <f>VLOOKUP(AJ295,'CIR Team Info'!$C$5:$E$44,2,FALSE)</f>
        <v>#N/A</v>
      </c>
      <c r="Q303" s="4" t="e">
        <f>VLOOKUP(AJ295,'CIR Team Info'!$C$5:$E$44,3,FALSE)</f>
        <v>#N/A</v>
      </c>
      <c r="R303" s="10" t="e">
        <f>VLOOKUP(AJ295,'FRC Site Data'!$B$3:$L$42,2,FALSE)</f>
        <v>#N/A</v>
      </c>
      <c r="S303" s="10" t="e">
        <f>VLOOKUP(AJ295,'FRC Site Data'!$B$3:$L$42,3,FALSE)</f>
        <v>#N/A</v>
      </c>
      <c r="T303" s="10" t="e">
        <f>VLOOKUP(AJ295,'FRC Site Data'!$B$3:$L$42,4,FALSE)</f>
        <v>#N/A</v>
      </c>
      <c r="U303" s="10" t="e">
        <f>VLOOKUP(AJ295,'FRC Site Data'!$B$3:$L$42,5,FALSE)</f>
        <v>#N/A</v>
      </c>
      <c r="V303" s="10" t="e">
        <f>VLOOKUP(AJ295,'FRC Site Data'!$B$3:$L$42,6,FALSE)</f>
        <v>#N/A</v>
      </c>
      <c r="W303" s="10" t="e">
        <f>VLOOKUP(AJ295,'FRC Site Data'!$B$3:$L$42,8,FALSE)</f>
        <v>#N/A</v>
      </c>
      <c r="X303" s="10" t="e">
        <f>VLOOKUP(AJ295,'FRC Site Data'!$B$3:$L$42,9,FALSE)</f>
        <v>#N/A</v>
      </c>
      <c r="Y303" s="10" t="e">
        <f>VLOOKUP(AJ295,'FRC Site Data'!$B$3:$L$42,10,FALSE)</f>
        <v>#N/A</v>
      </c>
      <c r="Z303" s="10" t="e">
        <f>VLOOKUP(AJ295,'FRC Site Data'!$B$3:$L$42,11,FALSE)</f>
        <v>#N/A</v>
      </c>
      <c r="AA303" s="10" t="e">
        <f>VLOOKUP(AJ295,'CIR Team Info'!$C$5:$E$44,4,FALSE)</f>
        <v>#N/A</v>
      </c>
      <c r="AB303" s="161" t="b">
        <f>ISNUMBER(VLOOKUP(AJ295,Match!$T$5:$T$10,1,FALSE))</f>
        <v>0</v>
      </c>
      <c r="AC303" s="161" t="b">
        <f>IF(AB303=TRUE,(VLOOKUP($AJ295,Match!$T$5:$U$10,2,FALSE)))</f>
        <v>0</v>
      </c>
      <c r="AD303" s="8">
        <v>3</v>
      </c>
      <c r="AE303" s="8">
        <v>2</v>
      </c>
      <c r="AF303" s="8">
        <v>2</v>
      </c>
      <c r="AG303" s="8">
        <v>1</v>
      </c>
      <c r="AH303" s="8" t="str">
        <f t="shared" si="80"/>
        <v/>
      </c>
      <c r="AI303" s="12"/>
      <c r="AZ303" s="12"/>
      <c r="BC303" s="12"/>
      <c r="BK303" s="12"/>
    </row>
    <row r="304" spans="1:63" x14ac:dyDescent="0.25">
      <c r="A304" s="29">
        <f t="shared" si="81"/>
        <v>0</v>
      </c>
      <c r="B304" s="29">
        <f t="shared" si="67"/>
        <v>0</v>
      </c>
      <c r="C304" s="29">
        <f t="shared" si="68"/>
        <v>0</v>
      </c>
      <c r="D304" s="29">
        <f t="shared" si="69"/>
        <v>0</v>
      </c>
      <c r="E304" s="29">
        <f t="shared" si="66"/>
        <v>0</v>
      </c>
      <c r="F304" s="29">
        <f t="shared" si="70"/>
        <v>0</v>
      </c>
      <c r="G304" s="29" t="str">
        <f t="shared" si="71"/>
        <v>offensive</v>
      </c>
      <c r="H304" s="16">
        <f t="shared" si="72"/>
        <v>0</v>
      </c>
      <c r="I304" s="16">
        <f t="shared" si="73"/>
        <v>0</v>
      </c>
      <c r="J304" s="16">
        <f t="shared" si="74"/>
        <v>0</v>
      </c>
      <c r="K304" s="16">
        <f t="shared" si="75"/>
        <v>0</v>
      </c>
      <c r="L304" s="67">
        <f t="shared" si="76"/>
        <v>0</v>
      </c>
      <c r="M304" s="4">
        <f t="shared" si="77"/>
        <v>0</v>
      </c>
      <c r="N304" s="4">
        <f t="shared" si="78"/>
        <v>0</v>
      </c>
      <c r="O304" s="4">
        <f t="shared" si="79"/>
        <v>0</v>
      </c>
      <c r="P304" s="4" t="e">
        <f>VLOOKUP(AJ296,'CIR Team Info'!$C$5:$E$44,2,FALSE)</f>
        <v>#N/A</v>
      </c>
      <c r="Q304" s="4" t="e">
        <f>VLOOKUP(AJ296,'CIR Team Info'!$C$5:$E$44,3,FALSE)</f>
        <v>#N/A</v>
      </c>
      <c r="R304" s="10" t="e">
        <f>VLOOKUP(AJ296,'FRC Site Data'!$B$3:$L$42,2,FALSE)</f>
        <v>#N/A</v>
      </c>
      <c r="S304" s="10" t="e">
        <f>VLOOKUP(AJ296,'FRC Site Data'!$B$3:$L$42,3,FALSE)</f>
        <v>#N/A</v>
      </c>
      <c r="T304" s="10" t="e">
        <f>VLOOKUP(AJ296,'FRC Site Data'!$B$3:$L$42,4,FALSE)</f>
        <v>#N/A</v>
      </c>
      <c r="U304" s="10" t="e">
        <f>VLOOKUP(AJ296,'FRC Site Data'!$B$3:$L$42,5,FALSE)</f>
        <v>#N/A</v>
      </c>
      <c r="V304" s="10" t="e">
        <f>VLOOKUP(AJ296,'FRC Site Data'!$B$3:$L$42,6,FALSE)</f>
        <v>#N/A</v>
      </c>
      <c r="W304" s="10" t="e">
        <f>VLOOKUP(AJ296,'FRC Site Data'!$B$3:$L$42,8,FALSE)</f>
        <v>#N/A</v>
      </c>
      <c r="X304" s="10" t="e">
        <f>VLOOKUP(AJ296,'FRC Site Data'!$B$3:$L$42,9,FALSE)</f>
        <v>#N/A</v>
      </c>
      <c r="Y304" s="10" t="e">
        <f>VLOOKUP(AJ296,'FRC Site Data'!$B$3:$L$42,10,FALSE)</f>
        <v>#N/A</v>
      </c>
      <c r="Z304" s="10" t="e">
        <f>VLOOKUP(AJ296,'FRC Site Data'!$B$3:$L$42,11,FALSE)</f>
        <v>#N/A</v>
      </c>
      <c r="AA304" s="10" t="e">
        <f>VLOOKUP(AJ296,'CIR Team Info'!$C$5:$E$44,4,FALSE)</f>
        <v>#N/A</v>
      </c>
      <c r="AB304" s="161" t="b">
        <f>ISNUMBER(VLOOKUP(AJ296,Match!$T$5:$T$10,1,FALSE))</f>
        <v>0</v>
      </c>
      <c r="AC304" s="161" t="b">
        <f>IF(AB304=TRUE,(VLOOKUP($AJ296,Match!$T$5:$U$10,2,FALSE)))</f>
        <v>0</v>
      </c>
      <c r="AD304" s="8">
        <v>3</v>
      </c>
      <c r="AE304" s="8">
        <v>2</v>
      </c>
      <c r="AF304" s="8">
        <v>2</v>
      </c>
      <c r="AG304" s="8">
        <v>1</v>
      </c>
      <c r="AH304" s="8" t="str">
        <f t="shared" si="80"/>
        <v/>
      </c>
      <c r="AI304" s="12"/>
      <c r="AZ304" s="12"/>
      <c r="BC304" s="12"/>
      <c r="BK304" s="12"/>
    </row>
    <row r="305" spans="1:63" x14ac:dyDescent="0.25">
      <c r="A305" s="29">
        <f t="shared" si="81"/>
        <v>0</v>
      </c>
      <c r="B305" s="29">
        <f t="shared" si="67"/>
        <v>0</v>
      </c>
      <c r="C305" s="29">
        <f t="shared" si="68"/>
        <v>0</v>
      </c>
      <c r="D305" s="29">
        <f t="shared" si="69"/>
        <v>0</v>
      </c>
      <c r="E305" s="29">
        <f t="shared" si="66"/>
        <v>0</v>
      </c>
      <c r="F305" s="29">
        <f t="shared" si="70"/>
        <v>0</v>
      </c>
      <c r="G305" s="29" t="str">
        <f t="shared" si="71"/>
        <v>offensive</v>
      </c>
      <c r="H305" s="16">
        <f t="shared" si="72"/>
        <v>0</v>
      </c>
      <c r="I305" s="16">
        <f t="shared" si="73"/>
        <v>0</v>
      </c>
      <c r="J305" s="16">
        <f t="shared" si="74"/>
        <v>0</v>
      </c>
      <c r="K305" s="16">
        <f t="shared" si="75"/>
        <v>0</v>
      </c>
      <c r="L305" s="67">
        <f t="shared" si="76"/>
        <v>0</v>
      </c>
      <c r="M305" s="4">
        <f t="shared" si="77"/>
        <v>0</v>
      </c>
      <c r="N305" s="4">
        <f t="shared" si="78"/>
        <v>0</v>
      </c>
      <c r="O305" s="4">
        <f t="shared" si="79"/>
        <v>0</v>
      </c>
      <c r="P305" s="4" t="e">
        <f>VLOOKUP(AJ297,'CIR Team Info'!$C$5:$E$44,2,FALSE)</f>
        <v>#N/A</v>
      </c>
      <c r="Q305" s="4" t="e">
        <f>VLOOKUP(AJ297,'CIR Team Info'!$C$5:$E$44,3,FALSE)</f>
        <v>#N/A</v>
      </c>
      <c r="R305" s="10" t="e">
        <f>VLOOKUP(AJ297,'FRC Site Data'!$B$3:$L$42,2,FALSE)</f>
        <v>#N/A</v>
      </c>
      <c r="S305" s="10" t="e">
        <f>VLOOKUP(AJ297,'FRC Site Data'!$B$3:$L$42,3,FALSE)</f>
        <v>#N/A</v>
      </c>
      <c r="T305" s="10" t="e">
        <f>VLOOKUP(AJ297,'FRC Site Data'!$B$3:$L$42,4,FALSE)</f>
        <v>#N/A</v>
      </c>
      <c r="U305" s="10" t="e">
        <f>VLOOKUP(AJ297,'FRC Site Data'!$B$3:$L$42,5,FALSE)</f>
        <v>#N/A</v>
      </c>
      <c r="V305" s="10" t="e">
        <f>VLOOKUP(AJ297,'FRC Site Data'!$B$3:$L$42,6,FALSE)</f>
        <v>#N/A</v>
      </c>
      <c r="W305" s="10" t="e">
        <f>VLOOKUP(AJ297,'FRC Site Data'!$B$3:$L$42,8,FALSE)</f>
        <v>#N/A</v>
      </c>
      <c r="X305" s="10" t="e">
        <f>VLOOKUP(AJ297,'FRC Site Data'!$B$3:$L$42,9,FALSE)</f>
        <v>#N/A</v>
      </c>
      <c r="Y305" s="10" t="e">
        <f>VLOOKUP(AJ297,'FRC Site Data'!$B$3:$L$42,10,FALSE)</f>
        <v>#N/A</v>
      </c>
      <c r="Z305" s="10" t="e">
        <f>VLOOKUP(AJ297,'FRC Site Data'!$B$3:$L$42,11,FALSE)</f>
        <v>#N/A</v>
      </c>
      <c r="AA305" s="10" t="e">
        <f>VLOOKUP(AJ297,'CIR Team Info'!$C$5:$E$44,4,FALSE)</f>
        <v>#N/A</v>
      </c>
      <c r="AB305" s="161" t="b">
        <f>ISNUMBER(VLOOKUP(AJ297,Match!$T$5:$T$10,1,FALSE))</f>
        <v>0</v>
      </c>
      <c r="AC305" s="161" t="b">
        <f>IF(AB305=TRUE,(VLOOKUP($AJ297,Match!$T$5:$U$10,2,FALSE)))</f>
        <v>0</v>
      </c>
      <c r="AD305" s="8">
        <v>3</v>
      </c>
      <c r="AE305" s="8">
        <v>2</v>
      </c>
      <c r="AF305" s="8">
        <v>2</v>
      </c>
      <c r="AG305" s="8">
        <v>1</v>
      </c>
      <c r="AH305" s="8" t="str">
        <f t="shared" si="80"/>
        <v/>
      </c>
      <c r="AI305" s="12"/>
      <c r="AZ305" s="12"/>
      <c r="BC305" s="12"/>
      <c r="BK305" s="12"/>
    </row>
    <row r="306" spans="1:63" x14ac:dyDescent="0.25">
      <c r="A306" s="29">
        <f t="shared" si="81"/>
        <v>0</v>
      </c>
      <c r="B306" s="29">
        <f t="shared" si="67"/>
        <v>0</v>
      </c>
      <c r="C306" s="29">
        <f t="shared" si="68"/>
        <v>0</v>
      </c>
      <c r="D306" s="29">
        <f t="shared" si="69"/>
        <v>0</v>
      </c>
      <c r="E306" s="29">
        <f t="shared" si="66"/>
        <v>0</v>
      </c>
      <c r="F306" s="29">
        <f t="shared" si="70"/>
        <v>0</v>
      </c>
      <c r="G306" s="29" t="str">
        <f t="shared" si="71"/>
        <v>offensive</v>
      </c>
      <c r="H306" s="16">
        <f t="shared" si="72"/>
        <v>0</v>
      </c>
      <c r="I306" s="16">
        <f t="shared" si="73"/>
        <v>0</v>
      </c>
      <c r="J306" s="16">
        <f t="shared" si="74"/>
        <v>0</v>
      </c>
      <c r="K306" s="16">
        <f t="shared" si="75"/>
        <v>0</v>
      </c>
      <c r="L306" s="67">
        <f t="shared" si="76"/>
        <v>0</v>
      </c>
      <c r="M306" s="4">
        <f t="shared" si="77"/>
        <v>0</v>
      </c>
      <c r="N306" s="4">
        <f t="shared" si="78"/>
        <v>0</v>
      </c>
      <c r="O306" s="4">
        <f t="shared" si="79"/>
        <v>0</v>
      </c>
      <c r="P306" s="4" t="e">
        <f>VLOOKUP(AJ298,'CIR Team Info'!$C$5:$E$44,2,FALSE)</f>
        <v>#N/A</v>
      </c>
      <c r="Q306" s="4" t="e">
        <f>VLOOKUP(AJ298,'CIR Team Info'!$C$5:$E$44,3,FALSE)</f>
        <v>#N/A</v>
      </c>
      <c r="R306" s="10" t="e">
        <f>VLOOKUP(AJ298,'FRC Site Data'!$B$3:$L$42,2,FALSE)</f>
        <v>#N/A</v>
      </c>
      <c r="S306" s="10" t="e">
        <f>VLOOKUP(AJ298,'FRC Site Data'!$B$3:$L$42,3,FALSE)</f>
        <v>#N/A</v>
      </c>
      <c r="T306" s="10" t="e">
        <f>VLOOKUP(AJ298,'FRC Site Data'!$B$3:$L$42,4,FALSE)</f>
        <v>#N/A</v>
      </c>
      <c r="U306" s="10" t="e">
        <f>VLOOKUP(AJ298,'FRC Site Data'!$B$3:$L$42,5,FALSE)</f>
        <v>#N/A</v>
      </c>
      <c r="V306" s="10" t="e">
        <f>VLOOKUP(AJ298,'FRC Site Data'!$B$3:$L$42,6,FALSE)</f>
        <v>#N/A</v>
      </c>
      <c r="W306" s="10" t="e">
        <f>VLOOKUP(AJ298,'FRC Site Data'!$B$3:$L$42,8,FALSE)</f>
        <v>#N/A</v>
      </c>
      <c r="X306" s="10" t="e">
        <f>VLOOKUP(AJ298,'FRC Site Data'!$B$3:$L$42,9,FALSE)</f>
        <v>#N/A</v>
      </c>
      <c r="Y306" s="10" t="e">
        <f>VLOOKUP(AJ298,'FRC Site Data'!$B$3:$L$42,10,FALSE)</f>
        <v>#N/A</v>
      </c>
      <c r="Z306" s="10" t="e">
        <f>VLOOKUP(AJ298,'FRC Site Data'!$B$3:$L$42,11,FALSE)</f>
        <v>#N/A</v>
      </c>
      <c r="AA306" s="10" t="e">
        <f>VLOOKUP(AJ298,'CIR Team Info'!$C$5:$E$44,4,FALSE)</f>
        <v>#N/A</v>
      </c>
      <c r="AB306" s="161" t="b">
        <f>ISNUMBER(VLOOKUP(AJ298,Match!$T$5:$T$10,1,FALSE))</f>
        <v>0</v>
      </c>
      <c r="AC306" s="161" t="b">
        <f>IF(AB306=TRUE,(VLOOKUP($AJ298,Match!$T$5:$U$10,2,FALSE)))</f>
        <v>0</v>
      </c>
      <c r="AD306" s="8">
        <v>3</v>
      </c>
      <c r="AE306" s="8">
        <v>2</v>
      </c>
      <c r="AF306" s="8">
        <v>2</v>
      </c>
      <c r="AG306" s="8">
        <v>1</v>
      </c>
      <c r="AH306" s="8" t="str">
        <f t="shared" si="80"/>
        <v/>
      </c>
      <c r="AI306" s="12"/>
      <c r="AZ306" s="12"/>
      <c r="BC306" s="12"/>
      <c r="BK306" s="12"/>
    </row>
    <row r="307" spans="1:63" x14ac:dyDescent="0.25">
      <c r="A307" s="29">
        <f t="shared" si="81"/>
        <v>0</v>
      </c>
      <c r="B307" s="29">
        <f t="shared" si="67"/>
        <v>0</v>
      </c>
      <c r="C307" s="29">
        <f t="shared" si="68"/>
        <v>0</v>
      </c>
      <c r="D307" s="29">
        <f t="shared" si="69"/>
        <v>0</v>
      </c>
      <c r="E307" s="29">
        <f t="shared" si="66"/>
        <v>0</v>
      </c>
      <c r="F307" s="29">
        <f t="shared" si="70"/>
        <v>0</v>
      </c>
      <c r="G307" s="29" t="str">
        <f t="shared" si="71"/>
        <v>offensive</v>
      </c>
      <c r="H307" s="16">
        <f t="shared" si="72"/>
        <v>0</v>
      </c>
      <c r="I307" s="16">
        <f t="shared" si="73"/>
        <v>0</v>
      </c>
      <c r="J307" s="16">
        <f t="shared" si="74"/>
        <v>0</v>
      </c>
      <c r="K307" s="16">
        <f t="shared" si="75"/>
        <v>0</v>
      </c>
      <c r="L307" s="67">
        <f t="shared" si="76"/>
        <v>0</v>
      </c>
      <c r="M307" s="4">
        <f t="shared" si="77"/>
        <v>0</v>
      </c>
      <c r="N307" s="4">
        <f t="shared" si="78"/>
        <v>0</v>
      </c>
      <c r="O307" s="4">
        <f t="shared" si="79"/>
        <v>0</v>
      </c>
      <c r="P307" s="4" t="e">
        <f>VLOOKUP(AJ299,'CIR Team Info'!$C$5:$E$44,2,FALSE)</f>
        <v>#N/A</v>
      </c>
      <c r="Q307" s="4" t="e">
        <f>VLOOKUP(AJ299,'CIR Team Info'!$C$5:$E$44,3,FALSE)</f>
        <v>#N/A</v>
      </c>
      <c r="R307" s="10" t="e">
        <f>VLOOKUP(AJ299,'FRC Site Data'!$B$3:$L$42,2,FALSE)</f>
        <v>#N/A</v>
      </c>
      <c r="S307" s="10" t="e">
        <f>VLOOKUP(AJ299,'FRC Site Data'!$B$3:$L$42,3,FALSE)</f>
        <v>#N/A</v>
      </c>
      <c r="T307" s="10" t="e">
        <f>VLOOKUP(AJ299,'FRC Site Data'!$B$3:$L$42,4,FALSE)</f>
        <v>#N/A</v>
      </c>
      <c r="U307" s="10" t="e">
        <f>VLOOKUP(AJ299,'FRC Site Data'!$B$3:$L$42,5,FALSE)</f>
        <v>#N/A</v>
      </c>
      <c r="V307" s="10" t="e">
        <f>VLOOKUP(AJ299,'FRC Site Data'!$B$3:$L$42,6,FALSE)</f>
        <v>#N/A</v>
      </c>
      <c r="W307" s="10" t="e">
        <f>VLOOKUP(AJ299,'FRC Site Data'!$B$3:$L$42,8,FALSE)</f>
        <v>#N/A</v>
      </c>
      <c r="X307" s="10" t="e">
        <f>VLOOKUP(AJ299,'FRC Site Data'!$B$3:$L$42,9,FALSE)</f>
        <v>#N/A</v>
      </c>
      <c r="Y307" s="10" t="e">
        <f>VLOOKUP(AJ299,'FRC Site Data'!$B$3:$L$42,10,FALSE)</f>
        <v>#N/A</v>
      </c>
      <c r="Z307" s="10" t="e">
        <f>VLOOKUP(AJ299,'FRC Site Data'!$B$3:$L$42,11,FALSE)</f>
        <v>#N/A</v>
      </c>
      <c r="AA307" s="10" t="e">
        <f>VLOOKUP(AJ299,'CIR Team Info'!$C$5:$E$44,4,FALSE)</f>
        <v>#N/A</v>
      </c>
      <c r="AB307" s="161" t="b">
        <f>ISNUMBER(VLOOKUP(AJ299,Match!$T$5:$T$10,1,FALSE))</f>
        <v>0</v>
      </c>
      <c r="AC307" s="161" t="b">
        <f>IF(AB307=TRUE,(VLOOKUP($AJ299,Match!$T$5:$U$10,2,FALSE)))</f>
        <v>0</v>
      </c>
      <c r="AD307" s="8">
        <v>3</v>
      </c>
      <c r="AE307" s="8">
        <v>2</v>
      </c>
      <c r="AF307" s="8">
        <v>2</v>
      </c>
      <c r="AG307" s="8">
        <v>1</v>
      </c>
      <c r="AH307" s="8" t="str">
        <f t="shared" si="80"/>
        <v/>
      </c>
      <c r="AI307" s="12"/>
      <c r="AZ307" s="12"/>
      <c r="BC307" s="12"/>
      <c r="BK307" s="12"/>
    </row>
    <row r="308" spans="1:63" x14ac:dyDescent="0.25">
      <c r="A308" s="29">
        <f t="shared" si="81"/>
        <v>0</v>
      </c>
      <c r="B308" s="29">
        <f t="shared" si="67"/>
        <v>0</v>
      </c>
      <c r="C308" s="29">
        <f t="shared" si="68"/>
        <v>0</v>
      </c>
      <c r="D308" s="29">
        <f t="shared" si="69"/>
        <v>0</v>
      </c>
      <c r="E308" s="29">
        <f t="shared" si="66"/>
        <v>0</v>
      </c>
      <c r="F308" s="29">
        <f t="shared" si="70"/>
        <v>0</v>
      </c>
      <c r="G308" s="29" t="str">
        <f t="shared" si="71"/>
        <v>offensive</v>
      </c>
      <c r="H308" s="16">
        <f t="shared" si="72"/>
        <v>0</v>
      </c>
      <c r="I308" s="16">
        <f t="shared" si="73"/>
        <v>0</v>
      </c>
      <c r="J308" s="16">
        <f t="shared" si="74"/>
        <v>0</v>
      </c>
      <c r="K308" s="16">
        <f t="shared" si="75"/>
        <v>0</v>
      </c>
      <c r="L308" s="67">
        <f t="shared" si="76"/>
        <v>0</v>
      </c>
      <c r="M308" s="4">
        <f t="shared" si="77"/>
        <v>0</v>
      </c>
      <c r="N308" s="4">
        <f t="shared" si="78"/>
        <v>0</v>
      </c>
      <c r="O308" s="4">
        <f t="shared" si="79"/>
        <v>0</v>
      </c>
      <c r="P308" s="4" t="e">
        <f>VLOOKUP(AJ300,'CIR Team Info'!$C$5:$E$44,2,FALSE)</f>
        <v>#N/A</v>
      </c>
      <c r="Q308" s="4" t="e">
        <f>VLOOKUP(AJ300,'CIR Team Info'!$C$5:$E$44,3,FALSE)</f>
        <v>#N/A</v>
      </c>
      <c r="R308" s="10" t="e">
        <f>VLOOKUP(AJ300,'FRC Site Data'!$B$3:$L$42,2,FALSE)</f>
        <v>#N/A</v>
      </c>
      <c r="S308" s="10" t="e">
        <f>VLOOKUP(AJ300,'FRC Site Data'!$B$3:$L$42,3,FALSE)</f>
        <v>#N/A</v>
      </c>
      <c r="T308" s="10" t="e">
        <f>VLOOKUP(AJ300,'FRC Site Data'!$B$3:$L$42,4,FALSE)</f>
        <v>#N/A</v>
      </c>
      <c r="U308" s="10" t="e">
        <f>VLOOKUP(AJ300,'FRC Site Data'!$B$3:$L$42,5,FALSE)</f>
        <v>#N/A</v>
      </c>
      <c r="V308" s="10" t="e">
        <f>VLOOKUP(AJ300,'FRC Site Data'!$B$3:$L$42,6,FALSE)</f>
        <v>#N/A</v>
      </c>
      <c r="W308" s="10" t="e">
        <f>VLOOKUP(AJ300,'FRC Site Data'!$B$3:$L$42,8,FALSE)</f>
        <v>#N/A</v>
      </c>
      <c r="X308" s="10" t="e">
        <f>VLOOKUP(AJ300,'FRC Site Data'!$B$3:$L$42,9,FALSE)</f>
        <v>#N/A</v>
      </c>
      <c r="Y308" s="10" t="e">
        <f>VLOOKUP(AJ300,'FRC Site Data'!$B$3:$L$42,10,FALSE)</f>
        <v>#N/A</v>
      </c>
      <c r="Z308" s="10" t="e">
        <f>VLOOKUP(AJ300,'FRC Site Data'!$B$3:$L$42,11,FALSE)</f>
        <v>#N/A</v>
      </c>
      <c r="AA308" s="10" t="e">
        <f>VLOOKUP(AJ300,'CIR Team Info'!$C$5:$E$44,4,FALSE)</f>
        <v>#N/A</v>
      </c>
      <c r="AB308" s="161" t="b">
        <f>ISNUMBER(VLOOKUP(AJ300,Match!$T$5:$T$10,1,FALSE))</f>
        <v>0</v>
      </c>
      <c r="AC308" s="161" t="b">
        <f>IF(AB308=TRUE,(VLOOKUP($AJ300,Match!$T$5:$U$10,2,FALSE)))</f>
        <v>0</v>
      </c>
      <c r="AD308" s="8">
        <v>3</v>
      </c>
      <c r="AE308" s="8">
        <v>2</v>
      </c>
      <c r="AF308" s="8">
        <v>2</v>
      </c>
      <c r="AG308" s="8">
        <v>1</v>
      </c>
      <c r="AH308" s="8" t="str">
        <f t="shared" si="80"/>
        <v/>
      </c>
      <c r="AI308" s="12"/>
      <c r="AZ308" s="12"/>
      <c r="BC308" s="12"/>
      <c r="BK308" s="12"/>
    </row>
    <row r="309" spans="1:63" x14ac:dyDescent="0.25">
      <c r="A309" s="29">
        <f t="shared" si="81"/>
        <v>0</v>
      </c>
      <c r="B309" s="29">
        <f t="shared" si="67"/>
        <v>0</v>
      </c>
      <c r="C309" s="29">
        <f t="shared" si="68"/>
        <v>0</v>
      </c>
      <c r="D309" s="29">
        <f t="shared" si="69"/>
        <v>0</v>
      </c>
      <c r="E309" s="29">
        <f t="shared" si="66"/>
        <v>0</v>
      </c>
      <c r="F309" s="29">
        <f t="shared" si="70"/>
        <v>0</v>
      </c>
      <c r="G309" s="29" t="str">
        <f t="shared" si="71"/>
        <v>offensive</v>
      </c>
      <c r="H309" s="16">
        <f t="shared" si="72"/>
        <v>0</v>
      </c>
      <c r="I309" s="16">
        <f t="shared" si="73"/>
        <v>0</v>
      </c>
      <c r="J309" s="16">
        <f t="shared" si="74"/>
        <v>0</v>
      </c>
      <c r="K309" s="16">
        <f t="shared" si="75"/>
        <v>0</v>
      </c>
      <c r="L309" s="67">
        <f t="shared" si="76"/>
        <v>0</v>
      </c>
      <c r="M309" s="4">
        <f t="shared" si="77"/>
        <v>0</v>
      </c>
      <c r="N309" s="4">
        <f t="shared" si="78"/>
        <v>0</v>
      </c>
      <c r="O309" s="4">
        <f t="shared" si="79"/>
        <v>0</v>
      </c>
      <c r="P309" s="4" t="e">
        <f>VLOOKUP(AJ301,'CIR Team Info'!$C$5:$E$44,2,FALSE)</f>
        <v>#N/A</v>
      </c>
      <c r="Q309" s="4" t="e">
        <f>VLOOKUP(AJ301,'CIR Team Info'!$C$5:$E$44,3,FALSE)</f>
        <v>#N/A</v>
      </c>
      <c r="R309" s="10" t="e">
        <f>VLOOKUP(AJ301,'FRC Site Data'!$B$3:$L$42,2,FALSE)</f>
        <v>#N/A</v>
      </c>
      <c r="S309" s="10" t="e">
        <f>VLOOKUP(AJ301,'FRC Site Data'!$B$3:$L$42,3,FALSE)</f>
        <v>#N/A</v>
      </c>
      <c r="T309" s="10" t="e">
        <f>VLOOKUP(AJ301,'FRC Site Data'!$B$3:$L$42,4,FALSE)</f>
        <v>#N/A</v>
      </c>
      <c r="U309" s="10" t="e">
        <f>VLOOKUP(AJ301,'FRC Site Data'!$B$3:$L$42,5,FALSE)</f>
        <v>#N/A</v>
      </c>
      <c r="V309" s="10" t="e">
        <f>VLOOKUP(AJ301,'FRC Site Data'!$B$3:$L$42,6,FALSE)</f>
        <v>#N/A</v>
      </c>
      <c r="W309" s="10" t="e">
        <f>VLOOKUP(AJ301,'FRC Site Data'!$B$3:$L$42,8,FALSE)</f>
        <v>#N/A</v>
      </c>
      <c r="X309" s="10" t="e">
        <f>VLOOKUP(AJ301,'FRC Site Data'!$B$3:$L$42,9,FALSE)</f>
        <v>#N/A</v>
      </c>
      <c r="Y309" s="10" t="e">
        <f>VLOOKUP(AJ301,'FRC Site Data'!$B$3:$L$42,10,FALSE)</f>
        <v>#N/A</v>
      </c>
      <c r="Z309" s="10" t="e">
        <f>VLOOKUP(AJ301,'FRC Site Data'!$B$3:$L$42,11,FALSE)</f>
        <v>#N/A</v>
      </c>
      <c r="AA309" s="10" t="e">
        <f>VLOOKUP(AJ301,'CIR Team Info'!$C$5:$E$44,4,FALSE)</f>
        <v>#N/A</v>
      </c>
      <c r="AB309" s="161" t="b">
        <f>ISNUMBER(VLOOKUP(AJ301,Match!$T$5:$T$10,1,FALSE))</f>
        <v>0</v>
      </c>
      <c r="AC309" s="161" t="b">
        <f>IF(AB309=TRUE,(VLOOKUP($AJ301,Match!$T$5:$U$10,2,FALSE)))</f>
        <v>0</v>
      </c>
      <c r="AD309" s="8">
        <v>3</v>
      </c>
      <c r="AE309" s="8">
        <v>2</v>
      </c>
      <c r="AF309" s="8">
        <v>2</v>
      </c>
      <c r="AG309" s="8">
        <v>1</v>
      </c>
      <c r="AH309" s="8" t="str">
        <f t="shared" si="80"/>
        <v/>
      </c>
      <c r="AI309" s="12"/>
      <c r="AZ309" s="12"/>
      <c r="BC309" s="12"/>
      <c r="BK309" s="12"/>
    </row>
    <row r="310" spans="1:63" x14ac:dyDescent="0.25">
      <c r="A310" s="29">
        <f t="shared" si="81"/>
        <v>0</v>
      </c>
      <c r="B310" s="29">
        <f t="shared" si="67"/>
        <v>0</v>
      </c>
      <c r="C310" s="29">
        <f t="shared" si="68"/>
        <v>0</v>
      </c>
      <c r="D310" s="29">
        <f t="shared" si="69"/>
        <v>0</v>
      </c>
      <c r="E310" s="29">
        <f t="shared" si="66"/>
        <v>0</v>
      </c>
      <c r="F310" s="29">
        <f t="shared" si="70"/>
        <v>0</v>
      </c>
      <c r="G310" s="29" t="str">
        <f t="shared" si="71"/>
        <v>offensive</v>
      </c>
      <c r="H310" s="16">
        <f t="shared" si="72"/>
        <v>0</v>
      </c>
      <c r="I310" s="16">
        <f t="shared" si="73"/>
        <v>0</v>
      </c>
      <c r="J310" s="16">
        <f t="shared" si="74"/>
        <v>0</v>
      </c>
      <c r="K310" s="16">
        <f t="shared" si="75"/>
        <v>0</v>
      </c>
      <c r="L310" s="67">
        <f t="shared" si="76"/>
        <v>0</v>
      </c>
      <c r="M310" s="4">
        <f t="shared" si="77"/>
        <v>0</v>
      </c>
      <c r="N310" s="4">
        <f t="shared" si="78"/>
        <v>0</v>
      </c>
      <c r="O310" s="4">
        <f t="shared" si="79"/>
        <v>0</v>
      </c>
      <c r="P310" s="4" t="e">
        <f>VLOOKUP(AJ302,'CIR Team Info'!$C$5:$E$44,2,FALSE)</f>
        <v>#N/A</v>
      </c>
      <c r="Q310" s="4" t="e">
        <f>VLOOKUP(AJ302,'CIR Team Info'!$C$5:$E$44,3,FALSE)</f>
        <v>#N/A</v>
      </c>
      <c r="R310" s="10" t="e">
        <f>VLOOKUP(AJ302,'FRC Site Data'!$B$3:$L$42,2,FALSE)</f>
        <v>#N/A</v>
      </c>
      <c r="S310" s="10" t="e">
        <f>VLOOKUP(AJ302,'FRC Site Data'!$B$3:$L$42,3,FALSE)</f>
        <v>#N/A</v>
      </c>
      <c r="T310" s="10" t="e">
        <f>VLOOKUP(AJ302,'FRC Site Data'!$B$3:$L$42,4,FALSE)</f>
        <v>#N/A</v>
      </c>
      <c r="U310" s="10" t="e">
        <f>VLOOKUP(AJ302,'FRC Site Data'!$B$3:$L$42,5,FALSE)</f>
        <v>#N/A</v>
      </c>
      <c r="V310" s="10" t="e">
        <f>VLOOKUP(AJ302,'FRC Site Data'!$B$3:$L$42,6,FALSE)</f>
        <v>#N/A</v>
      </c>
      <c r="W310" s="10" t="e">
        <f>VLOOKUP(AJ302,'FRC Site Data'!$B$3:$L$42,8,FALSE)</f>
        <v>#N/A</v>
      </c>
      <c r="X310" s="10" t="e">
        <f>VLOOKUP(AJ302,'FRC Site Data'!$B$3:$L$42,9,FALSE)</f>
        <v>#N/A</v>
      </c>
      <c r="Y310" s="10" t="e">
        <f>VLOOKUP(AJ302,'FRC Site Data'!$B$3:$L$42,10,FALSE)</f>
        <v>#N/A</v>
      </c>
      <c r="Z310" s="10" t="e">
        <f>VLOOKUP(AJ302,'FRC Site Data'!$B$3:$L$42,11,FALSE)</f>
        <v>#N/A</v>
      </c>
      <c r="AA310" s="10" t="e">
        <f>VLOOKUP(AJ302,'CIR Team Info'!$C$5:$E$44,4,FALSE)</f>
        <v>#N/A</v>
      </c>
      <c r="AB310" s="161" t="b">
        <f>ISNUMBER(VLOOKUP(AJ302,Match!$T$5:$T$10,1,FALSE))</f>
        <v>0</v>
      </c>
      <c r="AC310" s="161" t="b">
        <f>IF(AB310=TRUE,(VLOOKUP($AJ302,Match!$T$5:$U$10,2,FALSE)))</f>
        <v>0</v>
      </c>
      <c r="AD310" s="8">
        <v>3</v>
      </c>
      <c r="AE310" s="8">
        <v>2</v>
      </c>
      <c r="AF310" s="8">
        <v>2</v>
      </c>
      <c r="AG310" s="8">
        <v>1</v>
      </c>
      <c r="AH310" s="8" t="str">
        <f t="shared" si="80"/>
        <v/>
      </c>
      <c r="AI310" s="12"/>
      <c r="AZ310" s="12"/>
      <c r="BC310" s="12"/>
      <c r="BK310" s="12"/>
    </row>
    <row r="311" spans="1:63" x14ac:dyDescent="0.25">
      <c r="A311" s="29">
        <f t="shared" si="81"/>
        <v>0</v>
      </c>
      <c r="B311" s="29">
        <f t="shared" si="67"/>
        <v>0</v>
      </c>
      <c r="C311" s="29">
        <f t="shared" si="68"/>
        <v>0</v>
      </c>
      <c r="D311" s="29">
        <f t="shared" si="69"/>
        <v>0</v>
      </c>
      <c r="E311" s="29">
        <f t="shared" si="66"/>
        <v>0</v>
      </c>
      <c r="F311" s="29">
        <f t="shared" si="70"/>
        <v>0</v>
      </c>
      <c r="G311" s="29" t="str">
        <f t="shared" si="71"/>
        <v>offensive</v>
      </c>
      <c r="H311" s="16">
        <f t="shared" si="72"/>
        <v>0</v>
      </c>
      <c r="I311" s="16">
        <f t="shared" si="73"/>
        <v>0</v>
      </c>
      <c r="J311" s="16">
        <f t="shared" si="74"/>
        <v>0</v>
      </c>
      <c r="K311" s="16">
        <f t="shared" si="75"/>
        <v>0</v>
      </c>
      <c r="L311" s="67">
        <f t="shared" si="76"/>
        <v>0</v>
      </c>
      <c r="M311" s="4">
        <f t="shared" si="77"/>
        <v>0</v>
      </c>
      <c r="N311" s="4">
        <f t="shared" si="78"/>
        <v>0</v>
      </c>
      <c r="O311" s="4">
        <f t="shared" si="79"/>
        <v>0</v>
      </c>
      <c r="P311" s="4" t="e">
        <f>VLOOKUP(AJ303,'CIR Team Info'!$C$5:$E$44,2,FALSE)</f>
        <v>#N/A</v>
      </c>
      <c r="Q311" s="4" t="e">
        <f>VLOOKUP(AJ303,'CIR Team Info'!$C$5:$E$44,3,FALSE)</f>
        <v>#N/A</v>
      </c>
      <c r="R311" s="10" t="e">
        <f>VLOOKUP(AJ303,'FRC Site Data'!$B$3:$L$42,2,FALSE)</f>
        <v>#N/A</v>
      </c>
      <c r="S311" s="10" t="e">
        <f>VLOOKUP(AJ303,'FRC Site Data'!$B$3:$L$42,3,FALSE)</f>
        <v>#N/A</v>
      </c>
      <c r="T311" s="10" t="e">
        <f>VLOOKUP(AJ303,'FRC Site Data'!$B$3:$L$42,4,FALSE)</f>
        <v>#N/A</v>
      </c>
      <c r="U311" s="10" t="e">
        <f>VLOOKUP(AJ303,'FRC Site Data'!$B$3:$L$42,5,FALSE)</f>
        <v>#N/A</v>
      </c>
      <c r="V311" s="10" t="e">
        <f>VLOOKUP(AJ303,'FRC Site Data'!$B$3:$L$42,6,FALSE)</f>
        <v>#N/A</v>
      </c>
      <c r="W311" s="10" t="e">
        <f>VLOOKUP(AJ303,'FRC Site Data'!$B$3:$L$42,8,FALSE)</f>
        <v>#N/A</v>
      </c>
      <c r="X311" s="10" t="e">
        <f>VLOOKUP(AJ303,'FRC Site Data'!$B$3:$L$42,9,FALSE)</f>
        <v>#N/A</v>
      </c>
      <c r="Y311" s="10" t="e">
        <f>VLOOKUP(AJ303,'FRC Site Data'!$B$3:$L$42,10,FALSE)</f>
        <v>#N/A</v>
      </c>
      <c r="Z311" s="10" t="e">
        <f>VLOOKUP(AJ303,'FRC Site Data'!$B$3:$L$42,11,FALSE)</f>
        <v>#N/A</v>
      </c>
      <c r="AA311" s="10" t="e">
        <f>VLOOKUP(AJ303,'CIR Team Info'!$C$5:$E$44,4,FALSE)</f>
        <v>#N/A</v>
      </c>
      <c r="AB311" s="161" t="b">
        <f>ISNUMBER(VLOOKUP(AJ303,Match!$T$5:$T$10,1,FALSE))</f>
        <v>0</v>
      </c>
      <c r="AC311" s="161" t="b">
        <f>IF(AB311=TRUE,(VLOOKUP($AJ303,Match!$T$5:$U$10,2,FALSE)))</f>
        <v>0</v>
      </c>
      <c r="AD311" s="8">
        <v>3</v>
      </c>
      <c r="AE311" s="8">
        <v>2</v>
      </c>
      <c r="AF311" s="8">
        <v>2</v>
      </c>
      <c r="AG311" s="8">
        <v>1</v>
      </c>
      <c r="AH311" s="8" t="str">
        <f t="shared" si="80"/>
        <v/>
      </c>
      <c r="AI311" s="12"/>
      <c r="AZ311" s="12"/>
      <c r="BC311" s="12"/>
      <c r="BK311" s="12"/>
    </row>
    <row r="312" spans="1:63" x14ac:dyDescent="0.25">
      <c r="A312" s="29">
        <f t="shared" si="81"/>
        <v>0</v>
      </c>
      <c r="B312" s="29">
        <f t="shared" si="67"/>
        <v>0</v>
      </c>
      <c r="C312" s="29">
        <f t="shared" si="68"/>
        <v>0</v>
      </c>
      <c r="D312" s="29">
        <f t="shared" si="69"/>
        <v>0</v>
      </c>
      <c r="E312" s="29">
        <f t="shared" si="66"/>
        <v>0</v>
      </c>
      <c r="F312" s="29">
        <f t="shared" si="70"/>
        <v>0</v>
      </c>
      <c r="G312" s="29" t="str">
        <f t="shared" si="71"/>
        <v>offensive</v>
      </c>
      <c r="H312" s="16">
        <f t="shared" si="72"/>
        <v>0</v>
      </c>
      <c r="I312" s="16">
        <f t="shared" si="73"/>
        <v>0</v>
      </c>
      <c r="J312" s="16">
        <f t="shared" si="74"/>
        <v>0</v>
      </c>
      <c r="K312" s="16">
        <f t="shared" si="75"/>
        <v>0</v>
      </c>
      <c r="L312" s="67">
        <f t="shared" si="76"/>
        <v>0</v>
      </c>
      <c r="M312" s="4">
        <f t="shared" si="77"/>
        <v>0</v>
      </c>
      <c r="N312" s="4">
        <f t="shared" si="78"/>
        <v>0</v>
      </c>
      <c r="O312" s="4">
        <f t="shared" si="79"/>
        <v>0</v>
      </c>
      <c r="P312" s="4" t="e">
        <f>VLOOKUP(AJ304,'CIR Team Info'!$C$5:$E$44,2,FALSE)</f>
        <v>#N/A</v>
      </c>
      <c r="Q312" s="4" t="e">
        <f>VLOOKUP(AJ304,'CIR Team Info'!$C$5:$E$44,3,FALSE)</f>
        <v>#N/A</v>
      </c>
      <c r="R312" s="10" t="e">
        <f>VLOOKUP(AJ304,'FRC Site Data'!$B$3:$L$42,2,FALSE)</f>
        <v>#N/A</v>
      </c>
      <c r="S312" s="10" t="e">
        <f>VLOOKUP(AJ304,'FRC Site Data'!$B$3:$L$42,3,FALSE)</f>
        <v>#N/A</v>
      </c>
      <c r="T312" s="10" t="e">
        <f>VLOOKUP(AJ304,'FRC Site Data'!$B$3:$L$42,4,FALSE)</f>
        <v>#N/A</v>
      </c>
      <c r="U312" s="10" t="e">
        <f>VLOOKUP(AJ304,'FRC Site Data'!$B$3:$L$42,5,FALSE)</f>
        <v>#N/A</v>
      </c>
      <c r="V312" s="10" t="e">
        <f>VLOOKUP(AJ304,'FRC Site Data'!$B$3:$L$42,6,FALSE)</f>
        <v>#N/A</v>
      </c>
      <c r="W312" s="10" t="e">
        <f>VLOOKUP(AJ304,'FRC Site Data'!$B$3:$L$42,8,FALSE)</f>
        <v>#N/A</v>
      </c>
      <c r="X312" s="10" t="e">
        <f>VLOOKUP(AJ304,'FRC Site Data'!$B$3:$L$42,9,FALSE)</f>
        <v>#N/A</v>
      </c>
      <c r="Y312" s="10" t="e">
        <f>VLOOKUP(AJ304,'FRC Site Data'!$B$3:$L$42,10,FALSE)</f>
        <v>#N/A</v>
      </c>
      <c r="Z312" s="10" t="e">
        <f>VLOOKUP(AJ304,'FRC Site Data'!$B$3:$L$42,11,FALSE)</f>
        <v>#N/A</v>
      </c>
      <c r="AA312" s="10" t="e">
        <f>VLOOKUP(AJ304,'CIR Team Info'!$C$5:$E$44,4,FALSE)</f>
        <v>#N/A</v>
      </c>
      <c r="AB312" s="161" t="b">
        <f>ISNUMBER(VLOOKUP(AJ304,Match!$T$5:$T$10,1,FALSE))</f>
        <v>0</v>
      </c>
      <c r="AC312" s="161" t="b">
        <f>IF(AB312=TRUE,(VLOOKUP($AJ304,Match!$T$5:$U$10,2,FALSE)))</f>
        <v>0</v>
      </c>
      <c r="AD312" s="8">
        <v>3</v>
      </c>
      <c r="AE312" s="8">
        <v>2</v>
      </c>
      <c r="AF312" s="8">
        <v>2</v>
      </c>
      <c r="AG312" s="8">
        <v>1</v>
      </c>
      <c r="AH312" s="8" t="str">
        <f t="shared" si="80"/>
        <v/>
      </c>
      <c r="AI312" s="12"/>
      <c r="AZ312" s="12"/>
      <c r="BC312" s="12"/>
      <c r="BK312" s="12"/>
    </row>
    <row r="313" spans="1:63" x14ac:dyDescent="0.25">
      <c r="A313" s="29">
        <f t="shared" si="81"/>
        <v>0</v>
      </c>
      <c r="B313" s="29">
        <f t="shared" si="67"/>
        <v>0</v>
      </c>
      <c r="C313" s="29">
        <f t="shared" si="68"/>
        <v>0</v>
      </c>
      <c r="D313" s="29">
        <f t="shared" si="69"/>
        <v>0</v>
      </c>
      <c r="E313" s="29">
        <f t="shared" si="66"/>
        <v>0</v>
      </c>
      <c r="F313" s="29">
        <f t="shared" si="70"/>
        <v>0</v>
      </c>
      <c r="G313" s="29" t="str">
        <f t="shared" si="71"/>
        <v>offensive</v>
      </c>
      <c r="H313" s="16">
        <f t="shared" si="72"/>
        <v>0</v>
      </c>
      <c r="I313" s="16">
        <f t="shared" si="73"/>
        <v>0</v>
      </c>
      <c r="J313" s="16">
        <f t="shared" si="74"/>
        <v>0</v>
      </c>
      <c r="K313" s="16">
        <f t="shared" si="75"/>
        <v>0</v>
      </c>
      <c r="L313" s="67">
        <f t="shared" si="76"/>
        <v>0</v>
      </c>
      <c r="M313" s="4">
        <f t="shared" si="77"/>
        <v>0</v>
      </c>
      <c r="N313" s="4">
        <f t="shared" si="78"/>
        <v>0</v>
      </c>
      <c r="O313" s="4">
        <f t="shared" si="79"/>
        <v>0</v>
      </c>
      <c r="P313" s="4" t="e">
        <f>VLOOKUP(AJ305,'CIR Team Info'!$C$5:$E$44,2,FALSE)</f>
        <v>#N/A</v>
      </c>
      <c r="Q313" s="4" t="e">
        <f>VLOOKUP(AJ305,'CIR Team Info'!$C$5:$E$44,3,FALSE)</f>
        <v>#N/A</v>
      </c>
      <c r="R313" s="10" t="e">
        <f>VLOOKUP(AJ305,'FRC Site Data'!$B$3:$L$42,2,FALSE)</f>
        <v>#N/A</v>
      </c>
      <c r="S313" s="10" t="e">
        <f>VLOOKUP(AJ305,'FRC Site Data'!$B$3:$L$42,3,FALSE)</f>
        <v>#N/A</v>
      </c>
      <c r="T313" s="10" t="e">
        <f>VLOOKUP(AJ305,'FRC Site Data'!$B$3:$L$42,4,FALSE)</f>
        <v>#N/A</v>
      </c>
      <c r="U313" s="10" t="e">
        <f>VLOOKUP(AJ305,'FRC Site Data'!$B$3:$L$42,5,FALSE)</f>
        <v>#N/A</v>
      </c>
      <c r="V313" s="10" t="e">
        <f>VLOOKUP(AJ305,'FRC Site Data'!$B$3:$L$42,6,FALSE)</f>
        <v>#N/A</v>
      </c>
      <c r="W313" s="10" t="e">
        <f>VLOOKUP(AJ305,'FRC Site Data'!$B$3:$L$42,8,FALSE)</f>
        <v>#N/A</v>
      </c>
      <c r="X313" s="10" t="e">
        <f>VLOOKUP(AJ305,'FRC Site Data'!$B$3:$L$42,9,FALSE)</f>
        <v>#N/A</v>
      </c>
      <c r="Y313" s="10" t="e">
        <f>VLOOKUP(AJ305,'FRC Site Data'!$B$3:$L$42,10,FALSE)</f>
        <v>#N/A</v>
      </c>
      <c r="Z313" s="10" t="e">
        <f>VLOOKUP(AJ305,'FRC Site Data'!$B$3:$L$42,11,FALSE)</f>
        <v>#N/A</v>
      </c>
      <c r="AA313" s="10" t="e">
        <f>VLOOKUP(AJ305,'CIR Team Info'!$C$5:$E$44,4,FALSE)</f>
        <v>#N/A</v>
      </c>
      <c r="AB313" s="161" t="b">
        <f>ISNUMBER(VLOOKUP(AJ305,Match!$T$5:$T$10,1,FALSE))</f>
        <v>0</v>
      </c>
      <c r="AC313" s="161" t="b">
        <f>IF(AB313=TRUE,(VLOOKUP($AJ305,Match!$T$5:$U$10,2,FALSE)))</f>
        <v>0</v>
      </c>
      <c r="AD313" s="8">
        <v>3</v>
      </c>
      <c r="AE313" s="8">
        <v>2</v>
      </c>
      <c r="AF313" s="8">
        <v>2</v>
      </c>
      <c r="AG313" s="8">
        <v>1</v>
      </c>
      <c r="AH313" s="8" t="str">
        <f t="shared" si="80"/>
        <v/>
      </c>
      <c r="AI313" s="12"/>
      <c r="AZ313" s="12"/>
      <c r="BC313" s="12"/>
      <c r="BK313" s="12"/>
    </row>
    <row r="314" spans="1:63" x14ac:dyDescent="0.25">
      <c r="A314" s="29">
        <f t="shared" si="81"/>
        <v>0</v>
      </c>
      <c r="B314" s="29">
        <f t="shared" si="67"/>
        <v>0</v>
      </c>
      <c r="C314" s="29">
        <f t="shared" si="68"/>
        <v>0</v>
      </c>
      <c r="D314" s="29">
        <f t="shared" si="69"/>
        <v>0</v>
      </c>
      <c r="E314" s="29">
        <f t="shared" si="66"/>
        <v>0</v>
      </c>
      <c r="F314" s="29">
        <f t="shared" si="70"/>
        <v>0</v>
      </c>
      <c r="G314" s="29" t="str">
        <f t="shared" si="71"/>
        <v>offensive</v>
      </c>
      <c r="H314" s="16">
        <f t="shared" si="72"/>
        <v>0</v>
      </c>
      <c r="I314" s="16">
        <f t="shared" si="73"/>
        <v>0</v>
      </c>
      <c r="J314" s="16">
        <f t="shared" si="74"/>
        <v>0</v>
      </c>
      <c r="K314" s="16">
        <f t="shared" si="75"/>
        <v>0</v>
      </c>
      <c r="L314" s="67">
        <f t="shared" si="76"/>
        <v>0</v>
      </c>
      <c r="M314" s="4">
        <f t="shared" si="77"/>
        <v>0</v>
      </c>
      <c r="N314" s="4">
        <f t="shared" si="78"/>
        <v>0</v>
      </c>
      <c r="O314" s="4">
        <f t="shared" si="79"/>
        <v>0</v>
      </c>
      <c r="P314" s="4" t="e">
        <f>VLOOKUP(AJ306,'CIR Team Info'!$C$5:$E$44,2,FALSE)</f>
        <v>#N/A</v>
      </c>
      <c r="Q314" s="4" t="e">
        <f>VLOOKUP(AJ306,'CIR Team Info'!$C$5:$E$44,3,FALSE)</f>
        <v>#N/A</v>
      </c>
      <c r="R314" s="10" t="e">
        <f>VLOOKUP(AJ306,'FRC Site Data'!$B$3:$L$42,2,FALSE)</f>
        <v>#N/A</v>
      </c>
      <c r="S314" s="10" t="e">
        <f>VLOOKUP(AJ306,'FRC Site Data'!$B$3:$L$42,3,FALSE)</f>
        <v>#N/A</v>
      </c>
      <c r="T314" s="10" t="e">
        <f>VLOOKUP(AJ306,'FRC Site Data'!$B$3:$L$42,4,FALSE)</f>
        <v>#N/A</v>
      </c>
      <c r="U314" s="10" t="e">
        <f>VLOOKUP(AJ306,'FRC Site Data'!$B$3:$L$42,5,FALSE)</f>
        <v>#N/A</v>
      </c>
      <c r="V314" s="10" t="e">
        <f>VLOOKUP(AJ306,'FRC Site Data'!$B$3:$L$42,6,FALSE)</f>
        <v>#N/A</v>
      </c>
      <c r="W314" s="10" t="e">
        <f>VLOOKUP(AJ306,'FRC Site Data'!$B$3:$L$42,8,FALSE)</f>
        <v>#N/A</v>
      </c>
      <c r="X314" s="10" t="e">
        <f>VLOOKUP(AJ306,'FRC Site Data'!$B$3:$L$42,9,FALSE)</f>
        <v>#N/A</v>
      </c>
      <c r="Y314" s="10" t="e">
        <f>VLOOKUP(AJ306,'FRC Site Data'!$B$3:$L$42,10,FALSE)</f>
        <v>#N/A</v>
      </c>
      <c r="Z314" s="10" t="e">
        <f>VLOOKUP(AJ306,'FRC Site Data'!$B$3:$L$42,11,FALSE)</f>
        <v>#N/A</v>
      </c>
      <c r="AA314" s="10" t="e">
        <f>VLOOKUP(AJ306,'CIR Team Info'!$C$5:$E$44,4,FALSE)</f>
        <v>#N/A</v>
      </c>
      <c r="AB314" s="161" t="b">
        <f>ISNUMBER(VLOOKUP(AJ306,Match!$T$5:$T$10,1,FALSE))</f>
        <v>0</v>
      </c>
      <c r="AC314" s="161" t="b">
        <f>IF(AB314=TRUE,(VLOOKUP($AJ306,Match!$T$5:$U$10,2,FALSE)))</f>
        <v>0</v>
      </c>
      <c r="AD314" s="8">
        <v>3</v>
      </c>
      <c r="AE314" s="8">
        <v>2</v>
      </c>
      <c r="AF314" s="8">
        <v>2</v>
      </c>
      <c r="AG314" s="8">
        <v>1</v>
      </c>
      <c r="AH314" s="8" t="str">
        <f t="shared" si="80"/>
        <v/>
      </c>
      <c r="AI314" s="12"/>
      <c r="AZ314" s="12"/>
      <c r="BC314" s="12"/>
      <c r="BK314" s="12"/>
    </row>
    <row r="315" spans="1:63" x14ac:dyDescent="0.25">
      <c r="A315" s="29">
        <f t="shared" si="81"/>
        <v>0</v>
      </c>
      <c r="B315" s="29">
        <f t="shared" si="67"/>
        <v>0</v>
      </c>
      <c r="C315" s="29">
        <f t="shared" si="68"/>
        <v>0</v>
      </c>
      <c r="D315" s="29">
        <f t="shared" si="69"/>
        <v>0</v>
      </c>
      <c r="E315" s="29">
        <f t="shared" si="66"/>
        <v>0</v>
      </c>
      <c r="F315" s="29">
        <f t="shared" si="70"/>
        <v>0</v>
      </c>
      <c r="G315" s="29" t="str">
        <f t="shared" si="71"/>
        <v>offensive</v>
      </c>
      <c r="H315" s="16">
        <f t="shared" si="72"/>
        <v>0</v>
      </c>
      <c r="I315" s="16">
        <f t="shared" si="73"/>
        <v>0</v>
      </c>
      <c r="J315" s="16">
        <f t="shared" si="74"/>
        <v>0</v>
      </c>
      <c r="K315" s="16">
        <f t="shared" si="75"/>
        <v>0</v>
      </c>
      <c r="L315" s="67">
        <f t="shared" si="76"/>
        <v>0</v>
      </c>
      <c r="M315" s="4">
        <f t="shared" si="77"/>
        <v>0</v>
      </c>
      <c r="N315" s="4">
        <f t="shared" si="78"/>
        <v>0</v>
      </c>
      <c r="O315" s="4">
        <f t="shared" si="79"/>
        <v>0</v>
      </c>
      <c r="P315" s="4" t="e">
        <f>VLOOKUP(AJ307,'CIR Team Info'!$C$5:$E$44,2,FALSE)</f>
        <v>#N/A</v>
      </c>
      <c r="Q315" s="4" t="e">
        <f>VLOOKUP(AJ307,'CIR Team Info'!$C$5:$E$44,3,FALSE)</f>
        <v>#N/A</v>
      </c>
      <c r="R315" s="10" t="e">
        <f>VLOOKUP(AJ307,'FRC Site Data'!$B$3:$L$42,2,FALSE)</f>
        <v>#N/A</v>
      </c>
      <c r="S315" s="10" t="e">
        <f>VLOOKUP(AJ307,'FRC Site Data'!$B$3:$L$42,3,FALSE)</f>
        <v>#N/A</v>
      </c>
      <c r="T315" s="10" t="e">
        <f>VLOOKUP(AJ307,'FRC Site Data'!$B$3:$L$42,4,FALSE)</f>
        <v>#N/A</v>
      </c>
      <c r="U315" s="10" t="e">
        <f>VLOOKUP(AJ307,'FRC Site Data'!$B$3:$L$42,5,FALSE)</f>
        <v>#N/A</v>
      </c>
      <c r="V315" s="10" t="e">
        <f>VLOOKUP(AJ307,'FRC Site Data'!$B$3:$L$42,6,FALSE)</f>
        <v>#N/A</v>
      </c>
      <c r="W315" s="10" t="e">
        <f>VLOOKUP(AJ307,'FRC Site Data'!$B$3:$L$42,8,FALSE)</f>
        <v>#N/A</v>
      </c>
      <c r="X315" s="10" t="e">
        <f>VLOOKUP(AJ307,'FRC Site Data'!$B$3:$L$42,9,FALSE)</f>
        <v>#N/A</v>
      </c>
      <c r="Y315" s="10" t="e">
        <f>VLOOKUP(AJ307,'FRC Site Data'!$B$3:$L$42,10,FALSE)</f>
        <v>#N/A</v>
      </c>
      <c r="Z315" s="10" t="e">
        <f>VLOOKUP(AJ307,'FRC Site Data'!$B$3:$L$42,11,FALSE)</f>
        <v>#N/A</v>
      </c>
      <c r="AA315" s="10" t="e">
        <f>VLOOKUP(AJ307,'CIR Team Info'!$C$5:$E$44,4,FALSE)</f>
        <v>#N/A</v>
      </c>
      <c r="AB315" s="161" t="b">
        <f>ISNUMBER(VLOOKUP(AJ307,Match!$T$5:$T$10,1,FALSE))</f>
        <v>0</v>
      </c>
      <c r="AC315" s="161" t="b">
        <f>IF(AB315=TRUE,(VLOOKUP($AJ307,Match!$T$5:$U$10,2,FALSE)))</f>
        <v>0</v>
      </c>
      <c r="AD315" s="8">
        <v>3</v>
      </c>
      <c r="AE315" s="8">
        <v>2</v>
      </c>
      <c r="AF315" s="8">
        <v>2</v>
      </c>
      <c r="AG315" s="8">
        <v>1</v>
      </c>
      <c r="AH315" s="8" t="str">
        <f t="shared" si="80"/>
        <v/>
      </c>
      <c r="AI315" s="12"/>
      <c r="AZ315" s="12"/>
      <c r="BC315" s="12"/>
      <c r="BK315" s="12"/>
    </row>
    <row r="316" spans="1:63" x14ac:dyDescent="0.25">
      <c r="A316" s="29">
        <f t="shared" si="81"/>
        <v>0</v>
      </c>
      <c r="B316" s="29">
        <f t="shared" si="67"/>
        <v>0</v>
      </c>
      <c r="C316" s="29">
        <f t="shared" si="68"/>
        <v>0</v>
      </c>
      <c r="D316" s="29">
        <f t="shared" si="69"/>
        <v>0</v>
      </c>
      <c r="E316" s="29">
        <f t="shared" si="66"/>
        <v>0</v>
      </c>
      <c r="F316" s="29">
        <f t="shared" si="70"/>
        <v>0</v>
      </c>
      <c r="G316" s="29" t="str">
        <f t="shared" si="71"/>
        <v>offensive</v>
      </c>
      <c r="H316" s="16">
        <f t="shared" si="72"/>
        <v>0</v>
      </c>
      <c r="I316" s="16">
        <f t="shared" si="73"/>
        <v>0</v>
      </c>
      <c r="J316" s="16">
        <f t="shared" si="74"/>
        <v>0</v>
      </c>
      <c r="K316" s="16">
        <f t="shared" si="75"/>
        <v>0</v>
      </c>
      <c r="L316" s="67">
        <f t="shared" si="76"/>
        <v>0</v>
      </c>
      <c r="M316" s="4">
        <f t="shared" si="77"/>
        <v>0</v>
      </c>
      <c r="N316" s="4">
        <f t="shared" si="78"/>
        <v>0</v>
      </c>
      <c r="O316" s="4">
        <f t="shared" si="79"/>
        <v>0</v>
      </c>
      <c r="P316" s="4" t="e">
        <f>VLOOKUP(AJ308,'CIR Team Info'!$C$5:$E$44,2,FALSE)</f>
        <v>#N/A</v>
      </c>
      <c r="Q316" s="4" t="e">
        <f>VLOOKUP(AJ308,'CIR Team Info'!$C$5:$E$44,3,FALSE)</f>
        <v>#N/A</v>
      </c>
      <c r="R316" s="10" t="e">
        <f>VLOOKUP(AJ308,'FRC Site Data'!$B$3:$L$42,2,FALSE)</f>
        <v>#N/A</v>
      </c>
      <c r="S316" s="10" t="e">
        <f>VLOOKUP(AJ308,'FRC Site Data'!$B$3:$L$42,3,FALSE)</f>
        <v>#N/A</v>
      </c>
      <c r="T316" s="10" t="e">
        <f>VLOOKUP(AJ308,'FRC Site Data'!$B$3:$L$42,4,FALSE)</f>
        <v>#N/A</v>
      </c>
      <c r="U316" s="10" t="e">
        <f>VLOOKUP(AJ308,'FRC Site Data'!$B$3:$L$42,5,FALSE)</f>
        <v>#N/A</v>
      </c>
      <c r="V316" s="10" t="e">
        <f>VLOOKUP(AJ308,'FRC Site Data'!$B$3:$L$42,6,FALSE)</f>
        <v>#N/A</v>
      </c>
      <c r="W316" s="10" t="e">
        <f>VLOOKUP(AJ308,'FRC Site Data'!$B$3:$L$42,8,FALSE)</f>
        <v>#N/A</v>
      </c>
      <c r="X316" s="10" t="e">
        <f>VLOOKUP(AJ308,'FRC Site Data'!$B$3:$L$42,9,FALSE)</f>
        <v>#N/A</v>
      </c>
      <c r="Y316" s="10" t="e">
        <f>VLOOKUP(AJ308,'FRC Site Data'!$B$3:$L$42,10,FALSE)</f>
        <v>#N/A</v>
      </c>
      <c r="Z316" s="10" t="e">
        <f>VLOOKUP(AJ308,'FRC Site Data'!$B$3:$L$42,11,FALSE)</f>
        <v>#N/A</v>
      </c>
      <c r="AA316" s="10" t="e">
        <f>VLOOKUP(AJ308,'CIR Team Info'!$C$5:$E$44,4,FALSE)</f>
        <v>#N/A</v>
      </c>
      <c r="AB316" s="161" t="b">
        <f>ISNUMBER(VLOOKUP(AJ308,Match!$T$5:$T$10,1,FALSE))</f>
        <v>0</v>
      </c>
      <c r="AC316" s="161" t="b">
        <f>IF(AB316=TRUE,(VLOOKUP($AJ308,Match!$T$5:$U$10,2,FALSE)))</f>
        <v>0</v>
      </c>
      <c r="AD316" s="8">
        <v>3</v>
      </c>
      <c r="AE316" s="8">
        <v>2</v>
      </c>
      <c r="AF316" s="8">
        <v>2</v>
      </c>
      <c r="AG316" s="8">
        <v>1</v>
      </c>
      <c r="AH316" s="8" t="str">
        <f t="shared" si="80"/>
        <v/>
      </c>
      <c r="AI316" s="12"/>
      <c r="AZ316" s="12"/>
      <c r="BC316" s="12"/>
      <c r="BK316" s="12"/>
    </row>
    <row r="317" spans="1:63" x14ac:dyDescent="0.25">
      <c r="A317" s="29">
        <f t="shared" si="81"/>
        <v>0</v>
      </c>
      <c r="B317" s="29">
        <f t="shared" si="67"/>
        <v>0</v>
      </c>
      <c r="C317" s="29">
        <f t="shared" si="68"/>
        <v>0</v>
      </c>
      <c r="D317" s="29">
        <f t="shared" si="69"/>
        <v>0</v>
      </c>
      <c r="E317" s="29">
        <f t="shared" si="66"/>
        <v>0</v>
      </c>
      <c r="F317" s="29">
        <f t="shared" si="70"/>
        <v>0</v>
      </c>
      <c r="G317" s="29" t="str">
        <f t="shared" si="71"/>
        <v>offensive</v>
      </c>
      <c r="H317" s="16">
        <f t="shared" si="72"/>
        <v>0</v>
      </c>
      <c r="I317" s="16">
        <f t="shared" si="73"/>
        <v>0</v>
      </c>
      <c r="J317" s="16">
        <f t="shared" si="74"/>
        <v>0</v>
      </c>
      <c r="K317" s="16">
        <f t="shared" si="75"/>
        <v>0</v>
      </c>
      <c r="L317" s="67">
        <f t="shared" si="76"/>
        <v>0</v>
      </c>
      <c r="M317" s="4">
        <f t="shared" si="77"/>
        <v>0</v>
      </c>
      <c r="N317" s="4">
        <f t="shared" si="78"/>
        <v>0</v>
      </c>
      <c r="O317" s="4">
        <f t="shared" si="79"/>
        <v>0</v>
      </c>
      <c r="P317" s="4" t="e">
        <f>VLOOKUP(AJ309,'CIR Team Info'!$C$5:$E$44,2,FALSE)</f>
        <v>#N/A</v>
      </c>
      <c r="Q317" s="4" t="e">
        <f>VLOOKUP(AJ309,'CIR Team Info'!$C$5:$E$44,3,FALSE)</f>
        <v>#N/A</v>
      </c>
      <c r="R317" s="10" t="e">
        <f>VLOOKUP(AJ309,'FRC Site Data'!$B$3:$L$42,2,FALSE)</f>
        <v>#N/A</v>
      </c>
      <c r="S317" s="10" t="e">
        <f>VLOOKUP(AJ309,'FRC Site Data'!$B$3:$L$42,3,FALSE)</f>
        <v>#N/A</v>
      </c>
      <c r="T317" s="10" t="e">
        <f>VLOOKUP(AJ309,'FRC Site Data'!$B$3:$L$42,4,FALSE)</f>
        <v>#N/A</v>
      </c>
      <c r="U317" s="10" t="e">
        <f>VLOOKUP(AJ309,'FRC Site Data'!$B$3:$L$42,5,FALSE)</f>
        <v>#N/A</v>
      </c>
      <c r="V317" s="10" t="e">
        <f>VLOOKUP(AJ309,'FRC Site Data'!$B$3:$L$42,6,FALSE)</f>
        <v>#N/A</v>
      </c>
      <c r="W317" s="10" t="e">
        <f>VLOOKUP(AJ309,'FRC Site Data'!$B$3:$L$42,8,FALSE)</f>
        <v>#N/A</v>
      </c>
      <c r="X317" s="10" t="e">
        <f>VLOOKUP(AJ309,'FRC Site Data'!$B$3:$L$42,9,FALSE)</f>
        <v>#N/A</v>
      </c>
      <c r="Y317" s="10" t="e">
        <f>VLOOKUP(AJ309,'FRC Site Data'!$B$3:$L$42,10,FALSE)</f>
        <v>#N/A</v>
      </c>
      <c r="Z317" s="10" t="e">
        <f>VLOOKUP(AJ309,'FRC Site Data'!$B$3:$L$42,11,FALSE)</f>
        <v>#N/A</v>
      </c>
      <c r="AA317" s="10" t="e">
        <f>VLOOKUP(AJ309,'CIR Team Info'!$C$5:$E$44,4,FALSE)</f>
        <v>#N/A</v>
      </c>
      <c r="AB317" s="161" t="b">
        <f>ISNUMBER(VLOOKUP(AJ309,Match!$T$5:$T$10,1,FALSE))</f>
        <v>0</v>
      </c>
      <c r="AC317" s="161" t="b">
        <f>IF(AB317=TRUE,(VLOOKUP($AJ309,Match!$T$5:$U$10,2,FALSE)))</f>
        <v>0</v>
      </c>
      <c r="AD317" s="8">
        <v>3</v>
      </c>
      <c r="AE317" s="8">
        <v>2</v>
      </c>
      <c r="AF317" s="8">
        <v>2</v>
      </c>
      <c r="AG317" s="8">
        <v>1</v>
      </c>
      <c r="AH317" s="8" t="str">
        <f t="shared" si="80"/>
        <v/>
      </c>
      <c r="AI317" s="12"/>
      <c r="AZ317" s="12"/>
      <c r="BC317" s="12"/>
      <c r="BK317" s="12"/>
    </row>
    <row r="318" spans="1:63" x14ac:dyDescent="0.25">
      <c r="A318" s="29">
        <f t="shared" si="81"/>
        <v>0</v>
      </c>
      <c r="B318" s="29">
        <f t="shared" si="67"/>
        <v>0</v>
      </c>
      <c r="C318" s="29">
        <f t="shared" si="68"/>
        <v>0</v>
      </c>
      <c r="D318" s="29">
        <f t="shared" si="69"/>
        <v>0</v>
      </c>
      <c r="E318" s="29">
        <f t="shared" si="66"/>
        <v>0</v>
      </c>
      <c r="F318" s="29">
        <f t="shared" si="70"/>
        <v>0</v>
      </c>
      <c r="G318" s="29" t="str">
        <f t="shared" si="71"/>
        <v>offensive</v>
      </c>
      <c r="H318" s="16">
        <f t="shared" si="72"/>
        <v>0</v>
      </c>
      <c r="I318" s="16">
        <f t="shared" si="73"/>
        <v>0</v>
      </c>
      <c r="J318" s="16">
        <f t="shared" si="74"/>
        <v>0</v>
      </c>
      <c r="K318" s="16">
        <f t="shared" si="75"/>
        <v>0</v>
      </c>
      <c r="L318" s="67">
        <f t="shared" si="76"/>
        <v>0</v>
      </c>
      <c r="M318" s="4">
        <f t="shared" si="77"/>
        <v>0</v>
      </c>
      <c r="N318" s="4">
        <f t="shared" si="78"/>
        <v>0</v>
      </c>
      <c r="O318" s="4">
        <f t="shared" si="79"/>
        <v>0</v>
      </c>
      <c r="P318" s="4" t="e">
        <f>VLOOKUP(AJ310,'CIR Team Info'!$C$5:$E$44,2,FALSE)</f>
        <v>#N/A</v>
      </c>
      <c r="Q318" s="4" t="e">
        <f>VLOOKUP(AJ310,'CIR Team Info'!$C$5:$E$44,3,FALSE)</f>
        <v>#N/A</v>
      </c>
      <c r="R318" s="10" t="e">
        <f>VLOOKUP(AJ310,'FRC Site Data'!$B$3:$L$42,2,FALSE)</f>
        <v>#N/A</v>
      </c>
      <c r="S318" s="10" t="e">
        <f>VLOOKUP(AJ310,'FRC Site Data'!$B$3:$L$42,3,FALSE)</f>
        <v>#N/A</v>
      </c>
      <c r="T318" s="10" t="e">
        <f>VLOOKUP(AJ310,'FRC Site Data'!$B$3:$L$42,4,FALSE)</f>
        <v>#N/A</v>
      </c>
      <c r="U318" s="10" t="e">
        <f>VLOOKUP(AJ310,'FRC Site Data'!$B$3:$L$42,5,FALSE)</f>
        <v>#N/A</v>
      </c>
      <c r="V318" s="10" t="e">
        <f>VLOOKUP(AJ310,'FRC Site Data'!$B$3:$L$42,6,FALSE)</f>
        <v>#N/A</v>
      </c>
      <c r="W318" s="10" t="e">
        <f>VLOOKUP(AJ310,'FRC Site Data'!$B$3:$L$42,8,FALSE)</f>
        <v>#N/A</v>
      </c>
      <c r="X318" s="10" t="e">
        <f>VLOOKUP(AJ310,'FRC Site Data'!$B$3:$L$42,9,FALSE)</f>
        <v>#N/A</v>
      </c>
      <c r="Y318" s="10" t="e">
        <f>VLOOKUP(AJ310,'FRC Site Data'!$B$3:$L$42,10,FALSE)</f>
        <v>#N/A</v>
      </c>
      <c r="Z318" s="10" t="e">
        <f>VLOOKUP(AJ310,'FRC Site Data'!$B$3:$L$42,11,FALSE)</f>
        <v>#N/A</v>
      </c>
      <c r="AA318" s="10" t="e">
        <f>VLOOKUP(AJ310,'CIR Team Info'!$C$5:$E$44,4,FALSE)</f>
        <v>#N/A</v>
      </c>
      <c r="AB318" s="161" t="b">
        <f>ISNUMBER(VLOOKUP(AJ310,Match!$T$5:$T$10,1,FALSE))</f>
        <v>0</v>
      </c>
      <c r="AC318" s="161" t="b">
        <f>IF(AB318=TRUE,(VLOOKUP($AJ310,Match!$T$5:$U$10,2,FALSE)))</f>
        <v>0</v>
      </c>
      <c r="AD318" s="8">
        <v>3</v>
      </c>
      <c r="AE318" s="8">
        <v>2</v>
      </c>
      <c r="AF318" s="8">
        <v>2</v>
      </c>
      <c r="AG318" s="8">
        <v>1</v>
      </c>
      <c r="AH318" s="8" t="str">
        <f t="shared" si="80"/>
        <v/>
      </c>
      <c r="AI318" s="12"/>
      <c r="AZ318" s="12"/>
      <c r="BC318" s="12"/>
      <c r="BK318" s="12"/>
    </row>
    <row r="319" spans="1:63" x14ac:dyDescent="0.25">
      <c r="A319" s="29">
        <f t="shared" si="81"/>
        <v>0</v>
      </c>
      <c r="B319" s="29">
        <f t="shared" si="67"/>
        <v>0</v>
      </c>
      <c r="C319" s="29">
        <f t="shared" si="68"/>
        <v>0</v>
      </c>
      <c r="D319" s="29">
        <f t="shared" si="69"/>
        <v>0</v>
      </c>
      <c r="E319" s="29">
        <f t="shared" si="66"/>
        <v>0</v>
      </c>
      <c r="F319" s="29">
        <f t="shared" si="70"/>
        <v>0</v>
      </c>
      <c r="G319" s="29" t="str">
        <f t="shared" si="71"/>
        <v>offensive</v>
      </c>
      <c r="H319" s="16">
        <f t="shared" si="72"/>
        <v>0</v>
      </c>
      <c r="I319" s="16">
        <f t="shared" si="73"/>
        <v>0</v>
      </c>
      <c r="J319" s="16">
        <f t="shared" si="74"/>
        <v>0</v>
      </c>
      <c r="K319" s="16">
        <f t="shared" si="75"/>
        <v>0</v>
      </c>
      <c r="L319" s="67">
        <f t="shared" si="76"/>
        <v>0</v>
      </c>
      <c r="M319" s="4">
        <f t="shared" si="77"/>
        <v>0</v>
      </c>
      <c r="N319" s="4">
        <f t="shared" si="78"/>
        <v>0</v>
      </c>
      <c r="O319" s="4">
        <f t="shared" si="79"/>
        <v>0</v>
      </c>
      <c r="P319" s="4" t="e">
        <f>VLOOKUP(AJ311,'CIR Team Info'!$C$5:$E$44,2,FALSE)</f>
        <v>#N/A</v>
      </c>
      <c r="Q319" s="4" t="e">
        <f>VLOOKUP(AJ311,'CIR Team Info'!$C$5:$E$44,3,FALSE)</f>
        <v>#N/A</v>
      </c>
      <c r="R319" s="10" t="e">
        <f>VLOOKUP(AJ311,'FRC Site Data'!$B$3:$L$42,2,FALSE)</f>
        <v>#N/A</v>
      </c>
      <c r="S319" s="10" t="e">
        <f>VLOOKUP(AJ311,'FRC Site Data'!$B$3:$L$42,3,FALSE)</f>
        <v>#N/A</v>
      </c>
      <c r="T319" s="10" t="e">
        <f>VLOOKUP(AJ311,'FRC Site Data'!$B$3:$L$42,4,FALSE)</f>
        <v>#N/A</v>
      </c>
      <c r="U319" s="10" t="e">
        <f>VLOOKUP(AJ311,'FRC Site Data'!$B$3:$L$42,5,FALSE)</f>
        <v>#N/A</v>
      </c>
      <c r="V319" s="10" t="e">
        <f>VLOOKUP(AJ311,'FRC Site Data'!$B$3:$L$42,6,FALSE)</f>
        <v>#N/A</v>
      </c>
      <c r="W319" s="10" t="e">
        <f>VLOOKUP(AJ311,'FRC Site Data'!$B$3:$L$42,8,FALSE)</f>
        <v>#N/A</v>
      </c>
      <c r="X319" s="10" t="e">
        <f>VLOOKUP(AJ311,'FRC Site Data'!$B$3:$L$42,9,FALSE)</f>
        <v>#N/A</v>
      </c>
      <c r="Y319" s="10" t="e">
        <f>VLOOKUP(AJ311,'FRC Site Data'!$B$3:$L$42,10,FALSE)</f>
        <v>#N/A</v>
      </c>
      <c r="Z319" s="10" t="e">
        <f>VLOOKUP(AJ311,'FRC Site Data'!$B$3:$L$42,11,FALSE)</f>
        <v>#N/A</v>
      </c>
      <c r="AA319" s="10" t="e">
        <f>VLOOKUP(AJ311,'CIR Team Info'!$C$5:$E$44,4,FALSE)</f>
        <v>#N/A</v>
      </c>
      <c r="AB319" s="161" t="b">
        <f>ISNUMBER(VLOOKUP(AJ311,Match!$T$5:$T$10,1,FALSE))</f>
        <v>0</v>
      </c>
      <c r="AC319" s="161" t="b">
        <f>IF(AB319=TRUE,(VLOOKUP($AJ311,Match!$T$5:$U$10,2,FALSE)))</f>
        <v>0</v>
      </c>
      <c r="AD319" s="8">
        <v>3</v>
      </c>
      <c r="AE319" s="8">
        <v>2</v>
      </c>
      <c r="AF319" s="8">
        <v>2</v>
      </c>
      <c r="AG319" s="8">
        <v>1</v>
      </c>
      <c r="AH319" s="8" t="str">
        <f t="shared" si="80"/>
        <v/>
      </c>
      <c r="AI319" s="12"/>
      <c r="AZ319" s="12"/>
      <c r="BC319" s="12"/>
      <c r="BK319" s="12"/>
    </row>
    <row r="320" spans="1:63" x14ac:dyDescent="0.25">
      <c r="A320" s="29">
        <f t="shared" si="81"/>
        <v>0</v>
      </c>
      <c r="B320" s="29">
        <f t="shared" si="67"/>
        <v>0</v>
      </c>
      <c r="C320" s="29">
        <f t="shared" si="68"/>
        <v>0</v>
      </c>
      <c r="D320" s="29">
        <f t="shared" si="69"/>
        <v>0</v>
      </c>
      <c r="E320" s="29">
        <f t="shared" si="66"/>
        <v>0</v>
      </c>
      <c r="F320" s="29">
        <f t="shared" si="70"/>
        <v>0</v>
      </c>
      <c r="G320" s="29" t="str">
        <f t="shared" si="71"/>
        <v>offensive</v>
      </c>
      <c r="H320" s="16">
        <f t="shared" si="72"/>
        <v>0</v>
      </c>
      <c r="I320" s="16">
        <f t="shared" si="73"/>
        <v>0</v>
      </c>
      <c r="J320" s="16">
        <f t="shared" si="74"/>
        <v>0</v>
      </c>
      <c r="K320" s="16">
        <f t="shared" si="75"/>
        <v>0</v>
      </c>
      <c r="L320" s="67">
        <f t="shared" si="76"/>
        <v>0</v>
      </c>
      <c r="M320" s="4">
        <f t="shared" si="77"/>
        <v>0</v>
      </c>
      <c r="N320" s="4">
        <f t="shared" si="78"/>
        <v>0</v>
      </c>
      <c r="O320" s="4">
        <f t="shared" si="79"/>
        <v>0</v>
      </c>
      <c r="P320" s="4" t="e">
        <f>VLOOKUP(AJ312,'CIR Team Info'!$C$5:$E$44,2,FALSE)</f>
        <v>#N/A</v>
      </c>
      <c r="Q320" s="4" t="e">
        <f>VLOOKUP(AJ312,'CIR Team Info'!$C$5:$E$44,3,FALSE)</f>
        <v>#N/A</v>
      </c>
      <c r="R320" s="10" t="e">
        <f>VLOOKUP(AJ312,'FRC Site Data'!$B$3:$L$42,2,FALSE)</f>
        <v>#N/A</v>
      </c>
      <c r="S320" s="10" t="e">
        <f>VLOOKUP(AJ312,'FRC Site Data'!$B$3:$L$42,3,FALSE)</f>
        <v>#N/A</v>
      </c>
      <c r="T320" s="10" t="e">
        <f>VLOOKUP(AJ312,'FRC Site Data'!$B$3:$L$42,4,FALSE)</f>
        <v>#N/A</v>
      </c>
      <c r="U320" s="10" t="e">
        <f>VLOOKUP(AJ312,'FRC Site Data'!$B$3:$L$42,5,FALSE)</f>
        <v>#N/A</v>
      </c>
      <c r="V320" s="10" t="e">
        <f>VLOOKUP(AJ312,'FRC Site Data'!$B$3:$L$42,6,FALSE)</f>
        <v>#N/A</v>
      </c>
      <c r="W320" s="10" t="e">
        <f>VLOOKUP(AJ312,'FRC Site Data'!$B$3:$L$42,8,FALSE)</f>
        <v>#N/A</v>
      </c>
      <c r="X320" s="10" t="e">
        <f>VLOOKUP(AJ312,'FRC Site Data'!$B$3:$L$42,9,FALSE)</f>
        <v>#N/A</v>
      </c>
      <c r="Y320" s="10" t="e">
        <f>VLOOKUP(AJ312,'FRC Site Data'!$B$3:$L$42,10,FALSE)</f>
        <v>#N/A</v>
      </c>
      <c r="Z320" s="10" t="e">
        <f>VLOOKUP(AJ312,'FRC Site Data'!$B$3:$L$42,11,FALSE)</f>
        <v>#N/A</v>
      </c>
      <c r="AA320" s="10" t="e">
        <f>VLOOKUP(AJ312,'CIR Team Info'!$C$5:$E$44,4,FALSE)</f>
        <v>#N/A</v>
      </c>
      <c r="AB320" s="161" t="b">
        <f>ISNUMBER(VLOOKUP(AJ312,Match!$T$5:$T$10,1,FALSE))</f>
        <v>0</v>
      </c>
      <c r="AC320" s="161" t="b">
        <f>IF(AB320=TRUE,(VLOOKUP($AJ312,Match!$T$5:$U$10,2,FALSE)))</f>
        <v>0</v>
      </c>
      <c r="AD320" s="8">
        <v>3</v>
      </c>
      <c r="AE320" s="8">
        <v>2</v>
      </c>
      <c r="AF320" s="8">
        <v>2</v>
      </c>
      <c r="AG320" s="8">
        <v>1</v>
      </c>
      <c r="AH320" s="8" t="str">
        <f t="shared" si="80"/>
        <v/>
      </c>
      <c r="AI320" s="12"/>
      <c r="AZ320" s="12"/>
      <c r="BC320" s="12"/>
      <c r="BK320" s="12"/>
    </row>
    <row r="321" spans="1:63" x14ac:dyDescent="0.25">
      <c r="A321" s="29">
        <f t="shared" si="81"/>
        <v>0</v>
      </c>
      <c r="B321" s="29">
        <f t="shared" si="67"/>
        <v>0</v>
      </c>
      <c r="C321" s="29">
        <f t="shared" si="68"/>
        <v>0</v>
      </c>
      <c r="D321" s="29">
        <f t="shared" si="69"/>
        <v>0</v>
      </c>
      <c r="E321" s="29">
        <f t="shared" ref="E321:E384" si="82">K321*O321</f>
        <v>0</v>
      </c>
      <c r="F321" s="29">
        <f t="shared" si="70"/>
        <v>0</v>
      </c>
      <c r="G321" s="29" t="str">
        <f t="shared" si="71"/>
        <v>offensive</v>
      </c>
      <c r="H321" s="16">
        <f t="shared" si="72"/>
        <v>0</v>
      </c>
      <c r="I321" s="16">
        <f t="shared" si="73"/>
        <v>0</v>
      </c>
      <c r="J321" s="16">
        <f t="shared" si="74"/>
        <v>0</v>
      </c>
      <c r="K321" s="16">
        <f t="shared" si="75"/>
        <v>0</v>
      </c>
      <c r="L321" s="67">
        <f t="shared" si="76"/>
        <v>0</v>
      </c>
      <c r="M321" s="4">
        <f t="shared" si="77"/>
        <v>0</v>
      </c>
      <c r="N321" s="4">
        <f t="shared" si="78"/>
        <v>0</v>
      </c>
      <c r="O321" s="4">
        <f t="shared" si="79"/>
        <v>0</v>
      </c>
      <c r="P321" s="4" t="e">
        <f>VLOOKUP(AJ313,'CIR Team Info'!$C$5:$E$44,2,FALSE)</f>
        <v>#N/A</v>
      </c>
      <c r="Q321" s="4" t="e">
        <f>VLOOKUP(AJ313,'CIR Team Info'!$C$5:$E$44,3,FALSE)</f>
        <v>#N/A</v>
      </c>
      <c r="R321" s="10" t="e">
        <f>VLOOKUP(AJ313,'FRC Site Data'!$B$3:$L$42,2,FALSE)</f>
        <v>#N/A</v>
      </c>
      <c r="S321" s="10" t="e">
        <f>VLOOKUP(AJ313,'FRC Site Data'!$B$3:$L$42,3,FALSE)</f>
        <v>#N/A</v>
      </c>
      <c r="T321" s="10" t="e">
        <f>VLOOKUP(AJ313,'FRC Site Data'!$B$3:$L$42,4,FALSE)</f>
        <v>#N/A</v>
      </c>
      <c r="U321" s="10" t="e">
        <f>VLOOKUP(AJ313,'FRC Site Data'!$B$3:$L$42,5,FALSE)</f>
        <v>#N/A</v>
      </c>
      <c r="V321" s="10" t="e">
        <f>VLOOKUP(AJ313,'FRC Site Data'!$B$3:$L$42,6,FALSE)</f>
        <v>#N/A</v>
      </c>
      <c r="W321" s="10" t="e">
        <f>VLOOKUP(AJ313,'FRC Site Data'!$B$3:$L$42,8,FALSE)</f>
        <v>#N/A</v>
      </c>
      <c r="X321" s="10" t="e">
        <f>VLOOKUP(AJ313,'FRC Site Data'!$B$3:$L$42,9,FALSE)</f>
        <v>#N/A</v>
      </c>
      <c r="Y321" s="10" t="e">
        <f>VLOOKUP(AJ313,'FRC Site Data'!$B$3:$L$42,10,FALSE)</f>
        <v>#N/A</v>
      </c>
      <c r="Z321" s="10" t="e">
        <f>VLOOKUP(AJ313,'FRC Site Data'!$B$3:$L$42,11,FALSE)</f>
        <v>#N/A</v>
      </c>
      <c r="AA321" s="10" t="e">
        <f>VLOOKUP(AJ313,'CIR Team Info'!$C$5:$E$44,4,FALSE)</f>
        <v>#N/A</v>
      </c>
      <c r="AB321" s="161" t="b">
        <f>ISNUMBER(VLOOKUP(AJ313,Match!$T$5:$T$10,1,FALSE))</f>
        <v>0</v>
      </c>
      <c r="AC321" s="161" t="b">
        <f>IF(AB321=TRUE,(VLOOKUP($AJ313,Match!$T$5:$U$10,2,FALSE)))</f>
        <v>0</v>
      </c>
      <c r="AD321" s="8">
        <v>3</v>
      </c>
      <c r="AE321" s="8">
        <v>2</v>
      </c>
      <c r="AF321" s="8">
        <v>2</v>
      </c>
      <c r="AG321" s="8">
        <v>1</v>
      </c>
      <c r="AH321" s="8" t="str">
        <f t="shared" si="80"/>
        <v/>
      </c>
      <c r="AI321" s="12"/>
      <c r="AZ321" s="12"/>
      <c r="BC321" s="12"/>
      <c r="BK321" s="12"/>
    </row>
    <row r="322" spans="1:63" x14ac:dyDescent="0.25">
      <c r="A322" s="29">
        <f t="shared" si="81"/>
        <v>0</v>
      </c>
      <c r="B322" s="29">
        <f t="shared" si="67"/>
        <v>0</v>
      </c>
      <c r="C322" s="29">
        <f t="shared" si="68"/>
        <v>0</v>
      </c>
      <c r="D322" s="29">
        <f t="shared" si="69"/>
        <v>0</v>
      </c>
      <c r="E322" s="29">
        <f t="shared" si="82"/>
        <v>0</v>
      </c>
      <c r="F322" s="29">
        <f t="shared" si="70"/>
        <v>0</v>
      </c>
      <c r="G322" s="29" t="str">
        <f t="shared" si="71"/>
        <v>offensive</v>
      </c>
      <c r="H322" s="16">
        <f t="shared" si="72"/>
        <v>0</v>
      </c>
      <c r="I322" s="16">
        <f t="shared" si="73"/>
        <v>0</v>
      </c>
      <c r="J322" s="16">
        <f t="shared" si="74"/>
        <v>0</v>
      </c>
      <c r="K322" s="16">
        <f t="shared" si="75"/>
        <v>0</v>
      </c>
      <c r="L322" s="67">
        <f t="shared" si="76"/>
        <v>0</v>
      </c>
      <c r="M322" s="4">
        <f t="shared" si="77"/>
        <v>0</v>
      </c>
      <c r="N322" s="4">
        <f t="shared" si="78"/>
        <v>0</v>
      </c>
      <c r="O322" s="4">
        <f t="shared" si="79"/>
        <v>0</v>
      </c>
      <c r="P322" s="4" t="e">
        <f>VLOOKUP(AJ314,'CIR Team Info'!$C$5:$E$44,2,FALSE)</f>
        <v>#N/A</v>
      </c>
      <c r="Q322" s="4" t="e">
        <f>VLOOKUP(AJ314,'CIR Team Info'!$C$5:$E$44,3,FALSE)</f>
        <v>#N/A</v>
      </c>
      <c r="R322" s="10" t="e">
        <f>VLOOKUP(AJ314,'FRC Site Data'!$B$3:$L$42,2,FALSE)</f>
        <v>#N/A</v>
      </c>
      <c r="S322" s="10" t="e">
        <f>VLOOKUP(AJ314,'FRC Site Data'!$B$3:$L$42,3,FALSE)</f>
        <v>#N/A</v>
      </c>
      <c r="T322" s="10" t="e">
        <f>VLOOKUP(AJ314,'FRC Site Data'!$B$3:$L$42,4,FALSE)</f>
        <v>#N/A</v>
      </c>
      <c r="U322" s="10" t="e">
        <f>VLOOKUP(AJ314,'FRC Site Data'!$B$3:$L$42,5,FALSE)</f>
        <v>#N/A</v>
      </c>
      <c r="V322" s="10" t="e">
        <f>VLOOKUP(AJ314,'FRC Site Data'!$B$3:$L$42,6,FALSE)</f>
        <v>#N/A</v>
      </c>
      <c r="W322" s="10" t="e">
        <f>VLOOKUP(AJ314,'FRC Site Data'!$B$3:$L$42,8,FALSE)</f>
        <v>#N/A</v>
      </c>
      <c r="X322" s="10" t="e">
        <f>VLOOKUP(AJ314,'FRC Site Data'!$B$3:$L$42,9,FALSE)</f>
        <v>#N/A</v>
      </c>
      <c r="Y322" s="10" t="e">
        <f>VLOOKUP(AJ314,'FRC Site Data'!$B$3:$L$42,10,FALSE)</f>
        <v>#N/A</v>
      </c>
      <c r="Z322" s="10" t="e">
        <f>VLOOKUP(AJ314,'FRC Site Data'!$B$3:$L$42,11,FALSE)</f>
        <v>#N/A</v>
      </c>
      <c r="AA322" s="10" t="e">
        <f>VLOOKUP(AJ314,'CIR Team Info'!$C$5:$E$44,4,FALSE)</f>
        <v>#N/A</v>
      </c>
      <c r="AB322" s="161" t="b">
        <f>ISNUMBER(VLOOKUP(AJ314,Match!$T$5:$T$10,1,FALSE))</f>
        <v>0</v>
      </c>
      <c r="AC322" s="161" t="b">
        <f>IF(AB322=TRUE,(VLOOKUP($AJ314,Match!$T$5:$U$10,2,FALSE)))</f>
        <v>0</v>
      </c>
      <c r="AD322" s="8">
        <v>3</v>
      </c>
      <c r="AE322" s="8">
        <v>2</v>
      </c>
      <c r="AF322" s="8">
        <v>2</v>
      </c>
      <c r="AG322" s="8">
        <v>1</v>
      </c>
      <c r="AH322" s="8" t="str">
        <f t="shared" si="80"/>
        <v/>
      </c>
      <c r="AI322" s="12"/>
      <c r="AZ322" s="12"/>
      <c r="BC322" s="12"/>
      <c r="BK322" s="12"/>
    </row>
    <row r="323" spans="1:63" x14ac:dyDescent="0.25">
      <c r="A323" s="29">
        <f t="shared" si="81"/>
        <v>0</v>
      </c>
      <c r="B323" s="29">
        <f t="shared" si="67"/>
        <v>0</v>
      </c>
      <c r="C323" s="29">
        <f t="shared" si="68"/>
        <v>0</v>
      </c>
      <c r="D323" s="29">
        <f t="shared" si="69"/>
        <v>0</v>
      </c>
      <c r="E323" s="29">
        <f t="shared" si="82"/>
        <v>0</v>
      </c>
      <c r="F323" s="29">
        <f t="shared" si="70"/>
        <v>0</v>
      </c>
      <c r="G323" s="29" t="str">
        <f t="shared" si="71"/>
        <v>offensive</v>
      </c>
      <c r="H323" s="16">
        <f t="shared" si="72"/>
        <v>0</v>
      </c>
      <c r="I323" s="16">
        <f t="shared" si="73"/>
        <v>0</v>
      </c>
      <c r="J323" s="16">
        <f t="shared" si="74"/>
        <v>0</v>
      </c>
      <c r="K323" s="16">
        <f t="shared" si="75"/>
        <v>0</v>
      </c>
      <c r="L323" s="67">
        <f t="shared" si="76"/>
        <v>0</v>
      </c>
      <c r="M323" s="4">
        <f t="shared" si="77"/>
        <v>0</v>
      </c>
      <c r="N323" s="4">
        <f t="shared" si="78"/>
        <v>0</v>
      </c>
      <c r="O323" s="4">
        <f t="shared" si="79"/>
        <v>0</v>
      </c>
      <c r="P323" s="4" t="e">
        <f>VLOOKUP(AJ315,'CIR Team Info'!$C$5:$E$44,2,FALSE)</f>
        <v>#N/A</v>
      </c>
      <c r="Q323" s="4" t="e">
        <f>VLOOKUP(AJ315,'CIR Team Info'!$C$5:$E$44,3,FALSE)</f>
        <v>#N/A</v>
      </c>
      <c r="R323" s="10" t="e">
        <f>VLOOKUP(AJ315,'FRC Site Data'!$B$3:$L$42,2,FALSE)</f>
        <v>#N/A</v>
      </c>
      <c r="S323" s="10" t="e">
        <f>VLOOKUP(AJ315,'FRC Site Data'!$B$3:$L$42,3,FALSE)</f>
        <v>#N/A</v>
      </c>
      <c r="T323" s="10" t="e">
        <f>VLOOKUP(AJ315,'FRC Site Data'!$B$3:$L$42,4,FALSE)</f>
        <v>#N/A</v>
      </c>
      <c r="U323" s="10" t="e">
        <f>VLOOKUP(AJ315,'FRC Site Data'!$B$3:$L$42,5,FALSE)</f>
        <v>#N/A</v>
      </c>
      <c r="V323" s="10" t="e">
        <f>VLOOKUP(AJ315,'FRC Site Data'!$B$3:$L$42,6,FALSE)</f>
        <v>#N/A</v>
      </c>
      <c r="W323" s="10" t="e">
        <f>VLOOKUP(AJ315,'FRC Site Data'!$B$3:$L$42,8,FALSE)</f>
        <v>#N/A</v>
      </c>
      <c r="X323" s="10" t="e">
        <f>VLOOKUP(AJ315,'FRC Site Data'!$B$3:$L$42,9,FALSE)</f>
        <v>#N/A</v>
      </c>
      <c r="Y323" s="10" t="e">
        <f>VLOOKUP(AJ315,'FRC Site Data'!$B$3:$L$42,10,FALSE)</f>
        <v>#N/A</v>
      </c>
      <c r="Z323" s="10" t="e">
        <f>VLOOKUP(AJ315,'FRC Site Data'!$B$3:$L$42,11,FALSE)</f>
        <v>#N/A</v>
      </c>
      <c r="AA323" s="10" t="e">
        <f>VLOOKUP(AJ315,'CIR Team Info'!$C$5:$E$44,4,FALSE)</f>
        <v>#N/A</v>
      </c>
      <c r="AB323" s="161" t="b">
        <f>ISNUMBER(VLOOKUP(AJ315,Match!$T$5:$T$10,1,FALSE))</f>
        <v>0</v>
      </c>
      <c r="AC323" s="161" t="b">
        <f>IF(AB323=TRUE,(VLOOKUP($AJ315,Match!$T$5:$U$10,2,FALSE)))</f>
        <v>0</v>
      </c>
      <c r="AD323" s="8">
        <v>3</v>
      </c>
      <c r="AE323" s="8">
        <v>2</v>
      </c>
      <c r="AF323" s="8">
        <v>2</v>
      </c>
      <c r="AG323" s="8">
        <v>1</v>
      </c>
      <c r="AH323" s="8" t="str">
        <f t="shared" si="80"/>
        <v/>
      </c>
      <c r="AI323" s="12"/>
      <c r="AZ323" s="12"/>
      <c r="BC323" s="12"/>
      <c r="BK323" s="12"/>
    </row>
    <row r="324" spans="1:63" x14ac:dyDescent="0.25">
      <c r="A324" s="29">
        <f t="shared" si="81"/>
        <v>0</v>
      </c>
      <c r="B324" s="29">
        <f t="shared" si="67"/>
        <v>0</v>
      </c>
      <c r="C324" s="29">
        <f t="shared" si="68"/>
        <v>0</v>
      </c>
      <c r="D324" s="29">
        <f t="shared" si="69"/>
        <v>0</v>
      </c>
      <c r="E324" s="29">
        <f t="shared" si="82"/>
        <v>0</v>
      </c>
      <c r="F324" s="29">
        <f t="shared" si="70"/>
        <v>0</v>
      </c>
      <c r="G324" s="29" t="str">
        <f t="shared" si="71"/>
        <v>offensive</v>
      </c>
      <c r="H324" s="16">
        <f t="shared" si="72"/>
        <v>0</v>
      </c>
      <c r="I324" s="16">
        <f t="shared" si="73"/>
        <v>0</v>
      </c>
      <c r="J324" s="16">
        <f t="shared" si="74"/>
        <v>0</v>
      </c>
      <c r="K324" s="16">
        <f t="shared" si="75"/>
        <v>0</v>
      </c>
      <c r="L324" s="67">
        <f t="shared" si="76"/>
        <v>0</v>
      </c>
      <c r="M324" s="4">
        <f t="shared" si="77"/>
        <v>0</v>
      </c>
      <c r="N324" s="4">
        <f t="shared" si="78"/>
        <v>0</v>
      </c>
      <c r="O324" s="4">
        <f t="shared" si="79"/>
        <v>0</v>
      </c>
      <c r="P324" s="4" t="e">
        <f>VLOOKUP(AJ316,'CIR Team Info'!$C$5:$E$44,2,FALSE)</f>
        <v>#N/A</v>
      </c>
      <c r="Q324" s="4" t="e">
        <f>VLOOKUP(AJ316,'CIR Team Info'!$C$5:$E$44,3,FALSE)</f>
        <v>#N/A</v>
      </c>
      <c r="R324" s="10" t="e">
        <f>VLOOKUP(AJ316,'FRC Site Data'!$B$3:$L$42,2,FALSE)</f>
        <v>#N/A</v>
      </c>
      <c r="S324" s="10" t="e">
        <f>VLOOKUP(AJ316,'FRC Site Data'!$B$3:$L$42,3,FALSE)</f>
        <v>#N/A</v>
      </c>
      <c r="T324" s="10" t="e">
        <f>VLOOKUP(AJ316,'FRC Site Data'!$B$3:$L$42,4,FALSE)</f>
        <v>#N/A</v>
      </c>
      <c r="U324" s="10" t="e">
        <f>VLOOKUP(AJ316,'FRC Site Data'!$B$3:$L$42,5,FALSE)</f>
        <v>#N/A</v>
      </c>
      <c r="V324" s="10" t="e">
        <f>VLOOKUP(AJ316,'FRC Site Data'!$B$3:$L$42,6,FALSE)</f>
        <v>#N/A</v>
      </c>
      <c r="W324" s="10" t="e">
        <f>VLOOKUP(AJ316,'FRC Site Data'!$B$3:$L$42,8,FALSE)</f>
        <v>#N/A</v>
      </c>
      <c r="X324" s="10" t="e">
        <f>VLOOKUP(AJ316,'FRC Site Data'!$B$3:$L$42,9,FALSE)</f>
        <v>#N/A</v>
      </c>
      <c r="Y324" s="10" t="e">
        <f>VLOOKUP(AJ316,'FRC Site Data'!$B$3:$L$42,10,FALSE)</f>
        <v>#N/A</v>
      </c>
      <c r="Z324" s="10" t="e">
        <f>VLOOKUP(AJ316,'FRC Site Data'!$B$3:$L$42,11,FALSE)</f>
        <v>#N/A</v>
      </c>
      <c r="AA324" s="10" t="e">
        <f>VLOOKUP(AJ316,'CIR Team Info'!$C$5:$E$44,4,FALSE)</f>
        <v>#N/A</v>
      </c>
      <c r="AB324" s="161" t="b">
        <f>ISNUMBER(VLOOKUP(AJ316,Match!$T$5:$T$10,1,FALSE))</f>
        <v>0</v>
      </c>
      <c r="AC324" s="161" t="b">
        <f>IF(AB324=TRUE,(VLOOKUP($AJ316,Match!$T$5:$U$10,2,FALSE)))</f>
        <v>0</v>
      </c>
      <c r="AD324" s="8">
        <v>3</v>
      </c>
      <c r="AE324" s="8">
        <v>2</v>
      </c>
      <c r="AF324" s="8">
        <v>2</v>
      </c>
      <c r="AG324" s="8">
        <v>1</v>
      </c>
      <c r="AH324" s="8" t="str">
        <f t="shared" si="80"/>
        <v/>
      </c>
      <c r="AI324" s="12"/>
      <c r="AZ324" s="12"/>
      <c r="BC324" s="12"/>
      <c r="BK324" s="12"/>
    </row>
    <row r="325" spans="1:63" x14ac:dyDescent="0.25">
      <c r="A325" s="29">
        <f t="shared" si="81"/>
        <v>0</v>
      </c>
      <c r="B325" s="29">
        <f t="shared" si="67"/>
        <v>0</v>
      </c>
      <c r="C325" s="29">
        <f t="shared" si="68"/>
        <v>0</v>
      </c>
      <c r="D325" s="29">
        <f t="shared" si="69"/>
        <v>0</v>
      </c>
      <c r="E325" s="29">
        <f t="shared" si="82"/>
        <v>0</v>
      </c>
      <c r="F325" s="29">
        <f t="shared" si="70"/>
        <v>0</v>
      </c>
      <c r="G325" s="29" t="str">
        <f t="shared" si="71"/>
        <v>offensive</v>
      </c>
      <c r="H325" s="16">
        <f t="shared" si="72"/>
        <v>0</v>
      </c>
      <c r="I325" s="16">
        <f t="shared" si="73"/>
        <v>0</v>
      </c>
      <c r="J325" s="16">
        <f t="shared" si="74"/>
        <v>0</v>
      </c>
      <c r="K325" s="16">
        <f t="shared" si="75"/>
        <v>0</v>
      </c>
      <c r="L325" s="67">
        <f t="shared" si="76"/>
        <v>0</v>
      </c>
      <c r="M325" s="4">
        <f t="shared" si="77"/>
        <v>0</v>
      </c>
      <c r="N325" s="4">
        <f t="shared" si="78"/>
        <v>0</v>
      </c>
      <c r="O325" s="4">
        <f t="shared" si="79"/>
        <v>0</v>
      </c>
      <c r="P325" s="4" t="e">
        <f>VLOOKUP(AJ317,'CIR Team Info'!$C$5:$E$44,2,FALSE)</f>
        <v>#N/A</v>
      </c>
      <c r="Q325" s="4" t="e">
        <f>VLOOKUP(AJ317,'CIR Team Info'!$C$5:$E$44,3,FALSE)</f>
        <v>#N/A</v>
      </c>
      <c r="R325" s="10" t="e">
        <f>VLOOKUP(AJ317,'FRC Site Data'!$B$3:$L$42,2,FALSE)</f>
        <v>#N/A</v>
      </c>
      <c r="S325" s="10" t="e">
        <f>VLOOKUP(AJ317,'FRC Site Data'!$B$3:$L$42,3,FALSE)</f>
        <v>#N/A</v>
      </c>
      <c r="T325" s="10" t="e">
        <f>VLOOKUP(AJ317,'FRC Site Data'!$B$3:$L$42,4,FALSE)</f>
        <v>#N/A</v>
      </c>
      <c r="U325" s="10" t="e">
        <f>VLOOKUP(AJ317,'FRC Site Data'!$B$3:$L$42,5,FALSE)</f>
        <v>#N/A</v>
      </c>
      <c r="V325" s="10" t="e">
        <f>VLOOKUP(AJ317,'FRC Site Data'!$B$3:$L$42,6,FALSE)</f>
        <v>#N/A</v>
      </c>
      <c r="W325" s="10" t="e">
        <f>VLOOKUP(AJ317,'FRC Site Data'!$B$3:$L$42,8,FALSE)</f>
        <v>#N/A</v>
      </c>
      <c r="X325" s="10" t="e">
        <f>VLOOKUP(AJ317,'FRC Site Data'!$B$3:$L$42,9,FALSE)</f>
        <v>#N/A</v>
      </c>
      <c r="Y325" s="10" t="e">
        <f>VLOOKUP(AJ317,'FRC Site Data'!$B$3:$L$42,10,FALSE)</f>
        <v>#N/A</v>
      </c>
      <c r="Z325" s="10" t="e">
        <f>VLOOKUP(AJ317,'FRC Site Data'!$B$3:$L$42,11,FALSE)</f>
        <v>#N/A</v>
      </c>
      <c r="AA325" s="10" t="e">
        <f>VLOOKUP(AJ317,'CIR Team Info'!$C$5:$E$44,4,FALSE)</f>
        <v>#N/A</v>
      </c>
      <c r="AB325" s="161" t="b">
        <f>ISNUMBER(VLOOKUP(AJ317,Match!$T$5:$T$10,1,FALSE))</f>
        <v>0</v>
      </c>
      <c r="AC325" s="161" t="b">
        <f>IF(AB325=TRUE,(VLOOKUP($AJ317,Match!$T$5:$U$10,2,FALSE)))</f>
        <v>0</v>
      </c>
      <c r="AD325" s="8">
        <v>3</v>
      </c>
      <c r="AE325" s="8">
        <v>2</v>
      </c>
      <c r="AF325" s="8">
        <v>2</v>
      </c>
      <c r="AG325" s="8">
        <v>1</v>
      </c>
      <c r="AH325" s="8" t="str">
        <f t="shared" si="80"/>
        <v/>
      </c>
      <c r="AI325" s="12"/>
      <c r="AZ325" s="12"/>
      <c r="BC325" s="12"/>
      <c r="BK325" s="12"/>
    </row>
    <row r="326" spans="1:63" x14ac:dyDescent="0.25">
      <c r="A326" s="29">
        <f t="shared" si="81"/>
        <v>0</v>
      </c>
      <c r="B326" s="29">
        <f t="shared" si="67"/>
        <v>0</v>
      </c>
      <c r="C326" s="29">
        <f t="shared" si="68"/>
        <v>0</v>
      </c>
      <c r="D326" s="29">
        <f t="shared" si="69"/>
        <v>0</v>
      </c>
      <c r="E326" s="29">
        <f t="shared" si="82"/>
        <v>0</v>
      </c>
      <c r="F326" s="29">
        <f t="shared" si="70"/>
        <v>0</v>
      </c>
      <c r="G326" s="29" t="str">
        <f t="shared" si="71"/>
        <v>offensive</v>
      </c>
      <c r="H326" s="16">
        <f t="shared" si="72"/>
        <v>0</v>
      </c>
      <c r="I326" s="16">
        <f t="shared" si="73"/>
        <v>0</v>
      </c>
      <c r="J326" s="16">
        <f t="shared" si="74"/>
        <v>0</v>
      </c>
      <c r="K326" s="16">
        <f t="shared" si="75"/>
        <v>0</v>
      </c>
      <c r="L326" s="67">
        <f t="shared" si="76"/>
        <v>0</v>
      </c>
      <c r="M326" s="4">
        <f t="shared" si="77"/>
        <v>0</v>
      </c>
      <c r="N326" s="4">
        <f t="shared" si="78"/>
        <v>0</v>
      </c>
      <c r="O326" s="4">
        <f t="shared" si="79"/>
        <v>0</v>
      </c>
      <c r="P326" s="4" t="e">
        <f>VLOOKUP(AJ318,'CIR Team Info'!$C$5:$E$44,2,FALSE)</f>
        <v>#N/A</v>
      </c>
      <c r="Q326" s="4" t="e">
        <f>VLOOKUP(AJ318,'CIR Team Info'!$C$5:$E$44,3,FALSE)</f>
        <v>#N/A</v>
      </c>
      <c r="R326" s="10" t="e">
        <f>VLOOKUP(AJ318,'FRC Site Data'!$B$3:$L$42,2,FALSE)</f>
        <v>#N/A</v>
      </c>
      <c r="S326" s="10" t="e">
        <f>VLOOKUP(AJ318,'FRC Site Data'!$B$3:$L$42,3,FALSE)</f>
        <v>#N/A</v>
      </c>
      <c r="T326" s="10" t="e">
        <f>VLOOKUP(AJ318,'FRC Site Data'!$B$3:$L$42,4,FALSE)</f>
        <v>#N/A</v>
      </c>
      <c r="U326" s="10" t="e">
        <f>VLOOKUP(AJ318,'FRC Site Data'!$B$3:$L$42,5,FALSE)</f>
        <v>#N/A</v>
      </c>
      <c r="V326" s="10" t="e">
        <f>VLOOKUP(AJ318,'FRC Site Data'!$B$3:$L$42,6,FALSE)</f>
        <v>#N/A</v>
      </c>
      <c r="W326" s="10" t="e">
        <f>VLOOKUP(AJ318,'FRC Site Data'!$B$3:$L$42,8,FALSE)</f>
        <v>#N/A</v>
      </c>
      <c r="X326" s="10" t="e">
        <f>VLOOKUP(AJ318,'FRC Site Data'!$B$3:$L$42,9,FALSE)</f>
        <v>#N/A</v>
      </c>
      <c r="Y326" s="10" t="e">
        <f>VLOOKUP(AJ318,'FRC Site Data'!$B$3:$L$42,10,FALSE)</f>
        <v>#N/A</v>
      </c>
      <c r="Z326" s="10" t="e">
        <f>VLOOKUP(AJ318,'FRC Site Data'!$B$3:$L$42,11,FALSE)</f>
        <v>#N/A</v>
      </c>
      <c r="AA326" s="10" t="e">
        <f>VLOOKUP(AJ318,'CIR Team Info'!$C$5:$E$44,4,FALSE)</f>
        <v>#N/A</v>
      </c>
      <c r="AB326" s="161" t="b">
        <f>ISNUMBER(VLOOKUP(AJ318,Match!$T$5:$T$10,1,FALSE))</f>
        <v>0</v>
      </c>
      <c r="AC326" s="161" t="b">
        <f>IF(AB326=TRUE,(VLOOKUP($AJ318,Match!$T$5:$U$10,2,FALSE)))</f>
        <v>0</v>
      </c>
      <c r="AD326" s="8">
        <v>3</v>
      </c>
      <c r="AE326" s="8">
        <v>2</v>
      </c>
      <c r="AF326" s="8">
        <v>2</v>
      </c>
      <c r="AG326" s="8">
        <v>1</v>
      </c>
      <c r="AH326" s="8" t="str">
        <f t="shared" si="80"/>
        <v/>
      </c>
      <c r="AI326" s="12"/>
      <c r="AZ326" s="12"/>
      <c r="BC326" s="12"/>
      <c r="BK326" s="12"/>
    </row>
    <row r="327" spans="1:63" x14ac:dyDescent="0.25">
      <c r="A327" s="29">
        <f t="shared" si="81"/>
        <v>0</v>
      </c>
      <c r="B327" s="29">
        <f t="shared" si="67"/>
        <v>0</v>
      </c>
      <c r="C327" s="29">
        <f t="shared" si="68"/>
        <v>0</v>
      </c>
      <c r="D327" s="29">
        <f t="shared" si="69"/>
        <v>0</v>
      </c>
      <c r="E327" s="29">
        <f t="shared" si="82"/>
        <v>0</v>
      </c>
      <c r="F327" s="29">
        <f t="shared" si="70"/>
        <v>0</v>
      </c>
      <c r="G327" s="29" t="str">
        <f t="shared" si="71"/>
        <v>offensive</v>
      </c>
      <c r="H327" s="16">
        <f t="shared" si="72"/>
        <v>0</v>
      </c>
      <c r="I327" s="16">
        <f t="shared" si="73"/>
        <v>0</v>
      </c>
      <c r="J327" s="16">
        <f t="shared" si="74"/>
        <v>0</v>
      </c>
      <c r="K327" s="16">
        <f t="shared" si="75"/>
        <v>0</v>
      </c>
      <c r="L327" s="67">
        <f t="shared" si="76"/>
        <v>0</v>
      </c>
      <c r="M327" s="4">
        <f t="shared" si="77"/>
        <v>0</v>
      </c>
      <c r="N327" s="4">
        <f t="shared" si="78"/>
        <v>0</v>
      </c>
      <c r="O327" s="4">
        <f t="shared" si="79"/>
        <v>0</v>
      </c>
      <c r="P327" s="4" t="e">
        <f>VLOOKUP(AJ319,'CIR Team Info'!$C$5:$E$44,2,FALSE)</f>
        <v>#N/A</v>
      </c>
      <c r="Q327" s="4" t="e">
        <f>VLOOKUP(AJ319,'CIR Team Info'!$C$5:$E$44,3,FALSE)</f>
        <v>#N/A</v>
      </c>
      <c r="R327" s="10" t="e">
        <f>VLOOKUP(AJ319,'FRC Site Data'!$B$3:$L$42,2,FALSE)</f>
        <v>#N/A</v>
      </c>
      <c r="S327" s="10" t="e">
        <f>VLOOKUP(AJ319,'FRC Site Data'!$B$3:$L$42,3,FALSE)</f>
        <v>#N/A</v>
      </c>
      <c r="T327" s="10" t="e">
        <f>VLOOKUP(AJ319,'FRC Site Data'!$B$3:$L$42,4,FALSE)</f>
        <v>#N/A</v>
      </c>
      <c r="U327" s="10" t="e">
        <f>VLOOKUP(AJ319,'FRC Site Data'!$B$3:$L$42,5,FALSE)</f>
        <v>#N/A</v>
      </c>
      <c r="V327" s="10" t="e">
        <f>VLOOKUP(AJ319,'FRC Site Data'!$B$3:$L$42,6,FALSE)</f>
        <v>#N/A</v>
      </c>
      <c r="W327" s="10" t="e">
        <f>VLOOKUP(AJ319,'FRC Site Data'!$B$3:$L$42,8,FALSE)</f>
        <v>#N/A</v>
      </c>
      <c r="X327" s="10" t="e">
        <f>VLOOKUP(AJ319,'FRC Site Data'!$B$3:$L$42,9,FALSE)</f>
        <v>#N/A</v>
      </c>
      <c r="Y327" s="10" t="e">
        <f>VLOOKUP(AJ319,'FRC Site Data'!$B$3:$L$42,10,FALSE)</f>
        <v>#N/A</v>
      </c>
      <c r="Z327" s="10" t="e">
        <f>VLOOKUP(AJ319,'FRC Site Data'!$B$3:$L$42,11,FALSE)</f>
        <v>#N/A</v>
      </c>
      <c r="AA327" s="10" t="e">
        <f>VLOOKUP(AJ319,'CIR Team Info'!$C$5:$E$44,4,FALSE)</f>
        <v>#N/A</v>
      </c>
      <c r="AB327" s="161" t="b">
        <f>ISNUMBER(VLOOKUP(AJ319,Match!$T$5:$T$10,1,FALSE))</f>
        <v>0</v>
      </c>
      <c r="AC327" s="161" t="b">
        <f>IF(AB327=TRUE,(VLOOKUP($AJ319,Match!$T$5:$U$10,2,FALSE)))</f>
        <v>0</v>
      </c>
      <c r="AD327" s="8">
        <v>3</v>
      </c>
      <c r="AE327" s="8">
        <v>2</v>
      </c>
      <c r="AF327" s="8">
        <v>2</v>
      </c>
      <c r="AG327" s="8">
        <v>1</v>
      </c>
      <c r="AH327" s="8" t="str">
        <f t="shared" si="80"/>
        <v/>
      </c>
      <c r="AI327" s="12"/>
      <c r="AZ327" s="12"/>
      <c r="BC327" s="12"/>
      <c r="BK327" s="12"/>
    </row>
    <row r="328" spans="1:63" x14ac:dyDescent="0.25">
      <c r="A328" s="29">
        <f t="shared" si="81"/>
        <v>0</v>
      </c>
      <c r="B328" s="29">
        <f t="shared" ref="B328:B391" si="83">H328*AD328*AO320</f>
        <v>0</v>
      </c>
      <c r="C328" s="29">
        <f t="shared" ref="C328:C391" si="84">I328*AE328*AV320</f>
        <v>0</v>
      </c>
      <c r="D328" s="29">
        <f t="shared" ref="D328:D391" si="85">J328*AF328*BF320</f>
        <v>0</v>
      </c>
      <c r="E328" s="29">
        <f t="shared" si="82"/>
        <v>0</v>
      </c>
      <c r="F328" s="29">
        <f t="shared" ref="F328:F391" si="86">IF(AN320&gt;0,5)-2*COUNTIF(AQ320,"K")+5*COUNTIF(AS320,"T")+IF(AX320=3,2)+IF(AY320="T",2)</f>
        <v>0</v>
      </c>
      <c r="G328" s="29" t="str">
        <f t="shared" ref="G328:G391" si="87">IF((BB320+BC320)&gt;45,"defensive",IF((BB320+BC320)&gt;15,"both","offensive"))</f>
        <v>offensive</v>
      </c>
      <c r="H328" s="16">
        <f t="shared" ref="H328:H391" si="88">IF((AO320+AP320)=0,0,AO320/(AO320+AP320))</f>
        <v>0</v>
      </c>
      <c r="I328" s="16">
        <f t="shared" ref="I328:I391" si="89">IF((AV320+AW320)=0,0,AV320/(AV320+AW320))</f>
        <v>0</v>
      </c>
      <c r="J328" s="16">
        <f t="shared" ref="J328:J391" si="90">IF(L328=0,0,BG320/L328)</f>
        <v>0</v>
      </c>
      <c r="K328" s="16">
        <f t="shared" ref="K328:K391" si="91">IF((BB320+BC320)=0,0,((AZ320*BB320*0.2)+(BA320*BC320*0.3))/(BB320+BC320))</f>
        <v>0</v>
      </c>
      <c r="L328" s="67">
        <f t="shared" ref="L328:L391" si="92">IF(BF320&gt;BG320,BF320,BG320)</f>
        <v>0</v>
      </c>
      <c r="M328" s="4">
        <f t="shared" ref="M328:M391" si="93">AO320+AV320+BD320+O328</f>
        <v>0</v>
      </c>
      <c r="N328" s="4">
        <f t="shared" ref="N328:N391" si="94">AO320+AV320+BD320</f>
        <v>0</v>
      </c>
      <c r="O328" s="4">
        <f t="shared" ref="O328:O391" si="95">(AZ320*0.2*BB320*30/30)+(BA320*0.3*BC320*12/30)-BI320-BJ320</f>
        <v>0</v>
      </c>
      <c r="P328" s="4" t="e">
        <f>VLOOKUP(AJ320,'CIR Team Info'!$C$5:$E$44,2,FALSE)</f>
        <v>#N/A</v>
      </c>
      <c r="Q328" s="4" t="e">
        <f>VLOOKUP(AJ320,'CIR Team Info'!$C$5:$E$44,3,FALSE)</f>
        <v>#N/A</v>
      </c>
      <c r="R328" s="10" t="e">
        <f>VLOOKUP(AJ320,'FRC Site Data'!$B$3:$L$42,2,FALSE)</f>
        <v>#N/A</v>
      </c>
      <c r="S328" s="10" t="e">
        <f>VLOOKUP(AJ320,'FRC Site Data'!$B$3:$L$42,3,FALSE)</f>
        <v>#N/A</v>
      </c>
      <c r="T328" s="10" t="e">
        <f>VLOOKUP(AJ320,'FRC Site Data'!$B$3:$L$42,4,FALSE)</f>
        <v>#N/A</v>
      </c>
      <c r="U328" s="10" t="e">
        <f>VLOOKUP(AJ320,'FRC Site Data'!$B$3:$L$42,5,FALSE)</f>
        <v>#N/A</v>
      </c>
      <c r="V328" s="10" t="e">
        <f>VLOOKUP(AJ320,'FRC Site Data'!$B$3:$L$42,6,FALSE)</f>
        <v>#N/A</v>
      </c>
      <c r="W328" s="10" t="e">
        <f>VLOOKUP(AJ320,'FRC Site Data'!$B$3:$L$42,8,FALSE)</f>
        <v>#N/A</v>
      </c>
      <c r="X328" s="10" t="e">
        <f>VLOOKUP(AJ320,'FRC Site Data'!$B$3:$L$42,9,FALSE)</f>
        <v>#N/A</v>
      </c>
      <c r="Y328" s="10" t="e">
        <f>VLOOKUP(AJ320,'FRC Site Data'!$B$3:$L$42,10,FALSE)</f>
        <v>#N/A</v>
      </c>
      <c r="Z328" s="10" t="e">
        <f>VLOOKUP(AJ320,'FRC Site Data'!$B$3:$L$42,11,FALSE)</f>
        <v>#N/A</v>
      </c>
      <c r="AA328" s="10" t="e">
        <f>VLOOKUP(AJ320,'CIR Team Info'!$C$5:$E$44,4,FALSE)</f>
        <v>#N/A</v>
      </c>
      <c r="AB328" s="161" t="b">
        <f>ISNUMBER(VLOOKUP(AJ320,Match!$T$5:$T$10,1,FALSE))</f>
        <v>0</v>
      </c>
      <c r="AC328" s="161" t="b">
        <f>IF(AB328=TRUE,(VLOOKUP($AJ320,Match!$T$5:$U$10,2,FALSE)))</f>
        <v>0</v>
      </c>
      <c r="AD328" s="8">
        <v>3</v>
      </c>
      <c r="AE328" s="8">
        <v>2</v>
      </c>
      <c r="AF328" s="8">
        <v>2</v>
      </c>
      <c r="AG328" s="8">
        <v>1</v>
      </c>
      <c r="AH328" s="8" t="str">
        <f t="shared" si="80"/>
        <v/>
      </c>
      <c r="AI328" s="12"/>
      <c r="AZ328" s="12"/>
      <c r="BC328" s="12"/>
      <c r="BK328" s="12"/>
    </row>
    <row r="329" spans="1:63" x14ac:dyDescent="0.25">
      <c r="A329" s="29">
        <f t="shared" si="81"/>
        <v>0</v>
      </c>
      <c r="B329" s="29">
        <f t="shared" si="83"/>
        <v>0</v>
      </c>
      <c r="C329" s="29">
        <f t="shared" si="84"/>
        <v>0</v>
      </c>
      <c r="D329" s="29">
        <f t="shared" si="85"/>
        <v>0</v>
      </c>
      <c r="E329" s="29">
        <f t="shared" si="82"/>
        <v>0</v>
      </c>
      <c r="F329" s="29">
        <f t="shared" si="86"/>
        <v>0</v>
      </c>
      <c r="G329" s="29" t="str">
        <f t="shared" si="87"/>
        <v>offensive</v>
      </c>
      <c r="H329" s="16">
        <f t="shared" si="88"/>
        <v>0</v>
      </c>
      <c r="I329" s="16">
        <f t="shared" si="89"/>
        <v>0</v>
      </c>
      <c r="J329" s="16">
        <f t="shared" si="90"/>
        <v>0</v>
      </c>
      <c r="K329" s="16">
        <f t="shared" si="91"/>
        <v>0</v>
      </c>
      <c r="L329" s="67">
        <f t="shared" si="92"/>
        <v>0</v>
      </c>
      <c r="M329" s="4">
        <f t="shared" si="93"/>
        <v>0</v>
      </c>
      <c r="N329" s="4">
        <f t="shared" si="94"/>
        <v>0</v>
      </c>
      <c r="O329" s="4">
        <f t="shared" si="95"/>
        <v>0</v>
      </c>
      <c r="P329" s="4" t="e">
        <f>VLOOKUP(AJ321,'CIR Team Info'!$C$5:$E$44,2,FALSE)</f>
        <v>#N/A</v>
      </c>
      <c r="Q329" s="4" t="e">
        <f>VLOOKUP(AJ321,'CIR Team Info'!$C$5:$E$44,3,FALSE)</f>
        <v>#N/A</v>
      </c>
      <c r="R329" s="10" t="e">
        <f>VLOOKUP(AJ321,'FRC Site Data'!$B$3:$L$42,2,FALSE)</f>
        <v>#N/A</v>
      </c>
      <c r="S329" s="10" t="e">
        <f>VLOOKUP(AJ321,'FRC Site Data'!$B$3:$L$42,3,FALSE)</f>
        <v>#N/A</v>
      </c>
      <c r="T329" s="10" t="e">
        <f>VLOOKUP(AJ321,'FRC Site Data'!$B$3:$L$42,4,FALSE)</f>
        <v>#N/A</v>
      </c>
      <c r="U329" s="10" t="e">
        <f>VLOOKUP(AJ321,'FRC Site Data'!$B$3:$L$42,5,FALSE)</f>
        <v>#N/A</v>
      </c>
      <c r="V329" s="10" t="e">
        <f>VLOOKUP(AJ321,'FRC Site Data'!$B$3:$L$42,6,FALSE)</f>
        <v>#N/A</v>
      </c>
      <c r="W329" s="10" t="e">
        <f>VLOOKUP(AJ321,'FRC Site Data'!$B$3:$L$42,8,FALSE)</f>
        <v>#N/A</v>
      </c>
      <c r="X329" s="10" t="e">
        <f>VLOOKUP(AJ321,'FRC Site Data'!$B$3:$L$42,9,FALSE)</f>
        <v>#N/A</v>
      </c>
      <c r="Y329" s="10" t="e">
        <f>VLOOKUP(AJ321,'FRC Site Data'!$B$3:$L$42,10,FALSE)</f>
        <v>#N/A</v>
      </c>
      <c r="Z329" s="10" t="e">
        <f>VLOOKUP(AJ321,'FRC Site Data'!$B$3:$L$42,11,FALSE)</f>
        <v>#N/A</v>
      </c>
      <c r="AA329" s="10" t="e">
        <f>VLOOKUP(AJ321,'CIR Team Info'!$C$5:$E$44,4,FALSE)</f>
        <v>#N/A</v>
      </c>
      <c r="AB329" s="161" t="b">
        <f>ISNUMBER(VLOOKUP(AJ321,Match!$T$5:$T$10,1,FALSE))</f>
        <v>0</v>
      </c>
      <c r="AC329" s="161" t="b">
        <f>IF(AB329=TRUE,(VLOOKUP($AJ321,Match!$T$5:$U$10,2,FALSE)))</f>
        <v>0</v>
      </c>
      <c r="AD329" s="8">
        <v>3</v>
      </c>
      <c r="AE329" s="8">
        <v>2</v>
      </c>
      <c r="AF329" s="8">
        <v>2</v>
      </c>
      <c r="AG329" s="8">
        <v>1</v>
      </c>
      <c r="AH329" s="8" t="str">
        <f t="shared" si="80"/>
        <v/>
      </c>
      <c r="AI329" s="12"/>
      <c r="AZ329" s="12"/>
      <c r="BC329" s="12"/>
      <c r="BK329" s="12"/>
    </row>
    <row r="330" spans="1:63" x14ac:dyDescent="0.25">
      <c r="A330" s="29">
        <f t="shared" si="81"/>
        <v>0</v>
      </c>
      <c r="B330" s="29">
        <f t="shared" si="83"/>
        <v>0</v>
      </c>
      <c r="C330" s="29">
        <f t="shared" si="84"/>
        <v>0</v>
      </c>
      <c r="D330" s="29">
        <f t="shared" si="85"/>
        <v>0</v>
      </c>
      <c r="E330" s="29">
        <f t="shared" si="82"/>
        <v>0</v>
      </c>
      <c r="F330" s="29">
        <f t="shared" si="86"/>
        <v>0</v>
      </c>
      <c r="G330" s="29" t="str">
        <f t="shared" si="87"/>
        <v>offensive</v>
      </c>
      <c r="H330" s="16">
        <f t="shared" si="88"/>
        <v>0</v>
      </c>
      <c r="I330" s="16">
        <f t="shared" si="89"/>
        <v>0</v>
      </c>
      <c r="J330" s="16">
        <f t="shared" si="90"/>
        <v>0</v>
      </c>
      <c r="K330" s="16">
        <f t="shared" si="91"/>
        <v>0</v>
      </c>
      <c r="L330" s="67">
        <f t="shared" si="92"/>
        <v>0</v>
      </c>
      <c r="M330" s="4">
        <f t="shared" si="93"/>
        <v>0</v>
      </c>
      <c r="N330" s="4">
        <f t="shared" si="94"/>
        <v>0</v>
      </c>
      <c r="O330" s="4">
        <f t="shared" si="95"/>
        <v>0</v>
      </c>
      <c r="P330" s="4" t="e">
        <f>VLOOKUP(AJ322,'CIR Team Info'!$C$5:$E$44,2,FALSE)</f>
        <v>#N/A</v>
      </c>
      <c r="Q330" s="4" t="e">
        <f>VLOOKUP(AJ322,'CIR Team Info'!$C$5:$E$44,3,FALSE)</f>
        <v>#N/A</v>
      </c>
      <c r="R330" s="10" t="e">
        <f>VLOOKUP(AJ322,'FRC Site Data'!$B$3:$L$42,2,FALSE)</f>
        <v>#N/A</v>
      </c>
      <c r="S330" s="10" t="e">
        <f>VLOOKUP(AJ322,'FRC Site Data'!$B$3:$L$42,3,FALSE)</f>
        <v>#N/A</v>
      </c>
      <c r="T330" s="10" t="e">
        <f>VLOOKUP(AJ322,'FRC Site Data'!$B$3:$L$42,4,FALSE)</f>
        <v>#N/A</v>
      </c>
      <c r="U330" s="10" t="e">
        <f>VLOOKUP(AJ322,'FRC Site Data'!$B$3:$L$42,5,FALSE)</f>
        <v>#N/A</v>
      </c>
      <c r="V330" s="10" t="e">
        <f>VLOOKUP(AJ322,'FRC Site Data'!$B$3:$L$42,6,FALSE)</f>
        <v>#N/A</v>
      </c>
      <c r="W330" s="10" t="e">
        <f>VLOOKUP(AJ322,'FRC Site Data'!$B$3:$L$42,8,FALSE)</f>
        <v>#N/A</v>
      </c>
      <c r="X330" s="10" t="e">
        <f>VLOOKUP(AJ322,'FRC Site Data'!$B$3:$L$42,9,FALSE)</f>
        <v>#N/A</v>
      </c>
      <c r="Y330" s="10" t="e">
        <f>VLOOKUP(AJ322,'FRC Site Data'!$B$3:$L$42,10,FALSE)</f>
        <v>#N/A</v>
      </c>
      <c r="Z330" s="10" t="e">
        <f>VLOOKUP(AJ322,'FRC Site Data'!$B$3:$L$42,11,FALSE)</f>
        <v>#N/A</v>
      </c>
      <c r="AA330" s="10" t="e">
        <f>VLOOKUP(AJ322,'CIR Team Info'!$C$5:$E$44,4,FALSE)</f>
        <v>#N/A</v>
      </c>
      <c r="AB330" s="161" t="b">
        <f>ISNUMBER(VLOOKUP(AJ322,Match!$T$5:$T$10,1,FALSE))</f>
        <v>0</v>
      </c>
      <c r="AC330" s="161" t="b">
        <f>IF(AB330=TRUE,(VLOOKUP($AJ322,Match!$T$5:$U$10,2,FALSE)))</f>
        <v>0</v>
      </c>
      <c r="AD330" s="8">
        <v>3</v>
      </c>
      <c r="AE330" s="8">
        <v>2</v>
      </c>
      <c r="AF330" s="8">
        <v>2</v>
      </c>
      <c r="AG330" s="8">
        <v>1</v>
      </c>
      <c r="AH330" s="8" t="str">
        <f t="shared" si="80"/>
        <v/>
      </c>
      <c r="AI330" s="12"/>
      <c r="AZ330" s="12"/>
      <c r="BC330" s="12"/>
      <c r="BK330" s="12"/>
    </row>
    <row r="331" spans="1:63" x14ac:dyDescent="0.25">
      <c r="A331" s="29">
        <f t="shared" si="81"/>
        <v>0</v>
      </c>
      <c r="B331" s="29">
        <f t="shared" si="83"/>
        <v>0</v>
      </c>
      <c r="C331" s="29">
        <f t="shared" si="84"/>
        <v>0</v>
      </c>
      <c r="D331" s="29">
        <f t="shared" si="85"/>
        <v>0</v>
      </c>
      <c r="E331" s="29">
        <f t="shared" si="82"/>
        <v>0</v>
      </c>
      <c r="F331" s="29">
        <f t="shared" si="86"/>
        <v>0</v>
      </c>
      <c r="G331" s="29" t="str">
        <f t="shared" si="87"/>
        <v>offensive</v>
      </c>
      <c r="H331" s="16">
        <f t="shared" si="88"/>
        <v>0</v>
      </c>
      <c r="I331" s="16">
        <f t="shared" si="89"/>
        <v>0</v>
      </c>
      <c r="J331" s="16">
        <f t="shared" si="90"/>
        <v>0</v>
      </c>
      <c r="K331" s="16">
        <f t="shared" si="91"/>
        <v>0</v>
      </c>
      <c r="L331" s="67">
        <f t="shared" si="92"/>
        <v>0</v>
      </c>
      <c r="M331" s="4">
        <f t="shared" si="93"/>
        <v>0</v>
      </c>
      <c r="N331" s="4">
        <f t="shared" si="94"/>
        <v>0</v>
      </c>
      <c r="O331" s="4">
        <f t="shared" si="95"/>
        <v>0</v>
      </c>
      <c r="P331" s="4" t="e">
        <f>VLOOKUP(AJ323,'CIR Team Info'!$C$5:$E$44,2,FALSE)</f>
        <v>#N/A</v>
      </c>
      <c r="Q331" s="4" t="e">
        <f>VLOOKUP(AJ323,'CIR Team Info'!$C$5:$E$44,3,FALSE)</f>
        <v>#N/A</v>
      </c>
      <c r="R331" s="10" t="e">
        <f>VLOOKUP(AJ323,'FRC Site Data'!$B$3:$L$42,2,FALSE)</f>
        <v>#N/A</v>
      </c>
      <c r="S331" s="10" t="e">
        <f>VLOOKUP(AJ323,'FRC Site Data'!$B$3:$L$42,3,FALSE)</f>
        <v>#N/A</v>
      </c>
      <c r="T331" s="10" t="e">
        <f>VLOOKUP(AJ323,'FRC Site Data'!$B$3:$L$42,4,FALSE)</f>
        <v>#N/A</v>
      </c>
      <c r="U331" s="10" t="e">
        <f>VLOOKUP(AJ323,'FRC Site Data'!$B$3:$L$42,5,FALSE)</f>
        <v>#N/A</v>
      </c>
      <c r="V331" s="10" t="e">
        <f>VLOOKUP(AJ323,'FRC Site Data'!$B$3:$L$42,6,FALSE)</f>
        <v>#N/A</v>
      </c>
      <c r="W331" s="10" t="e">
        <f>VLOOKUP(AJ323,'FRC Site Data'!$B$3:$L$42,8,FALSE)</f>
        <v>#N/A</v>
      </c>
      <c r="X331" s="10" t="e">
        <f>VLOOKUP(AJ323,'FRC Site Data'!$B$3:$L$42,9,FALSE)</f>
        <v>#N/A</v>
      </c>
      <c r="Y331" s="10" t="e">
        <f>VLOOKUP(AJ323,'FRC Site Data'!$B$3:$L$42,10,FALSE)</f>
        <v>#N/A</v>
      </c>
      <c r="Z331" s="10" t="e">
        <f>VLOOKUP(AJ323,'FRC Site Data'!$B$3:$L$42,11,FALSE)</f>
        <v>#N/A</v>
      </c>
      <c r="AA331" s="10" t="e">
        <f>VLOOKUP(AJ323,'CIR Team Info'!$C$5:$E$44,4,FALSE)</f>
        <v>#N/A</v>
      </c>
      <c r="AB331" s="161" t="b">
        <f>ISNUMBER(VLOOKUP(AJ323,Match!$T$5:$T$10,1,FALSE))</f>
        <v>0</v>
      </c>
      <c r="AC331" s="161" t="b">
        <f>IF(AB331=TRUE,(VLOOKUP($AJ323,Match!$T$5:$U$10,2,FALSE)))</f>
        <v>0</v>
      </c>
      <c r="AD331" s="8">
        <v>3</v>
      </c>
      <c r="AE331" s="8">
        <v>2</v>
      </c>
      <c r="AF331" s="8">
        <v>2</v>
      </c>
      <c r="AG331" s="8">
        <v>1</v>
      </c>
      <c r="AH331" s="8" t="str">
        <f t="shared" si="80"/>
        <v/>
      </c>
      <c r="AI331" s="12"/>
      <c r="AZ331" s="12"/>
      <c r="BC331" s="12"/>
      <c r="BK331" s="12"/>
    </row>
    <row r="332" spans="1:63" x14ac:dyDescent="0.25">
      <c r="A332" s="29">
        <f t="shared" si="81"/>
        <v>0</v>
      </c>
      <c r="B332" s="29">
        <f t="shared" si="83"/>
        <v>0</v>
      </c>
      <c r="C332" s="29">
        <f t="shared" si="84"/>
        <v>0</v>
      </c>
      <c r="D332" s="29">
        <f t="shared" si="85"/>
        <v>0</v>
      </c>
      <c r="E332" s="29">
        <f t="shared" si="82"/>
        <v>0</v>
      </c>
      <c r="F332" s="29">
        <f t="shared" si="86"/>
        <v>0</v>
      </c>
      <c r="G332" s="29" t="str">
        <f t="shared" si="87"/>
        <v>offensive</v>
      </c>
      <c r="H332" s="16">
        <f t="shared" si="88"/>
        <v>0</v>
      </c>
      <c r="I332" s="16">
        <f t="shared" si="89"/>
        <v>0</v>
      </c>
      <c r="J332" s="16">
        <f t="shared" si="90"/>
        <v>0</v>
      </c>
      <c r="K332" s="16">
        <f t="shared" si="91"/>
        <v>0</v>
      </c>
      <c r="L332" s="67">
        <f t="shared" si="92"/>
        <v>0</v>
      </c>
      <c r="M332" s="4">
        <f t="shared" si="93"/>
        <v>0</v>
      </c>
      <c r="N332" s="4">
        <f t="shared" si="94"/>
        <v>0</v>
      </c>
      <c r="O332" s="4">
        <f t="shared" si="95"/>
        <v>0</v>
      </c>
      <c r="P332" s="4" t="e">
        <f>VLOOKUP(AJ324,'CIR Team Info'!$C$5:$E$44,2,FALSE)</f>
        <v>#N/A</v>
      </c>
      <c r="Q332" s="4" t="e">
        <f>VLOOKUP(AJ324,'CIR Team Info'!$C$5:$E$44,3,FALSE)</f>
        <v>#N/A</v>
      </c>
      <c r="R332" s="10" t="e">
        <f>VLOOKUP(AJ324,'FRC Site Data'!$B$3:$L$42,2,FALSE)</f>
        <v>#N/A</v>
      </c>
      <c r="S332" s="10" t="e">
        <f>VLOOKUP(AJ324,'FRC Site Data'!$B$3:$L$42,3,FALSE)</f>
        <v>#N/A</v>
      </c>
      <c r="T332" s="10" t="e">
        <f>VLOOKUP(AJ324,'FRC Site Data'!$B$3:$L$42,4,FALSE)</f>
        <v>#N/A</v>
      </c>
      <c r="U332" s="10" t="e">
        <f>VLOOKUP(AJ324,'FRC Site Data'!$B$3:$L$42,5,FALSE)</f>
        <v>#N/A</v>
      </c>
      <c r="V332" s="10" t="e">
        <f>VLOOKUP(AJ324,'FRC Site Data'!$B$3:$L$42,6,FALSE)</f>
        <v>#N/A</v>
      </c>
      <c r="W332" s="10" t="e">
        <f>VLOOKUP(AJ324,'FRC Site Data'!$B$3:$L$42,8,FALSE)</f>
        <v>#N/A</v>
      </c>
      <c r="X332" s="10" t="e">
        <f>VLOOKUP(AJ324,'FRC Site Data'!$B$3:$L$42,9,FALSE)</f>
        <v>#N/A</v>
      </c>
      <c r="Y332" s="10" t="e">
        <f>VLOOKUP(AJ324,'FRC Site Data'!$B$3:$L$42,10,FALSE)</f>
        <v>#N/A</v>
      </c>
      <c r="Z332" s="10" t="e">
        <f>VLOOKUP(AJ324,'FRC Site Data'!$B$3:$L$42,11,FALSE)</f>
        <v>#N/A</v>
      </c>
      <c r="AA332" s="10" t="e">
        <f>VLOOKUP(AJ324,'CIR Team Info'!$C$5:$E$44,4,FALSE)</f>
        <v>#N/A</v>
      </c>
      <c r="AB332" s="161" t="b">
        <f>ISNUMBER(VLOOKUP(AJ324,Match!$T$5:$T$10,1,FALSE))</f>
        <v>0</v>
      </c>
      <c r="AC332" s="161" t="b">
        <f>IF(AB332=TRUE,(VLOOKUP($AJ324,Match!$T$5:$U$10,2,FALSE)))</f>
        <v>0</v>
      </c>
      <c r="AD332" s="8">
        <v>3</v>
      </c>
      <c r="AE332" s="8">
        <v>2</v>
      </c>
      <c r="AF332" s="8">
        <v>2</v>
      </c>
      <c r="AG332" s="8">
        <v>1</v>
      </c>
      <c r="AH332" s="8" t="str">
        <f t="shared" si="80"/>
        <v/>
      </c>
      <c r="AI332" s="12"/>
      <c r="AZ332" s="12"/>
      <c r="BC332" s="12"/>
      <c r="BK332" s="12"/>
    </row>
    <row r="333" spans="1:63" x14ac:dyDescent="0.25">
      <c r="A333" s="29">
        <f t="shared" si="81"/>
        <v>0</v>
      </c>
      <c r="B333" s="29">
        <f t="shared" si="83"/>
        <v>0</v>
      </c>
      <c r="C333" s="29">
        <f t="shared" si="84"/>
        <v>0</v>
      </c>
      <c r="D333" s="29">
        <f t="shared" si="85"/>
        <v>0</v>
      </c>
      <c r="E333" s="29">
        <f t="shared" si="82"/>
        <v>0</v>
      </c>
      <c r="F333" s="29">
        <f t="shared" si="86"/>
        <v>0</v>
      </c>
      <c r="G333" s="29" t="str">
        <f t="shared" si="87"/>
        <v>offensive</v>
      </c>
      <c r="H333" s="16">
        <f t="shared" si="88"/>
        <v>0</v>
      </c>
      <c r="I333" s="16">
        <f t="shared" si="89"/>
        <v>0</v>
      </c>
      <c r="J333" s="16">
        <f t="shared" si="90"/>
        <v>0</v>
      </c>
      <c r="K333" s="16">
        <f t="shared" si="91"/>
        <v>0</v>
      </c>
      <c r="L333" s="67">
        <f t="shared" si="92"/>
        <v>0</v>
      </c>
      <c r="M333" s="4">
        <f t="shared" si="93"/>
        <v>0</v>
      </c>
      <c r="N333" s="4">
        <f t="shared" si="94"/>
        <v>0</v>
      </c>
      <c r="O333" s="4">
        <f t="shared" si="95"/>
        <v>0</v>
      </c>
      <c r="P333" s="4" t="e">
        <f>VLOOKUP(AJ325,'CIR Team Info'!$C$5:$E$44,2,FALSE)</f>
        <v>#N/A</v>
      </c>
      <c r="Q333" s="4" t="e">
        <f>VLOOKUP(AJ325,'CIR Team Info'!$C$5:$E$44,3,FALSE)</f>
        <v>#N/A</v>
      </c>
      <c r="R333" s="10" t="e">
        <f>VLOOKUP(AJ325,'FRC Site Data'!$B$3:$L$42,2,FALSE)</f>
        <v>#N/A</v>
      </c>
      <c r="S333" s="10" t="e">
        <f>VLOOKUP(AJ325,'FRC Site Data'!$B$3:$L$42,3,FALSE)</f>
        <v>#N/A</v>
      </c>
      <c r="T333" s="10" t="e">
        <f>VLOOKUP(AJ325,'FRC Site Data'!$B$3:$L$42,4,FALSE)</f>
        <v>#N/A</v>
      </c>
      <c r="U333" s="10" t="e">
        <f>VLOOKUP(AJ325,'FRC Site Data'!$B$3:$L$42,5,FALSE)</f>
        <v>#N/A</v>
      </c>
      <c r="V333" s="10" t="e">
        <f>VLOOKUP(AJ325,'FRC Site Data'!$B$3:$L$42,6,FALSE)</f>
        <v>#N/A</v>
      </c>
      <c r="W333" s="10" t="e">
        <f>VLOOKUP(AJ325,'FRC Site Data'!$B$3:$L$42,8,FALSE)</f>
        <v>#N/A</v>
      </c>
      <c r="X333" s="10" t="e">
        <f>VLOOKUP(AJ325,'FRC Site Data'!$B$3:$L$42,9,FALSE)</f>
        <v>#N/A</v>
      </c>
      <c r="Y333" s="10" t="e">
        <f>VLOOKUP(AJ325,'FRC Site Data'!$B$3:$L$42,10,FALSE)</f>
        <v>#N/A</v>
      </c>
      <c r="Z333" s="10" t="e">
        <f>VLOOKUP(AJ325,'FRC Site Data'!$B$3:$L$42,11,FALSE)</f>
        <v>#N/A</v>
      </c>
      <c r="AA333" s="10" t="e">
        <f>VLOOKUP(AJ325,'CIR Team Info'!$C$5:$E$44,4,FALSE)</f>
        <v>#N/A</v>
      </c>
      <c r="AB333" s="161" t="b">
        <f>ISNUMBER(VLOOKUP(AJ325,Match!$T$5:$T$10,1,FALSE))</f>
        <v>0</v>
      </c>
      <c r="AC333" s="161" t="b">
        <f>IF(AB333=TRUE,(VLOOKUP($AJ325,Match!$T$5:$U$10,2,FALSE)))</f>
        <v>0</v>
      </c>
      <c r="AD333" s="8">
        <v>3</v>
      </c>
      <c r="AE333" s="8">
        <v>2</v>
      </c>
      <c r="AF333" s="8">
        <v>2</v>
      </c>
      <c r="AG333" s="8">
        <v>1</v>
      </c>
      <c r="AH333" s="8" t="str">
        <f t="shared" si="80"/>
        <v/>
      </c>
      <c r="AI333" s="12"/>
      <c r="AZ333" s="12"/>
      <c r="BC333" s="12"/>
      <c r="BK333" s="12"/>
    </row>
    <row r="334" spans="1:63" x14ac:dyDescent="0.25">
      <c r="A334" s="29">
        <f t="shared" si="81"/>
        <v>0</v>
      </c>
      <c r="B334" s="29">
        <f t="shared" si="83"/>
        <v>0</v>
      </c>
      <c r="C334" s="29">
        <f t="shared" si="84"/>
        <v>0</v>
      </c>
      <c r="D334" s="29">
        <f t="shared" si="85"/>
        <v>0</v>
      </c>
      <c r="E334" s="29">
        <f t="shared" si="82"/>
        <v>0</v>
      </c>
      <c r="F334" s="29">
        <f t="shared" si="86"/>
        <v>0</v>
      </c>
      <c r="G334" s="29" t="str">
        <f t="shared" si="87"/>
        <v>offensive</v>
      </c>
      <c r="H334" s="16">
        <f t="shared" si="88"/>
        <v>0</v>
      </c>
      <c r="I334" s="16">
        <f t="shared" si="89"/>
        <v>0</v>
      </c>
      <c r="J334" s="16">
        <f t="shared" si="90"/>
        <v>0</v>
      </c>
      <c r="K334" s="16">
        <f t="shared" si="91"/>
        <v>0</v>
      </c>
      <c r="L334" s="67">
        <f t="shared" si="92"/>
        <v>0</v>
      </c>
      <c r="M334" s="4">
        <f t="shared" si="93"/>
        <v>0</v>
      </c>
      <c r="N334" s="4">
        <f t="shared" si="94"/>
        <v>0</v>
      </c>
      <c r="O334" s="4">
        <f t="shared" si="95"/>
        <v>0</v>
      </c>
      <c r="P334" s="4" t="e">
        <f>VLOOKUP(AJ326,'CIR Team Info'!$C$5:$E$44,2,FALSE)</f>
        <v>#N/A</v>
      </c>
      <c r="Q334" s="4" t="e">
        <f>VLOOKUP(AJ326,'CIR Team Info'!$C$5:$E$44,3,FALSE)</f>
        <v>#N/A</v>
      </c>
      <c r="R334" s="10" t="e">
        <f>VLOOKUP(AJ326,'FRC Site Data'!$B$3:$L$42,2,FALSE)</f>
        <v>#N/A</v>
      </c>
      <c r="S334" s="10" t="e">
        <f>VLOOKUP(AJ326,'FRC Site Data'!$B$3:$L$42,3,FALSE)</f>
        <v>#N/A</v>
      </c>
      <c r="T334" s="10" t="e">
        <f>VLOOKUP(AJ326,'FRC Site Data'!$B$3:$L$42,4,FALSE)</f>
        <v>#N/A</v>
      </c>
      <c r="U334" s="10" t="e">
        <f>VLOOKUP(AJ326,'FRC Site Data'!$B$3:$L$42,5,FALSE)</f>
        <v>#N/A</v>
      </c>
      <c r="V334" s="10" t="e">
        <f>VLOOKUP(AJ326,'FRC Site Data'!$B$3:$L$42,6,FALSE)</f>
        <v>#N/A</v>
      </c>
      <c r="W334" s="10" t="e">
        <f>VLOOKUP(AJ326,'FRC Site Data'!$B$3:$L$42,8,FALSE)</f>
        <v>#N/A</v>
      </c>
      <c r="X334" s="10" t="e">
        <f>VLOOKUP(AJ326,'FRC Site Data'!$B$3:$L$42,9,FALSE)</f>
        <v>#N/A</v>
      </c>
      <c r="Y334" s="10" t="e">
        <f>VLOOKUP(AJ326,'FRC Site Data'!$B$3:$L$42,10,FALSE)</f>
        <v>#N/A</v>
      </c>
      <c r="Z334" s="10" t="e">
        <f>VLOOKUP(AJ326,'FRC Site Data'!$B$3:$L$42,11,FALSE)</f>
        <v>#N/A</v>
      </c>
      <c r="AA334" s="10" t="e">
        <f>VLOOKUP(AJ326,'CIR Team Info'!$C$5:$E$44,4,FALSE)</f>
        <v>#N/A</v>
      </c>
      <c r="AB334" s="161" t="b">
        <f>ISNUMBER(VLOOKUP(AJ326,Match!$T$5:$T$10,1,FALSE))</f>
        <v>0</v>
      </c>
      <c r="AC334" s="161" t="b">
        <f>IF(AB334=TRUE,(VLOOKUP($AJ326,Match!$T$5:$U$10,2,FALSE)))</f>
        <v>0</v>
      </c>
      <c r="AD334" s="8">
        <v>3</v>
      </c>
      <c r="AE334" s="8">
        <v>2</v>
      </c>
      <c r="AF334" s="8">
        <v>2</v>
      </c>
      <c r="AG334" s="8">
        <v>1</v>
      </c>
      <c r="AH334" s="8" t="str">
        <f t="shared" si="80"/>
        <v/>
      </c>
      <c r="AI334" s="12"/>
      <c r="AZ334" s="12"/>
      <c r="BC334" s="12"/>
      <c r="BK334" s="12"/>
    </row>
    <row r="335" spans="1:63" x14ac:dyDescent="0.25">
      <c r="A335" s="29">
        <f t="shared" si="81"/>
        <v>0</v>
      </c>
      <c r="B335" s="29">
        <f t="shared" si="83"/>
        <v>0</v>
      </c>
      <c r="C335" s="29">
        <f t="shared" si="84"/>
        <v>0</v>
      </c>
      <c r="D335" s="29">
        <f t="shared" si="85"/>
        <v>0</v>
      </c>
      <c r="E335" s="29">
        <f t="shared" si="82"/>
        <v>0</v>
      </c>
      <c r="F335" s="29">
        <f t="shared" si="86"/>
        <v>0</v>
      </c>
      <c r="G335" s="29" t="str">
        <f t="shared" si="87"/>
        <v>offensive</v>
      </c>
      <c r="H335" s="16">
        <f t="shared" si="88"/>
        <v>0</v>
      </c>
      <c r="I335" s="16">
        <f t="shared" si="89"/>
        <v>0</v>
      </c>
      <c r="J335" s="16">
        <f t="shared" si="90"/>
        <v>0</v>
      </c>
      <c r="K335" s="16">
        <f t="shared" si="91"/>
        <v>0</v>
      </c>
      <c r="L335" s="67">
        <f t="shared" si="92"/>
        <v>0</v>
      </c>
      <c r="M335" s="4">
        <f t="shared" si="93"/>
        <v>0</v>
      </c>
      <c r="N335" s="4">
        <f t="shared" si="94"/>
        <v>0</v>
      </c>
      <c r="O335" s="4">
        <f t="shared" si="95"/>
        <v>0</v>
      </c>
      <c r="P335" s="4" t="e">
        <f>VLOOKUP(AJ327,'CIR Team Info'!$C$5:$E$44,2,FALSE)</f>
        <v>#N/A</v>
      </c>
      <c r="Q335" s="4" t="e">
        <f>VLOOKUP(AJ327,'CIR Team Info'!$C$5:$E$44,3,FALSE)</f>
        <v>#N/A</v>
      </c>
      <c r="R335" s="10" t="e">
        <f>VLOOKUP(AJ327,'FRC Site Data'!$B$3:$L$42,2,FALSE)</f>
        <v>#N/A</v>
      </c>
      <c r="S335" s="10" t="e">
        <f>VLOOKUP(AJ327,'FRC Site Data'!$B$3:$L$42,3,FALSE)</f>
        <v>#N/A</v>
      </c>
      <c r="T335" s="10" t="e">
        <f>VLOOKUP(AJ327,'FRC Site Data'!$B$3:$L$42,4,FALSE)</f>
        <v>#N/A</v>
      </c>
      <c r="U335" s="10" t="e">
        <f>VLOOKUP(AJ327,'FRC Site Data'!$B$3:$L$42,5,FALSE)</f>
        <v>#N/A</v>
      </c>
      <c r="V335" s="10" t="e">
        <f>VLOOKUP(AJ327,'FRC Site Data'!$B$3:$L$42,6,FALSE)</f>
        <v>#N/A</v>
      </c>
      <c r="W335" s="10" t="e">
        <f>VLOOKUP(AJ327,'FRC Site Data'!$B$3:$L$42,8,FALSE)</f>
        <v>#N/A</v>
      </c>
      <c r="X335" s="10" t="e">
        <f>VLOOKUP(AJ327,'FRC Site Data'!$B$3:$L$42,9,FALSE)</f>
        <v>#N/A</v>
      </c>
      <c r="Y335" s="10" t="e">
        <f>VLOOKUP(AJ327,'FRC Site Data'!$B$3:$L$42,10,FALSE)</f>
        <v>#N/A</v>
      </c>
      <c r="Z335" s="10" t="e">
        <f>VLOOKUP(AJ327,'FRC Site Data'!$B$3:$L$42,11,FALSE)</f>
        <v>#N/A</v>
      </c>
      <c r="AA335" s="10" t="e">
        <f>VLOOKUP(AJ327,'CIR Team Info'!$C$5:$E$44,4,FALSE)</f>
        <v>#N/A</v>
      </c>
      <c r="AB335" s="161" t="b">
        <f>ISNUMBER(VLOOKUP(AJ327,Match!$T$5:$T$10,1,FALSE))</f>
        <v>0</v>
      </c>
      <c r="AC335" s="161" t="b">
        <f>IF(AB335=TRUE,(VLOOKUP($AJ327,Match!$T$5:$U$10,2,FALSE)))</f>
        <v>0</v>
      </c>
      <c r="AD335" s="8">
        <v>3</v>
      </c>
      <c r="AE335" s="8">
        <v>2</v>
      </c>
      <c r="AF335" s="8">
        <v>2</v>
      </c>
      <c r="AG335" s="8">
        <v>1</v>
      </c>
      <c r="AH335" s="8" t="str">
        <f t="shared" si="80"/>
        <v/>
      </c>
      <c r="AI335" s="12"/>
      <c r="AZ335" s="12"/>
      <c r="BC335" s="12"/>
      <c r="BK335" s="12"/>
    </row>
    <row r="336" spans="1:63" x14ac:dyDescent="0.25">
      <c r="A336" s="29">
        <f t="shared" si="81"/>
        <v>0</v>
      </c>
      <c r="B336" s="29">
        <f t="shared" si="83"/>
        <v>0</v>
      </c>
      <c r="C336" s="29">
        <f t="shared" si="84"/>
        <v>0</v>
      </c>
      <c r="D336" s="29">
        <f t="shared" si="85"/>
        <v>0</v>
      </c>
      <c r="E336" s="29">
        <f t="shared" si="82"/>
        <v>0</v>
      </c>
      <c r="F336" s="29">
        <f t="shared" si="86"/>
        <v>0</v>
      </c>
      <c r="G336" s="29" t="str">
        <f t="shared" si="87"/>
        <v>offensive</v>
      </c>
      <c r="H336" s="16">
        <f t="shared" si="88"/>
        <v>0</v>
      </c>
      <c r="I336" s="16">
        <f t="shared" si="89"/>
        <v>0</v>
      </c>
      <c r="J336" s="16">
        <f t="shared" si="90"/>
        <v>0</v>
      </c>
      <c r="K336" s="16">
        <f t="shared" si="91"/>
        <v>0</v>
      </c>
      <c r="L336" s="67">
        <f t="shared" si="92"/>
        <v>0</v>
      </c>
      <c r="M336" s="4">
        <f t="shared" si="93"/>
        <v>0</v>
      </c>
      <c r="N336" s="4">
        <f t="shared" si="94"/>
        <v>0</v>
      </c>
      <c r="O336" s="4">
        <f t="shared" si="95"/>
        <v>0</v>
      </c>
      <c r="P336" s="4" t="e">
        <f>VLOOKUP(AJ328,'CIR Team Info'!$C$5:$E$44,2,FALSE)</f>
        <v>#N/A</v>
      </c>
      <c r="Q336" s="4" t="e">
        <f>VLOOKUP(AJ328,'CIR Team Info'!$C$5:$E$44,3,FALSE)</f>
        <v>#N/A</v>
      </c>
      <c r="R336" s="10" t="e">
        <f>VLOOKUP(AJ328,'FRC Site Data'!$B$3:$L$42,2,FALSE)</f>
        <v>#N/A</v>
      </c>
      <c r="S336" s="10" t="e">
        <f>VLOOKUP(AJ328,'FRC Site Data'!$B$3:$L$42,3,FALSE)</f>
        <v>#N/A</v>
      </c>
      <c r="T336" s="10" t="e">
        <f>VLOOKUP(AJ328,'FRC Site Data'!$B$3:$L$42,4,FALSE)</f>
        <v>#N/A</v>
      </c>
      <c r="U336" s="10" t="e">
        <f>VLOOKUP(AJ328,'FRC Site Data'!$B$3:$L$42,5,FALSE)</f>
        <v>#N/A</v>
      </c>
      <c r="V336" s="10" t="e">
        <f>VLOOKUP(AJ328,'FRC Site Data'!$B$3:$L$42,6,FALSE)</f>
        <v>#N/A</v>
      </c>
      <c r="W336" s="10" t="e">
        <f>VLOOKUP(AJ328,'FRC Site Data'!$B$3:$L$42,8,FALSE)</f>
        <v>#N/A</v>
      </c>
      <c r="X336" s="10" t="e">
        <f>VLOOKUP(AJ328,'FRC Site Data'!$B$3:$L$42,9,FALSE)</f>
        <v>#N/A</v>
      </c>
      <c r="Y336" s="10" t="e">
        <f>VLOOKUP(AJ328,'FRC Site Data'!$B$3:$L$42,10,FALSE)</f>
        <v>#N/A</v>
      </c>
      <c r="Z336" s="10" t="e">
        <f>VLOOKUP(AJ328,'FRC Site Data'!$B$3:$L$42,11,FALSE)</f>
        <v>#N/A</v>
      </c>
      <c r="AA336" s="10" t="e">
        <f>VLOOKUP(AJ328,'CIR Team Info'!$C$5:$E$44,4,FALSE)</f>
        <v>#N/A</v>
      </c>
      <c r="AB336" s="161" t="b">
        <f>ISNUMBER(VLOOKUP(AJ328,Match!$T$5:$T$10,1,FALSE))</f>
        <v>0</v>
      </c>
      <c r="AC336" s="161" t="b">
        <f>IF(AB336=TRUE,(VLOOKUP($AJ328,Match!$T$5:$U$10,2,FALSE)))</f>
        <v>0</v>
      </c>
      <c r="AD336" s="8">
        <v>3</v>
      </c>
      <c r="AE336" s="8">
        <v>2</v>
      </c>
      <c r="AF336" s="8">
        <v>2</v>
      </c>
      <c r="AG336" s="8">
        <v>1</v>
      </c>
      <c r="AH336" s="8" t="str">
        <f t="shared" si="80"/>
        <v/>
      </c>
      <c r="AI336" s="12"/>
      <c r="AZ336" s="12"/>
      <c r="BC336" s="12"/>
      <c r="BK336" s="12"/>
    </row>
    <row r="337" spans="1:63" x14ac:dyDescent="0.25">
      <c r="A337" s="29">
        <f t="shared" si="81"/>
        <v>0</v>
      </c>
      <c r="B337" s="29">
        <f t="shared" si="83"/>
        <v>0</v>
      </c>
      <c r="C337" s="29">
        <f t="shared" si="84"/>
        <v>0</v>
      </c>
      <c r="D337" s="29">
        <f t="shared" si="85"/>
        <v>0</v>
      </c>
      <c r="E337" s="29">
        <f t="shared" si="82"/>
        <v>0</v>
      </c>
      <c r="F337" s="29">
        <f t="shared" si="86"/>
        <v>0</v>
      </c>
      <c r="G337" s="29" t="str">
        <f t="shared" si="87"/>
        <v>offensive</v>
      </c>
      <c r="H337" s="16">
        <f t="shared" si="88"/>
        <v>0</v>
      </c>
      <c r="I337" s="16">
        <f t="shared" si="89"/>
        <v>0</v>
      </c>
      <c r="J337" s="16">
        <f t="shared" si="90"/>
        <v>0</v>
      </c>
      <c r="K337" s="16">
        <f t="shared" si="91"/>
        <v>0</v>
      </c>
      <c r="L337" s="67">
        <f t="shared" si="92"/>
        <v>0</v>
      </c>
      <c r="M337" s="4">
        <f t="shared" si="93"/>
        <v>0</v>
      </c>
      <c r="N337" s="4">
        <f t="shared" si="94"/>
        <v>0</v>
      </c>
      <c r="O337" s="4">
        <f t="shared" si="95"/>
        <v>0</v>
      </c>
      <c r="P337" s="4" t="e">
        <f>VLOOKUP(AJ329,'CIR Team Info'!$C$5:$E$44,2,FALSE)</f>
        <v>#N/A</v>
      </c>
      <c r="Q337" s="4" t="e">
        <f>VLOOKUP(AJ329,'CIR Team Info'!$C$5:$E$44,3,FALSE)</f>
        <v>#N/A</v>
      </c>
      <c r="R337" s="10" t="e">
        <f>VLOOKUP(AJ329,'FRC Site Data'!$B$3:$L$42,2,FALSE)</f>
        <v>#N/A</v>
      </c>
      <c r="S337" s="10" t="e">
        <f>VLOOKUP(AJ329,'FRC Site Data'!$B$3:$L$42,3,FALSE)</f>
        <v>#N/A</v>
      </c>
      <c r="T337" s="10" t="e">
        <f>VLOOKUP(AJ329,'FRC Site Data'!$B$3:$L$42,4,FALSE)</f>
        <v>#N/A</v>
      </c>
      <c r="U337" s="10" t="e">
        <f>VLOOKUP(AJ329,'FRC Site Data'!$B$3:$L$42,5,FALSE)</f>
        <v>#N/A</v>
      </c>
      <c r="V337" s="10" t="e">
        <f>VLOOKUP(AJ329,'FRC Site Data'!$B$3:$L$42,6,FALSE)</f>
        <v>#N/A</v>
      </c>
      <c r="W337" s="10" t="e">
        <f>VLOOKUP(AJ329,'FRC Site Data'!$B$3:$L$42,8,FALSE)</f>
        <v>#N/A</v>
      </c>
      <c r="X337" s="10" t="e">
        <f>VLOOKUP(AJ329,'FRC Site Data'!$B$3:$L$42,9,FALSE)</f>
        <v>#N/A</v>
      </c>
      <c r="Y337" s="10" t="e">
        <f>VLOOKUP(AJ329,'FRC Site Data'!$B$3:$L$42,10,FALSE)</f>
        <v>#N/A</v>
      </c>
      <c r="Z337" s="10" t="e">
        <f>VLOOKUP(AJ329,'FRC Site Data'!$B$3:$L$42,11,FALSE)</f>
        <v>#N/A</v>
      </c>
      <c r="AA337" s="10" t="e">
        <f>VLOOKUP(AJ329,'CIR Team Info'!$C$5:$E$44,4,FALSE)</f>
        <v>#N/A</v>
      </c>
      <c r="AB337" s="161" t="b">
        <f>ISNUMBER(VLOOKUP(AJ329,Match!$T$5:$T$10,1,FALSE))</f>
        <v>0</v>
      </c>
      <c r="AC337" s="161" t="b">
        <f>IF(AB337=TRUE,(VLOOKUP($AJ329,Match!$T$5:$U$10,2,FALSE)))</f>
        <v>0</v>
      </c>
      <c r="AD337" s="8">
        <v>3</v>
      </c>
      <c r="AE337" s="8">
        <v>2</v>
      </c>
      <c r="AF337" s="8">
        <v>2</v>
      </c>
      <c r="AG337" s="8">
        <v>1</v>
      </c>
      <c r="AH337" s="8" t="str">
        <f t="shared" si="80"/>
        <v/>
      </c>
      <c r="AI337" s="12"/>
      <c r="AZ337" s="12"/>
      <c r="BC337" s="12"/>
      <c r="BK337" s="12"/>
    </row>
    <row r="338" spans="1:63" x14ac:dyDescent="0.25">
      <c r="A338" s="29">
        <f t="shared" si="81"/>
        <v>0</v>
      </c>
      <c r="B338" s="29">
        <f t="shared" si="83"/>
        <v>0</v>
      </c>
      <c r="C338" s="29">
        <f t="shared" si="84"/>
        <v>0</v>
      </c>
      <c r="D338" s="29">
        <f t="shared" si="85"/>
        <v>0</v>
      </c>
      <c r="E338" s="29">
        <f t="shared" si="82"/>
        <v>0</v>
      </c>
      <c r="F338" s="29">
        <f t="shared" si="86"/>
        <v>0</v>
      </c>
      <c r="G338" s="29" t="str">
        <f t="shared" si="87"/>
        <v>offensive</v>
      </c>
      <c r="H338" s="16">
        <f t="shared" si="88"/>
        <v>0</v>
      </c>
      <c r="I338" s="16">
        <f t="shared" si="89"/>
        <v>0</v>
      </c>
      <c r="J338" s="16">
        <f t="shared" si="90"/>
        <v>0</v>
      </c>
      <c r="K338" s="16">
        <f t="shared" si="91"/>
        <v>0</v>
      </c>
      <c r="L338" s="67">
        <f t="shared" si="92"/>
        <v>0</v>
      </c>
      <c r="M338" s="4">
        <f t="shared" si="93"/>
        <v>0</v>
      </c>
      <c r="N338" s="4">
        <f t="shared" si="94"/>
        <v>0</v>
      </c>
      <c r="O338" s="4">
        <f t="shared" si="95"/>
        <v>0</v>
      </c>
      <c r="P338" s="4" t="e">
        <f>VLOOKUP(AJ330,'CIR Team Info'!$C$5:$E$44,2,FALSE)</f>
        <v>#N/A</v>
      </c>
      <c r="Q338" s="4" t="e">
        <f>VLOOKUP(AJ330,'CIR Team Info'!$C$5:$E$44,3,FALSE)</f>
        <v>#N/A</v>
      </c>
      <c r="R338" s="10" t="e">
        <f>VLOOKUP(AJ330,'FRC Site Data'!$B$3:$L$42,2,FALSE)</f>
        <v>#N/A</v>
      </c>
      <c r="S338" s="10" t="e">
        <f>VLOOKUP(AJ330,'FRC Site Data'!$B$3:$L$42,3,FALSE)</f>
        <v>#N/A</v>
      </c>
      <c r="T338" s="10" t="e">
        <f>VLOOKUP(AJ330,'FRC Site Data'!$B$3:$L$42,4,FALSE)</f>
        <v>#N/A</v>
      </c>
      <c r="U338" s="10" t="e">
        <f>VLOOKUP(AJ330,'FRC Site Data'!$B$3:$L$42,5,FALSE)</f>
        <v>#N/A</v>
      </c>
      <c r="V338" s="10" t="e">
        <f>VLOOKUP(AJ330,'FRC Site Data'!$B$3:$L$42,6,FALSE)</f>
        <v>#N/A</v>
      </c>
      <c r="W338" s="10" t="e">
        <f>VLOOKUP(AJ330,'FRC Site Data'!$B$3:$L$42,8,FALSE)</f>
        <v>#N/A</v>
      </c>
      <c r="X338" s="10" t="e">
        <f>VLOOKUP(AJ330,'FRC Site Data'!$B$3:$L$42,9,FALSE)</f>
        <v>#N/A</v>
      </c>
      <c r="Y338" s="10" t="e">
        <f>VLOOKUP(AJ330,'FRC Site Data'!$B$3:$L$42,10,FALSE)</f>
        <v>#N/A</v>
      </c>
      <c r="Z338" s="10" t="e">
        <f>VLOOKUP(AJ330,'FRC Site Data'!$B$3:$L$42,11,FALSE)</f>
        <v>#N/A</v>
      </c>
      <c r="AA338" s="10" t="e">
        <f>VLOOKUP(AJ330,'CIR Team Info'!$C$5:$E$44,4,FALSE)</f>
        <v>#N/A</v>
      </c>
      <c r="AB338" s="161" t="b">
        <f>ISNUMBER(VLOOKUP(AJ330,Match!$T$5:$T$10,1,FALSE))</f>
        <v>0</v>
      </c>
      <c r="AC338" s="161" t="b">
        <f>IF(AB338=TRUE,(VLOOKUP($AJ330,Match!$T$5:$U$10,2,FALSE)))</f>
        <v>0</v>
      </c>
      <c r="AD338" s="8">
        <v>3</v>
      </c>
      <c r="AE338" s="8">
        <v>2</v>
      </c>
      <c r="AF338" s="8">
        <v>2</v>
      </c>
      <c r="AG338" s="8">
        <v>1</v>
      </c>
      <c r="AH338" s="8" t="str">
        <f t="shared" si="80"/>
        <v/>
      </c>
      <c r="AI338" s="12"/>
      <c r="AZ338" s="12"/>
      <c r="BC338" s="12"/>
      <c r="BK338" s="12"/>
    </row>
    <row r="339" spans="1:63" x14ac:dyDescent="0.25">
      <c r="A339" s="29">
        <f t="shared" si="81"/>
        <v>0</v>
      </c>
      <c r="B339" s="29">
        <f t="shared" si="83"/>
        <v>0</v>
      </c>
      <c r="C339" s="29">
        <f t="shared" si="84"/>
        <v>0</v>
      </c>
      <c r="D339" s="29">
        <f t="shared" si="85"/>
        <v>0</v>
      </c>
      <c r="E339" s="29">
        <f t="shared" si="82"/>
        <v>0</v>
      </c>
      <c r="F339" s="29">
        <f t="shared" si="86"/>
        <v>0</v>
      </c>
      <c r="G339" s="29" t="str">
        <f t="shared" si="87"/>
        <v>offensive</v>
      </c>
      <c r="H339" s="16">
        <f t="shared" si="88"/>
        <v>0</v>
      </c>
      <c r="I339" s="16">
        <f t="shared" si="89"/>
        <v>0</v>
      </c>
      <c r="J339" s="16">
        <f t="shared" si="90"/>
        <v>0</v>
      </c>
      <c r="K339" s="16">
        <f t="shared" si="91"/>
        <v>0</v>
      </c>
      <c r="L339" s="67">
        <f t="shared" si="92"/>
        <v>0</v>
      </c>
      <c r="M339" s="4">
        <f t="shared" si="93"/>
        <v>0</v>
      </c>
      <c r="N339" s="4">
        <f t="shared" si="94"/>
        <v>0</v>
      </c>
      <c r="O339" s="4">
        <f t="shared" si="95"/>
        <v>0</v>
      </c>
      <c r="P339" s="4" t="e">
        <f>VLOOKUP(AJ331,'CIR Team Info'!$C$5:$E$44,2,FALSE)</f>
        <v>#N/A</v>
      </c>
      <c r="Q339" s="4" t="e">
        <f>VLOOKUP(AJ331,'CIR Team Info'!$C$5:$E$44,3,FALSE)</f>
        <v>#N/A</v>
      </c>
      <c r="R339" s="10" t="e">
        <f>VLOOKUP(AJ331,'FRC Site Data'!$B$3:$L$42,2,FALSE)</f>
        <v>#N/A</v>
      </c>
      <c r="S339" s="10" t="e">
        <f>VLOOKUP(AJ331,'FRC Site Data'!$B$3:$L$42,3,FALSE)</f>
        <v>#N/A</v>
      </c>
      <c r="T339" s="10" t="e">
        <f>VLOOKUP(AJ331,'FRC Site Data'!$B$3:$L$42,4,FALSE)</f>
        <v>#N/A</v>
      </c>
      <c r="U339" s="10" t="e">
        <f>VLOOKUP(AJ331,'FRC Site Data'!$B$3:$L$42,5,FALSE)</f>
        <v>#N/A</v>
      </c>
      <c r="V339" s="10" t="e">
        <f>VLOOKUP(AJ331,'FRC Site Data'!$B$3:$L$42,6,FALSE)</f>
        <v>#N/A</v>
      </c>
      <c r="W339" s="10" t="e">
        <f>VLOOKUP(AJ331,'FRC Site Data'!$B$3:$L$42,8,FALSE)</f>
        <v>#N/A</v>
      </c>
      <c r="X339" s="10" t="e">
        <f>VLOOKUP(AJ331,'FRC Site Data'!$B$3:$L$42,9,FALSE)</f>
        <v>#N/A</v>
      </c>
      <c r="Y339" s="10" t="e">
        <f>VLOOKUP(AJ331,'FRC Site Data'!$B$3:$L$42,10,FALSE)</f>
        <v>#N/A</v>
      </c>
      <c r="Z339" s="10" t="e">
        <f>VLOOKUP(AJ331,'FRC Site Data'!$B$3:$L$42,11,FALSE)</f>
        <v>#N/A</v>
      </c>
      <c r="AA339" s="10" t="e">
        <f>VLOOKUP(AJ331,'CIR Team Info'!$C$5:$E$44,4,FALSE)</f>
        <v>#N/A</v>
      </c>
      <c r="AB339" s="161" t="b">
        <f>ISNUMBER(VLOOKUP(AJ331,Match!$T$5:$T$10,1,FALSE))</f>
        <v>0</v>
      </c>
      <c r="AC339" s="161" t="b">
        <f>IF(AB339=TRUE,(VLOOKUP($AJ331,Match!$T$5:$U$10,2,FALSE)))</f>
        <v>0</v>
      </c>
      <c r="AD339" s="8">
        <v>3</v>
      </c>
      <c r="AE339" s="8">
        <v>2</v>
      </c>
      <c r="AF339" s="8">
        <v>2</v>
      </c>
      <c r="AG339" s="8">
        <v>1</v>
      </c>
      <c r="AH339" s="8" t="str">
        <f t="shared" si="80"/>
        <v/>
      </c>
      <c r="AI339" s="12"/>
      <c r="AZ339" s="12"/>
      <c r="BC339" s="12"/>
      <c r="BK339" s="12"/>
    </row>
    <row r="340" spans="1:63" x14ac:dyDescent="0.25">
      <c r="A340" s="29">
        <f t="shared" si="81"/>
        <v>0</v>
      </c>
      <c r="B340" s="29">
        <f t="shared" si="83"/>
        <v>0</v>
      </c>
      <c r="C340" s="29">
        <f t="shared" si="84"/>
        <v>0</v>
      </c>
      <c r="D340" s="29">
        <f t="shared" si="85"/>
        <v>0</v>
      </c>
      <c r="E340" s="29">
        <f t="shared" si="82"/>
        <v>0</v>
      </c>
      <c r="F340" s="29">
        <f t="shared" si="86"/>
        <v>0</v>
      </c>
      <c r="G340" s="29" t="str">
        <f t="shared" si="87"/>
        <v>offensive</v>
      </c>
      <c r="H340" s="16">
        <f t="shared" si="88"/>
        <v>0</v>
      </c>
      <c r="I340" s="16">
        <f t="shared" si="89"/>
        <v>0</v>
      </c>
      <c r="J340" s="16">
        <f t="shared" si="90"/>
        <v>0</v>
      </c>
      <c r="K340" s="16">
        <f t="shared" si="91"/>
        <v>0</v>
      </c>
      <c r="L340" s="67">
        <f t="shared" si="92"/>
        <v>0</v>
      </c>
      <c r="M340" s="4">
        <f t="shared" si="93"/>
        <v>0</v>
      </c>
      <c r="N340" s="4">
        <f t="shared" si="94"/>
        <v>0</v>
      </c>
      <c r="O340" s="4">
        <f t="shared" si="95"/>
        <v>0</v>
      </c>
      <c r="P340" s="4" t="e">
        <f>VLOOKUP(AJ332,'CIR Team Info'!$C$5:$E$44,2,FALSE)</f>
        <v>#N/A</v>
      </c>
      <c r="Q340" s="4" t="e">
        <f>VLOOKUP(AJ332,'CIR Team Info'!$C$5:$E$44,3,FALSE)</f>
        <v>#N/A</v>
      </c>
      <c r="R340" s="10" t="e">
        <f>VLOOKUP(AJ332,'FRC Site Data'!$B$3:$L$42,2,FALSE)</f>
        <v>#N/A</v>
      </c>
      <c r="S340" s="10" t="e">
        <f>VLOOKUP(AJ332,'FRC Site Data'!$B$3:$L$42,3,FALSE)</f>
        <v>#N/A</v>
      </c>
      <c r="T340" s="10" t="e">
        <f>VLOOKUP(AJ332,'FRC Site Data'!$B$3:$L$42,4,FALSE)</f>
        <v>#N/A</v>
      </c>
      <c r="U340" s="10" t="e">
        <f>VLOOKUP(AJ332,'FRC Site Data'!$B$3:$L$42,5,FALSE)</f>
        <v>#N/A</v>
      </c>
      <c r="V340" s="10" t="e">
        <f>VLOOKUP(AJ332,'FRC Site Data'!$B$3:$L$42,6,FALSE)</f>
        <v>#N/A</v>
      </c>
      <c r="W340" s="10" t="e">
        <f>VLOOKUP(AJ332,'FRC Site Data'!$B$3:$L$42,8,FALSE)</f>
        <v>#N/A</v>
      </c>
      <c r="X340" s="10" t="e">
        <f>VLOOKUP(AJ332,'FRC Site Data'!$B$3:$L$42,9,FALSE)</f>
        <v>#N/A</v>
      </c>
      <c r="Y340" s="10" t="e">
        <f>VLOOKUP(AJ332,'FRC Site Data'!$B$3:$L$42,10,FALSE)</f>
        <v>#N/A</v>
      </c>
      <c r="Z340" s="10" t="e">
        <f>VLOOKUP(AJ332,'FRC Site Data'!$B$3:$L$42,11,FALSE)</f>
        <v>#N/A</v>
      </c>
      <c r="AA340" s="10" t="e">
        <f>VLOOKUP(AJ332,'CIR Team Info'!$C$5:$E$44,4,FALSE)</f>
        <v>#N/A</v>
      </c>
      <c r="AB340" s="161" t="b">
        <f>ISNUMBER(VLOOKUP(AJ332,Match!$T$5:$T$10,1,FALSE))</f>
        <v>0</v>
      </c>
      <c r="AC340" s="161" t="b">
        <f>IF(AB340=TRUE,(VLOOKUP($AJ332,Match!$T$5:$U$10,2,FALSE)))</f>
        <v>0</v>
      </c>
      <c r="AD340" s="8">
        <v>3</v>
      </c>
      <c r="AE340" s="8">
        <v>2</v>
      </c>
      <c r="AF340" s="8">
        <v>2</v>
      </c>
      <c r="AG340" s="8">
        <v>1</v>
      </c>
      <c r="AH340" s="8" t="str">
        <f t="shared" si="80"/>
        <v/>
      </c>
      <c r="AI340" s="12"/>
      <c r="AZ340" s="12"/>
      <c r="BC340" s="12"/>
      <c r="BK340" s="12"/>
    </row>
    <row r="341" spans="1:63" x14ac:dyDescent="0.25">
      <c r="A341" s="29">
        <f t="shared" si="81"/>
        <v>0</v>
      </c>
      <c r="B341" s="29">
        <f t="shared" si="83"/>
        <v>0</v>
      </c>
      <c r="C341" s="29">
        <f t="shared" si="84"/>
        <v>0</v>
      </c>
      <c r="D341" s="29">
        <f t="shared" si="85"/>
        <v>0</v>
      </c>
      <c r="E341" s="29">
        <f t="shared" si="82"/>
        <v>0</v>
      </c>
      <c r="F341" s="29">
        <f t="shared" si="86"/>
        <v>0</v>
      </c>
      <c r="G341" s="29" t="str">
        <f t="shared" si="87"/>
        <v>offensive</v>
      </c>
      <c r="H341" s="16">
        <f t="shared" si="88"/>
        <v>0</v>
      </c>
      <c r="I341" s="16">
        <f t="shared" si="89"/>
        <v>0</v>
      </c>
      <c r="J341" s="16">
        <f t="shared" si="90"/>
        <v>0</v>
      </c>
      <c r="K341" s="16">
        <f t="shared" si="91"/>
        <v>0</v>
      </c>
      <c r="L341" s="67">
        <f t="shared" si="92"/>
        <v>0</v>
      </c>
      <c r="M341" s="4">
        <f t="shared" si="93"/>
        <v>0</v>
      </c>
      <c r="N341" s="4">
        <f t="shared" si="94"/>
        <v>0</v>
      </c>
      <c r="O341" s="4">
        <f t="shared" si="95"/>
        <v>0</v>
      </c>
      <c r="P341" s="4" t="e">
        <f>VLOOKUP(AJ333,'CIR Team Info'!$C$5:$E$44,2,FALSE)</f>
        <v>#N/A</v>
      </c>
      <c r="Q341" s="4" t="e">
        <f>VLOOKUP(AJ333,'CIR Team Info'!$C$5:$E$44,3,FALSE)</f>
        <v>#N/A</v>
      </c>
      <c r="R341" s="10" t="e">
        <f>VLOOKUP(AJ333,'FRC Site Data'!$B$3:$L$42,2,FALSE)</f>
        <v>#N/A</v>
      </c>
      <c r="S341" s="10" t="e">
        <f>VLOOKUP(AJ333,'FRC Site Data'!$B$3:$L$42,3,FALSE)</f>
        <v>#N/A</v>
      </c>
      <c r="T341" s="10" t="e">
        <f>VLOOKUP(AJ333,'FRC Site Data'!$B$3:$L$42,4,FALSE)</f>
        <v>#N/A</v>
      </c>
      <c r="U341" s="10" t="e">
        <f>VLOOKUP(AJ333,'FRC Site Data'!$B$3:$L$42,5,FALSE)</f>
        <v>#N/A</v>
      </c>
      <c r="V341" s="10" t="e">
        <f>VLOOKUP(AJ333,'FRC Site Data'!$B$3:$L$42,6,FALSE)</f>
        <v>#N/A</v>
      </c>
      <c r="W341" s="10" t="e">
        <f>VLOOKUP(AJ333,'FRC Site Data'!$B$3:$L$42,8,FALSE)</f>
        <v>#N/A</v>
      </c>
      <c r="X341" s="10" t="e">
        <f>VLOOKUP(AJ333,'FRC Site Data'!$B$3:$L$42,9,FALSE)</f>
        <v>#N/A</v>
      </c>
      <c r="Y341" s="10" t="e">
        <f>VLOOKUP(AJ333,'FRC Site Data'!$B$3:$L$42,10,FALSE)</f>
        <v>#N/A</v>
      </c>
      <c r="Z341" s="10" t="e">
        <f>VLOOKUP(AJ333,'FRC Site Data'!$B$3:$L$42,11,FALSE)</f>
        <v>#N/A</v>
      </c>
      <c r="AA341" s="10" t="e">
        <f>VLOOKUP(AJ333,'CIR Team Info'!$C$5:$E$44,4,FALSE)</f>
        <v>#N/A</v>
      </c>
      <c r="AB341" s="161" t="b">
        <f>ISNUMBER(VLOOKUP(AJ333,Match!$T$5:$T$10,1,FALSE))</f>
        <v>0</v>
      </c>
      <c r="AC341" s="161" t="b">
        <f>IF(AB341=TRUE,(VLOOKUP($AJ333,Match!$T$5:$U$10,2,FALSE)))</f>
        <v>0</v>
      </c>
      <c r="AD341" s="8">
        <v>3</v>
      </c>
      <c r="AE341" s="8">
        <v>2</v>
      </c>
      <c r="AF341" s="8">
        <v>2</v>
      </c>
      <c r="AG341" s="8">
        <v>1</v>
      </c>
      <c r="AH341" s="8" t="str">
        <f t="shared" si="80"/>
        <v/>
      </c>
      <c r="AI341" s="12"/>
      <c r="AZ341" s="12"/>
      <c r="BC341" s="12"/>
      <c r="BK341" s="12"/>
    </row>
    <row r="342" spans="1:63" x14ac:dyDescent="0.25">
      <c r="A342" s="29">
        <f t="shared" si="81"/>
        <v>0</v>
      </c>
      <c r="B342" s="29">
        <f t="shared" si="83"/>
        <v>0</v>
      </c>
      <c r="C342" s="29">
        <f t="shared" si="84"/>
        <v>0</v>
      </c>
      <c r="D342" s="29">
        <f t="shared" si="85"/>
        <v>0</v>
      </c>
      <c r="E342" s="29">
        <f t="shared" si="82"/>
        <v>0</v>
      </c>
      <c r="F342" s="29">
        <f t="shared" si="86"/>
        <v>0</v>
      </c>
      <c r="G342" s="29" t="str">
        <f t="shared" si="87"/>
        <v>offensive</v>
      </c>
      <c r="H342" s="16">
        <f t="shared" si="88"/>
        <v>0</v>
      </c>
      <c r="I342" s="16">
        <f t="shared" si="89"/>
        <v>0</v>
      </c>
      <c r="J342" s="16">
        <f t="shared" si="90"/>
        <v>0</v>
      </c>
      <c r="K342" s="16">
        <f t="shared" si="91"/>
        <v>0</v>
      </c>
      <c r="L342" s="67">
        <f t="shared" si="92"/>
        <v>0</v>
      </c>
      <c r="M342" s="4">
        <f t="shared" si="93"/>
        <v>0</v>
      </c>
      <c r="N342" s="4">
        <f t="shared" si="94"/>
        <v>0</v>
      </c>
      <c r="O342" s="4">
        <f t="shared" si="95"/>
        <v>0</v>
      </c>
      <c r="P342" s="4" t="e">
        <f>VLOOKUP(AJ334,'CIR Team Info'!$C$5:$E$44,2,FALSE)</f>
        <v>#N/A</v>
      </c>
      <c r="Q342" s="4" t="e">
        <f>VLOOKUP(AJ334,'CIR Team Info'!$C$5:$E$44,3,FALSE)</f>
        <v>#N/A</v>
      </c>
      <c r="R342" s="10" t="e">
        <f>VLOOKUP(AJ334,'FRC Site Data'!$B$3:$L$42,2,FALSE)</f>
        <v>#N/A</v>
      </c>
      <c r="S342" s="10" t="e">
        <f>VLOOKUP(AJ334,'FRC Site Data'!$B$3:$L$42,3,FALSE)</f>
        <v>#N/A</v>
      </c>
      <c r="T342" s="10" t="e">
        <f>VLOOKUP(AJ334,'FRC Site Data'!$B$3:$L$42,4,FALSE)</f>
        <v>#N/A</v>
      </c>
      <c r="U342" s="10" t="e">
        <f>VLOOKUP(AJ334,'FRC Site Data'!$B$3:$L$42,5,FALSE)</f>
        <v>#N/A</v>
      </c>
      <c r="V342" s="10" t="e">
        <f>VLOOKUP(AJ334,'FRC Site Data'!$B$3:$L$42,6,FALSE)</f>
        <v>#N/A</v>
      </c>
      <c r="W342" s="10" t="e">
        <f>VLOOKUP(AJ334,'FRC Site Data'!$B$3:$L$42,8,FALSE)</f>
        <v>#N/A</v>
      </c>
      <c r="X342" s="10" t="e">
        <f>VLOOKUP(AJ334,'FRC Site Data'!$B$3:$L$42,9,FALSE)</f>
        <v>#N/A</v>
      </c>
      <c r="Y342" s="10" t="e">
        <f>VLOOKUP(AJ334,'FRC Site Data'!$B$3:$L$42,10,FALSE)</f>
        <v>#N/A</v>
      </c>
      <c r="Z342" s="10" t="e">
        <f>VLOOKUP(AJ334,'FRC Site Data'!$B$3:$L$42,11,FALSE)</f>
        <v>#N/A</v>
      </c>
      <c r="AA342" s="10" t="e">
        <f>VLOOKUP(AJ334,'CIR Team Info'!$C$5:$E$44,4,FALSE)</f>
        <v>#N/A</v>
      </c>
      <c r="AB342" s="161" t="b">
        <f>ISNUMBER(VLOOKUP(AJ334,Match!$T$5:$T$10,1,FALSE))</f>
        <v>0</v>
      </c>
      <c r="AC342" s="161" t="b">
        <f>IF(AB342=TRUE,(VLOOKUP($AJ334,Match!$T$5:$U$10,2,FALSE)))</f>
        <v>0</v>
      </c>
      <c r="AD342" s="8">
        <v>3</v>
      </c>
      <c r="AE342" s="8">
        <v>2</v>
      </c>
      <c r="AF342" s="8">
        <v>2</v>
      </c>
      <c r="AG342" s="8">
        <v>1</v>
      </c>
      <c r="AH342" s="8" t="str">
        <f t="shared" si="80"/>
        <v/>
      </c>
      <c r="AI342" s="12"/>
      <c r="AZ342" s="12"/>
      <c r="BC342" s="12"/>
      <c r="BK342" s="12"/>
    </row>
    <row r="343" spans="1:63" x14ac:dyDescent="0.25">
      <c r="A343" s="29">
        <f t="shared" si="81"/>
        <v>0</v>
      </c>
      <c r="B343" s="29">
        <f t="shared" si="83"/>
        <v>0</v>
      </c>
      <c r="C343" s="29">
        <f t="shared" si="84"/>
        <v>0</v>
      </c>
      <c r="D343" s="29">
        <f t="shared" si="85"/>
        <v>0</v>
      </c>
      <c r="E343" s="29">
        <f t="shared" si="82"/>
        <v>0</v>
      </c>
      <c r="F343" s="29">
        <f t="shared" si="86"/>
        <v>0</v>
      </c>
      <c r="G343" s="29" t="str">
        <f t="shared" si="87"/>
        <v>offensive</v>
      </c>
      <c r="H343" s="16">
        <f t="shared" si="88"/>
        <v>0</v>
      </c>
      <c r="I343" s="16">
        <f t="shared" si="89"/>
        <v>0</v>
      </c>
      <c r="J343" s="16">
        <f t="shared" si="90"/>
        <v>0</v>
      </c>
      <c r="K343" s="16">
        <f t="shared" si="91"/>
        <v>0</v>
      </c>
      <c r="L343" s="67">
        <f t="shared" si="92"/>
        <v>0</v>
      </c>
      <c r="M343" s="4">
        <f t="shared" si="93"/>
        <v>0</v>
      </c>
      <c r="N343" s="4">
        <f t="shared" si="94"/>
        <v>0</v>
      </c>
      <c r="O343" s="4">
        <f t="shared" si="95"/>
        <v>0</v>
      </c>
      <c r="P343" s="4" t="e">
        <f>VLOOKUP(AJ335,'CIR Team Info'!$C$5:$E$44,2,FALSE)</f>
        <v>#N/A</v>
      </c>
      <c r="Q343" s="4" t="e">
        <f>VLOOKUP(AJ335,'CIR Team Info'!$C$5:$E$44,3,FALSE)</f>
        <v>#N/A</v>
      </c>
      <c r="R343" s="10" t="e">
        <f>VLOOKUP(AJ335,'FRC Site Data'!$B$3:$L$42,2,FALSE)</f>
        <v>#N/A</v>
      </c>
      <c r="S343" s="10" t="e">
        <f>VLOOKUP(AJ335,'FRC Site Data'!$B$3:$L$42,3,FALSE)</f>
        <v>#N/A</v>
      </c>
      <c r="T343" s="10" t="e">
        <f>VLOOKUP(AJ335,'FRC Site Data'!$B$3:$L$42,4,FALSE)</f>
        <v>#N/A</v>
      </c>
      <c r="U343" s="10" t="e">
        <f>VLOOKUP(AJ335,'FRC Site Data'!$B$3:$L$42,5,FALSE)</f>
        <v>#N/A</v>
      </c>
      <c r="V343" s="10" t="e">
        <f>VLOOKUP(AJ335,'FRC Site Data'!$B$3:$L$42,6,FALSE)</f>
        <v>#N/A</v>
      </c>
      <c r="W343" s="10" t="e">
        <f>VLOOKUP(AJ335,'FRC Site Data'!$B$3:$L$42,8,FALSE)</f>
        <v>#N/A</v>
      </c>
      <c r="X343" s="10" t="e">
        <f>VLOOKUP(AJ335,'FRC Site Data'!$B$3:$L$42,9,FALSE)</f>
        <v>#N/A</v>
      </c>
      <c r="Y343" s="10" t="e">
        <f>VLOOKUP(AJ335,'FRC Site Data'!$B$3:$L$42,10,FALSE)</f>
        <v>#N/A</v>
      </c>
      <c r="Z343" s="10" t="e">
        <f>VLOOKUP(AJ335,'FRC Site Data'!$B$3:$L$42,11,FALSE)</f>
        <v>#N/A</v>
      </c>
      <c r="AA343" s="10" t="e">
        <f>VLOOKUP(AJ335,'CIR Team Info'!$C$5:$E$44,4,FALSE)</f>
        <v>#N/A</v>
      </c>
      <c r="AB343" s="161" t="b">
        <f>ISNUMBER(VLOOKUP(AJ335,Match!$T$5:$T$10,1,FALSE))</f>
        <v>0</v>
      </c>
      <c r="AC343" s="161" t="b">
        <f>IF(AB343=TRUE,(VLOOKUP($AJ335,Match!$T$5:$U$10,2,FALSE)))</f>
        <v>0</v>
      </c>
      <c r="AD343" s="8">
        <v>3</v>
      </c>
      <c r="AE343" s="8">
        <v>2</v>
      </c>
      <c r="AF343" s="8">
        <v>2</v>
      </c>
      <c r="AG343" s="8">
        <v>1</v>
      </c>
      <c r="AH343" s="8" t="str">
        <f t="shared" si="80"/>
        <v/>
      </c>
      <c r="AI343" s="12"/>
      <c r="AZ343" s="12"/>
      <c r="BC343" s="12"/>
      <c r="BK343" s="12"/>
    </row>
    <row r="344" spans="1:63" x14ac:dyDescent="0.25">
      <c r="A344" s="29">
        <f t="shared" si="81"/>
        <v>0</v>
      </c>
      <c r="B344" s="29">
        <f t="shared" si="83"/>
        <v>0</v>
      </c>
      <c r="C344" s="29">
        <f t="shared" si="84"/>
        <v>0</v>
      </c>
      <c r="D344" s="29">
        <f t="shared" si="85"/>
        <v>0</v>
      </c>
      <c r="E344" s="29">
        <f t="shared" si="82"/>
        <v>0</v>
      </c>
      <c r="F344" s="29">
        <f t="shared" si="86"/>
        <v>0</v>
      </c>
      <c r="G344" s="29" t="str">
        <f t="shared" si="87"/>
        <v>offensive</v>
      </c>
      <c r="H344" s="16">
        <f t="shared" si="88"/>
        <v>0</v>
      </c>
      <c r="I344" s="16">
        <f t="shared" si="89"/>
        <v>0</v>
      </c>
      <c r="J344" s="16">
        <f t="shared" si="90"/>
        <v>0</v>
      </c>
      <c r="K344" s="16">
        <f t="shared" si="91"/>
        <v>0</v>
      </c>
      <c r="L344" s="67">
        <f t="shared" si="92"/>
        <v>0</v>
      </c>
      <c r="M344" s="4">
        <f t="shared" si="93"/>
        <v>0</v>
      </c>
      <c r="N344" s="4">
        <f t="shared" si="94"/>
        <v>0</v>
      </c>
      <c r="O344" s="4">
        <f t="shared" si="95"/>
        <v>0</v>
      </c>
      <c r="P344" s="4" t="e">
        <f>VLOOKUP(AJ336,'CIR Team Info'!$C$5:$E$44,2,FALSE)</f>
        <v>#N/A</v>
      </c>
      <c r="Q344" s="4" t="e">
        <f>VLOOKUP(AJ336,'CIR Team Info'!$C$5:$E$44,3,FALSE)</f>
        <v>#N/A</v>
      </c>
      <c r="R344" s="10" t="e">
        <f>VLOOKUP(AJ336,'FRC Site Data'!$B$3:$L$42,2,FALSE)</f>
        <v>#N/A</v>
      </c>
      <c r="S344" s="10" t="e">
        <f>VLOOKUP(AJ336,'FRC Site Data'!$B$3:$L$42,3,FALSE)</f>
        <v>#N/A</v>
      </c>
      <c r="T344" s="10" t="e">
        <f>VLOOKUP(AJ336,'FRC Site Data'!$B$3:$L$42,4,FALSE)</f>
        <v>#N/A</v>
      </c>
      <c r="U344" s="10" t="e">
        <f>VLOOKUP(AJ336,'FRC Site Data'!$B$3:$L$42,5,FALSE)</f>
        <v>#N/A</v>
      </c>
      <c r="V344" s="10" t="e">
        <f>VLOOKUP(AJ336,'FRC Site Data'!$B$3:$L$42,6,FALSE)</f>
        <v>#N/A</v>
      </c>
      <c r="W344" s="10" t="e">
        <f>VLOOKUP(AJ336,'FRC Site Data'!$B$3:$L$42,8,FALSE)</f>
        <v>#N/A</v>
      </c>
      <c r="X344" s="10" t="e">
        <f>VLOOKUP(AJ336,'FRC Site Data'!$B$3:$L$42,9,FALSE)</f>
        <v>#N/A</v>
      </c>
      <c r="Y344" s="10" t="e">
        <f>VLOOKUP(AJ336,'FRC Site Data'!$B$3:$L$42,10,FALSE)</f>
        <v>#N/A</v>
      </c>
      <c r="Z344" s="10" t="e">
        <f>VLOOKUP(AJ336,'FRC Site Data'!$B$3:$L$42,11,FALSE)</f>
        <v>#N/A</v>
      </c>
      <c r="AA344" s="10" t="e">
        <f>VLOOKUP(AJ336,'CIR Team Info'!$C$5:$E$44,4,FALSE)</f>
        <v>#N/A</v>
      </c>
      <c r="AB344" s="161" t="b">
        <f>ISNUMBER(VLOOKUP(AJ336,Match!$T$5:$T$10,1,FALSE))</f>
        <v>0</v>
      </c>
      <c r="AC344" s="161" t="b">
        <f>IF(AB344=TRUE,(VLOOKUP($AJ336,Match!$T$5:$U$10,2,FALSE)))</f>
        <v>0</v>
      </c>
      <c r="AD344" s="8">
        <v>3</v>
      </c>
      <c r="AE344" s="8">
        <v>2</v>
      </c>
      <c r="AF344" s="8">
        <v>2</v>
      </c>
      <c r="AG344" s="8">
        <v>1</v>
      </c>
      <c r="AH344" s="128" t="str">
        <f t="shared" si="80"/>
        <v/>
      </c>
      <c r="AI344" s="12"/>
      <c r="AZ344" s="12"/>
      <c r="BC344" s="12"/>
      <c r="BK344" s="12"/>
    </row>
    <row r="345" spans="1:63" x14ac:dyDescent="0.25">
      <c r="A345" s="29">
        <f t="shared" si="81"/>
        <v>0</v>
      </c>
      <c r="B345" s="29">
        <f t="shared" si="83"/>
        <v>0</v>
      </c>
      <c r="C345" s="29">
        <f t="shared" si="84"/>
        <v>0</v>
      </c>
      <c r="D345" s="29">
        <f t="shared" si="85"/>
        <v>0</v>
      </c>
      <c r="E345" s="29">
        <f t="shared" si="82"/>
        <v>0</v>
      </c>
      <c r="F345" s="29">
        <f t="shared" si="86"/>
        <v>0</v>
      </c>
      <c r="G345" s="29" t="str">
        <f t="shared" si="87"/>
        <v>offensive</v>
      </c>
      <c r="H345" s="16">
        <f t="shared" si="88"/>
        <v>0</v>
      </c>
      <c r="I345" s="16">
        <f t="shared" si="89"/>
        <v>0</v>
      </c>
      <c r="J345" s="16">
        <f t="shared" si="90"/>
        <v>0</v>
      </c>
      <c r="K345" s="16">
        <f t="shared" si="91"/>
        <v>0</v>
      </c>
      <c r="L345" s="67">
        <f t="shared" si="92"/>
        <v>0</v>
      </c>
      <c r="M345" s="4">
        <f t="shared" si="93"/>
        <v>0</v>
      </c>
      <c r="N345" s="4">
        <f t="shared" si="94"/>
        <v>0</v>
      </c>
      <c r="O345" s="4">
        <f t="shared" si="95"/>
        <v>0</v>
      </c>
      <c r="P345" s="4" t="e">
        <f>VLOOKUP(AJ337,'CIR Team Info'!$C$5:$E$44,2,FALSE)</f>
        <v>#N/A</v>
      </c>
      <c r="Q345" s="4" t="e">
        <f>VLOOKUP(AJ337,'CIR Team Info'!$C$5:$E$44,3,FALSE)</f>
        <v>#N/A</v>
      </c>
      <c r="R345" s="10" t="e">
        <f>VLOOKUP(AJ337,'FRC Site Data'!$B$3:$L$42,2,FALSE)</f>
        <v>#N/A</v>
      </c>
      <c r="S345" s="10" t="e">
        <f>VLOOKUP(AJ337,'FRC Site Data'!$B$3:$L$42,3,FALSE)</f>
        <v>#N/A</v>
      </c>
      <c r="T345" s="10" t="e">
        <f>VLOOKUP(AJ337,'FRC Site Data'!$B$3:$L$42,4,FALSE)</f>
        <v>#N/A</v>
      </c>
      <c r="U345" s="10" t="e">
        <f>VLOOKUP(AJ337,'FRC Site Data'!$B$3:$L$42,5,FALSE)</f>
        <v>#N/A</v>
      </c>
      <c r="V345" s="10" t="e">
        <f>VLOOKUP(AJ337,'FRC Site Data'!$B$3:$L$42,6,FALSE)</f>
        <v>#N/A</v>
      </c>
      <c r="W345" s="10" t="e">
        <f>VLOOKUP(AJ337,'FRC Site Data'!$B$3:$L$42,8,FALSE)</f>
        <v>#N/A</v>
      </c>
      <c r="X345" s="10" t="e">
        <f>VLOOKUP(AJ337,'FRC Site Data'!$B$3:$L$42,9,FALSE)</f>
        <v>#N/A</v>
      </c>
      <c r="Y345" s="10" t="e">
        <f>VLOOKUP(AJ337,'FRC Site Data'!$B$3:$L$42,10,FALSE)</f>
        <v>#N/A</v>
      </c>
      <c r="Z345" s="10" t="e">
        <f>VLOOKUP(AJ337,'FRC Site Data'!$B$3:$L$42,11,FALSE)</f>
        <v>#N/A</v>
      </c>
      <c r="AA345" s="10" t="e">
        <f>VLOOKUP(AJ337,'CIR Team Info'!$C$5:$E$44,4,FALSE)</f>
        <v>#N/A</v>
      </c>
      <c r="AB345" s="161" t="b">
        <f>ISNUMBER(VLOOKUP(AJ337,Match!$T$5:$T$10,1,FALSE))</f>
        <v>0</v>
      </c>
      <c r="AC345" s="161" t="b">
        <f>IF(AB345=TRUE,(VLOOKUP($AJ337,Match!$T$5:$U$10,2,FALSE)))</f>
        <v>0</v>
      </c>
      <c r="AD345" s="8">
        <v>3</v>
      </c>
      <c r="AE345" s="8">
        <v>2</v>
      </c>
      <c r="AF345" s="8">
        <v>2</v>
      </c>
      <c r="AG345" s="8">
        <v>1</v>
      </c>
      <c r="AH345" s="8" t="str">
        <f t="shared" si="80"/>
        <v/>
      </c>
      <c r="AI345" s="12"/>
      <c r="AZ345" s="12"/>
      <c r="BC345" s="12"/>
      <c r="BK345" s="12"/>
    </row>
    <row r="346" spans="1:63" x14ac:dyDescent="0.25">
      <c r="A346" s="29">
        <f t="shared" si="81"/>
        <v>0</v>
      </c>
      <c r="B346" s="29">
        <f t="shared" si="83"/>
        <v>0</v>
      </c>
      <c r="C346" s="29">
        <f t="shared" si="84"/>
        <v>0</v>
      </c>
      <c r="D346" s="29">
        <f t="shared" si="85"/>
        <v>0</v>
      </c>
      <c r="E346" s="29">
        <f t="shared" si="82"/>
        <v>0</v>
      </c>
      <c r="F346" s="29">
        <f t="shared" si="86"/>
        <v>0</v>
      </c>
      <c r="G346" s="29" t="str">
        <f t="shared" si="87"/>
        <v>offensive</v>
      </c>
      <c r="H346" s="16">
        <f t="shared" si="88"/>
        <v>0</v>
      </c>
      <c r="I346" s="16">
        <f t="shared" si="89"/>
        <v>0</v>
      </c>
      <c r="J346" s="16">
        <f t="shared" si="90"/>
        <v>0</v>
      </c>
      <c r="K346" s="16">
        <f t="shared" si="91"/>
        <v>0</v>
      </c>
      <c r="L346" s="67">
        <f t="shared" si="92"/>
        <v>0</v>
      </c>
      <c r="M346" s="4">
        <f t="shared" si="93"/>
        <v>0</v>
      </c>
      <c r="N346" s="4">
        <f t="shared" si="94"/>
        <v>0</v>
      </c>
      <c r="O346" s="4">
        <f t="shared" si="95"/>
        <v>0</v>
      </c>
      <c r="P346" s="4" t="e">
        <f>VLOOKUP(AJ338,'CIR Team Info'!$C$5:$E$44,2,FALSE)</f>
        <v>#N/A</v>
      </c>
      <c r="Q346" s="4" t="e">
        <f>VLOOKUP(AJ338,'CIR Team Info'!$C$5:$E$44,3,FALSE)</f>
        <v>#N/A</v>
      </c>
      <c r="R346" s="10" t="e">
        <f>VLOOKUP(AJ338,'FRC Site Data'!$B$3:$L$42,2,FALSE)</f>
        <v>#N/A</v>
      </c>
      <c r="S346" s="10" t="e">
        <f>VLOOKUP(AJ338,'FRC Site Data'!$B$3:$L$42,3,FALSE)</f>
        <v>#N/A</v>
      </c>
      <c r="T346" s="10" t="e">
        <f>VLOOKUP(AJ338,'FRC Site Data'!$B$3:$L$42,4,FALSE)</f>
        <v>#N/A</v>
      </c>
      <c r="U346" s="10" t="e">
        <f>VLOOKUP(AJ338,'FRC Site Data'!$B$3:$L$42,5,FALSE)</f>
        <v>#N/A</v>
      </c>
      <c r="V346" s="10" t="e">
        <f>VLOOKUP(AJ338,'FRC Site Data'!$B$3:$L$42,6,FALSE)</f>
        <v>#N/A</v>
      </c>
      <c r="W346" s="10" t="e">
        <f>VLOOKUP(AJ338,'FRC Site Data'!$B$3:$L$42,8,FALSE)</f>
        <v>#N/A</v>
      </c>
      <c r="X346" s="10" t="e">
        <f>VLOOKUP(AJ338,'FRC Site Data'!$B$3:$L$42,9,FALSE)</f>
        <v>#N/A</v>
      </c>
      <c r="Y346" s="10" t="e">
        <f>VLOOKUP(AJ338,'FRC Site Data'!$B$3:$L$42,10,FALSE)</f>
        <v>#N/A</v>
      </c>
      <c r="Z346" s="10" t="e">
        <f>VLOOKUP(AJ338,'FRC Site Data'!$B$3:$L$42,11,FALSE)</f>
        <v>#N/A</v>
      </c>
      <c r="AA346" s="10" t="e">
        <f>VLOOKUP(AJ338,'CIR Team Info'!$C$5:$E$44,4,FALSE)</f>
        <v>#N/A</v>
      </c>
      <c r="AB346" s="161" t="b">
        <f>ISNUMBER(VLOOKUP(AJ338,Match!$T$5:$T$10,1,FALSE))</f>
        <v>0</v>
      </c>
      <c r="AC346" s="161" t="b">
        <f>IF(AB346=TRUE,(VLOOKUP($AJ338,Match!$T$5:$U$10,2,FALSE)))</f>
        <v>0</v>
      </c>
      <c r="AD346" s="8">
        <v>3</v>
      </c>
      <c r="AE346" s="8">
        <v>2</v>
      </c>
      <c r="AF346" s="8">
        <v>2</v>
      </c>
      <c r="AG346" s="8">
        <v>1</v>
      </c>
      <c r="AH346" s="8" t="str">
        <f t="shared" si="80"/>
        <v/>
      </c>
      <c r="AI346" s="12"/>
      <c r="AZ346" s="12"/>
      <c r="BC346" s="12"/>
      <c r="BK346" s="12"/>
    </row>
    <row r="347" spans="1:63" x14ac:dyDescent="0.25">
      <c r="A347" s="29">
        <f t="shared" si="81"/>
        <v>0</v>
      </c>
      <c r="B347" s="29">
        <f t="shared" si="83"/>
        <v>0</v>
      </c>
      <c r="C347" s="29">
        <f t="shared" si="84"/>
        <v>0</v>
      </c>
      <c r="D347" s="29">
        <f t="shared" si="85"/>
        <v>0</v>
      </c>
      <c r="E347" s="29">
        <f t="shared" si="82"/>
        <v>0</v>
      </c>
      <c r="F347" s="29">
        <f t="shared" si="86"/>
        <v>0</v>
      </c>
      <c r="G347" s="29" t="str">
        <f t="shared" si="87"/>
        <v>offensive</v>
      </c>
      <c r="H347" s="16">
        <f t="shared" si="88"/>
        <v>0</v>
      </c>
      <c r="I347" s="16">
        <f t="shared" si="89"/>
        <v>0</v>
      </c>
      <c r="J347" s="16">
        <f t="shared" si="90"/>
        <v>0</v>
      </c>
      <c r="K347" s="16">
        <f t="shared" si="91"/>
        <v>0</v>
      </c>
      <c r="L347" s="67">
        <f t="shared" si="92"/>
        <v>0</v>
      </c>
      <c r="M347" s="4">
        <f t="shared" si="93"/>
        <v>0</v>
      </c>
      <c r="N347" s="4">
        <f t="shared" si="94"/>
        <v>0</v>
      </c>
      <c r="O347" s="4">
        <f t="shared" si="95"/>
        <v>0</v>
      </c>
      <c r="P347" s="4" t="e">
        <f>VLOOKUP(AJ339,'CIR Team Info'!$C$5:$E$44,2,FALSE)</f>
        <v>#N/A</v>
      </c>
      <c r="Q347" s="4" t="e">
        <f>VLOOKUP(AJ339,'CIR Team Info'!$C$5:$E$44,3,FALSE)</f>
        <v>#N/A</v>
      </c>
      <c r="R347" s="10" t="e">
        <f>VLOOKUP(AJ339,'FRC Site Data'!$B$3:$L$42,2,FALSE)</f>
        <v>#N/A</v>
      </c>
      <c r="S347" s="10" t="e">
        <f>VLOOKUP(AJ339,'FRC Site Data'!$B$3:$L$42,3,FALSE)</f>
        <v>#N/A</v>
      </c>
      <c r="T347" s="10" t="e">
        <f>VLOOKUP(AJ339,'FRC Site Data'!$B$3:$L$42,4,FALSE)</f>
        <v>#N/A</v>
      </c>
      <c r="U347" s="10" t="e">
        <f>VLOOKUP(AJ339,'FRC Site Data'!$B$3:$L$42,5,FALSE)</f>
        <v>#N/A</v>
      </c>
      <c r="V347" s="10" t="e">
        <f>VLOOKUP(AJ339,'FRC Site Data'!$B$3:$L$42,6,FALSE)</f>
        <v>#N/A</v>
      </c>
      <c r="W347" s="10" t="e">
        <f>VLOOKUP(AJ339,'FRC Site Data'!$B$3:$L$42,8,FALSE)</f>
        <v>#N/A</v>
      </c>
      <c r="X347" s="10" t="e">
        <f>VLOOKUP(AJ339,'FRC Site Data'!$B$3:$L$42,9,FALSE)</f>
        <v>#N/A</v>
      </c>
      <c r="Y347" s="10" t="e">
        <f>VLOOKUP(AJ339,'FRC Site Data'!$B$3:$L$42,10,FALSE)</f>
        <v>#N/A</v>
      </c>
      <c r="Z347" s="10" t="e">
        <f>VLOOKUP(AJ339,'FRC Site Data'!$B$3:$L$42,11,FALSE)</f>
        <v>#N/A</v>
      </c>
      <c r="AA347" s="10" t="e">
        <f>VLOOKUP(AJ339,'CIR Team Info'!$C$5:$E$44,4,FALSE)</f>
        <v>#N/A</v>
      </c>
      <c r="AB347" s="161" t="b">
        <f>ISNUMBER(VLOOKUP(AJ339,Match!$T$5:$T$10,1,FALSE))</f>
        <v>0</v>
      </c>
      <c r="AC347" s="161" t="b">
        <f>IF(AB347=TRUE,(VLOOKUP($AJ339,Match!$T$5:$U$10,2,FALSE)))</f>
        <v>0</v>
      </c>
      <c r="AD347" s="8">
        <v>3</v>
      </c>
      <c r="AE347" s="8">
        <v>2</v>
      </c>
      <c r="AF347" s="8">
        <v>2</v>
      </c>
      <c r="AG347" s="8">
        <v>1</v>
      </c>
      <c r="AH347" s="8" t="str">
        <f t="shared" ref="AH347:AH410" si="96">IF(AL339="Other","x","")</f>
        <v/>
      </c>
      <c r="AI347" s="12"/>
      <c r="AZ347" s="12"/>
      <c r="BC347" s="12"/>
      <c r="BK347" s="12"/>
    </row>
    <row r="348" spans="1:63" x14ac:dyDescent="0.25">
      <c r="A348" s="29">
        <f t="shared" si="81"/>
        <v>0</v>
      </c>
      <c r="B348" s="29">
        <f t="shared" si="83"/>
        <v>0</v>
      </c>
      <c r="C348" s="29">
        <f t="shared" si="84"/>
        <v>0</v>
      </c>
      <c r="D348" s="29">
        <f t="shared" si="85"/>
        <v>0</v>
      </c>
      <c r="E348" s="29">
        <f t="shared" si="82"/>
        <v>0</v>
      </c>
      <c r="F348" s="29">
        <f t="shared" si="86"/>
        <v>0</v>
      </c>
      <c r="G348" s="29" t="str">
        <f t="shared" si="87"/>
        <v>offensive</v>
      </c>
      <c r="H348" s="16">
        <f t="shared" si="88"/>
        <v>0</v>
      </c>
      <c r="I348" s="16">
        <f t="shared" si="89"/>
        <v>0</v>
      </c>
      <c r="J348" s="16">
        <f t="shared" si="90"/>
        <v>0</v>
      </c>
      <c r="K348" s="16">
        <f t="shared" si="91"/>
        <v>0</v>
      </c>
      <c r="L348" s="67">
        <f t="shared" si="92"/>
        <v>0</v>
      </c>
      <c r="M348" s="4">
        <f t="shared" si="93"/>
        <v>0</v>
      </c>
      <c r="N348" s="4">
        <f t="shared" si="94"/>
        <v>0</v>
      </c>
      <c r="O348" s="4">
        <f t="shared" si="95"/>
        <v>0</v>
      </c>
      <c r="P348" s="4" t="e">
        <f>VLOOKUP(AJ340,'CIR Team Info'!$C$5:$E$44,2,FALSE)</f>
        <v>#N/A</v>
      </c>
      <c r="Q348" s="4" t="e">
        <f>VLOOKUP(AJ340,'CIR Team Info'!$C$5:$E$44,3,FALSE)</f>
        <v>#N/A</v>
      </c>
      <c r="R348" s="10" t="e">
        <f>VLOOKUP(AJ340,'FRC Site Data'!$B$3:$L$42,2,FALSE)</f>
        <v>#N/A</v>
      </c>
      <c r="S348" s="10" t="e">
        <f>VLOOKUP(AJ340,'FRC Site Data'!$B$3:$L$42,3,FALSE)</f>
        <v>#N/A</v>
      </c>
      <c r="T348" s="10" t="e">
        <f>VLOOKUP(AJ340,'FRC Site Data'!$B$3:$L$42,4,FALSE)</f>
        <v>#N/A</v>
      </c>
      <c r="U348" s="10" t="e">
        <f>VLOOKUP(AJ340,'FRC Site Data'!$B$3:$L$42,5,FALSE)</f>
        <v>#N/A</v>
      </c>
      <c r="V348" s="10" t="e">
        <f>VLOOKUP(AJ340,'FRC Site Data'!$B$3:$L$42,6,FALSE)</f>
        <v>#N/A</v>
      </c>
      <c r="W348" s="10" t="e">
        <f>VLOOKUP(AJ340,'FRC Site Data'!$B$3:$L$42,8,FALSE)</f>
        <v>#N/A</v>
      </c>
      <c r="X348" s="10" t="e">
        <f>VLOOKUP(AJ340,'FRC Site Data'!$B$3:$L$42,9,FALSE)</f>
        <v>#N/A</v>
      </c>
      <c r="Y348" s="10" t="e">
        <f>VLOOKUP(AJ340,'FRC Site Data'!$B$3:$L$42,10,FALSE)</f>
        <v>#N/A</v>
      </c>
      <c r="Z348" s="10" t="e">
        <f>VLOOKUP(AJ340,'FRC Site Data'!$B$3:$L$42,11,FALSE)</f>
        <v>#N/A</v>
      </c>
      <c r="AA348" s="10" t="e">
        <f>VLOOKUP(AJ340,'CIR Team Info'!$C$5:$E$44,4,FALSE)</f>
        <v>#N/A</v>
      </c>
      <c r="AB348" s="161" t="b">
        <f>ISNUMBER(VLOOKUP(AJ340,Match!$T$5:$T$10,1,FALSE))</f>
        <v>0</v>
      </c>
      <c r="AC348" s="161" t="b">
        <f>IF(AB348=TRUE,(VLOOKUP($AJ340,Match!$T$5:$U$10,2,FALSE)))</f>
        <v>0</v>
      </c>
      <c r="AD348" s="8">
        <v>3</v>
      </c>
      <c r="AE348" s="8">
        <v>2</v>
      </c>
      <c r="AF348" s="8">
        <v>2</v>
      </c>
      <c r="AG348" s="8">
        <v>1</v>
      </c>
      <c r="AH348" s="8" t="str">
        <f t="shared" si="96"/>
        <v/>
      </c>
      <c r="AI348" s="12"/>
      <c r="AZ348" s="12"/>
      <c r="BC348" s="12"/>
      <c r="BK348" s="12"/>
    </row>
    <row r="349" spans="1:63" x14ac:dyDescent="0.25">
      <c r="A349" s="29">
        <f t="shared" si="81"/>
        <v>0</v>
      </c>
      <c r="B349" s="29">
        <f t="shared" si="83"/>
        <v>0</v>
      </c>
      <c r="C349" s="29">
        <f t="shared" si="84"/>
        <v>0</v>
      </c>
      <c r="D349" s="29">
        <f t="shared" si="85"/>
        <v>0</v>
      </c>
      <c r="E349" s="29">
        <f t="shared" si="82"/>
        <v>0</v>
      </c>
      <c r="F349" s="29">
        <f t="shared" si="86"/>
        <v>0</v>
      </c>
      <c r="G349" s="29" t="str">
        <f t="shared" si="87"/>
        <v>offensive</v>
      </c>
      <c r="H349" s="16">
        <f t="shared" si="88"/>
        <v>0</v>
      </c>
      <c r="I349" s="16">
        <f t="shared" si="89"/>
        <v>0</v>
      </c>
      <c r="J349" s="16">
        <f t="shared" si="90"/>
        <v>0</v>
      </c>
      <c r="K349" s="16">
        <f t="shared" si="91"/>
        <v>0</v>
      </c>
      <c r="L349" s="67">
        <f t="shared" si="92"/>
        <v>0</v>
      </c>
      <c r="M349" s="4">
        <f t="shared" si="93"/>
        <v>0</v>
      </c>
      <c r="N349" s="4">
        <f t="shared" si="94"/>
        <v>0</v>
      </c>
      <c r="O349" s="4">
        <f t="shared" si="95"/>
        <v>0</v>
      </c>
      <c r="P349" s="4" t="e">
        <f>VLOOKUP(AJ341,'CIR Team Info'!$C$5:$E$44,2,FALSE)</f>
        <v>#N/A</v>
      </c>
      <c r="Q349" s="4" t="e">
        <f>VLOOKUP(AJ341,'CIR Team Info'!$C$5:$E$44,3,FALSE)</f>
        <v>#N/A</v>
      </c>
      <c r="R349" s="10" t="e">
        <f>VLOOKUP(AJ341,'FRC Site Data'!$B$3:$L$42,2,FALSE)</f>
        <v>#N/A</v>
      </c>
      <c r="S349" s="10" t="e">
        <f>VLOOKUP(AJ341,'FRC Site Data'!$B$3:$L$42,3,FALSE)</f>
        <v>#N/A</v>
      </c>
      <c r="T349" s="10" t="e">
        <f>VLOOKUP(AJ341,'FRC Site Data'!$B$3:$L$42,4,FALSE)</f>
        <v>#N/A</v>
      </c>
      <c r="U349" s="10" t="e">
        <f>VLOOKUP(AJ341,'FRC Site Data'!$B$3:$L$42,5,FALSE)</f>
        <v>#N/A</v>
      </c>
      <c r="V349" s="10" t="e">
        <f>VLOOKUP(AJ341,'FRC Site Data'!$B$3:$L$42,6,FALSE)</f>
        <v>#N/A</v>
      </c>
      <c r="W349" s="10" t="e">
        <f>VLOOKUP(AJ341,'FRC Site Data'!$B$3:$L$42,8,FALSE)</f>
        <v>#N/A</v>
      </c>
      <c r="X349" s="10" t="e">
        <f>VLOOKUP(AJ341,'FRC Site Data'!$B$3:$L$42,9,FALSE)</f>
        <v>#N/A</v>
      </c>
      <c r="Y349" s="10" t="e">
        <f>VLOOKUP(AJ341,'FRC Site Data'!$B$3:$L$42,10,FALSE)</f>
        <v>#N/A</v>
      </c>
      <c r="Z349" s="10" t="e">
        <f>VLOOKUP(AJ341,'FRC Site Data'!$B$3:$L$42,11,FALSE)</f>
        <v>#N/A</v>
      </c>
      <c r="AA349" s="10" t="e">
        <f>VLOOKUP(AJ341,'CIR Team Info'!$C$5:$E$44,4,FALSE)</f>
        <v>#N/A</v>
      </c>
      <c r="AB349" s="161" t="b">
        <f>ISNUMBER(VLOOKUP(AJ341,Match!$T$5:$T$10,1,FALSE))</f>
        <v>0</v>
      </c>
      <c r="AC349" s="161" t="b">
        <f>IF(AB349=TRUE,(VLOOKUP($AJ341,Match!$T$5:$U$10,2,FALSE)))</f>
        <v>0</v>
      </c>
      <c r="AD349" s="8">
        <v>3</v>
      </c>
      <c r="AE349" s="8">
        <v>2</v>
      </c>
      <c r="AF349" s="8">
        <v>2</v>
      </c>
      <c r="AG349" s="8">
        <v>1</v>
      </c>
      <c r="AH349" s="8" t="str">
        <f t="shared" si="96"/>
        <v/>
      </c>
      <c r="AI349" s="12"/>
      <c r="AZ349" s="12"/>
      <c r="BC349" s="12"/>
      <c r="BK349" s="12"/>
    </row>
    <row r="350" spans="1:63" x14ac:dyDescent="0.25">
      <c r="A350" s="29">
        <f t="shared" si="81"/>
        <v>0</v>
      </c>
      <c r="B350" s="29">
        <f t="shared" si="83"/>
        <v>0</v>
      </c>
      <c r="C350" s="29">
        <f t="shared" si="84"/>
        <v>0</v>
      </c>
      <c r="D350" s="29">
        <f t="shared" si="85"/>
        <v>0</v>
      </c>
      <c r="E350" s="29">
        <f t="shared" si="82"/>
        <v>0</v>
      </c>
      <c r="F350" s="29">
        <f t="shared" si="86"/>
        <v>0</v>
      </c>
      <c r="G350" s="29" t="str">
        <f t="shared" si="87"/>
        <v>offensive</v>
      </c>
      <c r="H350" s="16">
        <f t="shared" si="88"/>
        <v>0</v>
      </c>
      <c r="I350" s="16">
        <f t="shared" si="89"/>
        <v>0</v>
      </c>
      <c r="J350" s="16">
        <f t="shared" si="90"/>
        <v>0</v>
      </c>
      <c r="K350" s="16">
        <f t="shared" si="91"/>
        <v>0</v>
      </c>
      <c r="L350" s="67">
        <f t="shared" si="92"/>
        <v>0</v>
      </c>
      <c r="M350" s="4">
        <f t="shared" si="93"/>
        <v>0</v>
      </c>
      <c r="N350" s="4">
        <f t="shared" si="94"/>
        <v>0</v>
      </c>
      <c r="O350" s="4">
        <f t="shared" si="95"/>
        <v>0</v>
      </c>
      <c r="P350" s="4" t="e">
        <f>VLOOKUP(AJ342,'CIR Team Info'!$C$5:$E$44,2,FALSE)</f>
        <v>#N/A</v>
      </c>
      <c r="Q350" s="4" t="e">
        <f>VLOOKUP(AJ342,'CIR Team Info'!$C$5:$E$44,3,FALSE)</f>
        <v>#N/A</v>
      </c>
      <c r="R350" s="10" t="e">
        <f>VLOOKUP(AJ342,'FRC Site Data'!$B$3:$L$42,2,FALSE)</f>
        <v>#N/A</v>
      </c>
      <c r="S350" s="10" t="e">
        <f>VLOOKUP(AJ342,'FRC Site Data'!$B$3:$L$42,3,FALSE)</f>
        <v>#N/A</v>
      </c>
      <c r="T350" s="10" t="e">
        <f>VLOOKUP(AJ342,'FRC Site Data'!$B$3:$L$42,4,FALSE)</f>
        <v>#N/A</v>
      </c>
      <c r="U350" s="10" t="e">
        <f>VLOOKUP(AJ342,'FRC Site Data'!$B$3:$L$42,5,FALSE)</f>
        <v>#N/A</v>
      </c>
      <c r="V350" s="10" t="e">
        <f>VLOOKUP(AJ342,'FRC Site Data'!$B$3:$L$42,6,FALSE)</f>
        <v>#N/A</v>
      </c>
      <c r="W350" s="10" t="e">
        <f>VLOOKUP(AJ342,'FRC Site Data'!$B$3:$L$42,8,FALSE)</f>
        <v>#N/A</v>
      </c>
      <c r="X350" s="10" t="e">
        <f>VLOOKUP(AJ342,'FRC Site Data'!$B$3:$L$42,9,FALSE)</f>
        <v>#N/A</v>
      </c>
      <c r="Y350" s="10" t="e">
        <f>VLOOKUP(AJ342,'FRC Site Data'!$B$3:$L$42,10,FALSE)</f>
        <v>#N/A</v>
      </c>
      <c r="Z350" s="10" t="e">
        <f>VLOOKUP(AJ342,'FRC Site Data'!$B$3:$L$42,11,FALSE)</f>
        <v>#N/A</v>
      </c>
      <c r="AA350" s="10" t="e">
        <f>VLOOKUP(AJ342,'CIR Team Info'!$C$5:$E$44,4,FALSE)</f>
        <v>#N/A</v>
      </c>
      <c r="AB350" s="161" t="b">
        <f>ISNUMBER(VLOOKUP(AJ342,Match!$T$5:$T$10,1,FALSE))</f>
        <v>0</v>
      </c>
      <c r="AC350" s="161" t="b">
        <f>IF(AB350=TRUE,(VLOOKUP($AJ342,Match!$T$5:$U$10,2,FALSE)))</f>
        <v>0</v>
      </c>
      <c r="AD350" s="8">
        <v>3</v>
      </c>
      <c r="AE350" s="8">
        <v>2</v>
      </c>
      <c r="AF350" s="8">
        <v>2</v>
      </c>
      <c r="AG350" s="8">
        <v>1</v>
      </c>
      <c r="AH350" s="8" t="str">
        <f t="shared" si="96"/>
        <v/>
      </c>
      <c r="AI350" s="12"/>
      <c r="AZ350" s="12"/>
      <c r="BC350" s="12"/>
      <c r="BK350" s="12"/>
    </row>
    <row r="351" spans="1:63" x14ac:dyDescent="0.25">
      <c r="A351" s="29">
        <f t="shared" si="81"/>
        <v>0</v>
      </c>
      <c r="B351" s="29">
        <f t="shared" si="83"/>
        <v>0</v>
      </c>
      <c r="C351" s="29">
        <f t="shared" si="84"/>
        <v>0</v>
      </c>
      <c r="D351" s="29">
        <f t="shared" si="85"/>
        <v>0</v>
      </c>
      <c r="E351" s="29">
        <f t="shared" si="82"/>
        <v>0</v>
      </c>
      <c r="F351" s="29">
        <f t="shared" si="86"/>
        <v>0</v>
      </c>
      <c r="G351" s="29" t="str">
        <f t="shared" si="87"/>
        <v>offensive</v>
      </c>
      <c r="H351" s="16">
        <f t="shared" si="88"/>
        <v>0</v>
      </c>
      <c r="I351" s="16">
        <f t="shared" si="89"/>
        <v>0</v>
      </c>
      <c r="J351" s="16">
        <f t="shared" si="90"/>
        <v>0</v>
      </c>
      <c r="K351" s="16">
        <f t="shared" si="91"/>
        <v>0</v>
      </c>
      <c r="L351" s="67">
        <f t="shared" si="92"/>
        <v>0</v>
      </c>
      <c r="M351" s="4">
        <f t="shared" si="93"/>
        <v>0</v>
      </c>
      <c r="N351" s="4">
        <f t="shared" si="94"/>
        <v>0</v>
      </c>
      <c r="O351" s="4">
        <f t="shared" si="95"/>
        <v>0</v>
      </c>
      <c r="P351" s="4" t="e">
        <f>VLOOKUP(AJ343,'CIR Team Info'!$C$5:$E$44,2,FALSE)</f>
        <v>#N/A</v>
      </c>
      <c r="Q351" s="4" t="e">
        <f>VLOOKUP(AJ343,'CIR Team Info'!$C$5:$E$44,3,FALSE)</f>
        <v>#N/A</v>
      </c>
      <c r="R351" s="10" t="e">
        <f>VLOOKUP(AJ343,'FRC Site Data'!$B$3:$L$42,2,FALSE)</f>
        <v>#N/A</v>
      </c>
      <c r="S351" s="10" t="e">
        <f>VLOOKUP(AJ343,'FRC Site Data'!$B$3:$L$42,3,FALSE)</f>
        <v>#N/A</v>
      </c>
      <c r="T351" s="10" t="e">
        <f>VLOOKUP(AJ343,'FRC Site Data'!$B$3:$L$42,4,FALSE)</f>
        <v>#N/A</v>
      </c>
      <c r="U351" s="10" t="e">
        <f>VLOOKUP(AJ343,'FRC Site Data'!$B$3:$L$42,5,FALSE)</f>
        <v>#N/A</v>
      </c>
      <c r="V351" s="10" t="e">
        <f>VLOOKUP(AJ343,'FRC Site Data'!$B$3:$L$42,6,FALSE)</f>
        <v>#N/A</v>
      </c>
      <c r="W351" s="10" t="e">
        <f>VLOOKUP(AJ343,'FRC Site Data'!$B$3:$L$42,8,FALSE)</f>
        <v>#N/A</v>
      </c>
      <c r="X351" s="10" t="e">
        <f>VLOOKUP(AJ343,'FRC Site Data'!$B$3:$L$42,9,FALSE)</f>
        <v>#N/A</v>
      </c>
      <c r="Y351" s="10" t="e">
        <f>VLOOKUP(AJ343,'FRC Site Data'!$B$3:$L$42,10,FALSE)</f>
        <v>#N/A</v>
      </c>
      <c r="Z351" s="10" t="e">
        <f>VLOOKUP(AJ343,'FRC Site Data'!$B$3:$L$42,11,FALSE)</f>
        <v>#N/A</v>
      </c>
      <c r="AA351" s="10" t="e">
        <f>VLOOKUP(AJ343,'CIR Team Info'!$C$5:$E$44,4,FALSE)</f>
        <v>#N/A</v>
      </c>
      <c r="AB351" s="161" t="b">
        <f>ISNUMBER(VLOOKUP(AJ343,Match!$T$5:$T$10,1,FALSE))</f>
        <v>0</v>
      </c>
      <c r="AC351" s="161" t="b">
        <f>IF(AB351=TRUE,(VLOOKUP($AJ343,Match!$T$5:$U$10,2,FALSE)))</f>
        <v>0</v>
      </c>
      <c r="AD351" s="8">
        <v>3</v>
      </c>
      <c r="AE351" s="8">
        <v>2</v>
      </c>
      <c r="AF351" s="8">
        <v>2</v>
      </c>
      <c r="AG351" s="8">
        <v>1</v>
      </c>
      <c r="AH351" s="8" t="str">
        <f t="shared" si="96"/>
        <v/>
      </c>
      <c r="AI351" s="12"/>
      <c r="AZ351" s="12"/>
      <c r="BC351" s="12"/>
      <c r="BK351" s="12"/>
    </row>
    <row r="352" spans="1:63" x14ac:dyDescent="0.25">
      <c r="A352" s="29">
        <f t="shared" si="81"/>
        <v>0</v>
      </c>
      <c r="B352" s="29">
        <f t="shared" si="83"/>
        <v>0</v>
      </c>
      <c r="C352" s="29">
        <f t="shared" si="84"/>
        <v>0</v>
      </c>
      <c r="D352" s="29">
        <f t="shared" si="85"/>
        <v>0</v>
      </c>
      <c r="E352" s="29">
        <f t="shared" si="82"/>
        <v>0</v>
      </c>
      <c r="F352" s="29">
        <f t="shared" si="86"/>
        <v>0</v>
      </c>
      <c r="G352" s="29" t="str">
        <f t="shared" si="87"/>
        <v>offensive</v>
      </c>
      <c r="H352" s="16">
        <f t="shared" si="88"/>
        <v>0</v>
      </c>
      <c r="I352" s="16">
        <f t="shared" si="89"/>
        <v>0</v>
      </c>
      <c r="J352" s="16">
        <f t="shared" si="90"/>
        <v>0</v>
      </c>
      <c r="K352" s="16">
        <f t="shared" si="91"/>
        <v>0</v>
      </c>
      <c r="L352" s="67">
        <f t="shared" si="92"/>
        <v>0</v>
      </c>
      <c r="M352" s="4">
        <f t="shared" si="93"/>
        <v>0</v>
      </c>
      <c r="N352" s="4">
        <f t="shared" si="94"/>
        <v>0</v>
      </c>
      <c r="O352" s="4">
        <f t="shared" si="95"/>
        <v>0</v>
      </c>
      <c r="P352" s="4" t="e">
        <f>VLOOKUP(AJ344,'CIR Team Info'!$C$5:$E$44,2,FALSE)</f>
        <v>#N/A</v>
      </c>
      <c r="Q352" s="4" t="e">
        <f>VLOOKUP(AJ344,'CIR Team Info'!$C$5:$E$44,3,FALSE)</f>
        <v>#N/A</v>
      </c>
      <c r="R352" s="10" t="e">
        <f>VLOOKUP(AJ344,'FRC Site Data'!$B$3:$L$42,2,FALSE)</f>
        <v>#N/A</v>
      </c>
      <c r="S352" s="10" t="e">
        <f>VLOOKUP(AJ344,'FRC Site Data'!$B$3:$L$42,3,FALSE)</f>
        <v>#N/A</v>
      </c>
      <c r="T352" s="10" t="e">
        <f>VLOOKUP(AJ344,'FRC Site Data'!$B$3:$L$42,4,FALSE)</f>
        <v>#N/A</v>
      </c>
      <c r="U352" s="10" t="e">
        <f>VLOOKUP(AJ344,'FRC Site Data'!$B$3:$L$42,5,FALSE)</f>
        <v>#N/A</v>
      </c>
      <c r="V352" s="10" t="e">
        <f>VLOOKUP(AJ344,'FRC Site Data'!$B$3:$L$42,6,FALSE)</f>
        <v>#N/A</v>
      </c>
      <c r="W352" s="10" t="e">
        <f>VLOOKUP(AJ344,'FRC Site Data'!$B$3:$L$42,8,FALSE)</f>
        <v>#N/A</v>
      </c>
      <c r="X352" s="10" t="e">
        <f>VLOOKUP(AJ344,'FRC Site Data'!$B$3:$L$42,9,FALSE)</f>
        <v>#N/A</v>
      </c>
      <c r="Y352" s="10" t="e">
        <f>VLOOKUP(AJ344,'FRC Site Data'!$B$3:$L$42,10,FALSE)</f>
        <v>#N/A</v>
      </c>
      <c r="Z352" s="10" t="e">
        <f>VLOOKUP(AJ344,'FRC Site Data'!$B$3:$L$42,11,FALSE)</f>
        <v>#N/A</v>
      </c>
      <c r="AA352" s="10" t="e">
        <f>VLOOKUP(AJ344,'CIR Team Info'!$C$5:$E$44,4,FALSE)</f>
        <v>#N/A</v>
      </c>
      <c r="AB352" s="161" t="b">
        <f>ISNUMBER(VLOOKUP(AJ344,Match!$T$5:$T$10,1,FALSE))</f>
        <v>0</v>
      </c>
      <c r="AC352" s="161" t="b">
        <f>IF(AB352=TRUE,(VLOOKUP($AJ344,Match!$T$5:$U$10,2,FALSE)))</f>
        <v>0</v>
      </c>
      <c r="AD352" s="8">
        <v>3</v>
      </c>
      <c r="AE352" s="8">
        <v>2</v>
      </c>
      <c r="AF352" s="8">
        <v>2</v>
      </c>
      <c r="AG352" s="8">
        <v>1</v>
      </c>
      <c r="AH352" s="8" t="str">
        <f t="shared" si="96"/>
        <v/>
      </c>
      <c r="AI352" s="12"/>
      <c r="AZ352" s="12"/>
      <c r="BC352" s="12"/>
      <c r="BK352" s="12"/>
    </row>
    <row r="353" spans="1:63" x14ac:dyDescent="0.25">
      <c r="A353" s="29">
        <f t="shared" si="81"/>
        <v>0</v>
      </c>
      <c r="B353" s="29">
        <f t="shared" si="83"/>
        <v>0</v>
      </c>
      <c r="C353" s="29">
        <f t="shared" si="84"/>
        <v>0</v>
      </c>
      <c r="D353" s="29">
        <f t="shared" si="85"/>
        <v>0</v>
      </c>
      <c r="E353" s="29">
        <f t="shared" si="82"/>
        <v>0</v>
      </c>
      <c r="F353" s="29">
        <f t="shared" si="86"/>
        <v>0</v>
      </c>
      <c r="G353" s="29" t="str">
        <f t="shared" si="87"/>
        <v>offensive</v>
      </c>
      <c r="H353" s="16">
        <f t="shared" si="88"/>
        <v>0</v>
      </c>
      <c r="I353" s="16">
        <f t="shared" si="89"/>
        <v>0</v>
      </c>
      <c r="J353" s="16">
        <f t="shared" si="90"/>
        <v>0</v>
      </c>
      <c r="K353" s="16">
        <f t="shared" si="91"/>
        <v>0</v>
      </c>
      <c r="L353" s="67">
        <f t="shared" si="92"/>
        <v>0</v>
      </c>
      <c r="M353" s="4">
        <f t="shared" si="93"/>
        <v>0</v>
      </c>
      <c r="N353" s="4">
        <f t="shared" si="94"/>
        <v>0</v>
      </c>
      <c r="O353" s="4">
        <f t="shared" si="95"/>
        <v>0</v>
      </c>
      <c r="P353" s="4" t="e">
        <f>VLOOKUP(AJ345,'CIR Team Info'!$C$5:$E$44,2,FALSE)</f>
        <v>#N/A</v>
      </c>
      <c r="Q353" s="4" t="e">
        <f>VLOOKUP(AJ345,'CIR Team Info'!$C$5:$E$44,3,FALSE)</f>
        <v>#N/A</v>
      </c>
      <c r="R353" s="10" t="e">
        <f>VLOOKUP(AJ345,'FRC Site Data'!$B$3:$L$42,2,FALSE)</f>
        <v>#N/A</v>
      </c>
      <c r="S353" s="10" t="e">
        <f>VLOOKUP(AJ345,'FRC Site Data'!$B$3:$L$42,3,FALSE)</f>
        <v>#N/A</v>
      </c>
      <c r="T353" s="10" t="e">
        <f>VLOOKUP(AJ345,'FRC Site Data'!$B$3:$L$42,4,FALSE)</f>
        <v>#N/A</v>
      </c>
      <c r="U353" s="10" t="e">
        <f>VLOOKUP(AJ345,'FRC Site Data'!$B$3:$L$42,5,FALSE)</f>
        <v>#N/A</v>
      </c>
      <c r="V353" s="10" t="e">
        <f>VLOOKUP(AJ345,'FRC Site Data'!$B$3:$L$42,6,FALSE)</f>
        <v>#N/A</v>
      </c>
      <c r="W353" s="10" t="e">
        <f>VLOOKUP(AJ345,'FRC Site Data'!$B$3:$L$42,8,FALSE)</f>
        <v>#N/A</v>
      </c>
      <c r="X353" s="10" t="e">
        <f>VLOOKUP(AJ345,'FRC Site Data'!$B$3:$L$42,9,FALSE)</f>
        <v>#N/A</v>
      </c>
      <c r="Y353" s="10" t="e">
        <f>VLOOKUP(AJ345,'FRC Site Data'!$B$3:$L$42,10,FALSE)</f>
        <v>#N/A</v>
      </c>
      <c r="Z353" s="10" t="e">
        <f>VLOOKUP(AJ345,'FRC Site Data'!$B$3:$L$42,11,FALSE)</f>
        <v>#N/A</v>
      </c>
      <c r="AA353" s="10" t="e">
        <f>VLOOKUP(AJ345,'CIR Team Info'!$C$5:$E$44,4,FALSE)</f>
        <v>#N/A</v>
      </c>
      <c r="AB353" s="161" t="b">
        <f>ISNUMBER(VLOOKUP(AJ345,Match!$T$5:$T$10,1,FALSE))</f>
        <v>0</v>
      </c>
      <c r="AC353" s="161" t="b">
        <f>IF(AB353=TRUE,(VLOOKUP($AJ345,Match!$T$5:$U$10,2,FALSE)))</f>
        <v>0</v>
      </c>
      <c r="AD353" s="8">
        <v>3</v>
      </c>
      <c r="AE353" s="8">
        <v>2</v>
      </c>
      <c r="AF353" s="8">
        <v>2</v>
      </c>
      <c r="AG353" s="8">
        <v>1</v>
      </c>
      <c r="AH353" s="8" t="str">
        <f t="shared" si="96"/>
        <v/>
      </c>
      <c r="AI353" s="12"/>
      <c r="AZ353" s="12"/>
      <c r="BC353" s="12"/>
      <c r="BK353" s="12"/>
    </row>
    <row r="354" spans="1:63" x14ac:dyDescent="0.25">
      <c r="A354" s="29">
        <f t="shared" si="81"/>
        <v>0</v>
      </c>
      <c r="B354" s="29">
        <f t="shared" si="83"/>
        <v>0</v>
      </c>
      <c r="C354" s="29">
        <f t="shared" si="84"/>
        <v>0</v>
      </c>
      <c r="D354" s="29">
        <f t="shared" si="85"/>
        <v>0</v>
      </c>
      <c r="E354" s="29">
        <f t="shared" si="82"/>
        <v>0</v>
      </c>
      <c r="F354" s="29">
        <f t="shared" si="86"/>
        <v>0</v>
      </c>
      <c r="G354" s="29" t="str">
        <f t="shared" si="87"/>
        <v>offensive</v>
      </c>
      <c r="H354" s="16">
        <f t="shared" si="88"/>
        <v>0</v>
      </c>
      <c r="I354" s="16">
        <f t="shared" si="89"/>
        <v>0</v>
      </c>
      <c r="J354" s="16">
        <f t="shared" si="90"/>
        <v>0</v>
      </c>
      <c r="K354" s="16">
        <f t="shared" si="91"/>
        <v>0</v>
      </c>
      <c r="L354" s="67">
        <f t="shared" si="92"/>
        <v>0</v>
      </c>
      <c r="M354" s="4">
        <f t="shared" si="93"/>
        <v>0</v>
      </c>
      <c r="N354" s="4">
        <f t="shared" si="94"/>
        <v>0</v>
      </c>
      <c r="O354" s="4">
        <f t="shared" si="95"/>
        <v>0</v>
      </c>
      <c r="P354" s="4" t="e">
        <f>VLOOKUP(AJ346,'CIR Team Info'!$C$5:$E$44,2,FALSE)</f>
        <v>#N/A</v>
      </c>
      <c r="Q354" s="4" t="e">
        <f>VLOOKUP(AJ346,'CIR Team Info'!$C$5:$E$44,3,FALSE)</f>
        <v>#N/A</v>
      </c>
      <c r="R354" s="10" t="e">
        <f>VLOOKUP(AJ346,'FRC Site Data'!$B$3:$L$42,2,FALSE)</f>
        <v>#N/A</v>
      </c>
      <c r="S354" s="10" t="e">
        <f>VLOOKUP(AJ346,'FRC Site Data'!$B$3:$L$42,3,FALSE)</f>
        <v>#N/A</v>
      </c>
      <c r="T354" s="10" t="e">
        <f>VLOOKUP(AJ346,'FRC Site Data'!$B$3:$L$42,4,FALSE)</f>
        <v>#N/A</v>
      </c>
      <c r="U354" s="10" t="e">
        <f>VLOOKUP(AJ346,'FRC Site Data'!$B$3:$L$42,5,FALSE)</f>
        <v>#N/A</v>
      </c>
      <c r="V354" s="10" t="e">
        <f>VLOOKUP(AJ346,'FRC Site Data'!$B$3:$L$42,6,FALSE)</f>
        <v>#N/A</v>
      </c>
      <c r="W354" s="10" t="e">
        <f>VLOOKUP(AJ346,'FRC Site Data'!$B$3:$L$42,8,FALSE)</f>
        <v>#N/A</v>
      </c>
      <c r="X354" s="10" t="e">
        <f>VLOOKUP(AJ346,'FRC Site Data'!$B$3:$L$42,9,FALSE)</f>
        <v>#N/A</v>
      </c>
      <c r="Y354" s="10" t="e">
        <f>VLOOKUP(AJ346,'FRC Site Data'!$B$3:$L$42,10,FALSE)</f>
        <v>#N/A</v>
      </c>
      <c r="Z354" s="10" t="e">
        <f>VLOOKUP(AJ346,'FRC Site Data'!$B$3:$L$42,11,FALSE)</f>
        <v>#N/A</v>
      </c>
      <c r="AA354" s="10" t="e">
        <f>VLOOKUP(AJ346,'CIR Team Info'!$C$5:$E$44,4,FALSE)</f>
        <v>#N/A</v>
      </c>
      <c r="AB354" s="161" t="b">
        <f>ISNUMBER(VLOOKUP(AJ346,Match!$T$5:$T$10,1,FALSE))</f>
        <v>0</v>
      </c>
      <c r="AC354" s="161" t="b">
        <f>IF(AB354=TRUE,(VLOOKUP($AJ346,Match!$T$5:$U$10,2,FALSE)))</f>
        <v>0</v>
      </c>
      <c r="AD354" s="8">
        <v>3</v>
      </c>
      <c r="AE354" s="8">
        <v>2</v>
      </c>
      <c r="AF354" s="8">
        <v>2</v>
      </c>
      <c r="AG354" s="8">
        <v>1</v>
      </c>
      <c r="AH354" s="8" t="str">
        <f t="shared" si="96"/>
        <v/>
      </c>
      <c r="AI354" s="12"/>
      <c r="AZ354" s="12"/>
      <c r="BC354" s="12"/>
      <c r="BK354" s="12"/>
    </row>
    <row r="355" spans="1:63" x14ac:dyDescent="0.25">
      <c r="A355" s="29">
        <f t="shared" si="81"/>
        <v>0</v>
      </c>
      <c r="B355" s="29">
        <f t="shared" si="83"/>
        <v>0</v>
      </c>
      <c r="C355" s="29">
        <f t="shared" si="84"/>
        <v>0</v>
      </c>
      <c r="D355" s="29">
        <f t="shared" si="85"/>
        <v>0</v>
      </c>
      <c r="E355" s="29">
        <f t="shared" si="82"/>
        <v>0</v>
      </c>
      <c r="F355" s="29">
        <f t="shared" si="86"/>
        <v>0</v>
      </c>
      <c r="G355" s="29" t="str">
        <f t="shared" si="87"/>
        <v>offensive</v>
      </c>
      <c r="H355" s="16">
        <f t="shared" si="88"/>
        <v>0</v>
      </c>
      <c r="I355" s="16">
        <f t="shared" si="89"/>
        <v>0</v>
      </c>
      <c r="J355" s="16">
        <f t="shared" si="90"/>
        <v>0</v>
      </c>
      <c r="K355" s="16">
        <f t="shared" si="91"/>
        <v>0</v>
      </c>
      <c r="L355" s="67">
        <f t="shared" si="92"/>
        <v>0</v>
      </c>
      <c r="M355" s="4">
        <f t="shared" si="93"/>
        <v>0</v>
      </c>
      <c r="N355" s="4">
        <f t="shared" si="94"/>
        <v>0</v>
      </c>
      <c r="O355" s="4">
        <f t="shared" si="95"/>
        <v>0</v>
      </c>
      <c r="P355" s="4" t="e">
        <f>VLOOKUP(AJ347,'CIR Team Info'!$C$5:$E$44,2,FALSE)</f>
        <v>#N/A</v>
      </c>
      <c r="Q355" s="4" t="e">
        <f>VLOOKUP(AJ347,'CIR Team Info'!$C$5:$E$44,3,FALSE)</f>
        <v>#N/A</v>
      </c>
      <c r="R355" s="10" t="e">
        <f>VLOOKUP(AJ347,'FRC Site Data'!$B$3:$L$42,2,FALSE)</f>
        <v>#N/A</v>
      </c>
      <c r="S355" s="10" t="e">
        <f>VLOOKUP(AJ347,'FRC Site Data'!$B$3:$L$42,3,FALSE)</f>
        <v>#N/A</v>
      </c>
      <c r="T355" s="10" t="e">
        <f>VLOOKUP(AJ347,'FRC Site Data'!$B$3:$L$42,4,FALSE)</f>
        <v>#N/A</v>
      </c>
      <c r="U355" s="10" t="e">
        <f>VLOOKUP(AJ347,'FRC Site Data'!$B$3:$L$42,5,FALSE)</f>
        <v>#N/A</v>
      </c>
      <c r="V355" s="10" t="e">
        <f>VLOOKUP(AJ347,'FRC Site Data'!$B$3:$L$42,6,FALSE)</f>
        <v>#N/A</v>
      </c>
      <c r="W355" s="10" t="e">
        <f>VLOOKUP(AJ347,'FRC Site Data'!$B$3:$L$42,8,FALSE)</f>
        <v>#N/A</v>
      </c>
      <c r="X355" s="10" t="e">
        <f>VLOOKUP(AJ347,'FRC Site Data'!$B$3:$L$42,9,FALSE)</f>
        <v>#N/A</v>
      </c>
      <c r="Y355" s="10" t="e">
        <f>VLOOKUP(AJ347,'FRC Site Data'!$B$3:$L$42,10,FALSE)</f>
        <v>#N/A</v>
      </c>
      <c r="Z355" s="10" t="e">
        <f>VLOOKUP(AJ347,'FRC Site Data'!$B$3:$L$42,11,FALSE)</f>
        <v>#N/A</v>
      </c>
      <c r="AA355" s="10" t="e">
        <f>VLOOKUP(AJ347,'CIR Team Info'!$C$5:$E$44,4,FALSE)</f>
        <v>#N/A</v>
      </c>
      <c r="AB355" s="161" t="b">
        <f>ISNUMBER(VLOOKUP(AJ347,Match!$T$5:$T$10,1,FALSE))</f>
        <v>0</v>
      </c>
      <c r="AC355" s="161" t="b">
        <f>IF(AB355=TRUE,(VLOOKUP($AJ347,Match!$T$5:$U$10,2,FALSE)))</f>
        <v>0</v>
      </c>
      <c r="AD355" s="8">
        <v>3</v>
      </c>
      <c r="AE355" s="8">
        <v>2</v>
      </c>
      <c r="AF355" s="8">
        <v>2</v>
      </c>
      <c r="AG355" s="8">
        <v>1</v>
      </c>
      <c r="AH355" s="8" t="str">
        <f t="shared" si="96"/>
        <v/>
      </c>
      <c r="AI355" s="12"/>
      <c r="AZ355" s="12"/>
      <c r="BC355" s="12"/>
      <c r="BK355" s="12"/>
    </row>
    <row r="356" spans="1:63" x14ac:dyDescent="0.25">
      <c r="A356" s="29">
        <f t="shared" si="81"/>
        <v>0</v>
      </c>
      <c r="B356" s="29">
        <f t="shared" si="83"/>
        <v>0</v>
      </c>
      <c r="C356" s="29">
        <f t="shared" si="84"/>
        <v>0</v>
      </c>
      <c r="D356" s="29">
        <f t="shared" si="85"/>
        <v>0</v>
      </c>
      <c r="E356" s="29">
        <f t="shared" si="82"/>
        <v>0</v>
      </c>
      <c r="F356" s="29">
        <f t="shared" si="86"/>
        <v>0</v>
      </c>
      <c r="G356" s="29" t="str">
        <f t="shared" si="87"/>
        <v>offensive</v>
      </c>
      <c r="H356" s="16">
        <f t="shared" si="88"/>
        <v>0</v>
      </c>
      <c r="I356" s="16">
        <f t="shared" si="89"/>
        <v>0</v>
      </c>
      <c r="J356" s="16">
        <f t="shared" si="90"/>
        <v>0</v>
      </c>
      <c r="K356" s="16">
        <f t="shared" si="91"/>
        <v>0</v>
      </c>
      <c r="L356" s="67">
        <f t="shared" si="92"/>
        <v>0</v>
      </c>
      <c r="M356" s="4">
        <f t="shared" si="93"/>
        <v>0</v>
      </c>
      <c r="N356" s="4">
        <f t="shared" si="94"/>
        <v>0</v>
      </c>
      <c r="O356" s="4">
        <f t="shared" si="95"/>
        <v>0</v>
      </c>
      <c r="P356" s="4" t="e">
        <f>VLOOKUP(AJ348,'CIR Team Info'!$C$5:$E$44,2,FALSE)</f>
        <v>#N/A</v>
      </c>
      <c r="Q356" s="4" t="e">
        <f>VLOOKUP(AJ348,'CIR Team Info'!$C$5:$E$44,3,FALSE)</f>
        <v>#N/A</v>
      </c>
      <c r="R356" s="10" t="e">
        <f>VLOOKUP(AJ348,'FRC Site Data'!$B$3:$L$42,2,FALSE)</f>
        <v>#N/A</v>
      </c>
      <c r="S356" s="10" t="e">
        <f>VLOOKUP(AJ348,'FRC Site Data'!$B$3:$L$42,3,FALSE)</f>
        <v>#N/A</v>
      </c>
      <c r="T356" s="10" t="e">
        <f>VLOOKUP(AJ348,'FRC Site Data'!$B$3:$L$42,4,FALSE)</f>
        <v>#N/A</v>
      </c>
      <c r="U356" s="10" t="e">
        <f>VLOOKUP(AJ348,'FRC Site Data'!$B$3:$L$42,5,FALSE)</f>
        <v>#N/A</v>
      </c>
      <c r="V356" s="10" t="e">
        <f>VLOOKUP(AJ348,'FRC Site Data'!$B$3:$L$42,6,FALSE)</f>
        <v>#N/A</v>
      </c>
      <c r="W356" s="10" t="e">
        <f>VLOOKUP(AJ348,'FRC Site Data'!$B$3:$L$42,8,FALSE)</f>
        <v>#N/A</v>
      </c>
      <c r="X356" s="10" t="e">
        <f>VLOOKUP(AJ348,'FRC Site Data'!$B$3:$L$42,9,FALSE)</f>
        <v>#N/A</v>
      </c>
      <c r="Y356" s="10" t="e">
        <f>VLOOKUP(AJ348,'FRC Site Data'!$B$3:$L$42,10,FALSE)</f>
        <v>#N/A</v>
      </c>
      <c r="Z356" s="10" t="e">
        <f>VLOOKUP(AJ348,'FRC Site Data'!$B$3:$L$42,11,FALSE)</f>
        <v>#N/A</v>
      </c>
      <c r="AA356" s="10" t="e">
        <f>VLOOKUP(AJ348,'CIR Team Info'!$C$5:$E$44,4,FALSE)</f>
        <v>#N/A</v>
      </c>
      <c r="AB356" s="161" t="b">
        <f>ISNUMBER(VLOOKUP(AJ348,Match!$T$5:$T$10,1,FALSE))</f>
        <v>0</v>
      </c>
      <c r="AC356" s="161" t="b">
        <f>IF(AB356=TRUE,(VLOOKUP($AJ348,Match!$T$5:$U$10,2,FALSE)))</f>
        <v>0</v>
      </c>
      <c r="AD356" s="8">
        <v>3</v>
      </c>
      <c r="AE356" s="8">
        <v>2</v>
      </c>
      <c r="AF356" s="8">
        <v>2</v>
      </c>
      <c r="AG356" s="8">
        <v>1</v>
      </c>
      <c r="AH356" s="8" t="str">
        <f t="shared" si="96"/>
        <v/>
      </c>
      <c r="AI356" s="12"/>
      <c r="AZ356" s="12"/>
      <c r="BC356" s="12"/>
      <c r="BK356" s="12"/>
    </row>
    <row r="357" spans="1:63" x14ac:dyDescent="0.25">
      <c r="A357" s="29">
        <f t="shared" si="81"/>
        <v>0</v>
      </c>
      <c r="B357" s="29">
        <f t="shared" si="83"/>
        <v>0</v>
      </c>
      <c r="C357" s="29">
        <f t="shared" si="84"/>
        <v>0</v>
      </c>
      <c r="D357" s="29">
        <f t="shared" si="85"/>
        <v>0</v>
      </c>
      <c r="E357" s="29">
        <f t="shared" si="82"/>
        <v>0</v>
      </c>
      <c r="F357" s="29">
        <f t="shared" si="86"/>
        <v>0</v>
      </c>
      <c r="G357" s="29" t="str">
        <f t="shared" si="87"/>
        <v>offensive</v>
      </c>
      <c r="H357" s="16">
        <f t="shared" si="88"/>
        <v>0</v>
      </c>
      <c r="I357" s="16">
        <f t="shared" si="89"/>
        <v>0</v>
      </c>
      <c r="J357" s="16">
        <f t="shared" si="90"/>
        <v>0</v>
      </c>
      <c r="K357" s="16">
        <f t="shared" si="91"/>
        <v>0</v>
      </c>
      <c r="L357" s="67">
        <f t="shared" si="92"/>
        <v>0</v>
      </c>
      <c r="M357" s="4">
        <f t="shared" si="93"/>
        <v>0</v>
      </c>
      <c r="N357" s="4">
        <f t="shared" si="94"/>
        <v>0</v>
      </c>
      <c r="O357" s="4">
        <f t="shared" si="95"/>
        <v>0</v>
      </c>
      <c r="P357" s="4" t="e">
        <f>VLOOKUP(AJ349,'CIR Team Info'!$C$5:$E$44,2,FALSE)</f>
        <v>#N/A</v>
      </c>
      <c r="Q357" s="4" t="e">
        <f>VLOOKUP(AJ349,'CIR Team Info'!$C$5:$E$44,3,FALSE)</f>
        <v>#N/A</v>
      </c>
      <c r="R357" s="10" t="e">
        <f>VLOOKUP(AJ349,'FRC Site Data'!$B$3:$L$42,2,FALSE)</f>
        <v>#N/A</v>
      </c>
      <c r="S357" s="10" t="e">
        <f>VLOOKUP(AJ349,'FRC Site Data'!$B$3:$L$42,3,FALSE)</f>
        <v>#N/A</v>
      </c>
      <c r="T357" s="10" t="e">
        <f>VLOOKUP(AJ349,'FRC Site Data'!$B$3:$L$42,4,FALSE)</f>
        <v>#N/A</v>
      </c>
      <c r="U357" s="10" t="e">
        <f>VLOOKUP(AJ349,'FRC Site Data'!$B$3:$L$42,5,FALSE)</f>
        <v>#N/A</v>
      </c>
      <c r="V357" s="10" t="e">
        <f>VLOOKUP(AJ349,'FRC Site Data'!$B$3:$L$42,6,FALSE)</f>
        <v>#N/A</v>
      </c>
      <c r="W357" s="10" t="e">
        <f>VLOOKUP(AJ349,'FRC Site Data'!$B$3:$L$42,8,FALSE)</f>
        <v>#N/A</v>
      </c>
      <c r="X357" s="10" t="e">
        <f>VLOOKUP(AJ349,'FRC Site Data'!$B$3:$L$42,9,FALSE)</f>
        <v>#N/A</v>
      </c>
      <c r="Y357" s="10" t="e">
        <f>VLOOKUP(AJ349,'FRC Site Data'!$B$3:$L$42,10,FALSE)</f>
        <v>#N/A</v>
      </c>
      <c r="Z357" s="10" t="e">
        <f>VLOOKUP(AJ349,'FRC Site Data'!$B$3:$L$42,11,FALSE)</f>
        <v>#N/A</v>
      </c>
      <c r="AA357" s="10" t="e">
        <f>VLOOKUP(AJ349,'CIR Team Info'!$C$5:$E$44,4,FALSE)</f>
        <v>#N/A</v>
      </c>
      <c r="AB357" s="161" t="b">
        <f>ISNUMBER(VLOOKUP(AJ349,Match!$T$5:$T$10,1,FALSE))</f>
        <v>0</v>
      </c>
      <c r="AC357" s="161" t="b">
        <f>IF(AB357=TRUE,(VLOOKUP($AJ349,Match!$T$5:$U$10,2,FALSE)))</f>
        <v>0</v>
      </c>
      <c r="AD357" s="8">
        <v>3</v>
      </c>
      <c r="AE357" s="8">
        <v>2</v>
      </c>
      <c r="AF357" s="8">
        <v>2</v>
      </c>
      <c r="AG357" s="8">
        <v>1</v>
      </c>
      <c r="AH357" s="8" t="str">
        <f t="shared" si="96"/>
        <v/>
      </c>
      <c r="AI357" s="12"/>
      <c r="AZ357" s="12"/>
      <c r="BC357" s="12"/>
      <c r="BK357" s="12"/>
    </row>
    <row r="358" spans="1:63" x14ac:dyDescent="0.25">
      <c r="A358" s="29">
        <f t="shared" si="81"/>
        <v>0</v>
      </c>
      <c r="B358" s="29">
        <f t="shared" si="83"/>
        <v>0</v>
      </c>
      <c r="C358" s="29">
        <f t="shared" si="84"/>
        <v>0</v>
      </c>
      <c r="D358" s="29">
        <f t="shared" si="85"/>
        <v>0</v>
      </c>
      <c r="E358" s="29">
        <f t="shared" si="82"/>
        <v>0</v>
      </c>
      <c r="F358" s="29">
        <f t="shared" si="86"/>
        <v>0</v>
      </c>
      <c r="G358" s="29" t="str">
        <f t="shared" si="87"/>
        <v>offensive</v>
      </c>
      <c r="H358" s="16">
        <f t="shared" si="88"/>
        <v>0</v>
      </c>
      <c r="I358" s="16">
        <f t="shared" si="89"/>
        <v>0</v>
      </c>
      <c r="J358" s="16">
        <f t="shared" si="90"/>
        <v>0</v>
      </c>
      <c r="K358" s="16">
        <f t="shared" si="91"/>
        <v>0</v>
      </c>
      <c r="L358" s="67">
        <f t="shared" si="92"/>
        <v>0</v>
      </c>
      <c r="M358" s="4">
        <f t="shared" si="93"/>
        <v>0</v>
      </c>
      <c r="N358" s="4">
        <f t="shared" si="94"/>
        <v>0</v>
      </c>
      <c r="O358" s="4">
        <f t="shared" si="95"/>
        <v>0</v>
      </c>
      <c r="P358" s="4" t="e">
        <f>VLOOKUP(AJ350,'CIR Team Info'!$C$5:$E$44,2,FALSE)</f>
        <v>#N/A</v>
      </c>
      <c r="Q358" s="4" t="e">
        <f>VLOOKUP(AJ350,'CIR Team Info'!$C$5:$E$44,3,FALSE)</f>
        <v>#N/A</v>
      </c>
      <c r="R358" s="10" t="e">
        <f>VLOOKUP(AJ350,'FRC Site Data'!$B$3:$L$42,2,FALSE)</f>
        <v>#N/A</v>
      </c>
      <c r="S358" s="10" t="e">
        <f>VLOOKUP(AJ350,'FRC Site Data'!$B$3:$L$42,3,FALSE)</f>
        <v>#N/A</v>
      </c>
      <c r="T358" s="10" t="e">
        <f>VLOOKUP(AJ350,'FRC Site Data'!$B$3:$L$42,4,FALSE)</f>
        <v>#N/A</v>
      </c>
      <c r="U358" s="10" t="e">
        <f>VLOOKUP(AJ350,'FRC Site Data'!$B$3:$L$42,5,FALSE)</f>
        <v>#N/A</v>
      </c>
      <c r="V358" s="10" t="e">
        <f>VLOOKUP(AJ350,'FRC Site Data'!$B$3:$L$42,6,FALSE)</f>
        <v>#N/A</v>
      </c>
      <c r="W358" s="10" t="e">
        <f>VLOOKUP(AJ350,'FRC Site Data'!$B$3:$L$42,8,FALSE)</f>
        <v>#N/A</v>
      </c>
      <c r="X358" s="10" t="e">
        <f>VLOOKUP(AJ350,'FRC Site Data'!$B$3:$L$42,9,FALSE)</f>
        <v>#N/A</v>
      </c>
      <c r="Y358" s="10" t="e">
        <f>VLOOKUP(AJ350,'FRC Site Data'!$B$3:$L$42,10,FALSE)</f>
        <v>#N/A</v>
      </c>
      <c r="Z358" s="10" t="e">
        <f>VLOOKUP(AJ350,'FRC Site Data'!$B$3:$L$42,11,FALSE)</f>
        <v>#N/A</v>
      </c>
      <c r="AA358" s="10" t="e">
        <f>VLOOKUP(AJ350,'CIR Team Info'!$C$5:$E$44,4,FALSE)</f>
        <v>#N/A</v>
      </c>
      <c r="AB358" s="161" t="b">
        <f>ISNUMBER(VLOOKUP(AJ350,Match!$T$5:$T$10,1,FALSE))</f>
        <v>0</v>
      </c>
      <c r="AC358" s="161" t="b">
        <f>IF(AB358=TRUE,(VLOOKUP($AJ350,Match!$T$5:$U$10,2,FALSE)))</f>
        <v>0</v>
      </c>
      <c r="AD358" s="8">
        <v>3</v>
      </c>
      <c r="AE358" s="8">
        <v>2</v>
      </c>
      <c r="AF358" s="8">
        <v>2</v>
      </c>
      <c r="AG358" s="8">
        <v>1</v>
      </c>
      <c r="AH358" s="8" t="str">
        <f t="shared" si="96"/>
        <v/>
      </c>
      <c r="AI358" s="12"/>
      <c r="AZ358" s="12"/>
      <c r="BC358" s="12"/>
      <c r="BK358" s="12"/>
    </row>
    <row r="359" spans="1:63" x14ac:dyDescent="0.25">
      <c r="A359" s="29">
        <f t="shared" ref="A359:A422" si="97">SUM(B359:F359)</f>
        <v>0</v>
      </c>
      <c r="B359" s="29">
        <f t="shared" si="83"/>
        <v>0</v>
      </c>
      <c r="C359" s="29">
        <f t="shared" si="84"/>
        <v>0</v>
      </c>
      <c r="D359" s="29">
        <f t="shared" si="85"/>
        <v>0</v>
      </c>
      <c r="E359" s="29">
        <f t="shared" si="82"/>
        <v>0</v>
      </c>
      <c r="F359" s="29">
        <f t="shared" si="86"/>
        <v>0</v>
      </c>
      <c r="G359" s="29" t="str">
        <f t="shared" si="87"/>
        <v>offensive</v>
      </c>
      <c r="H359" s="16">
        <f t="shared" si="88"/>
        <v>0</v>
      </c>
      <c r="I359" s="16">
        <f t="shared" si="89"/>
        <v>0</v>
      </c>
      <c r="J359" s="16">
        <f t="shared" si="90"/>
        <v>0</v>
      </c>
      <c r="K359" s="16">
        <f t="shared" si="91"/>
        <v>0</v>
      </c>
      <c r="L359" s="67">
        <f t="shared" si="92"/>
        <v>0</v>
      </c>
      <c r="M359" s="4">
        <f t="shared" si="93"/>
        <v>0</v>
      </c>
      <c r="N359" s="4">
        <f t="shared" si="94"/>
        <v>0</v>
      </c>
      <c r="O359" s="4">
        <f t="shared" si="95"/>
        <v>0</v>
      </c>
      <c r="P359" s="4" t="e">
        <f>VLOOKUP(AJ351,'CIR Team Info'!$C$5:$E$44,2,FALSE)</f>
        <v>#N/A</v>
      </c>
      <c r="Q359" s="4" t="e">
        <f>VLOOKUP(AJ351,'CIR Team Info'!$C$5:$E$44,3,FALSE)</f>
        <v>#N/A</v>
      </c>
      <c r="R359" s="10" t="e">
        <f>VLOOKUP(AJ351,'FRC Site Data'!$B$3:$L$42,2,FALSE)</f>
        <v>#N/A</v>
      </c>
      <c r="S359" s="10" t="e">
        <f>VLOOKUP(AJ351,'FRC Site Data'!$B$3:$L$42,3,FALSE)</f>
        <v>#N/A</v>
      </c>
      <c r="T359" s="10" t="e">
        <f>VLOOKUP(AJ351,'FRC Site Data'!$B$3:$L$42,4,FALSE)</f>
        <v>#N/A</v>
      </c>
      <c r="U359" s="10" t="e">
        <f>VLOOKUP(AJ351,'FRC Site Data'!$B$3:$L$42,5,FALSE)</f>
        <v>#N/A</v>
      </c>
      <c r="V359" s="10" t="e">
        <f>VLOOKUP(AJ351,'FRC Site Data'!$B$3:$L$42,6,FALSE)</f>
        <v>#N/A</v>
      </c>
      <c r="W359" s="10" t="e">
        <f>VLOOKUP(AJ351,'FRC Site Data'!$B$3:$L$42,8,FALSE)</f>
        <v>#N/A</v>
      </c>
      <c r="X359" s="10" t="e">
        <f>VLOOKUP(AJ351,'FRC Site Data'!$B$3:$L$42,9,FALSE)</f>
        <v>#N/A</v>
      </c>
      <c r="Y359" s="10" t="e">
        <f>VLOOKUP(AJ351,'FRC Site Data'!$B$3:$L$42,10,FALSE)</f>
        <v>#N/A</v>
      </c>
      <c r="Z359" s="10" t="e">
        <f>VLOOKUP(AJ351,'FRC Site Data'!$B$3:$L$42,11,FALSE)</f>
        <v>#N/A</v>
      </c>
      <c r="AA359" s="10" t="e">
        <f>VLOOKUP(AJ351,'CIR Team Info'!$C$5:$E$44,4,FALSE)</f>
        <v>#N/A</v>
      </c>
      <c r="AB359" s="161" t="b">
        <f>ISNUMBER(VLOOKUP(AJ351,Match!$T$5:$T$10,1,FALSE))</f>
        <v>0</v>
      </c>
      <c r="AC359" s="161" t="b">
        <f>IF(AB359=TRUE,(VLOOKUP($AJ351,Match!$T$5:$U$10,2,FALSE)))</f>
        <v>0</v>
      </c>
      <c r="AD359" s="8">
        <v>3</v>
      </c>
      <c r="AE359" s="8">
        <v>2</v>
      </c>
      <c r="AF359" s="8">
        <v>2</v>
      </c>
      <c r="AG359" s="8">
        <v>1</v>
      </c>
      <c r="AH359" s="8" t="str">
        <f t="shared" si="96"/>
        <v/>
      </c>
      <c r="AI359" s="12"/>
      <c r="AZ359" s="12"/>
      <c r="BC359" s="12"/>
      <c r="BK359" s="12"/>
    </row>
    <row r="360" spans="1:63" x14ac:dyDescent="0.25">
      <c r="A360" s="29">
        <f t="shared" si="97"/>
        <v>0</v>
      </c>
      <c r="B360" s="29">
        <f t="shared" si="83"/>
        <v>0</v>
      </c>
      <c r="C360" s="29">
        <f t="shared" si="84"/>
        <v>0</v>
      </c>
      <c r="D360" s="29">
        <f t="shared" si="85"/>
        <v>0</v>
      </c>
      <c r="E360" s="29">
        <f t="shared" si="82"/>
        <v>0</v>
      </c>
      <c r="F360" s="29">
        <f t="shared" si="86"/>
        <v>0</v>
      </c>
      <c r="G360" s="29" t="str">
        <f t="shared" si="87"/>
        <v>offensive</v>
      </c>
      <c r="H360" s="16">
        <f t="shared" si="88"/>
        <v>0</v>
      </c>
      <c r="I360" s="16">
        <f t="shared" si="89"/>
        <v>0</v>
      </c>
      <c r="J360" s="16">
        <f t="shared" si="90"/>
        <v>0</v>
      </c>
      <c r="K360" s="16">
        <f t="shared" si="91"/>
        <v>0</v>
      </c>
      <c r="L360" s="67">
        <f t="shared" si="92"/>
        <v>0</v>
      </c>
      <c r="M360" s="4">
        <f t="shared" si="93"/>
        <v>0</v>
      </c>
      <c r="N360" s="4">
        <f t="shared" si="94"/>
        <v>0</v>
      </c>
      <c r="O360" s="4">
        <f t="shared" si="95"/>
        <v>0</v>
      </c>
      <c r="P360" s="4" t="e">
        <f>VLOOKUP(AJ352,'CIR Team Info'!$C$5:$E$44,2,FALSE)</f>
        <v>#N/A</v>
      </c>
      <c r="Q360" s="4" t="e">
        <f>VLOOKUP(AJ352,'CIR Team Info'!$C$5:$E$44,3,FALSE)</f>
        <v>#N/A</v>
      </c>
      <c r="R360" s="10" t="e">
        <f>VLOOKUP(AJ352,'FRC Site Data'!$B$3:$L$42,2,FALSE)</f>
        <v>#N/A</v>
      </c>
      <c r="S360" s="10" t="e">
        <f>VLOOKUP(AJ352,'FRC Site Data'!$B$3:$L$42,3,FALSE)</f>
        <v>#N/A</v>
      </c>
      <c r="T360" s="10" t="e">
        <f>VLOOKUP(AJ352,'FRC Site Data'!$B$3:$L$42,4,FALSE)</f>
        <v>#N/A</v>
      </c>
      <c r="U360" s="10" t="e">
        <f>VLOOKUP(AJ352,'FRC Site Data'!$B$3:$L$42,5,FALSE)</f>
        <v>#N/A</v>
      </c>
      <c r="V360" s="10" t="e">
        <f>VLOOKUP(AJ352,'FRC Site Data'!$B$3:$L$42,6,FALSE)</f>
        <v>#N/A</v>
      </c>
      <c r="W360" s="10" t="e">
        <f>VLOOKUP(AJ352,'FRC Site Data'!$B$3:$L$42,8,FALSE)</f>
        <v>#N/A</v>
      </c>
      <c r="X360" s="10" t="e">
        <f>VLOOKUP(AJ352,'FRC Site Data'!$B$3:$L$42,9,FALSE)</f>
        <v>#N/A</v>
      </c>
      <c r="Y360" s="10" t="e">
        <f>VLOOKUP(AJ352,'FRC Site Data'!$B$3:$L$42,10,FALSE)</f>
        <v>#N/A</v>
      </c>
      <c r="Z360" s="10" t="e">
        <f>VLOOKUP(AJ352,'FRC Site Data'!$B$3:$L$42,11,FALSE)</f>
        <v>#N/A</v>
      </c>
      <c r="AA360" s="10" t="e">
        <f>VLOOKUP(AJ352,'CIR Team Info'!$C$5:$E$44,4,FALSE)</f>
        <v>#N/A</v>
      </c>
      <c r="AB360" s="161" t="b">
        <f>ISNUMBER(VLOOKUP(AJ352,Match!$T$5:$T$10,1,FALSE))</f>
        <v>0</v>
      </c>
      <c r="AC360" s="161" t="b">
        <f>IF(AB360=TRUE,(VLOOKUP($AJ352,Match!$T$5:$U$10,2,FALSE)))</f>
        <v>0</v>
      </c>
      <c r="AD360" s="8">
        <v>3</v>
      </c>
      <c r="AE360" s="8">
        <v>2</v>
      </c>
      <c r="AF360" s="8">
        <v>2</v>
      </c>
      <c r="AG360" s="8">
        <v>1</v>
      </c>
      <c r="AH360" s="8" t="str">
        <f t="shared" si="96"/>
        <v/>
      </c>
      <c r="AI360" s="12"/>
      <c r="AZ360" s="12"/>
      <c r="BC360" s="12"/>
      <c r="BK360" s="12"/>
    </row>
    <row r="361" spans="1:63" x14ac:dyDescent="0.25">
      <c r="A361" s="29">
        <f t="shared" si="97"/>
        <v>0</v>
      </c>
      <c r="B361" s="29">
        <f t="shared" si="83"/>
        <v>0</v>
      </c>
      <c r="C361" s="29">
        <f t="shared" si="84"/>
        <v>0</v>
      </c>
      <c r="D361" s="29">
        <f t="shared" si="85"/>
        <v>0</v>
      </c>
      <c r="E361" s="29">
        <f t="shared" si="82"/>
        <v>0</v>
      </c>
      <c r="F361" s="29">
        <f t="shared" si="86"/>
        <v>0</v>
      </c>
      <c r="G361" s="29" t="str">
        <f t="shared" si="87"/>
        <v>offensive</v>
      </c>
      <c r="H361" s="16">
        <f t="shared" si="88"/>
        <v>0</v>
      </c>
      <c r="I361" s="16">
        <f t="shared" si="89"/>
        <v>0</v>
      </c>
      <c r="J361" s="16">
        <f t="shared" si="90"/>
        <v>0</v>
      </c>
      <c r="K361" s="16">
        <f t="shared" si="91"/>
        <v>0</v>
      </c>
      <c r="L361" s="67">
        <f t="shared" si="92"/>
        <v>0</v>
      </c>
      <c r="M361" s="4">
        <f t="shared" si="93"/>
        <v>0</v>
      </c>
      <c r="N361" s="4">
        <f t="shared" si="94"/>
        <v>0</v>
      </c>
      <c r="O361" s="4">
        <f t="shared" si="95"/>
        <v>0</v>
      </c>
      <c r="P361" s="4" t="e">
        <f>VLOOKUP(AJ353,'CIR Team Info'!$C$5:$E$44,2,FALSE)</f>
        <v>#N/A</v>
      </c>
      <c r="Q361" s="4" t="e">
        <f>VLOOKUP(AJ353,'CIR Team Info'!$C$5:$E$44,3,FALSE)</f>
        <v>#N/A</v>
      </c>
      <c r="R361" s="10" t="e">
        <f>VLOOKUP(AJ353,'FRC Site Data'!$B$3:$L$42,2,FALSE)</f>
        <v>#N/A</v>
      </c>
      <c r="S361" s="10" t="e">
        <f>VLOOKUP(AJ353,'FRC Site Data'!$B$3:$L$42,3,FALSE)</f>
        <v>#N/A</v>
      </c>
      <c r="T361" s="10" t="e">
        <f>VLOOKUP(AJ353,'FRC Site Data'!$B$3:$L$42,4,FALSE)</f>
        <v>#N/A</v>
      </c>
      <c r="U361" s="10" t="e">
        <f>VLOOKUP(AJ353,'FRC Site Data'!$B$3:$L$42,5,FALSE)</f>
        <v>#N/A</v>
      </c>
      <c r="V361" s="10" t="e">
        <f>VLOOKUP(AJ353,'FRC Site Data'!$B$3:$L$42,6,FALSE)</f>
        <v>#N/A</v>
      </c>
      <c r="W361" s="10" t="e">
        <f>VLOOKUP(AJ353,'FRC Site Data'!$B$3:$L$42,8,FALSE)</f>
        <v>#N/A</v>
      </c>
      <c r="X361" s="10" t="e">
        <f>VLOOKUP(AJ353,'FRC Site Data'!$B$3:$L$42,9,FALSE)</f>
        <v>#N/A</v>
      </c>
      <c r="Y361" s="10" t="e">
        <f>VLOOKUP(AJ353,'FRC Site Data'!$B$3:$L$42,10,FALSE)</f>
        <v>#N/A</v>
      </c>
      <c r="Z361" s="10" t="e">
        <f>VLOOKUP(AJ353,'FRC Site Data'!$B$3:$L$42,11,FALSE)</f>
        <v>#N/A</v>
      </c>
      <c r="AA361" s="10" t="e">
        <f>VLOOKUP(AJ353,'CIR Team Info'!$C$5:$E$44,4,FALSE)</f>
        <v>#N/A</v>
      </c>
      <c r="AB361" s="161" t="b">
        <f>ISNUMBER(VLOOKUP(AJ353,Match!$T$5:$T$10,1,FALSE))</f>
        <v>0</v>
      </c>
      <c r="AC361" s="161" t="b">
        <f>IF(AB361=TRUE,(VLOOKUP($AJ353,Match!$T$5:$U$10,2,FALSE)))</f>
        <v>0</v>
      </c>
      <c r="AD361" s="8">
        <v>3</v>
      </c>
      <c r="AE361" s="8">
        <v>2</v>
      </c>
      <c r="AF361" s="8">
        <v>2</v>
      </c>
      <c r="AG361" s="8">
        <v>1</v>
      </c>
      <c r="AH361" s="8" t="str">
        <f t="shared" si="96"/>
        <v/>
      </c>
      <c r="AI361" s="12"/>
      <c r="AZ361" s="12"/>
      <c r="BC361" s="12"/>
      <c r="BK361" s="12"/>
    </row>
    <row r="362" spans="1:63" x14ac:dyDescent="0.25">
      <c r="A362" s="29">
        <f t="shared" si="97"/>
        <v>0</v>
      </c>
      <c r="B362" s="29">
        <f t="shared" si="83"/>
        <v>0</v>
      </c>
      <c r="C362" s="29">
        <f t="shared" si="84"/>
        <v>0</v>
      </c>
      <c r="D362" s="29">
        <f t="shared" si="85"/>
        <v>0</v>
      </c>
      <c r="E362" s="29">
        <f t="shared" si="82"/>
        <v>0</v>
      </c>
      <c r="F362" s="29">
        <f t="shared" si="86"/>
        <v>0</v>
      </c>
      <c r="G362" s="29" t="str">
        <f t="shared" si="87"/>
        <v>offensive</v>
      </c>
      <c r="H362" s="16">
        <f t="shared" si="88"/>
        <v>0</v>
      </c>
      <c r="I362" s="16">
        <f t="shared" si="89"/>
        <v>0</v>
      </c>
      <c r="J362" s="16">
        <f t="shared" si="90"/>
        <v>0</v>
      </c>
      <c r="K362" s="16">
        <f t="shared" si="91"/>
        <v>0</v>
      </c>
      <c r="L362" s="67">
        <f t="shared" si="92"/>
        <v>0</v>
      </c>
      <c r="M362" s="4">
        <f t="shared" si="93"/>
        <v>0</v>
      </c>
      <c r="N362" s="4">
        <f t="shared" si="94"/>
        <v>0</v>
      </c>
      <c r="O362" s="4">
        <f t="shared" si="95"/>
        <v>0</v>
      </c>
      <c r="P362" s="4" t="e">
        <f>VLOOKUP(AJ354,'CIR Team Info'!$C$5:$E$44,2,FALSE)</f>
        <v>#N/A</v>
      </c>
      <c r="Q362" s="4" t="e">
        <f>VLOOKUP(AJ354,'CIR Team Info'!$C$5:$E$44,3,FALSE)</f>
        <v>#N/A</v>
      </c>
      <c r="R362" s="10" t="e">
        <f>VLOOKUP(AJ354,'FRC Site Data'!$B$3:$L$42,2,FALSE)</f>
        <v>#N/A</v>
      </c>
      <c r="S362" s="10" t="e">
        <f>VLOOKUP(AJ354,'FRC Site Data'!$B$3:$L$42,3,FALSE)</f>
        <v>#N/A</v>
      </c>
      <c r="T362" s="10" t="e">
        <f>VLOOKUP(AJ354,'FRC Site Data'!$B$3:$L$42,4,FALSE)</f>
        <v>#N/A</v>
      </c>
      <c r="U362" s="10" t="e">
        <f>VLOOKUP(AJ354,'FRC Site Data'!$B$3:$L$42,5,FALSE)</f>
        <v>#N/A</v>
      </c>
      <c r="V362" s="10" t="e">
        <f>VLOOKUP(AJ354,'FRC Site Data'!$B$3:$L$42,6,FALSE)</f>
        <v>#N/A</v>
      </c>
      <c r="W362" s="10" t="e">
        <f>VLOOKUP(AJ354,'FRC Site Data'!$B$3:$L$42,8,FALSE)</f>
        <v>#N/A</v>
      </c>
      <c r="X362" s="10" t="e">
        <f>VLOOKUP(AJ354,'FRC Site Data'!$B$3:$L$42,9,FALSE)</f>
        <v>#N/A</v>
      </c>
      <c r="Y362" s="10" t="e">
        <f>VLOOKUP(AJ354,'FRC Site Data'!$B$3:$L$42,10,FALSE)</f>
        <v>#N/A</v>
      </c>
      <c r="Z362" s="10" t="e">
        <f>VLOOKUP(AJ354,'FRC Site Data'!$B$3:$L$42,11,FALSE)</f>
        <v>#N/A</v>
      </c>
      <c r="AA362" s="10" t="e">
        <f>VLOOKUP(AJ354,'CIR Team Info'!$C$5:$E$44,4,FALSE)</f>
        <v>#N/A</v>
      </c>
      <c r="AB362" s="161" t="b">
        <f>ISNUMBER(VLOOKUP(AJ354,Match!$T$5:$T$10,1,FALSE))</f>
        <v>0</v>
      </c>
      <c r="AC362" s="161" t="b">
        <f>IF(AB362=TRUE,(VLOOKUP($AJ354,Match!$T$5:$U$10,2,FALSE)))</f>
        <v>0</v>
      </c>
      <c r="AD362" s="8">
        <v>3</v>
      </c>
      <c r="AE362" s="8">
        <v>2</v>
      </c>
      <c r="AF362" s="8">
        <v>2</v>
      </c>
      <c r="AG362" s="8">
        <v>1</v>
      </c>
      <c r="AH362" s="8" t="str">
        <f t="shared" si="96"/>
        <v/>
      </c>
      <c r="AI362" s="12"/>
      <c r="AZ362" s="12"/>
      <c r="BC362" s="12"/>
      <c r="BK362" s="12"/>
    </row>
    <row r="363" spans="1:63" x14ac:dyDescent="0.25">
      <c r="A363" s="29">
        <f t="shared" si="97"/>
        <v>0</v>
      </c>
      <c r="B363" s="29">
        <f t="shared" si="83"/>
        <v>0</v>
      </c>
      <c r="C363" s="29">
        <f t="shared" si="84"/>
        <v>0</v>
      </c>
      <c r="D363" s="29">
        <f t="shared" si="85"/>
        <v>0</v>
      </c>
      <c r="E363" s="29">
        <f t="shared" si="82"/>
        <v>0</v>
      </c>
      <c r="F363" s="29">
        <f t="shared" si="86"/>
        <v>0</v>
      </c>
      <c r="G363" s="29" t="str">
        <f t="shared" si="87"/>
        <v>offensive</v>
      </c>
      <c r="H363" s="16">
        <f t="shared" si="88"/>
        <v>0</v>
      </c>
      <c r="I363" s="16">
        <f t="shared" si="89"/>
        <v>0</v>
      </c>
      <c r="J363" s="16">
        <f t="shared" si="90"/>
        <v>0</v>
      </c>
      <c r="K363" s="16">
        <f t="shared" si="91"/>
        <v>0</v>
      </c>
      <c r="L363" s="67">
        <f t="shared" si="92"/>
        <v>0</v>
      </c>
      <c r="M363" s="4">
        <f t="shared" si="93"/>
        <v>0</v>
      </c>
      <c r="N363" s="4">
        <f t="shared" si="94"/>
        <v>0</v>
      </c>
      <c r="O363" s="4">
        <f t="shared" si="95"/>
        <v>0</v>
      </c>
      <c r="P363" s="4" t="e">
        <f>VLOOKUP(AJ355,'CIR Team Info'!$C$5:$E$44,2,FALSE)</f>
        <v>#N/A</v>
      </c>
      <c r="Q363" s="4" t="e">
        <f>VLOOKUP(AJ355,'CIR Team Info'!$C$5:$E$44,3,FALSE)</f>
        <v>#N/A</v>
      </c>
      <c r="R363" s="10" t="e">
        <f>VLOOKUP(AJ355,'FRC Site Data'!$B$3:$L$42,2,FALSE)</f>
        <v>#N/A</v>
      </c>
      <c r="S363" s="10" t="e">
        <f>VLOOKUP(AJ355,'FRC Site Data'!$B$3:$L$42,3,FALSE)</f>
        <v>#N/A</v>
      </c>
      <c r="T363" s="10" t="e">
        <f>VLOOKUP(AJ355,'FRC Site Data'!$B$3:$L$42,4,FALSE)</f>
        <v>#N/A</v>
      </c>
      <c r="U363" s="10" t="e">
        <f>VLOOKUP(AJ355,'FRC Site Data'!$B$3:$L$42,5,FALSE)</f>
        <v>#N/A</v>
      </c>
      <c r="V363" s="10" t="e">
        <f>VLOOKUP(AJ355,'FRC Site Data'!$B$3:$L$42,6,FALSE)</f>
        <v>#N/A</v>
      </c>
      <c r="W363" s="10" t="e">
        <f>VLOOKUP(AJ355,'FRC Site Data'!$B$3:$L$42,8,FALSE)</f>
        <v>#N/A</v>
      </c>
      <c r="X363" s="10" t="e">
        <f>VLOOKUP(AJ355,'FRC Site Data'!$B$3:$L$42,9,FALSE)</f>
        <v>#N/A</v>
      </c>
      <c r="Y363" s="10" t="e">
        <f>VLOOKUP(AJ355,'FRC Site Data'!$B$3:$L$42,10,FALSE)</f>
        <v>#N/A</v>
      </c>
      <c r="Z363" s="10" t="e">
        <f>VLOOKUP(AJ355,'FRC Site Data'!$B$3:$L$42,11,FALSE)</f>
        <v>#N/A</v>
      </c>
      <c r="AA363" s="10" t="e">
        <f>VLOOKUP(AJ355,'CIR Team Info'!$C$5:$E$44,4,FALSE)</f>
        <v>#N/A</v>
      </c>
      <c r="AB363" s="161" t="b">
        <f>ISNUMBER(VLOOKUP(AJ355,Match!$T$5:$T$10,1,FALSE))</f>
        <v>0</v>
      </c>
      <c r="AC363" s="161" t="b">
        <f>IF(AB363=TRUE,(VLOOKUP($AJ355,Match!$T$5:$U$10,2,FALSE)))</f>
        <v>0</v>
      </c>
      <c r="AD363" s="8">
        <v>3</v>
      </c>
      <c r="AE363" s="8">
        <v>2</v>
      </c>
      <c r="AF363" s="8">
        <v>2</v>
      </c>
      <c r="AG363" s="8">
        <v>1</v>
      </c>
      <c r="AH363" s="8" t="str">
        <f t="shared" si="96"/>
        <v/>
      </c>
      <c r="AI363" s="12"/>
      <c r="AZ363" s="12"/>
      <c r="BC363" s="12"/>
      <c r="BK363" s="12"/>
    </row>
    <row r="364" spans="1:63" x14ac:dyDescent="0.25">
      <c r="A364" s="29">
        <f t="shared" si="97"/>
        <v>0</v>
      </c>
      <c r="B364" s="29">
        <f t="shared" si="83"/>
        <v>0</v>
      </c>
      <c r="C364" s="29">
        <f t="shared" si="84"/>
        <v>0</v>
      </c>
      <c r="D364" s="29">
        <f t="shared" si="85"/>
        <v>0</v>
      </c>
      <c r="E364" s="29">
        <f t="shared" si="82"/>
        <v>0</v>
      </c>
      <c r="F364" s="29">
        <f t="shared" si="86"/>
        <v>0</v>
      </c>
      <c r="G364" s="29" t="str">
        <f t="shared" si="87"/>
        <v>offensive</v>
      </c>
      <c r="H364" s="16">
        <f t="shared" si="88"/>
        <v>0</v>
      </c>
      <c r="I364" s="16">
        <f t="shared" si="89"/>
        <v>0</v>
      </c>
      <c r="J364" s="16">
        <f t="shared" si="90"/>
        <v>0</v>
      </c>
      <c r="K364" s="16">
        <f t="shared" si="91"/>
        <v>0</v>
      </c>
      <c r="L364" s="67">
        <f t="shared" si="92"/>
        <v>0</v>
      </c>
      <c r="M364" s="4">
        <f t="shared" si="93"/>
        <v>0</v>
      </c>
      <c r="N364" s="4">
        <f t="shared" si="94"/>
        <v>0</v>
      </c>
      <c r="O364" s="4">
        <f t="shared" si="95"/>
        <v>0</v>
      </c>
      <c r="P364" s="4" t="e">
        <f>VLOOKUP(AJ356,'CIR Team Info'!$C$5:$E$44,2,FALSE)</f>
        <v>#N/A</v>
      </c>
      <c r="Q364" s="4" t="e">
        <f>VLOOKUP(AJ356,'CIR Team Info'!$C$5:$E$44,3,FALSE)</f>
        <v>#N/A</v>
      </c>
      <c r="R364" s="10" t="e">
        <f>VLOOKUP(AJ356,'FRC Site Data'!$B$3:$L$42,2,FALSE)</f>
        <v>#N/A</v>
      </c>
      <c r="S364" s="10" t="e">
        <f>VLOOKUP(AJ356,'FRC Site Data'!$B$3:$L$42,3,FALSE)</f>
        <v>#N/A</v>
      </c>
      <c r="T364" s="10" t="e">
        <f>VLOOKUP(AJ356,'FRC Site Data'!$B$3:$L$42,4,FALSE)</f>
        <v>#N/A</v>
      </c>
      <c r="U364" s="10" t="e">
        <f>VLOOKUP(AJ356,'FRC Site Data'!$B$3:$L$42,5,FALSE)</f>
        <v>#N/A</v>
      </c>
      <c r="V364" s="10" t="e">
        <f>VLOOKUP(AJ356,'FRC Site Data'!$B$3:$L$42,6,FALSE)</f>
        <v>#N/A</v>
      </c>
      <c r="W364" s="10" t="e">
        <f>VLOOKUP(AJ356,'FRC Site Data'!$B$3:$L$42,8,FALSE)</f>
        <v>#N/A</v>
      </c>
      <c r="X364" s="10" t="e">
        <f>VLOOKUP(AJ356,'FRC Site Data'!$B$3:$L$42,9,FALSE)</f>
        <v>#N/A</v>
      </c>
      <c r="Y364" s="10" t="e">
        <f>VLOOKUP(AJ356,'FRC Site Data'!$B$3:$L$42,10,FALSE)</f>
        <v>#N/A</v>
      </c>
      <c r="Z364" s="10" t="e">
        <f>VLOOKUP(AJ356,'FRC Site Data'!$B$3:$L$42,11,FALSE)</f>
        <v>#N/A</v>
      </c>
      <c r="AA364" s="10" t="e">
        <f>VLOOKUP(AJ356,'CIR Team Info'!$C$5:$E$44,4,FALSE)</f>
        <v>#N/A</v>
      </c>
      <c r="AB364" s="161" t="b">
        <f>ISNUMBER(VLOOKUP(AJ356,Match!$T$5:$T$10,1,FALSE))</f>
        <v>0</v>
      </c>
      <c r="AC364" s="161" t="b">
        <f>IF(AB364=TRUE,(VLOOKUP($AJ356,Match!$T$5:$U$10,2,FALSE)))</f>
        <v>0</v>
      </c>
      <c r="AD364" s="8">
        <v>3</v>
      </c>
      <c r="AE364" s="8">
        <v>2</v>
      </c>
      <c r="AF364" s="8">
        <v>2</v>
      </c>
      <c r="AG364" s="8">
        <v>1</v>
      </c>
      <c r="AH364" s="8" t="str">
        <f t="shared" si="96"/>
        <v/>
      </c>
      <c r="AI364" s="12"/>
      <c r="AZ364" s="12"/>
      <c r="BC364" s="12"/>
      <c r="BK364" s="12"/>
    </row>
    <row r="365" spans="1:63" x14ac:dyDescent="0.25">
      <c r="A365" s="29">
        <f t="shared" si="97"/>
        <v>0</v>
      </c>
      <c r="B365" s="29">
        <f t="shared" si="83"/>
        <v>0</v>
      </c>
      <c r="C365" s="29">
        <f t="shared" si="84"/>
        <v>0</v>
      </c>
      <c r="D365" s="29">
        <f t="shared" si="85"/>
        <v>0</v>
      </c>
      <c r="E365" s="29">
        <f t="shared" si="82"/>
        <v>0</v>
      </c>
      <c r="F365" s="29">
        <f t="shared" si="86"/>
        <v>0</v>
      </c>
      <c r="G365" s="29" t="str">
        <f t="shared" si="87"/>
        <v>offensive</v>
      </c>
      <c r="H365" s="16">
        <f t="shared" si="88"/>
        <v>0</v>
      </c>
      <c r="I365" s="16">
        <f t="shared" si="89"/>
        <v>0</v>
      </c>
      <c r="J365" s="16">
        <f t="shared" si="90"/>
        <v>0</v>
      </c>
      <c r="K365" s="16">
        <f t="shared" si="91"/>
        <v>0</v>
      </c>
      <c r="L365" s="67">
        <f t="shared" si="92"/>
        <v>0</v>
      </c>
      <c r="M365" s="4">
        <f t="shared" si="93"/>
        <v>0</v>
      </c>
      <c r="N365" s="4">
        <f t="shared" si="94"/>
        <v>0</v>
      </c>
      <c r="O365" s="4">
        <f t="shared" si="95"/>
        <v>0</v>
      </c>
      <c r="P365" s="4" t="e">
        <f>VLOOKUP(AJ357,'CIR Team Info'!$C$5:$E$44,2,FALSE)</f>
        <v>#N/A</v>
      </c>
      <c r="Q365" s="4" t="e">
        <f>VLOOKUP(AJ357,'CIR Team Info'!$C$5:$E$44,3,FALSE)</f>
        <v>#N/A</v>
      </c>
      <c r="R365" s="10" t="e">
        <f>VLOOKUP(AJ357,'FRC Site Data'!$B$3:$L$42,2,FALSE)</f>
        <v>#N/A</v>
      </c>
      <c r="S365" s="10" t="e">
        <f>VLOOKUP(AJ357,'FRC Site Data'!$B$3:$L$42,3,FALSE)</f>
        <v>#N/A</v>
      </c>
      <c r="T365" s="10" t="e">
        <f>VLOOKUP(AJ357,'FRC Site Data'!$B$3:$L$42,4,FALSE)</f>
        <v>#N/A</v>
      </c>
      <c r="U365" s="10" t="e">
        <f>VLOOKUP(AJ357,'FRC Site Data'!$B$3:$L$42,5,FALSE)</f>
        <v>#N/A</v>
      </c>
      <c r="V365" s="10" t="e">
        <f>VLOOKUP(AJ357,'FRC Site Data'!$B$3:$L$42,6,FALSE)</f>
        <v>#N/A</v>
      </c>
      <c r="W365" s="10" t="e">
        <f>VLOOKUP(AJ357,'FRC Site Data'!$B$3:$L$42,8,FALSE)</f>
        <v>#N/A</v>
      </c>
      <c r="X365" s="10" t="e">
        <f>VLOOKUP(AJ357,'FRC Site Data'!$B$3:$L$42,9,FALSE)</f>
        <v>#N/A</v>
      </c>
      <c r="Y365" s="10" t="e">
        <f>VLOOKUP(AJ357,'FRC Site Data'!$B$3:$L$42,10,FALSE)</f>
        <v>#N/A</v>
      </c>
      <c r="Z365" s="10" t="e">
        <f>VLOOKUP(AJ357,'FRC Site Data'!$B$3:$L$42,11,FALSE)</f>
        <v>#N/A</v>
      </c>
      <c r="AA365" s="10" t="e">
        <f>VLOOKUP(AJ357,'CIR Team Info'!$C$5:$E$44,4,FALSE)</f>
        <v>#N/A</v>
      </c>
      <c r="AB365" s="161" t="b">
        <f>ISNUMBER(VLOOKUP(AJ357,Match!$T$5:$T$10,1,FALSE))</f>
        <v>0</v>
      </c>
      <c r="AC365" s="161" t="b">
        <f>IF(AB365=TRUE,(VLOOKUP($AJ357,Match!$T$5:$U$10,2,FALSE)))</f>
        <v>0</v>
      </c>
      <c r="AD365" s="8">
        <v>3</v>
      </c>
      <c r="AE365" s="8">
        <v>2</v>
      </c>
      <c r="AF365" s="8">
        <v>2</v>
      </c>
      <c r="AG365" s="8">
        <v>1</v>
      </c>
      <c r="AH365" s="8" t="str">
        <f t="shared" si="96"/>
        <v/>
      </c>
      <c r="AI365" s="12"/>
      <c r="AZ365" s="12"/>
      <c r="BC365" s="12"/>
      <c r="BK365" s="12"/>
    </row>
    <row r="366" spans="1:63" x14ac:dyDescent="0.25">
      <c r="A366" s="29">
        <f t="shared" si="97"/>
        <v>0</v>
      </c>
      <c r="B366" s="29">
        <f t="shared" si="83"/>
        <v>0</v>
      </c>
      <c r="C366" s="29">
        <f t="shared" si="84"/>
        <v>0</v>
      </c>
      <c r="D366" s="29">
        <f t="shared" si="85"/>
        <v>0</v>
      </c>
      <c r="E366" s="29">
        <f t="shared" si="82"/>
        <v>0</v>
      </c>
      <c r="F366" s="29">
        <f t="shared" si="86"/>
        <v>0</v>
      </c>
      <c r="G366" s="29" t="str">
        <f t="shared" si="87"/>
        <v>offensive</v>
      </c>
      <c r="H366" s="16">
        <f t="shared" si="88"/>
        <v>0</v>
      </c>
      <c r="I366" s="16">
        <f t="shared" si="89"/>
        <v>0</v>
      </c>
      <c r="J366" s="16">
        <f t="shared" si="90"/>
        <v>0</v>
      </c>
      <c r="K366" s="16">
        <f t="shared" si="91"/>
        <v>0</v>
      </c>
      <c r="L366" s="67">
        <f t="shared" si="92"/>
        <v>0</v>
      </c>
      <c r="M366" s="4">
        <f t="shared" si="93"/>
        <v>0</v>
      </c>
      <c r="N366" s="4">
        <f t="shared" si="94"/>
        <v>0</v>
      </c>
      <c r="O366" s="4">
        <f t="shared" si="95"/>
        <v>0</v>
      </c>
      <c r="P366" s="4" t="e">
        <f>VLOOKUP(AJ358,'CIR Team Info'!$C$5:$E$44,2,FALSE)</f>
        <v>#N/A</v>
      </c>
      <c r="Q366" s="4" t="e">
        <f>VLOOKUP(AJ358,'CIR Team Info'!$C$5:$E$44,3,FALSE)</f>
        <v>#N/A</v>
      </c>
      <c r="R366" s="10" t="e">
        <f>VLOOKUP(AJ358,'FRC Site Data'!$B$3:$L$42,2,FALSE)</f>
        <v>#N/A</v>
      </c>
      <c r="S366" s="10" t="e">
        <f>VLOOKUP(AJ358,'FRC Site Data'!$B$3:$L$42,3,FALSE)</f>
        <v>#N/A</v>
      </c>
      <c r="T366" s="10" t="e">
        <f>VLOOKUP(AJ358,'FRC Site Data'!$B$3:$L$42,4,FALSE)</f>
        <v>#N/A</v>
      </c>
      <c r="U366" s="10" t="e">
        <f>VLOOKUP(AJ358,'FRC Site Data'!$B$3:$L$42,5,FALSE)</f>
        <v>#N/A</v>
      </c>
      <c r="V366" s="10" t="e">
        <f>VLOOKUP(AJ358,'FRC Site Data'!$B$3:$L$42,6,FALSE)</f>
        <v>#N/A</v>
      </c>
      <c r="W366" s="10" t="e">
        <f>VLOOKUP(AJ358,'FRC Site Data'!$B$3:$L$42,8,FALSE)</f>
        <v>#N/A</v>
      </c>
      <c r="X366" s="10" t="e">
        <f>VLOOKUP(AJ358,'FRC Site Data'!$B$3:$L$42,9,FALSE)</f>
        <v>#N/A</v>
      </c>
      <c r="Y366" s="10" t="e">
        <f>VLOOKUP(AJ358,'FRC Site Data'!$B$3:$L$42,10,FALSE)</f>
        <v>#N/A</v>
      </c>
      <c r="Z366" s="10" t="e">
        <f>VLOOKUP(AJ358,'FRC Site Data'!$B$3:$L$42,11,FALSE)</f>
        <v>#N/A</v>
      </c>
      <c r="AA366" s="10" t="e">
        <f>VLOOKUP(AJ358,'CIR Team Info'!$C$5:$E$44,4,FALSE)</f>
        <v>#N/A</v>
      </c>
      <c r="AB366" s="161" t="b">
        <f>ISNUMBER(VLOOKUP(AJ358,Match!$T$5:$T$10,1,FALSE))</f>
        <v>0</v>
      </c>
      <c r="AC366" s="161" t="b">
        <f>IF(AB366=TRUE,(VLOOKUP($AJ358,Match!$T$5:$U$10,2,FALSE)))</f>
        <v>0</v>
      </c>
      <c r="AD366" s="8">
        <v>3</v>
      </c>
      <c r="AE366" s="8">
        <v>2</v>
      </c>
      <c r="AF366" s="8">
        <v>2</v>
      </c>
      <c r="AG366" s="8">
        <v>1</v>
      </c>
      <c r="AH366" s="8" t="str">
        <f t="shared" si="96"/>
        <v/>
      </c>
      <c r="AI366" s="12"/>
      <c r="AZ366" s="12"/>
      <c r="BC366" s="12"/>
      <c r="BK366" s="12"/>
    </row>
    <row r="367" spans="1:63" x14ac:dyDescent="0.25">
      <c r="A367" s="29">
        <f t="shared" si="97"/>
        <v>0</v>
      </c>
      <c r="B367" s="29">
        <f t="shared" si="83"/>
        <v>0</v>
      </c>
      <c r="C367" s="29">
        <f t="shared" si="84"/>
        <v>0</v>
      </c>
      <c r="D367" s="29">
        <f t="shared" si="85"/>
        <v>0</v>
      </c>
      <c r="E367" s="29">
        <f t="shared" si="82"/>
        <v>0</v>
      </c>
      <c r="F367" s="29">
        <f t="shared" si="86"/>
        <v>0</v>
      </c>
      <c r="G367" s="29" t="str">
        <f t="shared" si="87"/>
        <v>offensive</v>
      </c>
      <c r="H367" s="16">
        <f t="shared" si="88"/>
        <v>0</v>
      </c>
      <c r="I367" s="16">
        <f t="shared" si="89"/>
        <v>0</v>
      </c>
      <c r="J367" s="16">
        <f t="shared" si="90"/>
        <v>0</v>
      </c>
      <c r="K367" s="16">
        <f t="shared" si="91"/>
        <v>0</v>
      </c>
      <c r="L367" s="67">
        <f t="shared" si="92"/>
        <v>0</v>
      </c>
      <c r="M367" s="4">
        <f t="shared" si="93"/>
        <v>0</v>
      </c>
      <c r="N367" s="4">
        <f t="shared" si="94"/>
        <v>0</v>
      </c>
      <c r="O367" s="4">
        <f t="shared" si="95"/>
        <v>0</v>
      </c>
      <c r="P367" s="4" t="e">
        <f>VLOOKUP(AJ359,'CIR Team Info'!$C$5:$E$44,2,FALSE)</f>
        <v>#N/A</v>
      </c>
      <c r="Q367" s="4" t="e">
        <f>VLOOKUP(AJ359,'CIR Team Info'!$C$5:$E$44,3,FALSE)</f>
        <v>#N/A</v>
      </c>
      <c r="R367" s="10" t="e">
        <f>VLOOKUP(AJ359,'FRC Site Data'!$B$3:$L$42,2,FALSE)</f>
        <v>#N/A</v>
      </c>
      <c r="S367" s="10" t="e">
        <f>VLOOKUP(AJ359,'FRC Site Data'!$B$3:$L$42,3,FALSE)</f>
        <v>#N/A</v>
      </c>
      <c r="T367" s="10" t="e">
        <f>VLOOKUP(AJ359,'FRC Site Data'!$B$3:$L$42,4,FALSE)</f>
        <v>#N/A</v>
      </c>
      <c r="U367" s="10" t="e">
        <f>VLOOKUP(AJ359,'FRC Site Data'!$B$3:$L$42,5,FALSE)</f>
        <v>#N/A</v>
      </c>
      <c r="V367" s="10" t="e">
        <f>VLOOKUP(AJ359,'FRC Site Data'!$B$3:$L$42,6,FALSE)</f>
        <v>#N/A</v>
      </c>
      <c r="W367" s="10" t="e">
        <f>VLOOKUP(AJ359,'FRC Site Data'!$B$3:$L$42,8,FALSE)</f>
        <v>#N/A</v>
      </c>
      <c r="X367" s="10" t="e">
        <f>VLOOKUP(AJ359,'FRC Site Data'!$B$3:$L$42,9,FALSE)</f>
        <v>#N/A</v>
      </c>
      <c r="Y367" s="10" t="e">
        <f>VLOOKUP(AJ359,'FRC Site Data'!$B$3:$L$42,10,FALSE)</f>
        <v>#N/A</v>
      </c>
      <c r="Z367" s="10" t="e">
        <f>VLOOKUP(AJ359,'FRC Site Data'!$B$3:$L$42,11,FALSE)</f>
        <v>#N/A</v>
      </c>
      <c r="AA367" s="10" t="e">
        <f>VLOOKUP(AJ359,'CIR Team Info'!$C$5:$E$44,4,FALSE)</f>
        <v>#N/A</v>
      </c>
      <c r="AB367" s="161" t="b">
        <f>ISNUMBER(VLOOKUP(AJ359,Match!$T$5:$T$10,1,FALSE))</f>
        <v>0</v>
      </c>
      <c r="AC367" s="161" t="b">
        <f>IF(AB367=TRUE,(VLOOKUP($AJ359,Match!$T$5:$U$10,2,FALSE)))</f>
        <v>0</v>
      </c>
      <c r="AD367" s="8">
        <v>3</v>
      </c>
      <c r="AE367" s="8">
        <v>2</v>
      </c>
      <c r="AF367" s="8">
        <v>2</v>
      </c>
      <c r="AG367" s="8">
        <v>1</v>
      </c>
      <c r="AH367" s="8" t="str">
        <f t="shared" si="96"/>
        <v/>
      </c>
      <c r="AI367" s="12"/>
      <c r="AZ367" s="12"/>
      <c r="BC367" s="12"/>
      <c r="BK367" s="12"/>
    </row>
    <row r="368" spans="1:63" x14ac:dyDescent="0.25">
      <c r="A368" s="29">
        <f t="shared" si="97"/>
        <v>0</v>
      </c>
      <c r="B368" s="29">
        <f t="shared" si="83"/>
        <v>0</v>
      </c>
      <c r="C368" s="29">
        <f t="shared" si="84"/>
        <v>0</v>
      </c>
      <c r="D368" s="29">
        <f t="shared" si="85"/>
        <v>0</v>
      </c>
      <c r="E368" s="29">
        <f t="shared" si="82"/>
        <v>0</v>
      </c>
      <c r="F368" s="29">
        <f t="shared" si="86"/>
        <v>0</v>
      </c>
      <c r="G368" s="29" t="str">
        <f t="shared" si="87"/>
        <v>offensive</v>
      </c>
      <c r="H368" s="16">
        <f t="shared" si="88"/>
        <v>0</v>
      </c>
      <c r="I368" s="16">
        <f t="shared" si="89"/>
        <v>0</v>
      </c>
      <c r="J368" s="16">
        <f t="shared" si="90"/>
        <v>0</v>
      </c>
      <c r="K368" s="16">
        <f t="shared" si="91"/>
        <v>0</v>
      </c>
      <c r="L368" s="67">
        <f t="shared" si="92"/>
        <v>0</v>
      </c>
      <c r="M368" s="4">
        <f t="shared" si="93"/>
        <v>0</v>
      </c>
      <c r="N368" s="4">
        <f t="shared" si="94"/>
        <v>0</v>
      </c>
      <c r="O368" s="4">
        <f t="shared" si="95"/>
        <v>0</v>
      </c>
      <c r="P368" s="4" t="e">
        <f>VLOOKUP(AJ360,'CIR Team Info'!$C$5:$E$44,2,FALSE)</f>
        <v>#N/A</v>
      </c>
      <c r="Q368" s="4" t="e">
        <f>VLOOKUP(AJ360,'CIR Team Info'!$C$5:$E$44,3,FALSE)</f>
        <v>#N/A</v>
      </c>
      <c r="R368" s="10" t="e">
        <f>VLOOKUP(AJ360,'FRC Site Data'!$B$3:$L$42,2,FALSE)</f>
        <v>#N/A</v>
      </c>
      <c r="S368" s="10" t="e">
        <f>VLOOKUP(AJ360,'FRC Site Data'!$B$3:$L$42,3,FALSE)</f>
        <v>#N/A</v>
      </c>
      <c r="T368" s="10" t="e">
        <f>VLOOKUP(AJ360,'FRC Site Data'!$B$3:$L$42,4,FALSE)</f>
        <v>#N/A</v>
      </c>
      <c r="U368" s="10" t="e">
        <f>VLOOKUP(AJ360,'FRC Site Data'!$B$3:$L$42,5,FALSE)</f>
        <v>#N/A</v>
      </c>
      <c r="V368" s="10" t="e">
        <f>VLOOKUP(AJ360,'FRC Site Data'!$B$3:$L$42,6,FALSE)</f>
        <v>#N/A</v>
      </c>
      <c r="W368" s="10" t="e">
        <f>VLOOKUP(AJ360,'FRC Site Data'!$B$3:$L$42,8,FALSE)</f>
        <v>#N/A</v>
      </c>
      <c r="X368" s="10" t="e">
        <f>VLOOKUP(AJ360,'FRC Site Data'!$B$3:$L$42,9,FALSE)</f>
        <v>#N/A</v>
      </c>
      <c r="Y368" s="10" t="e">
        <f>VLOOKUP(AJ360,'FRC Site Data'!$B$3:$L$42,10,FALSE)</f>
        <v>#N/A</v>
      </c>
      <c r="Z368" s="10" t="e">
        <f>VLOOKUP(AJ360,'FRC Site Data'!$B$3:$L$42,11,FALSE)</f>
        <v>#N/A</v>
      </c>
      <c r="AA368" s="10" t="e">
        <f>VLOOKUP(AJ360,'CIR Team Info'!$C$5:$E$44,4,FALSE)</f>
        <v>#N/A</v>
      </c>
      <c r="AB368" s="161" t="b">
        <f>ISNUMBER(VLOOKUP(AJ360,Match!$T$5:$T$10,1,FALSE))</f>
        <v>0</v>
      </c>
      <c r="AC368" s="161" t="b">
        <f>IF(AB368=TRUE,(VLOOKUP($AJ360,Match!$T$5:$U$10,2,FALSE)))</f>
        <v>0</v>
      </c>
      <c r="AD368" s="8">
        <v>3</v>
      </c>
      <c r="AE368" s="8">
        <v>2</v>
      </c>
      <c r="AF368" s="8">
        <v>2</v>
      </c>
      <c r="AG368" s="8">
        <v>1</v>
      </c>
      <c r="AH368" s="8" t="str">
        <f t="shared" si="96"/>
        <v/>
      </c>
      <c r="AI368" s="12"/>
      <c r="AZ368" s="12"/>
      <c r="BC368" s="12"/>
      <c r="BK368" s="12"/>
    </row>
    <row r="369" spans="1:63" x14ac:dyDescent="0.25">
      <c r="A369" s="29">
        <f t="shared" si="97"/>
        <v>0</v>
      </c>
      <c r="B369" s="29">
        <f t="shared" si="83"/>
        <v>0</v>
      </c>
      <c r="C369" s="29">
        <f t="shared" si="84"/>
        <v>0</v>
      </c>
      <c r="D369" s="29">
        <f t="shared" si="85"/>
        <v>0</v>
      </c>
      <c r="E369" s="29">
        <f t="shared" si="82"/>
        <v>0</v>
      </c>
      <c r="F369" s="29">
        <f t="shared" si="86"/>
        <v>0</v>
      </c>
      <c r="G369" s="29" t="str">
        <f t="shared" si="87"/>
        <v>offensive</v>
      </c>
      <c r="H369" s="16">
        <f t="shared" si="88"/>
        <v>0</v>
      </c>
      <c r="I369" s="16">
        <f t="shared" si="89"/>
        <v>0</v>
      </c>
      <c r="J369" s="16">
        <f t="shared" si="90"/>
        <v>0</v>
      </c>
      <c r="K369" s="16">
        <f t="shared" si="91"/>
        <v>0</v>
      </c>
      <c r="L369" s="67">
        <f t="shared" si="92"/>
        <v>0</v>
      </c>
      <c r="M369" s="4">
        <f t="shared" si="93"/>
        <v>0</v>
      </c>
      <c r="N369" s="4">
        <f t="shared" si="94"/>
        <v>0</v>
      </c>
      <c r="O369" s="4">
        <f t="shared" si="95"/>
        <v>0</v>
      </c>
      <c r="P369" s="4" t="e">
        <f>VLOOKUP(AJ361,'CIR Team Info'!$C$5:$E$44,2,FALSE)</f>
        <v>#N/A</v>
      </c>
      <c r="Q369" s="4" t="e">
        <f>VLOOKUP(AJ361,'CIR Team Info'!$C$5:$E$44,3,FALSE)</f>
        <v>#N/A</v>
      </c>
      <c r="R369" s="10" t="e">
        <f>VLOOKUP(AJ361,'FRC Site Data'!$B$3:$L$42,2,FALSE)</f>
        <v>#N/A</v>
      </c>
      <c r="S369" s="10" t="e">
        <f>VLOOKUP(AJ361,'FRC Site Data'!$B$3:$L$42,3,FALSE)</f>
        <v>#N/A</v>
      </c>
      <c r="T369" s="10" t="e">
        <f>VLOOKUP(AJ361,'FRC Site Data'!$B$3:$L$42,4,FALSE)</f>
        <v>#N/A</v>
      </c>
      <c r="U369" s="10" t="e">
        <f>VLOOKUP(AJ361,'FRC Site Data'!$B$3:$L$42,5,FALSE)</f>
        <v>#N/A</v>
      </c>
      <c r="V369" s="10" t="e">
        <f>VLOOKUP(AJ361,'FRC Site Data'!$B$3:$L$42,6,FALSE)</f>
        <v>#N/A</v>
      </c>
      <c r="W369" s="10" t="e">
        <f>VLOOKUP(AJ361,'FRC Site Data'!$B$3:$L$42,8,FALSE)</f>
        <v>#N/A</v>
      </c>
      <c r="X369" s="10" t="e">
        <f>VLOOKUP(AJ361,'FRC Site Data'!$B$3:$L$42,9,FALSE)</f>
        <v>#N/A</v>
      </c>
      <c r="Y369" s="10" t="e">
        <f>VLOOKUP(AJ361,'FRC Site Data'!$B$3:$L$42,10,FALSE)</f>
        <v>#N/A</v>
      </c>
      <c r="Z369" s="10" t="e">
        <f>VLOOKUP(AJ361,'FRC Site Data'!$B$3:$L$42,11,FALSE)</f>
        <v>#N/A</v>
      </c>
      <c r="AA369" s="10" t="e">
        <f>VLOOKUP(AJ361,'CIR Team Info'!$C$5:$E$44,4,FALSE)</f>
        <v>#N/A</v>
      </c>
      <c r="AB369" s="161" t="b">
        <f>ISNUMBER(VLOOKUP(AJ361,Match!$T$5:$T$10,1,FALSE))</f>
        <v>0</v>
      </c>
      <c r="AC369" s="161" t="b">
        <f>IF(AB369=TRUE,(VLOOKUP($AJ361,Match!$T$5:$U$10,2,FALSE)))</f>
        <v>0</v>
      </c>
      <c r="AD369" s="8">
        <v>3</v>
      </c>
      <c r="AE369" s="8">
        <v>2</v>
      </c>
      <c r="AF369" s="8">
        <v>2</v>
      </c>
      <c r="AG369" s="8">
        <v>1</v>
      </c>
      <c r="AH369" s="8" t="str">
        <f t="shared" si="96"/>
        <v/>
      </c>
      <c r="AI369" s="12"/>
      <c r="AZ369" s="12"/>
      <c r="BC369" s="12"/>
      <c r="BK369" s="12"/>
    </row>
    <row r="370" spans="1:63" x14ac:dyDescent="0.25">
      <c r="A370" s="29">
        <f t="shared" si="97"/>
        <v>0</v>
      </c>
      <c r="B370" s="29">
        <f t="shared" si="83"/>
        <v>0</v>
      </c>
      <c r="C370" s="29">
        <f t="shared" si="84"/>
        <v>0</v>
      </c>
      <c r="D370" s="29">
        <f t="shared" si="85"/>
        <v>0</v>
      </c>
      <c r="E370" s="29">
        <f t="shared" si="82"/>
        <v>0</v>
      </c>
      <c r="F370" s="29">
        <f t="shared" si="86"/>
        <v>0</v>
      </c>
      <c r="G370" s="29" t="str">
        <f t="shared" si="87"/>
        <v>offensive</v>
      </c>
      <c r="H370" s="16">
        <f t="shared" si="88"/>
        <v>0</v>
      </c>
      <c r="I370" s="16">
        <f t="shared" si="89"/>
        <v>0</v>
      </c>
      <c r="J370" s="16">
        <f t="shared" si="90"/>
        <v>0</v>
      </c>
      <c r="K370" s="16">
        <f t="shared" si="91"/>
        <v>0</v>
      </c>
      <c r="L370" s="67">
        <f t="shared" si="92"/>
        <v>0</v>
      </c>
      <c r="M370" s="4">
        <f t="shared" si="93"/>
        <v>0</v>
      </c>
      <c r="N370" s="4">
        <f t="shared" si="94"/>
        <v>0</v>
      </c>
      <c r="O370" s="4">
        <f t="shared" si="95"/>
        <v>0</v>
      </c>
      <c r="P370" s="4" t="e">
        <f>VLOOKUP(AJ362,'CIR Team Info'!$C$5:$E$44,2,FALSE)</f>
        <v>#N/A</v>
      </c>
      <c r="Q370" s="4" t="e">
        <f>VLOOKUP(AJ362,'CIR Team Info'!$C$5:$E$44,3,FALSE)</f>
        <v>#N/A</v>
      </c>
      <c r="R370" s="10" t="e">
        <f>VLOOKUP(AJ362,'FRC Site Data'!$B$3:$L$42,2,FALSE)</f>
        <v>#N/A</v>
      </c>
      <c r="S370" s="10" t="e">
        <f>VLOOKUP(AJ362,'FRC Site Data'!$B$3:$L$42,3,FALSE)</f>
        <v>#N/A</v>
      </c>
      <c r="T370" s="10" t="e">
        <f>VLOOKUP(AJ362,'FRC Site Data'!$B$3:$L$42,4,FALSE)</f>
        <v>#N/A</v>
      </c>
      <c r="U370" s="10" t="e">
        <f>VLOOKUP(AJ362,'FRC Site Data'!$B$3:$L$42,5,FALSE)</f>
        <v>#N/A</v>
      </c>
      <c r="V370" s="10" t="e">
        <f>VLOOKUP(AJ362,'FRC Site Data'!$B$3:$L$42,6,FALSE)</f>
        <v>#N/A</v>
      </c>
      <c r="W370" s="10" t="e">
        <f>VLOOKUP(AJ362,'FRC Site Data'!$B$3:$L$42,8,FALSE)</f>
        <v>#N/A</v>
      </c>
      <c r="X370" s="10" t="e">
        <f>VLOOKUP(AJ362,'FRC Site Data'!$B$3:$L$42,9,FALSE)</f>
        <v>#N/A</v>
      </c>
      <c r="Y370" s="10" t="e">
        <f>VLOOKUP(AJ362,'FRC Site Data'!$B$3:$L$42,10,FALSE)</f>
        <v>#N/A</v>
      </c>
      <c r="Z370" s="10" t="e">
        <f>VLOOKUP(AJ362,'FRC Site Data'!$B$3:$L$42,11,FALSE)</f>
        <v>#N/A</v>
      </c>
      <c r="AA370" s="10" t="e">
        <f>VLOOKUP(AJ362,'CIR Team Info'!$C$5:$E$44,4,FALSE)</f>
        <v>#N/A</v>
      </c>
      <c r="AB370" s="161" t="b">
        <f>ISNUMBER(VLOOKUP(AJ362,Match!$T$5:$T$10,1,FALSE))</f>
        <v>0</v>
      </c>
      <c r="AC370" s="161" t="b">
        <f>IF(AB370=TRUE,(VLOOKUP($AJ362,Match!$T$5:$U$10,2,FALSE)))</f>
        <v>0</v>
      </c>
      <c r="AD370" s="8">
        <v>3</v>
      </c>
      <c r="AE370" s="8">
        <v>2</v>
      </c>
      <c r="AF370" s="8">
        <v>2</v>
      </c>
      <c r="AG370" s="8">
        <v>1</v>
      </c>
      <c r="AH370" s="8" t="str">
        <f t="shared" si="96"/>
        <v/>
      </c>
      <c r="AI370" s="12"/>
      <c r="AZ370" s="12"/>
      <c r="BC370" s="12"/>
      <c r="BK370" s="12"/>
    </row>
    <row r="371" spans="1:63" x14ac:dyDescent="0.25">
      <c r="A371" s="29">
        <f t="shared" si="97"/>
        <v>0</v>
      </c>
      <c r="B371" s="29">
        <f t="shared" si="83"/>
        <v>0</v>
      </c>
      <c r="C371" s="29">
        <f t="shared" si="84"/>
        <v>0</v>
      </c>
      <c r="D371" s="29">
        <f t="shared" si="85"/>
        <v>0</v>
      </c>
      <c r="E371" s="29">
        <f t="shared" si="82"/>
        <v>0</v>
      </c>
      <c r="F371" s="29">
        <f t="shared" si="86"/>
        <v>0</v>
      </c>
      <c r="G371" s="29" t="str">
        <f t="shared" si="87"/>
        <v>offensive</v>
      </c>
      <c r="H371" s="16">
        <f t="shared" si="88"/>
        <v>0</v>
      </c>
      <c r="I371" s="16">
        <f t="shared" si="89"/>
        <v>0</v>
      </c>
      <c r="J371" s="16">
        <f t="shared" si="90"/>
        <v>0</v>
      </c>
      <c r="K371" s="16">
        <f t="shared" si="91"/>
        <v>0</v>
      </c>
      <c r="L371" s="67">
        <f t="shared" si="92"/>
        <v>0</v>
      </c>
      <c r="M371" s="4">
        <f t="shared" si="93"/>
        <v>0</v>
      </c>
      <c r="N371" s="4">
        <f t="shared" si="94"/>
        <v>0</v>
      </c>
      <c r="O371" s="4">
        <f t="shared" si="95"/>
        <v>0</v>
      </c>
      <c r="P371" s="4" t="e">
        <f>VLOOKUP(AJ363,'CIR Team Info'!$C$5:$E$44,2,FALSE)</f>
        <v>#N/A</v>
      </c>
      <c r="Q371" s="4" t="e">
        <f>VLOOKUP(AJ363,'CIR Team Info'!$C$5:$E$44,3,FALSE)</f>
        <v>#N/A</v>
      </c>
      <c r="R371" s="10" t="e">
        <f>VLOOKUP(AJ363,'FRC Site Data'!$B$3:$L$42,2,FALSE)</f>
        <v>#N/A</v>
      </c>
      <c r="S371" s="10" t="e">
        <f>VLOOKUP(AJ363,'FRC Site Data'!$B$3:$L$42,3,FALSE)</f>
        <v>#N/A</v>
      </c>
      <c r="T371" s="10" t="e">
        <f>VLOOKUP(AJ363,'FRC Site Data'!$B$3:$L$42,4,FALSE)</f>
        <v>#N/A</v>
      </c>
      <c r="U371" s="10" t="e">
        <f>VLOOKUP(AJ363,'FRC Site Data'!$B$3:$L$42,5,FALSE)</f>
        <v>#N/A</v>
      </c>
      <c r="V371" s="10" t="e">
        <f>VLOOKUP(AJ363,'FRC Site Data'!$B$3:$L$42,6,FALSE)</f>
        <v>#N/A</v>
      </c>
      <c r="W371" s="10" t="e">
        <f>VLOOKUP(AJ363,'FRC Site Data'!$B$3:$L$42,8,FALSE)</f>
        <v>#N/A</v>
      </c>
      <c r="X371" s="10" t="e">
        <f>VLOOKUP(AJ363,'FRC Site Data'!$B$3:$L$42,9,FALSE)</f>
        <v>#N/A</v>
      </c>
      <c r="Y371" s="10" t="e">
        <f>VLOOKUP(AJ363,'FRC Site Data'!$B$3:$L$42,10,FALSE)</f>
        <v>#N/A</v>
      </c>
      <c r="Z371" s="10" t="e">
        <f>VLOOKUP(AJ363,'FRC Site Data'!$B$3:$L$42,11,FALSE)</f>
        <v>#N/A</v>
      </c>
      <c r="AA371" s="10" t="e">
        <f>VLOOKUP(AJ363,'CIR Team Info'!$C$5:$E$44,4,FALSE)</f>
        <v>#N/A</v>
      </c>
      <c r="AB371" s="161" t="b">
        <f>ISNUMBER(VLOOKUP(AJ363,Match!$T$5:$T$10,1,FALSE))</f>
        <v>0</v>
      </c>
      <c r="AC371" s="161" t="b">
        <f>IF(AB371=TRUE,(VLOOKUP($AJ363,Match!$T$5:$U$10,2,FALSE)))</f>
        <v>0</v>
      </c>
      <c r="AD371" s="8">
        <v>3</v>
      </c>
      <c r="AE371" s="8">
        <v>2</v>
      </c>
      <c r="AF371" s="8">
        <v>2</v>
      </c>
      <c r="AG371" s="8">
        <v>1</v>
      </c>
      <c r="AH371" s="8" t="str">
        <f t="shared" si="96"/>
        <v/>
      </c>
      <c r="AI371" s="12"/>
      <c r="AZ371" s="12"/>
      <c r="BC371" s="12"/>
      <c r="BK371" s="12"/>
    </row>
    <row r="372" spans="1:63" x14ac:dyDescent="0.25">
      <c r="A372" s="29">
        <f t="shared" si="97"/>
        <v>0</v>
      </c>
      <c r="B372" s="29">
        <f t="shared" si="83"/>
        <v>0</v>
      </c>
      <c r="C372" s="29">
        <f t="shared" si="84"/>
        <v>0</v>
      </c>
      <c r="D372" s="29">
        <f t="shared" si="85"/>
        <v>0</v>
      </c>
      <c r="E372" s="29">
        <f t="shared" si="82"/>
        <v>0</v>
      </c>
      <c r="F372" s="29">
        <f t="shared" si="86"/>
        <v>0</v>
      </c>
      <c r="G372" s="29" t="str">
        <f t="shared" si="87"/>
        <v>offensive</v>
      </c>
      <c r="H372" s="16">
        <f t="shared" si="88"/>
        <v>0</v>
      </c>
      <c r="I372" s="16">
        <f t="shared" si="89"/>
        <v>0</v>
      </c>
      <c r="J372" s="16">
        <f t="shared" si="90"/>
        <v>0</v>
      </c>
      <c r="K372" s="16">
        <f t="shared" si="91"/>
        <v>0</v>
      </c>
      <c r="L372" s="67">
        <f t="shared" si="92"/>
        <v>0</v>
      </c>
      <c r="M372" s="4">
        <f t="shared" si="93"/>
        <v>0</v>
      </c>
      <c r="N372" s="4">
        <f t="shared" si="94"/>
        <v>0</v>
      </c>
      <c r="O372" s="4">
        <f t="shared" si="95"/>
        <v>0</v>
      </c>
      <c r="P372" s="4" t="e">
        <f>VLOOKUP(AJ364,'CIR Team Info'!$C$5:$E$44,2,FALSE)</f>
        <v>#N/A</v>
      </c>
      <c r="Q372" s="4" t="e">
        <f>VLOOKUP(AJ364,'CIR Team Info'!$C$5:$E$44,3,FALSE)</f>
        <v>#N/A</v>
      </c>
      <c r="R372" s="10" t="e">
        <f>VLOOKUP(AJ364,'FRC Site Data'!$B$3:$L$42,2,FALSE)</f>
        <v>#N/A</v>
      </c>
      <c r="S372" s="10" t="e">
        <f>VLOOKUP(AJ364,'FRC Site Data'!$B$3:$L$42,3,FALSE)</f>
        <v>#N/A</v>
      </c>
      <c r="T372" s="10" t="e">
        <f>VLOOKUP(AJ364,'FRC Site Data'!$B$3:$L$42,4,FALSE)</f>
        <v>#N/A</v>
      </c>
      <c r="U372" s="10" t="e">
        <f>VLOOKUP(AJ364,'FRC Site Data'!$B$3:$L$42,5,FALSE)</f>
        <v>#N/A</v>
      </c>
      <c r="V372" s="10" t="e">
        <f>VLOOKUP(AJ364,'FRC Site Data'!$B$3:$L$42,6,FALSE)</f>
        <v>#N/A</v>
      </c>
      <c r="W372" s="10" t="e">
        <f>VLOOKUP(AJ364,'FRC Site Data'!$B$3:$L$42,8,FALSE)</f>
        <v>#N/A</v>
      </c>
      <c r="X372" s="10" t="e">
        <f>VLOOKUP(AJ364,'FRC Site Data'!$B$3:$L$42,9,FALSE)</f>
        <v>#N/A</v>
      </c>
      <c r="Y372" s="10" t="e">
        <f>VLOOKUP(AJ364,'FRC Site Data'!$B$3:$L$42,10,FALSE)</f>
        <v>#N/A</v>
      </c>
      <c r="Z372" s="10" t="e">
        <f>VLOOKUP(AJ364,'FRC Site Data'!$B$3:$L$42,11,FALSE)</f>
        <v>#N/A</v>
      </c>
      <c r="AA372" s="10" t="e">
        <f>VLOOKUP(AJ364,'CIR Team Info'!$C$5:$E$44,4,FALSE)</f>
        <v>#N/A</v>
      </c>
      <c r="AB372" s="161" t="b">
        <f>ISNUMBER(VLOOKUP(AJ364,Match!$T$5:$T$10,1,FALSE))</f>
        <v>0</v>
      </c>
      <c r="AC372" s="161" t="b">
        <f>IF(AB372=TRUE,(VLOOKUP($AJ364,Match!$T$5:$U$10,2,FALSE)))</f>
        <v>0</v>
      </c>
      <c r="AD372" s="8">
        <v>3</v>
      </c>
      <c r="AE372" s="8">
        <v>2</v>
      </c>
      <c r="AF372" s="8">
        <v>2</v>
      </c>
      <c r="AG372" s="8">
        <v>1</v>
      </c>
      <c r="AH372" s="8" t="str">
        <f t="shared" si="96"/>
        <v/>
      </c>
      <c r="AI372" s="12"/>
      <c r="AZ372" s="12"/>
      <c r="BC372" s="12"/>
      <c r="BK372" s="12"/>
    </row>
    <row r="373" spans="1:63" x14ac:dyDescent="0.25">
      <c r="A373" s="29">
        <f t="shared" si="97"/>
        <v>0</v>
      </c>
      <c r="B373" s="29">
        <f t="shared" si="83"/>
        <v>0</v>
      </c>
      <c r="C373" s="29">
        <f t="shared" si="84"/>
        <v>0</v>
      </c>
      <c r="D373" s="29">
        <f t="shared" si="85"/>
        <v>0</v>
      </c>
      <c r="E373" s="29">
        <f t="shared" si="82"/>
        <v>0</v>
      </c>
      <c r="F373" s="29">
        <f t="shared" si="86"/>
        <v>0</v>
      </c>
      <c r="G373" s="29" t="str">
        <f t="shared" si="87"/>
        <v>offensive</v>
      </c>
      <c r="H373" s="16">
        <f t="shared" si="88"/>
        <v>0</v>
      </c>
      <c r="I373" s="16">
        <f t="shared" si="89"/>
        <v>0</v>
      </c>
      <c r="J373" s="16">
        <f t="shared" si="90"/>
        <v>0</v>
      </c>
      <c r="K373" s="16">
        <f t="shared" si="91"/>
        <v>0</v>
      </c>
      <c r="L373" s="67">
        <f t="shared" si="92"/>
        <v>0</v>
      </c>
      <c r="M373" s="4">
        <f t="shared" si="93"/>
        <v>0</v>
      </c>
      <c r="N373" s="4">
        <f t="shared" si="94"/>
        <v>0</v>
      </c>
      <c r="O373" s="4">
        <f t="shared" si="95"/>
        <v>0</v>
      </c>
      <c r="P373" s="4" t="e">
        <f>VLOOKUP(AJ365,'CIR Team Info'!$C$5:$E$44,2,FALSE)</f>
        <v>#N/A</v>
      </c>
      <c r="Q373" s="4" t="e">
        <f>VLOOKUP(AJ365,'CIR Team Info'!$C$5:$E$44,3,FALSE)</f>
        <v>#N/A</v>
      </c>
      <c r="R373" s="10" t="e">
        <f>VLOOKUP(AJ365,'FRC Site Data'!$B$3:$L$42,2,FALSE)</f>
        <v>#N/A</v>
      </c>
      <c r="S373" s="10" t="e">
        <f>VLOOKUP(AJ365,'FRC Site Data'!$B$3:$L$42,3,FALSE)</f>
        <v>#N/A</v>
      </c>
      <c r="T373" s="10" t="e">
        <f>VLOOKUP(AJ365,'FRC Site Data'!$B$3:$L$42,4,FALSE)</f>
        <v>#N/A</v>
      </c>
      <c r="U373" s="10" t="e">
        <f>VLOOKUP(AJ365,'FRC Site Data'!$B$3:$L$42,5,FALSE)</f>
        <v>#N/A</v>
      </c>
      <c r="V373" s="10" t="e">
        <f>VLOOKUP(AJ365,'FRC Site Data'!$B$3:$L$42,6,FALSE)</f>
        <v>#N/A</v>
      </c>
      <c r="W373" s="10" t="e">
        <f>VLOOKUP(AJ365,'FRC Site Data'!$B$3:$L$42,8,FALSE)</f>
        <v>#N/A</v>
      </c>
      <c r="X373" s="10" t="e">
        <f>VLOOKUP(AJ365,'FRC Site Data'!$B$3:$L$42,9,FALSE)</f>
        <v>#N/A</v>
      </c>
      <c r="Y373" s="10" t="e">
        <f>VLOOKUP(AJ365,'FRC Site Data'!$B$3:$L$42,10,FALSE)</f>
        <v>#N/A</v>
      </c>
      <c r="Z373" s="10" t="e">
        <f>VLOOKUP(AJ365,'FRC Site Data'!$B$3:$L$42,11,FALSE)</f>
        <v>#N/A</v>
      </c>
      <c r="AA373" s="10" t="e">
        <f>VLOOKUP(AJ365,'CIR Team Info'!$C$5:$E$44,4,FALSE)</f>
        <v>#N/A</v>
      </c>
      <c r="AB373" s="161" t="b">
        <f>ISNUMBER(VLOOKUP(AJ365,Match!$T$5:$T$10,1,FALSE))</f>
        <v>0</v>
      </c>
      <c r="AC373" s="161" t="b">
        <f>IF(AB373=TRUE,(VLOOKUP($AJ365,Match!$T$5:$U$10,2,FALSE)))</f>
        <v>0</v>
      </c>
      <c r="AD373" s="8">
        <v>3</v>
      </c>
      <c r="AE373" s="8">
        <v>2</v>
      </c>
      <c r="AF373" s="8">
        <v>2</v>
      </c>
      <c r="AG373" s="8">
        <v>1</v>
      </c>
      <c r="AH373" s="8" t="str">
        <f t="shared" si="96"/>
        <v/>
      </c>
      <c r="AI373" s="12"/>
      <c r="AZ373" s="12"/>
      <c r="BC373" s="12"/>
      <c r="BK373" s="12"/>
    </row>
    <row r="374" spans="1:63" x14ac:dyDescent="0.25">
      <c r="A374" s="29">
        <f t="shared" si="97"/>
        <v>0</v>
      </c>
      <c r="B374" s="29">
        <f t="shared" si="83"/>
        <v>0</v>
      </c>
      <c r="C374" s="29">
        <f t="shared" si="84"/>
        <v>0</v>
      </c>
      <c r="D374" s="29">
        <f t="shared" si="85"/>
        <v>0</v>
      </c>
      <c r="E374" s="29">
        <f t="shared" si="82"/>
        <v>0</v>
      </c>
      <c r="F374" s="29">
        <f t="shared" si="86"/>
        <v>0</v>
      </c>
      <c r="G374" s="29" t="str">
        <f t="shared" si="87"/>
        <v>offensive</v>
      </c>
      <c r="H374" s="16">
        <f t="shared" si="88"/>
        <v>0</v>
      </c>
      <c r="I374" s="16">
        <f t="shared" si="89"/>
        <v>0</v>
      </c>
      <c r="J374" s="16">
        <f t="shared" si="90"/>
        <v>0</v>
      </c>
      <c r="K374" s="16">
        <f t="shared" si="91"/>
        <v>0</v>
      </c>
      <c r="L374" s="67">
        <f t="shared" si="92"/>
        <v>0</v>
      </c>
      <c r="M374" s="4">
        <f t="shared" si="93"/>
        <v>0</v>
      </c>
      <c r="N374" s="4">
        <f t="shared" si="94"/>
        <v>0</v>
      </c>
      <c r="O374" s="4">
        <f t="shared" si="95"/>
        <v>0</v>
      </c>
      <c r="P374" s="4" t="e">
        <f>VLOOKUP(AJ366,'CIR Team Info'!$C$5:$E$44,2,FALSE)</f>
        <v>#N/A</v>
      </c>
      <c r="Q374" s="4" t="e">
        <f>VLOOKUP(AJ366,'CIR Team Info'!$C$5:$E$44,3,FALSE)</f>
        <v>#N/A</v>
      </c>
      <c r="R374" s="10" t="e">
        <f>VLOOKUP(AJ366,'FRC Site Data'!$B$3:$L$42,2,FALSE)</f>
        <v>#N/A</v>
      </c>
      <c r="S374" s="10" t="e">
        <f>VLOOKUP(AJ366,'FRC Site Data'!$B$3:$L$42,3,FALSE)</f>
        <v>#N/A</v>
      </c>
      <c r="T374" s="10" t="e">
        <f>VLOOKUP(AJ366,'FRC Site Data'!$B$3:$L$42,4,FALSE)</f>
        <v>#N/A</v>
      </c>
      <c r="U374" s="10" t="e">
        <f>VLOOKUP(AJ366,'FRC Site Data'!$B$3:$L$42,5,FALSE)</f>
        <v>#N/A</v>
      </c>
      <c r="V374" s="10" t="e">
        <f>VLOOKUP(AJ366,'FRC Site Data'!$B$3:$L$42,6,FALSE)</f>
        <v>#N/A</v>
      </c>
      <c r="W374" s="10" t="e">
        <f>VLOOKUP(AJ366,'FRC Site Data'!$B$3:$L$42,8,FALSE)</f>
        <v>#N/A</v>
      </c>
      <c r="X374" s="10" t="e">
        <f>VLOOKUP(AJ366,'FRC Site Data'!$B$3:$L$42,9,FALSE)</f>
        <v>#N/A</v>
      </c>
      <c r="Y374" s="10" t="e">
        <f>VLOOKUP(AJ366,'FRC Site Data'!$B$3:$L$42,10,FALSE)</f>
        <v>#N/A</v>
      </c>
      <c r="Z374" s="10" t="e">
        <f>VLOOKUP(AJ366,'FRC Site Data'!$B$3:$L$42,11,FALSE)</f>
        <v>#N/A</v>
      </c>
      <c r="AA374" s="10" t="e">
        <f>VLOOKUP(AJ366,'CIR Team Info'!$C$5:$E$44,4,FALSE)</f>
        <v>#N/A</v>
      </c>
      <c r="AB374" s="161" t="b">
        <f>ISNUMBER(VLOOKUP(AJ366,Match!$T$5:$T$10,1,FALSE))</f>
        <v>0</v>
      </c>
      <c r="AC374" s="161" t="b">
        <f>IF(AB374=TRUE,(VLOOKUP($AJ366,Match!$T$5:$U$10,2,FALSE)))</f>
        <v>0</v>
      </c>
      <c r="AD374" s="8">
        <v>3</v>
      </c>
      <c r="AE374" s="8">
        <v>2</v>
      </c>
      <c r="AF374" s="8">
        <v>2</v>
      </c>
      <c r="AG374" s="8">
        <v>1</v>
      </c>
      <c r="AH374" s="8" t="str">
        <f t="shared" si="96"/>
        <v/>
      </c>
      <c r="AI374" s="12"/>
      <c r="AZ374" s="12"/>
      <c r="BC374" s="12"/>
      <c r="BK374" s="12"/>
    </row>
    <row r="375" spans="1:63" x14ac:dyDescent="0.25">
      <c r="A375" s="29">
        <f t="shared" si="97"/>
        <v>0</v>
      </c>
      <c r="B375" s="29">
        <f t="shared" si="83"/>
        <v>0</v>
      </c>
      <c r="C375" s="29">
        <f t="shared" si="84"/>
        <v>0</v>
      </c>
      <c r="D375" s="29">
        <f t="shared" si="85"/>
        <v>0</v>
      </c>
      <c r="E375" s="29">
        <f t="shared" si="82"/>
        <v>0</v>
      </c>
      <c r="F375" s="29">
        <f t="shared" si="86"/>
        <v>0</v>
      </c>
      <c r="G375" s="29" t="str">
        <f t="shared" si="87"/>
        <v>offensive</v>
      </c>
      <c r="H375" s="16">
        <f t="shared" si="88"/>
        <v>0</v>
      </c>
      <c r="I375" s="16">
        <f t="shared" si="89"/>
        <v>0</v>
      </c>
      <c r="J375" s="16">
        <f t="shared" si="90"/>
        <v>0</v>
      </c>
      <c r="K375" s="16">
        <f t="shared" si="91"/>
        <v>0</v>
      </c>
      <c r="L375" s="67">
        <f t="shared" si="92"/>
        <v>0</v>
      </c>
      <c r="M375" s="4">
        <f t="shared" si="93"/>
        <v>0</v>
      </c>
      <c r="N375" s="4">
        <f t="shared" si="94"/>
        <v>0</v>
      </c>
      <c r="O375" s="4">
        <f t="shared" si="95"/>
        <v>0</v>
      </c>
      <c r="P375" s="4" t="e">
        <f>VLOOKUP(AJ367,'CIR Team Info'!$C$5:$E$44,2,FALSE)</f>
        <v>#N/A</v>
      </c>
      <c r="Q375" s="4" t="e">
        <f>VLOOKUP(AJ367,'CIR Team Info'!$C$5:$E$44,3,FALSE)</f>
        <v>#N/A</v>
      </c>
      <c r="R375" s="10" t="e">
        <f>VLOOKUP(AJ367,'FRC Site Data'!$B$3:$L$42,2,FALSE)</f>
        <v>#N/A</v>
      </c>
      <c r="S375" s="10" t="e">
        <f>VLOOKUP(AJ367,'FRC Site Data'!$B$3:$L$42,3,FALSE)</f>
        <v>#N/A</v>
      </c>
      <c r="T375" s="10" t="e">
        <f>VLOOKUP(AJ367,'FRC Site Data'!$B$3:$L$42,4,FALSE)</f>
        <v>#N/A</v>
      </c>
      <c r="U375" s="10" t="e">
        <f>VLOOKUP(AJ367,'FRC Site Data'!$B$3:$L$42,5,FALSE)</f>
        <v>#N/A</v>
      </c>
      <c r="V375" s="10" t="e">
        <f>VLOOKUP(AJ367,'FRC Site Data'!$B$3:$L$42,6,FALSE)</f>
        <v>#N/A</v>
      </c>
      <c r="W375" s="10" t="e">
        <f>VLOOKUP(AJ367,'FRC Site Data'!$B$3:$L$42,8,FALSE)</f>
        <v>#N/A</v>
      </c>
      <c r="X375" s="10" t="e">
        <f>VLOOKUP(AJ367,'FRC Site Data'!$B$3:$L$42,9,FALSE)</f>
        <v>#N/A</v>
      </c>
      <c r="Y375" s="10" t="e">
        <f>VLOOKUP(AJ367,'FRC Site Data'!$B$3:$L$42,10,FALSE)</f>
        <v>#N/A</v>
      </c>
      <c r="Z375" s="10" t="e">
        <f>VLOOKUP(AJ367,'FRC Site Data'!$B$3:$L$42,11,FALSE)</f>
        <v>#N/A</v>
      </c>
      <c r="AA375" s="10" t="e">
        <f>VLOOKUP(AJ367,'CIR Team Info'!$C$5:$E$44,4,FALSE)</f>
        <v>#N/A</v>
      </c>
      <c r="AB375" s="161" t="b">
        <f>ISNUMBER(VLOOKUP(AJ367,Match!$T$5:$T$10,1,FALSE))</f>
        <v>0</v>
      </c>
      <c r="AC375" s="161" t="b">
        <f>IF(AB375=TRUE,(VLOOKUP($AJ367,Match!$T$5:$U$10,2,FALSE)))</f>
        <v>0</v>
      </c>
      <c r="AD375" s="8">
        <v>3</v>
      </c>
      <c r="AE375" s="8">
        <v>2</v>
      </c>
      <c r="AF375" s="8">
        <v>2</v>
      </c>
      <c r="AG375" s="8">
        <v>1</v>
      </c>
      <c r="AH375" s="8" t="str">
        <f t="shared" si="96"/>
        <v/>
      </c>
      <c r="AI375" s="12"/>
      <c r="AZ375" s="12"/>
      <c r="BC375" s="12"/>
      <c r="BK375" s="12"/>
    </row>
    <row r="376" spans="1:63" x14ac:dyDescent="0.25">
      <c r="A376" s="29">
        <f t="shared" si="97"/>
        <v>0</v>
      </c>
      <c r="B376" s="29">
        <f t="shared" si="83"/>
        <v>0</v>
      </c>
      <c r="C376" s="29">
        <f t="shared" si="84"/>
        <v>0</v>
      </c>
      <c r="D376" s="29">
        <f t="shared" si="85"/>
        <v>0</v>
      </c>
      <c r="E376" s="29">
        <f t="shared" si="82"/>
        <v>0</v>
      </c>
      <c r="F376" s="29">
        <f t="shared" si="86"/>
        <v>0</v>
      </c>
      <c r="G376" s="29" t="str">
        <f t="shared" si="87"/>
        <v>offensive</v>
      </c>
      <c r="H376" s="16">
        <f t="shared" si="88"/>
        <v>0</v>
      </c>
      <c r="I376" s="16">
        <f t="shared" si="89"/>
        <v>0</v>
      </c>
      <c r="J376" s="16">
        <f t="shared" si="90"/>
        <v>0</v>
      </c>
      <c r="K376" s="16">
        <f t="shared" si="91"/>
        <v>0</v>
      </c>
      <c r="L376" s="67">
        <f t="shared" si="92"/>
        <v>0</v>
      </c>
      <c r="M376" s="4">
        <f t="shared" si="93"/>
        <v>0</v>
      </c>
      <c r="N376" s="4">
        <f t="shared" si="94"/>
        <v>0</v>
      </c>
      <c r="O376" s="4">
        <f t="shared" si="95"/>
        <v>0</v>
      </c>
      <c r="P376" s="4" t="e">
        <f>VLOOKUP(AJ368,'CIR Team Info'!$C$5:$E$44,2,FALSE)</f>
        <v>#N/A</v>
      </c>
      <c r="Q376" s="4" t="e">
        <f>VLOOKUP(AJ368,'CIR Team Info'!$C$5:$E$44,3,FALSE)</f>
        <v>#N/A</v>
      </c>
      <c r="R376" s="10" t="e">
        <f>VLOOKUP(AJ368,'FRC Site Data'!$B$3:$L$42,2,FALSE)</f>
        <v>#N/A</v>
      </c>
      <c r="S376" s="10" t="e">
        <f>VLOOKUP(AJ368,'FRC Site Data'!$B$3:$L$42,3,FALSE)</f>
        <v>#N/A</v>
      </c>
      <c r="T376" s="10" t="e">
        <f>VLOOKUP(AJ368,'FRC Site Data'!$B$3:$L$42,4,FALSE)</f>
        <v>#N/A</v>
      </c>
      <c r="U376" s="10" t="e">
        <f>VLOOKUP(AJ368,'FRC Site Data'!$B$3:$L$42,5,FALSE)</f>
        <v>#N/A</v>
      </c>
      <c r="V376" s="10" t="e">
        <f>VLOOKUP(AJ368,'FRC Site Data'!$B$3:$L$42,6,FALSE)</f>
        <v>#N/A</v>
      </c>
      <c r="W376" s="10" t="e">
        <f>VLOOKUP(AJ368,'FRC Site Data'!$B$3:$L$42,8,FALSE)</f>
        <v>#N/A</v>
      </c>
      <c r="X376" s="10" t="e">
        <f>VLOOKUP(AJ368,'FRC Site Data'!$B$3:$L$42,9,FALSE)</f>
        <v>#N/A</v>
      </c>
      <c r="Y376" s="10" t="e">
        <f>VLOOKUP(AJ368,'FRC Site Data'!$B$3:$L$42,10,FALSE)</f>
        <v>#N/A</v>
      </c>
      <c r="Z376" s="10" t="e">
        <f>VLOOKUP(AJ368,'FRC Site Data'!$B$3:$L$42,11,FALSE)</f>
        <v>#N/A</v>
      </c>
      <c r="AA376" s="10" t="e">
        <f>VLOOKUP(AJ368,'CIR Team Info'!$C$5:$E$44,4,FALSE)</f>
        <v>#N/A</v>
      </c>
      <c r="AB376" s="161" t="b">
        <f>ISNUMBER(VLOOKUP(AJ368,Match!$T$5:$T$10,1,FALSE))</f>
        <v>0</v>
      </c>
      <c r="AC376" s="161" t="b">
        <f>IF(AB376=TRUE,(VLOOKUP($AJ368,Match!$T$5:$U$10,2,FALSE)))</f>
        <v>0</v>
      </c>
      <c r="AD376" s="8">
        <v>3</v>
      </c>
      <c r="AE376" s="8">
        <v>2</v>
      </c>
      <c r="AF376" s="8">
        <v>2</v>
      </c>
      <c r="AG376" s="8">
        <v>1</v>
      </c>
      <c r="AH376" s="8" t="str">
        <f t="shared" si="96"/>
        <v/>
      </c>
      <c r="AI376" s="12"/>
      <c r="AZ376" s="12"/>
      <c r="BC376" s="12"/>
      <c r="BK376" s="12"/>
    </row>
    <row r="377" spans="1:63" x14ac:dyDescent="0.25">
      <c r="A377" s="29">
        <f t="shared" si="97"/>
        <v>0</v>
      </c>
      <c r="B377" s="29">
        <f t="shared" si="83"/>
        <v>0</v>
      </c>
      <c r="C377" s="29">
        <f t="shared" si="84"/>
        <v>0</v>
      </c>
      <c r="D377" s="29">
        <f t="shared" si="85"/>
        <v>0</v>
      </c>
      <c r="E377" s="29">
        <f t="shared" si="82"/>
        <v>0</v>
      </c>
      <c r="F377" s="29">
        <f t="shared" si="86"/>
        <v>0</v>
      </c>
      <c r="G377" s="29" t="str">
        <f t="shared" si="87"/>
        <v>offensive</v>
      </c>
      <c r="H377" s="16">
        <f t="shared" si="88"/>
        <v>0</v>
      </c>
      <c r="I377" s="16">
        <f t="shared" si="89"/>
        <v>0</v>
      </c>
      <c r="J377" s="16">
        <f t="shared" si="90"/>
        <v>0</v>
      </c>
      <c r="K377" s="16">
        <f t="shared" si="91"/>
        <v>0</v>
      </c>
      <c r="L377" s="67">
        <f t="shared" si="92"/>
        <v>0</v>
      </c>
      <c r="M377" s="4">
        <f t="shared" si="93"/>
        <v>0</v>
      </c>
      <c r="N377" s="4">
        <f t="shared" si="94"/>
        <v>0</v>
      </c>
      <c r="O377" s="4">
        <f t="shared" si="95"/>
        <v>0</v>
      </c>
      <c r="P377" s="4" t="e">
        <f>VLOOKUP(AJ369,'CIR Team Info'!$C$5:$E$44,2,FALSE)</f>
        <v>#N/A</v>
      </c>
      <c r="Q377" s="4" t="e">
        <f>VLOOKUP(AJ369,'CIR Team Info'!$C$5:$E$44,3,FALSE)</f>
        <v>#N/A</v>
      </c>
      <c r="R377" s="10" t="e">
        <f>VLOOKUP(AJ369,'FRC Site Data'!$B$3:$L$42,2,FALSE)</f>
        <v>#N/A</v>
      </c>
      <c r="S377" s="10" t="e">
        <f>VLOOKUP(AJ369,'FRC Site Data'!$B$3:$L$42,3,FALSE)</f>
        <v>#N/A</v>
      </c>
      <c r="T377" s="10" t="e">
        <f>VLOOKUP(AJ369,'FRC Site Data'!$B$3:$L$42,4,FALSE)</f>
        <v>#N/A</v>
      </c>
      <c r="U377" s="10" t="e">
        <f>VLOOKUP(AJ369,'FRC Site Data'!$B$3:$L$42,5,FALSE)</f>
        <v>#N/A</v>
      </c>
      <c r="V377" s="10" t="e">
        <f>VLOOKUP(AJ369,'FRC Site Data'!$B$3:$L$42,6,FALSE)</f>
        <v>#N/A</v>
      </c>
      <c r="W377" s="10" t="e">
        <f>VLOOKUP(AJ369,'FRC Site Data'!$B$3:$L$42,8,FALSE)</f>
        <v>#N/A</v>
      </c>
      <c r="X377" s="10" t="e">
        <f>VLOOKUP(AJ369,'FRC Site Data'!$B$3:$L$42,9,FALSE)</f>
        <v>#N/A</v>
      </c>
      <c r="Y377" s="10" t="e">
        <f>VLOOKUP(AJ369,'FRC Site Data'!$B$3:$L$42,10,FALSE)</f>
        <v>#N/A</v>
      </c>
      <c r="Z377" s="10" t="e">
        <f>VLOOKUP(AJ369,'FRC Site Data'!$B$3:$L$42,11,FALSE)</f>
        <v>#N/A</v>
      </c>
      <c r="AA377" s="10" t="e">
        <f>VLOOKUP(AJ369,'CIR Team Info'!$C$5:$E$44,4,FALSE)</f>
        <v>#N/A</v>
      </c>
      <c r="AB377" s="161" t="b">
        <f>ISNUMBER(VLOOKUP(AJ369,Match!$T$5:$T$10,1,FALSE))</f>
        <v>0</v>
      </c>
      <c r="AC377" s="161" t="b">
        <f>IF(AB377=TRUE,(VLOOKUP($AJ369,Match!$T$5:$U$10,2,FALSE)))</f>
        <v>0</v>
      </c>
      <c r="AD377" s="8">
        <v>3</v>
      </c>
      <c r="AE377" s="8">
        <v>2</v>
      </c>
      <c r="AF377" s="8">
        <v>2</v>
      </c>
      <c r="AG377" s="8">
        <v>1</v>
      </c>
      <c r="AH377" s="8" t="str">
        <f t="shared" si="96"/>
        <v/>
      </c>
      <c r="AI377" s="12"/>
      <c r="AZ377" s="12"/>
      <c r="BC377" s="12"/>
      <c r="BK377" s="12"/>
    </row>
    <row r="378" spans="1:63" x14ac:dyDescent="0.25">
      <c r="A378" s="29">
        <f t="shared" si="97"/>
        <v>0</v>
      </c>
      <c r="B378" s="29">
        <f t="shared" si="83"/>
        <v>0</v>
      </c>
      <c r="C378" s="29">
        <f t="shared" si="84"/>
        <v>0</v>
      </c>
      <c r="D378" s="29">
        <f t="shared" si="85"/>
        <v>0</v>
      </c>
      <c r="E378" s="29">
        <f t="shared" si="82"/>
        <v>0</v>
      </c>
      <c r="F378" s="29">
        <f t="shared" si="86"/>
        <v>0</v>
      </c>
      <c r="G378" s="29" t="str">
        <f t="shared" si="87"/>
        <v>offensive</v>
      </c>
      <c r="H378" s="16">
        <f t="shared" si="88"/>
        <v>0</v>
      </c>
      <c r="I378" s="16">
        <f t="shared" si="89"/>
        <v>0</v>
      </c>
      <c r="J378" s="16">
        <f t="shared" si="90"/>
        <v>0</v>
      </c>
      <c r="K378" s="16">
        <f t="shared" si="91"/>
        <v>0</v>
      </c>
      <c r="L378" s="67">
        <f t="shared" si="92"/>
        <v>0</v>
      </c>
      <c r="M378" s="4">
        <f t="shared" si="93"/>
        <v>0</v>
      </c>
      <c r="N378" s="4">
        <f t="shared" si="94"/>
        <v>0</v>
      </c>
      <c r="O378" s="4">
        <f t="shared" si="95"/>
        <v>0</v>
      </c>
      <c r="P378" s="4" t="e">
        <f>VLOOKUP(AJ370,'CIR Team Info'!$C$5:$E$44,2,FALSE)</f>
        <v>#N/A</v>
      </c>
      <c r="Q378" s="4" t="e">
        <f>VLOOKUP(AJ370,'CIR Team Info'!$C$5:$E$44,3,FALSE)</f>
        <v>#N/A</v>
      </c>
      <c r="R378" s="10" t="e">
        <f>VLOOKUP(AJ370,'FRC Site Data'!$B$3:$L$42,2,FALSE)</f>
        <v>#N/A</v>
      </c>
      <c r="S378" s="10" t="e">
        <f>VLOOKUP(AJ370,'FRC Site Data'!$B$3:$L$42,3,FALSE)</f>
        <v>#N/A</v>
      </c>
      <c r="T378" s="10" t="e">
        <f>VLOOKUP(AJ370,'FRC Site Data'!$B$3:$L$42,4,FALSE)</f>
        <v>#N/A</v>
      </c>
      <c r="U378" s="10" t="e">
        <f>VLOOKUP(AJ370,'FRC Site Data'!$B$3:$L$42,5,FALSE)</f>
        <v>#N/A</v>
      </c>
      <c r="V378" s="10" t="e">
        <f>VLOOKUP(AJ370,'FRC Site Data'!$B$3:$L$42,6,FALSE)</f>
        <v>#N/A</v>
      </c>
      <c r="W378" s="10" t="e">
        <f>VLOOKUP(AJ370,'FRC Site Data'!$B$3:$L$42,8,FALSE)</f>
        <v>#N/A</v>
      </c>
      <c r="X378" s="10" t="e">
        <f>VLOOKUP(AJ370,'FRC Site Data'!$B$3:$L$42,9,FALSE)</f>
        <v>#N/A</v>
      </c>
      <c r="Y378" s="10" t="e">
        <f>VLOOKUP(AJ370,'FRC Site Data'!$B$3:$L$42,10,FALSE)</f>
        <v>#N/A</v>
      </c>
      <c r="Z378" s="10" t="e">
        <f>VLOOKUP(AJ370,'FRC Site Data'!$B$3:$L$42,11,FALSE)</f>
        <v>#N/A</v>
      </c>
      <c r="AA378" s="10" t="e">
        <f>VLOOKUP(AJ370,'CIR Team Info'!$C$5:$E$44,4,FALSE)</f>
        <v>#N/A</v>
      </c>
      <c r="AB378" s="161" t="b">
        <f>ISNUMBER(VLOOKUP(AJ370,Match!$T$5:$T$10,1,FALSE))</f>
        <v>0</v>
      </c>
      <c r="AC378" s="161" t="b">
        <f>IF(AB378=TRUE,(VLOOKUP($AJ370,Match!$T$5:$U$10,2,FALSE)))</f>
        <v>0</v>
      </c>
      <c r="AD378" s="8">
        <v>3</v>
      </c>
      <c r="AE378" s="8">
        <v>2</v>
      </c>
      <c r="AF378" s="8">
        <v>2</v>
      </c>
      <c r="AG378" s="8">
        <v>1</v>
      </c>
      <c r="AH378" s="8" t="str">
        <f t="shared" si="96"/>
        <v/>
      </c>
      <c r="AI378" s="12"/>
      <c r="AZ378" s="12"/>
      <c r="BC378" s="12"/>
      <c r="BK378" s="12"/>
    </row>
    <row r="379" spans="1:63" x14ac:dyDescent="0.25">
      <c r="A379" s="29">
        <f t="shared" si="97"/>
        <v>0</v>
      </c>
      <c r="B379" s="29">
        <f t="shared" si="83"/>
        <v>0</v>
      </c>
      <c r="C379" s="29">
        <f t="shared" si="84"/>
        <v>0</v>
      </c>
      <c r="D379" s="29">
        <f t="shared" si="85"/>
        <v>0</v>
      </c>
      <c r="E379" s="29">
        <f t="shared" si="82"/>
        <v>0</v>
      </c>
      <c r="F379" s="29">
        <f t="shared" si="86"/>
        <v>0</v>
      </c>
      <c r="G379" s="29" t="str">
        <f t="shared" si="87"/>
        <v>offensive</v>
      </c>
      <c r="H379" s="16">
        <f t="shared" si="88"/>
        <v>0</v>
      </c>
      <c r="I379" s="16">
        <f t="shared" si="89"/>
        <v>0</v>
      </c>
      <c r="J379" s="16">
        <f t="shared" si="90"/>
        <v>0</v>
      </c>
      <c r="K379" s="16">
        <f t="shared" si="91"/>
        <v>0</v>
      </c>
      <c r="L379" s="67">
        <f t="shared" si="92"/>
        <v>0</v>
      </c>
      <c r="M379" s="4">
        <f t="shared" si="93"/>
        <v>0</v>
      </c>
      <c r="N379" s="4">
        <f t="shared" si="94"/>
        <v>0</v>
      </c>
      <c r="O379" s="4">
        <f t="shared" si="95"/>
        <v>0</v>
      </c>
      <c r="P379" s="4" t="e">
        <f>VLOOKUP(AJ371,'CIR Team Info'!$C$5:$E$44,2,FALSE)</f>
        <v>#N/A</v>
      </c>
      <c r="Q379" s="4" t="e">
        <f>VLOOKUP(AJ371,'CIR Team Info'!$C$5:$E$44,3,FALSE)</f>
        <v>#N/A</v>
      </c>
      <c r="R379" s="10" t="e">
        <f>VLOOKUP(AJ371,'FRC Site Data'!$B$3:$L$42,2,FALSE)</f>
        <v>#N/A</v>
      </c>
      <c r="S379" s="10" t="e">
        <f>VLOOKUP(AJ371,'FRC Site Data'!$B$3:$L$42,3,FALSE)</f>
        <v>#N/A</v>
      </c>
      <c r="T379" s="10" t="e">
        <f>VLOOKUP(AJ371,'FRC Site Data'!$B$3:$L$42,4,FALSE)</f>
        <v>#N/A</v>
      </c>
      <c r="U379" s="10" t="e">
        <f>VLOOKUP(AJ371,'FRC Site Data'!$B$3:$L$42,5,FALSE)</f>
        <v>#N/A</v>
      </c>
      <c r="V379" s="10" t="e">
        <f>VLOOKUP(AJ371,'FRC Site Data'!$B$3:$L$42,6,FALSE)</f>
        <v>#N/A</v>
      </c>
      <c r="W379" s="10" t="e">
        <f>VLOOKUP(AJ371,'FRC Site Data'!$B$3:$L$42,8,FALSE)</f>
        <v>#N/A</v>
      </c>
      <c r="X379" s="10" t="e">
        <f>VLOOKUP(AJ371,'FRC Site Data'!$B$3:$L$42,9,FALSE)</f>
        <v>#N/A</v>
      </c>
      <c r="Y379" s="10" t="e">
        <f>VLOOKUP(AJ371,'FRC Site Data'!$B$3:$L$42,10,FALSE)</f>
        <v>#N/A</v>
      </c>
      <c r="Z379" s="10" t="e">
        <f>VLOOKUP(AJ371,'FRC Site Data'!$B$3:$L$42,11,FALSE)</f>
        <v>#N/A</v>
      </c>
      <c r="AA379" s="10" t="e">
        <f>VLOOKUP(AJ371,'CIR Team Info'!$C$5:$E$44,4,FALSE)</f>
        <v>#N/A</v>
      </c>
      <c r="AB379" s="161" t="b">
        <f>ISNUMBER(VLOOKUP(AJ371,Match!$T$5:$T$10,1,FALSE))</f>
        <v>0</v>
      </c>
      <c r="AC379" s="161" t="b">
        <f>IF(AB379=TRUE,(VLOOKUP($AJ371,Match!$T$5:$U$10,2,FALSE)))</f>
        <v>0</v>
      </c>
      <c r="AD379" s="8">
        <v>3</v>
      </c>
      <c r="AE379" s="8">
        <v>2</v>
      </c>
      <c r="AF379" s="8">
        <v>2</v>
      </c>
      <c r="AG379" s="8">
        <v>1</v>
      </c>
      <c r="AH379" s="8" t="str">
        <f t="shared" si="96"/>
        <v/>
      </c>
      <c r="AI379" s="12"/>
      <c r="AZ379" s="12"/>
      <c r="BC379" s="12"/>
      <c r="BK379" s="12"/>
    </row>
    <row r="380" spans="1:63" x14ac:dyDescent="0.25">
      <c r="A380" s="29">
        <f t="shared" si="97"/>
        <v>0</v>
      </c>
      <c r="B380" s="29">
        <f t="shared" si="83"/>
        <v>0</v>
      </c>
      <c r="C380" s="29">
        <f t="shared" si="84"/>
        <v>0</v>
      </c>
      <c r="D380" s="29">
        <f t="shared" si="85"/>
        <v>0</v>
      </c>
      <c r="E380" s="29">
        <f t="shared" si="82"/>
        <v>0</v>
      </c>
      <c r="F380" s="29">
        <f t="shared" si="86"/>
        <v>0</v>
      </c>
      <c r="G380" s="29" t="str">
        <f t="shared" si="87"/>
        <v>offensive</v>
      </c>
      <c r="H380" s="16">
        <f t="shared" si="88"/>
        <v>0</v>
      </c>
      <c r="I380" s="16">
        <f t="shared" si="89"/>
        <v>0</v>
      </c>
      <c r="J380" s="16">
        <f t="shared" si="90"/>
        <v>0</v>
      </c>
      <c r="K380" s="16">
        <f t="shared" si="91"/>
        <v>0</v>
      </c>
      <c r="L380" s="67">
        <f t="shared" si="92"/>
        <v>0</v>
      </c>
      <c r="M380" s="4">
        <f t="shared" si="93"/>
        <v>0</v>
      </c>
      <c r="N380" s="4">
        <f t="shared" si="94"/>
        <v>0</v>
      </c>
      <c r="O380" s="4">
        <f t="shared" si="95"/>
        <v>0</v>
      </c>
      <c r="P380" s="4" t="e">
        <f>VLOOKUP(AJ372,'CIR Team Info'!$C$5:$E$44,2,FALSE)</f>
        <v>#N/A</v>
      </c>
      <c r="Q380" s="4" t="e">
        <f>VLOOKUP(AJ372,'CIR Team Info'!$C$5:$E$44,3,FALSE)</f>
        <v>#N/A</v>
      </c>
      <c r="R380" s="10" t="e">
        <f>VLOOKUP(AJ372,'FRC Site Data'!$B$3:$L$42,2,FALSE)</f>
        <v>#N/A</v>
      </c>
      <c r="S380" s="10" t="e">
        <f>VLOOKUP(AJ372,'FRC Site Data'!$B$3:$L$42,3,FALSE)</f>
        <v>#N/A</v>
      </c>
      <c r="T380" s="10" t="e">
        <f>VLOOKUP(AJ372,'FRC Site Data'!$B$3:$L$42,4,FALSE)</f>
        <v>#N/A</v>
      </c>
      <c r="U380" s="10" t="e">
        <f>VLOOKUP(AJ372,'FRC Site Data'!$B$3:$L$42,5,FALSE)</f>
        <v>#N/A</v>
      </c>
      <c r="V380" s="10" t="e">
        <f>VLOOKUP(AJ372,'FRC Site Data'!$B$3:$L$42,6,FALSE)</f>
        <v>#N/A</v>
      </c>
      <c r="W380" s="10" t="e">
        <f>VLOOKUP(AJ372,'FRC Site Data'!$B$3:$L$42,8,FALSE)</f>
        <v>#N/A</v>
      </c>
      <c r="X380" s="10" t="e">
        <f>VLOOKUP(AJ372,'FRC Site Data'!$B$3:$L$42,9,FALSE)</f>
        <v>#N/A</v>
      </c>
      <c r="Y380" s="10" t="e">
        <f>VLOOKUP(AJ372,'FRC Site Data'!$B$3:$L$42,10,FALSE)</f>
        <v>#N/A</v>
      </c>
      <c r="Z380" s="10" t="e">
        <f>VLOOKUP(AJ372,'FRC Site Data'!$B$3:$L$42,11,FALSE)</f>
        <v>#N/A</v>
      </c>
      <c r="AA380" s="10" t="e">
        <f>VLOOKUP(AJ372,'CIR Team Info'!$C$5:$E$44,4,FALSE)</f>
        <v>#N/A</v>
      </c>
      <c r="AB380" s="161" t="b">
        <f>ISNUMBER(VLOOKUP(AJ372,Match!$T$5:$T$10,1,FALSE))</f>
        <v>0</v>
      </c>
      <c r="AC380" s="161" t="b">
        <f>IF(AB380=TRUE,(VLOOKUP($AJ372,Match!$T$5:$U$10,2,FALSE)))</f>
        <v>0</v>
      </c>
      <c r="AD380" s="8">
        <v>3</v>
      </c>
      <c r="AE380" s="8">
        <v>2</v>
      </c>
      <c r="AF380" s="8">
        <v>2</v>
      </c>
      <c r="AG380" s="8">
        <v>1</v>
      </c>
      <c r="AH380" s="8" t="str">
        <f t="shared" si="96"/>
        <v/>
      </c>
      <c r="AI380" s="12"/>
      <c r="AZ380" s="12"/>
      <c r="BC380" s="12"/>
      <c r="BK380" s="12"/>
    </row>
    <row r="381" spans="1:63" x14ac:dyDescent="0.25">
      <c r="A381" s="29">
        <f t="shared" si="97"/>
        <v>0</v>
      </c>
      <c r="B381" s="29">
        <f t="shared" si="83"/>
        <v>0</v>
      </c>
      <c r="C381" s="29">
        <f t="shared" si="84"/>
        <v>0</v>
      </c>
      <c r="D381" s="29">
        <f t="shared" si="85"/>
        <v>0</v>
      </c>
      <c r="E381" s="29">
        <f t="shared" si="82"/>
        <v>0</v>
      </c>
      <c r="F381" s="29">
        <f t="shared" si="86"/>
        <v>0</v>
      </c>
      <c r="G381" s="29" t="str">
        <f t="shared" si="87"/>
        <v>offensive</v>
      </c>
      <c r="H381" s="16">
        <f t="shared" si="88"/>
        <v>0</v>
      </c>
      <c r="I381" s="16">
        <f t="shared" si="89"/>
        <v>0</v>
      </c>
      <c r="J381" s="16">
        <f t="shared" si="90"/>
        <v>0</v>
      </c>
      <c r="K381" s="16">
        <f t="shared" si="91"/>
        <v>0</v>
      </c>
      <c r="L381" s="67">
        <f t="shared" si="92"/>
        <v>0</v>
      </c>
      <c r="M381" s="4">
        <f t="shared" si="93"/>
        <v>0</v>
      </c>
      <c r="N381" s="4">
        <f t="shared" si="94"/>
        <v>0</v>
      </c>
      <c r="O381" s="4">
        <f t="shared" si="95"/>
        <v>0</v>
      </c>
      <c r="P381" s="4" t="e">
        <f>VLOOKUP(AJ373,'CIR Team Info'!$C$5:$E$44,2,FALSE)</f>
        <v>#N/A</v>
      </c>
      <c r="Q381" s="4" t="e">
        <f>VLOOKUP(AJ373,'CIR Team Info'!$C$5:$E$44,3,FALSE)</f>
        <v>#N/A</v>
      </c>
      <c r="R381" s="10" t="e">
        <f>VLOOKUP(AJ373,'FRC Site Data'!$B$3:$L$42,2,FALSE)</f>
        <v>#N/A</v>
      </c>
      <c r="S381" s="10" t="e">
        <f>VLOOKUP(AJ373,'FRC Site Data'!$B$3:$L$42,3,FALSE)</f>
        <v>#N/A</v>
      </c>
      <c r="T381" s="10" t="e">
        <f>VLOOKUP(AJ373,'FRC Site Data'!$B$3:$L$42,4,FALSE)</f>
        <v>#N/A</v>
      </c>
      <c r="U381" s="10" t="e">
        <f>VLOOKUP(AJ373,'FRC Site Data'!$B$3:$L$42,5,FALSE)</f>
        <v>#N/A</v>
      </c>
      <c r="V381" s="10" t="e">
        <f>VLOOKUP(AJ373,'FRC Site Data'!$B$3:$L$42,6,FALSE)</f>
        <v>#N/A</v>
      </c>
      <c r="W381" s="10" t="e">
        <f>VLOOKUP(AJ373,'FRC Site Data'!$B$3:$L$42,8,FALSE)</f>
        <v>#N/A</v>
      </c>
      <c r="X381" s="10" t="e">
        <f>VLOOKUP(AJ373,'FRC Site Data'!$B$3:$L$42,9,FALSE)</f>
        <v>#N/A</v>
      </c>
      <c r="Y381" s="10" t="e">
        <f>VLOOKUP(AJ373,'FRC Site Data'!$B$3:$L$42,10,FALSE)</f>
        <v>#N/A</v>
      </c>
      <c r="Z381" s="10" t="e">
        <f>VLOOKUP(AJ373,'FRC Site Data'!$B$3:$L$42,11,FALSE)</f>
        <v>#N/A</v>
      </c>
      <c r="AA381" s="10" t="e">
        <f>VLOOKUP(AJ373,'CIR Team Info'!$C$5:$E$44,4,FALSE)</f>
        <v>#N/A</v>
      </c>
      <c r="AB381" s="161" t="b">
        <f>ISNUMBER(VLOOKUP(AJ373,Match!$T$5:$T$10,1,FALSE))</f>
        <v>0</v>
      </c>
      <c r="AC381" s="161" t="b">
        <f>IF(AB381=TRUE,(VLOOKUP($AJ373,Match!$T$5:$U$10,2,FALSE)))</f>
        <v>0</v>
      </c>
      <c r="AD381" s="8">
        <v>3</v>
      </c>
      <c r="AE381" s="8">
        <v>2</v>
      </c>
      <c r="AF381" s="8">
        <v>2</v>
      </c>
      <c r="AG381" s="8">
        <v>1</v>
      </c>
      <c r="AH381" s="8" t="str">
        <f t="shared" si="96"/>
        <v/>
      </c>
      <c r="AI381" s="12"/>
      <c r="AZ381" s="12"/>
      <c r="BC381" s="12"/>
      <c r="BK381" s="12"/>
    </row>
    <row r="382" spans="1:63" x14ac:dyDescent="0.25">
      <c r="A382" s="29">
        <f t="shared" si="97"/>
        <v>0</v>
      </c>
      <c r="B382" s="29">
        <f t="shared" si="83"/>
        <v>0</v>
      </c>
      <c r="C382" s="29">
        <f t="shared" si="84"/>
        <v>0</v>
      </c>
      <c r="D382" s="29">
        <f t="shared" si="85"/>
        <v>0</v>
      </c>
      <c r="E382" s="29">
        <f t="shared" si="82"/>
        <v>0</v>
      </c>
      <c r="F382" s="29">
        <f t="shared" si="86"/>
        <v>0</v>
      </c>
      <c r="G382" s="29" t="str">
        <f t="shared" si="87"/>
        <v>offensive</v>
      </c>
      <c r="H382" s="16">
        <f t="shared" si="88"/>
        <v>0</v>
      </c>
      <c r="I382" s="16">
        <f t="shared" si="89"/>
        <v>0</v>
      </c>
      <c r="J382" s="16">
        <f t="shared" si="90"/>
        <v>0</v>
      </c>
      <c r="K382" s="16">
        <f t="shared" si="91"/>
        <v>0</v>
      </c>
      <c r="L382" s="67">
        <f t="shared" si="92"/>
        <v>0</v>
      </c>
      <c r="M382" s="4">
        <f t="shared" si="93"/>
        <v>0</v>
      </c>
      <c r="N382" s="4">
        <f t="shared" si="94"/>
        <v>0</v>
      </c>
      <c r="O382" s="4">
        <f t="shared" si="95"/>
        <v>0</v>
      </c>
      <c r="P382" s="4" t="e">
        <f>VLOOKUP(AJ374,'CIR Team Info'!$C$5:$E$44,2,FALSE)</f>
        <v>#N/A</v>
      </c>
      <c r="Q382" s="4" t="e">
        <f>VLOOKUP(AJ374,'CIR Team Info'!$C$5:$E$44,3,FALSE)</f>
        <v>#N/A</v>
      </c>
      <c r="R382" s="10" t="e">
        <f>VLOOKUP(AJ374,'FRC Site Data'!$B$3:$L$42,2,FALSE)</f>
        <v>#N/A</v>
      </c>
      <c r="S382" s="10" t="e">
        <f>VLOOKUP(AJ374,'FRC Site Data'!$B$3:$L$42,3,FALSE)</f>
        <v>#N/A</v>
      </c>
      <c r="T382" s="10" t="e">
        <f>VLOOKUP(AJ374,'FRC Site Data'!$B$3:$L$42,4,FALSE)</f>
        <v>#N/A</v>
      </c>
      <c r="U382" s="10" t="e">
        <f>VLOOKUP(AJ374,'FRC Site Data'!$B$3:$L$42,5,FALSE)</f>
        <v>#N/A</v>
      </c>
      <c r="V382" s="10" t="e">
        <f>VLOOKUP(AJ374,'FRC Site Data'!$B$3:$L$42,6,FALSE)</f>
        <v>#N/A</v>
      </c>
      <c r="W382" s="10" t="e">
        <f>VLOOKUP(AJ374,'FRC Site Data'!$B$3:$L$42,8,FALSE)</f>
        <v>#N/A</v>
      </c>
      <c r="X382" s="10" t="e">
        <f>VLOOKUP(AJ374,'FRC Site Data'!$B$3:$L$42,9,FALSE)</f>
        <v>#N/A</v>
      </c>
      <c r="Y382" s="10" t="e">
        <f>VLOOKUP(AJ374,'FRC Site Data'!$B$3:$L$42,10,FALSE)</f>
        <v>#N/A</v>
      </c>
      <c r="Z382" s="10" t="e">
        <f>VLOOKUP(AJ374,'FRC Site Data'!$B$3:$L$42,11,FALSE)</f>
        <v>#N/A</v>
      </c>
      <c r="AA382" s="10" t="e">
        <f>VLOOKUP(AJ374,'CIR Team Info'!$C$5:$E$44,4,FALSE)</f>
        <v>#N/A</v>
      </c>
      <c r="AB382" s="161" t="b">
        <f>ISNUMBER(VLOOKUP(AJ374,Match!$T$5:$T$10,1,FALSE))</f>
        <v>0</v>
      </c>
      <c r="AC382" s="161" t="b">
        <f>IF(AB382=TRUE,(VLOOKUP($AJ374,Match!$T$5:$U$10,2,FALSE)))</f>
        <v>0</v>
      </c>
      <c r="AD382" s="8">
        <v>3</v>
      </c>
      <c r="AE382" s="8">
        <v>2</v>
      </c>
      <c r="AF382" s="8">
        <v>2</v>
      </c>
      <c r="AG382" s="8">
        <v>1</v>
      </c>
      <c r="AH382" s="8" t="str">
        <f t="shared" si="96"/>
        <v/>
      </c>
      <c r="AI382" s="12"/>
      <c r="AZ382" s="12"/>
      <c r="BC382" s="12"/>
      <c r="BK382" s="12"/>
    </row>
    <row r="383" spans="1:63" x14ac:dyDescent="0.25">
      <c r="A383" s="29">
        <f t="shared" si="97"/>
        <v>0</v>
      </c>
      <c r="B383" s="29">
        <f t="shared" si="83"/>
        <v>0</v>
      </c>
      <c r="C383" s="29">
        <f t="shared" si="84"/>
        <v>0</v>
      </c>
      <c r="D383" s="29">
        <f t="shared" si="85"/>
        <v>0</v>
      </c>
      <c r="E383" s="29">
        <f t="shared" si="82"/>
        <v>0</v>
      </c>
      <c r="F383" s="29">
        <f t="shared" si="86"/>
        <v>0</v>
      </c>
      <c r="G383" s="29" t="str">
        <f t="shared" si="87"/>
        <v>offensive</v>
      </c>
      <c r="H383" s="16">
        <f t="shared" si="88"/>
        <v>0</v>
      </c>
      <c r="I383" s="16">
        <f t="shared" si="89"/>
        <v>0</v>
      </c>
      <c r="J383" s="16">
        <f t="shared" si="90"/>
        <v>0</v>
      </c>
      <c r="K383" s="16">
        <f t="shared" si="91"/>
        <v>0</v>
      </c>
      <c r="L383" s="67">
        <f t="shared" si="92"/>
        <v>0</v>
      </c>
      <c r="M383" s="4">
        <f t="shared" si="93"/>
        <v>0</v>
      </c>
      <c r="N383" s="4">
        <f t="shared" si="94"/>
        <v>0</v>
      </c>
      <c r="O383" s="4">
        <f t="shared" si="95"/>
        <v>0</v>
      </c>
      <c r="P383" s="4" t="e">
        <f>VLOOKUP(AJ375,'CIR Team Info'!$C$5:$E$44,2,FALSE)</f>
        <v>#N/A</v>
      </c>
      <c r="Q383" s="4" t="e">
        <f>VLOOKUP(AJ375,'CIR Team Info'!$C$5:$E$44,3,FALSE)</f>
        <v>#N/A</v>
      </c>
      <c r="R383" s="10" t="e">
        <f>VLOOKUP(AJ375,'FRC Site Data'!$B$3:$L$42,2,FALSE)</f>
        <v>#N/A</v>
      </c>
      <c r="S383" s="10" t="e">
        <f>VLOOKUP(AJ375,'FRC Site Data'!$B$3:$L$42,3,FALSE)</f>
        <v>#N/A</v>
      </c>
      <c r="T383" s="10" t="e">
        <f>VLOOKUP(AJ375,'FRC Site Data'!$B$3:$L$42,4,FALSE)</f>
        <v>#N/A</v>
      </c>
      <c r="U383" s="10" t="e">
        <f>VLOOKUP(AJ375,'FRC Site Data'!$B$3:$L$42,5,FALSE)</f>
        <v>#N/A</v>
      </c>
      <c r="V383" s="10" t="e">
        <f>VLOOKUP(AJ375,'FRC Site Data'!$B$3:$L$42,6,FALSE)</f>
        <v>#N/A</v>
      </c>
      <c r="W383" s="10" t="e">
        <f>VLOOKUP(AJ375,'FRC Site Data'!$B$3:$L$42,8,FALSE)</f>
        <v>#N/A</v>
      </c>
      <c r="X383" s="10" t="e">
        <f>VLOOKUP(AJ375,'FRC Site Data'!$B$3:$L$42,9,FALSE)</f>
        <v>#N/A</v>
      </c>
      <c r="Y383" s="10" t="e">
        <f>VLOOKUP(AJ375,'FRC Site Data'!$B$3:$L$42,10,FALSE)</f>
        <v>#N/A</v>
      </c>
      <c r="Z383" s="10" t="e">
        <f>VLOOKUP(AJ375,'FRC Site Data'!$B$3:$L$42,11,FALSE)</f>
        <v>#N/A</v>
      </c>
      <c r="AA383" s="10" t="e">
        <f>VLOOKUP(AJ375,'CIR Team Info'!$C$5:$E$44,4,FALSE)</f>
        <v>#N/A</v>
      </c>
      <c r="AB383" s="161" t="b">
        <f>ISNUMBER(VLOOKUP(AJ375,Match!$T$5:$T$10,1,FALSE))</f>
        <v>0</v>
      </c>
      <c r="AC383" s="161" t="b">
        <f>IF(AB383=TRUE,(VLOOKUP($AJ375,Match!$T$5:$U$10,2,FALSE)))</f>
        <v>0</v>
      </c>
      <c r="AD383" s="8">
        <v>3</v>
      </c>
      <c r="AE383" s="8">
        <v>2</v>
      </c>
      <c r="AF383" s="8">
        <v>2</v>
      </c>
      <c r="AG383" s="8">
        <v>1</v>
      </c>
      <c r="AH383" s="8" t="str">
        <f t="shared" si="96"/>
        <v/>
      </c>
      <c r="AI383" s="12"/>
      <c r="AZ383" s="12"/>
      <c r="BC383" s="12"/>
      <c r="BK383" s="12"/>
    </row>
    <row r="384" spans="1:63" x14ac:dyDescent="0.25">
      <c r="A384" s="29">
        <f t="shared" si="97"/>
        <v>0</v>
      </c>
      <c r="B384" s="29">
        <f t="shared" si="83"/>
        <v>0</v>
      </c>
      <c r="C384" s="29">
        <f t="shared" si="84"/>
        <v>0</v>
      </c>
      <c r="D384" s="29">
        <f t="shared" si="85"/>
        <v>0</v>
      </c>
      <c r="E384" s="29">
        <f t="shared" si="82"/>
        <v>0</v>
      </c>
      <c r="F384" s="29">
        <f t="shared" si="86"/>
        <v>0</v>
      </c>
      <c r="G384" s="29" t="str">
        <f t="shared" si="87"/>
        <v>offensive</v>
      </c>
      <c r="H384" s="16">
        <f t="shared" si="88"/>
        <v>0</v>
      </c>
      <c r="I384" s="16">
        <f t="shared" si="89"/>
        <v>0</v>
      </c>
      <c r="J384" s="16">
        <f t="shared" si="90"/>
        <v>0</v>
      </c>
      <c r="K384" s="16">
        <f t="shared" si="91"/>
        <v>0</v>
      </c>
      <c r="L384" s="67">
        <f t="shared" si="92"/>
        <v>0</v>
      </c>
      <c r="M384" s="4">
        <f t="shared" si="93"/>
        <v>0</v>
      </c>
      <c r="N384" s="4">
        <f t="shared" si="94"/>
        <v>0</v>
      </c>
      <c r="O384" s="4">
        <f t="shared" si="95"/>
        <v>0</v>
      </c>
      <c r="P384" s="4" t="e">
        <f>VLOOKUP(AJ376,'CIR Team Info'!$C$5:$E$44,2,FALSE)</f>
        <v>#N/A</v>
      </c>
      <c r="Q384" s="4" t="e">
        <f>VLOOKUP(AJ376,'CIR Team Info'!$C$5:$E$44,3,FALSE)</f>
        <v>#N/A</v>
      </c>
      <c r="R384" s="10" t="e">
        <f>VLOOKUP(AJ376,'FRC Site Data'!$B$3:$L$42,2,FALSE)</f>
        <v>#N/A</v>
      </c>
      <c r="S384" s="10" t="e">
        <f>VLOOKUP(AJ376,'FRC Site Data'!$B$3:$L$42,3,FALSE)</f>
        <v>#N/A</v>
      </c>
      <c r="T384" s="10" t="e">
        <f>VLOOKUP(AJ376,'FRC Site Data'!$B$3:$L$42,4,FALSE)</f>
        <v>#N/A</v>
      </c>
      <c r="U384" s="10" t="e">
        <f>VLOOKUP(AJ376,'FRC Site Data'!$B$3:$L$42,5,FALSE)</f>
        <v>#N/A</v>
      </c>
      <c r="V384" s="10" t="e">
        <f>VLOOKUP(AJ376,'FRC Site Data'!$B$3:$L$42,6,FALSE)</f>
        <v>#N/A</v>
      </c>
      <c r="W384" s="10" t="e">
        <f>VLOOKUP(AJ376,'FRC Site Data'!$B$3:$L$42,8,FALSE)</f>
        <v>#N/A</v>
      </c>
      <c r="X384" s="10" t="e">
        <f>VLOOKUP(AJ376,'FRC Site Data'!$B$3:$L$42,9,FALSE)</f>
        <v>#N/A</v>
      </c>
      <c r="Y384" s="10" t="e">
        <f>VLOOKUP(AJ376,'FRC Site Data'!$B$3:$L$42,10,FALSE)</f>
        <v>#N/A</v>
      </c>
      <c r="Z384" s="10" t="e">
        <f>VLOOKUP(AJ376,'FRC Site Data'!$B$3:$L$42,11,FALSE)</f>
        <v>#N/A</v>
      </c>
      <c r="AA384" s="10" t="e">
        <f>VLOOKUP(AJ376,'CIR Team Info'!$C$5:$E$44,4,FALSE)</f>
        <v>#N/A</v>
      </c>
      <c r="AB384" s="161" t="b">
        <f>ISNUMBER(VLOOKUP(AJ376,Match!$T$5:$T$10,1,FALSE))</f>
        <v>0</v>
      </c>
      <c r="AC384" s="161" t="b">
        <f>IF(AB384=TRUE,(VLOOKUP($AJ376,Match!$T$5:$U$10,2,FALSE)))</f>
        <v>0</v>
      </c>
      <c r="AD384" s="8">
        <v>3</v>
      </c>
      <c r="AE384" s="8">
        <v>2</v>
      </c>
      <c r="AF384" s="8">
        <v>2</v>
      </c>
      <c r="AG384" s="8">
        <v>1</v>
      </c>
      <c r="AH384" s="8" t="str">
        <f t="shared" si="96"/>
        <v/>
      </c>
      <c r="AI384" s="12"/>
      <c r="AZ384" s="12"/>
      <c r="BC384" s="12"/>
      <c r="BK384" s="12"/>
    </row>
    <row r="385" spans="1:63" x14ac:dyDescent="0.25">
      <c r="A385" s="29">
        <f t="shared" si="97"/>
        <v>0</v>
      </c>
      <c r="B385" s="29">
        <f t="shared" si="83"/>
        <v>0</v>
      </c>
      <c r="C385" s="29">
        <f t="shared" si="84"/>
        <v>0</v>
      </c>
      <c r="D385" s="29">
        <f t="shared" si="85"/>
        <v>0</v>
      </c>
      <c r="E385" s="29">
        <f t="shared" ref="E385:E448" si="98">K385*O385</f>
        <v>0</v>
      </c>
      <c r="F385" s="29">
        <f t="shared" si="86"/>
        <v>0</v>
      </c>
      <c r="G385" s="29" t="str">
        <f t="shared" si="87"/>
        <v>offensive</v>
      </c>
      <c r="H385" s="16">
        <f t="shared" si="88"/>
        <v>0</v>
      </c>
      <c r="I385" s="16">
        <f t="shared" si="89"/>
        <v>0</v>
      </c>
      <c r="J385" s="16">
        <f t="shared" si="90"/>
        <v>0</v>
      </c>
      <c r="K385" s="16">
        <f t="shared" si="91"/>
        <v>0</v>
      </c>
      <c r="L385" s="67">
        <f t="shared" si="92"/>
        <v>0</v>
      </c>
      <c r="M385" s="4">
        <f t="shared" si="93"/>
        <v>0</v>
      </c>
      <c r="N385" s="4">
        <f t="shared" si="94"/>
        <v>0</v>
      </c>
      <c r="O385" s="4">
        <f t="shared" si="95"/>
        <v>0</v>
      </c>
      <c r="P385" s="4" t="e">
        <f>VLOOKUP(AJ377,'CIR Team Info'!$C$5:$E$44,2,FALSE)</f>
        <v>#N/A</v>
      </c>
      <c r="Q385" s="4" t="e">
        <f>VLOOKUP(AJ377,'CIR Team Info'!$C$5:$E$44,3,FALSE)</f>
        <v>#N/A</v>
      </c>
      <c r="R385" s="10" t="e">
        <f>VLOOKUP(AJ377,'FRC Site Data'!$B$3:$L$42,2,FALSE)</f>
        <v>#N/A</v>
      </c>
      <c r="S385" s="10" t="e">
        <f>VLOOKUP(AJ377,'FRC Site Data'!$B$3:$L$42,3,FALSE)</f>
        <v>#N/A</v>
      </c>
      <c r="T385" s="10" t="e">
        <f>VLOOKUP(AJ377,'FRC Site Data'!$B$3:$L$42,4,FALSE)</f>
        <v>#N/A</v>
      </c>
      <c r="U385" s="10" t="e">
        <f>VLOOKUP(AJ377,'FRC Site Data'!$B$3:$L$42,5,FALSE)</f>
        <v>#N/A</v>
      </c>
      <c r="V385" s="10" t="e">
        <f>VLOOKUP(AJ377,'FRC Site Data'!$B$3:$L$42,6,FALSE)</f>
        <v>#N/A</v>
      </c>
      <c r="W385" s="10" t="e">
        <f>VLOOKUP(AJ377,'FRC Site Data'!$B$3:$L$42,8,FALSE)</f>
        <v>#N/A</v>
      </c>
      <c r="X385" s="10" t="e">
        <f>VLOOKUP(AJ377,'FRC Site Data'!$B$3:$L$42,9,FALSE)</f>
        <v>#N/A</v>
      </c>
      <c r="Y385" s="10" t="e">
        <f>VLOOKUP(AJ377,'FRC Site Data'!$B$3:$L$42,10,FALSE)</f>
        <v>#N/A</v>
      </c>
      <c r="Z385" s="10" t="e">
        <f>VLOOKUP(AJ377,'FRC Site Data'!$B$3:$L$42,11,FALSE)</f>
        <v>#N/A</v>
      </c>
      <c r="AA385" s="10" t="e">
        <f>VLOOKUP(AJ377,'CIR Team Info'!$C$5:$E$44,4,FALSE)</f>
        <v>#N/A</v>
      </c>
      <c r="AB385" s="161" t="b">
        <f>ISNUMBER(VLOOKUP(AJ377,Match!$T$5:$T$10,1,FALSE))</f>
        <v>0</v>
      </c>
      <c r="AC385" s="161" t="b">
        <f>IF(AB385=TRUE,(VLOOKUP($AJ377,Match!$T$5:$U$10,2,FALSE)))</f>
        <v>0</v>
      </c>
      <c r="AD385" s="8">
        <v>3</v>
      </c>
      <c r="AE385" s="8">
        <v>2</v>
      </c>
      <c r="AF385" s="8">
        <v>2</v>
      </c>
      <c r="AG385" s="8">
        <v>1</v>
      </c>
      <c r="AH385" s="8" t="str">
        <f t="shared" si="96"/>
        <v/>
      </c>
      <c r="AI385" s="12"/>
      <c r="AZ385" s="12"/>
      <c r="BC385" s="12"/>
      <c r="BK385" s="12"/>
    </row>
    <row r="386" spans="1:63" x14ac:dyDescent="0.25">
      <c r="A386" s="29">
        <f t="shared" si="97"/>
        <v>0</v>
      </c>
      <c r="B386" s="29">
        <f t="shared" si="83"/>
        <v>0</v>
      </c>
      <c r="C386" s="29">
        <f t="shared" si="84"/>
        <v>0</v>
      </c>
      <c r="D386" s="29">
        <f t="shared" si="85"/>
        <v>0</v>
      </c>
      <c r="E386" s="29">
        <f t="shared" si="98"/>
        <v>0</v>
      </c>
      <c r="F386" s="29">
        <f t="shared" si="86"/>
        <v>0</v>
      </c>
      <c r="G386" s="29" t="str">
        <f t="shared" si="87"/>
        <v>offensive</v>
      </c>
      <c r="H386" s="16">
        <f t="shared" si="88"/>
        <v>0</v>
      </c>
      <c r="I386" s="16">
        <f t="shared" si="89"/>
        <v>0</v>
      </c>
      <c r="J386" s="16">
        <f t="shared" si="90"/>
        <v>0</v>
      </c>
      <c r="K386" s="16">
        <f t="shared" si="91"/>
        <v>0</v>
      </c>
      <c r="L386" s="67">
        <f t="shared" si="92"/>
        <v>0</v>
      </c>
      <c r="M386" s="4">
        <f t="shared" si="93"/>
        <v>0</v>
      </c>
      <c r="N386" s="4">
        <f t="shared" si="94"/>
        <v>0</v>
      </c>
      <c r="O386" s="4">
        <f t="shared" si="95"/>
        <v>0</v>
      </c>
      <c r="P386" s="4" t="e">
        <f>VLOOKUP(AJ378,'CIR Team Info'!$C$5:$E$44,2,FALSE)</f>
        <v>#N/A</v>
      </c>
      <c r="Q386" s="4" t="e">
        <f>VLOOKUP(AJ378,'CIR Team Info'!$C$5:$E$44,3,FALSE)</f>
        <v>#N/A</v>
      </c>
      <c r="R386" s="10" t="e">
        <f>VLOOKUP(AJ378,'FRC Site Data'!$B$3:$L$42,2,FALSE)</f>
        <v>#N/A</v>
      </c>
      <c r="S386" s="10" t="e">
        <f>VLOOKUP(AJ378,'FRC Site Data'!$B$3:$L$42,3,FALSE)</f>
        <v>#N/A</v>
      </c>
      <c r="T386" s="10" t="e">
        <f>VLOOKUP(AJ378,'FRC Site Data'!$B$3:$L$42,4,FALSE)</f>
        <v>#N/A</v>
      </c>
      <c r="U386" s="10" t="e">
        <f>VLOOKUP(AJ378,'FRC Site Data'!$B$3:$L$42,5,FALSE)</f>
        <v>#N/A</v>
      </c>
      <c r="V386" s="10" t="e">
        <f>VLOOKUP(AJ378,'FRC Site Data'!$B$3:$L$42,6,FALSE)</f>
        <v>#N/A</v>
      </c>
      <c r="W386" s="10" t="e">
        <f>VLOOKUP(AJ378,'FRC Site Data'!$B$3:$L$42,8,FALSE)</f>
        <v>#N/A</v>
      </c>
      <c r="X386" s="10" t="e">
        <f>VLOOKUP(AJ378,'FRC Site Data'!$B$3:$L$42,9,FALSE)</f>
        <v>#N/A</v>
      </c>
      <c r="Y386" s="10" t="e">
        <f>VLOOKUP(AJ378,'FRC Site Data'!$B$3:$L$42,10,FALSE)</f>
        <v>#N/A</v>
      </c>
      <c r="Z386" s="10" t="e">
        <f>VLOOKUP(AJ378,'FRC Site Data'!$B$3:$L$42,11,FALSE)</f>
        <v>#N/A</v>
      </c>
      <c r="AA386" s="10" t="e">
        <f>VLOOKUP(AJ378,'CIR Team Info'!$C$5:$E$44,4,FALSE)</f>
        <v>#N/A</v>
      </c>
      <c r="AB386" s="161" t="b">
        <f>ISNUMBER(VLOOKUP(AJ378,Match!$T$5:$T$10,1,FALSE))</f>
        <v>0</v>
      </c>
      <c r="AC386" s="161" t="b">
        <f>IF(AB386=TRUE,(VLOOKUP($AJ378,Match!$T$5:$U$10,2,FALSE)))</f>
        <v>0</v>
      </c>
      <c r="AD386" s="8">
        <v>3</v>
      </c>
      <c r="AE386" s="8">
        <v>2</v>
      </c>
      <c r="AF386" s="8">
        <v>2</v>
      </c>
      <c r="AG386" s="8">
        <v>1</v>
      </c>
      <c r="AH386" s="8" t="str">
        <f t="shared" si="96"/>
        <v/>
      </c>
      <c r="AI386" s="12"/>
      <c r="AZ386" s="12"/>
      <c r="BC386" s="12"/>
      <c r="BK386" s="12"/>
    </row>
    <row r="387" spans="1:63" x14ac:dyDescent="0.25">
      <c r="A387" s="29">
        <f t="shared" si="97"/>
        <v>0</v>
      </c>
      <c r="B387" s="29">
        <f t="shared" si="83"/>
        <v>0</v>
      </c>
      <c r="C387" s="29">
        <f t="shared" si="84"/>
        <v>0</v>
      </c>
      <c r="D387" s="29">
        <f t="shared" si="85"/>
        <v>0</v>
      </c>
      <c r="E387" s="29">
        <f t="shared" si="98"/>
        <v>0</v>
      </c>
      <c r="F387" s="29">
        <f t="shared" si="86"/>
        <v>0</v>
      </c>
      <c r="G387" s="29" t="str">
        <f t="shared" si="87"/>
        <v>offensive</v>
      </c>
      <c r="H387" s="16">
        <f t="shared" si="88"/>
        <v>0</v>
      </c>
      <c r="I387" s="16">
        <f t="shared" si="89"/>
        <v>0</v>
      </c>
      <c r="J387" s="16">
        <f t="shared" si="90"/>
        <v>0</v>
      </c>
      <c r="K387" s="16">
        <f t="shared" si="91"/>
        <v>0</v>
      </c>
      <c r="L387" s="67">
        <f t="shared" si="92"/>
        <v>0</v>
      </c>
      <c r="M387" s="4">
        <f t="shared" si="93"/>
        <v>0</v>
      </c>
      <c r="N387" s="4">
        <f t="shared" si="94"/>
        <v>0</v>
      </c>
      <c r="O387" s="4">
        <f t="shared" si="95"/>
        <v>0</v>
      </c>
      <c r="P387" s="4" t="e">
        <f>VLOOKUP(AJ379,'CIR Team Info'!$C$5:$E$44,2,FALSE)</f>
        <v>#N/A</v>
      </c>
      <c r="Q387" s="4" t="e">
        <f>VLOOKUP(AJ379,'CIR Team Info'!$C$5:$E$44,3,FALSE)</f>
        <v>#N/A</v>
      </c>
      <c r="R387" s="10" t="e">
        <f>VLOOKUP(AJ379,'FRC Site Data'!$B$3:$L$42,2,FALSE)</f>
        <v>#N/A</v>
      </c>
      <c r="S387" s="10" t="e">
        <f>VLOOKUP(AJ379,'FRC Site Data'!$B$3:$L$42,3,FALSE)</f>
        <v>#N/A</v>
      </c>
      <c r="T387" s="10" t="e">
        <f>VLOOKUP(AJ379,'FRC Site Data'!$B$3:$L$42,4,FALSE)</f>
        <v>#N/A</v>
      </c>
      <c r="U387" s="10" t="e">
        <f>VLOOKUP(AJ379,'FRC Site Data'!$B$3:$L$42,5,FALSE)</f>
        <v>#N/A</v>
      </c>
      <c r="V387" s="10" t="e">
        <f>VLOOKUP(AJ379,'FRC Site Data'!$B$3:$L$42,6,FALSE)</f>
        <v>#N/A</v>
      </c>
      <c r="W387" s="10" t="e">
        <f>VLOOKUP(AJ379,'FRC Site Data'!$B$3:$L$42,8,FALSE)</f>
        <v>#N/A</v>
      </c>
      <c r="X387" s="10" t="e">
        <f>VLOOKUP(AJ379,'FRC Site Data'!$B$3:$L$42,9,FALSE)</f>
        <v>#N/A</v>
      </c>
      <c r="Y387" s="10" t="e">
        <f>VLOOKUP(AJ379,'FRC Site Data'!$B$3:$L$42,10,FALSE)</f>
        <v>#N/A</v>
      </c>
      <c r="Z387" s="10" t="e">
        <f>VLOOKUP(AJ379,'FRC Site Data'!$B$3:$L$42,11,FALSE)</f>
        <v>#N/A</v>
      </c>
      <c r="AA387" s="10" t="e">
        <f>VLOOKUP(AJ379,'CIR Team Info'!$C$5:$E$44,4,FALSE)</f>
        <v>#N/A</v>
      </c>
      <c r="AB387" s="161" t="b">
        <f>ISNUMBER(VLOOKUP(AJ379,Match!$T$5:$T$10,1,FALSE))</f>
        <v>0</v>
      </c>
      <c r="AC387" s="161" t="b">
        <f>IF(AB387=TRUE,(VLOOKUP($AJ379,Match!$T$5:$U$10,2,FALSE)))</f>
        <v>0</v>
      </c>
      <c r="AD387" s="8">
        <v>3</v>
      </c>
      <c r="AE387" s="8">
        <v>2</v>
      </c>
      <c r="AF387" s="8">
        <v>2</v>
      </c>
      <c r="AG387" s="8">
        <v>1</v>
      </c>
      <c r="AH387" s="8" t="str">
        <f t="shared" si="96"/>
        <v/>
      </c>
      <c r="AI387" s="12"/>
      <c r="AZ387" s="12"/>
      <c r="BC387" s="12"/>
      <c r="BK387" s="12"/>
    </row>
    <row r="388" spans="1:63" x14ac:dyDescent="0.25">
      <c r="A388" s="29">
        <f t="shared" si="97"/>
        <v>0</v>
      </c>
      <c r="B388" s="29">
        <f t="shared" si="83"/>
        <v>0</v>
      </c>
      <c r="C388" s="29">
        <f t="shared" si="84"/>
        <v>0</v>
      </c>
      <c r="D388" s="29">
        <f t="shared" si="85"/>
        <v>0</v>
      </c>
      <c r="E388" s="29">
        <f t="shared" si="98"/>
        <v>0</v>
      </c>
      <c r="F388" s="29">
        <f t="shared" si="86"/>
        <v>0</v>
      </c>
      <c r="G388" s="29" t="str">
        <f t="shared" si="87"/>
        <v>offensive</v>
      </c>
      <c r="H388" s="16">
        <f t="shared" si="88"/>
        <v>0</v>
      </c>
      <c r="I388" s="16">
        <f t="shared" si="89"/>
        <v>0</v>
      </c>
      <c r="J388" s="16">
        <f t="shared" si="90"/>
        <v>0</v>
      </c>
      <c r="K388" s="16">
        <f t="shared" si="91"/>
        <v>0</v>
      </c>
      <c r="L388" s="67">
        <f t="shared" si="92"/>
        <v>0</v>
      </c>
      <c r="M388" s="4">
        <f t="shared" si="93"/>
        <v>0</v>
      </c>
      <c r="N388" s="4">
        <f t="shared" si="94"/>
        <v>0</v>
      </c>
      <c r="O388" s="4">
        <f t="shared" si="95"/>
        <v>0</v>
      </c>
      <c r="P388" s="4" t="e">
        <f>VLOOKUP(AJ380,'CIR Team Info'!$C$5:$E$44,2,FALSE)</f>
        <v>#N/A</v>
      </c>
      <c r="Q388" s="4" t="e">
        <f>VLOOKUP(AJ380,'CIR Team Info'!$C$5:$E$44,3,FALSE)</f>
        <v>#N/A</v>
      </c>
      <c r="R388" s="10" t="e">
        <f>VLOOKUP(AJ380,'FRC Site Data'!$B$3:$L$42,2,FALSE)</f>
        <v>#N/A</v>
      </c>
      <c r="S388" s="10" t="e">
        <f>VLOOKUP(AJ380,'FRC Site Data'!$B$3:$L$42,3,FALSE)</f>
        <v>#N/A</v>
      </c>
      <c r="T388" s="10" t="e">
        <f>VLOOKUP(AJ380,'FRC Site Data'!$B$3:$L$42,4,FALSE)</f>
        <v>#N/A</v>
      </c>
      <c r="U388" s="10" t="e">
        <f>VLOOKUP(AJ380,'FRC Site Data'!$B$3:$L$42,5,FALSE)</f>
        <v>#N/A</v>
      </c>
      <c r="V388" s="10" t="e">
        <f>VLOOKUP(AJ380,'FRC Site Data'!$B$3:$L$42,6,FALSE)</f>
        <v>#N/A</v>
      </c>
      <c r="W388" s="10" t="e">
        <f>VLOOKUP(AJ380,'FRC Site Data'!$B$3:$L$42,8,FALSE)</f>
        <v>#N/A</v>
      </c>
      <c r="X388" s="10" t="e">
        <f>VLOOKUP(AJ380,'FRC Site Data'!$B$3:$L$42,9,FALSE)</f>
        <v>#N/A</v>
      </c>
      <c r="Y388" s="10" t="e">
        <f>VLOOKUP(AJ380,'FRC Site Data'!$B$3:$L$42,10,FALSE)</f>
        <v>#N/A</v>
      </c>
      <c r="Z388" s="10" t="e">
        <f>VLOOKUP(AJ380,'FRC Site Data'!$B$3:$L$42,11,FALSE)</f>
        <v>#N/A</v>
      </c>
      <c r="AA388" s="10" t="e">
        <f>VLOOKUP(AJ380,'CIR Team Info'!$C$5:$E$44,4,FALSE)</f>
        <v>#N/A</v>
      </c>
      <c r="AB388" s="161" t="b">
        <f>ISNUMBER(VLOOKUP(AJ380,Match!$T$5:$T$10,1,FALSE))</f>
        <v>0</v>
      </c>
      <c r="AC388" s="161" t="b">
        <f>IF(AB388=TRUE,(VLOOKUP($AJ380,Match!$T$5:$U$10,2,FALSE)))</f>
        <v>0</v>
      </c>
      <c r="AD388" s="8">
        <v>3</v>
      </c>
      <c r="AE388" s="8">
        <v>2</v>
      </c>
      <c r="AF388" s="8">
        <v>2</v>
      </c>
      <c r="AG388" s="8">
        <v>1</v>
      </c>
      <c r="AH388" s="8" t="str">
        <f t="shared" si="96"/>
        <v/>
      </c>
      <c r="AI388" s="12"/>
      <c r="AZ388" s="12"/>
      <c r="BC388" s="12"/>
      <c r="BK388" s="12"/>
    </row>
    <row r="389" spans="1:63" x14ac:dyDescent="0.25">
      <c r="A389" s="29">
        <f t="shared" si="97"/>
        <v>0</v>
      </c>
      <c r="B389" s="29">
        <f t="shared" si="83"/>
        <v>0</v>
      </c>
      <c r="C389" s="29">
        <f t="shared" si="84"/>
        <v>0</v>
      </c>
      <c r="D389" s="29">
        <f t="shared" si="85"/>
        <v>0</v>
      </c>
      <c r="E389" s="29">
        <f t="shared" si="98"/>
        <v>0</v>
      </c>
      <c r="F389" s="29">
        <f t="shared" si="86"/>
        <v>0</v>
      </c>
      <c r="G389" s="29" t="str">
        <f t="shared" si="87"/>
        <v>offensive</v>
      </c>
      <c r="H389" s="16">
        <f t="shared" si="88"/>
        <v>0</v>
      </c>
      <c r="I389" s="16">
        <f t="shared" si="89"/>
        <v>0</v>
      </c>
      <c r="J389" s="16">
        <f t="shared" si="90"/>
        <v>0</v>
      </c>
      <c r="K389" s="16">
        <f t="shared" si="91"/>
        <v>0</v>
      </c>
      <c r="L389" s="67">
        <f t="shared" si="92"/>
        <v>0</v>
      </c>
      <c r="M389" s="4">
        <f t="shared" si="93"/>
        <v>0</v>
      </c>
      <c r="N389" s="4">
        <f t="shared" si="94"/>
        <v>0</v>
      </c>
      <c r="O389" s="4">
        <f t="shared" si="95"/>
        <v>0</v>
      </c>
      <c r="P389" s="4" t="e">
        <f>VLOOKUP(AJ381,'CIR Team Info'!$C$5:$E$44,2,FALSE)</f>
        <v>#N/A</v>
      </c>
      <c r="Q389" s="4" t="e">
        <f>VLOOKUP(AJ381,'CIR Team Info'!$C$5:$E$44,3,FALSE)</f>
        <v>#N/A</v>
      </c>
      <c r="R389" s="10" t="e">
        <f>VLOOKUP(AJ381,'FRC Site Data'!$B$3:$L$42,2,FALSE)</f>
        <v>#N/A</v>
      </c>
      <c r="S389" s="10" t="e">
        <f>VLOOKUP(AJ381,'FRC Site Data'!$B$3:$L$42,3,FALSE)</f>
        <v>#N/A</v>
      </c>
      <c r="T389" s="10" t="e">
        <f>VLOOKUP(AJ381,'FRC Site Data'!$B$3:$L$42,4,FALSE)</f>
        <v>#N/A</v>
      </c>
      <c r="U389" s="10" t="e">
        <f>VLOOKUP(AJ381,'FRC Site Data'!$B$3:$L$42,5,FALSE)</f>
        <v>#N/A</v>
      </c>
      <c r="V389" s="10" t="e">
        <f>VLOOKUP(AJ381,'FRC Site Data'!$B$3:$L$42,6,FALSE)</f>
        <v>#N/A</v>
      </c>
      <c r="W389" s="10" t="e">
        <f>VLOOKUP(AJ381,'FRC Site Data'!$B$3:$L$42,8,FALSE)</f>
        <v>#N/A</v>
      </c>
      <c r="X389" s="10" t="e">
        <f>VLOOKUP(AJ381,'FRC Site Data'!$B$3:$L$42,9,FALSE)</f>
        <v>#N/A</v>
      </c>
      <c r="Y389" s="10" t="e">
        <f>VLOOKUP(AJ381,'FRC Site Data'!$B$3:$L$42,10,FALSE)</f>
        <v>#N/A</v>
      </c>
      <c r="Z389" s="10" t="e">
        <f>VLOOKUP(AJ381,'FRC Site Data'!$B$3:$L$42,11,FALSE)</f>
        <v>#N/A</v>
      </c>
      <c r="AA389" s="10" t="e">
        <f>VLOOKUP(AJ381,'CIR Team Info'!$C$5:$E$44,4,FALSE)</f>
        <v>#N/A</v>
      </c>
      <c r="AB389" s="161" t="b">
        <f>ISNUMBER(VLOOKUP(AJ381,Match!$T$5:$T$10,1,FALSE))</f>
        <v>0</v>
      </c>
      <c r="AC389" s="161" t="b">
        <f>IF(AB389=TRUE,(VLOOKUP($AJ381,Match!$T$5:$U$10,2,FALSE)))</f>
        <v>0</v>
      </c>
      <c r="AD389" s="8">
        <v>3</v>
      </c>
      <c r="AE389" s="8">
        <v>2</v>
      </c>
      <c r="AF389" s="8">
        <v>2</v>
      </c>
      <c r="AG389" s="8">
        <v>1</v>
      </c>
      <c r="AH389" s="8" t="str">
        <f t="shared" si="96"/>
        <v/>
      </c>
      <c r="AI389" s="12"/>
      <c r="AZ389" s="12"/>
      <c r="BC389" s="12"/>
      <c r="BK389" s="12"/>
    </row>
    <row r="390" spans="1:63" x14ac:dyDescent="0.25">
      <c r="A390" s="29">
        <f t="shared" si="97"/>
        <v>0</v>
      </c>
      <c r="B390" s="29">
        <f t="shared" si="83"/>
        <v>0</v>
      </c>
      <c r="C390" s="29">
        <f t="shared" si="84"/>
        <v>0</v>
      </c>
      <c r="D390" s="29">
        <f t="shared" si="85"/>
        <v>0</v>
      </c>
      <c r="E390" s="29">
        <f t="shared" si="98"/>
        <v>0</v>
      </c>
      <c r="F390" s="29">
        <f t="shared" si="86"/>
        <v>0</v>
      </c>
      <c r="G390" s="29" t="str">
        <f t="shared" si="87"/>
        <v>offensive</v>
      </c>
      <c r="H390" s="16">
        <f t="shared" si="88"/>
        <v>0</v>
      </c>
      <c r="I390" s="16">
        <f t="shared" si="89"/>
        <v>0</v>
      </c>
      <c r="J390" s="16">
        <f t="shared" si="90"/>
        <v>0</v>
      </c>
      <c r="K390" s="16">
        <f t="shared" si="91"/>
        <v>0</v>
      </c>
      <c r="L390" s="67">
        <f t="shared" si="92"/>
        <v>0</v>
      </c>
      <c r="M390" s="4">
        <f t="shared" si="93"/>
        <v>0</v>
      </c>
      <c r="N390" s="4">
        <f t="shared" si="94"/>
        <v>0</v>
      </c>
      <c r="O390" s="4">
        <f t="shared" si="95"/>
        <v>0</v>
      </c>
      <c r="P390" s="4" t="e">
        <f>VLOOKUP(AJ382,'CIR Team Info'!$C$5:$E$44,2,FALSE)</f>
        <v>#N/A</v>
      </c>
      <c r="Q390" s="4" t="e">
        <f>VLOOKUP(AJ382,'CIR Team Info'!$C$5:$E$44,3,FALSE)</f>
        <v>#N/A</v>
      </c>
      <c r="R390" s="10" t="e">
        <f>VLOOKUP(AJ382,'FRC Site Data'!$B$3:$L$42,2,FALSE)</f>
        <v>#N/A</v>
      </c>
      <c r="S390" s="10" t="e">
        <f>VLOOKUP(AJ382,'FRC Site Data'!$B$3:$L$42,3,FALSE)</f>
        <v>#N/A</v>
      </c>
      <c r="T390" s="10" t="e">
        <f>VLOOKUP(AJ382,'FRC Site Data'!$B$3:$L$42,4,FALSE)</f>
        <v>#N/A</v>
      </c>
      <c r="U390" s="10" t="e">
        <f>VLOOKUP(AJ382,'FRC Site Data'!$B$3:$L$42,5,FALSE)</f>
        <v>#N/A</v>
      </c>
      <c r="V390" s="10" t="e">
        <f>VLOOKUP(AJ382,'FRC Site Data'!$B$3:$L$42,6,FALSE)</f>
        <v>#N/A</v>
      </c>
      <c r="W390" s="10" t="e">
        <f>VLOOKUP(AJ382,'FRC Site Data'!$B$3:$L$42,8,FALSE)</f>
        <v>#N/A</v>
      </c>
      <c r="X390" s="10" t="e">
        <f>VLOOKUP(AJ382,'FRC Site Data'!$B$3:$L$42,9,FALSE)</f>
        <v>#N/A</v>
      </c>
      <c r="Y390" s="10" t="e">
        <f>VLOOKUP(AJ382,'FRC Site Data'!$B$3:$L$42,10,FALSE)</f>
        <v>#N/A</v>
      </c>
      <c r="Z390" s="10" t="e">
        <f>VLOOKUP(AJ382,'FRC Site Data'!$B$3:$L$42,11,FALSE)</f>
        <v>#N/A</v>
      </c>
      <c r="AA390" s="10" t="e">
        <f>VLOOKUP(AJ382,'CIR Team Info'!$C$5:$E$44,4,FALSE)</f>
        <v>#N/A</v>
      </c>
      <c r="AB390" s="161" t="b">
        <f>ISNUMBER(VLOOKUP(AJ382,Match!$T$5:$T$10,1,FALSE))</f>
        <v>0</v>
      </c>
      <c r="AC390" s="161" t="b">
        <f>IF(AB390=TRUE,(VLOOKUP($AJ382,Match!$T$5:$U$10,2,FALSE)))</f>
        <v>0</v>
      </c>
      <c r="AD390" s="8">
        <v>3</v>
      </c>
      <c r="AE390" s="8">
        <v>2</v>
      </c>
      <c r="AF390" s="8">
        <v>2</v>
      </c>
      <c r="AG390" s="8">
        <v>1</v>
      </c>
      <c r="AH390" s="8" t="str">
        <f t="shared" si="96"/>
        <v/>
      </c>
      <c r="AI390" s="12"/>
      <c r="AZ390" s="12"/>
      <c r="BC390" s="12"/>
      <c r="BK390" s="12"/>
    </row>
    <row r="391" spans="1:63" x14ac:dyDescent="0.25">
      <c r="A391" s="29">
        <f t="shared" si="97"/>
        <v>0</v>
      </c>
      <c r="B391" s="29">
        <f t="shared" si="83"/>
        <v>0</v>
      </c>
      <c r="C391" s="29">
        <f t="shared" si="84"/>
        <v>0</v>
      </c>
      <c r="D391" s="29">
        <f t="shared" si="85"/>
        <v>0</v>
      </c>
      <c r="E391" s="29">
        <f t="shared" si="98"/>
        <v>0</v>
      </c>
      <c r="F391" s="29">
        <f t="shared" si="86"/>
        <v>0</v>
      </c>
      <c r="G391" s="29" t="str">
        <f t="shared" si="87"/>
        <v>offensive</v>
      </c>
      <c r="H391" s="16">
        <f t="shared" si="88"/>
        <v>0</v>
      </c>
      <c r="I391" s="16">
        <f t="shared" si="89"/>
        <v>0</v>
      </c>
      <c r="J391" s="16">
        <f t="shared" si="90"/>
        <v>0</v>
      </c>
      <c r="K391" s="16">
        <f t="shared" si="91"/>
        <v>0</v>
      </c>
      <c r="L391" s="67">
        <f t="shared" si="92"/>
        <v>0</v>
      </c>
      <c r="M391" s="4">
        <f t="shared" si="93"/>
        <v>0</v>
      </c>
      <c r="N391" s="4">
        <f t="shared" si="94"/>
        <v>0</v>
      </c>
      <c r="O391" s="4">
        <f t="shared" si="95"/>
        <v>0</v>
      </c>
      <c r="P391" s="4" t="e">
        <f>VLOOKUP(AJ383,'CIR Team Info'!$C$5:$E$44,2,FALSE)</f>
        <v>#N/A</v>
      </c>
      <c r="Q391" s="4" t="e">
        <f>VLOOKUP(AJ383,'CIR Team Info'!$C$5:$E$44,3,FALSE)</f>
        <v>#N/A</v>
      </c>
      <c r="R391" s="10" t="e">
        <f>VLOOKUP(AJ383,'FRC Site Data'!$B$3:$L$42,2,FALSE)</f>
        <v>#N/A</v>
      </c>
      <c r="S391" s="10" t="e">
        <f>VLOOKUP(AJ383,'FRC Site Data'!$B$3:$L$42,3,FALSE)</f>
        <v>#N/A</v>
      </c>
      <c r="T391" s="10" t="e">
        <f>VLOOKUP(AJ383,'FRC Site Data'!$B$3:$L$42,4,FALSE)</f>
        <v>#N/A</v>
      </c>
      <c r="U391" s="10" t="e">
        <f>VLOOKUP(AJ383,'FRC Site Data'!$B$3:$L$42,5,FALSE)</f>
        <v>#N/A</v>
      </c>
      <c r="V391" s="10" t="e">
        <f>VLOOKUP(AJ383,'FRC Site Data'!$B$3:$L$42,6,FALSE)</f>
        <v>#N/A</v>
      </c>
      <c r="W391" s="10" t="e">
        <f>VLOOKUP(AJ383,'FRC Site Data'!$B$3:$L$42,8,FALSE)</f>
        <v>#N/A</v>
      </c>
      <c r="X391" s="10" t="e">
        <f>VLOOKUP(AJ383,'FRC Site Data'!$B$3:$L$42,9,FALSE)</f>
        <v>#N/A</v>
      </c>
      <c r="Y391" s="10" t="e">
        <f>VLOOKUP(AJ383,'FRC Site Data'!$B$3:$L$42,10,FALSE)</f>
        <v>#N/A</v>
      </c>
      <c r="Z391" s="10" t="e">
        <f>VLOOKUP(AJ383,'FRC Site Data'!$B$3:$L$42,11,FALSE)</f>
        <v>#N/A</v>
      </c>
      <c r="AA391" s="10" t="e">
        <f>VLOOKUP(AJ383,'CIR Team Info'!$C$5:$E$44,4,FALSE)</f>
        <v>#N/A</v>
      </c>
      <c r="AB391" s="161" t="b">
        <f>ISNUMBER(VLOOKUP(AJ383,Match!$T$5:$T$10,1,FALSE))</f>
        <v>0</v>
      </c>
      <c r="AC391" s="161" t="b">
        <f>IF(AB391=TRUE,(VLOOKUP($AJ383,Match!$T$5:$U$10,2,FALSE)))</f>
        <v>0</v>
      </c>
      <c r="AD391" s="8">
        <v>3</v>
      </c>
      <c r="AE391" s="8">
        <v>2</v>
      </c>
      <c r="AF391" s="8">
        <v>2</v>
      </c>
      <c r="AG391" s="8">
        <v>1</v>
      </c>
      <c r="AH391" s="8" t="str">
        <f t="shared" si="96"/>
        <v/>
      </c>
      <c r="AI391" s="12"/>
      <c r="AZ391" s="12"/>
      <c r="BC391" s="12"/>
      <c r="BK391" s="12"/>
    </row>
    <row r="392" spans="1:63" x14ac:dyDescent="0.25">
      <c r="A392" s="29">
        <f t="shared" si="97"/>
        <v>0</v>
      </c>
      <c r="B392" s="29">
        <f t="shared" ref="B392:B455" si="99">H392*AD392*AO384</f>
        <v>0</v>
      </c>
      <c r="C392" s="29">
        <f t="shared" ref="C392:C455" si="100">I392*AE392*AV384</f>
        <v>0</v>
      </c>
      <c r="D392" s="29">
        <f t="shared" ref="D392:D455" si="101">J392*AF392*BF384</f>
        <v>0</v>
      </c>
      <c r="E392" s="29">
        <f t="shared" si="98"/>
        <v>0</v>
      </c>
      <c r="F392" s="29">
        <f t="shared" ref="F392:F455" si="102">IF(AN384&gt;0,5)-2*COUNTIF(AQ384,"K")+5*COUNTIF(AS384,"T")+IF(AX384=3,2)+IF(AY384="T",2)</f>
        <v>0</v>
      </c>
      <c r="G392" s="29" t="str">
        <f t="shared" ref="G392:G455" si="103">IF((BB384+BC384)&gt;45,"defensive",IF((BB384+BC384)&gt;15,"both","offensive"))</f>
        <v>offensive</v>
      </c>
      <c r="H392" s="16">
        <f t="shared" ref="H392:H455" si="104">IF((AO384+AP384)=0,0,AO384/(AO384+AP384))</f>
        <v>0</v>
      </c>
      <c r="I392" s="16">
        <f t="shared" ref="I392:I455" si="105">IF((AV384+AW384)=0,0,AV384/(AV384+AW384))</f>
        <v>0</v>
      </c>
      <c r="J392" s="16">
        <f t="shared" ref="J392:J455" si="106">IF(L392=0,0,BG384/L392)</f>
        <v>0</v>
      </c>
      <c r="K392" s="16">
        <f t="shared" ref="K392:K455" si="107">IF((BB384+BC384)=0,0,((AZ384*BB384*0.2)+(BA384*BC384*0.3))/(BB384+BC384))</f>
        <v>0</v>
      </c>
      <c r="L392" s="67">
        <f t="shared" ref="L392:L455" si="108">IF(BF384&gt;BG384,BF384,BG384)</f>
        <v>0</v>
      </c>
      <c r="M392" s="4">
        <f t="shared" ref="M392:M455" si="109">AO384+AV384+BD384+O392</f>
        <v>0</v>
      </c>
      <c r="N392" s="4">
        <f t="shared" ref="N392:N455" si="110">AO384+AV384+BD384</f>
        <v>0</v>
      </c>
      <c r="O392" s="4">
        <f t="shared" ref="O392:O455" si="111">(AZ384*0.2*BB384*30/30)+(BA384*0.3*BC384*12/30)-BI384-BJ384</f>
        <v>0</v>
      </c>
      <c r="P392" s="4" t="e">
        <f>VLOOKUP(AJ384,'CIR Team Info'!$C$5:$E$44,2,FALSE)</f>
        <v>#N/A</v>
      </c>
      <c r="Q392" s="4" t="e">
        <f>VLOOKUP(AJ384,'CIR Team Info'!$C$5:$E$44,3,FALSE)</f>
        <v>#N/A</v>
      </c>
      <c r="R392" s="10" t="e">
        <f>VLOOKUP(AJ384,'FRC Site Data'!$B$3:$L$42,2,FALSE)</f>
        <v>#N/A</v>
      </c>
      <c r="S392" s="10" t="e">
        <f>VLOOKUP(AJ384,'FRC Site Data'!$B$3:$L$42,3,FALSE)</f>
        <v>#N/A</v>
      </c>
      <c r="T392" s="10" t="e">
        <f>VLOOKUP(AJ384,'FRC Site Data'!$B$3:$L$42,4,FALSE)</f>
        <v>#N/A</v>
      </c>
      <c r="U392" s="10" t="e">
        <f>VLOOKUP(AJ384,'FRC Site Data'!$B$3:$L$42,5,FALSE)</f>
        <v>#N/A</v>
      </c>
      <c r="V392" s="10" t="e">
        <f>VLOOKUP(AJ384,'FRC Site Data'!$B$3:$L$42,6,FALSE)</f>
        <v>#N/A</v>
      </c>
      <c r="W392" s="10" t="e">
        <f>VLOOKUP(AJ384,'FRC Site Data'!$B$3:$L$42,8,FALSE)</f>
        <v>#N/A</v>
      </c>
      <c r="X392" s="10" t="e">
        <f>VLOOKUP(AJ384,'FRC Site Data'!$B$3:$L$42,9,FALSE)</f>
        <v>#N/A</v>
      </c>
      <c r="Y392" s="10" t="e">
        <f>VLOOKUP(AJ384,'FRC Site Data'!$B$3:$L$42,10,FALSE)</f>
        <v>#N/A</v>
      </c>
      <c r="Z392" s="10" t="e">
        <f>VLOOKUP(AJ384,'FRC Site Data'!$B$3:$L$42,11,FALSE)</f>
        <v>#N/A</v>
      </c>
      <c r="AA392" s="10" t="e">
        <f>VLOOKUP(AJ384,'CIR Team Info'!$C$5:$E$44,4,FALSE)</f>
        <v>#N/A</v>
      </c>
      <c r="AB392" s="161" t="b">
        <f>ISNUMBER(VLOOKUP(AJ384,Match!$T$5:$T$10,1,FALSE))</f>
        <v>0</v>
      </c>
      <c r="AC392" s="161" t="b">
        <f>IF(AB392=TRUE,(VLOOKUP($AJ384,Match!$T$5:$U$10,2,FALSE)))</f>
        <v>0</v>
      </c>
      <c r="AD392" s="8">
        <v>3</v>
      </c>
      <c r="AE392" s="8">
        <v>2</v>
      </c>
      <c r="AF392" s="8">
        <v>2</v>
      </c>
      <c r="AG392" s="8">
        <v>1</v>
      </c>
      <c r="AH392" s="8" t="str">
        <f t="shared" si="96"/>
        <v/>
      </c>
      <c r="AI392" s="12"/>
      <c r="AZ392" s="12"/>
      <c r="BC392" s="12"/>
      <c r="BK392" s="12"/>
    </row>
    <row r="393" spans="1:63" x14ac:dyDescent="0.25">
      <c r="A393" s="29">
        <f t="shared" si="97"/>
        <v>0</v>
      </c>
      <c r="B393" s="29">
        <f t="shared" si="99"/>
        <v>0</v>
      </c>
      <c r="C393" s="29">
        <f t="shared" si="100"/>
        <v>0</v>
      </c>
      <c r="D393" s="29">
        <f t="shared" si="101"/>
        <v>0</v>
      </c>
      <c r="E393" s="29">
        <f t="shared" si="98"/>
        <v>0</v>
      </c>
      <c r="F393" s="29">
        <f t="shared" si="102"/>
        <v>0</v>
      </c>
      <c r="G393" s="29" t="str">
        <f t="shared" si="103"/>
        <v>offensive</v>
      </c>
      <c r="H393" s="16">
        <f t="shared" si="104"/>
        <v>0</v>
      </c>
      <c r="I393" s="16">
        <f t="shared" si="105"/>
        <v>0</v>
      </c>
      <c r="J393" s="16">
        <f t="shared" si="106"/>
        <v>0</v>
      </c>
      <c r="K393" s="16">
        <f t="shared" si="107"/>
        <v>0</v>
      </c>
      <c r="L393" s="67">
        <f t="shared" si="108"/>
        <v>0</v>
      </c>
      <c r="M393" s="4">
        <f t="shared" si="109"/>
        <v>0</v>
      </c>
      <c r="N393" s="4">
        <f t="shared" si="110"/>
        <v>0</v>
      </c>
      <c r="O393" s="4">
        <f t="shared" si="111"/>
        <v>0</v>
      </c>
      <c r="P393" s="4" t="e">
        <f>VLOOKUP(AJ385,'CIR Team Info'!$C$5:$E$44,2,FALSE)</f>
        <v>#N/A</v>
      </c>
      <c r="Q393" s="4" t="e">
        <f>VLOOKUP(AJ385,'CIR Team Info'!$C$5:$E$44,3,FALSE)</f>
        <v>#N/A</v>
      </c>
      <c r="R393" s="10" t="e">
        <f>VLOOKUP(AJ385,'FRC Site Data'!$B$3:$L$42,2,FALSE)</f>
        <v>#N/A</v>
      </c>
      <c r="S393" s="10" t="e">
        <f>VLOOKUP(AJ385,'FRC Site Data'!$B$3:$L$42,3,FALSE)</f>
        <v>#N/A</v>
      </c>
      <c r="T393" s="10" t="e">
        <f>VLOOKUP(AJ385,'FRC Site Data'!$B$3:$L$42,4,FALSE)</f>
        <v>#N/A</v>
      </c>
      <c r="U393" s="10" t="e">
        <f>VLOOKUP(AJ385,'FRC Site Data'!$B$3:$L$42,5,FALSE)</f>
        <v>#N/A</v>
      </c>
      <c r="V393" s="10" t="e">
        <f>VLOOKUP(AJ385,'FRC Site Data'!$B$3:$L$42,6,FALSE)</f>
        <v>#N/A</v>
      </c>
      <c r="W393" s="10" t="e">
        <f>VLOOKUP(AJ385,'FRC Site Data'!$B$3:$L$42,8,FALSE)</f>
        <v>#N/A</v>
      </c>
      <c r="X393" s="10" t="e">
        <f>VLOOKUP(AJ385,'FRC Site Data'!$B$3:$L$42,9,FALSE)</f>
        <v>#N/A</v>
      </c>
      <c r="Y393" s="10" t="e">
        <f>VLOOKUP(AJ385,'FRC Site Data'!$B$3:$L$42,10,FALSE)</f>
        <v>#N/A</v>
      </c>
      <c r="Z393" s="10" t="e">
        <f>VLOOKUP(AJ385,'FRC Site Data'!$B$3:$L$42,11,FALSE)</f>
        <v>#N/A</v>
      </c>
      <c r="AA393" s="10" t="e">
        <f>VLOOKUP(AJ385,'CIR Team Info'!$C$5:$E$44,4,FALSE)</f>
        <v>#N/A</v>
      </c>
      <c r="AB393" s="161" t="b">
        <f>ISNUMBER(VLOOKUP(AJ385,Match!$T$5:$T$10,1,FALSE))</f>
        <v>0</v>
      </c>
      <c r="AC393" s="161" t="b">
        <f>IF(AB393=TRUE,(VLOOKUP($AJ385,Match!$T$5:$U$10,2,FALSE)))</f>
        <v>0</v>
      </c>
      <c r="AD393" s="8">
        <v>3</v>
      </c>
      <c r="AE393" s="8">
        <v>2</v>
      </c>
      <c r="AF393" s="8">
        <v>2</v>
      </c>
      <c r="AG393" s="8">
        <v>1</v>
      </c>
      <c r="AH393" s="8" t="str">
        <f t="shared" si="96"/>
        <v/>
      </c>
      <c r="AI393" s="12"/>
      <c r="AZ393" s="12"/>
      <c r="BC393" s="12"/>
      <c r="BK393" s="12"/>
    </row>
    <row r="394" spans="1:63" x14ac:dyDescent="0.25">
      <c r="A394" s="29">
        <f t="shared" si="97"/>
        <v>0</v>
      </c>
      <c r="B394" s="29">
        <f t="shared" si="99"/>
        <v>0</v>
      </c>
      <c r="C394" s="29">
        <f t="shared" si="100"/>
        <v>0</v>
      </c>
      <c r="D394" s="29">
        <f t="shared" si="101"/>
        <v>0</v>
      </c>
      <c r="E394" s="29">
        <f t="shared" si="98"/>
        <v>0</v>
      </c>
      <c r="F394" s="29">
        <f t="shared" si="102"/>
        <v>0</v>
      </c>
      <c r="G394" s="29" t="str">
        <f t="shared" si="103"/>
        <v>offensive</v>
      </c>
      <c r="H394" s="16">
        <f t="shared" si="104"/>
        <v>0</v>
      </c>
      <c r="I394" s="16">
        <f t="shared" si="105"/>
        <v>0</v>
      </c>
      <c r="J394" s="16">
        <f t="shared" si="106"/>
        <v>0</v>
      </c>
      <c r="K394" s="16">
        <f t="shared" si="107"/>
        <v>0</v>
      </c>
      <c r="L394" s="67">
        <f t="shared" si="108"/>
        <v>0</v>
      </c>
      <c r="M394" s="4">
        <f t="shared" si="109"/>
        <v>0</v>
      </c>
      <c r="N394" s="4">
        <f t="shared" si="110"/>
        <v>0</v>
      </c>
      <c r="O394" s="4">
        <f t="shared" si="111"/>
        <v>0</v>
      </c>
      <c r="P394" s="4" t="e">
        <f>VLOOKUP(AJ386,'CIR Team Info'!$C$5:$E$44,2,FALSE)</f>
        <v>#N/A</v>
      </c>
      <c r="Q394" s="4" t="e">
        <f>VLOOKUP(AJ386,'CIR Team Info'!$C$5:$E$44,3,FALSE)</f>
        <v>#N/A</v>
      </c>
      <c r="R394" s="10" t="e">
        <f>VLOOKUP(AJ386,'FRC Site Data'!$B$3:$L$42,2,FALSE)</f>
        <v>#N/A</v>
      </c>
      <c r="S394" s="10" t="e">
        <f>VLOOKUP(AJ386,'FRC Site Data'!$B$3:$L$42,3,FALSE)</f>
        <v>#N/A</v>
      </c>
      <c r="T394" s="10" t="e">
        <f>VLOOKUP(AJ386,'FRC Site Data'!$B$3:$L$42,4,FALSE)</f>
        <v>#N/A</v>
      </c>
      <c r="U394" s="10" t="e">
        <f>VLOOKUP(AJ386,'FRC Site Data'!$B$3:$L$42,5,FALSE)</f>
        <v>#N/A</v>
      </c>
      <c r="V394" s="10" t="e">
        <f>VLOOKUP(AJ386,'FRC Site Data'!$B$3:$L$42,6,FALSE)</f>
        <v>#N/A</v>
      </c>
      <c r="W394" s="10" t="e">
        <f>VLOOKUP(AJ386,'FRC Site Data'!$B$3:$L$42,8,FALSE)</f>
        <v>#N/A</v>
      </c>
      <c r="X394" s="10" t="e">
        <f>VLOOKUP(AJ386,'FRC Site Data'!$B$3:$L$42,9,FALSE)</f>
        <v>#N/A</v>
      </c>
      <c r="Y394" s="10" t="e">
        <f>VLOOKUP(AJ386,'FRC Site Data'!$B$3:$L$42,10,FALSE)</f>
        <v>#N/A</v>
      </c>
      <c r="Z394" s="10" t="e">
        <f>VLOOKUP(AJ386,'FRC Site Data'!$B$3:$L$42,11,FALSE)</f>
        <v>#N/A</v>
      </c>
      <c r="AA394" s="10" t="e">
        <f>VLOOKUP(AJ386,'CIR Team Info'!$C$5:$E$44,4,FALSE)</f>
        <v>#N/A</v>
      </c>
      <c r="AB394" s="161" t="b">
        <f>ISNUMBER(VLOOKUP(AJ386,Match!$T$5:$T$10,1,FALSE))</f>
        <v>0</v>
      </c>
      <c r="AC394" s="161" t="b">
        <f>IF(AB394=TRUE,(VLOOKUP($AJ386,Match!$T$5:$U$10,2,FALSE)))</f>
        <v>0</v>
      </c>
      <c r="AD394" s="8">
        <v>3</v>
      </c>
      <c r="AE394" s="8">
        <v>2</v>
      </c>
      <c r="AF394" s="8">
        <v>2</v>
      </c>
      <c r="AG394" s="8">
        <v>1</v>
      </c>
      <c r="AH394" s="8" t="str">
        <f t="shared" si="96"/>
        <v/>
      </c>
      <c r="AI394" s="12"/>
      <c r="AZ394" s="12"/>
      <c r="BC394" s="12"/>
      <c r="BK394" s="12"/>
    </row>
    <row r="395" spans="1:63" x14ac:dyDescent="0.25">
      <c r="A395" s="29">
        <f t="shared" si="97"/>
        <v>0</v>
      </c>
      <c r="B395" s="29">
        <f t="shared" si="99"/>
        <v>0</v>
      </c>
      <c r="C395" s="29">
        <f t="shared" si="100"/>
        <v>0</v>
      </c>
      <c r="D395" s="29">
        <f t="shared" si="101"/>
        <v>0</v>
      </c>
      <c r="E395" s="29">
        <f t="shared" si="98"/>
        <v>0</v>
      </c>
      <c r="F395" s="29">
        <f t="shared" si="102"/>
        <v>0</v>
      </c>
      <c r="G395" s="29" t="str">
        <f t="shared" si="103"/>
        <v>offensive</v>
      </c>
      <c r="H395" s="16">
        <f t="shared" si="104"/>
        <v>0</v>
      </c>
      <c r="I395" s="16">
        <f t="shared" si="105"/>
        <v>0</v>
      </c>
      <c r="J395" s="16">
        <f t="shared" si="106"/>
        <v>0</v>
      </c>
      <c r="K395" s="16">
        <f t="shared" si="107"/>
        <v>0</v>
      </c>
      <c r="L395" s="67">
        <f t="shared" si="108"/>
        <v>0</v>
      </c>
      <c r="M395" s="4">
        <f t="shared" si="109"/>
        <v>0</v>
      </c>
      <c r="N395" s="4">
        <f t="shared" si="110"/>
        <v>0</v>
      </c>
      <c r="O395" s="4">
        <f t="shared" si="111"/>
        <v>0</v>
      </c>
      <c r="P395" s="4" t="e">
        <f>VLOOKUP(AJ387,'CIR Team Info'!$C$5:$E$44,2,FALSE)</f>
        <v>#N/A</v>
      </c>
      <c r="Q395" s="4" t="e">
        <f>VLOOKUP(AJ387,'CIR Team Info'!$C$5:$E$44,3,FALSE)</f>
        <v>#N/A</v>
      </c>
      <c r="R395" s="10" t="e">
        <f>VLOOKUP(AJ387,'FRC Site Data'!$B$3:$L$42,2,FALSE)</f>
        <v>#N/A</v>
      </c>
      <c r="S395" s="10" t="e">
        <f>VLOOKUP(AJ387,'FRC Site Data'!$B$3:$L$42,3,FALSE)</f>
        <v>#N/A</v>
      </c>
      <c r="T395" s="10" t="e">
        <f>VLOOKUP(AJ387,'FRC Site Data'!$B$3:$L$42,4,FALSE)</f>
        <v>#N/A</v>
      </c>
      <c r="U395" s="10" t="e">
        <f>VLOOKUP(AJ387,'FRC Site Data'!$B$3:$L$42,5,FALSE)</f>
        <v>#N/A</v>
      </c>
      <c r="V395" s="10" t="e">
        <f>VLOOKUP(AJ387,'FRC Site Data'!$B$3:$L$42,6,FALSE)</f>
        <v>#N/A</v>
      </c>
      <c r="W395" s="10" t="e">
        <f>VLOOKUP(AJ387,'FRC Site Data'!$B$3:$L$42,8,FALSE)</f>
        <v>#N/A</v>
      </c>
      <c r="X395" s="10" t="e">
        <f>VLOOKUP(AJ387,'FRC Site Data'!$B$3:$L$42,9,FALSE)</f>
        <v>#N/A</v>
      </c>
      <c r="Y395" s="10" t="e">
        <f>VLOOKUP(AJ387,'FRC Site Data'!$B$3:$L$42,10,FALSE)</f>
        <v>#N/A</v>
      </c>
      <c r="Z395" s="10" t="e">
        <f>VLOOKUP(AJ387,'FRC Site Data'!$B$3:$L$42,11,FALSE)</f>
        <v>#N/A</v>
      </c>
      <c r="AA395" s="10" t="e">
        <f>VLOOKUP(AJ387,'CIR Team Info'!$C$5:$E$44,4,FALSE)</f>
        <v>#N/A</v>
      </c>
      <c r="AB395" s="161" t="b">
        <f>ISNUMBER(VLOOKUP(AJ387,Match!$T$5:$T$10,1,FALSE))</f>
        <v>0</v>
      </c>
      <c r="AC395" s="161" t="b">
        <f>IF(AB395=TRUE,(VLOOKUP($AJ387,Match!$T$5:$U$10,2,FALSE)))</f>
        <v>0</v>
      </c>
      <c r="AD395" s="8">
        <v>3</v>
      </c>
      <c r="AE395" s="8">
        <v>2</v>
      </c>
      <c r="AF395" s="8">
        <v>2</v>
      </c>
      <c r="AG395" s="8">
        <v>1</v>
      </c>
      <c r="AH395" s="8" t="str">
        <f t="shared" si="96"/>
        <v/>
      </c>
      <c r="AI395" s="12"/>
      <c r="AZ395" s="12"/>
      <c r="BC395" s="12"/>
      <c r="BK395" s="12"/>
    </row>
    <row r="396" spans="1:63" x14ac:dyDescent="0.25">
      <c r="A396" s="29">
        <f t="shared" si="97"/>
        <v>0</v>
      </c>
      <c r="B396" s="29">
        <f t="shared" si="99"/>
        <v>0</v>
      </c>
      <c r="C396" s="29">
        <f t="shared" si="100"/>
        <v>0</v>
      </c>
      <c r="D396" s="29">
        <f t="shared" si="101"/>
        <v>0</v>
      </c>
      <c r="E396" s="29">
        <f t="shared" si="98"/>
        <v>0</v>
      </c>
      <c r="F396" s="29">
        <f t="shared" si="102"/>
        <v>0</v>
      </c>
      <c r="G396" s="29" t="str">
        <f t="shared" si="103"/>
        <v>offensive</v>
      </c>
      <c r="H396" s="16">
        <f t="shared" si="104"/>
        <v>0</v>
      </c>
      <c r="I396" s="16">
        <f t="shared" si="105"/>
        <v>0</v>
      </c>
      <c r="J396" s="16">
        <f t="shared" si="106"/>
        <v>0</v>
      </c>
      <c r="K396" s="16">
        <f t="shared" si="107"/>
        <v>0</v>
      </c>
      <c r="L396" s="67">
        <f t="shared" si="108"/>
        <v>0</v>
      </c>
      <c r="M396" s="4">
        <f t="shared" si="109"/>
        <v>0</v>
      </c>
      <c r="N396" s="4">
        <f t="shared" si="110"/>
        <v>0</v>
      </c>
      <c r="O396" s="4">
        <f t="shared" si="111"/>
        <v>0</v>
      </c>
      <c r="P396" s="4" t="e">
        <f>VLOOKUP(AJ388,'CIR Team Info'!$C$5:$E$44,2,FALSE)</f>
        <v>#N/A</v>
      </c>
      <c r="Q396" s="4" t="e">
        <f>VLOOKUP(AJ388,'CIR Team Info'!$C$5:$E$44,3,FALSE)</f>
        <v>#N/A</v>
      </c>
      <c r="R396" s="10" t="e">
        <f>VLOOKUP(AJ388,'FRC Site Data'!$B$3:$L$42,2,FALSE)</f>
        <v>#N/A</v>
      </c>
      <c r="S396" s="10" t="e">
        <f>VLOOKUP(AJ388,'FRC Site Data'!$B$3:$L$42,3,FALSE)</f>
        <v>#N/A</v>
      </c>
      <c r="T396" s="10" t="e">
        <f>VLOOKUP(AJ388,'FRC Site Data'!$B$3:$L$42,4,FALSE)</f>
        <v>#N/A</v>
      </c>
      <c r="U396" s="10" t="e">
        <f>VLOOKUP(AJ388,'FRC Site Data'!$B$3:$L$42,5,FALSE)</f>
        <v>#N/A</v>
      </c>
      <c r="V396" s="10" t="e">
        <f>VLOOKUP(AJ388,'FRC Site Data'!$B$3:$L$42,6,FALSE)</f>
        <v>#N/A</v>
      </c>
      <c r="W396" s="10" t="e">
        <f>VLOOKUP(AJ388,'FRC Site Data'!$B$3:$L$42,8,FALSE)</f>
        <v>#N/A</v>
      </c>
      <c r="X396" s="10" t="e">
        <f>VLOOKUP(AJ388,'FRC Site Data'!$B$3:$L$42,9,FALSE)</f>
        <v>#N/A</v>
      </c>
      <c r="Y396" s="10" t="e">
        <f>VLOOKUP(AJ388,'FRC Site Data'!$B$3:$L$42,10,FALSE)</f>
        <v>#N/A</v>
      </c>
      <c r="Z396" s="10" t="e">
        <f>VLOOKUP(AJ388,'FRC Site Data'!$B$3:$L$42,11,FALSE)</f>
        <v>#N/A</v>
      </c>
      <c r="AA396" s="10" t="e">
        <f>VLOOKUP(AJ388,'CIR Team Info'!$C$5:$E$44,4,FALSE)</f>
        <v>#N/A</v>
      </c>
      <c r="AB396" s="161" t="b">
        <f>ISNUMBER(VLOOKUP(AJ388,Match!$T$5:$T$10,1,FALSE))</f>
        <v>0</v>
      </c>
      <c r="AC396" s="161" t="b">
        <f>IF(AB396=TRUE,(VLOOKUP($AJ388,Match!$T$5:$U$10,2,FALSE)))</f>
        <v>0</v>
      </c>
      <c r="AD396" s="8">
        <v>3</v>
      </c>
      <c r="AE396" s="8">
        <v>2</v>
      </c>
      <c r="AF396" s="8">
        <v>2</v>
      </c>
      <c r="AG396" s="8">
        <v>1</v>
      </c>
      <c r="AH396" s="8" t="str">
        <f t="shared" si="96"/>
        <v/>
      </c>
      <c r="AI396" s="12"/>
      <c r="AZ396" s="12"/>
      <c r="BC396" s="12"/>
      <c r="BK396" s="12"/>
    </row>
    <row r="397" spans="1:63" x14ac:dyDescent="0.25">
      <c r="A397" s="29">
        <f t="shared" si="97"/>
        <v>0</v>
      </c>
      <c r="B397" s="29">
        <f t="shared" si="99"/>
        <v>0</v>
      </c>
      <c r="C397" s="29">
        <f t="shared" si="100"/>
        <v>0</v>
      </c>
      <c r="D397" s="29">
        <f t="shared" si="101"/>
        <v>0</v>
      </c>
      <c r="E397" s="29">
        <f t="shared" si="98"/>
        <v>0</v>
      </c>
      <c r="F397" s="29">
        <f t="shared" si="102"/>
        <v>0</v>
      </c>
      <c r="G397" s="29" t="str">
        <f t="shared" si="103"/>
        <v>offensive</v>
      </c>
      <c r="H397" s="16">
        <f t="shared" si="104"/>
        <v>0</v>
      </c>
      <c r="I397" s="16">
        <f t="shared" si="105"/>
        <v>0</v>
      </c>
      <c r="J397" s="16">
        <f t="shared" si="106"/>
        <v>0</v>
      </c>
      <c r="K397" s="16">
        <f t="shared" si="107"/>
        <v>0</v>
      </c>
      <c r="L397" s="67">
        <f t="shared" si="108"/>
        <v>0</v>
      </c>
      <c r="M397" s="4">
        <f t="shared" si="109"/>
        <v>0</v>
      </c>
      <c r="N397" s="4">
        <f t="shared" si="110"/>
        <v>0</v>
      </c>
      <c r="O397" s="4">
        <f t="shared" si="111"/>
        <v>0</v>
      </c>
      <c r="P397" s="4" t="e">
        <f>VLOOKUP(AJ389,'CIR Team Info'!$C$5:$E$44,2,FALSE)</f>
        <v>#N/A</v>
      </c>
      <c r="Q397" s="4" t="e">
        <f>VLOOKUP(AJ389,'CIR Team Info'!$C$5:$E$44,3,FALSE)</f>
        <v>#N/A</v>
      </c>
      <c r="R397" s="10" t="e">
        <f>VLOOKUP(AJ389,'FRC Site Data'!$B$3:$L$42,2,FALSE)</f>
        <v>#N/A</v>
      </c>
      <c r="S397" s="10" t="e">
        <f>VLOOKUP(AJ389,'FRC Site Data'!$B$3:$L$42,3,FALSE)</f>
        <v>#N/A</v>
      </c>
      <c r="T397" s="10" t="e">
        <f>VLOOKUP(AJ389,'FRC Site Data'!$B$3:$L$42,4,FALSE)</f>
        <v>#N/A</v>
      </c>
      <c r="U397" s="10" t="e">
        <f>VLOOKUP(AJ389,'FRC Site Data'!$B$3:$L$42,5,FALSE)</f>
        <v>#N/A</v>
      </c>
      <c r="V397" s="10" t="e">
        <f>VLOOKUP(AJ389,'FRC Site Data'!$B$3:$L$42,6,FALSE)</f>
        <v>#N/A</v>
      </c>
      <c r="W397" s="10" t="e">
        <f>VLOOKUP(AJ389,'FRC Site Data'!$B$3:$L$42,8,FALSE)</f>
        <v>#N/A</v>
      </c>
      <c r="X397" s="10" t="e">
        <f>VLOOKUP(AJ389,'FRC Site Data'!$B$3:$L$42,9,FALSE)</f>
        <v>#N/A</v>
      </c>
      <c r="Y397" s="10" t="e">
        <f>VLOOKUP(AJ389,'FRC Site Data'!$B$3:$L$42,10,FALSE)</f>
        <v>#N/A</v>
      </c>
      <c r="Z397" s="10" t="e">
        <f>VLOOKUP(AJ389,'FRC Site Data'!$B$3:$L$42,11,FALSE)</f>
        <v>#N/A</v>
      </c>
      <c r="AA397" s="10" t="e">
        <f>VLOOKUP(AJ389,'CIR Team Info'!$C$5:$E$44,4,FALSE)</f>
        <v>#N/A</v>
      </c>
      <c r="AB397" s="161" t="b">
        <f>ISNUMBER(VLOOKUP(AJ389,Match!$T$5:$T$10,1,FALSE))</f>
        <v>0</v>
      </c>
      <c r="AC397" s="161" t="b">
        <f>IF(AB397=TRUE,(VLOOKUP($AJ389,Match!$T$5:$U$10,2,FALSE)))</f>
        <v>0</v>
      </c>
      <c r="AD397" s="8">
        <v>3</v>
      </c>
      <c r="AE397" s="8">
        <v>2</v>
      </c>
      <c r="AF397" s="8">
        <v>2</v>
      </c>
      <c r="AG397" s="8">
        <v>1</v>
      </c>
      <c r="AH397" s="8" t="str">
        <f t="shared" si="96"/>
        <v/>
      </c>
      <c r="AI397" s="12"/>
      <c r="AZ397" s="12"/>
      <c r="BC397" s="12"/>
      <c r="BK397" s="12"/>
    </row>
    <row r="398" spans="1:63" x14ac:dyDescent="0.25">
      <c r="A398" s="29">
        <f t="shared" si="97"/>
        <v>0</v>
      </c>
      <c r="B398" s="29">
        <f t="shared" si="99"/>
        <v>0</v>
      </c>
      <c r="C398" s="29">
        <f t="shared" si="100"/>
        <v>0</v>
      </c>
      <c r="D398" s="29">
        <f t="shared" si="101"/>
        <v>0</v>
      </c>
      <c r="E398" s="29">
        <f t="shared" si="98"/>
        <v>0</v>
      </c>
      <c r="F398" s="29">
        <f t="shared" si="102"/>
        <v>0</v>
      </c>
      <c r="G398" s="29" t="str">
        <f t="shared" si="103"/>
        <v>offensive</v>
      </c>
      <c r="H398" s="16">
        <f t="shared" si="104"/>
        <v>0</v>
      </c>
      <c r="I398" s="16">
        <f t="shared" si="105"/>
        <v>0</v>
      </c>
      <c r="J398" s="16">
        <f t="shared" si="106"/>
        <v>0</v>
      </c>
      <c r="K398" s="16">
        <f t="shared" si="107"/>
        <v>0</v>
      </c>
      <c r="L398" s="67">
        <f t="shared" si="108"/>
        <v>0</v>
      </c>
      <c r="M398" s="4">
        <f t="shared" si="109"/>
        <v>0</v>
      </c>
      <c r="N398" s="4">
        <f t="shared" si="110"/>
        <v>0</v>
      </c>
      <c r="O398" s="4">
        <f t="shared" si="111"/>
        <v>0</v>
      </c>
      <c r="P398" s="4" t="e">
        <f>VLOOKUP(AJ390,'CIR Team Info'!$C$5:$E$44,2,FALSE)</f>
        <v>#N/A</v>
      </c>
      <c r="Q398" s="4" t="e">
        <f>VLOOKUP(AJ390,'CIR Team Info'!$C$5:$E$44,3,FALSE)</f>
        <v>#N/A</v>
      </c>
      <c r="R398" s="10" t="e">
        <f>VLOOKUP(AJ390,'FRC Site Data'!$B$3:$L$42,2,FALSE)</f>
        <v>#N/A</v>
      </c>
      <c r="S398" s="10" t="e">
        <f>VLOOKUP(AJ390,'FRC Site Data'!$B$3:$L$42,3,FALSE)</f>
        <v>#N/A</v>
      </c>
      <c r="T398" s="10" t="e">
        <f>VLOOKUP(AJ390,'FRC Site Data'!$B$3:$L$42,4,FALSE)</f>
        <v>#N/A</v>
      </c>
      <c r="U398" s="10" t="e">
        <f>VLOOKUP(AJ390,'FRC Site Data'!$B$3:$L$42,5,FALSE)</f>
        <v>#N/A</v>
      </c>
      <c r="V398" s="10" t="e">
        <f>VLOOKUP(AJ390,'FRC Site Data'!$B$3:$L$42,6,FALSE)</f>
        <v>#N/A</v>
      </c>
      <c r="W398" s="10" t="e">
        <f>VLOOKUP(AJ390,'FRC Site Data'!$B$3:$L$42,8,FALSE)</f>
        <v>#N/A</v>
      </c>
      <c r="X398" s="10" t="e">
        <f>VLOOKUP(AJ390,'FRC Site Data'!$B$3:$L$42,9,FALSE)</f>
        <v>#N/A</v>
      </c>
      <c r="Y398" s="10" t="e">
        <f>VLOOKUP(AJ390,'FRC Site Data'!$B$3:$L$42,10,FALSE)</f>
        <v>#N/A</v>
      </c>
      <c r="Z398" s="10" t="e">
        <f>VLOOKUP(AJ390,'FRC Site Data'!$B$3:$L$42,11,FALSE)</f>
        <v>#N/A</v>
      </c>
      <c r="AA398" s="10" t="e">
        <f>VLOOKUP(AJ390,'CIR Team Info'!$C$5:$E$44,4,FALSE)</f>
        <v>#N/A</v>
      </c>
      <c r="AB398" s="161" t="b">
        <f>ISNUMBER(VLOOKUP(AJ390,Match!$T$5:$T$10,1,FALSE))</f>
        <v>0</v>
      </c>
      <c r="AC398" s="161" t="b">
        <f>IF(AB398=TRUE,(VLOOKUP($AJ390,Match!$T$5:$U$10,2,FALSE)))</f>
        <v>0</v>
      </c>
      <c r="AD398" s="8">
        <v>3</v>
      </c>
      <c r="AE398" s="8">
        <v>2</v>
      </c>
      <c r="AF398" s="8">
        <v>2</v>
      </c>
      <c r="AG398" s="8">
        <v>1</v>
      </c>
      <c r="AH398" s="8" t="str">
        <f t="shared" si="96"/>
        <v/>
      </c>
      <c r="AI398" s="12"/>
      <c r="AZ398" s="12"/>
      <c r="BC398" s="12"/>
      <c r="BK398" s="12"/>
    </row>
    <row r="399" spans="1:63" x14ac:dyDescent="0.25">
      <c r="A399" s="29">
        <f t="shared" si="97"/>
        <v>0</v>
      </c>
      <c r="B399" s="29">
        <f t="shared" si="99"/>
        <v>0</v>
      </c>
      <c r="C399" s="29">
        <f t="shared" si="100"/>
        <v>0</v>
      </c>
      <c r="D399" s="29">
        <f t="shared" si="101"/>
        <v>0</v>
      </c>
      <c r="E399" s="29">
        <f t="shared" si="98"/>
        <v>0</v>
      </c>
      <c r="F399" s="29">
        <f t="shared" si="102"/>
        <v>0</v>
      </c>
      <c r="G399" s="29" t="str">
        <f t="shared" si="103"/>
        <v>offensive</v>
      </c>
      <c r="H399" s="16">
        <f t="shared" si="104"/>
        <v>0</v>
      </c>
      <c r="I399" s="16">
        <f t="shared" si="105"/>
        <v>0</v>
      </c>
      <c r="J399" s="16">
        <f t="shared" si="106"/>
        <v>0</v>
      </c>
      <c r="K399" s="16">
        <f t="shared" si="107"/>
        <v>0</v>
      </c>
      <c r="L399" s="67">
        <f t="shared" si="108"/>
        <v>0</v>
      </c>
      <c r="M399" s="4">
        <f t="shared" si="109"/>
        <v>0</v>
      </c>
      <c r="N399" s="4">
        <f t="shared" si="110"/>
        <v>0</v>
      </c>
      <c r="O399" s="4">
        <f t="shared" si="111"/>
        <v>0</v>
      </c>
      <c r="P399" s="4" t="e">
        <f>VLOOKUP(AJ391,'CIR Team Info'!$C$5:$E$44,2,FALSE)</f>
        <v>#N/A</v>
      </c>
      <c r="Q399" s="4" t="e">
        <f>VLOOKUP(AJ391,'CIR Team Info'!$C$5:$E$44,3,FALSE)</f>
        <v>#N/A</v>
      </c>
      <c r="R399" s="10" t="e">
        <f>VLOOKUP(AJ391,'FRC Site Data'!$B$3:$L$42,2,FALSE)</f>
        <v>#N/A</v>
      </c>
      <c r="S399" s="10" t="e">
        <f>VLOOKUP(AJ391,'FRC Site Data'!$B$3:$L$42,3,FALSE)</f>
        <v>#N/A</v>
      </c>
      <c r="T399" s="10" t="e">
        <f>VLOOKUP(AJ391,'FRC Site Data'!$B$3:$L$42,4,FALSE)</f>
        <v>#N/A</v>
      </c>
      <c r="U399" s="10" t="e">
        <f>VLOOKUP(AJ391,'FRC Site Data'!$B$3:$L$42,5,FALSE)</f>
        <v>#N/A</v>
      </c>
      <c r="V399" s="10" t="e">
        <f>VLOOKUP(AJ391,'FRC Site Data'!$B$3:$L$42,6,FALSE)</f>
        <v>#N/A</v>
      </c>
      <c r="W399" s="10" t="e">
        <f>VLOOKUP(AJ391,'FRC Site Data'!$B$3:$L$42,8,FALSE)</f>
        <v>#N/A</v>
      </c>
      <c r="X399" s="10" t="e">
        <f>VLOOKUP(AJ391,'FRC Site Data'!$B$3:$L$42,9,FALSE)</f>
        <v>#N/A</v>
      </c>
      <c r="Y399" s="10" t="e">
        <f>VLOOKUP(AJ391,'FRC Site Data'!$B$3:$L$42,10,FALSE)</f>
        <v>#N/A</v>
      </c>
      <c r="Z399" s="10" t="e">
        <f>VLOOKUP(AJ391,'FRC Site Data'!$B$3:$L$42,11,FALSE)</f>
        <v>#N/A</v>
      </c>
      <c r="AA399" s="10" t="e">
        <f>VLOOKUP(AJ391,'CIR Team Info'!$C$5:$E$44,4,FALSE)</f>
        <v>#N/A</v>
      </c>
      <c r="AB399" s="161" t="b">
        <f>ISNUMBER(VLOOKUP(AJ391,Match!$T$5:$T$10,1,FALSE))</f>
        <v>0</v>
      </c>
      <c r="AC399" s="161" t="b">
        <f>IF(AB399=TRUE,(VLOOKUP($AJ391,Match!$T$5:$U$10,2,FALSE)))</f>
        <v>0</v>
      </c>
      <c r="AD399" s="8">
        <v>3</v>
      </c>
      <c r="AE399" s="8">
        <v>2</v>
      </c>
      <c r="AF399" s="8">
        <v>2</v>
      </c>
      <c r="AG399" s="8">
        <v>1</v>
      </c>
      <c r="AH399" s="8" t="str">
        <f t="shared" si="96"/>
        <v/>
      </c>
      <c r="AI399" s="12"/>
      <c r="AZ399" s="12"/>
      <c r="BC399" s="12"/>
      <c r="BK399" s="12"/>
    </row>
    <row r="400" spans="1:63" x14ac:dyDescent="0.25">
      <c r="A400" s="29">
        <f t="shared" si="97"/>
        <v>0</v>
      </c>
      <c r="B400" s="29">
        <f t="shared" si="99"/>
        <v>0</v>
      </c>
      <c r="C400" s="29">
        <f t="shared" si="100"/>
        <v>0</v>
      </c>
      <c r="D400" s="29">
        <f t="shared" si="101"/>
        <v>0</v>
      </c>
      <c r="E400" s="29">
        <f t="shared" si="98"/>
        <v>0</v>
      </c>
      <c r="F400" s="29">
        <f t="shared" si="102"/>
        <v>0</v>
      </c>
      <c r="G400" s="29" t="str">
        <f t="shared" si="103"/>
        <v>offensive</v>
      </c>
      <c r="H400" s="16">
        <f t="shared" si="104"/>
        <v>0</v>
      </c>
      <c r="I400" s="16">
        <f t="shared" si="105"/>
        <v>0</v>
      </c>
      <c r="J400" s="16">
        <f t="shared" si="106"/>
        <v>0</v>
      </c>
      <c r="K400" s="16">
        <f t="shared" si="107"/>
        <v>0</v>
      </c>
      <c r="L400" s="67">
        <f t="shared" si="108"/>
        <v>0</v>
      </c>
      <c r="M400" s="4">
        <f t="shared" si="109"/>
        <v>0</v>
      </c>
      <c r="N400" s="4">
        <f t="shared" si="110"/>
        <v>0</v>
      </c>
      <c r="O400" s="4">
        <f t="shared" si="111"/>
        <v>0</v>
      </c>
      <c r="P400" s="4" t="e">
        <f>VLOOKUP(AJ392,'CIR Team Info'!$C$5:$E$44,2,FALSE)</f>
        <v>#N/A</v>
      </c>
      <c r="Q400" s="4" t="e">
        <f>VLOOKUP(AJ392,'CIR Team Info'!$C$5:$E$44,3,FALSE)</f>
        <v>#N/A</v>
      </c>
      <c r="R400" s="10" t="e">
        <f>VLOOKUP(AJ392,'FRC Site Data'!$B$3:$L$42,2,FALSE)</f>
        <v>#N/A</v>
      </c>
      <c r="S400" s="10" t="e">
        <f>VLOOKUP(AJ392,'FRC Site Data'!$B$3:$L$42,3,FALSE)</f>
        <v>#N/A</v>
      </c>
      <c r="T400" s="10" t="e">
        <f>VLOOKUP(AJ392,'FRC Site Data'!$B$3:$L$42,4,FALSE)</f>
        <v>#N/A</v>
      </c>
      <c r="U400" s="10" t="e">
        <f>VLOOKUP(AJ392,'FRC Site Data'!$B$3:$L$42,5,FALSE)</f>
        <v>#N/A</v>
      </c>
      <c r="V400" s="10" t="e">
        <f>VLOOKUP(AJ392,'FRC Site Data'!$B$3:$L$42,6,FALSE)</f>
        <v>#N/A</v>
      </c>
      <c r="W400" s="10" t="e">
        <f>VLOOKUP(AJ392,'FRC Site Data'!$B$3:$L$42,8,FALSE)</f>
        <v>#N/A</v>
      </c>
      <c r="X400" s="10" t="e">
        <f>VLOOKUP(AJ392,'FRC Site Data'!$B$3:$L$42,9,FALSE)</f>
        <v>#N/A</v>
      </c>
      <c r="Y400" s="10" t="e">
        <f>VLOOKUP(AJ392,'FRC Site Data'!$B$3:$L$42,10,FALSE)</f>
        <v>#N/A</v>
      </c>
      <c r="Z400" s="10" t="e">
        <f>VLOOKUP(AJ392,'FRC Site Data'!$B$3:$L$42,11,FALSE)</f>
        <v>#N/A</v>
      </c>
      <c r="AA400" s="10" t="e">
        <f>VLOOKUP(AJ392,'CIR Team Info'!$C$5:$E$44,4,FALSE)</f>
        <v>#N/A</v>
      </c>
      <c r="AB400" s="161" t="b">
        <f>ISNUMBER(VLOOKUP(AJ392,Match!$T$5:$T$10,1,FALSE))</f>
        <v>0</v>
      </c>
      <c r="AC400" s="161" t="b">
        <f>IF(AB400=TRUE,(VLOOKUP($AJ392,Match!$T$5:$U$10,2,FALSE)))</f>
        <v>0</v>
      </c>
      <c r="AD400" s="8">
        <v>3</v>
      </c>
      <c r="AE400" s="8">
        <v>2</v>
      </c>
      <c r="AF400" s="8">
        <v>2</v>
      </c>
      <c r="AG400" s="8">
        <v>1</v>
      </c>
      <c r="AH400" s="8" t="str">
        <f t="shared" si="96"/>
        <v/>
      </c>
      <c r="AI400" s="12"/>
      <c r="AZ400" s="12"/>
      <c r="BC400" s="12"/>
      <c r="BK400" s="12"/>
    </row>
    <row r="401" spans="1:63" x14ac:dyDescent="0.25">
      <c r="A401" s="29">
        <f t="shared" si="97"/>
        <v>0</v>
      </c>
      <c r="B401" s="29">
        <f t="shared" si="99"/>
        <v>0</v>
      </c>
      <c r="C401" s="29">
        <f t="shared" si="100"/>
        <v>0</v>
      </c>
      <c r="D401" s="29">
        <f t="shared" si="101"/>
        <v>0</v>
      </c>
      <c r="E401" s="29">
        <f t="shared" si="98"/>
        <v>0</v>
      </c>
      <c r="F401" s="29">
        <f t="shared" si="102"/>
        <v>0</v>
      </c>
      <c r="G401" s="29" t="str">
        <f t="shared" si="103"/>
        <v>offensive</v>
      </c>
      <c r="H401" s="16">
        <f t="shared" si="104"/>
        <v>0</v>
      </c>
      <c r="I401" s="16">
        <f t="shared" si="105"/>
        <v>0</v>
      </c>
      <c r="J401" s="16">
        <f t="shared" si="106"/>
        <v>0</v>
      </c>
      <c r="K401" s="16">
        <f t="shared" si="107"/>
        <v>0</v>
      </c>
      <c r="L401" s="67">
        <f t="shared" si="108"/>
        <v>0</v>
      </c>
      <c r="M401" s="4">
        <f t="shared" si="109"/>
        <v>0</v>
      </c>
      <c r="N401" s="4">
        <f t="shared" si="110"/>
        <v>0</v>
      </c>
      <c r="O401" s="4">
        <f t="shared" si="111"/>
        <v>0</v>
      </c>
      <c r="P401" s="4" t="e">
        <f>VLOOKUP(AJ393,'CIR Team Info'!$C$5:$E$44,2,FALSE)</f>
        <v>#N/A</v>
      </c>
      <c r="Q401" s="4" t="e">
        <f>VLOOKUP(AJ393,'CIR Team Info'!$C$5:$E$44,3,FALSE)</f>
        <v>#N/A</v>
      </c>
      <c r="R401" s="10" t="e">
        <f>VLOOKUP(AJ393,'FRC Site Data'!$B$3:$L$42,2,FALSE)</f>
        <v>#N/A</v>
      </c>
      <c r="S401" s="10" t="e">
        <f>VLOOKUP(AJ393,'FRC Site Data'!$B$3:$L$42,3,FALSE)</f>
        <v>#N/A</v>
      </c>
      <c r="T401" s="10" t="e">
        <f>VLOOKUP(AJ393,'FRC Site Data'!$B$3:$L$42,4,FALSE)</f>
        <v>#N/A</v>
      </c>
      <c r="U401" s="10" t="e">
        <f>VLOOKUP(AJ393,'FRC Site Data'!$B$3:$L$42,5,FALSE)</f>
        <v>#N/A</v>
      </c>
      <c r="V401" s="10" t="e">
        <f>VLOOKUP(AJ393,'FRC Site Data'!$B$3:$L$42,6,FALSE)</f>
        <v>#N/A</v>
      </c>
      <c r="W401" s="10" t="e">
        <f>VLOOKUP(AJ393,'FRC Site Data'!$B$3:$L$42,8,FALSE)</f>
        <v>#N/A</v>
      </c>
      <c r="X401" s="10" t="e">
        <f>VLOOKUP(AJ393,'FRC Site Data'!$B$3:$L$42,9,FALSE)</f>
        <v>#N/A</v>
      </c>
      <c r="Y401" s="10" t="e">
        <f>VLOOKUP(AJ393,'FRC Site Data'!$B$3:$L$42,10,FALSE)</f>
        <v>#N/A</v>
      </c>
      <c r="Z401" s="10" t="e">
        <f>VLOOKUP(AJ393,'FRC Site Data'!$B$3:$L$42,11,FALSE)</f>
        <v>#N/A</v>
      </c>
      <c r="AA401" s="10" t="e">
        <f>VLOOKUP(AJ393,'CIR Team Info'!$C$5:$E$44,4,FALSE)</f>
        <v>#N/A</v>
      </c>
      <c r="AB401" s="161" t="b">
        <f>ISNUMBER(VLOOKUP(AJ393,Match!$T$5:$T$10,1,FALSE))</f>
        <v>0</v>
      </c>
      <c r="AC401" s="161" t="b">
        <f>IF(AB401=TRUE,(VLOOKUP($AJ393,Match!$T$5:$U$10,2,FALSE)))</f>
        <v>0</v>
      </c>
      <c r="AD401" s="8">
        <v>3</v>
      </c>
      <c r="AE401" s="8">
        <v>2</v>
      </c>
      <c r="AF401" s="8">
        <v>2</v>
      </c>
      <c r="AG401" s="8">
        <v>1</v>
      </c>
      <c r="AH401" s="8" t="str">
        <f t="shared" si="96"/>
        <v/>
      </c>
      <c r="AI401" s="12"/>
      <c r="AZ401" s="12"/>
      <c r="BC401" s="12"/>
      <c r="BK401" s="12"/>
    </row>
    <row r="402" spans="1:63" x14ac:dyDescent="0.25">
      <c r="A402" s="29">
        <f t="shared" si="97"/>
        <v>0</v>
      </c>
      <c r="B402" s="29">
        <f t="shared" si="99"/>
        <v>0</v>
      </c>
      <c r="C402" s="29">
        <f t="shared" si="100"/>
        <v>0</v>
      </c>
      <c r="D402" s="29">
        <f t="shared" si="101"/>
        <v>0</v>
      </c>
      <c r="E402" s="29">
        <f t="shared" si="98"/>
        <v>0</v>
      </c>
      <c r="F402" s="29">
        <f t="shared" si="102"/>
        <v>0</v>
      </c>
      <c r="G402" s="29" t="str">
        <f t="shared" si="103"/>
        <v>offensive</v>
      </c>
      <c r="H402" s="16">
        <f t="shared" si="104"/>
        <v>0</v>
      </c>
      <c r="I402" s="16">
        <f t="shared" si="105"/>
        <v>0</v>
      </c>
      <c r="J402" s="16">
        <f t="shared" si="106"/>
        <v>0</v>
      </c>
      <c r="K402" s="16">
        <f t="shared" si="107"/>
        <v>0</v>
      </c>
      <c r="L402" s="67">
        <f t="shared" si="108"/>
        <v>0</v>
      </c>
      <c r="M402" s="4">
        <f t="shared" si="109"/>
        <v>0</v>
      </c>
      <c r="N402" s="4">
        <f t="shared" si="110"/>
        <v>0</v>
      </c>
      <c r="O402" s="4">
        <f t="shared" si="111"/>
        <v>0</v>
      </c>
      <c r="P402" s="4" t="e">
        <f>VLOOKUP(AJ394,'CIR Team Info'!$C$5:$E$44,2,FALSE)</f>
        <v>#N/A</v>
      </c>
      <c r="Q402" s="4" t="e">
        <f>VLOOKUP(AJ394,'CIR Team Info'!$C$5:$E$44,3,FALSE)</f>
        <v>#N/A</v>
      </c>
      <c r="R402" s="10" t="e">
        <f>VLOOKUP(AJ394,'FRC Site Data'!$B$3:$L$42,2,FALSE)</f>
        <v>#N/A</v>
      </c>
      <c r="S402" s="10" t="e">
        <f>VLOOKUP(AJ394,'FRC Site Data'!$B$3:$L$42,3,FALSE)</f>
        <v>#N/A</v>
      </c>
      <c r="T402" s="10" t="e">
        <f>VLOOKUP(AJ394,'FRC Site Data'!$B$3:$L$42,4,FALSE)</f>
        <v>#N/A</v>
      </c>
      <c r="U402" s="10" t="e">
        <f>VLOOKUP(AJ394,'FRC Site Data'!$B$3:$L$42,5,FALSE)</f>
        <v>#N/A</v>
      </c>
      <c r="V402" s="10" t="e">
        <f>VLOOKUP(AJ394,'FRC Site Data'!$B$3:$L$42,6,FALSE)</f>
        <v>#N/A</v>
      </c>
      <c r="W402" s="10" t="e">
        <f>VLOOKUP(AJ394,'FRC Site Data'!$B$3:$L$42,8,FALSE)</f>
        <v>#N/A</v>
      </c>
      <c r="X402" s="10" t="e">
        <f>VLOOKUP(AJ394,'FRC Site Data'!$B$3:$L$42,9,FALSE)</f>
        <v>#N/A</v>
      </c>
      <c r="Y402" s="10" t="e">
        <f>VLOOKUP(AJ394,'FRC Site Data'!$B$3:$L$42,10,FALSE)</f>
        <v>#N/A</v>
      </c>
      <c r="Z402" s="10" t="e">
        <f>VLOOKUP(AJ394,'FRC Site Data'!$B$3:$L$42,11,FALSE)</f>
        <v>#N/A</v>
      </c>
      <c r="AA402" s="10" t="e">
        <f>VLOOKUP(AJ394,'CIR Team Info'!$C$5:$E$44,4,FALSE)</f>
        <v>#N/A</v>
      </c>
      <c r="AB402" s="161" t="b">
        <f>ISNUMBER(VLOOKUP(AJ394,Match!$T$5:$T$10,1,FALSE))</f>
        <v>0</v>
      </c>
      <c r="AC402" s="161" t="b">
        <f>IF(AB402=TRUE,(VLOOKUP($AJ394,Match!$T$5:$U$10,2,FALSE)))</f>
        <v>0</v>
      </c>
      <c r="AD402" s="8">
        <v>3</v>
      </c>
      <c r="AE402" s="8">
        <v>2</v>
      </c>
      <c r="AF402" s="8">
        <v>2</v>
      </c>
      <c r="AG402" s="8">
        <v>1</v>
      </c>
      <c r="AH402" s="8" t="str">
        <f t="shared" si="96"/>
        <v/>
      </c>
      <c r="AI402" s="12"/>
      <c r="AZ402" s="12"/>
      <c r="BC402" s="12"/>
      <c r="BK402" s="12"/>
    </row>
    <row r="403" spans="1:63" x14ac:dyDescent="0.25">
      <c r="A403" s="29">
        <f t="shared" si="97"/>
        <v>0</v>
      </c>
      <c r="B403" s="29">
        <f t="shared" si="99"/>
        <v>0</v>
      </c>
      <c r="C403" s="29">
        <f t="shared" si="100"/>
        <v>0</v>
      </c>
      <c r="D403" s="29">
        <f t="shared" si="101"/>
        <v>0</v>
      </c>
      <c r="E403" s="29">
        <f t="shared" si="98"/>
        <v>0</v>
      </c>
      <c r="F403" s="29">
        <f t="shared" si="102"/>
        <v>0</v>
      </c>
      <c r="G403" s="29" t="str">
        <f t="shared" si="103"/>
        <v>offensive</v>
      </c>
      <c r="H403" s="16">
        <f t="shared" si="104"/>
        <v>0</v>
      </c>
      <c r="I403" s="16">
        <f t="shared" si="105"/>
        <v>0</v>
      </c>
      <c r="J403" s="16">
        <f t="shared" si="106"/>
        <v>0</v>
      </c>
      <c r="K403" s="16">
        <f t="shared" si="107"/>
        <v>0</v>
      </c>
      <c r="L403" s="67">
        <f t="shared" si="108"/>
        <v>0</v>
      </c>
      <c r="M403" s="4">
        <f t="shared" si="109"/>
        <v>0</v>
      </c>
      <c r="N403" s="4">
        <f t="shared" si="110"/>
        <v>0</v>
      </c>
      <c r="O403" s="4">
        <f t="shared" si="111"/>
        <v>0</v>
      </c>
      <c r="P403" s="4" t="e">
        <f>VLOOKUP(AJ395,'CIR Team Info'!$C$5:$E$44,2,FALSE)</f>
        <v>#N/A</v>
      </c>
      <c r="Q403" s="4" t="e">
        <f>VLOOKUP(AJ395,'CIR Team Info'!$C$5:$E$44,3,FALSE)</f>
        <v>#N/A</v>
      </c>
      <c r="R403" s="10" t="e">
        <f>VLOOKUP(AJ395,'FRC Site Data'!$B$3:$L$42,2,FALSE)</f>
        <v>#N/A</v>
      </c>
      <c r="S403" s="10" t="e">
        <f>VLOOKUP(AJ395,'FRC Site Data'!$B$3:$L$42,3,FALSE)</f>
        <v>#N/A</v>
      </c>
      <c r="T403" s="10" t="e">
        <f>VLOOKUP(AJ395,'FRC Site Data'!$B$3:$L$42,4,FALSE)</f>
        <v>#N/A</v>
      </c>
      <c r="U403" s="10" t="e">
        <f>VLOOKUP(AJ395,'FRC Site Data'!$B$3:$L$42,5,FALSE)</f>
        <v>#N/A</v>
      </c>
      <c r="V403" s="10" t="e">
        <f>VLOOKUP(AJ395,'FRC Site Data'!$B$3:$L$42,6,FALSE)</f>
        <v>#N/A</v>
      </c>
      <c r="W403" s="10" t="e">
        <f>VLOOKUP(AJ395,'FRC Site Data'!$B$3:$L$42,8,FALSE)</f>
        <v>#N/A</v>
      </c>
      <c r="X403" s="10" t="e">
        <f>VLOOKUP(AJ395,'FRC Site Data'!$B$3:$L$42,9,FALSE)</f>
        <v>#N/A</v>
      </c>
      <c r="Y403" s="10" t="e">
        <f>VLOOKUP(AJ395,'FRC Site Data'!$B$3:$L$42,10,FALSE)</f>
        <v>#N/A</v>
      </c>
      <c r="Z403" s="10" t="e">
        <f>VLOOKUP(AJ395,'FRC Site Data'!$B$3:$L$42,11,FALSE)</f>
        <v>#N/A</v>
      </c>
      <c r="AA403" s="10" t="e">
        <f>VLOOKUP(AJ395,'CIR Team Info'!$C$5:$E$44,4,FALSE)</f>
        <v>#N/A</v>
      </c>
      <c r="AB403" s="161" t="b">
        <f>ISNUMBER(VLOOKUP(AJ395,Match!$T$5:$T$10,1,FALSE))</f>
        <v>0</v>
      </c>
      <c r="AC403" s="161" t="b">
        <f>IF(AB403=TRUE,(VLOOKUP($AJ395,Match!$T$5:$U$10,2,FALSE)))</f>
        <v>0</v>
      </c>
      <c r="AD403" s="8">
        <v>3</v>
      </c>
      <c r="AE403" s="8">
        <v>2</v>
      </c>
      <c r="AF403" s="8">
        <v>2</v>
      </c>
      <c r="AG403" s="8">
        <v>1</v>
      </c>
      <c r="AH403" s="8" t="str">
        <f t="shared" si="96"/>
        <v/>
      </c>
      <c r="AI403" s="12"/>
      <c r="AZ403" s="12"/>
      <c r="BC403" s="12"/>
      <c r="BK403" s="12"/>
    </row>
    <row r="404" spans="1:63" x14ac:dyDescent="0.25">
      <c r="A404" s="29">
        <f t="shared" si="97"/>
        <v>0</v>
      </c>
      <c r="B404" s="29">
        <f t="shared" si="99"/>
        <v>0</v>
      </c>
      <c r="C404" s="29">
        <f t="shared" si="100"/>
        <v>0</v>
      </c>
      <c r="D404" s="29">
        <f t="shared" si="101"/>
        <v>0</v>
      </c>
      <c r="E404" s="29">
        <f t="shared" si="98"/>
        <v>0</v>
      </c>
      <c r="F404" s="29">
        <f t="shared" si="102"/>
        <v>0</v>
      </c>
      <c r="G404" s="29" t="str">
        <f t="shared" si="103"/>
        <v>offensive</v>
      </c>
      <c r="H404" s="16">
        <f t="shared" si="104"/>
        <v>0</v>
      </c>
      <c r="I404" s="16">
        <f t="shared" si="105"/>
        <v>0</v>
      </c>
      <c r="J404" s="16">
        <f t="shared" si="106"/>
        <v>0</v>
      </c>
      <c r="K404" s="16">
        <f t="shared" si="107"/>
        <v>0</v>
      </c>
      <c r="L404" s="67">
        <f t="shared" si="108"/>
        <v>0</v>
      </c>
      <c r="M404" s="4">
        <f t="shared" si="109"/>
        <v>0</v>
      </c>
      <c r="N404" s="4">
        <f t="shared" si="110"/>
        <v>0</v>
      </c>
      <c r="O404" s="4">
        <f t="shared" si="111"/>
        <v>0</v>
      </c>
      <c r="P404" s="4" t="e">
        <f>VLOOKUP(AJ396,'CIR Team Info'!$C$5:$E$44,2,FALSE)</f>
        <v>#N/A</v>
      </c>
      <c r="Q404" s="4" t="e">
        <f>VLOOKUP(AJ396,'CIR Team Info'!$C$5:$E$44,3,FALSE)</f>
        <v>#N/A</v>
      </c>
      <c r="R404" s="10" t="e">
        <f>VLOOKUP(AJ396,'FRC Site Data'!$B$3:$L$42,2,FALSE)</f>
        <v>#N/A</v>
      </c>
      <c r="S404" s="10" t="e">
        <f>VLOOKUP(AJ396,'FRC Site Data'!$B$3:$L$42,3,FALSE)</f>
        <v>#N/A</v>
      </c>
      <c r="T404" s="10" t="e">
        <f>VLOOKUP(AJ396,'FRC Site Data'!$B$3:$L$42,4,FALSE)</f>
        <v>#N/A</v>
      </c>
      <c r="U404" s="10" t="e">
        <f>VLOOKUP(AJ396,'FRC Site Data'!$B$3:$L$42,5,FALSE)</f>
        <v>#N/A</v>
      </c>
      <c r="V404" s="10" t="e">
        <f>VLOOKUP(AJ396,'FRC Site Data'!$B$3:$L$42,6,FALSE)</f>
        <v>#N/A</v>
      </c>
      <c r="W404" s="10" t="e">
        <f>VLOOKUP(AJ396,'FRC Site Data'!$B$3:$L$42,8,FALSE)</f>
        <v>#N/A</v>
      </c>
      <c r="X404" s="10" t="e">
        <f>VLOOKUP(AJ396,'FRC Site Data'!$B$3:$L$42,9,FALSE)</f>
        <v>#N/A</v>
      </c>
      <c r="Y404" s="10" t="e">
        <f>VLOOKUP(AJ396,'FRC Site Data'!$B$3:$L$42,10,FALSE)</f>
        <v>#N/A</v>
      </c>
      <c r="Z404" s="10" t="e">
        <f>VLOOKUP(AJ396,'FRC Site Data'!$B$3:$L$42,11,FALSE)</f>
        <v>#N/A</v>
      </c>
      <c r="AA404" s="10" t="e">
        <f>VLOOKUP(AJ396,'CIR Team Info'!$C$5:$E$44,4,FALSE)</f>
        <v>#N/A</v>
      </c>
      <c r="AB404" s="161" t="b">
        <f>ISNUMBER(VLOOKUP(AJ396,Match!$T$5:$T$10,1,FALSE))</f>
        <v>0</v>
      </c>
      <c r="AC404" s="161" t="b">
        <f>IF(AB404=TRUE,(VLOOKUP($AJ396,Match!$T$5:$U$10,2,FALSE)))</f>
        <v>0</v>
      </c>
      <c r="AD404" s="8">
        <v>3</v>
      </c>
      <c r="AE404" s="8">
        <v>2</v>
      </c>
      <c r="AF404" s="8">
        <v>2</v>
      </c>
      <c r="AG404" s="8">
        <v>1</v>
      </c>
      <c r="AH404" s="8" t="str">
        <f t="shared" si="96"/>
        <v/>
      </c>
      <c r="AI404" s="12"/>
      <c r="AZ404" s="12"/>
      <c r="BC404" s="12"/>
      <c r="BK404" s="12"/>
    </row>
    <row r="405" spans="1:63" x14ac:dyDescent="0.25">
      <c r="A405" s="29">
        <f t="shared" si="97"/>
        <v>0</v>
      </c>
      <c r="B405" s="29">
        <f t="shared" si="99"/>
        <v>0</v>
      </c>
      <c r="C405" s="29">
        <f t="shared" si="100"/>
        <v>0</v>
      </c>
      <c r="D405" s="29">
        <f t="shared" si="101"/>
        <v>0</v>
      </c>
      <c r="E405" s="29">
        <f t="shared" si="98"/>
        <v>0</v>
      </c>
      <c r="F405" s="29">
        <f t="shared" si="102"/>
        <v>0</v>
      </c>
      <c r="G405" s="29" t="str">
        <f t="shared" si="103"/>
        <v>offensive</v>
      </c>
      <c r="H405" s="16">
        <f t="shared" si="104"/>
        <v>0</v>
      </c>
      <c r="I405" s="16">
        <f t="shared" si="105"/>
        <v>0</v>
      </c>
      <c r="J405" s="16">
        <f t="shared" si="106"/>
        <v>0</v>
      </c>
      <c r="K405" s="16">
        <f t="shared" si="107"/>
        <v>0</v>
      </c>
      <c r="L405" s="67">
        <f t="shared" si="108"/>
        <v>0</v>
      </c>
      <c r="M405" s="4">
        <f t="shared" si="109"/>
        <v>0</v>
      </c>
      <c r="N405" s="4">
        <f t="shared" si="110"/>
        <v>0</v>
      </c>
      <c r="O405" s="4">
        <f t="shared" si="111"/>
        <v>0</v>
      </c>
      <c r="P405" s="4" t="e">
        <f>VLOOKUP(AJ397,'CIR Team Info'!$C$5:$E$44,2,FALSE)</f>
        <v>#N/A</v>
      </c>
      <c r="Q405" s="4" t="e">
        <f>VLOOKUP(AJ397,'CIR Team Info'!$C$5:$E$44,3,FALSE)</f>
        <v>#N/A</v>
      </c>
      <c r="R405" s="10" t="e">
        <f>VLOOKUP(AJ397,'FRC Site Data'!$B$3:$L$42,2,FALSE)</f>
        <v>#N/A</v>
      </c>
      <c r="S405" s="10" t="e">
        <f>VLOOKUP(AJ397,'FRC Site Data'!$B$3:$L$42,3,FALSE)</f>
        <v>#N/A</v>
      </c>
      <c r="T405" s="10" t="e">
        <f>VLOOKUP(AJ397,'FRC Site Data'!$B$3:$L$42,4,FALSE)</f>
        <v>#N/A</v>
      </c>
      <c r="U405" s="10" t="e">
        <f>VLOOKUP(AJ397,'FRC Site Data'!$B$3:$L$42,5,FALSE)</f>
        <v>#N/A</v>
      </c>
      <c r="V405" s="10" t="e">
        <f>VLOOKUP(AJ397,'FRC Site Data'!$B$3:$L$42,6,FALSE)</f>
        <v>#N/A</v>
      </c>
      <c r="W405" s="10" t="e">
        <f>VLOOKUP(AJ397,'FRC Site Data'!$B$3:$L$42,8,FALSE)</f>
        <v>#N/A</v>
      </c>
      <c r="X405" s="10" t="e">
        <f>VLOOKUP(AJ397,'FRC Site Data'!$B$3:$L$42,9,FALSE)</f>
        <v>#N/A</v>
      </c>
      <c r="Y405" s="10" t="e">
        <f>VLOOKUP(AJ397,'FRC Site Data'!$B$3:$L$42,10,FALSE)</f>
        <v>#N/A</v>
      </c>
      <c r="Z405" s="10" t="e">
        <f>VLOOKUP(AJ397,'FRC Site Data'!$B$3:$L$42,11,FALSE)</f>
        <v>#N/A</v>
      </c>
      <c r="AA405" s="10" t="e">
        <f>VLOOKUP(AJ397,'CIR Team Info'!$C$5:$E$44,4,FALSE)</f>
        <v>#N/A</v>
      </c>
      <c r="AB405" s="161" t="b">
        <f>ISNUMBER(VLOOKUP(AJ397,Match!$T$5:$T$10,1,FALSE))</f>
        <v>0</v>
      </c>
      <c r="AC405" s="161" t="b">
        <f>IF(AB405=TRUE,(VLOOKUP($AJ397,Match!$T$5:$U$10,2,FALSE)))</f>
        <v>0</v>
      </c>
      <c r="AD405" s="8">
        <v>3</v>
      </c>
      <c r="AE405" s="8">
        <v>2</v>
      </c>
      <c r="AF405" s="8">
        <v>2</v>
      </c>
      <c r="AG405" s="8">
        <v>1</v>
      </c>
      <c r="AH405" s="8" t="str">
        <f t="shared" si="96"/>
        <v/>
      </c>
      <c r="AI405" s="12"/>
      <c r="AZ405" s="12"/>
      <c r="BC405" s="12"/>
      <c r="BK405" s="12"/>
    </row>
    <row r="406" spans="1:63" x14ac:dyDescent="0.25">
      <c r="A406" s="29">
        <f t="shared" si="97"/>
        <v>0</v>
      </c>
      <c r="B406" s="29">
        <f t="shared" si="99"/>
        <v>0</v>
      </c>
      <c r="C406" s="29">
        <f t="shared" si="100"/>
        <v>0</v>
      </c>
      <c r="D406" s="29">
        <f t="shared" si="101"/>
        <v>0</v>
      </c>
      <c r="E406" s="29">
        <f t="shared" si="98"/>
        <v>0</v>
      </c>
      <c r="F406" s="29">
        <f t="shared" si="102"/>
        <v>0</v>
      </c>
      <c r="G406" s="29" t="str">
        <f t="shared" si="103"/>
        <v>offensive</v>
      </c>
      <c r="H406" s="16">
        <f t="shared" si="104"/>
        <v>0</v>
      </c>
      <c r="I406" s="16">
        <f t="shared" si="105"/>
        <v>0</v>
      </c>
      <c r="J406" s="16">
        <f t="shared" si="106"/>
        <v>0</v>
      </c>
      <c r="K406" s="16">
        <f t="shared" si="107"/>
        <v>0</v>
      </c>
      <c r="L406" s="67">
        <f t="shared" si="108"/>
        <v>0</v>
      </c>
      <c r="M406" s="4">
        <f t="shared" si="109"/>
        <v>0</v>
      </c>
      <c r="N406" s="4">
        <f t="shared" si="110"/>
        <v>0</v>
      </c>
      <c r="O406" s="4">
        <f t="shared" si="111"/>
        <v>0</v>
      </c>
      <c r="P406" s="4" t="e">
        <f>VLOOKUP(AJ398,'CIR Team Info'!$C$5:$E$44,2,FALSE)</f>
        <v>#N/A</v>
      </c>
      <c r="Q406" s="4" t="e">
        <f>VLOOKUP(AJ398,'CIR Team Info'!$C$5:$E$44,3,FALSE)</f>
        <v>#N/A</v>
      </c>
      <c r="R406" s="10" t="e">
        <f>VLOOKUP(AJ398,'FRC Site Data'!$B$3:$L$42,2,FALSE)</f>
        <v>#N/A</v>
      </c>
      <c r="S406" s="10" t="e">
        <f>VLOOKUP(AJ398,'FRC Site Data'!$B$3:$L$42,3,FALSE)</f>
        <v>#N/A</v>
      </c>
      <c r="T406" s="10" t="e">
        <f>VLOOKUP(AJ398,'FRC Site Data'!$B$3:$L$42,4,FALSE)</f>
        <v>#N/A</v>
      </c>
      <c r="U406" s="10" t="e">
        <f>VLOOKUP(AJ398,'FRC Site Data'!$B$3:$L$42,5,FALSE)</f>
        <v>#N/A</v>
      </c>
      <c r="V406" s="10" t="e">
        <f>VLOOKUP(AJ398,'FRC Site Data'!$B$3:$L$42,6,FALSE)</f>
        <v>#N/A</v>
      </c>
      <c r="W406" s="10" t="e">
        <f>VLOOKUP(AJ398,'FRC Site Data'!$B$3:$L$42,8,FALSE)</f>
        <v>#N/A</v>
      </c>
      <c r="X406" s="10" t="e">
        <f>VLOOKUP(AJ398,'FRC Site Data'!$B$3:$L$42,9,FALSE)</f>
        <v>#N/A</v>
      </c>
      <c r="Y406" s="10" t="e">
        <f>VLOOKUP(AJ398,'FRC Site Data'!$B$3:$L$42,10,FALSE)</f>
        <v>#N/A</v>
      </c>
      <c r="Z406" s="10" t="e">
        <f>VLOOKUP(AJ398,'FRC Site Data'!$B$3:$L$42,11,FALSE)</f>
        <v>#N/A</v>
      </c>
      <c r="AA406" s="10" t="e">
        <f>VLOOKUP(AJ398,'CIR Team Info'!$C$5:$E$44,4,FALSE)</f>
        <v>#N/A</v>
      </c>
      <c r="AB406" s="161" t="b">
        <f>ISNUMBER(VLOOKUP(AJ398,Match!$T$5:$T$10,1,FALSE))</f>
        <v>0</v>
      </c>
      <c r="AC406" s="161" t="b">
        <f>IF(AB406=TRUE,(VLOOKUP($AJ398,Match!$T$5:$U$10,2,FALSE)))</f>
        <v>0</v>
      </c>
      <c r="AD406" s="8">
        <v>3</v>
      </c>
      <c r="AE406" s="8">
        <v>2</v>
      </c>
      <c r="AF406" s="8">
        <v>2</v>
      </c>
      <c r="AG406" s="8">
        <v>1</v>
      </c>
      <c r="AH406" s="8" t="str">
        <f t="shared" si="96"/>
        <v/>
      </c>
      <c r="AI406" s="12"/>
      <c r="AZ406" s="12"/>
      <c r="BC406" s="12"/>
      <c r="BK406" s="12"/>
    </row>
    <row r="407" spans="1:63" x14ac:dyDescent="0.25">
      <c r="A407" s="29">
        <f t="shared" si="97"/>
        <v>0</v>
      </c>
      <c r="B407" s="29">
        <f t="shared" si="99"/>
        <v>0</v>
      </c>
      <c r="C407" s="29">
        <f t="shared" si="100"/>
        <v>0</v>
      </c>
      <c r="D407" s="29">
        <f t="shared" si="101"/>
        <v>0</v>
      </c>
      <c r="E407" s="29">
        <f t="shared" si="98"/>
        <v>0</v>
      </c>
      <c r="F407" s="29">
        <f t="shared" si="102"/>
        <v>0</v>
      </c>
      <c r="G407" s="29" t="str">
        <f t="shared" si="103"/>
        <v>offensive</v>
      </c>
      <c r="H407" s="16">
        <f t="shared" si="104"/>
        <v>0</v>
      </c>
      <c r="I407" s="16">
        <f t="shared" si="105"/>
        <v>0</v>
      </c>
      <c r="J407" s="16">
        <f t="shared" si="106"/>
        <v>0</v>
      </c>
      <c r="K407" s="16">
        <f t="shared" si="107"/>
        <v>0</v>
      </c>
      <c r="L407" s="67">
        <f t="shared" si="108"/>
        <v>0</v>
      </c>
      <c r="M407" s="4">
        <f t="shared" si="109"/>
        <v>0</v>
      </c>
      <c r="N407" s="4">
        <f t="shared" si="110"/>
        <v>0</v>
      </c>
      <c r="O407" s="4">
        <f t="shared" si="111"/>
        <v>0</v>
      </c>
      <c r="P407" s="4" t="e">
        <f>VLOOKUP(AJ399,'CIR Team Info'!$C$5:$E$44,2,FALSE)</f>
        <v>#N/A</v>
      </c>
      <c r="Q407" s="4" t="e">
        <f>VLOOKUP(AJ399,'CIR Team Info'!$C$5:$E$44,3,FALSE)</f>
        <v>#N/A</v>
      </c>
      <c r="R407" s="10" t="e">
        <f>VLOOKUP(AJ399,'FRC Site Data'!$B$3:$L$42,2,FALSE)</f>
        <v>#N/A</v>
      </c>
      <c r="S407" s="10" t="e">
        <f>VLOOKUP(AJ399,'FRC Site Data'!$B$3:$L$42,3,FALSE)</f>
        <v>#N/A</v>
      </c>
      <c r="T407" s="10" t="e">
        <f>VLOOKUP(AJ399,'FRC Site Data'!$B$3:$L$42,4,FALSE)</f>
        <v>#N/A</v>
      </c>
      <c r="U407" s="10" t="e">
        <f>VLOOKUP(AJ399,'FRC Site Data'!$B$3:$L$42,5,FALSE)</f>
        <v>#N/A</v>
      </c>
      <c r="V407" s="10" t="e">
        <f>VLOOKUP(AJ399,'FRC Site Data'!$B$3:$L$42,6,FALSE)</f>
        <v>#N/A</v>
      </c>
      <c r="W407" s="10" t="e">
        <f>VLOOKUP(AJ399,'FRC Site Data'!$B$3:$L$42,8,FALSE)</f>
        <v>#N/A</v>
      </c>
      <c r="X407" s="10" t="e">
        <f>VLOOKUP(AJ399,'FRC Site Data'!$B$3:$L$42,9,FALSE)</f>
        <v>#N/A</v>
      </c>
      <c r="Y407" s="10" t="e">
        <f>VLOOKUP(AJ399,'FRC Site Data'!$B$3:$L$42,10,FALSE)</f>
        <v>#N/A</v>
      </c>
      <c r="Z407" s="10" t="e">
        <f>VLOOKUP(AJ399,'FRC Site Data'!$B$3:$L$42,11,FALSE)</f>
        <v>#N/A</v>
      </c>
      <c r="AA407" s="10" t="e">
        <f>VLOOKUP(AJ399,'CIR Team Info'!$C$5:$E$44,4,FALSE)</f>
        <v>#N/A</v>
      </c>
      <c r="AB407" s="161" t="b">
        <f>ISNUMBER(VLOOKUP(AJ399,Match!$T$5:$T$10,1,FALSE))</f>
        <v>0</v>
      </c>
      <c r="AC407" s="161" t="b">
        <f>IF(AB407=TRUE,(VLOOKUP($AJ399,Match!$T$5:$U$10,2,FALSE)))</f>
        <v>0</v>
      </c>
      <c r="AD407" s="8">
        <v>3</v>
      </c>
      <c r="AE407" s="8">
        <v>2</v>
      </c>
      <c r="AF407" s="8">
        <v>2</v>
      </c>
      <c r="AG407" s="8">
        <v>1</v>
      </c>
      <c r="AH407" s="8" t="str">
        <f t="shared" si="96"/>
        <v/>
      </c>
      <c r="AI407" s="12"/>
      <c r="AZ407" s="12"/>
      <c r="BC407" s="12"/>
      <c r="BK407" s="12"/>
    </row>
    <row r="408" spans="1:63" x14ac:dyDescent="0.25">
      <c r="A408" s="29">
        <f t="shared" si="97"/>
        <v>0</v>
      </c>
      <c r="B408" s="29">
        <f t="shared" si="99"/>
        <v>0</v>
      </c>
      <c r="C408" s="29">
        <f t="shared" si="100"/>
        <v>0</v>
      </c>
      <c r="D408" s="29">
        <f t="shared" si="101"/>
        <v>0</v>
      </c>
      <c r="E408" s="29">
        <f t="shared" si="98"/>
        <v>0</v>
      </c>
      <c r="F408" s="29">
        <f t="shared" si="102"/>
        <v>0</v>
      </c>
      <c r="G408" s="29" t="str">
        <f t="shared" si="103"/>
        <v>offensive</v>
      </c>
      <c r="H408" s="16">
        <f t="shared" si="104"/>
        <v>0</v>
      </c>
      <c r="I408" s="16">
        <f t="shared" si="105"/>
        <v>0</v>
      </c>
      <c r="J408" s="16">
        <f t="shared" si="106"/>
        <v>0</v>
      </c>
      <c r="K408" s="16">
        <f t="shared" si="107"/>
        <v>0</v>
      </c>
      <c r="L408" s="67">
        <f t="shared" si="108"/>
        <v>0</v>
      </c>
      <c r="M408" s="4">
        <f t="shared" si="109"/>
        <v>0</v>
      </c>
      <c r="N408" s="4">
        <f t="shared" si="110"/>
        <v>0</v>
      </c>
      <c r="O408" s="4">
        <f t="shared" si="111"/>
        <v>0</v>
      </c>
      <c r="P408" s="4" t="e">
        <f>VLOOKUP(AJ400,'CIR Team Info'!$C$5:$E$44,2,FALSE)</f>
        <v>#N/A</v>
      </c>
      <c r="Q408" s="4" t="e">
        <f>VLOOKUP(AJ400,'CIR Team Info'!$C$5:$E$44,3,FALSE)</f>
        <v>#N/A</v>
      </c>
      <c r="R408" s="10" t="e">
        <f>VLOOKUP(AJ400,'FRC Site Data'!$B$3:$L$42,2,FALSE)</f>
        <v>#N/A</v>
      </c>
      <c r="S408" s="10" t="e">
        <f>VLOOKUP(AJ400,'FRC Site Data'!$B$3:$L$42,3,FALSE)</f>
        <v>#N/A</v>
      </c>
      <c r="T408" s="10" t="e">
        <f>VLOOKUP(AJ400,'FRC Site Data'!$B$3:$L$42,4,FALSE)</f>
        <v>#N/A</v>
      </c>
      <c r="U408" s="10" t="e">
        <f>VLOOKUP(AJ400,'FRC Site Data'!$B$3:$L$42,5,FALSE)</f>
        <v>#N/A</v>
      </c>
      <c r="V408" s="10" t="e">
        <f>VLOOKUP(AJ400,'FRC Site Data'!$B$3:$L$42,6,FALSE)</f>
        <v>#N/A</v>
      </c>
      <c r="W408" s="10" t="e">
        <f>VLOOKUP(AJ400,'FRC Site Data'!$B$3:$L$42,8,FALSE)</f>
        <v>#N/A</v>
      </c>
      <c r="X408" s="10" t="e">
        <f>VLOOKUP(AJ400,'FRC Site Data'!$B$3:$L$42,9,FALSE)</f>
        <v>#N/A</v>
      </c>
      <c r="Y408" s="10" t="e">
        <f>VLOOKUP(AJ400,'FRC Site Data'!$B$3:$L$42,10,FALSE)</f>
        <v>#N/A</v>
      </c>
      <c r="Z408" s="10" t="e">
        <f>VLOOKUP(AJ400,'FRC Site Data'!$B$3:$L$42,11,FALSE)</f>
        <v>#N/A</v>
      </c>
      <c r="AA408" s="10" t="e">
        <f>VLOOKUP(AJ400,'CIR Team Info'!$C$5:$E$44,4,FALSE)</f>
        <v>#N/A</v>
      </c>
      <c r="AB408" s="161" t="b">
        <f>ISNUMBER(VLOOKUP(AJ400,Match!$T$5:$T$10,1,FALSE))</f>
        <v>0</v>
      </c>
      <c r="AC408" s="161" t="b">
        <f>IF(AB408=TRUE,(VLOOKUP($AJ400,Match!$T$5:$U$10,2,FALSE)))</f>
        <v>0</v>
      </c>
      <c r="AD408" s="8">
        <v>3</v>
      </c>
      <c r="AE408" s="8">
        <v>2</v>
      </c>
      <c r="AF408" s="8">
        <v>2</v>
      </c>
      <c r="AG408" s="8">
        <v>1</v>
      </c>
      <c r="AH408" s="8" t="str">
        <f t="shared" si="96"/>
        <v/>
      </c>
      <c r="AI408" s="12"/>
      <c r="AZ408" s="12"/>
      <c r="BC408" s="12"/>
      <c r="BK408" s="12"/>
    </row>
    <row r="409" spans="1:63" x14ac:dyDescent="0.25">
      <c r="A409" s="29">
        <f t="shared" si="97"/>
        <v>0</v>
      </c>
      <c r="B409" s="29">
        <f t="shared" si="99"/>
        <v>0</v>
      </c>
      <c r="C409" s="29">
        <f t="shared" si="100"/>
        <v>0</v>
      </c>
      <c r="D409" s="29">
        <f t="shared" si="101"/>
        <v>0</v>
      </c>
      <c r="E409" s="29">
        <f t="shared" si="98"/>
        <v>0</v>
      </c>
      <c r="F409" s="29">
        <f t="shared" si="102"/>
        <v>0</v>
      </c>
      <c r="G409" s="29" t="str">
        <f t="shared" si="103"/>
        <v>offensive</v>
      </c>
      <c r="H409" s="16">
        <f t="shared" si="104"/>
        <v>0</v>
      </c>
      <c r="I409" s="16">
        <f t="shared" si="105"/>
        <v>0</v>
      </c>
      <c r="J409" s="16">
        <f t="shared" si="106"/>
        <v>0</v>
      </c>
      <c r="K409" s="16">
        <f t="shared" si="107"/>
        <v>0</v>
      </c>
      <c r="L409" s="67">
        <f t="shared" si="108"/>
        <v>0</v>
      </c>
      <c r="M409" s="4">
        <f t="shared" si="109"/>
        <v>0</v>
      </c>
      <c r="N409" s="4">
        <f t="shared" si="110"/>
        <v>0</v>
      </c>
      <c r="O409" s="4">
        <f t="shared" si="111"/>
        <v>0</v>
      </c>
      <c r="P409" s="4" t="e">
        <f>VLOOKUP(AJ401,'CIR Team Info'!$C$5:$E$44,2,FALSE)</f>
        <v>#N/A</v>
      </c>
      <c r="Q409" s="4" t="e">
        <f>VLOOKUP(AJ401,'CIR Team Info'!$C$5:$E$44,3,FALSE)</f>
        <v>#N/A</v>
      </c>
      <c r="R409" s="10" t="e">
        <f>VLOOKUP(AJ401,'FRC Site Data'!$B$3:$L$42,2,FALSE)</f>
        <v>#N/A</v>
      </c>
      <c r="S409" s="10" t="e">
        <f>VLOOKUP(AJ401,'FRC Site Data'!$B$3:$L$42,3,FALSE)</f>
        <v>#N/A</v>
      </c>
      <c r="T409" s="10" t="e">
        <f>VLOOKUP(AJ401,'FRC Site Data'!$B$3:$L$42,4,FALSE)</f>
        <v>#N/A</v>
      </c>
      <c r="U409" s="10" t="e">
        <f>VLOOKUP(AJ401,'FRC Site Data'!$B$3:$L$42,5,FALSE)</f>
        <v>#N/A</v>
      </c>
      <c r="V409" s="10" t="e">
        <f>VLOOKUP(AJ401,'FRC Site Data'!$B$3:$L$42,6,FALSE)</f>
        <v>#N/A</v>
      </c>
      <c r="W409" s="10" t="e">
        <f>VLOOKUP(AJ401,'FRC Site Data'!$B$3:$L$42,8,FALSE)</f>
        <v>#N/A</v>
      </c>
      <c r="X409" s="10" t="e">
        <f>VLOOKUP(AJ401,'FRC Site Data'!$B$3:$L$42,9,FALSE)</f>
        <v>#N/A</v>
      </c>
      <c r="Y409" s="10" t="e">
        <f>VLOOKUP(AJ401,'FRC Site Data'!$B$3:$L$42,10,FALSE)</f>
        <v>#N/A</v>
      </c>
      <c r="Z409" s="10" t="e">
        <f>VLOOKUP(AJ401,'FRC Site Data'!$B$3:$L$42,11,FALSE)</f>
        <v>#N/A</v>
      </c>
      <c r="AA409" s="10" t="e">
        <f>VLOOKUP(AJ401,'CIR Team Info'!$C$5:$E$44,4,FALSE)</f>
        <v>#N/A</v>
      </c>
      <c r="AB409" s="161" t="b">
        <f>ISNUMBER(VLOOKUP(AJ401,Match!$T$5:$T$10,1,FALSE))</f>
        <v>0</v>
      </c>
      <c r="AC409" s="161" t="b">
        <f>IF(AB409=TRUE,(VLOOKUP($AJ401,Match!$T$5:$U$10,2,FALSE)))</f>
        <v>0</v>
      </c>
      <c r="AD409" s="8">
        <v>3</v>
      </c>
      <c r="AE409" s="8">
        <v>2</v>
      </c>
      <c r="AF409" s="8">
        <v>2</v>
      </c>
      <c r="AG409" s="8">
        <v>1</v>
      </c>
      <c r="AH409" s="8" t="str">
        <f t="shared" si="96"/>
        <v/>
      </c>
      <c r="AI409" s="12"/>
      <c r="AZ409" s="12"/>
      <c r="BC409" s="12"/>
      <c r="BK409" s="12"/>
    </row>
    <row r="410" spans="1:63" x14ac:dyDescent="0.25">
      <c r="A410" s="29">
        <f t="shared" si="97"/>
        <v>0</v>
      </c>
      <c r="B410" s="29">
        <f t="shared" si="99"/>
        <v>0</v>
      </c>
      <c r="C410" s="29">
        <f t="shared" si="100"/>
        <v>0</v>
      </c>
      <c r="D410" s="29">
        <f t="shared" si="101"/>
        <v>0</v>
      </c>
      <c r="E410" s="29">
        <f t="shared" si="98"/>
        <v>0</v>
      </c>
      <c r="F410" s="29">
        <f t="shared" si="102"/>
        <v>0</v>
      </c>
      <c r="G410" s="29" t="str">
        <f t="shared" si="103"/>
        <v>offensive</v>
      </c>
      <c r="H410" s="16">
        <f t="shared" si="104"/>
        <v>0</v>
      </c>
      <c r="I410" s="16">
        <f t="shared" si="105"/>
        <v>0</v>
      </c>
      <c r="J410" s="16">
        <f t="shared" si="106"/>
        <v>0</v>
      </c>
      <c r="K410" s="16">
        <f t="shared" si="107"/>
        <v>0</v>
      </c>
      <c r="L410" s="67">
        <f t="shared" si="108"/>
        <v>0</v>
      </c>
      <c r="M410" s="4">
        <f t="shared" si="109"/>
        <v>0</v>
      </c>
      <c r="N410" s="4">
        <f t="shared" si="110"/>
        <v>0</v>
      </c>
      <c r="O410" s="4">
        <f t="shared" si="111"/>
        <v>0</v>
      </c>
      <c r="P410" s="4" t="e">
        <f>VLOOKUP(AJ402,'CIR Team Info'!$C$5:$E$44,2,FALSE)</f>
        <v>#N/A</v>
      </c>
      <c r="Q410" s="4" t="e">
        <f>VLOOKUP(AJ402,'CIR Team Info'!$C$5:$E$44,3,FALSE)</f>
        <v>#N/A</v>
      </c>
      <c r="R410" s="10" t="e">
        <f>VLOOKUP(AJ402,'FRC Site Data'!$B$3:$L$42,2,FALSE)</f>
        <v>#N/A</v>
      </c>
      <c r="S410" s="10" t="e">
        <f>VLOOKUP(AJ402,'FRC Site Data'!$B$3:$L$42,3,FALSE)</f>
        <v>#N/A</v>
      </c>
      <c r="T410" s="10" t="e">
        <f>VLOOKUP(AJ402,'FRC Site Data'!$B$3:$L$42,4,FALSE)</f>
        <v>#N/A</v>
      </c>
      <c r="U410" s="10" t="e">
        <f>VLOOKUP(AJ402,'FRC Site Data'!$B$3:$L$42,5,FALSE)</f>
        <v>#N/A</v>
      </c>
      <c r="V410" s="10" t="e">
        <f>VLOOKUP(AJ402,'FRC Site Data'!$B$3:$L$42,6,FALSE)</f>
        <v>#N/A</v>
      </c>
      <c r="W410" s="10" t="e">
        <f>VLOOKUP(AJ402,'FRC Site Data'!$B$3:$L$42,8,FALSE)</f>
        <v>#N/A</v>
      </c>
      <c r="X410" s="10" t="e">
        <f>VLOOKUP(AJ402,'FRC Site Data'!$B$3:$L$42,9,FALSE)</f>
        <v>#N/A</v>
      </c>
      <c r="Y410" s="10" t="e">
        <f>VLOOKUP(AJ402,'FRC Site Data'!$B$3:$L$42,10,FALSE)</f>
        <v>#N/A</v>
      </c>
      <c r="Z410" s="10" t="e">
        <f>VLOOKUP(AJ402,'FRC Site Data'!$B$3:$L$42,11,FALSE)</f>
        <v>#N/A</v>
      </c>
      <c r="AA410" s="10" t="e">
        <f>VLOOKUP(AJ402,'CIR Team Info'!$C$5:$E$44,4,FALSE)</f>
        <v>#N/A</v>
      </c>
      <c r="AB410" s="161" t="b">
        <f>ISNUMBER(VLOOKUP(AJ402,Match!$T$5:$T$10,1,FALSE))</f>
        <v>0</v>
      </c>
      <c r="AC410" s="161" t="b">
        <f>IF(AB410=TRUE,(VLOOKUP($AJ402,Match!$T$5:$U$10,2,FALSE)))</f>
        <v>0</v>
      </c>
      <c r="AD410" s="8">
        <v>3</v>
      </c>
      <c r="AE410" s="8">
        <v>2</v>
      </c>
      <c r="AF410" s="8">
        <v>2</v>
      </c>
      <c r="AG410" s="8">
        <v>1</v>
      </c>
      <c r="AH410" s="8" t="str">
        <f t="shared" si="96"/>
        <v/>
      </c>
      <c r="AI410" s="12"/>
      <c r="AZ410" s="12"/>
      <c r="BC410" s="12"/>
      <c r="BK410" s="12"/>
    </row>
    <row r="411" spans="1:63" x14ac:dyDescent="0.25">
      <c r="A411" s="29">
        <f t="shared" si="97"/>
        <v>0</v>
      </c>
      <c r="B411" s="29">
        <f t="shared" si="99"/>
        <v>0</v>
      </c>
      <c r="C411" s="29">
        <f t="shared" si="100"/>
        <v>0</v>
      </c>
      <c r="D411" s="29">
        <f t="shared" si="101"/>
        <v>0</v>
      </c>
      <c r="E411" s="29">
        <f t="shared" si="98"/>
        <v>0</v>
      </c>
      <c r="F411" s="29">
        <f t="shared" si="102"/>
        <v>0</v>
      </c>
      <c r="G411" s="29" t="str">
        <f t="shared" si="103"/>
        <v>offensive</v>
      </c>
      <c r="H411" s="16">
        <f t="shared" si="104"/>
        <v>0</v>
      </c>
      <c r="I411" s="16">
        <f t="shared" si="105"/>
        <v>0</v>
      </c>
      <c r="J411" s="16">
        <f t="shared" si="106"/>
        <v>0</v>
      </c>
      <c r="K411" s="16">
        <f t="shared" si="107"/>
        <v>0</v>
      </c>
      <c r="L411" s="67">
        <f t="shared" si="108"/>
        <v>0</v>
      </c>
      <c r="M411" s="4">
        <f t="shared" si="109"/>
        <v>0</v>
      </c>
      <c r="N411" s="4">
        <f t="shared" si="110"/>
        <v>0</v>
      </c>
      <c r="O411" s="4">
        <f t="shared" si="111"/>
        <v>0</v>
      </c>
      <c r="P411" s="4" t="e">
        <f>VLOOKUP(AJ403,'CIR Team Info'!$C$5:$E$44,2,FALSE)</f>
        <v>#N/A</v>
      </c>
      <c r="Q411" s="4" t="e">
        <f>VLOOKUP(AJ403,'CIR Team Info'!$C$5:$E$44,3,FALSE)</f>
        <v>#N/A</v>
      </c>
      <c r="R411" s="10" t="e">
        <f>VLOOKUP(AJ403,'FRC Site Data'!$B$3:$L$42,2,FALSE)</f>
        <v>#N/A</v>
      </c>
      <c r="S411" s="10" t="e">
        <f>VLOOKUP(AJ403,'FRC Site Data'!$B$3:$L$42,3,FALSE)</f>
        <v>#N/A</v>
      </c>
      <c r="T411" s="10" t="e">
        <f>VLOOKUP(AJ403,'FRC Site Data'!$B$3:$L$42,4,FALSE)</f>
        <v>#N/A</v>
      </c>
      <c r="U411" s="10" t="e">
        <f>VLOOKUP(AJ403,'FRC Site Data'!$B$3:$L$42,5,FALSE)</f>
        <v>#N/A</v>
      </c>
      <c r="V411" s="10" t="e">
        <f>VLOOKUP(AJ403,'FRC Site Data'!$B$3:$L$42,6,FALSE)</f>
        <v>#N/A</v>
      </c>
      <c r="W411" s="10" t="e">
        <f>VLOOKUP(AJ403,'FRC Site Data'!$B$3:$L$42,8,FALSE)</f>
        <v>#N/A</v>
      </c>
      <c r="X411" s="10" t="e">
        <f>VLOOKUP(AJ403,'FRC Site Data'!$B$3:$L$42,9,FALSE)</f>
        <v>#N/A</v>
      </c>
      <c r="Y411" s="10" t="e">
        <f>VLOOKUP(AJ403,'FRC Site Data'!$B$3:$L$42,10,FALSE)</f>
        <v>#N/A</v>
      </c>
      <c r="Z411" s="10" t="e">
        <f>VLOOKUP(AJ403,'FRC Site Data'!$B$3:$L$42,11,FALSE)</f>
        <v>#N/A</v>
      </c>
      <c r="AA411" s="10" t="e">
        <f>VLOOKUP(AJ403,'CIR Team Info'!$C$5:$E$44,4,FALSE)</f>
        <v>#N/A</v>
      </c>
      <c r="AB411" s="161" t="b">
        <f>ISNUMBER(VLOOKUP(AJ403,Match!$T$5:$T$10,1,FALSE))</f>
        <v>0</v>
      </c>
      <c r="AC411" s="161" t="b">
        <f>IF(AB411=TRUE,(VLOOKUP($AJ403,Match!$T$5:$U$10,2,FALSE)))</f>
        <v>0</v>
      </c>
      <c r="AD411" s="8">
        <v>3</v>
      </c>
      <c r="AE411" s="8">
        <v>2</v>
      </c>
      <c r="AF411" s="8">
        <v>2</v>
      </c>
      <c r="AG411" s="8">
        <v>1</v>
      </c>
      <c r="AH411" s="8" t="str">
        <f t="shared" ref="AH411:AH474" si="112">IF(AL403="Other","x","")</f>
        <v/>
      </c>
      <c r="AI411" s="12"/>
      <c r="AZ411" s="12"/>
      <c r="BC411" s="12"/>
      <c r="BK411" s="12"/>
    </row>
    <row r="412" spans="1:63" x14ac:dyDescent="0.25">
      <c r="A412" s="29">
        <f t="shared" si="97"/>
        <v>0</v>
      </c>
      <c r="B412" s="29">
        <f t="shared" si="99"/>
        <v>0</v>
      </c>
      <c r="C412" s="29">
        <f t="shared" si="100"/>
        <v>0</v>
      </c>
      <c r="D412" s="29">
        <f t="shared" si="101"/>
        <v>0</v>
      </c>
      <c r="E412" s="29">
        <f t="shared" si="98"/>
        <v>0</v>
      </c>
      <c r="F412" s="29">
        <f t="shared" si="102"/>
        <v>0</v>
      </c>
      <c r="G412" s="29" t="str">
        <f t="shared" si="103"/>
        <v>offensive</v>
      </c>
      <c r="H412" s="16">
        <f t="shared" si="104"/>
        <v>0</v>
      </c>
      <c r="I412" s="16">
        <f t="shared" si="105"/>
        <v>0</v>
      </c>
      <c r="J412" s="16">
        <f t="shared" si="106"/>
        <v>0</v>
      </c>
      <c r="K412" s="16">
        <f t="shared" si="107"/>
        <v>0</v>
      </c>
      <c r="L412" s="67">
        <f t="shared" si="108"/>
        <v>0</v>
      </c>
      <c r="M412" s="4">
        <f t="shared" si="109"/>
        <v>0</v>
      </c>
      <c r="N412" s="4">
        <f t="shared" si="110"/>
        <v>0</v>
      </c>
      <c r="O412" s="4">
        <f t="shared" si="111"/>
        <v>0</v>
      </c>
      <c r="P412" s="4" t="e">
        <f>VLOOKUP(AJ404,'CIR Team Info'!$C$5:$E$44,2,FALSE)</f>
        <v>#N/A</v>
      </c>
      <c r="Q412" s="4" t="e">
        <f>VLOOKUP(AJ404,'CIR Team Info'!$C$5:$E$44,3,FALSE)</f>
        <v>#N/A</v>
      </c>
      <c r="R412" s="10" t="e">
        <f>VLOOKUP(AJ404,'FRC Site Data'!$B$3:$L$42,2,FALSE)</f>
        <v>#N/A</v>
      </c>
      <c r="S412" s="10" t="e">
        <f>VLOOKUP(AJ404,'FRC Site Data'!$B$3:$L$42,3,FALSE)</f>
        <v>#N/A</v>
      </c>
      <c r="T412" s="10" t="e">
        <f>VLOOKUP(AJ404,'FRC Site Data'!$B$3:$L$42,4,FALSE)</f>
        <v>#N/A</v>
      </c>
      <c r="U412" s="10" t="e">
        <f>VLOOKUP(AJ404,'FRC Site Data'!$B$3:$L$42,5,FALSE)</f>
        <v>#N/A</v>
      </c>
      <c r="V412" s="10" t="e">
        <f>VLOOKUP(AJ404,'FRC Site Data'!$B$3:$L$42,6,FALSE)</f>
        <v>#N/A</v>
      </c>
      <c r="W412" s="10" t="e">
        <f>VLOOKUP(AJ404,'FRC Site Data'!$B$3:$L$42,8,FALSE)</f>
        <v>#N/A</v>
      </c>
      <c r="X412" s="10" t="e">
        <f>VLOOKUP(AJ404,'FRC Site Data'!$B$3:$L$42,9,FALSE)</f>
        <v>#N/A</v>
      </c>
      <c r="Y412" s="10" t="e">
        <f>VLOOKUP(AJ404,'FRC Site Data'!$B$3:$L$42,10,FALSE)</f>
        <v>#N/A</v>
      </c>
      <c r="Z412" s="10" t="e">
        <f>VLOOKUP(AJ404,'FRC Site Data'!$B$3:$L$42,11,FALSE)</f>
        <v>#N/A</v>
      </c>
      <c r="AA412" s="10" t="e">
        <f>VLOOKUP(AJ404,'CIR Team Info'!$C$5:$E$44,4,FALSE)</f>
        <v>#N/A</v>
      </c>
      <c r="AB412" s="161" t="b">
        <f>ISNUMBER(VLOOKUP(AJ404,Match!$T$5:$T$10,1,FALSE))</f>
        <v>0</v>
      </c>
      <c r="AC412" s="161" t="b">
        <f>IF(AB412=TRUE,(VLOOKUP($AJ404,Match!$T$5:$U$10,2,FALSE)))</f>
        <v>0</v>
      </c>
      <c r="AD412" s="8">
        <v>3</v>
      </c>
      <c r="AE412" s="8">
        <v>2</v>
      </c>
      <c r="AF412" s="8">
        <v>2</v>
      </c>
      <c r="AG412" s="8">
        <v>1</v>
      </c>
      <c r="AH412" s="8" t="str">
        <f t="shared" si="112"/>
        <v/>
      </c>
      <c r="AI412" s="12"/>
      <c r="AZ412" s="12"/>
      <c r="BC412" s="12"/>
      <c r="BK412" s="12"/>
    </row>
    <row r="413" spans="1:63" x14ac:dyDescent="0.25">
      <c r="A413" s="29">
        <f t="shared" si="97"/>
        <v>0</v>
      </c>
      <c r="B413" s="29">
        <f t="shared" si="99"/>
        <v>0</v>
      </c>
      <c r="C413" s="29">
        <f t="shared" si="100"/>
        <v>0</v>
      </c>
      <c r="D413" s="29">
        <f t="shared" si="101"/>
        <v>0</v>
      </c>
      <c r="E413" s="29">
        <f t="shared" si="98"/>
        <v>0</v>
      </c>
      <c r="F413" s="29">
        <f t="shared" si="102"/>
        <v>0</v>
      </c>
      <c r="G413" s="29" t="str">
        <f t="shared" si="103"/>
        <v>offensive</v>
      </c>
      <c r="H413" s="16">
        <f t="shared" si="104"/>
        <v>0</v>
      </c>
      <c r="I413" s="16">
        <f t="shared" si="105"/>
        <v>0</v>
      </c>
      <c r="J413" s="16">
        <f t="shared" si="106"/>
        <v>0</v>
      </c>
      <c r="K413" s="16">
        <f t="shared" si="107"/>
        <v>0</v>
      </c>
      <c r="L413" s="67">
        <f t="shared" si="108"/>
        <v>0</v>
      </c>
      <c r="M413" s="4">
        <f t="shared" si="109"/>
        <v>0</v>
      </c>
      <c r="N413" s="4">
        <f t="shared" si="110"/>
        <v>0</v>
      </c>
      <c r="O413" s="4">
        <f t="shared" si="111"/>
        <v>0</v>
      </c>
      <c r="P413" s="4" t="e">
        <f>VLOOKUP(AJ405,'CIR Team Info'!$C$5:$E$44,2,FALSE)</f>
        <v>#N/A</v>
      </c>
      <c r="Q413" s="4" t="e">
        <f>VLOOKUP(AJ405,'CIR Team Info'!$C$5:$E$44,3,FALSE)</f>
        <v>#N/A</v>
      </c>
      <c r="R413" s="10" t="e">
        <f>VLOOKUP(AJ405,'FRC Site Data'!$B$3:$L$42,2,FALSE)</f>
        <v>#N/A</v>
      </c>
      <c r="S413" s="10" t="e">
        <f>VLOOKUP(AJ405,'FRC Site Data'!$B$3:$L$42,3,FALSE)</f>
        <v>#N/A</v>
      </c>
      <c r="T413" s="10" t="e">
        <f>VLOOKUP(AJ405,'FRC Site Data'!$B$3:$L$42,4,FALSE)</f>
        <v>#N/A</v>
      </c>
      <c r="U413" s="10" t="e">
        <f>VLOOKUP(AJ405,'FRC Site Data'!$B$3:$L$42,5,FALSE)</f>
        <v>#N/A</v>
      </c>
      <c r="V413" s="10" t="e">
        <f>VLOOKUP(AJ405,'FRC Site Data'!$B$3:$L$42,6,FALSE)</f>
        <v>#N/A</v>
      </c>
      <c r="W413" s="10" t="e">
        <f>VLOOKUP(AJ405,'FRC Site Data'!$B$3:$L$42,8,FALSE)</f>
        <v>#N/A</v>
      </c>
      <c r="X413" s="10" t="e">
        <f>VLOOKUP(AJ405,'FRC Site Data'!$B$3:$L$42,9,FALSE)</f>
        <v>#N/A</v>
      </c>
      <c r="Y413" s="10" t="e">
        <f>VLOOKUP(AJ405,'FRC Site Data'!$B$3:$L$42,10,FALSE)</f>
        <v>#N/A</v>
      </c>
      <c r="Z413" s="10" t="e">
        <f>VLOOKUP(AJ405,'FRC Site Data'!$B$3:$L$42,11,FALSE)</f>
        <v>#N/A</v>
      </c>
      <c r="AA413" s="10" t="e">
        <f>VLOOKUP(AJ405,'CIR Team Info'!$C$5:$E$44,4,FALSE)</f>
        <v>#N/A</v>
      </c>
      <c r="AB413" s="161" t="b">
        <f>ISNUMBER(VLOOKUP(AJ405,Match!$T$5:$T$10,1,FALSE))</f>
        <v>0</v>
      </c>
      <c r="AC413" s="161" t="b">
        <f>IF(AB413=TRUE,(VLOOKUP($AJ405,Match!$T$5:$U$10,2,FALSE)))</f>
        <v>0</v>
      </c>
      <c r="AD413" s="8">
        <v>3</v>
      </c>
      <c r="AE413" s="8">
        <v>2</v>
      </c>
      <c r="AF413" s="8">
        <v>2</v>
      </c>
      <c r="AG413" s="8">
        <v>1</v>
      </c>
      <c r="AH413" s="8" t="str">
        <f t="shared" si="112"/>
        <v/>
      </c>
      <c r="AI413" s="12"/>
      <c r="AZ413" s="12"/>
      <c r="BC413" s="12"/>
      <c r="BK413" s="12"/>
    </row>
    <row r="414" spans="1:63" x14ac:dyDescent="0.25">
      <c r="A414" s="29">
        <f t="shared" si="97"/>
        <v>0</v>
      </c>
      <c r="B414" s="29">
        <f t="shared" si="99"/>
        <v>0</v>
      </c>
      <c r="C414" s="29">
        <f t="shared" si="100"/>
        <v>0</v>
      </c>
      <c r="D414" s="29">
        <f t="shared" si="101"/>
        <v>0</v>
      </c>
      <c r="E414" s="29">
        <f t="shared" si="98"/>
        <v>0</v>
      </c>
      <c r="F414" s="29">
        <f t="shared" si="102"/>
        <v>0</v>
      </c>
      <c r="G414" s="29" t="str">
        <f t="shared" si="103"/>
        <v>offensive</v>
      </c>
      <c r="H414" s="16">
        <f t="shared" si="104"/>
        <v>0</v>
      </c>
      <c r="I414" s="16">
        <f t="shared" si="105"/>
        <v>0</v>
      </c>
      <c r="J414" s="16">
        <f t="shared" si="106"/>
        <v>0</v>
      </c>
      <c r="K414" s="16">
        <f t="shared" si="107"/>
        <v>0</v>
      </c>
      <c r="L414" s="67">
        <f t="shared" si="108"/>
        <v>0</v>
      </c>
      <c r="M414" s="4">
        <f t="shared" si="109"/>
        <v>0</v>
      </c>
      <c r="N414" s="4">
        <f t="shared" si="110"/>
        <v>0</v>
      </c>
      <c r="O414" s="4">
        <f t="shared" si="111"/>
        <v>0</v>
      </c>
      <c r="P414" s="4" t="e">
        <f>VLOOKUP(AJ406,'CIR Team Info'!$C$5:$E$44,2,FALSE)</f>
        <v>#N/A</v>
      </c>
      <c r="Q414" s="4" t="e">
        <f>VLOOKUP(AJ406,'CIR Team Info'!$C$5:$E$44,3,FALSE)</f>
        <v>#N/A</v>
      </c>
      <c r="R414" s="10" t="e">
        <f>VLOOKUP(AJ406,'FRC Site Data'!$B$3:$L$42,2,FALSE)</f>
        <v>#N/A</v>
      </c>
      <c r="S414" s="10" t="e">
        <f>VLOOKUP(AJ406,'FRC Site Data'!$B$3:$L$42,3,FALSE)</f>
        <v>#N/A</v>
      </c>
      <c r="T414" s="10" t="e">
        <f>VLOOKUP(AJ406,'FRC Site Data'!$B$3:$L$42,4,FALSE)</f>
        <v>#N/A</v>
      </c>
      <c r="U414" s="10" t="e">
        <f>VLOOKUP(AJ406,'FRC Site Data'!$B$3:$L$42,5,FALSE)</f>
        <v>#N/A</v>
      </c>
      <c r="V414" s="10" t="e">
        <f>VLOOKUP(AJ406,'FRC Site Data'!$B$3:$L$42,6,FALSE)</f>
        <v>#N/A</v>
      </c>
      <c r="W414" s="10" t="e">
        <f>VLOOKUP(AJ406,'FRC Site Data'!$B$3:$L$42,8,FALSE)</f>
        <v>#N/A</v>
      </c>
      <c r="X414" s="10" t="e">
        <f>VLOOKUP(AJ406,'FRC Site Data'!$B$3:$L$42,9,FALSE)</f>
        <v>#N/A</v>
      </c>
      <c r="Y414" s="10" t="e">
        <f>VLOOKUP(AJ406,'FRC Site Data'!$B$3:$L$42,10,FALSE)</f>
        <v>#N/A</v>
      </c>
      <c r="Z414" s="10" t="e">
        <f>VLOOKUP(AJ406,'FRC Site Data'!$B$3:$L$42,11,FALSE)</f>
        <v>#N/A</v>
      </c>
      <c r="AA414" s="10" t="e">
        <f>VLOOKUP(AJ406,'CIR Team Info'!$C$5:$E$44,4,FALSE)</f>
        <v>#N/A</v>
      </c>
      <c r="AB414" s="161" t="b">
        <f>ISNUMBER(VLOOKUP(AJ406,Match!$T$5:$T$10,1,FALSE))</f>
        <v>0</v>
      </c>
      <c r="AC414" s="161" t="b">
        <f>IF(AB414=TRUE,(VLOOKUP($AJ406,Match!$T$5:$U$10,2,FALSE)))</f>
        <v>0</v>
      </c>
      <c r="AD414" s="8">
        <v>3</v>
      </c>
      <c r="AE414" s="8">
        <v>2</v>
      </c>
      <c r="AF414" s="8">
        <v>2</v>
      </c>
      <c r="AG414" s="8">
        <v>1</v>
      </c>
      <c r="AH414" s="8" t="str">
        <f t="shared" si="112"/>
        <v/>
      </c>
      <c r="AI414" s="12"/>
      <c r="AZ414" s="12"/>
      <c r="BC414" s="12"/>
      <c r="BK414" s="12"/>
    </row>
    <row r="415" spans="1:63" x14ac:dyDescent="0.25">
      <c r="A415" s="29">
        <f t="shared" si="97"/>
        <v>0</v>
      </c>
      <c r="B415" s="29">
        <f t="shared" si="99"/>
        <v>0</v>
      </c>
      <c r="C415" s="29">
        <f t="shared" si="100"/>
        <v>0</v>
      </c>
      <c r="D415" s="29">
        <f t="shared" si="101"/>
        <v>0</v>
      </c>
      <c r="E415" s="29">
        <f t="shared" si="98"/>
        <v>0</v>
      </c>
      <c r="F415" s="29">
        <f t="shared" si="102"/>
        <v>0</v>
      </c>
      <c r="G415" s="29" t="str">
        <f t="shared" si="103"/>
        <v>offensive</v>
      </c>
      <c r="H415" s="16">
        <f t="shared" si="104"/>
        <v>0</v>
      </c>
      <c r="I415" s="16">
        <f t="shared" si="105"/>
        <v>0</v>
      </c>
      <c r="J415" s="16">
        <f t="shared" si="106"/>
        <v>0</v>
      </c>
      <c r="K415" s="16">
        <f t="shared" si="107"/>
        <v>0</v>
      </c>
      <c r="L415" s="67">
        <f t="shared" si="108"/>
        <v>0</v>
      </c>
      <c r="M415" s="4">
        <f t="shared" si="109"/>
        <v>0</v>
      </c>
      <c r="N415" s="4">
        <f t="shared" si="110"/>
        <v>0</v>
      </c>
      <c r="O415" s="4">
        <f t="shared" si="111"/>
        <v>0</v>
      </c>
      <c r="P415" s="4" t="e">
        <f>VLOOKUP(AJ407,'CIR Team Info'!$C$5:$E$44,2,FALSE)</f>
        <v>#N/A</v>
      </c>
      <c r="Q415" s="4" t="e">
        <f>VLOOKUP(AJ407,'CIR Team Info'!$C$5:$E$44,3,FALSE)</f>
        <v>#N/A</v>
      </c>
      <c r="R415" s="10" t="e">
        <f>VLOOKUP(AJ407,'FRC Site Data'!$B$3:$L$42,2,FALSE)</f>
        <v>#N/A</v>
      </c>
      <c r="S415" s="10" t="e">
        <f>VLOOKUP(AJ407,'FRC Site Data'!$B$3:$L$42,3,FALSE)</f>
        <v>#N/A</v>
      </c>
      <c r="T415" s="10" t="e">
        <f>VLOOKUP(AJ407,'FRC Site Data'!$B$3:$L$42,4,FALSE)</f>
        <v>#N/A</v>
      </c>
      <c r="U415" s="10" t="e">
        <f>VLOOKUP(AJ407,'FRC Site Data'!$B$3:$L$42,5,FALSE)</f>
        <v>#N/A</v>
      </c>
      <c r="V415" s="10" t="e">
        <f>VLOOKUP(AJ407,'FRC Site Data'!$B$3:$L$42,6,FALSE)</f>
        <v>#N/A</v>
      </c>
      <c r="W415" s="10" t="e">
        <f>VLOOKUP(AJ407,'FRC Site Data'!$B$3:$L$42,8,FALSE)</f>
        <v>#N/A</v>
      </c>
      <c r="X415" s="10" t="e">
        <f>VLOOKUP(AJ407,'FRC Site Data'!$B$3:$L$42,9,FALSE)</f>
        <v>#N/A</v>
      </c>
      <c r="Y415" s="10" t="e">
        <f>VLOOKUP(AJ407,'FRC Site Data'!$B$3:$L$42,10,FALSE)</f>
        <v>#N/A</v>
      </c>
      <c r="Z415" s="10" t="e">
        <f>VLOOKUP(AJ407,'FRC Site Data'!$B$3:$L$42,11,FALSE)</f>
        <v>#N/A</v>
      </c>
      <c r="AA415" s="10" t="e">
        <f>VLOOKUP(AJ407,'CIR Team Info'!$C$5:$E$44,4,FALSE)</f>
        <v>#N/A</v>
      </c>
      <c r="AB415" s="161" t="b">
        <f>ISNUMBER(VLOOKUP(AJ407,Match!$T$5:$T$10,1,FALSE))</f>
        <v>0</v>
      </c>
      <c r="AC415" s="161" t="b">
        <f>IF(AB415=TRUE,(VLOOKUP($AJ407,Match!$T$5:$U$10,2,FALSE)))</f>
        <v>0</v>
      </c>
      <c r="AD415" s="8">
        <v>3</v>
      </c>
      <c r="AE415" s="8">
        <v>2</v>
      </c>
      <c r="AF415" s="8">
        <v>2</v>
      </c>
      <c r="AG415" s="8">
        <v>1</v>
      </c>
      <c r="AH415" s="8" t="str">
        <f t="shared" si="112"/>
        <v/>
      </c>
      <c r="AI415" s="12"/>
      <c r="AZ415" s="12"/>
      <c r="BC415" s="12"/>
      <c r="BK415" s="12"/>
    </row>
    <row r="416" spans="1:63" x14ac:dyDescent="0.25">
      <c r="A416" s="29">
        <f t="shared" si="97"/>
        <v>0</v>
      </c>
      <c r="B416" s="29">
        <f t="shared" si="99"/>
        <v>0</v>
      </c>
      <c r="C416" s="29">
        <f t="shared" si="100"/>
        <v>0</v>
      </c>
      <c r="D416" s="29">
        <f t="shared" si="101"/>
        <v>0</v>
      </c>
      <c r="E416" s="29">
        <f t="shared" si="98"/>
        <v>0</v>
      </c>
      <c r="F416" s="29">
        <f t="shared" si="102"/>
        <v>0</v>
      </c>
      <c r="G416" s="29" t="str">
        <f t="shared" si="103"/>
        <v>offensive</v>
      </c>
      <c r="H416" s="16">
        <f t="shared" si="104"/>
        <v>0</v>
      </c>
      <c r="I416" s="16">
        <f t="shared" si="105"/>
        <v>0</v>
      </c>
      <c r="J416" s="16">
        <f t="shared" si="106"/>
        <v>0</v>
      </c>
      <c r="K416" s="16">
        <f t="shared" si="107"/>
        <v>0</v>
      </c>
      <c r="L416" s="67">
        <f t="shared" si="108"/>
        <v>0</v>
      </c>
      <c r="M416" s="4">
        <f t="shared" si="109"/>
        <v>0</v>
      </c>
      <c r="N416" s="4">
        <f t="shared" si="110"/>
        <v>0</v>
      </c>
      <c r="O416" s="4">
        <f t="shared" si="111"/>
        <v>0</v>
      </c>
      <c r="P416" s="4" t="e">
        <f>VLOOKUP(AJ408,'CIR Team Info'!$C$5:$E$44,2,FALSE)</f>
        <v>#N/A</v>
      </c>
      <c r="Q416" s="4" t="e">
        <f>VLOOKUP(AJ408,'CIR Team Info'!$C$5:$E$44,3,FALSE)</f>
        <v>#N/A</v>
      </c>
      <c r="R416" s="10" t="e">
        <f>VLOOKUP(AJ408,'FRC Site Data'!$B$3:$L$42,2,FALSE)</f>
        <v>#N/A</v>
      </c>
      <c r="S416" s="10" t="e">
        <f>VLOOKUP(AJ408,'FRC Site Data'!$B$3:$L$42,3,FALSE)</f>
        <v>#N/A</v>
      </c>
      <c r="T416" s="10" t="e">
        <f>VLOOKUP(AJ408,'FRC Site Data'!$B$3:$L$42,4,FALSE)</f>
        <v>#N/A</v>
      </c>
      <c r="U416" s="10" t="e">
        <f>VLOOKUP(AJ408,'FRC Site Data'!$B$3:$L$42,5,FALSE)</f>
        <v>#N/A</v>
      </c>
      <c r="V416" s="10" t="e">
        <f>VLOOKUP(AJ408,'FRC Site Data'!$B$3:$L$42,6,FALSE)</f>
        <v>#N/A</v>
      </c>
      <c r="W416" s="10" t="e">
        <f>VLOOKUP(AJ408,'FRC Site Data'!$B$3:$L$42,8,FALSE)</f>
        <v>#N/A</v>
      </c>
      <c r="X416" s="10" t="e">
        <f>VLOOKUP(AJ408,'FRC Site Data'!$B$3:$L$42,9,FALSE)</f>
        <v>#N/A</v>
      </c>
      <c r="Y416" s="10" t="e">
        <f>VLOOKUP(AJ408,'FRC Site Data'!$B$3:$L$42,10,FALSE)</f>
        <v>#N/A</v>
      </c>
      <c r="Z416" s="10" t="e">
        <f>VLOOKUP(AJ408,'FRC Site Data'!$B$3:$L$42,11,FALSE)</f>
        <v>#N/A</v>
      </c>
      <c r="AA416" s="10" t="e">
        <f>VLOOKUP(AJ408,'CIR Team Info'!$C$5:$E$44,4,FALSE)</f>
        <v>#N/A</v>
      </c>
      <c r="AB416" s="161" t="b">
        <f>ISNUMBER(VLOOKUP(AJ408,Match!$T$5:$T$10,1,FALSE))</f>
        <v>0</v>
      </c>
      <c r="AC416" s="161" t="b">
        <f>IF(AB416=TRUE,(VLOOKUP($AJ408,Match!$T$5:$U$10,2,FALSE)))</f>
        <v>0</v>
      </c>
      <c r="AD416" s="8">
        <v>3</v>
      </c>
      <c r="AE416" s="8">
        <v>2</v>
      </c>
      <c r="AF416" s="8">
        <v>2</v>
      </c>
      <c r="AG416" s="8">
        <v>1</v>
      </c>
      <c r="AH416" s="8" t="str">
        <f t="shared" si="112"/>
        <v/>
      </c>
      <c r="AI416" s="12"/>
      <c r="AZ416" s="12"/>
      <c r="BC416" s="12"/>
      <c r="BK416" s="12"/>
    </row>
    <row r="417" spans="1:63" x14ac:dyDescent="0.25">
      <c r="A417" s="29">
        <f t="shared" si="97"/>
        <v>0</v>
      </c>
      <c r="B417" s="29">
        <f t="shared" si="99"/>
        <v>0</v>
      </c>
      <c r="C417" s="29">
        <f t="shared" si="100"/>
        <v>0</v>
      </c>
      <c r="D417" s="29">
        <f t="shared" si="101"/>
        <v>0</v>
      </c>
      <c r="E417" s="29">
        <f t="shared" si="98"/>
        <v>0</v>
      </c>
      <c r="F417" s="29">
        <f t="shared" si="102"/>
        <v>0</v>
      </c>
      <c r="G417" s="29" t="str">
        <f t="shared" si="103"/>
        <v>offensive</v>
      </c>
      <c r="H417" s="16">
        <f t="shared" si="104"/>
        <v>0</v>
      </c>
      <c r="I417" s="16">
        <f t="shared" si="105"/>
        <v>0</v>
      </c>
      <c r="J417" s="16">
        <f t="shared" si="106"/>
        <v>0</v>
      </c>
      <c r="K417" s="16">
        <f t="shared" si="107"/>
        <v>0</v>
      </c>
      <c r="L417" s="67">
        <f t="shared" si="108"/>
        <v>0</v>
      </c>
      <c r="M417" s="4">
        <f t="shared" si="109"/>
        <v>0</v>
      </c>
      <c r="N417" s="4">
        <f t="shared" si="110"/>
        <v>0</v>
      </c>
      <c r="O417" s="4">
        <f t="shared" si="111"/>
        <v>0</v>
      </c>
      <c r="P417" s="4" t="e">
        <f>VLOOKUP(AJ409,'CIR Team Info'!$C$5:$E$44,2,FALSE)</f>
        <v>#N/A</v>
      </c>
      <c r="Q417" s="4" t="e">
        <f>VLOOKUP(AJ409,'CIR Team Info'!$C$5:$E$44,3,FALSE)</f>
        <v>#N/A</v>
      </c>
      <c r="R417" s="10" t="e">
        <f>VLOOKUP(AJ409,'FRC Site Data'!$B$3:$L$42,2,FALSE)</f>
        <v>#N/A</v>
      </c>
      <c r="S417" s="10" t="e">
        <f>VLOOKUP(AJ409,'FRC Site Data'!$B$3:$L$42,3,FALSE)</f>
        <v>#N/A</v>
      </c>
      <c r="T417" s="10" t="e">
        <f>VLOOKUP(AJ409,'FRC Site Data'!$B$3:$L$42,4,FALSE)</f>
        <v>#N/A</v>
      </c>
      <c r="U417" s="10" t="e">
        <f>VLOOKUP(AJ409,'FRC Site Data'!$B$3:$L$42,5,FALSE)</f>
        <v>#N/A</v>
      </c>
      <c r="V417" s="10" t="e">
        <f>VLOOKUP(AJ409,'FRC Site Data'!$B$3:$L$42,6,FALSE)</f>
        <v>#N/A</v>
      </c>
      <c r="W417" s="10" t="e">
        <f>VLOOKUP(AJ409,'FRC Site Data'!$B$3:$L$42,8,FALSE)</f>
        <v>#N/A</v>
      </c>
      <c r="X417" s="10" t="e">
        <f>VLOOKUP(AJ409,'FRC Site Data'!$B$3:$L$42,9,FALSE)</f>
        <v>#N/A</v>
      </c>
      <c r="Y417" s="10" t="e">
        <f>VLOOKUP(AJ409,'FRC Site Data'!$B$3:$L$42,10,FALSE)</f>
        <v>#N/A</v>
      </c>
      <c r="Z417" s="10" t="e">
        <f>VLOOKUP(AJ409,'FRC Site Data'!$B$3:$L$42,11,FALSE)</f>
        <v>#N/A</v>
      </c>
      <c r="AA417" s="10" t="e">
        <f>VLOOKUP(AJ409,'CIR Team Info'!$C$5:$E$44,4,FALSE)</f>
        <v>#N/A</v>
      </c>
      <c r="AB417" s="161" t="b">
        <f>ISNUMBER(VLOOKUP(AJ409,Match!$T$5:$T$10,1,FALSE))</f>
        <v>0</v>
      </c>
      <c r="AC417" s="161" t="b">
        <f>IF(AB417=TRUE,(VLOOKUP($AJ409,Match!$T$5:$U$10,2,FALSE)))</f>
        <v>0</v>
      </c>
      <c r="AD417" s="8">
        <v>3</v>
      </c>
      <c r="AE417" s="8">
        <v>2</v>
      </c>
      <c r="AF417" s="8">
        <v>2</v>
      </c>
      <c r="AG417" s="8">
        <v>1</v>
      </c>
      <c r="AH417" s="8" t="str">
        <f t="shared" si="112"/>
        <v/>
      </c>
      <c r="AI417" s="12"/>
      <c r="AZ417" s="12"/>
      <c r="BC417" s="12"/>
      <c r="BK417" s="12"/>
    </row>
    <row r="418" spans="1:63" x14ac:dyDescent="0.25">
      <c r="A418" s="29">
        <f t="shared" si="97"/>
        <v>0</v>
      </c>
      <c r="B418" s="29">
        <f t="shared" si="99"/>
        <v>0</v>
      </c>
      <c r="C418" s="29">
        <f t="shared" si="100"/>
        <v>0</v>
      </c>
      <c r="D418" s="29">
        <f t="shared" si="101"/>
        <v>0</v>
      </c>
      <c r="E418" s="29">
        <f t="shared" si="98"/>
        <v>0</v>
      </c>
      <c r="F418" s="29">
        <f t="shared" si="102"/>
        <v>0</v>
      </c>
      <c r="G418" s="29" t="str">
        <f t="shared" si="103"/>
        <v>offensive</v>
      </c>
      <c r="H418" s="16">
        <f t="shared" si="104"/>
        <v>0</v>
      </c>
      <c r="I418" s="16">
        <f t="shared" si="105"/>
        <v>0</v>
      </c>
      <c r="J418" s="16">
        <f t="shared" si="106"/>
        <v>0</v>
      </c>
      <c r="K418" s="16">
        <f t="shared" si="107"/>
        <v>0</v>
      </c>
      <c r="L418" s="67">
        <f t="shared" si="108"/>
        <v>0</v>
      </c>
      <c r="M418" s="4">
        <f t="shared" si="109"/>
        <v>0</v>
      </c>
      <c r="N418" s="4">
        <f t="shared" si="110"/>
        <v>0</v>
      </c>
      <c r="O418" s="4">
        <f t="shared" si="111"/>
        <v>0</v>
      </c>
      <c r="P418" s="4" t="e">
        <f>VLOOKUP(AJ410,'CIR Team Info'!$C$5:$E$44,2,FALSE)</f>
        <v>#N/A</v>
      </c>
      <c r="Q418" s="4" t="e">
        <f>VLOOKUP(AJ410,'CIR Team Info'!$C$5:$E$44,3,FALSE)</f>
        <v>#N/A</v>
      </c>
      <c r="R418" s="10" t="e">
        <f>VLOOKUP(AJ410,'FRC Site Data'!$B$3:$L$42,2,FALSE)</f>
        <v>#N/A</v>
      </c>
      <c r="S418" s="10" t="e">
        <f>VLOOKUP(AJ410,'FRC Site Data'!$B$3:$L$42,3,FALSE)</f>
        <v>#N/A</v>
      </c>
      <c r="T418" s="10" t="e">
        <f>VLOOKUP(AJ410,'FRC Site Data'!$B$3:$L$42,4,FALSE)</f>
        <v>#N/A</v>
      </c>
      <c r="U418" s="10" t="e">
        <f>VLOOKUP(AJ410,'FRC Site Data'!$B$3:$L$42,5,FALSE)</f>
        <v>#N/A</v>
      </c>
      <c r="V418" s="10" t="e">
        <f>VLOOKUP(AJ410,'FRC Site Data'!$B$3:$L$42,6,FALSE)</f>
        <v>#N/A</v>
      </c>
      <c r="W418" s="10" t="e">
        <f>VLOOKUP(AJ410,'FRC Site Data'!$B$3:$L$42,8,FALSE)</f>
        <v>#N/A</v>
      </c>
      <c r="X418" s="10" t="e">
        <f>VLOOKUP(AJ410,'FRC Site Data'!$B$3:$L$42,9,FALSE)</f>
        <v>#N/A</v>
      </c>
      <c r="Y418" s="10" t="e">
        <f>VLOOKUP(AJ410,'FRC Site Data'!$B$3:$L$42,10,FALSE)</f>
        <v>#N/A</v>
      </c>
      <c r="Z418" s="10" t="e">
        <f>VLOOKUP(AJ410,'FRC Site Data'!$B$3:$L$42,11,FALSE)</f>
        <v>#N/A</v>
      </c>
      <c r="AA418" s="10" t="e">
        <f>VLOOKUP(AJ410,'CIR Team Info'!$C$5:$E$44,4,FALSE)</f>
        <v>#N/A</v>
      </c>
      <c r="AB418" s="161" t="b">
        <f>ISNUMBER(VLOOKUP(AJ410,Match!$T$5:$T$10,1,FALSE))</f>
        <v>0</v>
      </c>
      <c r="AC418" s="161" t="b">
        <f>IF(AB418=TRUE,(VLOOKUP($AJ410,Match!$T$5:$U$10,2,FALSE)))</f>
        <v>0</v>
      </c>
      <c r="AD418" s="8">
        <v>3</v>
      </c>
      <c r="AE418" s="8">
        <v>2</v>
      </c>
      <c r="AF418" s="8">
        <v>2</v>
      </c>
      <c r="AG418" s="8">
        <v>1</v>
      </c>
      <c r="AH418" s="8" t="str">
        <f t="shared" si="112"/>
        <v/>
      </c>
      <c r="AI418" s="12"/>
      <c r="AZ418" s="12"/>
      <c r="BC418" s="12"/>
      <c r="BK418" s="12"/>
    </row>
    <row r="419" spans="1:63" x14ac:dyDescent="0.25">
      <c r="A419" s="29">
        <f t="shared" si="97"/>
        <v>0</v>
      </c>
      <c r="B419" s="29">
        <f t="shared" si="99"/>
        <v>0</v>
      </c>
      <c r="C419" s="29">
        <f t="shared" si="100"/>
        <v>0</v>
      </c>
      <c r="D419" s="29">
        <f t="shared" si="101"/>
        <v>0</v>
      </c>
      <c r="E419" s="29">
        <f t="shared" si="98"/>
        <v>0</v>
      </c>
      <c r="F419" s="29">
        <f t="shared" si="102"/>
        <v>0</v>
      </c>
      <c r="G419" s="29" t="str">
        <f t="shared" si="103"/>
        <v>offensive</v>
      </c>
      <c r="H419" s="16">
        <f t="shared" si="104"/>
        <v>0</v>
      </c>
      <c r="I419" s="16">
        <f t="shared" si="105"/>
        <v>0</v>
      </c>
      <c r="J419" s="16">
        <f t="shared" si="106"/>
        <v>0</v>
      </c>
      <c r="K419" s="16">
        <f t="shared" si="107"/>
        <v>0</v>
      </c>
      <c r="L419" s="67">
        <f t="shared" si="108"/>
        <v>0</v>
      </c>
      <c r="M419" s="4">
        <f t="shared" si="109"/>
        <v>0</v>
      </c>
      <c r="N419" s="4">
        <f t="shared" si="110"/>
        <v>0</v>
      </c>
      <c r="O419" s="4">
        <f t="shared" si="111"/>
        <v>0</v>
      </c>
      <c r="P419" s="4" t="e">
        <f>VLOOKUP(AJ411,'CIR Team Info'!$C$5:$E$44,2,FALSE)</f>
        <v>#N/A</v>
      </c>
      <c r="Q419" s="4" t="e">
        <f>VLOOKUP(AJ411,'CIR Team Info'!$C$5:$E$44,3,FALSE)</f>
        <v>#N/A</v>
      </c>
      <c r="R419" s="10" t="e">
        <f>VLOOKUP(AJ411,'FRC Site Data'!$B$3:$L$42,2,FALSE)</f>
        <v>#N/A</v>
      </c>
      <c r="S419" s="10" t="e">
        <f>VLOOKUP(AJ411,'FRC Site Data'!$B$3:$L$42,3,FALSE)</f>
        <v>#N/A</v>
      </c>
      <c r="T419" s="10" t="e">
        <f>VLOOKUP(AJ411,'FRC Site Data'!$B$3:$L$42,4,FALSE)</f>
        <v>#N/A</v>
      </c>
      <c r="U419" s="10" t="e">
        <f>VLOOKUP(AJ411,'FRC Site Data'!$B$3:$L$42,5,FALSE)</f>
        <v>#N/A</v>
      </c>
      <c r="V419" s="10" t="e">
        <f>VLOOKUP(AJ411,'FRC Site Data'!$B$3:$L$42,6,FALSE)</f>
        <v>#N/A</v>
      </c>
      <c r="W419" s="10" t="e">
        <f>VLOOKUP(AJ411,'FRC Site Data'!$B$3:$L$42,8,FALSE)</f>
        <v>#N/A</v>
      </c>
      <c r="X419" s="10" t="e">
        <f>VLOOKUP(AJ411,'FRC Site Data'!$B$3:$L$42,9,FALSE)</f>
        <v>#N/A</v>
      </c>
      <c r="Y419" s="10" t="e">
        <f>VLOOKUP(AJ411,'FRC Site Data'!$B$3:$L$42,10,FALSE)</f>
        <v>#N/A</v>
      </c>
      <c r="Z419" s="10" t="e">
        <f>VLOOKUP(AJ411,'FRC Site Data'!$B$3:$L$42,11,FALSE)</f>
        <v>#N/A</v>
      </c>
      <c r="AA419" s="10" t="e">
        <f>VLOOKUP(AJ411,'CIR Team Info'!$C$5:$E$44,4,FALSE)</f>
        <v>#N/A</v>
      </c>
      <c r="AB419" s="161" t="b">
        <f>ISNUMBER(VLOOKUP(AJ411,Match!$T$5:$T$10,1,FALSE))</f>
        <v>0</v>
      </c>
      <c r="AC419" s="161" t="b">
        <f>IF(AB419=TRUE,(VLOOKUP($AJ411,Match!$T$5:$U$10,2,FALSE)))</f>
        <v>0</v>
      </c>
      <c r="AD419" s="8">
        <v>3</v>
      </c>
      <c r="AE419" s="8">
        <v>2</v>
      </c>
      <c r="AF419" s="8">
        <v>2</v>
      </c>
      <c r="AG419" s="8">
        <v>1</v>
      </c>
      <c r="AH419" s="8" t="str">
        <f t="shared" si="112"/>
        <v/>
      </c>
      <c r="AI419" s="12"/>
      <c r="AZ419" s="12"/>
      <c r="BC419" s="12"/>
      <c r="BK419" s="12"/>
    </row>
    <row r="420" spans="1:63" x14ac:dyDescent="0.25">
      <c r="A420" s="29">
        <f t="shared" si="97"/>
        <v>0</v>
      </c>
      <c r="B420" s="29">
        <f t="shared" si="99"/>
        <v>0</v>
      </c>
      <c r="C420" s="29">
        <f t="shared" si="100"/>
        <v>0</v>
      </c>
      <c r="D420" s="29">
        <f t="shared" si="101"/>
        <v>0</v>
      </c>
      <c r="E420" s="29">
        <f t="shared" si="98"/>
        <v>0</v>
      </c>
      <c r="F420" s="29">
        <f t="shared" si="102"/>
        <v>0</v>
      </c>
      <c r="G420" s="29" t="str">
        <f t="shared" si="103"/>
        <v>offensive</v>
      </c>
      <c r="H420" s="16">
        <f t="shared" si="104"/>
        <v>0</v>
      </c>
      <c r="I420" s="16">
        <f t="shared" si="105"/>
        <v>0</v>
      </c>
      <c r="J420" s="16">
        <f t="shared" si="106"/>
        <v>0</v>
      </c>
      <c r="K420" s="16">
        <f t="shared" si="107"/>
        <v>0</v>
      </c>
      <c r="L420" s="67">
        <f t="shared" si="108"/>
        <v>0</v>
      </c>
      <c r="M420" s="4">
        <f t="shared" si="109"/>
        <v>0</v>
      </c>
      <c r="N420" s="4">
        <f t="shared" si="110"/>
        <v>0</v>
      </c>
      <c r="O420" s="4">
        <f t="shared" si="111"/>
        <v>0</v>
      </c>
      <c r="P420" s="4" t="e">
        <f>VLOOKUP(AJ412,'CIR Team Info'!$C$5:$E$44,2,FALSE)</f>
        <v>#N/A</v>
      </c>
      <c r="Q420" s="4" t="e">
        <f>VLOOKUP(AJ412,'CIR Team Info'!$C$5:$E$44,3,FALSE)</f>
        <v>#N/A</v>
      </c>
      <c r="R420" s="10" t="e">
        <f>VLOOKUP(AJ412,'FRC Site Data'!$B$3:$L$42,2,FALSE)</f>
        <v>#N/A</v>
      </c>
      <c r="S420" s="10" t="e">
        <f>VLOOKUP(AJ412,'FRC Site Data'!$B$3:$L$42,3,FALSE)</f>
        <v>#N/A</v>
      </c>
      <c r="T420" s="10" t="e">
        <f>VLOOKUP(AJ412,'FRC Site Data'!$B$3:$L$42,4,FALSE)</f>
        <v>#N/A</v>
      </c>
      <c r="U420" s="10" t="e">
        <f>VLOOKUP(AJ412,'FRC Site Data'!$B$3:$L$42,5,FALSE)</f>
        <v>#N/A</v>
      </c>
      <c r="V420" s="10" t="e">
        <f>VLOOKUP(AJ412,'FRC Site Data'!$B$3:$L$42,6,FALSE)</f>
        <v>#N/A</v>
      </c>
      <c r="W420" s="10" t="e">
        <f>VLOOKUP(AJ412,'FRC Site Data'!$B$3:$L$42,8,FALSE)</f>
        <v>#N/A</v>
      </c>
      <c r="X420" s="10" t="e">
        <f>VLOOKUP(AJ412,'FRC Site Data'!$B$3:$L$42,9,FALSE)</f>
        <v>#N/A</v>
      </c>
      <c r="Y420" s="10" t="e">
        <f>VLOOKUP(AJ412,'FRC Site Data'!$B$3:$L$42,10,FALSE)</f>
        <v>#N/A</v>
      </c>
      <c r="Z420" s="10" t="e">
        <f>VLOOKUP(AJ412,'FRC Site Data'!$B$3:$L$42,11,FALSE)</f>
        <v>#N/A</v>
      </c>
      <c r="AA420" s="10" t="e">
        <f>VLOOKUP(AJ412,'CIR Team Info'!$C$5:$E$44,4,FALSE)</f>
        <v>#N/A</v>
      </c>
      <c r="AB420" s="161" t="b">
        <f>ISNUMBER(VLOOKUP(AJ412,Match!$T$5:$T$10,1,FALSE))</f>
        <v>0</v>
      </c>
      <c r="AC420" s="161" t="b">
        <f>IF(AB420=TRUE,(VLOOKUP($AJ412,Match!$T$5:$U$10,2,FALSE)))</f>
        <v>0</v>
      </c>
      <c r="AD420" s="8">
        <v>3</v>
      </c>
      <c r="AE420" s="8">
        <v>2</v>
      </c>
      <c r="AF420" s="8">
        <v>2</v>
      </c>
      <c r="AG420" s="8">
        <v>1</v>
      </c>
      <c r="AH420" s="8" t="str">
        <f t="shared" si="112"/>
        <v/>
      </c>
      <c r="AI420" s="12"/>
      <c r="AZ420" s="12"/>
      <c r="BC420" s="12"/>
      <c r="BK420" s="12"/>
    </row>
    <row r="421" spans="1:63" x14ac:dyDescent="0.25">
      <c r="A421" s="29">
        <f t="shared" si="97"/>
        <v>0</v>
      </c>
      <c r="B421" s="29">
        <f t="shared" si="99"/>
        <v>0</v>
      </c>
      <c r="C421" s="29">
        <f t="shared" si="100"/>
        <v>0</v>
      </c>
      <c r="D421" s="29">
        <f t="shared" si="101"/>
        <v>0</v>
      </c>
      <c r="E421" s="29">
        <f t="shared" si="98"/>
        <v>0</v>
      </c>
      <c r="F421" s="29">
        <f t="shared" si="102"/>
        <v>0</v>
      </c>
      <c r="G421" s="29" t="str">
        <f t="shared" si="103"/>
        <v>offensive</v>
      </c>
      <c r="H421" s="16">
        <f t="shared" si="104"/>
        <v>0</v>
      </c>
      <c r="I421" s="16">
        <f t="shared" si="105"/>
        <v>0</v>
      </c>
      <c r="J421" s="16">
        <f t="shared" si="106"/>
        <v>0</v>
      </c>
      <c r="K421" s="16">
        <f t="shared" si="107"/>
        <v>0</v>
      </c>
      <c r="L421" s="67">
        <f t="shared" si="108"/>
        <v>0</v>
      </c>
      <c r="M421" s="4">
        <f t="shared" si="109"/>
        <v>0</v>
      </c>
      <c r="N421" s="4">
        <f t="shared" si="110"/>
        <v>0</v>
      </c>
      <c r="O421" s="4">
        <f t="shared" si="111"/>
        <v>0</v>
      </c>
      <c r="P421" s="4" t="e">
        <f>VLOOKUP(AJ413,'CIR Team Info'!$C$5:$E$44,2,FALSE)</f>
        <v>#N/A</v>
      </c>
      <c r="Q421" s="4" t="e">
        <f>VLOOKUP(AJ413,'CIR Team Info'!$C$5:$E$44,3,FALSE)</f>
        <v>#N/A</v>
      </c>
      <c r="R421" s="10" t="e">
        <f>VLOOKUP(AJ413,'FRC Site Data'!$B$3:$L$42,2,FALSE)</f>
        <v>#N/A</v>
      </c>
      <c r="S421" s="10" t="e">
        <f>VLOOKUP(AJ413,'FRC Site Data'!$B$3:$L$42,3,FALSE)</f>
        <v>#N/A</v>
      </c>
      <c r="T421" s="10" t="e">
        <f>VLOOKUP(AJ413,'FRC Site Data'!$B$3:$L$42,4,FALSE)</f>
        <v>#N/A</v>
      </c>
      <c r="U421" s="10" t="e">
        <f>VLOOKUP(AJ413,'FRC Site Data'!$B$3:$L$42,5,FALSE)</f>
        <v>#N/A</v>
      </c>
      <c r="V421" s="10" t="e">
        <f>VLOOKUP(AJ413,'FRC Site Data'!$B$3:$L$42,6,FALSE)</f>
        <v>#N/A</v>
      </c>
      <c r="W421" s="10" t="e">
        <f>VLOOKUP(AJ413,'FRC Site Data'!$B$3:$L$42,8,FALSE)</f>
        <v>#N/A</v>
      </c>
      <c r="X421" s="10" t="e">
        <f>VLOOKUP(AJ413,'FRC Site Data'!$B$3:$L$42,9,FALSE)</f>
        <v>#N/A</v>
      </c>
      <c r="Y421" s="10" t="e">
        <f>VLOOKUP(AJ413,'FRC Site Data'!$B$3:$L$42,10,FALSE)</f>
        <v>#N/A</v>
      </c>
      <c r="Z421" s="10" t="e">
        <f>VLOOKUP(AJ413,'FRC Site Data'!$B$3:$L$42,11,FALSE)</f>
        <v>#N/A</v>
      </c>
      <c r="AA421" s="10" t="e">
        <f>VLOOKUP(AJ413,'CIR Team Info'!$C$5:$E$44,4,FALSE)</f>
        <v>#N/A</v>
      </c>
      <c r="AB421" s="161" t="b">
        <f>ISNUMBER(VLOOKUP(AJ413,Match!$T$5:$T$10,1,FALSE))</f>
        <v>0</v>
      </c>
      <c r="AC421" s="161" t="b">
        <f>IF(AB421=TRUE,(VLOOKUP($AJ413,Match!$T$5:$U$10,2,FALSE)))</f>
        <v>0</v>
      </c>
      <c r="AD421" s="8">
        <v>3</v>
      </c>
      <c r="AE421" s="8">
        <v>2</v>
      </c>
      <c r="AF421" s="8">
        <v>2</v>
      </c>
      <c r="AG421" s="8">
        <v>1</v>
      </c>
      <c r="AH421" s="8" t="str">
        <f t="shared" si="112"/>
        <v/>
      </c>
      <c r="AI421" s="12"/>
      <c r="AZ421" s="12"/>
      <c r="BC421" s="12"/>
      <c r="BK421" s="12"/>
    </row>
    <row r="422" spans="1:63" x14ac:dyDescent="0.25">
      <c r="A422" s="29">
        <f t="shared" si="97"/>
        <v>0</v>
      </c>
      <c r="B422" s="29">
        <f t="shared" si="99"/>
        <v>0</v>
      </c>
      <c r="C422" s="29">
        <f t="shared" si="100"/>
        <v>0</v>
      </c>
      <c r="D422" s="29">
        <f t="shared" si="101"/>
        <v>0</v>
      </c>
      <c r="E422" s="29">
        <f t="shared" si="98"/>
        <v>0</v>
      </c>
      <c r="F422" s="29">
        <f t="shared" si="102"/>
        <v>0</v>
      </c>
      <c r="G422" s="29" t="str">
        <f t="shared" si="103"/>
        <v>offensive</v>
      </c>
      <c r="H422" s="16">
        <f t="shared" si="104"/>
        <v>0</v>
      </c>
      <c r="I422" s="16">
        <f t="shared" si="105"/>
        <v>0</v>
      </c>
      <c r="J422" s="16">
        <f t="shared" si="106"/>
        <v>0</v>
      </c>
      <c r="K422" s="16">
        <f t="shared" si="107"/>
        <v>0</v>
      </c>
      <c r="L422" s="67">
        <f t="shared" si="108"/>
        <v>0</v>
      </c>
      <c r="M422" s="4">
        <f t="shared" si="109"/>
        <v>0</v>
      </c>
      <c r="N422" s="4">
        <f t="shared" si="110"/>
        <v>0</v>
      </c>
      <c r="O422" s="4">
        <f t="shared" si="111"/>
        <v>0</v>
      </c>
      <c r="P422" s="4" t="e">
        <f>VLOOKUP(AJ414,'CIR Team Info'!$C$5:$E$44,2,FALSE)</f>
        <v>#N/A</v>
      </c>
      <c r="Q422" s="4" t="e">
        <f>VLOOKUP(AJ414,'CIR Team Info'!$C$5:$E$44,3,FALSE)</f>
        <v>#N/A</v>
      </c>
      <c r="R422" s="10" t="e">
        <f>VLOOKUP(AJ414,'FRC Site Data'!$B$3:$L$42,2,FALSE)</f>
        <v>#N/A</v>
      </c>
      <c r="S422" s="10" t="e">
        <f>VLOOKUP(AJ414,'FRC Site Data'!$B$3:$L$42,3,FALSE)</f>
        <v>#N/A</v>
      </c>
      <c r="T422" s="10" t="e">
        <f>VLOOKUP(AJ414,'FRC Site Data'!$B$3:$L$42,4,FALSE)</f>
        <v>#N/A</v>
      </c>
      <c r="U422" s="10" t="e">
        <f>VLOOKUP(AJ414,'FRC Site Data'!$B$3:$L$42,5,FALSE)</f>
        <v>#N/A</v>
      </c>
      <c r="V422" s="10" t="e">
        <f>VLOOKUP(AJ414,'FRC Site Data'!$B$3:$L$42,6,FALSE)</f>
        <v>#N/A</v>
      </c>
      <c r="W422" s="10" t="e">
        <f>VLOOKUP(AJ414,'FRC Site Data'!$B$3:$L$42,8,FALSE)</f>
        <v>#N/A</v>
      </c>
      <c r="X422" s="10" t="e">
        <f>VLOOKUP(AJ414,'FRC Site Data'!$B$3:$L$42,9,FALSE)</f>
        <v>#N/A</v>
      </c>
      <c r="Y422" s="10" t="e">
        <f>VLOOKUP(AJ414,'FRC Site Data'!$B$3:$L$42,10,FALSE)</f>
        <v>#N/A</v>
      </c>
      <c r="Z422" s="10" t="e">
        <f>VLOOKUP(AJ414,'FRC Site Data'!$B$3:$L$42,11,FALSE)</f>
        <v>#N/A</v>
      </c>
      <c r="AA422" s="10" t="e">
        <f>VLOOKUP(AJ414,'CIR Team Info'!$C$5:$E$44,4,FALSE)</f>
        <v>#N/A</v>
      </c>
      <c r="AB422" s="161" t="b">
        <f>ISNUMBER(VLOOKUP(AJ414,Match!$T$5:$T$10,1,FALSE))</f>
        <v>0</v>
      </c>
      <c r="AC422" s="161" t="b">
        <f>IF(AB422=TRUE,(VLOOKUP($AJ414,Match!$T$5:$U$10,2,FALSE)))</f>
        <v>0</v>
      </c>
      <c r="AD422" s="8">
        <v>3</v>
      </c>
      <c r="AE422" s="8">
        <v>2</v>
      </c>
      <c r="AF422" s="8">
        <v>2</v>
      </c>
      <c r="AG422" s="8">
        <v>1</v>
      </c>
      <c r="AH422" s="8" t="str">
        <f t="shared" si="112"/>
        <v/>
      </c>
      <c r="AI422" s="12"/>
      <c r="AZ422" s="12"/>
      <c r="BC422" s="12"/>
      <c r="BK422" s="12"/>
    </row>
    <row r="423" spans="1:63" x14ac:dyDescent="0.25">
      <c r="A423" s="29">
        <f t="shared" ref="A423:A486" si="113">SUM(B423:F423)</f>
        <v>0</v>
      </c>
      <c r="B423" s="29">
        <f t="shared" si="99"/>
        <v>0</v>
      </c>
      <c r="C423" s="29">
        <f t="shared" si="100"/>
        <v>0</v>
      </c>
      <c r="D423" s="29">
        <f t="shared" si="101"/>
        <v>0</v>
      </c>
      <c r="E423" s="29">
        <f t="shared" si="98"/>
        <v>0</v>
      </c>
      <c r="F423" s="29">
        <f t="shared" si="102"/>
        <v>0</v>
      </c>
      <c r="G423" s="29" t="str">
        <f t="shared" si="103"/>
        <v>offensive</v>
      </c>
      <c r="H423" s="16">
        <f t="shared" si="104"/>
        <v>0</v>
      </c>
      <c r="I423" s="16">
        <f t="shared" si="105"/>
        <v>0</v>
      </c>
      <c r="J423" s="16">
        <f t="shared" si="106"/>
        <v>0</v>
      </c>
      <c r="K423" s="16">
        <f t="shared" si="107"/>
        <v>0</v>
      </c>
      <c r="L423" s="67">
        <f t="shared" si="108"/>
        <v>0</v>
      </c>
      <c r="M423" s="4">
        <f t="shared" si="109"/>
        <v>0</v>
      </c>
      <c r="N423" s="4">
        <f t="shared" si="110"/>
        <v>0</v>
      </c>
      <c r="O423" s="4">
        <f t="shared" si="111"/>
        <v>0</v>
      </c>
      <c r="P423" s="4" t="e">
        <f>VLOOKUP(AJ415,'CIR Team Info'!$C$5:$E$44,2,FALSE)</f>
        <v>#N/A</v>
      </c>
      <c r="Q423" s="4" t="e">
        <f>VLOOKUP(AJ415,'CIR Team Info'!$C$5:$E$44,3,FALSE)</f>
        <v>#N/A</v>
      </c>
      <c r="R423" s="10" t="e">
        <f>VLOOKUP(AJ415,'FRC Site Data'!$B$3:$L$42,2,FALSE)</f>
        <v>#N/A</v>
      </c>
      <c r="S423" s="10" t="e">
        <f>VLOOKUP(AJ415,'FRC Site Data'!$B$3:$L$42,3,FALSE)</f>
        <v>#N/A</v>
      </c>
      <c r="T423" s="10" t="e">
        <f>VLOOKUP(AJ415,'FRC Site Data'!$B$3:$L$42,4,FALSE)</f>
        <v>#N/A</v>
      </c>
      <c r="U423" s="10" t="e">
        <f>VLOOKUP(AJ415,'FRC Site Data'!$B$3:$L$42,5,FALSE)</f>
        <v>#N/A</v>
      </c>
      <c r="V423" s="10" t="e">
        <f>VLOOKUP(AJ415,'FRC Site Data'!$B$3:$L$42,6,FALSE)</f>
        <v>#N/A</v>
      </c>
      <c r="W423" s="10" t="e">
        <f>VLOOKUP(AJ415,'FRC Site Data'!$B$3:$L$42,8,FALSE)</f>
        <v>#N/A</v>
      </c>
      <c r="X423" s="10" t="e">
        <f>VLOOKUP(AJ415,'FRC Site Data'!$B$3:$L$42,9,FALSE)</f>
        <v>#N/A</v>
      </c>
      <c r="Y423" s="10" t="e">
        <f>VLOOKUP(AJ415,'FRC Site Data'!$B$3:$L$42,10,FALSE)</f>
        <v>#N/A</v>
      </c>
      <c r="Z423" s="10" t="e">
        <f>VLOOKUP(AJ415,'FRC Site Data'!$B$3:$L$42,11,FALSE)</f>
        <v>#N/A</v>
      </c>
      <c r="AA423" s="10" t="e">
        <f>VLOOKUP(AJ415,'CIR Team Info'!$C$5:$E$44,4,FALSE)</f>
        <v>#N/A</v>
      </c>
      <c r="AB423" s="161" t="b">
        <f>ISNUMBER(VLOOKUP(AJ415,Match!$T$5:$T$10,1,FALSE))</f>
        <v>0</v>
      </c>
      <c r="AC423" s="161" t="b">
        <f>IF(AB423=TRUE,(VLOOKUP($AJ415,Match!$T$5:$U$10,2,FALSE)))</f>
        <v>0</v>
      </c>
      <c r="AD423" s="8">
        <v>3</v>
      </c>
      <c r="AE423" s="8">
        <v>2</v>
      </c>
      <c r="AF423" s="8">
        <v>2</v>
      </c>
      <c r="AG423" s="8">
        <v>1</v>
      </c>
      <c r="AH423" s="8" t="str">
        <f t="shared" si="112"/>
        <v/>
      </c>
      <c r="AI423" s="12"/>
      <c r="AZ423" s="12"/>
      <c r="BC423" s="12"/>
      <c r="BK423" s="12"/>
    </row>
    <row r="424" spans="1:63" x14ac:dyDescent="0.25">
      <c r="A424" s="29">
        <f t="shared" si="113"/>
        <v>0</v>
      </c>
      <c r="B424" s="29">
        <f t="shared" si="99"/>
        <v>0</v>
      </c>
      <c r="C424" s="29">
        <f t="shared" si="100"/>
        <v>0</v>
      </c>
      <c r="D424" s="29">
        <f t="shared" si="101"/>
        <v>0</v>
      </c>
      <c r="E424" s="29">
        <f t="shared" si="98"/>
        <v>0</v>
      </c>
      <c r="F424" s="29">
        <f t="shared" si="102"/>
        <v>0</v>
      </c>
      <c r="G424" s="29" t="str">
        <f t="shared" si="103"/>
        <v>offensive</v>
      </c>
      <c r="H424" s="16">
        <f t="shared" si="104"/>
        <v>0</v>
      </c>
      <c r="I424" s="16">
        <f t="shared" si="105"/>
        <v>0</v>
      </c>
      <c r="J424" s="16">
        <f t="shared" si="106"/>
        <v>0</v>
      </c>
      <c r="K424" s="16">
        <f t="shared" si="107"/>
        <v>0</v>
      </c>
      <c r="L424" s="67">
        <f t="shared" si="108"/>
        <v>0</v>
      </c>
      <c r="M424" s="4">
        <f t="shared" si="109"/>
        <v>0</v>
      </c>
      <c r="N424" s="4">
        <f t="shared" si="110"/>
        <v>0</v>
      </c>
      <c r="O424" s="4">
        <f t="shared" si="111"/>
        <v>0</v>
      </c>
      <c r="P424" s="4" t="e">
        <f>VLOOKUP(AJ416,'CIR Team Info'!$C$5:$E$44,2,FALSE)</f>
        <v>#N/A</v>
      </c>
      <c r="Q424" s="4" t="e">
        <f>VLOOKUP(AJ416,'CIR Team Info'!$C$5:$E$44,3,FALSE)</f>
        <v>#N/A</v>
      </c>
      <c r="R424" s="10" t="e">
        <f>VLOOKUP(AJ416,'FRC Site Data'!$B$3:$L$42,2,FALSE)</f>
        <v>#N/A</v>
      </c>
      <c r="S424" s="10" t="e">
        <f>VLOOKUP(AJ416,'FRC Site Data'!$B$3:$L$42,3,FALSE)</f>
        <v>#N/A</v>
      </c>
      <c r="T424" s="10" t="e">
        <f>VLOOKUP(AJ416,'FRC Site Data'!$B$3:$L$42,4,FALSE)</f>
        <v>#N/A</v>
      </c>
      <c r="U424" s="10" t="e">
        <f>VLOOKUP(AJ416,'FRC Site Data'!$B$3:$L$42,5,FALSE)</f>
        <v>#N/A</v>
      </c>
      <c r="V424" s="10" t="e">
        <f>VLOOKUP(AJ416,'FRC Site Data'!$B$3:$L$42,6,FALSE)</f>
        <v>#N/A</v>
      </c>
      <c r="W424" s="10" t="e">
        <f>VLOOKUP(AJ416,'FRC Site Data'!$B$3:$L$42,8,FALSE)</f>
        <v>#N/A</v>
      </c>
      <c r="X424" s="10" t="e">
        <f>VLOOKUP(AJ416,'FRC Site Data'!$B$3:$L$42,9,FALSE)</f>
        <v>#N/A</v>
      </c>
      <c r="Y424" s="10" t="e">
        <f>VLOOKUP(AJ416,'FRC Site Data'!$B$3:$L$42,10,FALSE)</f>
        <v>#N/A</v>
      </c>
      <c r="Z424" s="10" t="e">
        <f>VLOOKUP(AJ416,'FRC Site Data'!$B$3:$L$42,11,FALSE)</f>
        <v>#N/A</v>
      </c>
      <c r="AA424" s="10" t="e">
        <f>VLOOKUP(AJ416,'CIR Team Info'!$C$5:$E$44,4,FALSE)</f>
        <v>#N/A</v>
      </c>
      <c r="AB424" s="161" t="b">
        <f>ISNUMBER(VLOOKUP(AJ416,Match!$T$5:$T$10,1,FALSE))</f>
        <v>0</v>
      </c>
      <c r="AC424" s="161" t="b">
        <f>IF(AB424=TRUE,(VLOOKUP($AJ416,Match!$T$5:$U$10,2,FALSE)))</f>
        <v>0</v>
      </c>
      <c r="AD424" s="8">
        <v>3</v>
      </c>
      <c r="AE424" s="8">
        <v>2</v>
      </c>
      <c r="AF424" s="8">
        <v>2</v>
      </c>
      <c r="AG424" s="8">
        <v>1</v>
      </c>
      <c r="AH424" s="8" t="str">
        <f t="shared" si="112"/>
        <v/>
      </c>
      <c r="AI424" s="12"/>
      <c r="AZ424" s="12"/>
      <c r="BC424" s="12"/>
      <c r="BK424" s="12"/>
    </row>
    <row r="425" spans="1:63" x14ac:dyDescent="0.25">
      <c r="A425" s="29">
        <f t="shared" si="113"/>
        <v>0</v>
      </c>
      <c r="B425" s="29">
        <f t="shared" si="99"/>
        <v>0</v>
      </c>
      <c r="C425" s="29">
        <f t="shared" si="100"/>
        <v>0</v>
      </c>
      <c r="D425" s="29">
        <f t="shared" si="101"/>
        <v>0</v>
      </c>
      <c r="E425" s="29">
        <f t="shared" si="98"/>
        <v>0</v>
      </c>
      <c r="F425" s="29">
        <f t="shared" si="102"/>
        <v>0</v>
      </c>
      <c r="G425" s="29" t="str">
        <f t="shared" si="103"/>
        <v>offensive</v>
      </c>
      <c r="H425" s="16">
        <f t="shared" si="104"/>
        <v>0</v>
      </c>
      <c r="I425" s="16">
        <f t="shared" si="105"/>
        <v>0</v>
      </c>
      <c r="J425" s="16">
        <f t="shared" si="106"/>
        <v>0</v>
      </c>
      <c r="K425" s="16">
        <f t="shared" si="107"/>
        <v>0</v>
      </c>
      <c r="L425" s="67">
        <f t="shared" si="108"/>
        <v>0</v>
      </c>
      <c r="M425" s="4">
        <f t="shared" si="109"/>
        <v>0</v>
      </c>
      <c r="N425" s="4">
        <f t="shared" si="110"/>
        <v>0</v>
      </c>
      <c r="O425" s="4">
        <f t="shared" si="111"/>
        <v>0</v>
      </c>
      <c r="P425" s="4" t="e">
        <f>VLOOKUP(AJ417,'CIR Team Info'!$C$5:$E$44,2,FALSE)</f>
        <v>#N/A</v>
      </c>
      <c r="Q425" s="4" t="e">
        <f>VLOOKUP(AJ417,'CIR Team Info'!$C$5:$E$44,3,FALSE)</f>
        <v>#N/A</v>
      </c>
      <c r="R425" s="10" t="e">
        <f>VLOOKUP(AJ417,'FRC Site Data'!$B$3:$L$42,2,FALSE)</f>
        <v>#N/A</v>
      </c>
      <c r="S425" s="10" t="e">
        <f>VLOOKUP(AJ417,'FRC Site Data'!$B$3:$L$42,3,FALSE)</f>
        <v>#N/A</v>
      </c>
      <c r="T425" s="10" t="e">
        <f>VLOOKUP(AJ417,'FRC Site Data'!$B$3:$L$42,4,FALSE)</f>
        <v>#N/A</v>
      </c>
      <c r="U425" s="10" t="e">
        <f>VLOOKUP(AJ417,'FRC Site Data'!$B$3:$L$42,5,FALSE)</f>
        <v>#N/A</v>
      </c>
      <c r="V425" s="10" t="e">
        <f>VLOOKUP(AJ417,'FRC Site Data'!$B$3:$L$42,6,FALSE)</f>
        <v>#N/A</v>
      </c>
      <c r="W425" s="10" t="e">
        <f>VLOOKUP(AJ417,'FRC Site Data'!$B$3:$L$42,8,FALSE)</f>
        <v>#N/A</v>
      </c>
      <c r="X425" s="10" t="e">
        <f>VLOOKUP(AJ417,'FRC Site Data'!$B$3:$L$42,9,FALSE)</f>
        <v>#N/A</v>
      </c>
      <c r="Y425" s="10" t="e">
        <f>VLOOKUP(AJ417,'FRC Site Data'!$B$3:$L$42,10,FALSE)</f>
        <v>#N/A</v>
      </c>
      <c r="Z425" s="10" t="e">
        <f>VLOOKUP(AJ417,'FRC Site Data'!$B$3:$L$42,11,FALSE)</f>
        <v>#N/A</v>
      </c>
      <c r="AA425" s="10" t="e">
        <f>VLOOKUP(AJ417,'CIR Team Info'!$C$5:$E$44,4,FALSE)</f>
        <v>#N/A</v>
      </c>
      <c r="AB425" s="161" t="b">
        <f>ISNUMBER(VLOOKUP(AJ417,Match!$T$5:$T$10,1,FALSE))</f>
        <v>0</v>
      </c>
      <c r="AC425" s="161" t="b">
        <f>IF(AB425=TRUE,(VLOOKUP($AJ417,Match!$T$5:$U$10,2,FALSE)))</f>
        <v>0</v>
      </c>
      <c r="AD425" s="8">
        <v>3</v>
      </c>
      <c r="AE425" s="8">
        <v>2</v>
      </c>
      <c r="AF425" s="8">
        <v>2</v>
      </c>
      <c r="AG425" s="8">
        <v>1</v>
      </c>
      <c r="AH425" s="8" t="str">
        <f t="shared" si="112"/>
        <v/>
      </c>
      <c r="AI425" s="12"/>
      <c r="AZ425" s="12"/>
      <c r="BC425" s="12"/>
      <c r="BK425" s="12"/>
    </row>
    <row r="426" spans="1:63" x14ac:dyDescent="0.25">
      <c r="A426" s="29">
        <f t="shared" si="113"/>
        <v>0</v>
      </c>
      <c r="B426" s="29">
        <f t="shared" si="99"/>
        <v>0</v>
      </c>
      <c r="C426" s="29">
        <f t="shared" si="100"/>
        <v>0</v>
      </c>
      <c r="D426" s="29">
        <f t="shared" si="101"/>
        <v>0</v>
      </c>
      <c r="E426" s="29">
        <f t="shared" si="98"/>
        <v>0</v>
      </c>
      <c r="F426" s="29">
        <f t="shared" si="102"/>
        <v>0</v>
      </c>
      <c r="G426" s="29" t="str">
        <f t="shared" si="103"/>
        <v>offensive</v>
      </c>
      <c r="H426" s="16">
        <f t="shared" si="104"/>
        <v>0</v>
      </c>
      <c r="I426" s="16">
        <f t="shared" si="105"/>
        <v>0</v>
      </c>
      <c r="J426" s="16">
        <f t="shared" si="106"/>
        <v>0</v>
      </c>
      <c r="K426" s="16">
        <f t="shared" si="107"/>
        <v>0</v>
      </c>
      <c r="L426" s="67">
        <f t="shared" si="108"/>
        <v>0</v>
      </c>
      <c r="M426" s="4">
        <f t="shared" si="109"/>
        <v>0</v>
      </c>
      <c r="N426" s="4">
        <f t="shared" si="110"/>
        <v>0</v>
      </c>
      <c r="O426" s="4">
        <f t="shared" si="111"/>
        <v>0</v>
      </c>
      <c r="P426" s="4" t="e">
        <f>VLOOKUP(AJ418,'CIR Team Info'!$C$5:$E$44,2,FALSE)</f>
        <v>#N/A</v>
      </c>
      <c r="Q426" s="4" t="e">
        <f>VLOOKUP(AJ418,'CIR Team Info'!$C$5:$E$44,3,FALSE)</f>
        <v>#N/A</v>
      </c>
      <c r="R426" s="10" t="e">
        <f>VLOOKUP(AJ418,'FRC Site Data'!$B$3:$L$42,2,FALSE)</f>
        <v>#N/A</v>
      </c>
      <c r="S426" s="10" t="e">
        <f>VLOOKUP(AJ418,'FRC Site Data'!$B$3:$L$42,3,FALSE)</f>
        <v>#N/A</v>
      </c>
      <c r="T426" s="10" t="e">
        <f>VLOOKUP(AJ418,'FRC Site Data'!$B$3:$L$42,4,FALSE)</f>
        <v>#N/A</v>
      </c>
      <c r="U426" s="10" t="e">
        <f>VLOOKUP(AJ418,'FRC Site Data'!$B$3:$L$42,5,FALSE)</f>
        <v>#N/A</v>
      </c>
      <c r="V426" s="10" t="e">
        <f>VLOOKUP(AJ418,'FRC Site Data'!$B$3:$L$42,6,FALSE)</f>
        <v>#N/A</v>
      </c>
      <c r="W426" s="10" t="e">
        <f>VLOOKUP(AJ418,'FRC Site Data'!$B$3:$L$42,8,FALSE)</f>
        <v>#N/A</v>
      </c>
      <c r="X426" s="10" t="e">
        <f>VLOOKUP(AJ418,'FRC Site Data'!$B$3:$L$42,9,FALSE)</f>
        <v>#N/A</v>
      </c>
      <c r="Y426" s="10" t="e">
        <f>VLOOKUP(AJ418,'FRC Site Data'!$B$3:$L$42,10,FALSE)</f>
        <v>#N/A</v>
      </c>
      <c r="Z426" s="10" t="e">
        <f>VLOOKUP(AJ418,'FRC Site Data'!$B$3:$L$42,11,FALSE)</f>
        <v>#N/A</v>
      </c>
      <c r="AA426" s="10" t="e">
        <f>VLOOKUP(AJ418,'CIR Team Info'!$C$5:$E$44,4,FALSE)</f>
        <v>#N/A</v>
      </c>
      <c r="AB426" s="161" t="b">
        <f>ISNUMBER(VLOOKUP(AJ418,Match!$T$5:$T$10,1,FALSE))</f>
        <v>0</v>
      </c>
      <c r="AC426" s="161" t="b">
        <f>IF(AB426=TRUE,(VLOOKUP($AJ418,Match!$T$5:$U$10,2,FALSE)))</f>
        <v>0</v>
      </c>
      <c r="AD426" s="8">
        <v>3</v>
      </c>
      <c r="AE426" s="8">
        <v>2</v>
      </c>
      <c r="AF426" s="8">
        <v>2</v>
      </c>
      <c r="AG426" s="8">
        <v>1</v>
      </c>
      <c r="AH426" s="8" t="str">
        <f t="shared" si="112"/>
        <v/>
      </c>
      <c r="AI426" s="12"/>
      <c r="AZ426" s="12"/>
      <c r="BC426" s="12"/>
      <c r="BK426" s="12"/>
    </row>
    <row r="427" spans="1:63" x14ac:dyDescent="0.25">
      <c r="A427" s="29">
        <f t="shared" si="113"/>
        <v>0</v>
      </c>
      <c r="B427" s="29">
        <f t="shared" si="99"/>
        <v>0</v>
      </c>
      <c r="C427" s="29">
        <f t="shared" si="100"/>
        <v>0</v>
      </c>
      <c r="D427" s="29">
        <f t="shared" si="101"/>
        <v>0</v>
      </c>
      <c r="E427" s="29">
        <f t="shared" si="98"/>
        <v>0</v>
      </c>
      <c r="F427" s="29">
        <f t="shared" si="102"/>
        <v>0</v>
      </c>
      <c r="G427" s="29" t="str">
        <f t="shared" si="103"/>
        <v>offensive</v>
      </c>
      <c r="H427" s="16">
        <f t="shared" si="104"/>
        <v>0</v>
      </c>
      <c r="I427" s="16">
        <f t="shared" si="105"/>
        <v>0</v>
      </c>
      <c r="J427" s="16">
        <f t="shared" si="106"/>
        <v>0</v>
      </c>
      <c r="K427" s="16">
        <f t="shared" si="107"/>
        <v>0</v>
      </c>
      <c r="L427" s="67">
        <f t="shared" si="108"/>
        <v>0</v>
      </c>
      <c r="M427" s="4">
        <f t="shared" si="109"/>
        <v>0</v>
      </c>
      <c r="N427" s="4">
        <f t="shared" si="110"/>
        <v>0</v>
      </c>
      <c r="O427" s="4">
        <f t="shared" si="111"/>
        <v>0</v>
      </c>
      <c r="P427" s="4" t="e">
        <f>VLOOKUP(AJ419,'CIR Team Info'!$C$5:$E$44,2,FALSE)</f>
        <v>#N/A</v>
      </c>
      <c r="Q427" s="4" t="e">
        <f>VLOOKUP(AJ419,'CIR Team Info'!$C$5:$E$44,3,FALSE)</f>
        <v>#N/A</v>
      </c>
      <c r="R427" s="10" t="e">
        <f>VLOOKUP(AJ419,'FRC Site Data'!$B$3:$L$42,2,FALSE)</f>
        <v>#N/A</v>
      </c>
      <c r="S427" s="10" t="e">
        <f>VLOOKUP(AJ419,'FRC Site Data'!$B$3:$L$42,3,FALSE)</f>
        <v>#N/A</v>
      </c>
      <c r="T427" s="10" t="e">
        <f>VLOOKUP(AJ419,'FRC Site Data'!$B$3:$L$42,4,FALSE)</f>
        <v>#N/A</v>
      </c>
      <c r="U427" s="10" t="e">
        <f>VLOOKUP(AJ419,'FRC Site Data'!$B$3:$L$42,5,FALSE)</f>
        <v>#N/A</v>
      </c>
      <c r="V427" s="10" t="e">
        <f>VLOOKUP(AJ419,'FRC Site Data'!$B$3:$L$42,6,FALSE)</f>
        <v>#N/A</v>
      </c>
      <c r="W427" s="10" t="e">
        <f>VLOOKUP(AJ419,'FRC Site Data'!$B$3:$L$42,8,FALSE)</f>
        <v>#N/A</v>
      </c>
      <c r="X427" s="10" t="e">
        <f>VLOOKUP(AJ419,'FRC Site Data'!$B$3:$L$42,9,FALSE)</f>
        <v>#N/A</v>
      </c>
      <c r="Y427" s="10" t="e">
        <f>VLOOKUP(AJ419,'FRC Site Data'!$B$3:$L$42,10,FALSE)</f>
        <v>#N/A</v>
      </c>
      <c r="Z427" s="10" t="e">
        <f>VLOOKUP(AJ419,'FRC Site Data'!$B$3:$L$42,11,FALSE)</f>
        <v>#N/A</v>
      </c>
      <c r="AA427" s="10" t="e">
        <f>VLOOKUP(AJ419,'CIR Team Info'!$C$5:$E$44,4,FALSE)</f>
        <v>#N/A</v>
      </c>
      <c r="AB427" s="161" t="b">
        <f>ISNUMBER(VLOOKUP(AJ419,Match!$T$5:$T$10,1,FALSE))</f>
        <v>0</v>
      </c>
      <c r="AC427" s="161" t="b">
        <f>IF(AB427=TRUE,(VLOOKUP($AJ419,Match!$T$5:$U$10,2,FALSE)))</f>
        <v>0</v>
      </c>
      <c r="AD427" s="8">
        <v>3</v>
      </c>
      <c r="AE427" s="8">
        <v>2</v>
      </c>
      <c r="AF427" s="8">
        <v>2</v>
      </c>
      <c r="AG427" s="8">
        <v>1</v>
      </c>
      <c r="AH427" s="8" t="str">
        <f t="shared" si="112"/>
        <v/>
      </c>
      <c r="AI427" s="12"/>
      <c r="AZ427" s="12"/>
      <c r="BC427" s="12"/>
      <c r="BK427" s="12"/>
    </row>
    <row r="428" spans="1:63" x14ac:dyDescent="0.25">
      <c r="A428" s="29">
        <f t="shared" si="113"/>
        <v>0</v>
      </c>
      <c r="B428" s="29">
        <f t="shared" si="99"/>
        <v>0</v>
      </c>
      <c r="C428" s="29">
        <f t="shared" si="100"/>
        <v>0</v>
      </c>
      <c r="D428" s="29">
        <f t="shared" si="101"/>
        <v>0</v>
      </c>
      <c r="E428" s="29">
        <f t="shared" si="98"/>
        <v>0</v>
      </c>
      <c r="F428" s="29">
        <f t="shared" si="102"/>
        <v>0</v>
      </c>
      <c r="G428" s="29" t="str">
        <f t="shared" si="103"/>
        <v>offensive</v>
      </c>
      <c r="H428" s="16">
        <f t="shared" si="104"/>
        <v>0</v>
      </c>
      <c r="I428" s="16">
        <f t="shared" si="105"/>
        <v>0</v>
      </c>
      <c r="J428" s="16">
        <f t="shared" si="106"/>
        <v>0</v>
      </c>
      <c r="K428" s="16">
        <f t="shared" si="107"/>
        <v>0</v>
      </c>
      <c r="L428" s="67">
        <f t="shared" si="108"/>
        <v>0</v>
      </c>
      <c r="M428" s="4">
        <f t="shared" si="109"/>
        <v>0</v>
      </c>
      <c r="N428" s="4">
        <f t="shared" si="110"/>
        <v>0</v>
      </c>
      <c r="O428" s="4">
        <f t="shared" si="111"/>
        <v>0</v>
      </c>
      <c r="P428" s="4" t="e">
        <f>VLOOKUP(AJ420,'CIR Team Info'!$C$5:$E$44,2,FALSE)</f>
        <v>#N/A</v>
      </c>
      <c r="Q428" s="4" t="e">
        <f>VLOOKUP(AJ420,'CIR Team Info'!$C$5:$E$44,3,FALSE)</f>
        <v>#N/A</v>
      </c>
      <c r="R428" s="10" t="e">
        <f>VLOOKUP(AJ420,'FRC Site Data'!$B$3:$L$42,2,FALSE)</f>
        <v>#N/A</v>
      </c>
      <c r="S428" s="10" t="e">
        <f>VLOOKUP(AJ420,'FRC Site Data'!$B$3:$L$42,3,FALSE)</f>
        <v>#N/A</v>
      </c>
      <c r="T428" s="10" t="e">
        <f>VLOOKUP(AJ420,'FRC Site Data'!$B$3:$L$42,4,FALSE)</f>
        <v>#N/A</v>
      </c>
      <c r="U428" s="10" t="e">
        <f>VLOOKUP(AJ420,'FRC Site Data'!$B$3:$L$42,5,FALSE)</f>
        <v>#N/A</v>
      </c>
      <c r="V428" s="10" t="e">
        <f>VLOOKUP(AJ420,'FRC Site Data'!$B$3:$L$42,6,FALSE)</f>
        <v>#N/A</v>
      </c>
      <c r="W428" s="10" t="e">
        <f>VLOOKUP(AJ420,'FRC Site Data'!$B$3:$L$42,8,FALSE)</f>
        <v>#N/A</v>
      </c>
      <c r="X428" s="10" t="e">
        <f>VLOOKUP(AJ420,'FRC Site Data'!$B$3:$L$42,9,FALSE)</f>
        <v>#N/A</v>
      </c>
      <c r="Y428" s="10" t="e">
        <f>VLOOKUP(AJ420,'FRC Site Data'!$B$3:$L$42,10,FALSE)</f>
        <v>#N/A</v>
      </c>
      <c r="Z428" s="10" t="e">
        <f>VLOOKUP(AJ420,'FRC Site Data'!$B$3:$L$42,11,FALSE)</f>
        <v>#N/A</v>
      </c>
      <c r="AA428" s="10" t="e">
        <f>VLOOKUP(AJ420,'CIR Team Info'!$C$5:$E$44,4,FALSE)</f>
        <v>#N/A</v>
      </c>
      <c r="AB428" s="161" t="b">
        <f>ISNUMBER(VLOOKUP(AJ420,Match!$T$5:$T$10,1,FALSE))</f>
        <v>0</v>
      </c>
      <c r="AC428" s="161" t="b">
        <f>IF(AB428=TRUE,(VLOOKUP($AJ420,Match!$T$5:$U$10,2,FALSE)))</f>
        <v>0</v>
      </c>
      <c r="AD428" s="8">
        <v>3</v>
      </c>
      <c r="AE428" s="8">
        <v>2</v>
      </c>
      <c r="AF428" s="8">
        <v>2</v>
      </c>
      <c r="AG428" s="8">
        <v>1</v>
      </c>
      <c r="AH428" s="8" t="str">
        <f t="shared" si="112"/>
        <v/>
      </c>
      <c r="AI428" s="12"/>
      <c r="AZ428" s="12"/>
      <c r="BC428" s="12"/>
      <c r="BK428" s="12"/>
    </row>
    <row r="429" spans="1:63" x14ac:dyDescent="0.25">
      <c r="A429" s="29">
        <f t="shared" si="113"/>
        <v>0</v>
      </c>
      <c r="B429" s="29">
        <f t="shared" si="99"/>
        <v>0</v>
      </c>
      <c r="C429" s="29">
        <f t="shared" si="100"/>
        <v>0</v>
      </c>
      <c r="D429" s="29">
        <f t="shared" si="101"/>
        <v>0</v>
      </c>
      <c r="E429" s="29">
        <f t="shared" si="98"/>
        <v>0</v>
      </c>
      <c r="F429" s="29">
        <f t="shared" si="102"/>
        <v>0</v>
      </c>
      <c r="G429" s="29" t="str">
        <f t="shared" si="103"/>
        <v>offensive</v>
      </c>
      <c r="H429" s="16">
        <f t="shared" si="104"/>
        <v>0</v>
      </c>
      <c r="I429" s="16">
        <f t="shared" si="105"/>
        <v>0</v>
      </c>
      <c r="J429" s="16">
        <f t="shared" si="106"/>
        <v>0</v>
      </c>
      <c r="K429" s="16">
        <f t="shared" si="107"/>
        <v>0</v>
      </c>
      <c r="L429" s="67">
        <f t="shared" si="108"/>
        <v>0</v>
      </c>
      <c r="M429" s="4">
        <f t="shared" si="109"/>
        <v>0</v>
      </c>
      <c r="N429" s="4">
        <f t="shared" si="110"/>
        <v>0</v>
      </c>
      <c r="O429" s="4">
        <f t="shared" si="111"/>
        <v>0</v>
      </c>
      <c r="P429" s="4" t="e">
        <f>VLOOKUP(AJ421,'CIR Team Info'!$C$5:$E$44,2,FALSE)</f>
        <v>#N/A</v>
      </c>
      <c r="Q429" s="4" t="e">
        <f>VLOOKUP(AJ421,'CIR Team Info'!$C$5:$E$44,3,FALSE)</f>
        <v>#N/A</v>
      </c>
      <c r="R429" s="10" t="e">
        <f>VLOOKUP(AJ421,'FRC Site Data'!$B$3:$L$42,2,FALSE)</f>
        <v>#N/A</v>
      </c>
      <c r="S429" s="10" t="e">
        <f>VLOOKUP(AJ421,'FRC Site Data'!$B$3:$L$42,3,FALSE)</f>
        <v>#N/A</v>
      </c>
      <c r="T429" s="10" t="e">
        <f>VLOOKUP(AJ421,'FRC Site Data'!$B$3:$L$42,4,FALSE)</f>
        <v>#N/A</v>
      </c>
      <c r="U429" s="10" t="e">
        <f>VLOOKUP(AJ421,'FRC Site Data'!$B$3:$L$42,5,FALSE)</f>
        <v>#N/A</v>
      </c>
      <c r="V429" s="10" t="e">
        <f>VLOOKUP(AJ421,'FRC Site Data'!$B$3:$L$42,6,FALSE)</f>
        <v>#N/A</v>
      </c>
      <c r="W429" s="10" t="e">
        <f>VLOOKUP(AJ421,'FRC Site Data'!$B$3:$L$42,8,FALSE)</f>
        <v>#N/A</v>
      </c>
      <c r="X429" s="10" t="e">
        <f>VLOOKUP(AJ421,'FRC Site Data'!$B$3:$L$42,9,FALSE)</f>
        <v>#N/A</v>
      </c>
      <c r="Y429" s="10" t="e">
        <f>VLOOKUP(AJ421,'FRC Site Data'!$B$3:$L$42,10,FALSE)</f>
        <v>#N/A</v>
      </c>
      <c r="Z429" s="10" t="e">
        <f>VLOOKUP(AJ421,'FRC Site Data'!$B$3:$L$42,11,FALSE)</f>
        <v>#N/A</v>
      </c>
      <c r="AA429" s="10" t="e">
        <f>VLOOKUP(AJ421,'CIR Team Info'!$C$5:$E$44,4,FALSE)</f>
        <v>#N/A</v>
      </c>
      <c r="AB429" s="161" t="b">
        <f>ISNUMBER(VLOOKUP(AJ421,Match!$T$5:$T$10,1,FALSE))</f>
        <v>0</v>
      </c>
      <c r="AC429" s="161" t="b">
        <f>IF(AB429=TRUE,(VLOOKUP($AJ421,Match!$T$5:$U$10,2,FALSE)))</f>
        <v>0</v>
      </c>
      <c r="AD429" s="8">
        <v>3</v>
      </c>
      <c r="AE429" s="8">
        <v>2</v>
      </c>
      <c r="AF429" s="8">
        <v>2</v>
      </c>
      <c r="AG429" s="8">
        <v>1</v>
      </c>
      <c r="AH429" s="8" t="str">
        <f t="shared" si="112"/>
        <v/>
      </c>
      <c r="AI429" s="12"/>
      <c r="AZ429" s="12"/>
      <c r="BC429" s="12"/>
      <c r="BK429" s="12"/>
    </row>
    <row r="430" spans="1:63" x14ac:dyDescent="0.25">
      <c r="A430" s="29">
        <f t="shared" si="113"/>
        <v>0</v>
      </c>
      <c r="B430" s="29">
        <f t="shared" si="99"/>
        <v>0</v>
      </c>
      <c r="C430" s="29">
        <f t="shared" si="100"/>
        <v>0</v>
      </c>
      <c r="D430" s="29">
        <f t="shared" si="101"/>
        <v>0</v>
      </c>
      <c r="E430" s="29">
        <f t="shared" si="98"/>
        <v>0</v>
      </c>
      <c r="F430" s="29">
        <f t="shared" si="102"/>
        <v>0</v>
      </c>
      <c r="G430" s="29" t="str">
        <f t="shared" si="103"/>
        <v>offensive</v>
      </c>
      <c r="H430" s="16">
        <f t="shared" si="104"/>
        <v>0</v>
      </c>
      <c r="I430" s="16">
        <f t="shared" si="105"/>
        <v>0</v>
      </c>
      <c r="J430" s="16">
        <f t="shared" si="106"/>
        <v>0</v>
      </c>
      <c r="K430" s="16">
        <f t="shared" si="107"/>
        <v>0</v>
      </c>
      <c r="L430" s="67">
        <f t="shared" si="108"/>
        <v>0</v>
      </c>
      <c r="M430" s="4">
        <f t="shared" si="109"/>
        <v>0</v>
      </c>
      <c r="N430" s="4">
        <f t="shared" si="110"/>
        <v>0</v>
      </c>
      <c r="O430" s="4">
        <f t="shared" si="111"/>
        <v>0</v>
      </c>
      <c r="P430" s="4" t="e">
        <f>VLOOKUP(AJ422,'CIR Team Info'!$C$5:$E$44,2,FALSE)</f>
        <v>#N/A</v>
      </c>
      <c r="Q430" s="4" t="e">
        <f>VLOOKUP(AJ422,'CIR Team Info'!$C$5:$E$44,3,FALSE)</f>
        <v>#N/A</v>
      </c>
      <c r="R430" s="10" t="e">
        <f>VLOOKUP(AJ422,'FRC Site Data'!$B$3:$L$42,2,FALSE)</f>
        <v>#N/A</v>
      </c>
      <c r="S430" s="10" t="e">
        <f>VLOOKUP(AJ422,'FRC Site Data'!$B$3:$L$42,3,FALSE)</f>
        <v>#N/A</v>
      </c>
      <c r="T430" s="10" t="e">
        <f>VLOOKUP(AJ422,'FRC Site Data'!$B$3:$L$42,4,FALSE)</f>
        <v>#N/A</v>
      </c>
      <c r="U430" s="10" t="e">
        <f>VLOOKUP(AJ422,'FRC Site Data'!$B$3:$L$42,5,FALSE)</f>
        <v>#N/A</v>
      </c>
      <c r="V430" s="10" t="e">
        <f>VLOOKUP(AJ422,'FRC Site Data'!$B$3:$L$42,6,FALSE)</f>
        <v>#N/A</v>
      </c>
      <c r="W430" s="10" t="e">
        <f>VLOOKUP(AJ422,'FRC Site Data'!$B$3:$L$42,8,FALSE)</f>
        <v>#N/A</v>
      </c>
      <c r="X430" s="10" t="e">
        <f>VLOOKUP(AJ422,'FRC Site Data'!$B$3:$L$42,9,FALSE)</f>
        <v>#N/A</v>
      </c>
      <c r="Y430" s="10" t="e">
        <f>VLOOKUP(AJ422,'FRC Site Data'!$B$3:$L$42,10,FALSE)</f>
        <v>#N/A</v>
      </c>
      <c r="Z430" s="10" t="e">
        <f>VLOOKUP(AJ422,'FRC Site Data'!$B$3:$L$42,11,FALSE)</f>
        <v>#N/A</v>
      </c>
      <c r="AA430" s="10" t="e">
        <f>VLOOKUP(AJ422,'CIR Team Info'!$C$5:$E$44,4,FALSE)</f>
        <v>#N/A</v>
      </c>
      <c r="AB430" s="161" t="b">
        <f>ISNUMBER(VLOOKUP(AJ422,Match!$T$5:$T$10,1,FALSE))</f>
        <v>0</v>
      </c>
      <c r="AC430" s="161" t="b">
        <f>IF(AB430=TRUE,(VLOOKUP($AJ422,Match!$T$5:$U$10,2,FALSE)))</f>
        <v>0</v>
      </c>
      <c r="AD430" s="8">
        <v>3</v>
      </c>
      <c r="AE430" s="8">
        <v>2</v>
      </c>
      <c r="AF430" s="8">
        <v>2</v>
      </c>
      <c r="AG430" s="8">
        <v>1</v>
      </c>
      <c r="AH430" s="8" t="str">
        <f t="shared" si="112"/>
        <v/>
      </c>
      <c r="AI430" s="12"/>
      <c r="AZ430" s="12"/>
      <c r="BC430" s="12"/>
      <c r="BK430" s="12"/>
    </row>
    <row r="431" spans="1:63" x14ac:dyDescent="0.25">
      <c r="A431" s="29">
        <f t="shared" si="113"/>
        <v>0</v>
      </c>
      <c r="B431" s="29">
        <f t="shared" si="99"/>
        <v>0</v>
      </c>
      <c r="C431" s="29">
        <f t="shared" si="100"/>
        <v>0</v>
      </c>
      <c r="D431" s="29">
        <f t="shared" si="101"/>
        <v>0</v>
      </c>
      <c r="E431" s="29">
        <f t="shared" si="98"/>
        <v>0</v>
      </c>
      <c r="F431" s="29">
        <f t="shared" si="102"/>
        <v>0</v>
      </c>
      <c r="G431" s="29" t="str">
        <f t="shared" si="103"/>
        <v>offensive</v>
      </c>
      <c r="H431" s="16">
        <f t="shared" si="104"/>
        <v>0</v>
      </c>
      <c r="I431" s="16">
        <f t="shared" si="105"/>
        <v>0</v>
      </c>
      <c r="J431" s="16">
        <f t="shared" si="106"/>
        <v>0</v>
      </c>
      <c r="K431" s="16">
        <f t="shared" si="107"/>
        <v>0</v>
      </c>
      <c r="L431" s="67">
        <f t="shared" si="108"/>
        <v>0</v>
      </c>
      <c r="M431" s="4">
        <f t="shared" si="109"/>
        <v>0</v>
      </c>
      <c r="N431" s="4">
        <f t="shared" si="110"/>
        <v>0</v>
      </c>
      <c r="O431" s="4">
        <f t="shared" si="111"/>
        <v>0</v>
      </c>
      <c r="P431" s="4" t="e">
        <f>VLOOKUP(AJ423,'CIR Team Info'!$C$5:$E$44,2,FALSE)</f>
        <v>#N/A</v>
      </c>
      <c r="Q431" s="4" t="e">
        <f>VLOOKUP(AJ423,'CIR Team Info'!$C$5:$E$44,3,FALSE)</f>
        <v>#N/A</v>
      </c>
      <c r="R431" s="10" t="e">
        <f>VLOOKUP(AJ423,'FRC Site Data'!$B$3:$L$42,2,FALSE)</f>
        <v>#N/A</v>
      </c>
      <c r="S431" s="10" t="e">
        <f>VLOOKUP(AJ423,'FRC Site Data'!$B$3:$L$42,3,FALSE)</f>
        <v>#N/A</v>
      </c>
      <c r="T431" s="10" t="e">
        <f>VLOOKUP(AJ423,'FRC Site Data'!$B$3:$L$42,4,FALSE)</f>
        <v>#N/A</v>
      </c>
      <c r="U431" s="10" t="e">
        <f>VLOOKUP(AJ423,'FRC Site Data'!$B$3:$L$42,5,FALSE)</f>
        <v>#N/A</v>
      </c>
      <c r="V431" s="10" t="e">
        <f>VLOOKUP(AJ423,'FRC Site Data'!$B$3:$L$42,6,FALSE)</f>
        <v>#N/A</v>
      </c>
      <c r="W431" s="10" t="e">
        <f>VLOOKUP(AJ423,'FRC Site Data'!$B$3:$L$42,8,FALSE)</f>
        <v>#N/A</v>
      </c>
      <c r="X431" s="10" t="e">
        <f>VLOOKUP(AJ423,'FRC Site Data'!$B$3:$L$42,9,FALSE)</f>
        <v>#N/A</v>
      </c>
      <c r="Y431" s="10" t="e">
        <f>VLOOKUP(AJ423,'FRC Site Data'!$B$3:$L$42,10,FALSE)</f>
        <v>#N/A</v>
      </c>
      <c r="Z431" s="10" t="e">
        <f>VLOOKUP(AJ423,'FRC Site Data'!$B$3:$L$42,11,FALSE)</f>
        <v>#N/A</v>
      </c>
      <c r="AA431" s="10" t="e">
        <f>VLOOKUP(AJ423,'CIR Team Info'!$C$5:$E$44,4,FALSE)</f>
        <v>#N/A</v>
      </c>
      <c r="AB431" s="161" t="b">
        <f>ISNUMBER(VLOOKUP(AJ423,Match!$T$5:$T$10,1,FALSE))</f>
        <v>0</v>
      </c>
      <c r="AC431" s="161" t="b">
        <f>IF(AB431=TRUE,(VLOOKUP($AJ423,Match!$T$5:$U$10,2,FALSE)))</f>
        <v>0</v>
      </c>
      <c r="AD431" s="8">
        <v>3</v>
      </c>
      <c r="AE431" s="8">
        <v>2</v>
      </c>
      <c r="AF431" s="8">
        <v>2</v>
      </c>
      <c r="AG431" s="8">
        <v>1</v>
      </c>
      <c r="AH431" s="8" t="str">
        <f t="shared" si="112"/>
        <v/>
      </c>
      <c r="AI431" s="12"/>
      <c r="AZ431" s="12"/>
      <c r="BC431" s="12"/>
      <c r="BK431" s="12"/>
    </row>
    <row r="432" spans="1:63" x14ac:dyDescent="0.25">
      <c r="A432" s="29">
        <f t="shared" si="113"/>
        <v>0</v>
      </c>
      <c r="B432" s="29">
        <f t="shared" si="99"/>
        <v>0</v>
      </c>
      <c r="C432" s="29">
        <f t="shared" si="100"/>
        <v>0</v>
      </c>
      <c r="D432" s="29">
        <f t="shared" si="101"/>
        <v>0</v>
      </c>
      <c r="E432" s="29">
        <f t="shared" si="98"/>
        <v>0</v>
      </c>
      <c r="F432" s="29">
        <f t="shared" si="102"/>
        <v>0</v>
      </c>
      <c r="G432" s="29" t="str">
        <f t="shared" si="103"/>
        <v>offensive</v>
      </c>
      <c r="H432" s="16">
        <f t="shared" si="104"/>
        <v>0</v>
      </c>
      <c r="I432" s="16">
        <f t="shared" si="105"/>
        <v>0</v>
      </c>
      <c r="J432" s="16">
        <f t="shared" si="106"/>
        <v>0</v>
      </c>
      <c r="K432" s="16">
        <f t="shared" si="107"/>
        <v>0</v>
      </c>
      <c r="L432" s="67">
        <f t="shared" si="108"/>
        <v>0</v>
      </c>
      <c r="M432" s="4">
        <f t="shared" si="109"/>
        <v>0</v>
      </c>
      <c r="N432" s="4">
        <f t="shared" si="110"/>
        <v>0</v>
      </c>
      <c r="O432" s="4">
        <f t="shared" si="111"/>
        <v>0</v>
      </c>
      <c r="P432" s="4" t="e">
        <f>VLOOKUP(AJ424,'CIR Team Info'!$C$5:$E$44,2,FALSE)</f>
        <v>#N/A</v>
      </c>
      <c r="Q432" s="4" t="e">
        <f>VLOOKUP(AJ424,'CIR Team Info'!$C$5:$E$44,3,FALSE)</f>
        <v>#N/A</v>
      </c>
      <c r="R432" s="10" t="e">
        <f>VLOOKUP(AJ424,'FRC Site Data'!$B$3:$L$42,2,FALSE)</f>
        <v>#N/A</v>
      </c>
      <c r="S432" s="10" t="e">
        <f>VLOOKUP(AJ424,'FRC Site Data'!$B$3:$L$42,3,FALSE)</f>
        <v>#N/A</v>
      </c>
      <c r="T432" s="10" t="e">
        <f>VLOOKUP(AJ424,'FRC Site Data'!$B$3:$L$42,4,FALSE)</f>
        <v>#N/A</v>
      </c>
      <c r="U432" s="10" t="e">
        <f>VLOOKUP(AJ424,'FRC Site Data'!$B$3:$L$42,5,FALSE)</f>
        <v>#N/A</v>
      </c>
      <c r="V432" s="10" t="e">
        <f>VLOOKUP(AJ424,'FRC Site Data'!$B$3:$L$42,6,FALSE)</f>
        <v>#N/A</v>
      </c>
      <c r="W432" s="10" t="e">
        <f>VLOOKUP(AJ424,'FRC Site Data'!$B$3:$L$42,8,FALSE)</f>
        <v>#N/A</v>
      </c>
      <c r="X432" s="10" t="e">
        <f>VLOOKUP(AJ424,'FRC Site Data'!$B$3:$L$42,9,FALSE)</f>
        <v>#N/A</v>
      </c>
      <c r="Y432" s="10" t="e">
        <f>VLOOKUP(AJ424,'FRC Site Data'!$B$3:$L$42,10,FALSE)</f>
        <v>#N/A</v>
      </c>
      <c r="Z432" s="10" t="e">
        <f>VLOOKUP(AJ424,'FRC Site Data'!$B$3:$L$42,11,FALSE)</f>
        <v>#N/A</v>
      </c>
      <c r="AA432" s="10" t="e">
        <f>VLOOKUP(AJ424,'CIR Team Info'!$C$5:$E$44,4,FALSE)</f>
        <v>#N/A</v>
      </c>
      <c r="AB432" s="161" t="b">
        <f>ISNUMBER(VLOOKUP(AJ424,Match!$T$5:$T$10,1,FALSE))</f>
        <v>0</v>
      </c>
      <c r="AC432" s="161" t="b">
        <f>IF(AB432=TRUE,(VLOOKUP($AJ424,Match!$T$5:$U$10,2,FALSE)))</f>
        <v>0</v>
      </c>
      <c r="AD432" s="8">
        <v>3</v>
      </c>
      <c r="AE432" s="8">
        <v>2</v>
      </c>
      <c r="AF432" s="8">
        <v>2</v>
      </c>
      <c r="AG432" s="8">
        <v>1</v>
      </c>
      <c r="AH432" s="8" t="str">
        <f t="shared" si="112"/>
        <v/>
      </c>
      <c r="AI432" s="12"/>
      <c r="AZ432" s="12"/>
      <c r="BC432" s="12"/>
      <c r="BK432" s="12"/>
    </row>
    <row r="433" spans="1:63" x14ac:dyDescent="0.25">
      <c r="A433" s="29">
        <f t="shared" si="113"/>
        <v>0</v>
      </c>
      <c r="B433" s="29">
        <f t="shared" si="99"/>
        <v>0</v>
      </c>
      <c r="C433" s="29">
        <f t="shared" si="100"/>
        <v>0</v>
      </c>
      <c r="D433" s="29">
        <f t="shared" si="101"/>
        <v>0</v>
      </c>
      <c r="E433" s="29">
        <f t="shared" si="98"/>
        <v>0</v>
      </c>
      <c r="F433" s="29">
        <f t="shared" si="102"/>
        <v>0</v>
      </c>
      <c r="G433" s="29" t="str">
        <f t="shared" si="103"/>
        <v>offensive</v>
      </c>
      <c r="H433" s="16">
        <f t="shared" si="104"/>
        <v>0</v>
      </c>
      <c r="I433" s="16">
        <f t="shared" si="105"/>
        <v>0</v>
      </c>
      <c r="J433" s="16">
        <f t="shared" si="106"/>
        <v>0</v>
      </c>
      <c r="K433" s="16">
        <f t="shared" si="107"/>
        <v>0</v>
      </c>
      <c r="L433" s="67">
        <f t="shared" si="108"/>
        <v>0</v>
      </c>
      <c r="M433" s="4">
        <f t="shared" si="109"/>
        <v>0</v>
      </c>
      <c r="N433" s="4">
        <f t="shared" si="110"/>
        <v>0</v>
      </c>
      <c r="O433" s="4">
        <f t="shared" si="111"/>
        <v>0</v>
      </c>
      <c r="P433" s="4" t="e">
        <f>VLOOKUP(AJ425,'CIR Team Info'!$C$5:$E$44,2,FALSE)</f>
        <v>#N/A</v>
      </c>
      <c r="Q433" s="4" t="e">
        <f>VLOOKUP(AJ425,'CIR Team Info'!$C$5:$E$44,3,FALSE)</f>
        <v>#N/A</v>
      </c>
      <c r="R433" s="10" t="e">
        <f>VLOOKUP(AJ425,'FRC Site Data'!$B$3:$L$42,2,FALSE)</f>
        <v>#N/A</v>
      </c>
      <c r="S433" s="10" t="e">
        <f>VLOOKUP(AJ425,'FRC Site Data'!$B$3:$L$42,3,FALSE)</f>
        <v>#N/A</v>
      </c>
      <c r="T433" s="10" t="e">
        <f>VLOOKUP(AJ425,'FRC Site Data'!$B$3:$L$42,4,FALSE)</f>
        <v>#N/A</v>
      </c>
      <c r="U433" s="10" t="e">
        <f>VLOOKUP(AJ425,'FRC Site Data'!$B$3:$L$42,5,FALSE)</f>
        <v>#N/A</v>
      </c>
      <c r="V433" s="10" t="e">
        <f>VLOOKUP(AJ425,'FRC Site Data'!$B$3:$L$42,6,FALSE)</f>
        <v>#N/A</v>
      </c>
      <c r="W433" s="10" t="e">
        <f>VLOOKUP(AJ425,'FRC Site Data'!$B$3:$L$42,8,FALSE)</f>
        <v>#N/A</v>
      </c>
      <c r="X433" s="10" t="e">
        <f>VLOOKUP(AJ425,'FRC Site Data'!$B$3:$L$42,9,FALSE)</f>
        <v>#N/A</v>
      </c>
      <c r="Y433" s="10" t="e">
        <f>VLOOKUP(AJ425,'FRC Site Data'!$B$3:$L$42,10,FALSE)</f>
        <v>#N/A</v>
      </c>
      <c r="Z433" s="10" t="e">
        <f>VLOOKUP(AJ425,'FRC Site Data'!$B$3:$L$42,11,FALSE)</f>
        <v>#N/A</v>
      </c>
      <c r="AA433" s="10" t="e">
        <f>VLOOKUP(AJ425,'CIR Team Info'!$C$5:$E$44,4,FALSE)</f>
        <v>#N/A</v>
      </c>
      <c r="AB433" s="161" t="b">
        <f>ISNUMBER(VLOOKUP(AJ425,Match!$T$5:$T$10,1,FALSE))</f>
        <v>0</v>
      </c>
      <c r="AC433" s="161" t="b">
        <f>IF(AB433=TRUE,(VLOOKUP($AJ425,Match!$T$5:$U$10,2,FALSE)))</f>
        <v>0</v>
      </c>
      <c r="AD433" s="8">
        <v>3</v>
      </c>
      <c r="AE433" s="8">
        <v>2</v>
      </c>
      <c r="AF433" s="8">
        <v>2</v>
      </c>
      <c r="AG433" s="8">
        <v>1</v>
      </c>
      <c r="AH433" s="8" t="str">
        <f t="shared" si="112"/>
        <v/>
      </c>
      <c r="AI433" s="12"/>
      <c r="AZ433" s="12"/>
      <c r="BC433" s="12"/>
      <c r="BK433" s="12"/>
    </row>
    <row r="434" spans="1:63" x14ac:dyDescent="0.25">
      <c r="A434" s="29">
        <f t="shared" si="113"/>
        <v>0</v>
      </c>
      <c r="B434" s="29">
        <f t="shared" si="99"/>
        <v>0</v>
      </c>
      <c r="C434" s="29">
        <f t="shared" si="100"/>
        <v>0</v>
      </c>
      <c r="D434" s="29">
        <f t="shared" si="101"/>
        <v>0</v>
      </c>
      <c r="E434" s="29">
        <f t="shared" si="98"/>
        <v>0</v>
      </c>
      <c r="F434" s="29">
        <f t="shared" si="102"/>
        <v>0</v>
      </c>
      <c r="G434" s="29" t="str">
        <f t="shared" si="103"/>
        <v>offensive</v>
      </c>
      <c r="H434" s="16">
        <f t="shared" si="104"/>
        <v>0</v>
      </c>
      <c r="I434" s="16">
        <f t="shared" si="105"/>
        <v>0</v>
      </c>
      <c r="J434" s="16">
        <f t="shared" si="106"/>
        <v>0</v>
      </c>
      <c r="K434" s="16">
        <f t="shared" si="107"/>
        <v>0</v>
      </c>
      <c r="L434" s="67">
        <f t="shared" si="108"/>
        <v>0</v>
      </c>
      <c r="M434" s="4">
        <f t="shared" si="109"/>
        <v>0</v>
      </c>
      <c r="N434" s="4">
        <f t="shared" si="110"/>
        <v>0</v>
      </c>
      <c r="O434" s="4">
        <f t="shared" si="111"/>
        <v>0</v>
      </c>
      <c r="P434" s="4" t="e">
        <f>VLOOKUP(AJ426,'CIR Team Info'!$C$5:$E$44,2,FALSE)</f>
        <v>#N/A</v>
      </c>
      <c r="Q434" s="4" t="e">
        <f>VLOOKUP(AJ426,'CIR Team Info'!$C$5:$E$44,3,FALSE)</f>
        <v>#N/A</v>
      </c>
      <c r="R434" s="10" t="e">
        <f>VLOOKUP(AJ426,'FRC Site Data'!$B$3:$L$42,2,FALSE)</f>
        <v>#N/A</v>
      </c>
      <c r="S434" s="10" t="e">
        <f>VLOOKUP(AJ426,'FRC Site Data'!$B$3:$L$42,3,FALSE)</f>
        <v>#N/A</v>
      </c>
      <c r="T434" s="10" t="e">
        <f>VLOOKUP(AJ426,'FRC Site Data'!$B$3:$L$42,4,FALSE)</f>
        <v>#N/A</v>
      </c>
      <c r="U434" s="10" t="e">
        <f>VLOOKUP(AJ426,'FRC Site Data'!$B$3:$L$42,5,FALSE)</f>
        <v>#N/A</v>
      </c>
      <c r="V434" s="10" t="e">
        <f>VLOOKUP(AJ426,'FRC Site Data'!$B$3:$L$42,6,FALSE)</f>
        <v>#N/A</v>
      </c>
      <c r="W434" s="10" t="e">
        <f>VLOOKUP(AJ426,'FRC Site Data'!$B$3:$L$42,8,FALSE)</f>
        <v>#N/A</v>
      </c>
      <c r="X434" s="10" t="e">
        <f>VLOOKUP(AJ426,'FRC Site Data'!$B$3:$L$42,9,FALSE)</f>
        <v>#N/A</v>
      </c>
      <c r="Y434" s="10" t="e">
        <f>VLOOKUP(AJ426,'FRC Site Data'!$B$3:$L$42,10,FALSE)</f>
        <v>#N/A</v>
      </c>
      <c r="Z434" s="10" t="e">
        <f>VLOOKUP(AJ426,'FRC Site Data'!$B$3:$L$42,11,FALSE)</f>
        <v>#N/A</v>
      </c>
      <c r="AA434" s="10" t="e">
        <f>VLOOKUP(AJ426,'CIR Team Info'!$C$5:$E$44,4,FALSE)</f>
        <v>#N/A</v>
      </c>
      <c r="AB434" s="161" t="b">
        <f>ISNUMBER(VLOOKUP(AJ426,Match!$T$5:$T$10,1,FALSE))</f>
        <v>0</v>
      </c>
      <c r="AC434" s="161" t="b">
        <f>IF(AB434=TRUE,(VLOOKUP($AJ426,Match!$T$5:$U$10,2,FALSE)))</f>
        <v>0</v>
      </c>
      <c r="AD434" s="8">
        <v>3</v>
      </c>
      <c r="AE434" s="8">
        <v>2</v>
      </c>
      <c r="AF434" s="8">
        <v>2</v>
      </c>
      <c r="AG434" s="8">
        <v>1</v>
      </c>
      <c r="AH434" s="8" t="str">
        <f t="shared" si="112"/>
        <v/>
      </c>
      <c r="AI434" s="12"/>
      <c r="AZ434" s="12"/>
      <c r="BC434" s="12"/>
      <c r="BK434" s="12"/>
    </row>
    <row r="435" spans="1:63" x14ac:dyDescent="0.25">
      <c r="A435" s="29">
        <f t="shared" si="113"/>
        <v>0</v>
      </c>
      <c r="B435" s="29">
        <f t="shared" si="99"/>
        <v>0</v>
      </c>
      <c r="C435" s="29">
        <f t="shared" si="100"/>
        <v>0</v>
      </c>
      <c r="D435" s="29">
        <f t="shared" si="101"/>
        <v>0</v>
      </c>
      <c r="E435" s="29">
        <f t="shared" si="98"/>
        <v>0</v>
      </c>
      <c r="F435" s="29">
        <f t="shared" si="102"/>
        <v>0</v>
      </c>
      <c r="G435" s="29" t="str">
        <f t="shared" si="103"/>
        <v>offensive</v>
      </c>
      <c r="H435" s="16">
        <f t="shared" si="104"/>
        <v>0</v>
      </c>
      <c r="I435" s="16">
        <f t="shared" si="105"/>
        <v>0</v>
      </c>
      <c r="J435" s="16">
        <f t="shared" si="106"/>
        <v>0</v>
      </c>
      <c r="K435" s="16">
        <f t="shared" si="107"/>
        <v>0</v>
      </c>
      <c r="L435" s="67">
        <f t="shared" si="108"/>
        <v>0</v>
      </c>
      <c r="M435" s="4">
        <f t="shared" si="109"/>
        <v>0</v>
      </c>
      <c r="N435" s="4">
        <f t="shared" si="110"/>
        <v>0</v>
      </c>
      <c r="O435" s="4">
        <f t="shared" si="111"/>
        <v>0</v>
      </c>
      <c r="P435" s="4" t="e">
        <f>VLOOKUP(AJ427,'CIR Team Info'!$C$5:$E$44,2,FALSE)</f>
        <v>#N/A</v>
      </c>
      <c r="Q435" s="4" t="e">
        <f>VLOOKUP(AJ427,'CIR Team Info'!$C$5:$E$44,3,FALSE)</f>
        <v>#N/A</v>
      </c>
      <c r="R435" s="10" t="e">
        <f>VLOOKUP(AJ427,'FRC Site Data'!$B$3:$L$42,2,FALSE)</f>
        <v>#N/A</v>
      </c>
      <c r="S435" s="10" t="e">
        <f>VLOOKUP(AJ427,'FRC Site Data'!$B$3:$L$42,3,FALSE)</f>
        <v>#N/A</v>
      </c>
      <c r="T435" s="10" t="e">
        <f>VLOOKUP(AJ427,'FRC Site Data'!$B$3:$L$42,4,FALSE)</f>
        <v>#N/A</v>
      </c>
      <c r="U435" s="10" t="e">
        <f>VLOOKUP(AJ427,'FRC Site Data'!$B$3:$L$42,5,FALSE)</f>
        <v>#N/A</v>
      </c>
      <c r="V435" s="10" t="e">
        <f>VLOOKUP(AJ427,'FRC Site Data'!$B$3:$L$42,6,FALSE)</f>
        <v>#N/A</v>
      </c>
      <c r="W435" s="10" t="e">
        <f>VLOOKUP(AJ427,'FRC Site Data'!$B$3:$L$42,8,FALSE)</f>
        <v>#N/A</v>
      </c>
      <c r="X435" s="10" t="e">
        <f>VLOOKUP(AJ427,'FRC Site Data'!$B$3:$L$42,9,FALSE)</f>
        <v>#N/A</v>
      </c>
      <c r="Y435" s="10" t="e">
        <f>VLOOKUP(AJ427,'FRC Site Data'!$B$3:$L$42,10,FALSE)</f>
        <v>#N/A</v>
      </c>
      <c r="Z435" s="10" t="e">
        <f>VLOOKUP(AJ427,'FRC Site Data'!$B$3:$L$42,11,FALSE)</f>
        <v>#N/A</v>
      </c>
      <c r="AA435" s="10" t="e">
        <f>VLOOKUP(AJ427,'CIR Team Info'!$C$5:$E$44,4,FALSE)</f>
        <v>#N/A</v>
      </c>
      <c r="AB435" s="161" t="b">
        <f>ISNUMBER(VLOOKUP(AJ427,Match!$T$5:$T$10,1,FALSE))</f>
        <v>0</v>
      </c>
      <c r="AC435" s="161" t="b">
        <f>IF(AB435=TRUE,(VLOOKUP($AJ427,Match!$T$5:$U$10,2,FALSE)))</f>
        <v>0</v>
      </c>
      <c r="AD435" s="8">
        <v>3</v>
      </c>
      <c r="AE435" s="8">
        <v>2</v>
      </c>
      <c r="AF435" s="8">
        <v>2</v>
      </c>
      <c r="AG435" s="8">
        <v>1</v>
      </c>
      <c r="AH435" s="8" t="str">
        <f t="shared" si="112"/>
        <v/>
      </c>
      <c r="AI435" s="12"/>
      <c r="AZ435" s="12"/>
      <c r="BC435" s="12"/>
      <c r="BK435" s="12"/>
    </row>
    <row r="436" spans="1:63" x14ac:dyDescent="0.25">
      <c r="A436" s="29">
        <f t="shared" si="113"/>
        <v>0</v>
      </c>
      <c r="B436" s="29">
        <f t="shared" si="99"/>
        <v>0</v>
      </c>
      <c r="C436" s="29">
        <f t="shared" si="100"/>
        <v>0</v>
      </c>
      <c r="D436" s="29">
        <f t="shared" si="101"/>
        <v>0</v>
      </c>
      <c r="E436" s="29">
        <f t="shared" si="98"/>
        <v>0</v>
      </c>
      <c r="F436" s="29">
        <f t="shared" si="102"/>
        <v>0</v>
      </c>
      <c r="G436" s="29" t="str">
        <f t="shared" si="103"/>
        <v>offensive</v>
      </c>
      <c r="H436" s="16">
        <f t="shared" si="104"/>
        <v>0</v>
      </c>
      <c r="I436" s="16">
        <f t="shared" si="105"/>
        <v>0</v>
      </c>
      <c r="J436" s="16">
        <f t="shared" si="106"/>
        <v>0</v>
      </c>
      <c r="K436" s="16">
        <f t="shared" si="107"/>
        <v>0</v>
      </c>
      <c r="L436" s="67">
        <f t="shared" si="108"/>
        <v>0</v>
      </c>
      <c r="M436" s="4">
        <f t="shared" si="109"/>
        <v>0</v>
      </c>
      <c r="N436" s="4">
        <f t="shared" si="110"/>
        <v>0</v>
      </c>
      <c r="O436" s="4">
        <f t="shared" si="111"/>
        <v>0</v>
      </c>
      <c r="P436" s="4" t="e">
        <f>VLOOKUP(AJ428,'CIR Team Info'!$C$5:$E$44,2,FALSE)</f>
        <v>#N/A</v>
      </c>
      <c r="Q436" s="4" t="e">
        <f>VLOOKUP(AJ428,'CIR Team Info'!$C$5:$E$44,3,FALSE)</f>
        <v>#N/A</v>
      </c>
      <c r="R436" s="10" t="e">
        <f>VLOOKUP(AJ428,'FRC Site Data'!$B$3:$L$42,2,FALSE)</f>
        <v>#N/A</v>
      </c>
      <c r="S436" s="10" t="e">
        <f>VLOOKUP(AJ428,'FRC Site Data'!$B$3:$L$42,3,FALSE)</f>
        <v>#N/A</v>
      </c>
      <c r="T436" s="10" t="e">
        <f>VLOOKUP(AJ428,'FRC Site Data'!$B$3:$L$42,4,FALSE)</f>
        <v>#N/A</v>
      </c>
      <c r="U436" s="10" t="e">
        <f>VLOOKUP(AJ428,'FRC Site Data'!$B$3:$L$42,5,FALSE)</f>
        <v>#N/A</v>
      </c>
      <c r="V436" s="10" t="e">
        <f>VLOOKUP(AJ428,'FRC Site Data'!$B$3:$L$42,6,FALSE)</f>
        <v>#N/A</v>
      </c>
      <c r="W436" s="10" t="e">
        <f>VLOOKUP(AJ428,'FRC Site Data'!$B$3:$L$42,8,FALSE)</f>
        <v>#N/A</v>
      </c>
      <c r="X436" s="10" t="e">
        <f>VLOOKUP(AJ428,'FRC Site Data'!$B$3:$L$42,9,FALSE)</f>
        <v>#N/A</v>
      </c>
      <c r="Y436" s="10" t="e">
        <f>VLOOKUP(AJ428,'FRC Site Data'!$B$3:$L$42,10,FALSE)</f>
        <v>#N/A</v>
      </c>
      <c r="Z436" s="10" t="e">
        <f>VLOOKUP(AJ428,'FRC Site Data'!$B$3:$L$42,11,FALSE)</f>
        <v>#N/A</v>
      </c>
      <c r="AA436" s="10" t="e">
        <f>VLOOKUP(AJ428,'CIR Team Info'!$C$5:$E$44,4,FALSE)</f>
        <v>#N/A</v>
      </c>
      <c r="AB436" s="161" t="b">
        <f>ISNUMBER(VLOOKUP(AJ428,Match!$T$5:$T$10,1,FALSE))</f>
        <v>0</v>
      </c>
      <c r="AC436" s="161" t="b">
        <f>IF(AB436=TRUE,(VLOOKUP($AJ428,Match!$T$5:$U$10,2,FALSE)))</f>
        <v>0</v>
      </c>
      <c r="AD436" s="8">
        <v>3</v>
      </c>
      <c r="AE436" s="8">
        <v>2</v>
      </c>
      <c r="AF436" s="8">
        <v>2</v>
      </c>
      <c r="AG436" s="8">
        <v>1</v>
      </c>
      <c r="AH436" s="8" t="str">
        <f t="shared" si="112"/>
        <v/>
      </c>
      <c r="AI436" s="12"/>
      <c r="AZ436" s="12"/>
      <c r="BC436" s="12"/>
      <c r="BK436" s="12"/>
    </row>
    <row r="437" spans="1:63" x14ac:dyDescent="0.25">
      <c r="A437" s="29">
        <f t="shared" si="113"/>
        <v>0</v>
      </c>
      <c r="B437" s="29">
        <f t="shared" si="99"/>
        <v>0</v>
      </c>
      <c r="C437" s="29">
        <f t="shared" si="100"/>
        <v>0</v>
      </c>
      <c r="D437" s="29">
        <f t="shared" si="101"/>
        <v>0</v>
      </c>
      <c r="E437" s="29">
        <f t="shared" si="98"/>
        <v>0</v>
      </c>
      <c r="F437" s="29">
        <f t="shared" si="102"/>
        <v>0</v>
      </c>
      <c r="G437" s="29" t="str">
        <f t="shared" si="103"/>
        <v>offensive</v>
      </c>
      <c r="H437" s="16">
        <f t="shared" si="104"/>
        <v>0</v>
      </c>
      <c r="I437" s="16">
        <f t="shared" si="105"/>
        <v>0</v>
      </c>
      <c r="J437" s="16">
        <f t="shared" si="106"/>
        <v>0</v>
      </c>
      <c r="K437" s="16">
        <f t="shared" si="107"/>
        <v>0</v>
      </c>
      <c r="L437" s="67">
        <f t="shared" si="108"/>
        <v>0</v>
      </c>
      <c r="M437" s="4">
        <f t="shared" si="109"/>
        <v>0</v>
      </c>
      <c r="N437" s="4">
        <f t="shared" si="110"/>
        <v>0</v>
      </c>
      <c r="O437" s="4">
        <f t="shared" si="111"/>
        <v>0</v>
      </c>
      <c r="P437" s="4" t="e">
        <f>VLOOKUP(AJ429,'CIR Team Info'!$C$5:$E$44,2,FALSE)</f>
        <v>#N/A</v>
      </c>
      <c r="Q437" s="4" t="e">
        <f>VLOOKUP(AJ429,'CIR Team Info'!$C$5:$E$44,3,FALSE)</f>
        <v>#N/A</v>
      </c>
      <c r="R437" s="10" t="e">
        <f>VLOOKUP(AJ429,'FRC Site Data'!$B$3:$L$42,2,FALSE)</f>
        <v>#N/A</v>
      </c>
      <c r="S437" s="10" t="e">
        <f>VLOOKUP(AJ429,'FRC Site Data'!$B$3:$L$42,3,FALSE)</f>
        <v>#N/A</v>
      </c>
      <c r="T437" s="10" t="e">
        <f>VLOOKUP(AJ429,'FRC Site Data'!$B$3:$L$42,4,FALSE)</f>
        <v>#N/A</v>
      </c>
      <c r="U437" s="10" t="e">
        <f>VLOOKUP(AJ429,'FRC Site Data'!$B$3:$L$42,5,FALSE)</f>
        <v>#N/A</v>
      </c>
      <c r="V437" s="10" t="e">
        <f>VLOOKUP(AJ429,'FRC Site Data'!$B$3:$L$42,6,FALSE)</f>
        <v>#N/A</v>
      </c>
      <c r="W437" s="10" t="e">
        <f>VLOOKUP(AJ429,'FRC Site Data'!$B$3:$L$42,8,FALSE)</f>
        <v>#N/A</v>
      </c>
      <c r="X437" s="10" t="e">
        <f>VLOOKUP(AJ429,'FRC Site Data'!$B$3:$L$42,9,FALSE)</f>
        <v>#N/A</v>
      </c>
      <c r="Y437" s="10" t="e">
        <f>VLOOKUP(AJ429,'FRC Site Data'!$B$3:$L$42,10,FALSE)</f>
        <v>#N/A</v>
      </c>
      <c r="Z437" s="10" t="e">
        <f>VLOOKUP(AJ429,'FRC Site Data'!$B$3:$L$42,11,FALSE)</f>
        <v>#N/A</v>
      </c>
      <c r="AA437" s="10" t="e">
        <f>VLOOKUP(AJ429,'CIR Team Info'!$C$5:$E$44,4,FALSE)</f>
        <v>#N/A</v>
      </c>
      <c r="AB437" s="161" t="b">
        <f>ISNUMBER(VLOOKUP(AJ429,Match!$T$5:$T$10,1,FALSE))</f>
        <v>0</v>
      </c>
      <c r="AC437" s="161" t="b">
        <f>IF(AB437=TRUE,(VLOOKUP($AJ429,Match!$T$5:$U$10,2,FALSE)))</f>
        <v>0</v>
      </c>
      <c r="AD437" s="8">
        <v>3</v>
      </c>
      <c r="AE437" s="8">
        <v>2</v>
      </c>
      <c r="AF437" s="8">
        <v>2</v>
      </c>
      <c r="AG437" s="8">
        <v>1</v>
      </c>
      <c r="AH437" s="8" t="str">
        <f t="shared" si="112"/>
        <v/>
      </c>
      <c r="AI437" s="12"/>
      <c r="AZ437" s="12"/>
      <c r="BC437" s="12"/>
      <c r="BK437" s="12"/>
    </row>
    <row r="438" spans="1:63" x14ac:dyDescent="0.25">
      <c r="A438" s="29">
        <f t="shared" si="113"/>
        <v>0</v>
      </c>
      <c r="B438" s="29">
        <f t="shared" si="99"/>
        <v>0</v>
      </c>
      <c r="C438" s="29">
        <f t="shared" si="100"/>
        <v>0</v>
      </c>
      <c r="D438" s="29">
        <f t="shared" si="101"/>
        <v>0</v>
      </c>
      <c r="E438" s="29">
        <f t="shared" si="98"/>
        <v>0</v>
      </c>
      <c r="F438" s="29">
        <f t="shared" si="102"/>
        <v>0</v>
      </c>
      <c r="G438" s="29" t="str">
        <f t="shared" si="103"/>
        <v>offensive</v>
      </c>
      <c r="H438" s="16">
        <f t="shared" si="104"/>
        <v>0</v>
      </c>
      <c r="I438" s="16">
        <f t="shared" si="105"/>
        <v>0</v>
      </c>
      <c r="J438" s="16">
        <f t="shared" si="106"/>
        <v>0</v>
      </c>
      <c r="K438" s="16">
        <f t="shared" si="107"/>
        <v>0</v>
      </c>
      <c r="L438" s="67">
        <f t="shared" si="108"/>
        <v>0</v>
      </c>
      <c r="M438" s="4">
        <f t="shared" si="109"/>
        <v>0</v>
      </c>
      <c r="N438" s="4">
        <f t="shared" si="110"/>
        <v>0</v>
      </c>
      <c r="O438" s="4">
        <f t="shared" si="111"/>
        <v>0</v>
      </c>
      <c r="P438" s="4" t="e">
        <f>VLOOKUP(AJ430,'CIR Team Info'!$C$5:$E$44,2,FALSE)</f>
        <v>#N/A</v>
      </c>
      <c r="Q438" s="4" t="e">
        <f>VLOOKUP(AJ430,'CIR Team Info'!$C$5:$E$44,3,FALSE)</f>
        <v>#N/A</v>
      </c>
      <c r="R438" s="10" t="e">
        <f>VLOOKUP(AJ430,'FRC Site Data'!$B$3:$L$42,2,FALSE)</f>
        <v>#N/A</v>
      </c>
      <c r="S438" s="10" t="e">
        <f>VLOOKUP(AJ430,'FRC Site Data'!$B$3:$L$42,3,FALSE)</f>
        <v>#N/A</v>
      </c>
      <c r="T438" s="10" t="e">
        <f>VLOOKUP(AJ430,'FRC Site Data'!$B$3:$L$42,4,FALSE)</f>
        <v>#N/A</v>
      </c>
      <c r="U438" s="10" t="e">
        <f>VLOOKUP(AJ430,'FRC Site Data'!$B$3:$L$42,5,FALSE)</f>
        <v>#N/A</v>
      </c>
      <c r="V438" s="10" t="e">
        <f>VLOOKUP(AJ430,'FRC Site Data'!$B$3:$L$42,6,FALSE)</f>
        <v>#N/A</v>
      </c>
      <c r="W438" s="10" t="e">
        <f>VLOOKUP(AJ430,'FRC Site Data'!$B$3:$L$42,8,FALSE)</f>
        <v>#N/A</v>
      </c>
      <c r="X438" s="10" t="e">
        <f>VLOOKUP(AJ430,'FRC Site Data'!$B$3:$L$42,9,FALSE)</f>
        <v>#N/A</v>
      </c>
      <c r="Y438" s="10" t="e">
        <f>VLOOKUP(AJ430,'FRC Site Data'!$B$3:$L$42,10,FALSE)</f>
        <v>#N/A</v>
      </c>
      <c r="Z438" s="10" t="e">
        <f>VLOOKUP(AJ430,'FRC Site Data'!$B$3:$L$42,11,FALSE)</f>
        <v>#N/A</v>
      </c>
      <c r="AA438" s="10" t="e">
        <f>VLOOKUP(AJ430,'CIR Team Info'!$C$5:$E$44,4,FALSE)</f>
        <v>#N/A</v>
      </c>
      <c r="AB438" s="161" t="b">
        <f>ISNUMBER(VLOOKUP(AJ430,Match!$T$5:$T$10,1,FALSE))</f>
        <v>0</v>
      </c>
      <c r="AC438" s="161" t="b">
        <f>IF(AB438=TRUE,(VLOOKUP($AJ430,Match!$T$5:$U$10,2,FALSE)))</f>
        <v>0</v>
      </c>
      <c r="AD438" s="8">
        <v>3</v>
      </c>
      <c r="AE438" s="8">
        <v>2</v>
      </c>
      <c r="AF438" s="8">
        <v>2</v>
      </c>
      <c r="AG438" s="8">
        <v>1</v>
      </c>
      <c r="AH438" s="8" t="str">
        <f t="shared" si="112"/>
        <v/>
      </c>
      <c r="AI438" s="12"/>
      <c r="AZ438" s="12"/>
      <c r="BC438" s="12"/>
      <c r="BK438" s="12"/>
    </row>
    <row r="439" spans="1:63" x14ac:dyDescent="0.25">
      <c r="A439" s="29">
        <f t="shared" si="113"/>
        <v>0</v>
      </c>
      <c r="B439" s="29">
        <f t="shared" si="99"/>
        <v>0</v>
      </c>
      <c r="C439" s="29">
        <f t="shared" si="100"/>
        <v>0</v>
      </c>
      <c r="D439" s="29">
        <f t="shared" si="101"/>
        <v>0</v>
      </c>
      <c r="E439" s="29">
        <f t="shared" si="98"/>
        <v>0</v>
      </c>
      <c r="F439" s="29">
        <f t="shared" si="102"/>
        <v>0</v>
      </c>
      <c r="G439" s="29" t="str">
        <f t="shared" si="103"/>
        <v>offensive</v>
      </c>
      <c r="H439" s="16">
        <f t="shared" si="104"/>
        <v>0</v>
      </c>
      <c r="I439" s="16">
        <f t="shared" si="105"/>
        <v>0</v>
      </c>
      <c r="J439" s="16">
        <f t="shared" si="106"/>
        <v>0</v>
      </c>
      <c r="K439" s="16">
        <f t="shared" si="107"/>
        <v>0</v>
      </c>
      <c r="L439" s="67">
        <f t="shared" si="108"/>
        <v>0</v>
      </c>
      <c r="M439" s="4">
        <f t="shared" si="109"/>
        <v>0</v>
      </c>
      <c r="N439" s="4">
        <f t="shared" si="110"/>
        <v>0</v>
      </c>
      <c r="O439" s="4">
        <f t="shared" si="111"/>
        <v>0</v>
      </c>
      <c r="P439" s="4" t="e">
        <f>VLOOKUP(AJ431,'CIR Team Info'!$C$5:$E$44,2,FALSE)</f>
        <v>#N/A</v>
      </c>
      <c r="Q439" s="4" t="e">
        <f>VLOOKUP(AJ431,'CIR Team Info'!$C$5:$E$44,3,FALSE)</f>
        <v>#N/A</v>
      </c>
      <c r="R439" s="10" t="e">
        <f>VLOOKUP(AJ431,'FRC Site Data'!$B$3:$L$42,2,FALSE)</f>
        <v>#N/A</v>
      </c>
      <c r="S439" s="10" t="e">
        <f>VLOOKUP(AJ431,'FRC Site Data'!$B$3:$L$42,3,FALSE)</f>
        <v>#N/A</v>
      </c>
      <c r="T439" s="10" t="e">
        <f>VLOOKUP(AJ431,'FRC Site Data'!$B$3:$L$42,4,FALSE)</f>
        <v>#N/A</v>
      </c>
      <c r="U439" s="10" t="e">
        <f>VLOOKUP(AJ431,'FRC Site Data'!$B$3:$L$42,5,FALSE)</f>
        <v>#N/A</v>
      </c>
      <c r="V439" s="10" t="e">
        <f>VLOOKUP(AJ431,'FRC Site Data'!$B$3:$L$42,6,FALSE)</f>
        <v>#N/A</v>
      </c>
      <c r="W439" s="10" t="e">
        <f>VLOOKUP(AJ431,'FRC Site Data'!$B$3:$L$42,8,FALSE)</f>
        <v>#N/A</v>
      </c>
      <c r="X439" s="10" t="e">
        <f>VLOOKUP(AJ431,'FRC Site Data'!$B$3:$L$42,9,FALSE)</f>
        <v>#N/A</v>
      </c>
      <c r="Y439" s="10" t="e">
        <f>VLOOKUP(AJ431,'FRC Site Data'!$B$3:$L$42,10,FALSE)</f>
        <v>#N/A</v>
      </c>
      <c r="Z439" s="10" t="e">
        <f>VLOOKUP(AJ431,'FRC Site Data'!$B$3:$L$42,11,FALSE)</f>
        <v>#N/A</v>
      </c>
      <c r="AA439" s="10" t="e">
        <f>VLOOKUP(AJ431,'CIR Team Info'!$C$5:$E$44,4,FALSE)</f>
        <v>#N/A</v>
      </c>
      <c r="AB439" s="161" t="b">
        <f>ISNUMBER(VLOOKUP(AJ431,Match!$T$5:$T$10,1,FALSE))</f>
        <v>0</v>
      </c>
      <c r="AC439" s="161" t="b">
        <f>IF(AB439=TRUE,(VLOOKUP($AJ431,Match!$T$5:$U$10,2,FALSE)))</f>
        <v>0</v>
      </c>
      <c r="AD439" s="8">
        <v>3</v>
      </c>
      <c r="AE439" s="8">
        <v>2</v>
      </c>
      <c r="AF439" s="8">
        <v>2</v>
      </c>
      <c r="AG439" s="8">
        <v>1</v>
      </c>
      <c r="AH439" s="8" t="str">
        <f t="shared" si="112"/>
        <v/>
      </c>
      <c r="AI439" s="12"/>
      <c r="AZ439" s="12"/>
      <c r="BC439" s="12"/>
      <c r="BK439" s="12"/>
    </row>
    <row r="440" spans="1:63" x14ac:dyDescent="0.25">
      <c r="A440" s="29">
        <f t="shared" si="113"/>
        <v>0</v>
      </c>
      <c r="B440" s="29">
        <f t="shared" si="99"/>
        <v>0</v>
      </c>
      <c r="C440" s="29">
        <f t="shared" si="100"/>
        <v>0</v>
      </c>
      <c r="D440" s="29">
        <f t="shared" si="101"/>
        <v>0</v>
      </c>
      <c r="E440" s="29">
        <f t="shared" si="98"/>
        <v>0</v>
      </c>
      <c r="F440" s="29">
        <f t="shared" si="102"/>
        <v>0</v>
      </c>
      <c r="G440" s="29" t="str">
        <f t="shared" si="103"/>
        <v>offensive</v>
      </c>
      <c r="H440" s="16">
        <f t="shared" si="104"/>
        <v>0</v>
      </c>
      <c r="I440" s="16">
        <f t="shared" si="105"/>
        <v>0</v>
      </c>
      <c r="J440" s="16">
        <f t="shared" si="106"/>
        <v>0</v>
      </c>
      <c r="K440" s="16">
        <f t="shared" si="107"/>
        <v>0</v>
      </c>
      <c r="L440" s="67">
        <f t="shared" si="108"/>
        <v>0</v>
      </c>
      <c r="M440" s="4">
        <f t="shared" si="109"/>
        <v>0</v>
      </c>
      <c r="N440" s="4">
        <f t="shared" si="110"/>
        <v>0</v>
      </c>
      <c r="O440" s="4">
        <f t="shared" si="111"/>
        <v>0</v>
      </c>
      <c r="P440" s="4" t="e">
        <f>VLOOKUP(AJ432,'CIR Team Info'!$C$5:$E$44,2,FALSE)</f>
        <v>#N/A</v>
      </c>
      <c r="Q440" s="4" t="e">
        <f>VLOOKUP(AJ432,'CIR Team Info'!$C$5:$E$44,3,FALSE)</f>
        <v>#N/A</v>
      </c>
      <c r="R440" s="10" t="e">
        <f>VLOOKUP(AJ432,'FRC Site Data'!$B$3:$L$42,2,FALSE)</f>
        <v>#N/A</v>
      </c>
      <c r="S440" s="10" t="e">
        <f>VLOOKUP(AJ432,'FRC Site Data'!$B$3:$L$42,3,FALSE)</f>
        <v>#N/A</v>
      </c>
      <c r="T440" s="10" t="e">
        <f>VLOOKUP(AJ432,'FRC Site Data'!$B$3:$L$42,4,FALSE)</f>
        <v>#N/A</v>
      </c>
      <c r="U440" s="10" t="e">
        <f>VLOOKUP(AJ432,'FRC Site Data'!$B$3:$L$42,5,FALSE)</f>
        <v>#N/A</v>
      </c>
      <c r="V440" s="10" t="e">
        <f>VLOOKUP(AJ432,'FRC Site Data'!$B$3:$L$42,6,FALSE)</f>
        <v>#N/A</v>
      </c>
      <c r="W440" s="10" t="e">
        <f>VLOOKUP(AJ432,'FRC Site Data'!$B$3:$L$42,8,FALSE)</f>
        <v>#N/A</v>
      </c>
      <c r="X440" s="10" t="e">
        <f>VLOOKUP(AJ432,'FRC Site Data'!$B$3:$L$42,9,FALSE)</f>
        <v>#N/A</v>
      </c>
      <c r="Y440" s="10" t="e">
        <f>VLOOKUP(AJ432,'FRC Site Data'!$B$3:$L$42,10,FALSE)</f>
        <v>#N/A</v>
      </c>
      <c r="Z440" s="10" t="e">
        <f>VLOOKUP(AJ432,'FRC Site Data'!$B$3:$L$42,11,FALSE)</f>
        <v>#N/A</v>
      </c>
      <c r="AA440" s="10" t="e">
        <f>VLOOKUP(AJ432,'CIR Team Info'!$C$5:$E$44,4,FALSE)</f>
        <v>#N/A</v>
      </c>
      <c r="AB440" s="161" t="b">
        <f>ISNUMBER(VLOOKUP(AJ432,Match!$T$5:$T$10,1,FALSE))</f>
        <v>0</v>
      </c>
      <c r="AC440" s="161" t="b">
        <f>IF(AB440=TRUE,(VLOOKUP($AJ432,Match!$T$5:$U$10,2,FALSE)))</f>
        <v>0</v>
      </c>
      <c r="AD440" s="8">
        <v>3</v>
      </c>
      <c r="AE440" s="8">
        <v>2</v>
      </c>
      <c r="AF440" s="8">
        <v>2</v>
      </c>
      <c r="AG440" s="8">
        <v>1</v>
      </c>
      <c r="AH440" s="8" t="str">
        <f t="shared" si="112"/>
        <v/>
      </c>
      <c r="AI440" s="12"/>
      <c r="AZ440" s="12"/>
      <c r="BC440" s="12"/>
      <c r="BK440" s="12"/>
    </row>
    <row r="441" spans="1:63" x14ac:dyDescent="0.25">
      <c r="A441" s="29">
        <f t="shared" si="113"/>
        <v>0</v>
      </c>
      <c r="B441" s="29">
        <f t="shared" si="99"/>
        <v>0</v>
      </c>
      <c r="C441" s="29">
        <f t="shared" si="100"/>
        <v>0</v>
      </c>
      <c r="D441" s="29">
        <f t="shared" si="101"/>
        <v>0</v>
      </c>
      <c r="E441" s="29">
        <f t="shared" si="98"/>
        <v>0</v>
      </c>
      <c r="F441" s="29">
        <f t="shared" si="102"/>
        <v>0</v>
      </c>
      <c r="G441" s="29" t="str">
        <f t="shared" si="103"/>
        <v>offensive</v>
      </c>
      <c r="H441" s="16">
        <f t="shared" si="104"/>
        <v>0</v>
      </c>
      <c r="I441" s="16">
        <f t="shared" si="105"/>
        <v>0</v>
      </c>
      <c r="J441" s="16">
        <f t="shared" si="106"/>
        <v>0</v>
      </c>
      <c r="K441" s="16">
        <f t="shared" si="107"/>
        <v>0</v>
      </c>
      <c r="L441" s="67">
        <f t="shared" si="108"/>
        <v>0</v>
      </c>
      <c r="M441" s="4">
        <f t="shared" si="109"/>
        <v>0</v>
      </c>
      <c r="N441" s="4">
        <f t="shared" si="110"/>
        <v>0</v>
      </c>
      <c r="O441" s="4">
        <f t="shared" si="111"/>
        <v>0</v>
      </c>
      <c r="P441" s="4" t="e">
        <f>VLOOKUP(AJ433,'CIR Team Info'!$C$5:$E$44,2,FALSE)</f>
        <v>#N/A</v>
      </c>
      <c r="Q441" s="4" t="e">
        <f>VLOOKUP(AJ433,'CIR Team Info'!$C$5:$E$44,3,FALSE)</f>
        <v>#N/A</v>
      </c>
      <c r="R441" s="10" t="e">
        <f>VLOOKUP(AJ433,'FRC Site Data'!$B$3:$L$42,2,FALSE)</f>
        <v>#N/A</v>
      </c>
      <c r="S441" s="10" t="e">
        <f>VLOOKUP(AJ433,'FRC Site Data'!$B$3:$L$42,3,FALSE)</f>
        <v>#N/A</v>
      </c>
      <c r="T441" s="10" t="e">
        <f>VLOOKUP(AJ433,'FRC Site Data'!$B$3:$L$42,4,FALSE)</f>
        <v>#N/A</v>
      </c>
      <c r="U441" s="10" t="e">
        <f>VLOOKUP(AJ433,'FRC Site Data'!$B$3:$L$42,5,FALSE)</f>
        <v>#N/A</v>
      </c>
      <c r="V441" s="10" t="e">
        <f>VLOOKUP(AJ433,'FRC Site Data'!$B$3:$L$42,6,FALSE)</f>
        <v>#N/A</v>
      </c>
      <c r="W441" s="10" t="e">
        <f>VLOOKUP(AJ433,'FRC Site Data'!$B$3:$L$42,8,FALSE)</f>
        <v>#N/A</v>
      </c>
      <c r="X441" s="10" t="e">
        <f>VLOOKUP(AJ433,'FRC Site Data'!$B$3:$L$42,9,FALSE)</f>
        <v>#N/A</v>
      </c>
      <c r="Y441" s="10" t="e">
        <f>VLOOKUP(AJ433,'FRC Site Data'!$B$3:$L$42,10,FALSE)</f>
        <v>#N/A</v>
      </c>
      <c r="Z441" s="10" t="e">
        <f>VLOOKUP(AJ433,'FRC Site Data'!$B$3:$L$42,11,FALSE)</f>
        <v>#N/A</v>
      </c>
      <c r="AA441" s="10" t="e">
        <f>VLOOKUP(AJ433,'CIR Team Info'!$C$5:$E$44,4,FALSE)</f>
        <v>#N/A</v>
      </c>
      <c r="AB441" s="161" t="b">
        <f>ISNUMBER(VLOOKUP(AJ433,Match!$T$5:$T$10,1,FALSE))</f>
        <v>0</v>
      </c>
      <c r="AC441" s="161" t="b">
        <f>IF(AB441=TRUE,(VLOOKUP($AJ433,Match!$T$5:$U$10,2,FALSE)))</f>
        <v>0</v>
      </c>
      <c r="AD441" s="8">
        <v>3</v>
      </c>
      <c r="AE441" s="8">
        <v>2</v>
      </c>
      <c r="AF441" s="8">
        <v>2</v>
      </c>
      <c r="AG441" s="8">
        <v>1</v>
      </c>
      <c r="AH441" s="8" t="str">
        <f t="shared" si="112"/>
        <v/>
      </c>
      <c r="AI441" s="12"/>
      <c r="AZ441" s="12"/>
      <c r="BC441" s="12"/>
      <c r="BK441" s="12"/>
    </row>
    <row r="442" spans="1:63" x14ac:dyDescent="0.25">
      <c r="A442" s="29">
        <f t="shared" si="113"/>
        <v>0</v>
      </c>
      <c r="B442" s="29">
        <f t="shared" si="99"/>
        <v>0</v>
      </c>
      <c r="C442" s="29">
        <f t="shared" si="100"/>
        <v>0</v>
      </c>
      <c r="D442" s="29">
        <f t="shared" si="101"/>
        <v>0</v>
      </c>
      <c r="E442" s="29">
        <f t="shared" si="98"/>
        <v>0</v>
      </c>
      <c r="F442" s="29">
        <f t="shared" si="102"/>
        <v>0</v>
      </c>
      <c r="G442" s="29" t="str">
        <f t="shared" si="103"/>
        <v>offensive</v>
      </c>
      <c r="H442" s="16">
        <f t="shared" si="104"/>
        <v>0</v>
      </c>
      <c r="I442" s="16">
        <f t="shared" si="105"/>
        <v>0</v>
      </c>
      <c r="J442" s="16">
        <f t="shared" si="106"/>
        <v>0</v>
      </c>
      <c r="K442" s="16">
        <f t="shared" si="107"/>
        <v>0</v>
      </c>
      <c r="L442" s="67">
        <f t="shared" si="108"/>
        <v>0</v>
      </c>
      <c r="M442" s="4">
        <f t="shared" si="109"/>
        <v>0</v>
      </c>
      <c r="N442" s="4">
        <f t="shared" si="110"/>
        <v>0</v>
      </c>
      <c r="O442" s="4">
        <f t="shared" si="111"/>
        <v>0</v>
      </c>
      <c r="P442" s="4" t="e">
        <f>VLOOKUP(AJ434,'CIR Team Info'!$C$5:$E$44,2,FALSE)</f>
        <v>#N/A</v>
      </c>
      <c r="Q442" s="4" t="e">
        <f>VLOOKUP(AJ434,'CIR Team Info'!$C$5:$E$44,3,FALSE)</f>
        <v>#N/A</v>
      </c>
      <c r="R442" s="10" t="e">
        <f>VLOOKUP(AJ434,'FRC Site Data'!$B$3:$L$42,2,FALSE)</f>
        <v>#N/A</v>
      </c>
      <c r="S442" s="10" t="e">
        <f>VLOOKUP(AJ434,'FRC Site Data'!$B$3:$L$42,3,FALSE)</f>
        <v>#N/A</v>
      </c>
      <c r="T442" s="10" t="e">
        <f>VLOOKUP(AJ434,'FRC Site Data'!$B$3:$L$42,4,FALSE)</f>
        <v>#N/A</v>
      </c>
      <c r="U442" s="10" t="e">
        <f>VLOOKUP(AJ434,'FRC Site Data'!$B$3:$L$42,5,FALSE)</f>
        <v>#N/A</v>
      </c>
      <c r="V442" s="10" t="e">
        <f>VLOOKUP(AJ434,'FRC Site Data'!$B$3:$L$42,6,FALSE)</f>
        <v>#N/A</v>
      </c>
      <c r="W442" s="10" t="e">
        <f>VLOOKUP(AJ434,'FRC Site Data'!$B$3:$L$42,8,FALSE)</f>
        <v>#N/A</v>
      </c>
      <c r="X442" s="10" t="e">
        <f>VLOOKUP(AJ434,'FRC Site Data'!$B$3:$L$42,9,FALSE)</f>
        <v>#N/A</v>
      </c>
      <c r="Y442" s="10" t="e">
        <f>VLOOKUP(AJ434,'FRC Site Data'!$B$3:$L$42,10,FALSE)</f>
        <v>#N/A</v>
      </c>
      <c r="Z442" s="10" t="e">
        <f>VLOOKUP(AJ434,'FRC Site Data'!$B$3:$L$42,11,FALSE)</f>
        <v>#N/A</v>
      </c>
      <c r="AA442" s="10" t="e">
        <f>VLOOKUP(AJ434,'CIR Team Info'!$C$5:$E$44,4,FALSE)</f>
        <v>#N/A</v>
      </c>
      <c r="AB442" s="161" t="b">
        <f>ISNUMBER(VLOOKUP(AJ434,Match!$T$5:$T$10,1,FALSE))</f>
        <v>0</v>
      </c>
      <c r="AC442" s="161" t="b">
        <f>IF(AB442=TRUE,(VLOOKUP($AJ434,Match!$T$5:$U$10,2,FALSE)))</f>
        <v>0</v>
      </c>
      <c r="AD442" s="8">
        <v>3</v>
      </c>
      <c r="AE442" s="8">
        <v>2</v>
      </c>
      <c r="AF442" s="8">
        <v>2</v>
      </c>
      <c r="AG442" s="8">
        <v>1</v>
      </c>
      <c r="AH442" s="8" t="str">
        <f t="shared" si="112"/>
        <v/>
      </c>
      <c r="AI442" s="12"/>
      <c r="AZ442" s="12"/>
      <c r="BC442" s="12"/>
      <c r="BK442" s="12"/>
    </row>
    <row r="443" spans="1:63" x14ac:dyDescent="0.25">
      <c r="A443" s="29">
        <f t="shared" si="113"/>
        <v>0</v>
      </c>
      <c r="B443" s="29">
        <f t="shared" si="99"/>
        <v>0</v>
      </c>
      <c r="C443" s="29">
        <f t="shared" si="100"/>
        <v>0</v>
      </c>
      <c r="D443" s="29">
        <f t="shared" si="101"/>
        <v>0</v>
      </c>
      <c r="E443" s="29">
        <f t="shared" si="98"/>
        <v>0</v>
      </c>
      <c r="F443" s="29">
        <f t="shared" si="102"/>
        <v>0</v>
      </c>
      <c r="G443" s="29" t="str">
        <f t="shared" si="103"/>
        <v>offensive</v>
      </c>
      <c r="H443" s="16">
        <f t="shared" si="104"/>
        <v>0</v>
      </c>
      <c r="I443" s="16">
        <f t="shared" si="105"/>
        <v>0</v>
      </c>
      <c r="J443" s="16">
        <f t="shared" si="106"/>
        <v>0</v>
      </c>
      <c r="K443" s="16">
        <f t="shared" si="107"/>
        <v>0</v>
      </c>
      <c r="L443" s="67">
        <f t="shared" si="108"/>
        <v>0</v>
      </c>
      <c r="M443" s="4">
        <f t="shared" si="109"/>
        <v>0</v>
      </c>
      <c r="N443" s="4">
        <f t="shared" si="110"/>
        <v>0</v>
      </c>
      <c r="O443" s="4">
        <f t="shared" si="111"/>
        <v>0</v>
      </c>
      <c r="P443" s="4" t="e">
        <f>VLOOKUP(AJ435,'CIR Team Info'!$C$5:$E$44,2,FALSE)</f>
        <v>#N/A</v>
      </c>
      <c r="Q443" s="4" t="e">
        <f>VLOOKUP(AJ435,'CIR Team Info'!$C$5:$E$44,3,FALSE)</f>
        <v>#N/A</v>
      </c>
      <c r="R443" s="10" t="e">
        <f>VLOOKUP(AJ435,'FRC Site Data'!$B$3:$L$42,2,FALSE)</f>
        <v>#N/A</v>
      </c>
      <c r="S443" s="10" t="e">
        <f>VLOOKUP(AJ435,'FRC Site Data'!$B$3:$L$42,3,FALSE)</f>
        <v>#N/A</v>
      </c>
      <c r="T443" s="10" t="e">
        <f>VLOOKUP(AJ435,'FRC Site Data'!$B$3:$L$42,4,FALSE)</f>
        <v>#N/A</v>
      </c>
      <c r="U443" s="10" t="e">
        <f>VLOOKUP(AJ435,'FRC Site Data'!$B$3:$L$42,5,FALSE)</f>
        <v>#N/A</v>
      </c>
      <c r="V443" s="10" t="e">
        <f>VLOOKUP(AJ435,'FRC Site Data'!$B$3:$L$42,6,FALSE)</f>
        <v>#N/A</v>
      </c>
      <c r="W443" s="10" t="e">
        <f>VLOOKUP(AJ435,'FRC Site Data'!$B$3:$L$42,8,FALSE)</f>
        <v>#N/A</v>
      </c>
      <c r="X443" s="10" t="e">
        <f>VLOOKUP(AJ435,'FRC Site Data'!$B$3:$L$42,9,FALSE)</f>
        <v>#N/A</v>
      </c>
      <c r="Y443" s="10" t="e">
        <f>VLOOKUP(AJ435,'FRC Site Data'!$B$3:$L$42,10,FALSE)</f>
        <v>#N/A</v>
      </c>
      <c r="Z443" s="10" t="e">
        <f>VLOOKUP(AJ435,'FRC Site Data'!$B$3:$L$42,11,FALSE)</f>
        <v>#N/A</v>
      </c>
      <c r="AA443" s="10" t="e">
        <f>VLOOKUP(AJ435,'CIR Team Info'!$C$5:$E$44,4,FALSE)</f>
        <v>#N/A</v>
      </c>
      <c r="AB443" s="161" t="b">
        <f>ISNUMBER(VLOOKUP(AJ435,Match!$T$5:$T$10,1,FALSE))</f>
        <v>0</v>
      </c>
      <c r="AC443" s="161" t="b">
        <f>IF(AB443=TRUE,(VLOOKUP($AJ435,Match!$T$5:$U$10,2,FALSE)))</f>
        <v>0</v>
      </c>
      <c r="AD443" s="8">
        <v>3</v>
      </c>
      <c r="AE443" s="8">
        <v>2</v>
      </c>
      <c r="AF443" s="8">
        <v>2</v>
      </c>
      <c r="AG443" s="8">
        <v>1</v>
      </c>
      <c r="AH443" s="8" t="str">
        <f t="shared" si="112"/>
        <v/>
      </c>
      <c r="AI443" s="12"/>
      <c r="AZ443" s="12"/>
      <c r="BC443" s="12"/>
      <c r="BK443" s="12"/>
    </row>
    <row r="444" spans="1:63" x14ac:dyDescent="0.25">
      <c r="A444" s="29">
        <f t="shared" si="113"/>
        <v>0</v>
      </c>
      <c r="B444" s="29">
        <f t="shared" si="99"/>
        <v>0</v>
      </c>
      <c r="C444" s="29">
        <f t="shared" si="100"/>
        <v>0</v>
      </c>
      <c r="D444" s="29">
        <f t="shared" si="101"/>
        <v>0</v>
      </c>
      <c r="E444" s="29">
        <f t="shared" si="98"/>
        <v>0</v>
      </c>
      <c r="F444" s="29">
        <f t="shared" si="102"/>
        <v>0</v>
      </c>
      <c r="G444" s="29" t="str">
        <f t="shared" si="103"/>
        <v>offensive</v>
      </c>
      <c r="H444" s="16">
        <f t="shared" si="104"/>
        <v>0</v>
      </c>
      <c r="I444" s="16">
        <f t="shared" si="105"/>
        <v>0</v>
      </c>
      <c r="J444" s="16">
        <f t="shared" si="106"/>
        <v>0</v>
      </c>
      <c r="K444" s="16">
        <f t="shared" si="107"/>
        <v>0</v>
      </c>
      <c r="L444" s="67">
        <f t="shared" si="108"/>
        <v>0</v>
      </c>
      <c r="M444" s="4">
        <f t="shared" si="109"/>
        <v>0</v>
      </c>
      <c r="N444" s="4">
        <f t="shared" si="110"/>
        <v>0</v>
      </c>
      <c r="O444" s="4">
        <f t="shared" si="111"/>
        <v>0</v>
      </c>
      <c r="P444" s="4" t="e">
        <f>VLOOKUP(AJ436,'CIR Team Info'!$C$5:$E$44,2,FALSE)</f>
        <v>#N/A</v>
      </c>
      <c r="Q444" s="4" t="e">
        <f>VLOOKUP(AJ436,'CIR Team Info'!$C$5:$E$44,3,FALSE)</f>
        <v>#N/A</v>
      </c>
      <c r="R444" s="10" t="e">
        <f>VLOOKUP(AJ436,'FRC Site Data'!$B$3:$L$42,2,FALSE)</f>
        <v>#N/A</v>
      </c>
      <c r="S444" s="10" t="e">
        <f>VLOOKUP(AJ436,'FRC Site Data'!$B$3:$L$42,3,FALSE)</f>
        <v>#N/A</v>
      </c>
      <c r="T444" s="10" t="e">
        <f>VLOOKUP(AJ436,'FRC Site Data'!$B$3:$L$42,4,FALSE)</f>
        <v>#N/A</v>
      </c>
      <c r="U444" s="10" t="e">
        <f>VLOOKUP(AJ436,'FRC Site Data'!$B$3:$L$42,5,FALSE)</f>
        <v>#N/A</v>
      </c>
      <c r="V444" s="10" t="e">
        <f>VLOOKUP(AJ436,'FRC Site Data'!$B$3:$L$42,6,FALSE)</f>
        <v>#N/A</v>
      </c>
      <c r="W444" s="10" t="e">
        <f>VLOOKUP(AJ436,'FRC Site Data'!$B$3:$L$42,8,FALSE)</f>
        <v>#N/A</v>
      </c>
      <c r="X444" s="10" t="e">
        <f>VLOOKUP(AJ436,'FRC Site Data'!$B$3:$L$42,9,FALSE)</f>
        <v>#N/A</v>
      </c>
      <c r="Y444" s="10" t="e">
        <f>VLOOKUP(AJ436,'FRC Site Data'!$B$3:$L$42,10,FALSE)</f>
        <v>#N/A</v>
      </c>
      <c r="Z444" s="10" t="e">
        <f>VLOOKUP(AJ436,'FRC Site Data'!$B$3:$L$42,11,FALSE)</f>
        <v>#N/A</v>
      </c>
      <c r="AA444" s="10" t="e">
        <f>VLOOKUP(AJ436,'CIR Team Info'!$C$5:$E$44,4,FALSE)</f>
        <v>#N/A</v>
      </c>
      <c r="AB444" s="161" t="b">
        <f>ISNUMBER(VLOOKUP(AJ436,Match!$T$5:$T$10,1,FALSE))</f>
        <v>0</v>
      </c>
      <c r="AC444" s="161" t="b">
        <f>IF(AB444=TRUE,(VLOOKUP($AJ436,Match!$T$5:$U$10,2,FALSE)))</f>
        <v>0</v>
      </c>
      <c r="AD444" s="8">
        <v>3</v>
      </c>
      <c r="AE444" s="8">
        <v>2</v>
      </c>
      <c r="AF444" s="8">
        <v>2</v>
      </c>
      <c r="AG444" s="8">
        <v>1</v>
      </c>
      <c r="AH444" s="8" t="str">
        <f t="shared" si="112"/>
        <v/>
      </c>
      <c r="AI444" s="12"/>
      <c r="AZ444" s="12"/>
      <c r="BC444" s="12"/>
      <c r="BK444" s="12"/>
    </row>
    <row r="445" spans="1:63" x14ac:dyDescent="0.25">
      <c r="A445" s="29">
        <f t="shared" si="113"/>
        <v>0</v>
      </c>
      <c r="B445" s="29">
        <f t="shared" si="99"/>
        <v>0</v>
      </c>
      <c r="C445" s="29">
        <f t="shared" si="100"/>
        <v>0</v>
      </c>
      <c r="D445" s="29">
        <f t="shared" si="101"/>
        <v>0</v>
      </c>
      <c r="E445" s="29">
        <f t="shared" si="98"/>
        <v>0</v>
      </c>
      <c r="F445" s="29">
        <f t="shared" si="102"/>
        <v>0</v>
      </c>
      <c r="G445" s="29" t="str">
        <f t="shared" si="103"/>
        <v>offensive</v>
      </c>
      <c r="H445" s="16">
        <f t="shared" si="104"/>
        <v>0</v>
      </c>
      <c r="I445" s="16">
        <f t="shared" si="105"/>
        <v>0</v>
      </c>
      <c r="J445" s="16">
        <f t="shared" si="106"/>
        <v>0</v>
      </c>
      <c r="K445" s="16">
        <f t="shared" si="107"/>
        <v>0</v>
      </c>
      <c r="L445" s="67">
        <f t="shared" si="108"/>
        <v>0</v>
      </c>
      <c r="M445" s="4">
        <f t="shared" si="109"/>
        <v>0</v>
      </c>
      <c r="N445" s="4">
        <f t="shared" si="110"/>
        <v>0</v>
      </c>
      <c r="O445" s="4">
        <f t="shared" si="111"/>
        <v>0</v>
      </c>
      <c r="P445" s="4" t="e">
        <f>VLOOKUP(AJ437,'CIR Team Info'!$C$5:$E$44,2,FALSE)</f>
        <v>#N/A</v>
      </c>
      <c r="Q445" s="4" t="e">
        <f>VLOOKUP(AJ437,'CIR Team Info'!$C$5:$E$44,3,FALSE)</f>
        <v>#N/A</v>
      </c>
      <c r="R445" s="10" t="e">
        <f>VLOOKUP(AJ437,'FRC Site Data'!$B$3:$L$42,2,FALSE)</f>
        <v>#N/A</v>
      </c>
      <c r="S445" s="10" t="e">
        <f>VLOOKUP(AJ437,'FRC Site Data'!$B$3:$L$42,3,FALSE)</f>
        <v>#N/A</v>
      </c>
      <c r="T445" s="10" t="e">
        <f>VLOOKUP(AJ437,'FRC Site Data'!$B$3:$L$42,4,FALSE)</f>
        <v>#N/A</v>
      </c>
      <c r="U445" s="10" t="e">
        <f>VLOOKUP(AJ437,'FRC Site Data'!$B$3:$L$42,5,FALSE)</f>
        <v>#N/A</v>
      </c>
      <c r="V445" s="10" t="e">
        <f>VLOOKUP(AJ437,'FRC Site Data'!$B$3:$L$42,6,FALSE)</f>
        <v>#N/A</v>
      </c>
      <c r="W445" s="10" t="e">
        <f>VLOOKUP(AJ437,'FRC Site Data'!$B$3:$L$42,8,FALSE)</f>
        <v>#N/A</v>
      </c>
      <c r="X445" s="10" t="e">
        <f>VLOOKUP(AJ437,'FRC Site Data'!$B$3:$L$42,9,FALSE)</f>
        <v>#N/A</v>
      </c>
      <c r="Y445" s="10" t="e">
        <f>VLOOKUP(AJ437,'FRC Site Data'!$B$3:$L$42,10,FALSE)</f>
        <v>#N/A</v>
      </c>
      <c r="Z445" s="10" t="e">
        <f>VLOOKUP(AJ437,'FRC Site Data'!$B$3:$L$42,11,FALSE)</f>
        <v>#N/A</v>
      </c>
      <c r="AA445" s="10" t="e">
        <f>VLOOKUP(AJ437,'CIR Team Info'!$C$5:$E$44,4,FALSE)</f>
        <v>#N/A</v>
      </c>
      <c r="AB445" s="161" t="b">
        <f>ISNUMBER(VLOOKUP(AJ437,Match!$T$5:$T$10,1,FALSE))</f>
        <v>0</v>
      </c>
      <c r="AC445" s="161" t="b">
        <f>IF(AB445=TRUE,(VLOOKUP($AJ437,Match!$T$5:$U$10,2,FALSE)))</f>
        <v>0</v>
      </c>
      <c r="AD445" s="8">
        <v>3</v>
      </c>
      <c r="AE445" s="8">
        <v>2</v>
      </c>
      <c r="AF445" s="8">
        <v>2</v>
      </c>
      <c r="AG445" s="8">
        <v>1</v>
      </c>
      <c r="AH445" s="8" t="str">
        <f t="shared" si="112"/>
        <v/>
      </c>
      <c r="AI445" s="12"/>
      <c r="AZ445" s="12"/>
      <c r="BC445" s="12"/>
      <c r="BK445" s="12"/>
    </row>
    <row r="446" spans="1:63" x14ac:dyDescent="0.25">
      <c r="A446" s="29">
        <f t="shared" si="113"/>
        <v>0</v>
      </c>
      <c r="B446" s="29">
        <f t="shared" si="99"/>
        <v>0</v>
      </c>
      <c r="C446" s="29">
        <f t="shared" si="100"/>
        <v>0</v>
      </c>
      <c r="D446" s="29">
        <f t="shared" si="101"/>
        <v>0</v>
      </c>
      <c r="E446" s="29">
        <f t="shared" si="98"/>
        <v>0</v>
      </c>
      <c r="F446" s="29">
        <f t="shared" si="102"/>
        <v>0</v>
      </c>
      <c r="G446" s="29" t="str">
        <f t="shared" si="103"/>
        <v>offensive</v>
      </c>
      <c r="H446" s="16">
        <f t="shared" si="104"/>
        <v>0</v>
      </c>
      <c r="I446" s="16">
        <f t="shared" si="105"/>
        <v>0</v>
      </c>
      <c r="J446" s="16">
        <f t="shared" si="106"/>
        <v>0</v>
      </c>
      <c r="K446" s="16">
        <f t="shared" si="107"/>
        <v>0</v>
      </c>
      <c r="L446" s="67">
        <f t="shared" si="108"/>
        <v>0</v>
      </c>
      <c r="M446" s="4">
        <f t="shared" si="109"/>
        <v>0</v>
      </c>
      <c r="N446" s="4">
        <f t="shared" si="110"/>
        <v>0</v>
      </c>
      <c r="O446" s="4">
        <f t="shared" si="111"/>
        <v>0</v>
      </c>
      <c r="P446" s="4" t="e">
        <f>VLOOKUP(AJ438,'CIR Team Info'!$C$5:$E$44,2,FALSE)</f>
        <v>#N/A</v>
      </c>
      <c r="Q446" s="4" t="e">
        <f>VLOOKUP(AJ438,'CIR Team Info'!$C$5:$E$44,3,FALSE)</f>
        <v>#N/A</v>
      </c>
      <c r="R446" s="10" t="e">
        <f>VLOOKUP(AJ438,'FRC Site Data'!$B$3:$L$42,2,FALSE)</f>
        <v>#N/A</v>
      </c>
      <c r="S446" s="10" t="e">
        <f>VLOOKUP(AJ438,'FRC Site Data'!$B$3:$L$42,3,FALSE)</f>
        <v>#N/A</v>
      </c>
      <c r="T446" s="10" t="e">
        <f>VLOOKUP(AJ438,'FRC Site Data'!$B$3:$L$42,4,FALSE)</f>
        <v>#N/A</v>
      </c>
      <c r="U446" s="10" t="e">
        <f>VLOOKUP(AJ438,'FRC Site Data'!$B$3:$L$42,5,FALSE)</f>
        <v>#N/A</v>
      </c>
      <c r="V446" s="10" t="e">
        <f>VLOOKUP(AJ438,'FRC Site Data'!$B$3:$L$42,6,FALSE)</f>
        <v>#N/A</v>
      </c>
      <c r="W446" s="10" t="e">
        <f>VLOOKUP(AJ438,'FRC Site Data'!$B$3:$L$42,8,FALSE)</f>
        <v>#N/A</v>
      </c>
      <c r="X446" s="10" t="e">
        <f>VLOOKUP(AJ438,'FRC Site Data'!$B$3:$L$42,9,FALSE)</f>
        <v>#N/A</v>
      </c>
      <c r="Y446" s="10" t="e">
        <f>VLOOKUP(AJ438,'FRC Site Data'!$B$3:$L$42,10,FALSE)</f>
        <v>#N/A</v>
      </c>
      <c r="Z446" s="10" t="e">
        <f>VLOOKUP(AJ438,'FRC Site Data'!$B$3:$L$42,11,FALSE)</f>
        <v>#N/A</v>
      </c>
      <c r="AA446" s="10" t="e">
        <f>VLOOKUP(AJ438,'CIR Team Info'!$C$5:$E$44,4,FALSE)</f>
        <v>#N/A</v>
      </c>
      <c r="AB446" s="161" t="b">
        <f>ISNUMBER(VLOOKUP(AJ438,Match!$T$5:$T$10,1,FALSE))</f>
        <v>0</v>
      </c>
      <c r="AC446" s="161" t="b">
        <f>IF(AB446=TRUE,(VLOOKUP($AJ438,Match!$T$5:$U$10,2,FALSE)))</f>
        <v>0</v>
      </c>
      <c r="AD446" s="8">
        <v>3</v>
      </c>
      <c r="AE446" s="8">
        <v>2</v>
      </c>
      <c r="AF446" s="8">
        <v>2</v>
      </c>
      <c r="AG446" s="8">
        <v>1</v>
      </c>
      <c r="AH446" s="8" t="str">
        <f t="shared" si="112"/>
        <v/>
      </c>
      <c r="AI446" s="12"/>
      <c r="AZ446" s="12"/>
      <c r="BC446" s="12"/>
      <c r="BK446" s="12"/>
    </row>
    <row r="447" spans="1:63" x14ac:dyDescent="0.25">
      <c r="A447" s="29">
        <f t="shared" si="113"/>
        <v>0</v>
      </c>
      <c r="B447" s="29">
        <f t="shared" si="99"/>
        <v>0</v>
      </c>
      <c r="C447" s="29">
        <f t="shared" si="100"/>
        <v>0</v>
      </c>
      <c r="D447" s="29">
        <f t="shared" si="101"/>
        <v>0</v>
      </c>
      <c r="E447" s="29">
        <f t="shared" si="98"/>
        <v>0</v>
      </c>
      <c r="F447" s="29">
        <f t="shared" si="102"/>
        <v>0</v>
      </c>
      <c r="G447" s="29" t="str">
        <f t="shared" si="103"/>
        <v>offensive</v>
      </c>
      <c r="H447" s="16">
        <f t="shared" si="104"/>
        <v>0</v>
      </c>
      <c r="I447" s="16">
        <f t="shared" si="105"/>
        <v>0</v>
      </c>
      <c r="J447" s="16">
        <f t="shared" si="106"/>
        <v>0</v>
      </c>
      <c r="K447" s="16">
        <f t="shared" si="107"/>
        <v>0</v>
      </c>
      <c r="L447" s="67">
        <f t="shared" si="108"/>
        <v>0</v>
      </c>
      <c r="M447" s="4">
        <f t="shared" si="109"/>
        <v>0</v>
      </c>
      <c r="N447" s="4">
        <f t="shared" si="110"/>
        <v>0</v>
      </c>
      <c r="O447" s="4">
        <f t="shared" si="111"/>
        <v>0</v>
      </c>
      <c r="P447" s="4" t="e">
        <f>VLOOKUP(AJ439,'CIR Team Info'!$C$5:$E$44,2,FALSE)</f>
        <v>#N/A</v>
      </c>
      <c r="Q447" s="4" t="e">
        <f>VLOOKUP(AJ439,'CIR Team Info'!$C$5:$E$44,3,FALSE)</f>
        <v>#N/A</v>
      </c>
      <c r="R447" s="10" t="e">
        <f>VLOOKUP(AJ439,'FRC Site Data'!$B$3:$L$42,2,FALSE)</f>
        <v>#N/A</v>
      </c>
      <c r="S447" s="10" t="e">
        <f>VLOOKUP(AJ439,'FRC Site Data'!$B$3:$L$42,3,FALSE)</f>
        <v>#N/A</v>
      </c>
      <c r="T447" s="10" t="e">
        <f>VLOOKUP(AJ439,'FRC Site Data'!$B$3:$L$42,4,FALSE)</f>
        <v>#N/A</v>
      </c>
      <c r="U447" s="10" t="e">
        <f>VLOOKUP(AJ439,'FRC Site Data'!$B$3:$L$42,5,FALSE)</f>
        <v>#N/A</v>
      </c>
      <c r="V447" s="10" t="e">
        <f>VLOOKUP(AJ439,'FRC Site Data'!$B$3:$L$42,6,FALSE)</f>
        <v>#N/A</v>
      </c>
      <c r="W447" s="10" t="e">
        <f>VLOOKUP(AJ439,'FRC Site Data'!$B$3:$L$42,8,FALSE)</f>
        <v>#N/A</v>
      </c>
      <c r="X447" s="10" t="e">
        <f>VLOOKUP(AJ439,'FRC Site Data'!$B$3:$L$42,9,FALSE)</f>
        <v>#N/A</v>
      </c>
      <c r="Y447" s="10" t="e">
        <f>VLOOKUP(AJ439,'FRC Site Data'!$B$3:$L$42,10,FALSE)</f>
        <v>#N/A</v>
      </c>
      <c r="Z447" s="10" t="e">
        <f>VLOOKUP(AJ439,'FRC Site Data'!$B$3:$L$42,11,FALSE)</f>
        <v>#N/A</v>
      </c>
      <c r="AA447" s="10" t="e">
        <f>VLOOKUP(AJ439,'CIR Team Info'!$C$5:$E$44,4,FALSE)</f>
        <v>#N/A</v>
      </c>
      <c r="AB447" s="161" t="b">
        <f>ISNUMBER(VLOOKUP(AJ439,Match!$T$5:$T$10,1,FALSE))</f>
        <v>0</v>
      </c>
      <c r="AC447" s="161" t="b">
        <f>IF(AB447=TRUE,(VLOOKUP($AJ439,Match!$T$5:$U$10,2,FALSE)))</f>
        <v>0</v>
      </c>
      <c r="AD447" s="8">
        <v>3</v>
      </c>
      <c r="AE447" s="8">
        <v>2</v>
      </c>
      <c r="AF447" s="8">
        <v>2</v>
      </c>
      <c r="AG447" s="8">
        <v>1</v>
      </c>
      <c r="AH447" s="8" t="str">
        <f t="shared" si="112"/>
        <v/>
      </c>
      <c r="AI447" s="12"/>
      <c r="AZ447" s="12"/>
      <c r="BC447" s="12"/>
      <c r="BK447" s="12"/>
    </row>
    <row r="448" spans="1:63" x14ac:dyDescent="0.25">
      <c r="A448" s="29">
        <f t="shared" si="113"/>
        <v>0</v>
      </c>
      <c r="B448" s="29">
        <f t="shared" si="99"/>
        <v>0</v>
      </c>
      <c r="C448" s="29">
        <f t="shared" si="100"/>
        <v>0</v>
      </c>
      <c r="D448" s="29">
        <f t="shared" si="101"/>
        <v>0</v>
      </c>
      <c r="E448" s="29">
        <f t="shared" si="98"/>
        <v>0</v>
      </c>
      <c r="F448" s="29">
        <f t="shared" si="102"/>
        <v>0</v>
      </c>
      <c r="G448" s="29" t="str">
        <f t="shared" si="103"/>
        <v>offensive</v>
      </c>
      <c r="H448" s="16">
        <f t="shared" si="104"/>
        <v>0</v>
      </c>
      <c r="I448" s="16">
        <f t="shared" si="105"/>
        <v>0</v>
      </c>
      <c r="J448" s="16">
        <f t="shared" si="106"/>
        <v>0</v>
      </c>
      <c r="K448" s="16">
        <f t="shared" si="107"/>
        <v>0</v>
      </c>
      <c r="L448" s="67">
        <f t="shared" si="108"/>
        <v>0</v>
      </c>
      <c r="M448" s="4">
        <f t="shared" si="109"/>
        <v>0</v>
      </c>
      <c r="N448" s="4">
        <f t="shared" si="110"/>
        <v>0</v>
      </c>
      <c r="O448" s="4">
        <f t="shared" si="111"/>
        <v>0</v>
      </c>
      <c r="P448" s="4" t="e">
        <f>VLOOKUP(AJ440,'CIR Team Info'!$C$5:$E$44,2,FALSE)</f>
        <v>#N/A</v>
      </c>
      <c r="Q448" s="4" t="e">
        <f>VLOOKUP(AJ440,'CIR Team Info'!$C$5:$E$44,3,FALSE)</f>
        <v>#N/A</v>
      </c>
      <c r="R448" s="10" t="e">
        <f>VLOOKUP(AJ440,'FRC Site Data'!$B$3:$L$42,2,FALSE)</f>
        <v>#N/A</v>
      </c>
      <c r="S448" s="10" t="e">
        <f>VLOOKUP(AJ440,'FRC Site Data'!$B$3:$L$42,3,FALSE)</f>
        <v>#N/A</v>
      </c>
      <c r="T448" s="10" t="e">
        <f>VLOOKUP(AJ440,'FRC Site Data'!$B$3:$L$42,4,FALSE)</f>
        <v>#N/A</v>
      </c>
      <c r="U448" s="10" t="e">
        <f>VLOOKUP(AJ440,'FRC Site Data'!$B$3:$L$42,5,FALSE)</f>
        <v>#N/A</v>
      </c>
      <c r="V448" s="10" t="e">
        <f>VLOOKUP(AJ440,'FRC Site Data'!$B$3:$L$42,6,FALSE)</f>
        <v>#N/A</v>
      </c>
      <c r="W448" s="10" t="e">
        <f>VLOOKUP(AJ440,'FRC Site Data'!$B$3:$L$42,8,FALSE)</f>
        <v>#N/A</v>
      </c>
      <c r="X448" s="10" t="e">
        <f>VLOOKUP(AJ440,'FRC Site Data'!$B$3:$L$42,9,FALSE)</f>
        <v>#N/A</v>
      </c>
      <c r="Y448" s="10" t="e">
        <f>VLOOKUP(AJ440,'FRC Site Data'!$B$3:$L$42,10,FALSE)</f>
        <v>#N/A</v>
      </c>
      <c r="Z448" s="10" t="e">
        <f>VLOOKUP(AJ440,'FRC Site Data'!$B$3:$L$42,11,FALSE)</f>
        <v>#N/A</v>
      </c>
      <c r="AA448" s="10" t="e">
        <f>VLOOKUP(AJ440,'CIR Team Info'!$C$5:$E$44,4,FALSE)</f>
        <v>#N/A</v>
      </c>
      <c r="AB448" s="161" t="b">
        <f>ISNUMBER(VLOOKUP(AJ440,Match!$T$5:$T$10,1,FALSE))</f>
        <v>0</v>
      </c>
      <c r="AC448" s="161" t="b">
        <f>IF(AB448=TRUE,(VLOOKUP($AJ440,Match!$T$5:$U$10,2,FALSE)))</f>
        <v>0</v>
      </c>
      <c r="AD448" s="8">
        <v>3</v>
      </c>
      <c r="AE448" s="8">
        <v>2</v>
      </c>
      <c r="AF448" s="8">
        <v>2</v>
      </c>
      <c r="AG448" s="8">
        <v>1</v>
      </c>
      <c r="AH448" s="8" t="str">
        <f t="shared" si="112"/>
        <v/>
      </c>
      <c r="AI448" s="12"/>
      <c r="AZ448" s="12"/>
      <c r="BC448" s="12"/>
      <c r="BK448" s="12"/>
    </row>
    <row r="449" spans="1:63" x14ac:dyDescent="0.25">
      <c r="A449" s="29">
        <f t="shared" si="113"/>
        <v>0</v>
      </c>
      <c r="B449" s="29">
        <f t="shared" si="99"/>
        <v>0</v>
      </c>
      <c r="C449" s="29">
        <f t="shared" si="100"/>
        <v>0</v>
      </c>
      <c r="D449" s="29">
        <f t="shared" si="101"/>
        <v>0</v>
      </c>
      <c r="E449" s="29">
        <f t="shared" ref="E449:E512" si="114">K449*O449</f>
        <v>0</v>
      </c>
      <c r="F449" s="29">
        <f t="shared" si="102"/>
        <v>0</v>
      </c>
      <c r="G449" s="29" t="str">
        <f t="shared" si="103"/>
        <v>offensive</v>
      </c>
      <c r="H449" s="16">
        <f t="shared" si="104"/>
        <v>0</v>
      </c>
      <c r="I449" s="16">
        <f t="shared" si="105"/>
        <v>0</v>
      </c>
      <c r="J449" s="16">
        <f t="shared" si="106"/>
        <v>0</v>
      </c>
      <c r="K449" s="16">
        <f t="shared" si="107"/>
        <v>0</v>
      </c>
      <c r="L449" s="67">
        <f t="shared" si="108"/>
        <v>0</v>
      </c>
      <c r="M449" s="4">
        <f t="shared" si="109"/>
        <v>0</v>
      </c>
      <c r="N449" s="4">
        <f t="shared" si="110"/>
        <v>0</v>
      </c>
      <c r="O449" s="4">
        <f t="shared" si="111"/>
        <v>0</v>
      </c>
      <c r="P449" s="4" t="e">
        <f>VLOOKUP(AJ441,'CIR Team Info'!$C$5:$E$44,2,FALSE)</f>
        <v>#N/A</v>
      </c>
      <c r="Q449" s="4" t="e">
        <f>VLOOKUP(AJ441,'CIR Team Info'!$C$5:$E$44,3,FALSE)</f>
        <v>#N/A</v>
      </c>
      <c r="R449" s="10" t="e">
        <f>VLOOKUP(AJ441,'FRC Site Data'!$B$3:$L$42,2,FALSE)</f>
        <v>#N/A</v>
      </c>
      <c r="S449" s="10" t="e">
        <f>VLOOKUP(AJ441,'FRC Site Data'!$B$3:$L$42,3,FALSE)</f>
        <v>#N/A</v>
      </c>
      <c r="T449" s="10" t="e">
        <f>VLOOKUP(AJ441,'FRC Site Data'!$B$3:$L$42,4,FALSE)</f>
        <v>#N/A</v>
      </c>
      <c r="U449" s="10" t="e">
        <f>VLOOKUP(AJ441,'FRC Site Data'!$B$3:$L$42,5,FALSE)</f>
        <v>#N/A</v>
      </c>
      <c r="V449" s="10" t="e">
        <f>VLOOKUP(AJ441,'FRC Site Data'!$B$3:$L$42,6,FALSE)</f>
        <v>#N/A</v>
      </c>
      <c r="W449" s="10" t="e">
        <f>VLOOKUP(AJ441,'FRC Site Data'!$B$3:$L$42,8,FALSE)</f>
        <v>#N/A</v>
      </c>
      <c r="X449" s="10" t="e">
        <f>VLOOKUP(AJ441,'FRC Site Data'!$B$3:$L$42,9,FALSE)</f>
        <v>#N/A</v>
      </c>
      <c r="Y449" s="10" t="e">
        <f>VLOOKUP(AJ441,'FRC Site Data'!$B$3:$L$42,10,FALSE)</f>
        <v>#N/A</v>
      </c>
      <c r="Z449" s="10" t="e">
        <f>VLOOKUP(AJ441,'FRC Site Data'!$B$3:$L$42,11,FALSE)</f>
        <v>#N/A</v>
      </c>
      <c r="AA449" s="10" t="e">
        <f>VLOOKUP(AJ441,'CIR Team Info'!$C$5:$E$44,4,FALSE)</f>
        <v>#N/A</v>
      </c>
      <c r="AB449" s="161" t="b">
        <f>ISNUMBER(VLOOKUP(AJ441,Match!$T$5:$T$10,1,FALSE))</f>
        <v>0</v>
      </c>
      <c r="AC449" s="161" t="b">
        <f>IF(AB449=TRUE,(VLOOKUP($AJ441,Match!$T$5:$U$10,2,FALSE)))</f>
        <v>0</v>
      </c>
      <c r="AD449" s="8">
        <v>3</v>
      </c>
      <c r="AE449" s="8">
        <v>2</v>
      </c>
      <c r="AF449" s="8">
        <v>2</v>
      </c>
      <c r="AG449" s="8">
        <v>1</v>
      </c>
      <c r="AH449" s="8" t="str">
        <f t="shared" si="112"/>
        <v/>
      </c>
      <c r="AI449" s="12"/>
      <c r="AZ449" s="12"/>
      <c r="BC449" s="12"/>
      <c r="BK449" s="12"/>
    </row>
    <row r="450" spans="1:63" x14ac:dyDescent="0.25">
      <c r="A450" s="29">
        <f t="shared" si="113"/>
        <v>0</v>
      </c>
      <c r="B450" s="29">
        <f t="shared" si="99"/>
        <v>0</v>
      </c>
      <c r="C450" s="29">
        <f t="shared" si="100"/>
        <v>0</v>
      </c>
      <c r="D450" s="29">
        <f t="shared" si="101"/>
        <v>0</v>
      </c>
      <c r="E450" s="29">
        <f t="shared" si="114"/>
        <v>0</v>
      </c>
      <c r="F450" s="29">
        <f t="shared" si="102"/>
        <v>0</v>
      </c>
      <c r="G450" s="29" t="str">
        <f t="shared" si="103"/>
        <v>offensive</v>
      </c>
      <c r="H450" s="16">
        <f t="shared" si="104"/>
        <v>0</v>
      </c>
      <c r="I450" s="16">
        <f t="shared" si="105"/>
        <v>0</v>
      </c>
      <c r="J450" s="16">
        <f t="shared" si="106"/>
        <v>0</v>
      </c>
      <c r="K450" s="16">
        <f t="shared" si="107"/>
        <v>0</v>
      </c>
      <c r="L450" s="67">
        <f t="shared" si="108"/>
        <v>0</v>
      </c>
      <c r="M450" s="4">
        <f t="shared" si="109"/>
        <v>0</v>
      </c>
      <c r="N450" s="4">
        <f t="shared" si="110"/>
        <v>0</v>
      </c>
      <c r="O450" s="4">
        <f t="shared" si="111"/>
        <v>0</v>
      </c>
      <c r="P450" s="4" t="e">
        <f>VLOOKUP(AJ442,'CIR Team Info'!$C$5:$E$44,2,FALSE)</f>
        <v>#N/A</v>
      </c>
      <c r="Q450" s="4" t="e">
        <f>VLOOKUP(AJ442,'CIR Team Info'!$C$5:$E$44,3,FALSE)</f>
        <v>#N/A</v>
      </c>
      <c r="R450" s="10" t="e">
        <f>VLOOKUP(AJ442,'FRC Site Data'!$B$3:$L$42,2,FALSE)</f>
        <v>#N/A</v>
      </c>
      <c r="S450" s="10" t="e">
        <f>VLOOKUP(AJ442,'FRC Site Data'!$B$3:$L$42,3,FALSE)</f>
        <v>#N/A</v>
      </c>
      <c r="T450" s="10" t="e">
        <f>VLOOKUP(AJ442,'FRC Site Data'!$B$3:$L$42,4,FALSE)</f>
        <v>#N/A</v>
      </c>
      <c r="U450" s="10" t="e">
        <f>VLOOKUP(AJ442,'FRC Site Data'!$B$3:$L$42,5,FALSE)</f>
        <v>#N/A</v>
      </c>
      <c r="V450" s="10" t="e">
        <f>VLOOKUP(AJ442,'FRC Site Data'!$B$3:$L$42,6,FALSE)</f>
        <v>#N/A</v>
      </c>
      <c r="W450" s="10" t="e">
        <f>VLOOKUP(AJ442,'FRC Site Data'!$B$3:$L$42,8,FALSE)</f>
        <v>#N/A</v>
      </c>
      <c r="X450" s="10" t="e">
        <f>VLOOKUP(AJ442,'FRC Site Data'!$B$3:$L$42,9,FALSE)</f>
        <v>#N/A</v>
      </c>
      <c r="Y450" s="10" t="e">
        <f>VLOOKUP(AJ442,'FRC Site Data'!$B$3:$L$42,10,FALSE)</f>
        <v>#N/A</v>
      </c>
      <c r="Z450" s="10" t="e">
        <f>VLOOKUP(AJ442,'FRC Site Data'!$B$3:$L$42,11,FALSE)</f>
        <v>#N/A</v>
      </c>
      <c r="AA450" s="10" t="e">
        <f>VLOOKUP(AJ442,'CIR Team Info'!$C$5:$E$44,4,FALSE)</f>
        <v>#N/A</v>
      </c>
      <c r="AB450" s="161" t="b">
        <f>ISNUMBER(VLOOKUP(AJ442,Match!$T$5:$T$10,1,FALSE))</f>
        <v>0</v>
      </c>
      <c r="AC450" s="161" t="b">
        <f>IF(AB450=TRUE,(VLOOKUP($AJ442,Match!$T$5:$U$10,2,FALSE)))</f>
        <v>0</v>
      </c>
      <c r="AD450" s="8">
        <v>3</v>
      </c>
      <c r="AE450" s="8">
        <v>2</v>
      </c>
      <c r="AF450" s="8">
        <v>2</v>
      </c>
      <c r="AG450" s="8">
        <v>1</v>
      </c>
      <c r="AH450" s="8" t="str">
        <f t="shared" si="112"/>
        <v/>
      </c>
      <c r="AI450" s="12"/>
      <c r="AZ450" s="12"/>
      <c r="BC450" s="12"/>
      <c r="BK450" s="12"/>
    </row>
    <row r="451" spans="1:63" x14ac:dyDescent="0.25">
      <c r="A451" s="29">
        <f t="shared" si="113"/>
        <v>0</v>
      </c>
      <c r="B451" s="29">
        <f t="shared" si="99"/>
        <v>0</v>
      </c>
      <c r="C451" s="29">
        <f t="shared" si="100"/>
        <v>0</v>
      </c>
      <c r="D451" s="29">
        <f t="shared" si="101"/>
        <v>0</v>
      </c>
      <c r="E451" s="29">
        <f t="shared" si="114"/>
        <v>0</v>
      </c>
      <c r="F451" s="29">
        <f t="shared" si="102"/>
        <v>0</v>
      </c>
      <c r="G451" s="29" t="str">
        <f t="shared" si="103"/>
        <v>offensive</v>
      </c>
      <c r="H451" s="16">
        <f t="shared" si="104"/>
        <v>0</v>
      </c>
      <c r="I451" s="16">
        <f t="shared" si="105"/>
        <v>0</v>
      </c>
      <c r="J451" s="16">
        <f t="shared" si="106"/>
        <v>0</v>
      </c>
      <c r="K451" s="16">
        <f t="shared" si="107"/>
        <v>0</v>
      </c>
      <c r="L451" s="67">
        <f t="shared" si="108"/>
        <v>0</v>
      </c>
      <c r="M451" s="4">
        <f t="shared" si="109"/>
        <v>0</v>
      </c>
      <c r="N451" s="4">
        <f t="shared" si="110"/>
        <v>0</v>
      </c>
      <c r="O451" s="4">
        <f t="shared" si="111"/>
        <v>0</v>
      </c>
      <c r="P451" s="4" t="e">
        <f>VLOOKUP(AJ443,'CIR Team Info'!$C$5:$E$44,2,FALSE)</f>
        <v>#N/A</v>
      </c>
      <c r="Q451" s="4" t="e">
        <f>VLOOKUP(AJ443,'CIR Team Info'!$C$5:$E$44,3,FALSE)</f>
        <v>#N/A</v>
      </c>
      <c r="R451" s="10" t="e">
        <f>VLOOKUP(AJ443,'FRC Site Data'!$B$3:$L$42,2,FALSE)</f>
        <v>#N/A</v>
      </c>
      <c r="S451" s="10" t="e">
        <f>VLOOKUP(AJ443,'FRC Site Data'!$B$3:$L$42,3,FALSE)</f>
        <v>#N/A</v>
      </c>
      <c r="T451" s="10" t="e">
        <f>VLOOKUP(AJ443,'FRC Site Data'!$B$3:$L$42,4,FALSE)</f>
        <v>#N/A</v>
      </c>
      <c r="U451" s="10" t="e">
        <f>VLOOKUP(AJ443,'FRC Site Data'!$B$3:$L$42,5,FALSE)</f>
        <v>#N/A</v>
      </c>
      <c r="V451" s="10" t="e">
        <f>VLOOKUP(AJ443,'FRC Site Data'!$B$3:$L$42,6,FALSE)</f>
        <v>#N/A</v>
      </c>
      <c r="W451" s="10" t="e">
        <f>VLOOKUP(AJ443,'FRC Site Data'!$B$3:$L$42,8,FALSE)</f>
        <v>#N/A</v>
      </c>
      <c r="X451" s="10" t="e">
        <f>VLOOKUP(AJ443,'FRC Site Data'!$B$3:$L$42,9,FALSE)</f>
        <v>#N/A</v>
      </c>
      <c r="Y451" s="10" t="e">
        <f>VLOOKUP(AJ443,'FRC Site Data'!$B$3:$L$42,10,FALSE)</f>
        <v>#N/A</v>
      </c>
      <c r="Z451" s="10" t="e">
        <f>VLOOKUP(AJ443,'FRC Site Data'!$B$3:$L$42,11,FALSE)</f>
        <v>#N/A</v>
      </c>
      <c r="AA451" s="10" t="e">
        <f>VLOOKUP(AJ443,'CIR Team Info'!$C$5:$E$44,4,FALSE)</f>
        <v>#N/A</v>
      </c>
      <c r="AB451" s="161" t="b">
        <f>ISNUMBER(VLOOKUP(AJ443,Match!$T$5:$T$10,1,FALSE))</f>
        <v>0</v>
      </c>
      <c r="AC451" s="161" t="b">
        <f>IF(AB451=TRUE,(VLOOKUP($AJ443,Match!$T$5:$U$10,2,FALSE)))</f>
        <v>0</v>
      </c>
      <c r="AD451" s="8">
        <v>3</v>
      </c>
      <c r="AE451" s="8">
        <v>2</v>
      </c>
      <c r="AF451" s="8">
        <v>2</v>
      </c>
      <c r="AG451" s="8">
        <v>1</v>
      </c>
      <c r="AH451" s="8" t="str">
        <f t="shared" si="112"/>
        <v/>
      </c>
      <c r="AI451" s="12"/>
      <c r="AZ451" s="12"/>
      <c r="BC451" s="12"/>
      <c r="BK451" s="12"/>
    </row>
    <row r="452" spans="1:63" x14ac:dyDescent="0.25">
      <c r="A452" s="29">
        <f t="shared" si="113"/>
        <v>0</v>
      </c>
      <c r="B452" s="29">
        <f t="shared" si="99"/>
        <v>0</v>
      </c>
      <c r="C452" s="29">
        <f t="shared" si="100"/>
        <v>0</v>
      </c>
      <c r="D452" s="29">
        <f t="shared" si="101"/>
        <v>0</v>
      </c>
      <c r="E452" s="29">
        <f t="shared" si="114"/>
        <v>0</v>
      </c>
      <c r="F452" s="29">
        <f t="shared" si="102"/>
        <v>0</v>
      </c>
      <c r="G452" s="29" t="str">
        <f t="shared" si="103"/>
        <v>offensive</v>
      </c>
      <c r="H452" s="16">
        <f t="shared" si="104"/>
        <v>0</v>
      </c>
      <c r="I452" s="16">
        <f t="shared" si="105"/>
        <v>0</v>
      </c>
      <c r="J452" s="16">
        <f t="shared" si="106"/>
        <v>0</v>
      </c>
      <c r="K452" s="16">
        <f t="shared" si="107"/>
        <v>0</v>
      </c>
      <c r="L452" s="67">
        <f t="shared" si="108"/>
        <v>0</v>
      </c>
      <c r="M452" s="4">
        <f t="shared" si="109"/>
        <v>0</v>
      </c>
      <c r="N452" s="4">
        <f t="shared" si="110"/>
        <v>0</v>
      </c>
      <c r="O452" s="4">
        <f t="shared" si="111"/>
        <v>0</v>
      </c>
      <c r="P452" s="4" t="e">
        <f>VLOOKUP(AJ444,'CIR Team Info'!$C$5:$E$44,2,FALSE)</f>
        <v>#N/A</v>
      </c>
      <c r="Q452" s="4" t="e">
        <f>VLOOKUP(AJ444,'CIR Team Info'!$C$5:$E$44,3,FALSE)</f>
        <v>#N/A</v>
      </c>
      <c r="R452" s="10" t="e">
        <f>VLOOKUP(AJ444,'FRC Site Data'!$B$3:$L$42,2,FALSE)</f>
        <v>#N/A</v>
      </c>
      <c r="S452" s="10" t="e">
        <f>VLOOKUP(AJ444,'FRC Site Data'!$B$3:$L$42,3,FALSE)</f>
        <v>#N/A</v>
      </c>
      <c r="T452" s="10" t="e">
        <f>VLOOKUP(AJ444,'FRC Site Data'!$B$3:$L$42,4,FALSE)</f>
        <v>#N/A</v>
      </c>
      <c r="U452" s="10" t="e">
        <f>VLOOKUP(AJ444,'FRC Site Data'!$B$3:$L$42,5,FALSE)</f>
        <v>#N/A</v>
      </c>
      <c r="V452" s="10" t="e">
        <f>VLOOKUP(AJ444,'FRC Site Data'!$B$3:$L$42,6,FALSE)</f>
        <v>#N/A</v>
      </c>
      <c r="W452" s="10" t="e">
        <f>VLOOKUP(AJ444,'FRC Site Data'!$B$3:$L$42,8,FALSE)</f>
        <v>#N/A</v>
      </c>
      <c r="X452" s="10" t="e">
        <f>VLOOKUP(AJ444,'FRC Site Data'!$B$3:$L$42,9,FALSE)</f>
        <v>#N/A</v>
      </c>
      <c r="Y452" s="10" t="e">
        <f>VLOOKUP(AJ444,'FRC Site Data'!$B$3:$L$42,10,FALSE)</f>
        <v>#N/A</v>
      </c>
      <c r="Z452" s="10" t="e">
        <f>VLOOKUP(AJ444,'FRC Site Data'!$B$3:$L$42,11,FALSE)</f>
        <v>#N/A</v>
      </c>
      <c r="AA452" s="10" t="e">
        <f>VLOOKUP(AJ444,'CIR Team Info'!$C$5:$E$44,4,FALSE)</f>
        <v>#N/A</v>
      </c>
      <c r="AB452" s="161" t="b">
        <f>ISNUMBER(VLOOKUP(AJ444,Match!$T$5:$T$10,1,FALSE))</f>
        <v>0</v>
      </c>
      <c r="AC452" s="161" t="b">
        <f>IF(AB452=TRUE,(VLOOKUP($AJ444,Match!$T$5:$U$10,2,FALSE)))</f>
        <v>0</v>
      </c>
      <c r="AD452" s="8">
        <v>3</v>
      </c>
      <c r="AE452" s="8">
        <v>2</v>
      </c>
      <c r="AF452" s="8">
        <v>2</v>
      </c>
      <c r="AG452" s="8">
        <v>1</v>
      </c>
      <c r="AH452" s="8" t="str">
        <f t="shared" si="112"/>
        <v/>
      </c>
      <c r="AI452" s="12"/>
      <c r="AZ452" s="12"/>
      <c r="BC452" s="12"/>
      <c r="BK452" s="12"/>
    </row>
    <row r="453" spans="1:63" x14ac:dyDescent="0.25">
      <c r="A453" s="29">
        <f t="shared" si="113"/>
        <v>0</v>
      </c>
      <c r="B453" s="29">
        <f t="shared" si="99"/>
        <v>0</v>
      </c>
      <c r="C453" s="29">
        <f t="shared" si="100"/>
        <v>0</v>
      </c>
      <c r="D453" s="29">
        <f t="shared" si="101"/>
        <v>0</v>
      </c>
      <c r="E453" s="29">
        <f t="shared" si="114"/>
        <v>0</v>
      </c>
      <c r="F453" s="29">
        <f t="shared" si="102"/>
        <v>0</v>
      </c>
      <c r="G453" s="29" t="str">
        <f t="shared" si="103"/>
        <v>offensive</v>
      </c>
      <c r="H453" s="16">
        <f t="shared" si="104"/>
        <v>0</v>
      </c>
      <c r="I453" s="16">
        <f t="shared" si="105"/>
        <v>0</v>
      </c>
      <c r="J453" s="16">
        <f t="shared" si="106"/>
        <v>0</v>
      </c>
      <c r="K453" s="16">
        <f t="shared" si="107"/>
        <v>0</v>
      </c>
      <c r="L453" s="67">
        <f t="shared" si="108"/>
        <v>0</v>
      </c>
      <c r="M453" s="4">
        <f t="shared" si="109"/>
        <v>0</v>
      </c>
      <c r="N453" s="4">
        <f t="shared" si="110"/>
        <v>0</v>
      </c>
      <c r="O453" s="4">
        <f t="shared" si="111"/>
        <v>0</v>
      </c>
      <c r="P453" s="4" t="e">
        <f>VLOOKUP(AJ445,'CIR Team Info'!$C$5:$E$44,2,FALSE)</f>
        <v>#N/A</v>
      </c>
      <c r="Q453" s="4" t="e">
        <f>VLOOKUP(AJ445,'CIR Team Info'!$C$5:$E$44,3,FALSE)</f>
        <v>#N/A</v>
      </c>
      <c r="R453" s="10" t="e">
        <f>VLOOKUP(AJ445,'FRC Site Data'!$B$3:$L$42,2,FALSE)</f>
        <v>#N/A</v>
      </c>
      <c r="S453" s="10" t="e">
        <f>VLOOKUP(AJ445,'FRC Site Data'!$B$3:$L$42,3,FALSE)</f>
        <v>#N/A</v>
      </c>
      <c r="T453" s="10" t="e">
        <f>VLOOKUP(AJ445,'FRC Site Data'!$B$3:$L$42,4,FALSE)</f>
        <v>#N/A</v>
      </c>
      <c r="U453" s="10" t="e">
        <f>VLOOKUP(AJ445,'FRC Site Data'!$B$3:$L$42,5,FALSE)</f>
        <v>#N/A</v>
      </c>
      <c r="V453" s="10" t="e">
        <f>VLOOKUP(AJ445,'FRC Site Data'!$B$3:$L$42,6,FALSE)</f>
        <v>#N/A</v>
      </c>
      <c r="W453" s="10" t="e">
        <f>VLOOKUP(AJ445,'FRC Site Data'!$B$3:$L$42,8,FALSE)</f>
        <v>#N/A</v>
      </c>
      <c r="X453" s="10" t="e">
        <f>VLOOKUP(AJ445,'FRC Site Data'!$B$3:$L$42,9,FALSE)</f>
        <v>#N/A</v>
      </c>
      <c r="Y453" s="10" t="e">
        <f>VLOOKUP(AJ445,'FRC Site Data'!$B$3:$L$42,10,FALSE)</f>
        <v>#N/A</v>
      </c>
      <c r="Z453" s="10" t="e">
        <f>VLOOKUP(AJ445,'FRC Site Data'!$B$3:$L$42,11,FALSE)</f>
        <v>#N/A</v>
      </c>
      <c r="AA453" s="10" t="e">
        <f>VLOOKUP(AJ445,'CIR Team Info'!$C$5:$E$44,4,FALSE)</f>
        <v>#N/A</v>
      </c>
      <c r="AB453" s="161" t="b">
        <f>ISNUMBER(VLOOKUP(AJ445,Match!$T$5:$T$10,1,FALSE))</f>
        <v>0</v>
      </c>
      <c r="AC453" s="161" t="b">
        <f>IF(AB453=TRUE,(VLOOKUP($AJ445,Match!$T$5:$U$10,2,FALSE)))</f>
        <v>0</v>
      </c>
      <c r="AD453" s="8">
        <v>3</v>
      </c>
      <c r="AE453" s="8">
        <v>2</v>
      </c>
      <c r="AF453" s="8">
        <v>2</v>
      </c>
      <c r="AG453" s="8">
        <v>1</v>
      </c>
      <c r="AH453" s="8" t="str">
        <f t="shared" si="112"/>
        <v/>
      </c>
      <c r="AI453" s="12"/>
      <c r="AZ453" s="12"/>
      <c r="BC453" s="12"/>
      <c r="BK453" s="12"/>
    </row>
    <row r="454" spans="1:63" x14ac:dyDescent="0.25">
      <c r="A454" s="29">
        <f t="shared" si="113"/>
        <v>0</v>
      </c>
      <c r="B454" s="29">
        <f t="shared" si="99"/>
        <v>0</v>
      </c>
      <c r="C454" s="29">
        <f t="shared" si="100"/>
        <v>0</v>
      </c>
      <c r="D454" s="29">
        <f t="shared" si="101"/>
        <v>0</v>
      </c>
      <c r="E454" s="29">
        <f t="shared" si="114"/>
        <v>0</v>
      </c>
      <c r="F454" s="29">
        <f t="shared" si="102"/>
        <v>0</v>
      </c>
      <c r="G454" s="29" t="str">
        <f t="shared" si="103"/>
        <v>offensive</v>
      </c>
      <c r="H454" s="16">
        <f t="shared" si="104"/>
        <v>0</v>
      </c>
      <c r="I454" s="16">
        <f t="shared" si="105"/>
        <v>0</v>
      </c>
      <c r="J454" s="16">
        <f t="shared" si="106"/>
        <v>0</v>
      </c>
      <c r="K454" s="16">
        <f t="shared" si="107"/>
        <v>0</v>
      </c>
      <c r="L454" s="67">
        <f t="shared" si="108"/>
        <v>0</v>
      </c>
      <c r="M454" s="4">
        <f t="shared" si="109"/>
        <v>0</v>
      </c>
      <c r="N454" s="4">
        <f t="shared" si="110"/>
        <v>0</v>
      </c>
      <c r="O454" s="4">
        <f t="shared" si="111"/>
        <v>0</v>
      </c>
      <c r="P454" s="4" t="e">
        <f>VLOOKUP(AJ446,'CIR Team Info'!$C$5:$E$44,2,FALSE)</f>
        <v>#N/A</v>
      </c>
      <c r="Q454" s="4" t="e">
        <f>VLOOKUP(AJ446,'CIR Team Info'!$C$5:$E$44,3,FALSE)</f>
        <v>#N/A</v>
      </c>
      <c r="R454" s="10" t="e">
        <f>VLOOKUP(AJ446,'FRC Site Data'!$B$3:$L$42,2,FALSE)</f>
        <v>#N/A</v>
      </c>
      <c r="S454" s="10" t="e">
        <f>VLOOKUP(AJ446,'FRC Site Data'!$B$3:$L$42,3,FALSE)</f>
        <v>#N/A</v>
      </c>
      <c r="T454" s="10" t="e">
        <f>VLOOKUP(AJ446,'FRC Site Data'!$B$3:$L$42,4,FALSE)</f>
        <v>#N/A</v>
      </c>
      <c r="U454" s="10" t="e">
        <f>VLOOKUP(AJ446,'FRC Site Data'!$B$3:$L$42,5,FALSE)</f>
        <v>#N/A</v>
      </c>
      <c r="V454" s="10" t="e">
        <f>VLOOKUP(AJ446,'FRC Site Data'!$B$3:$L$42,6,FALSE)</f>
        <v>#N/A</v>
      </c>
      <c r="W454" s="10" t="e">
        <f>VLOOKUP(AJ446,'FRC Site Data'!$B$3:$L$42,8,FALSE)</f>
        <v>#N/A</v>
      </c>
      <c r="X454" s="10" t="e">
        <f>VLOOKUP(AJ446,'FRC Site Data'!$B$3:$L$42,9,FALSE)</f>
        <v>#N/A</v>
      </c>
      <c r="Y454" s="10" t="e">
        <f>VLOOKUP(AJ446,'FRC Site Data'!$B$3:$L$42,10,FALSE)</f>
        <v>#N/A</v>
      </c>
      <c r="Z454" s="10" t="e">
        <f>VLOOKUP(AJ446,'FRC Site Data'!$B$3:$L$42,11,FALSE)</f>
        <v>#N/A</v>
      </c>
      <c r="AA454" s="10" t="e">
        <f>VLOOKUP(AJ446,'CIR Team Info'!$C$5:$E$44,4,FALSE)</f>
        <v>#N/A</v>
      </c>
      <c r="AB454" s="161" t="b">
        <f>ISNUMBER(VLOOKUP(AJ446,Match!$T$5:$T$10,1,FALSE))</f>
        <v>0</v>
      </c>
      <c r="AC454" s="161" t="b">
        <f>IF(AB454=TRUE,(VLOOKUP($AJ446,Match!$T$5:$U$10,2,FALSE)))</f>
        <v>0</v>
      </c>
      <c r="AD454" s="8">
        <v>3</v>
      </c>
      <c r="AE454" s="8">
        <v>2</v>
      </c>
      <c r="AF454" s="8">
        <v>2</v>
      </c>
      <c r="AG454" s="8">
        <v>1</v>
      </c>
      <c r="AH454" s="8" t="str">
        <f t="shared" si="112"/>
        <v/>
      </c>
      <c r="AI454" s="12"/>
      <c r="AZ454" s="12"/>
      <c r="BC454" s="12"/>
      <c r="BK454" s="12"/>
    </row>
    <row r="455" spans="1:63" x14ac:dyDescent="0.25">
      <c r="A455" s="29">
        <f t="shared" si="113"/>
        <v>0</v>
      </c>
      <c r="B455" s="29">
        <f t="shared" si="99"/>
        <v>0</v>
      </c>
      <c r="C455" s="29">
        <f t="shared" si="100"/>
        <v>0</v>
      </c>
      <c r="D455" s="29">
        <f t="shared" si="101"/>
        <v>0</v>
      </c>
      <c r="E455" s="29">
        <f t="shared" si="114"/>
        <v>0</v>
      </c>
      <c r="F455" s="29">
        <f t="shared" si="102"/>
        <v>0</v>
      </c>
      <c r="G455" s="29" t="str">
        <f t="shared" si="103"/>
        <v>offensive</v>
      </c>
      <c r="H455" s="16">
        <f t="shared" si="104"/>
        <v>0</v>
      </c>
      <c r="I455" s="16">
        <f t="shared" si="105"/>
        <v>0</v>
      </c>
      <c r="J455" s="16">
        <f t="shared" si="106"/>
        <v>0</v>
      </c>
      <c r="K455" s="16">
        <f t="shared" si="107"/>
        <v>0</v>
      </c>
      <c r="L455" s="67">
        <f t="shared" si="108"/>
        <v>0</v>
      </c>
      <c r="M455" s="4">
        <f t="shared" si="109"/>
        <v>0</v>
      </c>
      <c r="N455" s="4">
        <f t="shared" si="110"/>
        <v>0</v>
      </c>
      <c r="O455" s="4">
        <f t="shared" si="111"/>
        <v>0</v>
      </c>
      <c r="P455" s="4" t="e">
        <f>VLOOKUP(AJ447,'CIR Team Info'!$C$5:$E$44,2,FALSE)</f>
        <v>#N/A</v>
      </c>
      <c r="Q455" s="4" t="e">
        <f>VLOOKUP(AJ447,'CIR Team Info'!$C$5:$E$44,3,FALSE)</f>
        <v>#N/A</v>
      </c>
      <c r="R455" s="10" t="e">
        <f>VLOOKUP(AJ447,'FRC Site Data'!$B$3:$L$42,2,FALSE)</f>
        <v>#N/A</v>
      </c>
      <c r="S455" s="10" t="e">
        <f>VLOOKUP(AJ447,'FRC Site Data'!$B$3:$L$42,3,FALSE)</f>
        <v>#N/A</v>
      </c>
      <c r="T455" s="10" t="e">
        <f>VLOOKUP(AJ447,'FRC Site Data'!$B$3:$L$42,4,FALSE)</f>
        <v>#N/A</v>
      </c>
      <c r="U455" s="10" t="e">
        <f>VLOOKUP(AJ447,'FRC Site Data'!$B$3:$L$42,5,FALSE)</f>
        <v>#N/A</v>
      </c>
      <c r="V455" s="10" t="e">
        <f>VLOOKUP(AJ447,'FRC Site Data'!$B$3:$L$42,6,FALSE)</f>
        <v>#N/A</v>
      </c>
      <c r="W455" s="10" t="e">
        <f>VLOOKUP(AJ447,'FRC Site Data'!$B$3:$L$42,8,FALSE)</f>
        <v>#N/A</v>
      </c>
      <c r="X455" s="10" t="e">
        <f>VLOOKUP(AJ447,'FRC Site Data'!$B$3:$L$42,9,FALSE)</f>
        <v>#N/A</v>
      </c>
      <c r="Y455" s="10" t="e">
        <f>VLOOKUP(AJ447,'FRC Site Data'!$B$3:$L$42,10,FALSE)</f>
        <v>#N/A</v>
      </c>
      <c r="Z455" s="10" t="e">
        <f>VLOOKUP(AJ447,'FRC Site Data'!$B$3:$L$42,11,FALSE)</f>
        <v>#N/A</v>
      </c>
      <c r="AA455" s="10" t="e">
        <f>VLOOKUP(AJ447,'CIR Team Info'!$C$5:$E$44,4,FALSE)</f>
        <v>#N/A</v>
      </c>
      <c r="AB455" s="161" t="b">
        <f>ISNUMBER(VLOOKUP(AJ447,Match!$T$5:$T$10,1,FALSE))</f>
        <v>0</v>
      </c>
      <c r="AC455" s="161" t="b">
        <f>IF(AB455=TRUE,(VLOOKUP($AJ447,Match!$T$5:$U$10,2,FALSE)))</f>
        <v>0</v>
      </c>
      <c r="AD455" s="8">
        <v>3</v>
      </c>
      <c r="AE455" s="8">
        <v>2</v>
      </c>
      <c r="AF455" s="8">
        <v>2</v>
      </c>
      <c r="AG455" s="8">
        <v>1</v>
      </c>
      <c r="AH455" s="8" t="str">
        <f t="shared" si="112"/>
        <v/>
      </c>
      <c r="AI455" s="12"/>
      <c r="AZ455" s="12"/>
      <c r="BC455" s="12"/>
      <c r="BK455" s="12"/>
    </row>
    <row r="456" spans="1:63" x14ac:dyDescent="0.25">
      <c r="A456" s="29">
        <f t="shared" si="113"/>
        <v>0</v>
      </c>
      <c r="B456" s="29">
        <f t="shared" ref="B456:B519" si="115">H456*AD456*AO448</f>
        <v>0</v>
      </c>
      <c r="C456" s="29">
        <f t="shared" ref="C456:C519" si="116">I456*AE456*AV448</f>
        <v>0</v>
      </c>
      <c r="D456" s="29">
        <f t="shared" ref="D456:D519" si="117">J456*AF456*BF448</f>
        <v>0</v>
      </c>
      <c r="E456" s="29">
        <f t="shared" si="114"/>
        <v>0</v>
      </c>
      <c r="F456" s="29">
        <f t="shared" ref="F456:F519" si="118">IF(AN448&gt;0,5)-2*COUNTIF(AQ448,"K")+5*COUNTIF(AS448,"T")+IF(AX448=3,2)+IF(AY448="T",2)</f>
        <v>0</v>
      </c>
      <c r="G456" s="29" t="str">
        <f t="shared" ref="G456:G519" si="119">IF((BB448+BC448)&gt;45,"defensive",IF((BB448+BC448)&gt;15,"both","offensive"))</f>
        <v>offensive</v>
      </c>
      <c r="H456" s="16">
        <f t="shared" ref="H456:H519" si="120">IF((AO448+AP448)=0,0,AO448/(AO448+AP448))</f>
        <v>0</v>
      </c>
      <c r="I456" s="16">
        <f t="shared" ref="I456:I519" si="121">IF((AV448+AW448)=0,0,AV448/(AV448+AW448))</f>
        <v>0</v>
      </c>
      <c r="J456" s="16">
        <f t="shared" ref="J456:J519" si="122">IF(L456=0,0,BG448/L456)</f>
        <v>0</v>
      </c>
      <c r="K456" s="16">
        <f t="shared" ref="K456:K519" si="123">IF((BB448+BC448)=0,0,((AZ448*BB448*0.2)+(BA448*BC448*0.3))/(BB448+BC448))</f>
        <v>0</v>
      </c>
      <c r="L456" s="67">
        <f t="shared" ref="L456:L519" si="124">IF(BF448&gt;BG448,BF448,BG448)</f>
        <v>0</v>
      </c>
      <c r="M456" s="4">
        <f t="shared" ref="M456:M519" si="125">AO448+AV448+BD448+O456</f>
        <v>0</v>
      </c>
      <c r="N456" s="4">
        <f t="shared" ref="N456:N519" si="126">AO448+AV448+BD448</f>
        <v>0</v>
      </c>
      <c r="O456" s="4">
        <f t="shared" ref="O456:O519" si="127">(AZ448*0.2*BB448*30/30)+(BA448*0.3*BC448*12/30)-BI448-BJ448</f>
        <v>0</v>
      </c>
      <c r="P456" s="4" t="e">
        <f>VLOOKUP(AJ448,'CIR Team Info'!$C$5:$E$44,2,FALSE)</f>
        <v>#N/A</v>
      </c>
      <c r="Q456" s="4" t="e">
        <f>VLOOKUP(AJ448,'CIR Team Info'!$C$5:$E$44,3,FALSE)</f>
        <v>#N/A</v>
      </c>
      <c r="R456" s="10" t="e">
        <f>VLOOKUP(AJ448,'FRC Site Data'!$B$3:$L$42,2,FALSE)</f>
        <v>#N/A</v>
      </c>
      <c r="S456" s="10" t="e">
        <f>VLOOKUP(AJ448,'FRC Site Data'!$B$3:$L$42,3,FALSE)</f>
        <v>#N/A</v>
      </c>
      <c r="T456" s="10" t="e">
        <f>VLOOKUP(AJ448,'FRC Site Data'!$B$3:$L$42,4,FALSE)</f>
        <v>#N/A</v>
      </c>
      <c r="U456" s="10" t="e">
        <f>VLOOKUP(AJ448,'FRC Site Data'!$B$3:$L$42,5,FALSE)</f>
        <v>#N/A</v>
      </c>
      <c r="V456" s="10" t="e">
        <f>VLOOKUP(AJ448,'FRC Site Data'!$B$3:$L$42,6,FALSE)</f>
        <v>#N/A</v>
      </c>
      <c r="W456" s="10" t="e">
        <f>VLOOKUP(AJ448,'FRC Site Data'!$B$3:$L$42,8,FALSE)</f>
        <v>#N/A</v>
      </c>
      <c r="X456" s="10" t="e">
        <f>VLOOKUP(AJ448,'FRC Site Data'!$B$3:$L$42,9,FALSE)</f>
        <v>#N/A</v>
      </c>
      <c r="Y456" s="10" t="e">
        <f>VLOOKUP(AJ448,'FRC Site Data'!$B$3:$L$42,10,FALSE)</f>
        <v>#N/A</v>
      </c>
      <c r="Z456" s="10" t="e">
        <f>VLOOKUP(AJ448,'FRC Site Data'!$B$3:$L$42,11,FALSE)</f>
        <v>#N/A</v>
      </c>
      <c r="AA456" s="10" t="e">
        <f>VLOOKUP(AJ448,'CIR Team Info'!$C$5:$E$44,4,FALSE)</f>
        <v>#N/A</v>
      </c>
      <c r="AB456" s="161" t="b">
        <f>ISNUMBER(VLOOKUP(AJ448,Match!$T$5:$T$10,1,FALSE))</f>
        <v>0</v>
      </c>
      <c r="AC456" s="161" t="b">
        <f>IF(AB456=TRUE,(VLOOKUP($AJ448,Match!$T$5:$U$10,2,FALSE)))</f>
        <v>0</v>
      </c>
      <c r="AD456" s="8">
        <v>3</v>
      </c>
      <c r="AE456" s="8">
        <v>2</v>
      </c>
      <c r="AF456" s="8">
        <v>2</v>
      </c>
      <c r="AG456" s="8">
        <v>1</v>
      </c>
      <c r="AH456" s="8" t="str">
        <f t="shared" si="112"/>
        <v/>
      </c>
      <c r="AI456" s="12"/>
      <c r="AZ456" s="12"/>
      <c r="BC456" s="12"/>
      <c r="BK456" s="12"/>
    </row>
    <row r="457" spans="1:63" x14ac:dyDescent="0.25">
      <c r="A457" s="29">
        <f t="shared" si="113"/>
        <v>0</v>
      </c>
      <c r="B457" s="29">
        <f t="shared" si="115"/>
        <v>0</v>
      </c>
      <c r="C457" s="29">
        <f t="shared" si="116"/>
        <v>0</v>
      </c>
      <c r="D457" s="29">
        <f t="shared" si="117"/>
        <v>0</v>
      </c>
      <c r="E457" s="29">
        <f t="shared" si="114"/>
        <v>0</v>
      </c>
      <c r="F457" s="29">
        <f t="shared" si="118"/>
        <v>0</v>
      </c>
      <c r="G457" s="29" t="str">
        <f t="shared" si="119"/>
        <v>offensive</v>
      </c>
      <c r="H457" s="16">
        <f t="shared" si="120"/>
        <v>0</v>
      </c>
      <c r="I457" s="16">
        <f t="shared" si="121"/>
        <v>0</v>
      </c>
      <c r="J457" s="16">
        <f t="shared" si="122"/>
        <v>0</v>
      </c>
      <c r="K457" s="16">
        <f t="shared" si="123"/>
        <v>0</v>
      </c>
      <c r="L457" s="67">
        <f t="shared" si="124"/>
        <v>0</v>
      </c>
      <c r="M457" s="4">
        <f t="shared" si="125"/>
        <v>0</v>
      </c>
      <c r="N457" s="4">
        <f t="shared" si="126"/>
        <v>0</v>
      </c>
      <c r="O457" s="4">
        <f t="shared" si="127"/>
        <v>0</v>
      </c>
      <c r="P457" s="4" t="e">
        <f>VLOOKUP(AJ449,'CIR Team Info'!$C$5:$E$44,2,FALSE)</f>
        <v>#N/A</v>
      </c>
      <c r="Q457" s="4" t="e">
        <f>VLOOKUP(AJ449,'CIR Team Info'!$C$5:$E$44,3,FALSE)</f>
        <v>#N/A</v>
      </c>
      <c r="R457" s="10" t="e">
        <f>VLOOKUP(AJ449,'FRC Site Data'!$B$3:$L$42,2,FALSE)</f>
        <v>#N/A</v>
      </c>
      <c r="S457" s="10" t="e">
        <f>VLOOKUP(AJ449,'FRC Site Data'!$B$3:$L$42,3,FALSE)</f>
        <v>#N/A</v>
      </c>
      <c r="T457" s="10" t="e">
        <f>VLOOKUP(AJ449,'FRC Site Data'!$B$3:$L$42,4,FALSE)</f>
        <v>#N/A</v>
      </c>
      <c r="U457" s="10" t="e">
        <f>VLOOKUP(AJ449,'FRC Site Data'!$B$3:$L$42,5,FALSE)</f>
        <v>#N/A</v>
      </c>
      <c r="V457" s="10" t="e">
        <f>VLOOKUP(AJ449,'FRC Site Data'!$B$3:$L$42,6,FALSE)</f>
        <v>#N/A</v>
      </c>
      <c r="W457" s="10" t="e">
        <f>VLOOKUP(AJ449,'FRC Site Data'!$B$3:$L$42,8,FALSE)</f>
        <v>#N/A</v>
      </c>
      <c r="X457" s="10" t="e">
        <f>VLOOKUP(AJ449,'FRC Site Data'!$B$3:$L$42,9,FALSE)</f>
        <v>#N/A</v>
      </c>
      <c r="Y457" s="10" t="e">
        <f>VLOOKUP(AJ449,'FRC Site Data'!$B$3:$L$42,10,FALSE)</f>
        <v>#N/A</v>
      </c>
      <c r="Z457" s="10" t="e">
        <f>VLOOKUP(AJ449,'FRC Site Data'!$B$3:$L$42,11,FALSE)</f>
        <v>#N/A</v>
      </c>
      <c r="AA457" s="10" t="e">
        <f>VLOOKUP(AJ449,'CIR Team Info'!$C$5:$E$44,4,FALSE)</f>
        <v>#N/A</v>
      </c>
      <c r="AB457" s="161" t="b">
        <f>ISNUMBER(VLOOKUP(AJ449,Match!$T$5:$T$10,1,FALSE))</f>
        <v>0</v>
      </c>
      <c r="AC457" s="161" t="b">
        <f>IF(AB457=TRUE,(VLOOKUP($AJ449,Match!$T$5:$U$10,2,FALSE)))</f>
        <v>0</v>
      </c>
      <c r="AD457" s="8">
        <v>3</v>
      </c>
      <c r="AE457" s="8">
        <v>2</v>
      </c>
      <c r="AF457" s="8">
        <v>2</v>
      </c>
      <c r="AG457" s="8">
        <v>1</v>
      </c>
      <c r="AH457" s="8" t="str">
        <f t="shared" si="112"/>
        <v/>
      </c>
      <c r="AI457" s="12"/>
      <c r="AZ457" s="12"/>
      <c r="BC457" s="12"/>
      <c r="BK457" s="12"/>
    </row>
    <row r="458" spans="1:63" x14ac:dyDescent="0.25">
      <c r="A458" s="29">
        <f t="shared" si="113"/>
        <v>0</v>
      </c>
      <c r="B458" s="29">
        <f t="shared" si="115"/>
        <v>0</v>
      </c>
      <c r="C458" s="29">
        <f t="shared" si="116"/>
        <v>0</v>
      </c>
      <c r="D458" s="29">
        <f t="shared" si="117"/>
        <v>0</v>
      </c>
      <c r="E458" s="29">
        <f t="shared" si="114"/>
        <v>0</v>
      </c>
      <c r="F458" s="29">
        <f t="shared" si="118"/>
        <v>0</v>
      </c>
      <c r="G458" s="29" t="str">
        <f t="shared" si="119"/>
        <v>offensive</v>
      </c>
      <c r="H458" s="16">
        <f t="shared" si="120"/>
        <v>0</v>
      </c>
      <c r="I458" s="16">
        <f t="shared" si="121"/>
        <v>0</v>
      </c>
      <c r="J458" s="16">
        <f t="shared" si="122"/>
        <v>0</v>
      </c>
      <c r="K458" s="16">
        <f t="shared" si="123"/>
        <v>0</v>
      </c>
      <c r="L458" s="67">
        <f t="shared" si="124"/>
        <v>0</v>
      </c>
      <c r="M458" s="4">
        <f t="shared" si="125"/>
        <v>0</v>
      </c>
      <c r="N458" s="4">
        <f t="shared" si="126"/>
        <v>0</v>
      </c>
      <c r="O458" s="4">
        <f t="shared" si="127"/>
        <v>0</v>
      </c>
      <c r="P458" s="4" t="e">
        <f>VLOOKUP(AJ450,'CIR Team Info'!$C$5:$E$44,2,FALSE)</f>
        <v>#N/A</v>
      </c>
      <c r="Q458" s="4" t="e">
        <f>VLOOKUP(AJ450,'CIR Team Info'!$C$5:$E$44,3,FALSE)</f>
        <v>#N/A</v>
      </c>
      <c r="R458" s="10" t="e">
        <f>VLOOKUP(AJ450,'FRC Site Data'!$B$3:$L$42,2,FALSE)</f>
        <v>#N/A</v>
      </c>
      <c r="S458" s="10" t="e">
        <f>VLOOKUP(AJ450,'FRC Site Data'!$B$3:$L$42,3,FALSE)</f>
        <v>#N/A</v>
      </c>
      <c r="T458" s="10" t="e">
        <f>VLOOKUP(AJ450,'FRC Site Data'!$B$3:$L$42,4,FALSE)</f>
        <v>#N/A</v>
      </c>
      <c r="U458" s="10" t="e">
        <f>VLOOKUP(AJ450,'FRC Site Data'!$B$3:$L$42,5,FALSE)</f>
        <v>#N/A</v>
      </c>
      <c r="V458" s="10" t="e">
        <f>VLOOKUP(AJ450,'FRC Site Data'!$B$3:$L$42,6,FALSE)</f>
        <v>#N/A</v>
      </c>
      <c r="W458" s="10" t="e">
        <f>VLOOKUP(AJ450,'FRC Site Data'!$B$3:$L$42,8,FALSE)</f>
        <v>#N/A</v>
      </c>
      <c r="X458" s="10" t="e">
        <f>VLOOKUP(AJ450,'FRC Site Data'!$B$3:$L$42,9,FALSE)</f>
        <v>#N/A</v>
      </c>
      <c r="Y458" s="10" t="e">
        <f>VLOOKUP(AJ450,'FRC Site Data'!$B$3:$L$42,10,FALSE)</f>
        <v>#N/A</v>
      </c>
      <c r="Z458" s="10" t="e">
        <f>VLOOKUP(AJ450,'FRC Site Data'!$B$3:$L$42,11,FALSE)</f>
        <v>#N/A</v>
      </c>
      <c r="AA458" s="10" t="e">
        <f>VLOOKUP(AJ450,'CIR Team Info'!$C$5:$E$44,4,FALSE)</f>
        <v>#N/A</v>
      </c>
      <c r="AB458" s="161" t="b">
        <f>ISNUMBER(VLOOKUP(AJ450,Match!$T$5:$T$10,1,FALSE))</f>
        <v>0</v>
      </c>
      <c r="AC458" s="161" t="b">
        <f>IF(AB458=TRUE,(VLOOKUP($AJ450,Match!$T$5:$U$10,2,FALSE)))</f>
        <v>0</v>
      </c>
      <c r="AD458" s="8">
        <v>3</v>
      </c>
      <c r="AE458" s="8">
        <v>2</v>
      </c>
      <c r="AF458" s="8">
        <v>2</v>
      </c>
      <c r="AG458" s="8">
        <v>1</v>
      </c>
      <c r="AH458" s="8" t="str">
        <f t="shared" si="112"/>
        <v/>
      </c>
      <c r="AI458" s="12"/>
      <c r="AZ458" s="12"/>
      <c r="BC458" s="12"/>
      <c r="BK458" s="12"/>
    </row>
    <row r="459" spans="1:63" x14ac:dyDescent="0.25">
      <c r="A459" s="29">
        <f t="shared" si="113"/>
        <v>0</v>
      </c>
      <c r="B459" s="29">
        <f t="shared" si="115"/>
        <v>0</v>
      </c>
      <c r="C459" s="29">
        <f t="shared" si="116"/>
        <v>0</v>
      </c>
      <c r="D459" s="29">
        <f t="shared" si="117"/>
        <v>0</v>
      </c>
      <c r="E459" s="29">
        <f t="shared" si="114"/>
        <v>0</v>
      </c>
      <c r="F459" s="29">
        <f t="shared" si="118"/>
        <v>0</v>
      </c>
      <c r="G459" s="29" t="str">
        <f t="shared" si="119"/>
        <v>offensive</v>
      </c>
      <c r="H459" s="16">
        <f t="shared" si="120"/>
        <v>0</v>
      </c>
      <c r="I459" s="16">
        <f t="shared" si="121"/>
        <v>0</v>
      </c>
      <c r="J459" s="16">
        <f t="shared" si="122"/>
        <v>0</v>
      </c>
      <c r="K459" s="16">
        <f t="shared" si="123"/>
        <v>0</v>
      </c>
      <c r="L459" s="67">
        <f t="shared" si="124"/>
        <v>0</v>
      </c>
      <c r="M459" s="4">
        <f t="shared" si="125"/>
        <v>0</v>
      </c>
      <c r="N459" s="4">
        <f t="shared" si="126"/>
        <v>0</v>
      </c>
      <c r="O459" s="4">
        <f t="shared" si="127"/>
        <v>0</v>
      </c>
      <c r="P459" s="4" t="e">
        <f>VLOOKUP(AJ451,'CIR Team Info'!$C$5:$E$44,2,FALSE)</f>
        <v>#N/A</v>
      </c>
      <c r="Q459" s="4" t="e">
        <f>VLOOKUP(AJ451,'CIR Team Info'!$C$5:$E$44,3,FALSE)</f>
        <v>#N/A</v>
      </c>
      <c r="R459" s="10" t="e">
        <f>VLOOKUP(AJ451,'FRC Site Data'!$B$3:$L$42,2,FALSE)</f>
        <v>#N/A</v>
      </c>
      <c r="S459" s="10" t="e">
        <f>VLOOKUP(AJ451,'FRC Site Data'!$B$3:$L$42,3,FALSE)</f>
        <v>#N/A</v>
      </c>
      <c r="T459" s="10" t="e">
        <f>VLOOKUP(AJ451,'FRC Site Data'!$B$3:$L$42,4,FALSE)</f>
        <v>#N/A</v>
      </c>
      <c r="U459" s="10" t="e">
        <f>VLOOKUP(AJ451,'FRC Site Data'!$B$3:$L$42,5,FALSE)</f>
        <v>#N/A</v>
      </c>
      <c r="V459" s="10" t="e">
        <f>VLOOKUP(AJ451,'FRC Site Data'!$B$3:$L$42,6,FALSE)</f>
        <v>#N/A</v>
      </c>
      <c r="W459" s="10" t="e">
        <f>VLOOKUP(AJ451,'FRC Site Data'!$B$3:$L$42,8,FALSE)</f>
        <v>#N/A</v>
      </c>
      <c r="X459" s="10" t="e">
        <f>VLOOKUP(AJ451,'FRC Site Data'!$B$3:$L$42,9,FALSE)</f>
        <v>#N/A</v>
      </c>
      <c r="Y459" s="10" t="e">
        <f>VLOOKUP(AJ451,'FRC Site Data'!$B$3:$L$42,10,FALSE)</f>
        <v>#N/A</v>
      </c>
      <c r="Z459" s="10" t="e">
        <f>VLOOKUP(AJ451,'FRC Site Data'!$B$3:$L$42,11,FALSE)</f>
        <v>#N/A</v>
      </c>
      <c r="AA459" s="10" t="e">
        <f>VLOOKUP(AJ451,'CIR Team Info'!$C$5:$E$44,4,FALSE)</f>
        <v>#N/A</v>
      </c>
      <c r="AB459" s="161" t="b">
        <f>ISNUMBER(VLOOKUP(AJ451,Match!$T$5:$T$10,1,FALSE))</f>
        <v>0</v>
      </c>
      <c r="AC459" s="161" t="b">
        <f>IF(AB459=TRUE,(VLOOKUP($AJ451,Match!$T$5:$U$10,2,FALSE)))</f>
        <v>0</v>
      </c>
      <c r="AD459" s="8">
        <v>3</v>
      </c>
      <c r="AE459" s="8">
        <v>2</v>
      </c>
      <c r="AF459" s="8">
        <v>2</v>
      </c>
      <c r="AG459" s="8">
        <v>1</v>
      </c>
      <c r="AH459" s="8" t="str">
        <f t="shared" si="112"/>
        <v/>
      </c>
      <c r="AI459" s="12"/>
      <c r="AZ459" s="12"/>
      <c r="BC459" s="12"/>
      <c r="BK459" s="12"/>
    </row>
    <row r="460" spans="1:63" x14ac:dyDescent="0.25">
      <c r="A460" s="29">
        <f t="shared" si="113"/>
        <v>0</v>
      </c>
      <c r="B460" s="29">
        <f t="shared" si="115"/>
        <v>0</v>
      </c>
      <c r="C460" s="29">
        <f t="shared" si="116"/>
        <v>0</v>
      </c>
      <c r="D460" s="29">
        <f t="shared" si="117"/>
        <v>0</v>
      </c>
      <c r="E460" s="29">
        <f t="shared" si="114"/>
        <v>0</v>
      </c>
      <c r="F460" s="29">
        <f t="shared" si="118"/>
        <v>0</v>
      </c>
      <c r="G460" s="29" t="str">
        <f t="shared" si="119"/>
        <v>offensive</v>
      </c>
      <c r="H460" s="16">
        <f t="shared" si="120"/>
        <v>0</v>
      </c>
      <c r="I460" s="16">
        <f t="shared" si="121"/>
        <v>0</v>
      </c>
      <c r="J460" s="16">
        <f t="shared" si="122"/>
        <v>0</v>
      </c>
      <c r="K460" s="16">
        <f t="shared" si="123"/>
        <v>0</v>
      </c>
      <c r="L460" s="67">
        <f t="shared" si="124"/>
        <v>0</v>
      </c>
      <c r="M460" s="4">
        <f t="shared" si="125"/>
        <v>0</v>
      </c>
      <c r="N460" s="4">
        <f t="shared" si="126"/>
        <v>0</v>
      </c>
      <c r="O460" s="4">
        <f t="shared" si="127"/>
        <v>0</v>
      </c>
      <c r="P460" s="4" t="e">
        <f>VLOOKUP(AJ452,'CIR Team Info'!$C$5:$E$44,2,FALSE)</f>
        <v>#N/A</v>
      </c>
      <c r="Q460" s="4" t="e">
        <f>VLOOKUP(AJ452,'CIR Team Info'!$C$5:$E$44,3,FALSE)</f>
        <v>#N/A</v>
      </c>
      <c r="R460" s="10" t="e">
        <f>VLOOKUP(AJ452,'FRC Site Data'!$B$3:$L$42,2,FALSE)</f>
        <v>#N/A</v>
      </c>
      <c r="S460" s="10" t="e">
        <f>VLOOKUP(AJ452,'FRC Site Data'!$B$3:$L$42,3,FALSE)</f>
        <v>#N/A</v>
      </c>
      <c r="T460" s="10" t="e">
        <f>VLOOKUP(AJ452,'FRC Site Data'!$B$3:$L$42,4,FALSE)</f>
        <v>#N/A</v>
      </c>
      <c r="U460" s="10" t="e">
        <f>VLOOKUP(AJ452,'FRC Site Data'!$B$3:$L$42,5,FALSE)</f>
        <v>#N/A</v>
      </c>
      <c r="V460" s="10" t="e">
        <f>VLOOKUP(AJ452,'FRC Site Data'!$B$3:$L$42,6,FALSE)</f>
        <v>#N/A</v>
      </c>
      <c r="W460" s="10" t="e">
        <f>VLOOKUP(AJ452,'FRC Site Data'!$B$3:$L$42,8,FALSE)</f>
        <v>#N/A</v>
      </c>
      <c r="X460" s="10" t="e">
        <f>VLOOKUP(AJ452,'FRC Site Data'!$B$3:$L$42,9,FALSE)</f>
        <v>#N/A</v>
      </c>
      <c r="Y460" s="10" t="e">
        <f>VLOOKUP(AJ452,'FRC Site Data'!$B$3:$L$42,10,FALSE)</f>
        <v>#N/A</v>
      </c>
      <c r="Z460" s="10" t="e">
        <f>VLOOKUP(AJ452,'FRC Site Data'!$B$3:$L$42,11,FALSE)</f>
        <v>#N/A</v>
      </c>
      <c r="AA460" s="10" t="e">
        <f>VLOOKUP(AJ452,'CIR Team Info'!$C$5:$E$44,4,FALSE)</f>
        <v>#N/A</v>
      </c>
      <c r="AB460" s="161" t="b">
        <f>ISNUMBER(VLOOKUP(AJ452,Match!$T$5:$T$10,1,FALSE))</f>
        <v>0</v>
      </c>
      <c r="AC460" s="161" t="b">
        <f>IF(AB460=TRUE,(VLOOKUP($AJ452,Match!$T$5:$U$10,2,FALSE)))</f>
        <v>0</v>
      </c>
      <c r="AD460" s="8">
        <v>3</v>
      </c>
      <c r="AE460" s="8">
        <v>2</v>
      </c>
      <c r="AF460" s="8">
        <v>2</v>
      </c>
      <c r="AG460" s="8">
        <v>1</v>
      </c>
      <c r="AH460" s="8" t="str">
        <f t="shared" si="112"/>
        <v/>
      </c>
      <c r="AI460" s="12"/>
      <c r="AZ460" s="12"/>
      <c r="BC460" s="12"/>
      <c r="BK460" s="12"/>
    </row>
    <row r="461" spans="1:63" x14ac:dyDescent="0.25">
      <c r="A461" s="29">
        <f t="shared" si="113"/>
        <v>0</v>
      </c>
      <c r="B461" s="29">
        <f t="shared" si="115"/>
        <v>0</v>
      </c>
      <c r="C461" s="29">
        <f t="shared" si="116"/>
        <v>0</v>
      </c>
      <c r="D461" s="29">
        <f t="shared" si="117"/>
        <v>0</v>
      </c>
      <c r="E461" s="29">
        <f t="shared" si="114"/>
        <v>0</v>
      </c>
      <c r="F461" s="29">
        <f t="shared" si="118"/>
        <v>0</v>
      </c>
      <c r="G461" s="29" t="str">
        <f t="shared" si="119"/>
        <v>offensive</v>
      </c>
      <c r="H461" s="16">
        <f t="shared" si="120"/>
        <v>0</v>
      </c>
      <c r="I461" s="16">
        <f t="shared" si="121"/>
        <v>0</v>
      </c>
      <c r="J461" s="16">
        <f t="shared" si="122"/>
        <v>0</v>
      </c>
      <c r="K461" s="16">
        <f t="shared" si="123"/>
        <v>0</v>
      </c>
      <c r="L461" s="67">
        <f t="shared" si="124"/>
        <v>0</v>
      </c>
      <c r="M461" s="4">
        <f t="shared" si="125"/>
        <v>0</v>
      </c>
      <c r="N461" s="4">
        <f t="shared" si="126"/>
        <v>0</v>
      </c>
      <c r="O461" s="4">
        <f t="shared" si="127"/>
        <v>0</v>
      </c>
      <c r="P461" s="4" t="e">
        <f>VLOOKUP(AJ453,'CIR Team Info'!$C$5:$E$44,2,FALSE)</f>
        <v>#N/A</v>
      </c>
      <c r="Q461" s="4" t="e">
        <f>VLOOKUP(AJ453,'CIR Team Info'!$C$5:$E$44,3,FALSE)</f>
        <v>#N/A</v>
      </c>
      <c r="R461" s="10" t="e">
        <f>VLOOKUP(AJ453,'FRC Site Data'!$B$3:$L$42,2,FALSE)</f>
        <v>#N/A</v>
      </c>
      <c r="S461" s="10" t="e">
        <f>VLOOKUP(AJ453,'FRC Site Data'!$B$3:$L$42,3,FALSE)</f>
        <v>#N/A</v>
      </c>
      <c r="T461" s="10" t="e">
        <f>VLOOKUP(AJ453,'FRC Site Data'!$B$3:$L$42,4,FALSE)</f>
        <v>#N/A</v>
      </c>
      <c r="U461" s="10" t="e">
        <f>VLOOKUP(AJ453,'FRC Site Data'!$B$3:$L$42,5,FALSE)</f>
        <v>#N/A</v>
      </c>
      <c r="V461" s="10" t="e">
        <f>VLOOKUP(AJ453,'FRC Site Data'!$B$3:$L$42,6,FALSE)</f>
        <v>#N/A</v>
      </c>
      <c r="W461" s="10" t="e">
        <f>VLOOKUP(AJ453,'FRC Site Data'!$B$3:$L$42,8,FALSE)</f>
        <v>#N/A</v>
      </c>
      <c r="X461" s="10" t="e">
        <f>VLOOKUP(AJ453,'FRC Site Data'!$B$3:$L$42,9,FALSE)</f>
        <v>#N/A</v>
      </c>
      <c r="Y461" s="10" t="e">
        <f>VLOOKUP(AJ453,'FRC Site Data'!$B$3:$L$42,10,FALSE)</f>
        <v>#N/A</v>
      </c>
      <c r="Z461" s="10" t="e">
        <f>VLOOKUP(AJ453,'FRC Site Data'!$B$3:$L$42,11,FALSE)</f>
        <v>#N/A</v>
      </c>
      <c r="AA461" s="10" t="e">
        <f>VLOOKUP(AJ453,'CIR Team Info'!$C$5:$E$44,4,FALSE)</f>
        <v>#N/A</v>
      </c>
      <c r="AB461" s="161" t="b">
        <f>ISNUMBER(VLOOKUP(AJ453,Match!$T$5:$T$10,1,FALSE))</f>
        <v>0</v>
      </c>
      <c r="AC461" s="161" t="b">
        <f>IF(AB461=TRUE,(VLOOKUP($AJ453,Match!$T$5:$U$10,2,FALSE)))</f>
        <v>0</v>
      </c>
      <c r="AD461" s="8">
        <v>3</v>
      </c>
      <c r="AE461" s="8">
        <v>2</v>
      </c>
      <c r="AF461" s="8">
        <v>2</v>
      </c>
      <c r="AG461" s="8">
        <v>1</v>
      </c>
      <c r="AH461" s="8" t="str">
        <f t="shared" si="112"/>
        <v/>
      </c>
      <c r="AI461" s="12"/>
      <c r="AZ461" s="12"/>
      <c r="BC461" s="12"/>
      <c r="BK461" s="12"/>
    </row>
    <row r="462" spans="1:63" x14ac:dyDescent="0.25">
      <c r="A462" s="29">
        <f t="shared" si="113"/>
        <v>0</v>
      </c>
      <c r="B462" s="29">
        <f t="shared" si="115"/>
        <v>0</v>
      </c>
      <c r="C462" s="29">
        <f t="shared" si="116"/>
        <v>0</v>
      </c>
      <c r="D462" s="29">
        <f t="shared" si="117"/>
        <v>0</v>
      </c>
      <c r="E462" s="29">
        <f t="shared" si="114"/>
        <v>0</v>
      </c>
      <c r="F462" s="29">
        <f t="shared" si="118"/>
        <v>0</v>
      </c>
      <c r="G462" s="29" t="str">
        <f t="shared" si="119"/>
        <v>offensive</v>
      </c>
      <c r="H462" s="16">
        <f t="shared" si="120"/>
        <v>0</v>
      </c>
      <c r="I462" s="16">
        <f t="shared" si="121"/>
        <v>0</v>
      </c>
      <c r="J462" s="16">
        <f t="shared" si="122"/>
        <v>0</v>
      </c>
      <c r="K462" s="16">
        <f t="shared" si="123"/>
        <v>0</v>
      </c>
      <c r="L462" s="67">
        <f t="shared" si="124"/>
        <v>0</v>
      </c>
      <c r="M462" s="4">
        <f t="shared" si="125"/>
        <v>0</v>
      </c>
      <c r="N462" s="4">
        <f t="shared" si="126"/>
        <v>0</v>
      </c>
      <c r="O462" s="4">
        <f t="shared" si="127"/>
        <v>0</v>
      </c>
      <c r="P462" s="4" t="e">
        <f>VLOOKUP(AJ454,'CIR Team Info'!$C$5:$E$44,2,FALSE)</f>
        <v>#N/A</v>
      </c>
      <c r="Q462" s="4" t="e">
        <f>VLOOKUP(AJ454,'CIR Team Info'!$C$5:$E$44,3,FALSE)</f>
        <v>#N/A</v>
      </c>
      <c r="R462" s="10" t="e">
        <f>VLOOKUP(AJ454,'FRC Site Data'!$B$3:$L$42,2,FALSE)</f>
        <v>#N/A</v>
      </c>
      <c r="S462" s="10" t="e">
        <f>VLOOKUP(AJ454,'FRC Site Data'!$B$3:$L$42,3,FALSE)</f>
        <v>#N/A</v>
      </c>
      <c r="T462" s="10" t="e">
        <f>VLOOKUP(AJ454,'FRC Site Data'!$B$3:$L$42,4,FALSE)</f>
        <v>#N/A</v>
      </c>
      <c r="U462" s="10" t="e">
        <f>VLOOKUP(AJ454,'FRC Site Data'!$B$3:$L$42,5,FALSE)</f>
        <v>#N/A</v>
      </c>
      <c r="V462" s="10" t="e">
        <f>VLOOKUP(AJ454,'FRC Site Data'!$B$3:$L$42,6,FALSE)</f>
        <v>#N/A</v>
      </c>
      <c r="W462" s="10" t="e">
        <f>VLOOKUP(AJ454,'FRC Site Data'!$B$3:$L$42,8,FALSE)</f>
        <v>#N/A</v>
      </c>
      <c r="X462" s="10" t="e">
        <f>VLOOKUP(AJ454,'FRC Site Data'!$B$3:$L$42,9,FALSE)</f>
        <v>#N/A</v>
      </c>
      <c r="Y462" s="10" t="e">
        <f>VLOOKUP(AJ454,'FRC Site Data'!$B$3:$L$42,10,FALSE)</f>
        <v>#N/A</v>
      </c>
      <c r="Z462" s="10" t="e">
        <f>VLOOKUP(AJ454,'FRC Site Data'!$B$3:$L$42,11,FALSE)</f>
        <v>#N/A</v>
      </c>
      <c r="AA462" s="10" t="e">
        <f>VLOOKUP(AJ454,'CIR Team Info'!$C$5:$E$44,4,FALSE)</f>
        <v>#N/A</v>
      </c>
      <c r="AB462" s="161" t="b">
        <f>ISNUMBER(VLOOKUP(AJ454,Match!$T$5:$T$10,1,FALSE))</f>
        <v>0</v>
      </c>
      <c r="AC462" s="161" t="b">
        <f>IF(AB462=TRUE,(VLOOKUP($AJ454,Match!$T$5:$U$10,2,FALSE)))</f>
        <v>0</v>
      </c>
      <c r="AD462" s="8">
        <v>3</v>
      </c>
      <c r="AE462" s="8">
        <v>2</v>
      </c>
      <c r="AF462" s="8">
        <v>2</v>
      </c>
      <c r="AG462" s="8">
        <v>1</v>
      </c>
      <c r="AH462" s="8" t="str">
        <f t="shared" si="112"/>
        <v/>
      </c>
      <c r="AI462" s="12"/>
      <c r="AZ462" s="12"/>
      <c r="BC462" s="12"/>
      <c r="BK462" s="12"/>
    </row>
    <row r="463" spans="1:63" x14ac:dyDescent="0.25">
      <c r="A463" s="29">
        <f t="shared" si="113"/>
        <v>0</v>
      </c>
      <c r="B463" s="29">
        <f t="shared" si="115"/>
        <v>0</v>
      </c>
      <c r="C463" s="29">
        <f t="shared" si="116"/>
        <v>0</v>
      </c>
      <c r="D463" s="29">
        <f t="shared" si="117"/>
        <v>0</v>
      </c>
      <c r="E463" s="29">
        <f t="shared" si="114"/>
        <v>0</v>
      </c>
      <c r="F463" s="29">
        <f t="shared" si="118"/>
        <v>0</v>
      </c>
      <c r="G463" s="29" t="str">
        <f t="shared" si="119"/>
        <v>offensive</v>
      </c>
      <c r="H463" s="16">
        <f t="shared" si="120"/>
        <v>0</v>
      </c>
      <c r="I463" s="16">
        <f t="shared" si="121"/>
        <v>0</v>
      </c>
      <c r="J463" s="16">
        <f t="shared" si="122"/>
        <v>0</v>
      </c>
      <c r="K463" s="16">
        <f t="shared" si="123"/>
        <v>0</v>
      </c>
      <c r="L463" s="67">
        <f t="shared" si="124"/>
        <v>0</v>
      </c>
      <c r="M463" s="4">
        <f t="shared" si="125"/>
        <v>0</v>
      </c>
      <c r="N463" s="4">
        <f t="shared" si="126"/>
        <v>0</v>
      </c>
      <c r="O463" s="4">
        <f t="shared" si="127"/>
        <v>0</v>
      </c>
      <c r="P463" s="4" t="e">
        <f>VLOOKUP(AJ455,'CIR Team Info'!$C$5:$E$44,2,FALSE)</f>
        <v>#N/A</v>
      </c>
      <c r="Q463" s="4" t="e">
        <f>VLOOKUP(AJ455,'CIR Team Info'!$C$5:$E$44,3,FALSE)</f>
        <v>#N/A</v>
      </c>
      <c r="R463" s="10" t="e">
        <f>VLOOKUP(AJ455,'FRC Site Data'!$B$3:$L$42,2,FALSE)</f>
        <v>#N/A</v>
      </c>
      <c r="S463" s="10" t="e">
        <f>VLOOKUP(AJ455,'FRC Site Data'!$B$3:$L$42,3,FALSE)</f>
        <v>#N/A</v>
      </c>
      <c r="T463" s="10" t="e">
        <f>VLOOKUP(AJ455,'FRC Site Data'!$B$3:$L$42,4,FALSE)</f>
        <v>#N/A</v>
      </c>
      <c r="U463" s="10" t="e">
        <f>VLOOKUP(AJ455,'FRC Site Data'!$B$3:$L$42,5,FALSE)</f>
        <v>#N/A</v>
      </c>
      <c r="V463" s="10" t="e">
        <f>VLOOKUP(AJ455,'FRC Site Data'!$B$3:$L$42,6,FALSE)</f>
        <v>#N/A</v>
      </c>
      <c r="W463" s="10" t="e">
        <f>VLOOKUP(AJ455,'FRC Site Data'!$B$3:$L$42,8,FALSE)</f>
        <v>#N/A</v>
      </c>
      <c r="X463" s="10" t="e">
        <f>VLOOKUP(AJ455,'FRC Site Data'!$B$3:$L$42,9,FALSE)</f>
        <v>#N/A</v>
      </c>
      <c r="Y463" s="10" t="e">
        <f>VLOOKUP(AJ455,'FRC Site Data'!$B$3:$L$42,10,FALSE)</f>
        <v>#N/A</v>
      </c>
      <c r="Z463" s="10" t="e">
        <f>VLOOKUP(AJ455,'FRC Site Data'!$B$3:$L$42,11,FALSE)</f>
        <v>#N/A</v>
      </c>
      <c r="AA463" s="10" t="e">
        <f>VLOOKUP(AJ455,'CIR Team Info'!$C$5:$E$44,4,FALSE)</f>
        <v>#N/A</v>
      </c>
      <c r="AB463" s="161" t="b">
        <f>ISNUMBER(VLOOKUP(AJ455,Match!$T$5:$T$10,1,FALSE))</f>
        <v>0</v>
      </c>
      <c r="AC463" s="161" t="b">
        <f>IF(AB463=TRUE,(VLOOKUP($AJ455,Match!$T$5:$U$10,2,FALSE)))</f>
        <v>0</v>
      </c>
      <c r="AD463" s="8">
        <v>3</v>
      </c>
      <c r="AE463" s="8">
        <v>2</v>
      </c>
      <c r="AF463" s="8">
        <v>2</v>
      </c>
      <c r="AG463" s="8">
        <v>1</v>
      </c>
      <c r="AH463" s="8" t="str">
        <f t="shared" si="112"/>
        <v/>
      </c>
      <c r="AI463" s="12"/>
      <c r="AZ463" s="12"/>
      <c r="BC463" s="12"/>
      <c r="BK463" s="12"/>
    </row>
    <row r="464" spans="1:63" x14ac:dyDescent="0.25">
      <c r="A464" s="29">
        <f t="shared" si="113"/>
        <v>0</v>
      </c>
      <c r="B464" s="29">
        <f t="shared" si="115"/>
        <v>0</v>
      </c>
      <c r="C464" s="29">
        <f t="shared" si="116"/>
        <v>0</v>
      </c>
      <c r="D464" s="29">
        <f t="shared" si="117"/>
        <v>0</v>
      </c>
      <c r="E464" s="29">
        <f t="shared" si="114"/>
        <v>0</v>
      </c>
      <c r="F464" s="29">
        <f t="shared" si="118"/>
        <v>0</v>
      </c>
      <c r="G464" s="29" t="str">
        <f t="shared" si="119"/>
        <v>offensive</v>
      </c>
      <c r="H464" s="16">
        <f t="shared" si="120"/>
        <v>0</v>
      </c>
      <c r="I464" s="16">
        <f t="shared" si="121"/>
        <v>0</v>
      </c>
      <c r="J464" s="16">
        <f t="shared" si="122"/>
        <v>0</v>
      </c>
      <c r="K464" s="16">
        <f t="shared" si="123"/>
        <v>0</v>
      </c>
      <c r="L464" s="67">
        <f t="shared" si="124"/>
        <v>0</v>
      </c>
      <c r="M464" s="4">
        <f t="shared" si="125"/>
        <v>0</v>
      </c>
      <c r="N464" s="4">
        <f t="shared" si="126"/>
        <v>0</v>
      </c>
      <c r="O464" s="4">
        <f t="shared" si="127"/>
        <v>0</v>
      </c>
      <c r="P464" s="4" t="e">
        <f>VLOOKUP(AJ456,'CIR Team Info'!$C$5:$E$44,2,FALSE)</f>
        <v>#N/A</v>
      </c>
      <c r="Q464" s="4" t="e">
        <f>VLOOKUP(AJ456,'CIR Team Info'!$C$5:$E$44,3,FALSE)</f>
        <v>#N/A</v>
      </c>
      <c r="R464" s="10" t="e">
        <f>VLOOKUP(AJ456,'FRC Site Data'!$B$3:$L$42,2,FALSE)</f>
        <v>#N/A</v>
      </c>
      <c r="S464" s="10" t="e">
        <f>VLOOKUP(AJ456,'FRC Site Data'!$B$3:$L$42,3,FALSE)</f>
        <v>#N/A</v>
      </c>
      <c r="T464" s="10" t="e">
        <f>VLOOKUP(AJ456,'FRC Site Data'!$B$3:$L$42,4,FALSE)</f>
        <v>#N/A</v>
      </c>
      <c r="U464" s="10" t="e">
        <f>VLOOKUP(AJ456,'FRC Site Data'!$B$3:$L$42,5,FALSE)</f>
        <v>#N/A</v>
      </c>
      <c r="V464" s="10" t="e">
        <f>VLOOKUP(AJ456,'FRC Site Data'!$B$3:$L$42,6,FALSE)</f>
        <v>#N/A</v>
      </c>
      <c r="W464" s="10" t="e">
        <f>VLOOKUP(AJ456,'FRC Site Data'!$B$3:$L$42,8,FALSE)</f>
        <v>#N/A</v>
      </c>
      <c r="X464" s="10" t="e">
        <f>VLOOKUP(AJ456,'FRC Site Data'!$B$3:$L$42,9,FALSE)</f>
        <v>#N/A</v>
      </c>
      <c r="Y464" s="10" t="e">
        <f>VLOOKUP(AJ456,'FRC Site Data'!$B$3:$L$42,10,FALSE)</f>
        <v>#N/A</v>
      </c>
      <c r="Z464" s="10" t="e">
        <f>VLOOKUP(AJ456,'FRC Site Data'!$B$3:$L$42,11,FALSE)</f>
        <v>#N/A</v>
      </c>
      <c r="AA464" s="10" t="e">
        <f>VLOOKUP(AJ456,'CIR Team Info'!$C$5:$E$44,4,FALSE)</f>
        <v>#N/A</v>
      </c>
      <c r="AB464" s="161" t="b">
        <f>ISNUMBER(VLOOKUP(AJ456,Match!$T$5:$T$10,1,FALSE))</f>
        <v>0</v>
      </c>
      <c r="AC464" s="161" t="b">
        <f>IF(AB464=TRUE,(VLOOKUP($AJ456,Match!$T$5:$U$10,2,FALSE)))</f>
        <v>0</v>
      </c>
      <c r="AD464" s="8">
        <v>3</v>
      </c>
      <c r="AE464" s="8">
        <v>2</v>
      </c>
      <c r="AF464" s="8">
        <v>2</v>
      </c>
      <c r="AG464" s="8">
        <v>1</v>
      </c>
      <c r="AH464" s="8" t="str">
        <f t="shared" si="112"/>
        <v/>
      </c>
      <c r="AI464" s="12"/>
      <c r="AZ464" s="12"/>
      <c r="BC464" s="12"/>
      <c r="BK464" s="12"/>
    </row>
    <row r="465" spans="1:63" x14ac:dyDescent="0.25">
      <c r="A465" s="29">
        <f t="shared" si="113"/>
        <v>0</v>
      </c>
      <c r="B465" s="29">
        <f t="shared" si="115"/>
        <v>0</v>
      </c>
      <c r="C465" s="29">
        <f t="shared" si="116"/>
        <v>0</v>
      </c>
      <c r="D465" s="29">
        <f t="shared" si="117"/>
        <v>0</v>
      </c>
      <c r="E465" s="29">
        <f t="shared" si="114"/>
        <v>0</v>
      </c>
      <c r="F465" s="29">
        <f t="shared" si="118"/>
        <v>0</v>
      </c>
      <c r="G465" s="29" t="str">
        <f t="shared" si="119"/>
        <v>offensive</v>
      </c>
      <c r="H465" s="16">
        <f t="shared" si="120"/>
        <v>0</v>
      </c>
      <c r="I465" s="16">
        <f t="shared" si="121"/>
        <v>0</v>
      </c>
      <c r="J465" s="16">
        <f t="shared" si="122"/>
        <v>0</v>
      </c>
      <c r="K465" s="16">
        <f t="shared" si="123"/>
        <v>0</v>
      </c>
      <c r="L465" s="67">
        <f t="shared" si="124"/>
        <v>0</v>
      </c>
      <c r="M465" s="4">
        <f t="shared" si="125"/>
        <v>0</v>
      </c>
      <c r="N465" s="4">
        <f t="shared" si="126"/>
        <v>0</v>
      </c>
      <c r="O465" s="4">
        <f t="shared" si="127"/>
        <v>0</v>
      </c>
      <c r="P465" s="4" t="e">
        <f>VLOOKUP(AJ457,'CIR Team Info'!$C$5:$E$44,2,FALSE)</f>
        <v>#N/A</v>
      </c>
      <c r="Q465" s="4" t="e">
        <f>VLOOKUP(AJ457,'CIR Team Info'!$C$5:$E$44,3,FALSE)</f>
        <v>#N/A</v>
      </c>
      <c r="R465" s="10" t="e">
        <f>VLOOKUP(AJ457,'FRC Site Data'!$B$3:$L$42,2,FALSE)</f>
        <v>#N/A</v>
      </c>
      <c r="S465" s="10" t="e">
        <f>VLOOKUP(AJ457,'FRC Site Data'!$B$3:$L$42,3,FALSE)</f>
        <v>#N/A</v>
      </c>
      <c r="T465" s="10" t="e">
        <f>VLOOKUP(AJ457,'FRC Site Data'!$B$3:$L$42,4,FALSE)</f>
        <v>#N/A</v>
      </c>
      <c r="U465" s="10" t="e">
        <f>VLOOKUP(AJ457,'FRC Site Data'!$B$3:$L$42,5,FALSE)</f>
        <v>#N/A</v>
      </c>
      <c r="V465" s="10" t="e">
        <f>VLOOKUP(AJ457,'FRC Site Data'!$B$3:$L$42,6,FALSE)</f>
        <v>#N/A</v>
      </c>
      <c r="W465" s="10" t="e">
        <f>VLOOKUP(AJ457,'FRC Site Data'!$B$3:$L$42,8,FALSE)</f>
        <v>#N/A</v>
      </c>
      <c r="X465" s="10" t="e">
        <f>VLOOKUP(AJ457,'FRC Site Data'!$B$3:$L$42,9,FALSE)</f>
        <v>#N/A</v>
      </c>
      <c r="Y465" s="10" t="e">
        <f>VLOOKUP(AJ457,'FRC Site Data'!$B$3:$L$42,10,FALSE)</f>
        <v>#N/A</v>
      </c>
      <c r="Z465" s="10" t="e">
        <f>VLOOKUP(AJ457,'FRC Site Data'!$B$3:$L$42,11,FALSE)</f>
        <v>#N/A</v>
      </c>
      <c r="AA465" s="10" t="e">
        <f>VLOOKUP(AJ457,'CIR Team Info'!$C$5:$E$44,4,FALSE)</f>
        <v>#N/A</v>
      </c>
      <c r="AB465" s="161" t="b">
        <f>ISNUMBER(VLOOKUP(AJ457,Match!$T$5:$T$10,1,FALSE))</f>
        <v>0</v>
      </c>
      <c r="AC465" s="161" t="b">
        <f>IF(AB465=TRUE,(VLOOKUP($AJ457,Match!$T$5:$U$10,2,FALSE)))</f>
        <v>0</v>
      </c>
      <c r="AD465" s="8">
        <v>3</v>
      </c>
      <c r="AE465" s="8">
        <v>2</v>
      </c>
      <c r="AF465" s="8">
        <v>2</v>
      </c>
      <c r="AG465" s="8">
        <v>1</v>
      </c>
      <c r="AH465" s="8" t="str">
        <f t="shared" si="112"/>
        <v/>
      </c>
      <c r="AI465" s="12"/>
      <c r="AZ465" s="12"/>
      <c r="BC465" s="12"/>
      <c r="BK465" s="12"/>
    </row>
    <row r="466" spans="1:63" x14ac:dyDescent="0.25">
      <c r="A466" s="29">
        <f t="shared" si="113"/>
        <v>0</v>
      </c>
      <c r="B466" s="29">
        <f t="shared" si="115"/>
        <v>0</v>
      </c>
      <c r="C466" s="29">
        <f t="shared" si="116"/>
        <v>0</v>
      </c>
      <c r="D466" s="29">
        <f t="shared" si="117"/>
        <v>0</v>
      </c>
      <c r="E466" s="29">
        <f t="shared" si="114"/>
        <v>0</v>
      </c>
      <c r="F466" s="29">
        <f t="shared" si="118"/>
        <v>0</v>
      </c>
      <c r="G466" s="29" t="str">
        <f t="shared" si="119"/>
        <v>offensive</v>
      </c>
      <c r="H466" s="16">
        <f t="shared" si="120"/>
        <v>0</v>
      </c>
      <c r="I466" s="16">
        <f t="shared" si="121"/>
        <v>0</v>
      </c>
      <c r="J466" s="16">
        <f t="shared" si="122"/>
        <v>0</v>
      </c>
      <c r="K466" s="16">
        <f t="shared" si="123"/>
        <v>0</v>
      </c>
      <c r="L466" s="67">
        <f t="shared" si="124"/>
        <v>0</v>
      </c>
      <c r="M466" s="4">
        <f t="shared" si="125"/>
        <v>0</v>
      </c>
      <c r="N466" s="4">
        <f t="shared" si="126"/>
        <v>0</v>
      </c>
      <c r="O466" s="4">
        <f t="shared" si="127"/>
        <v>0</v>
      </c>
      <c r="P466" s="4" t="e">
        <f>VLOOKUP(AJ458,'CIR Team Info'!$C$5:$E$44,2,FALSE)</f>
        <v>#N/A</v>
      </c>
      <c r="Q466" s="4" t="e">
        <f>VLOOKUP(AJ458,'CIR Team Info'!$C$5:$E$44,3,FALSE)</f>
        <v>#N/A</v>
      </c>
      <c r="R466" s="10" t="e">
        <f>VLOOKUP(AJ458,'FRC Site Data'!$B$3:$L$42,2,FALSE)</f>
        <v>#N/A</v>
      </c>
      <c r="S466" s="10" t="e">
        <f>VLOOKUP(AJ458,'FRC Site Data'!$B$3:$L$42,3,FALSE)</f>
        <v>#N/A</v>
      </c>
      <c r="T466" s="10" t="e">
        <f>VLOOKUP(AJ458,'FRC Site Data'!$B$3:$L$42,4,FALSE)</f>
        <v>#N/A</v>
      </c>
      <c r="U466" s="10" t="e">
        <f>VLOOKUP(AJ458,'FRC Site Data'!$B$3:$L$42,5,FALSE)</f>
        <v>#N/A</v>
      </c>
      <c r="V466" s="10" t="e">
        <f>VLOOKUP(AJ458,'FRC Site Data'!$B$3:$L$42,6,FALSE)</f>
        <v>#N/A</v>
      </c>
      <c r="W466" s="10" t="e">
        <f>VLOOKUP(AJ458,'FRC Site Data'!$B$3:$L$42,8,FALSE)</f>
        <v>#N/A</v>
      </c>
      <c r="X466" s="10" t="e">
        <f>VLOOKUP(AJ458,'FRC Site Data'!$B$3:$L$42,9,FALSE)</f>
        <v>#N/A</v>
      </c>
      <c r="Y466" s="10" t="e">
        <f>VLOOKUP(AJ458,'FRC Site Data'!$B$3:$L$42,10,FALSE)</f>
        <v>#N/A</v>
      </c>
      <c r="Z466" s="10" t="e">
        <f>VLOOKUP(AJ458,'FRC Site Data'!$B$3:$L$42,11,FALSE)</f>
        <v>#N/A</v>
      </c>
      <c r="AA466" s="10" t="e">
        <f>VLOOKUP(AJ458,'CIR Team Info'!$C$5:$E$44,4,FALSE)</f>
        <v>#N/A</v>
      </c>
      <c r="AB466" s="161" t="b">
        <f>ISNUMBER(VLOOKUP(AJ458,Match!$T$5:$T$10,1,FALSE))</f>
        <v>0</v>
      </c>
      <c r="AC466" s="161" t="b">
        <f>IF(AB466=TRUE,(VLOOKUP($AJ458,Match!$T$5:$U$10,2,FALSE)))</f>
        <v>0</v>
      </c>
      <c r="AD466" s="8">
        <v>3</v>
      </c>
      <c r="AE466" s="8">
        <v>2</v>
      </c>
      <c r="AF466" s="8">
        <v>2</v>
      </c>
      <c r="AG466" s="8">
        <v>1</v>
      </c>
      <c r="AH466" s="8" t="str">
        <f t="shared" si="112"/>
        <v/>
      </c>
      <c r="AI466" s="12"/>
      <c r="AZ466" s="12"/>
      <c r="BC466" s="12"/>
      <c r="BK466" s="12"/>
    </row>
    <row r="467" spans="1:63" x14ac:dyDescent="0.25">
      <c r="A467" s="29">
        <f t="shared" si="113"/>
        <v>0</v>
      </c>
      <c r="B467" s="29">
        <f t="shared" si="115"/>
        <v>0</v>
      </c>
      <c r="C467" s="29">
        <f t="shared" si="116"/>
        <v>0</v>
      </c>
      <c r="D467" s="29">
        <f t="shared" si="117"/>
        <v>0</v>
      </c>
      <c r="E467" s="29">
        <f t="shared" si="114"/>
        <v>0</v>
      </c>
      <c r="F467" s="29">
        <f t="shared" si="118"/>
        <v>0</v>
      </c>
      <c r="G467" s="29" t="str">
        <f t="shared" si="119"/>
        <v>offensive</v>
      </c>
      <c r="H467" s="16">
        <f t="shared" si="120"/>
        <v>0</v>
      </c>
      <c r="I467" s="16">
        <f t="shared" si="121"/>
        <v>0</v>
      </c>
      <c r="J467" s="16">
        <f t="shared" si="122"/>
        <v>0</v>
      </c>
      <c r="K467" s="16">
        <f t="shared" si="123"/>
        <v>0</v>
      </c>
      <c r="L467" s="67">
        <f t="shared" si="124"/>
        <v>0</v>
      </c>
      <c r="M467" s="4">
        <f t="shared" si="125"/>
        <v>0</v>
      </c>
      <c r="N467" s="4">
        <f t="shared" si="126"/>
        <v>0</v>
      </c>
      <c r="O467" s="4">
        <f t="shared" si="127"/>
        <v>0</v>
      </c>
      <c r="P467" s="4" t="e">
        <f>VLOOKUP(AJ459,'CIR Team Info'!$C$5:$E$44,2,FALSE)</f>
        <v>#N/A</v>
      </c>
      <c r="Q467" s="4" t="e">
        <f>VLOOKUP(AJ459,'CIR Team Info'!$C$5:$E$44,3,FALSE)</f>
        <v>#N/A</v>
      </c>
      <c r="R467" s="10" t="e">
        <f>VLOOKUP(AJ459,'FRC Site Data'!$B$3:$L$42,2,FALSE)</f>
        <v>#N/A</v>
      </c>
      <c r="S467" s="10" t="e">
        <f>VLOOKUP(AJ459,'FRC Site Data'!$B$3:$L$42,3,FALSE)</f>
        <v>#N/A</v>
      </c>
      <c r="T467" s="10" t="e">
        <f>VLOOKUP(AJ459,'FRC Site Data'!$B$3:$L$42,4,FALSE)</f>
        <v>#N/A</v>
      </c>
      <c r="U467" s="10" t="e">
        <f>VLOOKUP(AJ459,'FRC Site Data'!$B$3:$L$42,5,FALSE)</f>
        <v>#N/A</v>
      </c>
      <c r="V467" s="10" t="e">
        <f>VLOOKUP(AJ459,'FRC Site Data'!$B$3:$L$42,6,FALSE)</f>
        <v>#N/A</v>
      </c>
      <c r="W467" s="10" t="e">
        <f>VLOOKUP(AJ459,'FRC Site Data'!$B$3:$L$42,8,FALSE)</f>
        <v>#N/A</v>
      </c>
      <c r="X467" s="10" t="e">
        <f>VLOOKUP(AJ459,'FRC Site Data'!$B$3:$L$42,9,FALSE)</f>
        <v>#N/A</v>
      </c>
      <c r="Y467" s="10" t="e">
        <f>VLOOKUP(AJ459,'FRC Site Data'!$B$3:$L$42,10,FALSE)</f>
        <v>#N/A</v>
      </c>
      <c r="Z467" s="10" t="e">
        <f>VLOOKUP(AJ459,'FRC Site Data'!$B$3:$L$42,11,FALSE)</f>
        <v>#N/A</v>
      </c>
      <c r="AA467" s="10" t="e">
        <f>VLOOKUP(AJ459,'CIR Team Info'!$C$5:$E$44,4,FALSE)</f>
        <v>#N/A</v>
      </c>
      <c r="AB467" s="161" t="b">
        <f>ISNUMBER(VLOOKUP(AJ459,Match!$T$5:$T$10,1,FALSE))</f>
        <v>0</v>
      </c>
      <c r="AC467" s="161" t="b">
        <f>IF(AB467=TRUE,(VLOOKUP($AJ459,Match!$T$5:$U$10,2,FALSE)))</f>
        <v>0</v>
      </c>
      <c r="AD467" s="8">
        <v>3</v>
      </c>
      <c r="AE467" s="8">
        <v>2</v>
      </c>
      <c r="AF467" s="8">
        <v>2</v>
      </c>
      <c r="AG467" s="8">
        <v>1</v>
      </c>
      <c r="AH467" s="8" t="str">
        <f t="shared" si="112"/>
        <v/>
      </c>
      <c r="AI467" s="12"/>
      <c r="AZ467" s="12"/>
      <c r="BC467" s="12"/>
      <c r="BK467" s="12"/>
    </row>
    <row r="468" spans="1:63" x14ac:dyDescent="0.25">
      <c r="A468" s="29">
        <f t="shared" si="113"/>
        <v>0</v>
      </c>
      <c r="B468" s="29">
        <f t="shared" si="115"/>
        <v>0</v>
      </c>
      <c r="C468" s="29">
        <f t="shared" si="116"/>
        <v>0</v>
      </c>
      <c r="D468" s="29">
        <f t="shared" si="117"/>
        <v>0</v>
      </c>
      <c r="E468" s="29">
        <f t="shared" si="114"/>
        <v>0</v>
      </c>
      <c r="F468" s="29">
        <f t="shared" si="118"/>
        <v>0</v>
      </c>
      <c r="G468" s="29" t="str">
        <f t="shared" si="119"/>
        <v>offensive</v>
      </c>
      <c r="H468" s="16">
        <f t="shared" si="120"/>
        <v>0</v>
      </c>
      <c r="I468" s="16">
        <f t="shared" si="121"/>
        <v>0</v>
      </c>
      <c r="J468" s="16">
        <f t="shared" si="122"/>
        <v>0</v>
      </c>
      <c r="K468" s="16">
        <f t="shared" si="123"/>
        <v>0</v>
      </c>
      <c r="L468" s="67">
        <f t="shared" si="124"/>
        <v>0</v>
      </c>
      <c r="M468" s="4">
        <f t="shared" si="125"/>
        <v>0</v>
      </c>
      <c r="N468" s="4">
        <f t="shared" si="126"/>
        <v>0</v>
      </c>
      <c r="O468" s="4">
        <f t="shared" si="127"/>
        <v>0</v>
      </c>
      <c r="P468" s="4" t="e">
        <f>VLOOKUP(AJ460,'CIR Team Info'!$C$5:$E$44,2,FALSE)</f>
        <v>#N/A</v>
      </c>
      <c r="Q468" s="4" t="e">
        <f>VLOOKUP(AJ460,'CIR Team Info'!$C$5:$E$44,3,FALSE)</f>
        <v>#N/A</v>
      </c>
      <c r="R468" s="10" t="e">
        <f>VLOOKUP(AJ460,'FRC Site Data'!$B$3:$L$42,2,FALSE)</f>
        <v>#N/A</v>
      </c>
      <c r="S468" s="10" t="e">
        <f>VLOOKUP(AJ460,'FRC Site Data'!$B$3:$L$42,3,FALSE)</f>
        <v>#N/A</v>
      </c>
      <c r="T468" s="10" t="e">
        <f>VLOOKUP(AJ460,'FRC Site Data'!$B$3:$L$42,4,FALSE)</f>
        <v>#N/A</v>
      </c>
      <c r="U468" s="10" t="e">
        <f>VLOOKUP(AJ460,'FRC Site Data'!$B$3:$L$42,5,FALSE)</f>
        <v>#N/A</v>
      </c>
      <c r="V468" s="10" t="e">
        <f>VLOOKUP(AJ460,'FRC Site Data'!$B$3:$L$42,6,FALSE)</f>
        <v>#N/A</v>
      </c>
      <c r="W468" s="10" t="e">
        <f>VLOOKUP(AJ460,'FRC Site Data'!$B$3:$L$42,8,FALSE)</f>
        <v>#N/A</v>
      </c>
      <c r="X468" s="10" t="e">
        <f>VLOOKUP(AJ460,'FRC Site Data'!$B$3:$L$42,9,FALSE)</f>
        <v>#N/A</v>
      </c>
      <c r="Y468" s="10" t="e">
        <f>VLOOKUP(AJ460,'FRC Site Data'!$B$3:$L$42,10,FALSE)</f>
        <v>#N/A</v>
      </c>
      <c r="Z468" s="10" t="e">
        <f>VLOOKUP(AJ460,'FRC Site Data'!$B$3:$L$42,11,FALSE)</f>
        <v>#N/A</v>
      </c>
      <c r="AA468" s="10" t="e">
        <f>VLOOKUP(AJ460,'CIR Team Info'!$C$5:$E$44,4,FALSE)</f>
        <v>#N/A</v>
      </c>
      <c r="AB468" s="161" t="b">
        <f>ISNUMBER(VLOOKUP(AJ460,Match!$T$5:$T$10,1,FALSE))</f>
        <v>0</v>
      </c>
      <c r="AC468" s="161" t="b">
        <f>IF(AB468=TRUE,(VLOOKUP($AJ460,Match!$T$5:$U$10,2,FALSE)))</f>
        <v>0</v>
      </c>
      <c r="AD468" s="8">
        <v>3</v>
      </c>
      <c r="AE468" s="8">
        <v>2</v>
      </c>
      <c r="AF468" s="8">
        <v>2</v>
      </c>
      <c r="AG468" s="8">
        <v>1</v>
      </c>
      <c r="AH468" s="8" t="str">
        <f t="shared" si="112"/>
        <v/>
      </c>
      <c r="AI468" s="12"/>
      <c r="AZ468" s="12"/>
      <c r="BC468" s="12"/>
      <c r="BK468" s="12"/>
    </row>
    <row r="469" spans="1:63" x14ac:dyDescent="0.25">
      <c r="A469" s="29">
        <f t="shared" si="113"/>
        <v>0</v>
      </c>
      <c r="B469" s="29">
        <f t="shared" si="115"/>
        <v>0</v>
      </c>
      <c r="C469" s="29">
        <f t="shared" si="116"/>
        <v>0</v>
      </c>
      <c r="D469" s="29">
        <f t="shared" si="117"/>
        <v>0</v>
      </c>
      <c r="E469" s="29">
        <f t="shared" si="114"/>
        <v>0</v>
      </c>
      <c r="F469" s="29">
        <f t="shared" si="118"/>
        <v>0</v>
      </c>
      <c r="G469" s="29" t="str">
        <f t="shared" si="119"/>
        <v>offensive</v>
      </c>
      <c r="H469" s="16">
        <f t="shared" si="120"/>
        <v>0</v>
      </c>
      <c r="I469" s="16">
        <f t="shared" si="121"/>
        <v>0</v>
      </c>
      <c r="J469" s="16">
        <f t="shared" si="122"/>
        <v>0</v>
      </c>
      <c r="K469" s="16">
        <f t="shared" si="123"/>
        <v>0</v>
      </c>
      <c r="L469" s="67">
        <f t="shared" si="124"/>
        <v>0</v>
      </c>
      <c r="M469" s="4">
        <f t="shared" si="125"/>
        <v>0</v>
      </c>
      <c r="N469" s="4">
        <f t="shared" si="126"/>
        <v>0</v>
      </c>
      <c r="O469" s="4">
        <f t="shared" si="127"/>
        <v>0</v>
      </c>
      <c r="P469" s="4" t="e">
        <f>VLOOKUP(AJ461,'CIR Team Info'!$C$5:$E$44,2,FALSE)</f>
        <v>#N/A</v>
      </c>
      <c r="Q469" s="4" t="e">
        <f>VLOOKUP(AJ461,'CIR Team Info'!$C$5:$E$44,3,FALSE)</f>
        <v>#N/A</v>
      </c>
      <c r="R469" s="10" t="e">
        <f>VLOOKUP(AJ461,'FRC Site Data'!$B$3:$L$42,2,FALSE)</f>
        <v>#N/A</v>
      </c>
      <c r="S469" s="10" t="e">
        <f>VLOOKUP(AJ461,'FRC Site Data'!$B$3:$L$42,3,FALSE)</f>
        <v>#N/A</v>
      </c>
      <c r="T469" s="10" t="e">
        <f>VLOOKUP(AJ461,'FRC Site Data'!$B$3:$L$42,4,FALSE)</f>
        <v>#N/A</v>
      </c>
      <c r="U469" s="10" t="e">
        <f>VLOOKUP(AJ461,'FRC Site Data'!$B$3:$L$42,5,FALSE)</f>
        <v>#N/A</v>
      </c>
      <c r="V469" s="10" t="e">
        <f>VLOOKUP(AJ461,'FRC Site Data'!$B$3:$L$42,6,FALSE)</f>
        <v>#N/A</v>
      </c>
      <c r="W469" s="10" t="e">
        <f>VLOOKUP(AJ461,'FRC Site Data'!$B$3:$L$42,8,FALSE)</f>
        <v>#N/A</v>
      </c>
      <c r="X469" s="10" t="e">
        <f>VLOOKUP(AJ461,'FRC Site Data'!$B$3:$L$42,9,FALSE)</f>
        <v>#N/A</v>
      </c>
      <c r="Y469" s="10" t="e">
        <f>VLOOKUP(AJ461,'FRC Site Data'!$B$3:$L$42,10,FALSE)</f>
        <v>#N/A</v>
      </c>
      <c r="Z469" s="10" t="e">
        <f>VLOOKUP(AJ461,'FRC Site Data'!$B$3:$L$42,11,FALSE)</f>
        <v>#N/A</v>
      </c>
      <c r="AA469" s="10" t="e">
        <f>VLOOKUP(AJ461,'CIR Team Info'!$C$5:$E$44,4,FALSE)</f>
        <v>#N/A</v>
      </c>
      <c r="AB469" s="161" t="b">
        <f>ISNUMBER(VLOOKUP(AJ461,Match!$T$5:$T$10,1,FALSE))</f>
        <v>0</v>
      </c>
      <c r="AC469" s="161" t="b">
        <f>IF(AB469=TRUE,(VLOOKUP($AJ461,Match!$T$5:$U$10,2,FALSE)))</f>
        <v>0</v>
      </c>
      <c r="AD469" s="8">
        <v>3</v>
      </c>
      <c r="AE469" s="8">
        <v>2</v>
      </c>
      <c r="AF469" s="8">
        <v>2</v>
      </c>
      <c r="AG469" s="8">
        <v>1</v>
      </c>
      <c r="AH469" s="8" t="str">
        <f t="shared" si="112"/>
        <v/>
      </c>
      <c r="AI469" s="12"/>
      <c r="AZ469" s="12"/>
      <c r="BC469" s="12"/>
      <c r="BK469" s="12"/>
    </row>
    <row r="470" spans="1:63" x14ac:dyDescent="0.25">
      <c r="A470" s="29">
        <f t="shared" si="113"/>
        <v>0</v>
      </c>
      <c r="B470" s="29">
        <f t="shared" si="115"/>
        <v>0</v>
      </c>
      <c r="C470" s="29">
        <f t="shared" si="116"/>
        <v>0</v>
      </c>
      <c r="D470" s="29">
        <f t="shared" si="117"/>
        <v>0</v>
      </c>
      <c r="E470" s="29">
        <f t="shared" si="114"/>
        <v>0</v>
      </c>
      <c r="F470" s="29">
        <f t="shared" si="118"/>
        <v>0</v>
      </c>
      <c r="G470" s="29" t="str">
        <f t="shared" si="119"/>
        <v>offensive</v>
      </c>
      <c r="H470" s="16">
        <f t="shared" si="120"/>
        <v>0</v>
      </c>
      <c r="I470" s="16">
        <f t="shared" si="121"/>
        <v>0</v>
      </c>
      <c r="J470" s="16">
        <f t="shared" si="122"/>
        <v>0</v>
      </c>
      <c r="K470" s="16">
        <f t="shared" si="123"/>
        <v>0</v>
      </c>
      <c r="L470" s="67">
        <f t="shared" si="124"/>
        <v>0</v>
      </c>
      <c r="M470" s="4">
        <f t="shared" si="125"/>
        <v>0</v>
      </c>
      <c r="N470" s="4">
        <f t="shared" si="126"/>
        <v>0</v>
      </c>
      <c r="O470" s="4">
        <f t="shared" si="127"/>
        <v>0</v>
      </c>
      <c r="P470" s="4" t="e">
        <f>VLOOKUP(AJ462,'CIR Team Info'!$C$5:$E$44,2,FALSE)</f>
        <v>#N/A</v>
      </c>
      <c r="Q470" s="4" t="e">
        <f>VLOOKUP(AJ462,'CIR Team Info'!$C$5:$E$44,3,FALSE)</f>
        <v>#N/A</v>
      </c>
      <c r="R470" s="10" t="e">
        <f>VLOOKUP(AJ462,'FRC Site Data'!$B$3:$L$42,2,FALSE)</f>
        <v>#N/A</v>
      </c>
      <c r="S470" s="10" t="e">
        <f>VLOOKUP(AJ462,'FRC Site Data'!$B$3:$L$42,3,FALSE)</f>
        <v>#N/A</v>
      </c>
      <c r="T470" s="10" t="e">
        <f>VLOOKUP(AJ462,'FRC Site Data'!$B$3:$L$42,4,FALSE)</f>
        <v>#N/A</v>
      </c>
      <c r="U470" s="10" t="e">
        <f>VLOOKUP(AJ462,'FRC Site Data'!$B$3:$L$42,5,FALSE)</f>
        <v>#N/A</v>
      </c>
      <c r="V470" s="10" t="e">
        <f>VLOOKUP(AJ462,'FRC Site Data'!$B$3:$L$42,6,FALSE)</f>
        <v>#N/A</v>
      </c>
      <c r="W470" s="10" t="e">
        <f>VLOOKUP(AJ462,'FRC Site Data'!$B$3:$L$42,8,FALSE)</f>
        <v>#N/A</v>
      </c>
      <c r="X470" s="10" t="e">
        <f>VLOOKUP(AJ462,'FRC Site Data'!$B$3:$L$42,9,FALSE)</f>
        <v>#N/A</v>
      </c>
      <c r="Y470" s="10" t="e">
        <f>VLOOKUP(AJ462,'FRC Site Data'!$B$3:$L$42,10,FALSE)</f>
        <v>#N/A</v>
      </c>
      <c r="Z470" s="10" t="e">
        <f>VLOOKUP(AJ462,'FRC Site Data'!$B$3:$L$42,11,FALSE)</f>
        <v>#N/A</v>
      </c>
      <c r="AA470" s="10" t="e">
        <f>VLOOKUP(AJ462,'CIR Team Info'!$C$5:$E$44,4,FALSE)</f>
        <v>#N/A</v>
      </c>
      <c r="AB470" s="161" t="b">
        <f>ISNUMBER(VLOOKUP(AJ462,Match!$T$5:$T$10,1,FALSE))</f>
        <v>0</v>
      </c>
      <c r="AC470" s="161" t="b">
        <f>IF(AB470=TRUE,(VLOOKUP($AJ462,Match!$T$5:$U$10,2,FALSE)))</f>
        <v>0</v>
      </c>
      <c r="AD470" s="8">
        <v>3</v>
      </c>
      <c r="AE470" s="8">
        <v>2</v>
      </c>
      <c r="AF470" s="8">
        <v>2</v>
      </c>
      <c r="AG470" s="8">
        <v>1</v>
      </c>
      <c r="AH470" s="8" t="str">
        <f t="shared" si="112"/>
        <v/>
      </c>
      <c r="AI470" s="12"/>
      <c r="AZ470" s="12"/>
      <c r="BC470" s="12"/>
      <c r="BK470" s="12"/>
    </row>
    <row r="471" spans="1:63" x14ac:dyDescent="0.25">
      <c r="A471" s="29">
        <f t="shared" si="113"/>
        <v>0</v>
      </c>
      <c r="B471" s="29">
        <f t="shared" si="115"/>
        <v>0</v>
      </c>
      <c r="C471" s="29">
        <f t="shared" si="116"/>
        <v>0</v>
      </c>
      <c r="D471" s="29">
        <f t="shared" si="117"/>
        <v>0</v>
      </c>
      <c r="E471" s="29">
        <f t="shared" si="114"/>
        <v>0</v>
      </c>
      <c r="F471" s="29">
        <f t="shared" si="118"/>
        <v>0</v>
      </c>
      <c r="G471" s="29" t="str">
        <f t="shared" si="119"/>
        <v>offensive</v>
      </c>
      <c r="H471" s="16">
        <f t="shared" si="120"/>
        <v>0</v>
      </c>
      <c r="I471" s="16">
        <f t="shared" si="121"/>
        <v>0</v>
      </c>
      <c r="J471" s="16">
        <f t="shared" si="122"/>
        <v>0</v>
      </c>
      <c r="K471" s="16">
        <f t="shared" si="123"/>
        <v>0</v>
      </c>
      <c r="L471" s="67">
        <f t="shared" si="124"/>
        <v>0</v>
      </c>
      <c r="M471" s="4">
        <f t="shared" si="125"/>
        <v>0</v>
      </c>
      <c r="N471" s="4">
        <f t="shared" si="126"/>
        <v>0</v>
      </c>
      <c r="O471" s="4">
        <f t="shared" si="127"/>
        <v>0</v>
      </c>
      <c r="P471" s="4" t="e">
        <f>VLOOKUP(AJ463,'CIR Team Info'!$C$5:$E$44,2,FALSE)</f>
        <v>#N/A</v>
      </c>
      <c r="Q471" s="4" t="e">
        <f>VLOOKUP(AJ463,'CIR Team Info'!$C$5:$E$44,3,FALSE)</f>
        <v>#N/A</v>
      </c>
      <c r="R471" s="10" t="e">
        <f>VLOOKUP(AJ463,'FRC Site Data'!$B$3:$L$42,2,FALSE)</f>
        <v>#N/A</v>
      </c>
      <c r="S471" s="10" t="e">
        <f>VLOOKUP(AJ463,'FRC Site Data'!$B$3:$L$42,3,FALSE)</f>
        <v>#N/A</v>
      </c>
      <c r="T471" s="10" t="e">
        <f>VLOOKUP(AJ463,'FRC Site Data'!$B$3:$L$42,4,FALSE)</f>
        <v>#N/A</v>
      </c>
      <c r="U471" s="10" t="e">
        <f>VLOOKUP(AJ463,'FRC Site Data'!$B$3:$L$42,5,FALSE)</f>
        <v>#N/A</v>
      </c>
      <c r="V471" s="10" t="e">
        <f>VLOOKUP(AJ463,'FRC Site Data'!$B$3:$L$42,6,FALSE)</f>
        <v>#N/A</v>
      </c>
      <c r="W471" s="10" t="e">
        <f>VLOOKUP(AJ463,'FRC Site Data'!$B$3:$L$42,8,FALSE)</f>
        <v>#N/A</v>
      </c>
      <c r="X471" s="10" t="e">
        <f>VLOOKUP(AJ463,'FRC Site Data'!$B$3:$L$42,9,FALSE)</f>
        <v>#N/A</v>
      </c>
      <c r="Y471" s="10" t="e">
        <f>VLOOKUP(AJ463,'FRC Site Data'!$B$3:$L$42,10,FALSE)</f>
        <v>#N/A</v>
      </c>
      <c r="Z471" s="10" t="e">
        <f>VLOOKUP(AJ463,'FRC Site Data'!$B$3:$L$42,11,FALSE)</f>
        <v>#N/A</v>
      </c>
      <c r="AA471" s="10" t="e">
        <f>VLOOKUP(AJ463,'CIR Team Info'!$C$5:$E$44,4,FALSE)</f>
        <v>#N/A</v>
      </c>
      <c r="AB471" s="161" t="b">
        <f>ISNUMBER(VLOOKUP(AJ463,Match!$T$5:$T$10,1,FALSE))</f>
        <v>0</v>
      </c>
      <c r="AC471" s="161" t="b">
        <f>IF(AB471=TRUE,(VLOOKUP($AJ463,Match!$T$5:$U$10,2,FALSE)))</f>
        <v>0</v>
      </c>
      <c r="AD471" s="8">
        <v>3</v>
      </c>
      <c r="AE471" s="8">
        <v>2</v>
      </c>
      <c r="AF471" s="8">
        <v>2</v>
      </c>
      <c r="AG471" s="8">
        <v>1</v>
      </c>
      <c r="AH471" s="8" t="str">
        <f t="shared" si="112"/>
        <v/>
      </c>
      <c r="AI471" s="12"/>
      <c r="AZ471" s="12"/>
      <c r="BC471" s="12"/>
      <c r="BK471" s="12"/>
    </row>
    <row r="472" spans="1:63" x14ac:dyDescent="0.25">
      <c r="A472" s="29">
        <f t="shared" si="113"/>
        <v>0</v>
      </c>
      <c r="B472" s="29">
        <f t="shared" si="115"/>
        <v>0</v>
      </c>
      <c r="C472" s="29">
        <f t="shared" si="116"/>
        <v>0</v>
      </c>
      <c r="D472" s="29">
        <f t="shared" si="117"/>
        <v>0</v>
      </c>
      <c r="E472" s="29">
        <f t="shared" si="114"/>
        <v>0</v>
      </c>
      <c r="F472" s="29">
        <f t="shared" si="118"/>
        <v>0</v>
      </c>
      <c r="G472" s="29" t="str">
        <f t="shared" si="119"/>
        <v>offensive</v>
      </c>
      <c r="H472" s="16">
        <f t="shared" si="120"/>
        <v>0</v>
      </c>
      <c r="I472" s="16">
        <f t="shared" si="121"/>
        <v>0</v>
      </c>
      <c r="J472" s="16">
        <f t="shared" si="122"/>
        <v>0</v>
      </c>
      <c r="K472" s="16">
        <f t="shared" si="123"/>
        <v>0</v>
      </c>
      <c r="L472" s="67">
        <f t="shared" si="124"/>
        <v>0</v>
      </c>
      <c r="M472" s="4">
        <f t="shared" si="125"/>
        <v>0</v>
      </c>
      <c r="N472" s="4">
        <f t="shared" si="126"/>
        <v>0</v>
      </c>
      <c r="O472" s="4">
        <f t="shared" si="127"/>
        <v>0</v>
      </c>
      <c r="P472" s="4" t="e">
        <f>VLOOKUP(AJ464,'CIR Team Info'!$C$5:$E$44,2,FALSE)</f>
        <v>#N/A</v>
      </c>
      <c r="Q472" s="4" t="e">
        <f>VLOOKUP(AJ464,'CIR Team Info'!$C$5:$E$44,3,FALSE)</f>
        <v>#N/A</v>
      </c>
      <c r="R472" s="10" t="e">
        <f>VLOOKUP(AJ464,'FRC Site Data'!$B$3:$L$42,2,FALSE)</f>
        <v>#N/A</v>
      </c>
      <c r="S472" s="10" t="e">
        <f>VLOOKUP(AJ464,'FRC Site Data'!$B$3:$L$42,3,FALSE)</f>
        <v>#N/A</v>
      </c>
      <c r="T472" s="10" t="e">
        <f>VLOOKUP(AJ464,'FRC Site Data'!$B$3:$L$42,4,FALSE)</f>
        <v>#N/A</v>
      </c>
      <c r="U472" s="10" t="e">
        <f>VLOOKUP(AJ464,'FRC Site Data'!$B$3:$L$42,5,FALSE)</f>
        <v>#N/A</v>
      </c>
      <c r="V472" s="10" t="e">
        <f>VLOOKUP(AJ464,'FRC Site Data'!$B$3:$L$42,6,FALSE)</f>
        <v>#N/A</v>
      </c>
      <c r="W472" s="10" t="e">
        <f>VLOOKUP(AJ464,'FRC Site Data'!$B$3:$L$42,8,FALSE)</f>
        <v>#N/A</v>
      </c>
      <c r="X472" s="10" t="e">
        <f>VLOOKUP(AJ464,'FRC Site Data'!$B$3:$L$42,9,FALSE)</f>
        <v>#N/A</v>
      </c>
      <c r="Y472" s="10" t="e">
        <f>VLOOKUP(AJ464,'FRC Site Data'!$B$3:$L$42,10,FALSE)</f>
        <v>#N/A</v>
      </c>
      <c r="Z472" s="10" t="e">
        <f>VLOOKUP(AJ464,'FRC Site Data'!$B$3:$L$42,11,FALSE)</f>
        <v>#N/A</v>
      </c>
      <c r="AA472" s="10" t="e">
        <f>VLOOKUP(AJ464,'CIR Team Info'!$C$5:$E$44,4,FALSE)</f>
        <v>#N/A</v>
      </c>
      <c r="AB472" s="161" t="b">
        <f>ISNUMBER(VLOOKUP(AJ464,Match!$T$5:$T$10,1,FALSE))</f>
        <v>0</v>
      </c>
      <c r="AC472" s="161" t="b">
        <f>IF(AB472=TRUE,(VLOOKUP($AJ464,Match!$T$5:$U$10,2,FALSE)))</f>
        <v>0</v>
      </c>
      <c r="AD472" s="8">
        <v>3</v>
      </c>
      <c r="AE472" s="8">
        <v>2</v>
      </c>
      <c r="AF472" s="8">
        <v>2</v>
      </c>
      <c r="AG472" s="8">
        <v>1</v>
      </c>
      <c r="AH472" s="8" t="str">
        <f t="shared" si="112"/>
        <v/>
      </c>
      <c r="AI472" s="12"/>
      <c r="AZ472" s="12"/>
      <c r="BC472" s="12"/>
      <c r="BK472" s="12"/>
    </row>
    <row r="473" spans="1:63" x14ac:dyDescent="0.25">
      <c r="A473" s="29">
        <f t="shared" si="113"/>
        <v>0</v>
      </c>
      <c r="B473" s="29">
        <f t="shared" si="115"/>
        <v>0</v>
      </c>
      <c r="C473" s="29">
        <f t="shared" si="116"/>
        <v>0</v>
      </c>
      <c r="D473" s="29">
        <f t="shared" si="117"/>
        <v>0</v>
      </c>
      <c r="E473" s="29">
        <f t="shared" si="114"/>
        <v>0</v>
      </c>
      <c r="F473" s="29">
        <f t="shared" si="118"/>
        <v>0</v>
      </c>
      <c r="G473" s="29" t="str">
        <f t="shared" si="119"/>
        <v>offensive</v>
      </c>
      <c r="H473" s="16">
        <f t="shared" si="120"/>
        <v>0</v>
      </c>
      <c r="I473" s="16">
        <f t="shared" si="121"/>
        <v>0</v>
      </c>
      <c r="J473" s="16">
        <f t="shared" si="122"/>
        <v>0</v>
      </c>
      <c r="K473" s="16">
        <f t="shared" si="123"/>
        <v>0</v>
      </c>
      <c r="L473" s="67">
        <f t="shared" si="124"/>
        <v>0</v>
      </c>
      <c r="M473" s="4">
        <f t="shared" si="125"/>
        <v>0</v>
      </c>
      <c r="N473" s="4">
        <f t="shared" si="126"/>
        <v>0</v>
      </c>
      <c r="O473" s="4">
        <f t="shared" si="127"/>
        <v>0</v>
      </c>
      <c r="P473" s="4" t="e">
        <f>VLOOKUP(AJ465,'CIR Team Info'!$C$5:$E$44,2,FALSE)</f>
        <v>#N/A</v>
      </c>
      <c r="Q473" s="4" t="e">
        <f>VLOOKUP(AJ465,'CIR Team Info'!$C$5:$E$44,3,FALSE)</f>
        <v>#N/A</v>
      </c>
      <c r="R473" s="10" t="e">
        <f>VLOOKUP(AJ465,'FRC Site Data'!$B$3:$L$42,2,FALSE)</f>
        <v>#N/A</v>
      </c>
      <c r="S473" s="10" t="e">
        <f>VLOOKUP(AJ465,'FRC Site Data'!$B$3:$L$42,3,FALSE)</f>
        <v>#N/A</v>
      </c>
      <c r="T473" s="10" t="e">
        <f>VLOOKUP(AJ465,'FRC Site Data'!$B$3:$L$42,4,FALSE)</f>
        <v>#N/A</v>
      </c>
      <c r="U473" s="10" t="e">
        <f>VLOOKUP(AJ465,'FRC Site Data'!$B$3:$L$42,5,FALSE)</f>
        <v>#N/A</v>
      </c>
      <c r="V473" s="10" t="e">
        <f>VLOOKUP(AJ465,'FRC Site Data'!$B$3:$L$42,6,FALSE)</f>
        <v>#N/A</v>
      </c>
      <c r="W473" s="10" t="e">
        <f>VLOOKUP(AJ465,'FRC Site Data'!$B$3:$L$42,8,FALSE)</f>
        <v>#N/A</v>
      </c>
      <c r="X473" s="10" t="e">
        <f>VLOOKUP(AJ465,'FRC Site Data'!$B$3:$L$42,9,FALSE)</f>
        <v>#N/A</v>
      </c>
      <c r="Y473" s="10" t="e">
        <f>VLOOKUP(AJ465,'FRC Site Data'!$B$3:$L$42,10,FALSE)</f>
        <v>#N/A</v>
      </c>
      <c r="Z473" s="10" t="e">
        <f>VLOOKUP(AJ465,'FRC Site Data'!$B$3:$L$42,11,FALSE)</f>
        <v>#N/A</v>
      </c>
      <c r="AA473" s="10" t="e">
        <f>VLOOKUP(AJ465,'CIR Team Info'!$C$5:$E$44,4,FALSE)</f>
        <v>#N/A</v>
      </c>
      <c r="AB473" s="161" t="b">
        <f>ISNUMBER(VLOOKUP(AJ465,Match!$T$5:$T$10,1,FALSE))</f>
        <v>0</v>
      </c>
      <c r="AC473" s="161" t="b">
        <f>IF(AB473=TRUE,(VLOOKUP($AJ465,Match!$T$5:$U$10,2,FALSE)))</f>
        <v>0</v>
      </c>
      <c r="AD473" s="8">
        <v>3</v>
      </c>
      <c r="AE473" s="8">
        <v>2</v>
      </c>
      <c r="AF473" s="8">
        <v>2</v>
      </c>
      <c r="AG473" s="8">
        <v>1</v>
      </c>
      <c r="AH473" s="8" t="str">
        <f t="shared" si="112"/>
        <v/>
      </c>
      <c r="AI473" s="12"/>
      <c r="AZ473" s="12"/>
      <c r="BC473" s="12"/>
      <c r="BK473" s="12"/>
    </row>
    <row r="474" spans="1:63" x14ac:dyDescent="0.25">
      <c r="A474" s="29">
        <f t="shared" si="113"/>
        <v>0</v>
      </c>
      <c r="B474" s="29">
        <f t="shared" si="115"/>
        <v>0</v>
      </c>
      <c r="C474" s="29">
        <f t="shared" si="116"/>
        <v>0</v>
      </c>
      <c r="D474" s="29">
        <f t="shared" si="117"/>
        <v>0</v>
      </c>
      <c r="E474" s="29">
        <f t="shared" si="114"/>
        <v>0</v>
      </c>
      <c r="F474" s="29">
        <f t="shared" si="118"/>
        <v>0</v>
      </c>
      <c r="G474" s="29" t="str">
        <f t="shared" si="119"/>
        <v>offensive</v>
      </c>
      <c r="H474" s="16">
        <f t="shared" si="120"/>
        <v>0</v>
      </c>
      <c r="I474" s="16">
        <f t="shared" si="121"/>
        <v>0</v>
      </c>
      <c r="J474" s="16">
        <f t="shared" si="122"/>
        <v>0</v>
      </c>
      <c r="K474" s="16">
        <f t="shared" si="123"/>
        <v>0</v>
      </c>
      <c r="L474" s="67">
        <f t="shared" si="124"/>
        <v>0</v>
      </c>
      <c r="M474" s="4">
        <f t="shared" si="125"/>
        <v>0</v>
      </c>
      <c r="N474" s="4">
        <f t="shared" si="126"/>
        <v>0</v>
      </c>
      <c r="O474" s="4">
        <f t="shared" si="127"/>
        <v>0</v>
      </c>
      <c r="P474" s="4" t="e">
        <f>VLOOKUP(AJ466,'CIR Team Info'!$C$5:$E$44,2,FALSE)</f>
        <v>#N/A</v>
      </c>
      <c r="Q474" s="4" t="e">
        <f>VLOOKUP(AJ466,'CIR Team Info'!$C$5:$E$44,3,FALSE)</f>
        <v>#N/A</v>
      </c>
      <c r="R474" s="10" t="e">
        <f>VLOOKUP(AJ466,'FRC Site Data'!$B$3:$L$42,2,FALSE)</f>
        <v>#N/A</v>
      </c>
      <c r="S474" s="10" t="e">
        <f>VLOOKUP(AJ466,'FRC Site Data'!$B$3:$L$42,3,FALSE)</f>
        <v>#N/A</v>
      </c>
      <c r="T474" s="10" t="e">
        <f>VLOOKUP(AJ466,'FRC Site Data'!$B$3:$L$42,4,FALSE)</f>
        <v>#N/A</v>
      </c>
      <c r="U474" s="10" t="e">
        <f>VLOOKUP(AJ466,'FRC Site Data'!$B$3:$L$42,5,FALSE)</f>
        <v>#N/A</v>
      </c>
      <c r="V474" s="10" t="e">
        <f>VLOOKUP(AJ466,'FRC Site Data'!$B$3:$L$42,6,FALSE)</f>
        <v>#N/A</v>
      </c>
      <c r="W474" s="10" t="e">
        <f>VLOOKUP(AJ466,'FRC Site Data'!$B$3:$L$42,8,FALSE)</f>
        <v>#N/A</v>
      </c>
      <c r="X474" s="10" t="e">
        <f>VLOOKUP(AJ466,'FRC Site Data'!$B$3:$L$42,9,FALSE)</f>
        <v>#N/A</v>
      </c>
      <c r="Y474" s="10" t="e">
        <f>VLOOKUP(AJ466,'FRC Site Data'!$B$3:$L$42,10,FALSE)</f>
        <v>#N/A</v>
      </c>
      <c r="Z474" s="10" t="e">
        <f>VLOOKUP(AJ466,'FRC Site Data'!$B$3:$L$42,11,FALSE)</f>
        <v>#N/A</v>
      </c>
      <c r="AA474" s="10" t="e">
        <f>VLOOKUP(AJ466,'CIR Team Info'!$C$5:$E$44,4,FALSE)</f>
        <v>#N/A</v>
      </c>
      <c r="AB474" s="161" t="b">
        <f>ISNUMBER(VLOOKUP(AJ466,Match!$T$5:$T$10,1,FALSE))</f>
        <v>0</v>
      </c>
      <c r="AC474" s="161" t="b">
        <f>IF(AB474=TRUE,(VLOOKUP($AJ466,Match!$T$5:$U$10,2,FALSE)))</f>
        <v>0</v>
      </c>
      <c r="AD474" s="8">
        <v>3</v>
      </c>
      <c r="AE474" s="8">
        <v>2</v>
      </c>
      <c r="AF474" s="8">
        <v>2</v>
      </c>
      <c r="AG474" s="8">
        <v>1</v>
      </c>
      <c r="AH474" s="8" t="str">
        <f t="shared" si="112"/>
        <v/>
      </c>
      <c r="AI474" s="12"/>
      <c r="AZ474" s="12"/>
      <c r="BC474" s="12"/>
      <c r="BK474" s="12"/>
    </row>
    <row r="475" spans="1:63" x14ac:dyDescent="0.25">
      <c r="A475" s="29">
        <f t="shared" si="113"/>
        <v>0</v>
      </c>
      <c r="B475" s="29">
        <f t="shared" si="115"/>
        <v>0</v>
      </c>
      <c r="C475" s="29">
        <f t="shared" si="116"/>
        <v>0</v>
      </c>
      <c r="D475" s="29">
        <f t="shared" si="117"/>
        <v>0</v>
      </c>
      <c r="E475" s="29">
        <f t="shared" si="114"/>
        <v>0</v>
      </c>
      <c r="F475" s="29">
        <f t="shared" si="118"/>
        <v>0</v>
      </c>
      <c r="G475" s="29" t="str">
        <f t="shared" si="119"/>
        <v>offensive</v>
      </c>
      <c r="H475" s="16">
        <f t="shared" si="120"/>
        <v>0</v>
      </c>
      <c r="I475" s="16">
        <f t="shared" si="121"/>
        <v>0</v>
      </c>
      <c r="J475" s="16">
        <f t="shared" si="122"/>
        <v>0</v>
      </c>
      <c r="K475" s="16">
        <f t="shared" si="123"/>
        <v>0</v>
      </c>
      <c r="L475" s="67">
        <f t="shared" si="124"/>
        <v>0</v>
      </c>
      <c r="M475" s="4">
        <f t="shared" si="125"/>
        <v>0</v>
      </c>
      <c r="N475" s="4">
        <f t="shared" si="126"/>
        <v>0</v>
      </c>
      <c r="O475" s="4">
        <f t="shared" si="127"/>
        <v>0</v>
      </c>
      <c r="P475" s="4" t="e">
        <f>VLOOKUP(AJ467,'CIR Team Info'!$C$5:$E$44,2,FALSE)</f>
        <v>#N/A</v>
      </c>
      <c r="Q475" s="4" t="e">
        <f>VLOOKUP(AJ467,'CIR Team Info'!$C$5:$E$44,3,FALSE)</f>
        <v>#N/A</v>
      </c>
      <c r="R475" s="10" t="e">
        <f>VLOOKUP(AJ467,'FRC Site Data'!$B$3:$L$42,2,FALSE)</f>
        <v>#N/A</v>
      </c>
      <c r="S475" s="10" t="e">
        <f>VLOOKUP(AJ467,'FRC Site Data'!$B$3:$L$42,3,FALSE)</f>
        <v>#N/A</v>
      </c>
      <c r="T475" s="10" t="e">
        <f>VLOOKUP(AJ467,'FRC Site Data'!$B$3:$L$42,4,FALSE)</f>
        <v>#N/A</v>
      </c>
      <c r="U475" s="10" t="e">
        <f>VLOOKUP(AJ467,'FRC Site Data'!$B$3:$L$42,5,FALSE)</f>
        <v>#N/A</v>
      </c>
      <c r="V475" s="10" t="e">
        <f>VLOOKUP(AJ467,'FRC Site Data'!$B$3:$L$42,6,FALSE)</f>
        <v>#N/A</v>
      </c>
      <c r="W475" s="10" t="e">
        <f>VLOOKUP(AJ467,'FRC Site Data'!$B$3:$L$42,8,FALSE)</f>
        <v>#N/A</v>
      </c>
      <c r="X475" s="10" t="e">
        <f>VLOOKUP(AJ467,'FRC Site Data'!$B$3:$L$42,9,FALSE)</f>
        <v>#N/A</v>
      </c>
      <c r="Y475" s="10" t="e">
        <f>VLOOKUP(AJ467,'FRC Site Data'!$B$3:$L$42,10,FALSE)</f>
        <v>#N/A</v>
      </c>
      <c r="Z475" s="10" t="e">
        <f>VLOOKUP(AJ467,'FRC Site Data'!$B$3:$L$42,11,FALSE)</f>
        <v>#N/A</v>
      </c>
      <c r="AA475" s="10" t="e">
        <f>VLOOKUP(AJ467,'CIR Team Info'!$C$5:$E$44,4,FALSE)</f>
        <v>#N/A</v>
      </c>
      <c r="AB475" s="161" t="b">
        <f>ISNUMBER(VLOOKUP(AJ467,Match!$T$5:$T$10,1,FALSE))</f>
        <v>0</v>
      </c>
      <c r="AC475" s="161" t="b">
        <f>IF(AB475=TRUE,(VLOOKUP($AJ467,Match!$T$5:$U$10,2,FALSE)))</f>
        <v>0</v>
      </c>
      <c r="AD475" s="8">
        <v>3</v>
      </c>
      <c r="AE475" s="8">
        <v>2</v>
      </c>
      <c r="AF475" s="8">
        <v>2</v>
      </c>
      <c r="AG475" s="8">
        <v>1</v>
      </c>
      <c r="AH475" s="8" t="str">
        <f t="shared" ref="AH475:AH538" si="128">IF(AL467="Other","x","")</f>
        <v/>
      </c>
      <c r="AI475" s="12"/>
      <c r="AZ475" s="12"/>
      <c r="BC475" s="12"/>
      <c r="BK475" s="12"/>
    </row>
    <row r="476" spans="1:63" x14ac:dyDescent="0.25">
      <c r="A476" s="29">
        <f t="shared" si="113"/>
        <v>0</v>
      </c>
      <c r="B476" s="29">
        <f t="shared" si="115"/>
        <v>0</v>
      </c>
      <c r="C476" s="29">
        <f t="shared" si="116"/>
        <v>0</v>
      </c>
      <c r="D476" s="29">
        <f t="shared" si="117"/>
        <v>0</v>
      </c>
      <c r="E476" s="29">
        <f t="shared" si="114"/>
        <v>0</v>
      </c>
      <c r="F476" s="29">
        <f t="shared" si="118"/>
        <v>0</v>
      </c>
      <c r="G476" s="29" t="str">
        <f t="shared" si="119"/>
        <v>offensive</v>
      </c>
      <c r="H476" s="16">
        <f t="shared" si="120"/>
        <v>0</v>
      </c>
      <c r="I476" s="16">
        <f t="shared" si="121"/>
        <v>0</v>
      </c>
      <c r="J476" s="16">
        <f t="shared" si="122"/>
        <v>0</v>
      </c>
      <c r="K476" s="16">
        <f t="shared" si="123"/>
        <v>0</v>
      </c>
      <c r="L476" s="67">
        <f t="shared" si="124"/>
        <v>0</v>
      </c>
      <c r="M476" s="4">
        <f t="shared" si="125"/>
        <v>0</v>
      </c>
      <c r="N476" s="4">
        <f t="shared" si="126"/>
        <v>0</v>
      </c>
      <c r="O476" s="4">
        <f t="shared" si="127"/>
        <v>0</v>
      </c>
      <c r="P476" s="4" t="e">
        <f>VLOOKUP(AJ468,'CIR Team Info'!$C$5:$E$44,2,FALSE)</f>
        <v>#N/A</v>
      </c>
      <c r="Q476" s="4" t="e">
        <f>VLOOKUP(AJ468,'CIR Team Info'!$C$5:$E$44,3,FALSE)</f>
        <v>#N/A</v>
      </c>
      <c r="R476" s="10" t="e">
        <f>VLOOKUP(AJ468,'FRC Site Data'!$B$3:$L$42,2,FALSE)</f>
        <v>#N/A</v>
      </c>
      <c r="S476" s="10" t="e">
        <f>VLOOKUP(AJ468,'FRC Site Data'!$B$3:$L$42,3,FALSE)</f>
        <v>#N/A</v>
      </c>
      <c r="T476" s="10" t="e">
        <f>VLOOKUP(AJ468,'FRC Site Data'!$B$3:$L$42,4,FALSE)</f>
        <v>#N/A</v>
      </c>
      <c r="U476" s="10" t="e">
        <f>VLOOKUP(AJ468,'FRC Site Data'!$B$3:$L$42,5,FALSE)</f>
        <v>#N/A</v>
      </c>
      <c r="V476" s="10" t="e">
        <f>VLOOKUP(AJ468,'FRC Site Data'!$B$3:$L$42,6,FALSE)</f>
        <v>#N/A</v>
      </c>
      <c r="W476" s="10" t="e">
        <f>VLOOKUP(AJ468,'FRC Site Data'!$B$3:$L$42,8,FALSE)</f>
        <v>#N/A</v>
      </c>
      <c r="X476" s="10" t="e">
        <f>VLOOKUP(AJ468,'FRC Site Data'!$B$3:$L$42,9,FALSE)</f>
        <v>#N/A</v>
      </c>
      <c r="Y476" s="10" t="e">
        <f>VLOOKUP(AJ468,'FRC Site Data'!$B$3:$L$42,10,FALSE)</f>
        <v>#N/A</v>
      </c>
      <c r="Z476" s="10" t="e">
        <f>VLOOKUP(AJ468,'FRC Site Data'!$B$3:$L$42,11,FALSE)</f>
        <v>#N/A</v>
      </c>
      <c r="AA476" s="10" t="e">
        <f>VLOOKUP(AJ468,'CIR Team Info'!$C$5:$E$44,4,FALSE)</f>
        <v>#N/A</v>
      </c>
      <c r="AB476" s="161" t="b">
        <f>ISNUMBER(VLOOKUP(AJ468,Match!$T$5:$T$10,1,FALSE))</f>
        <v>0</v>
      </c>
      <c r="AC476" s="161" t="b">
        <f>IF(AB476=TRUE,(VLOOKUP($AJ468,Match!$T$5:$U$10,2,FALSE)))</f>
        <v>0</v>
      </c>
      <c r="AD476" s="8">
        <v>3</v>
      </c>
      <c r="AE476" s="8">
        <v>2</v>
      </c>
      <c r="AF476" s="8">
        <v>2</v>
      </c>
      <c r="AG476" s="8">
        <v>1</v>
      </c>
      <c r="AH476" s="8" t="str">
        <f t="shared" si="128"/>
        <v/>
      </c>
      <c r="AI476" s="12"/>
      <c r="AZ476" s="12"/>
      <c r="BC476" s="12"/>
      <c r="BK476" s="12"/>
    </row>
    <row r="477" spans="1:63" x14ac:dyDescent="0.25">
      <c r="A477" s="29">
        <f t="shared" si="113"/>
        <v>0</v>
      </c>
      <c r="B477" s="29">
        <f t="shared" si="115"/>
        <v>0</v>
      </c>
      <c r="C477" s="29">
        <f t="shared" si="116"/>
        <v>0</v>
      </c>
      <c r="D477" s="29">
        <f t="shared" si="117"/>
        <v>0</v>
      </c>
      <c r="E477" s="29">
        <f t="shared" si="114"/>
        <v>0</v>
      </c>
      <c r="F477" s="29">
        <f t="shared" si="118"/>
        <v>0</v>
      </c>
      <c r="G477" s="29" t="str">
        <f t="shared" si="119"/>
        <v>offensive</v>
      </c>
      <c r="H477" s="16">
        <f t="shared" si="120"/>
        <v>0</v>
      </c>
      <c r="I477" s="16">
        <f t="shared" si="121"/>
        <v>0</v>
      </c>
      <c r="J477" s="16">
        <f t="shared" si="122"/>
        <v>0</v>
      </c>
      <c r="K477" s="16">
        <f t="shared" si="123"/>
        <v>0</v>
      </c>
      <c r="L477" s="67">
        <f t="shared" si="124"/>
        <v>0</v>
      </c>
      <c r="M477" s="4">
        <f t="shared" si="125"/>
        <v>0</v>
      </c>
      <c r="N477" s="4">
        <f t="shared" si="126"/>
        <v>0</v>
      </c>
      <c r="O477" s="4">
        <f t="shared" si="127"/>
        <v>0</v>
      </c>
      <c r="P477" s="4" t="e">
        <f>VLOOKUP(AJ469,'CIR Team Info'!$C$5:$E$44,2,FALSE)</f>
        <v>#N/A</v>
      </c>
      <c r="Q477" s="4" t="e">
        <f>VLOOKUP(AJ469,'CIR Team Info'!$C$5:$E$44,3,FALSE)</f>
        <v>#N/A</v>
      </c>
      <c r="R477" s="10" t="e">
        <f>VLOOKUP(AJ469,'FRC Site Data'!$B$3:$L$42,2,FALSE)</f>
        <v>#N/A</v>
      </c>
      <c r="S477" s="10" t="e">
        <f>VLOOKUP(AJ469,'FRC Site Data'!$B$3:$L$42,3,FALSE)</f>
        <v>#N/A</v>
      </c>
      <c r="T477" s="10" t="e">
        <f>VLOOKUP(AJ469,'FRC Site Data'!$B$3:$L$42,4,FALSE)</f>
        <v>#N/A</v>
      </c>
      <c r="U477" s="10" t="e">
        <f>VLOOKUP(AJ469,'FRC Site Data'!$B$3:$L$42,5,FALSE)</f>
        <v>#N/A</v>
      </c>
      <c r="V477" s="10" t="e">
        <f>VLOOKUP(AJ469,'FRC Site Data'!$B$3:$L$42,6,FALSE)</f>
        <v>#N/A</v>
      </c>
      <c r="W477" s="10" t="e">
        <f>VLOOKUP(AJ469,'FRC Site Data'!$B$3:$L$42,8,FALSE)</f>
        <v>#N/A</v>
      </c>
      <c r="X477" s="10" t="e">
        <f>VLOOKUP(AJ469,'FRC Site Data'!$B$3:$L$42,9,FALSE)</f>
        <v>#N/A</v>
      </c>
      <c r="Y477" s="10" t="e">
        <f>VLOOKUP(AJ469,'FRC Site Data'!$B$3:$L$42,10,FALSE)</f>
        <v>#N/A</v>
      </c>
      <c r="Z477" s="10" t="e">
        <f>VLOOKUP(AJ469,'FRC Site Data'!$B$3:$L$42,11,FALSE)</f>
        <v>#N/A</v>
      </c>
      <c r="AA477" s="10" t="e">
        <f>VLOOKUP(AJ469,'CIR Team Info'!$C$5:$E$44,4,FALSE)</f>
        <v>#N/A</v>
      </c>
      <c r="AB477" s="161" t="b">
        <f>ISNUMBER(VLOOKUP(AJ469,Match!$T$5:$T$10,1,FALSE))</f>
        <v>0</v>
      </c>
      <c r="AC477" s="161" t="b">
        <f>IF(AB477=TRUE,(VLOOKUP($AJ469,Match!$T$5:$U$10,2,FALSE)))</f>
        <v>0</v>
      </c>
      <c r="AD477" s="8">
        <v>3</v>
      </c>
      <c r="AE477" s="8">
        <v>2</v>
      </c>
      <c r="AF477" s="8">
        <v>2</v>
      </c>
      <c r="AG477" s="8">
        <v>1</v>
      </c>
      <c r="AH477" s="8" t="str">
        <f t="shared" si="128"/>
        <v/>
      </c>
      <c r="AI477" s="12"/>
      <c r="AZ477" s="12"/>
      <c r="BC477" s="12"/>
      <c r="BK477" s="12"/>
    </row>
    <row r="478" spans="1:63" x14ac:dyDescent="0.25">
      <c r="A478" s="29">
        <f t="shared" si="113"/>
        <v>0</v>
      </c>
      <c r="B478" s="29">
        <f t="shared" si="115"/>
        <v>0</v>
      </c>
      <c r="C478" s="29">
        <f t="shared" si="116"/>
        <v>0</v>
      </c>
      <c r="D478" s="29">
        <f t="shared" si="117"/>
        <v>0</v>
      </c>
      <c r="E478" s="29">
        <f t="shared" si="114"/>
        <v>0</v>
      </c>
      <c r="F478" s="29">
        <f t="shared" si="118"/>
        <v>0</v>
      </c>
      <c r="G478" s="29" t="str">
        <f t="shared" si="119"/>
        <v>offensive</v>
      </c>
      <c r="H478" s="16">
        <f t="shared" si="120"/>
        <v>0</v>
      </c>
      <c r="I478" s="16">
        <f t="shared" si="121"/>
        <v>0</v>
      </c>
      <c r="J478" s="16">
        <f t="shared" si="122"/>
        <v>0</v>
      </c>
      <c r="K478" s="16">
        <f t="shared" si="123"/>
        <v>0</v>
      </c>
      <c r="L478" s="67">
        <f t="shared" si="124"/>
        <v>0</v>
      </c>
      <c r="M478" s="4">
        <f t="shared" si="125"/>
        <v>0</v>
      </c>
      <c r="N478" s="4">
        <f t="shared" si="126"/>
        <v>0</v>
      </c>
      <c r="O478" s="4">
        <f t="shared" si="127"/>
        <v>0</v>
      </c>
      <c r="P478" s="4" t="e">
        <f>VLOOKUP(AJ470,'CIR Team Info'!$C$5:$E$44,2,FALSE)</f>
        <v>#N/A</v>
      </c>
      <c r="Q478" s="4" t="e">
        <f>VLOOKUP(AJ470,'CIR Team Info'!$C$5:$E$44,3,FALSE)</f>
        <v>#N/A</v>
      </c>
      <c r="R478" s="10" t="e">
        <f>VLOOKUP(AJ470,'FRC Site Data'!$B$3:$L$42,2,FALSE)</f>
        <v>#N/A</v>
      </c>
      <c r="S478" s="10" t="e">
        <f>VLOOKUP(AJ470,'FRC Site Data'!$B$3:$L$42,3,FALSE)</f>
        <v>#N/A</v>
      </c>
      <c r="T478" s="10" t="e">
        <f>VLOOKUP(AJ470,'FRC Site Data'!$B$3:$L$42,4,FALSE)</f>
        <v>#N/A</v>
      </c>
      <c r="U478" s="10" t="e">
        <f>VLOOKUP(AJ470,'FRC Site Data'!$B$3:$L$42,5,FALSE)</f>
        <v>#N/A</v>
      </c>
      <c r="V478" s="10" t="e">
        <f>VLOOKUP(AJ470,'FRC Site Data'!$B$3:$L$42,6,FALSE)</f>
        <v>#N/A</v>
      </c>
      <c r="W478" s="10" t="e">
        <f>VLOOKUP(AJ470,'FRC Site Data'!$B$3:$L$42,8,FALSE)</f>
        <v>#N/A</v>
      </c>
      <c r="X478" s="10" t="e">
        <f>VLOOKUP(AJ470,'FRC Site Data'!$B$3:$L$42,9,FALSE)</f>
        <v>#N/A</v>
      </c>
      <c r="Y478" s="10" t="e">
        <f>VLOOKUP(AJ470,'FRC Site Data'!$B$3:$L$42,10,FALSE)</f>
        <v>#N/A</v>
      </c>
      <c r="Z478" s="10" t="e">
        <f>VLOOKUP(AJ470,'FRC Site Data'!$B$3:$L$42,11,FALSE)</f>
        <v>#N/A</v>
      </c>
      <c r="AA478" s="10" t="e">
        <f>VLOOKUP(AJ470,'CIR Team Info'!$C$5:$E$44,4,FALSE)</f>
        <v>#N/A</v>
      </c>
      <c r="AB478" s="161" t="b">
        <f>ISNUMBER(VLOOKUP(AJ470,Match!$T$5:$T$10,1,FALSE))</f>
        <v>0</v>
      </c>
      <c r="AC478" s="161" t="b">
        <f>IF(AB478=TRUE,(VLOOKUP($AJ470,Match!$T$5:$U$10,2,FALSE)))</f>
        <v>0</v>
      </c>
      <c r="AD478" s="8">
        <v>3</v>
      </c>
      <c r="AE478" s="8">
        <v>2</v>
      </c>
      <c r="AF478" s="8">
        <v>2</v>
      </c>
      <c r="AG478" s="8">
        <v>1</v>
      </c>
      <c r="AH478" s="8" t="str">
        <f t="shared" si="128"/>
        <v/>
      </c>
      <c r="AI478" s="12"/>
      <c r="AZ478" s="12"/>
      <c r="BC478" s="12"/>
      <c r="BK478" s="12"/>
    </row>
    <row r="479" spans="1:63" x14ac:dyDescent="0.25">
      <c r="A479" s="29">
        <f t="shared" si="113"/>
        <v>0</v>
      </c>
      <c r="B479" s="29">
        <f t="shared" si="115"/>
        <v>0</v>
      </c>
      <c r="C479" s="29">
        <f t="shared" si="116"/>
        <v>0</v>
      </c>
      <c r="D479" s="29">
        <f t="shared" si="117"/>
        <v>0</v>
      </c>
      <c r="E479" s="29">
        <f t="shared" si="114"/>
        <v>0</v>
      </c>
      <c r="F479" s="29">
        <f t="shared" si="118"/>
        <v>0</v>
      </c>
      <c r="G479" s="29" t="str">
        <f t="shared" si="119"/>
        <v>offensive</v>
      </c>
      <c r="H479" s="16">
        <f t="shared" si="120"/>
        <v>0</v>
      </c>
      <c r="I479" s="16">
        <f t="shared" si="121"/>
        <v>0</v>
      </c>
      <c r="J479" s="16">
        <f t="shared" si="122"/>
        <v>0</v>
      </c>
      <c r="K479" s="16">
        <f t="shared" si="123"/>
        <v>0</v>
      </c>
      <c r="L479" s="67">
        <f t="shared" si="124"/>
        <v>0</v>
      </c>
      <c r="M479" s="4">
        <f t="shared" si="125"/>
        <v>0</v>
      </c>
      <c r="N479" s="4">
        <f t="shared" si="126"/>
        <v>0</v>
      </c>
      <c r="O479" s="4">
        <f t="shared" si="127"/>
        <v>0</v>
      </c>
      <c r="P479" s="4" t="e">
        <f>VLOOKUP(AJ471,'CIR Team Info'!$C$5:$E$44,2,FALSE)</f>
        <v>#N/A</v>
      </c>
      <c r="Q479" s="4" t="e">
        <f>VLOOKUP(AJ471,'CIR Team Info'!$C$5:$E$44,3,FALSE)</f>
        <v>#N/A</v>
      </c>
      <c r="R479" s="10" t="e">
        <f>VLOOKUP(AJ471,'FRC Site Data'!$B$3:$L$42,2,FALSE)</f>
        <v>#N/A</v>
      </c>
      <c r="S479" s="10" t="e">
        <f>VLOOKUP(AJ471,'FRC Site Data'!$B$3:$L$42,3,FALSE)</f>
        <v>#N/A</v>
      </c>
      <c r="T479" s="10" t="e">
        <f>VLOOKUP(AJ471,'FRC Site Data'!$B$3:$L$42,4,FALSE)</f>
        <v>#N/A</v>
      </c>
      <c r="U479" s="10" t="e">
        <f>VLOOKUP(AJ471,'FRC Site Data'!$B$3:$L$42,5,FALSE)</f>
        <v>#N/A</v>
      </c>
      <c r="V479" s="10" t="e">
        <f>VLOOKUP(AJ471,'FRC Site Data'!$B$3:$L$42,6,FALSE)</f>
        <v>#N/A</v>
      </c>
      <c r="W479" s="10" t="e">
        <f>VLOOKUP(AJ471,'FRC Site Data'!$B$3:$L$42,8,FALSE)</f>
        <v>#N/A</v>
      </c>
      <c r="X479" s="10" t="e">
        <f>VLOOKUP(AJ471,'FRC Site Data'!$B$3:$L$42,9,FALSE)</f>
        <v>#N/A</v>
      </c>
      <c r="Y479" s="10" t="e">
        <f>VLOOKUP(AJ471,'FRC Site Data'!$B$3:$L$42,10,FALSE)</f>
        <v>#N/A</v>
      </c>
      <c r="Z479" s="10" t="e">
        <f>VLOOKUP(AJ471,'FRC Site Data'!$B$3:$L$42,11,FALSE)</f>
        <v>#N/A</v>
      </c>
      <c r="AA479" s="10" t="e">
        <f>VLOOKUP(AJ471,'CIR Team Info'!$C$5:$E$44,4,FALSE)</f>
        <v>#N/A</v>
      </c>
      <c r="AB479" s="161" t="b">
        <f>ISNUMBER(VLOOKUP(AJ471,Match!$T$5:$T$10,1,FALSE))</f>
        <v>0</v>
      </c>
      <c r="AC479" s="161" t="b">
        <f>IF(AB479=TRUE,(VLOOKUP($AJ471,Match!$T$5:$U$10,2,FALSE)))</f>
        <v>0</v>
      </c>
      <c r="AD479" s="8">
        <v>3</v>
      </c>
      <c r="AE479" s="8">
        <v>2</v>
      </c>
      <c r="AF479" s="8">
        <v>2</v>
      </c>
      <c r="AG479" s="8">
        <v>1</v>
      </c>
      <c r="AH479" s="8" t="str">
        <f t="shared" si="128"/>
        <v/>
      </c>
      <c r="AI479" s="12"/>
      <c r="AZ479" s="12"/>
      <c r="BC479" s="12"/>
      <c r="BK479" s="12"/>
    </row>
    <row r="480" spans="1:63" x14ac:dyDescent="0.25">
      <c r="A480" s="29">
        <f t="shared" si="113"/>
        <v>0</v>
      </c>
      <c r="B480" s="29">
        <f t="shared" si="115"/>
        <v>0</v>
      </c>
      <c r="C480" s="29">
        <f t="shared" si="116"/>
        <v>0</v>
      </c>
      <c r="D480" s="29">
        <f t="shared" si="117"/>
        <v>0</v>
      </c>
      <c r="E480" s="29">
        <f t="shared" si="114"/>
        <v>0</v>
      </c>
      <c r="F480" s="29">
        <f t="shared" si="118"/>
        <v>0</v>
      </c>
      <c r="G480" s="29" t="str">
        <f t="shared" si="119"/>
        <v>offensive</v>
      </c>
      <c r="H480" s="16">
        <f t="shared" si="120"/>
        <v>0</v>
      </c>
      <c r="I480" s="16">
        <f t="shared" si="121"/>
        <v>0</v>
      </c>
      <c r="J480" s="16">
        <f t="shared" si="122"/>
        <v>0</v>
      </c>
      <c r="K480" s="16">
        <f t="shared" si="123"/>
        <v>0</v>
      </c>
      <c r="L480" s="67">
        <f t="shared" si="124"/>
        <v>0</v>
      </c>
      <c r="M480" s="4">
        <f t="shared" si="125"/>
        <v>0</v>
      </c>
      <c r="N480" s="4">
        <f t="shared" si="126"/>
        <v>0</v>
      </c>
      <c r="O480" s="4">
        <f t="shared" si="127"/>
        <v>0</v>
      </c>
      <c r="P480" s="4" t="e">
        <f>VLOOKUP(AJ472,'CIR Team Info'!$C$5:$E$44,2,FALSE)</f>
        <v>#N/A</v>
      </c>
      <c r="Q480" s="4" t="e">
        <f>VLOOKUP(AJ472,'CIR Team Info'!$C$5:$E$44,3,FALSE)</f>
        <v>#N/A</v>
      </c>
      <c r="R480" s="10" t="e">
        <f>VLOOKUP(AJ472,'FRC Site Data'!$B$3:$L$42,2,FALSE)</f>
        <v>#N/A</v>
      </c>
      <c r="S480" s="10" t="e">
        <f>VLOOKUP(AJ472,'FRC Site Data'!$B$3:$L$42,3,FALSE)</f>
        <v>#N/A</v>
      </c>
      <c r="T480" s="10" t="e">
        <f>VLOOKUP(AJ472,'FRC Site Data'!$B$3:$L$42,4,FALSE)</f>
        <v>#N/A</v>
      </c>
      <c r="U480" s="10" t="e">
        <f>VLOOKUP(AJ472,'FRC Site Data'!$B$3:$L$42,5,FALSE)</f>
        <v>#N/A</v>
      </c>
      <c r="V480" s="10" t="e">
        <f>VLOOKUP(AJ472,'FRC Site Data'!$B$3:$L$42,6,FALSE)</f>
        <v>#N/A</v>
      </c>
      <c r="W480" s="10" t="e">
        <f>VLOOKUP(AJ472,'FRC Site Data'!$B$3:$L$42,8,FALSE)</f>
        <v>#N/A</v>
      </c>
      <c r="X480" s="10" t="e">
        <f>VLOOKUP(AJ472,'FRC Site Data'!$B$3:$L$42,9,FALSE)</f>
        <v>#N/A</v>
      </c>
      <c r="Y480" s="10" t="e">
        <f>VLOOKUP(AJ472,'FRC Site Data'!$B$3:$L$42,10,FALSE)</f>
        <v>#N/A</v>
      </c>
      <c r="Z480" s="10" t="e">
        <f>VLOOKUP(AJ472,'FRC Site Data'!$B$3:$L$42,11,FALSE)</f>
        <v>#N/A</v>
      </c>
      <c r="AA480" s="10" t="e">
        <f>VLOOKUP(AJ472,'CIR Team Info'!$C$5:$E$44,4,FALSE)</f>
        <v>#N/A</v>
      </c>
      <c r="AB480" s="161" t="b">
        <f>ISNUMBER(VLOOKUP(AJ472,Match!$T$5:$T$10,1,FALSE))</f>
        <v>0</v>
      </c>
      <c r="AC480" s="161" t="b">
        <f>IF(AB480=TRUE,(VLOOKUP($AJ472,Match!$T$5:$U$10,2,FALSE)))</f>
        <v>0</v>
      </c>
      <c r="AD480" s="8">
        <v>3</v>
      </c>
      <c r="AE480" s="8">
        <v>2</v>
      </c>
      <c r="AF480" s="8">
        <v>2</v>
      </c>
      <c r="AG480" s="8">
        <v>1</v>
      </c>
      <c r="AH480" s="8" t="str">
        <f t="shared" si="128"/>
        <v/>
      </c>
      <c r="AI480" s="12"/>
      <c r="AZ480" s="12"/>
      <c r="BC480" s="12"/>
      <c r="BK480" s="12"/>
    </row>
    <row r="481" spans="1:63" x14ac:dyDescent="0.25">
      <c r="A481" s="29">
        <f t="shared" si="113"/>
        <v>0</v>
      </c>
      <c r="B481" s="29">
        <f t="shared" si="115"/>
        <v>0</v>
      </c>
      <c r="C481" s="29">
        <f t="shared" si="116"/>
        <v>0</v>
      </c>
      <c r="D481" s="29">
        <f t="shared" si="117"/>
        <v>0</v>
      </c>
      <c r="E481" s="29">
        <f t="shared" si="114"/>
        <v>0</v>
      </c>
      <c r="F481" s="29">
        <f t="shared" si="118"/>
        <v>0</v>
      </c>
      <c r="G481" s="29" t="str">
        <f t="shared" si="119"/>
        <v>offensive</v>
      </c>
      <c r="H481" s="16">
        <f t="shared" si="120"/>
        <v>0</v>
      </c>
      <c r="I481" s="16">
        <f t="shared" si="121"/>
        <v>0</v>
      </c>
      <c r="J481" s="16">
        <f t="shared" si="122"/>
        <v>0</v>
      </c>
      <c r="K481" s="16">
        <f t="shared" si="123"/>
        <v>0</v>
      </c>
      <c r="L481" s="67">
        <f t="shared" si="124"/>
        <v>0</v>
      </c>
      <c r="M481" s="4">
        <f t="shared" si="125"/>
        <v>0</v>
      </c>
      <c r="N481" s="4">
        <f t="shared" si="126"/>
        <v>0</v>
      </c>
      <c r="O481" s="4">
        <f t="shared" si="127"/>
        <v>0</v>
      </c>
      <c r="P481" s="4" t="e">
        <f>VLOOKUP(AJ473,'CIR Team Info'!$C$5:$E$44,2,FALSE)</f>
        <v>#N/A</v>
      </c>
      <c r="Q481" s="4" t="e">
        <f>VLOOKUP(AJ473,'CIR Team Info'!$C$5:$E$44,3,FALSE)</f>
        <v>#N/A</v>
      </c>
      <c r="R481" s="10" t="e">
        <f>VLOOKUP(AJ473,'FRC Site Data'!$B$3:$L$42,2,FALSE)</f>
        <v>#N/A</v>
      </c>
      <c r="S481" s="10" t="e">
        <f>VLOOKUP(AJ473,'FRC Site Data'!$B$3:$L$42,3,FALSE)</f>
        <v>#N/A</v>
      </c>
      <c r="T481" s="10" t="e">
        <f>VLOOKUP(AJ473,'FRC Site Data'!$B$3:$L$42,4,FALSE)</f>
        <v>#N/A</v>
      </c>
      <c r="U481" s="10" t="e">
        <f>VLOOKUP(AJ473,'FRC Site Data'!$B$3:$L$42,5,FALSE)</f>
        <v>#N/A</v>
      </c>
      <c r="V481" s="10" t="e">
        <f>VLOOKUP(AJ473,'FRC Site Data'!$B$3:$L$42,6,FALSE)</f>
        <v>#N/A</v>
      </c>
      <c r="W481" s="10" t="e">
        <f>VLOOKUP(AJ473,'FRC Site Data'!$B$3:$L$42,8,FALSE)</f>
        <v>#N/A</v>
      </c>
      <c r="X481" s="10" t="e">
        <f>VLOOKUP(AJ473,'FRC Site Data'!$B$3:$L$42,9,FALSE)</f>
        <v>#N/A</v>
      </c>
      <c r="Y481" s="10" t="e">
        <f>VLOOKUP(AJ473,'FRC Site Data'!$B$3:$L$42,10,FALSE)</f>
        <v>#N/A</v>
      </c>
      <c r="Z481" s="10" t="e">
        <f>VLOOKUP(AJ473,'FRC Site Data'!$B$3:$L$42,11,FALSE)</f>
        <v>#N/A</v>
      </c>
      <c r="AA481" s="10" t="e">
        <f>VLOOKUP(AJ473,'CIR Team Info'!$C$5:$E$44,4,FALSE)</f>
        <v>#N/A</v>
      </c>
      <c r="AB481" s="161" t="b">
        <f>ISNUMBER(VLOOKUP(AJ473,Match!$T$5:$T$10,1,FALSE))</f>
        <v>0</v>
      </c>
      <c r="AC481" s="161" t="b">
        <f>IF(AB481=TRUE,(VLOOKUP($AJ473,Match!$T$5:$U$10,2,FALSE)))</f>
        <v>0</v>
      </c>
      <c r="AD481" s="8">
        <v>3</v>
      </c>
      <c r="AE481" s="8">
        <v>2</v>
      </c>
      <c r="AF481" s="8">
        <v>2</v>
      </c>
      <c r="AG481" s="8">
        <v>1</v>
      </c>
      <c r="AH481" s="8" t="str">
        <f t="shared" si="128"/>
        <v/>
      </c>
      <c r="AI481" s="12"/>
      <c r="AZ481" s="12"/>
      <c r="BC481" s="12"/>
      <c r="BK481" s="12"/>
    </row>
    <row r="482" spans="1:63" x14ac:dyDescent="0.25">
      <c r="A482" s="29">
        <f t="shared" si="113"/>
        <v>0</v>
      </c>
      <c r="B482" s="29">
        <f t="shared" si="115"/>
        <v>0</v>
      </c>
      <c r="C482" s="29">
        <f t="shared" si="116"/>
        <v>0</v>
      </c>
      <c r="D482" s="29">
        <f t="shared" si="117"/>
        <v>0</v>
      </c>
      <c r="E482" s="29">
        <f t="shared" si="114"/>
        <v>0</v>
      </c>
      <c r="F482" s="29">
        <f t="shared" si="118"/>
        <v>0</v>
      </c>
      <c r="G482" s="29" t="str">
        <f t="shared" si="119"/>
        <v>offensive</v>
      </c>
      <c r="H482" s="16">
        <f t="shared" si="120"/>
        <v>0</v>
      </c>
      <c r="I482" s="16">
        <f t="shared" si="121"/>
        <v>0</v>
      </c>
      <c r="J482" s="16">
        <f t="shared" si="122"/>
        <v>0</v>
      </c>
      <c r="K482" s="16">
        <f t="shared" si="123"/>
        <v>0</v>
      </c>
      <c r="L482" s="67">
        <f t="shared" si="124"/>
        <v>0</v>
      </c>
      <c r="M482" s="4">
        <f t="shared" si="125"/>
        <v>0</v>
      </c>
      <c r="N482" s="4">
        <f t="shared" si="126"/>
        <v>0</v>
      </c>
      <c r="O482" s="4">
        <f t="shared" si="127"/>
        <v>0</v>
      </c>
      <c r="P482" s="4" t="e">
        <f>VLOOKUP(AJ474,'CIR Team Info'!$C$5:$E$44,2,FALSE)</f>
        <v>#N/A</v>
      </c>
      <c r="Q482" s="4" t="e">
        <f>VLOOKUP(AJ474,'CIR Team Info'!$C$5:$E$44,3,FALSE)</f>
        <v>#N/A</v>
      </c>
      <c r="R482" s="10" t="e">
        <f>VLOOKUP(AJ474,'FRC Site Data'!$B$3:$L$42,2,FALSE)</f>
        <v>#N/A</v>
      </c>
      <c r="S482" s="10" t="e">
        <f>VLOOKUP(AJ474,'FRC Site Data'!$B$3:$L$42,3,FALSE)</f>
        <v>#N/A</v>
      </c>
      <c r="T482" s="10" t="e">
        <f>VLOOKUP(AJ474,'FRC Site Data'!$B$3:$L$42,4,FALSE)</f>
        <v>#N/A</v>
      </c>
      <c r="U482" s="10" t="e">
        <f>VLOOKUP(AJ474,'FRC Site Data'!$B$3:$L$42,5,FALSE)</f>
        <v>#N/A</v>
      </c>
      <c r="V482" s="10" t="e">
        <f>VLOOKUP(AJ474,'FRC Site Data'!$B$3:$L$42,6,FALSE)</f>
        <v>#N/A</v>
      </c>
      <c r="W482" s="10" t="e">
        <f>VLOOKUP(AJ474,'FRC Site Data'!$B$3:$L$42,8,FALSE)</f>
        <v>#N/A</v>
      </c>
      <c r="X482" s="10" t="e">
        <f>VLOOKUP(AJ474,'FRC Site Data'!$B$3:$L$42,9,FALSE)</f>
        <v>#N/A</v>
      </c>
      <c r="Y482" s="10" t="e">
        <f>VLOOKUP(AJ474,'FRC Site Data'!$B$3:$L$42,10,FALSE)</f>
        <v>#N/A</v>
      </c>
      <c r="Z482" s="10" t="e">
        <f>VLOOKUP(AJ474,'FRC Site Data'!$B$3:$L$42,11,FALSE)</f>
        <v>#N/A</v>
      </c>
      <c r="AA482" s="10" t="e">
        <f>VLOOKUP(AJ474,'CIR Team Info'!$C$5:$E$44,4,FALSE)</f>
        <v>#N/A</v>
      </c>
      <c r="AB482" s="161" t="b">
        <f>ISNUMBER(VLOOKUP(AJ474,Match!$T$5:$T$10,1,FALSE))</f>
        <v>0</v>
      </c>
      <c r="AC482" s="161" t="b">
        <f>IF(AB482=TRUE,(VLOOKUP($AJ474,Match!$T$5:$U$10,2,FALSE)))</f>
        <v>0</v>
      </c>
      <c r="AD482" s="8">
        <v>3</v>
      </c>
      <c r="AE482" s="8">
        <v>2</v>
      </c>
      <c r="AF482" s="8">
        <v>2</v>
      </c>
      <c r="AG482" s="8">
        <v>1</v>
      </c>
      <c r="AH482" s="8" t="str">
        <f t="shared" si="128"/>
        <v/>
      </c>
      <c r="AI482" s="12"/>
      <c r="AZ482" s="12"/>
      <c r="BC482" s="12"/>
      <c r="BK482" s="12"/>
    </row>
    <row r="483" spans="1:63" x14ac:dyDescent="0.25">
      <c r="A483" s="29">
        <f t="shared" si="113"/>
        <v>0</v>
      </c>
      <c r="B483" s="29">
        <f t="shared" si="115"/>
        <v>0</v>
      </c>
      <c r="C483" s="29">
        <f t="shared" si="116"/>
        <v>0</v>
      </c>
      <c r="D483" s="29">
        <f t="shared" si="117"/>
        <v>0</v>
      </c>
      <c r="E483" s="29">
        <f t="shared" si="114"/>
        <v>0</v>
      </c>
      <c r="F483" s="29">
        <f t="shared" si="118"/>
        <v>0</v>
      </c>
      <c r="G483" s="29" t="str">
        <f t="shared" si="119"/>
        <v>offensive</v>
      </c>
      <c r="H483" s="16">
        <f t="shared" si="120"/>
        <v>0</v>
      </c>
      <c r="I483" s="16">
        <f t="shared" si="121"/>
        <v>0</v>
      </c>
      <c r="J483" s="16">
        <f t="shared" si="122"/>
        <v>0</v>
      </c>
      <c r="K483" s="16">
        <f t="shared" si="123"/>
        <v>0</v>
      </c>
      <c r="L483" s="67">
        <f t="shared" si="124"/>
        <v>0</v>
      </c>
      <c r="M483" s="4">
        <f t="shared" si="125"/>
        <v>0</v>
      </c>
      <c r="N483" s="4">
        <f t="shared" si="126"/>
        <v>0</v>
      </c>
      <c r="O483" s="4">
        <f t="shared" si="127"/>
        <v>0</v>
      </c>
      <c r="P483" s="4" t="e">
        <f>VLOOKUP(AJ475,'CIR Team Info'!$C$5:$E$44,2,FALSE)</f>
        <v>#N/A</v>
      </c>
      <c r="Q483" s="4" t="e">
        <f>VLOOKUP(AJ475,'CIR Team Info'!$C$5:$E$44,3,FALSE)</f>
        <v>#N/A</v>
      </c>
      <c r="R483" s="10" t="e">
        <f>VLOOKUP(AJ475,'FRC Site Data'!$B$3:$L$42,2,FALSE)</f>
        <v>#N/A</v>
      </c>
      <c r="S483" s="10" t="e">
        <f>VLOOKUP(AJ475,'FRC Site Data'!$B$3:$L$42,3,FALSE)</f>
        <v>#N/A</v>
      </c>
      <c r="T483" s="10" t="e">
        <f>VLOOKUP(AJ475,'FRC Site Data'!$B$3:$L$42,4,FALSE)</f>
        <v>#N/A</v>
      </c>
      <c r="U483" s="10" t="e">
        <f>VLOOKUP(AJ475,'FRC Site Data'!$B$3:$L$42,5,FALSE)</f>
        <v>#N/A</v>
      </c>
      <c r="V483" s="10" t="e">
        <f>VLOOKUP(AJ475,'FRC Site Data'!$B$3:$L$42,6,FALSE)</f>
        <v>#N/A</v>
      </c>
      <c r="W483" s="10" t="e">
        <f>VLOOKUP(AJ475,'FRC Site Data'!$B$3:$L$42,8,FALSE)</f>
        <v>#N/A</v>
      </c>
      <c r="X483" s="10" t="e">
        <f>VLOOKUP(AJ475,'FRC Site Data'!$B$3:$L$42,9,FALSE)</f>
        <v>#N/A</v>
      </c>
      <c r="Y483" s="10" t="e">
        <f>VLOOKUP(AJ475,'FRC Site Data'!$B$3:$L$42,10,FALSE)</f>
        <v>#N/A</v>
      </c>
      <c r="Z483" s="10" t="e">
        <f>VLOOKUP(AJ475,'FRC Site Data'!$B$3:$L$42,11,FALSE)</f>
        <v>#N/A</v>
      </c>
      <c r="AA483" s="10" t="e">
        <f>VLOOKUP(AJ475,'CIR Team Info'!$C$5:$E$44,4,FALSE)</f>
        <v>#N/A</v>
      </c>
      <c r="AB483" s="161" t="b">
        <f>ISNUMBER(VLOOKUP(AJ475,Match!$T$5:$T$10,1,FALSE))</f>
        <v>0</v>
      </c>
      <c r="AC483" s="161" t="b">
        <f>IF(AB483=TRUE,(VLOOKUP($AJ475,Match!$T$5:$U$10,2,FALSE)))</f>
        <v>0</v>
      </c>
      <c r="AD483" s="8">
        <v>3</v>
      </c>
      <c r="AE483" s="8">
        <v>2</v>
      </c>
      <c r="AF483" s="8">
        <v>2</v>
      </c>
      <c r="AG483" s="8">
        <v>1</v>
      </c>
      <c r="AH483" s="8" t="str">
        <f t="shared" si="128"/>
        <v/>
      </c>
      <c r="AI483" s="12"/>
      <c r="AZ483" s="12"/>
      <c r="BC483" s="12"/>
      <c r="BK483" s="12"/>
    </row>
    <row r="484" spans="1:63" x14ac:dyDescent="0.25">
      <c r="A484" s="29">
        <f t="shared" si="113"/>
        <v>0</v>
      </c>
      <c r="B484" s="29">
        <f t="shared" si="115"/>
        <v>0</v>
      </c>
      <c r="C484" s="29">
        <f t="shared" si="116"/>
        <v>0</v>
      </c>
      <c r="D484" s="29">
        <f t="shared" si="117"/>
        <v>0</v>
      </c>
      <c r="E484" s="29">
        <f t="shared" si="114"/>
        <v>0</v>
      </c>
      <c r="F484" s="29">
        <f t="shared" si="118"/>
        <v>0</v>
      </c>
      <c r="G484" s="29" t="str">
        <f t="shared" si="119"/>
        <v>offensive</v>
      </c>
      <c r="H484" s="16">
        <f t="shared" si="120"/>
        <v>0</v>
      </c>
      <c r="I484" s="16">
        <f t="shared" si="121"/>
        <v>0</v>
      </c>
      <c r="J484" s="16">
        <f t="shared" si="122"/>
        <v>0</v>
      </c>
      <c r="K484" s="16">
        <f t="shared" si="123"/>
        <v>0</v>
      </c>
      <c r="L484" s="67">
        <f t="shared" si="124"/>
        <v>0</v>
      </c>
      <c r="M484" s="4">
        <f t="shared" si="125"/>
        <v>0</v>
      </c>
      <c r="N484" s="4">
        <f t="shared" si="126"/>
        <v>0</v>
      </c>
      <c r="O484" s="4">
        <f t="shared" si="127"/>
        <v>0</v>
      </c>
      <c r="P484" s="4" t="e">
        <f>VLOOKUP(AJ476,'CIR Team Info'!$C$5:$E$44,2,FALSE)</f>
        <v>#N/A</v>
      </c>
      <c r="Q484" s="4" t="e">
        <f>VLOOKUP(AJ476,'CIR Team Info'!$C$5:$E$44,3,FALSE)</f>
        <v>#N/A</v>
      </c>
      <c r="R484" s="10" t="e">
        <f>VLOOKUP(AJ476,'FRC Site Data'!$B$3:$L$42,2,FALSE)</f>
        <v>#N/A</v>
      </c>
      <c r="S484" s="10" t="e">
        <f>VLOOKUP(AJ476,'FRC Site Data'!$B$3:$L$42,3,FALSE)</f>
        <v>#N/A</v>
      </c>
      <c r="T484" s="10" t="e">
        <f>VLOOKUP(AJ476,'FRC Site Data'!$B$3:$L$42,4,FALSE)</f>
        <v>#N/A</v>
      </c>
      <c r="U484" s="10" t="e">
        <f>VLOOKUP(AJ476,'FRC Site Data'!$B$3:$L$42,5,FALSE)</f>
        <v>#N/A</v>
      </c>
      <c r="V484" s="10" t="e">
        <f>VLOOKUP(AJ476,'FRC Site Data'!$B$3:$L$42,6,FALSE)</f>
        <v>#N/A</v>
      </c>
      <c r="W484" s="10" t="e">
        <f>VLOOKUP(AJ476,'FRC Site Data'!$B$3:$L$42,8,FALSE)</f>
        <v>#N/A</v>
      </c>
      <c r="X484" s="10" t="e">
        <f>VLOOKUP(AJ476,'FRC Site Data'!$B$3:$L$42,9,FALSE)</f>
        <v>#N/A</v>
      </c>
      <c r="Y484" s="10" t="e">
        <f>VLOOKUP(AJ476,'FRC Site Data'!$B$3:$L$42,10,FALSE)</f>
        <v>#N/A</v>
      </c>
      <c r="Z484" s="10" t="e">
        <f>VLOOKUP(AJ476,'FRC Site Data'!$B$3:$L$42,11,FALSE)</f>
        <v>#N/A</v>
      </c>
      <c r="AA484" s="10" t="e">
        <f>VLOOKUP(AJ476,'CIR Team Info'!$C$5:$E$44,4,FALSE)</f>
        <v>#N/A</v>
      </c>
      <c r="AB484" s="161" t="b">
        <f>ISNUMBER(VLOOKUP(AJ476,Match!$T$5:$T$10,1,FALSE))</f>
        <v>0</v>
      </c>
      <c r="AC484" s="161" t="b">
        <f>IF(AB484=TRUE,(VLOOKUP($AJ476,Match!$T$5:$U$10,2,FALSE)))</f>
        <v>0</v>
      </c>
      <c r="AD484" s="8">
        <v>3</v>
      </c>
      <c r="AE484" s="8">
        <v>2</v>
      </c>
      <c r="AF484" s="8">
        <v>2</v>
      </c>
      <c r="AG484" s="8">
        <v>1</v>
      </c>
      <c r="AH484" s="8" t="str">
        <f t="shared" si="128"/>
        <v/>
      </c>
      <c r="AI484" s="12"/>
      <c r="AZ484" s="12"/>
      <c r="BC484" s="12"/>
      <c r="BK484" s="12"/>
    </row>
    <row r="485" spans="1:63" x14ac:dyDescent="0.25">
      <c r="A485" s="29">
        <f t="shared" si="113"/>
        <v>0</v>
      </c>
      <c r="B485" s="29">
        <f t="shared" si="115"/>
        <v>0</v>
      </c>
      <c r="C485" s="29">
        <f t="shared" si="116"/>
        <v>0</v>
      </c>
      <c r="D485" s="29">
        <f t="shared" si="117"/>
        <v>0</v>
      </c>
      <c r="E485" s="29">
        <f t="shared" si="114"/>
        <v>0</v>
      </c>
      <c r="F485" s="29">
        <f t="shared" si="118"/>
        <v>0</v>
      </c>
      <c r="G485" s="29" t="str">
        <f t="shared" si="119"/>
        <v>offensive</v>
      </c>
      <c r="H485" s="16">
        <f t="shared" si="120"/>
        <v>0</v>
      </c>
      <c r="I485" s="16">
        <f t="shared" si="121"/>
        <v>0</v>
      </c>
      <c r="J485" s="16">
        <f t="shared" si="122"/>
        <v>0</v>
      </c>
      <c r="K485" s="16">
        <f t="shared" si="123"/>
        <v>0</v>
      </c>
      <c r="L485" s="67">
        <f t="shared" si="124"/>
        <v>0</v>
      </c>
      <c r="M485" s="4">
        <f t="shared" si="125"/>
        <v>0</v>
      </c>
      <c r="N485" s="4">
        <f t="shared" si="126"/>
        <v>0</v>
      </c>
      <c r="O485" s="4">
        <f t="shared" si="127"/>
        <v>0</v>
      </c>
      <c r="P485" s="4" t="e">
        <f>VLOOKUP(AJ477,'CIR Team Info'!$C$5:$E$44,2,FALSE)</f>
        <v>#N/A</v>
      </c>
      <c r="Q485" s="4" t="e">
        <f>VLOOKUP(AJ477,'CIR Team Info'!$C$5:$E$44,3,FALSE)</f>
        <v>#N/A</v>
      </c>
      <c r="R485" s="10" t="e">
        <f>VLOOKUP(AJ477,'FRC Site Data'!$B$3:$L$42,2,FALSE)</f>
        <v>#N/A</v>
      </c>
      <c r="S485" s="10" t="e">
        <f>VLOOKUP(AJ477,'FRC Site Data'!$B$3:$L$42,3,FALSE)</f>
        <v>#N/A</v>
      </c>
      <c r="T485" s="10" t="e">
        <f>VLOOKUP(AJ477,'FRC Site Data'!$B$3:$L$42,4,FALSE)</f>
        <v>#N/A</v>
      </c>
      <c r="U485" s="10" t="e">
        <f>VLOOKUP(AJ477,'FRC Site Data'!$B$3:$L$42,5,FALSE)</f>
        <v>#N/A</v>
      </c>
      <c r="V485" s="10" t="e">
        <f>VLOOKUP(AJ477,'FRC Site Data'!$B$3:$L$42,6,FALSE)</f>
        <v>#N/A</v>
      </c>
      <c r="W485" s="10" t="e">
        <f>VLOOKUP(AJ477,'FRC Site Data'!$B$3:$L$42,8,FALSE)</f>
        <v>#N/A</v>
      </c>
      <c r="X485" s="10" t="e">
        <f>VLOOKUP(AJ477,'FRC Site Data'!$B$3:$L$42,9,FALSE)</f>
        <v>#N/A</v>
      </c>
      <c r="Y485" s="10" t="e">
        <f>VLOOKUP(AJ477,'FRC Site Data'!$B$3:$L$42,10,FALSE)</f>
        <v>#N/A</v>
      </c>
      <c r="Z485" s="10" t="e">
        <f>VLOOKUP(AJ477,'FRC Site Data'!$B$3:$L$42,11,FALSE)</f>
        <v>#N/A</v>
      </c>
      <c r="AA485" s="10" t="e">
        <f>VLOOKUP(AJ477,'CIR Team Info'!$C$5:$E$44,4,FALSE)</f>
        <v>#N/A</v>
      </c>
      <c r="AB485" s="161" t="b">
        <f>ISNUMBER(VLOOKUP(AJ477,Match!$T$5:$T$10,1,FALSE))</f>
        <v>0</v>
      </c>
      <c r="AC485" s="161" t="b">
        <f>IF(AB485=TRUE,(VLOOKUP($AJ477,Match!$T$5:$U$10,2,FALSE)))</f>
        <v>0</v>
      </c>
      <c r="AD485" s="8">
        <v>3</v>
      </c>
      <c r="AE485" s="8">
        <v>2</v>
      </c>
      <c r="AF485" s="8">
        <v>2</v>
      </c>
      <c r="AG485" s="8">
        <v>1</v>
      </c>
      <c r="AH485" s="8" t="str">
        <f t="shared" si="128"/>
        <v/>
      </c>
      <c r="AI485" s="12"/>
      <c r="AZ485" s="12"/>
      <c r="BC485" s="12"/>
      <c r="BK485" s="12"/>
    </row>
    <row r="486" spans="1:63" x14ac:dyDescent="0.25">
      <c r="A486" s="29">
        <f t="shared" si="113"/>
        <v>0</v>
      </c>
      <c r="B486" s="29">
        <f t="shared" si="115"/>
        <v>0</v>
      </c>
      <c r="C486" s="29">
        <f t="shared" si="116"/>
        <v>0</v>
      </c>
      <c r="D486" s="29">
        <f t="shared" si="117"/>
        <v>0</v>
      </c>
      <c r="E486" s="29">
        <f t="shared" si="114"/>
        <v>0</v>
      </c>
      <c r="F486" s="29">
        <f t="shared" si="118"/>
        <v>0</v>
      </c>
      <c r="G486" s="29" t="str">
        <f t="shared" si="119"/>
        <v>offensive</v>
      </c>
      <c r="H486" s="16">
        <f t="shared" si="120"/>
        <v>0</v>
      </c>
      <c r="I486" s="16">
        <f t="shared" si="121"/>
        <v>0</v>
      </c>
      <c r="J486" s="16">
        <f t="shared" si="122"/>
        <v>0</v>
      </c>
      <c r="K486" s="16">
        <f t="shared" si="123"/>
        <v>0</v>
      </c>
      <c r="L486" s="67">
        <f t="shared" si="124"/>
        <v>0</v>
      </c>
      <c r="M486" s="4">
        <f t="shared" si="125"/>
        <v>0</v>
      </c>
      <c r="N486" s="4">
        <f t="shared" si="126"/>
        <v>0</v>
      </c>
      <c r="O486" s="4">
        <f t="shared" si="127"/>
        <v>0</v>
      </c>
      <c r="P486" s="4" t="e">
        <f>VLOOKUP(AJ478,'CIR Team Info'!$C$5:$E$44,2,FALSE)</f>
        <v>#N/A</v>
      </c>
      <c r="Q486" s="4" t="e">
        <f>VLOOKUP(AJ478,'CIR Team Info'!$C$5:$E$44,3,FALSE)</f>
        <v>#N/A</v>
      </c>
      <c r="R486" s="10" t="e">
        <f>VLOOKUP(AJ478,'FRC Site Data'!$B$3:$L$42,2,FALSE)</f>
        <v>#N/A</v>
      </c>
      <c r="S486" s="10" t="e">
        <f>VLOOKUP(AJ478,'FRC Site Data'!$B$3:$L$42,3,FALSE)</f>
        <v>#N/A</v>
      </c>
      <c r="T486" s="10" t="e">
        <f>VLOOKUP(AJ478,'FRC Site Data'!$B$3:$L$42,4,FALSE)</f>
        <v>#N/A</v>
      </c>
      <c r="U486" s="10" t="e">
        <f>VLOOKUP(AJ478,'FRC Site Data'!$B$3:$L$42,5,FALSE)</f>
        <v>#N/A</v>
      </c>
      <c r="V486" s="10" t="e">
        <f>VLOOKUP(AJ478,'FRC Site Data'!$B$3:$L$42,6,FALSE)</f>
        <v>#N/A</v>
      </c>
      <c r="W486" s="10" t="e">
        <f>VLOOKUP(AJ478,'FRC Site Data'!$B$3:$L$42,8,FALSE)</f>
        <v>#N/A</v>
      </c>
      <c r="X486" s="10" t="e">
        <f>VLOOKUP(AJ478,'FRC Site Data'!$B$3:$L$42,9,FALSE)</f>
        <v>#N/A</v>
      </c>
      <c r="Y486" s="10" t="e">
        <f>VLOOKUP(AJ478,'FRC Site Data'!$B$3:$L$42,10,FALSE)</f>
        <v>#N/A</v>
      </c>
      <c r="Z486" s="10" t="e">
        <f>VLOOKUP(AJ478,'FRC Site Data'!$B$3:$L$42,11,FALSE)</f>
        <v>#N/A</v>
      </c>
      <c r="AA486" s="10" t="e">
        <f>VLOOKUP(AJ478,'CIR Team Info'!$C$5:$E$44,4,FALSE)</f>
        <v>#N/A</v>
      </c>
      <c r="AB486" s="161" t="b">
        <f>ISNUMBER(VLOOKUP(AJ478,Match!$T$5:$T$10,1,FALSE))</f>
        <v>0</v>
      </c>
      <c r="AC486" s="161" t="b">
        <f>IF(AB486=TRUE,(VLOOKUP($AJ478,Match!$T$5:$U$10,2,FALSE)))</f>
        <v>0</v>
      </c>
      <c r="AD486" s="8">
        <v>3</v>
      </c>
      <c r="AE486" s="8">
        <v>2</v>
      </c>
      <c r="AF486" s="8">
        <v>2</v>
      </c>
      <c r="AG486" s="8">
        <v>1</v>
      </c>
      <c r="AH486" s="8" t="str">
        <f t="shared" si="128"/>
        <v/>
      </c>
      <c r="AI486" s="12"/>
      <c r="AZ486" s="12"/>
      <c r="BC486" s="12"/>
      <c r="BK486" s="12"/>
    </row>
    <row r="487" spans="1:63" x14ac:dyDescent="0.25">
      <c r="A487" s="29">
        <f t="shared" ref="A487:A525" si="129">SUM(B487:F487)</f>
        <v>0</v>
      </c>
      <c r="B487" s="29">
        <f t="shared" si="115"/>
        <v>0</v>
      </c>
      <c r="C487" s="29">
        <f t="shared" si="116"/>
        <v>0</v>
      </c>
      <c r="D487" s="29">
        <f t="shared" si="117"/>
        <v>0</v>
      </c>
      <c r="E487" s="29">
        <f t="shared" si="114"/>
        <v>0</v>
      </c>
      <c r="F487" s="29">
        <f t="shared" si="118"/>
        <v>0</v>
      </c>
      <c r="G487" s="29" t="str">
        <f t="shared" si="119"/>
        <v>offensive</v>
      </c>
      <c r="H487" s="16">
        <f t="shared" si="120"/>
        <v>0</v>
      </c>
      <c r="I487" s="16">
        <f t="shared" si="121"/>
        <v>0</v>
      </c>
      <c r="J487" s="16">
        <f t="shared" si="122"/>
        <v>0</v>
      </c>
      <c r="K487" s="16">
        <f t="shared" si="123"/>
        <v>0</v>
      </c>
      <c r="L487" s="67">
        <f t="shared" si="124"/>
        <v>0</v>
      </c>
      <c r="M487" s="4">
        <f t="shared" si="125"/>
        <v>0</v>
      </c>
      <c r="N487" s="4">
        <f t="shared" si="126"/>
        <v>0</v>
      </c>
      <c r="O487" s="4">
        <f t="shared" si="127"/>
        <v>0</v>
      </c>
      <c r="P487" s="4" t="e">
        <f>VLOOKUP(AJ479,'CIR Team Info'!$C$5:$E$44,2,FALSE)</f>
        <v>#N/A</v>
      </c>
      <c r="Q487" s="4" t="e">
        <f>VLOOKUP(AJ479,'CIR Team Info'!$C$5:$E$44,3,FALSE)</f>
        <v>#N/A</v>
      </c>
      <c r="R487" s="10" t="e">
        <f>VLOOKUP(AJ479,'FRC Site Data'!$B$3:$L$42,2,FALSE)</f>
        <v>#N/A</v>
      </c>
      <c r="S487" s="10" t="e">
        <f>VLOOKUP(AJ479,'FRC Site Data'!$B$3:$L$42,3,FALSE)</f>
        <v>#N/A</v>
      </c>
      <c r="T487" s="10" t="e">
        <f>VLOOKUP(AJ479,'FRC Site Data'!$B$3:$L$42,4,FALSE)</f>
        <v>#N/A</v>
      </c>
      <c r="U487" s="10" t="e">
        <f>VLOOKUP(AJ479,'FRC Site Data'!$B$3:$L$42,5,FALSE)</f>
        <v>#N/A</v>
      </c>
      <c r="V487" s="10" t="e">
        <f>VLOOKUP(AJ479,'FRC Site Data'!$B$3:$L$42,6,FALSE)</f>
        <v>#N/A</v>
      </c>
      <c r="W487" s="10" t="e">
        <f>VLOOKUP(AJ479,'FRC Site Data'!$B$3:$L$42,8,FALSE)</f>
        <v>#N/A</v>
      </c>
      <c r="X487" s="10" t="e">
        <f>VLOOKUP(AJ479,'FRC Site Data'!$B$3:$L$42,9,FALSE)</f>
        <v>#N/A</v>
      </c>
      <c r="Y487" s="10" t="e">
        <f>VLOOKUP(AJ479,'FRC Site Data'!$B$3:$L$42,10,FALSE)</f>
        <v>#N/A</v>
      </c>
      <c r="Z487" s="10" t="e">
        <f>VLOOKUP(AJ479,'FRC Site Data'!$B$3:$L$42,11,FALSE)</f>
        <v>#N/A</v>
      </c>
      <c r="AA487" s="10" t="e">
        <f>VLOOKUP(AJ479,'CIR Team Info'!$C$5:$E$44,4,FALSE)</f>
        <v>#N/A</v>
      </c>
      <c r="AB487" s="161" t="b">
        <f>ISNUMBER(VLOOKUP(AJ479,Match!$T$5:$T$10,1,FALSE))</f>
        <v>0</v>
      </c>
      <c r="AC487" s="161" t="b">
        <f>IF(AB487=TRUE,(VLOOKUP($AJ479,Match!$T$5:$U$10,2,FALSE)))</f>
        <v>0</v>
      </c>
      <c r="AD487" s="8">
        <v>3</v>
      </c>
      <c r="AE487" s="8">
        <v>2</v>
      </c>
      <c r="AF487" s="8">
        <v>2</v>
      </c>
      <c r="AG487" s="8">
        <v>1</v>
      </c>
      <c r="AH487" s="8" t="str">
        <f t="shared" si="128"/>
        <v/>
      </c>
      <c r="AI487" s="12"/>
      <c r="AZ487" s="12"/>
      <c r="BC487" s="12"/>
      <c r="BK487" s="12"/>
    </row>
    <row r="488" spans="1:63" x14ac:dyDescent="0.25">
      <c r="A488" s="29">
        <f t="shared" si="129"/>
        <v>0</v>
      </c>
      <c r="B488" s="29">
        <f t="shared" si="115"/>
        <v>0</v>
      </c>
      <c r="C488" s="29">
        <f t="shared" si="116"/>
        <v>0</v>
      </c>
      <c r="D488" s="29">
        <f t="shared" si="117"/>
        <v>0</v>
      </c>
      <c r="E488" s="29">
        <f t="shared" si="114"/>
        <v>0</v>
      </c>
      <c r="F488" s="29">
        <f t="shared" si="118"/>
        <v>0</v>
      </c>
      <c r="G488" s="29" t="str">
        <f t="shared" si="119"/>
        <v>offensive</v>
      </c>
      <c r="H488" s="16">
        <f t="shared" si="120"/>
        <v>0</v>
      </c>
      <c r="I488" s="16">
        <f t="shared" si="121"/>
        <v>0</v>
      </c>
      <c r="J488" s="16">
        <f t="shared" si="122"/>
        <v>0</v>
      </c>
      <c r="K488" s="16">
        <f t="shared" si="123"/>
        <v>0</v>
      </c>
      <c r="L488" s="67">
        <f t="shared" si="124"/>
        <v>0</v>
      </c>
      <c r="M488" s="4">
        <f t="shared" si="125"/>
        <v>0</v>
      </c>
      <c r="N488" s="4">
        <f t="shared" si="126"/>
        <v>0</v>
      </c>
      <c r="O488" s="4">
        <f t="shared" si="127"/>
        <v>0</v>
      </c>
      <c r="P488" s="4" t="e">
        <f>VLOOKUP(AJ480,'CIR Team Info'!$C$5:$E$44,2,FALSE)</f>
        <v>#N/A</v>
      </c>
      <c r="Q488" s="4" t="e">
        <f>VLOOKUP(AJ480,'CIR Team Info'!$C$5:$E$44,3,FALSE)</f>
        <v>#N/A</v>
      </c>
      <c r="R488" s="10" t="e">
        <f>VLOOKUP(AJ480,'FRC Site Data'!$B$3:$L$42,2,FALSE)</f>
        <v>#N/A</v>
      </c>
      <c r="S488" s="10" t="e">
        <f>VLOOKUP(AJ480,'FRC Site Data'!$B$3:$L$42,3,FALSE)</f>
        <v>#N/A</v>
      </c>
      <c r="T488" s="10" t="e">
        <f>VLOOKUP(AJ480,'FRC Site Data'!$B$3:$L$42,4,FALSE)</f>
        <v>#N/A</v>
      </c>
      <c r="U488" s="10" t="e">
        <f>VLOOKUP(AJ480,'FRC Site Data'!$B$3:$L$42,5,FALSE)</f>
        <v>#N/A</v>
      </c>
      <c r="V488" s="10" t="e">
        <f>VLOOKUP(AJ480,'FRC Site Data'!$B$3:$L$42,6,FALSE)</f>
        <v>#N/A</v>
      </c>
      <c r="W488" s="10" t="e">
        <f>VLOOKUP(AJ480,'FRC Site Data'!$B$3:$L$42,8,FALSE)</f>
        <v>#N/A</v>
      </c>
      <c r="X488" s="10" t="e">
        <f>VLOOKUP(AJ480,'FRC Site Data'!$B$3:$L$42,9,FALSE)</f>
        <v>#N/A</v>
      </c>
      <c r="Y488" s="10" t="e">
        <f>VLOOKUP(AJ480,'FRC Site Data'!$B$3:$L$42,10,FALSE)</f>
        <v>#N/A</v>
      </c>
      <c r="Z488" s="10" t="e">
        <f>VLOOKUP(AJ480,'FRC Site Data'!$B$3:$L$42,11,FALSE)</f>
        <v>#N/A</v>
      </c>
      <c r="AA488" s="10" t="e">
        <f>VLOOKUP(AJ480,'CIR Team Info'!$C$5:$E$44,4,FALSE)</f>
        <v>#N/A</v>
      </c>
      <c r="AB488" s="161" t="b">
        <f>ISNUMBER(VLOOKUP(AJ480,Match!$T$5:$T$10,1,FALSE))</f>
        <v>0</v>
      </c>
      <c r="AC488" s="161" t="b">
        <f>IF(AB488=TRUE,(VLOOKUP($AJ480,Match!$T$5:$U$10,2,FALSE)))</f>
        <v>0</v>
      </c>
      <c r="AD488" s="8">
        <v>3</v>
      </c>
      <c r="AE488" s="8">
        <v>2</v>
      </c>
      <c r="AF488" s="8">
        <v>2</v>
      </c>
      <c r="AG488" s="8">
        <v>1</v>
      </c>
      <c r="AH488" s="8" t="str">
        <f t="shared" si="128"/>
        <v/>
      </c>
      <c r="AI488" s="12"/>
      <c r="AZ488" s="12"/>
      <c r="BC488" s="12"/>
      <c r="BK488" s="12"/>
    </row>
    <row r="489" spans="1:63" x14ac:dyDescent="0.25">
      <c r="A489" s="29">
        <f t="shared" si="129"/>
        <v>0</v>
      </c>
      <c r="B489" s="29">
        <f t="shared" si="115"/>
        <v>0</v>
      </c>
      <c r="C489" s="29">
        <f t="shared" si="116"/>
        <v>0</v>
      </c>
      <c r="D489" s="29">
        <f t="shared" si="117"/>
        <v>0</v>
      </c>
      <c r="E489" s="29">
        <f t="shared" si="114"/>
        <v>0</v>
      </c>
      <c r="F489" s="29">
        <f t="shared" si="118"/>
        <v>0</v>
      </c>
      <c r="G489" s="29" t="str">
        <f t="shared" si="119"/>
        <v>offensive</v>
      </c>
      <c r="H489" s="16">
        <f t="shared" si="120"/>
        <v>0</v>
      </c>
      <c r="I489" s="16">
        <f t="shared" si="121"/>
        <v>0</v>
      </c>
      <c r="J489" s="16">
        <f t="shared" si="122"/>
        <v>0</v>
      </c>
      <c r="K489" s="16">
        <f t="shared" si="123"/>
        <v>0</v>
      </c>
      <c r="L489" s="67">
        <f t="shared" si="124"/>
        <v>0</v>
      </c>
      <c r="M489" s="4">
        <f t="shared" si="125"/>
        <v>0</v>
      </c>
      <c r="N489" s="4">
        <f t="shared" si="126"/>
        <v>0</v>
      </c>
      <c r="O489" s="4">
        <f t="shared" si="127"/>
        <v>0</v>
      </c>
      <c r="P489" s="4" t="e">
        <f>VLOOKUP(AJ481,'CIR Team Info'!$C$5:$E$44,2,FALSE)</f>
        <v>#N/A</v>
      </c>
      <c r="Q489" s="4" t="e">
        <f>VLOOKUP(AJ481,'CIR Team Info'!$C$5:$E$44,3,FALSE)</f>
        <v>#N/A</v>
      </c>
      <c r="R489" s="10" t="e">
        <f>VLOOKUP(AJ481,'FRC Site Data'!$B$3:$L$42,2,FALSE)</f>
        <v>#N/A</v>
      </c>
      <c r="S489" s="10" t="e">
        <f>VLOOKUP(AJ481,'FRC Site Data'!$B$3:$L$42,3,FALSE)</f>
        <v>#N/A</v>
      </c>
      <c r="T489" s="10" t="e">
        <f>VLOOKUP(AJ481,'FRC Site Data'!$B$3:$L$42,4,FALSE)</f>
        <v>#N/A</v>
      </c>
      <c r="U489" s="10" t="e">
        <f>VLOOKUP(AJ481,'FRC Site Data'!$B$3:$L$42,5,FALSE)</f>
        <v>#N/A</v>
      </c>
      <c r="V489" s="10" t="e">
        <f>VLOOKUP(AJ481,'FRC Site Data'!$B$3:$L$42,6,FALSE)</f>
        <v>#N/A</v>
      </c>
      <c r="W489" s="10" t="e">
        <f>VLOOKUP(AJ481,'FRC Site Data'!$B$3:$L$42,8,FALSE)</f>
        <v>#N/A</v>
      </c>
      <c r="X489" s="10" t="e">
        <f>VLOOKUP(AJ481,'FRC Site Data'!$B$3:$L$42,9,FALSE)</f>
        <v>#N/A</v>
      </c>
      <c r="Y489" s="10" t="e">
        <f>VLOOKUP(AJ481,'FRC Site Data'!$B$3:$L$42,10,FALSE)</f>
        <v>#N/A</v>
      </c>
      <c r="Z489" s="10" t="e">
        <f>VLOOKUP(AJ481,'FRC Site Data'!$B$3:$L$42,11,FALSE)</f>
        <v>#N/A</v>
      </c>
      <c r="AA489" s="10" t="e">
        <f>VLOOKUP(AJ481,'CIR Team Info'!$C$5:$E$44,4,FALSE)</f>
        <v>#N/A</v>
      </c>
      <c r="AB489" s="161" t="b">
        <f>ISNUMBER(VLOOKUP(AJ481,Match!$T$5:$T$10,1,FALSE))</f>
        <v>0</v>
      </c>
      <c r="AC489" s="161" t="b">
        <f>IF(AB489=TRUE,(VLOOKUP($AJ481,Match!$T$5:$U$10,2,FALSE)))</f>
        <v>0</v>
      </c>
      <c r="AD489" s="8">
        <v>3</v>
      </c>
      <c r="AE489" s="8">
        <v>2</v>
      </c>
      <c r="AF489" s="8">
        <v>2</v>
      </c>
      <c r="AG489" s="8">
        <v>1</v>
      </c>
      <c r="AH489" s="8" t="str">
        <f t="shared" si="128"/>
        <v/>
      </c>
      <c r="AI489" s="12"/>
      <c r="AZ489" s="12"/>
      <c r="BC489" s="12"/>
      <c r="BK489" s="12"/>
    </row>
    <row r="490" spans="1:63" x14ac:dyDescent="0.25">
      <c r="A490" s="29">
        <f t="shared" si="129"/>
        <v>0</v>
      </c>
      <c r="B490" s="29">
        <f t="shared" si="115"/>
        <v>0</v>
      </c>
      <c r="C490" s="29">
        <f t="shared" si="116"/>
        <v>0</v>
      </c>
      <c r="D490" s="29">
        <f t="shared" si="117"/>
        <v>0</v>
      </c>
      <c r="E490" s="29">
        <f t="shared" si="114"/>
        <v>0</v>
      </c>
      <c r="F490" s="29">
        <f t="shared" si="118"/>
        <v>0</v>
      </c>
      <c r="G490" s="29" t="str">
        <f t="shared" si="119"/>
        <v>offensive</v>
      </c>
      <c r="H490" s="16">
        <f t="shared" si="120"/>
        <v>0</v>
      </c>
      <c r="I490" s="16">
        <f t="shared" si="121"/>
        <v>0</v>
      </c>
      <c r="J490" s="16">
        <f t="shared" si="122"/>
        <v>0</v>
      </c>
      <c r="K490" s="16">
        <f t="shared" si="123"/>
        <v>0</v>
      </c>
      <c r="L490" s="67">
        <f t="shared" si="124"/>
        <v>0</v>
      </c>
      <c r="M490" s="4">
        <f t="shared" si="125"/>
        <v>0</v>
      </c>
      <c r="N490" s="4">
        <f t="shared" si="126"/>
        <v>0</v>
      </c>
      <c r="O490" s="4">
        <f t="shared" si="127"/>
        <v>0</v>
      </c>
      <c r="P490" s="4" t="e">
        <f>VLOOKUP(AJ482,'CIR Team Info'!$C$5:$E$44,2,FALSE)</f>
        <v>#N/A</v>
      </c>
      <c r="Q490" s="4" t="e">
        <f>VLOOKUP(AJ482,'CIR Team Info'!$C$5:$E$44,3,FALSE)</f>
        <v>#N/A</v>
      </c>
      <c r="R490" s="10" t="e">
        <f>VLOOKUP(AJ482,'FRC Site Data'!$B$3:$L$42,2,FALSE)</f>
        <v>#N/A</v>
      </c>
      <c r="S490" s="10" t="e">
        <f>VLOOKUP(AJ482,'FRC Site Data'!$B$3:$L$42,3,FALSE)</f>
        <v>#N/A</v>
      </c>
      <c r="T490" s="10" t="e">
        <f>VLOOKUP(AJ482,'FRC Site Data'!$B$3:$L$42,4,FALSE)</f>
        <v>#N/A</v>
      </c>
      <c r="U490" s="10" t="e">
        <f>VLOOKUP(AJ482,'FRC Site Data'!$B$3:$L$42,5,FALSE)</f>
        <v>#N/A</v>
      </c>
      <c r="V490" s="10" t="e">
        <f>VLOOKUP(AJ482,'FRC Site Data'!$B$3:$L$42,6,FALSE)</f>
        <v>#N/A</v>
      </c>
      <c r="W490" s="10" t="e">
        <f>VLOOKUP(AJ482,'FRC Site Data'!$B$3:$L$42,8,FALSE)</f>
        <v>#N/A</v>
      </c>
      <c r="X490" s="10" t="e">
        <f>VLOOKUP(AJ482,'FRC Site Data'!$B$3:$L$42,9,FALSE)</f>
        <v>#N/A</v>
      </c>
      <c r="Y490" s="10" t="e">
        <f>VLOOKUP(AJ482,'FRC Site Data'!$B$3:$L$42,10,FALSE)</f>
        <v>#N/A</v>
      </c>
      <c r="Z490" s="10" t="e">
        <f>VLOOKUP(AJ482,'FRC Site Data'!$B$3:$L$42,11,FALSE)</f>
        <v>#N/A</v>
      </c>
      <c r="AA490" s="10" t="e">
        <f>VLOOKUP(AJ482,'CIR Team Info'!$C$5:$E$44,4,FALSE)</f>
        <v>#N/A</v>
      </c>
      <c r="AB490" s="161" t="b">
        <f>ISNUMBER(VLOOKUP(AJ482,Match!$T$5:$T$10,1,FALSE))</f>
        <v>0</v>
      </c>
      <c r="AC490" s="161" t="b">
        <f>IF(AB490=TRUE,(VLOOKUP($AJ482,Match!$T$5:$U$10,2,FALSE)))</f>
        <v>0</v>
      </c>
      <c r="AD490" s="8">
        <v>3</v>
      </c>
      <c r="AE490" s="8">
        <v>2</v>
      </c>
      <c r="AF490" s="8">
        <v>2</v>
      </c>
      <c r="AG490" s="8">
        <v>1</v>
      </c>
      <c r="AH490" s="8" t="str">
        <f t="shared" si="128"/>
        <v/>
      </c>
      <c r="AI490" s="12"/>
      <c r="AZ490" s="12"/>
      <c r="BC490" s="12"/>
      <c r="BK490" s="12"/>
    </row>
    <row r="491" spans="1:63" x14ac:dyDescent="0.25">
      <c r="A491" s="29">
        <f t="shared" si="129"/>
        <v>0</v>
      </c>
      <c r="B491" s="29">
        <f t="shared" si="115"/>
        <v>0</v>
      </c>
      <c r="C491" s="29">
        <f t="shared" si="116"/>
        <v>0</v>
      </c>
      <c r="D491" s="29">
        <f t="shared" si="117"/>
        <v>0</v>
      </c>
      <c r="E491" s="29">
        <f t="shared" si="114"/>
        <v>0</v>
      </c>
      <c r="F491" s="29">
        <f t="shared" si="118"/>
        <v>0</v>
      </c>
      <c r="G491" s="29" t="str">
        <f t="shared" si="119"/>
        <v>offensive</v>
      </c>
      <c r="H491" s="16">
        <f t="shared" si="120"/>
        <v>0</v>
      </c>
      <c r="I491" s="16">
        <f t="shared" si="121"/>
        <v>0</v>
      </c>
      <c r="J491" s="16">
        <f t="shared" si="122"/>
        <v>0</v>
      </c>
      <c r="K491" s="16">
        <f t="shared" si="123"/>
        <v>0</v>
      </c>
      <c r="L491" s="67">
        <f t="shared" si="124"/>
        <v>0</v>
      </c>
      <c r="M491" s="4">
        <f t="shared" si="125"/>
        <v>0</v>
      </c>
      <c r="N491" s="4">
        <f t="shared" si="126"/>
        <v>0</v>
      </c>
      <c r="O491" s="4">
        <f t="shared" si="127"/>
        <v>0</v>
      </c>
      <c r="P491" s="4" t="e">
        <f>VLOOKUP(AJ483,'CIR Team Info'!$C$5:$E$44,2,FALSE)</f>
        <v>#N/A</v>
      </c>
      <c r="Q491" s="4" t="e">
        <f>VLOOKUP(AJ483,'CIR Team Info'!$C$5:$E$44,3,FALSE)</f>
        <v>#N/A</v>
      </c>
      <c r="R491" s="10" t="e">
        <f>VLOOKUP(AJ483,'FRC Site Data'!$B$3:$L$42,2,FALSE)</f>
        <v>#N/A</v>
      </c>
      <c r="S491" s="10" t="e">
        <f>VLOOKUP(AJ483,'FRC Site Data'!$B$3:$L$42,3,FALSE)</f>
        <v>#N/A</v>
      </c>
      <c r="T491" s="10" t="e">
        <f>VLOOKUP(AJ483,'FRC Site Data'!$B$3:$L$42,4,FALSE)</f>
        <v>#N/A</v>
      </c>
      <c r="U491" s="10" t="e">
        <f>VLOOKUP(AJ483,'FRC Site Data'!$B$3:$L$42,5,FALSE)</f>
        <v>#N/A</v>
      </c>
      <c r="V491" s="10" t="e">
        <f>VLOOKUP(AJ483,'FRC Site Data'!$B$3:$L$42,6,FALSE)</f>
        <v>#N/A</v>
      </c>
      <c r="W491" s="10" t="e">
        <f>VLOOKUP(AJ483,'FRC Site Data'!$B$3:$L$42,8,FALSE)</f>
        <v>#N/A</v>
      </c>
      <c r="X491" s="10" t="e">
        <f>VLOOKUP(AJ483,'FRC Site Data'!$B$3:$L$42,9,FALSE)</f>
        <v>#N/A</v>
      </c>
      <c r="Y491" s="10" t="e">
        <f>VLOOKUP(AJ483,'FRC Site Data'!$B$3:$L$42,10,FALSE)</f>
        <v>#N/A</v>
      </c>
      <c r="Z491" s="10" t="e">
        <f>VLOOKUP(AJ483,'FRC Site Data'!$B$3:$L$42,11,FALSE)</f>
        <v>#N/A</v>
      </c>
      <c r="AA491" s="10" t="e">
        <f>VLOOKUP(AJ483,'CIR Team Info'!$C$5:$E$44,4,FALSE)</f>
        <v>#N/A</v>
      </c>
      <c r="AB491" s="161" t="b">
        <f>ISNUMBER(VLOOKUP(AJ483,Match!$T$5:$T$10,1,FALSE))</f>
        <v>0</v>
      </c>
      <c r="AC491" s="161" t="b">
        <f>IF(AB491=TRUE,(VLOOKUP($AJ483,Match!$T$5:$U$10,2,FALSE)))</f>
        <v>0</v>
      </c>
      <c r="AD491" s="8">
        <v>3</v>
      </c>
      <c r="AE491" s="8">
        <v>2</v>
      </c>
      <c r="AF491" s="8">
        <v>2</v>
      </c>
      <c r="AG491" s="8">
        <v>1</v>
      </c>
      <c r="AH491" s="8" t="str">
        <f t="shared" si="128"/>
        <v/>
      </c>
      <c r="AI491" s="12"/>
      <c r="AZ491" s="12"/>
      <c r="BC491" s="12"/>
      <c r="BK491" s="12"/>
    </row>
    <row r="492" spans="1:63" x14ac:dyDescent="0.25">
      <c r="A492" s="29">
        <f t="shared" si="129"/>
        <v>0</v>
      </c>
      <c r="B492" s="29">
        <f t="shared" si="115"/>
        <v>0</v>
      </c>
      <c r="C492" s="29">
        <f t="shared" si="116"/>
        <v>0</v>
      </c>
      <c r="D492" s="29">
        <f t="shared" si="117"/>
        <v>0</v>
      </c>
      <c r="E492" s="29">
        <f t="shared" si="114"/>
        <v>0</v>
      </c>
      <c r="F492" s="29">
        <f t="shared" si="118"/>
        <v>0</v>
      </c>
      <c r="G492" s="29" t="str">
        <f t="shared" si="119"/>
        <v>offensive</v>
      </c>
      <c r="H492" s="16">
        <f t="shared" si="120"/>
        <v>0</v>
      </c>
      <c r="I492" s="16">
        <f t="shared" si="121"/>
        <v>0</v>
      </c>
      <c r="J492" s="16">
        <f t="shared" si="122"/>
        <v>0</v>
      </c>
      <c r="K492" s="16">
        <f t="shared" si="123"/>
        <v>0</v>
      </c>
      <c r="L492" s="67">
        <f t="shared" si="124"/>
        <v>0</v>
      </c>
      <c r="M492" s="4">
        <f t="shared" si="125"/>
        <v>0</v>
      </c>
      <c r="N492" s="4">
        <f t="shared" si="126"/>
        <v>0</v>
      </c>
      <c r="O492" s="4">
        <f t="shared" si="127"/>
        <v>0</v>
      </c>
      <c r="P492" s="4" t="e">
        <f>VLOOKUP(AJ484,'CIR Team Info'!$C$5:$E$44,2,FALSE)</f>
        <v>#N/A</v>
      </c>
      <c r="Q492" s="4" t="e">
        <f>VLOOKUP(AJ484,'CIR Team Info'!$C$5:$E$44,3,FALSE)</f>
        <v>#N/A</v>
      </c>
      <c r="R492" s="10" t="e">
        <f>VLOOKUP(AJ484,'FRC Site Data'!$B$3:$L$42,2,FALSE)</f>
        <v>#N/A</v>
      </c>
      <c r="S492" s="10" t="e">
        <f>VLOOKUP(AJ484,'FRC Site Data'!$B$3:$L$42,3,FALSE)</f>
        <v>#N/A</v>
      </c>
      <c r="T492" s="10" t="e">
        <f>VLOOKUP(AJ484,'FRC Site Data'!$B$3:$L$42,4,FALSE)</f>
        <v>#N/A</v>
      </c>
      <c r="U492" s="10" t="e">
        <f>VLOOKUP(AJ484,'FRC Site Data'!$B$3:$L$42,5,FALSE)</f>
        <v>#N/A</v>
      </c>
      <c r="V492" s="10" t="e">
        <f>VLOOKUP(AJ484,'FRC Site Data'!$B$3:$L$42,6,FALSE)</f>
        <v>#N/A</v>
      </c>
      <c r="W492" s="10" t="e">
        <f>VLOOKUP(AJ484,'FRC Site Data'!$B$3:$L$42,8,FALSE)</f>
        <v>#N/A</v>
      </c>
      <c r="X492" s="10" t="e">
        <f>VLOOKUP(AJ484,'FRC Site Data'!$B$3:$L$42,9,FALSE)</f>
        <v>#N/A</v>
      </c>
      <c r="Y492" s="10" t="e">
        <f>VLOOKUP(AJ484,'FRC Site Data'!$B$3:$L$42,10,FALSE)</f>
        <v>#N/A</v>
      </c>
      <c r="Z492" s="10" t="e">
        <f>VLOOKUP(AJ484,'FRC Site Data'!$B$3:$L$42,11,FALSE)</f>
        <v>#N/A</v>
      </c>
      <c r="AA492" s="10" t="e">
        <f>VLOOKUP(AJ484,'CIR Team Info'!$C$5:$E$44,4,FALSE)</f>
        <v>#N/A</v>
      </c>
      <c r="AB492" s="161" t="b">
        <f>ISNUMBER(VLOOKUP(AJ484,Match!$T$5:$T$10,1,FALSE))</f>
        <v>0</v>
      </c>
      <c r="AC492" s="161" t="b">
        <f>IF(AB492=TRUE,(VLOOKUP($AJ484,Match!$T$5:$U$10,2,FALSE)))</f>
        <v>0</v>
      </c>
      <c r="AD492" s="8">
        <v>3</v>
      </c>
      <c r="AE492" s="8">
        <v>2</v>
      </c>
      <c r="AF492" s="8">
        <v>2</v>
      </c>
      <c r="AG492" s="8">
        <v>1</v>
      </c>
      <c r="AH492" s="8" t="str">
        <f t="shared" si="128"/>
        <v/>
      </c>
      <c r="AI492" s="12"/>
      <c r="AZ492" s="12"/>
      <c r="BC492" s="12"/>
      <c r="BK492" s="12"/>
    </row>
    <row r="493" spans="1:63" x14ac:dyDescent="0.25">
      <c r="A493" s="29">
        <f t="shared" si="129"/>
        <v>0</v>
      </c>
      <c r="B493" s="29">
        <f t="shared" si="115"/>
        <v>0</v>
      </c>
      <c r="C493" s="29">
        <f t="shared" si="116"/>
        <v>0</v>
      </c>
      <c r="D493" s="29">
        <f t="shared" si="117"/>
        <v>0</v>
      </c>
      <c r="E493" s="29">
        <f t="shared" si="114"/>
        <v>0</v>
      </c>
      <c r="F493" s="29">
        <f t="shared" si="118"/>
        <v>0</v>
      </c>
      <c r="G493" s="29" t="str">
        <f t="shared" si="119"/>
        <v>offensive</v>
      </c>
      <c r="H493" s="16">
        <f t="shared" si="120"/>
        <v>0</v>
      </c>
      <c r="I493" s="16">
        <f t="shared" si="121"/>
        <v>0</v>
      </c>
      <c r="J493" s="16">
        <f t="shared" si="122"/>
        <v>0</v>
      </c>
      <c r="K493" s="16">
        <f t="shared" si="123"/>
        <v>0</v>
      </c>
      <c r="L493" s="67">
        <f t="shared" si="124"/>
        <v>0</v>
      </c>
      <c r="M493" s="4">
        <f t="shared" si="125"/>
        <v>0</v>
      </c>
      <c r="N493" s="4">
        <f t="shared" si="126"/>
        <v>0</v>
      </c>
      <c r="O493" s="4">
        <f t="shared" si="127"/>
        <v>0</v>
      </c>
      <c r="P493" s="4" t="e">
        <f>VLOOKUP(AJ485,'CIR Team Info'!$C$5:$E$44,2,FALSE)</f>
        <v>#N/A</v>
      </c>
      <c r="Q493" s="4" t="e">
        <f>VLOOKUP(AJ485,'CIR Team Info'!$C$5:$E$44,3,FALSE)</f>
        <v>#N/A</v>
      </c>
      <c r="R493" s="10" t="e">
        <f>VLOOKUP(AJ485,'FRC Site Data'!$B$3:$L$42,2,FALSE)</f>
        <v>#N/A</v>
      </c>
      <c r="S493" s="10" t="e">
        <f>VLOOKUP(AJ485,'FRC Site Data'!$B$3:$L$42,3,FALSE)</f>
        <v>#N/A</v>
      </c>
      <c r="T493" s="10" t="e">
        <f>VLOOKUP(AJ485,'FRC Site Data'!$B$3:$L$42,4,FALSE)</f>
        <v>#N/A</v>
      </c>
      <c r="U493" s="10" t="e">
        <f>VLOOKUP(AJ485,'FRC Site Data'!$B$3:$L$42,5,FALSE)</f>
        <v>#N/A</v>
      </c>
      <c r="V493" s="10" t="e">
        <f>VLOOKUP(AJ485,'FRC Site Data'!$B$3:$L$42,6,FALSE)</f>
        <v>#N/A</v>
      </c>
      <c r="W493" s="10" t="e">
        <f>VLOOKUP(AJ485,'FRC Site Data'!$B$3:$L$42,8,FALSE)</f>
        <v>#N/A</v>
      </c>
      <c r="X493" s="10" t="e">
        <f>VLOOKUP(AJ485,'FRC Site Data'!$B$3:$L$42,9,FALSE)</f>
        <v>#N/A</v>
      </c>
      <c r="Y493" s="10" t="e">
        <f>VLOOKUP(AJ485,'FRC Site Data'!$B$3:$L$42,10,FALSE)</f>
        <v>#N/A</v>
      </c>
      <c r="Z493" s="10" t="e">
        <f>VLOOKUP(AJ485,'FRC Site Data'!$B$3:$L$42,11,FALSE)</f>
        <v>#N/A</v>
      </c>
      <c r="AA493" s="10" t="e">
        <f>VLOOKUP(AJ485,'CIR Team Info'!$C$5:$E$44,4,FALSE)</f>
        <v>#N/A</v>
      </c>
      <c r="AB493" s="161" t="b">
        <f>ISNUMBER(VLOOKUP(AJ485,Match!$T$5:$T$10,1,FALSE))</f>
        <v>0</v>
      </c>
      <c r="AC493" s="161" t="b">
        <f>IF(AB493=TRUE,(VLOOKUP($AJ485,Match!$T$5:$U$10,2,FALSE)))</f>
        <v>0</v>
      </c>
      <c r="AD493" s="8">
        <v>3</v>
      </c>
      <c r="AE493" s="8">
        <v>2</v>
      </c>
      <c r="AF493" s="8">
        <v>2</v>
      </c>
      <c r="AG493" s="8">
        <v>1</v>
      </c>
      <c r="AH493" s="8" t="str">
        <f t="shared" si="128"/>
        <v/>
      </c>
      <c r="AI493" s="12"/>
      <c r="AZ493" s="12"/>
      <c r="BC493" s="12"/>
      <c r="BK493" s="12"/>
    </row>
    <row r="494" spans="1:63" x14ac:dyDescent="0.25">
      <c r="A494" s="29">
        <f t="shared" si="129"/>
        <v>0</v>
      </c>
      <c r="B494" s="29">
        <f t="shared" si="115"/>
        <v>0</v>
      </c>
      <c r="C494" s="29">
        <f t="shared" si="116"/>
        <v>0</v>
      </c>
      <c r="D494" s="29">
        <f t="shared" si="117"/>
        <v>0</v>
      </c>
      <c r="E494" s="29">
        <f t="shared" si="114"/>
        <v>0</v>
      </c>
      <c r="F494" s="29">
        <f t="shared" si="118"/>
        <v>0</v>
      </c>
      <c r="G494" s="29" t="str">
        <f t="shared" si="119"/>
        <v>offensive</v>
      </c>
      <c r="H494" s="16">
        <f t="shared" si="120"/>
        <v>0</v>
      </c>
      <c r="I494" s="16">
        <f t="shared" si="121"/>
        <v>0</v>
      </c>
      <c r="J494" s="16">
        <f t="shared" si="122"/>
        <v>0</v>
      </c>
      <c r="K494" s="16">
        <f t="shared" si="123"/>
        <v>0</v>
      </c>
      <c r="L494" s="67">
        <f t="shared" si="124"/>
        <v>0</v>
      </c>
      <c r="M494" s="4">
        <f t="shared" si="125"/>
        <v>0</v>
      </c>
      <c r="N494" s="4">
        <f t="shared" si="126"/>
        <v>0</v>
      </c>
      <c r="O494" s="4">
        <f t="shared" si="127"/>
        <v>0</v>
      </c>
      <c r="P494" s="4" t="e">
        <f>VLOOKUP(AJ486,'CIR Team Info'!$C$5:$E$44,2,FALSE)</f>
        <v>#N/A</v>
      </c>
      <c r="Q494" s="4" t="e">
        <f>VLOOKUP(AJ486,'CIR Team Info'!$C$5:$E$44,3,FALSE)</f>
        <v>#N/A</v>
      </c>
      <c r="R494" s="10" t="e">
        <f>VLOOKUP(AJ486,'FRC Site Data'!$B$3:$L$42,2,FALSE)</f>
        <v>#N/A</v>
      </c>
      <c r="S494" s="10" t="e">
        <f>VLOOKUP(AJ486,'FRC Site Data'!$B$3:$L$42,3,FALSE)</f>
        <v>#N/A</v>
      </c>
      <c r="T494" s="10" t="e">
        <f>VLOOKUP(AJ486,'FRC Site Data'!$B$3:$L$42,4,FALSE)</f>
        <v>#N/A</v>
      </c>
      <c r="U494" s="10" t="e">
        <f>VLOOKUP(AJ486,'FRC Site Data'!$B$3:$L$42,5,FALSE)</f>
        <v>#N/A</v>
      </c>
      <c r="V494" s="10" t="e">
        <f>VLOOKUP(AJ486,'FRC Site Data'!$B$3:$L$42,6,FALSE)</f>
        <v>#N/A</v>
      </c>
      <c r="W494" s="10" t="e">
        <f>VLOOKUP(AJ486,'FRC Site Data'!$B$3:$L$42,8,FALSE)</f>
        <v>#N/A</v>
      </c>
      <c r="X494" s="10" t="e">
        <f>VLOOKUP(AJ486,'FRC Site Data'!$B$3:$L$42,9,FALSE)</f>
        <v>#N/A</v>
      </c>
      <c r="Y494" s="10" t="e">
        <f>VLOOKUP(AJ486,'FRC Site Data'!$B$3:$L$42,10,FALSE)</f>
        <v>#N/A</v>
      </c>
      <c r="Z494" s="10" t="e">
        <f>VLOOKUP(AJ486,'FRC Site Data'!$B$3:$L$42,11,FALSE)</f>
        <v>#N/A</v>
      </c>
      <c r="AA494" s="10" t="e">
        <f>VLOOKUP(AJ486,'CIR Team Info'!$C$5:$E$44,4,FALSE)</f>
        <v>#N/A</v>
      </c>
      <c r="AB494" s="161" t="b">
        <f>ISNUMBER(VLOOKUP(AJ486,Match!$T$5:$T$10,1,FALSE))</f>
        <v>0</v>
      </c>
      <c r="AC494" s="161" t="b">
        <f>IF(AB494=TRUE,(VLOOKUP($AJ486,Match!$T$5:$U$10,2,FALSE)))</f>
        <v>0</v>
      </c>
      <c r="AD494" s="8">
        <v>3</v>
      </c>
      <c r="AE494" s="8">
        <v>2</v>
      </c>
      <c r="AF494" s="8">
        <v>2</v>
      </c>
      <c r="AG494" s="8">
        <v>1</v>
      </c>
      <c r="AH494" s="8" t="str">
        <f t="shared" si="128"/>
        <v/>
      </c>
      <c r="AI494" s="12"/>
      <c r="AZ494" s="12"/>
      <c r="BC494" s="12"/>
      <c r="BK494" s="12"/>
    </row>
    <row r="495" spans="1:63" x14ac:dyDescent="0.25">
      <c r="A495" s="29">
        <f t="shared" si="129"/>
        <v>0</v>
      </c>
      <c r="B495" s="29">
        <f t="shared" si="115"/>
        <v>0</v>
      </c>
      <c r="C495" s="29">
        <f t="shared" si="116"/>
        <v>0</v>
      </c>
      <c r="D495" s="29">
        <f t="shared" si="117"/>
        <v>0</v>
      </c>
      <c r="E495" s="29">
        <f t="shared" si="114"/>
        <v>0</v>
      </c>
      <c r="F495" s="29">
        <f t="shared" si="118"/>
        <v>0</v>
      </c>
      <c r="G495" s="29" t="str">
        <f t="shared" si="119"/>
        <v>offensive</v>
      </c>
      <c r="H495" s="16">
        <f t="shared" si="120"/>
        <v>0</v>
      </c>
      <c r="I495" s="16">
        <f t="shared" si="121"/>
        <v>0</v>
      </c>
      <c r="J495" s="16">
        <f t="shared" si="122"/>
        <v>0</v>
      </c>
      <c r="K495" s="16">
        <f t="shared" si="123"/>
        <v>0</v>
      </c>
      <c r="L495" s="67">
        <f t="shared" si="124"/>
        <v>0</v>
      </c>
      <c r="M495" s="4">
        <f t="shared" si="125"/>
        <v>0</v>
      </c>
      <c r="N495" s="4">
        <f t="shared" si="126"/>
        <v>0</v>
      </c>
      <c r="O495" s="4">
        <f t="shared" si="127"/>
        <v>0</v>
      </c>
      <c r="P495" s="4" t="e">
        <f>VLOOKUP(AJ487,'CIR Team Info'!$C$5:$E$44,2,FALSE)</f>
        <v>#N/A</v>
      </c>
      <c r="Q495" s="4" t="e">
        <f>VLOOKUP(AJ487,'CIR Team Info'!$C$5:$E$44,3,FALSE)</f>
        <v>#N/A</v>
      </c>
      <c r="R495" s="10" t="e">
        <f>VLOOKUP(AJ487,'FRC Site Data'!$B$3:$L$42,2,FALSE)</f>
        <v>#N/A</v>
      </c>
      <c r="S495" s="10" t="e">
        <f>VLOOKUP(AJ487,'FRC Site Data'!$B$3:$L$42,3,FALSE)</f>
        <v>#N/A</v>
      </c>
      <c r="T495" s="10" t="e">
        <f>VLOOKUP(AJ487,'FRC Site Data'!$B$3:$L$42,4,FALSE)</f>
        <v>#N/A</v>
      </c>
      <c r="U495" s="10" t="e">
        <f>VLOOKUP(AJ487,'FRC Site Data'!$B$3:$L$42,5,FALSE)</f>
        <v>#N/A</v>
      </c>
      <c r="V495" s="10" t="e">
        <f>VLOOKUP(AJ487,'FRC Site Data'!$B$3:$L$42,6,FALSE)</f>
        <v>#N/A</v>
      </c>
      <c r="W495" s="10" t="e">
        <f>VLOOKUP(AJ487,'FRC Site Data'!$B$3:$L$42,8,FALSE)</f>
        <v>#N/A</v>
      </c>
      <c r="X495" s="10" t="e">
        <f>VLOOKUP(AJ487,'FRC Site Data'!$B$3:$L$42,9,FALSE)</f>
        <v>#N/A</v>
      </c>
      <c r="Y495" s="10" t="e">
        <f>VLOOKUP(AJ487,'FRC Site Data'!$B$3:$L$42,10,FALSE)</f>
        <v>#N/A</v>
      </c>
      <c r="Z495" s="10" t="e">
        <f>VLOOKUP(AJ487,'FRC Site Data'!$B$3:$L$42,11,FALSE)</f>
        <v>#N/A</v>
      </c>
      <c r="AA495" s="10" t="e">
        <f>VLOOKUP(AJ487,'CIR Team Info'!$C$5:$E$44,4,FALSE)</f>
        <v>#N/A</v>
      </c>
      <c r="AB495" s="161" t="b">
        <f>ISNUMBER(VLOOKUP(AJ487,Match!$T$5:$T$10,1,FALSE))</f>
        <v>0</v>
      </c>
      <c r="AC495" s="161" t="b">
        <f>IF(AB495=TRUE,(VLOOKUP($AJ487,Match!$T$5:$U$10,2,FALSE)))</f>
        <v>0</v>
      </c>
      <c r="AD495" s="8">
        <v>3</v>
      </c>
      <c r="AE495" s="8">
        <v>2</v>
      </c>
      <c r="AF495" s="8">
        <v>2</v>
      </c>
      <c r="AG495" s="8">
        <v>1</v>
      </c>
      <c r="AH495" s="8" t="str">
        <f t="shared" si="128"/>
        <v/>
      </c>
      <c r="AI495" s="12"/>
      <c r="AZ495" s="12"/>
      <c r="BC495" s="12"/>
      <c r="BK495" s="12"/>
    </row>
    <row r="496" spans="1:63" x14ac:dyDescent="0.25">
      <c r="A496" s="29">
        <f t="shared" si="129"/>
        <v>0</v>
      </c>
      <c r="B496" s="29">
        <f t="shared" si="115"/>
        <v>0</v>
      </c>
      <c r="C496" s="29">
        <f t="shared" si="116"/>
        <v>0</v>
      </c>
      <c r="D496" s="29">
        <f t="shared" si="117"/>
        <v>0</v>
      </c>
      <c r="E496" s="29">
        <f t="shared" si="114"/>
        <v>0</v>
      </c>
      <c r="F496" s="29">
        <f t="shared" si="118"/>
        <v>0</v>
      </c>
      <c r="G496" s="29" t="str">
        <f t="shared" si="119"/>
        <v>offensive</v>
      </c>
      <c r="H496" s="16">
        <f t="shared" si="120"/>
        <v>0</v>
      </c>
      <c r="I496" s="16">
        <f t="shared" si="121"/>
        <v>0</v>
      </c>
      <c r="J496" s="16">
        <f t="shared" si="122"/>
        <v>0</v>
      </c>
      <c r="K496" s="16">
        <f t="shared" si="123"/>
        <v>0</v>
      </c>
      <c r="L496" s="67">
        <f t="shared" si="124"/>
        <v>0</v>
      </c>
      <c r="M496" s="4">
        <f t="shared" si="125"/>
        <v>0</v>
      </c>
      <c r="N496" s="4">
        <f t="shared" si="126"/>
        <v>0</v>
      </c>
      <c r="O496" s="4">
        <f t="shared" si="127"/>
        <v>0</v>
      </c>
      <c r="P496" s="4" t="e">
        <f>VLOOKUP(AJ488,'CIR Team Info'!$C$5:$E$44,2,FALSE)</f>
        <v>#N/A</v>
      </c>
      <c r="Q496" s="4" t="e">
        <f>VLOOKUP(AJ488,'CIR Team Info'!$C$5:$E$44,3,FALSE)</f>
        <v>#N/A</v>
      </c>
      <c r="R496" s="10" t="e">
        <f>VLOOKUP(AJ488,'FRC Site Data'!$B$3:$L$42,2,FALSE)</f>
        <v>#N/A</v>
      </c>
      <c r="S496" s="10" t="e">
        <f>VLOOKUP(AJ488,'FRC Site Data'!$B$3:$L$42,3,FALSE)</f>
        <v>#N/A</v>
      </c>
      <c r="T496" s="10" t="e">
        <f>VLOOKUP(AJ488,'FRC Site Data'!$B$3:$L$42,4,FALSE)</f>
        <v>#N/A</v>
      </c>
      <c r="U496" s="10" t="e">
        <f>VLOOKUP(AJ488,'FRC Site Data'!$B$3:$L$42,5,FALSE)</f>
        <v>#N/A</v>
      </c>
      <c r="V496" s="10" t="e">
        <f>VLOOKUP(AJ488,'FRC Site Data'!$B$3:$L$42,6,FALSE)</f>
        <v>#N/A</v>
      </c>
      <c r="W496" s="10" t="e">
        <f>VLOOKUP(AJ488,'FRC Site Data'!$B$3:$L$42,8,FALSE)</f>
        <v>#N/A</v>
      </c>
      <c r="X496" s="10" t="e">
        <f>VLOOKUP(AJ488,'FRC Site Data'!$B$3:$L$42,9,FALSE)</f>
        <v>#N/A</v>
      </c>
      <c r="Y496" s="10" t="e">
        <f>VLOOKUP(AJ488,'FRC Site Data'!$B$3:$L$42,10,FALSE)</f>
        <v>#N/A</v>
      </c>
      <c r="Z496" s="10" t="e">
        <f>VLOOKUP(AJ488,'FRC Site Data'!$B$3:$L$42,11,FALSE)</f>
        <v>#N/A</v>
      </c>
      <c r="AA496" s="10" t="e">
        <f>VLOOKUP(AJ488,'CIR Team Info'!$C$5:$E$44,4,FALSE)</f>
        <v>#N/A</v>
      </c>
      <c r="AB496" s="161" t="b">
        <f>ISNUMBER(VLOOKUP(AJ488,Match!$T$5:$T$10,1,FALSE))</f>
        <v>0</v>
      </c>
      <c r="AC496" s="161" t="b">
        <f>IF(AB496=TRUE,(VLOOKUP($AJ488,Match!$T$5:$U$10,2,FALSE)))</f>
        <v>0</v>
      </c>
      <c r="AD496" s="8">
        <v>3</v>
      </c>
      <c r="AE496" s="8">
        <v>2</v>
      </c>
      <c r="AF496" s="8">
        <v>2</v>
      </c>
      <c r="AG496" s="8">
        <v>1</v>
      </c>
      <c r="AH496" s="8" t="str">
        <f t="shared" si="128"/>
        <v/>
      </c>
      <c r="AI496" s="12"/>
      <c r="AZ496" s="12"/>
      <c r="BC496" s="12"/>
      <c r="BK496" s="12"/>
    </row>
    <row r="497" spans="1:63" x14ac:dyDescent="0.25">
      <c r="A497" s="29">
        <f t="shared" si="129"/>
        <v>0</v>
      </c>
      <c r="B497" s="29">
        <f t="shared" si="115"/>
        <v>0</v>
      </c>
      <c r="C497" s="29">
        <f t="shared" si="116"/>
        <v>0</v>
      </c>
      <c r="D497" s="29">
        <f t="shared" si="117"/>
        <v>0</v>
      </c>
      <c r="E497" s="29">
        <f t="shared" si="114"/>
        <v>0</v>
      </c>
      <c r="F497" s="29">
        <f t="shared" si="118"/>
        <v>0</v>
      </c>
      <c r="G497" s="29" t="str">
        <f t="shared" si="119"/>
        <v>offensive</v>
      </c>
      <c r="H497" s="16">
        <f t="shared" si="120"/>
        <v>0</v>
      </c>
      <c r="I497" s="16">
        <f t="shared" si="121"/>
        <v>0</v>
      </c>
      <c r="J497" s="16">
        <f t="shared" si="122"/>
        <v>0</v>
      </c>
      <c r="K497" s="16">
        <f t="shared" si="123"/>
        <v>0</v>
      </c>
      <c r="L497" s="67">
        <f t="shared" si="124"/>
        <v>0</v>
      </c>
      <c r="M497" s="4">
        <f t="shared" si="125"/>
        <v>0</v>
      </c>
      <c r="N497" s="4">
        <f t="shared" si="126"/>
        <v>0</v>
      </c>
      <c r="O497" s="4">
        <f t="shared" si="127"/>
        <v>0</v>
      </c>
      <c r="P497" s="4" t="e">
        <f>VLOOKUP(AJ489,'CIR Team Info'!$C$5:$E$44,2,FALSE)</f>
        <v>#N/A</v>
      </c>
      <c r="Q497" s="4" t="e">
        <f>VLOOKUP(AJ489,'CIR Team Info'!$C$5:$E$44,3,FALSE)</f>
        <v>#N/A</v>
      </c>
      <c r="R497" s="10" t="e">
        <f>VLOOKUP(AJ489,'FRC Site Data'!$B$3:$L$42,2,FALSE)</f>
        <v>#N/A</v>
      </c>
      <c r="S497" s="10" t="e">
        <f>VLOOKUP(AJ489,'FRC Site Data'!$B$3:$L$42,3,FALSE)</f>
        <v>#N/A</v>
      </c>
      <c r="T497" s="10" t="e">
        <f>VLOOKUP(AJ489,'FRC Site Data'!$B$3:$L$42,4,FALSE)</f>
        <v>#N/A</v>
      </c>
      <c r="U497" s="10" t="e">
        <f>VLOOKUP(AJ489,'FRC Site Data'!$B$3:$L$42,5,FALSE)</f>
        <v>#N/A</v>
      </c>
      <c r="V497" s="10" t="e">
        <f>VLOOKUP(AJ489,'FRC Site Data'!$B$3:$L$42,6,FALSE)</f>
        <v>#N/A</v>
      </c>
      <c r="W497" s="10" t="e">
        <f>VLOOKUP(AJ489,'FRC Site Data'!$B$3:$L$42,8,FALSE)</f>
        <v>#N/A</v>
      </c>
      <c r="X497" s="10" t="e">
        <f>VLOOKUP(AJ489,'FRC Site Data'!$B$3:$L$42,9,FALSE)</f>
        <v>#N/A</v>
      </c>
      <c r="Y497" s="10" t="e">
        <f>VLOOKUP(AJ489,'FRC Site Data'!$B$3:$L$42,10,FALSE)</f>
        <v>#N/A</v>
      </c>
      <c r="Z497" s="10" t="e">
        <f>VLOOKUP(AJ489,'FRC Site Data'!$B$3:$L$42,11,FALSE)</f>
        <v>#N/A</v>
      </c>
      <c r="AA497" s="10" t="e">
        <f>VLOOKUP(AJ489,'CIR Team Info'!$C$5:$E$44,4,FALSE)</f>
        <v>#N/A</v>
      </c>
      <c r="AB497" s="161" t="b">
        <f>ISNUMBER(VLOOKUP(AJ489,Match!$T$5:$T$10,1,FALSE))</f>
        <v>0</v>
      </c>
      <c r="AC497" s="161" t="b">
        <f>IF(AB497=TRUE,(VLOOKUP($AJ489,Match!$T$5:$U$10,2,FALSE)))</f>
        <v>0</v>
      </c>
      <c r="AD497" s="8">
        <v>3</v>
      </c>
      <c r="AE497" s="8">
        <v>2</v>
      </c>
      <c r="AF497" s="8">
        <v>2</v>
      </c>
      <c r="AG497" s="8">
        <v>1</v>
      </c>
      <c r="AH497" s="128" t="str">
        <f t="shared" si="128"/>
        <v/>
      </c>
      <c r="AI497" s="12"/>
      <c r="AZ497" s="12"/>
      <c r="BC497" s="12"/>
      <c r="BK497" s="12"/>
    </row>
    <row r="498" spans="1:63" x14ac:dyDescent="0.25">
      <c r="A498" s="29">
        <f t="shared" si="129"/>
        <v>0</v>
      </c>
      <c r="B498" s="29">
        <f t="shared" si="115"/>
        <v>0</v>
      </c>
      <c r="C498" s="29">
        <f t="shared" si="116"/>
        <v>0</v>
      </c>
      <c r="D498" s="29">
        <f t="shared" si="117"/>
        <v>0</v>
      </c>
      <c r="E498" s="29">
        <f t="shared" si="114"/>
        <v>0</v>
      </c>
      <c r="F498" s="29">
        <f t="shared" si="118"/>
        <v>0</v>
      </c>
      <c r="G498" s="29" t="str">
        <f t="shared" si="119"/>
        <v>offensive</v>
      </c>
      <c r="H498" s="16">
        <f t="shared" si="120"/>
        <v>0</v>
      </c>
      <c r="I498" s="16">
        <f t="shared" si="121"/>
        <v>0</v>
      </c>
      <c r="J498" s="16">
        <f t="shared" si="122"/>
        <v>0</v>
      </c>
      <c r="K498" s="16">
        <f t="shared" si="123"/>
        <v>0</v>
      </c>
      <c r="L498" s="67">
        <f t="shared" si="124"/>
        <v>0</v>
      </c>
      <c r="M498" s="4">
        <f t="shared" si="125"/>
        <v>0</v>
      </c>
      <c r="N498" s="4">
        <f t="shared" si="126"/>
        <v>0</v>
      </c>
      <c r="O498" s="4">
        <f t="shared" si="127"/>
        <v>0</v>
      </c>
      <c r="P498" s="4" t="e">
        <f>VLOOKUP(AJ490,'CIR Team Info'!$C$5:$E$44,2,FALSE)</f>
        <v>#N/A</v>
      </c>
      <c r="Q498" s="4" t="e">
        <f>VLOOKUP(AJ490,'CIR Team Info'!$C$5:$E$44,3,FALSE)</f>
        <v>#N/A</v>
      </c>
      <c r="R498" s="10" t="e">
        <f>VLOOKUP(AJ490,'FRC Site Data'!$B$3:$L$42,2,FALSE)</f>
        <v>#N/A</v>
      </c>
      <c r="S498" s="10" t="e">
        <f>VLOOKUP(AJ490,'FRC Site Data'!$B$3:$L$42,3,FALSE)</f>
        <v>#N/A</v>
      </c>
      <c r="T498" s="10" t="e">
        <f>VLOOKUP(AJ490,'FRC Site Data'!$B$3:$L$42,4,FALSE)</f>
        <v>#N/A</v>
      </c>
      <c r="U498" s="10" t="e">
        <f>VLOOKUP(AJ490,'FRC Site Data'!$B$3:$L$42,5,FALSE)</f>
        <v>#N/A</v>
      </c>
      <c r="V498" s="10" t="e">
        <f>VLOOKUP(AJ490,'FRC Site Data'!$B$3:$L$42,6,FALSE)</f>
        <v>#N/A</v>
      </c>
      <c r="W498" s="10" t="e">
        <f>VLOOKUP(AJ490,'FRC Site Data'!$B$3:$L$42,8,FALSE)</f>
        <v>#N/A</v>
      </c>
      <c r="X498" s="10" t="e">
        <f>VLOOKUP(AJ490,'FRC Site Data'!$B$3:$L$42,9,FALSE)</f>
        <v>#N/A</v>
      </c>
      <c r="Y498" s="10" t="e">
        <f>VLOOKUP(AJ490,'FRC Site Data'!$B$3:$L$42,10,FALSE)</f>
        <v>#N/A</v>
      </c>
      <c r="Z498" s="10" t="e">
        <f>VLOOKUP(AJ490,'FRC Site Data'!$B$3:$L$42,11,FALSE)</f>
        <v>#N/A</v>
      </c>
      <c r="AA498" s="10" t="e">
        <f>VLOOKUP(AJ490,'CIR Team Info'!$C$5:$E$44,4,FALSE)</f>
        <v>#N/A</v>
      </c>
      <c r="AB498" s="161" t="b">
        <f>ISNUMBER(VLOOKUP(AJ490,Match!$T$5:$T$10,1,FALSE))</f>
        <v>0</v>
      </c>
      <c r="AC498" s="161" t="b">
        <f>IF(AB498=TRUE,(VLOOKUP($AJ490,Match!$T$5:$U$10,2,FALSE)))</f>
        <v>0</v>
      </c>
      <c r="AD498" s="8">
        <v>3</v>
      </c>
      <c r="AE498" s="8">
        <v>2</v>
      </c>
      <c r="AF498" s="8">
        <v>2</v>
      </c>
      <c r="AG498" s="8">
        <v>1</v>
      </c>
      <c r="AH498" s="8" t="str">
        <f t="shared" si="128"/>
        <v/>
      </c>
      <c r="AI498" s="12"/>
      <c r="AZ498" s="12"/>
      <c r="BC498" s="12"/>
      <c r="BK498" s="12"/>
    </row>
    <row r="499" spans="1:63" x14ac:dyDescent="0.25">
      <c r="A499" s="29">
        <f t="shared" si="129"/>
        <v>0</v>
      </c>
      <c r="B499" s="29">
        <f t="shared" si="115"/>
        <v>0</v>
      </c>
      <c r="C499" s="29">
        <f t="shared" si="116"/>
        <v>0</v>
      </c>
      <c r="D499" s="29">
        <f t="shared" si="117"/>
        <v>0</v>
      </c>
      <c r="E499" s="29">
        <f t="shared" si="114"/>
        <v>0</v>
      </c>
      <c r="F499" s="29">
        <f t="shared" si="118"/>
        <v>0</v>
      </c>
      <c r="G499" s="29" t="str">
        <f t="shared" si="119"/>
        <v>offensive</v>
      </c>
      <c r="H499" s="16">
        <f t="shared" si="120"/>
        <v>0</v>
      </c>
      <c r="I499" s="16">
        <f t="shared" si="121"/>
        <v>0</v>
      </c>
      <c r="J499" s="16">
        <f t="shared" si="122"/>
        <v>0</v>
      </c>
      <c r="K499" s="16">
        <f t="shared" si="123"/>
        <v>0</v>
      </c>
      <c r="L499" s="67">
        <f t="shared" si="124"/>
        <v>0</v>
      </c>
      <c r="M499" s="4">
        <f t="shared" si="125"/>
        <v>0</v>
      </c>
      <c r="N499" s="4">
        <f t="shared" si="126"/>
        <v>0</v>
      </c>
      <c r="O499" s="4">
        <f t="shared" si="127"/>
        <v>0</v>
      </c>
      <c r="P499" s="4" t="e">
        <f>VLOOKUP(AJ491,'CIR Team Info'!$C$5:$E$44,2,FALSE)</f>
        <v>#N/A</v>
      </c>
      <c r="Q499" s="4" t="e">
        <f>VLOOKUP(AJ491,'CIR Team Info'!$C$5:$E$44,3,FALSE)</f>
        <v>#N/A</v>
      </c>
      <c r="R499" s="10" t="e">
        <f>VLOOKUP(AJ491,'FRC Site Data'!$B$3:$L$42,2,FALSE)</f>
        <v>#N/A</v>
      </c>
      <c r="S499" s="10" t="e">
        <f>VLOOKUP(AJ491,'FRC Site Data'!$B$3:$L$42,3,FALSE)</f>
        <v>#N/A</v>
      </c>
      <c r="T499" s="10" t="e">
        <f>VLOOKUP(AJ491,'FRC Site Data'!$B$3:$L$42,4,FALSE)</f>
        <v>#N/A</v>
      </c>
      <c r="U499" s="10" t="e">
        <f>VLOOKUP(AJ491,'FRC Site Data'!$B$3:$L$42,5,FALSE)</f>
        <v>#N/A</v>
      </c>
      <c r="V499" s="10" t="e">
        <f>VLOOKUP(AJ491,'FRC Site Data'!$B$3:$L$42,6,FALSE)</f>
        <v>#N/A</v>
      </c>
      <c r="W499" s="10" t="e">
        <f>VLOOKUP(AJ491,'FRC Site Data'!$B$3:$L$42,8,FALSE)</f>
        <v>#N/A</v>
      </c>
      <c r="X499" s="10" t="e">
        <f>VLOOKUP(AJ491,'FRC Site Data'!$B$3:$L$42,9,FALSE)</f>
        <v>#N/A</v>
      </c>
      <c r="Y499" s="10" t="e">
        <f>VLOOKUP(AJ491,'FRC Site Data'!$B$3:$L$42,10,FALSE)</f>
        <v>#N/A</v>
      </c>
      <c r="Z499" s="10" t="e">
        <f>VLOOKUP(AJ491,'FRC Site Data'!$B$3:$L$42,11,FALSE)</f>
        <v>#N/A</v>
      </c>
      <c r="AA499" s="10" t="e">
        <f>VLOOKUP(AJ491,'CIR Team Info'!$C$5:$E$44,4,FALSE)</f>
        <v>#N/A</v>
      </c>
      <c r="AB499" s="161" t="b">
        <f>ISNUMBER(VLOOKUP(AJ491,Match!$T$5:$T$10,1,FALSE))</f>
        <v>0</v>
      </c>
      <c r="AC499" s="161" t="b">
        <f>IF(AB499=TRUE,(VLOOKUP($AJ491,Match!$T$5:$U$10,2,FALSE)))</f>
        <v>0</v>
      </c>
      <c r="AD499" s="8">
        <v>3</v>
      </c>
      <c r="AE499" s="8">
        <v>2</v>
      </c>
      <c r="AF499" s="8">
        <v>2</v>
      </c>
      <c r="AG499" s="8">
        <v>1</v>
      </c>
      <c r="AH499" s="8" t="str">
        <f t="shared" si="128"/>
        <v/>
      </c>
      <c r="AI499" s="12"/>
      <c r="AZ499" s="12"/>
      <c r="BC499" s="12"/>
      <c r="BK499" s="12"/>
    </row>
    <row r="500" spans="1:63" x14ac:dyDescent="0.25">
      <c r="A500" s="29">
        <f t="shared" si="129"/>
        <v>0</v>
      </c>
      <c r="B500" s="29">
        <f t="shared" si="115"/>
        <v>0</v>
      </c>
      <c r="C500" s="29">
        <f t="shared" si="116"/>
        <v>0</v>
      </c>
      <c r="D500" s="29">
        <f t="shared" si="117"/>
        <v>0</v>
      </c>
      <c r="E500" s="29">
        <f t="shared" si="114"/>
        <v>0</v>
      </c>
      <c r="F500" s="29">
        <f t="shared" si="118"/>
        <v>0</v>
      </c>
      <c r="G500" s="29" t="str">
        <f t="shared" si="119"/>
        <v>offensive</v>
      </c>
      <c r="H500" s="16">
        <f t="shared" si="120"/>
        <v>0</v>
      </c>
      <c r="I500" s="16">
        <f t="shared" si="121"/>
        <v>0</v>
      </c>
      <c r="J500" s="16">
        <f t="shared" si="122"/>
        <v>0</v>
      </c>
      <c r="K500" s="16">
        <f t="shared" si="123"/>
        <v>0</v>
      </c>
      <c r="L500" s="67">
        <f t="shared" si="124"/>
        <v>0</v>
      </c>
      <c r="M500" s="4">
        <f t="shared" si="125"/>
        <v>0</v>
      </c>
      <c r="N500" s="4">
        <f t="shared" si="126"/>
        <v>0</v>
      </c>
      <c r="O500" s="4">
        <f t="shared" si="127"/>
        <v>0</v>
      </c>
      <c r="P500" s="4" t="e">
        <f>VLOOKUP(AJ492,'CIR Team Info'!$C$5:$E$44,2,FALSE)</f>
        <v>#N/A</v>
      </c>
      <c r="Q500" s="4" t="e">
        <f>VLOOKUP(AJ492,'CIR Team Info'!$C$5:$E$44,3,FALSE)</f>
        <v>#N/A</v>
      </c>
      <c r="R500" s="10" t="e">
        <f>VLOOKUP(AJ492,'FRC Site Data'!$B$3:$L$42,2,FALSE)</f>
        <v>#N/A</v>
      </c>
      <c r="S500" s="10" t="e">
        <f>VLOOKUP(AJ492,'FRC Site Data'!$B$3:$L$42,3,FALSE)</f>
        <v>#N/A</v>
      </c>
      <c r="T500" s="10" t="e">
        <f>VLOOKUP(AJ492,'FRC Site Data'!$B$3:$L$42,4,FALSE)</f>
        <v>#N/A</v>
      </c>
      <c r="U500" s="10" t="e">
        <f>VLOOKUP(AJ492,'FRC Site Data'!$B$3:$L$42,5,FALSE)</f>
        <v>#N/A</v>
      </c>
      <c r="V500" s="10" t="e">
        <f>VLOOKUP(AJ492,'FRC Site Data'!$B$3:$L$42,6,FALSE)</f>
        <v>#N/A</v>
      </c>
      <c r="W500" s="10" t="e">
        <f>VLOOKUP(AJ492,'FRC Site Data'!$B$3:$L$42,8,FALSE)</f>
        <v>#N/A</v>
      </c>
      <c r="X500" s="10" t="e">
        <f>VLOOKUP(AJ492,'FRC Site Data'!$B$3:$L$42,9,FALSE)</f>
        <v>#N/A</v>
      </c>
      <c r="Y500" s="10" t="e">
        <f>VLOOKUP(AJ492,'FRC Site Data'!$B$3:$L$42,10,FALSE)</f>
        <v>#N/A</v>
      </c>
      <c r="Z500" s="10" t="e">
        <f>VLOOKUP(AJ492,'FRC Site Data'!$B$3:$L$42,11,FALSE)</f>
        <v>#N/A</v>
      </c>
      <c r="AA500" s="10" t="e">
        <f>VLOOKUP(AJ492,'CIR Team Info'!$C$5:$E$44,4,FALSE)</f>
        <v>#N/A</v>
      </c>
      <c r="AB500" s="161" t="b">
        <f>ISNUMBER(VLOOKUP(AJ492,Match!$T$5:$T$10,1,FALSE))</f>
        <v>0</v>
      </c>
      <c r="AC500" s="161" t="b">
        <f>IF(AB500=TRUE,(VLOOKUP($AJ492,Match!$T$5:$U$10,2,FALSE)))</f>
        <v>0</v>
      </c>
      <c r="AD500" s="8">
        <v>3</v>
      </c>
      <c r="AE500" s="8">
        <v>2</v>
      </c>
      <c r="AF500" s="8">
        <v>2</v>
      </c>
      <c r="AG500" s="8">
        <v>1</v>
      </c>
      <c r="AH500" s="8" t="str">
        <f t="shared" si="128"/>
        <v/>
      </c>
      <c r="AI500" s="12"/>
      <c r="AZ500" s="12"/>
      <c r="BC500" s="12"/>
      <c r="BK500" s="12"/>
    </row>
    <row r="501" spans="1:63" x14ac:dyDescent="0.25">
      <c r="A501" s="29">
        <f t="shared" si="129"/>
        <v>0</v>
      </c>
      <c r="B501" s="29">
        <f t="shared" si="115"/>
        <v>0</v>
      </c>
      <c r="C501" s="29">
        <f t="shared" si="116"/>
        <v>0</v>
      </c>
      <c r="D501" s="29">
        <f t="shared" si="117"/>
        <v>0</v>
      </c>
      <c r="E501" s="29">
        <f t="shared" si="114"/>
        <v>0</v>
      </c>
      <c r="F501" s="29">
        <f t="shared" si="118"/>
        <v>0</v>
      </c>
      <c r="G501" s="29" t="str">
        <f t="shared" si="119"/>
        <v>offensive</v>
      </c>
      <c r="H501" s="16">
        <f t="shared" si="120"/>
        <v>0</v>
      </c>
      <c r="I501" s="16">
        <f t="shared" si="121"/>
        <v>0</v>
      </c>
      <c r="J501" s="16">
        <f t="shared" si="122"/>
        <v>0</v>
      </c>
      <c r="K501" s="16">
        <f t="shared" si="123"/>
        <v>0</v>
      </c>
      <c r="L501" s="67">
        <f t="shared" si="124"/>
        <v>0</v>
      </c>
      <c r="M501" s="4">
        <f t="shared" si="125"/>
        <v>0</v>
      </c>
      <c r="N501" s="4">
        <f t="shared" si="126"/>
        <v>0</v>
      </c>
      <c r="O501" s="4">
        <f t="shared" si="127"/>
        <v>0</v>
      </c>
      <c r="P501" s="4" t="e">
        <f>VLOOKUP(AJ493,'CIR Team Info'!$C$5:$E$44,2,FALSE)</f>
        <v>#N/A</v>
      </c>
      <c r="Q501" s="4" t="e">
        <f>VLOOKUP(AJ493,'CIR Team Info'!$C$5:$E$44,3,FALSE)</f>
        <v>#N/A</v>
      </c>
      <c r="R501" s="10" t="e">
        <f>VLOOKUP(AJ493,'FRC Site Data'!$B$3:$L$42,2,FALSE)</f>
        <v>#N/A</v>
      </c>
      <c r="S501" s="10" t="e">
        <f>VLOOKUP(AJ493,'FRC Site Data'!$B$3:$L$42,3,FALSE)</f>
        <v>#N/A</v>
      </c>
      <c r="T501" s="10" t="e">
        <f>VLOOKUP(AJ493,'FRC Site Data'!$B$3:$L$42,4,FALSE)</f>
        <v>#N/A</v>
      </c>
      <c r="U501" s="10" t="e">
        <f>VLOOKUP(AJ493,'FRC Site Data'!$B$3:$L$42,5,FALSE)</f>
        <v>#N/A</v>
      </c>
      <c r="V501" s="10" t="e">
        <f>VLOOKUP(AJ493,'FRC Site Data'!$B$3:$L$42,6,FALSE)</f>
        <v>#N/A</v>
      </c>
      <c r="W501" s="10" t="e">
        <f>VLOOKUP(AJ493,'FRC Site Data'!$B$3:$L$42,8,FALSE)</f>
        <v>#N/A</v>
      </c>
      <c r="X501" s="10" t="e">
        <f>VLOOKUP(AJ493,'FRC Site Data'!$B$3:$L$42,9,FALSE)</f>
        <v>#N/A</v>
      </c>
      <c r="Y501" s="10" t="e">
        <f>VLOOKUP(AJ493,'FRC Site Data'!$B$3:$L$42,10,FALSE)</f>
        <v>#N/A</v>
      </c>
      <c r="Z501" s="10" t="e">
        <f>VLOOKUP(AJ493,'FRC Site Data'!$B$3:$L$42,11,FALSE)</f>
        <v>#N/A</v>
      </c>
      <c r="AA501" s="10" t="e">
        <f>VLOOKUP(AJ493,'CIR Team Info'!$C$5:$E$44,4,FALSE)</f>
        <v>#N/A</v>
      </c>
      <c r="AB501" s="161" t="b">
        <f>ISNUMBER(VLOOKUP(AJ493,Match!$T$5:$T$10,1,FALSE))</f>
        <v>0</v>
      </c>
      <c r="AC501" s="161" t="b">
        <f>IF(AB501=TRUE,(VLOOKUP($AJ493,Match!$T$5:$U$10,2,FALSE)))</f>
        <v>0</v>
      </c>
      <c r="AD501" s="8">
        <v>3</v>
      </c>
      <c r="AE501" s="8">
        <v>2</v>
      </c>
      <c r="AF501" s="8">
        <v>2</v>
      </c>
      <c r="AG501" s="8">
        <v>1</v>
      </c>
      <c r="AH501" s="8" t="str">
        <f t="shared" si="128"/>
        <v/>
      </c>
      <c r="AI501" s="12"/>
      <c r="AZ501" s="12"/>
      <c r="BC501" s="12"/>
      <c r="BK501" s="12"/>
    </row>
    <row r="502" spans="1:63" x14ac:dyDescent="0.25">
      <c r="A502" s="29">
        <f t="shared" si="129"/>
        <v>0</v>
      </c>
      <c r="B502" s="29">
        <f t="shared" si="115"/>
        <v>0</v>
      </c>
      <c r="C502" s="29">
        <f t="shared" si="116"/>
        <v>0</v>
      </c>
      <c r="D502" s="29">
        <f t="shared" si="117"/>
        <v>0</v>
      </c>
      <c r="E502" s="29">
        <f t="shared" si="114"/>
        <v>0</v>
      </c>
      <c r="F502" s="29">
        <f t="shared" si="118"/>
        <v>0</v>
      </c>
      <c r="G502" s="29" t="str">
        <f t="shared" si="119"/>
        <v>offensive</v>
      </c>
      <c r="H502" s="16">
        <f t="shared" si="120"/>
        <v>0</v>
      </c>
      <c r="I502" s="16">
        <f t="shared" si="121"/>
        <v>0</v>
      </c>
      <c r="J502" s="16">
        <f t="shared" si="122"/>
        <v>0</v>
      </c>
      <c r="K502" s="16">
        <f t="shared" si="123"/>
        <v>0</v>
      </c>
      <c r="L502" s="67">
        <f t="shared" si="124"/>
        <v>0</v>
      </c>
      <c r="M502" s="4">
        <f t="shared" si="125"/>
        <v>0</v>
      </c>
      <c r="N502" s="4">
        <f t="shared" si="126"/>
        <v>0</v>
      </c>
      <c r="O502" s="4">
        <f t="shared" si="127"/>
        <v>0</v>
      </c>
      <c r="P502" s="4" t="e">
        <f>VLOOKUP(AJ494,'CIR Team Info'!$C$5:$E$44,2,FALSE)</f>
        <v>#N/A</v>
      </c>
      <c r="Q502" s="4" t="e">
        <f>VLOOKUP(AJ494,'CIR Team Info'!$C$5:$E$44,3,FALSE)</f>
        <v>#N/A</v>
      </c>
      <c r="R502" s="10" t="e">
        <f>VLOOKUP(AJ494,'FRC Site Data'!$B$3:$L$42,2,FALSE)</f>
        <v>#N/A</v>
      </c>
      <c r="S502" s="10" t="e">
        <f>VLOOKUP(AJ494,'FRC Site Data'!$B$3:$L$42,3,FALSE)</f>
        <v>#N/A</v>
      </c>
      <c r="T502" s="10" t="e">
        <f>VLOOKUP(AJ494,'FRC Site Data'!$B$3:$L$42,4,FALSE)</f>
        <v>#N/A</v>
      </c>
      <c r="U502" s="10" t="e">
        <f>VLOOKUP(AJ494,'FRC Site Data'!$B$3:$L$42,5,FALSE)</f>
        <v>#N/A</v>
      </c>
      <c r="V502" s="10" t="e">
        <f>VLOOKUP(AJ494,'FRC Site Data'!$B$3:$L$42,6,FALSE)</f>
        <v>#N/A</v>
      </c>
      <c r="W502" s="10" t="e">
        <f>VLOOKUP(AJ494,'FRC Site Data'!$B$3:$L$42,8,FALSE)</f>
        <v>#N/A</v>
      </c>
      <c r="X502" s="10" t="e">
        <f>VLOOKUP(AJ494,'FRC Site Data'!$B$3:$L$42,9,FALSE)</f>
        <v>#N/A</v>
      </c>
      <c r="Y502" s="10" t="e">
        <f>VLOOKUP(AJ494,'FRC Site Data'!$B$3:$L$42,10,FALSE)</f>
        <v>#N/A</v>
      </c>
      <c r="Z502" s="10" t="e">
        <f>VLOOKUP(AJ494,'FRC Site Data'!$B$3:$L$42,11,FALSE)</f>
        <v>#N/A</v>
      </c>
      <c r="AA502" s="10" t="e">
        <f>VLOOKUP(AJ494,'CIR Team Info'!$C$5:$E$44,4,FALSE)</f>
        <v>#N/A</v>
      </c>
      <c r="AB502" s="161" t="b">
        <f>ISNUMBER(VLOOKUP(AJ494,Match!$T$5:$T$10,1,FALSE))</f>
        <v>0</v>
      </c>
      <c r="AC502" s="161" t="b">
        <f>IF(AB502=TRUE,(VLOOKUP($AJ494,Match!$T$5:$U$10,2,FALSE)))</f>
        <v>0</v>
      </c>
      <c r="AD502" s="8">
        <v>3</v>
      </c>
      <c r="AE502" s="8">
        <v>2</v>
      </c>
      <c r="AF502" s="8">
        <v>2</v>
      </c>
      <c r="AG502" s="8">
        <v>1</v>
      </c>
      <c r="AH502" s="8" t="str">
        <f t="shared" si="128"/>
        <v/>
      </c>
      <c r="AI502" s="12"/>
      <c r="AZ502" s="12"/>
      <c r="BC502" s="12"/>
      <c r="BK502" s="12"/>
    </row>
    <row r="503" spans="1:63" x14ac:dyDescent="0.25">
      <c r="A503" s="29">
        <f t="shared" si="129"/>
        <v>0</v>
      </c>
      <c r="B503" s="29">
        <f t="shared" si="115"/>
        <v>0</v>
      </c>
      <c r="C503" s="29">
        <f t="shared" si="116"/>
        <v>0</v>
      </c>
      <c r="D503" s="29">
        <f t="shared" si="117"/>
        <v>0</v>
      </c>
      <c r="E503" s="29">
        <f t="shared" si="114"/>
        <v>0</v>
      </c>
      <c r="F503" s="29">
        <f t="shared" si="118"/>
        <v>0</v>
      </c>
      <c r="G503" s="29" t="str">
        <f t="shared" si="119"/>
        <v>offensive</v>
      </c>
      <c r="H503" s="16">
        <f t="shared" si="120"/>
        <v>0</v>
      </c>
      <c r="I503" s="16">
        <f t="shared" si="121"/>
        <v>0</v>
      </c>
      <c r="J503" s="16">
        <f t="shared" si="122"/>
        <v>0</v>
      </c>
      <c r="K503" s="16">
        <f t="shared" si="123"/>
        <v>0</v>
      </c>
      <c r="L503" s="67">
        <f t="shared" si="124"/>
        <v>0</v>
      </c>
      <c r="M503" s="4">
        <f t="shared" si="125"/>
        <v>0</v>
      </c>
      <c r="N503" s="4">
        <f t="shared" si="126"/>
        <v>0</v>
      </c>
      <c r="O503" s="4">
        <f t="shared" si="127"/>
        <v>0</v>
      </c>
      <c r="P503" s="4" t="e">
        <f>VLOOKUP(AJ495,'CIR Team Info'!$C$5:$E$44,2,FALSE)</f>
        <v>#N/A</v>
      </c>
      <c r="Q503" s="4" t="e">
        <f>VLOOKUP(AJ495,'CIR Team Info'!$C$5:$E$44,3,FALSE)</f>
        <v>#N/A</v>
      </c>
      <c r="R503" s="10" t="e">
        <f>VLOOKUP(AJ495,'FRC Site Data'!$B$3:$L$42,2,FALSE)</f>
        <v>#N/A</v>
      </c>
      <c r="S503" s="10" t="e">
        <f>VLOOKUP(AJ495,'FRC Site Data'!$B$3:$L$42,3,FALSE)</f>
        <v>#N/A</v>
      </c>
      <c r="T503" s="10" t="e">
        <f>VLOOKUP(AJ495,'FRC Site Data'!$B$3:$L$42,4,FALSE)</f>
        <v>#N/A</v>
      </c>
      <c r="U503" s="10" t="e">
        <f>VLOOKUP(AJ495,'FRC Site Data'!$B$3:$L$42,5,FALSE)</f>
        <v>#N/A</v>
      </c>
      <c r="V503" s="10" t="e">
        <f>VLOOKUP(AJ495,'FRC Site Data'!$B$3:$L$42,6,FALSE)</f>
        <v>#N/A</v>
      </c>
      <c r="W503" s="10" t="e">
        <f>VLOOKUP(AJ495,'FRC Site Data'!$B$3:$L$42,8,FALSE)</f>
        <v>#N/A</v>
      </c>
      <c r="X503" s="10" t="e">
        <f>VLOOKUP(AJ495,'FRC Site Data'!$B$3:$L$42,9,FALSE)</f>
        <v>#N/A</v>
      </c>
      <c r="Y503" s="10" t="e">
        <f>VLOOKUP(AJ495,'FRC Site Data'!$B$3:$L$42,10,FALSE)</f>
        <v>#N/A</v>
      </c>
      <c r="Z503" s="10" t="e">
        <f>VLOOKUP(AJ495,'FRC Site Data'!$B$3:$L$42,11,FALSE)</f>
        <v>#N/A</v>
      </c>
      <c r="AA503" s="10" t="e">
        <f>VLOOKUP(AJ495,'CIR Team Info'!$C$5:$E$44,4,FALSE)</f>
        <v>#N/A</v>
      </c>
      <c r="AB503" s="161" t="b">
        <f>ISNUMBER(VLOOKUP(AJ495,Match!$T$5:$T$10,1,FALSE))</f>
        <v>0</v>
      </c>
      <c r="AC503" s="161" t="b">
        <f>IF(AB503=TRUE,(VLOOKUP($AJ495,Match!$T$5:$U$10,2,FALSE)))</f>
        <v>0</v>
      </c>
      <c r="AD503" s="8">
        <v>3</v>
      </c>
      <c r="AE503" s="8">
        <v>2</v>
      </c>
      <c r="AF503" s="8">
        <v>2</v>
      </c>
      <c r="AG503" s="8">
        <v>1</v>
      </c>
      <c r="AH503" s="8" t="str">
        <f t="shared" si="128"/>
        <v/>
      </c>
      <c r="AI503" s="12"/>
      <c r="AZ503" s="12"/>
      <c r="BC503" s="12"/>
      <c r="BK503" s="12"/>
    </row>
    <row r="504" spans="1:63" x14ac:dyDescent="0.25">
      <c r="A504" s="29">
        <f t="shared" si="129"/>
        <v>0</v>
      </c>
      <c r="B504" s="29">
        <f t="shared" si="115"/>
        <v>0</v>
      </c>
      <c r="C504" s="29">
        <f t="shared" si="116"/>
        <v>0</v>
      </c>
      <c r="D504" s="29">
        <f t="shared" si="117"/>
        <v>0</v>
      </c>
      <c r="E504" s="29">
        <f t="shared" si="114"/>
        <v>0</v>
      </c>
      <c r="F504" s="29">
        <f t="shared" si="118"/>
        <v>0</v>
      </c>
      <c r="G504" s="29" t="str">
        <f t="shared" si="119"/>
        <v>offensive</v>
      </c>
      <c r="H504" s="16">
        <f t="shared" si="120"/>
        <v>0</v>
      </c>
      <c r="I504" s="16">
        <f t="shared" si="121"/>
        <v>0</v>
      </c>
      <c r="J504" s="16">
        <f t="shared" si="122"/>
        <v>0</v>
      </c>
      <c r="K504" s="16">
        <f t="shared" si="123"/>
        <v>0</v>
      </c>
      <c r="L504" s="67">
        <f t="shared" si="124"/>
        <v>0</v>
      </c>
      <c r="M504" s="4">
        <f t="shared" si="125"/>
        <v>0</v>
      </c>
      <c r="N504" s="4">
        <f t="shared" si="126"/>
        <v>0</v>
      </c>
      <c r="O504" s="4">
        <f t="shared" si="127"/>
        <v>0</v>
      </c>
      <c r="P504" s="4" t="e">
        <f>VLOOKUP(AJ496,'CIR Team Info'!$C$5:$E$44,2,FALSE)</f>
        <v>#N/A</v>
      </c>
      <c r="Q504" s="4" t="e">
        <f>VLOOKUP(AJ496,'CIR Team Info'!$C$5:$E$44,3,FALSE)</f>
        <v>#N/A</v>
      </c>
      <c r="R504" s="10" t="e">
        <f>VLOOKUP(AJ496,'FRC Site Data'!$B$3:$L$42,2,FALSE)</f>
        <v>#N/A</v>
      </c>
      <c r="S504" s="10" t="e">
        <f>VLOOKUP(AJ496,'FRC Site Data'!$B$3:$L$42,3,FALSE)</f>
        <v>#N/A</v>
      </c>
      <c r="T504" s="10" t="e">
        <f>VLOOKUP(AJ496,'FRC Site Data'!$B$3:$L$42,4,FALSE)</f>
        <v>#N/A</v>
      </c>
      <c r="U504" s="10" t="e">
        <f>VLOOKUP(AJ496,'FRC Site Data'!$B$3:$L$42,5,FALSE)</f>
        <v>#N/A</v>
      </c>
      <c r="V504" s="10" t="e">
        <f>VLOOKUP(AJ496,'FRC Site Data'!$B$3:$L$42,6,FALSE)</f>
        <v>#N/A</v>
      </c>
      <c r="W504" s="10" t="e">
        <f>VLOOKUP(AJ496,'FRC Site Data'!$B$3:$L$42,8,FALSE)</f>
        <v>#N/A</v>
      </c>
      <c r="X504" s="10" t="e">
        <f>VLOOKUP(AJ496,'FRC Site Data'!$B$3:$L$42,9,FALSE)</f>
        <v>#N/A</v>
      </c>
      <c r="Y504" s="10" t="e">
        <f>VLOOKUP(AJ496,'FRC Site Data'!$B$3:$L$42,10,FALSE)</f>
        <v>#N/A</v>
      </c>
      <c r="Z504" s="10" t="e">
        <f>VLOOKUP(AJ496,'FRC Site Data'!$B$3:$L$42,11,FALSE)</f>
        <v>#N/A</v>
      </c>
      <c r="AA504" s="10" t="e">
        <f>VLOOKUP(AJ496,'CIR Team Info'!$C$5:$E$44,4,FALSE)</f>
        <v>#N/A</v>
      </c>
      <c r="AB504" s="161" t="b">
        <f>ISNUMBER(VLOOKUP(AJ496,Match!$T$5:$T$10,1,FALSE))</f>
        <v>0</v>
      </c>
      <c r="AC504" s="161" t="b">
        <f>IF(AB504=TRUE,(VLOOKUP($AJ496,Match!$T$5:$U$10,2,FALSE)))</f>
        <v>0</v>
      </c>
      <c r="AD504" s="8">
        <v>3</v>
      </c>
      <c r="AE504" s="8">
        <v>2</v>
      </c>
      <c r="AF504" s="8">
        <v>2</v>
      </c>
      <c r="AG504" s="8">
        <v>1</v>
      </c>
      <c r="AH504" s="8" t="str">
        <f t="shared" si="128"/>
        <v/>
      </c>
      <c r="AI504" s="12"/>
      <c r="AZ504" s="12"/>
      <c r="BC504" s="12"/>
      <c r="BK504" s="12"/>
    </row>
    <row r="505" spans="1:63" x14ac:dyDescent="0.25">
      <c r="A505" s="29">
        <f t="shared" si="129"/>
        <v>0</v>
      </c>
      <c r="B505" s="29">
        <f t="shared" si="115"/>
        <v>0</v>
      </c>
      <c r="C505" s="29">
        <f t="shared" si="116"/>
        <v>0</v>
      </c>
      <c r="D505" s="29">
        <f t="shared" si="117"/>
        <v>0</v>
      </c>
      <c r="E505" s="29">
        <f t="shared" si="114"/>
        <v>0</v>
      </c>
      <c r="F505" s="29">
        <f t="shared" si="118"/>
        <v>0</v>
      </c>
      <c r="G505" s="29" t="str">
        <f t="shared" si="119"/>
        <v>offensive</v>
      </c>
      <c r="H505" s="16">
        <f t="shared" si="120"/>
        <v>0</v>
      </c>
      <c r="I505" s="16">
        <f t="shared" si="121"/>
        <v>0</v>
      </c>
      <c r="J505" s="16">
        <f t="shared" si="122"/>
        <v>0</v>
      </c>
      <c r="K505" s="16">
        <f t="shared" si="123"/>
        <v>0</v>
      </c>
      <c r="L505" s="67">
        <f t="shared" si="124"/>
        <v>0</v>
      </c>
      <c r="M505" s="4">
        <f t="shared" si="125"/>
        <v>0</v>
      </c>
      <c r="N505" s="4">
        <f t="shared" si="126"/>
        <v>0</v>
      </c>
      <c r="O505" s="4">
        <f t="shared" si="127"/>
        <v>0</v>
      </c>
      <c r="P505" s="4" t="e">
        <f>VLOOKUP(AJ497,'CIR Team Info'!$C$5:$E$44,2,FALSE)</f>
        <v>#N/A</v>
      </c>
      <c r="Q505" s="4" t="e">
        <f>VLOOKUP(AJ497,'CIR Team Info'!$C$5:$E$44,3,FALSE)</f>
        <v>#N/A</v>
      </c>
      <c r="R505" s="10" t="e">
        <f>VLOOKUP(AJ497,'FRC Site Data'!$B$3:$L$42,2,FALSE)</f>
        <v>#N/A</v>
      </c>
      <c r="S505" s="10" t="e">
        <f>VLOOKUP(AJ497,'FRC Site Data'!$B$3:$L$42,3,FALSE)</f>
        <v>#N/A</v>
      </c>
      <c r="T505" s="10" t="e">
        <f>VLOOKUP(AJ497,'FRC Site Data'!$B$3:$L$42,4,FALSE)</f>
        <v>#N/A</v>
      </c>
      <c r="U505" s="10" t="e">
        <f>VLOOKUP(AJ497,'FRC Site Data'!$B$3:$L$42,5,FALSE)</f>
        <v>#N/A</v>
      </c>
      <c r="V505" s="10" t="e">
        <f>VLOOKUP(AJ497,'FRC Site Data'!$B$3:$L$42,6,FALSE)</f>
        <v>#N/A</v>
      </c>
      <c r="W505" s="10" t="e">
        <f>VLOOKUP(AJ497,'FRC Site Data'!$B$3:$L$42,8,FALSE)</f>
        <v>#N/A</v>
      </c>
      <c r="X505" s="10" t="e">
        <f>VLOOKUP(AJ497,'FRC Site Data'!$B$3:$L$42,9,FALSE)</f>
        <v>#N/A</v>
      </c>
      <c r="Y505" s="10" t="e">
        <f>VLOOKUP(AJ497,'FRC Site Data'!$B$3:$L$42,10,FALSE)</f>
        <v>#N/A</v>
      </c>
      <c r="Z505" s="10" t="e">
        <f>VLOOKUP(AJ497,'FRC Site Data'!$B$3:$L$42,11,FALSE)</f>
        <v>#N/A</v>
      </c>
      <c r="AA505" s="10" t="e">
        <f>VLOOKUP(AJ497,'CIR Team Info'!$C$5:$E$44,4,FALSE)</f>
        <v>#N/A</v>
      </c>
      <c r="AB505" s="161" t="b">
        <f>ISNUMBER(VLOOKUP(AJ497,Match!$T$5:$T$10,1,FALSE))</f>
        <v>0</v>
      </c>
      <c r="AC505" s="161" t="b">
        <f>IF(AB505=TRUE,(VLOOKUP($AJ497,Match!$T$5:$U$10,2,FALSE)))</f>
        <v>0</v>
      </c>
      <c r="AD505" s="8">
        <v>3</v>
      </c>
      <c r="AE505" s="8">
        <v>2</v>
      </c>
      <c r="AF505" s="8">
        <v>2</v>
      </c>
      <c r="AG505" s="8">
        <v>1</v>
      </c>
      <c r="AH505" s="8" t="str">
        <f t="shared" si="128"/>
        <v/>
      </c>
      <c r="AI505" s="12"/>
      <c r="AZ505" s="12"/>
      <c r="BC505" s="12"/>
      <c r="BK505" s="12"/>
    </row>
    <row r="506" spans="1:63" x14ac:dyDescent="0.25">
      <c r="A506" s="29">
        <f t="shared" si="129"/>
        <v>0</v>
      </c>
      <c r="B506" s="29">
        <f t="shared" si="115"/>
        <v>0</v>
      </c>
      <c r="C506" s="29">
        <f t="shared" si="116"/>
        <v>0</v>
      </c>
      <c r="D506" s="29">
        <f t="shared" si="117"/>
        <v>0</v>
      </c>
      <c r="E506" s="29">
        <f t="shared" si="114"/>
        <v>0</v>
      </c>
      <c r="F506" s="29">
        <f t="shared" si="118"/>
        <v>0</v>
      </c>
      <c r="G506" s="29" t="str">
        <f t="shared" si="119"/>
        <v>offensive</v>
      </c>
      <c r="H506" s="16">
        <f t="shared" si="120"/>
        <v>0</v>
      </c>
      <c r="I506" s="16">
        <f t="shared" si="121"/>
        <v>0</v>
      </c>
      <c r="J506" s="16">
        <f t="shared" si="122"/>
        <v>0</v>
      </c>
      <c r="K506" s="16">
        <f t="shared" si="123"/>
        <v>0</v>
      </c>
      <c r="L506" s="67">
        <f t="shared" si="124"/>
        <v>0</v>
      </c>
      <c r="M506" s="4">
        <f t="shared" si="125"/>
        <v>0</v>
      </c>
      <c r="N506" s="4">
        <f t="shared" si="126"/>
        <v>0</v>
      </c>
      <c r="O506" s="4">
        <f t="shared" si="127"/>
        <v>0</v>
      </c>
      <c r="P506" s="4" t="e">
        <f>VLOOKUP(AJ498,'CIR Team Info'!$C$5:$E$44,2,FALSE)</f>
        <v>#N/A</v>
      </c>
      <c r="Q506" s="4" t="e">
        <f>VLOOKUP(AJ498,'CIR Team Info'!$C$5:$E$44,3,FALSE)</f>
        <v>#N/A</v>
      </c>
      <c r="R506" s="10" t="e">
        <f>VLOOKUP(AJ498,'FRC Site Data'!$B$3:$L$42,2,FALSE)</f>
        <v>#N/A</v>
      </c>
      <c r="S506" s="10" t="e">
        <f>VLOOKUP(AJ498,'FRC Site Data'!$B$3:$L$42,3,FALSE)</f>
        <v>#N/A</v>
      </c>
      <c r="T506" s="10" t="e">
        <f>VLOOKUP(AJ498,'FRC Site Data'!$B$3:$L$42,4,FALSE)</f>
        <v>#N/A</v>
      </c>
      <c r="U506" s="10" t="e">
        <f>VLOOKUP(AJ498,'FRC Site Data'!$B$3:$L$42,5,FALSE)</f>
        <v>#N/A</v>
      </c>
      <c r="V506" s="10" t="e">
        <f>VLOOKUP(AJ498,'FRC Site Data'!$B$3:$L$42,6,FALSE)</f>
        <v>#N/A</v>
      </c>
      <c r="W506" s="10" t="e">
        <f>VLOOKUP(AJ498,'FRC Site Data'!$B$3:$L$42,8,FALSE)</f>
        <v>#N/A</v>
      </c>
      <c r="X506" s="10" t="e">
        <f>VLOOKUP(AJ498,'FRC Site Data'!$B$3:$L$42,9,FALSE)</f>
        <v>#N/A</v>
      </c>
      <c r="Y506" s="10" t="e">
        <f>VLOOKUP(AJ498,'FRC Site Data'!$B$3:$L$42,10,FALSE)</f>
        <v>#N/A</v>
      </c>
      <c r="Z506" s="10" t="e">
        <f>VLOOKUP(AJ498,'FRC Site Data'!$B$3:$L$42,11,FALSE)</f>
        <v>#N/A</v>
      </c>
      <c r="AA506" s="10" t="e">
        <f>VLOOKUP(AJ498,'CIR Team Info'!$C$5:$E$44,4,FALSE)</f>
        <v>#N/A</v>
      </c>
      <c r="AB506" s="161" t="b">
        <f>ISNUMBER(VLOOKUP(AJ498,Match!$T$5:$T$10,1,FALSE))</f>
        <v>0</v>
      </c>
      <c r="AC506" s="161" t="b">
        <f>IF(AB506=TRUE,(VLOOKUP($AJ498,Match!$T$5:$U$10,2,FALSE)))</f>
        <v>0</v>
      </c>
      <c r="AD506" s="8">
        <v>3</v>
      </c>
      <c r="AE506" s="8">
        <v>2</v>
      </c>
      <c r="AF506" s="8">
        <v>2</v>
      </c>
      <c r="AG506" s="8">
        <v>1</v>
      </c>
      <c r="AH506" s="8" t="str">
        <f t="shared" si="128"/>
        <v/>
      </c>
      <c r="AI506" s="12"/>
      <c r="AZ506" s="12"/>
      <c r="BC506" s="12"/>
      <c r="BK506" s="12"/>
    </row>
    <row r="507" spans="1:63" x14ac:dyDescent="0.25">
      <c r="A507" s="29">
        <f t="shared" si="129"/>
        <v>0</v>
      </c>
      <c r="B507" s="29">
        <f t="shared" si="115"/>
        <v>0</v>
      </c>
      <c r="C507" s="29">
        <f t="shared" si="116"/>
        <v>0</v>
      </c>
      <c r="D507" s="29">
        <f t="shared" si="117"/>
        <v>0</v>
      </c>
      <c r="E507" s="29">
        <f t="shared" si="114"/>
        <v>0</v>
      </c>
      <c r="F507" s="29">
        <f t="shared" si="118"/>
        <v>0</v>
      </c>
      <c r="G507" s="29" t="str">
        <f t="shared" si="119"/>
        <v>offensive</v>
      </c>
      <c r="H507" s="16">
        <f t="shared" si="120"/>
        <v>0</v>
      </c>
      <c r="I507" s="16">
        <f t="shared" si="121"/>
        <v>0</v>
      </c>
      <c r="J507" s="16">
        <f t="shared" si="122"/>
        <v>0</v>
      </c>
      <c r="K507" s="16">
        <f t="shared" si="123"/>
        <v>0</v>
      </c>
      <c r="L507" s="67">
        <f t="shared" si="124"/>
        <v>0</v>
      </c>
      <c r="M507" s="4">
        <f t="shared" si="125"/>
        <v>0</v>
      </c>
      <c r="N507" s="4">
        <f t="shared" si="126"/>
        <v>0</v>
      </c>
      <c r="O507" s="4">
        <f t="shared" si="127"/>
        <v>0</v>
      </c>
      <c r="P507" s="4" t="e">
        <f>VLOOKUP(AJ499,'CIR Team Info'!$C$5:$E$44,2,FALSE)</f>
        <v>#N/A</v>
      </c>
      <c r="Q507" s="4" t="e">
        <f>VLOOKUP(AJ499,'CIR Team Info'!$C$5:$E$44,3,FALSE)</f>
        <v>#N/A</v>
      </c>
      <c r="R507" s="10" t="e">
        <f>VLOOKUP(AJ499,'FRC Site Data'!$B$3:$L$42,2,FALSE)</f>
        <v>#N/A</v>
      </c>
      <c r="S507" s="10" t="e">
        <f>VLOOKUP(AJ499,'FRC Site Data'!$B$3:$L$42,3,FALSE)</f>
        <v>#N/A</v>
      </c>
      <c r="T507" s="10" t="e">
        <f>VLOOKUP(AJ499,'FRC Site Data'!$B$3:$L$42,4,FALSE)</f>
        <v>#N/A</v>
      </c>
      <c r="U507" s="10" t="e">
        <f>VLOOKUP(AJ499,'FRC Site Data'!$B$3:$L$42,5,FALSE)</f>
        <v>#N/A</v>
      </c>
      <c r="V507" s="10" t="e">
        <f>VLOOKUP(AJ499,'FRC Site Data'!$B$3:$L$42,6,FALSE)</f>
        <v>#N/A</v>
      </c>
      <c r="W507" s="10" t="e">
        <f>VLOOKUP(AJ499,'FRC Site Data'!$B$3:$L$42,8,FALSE)</f>
        <v>#N/A</v>
      </c>
      <c r="X507" s="10" t="e">
        <f>VLOOKUP(AJ499,'FRC Site Data'!$B$3:$L$42,9,FALSE)</f>
        <v>#N/A</v>
      </c>
      <c r="Y507" s="10" t="e">
        <f>VLOOKUP(AJ499,'FRC Site Data'!$B$3:$L$42,10,FALSE)</f>
        <v>#N/A</v>
      </c>
      <c r="Z507" s="10" t="e">
        <f>VLOOKUP(AJ499,'FRC Site Data'!$B$3:$L$42,11,FALSE)</f>
        <v>#N/A</v>
      </c>
      <c r="AA507" s="10" t="e">
        <f>VLOOKUP(AJ499,'CIR Team Info'!$C$5:$E$44,4,FALSE)</f>
        <v>#N/A</v>
      </c>
      <c r="AB507" s="161" t="b">
        <f>ISNUMBER(VLOOKUP(AJ499,Match!$T$5:$T$10,1,FALSE))</f>
        <v>0</v>
      </c>
      <c r="AC507" s="161" t="b">
        <f>IF(AB507=TRUE,(VLOOKUP($AJ499,Match!$T$5:$U$10,2,FALSE)))</f>
        <v>0</v>
      </c>
      <c r="AD507" s="8">
        <v>3</v>
      </c>
      <c r="AE507" s="8">
        <v>2</v>
      </c>
      <c r="AF507" s="8">
        <v>2</v>
      </c>
      <c r="AG507" s="8">
        <v>1</v>
      </c>
      <c r="AH507" s="8" t="str">
        <f t="shared" si="128"/>
        <v/>
      </c>
      <c r="AI507" s="12"/>
      <c r="AZ507" s="12"/>
      <c r="BC507" s="12"/>
      <c r="BK507" s="12"/>
    </row>
    <row r="508" spans="1:63" x14ac:dyDescent="0.25">
      <c r="A508" s="29">
        <f t="shared" si="129"/>
        <v>0</v>
      </c>
      <c r="B508" s="29">
        <f t="shared" si="115"/>
        <v>0</v>
      </c>
      <c r="C508" s="29">
        <f t="shared" si="116"/>
        <v>0</v>
      </c>
      <c r="D508" s="29">
        <f t="shared" si="117"/>
        <v>0</v>
      </c>
      <c r="E508" s="29">
        <f t="shared" si="114"/>
        <v>0</v>
      </c>
      <c r="F508" s="29">
        <f t="shared" si="118"/>
        <v>0</v>
      </c>
      <c r="G508" s="29" t="str">
        <f t="shared" si="119"/>
        <v>offensive</v>
      </c>
      <c r="H508" s="16">
        <f t="shared" si="120"/>
        <v>0</v>
      </c>
      <c r="I508" s="16">
        <f t="shared" si="121"/>
        <v>0</v>
      </c>
      <c r="J508" s="16">
        <f t="shared" si="122"/>
        <v>0</v>
      </c>
      <c r="K508" s="16">
        <f t="shared" si="123"/>
        <v>0</v>
      </c>
      <c r="L508" s="67">
        <f t="shared" si="124"/>
        <v>0</v>
      </c>
      <c r="M508" s="4">
        <f t="shared" si="125"/>
        <v>0</v>
      </c>
      <c r="N508" s="4">
        <f t="shared" si="126"/>
        <v>0</v>
      </c>
      <c r="O508" s="4">
        <f t="shared" si="127"/>
        <v>0</v>
      </c>
      <c r="P508" s="4" t="e">
        <f>VLOOKUP(AJ500,'CIR Team Info'!$C$5:$E$44,2,FALSE)</f>
        <v>#N/A</v>
      </c>
      <c r="Q508" s="4" t="e">
        <f>VLOOKUP(AJ500,'CIR Team Info'!$C$5:$E$44,3,FALSE)</f>
        <v>#N/A</v>
      </c>
      <c r="R508" s="10" t="e">
        <f>VLOOKUP(AJ500,'FRC Site Data'!$B$3:$L$42,2,FALSE)</f>
        <v>#N/A</v>
      </c>
      <c r="S508" s="10" t="e">
        <f>VLOOKUP(AJ500,'FRC Site Data'!$B$3:$L$42,3,FALSE)</f>
        <v>#N/A</v>
      </c>
      <c r="T508" s="10" t="e">
        <f>VLOOKUP(AJ500,'FRC Site Data'!$B$3:$L$42,4,FALSE)</f>
        <v>#N/A</v>
      </c>
      <c r="U508" s="10" t="e">
        <f>VLOOKUP(AJ500,'FRC Site Data'!$B$3:$L$42,5,FALSE)</f>
        <v>#N/A</v>
      </c>
      <c r="V508" s="10" t="e">
        <f>VLOOKUP(AJ500,'FRC Site Data'!$B$3:$L$42,6,FALSE)</f>
        <v>#N/A</v>
      </c>
      <c r="W508" s="10" t="e">
        <f>VLOOKUP(AJ500,'FRC Site Data'!$B$3:$L$42,8,FALSE)</f>
        <v>#N/A</v>
      </c>
      <c r="X508" s="10" t="e">
        <f>VLOOKUP(AJ500,'FRC Site Data'!$B$3:$L$42,9,FALSE)</f>
        <v>#N/A</v>
      </c>
      <c r="Y508" s="10" t="e">
        <f>VLOOKUP(AJ500,'FRC Site Data'!$B$3:$L$42,10,FALSE)</f>
        <v>#N/A</v>
      </c>
      <c r="Z508" s="10" t="e">
        <f>VLOOKUP(AJ500,'FRC Site Data'!$B$3:$L$42,11,FALSE)</f>
        <v>#N/A</v>
      </c>
      <c r="AA508" s="10" t="e">
        <f>VLOOKUP(AJ500,'CIR Team Info'!$C$5:$E$44,4,FALSE)</f>
        <v>#N/A</v>
      </c>
      <c r="AB508" s="161" t="b">
        <f>ISNUMBER(VLOOKUP(AJ500,Match!$T$5:$T$10,1,FALSE))</f>
        <v>0</v>
      </c>
      <c r="AC508" s="161" t="b">
        <f>IF(AB508=TRUE,(VLOOKUP($AJ500,Match!$T$5:$U$10,2,FALSE)))</f>
        <v>0</v>
      </c>
      <c r="AD508" s="8">
        <v>3</v>
      </c>
      <c r="AE508" s="8">
        <v>2</v>
      </c>
      <c r="AF508" s="8">
        <v>2</v>
      </c>
      <c r="AG508" s="8">
        <v>1</v>
      </c>
      <c r="AH508" s="8" t="str">
        <f t="shared" si="128"/>
        <v/>
      </c>
      <c r="AI508" s="12"/>
      <c r="AZ508" s="12"/>
      <c r="BC508" s="12"/>
      <c r="BK508" s="12"/>
    </row>
    <row r="509" spans="1:63" x14ac:dyDescent="0.25">
      <c r="A509" s="29">
        <f t="shared" si="129"/>
        <v>0</v>
      </c>
      <c r="B509" s="29">
        <f t="shared" si="115"/>
        <v>0</v>
      </c>
      <c r="C509" s="29">
        <f t="shared" si="116"/>
        <v>0</v>
      </c>
      <c r="D509" s="29">
        <f t="shared" si="117"/>
        <v>0</v>
      </c>
      <c r="E509" s="29">
        <f t="shared" si="114"/>
        <v>0</v>
      </c>
      <c r="F509" s="29">
        <f t="shared" si="118"/>
        <v>0</v>
      </c>
      <c r="G509" s="29" t="str">
        <f t="shared" si="119"/>
        <v>offensive</v>
      </c>
      <c r="H509" s="16">
        <f t="shared" si="120"/>
        <v>0</v>
      </c>
      <c r="I509" s="16">
        <f t="shared" si="121"/>
        <v>0</v>
      </c>
      <c r="J509" s="16">
        <f t="shared" si="122"/>
        <v>0</v>
      </c>
      <c r="K509" s="16">
        <f t="shared" si="123"/>
        <v>0</v>
      </c>
      <c r="L509" s="67">
        <f t="shared" si="124"/>
        <v>0</v>
      </c>
      <c r="M509" s="4">
        <f t="shared" si="125"/>
        <v>0</v>
      </c>
      <c r="N509" s="4">
        <f t="shared" si="126"/>
        <v>0</v>
      </c>
      <c r="O509" s="4">
        <f t="shared" si="127"/>
        <v>0</v>
      </c>
      <c r="P509" s="4" t="e">
        <f>VLOOKUP(AJ501,'CIR Team Info'!$C$5:$E$44,2,FALSE)</f>
        <v>#N/A</v>
      </c>
      <c r="Q509" s="4" t="e">
        <f>VLOOKUP(AJ501,'CIR Team Info'!$C$5:$E$44,3,FALSE)</f>
        <v>#N/A</v>
      </c>
      <c r="R509" s="10" t="e">
        <f>VLOOKUP(AJ501,'FRC Site Data'!$B$3:$L$42,2,FALSE)</f>
        <v>#N/A</v>
      </c>
      <c r="S509" s="10" t="e">
        <f>VLOOKUP(AJ501,'FRC Site Data'!$B$3:$L$42,3,FALSE)</f>
        <v>#N/A</v>
      </c>
      <c r="T509" s="10" t="e">
        <f>VLOOKUP(AJ501,'FRC Site Data'!$B$3:$L$42,4,FALSE)</f>
        <v>#N/A</v>
      </c>
      <c r="U509" s="10" t="e">
        <f>VLOOKUP(AJ501,'FRC Site Data'!$B$3:$L$42,5,FALSE)</f>
        <v>#N/A</v>
      </c>
      <c r="V509" s="10" t="e">
        <f>VLOOKUP(AJ501,'FRC Site Data'!$B$3:$L$42,6,FALSE)</f>
        <v>#N/A</v>
      </c>
      <c r="W509" s="10" t="e">
        <f>VLOOKUP(AJ501,'FRC Site Data'!$B$3:$L$42,8,FALSE)</f>
        <v>#N/A</v>
      </c>
      <c r="X509" s="10" t="e">
        <f>VLOOKUP(AJ501,'FRC Site Data'!$B$3:$L$42,9,FALSE)</f>
        <v>#N/A</v>
      </c>
      <c r="Y509" s="10" t="e">
        <f>VLOOKUP(AJ501,'FRC Site Data'!$B$3:$L$42,10,FALSE)</f>
        <v>#N/A</v>
      </c>
      <c r="Z509" s="10" t="e">
        <f>VLOOKUP(AJ501,'FRC Site Data'!$B$3:$L$42,11,FALSE)</f>
        <v>#N/A</v>
      </c>
      <c r="AA509" s="10" t="e">
        <f>VLOOKUP(AJ501,'CIR Team Info'!$C$5:$E$44,4,FALSE)</f>
        <v>#N/A</v>
      </c>
      <c r="AB509" s="161" t="b">
        <f>ISNUMBER(VLOOKUP(AJ501,Match!$T$5:$T$10,1,FALSE))</f>
        <v>0</v>
      </c>
      <c r="AC509" s="161" t="b">
        <f>IF(AB509=TRUE,(VLOOKUP($AJ501,Match!$T$5:$U$10,2,FALSE)))</f>
        <v>0</v>
      </c>
      <c r="AD509" s="8">
        <v>3</v>
      </c>
      <c r="AE509" s="8">
        <v>2</v>
      </c>
      <c r="AF509" s="8">
        <v>2</v>
      </c>
      <c r="AG509" s="8">
        <v>1</v>
      </c>
      <c r="AH509" s="8" t="str">
        <f t="shared" si="128"/>
        <v/>
      </c>
      <c r="AI509" s="12"/>
      <c r="AZ509" s="12"/>
      <c r="BC509" s="12"/>
      <c r="BK509" s="12"/>
    </row>
    <row r="510" spans="1:63" x14ac:dyDescent="0.25">
      <c r="A510" s="29">
        <f t="shared" si="129"/>
        <v>0</v>
      </c>
      <c r="B510" s="29">
        <f t="shared" si="115"/>
        <v>0</v>
      </c>
      <c r="C510" s="29">
        <f t="shared" si="116"/>
        <v>0</v>
      </c>
      <c r="D510" s="29">
        <f t="shared" si="117"/>
        <v>0</v>
      </c>
      <c r="E510" s="29">
        <f t="shared" si="114"/>
        <v>0</v>
      </c>
      <c r="F510" s="29">
        <f t="shared" si="118"/>
        <v>0</v>
      </c>
      <c r="G510" s="29" t="str">
        <f t="shared" si="119"/>
        <v>offensive</v>
      </c>
      <c r="H510" s="16">
        <f t="shared" si="120"/>
        <v>0</v>
      </c>
      <c r="I510" s="16">
        <f t="shared" si="121"/>
        <v>0</v>
      </c>
      <c r="J510" s="16">
        <f t="shared" si="122"/>
        <v>0</v>
      </c>
      <c r="K510" s="16">
        <f t="shared" si="123"/>
        <v>0</v>
      </c>
      <c r="L510" s="67">
        <f t="shared" si="124"/>
        <v>0</v>
      </c>
      <c r="M510" s="4">
        <f t="shared" si="125"/>
        <v>0</v>
      </c>
      <c r="N510" s="4">
        <f t="shared" si="126"/>
        <v>0</v>
      </c>
      <c r="O510" s="4">
        <f t="shared" si="127"/>
        <v>0</v>
      </c>
      <c r="P510" s="4" t="e">
        <f>VLOOKUP(AJ502,'CIR Team Info'!$C$5:$E$44,2,FALSE)</f>
        <v>#N/A</v>
      </c>
      <c r="Q510" s="4" t="e">
        <f>VLOOKUP(AJ502,'CIR Team Info'!$C$5:$E$44,3,FALSE)</f>
        <v>#N/A</v>
      </c>
      <c r="R510" s="10" t="e">
        <f>VLOOKUP(AJ502,'FRC Site Data'!$B$3:$L$42,2,FALSE)</f>
        <v>#N/A</v>
      </c>
      <c r="S510" s="10" t="e">
        <f>VLOOKUP(AJ502,'FRC Site Data'!$B$3:$L$42,3,FALSE)</f>
        <v>#N/A</v>
      </c>
      <c r="T510" s="10" t="e">
        <f>VLOOKUP(AJ502,'FRC Site Data'!$B$3:$L$42,4,FALSE)</f>
        <v>#N/A</v>
      </c>
      <c r="U510" s="10" t="e">
        <f>VLOOKUP(AJ502,'FRC Site Data'!$B$3:$L$42,5,FALSE)</f>
        <v>#N/A</v>
      </c>
      <c r="V510" s="10" t="e">
        <f>VLOOKUP(AJ502,'FRC Site Data'!$B$3:$L$42,6,FALSE)</f>
        <v>#N/A</v>
      </c>
      <c r="W510" s="10" t="e">
        <f>VLOOKUP(AJ502,'FRC Site Data'!$B$3:$L$42,8,FALSE)</f>
        <v>#N/A</v>
      </c>
      <c r="X510" s="10" t="e">
        <f>VLOOKUP(AJ502,'FRC Site Data'!$B$3:$L$42,9,FALSE)</f>
        <v>#N/A</v>
      </c>
      <c r="Y510" s="10" t="e">
        <f>VLOOKUP(AJ502,'FRC Site Data'!$B$3:$L$42,10,FALSE)</f>
        <v>#N/A</v>
      </c>
      <c r="Z510" s="10" t="e">
        <f>VLOOKUP(AJ502,'FRC Site Data'!$B$3:$L$42,11,FALSE)</f>
        <v>#N/A</v>
      </c>
      <c r="AA510" s="10" t="e">
        <f>VLOOKUP(AJ502,'CIR Team Info'!$C$5:$E$44,4,FALSE)</f>
        <v>#N/A</v>
      </c>
      <c r="AB510" s="161" t="b">
        <f>ISNUMBER(VLOOKUP(AJ502,Match!$T$5:$T$10,1,FALSE))</f>
        <v>0</v>
      </c>
      <c r="AC510" s="161" t="b">
        <f>IF(AB510=TRUE,(VLOOKUP($AJ502,Match!$T$5:$U$10,2,FALSE)))</f>
        <v>0</v>
      </c>
      <c r="AD510" s="8">
        <v>3</v>
      </c>
      <c r="AE510" s="8">
        <v>2</v>
      </c>
      <c r="AF510" s="8">
        <v>2</v>
      </c>
      <c r="AG510" s="8">
        <v>1</v>
      </c>
      <c r="AH510" s="8" t="str">
        <f t="shared" si="128"/>
        <v/>
      </c>
      <c r="AI510" s="12"/>
      <c r="AZ510" s="12"/>
      <c r="BC510" s="12"/>
      <c r="BK510" s="12"/>
    </row>
    <row r="511" spans="1:63" x14ac:dyDescent="0.25">
      <c r="A511" s="29">
        <f t="shared" si="129"/>
        <v>0</v>
      </c>
      <c r="B511" s="29">
        <f t="shared" si="115"/>
        <v>0</v>
      </c>
      <c r="C511" s="29">
        <f t="shared" si="116"/>
        <v>0</v>
      </c>
      <c r="D511" s="29">
        <f t="shared" si="117"/>
        <v>0</v>
      </c>
      <c r="E511" s="29">
        <f t="shared" si="114"/>
        <v>0</v>
      </c>
      <c r="F511" s="29">
        <f t="shared" si="118"/>
        <v>0</v>
      </c>
      <c r="G511" s="29" t="str">
        <f t="shared" si="119"/>
        <v>offensive</v>
      </c>
      <c r="H511" s="16">
        <f t="shared" si="120"/>
        <v>0</v>
      </c>
      <c r="I511" s="16">
        <f t="shared" si="121"/>
        <v>0</v>
      </c>
      <c r="J511" s="16">
        <f t="shared" si="122"/>
        <v>0</v>
      </c>
      <c r="K511" s="16">
        <f t="shared" si="123"/>
        <v>0</v>
      </c>
      <c r="L511" s="67">
        <f t="shared" si="124"/>
        <v>0</v>
      </c>
      <c r="M511" s="4">
        <f t="shared" si="125"/>
        <v>0</v>
      </c>
      <c r="N511" s="4">
        <f t="shared" si="126"/>
        <v>0</v>
      </c>
      <c r="O511" s="4">
        <f t="shared" si="127"/>
        <v>0</v>
      </c>
      <c r="P511" s="4" t="e">
        <f>VLOOKUP(AJ503,'CIR Team Info'!$C$5:$E$44,2,FALSE)</f>
        <v>#N/A</v>
      </c>
      <c r="Q511" s="4" t="e">
        <f>VLOOKUP(AJ503,'CIR Team Info'!$C$5:$E$44,3,FALSE)</f>
        <v>#N/A</v>
      </c>
      <c r="R511" s="10" t="e">
        <f>VLOOKUP(AJ503,'FRC Site Data'!$B$3:$L$42,2,FALSE)</f>
        <v>#N/A</v>
      </c>
      <c r="S511" s="10" t="e">
        <f>VLOOKUP(AJ503,'FRC Site Data'!$B$3:$L$42,3,FALSE)</f>
        <v>#N/A</v>
      </c>
      <c r="T511" s="10" t="e">
        <f>VLOOKUP(AJ503,'FRC Site Data'!$B$3:$L$42,4,FALSE)</f>
        <v>#N/A</v>
      </c>
      <c r="U511" s="10" t="e">
        <f>VLOOKUP(AJ503,'FRC Site Data'!$B$3:$L$42,5,FALSE)</f>
        <v>#N/A</v>
      </c>
      <c r="V511" s="10" t="e">
        <f>VLOOKUP(AJ503,'FRC Site Data'!$B$3:$L$42,6,FALSE)</f>
        <v>#N/A</v>
      </c>
      <c r="W511" s="10" t="e">
        <f>VLOOKUP(AJ503,'FRC Site Data'!$B$3:$L$42,8,FALSE)</f>
        <v>#N/A</v>
      </c>
      <c r="X511" s="10" t="e">
        <f>VLOOKUP(AJ503,'FRC Site Data'!$B$3:$L$42,9,FALSE)</f>
        <v>#N/A</v>
      </c>
      <c r="Y511" s="10" t="e">
        <f>VLOOKUP(AJ503,'FRC Site Data'!$B$3:$L$42,10,FALSE)</f>
        <v>#N/A</v>
      </c>
      <c r="Z511" s="10" t="e">
        <f>VLOOKUP(AJ503,'FRC Site Data'!$B$3:$L$42,11,FALSE)</f>
        <v>#N/A</v>
      </c>
      <c r="AA511" s="10" t="e">
        <f>VLOOKUP(AJ503,'CIR Team Info'!$C$5:$E$44,4,FALSE)</f>
        <v>#N/A</v>
      </c>
      <c r="AB511" s="161" t="b">
        <f>ISNUMBER(VLOOKUP(AJ503,Match!$T$5:$T$10,1,FALSE))</f>
        <v>0</v>
      </c>
      <c r="AC511" s="161" t="b">
        <f>IF(AB511=TRUE,(VLOOKUP($AJ503,Match!$T$5:$U$10,2,FALSE)))</f>
        <v>0</v>
      </c>
      <c r="AD511" s="8">
        <v>3</v>
      </c>
      <c r="AE511" s="8">
        <v>2</v>
      </c>
      <c r="AF511" s="8">
        <v>2</v>
      </c>
      <c r="AG511" s="8">
        <v>1</v>
      </c>
      <c r="AH511" s="8" t="str">
        <f t="shared" si="128"/>
        <v/>
      </c>
      <c r="AI511" s="12"/>
      <c r="AZ511" s="12"/>
      <c r="BC511" s="12"/>
      <c r="BK511" s="12"/>
    </row>
    <row r="512" spans="1:63" x14ac:dyDescent="0.25">
      <c r="A512" s="29">
        <f t="shared" si="129"/>
        <v>0</v>
      </c>
      <c r="B512" s="29">
        <f t="shared" si="115"/>
        <v>0</v>
      </c>
      <c r="C512" s="29">
        <f t="shared" si="116"/>
        <v>0</v>
      </c>
      <c r="D512" s="29">
        <f t="shared" si="117"/>
        <v>0</v>
      </c>
      <c r="E512" s="29">
        <f t="shared" si="114"/>
        <v>0</v>
      </c>
      <c r="F512" s="29">
        <f t="shared" si="118"/>
        <v>0</v>
      </c>
      <c r="G512" s="29" t="str">
        <f t="shared" si="119"/>
        <v>offensive</v>
      </c>
      <c r="H512" s="16">
        <f t="shared" si="120"/>
        <v>0</v>
      </c>
      <c r="I512" s="16">
        <f t="shared" si="121"/>
        <v>0</v>
      </c>
      <c r="J512" s="16">
        <f t="shared" si="122"/>
        <v>0</v>
      </c>
      <c r="K512" s="16">
        <f t="shared" si="123"/>
        <v>0</v>
      </c>
      <c r="L512" s="67">
        <f t="shared" si="124"/>
        <v>0</v>
      </c>
      <c r="M512" s="4">
        <f t="shared" si="125"/>
        <v>0</v>
      </c>
      <c r="N512" s="4">
        <f t="shared" si="126"/>
        <v>0</v>
      </c>
      <c r="O512" s="4">
        <f t="shared" si="127"/>
        <v>0</v>
      </c>
      <c r="P512" s="4" t="e">
        <f>VLOOKUP(AJ504,'CIR Team Info'!$C$5:$E$44,2,FALSE)</f>
        <v>#N/A</v>
      </c>
      <c r="Q512" s="4" t="e">
        <f>VLOOKUP(AJ504,'CIR Team Info'!$C$5:$E$44,3,FALSE)</f>
        <v>#N/A</v>
      </c>
      <c r="R512" s="10" t="e">
        <f>VLOOKUP(AJ504,'FRC Site Data'!$B$3:$L$42,2,FALSE)</f>
        <v>#N/A</v>
      </c>
      <c r="S512" s="10" t="e">
        <f>VLOOKUP(AJ504,'FRC Site Data'!$B$3:$L$42,3,FALSE)</f>
        <v>#N/A</v>
      </c>
      <c r="T512" s="10" t="e">
        <f>VLOOKUP(AJ504,'FRC Site Data'!$B$3:$L$42,4,FALSE)</f>
        <v>#N/A</v>
      </c>
      <c r="U512" s="10" t="e">
        <f>VLOOKUP(AJ504,'FRC Site Data'!$B$3:$L$42,5,FALSE)</f>
        <v>#N/A</v>
      </c>
      <c r="V512" s="10" t="e">
        <f>VLOOKUP(AJ504,'FRC Site Data'!$B$3:$L$42,6,FALSE)</f>
        <v>#N/A</v>
      </c>
      <c r="W512" s="10" t="e">
        <f>VLOOKUP(AJ504,'FRC Site Data'!$B$3:$L$42,8,FALSE)</f>
        <v>#N/A</v>
      </c>
      <c r="X512" s="10" t="e">
        <f>VLOOKUP(AJ504,'FRC Site Data'!$B$3:$L$42,9,FALSE)</f>
        <v>#N/A</v>
      </c>
      <c r="Y512" s="10" t="e">
        <f>VLOOKUP(AJ504,'FRC Site Data'!$B$3:$L$42,10,FALSE)</f>
        <v>#N/A</v>
      </c>
      <c r="Z512" s="10" t="e">
        <f>VLOOKUP(AJ504,'FRC Site Data'!$B$3:$L$42,11,FALSE)</f>
        <v>#N/A</v>
      </c>
      <c r="AA512" s="10" t="e">
        <f>VLOOKUP(AJ504,'CIR Team Info'!$C$5:$E$44,4,FALSE)</f>
        <v>#N/A</v>
      </c>
      <c r="AB512" s="161" t="b">
        <f>ISNUMBER(VLOOKUP(AJ504,Match!$T$5:$T$10,1,FALSE))</f>
        <v>0</v>
      </c>
      <c r="AC512" s="161" t="b">
        <f>IF(AB512=TRUE,(VLOOKUP($AJ504,Match!$T$5:$U$10,2,FALSE)))</f>
        <v>0</v>
      </c>
      <c r="AD512" s="8">
        <v>3</v>
      </c>
      <c r="AE512" s="8">
        <v>2</v>
      </c>
      <c r="AF512" s="8">
        <v>2</v>
      </c>
      <c r="AG512" s="8">
        <v>1</v>
      </c>
      <c r="AH512" s="8" t="str">
        <f t="shared" si="128"/>
        <v/>
      </c>
      <c r="AI512" s="12"/>
      <c r="AZ512" s="12"/>
      <c r="BC512" s="12"/>
      <c r="BK512" s="12"/>
    </row>
    <row r="513" spans="1:63" x14ac:dyDescent="0.25">
      <c r="A513" s="29">
        <f t="shared" si="129"/>
        <v>0</v>
      </c>
      <c r="B513" s="29">
        <f t="shared" si="115"/>
        <v>0</v>
      </c>
      <c r="C513" s="29">
        <f t="shared" si="116"/>
        <v>0</v>
      </c>
      <c r="D513" s="29">
        <f t="shared" si="117"/>
        <v>0</v>
      </c>
      <c r="E513" s="29">
        <f t="shared" ref="E513:E576" si="130">K513*O513</f>
        <v>0</v>
      </c>
      <c r="F513" s="29">
        <f t="shared" si="118"/>
        <v>0</v>
      </c>
      <c r="G513" s="29" t="str">
        <f t="shared" si="119"/>
        <v>offensive</v>
      </c>
      <c r="H513" s="16">
        <f t="shared" si="120"/>
        <v>0</v>
      </c>
      <c r="I513" s="16">
        <f t="shared" si="121"/>
        <v>0</v>
      </c>
      <c r="J513" s="16">
        <f t="shared" si="122"/>
        <v>0</v>
      </c>
      <c r="K513" s="16">
        <f t="shared" si="123"/>
        <v>0</v>
      </c>
      <c r="L513" s="67">
        <f t="shared" si="124"/>
        <v>0</v>
      </c>
      <c r="M513" s="4">
        <f t="shared" si="125"/>
        <v>0</v>
      </c>
      <c r="N513" s="4">
        <f t="shared" si="126"/>
        <v>0</v>
      </c>
      <c r="O513" s="4">
        <f t="shared" si="127"/>
        <v>0</v>
      </c>
      <c r="P513" s="4" t="e">
        <f>VLOOKUP(AJ505,'CIR Team Info'!$C$5:$E$44,2,FALSE)</f>
        <v>#N/A</v>
      </c>
      <c r="Q513" s="4" t="e">
        <f>VLOOKUP(AJ505,'CIR Team Info'!$C$5:$E$44,3,FALSE)</f>
        <v>#N/A</v>
      </c>
      <c r="R513" s="10" t="e">
        <f>VLOOKUP(AJ505,'FRC Site Data'!$B$3:$L$42,2,FALSE)</f>
        <v>#N/A</v>
      </c>
      <c r="S513" s="10" t="e">
        <f>VLOOKUP(AJ505,'FRC Site Data'!$B$3:$L$42,3,FALSE)</f>
        <v>#N/A</v>
      </c>
      <c r="T513" s="10" t="e">
        <f>VLOOKUP(AJ505,'FRC Site Data'!$B$3:$L$42,4,FALSE)</f>
        <v>#N/A</v>
      </c>
      <c r="U513" s="10" t="e">
        <f>VLOOKUP(AJ505,'FRC Site Data'!$B$3:$L$42,5,FALSE)</f>
        <v>#N/A</v>
      </c>
      <c r="V513" s="10" t="e">
        <f>VLOOKUP(AJ505,'FRC Site Data'!$B$3:$L$42,6,FALSE)</f>
        <v>#N/A</v>
      </c>
      <c r="W513" s="10" t="e">
        <f>VLOOKUP(AJ505,'FRC Site Data'!$B$3:$L$42,8,FALSE)</f>
        <v>#N/A</v>
      </c>
      <c r="X513" s="10" t="e">
        <f>VLOOKUP(AJ505,'FRC Site Data'!$B$3:$L$42,9,FALSE)</f>
        <v>#N/A</v>
      </c>
      <c r="Y513" s="10" t="e">
        <f>VLOOKUP(AJ505,'FRC Site Data'!$B$3:$L$42,10,FALSE)</f>
        <v>#N/A</v>
      </c>
      <c r="Z513" s="10" t="e">
        <f>VLOOKUP(AJ505,'FRC Site Data'!$B$3:$L$42,11,FALSE)</f>
        <v>#N/A</v>
      </c>
      <c r="AA513" s="10" t="e">
        <f>VLOOKUP(AJ505,'CIR Team Info'!$C$5:$E$44,4,FALSE)</f>
        <v>#N/A</v>
      </c>
      <c r="AB513" s="161" t="b">
        <f>ISNUMBER(VLOOKUP(AJ505,Match!$T$5:$T$10,1,FALSE))</f>
        <v>0</v>
      </c>
      <c r="AC513" s="161" t="b">
        <f>IF(AB513=TRUE,(VLOOKUP($AJ505,Match!$T$5:$U$10,2,FALSE)))</f>
        <v>0</v>
      </c>
      <c r="AD513" s="8">
        <v>3</v>
      </c>
      <c r="AE513" s="8">
        <v>2</v>
      </c>
      <c r="AF513" s="8">
        <v>2</v>
      </c>
      <c r="AG513" s="8">
        <v>1</v>
      </c>
      <c r="AH513" s="8" t="str">
        <f t="shared" si="128"/>
        <v/>
      </c>
      <c r="AI513" s="12"/>
      <c r="AZ513" s="12"/>
      <c r="BC513" s="12"/>
      <c r="BK513" s="12"/>
    </row>
    <row r="514" spans="1:63" x14ac:dyDescent="0.25">
      <c r="A514" s="29">
        <f t="shared" si="129"/>
        <v>0</v>
      </c>
      <c r="B514" s="29">
        <f t="shared" si="115"/>
        <v>0</v>
      </c>
      <c r="C514" s="29">
        <f t="shared" si="116"/>
        <v>0</v>
      </c>
      <c r="D514" s="29">
        <f t="shared" si="117"/>
        <v>0</v>
      </c>
      <c r="E514" s="29">
        <f t="shared" si="130"/>
        <v>0</v>
      </c>
      <c r="F514" s="29">
        <f t="shared" si="118"/>
        <v>0</v>
      </c>
      <c r="G514" s="29" t="str">
        <f t="shared" si="119"/>
        <v>offensive</v>
      </c>
      <c r="H514" s="16">
        <f t="shared" si="120"/>
        <v>0</v>
      </c>
      <c r="I514" s="16">
        <f t="shared" si="121"/>
        <v>0</v>
      </c>
      <c r="J514" s="16">
        <f t="shared" si="122"/>
        <v>0</v>
      </c>
      <c r="K514" s="16">
        <f t="shared" si="123"/>
        <v>0</v>
      </c>
      <c r="L514" s="67">
        <f t="shared" si="124"/>
        <v>0</v>
      </c>
      <c r="M514" s="4">
        <f t="shared" si="125"/>
        <v>0</v>
      </c>
      <c r="N514" s="4">
        <f t="shared" si="126"/>
        <v>0</v>
      </c>
      <c r="O514" s="4">
        <f t="shared" si="127"/>
        <v>0</v>
      </c>
      <c r="P514" s="4" t="e">
        <f>VLOOKUP(AJ506,'CIR Team Info'!$C$5:$E$44,2,FALSE)</f>
        <v>#N/A</v>
      </c>
      <c r="Q514" s="4" t="e">
        <f>VLOOKUP(AJ506,'CIR Team Info'!$C$5:$E$44,3,FALSE)</f>
        <v>#N/A</v>
      </c>
      <c r="R514" s="10" t="e">
        <f>VLOOKUP(AJ506,'FRC Site Data'!$B$3:$L$42,2,FALSE)</f>
        <v>#N/A</v>
      </c>
      <c r="S514" s="10" t="e">
        <f>VLOOKUP(AJ506,'FRC Site Data'!$B$3:$L$42,3,FALSE)</f>
        <v>#N/A</v>
      </c>
      <c r="T514" s="10" t="e">
        <f>VLOOKUP(AJ506,'FRC Site Data'!$B$3:$L$42,4,FALSE)</f>
        <v>#N/A</v>
      </c>
      <c r="U514" s="10" t="e">
        <f>VLOOKUP(AJ506,'FRC Site Data'!$B$3:$L$42,5,FALSE)</f>
        <v>#N/A</v>
      </c>
      <c r="V514" s="10" t="e">
        <f>VLOOKUP(AJ506,'FRC Site Data'!$B$3:$L$42,6,FALSE)</f>
        <v>#N/A</v>
      </c>
      <c r="W514" s="10" t="e">
        <f>VLOOKUP(AJ506,'FRC Site Data'!$B$3:$L$42,8,FALSE)</f>
        <v>#N/A</v>
      </c>
      <c r="X514" s="10" t="e">
        <f>VLOOKUP(AJ506,'FRC Site Data'!$B$3:$L$42,9,FALSE)</f>
        <v>#N/A</v>
      </c>
      <c r="Y514" s="10" t="e">
        <f>VLOOKUP(AJ506,'FRC Site Data'!$B$3:$L$42,10,FALSE)</f>
        <v>#N/A</v>
      </c>
      <c r="Z514" s="10" t="e">
        <f>VLOOKUP(AJ506,'FRC Site Data'!$B$3:$L$42,11,FALSE)</f>
        <v>#N/A</v>
      </c>
      <c r="AA514" s="10" t="e">
        <f>VLOOKUP(AJ506,'CIR Team Info'!$C$5:$E$44,4,FALSE)</f>
        <v>#N/A</v>
      </c>
      <c r="AB514" s="161" t="b">
        <f>ISNUMBER(VLOOKUP(AJ506,Match!$T$5:$T$10,1,FALSE))</f>
        <v>0</v>
      </c>
      <c r="AC514" s="161" t="b">
        <f>IF(AB514=TRUE,(VLOOKUP($AJ506,Match!$T$5:$U$10,2,FALSE)))</f>
        <v>0</v>
      </c>
      <c r="AD514" s="8">
        <v>3</v>
      </c>
      <c r="AE514" s="8">
        <v>2</v>
      </c>
      <c r="AF514" s="8">
        <v>2</v>
      </c>
      <c r="AG514" s="8">
        <v>1</v>
      </c>
      <c r="AH514" s="8" t="str">
        <f t="shared" si="128"/>
        <v/>
      </c>
      <c r="AI514" s="12"/>
      <c r="AZ514" s="12"/>
      <c r="BC514" s="12"/>
      <c r="BK514" s="12"/>
    </row>
    <row r="515" spans="1:63" x14ac:dyDescent="0.25">
      <c r="A515" s="29">
        <f t="shared" si="129"/>
        <v>0</v>
      </c>
      <c r="B515" s="29">
        <f t="shared" si="115"/>
        <v>0</v>
      </c>
      <c r="C515" s="29">
        <f t="shared" si="116"/>
        <v>0</v>
      </c>
      <c r="D515" s="29">
        <f t="shared" si="117"/>
        <v>0</v>
      </c>
      <c r="E515" s="29">
        <f t="shared" si="130"/>
        <v>0</v>
      </c>
      <c r="F515" s="29">
        <f t="shared" si="118"/>
        <v>0</v>
      </c>
      <c r="G515" s="29" t="str">
        <f t="shared" si="119"/>
        <v>offensive</v>
      </c>
      <c r="H515" s="16">
        <f t="shared" si="120"/>
        <v>0</v>
      </c>
      <c r="I515" s="16">
        <f t="shared" si="121"/>
        <v>0</v>
      </c>
      <c r="J515" s="16">
        <f t="shared" si="122"/>
        <v>0</v>
      </c>
      <c r="K515" s="16">
        <f t="shared" si="123"/>
        <v>0</v>
      </c>
      <c r="L515" s="67">
        <f t="shared" si="124"/>
        <v>0</v>
      </c>
      <c r="M515" s="4">
        <f t="shared" si="125"/>
        <v>0</v>
      </c>
      <c r="N515" s="4">
        <f t="shared" si="126"/>
        <v>0</v>
      </c>
      <c r="O515" s="4">
        <f t="shared" si="127"/>
        <v>0</v>
      </c>
      <c r="P515" s="4" t="e">
        <f>VLOOKUP(AJ507,'CIR Team Info'!$C$5:$E$44,2,FALSE)</f>
        <v>#N/A</v>
      </c>
      <c r="Q515" s="4" t="e">
        <f>VLOOKUP(AJ507,'CIR Team Info'!$C$5:$E$44,3,FALSE)</f>
        <v>#N/A</v>
      </c>
      <c r="R515" s="10" t="e">
        <f>VLOOKUP(AJ507,'FRC Site Data'!$B$3:$L$42,2,FALSE)</f>
        <v>#N/A</v>
      </c>
      <c r="S515" s="10" t="e">
        <f>VLOOKUP(AJ507,'FRC Site Data'!$B$3:$L$42,3,FALSE)</f>
        <v>#N/A</v>
      </c>
      <c r="T515" s="10" t="e">
        <f>VLOOKUP(AJ507,'FRC Site Data'!$B$3:$L$42,4,FALSE)</f>
        <v>#N/A</v>
      </c>
      <c r="U515" s="10" t="e">
        <f>VLOOKUP(AJ507,'FRC Site Data'!$B$3:$L$42,5,FALSE)</f>
        <v>#N/A</v>
      </c>
      <c r="V515" s="10" t="e">
        <f>VLOOKUP(AJ507,'FRC Site Data'!$B$3:$L$42,6,FALSE)</f>
        <v>#N/A</v>
      </c>
      <c r="W515" s="10" t="e">
        <f>VLOOKUP(AJ507,'FRC Site Data'!$B$3:$L$42,8,FALSE)</f>
        <v>#N/A</v>
      </c>
      <c r="X515" s="10" t="e">
        <f>VLOOKUP(AJ507,'FRC Site Data'!$B$3:$L$42,9,FALSE)</f>
        <v>#N/A</v>
      </c>
      <c r="Y515" s="10" t="e">
        <f>VLOOKUP(AJ507,'FRC Site Data'!$B$3:$L$42,10,FALSE)</f>
        <v>#N/A</v>
      </c>
      <c r="Z515" s="10" t="e">
        <f>VLOOKUP(AJ507,'FRC Site Data'!$B$3:$L$42,11,FALSE)</f>
        <v>#N/A</v>
      </c>
      <c r="AA515" s="10" t="e">
        <f>VLOOKUP(AJ507,'CIR Team Info'!$C$5:$E$44,4,FALSE)</f>
        <v>#N/A</v>
      </c>
      <c r="AB515" s="161" t="b">
        <f>ISNUMBER(VLOOKUP(AJ507,Match!$T$5:$T$10,1,FALSE))</f>
        <v>0</v>
      </c>
      <c r="AC515" s="161" t="b">
        <f>IF(AB515=TRUE,(VLOOKUP($AJ507,Match!$T$5:$U$10,2,FALSE)))</f>
        <v>0</v>
      </c>
      <c r="AD515" s="8">
        <v>3</v>
      </c>
      <c r="AE515" s="8">
        <v>2</v>
      </c>
      <c r="AF515" s="8">
        <v>2</v>
      </c>
      <c r="AG515" s="8">
        <v>1</v>
      </c>
      <c r="AH515" s="8" t="str">
        <f t="shared" si="128"/>
        <v/>
      </c>
      <c r="AI515" s="12"/>
      <c r="AZ515" s="12"/>
      <c r="BC515" s="12"/>
      <c r="BK515" s="12"/>
    </row>
    <row r="516" spans="1:63" x14ac:dyDescent="0.25">
      <c r="A516" s="29">
        <f t="shared" si="129"/>
        <v>0</v>
      </c>
      <c r="B516" s="29">
        <f t="shared" si="115"/>
        <v>0</v>
      </c>
      <c r="C516" s="29">
        <f t="shared" si="116"/>
        <v>0</v>
      </c>
      <c r="D516" s="29">
        <f t="shared" si="117"/>
        <v>0</v>
      </c>
      <c r="E516" s="29">
        <f t="shared" si="130"/>
        <v>0</v>
      </c>
      <c r="F516" s="29">
        <f t="shared" si="118"/>
        <v>0</v>
      </c>
      <c r="G516" s="29" t="str">
        <f t="shared" si="119"/>
        <v>offensive</v>
      </c>
      <c r="H516" s="16">
        <f t="shared" si="120"/>
        <v>0</v>
      </c>
      <c r="I516" s="16">
        <f t="shared" si="121"/>
        <v>0</v>
      </c>
      <c r="J516" s="16">
        <f t="shared" si="122"/>
        <v>0</v>
      </c>
      <c r="K516" s="16">
        <f t="shared" si="123"/>
        <v>0</v>
      </c>
      <c r="L516" s="67">
        <f t="shared" si="124"/>
        <v>0</v>
      </c>
      <c r="M516" s="4">
        <f t="shared" si="125"/>
        <v>0</v>
      </c>
      <c r="N516" s="4">
        <f t="shared" si="126"/>
        <v>0</v>
      </c>
      <c r="O516" s="4">
        <f t="shared" si="127"/>
        <v>0</v>
      </c>
      <c r="P516" s="4" t="e">
        <f>VLOOKUP(AJ508,'CIR Team Info'!$C$5:$E$44,2,FALSE)</f>
        <v>#N/A</v>
      </c>
      <c r="Q516" s="4" t="e">
        <f>VLOOKUP(AJ508,'CIR Team Info'!$C$5:$E$44,3,FALSE)</f>
        <v>#N/A</v>
      </c>
      <c r="R516" s="10" t="e">
        <f>VLOOKUP(AJ508,'FRC Site Data'!$B$3:$L$42,2,FALSE)</f>
        <v>#N/A</v>
      </c>
      <c r="S516" s="10" t="e">
        <f>VLOOKUP(AJ508,'FRC Site Data'!$B$3:$L$42,3,FALSE)</f>
        <v>#N/A</v>
      </c>
      <c r="T516" s="10" t="e">
        <f>VLOOKUP(AJ508,'FRC Site Data'!$B$3:$L$42,4,FALSE)</f>
        <v>#N/A</v>
      </c>
      <c r="U516" s="10" t="e">
        <f>VLOOKUP(AJ508,'FRC Site Data'!$B$3:$L$42,5,FALSE)</f>
        <v>#N/A</v>
      </c>
      <c r="V516" s="10" t="e">
        <f>VLOOKUP(AJ508,'FRC Site Data'!$B$3:$L$42,6,FALSE)</f>
        <v>#N/A</v>
      </c>
      <c r="W516" s="10" t="e">
        <f>VLOOKUP(AJ508,'FRC Site Data'!$B$3:$L$42,8,FALSE)</f>
        <v>#N/A</v>
      </c>
      <c r="X516" s="10" t="e">
        <f>VLOOKUP(AJ508,'FRC Site Data'!$B$3:$L$42,9,FALSE)</f>
        <v>#N/A</v>
      </c>
      <c r="Y516" s="10" t="e">
        <f>VLOOKUP(AJ508,'FRC Site Data'!$B$3:$L$42,10,FALSE)</f>
        <v>#N/A</v>
      </c>
      <c r="Z516" s="10" t="e">
        <f>VLOOKUP(AJ508,'FRC Site Data'!$B$3:$L$42,11,FALSE)</f>
        <v>#N/A</v>
      </c>
      <c r="AA516" s="10" t="e">
        <f>VLOOKUP(AJ508,'CIR Team Info'!$C$5:$E$44,4,FALSE)</f>
        <v>#N/A</v>
      </c>
      <c r="AB516" s="161" t="b">
        <f>ISNUMBER(VLOOKUP(AJ508,Match!$T$5:$T$10,1,FALSE))</f>
        <v>0</v>
      </c>
      <c r="AC516" s="161" t="b">
        <f>IF(AB516=TRUE,(VLOOKUP($AJ508,Match!$T$5:$U$10,2,FALSE)))</f>
        <v>0</v>
      </c>
      <c r="AD516" s="8">
        <v>3</v>
      </c>
      <c r="AE516" s="8">
        <v>2</v>
      </c>
      <c r="AF516" s="8">
        <v>2</v>
      </c>
      <c r="AG516" s="8">
        <v>1</v>
      </c>
      <c r="AH516" s="8" t="str">
        <f t="shared" si="128"/>
        <v/>
      </c>
      <c r="AI516" s="12"/>
      <c r="AZ516" s="12"/>
      <c r="BC516" s="12"/>
      <c r="BK516" s="12"/>
    </row>
    <row r="517" spans="1:63" x14ac:dyDescent="0.25">
      <c r="A517" s="29">
        <f t="shared" si="129"/>
        <v>0</v>
      </c>
      <c r="B517" s="29">
        <f t="shared" si="115"/>
        <v>0</v>
      </c>
      <c r="C517" s="29">
        <f t="shared" si="116"/>
        <v>0</v>
      </c>
      <c r="D517" s="29">
        <f t="shared" si="117"/>
        <v>0</v>
      </c>
      <c r="E517" s="29">
        <f t="shared" si="130"/>
        <v>0</v>
      </c>
      <c r="F517" s="29">
        <f t="shared" si="118"/>
        <v>0</v>
      </c>
      <c r="G517" s="29" t="str">
        <f t="shared" si="119"/>
        <v>offensive</v>
      </c>
      <c r="H517" s="16">
        <f t="shared" si="120"/>
        <v>0</v>
      </c>
      <c r="I517" s="16">
        <f t="shared" si="121"/>
        <v>0</v>
      </c>
      <c r="J517" s="16">
        <f t="shared" si="122"/>
        <v>0</v>
      </c>
      <c r="K517" s="16">
        <f t="shared" si="123"/>
        <v>0</v>
      </c>
      <c r="L517" s="67">
        <f t="shared" si="124"/>
        <v>0</v>
      </c>
      <c r="M517" s="4">
        <f t="shared" si="125"/>
        <v>0</v>
      </c>
      <c r="N517" s="4">
        <f t="shared" si="126"/>
        <v>0</v>
      </c>
      <c r="O517" s="4">
        <f t="shared" si="127"/>
        <v>0</v>
      </c>
      <c r="P517" s="4" t="e">
        <f>VLOOKUP(AJ509,'CIR Team Info'!$C$5:$E$44,2,FALSE)</f>
        <v>#N/A</v>
      </c>
      <c r="Q517" s="4" t="e">
        <f>VLOOKUP(AJ509,'CIR Team Info'!$C$5:$E$44,3,FALSE)</f>
        <v>#N/A</v>
      </c>
      <c r="R517" s="10" t="e">
        <f>VLOOKUP(AJ509,'FRC Site Data'!$B$3:$L$42,2,FALSE)</f>
        <v>#N/A</v>
      </c>
      <c r="S517" s="10" t="e">
        <f>VLOOKUP(AJ509,'FRC Site Data'!$B$3:$L$42,3,FALSE)</f>
        <v>#N/A</v>
      </c>
      <c r="T517" s="10" t="e">
        <f>VLOOKUP(AJ509,'FRC Site Data'!$B$3:$L$42,4,FALSE)</f>
        <v>#N/A</v>
      </c>
      <c r="U517" s="10" t="e">
        <f>VLOOKUP(AJ509,'FRC Site Data'!$B$3:$L$42,5,FALSE)</f>
        <v>#N/A</v>
      </c>
      <c r="V517" s="10" t="e">
        <f>VLOOKUP(AJ509,'FRC Site Data'!$B$3:$L$42,6,FALSE)</f>
        <v>#N/A</v>
      </c>
      <c r="W517" s="10" t="e">
        <f>VLOOKUP(AJ509,'FRC Site Data'!$B$3:$L$42,8,FALSE)</f>
        <v>#N/A</v>
      </c>
      <c r="X517" s="10" t="e">
        <f>VLOOKUP(AJ509,'FRC Site Data'!$B$3:$L$42,9,FALSE)</f>
        <v>#N/A</v>
      </c>
      <c r="Y517" s="10" t="e">
        <f>VLOOKUP(AJ509,'FRC Site Data'!$B$3:$L$42,10,FALSE)</f>
        <v>#N/A</v>
      </c>
      <c r="Z517" s="10" t="e">
        <f>VLOOKUP(AJ509,'FRC Site Data'!$B$3:$L$42,11,FALSE)</f>
        <v>#N/A</v>
      </c>
      <c r="AA517" s="10" t="e">
        <f>VLOOKUP(AJ509,'CIR Team Info'!$C$5:$E$44,4,FALSE)</f>
        <v>#N/A</v>
      </c>
      <c r="AB517" s="161" t="b">
        <f>ISNUMBER(VLOOKUP(AJ509,Match!$T$5:$T$10,1,FALSE))</f>
        <v>0</v>
      </c>
      <c r="AC517" s="161" t="b">
        <f>IF(AB517=TRUE,(VLOOKUP($AJ509,Match!$T$5:$U$10,2,FALSE)))</f>
        <v>0</v>
      </c>
      <c r="AD517" s="8">
        <v>3</v>
      </c>
      <c r="AE517" s="8">
        <v>2</v>
      </c>
      <c r="AF517" s="8">
        <v>2</v>
      </c>
      <c r="AG517" s="8">
        <v>1</v>
      </c>
      <c r="AH517" s="8" t="str">
        <f t="shared" si="128"/>
        <v/>
      </c>
      <c r="AI517" s="12"/>
      <c r="AZ517" s="12"/>
      <c r="BC517" s="12"/>
      <c r="BK517" s="12"/>
    </row>
    <row r="518" spans="1:63" x14ac:dyDescent="0.25">
      <c r="A518" s="29">
        <f t="shared" si="129"/>
        <v>0</v>
      </c>
      <c r="B518" s="29">
        <f t="shared" si="115"/>
        <v>0</v>
      </c>
      <c r="C518" s="29">
        <f t="shared" si="116"/>
        <v>0</v>
      </c>
      <c r="D518" s="29">
        <f t="shared" si="117"/>
        <v>0</v>
      </c>
      <c r="E518" s="29">
        <f t="shared" si="130"/>
        <v>0</v>
      </c>
      <c r="F518" s="29">
        <f t="shared" si="118"/>
        <v>0</v>
      </c>
      <c r="G518" s="29" t="str">
        <f t="shared" si="119"/>
        <v>offensive</v>
      </c>
      <c r="H518" s="16">
        <f t="shared" si="120"/>
        <v>0</v>
      </c>
      <c r="I518" s="16">
        <f t="shared" si="121"/>
        <v>0</v>
      </c>
      <c r="J518" s="16">
        <f t="shared" si="122"/>
        <v>0</v>
      </c>
      <c r="K518" s="16">
        <f t="shared" si="123"/>
        <v>0</v>
      </c>
      <c r="L518" s="67">
        <f t="shared" si="124"/>
        <v>0</v>
      </c>
      <c r="M518" s="4">
        <f t="shared" si="125"/>
        <v>0</v>
      </c>
      <c r="N518" s="4">
        <f t="shared" si="126"/>
        <v>0</v>
      </c>
      <c r="O518" s="4">
        <f t="shared" si="127"/>
        <v>0</v>
      </c>
      <c r="P518" s="4" t="e">
        <f>VLOOKUP(AJ510,'CIR Team Info'!$C$5:$E$44,2,FALSE)</f>
        <v>#N/A</v>
      </c>
      <c r="Q518" s="4" t="e">
        <f>VLOOKUP(AJ510,'CIR Team Info'!$C$5:$E$44,3,FALSE)</f>
        <v>#N/A</v>
      </c>
      <c r="R518" s="10" t="e">
        <f>VLOOKUP(AJ510,'FRC Site Data'!$B$3:$L$42,2,FALSE)</f>
        <v>#N/A</v>
      </c>
      <c r="S518" s="10" t="e">
        <f>VLOOKUP(AJ510,'FRC Site Data'!$B$3:$L$42,3,FALSE)</f>
        <v>#N/A</v>
      </c>
      <c r="T518" s="10" t="e">
        <f>VLOOKUP(AJ510,'FRC Site Data'!$B$3:$L$42,4,FALSE)</f>
        <v>#N/A</v>
      </c>
      <c r="U518" s="10" t="e">
        <f>VLOOKUP(AJ510,'FRC Site Data'!$B$3:$L$42,5,FALSE)</f>
        <v>#N/A</v>
      </c>
      <c r="V518" s="10" t="e">
        <f>VLOOKUP(AJ510,'FRC Site Data'!$B$3:$L$42,6,FALSE)</f>
        <v>#N/A</v>
      </c>
      <c r="W518" s="10" t="e">
        <f>VLOOKUP(AJ510,'FRC Site Data'!$B$3:$L$42,8,FALSE)</f>
        <v>#N/A</v>
      </c>
      <c r="X518" s="10" t="e">
        <f>VLOOKUP(AJ510,'FRC Site Data'!$B$3:$L$42,9,FALSE)</f>
        <v>#N/A</v>
      </c>
      <c r="Y518" s="10" t="e">
        <f>VLOOKUP(AJ510,'FRC Site Data'!$B$3:$L$42,10,FALSE)</f>
        <v>#N/A</v>
      </c>
      <c r="Z518" s="10" t="e">
        <f>VLOOKUP(AJ510,'FRC Site Data'!$B$3:$L$42,11,FALSE)</f>
        <v>#N/A</v>
      </c>
      <c r="AA518" s="10" t="e">
        <f>VLOOKUP(AJ510,'CIR Team Info'!$C$5:$E$44,4,FALSE)</f>
        <v>#N/A</v>
      </c>
      <c r="AB518" s="161" t="b">
        <f>ISNUMBER(VLOOKUP(AJ510,Match!$T$5:$T$10,1,FALSE))</f>
        <v>0</v>
      </c>
      <c r="AC518" s="161" t="b">
        <f>IF(AB518=TRUE,(VLOOKUP($AJ510,Match!$T$5:$U$10,2,FALSE)))</f>
        <v>0</v>
      </c>
      <c r="AD518" s="8">
        <v>3</v>
      </c>
      <c r="AE518" s="8">
        <v>2</v>
      </c>
      <c r="AF518" s="8">
        <v>2</v>
      </c>
      <c r="AG518" s="8">
        <v>1</v>
      </c>
      <c r="AH518" s="8" t="str">
        <f t="shared" si="128"/>
        <v/>
      </c>
      <c r="AI518" s="12"/>
      <c r="AZ518" s="12"/>
      <c r="BC518" s="12"/>
      <c r="BK518" s="12"/>
    </row>
    <row r="519" spans="1:63" x14ac:dyDescent="0.25">
      <c r="A519" s="29">
        <f t="shared" si="129"/>
        <v>0</v>
      </c>
      <c r="B519" s="29">
        <f t="shared" si="115"/>
        <v>0</v>
      </c>
      <c r="C519" s="29">
        <f t="shared" si="116"/>
        <v>0</v>
      </c>
      <c r="D519" s="29">
        <f t="shared" si="117"/>
        <v>0</v>
      </c>
      <c r="E519" s="29">
        <f t="shared" si="130"/>
        <v>0</v>
      </c>
      <c r="F519" s="29">
        <f t="shared" si="118"/>
        <v>0</v>
      </c>
      <c r="G519" s="29" t="str">
        <f t="shared" si="119"/>
        <v>offensive</v>
      </c>
      <c r="H519" s="16">
        <f t="shared" si="120"/>
        <v>0</v>
      </c>
      <c r="I519" s="16">
        <f t="shared" si="121"/>
        <v>0</v>
      </c>
      <c r="J519" s="16">
        <f t="shared" si="122"/>
        <v>0</v>
      </c>
      <c r="K519" s="16">
        <f t="shared" si="123"/>
        <v>0</v>
      </c>
      <c r="L519" s="67">
        <f t="shared" si="124"/>
        <v>0</v>
      </c>
      <c r="M519" s="4">
        <f t="shared" si="125"/>
        <v>0</v>
      </c>
      <c r="N519" s="4">
        <f t="shared" si="126"/>
        <v>0</v>
      </c>
      <c r="O519" s="4">
        <f t="shared" si="127"/>
        <v>0</v>
      </c>
      <c r="P519" s="4" t="e">
        <f>VLOOKUP(AJ511,'CIR Team Info'!$C$5:$E$44,2,FALSE)</f>
        <v>#N/A</v>
      </c>
      <c r="Q519" s="4" t="e">
        <f>VLOOKUP(AJ511,'CIR Team Info'!$C$5:$E$44,3,FALSE)</f>
        <v>#N/A</v>
      </c>
      <c r="R519" s="10" t="e">
        <f>VLOOKUP(AJ511,'FRC Site Data'!$B$3:$L$42,2,FALSE)</f>
        <v>#N/A</v>
      </c>
      <c r="S519" s="10" t="e">
        <f>VLOOKUP(AJ511,'FRC Site Data'!$B$3:$L$42,3,FALSE)</f>
        <v>#N/A</v>
      </c>
      <c r="T519" s="10" t="e">
        <f>VLOOKUP(AJ511,'FRC Site Data'!$B$3:$L$42,4,FALSE)</f>
        <v>#N/A</v>
      </c>
      <c r="U519" s="10" t="e">
        <f>VLOOKUP(AJ511,'FRC Site Data'!$B$3:$L$42,5,FALSE)</f>
        <v>#N/A</v>
      </c>
      <c r="V519" s="10" t="e">
        <f>VLOOKUP(AJ511,'FRC Site Data'!$B$3:$L$42,6,FALSE)</f>
        <v>#N/A</v>
      </c>
      <c r="W519" s="10" t="e">
        <f>VLOOKUP(AJ511,'FRC Site Data'!$B$3:$L$42,8,FALSE)</f>
        <v>#N/A</v>
      </c>
      <c r="X519" s="10" t="e">
        <f>VLOOKUP(AJ511,'FRC Site Data'!$B$3:$L$42,9,FALSE)</f>
        <v>#N/A</v>
      </c>
      <c r="Y519" s="10" t="e">
        <f>VLOOKUP(AJ511,'FRC Site Data'!$B$3:$L$42,10,FALSE)</f>
        <v>#N/A</v>
      </c>
      <c r="Z519" s="10" t="e">
        <f>VLOOKUP(AJ511,'FRC Site Data'!$B$3:$L$42,11,FALSE)</f>
        <v>#N/A</v>
      </c>
      <c r="AA519" s="10" t="e">
        <f>VLOOKUP(AJ511,'CIR Team Info'!$C$5:$E$44,4,FALSE)</f>
        <v>#N/A</v>
      </c>
      <c r="AB519" s="161" t="b">
        <f>ISNUMBER(VLOOKUP(AJ511,Match!$T$5:$T$10,1,FALSE))</f>
        <v>0</v>
      </c>
      <c r="AC519" s="161" t="b">
        <f>IF(AB519=TRUE,(VLOOKUP($AJ511,Match!$T$5:$U$10,2,FALSE)))</f>
        <v>0</v>
      </c>
      <c r="AD519" s="8">
        <v>3</v>
      </c>
      <c r="AE519" s="8">
        <v>2</v>
      </c>
      <c r="AF519" s="8">
        <v>2</v>
      </c>
      <c r="AG519" s="8">
        <v>1</v>
      </c>
      <c r="AH519" s="8" t="str">
        <f t="shared" si="128"/>
        <v/>
      </c>
      <c r="AI519" s="12"/>
      <c r="AZ519" s="12"/>
      <c r="BC519" s="12"/>
      <c r="BK519" s="12"/>
    </row>
    <row r="520" spans="1:63" x14ac:dyDescent="0.25">
      <c r="A520" s="29">
        <f t="shared" si="129"/>
        <v>0</v>
      </c>
      <c r="B520" s="29">
        <f t="shared" ref="B520:B583" si="131">H520*AD520*AO512</f>
        <v>0</v>
      </c>
      <c r="C520" s="29">
        <f t="shared" ref="C520:C583" si="132">I520*AE520*AV512</f>
        <v>0</v>
      </c>
      <c r="D520" s="29">
        <f t="shared" ref="D520:D583" si="133">J520*AF520*BF512</f>
        <v>0</v>
      </c>
      <c r="E520" s="29">
        <f t="shared" si="130"/>
        <v>0</v>
      </c>
      <c r="F520" s="29">
        <f t="shared" ref="F520:F583" si="134">IF(AN512&gt;0,5)-2*COUNTIF(AQ512,"K")+5*COUNTIF(AS512,"T")+IF(AX512=3,2)+IF(AY512="T",2)</f>
        <v>0</v>
      </c>
      <c r="G520" s="29" t="str">
        <f t="shared" ref="G520:G583" si="135">IF((BB512+BC512)&gt;45,"defensive",IF((BB512+BC512)&gt;15,"both","offensive"))</f>
        <v>offensive</v>
      </c>
      <c r="H520" s="16">
        <f t="shared" ref="H520:H583" si="136">IF((AO512+AP512)=0,0,AO512/(AO512+AP512))</f>
        <v>0</v>
      </c>
      <c r="I520" s="16">
        <f t="shared" ref="I520:I583" si="137">IF((AV512+AW512)=0,0,AV512/(AV512+AW512))</f>
        <v>0</v>
      </c>
      <c r="J520" s="16">
        <f t="shared" ref="J520:J583" si="138">IF(L520=0,0,BG512/L520)</f>
        <v>0</v>
      </c>
      <c r="K520" s="16">
        <f t="shared" ref="K520:K583" si="139">IF((BB512+BC512)=0,0,((AZ512*BB512*0.2)+(BA512*BC512*0.3))/(BB512+BC512))</f>
        <v>0</v>
      </c>
      <c r="L520" s="67">
        <f t="shared" ref="L520:L583" si="140">IF(BF512&gt;BG512,BF512,BG512)</f>
        <v>0</v>
      </c>
      <c r="M520" s="4">
        <f t="shared" ref="M520:M583" si="141">AO512+AV512+BD512+O520</f>
        <v>0</v>
      </c>
      <c r="N520" s="4">
        <f t="shared" ref="N520:N583" si="142">AO512+AV512+BD512</f>
        <v>0</v>
      </c>
      <c r="O520" s="4">
        <f t="shared" ref="O520:O583" si="143">(AZ512*0.2*BB512*30/30)+(BA512*0.3*BC512*12/30)-BI512-BJ512</f>
        <v>0</v>
      </c>
      <c r="P520" s="4" t="e">
        <f>VLOOKUP(AJ512,'CIR Team Info'!$C$5:$E$44,2,FALSE)</f>
        <v>#N/A</v>
      </c>
      <c r="Q520" s="4" t="e">
        <f>VLOOKUP(AJ512,'CIR Team Info'!$C$5:$E$44,3,FALSE)</f>
        <v>#N/A</v>
      </c>
      <c r="R520" s="10" t="e">
        <f>VLOOKUP(AJ512,'FRC Site Data'!$B$3:$L$42,2,FALSE)</f>
        <v>#N/A</v>
      </c>
      <c r="S520" s="10" t="e">
        <f>VLOOKUP(AJ512,'FRC Site Data'!$B$3:$L$42,3,FALSE)</f>
        <v>#N/A</v>
      </c>
      <c r="T520" s="10" t="e">
        <f>VLOOKUP(AJ512,'FRC Site Data'!$B$3:$L$42,4,FALSE)</f>
        <v>#N/A</v>
      </c>
      <c r="U520" s="10" t="e">
        <f>VLOOKUP(AJ512,'FRC Site Data'!$B$3:$L$42,5,FALSE)</f>
        <v>#N/A</v>
      </c>
      <c r="V520" s="10" t="e">
        <f>VLOOKUP(AJ512,'FRC Site Data'!$B$3:$L$42,6,FALSE)</f>
        <v>#N/A</v>
      </c>
      <c r="W520" s="10" t="e">
        <f>VLOOKUP(AJ512,'FRC Site Data'!$B$3:$L$42,8,FALSE)</f>
        <v>#N/A</v>
      </c>
      <c r="X520" s="10" t="e">
        <f>VLOOKUP(AJ512,'FRC Site Data'!$B$3:$L$42,9,FALSE)</f>
        <v>#N/A</v>
      </c>
      <c r="Y520" s="10" t="e">
        <f>VLOOKUP(AJ512,'FRC Site Data'!$B$3:$L$42,10,FALSE)</f>
        <v>#N/A</v>
      </c>
      <c r="Z520" s="10" t="e">
        <f>VLOOKUP(AJ512,'FRC Site Data'!$B$3:$L$42,11,FALSE)</f>
        <v>#N/A</v>
      </c>
      <c r="AA520" s="10" t="e">
        <f>VLOOKUP(AJ512,'CIR Team Info'!$C$5:$E$44,4,FALSE)</f>
        <v>#N/A</v>
      </c>
      <c r="AB520" s="161" t="b">
        <f>ISNUMBER(VLOOKUP(AJ512,Match!$T$5:$T$10,1,FALSE))</f>
        <v>0</v>
      </c>
      <c r="AC520" s="161" t="b">
        <f>IF(AB520=TRUE,(VLOOKUP($AJ512,Match!$T$5:$U$10,2,FALSE)))</f>
        <v>0</v>
      </c>
      <c r="AD520" s="8">
        <v>3</v>
      </c>
      <c r="AE520" s="8">
        <v>2</v>
      </c>
      <c r="AF520" s="8">
        <v>2</v>
      </c>
      <c r="AG520" s="8">
        <v>1</v>
      </c>
      <c r="AH520" s="8" t="str">
        <f t="shared" si="128"/>
        <v/>
      </c>
      <c r="AI520" s="12"/>
      <c r="AZ520" s="12"/>
      <c r="BC520" s="12"/>
      <c r="BK520" s="12"/>
    </row>
    <row r="521" spans="1:63" x14ac:dyDescent="0.25">
      <c r="A521" s="29">
        <f t="shared" si="129"/>
        <v>0</v>
      </c>
      <c r="B521" s="29">
        <f t="shared" si="131"/>
        <v>0</v>
      </c>
      <c r="C521" s="29">
        <f t="shared" si="132"/>
        <v>0</v>
      </c>
      <c r="D521" s="29">
        <f t="shared" si="133"/>
        <v>0</v>
      </c>
      <c r="E521" s="29">
        <f t="shared" si="130"/>
        <v>0</v>
      </c>
      <c r="F521" s="29">
        <f t="shared" si="134"/>
        <v>0</v>
      </c>
      <c r="G521" s="29" t="str">
        <f t="shared" si="135"/>
        <v>offensive</v>
      </c>
      <c r="H521" s="16">
        <f t="shared" si="136"/>
        <v>0</v>
      </c>
      <c r="I521" s="16">
        <f t="shared" si="137"/>
        <v>0</v>
      </c>
      <c r="J521" s="16">
        <f t="shared" si="138"/>
        <v>0</v>
      </c>
      <c r="K521" s="16">
        <f t="shared" si="139"/>
        <v>0</v>
      </c>
      <c r="L521" s="67">
        <f t="shared" si="140"/>
        <v>0</v>
      </c>
      <c r="M521" s="4">
        <f t="shared" si="141"/>
        <v>0</v>
      </c>
      <c r="N521" s="4">
        <f t="shared" si="142"/>
        <v>0</v>
      </c>
      <c r="O521" s="4">
        <f t="shared" si="143"/>
        <v>0</v>
      </c>
      <c r="P521" s="4" t="e">
        <f>VLOOKUP(AJ513,'CIR Team Info'!$C$5:$E$44,2,FALSE)</f>
        <v>#N/A</v>
      </c>
      <c r="Q521" s="4" t="e">
        <f>VLOOKUP(AJ513,'CIR Team Info'!$C$5:$E$44,3,FALSE)</f>
        <v>#N/A</v>
      </c>
      <c r="R521" s="10" t="e">
        <f>VLOOKUP(AJ513,'FRC Site Data'!$B$3:$L$42,2,FALSE)</f>
        <v>#N/A</v>
      </c>
      <c r="S521" s="10" t="e">
        <f>VLOOKUP(AJ513,'FRC Site Data'!$B$3:$L$42,3,FALSE)</f>
        <v>#N/A</v>
      </c>
      <c r="T521" s="10" t="e">
        <f>VLOOKUP(AJ513,'FRC Site Data'!$B$3:$L$42,4,FALSE)</f>
        <v>#N/A</v>
      </c>
      <c r="U521" s="10" t="e">
        <f>VLOOKUP(AJ513,'FRC Site Data'!$B$3:$L$42,5,FALSE)</f>
        <v>#N/A</v>
      </c>
      <c r="V521" s="10" t="e">
        <f>VLOOKUP(AJ513,'FRC Site Data'!$B$3:$L$42,6,FALSE)</f>
        <v>#N/A</v>
      </c>
      <c r="W521" s="10" t="e">
        <f>VLOOKUP(AJ513,'FRC Site Data'!$B$3:$L$42,8,FALSE)</f>
        <v>#N/A</v>
      </c>
      <c r="X521" s="10" t="e">
        <f>VLOOKUP(AJ513,'FRC Site Data'!$B$3:$L$42,9,FALSE)</f>
        <v>#N/A</v>
      </c>
      <c r="Y521" s="10" t="e">
        <f>VLOOKUP(AJ513,'FRC Site Data'!$B$3:$L$42,10,FALSE)</f>
        <v>#N/A</v>
      </c>
      <c r="Z521" s="10" t="e">
        <f>VLOOKUP(AJ513,'FRC Site Data'!$B$3:$L$42,11,FALSE)</f>
        <v>#N/A</v>
      </c>
      <c r="AA521" s="10" t="e">
        <f>VLOOKUP(AJ513,'CIR Team Info'!$C$5:$E$44,4,FALSE)</f>
        <v>#N/A</v>
      </c>
      <c r="AB521" s="161" t="b">
        <f>ISNUMBER(VLOOKUP(AJ513,Match!$T$5:$T$10,1,FALSE))</f>
        <v>0</v>
      </c>
      <c r="AC521" s="161" t="b">
        <f>IF(AB521=TRUE,(VLOOKUP($AJ513,Match!$T$5:$U$10,2,FALSE)))</f>
        <v>0</v>
      </c>
      <c r="AD521" s="8">
        <v>3</v>
      </c>
      <c r="AE521" s="8">
        <v>2</v>
      </c>
      <c r="AF521" s="8">
        <v>2</v>
      </c>
      <c r="AG521" s="8">
        <v>1</v>
      </c>
      <c r="AH521" s="8" t="str">
        <f t="shared" si="128"/>
        <v/>
      </c>
      <c r="AI521" s="12"/>
      <c r="AZ521" s="12"/>
      <c r="BC521" s="12"/>
      <c r="BK521" s="12"/>
    </row>
    <row r="522" spans="1:63" x14ac:dyDescent="0.25">
      <c r="A522" s="29">
        <f t="shared" si="129"/>
        <v>0</v>
      </c>
      <c r="B522" s="29">
        <f t="shared" si="131"/>
        <v>0</v>
      </c>
      <c r="C522" s="29">
        <f t="shared" si="132"/>
        <v>0</v>
      </c>
      <c r="D522" s="29">
        <f t="shared" si="133"/>
        <v>0</v>
      </c>
      <c r="E522" s="29">
        <f t="shared" si="130"/>
        <v>0</v>
      </c>
      <c r="F522" s="29">
        <f t="shared" si="134"/>
        <v>0</v>
      </c>
      <c r="G522" s="29" t="str">
        <f t="shared" si="135"/>
        <v>offensive</v>
      </c>
      <c r="H522" s="16">
        <f t="shared" si="136"/>
        <v>0</v>
      </c>
      <c r="I522" s="16">
        <f t="shared" si="137"/>
        <v>0</v>
      </c>
      <c r="J522" s="16">
        <f t="shared" si="138"/>
        <v>0</v>
      </c>
      <c r="K522" s="16">
        <f t="shared" si="139"/>
        <v>0</v>
      </c>
      <c r="L522" s="67">
        <f t="shared" si="140"/>
        <v>0</v>
      </c>
      <c r="M522" s="4">
        <f t="shared" si="141"/>
        <v>0</v>
      </c>
      <c r="N522" s="4">
        <f t="shared" si="142"/>
        <v>0</v>
      </c>
      <c r="O522" s="4">
        <f t="shared" si="143"/>
        <v>0</v>
      </c>
      <c r="P522" s="4" t="e">
        <f>VLOOKUP(AJ514,'CIR Team Info'!$C$5:$E$44,2,FALSE)</f>
        <v>#N/A</v>
      </c>
      <c r="Q522" s="4" t="e">
        <f>VLOOKUP(AJ514,'CIR Team Info'!$C$5:$E$44,3,FALSE)</f>
        <v>#N/A</v>
      </c>
      <c r="R522" s="10" t="e">
        <f>VLOOKUP(AJ514,'FRC Site Data'!$B$3:$L$42,2,FALSE)</f>
        <v>#N/A</v>
      </c>
      <c r="S522" s="10" t="e">
        <f>VLOOKUP(AJ514,'FRC Site Data'!$B$3:$L$42,3,FALSE)</f>
        <v>#N/A</v>
      </c>
      <c r="T522" s="10" t="e">
        <f>VLOOKUP(AJ514,'FRC Site Data'!$B$3:$L$42,4,FALSE)</f>
        <v>#N/A</v>
      </c>
      <c r="U522" s="10" t="e">
        <f>VLOOKUP(AJ514,'FRC Site Data'!$B$3:$L$42,5,FALSE)</f>
        <v>#N/A</v>
      </c>
      <c r="V522" s="10" t="e">
        <f>VLOOKUP(AJ514,'FRC Site Data'!$B$3:$L$42,6,FALSE)</f>
        <v>#N/A</v>
      </c>
      <c r="W522" s="10" t="e">
        <f>VLOOKUP(AJ514,'FRC Site Data'!$B$3:$L$42,8,FALSE)</f>
        <v>#N/A</v>
      </c>
      <c r="X522" s="10" t="e">
        <f>VLOOKUP(AJ514,'FRC Site Data'!$B$3:$L$42,9,FALSE)</f>
        <v>#N/A</v>
      </c>
      <c r="Y522" s="10" t="e">
        <f>VLOOKUP(AJ514,'FRC Site Data'!$B$3:$L$42,10,FALSE)</f>
        <v>#N/A</v>
      </c>
      <c r="Z522" s="10" t="e">
        <f>VLOOKUP(AJ514,'FRC Site Data'!$B$3:$L$42,11,FALSE)</f>
        <v>#N/A</v>
      </c>
      <c r="AA522" s="10" t="e">
        <f>VLOOKUP(AJ514,'CIR Team Info'!$C$5:$E$44,4,FALSE)</f>
        <v>#N/A</v>
      </c>
      <c r="AB522" s="161" t="b">
        <f>ISNUMBER(VLOOKUP(AJ514,Match!$T$5:$T$10,1,FALSE))</f>
        <v>0</v>
      </c>
      <c r="AC522" s="161" t="b">
        <f>IF(AB522=TRUE,(VLOOKUP($AJ514,Match!$T$5:$U$10,2,FALSE)))</f>
        <v>0</v>
      </c>
      <c r="AD522" s="8">
        <v>3</v>
      </c>
      <c r="AE522" s="8">
        <v>2</v>
      </c>
      <c r="AF522" s="8">
        <v>2</v>
      </c>
      <c r="AG522" s="8">
        <v>1</v>
      </c>
      <c r="AH522" s="8" t="str">
        <f t="shared" si="128"/>
        <v/>
      </c>
      <c r="AI522" s="12"/>
      <c r="AZ522" s="12"/>
      <c r="BC522" s="12"/>
      <c r="BK522" s="12"/>
    </row>
    <row r="523" spans="1:63" x14ac:dyDescent="0.25">
      <c r="A523" s="29">
        <f t="shared" si="129"/>
        <v>0</v>
      </c>
      <c r="B523" s="29">
        <f t="shared" si="131"/>
        <v>0</v>
      </c>
      <c r="C523" s="29">
        <f t="shared" si="132"/>
        <v>0</v>
      </c>
      <c r="D523" s="29">
        <f t="shared" si="133"/>
        <v>0</v>
      </c>
      <c r="E523" s="29">
        <f t="shared" si="130"/>
        <v>0</v>
      </c>
      <c r="F523" s="29">
        <f t="shared" si="134"/>
        <v>0</v>
      </c>
      <c r="G523" s="29" t="str">
        <f t="shared" si="135"/>
        <v>offensive</v>
      </c>
      <c r="H523" s="16">
        <f t="shared" si="136"/>
        <v>0</v>
      </c>
      <c r="I523" s="16">
        <f t="shared" si="137"/>
        <v>0</v>
      </c>
      <c r="J523" s="16">
        <f t="shared" si="138"/>
        <v>0</v>
      </c>
      <c r="K523" s="16">
        <f t="shared" si="139"/>
        <v>0</v>
      </c>
      <c r="L523" s="67">
        <f t="shared" si="140"/>
        <v>0</v>
      </c>
      <c r="M523" s="4">
        <f t="shared" si="141"/>
        <v>0</v>
      </c>
      <c r="N523" s="4">
        <f t="shared" si="142"/>
        <v>0</v>
      </c>
      <c r="O523" s="4">
        <f t="shared" si="143"/>
        <v>0</v>
      </c>
      <c r="P523" s="4" t="e">
        <f>VLOOKUP(AJ515,'CIR Team Info'!$C$5:$E$44,2,FALSE)</f>
        <v>#N/A</v>
      </c>
      <c r="Q523" s="4" t="e">
        <f>VLOOKUP(AJ515,'CIR Team Info'!$C$5:$E$44,3,FALSE)</f>
        <v>#N/A</v>
      </c>
      <c r="R523" s="10" t="e">
        <f>VLOOKUP(AJ515,'FRC Site Data'!$B$3:$L$42,2,FALSE)</f>
        <v>#N/A</v>
      </c>
      <c r="S523" s="10" t="e">
        <f>VLOOKUP(AJ515,'FRC Site Data'!$B$3:$L$42,3,FALSE)</f>
        <v>#N/A</v>
      </c>
      <c r="T523" s="10" t="e">
        <f>VLOOKUP(AJ515,'FRC Site Data'!$B$3:$L$42,4,FALSE)</f>
        <v>#N/A</v>
      </c>
      <c r="U523" s="10" t="e">
        <f>VLOOKUP(AJ515,'FRC Site Data'!$B$3:$L$42,5,FALSE)</f>
        <v>#N/A</v>
      </c>
      <c r="V523" s="10" t="e">
        <f>VLOOKUP(AJ515,'FRC Site Data'!$B$3:$L$42,6,FALSE)</f>
        <v>#N/A</v>
      </c>
      <c r="W523" s="10" t="e">
        <f>VLOOKUP(AJ515,'FRC Site Data'!$B$3:$L$42,8,FALSE)</f>
        <v>#N/A</v>
      </c>
      <c r="X523" s="10" t="e">
        <f>VLOOKUP(AJ515,'FRC Site Data'!$B$3:$L$42,9,FALSE)</f>
        <v>#N/A</v>
      </c>
      <c r="Y523" s="10" t="e">
        <f>VLOOKUP(AJ515,'FRC Site Data'!$B$3:$L$42,10,FALSE)</f>
        <v>#N/A</v>
      </c>
      <c r="Z523" s="10" t="e">
        <f>VLOOKUP(AJ515,'FRC Site Data'!$B$3:$L$42,11,FALSE)</f>
        <v>#N/A</v>
      </c>
      <c r="AA523" s="10" t="e">
        <f>VLOOKUP(AJ515,'CIR Team Info'!$C$5:$E$44,4,FALSE)</f>
        <v>#N/A</v>
      </c>
      <c r="AB523" s="161" t="b">
        <f>ISNUMBER(VLOOKUP(AJ515,Match!$T$5:$T$10,1,FALSE))</f>
        <v>0</v>
      </c>
      <c r="AC523" s="161" t="b">
        <f>IF(AB523=TRUE,(VLOOKUP($AJ515,Match!$T$5:$U$10,2,FALSE)))</f>
        <v>0</v>
      </c>
      <c r="AD523" s="8">
        <v>3</v>
      </c>
      <c r="AE523" s="8">
        <v>2</v>
      </c>
      <c r="AF523" s="8">
        <v>2</v>
      </c>
      <c r="AG523" s="8">
        <v>1</v>
      </c>
      <c r="AH523" s="8" t="str">
        <f t="shared" si="128"/>
        <v/>
      </c>
      <c r="AI523" s="12"/>
      <c r="AZ523" s="12"/>
      <c r="BC523" s="12"/>
      <c r="BK523" s="12"/>
    </row>
    <row r="524" spans="1:63" x14ac:dyDescent="0.25">
      <c r="A524" s="29">
        <f t="shared" si="129"/>
        <v>0</v>
      </c>
      <c r="B524" s="29">
        <f t="shared" si="131"/>
        <v>0</v>
      </c>
      <c r="C524" s="29">
        <f t="shared" si="132"/>
        <v>0</v>
      </c>
      <c r="D524" s="29">
        <f t="shared" si="133"/>
        <v>0</v>
      </c>
      <c r="E524" s="29">
        <f t="shared" si="130"/>
        <v>0</v>
      </c>
      <c r="F524" s="29">
        <f t="shared" si="134"/>
        <v>0</v>
      </c>
      <c r="G524" s="29" t="str">
        <f t="shared" si="135"/>
        <v>offensive</v>
      </c>
      <c r="H524" s="16">
        <f t="shared" si="136"/>
        <v>0</v>
      </c>
      <c r="I524" s="16">
        <f t="shared" si="137"/>
        <v>0</v>
      </c>
      <c r="J524" s="16">
        <f t="shared" si="138"/>
        <v>0</v>
      </c>
      <c r="K524" s="16">
        <f t="shared" si="139"/>
        <v>0</v>
      </c>
      <c r="L524" s="67">
        <f t="shared" si="140"/>
        <v>0</v>
      </c>
      <c r="M524" s="4">
        <f t="shared" si="141"/>
        <v>0</v>
      </c>
      <c r="N524" s="4">
        <f t="shared" si="142"/>
        <v>0</v>
      </c>
      <c r="O524" s="4">
        <f t="shared" si="143"/>
        <v>0</v>
      </c>
      <c r="P524" s="4" t="e">
        <f>VLOOKUP(AJ516,'CIR Team Info'!$C$5:$E$44,2,FALSE)</f>
        <v>#N/A</v>
      </c>
      <c r="Q524" s="4" t="e">
        <f>VLOOKUP(AJ516,'CIR Team Info'!$C$5:$E$44,3,FALSE)</f>
        <v>#N/A</v>
      </c>
      <c r="R524" s="10" t="e">
        <f>VLOOKUP(AJ516,'FRC Site Data'!$B$3:$L$42,2,FALSE)</f>
        <v>#N/A</v>
      </c>
      <c r="S524" s="10" t="e">
        <f>VLOOKUP(AJ516,'FRC Site Data'!$B$3:$L$42,3,FALSE)</f>
        <v>#N/A</v>
      </c>
      <c r="T524" s="10" t="e">
        <f>VLOOKUP(AJ516,'FRC Site Data'!$B$3:$L$42,4,FALSE)</f>
        <v>#N/A</v>
      </c>
      <c r="U524" s="10" t="e">
        <f>VLOOKUP(AJ516,'FRC Site Data'!$B$3:$L$42,5,FALSE)</f>
        <v>#N/A</v>
      </c>
      <c r="V524" s="10" t="e">
        <f>VLOOKUP(AJ516,'FRC Site Data'!$B$3:$L$42,6,FALSE)</f>
        <v>#N/A</v>
      </c>
      <c r="W524" s="10" t="e">
        <f>VLOOKUP(AJ516,'FRC Site Data'!$B$3:$L$42,8,FALSE)</f>
        <v>#N/A</v>
      </c>
      <c r="X524" s="10" t="e">
        <f>VLOOKUP(AJ516,'FRC Site Data'!$B$3:$L$42,9,FALSE)</f>
        <v>#N/A</v>
      </c>
      <c r="Y524" s="10" t="e">
        <f>VLOOKUP(AJ516,'FRC Site Data'!$B$3:$L$42,10,FALSE)</f>
        <v>#N/A</v>
      </c>
      <c r="Z524" s="10" t="e">
        <f>VLOOKUP(AJ516,'FRC Site Data'!$B$3:$L$42,11,FALSE)</f>
        <v>#N/A</v>
      </c>
      <c r="AA524" s="10" t="e">
        <f>VLOOKUP(AJ516,'CIR Team Info'!$C$5:$E$44,4,FALSE)</f>
        <v>#N/A</v>
      </c>
      <c r="AB524" s="161" t="b">
        <f>ISNUMBER(VLOOKUP(AJ516,Match!$T$5:$T$10,1,FALSE))</f>
        <v>0</v>
      </c>
      <c r="AC524" s="161" t="b">
        <f>IF(AB524=TRUE,(VLOOKUP($AJ516,Match!$T$5:$U$10,2,FALSE)))</f>
        <v>0</v>
      </c>
      <c r="AD524" s="8">
        <v>3</v>
      </c>
      <c r="AE524" s="8">
        <v>2</v>
      </c>
      <c r="AF524" s="8">
        <v>2</v>
      </c>
      <c r="AG524" s="8">
        <v>1</v>
      </c>
      <c r="AH524" s="8" t="str">
        <f t="shared" si="128"/>
        <v/>
      </c>
      <c r="AI524" s="12"/>
      <c r="AZ524" s="12"/>
      <c r="BC524" s="12"/>
      <c r="BK524" s="12"/>
    </row>
    <row r="525" spans="1:63" x14ac:dyDescent="0.25">
      <c r="A525" s="29">
        <f t="shared" si="129"/>
        <v>0</v>
      </c>
      <c r="B525" s="29">
        <f t="shared" si="131"/>
        <v>0</v>
      </c>
      <c r="C525" s="29">
        <f t="shared" si="132"/>
        <v>0</v>
      </c>
      <c r="D525" s="29">
        <f t="shared" si="133"/>
        <v>0</v>
      </c>
      <c r="E525" s="29">
        <f t="shared" si="130"/>
        <v>0</v>
      </c>
      <c r="F525" s="29">
        <f t="shared" si="134"/>
        <v>0</v>
      </c>
      <c r="G525" s="29" t="str">
        <f t="shared" si="135"/>
        <v>offensive</v>
      </c>
      <c r="H525" s="16">
        <f t="shared" si="136"/>
        <v>0</v>
      </c>
      <c r="I525" s="16">
        <f t="shared" si="137"/>
        <v>0</v>
      </c>
      <c r="J525" s="16">
        <f t="shared" si="138"/>
        <v>0</v>
      </c>
      <c r="K525" s="16">
        <f t="shared" si="139"/>
        <v>0</v>
      </c>
      <c r="L525" s="67">
        <f t="shared" si="140"/>
        <v>0</v>
      </c>
      <c r="M525" s="4">
        <f t="shared" si="141"/>
        <v>0</v>
      </c>
      <c r="N525" s="4">
        <f t="shared" si="142"/>
        <v>0</v>
      </c>
      <c r="O525" s="4">
        <f t="shared" si="143"/>
        <v>0</v>
      </c>
      <c r="P525" s="4" t="e">
        <f>VLOOKUP(AJ517,'CIR Team Info'!$C$5:$E$44,2,FALSE)</f>
        <v>#N/A</v>
      </c>
      <c r="Q525" s="4" t="e">
        <f>VLOOKUP(AJ517,'CIR Team Info'!$C$5:$E$44,3,FALSE)</f>
        <v>#N/A</v>
      </c>
      <c r="R525" s="10" t="e">
        <f>VLOOKUP(AJ517,'FRC Site Data'!$B$3:$L$42,2,FALSE)</f>
        <v>#N/A</v>
      </c>
      <c r="S525" s="10" t="e">
        <f>VLOOKUP(AJ517,'FRC Site Data'!$B$3:$L$42,3,FALSE)</f>
        <v>#N/A</v>
      </c>
      <c r="T525" s="10" t="e">
        <f>VLOOKUP(AJ517,'FRC Site Data'!$B$3:$L$42,4,FALSE)</f>
        <v>#N/A</v>
      </c>
      <c r="U525" s="10" t="e">
        <f>VLOOKUP(AJ517,'FRC Site Data'!$B$3:$L$42,5,FALSE)</f>
        <v>#N/A</v>
      </c>
      <c r="V525" s="10" t="e">
        <f>VLOOKUP(AJ517,'FRC Site Data'!$B$3:$L$42,6,FALSE)</f>
        <v>#N/A</v>
      </c>
      <c r="W525" s="10" t="e">
        <f>VLOOKUP(AJ517,'FRC Site Data'!$B$3:$L$42,8,FALSE)</f>
        <v>#N/A</v>
      </c>
      <c r="X525" s="10" t="e">
        <f>VLOOKUP(AJ517,'FRC Site Data'!$B$3:$L$42,9,FALSE)</f>
        <v>#N/A</v>
      </c>
      <c r="Y525" s="10" t="e">
        <f>VLOOKUP(AJ517,'FRC Site Data'!$B$3:$L$42,10,FALSE)</f>
        <v>#N/A</v>
      </c>
      <c r="Z525" s="10" t="e">
        <f>VLOOKUP(AJ517,'FRC Site Data'!$B$3:$L$42,11,FALSE)</f>
        <v>#N/A</v>
      </c>
      <c r="AA525" s="10" t="e">
        <f>VLOOKUP(AJ517,'CIR Team Info'!$C$5:$E$44,4,FALSE)</f>
        <v>#N/A</v>
      </c>
      <c r="AB525" s="161" t="b">
        <f>ISNUMBER(VLOOKUP(AJ517,Match!$T$5:$T$10,1,FALSE))</f>
        <v>0</v>
      </c>
      <c r="AC525" s="161" t="b">
        <f>IF(AB525=TRUE,(VLOOKUP($AJ517,Match!$T$5:$U$10,2,FALSE)))</f>
        <v>0</v>
      </c>
      <c r="AD525" s="8">
        <v>3</v>
      </c>
      <c r="AE525" s="8">
        <v>2</v>
      </c>
      <c r="AF525" s="8">
        <v>2</v>
      </c>
      <c r="AG525" s="8">
        <v>1</v>
      </c>
      <c r="AH525" s="8" t="str">
        <f t="shared" si="128"/>
        <v/>
      </c>
      <c r="AI525" s="12"/>
      <c r="AZ525" s="12"/>
      <c r="BC525" s="12"/>
      <c r="BK525" s="12"/>
    </row>
    <row r="526" spans="1:63" x14ac:dyDescent="0.25">
      <c r="A526" s="29">
        <f t="shared" ref="A526:A589" si="144">SUM(B526:F526)</f>
        <v>0</v>
      </c>
      <c r="B526" s="29">
        <f t="shared" si="131"/>
        <v>0</v>
      </c>
      <c r="C526" s="29">
        <f t="shared" si="132"/>
        <v>0</v>
      </c>
      <c r="D526" s="29">
        <f t="shared" si="133"/>
        <v>0</v>
      </c>
      <c r="E526" s="29">
        <f t="shared" si="130"/>
        <v>0</v>
      </c>
      <c r="F526" s="29">
        <f t="shared" si="134"/>
        <v>0</v>
      </c>
      <c r="G526" s="29" t="str">
        <f t="shared" si="135"/>
        <v>offensive</v>
      </c>
      <c r="H526" s="16">
        <f t="shared" si="136"/>
        <v>0</v>
      </c>
      <c r="I526" s="16">
        <f t="shared" si="137"/>
        <v>0</v>
      </c>
      <c r="J526" s="16">
        <f t="shared" si="138"/>
        <v>0</v>
      </c>
      <c r="K526" s="16">
        <f t="shared" si="139"/>
        <v>0</v>
      </c>
      <c r="L526" s="67">
        <f t="shared" si="140"/>
        <v>0</v>
      </c>
      <c r="M526" s="4">
        <f t="shared" si="141"/>
        <v>0</v>
      </c>
      <c r="N526" s="4">
        <f t="shared" si="142"/>
        <v>0</v>
      </c>
      <c r="O526" s="4">
        <f t="shared" si="143"/>
        <v>0</v>
      </c>
      <c r="P526" s="4" t="e">
        <f>VLOOKUP(AJ518,'CIR Team Info'!$C$5:$E$44,2,FALSE)</f>
        <v>#N/A</v>
      </c>
      <c r="Q526" s="4" t="e">
        <f>VLOOKUP(AJ518,'CIR Team Info'!$C$5:$E$44,3,FALSE)</f>
        <v>#N/A</v>
      </c>
      <c r="R526" s="10" t="e">
        <f>VLOOKUP(AJ518,'FRC Site Data'!$B$3:$L$42,2,FALSE)</f>
        <v>#N/A</v>
      </c>
      <c r="S526" s="10" t="e">
        <f>VLOOKUP(AJ518,'FRC Site Data'!$B$3:$L$42,3,FALSE)</f>
        <v>#N/A</v>
      </c>
      <c r="T526" s="10" t="e">
        <f>VLOOKUP(AJ518,'FRC Site Data'!$B$3:$L$42,4,FALSE)</f>
        <v>#N/A</v>
      </c>
      <c r="U526" s="10" t="e">
        <f>VLOOKUP(AJ518,'FRC Site Data'!$B$3:$L$42,5,FALSE)</f>
        <v>#N/A</v>
      </c>
      <c r="V526" s="10" t="e">
        <f>VLOOKUP(AJ518,'FRC Site Data'!$B$3:$L$42,6,FALSE)</f>
        <v>#N/A</v>
      </c>
      <c r="W526" s="10" t="e">
        <f>VLOOKUP(AJ518,'FRC Site Data'!$B$3:$L$42,8,FALSE)</f>
        <v>#N/A</v>
      </c>
      <c r="X526" s="10" t="e">
        <f>VLOOKUP(AJ518,'FRC Site Data'!$B$3:$L$42,9,FALSE)</f>
        <v>#N/A</v>
      </c>
      <c r="Y526" s="10" t="e">
        <f>VLOOKUP(AJ518,'FRC Site Data'!$B$3:$L$42,10,FALSE)</f>
        <v>#N/A</v>
      </c>
      <c r="Z526" s="10" t="e">
        <f>VLOOKUP(AJ518,'FRC Site Data'!$B$3:$L$42,11,FALSE)</f>
        <v>#N/A</v>
      </c>
      <c r="AA526" s="10" t="e">
        <f>VLOOKUP(AJ518,'CIR Team Info'!$C$5:$E$44,4,FALSE)</f>
        <v>#N/A</v>
      </c>
      <c r="AB526" s="161" t="b">
        <f>ISNUMBER(VLOOKUP(AJ518,Match!$T$5:$T$10,1,FALSE))</f>
        <v>0</v>
      </c>
      <c r="AC526" s="161" t="b">
        <f>IF(AB526=TRUE,(VLOOKUP($AJ518,Match!$T$5:$U$10,2,FALSE)))</f>
        <v>0</v>
      </c>
      <c r="AD526" s="8">
        <v>3</v>
      </c>
      <c r="AE526" s="8">
        <v>2</v>
      </c>
      <c r="AF526" s="8">
        <v>2</v>
      </c>
      <c r="AG526" s="8">
        <v>1</v>
      </c>
      <c r="AH526" s="8" t="str">
        <f t="shared" si="128"/>
        <v/>
      </c>
      <c r="AI526" s="12"/>
      <c r="AZ526" s="12"/>
      <c r="BC526" s="12"/>
      <c r="BK526" s="12"/>
    </row>
    <row r="527" spans="1:63" x14ac:dyDescent="0.25">
      <c r="A527" s="29">
        <f t="shared" si="144"/>
        <v>0</v>
      </c>
      <c r="B527" s="29">
        <f t="shared" si="131"/>
        <v>0</v>
      </c>
      <c r="C527" s="29">
        <f t="shared" si="132"/>
        <v>0</v>
      </c>
      <c r="D527" s="29">
        <f t="shared" si="133"/>
        <v>0</v>
      </c>
      <c r="E527" s="29">
        <f t="shared" si="130"/>
        <v>0</v>
      </c>
      <c r="F527" s="29">
        <f t="shared" si="134"/>
        <v>0</v>
      </c>
      <c r="G527" s="29" t="str">
        <f t="shared" si="135"/>
        <v>offensive</v>
      </c>
      <c r="H527" s="16">
        <f t="shared" si="136"/>
        <v>0</v>
      </c>
      <c r="I527" s="16">
        <f t="shared" si="137"/>
        <v>0</v>
      </c>
      <c r="J527" s="16">
        <f t="shared" si="138"/>
        <v>0</v>
      </c>
      <c r="K527" s="16">
        <f t="shared" si="139"/>
        <v>0</v>
      </c>
      <c r="L527" s="67">
        <f t="shared" si="140"/>
        <v>0</v>
      </c>
      <c r="M527" s="4">
        <f t="shared" si="141"/>
        <v>0</v>
      </c>
      <c r="N527" s="4">
        <f t="shared" si="142"/>
        <v>0</v>
      </c>
      <c r="O527" s="4">
        <f t="shared" si="143"/>
        <v>0</v>
      </c>
      <c r="P527" s="4" t="e">
        <f>VLOOKUP(AJ519,'CIR Team Info'!$C$5:$E$44,2,FALSE)</f>
        <v>#N/A</v>
      </c>
      <c r="Q527" s="4" t="e">
        <f>VLOOKUP(AJ519,'CIR Team Info'!$C$5:$E$44,3,FALSE)</f>
        <v>#N/A</v>
      </c>
      <c r="R527" s="10" t="e">
        <f>VLOOKUP(AJ519,'FRC Site Data'!$B$3:$L$42,2,FALSE)</f>
        <v>#N/A</v>
      </c>
      <c r="S527" s="10" t="e">
        <f>VLOOKUP(AJ519,'FRC Site Data'!$B$3:$L$42,3,FALSE)</f>
        <v>#N/A</v>
      </c>
      <c r="T527" s="10" t="e">
        <f>VLOOKUP(AJ519,'FRC Site Data'!$B$3:$L$42,4,FALSE)</f>
        <v>#N/A</v>
      </c>
      <c r="U527" s="10" t="e">
        <f>VLOOKUP(AJ519,'FRC Site Data'!$B$3:$L$42,5,FALSE)</f>
        <v>#N/A</v>
      </c>
      <c r="V527" s="10" t="e">
        <f>VLOOKUP(AJ519,'FRC Site Data'!$B$3:$L$42,6,FALSE)</f>
        <v>#N/A</v>
      </c>
      <c r="W527" s="10" t="e">
        <f>VLOOKUP(AJ519,'FRC Site Data'!$B$3:$L$42,8,FALSE)</f>
        <v>#N/A</v>
      </c>
      <c r="X527" s="10" t="e">
        <f>VLOOKUP(AJ519,'FRC Site Data'!$B$3:$L$42,9,FALSE)</f>
        <v>#N/A</v>
      </c>
      <c r="Y527" s="10" t="e">
        <f>VLOOKUP(AJ519,'FRC Site Data'!$B$3:$L$42,10,FALSE)</f>
        <v>#N/A</v>
      </c>
      <c r="Z527" s="10" t="e">
        <f>VLOOKUP(AJ519,'FRC Site Data'!$B$3:$L$42,11,FALSE)</f>
        <v>#N/A</v>
      </c>
      <c r="AA527" s="10" t="e">
        <f>VLOOKUP(AJ519,'CIR Team Info'!$C$5:$E$44,4,FALSE)</f>
        <v>#N/A</v>
      </c>
      <c r="AB527" s="161" t="b">
        <f>ISNUMBER(VLOOKUP(AJ519,Match!$T$5:$T$10,1,FALSE))</f>
        <v>0</v>
      </c>
      <c r="AC527" s="161" t="b">
        <f>IF(AB527=TRUE,(VLOOKUP($AJ519,Match!$T$5:$U$10,2,FALSE)))</f>
        <v>0</v>
      </c>
      <c r="AD527" s="8">
        <v>3</v>
      </c>
      <c r="AE527" s="8">
        <v>2</v>
      </c>
      <c r="AF527" s="8">
        <v>2</v>
      </c>
      <c r="AG527" s="8">
        <v>1</v>
      </c>
      <c r="AH527" s="8" t="str">
        <f t="shared" si="128"/>
        <v/>
      </c>
      <c r="AI527" s="12"/>
      <c r="AZ527" s="12"/>
      <c r="BC527" s="12"/>
      <c r="BK527" s="12"/>
    </row>
    <row r="528" spans="1:63" x14ac:dyDescent="0.25">
      <c r="A528" s="29">
        <f t="shared" si="144"/>
        <v>0</v>
      </c>
      <c r="B528" s="29">
        <f t="shared" si="131"/>
        <v>0</v>
      </c>
      <c r="C528" s="29">
        <f t="shared" si="132"/>
        <v>0</v>
      </c>
      <c r="D528" s="29">
        <f t="shared" si="133"/>
        <v>0</v>
      </c>
      <c r="E528" s="29">
        <f t="shared" si="130"/>
        <v>0</v>
      </c>
      <c r="F528" s="29">
        <f t="shared" si="134"/>
        <v>0</v>
      </c>
      <c r="G528" s="29" t="str">
        <f t="shared" si="135"/>
        <v>offensive</v>
      </c>
      <c r="H528" s="16">
        <f t="shared" si="136"/>
        <v>0</v>
      </c>
      <c r="I528" s="16">
        <f t="shared" si="137"/>
        <v>0</v>
      </c>
      <c r="J528" s="16">
        <f t="shared" si="138"/>
        <v>0</v>
      </c>
      <c r="K528" s="16">
        <f t="shared" si="139"/>
        <v>0</v>
      </c>
      <c r="L528" s="67">
        <f t="shared" si="140"/>
        <v>0</v>
      </c>
      <c r="M528" s="4">
        <f t="shared" si="141"/>
        <v>0</v>
      </c>
      <c r="N528" s="4">
        <f t="shared" si="142"/>
        <v>0</v>
      </c>
      <c r="O528" s="4">
        <f t="shared" si="143"/>
        <v>0</v>
      </c>
      <c r="P528" s="4" t="e">
        <f>VLOOKUP(AJ520,'CIR Team Info'!$C$5:$E$44,2,FALSE)</f>
        <v>#N/A</v>
      </c>
      <c r="Q528" s="4" t="e">
        <f>VLOOKUP(AJ520,'CIR Team Info'!$C$5:$E$44,3,FALSE)</f>
        <v>#N/A</v>
      </c>
      <c r="R528" s="10" t="e">
        <f>VLOOKUP(AJ520,'FRC Site Data'!$B$3:$L$42,2,FALSE)</f>
        <v>#N/A</v>
      </c>
      <c r="S528" s="10" t="e">
        <f>VLOOKUP(AJ520,'FRC Site Data'!$B$3:$L$42,3,FALSE)</f>
        <v>#N/A</v>
      </c>
      <c r="T528" s="10" t="e">
        <f>VLOOKUP(AJ520,'FRC Site Data'!$B$3:$L$42,4,FALSE)</f>
        <v>#N/A</v>
      </c>
      <c r="U528" s="10" t="e">
        <f>VLOOKUP(AJ520,'FRC Site Data'!$B$3:$L$42,5,FALSE)</f>
        <v>#N/A</v>
      </c>
      <c r="V528" s="10" t="e">
        <f>VLOOKUP(AJ520,'FRC Site Data'!$B$3:$L$42,6,FALSE)</f>
        <v>#N/A</v>
      </c>
      <c r="W528" s="10" t="e">
        <f>VLOOKUP(AJ520,'FRC Site Data'!$B$3:$L$42,8,FALSE)</f>
        <v>#N/A</v>
      </c>
      <c r="X528" s="10" t="e">
        <f>VLOOKUP(AJ520,'FRC Site Data'!$B$3:$L$42,9,FALSE)</f>
        <v>#N/A</v>
      </c>
      <c r="Y528" s="10" t="e">
        <f>VLOOKUP(AJ520,'FRC Site Data'!$B$3:$L$42,10,FALSE)</f>
        <v>#N/A</v>
      </c>
      <c r="Z528" s="10" t="e">
        <f>VLOOKUP(AJ520,'FRC Site Data'!$B$3:$L$42,11,FALSE)</f>
        <v>#N/A</v>
      </c>
      <c r="AA528" s="10" t="e">
        <f>VLOOKUP(AJ520,'CIR Team Info'!$C$5:$E$44,4,FALSE)</f>
        <v>#N/A</v>
      </c>
      <c r="AB528" s="161" t="b">
        <f>ISNUMBER(VLOOKUP(AJ520,Match!$T$5:$T$10,1,FALSE))</f>
        <v>0</v>
      </c>
      <c r="AC528" s="161" t="b">
        <f>IF(AB528=TRUE,(VLOOKUP($AJ520,Match!$T$5:$U$10,2,FALSE)))</f>
        <v>0</v>
      </c>
      <c r="AD528" s="8">
        <v>3</v>
      </c>
      <c r="AE528" s="8">
        <v>2</v>
      </c>
      <c r="AF528" s="8">
        <v>2</v>
      </c>
      <c r="AG528" s="8">
        <v>1</v>
      </c>
      <c r="AH528" s="8" t="str">
        <f t="shared" si="128"/>
        <v/>
      </c>
      <c r="AI528" s="12"/>
      <c r="AZ528" s="12"/>
      <c r="BC528" s="12"/>
      <c r="BK528" s="12"/>
    </row>
    <row r="529" spans="1:63" x14ac:dyDescent="0.25">
      <c r="A529" s="29">
        <f t="shared" si="144"/>
        <v>0</v>
      </c>
      <c r="B529" s="29">
        <f t="shared" si="131"/>
        <v>0</v>
      </c>
      <c r="C529" s="29">
        <f t="shared" si="132"/>
        <v>0</v>
      </c>
      <c r="D529" s="29">
        <f t="shared" si="133"/>
        <v>0</v>
      </c>
      <c r="E529" s="29">
        <f t="shared" si="130"/>
        <v>0</v>
      </c>
      <c r="F529" s="29">
        <f t="shared" si="134"/>
        <v>0</v>
      </c>
      <c r="G529" s="29" t="str">
        <f t="shared" si="135"/>
        <v>offensive</v>
      </c>
      <c r="H529" s="16">
        <f t="shared" si="136"/>
        <v>0</v>
      </c>
      <c r="I529" s="16">
        <f t="shared" si="137"/>
        <v>0</v>
      </c>
      <c r="J529" s="16">
        <f t="shared" si="138"/>
        <v>0</v>
      </c>
      <c r="K529" s="16">
        <f t="shared" si="139"/>
        <v>0</v>
      </c>
      <c r="L529" s="67">
        <f t="shared" si="140"/>
        <v>0</v>
      </c>
      <c r="M529" s="4">
        <f t="shared" si="141"/>
        <v>0</v>
      </c>
      <c r="N529" s="4">
        <f t="shared" si="142"/>
        <v>0</v>
      </c>
      <c r="O529" s="4">
        <f t="shared" si="143"/>
        <v>0</v>
      </c>
      <c r="P529" s="4" t="e">
        <f>VLOOKUP(AJ521,'CIR Team Info'!$C$5:$E$44,2,FALSE)</f>
        <v>#N/A</v>
      </c>
      <c r="Q529" s="4" t="e">
        <f>VLOOKUP(AJ521,'CIR Team Info'!$C$5:$E$44,3,FALSE)</f>
        <v>#N/A</v>
      </c>
      <c r="R529" s="10" t="e">
        <f>VLOOKUP(AJ521,'FRC Site Data'!$B$3:$L$42,2,FALSE)</f>
        <v>#N/A</v>
      </c>
      <c r="S529" s="10" t="e">
        <f>VLOOKUP(AJ521,'FRC Site Data'!$B$3:$L$42,3,FALSE)</f>
        <v>#N/A</v>
      </c>
      <c r="T529" s="10" t="e">
        <f>VLOOKUP(AJ521,'FRC Site Data'!$B$3:$L$42,4,FALSE)</f>
        <v>#N/A</v>
      </c>
      <c r="U529" s="10" t="e">
        <f>VLOOKUP(AJ521,'FRC Site Data'!$B$3:$L$42,5,FALSE)</f>
        <v>#N/A</v>
      </c>
      <c r="V529" s="10" t="e">
        <f>VLOOKUP(AJ521,'FRC Site Data'!$B$3:$L$42,6,FALSE)</f>
        <v>#N/A</v>
      </c>
      <c r="W529" s="10" t="e">
        <f>VLOOKUP(AJ521,'FRC Site Data'!$B$3:$L$42,8,FALSE)</f>
        <v>#N/A</v>
      </c>
      <c r="X529" s="10" t="e">
        <f>VLOOKUP(AJ521,'FRC Site Data'!$B$3:$L$42,9,FALSE)</f>
        <v>#N/A</v>
      </c>
      <c r="Y529" s="10" t="e">
        <f>VLOOKUP(AJ521,'FRC Site Data'!$B$3:$L$42,10,FALSE)</f>
        <v>#N/A</v>
      </c>
      <c r="Z529" s="10" t="e">
        <f>VLOOKUP(AJ521,'FRC Site Data'!$B$3:$L$42,11,FALSE)</f>
        <v>#N/A</v>
      </c>
      <c r="AA529" s="10" t="e">
        <f>VLOOKUP(AJ521,'CIR Team Info'!$C$5:$E$44,4,FALSE)</f>
        <v>#N/A</v>
      </c>
      <c r="AB529" s="161" t="b">
        <f>ISNUMBER(VLOOKUP(AJ521,Match!$T$5:$T$10,1,FALSE))</f>
        <v>0</v>
      </c>
      <c r="AC529" s="161" t="b">
        <f>IF(AB529=TRUE,(VLOOKUP($AJ521,Match!$T$5:$U$10,2,FALSE)))</f>
        <v>0</v>
      </c>
      <c r="AD529" s="8">
        <v>3</v>
      </c>
      <c r="AE529" s="8">
        <v>2</v>
      </c>
      <c r="AF529" s="8">
        <v>2</v>
      </c>
      <c r="AG529" s="8">
        <v>1</v>
      </c>
      <c r="AH529" s="8" t="str">
        <f t="shared" si="128"/>
        <v/>
      </c>
      <c r="AI529" s="12"/>
      <c r="AZ529" s="12"/>
      <c r="BC529" s="12"/>
      <c r="BK529" s="12"/>
    </row>
    <row r="530" spans="1:63" x14ac:dyDescent="0.25">
      <c r="A530" s="29">
        <f t="shared" si="144"/>
        <v>0</v>
      </c>
      <c r="B530" s="29">
        <f t="shared" si="131"/>
        <v>0</v>
      </c>
      <c r="C530" s="29">
        <f t="shared" si="132"/>
        <v>0</v>
      </c>
      <c r="D530" s="29">
        <f t="shared" si="133"/>
        <v>0</v>
      </c>
      <c r="E530" s="29">
        <f t="shared" si="130"/>
        <v>0</v>
      </c>
      <c r="F530" s="29">
        <f t="shared" si="134"/>
        <v>0</v>
      </c>
      <c r="G530" s="29" t="str">
        <f t="shared" si="135"/>
        <v>offensive</v>
      </c>
      <c r="H530" s="16">
        <f t="shared" si="136"/>
        <v>0</v>
      </c>
      <c r="I530" s="16">
        <f t="shared" si="137"/>
        <v>0</v>
      </c>
      <c r="J530" s="16">
        <f t="shared" si="138"/>
        <v>0</v>
      </c>
      <c r="K530" s="16">
        <f t="shared" si="139"/>
        <v>0</v>
      </c>
      <c r="L530" s="67">
        <f t="shared" si="140"/>
        <v>0</v>
      </c>
      <c r="M530" s="4">
        <f t="shared" si="141"/>
        <v>0</v>
      </c>
      <c r="N530" s="4">
        <f t="shared" si="142"/>
        <v>0</v>
      </c>
      <c r="O530" s="4">
        <f t="shared" si="143"/>
        <v>0</v>
      </c>
      <c r="P530" s="4" t="e">
        <f>VLOOKUP(AJ522,'CIR Team Info'!$C$5:$E$44,2,FALSE)</f>
        <v>#N/A</v>
      </c>
      <c r="Q530" s="4" t="e">
        <f>VLOOKUP(AJ522,'CIR Team Info'!$C$5:$E$44,3,FALSE)</f>
        <v>#N/A</v>
      </c>
      <c r="R530" s="10" t="e">
        <f>VLOOKUP(AJ522,'FRC Site Data'!$B$3:$L$42,2,FALSE)</f>
        <v>#N/A</v>
      </c>
      <c r="S530" s="10" t="e">
        <f>VLOOKUP(AJ522,'FRC Site Data'!$B$3:$L$42,3,FALSE)</f>
        <v>#N/A</v>
      </c>
      <c r="T530" s="10" t="e">
        <f>VLOOKUP(AJ522,'FRC Site Data'!$B$3:$L$42,4,FALSE)</f>
        <v>#N/A</v>
      </c>
      <c r="U530" s="10" t="e">
        <f>VLOOKUP(AJ522,'FRC Site Data'!$B$3:$L$42,5,FALSE)</f>
        <v>#N/A</v>
      </c>
      <c r="V530" s="10" t="e">
        <f>VLOOKUP(AJ522,'FRC Site Data'!$B$3:$L$42,6,FALSE)</f>
        <v>#N/A</v>
      </c>
      <c r="W530" s="10" t="e">
        <f>VLOOKUP(AJ522,'FRC Site Data'!$B$3:$L$42,8,FALSE)</f>
        <v>#N/A</v>
      </c>
      <c r="X530" s="10" t="e">
        <f>VLOOKUP(AJ522,'FRC Site Data'!$B$3:$L$42,9,FALSE)</f>
        <v>#N/A</v>
      </c>
      <c r="Y530" s="10" t="e">
        <f>VLOOKUP(AJ522,'FRC Site Data'!$B$3:$L$42,10,FALSE)</f>
        <v>#N/A</v>
      </c>
      <c r="Z530" s="10" t="e">
        <f>VLOOKUP(AJ522,'FRC Site Data'!$B$3:$L$42,11,FALSE)</f>
        <v>#N/A</v>
      </c>
      <c r="AA530" s="10" t="e">
        <f>VLOOKUP(AJ522,'CIR Team Info'!$C$5:$E$44,4,FALSE)</f>
        <v>#N/A</v>
      </c>
      <c r="AB530" s="161" t="b">
        <f>ISNUMBER(VLOOKUP(AJ522,Match!$T$5:$T$10,1,FALSE))</f>
        <v>0</v>
      </c>
      <c r="AC530" s="161" t="b">
        <f>IF(AB530=TRUE,(VLOOKUP($AJ522,Match!$T$5:$U$10,2,FALSE)))</f>
        <v>0</v>
      </c>
      <c r="AD530" s="8">
        <v>3</v>
      </c>
      <c r="AE530" s="8">
        <v>2</v>
      </c>
      <c r="AF530" s="8">
        <v>2</v>
      </c>
      <c r="AG530" s="8">
        <v>1</v>
      </c>
      <c r="AH530" s="8" t="str">
        <f t="shared" si="128"/>
        <v/>
      </c>
      <c r="AI530" s="12"/>
      <c r="AZ530" s="12"/>
      <c r="BC530" s="12"/>
      <c r="BK530" s="12"/>
    </row>
    <row r="531" spans="1:63" x14ac:dyDescent="0.25">
      <c r="A531" s="29">
        <f t="shared" si="144"/>
        <v>0</v>
      </c>
      <c r="B531" s="29">
        <f t="shared" si="131"/>
        <v>0</v>
      </c>
      <c r="C531" s="29">
        <f t="shared" si="132"/>
        <v>0</v>
      </c>
      <c r="D531" s="29">
        <f t="shared" si="133"/>
        <v>0</v>
      </c>
      <c r="E531" s="29">
        <f t="shared" si="130"/>
        <v>0</v>
      </c>
      <c r="F531" s="29">
        <f t="shared" si="134"/>
        <v>0</v>
      </c>
      <c r="G531" s="29" t="str">
        <f t="shared" si="135"/>
        <v>offensive</v>
      </c>
      <c r="H531" s="16">
        <f t="shared" si="136"/>
        <v>0</v>
      </c>
      <c r="I531" s="16">
        <f t="shared" si="137"/>
        <v>0</v>
      </c>
      <c r="J531" s="16">
        <f t="shared" si="138"/>
        <v>0</v>
      </c>
      <c r="K531" s="16">
        <f t="shared" si="139"/>
        <v>0</v>
      </c>
      <c r="L531" s="67">
        <f t="shared" si="140"/>
        <v>0</v>
      </c>
      <c r="M531" s="4">
        <f t="shared" si="141"/>
        <v>0</v>
      </c>
      <c r="N531" s="4">
        <f t="shared" si="142"/>
        <v>0</v>
      </c>
      <c r="O531" s="4">
        <f t="shared" si="143"/>
        <v>0</v>
      </c>
      <c r="P531" s="4" t="e">
        <f>VLOOKUP(AJ523,'CIR Team Info'!$C$5:$E$44,2,FALSE)</f>
        <v>#N/A</v>
      </c>
      <c r="Q531" s="4" t="e">
        <f>VLOOKUP(AJ523,'CIR Team Info'!$C$5:$E$44,3,FALSE)</f>
        <v>#N/A</v>
      </c>
      <c r="R531" s="10" t="e">
        <f>VLOOKUP(AJ523,'FRC Site Data'!$B$3:$L$42,2,FALSE)</f>
        <v>#N/A</v>
      </c>
      <c r="S531" s="10" t="e">
        <f>VLOOKUP(AJ523,'FRC Site Data'!$B$3:$L$42,3,FALSE)</f>
        <v>#N/A</v>
      </c>
      <c r="T531" s="10" t="e">
        <f>VLOOKUP(AJ523,'FRC Site Data'!$B$3:$L$42,4,FALSE)</f>
        <v>#N/A</v>
      </c>
      <c r="U531" s="10" t="e">
        <f>VLOOKUP(AJ523,'FRC Site Data'!$B$3:$L$42,5,FALSE)</f>
        <v>#N/A</v>
      </c>
      <c r="V531" s="10" t="e">
        <f>VLOOKUP(AJ523,'FRC Site Data'!$B$3:$L$42,6,FALSE)</f>
        <v>#N/A</v>
      </c>
      <c r="W531" s="10" t="e">
        <f>VLOOKUP(AJ523,'FRC Site Data'!$B$3:$L$42,8,FALSE)</f>
        <v>#N/A</v>
      </c>
      <c r="X531" s="10" t="e">
        <f>VLOOKUP(AJ523,'FRC Site Data'!$B$3:$L$42,9,FALSE)</f>
        <v>#N/A</v>
      </c>
      <c r="Y531" s="10" t="e">
        <f>VLOOKUP(AJ523,'FRC Site Data'!$B$3:$L$42,10,FALSE)</f>
        <v>#N/A</v>
      </c>
      <c r="Z531" s="10" t="e">
        <f>VLOOKUP(AJ523,'FRC Site Data'!$B$3:$L$42,11,FALSE)</f>
        <v>#N/A</v>
      </c>
      <c r="AA531" s="10" t="e">
        <f>VLOOKUP(AJ523,'CIR Team Info'!$C$5:$E$44,4,FALSE)</f>
        <v>#N/A</v>
      </c>
      <c r="AB531" s="161" t="b">
        <f>ISNUMBER(VLOOKUP(AJ523,Match!$T$5:$T$10,1,FALSE))</f>
        <v>0</v>
      </c>
      <c r="AC531" s="161" t="b">
        <f>IF(AB531=TRUE,(VLOOKUP($AJ523,Match!$T$5:$U$10,2,FALSE)))</f>
        <v>0</v>
      </c>
      <c r="AD531" s="8">
        <v>3</v>
      </c>
      <c r="AE531" s="8">
        <v>2</v>
      </c>
      <c r="AF531" s="8">
        <v>2</v>
      </c>
      <c r="AG531" s="8">
        <v>1</v>
      </c>
      <c r="AH531" s="8" t="str">
        <f t="shared" si="128"/>
        <v/>
      </c>
      <c r="AI531" s="12"/>
      <c r="AZ531" s="12"/>
      <c r="BC531" s="12"/>
      <c r="BK531" s="12"/>
    </row>
    <row r="532" spans="1:63" x14ac:dyDescent="0.25">
      <c r="A532" s="29">
        <f t="shared" si="144"/>
        <v>0</v>
      </c>
      <c r="B532" s="29">
        <f t="shared" si="131"/>
        <v>0</v>
      </c>
      <c r="C532" s="29">
        <f t="shared" si="132"/>
        <v>0</v>
      </c>
      <c r="D532" s="29">
        <f t="shared" si="133"/>
        <v>0</v>
      </c>
      <c r="E532" s="29">
        <f t="shared" si="130"/>
        <v>0</v>
      </c>
      <c r="F532" s="29">
        <f t="shared" si="134"/>
        <v>0</v>
      </c>
      <c r="G532" s="29" t="str">
        <f t="shared" si="135"/>
        <v>offensive</v>
      </c>
      <c r="H532" s="16">
        <f t="shared" si="136"/>
        <v>0</v>
      </c>
      <c r="I532" s="16">
        <f t="shared" si="137"/>
        <v>0</v>
      </c>
      <c r="J532" s="16">
        <f t="shared" si="138"/>
        <v>0</v>
      </c>
      <c r="K532" s="16">
        <f t="shared" si="139"/>
        <v>0</v>
      </c>
      <c r="L532" s="67">
        <f t="shared" si="140"/>
        <v>0</v>
      </c>
      <c r="M532" s="4">
        <f t="shared" si="141"/>
        <v>0</v>
      </c>
      <c r="N532" s="4">
        <f t="shared" si="142"/>
        <v>0</v>
      </c>
      <c r="O532" s="4">
        <f t="shared" si="143"/>
        <v>0</v>
      </c>
      <c r="P532" s="4" t="e">
        <f>VLOOKUP(AJ524,'CIR Team Info'!$C$5:$E$44,2,FALSE)</f>
        <v>#N/A</v>
      </c>
      <c r="Q532" s="4" t="e">
        <f>VLOOKUP(AJ524,'CIR Team Info'!$C$5:$E$44,3,FALSE)</f>
        <v>#N/A</v>
      </c>
      <c r="R532" s="10" t="e">
        <f>VLOOKUP(AJ524,'FRC Site Data'!$B$3:$L$42,2,FALSE)</f>
        <v>#N/A</v>
      </c>
      <c r="S532" s="10" t="e">
        <f>VLOOKUP(AJ524,'FRC Site Data'!$B$3:$L$42,3,FALSE)</f>
        <v>#N/A</v>
      </c>
      <c r="T532" s="10" t="e">
        <f>VLOOKUP(AJ524,'FRC Site Data'!$B$3:$L$42,4,FALSE)</f>
        <v>#N/A</v>
      </c>
      <c r="U532" s="10" t="e">
        <f>VLOOKUP(AJ524,'FRC Site Data'!$B$3:$L$42,5,FALSE)</f>
        <v>#N/A</v>
      </c>
      <c r="V532" s="10" t="e">
        <f>VLOOKUP(AJ524,'FRC Site Data'!$B$3:$L$42,6,FALSE)</f>
        <v>#N/A</v>
      </c>
      <c r="W532" s="10" t="e">
        <f>VLOOKUP(AJ524,'FRC Site Data'!$B$3:$L$42,8,FALSE)</f>
        <v>#N/A</v>
      </c>
      <c r="X532" s="10" t="e">
        <f>VLOOKUP(AJ524,'FRC Site Data'!$B$3:$L$42,9,FALSE)</f>
        <v>#N/A</v>
      </c>
      <c r="Y532" s="10" t="e">
        <f>VLOOKUP(AJ524,'FRC Site Data'!$B$3:$L$42,10,FALSE)</f>
        <v>#N/A</v>
      </c>
      <c r="Z532" s="10" t="e">
        <f>VLOOKUP(AJ524,'FRC Site Data'!$B$3:$L$42,11,FALSE)</f>
        <v>#N/A</v>
      </c>
      <c r="AA532" s="10" t="e">
        <f>VLOOKUP(AJ524,'CIR Team Info'!$C$5:$E$44,4,FALSE)</f>
        <v>#N/A</v>
      </c>
      <c r="AB532" s="161" t="b">
        <f>ISNUMBER(VLOOKUP(AJ524,Match!$T$5:$T$10,1,FALSE))</f>
        <v>0</v>
      </c>
      <c r="AC532" s="161" t="b">
        <f>IF(AB532=TRUE,(VLOOKUP($AJ524,Match!$T$5:$U$10,2,FALSE)))</f>
        <v>0</v>
      </c>
      <c r="AD532" s="8">
        <v>3</v>
      </c>
      <c r="AE532" s="8">
        <v>2</v>
      </c>
      <c r="AF532" s="8">
        <v>2</v>
      </c>
      <c r="AG532" s="8">
        <v>1</v>
      </c>
      <c r="AH532" s="8" t="str">
        <f t="shared" si="128"/>
        <v/>
      </c>
      <c r="AI532" s="12"/>
      <c r="AZ532" s="12"/>
      <c r="BC532" s="12"/>
      <c r="BK532" s="12"/>
    </row>
    <row r="533" spans="1:63" x14ac:dyDescent="0.25">
      <c r="A533" s="29">
        <f t="shared" si="144"/>
        <v>0</v>
      </c>
      <c r="B533" s="29">
        <f t="shared" si="131"/>
        <v>0</v>
      </c>
      <c r="C533" s="29">
        <f t="shared" si="132"/>
        <v>0</v>
      </c>
      <c r="D533" s="29">
        <f t="shared" si="133"/>
        <v>0</v>
      </c>
      <c r="E533" s="29">
        <f t="shared" si="130"/>
        <v>0</v>
      </c>
      <c r="F533" s="29">
        <f t="shared" si="134"/>
        <v>0</v>
      </c>
      <c r="G533" s="29" t="str">
        <f t="shared" si="135"/>
        <v>offensive</v>
      </c>
      <c r="H533" s="16">
        <f t="shared" si="136"/>
        <v>0</v>
      </c>
      <c r="I533" s="16">
        <f t="shared" si="137"/>
        <v>0</v>
      </c>
      <c r="J533" s="16">
        <f t="shared" si="138"/>
        <v>0</v>
      </c>
      <c r="K533" s="16">
        <f t="shared" si="139"/>
        <v>0</v>
      </c>
      <c r="L533" s="67">
        <f t="shared" si="140"/>
        <v>0</v>
      </c>
      <c r="M533" s="4">
        <f t="shared" si="141"/>
        <v>0</v>
      </c>
      <c r="N533" s="4">
        <f t="shared" si="142"/>
        <v>0</v>
      </c>
      <c r="O533" s="4">
        <f t="shared" si="143"/>
        <v>0</v>
      </c>
      <c r="P533" s="4" t="e">
        <f>VLOOKUP(AJ525,'CIR Team Info'!$C$5:$E$44,2,FALSE)</f>
        <v>#N/A</v>
      </c>
      <c r="Q533" s="4" t="e">
        <f>VLOOKUP(AJ525,'CIR Team Info'!$C$5:$E$44,3,FALSE)</f>
        <v>#N/A</v>
      </c>
      <c r="R533" s="10" t="e">
        <f>VLOOKUP(AJ525,'FRC Site Data'!$B$3:$L$42,2,FALSE)</f>
        <v>#N/A</v>
      </c>
      <c r="S533" s="10" t="e">
        <f>VLOOKUP(AJ525,'FRC Site Data'!$B$3:$L$42,3,FALSE)</f>
        <v>#N/A</v>
      </c>
      <c r="T533" s="10" t="e">
        <f>VLOOKUP(AJ525,'FRC Site Data'!$B$3:$L$42,4,FALSE)</f>
        <v>#N/A</v>
      </c>
      <c r="U533" s="10" t="e">
        <f>VLOOKUP(AJ525,'FRC Site Data'!$B$3:$L$42,5,FALSE)</f>
        <v>#N/A</v>
      </c>
      <c r="V533" s="10" t="e">
        <f>VLOOKUP(AJ525,'FRC Site Data'!$B$3:$L$42,6,FALSE)</f>
        <v>#N/A</v>
      </c>
      <c r="W533" s="10" t="e">
        <f>VLOOKUP(AJ525,'FRC Site Data'!$B$3:$L$42,8,FALSE)</f>
        <v>#N/A</v>
      </c>
      <c r="X533" s="10" t="e">
        <f>VLOOKUP(AJ525,'FRC Site Data'!$B$3:$L$42,9,FALSE)</f>
        <v>#N/A</v>
      </c>
      <c r="Y533" s="10" t="e">
        <f>VLOOKUP(AJ525,'FRC Site Data'!$B$3:$L$42,10,FALSE)</f>
        <v>#N/A</v>
      </c>
      <c r="Z533" s="10" t="e">
        <f>VLOOKUP(AJ525,'FRC Site Data'!$B$3:$L$42,11,FALSE)</f>
        <v>#N/A</v>
      </c>
      <c r="AA533" s="10" t="e">
        <f>VLOOKUP(AJ525,'CIR Team Info'!$C$5:$E$44,4,FALSE)</f>
        <v>#N/A</v>
      </c>
      <c r="AB533" s="161" t="b">
        <f>ISNUMBER(VLOOKUP(AJ525,Match!$T$5:$T$10,1,FALSE))</f>
        <v>0</v>
      </c>
      <c r="AC533" s="161" t="b">
        <f>IF(AB533=TRUE,(VLOOKUP($AJ525,Match!$T$5:$U$10,2,FALSE)))</f>
        <v>0</v>
      </c>
      <c r="AD533" s="8">
        <v>3</v>
      </c>
      <c r="AE533" s="8">
        <v>2</v>
      </c>
      <c r="AF533" s="8">
        <v>2</v>
      </c>
      <c r="AG533" s="8">
        <v>1</v>
      </c>
      <c r="AH533" s="8" t="str">
        <f t="shared" si="128"/>
        <v/>
      </c>
      <c r="AI533" s="12"/>
      <c r="AZ533" s="12"/>
      <c r="BC533" s="12"/>
      <c r="BK533" s="12"/>
    </row>
    <row r="534" spans="1:63" x14ac:dyDescent="0.25">
      <c r="A534" s="29">
        <f t="shared" si="144"/>
        <v>0</v>
      </c>
      <c r="B534" s="29">
        <f t="shared" si="131"/>
        <v>0</v>
      </c>
      <c r="C534" s="29">
        <f t="shared" si="132"/>
        <v>0</v>
      </c>
      <c r="D534" s="29">
        <f t="shared" si="133"/>
        <v>0</v>
      </c>
      <c r="E534" s="29">
        <f t="shared" si="130"/>
        <v>0</v>
      </c>
      <c r="F534" s="29">
        <f t="shared" si="134"/>
        <v>0</v>
      </c>
      <c r="G534" s="29" t="str">
        <f t="shared" si="135"/>
        <v>offensive</v>
      </c>
      <c r="H534" s="16">
        <f t="shared" si="136"/>
        <v>0</v>
      </c>
      <c r="I534" s="16">
        <f t="shared" si="137"/>
        <v>0</v>
      </c>
      <c r="J534" s="16">
        <f t="shared" si="138"/>
        <v>0</v>
      </c>
      <c r="K534" s="16">
        <f t="shared" si="139"/>
        <v>0</v>
      </c>
      <c r="L534" s="67">
        <f t="shared" si="140"/>
        <v>0</v>
      </c>
      <c r="M534" s="4">
        <f t="shared" si="141"/>
        <v>0</v>
      </c>
      <c r="N534" s="4">
        <f t="shared" si="142"/>
        <v>0</v>
      </c>
      <c r="O534" s="4">
        <f t="shared" si="143"/>
        <v>0</v>
      </c>
      <c r="P534" s="4" t="e">
        <f>VLOOKUP(AJ526,'CIR Team Info'!$C$5:$E$44,2,FALSE)</f>
        <v>#N/A</v>
      </c>
      <c r="Q534" s="4" t="e">
        <f>VLOOKUP(AJ526,'CIR Team Info'!$C$5:$E$44,3,FALSE)</f>
        <v>#N/A</v>
      </c>
      <c r="R534" s="10" t="e">
        <f>VLOOKUP(AJ526,'FRC Site Data'!$B$3:$L$42,2,FALSE)</f>
        <v>#N/A</v>
      </c>
      <c r="S534" s="10" t="e">
        <f>VLOOKUP(AJ526,'FRC Site Data'!$B$3:$L$42,3,FALSE)</f>
        <v>#N/A</v>
      </c>
      <c r="T534" s="10" t="e">
        <f>VLOOKUP(AJ526,'FRC Site Data'!$B$3:$L$42,4,FALSE)</f>
        <v>#N/A</v>
      </c>
      <c r="U534" s="10" t="e">
        <f>VLOOKUP(AJ526,'FRC Site Data'!$B$3:$L$42,5,FALSE)</f>
        <v>#N/A</v>
      </c>
      <c r="V534" s="10" t="e">
        <f>VLOOKUP(AJ526,'FRC Site Data'!$B$3:$L$42,6,FALSE)</f>
        <v>#N/A</v>
      </c>
      <c r="W534" s="10" t="e">
        <f>VLOOKUP(AJ526,'FRC Site Data'!$B$3:$L$42,8,FALSE)</f>
        <v>#N/A</v>
      </c>
      <c r="X534" s="10" t="e">
        <f>VLOOKUP(AJ526,'FRC Site Data'!$B$3:$L$42,9,FALSE)</f>
        <v>#N/A</v>
      </c>
      <c r="Y534" s="10" t="e">
        <f>VLOOKUP(AJ526,'FRC Site Data'!$B$3:$L$42,10,FALSE)</f>
        <v>#N/A</v>
      </c>
      <c r="Z534" s="10" t="e">
        <f>VLOOKUP(AJ526,'FRC Site Data'!$B$3:$L$42,11,FALSE)</f>
        <v>#N/A</v>
      </c>
      <c r="AA534" s="10" t="e">
        <f>VLOOKUP(AJ526,'CIR Team Info'!$C$5:$E$44,4,FALSE)</f>
        <v>#N/A</v>
      </c>
      <c r="AB534" s="161" t="b">
        <f>ISNUMBER(VLOOKUP(AJ526,Match!$T$5:$T$10,1,FALSE))</f>
        <v>0</v>
      </c>
      <c r="AC534" s="161" t="b">
        <f>IF(AB534=TRUE,(VLOOKUP($AJ526,Match!$T$5:$U$10,2,FALSE)))</f>
        <v>0</v>
      </c>
      <c r="AD534" s="8">
        <v>3</v>
      </c>
      <c r="AE534" s="8">
        <v>2</v>
      </c>
      <c r="AF534" s="8">
        <v>2</v>
      </c>
      <c r="AG534" s="8">
        <v>1</v>
      </c>
      <c r="AH534" s="8" t="str">
        <f t="shared" si="128"/>
        <v/>
      </c>
      <c r="AI534" s="12"/>
      <c r="AZ534" s="12"/>
      <c r="BC534" s="12"/>
      <c r="BK534" s="12"/>
    </row>
    <row r="535" spans="1:63" x14ac:dyDescent="0.25">
      <c r="A535" s="29">
        <f t="shared" si="144"/>
        <v>0</v>
      </c>
      <c r="B535" s="29">
        <f t="shared" si="131"/>
        <v>0</v>
      </c>
      <c r="C535" s="29">
        <f t="shared" si="132"/>
        <v>0</v>
      </c>
      <c r="D535" s="29">
        <f t="shared" si="133"/>
        <v>0</v>
      </c>
      <c r="E535" s="29">
        <f t="shared" si="130"/>
        <v>0</v>
      </c>
      <c r="F535" s="29">
        <f t="shared" si="134"/>
        <v>0</v>
      </c>
      <c r="G535" s="29" t="str">
        <f t="shared" si="135"/>
        <v>offensive</v>
      </c>
      <c r="H535" s="16">
        <f t="shared" si="136"/>
        <v>0</v>
      </c>
      <c r="I535" s="16">
        <f t="shared" si="137"/>
        <v>0</v>
      </c>
      <c r="J535" s="16">
        <f t="shared" si="138"/>
        <v>0</v>
      </c>
      <c r="K535" s="16">
        <f t="shared" si="139"/>
        <v>0</v>
      </c>
      <c r="L535" s="67">
        <f t="shared" si="140"/>
        <v>0</v>
      </c>
      <c r="M535" s="4">
        <f t="shared" si="141"/>
        <v>0</v>
      </c>
      <c r="N535" s="4">
        <f t="shared" si="142"/>
        <v>0</v>
      </c>
      <c r="O535" s="4">
        <f t="shared" si="143"/>
        <v>0</v>
      </c>
      <c r="P535" s="4" t="e">
        <f>VLOOKUP(AJ527,'CIR Team Info'!$C$5:$E$44,2,FALSE)</f>
        <v>#N/A</v>
      </c>
      <c r="Q535" s="4" t="e">
        <f>VLOOKUP(AJ527,'CIR Team Info'!$C$5:$E$44,3,FALSE)</f>
        <v>#N/A</v>
      </c>
      <c r="R535" s="10" t="e">
        <f>VLOOKUP(AJ527,'FRC Site Data'!$B$3:$L$42,2,FALSE)</f>
        <v>#N/A</v>
      </c>
      <c r="S535" s="10" t="e">
        <f>VLOOKUP(AJ527,'FRC Site Data'!$B$3:$L$42,3,FALSE)</f>
        <v>#N/A</v>
      </c>
      <c r="T535" s="10" t="e">
        <f>VLOOKUP(AJ527,'FRC Site Data'!$B$3:$L$42,4,FALSE)</f>
        <v>#N/A</v>
      </c>
      <c r="U535" s="10" t="e">
        <f>VLOOKUP(AJ527,'FRC Site Data'!$B$3:$L$42,5,FALSE)</f>
        <v>#N/A</v>
      </c>
      <c r="V535" s="10" t="e">
        <f>VLOOKUP(AJ527,'FRC Site Data'!$B$3:$L$42,6,FALSE)</f>
        <v>#N/A</v>
      </c>
      <c r="W535" s="10" t="e">
        <f>VLOOKUP(AJ527,'FRC Site Data'!$B$3:$L$42,8,FALSE)</f>
        <v>#N/A</v>
      </c>
      <c r="X535" s="10" t="e">
        <f>VLOOKUP(AJ527,'FRC Site Data'!$B$3:$L$42,9,FALSE)</f>
        <v>#N/A</v>
      </c>
      <c r="Y535" s="10" t="e">
        <f>VLOOKUP(AJ527,'FRC Site Data'!$B$3:$L$42,10,FALSE)</f>
        <v>#N/A</v>
      </c>
      <c r="Z535" s="10" t="e">
        <f>VLOOKUP(AJ527,'FRC Site Data'!$B$3:$L$42,11,FALSE)</f>
        <v>#N/A</v>
      </c>
      <c r="AA535" s="10" t="e">
        <f>VLOOKUP(AJ527,'CIR Team Info'!$C$5:$E$44,4,FALSE)</f>
        <v>#N/A</v>
      </c>
      <c r="AB535" s="161" t="b">
        <f>ISNUMBER(VLOOKUP(AJ527,Match!$T$5:$T$10,1,FALSE))</f>
        <v>0</v>
      </c>
      <c r="AC535" s="161" t="b">
        <f>IF(AB535=TRUE,(VLOOKUP($AJ527,Match!$T$5:$U$10,2,FALSE)))</f>
        <v>0</v>
      </c>
      <c r="AD535" s="8">
        <v>3</v>
      </c>
      <c r="AE535" s="8">
        <v>2</v>
      </c>
      <c r="AF535" s="8">
        <v>2</v>
      </c>
      <c r="AG535" s="8">
        <v>1</v>
      </c>
      <c r="AH535" s="8" t="str">
        <f t="shared" si="128"/>
        <v/>
      </c>
      <c r="AI535" s="12"/>
      <c r="AZ535" s="12"/>
      <c r="BC535" s="12"/>
      <c r="BK535" s="12"/>
    </row>
    <row r="536" spans="1:63" x14ac:dyDescent="0.25">
      <c r="A536" s="29">
        <f t="shared" si="144"/>
        <v>0</v>
      </c>
      <c r="B536" s="29">
        <f t="shared" si="131"/>
        <v>0</v>
      </c>
      <c r="C536" s="29">
        <f t="shared" si="132"/>
        <v>0</v>
      </c>
      <c r="D536" s="29">
        <f t="shared" si="133"/>
        <v>0</v>
      </c>
      <c r="E536" s="29">
        <f t="shared" si="130"/>
        <v>0</v>
      </c>
      <c r="F536" s="29">
        <f t="shared" si="134"/>
        <v>0</v>
      </c>
      <c r="G536" s="29" t="str">
        <f t="shared" si="135"/>
        <v>offensive</v>
      </c>
      <c r="H536" s="16">
        <f t="shared" si="136"/>
        <v>0</v>
      </c>
      <c r="I536" s="16">
        <f t="shared" si="137"/>
        <v>0</v>
      </c>
      <c r="J536" s="16">
        <f t="shared" si="138"/>
        <v>0</v>
      </c>
      <c r="K536" s="16">
        <f t="shared" si="139"/>
        <v>0</v>
      </c>
      <c r="L536" s="67">
        <f t="shared" si="140"/>
        <v>0</v>
      </c>
      <c r="M536" s="4">
        <f t="shared" si="141"/>
        <v>0</v>
      </c>
      <c r="N536" s="4">
        <f t="shared" si="142"/>
        <v>0</v>
      </c>
      <c r="O536" s="4">
        <f t="shared" si="143"/>
        <v>0</v>
      </c>
      <c r="P536" s="4" t="e">
        <f>VLOOKUP(AJ528,'CIR Team Info'!$C$5:$E$44,2,FALSE)</f>
        <v>#N/A</v>
      </c>
      <c r="Q536" s="4" t="e">
        <f>VLOOKUP(AJ528,'CIR Team Info'!$C$5:$E$44,3,FALSE)</f>
        <v>#N/A</v>
      </c>
      <c r="R536" s="10" t="e">
        <f>VLOOKUP(AJ528,'FRC Site Data'!$B$3:$L$42,2,FALSE)</f>
        <v>#N/A</v>
      </c>
      <c r="S536" s="10" t="e">
        <f>VLOOKUP(AJ528,'FRC Site Data'!$B$3:$L$42,3,FALSE)</f>
        <v>#N/A</v>
      </c>
      <c r="T536" s="10" t="e">
        <f>VLOOKUP(AJ528,'FRC Site Data'!$B$3:$L$42,4,FALSE)</f>
        <v>#N/A</v>
      </c>
      <c r="U536" s="10" t="e">
        <f>VLOOKUP(AJ528,'FRC Site Data'!$B$3:$L$42,5,FALSE)</f>
        <v>#N/A</v>
      </c>
      <c r="V536" s="10" t="e">
        <f>VLOOKUP(AJ528,'FRC Site Data'!$B$3:$L$42,6,FALSE)</f>
        <v>#N/A</v>
      </c>
      <c r="W536" s="10" t="e">
        <f>VLOOKUP(AJ528,'FRC Site Data'!$B$3:$L$42,8,FALSE)</f>
        <v>#N/A</v>
      </c>
      <c r="X536" s="10" t="e">
        <f>VLOOKUP(AJ528,'FRC Site Data'!$B$3:$L$42,9,FALSE)</f>
        <v>#N/A</v>
      </c>
      <c r="Y536" s="10" t="e">
        <f>VLOOKUP(AJ528,'FRC Site Data'!$B$3:$L$42,10,FALSE)</f>
        <v>#N/A</v>
      </c>
      <c r="Z536" s="10" t="e">
        <f>VLOOKUP(AJ528,'FRC Site Data'!$B$3:$L$42,11,FALSE)</f>
        <v>#N/A</v>
      </c>
      <c r="AA536" s="10" t="e">
        <f>VLOOKUP(AJ528,'CIR Team Info'!$C$5:$E$44,4,FALSE)</f>
        <v>#N/A</v>
      </c>
      <c r="AB536" s="161" t="b">
        <f>ISNUMBER(VLOOKUP(AJ528,Match!$T$5:$T$10,1,FALSE))</f>
        <v>0</v>
      </c>
      <c r="AC536" s="161" t="b">
        <f>IF(AB536=TRUE,(VLOOKUP($AJ528,Match!$T$5:$U$10,2,FALSE)))</f>
        <v>0</v>
      </c>
      <c r="AD536" s="8">
        <v>3</v>
      </c>
      <c r="AE536" s="8">
        <v>2</v>
      </c>
      <c r="AF536" s="8">
        <v>2</v>
      </c>
      <c r="AG536" s="8">
        <v>1</v>
      </c>
      <c r="AH536" s="8" t="str">
        <f t="shared" si="128"/>
        <v/>
      </c>
      <c r="AI536" s="12"/>
      <c r="AZ536" s="12"/>
      <c r="BC536" s="12"/>
      <c r="BK536" s="12"/>
    </row>
    <row r="537" spans="1:63" x14ac:dyDescent="0.25">
      <c r="A537" s="29">
        <f t="shared" si="144"/>
        <v>0</v>
      </c>
      <c r="B537" s="29">
        <f t="shared" si="131"/>
        <v>0</v>
      </c>
      <c r="C537" s="29">
        <f t="shared" si="132"/>
        <v>0</v>
      </c>
      <c r="D537" s="29">
        <f t="shared" si="133"/>
        <v>0</v>
      </c>
      <c r="E537" s="29">
        <f t="shared" si="130"/>
        <v>0</v>
      </c>
      <c r="F537" s="29">
        <f t="shared" si="134"/>
        <v>0</v>
      </c>
      <c r="G537" s="29" t="str">
        <f t="shared" si="135"/>
        <v>offensive</v>
      </c>
      <c r="H537" s="16">
        <f t="shared" si="136"/>
        <v>0</v>
      </c>
      <c r="I537" s="16">
        <f t="shared" si="137"/>
        <v>0</v>
      </c>
      <c r="J537" s="16">
        <f t="shared" si="138"/>
        <v>0</v>
      </c>
      <c r="K537" s="16">
        <f t="shared" si="139"/>
        <v>0</v>
      </c>
      <c r="L537" s="67">
        <f t="shared" si="140"/>
        <v>0</v>
      </c>
      <c r="M537" s="4">
        <f t="shared" si="141"/>
        <v>0</v>
      </c>
      <c r="N537" s="4">
        <f t="shared" si="142"/>
        <v>0</v>
      </c>
      <c r="O537" s="4">
        <f t="shared" si="143"/>
        <v>0</v>
      </c>
      <c r="P537" s="4" t="e">
        <f>VLOOKUP(AJ529,'CIR Team Info'!$C$5:$E$44,2,FALSE)</f>
        <v>#N/A</v>
      </c>
      <c r="Q537" s="4" t="e">
        <f>VLOOKUP(AJ529,'CIR Team Info'!$C$5:$E$44,3,FALSE)</f>
        <v>#N/A</v>
      </c>
      <c r="R537" s="10" t="e">
        <f>VLOOKUP(AJ529,'FRC Site Data'!$B$3:$L$42,2,FALSE)</f>
        <v>#N/A</v>
      </c>
      <c r="S537" s="10" t="e">
        <f>VLOOKUP(AJ529,'FRC Site Data'!$B$3:$L$42,3,FALSE)</f>
        <v>#N/A</v>
      </c>
      <c r="T537" s="10" t="e">
        <f>VLOOKUP(AJ529,'FRC Site Data'!$B$3:$L$42,4,FALSE)</f>
        <v>#N/A</v>
      </c>
      <c r="U537" s="10" t="e">
        <f>VLOOKUP(AJ529,'FRC Site Data'!$B$3:$L$42,5,FALSE)</f>
        <v>#N/A</v>
      </c>
      <c r="V537" s="10" t="e">
        <f>VLOOKUP(AJ529,'FRC Site Data'!$B$3:$L$42,6,FALSE)</f>
        <v>#N/A</v>
      </c>
      <c r="W537" s="10" t="e">
        <f>VLOOKUP(AJ529,'FRC Site Data'!$B$3:$L$42,8,FALSE)</f>
        <v>#N/A</v>
      </c>
      <c r="X537" s="10" t="e">
        <f>VLOOKUP(AJ529,'FRC Site Data'!$B$3:$L$42,9,FALSE)</f>
        <v>#N/A</v>
      </c>
      <c r="Y537" s="10" t="e">
        <f>VLOOKUP(AJ529,'FRC Site Data'!$B$3:$L$42,10,FALSE)</f>
        <v>#N/A</v>
      </c>
      <c r="Z537" s="10" t="e">
        <f>VLOOKUP(AJ529,'FRC Site Data'!$B$3:$L$42,11,FALSE)</f>
        <v>#N/A</v>
      </c>
      <c r="AA537" s="10" t="e">
        <f>VLOOKUP(AJ529,'CIR Team Info'!$C$5:$E$44,4,FALSE)</f>
        <v>#N/A</v>
      </c>
      <c r="AB537" s="161" t="b">
        <f>ISNUMBER(VLOOKUP(AJ529,Match!$T$5:$T$10,1,FALSE))</f>
        <v>0</v>
      </c>
      <c r="AC537" s="161" t="b">
        <f>IF(AB537=TRUE,(VLOOKUP($AJ529,Match!$T$5:$U$10,2,FALSE)))</f>
        <v>0</v>
      </c>
      <c r="AD537" s="8">
        <v>3</v>
      </c>
      <c r="AE537" s="8">
        <v>2</v>
      </c>
      <c r="AF537" s="8">
        <v>2</v>
      </c>
      <c r="AG537" s="8">
        <v>1</v>
      </c>
      <c r="AH537" s="8" t="str">
        <f t="shared" si="128"/>
        <v/>
      </c>
      <c r="AI537" s="12"/>
      <c r="AZ537" s="12"/>
      <c r="BC537" s="12"/>
      <c r="BK537" s="12"/>
    </row>
    <row r="538" spans="1:63" x14ac:dyDescent="0.25">
      <c r="A538" s="29">
        <f t="shared" si="144"/>
        <v>0</v>
      </c>
      <c r="B538" s="29">
        <f t="shared" si="131"/>
        <v>0</v>
      </c>
      <c r="C538" s="29">
        <f t="shared" si="132"/>
        <v>0</v>
      </c>
      <c r="D538" s="29">
        <f t="shared" si="133"/>
        <v>0</v>
      </c>
      <c r="E538" s="29">
        <f t="shared" si="130"/>
        <v>0</v>
      </c>
      <c r="F538" s="29">
        <f t="shared" si="134"/>
        <v>0</v>
      </c>
      <c r="G538" s="29" t="str">
        <f t="shared" si="135"/>
        <v>offensive</v>
      </c>
      <c r="H538" s="16">
        <f t="shared" si="136"/>
        <v>0</v>
      </c>
      <c r="I538" s="16">
        <f t="shared" si="137"/>
        <v>0</v>
      </c>
      <c r="J538" s="16">
        <f t="shared" si="138"/>
        <v>0</v>
      </c>
      <c r="K538" s="16">
        <f t="shared" si="139"/>
        <v>0</v>
      </c>
      <c r="L538" s="67">
        <f t="shared" si="140"/>
        <v>0</v>
      </c>
      <c r="M538" s="4">
        <f t="shared" si="141"/>
        <v>0</v>
      </c>
      <c r="N538" s="4">
        <f t="shared" si="142"/>
        <v>0</v>
      </c>
      <c r="O538" s="4">
        <f t="shared" si="143"/>
        <v>0</v>
      </c>
      <c r="P538" s="4" t="e">
        <f>VLOOKUP(AJ530,'CIR Team Info'!$C$5:$E$44,2,FALSE)</f>
        <v>#N/A</v>
      </c>
      <c r="Q538" s="4" t="e">
        <f>VLOOKUP(AJ530,'CIR Team Info'!$C$5:$E$44,3,FALSE)</f>
        <v>#N/A</v>
      </c>
      <c r="R538" s="10" t="e">
        <f>VLOOKUP(AJ530,'FRC Site Data'!$B$3:$L$42,2,FALSE)</f>
        <v>#N/A</v>
      </c>
      <c r="S538" s="10" t="e">
        <f>VLOOKUP(AJ530,'FRC Site Data'!$B$3:$L$42,3,FALSE)</f>
        <v>#N/A</v>
      </c>
      <c r="T538" s="10" t="e">
        <f>VLOOKUP(AJ530,'FRC Site Data'!$B$3:$L$42,4,FALSE)</f>
        <v>#N/A</v>
      </c>
      <c r="U538" s="10" t="e">
        <f>VLOOKUP(AJ530,'FRC Site Data'!$B$3:$L$42,5,FALSE)</f>
        <v>#N/A</v>
      </c>
      <c r="V538" s="10" t="e">
        <f>VLOOKUP(AJ530,'FRC Site Data'!$B$3:$L$42,6,FALSE)</f>
        <v>#N/A</v>
      </c>
      <c r="W538" s="10" t="e">
        <f>VLOOKUP(AJ530,'FRC Site Data'!$B$3:$L$42,8,FALSE)</f>
        <v>#N/A</v>
      </c>
      <c r="X538" s="10" t="e">
        <f>VLOOKUP(AJ530,'FRC Site Data'!$B$3:$L$42,9,FALSE)</f>
        <v>#N/A</v>
      </c>
      <c r="Y538" s="10" t="e">
        <f>VLOOKUP(AJ530,'FRC Site Data'!$B$3:$L$42,10,FALSE)</f>
        <v>#N/A</v>
      </c>
      <c r="Z538" s="10" t="e">
        <f>VLOOKUP(AJ530,'FRC Site Data'!$B$3:$L$42,11,FALSE)</f>
        <v>#N/A</v>
      </c>
      <c r="AA538" s="10" t="e">
        <f>VLOOKUP(AJ530,'CIR Team Info'!$C$5:$E$44,4,FALSE)</f>
        <v>#N/A</v>
      </c>
      <c r="AB538" s="161" t="b">
        <f>ISNUMBER(VLOOKUP(AJ530,Match!$T$5:$T$10,1,FALSE))</f>
        <v>0</v>
      </c>
      <c r="AC538" s="161" t="b">
        <f>IF(AB538=TRUE,(VLOOKUP($AJ530,Match!$T$5:$U$10,2,FALSE)))</f>
        <v>0</v>
      </c>
      <c r="AD538" s="8">
        <v>3</v>
      </c>
      <c r="AE538" s="8">
        <v>2</v>
      </c>
      <c r="AF538" s="8">
        <v>2</v>
      </c>
      <c r="AG538" s="8">
        <v>1</v>
      </c>
      <c r="AH538" s="8" t="str">
        <f t="shared" si="128"/>
        <v/>
      </c>
      <c r="AI538" s="12"/>
      <c r="AZ538" s="12"/>
      <c r="BC538" s="12"/>
      <c r="BK538" s="12"/>
    </row>
    <row r="539" spans="1:63" x14ac:dyDescent="0.25">
      <c r="A539" s="29">
        <f t="shared" si="144"/>
        <v>0</v>
      </c>
      <c r="B539" s="29">
        <f t="shared" si="131"/>
        <v>0</v>
      </c>
      <c r="C539" s="29">
        <f t="shared" si="132"/>
        <v>0</v>
      </c>
      <c r="D539" s="29">
        <f t="shared" si="133"/>
        <v>0</v>
      </c>
      <c r="E539" s="29">
        <f t="shared" si="130"/>
        <v>0</v>
      </c>
      <c r="F539" s="29">
        <f t="shared" si="134"/>
        <v>0</v>
      </c>
      <c r="G539" s="29" t="str">
        <f t="shared" si="135"/>
        <v>offensive</v>
      </c>
      <c r="H539" s="16">
        <f t="shared" si="136"/>
        <v>0</v>
      </c>
      <c r="I539" s="16">
        <f t="shared" si="137"/>
        <v>0</v>
      </c>
      <c r="J539" s="16">
        <f t="shared" si="138"/>
        <v>0</v>
      </c>
      <c r="K539" s="16">
        <f t="shared" si="139"/>
        <v>0</v>
      </c>
      <c r="L539" s="67">
        <f t="shared" si="140"/>
        <v>0</v>
      </c>
      <c r="M539" s="4">
        <f t="shared" si="141"/>
        <v>0</v>
      </c>
      <c r="N539" s="4">
        <f t="shared" si="142"/>
        <v>0</v>
      </c>
      <c r="O539" s="4">
        <f t="shared" si="143"/>
        <v>0</v>
      </c>
      <c r="P539" s="4" t="e">
        <f>VLOOKUP(AJ531,'CIR Team Info'!$C$5:$E$44,2,FALSE)</f>
        <v>#N/A</v>
      </c>
      <c r="Q539" s="4" t="e">
        <f>VLOOKUP(AJ531,'CIR Team Info'!$C$5:$E$44,3,FALSE)</f>
        <v>#N/A</v>
      </c>
      <c r="R539" s="10" t="e">
        <f>VLOOKUP(AJ531,'FRC Site Data'!$B$3:$L$42,2,FALSE)</f>
        <v>#N/A</v>
      </c>
      <c r="S539" s="10" t="e">
        <f>VLOOKUP(AJ531,'FRC Site Data'!$B$3:$L$42,3,FALSE)</f>
        <v>#N/A</v>
      </c>
      <c r="T539" s="10" t="e">
        <f>VLOOKUP(AJ531,'FRC Site Data'!$B$3:$L$42,4,FALSE)</f>
        <v>#N/A</v>
      </c>
      <c r="U539" s="10" t="e">
        <f>VLOOKUP(AJ531,'FRC Site Data'!$B$3:$L$42,5,FALSE)</f>
        <v>#N/A</v>
      </c>
      <c r="V539" s="10" t="e">
        <f>VLOOKUP(AJ531,'FRC Site Data'!$B$3:$L$42,6,FALSE)</f>
        <v>#N/A</v>
      </c>
      <c r="W539" s="10" t="e">
        <f>VLOOKUP(AJ531,'FRC Site Data'!$B$3:$L$42,8,FALSE)</f>
        <v>#N/A</v>
      </c>
      <c r="X539" s="10" t="e">
        <f>VLOOKUP(AJ531,'FRC Site Data'!$B$3:$L$42,9,FALSE)</f>
        <v>#N/A</v>
      </c>
      <c r="Y539" s="10" t="e">
        <f>VLOOKUP(AJ531,'FRC Site Data'!$B$3:$L$42,10,FALSE)</f>
        <v>#N/A</v>
      </c>
      <c r="Z539" s="10" t="e">
        <f>VLOOKUP(AJ531,'FRC Site Data'!$B$3:$L$42,11,FALSE)</f>
        <v>#N/A</v>
      </c>
      <c r="AA539" s="10" t="e">
        <f>VLOOKUP(AJ531,'CIR Team Info'!$C$5:$E$44,4,FALSE)</f>
        <v>#N/A</v>
      </c>
      <c r="AB539" s="161" t="b">
        <f>ISNUMBER(VLOOKUP(AJ531,Match!$T$5:$T$10,1,FALSE))</f>
        <v>0</v>
      </c>
      <c r="AC539" s="161" t="b">
        <f>IF(AB539=TRUE,(VLOOKUP($AJ531,Match!$T$5:$U$10,2,FALSE)))</f>
        <v>0</v>
      </c>
      <c r="AD539" s="8">
        <v>3</v>
      </c>
      <c r="AE539" s="8">
        <v>2</v>
      </c>
      <c r="AF539" s="8">
        <v>2</v>
      </c>
      <c r="AG539" s="8">
        <v>1</v>
      </c>
      <c r="AH539" s="8" t="str">
        <f t="shared" ref="AH539:AH602" si="145">IF(AL531="Other","x","")</f>
        <v/>
      </c>
      <c r="AI539" s="12"/>
      <c r="AZ539" s="12"/>
      <c r="BC539" s="12"/>
      <c r="BK539" s="12"/>
    </row>
    <row r="540" spans="1:63" x14ac:dyDescent="0.25">
      <c r="A540" s="29">
        <f t="shared" si="144"/>
        <v>0</v>
      </c>
      <c r="B540" s="29">
        <f t="shared" si="131"/>
        <v>0</v>
      </c>
      <c r="C540" s="29">
        <f t="shared" si="132"/>
        <v>0</v>
      </c>
      <c r="D540" s="29">
        <f t="shared" si="133"/>
        <v>0</v>
      </c>
      <c r="E540" s="29">
        <f t="shared" si="130"/>
        <v>0</v>
      </c>
      <c r="F540" s="29">
        <f t="shared" si="134"/>
        <v>0</v>
      </c>
      <c r="G540" s="29" t="str">
        <f t="shared" si="135"/>
        <v>offensive</v>
      </c>
      <c r="H540" s="16">
        <f t="shared" si="136"/>
        <v>0</v>
      </c>
      <c r="I540" s="16">
        <f t="shared" si="137"/>
        <v>0</v>
      </c>
      <c r="J540" s="16">
        <f t="shared" si="138"/>
        <v>0</v>
      </c>
      <c r="K540" s="16">
        <f t="shared" si="139"/>
        <v>0</v>
      </c>
      <c r="L540" s="67">
        <f t="shared" si="140"/>
        <v>0</v>
      </c>
      <c r="M540" s="4">
        <f t="shared" si="141"/>
        <v>0</v>
      </c>
      <c r="N540" s="4">
        <f t="shared" si="142"/>
        <v>0</v>
      </c>
      <c r="O540" s="4">
        <f t="shared" si="143"/>
        <v>0</v>
      </c>
      <c r="P540" s="4" t="e">
        <f>VLOOKUP(AJ532,'CIR Team Info'!$C$5:$E$44,2,FALSE)</f>
        <v>#N/A</v>
      </c>
      <c r="Q540" s="4" t="e">
        <f>VLOOKUP(AJ532,'CIR Team Info'!$C$5:$E$44,3,FALSE)</f>
        <v>#N/A</v>
      </c>
      <c r="R540" s="10" t="e">
        <f>VLOOKUP(AJ532,'FRC Site Data'!$B$3:$L$42,2,FALSE)</f>
        <v>#N/A</v>
      </c>
      <c r="S540" s="10" t="e">
        <f>VLOOKUP(AJ532,'FRC Site Data'!$B$3:$L$42,3,FALSE)</f>
        <v>#N/A</v>
      </c>
      <c r="T540" s="10" t="e">
        <f>VLOOKUP(AJ532,'FRC Site Data'!$B$3:$L$42,4,FALSE)</f>
        <v>#N/A</v>
      </c>
      <c r="U540" s="10" t="e">
        <f>VLOOKUP(AJ532,'FRC Site Data'!$B$3:$L$42,5,FALSE)</f>
        <v>#N/A</v>
      </c>
      <c r="V540" s="10" t="e">
        <f>VLOOKUP(AJ532,'FRC Site Data'!$B$3:$L$42,6,FALSE)</f>
        <v>#N/A</v>
      </c>
      <c r="W540" s="10" t="e">
        <f>VLOOKUP(AJ532,'FRC Site Data'!$B$3:$L$42,8,FALSE)</f>
        <v>#N/A</v>
      </c>
      <c r="X540" s="10" t="e">
        <f>VLOOKUP(AJ532,'FRC Site Data'!$B$3:$L$42,9,FALSE)</f>
        <v>#N/A</v>
      </c>
      <c r="Y540" s="10" t="e">
        <f>VLOOKUP(AJ532,'FRC Site Data'!$B$3:$L$42,10,FALSE)</f>
        <v>#N/A</v>
      </c>
      <c r="Z540" s="10" t="e">
        <f>VLOOKUP(AJ532,'FRC Site Data'!$B$3:$L$42,11,FALSE)</f>
        <v>#N/A</v>
      </c>
      <c r="AA540" s="10" t="e">
        <f>VLOOKUP(AJ532,'CIR Team Info'!$C$5:$E$44,4,FALSE)</f>
        <v>#N/A</v>
      </c>
      <c r="AB540" s="161" t="b">
        <f>ISNUMBER(VLOOKUP(AJ532,Match!$T$5:$T$10,1,FALSE))</f>
        <v>0</v>
      </c>
      <c r="AC540" s="161" t="b">
        <f>IF(AB540=TRUE,(VLOOKUP($AJ532,Match!$T$5:$U$10,2,FALSE)))</f>
        <v>0</v>
      </c>
      <c r="AD540" s="8">
        <v>3</v>
      </c>
      <c r="AE540" s="8">
        <v>2</v>
      </c>
      <c r="AF540" s="8">
        <v>2</v>
      </c>
      <c r="AG540" s="8">
        <v>1</v>
      </c>
      <c r="AH540" s="8" t="str">
        <f t="shared" si="145"/>
        <v/>
      </c>
      <c r="AI540" s="12"/>
      <c r="AZ540" s="12"/>
      <c r="BC540" s="12"/>
      <c r="BK540" s="12"/>
    </row>
    <row r="541" spans="1:63" x14ac:dyDescent="0.25">
      <c r="A541" s="29">
        <f t="shared" si="144"/>
        <v>0</v>
      </c>
      <c r="B541" s="29">
        <f t="shared" si="131"/>
        <v>0</v>
      </c>
      <c r="C541" s="29">
        <f t="shared" si="132"/>
        <v>0</v>
      </c>
      <c r="D541" s="29">
        <f t="shared" si="133"/>
        <v>0</v>
      </c>
      <c r="E541" s="29">
        <f t="shared" si="130"/>
        <v>0</v>
      </c>
      <c r="F541" s="29">
        <f t="shared" si="134"/>
        <v>0</v>
      </c>
      <c r="G541" s="29" t="str">
        <f t="shared" si="135"/>
        <v>offensive</v>
      </c>
      <c r="H541" s="16">
        <f t="shared" si="136"/>
        <v>0</v>
      </c>
      <c r="I541" s="16">
        <f t="shared" si="137"/>
        <v>0</v>
      </c>
      <c r="J541" s="16">
        <f t="shared" si="138"/>
        <v>0</v>
      </c>
      <c r="K541" s="16">
        <f t="shared" si="139"/>
        <v>0</v>
      </c>
      <c r="L541" s="67">
        <f t="shared" si="140"/>
        <v>0</v>
      </c>
      <c r="M541" s="4">
        <f t="shared" si="141"/>
        <v>0</v>
      </c>
      <c r="N541" s="4">
        <f t="shared" si="142"/>
        <v>0</v>
      </c>
      <c r="O541" s="4">
        <f t="shared" si="143"/>
        <v>0</v>
      </c>
      <c r="P541" s="4" t="e">
        <f>VLOOKUP(AJ533,'CIR Team Info'!$C$5:$E$44,2,FALSE)</f>
        <v>#N/A</v>
      </c>
      <c r="Q541" s="4" t="e">
        <f>VLOOKUP(AJ533,'CIR Team Info'!$C$5:$E$44,3,FALSE)</f>
        <v>#N/A</v>
      </c>
      <c r="R541" s="10" t="e">
        <f>VLOOKUP(AJ533,'FRC Site Data'!$B$3:$L$42,2,FALSE)</f>
        <v>#N/A</v>
      </c>
      <c r="S541" s="10" t="e">
        <f>VLOOKUP(AJ533,'FRC Site Data'!$B$3:$L$42,3,FALSE)</f>
        <v>#N/A</v>
      </c>
      <c r="T541" s="10" t="e">
        <f>VLOOKUP(AJ533,'FRC Site Data'!$B$3:$L$42,4,FALSE)</f>
        <v>#N/A</v>
      </c>
      <c r="U541" s="10" t="e">
        <f>VLOOKUP(AJ533,'FRC Site Data'!$B$3:$L$42,5,FALSE)</f>
        <v>#N/A</v>
      </c>
      <c r="V541" s="10" t="e">
        <f>VLOOKUP(AJ533,'FRC Site Data'!$B$3:$L$42,6,FALSE)</f>
        <v>#N/A</v>
      </c>
      <c r="W541" s="10" t="e">
        <f>VLOOKUP(AJ533,'FRC Site Data'!$B$3:$L$42,8,FALSE)</f>
        <v>#N/A</v>
      </c>
      <c r="X541" s="10" t="e">
        <f>VLOOKUP(AJ533,'FRC Site Data'!$B$3:$L$42,9,FALSE)</f>
        <v>#N/A</v>
      </c>
      <c r="Y541" s="10" t="e">
        <f>VLOOKUP(AJ533,'FRC Site Data'!$B$3:$L$42,10,FALSE)</f>
        <v>#N/A</v>
      </c>
      <c r="Z541" s="10" t="e">
        <f>VLOOKUP(AJ533,'FRC Site Data'!$B$3:$L$42,11,FALSE)</f>
        <v>#N/A</v>
      </c>
      <c r="AA541" s="10" t="e">
        <f>VLOOKUP(AJ533,'CIR Team Info'!$C$5:$E$44,4,FALSE)</f>
        <v>#N/A</v>
      </c>
      <c r="AB541" s="161" t="b">
        <f>ISNUMBER(VLOOKUP(AJ533,Match!$T$5:$T$10,1,FALSE))</f>
        <v>0</v>
      </c>
      <c r="AC541" s="161" t="b">
        <f>IF(AB541=TRUE,(VLOOKUP($AJ533,Match!$T$5:$U$10,2,FALSE)))</f>
        <v>0</v>
      </c>
      <c r="AD541" s="8">
        <v>3</v>
      </c>
      <c r="AE541" s="8">
        <v>2</v>
      </c>
      <c r="AF541" s="8">
        <v>2</v>
      </c>
      <c r="AG541" s="8">
        <v>1</v>
      </c>
      <c r="AH541" s="8" t="str">
        <f t="shared" si="145"/>
        <v/>
      </c>
      <c r="AI541" s="12"/>
      <c r="AZ541" s="12"/>
      <c r="BC541" s="12"/>
      <c r="BK541" s="12"/>
    </row>
    <row r="542" spans="1:63" x14ac:dyDescent="0.25">
      <c r="A542" s="29">
        <f t="shared" si="144"/>
        <v>0</v>
      </c>
      <c r="B542" s="29">
        <f t="shared" si="131"/>
        <v>0</v>
      </c>
      <c r="C542" s="29">
        <f t="shared" si="132"/>
        <v>0</v>
      </c>
      <c r="D542" s="29">
        <f t="shared" si="133"/>
        <v>0</v>
      </c>
      <c r="E542" s="29">
        <f t="shared" si="130"/>
        <v>0</v>
      </c>
      <c r="F542" s="29">
        <f t="shared" si="134"/>
        <v>0</v>
      </c>
      <c r="G542" s="29" t="str">
        <f t="shared" si="135"/>
        <v>offensive</v>
      </c>
      <c r="H542" s="16">
        <f t="shared" si="136"/>
        <v>0</v>
      </c>
      <c r="I542" s="16">
        <f t="shared" si="137"/>
        <v>0</v>
      </c>
      <c r="J542" s="16">
        <f t="shared" si="138"/>
        <v>0</v>
      </c>
      <c r="K542" s="16">
        <f t="shared" si="139"/>
        <v>0</v>
      </c>
      <c r="L542" s="67">
        <f t="shared" si="140"/>
        <v>0</v>
      </c>
      <c r="M542" s="4">
        <f t="shared" si="141"/>
        <v>0</v>
      </c>
      <c r="N542" s="4">
        <f t="shared" si="142"/>
        <v>0</v>
      </c>
      <c r="O542" s="4">
        <f t="shared" si="143"/>
        <v>0</v>
      </c>
      <c r="P542" s="4" t="e">
        <f>VLOOKUP(AJ534,'CIR Team Info'!$C$5:$E$44,2,FALSE)</f>
        <v>#N/A</v>
      </c>
      <c r="Q542" s="4" t="e">
        <f>VLOOKUP(AJ534,'CIR Team Info'!$C$5:$E$44,3,FALSE)</f>
        <v>#N/A</v>
      </c>
      <c r="R542" s="10" t="e">
        <f>VLOOKUP(AJ534,'FRC Site Data'!$B$3:$L$42,2,FALSE)</f>
        <v>#N/A</v>
      </c>
      <c r="S542" s="10" t="e">
        <f>VLOOKUP(AJ534,'FRC Site Data'!$B$3:$L$42,3,FALSE)</f>
        <v>#N/A</v>
      </c>
      <c r="T542" s="10" t="e">
        <f>VLOOKUP(AJ534,'FRC Site Data'!$B$3:$L$42,4,FALSE)</f>
        <v>#N/A</v>
      </c>
      <c r="U542" s="10" t="e">
        <f>VLOOKUP(AJ534,'FRC Site Data'!$B$3:$L$42,5,FALSE)</f>
        <v>#N/A</v>
      </c>
      <c r="V542" s="10" t="e">
        <f>VLOOKUP(AJ534,'FRC Site Data'!$B$3:$L$42,6,FALSE)</f>
        <v>#N/A</v>
      </c>
      <c r="W542" s="10" t="e">
        <f>VLOOKUP(AJ534,'FRC Site Data'!$B$3:$L$42,8,FALSE)</f>
        <v>#N/A</v>
      </c>
      <c r="X542" s="10" t="e">
        <f>VLOOKUP(AJ534,'FRC Site Data'!$B$3:$L$42,9,FALSE)</f>
        <v>#N/A</v>
      </c>
      <c r="Y542" s="10" t="e">
        <f>VLOOKUP(AJ534,'FRC Site Data'!$B$3:$L$42,10,FALSE)</f>
        <v>#N/A</v>
      </c>
      <c r="Z542" s="10" t="e">
        <f>VLOOKUP(AJ534,'FRC Site Data'!$B$3:$L$42,11,FALSE)</f>
        <v>#N/A</v>
      </c>
      <c r="AA542" s="10" t="e">
        <f>VLOOKUP(AJ534,'CIR Team Info'!$C$5:$E$44,4,FALSE)</f>
        <v>#N/A</v>
      </c>
      <c r="AB542" s="161" t="b">
        <f>ISNUMBER(VLOOKUP(AJ534,Match!$T$5:$T$10,1,FALSE))</f>
        <v>0</v>
      </c>
      <c r="AC542" s="161" t="b">
        <f>IF(AB542=TRUE,(VLOOKUP($AJ534,Match!$T$5:$U$10,2,FALSE)))</f>
        <v>0</v>
      </c>
      <c r="AD542" s="8">
        <v>3</v>
      </c>
      <c r="AE542" s="8">
        <v>2</v>
      </c>
      <c r="AF542" s="8">
        <v>2</v>
      </c>
      <c r="AG542" s="8">
        <v>1</v>
      </c>
      <c r="AH542" s="8" t="str">
        <f t="shared" si="145"/>
        <v/>
      </c>
      <c r="AI542" s="12"/>
      <c r="AZ542" s="12"/>
      <c r="BC542" s="12"/>
      <c r="BK542" s="12"/>
    </row>
    <row r="543" spans="1:63" x14ac:dyDescent="0.25">
      <c r="A543" s="29">
        <f t="shared" si="144"/>
        <v>0</v>
      </c>
      <c r="B543" s="29">
        <f t="shared" si="131"/>
        <v>0</v>
      </c>
      <c r="C543" s="29">
        <f t="shared" si="132"/>
        <v>0</v>
      </c>
      <c r="D543" s="29">
        <f t="shared" si="133"/>
        <v>0</v>
      </c>
      <c r="E543" s="29">
        <f t="shared" si="130"/>
        <v>0</v>
      </c>
      <c r="F543" s="29">
        <f t="shared" si="134"/>
        <v>0</v>
      </c>
      <c r="G543" s="29" t="str">
        <f t="shared" si="135"/>
        <v>offensive</v>
      </c>
      <c r="H543" s="16">
        <f t="shared" si="136"/>
        <v>0</v>
      </c>
      <c r="I543" s="16">
        <f t="shared" si="137"/>
        <v>0</v>
      </c>
      <c r="J543" s="16">
        <f t="shared" si="138"/>
        <v>0</v>
      </c>
      <c r="K543" s="16">
        <f t="shared" si="139"/>
        <v>0</v>
      </c>
      <c r="L543" s="67">
        <f t="shared" si="140"/>
        <v>0</v>
      </c>
      <c r="M543" s="4">
        <f t="shared" si="141"/>
        <v>0</v>
      </c>
      <c r="N543" s="4">
        <f t="shared" si="142"/>
        <v>0</v>
      </c>
      <c r="O543" s="4">
        <f t="shared" si="143"/>
        <v>0</v>
      </c>
      <c r="P543" s="4" t="e">
        <f>VLOOKUP(AJ535,'CIR Team Info'!$C$5:$E$44,2,FALSE)</f>
        <v>#N/A</v>
      </c>
      <c r="Q543" s="4" t="e">
        <f>VLOOKUP(AJ535,'CIR Team Info'!$C$5:$E$44,3,FALSE)</f>
        <v>#N/A</v>
      </c>
      <c r="R543" s="10" t="e">
        <f>VLOOKUP(AJ535,'FRC Site Data'!$B$3:$L$42,2,FALSE)</f>
        <v>#N/A</v>
      </c>
      <c r="S543" s="10" t="e">
        <f>VLOOKUP(AJ535,'FRC Site Data'!$B$3:$L$42,3,FALSE)</f>
        <v>#N/A</v>
      </c>
      <c r="T543" s="10" t="e">
        <f>VLOOKUP(AJ535,'FRC Site Data'!$B$3:$L$42,4,FALSE)</f>
        <v>#N/A</v>
      </c>
      <c r="U543" s="10" t="e">
        <f>VLOOKUP(AJ535,'FRC Site Data'!$B$3:$L$42,5,FALSE)</f>
        <v>#N/A</v>
      </c>
      <c r="V543" s="10" t="e">
        <f>VLOOKUP(AJ535,'FRC Site Data'!$B$3:$L$42,6,FALSE)</f>
        <v>#N/A</v>
      </c>
      <c r="W543" s="10" t="e">
        <f>VLOOKUP(AJ535,'FRC Site Data'!$B$3:$L$42,8,FALSE)</f>
        <v>#N/A</v>
      </c>
      <c r="X543" s="10" t="e">
        <f>VLOOKUP(AJ535,'FRC Site Data'!$B$3:$L$42,9,FALSE)</f>
        <v>#N/A</v>
      </c>
      <c r="Y543" s="10" t="e">
        <f>VLOOKUP(AJ535,'FRC Site Data'!$B$3:$L$42,10,FALSE)</f>
        <v>#N/A</v>
      </c>
      <c r="Z543" s="10" t="e">
        <f>VLOOKUP(AJ535,'FRC Site Data'!$B$3:$L$42,11,FALSE)</f>
        <v>#N/A</v>
      </c>
      <c r="AA543" s="10" t="e">
        <f>VLOOKUP(AJ535,'CIR Team Info'!$C$5:$E$44,4,FALSE)</f>
        <v>#N/A</v>
      </c>
      <c r="AB543" s="161" t="b">
        <f>ISNUMBER(VLOOKUP(AJ535,Match!$T$5:$T$10,1,FALSE))</f>
        <v>0</v>
      </c>
      <c r="AC543" s="161" t="b">
        <f>IF(AB543=TRUE,(VLOOKUP($AJ535,Match!$T$5:$U$10,2,FALSE)))</f>
        <v>0</v>
      </c>
      <c r="AD543" s="8">
        <v>3</v>
      </c>
      <c r="AE543" s="8">
        <v>2</v>
      </c>
      <c r="AF543" s="8">
        <v>2</v>
      </c>
      <c r="AG543" s="8">
        <v>1</v>
      </c>
      <c r="AH543" s="8" t="str">
        <f t="shared" si="145"/>
        <v/>
      </c>
      <c r="AI543" s="12"/>
      <c r="AZ543" s="12"/>
      <c r="BC543" s="12"/>
      <c r="BK543" s="12"/>
    </row>
    <row r="544" spans="1:63" x14ac:dyDescent="0.25">
      <c r="A544" s="29">
        <f t="shared" si="144"/>
        <v>0</v>
      </c>
      <c r="B544" s="29">
        <f t="shared" si="131"/>
        <v>0</v>
      </c>
      <c r="C544" s="29">
        <f t="shared" si="132"/>
        <v>0</v>
      </c>
      <c r="D544" s="29">
        <f t="shared" si="133"/>
        <v>0</v>
      </c>
      <c r="E544" s="29">
        <f t="shared" si="130"/>
        <v>0</v>
      </c>
      <c r="F544" s="29">
        <f t="shared" si="134"/>
        <v>0</v>
      </c>
      <c r="G544" s="29" t="str">
        <f t="shared" si="135"/>
        <v>offensive</v>
      </c>
      <c r="H544" s="16">
        <f t="shared" si="136"/>
        <v>0</v>
      </c>
      <c r="I544" s="16">
        <f t="shared" si="137"/>
        <v>0</v>
      </c>
      <c r="J544" s="16">
        <f t="shared" si="138"/>
        <v>0</v>
      </c>
      <c r="K544" s="16">
        <f t="shared" si="139"/>
        <v>0</v>
      </c>
      <c r="L544" s="67">
        <f t="shared" si="140"/>
        <v>0</v>
      </c>
      <c r="M544" s="4">
        <f t="shared" si="141"/>
        <v>0</v>
      </c>
      <c r="N544" s="4">
        <f t="shared" si="142"/>
        <v>0</v>
      </c>
      <c r="O544" s="4">
        <f t="shared" si="143"/>
        <v>0</v>
      </c>
      <c r="P544" s="4" t="e">
        <f>VLOOKUP(AJ536,'CIR Team Info'!$C$5:$E$44,2,FALSE)</f>
        <v>#N/A</v>
      </c>
      <c r="Q544" s="4" t="e">
        <f>VLOOKUP(AJ536,'CIR Team Info'!$C$5:$E$44,3,FALSE)</f>
        <v>#N/A</v>
      </c>
      <c r="R544" s="10" t="e">
        <f>VLOOKUP(AJ536,'FRC Site Data'!$B$3:$L$42,2,FALSE)</f>
        <v>#N/A</v>
      </c>
      <c r="S544" s="10" t="e">
        <f>VLOOKUP(AJ536,'FRC Site Data'!$B$3:$L$42,3,FALSE)</f>
        <v>#N/A</v>
      </c>
      <c r="T544" s="10" t="e">
        <f>VLOOKUP(AJ536,'FRC Site Data'!$B$3:$L$42,4,FALSE)</f>
        <v>#N/A</v>
      </c>
      <c r="U544" s="10" t="e">
        <f>VLOOKUP(AJ536,'FRC Site Data'!$B$3:$L$42,5,FALSE)</f>
        <v>#N/A</v>
      </c>
      <c r="V544" s="10" t="e">
        <f>VLOOKUP(AJ536,'FRC Site Data'!$B$3:$L$42,6,FALSE)</f>
        <v>#N/A</v>
      </c>
      <c r="W544" s="10" t="e">
        <f>VLOOKUP(AJ536,'FRC Site Data'!$B$3:$L$42,8,FALSE)</f>
        <v>#N/A</v>
      </c>
      <c r="X544" s="10" t="e">
        <f>VLOOKUP(AJ536,'FRC Site Data'!$B$3:$L$42,9,FALSE)</f>
        <v>#N/A</v>
      </c>
      <c r="Y544" s="10" t="e">
        <f>VLOOKUP(AJ536,'FRC Site Data'!$B$3:$L$42,10,FALSE)</f>
        <v>#N/A</v>
      </c>
      <c r="Z544" s="10" t="e">
        <f>VLOOKUP(AJ536,'FRC Site Data'!$B$3:$L$42,11,FALSE)</f>
        <v>#N/A</v>
      </c>
      <c r="AA544" s="10" t="e">
        <f>VLOOKUP(AJ536,'CIR Team Info'!$C$5:$E$44,4,FALSE)</f>
        <v>#N/A</v>
      </c>
      <c r="AB544" s="161" t="b">
        <f>ISNUMBER(VLOOKUP(AJ536,Match!$T$5:$T$10,1,FALSE))</f>
        <v>0</v>
      </c>
      <c r="AC544" s="161" t="b">
        <f>IF(AB544=TRUE,(VLOOKUP($AJ536,Match!$T$5:$U$10,2,FALSE)))</f>
        <v>0</v>
      </c>
      <c r="AD544" s="8">
        <v>3</v>
      </c>
      <c r="AE544" s="8">
        <v>2</v>
      </c>
      <c r="AF544" s="8">
        <v>2</v>
      </c>
      <c r="AG544" s="8">
        <v>1</v>
      </c>
      <c r="AH544" s="8" t="str">
        <f t="shared" si="145"/>
        <v/>
      </c>
      <c r="AI544" s="12"/>
      <c r="AZ544" s="12"/>
      <c r="BC544" s="12"/>
      <c r="BK544" s="12"/>
    </row>
    <row r="545" spans="1:63" x14ac:dyDescent="0.25">
      <c r="A545" s="29">
        <f t="shared" si="144"/>
        <v>0</v>
      </c>
      <c r="B545" s="29">
        <f t="shared" si="131"/>
        <v>0</v>
      </c>
      <c r="C545" s="29">
        <f t="shared" si="132"/>
        <v>0</v>
      </c>
      <c r="D545" s="29">
        <f t="shared" si="133"/>
        <v>0</v>
      </c>
      <c r="E545" s="29">
        <f t="shared" si="130"/>
        <v>0</v>
      </c>
      <c r="F545" s="29">
        <f t="shared" si="134"/>
        <v>0</v>
      </c>
      <c r="G545" s="29" t="str">
        <f t="shared" si="135"/>
        <v>offensive</v>
      </c>
      <c r="H545" s="16">
        <f t="shared" si="136"/>
        <v>0</v>
      </c>
      <c r="I545" s="16">
        <f t="shared" si="137"/>
        <v>0</v>
      </c>
      <c r="J545" s="16">
        <f t="shared" si="138"/>
        <v>0</v>
      </c>
      <c r="K545" s="16">
        <f t="shared" si="139"/>
        <v>0</v>
      </c>
      <c r="L545" s="67">
        <f t="shared" si="140"/>
        <v>0</v>
      </c>
      <c r="M545" s="4">
        <f t="shared" si="141"/>
        <v>0</v>
      </c>
      <c r="N545" s="4">
        <f t="shared" si="142"/>
        <v>0</v>
      </c>
      <c r="O545" s="4">
        <f t="shared" si="143"/>
        <v>0</v>
      </c>
      <c r="P545" s="4" t="e">
        <f>VLOOKUP(AJ537,'CIR Team Info'!$C$5:$E$44,2,FALSE)</f>
        <v>#N/A</v>
      </c>
      <c r="Q545" s="4" t="e">
        <f>VLOOKUP(AJ537,'CIR Team Info'!$C$5:$E$44,3,FALSE)</f>
        <v>#N/A</v>
      </c>
      <c r="R545" s="10" t="e">
        <f>VLOOKUP(AJ537,'FRC Site Data'!$B$3:$L$42,2,FALSE)</f>
        <v>#N/A</v>
      </c>
      <c r="S545" s="10" t="e">
        <f>VLOOKUP(AJ537,'FRC Site Data'!$B$3:$L$42,3,FALSE)</f>
        <v>#N/A</v>
      </c>
      <c r="T545" s="10" t="e">
        <f>VLOOKUP(AJ537,'FRC Site Data'!$B$3:$L$42,4,FALSE)</f>
        <v>#N/A</v>
      </c>
      <c r="U545" s="10" t="e">
        <f>VLOOKUP(AJ537,'FRC Site Data'!$B$3:$L$42,5,FALSE)</f>
        <v>#N/A</v>
      </c>
      <c r="V545" s="10" t="e">
        <f>VLOOKUP(AJ537,'FRC Site Data'!$B$3:$L$42,6,FALSE)</f>
        <v>#N/A</v>
      </c>
      <c r="W545" s="10" t="e">
        <f>VLOOKUP(AJ537,'FRC Site Data'!$B$3:$L$42,8,FALSE)</f>
        <v>#N/A</v>
      </c>
      <c r="X545" s="10" t="e">
        <f>VLOOKUP(AJ537,'FRC Site Data'!$B$3:$L$42,9,FALSE)</f>
        <v>#N/A</v>
      </c>
      <c r="Y545" s="10" t="e">
        <f>VLOOKUP(AJ537,'FRC Site Data'!$B$3:$L$42,10,FALSE)</f>
        <v>#N/A</v>
      </c>
      <c r="Z545" s="10" t="e">
        <f>VLOOKUP(AJ537,'FRC Site Data'!$B$3:$L$42,11,FALSE)</f>
        <v>#N/A</v>
      </c>
      <c r="AA545" s="10" t="e">
        <f>VLOOKUP(AJ537,'CIR Team Info'!$C$5:$E$44,4,FALSE)</f>
        <v>#N/A</v>
      </c>
      <c r="AB545" s="161" t="b">
        <f>ISNUMBER(VLOOKUP(AJ537,Match!$T$5:$T$10,1,FALSE))</f>
        <v>0</v>
      </c>
      <c r="AC545" s="161" t="b">
        <f>IF(AB545=TRUE,(VLOOKUP($AJ537,Match!$T$5:$U$10,2,FALSE)))</f>
        <v>0</v>
      </c>
      <c r="AD545" s="8">
        <v>3</v>
      </c>
      <c r="AE545" s="8">
        <v>2</v>
      </c>
      <c r="AF545" s="8">
        <v>2</v>
      </c>
      <c r="AG545" s="8">
        <v>1</v>
      </c>
      <c r="AH545" s="8" t="str">
        <f t="shared" si="145"/>
        <v/>
      </c>
      <c r="AI545" s="12"/>
      <c r="AZ545" s="12"/>
      <c r="BC545" s="12"/>
      <c r="BK545" s="12"/>
    </row>
    <row r="546" spans="1:63" x14ac:dyDescent="0.25">
      <c r="A546" s="29">
        <f t="shared" si="144"/>
        <v>0</v>
      </c>
      <c r="B546" s="29">
        <f t="shared" si="131"/>
        <v>0</v>
      </c>
      <c r="C546" s="29">
        <f t="shared" si="132"/>
        <v>0</v>
      </c>
      <c r="D546" s="29">
        <f t="shared" si="133"/>
        <v>0</v>
      </c>
      <c r="E546" s="29">
        <f t="shared" si="130"/>
        <v>0</v>
      </c>
      <c r="F546" s="29">
        <f t="shared" si="134"/>
        <v>0</v>
      </c>
      <c r="G546" s="29" t="str">
        <f t="shared" si="135"/>
        <v>offensive</v>
      </c>
      <c r="H546" s="16">
        <f t="shared" si="136"/>
        <v>0</v>
      </c>
      <c r="I546" s="16">
        <f t="shared" si="137"/>
        <v>0</v>
      </c>
      <c r="J546" s="16">
        <f t="shared" si="138"/>
        <v>0</v>
      </c>
      <c r="K546" s="16">
        <f t="shared" si="139"/>
        <v>0</v>
      </c>
      <c r="L546" s="67">
        <f t="shared" si="140"/>
        <v>0</v>
      </c>
      <c r="M546" s="4">
        <f t="shared" si="141"/>
        <v>0</v>
      </c>
      <c r="N546" s="4">
        <f t="shared" si="142"/>
        <v>0</v>
      </c>
      <c r="O546" s="4">
        <f t="shared" si="143"/>
        <v>0</v>
      </c>
      <c r="P546" s="4" t="e">
        <f>VLOOKUP(AJ538,'CIR Team Info'!$C$5:$E$44,2,FALSE)</f>
        <v>#N/A</v>
      </c>
      <c r="Q546" s="4" t="e">
        <f>VLOOKUP(AJ538,'CIR Team Info'!$C$5:$E$44,3,FALSE)</f>
        <v>#N/A</v>
      </c>
      <c r="R546" s="10" t="e">
        <f>VLOOKUP(AJ538,'FRC Site Data'!$B$3:$L$42,2,FALSE)</f>
        <v>#N/A</v>
      </c>
      <c r="S546" s="10" t="e">
        <f>VLOOKUP(AJ538,'FRC Site Data'!$B$3:$L$42,3,FALSE)</f>
        <v>#N/A</v>
      </c>
      <c r="T546" s="10" t="e">
        <f>VLOOKUP(AJ538,'FRC Site Data'!$B$3:$L$42,4,FALSE)</f>
        <v>#N/A</v>
      </c>
      <c r="U546" s="10" t="e">
        <f>VLOOKUP(AJ538,'FRC Site Data'!$B$3:$L$42,5,FALSE)</f>
        <v>#N/A</v>
      </c>
      <c r="V546" s="10" t="e">
        <f>VLOOKUP(AJ538,'FRC Site Data'!$B$3:$L$42,6,FALSE)</f>
        <v>#N/A</v>
      </c>
      <c r="W546" s="10" t="e">
        <f>VLOOKUP(AJ538,'FRC Site Data'!$B$3:$L$42,8,FALSE)</f>
        <v>#N/A</v>
      </c>
      <c r="X546" s="10" t="e">
        <f>VLOOKUP(AJ538,'FRC Site Data'!$B$3:$L$42,9,FALSE)</f>
        <v>#N/A</v>
      </c>
      <c r="Y546" s="10" t="e">
        <f>VLOOKUP(AJ538,'FRC Site Data'!$B$3:$L$42,10,FALSE)</f>
        <v>#N/A</v>
      </c>
      <c r="Z546" s="10" t="e">
        <f>VLOOKUP(AJ538,'FRC Site Data'!$B$3:$L$42,11,FALSE)</f>
        <v>#N/A</v>
      </c>
      <c r="AA546" s="10" t="e">
        <f>VLOOKUP(AJ538,'CIR Team Info'!$C$5:$E$44,4,FALSE)</f>
        <v>#N/A</v>
      </c>
      <c r="AB546" s="161" t="b">
        <f>ISNUMBER(VLOOKUP(AJ538,Match!$T$5:$T$10,1,FALSE))</f>
        <v>0</v>
      </c>
      <c r="AC546" s="161" t="b">
        <f>IF(AB546=TRUE,(VLOOKUP($AJ538,Match!$T$5:$U$10,2,FALSE)))</f>
        <v>0</v>
      </c>
      <c r="AD546" s="8">
        <v>3</v>
      </c>
      <c r="AE546" s="8">
        <v>2</v>
      </c>
      <c r="AF546" s="8">
        <v>2</v>
      </c>
      <c r="AG546" s="8">
        <v>1</v>
      </c>
      <c r="AH546" s="8" t="str">
        <f t="shared" si="145"/>
        <v/>
      </c>
      <c r="AI546" s="12"/>
      <c r="AZ546" s="12"/>
      <c r="BC546" s="12"/>
      <c r="BK546" s="12"/>
    </row>
    <row r="547" spans="1:63" x14ac:dyDescent="0.25">
      <c r="A547" s="29">
        <f t="shared" si="144"/>
        <v>0</v>
      </c>
      <c r="B547" s="29">
        <f t="shared" si="131"/>
        <v>0</v>
      </c>
      <c r="C547" s="29">
        <f t="shared" si="132"/>
        <v>0</v>
      </c>
      <c r="D547" s="29">
        <f t="shared" si="133"/>
        <v>0</v>
      </c>
      <c r="E547" s="29">
        <f t="shared" si="130"/>
        <v>0</v>
      </c>
      <c r="F547" s="29">
        <f t="shared" si="134"/>
        <v>0</v>
      </c>
      <c r="G547" s="29" t="str">
        <f t="shared" si="135"/>
        <v>offensive</v>
      </c>
      <c r="H547" s="16">
        <f t="shared" si="136"/>
        <v>0</v>
      </c>
      <c r="I547" s="16">
        <f t="shared" si="137"/>
        <v>0</v>
      </c>
      <c r="J547" s="16">
        <f t="shared" si="138"/>
        <v>0</v>
      </c>
      <c r="K547" s="16">
        <f t="shared" si="139"/>
        <v>0</v>
      </c>
      <c r="L547" s="67">
        <f t="shared" si="140"/>
        <v>0</v>
      </c>
      <c r="M547" s="4">
        <f t="shared" si="141"/>
        <v>0</v>
      </c>
      <c r="N547" s="4">
        <f t="shared" si="142"/>
        <v>0</v>
      </c>
      <c r="O547" s="4">
        <f t="shared" si="143"/>
        <v>0</v>
      </c>
      <c r="P547" s="4" t="e">
        <f>VLOOKUP(AJ539,'CIR Team Info'!$C$5:$E$44,2,FALSE)</f>
        <v>#N/A</v>
      </c>
      <c r="Q547" s="4" t="e">
        <f>VLOOKUP(AJ539,'CIR Team Info'!$C$5:$E$44,3,FALSE)</f>
        <v>#N/A</v>
      </c>
      <c r="R547" s="10" t="e">
        <f>VLOOKUP(AJ539,'FRC Site Data'!$B$3:$L$42,2,FALSE)</f>
        <v>#N/A</v>
      </c>
      <c r="S547" s="10" t="e">
        <f>VLOOKUP(AJ539,'FRC Site Data'!$B$3:$L$42,3,FALSE)</f>
        <v>#N/A</v>
      </c>
      <c r="T547" s="10" t="e">
        <f>VLOOKUP(AJ539,'FRC Site Data'!$B$3:$L$42,4,FALSE)</f>
        <v>#N/A</v>
      </c>
      <c r="U547" s="10" t="e">
        <f>VLOOKUP(AJ539,'FRC Site Data'!$B$3:$L$42,5,FALSE)</f>
        <v>#N/A</v>
      </c>
      <c r="V547" s="10" t="e">
        <f>VLOOKUP(AJ539,'FRC Site Data'!$B$3:$L$42,6,FALSE)</f>
        <v>#N/A</v>
      </c>
      <c r="W547" s="10" t="e">
        <f>VLOOKUP(AJ539,'FRC Site Data'!$B$3:$L$42,8,FALSE)</f>
        <v>#N/A</v>
      </c>
      <c r="X547" s="10" t="e">
        <f>VLOOKUP(AJ539,'FRC Site Data'!$B$3:$L$42,9,FALSE)</f>
        <v>#N/A</v>
      </c>
      <c r="Y547" s="10" t="e">
        <f>VLOOKUP(AJ539,'FRC Site Data'!$B$3:$L$42,10,FALSE)</f>
        <v>#N/A</v>
      </c>
      <c r="Z547" s="10" t="e">
        <f>VLOOKUP(AJ539,'FRC Site Data'!$B$3:$L$42,11,FALSE)</f>
        <v>#N/A</v>
      </c>
      <c r="AA547" s="10" t="e">
        <f>VLOOKUP(AJ539,'CIR Team Info'!$C$5:$E$44,4,FALSE)</f>
        <v>#N/A</v>
      </c>
      <c r="AB547" s="161" t="b">
        <f>ISNUMBER(VLOOKUP(AJ539,Match!$T$5:$T$10,1,FALSE))</f>
        <v>0</v>
      </c>
      <c r="AC547" s="161" t="b">
        <f>IF(AB547=TRUE,(VLOOKUP($AJ539,Match!$T$5:$U$10,2,FALSE)))</f>
        <v>0</v>
      </c>
      <c r="AD547" s="8">
        <v>3</v>
      </c>
      <c r="AE547" s="8">
        <v>2</v>
      </c>
      <c r="AF547" s="8">
        <v>2</v>
      </c>
      <c r="AG547" s="8">
        <v>1</v>
      </c>
      <c r="AH547" s="8" t="str">
        <f t="shared" si="145"/>
        <v/>
      </c>
      <c r="AI547" s="12"/>
      <c r="AZ547" s="12"/>
      <c r="BC547" s="12"/>
      <c r="BK547" s="12"/>
    </row>
    <row r="548" spans="1:63" x14ac:dyDescent="0.25">
      <c r="A548" s="29">
        <f t="shared" si="144"/>
        <v>0</v>
      </c>
      <c r="B548" s="29">
        <f t="shared" si="131"/>
        <v>0</v>
      </c>
      <c r="C548" s="29">
        <f t="shared" si="132"/>
        <v>0</v>
      </c>
      <c r="D548" s="29">
        <f t="shared" si="133"/>
        <v>0</v>
      </c>
      <c r="E548" s="29">
        <f t="shared" si="130"/>
        <v>0</v>
      </c>
      <c r="F548" s="29">
        <f t="shared" si="134"/>
        <v>0</v>
      </c>
      <c r="G548" s="29" t="str">
        <f t="shared" si="135"/>
        <v>offensive</v>
      </c>
      <c r="H548" s="16">
        <f t="shared" si="136"/>
        <v>0</v>
      </c>
      <c r="I548" s="16">
        <f t="shared" si="137"/>
        <v>0</v>
      </c>
      <c r="J548" s="16">
        <f t="shared" si="138"/>
        <v>0</v>
      </c>
      <c r="K548" s="16">
        <f t="shared" si="139"/>
        <v>0</v>
      </c>
      <c r="L548" s="67">
        <f t="shared" si="140"/>
        <v>0</v>
      </c>
      <c r="M548" s="4">
        <f t="shared" si="141"/>
        <v>0</v>
      </c>
      <c r="N548" s="4">
        <f t="shared" si="142"/>
        <v>0</v>
      </c>
      <c r="O548" s="4">
        <f t="shared" si="143"/>
        <v>0</v>
      </c>
      <c r="P548" s="4" t="e">
        <f>VLOOKUP(AJ540,'CIR Team Info'!$C$5:$E$44,2,FALSE)</f>
        <v>#N/A</v>
      </c>
      <c r="Q548" s="4" t="e">
        <f>VLOOKUP(AJ540,'CIR Team Info'!$C$5:$E$44,3,FALSE)</f>
        <v>#N/A</v>
      </c>
      <c r="R548" s="10" t="e">
        <f>VLOOKUP(AJ540,'FRC Site Data'!$B$3:$L$42,2,FALSE)</f>
        <v>#N/A</v>
      </c>
      <c r="S548" s="10" t="e">
        <f>VLOOKUP(AJ540,'FRC Site Data'!$B$3:$L$42,3,FALSE)</f>
        <v>#N/A</v>
      </c>
      <c r="T548" s="10" t="e">
        <f>VLOOKUP(AJ540,'FRC Site Data'!$B$3:$L$42,4,FALSE)</f>
        <v>#N/A</v>
      </c>
      <c r="U548" s="10" t="e">
        <f>VLOOKUP(AJ540,'FRC Site Data'!$B$3:$L$42,5,FALSE)</f>
        <v>#N/A</v>
      </c>
      <c r="V548" s="10" t="e">
        <f>VLOOKUP(AJ540,'FRC Site Data'!$B$3:$L$42,6,FALSE)</f>
        <v>#N/A</v>
      </c>
      <c r="W548" s="10" t="e">
        <f>VLOOKUP(AJ540,'FRC Site Data'!$B$3:$L$42,8,FALSE)</f>
        <v>#N/A</v>
      </c>
      <c r="X548" s="10" t="e">
        <f>VLOOKUP(AJ540,'FRC Site Data'!$B$3:$L$42,9,FALSE)</f>
        <v>#N/A</v>
      </c>
      <c r="Y548" s="10" t="e">
        <f>VLOOKUP(AJ540,'FRC Site Data'!$B$3:$L$42,10,FALSE)</f>
        <v>#N/A</v>
      </c>
      <c r="Z548" s="10" t="e">
        <f>VLOOKUP(AJ540,'FRC Site Data'!$B$3:$L$42,11,FALSE)</f>
        <v>#N/A</v>
      </c>
      <c r="AA548" s="10" t="e">
        <f>VLOOKUP(AJ540,'CIR Team Info'!$C$5:$E$44,4,FALSE)</f>
        <v>#N/A</v>
      </c>
      <c r="AB548" s="161" t="b">
        <f>ISNUMBER(VLOOKUP(AJ540,Match!$T$5:$T$10,1,FALSE))</f>
        <v>0</v>
      </c>
      <c r="AC548" s="161" t="b">
        <f>IF(AB548=TRUE,(VLOOKUP($AJ540,Match!$T$5:$U$10,2,FALSE)))</f>
        <v>0</v>
      </c>
      <c r="AD548" s="8">
        <v>3</v>
      </c>
      <c r="AE548" s="8">
        <v>2</v>
      </c>
      <c r="AF548" s="8">
        <v>2</v>
      </c>
      <c r="AG548" s="8">
        <v>1</v>
      </c>
      <c r="AH548" s="8" t="str">
        <f t="shared" si="145"/>
        <v/>
      </c>
      <c r="AI548" s="12"/>
      <c r="AZ548" s="12"/>
      <c r="BC548" s="12"/>
      <c r="BK548" s="12"/>
    </row>
    <row r="549" spans="1:63" x14ac:dyDescent="0.25">
      <c r="A549" s="29">
        <f t="shared" si="144"/>
        <v>0</v>
      </c>
      <c r="B549" s="29">
        <f t="shared" si="131"/>
        <v>0</v>
      </c>
      <c r="C549" s="29">
        <f t="shared" si="132"/>
        <v>0</v>
      </c>
      <c r="D549" s="29">
        <f t="shared" si="133"/>
        <v>0</v>
      </c>
      <c r="E549" s="29">
        <f t="shared" si="130"/>
        <v>0</v>
      </c>
      <c r="F549" s="29">
        <f t="shared" si="134"/>
        <v>0</v>
      </c>
      <c r="G549" s="29" t="str">
        <f t="shared" si="135"/>
        <v>offensive</v>
      </c>
      <c r="H549" s="16">
        <f t="shared" si="136"/>
        <v>0</v>
      </c>
      <c r="I549" s="16">
        <f t="shared" si="137"/>
        <v>0</v>
      </c>
      <c r="J549" s="16">
        <f t="shared" si="138"/>
        <v>0</v>
      </c>
      <c r="K549" s="16">
        <f t="shared" si="139"/>
        <v>0</v>
      </c>
      <c r="L549" s="67">
        <f t="shared" si="140"/>
        <v>0</v>
      </c>
      <c r="M549" s="4">
        <f t="shared" si="141"/>
        <v>0</v>
      </c>
      <c r="N549" s="4">
        <f t="shared" si="142"/>
        <v>0</v>
      </c>
      <c r="O549" s="4">
        <f t="shared" si="143"/>
        <v>0</v>
      </c>
      <c r="P549" s="4" t="e">
        <f>VLOOKUP(AJ541,'CIR Team Info'!$C$5:$E$44,2,FALSE)</f>
        <v>#N/A</v>
      </c>
      <c r="Q549" s="4" t="e">
        <f>VLOOKUP(AJ541,'CIR Team Info'!$C$5:$E$44,3,FALSE)</f>
        <v>#N/A</v>
      </c>
      <c r="R549" s="10" t="e">
        <f>VLOOKUP(AJ541,'FRC Site Data'!$B$3:$L$42,2,FALSE)</f>
        <v>#N/A</v>
      </c>
      <c r="S549" s="10" t="e">
        <f>VLOOKUP(AJ541,'FRC Site Data'!$B$3:$L$42,3,FALSE)</f>
        <v>#N/A</v>
      </c>
      <c r="T549" s="10" t="e">
        <f>VLOOKUP(AJ541,'FRC Site Data'!$B$3:$L$42,4,FALSE)</f>
        <v>#N/A</v>
      </c>
      <c r="U549" s="10" t="e">
        <f>VLOOKUP(AJ541,'FRC Site Data'!$B$3:$L$42,5,FALSE)</f>
        <v>#N/A</v>
      </c>
      <c r="V549" s="10" t="e">
        <f>VLOOKUP(AJ541,'FRC Site Data'!$B$3:$L$42,6,FALSE)</f>
        <v>#N/A</v>
      </c>
      <c r="W549" s="10" t="e">
        <f>VLOOKUP(AJ541,'FRC Site Data'!$B$3:$L$42,8,FALSE)</f>
        <v>#N/A</v>
      </c>
      <c r="X549" s="10" t="e">
        <f>VLOOKUP(AJ541,'FRC Site Data'!$B$3:$L$42,9,FALSE)</f>
        <v>#N/A</v>
      </c>
      <c r="Y549" s="10" t="e">
        <f>VLOOKUP(AJ541,'FRC Site Data'!$B$3:$L$42,10,FALSE)</f>
        <v>#N/A</v>
      </c>
      <c r="Z549" s="10" t="e">
        <f>VLOOKUP(AJ541,'FRC Site Data'!$B$3:$L$42,11,FALSE)</f>
        <v>#N/A</v>
      </c>
      <c r="AA549" s="10" t="e">
        <f>VLOOKUP(AJ541,'CIR Team Info'!$C$5:$E$44,4,FALSE)</f>
        <v>#N/A</v>
      </c>
      <c r="AB549" s="161" t="b">
        <f>ISNUMBER(VLOOKUP(AJ541,Match!$T$5:$T$10,1,FALSE))</f>
        <v>0</v>
      </c>
      <c r="AC549" s="161" t="b">
        <f>IF(AB549=TRUE,(VLOOKUP($AJ541,Match!$T$5:$U$10,2,FALSE)))</f>
        <v>0</v>
      </c>
      <c r="AD549" s="8">
        <v>3</v>
      </c>
      <c r="AE549" s="8">
        <v>2</v>
      </c>
      <c r="AF549" s="8">
        <v>2</v>
      </c>
      <c r="AG549" s="8">
        <v>1</v>
      </c>
      <c r="AH549" s="8" t="str">
        <f t="shared" si="145"/>
        <v/>
      </c>
      <c r="AI549" s="12"/>
      <c r="AZ549" s="12"/>
      <c r="BC549" s="12"/>
      <c r="BK549" s="12"/>
    </row>
    <row r="550" spans="1:63" x14ac:dyDescent="0.25">
      <c r="A550" s="29">
        <f t="shared" si="144"/>
        <v>0</v>
      </c>
      <c r="B550" s="29">
        <f t="shared" si="131"/>
        <v>0</v>
      </c>
      <c r="C550" s="29">
        <f t="shared" si="132"/>
        <v>0</v>
      </c>
      <c r="D550" s="29">
        <f t="shared" si="133"/>
        <v>0</v>
      </c>
      <c r="E550" s="29">
        <f t="shared" si="130"/>
        <v>0</v>
      </c>
      <c r="F550" s="29">
        <f t="shared" si="134"/>
        <v>0</v>
      </c>
      <c r="G550" s="29" t="str">
        <f t="shared" si="135"/>
        <v>offensive</v>
      </c>
      <c r="H550" s="16">
        <f t="shared" si="136"/>
        <v>0</v>
      </c>
      <c r="I550" s="16">
        <f t="shared" si="137"/>
        <v>0</v>
      </c>
      <c r="J550" s="16">
        <f t="shared" si="138"/>
        <v>0</v>
      </c>
      <c r="K550" s="16">
        <f t="shared" si="139"/>
        <v>0</v>
      </c>
      <c r="L550" s="67">
        <f t="shared" si="140"/>
        <v>0</v>
      </c>
      <c r="M550" s="4">
        <f t="shared" si="141"/>
        <v>0</v>
      </c>
      <c r="N550" s="4">
        <f t="shared" si="142"/>
        <v>0</v>
      </c>
      <c r="O550" s="4">
        <f t="shared" si="143"/>
        <v>0</v>
      </c>
      <c r="P550" s="4" t="e">
        <f>VLOOKUP(AJ542,'CIR Team Info'!$C$5:$E$44,2,FALSE)</f>
        <v>#N/A</v>
      </c>
      <c r="Q550" s="4" t="e">
        <f>VLOOKUP(AJ542,'CIR Team Info'!$C$5:$E$44,3,FALSE)</f>
        <v>#N/A</v>
      </c>
      <c r="R550" s="10" t="e">
        <f>VLOOKUP(AJ542,'FRC Site Data'!$B$3:$L$42,2,FALSE)</f>
        <v>#N/A</v>
      </c>
      <c r="S550" s="10" t="e">
        <f>VLOOKUP(AJ542,'FRC Site Data'!$B$3:$L$42,3,FALSE)</f>
        <v>#N/A</v>
      </c>
      <c r="T550" s="10" t="e">
        <f>VLOOKUP(AJ542,'FRC Site Data'!$B$3:$L$42,4,FALSE)</f>
        <v>#N/A</v>
      </c>
      <c r="U550" s="10" t="e">
        <f>VLOOKUP(AJ542,'FRC Site Data'!$B$3:$L$42,5,FALSE)</f>
        <v>#N/A</v>
      </c>
      <c r="V550" s="10" t="e">
        <f>VLOOKUP(AJ542,'FRC Site Data'!$B$3:$L$42,6,FALSE)</f>
        <v>#N/A</v>
      </c>
      <c r="W550" s="10" t="e">
        <f>VLOOKUP(AJ542,'FRC Site Data'!$B$3:$L$42,8,FALSE)</f>
        <v>#N/A</v>
      </c>
      <c r="X550" s="10" t="e">
        <f>VLOOKUP(AJ542,'FRC Site Data'!$B$3:$L$42,9,FALSE)</f>
        <v>#N/A</v>
      </c>
      <c r="Y550" s="10" t="e">
        <f>VLOOKUP(AJ542,'FRC Site Data'!$B$3:$L$42,10,FALSE)</f>
        <v>#N/A</v>
      </c>
      <c r="Z550" s="10" t="e">
        <f>VLOOKUP(AJ542,'FRC Site Data'!$B$3:$L$42,11,FALSE)</f>
        <v>#N/A</v>
      </c>
      <c r="AA550" s="10" t="e">
        <f>VLOOKUP(AJ542,'CIR Team Info'!$C$5:$E$44,4,FALSE)</f>
        <v>#N/A</v>
      </c>
      <c r="AB550" s="161" t="b">
        <f>ISNUMBER(VLOOKUP(AJ542,Match!$T$5:$T$10,1,FALSE))</f>
        <v>0</v>
      </c>
      <c r="AC550" s="161" t="b">
        <f>IF(AB550=TRUE,(VLOOKUP($AJ542,Match!$T$5:$U$10,2,FALSE)))</f>
        <v>0</v>
      </c>
      <c r="AD550" s="8">
        <v>3</v>
      </c>
      <c r="AE550" s="8">
        <v>2</v>
      </c>
      <c r="AF550" s="8">
        <v>2</v>
      </c>
      <c r="AG550" s="8">
        <v>1</v>
      </c>
      <c r="AH550" s="8" t="str">
        <f t="shared" si="145"/>
        <v/>
      </c>
      <c r="AI550" s="12"/>
      <c r="AZ550" s="12"/>
      <c r="BC550" s="12"/>
      <c r="BK550" s="12"/>
    </row>
    <row r="551" spans="1:63" x14ac:dyDescent="0.25">
      <c r="A551" s="29">
        <f t="shared" si="144"/>
        <v>0</v>
      </c>
      <c r="B551" s="29">
        <f t="shared" si="131"/>
        <v>0</v>
      </c>
      <c r="C551" s="29">
        <f t="shared" si="132"/>
        <v>0</v>
      </c>
      <c r="D551" s="29">
        <f t="shared" si="133"/>
        <v>0</v>
      </c>
      <c r="E551" s="29">
        <f t="shared" si="130"/>
        <v>0</v>
      </c>
      <c r="F551" s="29">
        <f t="shared" si="134"/>
        <v>0</v>
      </c>
      <c r="G551" s="29" t="str">
        <f t="shared" si="135"/>
        <v>offensive</v>
      </c>
      <c r="H551" s="16">
        <f t="shared" si="136"/>
        <v>0</v>
      </c>
      <c r="I551" s="16">
        <f t="shared" si="137"/>
        <v>0</v>
      </c>
      <c r="J551" s="16">
        <f t="shared" si="138"/>
        <v>0</v>
      </c>
      <c r="K551" s="16">
        <f t="shared" si="139"/>
        <v>0</v>
      </c>
      <c r="L551" s="67">
        <f t="shared" si="140"/>
        <v>0</v>
      </c>
      <c r="M551" s="4">
        <f t="shared" si="141"/>
        <v>0</v>
      </c>
      <c r="N551" s="4">
        <f t="shared" si="142"/>
        <v>0</v>
      </c>
      <c r="O551" s="4">
        <f t="shared" si="143"/>
        <v>0</v>
      </c>
      <c r="P551" s="4" t="e">
        <f>VLOOKUP(AJ543,'CIR Team Info'!$C$5:$E$44,2,FALSE)</f>
        <v>#N/A</v>
      </c>
      <c r="Q551" s="4" t="e">
        <f>VLOOKUP(AJ543,'CIR Team Info'!$C$5:$E$44,3,FALSE)</f>
        <v>#N/A</v>
      </c>
      <c r="R551" s="10" t="e">
        <f>VLOOKUP(AJ543,'FRC Site Data'!$B$3:$L$42,2,FALSE)</f>
        <v>#N/A</v>
      </c>
      <c r="S551" s="10" t="e">
        <f>VLOOKUP(AJ543,'FRC Site Data'!$B$3:$L$42,3,FALSE)</f>
        <v>#N/A</v>
      </c>
      <c r="T551" s="10" t="e">
        <f>VLOOKUP(AJ543,'FRC Site Data'!$B$3:$L$42,4,FALSE)</f>
        <v>#N/A</v>
      </c>
      <c r="U551" s="10" t="e">
        <f>VLOOKUP(AJ543,'FRC Site Data'!$B$3:$L$42,5,FALSE)</f>
        <v>#N/A</v>
      </c>
      <c r="V551" s="10" t="e">
        <f>VLOOKUP(AJ543,'FRC Site Data'!$B$3:$L$42,6,FALSE)</f>
        <v>#N/A</v>
      </c>
      <c r="W551" s="10" t="e">
        <f>VLOOKUP(AJ543,'FRC Site Data'!$B$3:$L$42,8,FALSE)</f>
        <v>#N/A</v>
      </c>
      <c r="X551" s="10" t="e">
        <f>VLOOKUP(AJ543,'FRC Site Data'!$B$3:$L$42,9,FALSE)</f>
        <v>#N/A</v>
      </c>
      <c r="Y551" s="10" t="e">
        <f>VLOOKUP(AJ543,'FRC Site Data'!$B$3:$L$42,10,FALSE)</f>
        <v>#N/A</v>
      </c>
      <c r="Z551" s="10" t="e">
        <f>VLOOKUP(AJ543,'FRC Site Data'!$B$3:$L$42,11,FALSE)</f>
        <v>#N/A</v>
      </c>
      <c r="AA551" s="10" t="e">
        <f>VLOOKUP(AJ543,'CIR Team Info'!$C$5:$E$44,4,FALSE)</f>
        <v>#N/A</v>
      </c>
      <c r="AB551" s="161" t="b">
        <f>ISNUMBER(VLOOKUP(AJ543,Match!$T$5:$T$10,1,FALSE))</f>
        <v>0</v>
      </c>
      <c r="AC551" s="161" t="b">
        <f>IF(AB551=TRUE,(VLOOKUP($AJ543,Match!$T$5:$U$10,2,FALSE)))</f>
        <v>0</v>
      </c>
      <c r="AD551" s="8">
        <v>3</v>
      </c>
      <c r="AE551" s="8">
        <v>2</v>
      </c>
      <c r="AF551" s="8">
        <v>2</v>
      </c>
      <c r="AG551" s="8">
        <v>1</v>
      </c>
      <c r="AH551" s="8" t="str">
        <f t="shared" si="145"/>
        <v/>
      </c>
      <c r="AI551" s="12"/>
      <c r="AZ551" s="12"/>
      <c r="BC551" s="12"/>
      <c r="BK551" s="12"/>
    </row>
    <row r="552" spans="1:63" x14ac:dyDescent="0.25">
      <c r="A552" s="29">
        <f t="shared" si="144"/>
        <v>0</v>
      </c>
      <c r="B552" s="29">
        <f t="shared" si="131"/>
        <v>0</v>
      </c>
      <c r="C552" s="29">
        <f t="shared" si="132"/>
        <v>0</v>
      </c>
      <c r="D552" s="29">
        <f t="shared" si="133"/>
        <v>0</v>
      </c>
      <c r="E552" s="29">
        <f t="shared" si="130"/>
        <v>0</v>
      </c>
      <c r="F552" s="29">
        <f t="shared" si="134"/>
        <v>0</v>
      </c>
      <c r="G552" s="29" t="str">
        <f t="shared" si="135"/>
        <v>offensive</v>
      </c>
      <c r="H552" s="16">
        <f t="shared" si="136"/>
        <v>0</v>
      </c>
      <c r="I552" s="16">
        <f t="shared" si="137"/>
        <v>0</v>
      </c>
      <c r="J552" s="16">
        <f t="shared" si="138"/>
        <v>0</v>
      </c>
      <c r="K552" s="16">
        <f t="shared" si="139"/>
        <v>0</v>
      </c>
      <c r="L552" s="67">
        <f t="shared" si="140"/>
        <v>0</v>
      </c>
      <c r="M552" s="4">
        <f t="shared" si="141"/>
        <v>0</v>
      </c>
      <c r="N552" s="4">
        <f t="shared" si="142"/>
        <v>0</v>
      </c>
      <c r="O552" s="4">
        <f t="shared" si="143"/>
        <v>0</v>
      </c>
      <c r="P552" s="4" t="e">
        <f>VLOOKUP(AJ544,'CIR Team Info'!$C$5:$E$44,2,FALSE)</f>
        <v>#N/A</v>
      </c>
      <c r="Q552" s="4" t="e">
        <f>VLOOKUP(AJ544,'CIR Team Info'!$C$5:$E$44,3,FALSE)</f>
        <v>#N/A</v>
      </c>
      <c r="R552" s="10" t="e">
        <f>VLOOKUP(AJ544,'FRC Site Data'!$B$3:$L$42,2,FALSE)</f>
        <v>#N/A</v>
      </c>
      <c r="S552" s="10" t="e">
        <f>VLOOKUP(AJ544,'FRC Site Data'!$B$3:$L$42,3,FALSE)</f>
        <v>#N/A</v>
      </c>
      <c r="T552" s="10" t="e">
        <f>VLOOKUP(AJ544,'FRC Site Data'!$B$3:$L$42,4,FALSE)</f>
        <v>#N/A</v>
      </c>
      <c r="U552" s="10" t="e">
        <f>VLOOKUP(AJ544,'FRC Site Data'!$B$3:$L$42,5,FALSE)</f>
        <v>#N/A</v>
      </c>
      <c r="V552" s="10" t="e">
        <f>VLOOKUP(AJ544,'FRC Site Data'!$B$3:$L$42,6,FALSE)</f>
        <v>#N/A</v>
      </c>
      <c r="W552" s="10" t="e">
        <f>VLOOKUP(AJ544,'FRC Site Data'!$B$3:$L$42,8,FALSE)</f>
        <v>#N/A</v>
      </c>
      <c r="X552" s="10" t="e">
        <f>VLOOKUP(AJ544,'FRC Site Data'!$B$3:$L$42,9,FALSE)</f>
        <v>#N/A</v>
      </c>
      <c r="Y552" s="10" t="e">
        <f>VLOOKUP(AJ544,'FRC Site Data'!$B$3:$L$42,10,FALSE)</f>
        <v>#N/A</v>
      </c>
      <c r="Z552" s="10" t="e">
        <f>VLOOKUP(AJ544,'FRC Site Data'!$B$3:$L$42,11,FALSE)</f>
        <v>#N/A</v>
      </c>
      <c r="AA552" s="10" t="e">
        <f>VLOOKUP(AJ544,'CIR Team Info'!$C$5:$E$44,4,FALSE)</f>
        <v>#N/A</v>
      </c>
      <c r="AB552" s="161" t="b">
        <f>ISNUMBER(VLOOKUP(AJ544,Match!$T$5:$T$10,1,FALSE))</f>
        <v>0</v>
      </c>
      <c r="AC552" s="161" t="b">
        <f>IF(AB552=TRUE,(VLOOKUP($AJ544,Match!$T$5:$U$10,2,FALSE)))</f>
        <v>0</v>
      </c>
      <c r="AD552" s="8">
        <v>3</v>
      </c>
      <c r="AE552" s="8">
        <v>2</v>
      </c>
      <c r="AF552" s="8">
        <v>2</v>
      </c>
      <c r="AG552" s="8">
        <v>1</v>
      </c>
      <c r="AH552" s="8" t="str">
        <f t="shared" si="145"/>
        <v/>
      </c>
      <c r="AI552" s="12"/>
      <c r="AZ552" s="12"/>
      <c r="BC552" s="12"/>
      <c r="BK552" s="12"/>
    </row>
    <row r="553" spans="1:63" x14ac:dyDescent="0.25">
      <c r="A553" s="29">
        <f t="shared" si="144"/>
        <v>0</v>
      </c>
      <c r="B553" s="29">
        <f t="shared" si="131"/>
        <v>0</v>
      </c>
      <c r="C553" s="29">
        <f t="shared" si="132"/>
        <v>0</v>
      </c>
      <c r="D553" s="29">
        <f t="shared" si="133"/>
        <v>0</v>
      </c>
      <c r="E553" s="29">
        <f t="shared" si="130"/>
        <v>0</v>
      </c>
      <c r="F553" s="29">
        <f t="shared" si="134"/>
        <v>0</v>
      </c>
      <c r="G553" s="29" t="str">
        <f t="shared" si="135"/>
        <v>offensive</v>
      </c>
      <c r="H553" s="16">
        <f t="shared" si="136"/>
        <v>0</v>
      </c>
      <c r="I553" s="16">
        <f t="shared" si="137"/>
        <v>0</v>
      </c>
      <c r="J553" s="16">
        <f t="shared" si="138"/>
        <v>0</v>
      </c>
      <c r="K553" s="16">
        <f t="shared" si="139"/>
        <v>0</v>
      </c>
      <c r="L553" s="67">
        <f t="shared" si="140"/>
        <v>0</v>
      </c>
      <c r="M553" s="4">
        <f t="shared" si="141"/>
        <v>0</v>
      </c>
      <c r="N553" s="4">
        <f t="shared" si="142"/>
        <v>0</v>
      </c>
      <c r="O553" s="4">
        <f t="shared" si="143"/>
        <v>0</v>
      </c>
      <c r="P553" s="4" t="e">
        <f>VLOOKUP(AJ545,'CIR Team Info'!$C$5:$E$44,2,FALSE)</f>
        <v>#N/A</v>
      </c>
      <c r="Q553" s="4" t="e">
        <f>VLOOKUP(AJ545,'CIR Team Info'!$C$5:$E$44,3,FALSE)</f>
        <v>#N/A</v>
      </c>
      <c r="R553" s="10" t="e">
        <f>VLOOKUP(AJ545,'FRC Site Data'!$B$3:$L$42,2,FALSE)</f>
        <v>#N/A</v>
      </c>
      <c r="S553" s="10" t="e">
        <f>VLOOKUP(AJ545,'FRC Site Data'!$B$3:$L$42,3,FALSE)</f>
        <v>#N/A</v>
      </c>
      <c r="T553" s="10" t="e">
        <f>VLOOKUP(AJ545,'FRC Site Data'!$B$3:$L$42,4,FALSE)</f>
        <v>#N/A</v>
      </c>
      <c r="U553" s="10" t="e">
        <f>VLOOKUP(AJ545,'FRC Site Data'!$B$3:$L$42,5,FALSE)</f>
        <v>#N/A</v>
      </c>
      <c r="V553" s="10" t="e">
        <f>VLOOKUP(AJ545,'FRC Site Data'!$B$3:$L$42,6,FALSE)</f>
        <v>#N/A</v>
      </c>
      <c r="W553" s="10" t="e">
        <f>VLOOKUP(AJ545,'FRC Site Data'!$B$3:$L$42,8,FALSE)</f>
        <v>#N/A</v>
      </c>
      <c r="X553" s="10" t="e">
        <f>VLOOKUP(AJ545,'FRC Site Data'!$B$3:$L$42,9,FALSE)</f>
        <v>#N/A</v>
      </c>
      <c r="Y553" s="10" t="e">
        <f>VLOOKUP(AJ545,'FRC Site Data'!$B$3:$L$42,10,FALSE)</f>
        <v>#N/A</v>
      </c>
      <c r="Z553" s="10" t="e">
        <f>VLOOKUP(AJ545,'FRC Site Data'!$B$3:$L$42,11,FALSE)</f>
        <v>#N/A</v>
      </c>
      <c r="AA553" s="10" t="e">
        <f>VLOOKUP(AJ545,'CIR Team Info'!$C$5:$E$44,4,FALSE)</f>
        <v>#N/A</v>
      </c>
      <c r="AB553" s="161" t="b">
        <f>ISNUMBER(VLOOKUP(AJ545,Match!$T$5:$T$10,1,FALSE))</f>
        <v>0</v>
      </c>
      <c r="AC553" s="161" t="b">
        <f>IF(AB553=TRUE,(VLOOKUP($AJ545,Match!$T$5:$U$10,2,FALSE)))</f>
        <v>0</v>
      </c>
      <c r="AD553" s="8">
        <v>3</v>
      </c>
      <c r="AE553" s="8">
        <v>2</v>
      </c>
      <c r="AF553" s="8">
        <v>2</v>
      </c>
      <c r="AG553" s="8">
        <v>1</v>
      </c>
      <c r="AH553" s="8" t="str">
        <f t="shared" si="145"/>
        <v/>
      </c>
      <c r="AI553" s="12"/>
      <c r="AZ553" s="12"/>
      <c r="BC553" s="12"/>
      <c r="BK553" s="12"/>
    </row>
    <row r="554" spans="1:63" x14ac:dyDescent="0.25">
      <c r="A554" s="29">
        <f t="shared" si="144"/>
        <v>0</v>
      </c>
      <c r="B554" s="29">
        <f t="shared" si="131"/>
        <v>0</v>
      </c>
      <c r="C554" s="29">
        <f t="shared" si="132"/>
        <v>0</v>
      </c>
      <c r="D554" s="29">
        <f t="shared" si="133"/>
        <v>0</v>
      </c>
      <c r="E554" s="29">
        <f t="shared" si="130"/>
        <v>0</v>
      </c>
      <c r="F554" s="29">
        <f t="shared" si="134"/>
        <v>0</v>
      </c>
      <c r="G554" s="29" t="str">
        <f t="shared" si="135"/>
        <v>offensive</v>
      </c>
      <c r="H554" s="16">
        <f t="shared" si="136"/>
        <v>0</v>
      </c>
      <c r="I554" s="16">
        <f t="shared" si="137"/>
        <v>0</v>
      </c>
      <c r="J554" s="16">
        <f t="shared" si="138"/>
        <v>0</v>
      </c>
      <c r="K554" s="16">
        <f t="shared" si="139"/>
        <v>0</v>
      </c>
      <c r="L554" s="67">
        <f t="shared" si="140"/>
        <v>0</v>
      </c>
      <c r="M554" s="4">
        <f t="shared" si="141"/>
        <v>0</v>
      </c>
      <c r="N554" s="4">
        <f t="shared" si="142"/>
        <v>0</v>
      </c>
      <c r="O554" s="4">
        <f t="shared" si="143"/>
        <v>0</v>
      </c>
      <c r="P554" s="4" t="e">
        <f>VLOOKUP(AJ546,'CIR Team Info'!$C$5:$E$44,2,FALSE)</f>
        <v>#N/A</v>
      </c>
      <c r="Q554" s="4" t="e">
        <f>VLOOKUP(AJ546,'CIR Team Info'!$C$5:$E$44,3,FALSE)</f>
        <v>#N/A</v>
      </c>
      <c r="R554" s="10" t="e">
        <f>VLOOKUP(AJ546,'FRC Site Data'!$B$3:$L$42,2,FALSE)</f>
        <v>#N/A</v>
      </c>
      <c r="S554" s="10" t="e">
        <f>VLOOKUP(AJ546,'FRC Site Data'!$B$3:$L$42,3,FALSE)</f>
        <v>#N/A</v>
      </c>
      <c r="T554" s="10" t="e">
        <f>VLOOKUP(AJ546,'FRC Site Data'!$B$3:$L$42,4,FALSE)</f>
        <v>#N/A</v>
      </c>
      <c r="U554" s="10" t="e">
        <f>VLOOKUP(AJ546,'FRC Site Data'!$B$3:$L$42,5,FALSE)</f>
        <v>#N/A</v>
      </c>
      <c r="V554" s="10" t="e">
        <f>VLOOKUP(AJ546,'FRC Site Data'!$B$3:$L$42,6,FALSE)</f>
        <v>#N/A</v>
      </c>
      <c r="W554" s="10" t="e">
        <f>VLOOKUP(AJ546,'FRC Site Data'!$B$3:$L$42,8,FALSE)</f>
        <v>#N/A</v>
      </c>
      <c r="X554" s="10" t="e">
        <f>VLOOKUP(AJ546,'FRC Site Data'!$B$3:$L$42,9,FALSE)</f>
        <v>#N/A</v>
      </c>
      <c r="Y554" s="10" t="e">
        <f>VLOOKUP(AJ546,'FRC Site Data'!$B$3:$L$42,10,FALSE)</f>
        <v>#N/A</v>
      </c>
      <c r="Z554" s="10" t="e">
        <f>VLOOKUP(AJ546,'FRC Site Data'!$B$3:$L$42,11,FALSE)</f>
        <v>#N/A</v>
      </c>
      <c r="AA554" s="10" t="e">
        <f>VLOOKUP(AJ546,'CIR Team Info'!$C$5:$E$44,4,FALSE)</f>
        <v>#N/A</v>
      </c>
      <c r="AB554" s="161" t="b">
        <f>ISNUMBER(VLOOKUP(AJ546,Match!$T$5:$T$10,1,FALSE))</f>
        <v>0</v>
      </c>
      <c r="AC554" s="161" t="b">
        <f>IF(AB554=TRUE,(VLOOKUP($AJ546,Match!$T$5:$U$10,2,FALSE)))</f>
        <v>0</v>
      </c>
      <c r="AD554" s="8">
        <v>3</v>
      </c>
      <c r="AE554" s="8">
        <v>2</v>
      </c>
      <c r="AF554" s="8">
        <v>2</v>
      </c>
      <c r="AG554" s="8">
        <v>1</v>
      </c>
      <c r="AH554" s="8" t="str">
        <f t="shared" si="145"/>
        <v/>
      </c>
      <c r="AI554" s="12"/>
      <c r="AZ554" s="12"/>
      <c r="BC554" s="12"/>
      <c r="BK554" s="12"/>
    </row>
    <row r="555" spans="1:63" x14ac:dyDescent="0.25">
      <c r="A555" s="29">
        <f t="shared" si="144"/>
        <v>0</v>
      </c>
      <c r="B555" s="29">
        <f t="shared" si="131"/>
        <v>0</v>
      </c>
      <c r="C555" s="29">
        <f t="shared" si="132"/>
        <v>0</v>
      </c>
      <c r="D555" s="29">
        <f t="shared" si="133"/>
        <v>0</v>
      </c>
      <c r="E555" s="29">
        <f t="shared" si="130"/>
        <v>0</v>
      </c>
      <c r="F555" s="29">
        <f t="shared" si="134"/>
        <v>0</v>
      </c>
      <c r="G555" s="29" t="str">
        <f t="shared" si="135"/>
        <v>offensive</v>
      </c>
      <c r="H555" s="16">
        <f t="shared" si="136"/>
        <v>0</v>
      </c>
      <c r="I555" s="16">
        <f t="shared" si="137"/>
        <v>0</v>
      </c>
      <c r="J555" s="16">
        <f t="shared" si="138"/>
        <v>0</v>
      </c>
      <c r="K555" s="16">
        <f t="shared" si="139"/>
        <v>0</v>
      </c>
      <c r="L555" s="67">
        <f t="shared" si="140"/>
        <v>0</v>
      </c>
      <c r="M555" s="4">
        <f t="shared" si="141"/>
        <v>0</v>
      </c>
      <c r="N555" s="4">
        <f t="shared" si="142"/>
        <v>0</v>
      </c>
      <c r="O555" s="4">
        <f t="shared" si="143"/>
        <v>0</v>
      </c>
      <c r="P555" s="4" t="e">
        <f>VLOOKUP(AJ547,'CIR Team Info'!$C$5:$E$44,2,FALSE)</f>
        <v>#N/A</v>
      </c>
      <c r="Q555" s="4" t="e">
        <f>VLOOKUP(AJ547,'CIR Team Info'!$C$5:$E$44,3,FALSE)</f>
        <v>#N/A</v>
      </c>
      <c r="R555" s="10" t="e">
        <f>VLOOKUP(AJ547,'FRC Site Data'!$B$3:$L$42,2,FALSE)</f>
        <v>#N/A</v>
      </c>
      <c r="S555" s="10" t="e">
        <f>VLOOKUP(AJ547,'FRC Site Data'!$B$3:$L$42,3,FALSE)</f>
        <v>#N/A</v>
      </c>
      <c r="T555" s="10" t="e">
        <f>VLOOKUP(AJ547,'FRC Site Data'!$B$3:$L$42,4,FALSE)</f>
        <v>#N/A</v>
      </c>
      <c r="U555" s="10" t="e">
        <f>VLOOKUP(AJ547,'FRC Site Data'!$B$3:$L$42,5,FALSE)</f>
        <v>#N/A</v>
      </c>
      <c r="V555" s="10" t="e">
        <f>VLOOKUP(AJ547,'FRC Site Data'!$B$3:$L$42,6,FALSE)</f>
        <v>#N/A</v>
      </c>
      <c r="W555" s="10" t="e">
        <f>VLOOKUP(AJ547,'FRC Site Data'!$B$3:$L$42,8,FALSE)</f>
        <v>#N/A</v>
      </c>
      <c r="X555" s="10" t="e">
        <f>VLOOKUP(AJ547,'FRC Site Data'!$B$3:$L$42,9,FALSE)</f>
        <v>#N/A</v>
      </c>
      <c r="Y555" s="10" t="e">
        <f>VLOOKUP(AJ547,'FRC Site Data'!$B$3:$L$42,10,FALSE)</f>
        <v>#N/A</v>
      </c>
      <c r="Z555" s="10" t="e">
        <f>VLOOKUP(AJ547,'FRC Site Data'!$B$3:$L$42,11,FALSE)</f>
        <v>#N/A</v>
      </c>
      <c r="AA555" s="10" t="e">
        <f>VLOOKUP(AJ547,'CIR Team Info'!$C$5:$E$44,4,FALSE)</f>
        <v>#N/A</v>
      </c>
      <c r="AB555" s="161" t="b">
        <f>ISNUMBER(VLOOKUP(AJ547,Match!$T$5:$T$10,1,FALSE))</f>
        <v>0</v>
      </c>
      <c r="AC555" s="161" t="b">
        <f>IF(AB555=TRUE,(VLOOKUP($AJ547,Match!$T$5:$U$10,2,FALSE)))</f>
        <v>0</v>
      </c>
      <c r="AD555" s="8">
        <v>3</v>
      </c>
      <c r="AE555" s="8">
        <v>2</v>
      </c>
      <c r="AF555" s="8">
        <v>2</v>
      </c>
      <c r="AG555" s="8">
        <v>1</v>
      </c>
      <c r="AH555" s="8" t="str">
        <f t="shared" si="145"/>
        <v/>
      </c>
      <c r="AI555" s="12"/>
      <c r="AZ555" s="12"/>
      <c r="BC555" s="12"/>
      <c r="BK555" s="12"/>
    </row>
    <row r="556" spans="1:63" x14ac:dyDescent="0.25">
      <c r="A556" s="29">
        <f t="shared" si="144"/>
        <v>0</v>
      </c>
      <c r="B556" s="29">
        <f t="shared" si="131"/>
        <v>0</v>
      </c>
      <c r="C556" s="29">
        <f t="shared" si="132"/>
        <v>0</v>
      </c>
      <c r="D556" s="29">
        <f t="shared" si="133"/>
        <v>0</v>
      </c>
      <c r="E556" s="29">
        <f t="shared" si="130"/>
        <v>0</v>
      </c>
      <c r="F556" s="29">
        <f t="shared" si="134"/>
        <v>0</v>
      </c>
      <c r="G556" s="29" t="str">
        <f t="shared" si="135"/>
        <v>offensive</v>
      </c>
      <c r="H556" s="16">
        <f t="shared" si="136"/>
        <v>0</v>
      </c>
      <c r="I556" s="16">
        <f t="shared" si="137"/>
        <v>0</v>
      </c>
      <c r="J556" s="16">
        <f t="shared" si="138"/>
        <v>0</v>
      </c>
      <c r="K556" s="16">
        <f t="shared" si="139"/>
        <v>0</v>
      </c>
      <c r="L556" s="67">
        <f t="shared" si="140"/>
        <v>0</v>
      </c>
      <c r="M556" s="4">
        <f t="shared" si="141"/>
        <v>0</v>
      </c>
      <c r="N556" s="4">
        <f t="shared" si="142"/>
        <v>0</v>
      </c>
      <c r="O556" s="4">
        <f t="shared" si="143"/>
        <v>0</v>
      </c>
      <c r="P556" s="4" t="e">
        <f>VLOOKUP(AJ548,'CIR Team Info'!$C$5:$E$44,2,FALSE)</f>
        <v>#N/A</v>
      </c>
      <c r="Q556" s="4" t="e">
        <f>VLOOKUP(AJ548,'CIR Team Info'!$C$5:$E$44,3,FALSE)</f>
        <v>#N/A</v>
      </c>
      <c r="R556" s="10" t="e">
        <f>VLOOKUP(AJ548,'FRC Site Data'!$B$3:$L$42,2,FALSE)</f>
        <v>#N/A</v>
      </c>
      <c r="S556" s="10" t="e">
        <f>VLOOKUP(AJ548,'FRC Site Data'!$B$3:$L$42,3,FALSE)</f>
        <v>#N/A</v>
      </c>
      <c r="T556" s="10" t="e">
        <f>VLOOKUP(AJ548,'FRC Site Data'!$B$3:$L$42,4,FALSE)</f>
        <v>#N/A</v>
      </c>
      <c r="U556" s="10" t="e">
        <f>VLOOKUP(AJ548,'FRC Site Data'!$B$3:$L$42,5,FALSE)</f>
        <v>#N/A</v>
      </c>
      <c r="V556" s="10" t="e">
        <f>VLOOKUP(AJ548,'FRC Site Data'!$B$3:$L$42,6,FALSE)</f>
        <v>#N/A</v>
      </c>
      <c r="W556" s="10" t="e">
        <f>VLOOKUP(AJ548,'FRC Site Data'!$B$3:$L$42,8,FALSE)</f>
        <v>#N/A</v>
      </c>
      <c r="X556" s="10" t="e">
        <f>VLOOKUP(AJ548,'FRC Site Data'!$B$3:$L$42,9,FALSE)</f>
        <v>#N/A</v>
      </c>
      <c r="Y556" s="10" t="e">
        <f>VLOOKUP(AJ548,'FRC Site Data'!$B$3:$L$42,10,FALSE)</f>
        <v>#N/A</v>
      </c>
      <c r="Z556" s="10" t="e">
        <f>VLOOKUP(AJ548,'FRC Site Data'!$B$3:$L$42,11,FALSE)</f>
        <v>#N/A</v>
      </c>
      <c r="AA556" s="10" t="e">
        <f>VLOOKUP(AJ548,'CIR Team Info'!$C$5:$E$44,4,FALSE)</f>
        <v>#N/A</v>
      </c>
      <c r="AB556" s="161" t="b">
        <f>ISNUMBER(VLOOKUP(AJ548,Match!$T$5:$T$10,1,FALSE))</f>
        <v>0</v>
      </c>
      <c r="AC556" s="161" t="b">
        <f>IF(AB556=TRUE,(VLOOKUP($AJ548,Match!$T$5:$U$10,2,FALSE)))</f>
        <v>0</v>
      </c>
      <c r="AD556" s="8">
        <v>3</v>
      </c>
      <c r="AE556" s="8">
        <v>2</v>
      </c>
      <c r="AF556" s="8">
        <v>2</v>
      </c>
      <c r="AG556" s="8">
        <v>1</v>
      </c>
      <c r="AH556" s="8" t="str">
        <f t="shared" si="145"/>
        <v/>
      </c>
      <c r="AI556" s="12"/>
      <c r="AZ556" s="12"/>
      <c r="BC556" s="12"/>
      <c r="BK556" s="12"/>
    </row>
    <row r="557" spans="1:63" x14ac:dyDescent="0.25">
      <c r="A557" s="29">
        <f t="shared" si="144"/>
        <v>0</v>
      </c>
      <c r="B557" s="29">
        <f t="shared" si="131"/>
        <v>0</v>
      </c>
      <c r="C557" s="29">
        <f t="shared" si="132"/>
        <v>0</v>
      </c>
      <c r="D557" s="29">
        <f t="shared" si="133"/>
        <v>0</v>
      </c>
      <c r="E557" s="29">
        <f t="shared" si="130"/>
        <v>0</v>
      </c>
      <c r="F557" s="29">
        <f t="shared" si="134"/>
        <v>0</v>
      </c>
      <c r="G557" s="29" t="str">
        <f t="shared" si="135"/>
        <v>offensive</v>
      </c>
      <c r="H557" s="16">
        <f t="shared" si="136"/>
        <v>0</v>
      </c>
      <c r="I557" s="16">
        <f t="shared" si="137"/>
        <v>0</v>
      </c>
      <c r="J557" s="16">
        <f t="shared" si="138"/>
        <v>0</v>
      </c>
      <c r="K557" s="16">
        <f t="shared" si="139"/>
        <v>0</v>
      </c>
      <c r="L557" s="67">
        <f t="shared" si="140"/>
        <v>0</v>
      </c>
      <c r="M557" s="4">
        <f t="shared" si="141"/>
        <v>0</v>
      </c>
      <c r="N557" s="4">
        <f t="shared" si="142"/>
        <v>0</v>
      </c>
      <c r="O557" s="4">
        <f t="shared" si="143"/>
        <v>0</v>
      </c>
      <c r="P557" s="4" t="e">
        <f>VLOOKUP(AJ549,'CIR Team Info'!$C$5:$E$44,2,FALSE)</f>
        <v>#N/A</v>
      </c>
      <c r="Q557" s="4" t="e">
        <f>VLOOKUP(AJ549,'CIR Team Info'!$C$5:$E$44,3,FALSE)</f>
        <v>#N/A</v>
      </c>
      <c r="R557" s="10" t="e">
        <f>VLOOKUP(AJ549,'FRC Site Data'!$B$3:$L$42,2,FALSE)</f>
        <v>#N/A</v>
      </c>
      <c r="S557" s="10" t="e">
        <f>VLOOKUP(AJ549,'FRC Site Data'!$B$3:$L$42,3,FALSE)</f>
        <v>#N/A</v>
      </c>
      <c r="T557" s="10" t="e">
        <f>VLOOKUP(AJ549,'FRC Site Data'!$B$3:$L$42,4,FALSE)</f>
        <v>#N/A</v>
      </c>
      <c r="U557" s="10" t="e">
        <f>VLOOKUP(AJ549,'FRC Site Data'!$B$3:$L$42,5,FALSE)</f>
        <v>#N/A</v>
      </c>
      <c r="V557" s="10" t="e">
        <f>VLOOKUP(AJ549,'FRC Site Data'!$B$3:$L$42,6,FALSE)</f>
        <v>#N/A</v>
      </c>
      <c r="W557" s="10" t="e">
        <f>VLOOKUP(AJ549,'FRC Site Data'!$B$3:$L$42,8,FALSE)</f>
        <v>#N/A</v>
      </c>
      <c r="X557" s="10" t="e">
        <f>VLOOKUP(AJ549,'FRC Site Data'!$B$3:$L$42,9,FALSE)</f>
        <v>#N/A</v>
      </c>
      <c r="Y557" s="10" t="e">
        <f>VLOOKUP(AJ549,'FRC Site Data'!$B$3:$L$42,10,FALSE)</f>
        <v>#N/A</v>
      </c>
      <c r="Z557" s="10" t="e">
        <f>VLOOKUP(AJ549,'FRC Site Data'!$B$3:$L$42,11,FALSE)</f>
        <v>#N/A</v>
      </c>
      <c r="AA557" s="10" t="e">
        <f>VLOOKUP(AJ549,'CIR Team Info'!$C$5:$E$44,4,FALSE)</f>
        <v>#N/A</v>
      </c>
      <c r="AB557" s="161" t="b">
        <f>ISNUMBER(VLOOKUP(AJ549,Match!$T$5:$T$10,1,FALSE))</f>
        <v>0</v>
      </c>
      <c r="AC557" s="161" t="b">
        <f>IF(AB557=TRUE,(VLOOKUP($AJ549,Match!$T$5:$U$10,2,FALSE)))</f>
        <v>0</v>
      </c>
      <c r="AD557" s="8">
        <v>3</v>
      </c>
      <c r="AE557" s="8">
        <v>2</v>
      </c>
      <c r="AF557" s="8">
        <v>2</v>
      </c>
      <c r="AG557" s="8">
        <v>1</v>
      </c>
      <c r="AH557" s="8" t="str">
        <f t="shared" si="145"/>
        <v/>
      </c>
      <c r="AI557" s="12"/>
      <c r="AZ557" s="12"/>
      <c r="BC557" s="12"/>
      <c r="BK557" s="12"/>
    </row>
    <row r="558" spans="1:63" x14ac:dyDescent="0.25">
      <c r="A558" s="29">
        <f t="shared" si="144"/>
        <v>0</v>
      </c>
      <c r="B558" s="29">
        <f t="shared" si="131"/>
        <v>0</v>
      </c>
      <c r="C558" s="29">
        <f t="shared" si="132"/>
        <v>0</v>
      </c>
      <c r="D558" s="29">
        <f t="shared" si="133"/>
        <v>0</v>
      </c>
      <c r="E558" s="29">
        <f t="shared" si="130"/>
        <v>0</v>
      </c>
      <c r="F558" s="29">
        <f t="shared" si="134"/>
        <v>0</v>
      </c>
      <c r="G558" s="29" t="str">
        <f t="shared" si="135"/>
        <v>offensive</v>
      </c>
      <c r="H558" s="16">
        <f t="shared" si="136"/>
        <v>0</v>
      </c>
      <c r="I558" s="16">
        <f t="shared" si="137"/>
        <v>0</v>
      </c>
      <c r="J558" s="16">
        <f t="shared" si="138"/>
        <v>0</v>
      </c>
      <c r="K558" s="16">
        <f t="shared" si="139"/>
        <v>0</v>
      </c>
      <c r="L558" s="67">
        <f t="shared" si="140"/>
        <v>0</v>
      </c>
      <c r="M558" s="4">
        <f t="shared" si="141"/>
        <v>0</v>
      </c>
      <c r="N558" s="4">
        <f t="shared" si="142"/>
        <v>0</v>
      </c>
      <c r="O558" s="4">
        <f t="shared" si="143"/>
        <v>0</v>
      </c>
      <c r="P558" s="4" t="e">
        <f>VLOOKUP(AJ550,'CIR Team Info'!$C$5:$E$44,2,FALSE)</f>
        <v>#N/A</v>
      </c>
      <c r="Q558" s="4" t="e">
        <f>VLOOKUP(AJ550,'CIR Team Info'!$C$5:$E$44,3,FALSE)</f>
        <v>#N/A</v>
      </c>
      <c r="R558" s="10" t="e">
        <f>VLOOKUP(AJ550,'FRC Site Data'!$B$3:$L$42,2,FALSE)</f>
        <v>#N/A</v>
      </c>
      <c r="S558" s="10" t="e">
        <f>VLOOKUP(AJ550,'FRC Site Data'!$B$3:$L$42,3,FALSE)</f>
        <v>#N/A</v>
      </c>
      <c r="T558" s="10" t="e">
        <f>VLOOKUP(AJ550,'FRC Site Data'!$B$3:$L$42,4,FALSE)</f>
        <v>#N/A</v>
      </c>
      <c r="U558" s="10" t="e">
        <f>VLOOKUP(AJ550,'FRC Site Data'!$B$3:$L$42,5,FALSE)</f>
        <v>#N/A</v>
      </c>
      <c r="V558" s="10" t="e">
        <f>VLOOKUP(AJ550,'FRC Site Data'!$B$3:$L$42,6,FALSE)</f>
        <v>#N/A</v>
      </c>
      <c r="W558" s="10" t="e">
        <f>VLOOKUP(AJ550,'FRC Site Data'!$B$3:$L$42,8,FALSE)</f>
        <v>#N/A</v>
      </c>
      <c r="X558" s="10" t="e">
        <f>VLOOKUP(AJ550,'FRC Site Data'!$B$3:$L$42,9,FALSE)</f>
        <v>#N/A</v>
      </c>
      <c r="Y558" s="10" t="e">
        <f>VLOOKUP(AJ550,'FRC Site Data'!$B$3:$L$42,10,FALSE)</f>
        <v>#N/A</v>
      </c>
      <c r="Z558" s="10" t="e">
        <f>VLOOKUP(AJ550,'FRC Site Data'!$B$3:$L$42,11,FALSE)</f>
        <v>#N/A</v>
      </c>
      <c r="AA558" s="10" t="e">
        <f>VLOOKUP(AJ550,'CIR Team Info'!$C$5:$E$44,4,FALSE)</f>
        <v>#N/A</v>
      </c>
      <c r="AB558" s="161" t="b">
        <f>ISNUMBER(VLOOKUP(AJ550,Match!$T$5:$T$10,1,FALSE))</f>
        <v>0</v>
      </c>
      <c r="AC558" s="161" t="b">
        <f>IF(AB558=TRUE,(VLOOKUP($AJ550,Match!$T$5:$U$10,2,FALSE)))</f>
        <v>0</v>
      </c>
      <c r="AD558" s="8">
        <v>3</v>
      </c>
      <c r="AE558" s="8">
        <v>2</v>
      </c>
      <c r="AF558" s="8">
        <v>2</v>
      </c>
      <c r="AG558" s="8">
        <v>1</v>
      </c>
      <c r="AH558" s="8" t="str">
        <f t="shared" si="145"/>
        <v/>
      </c>
      <c r="AI558" s="12"/>
      <c r="AZ558" s="12"/>
      <c r="BC558" s="12"/>
      <c r="BK558" s="12"/>
    </row>
    <row r="559" spans="1:63" x14ac:dyDescent="0.25">
      <c r="A559" s="29">
        <f t="shared" si="144"/>
        <v>0</v>
      </c>
      <c r="B559" s="29">
        <f t="shared" si="131"/>
        <v>0</v>
      </c>
      <c r="C559" s="29">
        <f t="shared" si="132"/>
        <v>0</v>
      </c>
      <c r="D559" s="29">
        <f t="shared" si="133"/>
        <v>0</v>
      </c>
      <c r="E559" s="29">
        <f t="shared" si="130"/>
        <v>0</v>
      </c>
      <c r="F559" s="29">
        <f t="shared" si="134"/>
        <v>0</v>
      </c>
      <c r="G559" s="29" t="str">
        <f t="shared" si="135"/>
        <v>offensive</v>
      </c>
      <c r="H559" s="16">
        <f t="shared" si="136"/>
        <v>0</v>
      </c>
      <c r="I559" s="16">
        <f t="shared" si="137"/>
        <v>0</v>
      </c>
      <c r="J559" s="16">
        <f t="shared" si="138"/>
        <v>0</v>
      </c>
      <c r="K559" s="16">
        <f t="shared" si="139"/>
        <v>0</v>
      </c>
      <c r="L559" s="67">
        <f t="shared" si="140"/>
        <v>0</v>
      </c>
      <c r="M559" s="4">
        <f t="shared" si="141"/>
        <v>0</v>
      </c>
      <c r="N559" s="4">
        <f t="shared" si="142"/>
        <v>0</v>
      </c>
      <c r="O559" s="4">
        <f t="shared" si="143"/>
        <v>0</v>
      </c>
      <c r="P559" s="4" t="e">
        <f>VLOOKUP(AJ551,'CIR Team Info'!$C$5:$E$44,2,FALSE)</f>
        <v>#N/A</v>
      </c>
      <c r="Q559" s="4" t="e">
        <f>VLOOKUP(AJ551,'CIR Team Info'!$C$5:$E$44,3,FALSE)</f>
        <v>#N/A</v>
      </c>
      <c r="R559" s="10" t="e">
        <f>VLOOKUP(AJ551,'FRC Site Data'!$B$3:$L$42,2,FALSE)</f>
        <v>#N/A</v>
      </c>
      <c r="S559" s="10" t="e">
        <f>VLOOKUP(AJ551,'FRC Site Data'!$B$3:$L$42,3,FALSE)</f>
        <v>#N/A</v>
      </c>
      <c r="T559" s="10" t="e">
        <f>VLOOKUP(AJ551,'FRC Site Data'!$B$3:$L$42,4,FALSE)</f>
        <v>#N/A</v>
      </c>
      <c r="U559" s="10" t="e">
        <f>VLOOKUP(AJ551,'FRC Site Data'!$B$3:$L$42,5,FALSE)</f>
        <v>#N/A</v>
      </c>
      <c r="V559" s="10" t="e">
        <f>VLOOKUP(AJ551,'FRC Site Data'!$B$3:$L$42,6,FALSE)</f>
        <v>#N/A</v>
      </c>
      <c r="W559" s="10" t="e">
        <f>VLOOKUP(AJ551,'FRC Site Data'!$B$3:$L$42,8,FALSE)</f>
        <v>#N/A</v>
      </c>
      <c r="X559" s="10" t="e">
        <f>VLOOKUP(AJ551,'FRC Site Data'!$B$3:$L$42,9,FALSE)</f>
        <v>#N/A</v>
      </c>
      <c r="Y559" s="10" t="e">
        <f>VLOOKUP(AJ551,'FRC Site Data'!$B$3:$L$42,10,FALSE)</f>
        <v>#N/A</v>
      </c>
      <c r="Z559" s="10" t="e">
        <f>VLOOKUP(AJ551,'FRC Site Data'!$B$3:$L$42,11,FALSE)</f>
        <v>#N/A</v>
      </c>
      <c r="AA559" s="10" t="e">
        <f>VLOOKUP(AJ551,'CIR Team Info'!$C$5:$E$44,4,FALSE)</f>
        <v>#N/A</v>
      </c>
      <c r="AB559" s="161" t="b">
        <f>ISNUMBER(VLOOKUP(AJ551,Match!$T$5:$T$10,1,FALSE))</f>
        <v>0</v>
      </c>
      <c r="AC559" s="161" t="b">
        <f>IF(AB559=TRUE,(VLOOKUP($AJ551,Match!$T$5:$U$10,2,FALSE)))</f>
        <v>0</v>
      </c>
      <c r="AD559" s="8">
        <v>3</v>
      </c>
      <c r="AE559" s="8">
        <v>2</v>
      </c>
      <c r="AF559" s="8">
        <v>2</v>
      </c>
      <c r="AG559" s="8">
        <v>1</v>
      </c>
      <c r="AH559" s="8" t="str">
        <f t="shared" si="145"/>
        <v/>
      </c>
      <c r="AI559" s="12"/>
      <c r="AZ559" s="12"/>
      <c r="BC559" s="12"/>
      <c r="BK559" s="12"/>
    </row>
    <row r="560" spans="1:63" x14ac:dyDescent="0.25">
      <c r="A560" s="29">
        <f t="shared" si="144"/>
        <v>0</v>
      </c>
      <c r="B560" s="29">
        <f t="shared" si="131"/>
        <v>0</v>
      </c>
      <c r="C560" s="29">
        <f t="shared" si="132"/>
        <v>0</v>
      </c>
      <c r="D560" s="29">
        <f t="shared" si="133"/>
        <v>0</v>
      </c>
      <c r="E560" s="29">
        <f t="shared" si="130"/>
        <v>0</v>
      </c>
      <c r="F560" s="29">
        <f t="shared" si="134"/>
        <v>0</v>
      </c>
      <c r="G560" s="29" t="str">
        <f t="shared" si="135"/>
        <v>offensive</v>
      </c>
      <c r="H560" s="16">
        <f t="shared" si="136"/>
        <v>0</v>
      </c>
      <c r="I560" s="16">
        <f t="shared" si="137"/>
        <v>0</v>
      </c>
      <c r="J560" s="16">
        <f t="shared" si="138"/>
        <v>0</v>
      </c>
      <c r="K560" s="16">
        <f t="shared" si="139"/>
        <v>0</v>
      </c>
      <c r="L560" s="67">
        <f t="shared" si="140"/>
        <v>0</v>
      </c>
      <c r="M560" s="4">
        <f t="shared" si="141"/>
        <v>0</v>
      </c>
      <c r="N560" s="4">
        <f t="shared" si="142"/>
        <v>0</v>
      </c>
      <c r="O560" s="4">
        <f t="shared" si="143"/>
        <v>0</v>
      </c>
      <c r="P560" s="4" t="e">
        <f>VLOOKUP(AJ552,'CIR Team Info'!$C$5:$E$44,2,FALSE)</f>
        <v>#N/A</v>
      </c>
      <c r="Q560" s="4" t="e">
        <f>VLOOKUP(AJ552,'CIR Team Info'!$C$5:$E$44,3,FALSE)</f>
        <v>#N/A</v>
      </c>
      <c r="R560" s="10" t="e">
        <f>VLOOKUP(AJ552,'FRC Site Data'!$B$3:$L$42,2,FALSE)</f>
        <v>#N/A</v>
      </c>
      <c r="S560" s="10" t="e">
        <f>VLOOKUP(AJ552,'FRC Site Data'!$B$3:$L$42,3,FALSE)</f>
        <v>#N/A</v>
      </c>
      <c r="T560" s="10" t="e">
        <f>VLOOKUP(AJ552,'FRC Site Data'!$B$3:$L$42,4,FALSE)</f>
        <v>#N/A</v>
      </c>
      <c r="U560" s="10" t="e">
        <f>VLOOKUP(AJ552,'FRC Site Data'!$B$3:$L$42,5,FALSE)</f>
        <v>#N/A</v>
      </c>
      <c r="V560" s="10" t="e">
        <f>VLOOKUP(AJ552,'FRC Site Data'!$B$3:$L$42,6,FALSE)</f>
        <v>#N/A</v>
      </c>
      <c r="W560" s="10" t="e">
        <f>VLOOKUP(AJ552,'FRC Site Data'!$B$3:$L$42,8,FALSE)</f>
        <v>#N/A</v>
      </c>
      <c r="X560" s="10" t="e">
        <f>VLOOKUP(AJ552,'FRC Site Data'!$B$3:$L$42,9,FALSE)</f>
        <v>#N/A</v>
      </c>
      <c r="Y560" s="10" t="e">
        <f>VLOOKUP(AJ552,'FRC Site Data'!$B$3:$L$42,10,FALSE)</f>
        <v>#N/A</v>
      </c>
      <c r="Z560" s="10" t="e">
        <f>VLOOKUP(AJ552,'FRC Site Data'!$B$3:$L$42,11,FALSE)</f>
        <v>#N/A</v>
      </c>
      <c r="AA560" s="10" t="e">
        <f>VLOOKUP(AJ552,'CIR Team Info'!$C$5:$E$44,4,FALSE)</f>
        <v>#N/A</v>
      </c>
      <c r="AB560" s="161" t="b">
        <f>ISNUMBER(VLOOKUP(AJ552,Match!$T$5:$T$10,1,FALSE))</f>
        <v>0</v>
      </c>
      <c r="AC560" s="161" t="b">
        <f>IF(AB560=TRUE,(VLOOKUP($AJ552,Match!$T$5:$U$10,2,FALSE)))</f>
        <v>0</v>
      </c>
      <c r="AD560" s="8">
        <v>3</v>
      </c>
      <c r="AE560" s="8">
        <v>2</v>
      </c>
      <c r="AF560" s="8">
        <v>2</v>
      </c>
      <c r="AG560" s="8">
        <v>1</v>
      </c>
      <c r="AH560" s="8" t="str">
        <f t="shared" si="145"/>
        <v/>
      </c>
      <c r="AI560" s="12"/>
      <c r="AZ560" s="12"/>
      <c r="BC560" s="12"/>
      <c r="BK560" s="12"/>
    </row>
    <row r="561" spans="1:63" x14ac:dyDescent="0.25">
      <c r="A561" s="29">
        <f t="shared" si="144"/>
        <v>0</v>
      </c>
      <c r="B561" s="29">
        <f t="shared" si="131"/>
        <v>0</v>
      </c>
      <c r="C561" s="29">
        <f t="shared" si="132"/>
        <v>0</v>
      </c>
      <c r="D561" s="29">
        <f t="shared" si="133"/>
        <v>0</v>
      </c>
      <c r="E561" s="29">
        <f t="shared" si="130"/>
        <v>0</v>
      </c>
      <c r="F561" s="29">
        <f t="shared" si="134"/>
        <v>0</v>
      </c>
      <c r="G561" s="29" t="str">
        <f t="shared" si="135"/>
        <v>offensive</v>
      </c>
      <c r="H561" s="16">
        <f t="shared" si="136"/>
        <v>0</v>
      </c>
      <c r="I561" s="16">
        <f t="shared" si="137"/>
        <v>0</v>
      </c>
      <c r="J561" s="16">
        <f t="shared" si="138"/>
        <v>0</v>
      </c>
      <c r="K561" s="16">
        <f t="shared" si="139"/>
        <v>0</v>
      </c>
      <c r="L561" s="67">
        <f t="shared" si="140"/>
        <v>0</v>
      </c>
      <c r="M561" s="4">
        <f t="shared" si="141"/>
        <v>0</v>
      </c>
      <c r="N561" s="4">
        <f t="shared" si="142"/>
        <v>0</v>
      </c>
      <c r="O561" s="4">
        <f t="shared" si="143"/>
        <v>0</v>
      </c>
      <c r="P561" s="4" t="e">
        <f>VLOOKUP(AJ553,'CIR Team Info'!$C$5:$E$44,2,FALSE)</f>
        <v>#N/A</v>
      </c>
      <c r="Q561" s="4" t="e">
        <f>VLOOKUP(AJ553,'CIR Team Info'!$C$5:$E$44,3,FALSE)</f>
        <v>#N/A</v>
      </c>
      <c r="R561" s="10" t="e">
        <f>VLOOKUP(AJ553,'FRC Site Data'!$B$3:$L$42,2,FALSE)</f>
        <v>#N/A</v>
      </c>
      <c r="S561" s="10" t="e">
        <f>VLOOKUP(AJ553,'FRC Site Data'!$B$3:$L$42,3,FALSE)</f>
        <v>#N/A</v>
      </c>
      <c r="T561" s="10" t="e">
        <f>VLOOKUP(AJ553,'FRC Site Data'!$B$3:$L$42,4,FALSE)</f>
        <v>#N/A</v>
      </c>
      <c r="U561" s="10" t="e">
        <f>VLOOKUP(AJ553,'FRC Site Data'!$B$3:$L$42,5,FALSE)</f>
        <v>#N/A</v>
      </c>
      <c r="V561" s="10" t="e">
        <f>VLOOKUP(AJ553,'FRC Site Data'!$B$3:$L$42,6,FALSE)</f>
        <v>#N/A</v>
      </c>
      <c r="W561" s="10" t="e">
        <f>VLOOKUP(AJ553,'FRC Site Data'!$B$3:$L$42,8,FALSE)</f>
        <v>#N/A</v>
      </c>
      <c r="X561" s="10" t="e">
        <f>VLOOKUP(AJ553,'FRC Site Data'!$B$3:$L$42,9,FALSE)</f>
        <v>#N/A</v>
      </c>
      <c r="Y561" s="10" t="e">
        <f>VLOOKUP(AJ553,'FRC Site Data'!$B$3:$L$42,10,FALSE)</f>
        <v>#N/A</v>
      </c>
      <c r="Z561" s="10" t="e">
        <f>VLOOKUP(AJ553,'FRC Site Data'!$B$3:$L$42,11,FALSE)</f>
        <v>#N/A</v>
      </c>
      <c r="AA561" s="10" t="e">
        <f>VLOOKUP(AJ553,'CIR Team Info'!$C$5:$E$44,4,FALSE)</f>
        <v>#N/A</v>
      </c>
      <c r="AB561" s="161" t="b">
        <f>ISNUMBER(VLOOKUP(AJ553,Match!$T$5:$T$10,1,FALSE))</f>
        <v>0</v>
      </c>
      <c r="AC561" s="161" t="b">
        <f>IF(AB561=TRUE,(VLOOKUP($AJ553,Match!$T$5:$U$10,2,FALSE)))</f>
        <v>0</v>
      </c>
      <c r="AD561" s="8">
        <v>3</v>
      </c>
      <c r="AE561" s="8">
        <v>2</v>
      </c>
      <c r="AF561" s="8">
        <v>2</v>
      </c>
      <c r="AG561" s="8">
        <v>1</v>
      </c>
      <c r="AH561" s="8" t="str">
        <f t="shared" si="145"/>
        <v/>
      </c>
      <c r="AI561" s="12"/>
      <c r="AZ561" s="12"/>
      <c r="BC561" s="12"/>
      <c r="BK561" s="12"/>
    </row>
    <row r="562" spans="1:63" x14ac:dyDescent="0.25">
      <c r="A562" s="29">
        <f t="shared" si="144"/>
        <v>0</v>
      </c>
      <c r="B562" s="29">
        <f t="shared" si="131"/>
        <v>0</v>
      </c>
      <c r="C562" s="29">
        <f t="shared" si="132"/>
        <v>0</v>
      </c>
      <c r="D562" s="29">
        <f t="shared" si="133"/>
        <v>0</v>
      </c>
      <c r="E562" s="29">
        <f t="shared" si="130"/>
        <v>0</v>
      </c>
      <c r="F562" s="29">
        <f t="shared" si="134"/>
        <v>0</v>
      </c>
      <c r="G562" s="29" t="str">
        <f t="shared" si="135"/>
        <v>offensive</v>
      </c>
      <c r="H562" s="16">
        <f t="shared" si="136"/>
        <v>0</v>
      </c>
      <c r="I562" s="16">
        <f t="shared" si="137"/>
        <v>0</v>
      </c>
      <c r="J562" s="16">
        <f t="shared" si="138"/>
        <v>0</v>
      </c>
      <c r="K562" s="16">
        <f t="shared" si="139"/>
        <v>0</v>
      </c>
      <c r="L562" s="67">
        <f t="shared" si="140"/>
        <v>0</v>
      </c>
      <c r="M562" s="4">
        <f t="shared" si="141"/>
        <v>0</v>
      </c>
      <c r="N562" s="4">
        <f t="shared" si="142"/>
        <v>0</v>
      </c>
      <c r="O562" s="4">
        <f t="shared" si="143"/>
        <v>0</v>
      </c>
      <c r="P562" s="4" t="e">
        <f>VLOOKUP(AJ554,'CIR Team Info'!$C$5:$E$44,2,FALSE)</f>
        <v>#N/A</v>
      </c>
      <c r="Q562" s="4" t="e">
        <f>VLOOKUP(AJ554,'CIR Team Info'!$C$5:$E$44,3,FALSE)</f>
        <v>#N/A</v>
      </c>
      <c r="R562" s="10" t="e">
        <f>VLOOKUP(AJ554,'FRC Site Data'!$B$3:$L$42,2,FALSE)</f>
        <v>#N/A</v>
      </c>
      <c r="S562" s="10" t="e">
        <f>VLOOKUP(AJ554,'FRC Site Data'!$B$3:$L$42,3,FALSE)</f>
        <v>#N/A</v>
      </c>
      <c r="T562" s="10" t="e">
        <f>VLOOKUP(AJ554,'FRC Site Data'!$B$3:$L$42,4,FALSE)</f>
        <v>#N/A</v>
      </c>
      <c r="U562" s="10" t="e">
        <f>VLOOKUP(AJ554,'FRC Site Data'!$B$3:$L$42,5,FALSE)</f>
        <v>#N/A</v>
      </c>
      <c r="V562" s="10" t="e">
        <f>VLOOKUP(AJ554,'FRC Site Data'!$B$3:$L$42,6,FALSE)</f>
        <v>#N/A</v>
      </c>
      <c r="W562" s="10" t="e">
        <f>VLOOKUP(AJ554,'FRC Site Data'!$B$3:$L$42,8,FALSE)</f>
        <v>#N/A</v>
      </c>
      <c r="X562" s="10" t="e">
        <f>VLOOKUP(AJ554,'FRC Site Data'!$B$3:$L$42,9,FALSE)</f>
        <v>#N/A</v>
      </c>
      <c r="Y562" s="10" t="e">
        <f>VLOOKUP(AJ554,'FRC Site Data'!$B$3:$L$42,10,FALSE)</f>
        <v>#N/A</v>
      </c>
      <c r="Z562" s="10" t="e">
        <f>VLOOKUP(AJ554,'FRC Site Data'!$B$3:$L$42,11,FALSE)</f>
        <v>#N/A</v>
      </c>
      <c r="AA562" s="10" t="e">
        <f>VLOOKUP(AJ554,'CIR Team Info'!$C$5:$E$44,4,FALSE)</f>
        <v>#N/A</v>
      </c>
      <c r="AB562" s="161" t="b">
        <f>ISNUMBER(VLOOKUP(AJ554,Match!$T$5:$T$10,1,FALSE))</f>
        <v>0</v>
      </c>
      <c r="AC562" s="161" t="b">
        <f>IF(AB562=TRUE,(VLOOKUP($AJ554,Match!$T$5:$U$10,2,FALSE)))</f>
        <v>0</v>
      </c>
      <c r="AD562" s="8">
        <v>3</v>
      </c>
      <c r="AE562" s="8">
        <v>2</v>
      </c>
      <c r="AF562" s="8">
        <v>2</v>
      </c>
      <c r="AG562" s="8">
        <v>1</v>
      </c>
      <c r="AH562" s="8" t="str">
        <f t="shared" si="145"/>
        <v/>
      </c>
      <c r="AI562" s="12"/>
      <c r="AZ562" s="12"/>
      <c r="BC562" s="12"/>
      <c r="BK562" s="12"/>
    </row>
    <row r="563" spans="1:63" x14ac:dyDescent="0.25">
      <c r="A563" s="29">
        <f t="shared" si="144"/>
        <v>0</v>
      </c>
      <c r="B563" s="29">
        <f t="shared" si="131"/>
        <v>0</v>
      </c>
      <c r="C563" s="29">
        <f t="shared" si="132"/>
        <v>0</v>
      </c>
      <c r="D563" s="29">
        <f t="shared" si="133"/>
        <v>0</v>
      </c>
      <c r="E563" s="29">
        <f t="shared" si="130"/>
        <v>0</v>
      </c>
      <c r="F563" s="29">
        <f t="shared" si="134"/>
        <v>0</v>
      </c>
      <c r="G563" s="29" t="str">
        <f t="shared" si="135"/>
        <v>offensive</v>
      </c>
      <c r="H563" s="16">
        <f t="shared" si="136"/>
        <v>0</v>
      </c>
      <c r="I563" s="16">
        <f t="shared" si="137"/>
        <v>0</v>
      </c>
      <c r="J563" s="16">
        <f t="shared" si="138"/>
        <v>0</v>
      </c>
      <c r="K563" s="16">
        <f t="shared" si="139"/>
        <v>0</v>
      </c>
      <c r="L563" s="67">
        <f t="shared" si="140"/>
        <v>0</v>
      </c>
      <c r="M563" s="4">
        <f t="shared" si="141"/>
        <v>0</v>
      </c>
      <c r="N563" s="4">
        <f t="shared" si="142"/>
        <v>0</v>
      </c>
      <c r="O563" s="4">
        <f t="shared" si="143"/>
        <v>0</v>
      </c>
      <c r="P563" s="4" t="e">
        <f>VLOOKUP(AJ555,'CIR Team Info'!$C$5:$E$44,2,FALSE)</f>
        <v>#N/A</v>
      </c>
      <c r="Q563" s="4" t="e">
        <f>VLOOKUP(AJ555,'CIR Team Info'!$C$5:$E$44,3,FALSE)</f>
        <v>#N/A</v>
      </c>
      <c r="R563" s="10" t="e">
        <f>VLOOKUP(AJ555,'FRC Site Data'!$B$3:$L$42,2,FALSE)</f>
        <v>#N/A</v>
      </c>
      <c r="S563" s="10" t="e">
        <f>VLOOKUP(AJ555,'FRC Site Data'!$B$3:$L$42,3,FALSE)</f>
        <v>#N/A</v>
      </c>
      <c r="T563" s="10" t="e">
        <f>VLOOKUP(AJ555,'FRC Site Data'!$B$3:$L$42,4,FALSE)</f>
        <v>#N/A</v>
      </c>
      <c r="U563" s="10" t="e">
        <f>VLOOKUP(AJ555,'FRC Site Data'!$B$3:$L$42,5,FALSE)</f>
        <v>#N/A</v>
      </c>
      <c r="V563" s="10" t="e">
        <f>VLOOKUP(AJ555,'FRC Site Data'!$B$3:$L$42,6,FALSE)</f>
        <v>#N/A</v>
      </c>
      <c r="W563" s="10" t="e">
        <f>VLOOKUP(AJ555,'FRC Site Data'!$B$3:$L$42,8,FALSE)</f>
        <v>#N/A</v>
      </c>
      <c r="X563" s="10" t="e">
        <f>VLOOKUP(AJ555,'FRC Site Data'!$B$3:$L$42,9,FALSE)</f>
        <v>#N/A</v>
      </c>
      <c r="Y563" s="10" t="e">
        <f>VLOOKUP(AJ555,'FRC Site Data'!$B$3:$L$42,10,FALSE)</f>
        <v>#N/A</v>
      </c>
      <c r="Z563" s="10" t="e">
        <f>VLOOKUP(AJ555,'FRC Site Data'!$B$3:$L$42,11,FALSE)</f>
        <v>#N/A</v>
      </c>
      <c r="AA563" s="10" t="e">
        <f>VLOOKUP(AJ555,'CIR Team Info'!$C$5:$E$44,4,FALSE)</f>
        <v>#N/A</v>
      </c>
      <c r="AB563" s="161" t="b">
        <f>ISNUMBER(VLOOKUP(AJ555,Match!$T$5:$T$10,1,FALSE))</f>
        <v>0</v>
      </c>
      <c r="AC563" s="161" t="b">
        <f>IF(AB563=TRUE,(VLOOKUP($AJ555,Match!$T$5:$U$10,2,FALSE)))</f>
        <v>0</v>
      </c>
      <c r="AD563" s="8">
        <v>3</v>
      </c>
      <c r="AE563" s="8">
        <v>2</v>
      </c>
      <c r="AF563" s="8">
        <v>2</v>
      </c>
      <c r="AG563" s="8">
        <v>1</v>
      </c>
      <c r="AH563" s="8" t="str">
        <f t="shared" si="145"/>
        <v/>
      </c>
      <c r="AI563" s="12"/>
      <c r="AZ563" s="12"/>
      <c r="BC563" s="12"/>
      <c r="BK563" s="12"/>
    </row>
    <row r="564" spans="1:63" x14ac:dyDescent="0.25">
      <c r="A564" s="29">
        <f t="shared" si="144"/>
        <v>0</v>
      </c>
      <c r="B564" s="29">
        <f t="shared" si="131"/>
        <v>0</v>
      </c>
      <c r="C564" s="29">
        <f t="shared" si="132"/>
        <v>0</v>
      </c>
      <c r="D564" s="29">
        <f t="shared" si="133"/>
        <v>0</v>
      </c>
      <c r="E564" s="29">
        <f t="shared" si="130"/>
        <v>0</v>
      </c>
      <c r="F564" s="29">
        <f t="shared" si="134"/>
        <v>0</v>
      </c>
      <c r="G564" s="29" t="str">
        <f t="shared" si="135"/>
        <v>offensive</v>
      </c>
      <c r="H564" s="16">
        <f t="shared" si="136"/>
        <v>0</v>
      </c>
      <c r="I564" s="16">
        <f t="shared" si="137"/>
        <v>0</v>
      </c>
      <c r="J564" s="16">
        <f t="shared" si="138"/>
        <v>0</v>
      </c>
      <c r="K564" s="16">
        <f t="shared" si="139"/>
        <v>0</v>
      </c>
      <c r="L564" s="67">
        <f t="shared" si="140"/>
        <v>0</v>
      </c>
      <c r="M564" s="4">
        <f t="shared" si="141"/>
        <v>0</v>
      </c>
      <c r="N564" s="4">
        <f t="shared" si="142"/>
        <v>0</v>
      </c>
      <c r="O564" s="4">
        <f t="shared" si="143"/>
        <v>0</v>
      </c>
      <c r="P564" s="4" t="e">
        <f>VLOOKUP(AJ556,'CIR Team Info'!$C$5:$E$44,2,FALSE)</f>
        <v>#N/A</v>
      </c>
      <c r="Q564" s="4" t="e">
        <f>VLOOKUP(AJ556,'CIR Team Info'!$C$5:$E$44,3,FALSE)</f>
        <v>#N/A</v>
      </c>
      <c r="R564" s="10" t="e">
        <f>VLOOKUP(AJ556,'FRC Site Data'!$B$3:$L$42,2,FALSE)</f>
        <v>#N/A</v>
      </c>
      <c r="S564" s="10" t="e">
        <f>VLOOKUP(AJ556,'FRC Site Data'!$B$3:$L$42,3,FALSE)</f>
        <v>#N/A</v>
      </c>
      <c r="T564" s="10" t="e">
        <f>VLOOKUP(AJ556,'FRC Site Data'!$B$3:$L$42,4,FALSE)</f>
        <v>#N/A</v>
      </c>
      <c r="U564" s="10" t="e">
        <f>VLOOKUP(AJ556,'FRC Site Data'!$B$3:$L$42,5,FALSE)</f>
        <v>#N/A</v>
      </c>
      <c r="V564" s="10" t="e">
        <f>VLOOKUP(AJ556,'FRC Site Data'!$B$3:$L$42,6,FALSE)</f>
        <v>#N/A</v>
      </c>
      <c r="W564" s="10" t="e">
        <f>VLOOKUP(AJ556,'FRC Site Data'!$B$3:$L$42,8,FALSE)</f>
        <v>#N/A</v>
      </c>
      <c r="X564" s="10" t="e">
        <f>VLOOKUP(AJ556,'FRC Site Data'!$B$3:$L$42,9,FALSE)</f>
        <v>#N/A</v>
      </c>
      <c r="Y564" s="10" t="e">
        <f>VLOOKUP(AJ556,'FRC Site Data'!$B$3:$L$42,10,FALSE)</f>
        <v>#N/A</v>
      </c>
      <c r="Z564" s="10" t="e">
        <f>VLOOKUP(AJ556,'FRC Site Data'!$B$3:$L$42,11,FALSE)</f>
        <v>#N/A</v>
      </c>
      <c r="AA564" s="10" t="e">
        <f>VLOOKUP(AJ556,'CIR Team Info'!$C$5:$E$44,4,FALSE)</f>
        <v>#N/A</v>
      </c>
      <c r="AB564" s="161" t="b">
        <f>ISNUMBER(VLOOKUP(AJ556,Match!$T$5:$T$10,1,FALSE))</f>
        <v>0</v>
      </c>
      <c r="AC564" s="161" t="b">
        <f>IF(AB564=TRUE,(VLOOKUP($AJ556,Match!$T$5:$U$10,2,FALSE)))</f>
        <v>0</v>
      </c>
      <c r="AD564" s="8">
        <v>3</v>
      </c>
      <c r="AE564" s="8">
        <v>2</v>
      </c>
      <c r="AF564" s="8">
        <v>2</v>
      </c>
      <c r="AG564" s="8">
        <v>1</v>
      </c>
      <c r="AH564" s="8" t="str">
        <f t="shared" si="145"/>
        <v/>
      </c>
      <c r="AI564" s="12"/>
      <c r="AZ564" s="12"/>
      <c r="BC564" s="12"/>
      <c r="BK564" s="12"/>
    </row>
    <row r="565" spans="1:63" x14ac:dyDescent="0.25">
      <c r="A565" s="29">
        <f t="shared" si="144"/>
        <v>0</v>
      </c>
      <c r="B565" s="29">
        <f t="shared" si="131"/>
        <v>0</v>
      </c>
      <c r="C565" s="29">
        <f t="shared" si="132"/>
        <v>0</v>
      </c>
      <c r="D565" s="29">
        <f t="shared" si="133"/>
        <v>0</v>
      </c>
      <c r="E565" s="29">
        <f t="shared" si="130"/>
        <v>0</v>
      </c>
      <c r="F565" s="29">
        <f t="shared" si="134"/>
        <v>0</v>
      </c>
      <c r="G565" s="29" t="str">
        <f t="shared" si="135"/>
        <v>offensive</v>
      </c>
      <c r="H565" s="16">
        <f t="shared" si="136"/>
        <v>0</v>
      </c>
      <c r="I565" s="16">
        <f t="shared" si="137"/>
        <v>0</v>
      </c>
      <c r="J565" s="16">
        <f t="shared" si="138"/>
        <v>0</v>
      </c>
      <c r="K565" s="16">
        <f t="shared" si="139"/>
        <v>0</v>
      </c>
      <c r="L565" s="67">
        <f t="shared" si="140"/>
        <v>0</v>
      </c>
      <c r="M565" s="4">
        <f t="shared" si="141"/>
        <v>0</v>
      </c>
      <c r="N565" s="4">
        <f t="shared" si="142"/>
        <v>0</v>
      </c>
      <c r="O565" s="4">
        <f t="shared" si="143"/>
        <v>0</v>
      </c>
      <c r="P565" s="4" t="e">
        <f>VLOOKUP(AJ557,'CIR Team Info'!$C$5:$E$44,2,FALSE)</f>
        <v>#N/A</v>
      </c>
      <c r="Q565" s="4" t="e">
        <f>VLOOKUP(AJ557,'CIR Team Info'!$C$5:$E$44,3,FALSE)</f>
        <v>#N/A</v>
      </c>
      <c r="R565" s="10" t="e">
        <f>VLOOKUP(AJ557,'FRC Site Data'!$B$3:$L$42,2,FALSE)</f>
        <v>#N/A</v>
      </c>
      <c r="S565" s="10" t="e">
        <f>VLOOKUP(AJ557,'FRC Site Data'!$B$3:$L$42,3,FALSE)</f>
        <v>#N/A</v>
      </c>
      <c r="T565" s="10" t="e">
        <f>VLOOKUP(AJ557,'FRC Site Data'!$B$3:$L$42,4,FALSE)</f>
        <v>#N/A</v>
      </c>
      <c r="U565" s="10" t="e">
        <f>VLOOKUP(AJ557,'FRC Site Data'!$B$3:$L$42,5,FALSE)</f>
        <v>#N/A</v>
      </c>
      <c r="V565" s="10" t="e">
        <f>VLOOKUP(AJ557,'FRC Site Data'!$B$3:$L$42,6,FALSE)</f>
        <v>#N/A</v>
      </c>
      <c r="W565" s="10" t="e">
        <f>VLOOKUP(AJ557,'FRC Site Data'!$B$3:$L$42,8,FALSE)</f>
        <v>#N/A</v>
      </c>
      <c r="X565" s="10" t="e">
        <f>VLOOKUP(AJ557,'FRC Site Data'!$B$3:$L$42,9,FALSE)</f>
        <v>#N/A</v>
      </c>
      <c r="Y565" s="10" t="e">
        <f>VLOOKUP(AJ557,'FRC Site Data'!$B$3:$L$42,10,FALSE)</f>
        <v>#N/A</v>
      </c>
      <c r="Z565" s="10" t="e">
        <f>VLOOKUP(AJ557,'FRC Site Data'!$B$3:$L$42,11,FALSE)</f>
        <v>#N/A</v>
      </c>
      <c r="AA565" s="10" t="e">
        <f>VLOOKUP(AJ557,'CIR Team Info'!$C$5:$E$44,4,FALSE)</f>
        <v>#N/A</v>
      </c>
      <c r="AB565" s="161" t="b">
        <f>ISNUMBER(VLOOKUP(AJ557,Match!$T$5:$T$10,1,FALSE))</f>
        <v>0</v>
      </c>
      <c r="AC565" s="161" t="b">
        <f>IF(AB565=TRUE,(VLOOKUP($AJ557,Match!$T$5:$U$10,2,FALSE)))</f>
        <v>0</v>
      </c>
      <c r="AD565" s="8">
        <v>3</v>
      </c>
      <c r="AE565" s="8">
        <v>2</v>
      </c>
      <c r="AF565" s="8">
        <v>2</v>
      </c>
      <c r="AG565" s="8">
        <v>1</v>
      </c>
      <c r="AH565" s="8" t="str">
        <f t="shared" si="145"/>
        <v/>
      </c>
      <c r="AI565" s="12"/>
      <c r="AZ565" s="12"/>
      <c r="BC565" s="12"/>
      <c r="BK565" s="12"/>
    </row>
    <row r="566" spans="1:63" x14ac:dyDescent="0.25">
      <c r="A566" s="29">
        <f t="shared" si="144"/>
        <v>0</v>
      </c>
      <c r="B566" s="29">
        <f t="shared" si="131"/>
        <v>0</v>
      </c>
      <c r="C566" s="29">
        <f t="shared" si="132"/>
        <v>0</v>
      </c>
      <c r="D566" s="29">
        <f t="shared" si="133"/>
        <v>0</v>
      </c>
      <c r="E566" s="29">
        <f t="shared" si="130"/>
        <v>0</v>
      </c>
      <c r="F566" s="29">
        <f t="shared" si="134"/>
        <v>0</v>
      </c>
      <c r="G566" s="29" t="str">
        <f t="shared" si="135"/>
        <v>offensive</v>
      </c>
      <c r="H566" s="16">
        <f t="shared" si="136"/>
        <v>0</v>
      </c>
      <c r="I566" s="16">
        <f t="shared" si="137"/>
        <v>0</v>
      </c>
      <c r="J566" s="16">
        <f t="shared" si="138"/>
        <v>0</v>
      </c>
      <c r="K566" s="16">
        <f t="shared" si="139"/>
        <v>0</v>
      </c>
      <c r="L566" s="67">
        <f t="shared" si="140"/>
        <v>0</v>
      </c>
      <c r="M566" s="4">
        <f t="shared" si="141"/>
        <v>0</v>
      </c>
      <c r="N566" s="4">
        <f t="shared" si="142"/>
        <v>0</v>
      </c>
      <c r="O566" s="4">
        <f t="shared" si="143"/>
        <v>0</v>
      </c>
      <c r="P566" s="4" t="e">
        <f>VLOOKUP(AJ558,'CIR Team Info'!$C$5:$E$44,2,FALSE)</f>
        <v>#N/A</v>
      </c>
      <c r="Q566" s="4" t="e">
        <f>VLOOKUP(AJ558,'CIR Team Info'!$C$5:$E$44,3,FALSE)</f>
        <v>#N/A</v>
      </c>
      <c r="R566" s="10" t="e">
        <f>VLOOKUP(AJ558,'FRC Site Data'!$B$3:$L$42,2,FALSE)</f>
        <v>#N/A</v>
      </c>
      <c r="S566" s="10" t="e">
        <f>VLOOKUP(AJ558,'FRC Site Data'!$B$3:$L$42,3,FALSE)</f>
        <v>#N/A</v>
      </c>
      <c r="T566" s="10" t="e">
        <f>VLOOKUP(AJ558,'FRC Site Data'!$B$3:$L$42,4,FALSE)</f>
        <v>#N/A</v>
      </c>
      <c r="U566" s="10" t="e">
        <f>VLOOKUP(AJ558,'FRC Site Data'!$B$3:$L$42,5,FALSE)</f>
        <v>#N/A</v>
      </c>
      <c r="V566" s="10" t="e">
        <f>VLOOKUP(AJ558,'FRC Site Data'!$B$3:$L$42,6,FALSE)</f>
        <v>#N/A</v>
      </c>
      <c r="W566" s="10" t="e">
        <f>VLOOKUP(AJ558,'FRC Site Data'!$B$3:$L$42,8,FALSE)</f>
        <v>#N/A</v>
      </c>
      <c r="X566" s="10" t="e">
        <f>VLOOKUP(AJ558,'FRC Site Data'!$B$3:$L$42,9,FALSE)</f>
        <v>#N/A</v>
      </c>
      <c r="Y566" s="10" t="e">
        <f>VLOOKUP(AJ558,'FRC Site Data'!$B$3:$L$42,10,FALSE)</f>
        <v>#N/A</v>
      </c>
      <c r="Z566" s="10" t="e">
        <f>VLOOKUP(AJ558,'FRC Site Data'!$B$3:$L$42,11,FALSE)</f>
        <v>#N/A</v>
      </c>
      <c r="AA566" s="10" t="e">
        <f>VLOOKUP(AJ558,'CIR Team Info'!$C$5:$E$44,4,FALSE)</f>
        <v>#N/A</v>
      </c>
      <c r="AB566" s="161" t="b">
        <f>ISNUMBER(VLOOKUP(AJ558,Match!$T$5:$T$10,1,FALSE))</f>
        <v>0</v>
      </c>
      <c r="AC566" s="161" t="b">
        <f>IF(AB566=TRUE,(VLOOKUP($AJ558,Match!$T$5:$U$10,2,FALSE)))</f>
        <v>0</v>
      </c>
      <c r="AD566" s="8">
        <v>3</v>
      </c>
      <c r="AE566" s="8">
        <v>2</v>
      </c>
      <c r="AF566" s="8">
        <v>2</v>
      </c>
      <c r="AG566" s="8">
        <v>1</v>
      </c>
      <c r="AH566" s="8" t="str">
        <f t="shared" si="145"/>
        <v/>
      </c>
      <c r="AI566" s="12"/>
      <c r="AZ566" s="12"/>
      <c r="BC566" s="12"/>
      <c r="BK566" s="12"/>
    </row>
    <row r="567" spans="1:63" x14ac:dyDescent="0.25">
      <c r="A567" s="29">
        <f t="shared" si="144"/>
        <v>0</v>
      </c>
      <c r="B567" s="29">
        <f t="shared" si="131"/>
        <v>0</v>
      </c>
      <c r="C567" s="29">
        <f t="shared" si="132"/>
        <v>0</v>
      </c>
      <c r="D567" s="29">
        <f t="shared" si="133"/>
        <v>0</v>
      </c>
      <c r="E567" s="29">
        <f t="shared" si="130"/>
        <v>0</v>
      </c>
      <c r="F567" s="29">
        <f t="shared" si="134"/>
        <v>0</v>
      </c>
      <c r="G567" s="29" t="str">
        <f t="shared" si="135"/>
        <v>offensive</v>
      </c>
      <c r="H567" s="16">
        <f t="shared" si="136"/>
        <v>0</v>
      </c>
      <c r="I567" s="16">
        <f t="shared" si="137"/>
        <v>0</v>
      </c>
      <c r="J567" s="16">
        <f t="shared" si="138"/>
        <v>0</v>
      </c>
      <c r="K567" s="16">
        <f t="shared" si="139"/>
        <v>0</v>
      </c>
      <c r="L567" s="67">
        <f t="shared" si="140"/>
        <v>0</v>
      </c>
      <c r="M567" s="4">
        <f t="shared" si="141"/>
        <v>0</v>
      </c>
      <c r="N567" s="4">
        <f t="shared" si="142"/>
        <v>0</v>
      </c>
      <c r="O567" s="4">
        <f t="shared" si="143"/>
        <v>0</v>
      </c>
      <c r="P567" s="4" t="e">
        <f>VLOOKUP(AJ559,'CIR Team Info'!$C$5:$E$44,2,FALSE)</f>
        <v>#N/A</v>
      </c>
      <c r="Q567" s="4" t="e">
        <f>VLOOKUP(AJ559,'CIR Team Info'!$C$5:$E$44,3,FALSE)</f>
        <v>#N/A</v>
      </c>
      <c r="R567" s="10" t="e">
        <f>VLOOKUP(AJ559,'FRC Site Data'!$B$3:$L$42,2,FALSE)</f>
        <v>#N/A</v>
      </c>
      <c r="S567" s="10" t="e">
        <f>VLOOKUP(AJ559,'FRC Site Data'!$B$3:$L$42,3,FALSE)</f>
        <v>#N/A</v>
      </c>
      <c r="T567" s="10" t="e">
        <f>VLOOKUP(AJ559,'FRC Site Data'!$B$3:$L$42,4,FALSE)</f>
        <v>#N/A</v>
      </c>
      <c r="U567" s="10" t="e">
        <f>VLOOKUP(AJ559,'FRC Site Data'!$B$3:$L$42,5,FALSE)</f>
        <v>#N/A</v>
      </c>
      <c r="V567" s="10" t="e">
        <f>VLOOKUP(AJ559,'FRC Site Data'!$B$3:$L$42,6,FALSE)</f>
        <v>#N/A</v>
      </c>
      <c r="W567" s="10" t="e">
        <f>VLOOKUP(AJ559,'FRC Site Data'!$B$3:$L$42,8,FALSE)</f>
        <v>#N/A</v>
      </c>
      <c r="X567" s="10" t="e">
        <f>VLOOKUP(AJ559,'FRC Site Data'!$B$3:$L$42,9,FALSE)</f>
        <v>#N/A</v>
      </c>
      <c r="Y567" s="10" t="e">
        <f>VLOOKUP(AJ559,'FRC Site Data'!$B$3:$L$42,10,FALSE)</f>
        <v>#N/A</v>
      </c>
      <c r="Z567" s="10" t="e">
        <f>VLOOKUP(AJ559,'FRC Site Data'!$B$3:$L$42,11,FALSE)</f>
        <v>#N/A</v>
      </c>
      <c r="AA567" s="10" t="e">
        <f>VLOOKUP(AJ559,'CIR Team Info'!$C$5:$E$44,4,FALSE)</f>
        <v>#N/A</v>
      </c>
      <c r="AB567" s="161" t="b">
        <f>ISNUMBER(VLOOKUP(AJ559,Match!$T$5:$T$10,1,FALSE))</f>
        <v>0</v>
      </c>
      <c r="AC567" s="161" t="b">
        <f>IF(AB567=TRUE,(VLOOKUP($AJ559,Match!$T$5:$U$10,2,FALSE)))</f>
        <v>0</v>
      </c>
      <c r="AD567" s="8">
        <v>3</v>
      </c>
      <c r="AE567" s="8">
        <v>2</v>
      </c>
      <c r="AF567" s="8">
        <v>2</v>
      </c>
      <c r="AG567" s="8">
        <v>1</v>
      </c>
      <c r="AH567" s="8" t="str">
        <f t="shared" si="145"/>
        <v/>
      </c>
      <c r="AI567" s="12"/>
      <c r="AZ567" s="12"/>
      <c r="BC567" s="12"/>
      <c r="BK567" s="12"/>
    </row>
    <row r="568" spans="1:63" x14ac:dyDescent="0.25">
      <c r="A568" s="29">
        <f t="shared" si="144"/>
        <v>0</v>
      </c>
      <c r="B568" s="29">
        <f t="shared" si="131"/>
        <v>0</v>
      </c>
      <c r="C568" s="29">
        <f t="shared" si="132"/>
        <v>0</v>
      </c>
      <c r="D568" s="29">
        <f t="shared" si="133"/>
        <v>0</v>
      </c>
      <c r="E568" s="29">
        <f t="shared" si="130"/>
        <v>0</v>
      </c>
      <c r="F568" s="29">
        <f t="shared" si="134"/>
        <v>0</v>
      </c>
      <c r="G568" s="29" t="str">
        <f t="shared" si="135"/>
        <v>offensive</v>
      </c>
      <c r="H568" s="16">
        <f t="shared" si="136"/>
        <v>0</v>
      </c>
      <c r="I568" s="16">
        <f t="shared" si="137"/>
        <v>0</v>
      </c>
      <c r="J568" s="16">
        <f t="shared" si="138"/>
        <v>0</v>
      </c>
      <c r="K568" s="16">
        <f t="shared" si="139"/>
        <v>0</v>
      </c>
      <c r="L568" s="67">
        <f t="shared" si="140"/>
        <v>0</v>
      </c>
      <c r="M568" s="4">
        <f t="shared" si="141"/>
        <v>0</v>
      </c>
      <c r="N568" s="4">
        <f t="shared" si="142"/>
        <v>0</v>
      </c>
      <c r="O568" s="4">
        <f t="shared" si="143"/>
        <v>0</v>
      </c>
      <c r="P568" s="4" t="e">
        <f>VLOOKUP(AJ560,'CIR Team Info'!$C$5:$E$44,2,FALSE)</f>
        <v>#N/A</v>
      </c>
      <c r="Q568" s="4" t="e">
        <f>VLOOKUP(AJ560,'CIR Team Info'!$C$5:$E$44,3,FALSE)</f>
        <v>#N/A</v>
      </c>
      <c r="R568" s="10" t="e">
        <f>VLOOKUP(AJ560,'FRC Site Data'!$B$3:$L$42,2,FALSE)</f>
        <v>#N/A</v>
      </c>
      <c r="S568" s="10" t="e">
        <f>VLOOKUP(AJ560,'FRC Site Data'!$B$3:$L$42,3,FALSE)</f>
        <v>#N/A</v>
      </c>
      <c r="T568" s="10" t="e">
        <f>VLOOKUP(AJ560,'FRC Site Data'!$B$3:$L$42,4,FALSE)</f>
        <v>#N/A</v>
      </c>
      <c r="U568" s="10" t="e">
        <f>VLOOKUP(AJ560,'FRC Site Data'!$B$3:$L$42,5,FALSE)</f>
        <v>#N/A</v>
      </c>
      <c r="V568" s="10" t="e">
        <f>VLOOKUP(AJ560,'FRC Site Data'!$B$3:$L$42,6,FALSE)</f>
        <v>#N/A</v>
      </c>
      <c r="W568" s="10" t="e">
        <f>VLOOKUP(AJ560,'FRC Site Data'!$B$3:$L$42,8,FALSE)</f>
        <v>#N/A</v>
      </c>
      <c r="X568" s="10" t="e">
        <f>VLOOKUP(AJ560,'FRC Site Data'!$B$3:$L$42,9,FALSE)</f>
        <v>#N/A</v>
      </c>
      <c r="Y568" s="10" t="e">
        <f>VLOOKUP(AJ560,'FRC Site Data'!$B$3:$L$42,10,FALSE)</f>
        <v>#N/A</v>
      </c>
      <c r="Z568" s="10" t="e">
        <f>VLOOKUP(AJ560,'FRC Site Data'!$B$3:$L$42,11,FALSE)</f>
        <v>#N/A</v>
      </c>
      <c r="AA568" s="10" t="e">
        <f>VLOOKUP(AJ560,'CIR Team Info'!$C$5:$E$44,4,FALSE)</f>
        <v>#N/A</v>
      </c>
      <c r="AB568" s="161" t="b">
        <f>ISNUMBER(VLOOKUP(AJ560,Match!$T$5:$T$10,1,FALSE))</f>
        <v>0</v>
      </c>
      <c r="AC568" s="161" t="b">
        <f>IF(AB568=TRUE,(VLOOKUP($AJ560,Match!$T$5:$U$10,2,FALSE)))</f>
        <v>0</v>
      </c>
      <c r="AD568" s="8">
        <v>3</v>
      </c>
      <c r="AE568" s="8">
        <v>2</v>
      </c>
      <c r="AF568" s="8">
        <v>2</v>
      </c>
      <c r="AG568" s="8">
        <v>1</v>
      </c>
      <c r="AH568" s="8" t="str">
        <f t="shared" si="145"/>
        <v/>
      </c>
      <c r="AI568" s="12"/>
      <c r="AZ568" s="12"/>
      <c r="BC568" s="12"/>
      <c r="BK568" s="12"/>
    </row>
    <row r="569" spans="1:63" x14ac:dyDescent="0.25">
      <c r="A569" s="29">
        <f t="shared" si="144"/>
        <v>0</v>
      </c>
      <c r="B569" s="29">
        <f t="shared" si="131"/>
        <v>0</v>
      </c>
      <c r="C569" s="29">
        <f t="shared" si="132"/>
        <v>0</v>
      </c>
      <c r="D569" s="29">
        <f t="shared" si="133"/>
        <v>0</v>
      </c>
      <c r="E569" s="29">
        <f t="shared" si="130"/>
        <v>0</v>
      </c>
      <c r="F569" s="29">
        <f t="shared" si="134"/>
        <v>0</v>
      </c>
      <c r="G569" s="29" t="str">
        <f t="shared" si="135"/>
        <v>offensive</v>
      </c>
      <c r="H569" s="16">
        <f t="shared" si="136"/>
        <v>0</v>
      </c>
      <c r="I569" s="16">
        <f t="shared" si="137"/>
        <v>0</v>
      </c>
      <c r="J569" s="16">
        <f t="shared" si="138"/>
        <v>0</v>
      </c>
      <c r="K569" s="16">
        <f t="shared" si="139"/>
        <v>0</v>
      </c>
      <c r="L569" s="67">
        <f t="shared" si="140"/>
        <v>0</v>
      </c>
      <c r="M569" s="4">
        <f t="shared" si="141"/>
        <v>0</v>
      </c>
      <c r="N569" s="4">
        <f t="shared" si="142"/>
        <v>0</v>
      </c>
      <c r="O569" s="4">
        <f t="shared" si="143"/>
        <v>0</v>
      </c>
      <c r="P569" s="4" t="e">
        <f>VLOOKUP(AJ561,'CIR Team Info'!$C$5:$E$44,2,FALSE)</f>
        <v>#N/A</v>
      </c>
      <c r="Q569" s="4" t="e">
        <f>VLOOKUP(AJ561,'CIR Team Info'!$C$5:$E$44,3,FALSE)</f>
        <v>#N/A</v>
      </c>
      <c r="R569" s="10" t="e">
        <f>VLOOKUP(AJ561,'FRC Site Data'!$B$3:$L$42,2,FALSE)</f>
        <v>#N/A</v>
      </c>
      <c r="S569" s="10" t="e">
        <f>VLOOKUP(AJ561,'FRC Site Data'!$B$3:$L$42,3,FALSE)</f>
        <v>#N/A</v>
      </c>
      <c r="T569" s="10" t="e">
        <f>VLOOKUP(AJ561,'FRC Site Data'!$B$3:$L$42,4,FALSE)</f>
        <v>#N/A</v>
      </c>
      <c r="U569" s="10" t="e">
        <f>VLOOKUP(AJ561,'FRC Site Data'!$B$3:$L$42,5,FALSE)</f>
        <v>#N/A</v>
      </c>
      <c r="V569" s="10" t="e">
        <f>VLOOKUP(AJ561,'FRC Site Data'!$B$3:$L$42,6,FALSE)</f>
        <v>#N/A</v>
      </c>
      <c r="W569" s="10" t="e">
        <f>VLOOKUP(AJ561,'FRC Site Data'!$B$3:$L$42,8,FALSE)</f>
        <v>#N/A</v>
      </c>
      <c r="X569" s="10" t="e">
        <f>VLOOKUP(AJ561,'FRC Site Data'!$B$3:$L$42,9,FALSE)</f>
        <v>#N/A</v>
      </c>
      <c r="Y569" s="10" t="e">
        <f>VLOOKUP(AJ561,'FRC Site Data'!$B$3:$L$42,10,FALSE)</f>
        <v>#N/A</v>
      </c>
      <c r="Z569" s="10" t="e">
        <f>VLOOKUP(AJ561,'FRC Site Data'!$B$3:$L$42,11,FALSE)</f>
        <v>#N/A</v>
      </c>
      <c r="AA569" s="10" t="e">
        <f>VLOOKUP(AJ561,'CIR Team Info'!$C$5:$E$44,4,FALSE)</f>
        <v>#N/A</v>
      </c>
      <c r="AB569" s="161" t="b">
        <f>ISNUMBER(VLOOKUP(AJ561,Match!$T$5:$T$10,1,FALSE))</f>
        <v>0</v>
      </c>
      <c r="AC569" s="161" t="b">
        <f>IF(AB569=TRUE,(VLOOKUP($AJ561,Match!$T$5:$U$10,2,FALSE)))</f>
        <v>0</v>
      </c>
      <c r="AD569" s="8">
        <v>3</v>
      </c>
      <c r="AE569" s="8">
        <v>2</v>
      </c>
      <c r="AF569" s="8">
        <v>2</v>
      </c>
      <c r="AG569" s="8">
        <v>1</v>
      </c>
      <c r="AH569" s="8" t="str">
        <f t="shared" si="145"/>
        <v/>
      </c>
      <c r="AI569" s="12"/>
      <c r="AZ569" s="12"/>
      <c r="BC569" s="12"/>
      <c r="BK569" s="12"/>
    </row>
    <row r="570" spans="1:63" x14ac:dyDescent="0.25">
      <c r="A570" s="29">
        <f t="shared" si="144"/>
        <v>0</v>
      </c>
      <c r="B570" s="29">
        <f t="shared" si="131"/>
        <v>0</v>
      </c>
      <c r="C570" s="29">
        <f t="shared" si="132"/>
        <v>0</v>
      </c>
      <c r="D570" s="29">
        <f t="shared" si="133"/>
        <v>0</v>
      </c>
      <c r="E570" s="29">
        <f t="shared" si="130"/>
        <v>0</v>
      </c>
      <c r="F570" s="29">
        <f t="shared" si="134"/>
        <v>0</v>
      </c>
      <c r="G570" s="29" t="str">
        <f t="shared" si="135"/>
        <v>offensive</v>
      </c>
      <c r="H570" s="16">
        <f t="shared" si="136"/>
        <v>0</v>
      </c>
      <c r="I570" s="16">
        <f t="shared" si="137"/>
        <v>0</v>
      </c>
      <c r="J570" s="16">
        <f t="shared" si="138"/>
        <v>0</v>
      </c>
      <c r="K570" s="16">
        <f t="shared" si="139"/>
        <v>0</v>
      </c>
      <c r="L570" s="67">
        <f t="shared" si="140"/>
        <v>0</v>
      </c>
      <c r="M570" s="4">
        <f t="shared" si="141"/>
        <v>0</v>
      </c>
      <c r="N570" s="4">
        <f t="shared" si="142"/>
        <v>0</v>
      </c>
      <c r="O570" s="4">
        <f t="shared" si="143"/>
        <v>0</v>
      </c>
      <c r="P570" s="4" t="e">
        <f>VLOOKUP(AJ562,'CIR Team Info'!$C$5:$E$44,2,FALSE)</f>
        <v>#N/A</v>
      </c>
      <c r="Q570" s="4" t="e">
        <f>VLOOKUP(AJ562,'CIR Team Info'!$C$5:$E$44,3,FALSE)</f>
        <v>#N/A</v>
      </c>
      <c r="R570" s="10" t="e">
        <f>VLOOKUP(AJ562,'FRC Site Data'!$B$3:$L$42,2,FALSE)</f>
        <v>#N/A</v>
      </c>
      <c r="S570" s="10" t="e">
        <f>VLOOKUP(AJ562,'FRC Site Data'!$B$3:$L$42,3,FALSE)</f>
        <v>#N/A</v>
      </c>
      <c r="T570" s="10" t="e">
        <f>VLOOKUP(AJ562,'FRC Site Data'!$B$3:$L$42,4,FALSE)</f>
        <v>#N/A</v>
      </c>
      <c r="U570" s="10" t="e">
        <f>VLOOKUP(AJ562,'FRC Site Data'!$B$3:$L$42,5,FALSE)</f>
        <v>#N/A</v>
      </c>
      <c r="V570" s="10" t="e">
        <f>VLOOKUP(AJ562,'FRC Site Data'!$B$3:$L$42,6,FALSE)</f>
        <v>#N/A</v>
      </c>
      <c r="W570" s="10" t="e">
        <f>VLOOKUP(AJ562,'FRC Site Data'!$B$3:$L$42,8,FALSE)</f>
        <v>#N/A</v>
      </c>
      <c r="X570" s="10" t="e">
        <f>VLOOKUP(AJ562,'FRC Site Data'!$B$3:$L$42,9,FALSE)</f>
        <v>#N/A</v>
      </c>
      <c r="Y570" s="10" t="e">
        <f>VLOOKUP(AJ562,'FRC Site Data'!$B$3:$L$42,10,FALSE)</f>
        <v>#N/A</v>
      </c>
      <c r="Z570" s="10" t="e">
        <f>VLOOKUP(AJ562,'FRC Site Data'!$B$3:$L$42,11,FALSE)</f>
        <v>#N/A</v>
      </c>
      <c r="AA570" s="10" t="e">
        <f>VLOOKUP(AJ562,'CIR Team Info'!$C$5:$E$44,4,FALSE)</f>
        <v>#N/A</v>
      </c>
      <c r="AB570" s="161" t="b">
        <f>ISNUMBER(VLOOKUP(AJ562,Match!$T$5:$T$10,1,FALSE))</f>
        <v>0</v>
      </c>
      <c r="AC570" s="161" t="b">
        <f>IF(AB570=TRUE,(VLOOKUP($AJ562,Match!$T$5:$U$10,2,FALSE)))</f>
        <v>0</v>
      </c>
      <c r="AD570" s="8">
        <v>3</v>
      </c>
      <c r="AE570" s="8">
        <v>2</v>
      </c>
      <c r="AF570" s="8">
        <v>2</v>
      </c>
      <c r="AG570" s="8">
        <v>1</v>
      </c>
      <c r="AH570" s="8" t="str">
        <f t="shared" si="145"/>
        <v/>
      </c>
      <c r="AI570" s="12"/>
      <c r="AZ570" s="12"/>
      <c r="BC570" s="12"/>
      <c r="BK570" s="12"/>
    </row>
    <row r="571" spans="1:63" x14ac:dyDescent="0.25">
      <c r="A571" s="29">
        <f t="shared" si="144"/>
        <v>0</v>
      </c>
      <c r="B571" s="29">
        <f t="shared" si="131"/>
        <v>0</v>
      </c>
      <c r="C571" s="29">
        <f t="shared" si="132"/>
        <v>0</v>
      </c>
      <c r="D571" s="29">
        <f t="shared" si="133"/>
        <v>0</v>
      </c>
      <c r="E571" s="29">
        <f t="shared" si="130"/>
        <v>0</v>
      </c>
      <c r="F571" s="29">
        <f t="shared" si="134"/>
        <v>0</v>
      </c>
      <c r="G571" s="29" t="str">
        <f t="shared" si="135"/>
        <v>offensive</v>
      </c>
      <c r="H571" s="16">
        <f t="shared" si="136"/>
        <v>0</v>
      </c>
      <c r="I571" s="16">
        <f t="shared" si="137"/>
        <v>0</v>
      </c>
      <c r="J571" s="16">
        <f t="shared" si="138"/>
        <v>0</v>
      </c>
      <c r="K571" s="16">
        <f t="shared" si="139"/>
        <v>0</v>
      </c>
      <c r="L571" s="67">
        <f t="shared" si="140"/>
        <v>0</v>
      </c>
      <c r="M571" s="4">
        <f t="shared" si="141"/>
        <v>0</v>
      </c>
      <c r="N571" s="4">
        <f t="shared" si="142"/>
        <v>0</v>
      </c>
      <c r="O571" s="4">
        <f t="shared" si="143"/>
        <v>0</v>
      </c>
      <c r="P571" s="4" t="e">
        <f>VLOOKUP(AJ563,'CIR Team Info'!$C$5:$E$44,2,FALSE)</f>
        <v>#N/A</v>
      </c>
      <c r="Q571" s="4" t="e">
        <f>VLOOKUP(AJ563,'CIR Team Info'!$C$5:$E$44,3,FALSE)</f>
        <v>#N/A</v>
      </c>
      <c r="R571" s="10" t="e">
        <f>VLOOKUP(AJ563,'FRC Site Data'!$B$3:$L$42,2,FALSE)</f>
        <v>#N/A</v>
      </c>
      <c r="S571" s="10" t="e">
        <f>VLOOKUP(AJ563,'FRC Site Data'!$B$3:$L$42,3,FALSE)</f>
        <v>#N/A</v>
      </c>
      <c r="T571" s="10" t="e">
        <f>VLOOKUP(AJ563,'FRC Site Data'!$B$3:$L$42,4,FALSE)</f>
        <v>#N/A</v>
      </c>
      <c r="U571" s="10" t="e">
        <f>VLOOKUP(AJ563,'FRC Site Data'!$B$3:$L$42,5,FALSE)</f>
        <v>#N/A</v>
      </c>
      <c r="V571" s="10" t="e">
        <f>VLOOKUP(AJ563,'FRC Site Data'!$B$3:$L$42,6,FALSE)</f>
        <v>#N/A</v>
      </c>
      <c r="W571" s="10" t="e">
        <f>VLOOKUP(AJ563,'FRC Site Data'!$B$3:$L$42,8,FALSE)</f>
        <v>#N/A</v>
      </c>
      <c r="X571" s="10" t="e">
        <f>VLOOKUP(AJ563,'FRC Site Data'!$B$3:$L$42,9,FALSE)</f>
        <v>#N/A</v>
      </c>
      <c r="Y571" s="10" t="e">
        <f>VLOOKUP(AJ563,'FRC Site Data'!$B$3:$L$42,10,FALSE)</f>
        <v>#N/A</v>
      </c>
      <c r="Z571" s="10" t="e">
        <f>VLOOKUP(AJ563,'FRC Site Data'!$B$3:$L$42,11,FALSE)</f>
        <v>#N/A</v>
      </c>
      <c r="AA571" s="10" t="e">
        <f>VLOOKUP(AJ563,'CIR Team Info'!$C$5:$E$44,4,FALSE)</f>
        <v>#N/A</v>
      </c>
      <c r="AB571" s="161" t="b">
        <f>ISNUMBER(VLOOKUP(AJ563,Match!$T$5:$T$10,1,FALSE))</f>
        <v>0</v>
      </c>
      <c r="AC571" s="161" t="b">
        <f>IF(AB571=TRUE,(VLOOKUP($AJ563,Match!$T$5:$U$10,2,FALSE)))</f>
        <v>0</v>
      </c>
      <c r="AD571" s="8">
        <v>3</v>
      </c>
      <c r="AE571" s="8">
        <v>2</v>
      </c>
      <c r="AF571" s="8">
        <v>2</v>
      </c>
      <c r="AG571" s="8">
        <v>1</v>
      </c>
      <c r="AH571" s="8" t="str">
        <f t="shared" si="145"/>
        <v/>
      </c>
      <c r="AI571" s="12"/>
      <c r="AZ571" s="12"/>
      <c r="BC571" s="12"/>
      <c r="BK571" s="12"/>
    </row>
    <row r="572" spans="1:63" x14ac:dyDescent="0.25">
      <c r="A572" s="29">
        <f t="shared" si="144"/>
        <v>0</v>
      </c>
      <c r="B572" s="29">
        <f t="shared" si="131"/>
        <v>0</v>
      </c>
      <c r="C572" s="29">
        <f t="shared" si="132"/>
        <v>0</v>
      </c>
      <c r="D572" s="29">
        <f t="shared" si="133"/>
        <v>0</v>
      </c>
      <c r="E572" s="29">
        <f t="shared" si="130"/>
        <v>0</v>
      </c>
      <c r="F572" s="29">
        <f t="shared" si="134"/>
        <v>0</v>
      </c>
      <c r="G572" s="29" t="str">
        <f t="shared" si="135"/>
        <v>offensive</v>
      </c>
      <c r="H572" s="16">
        <f t="shared" si="136"/>
        <v>0</v>
      </c>
      <c r="I572" s="16">
        <f t="shared" si="137"/>
        <v>0</v>
      </c>
      <c r="J572" s="16">
        <f t="shared" si="138"/>
        <v>0</v>
      </c>
      <c r="K572" s="16">
        <f t="shared" si="139"/>
        <v>0</v>
      </c>
      <c r="L572" s="67">
        <f t="shared" si="140"/>
        <v>0</v>
      </c>
      <c r="M572" s="4">
        <f t="shared" si="141"/>
        <v>0</v>
      </c>
      <c r="N572" s="4">
        <f t="shared" si="142"/>
        <v>0</v>
      </c>
      <c r="O572" s="4">
        <f t="shared" si="143"/>
        <v>0</v>
      </c>
      <c r="P572" s="4" t="e">
        <f>VLOOKUP(AJ564,'CIR Team Info'!$C$5:$E$44,2,FALSE)</f>
        <v>#N/A</v>
      </c>
      <c r="Q572" s="4" t="e">
        <f>VLOOKUP(AJ564,'CIR Team Info'!$C$5:$E$44,3,FALSE)</f>
        <v>#N/A</v>
      </c>
      <c r="R572" s="10" t="e">
        <f>VLOOKUP(AJ564,'FRC Site Data'!$B$3:$L$42,2,FALSE)</f>
        <v>#N/A</v>
      </c>
      <c r="S572" s="10" t="e">
        <f>VLOOKUP(AJ564,'FRC Site Data'!$B$3:$L$42,3,FALSE)</f>
        <v>#N/A</v>
      </c>
      <c r="T572" s="10" t="e">
        <f>VLOOKUP(AJ564,'FRC Site Data'!$B$3:$L$42,4,FALSE)</f>
        <v>#N/A</v>
      </c>
      <c r="U572" s="10" t="e">
        <f>VLOOKUP(AJ564,'FRC Site Data'!$B$3:$L$42,5,FALSE)</f>
        <v>#N/A</v>
      </c>
      <c r="V572" s="10" t="e">
        <f>VLOOKUP(AJ564,'FRC Site Data'!$B$3:$L$42,6,FALSE)</f>
        <v>#N/A</v>
      </c>
      <c r="W572" s="10" t="e">
        <f>VLOOKUP(AJ564,'FRC Site Data'!$B$3:$L$42,8,FALSE)</f>
        <v>#N/A</v>
      </c>
      <c r="X572" s="10" t="e">
        <f>VLOOKUP(AJ564,'FRC Site Data'!$B$3:$L$42,9,FALSE)</f>
        <v>#N/A</v>
      </c>
      <c r="Y572" s="10" t="e">
        <f>VLOOKUP(AJ564,'FRC Site Data'!$B$3:$L$42,10,FALSE)</f>
        <v>#N/A</v>
      </c>
      <c r="Z572" s="10" t="e">
        <f>VLOOKUP(AJ564,'FRC Site Data'!$B$3:$L$42,11,FALSE)</f>
        <v>#N/A</v>
      </c>
      <c r="AA572" s="10" t="e">
        <f>VLOOKUP(AJ564,'CIR Team Info'!$C$5:$E$44,4,FALSE)</f>
        <v>#N/A</v>
      </c>
      <c r="AB572" s="161" t="b">
        <f>ISNUMBER(VLOOKUP(AJ564,Match!$T$5:$T$10,1,FALSE))</f>
        <v>0</v>
      </c>
      <c r="AC572" s="161" t="b">
        <f>IF(AB572=TRUE,(VLOOKUP($AJ564,Match!$T$5:$U$10,2,FALSE)))</f>
        <v>0</v>
      </c>
      <c r="AD572" s="8">
        <v>3</v>
      </c>
      <c r="AE572" s="8">
        <v>2</v>
      </c>
      <c r="AF572" s="8">
        <v>2</v>
      </c>
      <c r="AG572" s="8">
        <v>1</v>
      </c>
      <c r="AH572" s="8" t="str">
        <f t="shared" si="145"/>
        <v/>
      </c>
      <c r="AI572" s="12"/>
      <c r="AZ572" s="12"/>
      <c r="BC572" s="12"/>
      <c r="BK572" s="12"/>
    </row>
    <row r="573" spans="1:63" x14ac:dyDescent="0.25">
      <c r="A573" s="29">
        <f t="shared" si="144"/>
        <v>0</v>
      </c>
      <c r="B573" s="29">
        <f t="shared" si="131"/>
        <v>0</v>
      </c>
      <c r="C573" s="29">
        <f t="shared" si="132"/>
        <v>0</v>
      </c>
      <c r="D573" s="29">
        <f t="shared" si="133"/>
        <v>0</v>
      </c>
      <c r="E573" s="29">
        <f t="shared" si="130"/>
        <v>0</v>
      </c>
      <c r="F573" s="29">
        <f t="shared" si="134"/>
        <v>0</v>
      </c>
      <c r="G573" s="29" t="str">
        <f t="shared" si="135"/>
        <v>offensive</v>
      </c>
      <c r="H573" s="16">
        <f t="shared" si="136"/>
        <v>0</v>
      </c>
      <c r="I573" s="16">
        <f t="shared" si="137"/>
        <v>0</v>
      </c>
      <c r="J573" s="16">
        <f t="shared" si="138"/>
        <v>0</v>
      </c>
      <c r="K573" s="16">
        <f t="shared" si="139"/>
        <v>0</v>
      </c>
      <c r="L573" s="67">
        <f t="shared" si="140"/>
        <v>0</v>
      </c>
      <c r="M573" s="4">
        <f t="shared" si="141"/>
        <v>0</v>
      </c>
      <c r="N573" s="4">
        <f t="shared" si="142"/>
        <v>0</v>
      </c>
      <c r="O573" s="4">
        <f t="shared" si="143"/>
        <v>0</v>
      </c>
      <c r="P573" s="4" t="e">
        <f>VLOOKUP(AJ565,'CIR Team Info'!$C$5:$E$44,2,FALSE)</f>
        <v>#N/A</v>
      </c>
      <c r="Q573" s="4" t="e">
        <f>VLOOKUP(AJ565,'CIR Team Info'!$C$5:$E$44,3,FALSE)</f>
        <v>#N/A</v>
      </c>
      <c r="R573" s="10" t="e">
        <f>VLOOKUP(AJ565,'FRC Site Data'!$B$3:$L$42,2,FALSE)</f>
        <v>#N/A</v>
      </c>
      <c r="S573" s="10" t="e">
        <f>VLOOKUP(AJ565,'FRC Site Data'!$B$3:$L$42,3,FALSE)</f>
        <v>#N/A</v>
      </c>
      <c r="T573" s="10" t="e">
        <f>VLOOKUP(AJ565,'FRC Site Data'!$B$3:$L$42,4,FALSE)</f>
        <v>#N/A</v>
      </c>
      <c r="U573" s="10" t="e">
        <f>VLOOKUP(AJ565,'FRC Site Data'!$B$3:$L$42,5,FALSE)</f>
        <v>#N/A</v>
      </c>
      <c r="V573" s="10" t="e">
        <f>VLOOKUP(AJ565,'FRC Site Data'!$B$3:$L$42,6,FALSE)</f>
        <v>#N/A</v>
      </c>
      <c r="W573" s="10" t="e">
        <f>VLOOKUP(AJ565,'FRC Site Data'!$B$3:$L$42,8,FALSE)</f>
        <v>#N/A</v>
      </c>
      <c r="X573" s="10" t="e">
        <f>VLOOKUP(AJ565,'FRC Site Data'!$B$3:$L$42,9,FALSE)</f>
        <v>#N/A</v>
      </c>
      <c r="Y573" s="10" t="e">
        <f>VLOOKUP(AJ565,'FRC Site Data'!$B$3:$L$42,10,FALSE)</f>
        <v>#N/A</v>
      </c>
      <c r="Z573" s="10" t="e">
        <f>VLOOKUP(AJ565,'FRC Site Data'!$B$3:$L$42,11,FALSE)</f>
        <v>#N/A</v>
      </c>
      <c r="AA573" s="10" t="e">
        <f>VLOOKUP(AJ565,'CIR Team Info'!$C$5:$E$44,4,FALSE)</f>
        <v>#N/A</v>
      </c>
      <c r="AB573" s="161" t="b">
        <f>ISNUMBER(VLOOKUP(AJ565,Match!$T$5:$T$10,1,FALSE))</f>
        <v>0</v>
      </c>
      <c r="AC573" s="161" t="b">
        <f>IF(AB573=TRUE,(VLOOKUP($AJ565,Match!$T$5:$U$10,2,FALSE)))</f>
        <v>0</v>
      </c>
      <c r="AD573" s="8">
        <v>3</v>
      </c>
      <c r="AE573" s="8">
        <v>2</v>
      </c>
      <c r="AF573" s="8">
        <v>2</v>
      </c>
      <c r="AG573" s="8">
        <v>1</v>
      </c>
      <c r="AH573" s="8" t="str">
        <f t="shared" si="145"/>
        <v/>
      </c>
      <c r="AI573" s="12"/>
      <c r="AZ573" s="12"/>
      <c r="BC573" s="12"/>
      <c r="BK573" s="12"/>
    </row>
    <row r="574" spans="1:63" x14ac:dyDescent="0.25">
      <c r="A574" s="29">
        <f t="shared" si="144"/>
        <v>0</v>
      </c>
      <c r="B574" s="29">
        <f t="shared" si="131"/>
        <v>0</v>
      </c>
      <c r="C574" s="29">
        <f t="shared" si="132"/>
        <v>0</v>
      </c>
      <c r="D574" s="29">
        <f t="shared" si="133"/>
        <v>0</v>
      </c>
      <c r="E574" s="29">
        <f t="shared" si="130"/>
        <v>0</v>
      </c>
      <c r="F574" s="29">
        <f t="shared" si="134"/>
        <v>0</v>
      </c>
      <c r="G574" s="29" t="str">
        <f t="shared" si="135"/>
        <v>offensive</v>
      </c>
      <c r="H574" s="16">
        <f t="shared" si="136"/>
        <v>0</v>
      </c>
      <c r="I574" s="16">
        <f t="shared" si="137"/>
        <v>0</v>
      </c>
      <c r="J574" s="16">
        <f t="shared" si="138"/>
        <v>0</v>
      </c>
      <c r="K574" s="16">
        <f t="shared" si="139"/>
        <v>0</v>
      </c>
      <c r="L574" s="67">
        <f t="shared" si="140"/>
        <v>0</v>
      </c>
      <c r="M574" s="4">
        <f t="shared" si="141"/>
        <v>0</v>
      </c>
      <c r="N574" s="4">
        <f t="shared" si="142"/>
        <v>0</v>
      </c>
      <c r="O574" s="4">
        <f t="shared" si="143"/>
        <v>0</v>
      </c>
      <c r="P574" s="4" t="e">
        <f>VLOOKUP(AJ566,'CIR Team Info'!$C$5:$E$44,2,FALSE)</f>
        <v>#N/A</v>
      </c>
      <c r="Q574" s="4" t="e">
        <f>VLOOKUP(AJ566,'CIR Team Info'!$C$5:$E$44,3,FALSE)</f>
        <v>#N/A</v>
      </c>
      <c r="R574" s="10" t="e">
        <f>VLOOKUP(AJ566,'FRC Site Data'!$B$3:$L$42,2,FALSE)</f>
        <v>#N/A</v>
      </c>
      <c r="S574" s="10" t="e">
        <f>VLOOKUP(AJ566,'FRC Site Data'!$B$3:$L$42,3,FALSE)</f>
        <v>#N/A</v>
      </c>
      <c r="T574" s="10" t="e">
        <f>VLOOKUP(AJ566,'FRC Site Data'!$B$3:$L$42,4,FALSE)</f>
        <v>#N/A</v>
      </c>
      <c r="U574" s="10" t="e">
        <f>VLOOKUP(AJ566,'FRC Site Data'!$B$3:$L$42,5,FALSE)</f>
        <v>#N/A</v>
      </c>
      <c r="V574" s="10" t="e">
        <f>VLOOKUP(AJ566,'FRC Site Data'!$B$3:$L$42,6,FALSE)</f>
        <v>#N/A</v>
      </c>
      <c r="W574" s="10" t="e">
        <f>VLOOKUP(AJ566,'FRC Site Data'!$B$3:$L$42,8,FALSE)</f>
        <v>#N/A</v>
      </c>
      <c r="X574" s="10" t="e">
        <f>VLOOKUP(AJ566,'FRC Site Data'!$B$3:$L$42,9,FALSE)</f>
        <v>#N/A</v>
      </c>
      <c r="Y574" s="10" t="e">
        <f>VLOOKUP(AJ566,'FRC Site Data'!$B$3:$L$42,10,FALSE)</f>
        <v>#N/A</v>
      </c>
      <c r="Z574" s="10" t="e">
        <f>VLOOKUP(AJ566,'FRC Site Data'!$B$3:$L$42,11,FALSE)</f>
        <v>#N/A</v>
      </c>
      <c r="AA574" s="10" t="e">
        <f>VLOOKUP(AJ566,'CIR Team Info'!$C$5:$E$44,4,FALSE)</f>
        <v>#N/A</v>
      </c>
      <c r="AB574" s="161" t="b">
        <f>ISNUMBER(VLOOKUP(AJ566,Match!$T$5:$T$10,1,FALSE))</f>
        <v>0</v>
      </c>
      <c r="AC574" s="161" t="b">
        <f>IF(AB574=TRUE,(VLOOKUP($AJ566,Match!$T$5:$U$10,2,FALSE)))</f>
        <v>0</v>
      </c>
      <c r="AD574" s="8">
        <v>3</v>
      </c>
      <c r="AE574" s="8">
        <v>2</v>
      </c>
      <c r="AF574" s="8">
        <v>2</v>
      </c>
      <c r="AG574" s="8">
        <v>1</v>
      </c>
      <c r="AH574" s="8" t="str">
        <f t="shared" si="145"/>
        <v/>
      </c>
      <c r="AI574" s="12"/>
      <c r="AZ574" s="12"/>
      <c r="BC574" s="12"/>
      <c r="BK574" s="12"/>
    </row>
    <row r="575" spans="1:63" x14ac:dyDescent="0.25">
      <c r="A575" s="29">
        <f t="shared" si="144"/>
        <v>0</v>
      </c>
      <c r="B575" s="29">
        <f t="shared" si="131"/>
        <v>0</v>
      </c>
      <c r="C575" s="29">
        <f t="shared" si="132"/>
        <v>0</v>
      </c>
      <c r="D575" s="29">
        <f t="shared" si="133"/>
        <v>0</v>
      </c>
      <c r="E575" s="29">
        <f t="shared" si="130"/>
        <v>0</v>
      </c>
      <c r="F575" s="29">
        <f t="shared" si="134"/>
        <v>0</v>
      </c>
      <c r="G575" s="29" t="str">
        <f t="shared" si="135"/>
        <v>offensive</v>
      </c>
      <c r="H575" s="16">
        <f t="shared" si="136"/>
        <v>0</v>
      </c>
      <c r="I575" s="16">
        <f t="shared" si="137"/>
        <v>0</v>
      </c>
      <c r="J575" s="16">
        <f t="shared" si="138"/>
        <v>0</v>
      </c>
      <c r="K575" s="16">
        <f t="shared" si="139"/>
        <v>0</v>
      </c>
      <c r="L575" s="67">
        <f t="shared" si="140"/>
        <v>0</v>
      </c>
      <c r="M575" s="4">
        <f t="shared" si="141"/>
        <v>0</v>
      </c>
      <c r="N575" s="4">
        <f t="shared" si="142"/>
        <v>0</v>
      </c>
      <c r="O575" s="4">
        <f t="shared" si="143"/>
        <v>0</v>
      </c>
      <c r="P575" s="4" t="e">
        <f>VLOOKUP(AJ567,'CIR Team Info'!$C$5:$E$44,2,FALSE)</f>
        <v>#N/A</v>
      </c>
      <c r="Q575" s="4" t="e">
        <f>VLOOKUP(AJ567,'CIR Team Info'!$C$5:$E$44,3,FALSE)</f>
        <v>#N/A</v>
      </c>
      <c r="R575" s="10" t="e">
        <f>VLOOKUP(AJ567,'FRC Site Data'!$B$3:$L$42,2,FALSE)</f>
        <v>#N/A</v>
      </c>
      <c r="S575" s="10" t="e">
        <f>VLOOKUP(AJ567,'FRC Site Data'!$B$3:$L$42,3,FALSE)</f>
        <v>#N/A</v>
      </c>
      <c r="T575" s="10" t="e">
        <f>VLOOKUP(AJ567,'FRC Site Data'!$B$3:$L$42,4,FALSE)</f>
        <v>#N/A</v>
      </c>
      <c r="U575" s="10" t="e">
        <f>VLOOKUP(AJ567,'FRC Site Data'!$B$3:$L$42,5,FALSE)</f>
        <v>#N/A</v>
      </c>
      <c r="V575" s="10" t="e">
        <f>VLOOKUP(AJ567,'FRC Site Data'!$B$3:$L$42,6,FALSE)</f>
        <v>#N/A</v>
      </c>
      <c r="W575" s="10" t="e">
        <f>VLOOKUP(AJ567,'FRC Site Data'!$B$3:$L$42,8,FALSE)</f>
        <v>#N/A</v>
      </c>
      <c r="X575" s="10" t="e">
        <f>VLOOKUP(AJ567,'FRC Site Data'!$B$3:$L$42,9,FALSE)</f>
        <v>#N/A</v>
      </c>
      <c r="Y575" s="10" t="e">
        <f>VLOOKUP(AJ567,'FRC Site Data'!$B$3:$L$42,10,FALSE)</f>
        <v>#N/A</v>
      </c>
      <c r="Z575" s="10" t="e">
        <f>VLOOKUP(AJ567,'FRC Site Data'!$B$3:$L$42,11,FALSE)</f>
        <v>#N/A</v>
      </c>
      <c r="AA575" s="10" t="e">
        <f>VLOOKUP(AJ567,'CIR Team Info'!$C$5:$E$44,4,FALSE)</f>
        <v>#N/A</v>
      </c>
      <c r="AB575" s="161" t="b">
        <f>ISNUMBER(VLOOKUP(AJ567,Match!$T$5:$T$10,1,FALSE))</f>
        <v>0</v>
      </c>
      <c r="AC575" s="161" t="b">
        <f>IF(AB575=TRUE,(VLOOKUP($AJ567,Match!$T$5:$U$10,2,FALSE)))</f>
        <v>0</v>
      </c>
      <c r="AD575" s="8">
        <v>3</v>
      </c>
      <c r="AE575" s="8">
        <v>2</v>
      </c>
      <c r="AF575" s="8">
        <v>2</v>
      </c>
      <c r="AG575" s="8">
        <v>1</v>
      </c>
      <c r="AH575" s="8" t="str">
        <f t="shared" si="145"/>
        <v/>
      </c>
      <c r="AI575" s="12"/>
      <c r="AZ575" s="12"/>
      <c r="BC575" s="12"/>
      <c r="BK575" s="12"/>
    </row>
    <row r="576" spans="1:63" x14ac:dyDescent="0.25">
      <c r="A576" s="29">
        <f t="shared" si="144"/>
        <v>0</v>
      </c>
      <c r="B576" s="29">
        <f t="shared" si="131"/>
        <v>0</v>
      </c>
      <c r="C576" s="29">
        <f t="shared" si="132"/>
        <v>0</v>
      </c>
      <c r="D576" s="29">
        <f t="shared" si="133"/>
        <v>0</v>
      </c>
      <c r="E576" s="29">
        <f t="shared" si="130"/>
        <v>0</v>
      </c>
      <c r="F576" s="29">
        <f t="shared" si="134"/>
        <v>0</v>
      </c>
      <c r="G576" s="29" t="str">
        <f t="shared" si="135"/>
        <v>offensive</v>
      </c>
      <c r="H576" s="16">
        <f t="shared" si="136"/>
        <v>0</v>
      </c>
      <c r="I576" s="16">
        <f t="shared" si="137"/>
        <v>0</v>
      </c>
      <c r="J576" s="16">
        <f t="shared" si="138"/>
        <v>0</v>
      </c>
      <c r="K576" s="16">
        <f t="shared" si="139"/>
        <v>0</v>
      </c>
      <c r="L576" s="67">
        <f t="shared" si="140"/>
        <v>0</v>
      </c>
      <c r="M576" s="4">
        <f t="shared" si="141"/>
        <v>0</v>
      </c>
      <c r="N576" s="4">
        <f t="shared" si="142"/>
        <v>0</v>
      </c>
      <c r="O576" s="4">
        <f t="shared" si="143"/>
        <v>0</v>
      </c>
      <c r="P576" s="4" t="e">
        <f>VLOOKUP(AJ568,'CIR Team Info'!$C$5:$E$44,2,FALSE)</f>
        <v>#N/A</v>
      </c>
      <c r="Q576" s="4" t="e">
        <f>VLOOKUP(AJ568,'CIR Team Info'!$C$5:$E$44,3,FALSE)</f>
        <v>#N/A</v>
      </c>
      <c r="R576" s="10" t="e">
        <f>VLOOKUP(AJ568,'FRC Site Data'!$B$3:$L$42,2,FALSE)</f>
        <v>#N/A</v>
      </c>
      <c r="S576" s="10" t="e">
        <f>VLOOKUP(AJ568,'FRC Site Data'!$B$3:$L$42,3,FALSE)</f>
        <v>#N/A</v>
      </c>
      <c r="T576" s="10" t="e">
        <f>VLOOKUP(AJ568,'FRC Site Data'!$B$3:$L$42,4,FALSE)</f>
        <v>#N/A</v>
      </c>
      <c r="U576" s="10" t="e">
        <f>VLOOKUP(AJ568,'FRC Site Data'!$B$3:$L$42,5,FALSE)</f>
        <v>#N/A</v>
      </c>
      <c r="V576" s="10" t="e">
        <f>VLOOKUP(AJ568,'FRC Site Data'!$B$3:$L$42,6,FALSE)</f>
        <v>#N/A</v>
      </c>
      <c r="W576" s="10" t="e">
        <f>VLOOKUP(AJ568,'FRC Site Data'!$B$3:$L$42,8,FALSE)</f>
        <v>#N/A</v>
      </c>
      <c r="X576" s="10" t="e">
        <f>VLOOKUP(AJ568,'FRC Site Data'!$B$3:$L$42,9,FALSE)</f>
        <v>#N/A</v>
      </c>
      <c r="Y576" s="10" t="e">
        <f>VLOOKUP(AJ568,'FRC Site Data'!$B$3:$L$42,10,FALSE)</f>
        <v>#N/A</v>
      </c>
      <c r="Z576" s="10" t="e">
        <f>VLOOKUP(AJ568,'FRC Site Data'!$B$3:$L$42,11,FALSE)</f>
        <v>#N/A</v>
      </c>
      <c r="AA576" s="10" t="e">
        <f>VLOOKUP(AJ568,'CIR Team Info'!$C$5:$E$44,4,FALSE)</f>
        <v>#N/A</v>
      </c>
      <c r="AB576" s="161" t="b">
        <f>ISNUMBER(VLOOKUP(AJ568,Match!$T$5:$T$10,1,FALSE))</f>
        <v>0</v>
      </c>
      <c r="AC576" s="161" t="b">
        <f>IF(AB576=TRUE,(VLOOKUP($AJ568,Match!$T$5:$U$10,2,FALSE)))</f>
        <v>0</v>
      </c>
      <c r="AD576" s="8">
        <v>3</v>
      </c>
      <c r="AE576" s="8">
        <v>2</v>
      </c>
      <c r="AF576" s="8">
        <v>2</v>
      </c>
      <c r="AG576" s="8">
        <v>1</v>
      </c>
      <c r="AH576" s="8" t="str">
        <f t="shared" si="145"/>
        <v/>
      </c>
      <c r="AI576" s="12"/>
      <c r="AZ576" s="12"/>
      <c r="BC576" s="12"/>
      <c r="BK576" s="12"/>
    </row>
    <row r="577" spans="1:63" x14ac:dyDescent="0.25">
      <c r="A577" s="29">
        <f t="shared" si="144"/>
        <v>0</v>
      </c>
      <c r="B577" s="29">
        <f t="shared" si="131"/>
        <v>0</v>
      </c>
      <c r="C577" s="29">
        <f t="shared" si="132"/>
        <v>0</v>
      </c>
      <c r="D577" s="29">
        <f t="shared" si="133"/>
        <v>0</v>
      </c>
      <c r="E577" s="29">
        <f t="shared" ref="E577:E640" si="146">K577*O577</f>
        <v>0</v>
      </c>
      <c r="F577" s="29">
        <f t="shared" si="134"/>
        <v>0</v>
      </c>
      <c r="G577" s="29" t="str">
        <f t="shared" si="135"/>
        <v>offensive</v>
      </c>
      <c r="H577" s="16">
        <f t="shared" si="136"/>
        <v>0</v>
      </c>
      <c r="I577" s="16">
        <f t="shared" si="137"/>
        <v>0</v>
      </c>
      <c r="J577" s="16">
        <f t="shared" si="138"/>
        <v>0</v>
      </c>
      <c r="K577" s="16">
        <f t="shared" si="139"/>
        <v>0</v>
      </c>
      <c r="L577" s="67">
        <f t="shared" si="140"/>
        <v>0</v>
      </c>
      <c r="M577" s="4">
        <f t="shared" si="141"/>
        <v>0</v>
      </c>
      <c r="N577" s="4">
        <f t="shared" si="142"/>
        <v>0</v>
      </c>
      <c r="O577" s="4">
        <f t="shared" si="143"/>
        <v>0</v>
      </c>
      <c r="P577" s="4" t="e">
        <f>VLOOKUP(AJ569,'CIR Team Info'!$C$5:$E$44,2,FALSE)</f>
        <v>#N/A</v>
      </c>
      <c r="Q577" s="4" t="e">
        <f>VLOOKUP(AJ569,'CIR Team Info'!$C$5:$E$44,3,FALSE)</f>
        <v>#N/A</v>
      </c>
      <c r="R577" s="10" t="e">
        <f>VLOOKUP(AJ569,'FRC Site Data'!$B$3:$L$42,2,FALSE)</f>
        <v>#N/A</v>
      </c>
      <c r="S577" s="10" t="e">
        <f>VLOOKUP(AJ569,'FRC Site Data'!$B$3:$L$42,3,FALSE)</f>
        <v>#N/A</v>
      </c>
      <c r="T577" s="10" t="e">
        <f>VLOOKUP(AJ569,'FRC Site Data'!$B$3:$L$42,4,FALSE)</f>
        <v>#N/A</v>
      </c>
      <c r="U577" s="10" t="e">
        <f>VLOOKUP(AJ569,'FRC Site Data'!$B$3:$L$42,5,FALSE)</f>
        <v>#N/A</v>
      </c>
      <c r="V577" s="10" t="e">
        <f>VLOOKUP(AJ569,'FRC Site Data'!$B$3:$L$42,6,FALSE)</f>
        <v>#N/A</v>
      </c>
      <c r="W577" s="10" t="e">
        <f>VLOOKUP(AJ569,'FRC Site Data'!$B$3:$L$42,8,FALSE)</f>
        <v>#N/A</v>
      </c>
      <c r="X577" s="10" t="e">
        <f>VLOOKUP(AJ569,'FRC Site Data'!$B$3:$L$42,9,FALSE)</f>
        <v>#N/A</v>
      </c>
      <c r="Y577" s="10" t="e">
        <f>VLOOKUP(AJ569,'FRC Site Data'!$B$3:$L$42,10,FALSE)</f>
        <v>#N/A</v>
      </c>
      <c r="Z577" s="10" t="e">
        <f>VLOOKUP(AJ569,'FRC Site Data'!$B$3:$L$42,11,FALSE)</f>
        <v>#N/A</v>
      </c>
      <c r="AA577" s="10" t="e">
        <f>VLOOKUP(AJ569,'CIR Team Info'!$C$5:$E$44,4,FALSE)</f>
        <v>#N/A</v>
      </c>
      <c r="AB577" s="161" t="b">
        <f>ISNUMBER(VLOOKUP(AJ569,Match!$T$5:$T$10,1,FALSE))</f>
        <v>0</v>
      </c>
      <c r="AC577" s="161" t="b">
        <f>IF(AB577=TRUE,(VLOOKUP($AJ569,Match!$T$5:$U$10,2,FALSE)))</f>
        <v>0</v>
      </c>
      <c r="AD577" s="8">
        <v>3</v>
      </c>
      <c r="AE577" s="8">
        <v>2</v>
      </c>
      <c r="AF577" s="8">
        <v>2</v>
      </c>
      <c r="AG577" s="8">
        <v>1</v>
      </c>
      <c r="AH577" s="8" t="str">
        <f t="shared" si="145"/>
        <v/>
      </c>
      <c r="AI577" s="12"/>
      <c r="AZ577" s="12"/>
      <c r="BC577" s="12"/>
      <c r="BK577" s="12"/>
    </row>
    <row r="578" spans="1:63" x14ac:dyDescent="0.25">
      <c r="A578" s="29">
        <f t="shared" si="144"/>
        <v>0</v>
      </c>
      <c r="B578" s="29">
        <f t="shared" si="131"/>
        <v>0</v>
      </c>
      <c r="C578" s="29">
        <f t="shared" si="132"/>
        <v>0</v>
      </c>
      <c r="D578" s="29">
        <f t="shared" si="133"/>
        <v>0</v>
      </c>
      <c r="E578" s="29">
        <f t="shared" si="146"/>
        <v>0</v>
      </c>
      <c r="F578" s="29">
        <f t="shared" si="134"/>
        <v>0</v>
      </c>
      <c r="G578" s="29" t="str">
        <f t="shared" si="135"/>
        <v>offensive</v>
      </c>
      <c r="H578" s="16">
        <f t="shared" si="136"/>
        <v>0</v>
      </c>
      <c r="I578" s="16">
        <f t="shared" si="137"/>
        <v>0</v>
      </c>
      <c r="J578" s="16">
        <f t="shared" si="138"/>
        <v>0</v>
      </c>
      <c r="K578" s="16">
        <f t="shared" si="139"/>
        <v>0</v>
      </c>
      <c r="L578" s="67">
        <f t="shared" si="140"/>
        <v>0</v>
      </c>
      <c r="M578" s="4">
        <f t="shared" si="141"/>
        <v>0</v>
      </c>
      <c r="N578" s="4">
        <f t="shared" si="142"/>
        <v>0</v>
      </c>
      <c r="O578" s="4">
        <f t="shared" si="143"/>
        <v>0</v>
      </c>
      <c r="P578" s="4" t="e">
        <f>VLOOKUP(AJ570,'CIR Team Info'!$C$5:$E$44,2,FALSE)</f>
        <v>#N/A</v>
      </c>
      <c r="Q578" s="4" t="e">
        <f>VLOOKUP(AJ570,'CIR Team Info'!$C$5:$E$44,3,FALSE)</f>
        <v>#N/A</v>
      </c>
      <c r="R578" s="10" t="e">
        <f>VLOOKUP(AJ570,'FRC Site Data'!$B$3:$L$42,2,FALSE)</f>
        <v>#N/A</v>
      </c>
      <c r="S578" s="10" t="e">
        <f>VLOOKUP(AJ570,'FRC Site Data'!$B$3:$L$42,3,FALSE)</f>
        <v>#N/A</v>
      </c>
      <c r="T578" s="10" t="e">
        <f>VLOOKUP(AJ570,'FRC Site Data'!$B$3:$L$42,4,FALSE)</f>
        <v>#N/A</v>
      </c>
      <c r="U578" s="10" t="e">
        <f>VLOOKUP(AJ570,'FRC Site Data'!$B$3:$L$42,5,FALSE)</f>
        <v>#N/A</v>
      </c>
      <c r="V578" s="10" t="e">
        <f>VLOOKUP(AJ570,'FRC Site Data'!$B$3:$L$42,6,FALSE)</f>
        <v>#N/A</v>
      </c>
      <c r="W578" s="10" t="e">
        <f>VLOOKUP(AJ570,'FRC Site Data'!$B$3:$L$42,8,FALSE)</f>
        <v>#N/A</v>
      </c>
      <c r="X578" s="10" t="e">
        <f>VLOOKUP(AJ570,'FRC Site Data'!$B$3:$L$42,9,FALSE)</f>
        <v>#N/A</v>
      </c>
      <c r="Y578" s="10" t="e">
        <f>VLOOKUP(AJ570,'FRC Site Data'!$B$3:$L$42,10,FALSE)</f>
        <v>#N/A</v>
      </c>
      <c r="Z578" s="10" t="e">
        <f>VLOOKUP(AJ570,'FRC Site Data'!$B$3:$L$42,11,FALSE)</f>
        <v>#N/A</v>
      </c>
      <c r="AA578" s="10" t="e">
        <f>VLOOKUP(AJ570,'CIR Team Info'!$C$5:$E$44,4,FALSE)</f>
        <v>#N/A</v>
      </c>
      <c r="AB578" s="161" t="b">
        <f>ISNUMBER(VLOOKUP(AJ570,Match!$T$5:$T$10,1,FALSE))</f>
        <v>0</v>
      </c>
      <c r="AC578" s="161" t="b">
        <f>IF(AB578=TRUE,(VLOOKUP($AJ570,Match!$T$5:$U$10,2,FALSE)))</f>
        <v>0</v>
      </c>
      <c r="AD578" s="8">
        <v>3</v>
      </c>
      <c r="AE578" s="8">
        <v>2</v>
      </c>
      <c r="AF578" s="8">
        <v>2</v>
      </c>
      <c r="AG578" s="8">
        <v>1</v>
      </c>
      <c r="AH578" s="8" t="str">
        <f t="shared" si="145"/>
        <v/>
      </c>
      <c r="AI578" s="12"/>
      <c r="AZ578" s="12"/>
      <c r="BC578" s="12"/>
      <c r="BK578" s="12"/>
    </row>
    <row r="579" spans="1:63" x14ac:dyDescent="0.25">
      <c r="A579" s="29">
        <f t="shared" si="144"/>
        <v>0</v>
      </c>
      <c r="B579" s="29">
        <f t="shared" si="131"/>
        <v>0</v>
      </c>
      <c r="C579" s="29">
        <f t="shared" si="132"/>
        <v>0</v>
      </c>
      <c r="D579" s="29">
        <f t="shared" si="133"/>
        <v>0</v>
      </c>
      <c r="E579" s="29">
        <f t="shared" si="146"/>
        <v>0</v>
      </c>
      <c r="F579" s="29">
        <f t="shared" si="134"/>
        <v>0</v>
      </c>
      <c r="G579" s="29" t="str">
        <f t="shared" si="135"/>
        <v>offensive</v>
      </c>
      <c r="H579" s="16">
        <f t="shared" si="136"/>
        <v>0</v>
      </c>
      <c r="I579" s="16">
        <f t="shared" si="137"/>
        <v>0</v>
      </c>
      <c r="J579" s="16">
        <f t="shared" si="138"/>
        <v>0</v>
      </c>
      <c r="K579" s="16">
        <f t="shared" si="139"/>
        <v>0</v>
      </c>
      <c r="L579" s="67">
        <f t="shared" si="140"/>
        <v>0</v>
      </c>
      <c r="M579" s="4">
        <f t="shared" si="141"/>
        <v>0</v>
      </c>
      <c r="N579" s="4">
        <f t="shared" si="142"/>
        <v>0</v>
      </c>
      <c r="O579" s="4">
        <f t="shared" si="143"/>
        <v>0</v>
      </c>
      <c r="P579" s="4" t="e">
        <f>VLOOKUP(AJ571,'CIR Team Info'!$C$5:$E$44,2,FALSE)</f>
        <v>#N/A</v>
      </c>
      <c r="Q579" s="4" t="e">
        <f>VLOOKUP(AJ571,'CIR Team Info'!$C$5:$E$44,3,FALSE)</f>
        <v>#N/A</v>
      </c>
      <c r="R579" s="10" t="e">
        <f>VLOOKUP(AJ571,'FRC Site Data'!$B$3:$L$42,2,FALSE)</f>
        <v>#N/A</v>
      </c>
      <c r="S579" s="10" t="e">
        <f>VLOOKUP(AJ571,'FRC Site Data'!$B$3:$L$42,3,FALSE)</f>
        <v>#N/A</v>
      </c>
      <c r="T579" s="10" t="e">
        <f>VLOOKUP(AJ571,'FRC Site Data'!$B$3:$L$42,4,FALSE)</f>
        <v>#N/A</v>
      </c>
      <c r="U579" s="10" t="e">
        <f>VLOOKUP(AJ571,'FRC Site Data'!$B$3:$L$42,5,FALSE)</f>
        <v>#N/A</v>
      </c>
      <c r="V579" s="10" t="e">
        <f>VLOOKUP(AJ571,'FRC Site Data'!$B$3:$L$42,6,FALSE)</f>
        <v>#N/A</v>
      </c>
      <c r="W579" s="10" t="e">
        <f>VLOOKUP(AJ571,'FRC Site Data'!$B$3:$L$42,8,FALSE)</f>
        <v>#N/A</v>
      </c>
      <c r="X579" s="10" t="e">
        <f>VLOOKUP(AJ571,'FRC Site Data'!$B$3:$L$42,9,FALSE)</f>
        <v>#N/A</v>
      </c>
      <c r="Y579" s="10" t="e">
        <f>VLOOKUP(AJ571,'FRC Site Data'!$B$3:$L$42,10,FALSE)</f>
        <v>#N/A</v>
      </c>
      <c r="Z579" s="10" t="e">
        <f>VLOOKUP(AJ571,'FRC Site Data'!$B$3:$L$42,11,FALSE)</f>
        <v>#N/A</v>
      </c>
      <c r="AA579" s="10" t="e">
        <f>VLOOKUP(AJ571,'CIR Team Info'!$C$5:$E$44,4,FALSE)</f>
        <v>#N/A</v>
      </c>
      <c r="AB579" s="161" t="b">
        <f>ISNUMBER(VLOOKUP(AJ571,Match!$T$5:$T$10,1,FALSE))</f>
        <v>0</v>
      </c>
      <c r="AC579" s="161" t="b">
        <f>IF(AB579=TRUE,(VLOOKUP($AJ571,Match!$T$5:$U$10,2,FALSE)))</f>
        <v>0</v>
      </c>
      <c r="AD579" s="8">
        <v>3</v>
      </c>
      <c r="AE579" s="8">
        <v>2</v>
      </c>
      <c r="AF579" s="8">
        <v>2</v>
      </c>
      <c r="AG579" s="8">
        <v>1</v>
      </c>
      <c r="AH579" s="8" t="str">
        <f t="shared" si="145"/>
        <v/>
      </c>
      <c r="AI579" s="12"/>
      <c r="AZ579" s="12"/>
      <c r="BC579" s="12"/>
      <c r="BK579" s="12"/>
    </row>
    <row r="580" spans="1:63" x14ac:dyDescent="0.25">
      <c r="A580" s="29">
        <f t="shared" si="144"/>
        <v>0</v>
      </c>
      <c r="B580" s="29">
        <f t="shared" si="131"/>
        <v>0</v>
      </c>
      <c r="C580" s="29">
        <f t="shared" si="132"/>
        <v>0</v>
      </c>
      <c r="D580" s="29">
        <f t="shared" si="133"/>
        <v>0</v>
      </c>
      <c r="E580" s="29">
        <f t="shared" si="146"/>
        <v>0</v>
      </c>
      <c r="F580" s="29">
        <f t="shared" si="134"/>
        <v>0</v>
      </c>
      <c r="G580" s="29" t="str">
        <f t="shared" si="135"/>
        <v>offensive</v>
      </c>
      <c r="H580" s="16">
        <f t="shared" si="136"/>
        <v>0</v>
      </c>
      <c r="I580" s="16">
        <f t="shared" si="137"/>
        <v>0</v>
      </c>
      <c r="J580" s="16">
        <f t="shared" si="138"/>
        <v>0</v>
      </c>
      <c r="K580" s="16">
        <f t="shared" si="139"/>
        <v>0</v>
      </c>
      <c r="L580" s="67">
        <f t="shared" si="140"/>
        <v>0</v>
      </c>
      <c r="M580" s="4">
        <f t="shared" si="141"/>
        <v>0</v>
      </c>
      <c r="N580" s="4">
        <f t="shared" si="142"/>
        <v>0</v>
      </c>
      <c r="O580" s="4">
        <f t="shared" si="143"/>
        <v>0</v>
      </c>
      <c r="P580" s="4" t="e">
        <f>VLOOKUP(AJ572,'CIR Team Info'!$C$5:$E$44,2,FALSE)</f>
        <v>#N/A</v>
      </c>
      <c r="Q580" s="4" t="e">
        <f>VLOOKUP(AJ572,'CIR Team Info'!$C$5:$E$44,3,FALSE)</f>
        <v>#N/A</v>
      </c>
      <c r="R580" s="10" t="e">
        <f>VLOOKUP(AJ572,'FRC Site Data'!$B$3:$L$42,2,FALSE)</f>
        <v>#N/A</v>
      </c>
      <c r="S580" s="10" t="e">
        <f>VLOOKUP(AJ572,'FRC Site Data'!$B$3:$L$42,3,FALSE)</f>
        <v>#N/A</v>
      </c>
      <c r="T580" s="10" t="e">
        <f>VLOOKUP(AJ572,'FRC Site Data'!$B$3:$L$42,4,FALSE)</f>
        <v>#N/A</v>
      </c>
      <c r="U580" s="10" t="e">
        <f>VLOOKUP(AJ572,'FRC Site Data'!$B$3:$L$42,5,FALSE)</f>
        <v>#N/A</v>
      </c>
      <c r="V580" s="10" t="e">
        <f>VLOOKUP(AJ572,'FRC Site Data'!$B$3:$L$42,6,FALSE)</f>
        <v>#N/A</v>
      </c>
      <c r="W580" s="10" t="e">
        <f>VLOOKUP(AJ572,'FRC Site Data'!$B$3:$L$42,8,FALSE)</f>
        <v>#N/A</v>
      </c>
      <c r="X580" s="10" t="e">
        <f>VLOOKUP(AJ572,'FRC Site Data'!$B$3:$L$42,9,FALSE)</f>
        <v>#N/A</v>
      </c>
      <c r="Y580" s="10" t="e">
        <f>VLOOKUP(AJ572,'FRC Site Data'!$B$3:$L$42,10,FALSE)</f>
        <v>#N/A</v>
      </c>
      <c r="Z580" s="10" t="e">
        <f>VLOOKUP(AJ572,'FRC Site Data'!$B$3:$L$42,11,FALSE)</f>
        <v>#N/A</v>
      </c>
      <c r="AA580" s="10" t="e">
        <f>VLOOKUP(AJ572,'CIR Team Info'!$C$5:$E$44,4,FALSE)</f>
        <v>#N/A</v>
      </c>
      <c r="AB580" s="161" t="b">
        <f>ISNUMBER(VLOOKUP(AJ572,Match!$T$5:$T$10,1,FALSE))</f>
        <v>0</v>
      </c>
      <c r="AC580" s="161" t="b">
        <f>IF(AB580=TRUE,(VLOOKUP($AJ572,Match!$T$5:$U$10,2,FALSE)))</f>
        <v>0</v>
      </c>
      <c r="AD580" s="8">
        <v>3</v>
      </c>
      <c r="AE580" s="8">
        <v>2</v>
      </c>
      <c r="AF580" s="8">
        <v>2</v>
      </c>
      <c r="AG580" s="8">
        <v>1</v>
      </c>
      <c r="AH580" s="8" t="str">
        <f t="shared" si="145"/>
        <v/>
      </c>
      <c r="AI580" s="12"/>
      <c r="AZ580" s="12"/>
      <c r="BC580" s="12"/>
      <c r="BK580" s="12"/>
    </row>
    <row r="581" spans="1:63" x14ac:dyDescent="0.25">
      <c r="A581" s="29">
        <f t="shared" si="144"/>
        <v>0</v>
      </c>
      <c r="B581" s="29">
        <f t="shared" si="131"/>
        <v>0</v>
      </c>
      <c r="C581" s="29">
        <f t="shared" si="132"/>
        <v>0</v>
      </c>
      <c r="D581" s="29">
        <f t="shared" si="133"/>
        <v>0</v>
      </c>
      <c r="E581" s="29">
        <f t="shared" si="146"/>
        <v>0</v>
      </c>
      <c r="F581" s="29">
        <f t="shared" si="134"/>
        <v>0</v>
      </c>
      <c r="G581" s="29" t="str">
        <f t="shared" si="135"/>
        <v>offensive</v>
      </c>
      <c r="H581" s="16">
        <f t="shared" si="136"/>
        <v>0</v>
      </c>
      <c r="I581" s="16">
        <f t="shared" si="137"/>
        <v>0</v>
      </c>
      <c r="J581" s="16">
        <f t="shared" si="138"/>
        <v>0</v>
      </c>
      <c r="K581" s="16">
        <f t="shared" si="139"/>
        <v>0</v>
      </c>
      <c r="L581" s="67">
        <f t="shared" si="140"/>
        <v>0</v>
      </c>
      <c r="M581" s="4">
        <f t="shared" si="141"/>
        <v>0</v>
      </c>
      <c r="N581" s="4">
        <f t="shared" si="142"/>
        <v>0</v>
      </c>
      <c r="O581" s="4">
        <f t="shared" si="143"/>
        <v>0</v>
      </c>
      <c r="P581" s="4" t="e">
        <f>VLOOKUP(AJ573,'CIR Team Info'!$C$5:$E$44,2,FALSE)</f>
        <v>#N/A</v>
      </c>
      <c r="Q581" s="4" t="e">
        <f>VLOOKUP(AJ573,'CIR Team Info'!$C$5:$E$44,3,FALSE)</f>
        <v>#N/A</v>
      </c>
      <c r="R581" s="10" t="e">
        <f>VLOOKUP(AJ573,'FRC Site Data'!$B$3:$L$42,2,FALSE)</f>
        <v>#N/A</v>
      </c>
      <c r="S581" s="10" t="e">
        <f>VLOOKUP(AJ573,'FRC Site Data'!$B$3:$L$42,3,FALSE)</f>
        <v>#N/A</v>
      </c>
      <c r="T581" s="10" t="e">
        <f>VLOOKUP(AJ573,'FRC Site Data'!$B$3:$L$42,4,FALSE)</f>
        <v>#N/A</v>
      </c>
      <c r="U581" s="10" t="e">
        <f>VLOOKUP(AJ573,'FRC Site Data'!$B$3:$L$42,5,FALSE)</f>
        <v>#N/A</v>
      </c>
      <c r="V581" s="10" t="e">
        <f>VLOOKUP(AJ573,'FRC Site Data'!$B$3:$L$42,6,FALSE)</f>
        <v>#N/A</v>
      </c>
      <c r="W581" s="10" t="e">
        <f>VLOOKUP(AJ573,'FRC Site Data'!$B$3:$L$42,8,FALSE)</f>
        <v>#N/A</v>
      </c>
      <c r="X581" s="10" t="e">
        <f>VLOOKUP(AJ573,'FRC Site Data'!$B$3:$L$42,9,FALSE)</f>
        <v>#N/A</v>
      </c>
      <c r="Y581" s="10" t="e">
        <f>VLOOKUP(AJ573,'FRC Site Data'!$B$3:$L$42,10,FALSE)</f>
        <v>#N/A</v>
      </c>
      <c r="Z581" s="10" t="e">
        <f>VLOOKUP(AJ573,'FRC Site Data'!$B$3:$L$42,11,FALSE)</f>
        <v>#N/A</v>
      </c>
      <c r="AA581" s="10" t="e">
        <f>VLOOKUP(AJ573,'CIR Team Info'!$C$5:$E$44,4,FALSE)</f>
        <v>#N/A</v>
      </c>
      <c r="AB581" s="161" t="b">
        <f>ISNUMBER(VLOOKUP(AJ573,Match!$T$5:$T$10,1,FALSE))</f>
        <v>0</v>
      </c>
      <c r="AC581" s="161" t="b">
        <f>IF(AB581=TRUE,(VLOOKUP($AJ573,Match!$T$5:$U$10,2,FALSE)))</f>
        <v>0</v>
      </c>
      <c r="AD581" s="8">
        <v>3</v>
      </c>
      <c r="AE581" s="8">
        <v>2</v>
      </c>
      <c r="AF581" s="8">
        <v>2</v>
      </c>
      <c r="AG581" s="8">
        <v>1</v>
      </c>
      <c r="AH581" s="8" t="str">
        <f t="shared" si="145"/>
        <v/>
      </c>
      <c r="AI581" s="12"/>
      <c r="AZ581" s="12"/>
      <c r="BC581" s="12"/>
      <c r="BK581" s="12"/>
    </row>
    <row r="582" spans="1:63" x14ac:dyDescent="0.25">
      <c r="A582" s="29">
        <f t="shared" si="144"/>
        <v>0</v>
      </c>
      <c r="B582" s="29">
        <f t="shared" si="131"/>
        <v>0</v>
      </c>
      <c r="C582" s="29">
        <f t="shared" si="132"/>
        <v>0</v>
      </c>
      <c r="D582" s="29">
        <f t="shared" si="133"/>
        <v>0</v>
      </c>
      <c r="E582" s="29">
        <f t="shared" si="146"/>
        <v>0</v>
      </c>
      <c r="F582" s="29">
        <f t="shared" si="134"/>
        <v>0</v>
      </c>
      <c r="G582" s="29" t="str">
        <f t="shared" si="135"/>
        <v>offensive</v>
      </c>
      <c r="H582" s="16">
        <f t="shared" si="136"/>
        <v>0</v>
      </c>
      <c r="I582" s="16">
        <f t="shared" si="137"/>
        <v>0</v>
      </c>
      <c r="J582" s="16">
        <f t="shared" si="138"/>
        <v>0</v>
      </c>
      <c r="K582" s="16">
        <f t="shared" si="139"/>
        <v>0</v>
      </c>
      <c r="L582" s="67">
        <f t="shared" si="140"/>
        <v>0</v>
      </c>
      <c r="M582" s="4">
        <f t="shared" si="141"/>
        <v>0</v>
      </c>
      <c r="N582" s="4">
        <f t="shared" si="142"/>
        <v>0</v>
      </c>
      <c r="O582" s="4">
        <f t="shared" si="143"/>
        <v>0</v>
      </c>
      <c r="P582" s="4" t="e">
        <f>VLOOKUP(AJ574,'CIR Team Info'!$C$5:$E$44,2,FALSE)</f>
        <v>#N/A</v>
      </c>
      <c r="Q582" s="4" t="e">
        <f>VLOOKUP(AJ574,'CIR Team Info'!$C$5:$E$44,3,FALSE)</f>
        <v>#N/A</v>
      </c>
      <c r="R582" s="10" t="e">
        <f>VLOOKUP(AJ574,'FRC Site Data'!$B$3:$L$42,2,FALSE)</f>
        <v>#N/A</v>
      </c>
      <c r="S582" s="10" t="e">
        <f>VLOOKUP(AJ574,'FRC Site Data'!$B$3:$L$42,3,FALSE)</f>
        <v>#N/A</v>
      </c>
      <c r="T582" s="10" t="e">
        <f>VLOOKUP(AJ574,'FRC Site Data'!$B$3:$L$42,4,FALSE)</f>
        <v>#N/A</v>
      </c>
      <c r="U582" s="10" t="e">
        <f>VLOOKUP(AJ574,'FRC Site Data'!$B$3:$L$42,5,FALSE)</f>
        <v>#N/A</v>
      </c>
      <c r="V582" s="10" t="e">
        <f>VLOOKUP(AJ574,'FRC Site Data'!$B$3:$L$42,6,FALSE)</f>
        <v>#N/A</v>
      </c>
      <c r="W582" s="10" t="e">
        <f>VLOOKUP(AJ574,'FRC Site Data'!$B$3:$L$42,8,FALSE)</f>
        <v>#N/A</v>
      </c>
      <c r="X582" s="10" t="e">
        <f>VLOOKUP(AJ574,'FRC Site Data'!$B$3:$L$42,9,FALSE)</f>
        <v>#N/A</v>
      </c>
      <c r="Y582" s="10" t="e">
        <f>VLOOKUP(AJ574,'FRC Site Data'!$B$3:$L$42,10,FALSE)</f>
        <v>#N/A</v>
      </c>
      <c r="Z582" s="10" t="e">
        <f>VLOOKUP(AJ574,'FRC Site Data'!$B$3:$L$42,11,FALSE)</f>
        <v>#N/A</v>
      </c>
      <c r="AA582" s="10" t="e">
        <f>VLOOKUP(AJ574,'CIR Team Info'!$C$5:$E$44,4,FALSE)</f>
        <v>#N/A</v>
      </c>
      <c r="AB582" s="161" t="b">
        <f>ISNUMBER(VLOOKUP(AJ574,Match!$T$5:$T$10,1,FALSE))</f>
        <v>0</v>
      </c>
      <c r="AC582" s="161" t="b">
        <f>IF(AB582=TRUE,(VLOOKUP($AJ574,Match!$T$5:$U$10,2,FALSE)))</f>
        <v>0</v>
      </c>
      <c r="AD582" s="8">
        <v>3</v>
      </c>
      <c r="AE582" s="8">
        <v>2</v>
      </c>
      <c r="AF582" s="8">
        <v>2</v>
      </c>
      <c r="AG582" s="8">
        <v>1</v>
      </c>
      <c r="AH582" s="8" t="str">
        <f t="shared" si="145"/>
        <v/>
      </c>
      <c r="AI582" s="12"/>
      <c r="AZ582" s="12"/>
      <c r="BC582" s="12"/>
      <c r="BK582" s="12"/>
    </row>
    <row r="583" spans="1:63" x14ac:dyDescent="0.25">
      <c r="A583" s="29">
        <f t="shared" si="144"/>
        <v>0</v>
      </c>
      <c r="B583" s="29">
        <f t="shared" si="131"/>
        <v>0</v>
      </c>
      <c r="C583" s="29">
        <f t="shared" si="132"/>
        <v>0</v>
      </c>
      <c r="D583" s="29">
        <f t="shared" si="133"/>
        <v>0</v>
      </c>
      <c r="E583" s="29">
        <f t="shared" si="146"/>
        <v>0</v>
      </c>
      <c r="F583" s="29">
        <f t="shared" si="134"/>
        <v>0</v>
      </c>
      <c r="G583" s="29" t="str">
        <f t="shared" si="135"/>
        <v>offensive</v>
      </c>
      <c r="H583" s="16">
        <f t="shared" si="136"/>
        <v>0</v>
      </c>
      <c r="I583" s="16">
        <f t="shared" si="137"/>
        <v>0</v>
      </c>
      <c r="J583" s="16">
        <f t="shared" si="138"/>
        <v>0</v>
      </c>
      <c r="K583" s="16">
        <f t="shared" si="139"/>
        <v>0</v>
      </c>
      <c r="L583" s="67">
        <f t="shared" si="140"/>
        <v>0</v>
      </c>
      <c r="M583" s="4">
        <f t="shared" si="141"/>
        <v>0</v>
      </c>
      <c r="N583" s="4">
        <f t="shared" si="142"/>
        <v>0</v>
      </c>
      <c r="O583" s="4">
        <f t="shared" si="143"/>
        <v>0</v>
      </c>
      <c r="P583" s="4" t="e">
        <f>VLOOKUP(AJ575,'CIR Team Info'!$C$5:$E$44,2,FALSE)</f>
        <v>#N/A</v>
      </c>
      <c r="Q583" s="4" t="e">
        <f>VLOOKUP(AJ575,'CIR Team Info'!$C$5:$E$44,3,FALSE)</f>
        <v>#N/A</v>
      </c>
      <c r="R583" s="10" t="e">
        <f>VLOOKUP(AJ575,'FRC Site Data'!$B$3:$L$42,2,FALSE)</f>
        <v>#N/A</v>
      </c>
      <c r="S583" s="10" t="e">
        <f>VLOOKUP(AJ575,'FRC Site Data'!$B$3:$L$42,3,FALSE)</f>
        <v>#N/A</v>
      </c>
      <c r="T583" s="10" t="e">
        <f>VLOOKUP(AJ575,'FRC Site Data'!$B$3:$L$42,4,FALSE)</f>
        <v>#N/A</v>
      </c>
      <c r="U583" s="10" t="e">
        <f>VLOOKUP(AJ575,'FRC Site Data'!$B$3:$L$42,5,FALSE)</f>
        <v>#N/A</v>
      </c>
      <c r="V583" s="10" t="e">
        <f>VLOOKUP(AJ575,'FRC Site Data'!$B$3:$L$42,6,FALSE)</f>
        <v>#N/A</v>
      </c>
      <c r="W583" s="10" t="e">
        <f>VLOOKUP(AJ575,'FRC Site Data'!$B$3:$L$42,8,FALSE)</f>
        <v>#N/A</v>
      </c>
      <c r="X583" s="10" t="e">
        <f>VLOOKUP(AJ575,'FRC Site Data'!$B$3:$L$42,9,FALSE)</f>
        <v>#N/A</v>
      </c>
      <c r="Y583" s="10" t="e">
        <f>VLOOKUP(AJ575,'FRC Site Data'!$B$3:$L$42,10,FALSE)</f>
        <v>#N/A</v>
      </c>
      <c r="Z583" s="10" t="e">
        <f>VLOOKUP(AJ575,'FRC Site Data'!$B$3:$L$42,11,FALSE)</f>
        <v>#N/A</v>
      </c>
      <c r="AA583" s="10" t="e">
        <f>VLOOKUP(AJ575,'CIR Team Info'!$C$5:$E$44,4,FALSE)</f>
        <v>#N/A</v>
      </c>
      <c r="AB583" s="161" t="b">
        <f>ISNUMBER(VLOOKUP(AJ575,Match!$T$5:$T$10,1,FALSE))</f>
        <v>0</v>
      </c>
      <c r="AC583" s="161" t="b">
        <f>IF(AB583=TRUE,(VLOOKUP($AJ575,Match!$T$5:$U$10,2,FALSE)))</f>
        <v>0</v>
      </c>
      <c r="AD583" s="8">
        <v>3</v>
      </c>
      <c r="AE583" s="8">
        <v>2</v>
      </c>
      <c r="AF583" s="8">
        <v>2</v>
      </c>
      <c r="AG583" s="8">
        <v>1</v>
      </c>
      <c r="AH583" s="8" t="str">
        <f t="shared" si="145"/>
        <v/>
      </c>
      <c r="BK583" s="12"/>
    </row>
    <row r="584" spans="1:63" x14ac:dyDescent="0.25">
      <c r="A584" s="29">
        <f t="shared" si="144"/>
        <v>0</v>
      </c>
      <c r="B584" s="29">
        <f t="shared" ref="B584:B647" si="147">H584*AD584*AO576</f>
        <v>0</v>
      </c>
      <c r="C584" s="29">
        <f t="shared" ref="C584:C647" si="148">I584*AE584*AV576</f>
        <v>0</v>
      </c>
      <c r="D584" s="29">
        <f t="shared" ref="D584:D647" si="149">J584*AF584*BF576</f>
        <v>0</v>
      </c>
      <c r="E584" s="29">
        <f t="shared" si="146"/>
        <v>0</v>
      </c>
      <c r="F584" s="29">
        <f t="shared" ref="F584:F647" si="150">IF(AN576&gt;0,5)-2*COUNTIF(AQ576,"K")+5*COUNTIF(AS576,"T")+IF(AX576=3,2)+IF(AY576="T",2)</f>
        <v>0</v>
      </c>
      <c r="G584" s="29" t="str">
        <f t="shared" ref="G584:G647" si="151">IF((BB576+BC576)&gt;45,"defensive",IF((BB576+BC576)&gt;15,"both","offensive"))</f>
        <v>offensive</v>
      </c>
      <c r="H584" s="16">
        <f t="shared" ref="H584:H647" si="152">IF((AO576+AP576)=0,0,AO576/(AO576+AP576))</f>
        <v>0</v>
      </c>
      <c r="I584" s="16">
        <f t="shared" ref="I584:I647" si="153">IF((AV576+AW576)=0,0,AV576/(AV576+AW576))</f>
        <v>0</v>
      </c>
      <c r="J584" s="16">
        <f t="shared" ref="J584:J647" si="154">IF(L584=0,0,BG576/L584)</f>
        <v>0</v>
      </c>
      <c r="K584" s="16">
        <f t="shared" ref="K584:K647" si="155">IF((BB576+BC576)=0,0,((AZ576*BB576*0.2)+(BA576*BC576*0.3))/(BB576+BC576))</f>
        <v>0</v>
      </c>
      <c r="L584" s="67">
        <f t="shared" ref="L584:L647" si="156">IF(BF576&gt;BG576,BF576,BG576)</f>
        <v>0</v>
      </c>
      <c r="M584" s="4">
        <f t="shared" ref="M584:M647" si="157">AO576+AV576+BD576+O584</f>
        <v>0</v>
      </c>
      <c r="N584" s="4">
        <f t="shared" ref="N584:N647" si="158">AO576+AV576+BD576</f>
        <v>0</v>
      </c>
      <c r="O584" s="4">
        <f t="shared" ref="O584:O647" si="159">(AZ576*0.2*BB576*30/30)+(BA576*0.3*BC576*12/30)-BI576-BJ576</f>
        <v>0</v>
      </c>
      <c r="P584" s="4" t="e">
        <f>VLOOKUP(AJ576,'CIR Team Info'!$C$5:$E$44,2,FALSE)</f>
        <v>#N/A</v>
      </c>
      <c r="Q584" s="4" t="e">
        <f>VLOOKUP(AJ576,'CIR Team Info'!$C$5:$E$44,3,FALSE)</f>
        <v>#N/A</v>
      </c>
      <c r="R584" s="10" t="e">
        <f>VLOOKUP(AJ576,'FRC Site Data'!$B$3:$L$42,2,FALSE)</f>
        <v>#N/A</v>
      </c>
      <c r="S584" s="10" t="e">
        <f>VLOOKUP(AJ576,'FRC Site Data'!$B$3:$L$42,3,FALSE)</f>
        <v>#N/A</v>
      </c>
      <c r="T584" s="10" t="e">
        <f>VLOOKUP(AJ576,'FRC Site Data'!$B$3:$L$42,4,FALSE)</f>
        <v>#N/A</v>
      </c>
      <c r="U584" s="10" t="e">
        <f>VLOOKUP(AJ576,'FRC Site Data'!$B$3:$L$42,5,FALSE)</f>
        <v>#N/A</v>
      </c>
      <c r="V584" s="10" t="e">
        <f>VLOOKUP(AJ576,'FRC Site Data'!$B$3:$L$42,6,FALSE)</f>
        <v>#N/A</v>
      </c>
      <c r="W584" s="10" t="e">
        <f>VLOOKUP(AJ576,'FRC Site Data'!$B$3:$L$42,8,FALSE)</f>
        <v>#N/A</v>
      </c>
      <c r="X584" s="10" t="e">
        <f>VLOOKUP(AJ576,'FRC Site Data'!$B$3:$L$42,9,FALSE)</f>
        <v>#N/A</v>
      </c>
      <c r="Y584" s="10" t="e">
        <f>VLOOKUP(AJ576,'FRC Site Data'!$B$3:$L$42,10,FALSE)</f>
        <v>#N/A</v>
      </c>
      <c r="Z584" s="10" t="e">
        <f>VLOOKUP(AJ576,'FRC Site Data'!$B$3:$L$42,11,FALSE)</f>
        <v>#N/A</v>
      </c>
      <c r="AA584" s="10" t="e">
        <f>VLOOKUP(AJ576,'CIR Team Info'!$C$5:$E$44,4,FALSE)</f>
        <v>#N/A</v>
      </c>
      <c r="AB584" s="161" t="b">
        <f>ISNUMBER(VLOOKUP(AJ576,Match!$T$5:$T$10,1,FALSE))</f>
        <v>0</v>
      </c>
      <c r="AC584" s="161" t="b">
        <f>IF(AB584=TRUE,(VLOOKUP($AJ576,Match!$T$5:$U$10,2,FALSE)))</f>
        <v>0</v>
      </c>
      <c r="AD584" s="8">
        <v>3</v>
      </c>
      <c r="AE584" s="8">
        <v>2</v>
      </c>
      <c r="AF584" s="8">
        <v>2</v>
      </c>
      <c r="AG584" s="8">
        <v>1</v>
      </c>
      <c r="AH584" s="8" t="str">
        <f t="shared" si="145"/>
        <v/>
      </c>
      <c r="BK584" s="12"/>
    </row>
    <row r="585" spans="1:63" x14ac:dyDescent="0.25">
      <c r="A585" s="29">
        <f t="shared" si="144"/>
        <v>0</v>
      </c>
      <c r="B585" s="29">
        <f t="shared" si="147"/>
        <v>0</v>
      </c>
      <c r="C585" s="29">
        <f t="shared" si="148"/>
        <v>0</v>
      </c>
      <c r="D585" s="29">
        <f t="shared" si="149"/>
        <v>0</v>
      </c>
      <c r="E585" s="29">
        <f t="shared" si="146"/>
        <v>0</v>
      </c>
      <c r="F585" s="29">
        <f t="shared" si="150"/>
        <v>0</v>
      </c>
      <c r="G585" s="29" t="str">
        <f t="shared" si="151"/>
        <v>offensive</v>
      </c>
      <c r="H585" s="16">
        <f t="shared" si="152"/>
        <v>0</v>
      </c>
      <c r="I585" s="16">
        <f t="shared" si="153"/>
        <v>0</v>
      </c>
      <c r="J585" s="16">
        <f t="shared" si="154"/>
        <v>0</v>
      </c>
      <c r="K585" s="16">
        <f t="shared" si="155"/>
        <v>0</v>
      </c>
      <c r="L585" s="67">
        <f t="shared" si="156"/>
        <v>0</v>
      </c>
      <c r="M585" s="4">
        <f t="shared" si="157"/>
        <v>0</v>
      </c>
      <c r="N585" s="4">
        <f t="shared" si="158"/>
        <v>0</v>
      </c>
      <c r="O585" s="4">
        <f t="shared" si="159"/>
        <v>0</v>
      </c>
      <c r="P585" s="4" t="e">
        <f>VLOOKUP(AJ577,'CIR Team Info'!$C$5:$E$44,2,FALSE)</f>
        <v>#N/A</v>
      </c>
      <c r="Q585" s="4" t="e">
        <f>VLOOKUP(AJ577,'CIR Team Info'!$C$5:$E$44,3,FALSE)</f>
        <v>#N/A</v>
      </c>
      <c r="R585" s="10" t="e">
        <f>VLOOKUP(AJ577,'FRC Site Data'!$B$3:$L$42,2,FALSE)</f>
        <v>#N/A</v>
      </c>
      <c r="S585" s="10" t="e">
        <f>VLOOKUP(AJ577,'FRC Site Data'!$B$3:$L$42,3,FALSE)</f>
        <v>#N/A</v>
      </c>
      <c r="T585" s="10" t="e">
        <f>VLOOKUP(AJ577,'FRC Site Data'!$B$3:$L$42,4,FALSE)</f>
        <v>#N/A</v>
      </c>
      <c r="U585" s="10" t="e">
        <f>VLOOKUP(AJ577,'FRC Site Data'!$B$3:$L$42,5,FALSE)</f>
        <v>#N/A</v>
      </c>
      <c r="V585" s="10" t="e">
        <f>VLOOKUP(AJ577,'FRC Site Data'!$B$3:$L$42,6,FALSE)</f>
        <v>#N/A</v>
      </c>
      <c r="W585" s="10" t="e">
        <f>VLOOKUP(AJ577,'FRC Site Data'!$B$3:$L$42,8,FALSE)</f>
        <v>#N/A</v>
      </c>
      <c r="X585" s="10" t="e">
        <f>VLOOKUP(AJ577,'FRC Site Data'!$B$3:$L$42,9,FALSE)</f>
        <v>#N/A</v>
      </c>
      <c r="Y585" s="10" t="e">
        <f>VLOOKUP(AJ577,'FRC Site Data'!$B$3:$L$42,10,FALSE)</f>
        <v>#N/A</v>
      </c>
      <c r="Z585" s="10" t="e">
        <f>VLOOKUP(AJ577,'FRC Site Data'!$B$3:$L$42,11,FALSE)</f>
        <v>#N/A</v>
      </c>
      <c r="AA585" s="10" t="e">
        <f>VLOOKUP(AJ577,'CIR Team Info'!$C$5:$E$44,4,FALSE)</f>
        <v>#N/A</v>
      </c>
      <c r="AB585" s="161" t="b">
        <f>ISNUMBER(VLOOKUP(AJ577,Match!$T$5:$T$10,1,FALSE))</f>
        <v>0</v>
      </c>
      <c r="AC585" s="161" t="b">
        <f>IF(AB585=TRUE,(VLOOKUP($AJ577,Match!$T$5:$U$10,2,FALSE)))</f>
        <v>0</v>
      </c>
      <c r="AD585" s="8">
        <v>3</v>
      </c>
      <c r="AE585" s="8">
        <v>2</v>
      </c>
      <c r="AF585" s="8">
        <v>2</v>
      </c>
      <c r="AG585" s="8">
        <v>1</v>
      </c>
      <c r="AH585" s="8" t="str">
        <f t="shared" si="145"/>
        <v/>
      </c>
      <c r="BK585" s="12"/>
    </row>
    <row r="586" spans="1:63" x14ac:dyDescent="0.25">
      <c r="A586" s="29">
        <f t="shared" si="144"/>
        <v>0</v>
      </c>
      <c r="B586" s="29">
        <f t="shared" si="147"/>
        <v>0</v>
      </c>
      <c r="C586" s="29">
        <f t="shared" si="148"/>
        <v>0</v>
      </c>
      <c r="D586" s="29">
        <f t="shared" si="149"/>
        <v>0</v>
      </c>
      <c r="E586" s="29">
        <f t="shared" si="146"/>
        <v>0</v>
      </c>
      <c r="F586" s="29">
        <f t="shared" si="150"/>
        <v>0</v>
      </c>
      <c r="G586" s="29" t="str">
        <f t="shared" si="151"/>
        <v>offensive</v>
      </c>
      <c r="H586" s="16">
        <f t="shared" si="152"/>
        <v>0</v>
      </c>
      <c r="I586" s="16">
        <f t="shared" si="153"/>
        <v>0</v>
      </c>
      <c r="J586" s="16">
        <f t="shared" si="154"/>
        <v>0</v>
      </c>
      <c r="K586" s="16">
        <f t="shared" si="155"/>
        <v>0</v>
      </c>
      <c r="L586" s="67">
        <f t="shared" si="156"/>
        <v>0</v>
      </c>
      <c r="M586" s="4">
        <f t="shared" si="157"/>
        <v>0</v>
      </c>
      <c r="N586" s="4">
        <f t="shared" si="158"/>
        <v>0</v>
      </c>
      <c r="O586" s="4">
        <f t="shared" si="159"/>
        <v>0</v>
      </c>
      <c r="P586" s="4" t="e">
        <f>VLOOKUP(AJ578,'CIR Team Info'!$C$5:$E$44,2,FALSE)</f>
        <v>#N/A</v>
      </c>
      <c r="Q586" s="4" t="e">
        <f>VLOOKUP(AJ578,'CIR Team Info'!$C$5:$E$44,3,FALSE)</f>
        <v>#N/A</v>
      </c>
      <c r="R586" s="10" t="e">
        <f>VLOOKUP(AJ578,'FRC Site Data'!$B$3:$L$42,2,FALSE)</f>
        <v>#N/A</v>
      </c>
      <c r="S586" s="10" t="e">
        <f>VLOOKUP(AJ578,'FRC Site Data'!$B$3:$L$42,3,FALSE)</f>
        <v>#N/A</v>
      </c>
      <c r="T586" s="10" t="e">
        <f>VLOOKUP(AJ578,'FRC Site Data'!$B$3:$L$42,4,FALSE)</f>
        <v>#N/A</v>
      </c>
      <c r="U586" s="10" t="e">
        <f>VLOOKUP(AJ578,'FRC Site Data'!$B$3:$L$42,5,FALSE)</f>
        <v>#N/A</v>
      </c>
      <c r="V586" s="10" t="e">
        <f>VLOOKUP(AJ578,'FRC Site Data'!$B$3:$L$42,6,FALSE)</f>
        <v>#N/A</v>
      </c>
      <c r="W586" s="10" t="e">
        <f>VLOOKUP(AJ578,'FRC Site Data'!$B$3:$L$42,8,FALSE)</f>
        <v>#N/A</v>
      </c>
      <c r="X586" s="10" t="e">
        <f>VLOOKUP(AJ578,'FRC Site Data'!$B$3:$L$42,9,FALSE)</f>
        <v>#N/A</v>
      </c>
      <c r="Y586" s="10" t="e">
        <f>VLOOKUP(AJ578,'FRC Site Data'!$B$3:$L$42,10,FALSE)</f>
        <v>#N/A</v>
      </c>
      <c r="Z586" s="10" t="e">
        <f>VLOOKUP(AJ578,'FRC Site Data'!$B$3:$L$42,11,FALSE)</f>
        <v>#N/A</v>
      </c>
      <c r="AA586" s="10" t="e">
        <f>VLOOKUP(AJ578,'CIR Team Info'!$C$5:$E$44,4,FALSE)</f>
        <v>#N/A</v>
      </c>
      <c r="AB586" s="161" t="b">
        <f>ISNUMBER(VLOOKUP(AJ578,Match!$T$5:$T$10,1,FALSE))</f>
        <v>0</v>
      </c>
      <c r="AC586" s="161" t="b">
        <f>IF(AB586=TRUE,(VLOOKUP($AJ578,Match!$T$5:$U$10,2,FALSE)))</f>
        <v>0</v>
      </c>
      <c r="AD586" s="8">
        <v>3</v>
      </c>
      <c r="AE586" s="8">
        <v>2</v>
      </c>
      <c r="AF586" s="8">
        <v>2</v>
      </c>
      <c r="AG586" s="8">
        <v>1</v>
      </c>
      <c r="AH586" s="8" t="str">
        <f t="shared" si="145"/>
        <v/>
      </c>
      <c r="BK586" s="12"/>
    </row>
    <row r="587" spans="1:63" x14ac:dyDescent="0.25">
      <c r="A587" s="29">
        <f t="shared" si="144"/>
        <v>0</v>
      </c>
      <c r="B587" s="29">
        <f t="shared" si="147"/>
        <v>0</v>
      </c>
      <c r="C587" s="29">
        <f t="shared" si="148"/>
        <v>0</v>
      </c>
      <c r="D587" s="29">
        <f t="shared" si="149"/>
        <v>0</v>
      </c>
      <c r="E587" s="29">
        <f t="shared" si="146"/>
        <v>0</v>
      </c>
      <c r="F587" s="29">
        <f t="shared" si="150"/>
        <v>0</v>
      </c>
      <c r="G587" s="29" t="str">
        <f t="shared" si="151"/>
        <v>offensive</v>
      </c>
      <c r="H587" s="16">
        <f t="shared" si="152"/>
        <v>0</v>
      </c>
      <c r="I587" s="16">
        <f t="shared" si="153"/>
        <v>0</v>
      </c>
      <c r="J587" s="16">
        <f t="shared" si="154"/>
        <v>0</v>
      </c>
      <c r="K587" s="16">
        <f t="shared" si="155"/>
        <v>0</v>
      </c>
      <c r="L587" s="67">
        <f t="shared" si="156"/>
        <v>0</v>
      </c>
      <c r="M587" s="4">
        <f t="shared" si="157"/>
        <v>0</v>
      </c>
      <c r="N587" s="4">
        <f t="shared" si="158"/>
        <v>0</v>
      </c>
      <c r="O587" s="4">
        <f t="shared" si="159"/>
        <v>0</v>
      </c>
      <c r="P587" s="4" t="e">
        <f>VLOOKUP(AJ579,'CIR Team Info'!$C$5:$E$44,2,FALSE)</f>
        <v>#N/A</v>
      </c>
      <c r="Q587" s="4" t="e">
        <f>VLOOKUP(AJ579,'CIR Team Info'!$C$5:$E$44,3,FALSE)</f>
        <v>#N/A</v>
      </c>
      <c r="R587" s="10" t="e">
        <f>VLOOKUP(AJ579,'FRC Site Data'!$B$3:$L$42,2,FALSE)</f>
        <v>#N/A</v>
      </c>
      <c r="S587" s="10" t="e">
        <f>VLOOKUP(AJ579,'FRC Site Data'!$B$3:$L$42,3,FALSE)</f>
        <v>#N/A</v>
      </c>
      <c r="T587" s="10" t="e">
        <f>VLOOKUP(AJ579,'FRC Site Data'!$B$3:$L$42,4,FALSE)</f>
        <v>#N/A</v>
      </c>
      <c r="U587" s="10" t="e">
        <f>VLOOKUP(AJ579,'FRC Site Data'!$B$3:$L$42,5,FALSE)</f>
        <v>#N/A</v>
      </c>
      <c r="V587" s="10" t="e">
        <f>VLOOKUP(AJ579,'FRC Site Data'!$B$3:$L$42,6,FALSE)</f>
        <v>#N/A</v>
      </c>
      <c r="W587" s="10" t="e">
        <f>VLOOKUP(AJ579,'FRC Site Data'!$B$3:$L$42,8,FALSE)</f>
        <v>#N/A</v>
      </c>
      <c r="X587" s="10" t="e">
        <f>VLOOKUP(AJ579,'FRC Site Data'!$B$3:$L$42,9,FALSE)</f>
        <v>#N/A</v>
      </c>
      <c r="Y587" s="10" t="e">
        <f>VLOOKUP(AJ579,'FRC Site Data'!$B$3:$L$42,10,FALSE)</f>
        <v>#N/A</v>
      </c>
      <c r="Z587" s="10" t="e">
        <f>VLOOKUP(AJ579,'FRC Site Data'!$B$3:$L$42,11,FALSE)</f>
        <v>#N/A</v>
      </c>
      <c r="AA587" s="10" t="e">
        <f>VLOOKUP(AJ579,'CIR Team Info'!$C$5:$E$44,4,FALSE)</f>
        <v>#N/A</v>
      </c>
      <c r="AB587" s="161" t="b">
        <f>ISNUMBER(VLOOKUP(AJ579,Match!$T$5:$T$10,1,FALSE))</f>
        <v>0</v>
      </c>
      <c r="AC587" s="161" t="b">
        <f>IF(AB587=TRUE,(VLOOKUP($AJ579,Match!$T$5:$U$10,2,FALSE)))</f>
        <v>0</v>
      </c>
      <c r="AD587" s="8">
        <v>3</v>
      </c>
      <c r="AE587" s="8">
        <v>2</v>
      </c>
      <c r="AF587" s="8">
        <v>2</v>
      </c>
      <c r="AG587" s="8">
        <v>1</v>
      </c>
      <c r="AH587" s="8" t="str">
        <f t="shared" si="145"/>
        <v/>
      </c>
      <c r="BK587" s="12"/>
    </row>
    <row r="588" spans="1:63" x14ac:dyDescent="0.25">
      <c r="A588" s="29">
        <f t="shared" si="144"/>
        <v>0</v>
      </c>
      <c r="B588" s="29">
        <f t="shared" si="147"/>
        <v>0</v>
      </c>
      <c r="C588" s="29">
        <f t="shared" si="148"/>
        <v>0</v>
      </c>
      <c r="D588" s="29">
        <f t="shared" si="149"/>
        <v>0</v>
      </c>
      <c r="E588" s="29">
        <f t="shared" si="146"/>
        <v>0</v>
      </c>
      <c r="F588" s="29">
        <f t="shared" si="150"/>
        <v>0</v>
      </c>
      <c r="G588" s="29" t="str">
        <f t="shared" si="151"/>
        <v>offensive</v>
      </c>
      <c r="H588" s="16">
        <f t="shared" si="152"/>
        <v>0</v>
      </c>
      <c r="I588" s="16">
        <f t="shared" si="153"/>
        <v>0</v>
      </c>
      <c r="J588" s="16">
        <f t="shared" si="154"/>
        <v>0</v>
      </c>
      <c r="K588" s="16">
        <f t="shared" si="155"/>
        <v>0</v>
      </c>
      <c r="L588" s="67">
        <f t="shared" si="156"/>
        <v>0</v>
      </c>
      <c r="M588" s="4">
        <f t="shared" si="157"/>
        <v>0</v>
      </c>
      <c r="N588" s="4">
        <f t="shared" si="158"/>
        <v>0</v>
      </c>
      <c r="O588" s="4">
        <f t="shared" si="159"/>
        <v>0</v>
      </c>
      <c r="P588" s="4" t="e">
        <f>VLOOKUP(AJ580,'CIR Team Info'!$C$5:$E$44,2,FALSE)</f>
        <v>#N/A</v>
      </c>
      <c r="Q588" s="4" t="e">
        <f>VLOOKUP(AJ580,'CIR Team Info'!$C$5:$E$44,3,FALSE)</f>
        <v>#N/A</v>
      </c>
      <c r="R588" s="10" t="e">
        <f>VLOOKUP(AJ580,'FRC Site Data'!$B$3:$L$42,2,FALSE)</f>
        <v>#N/A</v>
      </c>
      <c r="S588" s="10" t="e">
        <f>VLOOKUP(AJ580,'FRC Site Data'!$B$3:$L$42,3,FALSE)</f>
        <v>#N/A</v>
      </c>
      <c r="T588" s="10" t="e">
        <f>VLOOKUP(AJ580,'FRC Site Data'!$B$3:$L$42,4,FALSE)</f>
        <v>#N/A</v>
      </c>
      <c r="U588" s="10" t="e">
        <f>VLOOKUP(AJ580,'FRC Site Data'!$B$3:$L$42,5,FALSE)</f>
        <v>#N/A</v>
      </c>
      <c r="V588" s="10" t="e">
        <f>VLOOKUP(AJ580,'FRC Site Data'!$B$3:$L$42,6,FALSE)</f>
        <v>#N/A</v>
      </c>
      <c r="W588" s="10" t="e">
        <f>VLOOKUP(AJ580,'FRC Site Data'!$B$3:$L$42,8,FALSE)</f>
        <v>#N/A</v>
      </c>
      <c r="X588" s="10" t="e">
        <f>VLOOKUP(AJ580,'FRC Site Data'!$B$3:$L$42,9,FALSE)</f>
        <v>#N/A</v>
      </c>
      <c r="Y588" s="10" t="e">
        <f>VLOOKUP(AJ580,'FRC Site Data'!$B$3:$L$42,10,FALSE)</f>
        <v>#N/A</v>
      </c>
      <c r="Z588" s="10" t="e">
        <f>VLOOKUP(AJ580,'FRC Site Data'!$B$3:$L$42,11,FALSE)</f>
        <v>#N/A</v>
      </c>
      <c r="AA588" s="10" t="e">
        <f>VLOOKUP(AJ580,'CIR Team Info'!$C$5:$E$44,4,FALSE)</f>
        <v>#N/A</v>
      </c>
      <c r="AB588" s="161" t="b">
        <f>ISNUMBER(VLOOKUP(AJ580,Match!$T$5:$T$10,1,FALSE))</f>
        <v>0</v>
      </c>
      <c r="AC588" s="161" t="b">
        <f>IF(AB588=TRUE,(VLOOKUP($AJ580,Match!$T$5:$U$10,2,FALSE)))</f>
        <v>0</v>
      </c>
      <c r="AD588" s="8">
        <v>3</v>
      </c>
      <c r="AE588" s="8">
        <v>2</v>
      </c>
      <c r="AF588" s="8">
        <v>2</v>
      </c>
      <c r="AG588" s="8">
        <v>1</v>
      </c>
      <c r="AH588" s="8" t="str">
        <f t="shared" si="145"/>
        <v/>
      </c>
      <c r="BK588" s="12"/>
    </row>
    <row r="589" spans="1:63" x14ac:dyDescent="0.25">
      <c r="A589" s="29">
        <f t="shared" si="144"/>
        <v>0</v>
      </c>
      <c r="B589" s="29">
        <f t="shared" si="147"/>
        <v>0</v>
      </c>
      <c r="C589" s="29">
        <f t="shared" si="148"/>
        <v>0</v>
      </c>
      <c r="D589" s="29">
        <f t="shared" si="149"/>
        <v>0</v>
      </c>
      <c r="E589" s="29">
        <f t="shared" si="146"/>
        <v>0</v>
      </c>
      <c r="F589" s="29">
        <f t="shared" si="150"/>
        <v>0</v>
      </c>
      <c r="G589" s="29" t="str">
        <f t="shared" si="151"/>
        <v>offensive</v>
      </c>
      <c r="H589" s="16">
        <f t="shared" si="152"/>
        <v>0</v>
      </c>
      <c r="I589" s="16">
        <f t="shared" si="153"/>
        <v>0</v>
      </c>
      <c r="J589" s="16">
        <f t="shared" si="154"/>
        <v>0</v>
      </c>
      <c r="K589" s="16">
        <f t="shared" si="155"/>
        <v>0</v>
      </c>
      <c r="L589" s="67">
        <f t="shared" si="156"/>
        <v>0</v>
      </c>
      <c r="M589" s="4">
        <f t="shared" si="157"/>
        <v>0</v>
      </c>
      <c r="N589" s="4">
        <f t="shared" si="158"/>
        <v>0</v>
      </c>
      <c r="O589" s="4">
        <f t="shared" si="159"/>
        <v>0</v>
      </c>
      <c r="P589" s="4" t="e">
        <f>VLOOKUP(AJ581,'CIR Team Info'!$C$5:$E$44,2,FALSE)</f>
        <v>#N/A</v>
      </c>
      <c r="Q589" s="4" t="e">
        <f>VLOOKUP(AJ581,'CIR Team Info'!$C$5:$E$44,3,FALSE)</f>
        <v>#N/A</v>
      </c>
      <c r="R589" s="10" t="e">
        <f>VLOOKUP(AJ581,'FRC Site Data'!$B$3:$L$42,2,FALSE)</f>
        <v>#N/A</v>
      </c>
      <c r="S589" s="10" t="e">
        <f>VLOOKUP(AJ581,'FRC Site Data'!$B$3:$L$42,3,FALSE)</f>
        <v>#N/A</v>
      </c>
      <c r="T589" s="10" t="e">
        <f>VLOOKUP(AJ581,'FRC Site Data'!$B$3:$L$42,4,FALSE)</f>
        <v>#N/A</v>
      </c>
      <c r="U589" s="10" t="e">
        <f>VLOOKUP(AJ581,'FRC Site Data'!$B$3:$L$42,5,FALSE)</f>
        <v>#N/A</v>
      </c>
      <c r="V589" s="10" t="e">
        <f>VLOOKUP(AJ581,'FRC Site Data'!$B$3:$L$42,6,FALSE)</f>
        <v>#N/A</v>
      </c>
      <c r="W589" s="10" t="e">
        <f>VLOOKUP(AJ581,'FRC Site Data'!$B$3:$L$42,8,FALSE)</f>
        <v>#N/A</v>
      </c>
      <c r="X589" s="10" t="e">
        <f>VLOOKUP(AJ581,'FRC Site Data'!$B$3:$L$42,9,FALSE)</f>
        <v>#N/A</v>
      </c>
      <c r="Y589" s="10" t="e">
        <f>VLOOKUP(AJ581,'FRC Site Data'!$B$3:$L$42,10,FALSE)</f>
        <v>#N/A</v>
      </c>
      <c r="Z589" s="10" t="e">
        <f>VLOOKUP(AJ581,'FRC Site Data'!$B$3:$L$42,11,FALSE)</f>
        <v>#N/A</v>
      </c>
      <c r="AA589" s="10" t="e">
        <f>VLOOKUP(AJ581,'CIR Team Info'!$C$5:$E$44,4,FALSE)</f>
        <v>#N/A</v>
      </c>
      <c r="AB589" s="161" t="b">
        <f>ISNUMBER(VLOOKUP(AJ581,Match!$T$5:$T$10,1,FALSE))</f>
        <v>0</v>
      </c>
      <c r="AC589" s="161" t="b">
        <f>IF(AB589=TRUE,(VLOOKUP($AJ581,Match!$T$5:$U$10,2,FALSE)))</f>
        <v>0</v>
      </c>
      <c r="AD589" s="8">
        <v>3</v>
      </c>
      <c r="AE589" s="8">
        <v>2</v>
      </c>
      <c r="AF589" s="8">
        <v>2</v>
      </c>
      <c r="AG589" s="8">
        <v>1</v>
      </c>
      <c r="AH589" s="8" t="str">
        <f t="shared" si="145"/>
        <v/>
      </c>
      <c r="BK589" s="12"/>
    </row>
    <row r="590" spans="1:63" x14ac:dyDescent="0.25">
      <c r="A590" s="29">
        <f t="shared" ref="A590:A653" si="160">SUM(B590:F590)</f>
        <v>0</v>
      </c>
      <c r="B590" s="29">
        <f t="shared" si="147"/>
        <v>0</v>
      </c>
      <c r="C590" s="29">
        <f t="shared" si="148"/>
        <v>0</v>
      </c>
      <c r="D590" s="29">
        <f t="shared" si="149"/>
        <v>0</v>
      </c>
      <c r="E590" s="29">
        <f t="shared" si="146"/>
        <v>0</v>
      </c>
      <c r="F590" s="29">
        <f t="shared" si="150"/>
        <v>0</v>
      </c>
      <c r="G590" s="29" t="str">
        <f t="shared" si="151"/>
        <v>offensive</v>
      </c>
      <c r="H590" s="16">
        <f t="shared" si="152"/>
        <v>0</v>
      </c>
      <c r="I590" s="16">
        <f t="shared" si="153"/>
        <v>0</v>
      </c>
      <c r="J590" s="16">
        <f t="shared" si="154"/>
        <v>0</v>
      </c>
      <c r="K590" s="16">
        <f t="shared" si="155"/>
        <v>0</v>
      </c>
      <c r="L590" s="67">
        <f t="shared" si="156"/>
        <v>0</v>
      </c>
      <c r="M590" s="4">
        <f t="shared" si="157"/>
        <v>0</v>
      </c>
      <c r="N590" s="4">
        <f t="shared" si="158"/>
        <v>0</v>
      </c>
      <c r="O590" s="4">
        <f t="shared" si="159"/>
        <v>0</v>
      </c>
      <c r="P590" s="4" t="e">
        <f>VLOOKUP(AJ582,'CIR Team Info'!$C$5:$E$44,2,FALSE)</f>
        <v>#N/A</v>
      </c>
      <c r="Q590" s="4" t="e">
        <f>VLOOKUP(AJ582,'CIR Team Info'!$C$5:$E$44,3,FALSE)</f>
        <v>#N/A</v>
      </c>
      <c r="R590" s="10" t="e">
        <f>VLOOKUP(AJ582,'FRC Site Data'!$B$3:$L$42,2,FALSE)</f>
        <v>#N/A</v>
      </c>
      <c r="S590" s="10" t="e">
        <f>VLOOKUP(AJ582,'FRC Site Data'!$B$3:$L$42,3,FALSE)</f>
        <v>#N/A</v>
      </c>
      <c r="T590" s="10" t="e">
        <f>VLOOKUP(AJ582,'FRC Site Data'!$B$3:$L$42,4,FALSE)</f>
        <v>#N/A</v>
      </c>
      <c r="U590" s="10" t="e">
        <f>VLOOKUP(AJ582,'FRC Site Data'!$B$3:$L$42,5,FALSE)</f>
        <v>#N/A</v>
      </c>
      <c r="V590" s="10" t="e">
        <f>VLOOKUP(AJ582,'FRC Site Data'!$B$3:$L$42,6,FALSE)</f>
        <v>#N/A</v>
      </c>
      <c r="W590" s="10" t="e">
        <f>VLOOKUP(AJ582,'FRC Site Data'!$B$3:$L$42,8,FALSE)</f>
        <v>#N/A</v>
      </c>
      <c r="X590" s="10" t="e">
        <f>VLOOKUP(AJ582,'FRC Site Data'!$B$3:$L$42,9,FALSE)</f>
        <v>#N/A</v>
      </c>
      <c r="Y590" s="10" t="e">
        <f>VLOOKUP(AJ582,'FRC Site Data'!$B$3:$L$42,10,FALSE)</f>
        <v>#N/A</v>
      </c>
      <c r="Z590" s="10" t="e">
        <f>VLOOKUP(AJ582,'FRC Site Data'!$B$3:$L$42,11,FALSE)</f>
        <v>#N/A</v>
      </c>
      <c r="AA590" s="10" t="e">
        <f>VLOOKUP(AJ582,'CIR Team Info'!$C$5:$E$44,4,FALSE)</f>
        <v>#N/A</v>
      </c>
      <c r="AB590" s="161" t="b">
        <f>ISNUMBER(VLOOKUP(AJ582,Match!$T$5:$T$10,1,FALSE))</f>
        <v>0</v>
      </c>
      <c r="AC590" s="161" t="b">
        <f>IF(AB590=TRUE,(VLOOKUP($AJ582,Match!$T$5:$U$10,2,FALSE)))</f>
        <v>0</v>
      </c>
      <c r="AD590" s="8">
        <v>3</v>
      </c>
      <c r="AE590" s="8">
        <v>2</v>
      </c>
      <c r="AF590" s="8">
        <v>2</v>
      </c>
      <c r="AG590" s="8">
        <v>1</v>
      </c>
      <c r="AH590" s="8" t="str">
        <f t="shared" si="145"/>
        <v/>
      </c>
      <c r="BK590" s="12"/>
    </row>
    <row r="591" spans="1:63" x14ac:dyDescent="0.25">
      <c r="A591" s="29">
        <f t="shared" si="160"/>
        <v>0</v>
      </c>
      <c r="B591" s="29">
        <f t="shared" si="147"/>
        <v>0</v>
      </c>
      <c r="C591" s="29">
        <f t="shared" si="148"/>
        <v>0</v>
      </c>
      <c r="D591" s="29">
        <f t="shared" si="149"/>
        <v>0</v>
      </c>
      <c r="E591" s="29">
        <f t="shared" si="146"/>
        <v>0</v>
      </c>
      <c r="F591" s="29">
        <f t="shared" si="150"/>
        <v>0</v>
      </c>
      <c r="G591" s="29" t="str">
        <f t="shared" si="151"/>
        <v>offensive</v>
      </c>
      <c r="H591" s="16">
        <f t="shared" si="152"/>
        <v>0</v>
      </c>
      <c r="I591" s="16">
        <f t="shared" si="153"/>
        <v>0</v>
      </c>
      <c r="J591" s="16">
        <f t="shared" si="154"/>
        <v>0</v>
      </c>
      <c r="K591" s="16">
        <f t="shared" si="155"/>
        <v>0</v>
      </c>
      <c r="L591" s="67">
        <f t="shared" si="156"/>
        <v>0</v>
      </c>
      <c r="M591" s="4">
        <f t="shared" si="157"/>
        <v>0</v>
      </c>
      <c r="N591" s="4">
        <f t="shared" si="158"/>
        <v>0</v>
      </c>
      <c r="O591" s="4">
        <f t="shared" si="159"/>
        <v>0</v>
      </c>
      <c r="P591" s="4" t="e">
        <f>VLOOKUP(AJ583,'CIR Team Info'!$C$5:$E$44,2,FALSE)</f>
        <v>#N/A</v>
      </c>
      <c r="Q591" s="4" t="e">
        <f>VLOOKUP(AJ583,'CIR Team Info'!$C$5:$E$44,3,FALSE)</f>
        <v>#N/A</v>
      </c>
      <c r="R591" s="10" t="e">
        <f>VLOOKUP(AJ583,'FRC Site Data'!$B$3:$L$42,2,FALSE)</f>
        <v>#N/A</v>
      </c>
      <c r="S591" s="10" t="e">
        <f>VLOOKUP(AJ583,'FRC Site Data'!$B$3:$L$42,3,FALSE)</f>
        <v>#N/A</v>
      </c>
      <c r="T591" s="10" t="e">
        <f>VLOOKUP(AJ583,'FRC Site Data'!$B$3:$L$42,4,FALSE)</f>
        <v>#N/A</v>
      </c>
      <c r="U591" s="10" t="e">
        <f>VLOOKUP(AJ583,'FRC Site Data'!$B$3:$L$42,5,FALSE)</f>
        <v>#N/A</v>
      </c>
      <c r="V591" s="10" t="e">
        <f>VLOOKUP(AJ583,'FRC Site Data'!$B$3:$L$42,6,FALSE)</f>
        <v>#N/A</v>
      </c>
      <c r="W591" s="10" t="e">
        <f>VLOOKUP(AJ583,'FRC Site Data'!$B$3:$L$42,8,FALSE)</f>
        <v>#N/A</v>
      </c>
      <c r="X591" s="10" t="e">
        <f>VLOOKUP(AJ583,'FRC Site Data'!$B$3:$L$42,9,FALSE)</f>
        <v>#N/A</v>
      </c>
      <c r="Y591" s="10" t="e">
        <f>VLOOKUP(AJ583,'FRC Site Data'!$B$3:$L$42,10,FALSE)</f>
        <v>#N/A</v>
      </c>
      <c r="Z591" s="10" t="e">
        <f>VLOOKUP(AJ583,'FRC Site Data'!$B$3:$L$42,11,FALSE)</f>
        <v>#N/A</v>
      </c>
      <c r="AA591" s="10" t="e">
        <f>VLOOKUP(AJ583,'CIR Team Info'!$C$5:$E$44,4,FALSE)</f>
        <v>#N/A</v>
      </c>
      <c r="AB591" s="161" t="b">
        <f>ISNUMBER(VLOOKUP(AJ583,Match!$T$5:$T$10,1,FALSE))</f>
        <v>0</v>
      </c>
      <c r="AC591" s="161" t="b">
        <f>IF(AB591=TRUE,(VLOOKUP($AJ583,Match!$T$5:$U$10,2,FALSE)))</f>
        <v>0</v>
      </c>
      <c r="AD591" s="8">
        <v>3</v>
      </c>
      <c r="AE591" s="8">
        <v>2</v>
      </c>
      <c r="AF591" s="8">
        <v>2</v>
      </c>
      <c r="AG591" s="8">
        <v>1</v>
      </c>
      <c r="AH591" s="8" t="str">
        <f t="shared" si="145"/>
        <v/>
      </c>
    </row>
    <row r="592" spans="1:63" x14ac:dyDescent="0.25">
      <c r="A592" s="29">
        <f t="shared" si="160"/>
        <v>0</v>
      </c>
      <c r="B592" s="29">
        <f t="shared" si="147"/>
        <v>0</v>
      </c>
      <c r="C592" s="29">
        <f t="shared" si="148"/>
        <v>0</v>
      </c>
      <c r="D592" s="29">
        <f t="shared" si="149"/>
        <v>0</v>
      </c>
      <c r="E592" s="29">
        <f t="shared" si="146"/>
        <v>0</v>
      </c>
      <c r="F592" s="29">
        <f t="shared" si="150"/>
        <v>0</v>
      </c>
      <c r="G592" s="29" t="str">
        <f t="shared" si="151"/>
        <v>offensive</v>
      </c>
      <c r="H592" s="16">
        <f t="shared" si="152"/>
        <v>0</v>
      </c>
      <c r="I592" s="16">
        <f t="shared" si="153"/>
        <v>0</v>
      </c>
      <c r="J592" s="16">
        <f t="shared" si="154"/>
        <v>0</v>
      </c>
      <c r="K592" s="16">
        <f t="shared" si="155"/>
        <v>0</v>
      </c>
      <c r="L592" s="67">
        <f t="shared" si="156"/>
        <v>0</v>
      </c>
      <c r="M592" s="4">
        <f t="shared" si="157"/>
        <v>0</v>
      </c>
      <c r="N592" s="4">
        <f t="shared" si="158"/>
        <v>0</v>
      </c>
      <c r="O592" s="4">
        <f t="shared" si="159"/>
        <v>0</v>
      </c>
      <c r="P592" s="4" t="e">
        <f>VLOOKUP(AJ584,'CIR Team Info'!$C$5:$E$44,2,FALSE)</f>
        <v>#N/A</v>
      </c>
      <c r="Q592" s="4" t="e">
        <f>VLOOKUP(AJ584,'CIR Team Info'!$C$5:$E$44,3,FALSE)</f>
        <v>#N/A</v>
      </c>
      <c r="R592" s="10" t="e">
        <f>VLOOKUP(AJ584,'FRC Site Data'!$B$3:$L$42,2,FALSE)</f>
        <v>#N/A</v>
      </c>
      <c r="S592" s="10" t="e">
        <f>VLOOKUP(AJ584,'FRC Site Data'!$B$3:$L$42,3,FALSE)</f>
        <v>#N/A</v>
      </c>
      <c r="T592" s="10" t="e">
        <f>VLOOKUP(AJ584,'FRC Site Data'!$B$3:$L$42,4,FALSE)</f>
        <v>#N/A</v>
      </c>
      <c r="U592" s="10" t="e">
        <f>VLOOKUP(AJ584,'FRC Site Data'!$B$3:$L$42,5,FALSE)</f>
        <v>#N/A</v>
      </c>
      <c r="V592" s="10" t="e">
        <f>VLOOKUP(AJ584,'FRC Site Data'!$B$3:$L$42,6,FALSE)</f>
        <v>#N/A</v>
      </c>
      <c r="W592" s="10" t="e">
        <f>VLOOKUP(AJ584,'FRC Site Data'!$B$3:$L$42,8,FALSE)</f>
        <v>#N/A</v>
      </c>
      <c r="X592" s="10" t="e">
        <f>VLOOKUP(AJ584,'FRC Site Data'!$B$3:$L$42,9,FALSE)</f>
        <v>#N/A</v>
      </c>
      <c r="Y592" s="10" t="e">
        <f>VLOOKUP(AJ584,'FRC Site Data'!$B$3:$L$42,10,FALSE)</f>
        <v>#N/A</v>
      </c>
      <c r="Z592" s="10" t="e">
        <f>VLOOKUP(AJ584,'FRC Site Data'!$B$3:$L$42,11,FALSE)</f>
        <v>#N/A</v>
      </c>
      <c r="AA592" s="10" t="e">
        <f>VLOOKUP(AJ584,'CIR Team Info'!$C$5:$E$44,4,FALSE)</f>
        <v>#N/A</v>
      </c>
      <c r="AB592" s="161" t="b">
        <f>ISNUMBER(VLOOKUP(AJ584,Match!$T$5:$T$10,1,FALSE))</f>
        <v>0</v>
      </c>
      <c r="AC592" s="161" t="b">
        <f>IF(AB592=TRUE,(VLOOKUP($AJ584,Match!$T$5:$U$10,2,FALSE)))</f>
        <v>0</v>
      </c>
      <c r="AD592" s="8">
        <v>3</v>
      </c>
      <c r="AE592" s="8">
        <v>2</v>
      </c>
      <c r="AF592" s="8">
        <v>2</v>
      </c>
      <c r="AG592" s="8">
        <v>1</v>
      </c>
      <c r="AH592" s="8" t="str">
        <f t="shared" si="145"/>
        <v/>
      </c>
    </row>
    <row r="593" spans="1:34" x14ac:dyDescent="0.25">
      <c r="A593" s="29">
        <f t="shared" si="160"/>
        <v>0</v>
      </c>
      <c r="B593" s="29">
        <f t="shared" si="147"/>
        <v>0</v>
      </c>
      <c r="C593" s="29">
        <f t="shared" si="148"/>
        <v>0</v>
      </c>
      <c r="D593" s="29">
        <f t="shared" si="149"/>
        <v>0</v>
      </c>
      <c r="E593" s="29">
        <f t="shared" si="146"/>
        <v>0</v>
      </c>
      <c r="F593" s="29">
        <f t="shared" si="150"/>
        <v>0</v>
      </c>
      <c r="G593" s="29" t="str">
        <f t="shared" si="151"/>
        <v>offensive</v>
      </c>
      <c r="H593" s="16">
        <f t="shared" si="152"/>
        <v>0</v>
      </c>
      <c r="I593" s="16">
        <f t="shared" si="153"/>
        <v>0</v>
      </c>
      <c r="J593" s="16">
        <f t="shared" si="154"/>
        <v>0</v>
      </c>
      <c r="K593" s="16">
        <f t="shared" si="155"/>
        <v>0</v>
      </c>
      <c r="L593" s="67">
        <f t="shared" si="156"/>
        <v>0</v>
      </c>
      <c r="M593" s="4">
        <f t="shared" si="157"/>
        <v>0</v>
      </c>
      <c r="N593" s="4">
        <f t="shared" si="158"/>
        <v>0</v>
      </c>
      <c r="O593" s="4">
        <f t="shared" si="159"/>
        <v>0</v>
      </c>
      <c r="P593" s="4" t="e">
        <f>VLOOKUP(AJ585,'CIR Team Info'!$C$5:$E$44,2,FALSE)</f>
        <v>#N/A</v>
      </c>
      <c r="Q593" s="4" t="e">
        <f>VLOOKUP(AJ585,'CIR Team Info'!$C$5:$E$44,3,FALSE)</f>
        <v>#N/A</v>
      </c>
      <c r="R593" s="10" t="e">
        <f>VLOOKUP(AJ585,'FRC Site Data'!$B$3:$L$42,2,FALSE)</f>
        <v>#N/A</v>
      </c>
      <c r="S593" s="10" t="e">
        <f>VLOOKUP(AJ585,'FRC Site Data'!$B$3:$L$42,3,FALSE)</f>
        <v>#N/A</v>
      </c>
      <c r="T593" s="10" t="e">
        <f>VLOOKUP(AJ585,'FRC Site Data'!$B$3:$L$42,4,FALSE)</f>
        <v>#N/A</v>
      </c>
      <c r="U593" s="10" t="e">
        <f>VLOOKUP(AJ585,'FRC Site Data'!$B$3:$L$42,5,FALSE)</f>
        <v>#N/A</v>
      </c>
      <c r="V593" s="10" t="e">
        <f>VLOOKUP(AJ585,'FRC Site Data'!$B$3:$L$42,6,FALSE)</f>
        <v>#N/A</v>
      </c>
      <c r="W593" s="10" t="e">
        <f>VLOOKUP(AJ585,'FRC Site Data'!$B$3:$L$42,8,FALSE)</f>
        <v>#N/A</v>
      </c>
      <c r="X593" s="10" t="e">
        <f>VLOOKUP(AJ585,'FRC Site Data'!$B$3:$L$42,9,FALSE)</f>
        <v>#N/A</v>
      </c>
      <c r="Y593" s="10" t="e">
        <f>VLOOKUP(AJ585,'FRC Site Data'!$B$3:$L$42,10,FALSE)</f>
        <v>#N/A</v>
      </c>
      <c r="Z593" s="10" t="e">
        <f>VLOOKUP(AJ585,'FRC Site Data'!$B$3:$L$42,11,FALSE)</f>
        <v>#N/A</v>
      </c>
      <c r="AA593" s="10" t="e">
        <f>VLOOKUP(AJ585,'CIR Team Info'!$C$5:$E$44,4,FALSE)</f>
        <v>#N/A</v>
      </c>
      <c r="AB593" s="161" t="b">
        <f>ISNUMBER(VLOOKUP(AJ585,Match!$T$5:$T$10,1,FALSE))</f>
        <v>0</v>
      </c>
      <c r="AC593" s="161" t="b">
        <f>IF(AB593=TRUE,(VLOOKUP($AJ585,Match!$T$5:$U$10,2,FALSE)))</f>
        <v>0</v>
      </c>
      <c r="AD593" s="8">
        <v>3</v>
      </c>
      <c r="AE593" s="8">
        <v>2</v>
      </c>
      <c r="AF593" s="8">
        <v>2</v>
      </c>
      <c r="AG593" s="8">
        <v>1</v>
      </c>
      <c r="AH593" s="8" t="str">
        <f t="shared" si="145"/>
        <v/>
      </c>
    </row>
    <row r="594" spans="1:34" x14ac:dyDescent="0.25">
      <c r="A594" s="29">
        <f t="shared" si="160"/>
        <v>0</v>
      </c>
      <c r="B594" s="29">
        <f t="shared" si="147"/>
        <v>0</v>
      </c>
      <c r="C594" s="29">
        <f t="shared" si="148"/>
        <v>0</v>
      </c>
      <c r="D594" s="29">
        <f t="shared" si="149"/>
        <v>0</v>
      </c>
      <c r="E594" s="29">
        <f t="shared" si="146"/>
        <v>0</v>
      </c>
      <c r="F594" s="29">
        <f t="shared" si="150"/>
        <v>0</v>
      </c>
      <c r="G594" s="29" t="str">
        <f t="shared" si="151"/>
        <v>offensive</v>
      </c>
      <c r="H594" s="16">
        <f t="shared" si="152"/>
        <v>0</v>
      </c>
      <c r="I594" s="16">
        <f t="shared" si="153"/>
        <v>0</v>
      </c>
      <c r="J594" s="16">
        <f t="shared" si="154"/>
        <v>0</v>
      </c>
      <c r="K594" s="16">
        <f t="shared" si="155"/>
        <v>0</v>
      </c>
      <c r="L594" s="67">
        <f t="shared" si="156"/>
        <v>0</v>
      </c>
      <c r="M594" s="4">
        <f t="shared" si="157"/>
        <v>0</v>
      </c>
      <c r="N594" s="4">
        <f t="shared" si="158"/>
        <v>0</v>
      </c>
      <c r="O594" s="4">
        <f t="shared" si="159"/>
        <v>0</v>
      </c>
      <c r="P594" s="4" t="e">
        <f>VLOOKUP(AJ586,'CIR Team Info'!$C$5:$E$44,2,FALSE)</f>
        <v>#N/A</v>
      </c>
      <c r="Q594" s="4" t="e">
        <f>VLOOKUP(AJ586,'CIR Team Info'!$C$5:$E$44,3,FALSE)</f>
        <v>#N/A</v>
      </c>
      <c r="R594" s="10" t="e">
        <f>VLOOKUP(AJ586,'FRC Site Data'!$B$3:$L$42,2,FALSE)</f>
        <v>#N/A</v>
      </c>
      <c r="S594" s="10" t="e">
        <f>VLOOKUP(AJ586,'FRC Site Data'!$B$3:$L$42,3,FALSE)</f>
        <v>#N/A</v>
      </c>
      <c r="T594" s="10" t="e">
        <f>VLOOKUP(AJ586,'FRC Site Data'!$B$3:$L$42,4,FALSE)</f>
        <v>#N/A</v>
      </c>
      <c r="U594" s="10" t="e">
        <f>VLOOKUP(AJ586,'FRC Site Data'!$B$3:$L$42,5,FALSE)</f>
        <v>#N/A</v>
      </c>
      <c r="V594" s="10" t="e">
        <f>VLOOKUP(AJ586,'FRC Site Data'!$B$3:$L$42,6,FALSE)</f>
        <v>#N/A</v>
      </c>
      <c r="W594" s="10" t="e">
        <f>VLOOKUP(AJ586,'FRC Site Data'!$B$3:$L$42,8,FALSE)</f>
        <v>#N/A</v>
      </c>
      <c r="X594" s="10" t="e">
        <f>VLOOKUP(AJ586,'FRC Site Data'!$B$3:$L$42,9,FALSE)</f>
        <v>#N/A</v>
      </c>
      <c r="Y594" s="10" t="e">
        <f>VLOOKUP(AJ586,'FRC Site Data'!$B$3:$L$42,10,FALSE)</f>
        <v>#N/A</v>
      </c>
      <c r="Z594" s="10" t="e">
        <f>VLOOKUP(AJ586,'FRC Site Data'!$B$3:$L$42,11,FALSE)</f>
        <v>#N/A</v>
      </c>
      <c r="AA594" s="10" t="e">
        <f>VLOOKUP(AJ586,'CIR Team Info'!$C$5:$E$44,4,FALSE)</f>
        <v>#N/A</v>
      </c>
      <c r="AB594" s="161" t="b">
        <f>ISNUMBER(VLOOKUP(AJ586,Match!$T$5:$T$10,1,FALSE))</f>
        <v>0</v>
      </c>
      <c r="AC594" s="161" t="b">
        <f>IF(AB594=TRUE,(VLOOKUP($AJ586,Match!$T$5:$U$10,2,FALSE)))</f>
        <v>0</v>
      </c>
      <c r="AD594" s="8">
        <v>3</v>
      </c>
      <c r="AE594" s="8">
        <v>2</v>
      </c>
      <c r="AF594" s="8">
        <v>2</v>
      </c>
      <c r="AG594" s="8">
        <v>1</v>
      </c>
      <c r="AH594" s="8" t="str">
        <f t="shared" si="145"/>
        <v/>
      </c>
    </row>
    <row r="595" spans="1:34" x14ac:dyDescent="0.25">
      <c r="A595" s="29">
        <f t="shared" si="160"/>
        <v>0</v>
      </c>
      <c r="B595" s="29">
        <f t="shared" si="147"/>
        <v>0</v>
      </c>
      <c r="C595" s="29">
        <f t="shared" si="148"/>
        <v>0</v>
      </c>
      <c r="D595" s="29">
        <f t="shared" si="149"/>
        <v>0</v>
      </c>
      <c r="E595" s="29">
        <f t="shared" si="146"/>
        <v>0</v>
      </c>
      <c r="F595" s="29">
        <f t="shared" si="150"/>
        <v>0</v>
      </c>
      <c r="G595" s="29" t="str">
        <f t="shared" si="151"/>
        <v>offensive</v>
      </c>
      <c r="H595" s="16">
        <f t="shared" si="152"/>
        <v>0</v>
      </c>
      <c r="I595" s="16">
        <f t="shared" si="153"/>
        <v>0</v>
      </c>
      <c r="J595" s="16">
        <f t="shared" si="154"/>
        <v>0</v>
      </c>
      <c r="K595" s="16">
        <f t="shared" si="155"/>
        <v>0</v>
      </c>
      <c r="L595" s="67">
        <f t="shared" si="156"/>
        <v>0</v>
      </c>
      <c r="M595" s="4">
        <f t="shared" si="157"/>
        <v>0</v>
      </c>
      <c r="N595" s="4">
        <f t="shared" si="158"/>
        <v>0</v>
      </c>
      <c r="O595" s="4">
        <f t="shared" si="159"/>
        <v>0</v>
      </c>
      <c r="P595" s="4" t="e">
        <f>VLOOKUP(AJ587,'CIR Team Info'!$C$5:$E$44,2,FALSE)</f>
        <v>#N/A</v>
      </c>
      <c r="Q595" s="4" t="e">
        <f>VLOOKUP(AJ587,'CIR Team Info'!$C$5:$E$44,3,FALSE)</f>
        <v>#N/A</v>
      </c>
      <c r="R595" s="10" t="e">
        <f>VLOOKUP(AJ587,'FRC Site Data'!$B$3:$L$42,2,FALSE)</f>
        <v>#N/A</v>
      </c>
      <c r="S595" s="10" t="e">
        <f>VLOOKUP(AJ587,'FRC Site Data'!$B$3:$L$42,3,FALSE)</f>
        <v>#N/A</v>
      </c>
      <c r="T595" s="10" t="e">
        <f>VLOOKUP(AJ587,'FRC Site Data'!$B$3:$L$42,4,FALSE)</f>
        <v>#N/A</v>
      </c>
      <c r="U595" s="10" t="e">
        <f>VLOOKUP(AJ587,'FRC Site Data'!$B$3:$L$42,5,FALSE)</f>
        <v>#N/A</v>
      </c>
      <c r="V595" s="10" t="e">
        <f>VLOOKUP(AJ587,'FRC Site Data'!$B$3:$L$42,6,FALSE)</f>
        <v>#N/A</v>
      </c>
      <c r="W595" s="10" t="e">
        <f>VLOOKUP(AJ587,'FRC Site Data'!$B$3:$L$42,8,FALSE)</f>
        <v>#N/A</v>
      </c>
      <c r="X595" s="10" t="e">
        <f>VLOOKUP(AJ587,'FRC Site Data'!$B$3:$L$42,9,FALSE)</f>
        <v>#N/A</v>
      </c>
      <c r="Y595" s="10" t="e">
        <f>VLOOKUP(AJ587,'FRC Site Data'!$B$3:$L$42,10,FALSE)</f>
        <v>#N/A</v>
      </c>
      <c r="Z595" s="10" t="e">
        <f>VLOOKUP(AJ587,'FRC Site Data'!$B$3:$L$42,11,FALSE)</f>
        <v>#N/A</v>
      </c>
      <c r="AA595" s="10" t="e">
        <f>VLOOKUP(AJ587,'CIR Team Info'!$C$5:$E$44,4,FALSE)</f>
        <v>#N/A</v>
      </c>
      <c r="AB595" s="161" t="b">
        <f>ISNUMBER(VLOOKUP(AJ587,Match!$T$5:$T$10,1,FALSE))</f>
        <v>0</v>
      </c>
      <c r="AC595" s="161" t="b">
        <f>IF(AB595=TRUE,(VLOOKUP($AJ587,Match!$T$5:$U$10,2,FALSE)))</f>
        <v>0</v>
      </c>
      <c r="AD595" s="8">
        <v>3</v>
      </c>
      <c r="AE595" s="8">
        <v>2</v>
      </c>
      <c r="AF595" s="8">
        <v>2</v>
      </c>
      <c r="AG595" s="8">
        <v>1</v>
      </c>
      <c r="AH595" s="8" t="str">
        <f t="shared" si="145"/>
        <v/>
      </c>
    </row>
    <row r="596" spans="1:34" x14ac:dyDescent="0.25">
      <c r="A596" s="29">
        <f t="shared" si="160"/>
        <v>0</v>
      </c>
      <c r="B596" s="29">
        <f t="shared" si="147"/>
        <v>0</v>
      </c>
      <c r="C596" s="29">
        <f t="shared" si="148"/>
        <v>0</v>
      </c>
      <c r="D596" s="29">
        <f t="shared" si="149"/>
        <v>0</v>
      </c>
      <c r="E596" s="29">
        <f t="shared" si="146"/>
        <v>0</v>
      </c>
      <c r="F596" s="29">
        <f t="shared" si="150"/>
        <v>0</v>
      </c>
      <c r="G596" s="29" t="str">
        <f t="shared" si="151"/>
        <v>offensive</v>
      </c>
      <c r="H596" s="16">
        <f t="shared" si="152"/>
        <v>0</v>
      </c>
      <c r="I596" s="16">
        <f t="shared" si="153"/>
        <v>0</v>
      </c>
      <c r="J596" s="16">
        <f t="shared" si="154"/>
        <v>0</v>
      </c>
      <c r="K596" s="16">
        <f t="shared" si="155"/>
        <v>0</v>
      </c>
      <c r="L596" s="67">
        <f t="shared" si="156"/>
        <v>0</v>
      </c>
      <c r="M596" s="4">
        <f t="shared" si="157"/>
        <v>0</v>
      </c>
      <c r="N596" s="4">
        <f t="shared" si="158"/>
        <v>0</v>
      </c>
      <c r="O596" s="4">
        <f t="shared" si="159"/>
        <v>0</v>
      </c>
      <c r="P596" s="4" t="e">
        <f>VLOOKUP(AJ588,'CIR Team Info'!$C$5:$E$44,2,FALSE)</f>
        <v>#N/A</v>
      </c>
      <c r="Q596" s="4" t="e">
        <f>VLOOKUP(AJ588,'CIR Team Info'!$C$5:$E$44,3,FALSE)</f>
        <v>#N/A</v>
      </c>
      <c r="R596" s="10" t="e">
        <f>VLOOKUP(AJ588,'FRC Site Data'!$B$3:$L$42,2,FALSE)</f>
        <v>#N/A</v>
      </c>
      <c r="S596" s="10" t="e">
        <f>VLOOKUP(AJ588,'FRC Site Data'!$B$3:$L$42,3,FALSE)</f>
        <v>#N/A</v>
      </c>
      <c r="T596" s="10" t="e">
        <f>VLOOKUP(AJ588,'FRC Site Data'!$B$3:$L$42,4,FALSE)</f>
        <v>#N/A</v>
      </c>
      <c r="U596" s="10" t="e">
        <f>VLOOKUP(AJ588,'FRC Site Data'!$B$3:$L$42,5,FALSE)</f>
        <v>#N/A</v>
      </c>
      <c r="V596" s="10" t="e">
        <f>VLOOKUP(AJ588,'FRC Site Data'!$B$3:$L$42,6,FALSE)</f>
        <v>#N/A</v>
      </c>
      <c r="W596" s="10" t="e">
        <f>VLOOKUP(AJ588,'FRC Site Data'!$B$3:$L$42,8,FALSE)</f>
        <v>#N/A</v>
      </c>
      <c r="X596" s="10" t="e">
        <f>VLOOKUP(AJ588,'FRC Site Data'!$B$3:$L$42,9,FALSE)</f>
        <v>#N/A</v>
      </c>
      <c r="Y596" s="10" t="e">
        <f>VLOOKUP(AJ588,'FRC Site Data'!$B$3:$L$42,10,FALSE)</f>
        <v>#N/A</v>
      </c>
      <c r="Z596" s="10" t="e">
        <f>VLOOKUP(AJ588,'FRC Site Data'!$B$3:$L$42,11,FALSE)</f>
        <v>#N/A</v>
      </c>
      <c r="AA596" s="10" t="e">
        <f>VLOOKUP(AJ588,'CIR Team Info'!$C$5:$E$44,4,FALSE)</f>
        <v>#N/A</v>
      </c>
      <c r="AB596" s="161" t="b">
        <f>ISNUMBER(VLOOKUP(AJ588,Match!$T$5:$T$10,1,FALSE))</f>
        <v>0</v>
      </c>
      <c r="AC596" s="161" t="b">
        <f>IF(AB596=TRUE,(VLOOKUP($AJ588,Match!$T$5:$U$10,2,FALSE)))</f>
        <v>0</v>
      </c>
      <c r="AD596" s="8">
        <v>3</v>
      </c>
      <c r="AE596" s="8">
        <v>2</v>
      </c>
      <c r="AF596" s="8">
        <v>2</v>
      </c>
      <c r="AG596" s="8">
        <v>1</v>
      </c>
      <c r="AH596" s="8" t="str">
        <f t="shared" si="145"/>
        <v/>
      </c>
    </row>
    <row r="597" spans="1:34" x14ac:dyDescent="0.25">
      <c r="A597" s="29">
        <f t="shared" si="160"/>
        <v>0</v>
      </c>
      <c r="B597" s="29">
        <f t="shared" si="147"/>
        <v>0</v>
      </c>
      <c r="C597" s="29">
        <f t="shared" si="148"/>
        <v>0</v>
      </c>
      <c r="D597" s="29">
        <f t="shared" si="149"/>
        <v>0</v>
      </c>
      <c r="E597" s="29">
        <f t="shared" si="146"/>
        <v>0</v>
      </c>
      <c r="F597" s="29">
        <f t="shared" si="150"/>
        <v>0</v>
      </c>
      <c r="G597" s="29" t="str">
        <f t="shared" si="151"/>
        <v>offensive</v>
      </c>
      <c r="H597" s="16">
        <f t="shared" si="152"/>
        <v>0</v>
      </c>
      <c r="I597" s="16">
        <f t="shared" si="153"/>
        <v>0</v>
      </c>
      <c r="J597" s="16">
        <f t="shared" si="154"/>
        <v>0</v>
      </c>
      <c r="K597" s="16">
        <f t="shared" si="155"/>
        <v>0</v>
      </c>
      <c r="L597" s="67">
        <f t="shared" si="156"/>
        <v>0</v>
      </c>
      <c r="M597" s="4">
        <f t="shared" si="157"/>
        <v>0</v>
      </c>
      <c r="N597" s="4">
        <f t="shared" si="158"/>
        <v>0</v>
      </c>
      <c r="O597" s="4">
        <f t="shared" si="159"/>
        <v>0</v>
      </c>
      <c r="P597" s="4" t="e">
        <f>VLOOKUP(AJ589,'CIR Team Info'!$C$5:$E$44,2,FALSE)</f>
        <v>#N/A</v>
      </c>
      <c r="Q597" s="4" t="e">
        <f>VLOOKUP(AJ589,'CIR Team Info'!$C$5:$E$44,3,FALSE)</f>
        <v>#N/A</v>
      </c>
      <c r="R597" s="10" t="e">
        <f>VLOOKUP(AJ589,'FRC Site Data'!$B$3:$L$42,2,FALSE)</f>
        <v>#N/A</v>
      </c>
      <c r="S597" s="10" t="e">
        <f>VLOOKUP(AJ589,'FRC Site Data'!$B$3:$L$42,3,FALSE)</f>
        <v>#N/A</v>
      </c>
      <c r="T597" s="10" t="e">
        <f>VLOOKUP(AJ589,'FRC Site Data'!$B$3:$L$42,4,FALSE)</f>
        <v>#N/A</v>
      </c>
      <c r="U597" s="10" t="e">
        <f>VLOOKUP(AJ589,'FRC Site Data'!$B$3:$L$42,5,FALSE)</f>
        <v>#N/A</v>
      </c>
      <c r="V597" s="10" t="e">
        <f>VLOOKUP(AJ589,'FRC Site Data'!$B$3:$L$42,6,FALSE)</f>
        <v>#N/A</v>
      </c>
      <c r="W597" s="10" t="e">
        <f>VLOOKUP(AJ589,'FRC Site Data'!$B$3:$L$42,8,FALSE)</f>
        <v>#N/A</v>
      </c>
      <c r="X597" s="10" t="e">
        <f>VLOOKUP(AJ589,'FRC Site Data'!$B$3:$L$42,9,FALSE)</f>
        <v>#N/A</v>
      </c>
      <c r="Y597" s="10" t="e">
        <f>VLOOKUP(AJ589,'FRC Site Data'!$B$3:$L$42,10,FALSE)</f>
        <v>#N/A</v>
      </c>
      <c r="Z597" s="10" t="e">
        <f>VLOOKUP(AJ589,'FRC Site Data'!$B$3:$L$42,11,FALSE)</f>
        <v>#N/A</v>
      </c>
      <c r="AA597" s="10" t="e">
        <f>VLOOKUP(AJ589,'CIR Team Info'!$C$5:$E$44,4,FALSE)</f>
        <v>#N/A</v>
      </c>
      <c r="AB597" s="161" t="b">
        <f>ISNUMBER(VLOOKUP(AJ589,Match!$T$5:$T$10,1,FALSE))</f>
        <v>0</v>
      </c>
      <c r="AC597" s="161" t="b">
        <f>IF(AB597=TRUE,(VLOOKUP($AJ589,Match!$T$5:$U$10,2,FALSE)))</f>
        <v>0</v>
      </c>
      <c r="AD597" s="8">
        <v>3</v>
      </c>
      <c r="AE597" s="8">
        <v>2</v>
      </c>
      <c r="AF597" s="8">
        <v>2</v>
      </c>
      <c r="AG597" s="8">
        <v>1</v>
      </c>
      <c r="AH597" s="8" t="str">
        <f t="shared" si="145"/>
        <v/>
      </c>
    </row>
    <row r="598" spans="1:34" x14ac:dyDescent="0.25">
      <c r="A598" s="29">
        <f t="shared" si="160"/>
        <v>0</v>
      </c>
      <c r="B598" s="29">
        <f t="shared" si="147"/>
        <v>0</v>
      </c>
      <c r="C598" s="29">
        <f t="shared" si="148"/>
        <v>0</v>
      </c>
      <c r="D598" s="29">
        <f t="shared" si="149"/>
        <v>0</v>
      </c>
      <c r="E598" s="29">
        <f t="shared" si="146"/>
        <v>0</v>
      </c>
      <c r="F598" s="29">
        <f t="shared" si="150"/>
        <v>0</v>
      </c>
      <c r="G598" s="29" t="str">
        <f t="shared" si="151"/>
        <v>offensive</v>
      </c>
      <c r="H598" s="16">
        <f t="shared" si="152"/>
        <v>0</v>
      </c>
      <c r="I598" s="16">
        <f t="shared" si="153"/>
        <v>0</v>
      </c>
      <c r="J598" s="16">
        <f t="shared" si="154"/>
        <v>0</v>
      </c>
      <c r="K598" s="16">
        <f t="shared" si="155"/>
        <v>0</v>
      </c>
      <c r="L598" s="67">
        <f t="shared" si="156"/>
        <v>0</v>
      </c>
      <c r="M598" s="4">
        <f t="shared" si="157"/>
        <v>0</v>
      </c>
      <c r="N598" s="4">
        <f t="shared" si="158"/>
        <v>0</v>
      </c>
      <c r="O598" s="4">
        <f t="shared" si="159"/>
        <v>0</v>
      </c>
      <c r="P598" s="4" t="e">
        <f>VLOOKUP(AJ590,'CIR Team Info'!$C$5:$E$44,2,FALSE)</f>
        <v>#N/A</v>
      </c>
      <c r="Q598" s="4" t="e">
        <f>VLOOKUP(AJ590,'CIR Team Info'!$C$5:$E$44,3,FALSE)</f>
        <v>#N/A</v>
      </c>
      <c r="R598" s="10" t="e">
        <f>VLOOKUP(AJ590,'FRC Site Data'!$B$3:$L$42,2,FALSE)</f>
        <v>#N/A</v>
      </c>
      <c r="S598" s="10" t="e">
        <f>VLOOKUP(AJ590,'FRC Site Data'!$B$3:$L$42,3,FALSE)</f>
        <v>#N/A</v>
      </c>
      <c r="T598" s="10" t="e">
        <f>VLOOKUP(AJ590,'FRC Site Data'!$B$3:$L$42,4,FALSE)</f>
        <v>#N/A</v>
      </c>
      <c r="U598" s="10" t="e">
        <f>VLOOKUP(AJ590,'FRC Site Data'!$B$3:$L$42,5,FALSE)</f>
        <v>#N/A</v>
      </c>
      <c r="V598" s="10" t="e">
        <f>VLOOKUP(AJ590,'FRC Site Data'!$B$3:$L$42,6,FALSE)</f>
        <v>#N/A</v>
      </c>
      <c r="W598" s="10" t="e">
        <f>VLOOKUP(AJ590,'FRC Site Data'!$B$3:$L$42,8,FALSE)</f>
        <v>#N/A</v>
      </c>
      <c r="X598" s="10" t="e">
        <f>VLOOKUP(AJ590,'FRC Site Data'!$B$3:$L$42,9,FALSE)</f>
        <v>#N/A</v>
      </c>
      <c r="Y598" s="10" t="e">
        <f>VLOOKUP(AJ590,'FRC Site Data'!$B$3:$L$42,10,FALSE)</f>
        <v>#N/A</v>
      </c>
      <c r="Z598" s="10" t="e">
        <f>VLOOKUP(AJ590,'FRC Site Data'!$B$3:$L$42,11,FALSE)</f>
        <v>#N/A</v>
      </c>
      <c r="AA598" s="10" t="e">
        <f>VLOOKUP(AJ590,'CIR Team Info'!$C$5:$E$44,4,FALSE)</f>
        <v>#N/A</v>
      </c>
      <c r="AB598" s="161" t="b">
        <f>ISNUMBER(VLOOKUP(AJ590,Match!$T$5:$T$10,1,FALSE))</f>
        <v>0</v>
      </c>
      <c r="AC598" s="161" t="b">
        <f>IF(AB598=TRUE,(VLOOKUP($AJ590,Match!$T$5:$U$10,2,FALSE)))</f>
        <v>0</v>
      </c>
      <c r="AD598" s="8">
        <v>3</v>
      </c>
      <c r="AE598" s="8">
        <v>2</v>
      </c>
      <c r="AF598" s="8">
        <v>2</v>
      </c>
      <c r="AG598" s="8">
        <v>1</v>
      </c>
      <c r="AH598" s="8" t="str">
        <f t="shared" si="145"/>
        <v/>
      </c>
    </row>
    <row r="599" spans="1:34" x14ac:dyDescent="0.25">
      <c r="A599" s="29">
        <f t="shared" si="160"/>
        <v>0</v>
      </c>
      <c r="B599" s="29">
        <f t="shared" si="147"/>
        <v>0</v>
      </c>
      <c r="C599" s="29">
        <f t="shared" si="148"/>
        <v>0</v>
      </c>
      <c r="D599" s="29">
        <f t="shared" si="149"/>
        <v>0</v>
      </c>
      <c r="E599" s="29">
        <f t="shared" si="146"/>
        <v>0</v>
      </c>
      <c r="F599" s="29">
        <f t="shared" si="150"/>
        <v>0</v>
      </c>
      <c r="G599" s="29" t="str">
        <f t="shared" si="151"/>
        <v>offensive</v>
      </c>
      <c r="H599" s="16">
        <f t="shared" si="152"/>
        <v>0</v>
      </c>
      <c r="I599" s="16">
        <f t="shared" si="153"/>
        <v>0</v>
      </c>
      <c r="J599" s="16">
        <f t="shared" si="154"/>
        <v>0</v>
      </c>
      <c r="K599" s="16">
        <f t="shared" si="155"/>
        <v>0</v>
      </c>
      <c r="L599" s="67">
        <f t="shared" si="156"/>
        <v>0</v>
      </c>
      <c r="M599" s="4">
        <f t="shared" si="157"/>
        <v>0</v>
      </c>
      <c r="N599" s="4">
        <f t="shared" si="158"/>
        <v>0</v>
      </c>
      <c r="O599" s="4">
        <f t="shared" si="159"/>
        <v>0</v>
      </c>
      <c r="P599" s="4" t="e">
        <f>VLOOKUP(AJ591,'CIR Team Info'!$C$5:$E$44,2,FALSE)</f>
        <v>#N/A</v>
      </c>
      <c r="Q599" s="4" t="e">
        <f>VLOOKUP(AJ591,'CIR Team Info'!$C$5:$E$44,3,FALSE)</f>
        <v>#N/A</v>
      </c>
      <c r="R599" s="10" t="e">
        <f>VLOOKUP(AJ591,'FRC Site Data'!$B$3:$L$42,2,FALSE)</f>
        <v>#N/A</v>
      </c>
      <c r="S599" s="10" t="e">
        <f>VLOOKUP(AJ591,'FRC Site Data'!$B$3:$L$42,3,FALSE)</f>
        <v>#N/A</v>
      </c>
      <c r="T599" s="10" t="e">
        <f>VLOOKUP(AJ591,'FRC Site Data'!$B$3:$L$42,4,FALSE)</f>
        <v>#N/A</v>
      </c>
      <c r="U599" s="10" t="e">
        <f>VLOOKUP(AJ591,'FRC Site Data'!$B$3:$L$42,5,FALSE)</f>
        <v>#N/A</v>
      </c>
      <c r="V599" s="10" t="e">
        <f>VLOOKUP(AJ591,'FRC Site Data'!$B$3:$L$42,6,FALSE)</f>
        <v>#N/A</v>
      </c>
      <c r="W599" s="10" t="e">
        <f>VLOOKUP(AJ591,'FRC Site Data'!$B$3:$L$42,8,FALSE)</f>
        <v>#N/A</v>
      </c>
      <c r="X599" s="10" t="e">
        <f>VLOOKUP(AJ591,'FRC Site Data'!$B$3:$L$42,9,FALSE)</f>
        <v>#N/A</v>
      </c>
      <c r="Y599" s="10" t="e">
        <f>VLOOKUP(AJ591,'FRC Site Data'!$B$3:$L$42,10,FALSE)</f>
        <v>#N/A</v>
      </c>
      <c r="Z599" s="10" t="e">
        <f>VLOOKUP(AJ591,'FRC Site Data'!$B$3:$L$42,11,FALSE)</f>
        <v>#N/A</v>
      </c>
      <c r="AA599" s="10" t="e">
        <f>VLOOKUP(AJ591,'CIR Team Info'!$C$5:$E$44,4,FALSE)</f>
        <v>#N/A</v>
      </c>
      <c r="AB599" s="161" t="b">
        <f>ISNUMBER(VLOOKUP(AJ591,Match!$T$5:$T$10,1,FALSE))</f>
        <v>0</v>
      </c>
      <c r="AC599" s="161" t="b">
        <f>IF(AB599=TRUE,(VLOOKUP($AJ591,Match!$T$5:$U$10,2,FALSE)))</f>
        <v>0</v>
      </c>
      <c r="AD599" s="8">
        <v>3</v>
      </c>
      <c r="AE599" s="8">
        <v>2</v>
      </c>
      <c r="AF599" s="8">
        <v>2</v>
      </c>
      <c r="AG599" s="8">
        <v>1</v>
      </c>
      <c r="AH599" s="8" t="str">
        <f t="shared" si="145"/>
        <v/>
      </c>
    </row>
    <row r="600" spans="1:34" x14ac:dyDescent="0.25">
      <c r="A600" s="29">
        <f t="shared" si="160"/>
        <v>0</v>
      </c>
      <c r="B600" s="29">
        <f t="shared" si="147"/>
        <v>0</v>
      </c>
      <c r="C600" s="29">
        <f t="shared" si="148"/>
        <v>0</v>
      </c>
      <c r="D600" s="29">
        <f t="shared" si="149"/>
        <v>0</v>
      </c>
      <c r="E600" s="29">
        <f t="shared" si="146"/>
        <v>0</v>
      </c>
      <c r="F600" s="29">
        <f t="shared" si="150"/>
        <v>0</v>
      </c>
      <c r="G600" s="29" t="str">
        <f t="shared" si="151"/>
        <v>offensive</v>
      </c>
      <c r="H600" s="16">
        <f t="shared" si="152"/>
        <v>0</v>
      </c>
      <c r="I600" s="16">
        <f t="shared" si="153"/>
        <v>0</v>
      </c>
      <c r="J600" s="16">
        <f t="shared" si="154"/>
        <v>0</v>
      </c>
      <c r="K600" s="16">
        <f t="shared" si="155"/>
        <v>0</v>
      </c>
      <c r="L600" s="67">
        <f t="shared" si="156"/>
        <v>0</v>
      </c>
      <c r="M600" s="4">
        <f t="shared" si="157"/>
        <v>0</v>
      </c>
      <c r="N600" s="4">
        <f t="shared" si="158"/>
        <v>0</v>
      </c>
      <c r="O600" s="4">
        <f t="shared" si="159"/>
        <v>0</v>
      </c>
      <c r="P600" s="4" t="e">
        <f>VLOOKUP(AJ592,'CIR Team Info'!$C$5:$E$44,2,FALSE)</f>
        <v>#N/A</v>
      </c>
      <c r="Q600" s="4" t="e">
        <f>VLOOKUP(AJ592,'CIR Team Info'!$C$5:$E$44,3,FALSE)</f>
        <v>#N/A</v>
      </c>
      <c r="R600" s="10" t="e">
        <f>VLOOKUP(AJ592,'FRC Site Data'!$B$3:$L$42,2,FALSE)</f>
        <v>#N/A</v>
      </c>
      <c r="S600" s="10" t="e">
        <f>VLOOKUP(AJ592,'FRC Site Data'!$B$3:$L$42,3,FALSE)</f>
        <v>#N/A</v>
      </c>
      <c r="T600" s="10" t="e">
        <f>VLOOKUP(AJ592,'FRC Site Data'!$B$3:$L$42,4,FALSE)</f>
        <v>#N/A</v>
      </c>
      <c r="U600" s="10" t="e">
        <f>VLOOKUP(AJ592,'FRC Site Data'!$B$3:$L$42,5,FALSE)</f>
        <v>#N/A</v>
      </c>
      <c r="V600" s="10" t="e">
        <f>VLOOKUP(AJ592,'FRC Site Data'!$B$3:$L$42,6,FALSE)</f>
        <v>#N/A</v>
      </c>
      <c r="W600" s="10" t="e">
        <f>VLOOKUP(AJ592,'FRC Site Data'!$B$3:$L$42,8,FALSE)</f>
        <v>#N/A</v>
      </c>
      <c r="X600" s="10" t="e">
        <f>VLOOKUP(AJ592,'FRC Site Data'!$B$3:$L$42,9,FALSE)</f>
        <v>#N/A</v>
      </c>
      <c r="Y600" s="10" t="e">
        <f>VLOOKUP(AJ592,'FRC Site Data'!$B$3:$L$42,10,FALSE)</f>
        <v>#N/A</v>
      </c>
      <c r="Z600" s="10" t="e">
        <f>VLOOKUP(AJ592,'FRC Site Data'!$B$3:$L$42,11,FALSE)</f>
        <v>#N/A</v>
      </c>
      <c r="AA600" s="10" t="e">
        <f>VLOOKUP(AJ592,'CIR Team Info'!$C$5:$E$44,4,FALSE)</f>
        <v>#N/A</v>
      </c>
      <c r="AB600" s="161" t="b">
        <f>ISNUMBER(VLOOKUP(AJ592,Match!$T$5:$T$10,1,FALSE))</f>
        <v>0</v>
      </c>
      <c r="AC600" s="161" t="b">
        <f>IF(AB600=TRUE,(VLOOKUP($AJ592,Match!$T$5:$U$10,2,FALSE)))</f>
        <v>0</v>
      </c>
      <c r="AD600" s="8">
        <v>3</v>
      </c>
      <c r="AE600" s="8">
        <v>2</v>
      </c>
      <c r="AF600" s="8">
        <v>2</v>
      </c>
      <c r="AG600" s="8">
        <v>1</v>
      </c>
      <c r="AH600" s="8" t="str">
        <f t="shared" si="145"/>
        <v/>
      </c>
    </row>
    <row r="601" spans="1:34" x14ac:dyDescent="0.25">
      <c r="A601" s="29">
        <f t="shared" si="160"/>
        <v>0</v>
      </c>
      <c r="B601" s="29">
        <f t="shared" si="147"/>
        <v>0</v>
      </c>
      <c r="C601" s="29">
        <f t="shared" si="148"/>
        <v>0</v>
      </c>
      <c r="D601" s="29">
        <f t="shared" si="149"/>
        <v>0</v>
      </c>
      <c r="E601" s="29">
        <f t="shared" si="146"/>
        <v>0</v>
      </c>
      <c r="F601" s="29">
        <f t="shared" si="150"/>
        <v>0</v>
      </c>
      <c r="G601" s="29" t="str">
        <f t="shared" si="151"/>
        <v>offensive</v>
      </c>
      <c r="H601" s="16">
        <f t="shared" si="152"/>
        <v>0</v>
      </c>
      <c r="I601" s="16">
        <f t="shared" si="153"/>
        <v>0</v>
      </c>
      <c r="J601" s="16">
        <f t="shared" si="154"/>
        <v>0</v>
      </c>
      <c r="K601" s="16">
        <f t="shared" si="155"/>
        <v>0</v>
      </c>
      <c r="L601" s="67">
        <f t="shared" si="156"/>
        <v>0</v>
      </c>
      <c r="M601" s="4">
        <f t="shared" si="157"/>
        <v>0</v>
      </c>
      <c r="N601" s="4">
        <f t="shared" si="158"/>
        <v>0</v>
      </c>
      <c r="O601" s="4">
        <f t="shared" si="159"/>
        <v>0</v>
      </c>
      <c r="P601" s="4" t="e">
        <f>VLOOKUP(AJ593,'CIR Team Info'!$C$5:$E$44,2,FALSE)</f>
        <v>#N/A</v>
      </c>
      <c r="Q601" s="4" t="e">
        <f>VLOOKUP(AJ593,'CIR Team Info'!$C$5:$E$44,3,FALSE)</f>
        <v>#N/A</v>
      </c>
      <c r="R601" s="10" t="e">
        <f>VLOOKUP(AJ593,'FRC Site Data'!$B$3:$L$42,2,FALSE)</f>
        <v>#N/A</v>
      </c>
      <c r="S601" s="10" t="e">
        <f>VLOOKUP(AJ593,'FRC Site Data'!$B$3:$L$42,3,FALSE)</f>
        <v>#N/A</v>
      </c>
      <c r="T601" s="10" t="e">
        <f>VLOOKUP(AJ593,'FRC Site Data'!$B$3:$L$42,4,FALSE)</f>
        <v>#N/A</v>
      </c>
      <c r="U601" s="10" t="e">
        <f>VLOOKUP(AJ593,'FRC Site Data'!$B$3:$L$42,5,FALSE)</f>
        <v>#N/A</v>
      </c>
      <c r="V601" s="10" t="e">
        <f>VLOOKUP(AJ593,'FRC Site Data'!$B$3:$L$42,6,FALSE)</f>
        <v>#N/A</v>
      </c>
      <c r="W601" s="10" t="e">
        <f>VLOOKUP(AJ593,'FRC Site Data'!$B$3:$L$42,8,FALSE)</f>
        <v>#N/A</v>
      </c>
      <c r="X601" s="10" t="e">
        <f>VLOOKUP(AJ593,'FRC Site Data'!$B$3:$L$42,9,FALSE)</f>
        <v>#N/A</v>
      </c>
      <c r="Y601" s="10" t="e">
        <f>VLOOKUP(AJ593,'FRC Site Data'!$B$3:$L$42,10,FALSE)</f>
        <v>#N/A</v>
      </c>
      <c r="Z601" s="10" t="e">
        <f>VLOOKUP(AJ593,'FRC Site Data'!$B$3:$L$42,11,FALSE)</f>
        <v>#N/A</v>
      </c>
      <c r="AA601" s="10" t="e">
        <f>VLOOKUP(AJ593,'CIR Team Info'!$C$5:$E$44,4,FALSE)</f>
        <v>#N/A</v>
      </c>
      <c r="AB601" s="161" t="b">
        <f>ISNUMBER(VLOOKUP(AJ593,Match!$T$5:$T$10,1,FALSE))</f>
        <v>0</v>
      </c>
      <c r="AC601" s="161" t="b">
        <f>IF(AB601=TRUE,(VLOOKUP($AJ593,Match!$T$5:$U$10,2,FALSE)))</f>
        <v>0</v>
      </c>
      <c r="AD601" s="8">
        <v>3</v>
      </c>
      <c r="AE601" s="8">
        <v>2</v>
      </c>
      <c r="AF601" s="8">
        <v>2</v>
      </c>
      <c r="AG601" s="8">
        <v>1</v>
      </c>
      <c r="AH601" s="8" t="str">
        <f t="shared" si="145"/>
        <v/>
      </c>
    </row>
    <row r="602" spans="1:34" x14ac:dyDescent="0.25">
      <c r="A602" s="29">
        <f t="shared" si="160"/>
        <v>0</v>
      </c>
      <c r="B602" s="29">
        <f t="shared" si="147"/>
        <v>0</v>
      </c>
      <c r="C602" s="29">
        <f t="shared" si="148"/>
        <v>0</v>
      </c>
      <c r="D602" s="29">
        <f t="shared" si="149"/>
        <v>0</v>
      </c>
      <c r="E602" s="29">
        <f t="shared" si="146"/>
        <v>0</v>
      </c>
      <c r="F602" s="29">
        <f t="shared" si="150"/>
        <v>0</v>
      </c>
      <c r="G602" s="29" t="str">
        <f t="shared" si="151"/>
        <v>offensive</v>
      </c>
      <c r="H602" s="16">
        <f t="shared" si="152"/>
        <v>0</v>
      </c>
      <c r="I602" s="16">
        <f t="shared" si="153"/>
        <v>0</v>
      </c>
      <c r="J602" s="16">
        <f t="shared" si="154"/>
        <v>0</v>
      </c>
      <c r="K602" s="16">
        <f t="shared" si="155"/>
        <v>0</v>
      </c>
      <c r="L602" s="67">
        <f t="shared" si="156"/>
        <v>0</v>
      </c>
      <c r="M602" s="4">
        <f t="shared" si="157"/>
        <v>0</v>
      </c>
      <c r="N602" s="4">
        <f t="shared" si="158"/>
        <v>0</v>
      </c>
      <c r="O602" s="4">
        <f t="shared" si="159"/>
        <v>0</v>
      </c>
      <c r="P602" s="4" t="e">
        <f>VLOOKUP(AJ594,'CIR Team Info'!$C$5:$E$44,2,FALSE)</f>
        <v>#N/A</v>
      </c>
      <c r="Q602" s="4" t="e">
        <f>VLOOKUP(AJ594,'CIR Team Info'!$C$5:$E$44,3,FALSE)</f>
        <v>#N/A</v>
      </c>
      <c r="R602" s="10" t="e">
        <f>VLOOKUP(AJ594,'FRC Site Data'!$B$3:$L$42,2,FALSE)</f>
        <v>#N/A</v>
      </c>
      <c r="S602" s="10" t="e">
        <f>VLOOKUP(AJ594,'FRC Site Data'!$B$3:$L$42,3,FALSE)</f>
        <v>#N/A</v>
      </c>
      <c r="T602" s="10" t="e">
        <f>VLOOKUP(AJ594,'FRC Site Data'!$B$3:$L$42,4,FALSE)</f>
        <v>#N/A</v>
      </c>
      <c r="U602" s="10" t="e">
        <f>VLOOKUP(AJ594,'FRC Site Data'!$B$3:$L$42,5,FALSE)</f>
        <v>#N/A</v>
      </c>
      <c r="V602" s="10" t="e">
        <f>VLOOKUP(AJ594,'FRC Site Data'!$B$3:$L$42,6,FALSE)</f>
        <v>#N/A</v>
      </c>
      <c r="W602" s="10" t="e">
        <f>VLOOKUP(AJ594,'FRC Site Data'!$B$3:$L$42,8,FALSE)</f>
        <v>#N/A</v>
      </c>
      <c r="X602" s="10" t="e">
        <f>VLOOKUP(AJ594,'FRC Site Data'!$B$3:$L$42,9,FALSE)</f>
        <v>#N/A</v>
      </c>
      <c r="Y602" s="10" t="e">
        <f>VLOOKUP(AJ594,'FRC Site Data'!$B$3:$L$42,10,FALSE)</f>
        <v>#N/A</v>
      </c>
      <c r="Z602" s="10" t="e">
        <f>VLOOKUP(AJ594,'FRC Site Data'!$B$3:$L$42,11,FALSE)</f>
        <v>#N/A</v>
      </c>
      <c r="AA602" s="10" t="e">
        <f>VLOOKUP(AJ594,'CIR Team Info'!$C$5:$E$44,4,FALSE)</f>
        <v>#N/A</v>
      </c>
      <c r="AB602" s="161" t="b">
        <f>ISNUMBER(VLOOKUP(AJ594,Match!$T$5:$T$10,1,FALSE))</f>
        <v>0</v>
      </c>
      <c r="AC602" s="161" t="b">
        <f>IF(AB602=TRUE,(VLOOKUP($AJ594,Match!$T$5:$U$10,2,FALSE)))</f>
        <v>0</v>
      </c>
      <c r="AD602" s="8">
        <v>3</v>
      </c>
      <c r="AE602" s="8">
        <v>2</v>
      </c>
      <c r="AF602" s="8">
        <v>2</v>
      </c>
      <c r="AG602" s="8">
        <v>1</v>
      </c>
      <c r="AH602" s="8" t="str">
        <f t="shared" si="145"/>
        <v/>
      </c>
    </row>
    <row r="603" spans="1:34" x14ac:dyDescent="0.25">
      <c r="A603" s="29">
        <f t="shared" si="160"/>
        <v>0</v>
      </c>
      <c r="B603" s="29">
        <f t="shared" si="147"/>
        <v>0</v>
      </c>
      <c r="C603" s="29">
        <f t="shared" si="148"/>
        <v>0</v>
      </c>
      <c r="D603" s="29">
        <f t="shared" si="149"/>
        <v>0</v>
      </c>
      <c r="E603" s="29">
        <f t="shared" si="146"/>
        <v>0</v>
      </c>
      <c r="F603" s="29">
        <f t="shared" si="150"/>
        <v>0</v>
      </c>
      <c r="G603" s="29" t="str">
        <f t="shared" si="151"/>
        <v>offensive</v>
      </c>
      <c r="H603" s="16">
        <f t="shared" si="152"/>
        <v>0</v>
      </c>
      <c r="I603" s="16">
        <f t="shared" si="153"/>
        <v>0</v>
      </c>
      <c r="J603" s="16">
        <f t="shared" si="154"/>
        <v>0</v>
      </c>
      <c r="K603" s="16">
        <f t="shared" si="155"/>
        <v>0</v>
      </c>
      <c r="L603" s="67">
        <f t="shared" si="156"/>
        <v>0</v>
      </c>
      <c r="M603" s="4">
        <f t="shared" si="157"/>
        <v>0</v>
      </c>
      <c r="N603" s="4">
        <f t="shared" si="158"/>
        <v>0</v>
      </c>
      <c r="O603" s="4">
        <f t="shared" si="159"/>
        <v>0</v>
      </c>
      <c r="P603" s="4" t="e">
        <f>VLOOKUP(AJ595,'CIR Team Info'!$C$5:$E$44,2,FALSE)</f>
        <v>#N/A</v>
      </c>
      <c r="Q603" s="4" t="e">
        <f>VLOOKUP(AJ595,'CIR Team Info'!$C$5:$E$44,3,FALSE)</f>
        <v>#N/A</v>
      </c>
      <c r="R603" s="10" t="e">
        <f>VLOOKUP(AJ595,'FRC Site Data'!$B$3:$L$42,2,FALSE)</f>
        <v>#N/A</v>
      </c>
      <c r="S603" s="10" t="e">
        <f>VLOOKUP(AJ595,'FRC Site Data'!$B$3:$L$42,3,FALSE)</f>
        <v>#N/A</v>
      </c>
      <c r="T603" s="10" t="e">
        <f>VLOOKUP(AJ595,'FRC Site Data'!$B$3:$L$42,4,FALSE)</f>
        <v>#N/A</v>
      </c>
      <c r="U603" s="10" t="e">
        <f>VLOOKUP(AJ595,'FRC Site Data'!$B$3:$L$42,5,FALSE)</f>
        <v>#N/A</v>
      </c>
      <c r="V603" s="10" t="e">
        <f>VLOOKUP(AJ595,'FRC Site Data'!$B$3:$L$42,6,FALSE)</f>
        <v>#N/A</v>
      </c>
      <c r="W603" s="10" t="e">
        <f>VLOOKUP(AJ595,'FRC Site Data'!$B$3:$L$42,8,FALSE)</f>
        <v>#N/A</v>
      </c>
      <c r="X603" s="10" t="e">
        <f>VLOOKUP(AJ595,'FRC Site Data'!$B$3:$L$42,9,FALSE)</f>
        <v>#N/A</v>
      </c>
      <c r="Y603" s="10" t="e">
        <f>VLOOKUP(AJ595,'FRC Site Data'!$B$3:$L$42,10,FALSE)</f>
        <v>#N/A</v>
      </c>
      <c r="Z603" s="10" t="e">
        <f>VLOOKUP(AJ595,'FRC Site Data'!$B$3:$L$42,11,FALSE)</f>
        <v>#N/A</v>
      </c>
      <c r="AA603" s="10" t="e">
        <f>VLOOKUP(AJ595,'CIR Team Info'!$C$5:$E$44,4,FALSE)</f>
        <v>#N/A</v>
      </c>
      <c r="AB603" s="161" t="b">
        <f>ISNUMBER(VLOOKUP(AJ595,Match!$T$5:$T$10,1,FALSE))</f>
        <v>0</v>
      </c>
      <c r="AC603" s="161" t="b">
        <f>IF(AB603=TRUE,(VLOOKUP($AJ595,Match!$T$5:$U$10,2,FALSE)))</f>
        <v>0</v>
      </c>
      <c r="AD603" s="8">
        <v>3</v>
      </c>
      <c r="AE603" s="8">
        <v>2</v>
      </c>
      <c r="AF603" s="8">
        <v>2</v>
      </c>
      <c r="AG603" s="8">
        <v>1</v>
      </c>
      <c r="AH603" s="8" t="str">
        <f t="shared" ref="AH603:AH666" si="161">IF(AL595="Other","x","")</f>
        <v/>
      </c>
    </row>
    <row r="604" spans="1:34" x14ac:dyDescent="0.25">
      <c r="A604" s="29">
        <f t="shared" si="160"/>
        <v>0</v>
      </c>
      <c r="B604" s="29">
        <f t="shared" si="147"/>
        <v>0</v>
      </c>
      <c r="C604" s="29">
        <f t="shared" si="148"/>
        <v>0</v>
      </c>
      <c r="D604" s="29">
        <f t="shared" si="149"/>
        <v>0</v>
      </c>
      <c r="E604" s="29">
        <f t="shared" si="146"/>
        <v>0</v>
      </c>
      <c r="F604" s="29">
        <f t="shared" si="150"/>
        <v>0</v>
      </c>
      <c r="G604" s="29" t="str">
        <f t="shared" si="151"/>
        <v>offensive</v>
      </c>
      <c r="H604" s="16">
        <f t="shared" si="152"/>
        <v>0</v>
      </c>
      <c r="I604" s="16">
        <f t="shared" si="153"/>
        <v>0</v>
      </c>
      <c r="J604" s="16">
        <f t="shared" si="154"/>
        <v>0</v>
      </c>
      <c r="K604" s="16">
        <f t="shared" si="155"/>
        <v>0</v>
      </c>
      <c r="L604" s="67">
        <f t="shared" si="156"/>
        <v>0</v>
      </c>
      <c r="M604" s="4">
        <f t="shared" si="157"/>
        <v>0</v>
      </c>
      <c r="N604" s="4">
        <f t="shared" si="158"/>
        <v>0</v>
      </c>
      <c r="O604" s="4">
        <f t="shared" si="159"/>
        <v>0</v>
      </c>
      <c r="P604" s="4" t="e">
        <f>VLOOKUP(AJ596,'CIR Team Info'!$C$5:$E$44,2,FALSE)</f>
        <v>#N/A</v>
      </c>
      <c r="Q604" s="4" t="e">
        <f>VLOOKUP(AJ596,'CIR Team Info'!$C$5:$E$44,3,FALSE)</f>
        <v>#N/A</v>
      </c>
      <c r="R604" s="10" t="e">
        <f>VLOOKUP(AJ596,'FRC Site Data'!$B$3:$L$42,2,FALSE)</f>
        <v>#N/A</v>
      </c>
      <c r="S604" s="10" t="e">
        <f>VLOOKUP(AJ596,'FRC Site Data'!$B$3:$L$42,3,FALSE)</f>
        <v>#N/A</v>
      </c>
      <c r="T604" s="10" t="e">
        <f>VLOOKUP(AJ596,'FRC Site Data'!$B$3:$L$42,4,FALSE)</f>
        <v>#N/A</v>
      </c>
      <c r="U604" s="10" t="e">
        <f>VLOOKUP(AJ596,'FRC Site Data'!$B$3:$L$42,5,FALSE)</f>
        <v>#N/A</v>
      </c>
      <c r="V604" s="10" t="e">
        <f>VLOOKUP(AJ596,'FRC Site Data'!$B$3:$L$42,6,FALSE)</f>
        <v>#N/A</v>
      </c>
      <c r="W604" s="10" t="e">
        <f>VLOOKUP(AJ596,'FRC Site Data'!$B$3:$L$42,8,FALSE)</f>
        <v>#N/A</v>
      </c>
      <c r="X604" s="10" t="e">
        <f>VLOOKUP(AJ596,'FRC Site Data'!$B$3:$L$42,9,FALSE)</f>
        <v>#N/A</v>
      </c>
      <c r="Y604" s="10" t="e">
        <f>VLOOKUP(AJ596,'FRC Site Data'!$B$3:$L$42,10,FALSE)</f>
        <v>#N/A</v>
      </c>
      <c r="Z604" s="10" t="e">
        <f>VLOOKUP(AJ596,'FRC Site Data'!$B$3:$L$42,11,FALSE)</f>
        <v>#N/A</v>
      </c>
      <c r="AA604" s="10" t="e">
        <f>VLOOKUP(AJ596,'CIR Team Info'!$C$5:$E$44,4,FALSE)</f>
        <v>#N/A</v>
      </c>
      <c r="AB604" s="161" t="b">
        <f>ISNUMBER(VLOOKUP(AJ596,Match!$T$5:$T$10,1,FALSE))</f>
        <v>0</v>
      </c>
      <c r="AC604" s="161" t="b">
        <f>IF(AB604=TRUE,(VLOOKUP($AJ596,Match!$T$5:$U$10,2,FALSE)))</f>
        <v>0</v>
      </c>
      <c r="AD604" s="8">
        <v>3</v>
      </c>
      <c r="AE604" s="8">
        <v>2</v>
      </c>
      <c r="AF604" s="8">
        <v>2</v>
      </c>
      <c r="AG604" s="8">
        <v>1</v>
      </c>
      <c r="AH604" s="8" t="str">
        <f t="shared" si="161"/>
        <v/>
      </c>
    </row>
    <row r="605" spans="1:34" x14ac:dyDescent="0.25">
      <c r="A605" s="29">
        <f t="shared" si="160"/>
        <v>0</v>
      </c>
      <c r="B605" s="29">
        <f t="shared" si="147"/>
        <v>0</v>
      </c>
      <c r="C605" s="29">
        <f t="shared" si="148"/>
        <v>0</v>
      </c>
      <c r="D605" s="29">
        <f t="shared" si="149"/>
        <v>0</v>
      </c>
      <c r="E605" s="29">
        <f t="shared" si="146"/>
        <v>0</v>
      </c>
      <c r="F605" s="29">
        <f t="shared" si="150"/>
        <v>0</v>
      </c>
      <c r="G605" s="29" t="str">
        <f t="shared" si="151"/>
        <v>offensive</v>
      </c>
      <c r="H605" s="16">
        <f t="shared" si="152"/>
        <v>0</v>
      </c>
      <c r="I605" s="16">
        <f t="shared" si="153"/>
        <v>0</v>
      </c>
      <c r="J605" s="16">
        <f t="shared" si="154"/>
        <v>0</v>
      </c>
      <c r="K605" s="16">
        <f t="shared" si="155"/>
        <v>0</v>
      </c>
      <c r="L605" s="67">
        <f t="shared" si="156"/>
        <v>0</v>
      </c>
      <c r="M605" s="4">
        <f t="shared" si="157"/>
        <v>0</v>
      </c>
      <c r="N605" s="4">
        <f t="shared" si="158"/>
        <v>0</v>
      </c>
      <c r="O605" s="4">
        <f t="shared" si="159"/>
        <v>0</v>
      </c>
      <c r="P605" s="4" t="e">
        <f>VLOOKUP(AJ597,'CIR Team Info'!$C$5:$E$44,2,FALSE)</f>
        <v>#N/A</v>
      </c>
      <c r="Q605" s="4" t="e">
        <f>VLOOKUP(AJ597,'CIR Team Info'!$C$5:$E$44,3,FALSE)</f>
        <v>#N/A</v>
      </c>
      <c r="R605" s="10" t="e">
        <f>VLOOKUP(AJ597,'FRC Site Data'!$B$3:$L$42,2,FALSE)</f>
        <v>#N/A</v>
      </c>
      <c r="S605" s="10" t="e">
        <f>VLOOKUP(AJ597,'FRC Site Data'!$B$3:$L$42,3,FALSE)</f>
        <v>#N/A</v>
      </c>
      <c r="T605" s="10" t="e">
        <f>VLOOKUP(AJ597,'FRC Site Data'!$B$3:$L$42,4,FALSE)</f>
        <v>#N/A</v>
      </c>
      <c r="U605" s="10" t="e">
        <f>VLOOKUP(AJ597,'FRC Site Data'!$B$3:$L$42,5,FALSE)</f>
        <v>#N/A</v>
      </c>
      <c r="V605" s="10" t="e">
        <f>VLOOKUP(AJ597,'FRC Site Data'!$B$3:$L$42,6,FALSE)</f>
        <v>#N/A</v>
      </c>
      <c r="W605" s="10" t="e">
        <f>VLOOKUP(AJ597,'FRC Site Data'!$B$3:$L$42,8,FALSE)</f>
        <v>#N/A</v>
      </c>
      <c r="X605" s="10" t="e">
        <f>VLOOKUP(AJ597,'FRC Site Data'!$B$3:$L$42,9,FALSE)</f>
        <v>#N/A</v>
      </c>
      <c r="Y605" s="10" t="e">
        <f>VLOOKUP(AJ597,'FRC Site Data'!$B$3:$L$42,10,FALSE)</f>
        <v>#N/A</v>
      </c>
      <c r="Z605" s="10" t="e">
        <f>VLOOKUP(AJ597,'FRC Site Data'!$B$3:$L$42,11,FALSE)</f>
        <v>#N/A</v>
      </c>
      <c r="AA605" s="10" t="e">
        <f>VLOOKUP(AJ597,'CIR Team Info'!$C$5:$E$44,4,FALSE)</f>
        <v>#N/A</v>
      </c>
      <c r="AB605" s="161" t="b">
        <f>ISNUMBER(VLOOKUP(AJ597,Match!$T$5:$T$10,1,FALSE))</f>
        <v>0</v>
      </c>
      <c r="AC605" s="161" t="b">
        <f>IF(AB605=TRUE,(VLOOKUP($AJ597,Match!$T$5:$U$10,2,FALSE)))</f>
        <v>0</v>
      </c>
      <c r="AD605" s="8">
        <v>3</v>
      </c>
      <c r="AE605" s="8">
        <v>2</v>
      </c>
      <c r="AF605" s="8">
        <v>2</v>
      </c>
      <c r="AG605" s="8">
        <v>1</v>
      </c>
      <c r="AH605" s="8" t="str">
        <f t="shared" si="161"/>
        <v/>
      </c>
    </row>
    <row r="606" spans="1:34" x14ac:dyDescent="0.25">
      <c r="A606" s="29">
        <f t="shared" si="160"/>
        <v>0</v>
      </c>
      <c r="B606" s="29">
        <f t="shared" si="147"/>
        <v>0</v>
      </c>
      <c r="C606" s="29">
        <f t="shared" si="148"/>
        <v>0</v>
      </c>
      <c r="D606" s="29">
        <f t="shared" si="149"/>
        <v>0</v>
      </c>
      <c r="E606" s="29">
        <f t="shared" si="146"/>
        <v>0</v>
      </c>
      <c r="F606" s="29">
        <f t="shared" si="150"/>
        <v>0</v>
      </c>
      <c r="G606" s="29" t="str">
        <f t="shared" si="151"/>
        <v>offensive</v>
      </c>
      <c r="H606" s="16">
        <f t="shared" si="152"/>
        <v>0</v>
      </c>
      <c r="I606" s="16">
        <f t="shared" si="153"/>
        <v>0</v>
      </c>
      <c r="J606" s="16">
        <f t="shared" si="154"/>
        <v>0</v>
      </c>
      <c r="K606" s="16">
        <f t="shared" si="155"/>
        <v>0</v>
      </c>
      <c r="L606" s="67">
        <f t="shared" si="156"/>
        <v>0</v>
      </c>
      <c r="M606" s="4">
        <f t="shared" si="157"/>
        <v>0</v>
      </c>
      <c r="N606" s="4">
        <f t="shared" si="158"/>
        <v>0</v>
      </c>
      <c r="O606" s="4">
        <f t="shared" si="159"/>
        <v>0</v>
      </c>
      <c r="P606" s="4" t="e">
        <f>VLOOKUP(AJ598,'CIR Team Info'!$C$5:$E$44,2,FALSE)</f>
        <v>#N/A</v>
      </c>
      <c r="Q606" s="4" t="e">
        <f>VLOOKUP(AJ598,'CIR Team Info'!$C$5:$E$44,3,FALSE)</f>
        <v>#N/A</v>
      </c>
      <c r="R606" s="10" t="e">
        <f>VLOOKUP(AJ598,'FRC Site Data'!$B$3:$L$42,2,FALSE)</f>
        <v>#N/A</v>
      </c>
      <c r="S606" s="10" t="e">
        <f>VLOOKUP(AJ598,'FRC Site Data'!$B$3:$L$42,3,FALSE)</f>
        <v>#N/A</v>
      </c>
      <c r="T606" s="10" t="e">
        <f>VLOOKUP(AJ598,'FRC Site Data'!$B$3:$L$42,4,FALSE)</f>
        <v>#N/A</v>
      </c>
      <c r="U606" s="10" t="e">
        <f>VLOOKUP(AJ598,'FRC Site Data'!$B$3:$L$42,5,FALSE)</f>
        <v>#N/A</v>
      </c>
      <c r="V606" s="10" t="e">
        <f>VLOOKUP(AJ598,'FRC Site Data'!$B$3:$L$42,6,FALSE)</f>
        <v>#N/A</v>
      </c>
      <c r="W606" s="10" t="e">
        <f>VLOOKUP(AJ598,'FRC Site Data'!$B$3:$L$42,8,FALSE)</f>
        <v>#N/A</v>
      </c>
      <c r="X606" s="10" t="e">
        <f>VLOOKUP(AJ598,'FRC Site Data'!$B$3:$L$42,9,FALSE)</f>
        <v>#N/A</v>
      </c>
      <c r="Y606" s="10" t="e">
        <f>VLOOKUP(AJ598,'FRC Site Data'!$B$3:$L$42,10,FALSE)</f>
        <v>#N/A</v>
      </c>
      <c r="Z606" s="10" t="e">
        <f>VLOOKUP(AJ598,'FRC Site Data'!$B$3:$L$42,11,FALSE)</f>
        <v>#N/A</v>
      </c>
      <c r="AA606" s="10" t="e">
        <f>VLOOKUP(AJ598,'CIR Team Info'!$C$5:$E$44,4,FALSE)</f>
        <v>#N/A</v>
      </c>
      <c r="AB606" s="161" t="b">
        <f>ISNUMBER(VLOOKUP(AJ598,Match!$T$5:$T$10,1,FALSE))</f>
        <v>0</v>
      </c>
      <c r="AC606" s="161" t="b">
        <f>IF(AB606=TRUE,(VLOOKUP($AJ598,Match!$T$5:$U$10,2,FALSE)))</f>
        <v>0</v>
      </c>
      <c r="AD606" s="8">
        <v>3</v>
      </c>
      <c r="AE606" s="8">
        <v>2</v>
      </c>
      <c r="AF606" s="8">
        <v>2</v>
      </c>
      <c r="AG606" s="8">
        <v>1</v>
      </c>
      <c r="AH606" s="8" t="str">
        <f t="shared" si="161"/>
        <v/>
      </c>
    </row>
    <row r="607" spans="1:34" x14ac:dyDescent="0.25">
      <c r="A607" s="29">
        <f t="shared" si="160"/>
        <v>0</v>
      </c>
      <c r="B607" s="29">
        <f t="shared" si="147"/>
        <v>0</v>
      </c>
      <c r="C607" s="29">
        <f t="shared" si="148"/>
        <v>0</v>
      </c>
      <c r="D607" s="29">
        <f t="shared" si="149"/>
        <v>0</v>
      </c>
      <c r="E607" s="29">
        <f t="shared" si="146"/>
        <v>0</v>
      </c>
      <c r="F607" s="29">
        <f t="shared" si="150"/>
        <v>0</v>
      </c>
      <c r="G607" s="29" t="str">
        <f t="shared" si="151"/>
        <v>offensive</v>
      </c>
      <c r="H607" s="16">
        <f t="shared" si="152"/>
        <v>0</v>
      </c>
      <c r="I607" s="16">
        <f t="shared" si="153"/>
        <v>0</v>
      </c>
      <c r="J607" s="16">
        <f t="shared" si="154"/>
        <v>0</v>
      </c>
      <c r="K607" s="16">
        <f t="shared" si="155"/>
        <v>0</v>
      </c>
      <c r="L607" s="67">
        <f t="shared" si="156"/>
        <v>0</v>
      </c>
      <c r="M607" s="4">
        <f t="shared" si="157"/>
        <v>0</v>
      </c>
      <c r="N607" s="4">
        <f t="shared" si="158"/>
        <v>0</v>
      </c>
      <c r="O607" s="4">
        <f t="shared" si="159"/>
        <v>0</v>
      </c>
      <c r="P607" s="4" t="e">
        <f>VLOOKUP(AJ599,'CIR Team Info'!$C$5:$E$44,2,FALSE)</f>
        <v>#N/A</v>
      </c>
      <c r="Q607" s="4" t="e">
        <f>VLOOKUP(AJ599,'CIR Team Info'!$C$5:$E$44,3,FALSE)</f>
        <v>#N/A</v>
      </c>
      <c r="R607" s="10" t="e">
        <f>VLOOKUP(AJ599,'FRC Site Data'!$B$3:$L$42,2,FALSE)</f>
        <v>#N/A</v>
      </c>
      <c r="S607" s="10" t="e">
        <f>VLOOKUP(AJ599,'FRC Site Data'!$B$3:$L$42,3,FALSE)</f>
        <v>#N/A</v>
      </c>
      <c r="T607" s="10" t="e">
        <f>VLOOKUP(AJ599,'FRC Site Data'!$B$3:$L$42,4,FALSE)</f>
        <v>#N/A</v>
      </c>
      <c r="U607" s="10" t="e">
        <f>VLOOKUP(AJ599,'FRC Site Data'!$B$3:$L$42,5,FALSE)</f>
        <v>#N/A</v>
      </c>
      <c r="V607" s="10" t="e">
        <f>VLOOKUP(AJ599,'FRC Site Data'!$B$3:$L$42,6,FALSE)</f>
        <v>#N/A</v>
      </c>
      <c r="W607" s="10" t="e">
        <f>VLOOKUP(AJ599,'FRC Site Data'!$B$3:$L$42,8,FALSE)</f>
        <v>#N/A</v>
      </c>
      <c r="X607" s="10" t="e">
        <f>VLOOKUP(AJ599,'FRC Site Data'!$B$3:$L$42,9,FALSE)</f>
        <v>#N/A</v>
      </c>
      <c r="Y607" s="10" t="e">
        <f>VLOOKUP(AJ599,'FRC Site Data'!$B$3:$L$42,10,FALSE)</f>
        <v>#N/A</v>
      </c>
      <c r="Z607" s="10" t="e">
        <f>VLOOKUP(AJ599,'FRC Site Data'!$B$3:$L$42,11,FALSE)</f>
        <v>#N/A</v>
      </c>
      <c r="AA607" s="10" t="e">
        <f>VLOOKUP(AJ599,'CIR Team Info'!$C$5:$E$44,4,FALSE)</f>
        <v>#N/A</v>
      </c>
      <c r="AB607" s="161" t="b">
        <f>ISNUMBER(VLOOKUP(AJ599,Match!$T$5:$T$10,1,FALSE))</f>
        <v>0</v>
      </c>
      <c r="AC607" s="161" t="b">
        <f>IF(AB607=TRUE,(VLOOKUP($AJ599,Match!$T$5:$U$10,2,FALSE)))</f>
        <v>0</v>
      </c>
      <c r="AD607" s="8">
        <v>3</v>
      </c>
      <c r="AE607" s="8">
        <v>2</v>
      </c>
      <c r="AF607" s="8">
        <v>2</v>
      </c>
      <c r="AG607" s="8">
        <v>1</v>
      </c>
      <c r="AH607" s="8" t="str">
        <f t="shared" si="161"/>
        <v/>
      </c>
    </row>
    <row r="608" spans="1:34" x14ac:dyDescent="0.25">
      <c r="A608" s="29">
        <f t="shared" si="160"/>
        <v>0</v>
      </c>
      <c r="B608" s="29">
        <f t="shared" si="147"/>
        <v>0</v>
      </c>
      <c r="C608" s="29">
        <f t="shared" si="148"/>
        <v>0</v>
      </c>
      <c r="D608" s="29">
        <f t="shared" si="149"/>
        <v>0</v>
      </c>
      <c r="E608" s="29">
        <f t="shared" si="146"/>
        <v>0</v>
      </c>
      <c r="F608" s="29">
        <f t="shared" si="150"/>
        <v>0</v>
      </c>
      <c r="G608" s="29" t="str">
        <f t="shared" si="151"/>
        <v>offensive</v>
      </c>
      <c r="H608" s="16">
        <f t="shared" si="152"/>
        <v>0</v>
      </c>
      <c r="I608" s="16">
        <f t="shared" si="153"/>
        <v>0</v>
      </c>
      <c r="J608" s="16">
        <f t="shared" si="154"/>
        <v>0</v>
      </c>
      <c r="K608" s="16">
        <f t="shared" si="155"/>
        <v>0</v>
      </c>
      <c r="L608" s="67">
        <f t="shared" si="156"/>
        <v>0</v>
      </c>
      <c r="M608" s="4">
        <f t="shared" si="157"/>
        <v>0</v>
      </c>
      <c r="N608" s="4">
        <f t="shared" si="158"/>
        <v>0</v>
      </c>
      <c r="O608" s="4">
        <f t="shared" si="159"/>
        <v>0</v>
      </c>
      <c r="P608" s="4" t="e">
        <f>VLOOKUP(AJ600,'CIR Team Info'!$C$5:$E$44,2,FALSE)</f>
        <v>#N/A</v>
      </c>
      <c r="Q608" s="4" t="e">
        <f>VLOOKUP(AJ600,'CIR Team Info'!$C$5:$E$44,3,FALSE)</f>
        <v>#N/A</v>
      </c>
      <c r="R608" s="10" t="e">
        <f>VLOOKUP(AJ600,'FRC Site Data'!$B$3:$L$42,2,FALSE)</f>
        <v>#N/A</v>
      </c>
      <c r="S608" s="10" t="e">
        <f>VLOOKUP(AJ600,'FRC Site Data'!$B$3:$L$42,3,FALSE)</f>
        <v>#N/A</v>
      </c>
      <c r="T608" s="10" t="e">
        <f>VLOOKUP(AJ600,'FRC Site Data'!$B$3:$L$42,4,FALSE)</f>
        <v>#N/A</v>
      </c>
      <c r="U608" s="10" t="e">
        <f>VLOOKUP(AJ600,'FRC Site Data'!$B$3:$L$42,5,FALSE)</f>
        <v>#N/A</v>
      </c>
      <c r="V608" s="10" t="e">
        <f>VLOOKUP(AJ600,'FRC Site Data'!$B$3:$L$42,6,FALSE)</f>
        <v>#N/A</v>
      </c>
      <c r="W608" s="10" t="e">
        <f>VLOOKUP(AJ600,'FRC Site Data'!$B$3:$L$42,8,FALSE)</f>
        <v>#N/A</v>
      </c>
      <c r="X608" s="10" t="e">
        <f>VLOOKUP(AJ600,'FRC Site Data'!$B$3:$L$42,9,FALSE)</f>
        <v>#N/A</v>
      </c>
      <c r="Y608" s="10" t="e">
        <f>VLOOKUP(AJ600,'FRC Site Data'!$B$3:$L$42,10,FALSE)</f>
        <v>#N/A</v>
      </c>
      <c r="Z608" s="10" t="e">
        <f>VLOOKUP(AJ600,'FRC Site Data'!$B$3:$L$42,11,FALSE)</f>
        <v>#N/A</v>
      </c>
      <c r="AA608" s="10" t="e">
        <f>VLOOKUP(AJ600,'CIR Team Info'!$C$5:$E$44,4,FALSE)</f>
        <v>#N/A</v>
      </c>
      <c r="AB608" s="161" t="b">
        <f>ISNUMBER(VLOOKUP(AJ600,Match!$T$5:$T$10,1,FALSE))</f>
        <v>0</v>
      </c>
      <c r="AC608" s="161" t="b">
        <f>IF(AB608=TRUE,(VLOOKUP($AJ600,Match!$T$5:$U$10,2,FALSE)))</f>
        <v>0</v>
      </c>
      <c r="AD608" s="8">
        <v>3</v>
      </c>
      <c r="AE608" s="8">
        <v>2</v>
      </c>
      <c r="AF608" s="8">
        <v>2</v>
      </c>
      <c r="AG608" s="8">
        <v>1</v>
      </c>
      <c r="AH608" s="8" t="str">
        <f t="shared" si="161"/>
        <v/>
      </c>
    </row>
    <row r="609" spans="1:34" x14ac:dyDescent="0.25">
      <c r="A609" s="29">
        <f t="shared" si="160"/>
        <v>0</v>
      </c>
      <c r="B609" s="29">
        <f t="shared" si="147"/>
        <v>0</v>
      </c>
      <c r="C609" s="29">
        <f t="shared" si="148"/>
        <v>0</v>
      </c>
      <c r="D609" s="29">
        <f t="shared" si="149"/>
        <v>0</v>
      </c>
      <c r="E609" s="29">
        <f t="shared" si="146"/>
        <v>0</v>
      </c>
      <c r="F609" s="29">
        <f t="shared" si="150"/>
        <v>0</v>
      </c>
      <c r="G609" s="29" t="str">
        <f t="shared" si="151"/>
        <v>offensive</v>
      </c>
      <c r="H609" s="16">
        <f t="shared" si="152"/>
        <v>0</v>
      </c>
      <c r="I609" s="16">
        <f t="shared" si="153"/>
        <v>0</v>
      </c>
      <c r="J609" s="16">
        <f t="shared" si="154"/>
        <v>0</v>
      </c>
      <c r="K609" s="16">
        <f t="shared" si="155"/>
        <v>0</v>
      </c>
      <c r="L609" s="67">
        <f t="shared" si="156"/>
        <v>0</v>
      </c>
      <c r="M609" s="4">
        <f t="shared" si="157"/>
        <v>0</v>
      </c>
      <c r="N609" s="4">
        <f t="shared" si="158"/>
        <v>0</v>
      </c>
      <c r="O609" s="4">
        <f t="shared" si="159"/>
        <v>0</v>
      </c>
      <c r="P609" s="4" t="e">
        <f>VLOOKUP(AJ601,'CIR Team Info'!$C$5:$E$44,2,FALSE)</f>
        <v>#N/A</v>
      </c>
      <c r="Q609" s="4" t="e">
        <f>VLOOKUP(AJ601,'CIR Team Info'!$C$5:$E$44,3,FALSE)</f>
        <v>#N/A</v>
      </c>
      <c r="R609" s="10" t="e">
        <f>VLOOKUP(AJ601,'FRC Site Data'!$B$3:$L$42,2,FALSE)</f>
        <v>#N/A</v>
      </c>
      <c r="S609" s="10" t="e">
        <f>VLOOKUP(AJ601,'FRC Site Data'!$B$3:$L$42,3,FALSE)</f>
        <v>#N/A</v>
      </c>
      <c r="T609" s="10" t="e">
        <f>VLOOKUP(AJ601,'FRC Site Data'!$B$3:$L$42,4,FALSE)</f>
        <v>#N/A</v>
      </c>
      <c r="U609" s="10" t="e">
        <f>VLOOKUP(AJ601,'FRC Site Data'!$B$3:$L$42,5,FALSE)</f>
        <v>#N/A</v>
      </c>
      <c r="V609" s="10" t="e">
        <f>VLOOKUP(AJ601,'FRC Site Data'!$B$3:$L$42,6,FALSE)</f>
        <v>#N/A</v>
      </c>
      <c r="W609" s="10" t="e">
        <f>VLOOKUP(AJ601,'FRC Site Data'!$B$3:$L$42,8,FALSE)</f>
        <v>#N/A</v>
      </c>
      <c r="X609" s="10" t="e">
        <f>VLOOKUP(AJ601,'FRC Site Data'!$B$3:$L$42,9,FALSE)</f>
        <v>#N/A</v>
      </c>
      <c r="Y609" s="10" t="e">
        <f>VLOOKUP(AJ601,'FRC Site Data'!$B$3:$L$42,10,FALSE)</f>
        <v>#N/A</v>
      </c>
      <c r="Z609" s="10" t="e">
        <f>VLOOKUP(AJ601,'FRC Site Data'!$B$3:$L$42,11,FALSE)</f>
        <v>#N/A</v>
      </c>
      <c r="AA609" s="10" t="e">
        <f>VLOOKUP(AJ601,'CIR Team Info'!$C$5:$E$44,4,FALSE)</f>
        <v>#N/A</v>
      </c>
      <c r="AB609" s="161" t="b">
        <f>ISNUMBER(VLOOKUP(AJ601,Match!$T$5:$T$10,1,FALSE))</f>
        <v>0</v>
      </c>
      <c r="AC609" s="161" t="b">
        <f>IF(AB609=TRUE,(VLOOKUP($AJ601,Match!$T$5:$U$10,2,FALSE)))</f>
        <v>0</v>
      </c>
      <c r="AD609" s="8">
        <v>3</v>
      </c>
      <c r="AE609" s="8">
        <v>2</v>
      </c>
      <c r="AF609" s="8">
        <v>2</v>
      </c>
      <c r="AG609" s="8">
        <v>1</v>
      </c>
      <c r="AH609" s="8" t="str">
        <f t="shared" si="161"/>
        <v/>
      </c>
    </row>
    <row r="610" spans="1:34" x14ac:dyDescent="0.25">
      <c r="A610" s="29">
        <f t="shared" si="160"/>
        <v>0</v>
      </c>
      <c r="B610" s="29">
        <f t="shared" si="147"/>
        <v>0</v>
      </c>
      <c r="C610" s="29">
        <f t="shared" si="148"/>
        <v>0</v>
      </c>
      <c r="D610" s="29">
        <f t="shared" si="149"/>
        <v>0</v>
      </c>
      <c r="E610" s="29">
        <f t="shared" si="146"/>
        <v>0</v>
      </c>
      <c r="F610" s="29">
        <f t="shared" si="150"/>
        <v>0</v>
      </c>
      <c r="G610" s="29" t="str">
        <f t="shared" si="151"/>
        <v>offensive</v>
      </c>
      <c r="H610" s="16">
        <f t="shared" si="152"/>
        <v>0</v>
      </c>
      <c r="I610" s="16">
        <f t="shared" si="153"/>
        <v>0</v>
      </c>
      <c r="J610" s="16">
        <f t="shared" si="154"/>
        <v>0</v>
      </c>
      <c r="K610" s="16">
        <f t="shared" si="155"/>
        <v>0</v>
      </c>
      <c r="L610" s="67">
        <f t="shared" si="156"/>
        <v>0</v>
      </c>
      <c r="M610" s="4">
        <f t="shared" si="157"/>
        <v>0</v>
      </c>
      <c r="N610" s="4">
        <f t="shared" si="158"/>
        <v>0</v>
      </c>
      <c r="O610" s="4">
        <f t="shared" si="159"/>
        <v>0</v>
      </c>
      <c r="P610" s="4" t="e">
        <f>VLOOKUP(AJ602,'CIR Team Info'!$C$5:$E$44,2,FALSE)</f>
        <v>#N/A</v>
      </c>
      <c r="Q610" s="4" t="e">
        <f>VLOOKUP(AJ602,'CIR Team Info'!$C$5:$E$44,3,FALSE)</f>
        <v>#N/A</v>
      </c>
      <c r="R610" s="10" t="e">
        <f>VLOOKUP(AJ602,'FRC Site Data'!$B$3:$L$42,2,FALSE)</f>
        <v>#N/A</v>
      </c>
      <c r="S610" s="10" t="e">
        <f>VLOOKUP(AJ602,'FRC Site Data'!$B$3:$L$42,3,FALSE)</f>
        <v>#N/A</v>
      </c>
      <c r="T610" s="10" t="e">
        <f>VLOOKUP(AJ602,'FRC Site Data'!$B$3:$L$42,4,FALSE)</f>
        <v>#N/A</v>
      </c>
      <c r="U610" s="10" t="e">
        <f>VLOOKUP(AJ602,'FRC Site Data'!$B$3:$L$42,5,FALSE)</f>
        <v>#N/A</v>
      </c>
      <c r="V610" s="10" t="e">
        <f>VLOOKUP(AJ602,'FRC Site Data'!$B$3:$L$42,6,FALSE)</f>
        <v>#N/A</v>
      </c>
      <c r="W610" s="10" t="e">
        <f>VLOOKUP(AJ602,'FRC Site Data'!$B$3:$L$42,8,FALSE)</f>
        <v>#N/A</v>
      </c>
      <c r="X610" s="10" t="e">
        <f>VLOOKUP(AJ602,'FRC Site Data'!$B$3:$L$42,9,FALSE)</f>
        <v>#N/A</v>
      </c>
      <c r="Y610" s="10" t="e">
        <f>VLOOKUP(AJ602,'FRC Site Data'!$B$3:$L$42,10,FALSE)</f>
        <v>#N/A</v>
      </c>
      <c r="Z610" s="10" t="e">
        <f>VLOOKUP(AJ602,'FRC Site Data'!$B$3:$L$42,11,FALSE)</f>
        <v>#N/A</v>
      </c>
      <c r="AA610" s="10" t="e">
        <f>VLOOKUP(AJ602,'CIR Team Info'!$C$5:$E$44,4,FALSE)</f>
        <v>#N/A</v>
      </c>
      <c r="AB610" s="161" t="b">
        <f>ISNUMBER(VLOOKUP(AJ602,Match!$T$5:$T$10,1,FALSE))</f>
        <v>0</v>
      </c>
      <c r="AC610" s="161" t="b">
        <f>IF(AB610=TRUE,(VLOOKUP($AJ602,Match!$T$5:$U$10,2,FALSE)))</f>
        <v>0</v>
      </c>
      <c r="AD610" s="8">
        <v>3</v>
      </c>
      <c r="AE610" s="8">
        <v>2</v>
      </c>
      <c r="AF610" s="8">
        <v>2</v>
      </c>
      <c r="AG610" s="8">
        <v>1</v>
      </c>
      <c r="AH610" s="8" t="str">
        <f t="shared" si="161"/>
        <v/>
      </c>
    </row>
    <row r="611" spans="1:34" x14ac:dyDescent="0.25">
      <c r="A611" s="29">
        <f t="shared" si="160"/>
        <v>0</v>
      </c>
      <c r="B611" s="29">
        <f t="shared" si="147"/>
        <v>0</v>
      </c>
      <c r="C611" s="29">
        <f t="shared" si="148"/>
        <v>0</v>
      </c>
      <c r="D611" s="29">
        <f t="shared" si="149"/>
        <v>0</v>
      </c>
      <c r="E611" s="29">
        <f t="shared" si="146"/>
        <v>0</v>
      </c>
      <c r="F611" s="29">
        <f t="shared" si="150"/>
        <v>0</v>
      </c>
      <c r="G611" s="29" t="str">
        <f t="shared" si="151"/>
        <v>offensive</v>
      </c>
      <c r="H611" s="16">
        <f t="shared" si="152"/>
        <v>0</v>
      </c>
      <c r="I611" s="16">
        <f t="shared" si="153"/>
        <v>0</v>
      </c>
      <c r="J611" s="16">
        <f t="shared" si="154"/>
        <v>0</v>
      </c>
      <c r="K611" s="16">
        <f t="shared" si="155"/>
        <v>0</v>
      </c>
      <c r="L611" s="67">
        <f t="shared" si="156"/>
        <v>0</v>
      </c>
      <c r="M611" s="4">
        <f t="shared" si="157"/>
        <v>0</v>
      </c>
      <c r="N611" s="4">
        <f t="shared" si="158"/>
        <v>0</v>
      </c>
      <c r="O611" s="4">
        <f t="shared" si="159"/>
        <v>0</v>
      </c>
      <c r="P611" s="4" t="e">
        <f>VLOOKUP(AJ603,'CIR Team Info'!$C$5:$E$44,2,FALSE)</f>
        <v>#N/A</v>
      </c>
      <c r="Q611" s="4" t="e">
        <f>VLOOKUP(AJ603,'CIR Team Info'!$C$5:$E$44,3,FALSE)</f>
        <v>#N/A</v>
      </c>
      <c r="R611" s="10" t="e">
        <f>VLOOKUP(AJ603,'FRC Site Data'!$B$3:$L$42,2,FALSE)</f>
        <v>#N/A</v>
      </c>
      <c r="S611" s="10" t="e">
        <f>VLOOKUP(AJ603,'FRC Site Data'!$B$3:$L$42,3,FALSE)</f>
        <v>#N/A</v>
      </c>
      <c r="T611" s="10" t="e">
        <f>VLOOKUP(AJ603,'FRC Site Data'!$B$3:$L$42,4,FALSE)</f>
        <v>#N/A</v>
      </c>
      <c r="U611" s="10" t="e">
        <f>VLOOKUP(AJ603,'FRC Site Data'!$B$3:$L$42,5,FALSE)</f>
        <v>#N/A</v>
      </c>
      <c r="V611" s="10" t="e">
        <f>VLOOKUP(AJ603,'FRC Site Data'!$B$3:$L$42,6,FALSE)</f>
        <v>#N/A</v>
      </c>
      <c r="W611" s="10" t="e">
        <f>VLOOKUP(AJ603,'FRC Site Data'!$B$3:$L$42,8,FALSE)</f>
        <v>#N/A</v>
      </c>
      <c r="X611" s="10" t="e">
        <f>VLOOKUP(AJ603,'FRC Site Data'!$B$3:$L$42,9,FALSE)</f>
        <v>#N/A</v>
      </c>
      <c r="Y611" s="10" t="e">
        <f>VLOOKUP(AJ603,'FRC Site Data'!$B$3:$L$42,10,FALSE)</f>
        <v>#N/A</v>
      </c>
      <c r="Z611" s="10" t="e">
        <f>VLOOKUP(AJ603,'FRC Site Data'!$B$3:$L$42,11,FALSE)</f>
        <v>#N/A</v>
      </c>
      <c r="AA611" s="10" t="e">
        <f>VLOOKUP(AJ603,'CIR Team Info'!$C$5:$E$44,4,FALSE)</f>
        <v>#N/A</v>
      </c>
      <c r="AB611" s="161" t="b">
        <f>ISNUMBER(VLOOKUP(AJ603,Match!$T$5:$T$10,1,FALSE))</f>
        <v>0</v>
      </c>
      <c r="AC611" s="161" t="b">
        <f>IF(AB611=TRUE,(VLOOKUP($AJ603,Match!$T$5:$U$10,2,FALSE)))</f>
        <v>0</v>
      </c>
      <c r="AD611" s="8">
        <v>3</v>
      </c>
      <c r="AE611" s="8">
        <v>2</v>
      </c>
      <c r="AF611" s="8">
        <v>2</v>
      </c>
      <c r="AG611" s="8">
        <v>1</v>
      </c>
      <c r="AH611" s="8" t="str">
        <f t="shared" si="161"/>
        <v/>
      </c>
    </row>
    <row r="612" spans="1:34" x14ac:dyDescent="0.25">
      <c r="A612" s="29">
        <f t="shared" si="160"/>
        <v>0</v>
      </c>
      <c r="B612" s="29">
        <f t="shared" si="147"/>
        <v>0</v>
      </c>
      <c r="C612" s="29">
        <f t="shared" si="148"/>
        <v>0</v>
      </c>
      <c r="D612" s="29">
        <f t="shared" si="149"/>
        <v>0</v>
      </c>
      <c r="E612" s="29">
        <f t="shared" si="146"/>
        <v>0</v>
      </c>
      <c r="F612" s="29">
        <f t="shared" si="150"/>
        <v>0</v>
      </c>
      <c r="G612" s="29" t="str">
        <f t="shared" si="151"/>
        <v>offensive</v>
      </c>
      <c r="H612" s="16">
        <f t="shared" si="152"/>
        <v>0</v>
      </c>
      <c r="I612" s="16">
        <f t="shared" si="153"/>
        <v>0</v>
      </c>
      <c r="J612" s="16">
        <f t="shared" si="154"/>
        <v>0</v>
      </c>
      <c r="K612" s="16">
        <f t="shared" si="155"/>
        <v>0</v>
      </c>
      <c r="L612" s="67">
        <f t="shared" si="156"/>
        <v>0</v>
      </c>
      <c r="M612" s="4">
        <f t="shared" si="157"/>
        <v>0</v>
      </c>
      <c r="N612" s="4">
        <f t="shared" si="158"/>
        <v>0</v>
      </c>
      <c r="O612" s="4">
        <f t="shared" si="159"/>
        <v>0</v>
      </c>
      <c r="P612" s="4" t="e">
        <f>VLOOKUP(AJ604,'CIR Team Info'!$C$5:$E$44,2,FALSE)</f>
        <v>#N/A</v>
      </c>
      <c r="Q612" s="4" t="e">
        <f>VLOOKUP(AJ604,'CIR Team Info'!$C$5:$E$44,3,FALSE)</f>
        <v>#N/A</v>
      </c>
      <c r="R612" s="10" t="e">
        <f>VLOOKUP(AJ604,'FRC Site Data'!$B$3:$L$42,2,FALSE)</f>
        <v>#N/A</v>
      </c>
      <c r="S612" s="10" t="e">
        <f>VLOOKUP(AJ604,'FRC Site Data'!$B$3:$L$42,3,FALSE)</f>
        <v>#N/A</v>
      </c>
      <c r="T612" s="10" t="e">
        <f>VLOOKUP(AJ604,'FRC Site Data'!$B$3:$L$42,4,FALSE)</f>
        <v>#N/A</v>
      </c>
      <c r="U612" s="10" t="e">
        <f>VLOOKUP(AJ604,'FRC Site Data'!$B$3:$L$42,5,FALSE)</f>
        <v>#N/A</v>
      </c>
      <c r="V612" s="10" t="e">
        <f>VLOOKUP(AJ604,'FRC Site Data'!$B$3:$L$42,6,FALSE)</f>
        <v>#N/A</v>
      </c>
      <c r="W612" s="10" t="e">
        <f>VLOOKUP(AJ604,'FRC Site Data'!$B$3:$L$42,8,FALSE)</f>
        <v>#N/A</v>
      </c>
      <c r="X612" s="10" t="e">
        <f>VLOOKUP(AJ604,'FRC Site Data'!$B$3:$L$42,9,FALSE)</f>
        <v>#N/A</v>
      </c>
      <c r="Y612" s="10" t="e">
        <f>VLOOKUP(AJ604,'FRC Site Data'!$B$3:$L$42,10,FALSE)</f>
        <v>#N/A</v>
      </c>
      <c r="Z612" s="10" t="e">
        <f>VLOOKUP(AJ604,'FRC Site Data'!$B$3:$L$42,11,FALSE)</f>
        <v>#N/A</v>
      </c>
      <c r="AA612" s="10" t="e">
        <f>VLOOKUP(AJ604,'CIR Team Info'!$C$5:$E$44,4,FALSE)</f>
        <v>#N/A</v>
      </c>
      <c r="AB612" s="161" t="b">
        <f>ISNUMBER(VLOOKUP(AJ604,Match!$T$5:$T$10,1,FALSE))</f>
        <v>0</v>
      </c>
      <c r="AC612" s="161" t="b">
        <f>IF(AB612=TRUE,(VLOOKUP($AJ604,Match!$T$5:$U$10,2,FALSE)))</f>
        <v>0</v>
      </c>
      <c r="AD612" s="8">
        <v>3</v>
      </c>
      <c r="AE612" s="8">
        <v>2</v>
      </c>
      <c r="AF612" s="8">
        <v>2</v>
      </c>
      <c r="AG612" s="8">
        <v>1</v>
      </c>
      <c r="AH612" s="8" t="str">
        <f t="shared" si="161"/>
        <v/>
      </c>
    </row>
    <row r="613" spans="1:34" x14ac:dyDescent="0.25">
      <c r="A613" s="29">
        <f t="shared" si="160"/>
        <v>0</v>
      </c>
      <c r="B613" s="29">
        <f t="shared" si="147"/>
        <v>0</v>
      </c>
      <c r="C613" s="29">
        <f t="shared" si="148"/>
        <v>0</v>
      </c>
      <c r="D613" s="29">
        <f t="shared" si="149"/>
        <v>0</v>
      </c>
      <c r="E613" s="29">
        <f t="shared" si="146"/>
        <v>0</v>
      </c>
      <c r="F613" s="29">
        <f t="shared" si="150"/>
        <v>0</v>
      </c>
      <c r="G613" s="29" t="str">
        <f t="shared" si="151"/>
        <v>offensive</v>
      </c>
      <c r="H613" s="16">
        <f t="shared" si="152"/>
        <v>0</v>
      </c>
      <c r="I613" s="16">
        <f t="shared" si="153"/>
        <v>0</v>
      </c>
      <c r="J613" s="16">
        <f t="shared" si="154"/>
        <v>0</v>
      </c>
      <c r="K613" s="16">
        <f t="shared" si="155"/>
        <v>0</v>
      </c>
      <c r="L613" s="67">
        <f t="shared" si="156"/>
        <v>0</v>
      </c>
      <c r="M613" s="4">
        <f t="shared" si="157"/>
        <v>0</v>
      </c>
      <c r="N613" s="4">
        <f t="shared" si="158"/>
        <v>0</v>
      </c>
      <c r="O613" s="4">
        <f t="shared" si="159"/>
        <v>0</v>
      </c>
      <c r="P613" s="4" t="e">
        <f>VLOOKUP(AJ605,'CIR Team Info'!$C$5:$E$44,2,FALSE)</f>
        <v>#N/A</v>
      </c>
      <c r="Q613" s="4" t="e">
        <f>VLOOKUP(AJ605,'CIR Team Info'!$C$5:$E$44,3,FALSE)</f>
        <v>#N/A</v>
      </c>
      <c r="R613" s="10" t="e">
        <f>VLOOKUP(AJ605,'FRC Site Data'!$B$3:$L$42,2,FALSE)</f>
        <v>#N/A</v>
      </c>
      <c r="S613" s="10" t="e">
        <f>VLOOKUP(AJ605,'FRC Site Data'!$B$3:$L$42,3,FALSE)</f>
        <v>#N/A</v>
      </c>
      <c r="T613" s="10" t="e">
        <f>VLOOKUP(AJ605,'FRC Site Data'!$B$3:$L$42,4,FALSE)</f>
        <v>#N/A</v>
      </c>
      <c r="U613" s="10" t="e">
        <f>VLOOKUP(AJ605,'FRC Site Data'!$B$3:$L$42,5,FALSE)</f>
        <v>#N/A</v>
      </c>
      <c r="V613" s="10" t="e">
        <f>VLOOKUP(AJ605,'FRC Site Data'!$B$3:$L$42,6,FALSE)</f>
        <v>#N/A</v>
      </c>
      <c r="W613" s="10" t="e">
        <f>VLOOKUP(AJ605,'FRC Site Data'!$B$3:$L$42,8,FALSE)</f>
        <v>#N/A</v>
      </c>
      <c r="X613" s="10" t="e">
        <f>VLOOKUP(AJ605,'FRC Site Data'!$B$3:$L$42,9,FALSE)</f>
        <v>#N/A</v>
      </c>
      <c r="Y613" s="10" t="e">
        <f>VLOOKUP(AJ605,'FRC Site Data'!$B$3:$L$42,10,FALSE)</f>
        <v>#N/A</v>
      </c>
      <c r="Z613" s="10" t="e">
        <f>VLOOKUP(AJ605,'FRC Site Data'!$B$3:$L$42,11,FALSE)</f>
        <v>#N/A</v>
      </c>
      <c r="AA613" s="10" t="e">
        <f>VLOOKUP(AJ605,'CIR Team Info'!$C$5:$E$44,4,FALSE)</f>
        <v>#N/A</v>
      </c>
      <c r="AB613" s="161" t="b">
        <f>ISNUMBER(VLOOKUP(AJ605,Match!$T$5:$T$10,1,FALSE))</f>
        <v>0</v>
      </c>
      <c r="AC613" s="161" t="b">
        <f>IF(AB613=TRUE,(VLOOKUP($AJ605,Match!$T$5:$U$10,2,FALSE)))</f>
        <v>0</v>
      </c>
      <c r="AD613" s="8">
        <v>3</v>
      </c>
      <c r="AE613" s="8">
        <v>2</v>
      </c>
      <c r="AF613" s="8">
        <v>2</v>
      </c>
      <c r="AG613" s="8">
        <v>1</v>
      </c>
      <c r="AH613" s="8" t="str">
        <f t="shared" si="161"/>
        <v/>
      </c>
    </row>
    <row r="614" spans="1:34" x14ac:dyDescent="0.25">
      <c r="A614" s="29">
        <f t="shared" si="160"/>
        <v>0</v>
      </c>
      <c r="B614" s="29">
        <f t="shared" si="147"/>
        <v>0</v>
      </c>
      <c r="C614" s="29">
        <f t="shared" si="148"/>
        <v>0</v>
      </c>
      <c r="D614" s="29">
        <f t="shared" si="149"/>
        <v>0</v>
      </c>
      <c r="E614" s="29">
        <f t="shared" si="146"/>
        <v>0</v>
      </c>
      <c r="F614" s="29">
        <f t="shared" si="150"/>
        <v>0</v>
      </c>
      <c r="G614" s="29" t="str">
        <f t="shared" si="151"/>
        <v>offensive</v>
      </c>
      <c r="H614" s="16">
        <f t="shared" si="152"/>
        <v>0</v>
      </c>
      <c r="I614" s="16">
        <f t="shared" si="153"/>
        <v>0</v>
      </c>
      <c r="J614" s="16">
        <f t="shared" si="154"/>
        <v>0</v>
      </c>
      <c r="K614" s="16">
        <f t="shared" si="155"/>
        <v>0</v>
      </c>
      <c r="L614" s="67">
        <f t="shared" si="156"/>
        <v>0</v>
      </c>
      <c r="M614" s="4">
        <f t="shared" si="157"/>
        <v>0</v>
      </c>
      <c r="N614" s="4">
        <f t="shared" si="158"/>
        <v>0</v>
      </c>
      <c r="O614" s="4">
        <f t="shared" si="159"/>
        <v>0</v>
      </c>
      <c r="P614" s="4" t="e">
        <f>VLOOKUP(AJ606,'CIR Team Info'!$C$5:$E$44,2,FALSE)</f>
        <v>#N/A</v>
      </c>
      <c r="Q614" s="4" t="e">
        <f>VLOOKUP(AJ606,'CIR Team Info'!$C$5:$E$44,3,FALSE)</f>
        <v>#N/A</v>
      </c>
      <c r="R614" s="10" t="e">
        <f>VLOOKUP(AJ606,'FRC Site Data'!$B$3:$L$42,2,FALSE)</f>
        <v>#N/A</v>
      </c>
      <c r="S614" s="10" t="e">
        <f>VLOOKUP(AJ606,'FRC Site Data'!$B$3:$L$42,3,FALSE)</f>
        <v>#N/A</v>
      </c>
      <c r="T614" s="10" t="e">
        <f>VLOOKUP(AJ606,'FRC Site Data'!$B$3:$L$42,4,FALSE)</f>
        <v>#N/A</v>
      </c>
      <c r="U614" s="10" t="e">
        <f>VLOOKUP(AJ606,'FRC Site Data'!$B$3:$L$42,5,FALSE)</f>
        <v>#N/A</v>
      </c>
      <c r="V614" s="10" t="e">
        <f>VLOOKUP(AJ606,'FRC Site Data'!$B$3:$L$42,6,FALSE)</f>
        <v>#N/A</v>
      </c>
      <c r="W614" s="10" t="e">
        <f>VLOOKUP(AJ606,'FRC Site Data'!$B$3:$L$42,8,FALSE)</f>
        <v>#N/A</v>
      </c>
      <c r="X614" s="10" t="e">
        <f>VLOOKUP(AJ606,'FRC Site Data'!$B$3:$L$42,9,FALSE)</f>
        <v>#N/A</v>
      </c>
      <c r="Y614" s="10" t="e">
        <f>VLOOKUP(AJ606,'FRC Site Data'!$B$3:$L$42,10,FALSE)</f>
        <v>#N/A</v>
      </c>
      <c r="Z614" s="10" t="e">
        <f>VLOOKUP(AJ606,'FRC Site Data'!$B$3:$L$42,11,FALSE)</f>
        <v>#N/A</v>
      </c>
      <c r="AA614" s="10" t="e">
        <f>VLOOKUP(AJ606,'CIR Team Info'!$C$5:$E$44,4,FALSE)</f>
        <v>#N/A</v>
      </c>
      <c r="AB614" s="161" t="b">
        <f>ISNUMBER(VLOOKUP(AJ606,Match!$T$5:$T$10,1,FALSE))</f>
        <v>0</v>
      </c>
      <c r="AC614" s="161" t="b">
        <f>IF(AB614=TRUE,(VLOOKUP($AJ606,Match!$T$5:$U$10,2,FALSE)))</f>
        <v>0</v>
      </c>
      <c r="AD614" s="8">
        <v>3</v>
      </c>
      <c r="AE614" s="8">
        <v>2</v>
      </c>
      <c r="AF614" s="8">
        <v>2</v>
      </c>
      <c r="AG614" s="8">
        <v>1</v>
      </c>
      <c r="AH614" s="8" t="str">
        <f t="shared" si="161"/>
        <v/>
      </c>
    </row>
    <row r="615" spans="1:34" x14ac:dyDescent="0.25">
      <c r="A615" s="29">
        <f t="shared" si="160"/>
        <v>0</v>
      </c>
      <c r="B615" s="29">
        <f t="shared" si="147"/>
        <v>0</v>
      </c>
      <c r="C615" s="29">
        <f t="shared" si="148"/>
        <v>0</v>
      </c>
      <c r="D615" s="29">
        <f t="shared" si="149"/>
        <v>0</v>
      </c>
      <c r="E615" s="29">
        <f t="shared" si="146"/>
        <v>0</v>
      </c>
      <c r="F615" s="29">
        <f t="shared" si="150"/>
        <v>0</v>
      </c>
      <c r="G615" s="29" t="str">
        <f t="shared" si="151"/>
        <v>offensive</v>
      </c>
      <c r="H615" s="16">
        <f t="shared" si="152"/>
        <v>0</v>
      </c>
      <c r="I615" s="16">
        <f t="shared" si="153"/>
        <v>0</v>
      </c>
      <c r="J615" s="16">
        <f t="shared" si="154"/>
        <v>0</v>
      </c>
      <c r="K615" s="16">
        <f t="shared" si="155"/>
        <v>0</v>
      </c>
      <c r="L615" s="67">
        <f t="shared" si="156"/>
        <v>0</v>
      </c>
      <c r="M615" s="4">
        <f t="shared" si="157"/>
        <v>0</v>
      </c>
      <c r="N615" s="4">
        <f t="shared" si="158"/>
        <v>0</v>
      </c>
      <c r="O615" s="4">
        <f t="shared" si="159"/>
        <v>0</v>
      </c>
      <c r="P615" s="4" t="e">
        <f>VLOOKUP(AJ607,'CIR Team Info'!$C$5:$E$44,2,FALSE)</f>
        <v>#N/A</v>
      </c>
      <c r="Q615" s="4" t="e">
        <f>VLOOKUP(AJ607,'CIR Team Info'!$C$5:$E$44,3,FALSE)</f>
        <v>#N/A</v>
      </c>
      <c r="R615" s="10" t="e">
        <f>VLOOKUP(AJ607,'FRC Site Data'!$B$3:$L$42,2,FALSE)</f>
        <v>#N/A</v>
      </c>
      <c r="S615" s="10" t="e">
        <f>VLOOKUP(AJ607,'FRC Site Data'!$B$3:$L$42,3,FALSE)</f>
        <v>#N/A</v>
      </c>
      <c r="T615" s="10" t="e">
        <f>VLOOKUP(AJ607,'FRC Site Data'!$B$3:$L$42,4,FALSE)</f>
        <v>#N/A</v>
      </c>
      <c r="U615" s="10" t="e">
        <f>VLOOKUP(AJ607,'FRC Site Data'!$B$3:$L$42,5,FALSE)</f>
        <v>#N/A</v>
      </c>
      <c r="V615" s="10" t="e">
        <f>VLOOKUP(AJ607,'FRC Site Data'!$B$3:$L$42,6,FALSE)</f>
        <v>#N/A</v>
      </c>
      <c r="W615" s="10" t="e">
        <f>VLOOKUP(AJ607,'FRC Site Data'!$B$3:$L$42,8,FALSE)</f>
        <v>#N/A</v>
      </c>
      <c r="X615" s="10" t="e">
        <f>VLOOKUP(AJ607,'FRC Site Data'!$B$3:$L$42,9,FALSE)</f>
        <v>#N/A</v>
      </c>
      <c r="Y615" s="10" t="e">
        <f>VLOOKUP(AJ607,'FRC Site Data'!$B$3:$L$42,10,FALSE)</f>
        <v>#N/A</v>
      </c>
      <c r="Z615" s="10" t="e">
        <f>VLOOKUP(AJ607,'FRC Site Data'!$B$3:$L$42,11,FALSE)</f>
        <v>#N/A</v>
      </c>
      <c r="AA615" s="10" t="e">
        <f>VLOOKUP(AJ607,'CIR Team Info'!$C$5:$E$44,4,FALSE)</f>
        <v>#N/A</v>
      </c>
      <c r="AB615" s="161" t="b">
        <f>ISNUMBER(VLOOKUP(AJ607,Match!$T$5:$T$10,1,FALSE))</f>
        <v>0</v>
      </c>
      <c r="AC615" s="161" t="b">
        <f>IF(AB615=TRUE,(VLOOKUP($AJ607,Match!$T$5:$U$10,2,FALSE)))</f>
        <v>0</v>
      </c>
      <c r="AD615" s="8">
        <v>3</v>
      </c>
      <c r="AE615" s="8">
        <v>2</v>
      </c>
      <c r="AF615" s="8">
        <v>2</v>
      </c>
      <c r="AG615" s="8">
        <v>1</v>
      </c>
      <c r="AH615" s="8" t="str">
        <f t="shared" si="161"/>
        <v/>
      </c>
    </row>
    <row r="616" spans="1:34" x14ac:dyDescent="0.25">
      <c r="A616" s="29">
        <f t="shared" si="160"/>
        <v>0</v>
      </c>
      <c r="B616" s="29">
        <f t="shared" si="147"/>
        <v>0</v>
      </c>
      <c r="C616" s="29">
        <f t="shared" si="148"/>
        <v>0</v>
      </c>
      <c r="D616" s="29">
        <f t="shared" si="149"/>
        <v>0</v>
      </c>
      <c r="E616" s="29">
        <f t="shared" si="146"/>
        <v>0</v>
      </c>
      <c r="F616" s="29">
        <f t="shared" si="150"/>
        <v>0</v>
      </c>
      <c r="G616" s="29" t="str">
        <f t="shared" si="151"/>
        <v>offensive</v>
      </c>
      <c r="H616" s="16">
        <f t="shared" si="152"/>
        <v>0</v>
      </c>
      <c r="I616" s="16">
        <f t="shared" si="153"/>
        <v>0</v>
      </c>
      <c r="J616" s="16">
        <f t="shared" si="154"/>
        <v>0</v>
      </c>
      <c r="K616" s="16">
        <f t="shared" si="155"/>
        <v>0</v>
      </c>
      <c r="L616" s="67">
        <f t="shared" si="156"/>
        <v>0</v>
      </c>
      <c r="M616" s="4">
        <f t="shared" si="157"/>
        <v>0</v>
      </c>
      <c r="N616" s="4">
        <f t="shared" si="158"/>
        <v>0</v>
      </c>
      <c r="O616" s="4">
        <f t="shared" si="159"/>
        <v>0</v>
      </c>
      <c r="P616" s="4" t="e">
        <f>VLOOKUP(AJ608,'CIR Team Info'!$C$5:$E$44,2,FALSE)</f>
        <v>#N/A</v>
      </c>
      <c r="Q616" s="4" t="e">
        <f>VLOOKUP(AJ608,'CIR Team Info'!$C$5:$E$44,3,FALSE)</f>
        <v>#N/A</v>
      </c>
      <c r="R616" s="10" t="e">
        <f>VLOOKUP(AJ608,'FRC Site Data'!$B$3:$L$42,2,FALSE)</f>
        <v>#N/A</v>
      </c>
      <c r="S616" s="10" t="e">
        <f>VLOOKUP(AJ608,'FRC Site Data'!$B$3:$L$42,3,FALSE)</f>
        <v>#N/A</v>
      </c>
      <c r="T616" s="10" t="e">
        <f>VLOOKUP(AJ608,'FRC Site Data'!$B$3:$L$42,4,FALSE)</f>
        <v>#N/A</v>
      </c>
      <c r="U616" s="10" t="e">
        <f>VLOOKUP(AJ608,'FRC Site Data'!$B$3:$L$42,5,FALSE)</f>
        <v>#N/A</v>
      </c>
      <c r="V616" s="10" t="e">
        <f>VLOOKUP(AJ608,'FRC Site Data'!$B$3:$L$42,6,FALSE)</f>
        <v>#N/A</v>
      </c>
      <c r="W616" s="10" t="e">
        <f>VLOOKUP(AJ608,'FRC Site Data'!$B$3:$L$42,8,FALSE)</f>
        <v>#N/A</v>
      </c>
      <c r="X616" s="10" t="e">
        <f>VLOOKUP(AJ608,'FRC Site Data'!$B$3:$L$42,9,FALSE)</f>
        <v>#N/A</v>
      </c>
      <c r="Y616" s="10" t="e">
        <f>VLOOKUP(AJ608,'FRC Site Data'!$B$3:$L$42,10,FALSE)</f>
        <v>#N/A</v>
      </c>
      <c r="Z616" s="10" t="e">
        <f>VLOOKUP(AJ608,'FRC Site Data'!$B$3:$L$42,11,FALSE)</f>
        <v>#N/A</v>
      </c>
      <c r="AA616" s="10" t="e">
        <f>VLOOKUP(AJ608,'CIR Team Info'!$C$5:$E$44,4,FALSE)</f>
        <v>#N/A</v>
      </c>
      <c r="AB616" s="161" t="b">
        <f>ISNUMBER(VLOOKUP(AJ608,Match!$T$5:$T$10,1,FALSE))</f>
        <v>0</v>
      </c>
      <c r="AC616" s="161" t="b">
        <f>IF(AB616=TRUE,(VLOOKUP($AJ608,Match!$T$5:$U$10,2,FALSE)))</f>
        <v>0</v>
      </c>
      <c r="AD616" s="8">
        <v>3</v>
      </c>
      <c r="AE616" s="8">
        <v>2</v>
      </c>
      <c r="AF616" s="8">
        <v>2</v>
      </c>
      <c r="AG616" s="8">
        <v>1</v>
      </c>
      <c r="AH616" s="8" t="str">
        <f t="shared" si="161"/>
        <v/>
      </c>
    </row>
    <row r="617" spans="1:34" x14ac:dyDescent="0.25">
      <c r="A617" s="29">
        <f t="shared" si="160"/>
        <v>0</v>
      </c>
      <c r="B617" s="29">
        <f t="shared" si="147"/>
        <v>0</v>
      </c>
      <c r="C617" s="29">
        <f t="shared" si="148"/>
        <v>0</v>
      </c>
      <c r="D617" s="29">
        <f t="shared" si="149"/>
        <v>0</v>
      </c>
      <c r="E617" s="29">
        <f t="shared" si="146"/>
        <v>0</v>
      </c>
      <c r="F617" s="29">
        <f t="shared" si="150"/>
        <v>0</v>
      </c>
      <c r="G617" s="29" t="str">
        <f t="shared" si="151"/>
        <v>offensive</v>
      </c>
      <c r="H617" s="16">
        <f t="shared" si="152"/>
        <v>0</v>
      </c>
      <c r="I617" s="16">
        <f t="shared" si="153"/>
        <v>0</v>
      </c>
      <c r="J617" s="16">
        <f t="shared" si="154"/>
        <v>0</v>
      </c>
      <c r="K617" s="16">
        <f t="shared" si="155"/>
        <v>0</v>
      </c>
      <c r="L617" s="67">
        <f t="shared" si="156"/>
        <v>0</v>
      </c>
      <c r="M617" s="4">
        <f t="shared" si="157"/>
        <v>0</v>
      </c>
      <c r="N617" s="4">
        <f t="shared" si="158"/>
        <v>0</v>
      </c>
      <c r="O617" s="4">
        <f t="shared" si="159"/>
        <v>0</v>
      </c>
      <c r="P617" s="4" t="e">
        <f>VLOOKUP(AJ609,'CIR Team Info'!$C$5:$E$44,2,FALSE)</f>
        <v>#N/A</v>
      </c>
      <c r="Q617" s="4" t="e">
        <f>VLOOKUP(AJ609,'CIR Team Info'!$C$5:$E$44,3,FALSE)</f>
        <v>#N/A</v>
      </c>
      <c r="R617" s="10" t="e">
        <f>VLOOKUP(AJ609,'FRC Site Data'!$B$3:$L$42,2,FALSE)</f>
        <v>#N/A</v>
      </c>
      <c r="S617" s="10" t="e">
        <f>VLOOKUP(AJ609,'FRC Site Data'!$B$3:$L$42,3,FALSE)</f>
        <v>#N/A</v>
      </c>
      <c r="T617" s="10" t="e">
        <f>VLOOKUP(AJ609,'FRC Site Data'!$B$3:$L$42,4,FALSE)</f>
        <v>#N/A</v>
      </c>
      <c r="U617" s="10" t="e">
        <f>VLOOKUP(AJ609,'FRC Site Data'!$B$3:$L$42,5,FALSE)</f>
        <v>#N/A</v>
      </c>
      <c r="V617" s="10" t="e">
        <f>VLOOKUP(AJ609,'FRC Site Data'!$B$3:$L$42,6,FALSE)</f>
        <v>#N/A</v>
      </c>
      <c r="W617" s="10" t="e">
        <f>VLOOKUP(AJ609,'FRC Site Data'!$B$3:$L$42,8,FALSE)</f>
        <v>#N/A</v>
      </c>
      <c r="X617" s="10" t="e">
        <f>VLOOKUP(AJ609,'FRC Site Data'!$B$3:$L$42,9,FALSE)</f>
        <v>#N/A</v>
      </c>
      <c r="Y617" s="10" t="e">
        <f>VLOOKUP(AJ609,'FRC Site Data'!$B$3:$L$42,10,FALSE)</f>
        <v>#N/A</v>
      </c>
      <c r="Z617" s="10" t="e">
        <f>VLOOKUP(AJ609,'FRC Site Data'!$B$3:$L$42,11,FALSE)</f>
        <v>#N/A</v>
      </c>
      <c r="AA617" s="10" t="e">
        <f>VLOOKUP(AJ609,'CIR Team Info'!$C$5:$E$44,4,FALSE)</f>
        <v>#N/A</v>
      </c>
      <c r="AB617" s="161" t="b">
        <f>ISNUMBER(VLOOKUP(AJ609,Match!$T$5:$T$10,1,FALSE))</f>
        <v>0</v>
      </c>
      <c r="AC617" s="161" t="b">
        <f>IF(AB617=TRUE,(VLOOKUP($AJ609,Match!$T$5:$U$10,2,FALSE)))</f>
        <v>0</v>
      </c>
      <c r="AD617" s="8">
        <v>3</v>
      </c>
      <c r="AE617" s="8">
        <v>2</v>
      </c>
      <c r="AF617" s="8">
        <v>2</v>
      </c>
      <c r="AG617" s="8">
        <v>1</v>
      </c>
      <c r="AH617" s="8" t="str">
        <f t="shared" si="161"/>
        <v/>
      </c>
    </row>
    <row r="618" spans="1:34" x14ac:dyDescent="0.25">
      <c r="A618" s="29">
        <f t="shared" si="160"/>
        <v>0</v>
      </c>
      <c r="B618" s="29">
        <f t="shared" si="147"/>
        <v>0</v>
      </c>
      <c r="C618" s="29">
        <f t="shared" si="148"/>
        <v>0</v>
      </c>
      <c r="D618" s="29">
        <f t="shared" si="149"/>
        <v>0</v>
      </c>
      <c r="E618" s="29">
        <f t="shared" si="146"/>
        <v>0</v>
      </c>
      <c r="F618" s="29">
        <f t="shared" si="150"/>
        <v>0</v>
      </c>
      <c r="G618" s="29" t="str">
        <f t="shared" si="151"/>
        <v>offensive</v>
      </c>
      <c r="H618" s="16">
        <f t="shared" si="152"/>
        <v>0</v>
      </c>
      <c r="I618" s="16">
        <f t="shared" si="153"/>
        <v>0</v>
      </c>
      <c r="J618" s="16">
        <f t="shared" si="154"/>
        <v>0</v>
      </c>
      <c r="K618" s="16">
        <f t="shared" si="155"/>
        <v>0</v>
      </c>
      <c r="L618" s="67">
        <f t="shared" si="156"/>
        <v>0</v>
      </c>
      <c r="M618" s="4">
        <f t="shared" si="157"/>
        <v>0</v>
      </c>
      <c r="N618" s="4">
        <f t="shared" si="158"/>
        <v>0</v>
      </c>
      <c r="O618" s="4">
        <f t="shared" si="159"/>
        <v>0</v>
      </c>
      <c r="P618" s="4" t="e">
        <f>VLOOKUP(AJ610,'CIR Team Info'!$C$5:$E$44,2,FALSE)</f>
        <v>#N/A</v>
      </c>
      <c r="Q618" s="4" t="e">
        <f>VLOOKUP(AJ610,'CIR Team Info'!$C$5:$E$44,3,FALSE)</f>
        <v>#N/A</v>
      </c>
      <c r="R618" s="10" t="e">
        <f>VLOOKUP(AJ610,'FRC Site Data'!$B$3:$L$42,2,FALSE)</f>
        <v>#N/A</v>
      </c>
      <c r="S618" s="10" t="e">
        <f>VLOOKUP(AJ610,'FRC Site Data'!$B$3:$L$42,3,FALSE)</f>
        <v>#N/A</v>
      </c>
      <c r="T618" s="10" t="e">
        <f>VLOOKUP(AJ610,'FRC Site Data'!$B$3:$L$42,4,FALSE)</f>
        <v>#N/A</v>
      </c>
      <c r="U618" s="10" t="e">
        <f>VLOOKUP(AJ610,'FRC Site Data'!$B$3:$L$42,5,FALSE)</f>
        <v>#N/A</v>
      </c>
      <c r="V618" s="10" t="e">
        <f>VLOOKUP(AJ610,'FRC Site Data'!$B$3:$L$42,6,FALSE)</f>
        <v>#N/A</v>
      </c>
      <c r="W618" s="10" t="e">
        <f>VLOOKUP(AJ610,'FRC Site Data'!$B$3:$L$42,8,FALSE)</f>
        <v>#N/A</v>
      </c>
      <c r="X618" s="10" t="e">
        <f>VLOOKUP(AJ610,'FRC Site Data'!$B$3:$L$42,9,FALSE)</f>
        <v>#N/A</v>
      </c>
      <c r="Y618" s="10" t="e">
        <f>VLOOKUP(AJ610,'FRC Site Data'!$B$3:$L$42,10,FALSE)</f>
        <v>#N/A</v>
      </c>
      <c r="Z618" s="10" t="e">
        <f>VLOOKUP(AJ610,'FRC Site Data'!$B$3:$L$42,11,FALSE)</f>
        <v>#N/A</v>
      </c>
      <c r="AA618" s="10" t="e">
        <f>VLOOKUP(AJ610,'CIR Team Info'!$C$5:$E$44,4,FALSE)</f>
        <v>#N/A</v>
      </c>
      <c r="AB618" s="161" t="b">
        <f>ISNUMBER(VLOOKUP(AJ610,Match!$T$5:$T$10,1,FALSE))</f>
        <v>0</v>
      </c>
      <c r="AC618" s="161" t="b">
        <f>IF(AB618=TRUE,(VLOOKUP($AJ610,Match!$T$5:$U$10,2,FALSE)))</f>
        <v>0</v>
      </c>
      <c r="AD618" s="8">
        <v>3</v>
      </c>
      <c r="AE618" s="8">
        <v>2</v>
      </c>
      <c r="AF618" s="8">
        <v>2</v>
      </c>
      <c r="AG618" s="8">
        <v>1</v>
      </c>
      <c r="AH618" s="8" t="str">
        <f t="shared" si="161"/>
        <v/>
      </c>
    </row>
    <row r="619" spans="1:34" x14ac:dyDescent="0.25">
      <c r="A619" s="29">
        <f t="shared" si="160"/>
        <v>0</v>
      </c>
      <c r="B619" s="29">
        <f t="shared" si="147"/>
        <v>0</v>
      </c>
      <c r="C619" s="29">
        <f t="shared" si="148"/>
        <v>0</v>
      </c>
      <c r="D619" s="29">
        <f t="shared" si="149"/>
        <v>0</v>
      </c>
      <c r="E619" s="29">
        <f t="shared" si="146"/>
        <v>0</v>
      </c>
      <c r="F619" s="29">
        <f t="shared" si="150"/>
        <v>0</v>
      </c>
      <c r="G619" s="29" t="str">
        <f t="shared" si="151"/>
        <v>offensive</v>
      </c>
      <c r="H619" s="16">
        <f t="shared" si="152"/>
        <v>0</v>
      </c>
      <c r="I619" s="16">
        <f t="shared" si="153"/>
        <v>0</v>
      </c>
      <c r="J619" s="16">
        <f t="shared" si="154"/>
        <v>0</v>
      </c>
      <c r="K619" s="16">
        <f t="shared" si="155"/>
        <v>0</v>
      </c>
      <c r="L619" s="67">
        <f t="shared" si="156"/>
        <v>0</v>
      </c>
      <c r="M619" s="4">
        <f t="shared" si="157"/>
        <v>0</v>
      </c>
      <c r="N619" s="4">
        <f t="shared" si="158"/>
        <v>0</v>
      </c>
      <c r="O619" s="4">
        <f t="shared" si="159"/>
        <v>0</v>
      </c>
      <c r="P619" s="4" t="e">
        <f>VLOOKUP(AJ611,'CIR Team Info'!$C$5:$E$44,2,FALSE)</f>
        <v>#N/A</v>
      </c>
      <c r="Q619" s="4" t="e">
        <f>VLOOKUP(AJ611,'CIR Team Info'!$C$5:$E$44,3,FALSE)</f>
        <v>#N/A</v>
      </c>
      <c r="R619" s="10" t="e">
        <f>VLOOKUP(AJ611,'FRC Site Data'!$B$3:$L$42,2,FALSE)</f>
        <v>#N/A</v>
      </c>
      <c r="S619" s="10" t="e">
        <f>VLOOKUP(AJ611,'FRC Site Data'!$B$3:$L$42,3,FALSE)</f>
        <v>#N/A</v>
      </c>
      <c r="T619" s="10" t="e">
        <f>VLOOKUP(AJ611,'FRC Site Data'!$B$3:$L$42,4,FALSE)</f>
        <v>#N/A</v>
      </c>
      <c r="U619" s="10" t="e">
        <f>VLOOKUP(AJ611,'FRC Site Data'!$B$3:$L$42,5,FALSE)</f>
        <v>#N/A</v>
      </c>
      <c r="V619" s="10" t="e">
        <f>VLOOKUP(AJ611,'FRC Site Data'!$B$3:$L$42,6,FALSE)</f>
        <v>#N/A</v>
      </c>
      <c r="W619" s="10" t="e">
        <f>VLOOKUP(AJ611,'FRC Site Data'!$B$3:$L$42,8,FALSE)</f>
        <v>#N/A</v>
      </c>
      <c r="X619" s="10" t="e">
        <f>VLOOKUP(AJ611,'FRC Site Data'!$B$3:$L$42,9,FALSE)</f>
        <v>#N/A</v>
      </c>
      <c r="Y619" s="10" t="e">
        <f>VLOOKUP(AJ611,'FRC Site Data'!$B$3:$L$42,10,FALSE)</f>
        <v>#N/A</v>
      </c>
      <c r="Z619" s="10" t="e">
        <f>VLOOKUP(AJ611,'FRC Site Data'!$B$3:$L$42,11,FALSE)</f>
        <v>#N/A</v>
      </c>
      <c r="AA619" s="10" t="e">
        <f>VLOOKUP(AJ611,'CIR Team Info'!$C$5:$E$44,4,FALSE)</f>
        <v>#N/A</v>
      </c>
      <c r="AB619" s="161" t="b">
        <f>ISNUMBER(VLOOKUP(AJ611,Match!$T$5:$T$10,1,FALSE))</f>
        <v>0</v>
      </c>
      <c r="AC619" s="161" t="b">
        <f>IF(AB619=TRUE,(VLOOKUP($AJ611,Match!$T$5:$U$10,2,FALSE)))</f>
        <v>0</v>
      </c>
      <c r="AD619" s="8">
        <v>3</v>
      </c>
      <c r="AE619" s="8">
        <v>2</v>
      </c>
      <c r="AF619" s="8">
        <v>2</v>
      </c>
      <c r="AG619" s="8">
        <v>1</v>
      </c>
      <c r="AH619" s="8" t="str">
        <f t="shared" si="161"/>
        <v/>
      </c>
    </row>
    <row r="620" spans="1:34" x14ac:dyDescent="0.25">
      <c r="A620" s="29">
        <f t="shared" si="160"/>
        <v>0</v>
      </c>
      <c r="B620" s="29">
        <f t="shared" si="147"/>
        <v>0</v>
      </c>
      <c r="C620" s="29">
        <f t="shared" si="148"/>
        <v>0</v>
      </c>
      <c r="D620" s="29">
        <f t="shared" si="149"/>
        <v>0</v>
      </c>
      <c r="E620" s="29">
        <f t="shared" si="146"/>
        <v>0</v>
      </c>
      <c r="F620" s="29">
        <f t="shared" si="150"/>
        <v>0</v>
      </c>
      <c r="G620" s="29" t="str">
        <f t="shared" si="151"/>
        <v>offensive</v>
      </c>
      <c r="H620" s="16">
        <f t="shared" si="152"/>
        <v>0</v>
      </c>
      <c r="I620" s="16">
        <f t="shared" si="153"/>
        <v>0</v>
      </c>
      <c r="J620" s="16">
        <f t="shared" si="154"/>
        <v>0</v>
      </c>
      <c r="K620" s="16">
        <f t="shared" si="155"/>
        <v>0</v>
      </c>
      <c r="L620" s="67">
        <f t="shared" si="156"/>
        <v>0</v>
      </c>
      <c r="M620" s="4">
        <f t="shared" si="157"/>
        <v>0</v>
      </c>
      <c r="N620" s="4">
        <f t="shared" si="158"/>
        <v>0</v>
      </c>
      <c r="O620" s="4">
        <f t="shared" si="159"/>
        <v>0</v>
      </c>
      <c r="P620" s="4" t="e">
        <f>VLOOKUP(AJ612,'CIR Team Info'!$C$5:$E$44,2,FALSE)</f>
        <v>#N/A</v>
      </c>
      <c r="Q620" s="4" t="e">
        <f>VLOOKUP(AJ612,'CIR Team Info'!$C$5:$E$44,3,FALSE)</f>
        <v>#N/A</v>
      </c>
      <c r="R620" s="10" t="e">
        <f>VLOOKUP(AJ612,'FRC Site Data'!$B$3:$L$42,2,FALSE)</f>
        <v>#N/A</v>
      </c>
      <c r="S620" s="10" t="e">
        <f>VLOOKUP(AJ612,'FRC Site Data'!$B$3:$L$42,3,FALSE)</f>
        <v>#N/A</v>
      </c>
      <c r="T620" s="10" t="e">
        <f>VLOOKUP(AJ612,'FRC Site Data'!$B$3:$L$42,4,FALSE)</f>
        <v>#N/A</v>
      </c>
      <c r="U620" s="10" t="e">
        <f>VLOOKUP(AJ612,'FRC Site Data'!$B$3:$L$42,5,FALSE)</f>
        <v>#N/A</v>
      </c>
      <c r="V620" s="10" t="e">
        <f>VLOOKUP(AJ612,'FRC Site Data'!$B$3:$L$42,6,FALSE)</f>
        <v>#N/A</v>
      </c>
      <c r="W620" s="10" t="e">
        <f>VLOOKUP(AJ612,'FRC Site Data'!$B$3:$L$42,8,FALSE)</f>
        <v>#N/A</v>
      </c>
      <c r="X620" s="10" t="e">
        <f>VLOOKUP(AJ612,'FRC Site Data'!$B$3:$L$42,9,FALSE)</f>
        <v>#N/A</v>
      </c>
      <c r="Y620" s="10" t="e">
        <f>VLOOKUP(AJ612,'FRC Site Data'!$B$3:$L$42,10,FALSE)</f>
        <v>#N/A</v>
      </c>
      <c r="Z620" s="10" t="e">
        <f>VLOOKUP(AJ612,'FRC Site Data'!$B$3:$L$42,11,FALSE)</f>
        <v>#N/A</v>
      </c>
      <c r="AA620" s="10" t="e">
        <f>VLOOKUP(AJ612,'CIR Team Info'!$C$5:$E$44,4,FALSE)</f>
        <v>#N/A</v>
      </c>
      <c r="AB620" s="161" t="b">
        <f>ISNUMBER(VLOOKUP(AJ612,Match!$T$5:$T$10,1,FALSE))</f>
        <v>0</v>
      </c>
      <c r="AC620" s="161" t="b">
        <f>IF(AB620=TRUE,(VLOOKUP($AJ612,Match!$T$5:$U$10,2,FALSE)))</f>
        <v>0</v>
      </c>
      <c r="AD620" s="8">
        <v>3</v>
      </c>
      <c r="AE620" s="8">
        <v>2</v>
      </c>
      <c r="AF620" s="8">
        <v>2</v>
      </c>
      <c r="AG620" s="8">
        <v>1</v>
      </c>
      <c r="AH620" s="8" t="str">
        <f t="shared" si="161"/>
        <v/>
      </c>
    </row>
    <row r="621" spans="1:34" x14ac:dyDescent="0.25">
      <c r="A621" s="29">
        <f t="shared" si="160"/>
        <v>0</v>
      </c>
      <c r="B621" s="29">
        <f t="shared" si="147"/>
        <v>0</v>
      </c>
      <c r="C621" s="29">
        <f t="shared" si="148"/>
        <v>0</v>
      </c>
      <c r="D621" s="29">
        <f t="shared" si="149"/>
        <v>0</v>
      </c>
      <c r="E621" s="29">
        <f t="shared" si="146"/>
        <v>0</v>
      </c>
      <c r="F621" s="29">
        <f t="shared" si="150"/>
        <v>0</v>
      </c>
      <c r="G621" s="29" t="str">
        <f t="shared" si="151"/>
        <v>offensive</v>
      </c>
      <c r="H621" s="16">
        <f t="shared" si="152"/>
        <v>0</v>
      </c>
      <c r="I621" s="16">
        <f t="shared" si="153"/>
        <v>0</v>
      </c>
      <c r="J621" s="16">
        <f t="shared" si="154"/>
        <v>0</v>
      </c>
      <c r="K621" s="16">
        <f t="shared" si="155"/>
        <v>0</v>
      </c>
      <c r="L621" s="67">
        <f t="shared" si="156"/>
        <v>0</v>
      </c>
      <c r="M621" s="4">
        <f t="shared" si="157"/>
        <v>0</v>
      </c>
      <c r="N621" s="4">
        <f t="shared" si="158"/>
        <v>0</v>
      </c>
      <c r="O621" s="4">
        <f t="shared" si="159"/>
        <v>0</v>
      </c>
      <c r="P621" s="4" t="e">
        <f>VLOOKUP(AJ613,'CIR Team Info'!$C$5:$E$44,2,FALSE)</f>
        <v>#N/A</v>
      </c>
      <c r="Q621" s="4" t="e">
        <f>VLOOKUP(AJ613,'CIR Team Info'!$C$5:$E$44,3,FALSE)</f>
        <v>#N/A</v>
      </c>
      <c r="R621" s="10" t="e">
        <f>VLOOKUP(AJ613,'FRC Site Data'!$B$3:$L$42,2,FALSE)</f>
        <v>#N/A</v>
      </c>
      <c r="S621" s="10" t="e">
        <f>VLOOKUP(AJ613,'FRC Site Data'!$B$3:$L$42,3,FALSE)</f>
        <v>#N/A</v>
      </c>
      <c r="T621" s="10" t="e">
        <f>VLOOKUP(AJ613,'FRC Site Data'!$B$3:$L$42,4,FALSE)</f>
        <v>#N/A</v>
      </c>
      <c r="U621" s="10" t="e">
        <f>VLOOKUP(AJ613,'FRC Site Data'!$B$3:$L$42,5,FALSE)</f>
        <v>#N/A</v>
      </c>
      <c r="V621" s="10" t="e">
        <f>VLOOKUP(AJ613,'FRC Site Data'!$B$3:$L$42,6,FALSE)</f>
        <v>#N/A</v>
      </c>
      <c r="W621" s="10" t="e">
        <f>VLOOKUP(AJ613,'FRC Site Data'!$B$3:$L$42,8,FALSE)</f>
        <v>#N/A</v>
      </c>
      <c r="X621" s="10" t="e">
        <f>VLOOKUP(AJ613,'FRC Site Data'!$B$3:$L$42,9,FALSE)</f>
        <v>#N/A</v>
      </c>
      <c r="Y621" s="10" t="e">
        <f>VLOOKUP(AJ613,'FRC Site Data'!$B$3:$L$42,10,FALSE)</f>
        <v>#N/A</v>
      </c>
      <c r="Z621" s="10" t="e">
        <f>VLOOKUP(AJ613,'FRC Site Data'!$B$3:$L$42,11,FALSE)</f>
        <v>#N/A</v>
      </c>
      <c r="AA621" s="10" t="e">
        <f>VLOOKUP(AJ613,'CIR Team Info'!$C$5:$E$44,4,FALSE)</f>
        <v>#N/A</v>
      </c>
      <c r="AB621" s="161" t="b">
        <f>ISNUMBER(VLOOKUP(AJ613,Match!$T$5:$T$10,1,FALSE))</f>
        <v>0</v>
      </c>
      <c r="AC621" s="161" t="b">
        <f>IF(AB621=TRUE,(VLOOKUP($AJ613,Match!$T$5:$U$10,2,FALSE)))</f>
        <v>0</v>
      </c>
      <c r="AD621" s="8">
        <v>3</v>
      </c>
      <c r="AE621" s="8">
        <v>2</v>
      </c>
      <c r="AF621" s="8">
        <v>2</v>
      </c>
      <c r="AG621" s="8">
        <v>1</v>
      </c>
      <c r="AH621" s="8" t="str">
        <f t="shared" si="161"/>
        <v/>
      </c>
    </row>
    <row r="622" spans="1:34" x14ac:dyDescent="0.25">
      <c r="A622" s="29">
        <f t="shared" si="160"/>
        <v>0</v>
      </c>
      <c r="B622" s="29">
        <f t="shared" si="147"/>
        <v>0</v>
      </c>
      <c r="C622" s="29">
        <f t="shared" si="148"/>
        <v>0</v>
      </c>
      <c r="D622" s="29">
        <f t="shared" si="149"/>
        <v>0</v>
      </c>
      <c r="E622" s="29">
        <f t="shared" si="146"/>
        <v>0</v>
      </c>
      <c r="F622" s="29">
        <f t="shared" si="150"/>
        <v>0</v>
      </c>
      <c r="G622" s="29" t="str">
        <f t="shared" si="151"/>
        <v>offensive</v>
      </c>
      <c r="H622" s="16">
        <f t="shared" si="152"/>
        <v>0</v>
      </c>
      <c r="I622" s="16">
        <f t="shared" si="153"/>
        <v>0</v>
      </c>
      <c r="J622" s="16">
        <f t="shared" si="154"/>
        <v>0</v>
      </c>
      <c r="K622" s="16">
        <f t="shared" si="155"/>
        <v>0</v>
      </c>
      <c r="L622" s="67">
        <f t="shared" si="156"/>
        <v>0</v>
      </c>
      <c r="M622" s="4">
        <f t="shared" si="157"/>
        <v>0</v>
      </c>
      <c r="N622" s="4">
        <f t="shared" si="158"/>
        <v>0</v>
      </c>
      <c r="O622" s="4">
        <f t="shared" si="159"/>
        <v>0</v>
      </c>
      <c r="P622" s="4" t="e">
        <f>VLOOKUP(AJ614,'CIR Team Info'!$C$5:$E$44,2,FALSE)</f>
        <v>#N/A</v>
      </c>
      <c r="Q622" s="4" t="e">
        <f>VLOOKUP(AJ614,'CIR Team Info'!$C$5:$E$44,3,FALSE)</f>
        <v>#N/A</v>
      </c>
      <c r="R622" s="10" t="e">
        <f>VLOOKUP(AJ614,'FRC Site Data'!$B$3:$L$42,2,FALSE)</f>
        <v>#N/A</v>
      </c>
      <c r="S622" s="10" t="e">
        <f>VLOOKUP(AJ614,'FRC Site Data'!$B$3:$L$42,3,FALSE)</f>
        <v>#N/A</v>
      </c>
      <c r="T622" s="10" t="e">
        <f>VLOOKUP(AJ614,'FRC Site Data'!$B$3:$L$42,4,FALSE)</f>
        <v>#N/A</v>
      </c>
      <c r="U622" s="10" t="e">
        <f>VLOOKUP(AJ614,'FRC Site Data'!$B$3:$L$42,5,FALSE)</f>
        <v>#N/A</v>
      </c>
      <c r="V622" s="10" t="e">
        <f>VLOOKUP(AJ614,'FRC Site Data'!$B$3:$L$42,6,FALSE)</f>
        <v>#N/A</v>
      </c>
      <c r="W622" s="10" t="e">
        <f>VLOOKUP(AJ614,'FRC Site Data'!$B$3:$L$42,8,FALSE)</f>
        <v>#N/A</v>
      </c>
      <c r="X622" s="10" t="e">
        <f>VLOOKUP(AJ614,'FRC Site Data'!$B$3:$L$42,9,FALSE)</f>
        <v>#N/A</v>
      </c>
      <c r="Y622" s="10" t="e">
        <f>VLOOKUP(AJ614,'FRC Site Data'!$B$3:$L$42,10,FALSE)</f>
        <v>#N/A</v>
      </c>
      <c r="Z622" s="10" t="e">
        <f>VLOOKUP(AJ614,'FRC Site Data'!$B$3:$L$42,11,FALSE)</f>
        <v>#N/A</v>
      </c>
      <c r="AA622" s="10" t="e">
        <f>VLOOKUP(AJ614,'CIR Team Info'!$C$5:$E$44,4,FALSE)</f>
        <v>#N/A</v>
      </c>
      <c r="AB622" s="161" t="b">
        <f>ISNUMBER(VLOOKUP(AJ614,Match!$T$5:$T$10,1,FALSE))</f>
        <v>0</v>
      </c>
      <c r="AC622" s="161" t="b">
        <f>IF(AB622=TRUE,(VLOOKUP($AJ614,Match!$T$5:$U$10,2,FALSE)))</f>
        <v>0</v>
      </c>
      <c r="AD622" s="8">
        <v>3</v>
      </c>
      <c r="AE622" s="8">
        <v>2</v>
      </c>
      <c r="AF622" s="8">
        <v>2</v>
      </c>
      <c r="AG622" s="8">
        <v>1</v>
      </c>
      <c r="AH622" s="8" t="str">
        <f t="shared" si="161"/>
        <v/>
      </c>
    </row>
    <row r="623" spans="1:34" x14ac:dyDescent="0.25">
      <c r="A623" s="29">
        <f t="shared" si="160"/>
        <v>0</v>
      </c>
      <c r="B623" s="29">
        <f t="shared" si="147"/>
        <v>0</v>
      </c>
      <c r="C623" s="29">
        <f t="shared" si="148"/>
        <v>0</v>
      </c>
      <c r="D623" s="29">
        <f t="shared" si="149"/>
        <v>0</v>
      </c>
      <c r="E623" s="29">
        <f t="shared" si="146"/>
        <v>0</v>
      </c>
      <c r="F623" s="29">
        <f t="shared" si="150"/>
        <v>0</v>
      </c>
      <c r="G623" s="29" t="str">
        <f t="shared" si="151"/>
        <v>offensive</v>
      </c>
      <c r="H623" s="16">
        <f t="shared" si="152"/>
        <v>0</v>
      </c>
      <c r="I623" s="16">
        <f t="shared" si="153"/>
        <v>0</v>
      </c>
      <c r="J623" s="16">
        <f t="shared" si="154"/>
        <v>0</v>
      </c>
      <c r="K623" s="16">
        <f t="shared" si="155"/>
        <v>0</v>
      </c>
      <c r="L623" s="67">
        <f t="shared" si="156"/>
        <v>0</v>
      </c>
      <c r="M623" s="4">
        <f t="shared" si="157"/>
        <v>0</v>
      </c>
      <c r="N623" s="4">
        <f t="shared" si="158"/>
        <v>0</v>
      </c>
      <c r="O623" s="4">
        <f t="shared" si="159"/>
        <v>0</v>
      </c>
      <c r="P623" s="4" t="e">
        <f>VLOOKUP(AJ615,'CIR Team Info'!$C$5:$E$44,2,FALSE)</f>
        <v>#N/A</v>
      </c>
      <c r="Q623" s="4" t="e">
        <f>VLOOKUP(AJ615,'CIR Team Info'!$C$5:$E$44,3,FALSE)</f>
        <v>#N/A</v>
      </c>
      <c r="R623" s="10" t="e">
        <f>VLOOKUP(AJ615,'FRC Site Data'!$B$3:$L$42,2,FALSE)</f>
        <v>#N/A</v>
      </c>
      <c r="S623" s="10" t="e">
        <f>VLOOKUP(AJ615,'FRC Site Data'!$B$3:$L$42,3,FALSE)</f>
        <v>#N/A</v>
      </c>
      <c r="T623" s="10" t="e">
        <f>VLOOKUP(AJ615,'FRC Site Data'!$B$3:$L$42,4,FALSE)</f>
        <v>#N/A</v>
      </c>
      <c r="U623" s="10" t="e">
        <f>VLOOKUP(AJ615,'FRC Site Data'!$B$3:$L$42,5,FALSE)</f>
        <v>#N/A</v>
      </c>
      <c r="V623" s="10" t="e">
        <f>VLOOKUP(AJ615,'FRC Site Data'!$B$3:$L$42,6,FALSE)</f>
        <v>#N/A</v>
      </c>
      <c r="W623" s="10" t="e">
        <f>VLOOKUP(AJ615,'FRC Site Data'!$B$3:$L$42,8,FALSE)</f>
        <v>#N/A</v>
      </c>
      <c r="X623" s="10" t="e">
        <f>VLOOKUP(AJ615,'FRC Site Data'!$B$3:$L$42,9,FALSE)</f>
        <v>#N/A</v>
      </c>
      <c r="Y623" s="10" t="e">
        <f>VLOOKUP(AJ615,'FRC Site Data'!$B$3:$L$42,10,FALSE)</f>
        <v>#N/A</v>
      </c>
      <c r="Z623" s="10" t="e">
        <f>VLOOKUP(AJ615,'FRC Site Data'!$B$3:$L$42,11,FALSE)</f>
        <v>#N/A</v>
      </c>
      <c r="AA623" s="10" t="e">
        <f>VLOOKUP(AJ615,'CIR Team Info'!$C$5:$E$44,4,FALSE)</f>
        <v>#N/A</v>
      </c>
      <c r="AB623" s="161" t="b">
        <f>ISNUMBER(VLOOKUP(AJ615,Match!$T$5:$T$10,1,FALSE))</f>
        <v>0</v>
      </c>
      <c r="AC623" s="161" t="b">
        <f>IF(AB623=TRUE,(VLOOKUP($AJ615,Match!$T$5:$U$10,2,FALSE)))</f>
        <v>0</v>
      </c>
      <c r="AD623" s="8">
        <v>3</v>
      </c>
      <c r="AE623" s="8">
        <v>2</v>
      </c>
      <c r="AF623" s="8">
        <v>2</v>
      </c>
      <c r="AG623" s="8">
        <v>1</v>
      </c>
      <c r="AH623" s="8" t="str">
        <f t="shared" si="161"/>
        <v/>
      </c>
    </row>
    <row r="624" spans="1:34" x14ac:dyDescent="0.25">
      <c r="A624" s="29">
        <f t="shared" si="160"/>
        <v>0</v>
      </c>
      <c r="B624" s="29">
        <f t="shared" si="147"/>
        <v>0</v>
      </c>
      <c r="C624" s="29">
        <f t="shared" si="148"/>
        <v>0</v>
      </c>
      <c r="D624" s="29">
        <f t="shared" si="149"/>
        <v>0</v>
      </c>
      <c r="E624" s="29">
        <f t="shared" si="146"/>
        <v>0</v>
      </c>
      <c r="F624" s="29">
        <f t="shared" si="150"/>
        <v>0</v>
      </c>
      <c r="G624" s="29" t="str">
        <f t="shared" si="151"/>
        <v>offensive</v>
      </c>
      <c r="H624" s="16">
        <f t="shared" si="152"/>
        <v>0</v>
      </c>
      <c r="I624" s="16">
        <f t="shared" si="153"/>
        <v>0</v>
      </c>
      <c r="J624" s="16">
        <f t="shared" si="154"/>
        <v>0</v>
      </c>
      <c r="K624" s="16">
        <f t="shared" si="155"/>
        <v>0</v>
      </c>
      <c r="L624" s="67">
        <f t="shared" si="156"/>
        <v>0</v>
      </c>
      <c r="M624" s="4">
        <f t="shared" si="157"/>
        <v>0</v>
      </c>
      <c r="N624" s="4">
        <f t="shared" si="158"/>
        <v>0</v>
      </c>
      <c r="O624" s="4">
        <f t="shared" si="159"/>
        <v>0</v>
      </c>
      <c r="P624" s="4" t="e">
        <f>VLOOKUP(AJ616,'CIR Team Info'!$C$5:$E$44,2,FALSE)</f>
        <v>#N/A</v>
      </c>
      <c r="Q624" s="4" t="e">
        <f>VLOOKUP(AJ616,'CIR Team Info'!$C$5:$E$44,3,FALSE)</f>
        <v>#N/A</v>
      </c>
      <c r="R624" s="10" t="e">
        <f>VLOOKUP(AJ616,'FRC Site Data'!$B$3:$L$42,2,FALSE)</f>
        <v>#N/A</v>
      </c>
      <c r="S624" s="10" t="e">
        <f>VLOOKUP(AJ616,'FRC Site Data'!$B$3:$L$42,3,FALSE)</f>
        <v>#N/A</v>
      </c>
      <c r="T624" s="10" t="e">
        <f>VLOOKUP(AJ616,'FRC Site Data'!$B$3:$L$42,4,FALSE)</f>
        <v>#N/A</v>
      </c>
      <c r="U624" s="10" t="e">
        <f>VLOOKUP(AJ616,'FRC Site Data'!$B$3:$L$42,5,FALSE)</f>
        <v>#N/A</v>
      </c>
      <c r="V624" s="10" t="e">
        <f>VLOOKUP(AJ616,'FRC Site Data'!$B$3:$L$42,6,FALSE)</f>
        <v>#N/A</v>
      </c>
      <c r="W624" s="10" t="e">
        <f>VLOOKUP(AJ616,'FRC Site Data'!$B$3:$L$42,8,FALSE)</f>
        <v>#N/A</v>
      </c>
      <c r="X624" s="10" t="e">
        <f>VLOOKUP(AJ616,'FRC Site Data'!$B$3:$L$42,9,FALSE)</f>
        <v>#N/A</v>
      </c>
      <c r="Y624" s="10" t="e">
        <f>VLOOKUP(AJ616,'FRC Site Data'!$B$3:$L$42,10,FALSE)</f>
        <v>#N/A</v>
      </c>
      <c r="Z624" s="10" t="e">
        <f>VLOOKUP(AJ616,'FRC Site Data'!$B$3:$L$42,11,FALSE)</f>
        <v>#N/A</v>
      </c>
      <c r="AA624" s="10" t="e">
        <f>VLOOKUP(AJ616,'CIR Team Info'!$C$5:$E$44,4,FALSE)</f>
        <v>#N/A</v>
      </c>
      <c r="AB624" s="161" t="b">
        <f>ISNUMBER(VLOOKUP(AJ616,Match!$T$5:$T$10,1,FALSE))</f>
        <v>0</v>
      </c>
      <c r="AC624" s="161" t="b">
        <f>IF(AB624=TRUE,(VLOOKUP($AJ616,Match!$T$5:$U$10,2,FALSE)))</f>
        <v>0</v>
      </c>
      <c r="AD624" s="8">
        <v>3</v>
      </c>
      <c r="AE624" s="8">
        <v>2</v>
      </c>
      <c r="AF624" s="8">
        <v>2</v>
      </c>
      <c r="AG624" s="8">
        <v>1</v>
      </c>
      <c r="AH624" s="8" t="str">
        <f t="shared" si="161"/>
        <v/>
      </c>
    </row>
    <row r="625" spans="1:34" x14ac:dyDescent="0.25">
      <c r="A625" s="29">
        <f t="shared" si="160"/>
        <v>0</v>
      </c>
      <c r="B625" s="29">
        <f t="shared" si="147"/>
        <v>0</v>
      </c>
      <c r="C625" s="29">
        <f t="shared" si="148"/>
        <v>0</v>
      </c>
      <c r="D625" s="29">
        <f t="shared" si="149"/>
        <v>0</v>
      </c>
      <c r="E625" s="29">
        <f t="shared" si="146"/>
        <v>0</v>
      </c>
      <c r="F625" s="29">
        <f t="shared" si="150"/>
        <v>0</v>
      </c>
      <c r="G625" s="29" t="str">
        <f t="shared" si="151"/>
        <v>offensive</v>
      </c>
      <c r="H625" s="16">
        <f t="shared" si="152"/>
        <v>0</v>
      </c>
      <c r="I625" s="16">
        <f t="shared" si="153"/>
        <v>0</v>
      </c>
      <c r="J625" s="16">
        <f t="shared" si="154"/>
        <v>0</v>
      </c>
      <c r="K625" s="16">
        <f t="shared" si="155"/>
        <v>0</v>
      </c>
      <c r="L625" s="67">
        <f t="shared" si="156"/>
        <v>0</v>
      </c>
      <c r="M625" s="4">
        <f t="shared" si="157"/>
        <v>0</v>
      </c>
      <c r="N625" s="4">
        <f t="shared" si="158"/>
        <v>0</v>
      </c>
      <c r="O625" s="4">
        <f t="shared" si="159"/>
        <v>0</v>
      </c>
      <c r="P625" s="4" t="e">
        <f>VLOOKUP(AJ617,'CIR Team Info'!$C$5:$E$44,2,FALSE)</f>
        <v>#N/A</v>
      </c>
      <c r="Q625" s="4" t="e">
        <f>VLOOKUP(AJ617,'CIR Team Info'!$C$5:$E$44,3,FALSE)</f>
        <v>#N/A</v>
      </c>
      <c r="R625" s="10" t="e">
        <f>VLOOKUP(AJ617,'FRC Site Data'!$B$3:$L$42,2,FALSE)</f>
        <v>#N/A</v>
      </c>
      <c r="S625" s="10" t="e">
        <f>VLOOKUP(AJ617,'FRC Site Data'!$B$3:$L$42,3,FALSE)</f>
        <v>#N/A</v>
      </c>
      <c r="T625" s="10" t="e">
        <f>VLOOKUP(AJ617,'FRC Site Data'!$B$3:$L$42,4,FALSE)</f>
        <v>#N/A</v>
      </c>
      <c r="U625" s="10" t="e">
        <f>VLOOKUP(AJ617,'FRC Site Data'!$B$3:$L$42,5,FALSE)</f>
        <v>#N/A</v>
      </c>
      <c r="V625" s="10" t="e">
        <f>VLOOKUP(AJ617,'FRC Site Data'!$B$3:$L$42,6,FALSE)</f>
        <v>#N/A</v>
      </c>
      <c r="W625" s="10" t="e">
        <f>VLOOKUP(AJ617,'FRC Site Data'!$B$3:$L$42,8,FALSE)</f>
        <v>#N/A</v>
      </c>
      <c r="X625" s="10" t="e">
        <f>VLOOKUP(AJ617,'FRC Site Data'!$B$3:$L$42,9,FALSE)</f>
        <v>#N/A</v>
      </c>
      <c r="Y625" s="10" t="e">
        <f>VLOOKUP(AJ617,'FRC Site Data'!$B$3:$L$42,10,FALSE)</f>
        <v>#N/A</v>
      </c>
      <c r="Z625" s="10" t="e">
        <f>VLOOKUP(AJ617,'FRC Site Data'!$B$3:$L$42,11,FALSE)</f>
        <v>#N/A</v>
      </c>
      <c r="AA625" s="10" t="e">
        <f>VLOOKUP(AJ617,'CIR Team Info'!$C$5:$E$44,4,FALSE)</f>
        <v>#N/A</v>
      </c>
      <c r="AB625" s="161" t="b">
        <f>ISNUMBER(VLOOKUP(AJ617,Match!$T$5:$T$10,1,FALSE))</f>
        <v>0</v>
      </c>
      <c r="AC625" s="161" t="b">
        <f>IF(AB625=TRUE,(VLOOKUP($AJ617,Match!$T$5:$U$10,2,FALSE)))</f>
        <v>0</v>
      </c>
      <c r="AD625" s="8">
        <v>3</v>
      </c>
      <c r="AE625" s="8">
        <v>2</v>
      </c>
      <c r="AF625" s="8">
        <v>2</v>
      </c>
      <c r="AG625" s="8">
        <v>1</v>
      </c>
      <c r="AH625" s="8" t="str">
        <f t="shared" si="161"/>
        <v/>
      </c>
    </row>
    <row r="626" spans="1:34" x14ac:dyDescent="0.25">
      <c r="A626" s="29">
        <f t="shared" si="160"/>
        <v>0</v>
      </c>
      <c r="B626" s="29">
        <f t="shared" si="147"/>
        <v>0</v>
      </c>
      <c r="C626" s="29">
        <f t="shared" si="148"/>
        <v>0</v>
      </c>
      <c r="D626" s="29">
        <f t="shared" si="149"/>
        <v>0</v>
      </c>
      <c r="E626" s="29">
        <f t="shared" si="146"/>
        <v>0</v>
      </c>
      <c r="F626" s="29">
        <f t="shared" si="150"/>
        <v>0</v>
      </c>
      <c r="G626" s="29" t="str">
        <f t="shared" si="151"/>
        <v>offensive</v>
      </c>
      <c r="H626" s="16">
        <f t="shared" si="152"/>
        <v>0</v>
      </c>
      <c r="I626" s="16">
        <f t="shared" si="153"/>
        <v>0</v>
      </c>
      <c r="J626" s="16">
        <f t="shared" si="154"/>
        <v>0</v>
      </c>
      <c r="K626" s="16">
        <f t="shared" si="155"/>
        <v>0</v>
      </c>
      <c r="L626" s="67">
        <f t="shared" si="156"/>
        <v>0</v>
      </c>
      <c r="M626" s="4">
        <f t="shared" si="157"/>
        <v>0</v>
      </c>
      <c r="N626" s="4">
        <f t="shared" si="158"/>
        <v>0</v>
      </c>
      <c r="O626" s="4">
        <f t="shared" si="159"/>
        <v>0</v>
      </c>
      <c r="P626" s="4" t="e">
        <f>VLOOKUP(AJ618,'CIR Team Info'!$C$5:$E$44,2,FALSE)</f>
        <v>#N/A</v>
      </c>
      <c r="Q626" s="4" t="e">
        <f>VLOOKUP(AJ618,'CIR Team Info'!$C$5:$E$44,3,FALSE)</f>
        <v>#N/A</v>
      </c>
      <c r="R626" s="10" t="e">
        <f>VLOOKUP(AJ618,'FRC Site Data'!$B$3:$L$42,2,FALSE)</f>
        <v>#N/A</v>
      </c>
      <c r="S626" s="10" t="e">
        <f>VLOOKUP(AJ618,'FRC Site Data'!$B$3:$L$42,3,FALSE)</f>
        <v>#N/A</v>
      </c>
      <c r="T626" s="10" t="e">
        <f>VLOOKUP(AJ618,'FRC Site Data'!$B$3:$L$42,4,FALSE)</f>
        <v>#N/A</v>
      </c>
      <c r="U626" s="10" t="e">
        <f>VLOOKUP(AJ618,'FRC Site Data'!$B$3:$L$42,5,FALSE)</f>
        <v>#N/A</v>
      </c>
      <c r="V626" s="10" t="e">
        <f>VLOOKUP(AJ618,'FRC Site Data'!$B$3:$L$42,6,FALSE)</f>
        <v>#N/A</v>
      </c>
      <c r="W626" s="10" t="e">
        <f>VLOOKUP(AJ618,'FRC Site Data'!$B$3:$L$42,8,FALSE)</f>
        <v>#N/A</v>
      </c>
      <c r="X626" s="10" t="e">
        <f>VLOOKUP(AJ618,'FRC Site Data'!$B$3:$L$42,9,FALSE)</f>
        <v>#N/A</v>
      </c>
      <c r="Y626" s="10" t="e">
        <f>VLOOKUP(AJ618,'FRC Site Data'!$B$3:$L$42,10,FALSE)</f>
        <v>#N/A</v>
      </c>
      <c r="Z626" s="10" t="e">
        <f>VLOOKUP(AJ618,'FRC Site Data'!$B$3:$L$42,11,FALSE)</f>
        <v>#N/A</v>
      </c>
      <c r="AA626" s="10" t="e">
        <f>VLOOKUP(AJ618,'CIR Team Info'!$C$5:$E$44,4,FALSE)</f>
        <v>#N/A</v>
      </c>
      <c r="AB626" s="161" t="b">
        <f>ISNUMBER(VLOOKUP(AJ618,Match!$T$5:$T$10,1,FALSE))</f>
        <v>0</v>
      </c>
      <c r="AC626" s="161" t="b">
        <f>IF(AB626=TRUE,(VLOOKUP($AJ618,Match!$T$5:$U$10,2,FALSE)))</f>
        <v>0</v>
      </c>
      <c r="AD626" s="8">
        <v>3</v>
      </c>
      <c r="AE626" s="8">
        <v>2</v>
      </c>
      <c r="AF626" s="8">
        <v>2</v>
      </c>
      <c r="AG626" s="8">
        <v>1</v>
      </c>
      <c r="AH626" s="8" t="str">
        <f t="shared" si="161"/>
        <v/>
      </c>
    </row>
    <row r="627" spans="1:34" x14ac:dyDescent="0.25">
      <c r="A627" s="29">
        <f t="shared" si="160"/>
        <v>0</v>
      </c>
      <c r="B627" s="29">
        <f t="shared" si="147"/>
        <v>0</v>
      </c>
      <c r="C627" s="29">
        <f t="shared" si="148"/>
        <v>0</v>
      </c>
      <c r="D627" s="29">
        <f t="shared" si="149"/>
        <v>0</v>
      </c>
      <c r="E627" s="29">
        <f t="shared" si="146"/>
        <v>0</v>
      </c>
      <c r="F627" s="29">
        <f t="shared" si="150"/>
        <v>0</v>
      </c>
      <c r="G627" s="29" t="str">
        <f t="shared" si="151"/>
        <v>offensive</v>
      </c>
      <c r="H627" s="16">
        <f t="shared" si="152"/>
        <v>0</v>
      </c>
      <c r="I627" s="16">
        <f t="shared" si="153"/>
        <v>0</v>
      </c>
      <c r="J627" s="16">
        <f t="shared" si="154"/>
        <v>0</v>
      </c>
      <c r="K627" s="16">
        <f t="shared" si="155"/>
        <v>0</v>
      </c>
      <c r="L627" s="67">
        <f t="shared" si="156"/>
        <v>0</v>
      </c>
      <c r="M627" s="4">
        <f t="shared" si="157"/>
        <v>0</v>
      </c>
      <c r="N627" s="4">
        <f t="shared" si="158"/>
        <v>0</v>
      </c>
      <c r="O627" s="4">
        <f t="shared" si="159"/>
        <v>0</v>
      </c>
      <c r="P627" s="4" t="e">
        <f>VLOOKUP(AJ619,'CIR Team Info'!$C$5:$E$44,2,FALSE)</f>
        <v>#N/A</v>
      </c>
      <c r="Q627" s="4" t="e">
        <f>VLOOKUP(AJ619,'CIR Team Info'!$C$5:$E$44,3,FALSE)</f>
        <v>#N/A</v>
      </c>
      <c r="R627" s="10" t="e">
        <f>VLOOKUP(AJ619,'FRC Site Data'!$B$3:$L$42,2,FALSE)</f>
        <v>#N/A</v>
      </c>
      <c r="S627" s="10" t="e">
        <f>VLOOKUP(AJ619,'FRC Site Data'!$B$3:$L$42,3,FALSE)</f>
        <v>#N/A</v>
      </c>
      <c r="T627" s="10" t="e">
        <f>VLOOKUP(AJ619,'FRC Site Data'!$B$3:$L$42,4,FALSE)</f>
        <v>#N/A</v>
      </c>
      <c r="U627" s="10" t="e">
        <f>VLOOKUP(AJ619,'FRC Site Data'!$B$3:$L$42,5,FALSE)</f>
        <v>#N/A</v>
      </c>
      <c r="V627" s="10" t="e">
        <f>VLOOKUP(AJ619,'FRC Site Data'!$B$3:$L$42,6,FALSE)</f>
        <v>#N/A</v>
      </c>
      <c r="W627" s="10" t="e">
        <f>VLOOKUP(AJ619,'FRC Site Data'!$B$3:$L$42,8,FALSE)</f>
        <v>#N/A</v>
      </c>
      <c r="X627" s="10" t="e">
        <f>VLOOKUP(AJ619,'FRC Site Data'!$B$3:$L$42,9,FALSE)</f>
        <v>#N/A</v>
      </c>
      <c r="Y627" s="10" t="e">
        <f>VLOOKUP(AJ619,'FRC Site Data'!$B$3:$L$42,10,FALSE)</f>
        <v>#N/A</v>
      </c>
      <c r="Z627" s="10" t="e">
        <f>VLOOKUP(AJ619,'FRC Site Data'!$B$3:$L$42,11,FALSE)</f>
        <v>#N/A</v>
      </c>
      <c r="AA627" s="10" t="e">
        <f>VLOOKUP(AJ619,'CIR Team Info'!$C$5:$E$44,4,FALSE)</f>
        <v>#N/A</v>
      </c>
      <c r="AB627" s="161" t="b">
        <f>ISNUMBER(VLOOKUP(AJ619,Match!$T$5:$T$10,1,FALSE))</f>
        <v>0</v>
      </c>
      <c r="AC627" s="161" t="b">
        <f>IF(AB627=TRUE,(VLOOKUP($AJ619,Match!$T$5:$U$10,2,FALSE)))</f>
        <v>0</v>
      </c>
      <c r="AD627" s="8">
        <v>3</v>
      </c>
      <c r="AE627" s="8">
        <v>2</v>
      </c>
      <c r="AF627" s="8">
        <v>2</v>
      </c>
      <c r="AG627" s="8">
        <v>1</v>
      </c>
      <c r="AH627" s="8" t="str">
        <f t="shared" si="161"/>
        <v/>
      </c>
    </row>
    <row r="628" spans="1:34" x14ac:dyDescent="0.25">
      <c r="A628" s="29">
        <f t="shared" si="160"/>
        <v>0</v>
      </c>
      <c r="B628" s="29">
        <f t="shared" si="147"/>
        <v>0</v>
      </c>
      <c r="C628" s="29">
        <f t="shared" si="148"/>
        <v>0</v>
      </c>
      <c r="D628" s="29">
        <f t="shared" si="149"/>
        <v>0</v>
      </c>
      <c r="E628" s="29">
        <f t="shared" si="146"/>
        <v>0</v>
      </c>
      <c r="F628" s="29">
        <f t="shared" si="150"/>
        <v>0</v>
      </c>
      <c r="G628" s="29" t="str">
        <f t="shared" si="151"/>
        <v>offensive</v>
      </c>
      <c r="H628" s="16">
        <f t="shared" si="152"/>
        <v>0</v>
      </c>
      <c r="I628" s="16">
        <f t="shared" si="153"/>
        <v>0</v>
      </c>
      <c r="J628" s="16">
        <f t="shared" si="154"/>
        <v>0</v>
      </c>
      <c r="K628" s="16">
        <f t="shared" si="155"/>
        <v>0</v>
      </c>
      <c r="L628" s="67">
        <f t="shared" si="156"/>
        <v>0</v>
      </c>
      <c r="M628" s="4">
        <f t="shared" si="157"/>
        <v>0</v>
      </c>
      <c r="N628" s="4">
        <f t="shared" si="158"/>
        <v>0</v>
      </c>
      <c r="O628" s="4">
        <f t="shared" si="159"/>
        <v>0</v>
      </c>
      <c r="P628" s="4" t="e">
        <f>VLOOKUP(AJ620,'CIR Team Info'!$C$5:$E$44,2,FALSE)</f>
        <v>#N/A</v>
      </c>
      <c r="Q628" s="4" t="e">
        <f>VLOOKUP(AJ620,'CIR Team Info'!$C$5:$E$44,3,FALSE)</f>
        <v>#N/A</v>
      </c>
      <c r="R628" s="10" t="e">
        <f>VLOOKUP(AJ620,'FRC Site Data'!$B$3:$L$42,2,FALSE)</f>
        <v>#N/A</v>
      </c>
      <c r="S628" s="10" t="e">
        <f>VLOOKUP(AJ620,'FRC Site Data'!$B$3:$L$42,3,FALSE)</f>
        <v>#N/A</v>
      </c>
      <c r="T628" s="10" t="e">
        <f>VLOOKUP(AJ620,'FRC Site Data'!$B$3:$L$42,4,FALSE)</f>
        <v>#N/A</v>
      </c>
      <c r="U628" s="10" t="e">
        <f>VLOOKUP(AJ620,'FRC Site Data'!$B$3:$L$42,5,FALSE)</f>
        <v>#N/A</v>
      </c>
      <c r="V628" s="10" t="e">
        <f>VLOOKUP(AJ620,'FRC Site Data'!$B$3:$L$42,6,FALSE)</f>
        <v>#N/A</v>
      </c>
      <c r="W628" s="10" t="e">
        <f>VLOOKUP(AJ620,'FRC Site Data'!$B$3:$L$42,8,FALSE)</f>
        <v>#N/A</v>
      </c>
      <c r="X628" s="10" t="e">
        <f>VLOOKUP(AJ620,'FRC Site Data'!$B$3:$L$42,9,FALSE)</f>
        <v>#N/A</v>
      </c>
      <c r="Y628" s="10" t="e">
        <f>VLOOKUP(AJ620,'FRC Site Data'!$B$3:$L$42,10,FALSE)</f>
        <v>#N/A</v>
      </c>
      <c r="Z628" s="10" t="e">
        <f>VLOOKUP(AJ620,'FRC Site Data'!$B$3:$L$42,11,FALSE)</f>
        <v>#N/A</v>
      </c>
      <c r="AA628" s="10" t="e">
        <f>VLOOKUP(AJ620,'CIR Team Info'!$C$5:$E$44,4,FALSE)</f>
        <v>#N/A</v>
      </c>
      <c r="AB628" s="161" t="b">
        <f>ISNUMBER(VLOOKUP(AJ620,Match!$T$5:$T$10,1,FALSE))</f>
        <v>0</v>
      </c>
      <c r="AC628" s="161" t="b">
        <f>IF(AB628=TRUE,(VLOOKUP($AJ620,Match!$T$5:$U$10,2,FALSE)))</f>
        <v>0</v>
      </c>
      <c r="AD628" s="8">
        <v>3</v>
      </c>
      <c r="AE628" s="8">
        <v>2</v>
      </c>
      <c r="AF628" s="8">
        <v>2</v>
      </c>
      <c r="AG628" s="8">
        <v>1</v>
      </c>
      <c r="AH628" s="8" t="str">
        <f t="shared" si="161"/>
        <v/>
      </c>
    </row>
    <row r="629" spans="1:34" x14ac:dyDescent="0.25">
      <c r="A629" s="29">
        <f t="shared" si="160"/>
        <v>0</v>
      </c>
      <c r="B629" s="29">
        <f t="shared" si="147"/>
        <v>0</v>
      </c>
      <c r="C629" s="29">
        <f t="shared" si="148"/>
        <v>0</v>
      </c>
      <c r="D629" s="29">
        <f t="shared" si="149"/>
        <v>0</v>
      </c>
      <c r="E629" s="29">
        <f t="shared" si="146"/>
        <v>0</v>
      </c>
      <c r="F629" s="29">
        <f t="shared" si="150"/>
        <v>0</v>
      </c>
      <c r="G629" s="29" t="str">
        <f t="shared" si="151"/>
        <v>offensive</v>
      </c>
      <c r="H629" s="16">
        <f t="shared" si="152"/>
        <v>0</v>
      </c>
      <c r="I629" s="16">
        <f t="shared" si="153"/>
        <v>0</v>
      </c>
      <c r="J629" s="16">
        <f t="shared" si="154"/>
        <v>0</v>
      </c>
      <c r="K629" s="16">
        <f t="shared" si="155"/>
        <v>0</v>
      </c>
      <c r="L629" s="67">
        <f t="shared" si="156"/>
        <v>0</v>
      </c>
      <c r="M629" s="4">
        <f t="shared" si="157"/>
        <v>0</v>
      </c>
      <c r="N629" s="4">
        <f t="shared" si="158"/>
        <v>0</v>
      </c>
      <c r="O629" s="4">
        <f t="shared" si="159"/>
        <v>0</v>
      </c>
      <c r="P629" s="4" t="e">
        <f>VLOOKUP(AJ621,'CIR Team Info'!$C$5:$E$44,2,FALSE)</f>
        <v>#N/A</v>
      </c>
      <c r="Q629" s="4" t="e">
        <f>VLOOKUP(AJ621,'CIR Team Info'!$C$5:$E$44,3,FALSE)</f>
        <v>#N/A</v>
      </c>
      <c r="R629" s="10" t="e">
        <f>VLOOKUP(AJ621,'FRC Site Data'!$B$3:$L$42,2,FALSE)</f>
        <v>#N/A</v>
      </c>
      <c r="S629" s="10" t="e">
        <f>VLOOKUP(AJ621,'FRC Site Data'!$B$3:$L$42,3,FALSE)</f>
        <v>#N/A</v>
      </c>
      <c r="T629" s="10" t="e">
        <f>VLOOKUP(AJ621,'FRC Site Data'!$B$3:$L$42,4,FALSE)</f>
        <v>#N/A</v>
      </c>
      <c r="U629" s="10" t="e">
        <f>VLOOKUP(AJ621,'FRC Site Data'!$B$3:$L$42,5,FALSE)</f>
        <v>#N/A</v>
      </c>
      <c r="V629" s="10" t="e">
        <f>VLOOKUP(AJ621,'FRC Site Data'!$B$3:$L$42,6,FALSE)</f>
        <v>#N/A</v>
      </c>
      <c r="W629" s="10" t="e">
        <f>VLOOKUP(AJ621,'FRC Site Data'!$B$3:$L$42,8,FALSE)</f>
        <v>#N/A</v>
      </c>
      <c r="X629" s="10" t="e">
        <f>VLOOKUP(AJ621,'FRC Site Data'!$B$3:$L$42,9,FALSE)</f>
        <v>#N/A</v>
      </c>
      <c r="Y629" s="10" t="e">
        <f>VLOOKUP(AJ621,'FRC Site Data'!$B$3:$L$42,10,FALSE)</f>
        <v>#N/A</v>
      </c>
      <c r="Z629" s="10" t="e">
        <f>VLOOKUP(AJ621,'FRC Site Data'!$B$3:$L$42,11,FALSE)</f>
        <v>#N/A</v>
      </c>
      <c r="AA629" s="10" t="e">
        <f>VLOOKUP(AJ621,'CIR Team Info'!$C$5:$E$44,4,FALSE)</f>
        <v>#N/A</v>
      </c>
      <c r="AB629" s="161" t="b">
        <f>ISNUMBER(VLOOKUP(AJ621,Match!$T$5:$T$10,1,FALSE))</f>
        <v>0</v>
      </c>
      <c r="AC629" s="161" t="b">
        <f>IF(AB629=TRUE,(VLOOKUP($AJ621,Match!$T$5:$U$10,2,FALSE)))</f>
        <v>0</v>
      </c>
      <c r="AD629" s="8">
        <v>3</v>
      </c>
      <c r="AE629" s="8">
        <v>2</v>
      </c>
      <c r="AF629" s="8">
        <v>2</v>
      </c>
      <c r="AG629" s="8">
        <v>1</v>
      </c>
      <c r="AH629" s="8" t="str">
        <f t="shared" si="161"/>
        <v/>
      </c>
    </row>
    <row r="630" spans="1:34" x14ac:dyDescent="0.25">
      <c r="A630" s="29">
        <f t="shared" si="160"/>
        <v>0</v>
      </c>
      <c r="B630" s="29">
        <f t="shared" si="147"/>
        <v>0</v>
      </c>
      <c r="C630" s="29">
        <f t="shared" si="148"/>
        <v>0</v>
      </c>
      <c r="D630" s="29">
        <f t="shared" si="149"/>
        <v>0</v>
      </c>
      <c r="E630" s="29">
        <f t="shared" si="146"/>
        <v>0</v>
      </c>
      <c r="F630" s="29">
        <f t="shared" si="150"/>
        <v>0</v>
      </c>
      <c r="G630" s="29" t="str">
        <f t="shared" si="151"/>
        <v>offensive</v>
      </c>
      <c r="H630" s="16">
        <f t="shared" si="152"/>
        <v>0</v>
      </c>
      <c r="I630" s="16">
        <f t="shared" si="153"/>
        <v>0</v>
      </c>
      <c r="J630" s="16">
        <f t="shared" si="154"/>
        <v>0</v>
      </c>
      <c r="K630" s="16">
        <f t="shared" si="155"/>
        <v>0</v>
      </c>
      <c r="L630" s="67">
        <f t="shared" si="156"/>
        <v>0</v>
      </c>
      <c r="M630" s="4">
        <f t="shared" si="157"/>
        <v>0</v>
      </c>
      <c r="N630" s="4">
        <f t="shared" si="158"/>
        <v>0</v>
      </c>
      <c r="O630" s="4">
        <f t="shared" si="159"/>
        <v>0</v>
      </c>
      <c r="P630" s="4" t="e">
        <f>VLOOKUP(AJ622,'CIR Team Info'!$C$5:$E$44,2,FALSE)</f>
        <v>#N/A</v>
      </c>
      <c r="Q630" s="4" t="e">
        <f>VLOOKUP(AJ622,'CIR Team Info'!$C$5:$E$44,3,FALSE)</f>
        <v>#N/A</v>
      </c>
      <c r="R630" s="10" t="e">
        <f>VLOOKUP(AJ622,'FRC Site Data'!$B$3:$L$42,2,FALSE)</f>
        <v>#N/A</v>
      </c>
      <c r="S630" s="10" t="e">
        <f>VLOOKUP(AJ622,'FRC Site Data'!$B$3:$L$42,3,FALSE)</f>
        <v>#N/A</v>
      </c>
      <c r="T630" s="10" t="e">
        <f>VLOOKUP(AJ622,'FRC Site Data'!$B$3:$L$42,4,FALSE)</f>
        <v>#N/A</v>
      </c>
      <c r="U630" s="10" t="e">
        <f>VLOOKUP(AJ622,'FRC Site Data'!$B$3:$L$42,5,FALSE)</f>
        <v>#N/A</v>
      </c>
      <c r="V630" s="10" t="e">
        <f>VLOOKUP(AJ622,'FRC Site Data'!$B$3:$L$42,6,FALSE)</f>
        <v>#N/A</v>
      </c>
      <c r="W630" s="10" t="e">
        <f>VLOOKUP(AJ622,'FRC Site Data'!$B$3:$L$42,8,FALSE)</f>
        <v>#N/A</v>
      </c>
      <c r="X630" s="10" t="e">
        <f>VLOOKUP(AJ622,'FRC Site Data'!$B$3:$L$42,9,FALSE)</f>
        <v>#N/A</v>
      </c>
      <c r="Y630" s="10" t="e">
        <f>VLOOKUP(AJ622,'FRC Site Data'!$B$3:$L$42,10,FALSE)</f>
        <v>#N/A</v>
      </c>
      <c r="Z630" s="10" t="e">
        <f>VLOOKUP(AJ622,'FRC Site Data'!$B$3:$L$42,11,FALSE)</f>
        <v>#N/A</v>
      </c>
      <c r="AA630" s="10" t="e">
        <f>VLOOKUP(AJ622,'CIR Team Info'!$C$5:$E$44,4,FALSE)</f>
        <v>#N/A</v>
      </c>
      <c r="AB630" s="161" t="b">
        <f>ISNUMBER(VLOOKUP(AJ622,Match!$T$5:$T$10,1,FALSE))</f>
        <v>0</v>
      </c>
      <c r="AC630" s="161" t="b">
        <f>IF(AB630=TRUE,(VLOOKUP($AJ622,Match!$T$5:$U$10,2,FALSE)))</f>
        <v>0</v>
      </c>
      <c r="AD630" s="8">
        <v>3</v>
      </c>
      <c r="AE630" s="8">
        <v>2</v>
      </c>
      <c r="AF630" s="8">
        <v>2</v>
      </c>
      <c r="AG630" s="8">
        <v>1</v>
      </c>
      <c r="AH630" s="8" t="str">
        <f t="shared" si="161"/>
        <v/>
      </c>
    </row>
    <row r="631" spans="1:34" x14ac:dyDescent="0.25">
      <c r="A631" s="29">
        <f t="shared" si="160"/>
        <v>0</v>
      </c>
      <c r="B631" s="29">
        <f t="shared" si="147"/>
        <v>0</v>
      </c>
      <c r="C631" s="29">
        <f t="shared" si="148"/>
        <v>0</v>
      </c>
      <c r="D631" s="29">
        <f t="shared" si="149"/>
        <v>0</v>
      </c>
      <c r="E631" s="29">
        <f t="shared" si="146"/>
        <v>0</v>
      </c>
      <c r="F631" s="29">
        <f t="shared" si="150"/>
        <v>0</v>
      </c>
      <c r="G631" s="29" t="str">
        <f t="shared" si="151"/>
        <v>offensive</v>
      </c>
      <c r="H631" s="16">
        <f t="shared" si="152"/>
        <v>0</v>
      </c>
      <c r="I631" s="16">
        <f t="shared" si="153"/>
        <v>0</v>
      </c>
      <c r="J631" s="16">
        <f t="shared" si="154"/>
        <v>0</v>
      </c>
      <c r="K631" s="16">
        <f t="shared" si="155"/>
        <v>0</v>
      </c>
      <c r="L631" s="67">
        <f t="shared" si="156"/>
        <v>0</v>
      </c>
      <c r="M631" s="4">
        <f t="shared" si="157"/>
        <v>0</v>
      </c>
      <c r="N631" s="4">
        <f t="shared" si="158"/>
        <v>0</v>
      </c>
      <c r="O631" s="4">
        <f t="shared" si="159"/>
        <v>0</v>
      </c>
      <c r="P631" s="4" t="e">
        <f>VLOOKUP(AJ623,'CIR Team Info'!$C$5:$E$44,2,FALSE)</f>
        <v>#N/A</v>
      </c>
      <c r="Q631" s="4" t="e">
        <f>VLOOKUP(AJ623,'CIR Team Info'!$C$5:$E$44,3,FALSE)</f>
        <v>#N/A</v>
      </c>
      <c r="R631" s="10" t="e">
        <f>VLOOKUP(AJ623,'FRC Site Data'!$B$3:$L$42,2,FALSE)</f>
        <v>#N/A</v>
      </c>
      <c r="S631" s="10" t="e">
        <f>VLOOKUP(AJ623,'FRC Site Data'!$B$3:$L$42,3,FALSE)</f>
        <v>#N/A</v>
      </c>
      <c r="T631" s="10" t="e">
        <f>VLOOKUP(AJ623,'FRC Site Data'!$B$3:$L$42,4,FALSE)</f>
        <v>#N/A</v>
      </c>
      <c r="U631" s="10" t="e">
        <f>VLOOKUP(AJ623,'FRC Site Data'!$B$3:$L$42,5,FALSE)</f>
        <v>#N/A</v>
      </c>
      <c r="V631" s="10" t="e">
        <f>VLOOKUP(AJ623,'FRC Site Data'!$B$3:$L$42,6,FALSE)</f>
        <v>#N/A</v>
      </c>
      <c r="W631" s="10" t="e">
        <f>VLOOKUP(AJ623,'FRC Site Data'!$B$3:$L$42,8,FALSE)</f>
        <v>#N/A</v>
      </c>
      <c r="X631" s="10" t="e">
        <f>VLOOKUP(AJ623,'FRC Site Data'!$B$3:$L$42,9,FALSE)</f>
        <v>#N/A</v>
      </c>
      <c r="Y631" s="10" t="e">
        <f>VLOOKUP(AJ623,'FRC Site Data'!$B$3:$L$42,10,FALSE)</f>
        <v>#N/A</v>
      </c>
      <c r="Z631" s="10" t="e">
        <f>VLOOKUP(AJ623,'FRC Site Data'!$B$3:$L$42,11,FALSE)</f>
        <v>#N/A</v>
      </c>
      <c r="AA631" s="10" t="e">
        <f>VLOOKUP(AJ623,'CIR Team Info'!$C$5:$E$44,4,FALSE)</f>
        <v>#N/A</v>
      </c>
      <c r="AB631" s="161" t="b">
        <f>ISNUMBER(VLOOKUP(AJ623,Match!$T$5:$T$10,1,FALSE))</f>
        <v>0</v>
      </c>
      <c r="AC631" s="161" t="b">
        <f>IF(AB631=TRUE,(VLOOKUP($AJ623,Match!$T$5:$U$10,2,FALSE)))</f>
        <v>0</v>
      </c>
      <c r="AD631" s="8">
        <v>3</v>
      </c>
      <c r="AE631" s="8">
        <v>2</v>
      </c>
      <c r="AF631" s="8">
        <v>2</v>
      </c>
      <c r="AG631" s="8">
        <v>1</v>
      </c>
      <c r="AH631" s="8" t="str">
        <f t="shared" si="161"/>
        <v/>
      </c>
    </row>
    <row r="632" spans="1:34" x14ac:dyDescent="0.25">
      <c r="A632" s="29">
        <f t="shared" si="160"/>
        <v>0</v>
      </c>
      <c r="B632" s="29">
        <f t="shared" si="147"/>
        <v>0</v>
      </c>
      <c r="C632" s="29">
        <f t="shared" si="148"/>
        <v>0</v>
      </c>
      <c r="D632" s="29">
        <f t="shared" si="149"/>
        <v>0</v>
      </c>
      <c r="E632" s="29">
        <f t="shared" si="146"/>
        <v>0</v>
      </c>
      <c r="F632" s="29">
        <f t="shared" si="150"/>
        <v>0</v>
      </c>
      <c r="G632" s="29" t="str">
        <f t="shared" si="151"/>
        <v>offensive</v>
      </c>
      <c r="H632" s="16">
        <f t="shared" si="152"/>
        <v>0</v>
      </c>
      <c r="I632" s="16">
        <f t="shared" si="153"/>
        <v>0</v>
      </c>
      <c r="J632" s="16">
        <f t="shared" si="154"/>
        <v>0</v>
      </c>
      <c r="K632" s="16">
        <f t="shared" si="155"/>
        <v>0</v>
      </c>
      <c r="L632" s="67">
        <f t="shared" si="156"/>
        <v>0</v>
      </c>
      <c r="M632" s="4">
        <f t="shared" si="157"/>
        <v>0</v>
      </c>
      <c r="N632" s="4">
        <f t="shared" si="158"/>
        <v>0</v>
      </c>
      <c r="O632" s="4">
        <f t="shared" si="159"/>
        <v>0</v>
      </c>
      <c r="P632" s="4" t="e">
        <f>VLOOKUP(AJ624,'CIR Team Info'!$C$5:$E$44,2,FALSE)</f>
        <v>#N/A</v>
      </c>
      <c r="Q632" s="4" t="e">
        <f>VLOOKUP(AJ624,'CIR Team Info'!$C$5:$E$44,3,FALSE)</f>
        <v>#N/A</v>
      </c>
      <c r="R632" s="10" t="e">
        <f>VLOOKUP(AJ624,'FRC Site Data'!$B$3:$L$42,2,FALSE)</f>
        <v>#N/A</v>
      </c>
      <c r="S632" s="10" t="e">
        <f>VLOOKUP(AJ624,'FRC Site Data'!$B$3:$L$42,3,FALSE)</f>
        <v>#N/A</v>
      </c>
      <c r="T632" s="10" t="e">
        <f>VLOOKUP(AJ624,'FRC Site Data'!$B$3:$L$42,4,FALSE)</f>
        <v>#N/A</v>
      </c>
      <c r="U632" s="10" t="e">
        <f>VLOOKUP(AJ624,'FRC Site Data'!$B$3:$L$42,5,FALSE)</f>
        <v>#N/A</v>
      </c>
      <c r="V632" s="10" t="e">
        <f>VLOOKUP(AJ624,'FRC Site Data'!$B$3:$L$42,6,FALSE)</f>
        <v>#N/A</v>
      </c>
      <c r="W632" s="10" t="e">
        <f>VLOOKUP(AJ624,'FRC Site Data'!$B$3:$L$42,8,FALSE)</f>
        <v>#N/A</v>
      </c>
      <c r="X632" s="10" t="e">
        <f>VLOOKUP(AJ624,'FRC Site Data'!$B$3:$L$42,9,FALSE)</f>
        <v>#N/A</v>
      </c>
      <c r="Y632" s="10" t="e">
        <f>VLOOKUP(AJ624,'FRC Site Data'!$B$3:$L$42,10,FALSE)</f>
        <v>#N/A</v>
      </c>
      <c r="Z632" s="10" t="e">
        <f>VLOOKUP(AJ624,'FRC Site Data'!$B$3:$L$42,11,FALSE)</f>
        <v>#N/A</v>
      </c>
      <c r="AA632" s="10" t="e">
        <f>VLOOKUP(AJ624,'CIR Team Info'!$C$5:$E$44,4,FALSE)</f>
        <v>#N/A</v>
      </c>
      <c r="AB632" s="161" t="b">
        <f>ISNUMBER(VLOOKUP(AJ624,Match!$T$5:$T$10,1,FALSE))</f>
        <v>0</v>
      </c>
      <c r="AC632" s="161" t="b">
        <f>IF(AB632=TRUE,(VLOOKUP($AJ624,Match!$T$5:$U$10,2,FALSE)))</f>
        <v>0</v>
      </c>
      <c r="AD632" s="8">
        <v>3</v>
      </c>
      <c r="AE632" s="8">
        <v>2</v>
      </c>
      <c r="AF632" s="8">
        <v>2</v>
      </c>
      <c r="AG632" s="8">
        <v>1</v>
      </c>
      <c r="AH632" s="8" t="str">
        <f t="shared" si="161"/>
        <v/>
      </c>
    </row>
    <row r="633" spans="1:34" x14ac:dyDescent="0.25">
      <c r="A633" s="29">
        <f t="shared" si="160"/>
        <v>0</v>
      </c>
      <c r="B633" s="29">
        <f t="shared" si="147"/>
        <v>0</v>
      </c>
      <c r="C633" s="29">
        <f t="shared" si="148"/>
        <v>0</v>
      </c>
      <c r="D633" s="29">
        <f t="shared" si="149"/>
        <v>0</v>
      </c>
      <c r="E633" s="29">
        <f t="shared" si="146"/>
        <v>0</v>
      </c>
      <c r="F633" s="29">
        <f t="shared" si="150"/>
        <v>0</v>
      </c>
      <c r="G633" s="29" t="str">
        <f t="shared" si="151"/>
        <v>offensive</v>
      </c>
      <c r="H633" s="16">
        <f t="shared" si="152"/>
        <v>0</v>
      </c>
      <c r="I633" s="16">
        <f t="shared" si="153"/>
        <v>0</v>
      </c>
      <c r="J633" s="16">
        <f t="shared" si="154"/>
        <v>0</v>
      </c>
      <c r="K633" s="16">
        <f t="shared" si="155"/>
        <v>0</v>
      </c>
      <c r="L633" s="67">
        <f t="shared" si="156"/>
        <v>0</v>
      </c>
      <c r="M633" s="4">
        <f t="shared" si="157"/>
        <v>0</v>
      </c>
      <c r="N633" s="4">
        <f t="shared" si="158"/>
        <v>0</v>
      </c>
      <c r="O633" s="4">
        <f t="shared" si="159"/>
        <v>0</v>
      </c>
      <c r="P633" s="4" t="e">
        <f>VLOOKUP(AJ625,'CIR Team Info'!$C$5:$E$44,2,FALSE)</f>
        <v>#N/A</v>
      </c>
      <c r="Q633" s="4" t="e">
        <f>VLOOKUP(AJ625,'CIR Team Info'!$C$5:$E$44,3,FALSE)</f>
        <v>#N/A</v>
      </c>
      <c r="R633" s="10" t="e">
        <f>VLOOKUP(AJ625,'FRC Site Data'!$B$3:$L$42,2,FALSE)</f>
        <v>#N/A</v>
      </c>
      <c r="S633" s="10" t="e">
        <f>VLOOKUP(AJ625,'FRC Site Data'!$B$3:$L$42,3,FALSE)</f>
        <v>#N/A</v>
      </c>
      <c r="T633" s="10" t="e">
        <f>VLOOKUP(AJ625,'FRC Site Data'!$B$3:$L$42,4,FALSE)</f>
        <v>#N/A</v>
      </c>
      <c r="U633" s="10" t="e">
        <f>VLOOKUP(AJ625,'FRC Site Data'!$B$3:$L$42,5,FALSE)</f>
        <v>#N/A</v>
      </c>
      <c r="V633" s="10" t="e">
        <f>VLOOKUP(AJ625,'FRC Site Data'!$B$3:$L$42,6,FALSE)</f>
        <v>#N/A</v>
      </c>
      <c r="W633" s="10" t="e">
        <f>VLOOKUP(AJ625,'FRC Site Data'!$B$3:$L$42,8,FALSE)</f>
        <v>#N/A</v>
      </c>
      <c r="X633" s="10" t="e">
        <f>VLOOKUP(AJ625,'FRC Site Data'!$B$3:$L$42,9,FALSE)</f>
        <v>#N/A</v>
      </c>
      <c r="Y633" s="10" t="e">
        <f>VLOOKUP(AJ625,'FRC Site Data'!$B$3:$L$42,10,FALSE)</f>
        <v>#N/A</v>
      </c>
      <c r="Z633" s="10" t="e">
        <f>VLOOKUP(AJ625,'FRC Site Data'!$B$3:$L$42,11,FALSE)</f>
        <v>#N/A</v>
      </c>
      <c r="AA633" s="10" t="e">
        <f>VLOOKUP(AJ625,'CIR Team Info'!$C$5:$E$44,4,FALSE)</f>
        <v>#N/A</v>
      </c>
      <c r="AB633" s="161" t="b">
        <f>ISNUMBER(VLOOKUP(AJ625,Match!$T$5:$T$10,1,FALSE))</f>
        <v>0</v>
      </c>
      <c r="AC633" s="161" t="b">
        <f>IF(AB633=TRUE,(VLOOKUP($AJ625,Match!$T$5:$U$10,2,FALSE)))</f>
        <v>0</v>
      </c>
      <c r="AD633" s="8">
        <v>3</v>
      </c>
      <c r="AE633" s="8">
        <v>2</v>
      </c>
      <c r="AF633" s="8">
        <v>2</v>
      </c>
      <c r="AG633" s="8">
        <v>1</v>
      </c>
      <c r="AH633" s="8" t="str">
        <f t="shared" si="161"/>
        <v/>
      </c>
    </row>
    <row r="634" spans="1:34" x14ac:dyDescent="0.25">
      <c r="A634" s="29">
        <f t="shared" si="160"/>
        <v>0</v>
      </c>
      <c r="B634" s="29">
        <f t="shared" si="147"/>
        <v>0</v>
      </c>
      <c r="C634" s="29">
        <f t="shared" si="148"/>
        <v>0</v>
      </c>
      <c r="D634" s="29">
        <f t="shared" si="149"/>
        <v>0</v>
      </c>
      <c r="E634" s="29">
        <f t="shared" si="146"/>
        <v>0</v>
      </c>
      <c r="F634" s="29">
        <f t="shared" si="150"/>
        <v>0</v>
      </c>
      <c r="G634" s="29" t="str">
        <f t="shared" si="151"/>
        <v>offensive</v>
      </c>
      <c r="H634" s="16">
        <f t="shared" si="152"/>
        <v>0</v>
      </c>
      <c r="I634" s="16">
        <f t="shared" si="153"/>
        <v>0</v>
      </c>
      <c r="J634" s="16">
        <f t="shared" si="154"/>
        <v>0</v>
      </c>
      <c r="K634" s="16">
        <f t="shared" si="155"/>
        <v>0</v>
      </c>
      <c r="L634" s="67">
        <f t="shared" si="156"/>
        <v>0</v>
      </c>
      <c r="M634" s="4">
        <f t="shared" si="157"/>
        <v>0</v>
      </c>
      <c r="N634" s="4">
        <f t="shared" si="158"/>
        <v>0</v>
      </c>
      <c r="O634" s="4">
        <f t="shared" si="159"/>
        <v>0</v>
      </c>
      <c r="P634" s="4" t="e">
        <f>VLOOKUP(AJ626,'CIR Team Info'!$C$5:$E$44,2,FALSE)</f>
        <v>#N/A</v>
      </c>
      <c r="Q634" s="4" t="e">
        <f>VLOOKUP(AJ626,'CIR Team Info'!$C$5:$E$44,3,FALSE)</f>
        <v>#N/A</v>
      </c>
      <c r="R634" s="10" t="e">
        <f>VLOOKUP(AJ626,'FRC Site Data'!$B$3:$L$42,2,FALSE)</f>
        <v>#N/A</v>
      </c>
      <c r="S634" s="10" t="e">
        <f>VLOOKUP(AJ626,'FRC Site Data'!$B$3:$L$42,3,FALSE)</f>
        <v>#N/A</v>
      </c>
      <c r="T634" s="10" t="e">
        <f>VLOOKUP(AJ626,'FRC Site Data'!$B$3:$L$42,4,FALSE)</f>
        <v>#N/A</v>
      </c>
      <c r="U634" s="10" t="e">
        <f>VLOOKUP(AJ626,'FRC Site Data'!$B$3:$L$42,5,FALSE)</f>
        <v>#N/A</v>
      </c>
      <c r="V634" s="10" t="e">
        <f>VLOOKUP(AJ626,'FRC Site Data'!$B$3:$L$42,6,FALSE)</f>
        <v>#N/A</v>
      </c>
      <c r="W634" s="10" t="e">
        <f>VLOOKUP(AJ626,'FRC Site Data'!$B$3:$L$42,8,FALSE)</f>
        <v>#N/A</v>
      </c>
      <c r="X634" s="10" t="e">
        <f>VLOOKUP(AJ626,'FRC Site Data'!$B$3:$L$42,9,FALSE)</f>
        <v>#N/A</v>
      </c>
      <c r="Y634" s="10" t="e">
        <f>VLOOKUP(AJ626,'FRC Site Data'!$B$3:$L$42,10,FALSE)</f>
        <v>#N/A</v>
      </c>
      <c r="Z634" s="10" t="e">
        <f>VLOOKUP(AJ626,'FRC Site Data'!$B$3:$L$42,11,FALSE)</f>
        <v>#N/A</v>
      </c>
      <c r="AA634" s="10" t="e">
        <f>VLOOKUP(AJ626,'CIR Team Info'!$C$5:$E$44,4,FALSE)</f>
        <v>#N/A</v>
      </c>
      <c r="AB634" s="161" t="b">
        <f>ISNUMBER(VLOOKUP(AJ626,Match!$T$5:$T$10,1,FALSE))</f>
        <v>0</v>
      </c>
      <c r="AC634" s="161" t="b">
        <f>IF(AB634=TRUE,(VLOOKUP($AJ626,Match!$T$5:$U$10,2,FALSE)))</f>
        <v>0</v>
      </c>
      <c r="AD634" s="8">
        <v>3</v>
      </c>
      <c r="AE634" s="8">
        <v>2</v>
      </c>
      <c r="AF634" s="8">
        <v>2</v>
      </c>
      <c r="AG634" s="8">
        <v>1</v>
      </c>
      <c r="AH634" s="8" t="str">
        <f t="shared" si="161"/>
        <v/>
      </c>
    </row>
    <row r="635" spans="1:34" x14ac:dyDescent="0.25">
      <c r="A635" s="29">
        <f t="shared" si="160"/>
        <v>0</v>
      </c>
      <c r="B635" s="29">
        <f t="shared" si="147"/>
        <v>0</v>
      </c>
      <c r="C635" s="29">
        <f t="shared" si="148"/>
        <v>0</v>
      </c>
      <c r="D635" s="29">
        <f t="shared" si="149"/>
        <v>0</v>
      </c>
      <c r="E635" s="29">
        <f t="shared" si="146"/>
        <v>0</v>
      </c>
      <c r="F635" s="29">
        <f t="shared" si="150"/>
        <v>0</v>
      </c>
      <c r="G635" s="29" t="str">
        <f t="shared" si="151"/>
        <v>offensive</v>
      </c>
      <c r="H635" s="16">
        <f t="shared" si="152"/>
        <v>0</v>
      </c>
      <c r="I635" s="16">
        <f t="shared" si="153"/>
        <v>0</v>
      </c>
      <c r="J635" s="16">
        <f t="shared" si="154"/>
        <v>0</v>
      </c>
      <c r="K635" s="16">
        <f t="shared" si="155"/>
        <v>0</v>
      </c>
      <c r="L635" s="67">
        <f t="shared" si="156"/>
        <v>0</v>
      </c>
      <c r="M635" s="4">
        <f t="shared" si="157"/>
        <v>0</v>
      </c>
      <c r="N635" s="4">
        <f t="shared" si="158"/>
        <v>0</v>
      </c>
      <c r="O635" s="4">
        <f t="shared" si="159"/>
        <v>0</v>
      </c>
      <c r="P635" s="4" t="e">
        <f>VLOOKUP(AJ627,'CIR Team Info'!$C$5:$E$44,2,FALSE)</f>
        <v>#N/A</v>
      </c>
      <c r="Q635" s="4" t="e">
        <f>VLOOKUP(AJ627,'CIR Team Info'!$C$5:$E$44,3,FALSE)</f>
        <v>#N/A</v>
      </c>
      <c r="R635" s="10" t="e">
        <f>VLOOKUP(AJ627,'FRC Site Data'!$B$3:$L$42,2,FALSE)</f>
        <v>#N/A</v>
      </c>
      <c r="S635" s="10" t="e">
        <f>VLOOKUP(AJ627,'FRC Site Data'!$B$3:$L$42,3,FALSE)</f>
        <v>#N/A</v>
      </c>
      <c r="T635" s="10" t="e">
        <f>VLOOKUP(AJ627,'FRC Site Data'!$B$3:$L$42,4,FALSE)</f>
        <v>#N/A</v>
      </c>
      <c r="U635" s="10" t="e">
        <f>VLOOKUP(AJ627,'FRC Site Data'!$B$3:$L$42,5,FALSE)</f>
        <v>#N/A</v>
      </c>
      <c r="V635" s="10" t="e">
        <f>VLOOKUP(AJ627,'FRC Site Data'!$B$3:$L$42,6,FALSE)</f>
        <v>#N/A</v>
      </c>
      <c r="W635" s="10" t="e">
        <f>VLOOKUP(AJ627,'FRC Site Data'!$B$3:$L$42,8,FALSE)</f>
        <v>#N/A</v>
      </c>
      <c r="X635" s="10" t="e">
        <f>VLOOKUP(AJ627,'FRC Site Data'!$B$3:$L$42,9,FALSE)</f>
        <v>#N/A</v>
      </c>
      <c r="Y635" s="10" t="e">
        <f>VLOOKUP(AJ627,'FRC Site Data'!$B$3:$L$42,10,FALSE)</f>
        <v>#N/A</v>
      </c>
      <c r="Z635" s="10" t="e">
        <f>VLOOKUP(AJ627,'FRC Site Data'!$B$3:$L$42,11,FALSE)</f>
        <v>#N/A</v>
      </c>
      <c r="AA635" s="10" t="e">
        <f>VLOOKUP(AJ627,'CIR Team Info'!$C$5:$E$44,4,FALSE)</f>
        <v>#N/A</v>
      </c>
      <c r="AB635" s="161" t="b">
        <f>ISNUMBER(VLOOKUP(AJ627,Match!$T$5:$T$10,1,FALSE))</f>
        <v>0</v>
      </c>
      <c r="AC635" s="161" t="b">
        <f>IF(AB635=TRUE,(VLOOKUP($AJ627,Match!$T$5:$U$10,2,FALSE)))</f>
        <v>0</v>
      </c>
      <c r="AD635" s="8">
        <v>3</v>
      </c>
      <c r="AE635" s="8">
        <v>2</v>
      </c>
      <c r="AF635" s="8">
        <v>2</v>
      </c>
      <c r="AG635" s="8">
        <v>1</v>
      </c>
      <c r="AH635" s="8" t="str">
        <f t="shared" si="161"/>
        <v/>
      </c>
    </row>
    <row r="636" spans="1:34" x14ac:dyDescent="0.25">
      <c r="A636" s="29">
        <f t="shared" si="160"/>
        <v>0</v>
      </c>
      <c r="B636" s="29">
        <f t="shared" si="147"/>
        <v>0</v>
      </c>
      <c r="C636" s="29">
        <f t="shared" si="148"/>
        <v>0</v>
      </c>
      <c r="D636" s="29">
        <f t="shared" si="149"/>
        <v>0</v>
      </c>
      <c r="E636" s="29">
        <f t="shared" si="146"/>
        <v>0</v>
      </c>
      <c r="F636" s="29">
        <f t="shared" si="150"/>
        <v>0</v>
      </c>
      <c r="G636" s="29" t="str">
        <f t="shared" si="151"/>
        <v>offensive</v>
      </c>
      <c r="H636" s="16">
        <f t="shared" si="152"/>
        <v>0</v>
      </c>
      <c r="I636" s="16">
        <f t="shared" si="153"/>
        <v>0</v>
      </c>
      <c r="J636" s="16">
        <f t="shared" si="154"/>
        <v>0</v>
      </c>
      <c r="K636" s="16">
        <f t="shared" si="155"/>
        <v>0</v>
      </c>
      <c r="L636" s="67">
        <f t="shared" si="156"/>
        <v>0</v>
      </c>
      <c r="M636" s="4">
        <f t="shared" si="157"/>
        <v>0</v>
      </c>
      <c r="N636" s="4">
        <f t="shared" si="158"/>
        <v>0</v>
      </c>
      <c r="O636" s="4">
        <f t="shared" si="159"/>
        <v>0</v>
      </c>
      <c r="P636" s="4" t="e">
        <f>VLOOKUP(AJ628,'CIR Team Info'!$C$5:$E$44,2,FALSE)</f>
        <v>#N/A</v>
      </c>
      <c r="Q636" s="4" t="e">
        <f>VLOOKUP(AJ628,'CIR Team Info'!$C$5:$E$44,3,FALSE)</f>
        <v>#N/A</v>
      </c>
      <c r="R636" s="10" t="e">
        <f>VLOOKUP(AJ628,'FRC Site Data'!$B$3:$L$42,2,FALSE)</f>
        <v>#N/A</v>
      </c>
      <c r="S636" s="10" t="e">
        <f>VLOOKUP(AJ628,'FRC Site Data'!$B$3:$L$42,3,FALSE)</f>
        <v>#N/A</v>
      </c>
      <c r="T636" s="10" t="e">
        <f>VLOOKUP(AJ628,'FRC Site Data'!$B$3:$L$42,4,FALSE)</f>
        <v>#N/A</v>
      </c>
      <c r="U636" s="10" t="e">
        <f>VLOOKUP(AJ628,'FRC Site Data'!$B$3:$L$42,5,FALSE)</f>
        <v>#N/A</v>
      </c>
      <c r="V636" s="10" t="e">
        <f>VLOOKUP(AJ628,'FRC Site Data'!$B$3:$L$42,6,FALSE)</f>
        <v>#N/A</v>
      </c>
      <c r="W636" s="10" t="e">
        <f>VLOOKUP(AJ628,'FRC Site Data'!$B$3:$L$42,8,FALSE)</f>
        <v>#N/A</v>
      </c>
      <c r="X636" s="10" t="e">
        <f>VLOOKUP(AJ628,'FRC Site Data'!$B$3:$L$42,9,FALSE)</f>
        <v>#N/A</v>
      </c>
      <c r="Y636" s="10" t="e">
        <f>VLOOKUP(AJ628,'FRC Site Data'!$B$3:$L$42,10,FALSE)</f>
        <v>#N/A</v>
      </c>
      <c r="Z636" s="10" t="e">
        <f>VLOOKUP(AJ628,'FRC Site Data'!$B$3:$L$42,11,FALSE)</f>
        <v>#N/A</v>
      </c>
      <c r="AA636" s="10" t="e">
        <f>VLOOKUP(AJ628,'CIR Team Info'!$C$5:$E$44,4,FALSE)</f>
        <v>#N/A</v>
      </c>
      <c r="AB636" s="161" t="b">
        <f>ISNUMBER(VLOOKUP(AJ628,Match!$T$5:$T$10,1,FALSE))</f>
        <v>0</v>
      </c>
      <c r="AC636" s="161" t="b">
        <f>IF(AB636=TRUE,(VLOOKUP($AJ628,Match!$T$5:$U$10,2,FALSE)))</f>
        <v>0</v>
      </c>
      <c r="AD636" s="8">
        <v>3</v>
      </c>
      <c r="AE636" s="8">
        <v>2</v>
      </c>
      <c r="AF636" s="8">
        <v>2</v>
      </c>
      <c r="AG636" s="8">
        <v>1</v>
      </c>
      <c r="AH636" s="8" t="str">
        <f t="shared" si="161"/>
        <v/>
      </c>
    </row>
    <row r="637" spans="1:34" x14ac:dyDescent="0.25">
      <c r="A637" s="29">
        <f t="shared" si="160"/>
        <v>0</v>
      </c>
      <c r="B637" s="29">
        <f t="shared" si="147"/>
        <v>0</v>
      </c>
      <c r="C637" s="29">
        <f t="shared" si="148"/>
        <v>0</v>
      </c>
      <c r="D637" s="29">
        <f t="shared" si="149"/>
        <v>0</v>
      </c>
      <c r="E637" s="29">
        <f t="shared" si="146"/>
        <v>0</v>
      </c>
      <c r="F637" s="29">
        <f t="shared" si="150"/>
        <v>0</v>
      </c>
      <c r="G637" s="29" t="str">
        <f t="shared" si="151"/>
        <v>offensive</v>
      </c>
      <c r="H637" s="16">
        <f t="shared" si="152"/>
        <v>0</v>
      </c>
      <c r="I637" s="16">
        <f t="shared" si="153"/>
        <v>0</v>
      </c>
      <c r="J637" s="16">
        <f t="shared" si="154"/>
        <v>0</v>
      </c>
      <c r="K637" s="16">
        <f t="shared" si="155"/>
        <v>0</v>
      </c>
      <c r="L637" s="67">
        <f t="shared" si="156"/>
        <v>0</v>
      </c>
      <c r="M637" s="4">
        <f t="shared" si="157"/>
        <v>0</v>
      </c>
      <c r="N637" s="4">
        <f t="shared" si="158"/>
        <v>0</v>
      </c>
      <c r="O637" s="4">
        <f t="shared" si="159"/>
        <v>0</v>
      </c>
      <c r="P637" s="4" t="e">
        <f>VLOOKUP(AJ629,'CIR Team Info'!$C$5:$E$44,2,FALSE)</f>
        <v>#N/A</v>
      </c>
      <c r="Q637" s="4" t="e">
        <f>VLOOKUP(AJ629,'CIR Team Info'!$C$5:$E$44,3,FALSE)</f>
        <v>#N/A</v>
      </c>
      <c r="R637" s="10" t="e">
        <f>VLOOKUP(AJ629,'FRC Site Data'!$B$3:$L$42,2,FALSE)</f>
        <v>#N/A</v>
      </c>
      <c r="S637" s="10" t="e">
        <f>VLOOKUP(AJ629,'FRC Site Data'!$B$3:$L$42,3,FALSE)</f>
        <v>#N/A</v>
      </c>
      <c r="T637" s="10" t="e">
        <f>VLOOKUP(AJ629,'FRC Site Data'!$B$3:$L$42,4,FALSE)</f>
        <v>#N/A</v>
      </c>
      <c r="U637" s="10" t="e">
        <f>VLOOKUP(AJ629,'FRC Site Data'!$B$3:$L$42,5,FALSE)</f>
        <v>#N/A</v>
      </c>
      <c r="V637" s="10" t="e">
        <f>VLOOKUP(AJ629,'FRC Site Data'!$B$3:$L$42,6,FALSE)</f>
        <v>#N/A</v>
      </c>
      <c r="W637" s="10" t="e">
        <f>VLOOKUP(AJ629,'FRC Site Data'!$B$3:$L$42,8,FALSE)</f>
        <v>#N/A</v>
      </c>
      <c r="X637" s="10" t="e">
        <f>VLOOKUP(AJ629,'FRC Site Data'!$B$3:$L$42,9,FALSE)</f>
        <v>#N/A</v>
      </c>
      <c r="Y637" s="10" t="e">
        <f>VLOOKUP(AJ629,'FRC Site Data'!$B$3:$L$42,10,FALSE)</f>
        <v>#N/A</v>
      </c>
      <c r="Z637" s="10" t="e">
        <f>VLOOKUP(AJ629,'FRC Site Data'!$B$3:$L$42,11,FALSE)</f>
        <v>#N/A</v>
      </c>
      <c r="AA637" s="10" t="e">
        <f>VLOOKUP(AJ629,'CIR Team Info'!$C$5:$E$44,4,FALSE)</f>
        <v>#N/A</v>
      </c>
      <c r="AB637" s="161" t="b">
        <f>ISNUMBER(VLOOKUP(AJ629,Match!$T$5:$T$10,1,FALSE))</f>
        <v>0</v>
      </c>
      <c r="AC637" s="161" t="b">
        <f>IF(AB637=TRUE,(VLOOKUP($AJ629,Match!$T$5:$U$10,2,FALSE)))</f>
        <v>0</v>
      </c>
      <c r="AD637" s="8">
        <v>3</v>
      </c>
      <c r="AE637" s="8">
        <v>2</v>
      </c>
      <c r="AF637" s="8">
        <v>2</v>
      </c>
      <c r="AG637" s="8">
        <v>1</v>
      </c>
      <c r="AH637" s="8" t="str">
        <f t="shared" si="161"/>
        <v/>
      </c>
    </row>
    <row r="638" spans="1:34" x14ac:dyDescent="0.25">
      <c r="A638" s="29">
        <f t="shared" si="160"/>
        <v>0</v>
      </c>
      <c r="B638" s="29">
        <f t="shared" si="147"/>
        <v>0</v>
      </c>
      <c r="C638" s="29">
        <f t="shared" si="148"/>
        <v>0</v>
      </c>
      <c r="D638" s="29">
        <f t="shared" si="149"/>
        <v>0</v>
      </c>
      <c r="E638" s="29">
        <f t="shared" si="146"/>
        <v>0</v>
      </c>
      <c r="F638" s="29">
        <f t="shared" si="150"/>
        <v>0</v>
      </c>
      <c r="G638" s="29" t="str">
        <f t="shared" si="151"/>
        <v>offensive</v>
      </c>
      <c r="H638" s="16">
        <f t="shared" si="152"/>
        <v>0</v>
      </c>
      <c r="I638" s="16">
        <f t="shared" si="153"/>
        <v>0</v>
      </c>
      <c r="J638" s="16">
        <f t="shared" si="154"/>
        <v>0</v>
      </c>
      <c r="K638" s="16">
        <f t="shared" si="155"/>
        <v>0</v>
      </c>
      <c r="L638" s="67">
        <f t="shared" si="156"/>
        <v>0</v>
      </c>
      <c r="M638" s="4">
        <f t="shared" si="157"/>
        <v>0</v>
      </c>
      <c r="N638" s="4">
        <f t="shared" si="158"/>
        <v>0</v>
      </c>
      <c r="O638" s="4">
        <f t="shared" si="159"/>
        <v>0</v>
      </c>
      <c r="P638" s="4" t="e">
        <f>VLOOKUP(AJ630,'CIR Team Info'!$C$5:$E$44,2,FALSE)</f>
        <v>#N/A</v>
      </c>
      <c r="Q638" s="4" t="e">
        <f>VLOOKUP(AJ630,'CIR Team Info'!$C$5:$E$44,3,FALSE)</f>
        <v>#N/A</v>
      </c>
      <c r="R638" s="10" t="e">
        <f>VLOOKUP(AJ630,'FRC Site Data'!$B$3:$L$42,2,FALSE)</f>
        <v>#N/A</v>
      </c>
      <c r="S638" s="10" t="e">
        <f>VLOOKUP(AJ630,'FRC Site Data'!$B$3:$L$42,3,FALSE)</f>
        <v>#N/A</v>
      </c>
      <c r="T638" s="10" t="e">
        <f>VLOOKUP(AJ630,'FRC Site Data'!$B$3:$L$42,4,FALSE)</f>
        <v>#N/A</v>
      </c>
      <c r="U638" s="10" t="e">
        <f>VLOOKUP(AJ630,'FRC Site Data'!$B$3:$L$42,5,FALSE)</f>
        <v>#N/A</v>
      </c>
      <c r="V638" s="10" t="e">
        <f>VLOOKUP(AJ630,'FRC Site Data'!$B$3:$L$42,6,FALSE)</f>
        <v>#N/A</v>
      </c>
      <c r="W638" s="10" t="e">
        <f>VLOOKUP(AJ630,'FRC Site Data'!$B$3:$L$42,8,FALSE)</f>
        <v>#N/A</v>
      </c>
      <c r="X638" s="10" t="e">
        <f>VLOOKUP(AJ630,'FRC Site Data'!$B$3:$L$42,9,FALSE)</f>
        <v>#N/A</v>
      </c>
      <c r="Y638" s="10" t="e">
        <f>VLOOKUP(AJ630,'FRC Site Data'!$B$3:$L$42,10,FALSE)</f>
        <v>#N/A</v>
      </c>
      <c r="Z638" s="10" t="e">
        <f>VLOOKUP(AJ630,'FRC Site Data'!$B$3:$L$42,11,FALSE)</f>
        <v>#N/A</v>
      </c>
      <c r="AA638" s="10" t="e">
        <f>VLOOKUP(AJ630,'CIR Team Info'!$C$5:$E$44,4,FALSE)</f>
        <v>#N/A</v>
      </c>
      <c r="AB638" s="161" t="b">
        <f>ISNUMBER(VLOOKUP(AJ630,Match!$T$5:$T$10,1,FALSE))</f>
        <v>0</v>
      </c>
      <c r="AC638" s="161" t="b">
        <f>IF(AB638=TRUE,(VLOOKUP($AJ630,Match!$T$5:$U$10,2,FALSE)))</f>
        <v>0</v>
      </c>
      <c r="AD638" s="8">
        <v>3</v>
      </c>
      <c r="AE638" s="8">
        <v>2</v>
      </c>
      <c r="AF638" s="8">
        <v>2</v>
      </c>
      <c r="AG638" s="8">
        <v>1</v>
      </c>
      <c r="AH638" s="8" t="str">
        <f t="shared" si="161"/>
        <v/>
      </c>
    </row>
    <row r="639" spans="1:34" x14ac:dyDescent="0.25">
      <c r="A639" s="29">
        <f t="shared" si="160"/>
        <v>0</v>
      </c>
      <c r="B639" s="29">
        <f t="shared" si="147"/>
        <v>0</v>
      </c>
      <c r="C639" s="29">
        <f t="shared" si="148"/>
        <v>0</v>
      </c>
      <c r="D639" s="29">
        <f t="shared" si="149"/>
        <v>0</v>
      </c>
      <c r="E639" s="29">
        <f t="shared" si="146"/>
        <v>0</v>
      </c>
      <c r="F639" s="29">
        <f t="shared" si="150"/>
        <v>0</v>
      </c>
      <c r="G639" s="29" t="str">
        <f t="shared" si="151"/>
        <v>offensive</v>
      </c>
      <c r="H639" s="16">
        <f t="shared" si="152"/>
        <v>0</v>
      </c>
      <c r="I639" s="16">
        <f t="shared" si="153"/>
        <v>0</v>
      </c>
      <c r="J639" s="16">
        <f t="shared" si="154"/>
        <v>0</v>
      </c>
      <c r="K639" s="16">
        <f t="shared" si="155"/>
        <v>0</v>
      </c>
      <c r="L639" s="67">
        <f t="shared" si="156"/>
        <v>0</v>
      </c>
      <c r="M639" s="4">
        <f t="shared" si="157"/>
        <v>0</v>
      </c>
      <c r="N639" s="4">
        <f t="shared" si="158"/>
        <v>0</v>
      </c>
      <c r="O639" s="4">
        <f t="shared" si="159"/>
        <v>0</v>
      </c>
      <c r="P639" s="4" t="e">
        <f>VLOOKUP(AJ631,'CIR Team Info'!$C$5:$E$44,2,FALSE)</f>
        <v>#N/A</v>
      </c>
      <c r="Q639" s="4" t="e">
        <f>VLOOKUP(AJ631,'CIR Team Info'!$C$5:$E$44,3,FALSE)</f>
        <v>#N/A</v>
      </c>
      <c r="R639" s="10" t="e">
        <f>VLOOKUP(AJ631,'FRC Site Data'!$B$3:$L$42,2,FALSE)</f>
        <v>#N/A</v>
      </c>
      <c r="S639" s="10" t="e">
        <f>VLOOKUP(AJ631,'FRC Site Data'!$B$3:$L$42,3,FALSE)</f>
        <v>#N/A</v>
      </c>
      <c r="T639" s="10" t="e">
        <f>VLOOKUP(AJ631,'FRC Site Data'!$B$3:$L$42,4,FALSE)</f>
        <v>#N/A</v>
      </c>
      <c r="U639" s="10" t="e">
        <f>VLOOKUP(AJ631,'FRC Site Data'!$B$3:$L$42,5,FALSE)</f>
        <v>#N/A</v>
      </c>
      <c r="V639" s="10" t="e">
        <f>VLOOKUP(AJ631,'FRC Site Data'!$B$3:$L$42,6,FALSE)</f>
        <v>#N/A</v>
      </c>
      <c r="W639" s="10" t="e">
        <f>VLOOKUP(AJ631,'FRC Site Data'!$B$3:$L$42,8,FALSE)</f>
        <v>#N/A</v>
      </c>
      <c r="X639" s="10" t="e">
        <f>VLOOKUP(AJ631,'FRC Site Data'!$B$3:$L$42,9,FALSE)</f>
        <v>#N/A</v>
      </c>
      <c r="Y639" s="10" t="e">
        <f>VLOOKUP(AJ631,'FRC Site Data'!$B$3:$L$42,10,FALSE)</f>
        <v>#N/A</v>
      </c>
      <c r="Z639" s="10" t="e">
        <f>VLOOKUP(AJ631,'FRC Site Data'!$B$3:$L$42,11,FALSE)</f>
        <v>#N/A</v>
      </c>
      <c r="AA639" s="10" t="e">
        <f>VLOOKUP(AJ631,'CIR Team Info'!$C$5:$E$44,4,FALSE)</f>
        <v>#N/A</v>
      </c>
      <c r="AB639" s="161" t="b">
        <f>ISNUMBER(VLOOKUP(AJ631,Match!$T$5:$T$10,1,FALSE))</f>
        <v>0</v>
      </c>
      <c r="AC639" s="161" t="b">
        <f>IF(AB639=TRUE,(VLOOKUP($AJ631,Match!$T$5:$U$10,2,FALSE)))</f>
        <v>0</v>
      </c>
      <c r="AD639" s="8">
        <v>3</v>
      </c>
      <c r="AE639" s="8">
        <v>2</v>
      </c>
      <c r="AF639" s="8">
        <v>2</v>
      </c>
      <c r="AG639" s="8">
        <v>1</v>
      </c>
      <c r="AH639" s="8" t="str">
        <f t="shared" si="161"/>
        <v/>
      </c>
    </row>
    <row r="640" spans="1:34" x14ac:dyDescent="0.25">
      <c r="A640" s="29">
        <f t="shared" si="160"/>
        <v>0</v>
      </c>
      <c r="B640" s="29">
        <f t="shared" si="147"/>
        <v>0</v>
      </c>
      <c r="C640" s="29">
        <f t="shared" si="148"/>
        <v>0</v>
      </c>
      <c r="D640" s="29">
        <f t="shared" si="149"/>
        <v>0</v>
      </c>
      <c r="E640" s="29">
        <f t="shared" si="146"/>
        <v>0</v>
      </c>
      <c r="F640" s="29">
        <f t="shared" si="150"/>
        <v>0</v>
      </c>
      <c r="G640" s="29" t="str">
        <f t="shared" si="151"/>
        <v>offensive</v>
      </c>
      <c r="H640" s="16">
        <f t="shared" si="152"/>
        <v>0</v>
      </c>
      <c r="I640" s="16">
        <f t="shared" si="153"/>
        <v>0</v>
      </c>
      <c r="J640" s="16">
        <f t="shared" si="154"/>
        <v>0</v>
      </c>
      <c r="K640" s="16">
        <f t="shared" si="155"/>
        <v>0</v>
      </c>
      <c r="L640" s="67">
        <f t="shared" si="156"/>
        <v>0</v>
      </c>
      <c r="M640" s="4">
        <f t="shared" si="157"/>
        <v>0</v>
      </c>
      <c r="N640" s="4">
        <f t="shared" si="158"/>
        <v>0</v>
      </c>
      <c r="O640" s="4">
        <f t="shared" si="159"/>
        <v>0</v>
      </c>
      <c r="P640" s="4" t="e">
        <f>VLOOKUP(AJ632,'CIR Team Info'!$C$5:$E$44,2,FALSE)</f>
        <v>#N/A</v>
      </c>
      <c r="Q640" s="4" t="e">
        <f>VLOOKUP(AJ632,'CIR Team Info'!$C$5:$E$44,3,FALSE)</f>
        <v>#N/A</v>
      </c>
      <c r="R640" s="10" t="e">
        <f>VLOOKUP(AJ632,'FRC Site Data'!$B$3:$L$42,2,FALSE)</f>
        <v>#N/A</v>
      </c>
      <c r="S640" s="10" t="e">
        <f>VLOOKUP(AJ632,'FRC Site Data'!$B$3:$L$42,3,FALSE)</f>
        <v>#N/A</v>
      </c>
      <c r="T640" s="10" t="e">
        <f>VLOOKUP(AJ632,'FRC Site Data'!$B$3:$L$42,4,FALSE)</f>
        <v>#N/A</v>
      </c>
      <c r="U640" s="10" t="e">
        <f>VLOOKUP(AJ632,'FRC Site Data'!$B$3:$L$42,5,FALSE)</f>
        <v>#N/A</v>
      </c>
      <c r="V640" s="10" t="e">
        <f>VLOOKUP(AJ632,'FRC Site Data'!$B$3:$L$42,6,FALSE)</f>
        <v>#N/A</v>
      </c>
      <c r="W640" s="10" t="e">
        <f>VLOOKUP(AJ632,'FRC Site Data'!$B$3:$L$42,8,FALSE)</f>
        <v>#N/A</v>
      </c>
      <c r="X640" s="10" t="e">
        <f>VLOOKUP(AJ632,'FRC Site Data'!$B$3:$L$42,9,FALSE)</f>
        <v>#N/A</v>
      </c>
      <c r="Y640" s="10" t="e">
        <f>VLOOKUP(AJ632,'FRC Site Data'!$B$3:$L$42,10,FALSE)</f>
        <v>#N/A</v>
      </c>
      <c r="Z640" s="10" t="e">
        <f>VLOOKUP(AJ632,'FRC Site Data'!$B$3:$L$42,11,FALSE)</f>
        <v>#N/A</v>
      </c>
      <c r="AA640" s="10" t="e">
        <f>VLOOKUP(AJ632,'CIR Team Info'!$C$5:$E$44,4,FALSE)</f>
        <v>#N/A</v>
      </c>
      <c r="AB640" s="161" t="b">
        <f>ISNUMBER(VLOOKUP(AJ632,Match!$T$5:$T$10,1,FALSE))</f>
        <v>0</v>
      </c>
      <c r="AC640" s="161" t="b">
        <f>IF(AB640=TRUE,(VLOOKUP($AJ632,Match!$T$5:$U$10,2,FALSE)))</f>
        <v>0</v>
      </c>
      <c r="AD640" s="8">
        <v>3</v>
      </c>
      <c r="AE640" s="8">
        <v>2</v>
      </c>
      <c r="AF640" s="8">
        <v>2</v>
      </c>
      <c r="AG640" s="8">
        <v>1</v>
      </c>
      <c r="AH640" s="8" t="str">
        <f t="shared" si="161"/>
        <v/>
      </c>
    </row>
    <row r="641" spans="1:34" x14ac:dyDescent="0.25">
      <c r="A641" s="29">
        <f t="shared" si="160"/>
        <v>0</v>
      </c>
      <c r="B641" s="29">
        <f t="shared" si="147"/>
        <v>0</v>
      </c>
      <c r="C641" s="29">
        <f t="shared" si="148"/>
        <v>0</v>
      </c>
      <c r="D641" s="29">
        <f t="shared" si="149"/>
        <v>0</v>
      </c>
      <c r="E641" s="29">
        <f t="shared" ref="E641:E704" si="162">K641*O641</f>
        <v>0</v>
      </c>
      <c r="F641" s="29">
        <f t="shared" si="150"/>
        <v>0</v>
      </c>
      <c r="G641" s="29" t="str">
        <f t="shared" si="151"/>
        <v>offensive</v>
      </c>
      <c r="H641" s="16">
        <f t="shared" si="152"/>
        <v>0</v>
      </c>
      <c r="I641" s="16">
        <f t="shared" si="153"/>
        <v>0</v>
      </c>
      <c r="J641" s="16">
        <f t="shared" si="154"/>
        <v>0</v>
      </c>
      <c r="K641" s="16">
        <f t="shared" si="155"/>
        <v>0</v>
      </c>
      <c r="L641" s="67">
        <f t="shared" si="156"/>
        <v>0</v>
      </c>
      <c r="M641" s="4">
        <f t="shared" si="157"/>
        <v>0</v>
      </c>
      <c r="N641" s="4">
        <f t="shared" si="158"/>
        <v>0</v>
      </c>
      <c r="O641" s="4">
        <f t="shared" si="159"/>
        <v>0</v>
      </c>
      <c r="P641" s="4" t="e">
        <f>VLOOKUP(AJ633,'CIR Team Info'!$C$5:$E$44,2,FALSE)</f>
        <v>#N/A</v>
      </c>
      <c r="Q641" s="4" t="e">
        <f>VLOOKUP(AJ633,'CIR Team Info'!$C$5:$E$44,3,FALSE)</f>
        <v>#N/A</v>
      </c>
      <c r="R641" s="10" t="e">
        <f>VLOOKUP(AJ633,'FRC Site Data'!$B$3:$L$42,2,FALSE)</f>
        <v>#N/A</v>
      </c>
      <c r="S641" s="10" t="e">
        <f>VLOOKUP(AJ633,'FRC Site Data'!$B$3:$L$42,3,FALSE)</f>
        <v>#N/A</v>
      </c>
      <c r="T641" s="10" t="e">
        <f>VLOOKUP(AJ633,'FRC Site Data'!$B$3:$L$42,4,FALSE)</f>
        <v>#N/A</v>
      </c>
      <c r="U641" s="10" t="e">
        <f>VLOOKUP(AJ633,'FRC Site Data'!$B$3:$L$42,5,FALSE)</f>
        <v>#N/A</v>
      </c>
      <c r="V641" s="10" t="e">
        <f>VLOOKUP(AJ633,'FRC Site Data'!$B$3:$L$42,6,FALSE)</f>
        <v>#N/A</v>
      </c>
      <c r="W641" s="10" t="e">
        <f>VLOOKUP(AJ633,'FRC Site Data'!$B$3:$L$42,8,FALSE)</f>
        <v>#N/A</v>
      </c>
      <c r="X641" s="10" t="e">
        <f>VLOOKUP(AJ633,'FRC Site Data'!$B$3:$L$42,9,FALSE)</f>
        <v>#N/A</v>
      </c>
      <c r="Y641" s="10" t="e">
        <f>VLOOKUP(AJ633,'FRC Site Data'!$B$3:$L$42,10,FALSE)</f>
        <v>#N/A</v>
      </c>
      <c r="Z641" s="10" t="e">
        <f>VLOOKUP(AJ633,'FRC Site Data'!$B$3:$L$42,11,FALSE)</f>
        <v>#N/A</v>
      </c>
      <c r="AA641" s="10" t="e">
        <f>VLOOKUP(AJ633,'CIR Team Info'!$C$5:$E$44,4,FALSE)</f>
        <v>#N/A</v>
      </c>
      <c r="AB641" s="161" t="b">
        <f>ISNUMBER(VLOOKUP(AJ633,Match!$T$5:$T$10,1,FALSE))</f>
        <v>0</v>
      </c>
      <c r="AC641" s="161" t="b">
        <f>IF(AB641=TRUE,(VLOOKUP($AJ633,Match!$T$5:$U$10,2,FALSE)))</f>
        <v>0</v>
      </c>
      <c r="AD641" s="8">
        <v>3</v>
      </c>
      <c r="AE641" s="8">
        <v>2</v>
      </c>
      <c r="AF641" s="8">
        <v>2</v>
      </c>
      <c r="AG641" s="8">
        <v>1</v>
      </c>
      <c r="AH641" s="8" t="str">
        <f t="shared" si="161"/>
        <v/>
      </c>
    </row>
    <row r="642" spans="1:34" x14ac:dyDescent="0.25">
      <c r="A642" s="29">
        <f t="shared" si="160"/>
        <v>0</v>
      </c>
      <c r="B642" s="29">
        <f t="shared" si="147"/>
        <v>0</v>
      </c>
      <c r="C642" s="29">
        <f t="shared" si="148"/>
        <v>0</v>
      </c>
      <c r="D642" s="29">
        <f t="shared" si="149"/>
        <v>0</v>
      </c>
      <c r="E642" s="29">
        <f t="shared" si="162"/>
        <v>0</v>
      </c>
      <c r="F642" s="29">
        <f t="shared" si="150"/>
        <v>0</v>
      </c>
      <c r="G642" s="29" t="str">
        <f t="shared" si="151"/>
        <v>offensive</v>
      </c>
      <c r="H642" s="16">
        <f t="shared" si="152"/>
        <v>0</v>
      </c>
      <c r="I642" s="16">
        <f t="shared" si="153"/>
        <v>0</v>
      </c>
      <c r="J642" s="16">
        <f t="shared" si="154"/>
        <v>0</v>
      </c>
      <c r="K642" s="16">
        <f t="shared" si="155"/>
        <v>0</v>
      </c>
      <c r="L642" s="67">
        <f t="shared" si="156"/>
        <v>0</v>
      </c>
      <c r="M642" s="4">
        <f t="shared" si="157"/>
        <v>0</v>
      </c>
      <c r="N642" s="4">
        <f t="shared" si="158"/>
        <v>0</v>
      </c>
      <c r="O642" s="4">
        <f t="shared" si="159"/>
        <v>0</v>
      </c>
      <c r="P642" s="4" t="e">
        <f>VLOOKUP(AJ634,'CIR Team Info'!$C$5:$E$44,2,FALSE)</f>
        <v>#N/A</v>
      </c>
      <c r="Q642" s="4" t="e">
        <f>VLOOKUP(AJ634,'CIR Team Info'!$C$5:$E$44,3,FALSE)</f>
        <v>#N/A</v>
      </c>
      <c r="R642" s="10" t="e">
        <f>VLOOKUP(AJ634,'FRC Site Data'!$B$3:$L$42,2,FALSE)</f>
        <v>#N/A</v>
      </c>
      <c r="S642" s="10" t="e">
        <f>VLOOKUP(AJ634,'FRC Site Data'!$B$3:$L$42,3,FALSE)</f>
        <v>#N/A</v>
      </c>
      <c r="T642" s="10" t="e">
        <f>VLOOKUP(AJ634,'FRC Site Data'!$B$3:$L$42,4,FALSE)</f>
        <v>#N/A</v>
      </c>
      <c r="U642" s="10" t="e">
        <f>VLOOKUP(AJ634,'FRC Site Data'!$B$3:$L$42,5,FALSE)</f>
        <v>#N/A</v>
      </c>
      <c r="V642" s="10" t="e">
        <f>VLOOKUP(AJ634,'FRC Site Data'!$B$3:$L$42,6,FALSE)</f>
        <v>#N/A</v>
      </c>
      <c r="W642" s="10" t="e">
        <f>VLOOKUP(AJ634,'FRC Site Data'!$B$3:$L$42,8,FALSE)</f>
        <v>#N/A</v>
      </c>
      <c r="X642" s="10" t="e">
        <f>VLOOKUP(AJ634,'FRC Site Data'!$B$3:$L$42,9,FALSE)</f>
        <v>#N/A</v>
      </c>
      <c r="Y642" s="10" t="e">
        <f>VLOOKUP(AJ634,'FRC Site Data'!$B$3:$L$42,10,FALSE)</f>
        <v>#N/A</v>
      </c>
      <c r="Z642" s="10" t="e">
        <f>VLOOKUP(AJ634,'FRC Site Data'!$B$3:$L$42,11,FALSE)</f>
        <v>#N/A</v>
      </c>
      <c r="AA642" s="10" t="e">
        <f>VLOOKUP(AJ634,'CIR Team Info'!$C$5:$E$44,4,FALSE)</f>
        <v>#N/A</v>
      </c>
      <c r="AB642" s="161" t="b">
        <f>ISNUMBER(VLOOKUP(AJ634,Match!$T$5:$T$10,1,FALSE))</f>
        <v>0</v>
      </c>
      <c r="AC642" s="161" t="b">
        <f>IF(AB642=TRUE,(VLOOKUP($AJ634,Match!$T$5:$U$10,2,FALSE)))</f>
        <v>0</v>
      </c>
      <c r="AD642" s="8">
        <v>3</v>
      </c>
      <c r="AE642" s="8">
        <v>2</v>
      </c>
      <c r="AF642" s="8">
        <v>2</v>
      </c>
      <c r="AG642" s="8">
        <v>1</v>
      </c>
      <c r="AH642" s="8" t="str">
        <f t="shared" si="161"/>
        <v/>
      </c>
    </row>
    <row r="643" spans="1:34" x14ac:dyDescent="0.25">
      <c r="A643" s="29">
        <f t="shared" si="160"/>
        <v>0</v>
      </c>
      <c r="B643" s="29">
        <f t="shared" si="147"/>
        <v>0</v>
      </c>
      <c r="C643" s="29">
        <f t="shared" si="148"/>
        <v>0</v>
      </c>
      <c r="D643" s="29">
        <f t="shared" si="149"/>
        <v>0</v>
      </c>
      <c r="E643" s="29">
        <f t="shared" si="162"/>
        <v>0</v>
      </c>
      <c r="F643" s="29">
        <f t="shared" si="150"/>
        <v>0</v>
      </c>
      <c r="G643" s="29" t="str">
        <f t="shared" si="151"/>
        <v>offensive</v>
      </c>
      <c r="H643" s="16">
        <f t="shared" si="152"/>
        <v>0</v>
      </c>
      <c r="I643" s="16">
        <f t="shared" si="153"/>
        <v>0</v>
      </c>
      <c r="J643" s="16">
        <f t="shared" si="154"/>
        <v>0</v>
      </c>
      <c r="K643" s="16">
        <f t="shared" si="155"/>
        <v>0</v>
      </c>
      <c r="L643" s="67">
        <f t="shared" si="156"/>
        <v>0</v>
      </c>
      <c r="M643" s="4">
        <f t="shared" si="157"/>
        <v>0</v>
      </c>
      <c r="N643" s="4">
        <f t="shared" si="158"/>
        <v>0</v>
      </c>
      <c r="O643" s="4">
        <f t="shared" si="159"/>
        <v>0</v>
      </c>
      <c r="P643" s="4" t="e">
        <f>VLOOKUP(AJ635,'CIR Team Info'!$C$5:$E$44,2,FALSE)</f>
        <v>#N/A</v>
      </c>
      <c r="Q643" s="4" t="e">
        <f>VLOOKUP(AJ635,'CIR Team Info'!$C$5:$E$44,3,FALSE)</f>
        <v>#N/A</v>
      </c>
      <c r="R643" s="10" t="e">
        <f>VLOOKUP(AJ635,'FRC Site Data'!$B$3:$L$42,2,FALSE)</f>
        <v>#N/A</v>
      </c>
      <c r="S643" s="10" t="e">
        <f>VLOOKUP(AJ635,'FRC Site Data'!$B$3:$L$42,3,FALSE)</f>
        <v>#N/A</v>
      </c>
      <c r="T643" s="10" t="e">
        <f>VLOOKUP(AJ635,'FRC Site Data'!$B$3:$L$42,4,FALSE)</f>
        <v>#N/A</v>
      </c>
      <c r="U643" s="10" t="e">
        <f>VLOOKUP(AJ635,'FRC Site Data'!$B$3:$L$42,5,FALSE)</f>
        <v>#N/A</v>
      </c>
      <c r="V643" s="10" t="e">
        <f>VLOOKUP(AJ635,'FRC Site Data'!$B$3:$L$42,6,FALSE)</f>
        <v>#N/A</v>
      </c>
      <c r="W643" s="10" t="e">
        <f>VLOOKUP(AJ635,'FRC Site Data'!$B$3:$L$42,8,FALSE)</f>
        <v>#N/A</v>
      </c>
      <c r="X643" s="10" t="e">
        <f>VLOOKUP(AJ635,'FRC Site Data'!$B$3:$L$42,9,FALSE)</f>
        <v>#N/A</v>
      </c>
      <c r="Y643" s="10" t="e">
        <f>VLOOKUP(AJ635,'FRC Site Data'!$B$3:$L$42,10,FALSE)</f>
        <v>#N/A</v>
      </c>
      <c r="Z643" s="10" t="e">
        <f>VLOOKUP(AJ635,'FRC Site Data'!$B$3:$L$42,11,FALSE)</f>
        <v>#N/A</v>
      </c>
      <c r="AA643" s="10" t="e">
        <f>VLOOKUP(AJ635,'CIR Team Info'!$C$5:$E$44,4,FALSE)</f>
        <v>#N/A</v>
      </c>
      <c r="AB643" s="161" t="b">
        <f>ISNUMBER(VLOOKUP(AJ635,Match!$T$5:$T$10,1,FALSE))</f>
        <v>0</v>
      </c>
      <c r="AC643" s="161" t="b">
        <f>IF(AB643=TRUE,(VLOOKUP($AJ635,Match!$T$5:$U$10,2,FALSE)))</f>
        <v>0</v>
      </c>
      <c r="AD643" s="8">
        <v>3</v>
      </c>
      <c r="AE643" s="8">
        <v>2</v>
      </c>
      <c r="AF643" s="8">
        <v>2</v>
      </c>
      <c r="AG643" s="8">
        <v>1</v>
      </c>
      <c r="AH643" s="8" t="str">
        <f t="shared" si="161"/>
        <v/>
      </c>
    </row>
    <row r="644" spans="1:34" x14ac:dyDescent="0.25">
      <c r="A644" s="29">
        <f t="shared" si="160"/>
        <v>0</v>
      </c>
      <c r="B644" s="29">
        <f t="shared" si="147"/>
        <v>0</v>
      </c>
      <c r="C644" s="29">
        <f t="shared" si="148"/>
        <v>0</v>
      </c>
      <c r="D644" s="29">
        <f t="shared" si="149"/>
        <v>0</v>
      </c>
      <c r="E644" s="29">
        <f t="shared" si="162"/>
        <v>0</v>
      </c>
      <c r="F644" s="29">
        <f t="shared" si="150"/>
        <v>0</v>
      </c>
      <c r="G644" s="29" t="str">
        <f t="shared" si="151"/>
        <v>offensive</v>
      </c>
      <c r="H644" s="16">
        <f t="shared" si="152"/>
        <v>0</v>
      </c>
      <c r="I644" s="16">
        <f t="shared" si="153"/>
        <v>0</v>
      </c>
      <c r="J644" s="16">
        <f t="shared" si="154"/>
        <v>0</v>
      </c>
      <c r="K644" s="16">
        <f t="shared" si="155"/>
        <v>0</v>
      </c>
      <c r="L644" s="67">
        <f t="shared" si="156"/>
        <v>0</v>
      </c>
      <c r="M644" s="4">
        <f t="shared" si="157"/>
        <v>0</v>
      </c>
      <c r="N644" s="4">
        <f t="shared" si="158"/>
        <v>0</v>
      </c>
      <c r="O644" s="4">
        <f t="shared" si="159"/>
        <v>0</v>
      </c>
      <c r="P644" s="4" t="e">
        <f>VLOOKUP(AJ636,'CIR Team Info'!$C$5:$E$44,2,FALSE)</f>
        <v>#N/A</v>
      </c>
      <c r="Q644" s="4" t="e">
        <f>VLOOKUP(AJ636,'CIR Team Info'!$C$5:$E$44,3,FALSE)</f>
        <v>#N/A</v>
      </c>
      <c r="R644" s="10" t="e">
        <f>VLOOKUP(AJ636,'FRC Site Data'!$B$3:$L$42,2,FALSE)</f>
        <v>#N/A</v>
      </c>
      <c r="S644" s="10" t="e">
        <f>VLOOKUP(AJ636,'FRC Site Data'!$B$3:$L$42,3,FALSE)</f>
        <v>#N/A</v>
      </c>
      <c r="T644" s="10" t="e">
        <f>VLOOKUP(AJ636,'FRC Site Data'!$B$3:$L$42,4,FALSE)</f>
        <v>#N/A</v>
      </c>
      <c r="U644" s="10" t="e">
        <f>VLOOKUP(AJ636,'FRC Site Data'!$B$3:$L$42,5,FALSE)</f>
        <v>#N/A</v>
      </c>
      <c r="V644" s="10" t="e">
        <f>VLOOKUP(AJ636,'FRC Site Data'!$B$3:$L$42,6,FALSE)</f>
        <v>#N/A</v>
      </c>
      <c r="W644" s="10" t="e">
        <f>VLOOKUP(AJ636,'FRC Site Data'!$B$3:$L$42,8,FALSE)</f>
        <v>#N/A</v>
      </c>
      <c r="X644" s="10" t="e">
        <f>VLOOKUP(AJ636,'FRC Site Data'!$B$3:$L$42,9,FALSE)</f>
        <v>#N/A</v>
      </c>
      <c r="Y644" s="10" t="e">
        <f>VLOOKUP(AJ636,'FRC Site Data'!$B$3:$L$42,10,FALSE)</f>
        <v>#N/A</v>
      </c>
      <c r="Z644" s="10" t="e">
        <f>VLOOKUP(AJ636,'FRC Site Data'!$B$3:$L$42,11,FALSE)</f>
        <v>#N/A</v>
      </c>
      <c r="AA644" s="10" t="e">
        <f>VLOOKUP(AJ636,'CIR Team Info'!$C$5:$E$44,4,FALSE)</f>
        <v>#N/A</v>
      </c>
      <c r="AB644" s="161" t="b">
        <f>ISNUMBER(VLOOKUP(AJ636,Match!$T$5:$T$10,1,FALSE))</f>
        <v>0</v>
      </c>
      <c r="AC644" s="161" t="b">
        <f>IF(AB644=TRUE,(VLOOKUP($AJ636,Match!$T$5:$U$10,2,FALSE)))</f>
        <v>0</v>
      </c>
      <c r="AD644" s="8">
        <v>3</v>
      </c>
      <c r="AE644" s="8">
        <v>2</v>
      </c>
      <c r="AF644" s="8">
        <v>2</v>
      </c>
      <c r="AG644" s="8">
        <v>1</v>
      </c>
      <c r="AH644" s="8" t="str">
        <f t="shared" si="161"/>
        <v/>
      </c>
    </row>
    <row r="645" spans="1:34" x14ac:dyDescent="0.25">
      <c r="A645" s="29">
        <f t="shared" si="160"/>
        <v>0</v>
      </c>
      <c r="B645" s="29">
        <f t="shared" si="147"/>
        <v>0</v>
      </c>
      <c r="C645" s="29">
        <f t="shared" si="148"/>
        <v>0</v>
      </c>
      <c r="D645" s="29">
        <f t="shared" si="149"/>
        <v>0</v>
      </c>
      <c r="E645" s="29">
        <f t="shared" si="162"/>
        <v>0</v>
      </c>
      <c r="F645" s="29">
        <f t="shared" si="150"/>
        <v>0</v>
      </c>
      <c r="G645" s="29" t="str">
        <f t="shared" si="151"/>
        <v>offensive</v>
      </c>
      <c r="H645" s="16">
        <f t="shared" si="152"/>
        <v>0</v>
      </c>
      <c r="I645" s="16">
        <f t="shared" si="153"/>
        <v>0</v>
      </c>
      <c r="J645" s="16">
        <f t="shared" si="154"/>
        <v>0</v>
      </c>
      <c r="K645" s="16">
        <f t="shared" si="155"/>
        <v>0</v>
      </c>
      <c r="L645" s="67">
        <f t="shared" si="156"/>
        <v>0</v>
      </c>
      <c r="M645" s="4">
        <f t="shared" si="157"/>
        <v>0</v>
      </c>
      <c r="N645" s="4">
        <f t="shared" si="158"/>
        <v>0</v>
      </c>
      <c r="O645" s="4">
        <f t="shared" si="159"/>
        <v>0</v>
      </c>
      <c r="P645" s="4" t="e">
        <f>VLOOKUP(AJ637,'CIR Team Info'!$C$5:$E$44,2,FALSE)</f>
        <v>#N/A</v>
      </c>
      <c r="Q645" s="4" t="e">
        <f>VLOOKUP(AJ637,'CIR Team Info'!$C$5:$E$44,3,FALSE)</f>
        <v>#N/A</v>
      </c>
      <c r="R645" s="10" t="e">
        <f>VLOOKUP(AJ637,'FRC Site Data'!$B$3:$L$42,2,FALSE)</f>
        <v>#N/A</v>
      </c>
      <c r="S645" s="10" t="e">
        <f>VLOOKUP(AJ637,'FRC Site Data'!$B$3:$L$42,3,FALSE)</f>
        <v>#N/A</v>
      </c>
      <c r="T645" s="10" t="e">
        <f>VLOOKUP(AJ637,'FRC Site Data'!$B$3:$L$42,4,FALSE)</f>
        <v>#N/A</v>
      </c>
      <c r="U645" s="10" t="e">
        <f>VLOOKUP(AJ637,'FRC Site Data'!$B$3:$L$42,5,FALSE)</f>
        <v>#N/A</v>
      </c>
      <c r="V645" s="10" t="e">
        <f>VLOOKUP(AJ637,'FRC Site Data'!$B$3:$L$42,6,FALSE)</f>
        <v>#N/A</v>
      </c>
      <c r="W645" s="10" t="e">
        <f>VLOOKUP(AJ637,'FRC Site Data'!$B$3:$L$42,8,FALSE)</f>
        <v>#N/A</v>
      </c>
      <c r="X645" s="10" t="e">
        <f>VLOOKUP(AJ637,'FRC Site Data'!$B$3:$L$42,9,FALSE)</f>
        <v>#N/A</v>
      </c>
      <c r="Y645" s="10" t="e">
        <f>VLOOKUP(AJ637,'FRC Site Data'!$B$3:$L$42,10,FALSE)</f>
        <v>#N/A</v>
      </c>
      <c r="Z645" s="10" t="e">
        <f>VLOOKUP(AJ637,'FRC Site Data'!$B$3:$L$42,11,FALSE)</f>
        <v>#N/A</v>
      </c>
      <c r="AA645" s="10" t="e">
        <f>VLOOKUP(AJ637,'CIR Team Info'!$C$5:$E$44,4,FALSE)</f>
        <v>#N/A</v>
      </c>
      <c r="AB645" s="161" t="b">
        <f>ISNUMBER(VLOOKUP(AJ637,Match!$T$5:$T$10,1,FALSE))</f>
        <v>0</v>
      </c>
      <c r="AC645" s="161" t="b">
        <f>IF(AB645=TRUE,(VLOOKUP($AJ637,Match!$T$5:$U$10,2,FALSE)))</f>
        <v>0</v>
      </c>
      <c r="AD645" s="8">
        <v>3</v>
      </c>
      <c r="AE645" s="8">
        <v>2</v>
      </c>
      <c r="AF645" s="8">
        <v>2</v>
      </c>
      <c r="AG645" s="8">
        <v>1</v>
      </c>
      <c r="AH645" s="8" t="str">
        <f t="shared" si="161"/>
        <v/>
      </c>
    </row>
    <row r="646" spans="1:34" x14ac:dyDescent="0.25">
      <c r="A646" s="29">
        <f t="shared" si="160"/>
        <v>0</v>
      </c>
      <c r="B646" s="29">
        <f t="shared" si="147"/>
        <v>0</v>
      </c>
      <c r="C646" s="29">
        <f t="shared" si="148"/>
        <v>0</v>
      </c>
      <c r="D646" s="29">
        <f t="shared" si="149"/>
        <v>0</v>
      </c>
      <c r="E646" s="29">
        <f t="shared" si="162"/>
        <v>0</v>
      </c>
      <c r="F646" s="29">
        <f t="shared" si="150"/>
        <v>0</v>
      </c>
      <c r="G646" s="29" t="str">
        <f t="shared" si="151"/>
        <v>offensive</v>
      </c>
      <c r="H646" s="16">
        <f t="shared" si="152"/>
        <v>0</v>
      </c>
      <c r="I646" s="16">
        <f t="shared" si="153"/>
        <v>0</v>
      </c>
      <c r="J646" s="16">
        <f t="shared" si="154"/>
        <v>0</v>
      </c>
      <c r="K646" s="16">
        <f t="shared" si="155"/>
        <v>0</v>
      </c>
      <c r="L646" s="67">
        <f t="shared" si="156"/>
        <v>0</v>
      </c>
      <c r="M646" s="4">
        <f t="shared" si="157"/>
        <v>0</v>
      </c>
      <c r="N646" s="4">
        <f t="shared" si="158"/>
        <v>0</v>
      </c>
      <c r="O646" s="4">
        <f t="shared" si="159"/>
        <v>0</v>
      </c>
      <c r="P646" s="4" t="e">
        <f>VLOOKUP(AJ638,'CIR Team Info'!$C$5:$E$44,2,FALSE)</f>
        <v>#N/A</v>
      </c>
      <c r="Q646" s="4" t="e">
        <f>VLOOKUP(AJ638,'CIR Team Info'!$C$5:$E$44,3,FALSE)</f>
        <v>#N/A</v>
      </c>
      <c r="R646" s="10" t="e">
        <f>VLOOKUP(AJ638,'FRC Site Data'!$B$3:$L$42,2,FALSE)</f>
        <v>#N/A</v>
      </c>
      <c r="S646" s="10" t="e">
        <f>VLOOKUP(AJ638,'FRC Site Data'!$B$3:$L$42,3,FALSE)</f>
        <v>#N/A</v>
      </c>
      <c r="T646" s="10" t="e">
        <f>VLOOKUP(AJ638,'FRC Site Data'!$B$3:$L$42,4,FALSE)</f>
        <v>#N/A</v>
      </c>
      <c r="U646" s="10" t="e">
        <f>VLOOKUP(AJ638,'FRC Site Data'!$B$3:$L$42,5,FALSE)</f>
        <v>#N/A</v>
      </c>
      <c r="V646" s="10" t="e">
        <f>VLOOKUP(AJ638,'FRC Site Data'!$B$3:$L$42,6,FALSE)</f>
        <v>#N/A</v>
      </c>
      <c r="W646" s="10" t="e">
        <f>VLOOKUP(AJ638,'FRC Site Data'!$B$3:$L$42,8,FALSE)</f>
        <v>#N/A</v>
      </c>
      <c r="X646" s="10" t="e">
        <f>VLOOKUP(AJ638,'FRC Site Data'!$B$3:$L$42,9,FALSE)</f>
        <v>#N/A</v>
      </c>
      <c r="Y646" s="10" t="e">
        <f>VLOOKUP(AJ638,'FRC Site Data'!$B$3:$L$42,10,FALSE)</f>
        <v>#N/A</v>
      </c>
      <c r="Z646" s="10" t="e">
        <f>VLOOKUP(AJ638,'FRC Site Data'!$B$3:$L$42,11,FALSE)</f>
        <v>#N/A</v>
      </c>
      <c r="AA646" s="10" t="e">
        <f>VLOOKUP(AJ638,'CIR Team Info'!$C$5:$E$44,4,FALSE)</f>
        <v>#N/A</v>
      </c>
      <c r="AB646" s="161" t="b">
        <f>ISNUMBER(VLOOKUP(AJ638,Match!$T$5:$T$10,1,FALSE))</f>
        <v>0</v>
      </c>
      <c r="AC646" s="161" t="b">
        <f>IF(AB646=TRUE,(VLOOKUP($AJ638,Match!$T$5:$U$10,2,FALSE)))</f>
        <v>0</v>
      </c>
      <c r="AD646" s="8">
        <v>3</v>
      </c>
      <c r="AE646" s="8">
        <v>2</v>
      </c>
      <c r="AF646" s="8">
        <v>2</v>
      </c>
      <c r="AG646" s="8">
        <v>1</v>
      </c>
      <c r="AH646" s="8" t="str">
        <f t="shared" si="161"/>
        <v/>
      </c>
    </row>
    <row r="647" spans="1:34" x14ac:dyDescent="0.25">
      <c r="A647" s="29">
        <f t="shared" si="160"/>
        <v>0</v>
      </c>
      <c r="B647" s="29">
        <f t="shared" si="147"/>
        <v>0</v>
      </c>
      <c r="C647" s="29">
        <f t="shared" si="148"/>
        <v>0</v>
      </c>
      <c r="D647" s="29">
        <f t="shared" si="149"/>
        <v>0</v>
      </c>
      <c r="E647" s="29">
        <f t="shared" si="162"/>
        <v>0</v>
      </c>
      <c r="F647" s="29">
        <f t="shared" si="150"/>
        <v>0</v>
      </c>
      <c r="G647" s="29" t="str">
        <f t="shared" si="151"/>
        <v>offensive</v>
      </c>
      <c r="H647" s="16">
        <f t="shared" si="152"/>
        <v>0</v>
      </c>
      <c r="I647" s="16">
        <f t="shared" si="153"/>
        <v>0</v>
      </c>
      <c r="J647" s="16">
        <f t="shared" si="154"/>
        <v>0</v>
      </c>
      <c r="K647" s="16">
        <f t="shared" si="155"/>
        <v>0</v>
      </c>
      <c r="L647" s="67">
        <f t="shared" si="156"/>
        <v>0</v>
      </c>
      <c r="M647" s="4">
        <f t="shared" si="157"/>
        <v>0</v>
      </c>
      <c r="N647" s="4">
        <f t="shared" si="158"/>
        <v>0</v>
      </c>
      <c r="O647" s="4">
        <f t="shared" si="159"/>
        <v>0</v>
      </c>
      <c r="P647" s="4" t="e">
        <f>VLOOKUP(AJ639,'CIR Team Info'!$C$5:$E$44,2,FALSE)</f>
        <v>#N/A</v>
      </c>
      <c r="Q647" s="4" t="e">
        <f>VLOOKUP(AJ639,'CIR Team Info'!$C$5:$E$44,3,FALSE)</f>
        <v>#N/A</v>
      </c>
      <c r="R647" s="10" t="e">
        <f>VLOOKUP(AJ639,'FRC Site Data'!$B$3:$L$42,2,FALSE)</f>
        <v>#N/A</v>
      </c>
      <c r="S647" s="10" t="e">
        <f>VLOOKUP(AJ639,'FRC Site Data'!$B$3:$L$42,3,FALSE)</f>
        <v>#N/A</v>
      </c>
      <c r="T647" s="10" t="e">
        <f>VLOOKUP(AJ639,'FRC Site Data'!$B$3:$L$42,4,FALSE)</f>
        <v>#N/A</v>
      </c>
      <c r="U647" s="10" t="e">
        <f>VLOOKUP(AJ639,'FRC Site Data'!$B$3:$L$42,5,FALSE)</f>
        <v>#N/A</v>
      </c>
      <c r="V647" s="10" t="e">
        <f>VLOOKUP(AJ639,'FRC Site Data'!$B$3:$L$42,6,FALSE)</f>
        <v>#N/A</v>
      </c>
      <c r="W647" s="10" t="e">
        <f>VLOOKUP(AJ639,'FRC Site Data'!$B$3:$L$42,8,FALSE)</f>
        <v>#N/A</v>
      </c>
      <c r="X647" s="10" t="e">
        <f>VLOOKUP(AJ639,'FRC Site Data'!$B$3:$L$42,9,FALSE)</f>
        <v>#N/A</v>
      </c>
      <c r="Y647" s="10" t="e">
        <f>VLOOKUP(AJ639,'FRC Site Data'!$B$3:$L$42,10,FALSE)</f>
        <v>#N/A</v>
      </c>
      <c r="Z647" s="10" t="e">
        <f>VLOOKUP(AJ639,'FRC Site Data'!$B$3:$L$42,11,FALSE)</f>
        <v>#N/A</v>
      </c>
      <c r="AA647" s="10" t="e">
        <f>VLOOKUP(AJ639,'CIR Team Info'!$C$5:$E$44,4,FALSE)</f>
        <v>#N/A</v>
      </c>
      <c r="AB647" s="161" t="b">
        <f>ISNUMBER(VLOOKUP(AJ639,Match!$T$5:$T$10,1,FALSE))</f>
        <v>0</v>
      </c>
      <c r="AC647" s="161" t="b">
        <f>IF(AB647=TRUE,(VLOOKUP($AJ639,Match!$T$5:$U$10,2,FALSE)))</f>
        <v>0</v>
      </c>
      <c r="AD647" s="8">
        <v>3</v>
      </c>
      <c r="AE647" s="8">
        <v>2</v>
      </c>
      <c r="AF647" s="8">
        <v>2</v>
      </c>
      <c r="AG647" s="8">
        <v>1</v>
      </c>
      <c r="AH647" s="8" t="str">
        <f t="shared" si="161"/>
        <v/>
      </c>
    </row>
    <row r="648" spans="1:34" x14ac:dyDescent="0.25">
      <c r="A648" s="29">
        <f t="shared" si="160"/>
        <v>0</v>
      </c>
      <c r="B648" s="29">
        <f t="shared" ref="B648:B711" si="163">H648*AD648*AO640</f>
        <v>0</v>
      </c>
      <c r="C648" s="29">
        <f t="shared" ref="C648:C711" si="164">I648*AE648*AV640</f>
        <v>0</v>
      </c>
      <c r="D648" s="29">
        <f t="shared" ref="D648:D711" si="165">J648*AF648*BF640</f>
        <v>0</v>
      </c>
      <c r="E648" s="29">
        <f t="shared" si="162"/>
        <v>0</v>
      </c>
      <c r="F648" s="29">
        <f t="shared" ref="F648:F711" si="166">IF(AN640&gt;0,5)-2*COUNTIF(AQ640,"K")+5*COUNTIF(AS640,"T")+IF(AX640=3,2)+IF(AY640="T",2)</f>
        <v>0</v>
      </c>
      <c r="G648" s="29" t="str">
        <f t="shared" ref="G648:G711" si="167">IF((BB640+BC640)&gt;45,"defensive",IF((BB640+BC640)&gt;15,"both","offensive"))</f>
        <v>offensive</v>
      </c>
      <c r="H648" s="16">
        <f t="shared" ref="H648:H711" si="168">IF((AO640+AP640)=0,0,AO640/(AO640+AP640))</f>
        <v>0</v>
      </c>
      <c r="I648" s="16">
        <f t="shared" ref="I648:I711" si="169">IF((AV640+AW640)=0,0,AV640/(AV640+AW640))</f>
        <v>0</v>
      </c>
      <c r="J648" s="16">
        <f t="shared" ref="J648:J711" si="170">IF(L648=0,0,BG640/L648)</f>
        <v>0</v>
      </c>
      <c r="K648" s="16">
        <f t="shared" ref="K648:K711" si="171">IF((BB640+BC640)=0,0,((AZ640*BB640*0.2)+(BA640*BC640*0.3))/(BB640+BC640))</f>
        <v>0</v>
      </c>
      <c r="L648" s="67">
        <f t="shared" ref="L648:L711" si="172">IF(BF640&gt;BG640,BF640,BG640)</f>
        <v>0</v>
      </c>
      <c r="M648" s="4">
        <f t="shared" ref="M648:M711" si="173">AO640+AV640+BD640+O648</f>
        <v>0</v>
      </c>
      <c r="N648" s="4">
        <f t="shared" ref="N648:N711" si="174">AO640+AV640+BD640</f>
        <v>0</v>
      </c>
      <c r="O648" s="4">
        <f t="shared" ref="O648:O711" si="175">(AZ640*0.2*BB640*30/30)+(BA640*0.3*BC640*12/30)-BI640-BJ640</f>
        <v>0</v>
      </c>
      <c r="P648" s="4" t="e">
        <f>VLOOKUP(AJ640,'CIR Team Info'!$C$5:$E$44,2,FALSE)</f>
        <v>#N/A</v>
      </c>
      <c r="Q648" s="4" t="e">
        <f>VLOOKUP(AJ640,'CIR Team Info'!$C$5:$E$44,3,FALSE)</f>
        <v>#N/A</v>
      </c>
      <c r="R648" s="10" t="e">
        <f>VLOOKUP(AJ640,'FRC Site Data'!$B$3:$L$42,2,FALSE)</f>
        <v>#N/A</v>
      </c>
      <c r="S648" s="10" t="e">
        <f>VLOOKUP(AJ640,'FRC Site Data'!$B$3:$L$42,3,FALSE)</f>
        <v>#N/A</v>
      </c>
      <c r="T648" s="10" t="e">
        <f>VLOOKUP(AJ640,'FRC Site Data'!$B$3:$L$42,4,FALSE)</f>
        <v>#N/A</v>
      </c>
      <c r="U648" s="10" t="e">
        <f>VLOOKUP(AJ640,'FRC Site Data'!$B$3:$L$42,5,FALSE)</f>
        <v>#N/A</v>
      </c>
      <c r="V648" s="10" t="e">
        <f>VLOOKUP(AJ640,'FRC Site Data'!$B$3:$L$42,6,FALSE)</f>
        <v>#N/A</v>
      </c>
      <c r="W648" s="10" t="e">
        <f>VLOOKUP(AJ640,'FRC Site Data'!$B$3:$L$42,8,FALSE)</f>
        <v>#N/A</v>
      </c>
      <c r="X648" s="10" t="e">
        <f>VLOOKUP(AJ640,'FRC Site Data'!$B$3:$L$42,9,FALSE)</f>
        <v>#N/A</v>
      </c>
      <c r="Y648" s="10" t="e">
        <f>VLOOKUP(AJ640,'FRC Site Data'!$B$3:$L$42,10,FALSE)</f>
        <v>#N/A</v>
      </c>
      <c r="Z648" s="10" t="e">
        <f>VLOOKUP(AJ640,'FRC Site Data'!$B$3:$L$42,11,FALSE)</f>
        <v>#N/A</v>
      </c>
      <c r="AA648" s="10" t="e">
        <f>VLOOKUP(AJ640,'CIR Team Info'!$C$5:$E$44,4,FALSE)</f>
        <v>#N/A</v>
      </c>
      <c r="AB648" s="161" t="b">
        <f>ISNUMBER(VLOOKUP(AJ640,Match!$T$5:$T$10,1,FALSE))</f>
        <v>0</v>
      </c>
      <c r="AC648" s="161" t="b">
        <f>IF(AB648=TRUE,(VLOOKUP($AJ640,Match!$T$5:$U$10,2,FALSE)))</f>
        <v>0</v>
      </c>
      <c r="AD648" s="8">
        <v>3</v>
      </c>
      <c r="AE648" s="8">
        <v>2</v>
      </c>
      <c r="AF648" s="8">
        <v>2</v>
      </c>
      <c r="AG648" s="8">
        <v>1</v>
      </c>
      <c r="AH648" s="8" t="str">
        <f t="shared" si="161"/>
        <v/>
      </c>
    </row>
    <row r="649" spans="1:34" x14ac:dyDescent="0.25">
      <c r="A649" s="29">
        <f t="shared" si="160"/>
        <v>0</v>
      </c>
      <c r="B649" s="29">
        <f t="shared" si="163"/>
        <v>0</v>
      </c>
      <c r="C649" s="29">
        <f t="shared" si="164"/>
        <v>0</v>
      </c>
      <c r="D649" s="29">
        <f t="shared" si="165"/>
        <v>0</v>
      </c>
      <c r="E649" s="29">
        <f t="shared" si="162"/>
        <v>0</v>
      </c>
      <c r="F649" s="29">
        <f t="shared" si="166"/>
        <v>0</v>
      </c>
      <c r="G649" s="29" t="str">
        <f t="shared" si="167"/>
        <v>offensive</v>
      </c>
      <c r="H649" s="16">
        <f t="shared" si="168"/>
        <v>0</v>
      </c>
      <c r="I649" s="16">
        <f t="shared" si="169"/>
        <v>0</v>
      </c>
      <c r="J649" s="16">
        <f t="shared" si="170"/>
        <v>0</v>
      </c>
      <c r="K649" s="16">
        <f t="shared" si="171"/>
        <v>0</v>
      </c>
      <c r="L649" s="67">
        <f t="shared" si="172"/>
        <v>0</v>
      </c>
      <c r="M649" s="4">
        <f t="shared" si="173"/>
        <v>0</v>
      </c>
      <c r="N649" s="4">
        <f t="shared" si="174"/>
        <v>0</v>
      </c>
      <c r="O649" s="4">
        <f t="shared" si="175"/>
        <v>0</v>
      </c>
      <c r="P649" s="4" t="e">
        <f>VLOOKUP(AJ641,'CIR Team Info'!$C$5:$E$44,2,FALSE)</f>
        <v>#N/A</v>
      </c>
      <c r="Q649" s="4" t="e">
        <f>VLOOKUP(AJ641,'CIR Team Info'!$C$5:$E$44,3,FALSE)</f>
        <v>#N/A</v>
      </c>
      <c r="R649" s="10" t="e">
        <f>VLOOKUP(AJ641,'FRC Site Data'!$B$3:$L$42,2,FALSE)</f>
        <v>#N/A</v>
      </c>
      <c r="S649" s="10" t="e">
        <f>VLOOKUP(AJ641,'FRC Site Data'!$B$3:$L$42,3,FALSE)</f>
        <v>#N/A</v>
      </c>
      <c r="T649" s="10" t="e">
        <f>VLOOKUP(AJ641,'FRC Site Data'!$B$3:$L$42,4,FALSE)</f>
        <v>#N/A</v>
      </c>
      <c r="U649" s="10" t="e">
        <f>VLOOKUP(AJ641,'FRC Site Data'!$B$3:$L$42,5,FALSE)</f>
        <v>#N/A</v>
      </c>
      <c r="V649" s="10" t="e">
        <f>VLOOKUP(AJ641,'FRC Site Data'!$B$3:$L$42,6,FALSE)</f>
        <v>#N/A</v>
      </c>
      <c r="W649" s="10" t="e">
        <f>VLOOKUP(AJ641,'FRC Site Data'!$B$3:$L$42,8,FALSE)</f>
        <v>#N/A</v>
      </c>
      <c r="X649" s="10" t="e">
        <f>VLOOKUP(AJ641,'FRC Site Data'!$B$3:$L$42,9,FALSE)</f>
        <v>#N/A</v>
      </c>
      <c r="Y649" s="10" t="e">
        <f>VLOOKUP(AJ641,'FRC Site Data'!$B$3:$L$42,10,FALSE)</f>
        <v>#N/A</v>
      </c>
      <c r="Z649" s="10" t="e">
        <f>VLOOKUP(AJ641,'FRC Site Data'!$B$3:$L$42,11,FALSE)</f>
        <v>#N/A</v>
      </c>
      <c r="AA649" s="10" t="e">
        <f>VLOOKUP(AJ641,'CIR Team Info'!$C$5:$E$44,4,FALSE)</f>
        <v>#N/A</v>
      </c>
      <c r="AB649" s="161" t="b">
        <f>ISNUMBER(VLOOKUP(AJ641,Match!$T$5:$T$10,1,FALSE))</f>
        <v>0</v>
      </c>
      <c r="AC649" s="161" t="b">
        <f>IF(AB649=TRUE,(VLOOKUP($AJ641,Match!$T$5:$U$10,2,FALSE)))</f>
        <v>0</v>
      </c>
      <c r="AD649" s="8">
        <v>3</v>
      </c>
      <c r="AE649" s="8">
        <v>2</v>
      </c>
      <c r="AF649" s="8">
        <v>2</v>
      </c>
      <c r="AG649" s="8">
        <v>1</v>
      </c>
      <c r="AH649" s="8" t="str">
        <f t="shared" si="161"/>
        <v/>
      </c>
    </row>
    <row r="650" spans="1:34" x14ac:dyDescent="0.25">
      <c r="A650" s="29">
        <f t="shared" si="160"/>
        <v>0</v>
      </c>
      <c r="B650" s="29">
        <f t="shared" si="163"/>
        <v>0</v>
      </c>
      <c r="C650" s="29">
        <f t="shared" si="164"/>
        <v>0</v>
      </c>
      <c r="D650" s="29">
        <f t="shared" si="165"/>
        <v>0</v>
      </c>
      <c r="E650" s="29">
        <f t="shared" si="162"/>
        <v>0</v>
      </c>
      <c r="F650" s="29">
        <f t="shared" si="166"/>
        <v>0</v>
      </c>
      <c r="G650" s="29" t="str">
        <f t="shared" si="167"/>
        <v>offensive</v>
      </c>
      <c r="H650" s="16">
        <f t="shared" si="168"/>
        <v>0</v>
      </c>
      <c r="I650" s="16">
        <f t="shared" si="169"/>
        <v>0</v>
      </c>
      <c r="J650" s="16">
        <f t="shared" si="170"/>
        <v>0</v>
      </c>
      <c r="K650" s="16">
        <f t="shared" si="171"/>
        <v>0</v>
      </c>
      <c r="L650" s="67">
        <f t="shared" si="172"/>
        <v>0</v>
      </c>
      <c r="M650" s="4">
        <f t="shared" si="173"/>
        <v>0</v>
      </c>
      <c r="N650" s="4">
        <f t="shared" si="174"/>
        <v>0</v>
      </c>
      <c r="O650" s="4">
        <f t="shared" si="175"/>
        <v>0</v>
      </c>
      <c r="P650" s="4" t="e">
        <f>VLOOKUP(AJ642,'CIR Team Info'!$C$5:$E$44,2,FALSE)</f>
        <v>#N/A</v>
      </c>
      <c r="Q650" s="4" t="e">
        <f>VLOOKUP(AJ642,'CIR Team Info'!$C$5:$E$44,3,FALSE)</f>
        <v>#N/A</v>
      </c>
      <c r="R650" s="10" t="e">
        <f>VLOOKUP(AJ642,'FRC Site Data'!$B$3:$L$42,2,FALSE)</f>
        <v>#N/A</v>
      </c>
      <c r="S650" s="10" t="e">
        <f>VLOOKUP(AJ642,'FRC Site Data'!$B$3:$L$42,3,FALSE)</f>
        <v>#N/A</v>
      </c>
      <c r="T650" s="10" t="e">
        <f>VLOOKUP(AJ642,'FRC Site Data'!$B$3:$L$42,4,FALSE)</f>
        <v>#N/A</v>
      </c>
      <c r="U650" s="10" t="e">
        <f>VLOOKUP(AJ642,'FRC Site Data'!$B$3:$L$42,5,FALSE)</f>
        <v>#N/A</v>
      </c>
      <c r="V650" s="10" t="e">
        <f>VLOOKUP(AJ642,'FRC Site Data'!$B$3:$L$42,6,FALSE)</f>
        <v>#N/A</v>
      </c>
      <c r="W650" s="10" t="e">
        <f>VLOOKUP(AJ642,'FRC Site Data'!$B$3:$L$42,8,FALSE)</f>
        <v>#N/A</v>
      </c>
      <c r="X650" s="10" t="e">
        <f>VLOOKUP(AJ642,'FRC Site Data'!$B$3:$L$42,9,FALSE)</f>
        <v>#N/A</v>
      </c>
      <c r="Y650" s="10" t="e">
        <f>VLOOKUP(AJ642,'FRC Site Data'!$B$3:$L$42,10,FALSE)</f>
        <v>#N/A</v>
      </c>
      <c r="Z650" s="10" t="e">
        <f>VLOOKUP(AJ642,'FRC Site Data'!$B$3:$L$42,11,FALSE)</f>
        <v>#N/A</v>
      </c>
      <c r="AA650" s="10" t="e">
        <f>VLOOKUP(AJ642,'CIR Team Info'!$C$5:$E$44,4,FALSE)</f>
        <v>#N/A</v>
      </c>
      <c r="AB650" s="161" t="b">
        <f>ISNUMBER(VLOOKUP(AJ642,Match!$T$5:$T$10,1,FALSE))</f>
        <v>0</v>
      </c>
      <c r="AC650" s="161" t="b">
        <f>IF(AB650=TRUE,(VLOOKUP($AJ642,Match!$T$5:$U$10,2,FALSE)))</f>
        <v>0</v>
      </c>
      <c r="AD650" s="8">
        <v>3</v>
      </c>
      <c r="AE650" s="8">
        <v>2</v>
      </c>
      <c r="AF650" s="8">
        <v>2</v>
      </c>
      <c r="AG650" s="8">
        <v>1</v>
      </c>
      <c r="AH650" s="8" t="str">
        <f t="shared" si="161"/>
        <v/>
      </c>
    </row>
    <row r="651" spans="1:34" x14ac:dyDescent="0.25">
      <c r="A651" s="29">
        <f t="shared" si="160"/>
        <v>0</v>
      </c>
      <c r="B651" s="29">
        <f t="shared" si="163"/>
        <v>0</v>
      </c>
      <c r="C651" s="29">
        <f t="shared" si="164"/>
        <v>0</v>
      </c>
      <c r="D651" s="29">
        <f t="shared" si="165"/>
        <v>0</v>
      </c>
      <c r="E651" s="29">
        <f t="shared" si="162"/>
        <v>0</v>
      </c>
      <c r="F651" s="29">
        <f t="shared" si="166"/>
        <v>0</v>
      </c>
      <c r="G651" s="29" t="str">
        <f t="shared" si="167"/>
        <v>offensive</v>
      </c>
      <c r="H651" s="16">
        <f t="shared" si="168"/>
        <v>0</v>
      </c>
      <c r="I651" s="16">
        <f t="shared" si="169"/>
        <v>0</v>
      </c>
      <c r="J651" s="16">
        <f t="shared" si="170"/>
        <v>0</v>
      </c>
      <c r="K651" s="16">
        <f t="shared" si="171"/>
        <v>0</v>
      </c>
      <c r="L651" s="67">
        <f t="shared" si="172"/>
        <v>0</v>
      </c>
      <c r="M651" s="4">
        <f t="shared" si="173"/>
        <v>0</v>
      </c>
      <c r="N651" s="4">
        <f t="shared" si="174"/>
        <v>0</v>
      </c>
      <c r="O651" s="4">
        <f t="shared" si="175"/>
        <v>0</v>
      </c>
      <c r="P651" s="4" t="e">
        <f>VLOOKUP(AJ643,'CIR Team Info'!$C$5:$E$44,2,FALSE)</f>
        <v>#N/A</v>
      </c>
      <c r="Q651" s="4" t="e">
        <f>VLOOKUP(AJ643,'CIR Team Info'!$C$5:$E$44,3,FALSE)</f>
        <v>#N/A</v>
      </c>
      <c r="R651" s="10" t="e">
        <f>VLOOKUP(AJ643,'FRC Site Data'!$B$3:$L$42,2,FALSE)</f>
        <v>#N/A</v>
      </c>
      <c r="S651" s="10" t="e">
        <f>VLOOKUP(AJ643,'FRC Site Data'!$B$3:$L$42,3,FALSE)</f>
        <v>#N/A</v>
      </c>
      <c r="T651" s="10" t="e">
        <f>VLOOKUP(AJ643,'FRC Site Data'!$B$3:$L$42,4,FALSE)</f>
        <v>#N/A</v>
      </c>
      <c r="U651" s="10" t="e">
        <f>VLOOKUP(AJ643,'FRC Site Data'!$B$3:$L$42,5,FALSE)</f>
        <v>#N/A</v>
      </c>
      <c r="V651" s="10" t="e">
        <f>VLOOKUP(AJ643,'FRC Site Data'!$B$3:$L$42,6,FALSE)</f>
        <v>#N/A</v>
      </c>
      <c r="W651" s="10" t="e">
        <f>VLOOKUP(AJ643,'FRC Site Data'!$B$3:$L$42,8,FALSE)</f>
        <v>#N/A</v>
      </c>
      <c r="X651" s="10" t="e">
        <f>VLOOKUP(AJ643,'FRC Site Data'!$B$3:$L$42,9,FALSE)</f>
        <v>#N/A</v>
      </c>
      <c r="Y651" s="10" t="e">
        <f>VLOOKUP(AJ643,'FRC Site Data'!$B$3:$L$42,10,FALSE)</f>
        <v>#N/A</v>
      </c>
      <c r="Z651" s="10" t="e">
        <f>VLOOKUP(AJ643,'FRC Site Data'!$B$3:$L$42,11,FALSE)</f>
        <v>#N/A</v>
      </c>
      <c r="AA651" s="10" t="e">
        <f>VLOOKUP(AJ643,'CIR Team Info'!$C$5:$E$44,4,FALSE)</f>
        <v>#N/A</v>
      </c>
      <c r="AB651" s="161" t="b">
        <f>ISNUMBER(VLOOKUP(AJ643,Match!$T$5:$T$10,1,FALSE))</f>
        <v>0</v>
      </c>
      <c r="AC651" s="161" t="b">
        <f>IF(AB651=TRUE,(VLOOKUP($AJ643,Match!$T$5:$U$10,2,FALSE)))</f>
        <v>0</v>
      </c>
      <c r="AD651" s="8">
        <v>3</v>
      </c>
      <c r="AE651" s="8">
        <v>2</v>
      </c>
      <c r="AF651" s="8">
        <v>2</v>
      </c>
      <c r="AG651" s="8">
        <v>1</v>
      </c>
      <c r="AH651" s="8" t="str">
        <f t="shared" si="161"/>
        <v/>
      </c>
    </row>
    <row r="652" spans="1:34" x14ac:dyDescent="0.25">
      <c r="A652" s="29">
        <f t="shared" si="160"/>
        <v>0</v>
      </c>
      <c r="B652" s="29">
        <f t="shared" si="163"/>
        <v>0</v>
      </c>
      <c r="C652" s="29">
        <f t="shared" si="164"/>
        <v>0</v>
      </c>
      <c r="D652" s="29">
        <f t="shared" si="165"/>
        <v>0</v>
      </c>
      <c r="E652" s="29">
        <f t="shared" si="162"/>
        <v>0</v>
      </c>
      <c r="F652" s="29">
        <f t="shared" si="166"/>
        <v>0</v>
      </c>
      <c r="G652" s="29" t="str">
        <f t="shared" si="167"/>
        <v>offensive</v>
      </c>
      <c r="H652" s="16">
        <f t="shared" si="168"/>
        <v>0</v>
      </c>
      <c r="I652" s="16">
        <f t="shared" si="169"/>
        <v>0</v>
      </c>
      <c r="J652" s="16">
        <f t="shared" si="170"/>
        <v>0</v>
      </c>
      <c r="K652" s="16">
        <f t="shared" si="171"/>
        <v>0</v>
      </c>
      <c r="L652" s="67">
        <f t="shared" si="172"/>
        <v>0</v>
      </c>
      <c r="M652" s="4">
        <f t="shared" si="173"/>
        <v>0</v>
      </c>
      <c r="N652" s="4">
        <f t="shared" si="174"/>
        <v>0</v>
      </c>
      <c r="O652" s="4">
        <f t="shared" si="175"/>
        <v>0</v>
      </c>
      <c r="P652" s="4" t="e">
        <f>VLOOKUP(AJ644,'CIR Team Info'!$C$5:$E$44,2,FALSE)</f>
        <v>#N/A</v>
      </c>
      <c r="Q652" s="4" t="e">
        <f>VLOOKUP(AJ644,'CIR Team Info'!$C$5:$E$44,3,FALSE)</f>
        <v>#N/A</v>
      </c>
      <c r="R652" s="10" t="e">
        <f>VLOOKUP(AJ644,'FRC Site Data'!$B$3:$L$42,2,FALSE)</f>
        <v>#N/A</v>
      </c>
      <c r="S652" s="10" t="e">
        <f>VLOOKUP(AJ644,'FRC Site Data'!$B$3:$L$42,3,FALSE)</f>
        <v>#N/A</v>
      </c>
      <c r="T652" s="10" t="e">
        <f>VLOOKUP(AJ644,'FRC Site Data'!$B$3:$L$42,4,FALSE)</f>
        <v>#N/A</v>
      </c>
      <c r="U652" s="10" t="e">
        <f>VLOOKUP(AJ644,'FRC Site Data'!$B$3:$L$42,5,FALSE)</f>
        <v>#N/A</v>
      </c>
      <c r="V652" s="10" t="e">
        <f>VLOOKUP(AJ644,'FRC Site Data'!$B$3:$L$42,6,FALSE)</f>
        <v>#N/A</v>
      </c>
      <c r="W652" s="10" t="e">
        <f>VLOOKUP(AJ644,'FRC Site Data'!$B$3:$L$42,8,FALSE)</f>
        <v>#N/A</v>
      </c>
      <c r="X652" s="10" t="e">
        <f>VLOOKUP(AJ644,'FRC Site Data'!$B$3:$L$42,9,FALSE)</f>
        <v>#N/A</v>
      </c>
      <c r="Y652" s="10" t="e">
        <f>VLOOKUP(AJ644,'FRC Site Data'!$B$3:$L$42,10,FALSE)</f>
        <v>#N/A</v>
      </c>
      <c r="Z652" s="10" t="e">
        <f>VLOOKUP(AJ644,'FRC Site Data'!$B$3:$L$42,11,FALSE)</f>
        <v>#N/A</v>
      </c>
      <c r="AA652" s="10" t="e">
        <f>VLOOKUP(AJ644,'CIR Team Info'!$C$5:$E$44,4,FALSE)</f>
        <v>#N/A</v>
      </c>
      <c r="AB652" s="161" t="b">
        <f>ISNUMBER(VLOOKUP(AJ644,Match!$T$5:$T$10,1,FALSE))</f>
        <v>0</v>
      </c>
      <c r="AC652" s="161" t="b">
        <f>IF(AB652=TRUE,(VLOOKUP($AJ644,Match!$T$5:$U$10,2,FALSE)))</f>
        <v>0</v>
      </c>
      <c r="AD652" s="8">
        <v>3</v>
      </c>
      <c r="AE652" s="8">
        <v>2</v>
      </c>
      <c r="AF652" s="8">
        <v>2</v>
      </c>
      <c r="AG652" s="8">
        <v>1</v>
      </c>
      <c r="AH652" s="8" t="str">
        <f t="shared" si="161"/>
        <v/>
      </c>
    </row>
    <row r="653" spans="1:34" x14ac:dyDescent="0.25">
      <c r="A653" s="29">
        <f t="shared" si="160"/>
        <v>0</v>
      </c>
      <c r="B653" s="29">
        <f t="shared" si="163"/>
        <v>0</v>
      </c>
      <c r="C653" s="29">
        <f t="shared" si="164"/>
        <v>0</v>
      </c>
      <c r="D653" s="29">
        <f t="shared" si="165"/>
        <v>0</v>
      </c>
      <c r="E653" s="29">
        <f t="shared" si="162"/>
        <v>0</v>
      </c>
      <c r="F653" s="29">
        <f t="shared" si="166"/>
        <v>0</v>
      </c>
      <c r="G653" s="29" t="str">
        <f t="shared" si="167"/>
        <v>offensive</v>
      </c>
      <c r="H653" s="16">
        <f t="shared" si="168"/>
        <v>0</v>
      </c>
      <c r="I653" s="16">
        <f t="shared" si="169"/>
        <v>0</v>
      </c>
      <c r="J653" s="16">
        <f t="shared" si="170"/>
        <v>0</v>
      </c>
      <c r="K653" s="16">
        <f t="shared" si="171"/>
        <v>0</v>
      </c>
      <c r="L653" s="67">
        <f t="shared" si="172"/>
        <v>0</v>
      </c>
      <c r="M653" s="4">
        <f t="shared" si="173"/>
        <v>0</v>
      </c>
      <c r="N653" s="4">
        <f t="shared" si="174"/>
        <v>0</v>
      </c>
      <c r="O653" s="4">
        <f t="shared" si="175"/>
        <v>0</v>
      </c>
      <c r="P653" s="4" t="e">
        <f>VLOOKUP(AJ645,'CIR Team Info'!$C$5:$E$44,2,FALSE)</f>
        <v>#N/A</v>
      </c>
      <c r="Q653" s="4" t="e">
        <f>VLOOKUP(AJ645,'CIR Team Info'!$C$5:$E$44,3,FALSE)</f>
        <v>#N/A</v>
      </c>
      <c r="R653" s="10" t="e">
        <f>VLOOKUP(AJ645,'FRC Site Data'!$B$3:$L$42,2,FALSE)</f>
        <v>#N/A</v>
      </c>
      <c r="S653" s="10" t="e">
        <f>VLOOKUP(AJ645,'FRC Site Data'!$B$3:$L$42,3,FALSE)</f>
        <v>#N/A</v>
      </c>
      <c r="T653" s="10" t="e">
        <f>VLOOKUP(AJ645,'FRC Site Data'!$B$3:$L$42,4,FALSE)</f>
        <v>#N/A</v>
      </c>
      <c r="U653" s="10" t="e">
        <f>VLOOKUP(AJ645,'FRC Site Data'!$B$3:$L$42,5,FALSE)</f>
        <v>#N/A</v>
      </c>
      <c r="V653" s="10" t="e">
        <f>VLOOKUP(AJ645,'FRC Site Data'!$B$3:$L$42,6,FALSE)</f>
        <v>#N/A</v>
      </c>
      <c r="W653" s="10" t="e">
        <f>VLOOKUP(AJ645,'FRC Site Data'!$B$3:$L$42,8,FALSE)</f>
        <v>#N/A</v>
      </c>
      <c r="X653" s="10" t="e">
        <f>VLOOKUP(AJ645,'FRC Site Data'!$B$3:$L$42,9,FALSE)</f>
        <v>#N/A</v>
      </c>
      <c r="Y653" s="10" t="e">
        <f>VLOOKUP(AJ645,'FRC Site Data'!$B$3:$L$42,10,FALSE)</f>
        <v>#N/A</v>
      </c>
      <c r="Z653" s="10" t="e">
        <f>VLOOKUP(AJ645,'FRC Site Data'!$B$3:$L$42,11,FALSE)</f>
        <v>#N/A</v>
      </c>
      <c r="AA653" s="10" t="e">
        <f>VLOOKUP(AJ645,'CIR Team Info'!$C$5:$E$44,4,FALSE)</f>
        <v>#N/A</v>
      </c>
      <c r="AB653" s="161" t="b">
        <f>ISNUMBER(VLOOKUP(AJ645,Match!$T$5:$T$10,1,FALSE))</f>
        <v>0</v>
      </c>
      <c r="AC653" s="161" t="b">
        <f>IF(AB653=TRUE,(VLOOKUP($AJ645,Match!$T$5:$U$10,2,FALSE)))</f>
        <v>0</v>
      </c>
      <c r="AD653" s="8">
        <v>3</v>
      </c>
      <c r="AE653" s="8">
        <v>2</v>
      </c>
      <c r="AF653" s="8">
        <v>2</v>
      </c>
      <c r="AG653" s="8">
        <v>1</v>
      </c>
      <c r="AH653" s="8" t="str">
        <f t="shared" si="161"/>
        <v/>
      </c>
    </row>
    <row r="654" spans="1:34" x14ac:dyDescent="0.25">
      <c r="A654" s="29">
        <f t="shared" ref="A654:A717" si="176">SUM(B654:F654)</f>
        <v>0</v>
      </c>
      <c r="B654" s="29">
        <f t="shared" si="163"/>
        <v>0</v>
      </c>
      <c r="C654" s="29">
        <f t="shared" si="164"/>
        <v>0</v>
      </c>
      <c r="D654" s="29">
        <f t="shared" si="165"/>
        <v>0</v>
      </c>
      <c r="E654" s="29">
        <f t="shared" si="162"/>
        <v>0</v>
      </c>
      <c r="F654" s="29">
        <f t="shared" si="166"/>
        <v>0</v>
      </c>
      <c r="G654" s="29" t="str">
        <f t="shared" si="167"/>
        <v>offensive</v>
      </c>
      <c r="H654" s="16">
        <f t="shared" si="168"/>
        <v>0</v>
      </c>
      <c r="I654" s="16">
        <f t="shared" si="169"/>
        <v>0</v>
      </c>
      <c r="J654" s="16">
        <f t="shared" si="170"/>
        <v>0</v>
      </c>
      <c r="K654" s="16">
        <f t="shared" si="171"/>
        <v>0</v>
      </c>
      <c r="L654" s="67">
        <f t="shared" si="172"/>
        <v>0</v>
      </c>
      <c r="M654" s="4">
        <f t="shared" si="173"/>
        <v>0</v>
      </c>
      <c r="N654" s="4">
        <f t="shared" si="174"/>
        <v>0</v>
      </c>
      <c r="O654" s="4">
        <f t="shared" si="175"/>
        <v>0</v>
      </c>
      <c r="P654" s="4" t="e">
        <f>VLOOKUP(AJ646,'CIR Team Info'!$C$5:$E$44,2,FALSE)</f>
        <v>#N/A</v>
      </c>
      <c r="Q654" s="4" t="e">
        <f>VLOOKUP(AJ646,'CIR Team Info'!$C$5:$E$44,3,FALSE)</f>
        <v>#N/A</v>
      </c>
      <c r="R654" s="10" t="e">
        <f>VLOOKUP(AJ646,'FRC Site Data'!$B$3:$L$42,2,FALSE)</f>
        <v>#N/A</v>
      </c>
      <c r="S654" s="10" t="e">
        <f>VLOOKUP(AJ646,'FRC Site Data'!$B$3:$L$42,3,FALSE)</f>
        <v>#N/A</v>
      </c>
      <c r="T654" s="10" t="e">
        <f>VLOOKUP(AJ646,'FRC Site Data'!$B$3:$L$42,4,FALSE)</f>
        <v>#N/A</v>
      </c>
      <c r="U654" s="10" t="e">
        <f>VLOOKUP(AJ646,'FRC Site Data'!$B$3:$L$42,5,FALSE)</f>
        <v>#N/A</v>
      </c>
      <c r="V654" s="10" t="e">
        <f>VLOOKUP(AJ646,'FRC Site Data'!$B$3:$L$42,6,FALSE)</f>
        <v>#N/A</v>
      </c>
      <c r="W654" s="10" t="e">
        <f>VLOOKUP(AJ646,'FRC Site Data'!$B$3:$L$42,8,FALSE)</f>
        <v>#N/A</v>
      </c>
      <c r="X654" s="10" t="e">
        <f>VLOOKUP(AJ646,'FRC Site Data'!$B$3:$L$42,9,FALSE)</f>
        <v>#N/A</v>
      </c>
      <c r="Y654" s="10" t="e">
        <f>VLOOKUP(AJ646,'FRC Site Data'!$B$3:$L$42,10,FALSE)</f>
        <v>#N/A</v>
      </c>
      <c r="Z654" s="10" t="e">
        <f>VLOOKUP(AJ646,'FRC Site Data'!$B$3:$L$42,11,FALSE)</f>
        <v>#N/A</v>
      </c>
      <c r="AA654" s="10" t="e">
        <f>VLOOKUP(AJ646,'CIR Team Info'!$C$5:$E$44,4,FALSE)</f>
        <v>#N/A</v>
      </c>
      <c r="AB654" s="161" t="b">
        <f>ISNUMBER(VLOOKUP(AJ646,Match!$T$5:$T$10,1,FALSE))</f>
        <v>0</v>
      </c>
      <c r="AC654" s="161" t="b">
        <f>IF(AB654=TRUE,(VLOOKUP($AJ646,Match!$T$5:$U$10,2,FALSE)))</f>
        <v>0</v>
      </c>
      <c r="AD654" s="8">
        <v>3</v>
      </c>
      <c r="AE654" s="8">
        <v>2</v>
      </c>
      <c r="AF654" s="8">
        <v>2</v>
      </c>
      <c r="AG654" s="8">
        <v>1</v>
      </c>
      <c r="AH654" s="8" t="str">
        <f t="shared" si="161"/>
        <v/>
      </c>
    </row>
    <row r="655" spans="1:34" x14ac:dyDescent="0.25">
      <c r="A655" s="29">
        <f t="shared" si="176"/>
        <v>0</v>
      </c>
      <c r="B655" s="29">
        <f t="shared" si="163"/>
        <v>0</v>
      </c>
      <c r="C655" s="29">
        <f t="shared" si="164"/>
        <v>0</v>
      </c>
      <c r="D655" s="29">
        <f t="shared" si="165"/>
        <v>0</v>
      </c>
      <c r="E655" s="29">
        <f t="shared" si="162"/>
        <v>0</v>
      </c>
      <c r="F655" s="29">
        <f t="shared" si="166"/>
        <v>0</v>
      </c>
      <c r="G655" s="29" t="str">
        <f t="shared" si="167"/>
        <v>offensive</v>
      </c>
      <c r="H655" s="16">
        <f t="shared" si="168"/>
        <v>0</v>
      </c>
      <c r="I655" s="16">
        <f t="shared" si="169"/>
        <v>0</v>
      </c>
      <c r="J655" s="16">
        <f t="shared" si="170"/>
        <v>0</v>
      </c>
      <c r="K655" s="16">
        <f t="shared" si="171"/>
        <v>0</v>
      </c>
      <c r="L655" s="67">
        <f t="shared" si="172"/>
        <v>0</v>
      </c>
      <c r="M655" s="4">
        <f t="shared" si="173"/>
        <v>0</v>
      </c>
      <c r="N655" s="4">
        <f t="shared" si="174"/>
        <v>0</v>
      </c>
      <c r="O655" s="4">
        <f t="shared" si="175"/>
        <v>0</v>
      </c>
      <c r="P655" s="4" t="e">
        <f>VLOOKUP(AJ647,'CIR Team Info'!$C$5:$E$44,2,FALSE)</f>
        <v>#N/A</v>
      </c>
      <c r="Q655" s="4" t="e">
        <f>VLOOKUP(AJ647,'CIR Team Info'!$C$5:$E$44,3,FALSE)</f>
        <v>#N/A</v>
      </c>
      <c r="R655" s="10" t="e">
        <f>VLOOKUP(AJ647,'FRC Site Data'!$B$3:$L$42,2,FALSE)</f>
        <v>#N/A</v>
      </c>
      <c r="S655" s="10" t="e">
        <f>VLOOKUP(AJ647,'FRC Site Data'!$B$3:$L$42,3,FALSE)</f>
        <v>#N/A</v>
      </c>
      <c r="T655" s="10" t="e">
        <f>VLOOKUP(AJ647,'FRC Site Data'!$B$3:$L$42,4,FALSE)</f>
        <v>#N/A</v>
      </c>
      <c r="U655" s="10" t="e">
        <f>VLOOKUP(AJ647,'FRC Site Data'!$B$3:$L$42,5,FALSE)</f>
        <v>#N/A</v>
      </c>
      <c r="V655" s="10" t="e">
        <f>VLOOKUP(AJ647,'FRC Site Data'!$B$3:$L$42,6,FALSE)</f>
        <v>#N/A</v>
      </c>
      <c r="W655" s="10" t="e">
        <f>VLOOKUP(AJ647,'FRC Site Data'!$B$3:$L$42,8,FALSE)</f>
        <v>#N/A</v>
      </c>
      <c r="X655" s="10" t="e">
        <f>VLOOKUP(AJ647,'FRC Site Data'!$B$3:$L$42,9,FALSE)</f>
        <v>#N/A</v>
      </c>
      <c r="Y655" s="10" t="e">
        <f>VLOOKUP(AJ647,'FRC Site Data'!$B$3:$L$42,10,FALSE)</f>
        <v>#N/A</v>
      </c>
      <c r="Z655" s="10" t="e">
        <f>VLOOKUP(AJ647,'FRC Site Data'!$B$3:$L$42,11,FALSE)</f>
        <v>#N/A</v>
      </c>
      <c r="AA655" s="10" t="e">
        <f>VLOOKUP(AJ647,'CIR Team Info'!$C$5:$E$44,4,FALSE)</f>
        <v>#N/A</v>
      </c>
      <c r="AB655" s="161" t="b">
        <f>ISNUMBER(VLOOKUP(AJ647,Match!$T$5:$T$10,1,FALSE))</f>
        <v>0</v>
      </c>
      <c r="AC655" s="161" t="b">
        <f>IF(AB655=TRUE,(VLOOKUP($AJ647,Match!$T$5:$U$10,2,FALSE)))</f>
        <v>0</v>
      </c>
      <c r="AD655" s="8">
        <v>3</v>
      </c>
      <c r="AE655" s="8">
        <v>2</v>
      </c>
      <c r="AF655" s="8">
        <v>2</v>
      </c>
      <c r="AG655" s="8">
        <v>1</v>
      </c>
      <c r="AH655" s="8" t="str">
        <f t="shared" si="161"/>
        <v/>
      </c>
    </row>
    <row r="656" spans="1:34" x14ac:dyDescent="0.25">
      <c r="A656" s="29">
        <f t="shared" si="176"/>
        <v>0</v>
      </c>
      <c r="B656" s="29">
        <f t="shared" si="163"/>
        <v>0</v>
      </c>
      <c r="C656" s="29">
        <f t="shared" si="164"/>
        <v>0</v>
      </c>
      <c r="D656" s="29">
        <f t="shared" si="165"/>
        <v>0</v>
      </c>
      <c r="E656" s="29">
        <f t="shared" si="162"/>
        <v>0</v>
      </c>
      <c r="F656" s="29">
        <f t="shared" si="166"/>
        <v>0</v>
      </c>
      <c r="G656" s="29" t="str">
        <f t="shared" si="167"/>
        <v>offensive</v>
      </c>
      <c r="H656" s="16">
        <f t="shared" si="168"/>
        <v>0</v>
      </c>
      <c r="I656" s="16">
        <f t="shared" si="169"/>
        <v>0</v>
      </c>
      <c r="J656" s="16">
        <f t="shared" si="170"/>
        <v>0</v>
      </c>
      <c r="K656" s="16">
        <f t="shared" si="171"/>
        <v>0</v>
      </c>
      <c r="L656" s="67">
        <f t="shared" si="172"/>
        <v>0</v>
      </c>
      <c r="M656" s="4">
        <f t="shared" si="173"/>
        <v>0</v>
      </c>
      <c r="N656" s="4">
        <f t="shared" si="174"/>
        <v>0</v>
      </c>
      <c r="O656" s="4">
        <f t="shared" si="175"/>
        <v>0</v>
      </c>
      <c r="P656" s="4" t="e">
        <f>VLOOKUP(AJ648,'CIR Team Info'!$C$5:$E$44,2,FALSE)</f>
        <v>#N/A</v>
      </c>
      <c r="Q656" s="4" t="e">
        <f>VLOOKUP(AJ648,'CIR Team Info'!$C$5:$E$44,3,FALSE)</f>
        <v>#N/A</v>
      </c>
      <c r="R656" s="10" t="e">
        <f>VLOOKUP(AJ648,'FRC Site Data'!$B$3:$L$42,2,FALSE)</f>
        <v>#N/A</v>
      </c>
      <c r="S656" s="10" t="e">
        <f>VLOOKUP(AJ648,'FRC Site Data'!$B$3:$L$42,3,FALSE)</f>
        <v>#N/A</v>
      </c>
      <c r="T656" s="10" t="e">
        <f>VLOOKUP(AJ648,'FRC Site Data'!$B$3:$L$42,4,FALSE)</f>
        <v>#N/A</v>
      </c>
      <c r="U656" s="10" t="e">
        <f>VLOOKUP(AJ648,'FRC Site Data'!$B$3:$L$42,5,FALSE)</f>
        <v>#N/A</v>
      </c>
      <c r="V656" s="10" t="e">
        <f>VLOOKUP(AJ648,'FRC Site Data'!$B$3:$L$42,6,FALSE)</f>
        <v>#N/A</v>
      </c>
      <c r="W656" s="10" t="e">
        <f>VLOOKUP(AJ648,'FRC Site Data'!$B$3:$L$42,8,FALSE)</f>
        <v>#N/A</v>
      </c>
      <c r="X656" s="10" t="e">
        <f>VLOOKUP(AJ648,'FRC Site Data'!$B$3:$L$42,9,FALSE)</f>
        <v>#N/A</v>
      </c>
      <c r="Y656" s="10" t="e">
        <f>VLOOKUP(AJ648,'FRC Site Data'!$B$3:$L$42,10,FALSE)</f>
        <v>#N/A</v>
      </c>
      <c r="Z656" s="10" t="e">
        <f>VLOOKUP(AJ648,'FRC Site Data'!$B$3:$L$42,11,FALSE)</f>
        <v>#N/A</v>
      </c>
      <c r="AA656" s="10" t="e">
        <f>VLOOKUP(AJ648,'CIR Team Info'!$C$5:$E$44,4,FALSE)</f>
        <v>#N/A</v>
      </c>
      <c r="AB656" s="161" t="b">
        <f>ISNUMBER(VLOOKUP(AJ648,Match!$T$5:$T$10,1,FALSE))</f>
        <v>0</v>
      </c>
      <c r="AC656" s="161" t="b">
        <f>IF(AB656=TRUE,(VLOOKUP($AJ648,Match!$T$5:$U$10,2,FALSE)))</f>
        <v>0</v>
      </c>
      <c r="AD656" s="8">
        <v>3</v>
      </c>
      <c r="AE656" s="8">
        <v>2</v>
      </c>
      <c r="AF656" s="8">
        <v>2</v>
      </c>
      <c r="AG656" s="8">
        <v>1</v>
      </c>
      <c r="AH656" s="8" t="str">
        <f t="shared" si="161"/>
        <v/>
      </c>
    </row>
    <row r="657" spans="1:34" x14ac:dyDescent="0.25">
      <c r="A657" s="29">
        <f t="shared" si="176"/>
        <v>0</v>
      </c>
      <c r="B657" s="29">
        <f t="shared" si="163"/>
        <v>0</v>
      </c>
      <c r="C657" s="29">
        <f t="shared" si="164"/>
        <v>0</v>
      </c>
      <c r="D657" s="29">
        <f t="shared" si="165"/>
        <v>0</v>
      </c>
      <c r="E657" s="29">
        <f t="shared" si="162"/>
        <v>0</v>
      </c>
      <c r="F657" s="29">
        <f t="shared" si="166"/>
        <v>0</v>
      </c>
      <c r="G657" s="29" t="str">
        <f t="shared" si="167"/>
        <v>offensive</v>
      </c>
      <c r="H657" s="16">
        <f t="shared" si="168"/>
        <v>0</v>
      </c>
      <c r="I657" s="16">
        <f t="shared" si="169"/>
        <v>0</v>
      </c>
      <c r="J657" s="16">
        <f t="shared" si="170"/>
        <v>0</v>
      </c>
      <c r="K657" s="16">
        <f t="shared" si="171"/>
        <v>0</v>
      </c>
      <c r="L657" s="67">
        <f t="shared" si="172"/>
        <v>0</v>
      </c>
      <c r="M657" s="4">
        <f t="shared" si="173"/>
        <v>0</v>
      </c>
      <c r="N657" s="4">
        <f t="shared" si="174"/>
        <v>0</v>
      </c>
      <c r="O657" s="4">
        <f t="shared" si="175"/>
        <v>0</v>
      </c>
      <c r="P657" s="4" t="e">
        <f>VLOOKUP(AJ649,'CIR Team Info'!$C$5:$E$44,2,FALSE)</f>
        <v>#N/A</v>
      </c>
      <c r="Q657" s="4" t="e">
        <f>VLOOKUP(AJ649,'CIR Team Info'!$C$5:$E$44,3,FALSE)</f>
        <v>#N/A</v>
      </c>
      <c r="R657" s="10" t="e">
        <f>VLOOKUP(AJ649,'FRC Site Data'!$B$3:$L$42,2,FALSE)</f>
        <v>#N/A</v>
      </c>
      <c r="S657" s="10" t="e">
        <f>VLOOKUP(AJ649,'FRC Site Data'!$B$3:$L$42,3,FALSE)</f>
        <v>#N/A</v>
      </c>
      <c r="T657" s="10" t="e">
        <f>VLOOKUP(AJ649,'FRC Site Data'!$B$3:$L$42,4,FALSE)</f>
        <v>#N/A</v>
      </c>
      <c r="U657" s="10" t="e">
        <f>VLOOKUP(AJ649,'FRC Site Data'!$B$3:$L$42,5,FALSE)</f>
        <v>#N/A</v>
      </c>
      <c r="V657" s="10" t="e">
        <f>VLOOKUP(AJ649,'FRC Site Data'!$B$3:$L$42,6,FALSE)</f>
        <v>#N/A</v>
      </c>
      <c r="W657" s="10" t="e">
        <f>VLOOKUP(AJ649,'FRC Site Data'!$B$3:$L$42,8,FALSE)</f>
        <v>#N/A</v>
      </c>
      <c r="X657" s="10" t="e">
        <f>VLOOKUP(AJ649,'FRC Site Data'!$B$3:$L$42,9,FALSE)</f>
        <v>#N/A</v>
      </c>
      <c r="Y657" s="10" t="e">
        <f>VLOOKUP(AJ649,'FRC Site Data'!$B$3:$L$42,10,FALSE)</f>
        <v>#N/A</v>
      </c>
      <c r="Z657" s="10" t="e">
        <f>VLOOKUP(AJ649,'FRC Site Data'!$B$3:$L$42,11,FALSE)</f>
        <v>#N/A</v>
      </c>
      <c r="AA657" s="10" t="e">
        <f>VLOOKUP(AJ649,'CIR Team Info'!$C$5:$E$44,4,FALSE)</f>
        <v>#N/A</v>
      </c>
      <c r="AB657" s="161" t="b">
        <f>ISNUMBER(VLOOKUP(AJ649,Match!$T$5:$T$10,1,FALSE))</f>
        <v>0</v>
      </c>
      <c r="AC657" s="161" t="b">
        <f>IF(AB657=TRUE,(VLOOKUP($AJ649,Match!$T$5:$U$10,2,FALSE)))</f>
        <v>0</v>
      </c>
      <c r="AD657" s="8">
        <v>3</v>
      </c>
      <c r="AE657" s="8">
        <v>2</v>
      </c>
      <c r="AF657" s="8">
        <v>2</v>
      </c>
      <c r="AG657" s="8">
        <v>1</v>
      </c>
      <c r="AH657" s="8" t="str">
        <f t="shared" si="161"/>
        <v/>
      </c>
    </row>
    <row r="658" spans="1:34" x14ac:dyDescent="0.25">
      <c r="A658" s="29">
        <f t="shared" si="176"/>
        <v>0</v>
      </c>
      <c r="B658" s="29">
        <f t="shared" si="163"/>
        <v>0</v>
      </c>
      <c r="C658" s="29">
        <f t="shared" si="164"/>
        <v>0</v>
      </c>
      <c r="D658" s="29">
        <f t="shared" si="165"/>
        <v>0</v>
      </c>
      <c r="E658" s="29">
        <f t="shared" si="162"/>
        <v>0</v>
      </c>
      <c r="F658" s="29">
        <f t="shared" si="166"/>
        <v>0</v>
      </c>
      <c r="G658" s="29" t="str">
        <f t="shared" si="167"/>
        <v>offensive</v>
      </c>
      <c r="H658" s="16">
        <f t="shared" si="168"/>
        <v>0</v>
      </c>
      <c r="I658" s="16">
        <f t="shared" si="169"/>
        <v>0</v>
      </c>
      <c r="J658" s="16">
        <f t="shared" si="170"/>
        <v>0</v>
      </c>
      <c r="K658" s="16">
        <f t="shared" si="171"/>
        <v>0</v>
      </c>
      <c r="L658" s="67">
        <f t="shared" si="172"/>
        <v>0</v>
      </c>
      <c r="M658" s="4">
        <f t="shared" si="173"/>
        <v>0</v>
      </c>
      <c r="N658" s="4">
        <f t="shared" si="174"/>
        <v>0</v>
      </c>
      <c r="O658" s="4">
        <f t="shared" si="175"/>
        <v>0</v>
      </c>
      <c r="P658" s="4" t="e">
        <f>VLOOKUP(AJ650,'CIR Team Info'!$C$5:$E$44,2,FALSE)</f>
        <v>#N/A</v>
      </c>
      <c r="Q658" s="4" t="e">
        <f>VLOOKUP(AJ650,'CIR Team Info'!$C$5:$E$44,3,FALSE)</f>
        <v>#N/A</v>
      </c>
      <c r="R658" s="10" t="e">
        <f>VLOOKUP(AJ650,'FRC Site Data'!$B$3:$L$42,2,FALSE)</f>
        <v>#N/A</v>
      </c>
      <c r="S658" s="10" t="e">
        <f>VLOOKUP(AJ650,'FRC Site Data'!$B$3:$L$42,3,FALSE)</f>
        <v>#N/A</v>
      </c>
      <c r="T658" s="10" t="e">
        <f>VLOOKUP(AJ650,'FRC Site Data'!$B$3:$L$42,4,FALSE)</f>
        <v>#N/A</v>
      </c>
      <c r="U658" s="10" t="e">
        <f>VLOOKUP(AJ650,'FRC Site Data'!$B$3:$L$42,5,FALSE)</f>
        <v>#N/A</v>
      </c>
      <c r="V658" s="10" t="e">
        <f>VLOOKUP(AJ650,'FRC Site Data'!$B$3:$L$42,6,FALSE)</f>
        <v>#N/A</v>
      </c>
      <c r="W658" s="10" t="e">
        <f>VLOOKUP(AJ650,'FRC Site Data'!$B$3:$L$42,8,FALSE)</f>
        <v>#N/A</v>
      </c>
      <c r="X658" s="10" t="e">
        <f>VLOOKUP(AJ650,'FRC Site Data'!$B$3:$L$42,9,FALSE)</f>
        <v>#N/A</v>
      </c>
      <c r="Y658" s="10" t="e">
        <f>VLOOKUP(AJ650,'FRC Site Data'!$B$3:$L$42,10,FALSE)</f>
        <v>#N/A</v>
      </c>
      <c r="Z658" s="10" t="e">
        <f>VLOOKUP(AJ650,'FRC Site Data'!$B$3:$L$42,11,FALSE)</f>
        <v>#N/A</v>
      </c>
      <c r="AA658" s="10" t="e">
        <f>VLOOKUP(AJ650,'CIR Team Info'!$C$5:$E$44,4,FALSE)</f>
        <v>#N/A</v>
      </c>
      <c r="AB658" s="161" t="b">
        <f>ISNUMBER(VLOOKUP(AJ650,Match!$T$5:$T$10,1,FALSE))</f>
        <v>0</v>
      </c>
      <c r="AC658" s="161" t="b">
        <f>IF(AB658=TRUE,(VLOOKUP($AJ650,Match!$T$5:$U$10,2,FALSE)))</f>
        <v>0</v>
      </c>
      <c r="AD658" s="8">
        <v>3</v>
      </c>
      <c r="AE658" s="8">
        <v>2</v>
      </c>
      <c r="AF658" s="8">
        <v>2</v>
      </c>
      <c r="AG658" s="8">
        <v>1</v>
      </c>
      <c r="AH658" s="8" t="str">
        <f t="shared" si="161"/>
        <v/>
      </c>
    </row>
    <row r="659" spans="1:34" x14ac:dyDescent="0.25">
      <c r="A659" s="29">
        <f t="shared" si="176"/>
        <v>0</v>
      </c>
      <c r="B659" s="29">
        <f t="shared" si="163"/>
        <v>0</v>
      </c>
      <c r="C659" s="29">
        <f t="shared" si="164"/>
        <v>0</v>
      </c>
      <c r="D659" s="29">
        <f t="shared" si="165"/>
        <v>0</v>
      </c>
      <c r="E659" s="29">
        <f t="shared" si="162"/>
        <v>0</v>
      </c>
      <c r="F659" s="29">
        <f t="shared" si="166"/>
        <v>0</v>
      </c>
      <c r="G659" s="29" t="str">
        <f t="shared" si="167"/>
        <v>offensive</v>
      </c>
      <c r="H659" s="16">
        <f t="shared" si="168"/>
        <v>0</v>
      </c>
      <c r="I659" s="16">
        <f t="shared" si="169"/>
        <v>0</v>
      </c>
      <c r="J659" s="16">
        <f t="shared" si="170"/>
        <v>0</v>
      </c>
      <c r="K659" s="16">
        <f t="shared" si="171"/>
        <v>0</v>
      </c>
      <c r="L659" s="67">
        <f t="shared" si="172"/>
        <v>0</v>
      </c>
      <c r="M659" s="4">
        <f t="shared" si="173"/>
        <v>0</v>
      </c>
      <c r="N659" s="4">
        <f t="shared" si="174"/>
        <v>0</v>
      </c>
      <c r="O659" s="4">
        <f t="shared" si="175"/>
        <v>0</v>
      </c>
      <c r="P659" s="4" t="e">
        <f>VLOOKUP(AJ651,'CIR Team Info'!$C$5:$E$44,2,FALSE)</f>
        <v>#N/A</v>
      </c>
      <c r="Q659" s="4" t="e">
        <f>VLOOKUP(AJ651,'CIR Team Info'!$C$5:$E$44,3,FALSE)</f>
        <v>#N/A</v>
      </c>
      <c r="R659" s="10" t="e">
        <f>VLOOKUP(AJ651,'FRC Site Data'!$B$3:$L$42,2,FALSE)</f>
        <v>#N/A</v>
      </c>
      <c r="S659" s="10" t="e">
        <f>VLOOKUP(AJ651,'FRC Site Data'!$B$3:$L$42,3,FALSE)</f>
        <v>#N/A</v>
      </c>
      <c r="T659" s="10" t="e">
        <f>VLOOKUP(AJ651,'FRC Site Data'!$B$3:$L$42,4,FALSE)</f>
        <v>#N/A</v>
      </c>
      <c r="U659" s="10" t="e">
        <f>VLOOKUP(AJ651,'FRC Site Data'!$B$3:$L$42,5,FALSE)</f>
        <v>#N/A</v>
      </c>
      <c r="V659" s="10" t="e">
        <f>VLOOKUP(AJ651,'FRC Site Data'!$B$3:$L$42,6,FALSE)</f>
        <v>#N/A</v>
      </c>
      <c r="W659" s="10" t="e">
        <f>VLOOKUP(AJ651,'FRC Site Data'!$B$3:$L$42,8,FALSE)</f>
        <v>#N/A</v>
      </c>
      <c r="X659" s="10" t="e">
        <f>VLOOKUP(AJ651,'FRC Site Data'!$B$3:$L$42,9,FALSE)</f>
        <v>#N/A</v>
      </c>
      <c r="Y659" s="10" t="e">
        <f>VLOOKUP(AJ651,'FRC Site Data'!$B$3:$L$42,10,FALSE)</f>
        <v>#N/A</v>
      </c>
      <c r="Z659" s="10" t="e">
        <f>VLOOKUP(AJ651,'FRC Site Data'!$B$3:$L$42,11,FALSE)</f>
        <v>#N/A</v>
      </c>
      <c r="AA659" s="10" t="e">
        <f>VLOOKUP(AJ651,'CIR Team Info'!$C$5:$E$44,4,FALSE)</f>
        <v>#N/A</v>
      </c>
      <c r="AB659" s="161" t="b">
        <f>ISNUMBER(VLOOKUP(AJ651,Match!$T$5:$T$10,1,FALSE))</f>
        <v>0</v>
      </c>
      <c r="AC659" s="161" t="b">
        <f>IF(AB659=TRUE,(VLOOKUP($AJ651,Match!$T$5:$U$10,2,FALSE)))</f>
        <v>0</v>
      </c>
      <c r="AD659" s="8">
        <v>3</v>
      </c>
      <c r="AE659" s="8">
        <v>2</v>
      </c>
      <c r="AF659" s="8">
        <v>2</v>
      </c>
      <c r="AG659" s="8">
        <v>1</v>
      </c>
      <c r="AH659" s="8" t="str">
        <f t="shared" si="161"/>
        <v/>
      </c>
    </row>
    <row r="660" spans="1:34" x14ac:dyDescent="0.25">
      <c r="A660" s="29">
        <f t="shared" si="176"/>
        <v>0</v>
      </c>
      <c r="B660" s="29">
        <f t="shared" si="163"/>
        <v>0</v>
      </c>
      <c r="C660" s="29">
        <f t="shared" si="164"/>
        <v>0</v>
      </c>
      <c r="D660" s="29">
        <f t="shared" si="165"/>
        <v>0</v>
      </c>
      <c r="E660" s="29">
        <f t="shared" si="162"/>
        <v>0</v>
      </c>
      <c r="F660" s="29">
        <f t="shared" si="166"/>
        <v>0</v>
      </c>
      <c r="G660" s="29" t="str">
        <f t="shared" si="167"/>
        <v>offensive</v>
      </c>
      <c r="H660" s="16">
        <f t="shared" si="168"/>
        <v>0</v>
      </c>
      <c r="I660" s="16">
        <f t="shared" si="169"/>
        <v>0</v>
      </c>
      <c r="J660" s="16">
        <f t="shared" si="170"/>
        <v>0</v>
      </c>
      <c r="K660" s="16">
        <f t="shared" si="171"/>
        <v>0</v>
      </c>
      <c r="L660" s="67">
        <f t="shared" si="172"/>
        <v>0</v>
      </c>
      <c r="M660" s="4">
        <f t="shared" si="173"/>
        <v>0</v>
      </c>
      <c r="N660" s="4">
        <f t="shared" si="174"/>
        <v>0</v>
      </c>
      <c r="O660" s="4">
        <f t="shared" si="175"/>
        <v>0</v>
      </c>
      <c r="P660" s="4" t="e">
        <f>VLOOKUP(AJ652,'CIR Team Info'!$C$5:$E$44,2,FALSE)</f>
        <v>#N/A</v>
      </c>
      <c r="Q660" s="4" t="e">
        <f>VLOOKUP(AJ652,'CIR Team Info'!$C$5:$E$44,3,FALSE)</f>
        <v>#N/A</v>
      </c>
      <c r="R660" s="10" t="e">
        <f>VLOOKUP(AJ652,'FRC Site Data'!$B$3:$L$42,2,FALSE)</f>
        <v>#N/A</v>
      </c>
      <c r="S660" s="10" t="e">
        <f>VLOOKUP(AJ652,'FRC Site Data'!$B$3:$L$42,3,FALSE)</f>
        <v>#N/A</v>
      </c>
      <c r="T660" s="10" t="e">
        <f>VLOOKUP(AJ652,'FRC Site Data'!$B$3:$L$42,4,FALSE)</f>
        <v>#N/A</v>
      </c>
      <c r="U660" s="10" t="e">
        <f>VLOOKUP(AJ652,'FRC Site Data'!$B$3:$L$42,5,FALSE)</f>
        <v>#N/A</v>
      </c>
      <c r="V660" s="10" t="e">
        <f>VLOOKUP(AJ652,'FRC Site Data'!$B$3:$L$42,6,FALSE)</f>
        <v>#N/A</v>
      </c>
      <c r="W660" s="10" t="e">
        <f>VLOOKUP(AJ652,'FRC Site Data'!$B$3:$L$42,8,FALSE)</f>
        <v>#N/A</v>
      </c>
      <c r="X660" s="10" t="e">
        <f>VLOOKUP(AJ652,'FRC Site Data'!$B$3:$L$42,9,FALSE)</f>
        <v>#N/A</v>
      </c>
      <c r="Y660" s="10" t="e">
        <f>VLOOKUP(AJ652,'FRC Site Data'!$B$3:$L$42,10,FALSE)</f>
        <v>#N/A</v>
      </c>
      <c r="Z660" s="10" t="e">
        <f>VLOOKUP(AJ652,'FRC Site Data'!$B$3:$L$42,11,FALSE)</f>
        <v>#N/A</v>
      </c>
      <c r="AA660" s="10" t="e">
        <f>VLOOKUP(AJ652,'CIR Team Info'!$C$5:$E$44,4,FALSE)</f>
        <v>#N/A</v>
      </c>
      <c r="AB660" s="161" t="b">
        <f>ISNUMBER(VLOOKUP(AJ652,Match!$T$5:$T$10,1,FALSE))</f>
        <v>0</v>
      </c>
      <c r="AC660" s="161" t="b">
        <f>IF(AB660=TRUE,(VLOOKUP($AJ652,Match!$T$5:$U$10,2,FALSE)))</f>
        <v>0</v>
      </c>
      <c r="AD660" s="8">
        <v>3</v>
      </c>
      <c r="AE660" s="8">
        <v>2</v>
      </c>
      <c r="AF660" s="8">
        <v>2</v>
      </c>
      <c r="AG660" s="8">
        <v>1</v>
      </c>
      <c r="AH660" s="8" t="str">
        <f t="shared" si="161"/>
        <v/>
      </c>
    </row>
    <row r="661" spans="1:34" x14ac:dyDescent="0.25">
      <c r="A661" s="29">
        <f t="shared" si="176"/>
        <v>0</v>
      </c>
      <c r="B661" s="29">
        <f t="shared" si="163"/>
        <v>0</v>
      </c>
      <c r="C661" s="29">
        <f t="shared" si="164"/>
        <v>0</v>
      </c>
      <c r="D661" s="29">
        <f t="shared" si="165"/>
        <v>0</v>
      </c>
      <c r="E661" s="29">
        <f t="shared" si="162"/>
        <v>0</v>
      </c>
      <c r="F661" s="29">
        <f t="shared" si="166"/>
        <v>0</v>
      </c>
      <c r="G661" s="29" t="str">
        <f t="shared" si="167"/>
        <v>offensive</v>
      </c>
      <c r="H661" s="16">
        <f t="shared" si="168"/>
        <v>0</v>
      </c>
      <c r="I661" s="16">
        <f t="shared" si="169"/>
        <v>0</v>
      </c>
      <c r="J661" s="16">
        <f t="shared" si="170"/>
        <v>0</v>
      </c>
      <c r="K661" s="16">
        <f t="shared" si="171"/>
        <v>0</v>
      </c>
      <c r="L661" s="67">
        <f t="shared" si="172"/>
        <v>0</v>
      </c>
      <c r="M661" s="4">
        <f t="shared" si="173"/>
        <v>0</v>
      </c>
      <c r="N661" s="4">
        <f t="shared" si="174"/>
        <v>0</v>
      </c>
      <c r="O661" s="4">
        <f t="shared" si="175"/>
        <v>0</v>
      </c>
      <c r="P661" s="4" t="e">
        <f>VLOOKUP(AJ653,'CIR Team Info'!$C$5:$E$44,2,FALSE)</f>
        <v>#N/A</v>
      </c>
      <c r="Q661" s="4" t="e">
        <f>VLOOKUP(AJ653,'CIR Team Info'!$C$5:$E$44,3,FALSE)</f>
        <v>#N/A</v>
      </c>
      <c r="R661" s="10" t="e">
        <f>VLOOKUP(AJ653,'FRC Site Data'!$B$3:$L$42,2,FALSE)</f>
        <v>#N/A</v>
      </c>
      <c r="S661" s="10" t="e">
        <f>VLOOKUP(AJ653,'FRC Site Data'!$B$3:$L$42,3,FALSE)</f>
        <v>#N/A</v>
      </c>
      <c r="T661" s="10" t="e">
        <f>VLOOKUP(AJ653,'FRC Site Data'!$B$3:$L$42,4,FALSE)</f>
        <v>#N/A</v>
      </c>
      <c r="U661" s="10" t="e">
        <f>VLOOKUP(AJ653,'FRC Site Data'!$B$3:$L$42,5,FALSE)</f>
        <v>#N/A</v>
      </c>
      <c r="V661" s="10" t="e">
        <f>VLOOKUP(AJ653,'FRC Site Data'!$B$3:$L$42,6,FALSE)</f>
        <v>#N/A</v>
      </c>
      <c r="W661" s="10" t="e">
        <f>VLOOKUP(AJ653,'FRC Site Data'!$B$3:$L$42,8,FALSE)</f>
        <v>#N/A</v>
      </c>
      <c r="X661" s="10" t="e">
        <f>VLOOKUP(AJ653,'FRC Site Data'!$B$3:$L$42,9,FALSE)</f>
        <v>#N/A</v>
      </c>
      <c r="Y661" s="10" t="e">
        <f>VLOOKUP(AJ653,'FRC Site Data'!$B$3:$L$42,10,FALSE)</f>
        <v>#N/A</v>
      </c>
      <c r="Z661" s="10" t="e">
        <f>VLOOKUP(AJ653,'FRC Site Data'!$B$3:$L$42,11,FALSE)</f>
        <v>#N/A</v>
      </c>
      <c r="AA661" s="10" t="e">
        <f>VLOOKUP(AJ653,'CIR Team Info'!$C$5:$E$44,4,FALSE)</f>
        <v>#N/A</v>
      </c>
      <c r="AB661" s="161" t="b">
        <f>ISNUMBER(VLOOKUP(AJ653,Match!$T$5:$T$10,1,FALSE))</f>
        <v>0</v>
      </c>
      <c r="AC661" s="161" t="b">
        <f>IF(AB661=TRUE,(VLOOKUP($AJ653,Match!$T$5:$U$10,2,FALSE)))</f>
        <v>0</v>
      </c>
      <c r="AD661" s="8">
        <v>3</v>
      </c>
      <c r="AE661" s="8">
        <v>2</v>
      </c>
      <c r="AF661" s="8">
        <v>2</v>
      </c>
      <c r="AG661" s="8">
        <v>1</v>
      </c>
      <c r="AH661" s="8" t="str">
        <f t="shared" si="161"/>
        <v/>
      </c>
    </row>
    <row r="662" spans="1:34" x14ac:dyDescent="0.25">
      <c r="A662" s="29">
        <f t="shared" si="176"/>
        <v>0</v>
      </c>
      <c r="B662" s="29">
        <f t="shared" si="163"/>
        <v>0</v>
      </c>
      <c r="C662" s="29">
        <f t="shared" si="164"/>
        <v>0</v>
      </c>
      <c r="D662" s="29">
        <f t="shared" si="165"/>
        <v>0</v>
      </c>
      <c r="E662" s="29">
        <f t="shared" si="162"/>
        <v>0</v>
      </c>
      <c r="F662" s="29">
        <f t="shared" si="166"/>
        <v>0</v>
      </c>
      <c r="G662" s="29" t="str">
        <f t="shared" si="167"/>
        <v>offensive</v>
      </c>
      <c r="H662" s="16">
        <f t="shared" si="168"/>
        <v>0</v>
      </c>
      <c r="I662" s="16">
        <f t="shared" si="169"/>
        <v>0</v>
      </c>
      <c r="J662" s="16">
        <f t="shared" si="170"/>
        <v>0</v>
      </c>
      <c r="K662" s="16">
        <f t="shared" si="171"/>
        <v>0</v>
      </c>
      <c r="L662" s="67">
        <f t="shared" si="172"/>
        <v>0</v>
      </c>
      <c r="M662" s="4">
        <f t="shared" si="173"/>
        <v>0</v>
      </c>
      <c r="N662" s="4">
        <f t="shared" si="174"/>
        <v>0</v>
      </c>
      <c r="O662" s="4">
        <f t="shared" si="175"/>
        <v>0</v>
      </c>
      <c r="P662" s="4" t="e">
        <f>VLOOKUP(AJ654,'CIR Team Info'!$C$5:$E$44,2,FALSE)</f>
        <v>#N/A</v>
      </c>
      <c r="Q662" s="4" t="e">
        <f>VLOOKUP(AJ654,'CIR Team Info'!$C$5:$E$44,3,FALSE)</f>
        <v>#N/A</v>
      </c>
      <c r="R662" s="10" t="e">
        <f>VLOOKUP(AJ654,'FRC Site Data'!$B$3:$L$42,2,FALSE)</f>
        <v>#N/A</v>
      </c>
      <c r="S662" s="10" t="e">
        <f>VLOOKUP(AJ654,'FRC Site Data'!$B$3:$L$42,3,FALSE)</f>
        <v>#N/A</v>
      </c>
      <c r="T662" s="10" t="e">
        <f>VLOOKUP(AJ654,'FRC Site Data'!$B$3:$L$42,4,FALSE)</f>
        <v>#N/A</v>
      </c>
      <c r="U662" s="10" t="e">
        <f>VLOOKUP(AJ654,'FRC Site Data'!$B$3:$L$42,5,FALSE)</f>
        <v>#N/A</v>
      </c>
      <c r="V662" s="10" t="e">
        <f>VLOOKUP(AJ654,'FRC Site Data'!$B$3:$L$42,6,FALSE)</f>
        <v>#N/A</v>
      </c>
      <c r="W662" s="10" t="e">
        <f>VLOOKUP(AJ654,'FRC Site Data'!$B$3:$L$42,8,FALSE)</f>
        <v>#N/A</v>
      </c>
      <c r="X662" s="10" t="e">
        <f>VLOOKUP(AJ654,'FRC Site Data'!$B$3:$L$42,9,FALSE)</f>
        <v>#N/A</v>
      </c>
      <c r="Y662" s="10" t="e">
        <f>VLOOKUP(AJ654,'FRC Site Data'!$B$3:$L$42,10,FALSE)</f>
        <v>#N/A</v>
      </c>
      <c r="Z662" s="10" t="e">
        <f>VLOOKUP(AJ654,'FRC Site Data'!$B$3:$L$42,11,FALSE)</f>
        <v>#N/A</v>
      </c>
      <c r="AA662" s="10" t="e">
        <f>VLOOKUP(AJ654,'CIR Team Info'!$C$5:$E$44,4,FALSE)</f>
        <v>#N/A</v>
      </c>
      <c r="AB662" s="161" t="b">
        <f>ISNUMBER(VLOOKUP(AJ654,Match!$T$5:$T$10,1,FALSE))</f>
        <v>0</v>
      </c>
      <c r="AC662" s="161" t="b">
        <f>IF(AB662=TRUE,(VLOOKUP($AJ654,Match!$T$5:$U$10,2,FALSE)))</f>
        <v>0</v>
      </c>
      <c r="AD662" s="8">
        <v>3</v>
      </c>
      <c r="AE662" s="8">
        <v>2</v>
      </c>
      <c r="AF662" s="8">
        <v>2</v>
      </c>
      <c r="AG662" s="8">
        <v>1</v>
      </c>
      <c r="AH662" s="8" t="str">
        <f t="shared" si="161"/>
        <v/>
      </c>
    </row>
    <row r="663" spans="1:34" x14ac:dyDescent="0.25">
      <c r="A663" s="29">
        <f t="shared" si="176"/>
        <v>0</v>
      </c>
      <c r="B663" s="29">
        <f t="shared" si="163"/>
        <v>0</v>
      </c>
      <c r="C663" s="29">
        <f t="shared" si="164"/>
        <v>0</v>
      </c>
      <c r="D663" s="29">
        <f t="shared" si="165"/>
        <v>0</v>
      </c>
      <c r="E663" s="29">
        <f t="shared" si="162"/>
        <v>0</v>
      </c>
      <c r="F663" s="29">
        <f t="shared" si="166"/>
        <v>0</v>
      </c>
      <c r="G663" s="29" t="str">
        <f t="shared" si="167"/>
        <v>offensive</v>
      </c>
      <c r="H663" s="16">
        <f t="shared" si="168"/>
        <v>0</v>
      </c>
      <c r="I663" s="16">
        <f t="shared" si="169"/>
        <v>0</v>
      </c>
      <c r="J663" s="16">
        <f t="shared" si="170"/>
        <v>0</v>
      </c>
      <c r="K663" s="16">
        <f t="shared" si="171"/>
        <v>0</v>
      </c>
      <c r="L663" s="67">
        <f t="shared" si="172"/>
        <v>0</v>
      </c>
      <c r="M663" s="4">
        <f t="shared" si="173"/>
        <v>0</v>
      </c>
      <c r="N663" s="4">
        <f t="shared" si="174"/>
        <v>0</v>
      </c>
      <c r="O663" s="4">
        <f t="shared" si="175"/>
        <v>0</v>
      </c>
      <c r="P663" s="4" t="e">
        <f>VLOOKUP(AJ655,'CIR Team Info'!$C$5:$E$44,2,FALSE)</f>
        <v>#N/A</v>
      </c>
      <c r="Q663" s="4" t="e">
        <f>VLOOKUP(AJ655,'CIR Team Info'!$C$5:$E$44,3,FALSE)</f>
        <v>#N/A</v>
      </c>
      <c r="R663" s="10" t="e">
        <f>VLOOKUP(AJ655,'FRC Site Data'!$B$3:$L$42,2,FALSE)</f>
        <v>#N/A</v>
      </c>
      <c r="S663" s="10" t="e">
        <f>VLOOKUP(AJ655,'FRC Site Data'!$B$3:$L$42,3,FALSE)</f>
        <v>#N/A</v>
      </c>
      <c r="T663" s="10" t="e">
        <f>VLOOKUP(AJ655,'FRC Site Data'!$B$3:$L$42,4,FALSE)</f>
        <v>#N/A</v>
      </c>
      <c r="U663" s="10" t="e">
        <f>VLOOKUP(AJ655,'FRC Site Data'!$B$3:$L$42,5,FALSE)</f>
        <v>#N/A</v>
      </c>
      <c r="V663" s="10" t="e">
        <f>VLOOKUP(AJ655,'FRC Site Data'!$B$3:$L$42,6,FALSE)</f>
        <v>#N/A</v>
      </c>
      <c r="W663" s="10" t="e">
        <f>VLOOKUP(AJ655,'FRC Site Data'!$B$3:$L$42,8,FALSE)</f>
        <v>#N/A</v>
      </c>
      <c r="X663" s="10" t="e">
        <f>VLOOKUP(AJ655,'FRC Site Data'!$B$3:$L$42,9,FALSE)</f>
        <v>#N/A</v>
      </c>
      <c r="Y663" s="10" t="e">
        <f>VLOOKUP(AJ655,'FRC Site Data'!$B$3:$L$42,10,FALSE)</f>
        <v>#N/A</v>
      </c>
      <c r="Z663" s="10" t="e">
        <f>VLOOKUP(AJ655,'FRC Site Data'!$B$3:$L$42,11,FALSE)</f>
        <v>#N/A</v>
      </c>
      <c r="AA663" s="10" t="e">
        <f>VLOOKUP(AJ655,'CIR Team Info'!$C$5:$E$44,4,FALSE)</f>
        <v>#N/A</v>
      </c>
      <c r="AB663" s="161" t="b">
        <f>ISNUMBER(VLOOKUP(AJ655,Match!$T$5:$T$10,1,FALSE))</f>
        <v>0</v>
      </c>
      <c r="AC663" s="161" t="b">
        <f>IF(AB663=TRUE,(VLOOKUP($AJ655,Match!$T$5:$U$10,2,FALSE)))</f>
        <v>0</v>
      </c>
      <c r="AD663" s="8">
        <v>3</v>
      </c>
      <c r="AE663" s="8">
        <v>2</v>
      </c>
      <c r="AF663" s="8">
        <v>2</v>
      </c>
      <c r="AG663" s="8">
        <v>1</v>
      </c>
      <c r="AH663" s="8" t="str">
        <f t="shared" si="161"/>
        <v/>
      </c>
    </row>
    <row r="664" spans="1:34" x14ac:dyDescent="0.25">
      <c r="A664" s="29">
        <f t="shared" si="176"/>
        <v>0</v>
      </c>
      <c r="B664" s="29">
        <f t="shared" si="163"/>
        <v>0</v>
      </c>
      <c r="C664" s="29">
        <f t="shared" si="164"/>
        <v>0</v>
      </c>
      <c r="D664" s="29">
        <f t="shared" si="165"/>
        <v>0</v>
      </c>
      <c r="E664" s="29">
        <f t="shared" si="162"/>
        <v>0</v>
      </c>
      <c r="F664" s="29">
        <f t="shared" si="166"/>
        <v>0</v>
      </c>
      <c r="G664" s="29" t="str">
        <f t="shared" si="167"/>
        <v>offensive</v>
      </c>
      <c r="H664" s="16">
        <f t="shared" si="168"/>
        <v>0</v>
      </c>
      <c r="I664" s="16">
        <f t="shared" si="169"/>
        <v>0</v>
      </c>
      <c r="J664" s="16">
        <f t="shared" si="170"/>
        <v>0</v>
      </c>
      <c r="K664" s="16">
        <f t="shared" si="171"/>
        <v>0</v>
      </c>
      <c r="L664" s="67">
        <f t="shared" si="172"/>
        <v>0</v>
      </c>
      <c r="M664" s="4">
        <f t="shared" si="173"/>
        <v>0</v>
      </c>
      <c r="N664" s="4">
        <f t="shared" si="174"/>
        <v>0</v>
      </c>
      <c r="O664" s="4">
        <f t="shared" si="175"/>
        <v>0</v>
      </c>
      <c r="P664" s="4" t="e">
        <f>VLOOKUP(AJ656,'CIR Team Info'!$C$5:$E$44,2,FALSE)</f>
        <v>#N/A</v>
      </c>
      <c r="Q664" s="4" t="e">
        <f>VLOOKUP(AJ656,'CIR Team Info'!$C$5:$E$44,3,FALSE)</f>
        <v>#N/A</v>
      </c>
      <c r="R664" s="10" t="e">
        <f>VLOOKUP(AJ656,'FRC Site Data'!$B$3:$L$42,2,FALSE)</f>
        <v>#N/A</v>
      </c>
      <c r="S664" s="10" t="e">
        <f>VLOOKUP(AJ656,'FRC Site Data'!$B$3:$L$42,3,FALSE)</f>
        <v>#N/A</v>
      </c>
      <c r="T664" s="10" t="e">
        <f>VLOOKUP(AJ656,'FRC Site Data'!$B$3:$L$42,4,FALSE)</f>
        <v>#N/A</v>
      </c>
      <c r="U664" s="10" t="e">
        <f>VLOOKUP(AJ656,'FRC Site Data'!$B$3:$L$42,5,FALSE)</f>
        <v>#N/A</v>
      </c>
      <c r="V664" s="10" t="e">
        <f>VLOOKUP(AJ656,'FRC Site Data'!$B$3:$L$42,6,FALSE)</f>
        <v>#N/A</v>
      </c>
      <c r="W664" s="10" t="e">
        <f>VLOOKUP(AJ656,'FRC Site Data'!$B$3:$L$42,8,FALSE)</f>
        <v>#N/A</v>
      </c>
      <c r="X664" s="10" t="e">
        <f>VLOOKUP(AJ656,'FRC Site Data'!$B$3:$L$42,9,FALSE)</f>
        <v>#N/A</v>
      </c>
      <c r="Y664" s="10" t="e">
        <f>VLOOKUP(AJ656,'FRC Site Data'!$B$3:$L$42,10,FALSE)</f>
        <v>#N/A</v>
      </c>
      <c r="Z664" s="10" t="e">
        <f>VLOOKUP(AJ656,'FRC Site Data'!$B$3:$L$42,11,FALSE)</f>
        <v>#N/A</v>
      </c>
      <c r="AA664" s="10" t="e">
        <f>VLOOKUP(AJ656,'CIR Team Info'!$C$5:$E$44,4,FALSE)</f>
        <v>#N/A</v>
      </c>
      <c r="AB664" s="161" t="b">
        <f>ISNUMBER(VLOOKUP(AJ656,Match!$T$5:$T$10,1,FALSE))</f>
        <v>0</v>
      </c>
      <c r="AC664" s="161" t="b">
        <f>IF(AB664=TRUE,(VLOOKUP($AJ656,Match!$T$5:$U$10,2,FALSE)))</f>
        <v>0</v>
      </c>
      <c r="AD664" s="8">
        <v>3</v>
      </c>
      <c r="AE664" s="8">
        <v>2</v>
      </c>
      <c r="AF664" s="8">
        <v>2</v>
      </c>
      <c r="AG664" s="8">
        <v>1</v>
      </c>
      <c r="AH664" s="8" t="str">
        <f t="shared" si="161"/>
        <v/>
      </c>
    </row>
    <row r="665" spans="1:34" x14ac:dyDescent="0.25">
      <c r="A665" s="29">
        <f t="shared" si="176"/>
        <v>0</v>
      </c>
      <c r="B665" s="29">
        <f t="shared" si="163"/>
        <v>0</v>
      </c>
      <c r="C665" s="29">
        <f t="shared" si="164"/>
        <v>0</v>
      </c>
      <c r="D665" s="29">
        <f t="shared" si="165"/>
        <v>0</v>
      </c>
      <c r="E665" s="29">
        <f t="shared" si="162"/>
        <v>0</v>
      </c>
      <c r="F665" s="29">
        <f t="shared" si="166"/>
        <v>0</v>
      </c>
      <c r="G665" s="29" t="str">
        <f t="shared" si="167"/>
        <v>offensive</v>
      </c>
      <c r="H665" s="16">
        <f t="shared" si="168"/>
        <v>0</v>
      </c>
      <c r="I665" s="16">
        <f t="shared" si="169"/>
        <v>0</v>
      </c>
      <c r="J665" s="16">
        <f t="shared" si="170"/>
        <v>0</v>
      </c>
      <c r="K665" s="16">
        <f t="shared" si="171"/>
        <v>0</v>
      </c>
      <c r="L665" s="67">
        <f t="shared" si="172"/>
        <v>0</v>
      </c>
      <c r="M665" s="4">
        <f t="shared" si="173"/>
        <v>0</v>
      </c>
      <c r="N665" s="4">
        <f t="shared" si="174"/>
        <v>0</v>
      </c>
      <c r="O665" s="4">
        <f t="shared" si="175"/>
        <v>0</v>
      </c>
      <c r="P665" s="4" t="e">
        <f>VLOOKUP(AJ657,'CIR Team Info'!$C$5:$E$44,2,FALSE)</f>
        <v>#N/A</v>
      </c>
      <c r="Q665" s="4" t="e">
        <f>VLOOKUP(AJ657,'CIR Team Info'!$C$5:$E$44,3,FALSE)</f>
        <v>#N/A</v>
      </c>
      <c r="R665" s="10" t="e">
        <f>VLOOKUP(AJ657,'FRC Site Data'!$B$3:$L$42,2,FALSE)</f>
        <v>#N/A</v>
      </c>
      <c r="S665" s="10" t="e">
        <f>VLOOKUP(AJ657,'FRC Site Data'!$B$3:$L$42,3,FALSE)</f>
        <v>#N/A</v>
      </c>
      <c r="T665" s="10" t="e">
        <f>VLOOKUP(AJ657,'FRC Site Data'!$B$3:$L$42,4,FALSE)</f>
        <v>#N/A</v>
      </c>
      <c r="U665" s="10" t="e">
        <f>VLOOKUP(AJ657,'FRC Site Data'!$B$3:$L$42,5,FALSE)</f>
        <v>#N/A</v>
      </c>
      <c r="V665" s="10" t="e">
        <f>VLOOKUP(AJ657,'FRC Site Data'!$B$3:$L$42,6,FALSE)</f>
        <v>#N/A</v>
      </c>
      <c r="W665" s="10" t="e">
        <f>VLOOKUP(AJ657,'FRC Site Data'!$B$3:$L$42,8,FALSE)</f>
        <v>#N/A</v>
      </c>
      <c r="X665" s="10" t="e">
        <f>VLOOKUP(AJ657,'FRC Site Data'!$B$3:$L$42,9,FALSE)</f>
        <v>#N/A</v>
      </c>
      <c r="Y665" s="10" t="e">
        <f>VLOOKUP(AJ657,'FRC Site Data'!$B$3:$L$42,10,FALSE)</f>
        <v>#N/A</v>
      </c>
      <c r="Z665" s="10" t="e">
        <f>VLOOKUP(AJ657,'FRC Site Data'!$B$3:$L$42,11,FALSE)</f>
        <v>#N/A</v>
      </c>
      <c r="AA665" s="10" t="e">
        <f>VLOOKUP(AJ657,'CIR Team Info'!$C$5:$E$44,4,FALSE)</f>
        <v>#N/A</v>
      </c>
      <c r="AB665" s="161" t="b">
        <f>ISNUMBER(VLOOKUP(AJ657,Match!$T$5:$T$10,1,FALSE))</f>
        <v>0</v>
      </c>
      <c r="AC665" s="161" t="b">
        <f>IF(AB665=TRUE,(VLOOKUP($AJ657,Match!$T$5:$U$10,2,FALSE)))</f>
        <v>0</v>
      </c>
      <c r="AD665" s="8">
        <v>3</v>
      </c>
      <c r="AE665" s="8">
        <v>2</v>
      </c>
      <c r="AF665" s="8">
        <v>2</v>
      </c>
      <c r="AG665" s="8">
        <v>1</v>
      </c>
      <c r="AH665" s="8" t="str">
        <f t="shared" si="161"/>
        <v/>
      </c>
    </row>
    <row r="666" spans="1:34" x14ac:dyDescent="0.25">
      <c r="A666" s="29">
        <f t="shared" si="176"/>
        <v>0</v>
      </c>
      <c r="B666" s="29">
        <f t="shared" si="163"/>
        <v>0</v>
      </c>
      <c r="C666" s="29">
        <f t="shared" si="164"/>
        <v>0</v>
      </c>
      <c r="D666" s="29">
        <f t="shared" si="165"/>
        <v>0</v>
      </c>
      <c r="E666" s="29">
        <f t="shared" si="162"/>
        <v>0</v>
      </c>
      <c r="F666" s="29">
        <f t="shared" si="166"/>
        <v>0</v>
      </c>
      <c r="G666" s="29" t="str">
        <f t="shared" si="167"/>
        <v>offensive</v>
      </c>
      <c r="H666" s="16">
        <f t="shared" si="168"/>
        <v>0</v>
      </c>
      <c r="I666" s="16">
        <f t="shared" si="169"/>
        <v>0</v>
      </c>
      <c r="J666" s="16">
        <f t="shared" si="170"/>
        <v>0</v>
      </c>
      <c r="K666" s="16">
        <f t="shared" si="171"/>
        <v>0</v>
      </c>
      <c r="L666" s="67">
        <f t="shared" si="172"/>
        <v>0</v>
      </c>
      <c r="M666" s="4">
        <f t="shared" si="173"/>
        <v>0</v>
      </c>
      <c r="N666" s="4">
        <f t="shared" si="174"/>
        <v>0</v>
      </c>
      <c r="O666" s="4">
        <f t="shared" si="175"/>
        <v>0</v>
      </c>
      <c r="P666" s="4" t="e">
        <f>VLOOKUP(AJ658,'CIR Team Info'!$C$5:$E$44,2,FALSE)</f>
        <v>#N/A</v>
      </c>
      <c r="Q666" s="4" t="e">
        <f>VLOOKUP(AJ658,'CIR Team Info'!$C$5:$E$44,3,FALSE)</f>
        <v>#N/A</v>
      </c>
      <c r="R666" s="10" t="e">
        <f>VLOOKUP(AJ658,'FRC Site Data'!$B$3:$L$42,2,FALSE)</f>
        <v>#N/A</v>
      </c>
      <c r="S666" s="10" t="e">
        <f>VLOOKUP(AJ658,'FRC Site Data'!$B$3:$L$42,3,FALSE)</f>
        <v>#N/A</v>
      </c>
      <c r="T666" s="10" t="e">
        <f>VLOOKUP(AJ658,'FRC Site Data'!$B$3:$L$42,4,FALSE)</f>
        <v>#N/A</v>
      </c>
      <c r="U666" s="10" t="e">
        <f>VLOOKUP(AJ658,'FRC Site Data'!$B$3:$L$42,5,FALSE)</f>
        <v>#N/A</v>
      </c>
      <c r="V666" s="10" t="e">
        <f>VLOOKUP(AJ658,'FRC Site Data'!$B$3:$L$42,6,FALSE)</f>
        <v>#N/A</v>
      </c>
      <c r="W666" s="10" t="e">
        <f>VLOOKUP(AJ658,'FRC Site Data'!$B$3:$L$42,8,FALSE)</f>
        <v>#N/A</v>
      </c>
      <c r="X666" s="10" t="e">
        <f>VLOOKUP(AJ658,'FRC Site Data'!$B$3:$L$42,9,FALSE)</f>
        <v>#N/A</v>
      </c>
      <c r="Y666" s="10" t="e">
        <f>VLOOKUP(AJ658,'FRC Site Data'!$B$3:$L$42,10,FALSE)</f>
        <v>#N/A</v>
      </c>
      <c r="Z666" s="10" t="e">
        <f>VLOOKUP(AJ658,'FRC Site Data'!$B$3:$L$42,11,FALSE)</f>
        <v>#N/A</v>
      </c>
      <c r="AA666" s="10" t="e">
        <f>VLOOKUP(AJ658,'CIR Team Info'!$C$5:$E$44,4,FALSE)</f>
        <v>#N/A</v>
      </c>
      <c r="AB666" s="161" t="b">
        <f>ISNUMBER(VLOOKUP(AJ658,Match!$T$5:$T$10,1,FALSE))</f>
        <v>0</v>
      </c>
      <c r="AC666" s="161" t="b">
        <f>IF(AB666=TRUE,(VLOOKUP($AJ658,Match!$T$5:$U$10,2,FALSE)))</f>
        <v>0</v>
      </c>
      <c r="AD666" s="8">
        <v>3</v>
      </c>
      <c r="AE666" s="8">
        <v>2</v>
      </c>
      <c r="AF666" s="8">
        <v>2</v>
      </c>
      <c r="AG666" s="8">
        <v>1</v>
      </c>
      <c r="AH666" s="8" t="str">
        <f t="shared" si="161"/>
        <v/>
      </c>
    </row>
    <row r="667" spans="1:34" x14ac:dyDescent="0.25">
      <c r="A667" s="29">
        <f t="shared" si="176"/>
        <v>0</v>
      </c>
      <c r="B667" s="29">
        <f t="shared" si="163"/>
        <v>0</v>
      </c>
      <c r="C667" s="29">
        <f t="shared" si="164"/>
        <v>0</v>
      </c>
      <c r="D667" s="29">
        <f t="shared" si="165"/>
        <v>0</v>
      </c>
      <c r="E667" s="29">
        <f t="shared" si="162"/>
        <v>0</v>
      </c>
      <c r="F667" s="29">
        <f t="shared" si="166"/>
        <v>0</v>
      </c>
      <c r="G667" s="29" t="str">
        <f t="shared" si="167"/>
        <v>offensive</v>
      </c>
      <c r="H667" s="16">
        <f t="shared" si="168"/>
        <v>0</v>
      </c>
      <c r="I667" s="16">
        <f t="shared" si="169"/>
        <v>0</v>
      </c>
      <c r="J667" s="16">
        <f t="shared" si="170"/>
        <v>0</v>
      </c>
      <c r="K667" s="16">
        <f t="shared" si="171"/>
        <v>0</v>
      </c>
      <c r="L667" s="67">
        <f t="shared" si="172"/>
        <v>0</v>
      </c>
      <c r="M667" s="4">
        <f t="shared" si="173"/>
        <v>0</v>
      </c>
      <c r="N667" s="4">
        <f t="shared" si="174"/>
        <v>0</v>
      </c>
      <c r="O667" s="4">
        <f t="shared" si="175"/>
        <v>0</v>
      </c>
      <c r="P667" s="4" t="e">
        <f>VLOOKUP(AJ659,'CIR Team Info'!$C$5:$E$44,2,FALSE)</f>
        <v>#N/A</v>
      </c>
      <c r="Q667" s="4" t="e">
        <f>VLOOKUP(AJ659,'CIR Team Info'!$C$5:$E$44,3,FALSE)</f>
        <v>#N/A</v>
      </c>
      <c r="R667" s="10" t="e">
        <f>VLOOKUP(AJ659,'FRC Site Data'!$B$3:$L$42,2,FALSE)</f>
        <v>#N/A</v>
      </c>
      <c r="S667" s="10" t="e">
        <f>VLOOKUP(AJ659,'FRC Site Data'!$B$3:$L$42,3,FALSE)</f>
        <v>#N/A</v>
      </c>
      <c r="T667" s="10" t="e">
        <f>VLOOKUP(AJ659,'FRC Site Data'!$B$3:$L$42,4,FALSE)</f>
        <v>#N/A</v>
      </c>
      <c r="U667" s="10" t="e">
        <f>VLOOKUP(AJ659,'FRC Site Data'!$B$3:$L$42,5,FALSE)</f>
        <v>#N/A</v>
      </c>
      <c r="V667" s="10" t="e">
        <f>VLOOKUP(AJ659,'FRC Site Data'!$B$3:$L$42,6,FALSE)</f>
        <v>#N/A</v>
      </c>
      <c r="W667" s="10" t="e">
        <f>VLOOKUP(AJ659,'FRC Site Data'!$B$3:$L$42,8,FALSE)</f>
        <v>#N/A</v>
      </c>
      <c r="X667" s="10" t="e">
        <f>VLOOKUP(AJ659,'FRC Site Data'!$B$3:$L$42,9,FALSE)</f>
        <v>#N/A</v>
      </c>
      <c r="Y667" s="10" t="e">
        <f>VLOOKUP(AJ659,'FRC Site Data'!$B$3:$L$42,10,FALSE)</f>
        <v>#N/A</v>
      </c>
      <c r="Z667" s="10" t="e">
        <f>VLOOKUP(AJ659,'FRC Site Data'!$B$3:$L$42,11,FALSE)</f>
        <v>#N/A</v>
      </c>
      <c r="AA667" s="10" t="e">
        <f>VLOOKUP(AJ659,'CIR Team Info'!$C$5:$E$44,4,FALSE)</f>
        <v>#N/A</v>
      </c>
      <c r="AB667" s="161" t="b">
        <f>ISNUMBER(VLOOKUP(AJ659,Match!$T$5:$T$10,1,FALSE))</f>
        <v>0</v>
      </c>
      <c r="AC667" s="161" t="b">
        <f>IF(AB667=TRUE,(VLOOKUP($AJ659,Match!$T$5:$U$10,2,FALSE)))</f>
        <v>0</v>
      </c>
      <c r="AD667" s="8">
        <v>3</v>
      </c>
      <c r="AE667" s="8">
        <v>2</v>
      </c>
      <c r="AF667" s="8">
        <v>2</v>
      </c>
      <c r="AG667" s="8">
        <v>1</v>
      </c>
      <c r="AH667" s="8" t="str">
        <f t="shared" ref="AH667:AH730" si="177">IF(AL659="Other","x","")</f>
        <v/>
      </c>
    </row>
    <row r="668" spans="1:34" x14ac:dyDescent="0.25">
      <c r="A668" s="29">
        <f t="shared" si="176"/>
        <v>0</v>
      </c>
      <c r="B668" s="29">
        <f t="shared" si="163"/>
        <v>0</v>
      </c>
      <c r="C668" s="29">
        <f t="shared" si="164"/>
        <v>0</v>
      </c>
      <c r="D668" s="29">
        <f t="shared" si="165"/>
        <v>0</v>
      </c>
      <c r="E668" s="29">
        <f t="shared" si="162"/>
        <v>0</v>
      </c>
      <c r="F668" s="29">
        <f t="shared" si="166"/>
        <v>0</v>
      </c>
      <c r="G668" s="29" t="str">
        <f t="shared" si="167"/>
        <v>offensive</v>
      </c>
      <c r="H668" s="16">
        <f t="shared" si="168"/>
        <v>0</v>
      </c>
      <c r="I668" s="16">
        <f t="shared" si="169"/>
        <v>0</v>
      </c>
      <c r="J668" s="16">
        <f t="shared" si="170"/>
        <v>0</v>
      </c>
      <c r="K668" s="16">
        <f t="shared" si="171"/>
        <v>0</v>
      </c>
      <c r="L668" s="67">
        <f t="shared" si="172"/>
        <v>0</v>
      </c>
      <c r="M668" s="4">
        <f t="shared" si="173"/>
        <v>0</v>
      </c>
      <c r="N668" s="4">
        <f t="shared" si="174"/>
        <v>0</v>
      </c>
      <c r="O668" s="4">
        <f t="shared" si="175"/>
        <v>0</v>
      </c>
      <c r="P668" s="4" t="e">
        <f>VLOOKUP(AJ660,'CIR Team Info'!$C$5:$E$44,2,FALSE)</f>
        <v>#N/A</v>
      </c>
      <c r="Q668" s="4" t="e">
        <f>VLOOKUP(AJ660,'CIR Team Info'!$C$5:$E$44,3,FALSE)</f>
        <v>#N/A</v>
      </c>
      <c r="R668" s="10" t="e">
        <f>VLOOKUP(AJ660,'FRC Site Data'!$B$3:$L$42,2,FALSE)</f>
        <v>#N/A</v>
      </c>
      <c r="S668" s="10" t="e">
        <f>VLOOKUP(AJ660,'FRC Site Data'!$B$3:$L$42,3,FALSE)</f>
        <v>#N/A</v>
      </c>
      <c r="T668" s="10" t="e">
        <f>VLOOKUP(AJ660,'FRC Site Data'!$B$3:$L$42,4,FALSE)</f>
        <v>#N/A</v>
      </c>
      <c r="U668" s="10" t="e">
        <f>VLOOKUP(AJ660,'FRC Site Data'!$B$3:$L$42,5,FALSE)</f>
        <v>#N/A</v>
      </c>
      <c r="V668" s="10" t="e">
        <f>VLOOKUP(AJ660,'FRC Site Data'!$B$3:$L$42,6,FALSE)</f>
        <v>#N/A</v>
      </c>
      <c r="W668" s="10" t="e">
        <f>VLOOKUP(AJ660,'FRC Site Data'!$B$3:$L$42,8,FALSE)</f>
        <v>#N/A</v>
      </c>
      <c r="X668" s="10" t="e">
        <f>VLOOKUP(AJ660,'FRC Site Data'!$B$3:$L$42,9,FALSE)</f>
        <v>#N/A</v>
      </c>
      <c r="Y668" s="10" t="e">
        <f>VLOOKUP(AJ660,'FRC Site Data'!$B$3:$L$42,10,FALSE)</f>
        <v>#N/A</v>
      </c>
      <c r="Z668" s="10" t="e">
        <f>VLOOKUP(AJ660,'FRC Site Data'!$B$3:$L$42,11,FALSE)</f>
        <v>#N/A</v>
      </c>
      <c r="AA668" s="10" t="e">
        <f>VLOOKUP(AJ660,'CIR Team Info'!$C$5:$E$44,4,FALSE)</f>
        <v>#N/A</v>
      </c>
      <c r="AB668" s="161" t="b">
        <f>ISNUMBER(VLOOKUP(AJ660,Match!$T$5:$T$10,1,FALSE))</f>
        <v>0</v>
      </c>
      <c r="AC668" s="161" t="b">
        <f>IF(AB668=TRUE,(VLOOKUP($AJ660,Match!$T$5:$U$10,2,FALSE)))</f>
        <v>0</v>
      </c>
      <c r="AD668" s="8">
        <v>3</v>
      </c>
      <c r="AE668" s="8">
        <v>2</v>
      </c>
      <c r="AF668" s="8">
        <v>2</v>
      </c>
      <c r="AG668" s="8">
        <v>1</v>
      </c>
      <c r="AH668" s="8" t="str">
        <f t="shared" si="177"/>
        <v/>
      </c>
    </row>
    <row r="669" spans="1:34" x14ac:dyDescent="0.25">
      <c r="A669" s="29">
        <f t="shared" si="176"/>
        <v>0</v>
      </c>
      <c r="B669" s="29">
        <f t="shared" si="163"/>
        <v>0</v>
      </c>
      <c r="C669" s="29">
        <f t="shared" si="164"/>
        <v>0</v>
      </c>
      <c r="D669" s="29">
        <f t="shared" si="165"/>
        <v>0</v>
      </c>
      <c r="E669" s="29">
        <f t="shared" si="162"/>
        <v>0</v>
      </c>
      <c r="F669" s="29">
        <f t="shared" si="166"/>
        <v>0</v>
      </c>
      <c r="G669" s="29" t="str">
        <f t="shared" si="167"/>
        <v>offensive</v>
      </c>
      <c r="H669" s="16">
        <f t="shared" si="168"/>
        <v>0</v>
      </c>
      <c r="I669" s="16">
        <f t="shared" si="169"/>
        <v>0</v>
      </c>
      <c r="J669" s="16">
        <f t="shared" si="170"/>
        <v>0</v>
      </c>
      <c r="K669" s="16">
        <f t="shared" si="171"/>
        <v>0</v>
      </c>
      <c r="L669" s="67">
        <f t="shared" si="172"/>
        <v>0</v>
      </c>
      <c r="M669" s="4">
        <f t="shared" si="173"/>
        <v>0</v>
      </c>
      <c r="N669" s="4">
        <f t="shared" si="174"/>
        <v>0</v>
      </c>
      <c r="O669" s="4">
        <f t="shared" si="175"/>
        <v>0</v>
      </c>
      <c r="P669" s="4" t="e">
        <f>VLOOKUP(AJ661,'CIR Team Info'!$C$5:$E$44,2,FALSE)</f>
        <v>#N/A</v>
      </c>
      <c r="Q669" s="4" t="e">
        <f>VLOOKUP(AJ661,'CIR Team Info'!$C$5:$E$44,3,FALSE)</f>
        <v>#N/A</v>
      </c>
      <c r="R669" s="10" t="e">
        <f>VLOOKUP(AJ661,'FRC Site Data'!$B$3:$L$42,2,FALSE)</f>
        <v>#N/A</v>
      </c>
      <c r="S669" s="10" t="e">
        <f>VLOOKUP(AJ661,'FRC Site Data'!$B$3:$L$42,3,FALSE)</f>
        <v>#N/A</v>
      </c>
      <c r="T669" s="10" t="e">
        <f>VLOOKUP(AJ661,'FRC Site Data'!$B$3:$L$42,4,FALSE)</f>
        <v>#N/A</v>
      </c>
      <c r="U669" s="10" t="e">
        <f>VLOOKUP(AJ661,'FRC Site Data'!$B$3:$L$42,5,FALSE)</f>
        <v>#N/A</v>
      </c>
      <c r="V669" s="10" t="e">
        <f>VLOOKUP(AJ661,'FRC Site Data'!$B$3:$L$42,6,FALSE)</f>
        <v>#N/A</v>
      </c>
      <c r="W669" s="10" t="e">
        <f>VLOOKUP(AJ661,'FRC Site Data'!$B$3:$L$42,8,FALSE)</f>
        <v>#N/A</v>
      </c>
      <c r="X669" s="10" t="e">
        <f>VLOOKUP(AJ661,'FRC Site Data'!$B$3:$L$42,9,FALSE)</f>
        <v>#N/A</v>
      </c>
      <c r="Y669" s="10" t="e">
        <f>VLOOKUP(AJ661,'FRC Site Data'!$B$3:$L$42,10,FALSE)</f>
        <v>#N/A</v>
      </c>
      <c r="Z669" s="10" t="e">
        <f>VLOOKUP(AJ661,'FRC Site Data'!$B$3:$L$42,11,FALSE)</f>
        <v>#N/A</v>
      </c>
      <c r="AA669" s="10" t="e">
        <f>VLOOKUP(AJ661,'CIR Team Info'!$C$5:$E$44,4,FALSE)</f>
        <v>#N/A</v>
      </c>
      <c r="AB669" s="161" t="b">
        <f>ISNUMBER(VLOOKUP(AJ661,Match!$T$5:$T$10,1,FALSE))</f>
        <v>0</v>
      </c>
      <c r="AC669" s="161" t="b">
        <f>IF(AB669=TRUE,(VLOOKUP($AJ661,Match!$T$5:$U$10,2,FALSE)))</f>
        <v>0</v>
      </c>
      <c r="AD669" s="8">
        <v>3</v>
      </c>
      <c r="AE669" s="8">
        <v>2</v>
      </c>
      <c r="AF669" s="8">
        <v>2</v>
      </c>
      <c r="AG669" s="8">
        <v>1</v>
      </c>
      <c r="AH669" s="8" t="str">
        <f t="shared" si="177"/>
        <v/>
      </c>
    </row>
    <row r="670" spans="1:34" x14ac:dyDescent="0.25">
      <c r="A670" s="29">
        <f t="shared" si="176"/>
        <v>0</v>
      </c>
      <c r="B670" s="29">
        <f t="shared" si="163"/>
        <v>0</v>
      </c>
      <c r="C670" s="29">
        <f t="shared" si="164"/>
        <v>0</v>
      </c>
      <c r="D670" s="29">
        <f t="shared" si="165"/>
        <v>0</v>
      </c>
      <c r="E670" s="29">
        <f t="shared" si="162"/>
        <v>0</v>
      </c>
      <c r="F670" s="29">
        <f t="shared" si="166"/>
        <v>0</v>
      </c>
      <c r="G670" s="29" t="str">
        <f t="shared" si="167"/>
        <v>offensive</v>
      </c>
      <c r="H670" s="16">
        <f t="shared" si="168"/>
        <v>0</v>
      </c>
      <c r="I670" s="16">
        <f t="shared" si="169"/>
        <v>0</v>
      </c>
      <c r="J670" s="16">
        <f t="shared" si="170"/>
        <v>0</v>
      </c>
      <c r="K670" s="16">
        <f t="shared" si="171"/>
        <v>0</v>
      </c>
      <c r="L670" s="67">
        <f t="shared" si="172"/>
        <v>0</v>
      </c>
      <c r="M670" s="4">
        <f t="shared" si="173"/>
        <v>0</v>
      </c>
      <c r="N670" s="4">
        <f t="shared" si="174"/>
        <v>0</v>
      </c>
      <c r="O670" s="4">
        <f t="shared" si="175"/>
        <v>0</v>
      </c>
      <c r="P670" s="4" t="e">
        <f>VLOOKUP(AJ662,'CIR Team Info'!$C$5:$E$44,2,FALSE)</f>
        <v>#N/A</v>
      </c>
      <c r="Q670" s="4" t="e">
        <f>VLOOKUP(AJ662,'CIR Team Info'!$C$5:$E$44,3,FALSE)</f>
        <v>#N/A</v>
      </c>
      <c r="R670" s="10" t="e">
        <f>VLOOKUP(AJ662,'FRC Site Data'!$B$3:$L$42,2,FALSE)</f>
        <v>#N/A</v>
      </c>
      <c r="S670" s="10" t="e">
        <f>VLOOKUP(AJ662,'FRC Site Data'!$B$3:$L$42,3,FALSE)</f>
        <v>#N/A</v>
      </c>
      <c r="T670" s="10" t="e">
        <f>VLOOKUP(AJ662,'FRC Site Data'!$B$3:$L$42,4,FALSE)</f>
        <v>#N/A</v>
      </c>
      <c r="U670" s="10" t="e">
        <f>VLOOKUP(AJ662,'FRC Site Data'!$B$3:$L$42,5,FALSE)</f>
        <v>#N/A</v>
      </c>
      <c r="V670" s="10" t="e">
        <f>VLOOKUP(AJ662,'FRC Site Data'!$B$3:$L$42,6,FALSE)</f>
        <v>#N/A</v>
      </c>
      <c r="W670" s="10" t="e">
        <f>VLOOKUP(AJ662,'FRC Site Data'!$B$3:$L$42,8,FALSE)</f>
        <v>#N/A</v>
      </c>
      <c r="X670" s="10" t="e">
        <f>VLOOKUP(AJ662,'FRC Site Data'!$B$3:$L$42,9,FALSE)</f>
        <v>#N/A</v>
      </c>
      <c r="Y670" s="10" t="e">
        <f>VLOOKUP(AJ662,'FRC Site Data'!$B$3:$L$42,10,FALSE)</f>
        <v>#N/A</v>
      </c>
      <c r="Z670" s="10" t="e">
        <f>VLOOKUP(AJ662,'FRC Site Data'!$B$3:$L$42,11,FALSE)</f>
        <v>#N/A</v>
      </c>
      <c r="AA670" s="10" t="e">
        <f>VLOOKUP(AJ662,'CIR Team Info'!$C$5:$E$44,4,FALSE)</f>
        <v>#N/A</v>
      </c>
      <c r="AB670" s="161" t="b">
        <f>ISNUMBER(VLOOKUP(AJ662,Match!$T$5:$T$10,1,FALSE))</f>
        <v>0</v>
      </c>
      <c r="AC670" s="161" t="b">
        <f>IF(AB670=TRUE,(VLOOKUP($AJ662,Match!$T$5:$U$10,2,FALSE)))</f>
        <v>0</v>
      </c>
      <c r="AD670" s="8">
        <v>3</v>
      </c>
      <c r="AE670" s="8">
        <v>2</v>
      </c>
      <c r="AF670" s="8">
        <v>2</v>
      </c>
      <c r="AG670" s="8">
        <v>1</v>
      </c>
      <c r="AH670" s="8" t="str">
        <f t="shared" si="177"/>
        <v/>
      </c>
    </row>
    <row r="671" spans="1:34" x14ac:dyDescent="0.25">
      <c r="A671" s="29">
        <f t="shared" si="176"/>
        <v>0</v>
      </c>
      <c r="B671" s="29">
        <f t="shared" si="163"/>
        <v>0</v>
      </c>
      <c r="C671" s="29">
        <f t="shared" si="164"/>
        <v>0</v>
      </c>
      <c r="D671" s="29">
        <f t="shared" si="165"/>
        <v>0</v>
      </c>
      <c r="E671" s="29">
        <f t="shared" si="162"/>
        <v>0</v>
      </c>
      <c r="F671" s="29">
        <f t="shared" si="166"/>
        <v>0</v>
      </c>
      <c r="G671" s="29" t="str">
        <f t="shared" si="167"/>
        <v>offensive</v>
      </c>
      <c r="H671" s="16">
        <f t="shared" si="168"/>
        <v>0</v>
      </c>
      <c r="I671" s="16">
        <f t="shared" si="169"/>
        <v>0</v>
      </c>
      <c r="J671" s="16">
        <f t="shared" si="170"/>
        <v>0</v>
      </c>
      <c r="K671" s="16">
        <f t="shared" si="171"/>
        <v>0</v>
      </c>
      <c r="L671" s="67">
        <f t="shared" si="172"/>
        <v>0</v>
      </c>
      <c r="M671" s="4">
        <f t="shared" si="173"/>
        <v>0</v>
      </c>
      <c r="N671" s="4">
        <f t="shared" si="174"/>
        <v>0</v>
      </c>
      <c r="O671" s="4">
        <f t="shared" si="175"/>
        <v>0</v>
      </c>
      <c r="P671" s="4" t="e">
        <f>VLOOKUP(AJ663,'CIR Team Info'!$C$5:$E$44,2,FALSE)</f>
        <v>#N/A</v>
      </c>
      <c r="Q671" s="4" t="e">
        <f>VLOOKUP(AJ663,'CIR Team Info'!$C$5:$E$44,3,FALSE)</f>
        <v>#N/A</v>
      </c>
      <c r="R671" s="10" t="e">
        <f>VLOOKUP(AJ663,'FRC Site Data'!$B$3:$L$42,2,FALSE)</f>
        <v>#N/A</v>
      </c>
      <c r="S671" s="10" t="e">
        <f>VLOOKUP(AJ663,'FRC Site Data'!$B$3:$L$42,3,FALSE)</f>
        <v>#N/A</v>
      </c>
      <c r="T671" s="10" t="e">
        <f>VLOOKUP(AJ663,'FRC Site Data'!$B$3:$L$42,4,FALSE)</f>
        <v>#N/A</v>
      </c>
      <c r="U671" s="10" t="e">
        <f>VLOOKUP(AJ663,'FRC Site Data'!$B$3:$L$42,5,FALSE)</f>
        <v>#N/A</v>
      </c>
      <c r="V671" s="10" t="e">
        <f>VLOOKUP(AJ663,'FRC Site Data'!$B$3:$L$42,6,FALSE)</f>
        <v>#N/A</v>
      </c>
      <c r="W671" s="10" t="e">
        <f>VLOOKUP(AJ663,'FRC Site Data'!$B$3:$L$42,8,FALSE)</f>
        <v>#N/A</v>
      </c>
      <c r="X671" s="10" t="e">
        <f>VLOOKUP(AJ663,'FRC Site Data'!$B$3:$L$42,9,FALSE)</f>
        <v>#N/A</v>
      </c>
      <c r="Y671" s="10" t="e">
        <f>VLOOKUP(AJ663,'FRC Site Data'!$B$3:$L$42,10,FALSE)</f>
        <v>#N/A</v>
      </c>
      <c r="Z671" s="10" t="e">
        <f>VLOOKUP(AJ663,'FRC Site Data'!$B$3:$L$42,11,FALSE)</f>
        <v>#N/A</v>
      </c>
      <c r="AA671" s="10" t="e">
        <f>VLOOKUP(AJ663,'CIR Team Info'!$C$5:$E$44,4,FALSE)</f>
        <v>#N/A</v>
      </c>
      <c r="AB671" s="161" t="b">
        <f>ISNUMBER(VLOOKUP(AJ663,Match!$T$5:$T$10,1,FALSE))</f>
        <v>0</v>
      </c>
      <c r="AC671" s="161" t="b">
        <f>IF(AB671=TRUE,(VLOOKUP($AJ663,Match!$T$5:$U$10,2,FALSE)))</f>
        <v>0</v>
      </c>
      <c r="AD671" s="8">
        <v>3</v>
      </c>
      <c r="AE671" s="8">
        <v>2</v>
      </c>
      <c r="AF671" s="8">
        <v>2</v>
      </c>
      <c r="AG671" s="8">
        <v>1</v>
      </c>
      <c r="AH671" s="8" t="str">
        <f t="shared" si="177"/>
        <v/>
      </c>
    </row>
    <row r="672" spans="1:34" x14ac:dyDescent="0.25">
      <c r="A672" s="29">
        <f t="shared" si="176"/>
        <v>0</v>
      </c>
      <c r="B672" s="29">
        <f t="shared" si="163"/>
        <v>0</v>
      </c>
      <c r="C672" s="29">
        <f t="shared" si="164"/>
        <v>0</v>
      </c>
      <c r="D672" s="29">
        <f t="shared" si="165"/>
        <v>0</v>
      </c>
      <c r="E672" s="29">
        <f t="shared" si="162"/>
        <v>0</v>
      </c>
      <c r="F672" s="29">
        <f t="shared" si="166"/>
        <v>0</v>
      </c>
      <c r="G672" s="29" t="str">
        <f t="shared" si="167"/>
        <v>offensive</v>
      </c>
      <c r="H672" s="16">
        <f t="shared" si="168"/>
        <v>0</v>
      </c>
      <c r="I672" s="16">
        <f t="shared" si="169"/>
        <v>0</v>
      </c>
      <c r="J672" s="16">
        <f t="shared" si="170"/>
        <v>0</v>
      </c>
      <c r="K672" s="16">
        <f t="shared" si="171"/>
        <v>0</v>
      </c>
      <c r="L672" s="67">
        <f t="shared" si="172"/>
        <v>0</v>
      </c>
      <c r="M672" s="4">
        <f t="shared" si="173"/>
        <v>0</v>
      </c>
      <c r="N672" s="4">
        <f t="shared" si="174"/>
        <v>0</v>
      </c>
      <c r="O672" s="4">
        <f t="shared" si="175"/>
        <v>0</v>
      </c>
      <c r="P672" s="4" t="e">
        <f>VLOOKUP(AJ664,'CIR Team Info'!$C$5:$E$44,2,FALSE)</f>
        <v>#N/A</v>
      </c>
      <c r="Q672" s="4" t="e">
        <f>VLOOKUP(AJ664,'CIR Team Info'!$C$5:$E$44,3,FALSE)</f>
        <v>#N/A</v>
      </c>
      <c r="R672" s="10" t="e">
        <f>VLOOKUP(AJ664,'FRC Site Data'!$B$3:$L$42,2,FALSE)</f>
        <v>#N/A</v>
      </c>
      <c r="S672" s="10" t="e">
        <f>VLOOKUP(AJ664,'FRC Site Data'!$B$3:$L$42,3,FALSE)</f>
        <v>#N/A</v>
      </c>
      <c r="T672" s="10" t="e">
        <f>VLOOKUP(AJ664,'FRC Site Data'!$B$3:$L$42,4,FALSE)</f>
        <v>#N/A</v>
      </c>
      <c r="U672" s="10" t="e">
        <f>VLOOKUP(AJ664,'FRC Site Data'!$B$3:$L$42,5,FALSE)</f>
        <v>#N/A</v>
      </c>
      <c r="V672" s="10" t="e">
        <f>VLOOKUP(AJ664,'FRC Site Data'!$B$3:$L$42,6,FALSE)</f>
        <v>#N/A</v>
      </c>
      <c r="W672" s="10" t="e">
        <f>VLOOKUP(AJ664,'FRC Site Data'!$B$3:$L$42,8,FALSE)</f>
        <v>#N/A</v>
      </c>
      <c r="X672" s="10" t="e">
        <f>VLOOKUP(AJ664,'FRC Site Data'!$B$3:$L$42,9,FALSE)</f>
        <v>#N/A</v>
      </c>
      <c r="Y672" s="10" t="e">
        <f>VLOOKUP(AJ664,'FRC Site Data'!$B$3:$L$42,10,FALSE)</f>
        <v>#N/A</v>
      </c>
      <c r="Z672" s="10" t="e">
        <f>VLOOKUP(AJ664,'FRC Site Data'!$B$3:$L$42,11,FALSE)</f>
        <v>#N/A</v>
      </c>
      <c r="AA672" s="10" t="e">
        <f>VLOOKUP(AJ664,'CIR Team Info'!$C$5:$E$44,4,FALSE)</f>
        <v>#N/A</v>
      </c>
      <c r="AB672" s="161" t="b">
        <f>ISNUMBER(VLOOKUP(AJ664,Match!$T$5:$T$10,1,FALSE))</f>
        <v>0</v>
      </c>
      <c r="AC672" s="161" t="b">
        <f>IF(AB672=TRUE,(VLOOKUP($AJ664,Match!$T$5:$U$10,2,FALSE)))</f>
        <v>0</v>
      </c>
      <c r="AD672" s="8">
        <v>3</v>
      </c>
      <c r="AE672" s="8">
        <v>2</v>
      </c>
      <c r="AF672" s="8">
        <v>2</v>
      </c>
      <c r="AG672" s="8">
        <v>1</v>
      </c>
      <c r="AH672" s="8" t="str">
        <f t="shared" si="177"/>
        <v/>
      </c>
    </row>
    <row r="673" spans="1:34" x14ac:dyDescent="0.25">
      <c r="A673" s="29">
        <f t="shared" si="176"/>
        <v>0</v>
      </c>
      <c r="B673" s="29">
        <f t="shared" si="163"/>
        <v>0</v>
      </c>
      <c r="C673" s="29">
        <f t="shared" si="164"/>
        <v>0</v>
      </c>
      <c r="D673" s="29">
        <f t="shared" si="165"/>
        <v>0</v>
      </c>
      <c r="E673" s="29">
        <f t="shared" si="162"/>
        <v>0</v>
      </c>
      <c r="F673" s="29">
        <f t="shared" si="166"/>
        <v>0</v>
      </c>
      <c r="G673" s="29" t="str">
        <f t="shared" si="167"/>
        <v>offensive</v>
      </c>
      <c r="H673" s="16">
        <f t="shared" si="168"/>
        <v>0</v>
      </c>
      <c r="I673" s="16">
        <f t="shared" si="169"/>
        <v>0</v>
      </c>
      <c r="J673" s="16">
        <f t="shared" si="170"/>
        <v>0</v>
      </c>
      <c r="K673" s="16">
        <f t="shared" si="171"/>
        <v>0</v>
      </c>
      <c r="L673" s="67">
        <f t="shared" si="172"/>
        <v>0</v>
      </c>
      <c r="M673" s="4">
        <f t="shared" si="173"/>
        <v>0</v>
      </c>
      <c r="N673" s="4">
        <f t="shared" si="174"/>
        <v>0</v>
      </c>
      <c r="O673" s="4">
        <f t="shared" si="175"/>
        <v>0</v>
      </c>
      <c r="P673" s="4" t="e">
        <f>VLOOKUP(AJ665,'CIR Team Info'!$C$5:$E$44,2,FALSE)</f>
        <v>#N/A</v>
      </c>
      <c r="Q673" s="4" t="e">
        <f>VLOOKUP(AJ665,'CIR Team Info'!$C$5:$E$44,3,FALSE)</f>
        <v>#N/A</v>
      </c>
      <c r="R673" s="10" t="e">
        <f>VLOOKUP(AJ665,'FRC Site Data'!$B$3:$L$42,2,FALSE)</f>
        <v>#N/A</v>
      </c>
      <c r="S673" s="10" t="e">
        <f>VLOOKUP(AJ665,'FRC Site Data'!$B$3:$L$42,3,FALSE)</f>
        <v>#N/A</v>
      </c>
      <c r="T673" s="10" t="e">
        <f>VLOOKUP(AJ665,'FRC Site Data'!$B$3:$L$42,4,FALSE)</f>
        <v>#N/A</v>
      </c>
      <c r="U673" s="10" t="e">
        <f>VLOOKUP(AJ665,'FRC Site Data'!$B$3:$L$42,5,FALSE)</f>
        <v>#N/A</v>
      </c>
      <c r="V673" s="10" t="e">
        <f>VLOOKUP(AJ665,'FRC Site Data'!$B$3:$L$42,6,FALSE)</f>
        <v>#N/A</v>
      </c>
      <c r="W673" s="10" t="e">
        <f>VLOOKUP(AJ665,'FRC Site Data'!$B$3:$L$42,8,FALSE)</f>
        <v>#N/A</v>
      </c>
      <c r="X673" s="10" t="e">
        <f>VLOOKUP(AJ665,'FRC Site Data'!$B$3:$L$42,9,FALSE)</f>
        <v>#N/A</v>
      </c>
      <c r="Y673" s="10" t="e">
        <f>VLOOKUP(AJ665,'FRC Site Data'!$B$3:$L$42,10,FALSE)</f>
        <v>#N/A</v>
      </c>
      <c r="Z673" s="10" t="e">
        <f>VLOOKUP(AJ665,'FRC Site Data'!$B$3:$L$42,11,FALSE)</f>
        <v>#N/A</v>
      </c>
      <c r="AA673" s="10" t="e">
        <f>VLOOKUP(AJ665,'CIR Team Info'!$C$5:$E$44,4,FALSE)</f>
        <v>#N/A</v>
      </c>
      <c r="AB673" s="161" t="b">
        <f>ISNUMBER(VLOOKUP(AJ665,Match!$T$5:$T$10,1,FALSE))</f>
        <v>0</v>
      </c>
      <c r="AC673" s="161" t="b">
        <f>IF(AB673=TRUE,(VLOOKUP($AJ665,Match!$T$5:$U$10,2,FALSE)))</f>
        <v>0</v>
      </c>
      <c r="AD673" s="8">
        <v>3</v>
      </c>
      <c r="AE673" s="8">
        <v>2</v>
      </c>
      <c r="AF673" s="8">
        <v>2</v>
      </c>
      <c r="AG673" s="8">
        <v>1</v>
      </c>
      <c r="AH673" s="8" t="str">
        <f t="shared" si="177"/>
        <v/>
      </c>
    </row>
    <row r="674" spans="1:34" x14ac:dyDescent="0.25">
      <c r="A674" s="29">
        <f t="shared" si="176"/>
        <v>0</v>
      </c>
      <c r="B674" s="29">
        <f t="shared" si="163"/>
        <v>0</v>
      </c>
      <c r="C674" s="29">
        <f t="shared" si="164"/>
        <v>0</v>
      </c>
      <c r="D674" s="29">
        <f t="shared" si="165"/>
        <v>0</v>
      </c>
      <c r="E674" s="29">
        <f t="shared" si="162"/>
        <v>0</v>
      </c>
      <c r="F674" s="29">
        <f t="shared" si="166"/>
        <v>0</v>
      </c>
      <c r="G674" s="29" t="str">
        <f t="shared" si="167"/>
        <v>offensive</v>
      </c>
      <c r="H674" s="16">
        <f t="shared" si="168"/>
        <v>0</v>
      </c>
      <c r="I674" s="16">
        <f t="shared" si="169"/>
        <v>0</v>
      </c>
      <c r="J674" s="16">
        <f t="shared" si="170"/>
        <v>0</v>
      </c>
      <c r="K674" s="16">
        <f t="shared" si="171"/>
        <v>0</v>
      </c>
      <c r="L674" s="67">
        <f t="shared" si="172"/>
        <v>0</v>
      </c>
      <c r="M674" s="4">
        <f t="shared" si="173"/>
        <v>0</v>
      </c>
      <c r="N674" s="4">
        <f t="shared" si="174"/>
        <v>0</v>
      </c>
      <c r="O674" s="4">
        <f t="shared" si="175"/>
        <v>0</v>
      </c>
      <c r="P674" s="4" t="e">
        <f>VLOOKUP(AJ666,'CIR Team Info'!$C$5:$E$44,2,FALSE)</f>
        <v>#N/A</v>
      </c>
      <c r="Q674" s="4" t="e">
        <f>VLOOKUP(AJ666,'CIR Team Info'!$C$5:$E$44,3,FALSE)</f>
        <v>#N/A</v>
      </c>
      <c r="R674" s="10" t="e">
        <f>VLOOKUP(AJ666,'FRC Site Data'!$B$3:$L$42,2,FALSE)</f>
        <v>#N/A</v>
      </c>
      <c r="S674" s="10" t="e">
        <f>VLOOKUP(AJ666,'FRC Site Data'!$B$3:$L$42,3,FALSE)</f>
        <v>#N/A</v>
      </c>
      <c r="T674" s="10" t="e">
        <f>VLOOKUP(AJ666,'FRC Site Data'!$B$3:$L$42,4,FALSE)</f>
        <v>#N/A</v>
      </c>
      <c r="U674" s="10" t="e">
        <f>VLOOKUP(AJ666,'FRC Site Data'!$B$3:$L$42,5,FALSE)</f>
        <v>#N/A</v>
      </c>
      <c r="V674" s="10" t="e">
        <f>VLOOKUP(AJ666,'FRC Site Data'!$B$3:$L$42,6,FALSE)</f>
        <v>#N/A</v>
      </c>
      <c r="W674" s="10" t="e">
        <f>VLOOKUP(AJ666,'FRC Site Data'!$B$3:$L$42,8,FALSE)</f>
        <v>#N/A</v>
      </c>
      <c r="X674" s="10" t="e">
        <f>VLOOKUP(AJ666,'FRC Site Data'!$B$3:$L$42,9,FALSE)</f>
        <v>#N/A</v>
      </c>
      <c r="Y674" s="10" t="e">
        <f>VLOOKUP(AJ666,'FRC Site Data'!$B$3:$L$42,10,FALSE)</f>
        <v>#N/A</v>
      </c>
      <c r="Z674" s="10" t="e">
        <f>VLOOKUP(AJ666,'FRC Site Data'!$B$3:$L$42,11,FALSE)</f>
        <v>#N/A</v>
      </c>
      <c r="AA674" s="10" t="e">
        <f>VLOOKUP(AJ666,'CIR Team Info'!$C$5:$E$44,4,FALSE)</f>
        <v>#N/A</v>
      </c>
      <c r="AB674" s="161" t="b">
        <f>ISNUMBER(VLOOKUP(AJ666,Match!$T$5:$T$10,1,FALSE))</f>
        <v>0</v>
      </c>
      <c r="AC674" s="161" t="b">
        <f>IF(AB674=TRUE,(VLOOKUP($AJ666,Match!$T$5:$U$10,2,FALSE)))</f>
        <v>0</v>
      </c>
      <c r="AD674" s="8">
        <v>3</v>
      </c>
      <c r="AE674" s="8">
        <v>2</v>
      </c>
      <c r="AF674" s="8">
        <v>2</v>
      </c>
      <c r="AG674" s="8">
        <v>1</v>
      </c>
      <c r="AH674" s="8" t="str">
        <f t="shared" si="177"/>
        <v/>
      </c>
    </row>
    <row r="675" spans="1:34" x14ac:dyDescent="0.25">
      <c r="A675" s="29">
        <f t="shared" si="176"/>
        <v>0</v>
      </c>
      <c r="B675" s="29">
        <f t="shared" si="163"/>
        <v>0</v>
      </c>
      <c r="C675" s="29">
        <f t="shared" si="164"/>
        <v>0</v>
      </c>
      <c r="D675" s="29">
        <f t="shared" si="165"/>
        <v>0</v>
      </c>
      <c r="E675" s="29">
        <f t="shared" si="162"/>
        <v>0</v>
      </c>
      <c r="F675" s="29">
        <f t="shared" si="166"/>
        <v>0</v>
      </c>
      <c r="G675" s="29" t="str">
        <f t="shared" si="167"/>
        <v>offensive</v>
      </c>
      <c r="H675" s="16">
        <f t="shared" si="168"/>
        <v>0</v>
      </c>
      <c r="I675" s="16">
        <f t="shared" si="169"/>
        <v>0</v>
      </c>
      <c r="J675" s="16">
        <f t="shared" si="170"/>
        <v>0</v>
      </c>
      <c r="K675" s="16">
        <f t="shared" si="171"/>
        <v>0</v>
      </c>
      <c r="L675" s="67">
        <f t="shared" si="172"/>
        <v>0</v>
      </c>
      <c r="M675" s="4">
        <f t="shared" si="173"/>
        <v>0</v>
      </c>
      <c r="N675" s="4">
        <f t="shared" si="174"/>
        <v>0</v>
      </c>
      <c r="O675" s="4">
        <f t="shared" si="175"/>
        <v>0</v>
      </c>
      <c r="P675" s="4" t="e">
        <f>VLOOKUP(AJ667,'CIR Team Info'!$C$5:$E$44,2,FALSE)</f>
        <v>#N/A</v>
      </c>
      <c r="Q675" s="4" t="e">
        <f>VLOOKUP(AJ667,'CIR Team Info'!$C$5:$E$44,3,FALSE)</f>
        <v>#N/A</v>
      </c>
      <c r="R675" s="10" t="e">
        <f>VLOOKUP(AJ667,'FRC Site Data'!$B$3:$L$42,2,FALSE)</f>
        <v>#N/A</v>
      </c>
      <c r="S675" s="10" t="e">
        <f>VLOOKUP(AJ667,'FRC Site Data'!$B$3:$L$42,3,FALSE)</f>
        <v>#N/A</v>
      </c>
      <c r="T675" s="10" t="e">
        <f>VLOOKUP(AJ667,'FRC Site Data'!$B$3:$L$42,4,FALSE)</f>
        <v>#N/A</v>
      </c>
      <c r="U675" s="10" t="e">
        <f>VLOOKUP(AJ667,'FRC Site Data'!$B$3:$L$42,5,FALSE)</f>
        <v>#N/A</v>
      </c>
      <c r="V675" s="10" t="e">
        <f>VLOOKUP(AJ667,'FRC Site Data'!$B$3:$L$42,6,FALSE)</f>
        <v>#N/A</v>
      </c>
      <c r="W675" s="10" t="e">
        <f>VLOOKUP(AJ667,'FRC Site Data'!$B$3:$L$42,8,FALSE)</f>
        <v>#N/A</v>
      </c>
      <c r="X675" s="10" t="e">
        <f>VLOOKUP(AJ667,'FRC Site Data'!$B$3:$L$42,9,FALSE)</f>
        <v>#N/A</v>
      </c>
      <c r="Y675" s="10" t="e">
        <f>VLOOKUP(AJ667,'FRC Site Data'!$B$3:$L$42,10,FALSE)</f>
        <v>#N/A</v>
      </c>
      <c r="Z675" s="10" t="e">
        <f>VLOOKUP(AJ667,'FRC Site Data'!$B$3:$L$42,11,FALSE)</f>
        <v>#N/A</v>
      </c>
      <c r="AA675" s="10" t="e">
        <f>VLOOKUP(AJ667,'CIR Team Info'!$C$5:$E$44,4,FALSE)</f>
        <v>#N/A</v>
      </c>
      <c r="AB675" s="161" t="b">
        <f>ISNUMBER(VLOOKUP(AJ667,Match!$T$5:$T$10,1,FALSE))</f>
        <v>0</v>
      </c>
      <c r="AC675" s="161" t="b">
        <f>IF(AB675=TRUE,(VLOOKUP($AJ667,Match!$T$5:$U$10,2,FALSE)))</f>
        <v>0</v>
      </c>
      <c r="AD675" s="8">
        <v>3</v>
      </c>
      <c r="AE675" s="8">
        <v>2</v>
      </c>
      <c r="AF675" s="8">
        <v>2</v>
      </c>
      <c r="AG675" s="8">
        <v>1</v>
      </c>
      <c r="AH675" s="8" t="str">
        <f t="shared" si="177"/>
        <v/>
      </c>
    </row>
    <row r="676" spans="1:34" x14ac:dyDescent="0.25">
      <c r="A676" s="29">
        <f t="shared" si="176"/>
        <v>0</v>
      </c>
      <c r="B676" s="29">
        <f t="shared" si="163"/>
        <v>0</v>
      </c>
      <c r="C676" s="29">
        <f t="shared" si="164"/>
        <v>0</v>
      </c>
      <c r="D676" s="29">
        <f t="shared" si="165"/>
        <v>0</v>
      </c>
      <c r="E676" s="29">
        <f t="shared" si="162"/>
        <v>0</v>
      </c>
      <c r="F676" s="29">
        <f t="shared" si="166"/>
        <v>0</v>
      </c>
      <c r="G676" s="29" t="str">
        <f t="shared" si="167"/>
        <v>offensive</v>
      </c>
      <c r="H676" s="16">
        <f t="shared" si="168"/>
        <v>0</v>
      </c>
      <c r="I676" s="16">
        <f t="shared" si="169"/>
        <v>0</v>
      </c>
      <c r="J676" s="16">
        <f t="shared" si="170"/>
        <v>0</v>
      </c>
      <c r="K676" s="16">
        <f t="shared" si="171"/>
        <v>0</v>
      </c>
      <c r="L676" s="67">
        <f t="shared" si="172"/>
        <v>0</v>
      </c>
      <c r="M676" s="4">
        <f t="shared" si="173"/>
        <v>0</v>
      </c>
      <c r="N676" s="4">
        <f t="shared" si="174"/>
        <v>0</v>
      </c>
      <c r="O676" s="4">
        <f t="shared" si="175"/>
        <v>0</v>
      </c>
      <c r="P676" s="4" t="e">
        <f>VLOOKUP(AJ668,'CIR Team Info'!$C$5:$E$44,2,FALSE)</f>
        <v>#N/A</v>
      </c>
      <c r="Q676" s="4" t="e">
        <f>VLOOKUP(AJ668,'CIR Team Info'!$C$5:$E$44,3,FALSE)</f>
        <v>#N/A</v>
      </c>
      <c r="R676" s="10" t="e">
        <f>VLOOKUP(AJ668,'FRC Site Data'!$B$3:$L$42,2,FALSE)</f>
        <v>#N/A</v>
      </c>
      <c r="S676" s="10" t="e">
        <f>VLOOKUP(AJ668,'FRC Site Data'!$B$3:$L$42,3,FALSE)</f>
        <v>#N/A</v>
      </c>
      <c r="T676" s="10" t="e">
        <f>VLOOKUP(AJ668,'FRC Site Data'!$B$3:$L$42,4,FALSE)</f>
        <v>#N/A</v>
      </c>
      <c r="U676" s="10" t="e">
        <f>VLOOKUP(AJ668,'FRC Site Data'!$B$3:$L$42,5,FALSE)</f>
        <v>#N/A</v>
      </c>
      <c r="V676" s="10" t="e">
        <f>VLOOKUP(AJ668,'FRC Site Data'!$B$3:$L$42,6,FALSE)</f>
        <v>#N/A</v>
      </c>
      <c r="W676" s="10" t="e">
        <f>VLOOKUP(AJ668,'FRC Site Data'!$B$3:$L$42,8,FALSE)</f>
        <v>#N/A</v>
      </c>
      <c r="X676" s="10" t="e">
        <f>VLOOKUP(AJ668,'FRC Site Data'!$B$3:$L$42,9,FALSE)</f>
        <v>#N/A</v>
      </c>
      <c r="Y676" s="10" t="e">
        <f>VLOOKUP(AJ668,'FRC Site Data'!$B$3:$L$42,10,FALSE)</f>
        <v>#N/A</v>
      </c>
      <c r="Z676" s="10" t="e">
        <f>VLOOKUP(AJ668,'FRC Site Data'!$B$3:$L$42,11,FALSE)</f>
        <v>#N/A</v>
      </c>
      <c r="AA676" s="10" t="e">
        <f>VLOOKUP(AJ668,'CIR Team Info'!$C$5:$E$44,4,FALSE)</f>
        <v>#N/A</v>
      </c>
      <c r="AB676" s="161" t="b">
        <f>ISNUMBER(VLOOKUP(AJ668,Match!$T$5:$T$10,1,FALSE))</f>
        <v>0</v>
      </c>
      <c r="AC676" s="161" t="b">
        <f>IF(AB676=TRUE,(VLOOKUP($AJ668,Match!$T$5:$U$10,2,FALSE)))</f>
        <v>0</v>
      </c>
      <c r="AD676" s="8">
        <v>3</v>
      </c>
      <c r="AE676" s="8">
        <v>2</v>
      </c>
      <c r="AF676" s="8">
        <v>2</v>
      </c>
      <c r="AG676" s="8">
        <v>1</v>
      </c>
      <c r="AH676" s="8" t="str">
        <f t="shared" si="177"/>
        <v/>
      </c>
    </row>
    <row r="677" spans="1:34" x14ac:dyDescent="0.25">
      <c r="A677" s="29">
        <f t="shared" si="176"/>
        <v>0</v>
      </c>
      <c r="B677" s="29">
        <f t="shared" si="163"/>
        <v>0</v>
      </c>
      <c r="C677" s="29">
        <f t="shared" si="164"/>
        <v>0</v>
      </c>
      <c r="D677" s="29">
        <f t="shared" si="165"/>
        <v>0</v>
      </c>
      <c r="E677" s="29">
        <f t="shared" si="162"/>
        <v>0</v>
      </c>
      <c r="F677" s="29">
        <f t="shared" si="166"/>
        <v>0</v>
      </c>
      <c r="G677" s="29" t="str">
        <f t="shared" si="167"/>
        <v>offensive</v>
      </c>
      <c r="H677" s="16">
        <f t="shared" si="168"/>
        <v>0</v>
      </c>
      <c r="I677" s="16">
        <f t="shared" si="169"/>
        <v>0</v>
      </c>
      <c r="J677" s="16">
        <f t="shared" si="170"/>
        <v>0</v>
      </c>
      <c r="K677" s="16">
        <f t="shared" si="171"/>
        <v>0</v>
      </c>
      <c r="L677" s="67">
        <f t="shared" si="172"/>
        <v>0</v>
      </c>
      <c r="M677" s="4">
        <f t="shared" si="173"/>
        <v>0</v>
      </c>
      <c r="N677" s="4">
        <f t="shared" si="174"/>
        <v>0</v>
      </c>
      <c r="O677" s="4">
        <f t="shared" si="175"/>
        <v>0</v>
      </c>
      <c r="P677" s="4" t="e">
        <f>VLOOKUP(AJ669,'CIR Team Info'!$C$5:$E$44,2,FALSE)</f>
        <v>#N/A</v>
      </c>
      <c r="Q677" s="4" t="e">
        <f>VLOOKUP(AJ669,'CIR Team Info'!$C$5:$E$44,3,FALSE)</f>
        <v>#N/A</v>
      </c>
      <c r="R677" s="10" t="e">
        <f>VLOOKUP(AJ669,'FRC Site Data'!$B$3:$L$42,2,FALSE)</f>
        <v>#N/A</v>
      </c>
      <c r="S677" s="10" t="e">
        <f>VLOOKUP(AJ669,'FRC Site Data'!$B$3:$L$42,3,FALSE)</f>
        <v>#N/A</v>
      </c>
      <c r="T677" s="10" t="e">
        <f>VLOOKUP(AJ669,'FRC Site Data'!$B$3:$L$42,4,FALSE)</f>
        <v>#N/A</v>
      </c>
      <c r="U677" s="10" t="e">
        <f>VLOOKUP(AJ669,'FRC Site Data'!$B$3:$L$42,5,FALSE)</f>
        <v>#N/A</v>
      </c>
      <c r="V677" s="10" t="e">
        <f>VLOOKUP(AJ669,'FRC Site Data'!$B$3:$L$42,6,FALSE)</f>
        <v>#N/A</v>
      </c>
      <c r="W677" s="10" t="e">
        <f>VLOOKUP(AJ669,'FRC Site Data'!$B$3:$L$42,8,FALSE)</f>
        <v>#N/A</v>
      </c>
      <c r="X677" s="10" t="e">
        <f>VLOOKUP(AJ669,'FRC Site Data'!$B$3:$L$42,9,FALSE)</f>
        <v>#N/A</v>
      </c>
      <c r="Y677" s="10" t="e">
        <f>VLOOKUP(AJ669,'FRC Site Data'!$B$3:$L$42,10,FALSE)</f>
        <v>#N/A</v>
      </c>
      <c r="Z677" s="10" t="e">
        <f>VLOOKUP(AJ669,'FRC Site Data'!$B$3:$L$42,11,FALSE)</f>
        <v>#N/A</v>
      </c>
      <c r="AA677" s="10" t="e">
        <f>VLOOKUP(AJ669,'CIR Team Info'!$C$5:$E$44,4,FALSE)</f>
        <v>#N/A</v>
      </c>
      <c r="AB677" s="161" t="b">
        <f>ISNUMBER(VLOOKUP(AJ669,Match!$T$5:$T$10,1,FALSE))</f>
        <v>0</v>
      </c>
      <c r="AC677" s="161" t="b">
        <f>IF(AB677=TRUE,(VLOOKUP($AJ669,Match!$T$5:$U$10,2,FALSE)))</f>
        <v>0</v>
      </c>
      <c r="AD677" s="8">
        <v>3</v>
      </c>
      <c r="AE677" s="8">
        <v>2</v>
      </c>
      <c r="AF677" s="8">
        <v>2</v>
      </c>
      <c r="AG677" s="8">
        <v>1</v>
      </c>
      <c r="AH677" s="8" t="str">
        <f t="shared" si="177"/>
        <v/>
      </c>
    </row>
    <row r="678" spans="1:34" x14ac:dyDescent="0.25">
      <c r="A678" s="29">
        <f t="shared" si="176"/>
        <v>0</v>
      </c>
      <c r="B678" s="29">
        <f t="shared" si="163"/>
        <v>0</v>
      </c>
      <c r="C678" s="29">
        <f t="shared" si="164"/>
        <v>0</v>
      </c>
      <c r="D678" s="29">
        <f t="shared" si="165"/>
        <v>0</v>
      </c>
      <c r="E678" s="29">
        <f t="shared" si="162"/>
        <v>0</v>
      </c>
      <c r="F678" s="29">
        <f t="shared" si="166"/>
        <v>0</v>
      </c>
      <c r="G678" s="29" t="str">
        <f t="shared" si="167"/>
        <v>offensive</v>
      </c>
      <c r="H678" s="16">
        <f t="shared" si="168"/>
        <v>0</v>
      </c>
      <c r="I678" s="16">
        <f t="shared" si="169"/>
        <v>0</v>
      </c>
      <c r="J678" s="16">
        <f t="shared" si="170"/>
        <v>0</v>
      </c>
      <c r="K678" s="16">
        <f t="shared" si="171"/>
        <v>0</v>
      </c>
      <c r="L678" s="67">
        <f t="shared" si="172"/>
        <v>0</v>
      </c>
      <c r="M678" s="4">
        <f t="shared" si="173"/>
        <v>0</v>
      </c>
      <c r="N678" s="4">
        <f t="shared" si="174"/>
        <v>0</v>
      </c>
      <c r="O678" s="4">
        <f t="shared" si="175"/>
        <v>0</v>
      </c>
      <c r="P678" s="4" t="e">
        <f>VLOOKUP(AJ670,'CIR Team Info'!$C$5:$E$44,2,FALSE)</f>
        <v>#N/A</v>
      </c>
      <c r="Q678" s="4" t="e">
        <f>VLOOKUP(AJ670,'CIR Team Info'!$C$5:$E$44,3,FALSE)</f>
        <v>#N/A</v>
      </c>
      <c r="R678" s="10" t="e">
        <f>VLOOKUP(AJ670,'FRC Site Data'!$B$3:$L$42,2,FALSE)</f>
        <v>#N/A</v>
      </c>
      <c r="S678" s="10" t="e">
        <f>VLOOKUP(AJ670,'FRC Site Data'!$B$3:$L$42,3,FALSE)</f>
        <v>#N/A</v>
      </c>
      <c r="T678" s="10" t="e">
        <f>VLOOKUP(AJ670,'FRC Site Data'!$B$3:$L$42,4,FALSE)</f>
        <v>#N/A</v>
      </c>
      <c r="U678" s="10" t="e">
        <f>VLOOKUP(AJ670,'FRC Site Data'!$B$3:$L$42,5,FALSE)</f>
        <v>#N/A</v>
      </c>
      <c r="V678" s="10" t="e">
        <f>VLOOKUP(AJ670,'FRC Site Data'!$B$3:$L$42,6,FALSE)</f>
        <v>#N/A</v>
      </c>
      <c r="W678" s="10" t="e">
        <f>VLOOKUP(AJ670,'FRC Site Data'!$B$3:$L$42,8,FALSE)</f>
        <v>#N/A</v>
      </c>
      <c r="X678" s="10" t="e">
        <f>VLOOKUP(AJ670,'FRC Site Data'!$B$3:$L$42,9,FALSE)</f>
        <v>#N/A</v>
      </c>
      <c r="Y678" s="10" t="e">
        <f>VLOOKUP(AJ670,'FRC Site Data'!$B$3:$L$42,10,FALSE)</f>
        <v>#N/A</v>
      </c>
      <c r="Z678" s="10" t="e">
        <f>VLOOKUP(AJ670,'FRC Site Data'!$B$3:$L$42,11,FALSE)</f>
        <v>#N/A</v>
      </c>
      <c r="AA678" s="10" t="e">
        <f>VLOOKUP(AJ670,'CIR Team Info'!$C$5:$E$44,4,FALSE)</f>
        <v>#N/A</v>
      </c>
      <c r="AB678" s="161" t="b">
        <f>ISNUMBER(VLOOKUP(AJ670,Match!$T$5:$T$10,1,FALSE))</f>
        <v>0</v>
      </c>
      <c r="AC678" s="161" t="b">
        <f>IF(AB678=TRUE,(VLOOKUP($AJ670,Match!$T$5:$U$10,2,FALSE)))</f>
        <v>0</v>
      </c>
      <c r="AD678" s="8">
        <v>3</v>
      </c>
      <c r="AE678" s="8">
        <v>2</v>
      </c>
      <c r="AF678" s="8">
        <v>2</v>
      </c>
      <c r="AG678" s="8">
        <v>1</v>
      </c>
      <c r="AH678" s="8" t="str">
        <f t="shared" si="177"/>
        <v/>
      </c>
    </row>
    <row r="679" spans="1:34" x14ac:dyDescent="0.25">
      <c r="A679" s="29">
        <f t="shared" si="176"/>
        <v>0</v>
      </c>
      <c r="B679" s="29">
        <f t="shared" si="163"/>
        <v>0</v>
      </c>
      <c r="C679" s="29">
        <f t="shared" si="164"/>
        <v>0</v>
      </c>
      <c r="D679" s="29">
        <f t="shared" si="165"/>
        <v>0</v>
      </c>
      <c r="E679" s="29">
        <f t="shared" si="162"/>
        <v>0</v>
      </c>
      <c r="F679" s="29">
        <f t="shared" si="166"/>
        <v>0</v>
      </c>
      <c r="G679" s="29" t="str">
        <f t="shared" si="167"/>
        <v>offensive</v>
      </c>
      <c r="H679" s="16">
        <f t="shared" si="168"/>
        <v>0</v>
      </c>
      <c r="I679" s="16">
        <f t="shared" si="169"/>
        <v>0</v>
      </c>
      <c r="J679" s="16">
        <f t="shared" si="170"/>
        <v>0</v>
      </c>
      <c r="K679" s="16">
        <f t="shared" si="171"/>
        <v>0</v>
      </c>
      <c r="L679" s="67">
        <f t="shared" si="172"/>
        <v>0</v>
      </c>
      <c r="M679" s="4">
        <f t="shared" si="173"/>
        <v>0</v>
      </c>
      <c r="N679" s="4">
        <f t="shared" si="174"/>
        <v>0</v>
      </c>
      <c r="O679" s="4">
        <f t="shared" si="175"/>
        <v>0</v>
      </c>
      <c r="P679" s="4" t="e">
        <f>VLOOKUP(AJ671,'CIR Team Info'!$C$5:$E$44,2,FALSE)</f>
        <v>#N/A</v>
      </c>
      <c r="Q679" s="4" t="e">
        <f>VLOOKUP(AJ671,'CIR Team Info'!$C$5:$E$44,3,FALSE)</f>
        <v>#N/A</v>
      </c>
      <c r="R679" s="10" t="e">
        <f>VLOOKUP(AJ671,'FRC Site Data'!$B$3:$L$42,2,FALSE)</f>
        <v>#N/A</v>
      </c>
      <c r="S679" s="10" t="e">
        <f>VLOOKUP(AJ671,'FRC Site Data'!$B$3:$L$42,3,FALSE)</f>
        <v>#N/A</v>
      </c>
      <c r="T679" s="10" t="e">
        <f>VLOOKUP(AJ671,'FRC Site Data'!$B$3:$L$42,4,FALSE)</f>
        <v>#N/A</v>
      </c>
      <c r="U679" s="10" t="e">
        <f>VLOOKUP(AJ671,'FRC Site Data'!$B$3:$L$42,5,FALSE)</f>
        <v>#N/A</v>
      </c>
      <c r="V679" s="10" t="e">
        <f>VLOOKUP(AJ671,'FRC Site Data'!$B$3:$L$42,6,FALSE)</f>
        <v>#N/A</v>
      </c>
      <c r="W679" s="10" t="e">
        <f>VLOOKUP(AJ671,'FRC Site Data'!$B$3:$L$42,8,FALSE)</f>
        <v>#N/A</v>
      </c>
      <c r="X679" s="10" t="e">
        <f>VLOOKUP(AJ671,'FRC Site Data'!$B$3:$L$42,9,FALSE)</f>
        <v>#N/A</v>
      </c>
      <c r="Y679" s="10" t="e">
        <f>VLOOKUP(AJ671,'FRC Site Data'!$B$3:$L$42,10,FALSE)</f>
        <v>#N/A</v>
      </c>
      <c r="Z679" s="10" t="e">
        <f>VLOOKUP(AJ671,'FRC Site Data'!$B$3:$L$42,11,FALSE)</f>
        <v>#N/A</v>
      </c>
      <c r="AA679" s="10" t="e">
        <f>VLOOKUP(AJ671,'CIR Team Info'!$C$5:$E$44,4,FALSE)</f>
        <v>#N/A</v>
      </c>
      <c r="AB679" s="161" t="b">
        <f>ISNUMBER(VLOOKUP(AJ671,Match!$T$5:$T$10,1,FALSE))</f>
        <v>0</v>
      </c>
      <c r="AC679" s="161" t="b">
        <f>IF(AB679=TRUE,(VLOOKUP($AJ671,Match!$T$5:$U$10,2,FALSE)))</f>
        <v>0</v>
      </c>
      <c r="AD679" s="8">
        <v>3</v>
      </c>
      <c r="AE679" s="8">
        <v>2</v>
      </c>
      <c r="AF679" s="8">
        <v>2</v>
      </c>
      <c r="AG679" s="8">
        <v>1</v>
      </c>
      <c r="AH679" s="8" t="str">
        <f t="shared" si="177"/>
        <v/>
      </c>
    </row>
    <row r="680" spans="1:34" x14ac:dyDescent="0.25">
      <c r="A680" s="29">
        <f t="shared" si="176"/>
        <v>0</v>
      </c>
      <c r="B680" s="29">
        <f t="shared" si="163"/>
        <v>0</v>
      </c>
      <c r="C680" s="29">
        <f t="shared" si="164"/>
        <v>0</v>
      </c>
      <c r="D680" s="29">
        <f t="shared" si="165"/>
        <v>0</v>
      </c>
      <c r="E680" s="29">
        <f t="shared" si="162"/>
        <v>0</v>
      </c>
      <c r="F680" s="29">
        <f t="shared" si="166"/>
        <v>0</v>
      </c>
      <c r="G680" s="29" t="str">
        <f t="shared" si="167"/>
        <v>offensive</v>
      </c>
      <c r="H680" s="16">
        <f t="shared" si="168"/>
        <v>0</v>
      </c>
      <c r="I680" s="16">
        <f t="shared" si="169"/>
        <v>0</v>
      </c>
      <c r="J680" s="16">
        <f t="shared" si="170"/>
        <v>0</v>
      </c>
      <c r="K680" s="16">
        <f t="shared" si="171"/>
        <v>0</v>
      </c>
      <c r="L680" s="67">
        <f t="shared" si="172"/>
        <v>0</v>
      </c>
      <c r="M680" s="4">
        <f t="shared" si="173"/>
        <v>0</v>
      </c>
      <c r="N680" s="4">
        <f t="shared" si="174"/>
        <v>0</v>
      </c>
      <c r="O680" s="4">
        <f t="shared" si="175"/>
        <v>0</v>
      </c>
      <c r="P680" s="4" t="e">
        <f>VLOOKUP(AJ672,'CIR Team Info'!$C$5:$E$44,2,FALSE)</f>
        <v>#N/A</v>
      </c>
      <c r="Q680" s="4" t="e">
        <f>VLOOKUP(AJ672,'CIR Team Info'!$C$5:$E$44,3,FALSE)</f>
        <v>#N/A</v>
      </c>
      <c r="R680" s="10" t="e">
        <f>VLOOKUP(AJ672,'FRC Site Data'!$B$3:$L$42,2,FALSE)</f>
        <v>#N/A</v>
      </c>
      <c r="S680" s="10" t="e">
        <f>VLOOKUP(AJ672,'FRC Site Data'!$B$3:$L$42,3,FALSE)</f>
        <v>#N/A</v>
      </c>
      <c r="T680" s="10" t="e">
        <f>VLOOKUP(AJ672,'FRC Site Data'!$B$3:$L$42,4,FALSE)</f>
        <v>#N/A</v>
      </c>
      <c r="U680" s="10" t="e">
        <f>VLOOKUP(AJ672,'FRC Site Data'!$B$3:$L$42,5,FALSE)</f>
        <v>#N/A</v>
      </c>
      <c r="V680" s="10" t="e">
        <f>VLOOKUP(AJ672,'FRC Site Data'!$B$3:$L$42,6,FALSE)</f>
        <v>#N/A</v>
      </c>
      <c r="W680" s="10" t="e">
        <f>VLOOKUP(AJ672,'FRC Site Data'!$B$3:$L$42,8,FALSE)</f>
        <v>#N/A</v>
      </c>
      <c r="X680" s="10" t="e">
        <f>VLOOKUP(AJ672,'FRC Site Data'!$B$3:$L$42,9,FALSE)</f>
        <v>#N/A</v>
      </c>
      <c r="Y680" s="10" t="e">
        <f>VLOOKUP(AJ672,'FRC Site Data'!$B$3:$L$42,10,FALSE)</f>
        <v>#N/A</v>
      </c>
      <c r="Z680" s="10" t="e">
        <f>VLOOKUP(AJ672,'FRC Site Data'!$B$3:$L$42,11,FALSE)</f>
        <v>#N/A</v>
      </c>
      <c r="AA680" s="10" t="e">
        <f>VLOOKUP(AJ672,'CIR Team Info'!$C$5:$E$44,4,FALSE)</f>
        <v>#N/A</v>
      </c>
      <c r="AB680" s="161" t="b">
        <f>ISNUMBER(VLOOKUP(AJ672,Match!$T$5:$T$10,1,FALSE))</f>
        <v>0</v>
      </c>
      <c r="AC680" s="161" t="b">
        <f>IF(AB680=TRUE,(VLOOKUP($AJ672,Match!$T$5:$U$10,2,FALSE)))</f>
        <v>0</v>
      </c>
      <c r="AD680" s="8">
        <v>3</v>
      </c>
      <c r="AE680" s="8">
        <v>2</v>
      </c>
      <c r="AF680" s="8">
        <v>2</v>
      </c>
      <c r="AG680" s="8">
        <v>1</v>
      </c>
      <c r="AH680" s="8" t="str">
        <f t="shared" si="177"/>
        <v/>
      </c>
    </row>
    <row r="681" spans="1:34" x14ac:dyDescent="0.25">
      <c r="A681" s="29">
        <f t="shared" si="176"/>
        <v>0</v>
      </c>
      <c r="B681" s="29">
        <f t="shared" si="163"/>
        <v>0</v>
      </c>
      <c r="C681" s="29">
        <f t="shared" si="164"/>
        <v>0</v>
      </c>
      <c r="D681" s="29">
        <f t="shared" si="165"/>
        <v>0</v>
      </c>
      <c r="E681" s="29">
        <f t="shared" si="162"/>
        <v>0</v>
      </c>
      <c r="F681" s="29">
        <f t="shared" si="166"/>
        <v>0</v>
      </c>
      <c r="G681" s="29" t="str">
        <f t="shared" si="167"/>
        <v>offensive</v>
      </c>
      <c r="H681" s="16">
        <f t="shared" si="168"/>
        <v>0</v>
      </c>
      <c r="I681" s="16">
        <f t="shared" si="169"/>
        <v>0</v>
      </c>
      <c r="J681" s="16">
        <f t="shared" si="170"/>
        <v>0</v>
      </c>
      <c r="K681" s="16">
        <f t="shared" si="171"/>
        <v>0</v>
      </c>
      <c r="L681" s="67">
        <f t="shared" si="172"/>
        <v>0</v>
      </c>
      <c r="M681" s="4">
        <f t="shared" si="173"/>
        <v>0</v>
      </c>
      <c r="N681" s="4">
        <f t="shared" si="174"/>
        <v>0</v>
      </c>
      <c r="O681" s="4">
        <f t="shared" si="175"/>
        <v>0</v>
      </c>
      <c r="P681" s="4" t="e">
        <f>VLOOKUP(AJ673,'CIR Team Info'!$C$5:$E$44,2,FALSE)</f>
        <v>#N/A</v>
      </c>
      <c r="Q681" s="4" t="e">
        <f>VLOOKUP(AJ673,'CIR Team Info'!$C$5:$E$44,3,FALSE)</f>
        <v>#N/A</v>
      </c>
      <c r="R681" s="10" t="e">
        <f>VLOOKUP(AJ673,'FRC Site Data'!$B$3:$L$42,2,FALSE)</f>
        <v>#N/A</v>
      </c>
      <c r="S681" s="10" t="e">
        <f>VLOOKUP(AJ673,'FRC Site Data'!$B$3:$L$42,3,FALSE)</f>
        <v>#N/A</v>
      </c>
      <c r="T681" s="10" t="e">
        <f>VLOOKUP(AJ673,'FRC Site Data'!$B$3:$L$42,4,FALSE)</f>
        <v>#N/A</v>
      </c>
      <c r="U681" s="10" t="e">
        <f>VLOOKUP(AJ673,'FRC Site Data'!$B$3:$L$42,5,FALSE)</f>
        <v>#N/A</v>
      </c>
      <c r="V681" s="10" t="e">
        <f>VLOOKUP(AJ673,'FRC Site Data'!$B$3:$L$42,6,FALSE)</f>
        <v>#N/A</v>
      </c>
      <c r="W681" s="10" t="e">
        <f>VLOOKUP(AJ673,'FRC Site Data'!$B$3:$L$42,8,FALSE)</f>
        <v>#N/A</v>
      </c>
      <c r="X681" s="10" t="e">
        <f>VLOOKUP(AJ673,'FRC Site Data'!$B$3:$L$42,9,FALSE)</f>
        <v>#N/A</v>
      </c>
      <c r="Y681" s="10" t="e">
        <f>VLOOKUP(AJ673,'FRC Site Data'!$B$3:$L$42,10,FALSE)</f>
        <v>#N/A</v>
      </c>
      <c r="Z681" s="10" t="e">
        <f>VLOOKUP(AJ673,'FRC Site Data'!$B$3:$L$42,11,FALSE)</f>
        <v>#N/A</v>
      </c>
      <c r="AA681" s="10" t="e">
        <f>VLOOKUP(AJ673,'CIR Team Info'!$C$5:$E$44,4,FALSE)</f>
        <v>#N/A</v>
      </c>
      <c r="AB681" s="161" t="b">
        <f>ISNUMBER(VLOOKUP(AJ673,Match!$T$5:$T$10,1,FALSE))</f>
        <v>0</v>
      </c>
      <c r="AC681" s="161" t="b">
        <f>IF(AB681=TRUE,(VLOOKUP($AJ673,Match!$T$5:$U$10,2,FALSE)))</f>
        <v>0</v>
      </c>
      <c r="AD681" s="8">
        <v>3</v>
      </c>
      <c r="AE681" s="8">
        <v>2</v>
      </c>
      <c r="AF681" s="8">
        <v>2</v>
      </c>
      <c r="AG681" s="8">
        <v>1</v>
      </c>
      <c r="AH681" s="8" t="str">
        <f t="shared" si="177"/>
        <v/>
      </c>
    </row>
    <row r="682" spans="1:34" x14ac:dyDescent="0.25">
      <c r="A682" s="29">
        <f t="shared" si="176"/>
        <v>0</v>
      </c>
      <c r="B682" s="29">
        <f t="shared" si="163"/>
        <v>0</v>
      </c>
      <c r="C682" s="29">
        <f t="shared" si="164"/>
        <v>0</v>
      </c>
      <c r="D682" s="29">
        <f t="shared" si="165"/>
        <v>0</v>
      </c>
      <c r="E682" s="29">
        <f t="shared" si="162"/>
        <v>0</v>
      </c>
      <c r="F682" s="29">
        <f t="shared" si="166"/>
        <v>0</v>
      </c>
      <c r="G682" s="29" t="str">
        <f t="shared" si="167"/>
        <v>offensive</v>
      </c>
      <c r="H682" s="16">
        <f t="shared" si="168"/>
        <v>0</v>
      </c>
      <c r="I682" s="16">
        <f t="shared" si="169"/>
        <v>0</v>
      </c>
      <c r="J682" s="16">
        <f t="shared" si="170"/>
        <v>0</v>
      </c>
      <c r="K682" s="16">
        <f t="shared" si="171"/>
        <v>0</v>
      </c>
      <c r="L682" s="67">
        <f t="shared" si="172"/>
        <v>0</v>
      </c>
      <c r="M682" s="4">
        <f t="shared" si="173"/>
        <v>0</v>
      </c>
      <c r="N682" s="4">
        <f t="shared" si="174"/>
        <v>0</v>
      </c>
      <c r="O682" s="4">
        <f t="shared" si="175"/>
        <v>0</v>
      </c>
      <c r="P682" s="4" t="e">
        <f>VLOOKUP(AJ674,'CIR Team Info'!$C$5:$E$44,2,FALSE)</f>
        <v>#N/A</v>
      </c>
      <c r="Q682" s="4" t="e">
        <f>VLOOKUP(AJ674,'CIR Team Info'!$C$5:$E$44,3,FALSE)</f>
        <v>#N/A</v>
      </c>
      <c r="R682" s="10" t="e">
        <f>VLOOKUP(AJ674,'FRC Site Data'!$B$3:$L$42,2,FALSE)</f>
        <v>#N/A</v>
      </c>
      <c r="S682" s="10" t="e">
        <f>VLOOKUP(AJ674,'FRC Site Data'!$B$3:$L$42,3,FALSE)</f>
        <v>#N/A</v>
      </c>
      <c r="T682" s="10" t="e">
        <f>VLOOKUP(AJ674,'FRC Site Data'!$B$3:$L$42,4,FALSE)</f>
        <v>#N/A</v>
      </c>
      <c r="U682" s="10" t="e">
        <f>VLOOKUP(AJ674,'FRC Site Data'!$B$3:$L$42,5,FALSE)</f>
        <v>#N/A</v>
      </c>
      <c r="V682" s="10" t="e">
        <f>VLOOKUP(AJ674,'FRC Site Data'!$B$3:$L$42,6,FALSE)</f>
        <v>#N/A</v>
      </c>
      <c r="W682" s="10" t="e">
        <f>VLOOKUP(AJ674,'FRC Site Data'!$B$3:$L$42,8,FALSE)</f>
        <v>#N/A</v>
      </c>
      <c r="X682" s="10" t="e">
        <f>VLOOKUP(AJ674,'FRC Site Data'!$B$3:$L$42,9,FALSE)</f>
        <v>#N/A</v>
      </c>
      <c r="Y682" s="10" t="e">
        <f>VLOOKUP(AJ674,'FRC Site Data'!$B$3:$L$42,10,FALSE)</f>
        <v>#N/A</v>
      </c>
      <c r="Z682" s="10" t="e">
        <f>VLOOKUP(AJ674,'FRC Site Data'!$B$3:$L$42,11,FALSE)</f>
        <v>#N/A</v>
      </c>
      <c r="AA682" s="10" t="e">
        <f>VLOOKUP(AJ674,'CIR Team Info'!$C$5:$E$44,4,FALSE)</f>
        <v>#N/A</v>
      </c>
      <c r="AB682" s="161" t="b">
        <f>ISNUMBER(VLOOKUP(AJ674,Match!$T$5:$T$10,1,FALSE))</f>
        <v>0</v>
      </c>
      <c r="AC682" s="161" t="b">
        <f>IF(AB682=TRUE,(VLOOKUP($AJ674,Match!$T$5:$U$10,2,FALSE)))</f>
        <v>0</v>
      </c>
      <c r="AD682" s="8">
        <v>3</v>
      </c>
      <c r="AE682" s="8">
        <v>2</v>
      </c>
      <c r="AF682" s="8">
        <v>2</v>
      </c>
      <c r="AG682" s="8">
        <v>1</v>
      </c>
      <c r="AH682" s="8" t="str">
        <f t="shared" si="177"/>
        <v/>
      </c>
    </row>
    <row r="683" spans="1:34" x14ac:dyDescent="0.25">
      <c r="A683" s="29">
        <f t="shared" si="176"/>
        <v>0</v>
      </c>
      <c r="B683" s="29">
        <f t="shared" si="163"/>
        <v>0</v>
      </c>
      <c r="C683" s="29">
        <f t="shared" si="164"/>
        <v>0</v>
      </c>
      <c r="D683" s="29">
        <f t="shared" si="165"/>
        <v>0</v>
      </c>
      <c r="E683" s="29">
        <f t="shared" si="162"/>
        <v>0</v>
      </c>
      <c r="F683" s="29">
        <f t="shared" si="166"/>
        <v>0</v>
      </c>
      <c r="G683" s="29" t="str">
        <f t="shared" si="167"/>
        <v>offensive</v>
      </c>
      <c r="H683" s="16">
        <f t="shared" si="168"/>
        <v>0</v>
      </c>
      <c r="I683" s="16">
        <f t="shared" si="169"/>
        <v>0</v>
      </c>
      <c r="J683" s="16">
        <f t="shared" si="170"/>
        <v>0</v>
      </c>
      <c r="K683" s="16">
        <f t="shared" si="171"/>
        <v>0</v>
      </c>
      <c r="L683" s="67">
        <f t="shared" si="172"/>
        <v>0</v>
      </c>
      <c r="M683" s="4">
        <f t="shared" si="173"/>
        <v>0</v>
      </c>
      <c r="N683" s="4">
        <f t="shared" si="174"/>
        <v>0</v>
      </c>
      <c r="O683" s="4">
        <f t="shared" si="175"/>
        <v>0</v>
      </c>
      <c r="P683" s="4" t="e">
        <f>VLOOKUP(AJ675,'CIR Team Info'!$C$5:$E$44,2,FALSE)</f>
        <v>#N/A</v>
      </c>
      <c r="Q683" s="4" t="e">
        <f>VLOOKUP(AJ675,'CIR Team Info'!$C$5:$E$44,3,FALSE)</f>
        <v>#N/A</v>
      </c>
      <c r="R683" s="10" t="e">
        <f>VLOOKUP(AJ675,'FRC Site Data'!$B$3:$L$42,2,FALSE)</f>
        <v>#N/A</v>
      </c>
      <c r="S683" s="10" t="e">
        <f>VLOOKUP(AJ675,'FRC Site Data'!$B$3:$L$42,3,FALSE)</f>
        <v>#N/A</v>
      </c>
      <c r="T683" s="10" t="e">
        <f>VLOOKUP(AJ675,'FRC Site Data'!$B$3:$L$42,4,FALSE)</f>
        <v>#N/A</v>
      </c>
      <c r="U683" s="10" t="e">
        <f>VLOOKUP(AJ675,'FRC Site Data'!$B$3:$L$42,5,FALSE)</f>
        <v>#N/A</v>
      </c>
      <c r="V683" s="10" t="e">
        <f>VLOOKUP(AJ675,'FRC Site Data'!$B$3:$L$42,6,FALSE)</f>
        <v>#N/A</v>
      </c>
      <c r="W683" s="10" t="e">
        <f>VLOOKUP(AJ675,'FRC Site Data'!$B$3:$L$42,8,FALSE)</f>
        <v>#N/A</v>
      </c>
      <c r="X683" s="10" t="e">
        <f>VLOOKUP(AJ675,'FRC Site Data'!$B$3:$L$42,9,FALSE)</f>
        <v>#N/A</v>
      </c>
      <c r="Y683" s="10" t="e">
        <f>VLOOKUP(AJ675,'FRC Site Data'!$B$3:$L$42,10,FALSE)</f>
        <v>#N/A</v>
      </c>
      <c r="Z683" s="10" t="e">
        <f>VLOOKUP(AJ675,'FRC Site Data'!$B$3:$L$42,11,FALSE)</f>
        <v>#N/A</v>
      </c>
      <c r="AA683" s="10" t="e">
        <f>VLOOKUP(AJ675,'CIR Team Info'!$C$5:$E$44,4,FALSE)</f>
        <v>#N/A</v>
      </c>
      <c r="AB683" s="161" t="b">
        <f>ISNUMBER(VLOOKUP(AJ675,Match!$T$5:$T$10,1,FALSE))</f>
        <v>0</v>
      </c>
      <c r="AC683" s="161" t="b">
        <f>IF(AB683=TRUE,(VLOOKUP($AJ675,Match!$T$5:$U$10,2,FALSE)))</f>
        <v>0</v>
      </c>
      <c r="AD683" s="8">
        <v>3</v>
      </c>
      <c r="AE683" s="8">
        <v>2</v>
      </c>
      <c r="AF683" s="8">
        <v>2</v>
      </c>
      <c r="AG683" s="8">
        <v>1</v>
      </c>
      <c r="AH683" s="8" t="str">
        <f t="shared" si="177"/>
        <v/>
      </c>
    </row>
    <row r="684" spans="1:34" x14ac:dyDescent="0.25">
      <c r="A684" s="29">
        <f t="shared" si="176"/>
        <v>0</v>
      </c>
      <c r="B684" s="29">
        <f t="shared" si="163"/>
        <v>0</v>
      </c>
      <c r="C684" s="29">
        <f t="shared" si="164"/>
        <v>0</v>
      </c>
      <c r="D684" s="29">
        <f t="shared" si="165"/>
        <v>0</v>
      </c>
      <c r="E684" s="29">
        <f t="shared" si="162"/>
        <v>0</v>
      </c>
      <c r="F684" s="29">
        <f t="shared" si="166"/>
        <v>0</v>
      </c>
      <c r="G684" s="29" t="str">
        <f t="shared" si="167"/>
        <v>offensive</v>
      </c>
      <c r="H684" s="16">
        <f t="shared" si="168"/>
        <v>0</v>
      </c>
      <c r="I684" s="16">
        <f t="shared" si="169"/>
        <v>0</v>
      </c>
      <c r="J684" s="16">
        <f t="shared" si="170"/>
        <v>0</v>
      </c>
      <c r="K684" s="16">
        <f t="shared" si="171"/>
        <v>0</v>
      </c>
      <c r="L684" s="67">
        <f t="shared" si="172"/>
        <v>0</v>
      </c>
      <c r="M684" s="4">
        <f t="shared" si="173"/>
        <v>0</v>
      </c>
      <c r="N684" s="4">
        <f t="shared" si="174"/>
        <v>0</v>
      </c>
      <c r="O684" s="4">
        <f t="shared" si="175"/>
        <v>0</v>
      </c>
      <c r="P684" s="4" t="e">
        <f>VLOOKUP(AJ676,'CIR Team Info'!$C$5:$E$44,2,FALSE)</f>
        <v>#N/A</v>
      </c>
      <c r="Q684" s="4" t="e">
        <f>VLOOKUP(AJ676,'CIR Team Info'!$C$5:$E$44,3,FALSE)</f>
        <v>#N/A</v>
      </c>
      <c r="R684" s="10" t="e">
        <f>VLOOKUP(AJ676,'FRC Site Data'!$B$3:$L$42,2,FALSE)</f>
        <v>#N/A</v>
      </c>
      <c r="S684" s="10" t="e">
        <f>VLOOKUP(AJ676,'FRC Site Data'!$B$3:$L$42,3,FALSE)</f>
        <v>#N/A</v>
      </c>
      <c r="T684" s="10" t="e">
        <f>VLOOKUP(AJ676,'FRC Site Data'!$B$3:$L$42,4,FALSE)</f>
        <v>#N/A</v>
      </c>
      <c r="U684" s="10" t="e">
        <f>VLOOKUP(AJ676,'FRC Site Data'!$B$3:$L$42,5,FALSE)</f>
        <v>#N/A</v>
      </c>
      <c r="V684" s="10" t="e">
        <f>VLOOKUP(AJ676,'FRC Site Data'!$B$3:$L$42,6,FALSE)</f>
        <v>#N/A</v>
      </c>
      <c r="W684" s="10" t="e">
        <f>VLOOKUP(AJ676,'FRC Site Data'!$B$3:$L$42,8,FALSE)</f>
        <v>#N/A</v>
      </c>
      <c r="X684" s="10" t="e">
        <f>VLOOKUP(AJ676,'FRC Site Data'!$B$3:$L$42,9,FALSE)</f>
        <v>#N/A</v>
      </c>
      <c r="Y684" s="10" t="e">
        <f>VLOOKUP(AJ676,'FRC Site Data'!$B$3:$L$42,10,FALSE)</f>
        <v>#N/A</v>
      </c>
      <c r="Z684" s="10" t="e">
        <f>VLOOKUP(AJ676,'FRC Site Data'!$B$3:$L$42,11,FALSE)</f>
        <v>#N/A</v>
      </c>
      <c r="AA684" s="10" t="e">
        <f>VLOOKUP(AJ676,'CIR Team Info'!$C$5:$E$44,4,FALSE)</f>
        <v>#N/A</v>
      </c>
      <c r="AB684" s="161" t="b">
        <f>ISNUMBER(VLOOKUP(AJ676,Match!$T$5:$T$10,1,FALSE))</f>
        <v>0</v>
      </c>
      <c r="AC684" s="161" t="b">
        <f>IF(AB684=TRUE,(VLOOKUP($AJ676,Match!$T$5:$U$10,2,FALSE)))</f>
        <v>0</v>
      </c>
      <c r="AD684" s="8">
        <v>3</v>
      </c>
      <c r="AE684" s="8">
        <v>2</v>
      </c>
      <c r="AF684" s="8">
        <v>2</v>
      </c>
      <c r="AG684" s="8">
        <v>1</v>
      </c>
      <c r="AH684" s="8" t="str">
        <f t="shared" si="177"/>
        <v/>
      </c>
    </row>
    <row r="685" spans="1:34" x14ac:dyDescent="0.25">
      <c r="A685" s="29">
        <f t="shared" si="176"/>
        <v>0</v>
      </c>
      <c r="B685" s="29">
        <f t="shared" si="163"/>
        <v>0</v>
      </c>
      <c r="C685" s="29">
        <f t="shared" si="164"/>
        <v>0</v>
      </c>
      <c r="D685" s="29">
        <f t="shared" si="165"/>
        <v>0</v>
      </c>
      <c r="E685" s="29">
        <f t="shared" si="162"/>
        <v>0</v>
      </c>
      <c r="F685" s="29">
        <f t="shared" si="166"/>
        <v>0</v>
      </c>
      <c r="G685" s="29" t="str">
        <f t="shared" si="167"/>
        <v>offensive</v>
      </c>
      <c r="H685" s="16">
        <f t="shared" si="168"/>
        <v>0</v>
      </c>
      <c r="I685" s="16">
        <f t="shared" si="169"/>
        <v>0</v>
      </c>
      <c r="J685" s="16">
        <f t="shared" si="170"/>
        <v>0</v>
      </c>
      <c r="K685" s="16">
        <f t="shared" si="171"/>
        <v>0</v>
      </c>
      <c r="L685" s="67">
        <f t="shared" si="172"/>
        <v>0</v>
      </c>
      <c r="M685" s="4">
        <f t="shared" si="173"/>
        <v>0</v>
      </c>
      <c r="N685" s="4">
        <f t="shared" si="174"/>
        <v>0</v>
      </c>
      <c r="O685" s="4">
        <f t="shared" si="175"/>
        <v>0</v>
      </c>
      <c r="P685" s="4" t="e">
        <f>VLOOKUP(AJ677,'CIR Team Info'!$C$5:$E$44,2,FALSE)</f>
        <v>#N/A</v>
      </c>
      <c r="Q685" s="4" t="e">
        <f>VLOOKUP(AJ677,'CIR Team Info'!$C$5:$E$44,3,FALSE)</f>
        <v>#N/A</v>
      </c>
      <c r="R685" s="10" t="e">
        <f>VLOOKUP(AJ677,'FRC Site Data'!$B$3:$L$42,2,FALSE)</f>
        <v>#N/A</v>
      </c>
      <c r="S685" s="10" t="e">
        <f>VLOOKUP(AJ677,'FRC Site Data'!$B$3:$L$42,3,FALSE)</f>
        <v>#N/A</v>
      </c>
      <c r="T685" s="10" t="e">
        <f>VLOOKUP(AJ677,'FRC Site Data'!$B$3:$L$42,4,FALSE)</f>
        <v>#N/A</v>
      </c>
      <c r="U685" s="10" t="e">
        <f>VLOOKUP(AJ677,'FRC Site Data'!$B$3:$L$42,5,FALSE)</f>
        <v>#N/A</v>
      </c>
      <c r="V685" s="10" t="e">
        <f>VLOOKUP(AJ677,'FRC Site Data'!$B$3:$L$42,6,FALSE)</f>
        <v>#N/A</v>
      </c>
      <c r="W685" s="10" t="e">
        <f>VLOOKUP(AJ677,'FRC Site Data'!$B$3:$L$42,8,FALSE)</f>
        <v>#N/A</v>
      </c>
      <c r="X685" s="10" t="e">
        <f>VLOOKUP(AJ677,'FRC Site Data'!$B$3:$L$42,9,FALSE)</f>
        <v>#N/A</v>
      </c>
      <c r="Y685" s="10" t="e">
        <f>VLOOKUP(AJ677,'FRC Site Data'!$B$3:$L$42,10,FALSE)</f>
        <v>#N/A</v>
      </c>
      <c r="Z685" s="10" t="e">
        <f>VLOOKUP(AJ677,'FRC Site Data'!$B$3:$L$42,11,FALSE)</f>
        <v>#N/A</v>
      </c>
      <c r="AA685" s="10" t="e">
        <f>VLOOKUP(AJ677,'CIR Team Info'!$C$5:$E$44,4,FALSE)</f>
        <v>#N/A</v>
      </c>
      <c r="AB685" s="161" t="b">
        <f>ISNUMBER(VLOOKUP(AJ677,Match!$T$5:$T$10,1,FALSE))</f>
        <v>0</v>
      </c>
      <c r="AC685" s="161" t="b">
        <f>IF(AB685=TRUE,(VLOOKUP($AJ677,Match!$T$5:$U$10,2,FALSE)))</f>
        <v>0</v>
      </c>
      <c r="AD685" s="8">
        <v>3</v>
      </c>
      <c r="AE685" s="8">
        <v>2</v>
      </c>
      <c r="AF685" s="8">
        <v>2</v>
      </c>
      <c r="AG685" s="8">
        <v>1</v>
      </c>
      <c r="AH685" s="8" t="str">
        <f t="shared" si="177"/>
        <v/>
      </c>
    </row>
    <row r="686" spans="1:34" x14ac:dyDescent="0.25">
      <c r="A686" s="29">
        <f t="shared" si="176"/>
        <v>0</v>
      </c>
      <c r="B686" s="29">
        <f t="shared" si="163"/>
        <v>0</v>
      </c>
      <c r="C686" s="29">
        <f t="shared" si="164"/>
        <v>0</v>
      </c>
      <c r="D686" s="29">
        <f t="shared" si="165"/>
        <v>0</v>
      </c>
      <c r="E686" s="29">
        <f t="shared" si="162"/>
        <v>0</v>
      </c>
      <c r="F686" s="29">
        <f t="shared" si="166"/>
        <v>0</v>
      </c>
      <c r="G686" s="29" t="str">
        <f t="shared" si="167"/>
        <v>offensive</v>
      </c>
      <c r="H686" s="16">
        <f t="shared" si="168"/>
        <v>0</v>
      </c>
      <c r="I686" s="16">
        <f t="shared" si="169"/>
        <v>0</v>
      </c>
      <c r="J686" s="16">
        <f t="shared" si="170"/>
        <v>0</v>
      </c>
      <c r="K686" s="16">
        <f t="shared" si="171"/>
        <v>0</v>
      </c>
      <c r="L686" s="67">
        <f t="shared" si="172"/>
        <v>0</v>
      </c>
      <c r="M686" s="4">
        <f t="shared" si="173"/>
        <v>0</v>
      </c>
      <c r="N686" s="4">
        <f t="shared" si="174"/>
        <v>0</v>
      </c>
      <c r="O686" s="4">
        <f t="shared" si="175"/>
        <v>0</v>
      </c>
      <c r="P686" s="4" t="e">
        <f>VLOOKUP(AJ678,'CIR Team Info'!$C$5:$E$44,2,FALSE)</f>
        <v>#N/A</v>
      </c>
      <c r="Q686" s="4" t="e">
        <f>VLOOKUP(AJ678,'CIR Team Info'!$C$5:$E$44,3,FALSE)</f>
        <v>#N/A</v>
      </c>
      <c r="R686" s="10" t="e">
        <f>VLOOKUP(AJ678,'FRC Site Data'!$B$3:$L$42,2,FALSE)</f>
        <v>#N/A</v>
      </c>
      <c r="S686" s="10" t="e">
        <f>VLOOKUP(AJ678,'FRC Site Data'!$B$3:$L$42,3,FALSE)</f>
        <v>#N/A</v>
      </c>
      <c r="T686" s="10" t="e">
        <f>VLOOKUP(AJ678,'FRC Site Data'!$B$3:$L$42,4,FALSE)</f>
        <v>#N/A</v>
      </c>
      <c r="U686" s="10" t="e">
        <f>VLOOKUP(AJ678,'FRC Site Data'!$B$3:$L$42,5,FALSE)</f>
        <v>#N/A</v>
      </c>
      <c r="V686" s="10" t="e">
        <f>VLOOKUP(AJ678,'FRC Site Data'!$B$3:$L$42,6,FALSE)</f>
        <v>#N/A</v>
      </c>
      <c r="W686" s="10" t="e">
        <f>VLOOKUP(AJ678,'FRC Site Data'!$B$3:$L$42,8,FALSE)</f>
        <v>#N/A</v>
      </c>
      <c r="X686" s="10" t="e">
        <f>VLOOKUP(AJ678,'FRC Site Data'!$B$3:$L$42,9,FALSE)</f>
        <v>#N/A</v>
      </c>
      <c r="Y686" s="10" t="e">
        <f>VLOOKUP(AJ678,'FRC Site Data'!$B$3:$L$42,10,FALSE)</f>
        <v>#N/A</v>
      </c>
      <c r="Z686" s="10" t="e">
        <f>VLOOKUP(AJ678,'FRC Site Data'!$B$3:$L$42,11,FALSE)</f>
        <v>#N/A</v>
      </c>
      <c r="AA686" s="10" t="e">
        <f>VLOOKUP(AJ678,'CIR Team Info'!$C$5:$E$44,4,FALSE)</f>
        <v>#N/A</v>
      </c>
      <c r="AB686" s="161" t="b">
        <f>ISNUMBER(VLOOKUP(AJ678,Match!$T$5:$T$10,1,FALSE))</f>
        <v>0</v>
      </c>
      <c r="AC686" s="161" t="b">
        <f>IF(AB686=TRUE,(VLOOKUP($AJ678,Match!$T$5:$U$10,2,FALSE)))</f>
        <v>0</v>
      </c>
      <c r="AD686" s="8">
        <v>3</v>
      </c>
      <c r="AE686" s="8">
        <v>2</v>
      </c>
      <c r="AF686" s="8">
        <v>2</v>
      </c>
      <c r="AG686" s="8">
        <v>1</v>
      </c>
      <c r="AH686" s="8" t="str">
        <f t="shared" si="177"/>
        <v/>
      </c>
    </row>
    <row r="687" spans="1:34" x14ac:dyDescent="0.25">
      <c r="A687" s="29">
        <f t="shared" si="176"/>
        <v>0</v>
      </c>
      <c r="B687" s="29">
        <f t="shared" si="163"/>
        <v>0</v>
      </c>
      <c r="C687" s="29">
        <f t="shared" si="164"/>
        <v>0</v>
      </c>
      <c r="D687" s="29">
        <f t="shared" si="165"/>
        <v>0</v>
      </c>
      <c r="E687" s="29">
        <f t="shared" si="162"/>
        <v>0</v>
      </c>
      <c r="F687" s="29">
        <f t="shared" si="166"/>
        <v>0</v>
      </c>
      <c r="G687" s="29" t="str">
        <f t="shared" si="167"/>
        <v>offensive</v>
      </c>
      <c r="H687" s="16">
        <f t="shared" si="168"/>
        <v>0</v>
      </c>
      <c r="I687" s="16">
        <f t="shared" si="169"/>
        <v>0</v>
      </c>
      <c r="J687" s="16">
        <f t="shared" si="170"/>
        <v>0</v>
      </c>
      <c r="K687" s="16">
        <f t="shared" si="171"/>
        <v>0</v>
      </c>
      <c r="L687" s="67">
        <f t="shared" si="172"/>
        <v>0</v>
      </c>
      <c r="M687" s="4">
        <f t="shared" si="173"/>
        <v>0</v>
      </c>
      <c r="N687" s="4">
        <f t="shared" si="174"/>
        <v>0</v>
      </c>
      <c r="O687" s="4">
        <f t="shared" si="175"/>
        <v>0</v>
      </c>
      <c r="P687" s="4" t="e">
        <f>VLOOKUP(AJ679,'CIR Team Info'!$C$5:$E$44,2,FALSE)</f>
        <v>#N/A</v>
      </c>
      <c r="Q687" s="4" t="e">
        <f>VLOOKUP(AJ679,'CIR Team Info'!$C$5:$E$44,3,FALSE)</f>
        <v>#N/A</v>
      </c>
      <c r="R687" s="10" t="e">
        <f>VLOOKUP(AJ679,'FRC Site Data'!$B$3:$L$42,2,FALSE)</f>
        <v>#N/A</v>
      </c>
      <c r="S687" s="10" t="e">
        <f>VLOOKUP(AJ679,'FRC Site Data'!$B$3:$L$42,3,FALSE)</f>
        <v>#N/A</v>
      </c>
      <c r="T687" s="10" t="e">
        <f>VLOOKUP(AJ679,'FRC Site Data'!$B$3:$L$42,4,FALSE)</f>
        <v>#N/A</v>
      </c>
      <c r="U687" s="10" t="e">
        <f>VLOOKUP(AJ679,'FRC Site Data'!$B$3:$L$42,5,FALSE)</f>
        <v>#N/A</v>
      </c>
      <c r="V687" s="10" t="e">
        <f>VLOOKUP(AJ679,'FRC Site Data'!$B$3:$L$42,6,FALSE)</f>
        <v>#N/A</v>
      </c>
      <c r="W687" s="10" t="e">
        <f>VLOOKUP(AJ679,'FRC Site Data'!$B$3:$L$42,8,FALSE)</f>
        <v>#N/A</v>
      </c>
      <c r="X687" s="10" t="e">
        <f>VLOOKUP(AJ679,'FRC Site Data'!$B$3:$L$42,9,FALSE)</f>
        <v>#N/A</v>
      </c>
      <c r="Y687" s="10" t="e">
        <f>VLOOKUP(AJ679,'FRC Site Data'!$B$3:$L$42,10,FALSE)</f>
        <v>#N/A</v>
      </c>
      <c r="Z687" s="10" t="e">
        <f>VLOOKUP(AJ679,'FRC Site Data'!$B$3:$L$42,11,FALSE)</f>
        <v>#N/A</v>
      </c>
      <c r="AA687" s="10" t="e">
        <f>VLOOKUP(AJ679,'CIR Team Info'!$C$5:$E$44,4,FALSE)</f>
        <v>#N/A</v>
      </c>
      <c r="AB687" s="161" t="b">
        <f>ISNUMBER(VLOOKUP(AJ679,Match!$T$5:$T$10,1,FALSE))</f>
        <v>0</v>
      </c>
      <c r="AC687" s="161" t="b">
        <f>IF(AB687=TRUE,(VLOOKUP($AJ679,Match!$T$5:$U$10,2,FALSE)))</f>
        <v>0</v>
      </c>
      <c r="AD687" s="8">
        <v>3</v>
      </c>
      <c r="AE687" s="8">
        <v>2</v>
      </c>
      <c r="AF687" s="8">
        <v>2</v>
      </c>
      <c r="AG687" s="8">
        <v>1</v>
      </c>
      <c r="AH687" s="8" t="str">
        <f t="shared" si="177"/>
        <v/>
      </c>
    </row>
    <row r="688" spans="1:34" x14ac:dyDescent="0.25">
      <c r="A688" s="29">
        <f t="shared" si="176"/>
        <v>0</v>
      </c>
      <c r="B688" s="29">
        <f t="shared" si="163"/>
        <v>0</v>
      </c>
      <c r="C688" s="29">
        <f t="shared" si="164"/>
        <v>0</v>
      </c>
      <c r="D688" s="29">
        <f t="shared" si="165"/>
        <v>0</v>
      </c>
      <c r="E688" s="29">
        <f t="shared" si="162"/>
        <v>0</v>
      </c>
      <c r="F688" s="29">
        <f t="shared" si="166"/>
        <v>0</v>
      </c>
      <c r="G688" s="29" t="str">
        <f t="shared" si="167"/>
        <v>offensive</v>
      </c>
      <c r="H688" s="16">
        <f t="shared" si="168"/>
        <v>0</v>
      </c>
      <c r="I688" s="16">
        <f t="shared" si="169"/>
        <v>0</v>
      </c>
      <c r="J688" s="16">
        <f t="shared" si="170"/>
        <v>0</v>
      </c>
      <c r="K688" s="16">
        <f t="shared" si="171"/>
        <v>0</v>
      </c>
      <c r="L688" s="67">
        <f t="shared" si="172"/>
        <v>0</v>
      </c>
      <c r="M688" s="4">
        <f t="shared" si="173"/>
        <v>0</v>
      </c>
      <c r="N688" s="4">
        <f t="shared" si="174"/>
        <v>0</v>
      </c>
      <c r="O688" s="4">
        <f t="shared" si="175"/>
        <v>0</v>
      </c>
      <c r="P688" s="4" t="e">
        <f>VLOOKUP(AJ680,'CIR Team Info'!$C$5:$E$44,2,FALSE)</f>
        <v>#N/A</v>
      </c>
      <c r="Q688" s="4" t="e">
        <f>VLOOKUP(AJ680,'CIR Team Info'!$C$5:$E$44,3,FALSE)</f>
        <v>#N/A</v>
      </c>
      <c r="R688" s="10" t="e">
        <f>VLOOKUP(AJ680,'FRC Site Data'!$B$3:$L$42,2,FALSE)</f>
        <v>#N/A</v>
      </c>
      <c r="S688" s="10" t="e">
        <f>VLOOKUP(AJ680,'FRC Site Data'!$B$3:$L$42,3,FALSE)</f>
        <v>#N/A</v>
      </c>
      <c r="T688" s="10" t="e">
        <f>VLOOKUP(AJ680,'FRC Site Data'!$B$3:$L$42,4,FALSE)</f>
        <v>#N/A</v>
      </c>
      <c r="U688" s="10" t="e">
        <f>VLOOKUP(AJ680,'FRC Site Data'!$B$3:$L$42,5,FALSE)</f>
        <v>#N/A</v>
      </c>
      <c r="V688" s="10" t="e">
        <f>VLOOKUP(AJ680,'FRC Site Data'!$B$3:$L$42,6,FALSE)</f>
        <v>#N/A</v>
      </c>
      <c r="W688" s="10" t="e">
        <f>VLOOKUP(AJ680,'FRC Site Data'!$B$3:$L$42,8,FALSE)</f>
        <v>#N/A</v>
      </c>
      <c r="X688" s="10" t="e">
        <f>VLOOKUP(AJ680,'FRC Site Data'!$B$3:$L$42,9,FALSE)</f>
        <v>#N/A</v>
      </c>
      <c r="Y688" s="10" t="e">
        <f>VLOOKUP(AJ680,'FRC Site Data'!$B$3:$L$42,10,FALSE)</f>
        <v>#N/A</v>
      </c>
      <c r="Z688" s="10" t="e">
        <f>VLOOKUP(AJ680,'FRC Site Data'!$B$3:$L$42,11,FALSE)</f>
        <v>#N/A</v>
      </c>
      <c r="AA688" s="10" t="e">
        <f>VLOOKUP(AJ680,'CIR Team Info'!$C$5:$E$44,4,FALSE)</f>
        <v>#N/A</v>
      </c>
      <c r="AB688" s="161" t="b">
        <f>ISNUMBER(VLOOKUP(AJ680,Match!$T$5:$T$10,1,FALSE))</f>
        <v>0</v>
      </c>
      <c r="AC688" s="161" t="b">
        <f>IF(AB688=TRUE,(VLOOKUP($AJ680,Match!$T$5:$U$10,2,FALSE)))</f>
        <v>0</v>
      </c>
      <c r="AD688" s="8">
        <v>3</v>
      </c>
      <c r="AE688" s="8">
        <v>2</v>
      </c>
      <c r="AF688" s="8">
        <v>2</v>
      </c>
      <c r="AG688" s="8">
        <v>1</v>
      </c>
      <c r="AH688" s="8" t="str">
        <f t="shared" si="177"/>
        <v/>
      </c>
    </row>
    <row r="689" spans="1:34" x14ac:dyDescent="0.25">
      <c r="A689" s="29">
        <f t="shared" si="176"/>
        <v>0</v>
      </c>
      <c r="B689" s="29">
        <f t="shared" si="163"/>
        <v>0</v>
      </c>
      <c r="C689" s="29">
        <f t="shared" si="164"/>
        <v>0</v>
      </c>
      <c r="D689" s="29">
        <f t="shared" si="165"/>
        <v>0</v>
      </c>
      <c r="E689" s="29">
        <f t="shared" si="162"/>
        <v>0</v>
      </c>
      <c r="F689" s="29">
        <f t="shared" si="166"/>
        <v>0</v>
      </c>
      <c r="G689" s="29" t="str">
        <f t="shared" si="167"/>
        <v>offensive</v>
      </c>
      <c r="H689" s="16">
        <f t="shared" si="168"/>
        <v>0</v>
      </c>
      <c r="I689" s="16">
        <f t="shared" si="169"/>
        <v>0</v>
      </c>
      <c r="J689" s="16">
        <f t="shared" si="170"/>
        <v>0</v>
      </c>
      <c r="K689" s="16">
        <f t="shared" si="171"/>
        <v>0</v>
      </c>
      <c r="L689" s="67">
        <f t="shared" si="172"/>
        <v>0</v>
      </c>
      <c r="M689" s="4">
        <f t="shared" si="173"/>
        <v>0</v>
      </c>
      <c r="N689" s="4">
        <f t="shared" si="174"/>
        <v>0</v>
      </c>
      <c r="O689" s="4">
        <f t="shared" si="175"/>
        <v>0</v>
      </c>
      <c r="P689" s="4" t="e">
        <f>VLOOKUP(AJ681,'CIR Team Info'!$C$5:$E$44,2,FALSE)</f>
        <v>#N/A</v>
      </c>
      <c r="Q689" s="4" t="e">
        <f>VLOOKUP(AJ681,'CIR Team Info'!$C$5:$E$44,3,FALSE)</f>
        <v>#N/A</v>
      </c>
      <c r="R689" s="10" t="e">
        <f>VLOOKUP(AJ681,'FRC Site Data'!$B$3:$L$42,2,FALSE)</f>
        <v>#N/A</v>
      </c>
      <c r="S689" s="10" t="e">
        <f>VLOOKUP(AJ681,'FRC Site Data'!$B$3:$L$42,3,FALSE)</f>
        <v>#N/A</v>
      </c>
      <c r="T689" s="10" t="e">
        <f>VLOOKUP(AJ681,'FRC Site Data'!$B$3:$L$42,4,FALSE)</f>
        <v>#N/A</v>
      </c>
      <c r="U689" s="10" t="e">
        <f>VLOOKUP(AJ681,'FRC Site Data'!$B$3:$L$42,5,FALSE)</f>
        <v>#N/A</v>
      </c>
      <c r="V689" s="10" t="e">
        <f>VLOOKUP(AJ681,'FRC Site Data'!$B$3:$L$42,6,FALSE)</f>
        <v>#N/A</v>
      </c>
      <c r="W689" s="10" t="e">
        <f>VLOOKUP(AJ681,'FRC Site Data'!$B$3:$L$42,8,FALSE)</f>
        <v>#N/A</v>
      </c>
      <c r="X689" s="10" t="e">
        <f>VLOOKUP(AJ681,'FRC Site Data'!$B$3:$L$42,9,FALSE)</f>
        <v>#N/A</v>
      </c>
      <c r="Y689" s="10" t="e">
        <f>VLOOKUP(AJ681,'FRC Site Data'!$B$3:$L$42,10,FALSE)</f>
        <v>#N/A</v>
      </c>
      <c r="Z689" s="10" t="e">
        <f>VLOOKUP(AJ681,'FRC Site Data'!$B$3:$L$42,11,FALSE)</f>
        <v>#N/A</v>
      </c>
      <c r="AA689" s="10" t="e">
        <f>VLOOKUP(AJ681,'CIR Team Info'!$C$5:$E$44,4,FALSE)</f>
        <v>#N/A</v>
      </c>
      <c r="AB689" s="161" t="b">
        <f>ISNUMBER(VLOOKUP(AJ681,Match!$T$5:$T$10,1,FALSE))</f>
        <v>0</v>
      </c>
      <c r="AC689" s="161" t="b">
        <f>IF(AB689=TRUE,(VLOOKUP($AJ681,Match!$T$5:$U$10,2,FALSE)))</f>
        <v>0</v>
      </c>
      <c r="AD689" s="8">
        <v>3</v>
      </c>
      <c r="AE689" s="8">
        <v>2</v>
      </c>
      <c r="AF689" s="8">
        <v>2</v>
      </c>
      <c r="AG689" s="8">
        <v>1</v>
      </c>
      <c r="AH689" s="8" t="str">
        <f t="shared" si="177"/>
        <v/>
      </c>
    </row>
    <row r="690" spans="1:34" x14ac:dyDescent="0.25">
      <c r="A690" s="29">
        <f t="shared" si="176"/>
        <v>0</v>
      </c>
      <c r="B690" s="29">
        <f t="shared" si="163"/>
        <v>0</v>
      </c>
      <c r="C690" s="29">
        <f t="shared" si="164"/>
        <v>0</v>
      </c>
      <c r="D690" s="29">
        <f t="shared" si="165"/>
        <v>0</v>
      </c>
      <c r="E690" s="29">
        <f t="shared" si="162"/>
        <v>0</v>
      </c>
      <c r="F690" s="29">
        <f t="shared" si="166"/>
        <v>0</v>
      </c>
      <c r="G690" s="29" t="str">
        <f t="shared" si="167"/>
        <v>offensive</v>
      </c>
      <c r="H690" s="16">
        <f t="shared" si="168"/>
        <v>0</v>
      </c>
      <c r="I690" s="16">
        <f t="shared" si="169"/>
        <v>0</v>
      </c>
      <c r="J690" s="16">
        <f t="shared" si="170"/>
        <v>0</v>
      </c>
      <c r="K690" s="16">
        <f t="shared" si="171"/>
        <v>0</v>
      </c>
      <c r="L690" s="67">
        <f t="shared" si="172"/>
        <v>0</v>
      </c>
      <c r="M690" s="4">
        <f t="shared" si="173"/>
        <v>0</v>
      </c>
      <c r="N690" s="4">
        <f t="shared" si="174"/>
        <v>0</v>
      </c>
      <c r="O690" s="4">
        <f t="shared" si="175"/>
        <v>0</v>
      </c>
      <c r="P690" s="4" t="e">
        <f>VLOOKUP(AJ682,'CIR Team Info'!$C$5:$E$44,2,FALSE)</f>
        <v>#N/A</v>
      </c>
      <c r="Q690" s="4" t="e">
        <f>VLOOKUP(AJ682,'CIR Team Info'!$C$5:$E$44,3,FALSE)</f>
        <v>#N/A</v>
      </c>
      <c r="R690" s="10" t="e">
        <f>VLOOKUP(AJ682,'FRC Site Data'!$B$3:$L$42,2,FALSE)</f>
        <v>#N/A</v>
      </c>
      <c r="S690" s="10" t="e">
        <f>VLOOKUP(AJ682,'FRC Site Data'!$B$3:$L$42,3,FALSE)</f>
        <v>#N/A</v>
      </c>
      <c r="T690" s="10" t="e">
        <f>VLOOKUP(AJ682,'FRC Site Data'!$B$3:$L$42,4,FALSE)</f>
        <v>#N/A</v>
      </c>
      <c r="U690" s="10" t="e">
        <f>VLOOKUP(AJ682,'FRC Site Data'!$B$3:$L$42,5,FALSE)</f>
        <v>#N/A</v>
      </c>
      <c r="V690" s="10" t="e">
        <f>VLOOKUP(AJ682,'FRC Site Data'!$B$3:$L$42,6,FALSE)</f>
        <v>#N/A</v>
      </c>
      <c r="W690" s="10" t="e">
        <f>VLOOKUP(AJ682,'FRC Site Data'!$B$3:$L$42,8,FALSE)</f>
        <v>#N/A</v>
      </c>
      <c r="X690" s="10" t="e">
        <f>VLOOKUP(AJ682,'FRC Site Data'!$B$3:$L$42,9,FALSE)</f>
        <v>#N/A</v>
      </c>
      <c r="Y690" s="10" t="e">
        <f>VLOOKUP(AJ682,'FRC Site Data'!$B$3:$L$42,10,FALSE)</f>
        <v>#N/A</v>
      </c>
      <c r="Z690" s="10" t="e">
        <f>VLOOKUP(AJ682,'FRC Site Data'!$B$3:$L$42,11,FALSE)</f>
        <v>#N/A</v>
      </c>
      <c r="AA690" s="10" t="e">
        <f>VLOOKUP(AJ682,'CIR Team Info'!$C$5:$E$44,4,FALSE)</f>
        <v>#N/A</v>
      </c>
      <c r="AB690" s="161" t="b">
        <f>ISNUMBER(VLOOKUP(AJ682,Match!$T$5:$T$10,1,FALSE))</f>
        <v>0</v>
      </c>
      <c r="AC690" s="161" t="b">
        <f>IF(AB690=TRUE,(VLOOKUP($AJ682,Match!$T$5:$U$10,2,FALSE)))</f>
        <v>0</v>
      </c>
      <c r="AD690" s="8">
        <v>3</v>
      </c>
      <c r="AE690" s="8">
        <v>2</v>
      </c>
      <c r="AF690" s="8">
        <v>2</v>
      </c>
      <c r="AG690" s="8">
        <v>1</v>
      </c>
      <c r="AH690" s="8" t="str">
        <f t="shared" si="177"/>
        <v/>
      </c>
    </row>
    <row r="691" spans="1:34" x14ac:dyDescent="0.25">
      <c r="A691" s="29">
        <f t="shared" si="176"/>
        <v>0</v>
      </c>
      <c r="B691" s="29">
        <f t="shared" si="163"/>
        <v>0</v>
      </c>
      <c r="C691" s="29">
        <f t="shared" si="164"/>
        <v>0</v>
      </c>
      <c r="D691" s="29">
        <f t="shared" si="165"/>
        <v>0</v>
      </c>
      <c r="E691" s="29">
        <f t="shared" si="162"/>
        <v>0</v>
      </c>
      <c r="F691" s="29">
        <f t="shared" si="166"/>
        <v>0</v>
      </c>
      <c r="G691" s="29" t="str">
        <f t="shared" si="167"/>
        <v>offensive</v>
      </c>
      <c r="H691" s="16">
        <f t="shared" si="168"/>
        <v>0</v>
      </c>
      <c r="I691" s="16">
        <f t="shared" si="169"/>
        <v>0</v>
      </c>
      <c r="J691" s="16">
        <f t="shared" si="170"/>
        <v>0</v>
      </c>
      <c r="K691" s="16">
        <f t="shared" si="171"/>
        <v>0</v>
      </c>
      <c r="L691" s="67">
        <f t="shared" si="172"/>
        <v>0</v>
      </c>
      <c r="M691" s="4">
        <f t="shared" si="173"/>
        <v>0</v>
      </c>
      <c r="N691" s="4">
        <f t="shared" si="174"/>
        <v>0</v>
      </c>
      <c r="O691" s="4">
        <f t="shared" si="175"/>
        <v>0</v>
      </c>
      <c r="P691" s="4" t="e">
        <f>VLOOKUP(AJ683,'CIR Team Info'!$C$5:$E$44,2,FALSE)</f>
        <v>#N/A</v>
      </c>
      <c r="Q691" s="4" t="e">
        <f>VLOOKUP(AJ683,'CIR Team Info'!$C$5:$E$44,3,FALSE)</f>
        <v>#N/A</v>
      </c>
      <c r="R691" s="10" t="e">
        <f>VLOOKUP(AJ683,'FRC Site Data'!$B$3:$L$42,2,FALSE)</f>
        <v>#N/A</v>
      </c>
      <c r="S691" s="10" t="e">
        <f>VLOOKUP(AJ683,'FRC Site Data'!$B$3:$L$42,3,FALSE)</f>
        <v>#N/A</v>
      </c>
      <c r="T691" s="10" t="e">
        <f>VLOOKUP(AJ683,'FRC Site Data'!$B$3:$L$42,4,FALSE)</f>
        <v>#N/A</v>
      </c>
      <c r="U691" s="10" t="e">
        <f>VLOOKUP(AJ683,'FRC Site Data'!$B$3:$L$42,5,FALSE)</f>
        <v>#N/A</v>
      </c>
      <c r="V691" s="10" t="e">
        <f>VLOOKUP(AJ683,'FRC Site Data'!$B$3:$L$42,6,FALSE)</f>
        <v>#N/A</v>
      </c>
      <c r="W691" s="10" t="e">
        <f>VLOOKUP(AJ683,'FRC Site Data'!$B$3:$L$42,8,FALSE)</f>
        <v>#N/A</v>
      </c>
      <c r="X691" s="10" t="e">
        <f>VLOOKUP(AJ683,'FRC Site Data'!$B$3:$L$42,9,FALSE)</f>
        <v>#N/A</v>
      </c>
      <c r="Y691" s="10" t="e">
        <f>VLOOKUP(AJ683,'FRC Site Data'!$B$3:$L$42,10,FALSE)</f>
        <v>#N/A</v>
      </c>
      <c r="Z691" s="10" t="e">
        <f>VLOOKUP(AJ683,'FRC Site Data'!$B$3:$L$42,11,FALSE)</f>
        <v>#N/A</v>
      </c>
      <c r="AA691" s="10" t="e">
        <f>VLOOKUP(AJ683,'CIR Team Info'!$C$5:$E$44,4,FALSE)</f>
        <v>#N/A</v>
      </c>
      <c r="AB691" s="161" t="b">
        <f>ISNUMBER(VLOOKUP(AJ683,Match!$T$5:$T$10,1,FALSE))</f>
        <v>0</v>
      </c>
      <c r="AC691" s="161" t="b">
        <f>IF(AB691=TRUE,(VLOOKUP($AJ683,Match!$T$5:$U$10,2,FALSE)))</f>
        <v>0</v>
      </c>
      <c r="AD691" s="8">
        <v>3</v>
      </c>
      <c r="AE691" s="8">
        <v>2</v>
      </c>
      <c r="AF691" s="8">
        <v>2</v>
      </c>
      <c r="AG691" s="8">
        <v>1</v>
      </c>
      <c r="AH691" s="8" t="str">
        <f t="shared" si="177"/>
        <v/>
      </c>
    </row>
    <row r="692" spans="1:34" x14ac:dyDescent="0.25">
      <c r="A692" s="29">
        <f t="shared" si="176"/>
        <v>0</v>
      </c>
      <c r="B692" s="29">
        <f t="shared" si="163"/>
        <v>0</v>
      </c>
      <c r="C692" s="29">
        <f t="shared" si="164"/>
        <v>0</v>
      </c>
      <c r="D692" s="29">
        <f t="shared" si="165"/>
        <v>0</v>
      </c>
      <c r="E692" s="29">
        <f t="shared" si="162"/>
        <v>0</v>
      </c>
      <c r="F692" s="29">
        <f t="shared" si="166"/>
        <v>0</v>
      </c>
      <c r="G692" s="29" t="str">
        <f t="shared" si="167"/>
        <v>offensive</v>
      </c>
      <c r="H692" s="16">
        <f t="shared" si="168"/>
        <v>0</v>
      </c>
      <c r="I692" s="16">
        <f t="shared" si="169"/>
        <v>0</v>
      </c>
      <c r="J692" s="16">
        <f t="shared" si="170"/>
        <v>0</v>
      </c>
      <c r="K692" s="16">
        <f t="shared" si="171"/>
        <v>0</v>
      </c>
      <c r="L692" s="67">
        <f t="shared" si="172"/>
        <v>0</v>
      </c>
      <c r="M692" s="4">
        <f t="shared" si="173"/>
        <v>0</v>
      </c>
      <c r="N692" s="4">
        <f t="shared" si="174"/>
        <v>0</v>
      </c>
      <c r="O692" s="4">
        <f t="shared" si="175"/>
        <v>0</v>
      </c>
      <c r="P692" s="4" t="e">
        <f>VLOOKUP(AJ684,'CIR Team Info'!$C$5:$E$44,2,FALSE)</f>
        <v>#N/A</v>
      </c>
      <c r="Q692" s="4" t="e">
        <f>VLOOKUP(AJ684,'CIR Team Info'!$C$5:$E$44,3,FALSE)</f>
        <v>#N/A</v>
      </c>
      <c r="R692" s="10" t="e">
        <f>VLOOKUP(AJ684,'FRC Site Data'!$B$3:$L$42,2,FALSE)</f>
        <v>#N/A</v>
      </c>
      <c r="S692" s="10" t="e">
        <f>VLOOKUP(AJ684,'FRC Site Data'!$B$3:$L$42,3,FALSE)</f>
        <v>#N/A</v>
      </c>
      <c r="T692" s="10" t="e">
        <f>VLOOKUP(AJ684,'FRC Site Data'!$B$3:$L$42,4,FALSE)</f>
        <v>#N/A</v>
      </c>
      <c r="U692" s="10" t="e">
        <f>VLOOKUP(AJ684,'FRC Site Data'!$B$3:$L$42,5,FALSE)</f>
        <v>#N/A</v>
      </c>
      <c r="V692" s="10" t="e">
        <f>VLOOKUP(AJ684,'FRC Site Data'!$B$3:$L$42,6,FALSE)</f>
        <v>#N/A</v>
      </c>
      <c r="W692" s="10" t="e">
        <f>VLOOKUP(AJ684,'FRC Site Data'!$B$3:$L$42,8,FALSE)</f>
        <v>#N/A</v>
      </c>
      <c r="X692" s="10" t="e">
        <f>VLOOKUP(AJ684,'FRC Site Data'!$B$3:$L$42,9,FALSE)</f>
        <v>#N/A</v>
      </c>
      <c r="Y692" s="10" t="e">
        <f>VLOOKUP(AJ684,'FRC Site Data'!$B$3:$L$42,10,FALSE)</f>
        <v>#N/A</v>
      </c>
      <c r="Z692" s="10" t="e">
        <f>VLOOKUP(AJ684,'FRC Site Data'!$B$3:$L$42,11,FALSE)</f>
        <v>#N/A</v>
      </c>
      <c r="AA692" s="10" t="e">
        <f>VLOOKUP(AJ684,'CIR Team Info'!$C$5:$E$44,4,FALSE)</f>
        <v>#N/A</v>
      </c>
      <c r="AB692" s="161" t="b">
        <f>ISNUMBER(VLOOKUP(AJ684,Match!$T$5:$T$10,1,FALSE))</f>
        <v>0</v>
      </c>
      <c r="AC692" s="161" t="b">
        <f>IF(AB692=TRUE,(VLOOKUP($AJ684,Match!$T$5:$U$10,2,FALSE)))</f>
        <v>0</v>
      </c>
      <c r="AD692" s="8">
        <v>3</v>
      </c>
      <c r="AE692" s="8">
        <v>2</v>
      </c>
      <c r="AF692" s="8">
        <v>2</v>
      </c>
      <c r="AG692" s="8">
        <v>1</v>
      </c>
      <c r="AH692" s="8" t="str">
        <f t="shared" si="177"/>
        <v/>
      </c>
    </row>
    <row r="693" spans="1:34" x14ac:dyDescent="0.25">
      <c r="A693" s="29">
        <f t="shared" si="176"/>
        <v>0</v>
      </c>
      <c r="B693" s="29">
        <f t="shared" si="163"/>
        <v>0</v>
      </c>
      <c r="C693" s="29">
        <f t="shared" si="164"/>
        <v>0</v>
      </c>
      <c r="D693" s="29">
        <f t="shared" si="165"/>
        <v>0</v>
      </c>
      <c r="E693" s="29">
        <f t="shared" si="162"/>
        <v>0</v>
      </c>
      <c r="F693" s="29">
        <f t="shared" si="166"/>
        <v>0</v>
      </c>
      <c r="G693" s="29" t="str">
        <f t="shared" si="167"/>
        <v>offensive</v>
      </c>
      <c r="H693" s="16">
        <f t="shared" si="168"/>
        <v>0</v>
      </c>
      <c r="I693" s="16">
        <f t="shared" si="169"/>
        <v>0</v>
      </c>
      <c r="J693" s="16">
        <f t="shared" si="170"/>
        <v>0</v>
      </c>
      <c r="K693" s="16">
        <f t="shared" si="171"/>
        <v>0</v>
      </c>
      <c r="L693" s="67">
        <f t="shared" si="172"/>
        <v>0</v>
      </c>
      <c r="M693" s="4">
        <f t="shared" si="173"/>
        <v>0</v>
      </c>
      <c r="N693" s="4">
        <f t="shared" si="174"/>
        <v>0</v>
      </c>
      <c r="O693" s="4">
        <f t="shared" si="175"/>
        <v>0</v>
      </c>
      <c r="P693" s="4" t="e">
        <f>VLOOKUP(AJ685,'CIR Team Info'!$C$5:$E$44,2,FALSE)</f>
        <v>#N/A</v>
      </c>
      <c r="Q693" s="4" t="e">
        <f>VLOOKUP(AJ685,'CIR Team Info'!$C$5:$E$44,3,FALSE)</f>
        <v>#N/A</v>
      </c>
      <c r="R693" s="10" t="e">
        <f>VLOOKUP(AJ685,'FRC Site Data'!$B$3:$L$42,2,FALSE)</f>
        <v>#N/A</v>
      </c>
      <c r="S693" s="10" t="e">
        <f>VLOOKUP(AJ685,'FRC Site Data'!$B$3:$L$42,3,FALSE)</f>
        <v>#N/A</v>
      </c>
      <c r="T693" s="10" t="e">
        <f>VLOOKUP(AJ685,'FRC Site Data'!$B$3:$L$42,4,FALSE)</f>
        <v>#N/A</v>
      </c>
      <c r="U693" s="10" t="e">
        <f>VLOOKUP(AJ685,'FRC Site Data'!$B$3:$L$42,5,FALSE)</f>
        <v>#N/A</v>
      </c>
      <c r="V693" s="10" t="e">
        <f>VLOOKUP(AJ685,'FRC Site Data'!$B$3:$L$42,6,FALSE)</f>
        <v>#N/A</v>
      </c>
      <c r="W693" s="10" t="e">
        <f>VLOOKUP(AJ685,'FRC Site Data'!$B$3:$L$42,8,FALSE)</f>
        <v>#N/A</v>
      </c>
      <c r="X693" s="10" t="e">
        <f>VLOOKUP(AJ685,'FRC Site Data'!$B$3:$L$42,9,FALSE)</f>
        <v>#N/A</v>
      </c>
      <c r="Y693" s="10" t="e">
        <f>VLOOKUP(AJ685,'FRC Site Data'!$B$3:$L$42,10,FALSE)</f>
        <v>#N/A</v>
      </c>
      <c r="Z693" s="10" t="e">
        <f>VLOOKUP(AJ685,'FRC Site Data'!$B$3:$L$42,11,FALSE)</f>
        <v>#N/A</v>
      </c>
      <c r="AA693" s="10" t="e">
        <f>VLOOKUP(AJ685,'CIR Team Info'!$C$5:$E$44,4,FALSE)</f>
        <v>#N/A</v>
      </c>
      <c r="AB693" s="161" t="b">
        <f>ISNUMBER(VLOOKUP(AJ685,Match!$T$5:$T$10,1,FALSE))</f>
        <v>0</v>
      </c>
      <c r="AC693" s="161" t="b">
        <f>IF(AB693=TRUE,(VLOOKUP($AJ685,Match!$T$5:$U$10,2,FALSE)))</f>
        <v>0</v>
      </c>
      <c r="AD693" s="8">
        <v>3</v>
      </c>
      <c r="AE693" s="8">
        <v>2</v>
      </c>
      <c r="AF693" s="8">
        <v>2</v>
      </c>
      <c r="AG693" s="8">
        <v>1</v>
      </c>
      <c r="AH693" s="8" t="str">
        <f t="shared" si="177"/>
        <v/>
      </c>
    </row>
    <row r="694" spans="1:34" x14ac:dyDescent="0.25">
      <c r="A694" s="29">
        <f t="shared" si="176"/>
        <v>0</v>
      </c>
      <c r="B694" s="29">
        <f t="shared" si="163"/>
        <v>0</v>
      </c>
      <c r="C694" s="29">
        <f t="shared" si="164"/>
        <v>0</v>
      </c>
      <c r="D694" s="29">
        <f t="shared" si="165"/>
        <v>0</v>
      </c>
      <c r="E694" s="29">
        <f t="shared" si="162"/>
        <v>0</v>
      </c>
      <c r="F694" s="29">
        <f t="shared" si="166"/>
        <v>0</v>
      </c>
      <c r="G694" s="29" t="str">
        <f t="shared" si="167"/>
        <v>offensive</v>
      </c>
      <c r="H694" s="16">
        <f t="shared" si="168"/>
        <v>0</v>
      </c>
      <c r="I694" s="16">
        <f t="shared" si="169"/>
        <v>0</v>
      </c>
      <c r="J694" s="16">
        <f t="shared" si="170"/>
        <v>0</v>
      </c>
      <c r="K694" s="16">
        <f t="shared" si="171"/>
        <v>0</v>
      </c>
      <c r="L694" s="67">
        <f t="shared" si="172"/>
        <v>0</v>
      </c>
      <c r="M694" s="4">
        <f t="shared" si="173"/>
        <v>0</v>
      </c>
      <c r="N694" s="4">
        <f t="shared" si="174"/>
        <v>0</v>
      </c>
      <c r="O694" s="4">
        <f t="shared" si="175"/>
        <v>0</v>
      </c>
      <c r="P694" s="4" t="e">
        <f>VLOOKUP(AJ686,'CIR Team Info'!$C$5:$E$44,2,FALSE)</f>
        <v>#N/A</v>
      </c>
      <c r="Q694" s="4" t="e">
        <f>VLOOKUP(AJ686,'CIR Team Info'!$C$5:$E$44,3,FALSE)</f>
        <v>#N/A</v>
      </c>
      <c r="R694" s="10" t="e">
        <f>VLOOKUP(AJ686,'FRC Site Data'!$B$3:$L$42,2,FALSE)</f>
        <v>#N/A</v>
      </c>
      <c r="S694" s="10" t="e">
        <f>VLOOKUP(AJ686,'FRC Site Data'!$B$3:$L$42,3,FALSE)</f>
        <v>#N/A</v>
      </c>
      <c r="T694" s="10" t="e">
        <f>VLOOKUP(AJ686,'FRC Site Data'!$B$3:$L$42,4,FALSE)</f>
        <v>#N/A</v>
      </c>
      <c r="U694" s="10" t="e">
        <f>VLOOKUP(AJ686,'FRC Site Data'!$B$3:$L$42,5,FALSE)</f>
        <v>#N/A</v>
      </c>
      <c r="V694" s="10" t="e">
        <f>VLOOKUP(AJ686,'FRC Site Data'!$B$3:$L$42,6,FALSE)</f>
        <v>#N/A</v>
      </c>
      <c r="W694" s="10" t="e">
        <f>VLOOKUP(AJ686,'FRC Site Data'!$B$3:$L$42,8,FALSE)</f>
        <v>#N/A</v>
      </c>
      <c r="X694" s="10" t="e">
        <f>VLOOKUP(AJ686,'FRC Site Data'!$B$3:$L$42,9,FALSE)</f>
        <v>#N/A</v>
      </c>
      <c r="Y694" s="10" t="e">
        <f>VLOOKUP(AJ686,'FRC Site Data'!$B$3:$L$42,10,FALSE)</f>
        <v>#N/A</v>
      </c>
      <c r="Z694" s="10" t="e">
        <f>VLOOKUP(AJ686,'FRC Site Data'!$B$3:$L$42,11,FALSE)</f>
        <v>#N/A</v>
      </c>
      <c r="AA694" s="10" t="e">
        <f>VLOOKUP(AJ686,'CIR Team Info'!$C$5:$E$44,4,FALSE)</f>
        <v>#N/A</v>
      </c>
      <c r="AB694" s="161" t="b">
        <f>ISNUMBER(VLOOKUP(AJ686,Match!$T$5:$T$10,1,FALSE))</f>
        <v>0</v>
      </c>
      <c r="AC694" s="161" t="b">
        <f>IF(AB694=TRUE,(VLOOKUP($AJ686,Match!$T$5:$U$10,2,FALSE)))</f>
        <v>0</v>
      </c>
      <c r="AD694" s="8">
        <v>3</v>
      </c>
      <c r="AE694" s="8">
        <v>2</v>
      </c>
      <c r="AF694" s="8">
        <v>2</v>
      </c>
      <c r="AG694" s="8">
        <v>1</v>
      </c>
      <c r="AH694" s="8" t="str">
        <f t="shared" si="177"/>
        <v/>
      </c>
    </row>
    <row r="695" spans="1:34" x14ac:dyDescent="0.25">
      <c r="A695" s="29">
        <f t="shared" si="176"/>
        <v>0</v>
      </c>
      <c r="B695" s="29">
        <f t="shared" si="163"/>
        <v>0</v>
      </c>
      <c r="C695" s="29">
        <f t="shared" si="164"/>
        <v>0</v>
      </c>
      <c r="D695" s="29">
        <f t="shared" si="165"/>
        <v>0</v>
      </c>
      <c r="E695" s="29">
        <f t="shared" si="162"/>
        <v>0</v>
      </c>
      <c r="F695" s="29">
        <f t="shared" si="166"/>
        <v>0</v>
      </c>
      <c r="G695" s="29" t="str">
        <f t="shared" si="167"/>
        <v>offensive</v>
      </c>
      <c r="H695" s="16">
        <f t="shared" si="168"/>
        <v>0</v>
      </c>
      <c r="I695" s="16">
        <f t="shared" si="169"/>
        <v>0</v>
      </c>
      <c r="J695" s="16">
        <f t="shared" si="170"/>
        <v>0</v>
      </c>
      <c r="K695" s="16">
        <f t="shared" si="171"/>
        <v>0</v>
      </c>
      <c r="L695" s="67">
        <f t="shared" si="172"/>
        <v>0</v>
      </c>
      <c r="M695" s="4">
        <f t="shared" si="173"/>
        <v>0</v>
      </c>
      <c r="N695" s="4">
        <f t="shared" si="174"/>
        <v>0</v>
      </c>
      <c r="O695" s="4">
        <f t="shared" si="175"/>
        <v>0</v>
      </c>
      <c r="P695" s="4" t="e">
        <f>VLOOKUP(AJ687,'CIR Team Info'!$C$5:$E$44,2,FALSE)</f>
        <v>#N/A</v>
      </c>
      <c r="Q695" s="4" t="e">
        <f>VLOOKUP(AJ687,'CIR Team Info'!$C$5:$E$44,3,FALSE)</f>
        <v>#N/A</v>
      </c>
      <c r="R695" s="10" t="e">
        <f>VLOOKUP(AJ687,'FRC Site Data'!$B$3:$L$42,2,FALSE)</f>
        <v>#N/A</v>
      </c>
      <c r="S695" s="10" t="e">
        <f>VLOOKUP(AJ687,'FRC Site Data'!$B$3:$L$42,3,FALSE)</f>
        <v>#N/A</v>
      </c>
      <c r="T695" s="10" t="e">
        <f>VLOOKUP(AJ687,'FRC Site Data'!$B$3:$L$42,4,FALSE)</f>
        <v>#N/A</v>
      </c>
      <c r="U695" s="10" t="e">
        <f>VLOOKUP(AJ687,'FRC Site Data'!$B$3:$L$42,5,FALSE)</f>
        <v>#N/A</v>
      </c>
      <c r="V695" s="10" t="e">
        <f>VLOOKUP(AJ687,'FRC Site Data'!$B$3:$L$42,6,FALSE)</f>
        <v>#N/A</v>
      </c>
      <c r="W695" s="10" t="e">
        <f>VLOOKUP(AJ687,'FRC Site Data'!$B$3:$L$42,8,FALSE)</f>
        <v>#N/A</v>
      </c>
      <c r="X695" s="10" t="e">
        <f>VLOOKUP(AJ687,'FRC Site Data'!$B$3:$L$42,9,FALSE)</f>
        <v>#N/A</v>
      </c>
      <c r="Y695" s="10" t="e">
        <f>VLOOKUP(AJ687,'FRC Site Data'!$B$3:$L$42,10,FALSE)</f>
        <v>#N/A</v>
      </c>
      <c r="Z695" s="10" t="e">
        <f>VLOOKUP(AJ687,'FRC Site Data'!$B$3:$L$42,11,FALSE)</f>
        <v>#N/A</v>
      </c>
      <c r="AA695" s="10" t="e">
        <f>VLOOKUP(AJ687,'CIR Team Info'!$C$5:$E$44,4,FALSE)</f>
        <v>#N/A</v>
      </c>
      <c r="AB695" s="161" t="b">
        <f>ISNUMBER(VLOOKUP(AJ687,Match!$T$5:$T$10,1,FALSE))</f>
        <v>0</v>
      </c>
      <c r="AC695" s="161" t="b">
        <f>IF(AB695=TRUE,(VLOOKUP($AJ687,Match!$T$5:$U$10,2,FALSE)))</f>
        <v>0</v>
      </c>
      <c r="AD695" s="8">
        <v>3</v>
      </c>
      <c r="AE695" s="8">
        <v>2</v>
      </c>
      <c r="AF695" s="8">
        <v>2</v>
      </c>
      <c r="AG695" s="8">
        <v>1</v>
      </c>
      <c r="AH695" s="8" t="str">
        <f t="shared" si="177"/>
        <v/>
      </c>
    </row>
    <row r="696" spans="1:34" x14ac:dyDescent="0.25">
      <c r="A696" s="29">
        <f t="shared" si="176"/>
        <v>0</v>
      </c>
      <c r="B696" s="29">
        <f t="shared" si="163"/>
        <v>0</v>
      </c>
      <c r="C696" s="29">
        <f t="shared" si="164"/>
        <v>0</v>
      </c>
      <c r="D696" s="29">
        <f t="shared" si="165"/>
        <v>0</v>
      </c>
      <c r="E696" s="29">
        <f t="shared" si="162"/>
        <v>0</v>
      </c>
      <c r="F696" s="29">
        <f t="shared" si="166"/>
        <v>0</v>
      </c>
      <c r="G696" s="29" t="str">
        <f t="shared" si="167"/>
        <v>offensive</v>
      </c>
      <c r="H696" s="16">
        <f t="shared" si="168"/>
        <v>0</v>
      </c>
      <c r="I696" s="16">
        <f t="shared" si="169"/>
        <v>0</v>
      </c>
      <c r="J696" s="16">
        <f t="shared" si="170"/>
        <v>0</v>
      </c>
      <c r="K696" s="16">
        <f t="shared" si="171"/>
        <v>0</v>
      </c>
      <c r="L696" s="67">
        <f t="shared" si="172"/>
        <v>0</v>
      </c>
      <c r="M696" s="4">
        <f t="shared" si="173"/>
        <v>0</v>
      </c>
      <c r="N696" s="4">
        <f t="shared" si="174"/>
        <v>0</v>
      </c>
      <c r="O696" s="4">
        <f t="shared" si="175"/>
        <v>0</v>
      </c>
      <c r="P696" s="4" t="e">
        <f>VLOOKUP(AJ688,'CIR Team Info'!$C$5:$E$44,2,FALSE)</f>
        <v>#N/A</v>
      </c>
      <c r="Q696" s="4" t="e">
        <f>VLOOKUP(AJ688,'CIR Team Info'!$C$5:$E$44,3,FALSE)</f>
        <v>#N/A</v>
      </c>
      <c r="R696" s="10" t="e">
        <f>VLOOKUP(AJ688,'FRC Site Data'!$B$3:$L$42,2,FALSE)</f>
        <v>#N/A</v>
      </c>
      <c r="S696" s="10" t="e">
        <f>VLOOKUP(AJ688,'FRC Site Data'!$B$3:$L$42,3,FALSE)</f>
        <v>#N/A</v>
      </c>
      <c r="T696" s="10" t="e">
        <f>VLOOKUP(AJ688,'FRC Site Data'!$B$3:$L$42,4,FALSE)</f>
        <v>#N/A</v>
      </c>
      <c r="U696" s="10" t="e">
        <f>VLOOKUP(AJ688,'FRC Site Data'!$B$3:$L$42,5,FALSE)</f>
        <v>#N/A</v>
      </c>
      <c r="V696" s="10" t="e">
        <f>VLOOKUP(AJ688,'FRC Site Data'!$B$3:$L$42,6,FALSE)</f>
        <v>#N/A</v>
      </c>
      <c r="W696" s="10" t="e">
        <f>VLOOKUP(AJ688,'FRC Site Data'!$B$3:$L$42,8,FALSE)</f>
        <v>#N/A</v>
      </c>
      <c r="X696" s="10" t="e">
        <f>VLOOKUP(AJ688,'FRC Site Data'!$B$3:$L$42,9,FALSE)</f>
        <v>#N/A</v>
      </c>
      <c r="Y696" s="10" t="e">
        <f>VLOOKUP(AJ688,'FRC Site Data'!$B$3:$L$42,10,FALSE)</f>
        <v>#N/A</v>
      </c>
      <c r="Z696" s="10" t="e">
        <f>VLOOKUP(AJ688,'FRC Site Data'!$B$3:$L$42,11,FALSE)</f>
        <v>#N/A</v>
      </c>
      <c r="AA696" s="10" t="e">
        <f>VLOOKUP(AJ688,'CIR Team Info'!$C$5:$E$44,4,FALSE)</f>
        <v>#N/A</v>
      </c>
      <c r="AB696" s="161" t="b">
        <f>ISNUMBER(VLOOKUP(AJ688,Match!$T$5:$T$10,1,FALSE))</f>
        <v>0</v>
      </c>
      <c r="AC696" s="161" t="b">
        <f>IF(AB696=TRUE,(VLOOKUP($AJ688,Match!$T$5:$U$10,2,FALSE)))</f>
        <v>0</v>
      </c>
      <c r="AD696" s="8">
        <v>3</v>
      </c>
      <c r="AE696" s="8">
        <v>2</v>
      </c>
      <c r="AF696" s="8">
        <v>2</v>
      </c>
      <c r="AG696" s="8">
        <v>1</v>
      </c>
      <c r="AH696" s="8" t="str">
        <f t="shared" si="177"/>
        <v/>
      </c>
    </row>
    <row r="697" spans="1:34" x14ac:dyDescent="0.25">
      <c r="A697" s="29">
        <f t="shared" si="176"/>
        <v>0</v>
      </c>
      <c r="B697" s="29">
        <f t="shared" si="163"/>
        <v>0</v>
      </c>
      <c r="C697" s="29">
        <f t="shared" si="164"/>
        <v>0</v>
      </c>
      <c r="D697" s="29">
        <f t="shared" si="165"/>
        <v>0</v>
      </c>
      <c r="E697" s="29">
        <f t="shared" si="162"/>
        <v>0</v>
      </c>
      <c r="F697" s="29">
        <f t="shared" si="166"/>
        <v>0</v>
      </c>
      <c r="G697" s="29" t="str">
        <f t="shared" si="167"/>
        <v>offensive</v>
      </c>
      <c r="H697" s="16">
        <f t="shared" si="168"/>
        <v>0</v>
      </c>
      <c r="I697" s="16">
        <f t="shared" si="169"/>
        <v>0</v>
      </c>
      <c r="J697" s="16">
        <f t="shared" si="170"/>
        <v>0</v>
      </c>
      <c r="K697" s="16">
        <f t="shared" si="171"/>
        <v>0</v>
      </c>
      <c r="L697" s="67">
        <f t="shared" si="172"/>
        <v>0</v>
      </c>
      <c r="M697" s="4">
        <f t="shared" si="173"/>
        <v>0</v>
      </c>
      <c r="N697" s="4">
        <f t="shared" si="174"/>
        <v>0</v>
      </c>
      <c r="O697" s="4">
        <f t="shared" si="175"/>
        <v>0</v>
      </c>
      <c r="P697" s="4" t="e">
        <f>VLOOKUP(AJ689,'CIR Team Info'!$C$5:$E$44,2,FALSE)</f>
        <v>#N/A</v>
      </c>
      <c r="Q697" s="4" t="e">
        <f>VLOOKUP(AJ689,'CIR Team Info'!$C$5:$E$44,3,FALSE)</f>
        <v>#N/A</v>
      </c>
      <c r="R697" s="10" t="e">
        <f>VLOOKUP(AJ689,'FRC Site Data'!$B$3:$L$42,2,FALSE)</f>
        <v>#N/A</v>
      </c>
      <c r="S697" s="10" t="e">
        <f>VLOOKUP(AJ689,'FRC Site Data'!$B$3:$L$42,3,FALSE)</f>
        <v>#N/A</v>
      </c>
      <c r="T697" s="10" t="e">
        <f>VLOOKUP(AJ689,'FRC Site Data'!$B$3:$L$42,4,FALSE)</f>
        <v>#N/A</v>
      </c>
      <c r="U697" s="10" t="e">
        <f>VLOOKUP(AJ689,'FRC Site Data'!$B$3:$L$42,5,FALSE)</f>
        <v>#N/A</v>
      </c>
      <c r="V697" s="10" t="e">
        <f>VLOOKUP(AJ689,'FRC Site Data'!$B$3:$L$42,6,FALSE)</f>
        <v>#N/A</v>
      </c>
      <c r="W697" s="10" t="e">
        <f>VLOOKUP(AJ689,'FRC Site Data'!$B$3:$L$42,8,FALSE)</f>
        <v>#N/A</v>
      </c>
      <c r="X697" s="10" t="e">
        <f>VLOOKUP(AJ689,'FRC Site Data'!$B$3:$L$42,9,FALSE)</f>
        <v>#N/A</v>
      </c>
      <c r="Y697" s="10" t="e">
        <f>VLOOKUP(AJ689,'FRC Site Data'!$B$3:$L$42,10,FALSE)</f>
        <v>#N/A</v>
      </c>
      <c r="Z697" s="10" t="e">
        <f>VLOOKUP(AJ689,'FRC Site Data'!$B$3:$L$42,11,FALSE)</f>
        <v>#N/A</v>
      </c>
      <c r="AA697" s="10" t="e">
        <f>VLOOKUP(AJ689,'CIR Team Info'!$C$5:$E$44,4,FALSE)</f>
        <v>#N/A</v>
      </c>
      <c r="AB697" s="161" t="b">
        <f>ISNUMBER(VLOOKUP(AJ689,Match!$T$5:$T$10,1,FALSE))</f>
        <v>0</v>
      </c>
      <c r="AC697" s="161" t="b">
        <f>IF(AB697=TRUE,(VLOOKUP($AJ689,Match!$T$5:$U$10,2,FALSE)))</f>
        <v>0</v>
      </c>
      <c r="AD697" s="8">
        <v>3</v>
      </c>
      <c r="AE697" s="8">
        <v>2</v>
      </c>
      <c r="AF697" s="8">
        <v>2</v>
      </c>
      <c r="AG697" s="8">
        <v>1</v>
      </c>
      <c r="AH697" s="8" t="str">
        <f t="shared" si="177"/>
        <v/>
      </c>
    </row>
    <row r="698" spans="1:34" x14ac:dyDescent="0.25">
      <c r="A698" s="29">
        <f t="shared" si="176"/>
        <v>0</v>
      </c>
      <c r="B698" s="29">
        <f t="shared" si="163"/>
        <v>0</v>
      </c>
      <c r="C698" s="29">
        <f t="shared" si="164"/>
        <v>0</v>
      </c>
      <c r="D698" s="29">
        <f t="shared" si="165"/>
        <v>0</v>
      </c>
      <c r="E698" s="29">
        <f t="shared" si="162"/>
        <v>0</v>
      </c>
      <c r="F698" s="29">
        <f t="shared" si="166"/>
        <v>0</v>
      </c>
      <c r="G698" s="29" t="str">
        <f t="shared" si="167"/>
        <v>offensive</v>
      </c>
      <c r="H698" s="16">
        <f t="shared" si="168"/>
        <v>0</v>
      </c>
      <c r="I698" s="16">
        <f t="shared" si="169"/>
        <v>0</v>
      </c>
      <c r="J698" s="16">
        <f t="shared" si="170"/>
        <v>0</v>
      </c>
      <c r="K698" s="16">
        <f t="shared" si="171"/>
        <v>0</v>
      </c>
      <c r="L698" s="67">
        <f t="shared" si="172"/>
        <v>0</v>
      </c>
      <c r="M698" s="4">
        <f t="shared" si="173"/>
        <v>0</v>
      </c>
      <c r="N698" s="4">
        <f t="shared" si="174"/>
        <v>0</v>
      </c>
      <c r="O698" s="4">
        <f t="shared" si="175"/>
        <v>0</v>
      </c>
      <c r="P698" s="4" t="e">
        <f>VLOOKUP(AJ690,'CIR Team Info'!$C$5:$E$44,2,FALSE)</f>
        <v>#N/A</v>
      </c>
      <c r="Q698" s="4" t="e">
        <f>VLOOKUP(AJ690,'CIR Team Info'!$C$5:$E$44,3,FALSE)</f>
        <v>#N/A</v>
      </c>
      <c r="R698" s="10" t="e">
        <f>VLOOKUP(AJ690,'FRC Site Data'!$B$3:$L$42,2,FALSE)</f>
        <v>#N/A</v>
      </c>
      <c r="S698" s="10" t="e">
        <f>VLOOKUP(AJ690,'FRC Site Data'!$B$3:$L$42,3,FALSE)</f>
        <v>#N/A</v>
      </c>
      <c r="T698" s="10" t="e">
        <f>VLOOKUP(AJ690,'FRC Site Data'!$B$3:$L$42,4,FALSE)</f>
        <v>#N/A</v>
      </c>
      <c r="U698" s="10" t="e">
        <f>VLOOKUP(AJ690,'FRC Site Data'!$B$3:$L$42,5,FALSE)</f>
        <v>#N/A</v>
      </c>
      <c r="V698" s="10" t="e">
        <f>VLOOKUP(AJ690,'FRC Site Data'!$B$3:$L$42,6,FALSE)</f>
        <v>#N/A</v>
      </c>
      <c r="W698" s="10" t="e">
        <f>VLOOKUP(AJ690,'FRC Site Data'!$B$3:$L$42,8,FALSE)</f>
        <v>#N/A</v>
      </c>
      <c r="X698" s="10" t="e">
        <f>VLOOKUP(AJ690,'FRC Site Data'!$B$3:$L$42,9,FALSE)</f>
        <v>#N/A</v>
      </c>
      <c r="Y698" s="10" t="e">
        <f>VLOOKUP(AJ690,'FRC Site Data'!$B$3:$L$42,10,FALSE)</f>
        <v>#N/A</v>
      </c>
      <c r="Z698" s="10" t="e">
        <f>VLOOKUP(AJ690,'FRC Site Data'!$B$3:$L$42,11,FALSE)</f>
        <v>#N/A</v>
      </c>
      <c r="AA698" s="10" t="e">
        <f>VLOOKUP(AJ690,'CIR Team Info'!$C$5:$E$44,4,FALSE)</f>
        <v>#N/A</v>
      </c>
      <c r="AB698" s="161" t="b">
        <f>ISNUMBER(VLOOKUP(AJ690,Match!$T$5:$T$10,1,FALSE))</f>
        <v>0</v>
      </c>
      <c r="AC698" s="161" t="b">
        <f>IF(AB698=TRUE,(VLOOKUP($AJ690,Match!$T$5:$U$10,2,FALSE)))</f>
        <v>0</v>
      </c>
      <c r="AD698" s="8">
        <v>3</v>
      </c>
      <c r="AE698" s="8">
        <v>2</v>
      </c>
      <c r="AF698" s="8">
        <v>2</v>
      </c>
      <c r="AG698" s="8">
        <v>1</v>
      </c>
      <c r="AH698" s="8" t="str">
        <f t="shared" si="177"/>
        <v/>
      </c>
    </row>
    <row r="699" spans="1:34" x14ac:dyDescent="0.25">
      <c r="A699" s="29">
        <f t="shared" si="176"/>
        <v>0</v>
      </c>
      <c r="B699" s="29">
        <f t="shared" si="163"/>
        <v>0</v>
      </c>
      <c r="C699" s="29">
        <f t="shared" si="164"/>
        <v>0</v>
      </c>
      <c r="D699" s="29">
        <f t="shared" si="165"/>
        <v>0</v>
      </c>
      <c r="E699" s="29">
        <f t="shared" si="162"/>
        <v>0</v>
      </c>
      <c r="F699" s="29">
        <f t="shared" si="166"/>
        <v>0</v>
      </c>
      <c r="G699" s="29" t="str">
        <f t="shared" si="167"/>
        <v>offensive</v>
      </c>
      <c r="H699" s="16">
        <f t="shared" si="168"/>
        <v>0</v>
      </c>
      <c r="I699" s="16">
        <f t="shared" si="169"/>
        <v>0</v>
      </c>
      <c r="J699" s="16">
        <f t="shared" si="170"/>
        <v>0</v>
      </c>
      <c r="K699" s="16">
        <f t="shared" si="171"/>
        <v>0</v>
      </c>
      <c r="L699" s="67">
        <f t="shared" si="172"/>
        <v>0</v>
      </c>
      <c r="M699" s="4">
        <f t="shared" si="173"/>
        <v>0</v>
      </c>
      <c r="N699" s="4">
        <f t="shared" si="174"/>
        <v>0</v>
      </c>
      <c r="O699" s="4">
        <f t="shared" si="175"/>
        <v>0</v>
      </c>
      <c r="P699" s="4" t="e">
        <f>VLOOKUP(AJ691,'CIR Team Info'!$C$5:$E$44,2,FALSE)</f>
        <v>#N/A</v>
      </c>
      <c r="Q699" s="4" t="e">
        <f>VLOOKUP(AJ691,'CIR Team Info'!$C$5:$E$44,3,FALSE)</f>
        <v>#N/A</v>
      </c>
      <c r="R699" s="10" t="e">
        <f>VLOOKUP(AJ691,'FRC Site Data'!$B$3:$L$42,2,FALSE)</f>
        <v>#N/A</v>
      </c>
      <c r="S699" s="10" t="e">
        <f>VLOOKUP(AJ691,'FRC Site Data'!$B$3:$L$42,3,FALSE)</f>
        <v>#N/A</v>
      </c>
      <c r="T699" s="10" t="e">
        <f>VLOOKUP(AJ691,'FRC Site Data'!$B$3:$L$42,4,FALSE)</f>
        <v>#N/A</v>
      </c>
      <c r="U699" s="10" t="e">
        <f>VLOOKUP(AJ691,'FRC Site Data'!$B$3:$L$42,5,FALSE)</f>
        <v>#N/A</v>
      </c>
      <c r="V699" s="10" t="e">
        <f>VLOOKUP(AJ691,'FRC Site Data'!$B$3:$L$42,6,FALSE)</f>
        <v>#N/A</v>
      </c>
      <c r="W699" s="10" t="e">
        <f>VLOOKUP(AJ691,'FRC Site Data'!$B$3:$L$42,8,FALSE)</f>
        <v>#N/A</v>
      </c>
      <c r="X699" s="10" t="e">
        <f>VLOOKUP(AJ691,'FRC Site Data'!$B$3:$L$42,9,FALSE)</f>
        <v>#N/A</v>
      </c>
      <c r="Y699" s="10" t="e">
        <f>VLOOKUP(AJ691,'FRC Site Data'!$B$3:$L$42,10,FALSE)</f>
        <v>#N/A</v>
      </c>
      <c r="Z699" s="10" t="e">
        <f>VLOOKUP(AJ691,'FRC Site Data'!$B$3:$L$42,11,FALSE)</f>
        <v>#N/A</v>
      </c>
      <c r="AA699" s="10" t="e">
        <f>VLOOKUP(AJ691,'CIR Team Info'!$C$5:$E$44,4,FALSE)</f>
        <v>#N/A</v>
      </c>
      <c r="AB699" s="161" t="b">
        <f>ISNUMBER(VLOOKUP(AJ691,Match!$T$5:$T$10,1,FALSE))</f>
        <v>0</v>
      </c>
      <c r="AC699" s="161" t="b">
        <f>IF(AB699=TRUE,(VLOOKUP($AJ691,Match!$T$5:$U$10,2,FALSE)))</f>
        <v>0</v>
      </c>
      <c r="AD699" s="8">
        <v>3</v>
      </c>
      <c r="AE699" s="8">
        <v>2</v>
      </c>
      <c r="AF699" s="8">
        <v>2</v>
      </c>
      <c r="AG699" s="8">
        <v>1</v>
      </c>
      <c r="AH699" s="8" t="str">
        <f t="shared" si="177"/>
        <v/>
      </c>
    </row>
    <row r="700" spans="1:34" x14ac:dyDescent="0.25">
      <c r="A700" s="29">
        <f t="shared" si="176"/>
        <v>0</v>
      </c>
      <c r="B700" s="29">
        <f t="shared" si="163"/>
        <v>0</v>
      </c>
      <c r="C700" s="29">
        <f t="shared" si="164"/>
        <v>0</v>
      </c>
      <c r="D700" s="29">
        <f t="shared" si="165"/>
        <v>0</v>
      </c>
      <c r="E700" s="29">
        <f t="shared" si="162"/>
        <v>0</v>
      </c>
      <c r="F700" s="29">
        <f t="shared" si="166"/>
        <v>0</v>
      </c>
      <c r="G700" s="29" t="str">
        <f t="shared" si="167"/>
        <v>offensive</v>
      </c>
      <c r="H700" s="16">
        <f t="shared" si="168"/>
        <v>0</v>
      </c>
      <c r="I700" s="16">
        <f t="shared" si="169"/>
        <v>0</v>
      </c>
      <c r="J700" s="16">
        <f t="shared" si="170"/>
        <v>0</v>
      </c>
      <c r="K700" s="16">
        <f t="shared" si="171"/>
        <v>0</v>
      </c>
      <c r="L700" s="67">
        <f t="shared" si="172"/>
        <v>0</v>
      </c>
      <c r="M700" s="4">
        <f t="shared" si="173"/>
        <v>0</v>
      </c>
      <c r="N700" s="4">
        <f t="shared" si="174"/>
        <v>0</v>
      </c>
      <c r="O700" s="4">
        <f t="shared" si="175"/>
        <v>0</v>
      </c>
      <c r="P700" s="4" t="e">
        <f>VLOOKUP(AJ692,'CIR Team Info'!$C$5:$E$44,2,FALSE)</f>
        <v>#N/A</v>
      </c>
      <c r="Q700" s="4" t="e">
        <f>VLOOKUP(AJ692,'CIR Team Info'!$C$5:$E$44,3,FALSE)</f>
        <v>#N/A</v>
      </c>
      <c r="R700" s="10" t="e">
        <f>VLOOKUP(AJ692,'FRC Site Data'!$B$3:$L$42,2,FALSE)</f>
        <v>#N/A</v>
      </c>
      <c r="S700" s="10" t="e">
        <f>VLOOKUP(AJ692,'FRC Site Data'!$B$3:$L$42,3,FALSE)</f>
        <v>#N/A</v>
      </c>
      <c r="T700" s="10" t="e">
        <f>VLOOKUP(AJ692,'FRC Site Data'!$B$3:$L$42,4,FALSE)</f>
        <v>#N/A</v>
      </c>
      <c r="U700" s="10" t="e">
        <f>VLOOKUP(AJ692,'FRC Site Data'!$B$3:$L$42,5,FALSE)</f>
        <v>#N/A</v>
      </c>
      <c r="V700" s="10" t="e">
        <f>VLOOKUP(AJ692,'FRC Site Data'!$B$3:$L$42,6,FALSE)</f>
        <v>#N/A</v>
      </c>
      <c r="W700" s="10" t="e">
        <f>VLOOKUP(AJ692,'FRC Site Data'!$B$3:$L$42,8,FALSE)</f>
        <v>#N/A</v>
      </c>
      <c r="X700" s="10" t="e">
        <f>VLOOKUP(AJ692,'FRC Site Data'!$B$3:$L$42,9,FALSE)</f>
        <v>#N/A</v>
      </c>
      <c r="Y700" s="10" t="e">
        <f>VLOOKUP(AJ692,'FRC Site Data'!$B$3:$L$42,10,FALSE)</f>
        <v>#N/A</v>
      </c>
      <c r="Z700" s="10" t="e">
        <f>VLOOKUP(AJ692,'FRC Site Data'!$B$3:$L$42,11,FALSE)</f>
        <v>#N/A</v>
      </c>
      <c r="AA700" s="10" t="e">
        <f>VLOOKUP(AJ692,'CIR Team Info'!$C$5:$E$44,4,FALSE)</f>
        <v>#N/A</v>
      </c>
      <c r="AB700" s="161" t="b">
        <f>ISNUMBER(VLOOKUP(AJ692,Match!$T$5:$T$10,1,FALSE))</f>
        <v>0</v>
      </c>
      <c r="AC700" s="161" t="b">
        <f>IF(AB700=TRUE,(VLOOKUP($AJ692,Match!$T$5:$U$10,2,FALSE)))</f>
        <v>0</v>
      </c>
      <c r="AD700" s="8">
        <v>3</v>
      </c>
      <c r="AE700" s="8">
        <v>2</v>
      </c>
      <c r="AF700" s="8">
        <v>2</v>
      </c>
      <c r="AG700" s="8">
        <v>1</v>
      </c>
      <c r="AH700" s="8" t="str">
        <f t="shared" si="177"/>
        <v/>
      </c>
    </row>
    <row r="701" spans="1:34" x14ac:dyDescent="0.25">
      <c r="A701" s="29">
        <f t="shared" si="176"/>
        <v>0</v>
      </c>
      <c r="B701" s="29">
        <f t="shared" si="163"/>
        <v>0</v>
      </c>
      <c r="C701" s="29">
        <f t="shared" si="164"/>
        <v>0</v>
      </c>
      <c r="D701" s="29">
        <f t="shared" si="165"/>
        <v>0</v>
      </c>
      <c r="E701" s="29">
        <f t="shared" si="162"/>
        <v>0</v>
      </c>
      <c r="F701" s="29">
        <f t="shared" si="166"/>
        <v>0</v>
      </c>
      <c r="G701" s="29" t="str">
        <f t="shared" si="167"/>
        <v>offensive</v>
      </c>
      <c r="H701" s="16">
        <f t="shared" si="168"/>
        <v>0</v>
      </c>
      <c r="I701" s="16">
        <f t="shared" si="169"/>
        <v>0</v>
      </c>
      <c r="J701" s="16">
        <f t="shared" si="170"/>
        <v>0</v>
      </c>
      <c r="K701" s="16">
        <f t="shared" si="171"/>
        <v>0</v>
      </c>
      <c r="L701" s="67">
        <f t="shared" si="172"/>
        <v>0</v>
      </c>
      <c r="M701" s="4">
        <f t="shared" si="173"/>
        <v>0</v>
      </c>
      <c r="N701" s="4">
        <f t="shared" si="174"/>
        <v>0</v>
      </c>
      <c r="O701" s="4">
        <f t="shared" si="175"/>
        <v>0</v>
      </c>
      <c r="P701" s="4" t="e">
        <f>VLOOKUP(AJ693,'CIR Team Info'!$C$5:$E$44,2,FALSE)</f>
        <v>#N/A</v>
      </c>
      <c r="Q701" s="4" t="e">
        <f>VLOOKUP(AJ693,'CIR Team Info'!$C$5:$E$44,3,FALSE)</f>
        <v>#N/A</v>
      </c>
      <c r="R701" s="10" t="e">
        <f>VLOOKUP(AJ693,'FRC Site Data'!$B$3:$L$42,2,FALSE)</f>
        <v>#N/A</v>
      </c>
      <c r="S701" s="10" t="e">
        <f>VLOOKUP(AJ693,'FRC Site Data'!$B$3:$L$42,3,FALSE)</f>
        <v>#N/A</v>
      </c>
      <c r="T701" s="10" t="e">
        <f>VLOOKUP(AJ693,'FRC Site Data'!$B$3:$L$42,4,FALSE)</f>
        <v>#N/A</v>
      </c>
      <c r="U701" s="10" t="e">
        <f>VLOOKUP(AJ693,'FRC Site Data'!$B$3:$L$42,5,FALSE)</f>
        <v>#N/A</v>
      </c>
      <c r="V701" s="10" t="e">
        <f>VLOOKUP(AJ693,'FRC Site Data'!$B$3:$L$42,6,FALSE)</f>
        <v>#N/A</v>
      </c>
      <c r="W701" s="10" t="e">
        <f>VLOOKUP(AJ693,'FRC Site Data'!$B$3:$L$42,8,FALSE)</f>
        <v>#N/A</v>
      </c>
      <c r="X701" s="10" t="e">
        <f>VLOOKUP(AJ693,'FRC Site Data'!$B$3:$L$42,9,FALSE)</f>
        <v>#N/A</v>
      </c>
      <c r="Y701" s="10" t="e">
        <f>VLOOKUP(AJ693,'FRC Site Data'!$B$3:$L$42,10,FALSE)</f>
        <v>#N/A</v>
      </c>
      <c r="Z701" s="10" t="e">
        <f>VLOOKUP(AJ693,'FRC Site Data'!$B$3:$L$42,11,FALSE)</f>
        <v>#N/A</v>
      </c>
      <c r="AA701" s="10" t="e">
        <f>VLOOKUP(AJ693,'CIR Team Info'!$C$5:$E$44,4,FALSE)</f>
        <v>#N/A</v>
      </c>
      <c r="AB701" s="161" t="b">
        <f>ISNUMBER(VLOOKUP(AJ693,Match!$T$5:$T$10,1,FALSE))</f>
        <v>0</v>
      </c>
      <c r="AC701" s="161" t="b">
        <f>IF(AB701=TRUE,(VLOOKUP($AJ693,Match!$T$5:$U$10,2,FALSE)))</f>
        <v>0</v>
      </c>
      <c r="AD701" s="8">
        <v>3</v>
      </c>
      <c r="AE701" s="8">
        <v>2</v>
      </c>
      <c r="AF701" s="8">
        <v>2</v>
      </c>
      <c r="AG701" s="8">
        <v>1</v>
      </c>
      <c r="AH701" s="8" t="str">
        <f t="shared" si="177"/>
        <v/>
      </c>
    </row>
    <row r="702" spans="1:34" x14ac:dyDescent="0.25">
      <c r="A702" s="29">
        <f t="shared" si="176"/>
        <v>0</v>
      </c>
      <c r="B702" s="29">
        <f t="shared" si="163"/>
        <v>0</v>
      </c>
      <c r="C702" s="29">
        <f t="shared" si="164"/>
        <v>0</v>
      </c>
      <c r="D702" s="29">
        <f t="shared" si="165"/>
        <v>0</v>
      </c>
      <c r="E702" s="29">
        <f t="shared" si="162"/>
        <v>0</v>
      </c>
      <c r="F702" s="29">
        <f t="shared" si="166"/>
        <v>0</v>
      </c>
      <c r="G702" s="29" t="str">
        <f t="shared" si="167"/>
        <v>offensive</v>
      </c>
      <c r="H702" s="16">
        <f t="shared" si="168"/>
        <v>0</v>
      </c>
      <c r="I702" s="16">
        <f t="shared" si="169"/>
        <v>0</v>
      </c>
      <c r="J702" s="16">
        <f t="shared" si="170"/>
        <v>0</v>
      </c>
      <c r="K702" s="16">
        <f t="shared" si="171"/>
        <v>0</v>
      </c>
      <c r="L702" s="67">
        <f t="shared" si="172"/>
        <v>0</v>
      </c>
      <c r="M702" s="4">
        <f t="shared" si="173"/>
        <v>0</v>
      </c>
      <c r="N702" s="4">
        <f t="shared" si="174"/>
        <v>0</v>
      </c>
      <c r="O702" s="4">
        <f t="shared" si="175"/>
        <v>0</v>
      </c>
      <c r="P702" s="4" t="e">
        <f>VLOOKUP(AJ694,'CIR Team Info'!$C$5:$E$44,2,FALSE)</f>
        <v>#N/A</v>
      </c>
      <c r="Q702" s="4" t="e">
        <f>VLOOKUP(AJ694,'CIR Team Info'!$C$5:$E$44,3,FALSE)</f>
        <v>#N/A</v>
      </c>
      <c r="R702" s="10" t="e">
        <f>VLOOKUP(AJ694,'FRC Site Data'!$B$3:$L$42,2,FALSE)</f>
        <v>#N/A</v>
      </c>
      <c r="S702" s="10" t="e">
        <f>VLOOKUP(AJ694,'FRC Site Data'!$B$3:$L$42,3,FALSE)</f>
        <v>#N/A</v>
      </c>
      <c r="T702" s="10" t="e">
        <f>VLOOKUP(AJ694,'FRC Site Data'!$B$3:$L$42,4,FALSE)</f>
        <v>#N/A</v>
      </c>
      <c r="U702" s="10" t="e">
        <f>VLOOKUP(AJ694,'FRC Site Data'!$B$3:$L$42,5,FALSE)</f>
        <v>#N/A</v>
      </c>
      <c r="V702" s="10" t="e">
        <f>VLOOKUP(AJ694,'FRC Site Data'!$B$3:$L$42,6,FALSE)</f>
        <v>#N/A</v>
      </c>
      <c r="W702" s="10" t="e">
        <f>VLOOKUP(AJ694,'FRC Site Data'!$B$3:$L$42,8,FALSE)</f>
        <v>#N/A</v>
      </c>
      <c r="X702" s="10" t="e">
        <f>VLOOKUP(AJ694,'FRC Site Data'!$B$3:$L$42,9,FALSE)</f>
        <v>#N/A</v>
      </c>
      <c r="Y702" s="10" t="e">
        <f>VLOOKUP(AJ694,'FRC Site Data'!$B$3:$L$42,10,FALSE)</f>
        <v>#N/A</v>
      </c>
      <c r="Z702" s="10" t="e">
        <f>VLOOKUP(AJ694,'FRC Site Data'!$B$3:$L$42,11,FALSE)</f>
        <v>#N/A</v>
      </c>
      <c r="AA702" s="10" t="e">
        <f>VLOOKUP(AJ694,'CIR Team Info'!$C$5:$E$44,4,FALSE)</f>
        <v>#N/A</v>
      </c>
      <c r="AB702" s="161" t="b">
        <f>ISNUMBER(VLOOKUP(AJ694,Match!$T$5:$T$10,1,FALSE))</f>
        <v>0</v>
      </c>
      <c r="AC702" s="161" t="b">
        <f>IF(AB702=TRUE,(VLOOKUP($AJ694,Match!$T$5:$U$10,2,FALSE)))</f>
        <v>0</v>
      </c>
      <c r="AD702" s="8">
        <v>3</v>
      </c>
      <c r="AE702" s="8">
        <v>2</v>
      </c>
      <c r="AF702" s="8">
        <v>2</v>
      </c>
      <c r="AG702" s="8">
        <v>1</v>
      </c>
      <c r="AH702" s="8" t="str">
        <f t="shared" si="177"/>
        <v/>
      </c>
    </row>
    <row r="703" spans="1:34" x14ac:dyDescent="0.25">
      <c r="A703" s="29">
        <f t="shared" si="176"/>
        <v>0</v>
      </c>
      <c r="B703" s="29">
        <f t="shared" si="163"/>
        <v>0</v>
      </c>
      <c r="C703" s="29">
        <f t="shared" si="164"/>
        <v>0</v>
      </c>
      <c r="D703" s="29">
        <f t="shared" si="165"/>
        <v>0</v>
      </c>
      <c r="E703" s="29">
        <f t="shared" si="162"/>
        <v>0</v>
      </c>
      <c r="F703" s="29">
        <f t="shared" si="166"/>
        <v>0</v>
      </c>
      <c r="G703" s="29" t="str">
        <f t="shared" si="167"/>
        <v>offensive</v>
      </c>
      <c r="H703" s="16">
        <f t="shared" si="168"/>
        <v>0</v>
      </c>
      <c r="I703" s="16">
        <f t="shared" si="169"/>
        <v>0</v>
      </c>
      <c r="J703" s="16">
        <f t="shared" si="170"/>
        <v>0</v>
      </c>
      <c r="K703" s="16">
        <f t="shared" si="171"/>
        <v>0</v>
      </c>
      <c r="L703" s="67">
        <f t="shared" si="172"/>
        <v>0</v>
      </c>
      <c r="M703" s="4">
        <f t="shared" si="173"/>
        <v>0</v>
      </c>
      <c r="N703" s="4">
        <f t="shared" si="174"/>
        <v>0</v>
      </c>
      <c r="O703" s="4">
        <f t="shared" si="175"/>
        <v>0</v>
      </c>
      <c r="P703" s="4" t="e">
        <f>VLOOKUP(AJ695,'CIR Team Info'!$C$5:$E$44,2,FALSE)</f>
        <v>#N/A</v>
      </c>
      <c r="Q703" s="4" t="e">
        <f>VLOOKUP(AJ695,'CIR Team Info'!$C$5:$E$44,3,FALSE)</f>
        <v>#N/A</v>
      </c>
      <c r="R703" s="10" t="e">
        <f>VLOOKUP(AJ695,'FRC Site Data'!$B$3:$L$42,2,FALSE)</f>
        <v>#N/A</v>
      </c>
      <c r="S703" s="10" t="e">
        <f>VLOOKUP(AJ695,'FRC Site Data'!$B$3:$L$42,3,FALSE)</f>
        <v>#N/A</v>
      </c>
      <c r="T703" s="10" t="e">
        <f>VLOOKUP(AJ695,'FRC Site Data'!$B$3:$L$42,4,FALSE)</f>
        <v>#N/A</v>
      </c>
      <c r="U703" s="10" t="e">
        <f>VLOOKUP(AJ695,'FRC Site Data'!$B$3:$L$42,5,FALSE)</f>
        <v>#N/A</v>
      </c>
      <c r="V703" s="10" t="e">
        <f>VLOOKUP(AJ695,'FRC Site Data'!$B$3:$L$42,6,FALSE)</f>
        <v>#N/A</v>
      </c>
      <c r="W703" s="10" t="e">
        <f>VLOOKUP(AJ695,'FRC Site Data'!$B$3:$L$42,8,FALSE)</f>
        <v>#N/A</v>
      </c>
      <c r="X703" s="10" t="e">
        <f>VLOOKUP(AJ695,'FRC Site Data'!$B$3:$L$42,9,FALSE)</f>
        <v>#N/A</v>
      </c>
      <c r="Y703" s="10" t="e">
        <f>VLOOKUP(AJ695,'FRC Site Data'!$B$3:$L$42,10,FALSE)</f>
        <v>#N/A</v>
      </c>
      <c r="Z703" s="10" t="e">
        <f>VLOOKUP(AJ695,'FRC Site Data'!$B$3:$L$42,11,FALSE)</f>
        <v>#N/A</v>
      </c>
      <c r="AA703" s="10" t="e">
        <f>VLOOKUP(AJ695,'CIR Team Info'!$C$5:$E$44,4,FALSE)</f>
        <v>#N/A</v>
      </c>
      <c r="AB703" s="161" t="b">
        <f>ISNUMBER(VLOOKUP(AJ695,Match!$T$5:$T$10,1,FALSE))</f>
        <v>0</v>
      </c>
      <c r="AC703" s="161" t="b">
        <f>IF(AB703=TRUE,(VLOOKUP($AJ695,Match!$T$5:$U$10,2,FALSE)))</f>
        <v>0</v>
      </c>
      <c r="AD703" s="8">
        <v>3</v>
      </c>
      <c r="AE703" s="8">
        <v>2</v>
      </c>
      <c r="AF703" s="8">
        <v>2</v>
      </c>
      <c r="AG703" s="8">
        <v>1</v>
      </c>
      <c r="AH703" s="8" t="str">
        <f t="shared" si="177"/>
        <v/>
      </c>
    </row>
    <row r="704" spans="1:34" x14ac:dyDescent="0.25">
      <c r="A704" s="29">
        <f t="shared" si="176"/>
        <v>0</v>
      </c>
      <c r="B704" s="29">
        <f t="shared" si="163"/>
        <v>0</v>
      </c>
      <c r="C704" s="29">
        <f t="shared" si="164"/>
        <v>0</v>
      </c>
      <c r="D704" s="29">
        <f t="shared" si="165"/>
        <v>0</v>
      </c>
      <c r="E704" s="29">
        <f t="shared" si="162"/>
        <v>0</v>
      </c>
      <c r="F704" s="29">
        <f t="shared" si="166"/>
        <v>0</v>
      </c>
      <c r="G704" s="29" t="str">
        <f t="shared" si="167"/>
        <v>offensive</v>
      </c>
      <c r="H704" s="16">
        <f t="shared" si="168"/>
        <v>0</v>
      </c>
      <c r="I704" s="16">
        <f t="shared" si="169"/>
        <v>0</v>
      </c>
      <c r="J704" s="16">
        <f t="shared" si="170"/>
        <v>0</v>
      </c>
      <c r="K704" s="16">
        <f t="shared" si="171"/>
        <v>0</v>
      </c>
      <c r="L704" s="67">
        <f t="shared" si="172"/>
        <v>0</v>
      </c>
      <c r="M704" s="4">
        <f t="shared" si="173"/>
        <v>0</v>
      </c>
      <c r="N704" s="4">
        <f t="shared" si="174"/>
        <v>0</v>
      </c>
      <c r="O704" s="4">
        <f t="shared" si="175"/>
        <v>0</v>
      </c>
      <c r="P704" s="4" t="e">
        <f>VLOOKUP(AJ696,'CIR Team Info'!$C$5:$E$44,2,FALSE)</f>
        <v>#N/A</v>
      </c>
      <c r="Q704" s="4" t="e">
        <f>VLOOKUP(AJ696,'CIR Team Info'!$C$5:$E$44,3,FALSE)</f>
        <v>#N/A</v>
      </c>
      <c r="R704" s="10" t="e">
        <f>VLOOKUP(AJ696,'FRC Site Data'!$B$3:$L$42,2,FALSE)</f>
        <v>#N/A</v>
      </c>
      <c r="S704" s="10" t="e">
        <f>VLOOKUP(AJ696,'FRC Site Data'!$B$3:$L$42,3,FALSE)</f>
        <v>#N/A</v>
      </c>
      <c r="T704" s="10" t="e">
        <f>VLOOKUP(AJ696,'FRC Site Data'!$B$3:$L$42,4,FALSE)</f>
        <v>#N/A</v>
      </c>
      <c r="U704" s="10" t="e">
        <f>VLOOKUP(AJ696,'FRC Site Data'!$B$3:$L$42,5,FALSE)</f>
        <v>#N/A</v>
      </c>
      <c r="V704" s="10" t="e">
        <f>VLOOKUP(AJ696,'FRC Site Data'!$B$3:$L$42,6,FALSE)</f>
        <v>#N/A</v>
      </c>
      <c r="W704" s="10" t="e">
        <f>VLOOKUP(AJ696,'FRC Site Data'!$B$3:$L$42,8,FALSE)</f>
        <v>#N/A</v>
      </c>
      <c r="X704" s="10" t="e">
        <f>VLOOKUP(AJ696,'FRC Site Data'!$B$3:$L$42,9,FALSE)</f>
        <v>#N/A</v>
      </c>
      <c r="Y704" s="10" t="e">
        <f>VLOOKUP(AJ696,'FRC Site Data'!$B$3:$L$42,10,FALSE)</f>
        <v>#N/A</v>
      </c>
      <c r="Z704" s="10" t="e">
        <f>VLOOKUP(AJ696,'FRC Site Data'!$B$3:$L$42,11,FALSE)</f>
        <v>#N/A</v>
      </c>
      <c r="AA704" s="10" t="e">
        <f>VLOOKUP(AJ696,'CIR Team Info'!$C$5:$E$44,4,FALSE)</f>
        <v>#N/A</v>
      </c>
      <c r="AB704" s="161" t="b">
        <f>ISNUMBER(VLOOKUP(AJ696,Match!$T$5:$T$10,1,FALSE))</f>
        <v>0</v>
      </c>
      <c r="AC704" s="161" t="b">
        <f>IF(AB704=TRUE,(VLOOKUP($AJ696,Match!$T$5:$U$10,2,FALSE)))</f>
        <v>0</v>
      </c>
      <c r="AD704" s="8">
        <v>3</v>
      </c>
      <c r="AE704" s="8">
        <v>2</v>
      </c>
      <c r="AF704" s="8">
        <v>2</v>
      </c>
      <c r="AG704" s="8">
        <v>1</v>
      </c>
      <c r="AH704" s="8" t="str">
        <f t="shared" si="177"/>
        <v/>
      </c>
    </row>
    <row r="705" spans="1:34" x14ac:dyDescent="0.25">
      <c r="A705" s="29">
        <f t="shared" si="176"/>
        <v>0</v>
      </c>
      <c r="B705" s="29">
        <f t="shared" si="163"/>
        <v>0</v>
      </c>
      <c r="C705" s="29">
        <f t="shared" si="164"/>
        <v>0</v>
      </c>
      <c r="D705" s="29">
        <f t="shared" si="165"/>
        <v>0</v>
      </c>
      <c r="E705" s="29">
        <f t="shared" ref="E705:E768" si="178">K705*O705</f>
        <v>0</v>
      </c>
      <c r="F705" s="29">
        <f t="shared" si="166"/>
        <v>0</v>
      </c>
      <c r="G705" s="29" t="str">
        <f t="shared" si="167"/>
        <v>offensive</v>
      </c>
      <c r="H705" s="16">
        <f t="shared" si="168"/>
        <v>0</v>
      </c>
      <c r="I705" s="16">
        <f t="shared" si="169"/>
        <v>0</v>
      </c>
      <c r="J705" s="16">
        <f t="shared" si="170"/>
        <v>0</v>
      </c>
      <c r="K705" s="16">
        <f t="shared" si="171"/>
        <v>0</v>
      </c>
      <c r="L705" s="67">
        <f t="shared" si="172"/>
        <v>0</v>
      </c>
      <c r="M705" s="4">
        <f t="shared" si="173"/>
        <v>0</v>
      </c>
      <c r="N705" s="4">
        <f t="shared" si="174"/>
        <v>0</v>
      </c>
      <c r="O705" s="4">
        <f t="shared" si="175"/>
        <v>0</v>
      </c>
      <c r="P705" s="4" t="e">
        <f>VLOOKUP(AJ697,'CIR Team Info'!$C$5:$E$44,2,FALSE)</f>
        <v>#N/A</v>
      </c>
      <c r="Q705" s="4" t="e">
        <f>VLOOKUP(AJ697,'CIR Team Info'!$C$5:$E$44,3,FALSE)</f>
        <v>#N/A</v>
      </c>
      <c r="R705" s="10" t="e">
        <f>VLOOKUP(AJ697,'FRC Site Data'!$B$3:$L$42,2,FALSE)</f>
        <v>#N/A</v>
      </c>
      <c r="S705" s="10" t="e">
        <f>VLOOKUP(AJ697,'FRC Site Data'!$B$3:$L$42,3,FALSE)</f>
        <v>#N/A</v>
      </c>
      <c r="T705" s="10" t="e">
        <f>VLOOKUP(AJ697,'FRC Site Data'!$B$3:$L$42,4,FALSE)</f>
        <v>#N/A</v>
      </c>
      <c r="U705" s="10" t="e">
        <f>VLOOKUP(AJ697,'FRC Site Data'!$B$3:$L$42,5,FALSE)</f>
        <v>#N/A</v>
      </c>
      <c r="V705" s="10" t="e">
        <f>VLOOKUP(AJ697,'FRC Site Data'!$B$3:$L$42,6,FALSE)</f>
        <v>#N/A</v>
      </c>
      <c r="W705" s="10" t="e">
        <f>VLOOKUP(AJ697,'FRC Site Data'!$B$3:$L$42,8,FALSE)</f>
        <v>#N/A</v>
      </c>
      <c r="X705" s="10" t="e">
        <f>VLOOKUP(AJ697,'FRC Site Data'!$B$3:$L$42,9,FALSE)</f>
        <v>#N/A</v>
      </c>
      <c r="Y705" s="10" t="e">
        <f>VLOOKUP(AJ697,'FRC Site Data'!$B$3:$L$42,10,FALSE)</f>
        <v>#N/A</v>
      </c>
      <c r="Z705" s="10" t="e">
        <f>VLOOKUP(AJ697,'FRC Site Data'!$B$3:$L$42,11,FALSE)</f>
        <v>#N/A</v>
      </c>
      <c r="AA705" s="10" t="e">
        <f>VLOOKUP(AJ697,'CIR Team Info'!$C$5:$E$44,4,FALSE)</f>
        <v>#N/A</v>
      </c>
      <c r="AB705" s="161" t="b">
        <f>ISNUMBER(VLOOKUP(AJ697,Match!$T$5:$T$10,1,FALSE))</f>
        <v>0</v>
      </c>
      <c r="AC705" s="161" t="b">
        <f>IF(AB705=TRUE,(VLOOKUP($AJ697,Match!$T$5:$U$10,2,FALSE)))</f>
        <v>0</v>
      </c>
      <c r="AD705" s="8">
        <v>3</v>
      </c>
      <c r="AE705" s="8">
        <v>2</v>
      </c>
      <c r="AF705" s="8">
        <v>2</v>
      </c>
      <c r="AG705" s="8">
        <v>1</v>
      </c>
      <c r="AH705" s="8" t="str">
        <f t="shared" si="177"/>
        <v/>
      </c>
    </row>
    <row r="706" spans="1:34" x14ac:dyDescent="0.25">
      <c r="A706" s="29">
        <f t="shared" si="176"/>
        <v>0</v>
      </c>
      <c r="B706" s="29">
        <f t="shared" si="163"/>
        <v>0</v>
      </c>
      <c r="C706" s="29">
        <f t="shared" si="164"/>
        <v>0</v>
      </c>
      <c r="D706" s="29">
        <f t="shared" si="165"/>
        <v>0</v>
      </c>
      <c r="E706" s="29">
        <f t="shared" si="178"/>
        <v>0</v>
      </c>
      <c r="F706" s="29">
        <f t="shared" si="166"/>
        <v>0</v>
      </c>
      <c r="G706" s="29" t="str">
        <f t="shared" si="167"/>
        <v>offensive</v>
      </c>
      <c r="H706" s="16">
        <f t="shared" si="168"/>
        <v>0</v>
      </c>
      <c r="I706" s="16">
        <f t="shared" si="169"/>
        <v>0</v>
      </c>
      <c r="J706" s="16">
        <f t="shared" si="170"/>
        <v>0</v>
      </c>
      <c r="K706" s="16">
        <f t="shared" si="171"/>
        <v>0</v>
      </c>
      <c r="L706" s="67">
        <f t="shared" si="172"/>
        <v>0</v>
      </c>
      <c r="M706" s="4">
        <f t="shared" si="173"/>
        <v>0</v>
      </c>
      <c r="N706" s="4">
        <f t="shared" si="174"/>
        <v>0</v>
      </c>
      <c r="O706" s="4">
        <f t="shared" si="175"/>
        <v>0</v>
      </c>
      <c r="P706" s="4" t="e">
        <f>VLOOKUP(AJ698,'CIR Team Info'!$C$5:$E$44,2,FALSE)</f>
        <v>#N/A</v>
      </c>
      <c r="Q706" s="4" t="e">
        <f>VLOOKUP(AJ698,'CIR Team Info'!$C$5:$E$44,3,FALSE)</f>
        <v>#N/A</v>
      </c>
      <c r="R706" s="10" t="e">
        <f>VLOOKUP(AJ698,'FRC Site Data'!$B$3:$L$42,2,FALSE)</f>
        <v>#N/A</v>
      </c>
      <c r="S706" s="10" t="e">
        <f>VLOOKUP(AJ698,'FRC Site Data'!$B$3:$L$42,3,FALSE)</f>
        <v>#N/A</v>
      </c>
      <c r="T706" s="10" t="e">
        <f>VLOOKUP(AJ698,'FRC Site Data'!$B$3:$L$42,4,FALSE)</f>
        <v>#N/A</v>
      </c>
      <c r="U706" s="10" t="e">
        <f>VLOOKUP(AJ698,'FRC Site Data'!$B$3:$L$42,5,FALSE)</f>
        <v>#N/A</v>
      </c>
      <c r="V706" s="10" t="e">
        <f>VLOOKUP(AJ698,'FRC Site Data'!$B$3:$L$42,6,FALSE)</f>
        <v>#N/A</v>
      </c>
      <c r="W706" s="10" t="e">
        <f>VLOOKUP(AJ698,'FRC Site Data'!$B$3:$L$42,8,FALSE)</f>
        <v>#N/A</v>
      </c>
      <c r="X706" s="10" t="e">
        <f>VLOOKUP(AJ698,'FRC Site Data'!$B$3:$L$42,9,FALSE)</f>
        <v>#N/A</v>
      </c>
      <c r="Y706" s="10" t="e">
        <f>VLOOKUP(AJ698,'FRC Site Data'!$B$3:$L$42,10,FALSE)</f>
        <v>#N/A</v>
      </c>
      <c r="Z706" s="10" t="e">
        <f>VLOOKUP(AJ698,'FRC Site Data'!$B$3:$L$42,11,FALSE)</f>
        <v>#N/A</v>
      </c>
      <c r="AA706" s="10" t="e">
        <f>VLOOKUP(AJ698,'CIR Team Info'!$C$5:$E$44,4,FALSE)</f>
        <v>#N/A</v>
      </c>
      <c r="AB706" s="161" t="b">
        <f>ISNUMBER(VLOOKUP(AJ698,Match!$T$5:$T$10,1,FALSE))</f>
        <v>0</v>
      </c>
      <c r="AC706" s="161" t="b">
        <f>IF(AB706=TRUE,(VLOOKUP($AJ698,Match!$T$5:$U$10,2,FALSE)))</f>
        <v>0</v>
      </c>
      <c r="AD706" s="8">
        <v>3</v>
      </c>
      <c r="AE706" s="8">
        <v>2</v>
      </c>
      <c r="AF706" s="8">
        <v>2</v>
      </c>
      <c r="AG706" s="8">
        <v>1</v>
      </c>
      <c r="AH706" s="8" t="str">
        <f t="shared" si="177"/>
        <v/>
      </c>
    </row>
    <row r="707" spans="1:34" x14ac:dyDescent="0.25">
      <c r="A707" s="29">
        <f t="shared" si="176"/>
        <v>0</v>
      </c>
      <c r="B707" s="29">
        <f t="shared" si="163"/>
        <v>0</v>
      </c>
      <c r="C707" s="29">
        <f t="shared" si="164"/>
        <v>0</v>
      </c>
      <c r="D707" s="29">
        <f t="shared" si="165"/>
        <v>0</v>
      </c>
      <c r="E707" s="29">
        <f t="shared" si="178"/>
        <v>0</v>
      </c>
      <c r="F707" s="29">
        <f t="shared" si="166"/>
        <v>0</v>
      </c>
      <c r="G707" s="29" t="str">
        <f t="shared" si="167"/>
        <v>offensive</v>
      </c>
      <c r="H707" s="16">
        <f t="shared" si="168"/>
        <v>0</v>
      </c>
      <c r="I707" s="16">
        <f t="shared" si="169"/>
        <v>0</v>
      </c>
      <c r="J707" s="16">
        <f t="shared" si="170"/>
        <v>0</v>
      </c>
      <c r="K707" s="16">
        <f t="shared" si="171"/>
        <v>0</v>
      </c>
      <c r="L707" s="67">
        <f t="shared" si="172"/>
        <v>0</v>
      </c>
      <c r="M707" s="4">
        <f t="shared" si="173"/>
        <v>0</v>
      </c>
      <c r="N707" s="4">
        <f t="shared" si="174"/>
        <v>0</v>
      </c>
      <c r="O707" s="4">
        <f t="shared" si="175"/>
        <v>0</v>
      </c>
      <c r="P707" s="4" t="e">
        <f>VLOOKUP(AJ699,'CIR Team Info'!$C$5:$E$44,2,FALSE)</f>
        <v>#N/A</v>
      </c>
      <c r="Q707" s="4" t="e">
        <f>VLOOKUP(AJ699,'CIR Team Info'!$C$5:$E$44,3,FALSE)</f>
        <v>#N/A</v>
      </c>
      <c r="R707" s="10" t="e">
        <f>VLOOKUP(AJ699,'FRC Site Data'!$B$3:$L$42,2,FALSE)</f>
        <v>#N/A</v>
      </c>
      <c r="S707" s="10" t="e">
        <f>VLOOKUP(AJ699,'FRC Site Data'!$B$3:$L$42,3,FALSE)</f>
        <v>#N/A</v>
      </c>
      <c r="T707" s="10" t="e">
        <f>VLOOKUP(AJ699,'FRC Site Data'!$B$3:$L$42,4,FALSE)</f>
        <v>#N/A</v>
      </c>
      <c r="U707" s="10" t="e">
        <f>VLOOKUP(AJ699,'FRC Site Data'!$B$3:$L$42,5,FALSE)</f>
        <v>#N/A</v>
      </c>
      <c r="V707" s="10" t="e">
        <f>VLOOKUP(AJ699,'FRC Site Data'!$B$3:$L$42,6,FALSE)</f>
        <v>#N/A</v>
      </c>
      <c r="W707" s="10" t="e">
        <f>VLOOKUP(AJ699,'FRC Site Data'!$B$3:$L$42,8,FALSE)</f>
        <v>#N/A</v>
      </c>
      <c r="X707" s="10" t="e">
        <f>VLOOKUP(AJ699,'FRC Site Data'!$B$3:$L$42,9,FALSE)</f>
        <v>#N/A</v>
      </c>
      <c r="Y707" s="10" t="e">
        <f>VLOOKUP(AJ699,'FRC Site Data'!$B$3:$L$42,10,FALSE)</f>
        <v>#N/A</v>
      </c>
      <c r="Z707" s="10" t="e">
        <f>VLOOKUP(AJ699,'FRC Site Data'!$B$3:$L$42,11,FALSE)</f>
        <v>#N/A</v>
      </c>
      <c r="AA707" s="10" t="e">
        <f>VLOOKUP(AJ699,'CIR Team Info'!$C$5:$E$44,4,FALSE)</f>
        <v>#N/A</v>
      </c>
      <c r="AB707" s="161" t="b">
        <f>ISNUMBER(VLOOKUP(AJ699,Match!$T$5:$T$10,1,FALSE))</f>
        <v>0</v>
      </c>
      <c r="AC707" s="161" t="b">
        <f>IF(AB707=TRUE,(VLOOKUP($AJ699,Match!$T$5:$U$10,2,FALSE)))</f>
        <v>0</v>
      </c>
      <c r="AD707" s="8">
        <v>3</v>
      </c>
      <c r="AE707" s="8">
        <v>2</v>
      </c>
      <c r="AF707" s="8">
        <v>2</v>
      </c>
      <c r="AG707" s="8">
        <v>1</v>
      </c>
      <c r="AH707" s="8" t="str">
        <f t="shared" si="177"/>
        <v/>
      </c>
    </row>
    <row r="708" spans="1:34" x14ac:dyDescent="0.25">
      <c r="A708" s="29">
        <f t="shared" si="176"/>
        <v>0</v>
      </c>
      <c r="B708" s="29">
        <f t="shared" si="163"/>
        <v>0</v>
      </c>
      <c r="C708" s="29">
        <f t="shared" si="164"/>
        <v>0</v>
      </c>
      <c r="D708" s="29">
        <f t="shared" si="165"/>
        <v>0</v>
      </c>
      <c r="E708" s="29">
        <f t="shared" si="178"/>
        <v>0</v>
      </c>
      <c r="F708" s="29">
        <f t="shared" si="166"/>
        <v>0</v>
      </c>
      <c r="G708" s="29" t="str">
        <f t="shared" si="167"/>
        <v>offensive</v>
      </c>
      <c r="H708" s="16">
        <f t="shared" si="168"/>
        <v>0</v>
      </c>
      <c r="I708" s="16">
        <f t="shared" si="169"/>
        <v>0</v>
      </c>
      <c r="J708" s="16">
        <f t="shared" si="170"/>
        <v>0</v>
      </c>
      <c r="K708" s="16">
        <f t="shared" si="171"/>
        <v>0</v>
      </c>
      <c r="L708" s="67">
        <f t="shared" si="172"/>
        <v>0</v>
      </c>
      <c r="M708" s="4">
        <f t="shared" si="173"/>
        <v>0</v>
      </c>
      <c r="N708" s="4">
        <f t="shared" si="174"/>
        <v>0</v>
      </c>
      <c r="O708" s="4">
        <f t="shared" si="175"/>
        <v>0</v>
      </c>
      <c r="P708" s="4" t="e">
        <f>VLOOKUP(AJ700,'CIR Team Info'!$C$5:$E$44,2,FALSE)</f>
        <v>#N/A</v>
      </c>
      <c r="Q708" s="4" t="e">
        <f>VLOOKUP(AJ700,'CIR Team Info'!$C$5:$E$44,3,FALSE)</f>
        <v>#N/A</v>
      </c>
      <c r="R708" s="10" t="e">
        <f>VLOOKUP(AJ700,'FRC Site Data'!$B$3:$L$42,2,FALSE)</f>
        <v>#N/A</v>
      </c>
      <c r="S708" s="10" t="e">
        <f>VLOOKUP(AJ700,'FRC Site Data'!$B$3:$L$42,3,FALSE)</f>
        <v>#N/A</v>
      </c>
      <c r="T708" s="10" t="e">
        <f>VLOOKUP(AJ700,'FRC Site Data'!$B$3:$L$42,4,FALSE)</f>
        <v>#N/A</v>
      </c>
      <c r="U708" s="10" t="e">
        <f>VLOOKUP(AJ700,'FRC Site Data'!$B$3:$L$42,5,FALSE)</f>
        <v>#N/A</v>
      </c>
      <c r="V708" s="10" t="e">
        <f>VLOOKUP(AJ700,'FRC Site Data'!$B$3:$L$42,6,FALSE)</f>
        <v>#N/A</v>
      </c>
      <c r="W708" s="10" t="e">
        <f>VLOOKUP(AJ700,'FRC Site Data'!$B$3:$L$42,8,FALSE)</f>
        <v>#N/A</v>
      </c>
      <c r="X708" s="10" t="e">
        <f>VLOOKUP(AJ700,'FRC Site Data'!$B$3:$L$42,9,FALSE)</f>
        <v>#N/A</v>
      </c>
      <c r="Y708" s="10" t="e">
        <f>VLOOKUP(AJ700,'FRC Site Data'!$B$3:$L$42,10,FALSE)</f>
        <v>#N/A</v>
      </c>
      <c r="Z708" s="10" t="e">
        <f>VLOOKUP(AJ700,'FRC Site Data'!$B$3:$L$42,11,FALSE)</f>
        <v>#N/A</v>
      </c>
      <c r="AA708" s="10" t="e">
        <f>VLOOKUP(AJ700,'CIR Team Info'!$C$5:$E$44,4,FALSE)</f>
        <v>#N/A</v>
      </c>
      <c r="AB708" s="161" t="b">
        <f>ISNUMBER(VLOOKUP(AJ700,Match!$T$5:$T$10,1,FALSE))</f>
        <v>0</v>
      </c>
      <c r="AC708" s="161" t="b">
        <f>IF(AB708=TRUE,(VLOOKUP($AJ700,Match!$T$5:$U$10,2,FALSE)))</f>
        <v>0</v>
      </c>
      <c r="AD708" s="8">
        <v>3</v>
      </c>
      <c r="AE708" s="8">
        <v>2</v>
      </c>
      <c r="AF708" s="8">
        <v>2</v>
      </c>
      <c r="AG708" s="8">
        <v>1</v>
      </c>
      <c r="AH708" s="8" t="str">
        <f t="shared" si="177"/>
        <v/>
      </c>
    </row>
    <row r="709" spans="1:34" x14ac:dyDescent="0.25">
      <c r="A709" s="29">
        <f t="shared" si="176"/>
        <v>0</v>
      </c>
      <c r="B709" s="29">
        <f t="shared" si="163"/>
        <v>0</v>
      </c>
      <c r="C709" s="29">
        <f t="shared" si="164"/>
        <v>0</v>
      </c>
      <c r="D709" s="29">
        <f t="shared" si="165"/>
        <v>0</v>
      </c>
      <c r="E709" s="29">
        <f t="shared" si="178"/>
        <v>0</v>
      </c>
      <c r="F709" s="29">
        <f t="shared" si="166"/>
        <v>0</v>
      </c>
      <c r="G709" s="29" t="str">
        <f t="shared" si="167"/>
        <v>offensive</v>
      </c>
      <c r="H709" s="16">
        <f t="shared" si="168"/>
        <v>0</v>
      </c>
      <c r="I709" s="16">
        <f t="shared" si="169"/>
        <v>0</v>
      </c>
      <c r="J709" s="16">
        <f t="shared" si="170"/>
        <v>0</v>
      </c>
      <c r="K709" s="16">
        <f t="shared" si="171"/>
        <v>0</v>
      </c>
      <c r="L709" s="67">
        <f t="shared" si="172"/>
        <v>0</v>
      </c>
      <c r="M709" s="4">
        <f t="shared" si="173"/>
        <v>0</v>
      </c>
      <c r="N709" s="4">
        <f t="shared" si="174"/>
        <v>0</v>
      </c>
      <c r="O709" s="4">
        <f t="shared" si="175"/>
        <v>0</v>
      </c>
      <c r="P709" s="4" t="e">
        <f>VLOOKUP(AJ701,'CIR Team Info'!$C$5:$E$44,2,FALSE)</f>
        <v>#N/A</v>
      </c>
      <c r="Q709" s="4" t="e">
        <f>VLOOKUP(AJ701,'CIR Team Info'!$C$5:$E$44,3,FALSE)</f>
        <v>#N/A</v>
      </c>
      <c r="R709" s="10" t="e">
        <f>VLOOKUP(AJ701,'FRC Site Data'!$B$3:$L$42,2,FALSE)</f>
        <v>#N/A</v>
      </c>
      <c r="S709" s="10" t="e">
        <f>VLOOKUP(AJ701,'FRC Site Data'!$B$3:$L$42,3,FALSE)</f>
        <v>#N/A</v>
      </c>
      <c r="T709" s="10" t="e">
        <f>VLOOKUP(AJ701,'FRC Site Data'!$B$3:$L$42,4,FALSE)</f>
        <v>#N/A</v>
      </c>
      <c r="U709" s="10" t="e">
        <f>VLOOKUP(AJ701,'FRC Site Data'!$B$3:$L$42,5,FALSE)</f>
        <v>#N/A</v>
      </c>
      <c r="V709" s="10" t="e">
        <f>VLOOKUP(AJ701,'FRC Site Data'!$B$3:$L$42,6,FALSE)</f>
        <v>#N/A</v>
      </c>
      <c r="W709" s="10" t="e">
        <f>VLOOKUP(AJ701,'FRC Site Data'!$B$3:$L$42,8,FALSE)</f>
        <v>#N/A</v>
      </c>
      <c r="X709" s="10" t="e">
        <f>VLOOKUP(AJ701,'FRC Site Data'!$B$3:$L$42,9,FALSE)</f>
        <v>#N/A</v>
      </c>
      <c r="Y709" s="10" t="e">
        <f>VLOOKUP(AJ701,'FRC Site Data'!$B$3:$L$42,10,FALSE)</f>
        <v>#N/A</v>
      </c>
      <c r="Z709" s="10" t="e">
        <f>VLOOKUP(AJ701,'FRC Site Data'!$B$3:$L$42,11,FALSE)</f>
        <v>#N/A</v>
      </c>
      <c r="AA709" s="10" t="e">
        <f>VLOOKUP(AJ701,'CIR Team Info'!$C$5:$E$44,4,FALSE)</f>
        <v>#N/A</v>
      </c>
      <c r="AB709" s="161" t="b">
        <f>ISNUMBER(VLOOKUP(AJ701,Match!$T$5:$T$10,1,FALSE))</f>
        <v>0</v>
      </c>
      <c r="AC709" s="161" t="b">
        <f>IF(AB709=TRUE,(VLOOKUP($AJ701,Match!$T$5:$U$10,2,FALSE)))</f>
        <v>0</v>
      </c>
      <c r="AD709" s="8">
        <v>3</v>
      </c>
      <c r="AE709" s="8">
        <v>2</v>
      </c>
      <c r="AF709" s="8">
        <v>2</v>
      </c>
      <c r="AG709" s="8">
        <v>1</v>
      </c>
      <c r="AH709" s="8" t="str">
        <f t="shared" si="177"/>
        <v/>
      </c>
    </row>
    <row r="710" spans="1:34" x14ac:dyDescent="0.25">
      <c r="A710" s="29">
        <f t="shared" si="176"/>
        <v>0</v>
      </c>
      <c r="B710" s="29">
        <f t="shared" si="163"/>
        <v>0</v>
      </c>
      <c r="C710" s="29">
        <f t="shared" si="164"/>
        <v>0</v>
      </c>
      <c r="D710" s="29">
        <f t="shared" si="165"/>
        <v>0</v>
      </c>
      <c r="E710" s="29">
        <f t="shared" si="178"/>
        <v>0</v>
      </c>
      <c r="F710" s="29">
        <f t="shared" si="166"/>
        <v>0</v>
      </c>
      <c r="G710" s="29" t="str">
        <f t="shared" si="167"/>
        <v>offensive</v>
      </c>
      <c r="H710" s="16">
        <f t="shared" si="168"/>
        <v>0</v>
      </c>
      <c r="I710" s="16">
        <f t="shared" si="169"/>
        <v>0</v>
      </c>
      <c r="J710" s="16">
        <f t="shared" si="170"/>
        <v>0</v>
      </c>
      <c r="K710" s="16">
        <f t="shared" si="171"/>
        <v>0</v>
      </c>
      <c r="L710" s="67">
        <f t="shared" si="172"/>
        <v>0</v>
      </c>
      <c r="M710" s="4">
        <f t="shared" si="173"/>
        <v>0</v>
      </c>
      <c r="N710" s="4">
        <f t="shared" si="174"/>
        <v>0</v>
      </c>
      <c r="O710" s="4">
        <f t="shared" si="175"/>
        <v>0</v>
      </c>
      <c r="P710" s="4" t="e">
        <f>VLOOKUP(AJ702,'CIR Team Info'!$C$5:$E$44,2,FALSE)</f>
        <v>#N/A</v>
      </c>
      <c r="Q710" s="4" t="e">
        <f>VLOOKUP(AJ702,'CIR Team Info'!$C$5:$E$44,3,FALSE)</f>
        <v>#N/A</v>
      </c>
      <c r="R710" s="10" t="e">
        <f>VLOOKUP(AJ702,'FRC Site Data'!$B$3:$L$42,2,FALSE)</f>
        <v>#N/A</v>
      </c>
      <c r="S710" s="10" t="e">
        <f>VLOOKUP(AJ702,'FRC Site Data'!$B$3:$L$42,3,FALSE)</f>
        <v>#N/A</v>
      </c>
      <c r="T710" s="10" t="e">
        <f>VLOOKUP(AJ702,'FRC Site Data'!$B$3:$L$42,4,FALSE)</f>
        <v>#N/A</v>
      </c>
      <c r="U710" s="10" t="e">
        <f>VLOOKUP(AJ702,'FRC Site Data'!$B$3:$L$42,5,FALSE)</f>
        <v>#N/A</v>
      </c>
      <c r="V710" s="10" t="e">
        <f>VLOOKUP(AJ702,'FRC Site Data'!$B$3:$L$42,6,FALSE)</f>
        <v>#N/A</v>
      </c>
      <c r="W710" s="10" t="e">
        <f>VLOOKUP(AJ702,'FRC Site Data'!$B$3:$L$42,8,FALSE)</f>
        <v>#N/A</v>
      </c>
      <c r="X710" s="10" t="e">
        <f>VLOOKUP(AJ702,'FRC Site Data'!$B$3:$L$42,9,FALSE)</f>
        <v>#N/A</v>
      </c>
      <c r="Y710" s="10" t="e">
        <f>VLOOKUP(AJ702,'FRC Site Data'!$B$3:$L$42,10,FALSE)</f>
        <v>#N/A</v>
      </c>
      <c r="Z710" s="10" t="e">
        <f>VLOOKUP(AJ702,'FRC Site Data'!$B$3:$L$42,11,FALSE)</f>
        <v>#N/A</v>
      </c>
      <c r="AA710" s="10" t="e">
        <f>VLOOKUP(AJ702,'CIR Team Info'!$C$5:$E$44,4,FALSE)</f>
        <v>#N/A</v>
      </c>
      <c r="AB710" s="161" t="b">
        <f>ISNUMBER(VLOOKUP(AJ702,Match!$T$5:$T$10,1,FALSE))</f>
        <v>0</v>
      </c>
      <c r="AC710" s="161" t="b">
        <f>IF(AB710=TRUE,(VLOOKUP($AJ702,Match!$T$5:$U$10,2,FALSE)))</f>
        <v>0</v>
      </c>
      <c r="AD710" s="8">
        <v>3</v>
      </c>
      <c r="AE710" s="8">
        <v>2</v>
      </c>
      <c r="AF710" s="8">
        <v>2</v>
      </c>
      <c r="AG710" s="8">
        <v>1</v>
      </c>
      <c r="AH710" s="8" t="str">
        <f t="shared" si="177"/>
        <v/>
      </c>
    </row>
    <row r="711" spans="1:34" x14ac:dyDescent="0.25">
      <c r="A711" s="29">
        <f t="shared" si="176"/>
        <v>0</v>
      </c>
      <c r="B711" s="29">
        <f t="shared" si="163"/>
        <v>0</v>
      </c>
      <c r="C711" s="29">
        <f t="shared" si="164"/>
        <v>0</v>
      </c>
      <c r="D711" s="29">
        <f t="shared" si="165"/>
        <v>0</v>
      </c>
      <c r="E711" s="29">
        <f t="shared" si="178"/>
        <v>0</v>
      </c>
      <c r="F711" s="29">
        <f t="shared" si="166"/>
        <v>0</v>
      </c>
      <c r="G711" s="29" t="str">
        <f t="shared" si="167"/>
        <v>offensive</v>
      </c>
      <c r="H711" s="16">
        <f t="shared" si="168"/>
        <v>0</v>
      </c>
      <c r="I711" s="16">
        <f t="shared" si="169"/>
        <v>0</v>
      </c>
      <c r="J711" s="16">
        <f t="shared" si="170"/>
        <v>0</v>
      </c>
      <c r="K711" s="16">
        <f t="shared" si="171"/>
        <v>0</v>
      </c>
      <c r="L711" s="67">
        <f t="shared" si="172"/>
        <v>0</v>
      </c>
      <c r="M711" s="4">
        <f t="shared" si="173"/>
        <v>0</v>
      </c>
      <c r="N711" s="4">
        <f t="shared" si="174"/>
        <v>0</v>
      </c>
      <c r="O711" s="4">
        <f t="shared" si="175"/>
        <v>0</v>
      </c>
      <c r="P711" s="4" t="e">
        <f>VLOOKUP(AJ703,'CIR Team Info'!$C$5:$E$44,2,FALSE)</f>
        <v>#N/A</v>
      </c>
      <c r="Q711" s="4" t="e">
        <f>VLOOKUP(AJ703,'CIR Team Info'!$C$5:$E$44,3,FALSE)</f>
        <v>#N/A</v>
      </c>
      <c r="R711" s="10" t="e">
        <f>VLOOKUP(AJ703,'FRC Site Data'!$B$3:$L$42,2,FALSE)</f>
        <v>#N/A</v>
      </c>
      <c r="S711" s="10" t="e">
        <f>VLOOKUP(AJ703,'FRC Site Data'!$B$3:$L$42,3,FALSE)</f>
        <v>#N/A</v>
      </c>
      <c r="T711" s="10" t="e">
        <f>VLOOKUP(AJ703,'FRC Site Data'!$B$3:$L$42,4,FALSE)</f>
        <v>#N/A</v>
      </c>
      <c r="U711" s="10" t="e">
        <f>VLOOKUP(AJ703,'FRC Site Data'!$B$3:$L$42,5,FALSE)</f>
        <v>#N/A</v>
      </c>
      <c r="V711" s="10" t="e">
        <f>VLOOKUP(AJ703,'FRC Site Data'!$B$3:$L$42,6,FALSE)</f>
        <v>#N/A</v>
      </c>
      <c r="W711" s="10" t="e">
        <f>VLOOKUP(AJ703,'FRC Site Data'!$B$3:$L$42,8,FALSE)</f>
        <v>#N/A</v>
      </c>
      <c r="X711" s="10" t="e">
        <f>VLOOKUP(AJ703,'FRC Site Data'!$B$3:$L$42,9,FALSE)</f>
        <v>#N/A</v>
      </c>
      <c r="Y711" s="10" t="e">
        <f>VLOOKUP(AJ703,'FRC Site Data'!$B$3:$L$42,10,FALSE)</f>
        <v>#N/A</v>
      </c>
      <c r="Z711" s="10" t="e">
        <f>VLOOKUP(AJ703,'FRC Site Data'!$B$3:$L$42,11,FALSE)</f>
        <v>#N/A</v>
      </c>
      <c r="AA711" s="10" t="e">
        <f>VLOOKUP(AJ703,'CIR Team Info'!$C$5:$E$44,4,FALSE)</f>
        <v>#N/A</v>
      </c>
      <c r="AB711" s="161" t="b">
        <f>ISNUMBER(VLOOKUP(AJ703,Match!$T$5:$T$10,1,FALSE))</f>
        <v>0</v>
      </c>
      <c r="AC711" s="161" t="b">
        <f>IF(AB711=TRUE,(VLOOKUP($AJ703,Match!$T$5:$U$10,2,FALSE)))</f>
        <v>0</v>
      </c>
      <c r="AD711" s="8">
        <v>3</v>
      </c>
      <c r="AE711" s="8">
        <v>2</v>
      </c>
      <c r="AF711" s="8">
        <v>2</v>
      </c>
      <c r="AG711" s="8">
        <v>1</v>
      </c>
      <c r="AH711" s="8" t="str">
        <f t="shared" si="177"/>
        <v/>
      </c>
    </row>
    <row r="712" spans="1:34" x14ac:dyDescent="0.25">
      <c r="A712" s="29">
        <f t="shared" si="176"/>
        <v>0</v>
      </c>
      <c r="B712" s="29">
        <f t="shared" ref="B712:B775" si="179">H712*AD712*AO704</f>
        <v>0</v>
      </c>
      <c r="C712" s="29">
        <f t="shared" ref="C712:C775" si="180">I712*AE712*AV704</f>
        <v>0</v>
      </c>
      <c r="D712" s="29">
        <f t="shared" ref="D712:D775" si="181">J712*AF712*BF704</f>
        <v>0</v>
      </c>
      <c r="E712" s="29">
        <f t="shared" si="178"/>
        <v>0</v>
      </c>
      <c r="F712" s="29">
        <f t="shared" ref="F712:F775" si="182">IF(AN704&gt;0,5)-2*COUNTIF(AQ704,"K")+5*COUNTIF(AS704,"T")+IF(AX704=3,2)+IF(AY704="T",2)</f>
        <v>0</v>
      </c>
      <c r="G712" s="29" t="str">
        <f t="shared" ref="G712:G775" si="183">IF((BB704+BC704)&gt;45,"defensive",IF((BB704+BC704)&gt;15,"both","offensive"))</f>
        <v>offensive</v>
      </c>
      <c r="H712" s="16">
        <f t="shared" ref="H712:H775" si="184">IF((AO704+AP704)=0,0,AO704/(AO704+AP704))</f>
        <v>0</v>
      </c>
      <c r="I712" s="16">
        <f t="shared" ref="I712:I775" si="185">IF((AV704+AW704)=0,0,AV704/(AV704+AW704))</f>
        <v>0</v>
      </c>
      <c r="J712" s="16">
        <f t="shared" ref="J712:J775" si="186">IF(L712=0,0,BG704/L712)</f>
        <v>0</v>
      </c>
      <c r="K712" s="16">
        <f t="shared" ref="K712:K775" si="187">IF((BB704+BC704)=0,0,((AZ704*BB704*0.2)+(BA704*BC704*0.3))/(BB704+BC704))</f>
        <v>0</v>
      </c>
      <c r="L712" s="67">
        <f t="shared" ref="L712:L775" si="188">IF(BF704&gt;BG704,BF704,BG704)</f>
        <v>0</v>
      </c>
      <c r="M712" s="4">
        <f t="shared" ref="M712:M775" si="189">AO704+AV704+BD704+O712</f>
        <v>0</v>
      </c>
      <c r="N712" s="4">
        <f t="shared" ref="N712:N775" si="190">AO704+AV704+BD704</f>
        <v>0</v>
      </c>
      <c r="O712" s="4">
        <f t="shared" ref="O712:O775" si="191">(AZ704*0.2*BB704*30/30)+(BA704*0.3*BC704*12/30)-BI704-BJ704</f>
        <v>0</v>
      </c>
      <c r="P712" s="4" t="e">
        <f>VLOOKUP(AJ704,'CIR Team Info'!$C$5:$E$44,2,FALSE)</f>
        <v>#N/A</v>
      </c>
      <c r="Q712" s="4" t="e">
        <f>VLOOKUP(AJ704,'CIR Team Info'!$C$5:$E$44,3,FALSE)</f>
        <v>#N/A</v>
      </c>
      <c r="R712" s="10" t="e">
        <f>VLOOKUP(AJ704,'FRC Site Data'!$B$3:$L$42,2,FALSE)</f>
        <v>#N/A</v>
      </c>
      <c r="S712" s="10" t="e">
        <f>VLOOKUP(AJ704,'FRC Site Data'!$B$3:$L$42,3,FALSE)</f>
        <v>#N/A</v>
      </c>
      <c r="T712" s="10" t="e">
        <f>VLOOKUP(AJ704,'FRC Site Data'!$B$3:$L$42,4,FALSE)</f>
        <v>#N/A</v>
      </c>
      <c r="U712" s="10" t="e">
        <f>VLOOKUP(AJ704,'FRC Site Data'!$B$3:$L$42,5,FALSE)</f>
        <v>#N/A</v>
      </c>
      <c r="V712" s="10" t="e">
        <f>VLOOKUP(AJ704,'FRC Site Data'!$B$3:$L$42,6,FALSE)</f>
        <v>#N/A</v>
      </c>
      <c r="W712" s="10" t="e">
        <f>VLOOKUP(AJ704,'FRC Site Data'!$B$3:$L$42,8,FALSE)</f>
        <v>#N/A</v>
      </c>
      <c r="X712" s="10" t="e">
        <f>VLOOKUP(AJ704,'FRC Site Data'!$B$3:$L$42,9,FALSE)</f>
        <v>#N/A</v>
      </c>
      <c r="Y712" s="10" t="e">
        <f>VLOOKUP(AJ704,'FRC Site Data'!$B$3:$L$42,10,FALSE)</f>
        <v>#N/A</v>
      </c>
      <c r="Z712" s="10" t="e">
        <f>VLOOKUP(AJ704,'FRC Site Data'!$B$3:$L$42,11,FALSE)</f>
        <v>#N/A</v>
      </c>
      <c r="AA712" s="10" t="e">
        <f>VLOOKUP(AJ704,'CIR Team Info'!$C$5:$E$44,4,FALSE)</f>
        <v>#N/A</v>
      </c>
      <c r="AB712" s="161" t="b">
        <f>ISNUMBER(VLOOKUP(AJ704,Match!$T$5:$T$10,1,FALSE))</f>
        <v>0</v>
      </c>
      <c r="AC712" s="161" t="b">
        <f>IF(AB712=TRUE,(VLOOKUP($AJ704,Match!$T$5:$U$10,2,FALSE)))</f>
        <v>0</v>
      </c>
      <c r="AD712" s="8">
        <v>3</v>
      </c>
      <c r="AE712" s="8">
        <v>2</v>
      </c>
      <c r="AF712" s="8">
        <v>2</v>
      </c>
      <c r="AG712" s="8">
        <v>1</v>
      </c>
      <c r="AH712" s="8" t="str">
        <f t="shared" si="177"/>
        <v/>
      </c>
    </row>
    <row r="713" spans="1:34" x14ac:dyDescent="0.25">
      <c r="A713" s="29">
        <f t="shared" si="176"/>
        <v>0</v>
      </c>
      <c r="B713" s="29">
        <f t="shared" si="179"/>
        <v>0</v>
      </c>
      <c r="C713" s="29">
        <f t="shared" si="180"/>
        <v>0</v>
      </c>
      <c r="D713" s="29">
        <f t="shared" si="181"/>
        <v>0</v>
      </c>
      <c r="E713" s="29">
        <f t="shared" si="178"/>
        <v>0</v>
      </c>
      <c r="F713" s="29">
        <f t="shared" si="182"/>
        <v>0</v>
      </c>
      <c r="G713" s="29" t="str">
        <f t="shared" si="183"/>
        <v>offensive</v>
      </c>
      <c r="H713" s="16">
        <f t="shared" si="184"/>
        <v>0</v>
      </c>
      <c r="I713" s="16">
        <f t="shared" si="185"/>
        <v>0</v>
      </c>
      <c r="J713" s="16">
        <f t="shared" si="186"/>
        <v>0</v>
      </c>
      <c r="K713" s="16">
        <f t="shared" si="187"/>
        <v>0</v>
      </c>
      <c r="L713" s="67">
        <f t="shared" si="188"/>
        <v>0</v>
      </c>
      <c r="M713" s="4">
        <f t="shared" si="189"/>
        <v>0</v>
      </c>
      <c r="N713" s="4">
        <f t="shared" si="190"/>
        <v>0</v>
      </c>
      <c r="O713" s="4">
        <f t="shared" si="191"/>
        <v>0</v>
      </c>
      <c r="P713" s="4" t="e">
        <f>VLOOKUP(AJ705,'CIR Team Info'!$C$5:$E$44,2,FALSE)</f>
        <v>#N/A</v>
      </c>
      <c r="Q713" s="4" t="e">
        <f>VLOOKUP(AJ705,'CIR Team Info'!$C$5:$E$44,3,FALSE)</f>
        <v>#N/A</v>
      </c>
      <c r="R713" s="10" t="e">
        <f>VLOOKUP(AJ705,'FRC Site Data'!$B$3:$L$42,2,FALSE)</f>
        <v>#N/A</v>
      </c>
      <c r="S713" s="10" t="e">
        <f>VLOOKUP(AJ705,'FRC Site Data'!$B$3:$L$42,3,FALSE)</f>
        <v>#N/A</v>
      </c>
      <c r="T713" s="10" t="e">
        <f>VLOOKUP(AJ705,'FRC Site Data'!$B$3:$L$42,4,FALSE)</f>
        <v>#N/A</v>
      </c>
      <c r="U713" s="10" t="e">
        <f>VLOOKUP(AJ705,'FRC Site Data'!$B$3:$L$42,5,FALSE)</f>
        <v>#N/A</v>
      </c>
      <c r="V713" s="10" t="e">
        <f>VLOOKUP(AJ705,'FRC Site Data'!$B$3:$L$42,6,FALSE)</f>
        <v>#N/A</v>
      </c>
      <c r="W713" s="10" t="e">
        <f>VLOOKUP(AJ705,'FRC Site Data'!$B$3:$L$42,8,FALSE)</f>
        <v>#N/A</v>
      </c>
      <c r="X713" s="10" t="e">
        <f>VLOOKUP(AJ705,'FRC Site Data'!$B$3:$L$42,9,FALSE)</f>
        <v>#N/A</v>
      </c>
      <c r="Y713" s="10" t="e">
        <f>VLOOKUP(AJ705,'FRC Site Data'!$B$3:$L$42,10,FALSE)</f>
        <v>#N/A</v>
      </c>
      <c r="Z713" s="10" t="e">
        <f>VLOOKUP(AJ705,'FRC Site Data'!$B$3:$L$42,11,FALSE)</f>
        <v>#N/A</v>
      </c>
      <c r="AA713" s="10" t="e">
        <f>VLOOKUP(AJ705,'CIR Team Info'!$C$5:$E$44,4,FALSE)</f>
        <v>#N/A</v>
      </c>
      <c r="AB713" s="161" t="b">
        <f>ISNUMBER(VLOOKUP(AJ705,Match!$T$5:$T$10,1,FALSE))</f>
        <v>0</v>
      </c>
      <c r="AC713" s="161" t="b">
        <f>IF(AB713=TRUE,(VLOOKUP($AJ705,Match!$T$5:$U$10,2,FALSE)))</f>
        <v>0</v>
      </c>
      <c r="AD713" s="8">
        <v>3</v>
      </c>
      <c r="AE713" s="8">
        <v>2</v>
      </c>
      <c r="AF713" s="8">
        <v>2</v>
      </c>
      <c r="AG713" s="8">
        <v>1</v>
      </c>
      <c r="AH713" s="8" t="str">
        <f t="shared" si="177"/>
        <v/>
      </c>
    </row>
    <row r="714" spans="1:34" x14ac:dyDescent="0.25">
      <c r="A714" s="29">
        <f t="shared" si="176"/>
        <v>0</v>
      </c>
      <c r="B714" s="29">
        <f t="shared" si="179"/>
        <v>0</v>
      </c>
      <c r="C714" s="29">
        <f t="shared" si="180"/>
        <v>0</v>
      </c>
      <c r="D714" s="29">
        <f t="shared" si="181"/>
        <v>0</v>
      </c>
      <c r="E714" s="29">
        <f t="shared" si="178"/>
        <v>0</v>
      </c>
      <c r="F714" s="29">
        <f t="shared" si="182"/>
        <v>0</v>
      </c>
      <c r="G714" s="29" t="str">
        <f t="shared" si="183"/>
        <v>offensive</v>
      </c>
      <c r="H714" s="16">
        <f t="shared" si="184"/>
        <v>0</v>
      </c>
      <c r="I714" s="16">
        <f t="shared" si="185"/>
        <v>0</v>
      </c>
      <c r="J714" s="16">
        <f t="shared" si="186"/>
        <v>0</v>
      </c>
      <c r="K714" s="16">
        <f t="shared" si="187"/>
        <v>0</v>
      </c>
      <c r="L714" s="67">
        <f t="shared" si="188"/>
        <v>0</v>
      </c>
      <c r="M714" s="4">
        <f t="shared" si="189"/>
        <v>0</v>
      </c>
      <c r="N714" s="4">
        <f t="shared" si="190"/>
        <v>0</v>
      </c>
      <c r="O714" s="4">
        <f t="shared" si="191"/>
        <v>0</v>
      </c>
      <c r="P714" s="4" t="e">
        <f>VLOOKUP(AJ706,'CIR Team Info'!$C$5:$E$44,2,FALSE)</f>
        <v>#N/A</v>
      </c>
      <c r="Q714" s="4" t="e">
        <f>VLOOKUP(AJ706,'CIR Team Info'!$C$5:$E$44,3,FALSE)</f>
        <v>#N/A</v>
      </c>
      <c r="R714" s="10" t="e">
        <f>VLOOKUP(AJ706,'FRC Site Data'!$B$3:$L$42,2,FALSE)</f>
        <v>#N/A</v>
      </c>
      <c r="S714" s="10" t="e">
        <f>VLOOKUP(AJ706,'FRC Site Data'!$B$3:$L$42,3,FALSE)</f>
        <v>#N/A</v>
      </c>
      <c r="T714" s="10" t="e">
        <f>VLOOKUP(AJ706,'FRC Site Data'!$B$3:$L$42,4,FALSE)</f>
        <v>#N/A</v>
      </c>
      <c r="U714" s="10" t="e">
        <f>VLOOKUP(AJ706,'FRC Site Data'!$B$3:$L$42,5,FALSE)</f>
        <v>#N/A</v>
      </c>
      <c r="V714" s="10" t="e">
        <f>VLOOKUP(AJ706,'FRC Site Data'!$B$3:$L$42,6,FALSE)</f>
        <v>#N/A</v>
      </c>
      <c r="W714" s="10" t="e">
        <f>VLOOKUP(AJ706,'FRC Site Data'!$B$3:$L$42,8,FALSE)</f>
        <v>#N/A</v>
      </c>
      <c r="X714" s="10" t="e">
        <f>VLOOKUP(AJ706,'FRC Site Data'!$B$3:$L$42,9,FALSE)</f>
        <v>#N/A</v>
      </c>
      <c r="Y714" s="10" t="e">
        <f>VLOOKUP(AJ706,'FRC Site Data'!$B$3:$L$42,10,FALSE)</f>
        <v>#N/A</v>
      </c>
      <c r="Z714" s="10" t="e">
        <f>VLOOKUP(AJ706,'FRC Site Data'!$B$3:$L$42,11,FALSE)</f>
        <v>#N/A</v>
      </c>
      <c r="AA714" s="10" t="e">
        <f>VLOOKUP(AJ706,'CIR Team Info'!$C$5:$E$44,4,FALSE)</f>
        <v>#N/A</v>
      </c>
      <c r="AB714" s="161" t="b">
        <f>ISNUMBER(VLOOKUP(AJ706,Match!$T$5:$T$10,1,FALSE))</f>
        <v>0</v>
      </c>
      <c r="AC714" s="161" t="b">
        <f>IF(AB714=TRUE,(VLOOKUP($AJ706,Match!$T$5:$U$10,2,FALSE)))</f>
        <v>0</v>
      </c>
      <c r="AD714" s="8">
        <v>3</v>
      </c>
      <c r="AE714" s="8">
        <v>2</v>
      </c>
      <c r="AF714" s="8">
        <v>2</v>
      </c>
      <c r="AG714" s="8">
        <v>1</v>
      </c>
      <c r="AH714" s="8" t="str">
        <f t="shared" si="177"/>
        <v/>
      </c>
    </row>
    <row r="715" spans="1:34" x14ac:dyDescent="0.25">
      <c r="A715" s="29">
        <f t="shared" si="176"/>
        <v>0</v>
      </c>
      <c r="B715" s="29">
        <f t="shared" si="179"/>
        <v>0</v>
      </c>
      <c r="C715" s="29">
        <f t="shared" si="180"/>
        <v>0</v>
      </c>
      <c r="D715" s="29">
        <f t="shared" si="181"/>
        <v>0</v>
      </c>
      <c r="E715" s="29">
        <f t="shared" si="178"/>
        <v>0</v>
      </c>
      <c r="F715" s="29">
        <f t="shared" si="182"/>
        <v>0</v>
      </c>
      <c r="G715" s="29" t="str">
        <f t="shared" si="183"/>
        <v>offensive</v>
      </c>
      <c r="H715" s="16">
        <f t="shared" si="184"/>
        <v>0</v>
      </c>
      <c r="I715" s="16">
        <f t="shared" si="185"/>
        <v>0</v>
      </c>
      <c r="J715" s="16">
        <f t="shared" si="186"/>
        <v>0</v>
      </c>
      <c r="K715" s="16">
        <f t="shared" si="187"/>
        <v>0</v>
      </c>
      <c r="L715" s="67">
        <f t="shared" si="188"/>
        <v>0</v>
      </c>
      <c r="M715" s="4">
        <f t="shared" si="189"/>
        <v>0</v>
      </c>
      <c r="N715" s="4">
        <f t="shared" si="190"/>
        <v>0</v>
      </c>
      <c r="O715" s="4">
        <f t="shared" si="191"/>
        <v>0</v>
      </c>
      <c r="P715" s="4" t="e">
        <f>VLOOKUP(AJ707,'CIR Team Info'!$C$5:$E$44,2,FALSE)</f>
        <v>#N/A</v>
      </c>
      <c r="Q715" s="4" t="e">
        <f>VLOOKUP(AJ707,'CIR Team Info'!$C$5:$E$44,3,FALSE)</f>
        <v>#N/A</v>
      </c>
      <c r="R715" s="10" t="e">
        <f>VLOOKUP(AJ707,'FRC Site Data'!$B$3:$L$42,2,FALSE)</f>
        <v>#N/A</v>
      </c>
      <c r="S715" s="10" t="e">
        <f>VLOOKUP(AJ707,'FRC Site Data'!$B$3:$L$42,3,FALSE)</f>
        <v>#N/A</v>
      </c>
      <c r="T715" s="10" t="e">
        <f>VLOOKUP(AJ707,'FRC Site Data'!$B$3:$L$42,4,FALSE)</f>
        <v>#N/A</v>
      </c>
      <c r="U715" s="10" t="e">
        <f>VLOOKUP(AJ707,'FRC Site Data'!$B$3:$L$42,5,FALSE)</f>
        <v>#N/A</v>
      </c>
      <c r="V715" s="10" t="e">
        <f>VLOOKUP(AJ707,'FRC Site Data'!$B$3:$L$42,6,FALSE)</f>
        <v>#N/A</v>
      </c>
      <c r="W715" s="10" t="e">
        <f>VLOOKUP(AJ707,'FRC Site Data'!$B$3:$L$42,8,FALSE)</f>
        <v>#N/A</v>
      </c>
      <c r="X715" s="10" t="e">
        <f>VLOOKUP(AJ707,'FRC Site Data'!$B$3:$L$42,9,FALSE)</f>
        <v>#N/A</v>
      </c>
      <c r="Y715" s="10" t="e">
        <f>VLOOKUP(AJ707,'FRC Site Data'!$B$3:$L$42,10,FALSE)</f>
        <v>#N/A</v>
      </c>
      <c r="Z715" s="10" t="e">
        <f>VLOOKUP(AJ707,'FRC Site Data'!$B$3:$L$42,11,FALSE)</f>
        <v>#N/A</v>
      </c>
      <c r="AA715" s="10" t="e">
        <f>VLOOKUP(AJ707,'CIR Team Info'!$C$5:$E$44,4,FALSE)</f>
        <v>#N/A</v>
      </c>
      <c r="AB715" s="161" t="b">
        <f>ISNUMBER(VLOOKUP(AJ707,Match!$T$5:$T$10,1,FALSE))</f>
        <v>0</v>
      </c>
      <c r="AC715" s="161" t="b">
        <f>IF(AB715=TRUE,(VLOOKUP($AJ707,Match!$T$5:$U$10,2,FALSE)))</f>
        <v>0</v>
      </c>
      <c r="AD715" s="8">
        <v>3</v>
      </c>
      <c r="AE715" s="8">
        <v>2</v>
      </c>
      <c r="AF715" s="8">
        <v>2</v>
      </c>
      <c r="AG715" s="8">
        <v>1</v>
      </c>
      <c r="AH715" s="8" t="str">
        <f t="shared" si="177"/>
        <v/>
      </c>
    </row>
    <row r="716" spans="1:34" x14ac:dyDescent="0.25">
      <c r="A716" s="29">
        <f t="shared" si="176"/>
        <v>0</v>
      </c>
      <c r="B716" s="29">
        <f t="shared" si="179"/>
        <v>0</v>
      </c>
      <c r="C716" s="29">
        <f t="shared" si="180"/>
        <v>0</v>
      </c>
      <c r="D716" s="29">
        <f t="shared" si="181"/>
        <v>0</v>
      </c>
      <c r="E716" s="29">
        <f t="shared" si="178"/>
        <v>0</v>
      </c>
      <c r="F716" s="29">
        <f t="shared" si="182"/>
        <v>0</v>
      </c>
      <c r="G716" s="29" t="str">
        <f t="shared" si="183"/>
        <v>offensive</v>
      </c>
      <c r="H716" s="16">
        <f t="shared" si="184"/>
        <v>0</v>
      </c>
      <c r="I716" s="16">
        <f t="shared" si="185"/>
        <v>0</v>
      </c>
      <c r="J716" s="16">
        <f t="shared" si="186"/>
        <v>0</v>
      </c>
      <c r="K716" s="16">
        <f t="shared" si="187"/>
        <v>0</v>
      </c>
      <c r="L716" s="67">
        <f t="shared" si="188"/>
        <v>0</v>
      </c>
      <c r="M716" s="4">
        <f t="shared" si="189"/>
        <v>0</v>
      </c>
      <c r="N716" s="4">
        <f t="shared" si="190"/>
        <v>0</v>
      </c>
      <c r="O716" s="4">
        <f t="shared" si="191"/>
        <v>0</v>
      </c>
      <c r="P716" s="4" t="e">
        <f>VLOOKUP(AJ708,'CIR Team Info'!$C$5:$E$44,2,FALSE)</f>
        <v>#N/A</v>
      </c>
      <c r="Q716" s="4" t="e">
        <f>VLOOKUP(AJ708,'CIR Team Info'!$C$5:$E$44,3,FALSE)</f>
        <v>#N/A</v>
      </c>
      <c r="R716" s="10" t="e">
        <f>VLOOKUP(AJ708,'FRC Site Data'!$B$3:$L$42,2,FALSE)</f>
        <v>#N/A</v>
      </c>
      <c r="S716" s="10" t="e">
        <f>VLOOKUP(AJ708,'FRC Site Data'!$B$3:$L$42,3,FALSE)</f>
        <v>#N/A</v>
      </c>
      <c r="T716" s="10" t="e">
        <f>VLOOKUP(AJ708,'FRC Site Data'!$B$3:$L$42,4,FALSE)</f>
        <v>#N/A</v>
      </c>
      <c r="U716" s="10" t="e">
        <f>VLOOKUP(AJ708,'FRC Site Data'!$B$3:$L$42,5,FALSE)</f>
        <v>#N/A</v>
      </c>
      <c r="V716" s="10" t="e">
        <f>VLOOKUP(AJ708,'FRC Site Data'!$B$3:$L$42,6,FALSE)</f>
        <v>#N/A</v>
      </c>
      <c r="W716" s="10" t="e">
        <f>VLOOKUP(AJ708,'FRC Site Data'!$B$3:$L$42,8,FALSE)</f>
        <v>#N/A</v>
      </c>
      <c r="X716" s="10" t="e">
        <f>VLOOKUP(AJ708,'FRC Site Data'!$B$3:$L$42,9,FALSE)</f>
        <v>#N/A</v>
      </c>
      <c r="Y716" s="10" t="e">
        <f>VLOOKUP(AJ708,'FRC Site Data'!$B$3:$L$42,10,FALSE)</f>
        <v>#N/A</v>
      </c>
      <c r="Z716" s="10" t="e">
        <f>VLOOKUP(AJ708,'FRC Site Data'!$B$3:$L$42,11,FALSE)</f>
        <v>#N/A</v>
      </c>
      <c r="AA716" s="10" t="e">
        <f>VLOOKUP(AJ708,'CIR Team Info'!$C$5:$E$44,4,FALSE)</f>
        <v>#N/A</v>
      </c>
      <c r="AB716" s="161" t="b">
        <f>ISNUMBER(VLOOKUP(AJ708,Match!$T$5:$T$10,1,FALSE))</f>
        <v>0</v>
      </c>
      <c r="AC716" s="161" t="b">
        <f>IF(AB716=TRUE,(VLOOKUP($AJ708,Match!$T$5:$U$10,2,FALSE)))</f>
        <v>0</v>
      </c>
      <c r="AD716" s="8">
        <v>3</v>
      </c>
      <c r="AE716" s="8">
        <v>2</v>
      </c>
      <c r="AF716" s="8">
        <v>2</v>
      </c>
      <c r="AG716" s="8">
        <v>1</v>
      </c>
      <c r="AH716" s="8" t="str">
        <f t="shared" si="177"/>
        <v/>
      </c>
    </row>
    <row r="717" spans="1:34" x14ac:dyDescent="0.25">
      <c r="A717" s="29">
        <f t="shared" si="176"/>
        <v>0</v>
      </c>
      <c r="B717" s="29">
        <f t="shared" si="179"/>
        <v>0</v>
      </c>
      <c r="C717" s="29">
        <f t="shared" si="180"/>
        <v>0</v>
      </c>
      <c r="D717" s="29">
        <f t="shared" si="181"/>
        <v>0</v>
      </c>
      <c r="E717" s="29">
        <f t="shared" si="178"/>
        <v>0</v>
      </c>
      <c r="F717" s="29">
        <f t="shared" si="182"/>
        <v>0</v>
      </c>
      <c r="G717" s="29" t="str">
        <f t="shared" si="183"/>
        <v>offensive</v>
      </c>
      <c r="H717" s="16">
        <f t="shared" si="184"/>
        <v>0</v>
      </c>
      <c r="I717" s="16">
        <f t="shared" si="185"/>
        <v>0</v>
      </c>
      <c r="J717" s="16">
        <f t="shared" si="186"/>
        <v>0</v>
      </c>
      <c r="K717" s="16">
        <f t="shared" si="187"/>
        <v>0</v>
      </c>
      <c r="L717" s="67">
        <f t="shared" si="188"/>
        <v>0</v>
      </c>
      <c r="M717" s="4">
        <f t="shared" si="189"/>
        <v>0</v>
      </c>
      <c r="N717" s="4">
        <f t="shared" si="190"/>
        <v>0</v>
      </c>
      <c r="O717" s="4">
        <f t="shared" si="191"/>
        <v>0</v>
      </c>
      <c r="P717" s="4" t="e">
        <f>VLOOKUP(AJ709,'CIR Team Info'!$C$5:$E$44,2,FALSE)</f>
        <v>#N/A</v>
      </c>
      <c r="Q717" s="4" t="e">
        <f>VLOOKUP(AJ709,'CIR Team Info'!$C$5:$E$44,3,FALSE)</f>
        <v>#N/A</v>
      </c>
      <c r="R717" s="10" t="e">
        <f>VLOOKUP(AJ709,'FRC Site Data'!$B$3:$L$42,2,FALSE)</f>
        <v>#N/A</v>
      </c>
      <c r="S717" s="10" t="e">
        <f>VLOOKUP(AJ709,'FRC Site Data'!$B$3:$L$42,3,FALSE)</f>
        <v>#N/A</v>
      </c>
      <c r="T717" s="10" t="e">
        <f>VLOOKUP(AJ709,'FRC Site Data'!$B$3:$L$42,4,FALSE)</f>
        <v>#N/A</v>
      </c>
      <c r="U717" s="10" t="e">
        <f>VLOOKUP(AJ709,'FRC Site Data'!$B$3:$L$42,5,FALSE)</f>
        <v>#N/A</v>
      </c>
      <c r="V717" s="10" t="e">
        <f>VLOOKUP(AJ709,'FRC Site Data'!$B$3:$L$42,6,FALSE)</f>
        <v>#N/A</v>
      </c>
      <c r="W717" s="10" t="e">
        <f>VLOOKUP(AJ709,'FRC Site Data'!$B$3:$L$42,8,FALSE)</f>
        <v>#N/A</v>
      </c>
      <c r="X717" s="10" t="e">
        <f>VLOOKUP(AJ709,'FRC Site Data'!$B$3:$L$42,9,FALSE)</f>
        <v>#N/A</v>
      </c>
      <c r="Y717" s="10" t="e">
        <f>VLOOKUP(AJ709,'FRC Site Data'!$B$3:$L$42,10,FALSE)</f>
        <v>#N/A</v>
      </c>
      <c r="Z717" s="10" t="e">
        <f>VLOOKUP(AJ709,'FRC Site Data'!$B$3:$L$42,11,FALSE)</f>
        <v>#N/A</v>
      </c>
      <c r="AA717" s="10" t="e">
        <f>VLOOKUP(AJ709,'CIR Team Info'!$C$5:$E$44,4,FALSE)</f>
        <v>#N/A</v>
      </c>
      <c r="AB717" s="161" t="b">
        <f>ISNUMBER(VLOOKUP(AJ709,Match!$T$5:$T$10,1,FALSE))</f>
        <v>0</v>
      </c>
      <c r="AC717" s="161" t="b">
        <f>IF(AB717=TRUE,(VLOOKUP($AJ709,Match!$T$5:$U$10,2,FALSE)))</f>
        <v>0</v>
      </c>
      <c r="AD717" s="8">
        <v>3</v>
      </c>
      <c r="AE717" s="8">
        <v>2</v>
      </c>
      <c r="AF717" s="8">
        <v>2</v>
      </c>
      <c r="AG717" s="8">
        <v>1</v>
      </c>
      <c r="AH717" s="8" t="str">
        <f t="shared" si="177"/>
        <v/>
      </c>
    </row>
    <row r="718" spans="1:34" x14ac:dyDescent="0.25">
      <c r="A718" s="29">
        <f t="shared" ref="A718:A777" si="192">SUM(B718:F718)</f>
        <v>0</v>
      </c>
      <c r="B718" s="29">
        <f t="shared" si="179"/>
        <v>0</v>
      </c>
      <c r="C718" s="29">
        <f t="shared" si="180"/>
        <v>0</v>
      </c>
      <c r="D718" s="29">
        <f t="shared" si="181"/>
        <v>0</v>
      </c>
      <c r="E718" s="29">
        <f t="shared" si="178"/>
        <v>0</v>
      </c>
      <c r="F718" s="29">
        <f t="shared" si="182"/>
        <v>0</v>
      </c>
      <c r="G718" s="29" t="str">
        <f t="shared" si="183"/>
        <v>offensive</v>
      </c>
      <c r="H718" s="16">
        <f t="shared" si="184"/>
        <v>0</v>
      </c>
      <c r="I718" s="16">
        <f t="shared" si="185"/>
        <v>0</v>
      </c>
      <c r="J718" s="16">
        <f t="shared" si="186"/>
        <v>0</v>
      </c>
      <c r="K718" s="16">
        <f t="shared" si="187"/>
        <v>0</v>
      </c>
      <c r="L718" s="67">
        <f t="shared" si="188"/>
        <v>0</v>
      </c>
      <c r="M718" s="4">
        <f t="shared" si="189"/>
        <v>0</v>
      </c>
      <c r="N718" s="4">
        <f t="shared" si="190"/>
        <v>0</v>
      </c>
      <c r="O718" s="4">
        <f t="shared" si="191"/>
        <v>0</v>
      </c>
      <c r="P718" s="4" t="e">
        <f>VLOOKUP(AJ710,'CIR Team Info'!$C$5:$E$44,2,FALSE)</f>
        <v>#N/A</v>
      </c>
      <c r="Q718" s="4" t="e">
        <f>VLOOKUP(AJ710,'CIR Team Info'!$C$5:$E$44,3,FALSE)</f>
        <v>#N/A</v>
      </c>
      <c r="R718" s="10" t="e">
        <f>VLOOKUP(AJ710,'FRC Site Data'!$B$3:$L$42,2,FALSE)</f>
        <v>#N/A</v>
      </c>
      <c r="S718" s="10" t="e">
        <f>VLOOKUP(AJ710,'FRC Site Data'!$B$3:$L$42,3,FALSE)</f>
        <v>#N/A</v>
      </c>
      <c r="T718" s="10" t="e">
        <f>VLOOKUP(AJ710,'FRC Site Data'!$B$3:$L$42,4,FALSE)</f>
        <v>#N/A</v>
      </c>
      <c r="U718" s="10" t="e">
        <f>VLOOKUP(AJ710,'FRC Site Data'!$B$3:$L$42,5,FALSE)</f>
        <v>#N/A</v>
      </c>
      <c r="V718" s="10" t="e">
        <f>VLOOKUP(AJ710,'FRC Site Data'!$B$3:$L$42,6,FALSE)</f>
        <v>#N/A</v>
      </c>
      <c r="W718" s="10" t="e">
        <f>VLOOKUP(AJ710,'FRC Site Data'!$B$3:$L$42,8,FALSE)</f>
        <v>#N/A</v>
      </c>
      <c r="X718" s="10" t="e">
        <f>VLOOKUP(AJ710,'FRC Site Data'!$B$3:$L$42,9,FALSE)</f>
        <v>#N/A</v>
      </c>
      <c r="Y718" s="10" t="e">
        <f>VLOOKUP(AJ710,'FRC Site Data'!$B$3:$L$42,10,FALSE)</f>
        <v>#N/A</v>
      </c>
      <c r="Z718" s="10" t="e">
        <f>VLOOKUP(AJ710,'FRC Site Data'!$B$3:$L$42,11,FALSE)</f>
        <v>#N/A</v>
      </c>
      <c r="AA718" s="10" t="e">
        <f>VLOOKUP(AJ710,'CIR Team Info'!$C$5:$E$44,4,FALSE)</f>
        <v>#N/A</v>
      </c>
      <c r="AB718" s="161" t="b">
        <f>ISNUMBER(VLOOKUP(AJ710,Match!$T$5:$T$10,1,FALSE))</f>
        <v>0</v>
      </c>
      <c r="AC718" s="161" t="b">
        <f>IF(AB718=TRUE,(VLOOKUP($AJ710,Match!$T$5:$U$10,2,FALSE)))</f>
        <v>0</v>
      </c>
      <c r="AD718" s="8">
        <v>3</v>
      </c>
      <c r="AE718" s="8">
        <v>2</v>
      </c>
      <c r="AF718" s="8">
        <v>2</v>
      </c>
      <c r="AG718" s="8">
        <v>1</v>
      </c>
      <c r="AH718" s="8" t="str">
        <f t="shared" si="177"/>
        <v/>
      </c>
    </row>
    <row r="719" spans="1:34" x14ac:dyDescent="0.25">
      <c r="A719" s="29">
        <f t="shared" si="192"/>
        <v>0</v>
      </c>
      <c r="B719" s="29">
        <f t="shared" si="179"/>
        <v>0</v>
      </c>
      <c r="C719" s="29">
        <f t="shared" si="180"/>
        <v>0</v>
      </c>
      <c r="D719" s="29">
        <f t="shared" si="181"/>
        <v>0</v>
      </c>
      <c r="E719" s="29">
        <f t="shared" si="178"/>
        <v>0</v>
      </c>
      <c r="F719" s="29">
        <f t="shared" si="182"/>
        <v>0</v>
      </c>
      <c r="G719" s="29" t="str">
        <f t="shared" si="183"/>
        <v>offensive</v>
      </c>
      <c r="H719" s="16">
        <f t="shared" si="184"/>
        <v>0</v>
      </c>
      <c r="I719" s="16">
        <f t="shared" si="185"/>
        <v>0</v>
      </c>
      <c r="J719" s="16">
        <f t="shared" si="186"/>
        <v>0</v>
      </c>
      <c r="K719" s="16">
        <f t="shared" si="187"/>
        <v>0</v>
      </c>
      <c r="L719" s="67">
        <f t="shared" si="188"/>
        <v>0</v>
      </c>
      <c r="M719" s="4">
        <f t="shared" si="189"/>
        <v>0</v>
      </c>
      <c r="N719" s="4">
        <f t="shared" si="190"/>
        <v>0</v>
      </c>
      <c r="O719" s="4">
        <f t="shared" si="191"/>
        <v>0</v>
      </c>
      <c r="P719" s="4" t="e">
        <f>VLOOKUP(AJ711,'CIR Team Info'!$C$5:$E$44,2,FALSE)</f>
        <v>#N/A</v>
      </c>
      <c r="Q719" s="4" t="e">
        <f>VLOOKUP(AJ711,'CIR Team Info'!$C$5:$E$44,3,FALSE)</f>
        <v>#N/A</v>
      </c>
      <c r="R719" s="10" t="e">
        <f>VLOOKUP(AJ711,'FRC Site Data'!$B$3:$L$42,2,FALSE)</f>
        <v>#N/A</v>
      </c>
      <c r="S719" s="10" t="e">
        <f>VLOOKUP(AJ711,'FRC Site Data'!$B$3:$L$42,3,FALSE)</f>
        <v>#N/A</v>
      </c>
      <c r="T719" s="10" t="e">
        <f>VLOOKUP(AJ711,'FRC Site Data'!$B$3:$L$42,4,FALSE)</f>
        <v>#N/A</v>
      </c>
      <c r="U719" s="10" t="e">
        <f>VLOOKUP(AJ711,'FRC Site Data'!$B$3:$L$42,5,FALSE)</f>
        <v>#N/A</v>
      </c>
      <c r="V719" s="10" t="e">
        <f>VLOOKUP(AJ711,'FRC Site Data'!$B$3:$L$42,6,FALSE)</f>
        <v>#N/A</v>
      </c>
      <c r="W719" s="10" t="e">
        <f>VLOOKUP(AJ711,'FRC Site Data'!$B$3:$L$42,8,FALSE)</f>
        <v>#N/A</v>
      </c>
      <c r="X719" s="10" t="e">
        <f>VLOOKUP(AJ711,'FRC Site Data'!$B$3:$L$42,9,FALSE)</f>
        <v>#N/A</v>
      </c>
      <c r="Y719" s="10" t="e">
        <f>VLOOKUP(AJ711,'FRC Site Data'!$B$3:$L$42,10,FALSE)</f>
        <v>#N/A</v>
      </c>
      <c r="Z719" s="10" t="e">
        <f>VLOOKUP(AJ711,'FRC Site Data'!$B$3:$L$42,11,FALSE)</f>
        <v>#N/A</v>
      </c>
      <c r="AA719" s="10" t="e">
        <f>VLOOKUP(AJ711,'CIR Team Info'!$C$5:$E$44,4,FALSE)</f>
        <v>#N/A</v>
      </c>
      <c r="AB719" s="161" t="b">
        <f>ISNUMBER(VLOOKUP(AJ711,Match!$T$5:$T$10,1,FALSE))</f>
        <v>0</v>
      </c>
      <c r="AC719" s="161" t="b">
        <f>IF(AB719=TRUE,(VLOOKUP($AJ711,Match!$T$5:$U$10,2,FALSE)))</f>
        <v>0</v>
      </c>
      <c r="AD719" s="8">
        <v>3</v>
      </c>
      <c r="AE719" s="8">
        <v>2</v>
      </c>
      <c r="AF719" s="8">
        <v>2</v>
      </c>
      <c r="AG719" s="8">
        <v>1</v>
      </c>
      <c r="AH719" s="8" t="str">
        <f t="shared" si="177"/>
        <v/>
      </c>
    </row>
    <row r="720" spans="1:34" x14ac:dyDescent="0.25">
      <c r="A720" s="29">
        <f t="shared" si="192"/>
        <v>0</v>
      </c>
      <c r="B720" s="29">
        <f t="shared" si="179"/>
        <v>0</v>
      </c>
      <c r="C720" s="29">
        <f t="shared" si="180"/>
        <v>0</v>
      </c>
      <c r="D720" s="29">
        <f t="shared" si="181"/>
        <v>0</v>
      </c>
      <c r="E720" s="29">
        <f t="shared" si="178"/>
        <v>0</v>
      </c>
      <c r="F720" s="29">
        <f t="shared" si="182"/>
        <v>0</v>
      </c>
      <c r="G720" s="29" t="str">
        <f t="shared" si="183"/>
        <v>offensive</v>
      </c>
      <c r="H720" s="16">
        <f t="shared" si="184"/>
        <v>0</v>
      </c>
      <c r="I720" s="16">
        <f t="shared" si="185"/>
        <v>0</v>
      </c>
      <c r="J720" s="16">
        <f t="shared" si="186"/>
        <v>0</v>
      </c>
      <c r="K720" s="16">
        <f t="shared" si="187"/>
        <v>0</v>
      </c>
      <c r="L720" s="67">
        <f t="shared" si="188"/>
        <v>0</v>
      </c>
      <c r="M720" s="4">
        <f t="shared" si="189"/>
        <v>0</v>
      </c>
      <c r="N720" s="4">
        <f t="shared" si="190"/>
        <v>0</v>
      </c>
      <c r="O720" s="4">
        <f t="shared" si="191"/>
        <v>0</v>
      </c>
      <c r="P720" s="4" t="e">
        <f>VLOOKUP(AJ712,'CIR Team Info'!$C$5:$E$44,2,FALSE)</f>
        <v>#N/A</v>
      </c>
      <c r="Q720" s="4" t="e">
        <f>VLOOKUP(AJ712,'CIR Team Info'!$C$5:$E$44,3,FALSE)</f>
        <v>#N/A</v>
      </c>
      <c r="R720" s="10" t="e">
        <f>VLOOKUP(AJ712,'FRC Site Data'!$B$3:$L$42,2,FALSE)</f>
        <v>#N/A</v>
      </c>
      <c r="S720" s="10" t="e">
        <f>VLOOKUP(AJ712,'FRC Site Data'!$B$3:$L$42,3,FALSE)</f>
        <v>#N/A</v>
      </c>
      <c r="T720" s="10" t="e">
        <f>VLOOKUP(AJ712,'FRC Site Data'!$B$3:$L$42,4,FALSE)</f>
        <v>#N/A</v>
      </c>
      <c r="U720" s="10" t="e">
        <f>VLOOKUP(AJ712,'FRC Site Data'!$B$3:$L$42,5,FALSE)</f>
        <v>#N/A</v>
      </c>
      <c r="V720" s="10" t="e">
        <f>VLOOKUP(AJ712,'FRC Site Data'!$B$3:$L$42,6,FALSE)</f>
        <v>#N/A</v>
      </c>
      <c r="W720" s="10" t="e">
        <f>VLOOKUP(AJ712,'FRC Site Data'!$B$3:$L$42,8,FALSE)</f>
        <v>#N/A</v>
      </c>
      <c r="X720" s="10" t="e">
        <f>VLOOKUP(AJ712,'FRC Site Data'!$B$3:$L$42,9,FALSE)</f>
        <v>#N/A</v>
      </c>
      <c r="Y720" s="10" t="e">
        <f>VLOOKUP(AJ712,'FRC Site Data'!$B$3:$L$42,10,FALSE)</f>
        <v>#N/A</v>
      </c>
      <c r="Z720" s="10" t="e">
        <f>VLOOKUP(AJ712,'FRC Site Data'!$B$3:$L$42,11,FALSE)</f>
        <v>#N/A</v>
      </c>
      <c r="AA720" s="10" t="e">
        <f>VLOOKUP(AJ712,'CIR Team Info'!$C$5:$E$44,4,FALSE)</f>
        <v>#N/A</v>
      </c>
      <c r="AB720" s="161" t="b">
        <f>ISNUMBER(VLOOKUP(AJ712,Match!$T$5:$T$10,1,FALSE))</f>
        <v>0</v>
      </c>
      <c r="AC720" s="161" t="b">
        <f>IF(AB720=TRUE,(VLOOKUP($AJ712,Match!$T$5:$U$10,2,FALSE)))</f>
        <v>0</v>
      </c>
      <c r="AD720" s="8">
        <v>3</v>
      </c>
      <c r="AE720" s="8">
        <v>2</v>
      </c>
      <c r="AF720" s="8">
        <v>2</v>
      </c>
      <c r="AG720" s="8">
        <v>1</v>
      </c>
      <c r="AH720" s="8" t="str">
        <f t="shared" si="177"/>
        <v/>
      </c>
    </row>
    <row r="721" spans="1:34" x14ac:dyDescent="0.25">
      <c r="A721" s="29">
        <f t="shared" si="192"/>
        <v>0</v>
      </c>
      <c r="B721" s="29">
        <f t="shared" si="179"/>
        <v>0</v>
      </c>
      <c r="C721" s="29">
        <f t="shared" si="180"/>
        <v>0</v>
      </c>
      <c r="D721" s="29">
        <f t="shared" si="181"/>
        <v>0</v>
      </c>
      <c r="E721" s="29">
        <f t="shared" si="178"/>
        <v>0</v>
      </c>
      <c r="F721" s="29">
        <f t="shared" si="182"/>
        <v>0</v>
      </c>
      <c r="G721" s="29" t="str">
        <f t="shared" si="183"/>
        <v>offensive</v>
      </c>
      <c r="H721" s="16">
        <f t="shared" si="184"/>
        <v>0</v>
      </c>
      <c r="I721" s="16">
        <f t="shared" si="185"/>
        <v>0</v>
      </c>
      <c r="J721" s="16">
        <f t="shared" si="186"/>
        <v>0</v>
      </c>
      <c r="K721" s="16">
        <f t="shared" si="187"/>
        <v>0</v>
      </c>
      <c r="L721" s="67">
        <f t="shared" si="188"/>
        <v>0</v>
      </c>
      <c r="M721" s="4">
        <f t="shared" si="189"/>
        <v>0</v>
      </c>
      <c r="N721" s="4">
        <f t="shared" si="190"/>
        <v>0</v>
      </c>
      <c r="O721" s="4">
        <f t="shared" si="191"/>
        <v>0</v>
      </c>
      <c r="P721" s="4" t="e">
        <f>VLOOKUP(AJ713,'CIR Team Info'!$C$5:$E$44,2,FALSE)</f>
        <v>#N/A</v>
      </c>
      <c r="Q721" s="4" t="e">
        <f>VLOOKUP(AJ713,'CIR Team Info'!$C$5:$E$44,3,FALSE)</f>
        <v>#N/A</v>
      </c>
      <c r="R721" s="10" t="e">
        <f>VLOOKUP(AJ713,'FRC Site Data'!$B$3:$L$42,2,FALSE)</f>
        <v>#N/A</v>
      </c>
      <c r="S721" s="10" t="e">
        <f>VLOOKUP(AJ713,'FRC Site Data'!$B$3:$L$42,3,FALSE)</f>
        <v>#N/A</v>
      </c>
      <c r="T721" s="10" t="e">
        <f>VLOOKUP(AJ713,'FRC Site Data'!$B$3:$L$42,4,FALSE)</f>
        <v>#N/A</v>
      </c>
      <c r="U721" s="10" t="e">
        <f>VLOOKUP(AJ713,'FRC Site Data'!$B$3:$L$42,5,FALSE)</f>
        <v>#N/A</v>
      </c>
      <c r="V721" s="10" t="e">
        <f>VLOOKUP(AJ713,'FRC Site Data'!$B$3:$L$42,6,FALSE)</f>
        <v>#N/A</v>
      </c>
      <c r="W721" s="10" t="e">
        <f>VLOOKUP(AJ713,'FRC Site Data'!$B$3:$L$42,8,FALSE)</f>
        <v>#N/A</v>
      </c>
      <c r="X721" s="10" t="e">
        <f>VLOOKUP(AJ713,'FRC Site Data'!$B$3:$L$42,9,FALSE)</f>
        <v>#N/A</v>
      </c>
      <c r="Y721" s="10" t="e">
        <f>VLOOKUP(AJ713,'FRC Site Data'!$B$3:$L$42,10,FALSE)</f>
        <v>#N/A</v>
      </c>
      <c r="Z721" s="10" t="e">
        <f>VLOOKUP(AJ713,'FRC Site Data'!$B$3:$L$42,11,FALSE)</f>
        <v>#N/A</v>
      </c>
      <c r="AA721" s="10" t="e">
        <f>VLOOKUP(AJ713,'CIR Team Info'!$C$5:$E$44,4,FALSE)</f>
        <v>#N/A</v>
      </c>
      <c r="AB721" s="161" t="b">
        <f>ISNUMBER(VLOOKUP(AJ713,Match!$T$5:$T$10,1,FALSE))</f>
        <v>0</v>
      </c>
      <c r="AC721" s="161" t="b">
        <f>IF(AB721=TRUE,(VLOOKUP($AJ713,Match!$T$5:$U$10,2,FALSE)))</f>
        <v>0</v>
      </c>
      <c r="AD721" s="8">
        <v>3</v>
      </c>
      <c r="AE721" s="8">
        <v>2</v>
      </c>
      <c r="AF721" s="8">
        <v>2</v>
      </c>
      <c r="AG721" s="8">
        <v>1</v>
      </c>
      <c r="AH721" s="8" t="str">
        <f t="shared" si="177"/>
        <v/>
      </c>
    </row>
    <row r="722" spans="1:34" x14ac:dyDescent="0.25">
      <c r="A722" s="29">
        <f t="shared" si="192"/>
        <v>0</v>
      </c>
      <c r="B722" s="29">
        <f t="shared" si="179"/>
        <v>0</v>
      </c>
      <c r="C722" s="29">
        <f t="shared" si="180"/>
        <v>0</v>
      </c>
      <c r="D722" s="29">
        <f t="shared" si="181"/>
        <v>0</v>
      </c>
      <c r="E722" s="29">
        <f t="shared" si="178"/>
        <v>0</v>
      </c>
      <c r="F722" s="29">
        <f t="shared" si="182"/>
        <v>0</v>
      </c>
      <c r="G722" s="29" t="str">
        <f t="shared" si="183"/>
        <v>offensive</v>
      </c>
      <c r="H722" s="16">
        <f t="shared" si="184"/>
        <v>0</v>
      </c>
      <c r="I722" s="16">
        <f t="shared" si="185"/>
        <v>0</v>
      </c>
      <c r="J722" s="16">
        <f t="shared" si="186"/>
        <v>0</v>
      </c>
      <c r="K722" s="16">
        <f t="shared" si="187"/>
        <v>0</v>
      </c>
      <c r="L722" s="67">
        <f t="shared" si="188"/>
        <v>0</v>
      </c>
      <c r="M722" s="4">
        <f t="shared" si="189"/>
        <v>0</v>
      </c>
      <c r="N722" s="4">
        <f t="shared" si="190"/>
        <v>0</v>
      </c>
      <c r="O722" s="4">
        <f t="shared" si="191"/>
        <v>0</v>
      </c>
      <c r="P722" s="4" t="e">
        <f>VLOOKUP(AJ714,'CIR Team Info'!$C$5:$E$44,2,FALSE)</f>
        <v>#N/A</v>
      </c>
      <c r="Q722" s="4" t="e">
        <f>VLOOKUP(AJ714,'CIR Team Info'!$C$5:$E$44,3,FALSE)</f>
        <v>#N/A</v>
      </c>
      <c r="R722" s="10" t="e">
        <f>VLOOKUP(AJ714,'FRC Site Data'!$B$3:$L$42,2,FALSE)</f>
        <v>#N/A</v>
      </c>
      <c r="S722" s="10" t="e">
        <f>VLOOKUP(AJ714,'FRC Site Data'!$B$3:$L$42,3,FALSE)</f>
        <v>#N/A</v>
      </c>
      <c r="T722" s="10" t="e">
        <f>VLOOKUP(AJ714,'FRC Site Data'!$B$3:$L$42,4,FALSE)</f>
        <v>#N/A</v>
      </c>
      <c r="U722" s="10" t="e">
        <f>VLOOKUP(AJ714,'FRC Site Data'!$B$3:$L$42,5,FALSE)</f>
        <v>#N/A</v>
      </c>
      <c r="V722" s="10" t="e">
        <f>VLOOKUP(AJ714,'FRC Site Data'!$B$3:$L$42,6,FALSE)</f>
        <v>#N/A</v>
      </c>
      <c r="W722" s="10" t="e">
        <f>VLOOKUP(AJ714,'FRC Site Data'!$B$3:$L$42,8,FALSE)</f>
        <v>#N/A</v>
      </c>
      <c r="X722" s="10" t="e">
        <f>VLOOKUP(AJ714,'FRC Site Data'!$B$3:$L$42,9,FALSE)</f>
        <v>#N/A</v>
      </c>
      <c r="Y722" s="10" t="e">
        <f>VLOOKUP(AJ714,'FRC Site Data'!$B$3:$L$42,10,FALSE)</f>
        <v>#N/A</v>
      </c>
      <c r="Z722" s="10" t="e">
        <f>VLOOKUP(AJ714,'FRC Site Data'!$B$3:$L$42,11,FALSE)</f>
        <v>#N/A</v>
      </c>
      <c r="AA722" s="10" t="e">
        <f>VLOOKUP(AJ714,'CIR Team Info'!$C$5:$E$44,4,FALSE)</f>
        <v>#N/A</v>
      </c>
      <c r="AB722" s="161" t="b">
        <f>ISNUMBER(VLOOKUP(AJ714,Match!$T$5:$T$10,1,FALSE))</f>
        <v>0</v>
      </c>
      <c r="AC722" s="161" t="b">
        <f>IF(AB722=TRUE,(VLOOKUP($AJ714,Match!$T$5:$U$10,2,FALSE)))</f>
        <v>0</v>
      </c>
      <c r="AD722" s="8">
        <v>3</v>
      </c>
      <c r="AE722" s="8">
        <v>2</v>
      </c>
      <c r="AF722" s="8">
        <v>2</v>
      </c>
      <c r="AG722" s="8">
        <v>1</v>
      </c>
      <c r="AH722" s="8" t="str">
        <f t="shared" si="177"/>
        <v/>
      </c>
    </row>
    <row r="723" spans="1:34" x14ac:dyDescent="0.25">
      <c r="A723" s="29">
        <f t="shared" si="192"/>
        <v>0</v>
      </c>
      <c r="B723" s="29">
        <f t="shared" si="179"/>
        <v>0</v>
      </c>
      <c r="C723" s="29">
        <f t="shared" si="180"/>
        <v>0</v>
      </c>
      <c r="D723" s="29">
        <f t="shared" si="181"/>
        <v>0</v>
      </c>
      <c r="E723" s="29">
        <f t="shared" si="178"/>
        <v>0</v>
      </c>
      <c r="F723" s="29">
        <f t="shared" si="182"/>
        <v>0</v>
      </c>
      <c r="G723" s="29" t="str">
        <f t="shared" si="183"/>
        <v>offensive</v>
      </c>
      <c r="H723" s="16">
        <f t="shared" si="184"/>
        <v>0</v>
      </c>
      <c r="I723" s="16">
        <f t="shared" si="185"/>
        <v>0</v>
      </c>
      <c r="J723" s="16">
        <f t="shared" si="186"/>
        <v>0</v>
      </c>
      <c r="K723" s="16">
        <f t="shared" si="187"/>
        <v>0</v>
      </c>
      <c r="L723" s="67">
        <f t="shared" si="188"/>
        <v>0</v>
      </c>
      <c r="M723" s="4">
        <f t="shared" si="189"/>
        <v>0</v>
      </c>
      <c r="N723" s="4">
        <f t="shared" si="190"/>
        <v>0</v>
      </c>
      <c r="O723" s="4">
        <f t="shared" si="191"/>
        <v>0</v>
      </c>
      <c r="P723" s="4" t="e">
        <f>VLOOKUP(AJ715,'CIR Team Info'!$C$5:$E$44,2,FALSE)</f>
        <v>#N/A</v>
      </c>
      <c r="Q723" s="4" t="e">
        <f>VLOOKUP(AJ715,'CIR Team Info'!$C$5:$E$44,3,FALSE)</f>
        <v>#N/A</v>
      </c>
      <c r="R723" s="10" t="e">
        <f>VLOOKUP(AJ715,'FRC Site Data'!$B$3:$L$42,2,FALSE)</f>
        <v>#N/A</v>
      </c>
      <c r="S723" s="10" t="e">
        <f>VLOOKUP(AJ715,'FRC Site Data'!$B$3:$L$42,3,FALSE)</f>
        <v>#N/A</v>
      </c>
      <c r="T723" s="10" t="e">
        <f>VLOOKUP(AJ715,'FRC Site Data'!$B$3:$L$42,4,FALSE)</f>
        <v>#N/A</v>
      </c>
      <c r="U723" s="10" t="e">
        <f>VLOOKUP(AJ715,'FRC Site Data'!$B$3:$L$42,5,FALSE)</f>
        <v>#N/A</v>
      </c>
      <c r="V723" s="10" t="e">
        <f>VLOOKUP(AJ715,'FRC Site Data'!$B$3:$L$42,6,FALSE)</f>
        <v>#N/A</v>
      </c>
      <c r="W723" s="10" t="e">
        <f>VLOOKUP(AJ715,'FRC Site Data'!$B$3:$L$42,8,FALSE)</f>
        <v>#N/A</v>
      </c>
      <c r="X723" s="10" t="e">
        <f>VLOOKUP(AJ715,'FRC Site Data'!$B$3:$L$42,9,FALSE)</f>
        <v>#N/A</v>
      </c>
      <c r="Y723" s="10" t="e">
        <f>VLOOKUP(AJ715,'FRC Site Data'!$B$3:$L$42,10,FALSE)</f>
        <v>#N/A</v>
      </c>
      <c r="Z723" s="10" t="e">
        <f>VLOOKUP(AJ715,'FRC Site Data'!$B$3:$L$42,11,FALSE)</f>
        <v>#N/A</v>
      </c>
      <c r="AA723" s="10" t="e">
        <f>VLOOKUP(AJ715,'CIR Team Info'!$C$5:$E$44,4,FALSE)</f>
        <v>#N/A</v>
      </c>
      <c r="AB723" s="161" t="b">
        <f>ISNUMBER(VLOOKUP(AJ715,Match!$T$5:$T$10,1,FALSE))</f>
        <v>0</v>
      </c>
      <c r="AC723" s="161" t="b">
        <f>IF(AB723=TRUE,(VLOOKUP($AJ715,Match!$T$5:$U$10,2,FALSE)))</f>
        <v>0</v>
      </c>
      <c r="AD723" s="8">
        <v>3</v>
      </c>
      <c r="AE723" s="8">
        <v>2</v>
      </c>
      <c r="AF723" s="8">
        <v>2</v>
      </c>
      <c r="AG723" s="8">
        <v>1</v>
      </c>
      <c r="AH723" s="8" t="str">
        <f t="shared" si="177"/>
        <v/>
      </c>
    </row>
    <row r="724" spans="1:34" x14ac:dyDescent="0.25">
      <c r="A724" s="29">
        <f t="shared" si="192"/>
        <v>0</v>
      </c>
      <c r="B724" s="29">
        <f t="shared" si="179"/>
        <v>0</v>
      </c>
      <c r="C724" s="29">
        <f t="shared" si="180"/>
        <v>0</v>
      </c>
      <c r="D724" s="29">
        <f t="shared" si="181"/>
        <v>0</v>
      </c>
      <c r="E724" s="29">
        <f t="shared" si="178"/>
        <v>0</v>
      </c>
      <c r="F724" s="29">
        <f t="shared" si="182"/>
        <v>0</v>
      </c>
      <c r="G724" s="29" t="str">
        <f t="shared" si="183"/>
        <v>offensive</v>
      </c>
      <c r="H724" s="16">
        <f t="shared" si="184"/>
        <v>0</v>
      </c>
      <c r="I724" s="16">
        <f t="shared" si="185"/>
        <v>0</v>
      </c>
      <c r="J724" s="16">
        <f t="shared" si="186"/>
        <v>0</v>
      </c>
      <c r="K724" s="16">
        <f t="shared" si="187"/>
        <v>0</v>
      </c>
      <c r="L724" s="67">
        <f t="shared" si="188"/>
        <v>0</v>
      </c>
      <c r="M724" s="4">
        <f t="shared" si="189"/>
        <v>0</v>
      </c>
      <c r="N724" s="4">
        <f t="shared" si="190"/>
        <v>0</v>
      </c>
      <c r="O724" s="4">
        <f t="shared" si="191"/>
        <v>0</v>
      </c>
      <c r="P724" s="4" t="e">
        <f>VLOOKUP(AJ716,'CIR Team Info'!$C$5:$E$44,2,FALSE)</f>
        <v>#N/A</v>
      </c>
      <c r="Q724" s="4" t="e">
        <f>VLOOKUP(AJ716,'CIR Team Info'!$C$5:$E$44,3,FALSE)</f>
        <v>#N/A</v>
      </c>
      <c r="R724" s="10" t="e">
        <f>VLOOKUP(AJ716,'FRC Site Data'!$B$3:$L$42,2,FALSE)</f>
        <v>#N/A</v>
      </c>
      <c r="S724" s="10" t="e">
        <f>VLOOKUP(AJ716,'FRC Site Data'!$B$3:$L$42,3,FALSE)</f>
        <v>#N/A</v>
      </c>
      <c r="T724" s="10" t="e">
        <f>VLOOKUP(AJ716,'FRC Site Data'!$B$3:$L$42,4,FALSE)</f>
        <v>#N/A</v>
      </c>
      <c r="U724" s="10" t="e">
        <f>VLOOKUP(AJ716,'FRC Site Data'!$B$3:$L$42,5,FALSE)</f>
        <v>#N/A</v>
      </c>
      <c r="V724" s="10" t="e">
        <f>VLOOKUP(AJ716,'FRC Site Data'!$B$3:$L$42,6,FALSE)</f>
        <v>#N/A</v>
      </c>
      <c r="W724" s="10" t="e">
        <f>VLOOKUP(AJ716,'FRC Site Data'!$B$3:$L$42,8,FALSE)</f>
        <v>#N/A</v>
      </c>
      <c r="X724" s="10" t="e">
        <f>VLOOKUP(AJ716,'FRC Site Data'!$B$3:$L$42,9,FALSE)</f>
        <v>#N/A</v>
      </c>
      <c r="Y724" s="10" t="e">
        <f>VLOOKUP(AJ716,'FRC Site Data'!$B$3:$L$42,10,FALSE)</f>
        <v>#N/A</v>
      </c>
      <c r="Z724" s="10" t="e">
        <f>VLOOKUP(AJ716,'FRC Site Data'!$B$3:$L$42,11,FALSE)</f>
        <v>#N/A</v>
      </c>
      <c r="AA724" s="10" t="e">
        <f>VLOOKUP(AJ716,'CIR Team Info'!$C$5:$E$44,4,FALSE)</f>
        <v>#N/A</v>
      </c>
      <c r="AB724" s="161" t="b">
        <f>ISNUMBER(VLOOKUP(AJ716,Match!$T$5:$T$10,1,FALSE))</f>
        <v>0</v>
      </c>
      <c r="AC724" s="161" t="b">
        <f>IF(AB724=TRUE,(VLOOKUP($AJ716,Match!$T$5:$U$10,2,FALSE)))</f>
        <v>0</v>
      </c>
      <c r="AD724" s="8">
        <v>3</v>
      </c>
      <c r="AE724" s="8">
        <v>2</v>
      </c>
      <c r="AF724" s="8">
        <v>2</v>
      </c>
      <c r="AG724" s="8">
        <v>1</v>
      </c>
      <c r="AH724" s="8" t="str">
        <f t="shared" si="177"/>
        <v/>
      </c>
    </row>
    <row r="725" spans="1:34" x14ac:dyDescent="0.25">
      <c r="A725" s="29">
        <f t="shared" si="192"/>
        <v>0</v>
      </c>
      <c r="B725" s="29">
        <f t="shared" si="179"/>
        <v>0</v>
      </c>
      <c r="C725" s="29">
        <f t="shared" si="180"/>
        <v>0</v>
      </c>
      <c r="D725" s="29">
        <f t="shared" si="181"/>
        <v>0</v>
      </c>
      <c r="E725" s="29">
        <f t="shared" si="178"/>
        <v>0</v>
      </c>
      <c r="F725" s="29">
        <f t="shared" si="182"/>
        <v>0</v>
      </c>
      <c r="G725" s="29" t="str">
        <f t="shared" si="183"/>
        <v>offensive</v>
      </c>
      <c r="H725" s="16">
        <f t="shared" si="184"/>
        <v>0</v>
      </c>
      <c r="I725" s="16">
        <f t="shared" si="185"/>
        <v>0</v>
      </c>
      <c r="J725" s="16">
        <f t="shared" si="186"/>
        <v>0</v>
      </c>
      <c r="K725" s="16">
        <f t="shared" si="187"/>
        <v>0</v>
      </c>
      <c r="L725" s="67">
        <f t="shared" si="188"/>
        <v>0</v>
      </c>
      <c r="M725" s="4">
        <f t="shared" si="189"/>
        <v>0</v>
      </c>
      <c r="N725" s="4">
        <f t="shared" si="190"/>
        <v>0</v>
      </c>
      <c r="O725" s="4">
        <f t="shared" si="191"/>
        <v>0</v>
      </c>
      <c r="P725" s="4" t="e">
        <f>VLOOKUP(AJ717,'CIR Team Info'!$C$5:$E$44,2,FALSE)</f>
        <v>#N/A</v>
      </c>
      <c r="Q725" s="4" t="e">
        <f>VLOOKUP(AJ717,'CIR Team Info'!$C$5:$E$44,3,FALSE)</f>
        <v>#N/A</v>
      </c>
      <c r="R725" s="10" t="e">
        <f>VLOOKUP(AJ717,'FRC Site Data'!$B$3:$L$42,2,FALSE)</f>
        <v>#N/A</v>
      </c>
      <c r="S725" s="10" t="e">
        <f>VLOOKUP(AJ717,'FRC Site Data'!$B$3:$L$42,3,FALSE)</f>
        <v>#N/A</v>
      </c>
      <c r="T725" s="10" t="e">
        <f>VLOOKUP(AJ717,'FRC Site Data'!$B$3:$L$42,4,FALSE)</f>
        <v>#N/A</v>
      </c>
      <c r="U725" s="10" t="e">
        <f>VLOOKUP(AJ717,'FRC Site Data'!$B$3:$L$42,5,FALSE)</f>
        <v>#N/A</v>
      </c>
      <c r="V725" s="10" t="e">
        <f>VLOOKUP(AJ717,'FRC Site Data'!$B$3:$L$42,6,FALSE)</f>
        <v>#N/A</v>
      </c>
      <c r="W725" s="10" t="e">
        <f>VLOOKUP(AJ717,'FRC Site Data'!$B$3:$L$42,8,FALSE)</f>
        <v>#N/A</v>
      </c>
      <c r="X725" s="10" t="e">
        <f>VLOOKUP(AJ717,'FRC Site Data'!$B$3:$L$42,9,FALSE)</f>
        <v>#N/A</v>
      </c>
      <c r="Y725" s="10" t="e">
        <f>VLOOKUP(AJ717,'FRC Site Data'!$B$3:$L$42,10,FALSE)</f>
        <v>#N/A</v>
      </c>
      <c r="Z725" s="10" t="e">
        <f>VLOOKUP(AJ717,'FRC Site Data'!$B$3:$L$42,11,FALSE)</f>
        <v>#N/A</v>
      </c>
      <c r="AA725" s="10" t="e">
        <f>VLOOKUP(AJ717,'CIR Team Info'!$C$5:$E$44,4,FALSE)</f>
        <v>#N/A</v>
      </c>
      <c r="AB725" s="161" t="b">
        <f>ISNUMBER(VLOOKUP(AJ717,Match!$T$5:$T$10,1,FALSE))</f>
        <v>0</v>
      </c>
      <c r="AC725" s="161" t="b">
        <f>IF(AB725=TRUE,(VLOOKUP($AJ717,Match!$T$5:$U$10,2,FALSE)))</f>
        <v>0</v>
      </c>
      <c r="AD725" s="8">
        <v>3</v>
      </c>
      <c r="AE725" s="8">
        <v>2</v>
      </c>
      <c r="AF725" s="8">
        <v>2</v>
      </c>
      <c r="AG725" s="8">
        <v>1</v>
      </c>
      <c r="AH725" s="8" t="str">
        <f t="shared" si="177"/>
        <v/>
      </c>
    </row>
    <row r="726" spans="1:34" x14ac:dyDescent="0.25">
      <c r="A726" s="29">
        <f t="shared" si="192"/>
        <v>0</v>
      </c>
      <c r="B726" s="29">
        <f t="shared" si="179"/>
        <v>0</v>
      </c>
      <c r="C726" s="29">
        <f t="shared" si="180"/>
        <v>0</v>
      </c>
      <c r="D726" s="29">
        <f t="shared" si="181"/>
        <v>0</v>
      </c>
      <c r="E726" s="29">
        <f t="shared" si="178"/>
        <v>0</v>
      </c>
      <c r="F726" s="29">
        <f t="shared" si="182"/>
        <v>0</v>
      </c>
      <c r="G726" s="29" t="str">
        <f t="shared" si="183"/>
        <v>offensive</v>
      </c>
      <c r="H726" s="16">
        <f t="shared" si="184"/>
        <v>0</v>
      </c>
      <c r="I726" s="16">
        <f t="shared" si="185"/>
        <v>0</v>
      </c>
      <c r="J726" s="16">
        <f t="shared" si="186"/>
        <v>0</v>
      </c>
      <c r="K726" s="16">
        <f t="shared" si="187"/>
        <v>0</v>
      </c>
      <c r="L726" s="67">
        <f t="shared" si="188"/>
        <v>0</v>
      </c>
      <c r="M726" s="4">
        <f t="shared" si="189"/>
        <v>0</v>
      </c>
      <c r="N726" s="4">
        <f t="shared" si="190"/>
        <v>0</v>
      </c>
      <c r="O726" s="4">
        <f t="shared" si="191"/>
        <v>0</v>
      </c>
      <c r="P726" s="4" t="e">
        <f>VLOOKUP(AJ718,'CIR Team Info'!$C$5:$E$44,2,FALSE)</f>
        <v>#N/A</v>
      </c>
      <c r="Q726" s="4" t="e">
        <f>VLOOKUP(AJ718,'CIR Team Info'!$C$5:$E$44,3,FALSE)</f>
        <v>#N/A</v>
      </c>
      <c r="R726" s="10" t="e">
        <f>VLOOKUP(AJ718,'FRC Site Data'!$B$3:$L$42,2,FALSE)</f>
        <v>#N/A</v>
      </c>
      <c r="S726" s="10" t="e">
        <f>VLOOKUP(AJ718,'FRC Site Data'!$B$3:$L$42,3,FALSE)</f>
        <v>#N/A</v>
      </c>
      <c r="T726" s="10" t="e">
        <f>VLOOKUP(AJ718,'FRC Site Data'!$B$3:$L$42,4,FALSE)</f>
        <v>#N/A</v>
      </c>
      <c r="U726" s="10" t="e">
        <f>VLOOKUP(AJ718,'FRC Site Data'!$B$3:$L$42,5,FALSE)</f>
        <v>#N/A</v>
      </c>
      <c r="V726" s="10" t="e">
        <f>VLOOKUP(AJ718,'FRC Site Data'!$B$3:$L$42,6,FALSE)</f>
        <v>#N/A</v>
      </c>
      <c r="W726" s="10" t="e">
        <f>VLOOKUP(AJ718,'FRC Site Data'!$B$3:$L$42,8,FALSE)</f>
        <v>#N/A</v>
      </c>
      <c r="X726" s="10" t="e">
        <f>VLOOKUP(AJ718,'FRC Site Data'!$B$3:$L$42,9,FALSE)</f>
        <v>#N/A</v>
      </c>
      <c r="Y726" s="10" t="e">
        <f>VLOOKUP(AJ718,'FRC Site Data'!$B$3:$L$42,10,FALSE)</f>
        <v>#N/A</v>
      </c>
      <c r="Z726" s="10" t="e">
        <f>VLOOKUP(AJ718,'FRC Site Data'!$B$3:$L$42,11,FALSE)</f>
        <v>#N/A</v>
      </c>
      <c r="AA726" s="10" t="e">
        <f>VLOOKUP(AJ718,'CIR Team Info'!$C$5:$E$44,4,FALSE)</f>
        <v>#N/A</v>
      </c>
      <c r="AB726" s="161" t="b">
        <f>ISNUMBER(VLOOKUP(AJ718,Match!$T$5:$T$10,1,FALSE))</f>
        <v>0</v>
      </c>
      <c r="AC726" s="161" t="b">
        <f>IF(AB726=TRUE,(VLOOKUP($AJ718,Match!$T$5:$U$10,2,FALSE)))</f>
        <v>0</v>
      </c>
      <c r="AD726" s="8">
        <v>3</v>
      </c>
      <c r="AE726" s="8">
        <v>2</v>
      </c>
      <c r="AF726" s="8">
        <v>2</v>
      </c>
      <c r="AG726" s="8">
        <v>1</v>
      </c>
      <c r="AH726" s="8" t="str">
        <f t="shared" si="177"/>
        <v/>
      </c>
    </row>
    <row r="727" spans="1:34" x14ac:dyDescent="0.25">
      <c r="A727" s="29">
        <f t="shared" si="192"/>
        <v>0</v>
      </c>
      <c r="B727" s="29">
        <f t="shared" si="179"/>
        <v>0</v>
      </c>
      <c r="C727" s="29">
        <f t="shared" si="180"/>
        <v>0</v>
      </c>
      <c r="D727" s="29">
        <f t="shared" si="181"/>
        <v>0</v>
      </c>
      <c r="E727" s="29">
        <f t="shared" si="178"/>
        <v>0</v>
      </c>
      <c r="F727" s="29">
        <f t="shared" si="182"/>
        <v>0</v>
      </c>
      <c r="G727" s="29" t="str">
        <f t="shared" si="183"/>
        <v>offensive</v>
      </c>
      <c r="H727" s="16">
        <f t="shared" si="184"/>
        <v>0</v>
      </c>
      <c r="I727" s="16">
        <f t="shared" si="185"/>
        <v>0</v>
      </c>
      <c r="J727" s="16">
        <f t="shared" si="186"/>
        <v>0</v>
      </c>
      <c r="K727" s="16">
        <f t="shared" si="187"/>
        <v>0</v>
      </c>
      <c r="L727" s="67">
        <f t="shared" si="188"/>
        <v>0</v>
      </c>
      <c r="M727" s="4">
        <f t="shared" si="189"/>
        <v>0</v>
      </c>
      <c r="N727" s="4">
        <f t="shared" si="190"/>
        <v>0</v>
      </c>
      <c r="O727" s="4">
        <f t="shared" si="191"/>
        <v>0</v>
      </c>
      <c r="P727" s="4" t="e">
        <f>VLOOKUP(AJ719,'CIR Team Info'!$C$5:$E$44,2,FALSE)</f>
        <v>#N/A</v>
      </c>
      <c r="Q727" s="4" t="e">
        <f>VLOOKUP(AJ719,'CIR Team Info'!$C$5:$E$44,3,FALSE)</f>
        <v>#N/A</v>
      </c>
      <c r="R727" s="10" t="e">
        <f>VLOOKUP(AJ719,'FRC Site Data'!$B$3:$L$42,2,FALSE)</f>
        <v>#N/A</v>
      </c>
      <c r="S727" s="10" t="e">
        <f>VLOOKUP(AJ719,'FRC Site Data'!$B$3:$L$42,3,FALSE)</f>
        <v>#N/A</v>
      </c>
      <c r="T727" s="10" t="e">
        <f>VLOOKUP(AJ719,'FRC Site Data'!$B$3:$L$42,4,FALSE)</f>
        <v>#N/A</v>
      </c>
      <c r="U727" s="10" t="e">
        <f>VLOOKUP(AJ719,'FRC Site Data'!$B$3:$L$42,5,FALSE)</f>
        <v>#N/A</v>
      </c>
      <c r="V727" s="10" t="e">
        <f>VLOOKUP(AJ719,'FRC Site Data'!$B$3:$L$42,6,FALSE)</f>
        <v>#N/A</v>
      </c>
      <c r="W727" s="10" t="e">
        <f>VLOOKUP(AJ719,'FRC Site Data'!$B$3:$L$42,8,FALSE)</f>
        <v>#N/A</v>
      </c>
      <c r="X727" s="10" t="e">
        <f>VLOOKUP(AJ719,'FRC Site Data'!$B$3:$L$42,9,FALSE)</f>
        <v>#N/A</v>
      </c>
      <c r="Y727" s="10" t="e">
        <f>VLOOKUP(AJ719,'FRC Site Data'!$B$3:$L$42,10,FALSE)</f>
        <v>#N/A</v>
      </c>
      <c r="Z727" s="10" t="e">
        <f>VLOOKUP(AJ719,'FRC Site Data'!$B$3:$L$42,11,FALSE)</f>
        <v>#N/A</v>
      </c>
      <c r="AA727" s="10" t="e">
        <f>VLOOKUP(AJ719,'CIR Team Info'!$C$5:$E$44,4,FALSE)</f>
        <v>#N/A</v>
      </c>
      <c r="AB727" s="161" t="b">
        <f>ISNUMBER(VLOOKUP(AJ719,Match!$T$5:$T$10,1,FALSE))</f>
        <v>0</v>
      </c>
      <c r="AC727" s="161" t="b">
        <f>IF(AB727=TRUE,(VLOOKUP($AJ719,Match!$T$5:$U$10,2,FALSE)))</f>
        <v>0</v>
      </c>
      <c r="AD727" s="8">
        <v>3</v>
      </c>
      <c r="AE727" s="8">
        <v>2</v>
      </c>
      <c r="AF727" s="8">
        <v>2</v>
      </c>
      <c r="AG727" s="8">
        <v>1</v>
      </c>
      <c r="AH727" s="8" t="str">
        <f t="shared" si="177"/>
        <v/>
      </c>
    </row>
    <row r="728" spans="1:34" x14ac:dyDescent="0.25">
      <c r="A728" s="29">
        <f t="shared" si="192"/>
        <v>0</v>
      </c>
      <c r="B728" s="29">
        <f t="shared" si="179"/>
        <v>0</v>
      </c>
      <c r="C728" s="29">
        <f t="shared" si="180"/>
        <v>0</v>
      </c>
      <c r="D728" s="29">
        <f t="shared" si="181"/>
        <v>0</v>
      </c>
      <c r="E728" s="29">
        <f t="shared" si="178"/>
        <v>0</v>
      </c>
      <c r="F728" s="29">
        <f t="shared" si="182"/>
        <v>0</v>
      </c>
      <c r="G728" s="29" t="str">
        <f t="shared" si="183"/>
        <v>offensive</v>
      </c>
      <c r="H728" s="16">
        <f t="shared" si="184"/>
        <v>0</v>
      </c>
      <c r="I728" s="16">
        <f t="shared" si="185"/>
        <v>0</v>
      </c>
      <c r="J728" s="16">
        <f t="shared" si="186"/>
        <v>0</v>
      </c>
      <c r="K728" s="16">
        <f t="shared" si="187"/>
        <v>0</v>
      </c>
      <c r="L728" s="67">
        <f t="shared" si="188"/>
        <v>0</v>
      </c>
      <c r="M728" s="4">
        <f t="shared" si="189"/>
        <v>0</v>
      </c>
      <c r="N728" s="4">
        <f t="shared" si="190"/>
        <v>0</v>
      </c>
      <c r="O728" s="4">
        <f t="shared" si="191"/>
        <v>0</v>
      </c>
      <c r="P728" s="4" t="e">
        <f>VLOOKUP(AJ720,'CIR Team Info'!$C$5:$E$44,2,FALSE)</f>
        <v>#N/A</v>
      </c>
      <c r="Q728" s="4" t="e">
        <f>VLOOKUP(AJ720,'CIR Team Info'!$C$5:$E$44,3,FALSE)</f>
        <v>#N/A</v>
      </c>
      <c r="R728" s="10" t="e">
        <f>VLOOKUP(AJ720,'FRC Site Data'!$B$3:$L$42,2,FALSE)</f>
        <v>#N/A</v>
      </c>
      <c r="S728" s="10" t="e">
        <f>VLOOKUP(AJ720,'FRC Site Data'!$B$3:$L$42,3,FALSE)</f>
        <v>#N/A</v>
      </c>
      <c r="T728" s="10" t="e">
        <f>VLOOKUP(AJ720,'FRC Site Data'!$B$3:$L$42,4,FALSE)</f>
        <v>#N/A</v>
      </c>
      <c r="U728" s="10" t="e">
        <f>VLOOKUP(AJ720,'FRC Site Data'!$B$3:$L$42,5,FALSE)</f>
        <v>#N/A</v>
      </c>
      <c r="V728" s="10" t="e">
        <f>VLOOKUP(AJ720,'FRC Site Data'!$B$3:$L$42,6,FALSE)</f>
        <v>#N/A</v>
      </c>
      <c r="W728" s="10" t="e">
        <f>VLOOKUP(AJ720,'FRC Site Data'!$B$3:$L$42,8,FALSE)</f>
        <v>#N/A</v>
      </c>
      <c r="X728" s="10" t="e">
        <f>VLOOKUP(AJ720,'FRC Site Data'!$B$3:$L$42,9,FALSE)</f>
        <v>#N/A</v>
      </c>
      <c r="Y728" s="10" t="e">
        <f>VLOOKUP(AJ720,'FRC Site Data'!$B$3:$L$42,10,FALSE)</f>
        <v>#N/A</v>
      </c>
      <c r="Z728" s="10" t="e">
        <f>VLOOKUP(AJ720,'FRC Site Data'!$B$3:$L$42,11,FALSE)</f>
        <v>#N/A</v>
      </c>
      <c r="AA728" s="10" t="e">
        <f>VLOOKUP(AJ720,'CIR Team Info'!$C$5:$E$44,4,FALSE)</f>
        <v>#N/A</v>
      </c>
      <c r="AB728" s="161" t="b">
        <f>ISNUMBER(VLOOKUP(AJ720,Match!$T$5:$T$10,1,FALSE))</f>
        <v>0</v>
      </c>
      <c r="AC728" s="161" t="b">
        <f>IF(AB728=TRUE,(VLOOKUP($AJ720,Match!$T$5:$U$10,2,FALSE)))</f>
        <v>0</v>
      </c>
      <c r="AD728" s="8">
        <v>3</v>
      </c>
      <c r="AE728" s="8">
        <v>2</v>
      </c>
      <c r="AF728" s="8">
        <v>2</v>
      </c>
      <c r="AG728" s="8">
        <v>1</v>
      </c>
      <c r="AH728" s="8" t="str">
        <f t="shared" si="177"/>
        <v/>
      </c>
    </row>
    <row r="729" spans="1:34" x14ac:dyDescent="0.25">
      <c r="A729" s="29">
        <f t="shared" si="192"/>
        <v>0</v>
      </c>
      <c r="B729" s="29">
        <f t="shared" si="179"/>
        <v>0</v>
      </c>
      <c r="C729" s="29">
        <f t="shared" si="180"/>
        <v>0</v>
      </c>
      <c r="D729" s="29">
        <f t="shared" si="181"/>
        <v>0</v>
      </c>
      <c r="E729" s="29">
        <f t="shared" si="178"/>
        <v>0</v>
      </c>
      <c r="F729" s="29">
        <f t="shared" si="182"/>
        <v>0</v>
      </c>
      <c r="G729" s="29" t="str">
        <f t="shared" si="183"/>
        <v>offensive</v>
      </c>
      <c r="H729" s="16">
        <f t="shared" si="184"/>
        <v>0</v>
      </c>
      <c r="I729" s="16">
        <f t="shared" si="185"/>
        <v>0</v>
      </c>
      <c r="J729" s="16">
        <f t="shared" si="186"/>
        <v>0</v>
      </c>
      <c r="K729" s="16">
        <f t="shared" si="187"/>
        <v>0</v>
      </c>
      <c r="L729" s="67">
        <f t="shared" si="188"/>
        <v>0</v>
      </c>
      <c r="M729" s="4">
        <f t="shared" si="189"/>
        <v>0</v>
      </c>
      <c r="N729" s="4">
        <f t="shared" si="190"/>
        <v>0</v>
      </c>
      <c r="O729" s="4">
        <f t="shared" si="191"/>
        <v>0</v>
      </c>
      <c r="P729" s="4" t="e">
        <f>VLOOKUP(AJ721,'CIR Team Info'!$C$5:$E$44,2,FALSE)</f>
        <v>#N/A</v>
      </c>
      <c r="Q729" s="4" t="e">
        <f>VLOOKUP(AJ721,'CIR Team Info'!$C$5:$E$44,3,FALSE)</f>
        <v>#N/A</v>
      </c>
      <c r="R729" s="10" t="e">
        <f>VLOOKUP(AJ721,'FRC Site Data'!$B$3:$L$42,2,FALSE)</f>
        <v>#N/A</v>
      </c>
      <c r="S729" s="10" t="e">
        <f>VLOOKUP(AJ721,'FRC Site Data'!$B$3:$L$42,3,FALSE)</f>
        <v>#N/A</v>
      </c>
      <c r="T729" s="10" t="e">
        <f>VLOOKUP(AJ721,'FRC Site Data'!$B$3:$L$42,4,FALSE)</f>
        <v>#N/A</v>
      </c>
      <c r="U729" s="10" t="e">
        <f>VLOOKUP(AJ721,'FRC Site Data'!$B$3:$L$42,5,FALSE)</f>
        <v>#N/A</v>
      </c>
      <c r="V729" s="10" t="e">
        <f>VLOOKUP(AJ721,'FRC Site Data'!$B$3:$L$42,6,FALSE)</f>
        <v>#N/A</v>
      </c>
      <c r="W729" s="10" t="e">
        <f>VLOOKUP(AJ721,'FRC Site Data'!$B$3:$L$42,8,FALSE)</f>
        <v>#N/A</v>
      </c>
      <c r="X729" s="10" t="e">
        <f>VLOOKUP(AJ721,'FRC Site Data'!$B$3:$L$42,9,FALSE)</f>
        <v>#N/A</v>
      </c>
      <c r="Y729" s="10" t="e">
        <f>VLOOKUP(AJ721,'FRC Site Data'!$B$3:$L$42,10,FALSE)</f>
        <v>#N/A</v>
      </c>
      <c r="Z729" s="10" t="e">
        <f>VLOOKUP(AJ721,'FRC Site Data'!$B$3:$L$42,11,FALSE)</f>
        <v>#N/A</v>
      </c>
      <c r="AA729" s="10" t="e">
        <f>VLOOKUP(AJ721,'CIR Team Info'!$C$5:$E$44,4,FALSE)</f>
        <v>#N/A</v>
      </c>
      <c r="AB729" s="161" t="b">
        <f>ISNUMBER(VLOOKUP(AJ721,Match!$T$5:$T$10,1,FALSE))</f>
        <v>0</v>
      </c>
      <c r="AC729" s="161" t="b">
        <f>IF(AB729=TRUE,(VLOOKUP($AJ721,Match!$T$5:$U$10,2,FALSE)))</f>
        <v>0</v>
      </c>
      <c r="AD729" s="8">
        <v>3</v>
      </c>
      <c r="AE729" s="8">
        <v>2</v>
      </c>
      <c r="AF729" s="8">
        <v>2</v>
      </c>
      <c r="AG729" s="8">
        <v>1</v>
      </c>
      <c r="AH729" s="8" t="str">
        <f t="shared" si="177"/>
        <v/>
      </c>
    </row>
    <row r="730" spans="1:34" x14ac:dyDescent="0.25">
      <c r="A730" s="29">
        <f t="shared" si="192"/>
        <v>0</v>
      </c>
      <c r="B730" s="29">
        <f t="shared" si="179"/>
        <v>0</v>
      </c>
      <c r="C730" s="29">
        <f t="shared" si="180"/>
        <v>0</v>
      </c>
      <c r="D730" s="29">
        <f t="shared" si="181"/>
        <v>0</v>
      </c>
      <c r="E730" s="29">
        <f t="shared" si="178"/>
        <v>0</v>
      </c>
      <c r="F730" s="29">
        <f t="shared" si="182"/>
        <v>0</v>
      </c>
      <c r="G730" s="29" t="str">
        <f t="shared" si="183"/>
        <v>offensive</v>
      </c>
      <c r="H730" s="16">
        <f t="shared" si="184"/>
        <v>0</v>
      </c>
      <c r="I730" s="16">
        <f t="shared" si="185"/>
        <v>0</v>
      </c>
      <c r="J730" s="16">
        <f t="shared" si="186"/>
        <v>0</v>
      </c>
      <c r="K730" s="16">
        <f t="shared" si="187"/>
        <v>0</v>
      </c>
      <c r="L730" s="67">
        <f t="shared" si="188"/>
        <v>0</v>
      </c>
      <c r="M730" s="4">
        <f t="shared" si="189"/>
        <v>0</v>
      </c>
      <c r="N730" s="4">
        <f t="shared" si="190"/>
        <v>0</v>
      </c>
      <c r="O730" s="4">
        <f t="shared" si="191"/>
        <v>0</v>
      </c>
      <c r="P730" s="4" t="e">
        <f>VLOOKUP(AJ722,'CIR Team Info'!$C$5:$E$44,2,FALSE)</f>
        <v>#N/A</v>
      </c>
      <c r="Q730" s="4" t="e">
        <f>VLOOKUP(AJ722,'CIR Team Info'!$C$5:$E$44,3,FALSE)</f>
        <v>#N/A</v>
      </c>
      <c r="R730" s="10" t="e">
        <f>VLOOKUP(AJ722,'FRC Site Data'!$B$3:$L$42,2,FALSE)</f>
        <v>#N/A</v>
      </c>
      <c r="S730" s="10" t="e">
        <f>VLOOKUP(AJ722,'FRC Site Data'!$B$3:$L$42,3,FALSE)</f>
        <v>#N/A</v>
      </c>
      <c r="T730" s="10" t="e">
        <f>VLOOKUP(AJ722,'FRC Site Data'!$B$3:$L$42,4,FALSE)</f>
        <v>#N/A</v>
      </c>
      <c r="U730" s="10" t="e">
        <f>VLOOKUP(AJ722,'FRC Site Data'!$B$3:$L$42,5,FALSE)</f>
        <v>#N/A</v>
      </c>
      <c r="V730" s="10" t="e">
        <f>VLOOKUP(AJ722,'FRC Site Data'!$B$3:$L$42,6,FALSE)</f>
        <v>#N/A</v>
      </c>
      <c r="W730" s="10" t="e">
        <f>VLOOKUP(AJ722,'FRC Site Data'!$B$3:$L$42,8,FALSE)</f>
        <v>#N/A</v>
      </c>
      <c r="X730" s="10" t="e">
        <f>VLOOKUP(AJ722,'FRC Site Data'!$B$3:$L$42,9,FALSE)</f>
        <v>#N/A</v>
      </c>
      <c r="Y730" s="10" t="e">
        <f>VLOOKUP(AJ722,'FRC Site Data'!$B$3:$L$42,10,FALSE)</f>
        <v>#N/A</v>
      </c>
      <c r="Z730" s="10" t="e">
        <f>VLOOKUP(AJ722,'FRC Site Data'!$B$3:$L$42,11,FALSE)</f>
        <v>#N/A</v>
      </c>
      <c r="AA730" s="10" t="e">
        <f>VLOOKUP(AJ722,'CIR Team Info'!$C$5:$E$44,4,FALSE)</f>
        <v>#N/A</v>
      </c>
      <c r="AB730" s="161" t="b">
        <f>ISNUMBER(VLOOKUP(AJ722,Match!$T$5:$T$10,1,FALSE))</f>
        <v>0</v>
      </c>
      <c r="AC730" s="161" t="b">
        <f>IF(AB730=TRUE,(VLOOKUP($AJ722,Match!$T$5:$U$10,2,FALSE)))</f>
        <v>0</v>
      </c>
      <c r="AD730" s="8">
        <v>3</v>
      </c>
      <c r="AE730" s="8">
        <v>2</v>
      </c>
      <c r="AF730" s="8">
        <v>2</v>
      </c>
      <c r="AG730" s="8">
        <v>1</v>
      </c>
      <c r="AH730" s="8" t="str">
        <f t="shared" si="177"/>
        <v/>
      </c>
    </row>
    <row r="731" spans="1:34" x14ac:dyDescent="0.25">
      <c r="A731" s="29">
        <f t="shared" si="192"/>
        <v>0</v>
      </c>
      <c r="B731" s="29">
        <f t="shared" si="179"/>
        <v>0</v>
      </c>
      <c r="C731" s="29">
        <f t="shared" si="180"/>
        <v>0</v>
      </c>
      <c r="D731" s="29">
        <f t="shared" si="181"/>
        <v>0</v>
      </c>
      <c r="E731" s="29">
        <f t="shared" si="178"/>
        <v>0</v>
      </c>
      <c r="F731" s="29">
        <f t="shared" si="182"/>
        <v>0</v>
      </c>
      <c r="G731" s="29" t="str">
        <f t="shared" si="183"/>
        <v>offensive</v>
      </c>
      <c r="H731" s="16">
        <f t="shared" si="184"/>
        <v>0</v>
      </c>
      <c r="I731" s="16">
        <f t="shared" si="185"/>
        <v>0</v>
      </c>
      <c r="J731" s="16">
        <f t="shared" si="186"/>
        <v>0</v>
      </c>
      <c r="K731" s="16">
        <f t="shared" si="187"/>
        <v>0</v>
      </c>
      <c r="L731" s="67">
        <f t="shared" si="188"/>
        <v>0</v>
      </c>
      <c r="M731" s="4">
        <f t="shared" si="189"/>
        <v>0</v>
      </c>
      <c r="N731" s="4">
        <f t="shared" si="190"/>
        <v>0</v>
      </c>
      <c r="O731" s="4">
        <f t="shared" si="191"/>
        <v>0</v>
      </c>
      <c r="P731" s="4" t="e">
        <f>VLOOKUP(AJ723,'CIR Team Info'!$C$5:$E$44,2,FALSE)</f>
        <v>#N/A</v>
      </c>
      <c r="Q731" s="4" t="e">
        <f>VLOOKUP(AJ723,'CIR Team Info'!$C$5:$E$44,3,FALSE)</f>
        <v>#N/A</v>
      </c>
      <c r="R731" s="10" t="e">
        <f>VLOOKUP(AJ723,'FRC Site Data'!$B$3:$L$42,2,FALSE)</f>
        <v>#N/A</v>
      </c>
      <c r="S731" s="10" t="e">
        <f>VLOOKUP(AJ723,'FRC Site Data'!$B$3:$L$42,3,FALSE)</f>
        <v>#N/A</v>
      </c>
      <c r="T731" s="10" t="e">
        <f>VLOOKUP(AJ723,'FRC Site Data'!$B$3:$L$42,4,FALSE)</f>
        <v>#N/A</v>
      </c>
      <c r="U731" s="10" t="e">
        <f>VLOOKUP(AJ723,'FRC Site Data'!$B$3:$L$42,5,FALSE)</f>
        <v>#N/A</v>
      </c>
      <c r="V731" s="10" t="e">
        <f>VLOOKUP(AJ723,'FRC Site Data'!$B$3:$L$42,6,FALSE)</f>
        <v>#N/A</v>
      </c>
      <c r="W731" s="10" t="e">
        <f>VLOOKUP(AJ723,'FRC Site Data'!$B$3:$L$42,8,FALSE)</f>
        <v>#N/A</v>
      </c>
      <c r="X731" s="10" t="e">
        <f>VLOOKUP(AJ723,'FRC Site Data'!$B$3:$L$42,9,FALSE)</f>
        <v>#N/A</v>
      </c>
      <c r="Y731" s="10" t="e">
        <f>VLOOKUP(AJ723,'FRC Site Data'!$B$3:$L$42,10,FALSE)</f>
        <v>#N/A</v>
      </c>
      <c r="Z731" s="10" t="e">
        <f>VLOOKUP(AJ723,'FRC Site Data'!$B$3:$L$42,11,FALSE)</f>
        <v>#N/A</v>
      </c>
      <c r="AA731" s="10" t="e">
        <f>VLOOKUP(AJ723,'CIR Team Info'!$C$5:$E$44,4,FALSE)</f>
        <v>#N/A</v>
      </c>
      <c r="AB731" s="161" t="b">
        <f>ISNUMBER(VLOOKUP(AJ723,Match!$T$5:$T$10,1,FALSE))</f>
        <v>0</v>
      </c>
      <c r="AC731" s="161" t="b">
        <f>IF(AB731=TRUE,(VLOOKUP($AJ723,Match!$T$5:$U$10,2,FALSE)))</f>
        <v>0</v>
      </c>
      <c r="AD731" s="8">
        <v>3</v>
      </c>
      <c r="AE731" s="8">
        <v>2</v>
      </c>
      <c r="AF731" s="8">
        <v>2</v>
      </c>
      <c r="AG731" s="8">
        <v>1</v>
      </c>
      <c r="AH731" s="8" t="str">
        <f t="shared" ref="AH731:AH794" si="193">IF(AL723="Other","x","")</f>
        <v/>
      </c>
    </row>
    <row r="732" spans="1:34" x14ac:dyDescent="0.25">
      <c r="A732" s="29">
        <f t="shared" si="192"/>
        <v>0</v>
      </c>
      <c r="B732" s="29">
        <f t="shared" si="179"/>
        <v>0</v>
      </c>
      <c r="C732" s="29">
        <f t="shared" si="180"/>
        <v>0</v>
      </c>
      <c r="D732" s="29">
        <f t="shared" si="181"/>
        <v>0</v>
      </c>
      <c r="E732" s="29">
        <f t="shared" si="178"/>
        <v>0</v>
      </c>
      <c r="F732" s="29">
        <f t="shared" si="182"/>
        <v>0</v>
      </c>
      <c r="G732" s="29" t="str">
        <f t="shared" si="183"/>
        <v>offensive</v>
      </c>
      <c r="H732" s="16">
        <f t="shared" si="184"/>
        <v>0</v>
      </c>
      <c r="I732" s="16">
        <f t="shared" si="185"/>
        <v>0</v>
      </c>
      <c r="J732" s="16">
        <f t="shared" si="186"/>
        <v>0</v>
      </c>
      <c r="K732" s="16">
        <f t="shared" si="187"/>
        <v>0</v>
      </c>
      <c r="L732" s="67">
        <f t="shared" si="188"/>
        <v>0</v>
      </c>
      <c r="M732" s="4">
        <f t="shared" si="189"/>
        <v>0</v>
      </c>
      <c r="N732" s="4">
        <f t="shared" si="190"/>
        <v>0</v>
      </c>
      <c r="O732" s="4">
        <f t="shared" si="191"/>
        <v>0</v>
      </c>
      <c r="P732" s="4" t="e">
        <f>VLOOKUP(AJ724,'CIR Team Info'!$C$5:$E$44,2,FALSE)</f>
        <v>#N/A</v>
      </c>
      <c r="Q732" s="4" t="e">
        <f>VLOOKUP(AJ724,'CIR Team Info'!$C$5:$E$44,3,FALSE)</f>
        <v>#N/A</v>
      </c>
      <c r="R732" s="10" t="e">
        <f>VLOOKUP(AJ724,'FRC Site Data'!$B$3:$L$42,2,FALSE)</f>
        <v>#N/A</v>
      </c>
      <c r="S732" s="10" t="e">
        <f>VLOOKUP(AJ724,'FRC Site Data'!$B$3:$L$42,3,FALSE)</f>
        <v>#N/A</v>
      </c>
      <c r="T732" s="10" t="e">
        <f>VLOOKUP(AJ724,'FRC Site Data'!$B$3:$L$42,4,FALSE)</f>
        <v>#N/A</v>
      </c>
      <c r="U732" s="10" t="e">
        <f>VLOOKUP(AJ724,'FRC Site Data'!$B$3:$L$42,5,FALSE)</f>
        <v>#N/A</v>
      </c>
      <c r="V732" s="10" t="e">
        <f>VLOOKUP(AJ724,'FRC Site Data'!$B$3:$L$42,6,FALSE)</f>
        <v>#N/A</v>
      </c>
      <c r="W732" s="10" t="e">
        <f>VLOOKUP(AJ724,'FRC Site Data'!$B$3:$L$42,8,FALSE)</f>
        <v>#N/A</v>
      </c>
      <c r="X732" s="10" t="e">
        <f>VLOOKUP(AJ724,'FRC Site Data'!$B$3:$L$42,9,FALSE)</f>
        <v>#N/A</v>
      </c>
      <c r="Y732" s="10" t="e">
        <f>VLOOKUP(AJ724,'FRC Site Data'!$B$3:$L$42,10,FALSE)</f>
        <v>#N/A</v>
      </c>
      <c r="Z732" s="10" t="e">
        <f>VLOOKUP(AJ724,'FRC Site Data'!$B$3:$L$42,11,FALSE)</f>
        <v>#N/A</v>
      </c>
      <c r="AA732" s="10" t="e">
        <f>VLOOKUP(AJ724,'CIR Team Info'!$C$5:$E$44,4,FALSE)</f>
        <v>#N/A</v>
      </c>
      <c r="AB732" s="161" t="b">
        <f>ISNUMBER(VLOOKUP(AJ724,Match!$T$5:$T$10,1,FALSE))</f>
        <v>0</v>
      </c>
      <c r="AC732" s="161" t="b">
        <f>IF(AB732=TRUE,(VLOOKUP($AJ724,Match!$T$5:$U$10,2,FALSE)))</f>
        <v>0</v>
      </c>
      <c r="AD732" s="8">
        <v>3</v>
      </c>
      <c r="AE732" s="8">
        <v>2</v>
      </c>
      <c r="AF732" s="8">
        <v>2</v>
      </c>
      <c r="AG732" s="8">
        <v>1</v>
      </c>
      <c r="AH732" s="8" t="str">
        <f t="shared" si="193"/>
        <v/>
      </c>
    </row>
    <row r="733" spans="1:34" x14ac:dyDescent="0.25">
      <c r="A733" s="29">
        <f t="shared" si="192"/>
        <v>0</v>
      </c>
      <c r="B733" s="29">
        <f t="shared" si="179"/>
        <v>0</v>
      </c>
      <c r="C733" s="29">
        <f t="shared" si="180"/>
        <v>0</v>
      </c>
      <c r="D733" s="29">
        <f t="shared" si="181"/>
        <v>0</v>
      </c>
      <c r="E733" s="29">
        <f t="shared" si="178"/>
        <v>0</v>
      </c>
      <c r="F733" s="29">
        <f t="shared" si="182"/>
        <v>0</v>
      </c>
      <c r="G733" s="29" t="str">
        <f t="shared" si="183"/>
        <v>offensive</v>
      </c>
      <c r="H733" s="16">
        <f t="shared" si="184"/>
        <v>0</v>
      </c>
      <c r="I733" s="16">
        <f t="shared" si="185"/>
        <v>0</v>
      </c>
      <c r="J733" s="16">
        <f t="shared" si="186"/>
        <v>0</v>
      </c>
      <c r="K733" s="16">
        <f t="shared" si="187"/>
        <v>0</v>
      </c>
      <c r="L733" s="67">
        <f t="shared" si="188"/>
        <v>0</v>
      </c>
      <c r="M733" s="4">
        <f t="shared" si="189"/>
        <v>0</v>
      </c>
      <c r="N733" s="4">
        <f t="shared" si="190"/>
        <v>0</v>
      </c>
      <c r="O733" s="4">
        <f t="shared" si="191"/>
        <v>0</v>
      </c>
      <c r="P733" s="4" t="e">
        <f>VLOOKUP(AJ725,'CIR Team Info'!$C$5:$E$44,2,FALSE)</f>
        <v>#N/A</v>
      </c>
      <c r="Q733" s="4" t="e">
        <f>VLOOKUP(AJ725,'CIR Team Info'!$C$5:$E$44,3,FALSE)</f>
        <v>#N/A</v>
      </c>
      <c r="R733" s="10" t="e">
        <f>VLOOKUP(AJ725,'FRC Site Data'!$B$3:$L$42,2,FALSE)</f>
        <v>#N/A</v>
      </c>
      <c r="S733" s="10" t="e">
        <f>VLOOKUP(AJ725,'FRC Site Data'!$B$3:$L$42,3,FALSE)</f>
        <v>#N/A</v>
      </c>
      <c r="T733" s="10" t="e">
        <f>VLOOKUP(AJ725,'FRC Site Data'!$B$3:$L$42,4,FALSE)</f>
        <v>#N/A</v>
      </c>
      <c r="U733" s="10" t="e">
        <f>VLOOKUP(AJ725,'FRC Site Data'!$B$3:$L$42,5,FALSE)</f>
        <v>#N/A</v>
      </c>
      <c r="V733" s="10" t="e">
        <f>VLOOKUP(AJ725,'FRC Site Data'!$B$3:$L$42,6,FALSE)</f>
        <v>#N/A</v>
      </c>
      <c r="W733" s="10" t="e">
        <f>VLOOKUP(AJ725,'FRC Site Data'!$B$3:$L$42,8,FALSE)</f>
        <v>#N/A</v>
      </c>
      <c r="X733" s="10" t="e">
        <f>VLOOKUP(AJ725,'FRC Site Data'!$B$3:$L$42,9,FALSE)</f>
        <v>#N/A</v>
      </c>
      <c r="Y733" s="10" t="e">
        <f>VLOOKUP(AJ725,'FRC Site Data'!$B$3:$L$42,10,FALSE)</f>
        <v>#N/A</v>
      </c>
      <c r="Z733" s="10" t="e">
        <f>VLOOKUP(AJ725,'FRC Site Data'!$B$3:$L$42,11,FALSE)</f>
        <v>#N/A</v>
      </c>
      <c r="AA733" s="10" t="e">
        <f>VLOOKUP(AJ725,'CIR Team Info'!$C$5:$E$44,4,FALSE)</f>
        <v>#N/A</v>
      </c>
      <c r="AB733" s="161" t="b">
        <f>ISNUMBER(VLOOKUP(AJ725,Match!$T$5:$T$10,1,FALSE))</f>
        <v>0</v>
      </c>
      <c r="AC733" s="161" t="b">
        <f>IF(AB733=TRUE,(VLOOKUP($AJ725,Match!$T$5:$U$10,2,FALSE)))</f>
        <v>0</v>
      </c>
      <c r="AD733" s="8">
        <v>3</v>
      </c>
      <c r="AE733" s="8">
        <v>2</v>
      </c>
      <c r="AF733" s="8">
        <v>2</v>
      </c>
      <c r="AG733" s="8">
        <v>1</v>
      </c>
      <c r="AH733" s="8" t="str">
        <f t="shared" si="193"/>
        <v/>
      </c>
    </row>
    <row r="734" spans="1:34" x14ac:dyDescent="0.25">
      <c r="A734" s="29">
        <f t="shared" si="192"/>
        <v>0</v>
      </c>
      <c r="B734" s="29">
        <f t="shared" si="179"/>
        <v>0</v>
      </c>
      <c r="C734" s="29">
        <f t="shared" si="180"/>
        <v>0</v>
      </c>
      <c r="D734" s="29">
        <f t="shared" si="181"/>
        <v>0</v>
      </c>
      <c r="E734" s="29">
        <f t="shared" si="178"/>
        <v>0</v>
      </c>
      <c r="F734" s="29">
        <f t="shared" si="182"/>
        <v>0</v>
      </c>
      <c r="G734" s="29" t="str">
        <f t="shared" si="183"/>
        <v>offensive</v>
      </c>
      <c r="H734" s="16">
        <f t="shared" si="184"/>
        <v>0</v>
      </c>
      <c r="I734" s="16">
        <f t="shared" si="185"/>
        <v>0</v>
      </c>
      <c r="J734" s="16">
        <f t="shared" si="186"/>
        <v>0</v>
      </c>
      <c r="K734" s="16">
        <f t="shared" si="187"/>
        <v>0</v>
      </c>
      <c r="L734" s="67">
        <f t="shared" si="188"/>
        <v>0</v>
      </c>
      <c r="M734" s="4">
        <f t="shared" si="189"/>
        <v>0</v>
      </c>
      <c r="N734" s="4">
        <f t="shared" si="190"/>
        <v>0</v>
      </c>
      <c r="O734" s="4">
        <f t="shared" si="191"/>
        <v>0</v>
      </c>
      <c r="P734" s="4" t="e">
        <f>VLOOKUP(AJ726,'CIR Team Info'!$C$5:$E$44,2,FALSE)</f>
        <v>#N/A</v>
      </c>
      <c r="Q734" s="4" t="e">
        <f>VLOOKUP(AJ726,'CIR Team Info'!$C$5:$E$44,3,FALSE)</f>
        <v>#N/A</v>
      </c>
      <c r="R734" s="10" t="e">
        <f>VLOOKUP(AJ726,'FRC Site Data'!$B$3:$L$42,2,FALSE)</f>
        <v>#N/A</v>
      </c>
      <c r="S734" s="10" t="e">
        <f>VLOOKUP(AJ726,'FRC Site Data'!$B$3:$L$42,3,FALSE)</f>
        <v>#N/A</v>
      </c>
      <c r="T734" s="10" t="e">
        <f>VLOOKUP(AJ726,'FRC Site Data'!$B$3:$L$42,4,FALSE)</f>
        <v>#N/A</v>
      </c>
      <c r="U734" s="10" t="e">
        <f>VLOOKUP(AJ726,'FRC Site Data'!$B$3:$L$42,5,FALSE)</f>
        <v>#N/A</v>
      </c>
      <c r="V734" s="10" t="e">
        <f>VLOOKUP(AJ726,'FRC Site Data'!$B$3:$L$42,6,FALSE)</f>
        <v>#N/A</v>
      </c>
      <c r="W734" s="10" t="e">
        <f>VLOOKUP(AJ726,'FRC Site Data'!$B$3:$L$42,8,FALSE)</f>
        <v>#N/A</v>
      </c>
      <c r="X734" s="10" t="e">
        <f>VLOOKUP(AJ726,'FRC Site Data'!$B$3:$L$42,9,FALSE)</f>
        <v>#N/A</v>
      </c>
      <c r="Y734" s="10" t="e">
        <f>VLOOKUP(AJ726,'FRC Site Data'!$B$3:$L$42,10,FALSE)</f>
        <v>#N/A</v>
      </c>
      <c r="Z734" s="10" t="e">
        <f>VLOOKUP(AJ726,'FRC Site Data'!$B$3:$L$42,11,FALSE)</f>
        <v>#N/A</v>
      </c>
      <c r="AA734" s="10" t="e">
        <f>VLOOKUP(AJ726,'CIR Team Info'!$C$5:$E$44,4,FALSE)</f>
        <v>#N/A</v>
      </c>
      <c r="AB734" s="161" t="b">
        <f>ISNUMBER(VLOOKUP(AJ726,Match!$T$5:$T$10,1,FALSE))</f>
        <v>0</v>
      </c>
      <c r="AC734" s="161" t="b">
        <f>IF(AB734=TRUE,(VLOOKUP($AJ726,Match!$T$5:$U$10,2,FALSE)))</f>
        <v>0</v>
      </c>
      <c r="AD734" s="8">
        <v>3</v>
      </c>
      <c r="AE734" s="8">
        <v>2</v>
      </c>
      <c r="AF734" s="8">
        <v>2</v>
      </c>
      <c r="AG734" s="8">
        <v>1</v>
      </c>
      <c r="AH734" s="8" t="str">
        <f t="shared" si="193"/>
        <v/>
      </c>
    </row>
    <row r="735" spans="1:34" x14ac:dyDescent="0.25">
      <c r="A735" s="29">
        <f t="shared" si="192"/>
        <v>0</v>
      </c>
      <c r="B735" s="29">
        <f t="shared" si="179"/>
        <v>0</v>
      </c>
      <c r="C735" s="29">
        <f t="shared" si="180"/>
        <v>0</v>
      </c>
      <c r="D735" s="29">
        <f t="shared" si="181"/>
        <v>0</v>
      </c>
      <c r="E735" s="29">
        <f t="shared" si="178"/>
        <v>0</v>
      </c>
      <c r="F735" s="29">
        <f t="shared" si="182"/>
        <v>0</v>
      </c>
      <c r="G735" s="29" t="str">
        <f t="shared" si="183"/>
        <v>offensive</v>
      </c>
      <c r="H735" s="16">
        <f t="shared" si="184"/>
        <v>0</v>
      </c>
      <c r="I735" s="16">
        <f t="shared" si="185"/>
        <v>0</v>
      </c>
      <c r="J735" s="16">
        <f t="shared" si="186"/>
        <v>0</v>
      </c>
      <c r="K735" s="16">
        <f t="shared" si="187"/>
        <v>0</v>
      </c>
      <c r="L735" s="67">
        <f t="shared" si="188"/>
        <v>0</v>
      </c>
      <c r="M735" s="4">
        <f t="shared" si="189"/>
        <v>0</v>
      </c>
      <c r="N735" s="4">
        <f t="shared" si="190"/>
        <v>0</v>
      </c>
      <c r="O735" s="4">
        <f t="shared" si="191"/>
        <v>0</v>
      </c>
      <c r="P735" s="4" t="e">
        <f>VLOOKUP(AJ727,'CIR Team Info'!$C$5:$E$44,2,FALSE)</f>
        <v>#N/A</v>
      </c>
      <c r="Q735" s="4" t="e">
        <f>VLOOKUP(AJ727,'CIR Team Info'!$C$5:$E$44,3,FALSE)</f>
        <v>#N/A</v>
      </c>
      <c r="R735" s="10" t="e">
        <f>VLOOKUP(AJ727,'FRC Site Data'!$B$3:$L$42,2,FALSE)</f>
        <v>#N/A</v>
      </c>
      <c r="S735" s="10" t="e">
        <f>VLOOKUP(AJ727,'FRC Site Data'!$B$3:$L$42,3,FALSE)</f>
        <v>#N/A</v>
      </c>
      <c r="T735" s="10" t="e">
        <f>VLOOKUP(AJ727,'FRC Site Data'!$B$3:$L$42,4,FALSE)</f>
        <v>#N/A</v>
      </c>
      <c r="U735" s="10" t="e">
        <f>VLOOKUP(AJ727,'FRC Site Data'!$B$3:$L$42,5,FALSE)</f>
        <v>#N/A</v>
      </c>
      <c r="V735" s="10" t="e">
        <f>VLOOKUP(AJ727,'FRC Site Data'!$B$3:$L$42,6,FALSE)</f>
        <v>#N/A</v>
      </c>
      <c r="W735" s="10" t="e">
        <f>VLOOKUP(AJ727,'FRC Site Data'!$B$3:$L$42,8,FALSE)</f>
        <v>#N/A</v>
      </c>
      <c r="X735" s="10" t="e">
        <f>VLOOKUP(AJ727,'FRC Site Data'!$B$3:$L$42,9,FALSE)</f>
        <v>#N/A</v>
      </c>
      <c r="Y735" s="10" t="e">
        <f>VLOOKUP(AJ727,'FRC Site Data'!$B$3:$L$42,10,FALSE)</f>
        <v>#N/A</v>
      </c>
      <c r="Z735" s="10" t="e">
        <f>VLOOKUP(AJ727,'FRC Site Data'!$B$3:$L$42,11,FALSE)</f>
        <v>#N/A</v>
      </c>
      <c r="AA735" s="10" t="e">
        <f>VLOOKUP(AJ727,'CIR Team Info'!$C$5:$E$44,4,FALSE)</f>
        <v>#N/A</v>
      </c>
      <c r="AB735" s="161" t="b">
        <f>ISNUMBER(VLOOKUP(AJ727,Match!$T$5:$T$10,1,FALSE))</f>
        <v>0</v>
      </c>
      <c r="AC735" s="161" t="b">
        <f>IF(AB735=TRUE,(VLOOKUP($AJ727,Match!$T$5:$U$10,2,FALSE)))</f>
        <v>0</v>
      </c>
      <c r="AD735" s="8">
        <v>3</v>
      </c>
      <c r="AE735" s="8">
        <v>2</v>
      </c>
      <c r="AF735" s="8">
        <v>2</v>
      </c>
      <c r="AG735" s="8">
        <v>1</v>
      </c>
      <c r="AH735" s="8" t="str">
        <f t="shared" si="193"/>
        <v/>
      </c>
    </row>
    <row r="736" spans="1:34" x14ac:dyDescent="0.25">
      <c r="A736" s="29">
        <f t="shared" si="192"/>
        <v>0</v>
      </c>
      <c r="B736" s="29">
        <f t="shared" si="179"/>
        <v>0</v>
      </c>
      <c r="C736" s="29">
        <f t="shared" si="180"/>
        <v>0</v>
      </c>
      <c r="D736" s="29">
        <f t="shared" si="181"/>
        <v>0</v>
      </c>
      <c r="E736" s="29">
        <f t="shared" si="178"/>
        <v>0</v>
      </c>
      <c r="F736" s="29">
        <f t="shared" si="182"/>
        <v>0</v>
      </c>
      <c r="G736" s="29" t="str">
        <f t="shared" si="183"/>
        <v>offensive</v>
      </c>
      <c r="H736" s="16">
        <f t="shared" si="184"/>
        <v>0</v>
      </c>
      <c r="I736" s="16">
        <f t="shared" si="185"/>
        <v>0</v>
      </c>
      <c r="J736" s="16">
        <f t="shared" si="186"/>
        <v>0</v>
      </c>
      <c r="K736" s="16">
        <f t="shared" si="187"/>
        <v>0</v>
      </c>
      <c r="L736" s="67">
        <f t="shared" si="188"/>
        <v>0</v>
      </c>
      <c r="M736" s="4">
        <f t="shared" si="189"/>
        <v>0</v>
      </c>
      <c r="N736" s="4">
        <f t="shared" si="190"/>
        <v>0</v>
      </c>
      <c r="O736" s="4">
        <f t="shared" si="191"/>
        <v>0</v>
      </c>
      <c r="P736" s="4" t="e">
        <f>VLOOKUP(AJ728,'CIR Team Info'!$C$5:$E$44,2,FALSE)</f>
        <v>#N/A</v>
      </c>
      <c r="Q736" s="4" t="e">
        <f>VLOOKUP(AJ728,'CIR Team Info'!$C$5:$E$44,3,FALSE)</f>
        <v>#N/A</v>
      </c>
      <c r="R736" s="10" t="e">
        <f>VLOOKUP(AJ728,'FRC Site Data'!$B$3:$L$42,2,FALSE)</f>
        <v>#N/A</v>
      </c>
      <c r="S736" s="10" t="e">
        <f>VLOOKUP(AJ728,'FRC Site Data'!$B$3:$L$42,3,FALSE)</f>
        <v>#N/A</v>
      </c>
      <c r="T736" s="10" t="e">
        <f>VLOOKUP(AJ728,'FRC Site Data'!$B$3:$L$42,4,FALSE)</f>
        <v>#N/A</v>
      </c>
      <c r="U736" s="10" t="e">
        <f>VLOOKUP(AJ728,'FRC Site Data'!$B$3:$L$42,5,FALSE)</f>
        <v>#N/A</v>
      </c>
      <c r="V736" s="10" t="e">
        <f>VLOOKUP(AJ728,'FRC Site Data'!$B$3:$L$42,6,FALSE)</f>
        <v>#N/A</v>
      </c>
      <c r="W736" s="10" t="e">
        <f>VLOOKUP(AJ728,'FRC Site Data'!$B$3:$L$42,8,FALSE)</f>
        <v>#N/A</v>
      </c>
      <c r="X736" s="10" t="e">
        <f>VLOOKUP(AJ728,'FRC Site Data'!$B$3:$L$42,9,FALSE)</f>
        <v>#N/A</v>
      </c>
      <c r="Y736" s="10" t="e">
        <f>VLOOKUP(AJ728,'FRC Site Data'!$B$3:$L$42,10,FALSE)</f>
        <v>#N/A</v>
      </c>
      <c r="Z736" s="10" t="e">
        <f>VLOOKUP(AJ728,'FRC Site Data'!$B$3:$L$42,11,FALSE)</f>
        <v>#N/A</v>
      </c>
      <c r="AA736" s="10" t="e">
        <f>VLOOKUP(AJ728,'CIR Team Info'!$C$5:$E$44,4,FALSE)</f>
        <v>#N/A</v>
      </c>
      <c r="AB736" s="161" t="b">
        <f>ISNUMBER(VLOOKUP(AJ728,Match!$T$5:$T$10,1,FALSE))</f>
        <v>0</v>
      </c>
      <c r="AC736" s="161" t="b">
        <f>IF(AB736=TRUE,(VLOOKUP($AJ728,Match!$T$5:$U$10,2,FALSE)))</f>
        <v>0</v>
      </c>
      <c r="AD736" s="8">
        <v>3</v>
      </c>
      <c r="AE736" s="8">
        <v>2</v>
      </c>
      <c r="AF736" s="8">
        <v>2</v>
      </c>
      <c r="AG736" s="8">
        <v>1</v>
      </c>
      <c r="AH736" s="8" t="str">
        <f t="shared" si="193"/>
        <v/>
      </c>
    </row>
    <row r="737" spans="1:34" x14ac:dyDescent="0.25">
      <c r="A737" s="29">
        <f t="shared" si="192"/>
        <v>0</v>
      </c>
      <c r="B737" s="29">
        <f t="shared" si="179"/>
        <v>0</v>
      </c>
      <c r="C737" s="29">
        <f t="shared" si="180"/>
        <v>0</v>
      </c>
      <c r="D737" s="29">
        <f t="shared" si="181"/>
        <v>0</v>
      </c>
      <c r="E737" s="29">
        <f t="shared" si="178"/>
        <v>0</v>
      </c>
      <c r="F737" s="29">
        <f t="shared" si="182"/>
        <v>0</v>
      </c>
      <c r="G737" s="29" t="str">
        <f t="shared" si="183"/>
        <v>offensive</v>
      </c>
      <c r="H737" s="16">
        <f t="shared" si="184"/>
        <v>0</v>
      </c>
      <c r="I737" s="16">
        <f t="shared" si="185"/>
        <v>0</v>
      </c>
      <c r="J737" s="16">
        <f t="shared" si="186"/>
        <v>0</v>
      </c>
      <c r="K737" s="16">
        <f t="shared" si="187"/>
        <v>0</v>
      </c>
      <c r="L737" s="67">
        <f t="shared" si="188"/>
        <v>0</v>
      </c>
      <c r="M737" s="4">
        <f t="shared" si="189"/>
        <v>0</v>
      </c>
      <c r="N737" s="4">
        <f t="shared" si="190"/>
        <v>0</v>
      </c>
      <c r="O737" s="4">
        <f t="shared" si="191"/>
        <v>0</v>
      </c>
      <c r="P737" s="4" t="e">
        <f>VLOOKUP(AJ729,'CIR Team Info'!$C$5:$E$44,2,FALSE)</f>
        <v>#N/A</v>
      </c>
      <c r="Q737" s="4" t="e">
        <f>VLOOKUP(AJ729,'CIR Team Info'!$C$5:$E$44,3,FALSE)</f>
        <v>#N/A</v>
      </c>
      <c r="R737" s="10" t="e">
        <f>VLOOKUP(AJ729,'FRC Site Data'!$B$3:$L$42,2,FALSE)</f>
        <v>#N/A</v>
      </c>
      <c r="S737" s="10" t="e">
        <f>VLOOKUP(AJ729,'FRC Site Data'!$B$3:$L$42,3,FALSE)</f>
        <v>#N/A</v>
      </c>
      <c r="T737" s="10" t="e">
        <f>VLOOKUP(AJ729,'FRC Site Data'!$B$3:$L$42,4,FALSE)</f>
        <v>#N/A</v>
      </c>
      <c r="U737" s="10" t="e">
        <f>VLOOKUP(AJ729,'FRC Site Data'!$B$3:$L$42,5,FALSE)</f>
        <v>#N/A</v>
      </c>
      <c r="V737" s="10" t="e">
        <f>VLOOKUP(AJ729,'FRC Site Data'!$B$3:$L$42,6,FALSE)</f>
        <v>#N/A</v>
      </c>
      <c r="W737" s="10" t="e">
        <f>VLOOKUP(AJ729,'FRC Site Data'!$B$3:$L$42,8,FALSE)</f>
        <v>#N/A</v>
      </c>
      <c r="X737" s="10" t="e">
        <f>VLOOKUP(AJ729,'FRC Site Data'!$B$3:$L$42,9,FALSE)</f>
        <v>#N/A</v>
      </c>
      <c r="Y737" s="10" t="e">
        <f>VLOOKUP(AJ729,'FRC Site Data'!$B$3:$L$42,10,FALSE)</f>
        <v>#N/A</v>
      </c>
      <c r="Z737" s="10" t="e">
        <f>VLOOKUP(AJ729,'FRC Site Data'!$B$3:$L$42,11,FALSE)</f>
        <v>#N/A</v>
      </c>
      <c r="AA737" s="10" t="e">
        <f>VLOOKUP(AJ729,'CIR Team Info'!$C$5:$E$44,4,FALSE)</f>
        <v>#N/A</v>
      </c>
      <c r="AB737" s="161" t="b">
        <f>ISNUMBER(VLOOKUP(AJ729,Match!$T$5:$T$10,1,FALSE))</f>
        <v>0</v>
      </c>
      <c r="AC737" s="161" t="b">
        <f>IF(AB737=TRUE,(VLOOKUP($AJ729,Match!$T$5:$U$10,2,FALSE)))</f>
        <v>0</v>
      </c>
      <c r="AD737" s="8">
        <v>3</v>
      </c>
      <c r="AE737" s="8">
        <v>2</v>
      </c>
      <c r="AF737" s="8">
        <v>2</v>
      </c>
      <c r="AG737" s="8">
        <v>1</v>
      </c>
      <c r="AH737" s="8" t="str">
        <f t="shared" si="193"/>
        <v/>
      </c>
    </row>
    <row r="738" spans="1:34" x14ac:dyDescent="0.25">
      <c r="A738" s="29">
        <f t="shared" si="192"/>
        <v>0</v>
      </c>
      <c r="B738" s="29">
        <f t="shared" si="179"/>
        <v>0</v>
      </c>
      <c r="C738" s="29">
        <f t="shared" si="180"/>
        <v>0</v>
      </c>
      <c r="D738" s="29">
        <f t="shared" si="181"/>
        <v>0</v>
      </c>
      <c r="E738" s="29">
        <f t="shared" si="178"/>
        <v>0</v>
      </c>
      <c r="F738" s="29">
        <f t="shared" si="182"/>
        <v>0</v>
      </c>
      <c r="G738" s="29" t="str">
        <f t="shared" si="183"/>
        <v>offensive</v>
      </c>
      <c r="H738" s="16">
        <f t="shared" si="184"/>
        <v>0</v>
      </c>
      <c r="I738" s="16">
        <f t="shared" si="185"/>
        <v>0</v>
      </c>
      <c r="J738" s="16">
        <f t="shared" si="186"/>
        <v>0</v>
      </c>
      <c r="K738" s="16">
        <f t="shared" si="187"/>
        <v>0</v>
      </c>
      <c r="L738" s="67">
        <f t="shared" si="188"/>
        <v>0</v>
      </c>
      <c r="M738" s="4">
        <f t="shared" si="189"/>
        <v>0</v>
      </c>
      <c r="N738" s="4">
        <f t="shared" si="190"/>
        <v>0</v>
      </c>
      <c r="O738" s="4">
        <f t="shared" si="191"/>
        <v>0</v>
      </c>
      <c r="P738" s="4" t="e">
        <f>VLOOKUP(AJ730,'CIR Team Info'!$C$5:$E$44,2,FALSE)</f>
        <v>#N/A</v>
      </c>
      <c r="Q738" s="4" t="e">
        <f>VLOOKUP(AJ730,'CIR Team Info'!$C$5:$E$44,3,FALSE)</f>
        <v>#N/A</v>
      </c>
      <c r="R738" s="10" t="e">
        <f>VLOOKUP(AJ730,'FRC Site Data'!$B$3:$L$42,2,FALSE)</f>
        <v>#N/A</v>
      </c>
      <c r="S738" s="10" t="e">
        <f>VLOOKUP(AJ730,'FRC Site Data'!$B$3:$L$42,3,FALSE)</f>
        <v>#N/A</v>
      </c>
      <c r="T738" s="10" t="e">
        <f>VLOOKUP(AJ730,'FRC Site Data'!$B$3:$L$42,4,FALSE)</f>
        <v>#N/A</v>
      </c>
      <c r="U738" s="10" t="e">
        <f>VLOOKUP(AJ730,'FRC Site Data'!$B$3:$L$42,5,FALSE)</f>
        <v>#N/A</v>
      </c>
      <c r="V738" s="10" t="e">
        <f>VLOOKUP(AJ730,'FRC Site Data'!$B$3:$L$42,6,FALSE)</f>
        <v>#N/A</v>
      </c>
      <c r="W738" s="10" t="e">
        <f>VLOOKUP(AJ730,'FRC Site Data'!$B$3:$L$42,8,FALSE)</f>
        <v>#N/A</v>
      </c>
      <c r="X738" s="10" t="e">
        <f>VLOOKUP(AJ730,'FRC Site Data'!$B$3:$L$42,9,FALSE)</f>
        <v>#N/A</v>
      </c>
      <c r="Y738" s="10" t="e">
        <f>VLOOKUP(AJ730,'FRC Site Data'!$B$3:$L$42,10,FALSE)</f>
        <v>#N/A</v>
      </c>
      <c r="Z738" s="10" t="e">
        <f>VLOOKUP(AJ730,'FRC Site Data'!$B$3:$L$42,11,FALSE)</f>
        <v>#N/A</v>
      </c>
      <c r="AA738" s="10" t="e">
        <f>VLOOKUP(AJ730,'CIR Team Info'!$C$5:$E$44,4,FALSE)</f>
        <v>#N/A</v>
      </c>
      <c r="AB738" s="161" t="b">
        <f>ISNUMBER(VLOOKUP(AJ730,Match!$T$5:$T$10,1,FALSE))</f>
        <v>0</v>
      </c>
      <c r="AC738" s="161" t="b">
        <f>IF(AB738=TRUE,(VLOOKUP($AJ730,Match!$T$5:$U$10,2,FALSE)))</f>
        <v>0</v>
      </c>
      <c r="AD738" s="8">
        <v>3</v>
      </c>
      <c r="AE738" s="8">
        <v>2</v>
      </c>
      <c r="AF738" s="8">
        <v>2</v>
      </c>
      <c r="AG738" s="8">
        <v>1</v>
      </c>
      <c r="AH738" s="8" t="str">
        <f t="shared" si="193"/>
        <v/>
      </c>
    </row>
    <row r="739" spans="1:34" x14ac:dyDescent="0.25">
      <c r="A739" s="29">
        <f t="shared" si="192"/>
        <v>0</v>
      </c>
      <c r="B739" s="29">
        <f t="shared" si="179"/>
        <v>0</v>
      </c>
      <c r="C739" s="29">
        <f t="shared" si="180"/>
        <v>0</v>
      </c>
      <c r="D739" s="29">
        <f t="shared" si="181"/>
        <v>0</v>
      </c>
      <c r="E739" s="29">
        <f t="shared" si="178"/>
        <v>0</v>
      </c>
      <c r="F739" s="29">
        <f t="shared" si="182"/>
        <v>0</v>
      </c>
      <c r="G739" s="29" t="str">
        <f t="shared" si="183"/>
        <v>offensive</v>
      </c>
      <c r="H739" s="16">
        <f t="shared" si="184"/>
        <v>0</v>
      </c>
      <c r="I739" s="16">
        <f t="shared" si="185"/>
        <v>0</v>
      </c>
      <c r="J739" s="16">
        <f t="shared" si="186"/>
        <v>0</v>
      </c>
      <c r="K739" s="16">
        <f t="shared" si="187"/>
        <v>0</v>
      </c>
      <c r="L739" s="67">
        <f t="shared" si="188"/>
        <v>0</v>
      </c>
      <c r="M739" s="4">
        <f t="shared" si="189"/>
        <v>0</v>
      </c>
      <c r="N739" s="4">
        <f t="shared" si="190"/>
        <v>0</v>
      </c>
      <c r="O739" s="4">
        <f t="shared" si="191"/>
        <v>0</v>
      </c>
      <c r="P739" s="4" t="e">
        <f>VLOOKUP(AJ731,'CIR Team Info'!$C$5:$E$44,2,FALSE)</f>
        <v>#N/A</v>
      </c>
      <c r="Q739" s="4" t="e">
        <f>VLOOKUP(AJ731,'CIR Team Info'!$C$5:$E$44,3,FALSE)</f>
        <v>#N/A</v>
      </c>
      <c r="R739" s="10" t="e">
        <f>VLOOKUP(AJ731,'FRC Site Data'!$B$3:$L$42,2,FALSE)</f>
        <v>#N/A</v>
      </c>
      <c r="S739" s="10" t="e">
        <f>VLOOKUP(AJ731,'FRC Site Data'!$B$3:$L$42,3,FALSE)</f>
        <v>#N/A</v>
      </c>
      <c r="T739" s="10" t="e">
        <f>VLOOKUP(AJ731,'FRC Site Data'!$B$3:$L$42,4,FALSE)</f>
        <v>#N/A</v>
      </c>
      <c r="U739" s="10" t="e">
        <f>VLOOKUP(AJ731,'FRC Site Data'!$B$3:$L$42,5,FALSE)</f>
        <v>#N/A</v>
      </c>
      <c r="V739" s="10" t="e">
        <f>VLOOKUP(AJ731,'FRC Site Data'!$B$3:$L$42,6,FALSE)</f>
        <v>#N/A</v>
      </c>
      <c r="W739" s="10" t="e">
        <f>VLOOKUP(AJ731,'FRC Site Data'!$B$3:$L$42,8,FALSE)</f>
        <v>#N/A</v>
      </c>
      <c r="X739" s="10" t="e">
        <f>VLOOKUP(AJ731,'FRC Site Data'!$B$3:$L$42,9,FALSE)</f>
        <v>#N/A</v>
      </c>
      <c r="Y739" s="10" t="e">
        <f>VLOOKUP(AJ731,'FRC Site Data'!$B$3:$L$42,10,FALSE)</f>
        <v>#N/A</v>
      </c>
      <c r="Z739" s="10" t="e">
        <f>VLOOKUP(AJ731,'FRC Site Data'!$B$3:$L$42,11,FALSE)</f>
        <v>#N/A</v>
      </c>
      <c r="AA739" s="10" t="e">
        <f>VLOOKUP(AJ731,'CIR Team Info'!$C$5:$E$44,4,FALSE)</f>
        <v>#N/A</v>
      </c>
      <c r="AB739" s="161" t="b">
        <f>ISNUMBER(VLOOKUP(AJ731,Match!$T$5:$T$10,1,FALSE))</f>
        <v>0</v>
      </c>
      <c r="AC739" s="161" t="b">
        <f>IF(AB739=TRUE,(VLOOKUP($AJ731,Match!$T$5:$U$10,2,FALSE)))</f>
        <v>0</v>
      </c>
      <c r="AD739" s="8">
        <v>3</v>
      </c>
      <c r="AE739" s="8">
        <v>2</v>
      </c>
      <c r="AF739" s="8">
        <v>2</v>
      </c>
      <c r="AG739" s="8">
        <v>1</v>
      </c>
      <c r="AH739" s="8" t="str">
        <f t="shared" si="193"/>
        <v/>
      </c>
    </row>
    <row r="740" spans="1:34" x14ac:dyDescent="0.25">
      <c r="A740" s="29">
        <f t="shared" si="192"/>
        <v>0</v>
      </c>
      <c r="B740" s="29">
        <f t="shared" si="179"/>
        <v>0</v>
      </c>
      <c r="C740" s="29">
        <f t="shared" si="180"/>
        <v>0</v>
      </c>
      <c r="D740" s="29">
        <f t="shared" si="181"/>
        <v>0</v>
      </c>
      <c r="E740" s="29">
        <f t="shared" si="178"/>
        <v>0</v>
      </c>
      <c r="F740" s="29">
        <f t="shared" si="182"/>
        <v>0</v>
      </c>
      <c r="G740" s="29" t="str">
        <f t="shared" si="183"/>
        <v>offensive</v>
      </c>
      <c r="H740" s="16">
        <f t="shared" si="184"/>
        <v>0</v>
      </c>
      <c r="I740" s="16">
        <f t="shared" si="185"/>
        <v>0</v>
      </c>
      <c r="J740" s="16">
        <f t="shared" si="186"/>
        <v>0</v>
      </c>
      <c r="K740" s="16">
        <f t="shared" si="187"/>
        <v>0</v>
      </c>
      <c r="L740" s="67">
        <f t="shared" si="188"/>
        <v>0</v>
      </c>
      <c r="M740" s="4">
        <f t="shared" si="189"/>
        <v>0</v>
      </c>
      <c r="N740" s="4">
        <f t="shared" si="190"/>
        <v>0</v>
      </c>
      <c r="O740" s="4">
        <f t="shared" si="191"/>
        <v>0</v>
      </c>
      <c r="P740" s="4" t="e">
        <f>VLOOKUP(AJ732,'CIR Team Info'!$C$5:$E$44,2,FALSE)</f>
        <v>#N/A</v>
      </c>
      <c r="Q740" s="4" t="e">
        <f>VLOOKUP(AJ732,'CIR Team Info'!$C$5:$E$44,3,FALSE)</f>
        <v>#N/A</v>
      </c>
      <c r="R740" s="10" t="e">
        <f>VLOOKUP(AJ732,'FRC Site Data'!$B$3:$L$42,2,FALSE)</f>
        <v>#N/A</v>
      </c>
      <c r="S740" s="10" t="e">
        <f>VLOOKUP(AJ732,'FRC Site Data'!$B$3:$L$42,3,FALSE)</f>
        <v>#N/A</v>
      </c>
      <c r="T740" s="10" t="e">
        <f>VLOOKUP(AJ732,'FRC Site Data'!$B$3:$L$42,4,FALSE)</f>
        <v>#N/A</v>
      </c>
      <c r="U740" s="10" t="e">
        <f>VLOOKUP(AJ732,'FRC Site Data'!$B$3:$L$42,5,FALSE)</f>
        <v>#N/A</v>
      </c>
      <c r="V740" s="10" t="e">
        <f>VLOOKUP(AJ732,'FRC Site Data'!$B$3:$L$42,6,FALSE)</f>
        <v>#N/A</v>
      </c>
      <c r="W740" s="10" t="e">
        <f>VLOOKUP(AJ732,'FRC Site Data'!$B$3:$L$42,8,FALSE)</f>
        <v>#N/A</v>
      </c>
      <c r="X740" s="10" t="e">
        <f>VLOOKUP(AJ732,'FRC Site Data'!$B$3:$L$42,9,FALSE)</f>
        <v>#N/A</v>
      </c>
      <c r="Y740" s="10" t="e">
        <f>VLOOKUP(AJ732,'FRC Site Data'!$B$3:$L$42,10,FALSE)</f>
        <v>#N/A</v>
      </c>
      <c r="Z740" s="10" t="e">
        <f>VLOOKUP(AJ732,'FRC Site Data'!$B$3:$L$42,11,FALSE)</f>
        <v>#N/A</v>
      </c>
      <c r="AA740" s="10" t="e">
        <f>VLOOKUP(AJ732,'CIR Team Info'!$C$5:$E$44,4,FALSE)</f>
        <v>#N/A</v>
      </c>
      <c r="AB740" s="161" t="b">
        <f>ISNUMBER(VLOOKUP(AJ732,Match!$T$5:$T$10,1,FALSE))</f>
        <v>0</v>
      </c>
      <c r="AC740" s="161" t="b">
        <f>IF(AB740=TRUE,(VLOOKUP($AJ732,Match!$T$5:$U$10,2,FALSE)))</f>
        <v>0</v>
      </c>
      <c r="AD740" s="8">
        <v>3</v>
      </c>
      <c r="AE740" s="8">
        <v>2</v>
      </c>
      <c r="AF740" s="8">
        <v>2</v>
      </c>
      <c r="AG740" s="8">
        <v>1</v>
      </c>
      <c r="AH740" s="8" t="str">
        <f t="shared" si="193"/>
        <v/>
      </c>
    </row>
    <row r="741" spans="1:34" x14ac:dyDescent="0.25">
      <c r="A741" s="29">
        <f t="shared" si="192"/>
        <v>0</v>
      </c>
      <c r="B741" s="29">
        <f t="shared" si="179"/>
        <v>0</v>
      </c>
      <c r="C741" s="29">
        <f t="shared" si="180"/>
        <v>0</v>
      </c>
      <c r="D741" s="29">
        <f t="shared" si="181"/>
        <v>0</v>
      </c>
      <c r="E741" s="29">
        <f t="shared" si="178"/>
        <v>0</v>
      </c>
      <c r="F741" s="29">
        <f t="shared" si="182"/>
        <v>0</v>
      </c>
      <c r="G741" s="29" t="str">
        <f t="shared" si="183"/>
        <v>offensive</v>
      </c>
      <c r="H741" s="16">
        <f t="shared" si="184"/>
        <v>0</v>
      </c>
      <c r="I741" s="16">
        <f t="shared" si="185"/>
        <v>0</v>
      </c>
      <c r="J741" s="16">
        <f t="shared" si="186"/>
        <v>0</v>
      </c>
      <c r="K741" s="16">
        <f t="shared" si="187"/>
        <v>0</v>
      </c>
      <c r="L741" s="67">
        <f t="shared" si="188"/>
        <v>0</v>
      </c>
      <c r="M741" s="4">
        <f t="shared" si="189"/>
        <v>0</v>
      </c>
      <c r="N741" s="4">
        <f t="shared" si="190"/>
        <v>0</v>
      </c>
      <c r="O741" s="4">
        <f t="shared" si="191"/>
        <v>0</v>
      </c>
      <c r="P741" s="4" t="e">
        <f>VLOOKUP(AJ733,'CIR Team Info'!$C$5:$E$44,2,FALSE)</f>
        <v>#N/A</v>
      </c>
      <c r="Q741" s="4" t="e">
        <f>VLOOKUP(AJ733,'CIR Team Info'!$C$5:$E$44,3,FALSE)</f>
        <v>#N/A</v>
      </c>
      <c r="R741" s="10" t="e">
        <f>VLOOKUP(AJ733,'FRC Site Data'!$B$3:$L$42,2,FALSE)</f>
        <v>#N/A</v>
      </c>
      <c r="S741" s="10" t="e">
        <f>VLOOKUP(AJ733,'FRC Site Data'!$B$3:$L$42,3,FALSE)</f>
        <v>#N/A</v>
      </c>
      <c r="T741" s="10" t="e">
        <f>VLOOKUP(AJ733,'FRC Site Data'!$B$3:$L$42,4,FALSE)</f>
        <v>#N/A</v>
      </c>
      <c r="U741" s="10" t="e">
        <f>VLOOKUP(AJ733,'FRC Site Data'!$B$3:$L$42,5,FALSE)</f>
        <v>#N/A</v>
      </c>
      <c r="V741" s="10" t="e">
        <f>VLOOKUP(AJ733,'FRC Site Data'!$B$3:$L$42,6,FALSE)</f>
        <v>#N/A</v>
      </c>
      <c r="W741" s="10" t="e">
        <f>VLOOKUP(AJ733,'FRC Site Data'!$B$3:$L$42,8,FALSE)</f>
        <v>#N/A</v>
      </c>
      <c r="X741" s="10" t="e">
        <f>VLOOKUP(AJ733,'FRC Site Data'!$B$3:$L$42,9,FALSE)</f>
        <v>#N/A</v>
      </c>
      <c r="Y741" s="10" t="e">
        <f>VLOOKUP(AJ733,'FRC Site Data'!$B$3:$L$42,10,FALSE)</f>
        <v>#N/A</v>
      </c>
      <c r="Z741" s="10" t="e">
        <f>VLOOKUP(AJ733,'FRC Site Data'!$B$3:$L$42,11,FALSE)</f>
        <v>#N/A</v>
      </c>
      <c r="AA741" s="10" t="e">
        <f>VLOOKUP(AJ733,'CIR Team Info'!$C$5:$E$44,4,FALSE)</f>
        <v>#N/A</v>
      </c>
      <c r="AB741" s="161" t="b">
        <f>ISNUMBER(VLOOKUP(AJ733,Match!$T$5:$T$10,1,FALSE))</f>
        <v>0</v>
      </c>
      <c r="AC741" s="161" t="b">
        <f>IF(AB741=TRUE,(VLOOKUP($AJ733,Match!$T$5:$U$10,2,FALSE)))</f>
        <v>0</v>
      </c>
      <c r="AD741" s="8">
        <v>3</v>
      </c>
      <c r="AE741" s="8">
        <v>2</v>
      </c>
      <c r="AF741" s="8">
        <v>2</v>
      </c>
      <c r="AG741" s="8">
        <v>1</v>
      </c>
      <c r="AH741" s="8" t="str">
        <f t="shared" si="193"/>
        <v/>
      </c>
    </row>
    <row r="742" spans="1:34" x14ac:dyDescent="0.25">
      <c r="A742" s="29">
        <f t="shared" si="192"/>
        <v>0</v>
      </c>
      <c r="B742" s="29">
        <f t="shared" si="179"/>
        <v>0</v>
      </c>
      <c r="C742" s="29">
        <f t="shared" si="180"/>
        <v>0</v>
      </c>
      <c r="D742" s="29">
        <f t="shared" si="181"/>
        <v>0</v>
      </c>
      <c r="E742" s="29">
        <f t="shared" si="178"/>
        <v>0</v>
      </c>
      <c r="F742" s="29">
        <f t="shared" si="182"/>
        <v>0</v>
      </c>
      <c r="G742" s="29" t="str">
        <f t="shared" si="183"/>
        <v>offensive</v>
      </c>
      <c r="H742" s="16">
        <f t="shared" si="184"/>
        <v>0</v>
      </c>
      <c r="I742" s="16">
        <f t="shared" si="185"/>
        <v>0</v>
      </c>
      <c r="J742" s="16">
        <f t="shared" si="186"/>
        <v>0</v>
      </c>
      <c r="K742" s="16">
        <f t="shared" si="187"/>
        <v>0</v>
      </c>
      <c r="L742" s="67">
        <f t="shared" si="188"/>
        <v>0</v>
      </c>
      <c r="M742" s="4">
        <f t="shared" si="189"/>
        <v>0</v>
      </c>
      <c r="N742" s="4">
        <f t="shared" si="190"/>
        <v>0</v>
      </c>
      <c r="O742" s="4">
        <f t="shared" si="191"/>
        <v>0</v>
      </c>
      <c r="P742" s="4" t="e">
        <f>VLOOKUP(AJ734,'CIR Team Info'!$C$5:$E$44,2,FALSE)</f>
        <v>#N/A</v>
      </c>
      <c r="Q742" s="4" t="e">
        <f>VLOOKUP(AJ734,'CIR Team Info'!$C$5:$E$44,3,FALSE)</f>
        <v>#N/A</v>
      </c>
      <c r="R742" s="10" t="e">
        <f>VLOOKUP(AJ734,'FRC Site Data'!$B$3:$L$42,2,FALSE)</f>
        <v>#N/A</v>
      </c>
      <c r="S742" s="10" t="e">
        <f>VLOOKUP(AJ734,'FRC Site Data'!$B$3:$L$42,3,FALSE)</f>
        <v>#N/A</v>
      </c>
      <c r="T742" s="10" t="e">
        <f>VLOOKUP(AJ734,'FRC Site Data'!$B$3:$L$42,4,FALSE)</f>
        <v>#N/A</v>
      </c>
      <c r="U742" s="10" t="e">
        <f>VLOOKUP(AJ734,'FRC Site Data'!$B$3:$L$42,5,FALSE)</f>
        <v>#N/A</v>
      </c>
      <c r="V742" s="10" t="e">
        <f>VLOOKUP(AJ734,'FRC Site Data'!$B$3:$L$42,6,FALSE)</f>
        <v>#N/A</v>
      </c>
      <c r="W742" s="10" t="e">
        <f>VLOOKUP(AJ734,'FRC Site Data'!$B$3:$L$42,8,FALSE)</f>
        <v>#N/A</v>
      </c>
      <c r="X742" s="10" t="e">
        <f>VLOOKUP(AJ734,'FRC Site Data'!$B$3:$L$42,9,FALSE)</f>
        <v>#N/A</v>
      </c>
      <c r="Y742" s="10" t="e">
        <f>VLOOKUP(AJ734,'FRC Site Data'!$B$3:$L$42,10,FALSE)</f>
        <v>#N/A</v>
      </c>
      <c r="Z742" s="10" t="e">
        <f>VLOOKUP(AJ734,'FRC Site Data'!$B$3:$L$42,11,FALSE)</f>
        <v>#N/A</v>
      </c>
      <c r="AA742" s="10" t="e">
        <f>VLOOKUP(AJ734,'CIR Team Info'!$C$5:$E$44,4,FALSE)</f>
        <v>#N/A</v>
      </c>
      <c r="AB742" s="161" t="b">
        <f>ISNUMBER(VLOOKUP(AJ734,Match!$T$5:$T$10,1,FALSE))</f>
        <v>0</v>
      </c>
      <c r="AC742" s="161" t="b">
        <f>IF(AB742=TRUE,(VLOOKUP($AJ734,Match!$T$5:$U$10,2,FALSE)))</f>
        <v>0</v>
      </c>
      <c r="AD742" s="8">
        <v>3</v>
      </c>
      <c r="AE742" s="8">
        <v>2</v>
      </c>
      <c r="AF742" s="8">
        <v>2</v>
      </c>
      <c r="AG742" s="8">
        <v>1</v>
      </c>
      <c r="AH742" s="8" t="str">
        <f t="shared" si="193"/>
        <v/>
      </c>
    </row>
    <row r="743" spans="1:34" x14ac:dyDescent="0.25">
      <c r="A743" s="29">
        <f t="shared" si="192"/>
        <v>0</v>
      </c>
      <c r="B743" s="29">
        <f t="shared" si="179"/>
        <v>0</v>
      </c>
      <c r="C743" s="29">
        <f t="shared" si="180"/>
        <v>0</v>
      </c>
      <c r="D743" s="29">
        <f t="shared" si="181"/>
        <v>0</v>
      </c>
      <c r="E743" s="29">
        <f t="shared" si="178"/>
        <v>0</v>
      </c>
      <c r="F743" s="29">
        <f t="shared" si="182"/>
        <v>0</v>
      </c>
      <c r="G743" s="29" t="str">
        <f t="shared" si="183"/>
        <v>offensive</v>
      </c>
      <c r="H743" s="16">
        <f t="shared" si="184"/>
        <v>0</v>
      </c>
      <c r="I743" s="16">
        <f t="shared" si="185"/>
        <v>0</v>
      </c>
      <c r="J743" s="16">
        <f t="shared" si="186"/>
        <v>0</v>
      </c>
      <c r="K743" s="16">
        <f t="shared" si="187"/>
        <v>0</v>
      </c>
      <c r="L743" s="67">
        <f t="shared" si="188"/>
        <v>0</v>
      </c>
      <c r="M743" s="4">
        <f t="shared" si="189"/>
        <v>0</v>
      </c>
      <c r="N743" s="4">
        <f t="shared" si="190"/>
        <v>0</v>
      </c>
      <c r="O743" s="4">
        <f t="shared" si="191"/>
        <v>0</v>
      </c>
      <c r="P743" s="4" t="e">
        <f>VLOOKUP(AJ735,'CIR Team Info'!$C$5:$E$44,2,FALSE)</f>
        <v>#N/A</v>
      </c>
      <c r="Q743" s="4" t="e">
        <f>VLOOKUP(AJ735,'CIR Team Info'!$C$5:$E$44,3,FALSE)</f>
        <v>#N/A</v>
      </c>
      <c r="R743" s="10" t="e">
        <f>VLOOKUP(AJ735,'FRC Site Data'!$B$3:$L$42,2,FALSE)</f>
        <v>#N/A</v>
      </c>
      <c r="S743" s="10" t="e">
        <f>VLOOKUP(AJ735,'FRC Site Data'!$B$3:$L$42,3,FALSE)</f>
        <v>#N/A</v>
      </c>
      <c r="T743" s="10" t="e">
        <f>VLOOKUP(AJ735,'FRC Site Data'!$B$3:$L$42,4,FALSE)</f>
        <v>#N/A</v>
      </c>
      <c r="U743" s="10" t="e">
        <f>VLOOKUP(AJ735,'FRC Site Data'!$B$3:$L$42,5,FALSE)</f>
        <v>#N/A</v>
      </c>
      <c r="V743" s="10" t="e">
        <f>VLOOKUP(AJ735,'FRC Site Data'!$B$3:$L$42,6,FALSE)</f>
        <v>#N/A</v>
      </c>
      <c r="W743" s="10" t="e">
        <f>VLOOKUP(AJ735,'FRC Site Data'!$B$3:$L$42,8,FALSE)</f>
        <v>#N/A</v>
      </c>
      <c r="X743" s="10" t="e">
        <f>VLOOKUP(AJ735,'FRC Site Data'!$B$3:$L$42,9,FALSE)</f>
        <v>#N/A</v>
      </c>
      <c r="Y743" s="10" t="e">
        <f>VLOOKUP(AJ735,'FRC Site Data'!$B$3:$L$42,10,FALSE)</f>
        <v>#N/A</v>
      </c>
      <c r="Z743" s="10" t="e">
        <f>VLOOKUP(AJ735,'FRC Site Data'!$B$3:$L$42,11,FALSE)</f>
        <v>#N/A</v>
      </c>
      <c r="AA743" s="10" t="e">
        <f>VLOOKUP(AJ735,'CIR Team Info'!$C$5:$E$44,4,FALSE)</f>
        <v>#N/A</v>
      </c>
      <c r="AB743" s="161" t="b">
        <f>ISNUMBER(VLOOKUP(AJ735,Match!$T$5:$T$10,1,FALSE))</f>
        <v>0</v>
      </c>
      <c r="AC743" s="161" t="b">
        <f>IF(AB743=TRUE,(VLOOKUP($AJ735,Match!$T$5:$U$10,2,FALSE)))</f>
        <v>0</v>
      </c>
      <c r="AD743" s="8">
        <v>3</v>
      </c>
      <c r="AE743" s="8">
        <v>2</v>
      </c>
      <c r="AF743" s="8">
        <v>2</v>
      </c>
      <c r="AG743" s="8">
        <v>1</v>
      </c>
      <c r="AH743" s="8" t="str">
        <f t="shared" si="193"/>
        <v/>
      </c>
    </row>
    <row r="744" spans="1:34" x14ac:dyDescent="0.25">
      <c r="A744" s="29">
        <f t="shared" si="192"/>
        <v>0</v>
      </c>
      <c r="B744" s="29">
        <f t="shared" si="179"/>
        <v>0</v>
      </c>
      <c r="C744" s="29">
        <f t="shared" si="180"/>
        <v>0</v>
      </c>
      <c r="D744" s="29">
        <f t="shared" si="181"/>
        <v>0</v>
      </c>
      <c r="E744" s="29">
        <f t="shared" si="178"/>
        <v>0</v>
      </c>
      <c r="F744" s="29">
        <f t="shared" si="182"/>
        <v>0</v>
      </c>
      <c r="G744" s="29" t="str">
        <f t="shared" si="183"/>
        <v>offensive</v>
      </c>
      <c r="H744" s="16">
        <f t="shared" si="184"/>
        <v>0</v>
      </c>
      <c r="I744" s="16">
        <f t="shared" si="185"/>
        <v>0</v>
      </c>
      <c r="J744" s="16">
        <f t="shared" si="186"/>
        <v>0</v>
      </c>
      <c r="K744" s="16">
        <f t="shared" si="187"/>
        <v>0</v>
      </c>
      <c r="L744" s="67">
        <f t="shared" si="188"/>
        <v>0</v>
      </c>
      <c r="M744" s="4">
        <f t="shared" si="189"/>
        <v>0</v>
      </c>
      <c r="N744" s="4">
        <f t="shared" si="190"/>
        <v>0</v>
      </c>
      <c r="O744" s="4">
        <f t="shared" si="191"/>
        <v>0</v>
      </c>
      <c r="P744" s="4" t="e">
        <f>VLOOKUP(AJ736,'CIR Team Info'!$C$5:$E$44,2,FALSE)</f>
        <v>#N/A</v>
      </c>
      <c r="Q744" s="4" t="e">
        <f>VLOOKUP(AJ736,'CIR Team Info'!$C$5:$E$44,3,FALSE)</f>
        <v>#N/A</v>
      </c>
      <c r="R744" s="10" t="e">
        <f>VLOOKUP(AJ736,'FRC Site Data'!$B$3:$L$42,2,FALSE)</f>
        <v>#N/A</v>
      </c>
      <c r="S744" s="10" t="e">
        <f>VLOOKUP(AJ736,'FRC Site Data'!$B$3:$L$42,3,FALSE)</f>
        <v>#N/A</v>
      </c>
      <c r="T744" s="10" t="e">
        <f>VLOOKUP(AJ736,'FRC Site Data'!$B$3:$L$42,4,FALSE)</f>
        <v>#N/A</v>
      </c>
      <c r="U744" s="10" t="e">
        <f>VLOOKUP(AJ736,'FRC Site Data'!$B$3:$L$42,5,FALSE)</f>
        <v>#N/A</v>
      </c>
      <c r="V744" s="10" t="e">
        <f>VLOOKUP(AJ736,'FRC Site Data'!$B$3:$L$42,6,FALSE)</f>
        <v>#N/A</v>
      </c>
      <c r="W744" s="10" t="e">
        <f>VLOOKUP(AJ736,'FRC Site Data'!$B$3:$L$42,8,FALSE)</f>
        <v>#N/A</v>
      </c>
      <c r="X744" s="10" t="e">
        <f>VLOOKUP(AJ736,'FRC Site Data'!$B$3:$L$42,9,FALSE)</f>
        <v>#N/A</v>
      </c>
      <c r="Y744" s="10" t="e">
        <f>VLOOKUP(AJ736,'FRC Site Data'!$B$3:$L$42,10,FALSE)</f>
        <v>#N/A</v>
      </c>
      <c r="Z744" s="10" t="e">
        <f>VLOOKUP(AJ736,'FRC Site Data'!$B$3:$L$42,11,FALSE)</f>
        <v>#N/A</v>
      </c>
      <c r="AA744" s="10" t="e">
        <f>VLOOKUP(AJ736,'CIR Team Info'!$C$5:$E$44,4,FALSE)</f>
        <v>#N/A</v>
      </c>
      <c r="AB744" s="161" t="b">
        <f>ISNUMBER(VLOOKUP(AJ736,Match!$T$5:$T$10,1,FALSE))</f>
        <v>0</v>
      </c>
      <c r="AC744" s="161" t="b">
        <f>IF(AB744=TRUE,(VLOOKUP($AJ736,Match!$T$5:$U$10,2,FALSE)))</f>
        <v>0</v>
      </c>
      <c r="AD744" s="8">
        <v>3</v>
      </c>
      <c r="AE744" s="8">
        <v>2</v>
      </c>
      <c r="AF744" s="8">
        <v>2</v>
      </c>
      <c r="AG744" s="8">
        <v>1</v>
      </c>
      <c r="AH744" s="8" t="str">
        <f t="shared" si="193"/>
        <v/>
      </c>
    </row>
    <row r="745" spans="1:34" x14ac:dyDescent="0.25">
      <c r="A745" s="29">
        <f t="shared" si="192"/>
        <v>0</v>
      </c>
      <c r="B745" s="29">
        <f t="shared" si="179"/>
        <v>0</v>
      </c>
      <c r="C745" s="29">
        <f t="shared" si="180"/>
        <v>0</v>
      </c>
      <c r="D745" s="29">
        <f t="shared" si="181"/>
        <v>0</v>
      </c>
      <c r="E745" s="29">
        <f t="shared" si="178"/>
        <v>0</v>
      </c>
      <c r="F745" s="29">
        <f t="shared" si="182"/>
        <v>0</v>
      </c>
      <c r="G745" s="29" t="str">
        <f t="shared" si="183"/>
        <v>offensive</v>
      </c>
      <c r="H745" s="16">
        <f t="shared" si="184"/>
        <v>0</v>
      </c>
      <c r="I745" s="16">
        <f t="shared" si="185"/>
        <v>0</v>
      </c>
      <c r="J745" s="16">
        <f t="shared" si="186"/>
        <v>0</v>
      </c>
      <c r="K745" s="16">
        <f t="shared" si="187"/>
        <v>0</v>
      </c>
      <c r="L745" s="67">
        <f t="shared" si="188"/>
        <v>0</v>
      </c>
      <c r="M745" s="4">
        <f t="shared" si="189"/>
        <v>0</v>
      </c>
      <c r="N745" s="4">
        <f t="shared" si="190"/>
        <v>0</v>
      </c>
      <c r="O745" s="4">
        <f t="shared" si="191"/>
        <v>0</v>
      </c>
      <c r="P745" s="4" t="e">
        <f>VLOOKUP(AJ737,'CIR Team Info'!$C$5:$E$44,2,FALSE)</f>
        <v>#N/A</v>
      </c>
      <c r="Q745" s="4" t="e">
        <f>VLOOKUP(AJ737,'CIR Team Info'!$C$5:$E$44,3,FALSE)</f>
        <v>#N/A</v>
      </c>
      <c r="R745" s="10" t="e">
        <f>VLOOKUP(AJ737,'FRC Site Data'!$B$3:$L$42,2,FALSE)</f>
        <v>#N/A</v>
      </c>
      <c r="S745" s="10" t="e">
        <f>VLOOKUP(AJ737,'FRC Site Data'!$B$3:$L$42,3,FALSE)</f>
        <v>#N/A</v>
      </c>
      <c r="T745" s="10" t="e">
        <f>VLOOKUP(AJ737,'FRC Site Data'!$B$3:$L$42,4,FALSE)</f>
        <v>#N/A</v>
      </c>
      <c r="U745" s="10" t="e">
        <f>VLOOKUP(AJ737,'FRC Site Data'!$B$3:$L$42,5,FALSE)</f>
        <v>#N/A</v>
      </c>
      <c r="V745" s="10" t="e">
        <f>VLOOKUP(AJ737,'FRC Site Data'!$B$3:$L$42,6,FALSE)</f>
        <v>#N/A</v>
      </c>
      <c r="W745" s="10" t="e">
        <f>VLOOKUP(AJ737,'FRC Site Data'!$B$3:$L$42,8,FALSE)</f>
        <v>#N/A</v>
      </c>
      <c r="X745" s="10" t="e">
        <f>VLOOKUP(AJ737,'FRC Site Data'!$B$3:$L$42,9,FALSE)</f>
        <v>#N/A</v>
      </c>
      <c r="Y745" s="10" t="e">
        <f>VLOOKUP(AJ737,'FRC Site Data'!$B$3:$L$42,10,FALSE)</f>
        <v>#N/A</v>
      </c>
      <c r="Z745" s="10" t="e">
        <f>VLOOKUP(AJ737,'FRC Site Data'!$B$3:$L$42,11,FALSE)</f>
        <v>#N/A</v>
      </c>
      <c r="AA745" s="10" t="e">
        <f>VLOOKUP(AJ737,'CIR Team Info'!$C$5:$E$44,4,FALSE)</f>
        <v>#N/A</v>
      </c>
      <c r="AB745" s="161" t="b">
        <f>ISNUMBER(VLOOKUP(AJ737,Match!$T$5:$T$10,1,FALSE))</f>
        <v>0</v>
      </c>
      <c r="AC745" s="161" t="b">
        <f>IF(AB745=TRUE,(VLOOKUP($AJ737,Match!$T$5:$U$10,2,FALSE)))</f>
        <v>0</v>
      </c>
      <c r="AD745" s="8">
        <v>3</v>
      </c>
      <c r="AE745" s="8">
        <v>2</v>
      </c>
      <c r="AF745" s="8">
        <v>2</v>
      </c>
      <c r="AG745" s="8">
        <v>1</v>
      </c>
      <c r="AH745" s="8" t="str">
        <f t="shared" si="193"/>
        <v/>
      </c>
    </row>
    <row r="746" spans="1:34" x14ac:dyDescent="0.25">
      <c r="A746" s="29">
        <f t="shared" si="192"/>
        <v>0</v>
      </c>
      <c r="B746" s="29">
        <f t="shared" si="179"/>
        <v>0</v>
      </c>
      <c r="C746" s="29">
        <f t="shared" si="180"/>
        <v>0</v>
      </c>
      <c r="D746" s="29">
        <f t="shared" si="181"/>
        <v>0</v>
      </c>
      <c r="E746" s="29">
        <f t="shared" si="178"/>
        <v>0</v>
      </c>
      <c r="F746" s="29">
        <f t="shared" si="182"/>
        <v>0</v>
      </c>
      <c r="G746" s="29" t="str">
        <f t="shared" si="183"/>
        <v>offensive</v>
      </c>
      <c r="H746" s="16">
        <f t="shared" si="184"/>
        <v>0</v>
      </c>
      <c r="I746" s="16">
        <f t="shared" si="185"/>
        <v>0</v>
      </c>
      <c r="J746" s="16">
        <f t="shared" si="186"/>
        <v>0</v>
      </c>
      <c r="K746" s="16">
        <f t="shared" si="187"/>
        <v>0</v>
      </c>
      <c r="L746" s="67">
        <f t="shared" si="188"/>
        <v>0</v>
      </c>
      <c r="M746" s="4">
        <f t="shared" si="189"/>
        <v>0</v>
      </c>
      <c r="N746" s="4">
        <f t="shared" si="190"/>
        <v>0</v>
      </c>
      <c r="O746" s="4">
        <f t="shared" si="191"/>
        <v>0</v>
      </c>
      <c r="P746" s="4" t="e">
        <f>VLOOKUP(AJ738,'CIR Team Info'!$C$5:$E$44,2,FALSE)</f>
        <v>#N/A</v>
      </c>
      <c r="Q746" s="4" t="e">
        <f>VLOOKUP(AJ738,'CIR Team Info'!$C$5:$E$44,3,FALSE)</f>
        <v>#N/A</v>
      </c>
      <c r="R746" s="10" t="e">
        <f>VLOOKUP(AJ738,'FRC Site Data'!$B$3:$L$42,2,FALSE)</f>
        <v>#N/A</v>
      </c>
      <c r="S746" s="10" t="e">
        <f>VLOOKUP(AJ738,'FRC Site Data'!$B$3:$L$42,3,FALSE)</f>
        <v>#N/A</v>
      </c>
      <c r="T746" s="10" t="e">
        <f>VLOOKUP(AJ738,'FRC Site Data'!$B$3:$L$42,4,FALSE)</f>
        <v>#N/A</v>
      </c>
      <c r="U746" s="10" t="e">
        <f>VLOOKUP(AJ738,'FRC Site Data'!$B$3:$L$42,5,FALSE)</f>
        <v>#N/A</v>
      </c>
      <c r="V746" s="10" t="e">
        <f>VLOOKUP(AJ738,'FRC Site Data'!$B$3:$L$42,6,FALSE)</f>
        <v>#N/A</v>
      </c>
      <c r="W746" s="10" t="e">
        <f>VLOOKUP(AJ738,'FRC Site Data'!$B$3:$L$42,8,FALSE)</f>
        <v>#N/A</v>
      </c>
      <c r="X746" s="10" t="e">
        <f>VLOOKUP(AJ738,'FRC Site Data'!$B$3:$L$42,9,FALSE)</f>
        <v>#N/A</v>
      </c>
      <c r="Y746" s="10" t="e">
        <f>VLOOKUP(AJ738,'FRC Site Data'!$B$3:$L$42,10,FALSE)</f>
        <v>#N/A</v>
      </c>
      <c r="Z746" s="10" t="e">
        <f>VLOOKUP(AJ738,'FRC Site Data'!$B$3:$L$42,11,FALSE)</f>
        <v>#N/A</v>
      </c>
      <c r="AA746" s="10" t="e">
        <f>VLOOKUP(AJ738,'CIR Team Info'!$C$5:$E$44,4,FALSE)</f>
        <v>#N/A</v>
      </c>
      <c r="AB746" s="161" t="b">
        <f>ISNUMBER(VLOOKUP(AJ738,Match!$T$5:$T$10,1,FALSE))</f>
        <v>0</v>
      </c>
      <c r="AC746" s="161" t="b">
        <f>IF(AB746=TRUE,(VLOOKUP($AJ738,Match!$T$5:$U$10,2,FALSE)))</f>
        <v>0</v>
      </c>
      <c r="AD746" s="8">
        <v>3</v>
      </c>
      <c r="AE746" s="8">
        <v>2</v>
      </c>
      <c r="AF746" s="8">
        <v>2</v>
      </c>
      <c r="AG746" s="8">
        <v>1</v>
      </c>
      <c r="AH746" s="8" t="str">
        <f t="shared" si="193"/>
        <v/>
      </c>
    </row>
    <row r="747" spans="1:34" x14ac:dyDescent="0.25">
      <c r="A747" s="29">
        <f t="shared" si="192"/>
        <v>0</v>
      </c>
      <c r="B747" s="29">
        <f t="shared" si="179"/>
        <v>0</v>
      </c>
      <c r="C747" s="29">
        <f t="shared" si="180"/>
        <v>0</v>
      </c>
      <c r="D747" s="29">
        <f t="shared" si="181"/>
        <v>0</v>
      </c>
      <c r="E747" s="29">
        <f t="shared" si="178"/>
        <v>0</v>
      </c>
      <c r="F747" s="29">
        <f t="shared" si="182"/>
        <v>0</v>
      </c>
      <c r="G747" s="29" t="str">
        <f t="shared" si="183"/>
        <v>offensive</v>
      </c>
      <c r="H747" s="16">
        <f t="shared" si="184"/>
        <v>0</v>
      </c>
      <c r="I747" s="16">
        <f t="shared" si="185"/>
        <v>0</v>
      </c>
      <c r="J747" s="16">
        <f t="shared" si="186"/>
        <v>0</v>
      </c>
      <c r="K747" s="16">
        <f t="shared" si="187"/>
        <v>0</v>
      </c>
      <c r="L747" s="67">
        <f t="shared" si="188"/>
        <v>0</v>
      </c>
      <c r="M747" s="4">
        <f t="shared" si="189"/>
        <v>0</v>
      </c>
      <c r="N747" s="4">
        <f t="shared" si="190"/>
        <v>0</v>
      </c>
      <c r="O747" s="4">
        <f t="shared" si="191"/>
        <v>0</v>
      </c>
      <c r="P747" s="4" t="e">
        <f>VLOOKUP(AJ739,'CIR Team Info'!$C$5:$E$44,2,FALSE)</f>
        <v>#N/A</v>
      </c>
      <c r="Q747" s="4" t="e">
        <f>VLOOKUP(AJ739,'CIR Team Info'!$C$5:$E$44,3,FALSE)</f>
        <v>#N/A</v>
      </c>
      <c r="R747" s="10" t="e">
        <f>VLOOKUP(AJ739,'FRC Site Data'!$B$3:$L$42,2,FALSE)</f>
        <v>#N/A</v>
      </c>
      <c r="S747" s="10" t="e">
        <f>VLOOKUP(AJ739,'FRC Site Data'!$B$3:$L$42,3,FALSE)</f>
        <v>#N/A</v>
      </c>
      <c r="T747" s="10" t="e">
        <f>VLOOKUP(AJ739,'FRC Site Data'!$B$3:$L$42,4,FALSE)</f>
        <v>#N/A</v>
      </c>
      <c r="U747" s="10" t="e">
        <f>VLOOKUP(AJ739,'FRC Site Data'!$B$3:$L$42,5,FALSE)</f>
        <v>#N/A</v>
      </c>
      <c r="V747" s="10" t="e">
        <f>VLOOKUP(AJ739,'FRC Site Data'!$B$3:$L$42,6,FALSE)</f>
        <v>#N/A</v>
      </c>
      <c r="W747" s="10" t="e">
        <f>VLOOKUP(AJ739,'FRC Site Data'!$B$3:$L$42,8,FALSE)</f>
        <v>#N/A</v>
      </c>
      <c r="X747" s="10" t="e">
        <f>VLOOKUP(AJ739,'FRC Site Data'!$B$3:$L$42,9,FALSE)</f>
        <v>#N/A</v>
      </c>
      <c r="Y747" s="10" t="e">
        <f>VLOOKUP(AJ739,'FRC Site Data'!$B$3:$L$42,10,FALSE)</f>
        <v>#N/A</v>
      </c>
      <c r="Z747" s="10" t="e">
        <f>VLOOKUP(AJ739,'FRC Site Data'!$B$3:$L$42,11,FALSE)</f>
        <v>#N/A</v>
      </c>
      <c r="AA747" s="10" t="e">
        <f>VLOOKUP(AJ739,'CIR Team Info'!$C$5:$E$44,4,FALSE)</f>
        <v>#N/A</v>
      </c>
      <c r="AB747" s="161" t="b">
        <f>ISNUMBER(VLOOKUP(AJ739,Match!$T$5:$T$10,1,FALSE))</f>
        <v>0</v>
      </c>
      <c r="AC747" s="161" t="b">
        <f>IF(AB747=TRUE,(VLOOKUP($AJ739,Match!$T$5:$U$10,2,FALSE)))</f>
        <v>0</v>
      </c>
      <c r="AD747" s="8">
        <v>3</v>
      </c>
      <c r="AE747" s="8">
        <v>2</v>
      </c>
      <c r="AF747" s="8">
        <v>2</v>
      </c>
      <c r="AG747" s="8">
        <v>1</v>
      </c>
      <c r="AH747" s="8" t="str">
        <f t="shared" si="193"/>
        <v/>
      </c>
    </row>
    <row r="748" spans="1:34" x14ac:dyDescent="0.25">
      <c r="A748" s="29">
        <f t="shared" si="192"/>
        <v>0</v>
      </c>
      <c r="B748" s="29">
        <f t="shared" si="179"/>
        <v>0</v>
      </c>
      <c r="C748" s="29">
        <f t="shared" si="180"/>
        <v>0</v>
      </c>
      <c r="D748" s="29">
        <f t="shared" si="181"/>
        <v>0</v>
      </c>
      <c r="E748" s="29">
        <f t="shared" si="178"/>
        <v>0</v>
      </c>
      <c r="F748" s="29">
        <f t="shared" si="182"/>
        <v>0</v>
      </c>
      <c r="G748" s="29" t="str">
        <f t="shared" si="183"/>
        <v>offensive</v>
      </c>
      <c r="H748" s="16">
        <f t="shared" si="184"/>
        <v>0</v>
      </c>
      <c r="I748" s="16">
        <f t="shared" si="185"/>
        <v>0</v>
      </c>
      <c r="J748" s="16">
        <f t="shared" si="186"/>
        <v>0</v>
      </c>
      <c r="K748" s="16">
        <f t="shared" si="187"/>
        <v>0</v>
      </c>
      <c r="L748" s="67">
        <f t="shared" si="188"/>
        <v>0</v>
      </c>
      <c r="M748" s="4">
        <f t="shared" si="189"/>
        <v>0</v>
      </c>
      <c r="N748" s="4">
        <f t="shared" si="190"/>
        <v>0</v>
      </c>
      <c r="O748" s="4">
        <f t="shared" si="191"/>
        <v>0</v>
      </c>
      <c r="P748" s="4" t="e">
        <f>VLOOKUP(AJ740,'CIR Team Info'!$C$5:$E$44,2,FALSE)</f>
        <v>#N/A</v>
      </c>
      <c r="Q748" s="4" t="e">
        <f>VLOOKUP(AJ740,'CIR Team Info'!$C$5:$E$44,3,FALSE)</f>
        <v>#N/A</v>
      </c>
      <c r="R748" s="10" t="e">
        <f>VLOOKUP(AJ740,'FRC Site Data'!$B$3:$L$42,2,FALSE)</f>
        <v>#N/A</v>
      </c>
      <c r="S748" s="10" t="e">
        <f>VLOOKUP(AJ740,'FRC Site Data'!$B$3:$L$42,3,FALSE)</f>
        <v>#N/A</v>
      </c>
      <c r="T748" s="10" t="e">
        <f>VLOOKUP(AJ740,'FRC Site Data'!$B$3:$L$42,4,FALSE)</f>
        <v>#N/A</v>
      </c>
      <c r="U748" s="10" t="e">
        <f>VLOOKUP(AJ740,'FRC Site Data'!$B$3:$L$42,5,FALSE)</f>
        <v>#N/A</v>
      </c>
      <c r="V748" s="10" t="e">
        <f>VLOOKUP(AJ740,'FRC Site Data'!$B$3:$L$42,6,FALSE)</f>
        <v>#N/A</v>
      </c>
      <c r="W748" s="10" t="e">
        <f>VLOOKUP(AJ740,'FRC Site Data'!$B$3:$L$42,8,FALSE)</f>
        <v>#N/A</v>
      </c>
      <c r="X748" s="10" t="e">
        <f>VLOOKUP(AJ740,'FRC Site Data'!$B$3:$L$42,9,FALSE)</f>
        <v>#N/A</v>
      </c>
      <c r="Y748" s="10" t="e">
        <f>VLOOKUP(AJ740,'FRC Site Data'!$B$3:$L$42,10,FALSE)</f>
        <v>#N/A</v>
      </c>
      <c r="Z748" s="10" t="e">
        <f>VLOOKUP(AJ740,'FRC Site Data'!$B$3:$L$42,11,FALSE)</f>
        <v>#N/A</v>
      </c>
      <c r="AA748" s="10" t="e">
        <f>VLOOKUP(AJ740,'CIR Team Info'!$C$5:$E$44,4,FALSE)</f>
        <v>#N/A</v>
      </c>
      <c r="AB748" s="161" t="b">
        <f>ISNUMBER(VLOOKUP(AJ740,Match!$T$5:$T$10,1,FALSE))</f>
        <v>0</v>
      </c>
      <c r="AC748" s="161" t="b">
        <f>IF(AB748=TRUE,(VLOOKUP($AJ740,Match!$T$5:$U$10,2,FALSE)))</f>
        <v>0</v>
      </c>
      <c r="AD748" s="8">
        <v>3</v>
      </c>
      <c r="AE748" s="8">
        <v>2</v>
      </c>
      <c r="AF748" s="8">
        <v>2</v>
      </c>
      <c r="AG748" s="8">
        <v>1</v>
      </c>
      <c r="AH748" s="8" t="str">
        <f t="shared" si="193"/>
        <v/>
      </c>
    </row>
    <row r="749" spans="1:34" x14ac:dyDescent="0.25">
      <c r="A749" s="29">
        <f t="shared" si="192"/>
        <v>0</v>
      </c>
      <c r="B749" s="29">
        <f t="shared" si="179"/>
        <v>0</v>
      </c>
      <c r="C749" s="29">
        <f t="shared" si="180"/>
        <v>0</v>
      </c>
      <c r="D749" s="29">
        <f t="shared" si="181"/>
        <v>0</v>
      </c>
      <c r="E749" s="29">
        <f t="shared" si="178"/>
        <v>0</v>
      </c>
      <c r="F749" s="29">
        <f t="shared" si="182"/>
        <v>0</v>
      </c>
      <c r="G749" s="29" t="str">
        <f t="shared" si="183"/>
        <v>offensive</v>
      </c>
      <c r="H749" s="16">
        <f t="shared" si="184"/>
        <v>0</v>
      </c>
      <c r="I749" s="16">
        <f t="shared" si="185"/>
        <v>0</v>
      </c>
      <c r="J749" s="16">
        <f t="shared" si="186"/>
        <v>0</v>
      </c>
      <c r="K749" s="16">
        <f t="shared" si="187"/>
        <v>0</v>
      </c>
      <c r="L749" s="67">
        <f t="shared" si="188"/>
        <v>0</v>
      </c>
      <c r="M749" s="4">
        <f t="shared" si="189"/>
        <v>0</v>
      </c>
      <c r="N749" s="4">
        <f t="shared" si="190"/>
        <v>0</v>
      </c>
      <c r="O749" s="4">
        <f t="shared" si="191"/>
        <v>0</v>
      </c>
      <c r="P749" s="4" t="e">
        <f>VLOOKUP(AJ741,'CIR Team Info'!$C$5:$E$44,2,FALSE)</f>
        <v>#N/A</v>
      </c>
      <c r="Q749" s="4" t="e">
        <f>VLOOKUP(AJ741,'CIR Team Info'!$C$5:$E$44,3,FALSE)</f>
        <v>#N/A</v>
      </c>
      <c r="R749" s="10" t="e">
        <f>VLOOKUP(AJ741,'FRC Site Data'!$B$3:$L$42,2,FALSE)</f>
        <v>#N/A</v>
      </c>
      <c r="S749" s="10" t="e">
        <f>VLOOKUP(AJ741,'FRC Site Data'!$B$3:$L$42,3,FALSE)</f>
        <v>#N/A</v>
      </c>
      <c r="T749" s="10" t="e">
        <f>VLOOKUP(AJ741,'FRC Site Data'!$B$3:$L$42,4,FALSE)</f>
        <v>#N/A</v>
      </c>
      <c r="U749" s="10" t="e">
        <f>VLOOKUP(AJ741,'FRC Site Data'!$B$3:$L$42,5,FALSE)</f>
        <v>#N/A</v>
      </c>
      <c r="V749" s="10" t="e">
        <f>VLOOKUP(AJ741,'FRC Site Data'!$B$3:$L$42,6,FALSE)</f>
        <v>#N/A</v>
      </c>
      <c r="W749" s="10" t="e">
        <f>VLOOKUP(AJ741,'FRC Site Data'!$B$3:$L$42,8,FALSE)</f>
        <v>#N/A</v>
      </c>
      <c r="X749" s="10" t="e">
        <f>VLOOKUP(AJ741,'FRC Site Data'!$B$3:$L$42,9,FALSE)</f>
        <v>#N/A</v>
      </c>
      <c r="Y749" s="10" t="e">
        <f>VLOOKUP(AJ741,'FRC Site Data'!$B$3:$L$42,10,FALSE)</f>
        <v>#N/A</v>
      </c>
      <c r="Z749" s="10" t="e">
        <f>VLOOKUP(AJ741,'FRC Site Data'!$B$3:$L$42,11,FALSE)</f>
        <v>#N/A</v>
      </c>
      <c r="AA749" s="10" t="e">
        <f>VLOOKUP(AJ741,'CIR Team Info'!$C$5:$E$44,4,FALSE)</f>
        <v>#N/A</v>
      </c>
      <c r="AB749" s="161" t="b">
        <f>ISNUMBER(VLOOKUP(AJ741,Match!$T$5:$T$10,1,FALSE))</f>
        <v>0</v>
      </c>
      <c r="AC749" s="161" t="b">
        <f>IF(AB749=TRUE,(VLOOKUP($AJ741,Match!$T$5:$U$10,2,FALSE)))</f>
        <v>0</v>
      </c>
      <c r="AD749" s="8">
        <v>3</v>
      </c>
      <c r="AE749" s="8">
        <v>2</v>
      </c>
      <c r="AF749" s="8">
        <v>2</v>
      </c>
      <c r="AG749" s="8">
        <v>1</v>
      </c>
      <c r="AH749" s="8" t="str">
        <f t="shared" si="193"/>
        <v/>
      </c>
    </row>
    <row r="750" spans="1:34" x14ac:dyDescent="0.25">
      <c r="A750" s="29">
        <f t="shared" si="192"/>
        <v>0</v>
      </c>
      <c r="B750" s="29">
        <f t="shared" si="179"/>
        <v>0</v>
      </c>
      <c r="C750" s="29">
        <f t="shared" si="180"/>
        <v>0</v>
      </c>
      <c r="D750" s="29">
        <f t="shared" si="181"/>
        <v>0</v>
      </c>
      <c r="E750" s="29">
        <f t="shared" si="178"/>
        <v>0</v>
      </c>
      <c r="F750" s="29">
        <f t="shared" si="182"/>
        <v>0</v>
      </c>
      <c r="G750" s="29" t="str">
        <f t="shared" si="183"/>
        <v>offensive</v>
      </c>
      <c r="H750" s="16">
        <f t="shared" si="184"/>
        <v>0</v>
      </c>
      <c r="I750" s="16">
        <f t="shared" si="185"/>
        <v>0</v>
      </c>
      <c r="J750" s="16">
        <f t="shared" si="186"/>
        <v>0</v>
      </c>
      <c r="K750" s="16">
        <f t="shared" si="187"/>
        <v>0</v>
      </c>
      <c r="L750" s="67">
        <f t="shared" si="188"/>
        <v>0</v>
      </c>
      <c r="M750" s="4">
        <f t="shared" si="189"/>
        <v>0</v>
      </c>
      <c r="N750" s="4">
        <f t="shared" si="190"/>
        <v>0</v>
      </c>
      <c r="O750" s="4">
        <f t="shared" si="191"/>
        <v>0</v>
      </c>
      <c r="P750" s="4" t="e">
        <f>VLOOKUP(AJ742,'CIR Team Info'!$C$5:$E$44,2,FALSE)</f>
        <v>#N/A</v>
      </c>
      <c r="Q750" s="4" t="e">
        <f>VLOOKUP(AJ742,'CIR Team Info'!$C$5:$E$44,3,FALSE)</f>
        <v>#N/A</v>
      </c>
      <c r="R750" s="10" t="e">
        <f>VLOOKUP(AJ742,'FRC Site Data'!$B$3:$L$42,2,FALSE)</f>
        <v>#N/A</v>
      </c>
      <c r="S750" s="10" t="e">
        <f>VLOOKUP(AJ742,'FRC Site Data'!$B$3:$L$42,3,FALSE)</f>
        <v>#N/A</v>
      </c>
      <c r="T750" s="10" t="e">
        <f>VLOOKUP(AJ742,'FRC Site Data'!$B$3:$L$42,4,FALSE)</f>
        <v>#N/A</v>
      </c>
      <c r="U750" s="10" t="e">
        <f>VLOOKUP(AJ742,'FRC Site Data'!$B$3:$L$42,5,FALSE)</f>
        <v>#N/A</v>
      </c>
      <c r="V750" s="10" t="e">
        <f>VLOOKUP(AJ742,'FRC Site Data'!$B$3:$L$42,6,FALSE)</f>
        <v>#N/A</v>
      </c>
      <c r="W750" s="10" t="e">
        <f>VLOOKUP(AJ742,'FRC Site Data'!$B$3:$L$42,8,FALSE)</f>
        <v>#N/A</v>
      </c>
      <c r="X750" s="10" t="e">
        <f>VLOOKUP(AJ742,'FRC Site Data'!$B$3:$L$42,9,FALSE)</f>
        <v>#N/A</v>
      </c>
      <c r="Y750" s="10" t="e">
        <f>VLOOKUP(AJ742,'FRC Site Data'!$B$3:$L$42,10,FALSE)</f>
        <v>#N/A</v>
      </c>
      <c r="Z750" s="10" t="e">
        <f>VLOOKUP(AJ742,'FRC Site Data'!$B$3:$L$42,11,FALSE)</f>
        <v>#N/A</v>
      </c>
      <c r="AA750" s="10" t="e">
        <f>VLOOKUP(AJ742,'CIR Team Info'!$C$5:$E$44,4,FALSE)</f>
        <v>#N/A</v>
      </c>
      <c r="AB750" s="161" t="b">
        <f>ISNUMBER(VLOOKUP(AJ742,Match!$T$5:$T$10,1,FALSE))</f>
        <v>0</v>
      </c>
      <c r="AC750" s="161" t="b">
        <f>IF(AB750=TRUE,(VLOOKUP($AJ742,Match!$T$5:$U$10,2,FALSE)))</f>
        <v>0</v>
      </c>
      <c r="AD750" s="8">
        <v>3</v>
      </c>
      <c r="AE750" s="8">
        <v>2</v>
      </c>
      <c r="AF750" s="8">
        <v>2</v>
      </c>
      <c r="AG750" s="8">
        <v>1</v>
      </c>
      <c r="AH750" s="8" t="str">
        <f t="shared" si="193"/>
        <v/>
      </c>
    </row>
    <row r="751" spans="1:34" x14ac:dyDescent="0.25">
      <c r="A751" s="29">
        <f t="shared" si="192"/>
        <v>0</v>
      </c>
      <c r="B751" s="29">
        <f t="shared" si="179"/>
        <v>0</v>
      </c>
      <c r="C751" s="29">
        <f t="shared" si="180"/>
        <v>0</v>
      </c>
      <c r="D751" s="29">
        <f t="shared" si="181"/>
        <v>0</v>
      </c>
      <c r="E751" s="29">
        <f t="shared" si="178"/>
        <v>0</v>
      </c>
      <c r="F751" s="29">
        <f t="shared" si="182"/>
        <v>0</v>
      </c>
      <c r="G751" s="29" t="str">
        <f t="shared" si="183"/>
        <v>offensive</v>
      </c>
      <c r="H751" s="16">
        <f t="shared" si="184"/>
        <v>0</v>
      </c>
      <c r="I751" s="16">
        <f t="shared" si="185"/>
        <v>0</v>
      </c>
      <c r="J751" s="16">
        <f t="shared" si="186"/>
        <v>0</v>
      </c>
      <c r="K751" s="16">
        <f t="shared" si="187"/>
        <v>0</v>
      </c>
      <c r="L751" s="67">
        <f t="shared" si="188"/>
        <v>0</v>
      </c>
      <c r="M751" s="4">
        <f t="shared" si="189"/>
        <v>0</v>
      </c>
      <c r="N751" s="4">
        <f t="shared" si="190"/>
        <v>0</v>
      </c>
      <c r="O751" s="4">
        <f t="shared" si="191"/>
        <v>0</v>
      </c>
      <c r="P751" s="4" t="e">
        <f>VLOOKUP(AJ743,'CIR Team Info'!$C$5:$E$44,2,FALSE)</f>
        <v>#N/A</v>
      </c>
      <c r="Q751" s="4" t="e">
        <f>VLOOKUP(AJ743,'CIR Team Info'!$C$5:$E$44,3,FALSE)</f>
        <v>#N/A</v>
      </c>
      <c r="R751" s="10" t="e">
        <f>VLOOKUP(AJ743,'FRC Site Data'!$B$3:$L$42,2,FALSE)</f>
        <v>#N/A</v>
      </c>
      <c r="S751" s="10" t="e">
        <f>VLOOKUP(AJ743,'FRC Site Data'!$B$3:$L$42,3,FALSE)</f>
        <v>#N/A</v>
      </c>
      <c r="T751" s="10" t="e">
        <f>VLOOKUP(AJ743,'FRC Site Data'!$B$3:$L$42,4,FALSE)</f>
        <v>#N/A</v>
      </c>
      <c r="U751" s="10" t="e">
        <f>VLOOKUP(AJ743,'FRC Site Data'!$B$3:$L$42,5,FALSE)</f>
        <v>#N/A</v>
      </c>
      <c r="V751" s="10" t="e">
        <f>VLOOKUP(AJ743,'FRC Site Data'!$B$3:$L$42,6,FALSE)</f>
        <v>#N/A</v>
      </c>
      <c r="W751" s="10" t="e">
        <f>VLOOKUP(AJ743,'FRC Site Data'!$B$3:$L$42,8,FALSE)</f>
        <v>#N/A</v>
      </c>
      <c r="X751" s="10" t="e">
        <f>VLOOKUP(AJ743,'FRC Site Data'!$B$3:$L$42,9,FALSE)</f>
        <v>#N/A</v>
      </c>
      <c r="Y751" s="10" t="e">
        <f>VLOOKUP(AJ743,'FRC Site Data'!$B$3:$L$42,10,FALSE)</f>
        <v>#N/A</v>
      </c>
      <c r="Z751" s="10" t="e">
        <f>VLOOKUP(AJ743,'FRC Site Data'!$B$3:$L$42,11,FALSE)</f>
        <v>#N/A</v>
      </c>
      <c r="AA751" s="10" t="e">
        <f>VLOOKUP(AJ743,'CIR Team Info'!$C$5:$E$44,4,FALSE)</f>
        <v>#N/A</v>
      </c>
      <c r="AB751" s="161" t="b">
        <f>ISNUMBER(VLOOKUP(AJ743,Match!$T$5:$T$10,1,FALSE))</f>
        <v>0</v>
      </c>
      <c r="AC751" s="161" t="b">
        <f>IF(AB751=TRUE,(VLOOKUP($AJ743,Match!$T$5:$U$10,2,FALSE)))</f>
        <v>0</v>
      </c>
      <c r="AD751" s="8">
        <v>3</v>
      </c>
      <c r="AE751" s="8">
        <v>2</v>
      </c>
      <c r="AF751" s="8">
        <v>2</v>
      </c>
      <c r="AG751" s="8">
        <v>1</v>
      </c>
      <c r="AH751" s="8" t="str">
        <f t="shared" si="193"/>
        <v/>
      </c>
    </row>
    <row r="752" spans="1:34" x14ac:dyDescent="0.25">
      <c r="A752" s="29">
        <f t="shared" si="192"/>
        <v>0</v>
      </c>
      <c r="B752" s="29">
        <f t="shared" si="179"/>
        <v>0</v>
      </c>
      <c r="C752" s="29">
        <f t="shared" si="180"/>
        <v>0</v>
      </c>
      <c r="D752" s="29">
        <f t="shared" si="181"/>
        <v>0</v>
      </c>
      <c r="E752" s="29">
        <f t="shared" si="178"/>
        <v>0</v>
      </c>
      <c r="F752" s="29">
        <f t="shared" si="182"/>
        <v>0</v>
      </c>
      <c r="G752" s="29" t="str">
        <f t="shared" si="183"/>
        <v>offensive</v>
      </c>
      <c r="H752" s="16">
        <f t="shared" si="184"/>
        <v>0</v>
      </c>
      <c r="I752" s="16">
        <f t="shared" si="185"/>
        <v>0</v>
      </c>
      <c r="J752" s="16">
        <f t="shared" si="186"/>
        <v>0</v>
      </c>
      <c r="K752" s="16">
        <f t="shared" si="187"/>
        <v>0</v>
      </c>
      <c r="L752" s="67">
        <f t="shared" si="188"/>
        <v>0</v>
      </c>
      <c r="M752" s="4">
        <f t="shared" si="189"/>
        <v>0</v>
      </c>
      <c r="N752" s="4">
        <f t="shared" si="190"/>
        <v>0</v>
      </c>
      <c r="O752" s="4">
        <f t="shared" si="191"/>
        <v>0</v>
      </c>
      <c r="P752" s="4" t="e">
        <f>VLOOKUP(AJ744,'CIR Team Info'!$C$5:$E$44,2,FALSE)</f>
        <v>#N/A</v>
      </c>
      <c r="Q752" s="4" t="e">
        <f>VLOOKUP(AJ744,'CIR Team Info'!$C$5:$E$44,3,FALSE)</f>
        <v>#N/A</v>
      </c>
      <c r="R752" s="10" t="e">
        <f>VLOOKUP(AJ744,'FRC Site Data'!$B$3:$L$42,2,FALSE)</f>
        <v>#N/A</v>
      </c>
      <c r="S752" s="10" t="e">
        <f>VLOOKUP(AJ744,'FRC Site Data'!$B$3:$L$42,3,FALSE)</f>
        <v>#N/A</v>
      </c>
      <c r="T752" s="10" t="e">
        <f>VLOOKUP(AJ744,'FRC Site Data'!$B$3:$L$42,4,FALSE)</f>
        <v>#N/A</v>
      </c>
      <c r="U752" s="10" t="e">
        <f>VLOOKUP(AJ744,'FRC Site Data'!$B$3:$L$42,5,FALSE)</f>
        <v>#N/A</v>
      </c>
      <c r="V752" s="10" t="e">
        <f>VLOOKUP(AJ744,'FRC Site Data'!$B$3:$L$42,6,FALSE)</f>
        <v>#N/A</v>
      </c>
      <c r="W752" s="10" t="e">
        <f>VLOOKUP(AJ744,'FRC Site Data'!$B$3:$L$42,8,FALSE)</f>
        <v>#N/A</v>
      </c>
      <c r="X752" s="10" t="e">
        <f>VLOOKUP(AJ744,'FRC Site Data'!$B$3:$L$42,9,FALSE)</f>
        <v>#N/A</v>
      </c>
      <c r="Y752" s="10" t="e">
        <f>VLOOKUP(AJ744,'FRC Site Data'!$B$3:$L$42,10,FALSE)</f>
        <v>#N/A</v>
      </c>
      <c r="Z752" s="10" t="e">
        <f>VLOOKUP(AJ744,'FRC Site Data'!$B$3:$L$42,11,FALSE)</f>
        <v>#N/A</v>
      </c>
      <c r="AA752" s="10" t="e">
        <f>VLOOKUP(AJ744,'CIR Team Info'!$C$5:$E$44,4,FALSE)</f>
        <v>#N/A</v>
      </c>
      <c r="AB752" s="161" t="b">
        <f>ISNUMBER(VLOOKUP(AJ744,Match!$T$5:$T$10,1,FALSE))</f>
        <v>0</v>
      </c>
      <c r="AC752" s="161" t="b">
        <f>IF(AB752=TRUE,(VLOOKUP($AJ744,Match!$T$5:$U$10,2,FALSE)))</f>
        <v>0</v>
      </c>
      <c r="AD752" s="8">
        <v>3</v>
      </c>
      <c r="AE752" s="8">
        <v>2</v>
      </c>
      <c r="AF752" s="8">
        <v>2</v>
      </c>
      <c r="AG752" s="8">
        <v>1</v>
      </c>
      <c r="AH752" s="8" t="str">
        <f t="shared" si="193"/>
        <v/>
      </c>
    </row>
    <row r="753" spans="1:34" x14ac:dyDescent="0.25">
      <c r="A753" s="29">
        <f t="shared" si="192"/>
        <v>0</v>
      </c>
      <c r="B753" s="29">
        <f t="shared" si="179"/>
        <v>0</v>
      </c>
      <c r="C753" s="29">
        <f t="shared" si="180"/>
        <v>0</v>
      </c>
      <c r="D753" s="29">
        <f t="shared" si="181"/>
        <v>0</v>
      </c>
      <c r="E753" s="29">
        <f t="shared" si="178"/>
        <v>0</v>
      </c>
      <c r="F753" s="29">
        <f t="shared" si="182"/>
        <v>0</v>
      </c>
      <c r="G753" s="29" t="str">
        <f t="shared" si="183"/>
        <v>offensive</v>
      </c>
      <c r="H753" s="16">
        <f t="shared" si="184"/>
        <v>0</v>
      </c>
      <c r="I753" s="16">
        <f t="shared" si="185"/>
        <v>0</v>
      </c>
      <c r="J753" s="16">
        <f t="shared" si="186"/>
        <v>0</v>
      </c>
      <c r="K753" s="16">
        <f t="shared" si="187"/>
        <v>0</v>
      </c>
      <c r="L753" s="67">
        <f t="shared" si="188"/>
        <v>0</v>
      </c>
      <c r="M753" s="4">
        <f t="shared" si="189"/>
        <v>0</v>
      </c>
      <c r="N753" s="4">
        <f t="shared" si="190"/>
        <v>0</v>
      </c>
      <c r="O753" s="4">
        <f t="shared" si="191"/>
        <v>0</v>
      </c>
      <c r="P753" s="4" t="e">
        <f>VLOOKUP(AJ745,'CIR Team Info'!$C$5:$E$44,2,FALSE)</f>
        <v>#N/A</v>
      </c>
      <c r="Q753" s="4" t="e">
        <f>VLOOKUP(AJ745,'CIR Team Info'!$C$5:$E$44,3,FALSE)</f>
        <v>#N/A</v>
      </c>
      <c r="R753" s="10" t="e">
        <f>VLOOKUP(AJ745,'FRC Site Data'!$B$3:$L$42,2,FALSE)</f>
        <v>#N/A</v>
      </c>
      <c r="S753" s="10" t="e">
        <f>VLOOKUP(AJ745,'FRC Site Data'!$B$3:$L$42,3,FALSE)</f>
        <v>#N/A</v>
      </c>
      <c r="T753" s="10" t="e">
        <f>VLOOKUP(AJ745,'FRC Site Data'!$B$3:$L$42,4,FALSE)</f>
        <v>#N/A</v>
      </c>
      <c r="U753" s="10" t="e">
        <f>VLOOKUP(AJ745,'FRC Site Data'!$B$3:$L$42,5,FALSE)</f>
        <v>#N/A</v>
      </c>
      <c r="V753" s="10" t="e">
        <f>VLOOKUP(AJ745,'FRC Site Data'!$B$3:$L$42,6,FALSE)</f>
        <v>#N/A</v>
      </c>
      <c r="W753" s="10" t="e">
        <f>VLOOKUP(AJ745,'FRC Site Data'!$B$3:$L$42,8,FALSE)</f>
        <v>#N/A</v>
      </c>
      <c r="X753" s="10" t="e">
        <f>VLOOKUP(AJ745,'FRC Site Data'!$B$3:$L$42,9,FALSE)</f>
        <v>#N/A</v>
      </c>
      <c r="Y753" s="10" t="e">
        <f>VLOOKUP(AJ745,'FRC Site Data'!$B$3:$L$42,10,FALSE)</f>
        <v>#N/A</v>
      </c>
      <c r="Z753" s="10" t="e">
        <f>VLOOKUP(AJ745,'FRC Site Data'!$B$3:$L$42,11,FALSE)</f>
        <v>#N/A</v>
      </c>
      <c r="AA753" s="10" t="e">
        <f>VLOOKUP(AJ745,'CIR Team Info'!$C$5:$E$44,4,FALSE)</f>
        <v>#N/A</v>
      </c>
      <c r="AB753" s="161" t="b">
        <f>ISNUMBER(VLOOKUP(AJ745,Match!$T$5:$T$10,1,FALSE))</f>
        <v>0</v>
      </c>
      <c r="AC753" s="161" t="b">
        <f>IF(AB753=TRUE,(VLOOKUP($AJ745,Match!$T$5:$U$10,2,FALSE)))</f>
        <v>0</v>
      </c>
      <c r="AD753" s="8">
        <v>3</v>
      </c>
      <c r="AE753" s="8">
        <v>2</v>
      </c>
      <c r="AF753" s="8">
        <v>2</v>
      </c>
      <c r="AG753" s="8">
        <v>1</v>
      </c>
      <c r="AH753" s="8" t="str">
        <f t="shared" si="193"/>
        <v/>
      </c>
    </row>
    <row r="754" spans="1:34" x14ac:dyDescent="0.25">
      <c r="A754" s="29">
        <f t="shared" si="192"/>
        <v>0</v>
      </c>
      <c r="B754" s="29">
        <f t="shared" si="179"/>
        <v>0</v>
      </c>
      <c r="C754" s="29">
        <f t="shared" si="180"/>
        <v>0</v>
      </c>
      <c r="D754" s="29">
        <f t="shared" si="181"/>
        <v>0</v>
      </c>
      <c r="E754" s="29">
        <f t="shared" si="178"/>
        <v>0</v>
      </c>
      <c r="F754" s="29">
        <f t="shared" si="182"/>
        <v>0</v>
      </c>
      <c r="G754" s="29" t="str">
        <f t="shared" si="183"/>
        <v>offensive</v>
      </c>
      <c r="H754" s="16">
        <f t="shared" si="184"/>
        <v>0</v>
      </c>
      <c r="I754" s="16">
        <f t="shared" si="185"/>
        <v>0</v>
      </c>
      <c r="J754" s="16">
        <f t="shared" si="186"/>
        <v>0</v>
      </c>
      <c r="K754" s="16">
        <f t="shared" si="187"/>
        <v>0</v>
      </c>
      <c r="L754" s="67">
        <f t="shared" si="188"/>
        <v>0</v>
      </c>
      <c r="M754" s="4">
        <f t="shared" si="189"/>
        <v>0</v>
      </c>
      <c r="N754" s="4">
        <f t="shared" si="190"/>
        <v>0</v>
      </c>
      <c r="O754" s="4">
        <f t="shared" si="191"/>
        <v>0</v>
      </c>
      <c r="P754" s="4" t="e">
        <f>VLOOKUP(AJ746,'CIR Team Info'!$C$5:$E$44,2,FALSE)</f>
        <v>#N/A</v>
      </c>
      <c r="Q754" s="4" t="e">
        <f>VLOOKUP(AJ746,'CIR Team Info'!$C$5:$E$44,3,FALSE)</f>
        <v>#N/A</v>
      </c>
      <c r="R754" s="10" t="e">
        <f>VLOOKUP(AJ746,'FRC Site Data'!$B$3:$L$42,2,FALSE)</f>
        <v>#N/A</v>
      </c>
      <c r="S754" s="10" t="e">
        <f>VLOOKUP(AJ746,'FRC Site Data'!$B$3:$L$42,3,FALSE)</f>
        <v>#N/A</v>
      </c>
      <c r="T754" s="10" t="e">
        <f>VLOOKUP(AJ746,'FRC Site Data'!$B$3:$L$42,4,FALSE)</f>
        <v>#N/A</v>
      </c>
      <c r="U754" s="10" t="e">
        <f>VLOOKUP(AJ746,'FRC Site Data'!$B$3:$L$42,5,FALSE)</f>
        <v>#N/A</v>
      </c>
      <c r="V754" s="10" t="e">
        <f>VLOOKUP(AJ746,'FRC Site Data'!$B$3:$L$42,6,FALSE)</f>
        <v>#N/A</v>
      </c>
      <c r="W754" s="10" t="e">
        <f>VLOOKUP(AJ746,'FRC Site Data'!$B$3:$L$42,8,FALSE)</f>
        <v>#N/A</v>
      </c>
      <c r="X754" s="10" t="e">
        <f>VLOOKUP(AJ746,'FRC Site Data'!$B$3:$L$42,9,FALSE)</f>
        <v>#N/A</v>
      </c>
      <c r="Y754" s="10" t="e">
        <f>VLOOKUP(AJ746,'FRC Site Data'!$B$3:$L$42,10,FALSE)</f>
        <v>#N/A</v>
      </c>
      <c r="Z754" s="10" t="e">
        <f>VLOOKUP(AJ746,'FRC Site Data'!$B$3:$L$42,11,FALSE)</f>
        <v>#N/A</v>
      </c>
      <c r="AA754" s="10" t="e">
        <f>VLOOKUP(AJ746,'CIR Team Info'!$C$5:$E$44,4,FALSE)</f>
        <v>#N/A</v>
      </c>
      <c r="AB754" s="161" t="b">
        <f>ISNUMBER(VLOOKUP(AJ746,Match!$T$5:$T$10,1,FALSE))</f>
        <v>0</v>
      </c>
      <c r="AC754" s="161" t="b">
        <f>IF(AB754=TRUE,(VLOOKUP($AJ746,Match!$T$5:$U$10,2,FALSE)))</f>
        <v>0</v>
      </c>
      <c r="AD754" s="8">
        <v>3</v>
      </c>
      <c r="AE754" s="8">
        <v>2</v>
      </c>
      <c r="AF754" s="8">
        <v>2</v>
      </c>
      <c r="AG754" s="8">
        <v>1</v>
      </c>
      <c r="AH754" s="8" t="str">
        <f t="shared" si="193"/>
        <v/>
      </c>
    </row>
    <row r="755" spans="1:34" x14ac:dyDescent="0.25">
      <c r="A755" s="29">
        <f t="shared" si="192"/>
        <v>0</v>
      </c>
      <c r="B755" s="29">
        <f t="shared" si="179"/>
        <v>0</v>
      </c>
      <c r="C755" s="29">
        <f t="shared" si="180"/>
        <v>0</v>
      </c>
      <c r="D755" s="29">
        <f t="shared" si="181"/>
        <v>0</v>
      </c>
      <c r="E755" s="29">
        <f t="shared" si="178"/>
        <v>0</v>
      </c>
      <c r="F755" s="29">
        <f t="shared" si="182"/>
        <v>0</v>
      </c>
      <c r="G755" s="29" t="str">
        <f t="shared" si="183"/>
        <v>offensive</v>
      </c>
      <c r="H755" s="16">
        <f t="shared" si="184"/>
        <v>0</v>
      </c>
      <c r="I755" s="16">
        <f t="shared" si="185"/>
        <v>0</v>
      </c>
      <c r="J755" s="16">
        <f t="shared" si="186"/>
        <v>0</v>
      </c>
      <c r="K755" s="16">
        <f t="shared" si="187"/>
        <v>0</v>
      </c>
      <c r="L755" s="67">
        <f t="shared" si="188"/>
        <v>0</v>
      </c>
      <c r="M755" s="4">
        <f t="shared" si="189"/>
        <v>0</v>
      </c>
      <c r="N755" s="4">
        <f t="shared" si="190"/>
        <v>0</v>
      </c>
      <c r="O755" s="4">
        <f t="shared" si="191"/>
        <v>0</v>
      </c>
      <c r="P755" s="4" t="e">
        <f>VLOOKUP(AJ747,'CIR Team Info'!$C$5:$E$44,2,FALSE)</f>
        <v>#N/A</v>
      </c>
      <c r="Q755" s="4" t="e">
        <f>VLOOKUP(AJ747,'CIR Team Info'!$C$5:$E$44,3,FALSE)</f>
        <v>#N/A</v>
      </c>
      <c r="R755" s="10" t="e">
        <f>VLOOKUP(AJ747,'FRC Site Data'!$B$3:$L$42,2,FALSE)</f>
        <v>#N/A</v>
      </c>
      <c r="S755" s="10" t="e">
        <f>VLOOKUP(AJ747,'FRC Site Data'!$B$3:$L$42,3,FALSE)</f>
        <v>#N/A</v>
      </c>
      <c r="T755" s="10" t="e">
        <f>VLOOKUP(AJ747,'FRC Site Data'!$B$3:$L$42,4,FALSE)</f>
        <v>#N/A</v>
      </c>
      <c r="U755" s="10" t="e">
        <f>VLOOKUP(AJ747,'FRC Site Data'!$B$3:$L$42,5,FALSE)</f>
        <v>#N/A</v>
      </c>
      <c r="V755" s="10" t="e">
        <f>VLOOKUP(AJ747,'FRC Site Data'!$B$3:$L$42,6,FALSE)</f>
        <v>#N/A</v>
      </c>
      <c r="W755" s="10" t="e">
        <f>VLOOKUP(AJ747,'FRC Site Data'!$B$3:$L$42,8,FALSE)</f>
        <v>#N/A</v>
      </c>
      <c r="X755" s="10" t="e">
        <f>VLOOKUP(AJ747,'FRC Site Data'!$B$3:$L$42,9,FALSE)</f>
        <v>#N/A</v>
      </c>
      <c r="Y755" s="10" t="e">
        <f>VLOOKUP(AJ747,'FRC Site Data'!$B$3:$L$42,10,FALSE)</f>
        <v>#N/A</v>
      </c>
      <c r="Z755" s="10" t="e">
        <f>VLOOKUP(AJ747,'FRC Site Data'!$B$3:$L$42,11,FALSE)</f>
        <v>#N/A</v>
      </c>
      <c r="AA755" s="10" t="e">
        <f>VLOOKUP(AJ747,'CIR Team Info'!$C$5:$E$44,4,FALSE)</f>
        <v>#N/A</v>
      </c>
      <c r="AB755" s="161" t="b">
        <f>ISNUMBER(VLOOKUP(AJ747,Match!$T$5:$T$10,1,FALSE))</f>
        <v>0</v>
      </c>
      <c r="AC755" s="161" t="b">
        <f>IF(AB755=TRUE,(VLOOKUP($AJ747,Match!$T$5:$U$10,2,FALSE)))</f>
        <v>0</v>
      </c>
      <c r="AD755" s="8">
        <v>3</v>
      </c>
      <c r="AE755" s="8">
        <v>2</v>
      </c>
      <c r="AF755" s="8">
        <v>2</v>
      </c>
      <c r="AG755" s="8">
        <v>1</v>
      </c>
      <c r="AH755" s="8" t="str">
        <f t="shared" si="193"/>
        <v/>
      </c>
    </row>
    <row r="756" spans="1:34" x14ac:dyDescent="0.25">
      <c r="A756" s="29">
        <f t="shared" si="192"/>
        <v>0</v>
      </c>
      <c r="B756" s="29">
        <f t="shared" si="179"/>
        <v>0</v>
      </c>
      <c r="C756" s="29">
        <f t="shared" si="180"/>
        <v>0</v>
      </c>
      <c r="D756" s="29">
        <f t="shared" si="181"/>
        <v>0</v>
      </c>
      <c r="E756" s="29">
        <f t="shared" si="178"/>
        <v>0</v>
      </c>
      <c r="F756" s="29">
        <f t="shared" si="182"/>
        <v>0</v>
      </c>
      <c r="G756" s="29" t="str">
        <f t="shared" si="183"/>
        <v>offensive</v>
      </c>
      <c r="H756" s="16">
        <f t="shared" si="184"/>
        <v>0</v>
      </c>
      <c r="I756" s="16">
        <f t="shared" si="185"/>
        <v>0</v>
      </c>
      <c r="J756" s="16">
        <f t="shared" si="186"/>
        <v>0</v>
      </c>
      <c r="K756" s="16">
        <f t="shared" si="187"/>
        <v>0</v>
      </c>
      <c r="L756" s="67">
        <f t="shared" si="188"/>
        <v>0</v>
      </c>
      <c r="M756" s="4">
        <f t="shared" si="189"/>
        <v>0</v>
      </c>
      <c r="N756" s="4">
        <f t="shared" si="190"/>
        <v>0</v>
      </c>
      <c r="O756" s="4">
        <f t="shared" si="191"/>
        <v>0</v>
      </c>
      <c r="P756" s="4" t="e">
        <f>VLOOKUP(AJ748,'CIR Team Info'!$C$5:$E$44,2,FALSE)</f>
        <v>#N/A</v>
      </c>
      <c r="Q756" s="4" t="e">
        <f>VLOOKUP(AJ748,'CIR Team Info'!$C$5:$E$44,3,FALSE)</f>
        <v>#N/A</v>
      </c>
      <c r="R756" s="10" t="e">
        <f>VLOOKUP(AJ748,'FRC Site Data'!$B$3:$L$42,2,FALSE)</f>
        <v>#N/A</v>
      </c>
      <c r="S756" s="10" t="e">
        <f>VLOOKUP(AJ748,'FRC Site Data'!$B$3:$L$42,3,FALSE)</f>
        <v>#N/A</v>
      </c>
      <c r="T756" s="10" t="e">
        <f>VLOOKUP(AJ748,'FRC Site Data'!$B$3:$L$42,4,FALSE)</f>
        <v>#N/A</v>
      </c>
      <c r="U756" s="10" t="e">
        <f>VLOOKUP(AJ748,'FRC Site Data'!$B$3:$L$42,5,FALSE)</f>
        <v>#N/A</v>
      </c>
      <c r="V756" s="10" t="e">
        <f>VLOOKUP(AJ748,'FRC Site Data'!$B$3:$L$42,6,FALSE)</f>
        <v>#N/A</v>
      </c>
      <c r="W756" s="10" t="e">
        <f>VLOOKUP(AJ748,'FRC Site Data'!$B$3:$L$42,8,FALSE)</f>
        <v>#N/A</v>
      </c>
      <c r="X756" s="10" t="e">
        <f>VLOOKUP(AJ748,'FRC Site Data'!$B$3:$L$42,9,FALSE)</f>
        <v>#N/A</v>
      </c>
      <c r="Y756" s="10" t="e">
        <f>VLOOKUP(AJ748,'FRC Site Data'!$B$3:$L$42,10,FALSE)</f>
        <v>#N/A</v>
      </c>
      <c r="Z756" s="10" t="e">
        <f>VLOOKUP(AJ748,'FRC Site Data'!$B$3:$L$42,11,FALSE)</f>
        <v>#N/A</v>
      </c>
      <c r="AA756" s="10" t="e">
        <f>VLOOKUP(AJ748,'CIR Team Info'!$C$5:$E$44,4,FALSE)</f>
        <v>#N/A</v>
      </c>
      <c r="AB756" s="161" t="b">
        <f>ISNUMBER(VLOOKUP(AJ748,Match!$T$5:$T$10,1,FALSE))</f>
        <v>0</v>
      </c>
      <c r="AC756" s="161" t="b">
        <f>IF(AB756=TRUE,(VLOOKUP($AJ748,Match!$T$5:$U$10,2,FALSE)))</f>
        <v>0</v>
      </c>
      <c r="AD756" s="8">
        <v>3</v>
      </c>
      <c r="AE756" s="8">
        <v>2</v>
      </c>
      <c r="AF756" s="8">
        <v>2</v>
      </c>
      <c r="AG756" s="8">
        <v>1</v>
      </c>
      <c r="AH756" s="8" t="str">
        <f t="shared" si="193"/>
        <v/>
      </c>
    </row>
    <row r="757" spans="1:34" x14ac:dyDescent="0.25">
      <c r="A757" s="29">
        <f t="shared" si="192"/>
        <v>0</v>
      </c>
      <c r="B757" s="29">
        <f t="shared" si="179"/>
        <v>0</v>
      </c>
      <c r="C757" s="29">
        <f t="shared" si="180"/>
        <v>0</v>
      </c>
      <c r="D757" s="29">
        <f t="shared" si="181"/>
        <v>0</v>
      </c>
      <c r="E757" s="29">
        <f t="shared" si="178"/>
        <v>0</v>
      </c>
      <c r="F757" s="29">
        <f t="shared" si="182"/>
        <v>0</v>
      </c>
      <c r="G757" s="29" t="str">
        <f t="shared" si="183"/>
        <v>offensive</v>
      </c>
      <c r="H757" s="16">
        <f t="shared" si="184"/>
        <v>0</v>
      </c>
      <c r="I757" s="16">
        <f t="shared" si="185"/>
        <v>0</v>
      </c>
      <c r="J757" s="16">
        <f t="shared" si="186"/>
        <v>0</v>
      </c>
      <c r="K757" s="16">
        <f t="shared" si="187"/>
        <v>0</v>
      </c>
      <c r="L757" s="67">
        <f t="shared" si="188"/>
        <v>0</v>
      </c>
      <c r="M757" s="4">
        <f t="shared" si="189"/>
        <v>0</v>
      </c>
      <c r="N757" s="4">
        <f t="shared" si="190"/>
        <v>0</v>
      </c>
      <c r="O757" s="4">
        <f t="shared" si="191"/>
        <v>0</v>
      </c>
      <c r="P757" s="4" t="e">
        <f>VLOOKUP(AJ749,'CIR Team Info'!$C$5:$E$44,2,FALSE)</f>
        <v>#N/A</v>
      </c>
      <c r="Q757" s="4" t="e">
        <f>VLOOKUP(AJ749,'CIR Team Info'!$C$5:$E$44,3,FALSE)</f>
        <v>#N/A</v>
      </c>
      <c r="R757" s="10" t="e">
        <f>VLOOKUP(AJ749,'FRC Site Data'!$B$3:$L$42,2,FALSE)</f>
        <v>#N/A</v>
      </c>
      <c r="S757" s="10" t="e">
        <f>VLOOKUP(AJ749,'FRC Site Data'!$B$3:$L$42,3,FALSE)</f>
        <v>#N/A</v>
      </c>
      <c r="T757" s="10" t="e">
        <f>VLOOKUP(AJ749,'FRC Site Data'!$B$3:$L$42,4,FALSE)</f>
        <v>#N/A</v>
      </c>
      <c r="U757" s="10" t="e">
        <f>VLOOKUP(AJ749,'FRC Site Data'!$B$3:$L$42,5,FALSE)</f>
        <v>#N/A</v>
      </c>
      <c r="V757" s="10" t="e">
        <f>VLOOKUP(AJ749,'FRC Site Data'!$B$3:$L$42,6,FALSE)</f>
        <v>#N/A</v>
      </c>
      <c r="W757" s="10" t="e">
        <f>VLOOKUP(AJ749,'FRC Site Data'!$B$3:$L$42,8,FALSE)</f>
        <v>#N/A</v>
      </c>
      <c r="X757" s="10" t="e">
        <f>VLOOKUP(AJ749,'FRC Site Data'!$B$3:$L$42,9,FALSE)</f>
        <v>#N/A</v>
      </c>
      <c r="Y757" s="10" t="e">
        <f>VLOOKUP(AJ749,'FRC Site Data'!$B$3:$L$42,10,FALSE)</f>
        <v>#N/A</v>
      </c>
      <c r="Z757" s="10" t="e">
        <f>VLOOKUP(AJ749,'FRC Site Data'!$B$3:$L$42,11,FALSE)</f>
        <v>#N/A</v>
      </c>
      <c r="AA757" s="10" t="e">
        <f>VLOOKUP(AJ749,'CIR Team Info'!$C$5:$E$44,4,FALSE)</f>
        <v>#N/A</v>
      </c>
      <c r="AB757" s="161" t="b">
        <f>ISNUMBER(VLOOKUP(AJ749,Match!$T$5:$T$10,1,FALSE))</f>
        <v>0</v>
      </c>
      <c r="AC757" s="161" t="b">
        <f>IF(AB757=TRUE,(VLOOKUP($AJ749,Match!$T$5:$U$10,2,FALSE)))</f>
        <v>0</v>
      </c>
      <c r="AD757" s="8">
        <v>3</v>
      </c>
      <c r="AE757" s="8">
        <v>2</v>
      </c>
      <c r="AF757" s="8">
        <v>2</v>
      </c>
      <c r="AG757" s="8">
        <v>1</v>
      </c>
      <c r="AH757" s="8" t="str">
        <f t="shared" si="193"/>
        <v/>
      </c>
    </row>
    <row r="758" spans="1:34" x14ac:dyDescent="0.25">
      <c r="A758" s="29">
        <f t="shared" si="192"/>
        <v>0</v>
      </c>
      <c r="B758" s="29">
        <f t="shared" si="179"/>
        <v>0</v>
      </c>
      <c r="C758" s="29">
        <f t="shared" si="180"/>
        <v>0</v>
      </c>
      <c r="D758" s="29">
        <f t="shared" si="181"/>
        <v>0</v>
      </c>
      <c r="E758" s="29">
        <f t="shared" si="178"/>
        <v>0</v>
      </c>
      <c r="F758" s="29">
        <f t="shared" si="182"/>
        <v>0</v>
      </c>
      <c r="G758" s="29" t="str">
        <f t="shared" si="183"/>
        <v>offensive</v>
      </c>
      <c r="H758" s="16">
        <f t="shared" si="184"/>
        <v>0</v>
      </c>
      <c r="I758" s="16">
        <f t="shared" si="185"/>
        <v>0</v>
      </c>
      <c r="J758" s="16">
        <f t="shared" si="186"/>
        <v>0</v>
      </c>
      <c r="K758" s="16">
        <f t="shared" si="187"/>
        <v>0</v>
      </c>
      <c r="L758" s="67">
        <f t="shared" si="188"/>
        <v>0</v>
      </c>
      <c r="M758" s="4">
        <f t="shared" si="189"/>
        <v>0</v>
      </c>
      <c r="N758" s="4">
        <f t="shared" si="190"/>
        <v>0</v>
      </c>
      <c r="O758" s="4">
        <f t="shared" si="191"/>
        <v>0</v>
      </c>
      <c r="P758" s="4" t="e">
        <f>VLOOKUP(AJ750,'CIR Team Info'!$C$5:$E$44,2,FALSE)</f>
        <v>#N/A</v>
      </c>
      <c r="Q758" s="4" t="e">
        <f>VLOOKUP(AJ750,'CIR Team Info'!$C$5:$E$44,3,FALSE)</f>
        <v>#N/A</v>
      </c>
      <c r="R758" s="10" t="e">
        <f>VLOOKUP(AJ750,'FRC Site Data'!$B$3:$L$42,2,FALSE)</f>
        <v>#N/A</v>
      </c>
      <c r="S758" s="10" t="e">
        <f>VLOOKUP(AJ750,'FRC Site Data'!$B$3:$L$42,3,FALSE)</f>
        <v>#N/A</v>
      </c>
      <c r="T758" s="10" t="e">
        <f>VLOOKUP(AJ750,'FRC Site Data'!$B$3:$L$42,4,FALSE)</f>
        <v>#N/A</v>
      </c>
      <c r="U758" s="10" t="e">
        <f>VLOOKUP(AJ750,'FRC Site Data'!$B$3:$L$42,5,FALSE)</f>
        <v>#N/A</v>
      </c>
      <c r="V758" s="10" t="e">
        <f>VLOOKUP(AJ750,'FRC Site Data'!$B$3:$L$42,6,FALSE)</f>
        <v>#N/A</v>
      </c>
      <c r="W758" s="10" t="e">
        <f>VLOOKUP(AJ750,'FRC Site Data'!$B$3:$L$42,8,FALSE)</f>
        <v>#N/A</v>
      </c>
      <c r="X758" s="10" t="e">
        <f>VLOOKUP(AJ750,'FRC Site Data'!$B$3:$L$42,9,FALSE)</f>
        <v>#N/A</v>
      </c>
      <c r="Y758" s="10" t="e">
        <f>VLOOKUP(AJ750,'FRC Site Data'!$B$3:$L$42,10,FALSE)</f>
        <v>#N/A</v>
      </c>
      <c r="Z758" s="10" t="e">
        <f>VLOOKUP(AJ750,'FRC Site Data'!$B$3:$L$42,11,FALSE)</f>
        <v>#N/A</v>
      </c>
      <c r="AA758" s="10" t="e">
        <f>VLOOKUP(AJ750,'CIR Team Info'!$C$5:$E$44,4,FALSE)</f>
        <v>#N/A</v>
      </c>
      <c r="AB758" s="161" t="b">
        <f>ISNUMBER(VLOOKUP(AJ750,Match!$T$5:$T$10,1,FALSE))</f>
        <v>0</v>
      </c>
      <c r="AC758" s="161" t="b">
        <f>IF(AB758=TRUE,(VLOOKUP($AJ750,Match!$T$5:$U$10,2,FALSE)))</f>
        <v>0</v>
      </c>
      <c r="AD758" s="8">
        <v>3</v>
      </c>
      <c r="AE758" s="8">
        <v>2</v>
      </c>
      <c r="AF758" s="8">
        <v>2</v>
      </c>
      <c r="AG758" s="8">
        <v>1</v>
      </c>
      <c r="AH758" s="8" t="str">
        <f t="shared" si="193"/>
        <v/>
      </c>
    </row>
    <row r="759" spans="1:34" x14ac:dyDescent="0.25">
      <c r="A759" s="29">
        <f t="shared" si="192"/>
        <v>0</v>
      </c>
      <c r="B759" s="29">
        <f t="shared" si="179"/>
        <v>0</v>
      </c>
      <c r="C759" s="29">
        <f t="shared" si="180"/>
        <v>0</v>
      </c>
      <c r="D759" s="29">
        <f t="shared" si="181"/>
        <v>0</v>
      </c>
      <c r="E759" s="29">
        <f t="shared" si="178"/>
        <v>0</v>
      </c>
      <c r="F759" s="29">
        <f t="shared" si="182"/>
        <v>0</v>
      </c>
      <c r="G759" s="29" t="str">
        <f t="shared" si="183"/>
        <v>offensive</v>
      </c>
      <c r="H759" s="16">
        <f t="shared" si="184"/>
        <v>0</v>
      </c>
      <c r="I759" s="16">
        <f t="shared" si="185"/>
        <v>0</v>
      </c>
      <c r="J759" s="16">
        <f t="shared" si="186"/>
        <v>0</v>
      </c>
      <c r="K759" s="16">
        <f t="shared" si="187"/>
        <v>0</v>
      </c>
      <c r="L759" s="67">
        <f t="shared" si="188"/>
        <v>0</v>
      </c>
      <c r="M759" s="4">
        <f t="shared" si="189"/>
        <v>0</v>
      </c>
      <c r="N759" s="4">
        <f t="shared" si="190"/>
        <v>0</v>
      </c>
      <c r="O759" s="4">
        <f t="shared" si="191"/>
        <v>0</v>
      </c>
      <c r="P759" s="4" t="e">
        <f>VLOOKUP(AJ751,'CIR Team Info'!$C$5:$E$44,2,FALSE)</f>
        <v>#N/A</v>
      </c>
      <c r="Q759" s="4" t="e">
        <f>VLOOKUP(AJ751,'CIR Team Info'!$C$5:$E$44,3,FALSE)</f>
        <v>#N/A</v>
      </c>
      <c r="R759" s="10" t="e">
        <f>VLOOKUP(AJ751,'FRC Site Data'!$B$3:$L$42,2,FALSE)</f>
        <v>#N/A</v>
      </c>
      <c r="S759" s="10" t="e">
        <f>VLOOKUP(AJ751,'FRC Site Data'!$B$3:$L$42,3,FALSE)</f>
        <v>#N/A</v>
      </c>
      <c r="T759" s="10" t="e">
        <f>VLOOKUP(AJ751,'FRC Site Data'!$B$3:$L$42,4,FALSE)</f>
        <v>#N/A</v>
      </c>
      <c r="U759" s="10" t="e">
        <f>VLOOKUP(AJ751,'FRC Site Data'!$B$3:$L$42,5,FALSE)</f>
        <v>#N/A</v>
      </c>
      <c r="V759" s="10" t="e">
        <f>VLOOKUP(AJ751,'FRC Site Data'!$B$3:$L$42,6,FALSE)</f>
        <v>#N/A</v>
      </c>
      <c r="W759" s="10" t="e">
        <f>VLOOKUP(AJ751,'FRC Site Data'!$B$3:$L$42,8,FALSE)</f>
        <v>#N/A</v>
      </c>
      <c r="X759" s="10" t="e">
        <f>VLOOKUP(AJ751,'FRC Site Data'!$B$3:$L$42,9,FALSE)</f>
        <v>#N/A</v>
      </c>
      <c r="Y759" s="10" t="e">
        <f>VLOOKUP(AJ751,'FRC Site Data'!$B$3:$L$42,10,FALSE)</f>
        <v>#N/A</v>
      </c>
      <c r="Z759" s="10" t="e">
        <f>VLOOKUP(AJ751,'FRC Site Data'!$B$3:$L$42,11,FALSE)</f>
        <v>#N/A</v>
      </c>
      <c r="AA759" s="10" t="e">
        <f>VLOOKUP(AJ751,'CIR Team Info'!$C$5:$E$44,4,FALSE)</f>
        <v>#N/A</v>
      </c>
      <c r="AB759" s="161" t="b">
        <f>ISNUMBER(VLOOKUP(AJ751,Match!$T$5:$T$10,1,FALSE))</f>
        <v>0</v>
      </c>
      <c r="AC759" s="161" t="b">
        <f>IF(AB759=TRUE,(VLOOKUP($AJ751,Match!$T$5:$U$10,2,FALSE)))</f>
        <v>0</v>
      </c>
      <c r="AD759" s="8">
        <v>3</v>
      </c>
      <c r="AE759" s="8">
        <v>2</v>
      </c>
      <c r="AF759" s="8">
        <v>2</v>
      </c>
      <c r="AG759" s="8">
        <v>1</v>
      </c>
      <c r="AH759" s="8" t="str">
        <f t="shared" si="193"/>
        <v/>
      </c>
    </row>
    <row r="760" spans="1:34" x14ac:dyDescent="0.25">
      <c r="A760" s="29">
        <f t="shared" si="192"/>
        <v>0</v>
      </c>
      <c r="B760" s="29">
        <f t="shared" si="179"/>
        <v>0</v>
      </c>
      <c r="C760" s="29">
        <f t="shared" si="180"/>
        <v>0</v>
      </c>
      <c r="D760" s="29">
        <f t="shared" si="181"/>
        <v>0</v>
      </c>
      <c r="E760" s="29">
        <f t="shared" si="178"/>
        <v>0</v>
      </c>
      <c r="F760" s="29">
        <f t="shared" si="182"/>
        <v>0</v>
      </c>
      <c r="G760" s="29" t="str">
        <f t="shared" si="183"/>
        <v>offensive</v>
      </c>
      <c r="H760" s="16">
        <f t="shared" si="184"/>
        <v>0</v>
      </c>
      <c r="I760" s="16">
        <f t="shared" si="185"/>
        <v>0</v>
      </c>
      <c r="J760" s="16">
        <f t="shared" si="186"/>
        <v>0</v>
      </c>
      <c r="K760" s="16">
        <f t="shared" si="187"/>
        <v>0</v>
      </c>
      <c r="L760" s="67">
        <f t="shared" si="188"/>
        <v>0</v>
      </c>
      <c r="M760" s="4">
        <f t="shared" si="189"/>
        <v>0</v>
      </c>
      <c r="N760" s="4">
        <f t="shared" si="190"/>
        <v>0</v>
      </c>
      <c r="O760" s="4">
        <f t="shared" si="191"/>
        <v>0</v>
      </c>
      <c r="P760" s="4" t="e">
        <f>VLOOKUP(AJ752,'CIR Team Info'!$C$5:$E$44,2,FALSE)</f>
        <v>#N/A</v>
      </c>
      <c r="Q760" s="4" t="e">
        <f>VLOOKUP(AJ752,'CIR Team Info'!$C$5:$E$44,3,FALSE)</f>
        <v>#N/A</v>
      </c>
      <c r="R760" s="10" t="e">
        <f>VLOOKUP(AJ752,'FRC Site Data'!$B$3:$L$42,2,FALSE)</f>
        <v>#N/A</v>
      </c>
      <c r="S760" s="10" t="e">
        <f>VLOOKUP(AJ752,'FRC Site Data'!$B$3:$L$42,3,FALSE)</f>
        <v>#N/A</v>
      </c>
      <c r="T760" s="10" t="e">
        <f>VLOOKUP(AJ752,'FRC Site Data'!$B$3:$L$42,4,FALSE)</f>
        <v>#N/A</v>
      </c>
      <c r="U760" s="10" t="e">
        <f>VLOOKUP(AJ752,'FRC Site Data'!$B$3:$L$42,5,FALSE)</f>
        <v>#N/A</v>
      </c>
      <c r="V760" s="10" t="e">
        <f>VLOOKUP(AJ752,'FRC Site Data'!$B$3:$L$42,6,FALSE)</f>
        <v>#N/A</v>
      </c>
      <c r="W760" s="10" t="e">
        <f>VLOOKUP(AJ752,'FRC Site Data'!$B$3:$L$42,8,FALSE)</f>
        <v>#N/A</v>
      </c>
      <c r="X760" s="10" t="e">
        <f>VLOOKUP(AJ752,'FRC Site Data'!$B$3:$L$42,9,FALSE)</f>
        <v>#N/A</v>
      </c>
      <c r="Y760" s="10" t="e">
        <f>VLOOKUP(AJ752,'FRC Site Data'!$B$3:$L$42,10,FALSE)</f>
        <v>#N/A</v>
      </c>
      <c r="Z760" s="10" t="e">
        <f>VLOOKUP(AJ752,'FRC Site Data'!$B$3:$L$42,11,FALSE)</f>
        <v>#N/A</v>
      </c>
      <c r="AA760" s="10" t="e">
        <f>VLOOKUP(AJ752,'CIR Team Info'!$C$5:$E$44,4,FALSE)</f>
        <v>#N/A</v>
      </c>
      <c r="AB760" s="161" t="b">
        <f>ISNUMBER(VLOOKUP(AJ752,Match!$T$5:$T$10,1,FALSE))</f>
        <v>0</v>
      </c>
      <c r="AC760" s="161" t="b">
        <f>IF(AB760=TRUE,(VLOOKUP($AJ752,Match!$T$5:$U$10,2,FALSE)))</f>
        <v>0</v>
      </c>
      <c r="AD760" s="8">
        <v>3</v>
      </c>
      <c r="AE760" s="8">
        <v>2</v>
      </c>
      <c r="AF760" s="8">
        <v>2</v>
      </c>
      <c r="AG760" s="8">
        <v>1</v>
      </c>
      <c r="AH760" s="8" t="str">
        <f t="shared" si="193"/>
        <v/>
      </c>
    </row>
    <row r="761" spans="1:34" x14ac:dyDescent="0.25">
      <c r="A761" s="29">
        <f t="shared" si="192"/>
        <v>0</v>
      </c>
      <c r="B761" s="29">
        <f t="shared" si="179"/>
        <v>0</v>
      </c>
      <c r="C761" s="29">
        <f t="shared" si="180"/>
        <v>0</v>
      </c>
      <c r="D761" s="29">
        <f t="shared" si="181"/>
        <v>0</v>
      </c>
      <c r="E761" s="29">
        <f t="shared" si="178"/>
        <v>0</v>
      </c>
      <c r="F761" s="29">
        <f t="shared" si="182"/>
        <v>0</v>
      </c>
      <c r="G761" s="29" t="str">
        <f t="shared" si="183"/>
        <v>offensive</v>
      </c>
      <c r="H761" s="16">
        <f t="shared" si="184"/>
        <v>0</v>
      </c>
      <c r="I761" s="16">
        <f t="shared" si="185"/>
        <v>0</v>
      </c>
      <c r="J761" s="16">
        <f t="shared" si="186"/>
        <v>0</v>
      </c>
      <c r="K761" s="16">
        <f t="shared" si="187"/>
        <v>0</v>
      </c>
      <c r="L761" s="67">
        <f t="shared" si="188"/>
        <v>0</v>
      </c>
      <c r="M761" s="4">
        <f t="shared" si="189"/>
        <v>0</v>
      </c>
      <c r="N761" s="4">
        <f t="shared" si="190"/>
        <v>0</v>
      </c>
      <c r="O761" s="4">
        <f t="shared" si="191"/>
        <v>0</v>
      </c>
      <c r="P761" s="4" t="e">
        <f>VLOOKUP(AJ753,'CIR Team Info'!$C$5:$E$44,2,FALSE)</f>
        <v>#N/A</v>
      </c>
      <c r="Q761" s="4" t="e">
        <f>VLOOKUP(AJ753,'CIR Team Info'!$C$5:$E$44,3,FALSE)</f>
        <v>#N/A</v>
      </c>
      <c r="R761" s="10" t="e">
        <f>VLOOKUP(AJ753,'FRC Site Data'!$B$3:$L$42,2,FALSE)</f>
        <v>#N/A</v>
      </c>
      <c r="S761" s="10" t="e">
        <f>VLOOKUP(AJ753,'FRC Site Data'!$B$3:$L$42,3,FALSE)</f>
        <v>#N/A</v>
      </c>
      <c r="T761" s="10" t="e">
        <f>VLOOKUP(AJ753,'FRC Site Data'!$B$3:$L$42,4,FALSE)</f>
        <v>#N/A</v>
      </c>
      <c r="U761" s="10" t="e">
        <f>VLOOKUP(AJ753,'FRC Site Data'!$B$3:$L$42,5,FALSE)</f>
        <v>#N/A</v>
      </c>
      <c r="V761" s="10" t="e">
        <f>VLOOKUP(AJ753,'FRC Site Data'!$B$3:$L$42,6,FALSE)</f>
        <v>#N/A</v>
      </c>
      <c r="W761" s="10" t="e">
        <f>VLOOKUP(AJ753,'FRC Site Data'!$B$3:$L$42,8,FALSE)</f>
        <v>#N/A</v>
      </c>
      <c r="X761" s="10" t="e">
        <f>VLOOKUP(AJ753,'FRC Site Data'!$B$3:$L$42,9,FALSE)</f>
        <v>#N/A</v>
      </c>
      <c r="Y761" s="10" t="e">
        <f>VLOOKUP(AJ753,'FRC Site Data'!$B$3:$L$42,10,FALSE)</f>
        <v>#N/A</v>
      </c>
      <c r="Z761" s="10" t="e">
        <f>VLOOKUP(AJ753,'FRC Site Data'!$B$3:$L$42,11,FALSE)</f>
        <v>#N/A</v>
      </c>
      <c r="AA761" s="10" t="e">
        <f>VLOOKUP(AJ753,'CIR Team Info'!$C$5:$E$44,4,FALSE)</f>
        <v>#N/A</v>
      </c>
      <c r="AB761" s="161" t="b">
        <f>ISNUMBER(VLOOKUP(AJ753,Match!$T$5:$T$10,1,FALSE))</f>
        <v>0</v>
      </c>
      <c r="AC761" s="161" t="b">
        <f>IF(AB761=TRUE,(VLOOKUP($AJ753,Match!$T$5:$U$10,2,FALSE)))</f>
        <v>0</v>
      </c>
      <c r="AD761" s="8">
        <v>3</v>
      </c>
      <c r="AE761" s="8">
        <v>2</v>
      </c>
      <c r="AF761" s="8">
        <v>2</v>
      </c>
      <c r="AG761" s="8">
        <v>1</v>
      </c>
      <c r="AH761" s="8" t="str">
        <f t="shared" si="193"/>
        <v/>
      </c>
    </row>
    <row r="762" spans="1:34" x14ac:dyDescent="0.25">
      <c r="A762" s="29">
        <f t="shared" si="192"/>
        <v>0</v>
      </c>
      <c r="B762" s="29">
        <f t="shared" si="179"/>
        <v>0</v>
      </c>
      <c r="C762" s="29">
        <f t="shared" si="180"/>
        <v>0</v>
      </c>
      <c r="D762" s="29">
        <f t="shared" si="181"/>
        <v>0</v>
      </c>
      <c r="E762" s="29">
        <f t="shared" si="178"/>
        <v>0</v>
      </c>
      <c r="F762" s="29">
        <f t="shared" si="182"/>
        <v>0</v>
      </c>
      <c r="G762" s="29" t="str">
        <f t="shared" si="183"/>
        <v>offensive</v>
      </c>
      <c r="H762" s="16">
        <f t="shared" si="184"/>
        <v>0</v>
      </c>
      <c r="I762" s="16">
        <f t="shared" si="185"/>
        <v>0</v>
      </c>
      <c r="J762" s="16">
        <f t="shared" si="186"/>
        <v>0</v>
      </c>
      <c r="K762" s="16">
        <f t="shared" si="187"/>
        <v>0</v>
      </c>
      <c r="L762" s="67">
        <f t="shared" si="188"/>
        <v>0</v>
      </c>
      <c r="M762" s="4">
        <f t="shared" si="189"/>
        <v>0</v>
      </c>
      <c r="N762" s="4">
        <f t="shared" si="190"/>
        <v>0</v>
      </c>
      <c r="O762" s="4">
        <f t="shared" si="191"/>
        <v>0</v>
      </c>
      <c r="P762" s="4" t="e">
        <f>VLOOKUP(AJ754,'CIR Team Info'!$C$5:$E$44,2,FALSE)</f>
        <v>#N/A</v>
      </c>
      <c r="Q762" s="4" t="e">
        <f>VLOOKUP(AJ754,'CIR Team Info'!$C$5:$E$44,3,FALSE)</f>
        <v>#N/A</v>
      </c>
      <c r="R762" s="10" t="e">
        <f>VLOOKUP(AJ754,'FRC Site Data'!$B$3:$L$42,2,FALSE)</f>
        <v>#N/A</v>
      </c>
      <c r="S762" s="10" t="e">
        <f>VLOOKUP(AJ754,'FRC Site Data'!$B$3:$L$42,3,FALSE)</f>
        <v>#N/A</v>
      </c>
      <c r="T762" s="10" t="e">
        <f>VLOOKUP(AJ754,'FRC Site Data'!$B$3:$L$42,4,FALSE)</f>
        <v>#N/A</v>
      </c>
      <c r="U762" s="10" t="e">
        <f>VLOOKUP(AJ754,'FRC Site Data'!$B$3:$L$42,5,FALSE)</f>
        <v>#N/A</v>
      </c>
      <c r="V762" s="10" t="e">
        <f>VLOOKUP(AJ754,'FRC Site Data'!$B$3:$L$42,6,FALSE)</f>
        <v>#N/A</v>
      </c>
      <c r="W762" s="10" t="e">
        <f>VLOOKUP(AJ754,'FRC Site Data'!$B$3:$L$42,8,FALSE)</f>
        <v>#N/A</v>
      </c>
      <c r="X762" s="10" t="e">
        <f>VLOOKUP(AJ754,'FRC Site Data'!$B$3:$L$42,9,FALSE)</f>
        <v>#N/A</v>
      </c>
      <c r="Y762" s="10" t="e">
        <f>VLOOKUP(AJ754,'FRC Site Data'!$B$3:$L$42,10,FALSE)</f>
        <v>#N/A</v>
      </c>
      <c r="Z762" s="10" t="e">
        <f>VLOOKUP(AJ754,'FRC Site Data'!$B$3:$L$42,11,FALSE)</f>
        <v>#N/A</v>
      </c>
      <c r="AA762" s="10" t="e">
        <f>VLOOKUP(AJ754,'CIR Team Info'!$C$5:$E$44,4,FALSE)</f>
        <v>#N/A</v>
      </c>
      <c r="AB762" s="161" t="b">
        <f>ISNUMBER(VLOOKUP(AJ754,Match!$T$5:$T$10,1,FALSE))</f>
        <v>0</v>
      </c>
      <c r="AC762" s="161" t="b">
        <f>IF(AB762=TRUE,(VLOOKUP($AJ754,Match!$T$5:$U$10,2,FALSE)))</f>
        <v>0</v>
      </c>
      <c r="AD762" s="8">
        <v>3</v>
      </c>
      <c r="AE762" s="8">
        <v>2</v>
      </c>
      <c r="AF762" s="8">
        <v>2</v>
      </c>
      <c r="AG762" s="8">
        <v>1</v>
      </c>
      <c r="AH762" s="8" t="str">
        <f t="shared" si="193"/>
        <v/>
      </c>
    </row>
    <row r="763" spans="1:34" x14ac:dyDescent="0.25">
      <c r="A763" s="29">
        <f t="shared" si="192"/>
        <v>0</v>
      </c>
      <c r="B763" s="29">
        <f t="shared" si="179"/>
        <v>0</v>
      </c>
      <c r="C763" s="29">
        <f t="shared" si="180"/>
        <v>0</v>
      </c>
      <c r="D763" s="29">
        <f t="shared" si="181"/>
        <v>0</v>
      </c>
      <c r="E763" s="29">
        <f t="shared" si="178"/>
        <v>0</v>
      </c>
      <c r="F763" s="29">
        <f t="shared" si="182"/>
        <v>0</v>
      </c>
      <c r="G763" s="29" t="str">
        <f t="shared" si="183"/>
        <v>offensive</v>
      </c>
      <c r="H763" s="16">
        <f t="shared" si="184"/>
        <v>0</v>
      </c>
      <c r="I763" s="16">
        <f t="shared" si="185"/>
        <v>0</v>
      </c>
      <c r="J763" s="16">
        <f t="shared" si="186"/>
        <v>0</v>
      </c>
      <c r="K763" s="16">
        <f t="shared" si="187"/>
        <v>0</v>
      </c>
      <c r="L763" s="67">
        <f t="shared" si="188"/>
        <v>0</v>
      </c>
      <c r="M763" s="4">
        <f t="shared" si="189"/>
        <v>0</v>
      </c>
      <c r="N763" s="4">
        <f t="shared" si="190"/>
        <v>0</v>
      </c>
      <c r="O763" s="4">
        <f t="shared" si="191"/>
        <v>0</v>
      </c>
      <c r="P763" s="4" t="e">
        <f>VLOOKUP(AJ755,'CIR Team Info'!$C$5:$E$44,2,FALSE)</f>
        <v>#N/A</v>
      </c>
      <c r="Q763" s="4" t="e">
        <f>VLOOKUP(AJ755,'CIR Team Info'!$C$5:$E$44,3,FALSE)</f>
        <v>#N/A</v>
      </c>
      <c r="R763" s="10" t="e">
        <f>VLOOKUP(AJ755,'FRC Site Data'!$B$3:$L$42,2,FALSE)</f>
        <v>#N/A</v>
      </c>
      <c r="S763" s="10" t="e">
        <f>VLOOKUP(AJ755,'FRC Site Data'!$B$3:$L$42,3,FALSE)</f>
        <v>#N/A</v>
      </c>
      <c r="T763" s="10" t="e">
        <f>VLOOKUP(AJ755,'FRC Site Data'!$B$3:$L$42,4,FALSE)</f>
        <v>#N/A</v>
      </c>
      <c r="U763" s="10" t="e">
        <f>VLOOKUP(AJ755,'FRC Site Data'!$B$3:$L$42,5,FALSE)</f>
        <v>#N/A</v>
      </c>
      <c r="V763" s="10" t="e">
        <f>VLOOKUP(AJ755,'FRC Site Data'!$B$3:$L$42,6,FALSE)</f>
        <v>#N/A</v>
      </c>
      <c r="W763" s="10" t="e">
        <f>VLOOKUP(AJ755,'FRC Site Data'!$B$3:$L$42,8,FALSE)</f>
        <v>#N/A</v>
      </c>
      <c r="X763" s="10" t="e">
        <f>VLOOKUP(AJ755,'FRC Site Data'!$B$3:$L$42,9,FALSE)</f>
        <v>#N/A</v>
      </c>
      <c r="Y763" s="10" t="e">
        <f>VLOOKUP(AJ755,'FRC Site Data'!$B$3:$L$42,10,FALSE)</f>
        <v>#N/A</v>
      </c>
      <c r="Z763" s="10" t="e">
        <f>VLOOKUP(AJ755,'FRC Site Data'!$B$3:$L$42,11,FALSE)</f>
        <v>#N/A</v>
      </c>
      <c r="AA763" s="10" t="e">
        <f>VLOOKUP(AJ755,'CIR Team Info'!$C$5:$E$44,4,FALSE)</f>
        <v>#N/A</v>
      </c>
      <c r="AB763" s="161" t="b">
        <f>ISNUMBER(VLOOKUP(AJ755,Match!$T$5:$T$10,1,FALSE))</f>
        <v>0</v>
      </c>
      <c r="AC763" s="161" t="b">
        <f>IF(AB763=TRUE,(VLOOKUP($AJ755,Match!$T$5:$U$10,2,FALSE)))</f>
        <v>0</v>
      </c>
      <c r="AD763" s="8">
        <v>3</v>
      </c>
      <c r="AE763" s="8">
        <v>2</v>
      </c>
      <c r="AF763" s="8">
        <v>2</v>
      </c>
      <c r="AG763" s="8">
        <v>1</v>
      </c>
      <c r="AH763" s="8" t="str">
        <f t="shared" si="193"/>
        <v/>
      </c>
    </row>
    <row r="764" spans="1:34" x14ac:dyDescent="0.25">
      <c r="A764" s="29">
        <f t="shared" si="192"/>
        <v>0</v>
      </c>
      <c r="B764" s="29">
        <f t="shared" si="179"/>
        <v>0</v>
      </c>
      <c r="C764" s="29">
        <f t="shared" si="180"/>
        <v>0</v>
      </c>
      <c r="D764" s="29">
        <f t="shared" si="181"/>
        <v>0</v>
      </c>
      <c r="E764" s="29">
        <f t="shared" si="178"/>
        <v>0</v>
      </c>
      <c r="F764" s="29">
        <f t="shared" si="182"/>
        <v>0</v>
      </c>
      <c r="G764" s="29" t="str">
        <f t="shared" si="183"/>
        <v>offensive</v>
      </c>
      <c r="H764" s="16">
        <f t="shared" si="184"/>
        <v>0</v>
      </c>
      <c r="I764" s="16">
        <f t="shared" si="185"/>
        <v>0</v>
      </c>
      <c r="J764" s="16">
        <f t="shared" si="186"/>
        <v>0</v>
      </c>
      <c r="K764" s="16">
        <f t="shared" si="187"/>
        <v>0</v>
      </c>
      <c r="L764" s="67">
        <f t="shared" si="188"/>
        <v>0</v>
      </c>
      <c r="M764" s="4">
        <f t="shared" si="189"/>
        <v>0</v>
      </c>
      <c r="N764" s="4">
        <f t="shared" si="190"/>
        <v>0</v>
      </c>
      <c r="O764" s="4">
        <f t="shared" si="191"/>
        <v>0</v>
      </c>
      <c r="P764" s="4" t="e">
        <f>VLOOKUP(AJ756,'CIR Team Info'!$C$5:$E$44,2,FALSE)</f>
        <v>#N/A</v>
      </c>
      <c r="Q764" s="4" t="e">
        <f>VLOOKUP(AJ756,'CIR Team Info'!$C$5:$E$44,3,FALSE)</f>
        <v>#N/A</v>
      </c>
      <c r="R764" s="10" t="e">
        <f>VLOOKUP(AJ756,'FRC Site Data'!$B$3:$L$42,2,FALSE)</f>
        <v>#N/A</v>
      </c>
      <c r="S764" s="10" t="e">
        <f>VLOOKUP(AJ756,'FRC Site Data'!$B$3:$L$42,3,FALSE)</f>
        <v>#N/A</v>
      </c>
      <c r="T764" s="10" t="e">
        <f>VLOOKUP(AJ756,'FRC Site Data'!$B$3:$L$42,4,FALSE)</f>
        <v>#N/A</v>
      </c>
      <c r="U764" s="10" t="e">
        <f>VLOOKUP(AJ756,'FRC Site Data'!$B$3:$L$42,5,FALSE)</f>
        <v>#N/A</v>
      </c>
      <c r="V764" s="10" t="e">
        <f>VLOOKUP(AJ756,'FRC Site Data'!$B$3:$L$42,6,FALSE)</f>
        <v>#N/A</v>
      </c>
      <c r="W764" s="10" t="e">
        <f>VLOOKUP(AJ756,'FRC Site Data'!$B$3:$L$42,8,FALSE)</f>
        <v>#N/A</v>
      </c>
      <c r="X764" s="10" t="e">
        <f>VLOOKUP(AJ756,'FRC Site Data'!$B$3:$L$42,9,FALSE)</f>
        <v>#N/A</v>
      </c>
      <c r="Y764" s="10" t="e">
        <f>VLOOKUP(AJ756,'FRC Site Data'!$B$3:$L$42,10,FALSE)</f>
        <v>#N/A</v>
      </c>
      <c r="Z764" s="10" t="e">
        <f>VLOOKUP(AJ756,'FRC Site Data'!$B$3:$L$42,11,FALSE)</f>
        <v>#N/A</v>
      </c>
      <c r="AA764" s="10" t="e">
        <f>VLOOKUP(AJ756,'CIR Team Info'!$C$5:$E$44,4,FALSE)</f>
        <v>#N/A</v>
      </c>
      <c r="AB764" s="161" t="b">
        <f>ISNUMBER(VLOOKUP(AJ756,Match!$T$5:$T$10,1,FALSE))</f>
        <v>0</v>
      </c>
      <c r="AC764" s="161" t="b">
        <f>IF(AB764=TRUE,(VLOOKUP($AJ756,Match!$T$5:$U$10,2,FALSE)))</f>
        <v>0</v>
      </c>
      <c r="AD764" s="8">
        <v>3</v>
      </c>
      <c r="AE764" s="8">
        <v>2</v>
      </c>
      <c r="AF764" s="8">
        <v>2</v>
      </c>
      <c r="AG764" s="8">
        <v>1</v>
      </c>
      <c r="AH764" s="8" t="str">
        <f t="shared" si="193"/>
        <v/>
      </c>
    </row>
    <row r="765" spans="1:34" x14ac:dyDescent="0.25">
      <c r="A765" s="29">
        <f t="shared" si="192"/>
        <v>0</v>
      </c>
      <c r="B765" s="29">
        <f t="shared" si="179"/>
        <v>0</v>
      </c>
      <c r="C765" s="29">
        <f t="shared" si="180"/>
        <v>0</v>
      </c>
      <c r="D765" s="29">
        <f t="shared" si="181"/>
        <v>0</v>
      </c>
      <c r="E765" s="29">
        <f t="shared" si="178"/>
        <v>0</v>
      </c>
      <c r="F765" s="29">
        <f t="shared" si="182"/>
        <v>0</v>
      </c>
      <c r="G765" s="29" t="str">
        <f t="shared" si="183"/>
        <v>offensive</v>
      </c>
      <c r="H765" s="16">
        <f t="shared" si="184"/>
        <v>0</v>
      </c>
      <c r="I765" s="16">
        <f t="shared" si="185"/>
        <v>0</v>
      </c>
      <c r="J765" s="16">
        <f t="shared" si="186"/>
        <v>0</v>
      </c>
      <c r="K765" s="16">
        <f t="shared" si="187"/>
        <v>0</v>
      </c>
      <c r="L765" s="67">
        <f t="shared" si="188"/>
        <v>0</v>
      </c>
      <c r="M765" s="4">
        <f t="shared" si="189"/>
        <v>0</v>
      </c>
      <c r="N765" s="4">
        <f t="shared" si="190"/>
        <v>0</v>
      </c>
      <c r="O765" s="4">
        <f t="shared" si="191"/>
        <v>0</v>
      </c>
      <c r="P765" s="4" t="e">
        <f>VLOOKUP(AJ757,'CIR Team Info'!$C$5:$E$44,2,FALSE)</f>
        <v>#N/A</v>
      </c>
      <c r="Q765" s="4" t="e">
        <f>VLOOKUP(AJ757,'CIR Team Info'!$C$5:$E$44,3,FALSE)</f>
        <v>#N/A</v>
      </c>
      <c r="R765" s="10" t="e">
        <f>VLOOKUP(AJ757,'FRC Site Data'!$B$3:$L$42,2,FALSE)</f>
        <v>#N/A</v>
      </c>
      <c r="S765" s="10" t="e">
        <f>VLOOKUP(AJ757,'FRC Site Data'!$B$3:$L$42,3,FALSE)</f>
        <v>#N/A</v>
      </c>
      <c r="T765" s="10" t="e">
        <f>VLOOKUP(AJ757,'FRC Site Data'!$B$3:$L$42,4,FALSE)</f>
        <v>#N/A</v>
      </c>
      <c r="U765" s="10" t="e">
        <f>VLOOKUP(AJ757,'FRC Site Data'!$B$3:$L$42,5,FALSE)</f>
        <v>#N/A</v>
      </c>
      <c r="V765" s="10" t="e">
        <f>VLOOKUP(AJ757,'FRC Site Data'!$B$3:$L$42,6,FALSE)</f>
        <v>#N/A</v>
      </c>
      <c r="W765" s="10" t="e">
        <f>VLOOKUP(AJ757,'FRC Site Data'!$B$3:$L$42,8,FALSE)</f>
        <v>#N/A</v>
      </c>
      <c r="X765" s="10" t="e">
        <f>VLOOKUP(AJ757,'FRC Site Data'!$B$3:$L$42,9,FALSE)</f>
        <v>#N/A</v>
      </c>
      <c r="Y765" s="10" t="e">
        <f>VLOOKUP(AJ757,'FRC Site Data'!$B$3:$L$42,10,FALSE)</f>
        <v>#N/A</v>
      </c>
      <c r="Z765" s="10" t="e">
        <f>VLOOKUP(AJ757,'FRC Site Data'!$B$3:$L$42,11,FALSE)</f>
        <v>#N/A</v>
      </c>
      <c r="AA765" s="10" t="e">
        <f>VLOOKUP(AJ757,'CIR Team Info'!$C$5:$E$44,4,FALSE)</f>
        <v>#N/A</v>
      </c>
      <c r="AB765" s="161" t="b">
        <f>ISNUMBER(VLOOKUP(AJ757,Match!$T$5:$T$10,1,FALSE))</f>
        <v>0</v>
      </c>
      <c r="AC765" s="161" t="b">
        <f>IF(AB765=TRUE,(VLOOKUP($AJ757,Match!$T$5:$U$10,2,FALSE)))</f>
        <v>0</v>
      </c>
      <c r="AD765" s="8">
        <v>3</v>
      </c>
      <c r="AE765" s="8">
        <v>2</v>
      </c>
      <c r="AF765" s="8">
        <v>2</v>
      </c>
      <c r="AG765" s="8">
        <v>1</v>
      </c>
      <c r="AH765" s="8" t="str">
        <f t="shared" si="193"/>
        <v/>
      </c>
    </row>
    <row r="766" spans="1:34" x14ac:dyDescent="0.25">
      <c r="A766" s="29">
        <f t="shared" si="192"/>
        <v>0</v>
      </c>
      <c r="B766" s="29">
        <f t="shared" si="179"/>
        <v>0</v>
      </c>
      <c r="C766" s="29">
        <f t="shared" si="180"/>
        <v>0</v>
      </c>
      <c r="D766" s="29">
        <f t="shared" si="181"/>
        <v>0</v>
      </c>
      <c r="E766" s="29">
        <f t="shared" si="178"/>
        <v>0</v>
      </c>
      <c r="F766" s="29">
        <f t="shared" si="182"/>
        <v>0</v>
      </c>
      <c r="G766" s="29" t="str">
        <f t="shared" si="183"/>
        <v>offensive</v>
      </c>
      <c r="H766" s="16">
        <f t="shared" si="184"/>
        <v>0</v>
      </c>
      <c r="I766" s="16">
        <f t="shared" si="185"/>
        <v>0</v>
      </c>
      <c r="J766" s="16">
        <f t="shared" si="186"/>
        <v>0</v>
      </c>
      <c r="K766" s="16">
        <f t="shared" si="187"/>
        <v>0</v>
      </c>
      <c r="L766" s="67">
        <f t="shared" si="188"/>
        <v>0</v>
      </c>
      <c r="M766" s="4">
        <f t="shared" si="189"/>
        <v>0</v>
      </c>
      <c r="N766" s="4">
        <f t="shared" si="190"/>
        <v>0</v>
      </c>
      <c r="O766" s="4">
        <f t="shared" si="191"/>
        <v>0</v>
      </c>
      <c r="P766" s="4" t="e">
        <f>VLOOKUP(AJ758,'CIR Team Info'!$C$5:$E$44,2,FALSE)</f>
        <v>#N/A</v>
      </c>
      <c r="Q766" s="4" t="e">
        <f>VLOOKUP(AJ758,'CIR Team Info'!$C$5:$E$44,3,FALSE)</f>
        <v>#N/A</v>
      </c>
      <c r="R766" s="10" t="e">
        <f>VLOOKUP(AJ758,'FRC Site Data'!$B$3:$L$42,2,FALSE)</f>
        <v>#N/A</v>
      </c>
      <c r="S766" s="10" t="e">
        <f>VLOOKUP(AJ758,'FRC Site Data'!$B$3:$L$42,3,FALSE)</f>
        <v>#N/A</v>
      </c>
      <c r="T766" s="10" t="e">
        <f>VLOOKUP(AJ758,'FRC Site Data'!$B$3:$L$42,4,FALSE)</f>
        <v>#N/A</v>
      </c>
      <c r="U766" s="10" t="e">
        <f>VLOOKUP(AJ758,'FRC Site Data'!$B$3:$L$42,5,FALSE)</f>
        <v>#N/A</v>
      </c>
      <c r="V766" s="10" t="e">
        <f>VLOOKUP(AJ758,'FRC Site Data'!$B$3:$L$42,6,FALSE)</f>
        <v>#N/A</v>
      </c>
      <c r="W766" s="10" t="e">
        <f>VLOOKUP(AJ758,'FRC Site Data'!$B$3:$L$42,8,FALSE)</f>
        <v>#N/A</v>
      </c>
      <c r="X766" s="10" t="e">
        <f>VLOOKUP(AJ758,'FRC Site Data'!$B$3:$L$42,9,FALSE)</f>
        <v>#N/A</v>
      </c>
      <c r="Y766" s="10" t="e">
        <f>VLOOKUP(AJ758,'FRC Site Data'!$B$3:$L$42,10,FALSE)</f>
        <v>#N/A</v>
      </c>
      <c r="Z766" s="10" t="e">
        <f>VLOOKUP(AJ758,'FRC Site Data'!$B$3:$L$42,11,FALSE)</f>
        <v>#N/A</v>
      </c>
      <c r="AA766" s="10" t="e">
        <f>VLOOKUP(AJ758,'CIR Team Info'!$C$5:$E$44,4,FALSE)</f>
        <v>#N/A</v>
      </c>
      <c r="AB766" s="161" t="b">
        <f>ISNUMBER(VLOOKUP(AJ758,Match!$T$5:$T$10,1,FALSE))</f>
        <v>0</v>
      </c>
      <c r="AC766" s="161" t="b">
        <f>IF(AB766=TRUE,(VLOOKUP($AJ758,Match!$T$5:$U$10,2,FALSE)))</f>
        <v>0</v>
      </c>
      <c r="AD766" s="8">
        <v>3</v>
      </c>
      <c r="AE766" s="8">
        <v>2</v>
      </c>
      <c r="AF766" s="8">
        <v>2</v>
      </c>
      <c r="AG766" s="8">
        <v>1</v>
      </c>
      <c r="AH766" s="8" t="str">
        <f t="shared" si="193"/>
        <v/>
      </c>
    </row>
    <row r="767" spans="1:34" x14ac:dyDescent="0.25">
      <c r="A767" s="29">
        <f t="shared" si="192"/>
        <v>0</v>
      </c>
      <c r="B767" s="29">
        <f t="shared" si="179"/>
        <v>0</v>
      </c>
      <c r="C767" s="29">
        <f t="shared" si="180"/>
        <v>0</v>
      </c>
      <c r="D767" s="29">
        <f t="shared" si="181"/>
        <v>0</v>
      </c>
      <c r="E767" s="29">
        <f t="shared" si="178"/>
        <v>0</v>
      </c>
      <c r="F767" s="29">
        <f t="shared" si="182"/>
        <v>0</v>
      </c>
      <c r="G767" s="29" t="str">
        <f t="shared" si="183"/>
        <v>offensive</v>
      </c>
      <c r="H767" s="16">
        <f t="shared" si="184"/>
        <v>0</v>
      </c>
      <c r="I767" s="16">
        <f t="shared" si="185"/>
        <v>0</v>
      </c>
      <c r="J767" s="16">
        <f t="shared" si="186"/>
        <v>0</v>
      </c>
      <c r="K767" s="16">
        <f t="shared" si="187"/>
        <v>0</v>
      </c>
      <c r="L767" s="67">
        <f t="shared" si="188"/>
        <v>0</v>
      </c>
      <c r="M767" s="4">
        <f t="shared" si="189"/>
        <v>0</v>
      </c>
      <c r="N767" s="4">
        <f t="shared" si="190"/>
        <v>0</v>
      </c>
      <c r="O767" s="4">
        <f t="shared" si="191"/>
        <v>0</v>
      </c>
      <c r="P767" s="4" t="e">
        <f>VLOOKUP(AJ759,'CIR Team Info'!$C$5:$E$44,2,FALSE)</f>
        <v>#N/A</v>
      </c>
      <c r="Q767" s="4" t="e">
        <f>VLOOKUP(AJ759,'CIR Team Info'!$C$5:$E$44,3,FALSE)</f>
        <v>#N/A</v>
      </c>
      <c r="R767" s="10" t="e">
        <f>VLOOKUP(AJ759,'FRC Site Data'!$B$3:$L$42,2,FALSE)</f>
        <v>#N/A</v>
      </c>
      <c r="S767" s="10" t="e">
        <f>VLOOKUP(AJ759,'FRC Site Data'!$B$3:$L$42,3,FALSE)</f>
        <v>#N/A</v>
      </c>
      <c r="T767" s="10" t="e">
        <f>VLOOKUP(AJ759,'FRC Site Data'!$B$3:$L$42,4,FALSE)</f>
        <v>#N/A</v>
      </c>
      <c r="U767" s="10" t="e">
        <f>VLOOKUP(AJ759,'FRC Site Data'!$B$3:$L$42,5,FALSE)</f>
        <v>#N/A</v>
      </c>
      <c r="V767" s="10" t="e">
        <f>VLOOKUP(AJ759,'FRC Site Data'!$B$3:$L$42,6,FALSE)</f>
        <v>#N/A</v>
      </c>
      <c r="W767" s="10" t="e">
        <f>VLOOKUP(AJ759,'FRC Site Data'!$B$3:$L$42,8,FALSE)</f>
        <v>#N/A</v>
      </c>
      <c r="X767" s="10" t="e">
        <f>VLOOKUP(AJ759,'FRC Site Data'!$B$3:$L$42,9,FALSE)</f>
        <v>#N/A</v>
      </c>
      <c r="Y767" s="10" t="e">
        <f>VLOOKUP(AJ759,'FRC Site Data'!$B$3:$L$42,10,FALSE)</f>
        <v>#N/A</v>
      </c>
      <c r="Z767" s="10" t="e">
        <f>VLOOKUP(AJ759,'FRC Site Data'!$B$3:$L$42,11,FALSE)</f>
        <v>#N/A</v>
      </c>
      <c r="AA767" s="10" t="e">
        <f>VLOOKUP(AJ759,'CIR Team Info'!$C$5:$E$44,4,FALSE)</f>
        <v>#N/A</v>
      </c>
      <c r="AB767" s="161" t="b">
        <f>ISNUMBER(VLOOKUP(AJ759,Match!$T$5:$T$10,1,FALSE))</f>
        <v>0</v>
      </c>
      <c r="AC767" s="161" t="b">
        <f>IF(AB767=TRUE,(VLOOKUP($AJ759,Match!$T$5:$U$10,2,FALSE)))</f>
        <v>0</v>
      </c>
      <c r="AD767" s="8">
        <v>3</v>
      </c>
      <c r="AE767" s="8">
        <v>2</v>
      </c>
      <c r="AF767" s="8">
        <v>2</v>
      </c>
      <c r="AG767" s="8">
        <v>1</v>
      </c>
      <c r="AH767" s="8" t="str">
        <f t="shared" si="193"/>
        <v/>
      </c>
    </row>
    <row r="768" spans="1:34" x14ac:dyDescent="0.25">
      <c r="A768" s="29">
        <f t="shared" si="192"/>
        <v>0</v>
      </c>
      <c r="B768" s="29">
        <f t="shared" si="179"/>
        <v>0</v>
      </c>
      <c r="C768" s="29">
        <f t="shared" si="180"/>
        <v>0</v>
      </c>
      <c r="D768" s="29">
        <f t="shared" si="181"/>
        <v>0</v>
      </c>
      <c r="E768" s="29">
        <f t="shared" si="178"/>
        <v>0</v>
      </c>
      <c r="F768" s="29">
        <f t="shared" si="182"/>
        <v>0</v>
      </c>
      <c r="G768" s="29" t="str">
        <f t="shared" si="183"/>
        <v>offensive</v>
      </c>
      <c r="H768" s="16">
        <f t="shared" si="184"/>
        <v>0</v>
      </c>
      <c r="I768" s="16">
        <f t="shared" si="185"/>
        <v>0</v>
      </c>
      <c r="J768" s="16">
        <f t="shared" si="186"/>
        <v>0</v>
      </c>
      <c r="K768" s="16">
        <f t="shared" si="187"/>
        <v>0</v>
      </c>
      <c r="L768" s="67">
        <f t="shared" si="188"/>
        <v>0</v>
      </c>
      <c r="M768" s="4">
        <f t="shared" si="189"/>
        <v>0</v>
      </c>
      <c r="N768" s="4">
        <f t="shared" si="190"/>
        <v>0</v>
      </c>
      <c r="O768" s="4">
        <f t="shared" si="191"/>
        <v>0</v>
      </c>
      <c r="P768" s="4" t="e">
        <f>VLOOKUP(AJ760,'CIR Team Info'!$C$5:$E$44,2,FALSE)</f>
        <v>#N/A</v>
      </c>
      <c r="Q768" s="4" t="e">
        <f>VLOOKUP(AJ760,'CIR Team Info'!$C$5:$E$44,3,FALSE)</f>
        <v>#N/A</v>
      </c>
      <c r="R768" s="10" t="e">
        <f>VLOOKUP(AJ760,'FRC Site Data'!$B$3:$L$42,2,FALSE)</f>
        <v>#N/A</v>
      </c>
      <c r="S768" s="10" t="e">
        <f>VLOOKUP(AJ760,'FRC Site Data'!$B$3:$L$42,3,FALSE)</f>
        <v>#N/A</v>
      </c>
      <c r="T768" s="10" t="e">
        <f>VLOOKUP(AJ760,'FRC Site Data'!$B$3:$L$42,4,FALSE)</f>
        <v>#N/A</v>
      </c>
      <c r="U768" s="10" t="e">
        <f>VLOOKUP(AJ760,'FRC Site Data'!$B$3:$L$42,5,FALSE)</f>
        <v>#N/A</v>
      </c>
      <c r="V768" s="10" t="e">
        <f>VLOOKUP(AJ760,'FRC Site Data'!$B$3:$L$42,6,FALSE)</f>
        <v>#N/A</v>
      </c>
      <c r="W768" s="10" t="e">
        <f>VLOOKUP(AJ760,'FRC Site Data'!$B$3:$L$42,8,FALSE)</f>
        <v>#N/A</v>
      </c>
      <c r="X768" s="10" t="e">
        <f>VLOOKUP(AJ760,'FRC Site Data'!$B$3:$L$42,9,FALSE)</f>
        <v>#N/A</v>
      </c>
      <c r="Y768" s="10" t="e">
        <f>VLOOKUP(AJ760,'FRC Site Data'!$B$3:$L$42,10,FALSE)</f>
        <v>#N/A</v>
      </c>
      <c r="Z768" s="10" t="e">
        <f>VLOOKUP(AJ760,'FRC Site Data'!$B$3:$L$42,11,FALSE)</f>
        <v>#N/A</v>
      </c>
      <c r="AA768" s="10" t="e">
        <f>VLOOKUP(AJ760,'CIR Team Info'!$C$5:$E$44,4,FALSE)</f>
        <v>#N/A</v>
      </c>
      <c r="AB768" s="161" t="b">
        <f>ISNUMBER(VLOOKUP(AJ760,Match!$T$5:$T$10,1,FALSE))</f>
        <v>0</v>
      </c>
      <c r="AC768" s="161" t="b">
        <f>IF(AB768=TRUE,(VLOOKUP($AJ760,Match!$T$5:$U$10,2,FALSE)))</f>
        <v>0</v>
      </c>
      <c r="AD768" s="8">
        <v>3</v>
      </c>
      <c r="AE768" s="8">
        <v>2</v>
      </c>
      <c r="AF768" s="8">
        <v>2</v>
      </c>
      <c r="AG768" s="8">
        <v>1</v>
      </c>
      <c r="AH768" s="8" t="str">
        <f t="shared" si="193"/>
        <v/>
      </c>
    </row>
    <row r="769" spans="1:34" x14ac:dyDescent="0.25">
      <c r="A769" s="29">
        <f t="shared" si="192"/>
        <v>0</v>
      </c>
      <c r="B769" s="29">
        <f t="shared" si="179"/>
        <v>0</v>
      </c>
      <c r="C769" s="29">
        <f t="shared" si="180"/>
        <v>0</v>
      </c>
      <c r="D769" s="29">
        <f t="shared" si="181"/>
        <v>0</v>
      </c>
      <c r="E769" s="29">
        <f t="shared" ref="E769:E832" si="194">K769*O769</f>
        <v>0</v>
      </c>
      <c r="F769" s="29">
        <f t="shared" si="182"/>
        <v>0</v>
      </c>
      <c r="G769" s="29" t="str">
        <f t="shared" si="183"/>
        <v>offensive</v>
      </c>
      <c r="H769" s="16">
        <f t="shared" si="184"/>
        <v>0</v>
      </c>
      <c r="I769" s="16">
        <f t="shared" si="185"/>
        <v>0</v>
      </c>
      <c r="J769" s="16">
        <f t="shared" si="186"/>
        <v>0</v>
      </c>
      <c r="K769" s="16">
        <f t="shared" si="187"/>
        <v>0</v>
      </c>
      <c r="L769" s="67">
        <f t="shared" si="188"/>
        <v>0</v>
      </c>
      <c r="M769" s="4">
        <f t="shared" si="189"/>
        <v>0</v>
      </c>
      <c r="N769" s="4">
        <f t="shared" si="190"/>
        <v>0</v>
      </c>
      <c r="O769" s="4">
        <f t="shared" si="191"/>
        <v>0</v>
      </c>
      <c r="P769" s="4" t="e">
        <f>VLOOKUP(AJ761,'CIR Team Info'!$C$5:$E$44,2,FALSE)</f>
        <v>#N/A</v>
      </c>
      <c r="Q769" s="4" t="e">
        <f>VLOOKUP(AJ761,'CIR Team Info'!$C$5:$E$44,3,FALSE)</f>
        <v>#N/A</v>
      </c>
      <c r="R769" s="10" t="e">
        <f>VLOOKUP(AJ761,'FRC Site Data'!$B$3:$L$42,2,FALSE)</f>
        <v>#N/A</v>
      </c>
      <c r="S769" s="10" t="e">
        <f>VLOOKUP(AJ761,'FRC Site Data'!$B$3:$L$42,3,FALSE)</f>
        <v>#N/A</v>
      </c>
      <c r="T769" s="10" t="e">
        <f>VLOOKUP(AJ761,'FRC Site Data'!$B$3:$L$42,4,FALSE)</f>
        <v>#N/A</v>
      </c>
      <c r="U769" s="10" t="e">
        <f>VLOOKUP(AJ761,'FRC Site Data'!$B$3:$L$42,5,FALSE)</f>
        <v>#N/A</v>
      </c>
      <c r="V769" s="10" t="e">
        <f>VLOOKUP(AJ761,'FRC Site Data'!$B$3:$L$42,6,FALSE)</f>
        <v>#N/A</v>
      </c>
      <c r="W769" s="10" t="e">
        <f>VLOOKUP(AJ761,'FRC Site Data'!$B$3:$L$42,8,FALSE)</f>
        <v>#N/A</v>
      </c>
      <c r="X769" s="10" t="e">
        <f>VLOOKUP(AJ761,'FRC Site Data'!$B$3:$L$42,9,FALSE)</f>
        <v>#N/A</v>
      </c>
      <c r="Y769" s="10" t="e">
        <f>VLOOKUP(AJ761,'FRC Site Data'!$B$3:$L$42,10,FALSE)</f>
        <v>#N/A</v>
      </c>
      <c r="Z769" s="10" t="e">
        <f>VLOOKUP(AJ761,'FRC Site Data'!$B$3:$L$42,11,FALSE)</f>
        <v>#N/A</v>
      </c>
      <c r="AA769" s="10" t="e">
        <f>VLOOKUP(AJ761,'CIR Team Info'!$C$5:$E$44,4,FALSE)</f>
        <v>#N/A</v>
      </c>
      <c r="AB769" s="161" t="b">
        <f>ISNUMBER(VLOOKUP(AJ761,Match!$T$5:$T$10,1,FALSE))</f>
        <v>0</v>
      </c>
      <c r="AC769" s="161" t="b">
        <f>IF(AB769=TRUE,(VLOOKUP($AJ761,Match!$T$5:$U$10,2,FALSE)))</f>
        <v>0</v>
      </c>
      <c r="AD769" s="8">
        <v>3</v>
      </c>
      <c r="AE769" s="8">
        <v>2</v>
      </c>
      <c r="AF769" s="8">
        <v>2</v>
      </c>
      <c r="AG769" s="8">
        <v>1</v>
      </c>
      <c r="AH769" s="8" t="str">
        <f t="shared" si="193"/>
        <v/>
      </c>
    </row>
    <row r="770" spans="1:34" x14ac:dyDescent="0.25">
      <c r="A770" s="29">
        <f t="shared" si="192"/>
        <v>0</v>
      </c>
      <c r="B770" s="29">
        <f t="shared" si="179"/>
        <v>0</v>
      </c>
      <c r="C770" s="29">
        <f t="shared" si="180"/>
        <v>0</v>
      </c>
      <c r="D770" s="29">
        <f t="shared" si="181"/>
        <v>0</v>
      </c>
      <c r="E770" s="29">
        <f t="shared" si="194"/>
        <v>0</v>
      </c>
      <c r="F770" s="29">
        <f t="shared" si="182"/>
        <v>0</v>
      </c>
      <c r="G770" s="29" t="str">
        <f t="shared" si="183"/>
        <v>offensive</v>
      </c>
      <c r="H770" s="16">
        <f t="shared" si="184"/>
        <v>0</v>
      </c>
      <c r="I770" s="16">
        <f t="shared" si="185"/>
        <v>0</v>
      </c>
      <c r="J770" s="16">
        <f t="shared" si="186"/>
        <v>0</v>
      </c>
      <c r="K770" s="16">
        <f t="shared" si="187"/>
        <v>0</v>
      </c>
      <c r="L770" s="67">
        <f t="shared" si="188"/>
        <v>0</v>
      </c>
      <c r="M770" s="4">
        <f t="shared" si="189"/>
        <v>0</v>
      </c>
      <c r="N770" s="4">
        <f t="shared" si="190"/>
        <v>0</v>
      </c>
      <c r="O770" s="4">
        <f t="shared" si="191"/>
        <v>0</v>
      </c>
      <c r="P770" s="4" t="e">
        <f>VLOOKUP(AJ762,'CIR Team Info'!$C$5:$E$44,2,FALSE)</f>
        <v>#N/A</v>
      </c>
      <c r="Q770" s="4" t="e">
        <f>VLOOKUP(AJ762,'CIR Team Info'!$C$5:$E$44,3,FALSE)</f>
        <v>#N/A</v>
      </c>
      <c r="R770" s="10" t="e">
        <f>VLOOKUP(AJ762,'FRC Site Data'!$B$3:$L$42,2,FALSE)</f>
        <v>#N/A</v>
      </c>
      <c r="S770" s="10" t="e">
        <f>VLOOKUP(AJ762,'FRC Site Data'!$B$3:$L$42,3,FALSE)</f>
        <v>#N/A</v>
      </c>
      <c r="T770" s="10" t="e">
        <f>VLOOKUP(AJ762,'FRC Site Data'!$B$3:$L$42,4,FALSE)</f>
        <v>#N/A</v>
      </c>
      <c r="U770" s="10" t="e">
        <f>VLOOKUP(AJ762,'FRC Site Data'!$B$3:$L$42,5,FALSE)</f>
        <v>#N/A</v>
      </c>
      <c r="V770" s="10" t="e">
        <f>VLOOKUP(AJ762,'FRC Site Data'!$B$3:$L$42,6,FALSE)</f>
        <v>#N/A</v>
      </c>
      <c r="W770" s="10" t="e">
        <f>VLOOKUP(AJ762,'FRC Site Data'!$B$3:$L$42,8,FALSE)</f>
        <v>#N/A</v>
      </c>
      <c r="X770" s="10" t="e">
        <f>VLOOKUP(AJ762,'FRC Site Data'!$B$3:$L$42,9,FALSE)</f>
        <v>#N/A</v>
      </c>
      <c r="Y770" s="10" t="e">
        <f>VLOOKUP(AJ762,'FRC Site Data'!$B$3:$L$42,10,FALSE)</f>
        <v>#N/A</v>
      </c>
      <c r="Z770" s="10" t="e">
        <f>VLOOKUP(AJ762,'FRC Site Data'!$B$3:$L$42,11,FALSE)</f>
        <v>#N/A</v>
      </c>
      <c r="AA770" s="10" t="e">
        <f>VLOOKUP(AJ762,'CIR Team Info'!$C$5:$E$44,4,FALSE)</f>
        <v>#N/A</v>
      </c>
      <c r="AB770" s="161" t="b">
        <f>ISNUMBER(VLOOKUP(AJ762,Match!$T$5:$T$10,1,FALSE))</f>
        <v>0</v>
      </c>
      <c r="AC770" s="161" t="b">
        <f>IF(AB770=TRUE,(VLOOKUP($AJ762,Match!$T$5:$U$10,2,FALSE)))</f>
        <v>0</v>
      </c>
      <c r="AD770" s="8">
        <v>3</v>
      </c>
      <c r="AE770" s="8">
        <v>2</v>
      </c>
      <c r="AF770" s="8">
        <v>2</v>
      </c>
      <c r="AG770" s="8">
        <v>1</v>
      </c>
      <c r="AH770" s="8" t="str">
        <f t="shared" si="193"/>
        <v/>
      </c>
    </row>
    <row r="771" spans="1:34" x14ac:dyDescent="0.25">
      <c r="A771" s="29">
        <f t="shared" si="192"/>
        <v>0</v>
      </c>
      <c r="B771" s="29">
        <f t="shared" si="179"/>
        <v>0</v>
      </c>
      <c r="C771" s="29">
        <f t="shared" si="180"/>
        <v>0</v>
      </c>
      <c r="D771" s="29">
        <f t="shared" si="181"/>
        <v>0</v>
      </c>
      <c r="E771" s="29">
        <f t="shared" si="194"/>
        <v>0</v>
      </c>
      <c r="F771" s="29">
        <f t="shared" si="182"/>
        <v>0</v>
      </c>
      <c r="G771" s="29" t="str">
        <f t="shared" si="183"/>
        <v>offensive</v>
      </c>
      <c r="H771" s="16">
        <f t="shared" si="184"/>
        <v>0</v>
      </c>
      <c r="I771" s="16">
        <f t="shared" si="185"/>
        <v>0</v>
      </c>
      <c r="J771" s="16">
        <f t="shared" si="186"/>
        <v>0</v>
      </c>
      <c r="K771" s="16">
        <f t="shared" si="187"/>
        <v>0</v>
      </c>
      <c r="L771" s="67">
        <f t="shared" si="188"/>
        <v>0</v>
      </c>
      <c r="M771" s="4">
        <f t="shared" si="189"/>
        <v>0</v>
      </c>
      <c r="N771" s="4">
        <f t="shared" si="190"/>
        <v>0</v>
      </c>
      <c r="O771" s="4">
        <f t="shared" si="191"/>
        <v>0</v>
      </c>
      <c r="P771" s="4" t="e">
        <f>VLOOKUP(AJ763,'CIR Team Info'!$C$5:$E$44,2,FALSE)</f>
        <v>#N/A</v>
      </c>
      <c r="Q771" s="4" t="e">
        <f>VLOOKUP(AJ763,'CIR Team Info'!$C$5:$E$44,3,FALSE)</f>
        <v>#N/A</v>
      </c>
      <c r="R771" s="10" t="e">
        <f>VLOOKUP(AJ763,'FRC Site Data'!$B$3:$L$42,2,FALSE)</f>
        <v>#N/A</v>
      </c>
      <c r="S771" s="10" t="e">
        <f>VLOOKUP(AJ763,'FRC Site Data'!$B$3:$L$42,3,FALSE)</f>
        <v>#N/A</v>
      </c>
      <c r="T771" s="10" t="e">
        <f>VLOOKUP(AJ763,'FRC Site Data'!$B$3:$L$42,4,FALSE)</f>
        <v>#N/A</v>
      </c>
      <c r="U771" s="10" t="e">
        <f>VLOOKUP(AJ763,'FRC Site Data'!$B$3:$L$42,5,FALSE)</f>
        <v>#N/A</v>
      </c>
      <c r="V771" s="10" t="e">
        <f>VLOOKUP(AJ763,'FRC Site Data'!$B$3:$L$42,6,FALSE)</f>
        <v>#N/A</v>
      </c>
      <c r="W771" s="10" t="e">
        <f>VLOOKUP(AJ763,'FRC Site Data'!$B$3:$L$42,8,FALSE)</f>
        <v>#N/A</v>
      </c>
      <c r="X771" s="10" t="e">
        <f>VLOOKUP(AJ763,'FRC Site Data'!$B$3:$L$42,9,FALSE)</f>
        <v>#N/A</v>
      </c>
      <c r="Y771" s="10" t="e">
        <f>VLOOKUP(AJ763,'FRC Site Data'!$B$3:$L$42,10,FALSE)</f>
        <v>#N/A</v>
      </c>
      <c r="Z771" s="10" t="e">
        <f>VLOOKUP(AJ763,'FRC Site Data'!$B$3:$L$42,11,FALSE)</f>
        <v>#N/A</v>
      </c>
      <c r="AA771" s="10" t="e">
        <f>VLOOKUP(AJ763,'CIR Team Info'!$C$5:$E$44,4,FALSE)</f>
        <v>#N/A</v>
      </c>
      <c r="AB771" s="161" t="b">
        <f>ISNUMBER(VLOOKUP(AJ763,Match!$T$5:$T$10,1,FALSE))</f>
        <v>0</v>
      </c>
      <c r="AC771" s="161" t="b">
        <f>IF(AB771=TRUE,(VLOOKUP($AJ763,Match!$T$5:$U$10,2,FALSE)))</f>
        <v>0</v>
      </c>
      <c r="AD771" s="8">
        <v>3</v>
      </c>
      <c r="AE771" s="8">
        <v>2</v>
      </c>
      <c r="AF771" s="8">
        <v>2</v>
      </c>
      <c r="AG771" s="8">
        <v>1</v>
      </c>
      <c r="AH771" s="8" t="str">
        <f t="shared" si="193"/>
        <v/>
      </c>
    </row>
    <row r="772" spans="1:34" x14ac:dyDescent="0.25">
      <c r="A772" s="29">
        <f t="shared" si="192"/>
        <v>0</v>
      </c>
      <c r="B772" s="29">
        <f t="shared" si="179"/>
        <v>0</v>
      </c>
      <c r="C772" s="29">
        <f t="shared" si="180"/>
        <v>0</v>
      </c>
      <c r="D772" s="29">
        <f t="shared" si="181"/>
        <v>0</v>
      </c>
      <c r="E772" s="29">
        <f t="shared" si="194"/>
        <v>0</v>
      </c>
      <c r="F772" s="29">
        <f t="shared" si="182"/>
        <v>0</v>
      </c>
      <c r="G772" s="29" t="str">
        <f t="shared" si="183"/>
        <v>offensive</v>
      </c>
      <c r="H772" s="16">
        <f t="shared" si="184"/>
        <v>0</v>
      </c>
      <c r="I772" s="16">
        <f t="shared" si="185"/>
        <v>0</v>
      </c>
      <c r="J772" s="16">
        <f t="shared" si="186"/>
        <v>0</v>
      </c>
      <c r="K772" s="16">
        <f t="shared" si="187"/>
        <v>0</v>
      </c>
      <c r="L772" s="67">
        <f t="shared" si="188"/>
        <v>0</v>
      </c>
      <c r="M772" s="4">
        <f t="shared" si="189"/>
        <v>0</v>
      </c>
      <c r="N772" s="4">
        <f t="shared" si="190"/>
        <v>0</v>
      </c>
      <c r="O772" s="4">
        <f t="shared" si="191"/>
        <v>0</v>
      </c>
      <c r="P772" s="4" t="e">
        <f>VLOOKUP(AJ764,'CIR Team Info'!$C$5:$E$44,2,FALSE)</f>
        <v>#N/A</v>
      </c>
      <c r="Q772" s="4" t="e">
        <f>VLOOKUP(AJ764,'CIR Team Info'!$C$5:$E$44,3,FALSE)</f>
        <v>#N/A</v>
      </c>
      <c r="R772" s="10" t="e">
        <f>VLOOKUP(AJ764,'FRC Site Data'!$B$3:$L$42,2,FALSE)</f>
        <v>#N/A</v>
      </c>
      <c r="S772" s="10" t="e">
        <f>VLOOKUP(AJ764,'FRC Site Data'!$B$3:$L$42,3,FALSE)</f>
        <v>#N/A</v>
      </c>
      <c r="T772" s="10" t="e">
        <f>VLOOKUP(AJ764,'FRC Site Data'!$B$3:$L$42,4,FALSE)</f>
        <v>#N/A</v>
      </c>
      <c r="U772" s="10" t="e">
        <f>VLOOKUP(AJ764,'FRC Site Data'!$B$3:$L$42,5,FALSE)</f>
        <v>#N/A</v>
      </c>
      <c r="V772" s="10" t="e">
        <f>VLOOKUP(AJ764,'FRC Site Data'!$B$3:$L$42,6,FALSE)</f>
        <v>#N/A</v>
      </c>
      <c r="W772" s="10" t="e">
        <f>VLOOKUP(AJ764,'FRC Site Data'!$B$3:$L$42,8,FALSE)</f>
        <v>#N/A</v>
      </c>
      <c r="X772" s="10" t="e">
        <f>VLOOKUP(AJ764,'FRC Site Data'!$B$3:$L$42,9,FALSE)</f>
        <v>#N/A</v>
      </c>
      <c r="Y772" s="10" t="e">
        <f>VLOOKUP(AJ764,'FRC Site Data'!$B$3:$L$42,10,FALSE)</f>
        <v>#N/A</v>
      </c>
      <c r="Z772" s="10" t="e">
        <f>VLOOKUP(AJ764,'FRC Site Data'!$B$3:$L$42,11,FALSE)</f>
        <v>#N/A</v>
      </c>
      <c r="AA772" s="10" t="e">
        <f>VLOOKUP(AJ764,'CIR Team Info'!$C$5:$E$44,4,FALSE)</f>
        <v>#N/A</v>
      </c>
      <c r="AB772" s="161" t="b">
        <f>ISNUMBER(VLOOKUP(AJ764,Match!$T$5:$T$10,1,FALSE))</f>
        <v>0</v>
      </c>
      <c r="AC772" s="161" t="b">
        <f>IF(AB772=TRUE,(VLOOKUP($AJ764,Match!$T$5:$U$10,2,FALSE)))</f>
        <v>0</v>
      </c>
      <c r="AD772" s="8">
        <v>3</v>
      </c>
      <c r="AE772" s="8">
        <v>2</v>
      </c>
      <c r="AF772" s="8">
        <v>2</v>
      </c>
      <c r="AG772" s="8">
        <v>1</v>
      </c>
      <c r="AH772" s="8" t="str">
        <f t="shared" si="193"/>
        <v/>
      </c>
    </row>
    <row r="773" spans="1:34" x14ac:dyDescent="0.25">
      <c r="A773" s="29">
        <f t="shared" si="192"/>
        <v>0</v>
      </c>
      <c r="B773" s="29">
        <f t="shared" si="179"/>
        <v>0</v>
      </c>
      <c r="C773" s="29">
        <f t="shared" si="180"/>
        <v>0</v>
      </c>
      <c r="D773" s="29">
        <f t="shared" si="181"/>
        <v>0</v>
      </c>
      <c r="E773" s="29">
        <f t="shared" si="194"/>
        <v>0</v>
      </c>
      <c r="F773" s="29">
        <f t="shared" si="182"/>
        <v>0</v>
      </c>
      <c r="G773" s="29" t="str">
        <f t="shared" si="183"/>
        <v>offensive</v>
      </c>
      <c r="H773" s="16">
        <f t="shared" si="184"/>
        <v>0</v>
      </c>
      <c r="I773" s="16">
        <f t="shared" si="185"/>
        <v>0</v>
      </c>
      <c r="J773" s="16">
        <f t="shared" si="186"/>
        <v>0</v>
      </c>
      <c r="K773" s="16">
        <f t="shared" si="187"/>
        <v>0</v>
      </c>
      <c r="L773" s="67">
        <f t="shared" si="188"/>
        <v>0</v>
      </c>
      <c r="M773" s="4">
        <f t="shared" si="189"/>
        <v>0</v>
      </c>
      <c r="N773" s="4">
        <f t="shared" si="190"/>
        <v>0</v>
      </c>
      <c r="O773" s="4">
        <f t="shared" si="191"/>
        <v>0</v>
      </c>
      <c r="P773" s="4" t="e">
        <f>VLOOKUP(AJ765,'CIR Team Info'!$C$5:$E$44,2,FALSE)</f>
        <v>#N/A</v>
      </c>
      <c r="Q773" s="4" t="e">
        <f>VLOOKUP(AJ765,'CIR Team Info'!$C$5:$E$44,3,FALSE)</f>
        <v>#N/A</v>
      </c>
      <c r="R773" s="10" t="e">
        <f>VLOOKUP(AJ765,'FRC Site Data'!$B$3:$L$42,2,FALSE)</f>
        <v>#N/A</v>
      </c>
      <c r="S773" s="10" t="e">
        <f>VLOOKUP(AJ765,'FRC Site Data'!$B$3:$L$42,3,FALSE)</f>
        <v>#N/A</v>
      </c>
      <c r="T773" s="10" t="e">
        <f>VLOOKUP(AJ765,'FRC Site Data'!$B$3:$L$42,4,FALSE)</f>
        <v>#N/A</v>
      </c>
      <c r="U773" s="10" t="e">
        <f>VLOOKUP(AJ765,'FRC Site Data'!$B$3:$L$42,5,FALSE)</f>
        <v>#N/A</v>
      </c>
      <c r="V773" s="10" t="e">
        <f>VLOOKUP(AJ765,'FRC Site Data'!$B$3:$L$42,6,FALSE)</f>
        <v>#N/A</v>
      </c>
      <c r="W773" s="10" t="e">
        <f>VLOOKUP(AJ765,'FRC Site Data'!$B$3:$L$42,8,FALSE)</f>
        <v>#N/A</v>
      </c>
      <c r="X773" s="10" t="e">
        <f>VLOOKUP(AJ765,'FRC Site Data'!$B$3:$L$42,9,FALSE)</f>
        <v>#N/A</v>
      </c>
      <c r="Y773" s="10" t="e">
        <f>VLOOKUP(AJ765,'FRC Site Data'!$B$3:$L$42,10,FALSE)</f>
        <v>#N/A</v>
      </c>
      <c r="Z773" s="10" t="e">
        <f>VLOOKUP(AJ765,'FRC Site Data'!$B$3:$L$42,11,FALSE)</f>
        <v>#N/A</v>
      </c>
      <c r="AA773" s="10" t="e">
        <f>VLOOKUP(AJ765,'CIR Team Info'!$C$5:$E$44,4,FALSE)</f>
        <v>#N/A</v>
      </c>
      <c r="AB773" s="161" t="b">
        <f>ISNUMBER(VLOOKUP(AJ765,Match!$T$5:$T$10,1,FALSE))</f>
        <v>0</v>
      </c>
      <c r="AC773" s="161" t="b">
        <f>IF(AB773=TRUE,(VLOOKUP($AJ765,Match!$T$5:$U$10,2,FALSE)))</f>
        <v>0</v>
      </c>
      <c r="AD773" s="8">
        <v>3</v>
      </c>
      <c r="AE773" s="8">
        <v>2</v>
      </c>
      <c r="AF773" s="8">
        <v>2</v>
      </c>
      <c r="AG773" s="8">
        <v>1</v>
      </c>
      <c r="AH773" s="8" t="str">
        <f t="shared" si="193"/>
        <v/>
      </c>
    </row>
    <row r="774" spans="1:34" x14ac:dyDescent="0.25">
      <c r="A774" s="29">
        <f t="shared" si="192"/>
        <v>0</v>
      </c>
      <c r="B774" s="29">
        <f t="shared" si="179"/>
        <v>0</v>
      </c>
      <c r="C774" s="29">
        <f t="shared" si="180"/>
        <v>0</v>
      </c>
      <c r="D774" s="29">
        <f t="shared" si="181"/>
        <v>0</v>
      </c>
      <c r="E774" s="29">
        <f t="shared" si="194"/>
        <v>0</v>
      </c>
      <c r="F774" s="29">
        <f t="shared" si="182"/>
        <v>0</v>
      </c>
      <c r="G774" s="29" t="str">
        <f t="shared" si="183"/>
        <v>offensive</v>
      </c>
      <c r="H774" s="16">
        <f t="shared" si="184"/>
        <v>0</v>
      </c>
      <c r="I774" s="16">
        <f t="shared" si="185"/>
        <v>0</v>
      </c>
      <c r="J774" s="16">
        <f t="shared" si="186"/>
        <v>0</v>
      </c>
      <c r="K774" s="16">
        <f t="shared" si="187"/>
        <v>0</v>
      </c>
      <c r="L774" s="67">
        <f t="shared" si="188"/>
        <v>0</v>
      </c>
      <c r="M774" s="4">
        <f t="shared" si="189"/>
        <v>0</v>
      </c>
      <c r="N774" s="4">
        <f t="shared" si="190"/>
        <v>0</v>
      </c>
      <c r="O774" s="4">
        <f t="shared" si="191"/>
        <v>0</v>
      </c>
      <c r="P774" s="4" t="e">
        <f>VLOOKUP(AJ766,'CIR Team Info'!$C$5:$E$44,2,FALSE)</f>
        <v>#N/A</v>
      </c>
      <c r="Q774" s="4" t="e">
        <f>VLOOKUP(AJ766,'CIR Team Info'!$C$5:$E$44,3,FALSE)</f>
        <v>#N/A</v>
      </c>
      <c r="R774" s="10" t="e">
        <f>VLOOKUP(AJ766,'FRC Site Data'!$B$3:$L$42,2,FALSE)</f>
        <v>#N/A</v>
      </c>
      <c r="S774" s="10" t="e">
        <f>VLOOKUP(AJ766,'FRC Site Data'!$B$3:$L$42,3,FALSE)</f>
        <v>#N/A</v>
      </c>
      <c r="T774" s="10" t="e">
        <f>VLOOKUP(AJ766,'FRC Site Data'!$B$3:$L$42,4,FALSE)</f>
        <v>#N/A</v>
      </c>
      <c r="U774" s="10" t="e">
        <f>VLOOKUP(AJ766,'FRC Site Data'!$B$3:$L$42,5,FALSE)</f>
        <v>#N/A</v>
      </c>
      <c r="V774" s="10" t="e">
        <f>VLOOKUP(AJ766,'FRC Site Data'!$B$3:$L$42,6,FALSE)</f>
        <v>#N/A</v>
      </c>
      <c r="W774" s="10" t="e">
        <f>VLOOKUP(AJ766,'FRC Site Data'!$B$3:$L$42,8,FALSE)</f>
        <v>#N/A</v>
      </c>
      <c r="X774" s="10" t="e">
        <f>VLOOKUP(AJ766,'FRC Site Data'!$B$3:$L$42,9,FALSE)</f>
        <v>#N/A</v>
      </c>
      <c r="Y774" s="10" t="e">
        <f>VLOOKUP(AJ766,'FRC Site Data'!$B$3:$L$42,10,FALSE)</f>
        <v>#N/A</v>
      </c>
      <c r="Z774" s="10" t="e">
        <f>VLOOKUP(AJ766,'FRC Site Data'!$B$3:$L$42,11,FALSE)</f>
        <v>#N/A</v>
      </c>
      <c r="AA774" s="10" t="e">
        <f>VLOOKUP(AJ766,'CIR Team Info'!$C$5:$E$44,4,FALSE)</f>
        <v>#N/A</v>
      </c>
      <c r="AB774" s="161" t="b">
        <f>ISNUMBER(VLOOKUP(AJ766,Match!$T$5:$T$10,1,FALSE))</f>
        <v>0</v>
      </c>
      <c r="AC774" s="161" t="b">
        <f>IF(AB774=TRUE,(VLOOKUP($AJ766,Match!$T$5:$U$10,2,FALSE)))</f>
        <v>0</v>
      </c>
      <c r="AD774" s="8">
        <v>3</v>
      </c>
      <c r="AE774" s="8">
        <v>2</v>
      </c>
      <c r="AF774" s="8">
        <v>2</v>
      </c>
      <c r="AG774" s="8">
        <v>1</v>
      </c>
      <c r="AH774" s="8" t="str">
        <f t="shared" si="193"/>
        <v/>
      </c>
    </row>
    <row r="775" spans="1:34" x14ac:dyDescent="0.25">
      <c r="A775" s="29">
        <f t="shared" si="192"/>
        <v>0</v>
      </c>
      <c r="B775" s="29">
        <f t="shared" si="179"/>
        <v>0</v>
      </c>
      <c r="C775" s="29">
        <f t="shared" si="180"/>
        <v>0</v>
      </c>
      <c r="D775" s="29">
        <f t="shared" si="181"/>
        <v>0</v>
      </c>
      <c r="E775" s="29">
        <f t="shared" si="194"/>
        <v>0</v>
      </c>
      <c r="F775" s="29">
        <f t="shared" si="182"/>
        <v>0</v>
      </c>
      <c r="G775" s="29" t="str">
        <f t="shared" si="183"/>
        <v>offensive</v>
      </c>
      <c r="H775" s="16">
        <f t="shared" si="184"/>
        <v>0</v>
      </c>
      <c r="I775" s="16">
        <f t="shared" si="185"/>
        <v>0</v>
      </c>
      <c r="J775" s="16">
        <f t="shared" si="186"/>
        <v>0</v>
      </c>
      <c r="K775" s="16">
        <f t="shared" si="187"/>
        <v>0</v>
      </c>
      <c r="L775" s="67">
        <f t="shared" si="188"/>
        <v>0</v>
      </c>
      <c r="M775" s="4">
        <f t="shared" si="189"/>
        <v>0</v>
      </c>
      <c r="N775" s="4">
        <f t="shared" si="190"/>
        <v>0</v>
      </c>
      <c r="O775" s="4">
        <f t="shared" si="191"/>
        <v>0</v>
      </c>
      <c r="P775" s="4" t="e">
        <f>VLOOKUP(AJ767,'CIR Team Info'!$C$5:$E$44,2,FALSE)</f>
        <v>#N/A</v>
      </c>
      <c r="Q775" s="4" t="e">
        <f>VLOOKUP(AJ767,'CIR Team Info'!$C$5:$E$44,3,FALSE)</f>
        <v>#N/A</v>
      </c>
      <c r="R775" s="10" t="e">
        <f>VLOOKUP(AJ767,'FRC Site Data'!$B$3:$L$42,2,FALSE)</f>
        <v>#N/A</v>
      </c>
      <c r="S775" s="10" t="e">
        <f>VLOOKUP(AJ767,'FRC Site Data'!$B$3:$L$42,3,FALSE)</f>
        <v>#N/A</v>
      </c>
      <c r="T775" s="10" t="e">
        <f>VLOOKUP(AJ767,'FRC Site Data'!$B$3:$L$42,4,FALSE)</f>
        <v>#N/A</v>
      </c>
      <c r="U775" s="10" t="e">
        <f>VLOOKUP(AJ767,'FRC Site Data'!$B$3:$L$42,5,FALSE)</f>
        <v>#N/A</v>
      </c>
      <c r="V775" s="10" t="e">
        <f>VLOOKUP(AJ767,'FRC Site Data'!$B$3:$L$42,6,FALSE)</f>
        <v>#N/A</v>
      </c>
      <c r="W775" s="10" t="e">
        <f>VLOOKUP(AJ767,'FRC Site Data'!$B$3:$L$42,8,FALSE)</f>
        <v>#N/A</v>
      </c>
      <c r="X775" s="10" t="e">
        <f>VLOOKUP(AJ767,'FRC Site Data'!$B$3:$L$42,9,FALSE)</f>
        <v>#N/A</v>
      </c>
      <c r="Y775" s="10" t="e">
        <f>VLOOKUP(AJ767,'FRC Site Data'!$B$3:$L$42,10,FALSE)</f>
        <v>#N/A</v>
      </c>
      <c r="Z775" s="10" t="e">
        <f>VLOOKUP(AJ767,'FRC Site Data'!$B$3:$L$42,11,FALSE)</f>
        <v>#N/A</v>
      </c>
      <c r="AA775" s="10" t="e">
        <f>VLOOKUP(AJ767,'CIR Team Info'!$C$5:$E$44,4,FALSE)</f>
        <v>#N/A</v>
      </c>
      <c r="AB775" s="161" t="b">
        <f>ISNUMBER(VLOOKUP(AJ767,Match!$T$5:$T$10,1,FALSE))</f>
        <v>0</v>
      </c>
      <c r="AC775" s="161" t="b">
        <f>IF(AB775=TRUE,(VLOOKUP($AJ767,Match!$T$5:$U$10,2,FALSE)))</f>
        <v>0</v>
      </c>
      <c r="AD775" s="8">
        <v>3</v>
      </c>
      <c r="AE775" s="8">
        <v>2</v>
      </c>
      <c r="AF775" s="8">
        <v>2</v>
      </c>
      <c r="AG775" s="8">
        <v>1</v>
      </c>
      <c r="AH775" s="8" t="str">
        <f t="shared" si="193"/>
        <v/>
      </c>
    </row>
    <row r="776" spans="1:34" x14ac:dyDescent="0.25">
      <c r="A776" s="29">
        <f t="shared" si="192"/>
        <v>0</v>
      </c>
      <c r="B776" s="29">
        <f t="shared" ref="B776:B839" si="195">H776*AD776*AO768</f>
        <v>0</v>
      </c>
      <c r="C776" s="29">
        <f t="shared" ref="C776:C839" si="196">I776*AE776*AV768</f>
        <v>0</v>
      </c>
      <c r="D776" s="29">
        <f t="shared" ref="D776:D839" si="197">J776*AF776*BF768</f>
        <v>0</v>
      </c>
      <c r="E776" s="29">
        <f t="shared" si="194"/>
        <v>0</v>
      </c>
      <c r="F776" s="29">
        <f t="shared" ref="F776:F839" si="198">IF(AN768&gt;0,5)-2*COUNTIF(AQ768,"K")+5*COUNTIF(AS768,"T")+IF(AX768=3,2)+IF(AY768="T",2)</f>
        <v>0</v>
      </c>
      <c r="G776" s="29" t="str">
        <f t="shared" ref="G776:G839" si="199">IF((BB768+BC768)&gt;45,"defensive",IF((BB768+BC768)&gt;15,"both","offensive"))</f>
        <v>offensive</v>
      </c>
      <c r="H776" s="16">
        <f t="shared" ref="H776:H839" si="200">IF((AO768+AP768)=0,0,AO768/(AO768+AP768))</f>
        <v>0</v>
      </c>
      <c r="I776" s="16">
        <f t="shared" ref="I776:I839" si="201">IF((AV768+AW768)=0,0,AV768/(AV768+AW768))</f>
        <v>0</v>
      </c>
      <c r="J776" s="16">
        <f t="shared" ref="J776:J839" si="202">IF(L776=0,0,BG768/L776)</f>
        <v>0</v>
      </c>
      <c r="K776" s="16">
        <f t="shared" ref="K776:K839" si="203">IF((BB768+BC768)=0,0,((AZ768*BB768*0.2)+(BA768*BC768*0.3))/(BB768+BC768))</f>
        <v>0</v>
      </c>
      <c r="L776" s="67">
        <f t="shared" ref="L776:L839" si="204">IF(BF768&gt;BG768,BF768,BG768)</f>
        <v>0</v>
      </c>
      <c r="M776" s="4">
        <f t="shared" ref="M776:M839" si="205">AO768+AV768+BD768+O776</f>
        <v>0</v>
      </c>
      <c r="N776" s="4">
        <f t="shared" ref="N776:N839" si="206">AO768+AV768+BD768</f>
        <v>0</v>
      </c>
      <c r="O776" s="4">
        <f t="shared" ref="O776:O839" si="207">(AZ768*0.2*BB768*30/30)+(BA768*0.3*BC768*12/30)-BI768-BJ768</f>
        <v>0</v>
      </c>
      <c r="P776" s="4" t="e">
        <f>VLOOKUP(AJ768,'CIR Team Info'!$C$5:$E$44,2,FALSE)</f>
        <v>#N/A</v>
      </c>
      <c r="Q776" s="4" t="e">
        <f>VLOOKUP(AJ768,'CIR Team Info'!$C$5:$E$44,3,FALSE)</f>
        <v>#N/A</v>
      </c>
      <c r="R776" s="10" t="e">
        <f>VLOOKUP(AJ768,'FRC Site Data'!$B$3:$L$42,2,FALSE)</f>
        <v>#N/A</v>
      </c>
      <c r="S776" s="10" t="e">
        <f>VLOOKUP(AJ768,'FRC Site Data'!$B$3:$L$42,3,FALSE)</f>
        <v>#N/A</v>
      </c>
      <c r="T776" s="10" t="e">
        <f>VLOOKUP(AJ768,'FRC Site Data'!$B$3:$L$42,4,FALSE)</f>
        <v>#N/A</v>
      </c>
      <c r="U776" s="10" t="e">
        <f>VLOOKUP(AJ768,'FRC Site Data'!$B$3:$L$42,5,FALSE)</f>
        <v>#N/A</v>
      </c>
      <c r="V776" s="10" t="e">
        <f>VLOOKUP(AJ768,'FRC Site Data'!$B$3:$L$42,6,FALSE)</f>
        <v>#N/A</v>
      </c>
      <c r="W776" s="10" t="e">
        <f>VLOOKUP(AJ768,'FRC Site Data'!$B$3:$L$42,8,FALSE)</f>
        <v>#N/A</v>
      </c>
      <c r="X776" s="10" t="e">
        <f>VLOOKUP(AJ768,'FRC Site Data'!$B$3:$L$42,9,FALSE)</f>
        <v>#N/A</v>
      </c>
      <c r="Y776" s="10" t="e">
        <f>VLOOKUP(AJ768,'FRC Site Data'!$B$3:$L$42,10,FALSE)</f>
        <v>#N/A</v>
      </c>
      <c r="Z776" s="10" t="e">
        <f>VLOOKUP(AJ768,'FRC Site Data'!$B$3:$L$42,11,FALSE)</f>
        <v>#N/A</v>
      </c>
      <c r="AA776" s="10" t="e">
        <f>VLOOKUP(AJ768,'CIR Team Info'!$C$5:$E$44,4,FALSE)</f>
        <v>#N/A</v>
      </c>
      <c r="AB776" s="161" t="b">
        <f>ISNUMBER(VLOOKUP(AJ768,Match!$T$5:$T$10,1,FALSE))</f>
        <v>0</v>
      </c>
      <c r="AC776" s="161" t="b">
        <f>IF(AB776=TRUE,(VLOOKUP($AJ768,Match!$T$5:$U$10,2,FALSE)))</f>
        <v>0</v>
      </c>
      <c r="AD776" s="8">
        <v>3</v>
      </c>
      <c r="AE776" s="8">
        <v>2</v>
      </c>
      <c r="AF776" s="8">
        <v>2</v>
      </c>
      <c r="AG776" s="8">
        <v>1</v>
      </c>
      <c r="AH776" s="8" t="str">
        <f t="shared" si="193"/>
        <v/>
      </c>
    </row>
    <row r="777" spans="1:34" x14ac:dyDescent="0.25">
      <c r="A777" s="29">
        <f t="shared" si="192"/>
        <v>0</v>
      </c>
      <c r="B777" s="29">
        <f t="shared" si="195"/>
        <v>0</v>
      </c>
      <c r="C777" s="29">
        <f t="shared" si="196"/>
        <v>0</v>
      </c>
      <c r="D777" s="29">
        <f t="shared" si="197"/>
        <v>0</v>
      </c>
      <c r="E777" s="29">
        <f t="shared" si="194"/>
        <v>0</v>
      </c>
      <c r="F777" s="29">
        <f t="shared" si="198"/>
        <v>0</v>
      </c>
      <c r="G777" s="29" t="str">
        <f t="shared" si="199"/>
        <v>offensive</v>
      </c>
      <c r="H777" s="16">
        <f t="shared" si="200"/>
        <v>0</v>
      </c>
      <c r="I777" s="16">
        <f t="shared" si="201"/>
        <v>0</v>
      </c>
      <c r="J777" s="16">
        <f t="shared" si="202"/>
        <v>0</v>
      </c>
      <c r="K777" s="16">
        <f t="shared" si="203"/>
        <v>0</v>
      </c>
      <c r="L777" s="67">
        <f t="shared" si="204"/>
        <v>0</v>
      </c>
      <c r="M777" s="4">
        <f t="shared" si="205"/>
        <v>0</v>
      </c>
      <c r="N777" s="4">
        <f t="shared" si="206"/>
        <v>0</v>
      </c>
      <c r="O777" s="4">
        <f t="shared" si="207"/>
        <v>0</v>
      </c>
      <c r="P777" s="4" t="e">
        <f>VLOOKUP(AJ769,'CIR Team Info'!$C$5:$E$44,2,FALSE)</f>
        <v>#N/A</v>
      </c>
      <c r="Q777" s="4" t="e">
        <f>VLOOKUP(AJ769,'CIR Team Info'!$C$5:$E$44,3,FALSE)</f>
        <v>#N/A</v>
      </c>
      <c r="R777" s="10" t="e">
        <f>VLOOKUP(AJ769,'FRC Site Data'!$B$3:$L$42,2,FALSE)</f>
        <v>#N/A</v>
      </c>
      <c r="S777" s="10" t="e">
        <f>VLOOKUP(AJ769,'FRC Site Data'!$B$3:$L$42,3,FALSE)</f>
        <v>#N/A</v>
      </c>
      <c r="T777" s="10" t="e">
        <f>VLOOKUP(AJ769,'FRC Site Data'!$B$3:$L$42,4,FALSE)</f>
        <v>#N/A</v>
      </c>
      <c r="U777" s="10" t="e">
        <f>VLOOKUP(AJ769,'FRC Site Data'!$B$3:$L$42,5,FALSE)</f>
        <v>#N/A</v>
      </c>
      <c r="V777" s="10" t="e">
        <f>VLOOKUP(AJ769,'FRC Site Data'!$B$3:$L$42,6,FALSE)</f>
        <v>#N/A</v>
      </c>
      <c r="W777" s="10" t="e">
        <f>VLOOKUP(AJ769,'FRC Site Data'!$B$3:$L$42,8,FALSE)</f>
        <v>#N/A</v>
      </c>
      <c r="X777" s="10" t="e">
        <f>VLOOKUP(AJ769,'FRC Site Data'!$B$3:$L$42,9,FALSE)</f>
        <v>#N/A</v>
      </c>
      <c r="Y777" s="10" t="e">
        <f>VLOOKUP(AJ769,'FRC Site Data'!$B$3:$L$42,10,FALSE)</f>
        <v>#N/A</v>
      </c>
      <c r="Z777" s="10" t="e">
        <f>VLOOKUP(AJ769,'FRC Site Data'!$B$3:$L$42,11,FALSE)</f>
        <v>#N/A</v>
      </c>
      <c r="AA777" s="10" t="e">
        <f>VLOOKUP(AJ769,'CIR Team Info'!$C$5:$E$44,4,FALSE)</f>
        <v>#N/A</v>
      </c>
      <c r="AB777" s="161" t="b">
        <f>ISNUMBER(VLOOKUP(AJ769,Match!$T$5:$T$10,1,FALSE))</f>
        <v>0</v>
      </c>
      <c r="AC777" s="161" t="b">
        <f>IF(AB777=TRUE,(VLOOKUP($AJ769,Match!$T$5:$U$10,2,FALSE)))</f>
        <v>0</v>
      </c>
      <c r="AD777" s="8">
        <v>3</v>
      </c>
      <c r="AE777" s="8">
        <v>2</v>
      </c>
      <c r="AF777" s="8">
        <v>2</v>
      </c>
      <c r="AG777" s="8">
        <v>1</v>
      </c>
      <c r="AH777" s="8" t="str">
        <f t="shared" si="193"/>
        <v/>
      </c>
    </row>
    <row r="778" spans="1:34" x14ac:dyDescent="0.25">
      <c r="A778" s="29">
        <f t="shared" ref="A778:A841" si="208">SUM(B778:F778)</f>
        <v>0</v>
      </c>
      <c r="B778" s="29">
        <f t="shared" si="195"/>
        <v>0</v>
      </c>
      <c r="C778" s="29">
        <f t="shared" si="196"/>
        <v>0</v>
      </c>
      <c r="D778" s="29">
        <f t="shared" si="197"/>
        <v>0</v>
      </c>
      <c r="E778" s="29">
        <f t="shared" si="194"/>
        <v>0</v>
      </c>
      <c r="F778" s="29">
        <f t="shared" si="198"/>
        <v>0</v>
      </c>
      <c r="G778" s="29" t="str">
        <f t="shared" si="199"/>
        <v>offensive</v>
      </c>
      <c r="H778" s="16">
        <f t="shared" si="200"/>
        <v>0</v>
      </c>
      <c r="I778" s="16">
        <f t="shared" si="201"/>
        <v>0</v>
      </c>
      <c r="J778" s="16">
        <f t="shared" si="202"/>
        <v>0</v>
      </c>
      <c r="K778" s="16">
        <f t="shared" si="203"/>
        <v>0</v>
      </c>
      <c r="L778" s="67">
        <f t="shared" si="204"/>
        <v>0</v>
      </c>
      <c r="M778" s="4">
        <f t="shared" si="205"/>
        <v>0</v>
      </c>
      <c r="N778" s="4">
        <f t="shared" si="206"/>
        <v>0</v>
      </c>
      <c r="O778" s="4">
        <f t="shared" si="207"/>
        <v>0</v>
      </c>
      <c r="P778" s="4" t="e">
        <f>VLOOKUP(AJ770,'CIR Team Info'!$C$5:$E$44,2,FALSE)</f>
        <v>#N/A</v>
      </c>
      <c r="Q778" s="4" t="e">
        <f>VLOOKUP(AJ770,'CIR Team Info'!$C$5:$E$44,3,FALSE)</f>
        <v>#N/A</v>
      </c>
      <c r="R778" s="10" t="e">
        <f>VLOOKUP(AJ770,'FRC Site Data'!$B$3:$L$42,2,FALSE)</f>
        <v>#N/A</v>
      </c>
      <c r="S778" s="10" t="e">
        <f>VLOOKUP(AJ770,'FRC Site Data'!$B$3:$L$42,3,FALSE)</f>
        <v>#N/A</v>
      </c>
      <c r="T778" s="10" t="e">
        <f>VLOOKUP(AJ770,'FRC Site Data'!$B$3:$L$42,4,FALSE)</f>
        <v>#N/A</v>
      </c>
      <c r="U778" s="10" t="e">
        <f>VLOOKUP(AJ770,'FRC Site Data'!$B$3:$L$42,5,FALSE)</f>
        <v>#N/A</v>
      </c>
      <c r="V778" s="10" t="e">
        <f>VLOOKUP(AJ770,'FRC Site Data'!$B$3:$L$42,6,FALSE)</f>
        <v>#N/A</v>
      </c>
      <c r="W778" s="10" t="e">
        <f>VLOOKUP(AJ770,'FRC Site Data'!$B$3:$L$42,8,FALSE)</f>
        <v>#N/A</v>
      </c>
      <c r="X778" s="10" t="e">
        <f>VLOOKUP(AJ770,'FRC Site Data'!$B$3:$L$42,9,FALSE)</f>
        <v>#N/A</v>
      </c>
      <c r="Y778" s="10" t="e">
        <f>VLOOKUP(AJ770,'FRC Site Data'!$B$3:$L$42,10,FALSE)</f>
        <v>#N/A</v>
      </c>
      <c r="Z778" s="10" t="e">
        <f>VLOOKUP(AJ770,'FRC Site Data'!$B$3:$L$42,11,FALSE)</f>
        <v>#N/A</v>
      </c>
      <c r="AA778" s="10" t="e">
        <f>VLOOKUP(AJ770,'CIR Team Info'!$C$5:$E$44,4,FALSE)</f>
        <v>#N/A</v>
      </c>
      <c r="AB778" s="161" t="b">
        <f>ISNUMBER(VLOOKUP(AJ770,Match!$T$5:$T$10,1,FALSE))</f>
        <v>0</v>
      </c>
      <c r="AC778" s="161" t="b">
        <f>IF(AB778=TRUE,(VLOOKUP($AJ770,Match!$T$5:$U$10,2,FALSE)))</f>
        <v>0</v>
      </c>
      <c r="AD778" s="8">
        <v>3</v>
      </c>
      <c r="AE778" s="8">
        <v>2</v>
      </c>
      <c r="AF778" s="8">
        <v>2</v>
      </c>
      <c r="AG778" s="8">
        <v>1</v>
      </c>
      <c r="AH778" s="8" t="str">
        <f t="shared" si="193"/>
        <v/>
      </c>
    </row>
    <row r="779" spans="1:34" x14ac:dyDescent="0.25">
      <c r="A779" s="29">
        <f t="shared" si="208"/>
        <v>0</v>
      </c>
      <c r="B779" s="29">
        <f t="shared" si="195"/>
        <v>0</v>
      </c>
      <c r="C779" s="29">
        <f t="shared" si="196"/>
        <v>0</v>
      </c>
      <c r="D779" s="29">
        <f t="shared" si="197"/>
        <v>0</v>
      </c>
      <c r="E779" s="29">
        <f t="shared" si="194"/>
        <v>0</v>
      </c>
      <c r="F779" s="29">
        <f t="shared" si="198"/>
        <v>0</v>
      </c>
      <c r="G779" s="29" t="str">
        <f t="shared" si="199"/>
        <v>offensive</v>
      </c>
      <c r="H779" s="16">
        <f t="shared" si="200"/>
        <v>0</v>
      </c>
      <c r="I779" s="16">
        <f t="shared" si="201"/>
        <v>0</v>
      </c>
      <c r="J779" s="16">
        <f t="shared" si="202"/>
        <v>0</v>
      </c>
      <c r="K779" s="16">
        <f t="shared" si="203"/>
        <v>0</v>
      </c>
      <c r="L779" s="67">
        <f t="shared" si="204"/>
        <v>0</v>
      </c>
      <c r="M779" s="4">
        <f t="shared" si="205"/>
        <v>0</v>
      </c>
      <c r="N779" s="4">
        <f t="shared" si="206"/>
        <v>0</v>
      </c>
      <c r="O779" s="4">
        <f t="shared" si="207"/>
        <v>0</v>
      </c>
      <c r="P779" s="4" t="e">
        <f>VLOOKUP(AJ771,'CIR Team Info'!$C$5:$E$44,2,FALSE)</f>
        <v>#N/A</v>
      </c>
      <c r="Q779" s="4" t="e">
        <f>VLOOKUP(AJ771,'CIR Team Info'!$C$5:$E$44,3,FALSE)</f>
        <v>#N/A</v>
      </c>
      <c r="R779" s="10" t="e">
        <f>VLOOKUP(AJ771,'FRC Site Data'!$B$3:$L$42,2,FALSE)</f>
        <v>#N/A</v>
      </c>
      <c r="S779" s="10" t="e">
        <f>VLOOKUP(AJ771,'FRC Site Data'!$B$3:$L$42,3,FALSE)</f>
        <v>#N/A</v>
      </c>
      <c r="T779" s="10" t="e">
        <f>VLOOKUP(AJ771,'FRC Site Data'!$B$3:$L$42,4,FALSE)</f>
        <v>#N/A</v>
      </c>
      <c r="U779" s="10" t="e">
        <f>VLOOKUP(AJ771,'FRC Site Data'!$B$3:$L$42,5,FALSE)</f>
        <v>#N/A</v>
      </c>
      <c r="V779" s="10" t="e">
        <f>VLOOKUP(AJ771,'FRC Site Data'!$B$3:$L$42,6,FALSE)</f>
        <v>#N/A</v>
      </c>
      <c r="W779" s="10" t="e">
        <f>VLOOKUP(AJ771,'FRC Site Data'!$B$3:$L$42,8,FALSE)</f>
        <v>#N/A</v>
      </c>
      <c r="X779" s="10" t="e">
        <f>VLOOKUP(AJ771,'FRC Site Data'!$B$3:$L$42,9,FALSE)</f>
        <v>#N/A</v>
      </c>
      <c r="Y779" s="10" t="e">
        <f>VLOOKUP(AJ771,'FRC Site Data'!$B$3:$L$42,10,FALSE)</f>
        <v>#N/A</v>
      </c>
      <c r="Z779" s="10" t="e">
        <f>VLOOKUP(AJ771,'FRC Site Data'!$B$3:$L$42,11,FALSE)</f>
        <v>#N/A</v>
      </c>
      <c r="AA779" s="10" t="e">
        <f>VLOOKUP(AJ771,'CIR Team Info'!$C$5:$E$44,4,FALSE)</f>
        <v>#N/A</v>
      </c>
      <c r="AB779" s="161" t="b">
        <f>ISNUMBER(VLOOKUP(AJ771,Match!$T$5:$T$10,1,FALSE))</f>
        <v>0</v>
      </c>
      <c r="AC779" s="161" t="b">
        <f>IF(AB779=TRUE,(VLOOKUP($AJ771,Match!$T$5:$U$10,2,FALSE)))</f>
        <v>0</v>
      </c>
      <c r="AD779" s="8">
        <v>3</v>
      </c>
      <c r="AE779" s="8">
        <v>2</v>
      </c>
      <c r="AF779" s="8">
        <v>2</v>
      </c>
      <c r="AG779" s="8">
        <v>1</v>
      </c>
      <c r="AH779" s="8" t="str">
        <f t="shared" si="193"/>
        <v/>
      </c>
    </row>
    <row r="780" spans="1:34" x14ac:dyDescent="0.25">
      <c r="A780" s="29">
        <f t="shared" si="208"/>
        <v>0</v>
      </c>
      <c r="B780" s="29">
        <f t="shared" si="195"/>
        <v>0</v>
      </c>
      <c r="C780" s="29">
        <f t="shared" si="196"/>
        <v>0</v>
      </c>
      <c r="D780" s="29">
        <f t="shared" si="197"/>
        <v>0</v>
      </c>
      <c r="E780" s="29">
        <f t="shared" si="194"/>
        <v>0</v>
      </c>
      <c r="F780" s="29">
        <f t="shared" si="198"/>
        <v>0</v>
      </c>
      <c r="G780" s="29" t="str">
        <f t="shared" si="199"/>
        <v>offensive</v>
      </c>
      <c r="H780" s="16">
        <f t="shared" si="200"/>
        <v>0</v>
      </c>
      <c r="I780" s="16">
        <f t="shared" si="201"/>
        <v>0</v>
      </c>
      <c r="J780" s="16">
        <f t="shared" si="202"/>
        <v>0</v>
      </c>
      <c r="K780" s="16">
        <f t="shared" si="203"/>
        <v>0</v>
      </c>
      <c r="L780" s="67">
        <f t="shared" si="204"/>
        <v>0</v>
      </c>
      <c r="M780" s="4">
        <f t="shared" si="205"/>
        <v>0</v>
      </c>
      <c r="N780" s="4">
        <f t="shared" si="206"/>
        <v>0</v>
      </c>
      <c r="O780" s="4">
        <f t="shared" si="207"/>
        <v>0</v>
      </c>
      <c r="P780" s="4" t="e">
        <f>VLOOKUP(AJ772,'CIR Team Info'!$C$5:$E$44,2,FALSE)</f>
        <v>#N/A</v>
      </c>
      <c r="Q780" s="4" t="e">
        <f>VLOOKUP(AJ772,'CIR Team Info'!$C$5:$E$44,3,FALSE)</f>
        <v>#N/A</v>
      </c>
      <c r="R780" s="10" t="e">
        <f>VLOOKUP(AJ772,'FRC Site Data'!$B$3:$L$42,2,FALSE)</f>
        <v>#N/A</v>
      </c>
      <c r="S780" s="10" t="e">
        <f>VLOOKUP(AJ772,'FRC Site Data'!$B$3:$L$42,3,FALSE)</f>
        <v>#N/A</v>
      </c>
      <c r="T780" s="10" t="e">
        <f>VLOOKUP(AJ772,'FRC Site Data'!$B$3:$L$42,4,FALSE)</f>
        <v>#N/A</v>
      </c>
      <c r="U780" s="10" t="e">
        <f>VLOOKUP(AJ772,'FRC Site Data'!$B$3:$L$42,5,FALSE)</f>
        <v>#N/A</v>
      </c>
      <c r="V780" s="10" t="e">
        <f>VLOOKUP(AJ772,'FRC Site Data'!$B$3:$L$42,6,FALSE)</f>
        <v>#N/A</v>
      </c>
      <c r="W780" s="10" t="e">
        <f>VLOOKUP(AJ772,'FRC Site Data'!$B$3:$L$42,8,FALSE)</f>
        <v>#N/A</v>
      </c>
      <c r="X780" s="10" t="e">
        <f>VLOOKUP(AJ772,'FRC Site Data'!$B$3:$L$42,9,FALSE)</f>
        <v>#N/A</v>
      </c>
      <c r="Y780" s="10" t="e">
        <f>VLOOKUP(AJ772,'FRC Site Data'!$B$3:$L$42,10,FALSE)</f>
        <v>#N/A</v>
      </c>
      <c r="Z780" s="10" t="e">
        <f>VLOOKUP(AJ772,'FRC Site Data'!$B$3:$L$42,11,FALSE)</f>
        <v>#N/A</v>
      </c>
      <c r="AA780" s="10" t="e">
        <f>VLOOKUP(AJ772,'CIR Team Info'!$C$5:$E$44,4,FALSE)</f>
        <v>#N/A</v>
      </c>
      <c r="AB780" s="161" t="b">
        <f>ISNUMBER(VLOOKUP(AJ772,Match!$T$5:$T$10,1,FALSE))</f>
        <v>0</v>
      </c>
      <c r="AC780" s="161" t="b">
        <f>IF(AB780=TRUE,(VLOOKUP($AJ772,Match!$T$5:$U$10,2,FALSE)))</f>
        <v>0</v>
      </c>
      <c r="AD780" s="8">
        <v>3</v>
      </c>
      <c r="AE780" s="8">
        <v>2</v>
      </c>
      <c r="AF780" s="8">
        <v>2</v>
      </c>
      <c r="AG780" s="8">
        <v>1</v>
      </c>
      <c r="AH780" s="8" t="str">
        <f t="shared" si="193"/>
        <v/>
      </c>
    </row>
    <row r="781" spans="1:34" x14ac:dyDescent="0.25">
      <c r="A781" s="29">
        <f t="shared" si="208"/>
        <v>0</v>
      </c>
      <c r="B781" s="29">
        <f t="shared" si="195"/>
        <v>0</v>
      </c>
      <c r="C781" s="29">
        <f t="shared" si="196"/>
        <v>0</v>
      </c>
      <c r="D781" s="29">
        <f t="shared" si="197"/>
        <v>0</v>
      </c>
      <c r="E781" s="29">
        <f t="shared" si="194"/>
        <v>0</v>
      </c>
      <c r="F781" s="29">
        <f t="shared" si="198"/>
        <v>0</v>
      </c>
      <c r="G781" s="29" t="str">
        <f t="shared" si="199"/>
        <v>offensive</v>
      </c>
      <c r="H781" s="16">
        <f t="shared" si="200"/>
        <v>0</v>
      </c>
      <c r="I781" s="16">
        <f t="shared" si="201"/>
        <v>0</v>
      </c>
      <c r="J781" s="16">
        <f t="shared" si="202"/>
        <v>0</v>
      </c>
      <c r="K781" s="16">
        <f t="shared" si="203"/>
        <v>0</v>
      </c>
      <c r="L781" s="67">
        <f t="shared" si="204"/>
        <v>0</v>
      </c>
      <c r="M781" s="4">
        <f t="shared" si="205"/>
        <v>0</v>
      </c>
      <c r="N781" s="4">
        <f t="shared" si="206"/>
        <v>0</v>
      </c>
      <c r="O781" s="4">
        <f t="shared" si="207"/>
        <v>0</v>
      </c>
      <c r="P781" s="4" t="e">
        <f>VLOOKUP(AJ773,'CIR Team Info'!$C$5:$E$44,2,FALSE)</f>
        <v>#N/A</v>
      </c>
      <c r="Q781" s="4" t="e">
        <f>VLOOKUP(AJ773,'CIR Team Info'!$C$5:$E$44,3,FALSE)</f>
        <v>#N/A</v>
      </c>
      <c r="R781" s="10" t="e">
        <f>VLOOKUP(AJ773,'FRC Site Data'!$B$3:$L$42,2,FALSE)</f>
        <v>#N/A</v>
      </c>
      <c r="S781" s="10" t="e">
        <f>VLOOKUP(AJ773,'FRC Site Data'!$B$3:$L$42,3,FALSE)</f>
        <v>#N/A</v>
      </c>
      <c r="T781" s="10" t="e">
        <f>VLOOKUP(AJ773,'FRC Site Data'!$B$3:$L$42,4,FALSE)</f>
        <v>#N/A</v>
      </c>
      <c r="U781" s="10" t="e">
        <f>VLOOKUP(AJ773,'FRC Site Data'!$B$3:$L$42,5,FALSE)</f>
        <v>#N/A</v>
      </c>
      <c r="V781" s="10" t="e">
        <f>VLOOKUP(AJ773,'FRC Site Data'!$B$3:$L$42,6,FALSE)</f>
        <v>#N/A</v>
      </c>
      <c r="W781" s="10" t="e">
        <f>VLOOKUP(AJ773,'FRC Site Data'!$B$3:$L$42,8,FALSE)</f>
        <v>#N/A</v>
      </c>
      <c r="X781" s="10" t="e">
        <f>VLOOKUP(AJ773,'FRC Site Data'!$B$3:$L$42,9,FALSE)</f>
        <v>#N/A</v>
      </c>
      <c r="Y781" s="10" t="e">
        <f>VLOOKUP(AJ773,'FRC Site Data'!$B$3:$L$42,10,FALSE)</f>
        <v>#N/A</v>
      </c>
      <c r="Z781" s="10" t="e">
        <f>VLOOKUP(AJ773,'FRC Site Data'!$B$3:$L$42,11,FALSE)</f>
        <v>#N/A</v>
      </c>
      <c r="AA781" s="10" t="e">
        <f>VLOOKUP(AJ773,'CIR Team Info'!$C$5:$E$44,4,FALSE)</f>
        <v>#N/A</v>
      </c>
      <c r="AB781" s="161" t="b">
        <f>ISNUMBER(VLOOKUP(AJ773,Match!$T$5:$T$10,1,FALSE))</f>
        <v>0</v>
      </c>
      <c r="AC781" s="161" t="b">
        <f>IF(AB781=TRUE,(VLOOKUP($AJ773,Match!$T$5:$U$10,2,FALSE)))</f>
        <v>0</v>
      </c>
      <c r="AD781" s="8">
        <v>3</v>
      </c>
      <c r="AE781" s="8">
        <v>2</v>
      </c>
      <c r="AF781" s="8">
        <v>2</v>
      </c>
      <c r="AG781" s="8">
        <v>1</v>
      </c>
      <c r="AH781" s="8" t="str">
        <f t="shared" si="193"/>
        <v/>
      </c>
    </row>
    <row r="782" spans="1:34" x14ac:dyDescent="0.25">
      <c r="A782" s="29">
        <f t="shared" si="208"/>
        <v>0</v>
      </c>
      <c r="B782" s="29">
        <f t="shared" si="195"/>
        <v>0</v>
      </c>
      <c r="C782" s="29">
        <f t="shared" si="196"/>
        <v>0</v>
      </c>
      <c r="D782" s="29">
        <f t="shared" si="197"/>
        <v>0</v>
      </c>
      <c r="E782" s="29">
        <f t="shared" si="194"/>
        <v>0</v>
      </c>
      <c r="F782" s="29">
        <f t="shared" si="198"/>
        <v>0</v>
      </c>
      <c r="G782" s="29" t="str">
        <f t="shared" si="199"/>
        <v>offensive</v>
      </c>
      <c r="H782" s="16">
        <f t="shared" si="200"/>
        <v>0</v>
      </c>
      <c r="I782" s="16">
        <f t="shared" si="201"/>
        <v>0</v>
      </c>
      <c r="J782" s="16">
        <f t="shared" si="202"/>
        <v>0</v>
      </c>
      <c r="K782" s="16">
        <f t="shared" si="203"/>
        <v>0</v>
      </c>
      <c r="L782" s="67">
        <f t="shared" si="204"/>
        <v>0</v>
      </c>
      <c r="M782" s="4">
        <f t="shared" si="205"/>
        <v>0</v>
      </c>
      <c r="N782" s="4">
        <f t="shared" si="206"/>
        <v>0</v>
      </c>
      <c r="O782" s="4">
        <f t="shared" si="207"/>
        <v>0</v>
      </c>
      <c r="P782" s="4" t="e">
        <f>VLOOKUP(AJ774,'CIR Team Info'!$C$5:$E$44,2,FALSE)</f>
        <v>#N/A</v>
      </c>
      <c r="Q782" s="4" t="e">
        <f>VLOOKUP(AJ774,'CIR Team Info'!$C$5:$E$44,3,FALSE)</f>
        <v>#N/A</v>
      </c>
      <c r="R782" s="10" t="e">
        <f>VLOOKUP(AJ774,'FRC Site Data'!$B$3:$L$42,2,FALSE)</f>
        <v>#N/A</v>
      </c>
      <c r="S782" s="10" t="e">
        <f>VLOOKUP(AJ774,'FRC Site Data'!$B$3:$L$42,3,FALSE)</f>
        <v>#N/A</v>
      </c>
      <c r="T782" s="10" t="e">
        <f>VLOOKUP(AJ774,'FRC Site Data'!$B$3:$L$42,4,FALSE)</f>
        <v>#N/A</v>
      </c>
      <c r="U782" s="10" t="e">
        <f>VLOOKUP(AJ774,'FRC Site Data'!$B$3:$L$42,5,FALSE)</f>
        <v>#N/A</v>
      </c>
      <c r="V782" s="10" t="e">
        <f>VLOOKUP(AJ774,'FRC Site Data'!$B$3:$L$42,6,FALSE)</f>
        <v>#N/A</v>
      </c>
      <c r="W782" s="10" t="e">
        <f>VLOOKUP(AJ774,'FRC Site Data'!$B$3:$L$42,8,FALSE)</f>
        <v>#N/A</v>
      </c>
      <c r="X782" s="10" t="e">
        <f>VLOOKUP(AJ774,'FRC Site Data'!$B$3:$L$42,9,FALSE)</f>
        <v>#N/A</v>
      </c>
      <c r="Y782" s="10" t="e">
        <f>VLOOKUP(AJ774,'FRC Site Data'!$B$3:$L$42,10,FALSE)</f>
        <v>#N/A</v>
      </c>
      <c r="Z782" s="10" t="e">
        <f>VLOOKUP(AJ774,'FRC Site Data'!$B$3:$L$42,11,FALSE)</f>
        <v>#N/A</v>
      </c>
      <c r="AA782" s="10" t="e">
        <f>VLOOKUP(AJ774,'CIR Team Info'!$C$5:$E$44,4,FALSE)</f>
        <v>#N/A</v>
      </c>
      <c r="AB782" s="161" t="b">
        <f>ISNUMBER(VLOOKUP(AJ774,Match!$T$5:$T$10,1,FALSE))</f>
        <v>0</v>
      </c>
      <c r="AC782" s="161" t="b">
        <f>IF(AB782=TRUE,(VLOOKUP($AJ774,Match!$T$5:$U$10,2,FALSE)))</f>
        <v>0</v>
      </c>
      <c r="AD782" s="8">
        <v>3</v>
      </c>
      <c r="AE782" s="8">
        <v>2</v>
      </c>
      <c r="AF782" s="8">
        <v>2</v>
      </c>
      <c r="AG782" s="8">
        <v>1</v>
      </c>
      <c r="AH782" s="8" t="str">
        <f t="shared" si="193"/>
        <v/>
      </c>
    </row>
    <row r="783" spans="1:34" x14ac:dyDescent="0.25">
      <c r="A783" s="29">
        <f t="shared" si="208"/>
        <v>0</v>
      </c>
      <c r="B783" s="29">
        <f t="shared" si="195"/>
        <v>0</v>
      </c>
      <c r="C783" s="29">
        <f t="shared" si="196"/>
        <v>0</v>
      </c>
      <c r="D783" s="29">
        <f t="shared" si="197"/>
        <v>0</v>
      </c>
      <c r="E783" s="29">
        <f t="shared" si="194"/>
        <v>0</v>
      </c>
      <c r="F783" s="29">
        <f t="shared" si="198"/>
        <v>0</v>
      </c>
      <c r="G783" s="29" t="str">
        <f t="shared" si="199"/>
        <v>offensive</v>
      </c>
      <c r="H783" s="16">
        <f t="shared" si="200"/>
        <v>0</v>
      </c>
      <c r="I783" s="16">
        <f t="shared" si="201"/>
        <v>0</v>
      </c>
      <c r="J783" s="16">
        <f t="shared" si="202"/>
        <v>0</v>
      </c>
      <c r="K783" s="16">
        <f t="shared" si="203"/>
        <v>0</v>
      </c>
      <c r="L783" s="67">
        <f t="shared" si="204"/>
        <v>0</v>
      </c>
      <c r="M783" s="4">
        <f t="shared" si="205"/>
        <v>0</v>
      </c>
      <c r="N783" s="4">
        <f t="shared" si="206"/>
        <v>0</v>
      </c>
      <c r="O783" s="4">
        <f t="shared" si="207"/>
        <v>0</v>
      </c>
      <c r="P783" s="4" t="e">
        <f>VLOOKUP(AJ775,'CIR Team Info'!$C$5:$E$44,2,FALSE)</f>
        <v>#N/A</v>
      </c>
      <c r="Q783" s="4" t="e">
        <f>VLOOKUP(AJ775,'CIR Team Info'!$C$5:$E$44,3,FALSE)</f>
        <v>#N/A</v>
      </c>
      <c r="R783" s="10" t="e">
        <f>VLOOKUP(AJ775,'FRC Site Data'!$B$3:$L$42,2,FALSE)</f>
        <v>#N/A</v>
      </c>
      <c r="S783" s="10" t="e">
        <f>VLOOKUP(AJ775,'FRC Site Data'!$B$3:$L$42,3,FALSE)</f>
        <v>#N/A</v>
      </c>
      <c r="T783" s="10" t="e">
        <f>VLOOKUP(AJ775,'FRC Site Data'!$B$3:$L$42,4,FALSE)</f>
        <v>#N/A</v>
      </c>
      <c r="U783" s="10" t="e">
        <f>VLOOKUP(AJ775,'FRC Site Data'!$B$3:$L$42,5,FALSE)</f>
        <v>#N/A</v>
      </c>
      <c r="V783" s="10" t="e">
        <f>VLOOKUP(AJ775,'FRC Site Data'!$B$3:$L$42,6,FALSE)</f>
        <v>#N/A</v>
      </c>
      <c r="W783" s="10" t="e">
        <f>VLOOKUP(AJ775,'FRC Site Data'!$B$3:$L$42,8,FALSE)</f>
        <v>#N/A</v>
      </c>
      <c r="X783" s="10" t="e">
        <f>VLOOKUP(AJ775,'FRC Site Data'!$B$3:$L$42,9,FALSE)</f>
        <v>#N/A</v>
      </c>
      <c r="Y783" s="10" t="e">
        <f>VLOOKUP(AJ775,'FRC Site Data'!$B$3:$L$42,10,FALSE)</f>
        <v>#N/A</v>
      </c>
      <c r="Z783" s="10" t="e">
        <f>VLOOKUP(AJ775,'FRC Site Data'!$B$3:$L$42,11,FALSE)</f>
        <v>#N/A</v>
      </c>
      <c r="AA783" s="10" t="e">
        <f>VLOOKUP(AJ775,'CIR Team Info'!$C$5:$E$44,4,FALSE)</f>
        <v>#N/A</v>
      </c>
      <c r="AB783" s="161" t="b">
        <f>ISNUMBER(VLOOKUP(AJ775,Match!$T$5:$T$10,1,FALSE))</f>
        <v>0</v>
      </c>
      <c r="AC783" s="161" t="b">
        <f>IF(AB783=TRUE,(VLOOKUP($AJ775,Match!$T$5:$U$10,2,FALSE)))</f>
        <v>0</v>
      </c>
      <c r="AD783" s="8">
        <v>3</v>
      </c>
      <c r="AE783" s="8">
        <v>2</v>
      </c>
      <c r="AF783" s="8">
        <v>2</v>
      </c>
      <c r="AG783" s="8">
        <v>1</v>
      </c>
      <c r="AH783" s="8" t="str">
        <f t="shared" si="193"/>
        <v/>
      </c>
    </row>
    <row r="784" spans="1:34" x14ac:dyDescent="0.25">
      <c r="A784" s="29">
        <f t="shared" si="208"/>
        <v>0</v>
      </c>
      <c r="B784" s="29">
        <f t="shared" si="195"/>
        <v>0</v>
      </c>
      <c r="C784" s="29">
        <f t="shared" si="196"/>
        <v>0</v>
      </c>
      <c r="D784" s="29">
        <f t="shared" si="197"/>
        <v>0</v>
      </c>
      <c r="E784" s="29">
        <f t="shared" si="194"/>
        <v>0</v>
      </c>
      <c r="F784" s="29">
        <f t="shared" si="198"/>
        <v>0</v>
      </c>
      <c r="G784" s="29" t="str">
        <f t="shared" si="199"/>
        <v>offensive</v>
      </c>
      <c r="H784" s="16">
        <f t="shared" si="200"/>
        <v>0</v>
      </c>
      <c r="I784" s="16">
        <f t="shared" si="201"/>
        <v>0</v>
      </c>
      <c r="J784" s="16">
        <f t="shared" si="202"/>
        <v>0</v>
      </c>
      <c r="K784" s="16">
        <f t="shared" si="203"/>
        <v>0</v>
      </c>
      <c r="L784" s="67">
        <f t="shared" si="204"/>
        <v>0</v>
      </c>
      <c r="M784" s="4">
        <f t="shared" si="205"/>
        <v>0</v>
      </c>
      <c r="N784" s="4">
        <f t="shared" si="206"/>
        <v>0</v>
      </c>
      <c r="O784" s="4">
        <f t="shared" si="207"/>
        <v>0</v>
      </c>
      <c r="P784" s="4" t="e">
        <f>VLOOKUP(AJ776,'CIR Team Info'!$C$5:$E$44,2,FALSE)</f>
        <v>#N/A</v>
      </c>
      <c r="Q784" s="4" t="e">
        <f>VLOOKUP(AJ776,'CIR Team Info'!$C$5:$E$44,3,FALSE)</f>
        <v>#N/A</v>
      </c>
      <c r="R784" s="10" t="e">
        <f>VLOOKUP(AJ776,'FRC Site Data'!$B$3:$L$42,2,FALSE)</f>
        <v>#N/A</v>
      </c>
      <c r="S784" s="10" t="e">
        <f>VLOOKUP(AJ776,'FRC Site Data'!$B$3:$L$42,3,FALSE)</f>
        <v>#N/A</v>
      </c>
      <c r="T784" s="10" t="e">
        <f>VLOOKUP(AJ776,'FRC Site Data'!$B$3:$L$42,4,FALSE)</f>
        <v>#N/A</v>
      </c>
      <c r="U784" s="10" t="e">
        <f>VLOOKUP(AJ776,'FRC Site Data'!$B$3:$L$42,5,FALSE)</f>
        <v>#N/A</v>
      </c>
      <c r="V784" s="10" t="e">
        <f>VLOOKUP(AJ776,'FRC Site Data'!$B$3:$L$42,6,FALSE)</f>
        <v>#N/A</v>
      </c>
      <c r="W784" s="10" t="e">
        <f>VLOOKUP(AJ776,'FRC Site Data'!$B$3:$L$42,8,FALSE)</f>
        <v>#N/A</v>
      </c>
      <c r="X784" s="10" t="e">
        <f>VLOOKUP(AJ776,'FRC Site Data'!$B$3:$L$42,9,FALSE)</f>
        <v>#N/A</v>
      </c>
      <c r="Y784" s="10" t="e">
        <f>VLOOKUP(AJ776,'FRC Site Data'!$B$3:$L$42,10,FALSE)</f>
        <v>#N/A</v>
      </c>
      <c r="Z784" s="10" t="e">
        <f>VLOOKUP(AJ776,'FRC Site Data'!$B$3:$L$42,11,FALSE)</f>
        <v>#N/A</v>
      </c>
      <c r="AA784" s="10" t="e">
        <f>VLOOKUP(AJ776,'CIR Team Info'!$C$5:$E$44,4,FALSE)</f>
        <v>#N/A</v>
      </c>
      <c r="AB784" s="161" t="b">
        <f>ISNUMBER(VLOOKUP(AJ776,Match!$T$5:$T$10,1,FALSE))</f>
        <v>0</v>
      </c>
      <c r="AC784" s="161" t="b">
        <f>IF(AB784=TRUE,(VLOOKUP($AJ776,Match!$T$5:$U$10,2,FALSE)))</f>
        <v>0</v>
      </c>
      <c r="AD784" s="8">
        <v>3</v>
      </c>
      <c r="AE784" s="8">
        <v>2</v>
      </c>
      <c r="AF784" s="8">
        <v>2</v>
      </c>
      <c r="AG784" s="8">
        <v>1</v>
      </c>
      <c r="AH784" s="8" t="str">
        <f t="shared" si="193"/>
        <v/>
      </c>
    </row>
    <row r="785" spans="1:34" x14ac:dyDescent="0.25">
      <c r="A785" s="29">
        <f t="shared" si="208"/>
        <v>0</v>
      </c>
      <c r="B785" s="29">
        <f t="shared" si="195"/>
        <v>0</v>
      </c>
      <c r="C785" s="29">
        <f t="shared" si="196"/>
        <v>0</v>
      </c>
      <c r="D785" s="29">
        <f t="shared" si="197"/>
        <v>0</v>
      </c>
      <c r="E785" s="29">
        <f t="shared" si="194"/>
        <v>0</v>
      </c>
      <c r="F785" s="29">
        <f t="shared" si="198"/>
        <v>0</v>
      </c>
      <c r="G785" s="29" t="str">
        <f t="shared" si="199"/>
        <v>offensive</v>
      </c>
      <c r="H785" s="16">
        <f t="shared" si="200"/>
        <v>0</v>
      </c>
      <c r="I785" s="16">
        <f t="shared" si="201"/>
        <v>0</v>
      </c>
      <c r="J785" s="16">
        <f t="shared" si="202"/>
        <v>0</v>
      </c>
      <c r="K785" s="16">
        <f t="shared" si="203"/>
        <v>0</v>
      </c>
      <c r="L785" s="67">
        <f t="shared" si="204"/>
        <v>0</v>
      </c>
      <c r="M785" s="4">
        <f t="shared" si="205"/>
        <v>0</v>
      </c>
      <c r="N785" s="4">
        <f t="shared" si="206"/>
        <v>0</v>
      </c>
      <c r="O785" s="4">
        <f t="shared" si="207"/>
        <v>0</v>
      </c>
      <c r="P785" s="4" t="e">
        <f>VLOOKUP(AJ777,'CIR Team Info'!$C$5:$E$44,2,FALSE)</f>
        <v>#N/A</v>
      </c>
      <c r="Q785" s="4" t="e">
        <f>VLOOKUP(AJ777,'CIR Team Info'!$C$5:$E$44,3,FALSE)</f>
        <v>#N/A</v>
      </c>
      <c r="R785" s="10" t="e">
        <f>VLOOKUP(AJ777,'FRC Site Data'!$B$3:$L$42,2,FALSE)</f>
        <v>#N/A</v>
      </c>
      <c r="S785" s="10" t="e">
        <f>VLOOKUP(AJ777,'FRC Site Data'!$B$3:$L$42,3,FALSE)</f>
        <v>#N/A</v>
      </c>
      <c r="T785" s="10" t="e">
        <f>VLOOKUP(AJ777,'FRC Site Data'!$B$3:$L$42,4,FALSE)</f>
        <v>#N/A</v>
      </c>
      <c r="U785" s="10" t="e">
        <f>VLOOKUP(AJ777,'FRC Site Data'!$B$3:$L$42,5,FALSE)</f>
        <v>#N/A</v>
      </c>
      <c r="V785" s="10" t="e">
        <f>VLOOKUP(AJ777,'FRC Site Data'!$B$3:$L$42,6,FALSE)</f>
        <v>#N/A</v>
      </c>
      <c r="W785" s="10" t="e">
        <f>VLOOKUP(AJ777,'FRC Site Data'!$B$3:$L$42,8,FALSE)</f>
        <v>#N/A</v>
      </c>
      <c r="X785" s="10" t="e">
        <f>VLOOKUP(AJ777,'FRC Site Data'!$B$3:$L$42,9,FALSE)</f>
        <v>#N/A</v>
      </c>
      <c r="Y785" s="10" t="e">
        <f>VLOOKUP(AJ777,'FRC Site Data'!$B$3:$L$42,10,FALSE)</f>
        <v>#N/A</v>
      </c>
      <c r="Z785" s="10" t="e">
        <f>VLOOKUP(AJ777,'FRC Site Data'!$B$3:$L$42,11,FALSE)</f>
        <v>#N/A</v>
      </c>
      <c r="AA785" s="10" t="e">
        <f>VLOOKUP(AJ777,'CIR Team Info'!$C$5:$E$44,4,FALSE)</f>
        <v>#N/A</v>
      </c>
      <c r="AB785" s="161" t="b">
        <f>ISNUMBER(VLOOKUP(AJ777,Match!$T$5:$T$10,1,FALSE))</f>
        <v>0</v>
      </c>
      <c r="AC785" s="161" t="b">
        <f>IF(AB785=TRUE,(VLOOKUP($AJ777,Match!$T$5:$U$10,2,FALSE)))</f>
        <v>0</v>
      </c>
      <c r="AD785" s="8">
        <v>3</v>
      </c>
      <c r="AE785" s="8">
        <v>2</v>
      </c>
      <c r="AF785" s="8">
        <v>2</v>
      </c>
      <c r="AG785" s="8">
        <v>1</v>
      </c>
      <c r="AH785" s="8" t="str">
        <f t="shared" si="193"/>
        <v/>
      </c>
    </row>
    <row r="786" spans="1:34" x14ac:dyDescent="0.25">
      <c r="A786" s="29">
        <f t="shared" si="208"/>
        <v>0</v>
      </c>
      <c r="B786" s="29">
        <f t="shared" si="195"/>
        <v>0</v>
      </c>
      <c r="C786" s="29">
        <f t="shared" si="196"/>
        <v>0</v>
      </c>
      <c r="D786" s="29">
        <f t="shared" si="197"/>
        <v>0</v>
      </c>
      <c r="E786" s="29">
        <f t="shared" si="194"/>
        <v>0</v>
      </c>
      <c r="F786" s="29">
        <f t="shared" si="198"/>
        <v>0</v>
      </c>
      <c r="G786" s="29" t="str">
        <f t="shared" si="199"/>
        <v>offensive</v>
      </c>
      <c r="H786" s="16">
        <f t="shared" si="200"/>
        <v>0</v>
      </c>
      <c r="I786" s="16">
        <f t="shared" si="201"/>
        <v>0</v>
      </c>
      <c r="J786" s="16">
        <f t="shared" si="202"/>
        <v>0</v>
      </c>
      <c r="K786" s="16">
        <f t="shared" si="203"/>
        <v>0</v>
      </c>
      <c r="L786" s="67">
        <f t="shared" si="204"/>
        <v>0</v>
      </c>
      <c r="M786" s="4">
        <f t="shared" si="205"/>
        <v>0</v>
      </c>
      <c r="N786" s="4">
        <f t="shared" si="206"/>
        <v>0</v>
      </c>
      <c r="O786" s="4">
        <f t="shared" si="207"/>
        <v>0</v>
      </c>
      <c r="P786" s="4" t="e">
        <f>VLOOKUP(AJ778,'CIR Team Info'!$C$5:$E$44,2,FALSE)</f>
        <v>#N/A</v>
      </c>
      <c r="Q786" s="4" t="e">
        <f>VLOOKUP(AJ778,'CIR Team Info'!$C$5:$E$44,3,FALSE)</f>
        <v>#N/A</v>
      </c>
      <c r="R786" s="10" t="e">
        <f>VLOOKUP(AJ778,'FRC Site Data'!$B$3:$L$42,2,FALSE)</f>
        <v>#N/A</v>
      </c>
      <c r="S786" s="10" t="e">
        <f>VLOOKUP(AJ778,'FRC Site Data'!$B$3:$L$42,3,FALSE)</f>
        <v>#N/A</v>
      </c>
      <c r="T786" s="10" t="e">
        <f>VLOOKUP(AJ778,'FRC Site Data'!$B$3:$L$42,4,FALSE)</f>
        <v>#N/A</v>
      </c>
      <c r="U786" s="10" t="e">
        <f>VLOOKUP(AJ778,'FRC Site Data'!$B$3:$L$42,5,FALSE)</f>
        <v>#N/A</v>
      </c>
      <c r="V786" s="10" t="e">
        <f>VLOOKUP(AJ778,'FRC Site Data'!$B$3:$L$42,6,FALSE)</f>
        <v>#N/A</v>
      </c>
      <c r="W786" s="10" t="e">
        <f>VLOOKUP(AJ778,'FRC Site Data'!$B$3:$L$42,8,FALSE)</f>
        <v>#N/A</v>
      </c>
      <c r="X786" s="10" t="e">
        <f>VLOOKUP(AJ778,'FRC Site Data'!$B$3:$L$42,9,FALSE)</f>
        <v>#N/A</v>
      </c>
      <c r="Y786" s="10" t="e">
        <f>VLOOKUP(AJ778,'FRC Site Data'!$B$3:$L$42,10,FALSE)</f>
        <v>#N/A</v>
      </c>
      <c r="Z786" s="10" t="e">
        <f>VLOOKUP(AJ778,'FRC Site Data'!$B$3:$L$42,11,FALSE)</f>
        <v>#N/A</v>
      </c>
      <c r="AA786" s="10" t="e">
        <f>VLOOKUP(AJ778,'CIR Team Info'!$C$5:$E$44,4,FALSE)</f>
        <v>#N/A</v>
      </c>
      <c r="AB786" s="161" t="b">
        <f>ISNUMBER(VLOOKUP(AJ778,Match!$T$5:$T$10,1,FALSE))</f>
        <v>0</v>
      </c>
      <c r="AC786" s="161" t="b">
        <f>IF(AB786=TRUE,(VLOOKUP($AJ778,Match!$T$5:$U$10,2,FALSE)))</f>
        <v>0</v>
      </c>
      <c r="AD786" s="8">
        <v>3</v>
      </c>
      <c r="AE786" s="8">
        <v>2</v>
      </c>
      <c r="AF786" s="8">
        <v>2</v>
      </c>
      <c r="AG786" s="8">
        <v>1</v>
      </c>
      <c r="AH786" s="8" t="str">
        <f t="shared" si="193"/>
        <v/>
      </c>
    </row>
    <row r="787" spans="1:34" x14ac:dyDescent="0.25">
      <c r="A787" s="29">
        <f t="shared" si="208"/>
        <v>0</v>
      </c>
      <c r="B787" s="29">
        <f t="shared" si="195"/>
        <v>0</v>
      </c>
      <c r="C787" s="29">
        <f t="shared" si="196"/>
        <v>0</v>
      </c>
      <c r="D787" s="29">
        <f t="shared" si="197"/>
        <v>0</v>
      </c>
      <c r="E787" s="29">
        <f t="shared" si="194"/>
        <v>0</v>
      </c>
      <c r="F787" s="29">
        <f t="shared" si="198"/>
        <v>0</v>
      </c>
      <c r="G787" s="29" t="str">
        <f t="shared" si="199"/>
        <v>offensive</v>
      </c>
      <c r="H787" s="16">
        <f t="shared" si="200"/>
        <v>0</v>
      </c>
      <c r="I787" s="16">
        <f t="shared" si="201"/>
        <v>0</v>
      </c>
      <c r="J787" s="16">
        <f t="shared" si="202"/>
        <v>0</v>
      </c>
      <c r="K787" s="16">
        <f t="shared" si="203"/>
        <v>0</v>
      </c>
      <c r="L787" s="67">
        <f t="shared" si="204"/>
        <v>0</v>
      </c>
      <c r="M787" s="4">
        <f t="shared" si="205"/>
        <v>0</v>
      </c>
      <c r="N787" s="4">
        <f t="shared" si="206"/>
        <v>0</v>
      </c>
      <c r="O787" s="4">
        <f t="shared" si="207"/>
        <v>0</v>
      </c>
      <c r="P787" s="4" t="e">
        <f>VLOOKUP(AJ779,'CIR Team Info'!$C$5:$E$44,2,FALSE)</f>
        <v>#N/A</v>
      </c>
      <c r="Q787" s="4" t="e">
        <f>VLOOKUP(AJ779,'CIR Team Info'!$C$5:$E$44,3,FALSE)</f>
        <v>#N/A</v>
      </c>
      <c r="R787" s="10" t="e">
        <f>VLOOKUP(AJ779,'FRC Site Data'!$B$3:$L$42,2,FALSE)</f>
        <v>#N/A</v>
      </c>
      <c r="S787" s="10" t="e">
        <f>VLOOKUP(AJ779,'FRC Site Data'!$B$3:$L$42,3,FALSE)</f>
        <v>#N/A</v>
      </c>
      <c r="T787" s="10" t="e">
        <f>VLOOKUP(AJ779,'FRC Site Data'!$B$3:$L$42,4,FALSE)</f>
        <v>#N/A</v>
      </c>
      <c r="U787" s="10" t="e">
        <f>VLOOKUP(AJ779,'FRC Site Data'!$B$3:$L$42,5,FALSE)</f>
        <v>#N/A</v>
      </c>
      <c r="V787" s="10" t="e">
        <f>VLOOKUP(AJ779,'FRC Site Data'!$B$3:$L$42,6,FALSE)</f>
        <v>#N/A</v>
      </c>
      <c r="W787" s="10" t="e">
        <f>VLOOKUP(AJ779,'FRC Site Data'!$B$3:$L$42,8,FALSE)</f>
        <v>#N/A</v>
      </c>
      <c r="X787" s="10" t="e">
        <f>VLOOKUP(AJ779,'FRC Site Data'!$B$3:$L$42,9,FALSE)</f>
        <v>#N/A</v>
      </c>
      <c r="Y787" s="10" t="e">
        <f>VLOOKUP(AJ779,'FRC Site Data'!$B$3:$L$42,10,FALSE)</f>
        <v>#N/A</v>
      </c>
      <c r="Z787" s="10" t="e">
        <f>VLOOKUP(AJ779,'FRC Site Data'!$B$3:$L$42,11,FALSE)</f>
        <v>#N/A</v>
      </c>
      <c r="AA787" s="10" t="e">
        <f>VLOOKUP(AJ779,'CIR Team Info'!$C$5:$E$44,4,FALSE)</f>
        <v>#N/A</v>
      </c>
      <c r="AB787" s="161" t="b">
        <f>ISNUMBER(VLOOKUP(AJ779,Match!$T$5:$T$10,1,FALSE))</f>
        <v>0</v>
      </c>
      <c r="AC787" s="161" t="b">
        <f>IF(AB787=TRUE,(VLOOKUP($AJ779,Match!$T$5:$U$10,2,FALSE)))</f>
        <v>0</v>
      </c>
      <c r="AD787" s="8">
        <v>3</v>
      </c>
      <c r="AE787" s="8">
        <v>2</v>
      </c>
      <c r="AF787" s="8">
        <v>2</v>
      </c>
      <c r="AG787" s="8">
        <v>1</v>
      </c>
      <c r="AH787" s="8" t="str">
        <f t="shared" si="193"/>
        <v/>
      </c>
    </row>
    <row r="788" spans="1:34" x14ac:dyDescent="0.25">
      <c r="A788" s="29">
        <f t="shared" si="208"/>
        <v>0</v>
      </c>
      <c r="B788" s="29">
        <f t="shared" si="195"/>
        <v>0</v>
      </c>
      <c r="C788" s="29">
        <f t="shared" si="196"/>
        <v>0</v>
      </c>
      <c r="D788" s="29">
        <f t="shared" si="197"/>
        <v>0</v>
      </c>
      <c r="E788" s="29">
        <f t="shared" si="194"/>
        <v>0</v>
      </c>
      <c r="F788" s="29">
        <f t="shared" si="198"/>
        <v>0</v>
      </c>
      <c r="G788" s="29" t="str">
        <f t="shared" si="199"/>
        <v>offensive</v>
      </c>
      <c r="H788" s="16">
        <f t="shared" si="200"/>
        <v>0</v>
      </c>
      <c r="I788" s="16">
        <f t="shared" si="201"/>
        <v>0</v>
      </c>
      <c r="J788" s="16">
        <f t="shared" si="202"/>
        <v>0</v>
      </c>
      <c r="K788" s="16">
        <f t="shared" si="203"/>
        <v>0</v>
      </c>
      <c r="L788" s="67">
        <f t="shared" si="204"/>
        <v>0</v>
      </c>
      <c r="M788" s="4">
        <f t="shared" si="205"/>
        <v>0</v>
      </c>
      <c r="N788" s="4">
        <f t="shared" si="206"/>
        <v>0</v>
      </c>
      <c r="O788" s="4">
        <f t="shared" si="207"/>
        <v>0</v>
      </c>
      <c r="P788" s="4" t="e">
        <f>VLOOKUP(AJ780,'CIR Team Info'!$C$5:$E$44,2,FALSE)</f>
        <v>#N/A</v>
      </c>
      <c r="Q788" s="4" t="e">
        <f>VLOOKUP(AJ780,'CIR Team Info'!$C$5:$E$44,3,FALSE)</f>
        <v>#N/A</v>
      </c>
      <c r="R788" s="10" t="e">
        <f>VLOOKUP(AJ780,'FRC Site Data'!$B$3:$L$42,2,FALSE)</f>
        <v>#N/A</v>
      </c>
      <c r="S788" s="10" t="e">
        <f>VLOOKUP(AJ780,'FRC Site Data'!$B$3:$L$42,3,FALSE)</f>
        <v>#N/A</v>
      </c>
      <c r="T788" s="10" t="e">
        <f>VLOOKUP(AJ780,'FRC Site Data'!$B$3:$L$42,4,FALSE)</f>
        <v>#N/A</v>
      </c>
      <c r="U788" s="10" t="e">
        <f>VLOOKUP(AJ780,'FRC Site Data'!$B$3:$L$42,5,FALSE)</f>
        <v>#N/A</v>
      </c>
      <c r="V788" s="10" t="e">
        <f>VLOOKUP(AJ780,'FRC Site Data'!$B$3:$L$42,6,FALSE)</f>
        <v>#N/A</v>
      </c>
      <c r="W788" s="10" t="e">
        <f>VLOOKUP(AJ780,'FRC Site Data'!$B$3:$L$42,8,FALSE)</f>
        <v>#N/A</v>
      </c>
      <c r="X788" s="10" t="e">
        <f>VLOOKUP(AJ780,'FRC Site Data'!$B$3:$L$42,9,FALSE)</f>
        <v>#N/A</v>
      </c>
      <c r="Y788" s="10" t="e">
        <f>VLOOKUP(AJ780,'FRC Site Data'!$B$3:$L$42,10,FALSE)</f>
        <v>#N/A</v>
      </c>
      <c r="Z788" s="10" t="e">
        <f>VLOOKUP(AJ780,'FRC Site Data'!$B$3:$L$42,11,FALSE)</f>
        <v>#N/A</v>
      </c>
      <c r="AA788" s="10" t="e">
        <f>VLOOKUP(AJ780,'CIR Team Info'!$C$5:$E$44,4,FALSE)</f>
        <v>#N/A</v>
      </c>
      <c r="AB788" s="161" t="b">
        <f>ISNUMBER(VLOOKUP(AJ780,Match!$T$5:$T$10,1,FALSE))</f>
        <v>0</v>
      </c>
      <c r="AC788" s="161" t="b">
        <f>IF(AB788=TRUE,(VLOOKUP($AJ780,Match!$T$5:$U$10,2,FALSE)))</f>
        <v>0</v>
      </c>
      <c r="AD788" s="8">
        <v>3</v>
      </c>
      <c r="AE788" s="8">
        <v>2</v>
      </c>
      <c r="AF788" s="8">
        <v>2</v>
      </c>
      <c r="AG788" s="8">
        <v>1</v>
      </c>
      <c r="AH788" s="8" t="str">
        <f t="shared" si="193"/>
        <v/>
      </c>
    </row>
    <row r="789" spans="1:34" x14ac:dyDescent="0.25">
      <c r="A789" s="29">
        <f t="shared" si="208"/>
        <v>0</v>
      </c>
      <c r="B789" s="29">
        <f t="shared" si="195"/>
        <v>0</v>
      </c>
      <c r="C789" s="29">
        <f t="shared" si="196"/>
        <v>0</v>
      </c>
      <c r="D789" s="29">
        <f t="shared" si="197"/>
        <v>0</v>
      </c>
      <c r="E789" s="29">
        <f t="shared" si="194"/>
        <v>0</v>
      </c>
      <c r="F789" s="29">
        <f t="shared" si="198"/>
        <v>0</v>
      </c>
      <c r="G789" s="29" t="str">
        <f t="shared" si="199"/>
        <v>offensive</v>
      </c>
      <c r="H789" s="16">
        <f t="shared" si="200"/>
        <v>0</v>
      </c>
      <c r="I789" s="16">
        <f t="shared" si="201"/>
        <v>0</v>
      </c>
      <c r="J789" s="16">
        <f t="shared" si="202"/>
        <v>0</v>
      </c>
      <c r="K789" s="16">
        <f t="shared" si="203"/>
        <v>0</v>
      </c>
      <c r="L789" s="67">
        <f t="shared" si="204"/>
        <v>0</v>
      </c>
      <c r="M789" s="4">
        <f t="shared" si="205"/>
        <v>0</v>
      </c>
      <c r="N789" s="4">
        <f t="shared" si="206"/>
        <v>0</v>
      </c>
      <c r="O789" s="4">
        <f t="shared" si="207"/>
        <v>0</v>
      </c>
      <c r="P789" s="4" t="e">
        <f>VLOOKUP(AJ781,'CIR Team Info'!$C$5:$E$44,2,FALSE)</f>
        <v>#N/A</v>
      </c>
      <c r="Q789" s="4" t="e">
        <f>VLOOKUP(AJ781,'CIR Team Info'!$C$5:$E$44,3,FALSE)</f>
        <v>#N/A</v>
      </c>
      <c r="R789" s="10" t="e">
        <f>VLOOKUP(AJ781,'FRC Site Data'!$B$3:$L$42,2,FALSE)</f>
        <v>#N/A</v>
      </c>
      <c r="S789" s="10" t="e">
        <f>VLOOKUP(AJ781,'FRC Site Data'!$B$3:$L$42,3,FALSE)</f>
        <v>#N/A</v>
      </c>
      <c r="T789" s="10" t="e">
        <f>VLOOKUP(AJ781,'FRC Site Data'!$B$3:$L$42,4,FALSE)</f>
        <v>#N/A</v>
      </c>
      <c r="U789" s="10" t="e">
        <f>VLOOKUP(AJ781,'FRC Site Data'!$B$3:$L$42,5,FALSE)</f>
        <v>#N/A</v>
      </c>
      <c r="V789" s="10" t="e">
        <f>VLOOKUP(AJ781,'FRC Site Data'!$B$3:$L$42,6,FALSE)</f>
        <v>#N/A</v>
      </c>
      <c r="W789" s="10" t="e">
        <f>VLOOKUP(AJ781,'FRC Site Data'!$B$3:$L$42,8,FALSE)</f>
        <v>#N/A</v>
      </c>
      <c r="X789" s="10" t="e">
        <f>VLOOKUP(AJ781,'FRC Site Data'!$B$3:$L$42,9,FALSE)</f>
        <v>#N/A</v>
      </c>
      <c r="Y789" s="10" t="e">
        <f>VLOOKUP(AJ781,'FRC Site Data'!$B$3:$L$42,10,FALSE)</f>
        <v>#N/A</v>
      </c>
      <c r="Z789" s="10" t="e">
        <f>VLOOKUP(AJ781,'FRC Site Data'!$B$3:$L$42,11,FALSE)</f>
        <v>#N/A</v>
      </c>
      <c r="AA789" s="10" t="e">
        <f>VLOOKUP(AJ781,'CIR Team Info'!$C$5:$E$44,4,FALSE)</f>
        <v>#N/A</v>
      </c>
      <c r="AB789" s="161" t="b">
        <f>ISNUMBER(VLOOKUP(AJ781,Match!$T$5:$T$10,1,FALSE))</f>
        <v>0</v>
      </c>
      <c r="AC789" s="161" t="b">
        <f>IF(AB789=TRUE,(VLOOKUP($AJ781,Match!$T$5:$U$10,2,FALSE)))</f>
        <v>0</v>
      </c>
      <c r="AD789" s="8">
        <v>3</v>
      </c>
      <c r="AE789" s="8">
        <v>2</v>
      </c>
      <c r="AF789" s="8">
        <v>2</v>
      </c>
      <c r="AG789" s="8">
        <v>1</v>
      </c>
      <c r="AH789" s="8" t="str">
        <f t="shared" si="193"/>
        <v/>
      </c>
    </row>
    <row r="790" spans="1:34" x14ac:dyDescent="0.25">
      <c r="A790" s="29">
        <f t="shared" si="208"/>
        <v>0</v>
      </c>
      <c r="B790" s="29">
        <f t="shared" si="195"/>
        <v>0</v>
      </c>
      <c r="C790" s="29">
        <f t="shared" si="196"/>
        <v>0</v>
      </c>
      <c r="D790" s="29">
        <f t="shared" si="197"/>
        <v>0</v>
      </c>
      <c r="E790" s="29">
        <f t="shared" si="194"/>
        <v>0</v>
      </c>
      <c r="F790" s="29">
        <f t="shared" si="198"/>
        <v>0</v>
      </c>
      <c r="G790" s="29" t="str">
        <f t="shared" si="199"/>
        <v>offensive</v>
      </c>
      <c r="H790" s="16">
        <f t="shared" si="200"/>
        <v>0</v>
      </c>
      <c r="I790" s="16">
        <f t="shared" si="201"/>
        <v>0</v>
      </c>
      <c r="J790" s="16">
        <f t="shared" si="202"/>
        <v>0</v>
      </c>
      <c r="K790" s="16">
        <f t="shared" si="203"/>
        <v>0</v>
      </c>
      <c r="L790" s="67">
        <f t="shared" si="204"/>
        <v>0</v>
      </c>
      <c r="M790" s="4">
        <f t="shared" si="205"/>
        <v>0</v>
      </c>
      <c r="N790" s="4">
        <f t="shared" si="206"/>
        <v>0</v>
      </c>
      <c r="O790" s="4">
        <f t="shared" si="207"/>
        <v>0</v>
      </c>
      <c r="P790" s="4" t="e">
        <f>VLOOKUP(AJ782,'CIR Team Info'!$C$5:$E$44,2,FALSE)</f>
        <v>#N/A</v>
      </c>
      <c r="Q790" s="4" t="e">
        <f>VLOOKUP(AJ782,'CIR Team Info'!$C$5:$E$44,3,FALSE)</f>
        <v>#N/A</v>
      </c>
      <c r="R790" s="10" t="e">
        <f>VLOOKUP(AJ782,'FRC Site Data'!$B$3:$L$42,2,FALSE)</f>
        <v>#N/A</v>
      </c>
      <c r="S790" s="10" t="e">
        <f>VLOOKUP(AJ782,'FRC Site Data'!$B$3:$L$42,3,FALSE)</f>
        <v>#N/A</v>
      </c>
      <c r="T790" s="10" t="e">
        <f>VLOOKUP(AJ782,'FRC Site Data'!$B$3:$L$42,4,FALSE)</f>
        <v>#N/A</v>
      </c>
      <c r="U790" s="10" t="e">
        <f>VLOOKUP(AJ782,'FRC Site Data'!$B$3:$L$42,5,FALSE)</f>
        <v>#N/A</v>
      </c>
      <c r="V790" s="10" t="e">
        <f>VLOOKUP(AJ782,'FRC Site Data'!$B$3:$L$42,6,FALSE)</f>
        <v>#N/A</v>
      </c>
      <c r="W790" s="10" t="e">
        <f>VLOOKUP(AJ782,'FRC Site Data'!$B$3:$L$42,8,FALSE)</f>
        <v>#N/A</v>
      </c>
      <c r="X790" s="10" t="e">
        <f>VLOOKUP(AJ782,'FRC Site Data'!$B$3:$L$42,9,FALSE)</f>
        <v>#N/A</v>
      </c>
      <c r="Y790" s="10" t="e">
        <f>VLOOKUP(AJ782,'FRC Site Data'!$B$3:$L$42,10,FALSE)</f>
        <v>#N/A</v>
      </c>
      <c r="Z790" s="10" t="e">
        <f>VLOOKUP(AJ782,'FRC Site Data'!$B$3:$L$42,11,FALSE)</f>
        <v>#N/A</v>
      </c>
      <c r="AA790" s="10" t="e">
        <f>VLOOKUP(AJ782,'CIR Team Info'!$C$5:$E$44,4,FALSE)</f>
        <v>#N/A</v>
      </c>
      <c r="AB790" s="161" t="b">
        <f>ISNUMBER(VLOOKUP(AJ782,Match!$T$5:$T$10,1,FALSE))</f>
        <v>0</v>
      </c>
      <c r="AC790" s="161" t="b">
        <f>IF(AB790=TRUE,(VLOOKUP($AJ782,Match!$T$5:$U$10,2,FALSE)))</f>
        <v>0</v>
      </c>
      <c r="AD790" s="8">
        <v>3</v>
      </c>
      <c r="AE790" s="8">
        <v>2</v>
      </c>
      <c r="AF790" s="8">
        <v>2</v>
      </c>
      <c r="AG790" s="8">
        <v>1</v>
      </c>
      <c r="AH790" s="8" t="str">
        <f t="shared" si="193"/>
        <v/>
      </c>
    </row>
    <row r="791" spans="1:34" x14ac:dyDescent="0.25">
      <c r="A791" s="29">
        <f t="shared" si="208"/>
        <v>0</v>
      </c>
      <c r="B791" s="29">
        <f t="shared" si="195"/>
        <v>0</v>
      </c>
      <c r="C791" s="29">
        <f t="shared" si="196"/>
        <v>0</v>
      </c>
      <c r="D791" s="29">
        <f t="shared" si="197"/>
        <v>0</v>
      </c>
      <c r="E791" s="29">
        <f t="shared" si="194"/>
        <v>0</v>
      </c>
      <c r="F791" s="29">
        <f t="shared" si="198"/>
        <v>0</v>
      </c>
      <c r="G791" s="29" t="str">
        <f t="shared" si="199"/>
        <v>offensive</v>
      </c>
      <c r="H791" s="16">
        <f t="shared" si="200"/>
        <v>0</v>
      </c>
      <c r="I791" s="16">
        <f t="shared" si="201"/>
        <v>0</v>
      </c>
      <c r="J791" s="16">
        <f t="shared" si="202"/>
        <v>0</v>
      </c>
      <c r="K791" s="16">
        <f t="shared" si="203"/>
        <v>0</v>
      </c>
      <c r="L791" s="67">
        <f t="shared" si="204"/>
        <v>0</v>
      </c>
      <c r="M791" s="4">
        <f t="shared" si="205"/>
        <v>0</v>
      </c>
      <c r="N791" s="4">
        <f t="shared" si="206"/>
        <v>0</v>
      </c>
      <c r="O791" s="4">
        <f t="shared" si="207"/>
        <v>0</v>
      </c>
      <c r="P791" s="4" t="e">
        <f>VLOOKUP(AJ783,'CIR Team Info'!$C$5:$E$44,2,FALSE)</f>
        <v>#N/A</v>
      </c>
      <c r="Q791" s="4" t="e">
        <f>VLOOKUP(AJ783,'CIR Team Info'!$C$5:$E$44,3,FALSE)</f>
        <v>#N/A</v>
      </c>
      <c r="R791" s="10" t="e">
        <f>VLOOKUP(AJ783,'FRC Site Data'!$B$3:$L$42,2,FALSE)</f>
        <v>#N/A</v>
      </c>
      <c r="S791" s="10" t="e">
        <f>VLOOKUP(AJ783,'FRC Site Data'!$B$3:$L$42,3,FALSE)</f>
        <v>#N/A</v>
      </c>
      <c r="T791" s="10" t="e">
        <f>VLOOKUP(AJ783,'FRC Site Data'!$B$3:$L$42,4,FALSE)</f>
        <v>#N/A</v>
      </c>
      <c r="U791" s="10" t="e">
        <f>VLOOKUP(AJ783,'FRC Site Data'!$B$3:$L$42,5,FALSE)</f>
        <v>#N/A</v>
      </c>
      <c r="V791" s="10" t="e">
        <f>VLOOKUP(AJ783,'FRC Site Data'!$B$3:$L$42,6,FALSE)</f>
        <v>#N/A</v>
      </c>
      <c r="W791" s="10" t="e">
        <f>VLOOKUP(AJ783,'FRC Site Data'!$B$3:$L$42,8,FALSE)</f>
        <v>#N/A</v>
      </c>
      <c r="X791" s="10" t="e">
        <f>VLOOKUP(AJ783,'FRC Site Data'!$B$3:$L$42,9,FALSE)</f>
        <v>#N/A</v>
      </c>
      <c r="Y791" s="10" t="e">
        <f>VLOOKUP(AJ783,'FRC Site Data'!$B$3:$L$42,10,FALSE)</f>
        <v>#N/A</v>
      </c>
      <c r="Z791" s="10" t="e">
        <f>VLOOKUP(AJ783,'FRC Site Data'!$B$3:$L$42,11,FALSE)</f>
        <v>#N/A</v>
      </c>
      <c r="AA791" s="10" t="e">
        <f>VLOOKUP(AJ783,'CIR Team Info'!$C$5:$E$44,4,FALSE)</f>
        <v>#N/A</v>
      </c>
      <c r="AB791" s="161" t="b">
        <f>ISNUMBER(VLOOKUP(AJ783,Match!$T$5:$T$10,1,FALSE))</f>
        <v>0</v>
      </c>
      <c r="AC791" s="161" t="b">
        <f>IF(AB791=TRUE,(VLOOKUP($AJ783,Match!$T$5:$U$10,2,FALSE)))</f>
        <v>0</v>
      </c>
      <c r="AD791" s="8">
        <v>3</v>
      </c>
      <c r="AE791" s="8">
        <v>2</v>
      </c>
      <c r="AF791" s="8">
        <v>2</v>
      </c>
      <c r="AG791" s="8">
        <v>1</v>
      </c>
      <c r="AH791" s="8" t="str">
        <f t="shared" si="193"/>
        <v/>
      </c>
    </row>
    <row r="792" spans="1:34" x14ac:dyDescent="0.25">
      <c r="A792" s="29">
        <f t="shared" si="208"/>
        <v>0</v>
      </c>
      <c r="B792" s="29">
        <f t="shared" si="195"/>
        <v>0</v>
      </c>
      <c r="C792" s="29">
        <f t="shared" si="196"/>
        <v>0</v>
      </c>
      <c r="D792" s="29">
        <f t="shared" si="197"/>
        <v>0</v>
      </c>
      <c r="E792" s="29">
        <f t="shared" si="194"/>
        <v>0</v>
      </c>
      <c r="F792" s="29">
        <f t="shared" si="198"/>
        <v>0</v>
      </c>
      <c r="G792" s="29" t="str">
        <f t="shared" si="199"/>
        <v>offensive</v>
      </c>
      <c r="H792" s="16">
        <f t="shared" si="200"/>
        <v>0</v>
      </c>
      <c r="I792" s="16">
        <f t="shared" si="201"/>
        <v>0</v>
      </c>
      <c r="J792" s="16">
        <f t="shared" si="202"/>
        <v>0</v>
      </c>
      <c r="K792" s="16">
        <f t="shared" si="203"/>
        <v>0</v>
      </c>
      <c r="L792" s="67">
        <f t="shared" si="204"/>
        <v>0</v>
      </c>
      <c r="M792" s="4">
        <f t="shared" si="205"/>
        <v>0</v>
      </c>
      <c r="N792" s="4">
        <f t="shared" si="206"/>
        <v>0</v>
      </c>
      <c r="O792" s="4">
        <f t="shared" si="207"/>
        <v>0</v>
      </c>
      <c r="P792" s="4" t="e">
        <f>VLOOKUP(AJ784,'CIR Team Info'!$C$5:$E$44,2,FALSE)</f>
        <v>#N/A</v>
      </c>
      <c r="Q792" s="4" t="e">
        <f>VLOOKUP(AJ784,'CIR Team Info'!$C$5:$E$44,3,FALSE)</f>
        <v>#N/A</v>
      </c>
      <c r="R792" s="10" t="e">
        <f>VLOOKUP(AJ784,'FRC Site Data'!$B$3:$L$42,2,FALSE)</f>
        <v>#N/A</v>
      </c>
      <c r="S792" s="10" t="e">
        <f>VLOOKUP(AJ784,'FRC Site Data'!$B$3:$L$42,3,FALSE)</f>
        <v>#N/A</v>
      </c>
      <c r="T792" s="10" t="e">
        <f>VLOOKUP(AJ784,'FRC Site Data'!$B$3:$L$42,4,FALSE)</f>
        <v>#N/A</v>
      </c>
      <c r="U792" s="10" t="e">
        <f>VLOOKUP(AJ784,'FRC Site Data'!$B$3:$L$42,5,FALSE)</f>
        <v>#N/A</v>
      </c>
      <c r="V792" s="10" t="e">
        <f>VLOOKUP(AJ784,'FRC Site Data'!$B$3:$L$42,6,FALSE)</f>
        <v>#N/A</v>
      </c>
      <c r="W792" s="10" t="e">
        <f>VLOOKUP(AJ784,'FRC Site Data'!$B$3:$L$42,8,FALSE)</f>
        <v>#N/A</v>
      </c>
      <c r="X792" s="10" t="e">
        <f>VLOOKUP(AJ784,'FRC Site Data'!$B$3:$L$42,9,FALSE)</f>
        <v>#N/A</v>
      </c>
      <c r="Y792" s="10" t="e">
        <f>VLOOKUP(AJ784,'FRC Site Data'!$B$3:$L$42,10,FALSE)</f>
        <v>#N/A</v>
      </c>
      <c r="Z792" s="10" t="e">
        <f>VLOOKUP(AJ784,'FRC Site Data'!$B$3:$L$42,11,FALSE)</f>
        <v>#N/A</v>
      </c>
      <c r="AA792" s="10" t="e">
        <f>VLOOKUP(AJ784,'CIR Team Info'!$C$5:$E$44,4,FALSE)</f>
        <v>#N/A</v>
      </c>
      <c r="AB792" s="161" t="b">
        <f>ISNUMBER(VLOOKUP(AJ784,Match!$T$5:$T$10,1,FALSE))</f>
        <v>0</v>
      </c>
      <c r="AC792" s="161" t="b">
        <f>IF(AB792=TRUE,(VLOOKUP($AJ784,Match!$T$5:$U$10,2,FALSE)))</f>
        <v>0</v>
      </c>
      <c r="AD792" s="8">
        <v>3</v>
      </c>
      <c r="AE792" s="8">
        <v>2</v>
      </c>
      <c r="AF792" s="8">
        <v>2</v>
      </c>
      <c r="AG792" s="8">
        <v>1</v>
      </c>
      <c r="AH792" s="8" t="str">
        <f t="shared" si="193"/>
        <v/>
      </c>
    </row>
    <row r="793" spans="1:34" x14ac:dyDescent="0.25">
      <c r="A793" s="29">
        <f t="shared" si="208"/>
        <v>0</v>
      </c>
      <c r="B793" s="29">
        <f t="shared" si="195"/>
        <v>0</v>
      </c>
      <c r="C793" s="29">
        <f t="shared" si="196"/>
        <v>0</v>
      </c>
      <c r="D793" s="29">
        <f t="shared" si="197"/>
        <v>0</v>
      </c>
      <c r="E793" s="29">
        <f t="shared" si="194"/>
        <v>0</v>
      </c>
      <c r="F793" s="29">
        <f t="shared" si="198"/>
        <v>0</v>
      </c>
      <c r="G793" s="29" t="str">
        <f t="shared" si="199"/>
        <v>offensive</v>
      </c>
      <c r="H793" s="16">
        <f t="shared" si="200"/>
        <v>0</v>
      </c>
      <c r="I793" s="16">
        <f t="shared" si="201"/>
        <v>0</v>
      </c>
      <c r="J793" s="16">
        <f t="shared" si="202"/>
        <v>0</v>
      </c>
      <c r="K793" s="16">
        <f t="shared" si="203"/>
        <v>0</v>
      </c>
      <c r="L793" s="67">
        <f t="shared" si="204"/>
        <v>0</v>
      </c>
      <c r="M793" s="4">
        <f t="shared" si="205"/>
        <v>0</v>
      </c>
      <c r="N793" s="4">
        <f t="shared" si="206"/>
        <v>0</v>
      </c>
      <c r="O793" s="4">
        <f t="shared" si="207"/>
        <v>0</v>
      </c>
      <c r="P793" s="4" t="e">
        <f>VLOOKUP(AJ785,'CIR Team Info'!$C$5:$E$44,2,FALSE)</f>
        <v>#N/A</v>
      </c>
      <c r="Q793" s="4" t="e">
        <f>VLOOKUP(AJ785,'CIR Team Info'!$C$5:$E$44,3,FALSE)</f>
        <v>#N/A</v>
      </c>
      <c r="R793" s="10" t="e">
        <f>VLOOKUP(AJ785,'FRC Site Data'!$B$3:$L$42,2,FALSE)</f>
        <v>#N/A</v>
      </c>
      <c r="S793" s="10" t="e">
        <f>VLOOKUP(AJ785,'FRC Site Data'!$B$3:$L$42,3,FALSE)</f>
        <v>#N/A</v>
      </c>
      <c r="T793" s="10" t="e">
        <f>VLOOKUP(AJ785,'FRC Site Data'!$B$3:$L$42,4,FALSE)</f>
        <v>#N/A</v>
      </c>
      <c r="U793" s="10" t="e">
        <f>VLOOKUP(AJ785,'FRC Site Data'!$B$3:$L$42,5,FALSE)</f>
        <v>#N/A</v>
      </c>
      <c r="V793" s="10" t="e">
        <f>VLOOKUP(AJ785,'FRC Site Data'!$B$3:$L$42,6,FALSE)</f>
        <v>#N/A</v>
      </c>
      <c r="W793" s="10" t="e">
        <f>VLOOKUP(AJ785,'FRC Site Data'!$B$3:$L$42,8,FALSE)</f>
        <v>#N/A</v>
      </c>
      <c r="X793" s="10" t="e">
        <f>VLOOKUP(AJ785,'FRC Site Data'!$B$3:$L$42,9,FALSE)</f>
        <v>#N/A</v>
      </c>
      <c r="Y793" s="10" t="e">
        <f>VLOOKUP(AJ785,'FRC Site Data'!$B$3:$L$42,10,FALSE)</f>
        <v>#N/A</v>
      </c>
      <c r="Z793" s="10" t="e">
        <f>VLOOKUP(AJ785,'FRC Site Data'!$B$3:$L$42,11,FALSE)</f>
        <v>#N/A</v>
      </c>
      <c r="AA793" s="10" t="e">
        <f>VLOOKUP(AJ785,'CIR Team Info'!$C$5:$E$44,4,FALSE)</f>
        <v>#N/A</v>
      </c>
      <c r="AB793" s="161" t="b">
        <f>ISNUMBER(VLOOKUP(AJ785,Match!$T$5:$T$10,1,FALSE))</f>
        <v>0</v>
      </c>
      <c r="AC793" s="161" t="b">
        <f>IF(AB793=TRUE,(VLOOKUP($AJ785,Match!$T$5:$U$10,2,FALSE)))</f>
        <v>0</v>
      </c>
      <c r="AD793" s="8">
        <v>3</v>
      </c>
      <c r="AE793" s="8">
        <v>2</v>
      </c>
      <c r="AF793" s="8">
        <v>2</v>
      </c>
      <c r="AG793" s="8">
        <v>1</v>
      </c>
      <c r="AH793" s="8" t="str">
        <f t="shared" si="193"/>
        <v/>
      </c>
    </row>
    <row r="794" spans="1:34" x14ac:dyDescent="0.25">
      <c r="A794" s="29">
        <f t="shared" si="208"/>
        <v>0</v>
      </c>
      <c r="B794" s="29">
        <f t="shared" si="195"/>
        <v>0</v>
      </c>
      <c r="C794" s="29">
        <f t="shared" si="196"/>
        <v>0</v>
      </c>
      <c r="D794" s="29">
        <f t="shared" si="197"/>
        <v>0</v>
      </c>
      <c r="E794" s="29">
        <f t="shared" si="194"/>
        <v>0</v>
      </c>
      <c r="F794" s="29">
        <f t="shared" si="198"/>
        <v>0</v>
      </c>
      <c r="G794" s="29" t="str">
        <f t="shared" si="199"/>
        <v>offensive</v>
      </c>
      <c r="H794" s="16">
        <f t="shared" si="200"/>
        <v>0</v>
      </c>
      <c r="I794" s="16">
        <f t="shared" si="201"/>
        <v>0</v>
      </c>
      <c r="J794" s="16">
        <f t="shared" si="202"/>
        <v>0</v>
      </c>
      <c r="K794" s="16">
        <f t="shared" si="203"/>
        <v>0</v>
      </c>
      <c r="L794" s="67">
        <f t="shared" si="204"/>
        <v>0</v>
      </c>
      <c r="M794" s="4">
        <f t="shared" si="205"/>
        <v>0</v>
      </c>
      <c r="N794" s="4">
        <f t="shared" si="206"/>
        <v>0</v>
      </c>
      <c r="O794" s="4">
        <f t="shared" si="207"/>
        <v>0</v>
      </c>
      <c r="P794" s="4" t="e">
        <f>VLOOKUP(AJ786,'CIR Team Info'!$C$5:$E$44,2,FALSE)</f>
        <v>#N/A</v>
      </c>
      <c r="Q794" s="4" t="e">
        <f>VLOOKUP(AJ786,'CIR Team Info'!$C$5:$E$44,3,FALSE)</f>
        <v>#N/A</v>
      </c>
      <c r="R794" s="10" t="e">
        <f>VLOOKUP(AJ786,'FRC Site Data'!$B$3:$L$42,2,FALSE)</f>
        <v>#N/A</v>
      </c>
      <c r="S794" s="10" t="e">
        <f>VLOOKUP(AJ786,'FRC Site Data'!$B$3:$L$42,3,FALSE)</f>
        <v>#N/A</v>
      </c>
      <c r="T794" s="10" t="e">
        <f>VLOOKUP(AJ786,'FRC Site Data'!$B$3:$L$42,4,FALSE)</f>
        <v>#N/A</v>
      </c>
      <c r="U794" s="10" t="e">
        <f>VLOOKUP(AJ786,'FRC Site Data'!$B$3:$L$42,5,FALSE)</f>
        <v>#N/A</v>
      </c>
      <c r="V794" s="10" t="e">
        <f>VLOOKUP(AJ786,'FRC Site Data'!$B$3:$L$42,6,FALSE)</f>
        <v>#N/A</v>
      </c>
      <c r="W794" s="10" t="e">
        <f>VLOOKUP(AJ786,'FRC Site Data'!$B$3:$L$42,8,FALSE)</f>
        <v>#N/A</v>
      </c>
      <c r="X794" s="10" t="e">
        <f>VLOOKUP(AJ786,'FRC Site Data'!$B$3:$L$42,9,FALSE)</f>
        <v>#N/A</v>
      </c>
      <c r="Y794" s="10" t="e">
        <f>VLOOKUP(AJ786,'FRC Site Data'!$B$3:$L$42,10,FALSE)</f>
        <v>#N/A</v>
      </c>
      <c r="Z794" s="10" t="e">
        <f>VLOOKUP(AJ786,'FRC Site Data'!$B$3:$L$42,11,FALSE)</f>
        <v>#N/A</v>
      </c>
      <c r="AA794" s="10" t="e">
        <f>VLOOKUP(AJ786,'CIR Team Info'!$C$5:$E$44,4,FALSE)</f>
        <v>#N/A</v>
      </c>
      <c r="AB794" s="161" t="b">
        <f>ISNUMBER(VLOOKUP(AJ786,Match!$T$5:$T$10,1,FALSE))</f>
        <v>0</v>
      </c>
      <c r="AC794" s="161" t="b">
        <f>IF(AB794=TRUE,(VLOOKUP($AJ786,Match!$T$5:$U$10,2,FALSE)))</f>
        <v>0</v>
      </c>
      <c r="AD794" s="8">
        <v>3</v>
      </c>
      <c r="AE794" s="8">
        <v>2</v>
      </c>
      <c r="AF794" s="8">
        <v>2</v>
      </c>
      <c r="AG794" s="8">
        <v>1</v>
      </c>
      <c r="AH794" s="8" t="str">
        <f t="shared" si="193"/>
        <v/>
      </c>
    </row>
    <row r="795" spans="1:34" x14ac:dyDescent="0.25">
      <c r="A795" s="29">
        <f t="shared" si="208"/>
        <v>0</v>
      </c>
      <c r="B795" s="29">
        <f t="shared" si="195"/>
        <v>0</v>
      </c>
      <c r="C795" s="29">
        <f t="shared" si="196"/>
        <v>0</v>
      </c>
      <c r="D795" s="29">
        <f t="shared" si="197"/>
        <v>0</v>
      </c>
      <c r="E795" s="29">
        <f t="shared" si="194"/>
        <v>0</v>
      </c>
      <c r="F795" s="29">
        <f t="shared" si="198"/>
        <v>0</v>
      </c>
      <c r="G795" s="29" t="str">
        <f t="shared" si="199"/>
        <v>offensive</v>
      </c>
      <c r="H795" s="16">
        <f t="shared" si="200"/>
        <v>0</v>
      </c>
      <c r="I795" s="16">
        <f t="shared" si="201"/>
        <v>0</v>
      </c>
      <c r="J795" s="16">
        <f t="shared" si="202"/>
        <v>0</v>
      </c>
      <c r="K795" s="16">
        <f t="shared" si="203"/>
        <v>0</v>
      </c>
      <c r="L795" s="67">
        <f t="shared" si="204"/>
        <v>0</v>
      </c>
      <c r="M795" s="4">
        <f t="shared" si="205"/>
        <v>0</v>
      </c>
      <c r="N795" s="4">
        <f t="shared" si="206"/>
        <v>0</v>
      </c>
      <c r="O795" s="4">
        <f t="shared" si="207"/>
        <v>0</v>
      </c>
      <c r="P795" s="4" t="e">
        <f>VLOOKUP(AJ787,'CIR Team Info'!$C$5:$E$44,2,FALSE)</f>
        <v>#N/A</v>
      </c>
      <c r="Q795" s="4" t="e">
        <f>VLOOKUP(AJ787,'CIR Team Info'!$C$5:$E$44,3,FALSE)</f>
        <v>#N/A</v>
      </c>
      <c r="R795" s="10" t="e">
        <f>VLOOKUP(AJ787,'FRC Site Data'!$B$3:$L$42,2,FALSE)</f>
        <v>#N/A</v>
      </c>
      <c r="S795" s="10" t="e">
        <f>VLOOKUP(AJ787,'FRC Site Data'!$B$3:$L$42,3,FALSE)</f>
        <v>#N/A</v>
      </c>
      <c r="T795" s="10" t="e">
        <f>VLOOKUP(AJ787,'FRC Site Data'!$B$3:$L$42,4,FALSE)</f>
        <v>#N/A</v>
      </c>
      <c r="U795" s="10" t="e">
        <f>VLOOKUP(AJ787,'FRC Site Data'!$B$3:$L$42,5,FALSE)</f>
        <v>#N/A</v>
      </c>
      <c r="V795" s="10" t="e">
        <f>VLOOKUP(AJ787,'FRC Site Data'!$B$3:$L$42,6,FALSE)</f>
        <v>#N/A</v>
      </c>
      <c r="W795" s="10" t="e">
        <f>VLOOKUP(AJ787,'FRC Site Data'!$B$3:$L$42,8,FALSE)</f>
        <v>#N/A</v>
      </c>
      <c r="X795" s="10" t="e">
        <f>VLOOKUP(AJ787,'FRC Site Data'!$B$3:$L$42,9,FALSE)</f>
        <v>#N/A</v>
      </c>
      <c r="Y795" s="10" t="e">
        <f>VLOOKUP(AJ787,'FRC Site Data'!$B$3:$L$42,10,FALSE)</f>
        <v>#N/A</v>
      </c>
      <c r="Z795" s="10" t="e">
        <f>VLOOKUP(AJ787,'FRC Site Data'!$B$3:$L$42,11,FALSE)</f>
        <v>#N/A</v>
      </c>
      <c r="AA795" s="10" t="e">
        <f>VLOOKUP(AJ787,'CIR Team Info'!$C$5:$E$44,4,FALSE)</f>
        <v>#N/A</v>
      </c>
      <c r="AB795" s="161" t="b">
        <f>ISNUMBER(VLOOKUP(AJ787,Match!$T$5:$T$10,1,FALSE))</f>
        <v>0</v>
      </c>
      <c r="AC795" s="161" t="b">
        <f>IF(AB795=TRUE,(VLOOKUP($AJ787,Match!$T$5:$U$10,2,FALSE)))</f>
        <v>0</v>
      </c>
      <c r="AD795" s="8">
        <v>3</v>
      </c>
      <c r="AE795" s="8">
        <v>2</v>
      </c>
      <c r="AF795" s="8">
        <v>2</v>
      </c>
      <c r="AG795" s="8">
        <v>1</v>
      </c>
      <c r="AH795" s="8" t="str">
        <f t="shared" ref="AH795:AH858" si="209">IF(AL787="Other","x","")</f>
        <v/>
      </c>
    </row>
    <row r="796" spans="1:34" x14ac:dyDescent="0.25">
      <c r="A796" s="29">
        <f t="shared" si="208"/>
        <v>0</v>
      </c>
      <c r="B796" s="29">
        <f t="shared" si="195"/>
        <v>0</v>
      </c>
      <c r="C796" s="29">
        <f t="shared" si="196"/>
        <v>0</v>
      </c>
      <c r="D796" s="29">
        <f t="shared" si="197"/>
        <v>0</v>
      </c>
      <c r="E796" s="29">
        <f t="shared" si="194"/>
        <v>0</v>
      </c>
      <c r="F796" s="29">
        <f t="shared" si="198"/>
        <v>0</v>
      </c>
      <c r="G796" s="29" t="str">
        <f t="shared" si="199"/>
        <v>offensive</v>
      </c>
      <c r="H796" s="16">
        <f t="shared" si="200"/>
        <v>0</v>
      </c>
      <c r="I796" s="16">
        <f t="shared" si="201"/>
        <v>0</v>
      </c>
      <c r="J796" s="16">
        <f t="shared" si="202"/>
        <v>0</v>
      </c>
      <c r="K796" s="16">
        <f t="shared" si="203"/>
        <v>0</v>
      </c>
      <c r="L796" s="67">
        <f t="shared" si="204"/>
        <v>0</v>
      </c>
      <c r="M796" s="4">
        <f t="shared" si="205"/>
        <v>0</v>
      </c>
      <c r="N796" s="4">
        <f t="shared" si="206"/>
        <v>0</v>
      </c>
      <c r="O796" s="4">
        <f t="shared" si="207"/>
        <v>0</v>
      </c>
      <c r="P796" s="4" t="e">
        <f>VLOOKUP(AJ788,'CIR Team Info'!$C$5:$E$44,2,FALSE)</f>
        <v>#N/A</v>
      </c>
      <c r="Q796" s="4" t="e">
        <f>VLOOKUP(AJ788,'CIR Team Info'!$C$5:$E$44,3,FALSE)</f>
        <v>#N/A</v>
      </c>
      <c r="R796" s="10" t="e">
        <f>VLOOKUP(AJ788,'FRC Site Data'!$B$3:$L$42,2,FALSE)</f>
        <v>#N/A</v>
      </c>
      <c r="S796" s="10" t="e">
        <f>VLOOKUP(AJ788,'FRC Site Data'!$B$3:$L$42,3,FALSE)</f>
        <v>#N/A</v>
      </c>
      <c r="T796" s="10" t="e">
        <f>VLOOKUP(AJ788,'FRC Site Data'!$B$3:$L$42,4,FALSE)</f>
        <v>#N/A</v>
      </c>
      <c r="U796" s="10" t="e">
        <f>VLOOKUP(AJ788,'FRC Site Data'!$B$3:$L$42,5,FALSE)</f>
        <v>#N/A</v>
      </c>
      <c r="V796" s="10" t="e">
        <f>VLOOKUP(AJ788,'FRC Site Data'!$B$3:$L$42,6,FALSE)</f>
        <v>#N/A</v>
      </c>
      <c r="W796" s="10" t="e">
        <f>VLOOKUP(AJ788,'FRC Site Data'!$B$3:$L$42,8,FALSE)</f>
        <v>#N/A</v>
      </c>
      <c r="X796" s="10" t="e">
        <f>VLOOKUP(AJ788,'FRC Site Data'!$B$3:$L$42,9,FALSE)</f>
        <v>#N/A</v>
      </c>
      <c r="Y796" s="10" t="e">
        <f>VLOOKUP(AJ788,'FRC Site Data'!$B$3:$L$42,10,FALSE)</f>
        <v>#N/A</v>
      </c>
      <c r="Z796" s="10" t="e">
        <f>VLOOKUP(AJ788,'FRC Site Data'!$B$3:$L$42,11,FALSE)</f>
        <v>#N/A</v>
      </c>
      <c r="AA796" s="10" t="e">
        <f>VLOOKUP(AJ788,'CIR Team Info'!$C$5:$E$44,4,FALSE)</f>
        <v>#N/A</v>
      </c>
      <c r="AB796" s="161" t="b">
        <f>ISNUMBER(VLOOKUP(AJ788,Match!$T$5:$T$10,1,FALSE))</f>
        <v>0</v>
      </c>
      <c r="AC796" s="161" t="b">
        <f>IF(AB796=TRUE,(VLOOKUP($AJ788,Match!$T$5:$U$10,2,FALSE)))</f>
        <v>0</v>
      </c>
      <c r="AD796" s="8">
        <v>3</v>
      </c>
      <c r="AE796" s="8">
        <v>2</v>
      </c>
      <c r="AF796" s="8">
        <v>2</v>
      </c>
      <c r="AG796" s="8">
        <v>1</v>
      </c>
      <c r="AH796" s="8" t="str">
        <f t="shared" si="209"/>
        <v/>
      </c>
    </row>
    <row r="797" spans="1:34" x14ac:dyDescent="0.25">
      <c r="A797" s="29">
        <f t="shared" si="208"/>
        <v>0</v>
      </c>
      <c r="B797" s="29">
        <f t="shared" si="195"/>
        <v>0</v>
      </c>
      <c r="C797" s="29">
        <f t="shared" si="196"/>
        <v>0</v>
      </c>
      <c r="D797" s="29">
        <f t="shared" si="197"/>
        <v>0</v>
      </c>
      <c r="E797" s="29">
        <f t="shared" si="194"/>
        <v>0</v>
      </c>
      <c r="F797" s="29">
        <f t="shared" si="198"/>
        <v>0</v>
      </c>
      <c r="G797" s="29" t="str">
        <f t="shared" si="199"/>
        <v>offensive</v>
      </c>
      <c r="H797" s="16">
        <f t="shared" si="200"/>
        <v>0</v>
      </c>
      <c r="I797" s="16">
        <f t="shared" si="201"/>
        <v>0</v>
      </c>
      <c r="J797" s="16">
        <f t="shared" si="202"/>
        <v>0</v>
      </c>
      <c r="K797" s="16">
        <f t="shared" si="203"/>
        <v>0</v>
      </c>
      <c r="L797" s="67">
        <f t="shared" si="204"/>
        <v>0</v>
      </c>
      <c r="M797" s="4">
        <f t="shared" si="205"/>
        <v>0</v>
      </c>
      <c r="N797" s="4">
        <f t="shared" si="206"/>
        <v>0</v>
      </c>
      <c r="O797" s="4">
        <f t="shared" si="207"/>
        <v>0</v>
      </c>
      <c r="P797" s="4" t="e">
        <f>VLOOKUP(AJ789,'CIR Team Info'!$C$5:$E$44,2,FALSE)</f>
        <v>#N/A</v>
      </c>
      <c r="Q797" s="4" t="e">
        <f>VLOOKUP(AJ789,'CIR Team Info'!$C$5:$E$44,3,FALSE)</f>
        <v>#N/A</v>
      </c>
      <c r="R797" s="10" t="e">
        <f>VLOOKUP(AJ789,'FRC Site Data'!$B$3:$L$42,2,FALSE)</f>
        <v>#N/A</v>
      </c>
      <c r="S797" s="10" t="e">
        <f>VLOOKUP(AJ789,'FRC Site Data'!$B$3:$L$42,3,FALSE)</f>
        <v>#N/A</v>
      </c>
      <c r="T797" s="10" t="e">
        <f>VLOOKUP(AJ789,'FRC Site Data'!$B$3:$L$42,4,FALSE)</f>
        <v>#N/A</v>
      </c>
      <c r="U797" s="10" t="e">
        <f>VLOOKUP(AJ789,'FRC Site Data'!$B$3:$L$42,5,FALSE)</f>
        <v>#N/A</v>
      </c>
      <c r="V797" s="10" t="e">
        <f>VLOOKUP(AJ789,'FRC Site Data'!$B$3:$L$42,6,FALSE)</f>
        <v>#N/A</v>
      </c>
      <c r="W797" s="10" t="e">
        <f>VLOOKUP(AJ789,'FRC Site Data'!$B$3:$L$42,8,FALSE)</f>
        <v>#N/A</v>
      </c>
      <c r="X797" s="10" t="e">
        <f>VLOOKUP(AJ789,'FRC Site Data'!$B$3:$L$42,9,FALSE)</f>
        <v>#N/A</v>
      </c>
      <c r="Y797" s="10" t="e">
        <f>VLOOKUP(AJ789,'FRC Site Data'!$B$3:$L$42,10,FALSE)</f>
        <v>#N/A</v>
      </c>
      <c r="Z797" s="10" t="e">
        <f>VLOOKUP(AJ789,'FRC Site Data'!$B$3:$L$42,11,FALSE)</f>
        <v>#N/A</v>
      </c>
      <c r="AA797" s="10" t="e">
        <f>VLOOKUP(AJ789,'CIR Team Info'!$C$5:$E$44,4,FALSE)</f>
        <v>#N/A</v>
      </c>
      <c r="AB797" s="161" t="b">
        <f>ISNUMBER(VLOOKUP(AJ789,Match!$T$5:$T$10,1,FALSE))</f>
        <v>0</v>
      </c>
      <c r="AC797" s="161" t="b">
        <f>IF(AB797=TRUE,(VLOOKUP($AJ789,Match!$T$5:$U$10,2,FALSE)))</f>
        <v>0</v>
      </c>
      <c r="AD797" s="8">
        <v>3</v>
      </c>
      <c r="AE797" s="8">
        <v>2</v>
      </c>
      <c r="AF797" s="8">
        <v>2</v>
      </c>
      <c r="AG797" s="8">
        <v>1</v>
      </c>
      <c r="AH797" s="8" t="str">
        <f t="shared" si="209"/>
        <v/>
      </c>
    </row>
    <row r="798" spans="1:34" x14ac:dyDescent="0.25">
      <c r="A798" s="29">
        <f t="shared" si="208"/>
        <v>0</v>
      </c>
      <c r="B798" s="29">
        <f t="shared" si="195"/>
        <v>0</v>
      </c>
      <c r="C798" s="29">
        <f t="shared" si="196"/>
        <v>0</v>
      </c>
      <c r="D798" s="29">
        <f t="shared" si="197"/>
        <v>0</v>
      </c>
      <c r="E798" s="29">
        <f t="shared" si="194"/>
        <v>0</v>
      </c>
      <c r="F798" s="29">
        <f t="shared" si="198"/>
        <v>0</v>
      </c>
      <c r="G798" s="29" t="str">
        <f t="shared" si="199"/>
        <v>offensive</v>
      </c>
      <c r="H798" s="16">
        <f t="shared" si="200"/>
        <v>0</v>
      </c>
      <c r="I798" s="16">
        <f t="shared" si="201"/>
        <v>0</v>
      </c>
      <c r="J798" s="16">
        <f t="shared" si="202"/>
        <v>0</v>
      </c>
      <c r="K798" s="16">
        <f t="shared" si="203"/>
        <v>0</v>
      </c>
      <c r="L798" s="67">
        <f t="shared" si="204"/>
        <v>0</v>
      </c>
      <c r="M798" s="4">
        <f t="shared" si="205"/>
        <v>0</v>
      </c>
      <c r="N798" s="4">
        <f t="shared" si="206"/>
        <v>0</v>
      </c>
      <c r="O798" s="4">
        <f t="shared" si="207"/>
        <v>0</v>
      </c>
      <c r="P798" s="4" t="e">
        <f>VLOOKUP(AJ790,'CIR Team Info'!$C$5:$E$44,2,FALSE)</f>
        <v>#N/A</v>
      </c>
      <c r="Q798" s="4" t="e">
        <f>VLOOKUP(AJ790,'CIR Team Info'!$C$5:$E$44,3,FALSE)</f>
        <v>#N/A</v>
      </c>
      <c r="R798" s="10" t="e">
        <f>VLOOKUP(AJ790,'FRC Site Data'!$B$3:$L$42,2,FALSE)</f>
        <v>#N/A</v>
      </c>
      <c r="S798" s="10" t="e">
        <f>VLOOKUP(AJ790,'FRC Site Data'!$B$3:$L$42,3,FALSE)</f>
        <v>#N/A</v>
      </c>
      <c r="T798" s="10" t="e">
        <f>VLOOKUP(AJ790,'FRC Site Data'!$B$3:$L$42,4,FALSE)</f>
        <v>#N/A</v>
      </c>
      <c r="U798" s="10" t="e">
        <f>VLOOKUP(AJ790,'FRC Site Data'!$B$3:$L$42,5,FALSE)</f>
        <v>#N/A</v>
      </c>
      <c r="V798" s="10" t="e">
        <f>VLOOKUP(AJ790,'FRC Site Data'!$B$3:$L$42,6,FALSE)</f>
        <v>#N/A</v>
      </c>
      <c r="W798" s="10" t="e">
        <f>VLOOKUP(AJ790,'FRC Site Data'!$B$3:$L$42,8,FALSE)</f>
        <v>#N/A</v>
      </c>
      <c r="X798" s="10" t="e">
        <f>VLOOKUP(AJ790,'FRC Site Data'!$B$3:$L$42,9,FALSE)</f>
        <v>#N/A</v>
      </c>
      <c r="Y798" s="10" t="e">
        <f>VLOOKUP(AJ790,'FRC Site Data'!$B$3:$L$42,10,FALSE)</f>
        <v>#N/A</v>
      </c>
      <c r="Z798" s="10" t="e">
        <f>VLOOKUP(AJ790,'FRC Site Data'!$B$3:$L$42,11,FALSE)</f>
        <v>#N/A</v>
      </c>
      <c r="AA798" s="10" t="e">
        <f>VLOOKUP(AJ790,'CIR Team Info'!$C$5:$E$44,4,FALSE)</f>
        <v>#N/A</v>
      </c>
      <c r="AB798" s="161" t="b">
        <f>ISNUMBER(VLOOKUP(AJ790,Match!$T$5:$T$10,1,FALSE))</f>
        <v>0</v>
      </c>
      <c r="AC798" s="161" t="b">
        <f>IF(AB798=TRUE,(VLOOKUP($AJ790,Match!$T$5:$U$10,2,FALSE)))</f>
        <v>0</v>
      </c>
      <c r="AD798" s="8">
        <v>3</v>
      </c>
      <c r="AE798" s="8">
        <v>2</v>
      </c>
      <c r="AF798" s="8">
        <v>2</v>
      </c>
      <c r="AG798" s="8">
        <v>1</v>
      </c>
      <c r="AH798" s="8" t="str">
        <f t="shared" si="209"/>
        <v/>
      </c>
    </row>
    <row r="799" spans="1:34" x14ac:dyDescent="0.25">
      <c r="A799" s="29">
        <f t="shared" si="208"/>
        <v>0</v>
      </c>
      <c r="B799" s="29">
        <f t="shared" si="195"/>
        <v>0</v>
      </c>
      <c r="C799" s="29">
        <f t="shared" si="196"/>
        <v>0</v>
      </c>
      <c r="D799" s="29">
        <f t="shared" si="197"/>
        <v>0</v>
      </c>
      <c r="E799" s="29">
        <f t="shared" si="194"/>
        <v>0</v>
      </c>
      <c r="F799" s="29">
        <f t="shared" si="198"/>
        <v>0</v>
      </c>
      <c r="G799" s="29" t="str">
        <f t="shared" si="199"/>
        <v>offensive</v>
      </c>
      <c r="H799" s="16">
        <f t="shared" si="200"/>
        <v>0</v>
      </c>
      <c r="I799" s="16">
        <f t="shared" si="201"/>
        <v>0</v>
      </c>
      <c r="J799" s="16">
        <f t="shared" si="202"/>
        <v>0</v>
      </c>
      <c r="K799" s="16">
        <f t="shared" si="203"/>
        <v>0</v>
      </c>
      <c r="L799" s="67">
        <f t="shared" si="204"/>
        <v>0</v>
      </c>
      <c r="M799" s="4">
        <f t="shared" si="205"/>
        <v>0</v>
      </c>
      <c r="N799" s="4">
        <f t="shared" si="206"/>
        <v>0</v>
      </c>
      <c r="O799" s="4">
        <f t="shared" si="207"/>
        <v>0</v>
      </c>
      <c r="P799" s="4" t="e">
        <f>VLOOKUP(AJ791,'CIR Team Info'!$C$5:$E$44,2,FALSE)</f>
        <v>#N/A</v>
      </c>
      <c r="Q799" s="4" t="e">
        <f>VLOOKUP(AJ791,'CIR Team Info'!$C$5:$E$44,3,FALSE)</f>
        <v>#N/A</v>
      </c>
      <c r="R799" s="10" t="e">
        <f>VLOOKUP(AJ791,'FRC Site Data'!$B$3:$L$42,2,FALSE)</f>
        <v>#N/A</v>
      </c>
      <c r="S799" s="10" t="e">
        <f>VLOOKUP(AJ791,'FRC Site Data'!$B$3:$L$42,3,FALSE)</f>
        <v>#N/A</v>
      </c>
      <c r="T799" s="10" t="e">
        <f>VLOOKUP(AJ791,'FRC Site Data'!$B$3:$L$42,4,FALSE)</f>
        <v>#N/A</v>
      </c>
      <c r="U799" s="10" t="e">
        <f>VLOOKUP(AJ791,'FRC Site Data'!$B$3:$L$42,5,FALSE)</f>
        <v>#N/A</v>
      </c>
      <c r="V799" s="10" t="e">
        <f>VLOOKUP(AJ791,'FRC Site Data'!$B$3:$L$42,6,FALSE)</f>
        <v>#N/A</v>
      </c>
      <c r="W799" s="10" t="e">
        <f>VLOOKUP(AJ791,'FRC Site Data'!$B$3:$L$42,8,FALSE)</f>
        <v>#N/A</v>
      </c>
      <c r="X799" s="10" t="e">
        <f>VLOOKUP(AJ791,'FRC Site Data'!$B$3:$L$42,9,FALSE)</f>
        <v>#N/A</v>
      </c>
      <c r="Y799" s="10" t="e">
        <f>VLOOKUP(AJ791,'FRC Site Data'!$B$3:$L$42,10,FALSE)</f>
        <v>#N/A</v>
      </c>
      <c r="Z799" s="10" t="e">
        <f>VLOOKUP(AJ791,'FRC Site Data'!$B$3:$L$42,11,FALSE)</f>
        <v>#N/A</v>
      </c>
      <c r="AA799" s="10" t="e">
        <f>VLOOKUP(AJ791,'CIR Team Info'!$C$5:$E$44,4,FALSE)</f>
        <v>#N/A</v>
      </c>
      <c r="AB799" s="161" t="b">
        <f>ISNUMBER(VLOOKUP(AJ791,Match!$T$5:$T$10,1,FALSE))</f>
        <v>0</v>
      </c>
      <c r="AC799" s="161" t="b">
        <f>IF(AB799=TRUE,(VLOOKUP($AJ791,Match!$T$5:$U$10,2,FALSE)))</f>
        <v>0</v>
      </c>
      <c r="AD799" s="8">
        <v>3</v>
      </c>
      <c r="AE799" s="8">
        <v>2</v>
      </c>
      <c r="AF799" s="8">
        <v>2</v>
      </c>
      <c r="AG799" s="8">
        <v>1</v>
      </c>
      <c r="AH799" s="8" t="str">
        <f t="shared" si="209"/>
        <v/>
      </c>
    </row>
    <row r="800" spans="1:34" x14ac:dyDescent="0.25">
      <c r="A800" s="29">
        <f t="shared" si="208"/>
        <v>0</v>
      </c>
      <c r="B800" s="29">
        <f t="shared" si="195"/>
        <v>0</v>
      </c>
      <c r="C800" s="29">
        <f t="shared" si="196"/>
        <v>0</v>
      </c>
      <c r="D800" s="29">
        <f t="shared" si="197"/>
        <v>0</v>
      </c>
      <c r="E800" s="29">
        <f t="shared" si="194"/>
        <v>0</v>
      </c>
      <c r="F800" s="29">
        <f t="shared" si="198"/>
        <v>0</v>
      </c>
      <c r="G800" s="29" t="str">
        <f t="shared" si="199"/>
        <v>offensive</v>
      </c>
      <c r="H800" s="16">
        <f t="shared" si="200"/>
        <v>0</v>
      </c>
      <c r="I800" s="16">
        <f t="shared" si="201"/>
        <v>0</v>
      </c>
      <c r="J800" s="16">
        <f t="shared" si="202"/>
        <v>0</v>
      </c>
      <c r="K800" s="16">
        <f t="shared" si="203"/>
        <v>0</v>
      </c>
      <c r="L800" s="67">
        <f t="shared" si="204"/>
        <v>0</v>
      </c>
      <c r="M800" s="4">
        <f t="shared" si="205"/>
        <v>0</v>
      </c>
      <c r="N800" s="4">
        <f t="shared" si="206"/>
        <v>0</v>
      </c>
      <c r="O800" s="4">
        <f t="shared" si="207"/>
        <v>0</v>
      </c>
      <c r="P800" s="4" t="e">
        <f>VLOOKUP(AJ792,'CIR Team Info'!$C$5:$E$44,2,FALSE)</f>
        <v>#N/A</v>
      </c>
      <c r="Q800" s="4" t="e">
        <f>VLOOKUP(AJ792,'CIR Team Info'!$C$5:$E$44,3,FALSE)</f>
        <v>#N/A</v>
      </c>
      <c r="R800" s="10" t="e">
        <f>VLOOKUP(AJ792,'FRC Site Data'!$B$3:$L$42,2,FALSE)</f>
        <v>#N/A</v>
      </c>
      <c r="S800" s="10" t="e">
        <f>VLOOKUP(AJ792,'FRC Site Data'!$B$3:$L$42,3,FALSE)</f>
        <v>#N/A</v>
      </c>
      <c r="T800" s="10" t="e">
        <f>VLOOKUP(AJ792,'FRC Site Data'!$B$3:$L$42,4,FALSE)</f>
        <v>#N/A</v>
      </c>
      <c r="U800" s="10" t="e">
        <f>VLOOKUP(AJ792,'FRC Site Data'!$B$3:$L$42,5,FALSE)</f>
        <v>#N/A</v>
      </c>
      <c r="V800" s="10" t="e">
        <f>VLOOKUP(AJ792,'FRC Site Data'!$B$3:$L$42,6,FALSE)</f>
        <v>#N/A</v>
      </c>
      <c r="W800" s="10" t="e">
        <f>VLOOKUP(AJ792,'FRC Site Data'!$B$3:$L$42,8,FALSE)</f>
        <v>#N/A</v>
      </c>
      <c r="X800" s="10" t="e">
        <f>VLOOKUP(AJ792,'FRC Site Data'!$B$3:$L$42,9,FALSE)</f>
        <v>#N/A</v>
      </c>
      <c r="Y800" s="10" t="e">
        <f>VLOOKUP(AJ792,'FRC Site Data'!$B$3:$L$42,10,FALSE)</f>
        <v>#N/A</v>
      </c>
      <c r="Z800" s="10" t="e">
        <f>VLOOKUP(AJ792,'FRC Site Data'!$B$3:$L$42,11,FALSE)</f>
        <v>#N/A</v>
      </c>
      <c r="AA800" s="10" t="e">
        <f>VLOOKUP(AJ792,'CIR Team Info'!$C$5:$E$44,4,FALSE)</f>
        <v>#N/A</v>
      </c>
      <c r="AB800" s="161" t="b">
        <f>ISNUMBER(VLOOKUP(AJ792,Match!$T$5:$T$10,1,FALSE))</f>
        <v>0</v>
      </c>
      <c r="AC800" s="161" t="b">
        <f>IF(AB800=TRUE,(VLOOKUP($AJ792,Match!$T$5:$U$10,2,FALSE)))</f>
        <v>0</v>
      </c>
      <c r="AD800" s="8">
        <v>3</v>
      </c>
      <c r="AE800" s="8">
        <v>2</v>
      </c>
      <c r="AF800" s="8">
        <v>2</v>
      </c>
      <c r="AG800" s="8">
        <v>1</v>
      </c>
      <c r="AH800" s="8" t="str">
        <f t="shared" si="209"/>
        <v/>
      </c>
    </row>
    <row r="801" spans="1:34" x14ac:dyDescent="0.25">
      <c r="A801" s="29">
        <f t="shared" si="208"/>
        <v>0</v>
      </c>
      <c r="B801" s="29">
        <f t="shared" si="195"/>
        <v>0</v>
      </c>
      <c r="C801" s="29">
        <f t="shared" si="196"/>
        <v>0</v>
      </c>
      <c r="D801" s="29">
        <f t="shared" si="197"/>
        <v>0</v>
      </c>
      <c r="E801" s="29">
        <f t="shared" si="194"/>
        <v>0</v>
      </c>
      <c r="F801" s="29">
        <f t="shared" si="198"/>
        <v>0</v>
      </c>
      <c r="G801" s="29" t="str">
        <f t="shared" si="199"/>
        <v>offensive</v>
      </c>
      <c r="H801" s="16">
        <f t="shared" si="200"/>
        <v>0</v>
      </c>
      <c r="I801" s="16">
        <f t="shared" si="201"/>
        <v>0</v>
      </c>
      <c r="J801" s="16">
        <f t="shared" si="202"/>
        <v>0</v>
      </c>
      <c r="K801" s="16">
        <f t="shared" si="203"/>
        <v>0</v>
      </c>
      <c r="L801" s="67">
        <f t="shared" si="204"/>
        <v>0</v>
      </c>
      <c r="M801" s="4">
        <f t="shared" si="205"/>
        <v>0</v>
      </c>
      <c r="N801" s="4">
        <f t="shared" si="206"/>
        <v>0</v>
      </c>
      <c r="O801" s="4">
        <f t="shared" si="207"/>
        <v>0</v>
      </c>
      <c r="P801" s="4" t="e">
        <f>VLOOKUP(AJ793,'CIR Team Info'!$C$5:$E$44,2,FALSE)</f>
        <v>#N/A</v>
      </c>
      <c r="Q801" s="4" t="e">
        <f>VLOOKUP(AJ793,'CIR Team Info'!$C$5:$E$44,3,FALSE)</f>
        <v>#N/A</v>
      </c>
      <c r="R801" s="10" t="e">
        <f>VLOOKUP(AJ793,'FRC Site Data'!$B$3:$L$42,2,FALSE)</f>
        <v>#N/A</v>
      </c>
      <c r="S801" s="10" t="e">
        <f>VLOOKUP(AJ793,'FRC Site Data'!$B$3:$L$42,3,FALSE)</f>
        <v>#N/A</v>
      </c>
      <c r="T801" s="10" t="e">
        <f>VLOOKUP(AJ793,'FRC Site Data'!$B$3:$L$42,4,FALSE)</f>
        <v>#N/A</v>
      </c>
      <c r="U801" s="10" t="e">
        <f>VLOOKUP(AJ793,'FRC Site Data'!$B$3:$L$42,5,FALSE)</f>
        <v>#N/A</v>
      </c>
      <c r="V801" s="10" t="e">
        <f>VLOOKUP(AJ793,'FRC Site Data'!$B$3:$L$42,6,FALSE)</f>
        <v>#N/A</v>
      </c>
      <c r="W801" s="10" t="e">
        <f>VLOOKUP(AJ793,'FRC Site Data'!$B$3:$L$42,8,FALSE)</f>
        <v>#N/A</v>
      </c>
      <c r="X801" s="10" t="e">
        <f>VLOOKUP(AJ793,'FRC Site Data'!$B$3:$L$42,9,FALSE)</f>
        <v>#N/A</v>
      </c>
      <c r="Y801" s="10" t="e">
        <f>VLOOKUP(AJ793,'FRC Site Data'!$B$3:$L$42,10,FALSE)</f>
        <v>#N/A</v>
      </c>
      <c r="Z801" s="10" t="e">
        <f>VLOOKUP(AJ793,'FRC Site Data'!$B$3:$L$42,11,FALSE)</f>
        <v>#N/A</v>
      </c>
      <c r="AA801" s="10" t="e">
        <f>VLOOKUP(AJ793,'CIR Team Info'!$C$5:$E$44,4,FALSE)</f>
        <v>#N/A</v>
      </c>
      <c r="AB801" s="161" t="b">
        <f>ISNUMBER(VLOOKUP(AJ793,Match!$T$5:$T$10,1,FALSE))</f>
        <v>0</v>
      </c>
      <c r="AC801" s="161" t="b">
        <f>IF(AB801=TRUE,(VLOOKUP($AJ793,Match!$T$5:$U$10,2,FALSE)))</f>
        <v>0</v>
      </c>
      <c r="AD801" s="8">
        <v>3</v>
      </c>
      <c r="AE801" s="8">
        <v>2</v>
      </c>
      <c r="AF801" s="8">
        <v>2</v>
      </c>
      <c r="AG801" s="8">
        <v>1</v>
      </c>
      <c r="AH801" s="8" t="str">
        <f t="shared" si="209"/>
        <v/>
      </c>
    </row>
    <row r="802" spans="1:34" x14ac:dyDescent="0.25">
      <c r="A802" s="29">
        <f t="shared" si="208"/>
        <v>0</v>
      </c>
      <c r="B802" s="29">
        <f t="shared" si="195"/>
        <v>0</v>
      </c>
      <c r="C802" s="29">
        <f t="shared" si="196"/>
        <v>0</v>
      </c>
      <c r="D802" s="29">
        <f t="shared" si="197"/>
        <v>0</v>
      </c>
      <c r="E802" s="29">
        <f t="shared" si="194"/>
        <v>0</v>
      </c>
      <c r="F802" s="29">
        <f t="shared" si="198"/>
        <v>0</v>
      </c>
      <c r="G802" s="29" t="str">
        <f t="shared" si="199"/>
        <v>offensive</v>
      </c>
      <c r="H802" s="16">
        <f t="shared" si="200"/>
        <v>0</v>
      </c>
      <c r="I802" s="16">
        <f t="shared" si="201"/>
        <v>0</v>
      </c>
      <c r="J802" s="16">
        <f t="shared" si="202"/>
        <v>0</v>
      </c>
      <c r="K802" s="16">
        <f t="shared" si="203"/>
        <v>0</v>
      </c>
      <c r="L802" s="67">
        <f t="shared" si="204"/>
        <v>0</v>
      </c>
      <c r="M802" s="4">
        <f t="shared" si="205"/>
        <v>0</v>
      </c>
      <c r="N802" s="4">
        <f t="shared" si="206"/>
        <v>0</v>
      </c>
      <c r="O802" s="4">
        <f t="shared" si="207"/>
        <v>0</v>
      </c>
      <c r="P802" s="4" t="e">
        <f>VLOOKUP(AJ794,'CIR Team Info'!$C$5:$E$44,2,FALSE)</f>
        <v>#N/A</v>
      </c>
      <c r="Q802" s="4" t="e">
        <f>VLOOKUP(AJ794,'CIR Team Info'!$C$5:$E$44,3,FALSE)</f>
        <v>#N/A</v>
      </c>
      <c r="R802" s="10" t="e">
        <f>VLOOKUP(AJ794,'FRC Site Data'!$B$3:$L$42,2,FALSE)</f>
        <v>#N/A</v>
      </c>
      <c r="S802" s="10" t="e">
        <f>VLOOKUP(AJ794,'FRC Site Data'!$B$3:$L$42,3,FALSE)</f>
        <v>#N/A</v>
      </c>
      <c r="T802" s="10" t="e">
        <f>VLOOKUP(AJ794,'FRC Site Data'!$B$3:$L$42,4,FALSE)</f>
        <v>#N/A</v>
      </c>
      <c r="U802" s="10" t="e">
        <f>VLOOKUP(AJ794,'FRC Site Data'!$B$3:$L$42,5,FALSE)</f>
        <v>#N/A</v>
      </c>
      <c r="V802" s="10" t="e">
        <f>VLOOKUP(AJ794,'FRC Site Data'!$B$3:$L$42,6,FALSE)</f>
        <v>#N/A</v>
      </c>
      <c r="W802" s="10" t="e">
        <f>VLOOKUP(AJ794,'FRC Site Data'!$B$3:$L$42,8,FALSE)</f>
        <v>#N/A</v>
      </c>
      <c r="X802" s="10" t="e">
        <f>VLOOKUP(AJ794,'FRC Site Data'!$B$3:$L$42,9,FALSE)</f>
        <v>#N/A</v>
      </c>
      <c r="Y802" s="10" t="e">
        <f>VLOOKUP(AJ794,'FRC Site Data'!$B$3:$L$42,10,FALSE)</f>
        <v>#N/A</v>
      </c>
      <c r="Z802" s="10" t="e">
        <f>VLOOKUP(AJ794,'FRC Site Data'!$B$3:$L$42,11,FALSE)</f>
        <v>#N/A</v>
      </c>
      <c r="AA802" s="10" t="e">
        <f>VLOOKUP(AJ794,'CIR Team Info'!$C$5:$E$44,4,FALSE)</f>
        <v>#N/A</v>
      </c>
      <c r="AB802" s="161" t="b">
        <f>ISNUMBER(VLOOKUP(AJ794,Match!$T$5:$T$10,1,FALSE))</f>
        <v>0</v>
      </c>
      <c r="AC802" s="161" t="b">
        <f>IF(AB802=TRUE,(VLOOKUP($AJ794,Match!$T$5:$U$10,2,FALSE)))</f>
        <v>0</v>
      </c>
      <c r="AD802" s="8">
        <v>3</v>
      </c>
      <c r="AE802" s="8">
        <v>2</v>
      </c>
      <c r="AF802" s="8">
        <v>2</v>
      </c>
      <c r="AG802" s="8">
        <v>1</v>
      </c>
      <c r="AH802" s="8" t="str">
        <f t="shared" si="209"/>
        <v/>
      </c>
    </row>
    <row r="803" spans="1:34" x14ac:dyDescent="0.25">
      <c r="A803" s="29">
        <f t="shared" si="208"/>
        <v>0</v>
      </c>
      <c r="B803" s="29">
        <f t="shared" si="195"/>
        <v>0</v>
      </c>
      <c r="C803" s="29">
        <f t="shared" si="196"/>
        <v>0</v>
      </c>
      <c r="D803" s="29">
        <f t="shared" si="197"/>
        <v>0</v>
      </c>
      <c r="E803" s="29">
        <f t="shared" si="194"/>
        <v>0</v>
      </c>
      <c r="F803" s="29">
        <f t="shared" si="198"/>
        <v>0</v>
      </c>
      <c r="G803" s="29" t="str">
        <f t="shared" si="199"/>
        <v>offensive</v>
      </c>
      <c r="H803" s="16">
        <f t="shared" si="200"/>
        <v>0</v>
      </c>
      <c r="I803" s="16">
        <f t="shared" si="201"/>
        <v>0</v>
      </c>
      <c r="J803" s="16">
        <f t="shared" si="202"/>
        <v>0</v>
      </c>
      <c r="K803" s="16">
        <f t="shared" si="203"/>
        <v>0</v>
      </c>
      <c r="L803" s="67">
        <f t="shared" si="204"/>
        <v>0</v>
      </c>
      <c r="M803" s="4">
        <f t="shared" si="205"/>
        <v>0</v>
      </c>
      <c r="N803" s="4">
        <f t="shared" si="206"/>
        <v>0</v>
      </c>
      <c r="O803" s="4">
        <f t="shared" si="207"/>
        <v>0</v>
      </c>
      <c r="P803" s="4" t="e">
        <f>VLOOKUP(AJ795,'CIR Team Info'!$C$5:$E$44,2,FALSE)</f>
        <v>#N/A</v>
      </c>
      <c r="Q803" s="4" t="e">
        <f>VLOOKUP(AJ795,'CIR Team Info'!$C$5:$E$44,3,FALSE)</f>
        <v>#N/A</v>
      </c>
      <c r="R803" s="10" t="e">
        <f>VLOOKUP(AJ795,'FRC Site Data'!$B$3:$L$42,2,FALSE)</f>
        <v>#N/A</v>
      </c>
      <c r="S803" s="10" t="e">
        <f>VLOOKUP(AJ795,'FRC Site Data'!$B$3:$L$42,3,FALSE)</f>
        <v>#N/A</v>
      </c>
      <c r="T803" s="10" t="e">
        <f>VLOOKUP(AJ795,'FRC Site Data'!$B$3:$L$42,4,FALSE)</f>
        <v>#N/A</v>
      </c>
      <c r="U803" s="10" t="e">
        <f>VLOOKUP(AJ795,'FRC Site Data'!$B$3:$L$42,5,FALSE)</f>
        <v>#N/A</v>
      </c>
      <c r="V803" s="10" t="e">
        <f>VLOOKUP(AJ795,'FRC Site Data'!$B$3:$L$42,6,FALSE)</f>
        <v>#N/A</v>
      </c>
      <c r="W803" s="10" t="e">
        <f>VLOOKUP(AJ795,'FRC Site Data'!$B$3:$L$42,8,FALSE)</f>
        <v>#N/A</v>
      </c>
      <c r="X803" s="10" t="e">
        <f>VLOOKUP(AJ795,'FRC Site Data'!$B$3:$L$42,9,FALSE)</f>
        <v>#N/A</v>
      </c>
      <c r="Y803" s="10" t="e">
        <f>VLOOKUP(AJ795,'FRC Site Data'!$B$3:$L$42,10,FALSE)</f>
        <v>#N/A</v>
      </c>
      <c r="Z803" s="10" t="e">
        <f>VLOOKUP(AJ795,'FRC Site Data'!$B$3:$L$42,11,FALSE)</f>
        <v>#N/A</v>
      </c>
      <c r="AA803" s="10" t="e">
        <f>VLOOKUP(AJ795,'CIR Team Info'!$C$5:$E$44,4,FALSE)</f>
        <v>#N/A</v>
      </c>
      <c r="AB803" s="161" t="b">
        <f>ISNUMBER(VLOOKUP(AJ795,Match!$T$5:$T$10,1,FALSE))</f>
        <v>0</v>
      </c>
      <c r="AC803" s="161" t="b">
        <f>IF(AB803=TRUE,(VLOOKUP($AJ795,Match!$T$5:$U$10,2,FALSE)))</f>
        <v>0</v>
      </c>
      <c r="AD803" s="8">
        <v>3</v>
      </c>
      <c r="AE803" s="8">
        <v>2</v>
      </c>
      <c r="AF803" s="8">
        <v>2</v>
      </c>
      <c r="AG803" s="8">
        <v>1</v>
      </c>
      <c r="AH803" s="8" t="str">
        <f t="shared" si="209"/>
        <v/>
      </c>
    </row>
    <row r="804" spans="1:34" x14ac:dyDescent="0.25">
      <c r="A804" s="29">
        <f t="shared" si="208"/>
        <v>0</v>
      </c>
      <c r="B804" s="29">
        <f t="shared" si="195"/>
        <v>0</v>
      </c>
      <c r="C804" s="29">
        <f t="shared" si="196"/>
        <v>0</v>
      </c>
      <c r="D804" s="29">
        <f t="shared" si="197"/>
        <v>0</v>
      </c>
      <c r="E804" s="29">
        <f t="shared" si="194"/>
        <v>0</v>
      </c>
      <c r="F804" s="29">
        <f t="shared" si="198"/>
        <v>0</v>
      </c>
      <c r="G804" s="29" t="str">
        <f t="shared" si="199"/>
        <v>offensive</v>
      </c>
      <c r="H804" s="16">
        <f t="shared" si="200"/>
        <v>0</v>
      </c>
      <c r="I804" s="16">
        <f t="shared" si="201"/>
        <v>0</v>
      </c>
      <c r="J804" s="16">
        <f t="shared" si="202"/>
        <v>0</v>
      </c>
      <c r="K804" s="16">
        <f t="shared" si="203"/>
        <v>0</v>
      </c>
      <c r="L804" s="67">
        <f t="shared" si="204"/>
        <v>0</v>
      </c>
      <c r="M804" s="4">
        <f t="shared" si="205"/>
        <v>0</v>
      </c>
      <c r="N804" s="4">
        <f t="shared" si="206"/>
        <v>0</v>
      </c>
      <c r="O804" s="4">
        <f t="shared" si="207"/>
        <v>0</v>
      </c>
      <c r="P804" s="4" t="e">
        <f>VLOOKUP(AJ796,'CIR Team Info'!$C$5:$E$44,2,FALSE)</f>
        <v>#N/A</v>
      </c>
      <c r="Q804" s="4" t="e">
        <f>VLOOKUP(AJ796,'CIR Team Info'!$C$5:$E$44,3,FALSE)</f>
        <v>#N/A</v>
      </c>
      <c r="R804" s="10" t="e">
        <f>VLOOKUP(AJ796,'FRC Site Data'!$B$3:$L$42,2,FALSE)</f>
        <v>#N/A</v>
      </c>
      <c r="S804" s="10" t="e">
        <f>VLOOKUP(AJ796,'FRC Site Data'!$B$3:$L$42,3,FALSE)</f>
        <v>#N/A</v>
      </c>
      <c r="T804" s="10" t="e">
        <f>VLOOKUP(AJ796,'FRC Site Data'!$B$3:$L$42,4,FALSE)</f>
        <v>#N/A</v>
      </c>
      <c r="U804" s="10" t="e">
        <f>VLOOKUP(AJ796,'FRC Site Data'!$B$3:$L$42,5,FALSE)</f>
        <v>#N/A</v>
      </c>
      <c r="V804" s="10" t="e">
        <f>VLOOKUP(AJ796,'FRC Site Data'!$B$3:$L$42,6,FALSE)</f>
        <v>#N/A</v>
      </c>
      <c r="W804" s="10" t="e">
        <f>VLOOKUP(AJ796,'FRC Site Data'!$B$3:$L$42,8,FALSE)</f>
        <v>#N/A</v>
      </c>
      <c r="X804" s="10" t="e">
        <f>VLOOKUP(AJ796,'FRC Site Data'!$B$3:$L$42,9,FALSE)</f>
        <v>#N/A</v>
      </c>
      <c r="Y804" s="10" t="e">
        <f>VLOOKUP(AJ796,'FRC Site Data'!$B$3:$L$42,10,FALSE)</f>
        <v>#N/A</v>
      </c>
      <c r="Z804" s="10" t="e">
        <f>VLOOKUP(AJ796,'FRC Site Data'!$B$3:$L$42,11,FALSE)</f>
        <v>#N/A</v>
      </c>
      <c r="AA804" s="10" t="e">
        <f>VLOOKUP(AJ796,'CIR Team Info'!$C$5:$E$44,4,FALSE)</f>
        <v>#N/A</v>
      </c>
      <c r="AB804" s="161" t="b">
        <f>ISNUMBER(VLOOKUP(AJ796,Match!$T$5:$T$10,1,FALSE))</f>
        <v>0</v>
      </c>
      <c r="AC804" s="161" t="b">
        <f>IF(AB804=TRUE,(VLOOKUP($AJ796,Match!$T$5:$U$10,2,FALSE)))</f>
        <v>0</v>
      </c>
      <c r="AD804" s="8">
        <v>3</v>
      </c>
      <c r="AE804" s="8">
        <v>2</v>
      </c>
      <c r="AF804" s="8">
        <v>2</v>
      </c>
      <c r="AG804" s="8">
        <v>1</v>
      </c>
      <c r="AH804" s="8" t="str">
        <f t="shared" si="209"/>
        <v/>
      </c>
    </row>
    <row r="805" spans="1:34" x14ac:dyDescent="0.25">
      <c r="A805" s="29">
        <f t="shared" si="208"/>
        <v>0</v>
      </c>
      <c r="B805" s="29">
        <f t="shared" si="195"/>
        <v>0</v>
      </c>
      <c r="C805" s="29">
        <f t="shared" si="196"/>
        <v>0</v>
      </c>
      <c r="D805" s="29">
        <f t="shared" si="197"/>
        <v>0</v>
      </c>
      <c r="E805" s="29">
        <f t="shared" si="194"/>
        <v>0</v>
      </c>
      <c r="F805" s="29">
        <f t="shared" si="198"/>
        <v>0</v>
      </c>
      <c r="G805" s="29" t="str">
        <f t="shared" si="199"/>
        <v>offensive</v>
      </c>
      <c r="H805" s="16">
        <f t="shared" si="200"/>
        <v>0</v>
      </c>
      <c r="I805" s="16">
        <f t="shared" si="201"/>
        <v>0</v>
      </c>
      <c r="J805" s="16">
        <f t="shared" si="202"/>
        <v>0</v>
      </c>
      <c r="K805" s="16">
        <f t="shared" si="203"/>
        <v>0</v>
      </c>
      <c r="L805" s="67">
        <f t="shared" si="204"/>
        <v>0</v>
      </c>
      <c r="M805" s="4">
        <f t="shared" si="205"/>
        <v>0</v>
      </c>
      <c r="N805" s="4">
        <f t="shared" si="206"/>
        <v>0</v>
      </c>
      <c r="O805" s="4">
        <f t="shared" si="207"/>
        <v>0</v>
      </c>
      <c r="P805" s="4" t="e">
        <f>VLOOKUP(AJ797,'CIR Team Info'!$C$5:$E$44,2,FALSE)</f>
        <v>#N/A</v>
      </c>
      <c r="Q805" s="4" t="e">
        <f>VLOOKUP(AJ797,'CIR Team Info'!$C$5:$E$44,3,FALSE)</f>
        <v>#N/A</v>
      </c>
      <c r="R805" s="10" t="e">
        <f>VLOOKUP(AJ797,'FRC Site Data'!$B$3:$L$42,2,FALSE)</f>
        <v>#N/A</v>
      </c>
      <c r="S805" s="10" t="e">
        <f>VLOOKUP(AJ797,'FRC Site Data'!$B$3:$L$42,3,FALSE)</f>
        <v>#N/A</v>
      </c>
      <c r="T805" s="10" t="e">
        <f>VLOOKUP(AJ797,'FRC Site Data'!$B$3:$L$42,4,FALSE)</f>
        <v>#N/A</v>
      </c>
      <c r="U805" s="10" t="e">
        <f>VLOOKUP(AJ797,'FRC Site Data'!$B$3:$L$42,5,FALSE)</f>
        <v>#N/A</v>
      </c>
      <c r="V805" s="10" t="e">
        <f>VLOOKUP(AJ797,'FRC Site Data'!$B$3:$L$42,6,FALSE)</f>
        <v>#N/A</v>
      </c>
      <c r="W805" s="10" t="e">
        <f>VLOOKUP(AJ797,'FRC Site Data'!$B$3:$L$42,8,FALSE)</f>
        <v>#N/A</v>
      </c>
      <c r="X805" s="10" t="e">
        <f>VLOOKUP(AJ797,'FRC Site Data'!$B$3:$L$42,9,FALSE)</f>
        <v>#N/A</v>
      </c>
      <c r="Y805" s="10" t="e">
        <f>VLOOKUP(AJ797,'FRC Site Data'!$B$3:$L$42,10,FALSE)</f>
        <v>#N/A</v>
      </c>
      <c r="Z805" s="10" t="e">
        <f>VLOOKUP(AJ797,'FRC Site Data'!$B$3:$L$42,11,FALSE)</f>
        <v>#N/A</v>
      </c>
      <c r="AA805" s="10" t="e">
        <f>VLOOKUP(AJ797,'CIR Team Info'!$C$5:$E$44,4,FALSE)</f>
        <v>#N/A</v>
      </c>
      <c r="AB805" s="161" t="b">
        <f>ISNUMBER(VLOOKUP(AJ797,Match!$T$5:$T$10,1,FALSE))</f>
        <v>0</v>
      </c>
      <c r="AC805" s="161" t="b">
        <f>IF(AB805=TRUE,(VLOOKUP($AJ797,Match!$T$5:$U$10,2,FALSE)))</f>
        <v>0</v>
      </c>
      <c r="AD805" s="8">
        <v>3</v>
      </c>
      <c r="AE805" s="8">
        <v>2</v>
      </c>
      <c r="AF805" s="8">
        <v>2</v>
      </c>
      <c r="AG805" s="8">
        <v>1</v>
      </c>
      <c r="AH805" s="8" t="str">
        <f t="shared" si="209"/>
        <v/>
      </c>
    </row>
    <row r="806" spans="1:34" x14ac:dyDescent="0.25">
      <c r="A806" s="29">
        <f t="shared" si="208"/>
        <v>0</v>
      </c>
      <c r="B806" s="29">
        <f t="shared" si="195"/>
        <v>0</v>
      </c>
      <c r="C806" s="29">
        <f t="shared" si="196"/>
        <v>0</v>
      </c>
      <c r="D806" s="29">
        <f t="shared" si="197"/>
        <v>0</v>
      </c>
      <c r="E806" s="29">
        <f t="shared" si="194"/>
        <v>0</v>
      </c>
      <c r="F806" s="29">
        <f t="shared" si="198"/>
        <v>0</v>
      </c>
      <c r="G806" s="29" t="str">
        <f t="shared" si="199"/>
        <v>offensive</v>
      </c>
      <c r="H806" s="16">
        <f t="shared" si="200"/>
        <v>0</v>
      </c>
      <c r="I806" s="16">
        <f t="shared" si="201"/>
        <v>0</v>
      </c>
      <c r="J806" s="16">
        <f t="shared" si="202"/>
        <v>0</v>
      </c>
      <c r="K806" s="16">
        <f t="shared" si="203"/>
        <v>0</v>
      </c>
      <c r="L806" s="67">
        <f t="shared" si="204"/>
        <v>0</v>
      </c>
      <c r="M806" s="4">
        <f t="shared" si="205"/>
        <v>0</v>
      </c>
      <c r="N806" s="4">
        <f t="shared" si="206"/>
        <v>0</v>
      </c>
      <c r="O806" s="4">
        <f t="shared" si="207"/>
        <v>0</v>
      </c>
      <c r="P806" s="4" t="e">
        <f>VLOOKUP(AJ798,'CIR Team Info'!$C$5:$E$44,2,FALSE)</f>
        <v>#N/A</v>
      </c>
      <c r="Q806" s="4" t="e">
        <f>VLOOKUP(AJ798,'CIR Team Info'!$C$5:$E$44,3,FALSE)</f>
        <v>#N/A</v>
      </c>
      <c r="R806" s="10" t="e">
        <f>VLOOKUP(AJ798,'FRC Site Data'!$B$3:$L$42,2,FALSE)</f>
        <v>#N/A</v>
      </c>
      <c r="S806" s="10" t="e">
        <f>VLOOKUP(AJ798,'FRC Site Data'!$B$3:$L$42,3,FALSE)</f>
        <v>#N/A</v>
      </c>
      <c r="T806" s="10" t="e">
        <f>VLOOKUP(AJ798,'FRC Site Data'!$B$3:$L$42,4,FALSE)</f>
        <v>#N/A</v>
      </c>
      <c r="U806" s="10" t="e">
        <f>VLOOKUP(AJ798,'FRC Site Data'!$B$3:$L$42,5,FALSE)</f>
        <v>#N/A</v>
      </c>
      <c r="V806" s="10" t="e">
        <f>VLOOKUP(AJ798,'FRC Site Data'!$B$3:$L$42,6,FALSE)</f>
        <v>#N/A</v>
      </c>
      <c r="W806" s="10" t="e">
        <f>VLOOKUP(AJ798,'FRC Site Data'!$B$3:$L$42,8,FALSE)</f>
        <v>#N/A</v>
      </c>
      <c r="X806" s="10" t="e">
        <f>VLOOKUP(AJ798,'FRC Site Data'!$B$3:$L$42,9,FALSE)</f>
        <v>#N/A</v>
      </c>
      <c r="Y806" s="10" t="e">
        <f>VLOOKUP(AJ798,'FRC Site Data'!$B$3:$L$42,10,FALSE)</f>
        <v>#N/A</v>
      </c>
      <c r="Z806" s="10" t="e">
        <f>VLOOKUP(AJ798,'FRC Site Data'!$B$3:$L$42,11,FALSE)</f>
        <v>#N/A</v>
      </c>
      <c r="AA806" s="10" t="e">
        <f>VLOOKUP(AJ798,'CIR Team Info'!$C$5:$E$44,4,FALSE)</f>
        <v>#N/A</v>
      </c>
      <c r="AB806" s="161" t="b">
        <f>ISNUMBER(VLOOKUP(AJ798,Match!$T$5:$T$10,1,FALSE))</f>
        <v>0</v>
      </c>
      <c r="AC806" s="161" t="b">
        <f>IF(AB806=TRUE,(VLOOKUP($AJ798,Match!$T$5:$U$10,2,FALSE)))</f>
        <v>0</v>
      </c>
      <c r="AD806" s="8">
        <v>3</v>
      </c>
      <c r="AE806" s="8">
        <v>2</v>
      </c>
      <c r="AF806" s="8">
        <v>2</v>
      </c>
      <c r="AG806" s="8">
        <v>1</v>
      </c>
      <c r="AH806" s="8" t="str">
        <f t="shared" si="209"/>
        <v/>
      </c>
    </row>
    <row r="807" spans="1:34" x14ac:dyDescent="0.25">
      <c r="A807" s="29">
        <f t="shared" si="208"/>
        <v>0</v>
      </c>
      <c r="B807" s="29">
        <f t="shared" si="195"/>
        <v>0</v>
      </c>
      <c r="C807" s="29">
        <f t="shared" si="196"/>
        <v>0</v>
      </c>
      <c r="D807" s="29">
        <f t="shared" si="197"/>
        <v>0</v>
      </c>
      <c r="E807" s="29">
        <f t="shared" si="194"/>
        <v>0</v>
      </c>
      <c r="F807" s="29">
        <f t="shared" si="198"/>
        <v>0</v>
      </c>
      <c r="G807" s="29" t="str">
        <f t="shared" si="199"/>
        <v>offensive</v>
      </c>
      <c r="H807" s="16">
        <f t="shared" si="200"/>
        <v>0</v>
      </c>
      <c r="I807" s="16">
        <f t="shared" si="201"/>
        <v>0</v>
      </c>
      <c r="J807" s="16">
        <f t="shared" si="202"/>
        <v>0</v>
      </c>
      <c r="K807" s="16">
        <f t="shared" si="203"/>
        <v>0</v>
      </c>
      <c r="L807" s="67">
        <f t="shared" si="204"/>
        <v>0</v>
      </c>
      <c r="M807" s="4">
        <f t="shared" si="205"/>
        <v>0</v>
      </c>
      <c r="N807" s="4">
        <f t="shared" si="206"/>
        <v>0</v>
      </c>
      <c r="O807" s="4">
        <f t="shared" si="207"/>
        <v>0</v>
      </c>
      <c r="P807" s="4" t="e">
        <f>VLOOKUP(AJ799,'CIR Team Info'!$C$5:$E$44,2,FALSE)</f>
        <v>#N/A</v>
      </c>
      <c r="Q807" s="4" t="e">
        <f>VLOOKUP(AJ799,'CIR Team Info'!$C$5:$E$44,3,FALSE)</f>
        <v>#N/A</v>
      </c>
      <c r="R807" s="10" t="e">
        <f>VLOOKUP(AJ799,'FRC Site Data'!$B$3:$L$42,2,FALSE)</f>
        <v>#N/A</v>
      </c>
      <c r="S807" s="10" t="e">
        <f>VLOOKUP(AJ799,'FRC Site Data'!$B$3:$L$42,3,FALSE)</f>
        <v>#N/A</v>
      </c>
      <c r="T807" s="10" t="e">
        <f>VLOOKUP(AJ799,'FRC Site Data'!$B$3:$L$42,4,FALSE)</f>
        <v>#N/A</v>
      </c>
      <c r="U807" s="10" t="e">
        <f>VLOOKUP(AJ799,'FRC Site Data'!$B$3:$L$42,5,FALSE)</f>
        <v>#N/A</v>
      </c>
      <c r="V807" s="10" t="e">
        <f>VLOOKUP(AJ799,'FRC Site Data'!$B$3:$L$42,6,FALSE)</f>
        <v>#N/A</v>
      </c>
      <c r="W807" s="10" t="e">
        <f>VLOOKUP(AJ799,'FRC Site Data'!$B$3:$L$42,8,FALSE)</f>
        <v>#N/A</v>
      </c>
      <c r="X807" s="10" t="e">
        <f>VLOOKUP(AJ799,'FRC Site Data'!$B$3:$L$42,9,FALSE)</f>
        <v>#N/A</v>
      </c>
      <c r="Y807" s="10" t="e">
        <f>VLOOKUP(AJ799,'FRC Site Data'!$B$3:$L$42,10,FALSE)</f>
        <v>#N/A</v>
      </c>
      <c r="Z807" s="10" t="e">
        <f>VLOOKUP(AJ799,'FRC Site Data'!$B$3:$L$42,11,FALSE)</f>
        <v>#N/A</v>
      </c>
      <c r="AA807" s="10" t="e">
        <f>VLOOKUP(AJ799,'CIR Team Info'!$C$5:$E$44,4,FALSE)</f>
        <v>#N/A</v>
      </c>
      <c r="AB807" s="161" t="b">
        <f>ISNUMBER(VLOOKUP(AJ799,Match!$T$5:$T$10,1,FALSE))</f>
        <v>0</v>
      </c>
      <c r="AC807" s="161" t="b">
        <f>IF(AB807=TRUE,(VLOOKUP($AJ799,Match!$T$5:$U$10,2,FALSE)))</f>
        <v>0</v>
      </c>
      <c r="AD807" s="8">
        <v>3</v>
      </c>
      <c r="AE807" s="8">
        <v>2</v>
      </c>
      <c r="AF807" s="8">
        <v>2</v>
      </c>
      <c r="AG807" s="8">
        <v>1</v>
      </c>
      <c r="AH807" s="8" t="str">
        <f t="shared" si="209"/>
        <v/>
      </c>
    </row>
    <row r="808" spans="1:34" x14ac:dyDescent="0.25">
      <c r="A808" s="29">
        <f t="shared" si="208"/>
        <v>0</v>
      </c>
      <c r="B808" s="29">
        <f t="shared" si="195"/>
        <v>0</v>
      </c>
      <c r="C808" s="29">
        <f t="shared" si="196"/>
        <v>0</v>
      </c>
      <c r="D808" s="29">
        <f t="shared" si="197"/>
        <v>0</v>
      </c>
      <c r="E808" s="29">
        <f t="shared" si="194"/>
        <v>0</v>
      </c>
      <c r="F808" s="29">
        <f t="shared" si="198"/>
        <v>0</v>
      </c>
      <c r="G808" s="29" t="str">
        <f t="shared" si="199"/>
        <v>offensive</v>
      </c>
      <c r="H808" s="16">
        <f t="shared" si="200"/>
        <v>0</v>
      </c>
      <c r="I808" s="16">
        <f t="shared" si="201"/>
        <v>0</v>
      </c>
      <c r="J808" s="16">
        <f t="shared" si="202"/>
        <v>0</v>
      </c>
      <c r="K808" s="16">
        <f t="shared" si="203"/>
        <v>0</v>
      </c>
      <c r="L808" s="67">
        <f t="shared" si="204"/>
        <v>0</v>
      </c>
      <c r="M808" s="4">
        <f t="shared" si="205"/>
        <v>0</v>
      </c>
      <c r="N808" s="4">
        <f t="shared" si="206"/>
        <v>0</v>
      </c>
      <c r="O808" s="4">
        <f t="shared" si="207"/>
        <v>0</v>
      </c>
      <c r="P808" s="4" t="e">
        <f>VLOOKUP(AJ800,'CIR Team Info'!$C$5:$E$44,2,FALSE)</f>
        <v>#N/A</v>
      </c>
      <c r="Q808" s="4" t="e">
        <f>VLOOKUP(AJ800,'CIR Team Info'!$C$5:$E$44,3,FALSE)</f>
        <v>#N/A</v>
      </c>
      <c r="R808" s="10" t="e">
        <f>VLOOKUP(AJ800,'FRC Site Data'!$B$3:$L$42,2,FALSE)</f>
        <v>#N/A</v>
      </c>
      <c r="S808" s="10" t="e">
        <f>VLOOKUP(AJ800,'FRC Site Data'!$B$3:$L$42,3,FALSE)</f>
        <v>#N/A</v>
      </c>
      <c r="T808" s="10" t="e">
        <f>VLOOKUP(AJ800,'FRC Site Data'!$B$3:$L$42,4,FALSE)</f>
        <v>#N/A</v>
      </c>
      <c r="U808" s="10" t="e">
        <f>VLOOKUP(AJ800,'FRC Site Data'!$B$3:$L$42,5,FALSE)</f>
        <v>#N/A</v>
      </c>
      <c r="V808" s="10" t="e">
        <f>VLOOKUP(AJ800,'FRC Site Data'!$B$3:$L$42,6,FALSE)</f>
        <v>#N/A</v>
      </c>
      <c r="W808" s="10" t="e">
        <f>VLOOKUP(AJ800,'FRC Site Data'!$B$3:$L$42,8,FALSE)</f>
        <v>#N/A</v>
      </c>
      <c r="X808" s="10" t="e">
        <f>VLOOKUP(AJ800,'FRC Site Data'!$B$3:$L$42,9,FALSE)</f>
        <v>#N/A</v>
      </c>
      <c r="Y808" s="10" t="e">
        <f>VLOOKUP(AJ800,'FRC Site Data'!$B$3:$L$42,10,FALSE)</f>
        <v>#N/A</v>
      </c>
      <c r="Z808" s="10" t="e">
        <f>VLOOKUP(AJ800,'FRC Site Data'!$B$3:$L$42,11,FALSE)</f>
        <v>#N/A</v>
      </c>
      <c r="AA808" s="10" t="e">
        <f>VLOOKUP(AJ800,'CIR Team Info'!$C$5:$E$44,4,FALSE)</f>
        <v>#N/A</v>
      </c>
      <c r="AB808" s="161" t="b">
        <f>ISNUMBER(VLOOKUP(AJ800,Match!$T$5:$T$10,1,FALSE))</f>
        <v>0</v>
      </c>
      <c r="AC808" s="161" t="b">
        <f>IF(AB808=TRUE,(VLOOKUP($AJ800,Match!$T$5:$U$10,2,FALSE)))</f>
        <v>0</v>
      </c>
      <c r="AD808" s="8">
        <v>3</v>
      </c>
      <c r="AE808" s="8">
        <v>2</v>
      </c>
      <c r="AF808" s="8">
        <v>2</v>
      </c>
      <c r="AG808" s="8">
        <v>1</v>
      </c>
      <c r="AH808" s="8" t="str">
        <f t="shared" si="209"/>
        <v/>
      </c>
    </row>
    <row r="809" spans="1:34" x14ac:dyDescent="0.25">
      <c r="A809" s="29">
        <f t="shared" si="208"/>
        <v>0</v>
      </c>
      <c r="B809" s="29">
        <f t="shared" si="195"/>
        <v>0</v>
      </c>
      <c r="C809" s="29">
        <f t="shared" si="196"/>
        <v>0</v>
      </c>
      <c r="D809" s="29">
        <f t="shared" si="197"/>
        <v>0</v>
      </c>
      <c r="E809" s="29">
        <f t="shared" si="194"/>
        <v>0</v>
      </c>
      <c r="F809" s="29">
        <f t="shared" si="198"/>
        <v>0</v>
      </c>
      <c r="G809" s="29" t="str">
        <f t="shared" si="199"/>
        <v>offensive</v>
      </c>
      <c r="H809" s="16">
        <f t="shared" si="200"/>
        <v>0</v>
      </c>
      <c r="I809" s="16">
        <f t="shared" si="201"/>
        <v>0</v>
      </c>
      <c r="J809" s="16">
        <f t="shared" si="202"/>
        <v>0</v>
      </c>
      <c r="K809" s="16">
        <f t="shared" si="203"/>
        <v>0</v>
      </c>
      <c r="L809" s="67">
        <f t="shared" si="204"/>
        <v>0</v>
      </c>
      <c r="M809" s="4">
        <f t="shared" si="205"/>
        <v>0</v>
      </c>
      <c r="N809" s="4">
        <f t="shared" si="206"/>
        <v>0</v>
      </c>
      <c r="O809" s="4">
        <f t="shared" si="207"/>
        <v>0</v>
      </c>
      <c r="P809" s="4" t="e">
        <f>VLOOKUP(AJ801,'CIR Team Info'!$C$5:$E$44,2,FALSE)</f>
        <v>#N/A</v>
      </c>
      <c r="Q809" s="4" t="e">
        <f>VLOOKUP(AJ801,'CIR Team Info'!$C$5:$E$44,3,FALSE)</f>
        <v>#N/A</v>
      </c>
      <c r="R809" s="10" t="e">
        <f>VLOOKUP(AJ801,'FRC Site Data'!$B$3:$L$42,2,FALSE)</f>
        <v>#N/A</v>
      </c>
      <c r="S809" s="10" t="e">
        <f>VLOOKUP(AJ801,'FRC Site Data'!$B$3:$L$42,3,FALSE)</f>
        <v>#N/A</v>
      </c>
      <c r="T809" s="10" t="e">
        <f>VLOOKUP(AJ801,'FRC Site Data'!$B$3:$L$42,4,FALSE)</f>
        <v>#N/A</v>
      </c>
      <c r="U809" s="10" t="e">
        <f>VLOOKUP(AJ801,'FRC Site Data'!$B$3:$L$42,5,FALSE)</f>
        <v>#N/A</v>
      </c>
      <c r="V809" s="10" t="e">
        <f>VLOOKUP(AJ801,'FRC Site Data'!$B$3:$L$42,6,FALSE)</f>
        <v>#N/A</v>
      </c>
      <c r="W809" s="10" t="e">
        <f>VLOOKUP(AJ801,'FRC Site Data'!$B$3:$L$42,8,FALSE)</f>
        <v>#N/A</v>
      </c>
      <c r="X809" s="10" t="e">
        <f>VLOOKUP(AJ801,'FRC Site Data'!$B$3:$L$42,9,FALSE)</f>
        <v>#N/A</v>
      </c>
      <c r="Y809" s="10" t="e">
        <f>VLOOKUP(AJ801,'FRC Site Data'!$B$3:$L$42,10,FALSE)</f>
        <v>#N/A</v>
      </c>
      <c r="Z809" s="10" t="e">
        <f>VLOOKUP(AJ801,'FRC Site Data'!$B$3:$L$42,11,FALSE)</f>
        <v>#N/A</v>
      </c>
      <c r="AA809" s="10" t="e">
        <f>VLOOKUP(AJ801,'CIR Team Info'!$C$5:$E$44,4,FALSE)</f>
        <v>#N/A</v>
      </c>
      <c r="AB809" s="161" t="b">
        <f>ISNUMBER(VLOOKUP(AJ801,Match!$T$5:$T$10,1,FALSE))</f>
        <v>0</v>
      </c>
      <c r="AC809" s="161" t="b">
        <f>IF(AB809=TRUE,(VLOOKUP($AJ801,Match!$T$5:$U$10,2,FALSE)))</f>
        <v>0</v>
      </c>
      <c r="AD809" s="8">
        <v>3</v>
      </c>
      <c r="AE809" s="8">
        <v>2</v>
      </c>
      <c r="AF809" s="8">
        <v>2</v>
      </c>
      <c r="AG809" s="8">
        <v>1</v>
      </c>
      <c r="AH809" s="8" t="str">
        <f t="shared" si="209"/>
        <v/>
      </c>
    </row>
    <row r="810" spans="1:34" x14ac:dyDescent="0.25">
      <c r="A810" s="29">
        <f t="shared" si="208"/>
        <v>0</v>
      </c>
      <c r="B810" s="29">
        <f t="shared" si="195"/>
        <v>0</v>
      </c>
      <c r="C810" s="29">
        <f t="shared" si="196"/>
        <v>0</v>
      </c>
      <c r="D810" s="29">
        <f t="shared" si="197"/>
        <v>0</v>
      </c>
      <c r="E810" s="29">
        <f t="shared" si="194"/>
        <v>0</v>
      </c>
      <c r="F810" s="29">
        <f t="shared" si="198"/>
        <v>0</v>
      </c>
      <c r="G810" s="29" t="str">
        <f t="shared" si="199"/>
        <v>offensive</v>
      </c>
      <c r="H810" s="16">
        <f t="shared" si="200"/>
        <v>0</v>
      </c>
      <c r="I810" s="16">
        <f t="shared" si="201"/>
        <v>0</v>
      </c>
      <c r="J810" s="16">
        <f t="shared" si="202"/>
        <v>0</v>
      </c>
      <c r="K810" s="16">
        <f t="shared" si="203"/>
        <v>0</v>
      </c>
      <c r="L810" s="67">
        <f t="shared" si="204"/>
        <v>0</v>
      </c>
      <c r="M810" s="4">
        <f t="shared" si="205"/>
        <v>0</v>
      </c>
      <c r="N810" s="4">
        <f t="shared" si="206"/>
        <v>0</v>
      </c>
      <c r="O810" s="4">
        <f t="shared" si="207"/>
        <v>0</v>
      </c>
      <c r="P810" s="4" t="e">
        <f>VLOOKUP(AJ802,'CIR Team Info'!$C$5:$E$44,2,FALSE)</f>
        <v>#N/A</v>
      </c>
      <c r="Q810" s="4" t="e">
        <f>VLOOKUP(AJ802,'CIR Team Info'!$C$5:$E$44,3,FALSE)</f>
        <v>#N/A</v>
      </c>
      <c r="R810" s="10" t="e">
        <f>VLOOKUP(AJ802,'FRC Site Data'!$B$3:$L$42,2,FALSE)</f>
        <v>#N/A</v>
      </c>
      <c r="S810" s="10" t="e">
        <f>VLOOKUP(AJ802,'FRC Site Data'!$B$3:$L$42,3,FALSE)</f>
        <v>#N/A</v>
      </c>
      <c r="T810" s="10" t="e">
        <f>VLOOKUP(AJ802,'FRC Site Data'!$B$3:$L$42,4,FALSE)</f>
        <v>#N/A</v>
      </c>
      <c r="U810" s="10" t="e">
        <f>VLOOKUP(AJ802,'FRC Site Data'!$B$3:$L$42,5,FALSE)</f>
        <v>#N/A</v>
      </c>
      <c r="V810" s="10" t="e">
        <f>VLOOKUP(AJ802,'FRC Site Data'!$B$3:$L$42,6,FALSE)</f>
        <v>#N/A</v>
      </c>
      <c r="W810" s="10" t="e">
        <f>VLOOKUP(AJ802,'FRC Site Data'!$B$3:$L$42,8,FALSE)</f>
        <v>#N/A</v>
      </c>
      <c r="X810" s="10" t="e">
        <f>VLOOKUP(AJ802,'FRC Site Data'!$B$3:$L$42,9,FALSE)</f>
        <v>#N/A</v>
      </c>
      <c r="Y810" s="10" t="e">
        <f>VLOOKUP(AJ802,'FRC Site Data'!$B$3:$L$42,10,FALSE)</f>
        <v>#N/A</v>
      </c>
      <c r="Z810" s="10" t="e">
        <f>VLOOKUP(AJ802,'FRC Site Data'!$B$3:$L$42,11,FALSE)</f>
        <v>#N/A</v>
      </c>
      <c r="AA810" s="10" t="e">
        <f>VLOOKUP(AJ802,'CIR Team Info'!$C$5:$E$44,4,FALSE)</f>
        <v>#N/A</v>
      </c>
      <c r="AB810" s="161" t="b">
        <f>ISNUMBER(VLOOKUP(AJ802,Match!$T$5:$T$10,1,FALSE))</f>
        <v>0</v>
      </c>
      <c r="AC810" s="161" t="b">
        <f>IF(AB810=TRUE,(VLOOKUP($AJ802,Match!$T$5:$U$10,2,FALSE)))</f>
        <v>0</v>
      </c>
      <c r="AD810" s="8">
        <v>3</v>
      </c>
      <c r="AE810" s="8">
        <v>2</v>
      </c>
      <c r="AF810" s="8">
        <v>2</v>
      </c>
      <c r="AG810" s="8">
        <v>1</v>
      </c>
      <c r="AH810" s="8" t="str">
        <f t="shared" si="209"/>
        <v/>
      </c>
    </row>
    <row r="811" spans="1:34" x14ac:dyDescent="0.25">
      <c r="A811" s="29">
        <f t="shared" si="208"/>
        <v>0</v>
      </c>
      <c r="B811" s="29">
        <f t="shared" si="195"/>
        <v>0</v>
      </c>
      <c r="C811" s="29">
        <f t="shared" si="196"/>
        <v>0</v>
      </c>
      <c r="D811" s="29">
        <f t="shared" si="197"/>
        <v>0</v>
      </c>
      <c r="E811" s="29">
        <f t="shared" si="194"/>
        <v>0</v>
      </c>
      <c r="F811" s="29">
        <f t="shared" si="198"/>
        <v>0</v>
      </c>
      <c r="G811" s="29" t="str">
        <f t="shared" si="199"/>
        <v>offensive</v>
      </c>
      <c r="H811" s="16">
        <f t="shared" si="200"/>
        <v>0</v>
      </c>
      <c r="I811" s="16">
        <f t="shared" si="201"/>
        <v>0</v>
      </c>
      <c r="J811" s="16">
        <f t="shared" si="202"/>
        <v>0</v>
      </c>
      <c r="K811" s="16">
        <f t="shared" si="203"/>
        <v>0</v>
      </c>
      <c r="L811" s="67">
        <f t="shared" si="204"/>
        <v>0</v>
      </c>
      <c r="M811" s="4">
        <f t="shared" si="205"/>
        <v>0</v>
      </c>
      <c r="N811" s="4">
        <f t="shared" si="206"/>
        <v>0</v>
      </c>
      <c r="O811" s="4">
        <f t="shared" si="207"/>
        <v>0</v>
      </c>
      <c r="P811" s="4" t="e">
        <f>VLOOKUP(AJ803,'CIR Team Info'!$C$5:$E$44,2,FALSE)</f>
        <v>#N/A</v>
      </c>
      <c r="Q811" s="4" t="e">
        <f>VLOOKUP(AJ803,'CIR Team Info'!$C$5:$E$44,3,FALSE)</f>
        <v>#N/A</v>
      </c>
      <c r="R811" s="10" t="e">
        <f>VLOOKUP(AJ803,'FRC Site Data'!$B$3:$L$42,2,FALSE)</f>
        <v>#N/A</v>
      </c>
      <c r="S811" s="10" t="e">
        <f>VLOOKUP(AJ803,'FRC Site Data'!$B$3:$L$42,3,FALSE)</f>
        <v>#N/A</v>
      </c>
      <c r="T811" s="10" t="e">
        <f>VLOOKUP(AJ803,'FRC Site Data'!$B$3:$L$42,4,FALSE)</f>
        <v>#N/A</v>
      </c>
      <c r="U811" s="10" t="e">
        <f>VLOOKUP(AJ803,'FRC Site Data'!$B$3:$L$42,5,FALSE)</f>
        <v>#N/A</v>
      </c>
      <c r="V811" s="10" t="e">
        <f>VLOOKUP(AJ803,'FRC Site Data'!$B$3:$L$42,6,FALSE)</f>
        <v>#N/A</v>
      </c>
      <c r="W811" s="10" t="e">
        <f>VLOOKUP(AJ803,'FRC Site Data'!$B$3:$L$42,8,FALSE)</f>
        <v>#N/A</v>
      </c>
      <c r="X811" s="10" t="e">
        <f>VLOOKUP(AJ803,'FRC Site Data'!$B$3:$L$42,9,FALSE)</f>
        <v>#N/A</v>
      </c>
      <c r="Y811" s="10" t="e">
        <f>VLOOKUP(AJ803,'FRC Site Data'!$B$3:$L$42,10,FALSE)</f>
        <v>#N/A</v>
      </c>
      <c r="Z811" s="10" t="e">
        <f>VLOOKUP(AJ803,'FRC Site Data'!$B$3:$L$42,11,FALSE)</f>
        <v>#N/A</v>
      </c>
      <c r="AA811" s="10" t="e">
        <f>VLOOKUP(AJ803,'CIR Team Info'!$C$5:$E$44,4,FALSE)</f>
        <v>#N/A</v>
      </c>
      <c r="AB811" s="161" t="b">
        <f>ISNUMBER(VLOOKUP(AJ803,Match!$T$5:$T$10,1,FALSE))</f>
        <v>0</v>
      </c>
      <c r="AC811" s="161" t="b">
        <f>IF(AB811=TRUE,(VLOOKUP($AJ803,Match!$T$5:$U$10,2,FALSE)))</f>
        <v>0</v>
      </c>
      <c r="AD811" s="8">
        <v>3</v>
      </c>
      <c r="AE811" s="8">
        <v>2</v>
      </c>
      <c r="AF811" s="8">
        <v>2</v>
      </c>
      <c r="AG811" s="8">
        <v>1</v>
      </c>
      <c r="AH811" s="8" t="str">
        <f t="shared" si="209"/>
        <v/>
      </c>
    </row>
    <row r="812" spans="1:34" x14ac:dyDescent="0.25">
      <c r="A812" s="29">
        <f t="shared" si="208"/>
        <v>0</v>
      </c>
      <c r="B812" s="29">
        <f t="shared" si="195"/>
        <v>0</v>
      </c>
      <c r="C812" s="29">
        <f t="shared" si="196"/>
        <v>0</v>
      </c>
      <c r="D812" s="29">
        <f t="shared" si="197"/>
        <v>0</v>
      </c>
      <c r="E812" s="29">
        <f t="shared" si="194"/>
        <v>0</v>
      </c>
      <c r="F812" s="29">
        <f t="shared" si="198"/>
        <v>0</v>
      </c>
      <c r="G812" s="29" t="str">
        <f t="shared" si="199"/>
        <v>offensive</v>
      </c>
      <c r="H812" s="16">
        <f t="shared" si="200"/>
        <v>0</v>
      </c>
      <c r="I812" s="16">
        <f t="shared" si="201"/>
        <v>0</v>
      </c>
      <c r="J812" s="16">
        <f t="shared" si="202"/>
        <v>0</v>
      </c>
      <c r="K812" s="16">
        <f t="shared" si="203"/>
        <v>0</v>
      </c>
      <c r="L812" s="67">
        <f t="shared" si="204"/>
        <v>0</v>
      </c>
      <c r="M812" s="4">
        <f t="shared" si="205"/>
        <v>0</v>
      </c>
      <c r="N812" s="4">
        <f t="shared" si="206"/>
        <v>0</v>
      </c>
      <c r="O812" s="4">
        <f t="shared" si="207"/>
        <v>0</v>
      </c>
      <c r="P812" s="4" t="e">
        <f>VLOOKUP(AJ804,'CIR Team Info'!$C$5:$E$44,2,FALSE)</f>
        <v>#N/A</v>
      </c>
      <c r="Q812" s="4" t="e">
        <f>VLOOKUP(AJ804,'CIR Team Info'!$C$5:$E$44,3,FALSE)</f>
        <v>#N/A</v>
      </c>
      <c r="R812" s="10" t="e">
        <f>VLOOKUP(AJ804,'FRC Site Data'!$B$3:$L$42,2,FALSE)</f>
        <v>#N/A</v>
      </c>
      <c r="S812" s="10" t="e">
        <f>VLOOKUP(AJ804,'FRC Site Data'!$B$3:$L$42,3,FALSE)</f>
        <v>#N/A</v>
      </c>
      <c r="T812" s="10" t="e">
        <f>VLOOKUP(AJ804,'FRC Site Data'!$B$3:$L$42,4,FALSE)</f>
        <v>#N/A</v>
      </c>
      <c r="U812" s="10" t="e">
        <f>VLOOKUP(AJ804,'FRC Site Data'!$B$3:$L$42,5,FALSE)</f>
        <v>#N/A</v>
      </c>
      <c r="V812" s="10" t="e">
        <f>VLOOKUP(AJ804,'FRC Site Data'!$B$3:$L$42,6,FALSE)</f>
        <v>#N/A</v>
      </c>
      <c r="W812" s="10" t="e">
        <f>VLOOKUP(AJ804,'FRC Site Data'!$B$3:$L$42,8,FALSE)</f>
        <v>#N/A</v>
      </c>
      <c r="X812" s="10" t="e">
        <f>VLOOKUP(AJ804,'FRC Site Data'!$B$3:$L$42,9,FALSE)</f>
        <v>#N/A</v>
      </c>
      <c r="Y812" s="10" t="e">
        <f>VLOOKUP(AJ804,'FRC Site Data'!$B$3:$L$42,10,FALSE)</f>
        <v>#N/A</v>
      </c>
      <c r="Z812" s="10" t="e">
        <f>VLOOKUP(AJ804,'FRC Site Data'!$B$3:$L$42,11,FALSE)</f>
        <v>#N/A</v>
      </c>
      <c r="AA812" s="10" t="e">
        <f>VLOOKUP(AJ804,'CIR Team Info'!$C$5:$E$44,4,FALSE)</f>
        <v>#N/A</v>
      </c>
      <c r="AB812" s="161" t="b">
        <f>ISNUMBER(VLOOKUP(AJ804,Match!$T$5:$T$10,1,FALSE))</f>
        <v>0</v>
      </c>
      <c r="AC812" s="161" t="b">
        <f>IF(AB812=TRUE,(VLOOKUP($AJ804,Match!$T$5:$U$10,2,FALSE)))</f>
        <v>0</v>
      </c>
      <c r="AD812" s="8">
        <v>3</v>
      </c>
      <c r="AE812" s="8">
        <v>2</v>
      </c>
      <c r="AF812" s="8">
        <v>2</v>
      </c>
      <c r="AG812" s="8">
        <v>1</v>
      </c>
      <c r="AH812" s="8" t="str">
        <f t="shared" si="209"/>
        <v/>
      </c>
    </row>
    <row r="813" spans="1:34" x14ac:dyDescent="0.25">
      <c r="A813" s="29">
        <f t="shared" si="208"/>
        <v>0</v>
      </c>
      <c r="B813" s="29">
        <f t="shared" si="195"/>
        <v>0</v>
      </c>
      <c r="C813" s="29">
        <f t="shared" si="196"/>
        <v>0</v>
      </c>
      <c r="D813" s="29">
        <f t="shared" si="197"/>
        <v>0</v>
      </c>
      <c r="E813" s="29">
        <f t="shared" si="194"/>
        <v>0</v>
      </c>
      <c r="F813" s="29">
        <f t="shared" si="198"/>
        <v>0</v>
      </c>
      <c r="G813" s="29" t="str">
        <f t="shared" si="199"/>
        <v>offensive</v>
      </c>
      <c r="H813" s="16">
        <f t="shared" si="200"/>
        <v>0</v>
      </c>
      <c r="I813" s="16">
        <f t="shared" si="201"/>
        <v>0</v>
      </c>
      <c r="J813" s="16">
        <f t="shared" si="202"/>
        <v>0</v>
      </c>
      <c r="K813" s="16">
        <f t="shared" si="203"/>
        <v>0</v>
      </c>
      <c r="L813" s="67">
        <f t="shared" si="204"/>
        <v>0</v>
      </c>
      <c r="M813" s="4">
        <f t="shared" si="205"/>
        <v>0</v>
      </c>
      <c r="N813" s="4">
        <f t="shared" si="206"/>
        <v>0</v>
      </c>
      <c r="O813" s="4">
        <f t="shared" si="207"/>
        <v>0</v>
      </c>
      <c r="P813" s="4" t="e">
        <f>VLOOKUP(AJ805,'CIR Team Info'!$C$5:$E$44,2,FALSE)</f>
        <v>#N/A</v>
      </c>
      <c r="Q813" s="4" t="e">
        <f>VLOOKUP(AJ805,'CIR Team Info'!$C$5:$E$44,3,FALSE)</f>
        <v>#N/A</v>
      </c>
      <c r="R813" s="10" t="e">
        <f>VLOOKUP(AJ805,'FRC Site Data'!$B$3:$L$42,2,FALSE)</f>
        <v>#N/A</v>
      </c>
      <c r="S813" s="10" t="e">
        <f>VLOOKUP(AJ805,'FRC Site Data'!$B$3:$L$42,3,FALSE)</f>
        <v>#N/A</v>
      </c>
      <c r="T813" s="10" t="e">
        <f>VLOOKUP(AJ805,'FRC Site Data'!$B$3:$L$42,4,FALSE)</f>
        <v>#N/A</v>
      </c>
      <c r="U813" s="10" t="e">
        <f>VLOOKUP(AJ805,'FRC Site Data'!$B$3:$L$42,5,FALSE)</f>
        <v>#N/A</v>
      </c>
      <c r="V813" s="10" t="e">
        <f>VLOOKUP(AJ805,'FRC Site Data'!$B$3:$L$42,6,FALSE)</f>
        <v>#N/A</v>
      </c>
      <c r="W813" s="10" t="e">
        <f>VLOOKUP(AJ805,'FRC Site Data'!$B$3:$L$42,8,FALSE)</f>
        <v>#N/A</v>
      </c>
      <c r="X813" s="10" t="e">
        <f>VLOOKUP(AJ805,'FRC Site Data'!$B$3:$L$42,9,FALSE)</f>
        <v>#N/A</v>
      </c>
      <c r="Y813" s="10" t="e">
        <f>VLOOKUP(AJ805,'FRC Site Data'!$B$3:$L$42,10,FALSE)</f>
        <v>#N/A</v>
      </c>
      <c r="Z813" s="10" t="e">
        <f>VLOOKUP(AJ805,'FRC Site Data'!$B$3:$L$42,11,FALSE)</f>
        <v>#N/A</v>
      </c>
      <c r="AA813" s="10" t="e">
        <f>VLOOKUP(AJ805,'CIR Team Info'!$C$5:$E$44,4,FALSE)</f>
        <v>#N/A</v>
      </c>
      <c r="AB813" s="161" t="b">
        <f>ISNUMBER(VLOOKUP(AJ805,Match!$T$5:$T$10,1,FALSE))</f>
        <v>0</v>
      </c>
      <c r="AC813" s="161" t="b">
        <f>IF(AB813=TRUE,(VLOOKUP($AJ805,Match!$T$5:$U$10,2,FALSE)))</f>
        <v>0</v>
      </c>
      <c r="AD813" s="8">
        <v>3</v>
      </c>
      <c r="AE813" s="8">
        <v>2</v>
      </c>
      <c r="AF813" s="8">
        <v>2</v>
      </c>
      <c r="AG813" s="8">
        <v>1</v>
      </c>
      <c r="AH813" s="8" t="str">
        <f t="shared" si="209"/>
        <v/>
      </c>
    </row>
    <row r="814" spans="1:34" x14ac:dyDescent="0.25">
      <c r="A814" s="29">
        <f t="shared" si="208"/>
        <v>0</v>
      </c>
      <c r="B814" s="29">
        <f t="shared" si="195"/>
        <v>0</v>
      </c>
      <c r="C814" s="29">
        <f t="shared" si="196"/>
        <v>0</v>
      </c>
      <c r="D814" s="29">
        <f t="shared" si="197"/>
        <v>0</v>
      </c>
      <c r="E814" s="29">
        <f t="shared" si="194"/>
        <v>0</v>
      </c>
      <c r="F814" s="29">
        <f t="shared" si="198"/>
        <v>0</v>
      </c>
      <c r="G814" s="29" t="str">
        <f t="shared" si="199"/>
        <v>offensive</v>
      </c>
      <c r="H814" s="16">
        <f t="shared" si="200"/>
        <v>0</v>
      </c>
      <c r="I814" s="16">
        <f t="shared" si="201"/>
        <v>0</v>
      </c>
      <c r="J814" s="16">
        <f t="shared" si="202"/>
        <v>0</v>
      </c>
      <c r="K814" s="16">
        <f t="shared" si="203"/>
        <v>0</v>
      </c>
      <c r="L814" s="67">
        <f t="shared" si="204"/>
        <v>0</v>
      </c>
      <c r="M814" s="4">
        <f t="shared" si="205"/>
        <v>0</v>
      </c>
      <c r="N814" s="4">
        <f t="shared" si="206"/>
        <v>0</v>
      </c>
      <c r="O814" s="4">
        <f t="shared" si="207"/>
        <v>0</v>
      </c>
      <c r="P814" s="4" t="e">
        <f>VLOOKUP(AJ806,'CIR Team Info'!$C$5:$E$44,2,FALSE)</f>
        <v>#N/A</v>
      </c>
      <c r="Q814" s="4" t="e">
        <f>VLOOKUP(AJ806,'CIR Team Info'!$C$5:$E$44,3,FALSE)</f>
        <v>#N/A</v>
      </c>
      <c r="R814" s="10" t="e">
        <f>VLOOKUP(AJ806,'FRC Site Data'!$B$3:$L$42,2,FALSE)</f>
        <v>#N/A</v>
      </c>
      <c r="S814" s="10" t="e">
        <f>VLOOKUP(AJ806,'FRC Site Data'!$B$3:$L$42,3,FALSE)</f>
        <v>#N/A</v>
      </c>
      <c r="T814" s="10" t="e">
        <f>VLOOKUP(AJ806,'FRC Site Data'!$B$3:$L$42,4,FALSE)</f>
        <v>#N/A</v>
      </c>
      <c r="U814" s="10" t="e">
        <f>VLOOKUP(AJ806,'FRC Site Data'!$B$3:$L$42,5,FALSE)</f>
        <v>#N/A</v>
      </c>
      <c r="V814" s="10" t="e">
        <f>VLOOKUP(AJ806,'FRC Site Data'!$B$3:$L$42,6,FALSE)</f>
        <v>#N/A</v>
      </c>
      <c r="W814" s="10" t="e">
        <f>VLOOKUP(AJ806,'FRC Site Data'!$B$3:$L$42,8,FALSE)</f>
        <v>#N/A</v>
      </c>
      <c r="X814" s="10" t="e">
        <f>VLOOKUP(AJ806,'FRC Site Data'!$B$3:$L$42,9,FALSE)</f>
        <v>#N/A</v>
      </c>
      <c r="Y814" s="10" t="e">
        <f>VLOOKUP(AJ806,'FRC Site Data'!$B$3:$L$42,10,FALSE)</f>
        <v>#N/A</v>
      </c>
      <c r="Z814" s="10" t="e">
        <f>VLOOKUP(AJ806,'FRC Site Data'!$B$3:$L$42,11,FALSE)</f>
        <v>#N/A</v>
      </c>
      <c r="AA814" s="10" t="e">
        <f>VLOOKUP(AJ806,'CIR Team Info'!$C$5:$E$44,4,FALSE)</f>
        <v>#N/A</v>
      </c>
      <c r="AB814" s="161" t="b">
        <f>ISNUMBER(VLOOKUP(AJ806,Match!$T$5:$T$10,1,FALSE))</f>
        <v>0</v>
      </c>
      <c r="AC814" s="161" t="b">
        <f>IF(AB814=TRUE,(VLOOKUP($AJ806,Match!$T$5:$U$10,2,FALSE)))</f>
        <v>0</v>
      </c>
      <c r="AD814" s="8">
        <v>3</v>
      </c>
      <c r="AE814" s="8">
        <v>2</v>
      </c>
      <c r="AF814" s="8">
        <v>2</v>
      </c>
      <c r="AG814" s="8">
        <v>1</v>
      </c>
      <c r="AH814" s="8" t="str">
        <f t="shared" si="209"/>
        <v/>
      </c>
    </row>
    <row r="815" spans="1:34" x14ac:dyDescent="0.25">
      <c r="A815" s="29">
        <f t="shared" si="208"/>
        <v>0</v>
      </c>
      <c r="B815" s="29">
        <f t="shared" si="195"/>
        <v>0</v>
      </c>
      <c r="C815" s="29">
        <f t="shared" si="196"/>
        <v>0</v>
      </c>
      <c r="D815" s="29">
        <f t="shared" si="197"/>
        <v>0</v>
      </c>
      <c r="E815" s="29">
        <f t="shared" si="194"/>
        <v>0</v>
      </c>
      <c r="F815" s="29">
        <f t="shared" si="198"/>
        <v>0</v>
      </c>
      <c r="G815" s="29" t="str">
        <f t="shared" si="199"/>
        <v>offensive</v>
      </c>
      <c r="H815" s="16">
        <f t="shared" si="200"/>
        <v>0</v>
      </c>
      <c r="I815" s="16">
        <f t="shared" si="201"/>
        <v>0</v>
      </c>
      <c r="J815" s="16">
        <f t="shared" si="202"/>
        <v>0</v>
      </c>
      <c r="K815" s="16">
        <f t="shared" si="203"/>
        <v>0</v>
      </c>
      <c r="L815" s="67">
        <f t="shared" si="204"/>
        <v>0</v>
      </c>
      <c r="M815" s="4">
        <f t="shared" si="205"/>
        <v>0</v>
      </c>
      <c r="N815" s="4">
        <f t="shared" si="206"/>
        <v>0</v>
      </c>
      <c r="O815" s="4">
        <f t="shared" si="207"/>
        <v>0</v>
      </c>
      <c r="P815" s="4" t="e">
        <f>VLOOKUP(AJ807,'CIR Team Info'!$C$5:$E$44,2,FALSE)</f>
        <v>#N/A</v>
      </c>
      <c r="Q815" s="4" t="e">
        <f>VLOOKUP(AJ807,'CIR Team Info'!$C$5:$E$44,3,FALSE)</f>
        <v>#N/A</v>
      </c>
      <c r="R815" s="10" t="e">
        <f>VLOOKUP(AJ807,'FRC Site Data'!$B$3:$L$42,2,FALSE)</f>
        <v>#N/A</v>
      </c>
      <c r="S815" s="10" t="e">
        <f>VLOOKUP(AJ807,'FRC Site Data'!$B$3:$L$42,3,FALSE)</f>
        <v>#N/A</v>
      </c>
      <c r="T815" s="10" t="e">
        <f>VLOOKUP(AJ807,'FRC Site Data'!$B$3:$L$42,4,FALSE)</f>
        <v>#N/A</v>
      </c>
      <c r="U815" s="10" t="e">
        <f>VLOOKUP(AJ807,'FRC Site Data'!$B$3:$L$42,5,FALSE)</f>
        <v>#N/A</v>
      </c>
      <c r="V815" s="10" t="e">
        <f>VLOOKUP(AJ807,'FRC Site Data'!$B$3:$L$42,6,FALSE)</f>
        <v>#N/A</v>
      </c>
      <c r="W815" s="10" t="e">
        <f>VLOOKUP(AJ807,'FRC Site Data'!$B$3:$L$42,8,FALSE)</f>
        <v>#N/A</v>
      </c>
      <c r="X815" s="10" t="e">
        <f>VLOOKUP(AJ807,'FRC Site Data'!$B$3:$L$42,9,FALSE)</f>
        <v>#N/A</v>
      </c>
      <c r="Y815" s="10" t="e">
        <f>VLOOKUP(AJ807,'FRC Site Data'!$B$3:$L$42,10,FALSE)</f>
        <v>#N/A</v>
      </c>
      <c r="Z815" s="10" t="e">
        <f>VLOOKUP(AJ807,'FRC Site Data'!$B$3:$L$42,11,FALSE)</f>
        <v>#N/A</v>
      </c>
      <c r="AA815" s="10" t="e">
        <f>VLOOKUP(AJ807,'CIR Team Info'!$C$5:$E$44,4,FALSE)</f>
        <v>#N/A</v>
      </c>
      <c r="AB815" s="161" t="b">
        <f>ISNUMBER(VLOOKUP(AJ807,Match!$T$5:$T$10,1,FALSE))</f>
        <v>0</v>
      </c>
      <c r="AC815" s="161" t="b">
        <f>IF(AB815=TRUE,(VLOOKUP($AJ807,Match!$T$5:$U$10,2,FALSE)))</f>
        <v>0</v>
      </c>
      <c r="AD815" s="8">
        <v>3</v>
      </c>
      <c r="AE815" s="8">
        <v>2</v>
      </c>
      <c r="AF815" s="8">
        <v>2</v>
      </c>
      <c r="AG815" s="8">
        <v>1</v>
      </c>
      <c r="AH815" s="8" t="str">
        <f t="shared" si="209"/>
        <v/>
      </c>
    </row>
    <row r="816" spans="1:34" x14ac:dyDescent="0.25">
      <c r="A816" s="29">
        <f t="shared" si="208"/>
        <v>0</v>
      </c>
      <c r="B816" s="29">
        <f t="shared" si="195"/>
        <v>0</v>
      </c>
      <c r="C816" s="29">
        <f t="shared" si="196"/>
        <v>0</v>
      </c>
      <c r="D816" s="29">
        <f t="shared" si="197"/>
        <v>0</v>
      </c>
      <c r="E816" s="29">
        <f t="shared" si="194"/>
        <v>0</v>
      </c>
      <c r="F816" s="29">
        <f t="shared" si="198"/>
        <v>0</v>
      </c>
      <c r="G816" s="29" t="str">
        <f t="shared" si="199"/>
        <v>offensive</v>
      </c>
      <c r="H816" s="16">
        <f t="shared" si="200"/>
        <v>0</v>
      </c>
      <c r="I816" s="16">
        <f t="shared" si="201"/>
        <v>0</v>
      </c>
      <c r="J816" s="16">
        <f t="shared" si="202"/>
        <v>0</v>
      </c>
      <c r="K816" s="16">
        <f t="shared" si="203"/>
        <v>0</v>
      </c>
      <c r="L816" s="67">
        <f t="shared" si="204"/>
        <v>0</v>
      </c>
      <c r="M816" s="4">
        <f t="shared" si="205"/>
        <v>0</v>
      </c>
      <c r="N816" s="4">
        <f t="shared" si="206"/>
        <v>0</v>
      </c>
      <c r="O816" s="4">
        <f t="shared" si="207"/>
        <v>0</v>
      </c>
      <c r="P816" s="4" t="e">
        <f>VLOOKUP(AJ808,'CIR Team Info'!$C$5:$E$44,2,FALSE)</f>
        <v>#N/A</v>
      </c>
      <c r="Q816" s="4" t="e">
        <f>VLOOKUP(AJ808,'CIR Team Info'!$C$5:$E$44,3,FALSE)</f>
        <v>#N/A</v>
      </c>
      <c r="R816" s="10" t="e">
        <f>VLOOKUP(AJ808,'FRC Site Data'!$B$3:$L$42,2,FALSE)</f>
        <v>#N/A</v>
      </c>
      <c r="S816" s="10" t="e">
        <f>VLOOKUP(AJ808,'FRC Site Data'!$B$3:$L$42,3,FALSE)</f>
        <v>#N/A</v>
      </c>
      <c r="T816" s="10" t="e">
        <f>VLOOKUP(AJ808,'FRC Site Data'!$B$3:$L$42,4,FALSE)</f>
        <v>#N/A</v>
      </c>
      <c r="U816" s="10" t="e">
        <f>VLOOKUP(AJ808,'FRC Site Data'!$B$3:$L$42,5,FALSE)</f>
        <v>#N/A</v>
      </c>
      <c r="V816" s="10" t="e">
        <f>VLOOKUP(AJ808,'FRC Site Data'!$B$3:$L$42,6,FALSE)</f>
        <v>#N/A</v>
      </c>
      <c r="W816" s="10" t="e">
        <f>VLOOKUP(AJ808,'FRC Site Data'!$B$3:$L$42,8,FALSE)</f>
        <v>#N/A</v>
      </c>
      <c r="X816" s="10" t="e">
        <f>VLOOKUP(AJ808,'FRC Site Data'!$B$3:$L$42,9,FALSE)</f>
        <v>#N/A</v>
      </c>
      <c r="Y816" s="10" t="e">
        <f>VLOOKUP(AJ808,'FRC Site Data'!$B$3:$L$42,10,FALSE)</f>
        <v>#N/A</v>
      </c>
      <c r="Z816" s="10" t="e">
        <f>VLOOKUP(AJ808,'FRC Site Data'!$B$3:$L$42,11,FALSE)</f>
        <v>#N/A</v>
      </c>
      <c r="AA816" s="10" t="e">
        <f>VLOOKUP(AJ808,'CIR Team Info'!$C$5:$E$44,4,FALSE)</f>
        <v>#N/A</v>
      </c>
      <c r="AB816" s="161" t="b">
        <f>ISNUMBER(VLOOKUP(AJ808,Match!$T$5:$T$10,1,FALSE))</f>
        <v>0</v>
      </c>
      <c r="AC816" s="161" t="b">
        <f>IF(AB816=TRUE,(VLOOKUP($AJ808,Match!$T$5:$U$10,2,FALSE)))</f>
        <v>0</v>
      </c>
      <c r="AD816" s="8">
        <v>3</v>
      </c>
      <c r="AE816" s="8">
        <v>2</v>
      </c>
      <c r="AF816" s="8">
        <v>2</v>
      </c>
      <c r="AG816" s="8">
        <v>1</v>
      </c>
      <c r="AH816" s="8" t="str">
        <f t="shared" si="209"/>
        <v/>
      </c>
    </row>
    <row r="817" spans="1:34" x14ac:dyDescent="0.25">
      <c r="A817" s="29">
        <f t="shared" si="208"/>
        <v>0</v>
      </c>
      <c r="B817" s="29">
        <f t="shared" si="195"/>
        <v>0</v>
      </c>
      <c r="C817" s="29">
        <f t="shared" si="196"/>
        <v>0</v>
      </c>
      <c r="D817" s="29">
        <f t="shared" si="197"/>
        <v>0</v>
      </c>
      <c r="E817" s="29">
        <f t="shared" si="194"/>
        <v>0</v>
      </c>
      <c r="F817" s="29">
        <f t="shared" si="198"/>
        <v>0</v>
      </c>
      <c r="G817" s="29" t="str">
        <f t="shared" si="199"/>
        <v>offensive</v>
      </c>
      <c r="H817" s="16">
        <f t="shared" si="200"/>
        <v>0</v>
      </c>
      <c r="I817" s="16">
        <f t="shared" si="201"/>
        <v>0</v>
      </c>
      <c r="J817" s="16">
        <f t="shared" si="202"/>
        <v>0</v>
      </c>
      <c r="K817" s="16">
        <f t="shared" si="203"/>
        <v>0</v>
      </c>
      <c r="L817" s="67">
        <f t="shared" si="204"/>
        <v>0</v>
      </c>
      <c r="M817" s="4">
        <f t="shared" si="205"/>
        <v>0</v>
      </c>
      <c r="N817" s="4">
        <f t="shared" si="206"/>
        <v>0</v>
      </c>
      <c r="O817" s="4">
        <f t="shared" si="207"/>
        <v>0</v>
      </c>
      <c r="P817" s="4" t="e">
        <f>VLOOKUP(AJ809,'CIR Team Info'!$C$5:$E$44,2,FALSE)</f>
        <v>#N/A</v>
      </c>
      <c r="Q817" s="4" t="e">
        <f>VLOOKUP(AJ809,'CIR Team Info'!$C$5:$E$44,3,FALSE)</f>
        <v>#N/A</v>
      </c>
      <c r="R817" s="10" t="e">
        <f>VLOOKUP(AJ809,'FRC Site Data'!$B$3:$L$42,2,FALSE)</f>
        <v>#N/A</v>
      </c>
      <c r="S817" s="10" t="e">
        <f>VLOOKUP(AJ809,'FRC Site Data'!$B$3:$L$42,3,FALSE)</f>
        <v>#N/A</v>
      </c>
      <c r="T817" s="10" t="e">
        <f>VLOOKUP(AJ809,'FRC Site Data'!$B$3:$L$42,4,FALSE)</f>
        <v>#N/A</v>
      </c>
      <c r="U817" s="10" t="e">
        <f>VLOOKUP(AJ809,'FRC Site Data'!$B$3:$L$42,5,FALSE)</f>
        <v>#N/A</v>
      </c>
      <c r="V817" s="10" t="e">
        <f>VLOOKUP(AJ809,'FRC Site Data'!$B$3:$L$42,6,FALSE)</f>
        <v>#N/A</v>
      </c>
      <c r="W817" s="10" t="e">
        <f>VLOOKUP(AJ809,'FRC Site Data'!$B$3:$L$42,8,FALSE)</f>
        <v>#N/A</v>
      </c>
      <c r="X817" s="10" t="e">
        <f>VLOOKUP(AJ809,'FRC Site Data'!$B$3:$L$42,9,FALSE)</f>
        <v>#N/A</v>
      </c>
      <c r="Y817" s="10" t="e">
        <f>VLOOKUP(AJ809,'FRC Site Data'!$B$3:$L$42,10,FALSE)</f>
        <v>#N/A</v>
      </c>
      <c r="Z817" s="10" t="e">
        <f>VLOOKUP(AJ809,'FRC Site Data'!$B$3:$L$42,11,FALSE)</f>
        <v>#N/A</v>
      </c>
      <c r="AA817" s="10" t="e">
        <f>VLOOKUP(AJ809,'CIR Team Info'!$C$5:$E$44,4,FALSE)</f>
        <v>#N/A</v>
      </c>
      <c r="AB817" s="161" t="b">
        <f>ISNUMBER(VLOOKUP(AJ809,Match!$T$5:$T$10,1,FALSE))</f>
        <v>0</v>
      </c>
      <c r="AC817" s="161" t="b">
        <f>IF(AB817=TRUE,(VLOOKUP($AJ809,Match!$T$5:$U$10,2,FALSE)))</f>
        <v>0</v>
      </c>
      <c r="AD817" s="8">
        <v>3</v>
      </c>
      <c r="AE817" s="8">
        <v>2</v>
      </c>
      <c r="AF817" s="8">
        <v>2</v>
      </c>
      <c r="AG817" s="8">
        <v>1</v>
      </c>
      <c r="AH817" s="8" t="str">
        <f t="shared" si="209"/>
        <v/>
      </c>
    </row>
    <row r="818" spans="1:34" x14ac:dyDescent="0.25">
      <c r="A818" s="29">
        <f t="shared" si="208"/>
        <v>0</v>
      </c>
      <c r="B818" s="29">
        <f t="shared" si="195"/>
        <v>0</v>
      </c>
      <c r="C818" s="29">
        <f t="shared" si="196"/>
        <v>0</v>
      </c>
      <c r="D818" s="29">
        <f t="shared" si="197"/>
        <v>0</v>
      </c>
      <c r="E818" s="29">
        <f t="shared" si="194"/>
        <v>0</v>
      </c>
      <c r="F818" s="29">
        <f t="shared" si="198"/>
        <v>0</v>
      </c>
      <c r="G818" s="29" t="str">
        <f t="shared" si="199"/>
        <v>offensive</v>
      </c>
      <c r="H818" s="16">
        <f t="shared" si="200"/>
        <v>0</v>
      </c>
      <c r="I818" s="16">
        <f t="shared" si="201"/>
        <v>0</v>
      </c>
      <c r="J818" s="16">
        <f t="shared" si="202"/>
        <v>0</v>
      </c>
      <c r="K818" s="16">
        <f t="shared" si="203"/>
        <v>0</v>
      </c>
      <c r="L818" s="67">
        <f t="shared" si="204"/>
        <v>0</v>
      </c>
      <c r="M818" s="4">
        <f t="shared" si="205"/>
        <v>0</v>
      </c>
      <c r="N818" s="4">
        <f t="shared" si="206"/>
        <v>0</v>
      </c>
      <c r="O818" s="4">
        <f t="shared" si="207"/>
        <v>0</v>
      </c>
      <c r="P818" s="4" t="e">
        <f>VLOOKUP(AJ810,'CIR Team Info'!$C$5:$E$44,2,FALSE)</f>
        <v>#N/A</v>
      </c>
      <c r="Q818" s="4" t="e">
        <f>VLOOKUP(AJ810,'CIR Team Info'!$C$5:$E$44,3,FALSE)</f>
        <v>#N/A</v>
      </c>
      <c r="R818" s="10" t="e">
        <f>VLOOKUP(AJ810,'FRC Site Data'!$B$3:$L$42,2,FALSE)</f>
        <v>#N/A</v>
      </c>
      <c r="S818" s="10" t="e">
        <f>VLOOKUP(AJ810,'FRC Site Data'!$B$3:$L$42,3,FALSE)</f>
        <v>#N/A</v>
      </c>
      <c r="T818" s="10" t="e">
        <f>VLOOKUP(AJ810,'FRC Site Data'!$B$3:$L$42,4,FALSE)</f>
        <v>#N/A</v>
      </c>
      <c r="U818" s="10" t="e">
        <f>VLOOKUP(AJ810,'FRC Site Data'!$B$3:$L$42,5,FALSE)</f>
        <v>#N/A</v>
      </c>
      <c r="V818" s="10" t="e">
        <f>VLOOKUP(AJ810,'FRC Site Data'!$B$3:$L$42,6,FALSE)</f>
        <v>#N/A</v>
      </c>
      <c r="W818" s="10" t="e">
        <f>VLOOKUP(AJ810,'FRC Site Data'!$B$3:$L$42,8,FALSE)</f>
        <v>#N/A</v>
      </c>
      <c r="X818" s="10" t="e">
        <f>VLOOKUP(AJ810,'FRC Site Data'!$B$3:$L$42,9,FALSE)</f>
        <v>#N/A</v>
      </c>
      <c r="Y818" s="10" t="e">
        <f>VLOOKUP(AJ810,'FRC Site Data'!$B$3:$L$42,10,FALSE)</f>
        <v>#N/A</v>
      </c>
      <c r="Z818" s="10" t="e">
        <f>VLOOKUP(AJ810,'FRC Site Data'!$B$3:$L$42,11,FALSE)</f>
        <v>#N/A</v>
      </c>
      <c r="AA818" s="10" t="e">
        <f>VLOOKUP(AJ810,'CIR Team Info'!$C$5:$E$44,4,FALSE)</f>
        <v>#N/A</v>
      </c>
      <c r="AB818" s="161" t="b">
        <f>ISNUMBER(VLOOKUP(AJ810,Match!$T$5:$T$10,1,FALSE))</f>
        <v>0</v>
      </c>
      <c r="AC818" s="161" t="b">
        <f>IF(AB818=TRUE,(VLOOKUP($AJ810,Match!$T$5:$U$10,2,FALSE)))</f>
        <v>0</v>
      </c>
      <c r="AD818" s="8">
        <v>3</v>
      </c>
      <c r="AE818" s="8">
        <v>2</v>
      </c>
      <c r="AF818" s="8">
        <v>2</v>
      </c>
      <c r="AG818" s="8">
        <v>1</v>
      </c>
      <c r="AH818" s="8" t="str">
        <f t="shared" si="209"/>
        <v/>
      </c>
    </row>
    <row r="819" spans="1:34" x14ac:dyDescent="0.25">
      <c r="A819" s="29">
        <f t="shared" si="208"/>
        <v>0</v>
      </c>
      <c r="B819" s="29">
        <f t="shared" si="195"/>
        <v>0</v>
      </c>
      <c r="C819" s="29">
        <f t="shared" si="196"/>
        <v>0</v>
      </c>
      <c r="D819" s="29">
        <f t="shared" si="197"/>
        <v>0</v>
      </c>
      <c r="E819" s="29">
        <f t="shared" si="194"/>
        <v>0</v>
      </c>
      <c r="F819" s="29">
        <f t="shared" si="198"/>
        <v>0</v>
      </c>
      <c r="G819" s="29" t="str">
        <f t="shared" si="199"/>
        <v>offensive</v>
      </c>
      <c r="H819" s="16">
        <f t="shared" si="200"/>
        <v>0</v>
      </c>
      <c r="I819" s="16">
        <f t="shared" si="201"/>
        <v>0</v>
      </c>
      <c r="J819" s="16">
        <f t="shared" si="202"/>
        <v>0</v>
      </c>
      <c r="K819" s="16">
        <f t="shared" si="203"/>
        <v>0</v>
      </c>
      <c r="L819" s="67">
        <f t="shared" si="204"/>
        <v>0</v>
      </c>
      <c r="M819" s="4">
        <f t="shared" si="205"/>
        <v>0</v>
      </c>
      <c r="N819" s="4">
        <f t="shared" si="206"/>
        <v>0</v>
      </c>
      <c r="O819" s="4">
        <f t="shared" si="207"/>
        <v>0</v>
      </c>
      <c r="P819" s="4" t="e">
        <f>VLOOKUP(AJ811,'CIR Team Info'!$C$5:$E$44,2,FALSE)</f>
        <v>#N/A</v>
      </c>
      <c r="Q819" s="4" t="e">
        <f>VLOOKUP(AJ811,'CIR Team Info'!$C$5:$E$44,3,FALSE)</f>
        <v>#N/A</v>
      </c>
      <c r="R819" s="10" t="e">
        <f>VLOOKUP(AJ811,'FRC Site Data'!$B$3:$L$42,2,FALSE)</f>
        <v>#N/A</v>
      </c>
      <c r="S819" s="10" t="e">
        <f>VLOOKUP(AJ811,'FRC Site Data'!$B$3:$L$42,3,FALSE)</f>
        <v>#N/A</v>
      </c>
      <c r="T819" s="10" t="e">
        <f>VLOOKUP(AJ811,'FRC Site Data'!$B$3:$L$42,4,FALSE)</f>
        <v>#N/A</v>
      </c>
      <c r="U819" s="10" t="e">
        <f>VLOOKUP(AJ811,'FRC Site Data'!$B$3:$L$42,5,FALSE)</f>
        <v>#N/A</v>
      </c>
      <c r="V819" s="10" t="e">
        <f>VLOOKUP(AJ811,'FRC Site Data'!$B$3:$L$42,6,FALSE)</f>
        <v>#N/A</v>
      </c>
      <c r="W819" s="10" t="e">
        <f>VLOOKUP(AJ811,'FRC Site Data'!$B$3:$L$42,8,FALSE)</f>
        <v>#N/A</v>
      </c>
      <c r="X819" s="10" t="e">
        <f>VLOOKUP(AJ811,'FRC Site Data'!$B$3:$L$42,9,FALSE)</f>
        <v>#N/A</v>
      </c>
      <c r="Y819" s="10" t="e">
        <f>VLOOKUP(AJ811,'FRC Site Data'!$B$3:$L$42,10,FALSE)</f>
        <v>#N/A</v>
      </c>
      <c r="Z819" s="10" t="e">
        <f>VLOOKUP(AJ811,'FRC Site Data'!$B$3:$L$42,11,FALSE)</f>
        <v>#N/A</v>
      </c>
      <c r="AA819" s="10" t="e">
        <f>VLOOKUP(AJ811,'CIR Team Info'!$C$5:$E$44,4,FALSE)</f>
        <v>#N/A</v>
      </c>
      <c r="AB819" s="161" t="b">
        <f>ISNUMBER(VLOOKUP(AJ811,Match!$T$5:$T$10,1,FALSE))</f>
        <v>0</v>
      </c>
      <c r="AC819" s="161" t="b">
        <f>IF(AB819=TRUE,(VLOOKUP($AJ811,Match!$T$5:$U$10,2,FALSE)))</f>
        <v>0</v>
      </c>
      <c r="AD819" s="8">
        <v>3</v>
      </c>
      <c r="AE819" s="8">
        <v>2</v>
      </c>
      <c r="AF819" s="8">
        <v>2</v>
      </c>
      <c r="AG819" s="8">
        <v>1</v>
      </c>
      <c r="AH819" s="8" t="str">
        <f t="shared" si="209"/>
        <v/>
      </c>
    </row>
    <row r="820" spans="1:34" x14ac:dyDescent="0.25">
      <c r="A820" s="29">
        <f t="shared" si="208"/>
        <v>0</v>
      </c>
      <c r="B820" s="29">
        <f t="shared" si="195"/>
        <v>0</v>
      </c>
      <c r="C820" s="29">
        <f t="shared" si="196"/>
        <v>0</v>
      </c>
      <c r="D820" s="29">
        <f t="shared" si="197"/>
        <v>0</v>
      </c>
      <c r="E820" s="29">
        <f t="shared" si="194"/>
        <v>0</v>
      </c>
      <c r="F820" s="29">
        <f t="shared" si="198"/>
        <v>0</v>
      </c>
      <c r="G820" s="29" t="str">
        <f t="shared" si="199"/>
        <v>offensive</v>
      </c>
      <c r="H820" s="16">
        <f t="shared" si="200"/>
        <v>0</v>
      </c>
      <c r="I820" s="16">
        <f t="shared" si="201"/>
        <v>0</v>
      </c>
      <c r="J820" s="16">
        <f t="shared" si="202"/>
        <v>0</v>
      </c>
      <c r="K820" s="16">
        <f t="shared" si="203"/>
        <v>0</v>
      </c>
      <c r="L820" s="67">
        <f t="shared" si="204"/>
        <v>0</v>
      </c>
      <c r="M820" s="4">
        <f t="shared" si="205"/>
        <v>0</v>
      </c>
      <c r="N820" s="4">
        <f t="shared" si="206"/>
        <v>0</v>
      </c>
      <c r="O820" s="4">
        <f t="shared" si="207"/>
        <v>0</v>
      </c>
      <c r="P820" s="4" t="e">
        <f>VLOOKUP(AJ812,'CIR Team Info'!$C$5:$E$44,2,FALSE)</f>
        <v>#N/A</v>
      </c>
      <c r="Q820" s="4" t="e">
        <f>VLOOKUP(AJ812,'CIR Team Info'!$C$5:$E$44,3,FALSE)</f>
        <v>#N/A</v>
      </c>
      <c r="R820" s="10" t="e">
        <f>VLOOKUP(AJ812,'FRC Site Data'!$B$3:$L$42,2,FALSE)</f>
        <v>#N/A</v>
      </c>
      <c r="S820" s="10" t="e">
        <f>VLOOKUP(AJ812,'FRC Site Data'!$B$3:$L$42,3,FALSE)</f>
        <v>#N/A</v>
      </c>
      <c r="T820" s="10" t="e">
        <f>VLOOKUP(AJ812,'FRC Site Data'!$B$3:$L$42,4,FALSE)</f>
        <v>#N/A</v>
      </c>
      <c r="U820" s="10" t="e">
        <f>VLOOKUP(AJ812,'FRC Site Data'!$B$3:$L$42,5,FALSE)</f>
        <v>#N/A</v>
      </c>
      <c r="V820" s="10" t="e">
        <f>VLOOKUP(AJ812,'FRC Site Data'!$B$3:$L$42,6,FALSE)</f>
        <v>#N/A</v>
      </c>
      <c r="W820" s="10" t="e">
        <f>VLOOKUP(AJ812,'FRC Site Data'!$B$3:$L$42,8,FALSE)</f>
        <v>#N/A</v>
      </c>
      <c r="X820" s="10" t="e">
        <f>VLOOKUP(AJ812,'FRC Site Data'!$B$3:$L$42,9,FALSE)</f>
        <v>#N/A</v>
      </c>
      <c r="Y820" s="10" t="e">
        <f>VLOOKUP(AJ812,'FRC Site Data'!$B$3:$L$42,10,FALSE)</f>
        <v>#N/A</v>
      </c>
      <c r="Z820" s="10" t="e">
        <f>VLOOKUP(AJ812,'FRC Site Data'!$B$3:$L$42,11,FALSE)</f>
        <v>#N/A</v>
      </c>
      <c r="AA820" s="10" t="e">
        <f>VLOOKUP(AJ812,'CIR Team Info'!$C$5:$E$44,4,FALSE)</f>
        <v>#N/A</v>
      </c>
      <c r="AB820" s="161" t="b">
        <f>ISNUMBER(VLOOKUP(AJ812,Match!$T$5:$T$10,1,FALSE))</f>
        <v>0</v>
      </c>
      <c r="AC820" s="161" t="b">
        <f>IF(AB820=TRUE,(VLOOKUP($AJ812,Match!$T$5:$U$10,2,FALSE)))</f>
        <v>0</v>
      </c>
      <c r="AD820" s="8">
        <v>3</v>
      </c>
      <c r="AE820" s="8">
        <v>2</v>
      </c>
      <c r="AF820" s="8">
        <v>2</v>
      </c>
      <c r="AG820" s="8">
        <v>1</v>
      </c>
      <c r="AH820" s="8" t="str">
        <f t="shared" si="209"/>
        <v/>
      </c>
    </row>
    <row r="821" spans="1:34" x14ac:dyDescent="0.25">
      <c r="A821" s="29">
        <f t="shared" si="208"/>
        <v>0</v>
      </c>
      <c r="B821" s="29">
        <f t="shared" si="195"/>
        <v>0</v>
      </c>
      <c r="C821" s="29">
        <f t="shared" si="196"/>
        <v>0</v>
      </c>
      <c r="D821" s="29">
        <f t="shared" si="197"/>
        <v>0</v>
      </c>
      <c r="E821" s="29">
        <f t="shared" si="194"/>
        <v>0</v>
      </c>
      <c r="F821" s="29">
        <f t="shared" si="198"/>
        <v>0</v>
      </c>
      <c r="G821" s="29" t="str">
        <f t="shared" si="199"/>
        <v>offensive</v>
      </c>
      <c r="H821" s="16">
        <f t="shared" si="200"/>
        <v>0</v>
      </c>
      <c r="I821" s="16">
        <f t="shared" si="201"/>
        <v>0</v>
      </c>
      <c r="J821" s="16">
        <f t="shared" si="202"/>
        <v>0</v>
      </c>
      <c r="K821" s="16">
        <f t="shared" si="203"/>
        <v>0</v>
      </c>
      <c r="L821" s="67">
        <f t="shared" si="204"/>
        <v>0</v>
      </c>
      <c r="M821" s="4">
        <f t="shared" si="205"/>
        <v>0</v>
      </c>
      <c r="N821" s="4">
        <f t="shared" si="206"/>
        <v>0</v>
      </c>
      <c r="O821" s="4">
        <f t="shared" si="207"/>
        <v>0</v>
      </c>
      <c r="P821" s="4" t="e">
        <f>VLOOKUP(AJ813,'CIR Team Info'!$C$5:$E$44,2,FALSE)</f>
        <v>#N/A</v>
      </c>
      <c r="Q821" s="4" t="e">
        <f>VLOOKUP(AJ813,'CIR Team Info'!$C$5:$E$44,3,FALSE)</f>
        <v>#N/A</v>
      </c>
      <c r="R821" s="10" t="e">
        <f>VLOOKUP(AJ813,'FRC Site Data'!$B$3:$L$42,2,FALSE)</f>
        <v>#N/A</v>
      </c>
      <c r="S821" s="10" t="e">
        <f>VLOOKUP(AJ813,'FRC Site Data'!$B$3:$L$42,3,FALSE)</f>
        <v>#N/A</v>
      </c>
      <c r="T821" s="10" t="e">
        <f>VLOOKUP(AJ813,'FRC Site Data'!$B$3:$L$42,4,FALSE)</f>
        <v>#N/A</v>
      </c>
      <c r="U821" s="10" t="e">
        <f>VLOOKUP(AJ813,'FRC Site Data'!$B$3:$L$42,5,FALSE)</f>
        <v>#N/A</v>
      </c>
      <c r="V821" s="10" t="e">
        <f>VLOOKUP(AJ813,'FRC Site Data'!$B$3:$L$42,6,FALSE)</f>
        <v>#N/A</v>
      </c>
      <c r="W821" s="10" t="e">
        <f>VLOOKUP(AJ813,'FRC Site Data'!$B$3:$L$42,8,FALSE)</f>
        <v>#N/A</v>
      </c>
      <c r="X821" s="10" t="e">
        <f>VLOOKUP(AJ813,'FRC Site Data'!$B$3:$L$42,9,FALSE)</f>
        <v>#N/A</v>
      </c>
      <c r="Y821" s="10" t="e">
        <f>VLOOKUP(AJ813,'FRC Site Data'!$B$3:$L$42,10,FALSE)</f>
        <v>#N/A</v>
      </c>
      <c r="Z821" s="10" t="e">
        <f>VLOOKUP(AJ813,'FRC Site Data'!$B$3:$L$42,11,FALSE)</f>
        <v>#N/A</v>
      </c>
      <c r="AA821" s="10" t="e">
        <f>VLOOKUP(AJ813,'CIR Team Info'!$C$5:$E$44,4,FALSE)</f>
        <v>#N/A</v>
      </c>
      <c r="AB821" s="161" t="b">
        <f>ISNUMBER(VLOOKUP(AJ813,Match!$T$5:$T$10,1,FALSE))</f>
        <v>0</v>
      </c>
      <c r="AC821" s="161" t="b">
        <f>IF(AB821=TRUE,(VLOOKUP($AJ813,Match!$T$5:$U$10,2,FALSE)))</f>
        <v>0</v>
      </c>
      <c r="AD821" s="8">
        <v>3</v>
      </c>
      <c r="AE821" s="8">
        <v>2</v>
      </c>
      <c r="AF821" s="8">
        <v>2</v>
      </c>
      <c r="AG821" s="8">
        <v>1</v>
      </c>
      <c r="AH821" s="8" t="str">
        <f t="shared" si="209"/>
        <v/>
      </c>
    </row>
    <row r="822" spans="1:34" x14ac:dyDescent="0.25">
      <c r="A822" s="29">
        <f t="shared" si="208"/>
        <v>0</v>
      </c>
      <c r="B822" s="29">
        <f t="shared" si="195"/>
        <v>0</v>
      </c>
      <c r="C822" s="29">
        <f t="shared" si="196"/>
        <v>0</v>
      </c>
      <c r="D822" s="29">
        <f t="shared" si="197"/>
        <v>0</v>
      </c>
      <c r="E822" s="29">
        <f t="shared" si="194"/>
        <v>0</v>
      </c>
      <c r="F822" s="29">
        <f t="shared" si="198"/>
        <v>0</v>
      </c>
      <c r="G822" s="29" t="str">
        <f t="shared" si="199"/>
        <v>offensive</v>
      </c>
      <c r="H822" s="16">
        <f t="shared" si="200"/>
        <v>0</v>
      </c>
      <c r="I822" s="16">
        <f t="shared" si="201"/>
        <v>0</v>
      </c>
      <c r="J822" s="16">
        <f t="shared" si="202"/>
        <v>0</v>
      </c>
      <c r="K822" s="16">
        <f t="shared" si="203"/>
        <v>0</v>
      </c>
      <c r="L822" s="67">
        <f t="shared" si="204"/>
        <v>0</v>
      </c>
      <c r="M822" s="4">
        <f t="shared" si="205"/>
        <v>0</v>
      </c>
      <c r="N822" s="4">
        <f t="shared" si="206"/>
        <v>0</v>
      </c>
      <c r="O822" s="4">
        <f t="shared" si="207"/>
        <v>0</v>
      </c>
      <c r="P822" s="4" t="e">
        <f>VLOOKUP(AJ814,'CIR Team Info'!$C$5:$E$44,2,FALSE)</f>
        <v>#N/A</v>
      </c>
      <c r="Q822" s="4" t="e">
        <f>VLOOKUP(AJ814,'CIR Team Info'!$C$5:$E$44,3,FALSE)</f>
        <v>#N/A</v>
      </c>
      <c r="R822" s="10" t="e">
        <f>VLOOKUP(AJ814,'FRC Site Data'!$B$3:$L$42,2,FALSE)</f>
        <v>#N/A</v>
      </c>
      <c r="S822" s="10" t="e">
        <f>VLOOKUP(AJ814,'FRC Site Data'!$B$3:$L$42,3,FALSE)</f>
        <v>#N/A</v>
      </c>
      <c r="T822" s="10" t="e">
        <f>VLOOKUP(AJ814,'FRC Site Data'!$B$3:$L$42,4,FALSE)</f>
        <v>#N/A</v>
      </c>
      <c r="U822" s="10" t="e">
        <f>VLOOKUP(AJ814,'FRC Site Data'!$B$3:$L$42,5,FALSE)</f>
        <v>#N/A</v>
      </c>
      <c r="V822" s="10" t="e">
        <f>VLOOKUP(AJ814,'FRC Site Data'!$B$3:$L$42,6,FALSE)</f>
        <v>#N/A</v>
      </c>
      <c r="W822" s="10" t="e">
        <f>VLOOKUP(AJ814,'FRC Site Data'!$B$3:$L$42,8,FALSE)</f>
        <v>#N/A</v>
      </c>
      <c r="X822" s="10" t="e">
        <f>VLOOKUP(AJ814,'FRC Site Data'!$B$3:$L$42,9,FALSE)</f>
        <v>#N/A</v>
      </c>
      <c r="Y822" s="10" t="e">
        <f>VLOOKUP(AJ814,'FRC Site Data'!$B$3:$L$42,10,FALSE)</f>
        <v>#N/A</v>
      </c>
      <c r="Z822" s="10" t="e">
        <f>VLOOKUP(AJ814,'FRC Site Data'!$B$3:$L$42,11,FALSE)</f>
        <v>#N/A</v>
      </c>
      <c r="AA822" s="10" t="e">
        <f>VLOOKUP(AJ814,'CIR Team Info'!$C$5:$E$44,4,FALSE)</f>
        <v>#N/A</v>
      </c>
      <c r="AB822" s="161" t="b">
        <f>ISNUMBER(VLOOKUP(AJ814,Match!$T$5:$T$10,1,FALSE))</f>
        <v>0</v>
      </c>
      <c r="AC822" s="161" t="b">
        <f>IF(AB822=TRUE,(VLOOKUP($AJ814,Match!$T$5:$U$10,2,FALSE)))</f>
        <v>0</v>
      </c>
      <c r="AD822" s="8">
        <v>3</v>
      </c>
      <c r="AE822" s="8">
        <v>2</v>
      </c>
      <c r="AF822" s="8">
        <v>2</v>
      </c>
      <c r="AG822" s="8">
        <v>1</v>
      </c>
      <c r="AH822" s="8" t="str">
        <f t="shared" si="209"/>
        <v/>
      </c>
    </row>
    <row r="823" spans="1:34" x14ac:dyDescent="0.25">
      <c r="A823" s="29">
        <f t="shared" si="208"/>
        <v>0</v>
      </c>
      <c r="B823" s="29">
        <f t="shared" si="195"/>
        <v>0</v>
      </c>
      <c r="C823" s="29">
        <f t="shared" si="196"/>
        <v>0</v>
      </c>
      <c r="D823" s="29">
        <f t="shared" si="197"/>
        <v>0</v>
      </c>
      <c r="E823" s="29">
        <f t="shared" si="194"/>
        <v>0</v>
      </c>
      <c r="F823" s="29">
        <f t="shared" si="198"/>
        <v>0</v>
      </c>
      <c r="G823" s="29" t="str">
        <f t="shared" si="199"/>
        <v>offensive</v>
      </c>
      <c r="H823" s="16">
        <f t="shared" si="200"/>
        <v>0</v>
      </c>
      <c r="I823" s="16">
        <f t="shared" si="201"/>
        <v>0</v>
      </c>
      <c r="J823" s="16">
        <f t="shared" si="202"/>
        <v>0</v>
      </c>
      <c r="K823" s="16">
        <f t="shared" si="203"/>
        <v>0</v>
      </c>
      <c r="L823" s="67">
        <f t="shared" si="204"/>
        <v>0</v>
      </c>
      <c r="M823" s="4">
        <f t="shared" si="205"/>
        <v>0</v>
      </c>
      <c r="N823" s="4">
        <f t="shared" si="206"/>
        <v>0</v>
      </c>
      <c r="O823" s="4">
        <f t="shared" si="207"/>
        <v>0</v>
      </c>
      <c r="P823" s="4" t="e">
        <f>VLOOKUP(AJ815,'CIR Team Info'!$C$5:$E$44,2,FALSE)</f>
        <v>#N/A</v>
      </c>
      <c r="Q823" s="4" t="e">
        <f>VLOOKUP(AJ815,'CIR Team Info'!$C$5:$E$44,3,FALSE)</f>
        <v>#N/A</v>
      </c>
      <c r="R823" s="10" t="e">
        <f>VLOOKUP(AJ815,'FRC Site Data'!$B$3:$L$42,2,FALSE)</f>
        <v>#N/A</v>
      </c>
      <c r="S823" s="10" t="e">
        <f>VLOOKUP(AJ815,'FRC Site Data'!$B$3:$L$42,3,FALSE)</f>
        <v>#N/A</v>
      </c>
      <c r="T823" s="10" t="e">
        <f>VLOOKUP(AJ815,'FRC Site Data'!$B$3:$L$42,4,FALSE)</f>
        <v>#N/A</v>
      </c>
      <c r="U823" s="10" t="e">
        <f>VLOOKUP(AJ815,'FRC Site Data'!$B$3:$L$42,5,FALSE)</f>
        <v>#N/A</v>
      </c>
      <c r="V823" s="10" t="e">
        <f>VLOOKUP(AJ815,'FRC Site Data'!$B$3:$L$42,6,FALSE)</f>
        <v>#N/A</v>
      </c>
      <c r="W823" s="10" t="e">
        <f>VLOOKUP(AJ815,'FRC Site Data'!$B$3:$L$42,8,FALSE)</f>
        <v>#N/A</v>
      </c>
      <c r="X823" s="10" t="e">
        <f>VLOOKUP(AJ815,'FRC Site Data'!$B$3:$L$42,9,FALSE)</f>
        <v>#N/A</v>
      </c>
      <c r="Y823" s="10" t="e">
        <f>VLOOKUP(AJ815,'FRC Site Data'!$B$3:$L$42,10,FALSE)</f>
        <v>#N/A</v>
      </c>
      <c r="Z823" s="10" t="e">
        <f>VLOOKUP(AJ815,'FRC Site Data'!$B$3:$L$42,11,FALSE)</f>
        <v>#N/A</v>
      </c>
      <c r="AA823" s="10" t="e">
        <f>VLOOKUP(AJ815,'CIR Team Info'!$C$5:$E$44,4,FALSE)</f>
        <v>#N/A</v>
      </c>
      <c r="AB823" s="161" t="b">
        <f>ISNUMBER(VLOOKUP(AJ815,Match!$T$5:$T$10,1,FALSE))</f>
        <v>0</v>
      </c>
      <c r="AC823" s="161" t="b">
        <f>IF(AB823=TRUE,(VLOOKUP($AJ815,Match!$T$5:$U$10,2,FALSE)))</f>
        <v>0</v>
      </c>
      <c r="AD823" s="8">
        <v>3</v>
      </c>
      <c r="AE823" s="8">
        <v>2</v>
      </c>
      <c r="AF823" s="8">
        <v>2</v>
      </c>
      <c r="AG823" s="8">
        <v>1</v>
      </c>
      <c r="AH823" s="8" t="str">
        <f t="shared" si="209"/>
        <v/>
      </c>
    </row>
    <row r="824" spans="1:34" x14ac:dyDescent="0.25">
      <c r="A824" s="29">
        <f t="shared" si="208"/>
        <v>0</v>
      </c>
      <c r="B824" s="29">
        <f t="shared" si="195"/>
        <v>0</v>
      </c>
      <c r="C824" s="29">
        <f t="shared" si="196"/>
        <v>0</v>
      </c>
      <c r="D824" s="29">
        <f t="shared" si="197"/>
        <v>0</v>
      </c>
      <c r="E824" s="29">
        <f t="shared" si="194"/>
        <v>0</v>
      </c>
      <c r="F824" s="29">
        <f t="shared" si="198"/>
        <v>0</v>
      </c>
      <c r="G824" s="29" t="str">
        <f t="shared" si="199"/>
        <v>offensive</v>
      </c>
      <c r="H824" s="16">
        <f t="shared" si="200"/>
        <v>0</v>
      </c>
      <c r="I824" s="16">
        <f t="shared" si="201"/>
        <v>0</v>
      </c>
      <c r="J824" s="16">
        <f t="shared" si="202"/>
        <v>0</v>
      </c>
      <c r="K824" s="16">
        <f t="shared" si="203"/>
        <v>0</v>
      </c>
      <c r="L824" s="67">
        <f t="shared" si="204"/>
        <v>0</v>
      </c>
      <c r="M824" s="4">
        <f t="shared" si="205"/>
        <v>0</v>
      </c>
      <c r="N824" s="4">
        <f t="shared" si="206"/>
        <v>0</v>
      </c>
      <c r="O824" s="4">
        <f t="shared" si="207"/>
        <v>0</v>
      </c>
      <c r="P824" s="4" t="e">
        <f>VLOOKUP(AJ816,'CIR Team Info'!$C$5:$E$44,2,FALSE)</f>
        <v>#N/A</v>
      </c>
      <c r="Q824" s="4" t="e">
        <f>VLOOKUP(AJ816,'CIR Team Info'!$C$5:$E$44,3,FALSE)</f>
        <v>#N/A</v>
      </c>
      <c r="R824" s="10" t="e">
        <f>VLOOKUP(AJ816,'FRC Site Data'!$B$3:$L$42,2,FALSE)</f>
        <v>#N/A</v>
      </c>
      <c r="S824" s="10" t="e">
        <f>VLOOKUP(AJ816,'FRC Site Data'!$B$3:$L$42,3,FALSE)</f>
        <v>#N/A</v>
      </c>
      <c r="T824" s="10" t="e">
        <f>VLOOKUP(AJ816,'FRC Site Data'!$B$3:$L$42,4,FALSE)</f>
        <v>#N/A</v>
      </c>
      <c r="U824" s="10" t="e">
        <f>VLOOKUP(AJ816,'FRC Site Data'!$B$3:$L$42,5,FALSE)</f>
        <v>#N/A</v>
      </c>
      <c r="V824" s="10" t="e">
        <f>VLOOKUP(AJ816,'FRC Site Data'!$B$3:$L$42,6,FALSE)</f>
        <v>#N/A</v>
      </c>
      <c r="W824" s="10" t="e">
        <f>VLOOKUP(AJ816,'FRC Site Data'!$B$3:$L$42,8,FALSE)</f>
        <v>#N/A</v>
      </c>
      <c r="X824" s="10" t="e">
        <f>VLOOKUP(AJ816,'FRC Site Data'!$B$3:$L$42,9,FALSE)</f>
        <v>#N/A</v>
      </c>
      <c r="Y824" s="10" t="e">
        <f>VLOOKUP(AJ816,'FRC Site Data'!$B$3:$L$42,10,FALSE)</f>
        <v>#N/A</v>
      </c>
      <c r="Z824" s="10" t="e">
        <f>VLOOKUP(AJ816,'FRC Site Data'!$B$3:$L$42,11,FALSE)</f>
        <v>#N/A</v>
      </c>
      <c r="AA824" s="10" t="e">
        <f>VLOOKUP(AJ816,'CIR Team Info'!$C$5:$E$44,4,FALSE)</f>
        <v>#N/A</v>
      </c>
      <c r="AB824" s="161" t="b">
        <f>ISNUMBER(VLOOKUP(AJ816,Match!$T$5:$T$10,1,FALSE))</f>
        <v>0</v>
      </c>
      <c r="AC824" s="161" t="b">
        <f>IF(AB824=TRUE,(VLOOKUP($AJ816,Match!$T$5:$U$10,2,FALSE)))</f>
        <v>0</v>
      </c>
      <c r="AD824" s="8">
        <v>3</v>
      </c>
      <c r="AE824" s="8">
        <v>2</v>
      </c>
      <c r="AF824" s="8">
        <v>2</v>
      </c>
      <c r="AG824" s="8">
        <v>1</v>
      </c>
      <c r="AH824" s="8" t="str">
        <f t="shared" si="209"/>
        <v/>
      </c>
    </row>
    <row r="825" spans="1:34" x14ac:dyDescent="0.25">
      <c r="A825" s="29">
        <f t="shared" si="208"/>
        <v>0</v>
      </c>
      <c r="B825" s="29">
        <f t="shared" si="195"/>
        <v>0</v>
      </c>
      <c r="C825" s="29">
        <f t="shared" si="196"/>
        <v>0</v>
      </c>
      <c r="D825" s="29">
        <f t="shared" si="197"/>
        <v>0</v>
      </c>
      <c r="E825" s="29">
        <f t="shared" si="194"/>
        <v>0</v>
      </c>
      <c r="F825" s="29">
        <f t="shared" si="198"/>
        <v>0</v>
      </c>
      <c r="G825" s="29" t="str">
        <f t="shared" si="199"/>
        <v>offensive</v>
      </c>
      <c r="H825" s="16">
        <f t="shared" si="200"/>
        <v>0</v>
      </c>
      <c r="I825" s="16">
        <f t="shared" si="201"/>
        <v>0</v>
      </c>
      <c r="J825" s="16">
        <f t="shared" si="202"/>
        <v>0</v>
      </c>
      <c r="K825" s="16">
        <f t="shared" si="203"/>
        <v>0</v>
      </c>
      <c r="L825" s="67">
        <f t="shared" si="204"/>
        <v>0</v>
      </c>
      <c r="M825" s="4">
        <f t="shared" si="205"/>
        <v>0</v>
      </c>
      <c r="N825" s="4">
        <f t="shared" si="206"/>
        <v>0</v>
      </c>
      <c r="O825" s="4">
        <f t="shared" si="207"/>
        <v>0</v>
      </c>
      <c r="P825" s="4" t="e">
        <f>VLOOKUP(AJ817,'CIR Team Info'!$C$5:$E$44,2,FALSE)</f>
        <v>#N/A</v>
      </c>
      <c r="Q825" s="4" t="e">
        <f>VLOOKUP(AJ817,'CIR Team Info'!$C$5:$E$44,3,FALSE)</f>
        <v>#N/A</v>
      </c>
      <c r="R825" s="10" t="e">
        <f>VLOOKUP(AJ817,'FRC Site Data'!$B$3:$L$42,2,FALSE)</f>
        <v>#N/A</v>
      </c>
      <c r="S825" s="10" t="e">
        <f>VLOOKUP(AJ817,'FRC Site Data'!$B$3:$L$42,3,FALSE)</f>
        <v>#N/A</v>
      </c>
      <c r="T825" s="10" t="e">
        <f>VLOOKUP(AJ817,'FRC Site Data'!$B$3:$L$42,4,FALSE)</f>
        <v>#N/A</v>
      </c>
      <c r="U825" s="10" t="e">
        <f>VLOOKUP(AJ817,'FRC Site Data'!$B$3:$L$42,5,FALSE)</f>
        <v>#N/A</v>
      </c>
      <c r="V825" s="10" t="e">
        <f>VLOOKUP(AJ817,'FRC Site Data'!$B$3:$L$42,6,FALSE)</f>
        <v>#N/A</v>
      </c>
      <c r="W825" s="10" t="e">
        <f>VLOOKUP(AJ817,'FRC Site Data'!$B$3:$L$42,8,FALSE)</f>
        <v>#N/A</v>
      </c>
      <c r="X825" s="10" t="e">
        <f>VLOOKUP(AJ817,'FRC Site Data'!$B$3:$L$42,9,FALSE)</f>
        <v>#N/A</v>
      </c>
      <c r="Y825" s="10" t="e">
        <f>VLOOKUP(AJ817,'FRC Site Data'!$B$3:$L$42,10,FALSE)</f>
        <v>#N/A</v>
      </c>
      <c r="Z825" s="10" t="e">
        <f>VLOOKUP(AJ817,'FRC Site Data'!$B$3:$L$42,11,FALSE)</f>
        <v>#N/A</v>
      </c>
      <c r="AA825" s="10" t="e">
        <f>VLOOKUP(AJ817,'CIR Team Info'!$C$5:$E$44,4,FALSE)</f>
        <v>#N/A</v>
      </c>
      <c r="AB825" s="161" t="b">
        <f>ISNUMBER(VLOOKUP(AJ817,Match!$T$5:$T$10,1,FALSE))</f>
        <v>0</v>
      </c>
      <c r="AC825" s="161" t="b">
        <f>IF(AB825=TRUE,(VLOOKUP($AJ817,Match!$T$5:$U$10,2,FALSE)))</f>
        <v>0</v>
      </c>
      <c r="AD825" s="8">
        <v>3</v>
      </c>
      <c r="AE825" s="8">
        <v>2</v>
      </c>
      <c r="AF825" s="8">
        <v>2</v>
      </c>
      <c r="AG825" s="8">
        <v>1</v>
      </c>
      <c r="AH825" s="8" t="str">
        <f t="shared" si="209"/>
        <v/>
      </c>
    </row>
    <row r="826" spans="1:34" x14ac:dyDescent="0.25">
      <c r="A826" s="29">
        <f t="shared" si="208"/>
        <v>0</v>
      </c>
      <c r="B826" s="29">
        <f t="shared" si="195"/>
        <v>0</v>
      </c>
      <c r="C826" s="29">
        <f t="shared" si="196"/>
        <v>0</v>
      </c>
      <c r="D826" s="29">
        <f t="shared" si="197"/>
        <v>0</v>
      </c>
      <c r="E826" s="29">
        <f t="shared" si="194"/>
        <v>0</v>
      </c>
      <c r="F826" s="29">
        <f t="shared" si="198"/>
        <v>0</v>
      </c>
      <c r="G826" s="29" t="str">
        <f t="shared" si="199"/>
        <v>offensive</v>
      </c>
      <c r="H826" s="16">
        <f t="shared" si="200"/>
        <v>0</v>
      </c>
      <c r="I826" s="16">
        <f t="shared" si="201"/>
        <v>0</v>
      </c>
      <c r="J826" s="16">
        <f t="shared" si="202"/>
        <v>0</v>
      </c>
      <c r="K826" s="16">
        <f t="shared" si="203"/>
        <v>0</v>
      </c>
      <c r="L826" s="67">
        <f t="shared" si="204"/>
        <v>0</v>
      </c>
      <c r="M826" s="4">
        <f t="shared" si="205"/>
        <v>0</v>
      </c>
      <c r="N826" s="4">
        <f t="shared" si="206"/>
        <v>0</v>
      </c>
      <c r="O826" s="4">
        <f t="shared" si="207"/>
        <v>0</v>
      </c>
      <c r="P826" s="4" t="e">
        <f>VLOOKUP(AJ818,'CIR Team Info'!$C$5:$E$44,2,FALSE)</f>
        <v>#N/A</v>
      </c>
      <c r="Q826" s="4" t="e">
        <f>VLOOKUP(AJ818,'CIR Team Info'!$C$5:$E$44,3,FALSE)</f>
        <v>#N/A</v>
      </c>
      <c r="R826" s="10" t="e">
        <f>VLOOKUP(AJ818,'FRC Site Data'!$B$3:$L$42,2,FALSE)</f>
        <v>#N/A</v>
      </c>
      <c r="S826" s="10" t="e">
        <f>VLOOKUP(AJ818,'FRC Site Data'!$B$3:$L$42,3,FALSE)</f>
        <v>#N/A</v>
      </c>
      <c r="T826" s="10" t="e">
        <f>VLOOKUP(AJ818,'FRC Site Data'!$B$3:$L$42,4,FALSE)</f>
        <v>#N/A</v>
      </c>
      <c r="U826" s="10" t="e">
        <f>VLOOKUP(AJ818,'FRC Site Data'!$B$3:$L$42,5,FALSE)</f>
        <v>#N/A</v>
      </c>
      <c r="V826" s="10" t="e">
        <f>VLOOKUP(AJ818,'FRC Site Data'!$B$3:$L$42,6,FALSE)</f>
        <v>#N/A</v>
      </c>
      <c r="W826" s="10" t="e">
        <f>VLOOKUP(AJ818,'FRC Site Data'!$B$3:$L$42,8,FALSE)</f>
        <v>#N/A</v>
      </c>
      <c r="X826" s="10" t="e">
        <f>VLOOKUP(AJ818,'FRC Site Data'!$B$3:$L$42,9,FALSE)</f>
        <v>#N/A</v>
      </c>
      <c r="Y826" s="10" t="e">
        <f>VLOOKUP(AJ818,'FRC Site Data'!$B$3:$L$42,10,FALSE)</f>
        <v>#N/A</v>
      </c>
      <c r="Z826" s="10" t="e">
        <f>VLOOKUP(AJ818,'FRC Site Data'!$B$3:$L$42,11,FALSE)</f>
        <v>#N/A</v>
      </c>
      <c r="AA826" s="10" t="e">
        <f>VLOOKUP(AJ818,'CIR Team Info'!$C$5:$E$44,4,FALSE)</f>
        <v>#N/A</v>
      </c>
      <c r="AB826" s="161" t="b">
        <f>ISNUMBER(VLOOKUP(AJ818,Match!$T$5:$T$10,1,FALSE))</f>
        <v>0</v>
      </c>
      <c r="AC826" s="161" t="b">
        <f>IF(AB826=TRUE,(VLOOKUP($AJ818,Match!$T$5:$U$10,2,FALSE)))</f>
        <v>0</v>
      </c>
      <c r="AD826" s="8">
        <v>3</v>
      </c>
      <c r="AE826" s="8">
        <v>2</v>
      </c>
      <c r="AF826" s="8">
        <v>2</v>
      </c>
      <c r="AG826" s="8">
        <v>1</v>
      </c>
      <c r="AH826" s="8" t="str">
        <f t="shared" si="209"/>
        <v/>
      </c>
    </row>
    <row r="827" spans="1:34" x14ac:dyDescent="0.25">
      <c r="A827" s="29">
        <f t="shared" si="208"/>
        <v>0</v>
      </c>
      <c r="B827" s="29">
        <f t="shared" si="195"/>
        <v>0</v>
      </c>
      <c r="C827" s="29">
        <f t="shared" si="196"/>
        <v>0</v>
      </c>
      <c r="D827" s="29">
        <f t="shared" si="197"/>
        <v>0</v>
      </c>
      <c r="E827" s="29">
        <f t="shared" si="194"/>
        <v>0</v>
      </c>
      <c r="F827" s="29">
        <f t="shared" si="198"/>
        <v>0</v>
      </c>
      <c r="G827" s="29" t="str">
        <f t="shared" si="199"/>
        <v>offensive</v>
      </c>
      <c r="H827" s="16">
        <f t="shared" si="200"/>
        <v>0</v>
      </c>
      <c r="I827" s="16">
        <f t="shared" si="201"/>
        <v>0</v>
      </c>
      <c r="J827" s="16">
        <f t="shared" si="202"/>
        <v>0</v>
      </c>
      <c r="K827" s="16">
        <f t="shared" si="203"/>
        <v>0</v>
      </c>
      <c r="L827" s="67">
        <f t="shared" si="204"/>
        <v>0</v>
      </c>
      <c r="M827" s="4">
        <f t="shared" si="205"/>
        <v>0</v>
      </c>
      <c r="N827" s="4">
        <f t="shared" si="206"/>
        <v>0</v>
      </c>
      <c r="O827" s="4">
        <f t="shared" si="207"/>
        <v>0</v>
      </c>
      <c r="P827" s="4" t="e">
        <f>VLOOKUP(AJ819,'CIR Team Info'!$C$5:$E$44,2,FALSE)</f>
        <v>#N/A</v>
      </c>
      <c r="Q827" s="4" t="e">
        <f>VLOOKUP(AJ819,'CIR Team Info'!$C$5:$E$44,3,FALSE)</f>
        <v>#N/A</v>
      </c>
      <c r="R827" s="10" t="e">
        <f>VLOOKUP(AJ819,'FRC Site Data'!$B$3:$L$42,2,FALSE)</f>
        <v>#N/A</v>
      </c>
      <c r="S827" s="10" t="e">
        <f>VLOOKUP(AJ819,'FRC Site Data'!$B$3:$L$42,3,FALSE)</f>
        <v>#N/A</v>
      </c>
      <c r="T827" s="10" t="e">
        <f>VLOOKUP(AJ819,'FRC Site Data'!$B$3:$L$42,4,FALSE)</f>
        <v>#N/A</v>
      </c>
      <c r="U827" s="10" t="e">
        <f>VLOOKUP(AJ819,'FRC Site Data'!$B$3:$L$42,5,FALSE)</f>
        <v>#N/A</v>
      </c>
      <c r="V827" s="10" t="e">
        <f>VLOOKUP(AJ819,'FRC Site Data'!$B$3:$L$42,6,FALSE)</f>
        <v>#N/A</v>
      </c>
      <c r="W827" s="10" t="e">
        <f>VLOOKUP(AJ819,'FRC Site Data'!$B$3:$L$42,8,FALSE)</f>
        <v>#N/A</v>
      </c>
      <c r="X827" s="10" t="e">
        <f>VLOOKUP(AJ819,'FRC Site Data'!$B$3:$L$42,9,FALSE)</f>
        <v>#N/A</v>
      </c>
      <c r="Y827" s="10" t="e">
        <f>VLOOKUP(AJ819,'FRC Site Data'!$B$3:$L$42,10,FALSE)</f>
        <v>#N/A</v>
      </c>
      <c r="Z827" s="10" t="e">
        <f>VLOOKUP(AJ819,'FRC Site Data'!$B$3:$L$42,11,FALSE)</f>
        <v>#N/A</v>
      </c>
      <c r="AA827" s="10" t="e">
        <f>VLOOKUP(AJ819,'CIR Team Info'!$C$5:$E$44,4,FALSE)</f>
        <v>#N/A</v>
      </c>
      <c r="AB827" s="161" t="b">
        <f>ISNUMBER(VLOOKUP(AJ819,Match!$T$5:$T$10,1,FALSE))</f>
        <v>0</v>
      </c>
      <c r="AC827" s="161" t="b">
        <f>IF(AB827=TRUE,(VLOOKUP($AJ819,Match!$T$5:$U$10,2,FALSE)))</f>
        <v>0</v>
      </c>
      <c r="AD827" s="8">
        <v>3</v>
      </c>
      <c r="AE827" s="8">
        <v>2</v>
      </c>
      <c r="AF827" s="8">
        <v>2</v>
      </c>
      <c r="AG827" s="8">
        <v>1</v>
      </c>
      <c r="AH827" s="8" t="str">
        <f t="shared" si="209"/>
        <v/>
      </c>
    </row>
    <row r="828" spans="1:34" x14ac:dyDescent="0.25">
      <c r="A828" s="29">
        <f t="shared" si="208"/>
        <v>0</v>
      </c>
      <c r="B828" s="29">
        <f t="shared" si="195"/>
        <v>0</v>
      </c>
      <c r="C828" s="29">
        <f t="shared" si="196"/>
        <v>0</v>
      </c>
      <c r="D828" s="29">
        <f t="shared" si="197"/>
        <v>0</v>
      </c>
      <c r="E828" s="29">
        <f t="shared" si="194"/>
        <v>0</v>
      </c>
      <c r="F828" s="29">
        <f t="shared" si="198"/>
        <v>0</v>
      </c>
      <c r="G828" s="29" t="str">
        <f t="shared" si="199"/>
        <v>offensive</v>
      </c>
      <c r="H828" s="16">
        <f t="shared" si="200"/>
        <v>0</v>
      </c>
      <c r="I828" s="16">
        <f t="shared" si="201"/>
        <v>0</v>
      </c>
      <c r="J828" s="16">
        <f t="shared" si="202"/>
        <v>0</v>
      </c>
      <c r="K828" s="16">
        <f t="shared" si="203"/>
        <v>0</v>
      </c>
      <c r="L828" s="67">
        <f t="shared" si="204"/>
        <v>0</v>
      </c>
      <c r="M828" s="4">
        <f t="shared" si="205"/>
        <v>0</v>
      </c>
      <c r="N828" s="4">
        <f t="shared" si="206"/>
        <v>0</v>
      </c>
      <c r="O828" s="4">
        <f t="shared" si="207"/>
        <v>0</v>
      </c>
      <c r="P828" s="4" t="e">
        <f>VLOOKUP(AJ820,'CIR Team Info'!$C$5:$E$44,2,FALSE)</f>
        <v>#N/A</v>
      </c>
      <c r="Q828" s="4" t="e">
        <f>VLOOKUP(AJ820,'CIR Team Info'!$C$5:$E$44,3,FALSE)</f>
        <v>#N/A</v>
      </c>
      <c r="R828" s="10" t="e">
        <f>VLOOKUP(AJ820,'FRC Site Data'!$B$3:$L$42,2,FALSE)</f>
        <v>#N/A</v>
      </c>
      <c r="S828" s="10" t="e">
        <f>VLOOKUP(AJ820,'FRC Site Data'!$B$3:$L$42,3,FALSE)</f>
        <v>#N/A</v>
      </c>
      <c r="T828" s="10" t="e">
        <f>VLOOKUP(AJ820,'FRC Site Data'!$B$3:$L$42,4,FALSE)</f>
        <v>#N/A</v>
      </c>
      <c r="U828" s="10" t="e">
        <f>VLOOKUP(AJ820,'FRC Site Data'!$B$3:$L$42,5,FALSE)</f>
        <v>#N/A</v>
      </c>
      <c r="V828" s="10" t="e">
        <f>VLOOKUP(AJ820,'FRC Site Data'!$B$3:$L$42,6,FALSE)</f>
        <v>#N/A</v>
      </c>
      <c r="W828" s="10" t="e">
        <f>VLOOKUP(AJ820,'FRC Site Data'!$B$3:$L$42,8,FALSE)</f>
        <v>#N/A</v>
      </c>
      <c r="X828" s="10" t="e">
        <f>VLOOKUP(AJ820,'FRC Site Data'!$B$3:$L$42,9,FALSE)</f>
        <v>#N/A</v>
      </c>
      <c r="Y828" s="10" t="e">
        <f>VLOOKUP(AJ820,'FRC Site Data'!$B$3:$L$42,10,FALSE)</f>
        <v>#N/A</v>
      </c>
      <c r="Z828" s="10" t="e">
        <f>VLOOKUP(AJ820,'FRC Site Data'!$B$3:$L$42,11,FALSE)</f>
        <v>#N/A</v>
      </c>
      <c r="AA828" s="10" t="e">
        <f>VLOOKUP(AJ820,'CIR Team Info'!$C$5:$E$44,4,FALSE)</f>
        <v>#N/A</v>
      </c>
      <c r="AB828" s="161" t="b">
        <f>ISNUMBER(VLOOKUP(AJ820,Match!$T$5:$T$10,1,FALSE))</f>
        <v>0</v>
      </c>
      <c r="AC828" s="161" t="b">
        <f>IF(AB828=TRUE,(VLOOKUP($AJ820,Match!$T$5:$U$10,2,FALSE)))</f>
        <v>0</v>
      </c>
      <c r="AD828" s="8">
        <v>3</v>
      </c>
      <c r="AE828" s="8">
        <v>2</v>
      </c>
      <c r="AF828" s="8">
        <v>2</v>
      </c>
      <c r="AG828" s="8">
        <v>1</v>
      </c>
      <c r="AH828" s="8" t="str">
        <f t="shared" si="209"/>
        <v/>
      </c>
    </row>
    <row r="829" spans="1:34" x14ac:dyDescent="0.25">
      <c r="A829" s="29">
        <f t="shared" si="208"/>
        <v>0</v>
      </c>
      <c r="B829" s="29">
        <f t="shared" si="195"/>
        <v>0</v>
      </c>
      <c r="C829" s="29">
        <f t="shared" si="196"/>
        <v>0</v>
      </c>
      <c r="D829" s="29">
        <f t="shared" si="197"/>
        <v>0</v>
      </c>
      <c r="E829" s="29">
        <f t="shared" si="194"/>
        <v>0</v>
      </c>
      <c r="F829" s="29">
        <f t="shared" si="198"/>
        <v>0</v>
      </c>
      <c r="G829" s="29" t="str">
        <f t="shared" si="199"/>
        <v>offensive</v>
      </c>
      <c r="H829" s="16">
        <f t="shared" si="200"/>
        <v>0</v>
      </c>
      <c r="I829" s="16">
        <f t="shared" si="201"/>
        <v>0</v>
      </c>
      <c r="J829" s="16">
        <f t="shared" si="202"/>
        <v>0</v>
      </c>
      <c r="K829" s="16">
        <f t="shared" si="203"/>
        <v>0</v>
      </c>
      <c r="L829" s="67">
        <f t="shared" si="204"/>
        <v>0</v>
      </c>
      <c r="M829" s="4">
        <f t="shared" si="205"/>
        <v>0</v>
      </c>
      <c r="N829" s="4">
        <f t="shared" si="206"/>
        <v>0</v>
      </c>
      <c r="O829" s="4">
        <f t="shared" si="207"/>
        <v>0</v>
      </c>
      <c r="P829" s="4" t="e">
        <f>VLOOKUP(AJ821,'CIR Team Info'!$C$5:$E$44,2,FALSE)</f>
        <v>#N/A</v>
      </c>
      <c r="Q829" s="4" t="e">
        <f>VLOOKUP(AJ821,'CIR Team Info'!$C$5:$E$44,3,FALSE)</f>
        <v>#N/A</v>
      </c>
      <c r="R829" s="10" t="e">
        <f>VLOOKUP(AJ821,'FRC Site Data'!$B$3:$L$42,2,FALSE)</f>
        <v>#N/A</v>
      </c>
      <c r="S829" s="10" t="e">
        <f>VLOOKUP(AJ821,'FRC Site Data'!$B$3:$L$42,3,FALSE)</f>
        <v>#N/A</v>
      </c>
      <c r="T829" s="10" t="e">
        <f>VLOOKUP(AJ821,'FRC Site Data'!$B$3:$L$42,4,FALSE)</f>
        <v>#N/A</v>
      </c>
      <c r="U829" s="10" t="e">
        <f>VLOOKUP(AJ821,'FRC Site Data'!$B$3:$L$42,5,FALSE)</f>
        <v>#N/A</v>
      </c>
      <c r="V829" s="10" t="e">
        <f>VLOOKUP(AJ821,'FRC Site Data'!$B$3:$L$42,6,FALSE)</f>
        <v>#N/A</v>
      </c>
      <c r="W829" s="10" t="e">
        <f>VLOOKUP(AJ821,'FRC Site Data'!$B$3:$L$42,8,FALSE)</f>
        <v>#N/A</v>
      </c>
      <c r="X829" s="10" t="e">
        <f>VLOOKUP(AJ821,'FRC Site Data'!$B$3:$L$42,9,FALSE)</f>
        <v>#N/A</v>
      </c>
      <c r="Y829" s="10" t="e">
        <f>VLOOKUP(AJ821,'FRC Site Data'!$B$3:$L$42,10,FALSE)</f>
        <v>#N/A</v>
      </c>
      <c r="Z829" s="10" t="e">
        <f>VLOOKUP(AJ821,'FRC Site Data'!$B$3:$L$42,11,FALSE)</f>
        <v>#N/A</v>
      </c>
      <c r="AA829" s="10" t="e">
        <f>VLOOKUP(AJ821,'CIR Team Info'!$C$5:$E$44,4,FALSE)</f>
        <v>#N/A</v>
      </c>
      <c r="AB829" s="161" t="b">
        <f>ISNUMBER(VLOOKUP(AJ821,Match!$T$5:$T$10,1,FALSE))</f>
        <v>0</v>
      </c>
      <c r="AC829" s="161" t="b">
        <f>IF(AB829=TRUE,(VLOOKUP($AJ821,Match!$T$5:$U$10,2,FALSE)))</f>
        <v>0</v>
      </c>
      <c r="AD829" s="8">
        <v>3</v>
      </c>
      <c r="AE829" s="8">
        <v>2</v>
      </c>
      <c r="AF829" s="8">
        <v>2</v>
      </c>
      <c r="AG829" s="8">
        <v>1</v>
      </c>
      <c r="AH829" s="8" t="str">
        <f t="shared" si="209"/>
        <v/>
      </c>
    </row>
    <row r="830" spans="1:34" x14ac:dyDescent="0.25">
      <c r="A830" s="29">
        <f t="shared" si="208"/>
        <v>0</v>
      </c>
      <c r="B830" s="29">
        <f t="shared" si="195"/>
        <v>0</v>
      </c>
      <c r="C830" s="29">
        <f t="shared" si="196"/>
        <v>0</v>
      </c>
      <c r="D830" s="29">
        <f t="shared" si="197"/>
        <v>0</v>
      </c>
      <c r="E830" s="29">
        <f t="shared" si="194"/>
        <v>0</v>
      </c>
      <c r="F830" s="29">
        <f t="shared" si="198"/>
        <v>0</v>
      </c>
      <c r="G830" s="29" t="str">
        <f t="shared" si="199"/>
        <v>offensive</v>
      </c>
      <c r="H830" s="16">
        <f t="shared" si="200"/>
        <v>0</v>
      </c>
      <c r="I830" s="16">
        <f t="shared" si="201"/>
        <v>0</v>
      </c>
      <c r="J830" s="16">
        <f t="shared" si="202"/>
        <v>0</v>
      </c>
      <c r="K830" s="16">
        <f t="shared" si="203"/>
        <v>0</v>
      </c>
      <c r="L830" s="67">
        <f t="shared" si="204"/>
        <v>0</v>
      </c>
      <c r="M830" s="4">
        <f t="shared" si="205"/>
        <v>0</v>
      </c>
      <c r="N830" s="4">
        <f t="shared" si="206"/>
        <v>0</v>
      </c>
      <c r="O830" s="4">
        <f t="shared" si="207"/>
        <v>0</v>
      </c>
      <c r="P830" s="4" t="e">
        <f>VLOOKUP(AJ822,'CIR Team Info'!$C$5:$E$44,2,FALSE)</f>
        <v>#N/A</v>
      </c>
      <c r="Q830" s="4" t="e">
        <f>VLOOKUP(AJ822,'CIR Team Info'!$C$5:$E$44,3,FALSE)</f>
        <v>#N/A</v>
      </c>
      <c r="R830" s="10" t="e">
        <f>VLOOKUP(AJ822,'FRC Site Data'!$B$3:$L$42,2,FALSE)</f>
        <v>#N/A</v>
      </c>
      <c r="S830" s="10" t="e">
        <f>VLOOKUP(AJ822,'FRC Site Data'!$B$3:$L$42,3,FALSE)</f>
        <v>#N/A</v>
      </c>
      <c r="T830" s="10" t="e">
        <f>VLOOKUP(AJ822,'FRC Site Data'!$B$3:$L$42,4,FALSE)</f>
        <v>#N/A</v>
      </c>
      <c r="U830" s="10" t="e">
        <f>VLOOKUP(AJ822,'FRC Site Data'!$B$3:$L$42,5,FALSE)</f>
        <v>#N/A</v>
      </c>
      <c r="V830" s="10" t="e">
        <f>VLOOKUP(AJ822,'FRC Site Data'!$B$3:$L$42,6,FALSE)</f>
        <v>#N/A</v>
      </c>
      <c r="W830" s="10" t="e">
        <f>VLOOKUP(AJ822,'FRC Site Data'!$B$3:$L$42,8,FALSE)</f>
        <v>#N/A</v>
      </c>
      <c r="X830" s="10" t="e">
        <f>VLOOKUP(AJ822,'FRC Site Data'!$B$3:$L$42,9,FALSE)</f>
        <v>#N/A</v>
      </c>
      <c r="Y830" s="10" t="e">
        <f>VLOOKUP(AJ822,'FRC Site Data'!$B$3:$L$42,10,FALSE)</f>
        <v>#N/A</v>
      </c>
      <c r="Z830" s="10" t="e">
        <f>VLOOKUP(AJ822,'FRC Site Data'!$B$3:$L$42,11,FALSE)</f>
        <v>#N/A</v>
      </c>
      <c r="AA830" s="10" t="e">
        <f>VLOOKUP(AJ822,'CIR Team Info'!$C$5:$E$44,4,FALSE)</f>
        <v>#N/A</v>
      </c>
      <c r="AB830" s="161" t="b">
        <f>ISNUMBER(VLOOKUP(AJ822,Match!$T$5:$T$10,1,FALSE))</f>
        <v>0</v>
      </c>
      <c r="AC830" s="161" t="b">
        <f>IF(AB830=TRUE,(VLOOKUP($AJ822,Match!$T$5:$U$10,2,FALSE)))</f>
        <v>0</v>
      </c>
      <c r="AD830" s="8">
        <v>3</v>
      </c>
      <c r="AE830" s="8">
        <v>2</v>
      </c>
      <c r="AF830" s="8">
        <v>2</v>
      </c>
      <c r="AG830" s="8">
        <v>1</v>
      </c>
      <c r="AH830" s="8" t="str">
        <f t="shared" si="209"/>
        <v/>
      </c>
    </row>
    <row r="831" spans="1:34" x14ac:dyDescent="0.25">
      <c r="A831" s="29">
        <f t="shared" si="208"/>
        <v>0</v>
      </c>
      <c r="B831" s="29">
        <f t="shared" si="195"/>
        <v>0</v>
      </c>
      <c r="C831" s="29">
        <f t="shared" si="196"/>
        <v>0</v>
      </c>
      <c r="D831" s="29">
        <f t="shared" si="197"/>
        <v>0</v>
      </c>
      <c r="E831" s="29">
        <f t="shared" si="194"/>
        <v>0</v>
      </c>
      <c r="F831" s="29">
        <f t="shared" si="198"/>
        <v>0</v>
      </c>
      <c r="G831" s="29" t="str">
        <f t="shared" si="199"/>
        <v>offensive</v>
      </c>
      <c r="H831" s="16">
        <f t="shared" si="200"/>
        <v>0</v>
      </c>
      <c r="I831" s="16">
        <f t="shared" si="201"/>
        <v>0</v>
      </c>
      <c r="J831" s="16">
        <f t="shared" si="202"/>
        <v>0</v>
      </c>
      <c r="K831" s="16">
        <f t="shared" si="203"/>
        <v>0</v>
      </c>
      <c r="L831" s="67">
        <f t="shared" si="204"/>
        <v>0</v>
      </c>
      <c r="M831" s="4">
        <f t="shared" si="205"/>
        <v>0</v>
      </c>
      <c r="N831" s="4">
        <f t="shared" si="206"/>
        <v>0</v>
      </c>
      <c r="O831" s="4">
        <f t="shared" si="207"/>
        <v>0</v>
      </c>
      <c r="P831" s="4" t="e">
        <f>VLOOKUP(AJ823,'CIR Team Info'!$C$5:$E$44,2,FALSE)</f>
        <v>#N/A</v>
      </c>
      <c r="Q831" s="4" t="e">
        <f>VLOOKUP(AJ823,'CIR Team Info'!$C$5:$E$44,3,FALSE)</f>
        <v>#N/A</v>
      </c>
      <c r="R831" s="10" t="e">
        <f>VLOOKUP(AJ823,'FRC Site Data'!$B$3:$L$42,2,FALSE)</f>
        <v>#N/A</v>
      </c>
      <c r="S831" s="10" t="e">
        <f>VLOOKUP(AJ823,'FRC Site Data'!$B$3:$L$42,3,FALSE)</f>
        <v>#N/A</v>
      </c>
      <c r="T831" s="10" t="e">
        <f>VLOOKUP(AJ823,'FRC Site Data'!$B$3:$L$42,4,FALSE)</f>
        <v>#N/A</v>
      </c>
      <c r="U831" s="10" t="e">
        <f>VLOOKUP(AJ823,'FRC Site Data'!$B$3:$L$42,5,FALSE)</f>
        <v>#N/A</v>
      </c>
      <c r="V831" s="10" t="e">
        <f>VLOOKUP(AJ823,'FRC Site Data'!$B$3:$L$42,6,FALSE)</f>
        <v>#N/A</v>
      </c>
      <c r="W831" s="10" t="e">
        <f>VLOOKUP(AJ823,'FRC Site Data'!$B$3:$L$42,8,FALSE)</f>
        <v>#N/A</v>
      </c>
      <c r="X831" s="10" t="e">
        <f>VLOOKUP(AJ823,'FRC Site Data'!$B$3:$L$42,9,FALSE)</f>
        <v>#N/A</v>
      </c>
      <c r="Y831" s="10" t="e">
        <f>VLOOKUP(AJ823,'FRC Site Data'!$B$3:$L$42,10,FALSE)</f>
        <v>#N/A</v>
      </c>
      <c r="Z831" s="10" t="e">
        <f>VLOOKUP(AJ823,'FRC Site Data'!$B$3:$L$42,11,FALSE)</f>
        <v>#N/A</v>
      </c>
      <c r="AA831" s="10" t="e">
        <f>VLOOKUP(AJ823,'CIR Team Info'!$C$5:$E$44,4,FALSE)</f>
        <v>#N/A</v>
      </c>
      <c r="AB831" s="161" t="b">
        <f>ISNUMBER(VLOOKUP(AJ823,Match!$T$5:$T$10,1,FALSE))</f>
        <v>0</v>
      </c>
      <c r="AC831" s="161" t="b">
        <f>IF(AB831=TRUE,(VLOOKUP($AJ823,Match!$T$5:$U$10,2,FALSE)))</f>
        <v>0</v>
      </c>
      <c r="AD831" s="8">
        <v>3</v>
      </c>
      <c r="AE831" s="8">
        <v>2</v>
      </c>
      <c r="AF831" s="8">
        <v>2</v>
      </c>
      <c r="AG831" s="8">
        <v>1</v>
      </c>
      <c r="AH831" s="8" t="str">
        <f t="shared" si="209"/>
        <v/>
      </c>
    </row>
    <row r="832" spans="1:34" x14ac:dyDescent="0.25">
      <c r="A832" s="29">
        <f t="shared" si="208"/>
        <v>0</v>
      </c>
      <c r="B832" s="29">
        <f t="shared" si="195"/>
        <v>0</v>
      </c>
      <c r="C832" s="29">
        <f t="shared" si="196"/>
        <v>0</v>
      </c>
      <c r="D832" s="29">
        <f t="shared" si="197"/>
        <v>0</v>
      </c>
      <c r="E832" s="29">
        <f t="shared" si="194"/>
        <v>0</v>
      </c>
      <c r="F832" s="29">
        <f t="shared" si="198"/>
        <v>0</v>
      </c>
      <c r="G832" s="29" t="str">
        <f t="shared" si="199"/>
        <v>offensive</v>
      </c>
      <c r="H832" s="16">
        <f t="shared" si="200"/>
        <v>0</v>
      </c>
      <c r="I832" s="16">
        <f t="shared" si="201"/>
        <v>0</v>
      </c>
      <c r="J832" s="16">
        <f t="shared" si="202"/>
        <v>0</v>
      </c>
      <c r="K832" s="16">
        <f t="shared" si="203"/>
        <v>0</v>
      </c>
      <c r="L832" s="67">
        <f t="shared" si="204"/>
        <v>0</v>
      </c>
      <c r="M832" s="4">
        <f t="shared" si="205"/>
        <v>0</v>
      </c>
      <c r="N832" s="4">
        <f t="shared" si="206"/>
        <v>0</v>
      </c>
      <c r="O832" s="4">
        <f t="shared" si="207"/>
        <v>0</v>
      </c>
      <c r="P832" s="4" t="e">
        <f>VLOOKUP(AJ824,'CIR Team Info'!$C$5:$E$44,2,FALSE)</f>
        <v>#N/A</v>
      </c>
      <c r="Q832" s="4" t="e">
        <f>VLOOKUP(AJ824,'CIR Team Info'!$C$5:$E$44,3,FALSE)</f>
        <v>#N/A</v>
      </c>
      <c r="R832" s="10" t="e">
        <f>VLOOKUP(AJ824,'FRC Site Data'!$B$3:$L$42,2,FALSE)</f>
        <v>#N/A</v>
      </c>
      <c r="S832" s="10" t="e">
        <f>VLOOKUP(AJ824,'FRC Site Data'!$B$3:$L$42,3,FALSE)</f>
        <v>#N/A</v>
      </c>
      <c r="T832" s="10" t="e">
        <f>VLOOKUP(AJ824,'FRC Site Data'!$B$3:$L$42,4,FALSE)</f>
        <v>#N/A</v>
      </c>
      <c r="U832" s="10" t="e">
        <f>VLOOKUP(AJ824,'FRC Site Data'!$B$3:$L$42,5,FALSE)</f>
        <v>#N/A</v>
      </c>
      <c r="V832" s="10" t="e">
        <f>VLOOKUP(AJ824,'FRC Site Data'!$B$3:$L$42,6,FALSE)</f>
        <v>#N/A</v>
      </c>
      <c r="W832" s="10" t="e">
        <f>VLOOKUP(AJ824,'FRC Site Data'!$B$3:$L$42,8,FALSE)</f>
        <v>#N/A</v>
      </c>
      <c r="X832" s="10" t="e">
        <f>VLOOKUP(AJ824,'FRC Site Data'!$B$3:$L$42,9,FALSE)</f>
        <v>#N/A</v>
      </c>
      <c r="Y832" s="10" t="e">
        <f>VLOOKUP(AJ824,'FRC Site Data'!$B$3:$L$42,10,FALSE)</f>
        <v>#N/A</v>
      </c>
      <c r="Z832" s="10" t="e">
        <f>VLOOKUP(AJ824,'FRC Site Data'!$B$3:$L$42,11,FALSE)</f>
        <v>#N/A</v>
      </c>
      <c r="AA832" s="10" t="e">
        <f>VLOOKUP(AJ824,'CIR Team Info'!$C$5:$E$44,4,FALSE)</f>
        <v>#N/A</v>
      </c>
      <c r="AB832" s="161" t="b">
        <f>ISNUMBER(VLOOKUP(AJ824,Match!$T$5:$T$10,1,FALSE))</f>
        <v>0</v>
      </c>
      <c r="AC832" s="161" t="b">
        <f>IF(AB832=TRUE,(VLOOKUP($AJ824,Match!$T$5:$U$10,2,FALSE)))</f>
        <v>0</v>
      </c>
      <c r="AD832" s="8">
        <v>3</v>
      </c>
      <c r="AE832" s="8">
        <v>2</v>
      </c>
      <c r="AF832" s="8">
        <v>2</v>
      </c>
      <c r="AG832" s="8">
        <v>1</v>
      </c>
      <c r="AH832" s="8" t="str">
        <f t="shared" si="209"/>
        <v/>
      </c>
    </row>
    <row r="833" spans="1:34" x14ac:dyDescent="0.25">
      <c r="A833" s="29">
        <f t="shared" si="208"/>
        <v>0</v>
      </c>
      <c r="B833" s="29">
        <f t="shared" si="195"/>
        <v>0</v>
      </c>
      <c r="C833" s="29">
        <f t="shared" si="196"/>
        <v>0</v>
      </c>
      <c r="D833" s="29">
        <f t="shared" si="197"/>
        <v>0</v>
      </c>
      <c r="E833" s="29">
        <f t="shared" ref="E833:E896" si="210">K833*O833</f>
        <v>0</v>
      </c>
      <c r="F833" s="29">
        <f t="shared" si="198"/>
        <v>0</v>
      </c>
      <c r="G833" s="29" t="str">
        <f t="shared" si="199"/>
        <v>offensive</v>
      </c>
      <c r="H833" s="16">
        <f t="shared" si="200"/>
        <v>0</v>
      </c>
      <c r="I833" s="16">
        <f t="shared" si="201"/>
        <v>0</v>
      </c>
      <c r="J833" s="16">
        <f t="shared" si="202"/>
        <v>0</v>
      </c>
      <c r="K833" s="16">
        <f t="shared" si="203"/>
        <v>0</v>
      </c>
      <c r="L833" s="67">
        <f t="shared" si="204"/>
        <v>0</v>
      </c>
      <c r="M833" s="4">
        <f t="shared" si="205"/>
        <v>0</v>
      </c>
      <c r="N833" s="4">
        <f t="shared" si="206"/>
        <v>0</v>
      </c>
      <c r="O833" s="4">
        <f t="shared" si="207"/>
        <v>0</v>
      </c>
      <c r="P833" s="4" t="e">
        <f>VLOOKUP(AJ825,'CIR Team Info'!$C$5:$E$44,2,FALSE)</f>
        <v>#N/A</v>
      </c>
      <c r="Q833" s="4" t="e">
        <f>VLOOKUP(AJ825,'CIR Team Info'!$C$5:$E$44,3,FALSE)</f>
        <v>#N/A</v>
      </c>
      <c r="R833" s="10" t="e">
        <f>VLOOKUP(AJ825,'FRC Site Data'!$B$3:$L$42,2,FALSE)</f>
        <v>#N/A</v>
      </c>
      <c r="S833" s="10" t="e">
        <f>VLOOKUP(AJ825,'FRC Site Data'!$B$3:$L$42,3,FALSE)</f>
        <v>#N/A</v>
      </c>
      <c r="T833" s="10" t="e">
        <f>VLOOKUP(AJ825,'FRC Site Data'!$B$3:$L$42,4,FALSE)</f>
        <v>#N/A</v>
      </c>
      <c r="U833" s="10" t="e">
        <f>VLOOKUP(AJ825,'FRC Site Data'!$B$3:$L$42,5,FALSE)</f>
        <v>#N/A</v>
      </c>
      <c r="V833" s="10" t="e">
        <f>VLOOKUP(AJ825,'FRC Site Data'!$B$3:$L$42,6,FALSE)</f>
        <v>#N/A</v>
      </c>
      <c r="W833" s="10" t="e">
        <f>VLOOKUP(AJ825,'FRC Site Data'!$B$3:$L$42,8,FALSE)</f>
        <v>#N/A</v>
      </c>
      <c r="X833" s="10" t="e">
        <f>VLOOKUP(AJ825,'FRC Site Data'!$B$3:$L$42,9,FALSE)</f>
        <v>#N/A</v>
      </c>
      <c r="Y833" s="10" t="e">
        <f>VLOOKUP(AJ825,'FRC Site Data'!$B$3:$L$42,10,FALSE)</f>
        <v>#N/A</v>
      </c>
      <c r="Z833" s="10" t="e">
        <f>VLOOKUP(AJ825,'FRC Site Data'!$B$3:$L$42,11,FALSE)</f>
        <v>#N/A</v>
      </c>
      <c r="AA833" s="10" t="e">
        <f>VLOOKUP(AJ825,'CIR Team Info'!$C$5:$E$44,4,FALSE)</f>
        <v>#N/A</v>
      </c>
      <c r="AB833" s="161" t="b">
        <f>ISNUMBER(VLOOKUP(AJ825,Match!$T$5:$T$10,1,FALSE))</f>
        <v>0</v>
      </c>
      <c r="AC833" s="161" t="b">
        <f>IF(AB833=TRUE,(VLOOKUP($AJ825,Match!$T$5:$U$10,2,FALSE)))</f>
        <v>0</v>
      </c>
      <c r="AD833" s="8">
        <v>3</v>
      </c>
      <c r="AE833" s="8">
        <v>2</v>
      </c>
      <c r="AF833" s="8">
        <v>2</v>
      </c>
      <c r="AG833" s="8">
        <v>1</v>
      </c>
      <c r="AH833" s="8" t="str">
        <f t="shared" si="209"/>
        <v/>
      </c>
    </row>
    <row r="834" spans="1:34" x14ac:dyDescent="0.25">
      <c r="A834" s="29">
        <f t="shared" si="208"/>
        <v>0</v>
      </c>
      <c r="B834" s="29">
        <f t="shared" si="195"/>
        <v>0</v>
      </c>
      <c r="C834" s="29">
        <f t="shared" si="196"/>
        <v>0</v>
      </c>
      <c r="D834" s="29">
        <f t="shared" si="197"/>
        <v>0</v>
      </c>
      <c r="E834" s="29">
        <f t="shared" si="210"/>
        <v>0</v>
      </c>
      <c r="F834" s="29">
        <f t="shared" si="198"/>
        <v>0</v>
      </c>
      <c r="G834" s="29" t="str">
        <f t="shared" si="199"/>
        <v>offensive</v>
      </c>
      <c r="H834" s="16">
        <f t="shared" si="200"/>
        <v>0</v>
      </c>
      <c r="I834" s="16">
        <f t="shared" si="201"/>
        <v>0</v>
      </c>
      <c r="J834" s="16">
        <f t="shared" si="202"/>
        <v>0</v>
      </c>
      <c r="K834" s="16">
        <f t="shared" si="203"/>
        <v>0</v>
      </c>
      <c r="L834" s="67">
        <f t="shared" si="204"/>
        <v>0</v>
      </c>
      <c r="M834" s="4">
        <f t="shared" si="205"/>
        <v>0</v>
      </c>
      <c r="N834" s="4">
        <f t="shared" si="206"/>
        <v>0</v>
      </c>
      <c r="O834" s="4">
        <f t="shared" si="207"/>
        <v>0</v>
      </c>
      <c r="P834" s="4" t="e">
        <f>VLOOKUP(AJ826,'CIR Team Info'!$C$5:$E$44,2,FALSE)</f>
        <v>#N/A</v>
      </c>
      <c r="Q834" s="4" t="e">
        <f>VLOOKUP(AJ826,'CIR Team Info'!$C$5:$E$44,3,FALSE)</f>
        <v>#N/A</v>
      </c>
      <c r="R834" s="10" t="e">
        <f>VLOOKUP(AJ826,'FRC Site Data'!$B$3:$L$42,2,FALSE)</f>
        <v>#N/A</v>
      </c>
      <c r="S834" s="10" t="e">
        <f>VLOOKUP(AJ826,'FRC Site Data'!$B$3:$L$42,3,FALSE)</f>
        <v>#N/A</v>
      </c>
      <c r="T834" s="10" t="e">
        <f>VLOOKUP(AJ826,'FRC Site Data'!$B$3:$L$42,4,FALSE)</f>
        <v>#N/A</v>
      </c>
      <c r="U834" s="10" t="e">
        <f>VLOOKUP(AJ826,'FRC Site Data'!$B$3:$L$42,5,FALSE)</f>
        <v>#N/A</v>
      </c>
      <c r="V834" s="10" t="e">
        <f>VLOOKUP(AJ826,'FRC Site Data'!$B$3:$L$42,6,FALSE)</f>
        <v>#N/A</v>
      </c>
      <c r="W834" s="10" t="e">
        <f>VLOOKUP(AJ826,'FRC Site Data'!$B$3:$L$42,8,FALSE)</f>
        <v>#N/A</v>
      </c>
      <c r="X834" s="10" t="e">
        <f>VLOOKUP(AJ826,'FRC Site Data'!$B$3:$L$42,9,FALSE)</f>
        <v>#N/A</v>
      </c>
      <c r="Y834" s="10" t="e">
        <f>VLOOKUP(AJ826,'FRC Site Data'!$B$3:$L$42,10,FALSE)</f>
        <v>#N/A</v>
      </c>
      <c r="Z834" s="10" t="e">
        <f>VLOOKUP(AJ826,'FRC Site Data'!$B$3:$L$42,11,FALSE)</f>
        <v>#N/A</v>
      </c>
      <c r="AA834" s="10" t="e">
        <f>VLOOKUP(AJ826,'CIR Team Info'!$C$5:$E$44,4,FALSE)</f>
        <v>#N/A</v>
      </c>
      <c r="AB834" s="161" t="b">
        <f>ISNUMBER(VLOOKUP(AJ826,Match!$T$5:$T$10,1,FALSE))</f>
        <v>0</v>
      </c>
      <c r="AC834" s="161" t="b">
        <f>IF(AB834=TRUE,(VLOOKUP($AJ826,Match!$T$5:$U$10,2,FALSE)))</f>
        <v>0</v>
      </c>
      <c r="AD834" s="8">
        <v>3</v>
      </c>
      <c r="AE834" s="8">
        <v>2</v>
      </c>
      <c r="AF834" s="8">
        <v>2</v>
      </c>
      <c r="AG834" s="8">
        <v>1</v>
      </c>
      <c r="AH834" s="8" t="str">
        <f t="shared" si="209"/>
        <v/>
      </c>
    </row>
    <row r="835" spans="1:34" x14ac:dyDescent="0.25">
      <c r="A835" s="29">
        <f t="shared" si="208"/>
        <v>0</v>
      </c>
      <c r="B835" s="29">
        <f t="shared" si="195"/>
        <v>0</v>
      </c>
      <c r="C835" s="29">
        <f t="shared" si="196"/>
        <v>0</v>
      </c>
      <c r="D835" s="29">
        <f t="shared" si="197"/>
        <v>0</v>
      </c>
      <c r="E835" s="29">
        <f t="shared" si="210"/>
        <v>0</v>
      </c>
      <c r="F835" s="29">
        <f t="shared" si="198"/>
        <v>0</v>
      </c>
      <c r="G835" s="29" t="str">
        <f t="shared" si="199"/>
        <v>offensive</v>
      </c>
      <c r="H835" s="16">
        <f t="shared" si="200"/>
        <v>0</v>
      </c>
      <c r="I835" s="16">
        <f t="shared" si="201"/>
        <v>0</v>
      </c>
      <c r="J835" s="16">
        <f t="shared" si="202"/>
        <v>0</v>
      </c>
      <c r="K835" s="16">
        <f t="shared" si="203"/>
        <v>0</v>
      </c>
      <c r="L835" s="67">
        <f t="shared" si="204"/>
        <v>0</v>
      </c>
      <c r="M835" s="4">
        <f t="shared" si="205"/>
        <v>0</v>
      </c>
      <c r="N835" s="4">
        <f t="shared" si="206"/>
        <v>0</v>
      </c>
      <c r="O835" s="4">
        <f t="shared" si="207"/>
        <v>0</v>
      </c>
      <c r="P835" s="4" t="e">
        <f>VLOOKUP(AJ827,'CIR Team Info'!$C$5:$E$44,2,FALSE)</f>
        <v>#N/A</v>
      </c>
      <c r="Q835" s="4" t="e">
        <f>VLOOKUP(AJ827,'CIR Team Info'!$C$5:$E$44,3,FALSE)</f>
        <v>#N/A</v>
      </c>
      <c r="R835" s="10" t="e">
        <f>VLOOKUP(AJ827,'FRC Site Data'!$B$3:$L$42,2,FALSE)</f>
        <v>#N/A</v>
      </c>
      <c r="S835" s="10" t="e">
        <f>VLOOKUP(AJ827,'FRC Site Data'!$B$3:$L$42,3,FALSE)</f>
        <v>#N/A</v>
      </c>
      <c r="T835" s="10" t="e">
        <f>VLOOKUP(AJ827,'FRC Site Data'!$B$3:$L$42,4,FALSE)</f>
        <v>#N/A</v>
      </c>
      <c r="U835" s="10" t="e">
        <f>VLOOKUP(AJ827,'FRC Site Data'!$B$3:$L$42,5,FALSE)</f>
        <v>#N/A</v>
      </c>
      <c r="V835" s="10" t="e">
        <f>VLOOKUP(AJ827,'FRC Site Data'!$B$3:$L$42,6,FALSE)</f>
        <v>#N/A</v>
      </c>
      <c r="W835" s="10" t="e">
        <f>VLOOKUP(AJ827,'FRC Site Data'!$B$3:$L$42,8,FALSE)</f>
        <v>#N/A</v>
      </c>
      <c r="X835" s="10" t="e">
        <f>VLOOKUP(AJ827,'FRC Site Data'!$B$3:$L$42,9,FALSE)</f>
        <v>#N/A</v>
      </c>
      <c r="Y835" s="10" t="e">
        <f>VLOOKUP(AJ827,'FRC Site Data'!$B$3:$L$42,10,FALSE)</f>
        <v>#N/A</v>
      </c>
      <c r="Z835" s="10" t="e">
        <f>VLOOKUP(AJ827,'FRC Site Data'!$B$3:$L$42,11,FALSE)</f>
        <v>#N/A</v>
      </c>
      <c r="AA835" s="10" t="e">
        <f>VLOOKUP(AJ827,'CIR Team Info'!$C$5:$E$44,4,FALSE)</f>
        <v>#N/A</v>
      </c>
      <c r="AB835" s="161" t="b">
        <f>ISNUMBER(VLOOKUP(AJ827,Match!$T$5:$T$10,1,FALSE))</f>
        <v>0</v>
      </c>
      <c r="AC835" s="161" t="b">
        <f>IF(AB835=TRUE,(VLOOKUP($AJ827,Match!$T$5:$U$10,2,FALSE)))</f>
        <v>0</v>
      </c>
      <c r="AD835" s="8">
        <v>3</v>
      </c>
      <c r="AE835" s="8">
        <v>2</v>
      </c>
      <c r="AF835" s="8">
        <v>2</v>
      </c>
      <c r="AG835" s="8">
        <v>1</v>
      </c>
      <c r="AH835" s="8" t="str">
        <f t="shared" si="209"/>
        <v/>
      </c>
    </row>
    <row r="836" spans="1:34" x14ac:dyDescent="0.25">
      <c r="A836" s="29">
        <f t="shared" si="208"/>
        <v>0</v>
      </c>
      <c r="B836" s="29">
        <f t="shared" si="195"/>
        <v>0</v>
      </c>
      <c r="C836" s="29">
        <f t="shared" si="196"/>
        <v>0</v>
      </c>
      <c r="D836" s="29">
        <f t="shared" si="197"/>
        <v>0</v>
      </c>
      <c r="E836" s="29">
        <f t="shared" si="210"/>
        <v>0</v>
      </c>
      <c r="F836" s="29">
        <f t="shared" si="198"/>
        <v>0</v>
      </c>
      <c r="G836" s="29" t="str">
        <f t="shared" si="199"/>
        <v>offensive</v>
      </c>
      <c r="H836" s="16">
        <f t="shared" si="200"/>
        <v>0</v>
      </c>
      <c r="I836" s="16">
        <f t="shared" si="201"/>
        <v>0</v>
      </c>
      <c r="J836" s="16">
        <f t="shared" si="202"/>
        <v>0</v>
      </c>
      <c r="K836" s="16">
        <f t="shared" si="203"/>
        <v>0</v>
      </c>
      <c r="L836" s="67">
        <f t="shared" si="204"/>
        <v>0</v>
      </c>
      <c r="M836" s="4">
        <f t="shared" si="205"/>
        <v>0</v>
      </c>
      <c r="N836" s="4">
        <f t="shared" si="206"/>
        <v>0</v>
      </c>
      <c r="O836" s="4">
        <f t="shared" si="207"/>
        <v>0</v>
      </c>
      <c r="P836" s="4" t="e">
        <f>VLOOKUP(AJ828,'CIR Team Info'!$C$5:$E$44,2,FALSE)</f>
        <v>#N/A</v>
      </c>
      <c r="Q836" s="4" t="e">
        <f>VLOOKUP(AJ828,'CIR Team Info'!$C$5:$E$44,3,FALSE)</f>
        <v>#N/A</v>
      </c>
      <c r="R836" s="10" t="e">
        <f>VLOOKUP(AJ828,'FRC Site Data'!$B$3:$L$42,2,FALSE)</f>
        <v>#N/A</v>
      </c>
      <c r="S836" s="10" t="e">
        <f>VLOOKUP(AJ828,'FRC Site Data'!$B$3:$L$42,3,FALSE)</f>
        <v>#N/A</v>
      </c>
      <c r="T836" s="10" t="e">
        <f>VLOOKUP(AJ828,'FRC Site Data'!$B$3:$L$42,4,FALSE)</f>
        <v>#N/A</v>
      </c>
      <c r="U836" s="10" t="e">
        <f>VLOOKUP(AJ828,'FRC Site Data'!$B$3:$L$42,5,FALSE)</f>
        <v>#N/A</v>
      </c>
      <c r="V836" s="10" t="e">
        <f>VLOOKUP(AJ828,'FRC Site Data'!$B$3:$L$42,6,FALSE)</f>
        <v>#N/A</v>
      </c>
      <c r="W836" s="10" t="e">
        <f>VLOOKUP(AJ828,'FRC Site Data'!$B$3:$L$42,8,FALSE)</f>
        <v>#N/A</v>
      </c>
      <c r="X836" s="10" t="e">
        <f>VLOOKUP(AJ828,'FRC Site Data'!$B$3:$L$42,9,FALSE)</f>
        <v>#N/A</v>
      </c>
      <c r="Y836" s="10" t="e">
        <f>VLOOKUP(AJ828,'FRC Site Data'!$B$3:$L$42,10,FALSE)</f>
        <v>#N/A</v>
      </c>
      <c r="Z836" s="10" t="e">
        <f>VLOOKUP(AJ828,'FRC Site Data'!$B$3:$L$42,11,FALSE)</f>
        <v>#N/A</v>
      </c>
      <c r="AA836" s="10" t="e">
        <f>VLOOKUP(AJ828,'CIR Team Info'!$C$5:$E$44,4,FALSE)</f>
        <v>#N/A</v>
      </c>
      <c r="AB836" s="161" t="b">
        <f>ISNUMBER(VLOOKUP(AJ828,Match!$T$5:$T$10,1,FALSE))</f>
        <v>0</v>
      </c>
      <c r="AC836" s="161" t="b">
        <f>IF(AB836=TRUE,(VLOOKUP($AJ828,Match!$T$5:$U$10,2,FALSE)))</f>
        <v>0</v>
      </c>
      <c r="AD836" s="8">
        <v>3</v>
      </c>
      <c r="AE836" s="8">
        <v>2</v>
      </c>
      <c r="AF836" s="8">
        <v>2</v>
      </c>
      <c r="AG836" s="8">
        <v>1</v>
      </c>
      <c r="AH836" s="8" t="str">
        <f t="shared" si="209"/>
        <v/>
      </c>
    </row>
    <row r="837" spans="1:34" x14ac:dyDescent="0.25">
      <c r="A837" s="29">
        <f t="shared" si="208"/>
        <v>0</v>
      </c>
      <c r="B837" s="29">
        <f t="shared" si="195"/>
        <v>0</v>
      </c>
      <c r="C837" s="29">
        <f t="shared" si="196"/>
        <v>0</v>
      </c>
      <c r="D837" s="29">
        <f t="shared" si="197"/>
        <v>0</v>
      </c>
      <c r="E837" s="29">
        <f t="shared" si="210"/>
        <v>0</v>
      </c>
      <c r="F837" s="29">
        <f t="shared" si="198"/>
        <v>0</v>
      </c>
      <c r="G837" s="29" t="str">
        <f t="shared" si="199"/>
        <v>offensive</v>
      </c>
      <c r="H837" s="16">
        <f t="shared" si="200"/>
        <v>0</v>
      </c>
      <c r="I837" s="16">
        <f t="shared" si="201"/>
        <v>0</v>
      </c>
      <c r="J837" s="16">
        <f t="shared" si="202"/>
        <v>0</v>
      </c>
      <c r="K837" s="16">
        <f t="shared" si="203"/>
        <v>0</v>
      </c>
      <c r="L837" s="67">
        <f t="shared" si="204"/>
        <v>0</v>
      </c>
      <c r="M837" s="4">
        <f t="shared" si="205"/>
        <v>0</v>
      </c>
      <c r="N837" s="4">
        <f t="shared" si="206"/>
        <v>0</v>
      </c>
      <c r="O837" s="4">
        <f t="shared" si="207"/>
        <v>0</v>
      </c>
      <c r="P837" s="4" t="e">
        <f>VLOOKUP(AJ829,'CIR Team Info'!$C$5:$E$44,2,FALSE)</f>
        <v>#N/A</v>
      </c>
      <c r="Q837" s="4" t="e">
        <f>VLOOKUP(AJ829,'CIR Team Info'!$C$5:$E$44,3,FALSE)</f>
        <v>#N/A</v>
      </c>
      <c r="R837" s="10" t="e">
        <f>VLOOKUP(AJ829,'FRC Site Data'!$B$3:$L$42,2,FALSE)</f>
        <v>#N/A</v>
      </c>
      <c r="S837" s="10" t="e">
        <f>VLOOKUP(AJ829,'FRC Site Data'!$B$3:$L$42,3,FALSE)</f>
        <v>#N/A</v>
      </c>
      <c r="T837" s="10" t="e">
        <f>VLOOKUP(AJ829,'FRC Site Data'!$B$3:$L$42,4,FALSE)</f>
        <v>#N/A</v>
      </c>
      <c r="U837" s="10" t="e">
        <f>VLOOKUP(AJ829,'FRC Site Data'!$B$3:$L$42,5,FALSE)</f>
        <v>#N/A</v>
      </c>
      <c r="V837" s="10" t="e">
        <f>VLOOKUP(AJ829,'FRC Site Data'!$B$3:$L$42,6,FALSE)</f>
        <v>#N/A</v>
      </c>
      <c r="W837" s="10" t="e">
        <f>VLOOKUP(AJ829,'FRC Site Data'!$B$3:$L$42,8,FALSE)</f>
        <v>#N/A</v>
      </c>
      <c r="X837" s="10" t="e">
        <f>VLOOKUP(AJ829,'FRC Site Data'!$B$3:$L$42,9,FALSE)</f>
        <v>#N/A</v>
      </c>
      <c r="Y837" s="10" t="e">
        <f>VLOOKUP(AJ829,'FRC Site Data'!$B$3:$L$42,10,FALSE)</f>
        <v>#N/A</v>
      </c>
      <c r="Z837" s="10" t="e">
        <f>VLOOKUP(AJ829,'FRC Site Data'!$B$3:$L$42,11,FALSE)</f>
        <v>#N/A</v>
      </c>
      <c r="AA837" s="10" t="e">
        <f>VLOOKUP(AJ829,'CIR Team Info'!$C$5:$E$44,4,FALSE)</f>
        <v>#N/A</v>
      </c>
      <c r="AB837" s="161" t="b">
        <f>ISNUMBER(VLOOKUP(AJ829,Match!$T$5:$T$10,1,FALSE))</f>
        <v>0</v>
      </c>
      <c r="AC837" s="161" t="b">
        <f>IF(AB837=TRUE,(VLOOKUP($AJ829,Match!$T$5:$U$10,2,FALSE)))</f>
        <v>0</v>
      </c>
      <c r="AD837" s="8">
        <v>3</v>
      </c>
      <c r="AE837" s="8">
        <v>2</v>
      </c>
      <c r="AF837" s="8">
        <v>2</v>
      </c>
      <c r="AG837" s="8">
        <v>1</v>
      </c>
      <c r="AH837" s="8" t="str">
        <f t="shared" si="209"/>
        <v/>
      </c>
    </row>
    <row r="838" spans="1:34" x14ac:dyDescent="0.25">
      <c r="A838" s="29">
        <f t="shared" si="208"/>
        <v>0</v>
      </c>
      <c r="B838" s="29">
        <f t="shared" si="195"/>
        <v>0</v>
      </c>
      <c r="C838" s="29">
        <f t="shared" si="196"/>
        <v>0</v>
      </c>
      <c r="D838" s="29">
        <f t="shared" si="197"/>
        <v>0</v>
      </c>
      <c r="E838" s="29">
        <f t="shared" si="210"/>
        <v>0</v>
      </c>
      <c r="F838" s="29">
        <f t="shared" si="198"/>
        <v>0</v>
      </c>
      <c r="G838" s="29" t="str">
        <f t="shared" si="199"/>
        <v>offensive</v>
      </c>
      <c r="H838" s="16">
        <f t="shared" si="200"/>
        <v>0</v>
      </c>
      <c r="I838" s="16">
        <f t="shared" si="201"/>
        <v>0</v>
      </c>
      <c r="J838" s="16">
        <f t="shared" si="202"/>
        <v>0</v>
      </c>
      <c r="K838" s="16">
        <f t="shared" si="203"/>
        <v>0</v>
      </c>
      <c r="L838" s="67">
        <f t="shared" si="204"/>
        <v>0</v>
      </c>
      <c r="M838" s="4">
        <f t="shared" si="205"/>
        <v>0</v>
      </c>
      <c r="N838" s="4">
        <f t="shared" si="206"/>
        <v>0</v>
      </c>
      <c r="O838" s="4">
        <f t="shared" si="207"/>
        <v>0</v>
      </c>
      <c r="P838" s="4" t="e">
        <f>VLOOKUP(AJ830,'CIR Team Info'!$C$5:$E$44,2,FALSE)</f>
        <v>#N/A</v>
      </c>
      <c r="Q838" s="4" t="e">
        <f>VLOOKUP(AJ830,'CIR Team Info'!$C$5:$E$44,3,FALSE)</f>
        <v>#N/A</v>
      </c>
      <c r="R838" s="10" t="e">
        <f>VLOOKUP(AJ830,'FRC Site Data'!$B$3:$L$42,2,FALSE)</f>
        <v>#N/A</v>
      </c>
      <c r="S838" s="10" t="e">
        <f>VLOOKUP(AJ830,'FRC Site Data'!$B$3:$L$42,3,FALSE)</f>
        <v>#N/A</v>
      </c>
      <c r="T838" s="10" t="e">
        <f>VLOOKUP(AJ830,'FRC Site Data'!$B$3:$L$42,4,FALSE)</f>
        <v>#N/A</v>
      </c>
      <c r="U838" s="10" t="e">
        <f>VLOOKUP(AJ830,'FRC Site Data'!$B$3:$L$42,5,FALSE)</f>
        <v>#N/A</v>
      </c>
      <c r="V838" s="10" t="e">
        <f>VLOOKUP(AJ830,'FRC Site Data'!$B$3:$L$42,6,FALSE)</f>
        <v>#N/A</v>
      </c>
      <c r="W838" s="10" t="e">
        <f>VLOOKUP(AJ830,'FRC Site Data'!$B$3:$L$42,8,FALSE)</f>
        <v>#N/A</v>
      </c>
      <c r="X838" s="10" t="e">
        <f>VLOOKUP(AJ830,'FRC Site Data'!$B$3:$L$42,9,FALSE)</f>
        <v>#N/A</v>
      </c>
      <c r="Y838" s="10" t="e">
        <f>VLOOKUP(AJ830,'FRC Site Data'!$B$3:$L$42,10,FALSE)</f>
        <v>#N/A</v>
      </c>
      <c r="Z838" s="10" t="e">
        <f>VLOOKUP(AJ830,'FRC Site Data'!$B$3:$L$42,11,FALSE)</f>
        <v>#N/A</v>
      </c>
      <c r="AA838" s="10" t="e">
        <f>VLOOKUP(AJ830,'CIR Team Info'!$C$5:$E$44,4,FALSE)</f>
        <v>#N/A</v>
      </c>
      <c r="AB838" s="161" t="b">
        <f>ISNUMBER(VLOOKUP(AJ830,Match!$T$5:$T$10,1,FALSE))</f>
        <v>0</v>
      </c>
      <c r="AC838" s="161" t="b">
        <f>IF(AB838=TRUE,(VLOOKUP($AJ830,Match!$T$5:$U$10,2,FALSE)))</f>
        <v>0</v>
      </c>
      <c r="AD838" s="8">
        <v>3</v>
      </c>
      <c r="AE838" s="8">
        <v>2</v>
      </c>
      <c r="AF838" s="8">
        <v>2</v>
      </c>
      <c r="AG838" s="8">
        <v>1</v>
      </c>
      <c r="AH838" s="8" t="str">
        <f t="shared" si="209"/>
        <v/>
      </c>
    </row>
    <row r="839" spans="1:34" x14ac:dyDescent="0.25">
      <c r="A839" s="29">
        <f t="shared" si="208"/>
        <v>0</v>
      </c>
      <c r="B839" s="29">
        <f t="shared" si="195"/>
        <v>0</v>
      </c>
      <c r="C839" s="29">
        <f t="shared" si="196"/>
        <v>0</v>
      </c>
      <c r="D839" s="29">
        <f t="shared" si="197"/>
        <v>0</v>
      </c>
      <c r="E839" s="29">
        <f t="shared" si="210"/>
        <v>0</v>
      </c>
      <c r="F839" s="29">
        <f t="shared" si="198"/>
        <v>0</v>
      </c>
      <c r="G839" s="29" t="str">
        <f t="shared" si="199"/>
        <v>offensive</v>
      </c>
      <c r="H839" s="16">
        <f t="shared" si="200"/>
        <v>0</v>
      </c>
      <c r="I839" s="16">
        <f t="shared" si="201"/>
        <v>0</v>
      </c>
      <c r="J839" s="16">
        <f t="shared" si="202"/>
        <v>0</v>
      </c>
      <c r="K839" s="16">
        <f t="shared" si="203"/>
        <v>0</v>
      </c>
      <c r="L839" s="67">
        <f t="shared" si="204"/>
        <v>0</v>
      </c>
      <c r="M839" s="4">
        <f t="shared" si="205"/>
        <v>0</v>
      </c>
      <c r="N839" s="4">
        <f t="shared" si="206"/>
        <v>0</v>
      </c>
      <c r="O839" s="4">
        <f t="shared" si="207"/>
        <v>0</v>
      </c>
      <c r="P839" s="4" t="e">
        <f>VLOOKUP(AJ831,'CIR Team Info'!$C$5:$E$44,2,FALSE)</f>
        <v>#N/A</v>
      </c>
      <c r="Q839" s="4" t="e">
        <f>VLOOKUP(AJ831,'CIR Team Info'!$C$5:$E$44,3,FALSE)</f>
        <v>#N/A</v>
      </c>
      <c r="R839" s="10" t="e">
        <f>VLOOKUP(AJ831,'FRC Site Data'!$B$3:$L$42,2,FALSE)</f>
        <v>#N/A</v>
      </c>
      <c r="S839" s="10" t="e">
        <f>VLOOKUP(AJ831,'FRC Site Data'!$B$3:$L$42,3,FALSE)</f>
        <v>#N/A</v>
      </c>
      <c r="T839" s="10" t="e">
        <f>VLOOKUP(AJ831,'FRC Site Data'!$B$3:$L$42,4,FALSE)</f>
        <v>#N/A</v>
      </c>
      <c r="U839" s="10" t="e">
        <f>VLOOKUP(AJ831,'FRC Site Data'!$B$3:$L$42,5,FALSE)</f>
        <v>#N/A</v>
      </c>
      <c r="V839" s="10" t="e">
        <f>VLOOKUP(AJ831,'FRC Site Data'!$B$3:$L$42,6,FALSE)</f>
        <v>#N/A</v>
      </c>
      <c r="W839" s="10" t="e">
        <f>VLOOKUP(AJ831,'FRC Site Data'!$B$3:$L$42,8,FALSE)</f>
        <v>#N/A</v>
      </c>
      <c r="X839" s="10" t="e">
        <f>VLOOKUP(AJ831,'FRC Site Data'!$B$3:$L$42,9,FALSE)</f>
        <v>#N/A</v>
      </c>
      <c r="Y839" s="10" t="e">
        <f>VLOOKUP(AJ831,'FRC Site Data'!$B$3:$L$42,10,FALSE)</f>
        <v>#N/A</v>
      </c>
      <c r="Z839" s="10" t="e">
        <f>VLOOKUP(AJ831,'FRC Site Data'!$B$3:$L$42,11,FALSE)</f>
        <v>#N/A</v>
      </c>
      <c r="AA839" s="10" t="e">
        <f>VLOOKUP(AJ831,'CIR Team Info'!$C$5:$E$44,4,FALSE)</f>
        <v>#N/A</v>
      </c>
      <c r="AB839" s="161" t="b">
        <f>ISNUMBER(VLOOKUP(AJ831,Match!$T$5:$T$10,1,FALSE))</f>
        <v>0</v>
      </c>
      <c r="AC839" s="161" t="b">
        <f>IF(AB839=TRUE,(VLOOKUP($AJ831,Match!$T$5:$U$10,2,FALSE)))</f>
        <v>0</v>
      </c>
      <c r="AD839" s="8">
        <v>3</v>
      </c>
      <c r="AE839" s="8">
        <v>2</v>
      </c>
      <c r="AF839" s="8">
        <v>2</v>
      </c>
      <c r="AG839" s="8">
        <v>1</v>
      </c>
      <c r="AH839" s="8" t="str">
        <f t="shared" si="209"/>
        <v/>
      </c>
    </row>
    <row r="840" spans="1:34" x14ac:dyDescent="0.25">
      <c r="A840" s="29">
        <f t="shared" si="208"/>
        <v>0</v>
      </c>
      <c r="B840" s="29">
        <f t="shared" ref="B840:B903" si="211">H840*AD840*AO832</f>
        <v>0</v>
      </c>
      <c r="C840" s="29">
        <f t="shared" ref="C840:C903" si="212">I840*AE840*AV832</f>
        <v>0</v>
      </c>
      <c r="D840" s="29">
        <f t="shared" ref="D840:D903" si="213">J840*AF840*BF832</f>
        <v>0</v>
      </c>
      <c r="E840" s="29">
        <f t="shared" si="210"/>
        <v>0</v>
      </c>
      <c r="F840" s="29">
        <f t="shared" ref="F840:F903" si="214">IF(AN832&gt;0,5)-2*COUNTIF(AQ832,"K")+5*COUNTIF(AS832,"T")+IF(AX832=3,2)+IF(AY832="T",2)</f>
        <v>0</v>
      </c>
      <c r="G840" s="29" t="str">
        <f t="shared" ref="G840:G903" si="215">IF((BB832+BC832)&gt;45,"defensive",IF((BB832+BC832)&gt;15,"both","offensive"))</f>
        <v>offensive</v>
      </c>
      <c r="H840" s="16">
        <f t="shared" ref="H840:H903" si="216">IF((AO832+AP832)=0,0,AO832/(AO832+AP832))</f>
        <v>0</v>
      </c>
      <c r="I840" s="16">
        <f t="shared" ref="I840:I903" si="217">IF((AV832+AW832)=0,0,AV832/(AV832+AW832))</f>
        <v>0</v>
      </c>
      <c r="J840" s="16">
        <f t="shared" ref="J840:J903" si="218">IF(L840=0,0,BG832/L840)</f>
        <v>0</v>
      </c>
      <c r="K840" s="16">
        <f t="shared" ref="K840:K903" si="219">IF((BB832+BC832)=0,0,((AZ832*BB832*0.2)+(BA832*BC832*0.3))/(BB832+BC832))</f>
        <v>0</v>
      </c>
      <c r="L840" s="67">
        <f t="shared" ref="L840:L903" si="220">IF(BF832&gt;BG832,BF832,BG832)</f>
        <v>0</v>
      </c>
      <c r="M840" s="4">
        <f t="shared" ref="M840:M903" si="221">AO832+AV832+BD832+O840</f>
        <v>0</v>
      </c>
      <c r="N840" s="4">
        <f t="shared" ref="N840:N903" si="222">AO832+AV832+BD832</f>
        <v>0</v>
      </c>
      <c r="O840" s="4">
        <f t="shared" ref="O840:O903" si="223">(AZ832*0.2*BB832*30/30)+(BA832*0.3*BC832*12/30)-BI832-BJ832</f>
        <v>0</v>
      </c>
      <c r="P840" s="4" t="e">
        <f>VLOOKUP(AJ832,'CIR Team Info'!$C$5:$E$44,2,FALSE)</f>
        <v>#N/A</v>
      </c>
      <c r="Q840" s="4" t="e">
        <f>VLOOKUP(AJ832,'CIR Team Info'!$C$5:$E$44,3,FALSE)</f>
        <v>#N/A</v>
      </c>
      <c r="R840" s="10" t="e">
        <f>VLOOKUP(AJ832,'FRC Site Data'!$B$3:$L$42,2,FALSE)</f>
        <v>#N/A</v>
      </c>
      <c r="S840" s="10" t="e">
        <f>VLOOKUP(AJ832,'FRC Site Data'!$B$3:$L$42,3,FALSE)</f>
        <v>#N/A</v>
      </c>
      <c r="T840" s="10" t="e">
        <f>VLOOKUP(AJ832,'FRC Site Data'!$B$3:$L$42,4,FALSE)</f>
        <v>#N/A</v>
      </c>
      <c r="U840" s="10" t="e">
        <f>VLOOKUP(AJ832,'FRC Site Data'!$B$3:$L$42,5,FALSE)</f>
        <v>#N/A</v>
      </c>
      <c r="V840" s="10" t="e">
        <f>VLOOKUP(AJ832,'FRC Site Data'!$B$3:$L$42,6,FALSE)</f>
        <v>#N/A</v>
      </c>
      <c r="W840" s="10" t="e">
        <f>VLOOKUP(AJ832,'FRC Site Data'!$B$3:$L$42,8,FALSE)</f>
        <v>#N/A</v>
      </c>
      <c r="X840" s="10" t="e">
        <f>VLOOKUP(AJ832,'FRC Site Data'!$B$3:$L$42,9,FALSE)</f>
        <v>#N/A</v>
      </c>
      <c r="Y840" s="10" t="e">
        <f>VLOOKUP(AJ832,'FRC Site Data'!$B$3:$L$42,10,FALSE)</f>
        <v>#N/A</v>
      </c>
      <c r="Z840" s="10" t="e">
        <f>VLOOKUP(AJ832,'FRC Site Data'!$B$3:$L$42,11,FALSE)</f>
        <v>#N/A</v>
      </c>
      <c r="AA840" s="10" t="e">
        <f>VLOOKUP(AJ832,'CIR Team Info'!$C$5:$E$44,4,FALSE)</f>
        <v>#N/A</v>
      </c>
      <c r="AB840" s="161" t="b">
        <f>ISNUMBER(VLOOKUP(AJ832,Match!$T$5:$T$10,1,FALSE))</f>
        <v>0</v>
      </c>
      <c r="AC840" s="161" t="b">
        <f>IF(AB840=TRUE,(VLOOKUP($AJ832,Match!$T$5:$U$10,2,FALSE)))</f>
        <v>0</v>
      </c>
      <c r="AD840" s="8">
        <v>3</v>
      </c>
      <c r="AE840" s="8">
        <v>2</v>
      </c>
      <c r="AF840" s="8">
        <v>2</v>
      </c>
      <c r="AG840" s="8">
        <v>1</v>
      </c>
      <c r="AH840" s="8" t="str">
        <f t="shared" si="209"/>
        <v/>
      </c>
    </row>
    <row r="841" spans="1:34" x14ac:dyDescent="0.25">
      <c r="A841" s="29">
        <f t="shared" si="208"/>
        <v>0</v>
      </c>
      <c r="B841" s="29">
        <f t="shared" si="211"/>
        <v>0</v>
      </c>
      <c r="C841" s="29">
        <f t="shared" si="212"/>
        <v>0</v>
      </c>
      <c r="D841" s="29">
        <f t="shared" si="213"/>
        <v>0</v>
      </c>
      <c r="E841" s="29">
        <f t="shared" si="210"/>
        <v>0</v>
      </c>
      <c r="F841" s="29">
        <f t="shared" si="214"/>
        <v>0</v>
      </c>
      <c r="G841" s="29" t="str">
        <f t="shared" si="215"/>
        <v>offensive</v>
      </c>
      <c r="H841" s="16">
        <f t="shared" si="216"/>
        <v>0</v>
      </c>
      <c r="I841" s="16">
        <f t="shared" si="217"/>
        <v>0</v>
      </c>
      <c r="J841" s="16">
        <f t="shared" si="218"/>
        <v>0</v>
      </c>
      <c r="K841" s="16">
        <f t="shared" si="219"/>
        <v>0</v>
      </c>
      <c r="L841" s="67">
        <f t="shared" si="220"/>
        <v>0</v>
      </c>
      <c r="M841" s="4">
        <f t="shared" si="221"/>
        <v>0</v>
      </c>
      <c r="N841" s="4">
        <f t="shared" si="222"/>
        <v>0</v>
      </c>
      <c r="O841" s="4">
        <f t="shared" si="223"/>
        <v>0</v>
      </c>
      <c r="P841" s="4" t="e">
        <f>VLOOKUP(AJ833,'CIR Team Info'!$C$5:$E$44,2,FALSE)</f>
        <v>#N/A</v>
      </c>
      <c r="Q841" s="4" t="e">
        <f>VLOOKUP(AJ833,'CIR Team Info'!$C$5:$E$44,3,FALSE)</f>
        <v>#N/A</v>
      </c>
      <c r="R841" s="10" t="e">
        <f>VLOOKUP(AJ833,'FRC Site Data'!$B$3:$L$42,2,FALSE)</f>
        <v>#N/A</v>
      </c>
      <c r="S841" s="10" t="e">
        <f>VLOOKUP(AJ833,'FRC Site Data'!$B$3:$L$42,3,FALSE)</f>
        <v>#N/A</v>
      </c>
      <c r="T841" s="10" t="e">
        <f>VLOOKUP(AJ833,'FRC Site Data'!$B$3:$L$42,4,FALSE)</f>
        <v>#N/A</v>
      </c>
      <c r="U841" s="10" t="e">
        <f>VLOOKUP(AJ833,'FRC Site Data'!$B$3:$L$42,5,FALSE)</f>
        <v>#N/A</v>
      </c>
      <c r="V841" s="10" t="e">
        <f>VLOOKUP(AJ833,'FRC Site Data'!$B$3:$L$42,6,FALSE)</f>
        <v>#N/A</v>
      </c>
      <c r="W841" s="10" t="e">
        <f>VLOOKUP(AJ833,'FRC Site Data'!$B$3:$L$42,8,FALSE)</f>
        <v>#N/A</v>
      </c>
      <c r="X841" s="10" t="e">
        <f>VLOOKUP(AJ833,'FRC Site Data'!$B$3:$L$42,9,FALSE)</f>
        <v>#N/A</v>
      </c>
      <c r="Y841" s="10" t="e">
        <f>VLOOKUP(AJ833,'FRC Site Data'!$B$3:$L$42,10,FALSE)</f>
        <v>#N/A</v>
      </c>
      <c r="Z841" s="10" t="e">
        <f>VLOOKUP(AJ833,'FRC Site Data'!$B$3:$L$42,11,FALSE)</f>
        <v>#N/A</v>
      </c>
      <c r="AA841" s="10" t="e">
        <f>VLOOKUP(AJ833,'CIR Team Info'!$C$5:$E$44,4,FALSE)</f>
        <v>#N/A</v>
      </c>
      <c r="AB841" s="161" t="b">
        <f>ISNUMBER(VLOOKUP(AJ833,Match!$T$5:$T$10,1,FALSE))</f>
        <v>0</v>
      </c>
      <c r="AC841" s="161" t="b">
        <f>IF(AB841=TRUE,(VLOOKUP($AJ833,Match!$T$5:$U$10,2,FALSE)))</f>
        <v>0</v>
      </c>
      <c r="AD841" s="8">
        <v>3</v>
      </c>
      <c r="AE841" s="8">
        <v>2</v>
      </c>
      <c r="AF841" s="8">
        <v>2</v>
      </c>
      <c r="AG841" s="8">
        <v>1</v>
      </c>
      <c r="AH841" s="8" t="str">
        <f t="shared" si="209"/>
        <v/>
      </c>
    </row>
    <row r="842" spans="1:34" x14ac:dyDescent="0.25">
      <c r="A842" s="29">
        <f t="shared" ref="A842:A905" si="224">SUM(B842:F842)</f>
        <v>0</v>
      </c>
      <c r="B842" s="29">
        <f t="shared" si="211"/>
        <v>0</v>
      </c>
      <c r="C842" s="29">
        <f t="shared" si="212"/>
        <v>0</v>
      </c>
      <c r="D842" s="29">
        <f t="shared" si="213"/>
        <v>0</v>
      </c>
      <c r="E842" s="29">
        <f t="shared" si="210"/>
        <v>0</v>
      </c>
      <c r="F842" s="29">
        <f t="shared" si="214"/>
        <v>0</v>
      </c>
      <c r="G842" s="29" t="str">
        <f t="shared" si="215"/>
        <v>offensive</v>
      </c>
      <c r="H842" s="16">
        <f t="shared" si="216"/>
        <v>0</v>
      </c>
      <c r="I842" s="16">
        <f t="shared" si="217"/>
        <v>0</v>
      </c>
      <c r="J842" s="16">
        <f t="shared" si="218"/>
        <v>0</v>
      </c>
      <c r="K842" s="16">
        <f t="shared" si="219"/>
        <v>0</v>
      </c>
      <c r="L842" s="67">
        <f t="shared" si="220"/>
        <v>0</v>
      </c>
      <c r="M842" s="4">
        <f t="shared" si="221"/>
        <v>0</v>
      </c>
      <c r="N842" s="4">
        <f t="shared" si="222"/>
        <v>0</v>
      </c>
      <c r="O842" s="4">
        <f t="shared" si="223"/>
        <v>0</v>
      </c>
      <c r="P842" s="4" t="e">
        <f>VLOOKUP(AJ834,'CIR Team Info'!$C$5:$E$44,2,FALSE)</f>
        <v>#N/A</v>
      </c>
      <c r="Q842" s="4" t="e">
        <f>VLOOKUP(AJ834,'CIR Team Info'!$C$5:$E$44,3,FALSE)</f>
        <v>#N/A</v>
      </c>
      <c r="R842" s="10" t="e">
        <f>VLOOKUP(AJ834,'FRC Site Data'!$B$3:$L$42,2,FALSE)</f>
        <v>#N/A</v>
      </c>
      <c r="S842" s="10" t="e">
        <f>VLOOKUP(AJ834,'FRC Site Data'!$B$3:$L$42,3,FALSE)</f>
        <v>#N/A</v>
      </c>
      <c r="T842" s="10" t="e">
        <f>VLOOKUP(AJ834,'FRC Site Data'!$B$3:$L$42,4,FALSE)</f>
        <v>#N/A</v>
      </c>
      <c r="U842" s="10" t="e">
        <f>VLOOKUP(AJ834,'FRC Site Data'!$B$3:$L$42,5,FALSE)</f>
        <v>#N/A</v>
      </c>
      <c r="V842" s="10" t="e">
        <f>VLOOKUP(AJ834,'FRC Site Data'!$B$3:$L$42,6,FALSE)</f>
        <v>#N/A</v>
      </c>
      <c r="W842" s="10" t="e">
        <f>VLOOKUP(AJ834,'FRC Site Data'!$B$3:$L$42,8,FALSE)</f>
        <v>#N/A</v>
      </c>
      <c r="X842" s="10" t="e">
        <f>VLOOKUP(AJ834,'FRC Site Data'!$B$3:$L$42,9,FALSE)</f>
        <v>#N/A</v>
      </c>
      <c r="Y842" s="10" t="e">
        <f>VLOOKUP(AJ834,'FRC Site Data'!$B$3:$L$42,10,FALSE)</f>
        <v>#N/A</v>
      </c>
      <c r="Z842" s="10" t="e">
        <f>VLOOKUP(AJ834,'FRC Site Data'!$B$3:$L$42,11,FALSE)</f>
        <v>#N/A</v>
      </c>
      <c r="AA842" s="10" t="e">
        <f>VLOOKUP(AJ834,'CIR Team Info'!$C$5:$E$44,4,FALSE)</f>
        <v>#N/A</v>
      </c>
      <c r="AB842" s="161" t="b">
        <f>ISNUMBER(VLOOKUP(AJ834,Match!$T$5:$T$10,1,FALSE))</f>
        <v>0</v>
      </c>
      <c r="AC842" s="161" t="b">
        <f>IF(AB842=TRUE,(VLOOKUP($AJ834,Match!$T$5:$U$10,2,FALSE)))</f>
        <v>0</v>
      </c>
      <c r="AD842" s="8">
        <v>3</v>
      </c>
      <c r="AE842" s="8">
        <v>2</v>
      </c>
      <c r="AF842" s="8">
        <v>2</v>
      </c>
      <c r="AG842" s="8">
        <v>1</v>
      </c>
      <c r="AH842" s="8" t="str">
        <f t="shared" si="209"/>
        <v/>
      </c>
    </row>
    <row r="843" spans="1:34" x14ac:dyDescent="0.25">
      <c r="A843" s="29">
        <f t="shared" si="224"/>
        <v>0</v>
      </c>
      <c r="B843" s="29">
        <f t="shared" si="211"/>
        <v>0</v>
      </c>
      <c r="C843" s="29">
        <f t="shared" si="212"/>
        <v>0</v>
      </c>
      <c r="D843" s="29">
        <f t="shared" si="213"/>
        <v>0</v>
      </c>
      <c r="E843" s="29">
        <f t="shared" si="210"/>
        <v>0</v>
      </c>
      <c r="F843" s="29">
        <f t="shared" si="214"/>
        <v>0</v>
      </c>
      <c r="G843" s="29" t="str">
        <f t="shared" si="215"/>
        <v>offensive</v>
      </c>
      <c r="H843" s="16">
        <f t="shared" si="216"/>
        <v>0</v>
      </c>
      <c r="I843" s="16">
        <f t="shared" si="217"/>
        <v>0</v>
      </c>
      <c r="J843" s="16">
        <f t="shared" si="218"/>
        <v>0</v>
      </c>
      <c r="K843" s="16">
        <f t="shared" si="219"/>
        <v>0</v>
      </c>
      <c r="L843" s="67">
        <f t="shared" si="220"/>
        <v>0</v>
      </c>
      <c r="M843" s="4">
        <f t="shared" si="221"/>
        <v>0</v>
      </c>
      <c r="N843" s="4">
        <f t="shared" si="222"/>
        <v>0</v>
      </c>
      <c r="O843" s="4">
        <f t="shared" si="223"/>
        <v>0</v>
      </c>
      <c r="P843" s="4" t="e">
        <f>VLOOKUP(AJ835,'CIR Team Info'!$C$5:$E$44,2,FALSE)</f>
        <v>#N/A</v>
      </c>
      <c r="Q843" s="4" t="e">
        <f>VLOOKUP(AJ835,'CIR Team Info'!$C$5:$E$44,3,FALSE)</f>
        <v>#N/A</v>
      </c>
      <c r="R843" s="10" t="e">
        <f>VLOOKUP(AJ835,'FRC Site Data'!$B$3:$L$42,2,FALSE)</f>
        <v>#N/A</v>
      </c>
      <c r="S843" s="10" t="e">
        <f>VLOOKUP(AJ835,'FRC Site Data'!$B$3:$L$42,3,FALSE)</f>
        <v>#N/A</v>
      </c>
      <c r="T843" s="10" t="e">
        <f>VLOOKUP(AJ835,'FRC Site Data'!$B$3:$L$42,4,FALSE)</f>
        <v>#N/A</v>
      </c>
      <c r="U843" s="10" t="e">
        <f>VLOOKUP(AJ835,'FRC Site Data'!$B$3:$L$42,5,FALSE)</f>
        <v>#N/A</v>
      </c>
      <c r="V843" s="10" t="e">
        <f>VLOOKUP(AJ835,'FRC Site Data'!$B$3:$L$42,6,FALSE)</f>
        <v>#N/A</v>
      </c>
      <c r="W843" s="10" t="e">
        <f>VLOOKUP(AJ835,'FRC Site Data'!$B$3:$L$42,8,FALSE)</f>
        <v>#N/A</v>
      </c>
      <c r="X843" s="10" t="e">
        <f>VLOOKUP(AJ835,'FRC Site Data'!$B$3:$L$42,9,FALSE)</f>
        <v>#N/A</v>
      </c>
      <c r="Y843" s="10" t="e">
        <f>VLOOKUP(AJ835,'FRC Site Data'!$B$3:$L$42,10,FALSE)</f>
        <v>#N/A</v>
      </c>
      <c r="Z843" s="10" t="e">
        <f>VLOOKUP(AJ835,'FRC Site Data'!$B$3:$L$42,11,FALSE)</f>
        <v>#N/A</v>
      </c>
      <c r="AA843" s="10" t="e">
        <f>VLOOKUP(AJ835,'CIR Team Info'!$C$5:$E$44,4,FALSE)</f>
        <v>#N/A</v>
      </c>
      <c r="AB843" s="161" t="b">
        <f>ISNUMBER(VLOOKUP(AJ835,Match!$T$5:$T$10,1,FALSE))</f>
        <v>0</v>
      </c>
      <c r="AC843" s="161" t="b">
        <f>IF(AB843=TRUE,(VLOOKUP($AJ835,Match!$T$5:$U$10,2,FALSE)))</f>
        <v>0</v>
      </c>
      <c r="AD843" s="8">
        <v>3</v>
      </c>
      <c r="AE843" s="8">
        <v>2</v>
      </c>
      <c r="AF843" s="8">
        <v>2</v>
      </c>
      <c r="AG843" s="8">
        <v>1</v>
      </c>
      <c r="AH843" s="8" t="str">
        <f t="shared" si="209"/>
        <v/>
      </c>
    </row>
    <row r="844" spans="1:34" x14ac:dyDescent="0.25">
      <c r="A844" s="29">
        <f t="shared" si="224"/>
        <v>0</v>
      </c>
      <c r="B844" s="29">
        <f t="shared" si="211"/>
        <v>0</v>
      </c>
      <c r="C844" s="29">
        <f t="shared" si="212"/>
        <v>0</v>
      </c>
      <c r="D844" s="29">
        <f t="shared" si="213"/>
        <v>0</v>
      </c>
      <c r="E844" s="29">
        <f t="shared" si="210"/>
        <v>0</v>
      </c>
      <c r="F844" s="29">
        <f t="shared" si="214"/>
        <v>0</v>
      </c>
      <c r="G844" s="29" t="str">
        <f t="shared" si="215"/>
        <v>offensive</v>
      </c>
      <c r="H844" s="16">
        <f t="shared" si="216"/>
        <v>0</v>
      </c>
      <c r="I844" s="16">
        <f t="shared" si="217"/>
        <v>0</v>
      </c>
      <c r="J844" s="16">
        <f t="shared" si="218"/>
        <v>0</v>
      </c>
      <c r="K844" s="16">
        <f t="shared" si="219"/>
        <v>0</v>
      </c>
      <c r="L844" s="67">
        <f t="shared" si="220"/>
        <v>0</v>
      </c>
      <c r="M844" s="4">
        <f t="shared" si="221"/>
        <v>0</v>
      </c>
      <c r="N844" s="4">
        <f t="shared" si="222"/>
        <v>0</v>
      </c>
      <c r="O844" s="4">
        <f t="shared" si="223"/>
        <v>0</v>
      </c>
      <c r="P844" s="4" t="e">
        <f>VLOOKUP(AJ836,'CIR Team Info'!$C$5:$E$44,2,FALSE)</f>
        <v>#N/A</v>
      </c>
      <c r="Q844" s="4" t="e">
        <f>VLOOKUP(AJ836,'CIR Team Info'!$C$5:$E$44,3,FALSE)</f>
        <v>#N/A</v>
      </c>
      <c r="R844" s="10" t="e">
        <f>VLOOKUP(AJ836,'FRC Site Data'!$B$3:$L$42,2,FALSE)</f>
        <v>#N/A</v>
      </c>
      <c r="S844" s="10" t="e">
        <f>VLOOKUP(AJ836,'FRC Site Data'!$B$3:$L$42,3,FALSE)</f>
        <v>#N/A</v>
      </c>
      <c r="T844" s="10" t="e">
        <f>VLOOKUP(AJ836,'FRC Site Data'!$B$3:$L$42,4,FALSE)</f>
        <v>#N/A</v>
      </c>
      <c r="U844" s="10" t="e">
        <f>VLOOKUP(AJ836,'FRC Site Data'!$B$3:$L$42,5,FALSE)</f>
        <v>#N/A</v>
      </c>
      <c r="V844" s="10" t="e">
        <f>VLOOKUP(AJ836,'FRC Site Data'!$B$3:$L$42,6,FALSE)</f>
        <v>#N/A</v>
      </c>
      <c r="W844" s="10" t="e">
        <f>VLOOKUP(AJ836,'FRC Site Data'!$B$3:$L$42,8,FALSE)</f>
        <v>#N/A</v>
      </c>
      <c r="X844" s="10" t="e">
        <f>VLOOKUP(AJ836,'FRC Site Data'!$B$3:$L$42,9,FALSE)</f>
        <v>#N/A</v>
      </c>
      <c r="Y844" s="10" t="e">
        <f>VLOOKUP(AJ836,'FRC Site Data'!$B$3:$L$42,10,FALSE)</f>
        <v>#N/A</v>
      </c>
      <c r="Z844" s="10" t="e">
        <f>VLOOKUP(AJ836,'FRC Site Data'!$B$3:$L$42,11,FALSE)</f>
        <v>#N/A</v>
      </c>
      <c r="AA844" s="10" t="e">
        <f>VLOOKUP(AJ836,'CIR Team Info'!$C$5:$E$44,4,FALSE)</f>
        <v>#N/A</v>
      </c>
      <c r="AB844" s="161" t="b">
        <f>ISNUMBER(VLOOKUP(AJ836,Match!$T$5:$T$10,1,FALSE))</f>
        <v>0</v>
      </c>
      <c r="AC844" s="161" t="b">
        <f>IF(AB844=TRUE,(VLOOKUP($AJ836,Match!$T$5:$U$10,2,FALSE)))</f>
        <v>0</v>
      </c>
      <c r="AD844" s="8">
        <v>3</v>
      </c>
      <c r="AE844" s="8">
        <v>2</v>
      </c>
      <c r="AF844" s="8">
        <v>2</v>
      </c>
      <c r="AG844" s="8">
        <v>1</v>
      </c>
      <c r="AH844" s="8" t="str">
        <f t="shared" si="209"/>
        <v/>
      </c>
    </row>
    <row r="845" spans="1:34" x14ac:dyDescent="0.25">
      <c r="A845" s="29">
        <f t="shared" si="224"/>
        <v>0</v>
      </c>
      <c r="B845" s="29">
        <f t="shared" si="211"/>
        <v>0</v>
      </c>
      <c r="C845" s="29">
        <f t="shared" si="212"/>
        <v>0</v>
      </c>
      <c r="D845" s="29">
        <f t="shared" si="213"/>
        <v>0</v>
      </c>
      <c r="E845" s="29">
        <f t="shared" si="210"/>
        <v>0</v>
      </c>
      <c r="F845" s="29">
        <f t="shared" si="214"/>
        <v>0</v>
      </c>
      <c r="G845" s="29" t="str">
        <f t="shared" si="215"/>
        <v>offensive</v>
      </c>
      <c r="H845" s="16">
        <f t="shared" si="216"/>
        <v>0</v>
      </c>
      <c r="I845" s="16">
        <f t="shared" si="217"/>
        <v>0</v>
      </c>
      <c r="J845" s="16">
        <f t="shared" si="218"/>
        <v>0</v>
      </c>
      <c r="K845" s="16">
        <f t="shared" si="219"/>
        <v>0</v>
      </c>
      <c r="L845" s="67">
        <f t="shared" si="220"/>
        <v>0</v>
      </c>
      <c r="M845" s="4">
        <f t="shared" si="221"/>
        <v>0</v>
      </c>
      <c r="N845" s="4">
        <f t="shared" si="222"/>
        <v>0</v>
      </c>
      <c r="O845" s="4">
        <f t="shared" si="223"/>
        <v>0</v>
      </c>
      <c r="P845" s="4" t="e">
        <f>VLOOKUP(AJ837,'CIR Team Info'!$C$5:$E$44,2,FALSE)</f>
        <v>#N/A</v>
      </c>
      <c r="Q845" s="4" t="e">
        <f>VLOOKUP(AJ837,'CIR Team Info'!$C$5:$E$44,3,FALSE)</f>
        <v>#N/A</v>
      </c>
      <c r="R845" s="10" t="e">
        <f>VLOOKUP(AJ837,'FRC Site Data'!$B$3:$L$42,2,FALSE)</f>
        <v>#N/A</v>
      </c>
      <c r="S845" s="10" t="e">
        <f>VLOOKUP(AJ837,'FRC Site Data'!$B$3:$L$42,3,FALSE)</f>
        <v>#N/A</v>
      </c>
      <c r="T845" s="10" t="e">
        <f>VLOOKUP(AJ837,'FRC Site Data'!$B$3:$L$42,4,FALSE)</f>
        <v>#N/A</v>
      </c>
      <c r="U845" s="10" t="e">
        <f>VLOOKUP(AJ837,'FRC Site Data'!$B$3:$L$42,5,FALSE)</f>
        <v>#N/A</v>
      </c>
      <c r="V845" s="10" t="e">
        <f>VLOOKUP(AJ837,'FRC Site Data'!$B$3:$L$42,6,FALSE)</f>
        <v>#N/A</v>
      </c>
      <c r="W845" s="10" t="e">
        <f>VLOOKUP(AJ837,'FRC Site Data'!$B$3:$L$42,8,FALSE)</f>
        <v>#N/A</v>
      </c>
      <c r="X845" s="10" t="e">
        <f>VLOOKUP(AJ837,'FRC Site Data'!$B$3:$L$42,9,FALSE)</f>
        <v>#N/A</v>
      </c>
      <c r="Y845" s="10" t="e">
        <f>VLOOKUP(AJ837,'FRC Site Data'!$B$3:$L$42,10,FALSE)</f>
        <v>#N/A</v>
      </c>
      <c r="Z845" s="10" t="e">
        <f>VLOOKUP(AJ837,'FRC Site Data'!$B$3:$L$42,11,FALSE)</f>
        <v>#N/A</v>
      </c>
      <c r="AA845" s="10" t="e">
        <f>VLOOKUP(AJ837,'CIR Team Info'!$C$5:$E$44,4,FALSE)</f>
        <v>#N/A</v>
      </c>
      <c r="AB845" s="161" t="b">
        <f>ISNUMBER(VLOOKUP(AJ837,Match!$T$5:$T$10,1,FALSE))</f>
        <v>0</v>
      </c>
      <c r="AC845" s="161" t="b">
        <f>IF(AB845=TRUE,(VLOOKUP($AJ837,Match!$T$5:$U$10,2,FALSE)))</f>
        <v>0</v>
      </c>
      <c r="AD845" s="8">
        <v>3</v>
      </c>
      <c r="AE845" s="8">
        <v>2</v>
      </c>
      <c r="AF845" s="8">
        <v>2</v>
      </c>
      <c r="AG845" s="8">
        <v>1</v>
      </c>
      <c r="AH845" s="8" t="str">
        <f t="shared" si="209"/>
        <v/>
      </c>
    </row>
    <row r="846" spans="1:34" x14ac:dyDescent="0.25">
      <c r="A846" s="29">
        <f t="shared" si="224"/>
        <v>0</v>
      </c>
      <c r="B846" s="29">
        <f t="shared" si="211"/>
        <v>0</v>
      </c>
      <c r="C846" s="29">
        <f t="shared" si="212"/>
        <v>0</v>
      </c>
      <c r="D846" s="29">
        <f t="shared" si="213"/>
        <v>0</v>
      </c>
      <c r="E846" s="29">
        <f t="shared" si="210"/>
        <v>0</v>
      </c>
      <c r="F846" s="29">
        <f t="shared" si="214"/>
        <v>0</v>
      </c>
      <c r="G846" s="29" t="str">
        <f t="shared" si="215"/>
        <v>offensive</v>
      </c>
      <c r="H846" s="16">
        <f t="shared" si="216"/>
        <v>0</v>
      </c>
      <c r="I846" s="16">
        <f t="shared" si="217"/>
        <v>0</v>
      </c>
      <c r="J846" s="16">
        <f t="shared" si="218"/>
        <v>0</v>
      </c>
      <c r="K846" s="16">
        <f t="shared" si="219"/>
        <v>0</v>
      </c>
      <c r="L846" s="67">
        <f t="shared" si="220"/>
        <v>0</v>
      </c>
      <c r="M846" s="4">
        <f t="shared" si="221"/>
        <v>0</v>
      </c>
      <c r="N846" s="4">
        <f t="shared" si="222"/>
        <v>0</v>
      </c>
      <c r="O846" s="4">
        <f t="shared" si="223"/>
        <v>0</v>
      </c>
      <c r="P846" s="4" t="e">
        <f>VLOOKUP(AJ838,'CIR Team Info'!$C$5:$E$44,2,FALSE)</f>
        <v>#N/A</v>
      </c>
      <c r="Q846" s="4" t="e">
        <f>VLOOKUP(AJ838,'CIR Team Info'!$C$5:$E$44,3,FALSE)</f>
        <v>#N/A</v>
      </c>
      <c r="R846" s="10" t="e">
        <f>VLOOKUP(AJ838,'FRC Site Data'!$B$3:$L$42,2,FALSE)</f>
        <v>#N/A</v>
      </c>
      <c r="S846" s="10" t="e">
        <f>VLOOKUP(AJ838,'FRC Site Data'!$B$3:$L$42,3,FALSE)</f>
        <v>#N/A</v>
      </c>
      <c r="T846" s="10" t="e">
        <f>VLOOKUP(AJ838,'FRC Site Data'!$B$3:$L$42,4,FALSE)</f>
        <v>#N/A</v>
      </c>
      <c r="U846" s="10" t="e">
        <f>VLOOKUP(AJ838,'FRC Site Data'!$B$3:$L$42,5,FALSE)</f>
        <v>#N/A</v>
      </c>
      <c r="V846" s="10" t="e">
        <f>VLOOKUP(AJ838,'FRC Site Data'!$B$3:$L$42,6,FALSE)</f>
        <v>#N/A</v>
      </c>
      <c r="W846" s="10" t="e">
        <f>VLOOKUP(AJ838,'FRC Site Data'!$B$3:$L$42,8,FALSE)</f>
        <v>#N/A</v>
      </c>
      <c r="X846" s="10" t="e">
        <f>VLOOKUP(AJ838,'FRC Site Data'!$B$3:$L$42,9,FALSE)</f>
        <v>#N/A</v>
      </c>
      <c r="Y846" s="10" t="e">
        <f>VLOOKUP(AJ838,'FRC Site Data'!$B$3:$L$42,10,FALSE)</f>
        <v>#N/A</v>
      </c>
      <c r="Z846" s="10" t="e">
        <f>VLOOKUP(AJ838,'FRC Site Data'!$B$3:$L$42,11,FALSE)</f>
        <v>#N/A</v>
      </c>
      <c r="AA846" s="10" t="e">
        <f>VLOOKUP(AJ838,'CIR Team Info'!$C$5:$E$44,4,FALSE)</f>
        <v>#N/A</v>
      </c>
      <c r="AB846" s="161" t="b">
        <f>ISNUMBER(VLOOKUP(AJ838,Match!$T$5:$T$10,1,FALSE))</f>
        <v>0</v>
      </c>
      <c r="AC846" s="161" t="b">
        <f>IF(AB846=TRUE,(VLOOKUP($AJ838,Match!$T$5:$U$10,2,FALSE)))</f>
        <v>0</v>
      </c>
      <c r="AD846" s="8">
        <v>3</v>
      </c>
      <c r="AE846" s="8">
        <v>2</v>
      </c>
      <c r="AF846" s="8">
        <v>2</v>
      </c>
      <c r="AG846" s="8">
        <v>1</v>
      </c>
      <c r="AH846" s="8" t="str">
        <f t="shared" si="209"/>
        <v/>
      </c>
    </row>
    <row r="847" spans="1:34" x14ac:dyDescent="0.25">
      <c r="A847" s="29">
        <f t="shared" si="224"/>
        <v>0</v>
      </c>
      <c r="B847" s="29">
        <f t="shared" si="211"/>
        <v>0</v>
      </c>
      <c r="C847" s="29">
        <f t="shared" si="212"/>
        <v>0</v>
      </c>
      <c r="D847" s="29">
        <f t="shared" si="213"/>
        <v>0</v>
      </c>
      <c r="E847" s="29">
        <f t="shared" si="210"/>
        <v>0</v>
      </c>
      <c r="F847" s="29">
        <f t="shared" si="214"/>
        <v>0</v>
      </c>
      <c r="G847" s="29" t="str">
        <f t="shared" si="215"/>
        <v>offensive</v>
      </c>
      <c r="H847" s="16">
        <f t="shared" si="216"/>
        <v>0</v>
      </c>
      <c r="I847" s="16">
        <f t="shared" si="217"/>
        <v>0</v>
      </c>
      <c r="J847" s="16">
        <f t="shared" si="218"/>
        <v>0</v>
      </c>
      <c r="K847" s="16">
        <f t="shared" si="219"/>
        <v>0</v>
      </c>
      <c r="L847" s="67">
        <f t="shared" si="220"/>
        <v>0</v>
      </c>
      <c r="M847" s="4">
        <f t="shared" si="221"/>
        <v>0</v>
      </c>
      <c r="N847" s="4">
        <f t="shared" si="222"/>
        <v>0</v>
      </c>
      <c r="O847" s="4">
        <f t="shared" si="223"/>
        <v>0</v>
      </c>
      <c r="P847" s="4" t="e">
        <f>VLOOKUP(AJ839,'CIR Team Info'!$C$5:$E$44,2,FALSE)</f>
        <v>#N/A</v>
      </c>
      <c r="Q847" s="4" t="e">
        <f>VLOOKUP(AJ839,'CIR Team Info'!$C$5:$E$44,3,FALSE)</f>
        <v>#N/A</v>
      </c>
      <c r="R847" s="10" t="e">
        <f>VLOOKUP(AJ839,'FRC Site Data'!$B$3:$L$42,2,FALSE)</f>
        <v>#N/A</v>
      </c>
      <c r="S847" s="10" t="e">
        <f>VLOOKUP(AJ839,'FRC Site Data'!$B$3:$L$42,3,FALSE)</f>
        <v>#N/A</v>
      </c>
      <c r="T847" s="10" t="e">
        <f>VLOOKUP(AJ839,'FRC Site Data'!$B$3:$L$42,4,FALSE)</f>
        <v>#N/A</v>
      </c>
      <c r="U847" s="10" t="e">
        <f>VLOOKUP(AJ839,'FRC Site Data'!$B$3:$L$42,5,FALSE)</f>
        <v>#N/A</v>
      </c>
      <c r="V847" s="10" t="e">
        <f>VLOOKUP(AJ839,'FRC Site Data'!$B$3:$L$42,6,FALSE)</f>
        <v>#N/A</v>
      </c>
      <c r="W847" s="10" t="e">
        <f>VLOOKUP(AJ839,'FRC Site Data'!$B$3:$L$42,8,FALSE)</f>
        <v>#N/A</v>
      </c>
      <c r="X847" s="10" t="e">
        <f>VLOOKUP(AJ839,'FRC Site Data'!$B$3:$L$42,9,FALSE)</f>
        <v>#N/A</v>
      </c>
      <c r="Y847" s="10" t="e">
        <f>VLOOKUP(AJ839,'FRC Site Data'!$B$3:$L$42,10,FALSE)</f>
        <v>#N/A</v>
      </c>
      <c r="Z847" s="10" t="e">
        <f>VLOOKUP(AJ839,'FRC Site Data'!$B$3:$L$42,11,FALSE)</f>
        <v>#N/A</v>
      </c>
      <c r="AA847" s="10" t="e">
        <f>VLOOKUP(AJ839,'CIR Team Info'!$C$5:$E$44,4,FALSE)</f>
        <v>#N/A</v>
      </c>
      <c r="AB847" s="161" t="b">
        <f>ISNUMBER(VLOOKUP(AJ839,Match!$T$5:$T$10,1,FALSE))</f>
        <v>0</v>
      </c>
      <c r="AC847" s="161" t="b">
        <f>IF(AB847=TRUE,(VLOOKUP($AJ839,Match!$T$5:$U$10,2,FALSE)))</f>
        <v>0</v>
      </c>
      <c r="AD847" s="8">
        <v>3</v>
      </c>
      <c r="AE847" s="8">
        <v>2</v>
      </c>
      <c r="AF847" s="8">
        <v>2</v>
      </c>
      <c r="AG847" s="8">
        <v>1</v>
      </c>
      <c r="AH847" s="8" t="str">
        <f t="shared" si="209"/>
        <v/>
      </c>
    </row>
    <row r="848" spans="1:34" x14ac:dyDescent="0.25">
      <c r="A848" s="29">
        <f t="shared" si="224"/>
        <v>0</v>
      </c>
      <c r="B848" s="29">
        <f t="shared" si="211"/>
        <v>0</v>
      </c>
      <c r="C848" s="29">
        <f t="shared" si="212"/>
        <v>0</v>
      </c>
      <c r="D848" s="29">
        <f t="shared" si="213"/>
        <v>0</v>
      </c>
      <c r="E848" s="29">
        <f t="shared" si="210"/>
        <v>0</v>
      </c>
      <c r="F848" s="29">
        <f t="shared" si="214"/>
        <v>0</v>
      </c>
      <c r="G848" s="29" t="str">
        <f t="shared" si="215"/>
        <v>offensive</v>
      </c>
      <c r="H848" s="16">
        <f t="shared" si="216"/>
        <v>0</v>
      </c>
      <c r="I848" s="16">
        <f t="shared" si="217"/>
        <v>0</v>
      </c>
      <c r="J848" s="16">
        <f t="shared" si="218"/>
        <v>0</v>
      </c>
      <c r="K848" s="16">
        <f t="shared" si="219"/>
        <v>0</v>
      </c>
      <c r="L848" s="67">
        <f t="shared" si="220"/>
        <v>0</v>
      </c>
      <c r="M848" s="4">
        <f t="shared" si="221"/>
        <v>0</v>
      </c>
      <c r="N848" s="4">
        <f t="shared" si="222"/>
        <v>0</v>
      </c>
      <c r="O848" s="4">
        <f t="shared" si="223"/>
        <v>0</v>
      </c>
      <c r="P848" s="4" t="e">
        <f>VLOOKUP(AJ840,'CIR Team Info'!$C$5:$E$44,2,FALSE)</f>
        <v>#N/A</v>
      </c>
      <c r="Q848" s="4" t="e">
        <f>VLOOKUP(AJ840,'CIR Team Info'!$C$5:$E$44,3,FALSE)</f>
        <v>#N/A</v>
      </c>
      <c r="R848" s="10" t="e">
        <f>VLOOKUP(AJ840,'FRC Site Data'!$B$3:$L$42,2,FALSE)</f>
        <v>#N/A</v>
      </c>
      <c r="S848" s="10" t="e">
        <f>VLOOKUP(AJ840,'FRC Site Data'!$B$3:$L$42,3,FALSE)</f>
        <v>#N/A</v>
      </c>
      <c r="T848" s="10" t="e">
        <f>VLOOKUP(AJ840,'FRC Site Data'!$B$3:$L$42,4,FALSE)</f>
        <v>#N/A</v>
      </c>
      <c r="U848" s="10" t="e">
        <f>VLOOKUP(AJ840,'FRC Site Data'!$B$3:$L$42,5,FALSE)</f>
        <v>#N/A</v>
      </c>
      <c r="V848" s="10" t="e">
        <f>VLOOKUP(AJ840,'FRC Site Data'!$B$3:$L$42,6,FALSE)</f>
        <v>#N/A</v>
      </c>
      <c r="W848" s="10" t="e">
        <f>VLOOKUP(AJ840,'FRC Site Data'!$B$3:$L$42,8,FALSE)</f>
        <v>#N/A</v>
      </c>
      <c r="X848" s="10" t="e">
        <f>VLOOKUP(AJ840,'FRC Site Data'!$B$3:$L$42,9,FALSE)</f>
        <v>#N/A</v>
      </c>
      <c r="Y848" s="10" t="e">
        <f>VLOOKUP(AJ840,'FRC Site Data'!$B$3:$L$42,10,FALSE)</f>
        <v>#N/A</v>
      </c>
      <c r="Z848" s="10" t="e">
        <f>VLOOKUP(AJ840,'FRC Site Data'!$B$3:$L$42,11,FALSE)</f>
        <v>#N/A</v>
      </c>
      <c r="AA848" s="10" t="e">
        <f>VLOOKUP(AJ840,'CIR Team Info'!$C$5:$E$44,4,FALSE)</f>
        <v>#N/A</v>
      </c>
      <c r="AB848" s="161" t="b">
        <f>ISNUMBER(VLOOKUP(AJ840,Match!$T$5:$T$10,1,FALSE))</f>
        <v>0</v>
      </c>
      <c r="AC848" s="161" t="b">
        <f>IF(AB848=TRUE,(VLOOKUP($AJ840,Match!$T$5:$U$10,2,FALSE)))</f>
        <v>0</v>
      </c>
      <c r="AD848" s="8">
        <v>3</v>
      </c>
      <c r="AE848" s="8">
        <v>2</v>
      </c>
      <c r="AF848" s="8">
        <v>2</v>
      </c>
      <c r="AG848" s="8">
        <v>1</v>
      </c>
      <c r="AH848" s="8" t="str">
        <f t="shared" si="209"/>
        <v/>
      </c>
    </row>
    <row r="849" spans="1:34" x14ac:dyDescent="0.25">
      <c r="A849" s="29">
        <f t="shared" si="224"/>
        <v>0</v>
      </c>
      <c r="B849" s="29">
        <f t="shared" si="211"/>
        <v>0</v>
      </c>
      <c r="C849" s="29">
        <f t="shared" si="212"/>
        <v>0</v>
      </c>
      <c r="D849" s="29">
        <f t="shared" si="213"/>
        <v>0</v>
      </c>
      <c r="E849" s="29">
        <f t="shared" si="210"/>
        <v>0</v>
      </c>
      <c r="F849" s="29">
        <f t="shared" si="214"/>
        <v>0</v>
      </c>
      <c r="G849" s="29" t="str">
        <f t="shared" si="215"/>
        <v>offensive</v>
      </c>
      <c r="H849" s="16">
        <f t="shared" si="216"/>
        <v>0</v>
      </c>
      <c r="I849" s="16">
        <f t="shared" si="217"/>
        <v>0</v>
      </c>
      <c r="J849" s="16">
        <f t="shared" si="218"/>
        <v>0</v>
      </c>
      <c r="K849" s="16">
        <f t="shared" si="219"/>
        <v>0</v>
      </c>
      <c r="L849" s="67">
        <f t="shared" si="220"/>
        <v>0</v>
      </c>
      <c r="M849" s="4">
        <f t="shared" si="221"/>
        <v>0</v>
      </c>
      <c r="N849" s="4">
        <f t="shared" si="222"/>
        <v>0</v>
      </c>
      <c r="O849" s="4">
        <f t="shared" si="223"/>
        <v>0</v>
      </c>
      <c r="P849" s="4" t="e">
        <f>VLOOKUP(AJ841,'CIR Team Info'!$C$5:$E$44,2,FALSE)</f>
        <v>#N/A</v>
      </c>
      <c r="Q849" s="4" t="e">
        <f>VLOOKUP(AJ841,'CIR Team Info'!$C$5:$E$44,3,FALSE)</f>
        <v>#N/A</v>
      </c>
      <c r="R849" s="10" t="e">
        <f>VLOOKUP(AJ841,'FRC Site Data'!$B$3:$L$42,2,FALSE)</f>
        <v>#N/A</v>
      </c>
      <c r="S849" s="10" t="e">
        <f>VLOOKUP(AJ841,'FRC Site Data'!$B$3:$L$42,3,FALSE)</f>
        <v>#N/A</v>
      </c>
      <c r="T849" s="10" t="e">
        <f>VLOOKUP(AJ841,'FRC Site Data'!$B$3:$L$42,4,FALSE)</f>
        <v>#N/A</v>
      </c>
      <c r="U849" s="10" t="e">
        <f>VLOOKUP(AJ841,'FRC Site Data'!$B$3:$L$42,5,FALSE)</f>
        <v>#N/A</v>
      </c>
      <c r="V849" s="10" t="e">
        <f>VLOOKUP(AJ841,'FRC Site Data'!$B$3:$L$42,6,FALSE)</f>
        <v>#N/A</v>
      </c>
      <c r="W849" s="10" t="e">
        <f>VLOOKUP(AJ841,'FRC Site Data'!$B$3:$L$42,8,FALSE)</f>
        <v>#N/A</v>
      </c>
      <c r="X849" s="10" t="e">
        <f>VLOOKUP(AJ841,'FRC Site Data'!$B$3:$L$42,9,FALSE)</f>
        <v>#N/A</v>
      </c>
      <c r="Y849" s="10" t="e">
        <f>VLOOKUP(AJ841,'FRC Site Data'!$B$3:$L$42,10,FALSE)</f>
        <v>#N/A</v>
      </c>
      <c r="Z849" s="10" t="e">
        <f>VLOOKUP(AJ841,'FRC Site Data'!$B$3:$L$42,11,FALSE)</f>
        <v>#N/A</v>
      </c>
      <c r="AA849" s="10" t="e">
        <f>VLOOKUP(AJ841,'CIR Team Info'!$C$5:$E$44,4,FALSE)</f>
        <v>#N/A</v>
      </c>
      <c r="AB849" s="161" t="b">
        <f>ISNUMBER(VLOOKUP(AJ841,Match!$T$5:$T$10,1,FALSE))</f>
        <v>0</v>
      </c>
      <c r="AC849" s="161" t="b">
        <f>IF(AB849=TRUE,(VLOOKUP($AJ841,Match!$T$5:$U$10,2,FALSE)))</f>
        <v>0</v>
      </c>
      <c r="AD849" s="8">
        <v>3</v>
      </c>
      <c r="AE849" s="8">
        <v>2</v>
      </c>
      <c r="AF849" s="8">
        <v>2</v>
      </c>
      <c r="AG849" s="8">
        <v>1</v>
      </c>
      <c r="AH849" s="8" t="str">
        <f t="shared" si="209"/>
        <v/>
      </c>
    </row>
    <row r="850" spans="1:34" x14ac:dyDescent="0.25">
      <c r="A850" s="29">
        <f t="shared" si="224"/>
        <v>0</v>
      </c>
      <c r="B850" s="29">
        <f t="shared" si="211"/>
        <v>0</v>
      </c>
      <c r="C850" s="29">
        <f t="shared" si="212"/>
        <v>0</v>
      </c>
      <c r="D850" s="29">
        <f t="shared" si="213"/>
        <v>0</v>
      </c>
      <c r="E850" s="29">
        <f t="shared" si="210"/>
        <v>0</v>
      </c>
      <c r="F850" s="29">
        <f t="shared" si="214"/>
        <v>0</v>
      </c>
      <c r="G850" s="29" t="str">
        <f t="shared" si="215"/>
        <v>offensive</v>
      </c>
      <c r="H850" s="16">
        <f t="shared" si="216"/>
        <v>0</v>
      </c>
      <c r="I850" s="16">
        <f t="shared" si="217"/>
        <v>0</v>
      </c>
      <c r="J850" s="16">
        <f t="shared" si="218"/>
        <v>0</v>
      </c>
      <c r="K850" s="16">
        <f t="shared" si="219"/>
        <v>0</v>
      </c>
      <c r="L850" s="67">
        <f t="shared" si="220"/>
        <v>0</v>
      </c>
      <c r="M850" s="4">
        <f t="shared" si="221"/>
        <v>0</v>
      </c>
      <c r="N850" s="4">
        <f t="shared" si="222"/>
        <v>0</v>
      </c>
      <c r="O850" s="4">
        <f t="shared" si="223"/>
        <v>0</v>
      </c>
      <c r="P850" s="4" t="e">
        <f>VLOOKUP(AJ842,'CIR Team Info'!$C$5:$E$44,2,FALSE)</f>
        <v>#N/A</v>
      </c>
      <c r="Q850" s="4" t="e">
        <f>VLOOKUP(AJ842,'CIR Team Info'!$C$5:$E$44,3,FALSE)</f>
        <v>#N/A</v>
      </c>
      <c r="R850" s="10" t="e">
        <f>VLOOKUP(AJ842,'FRC Site Data'!$B$3:$L$42,2,FALSE)</f>
        <v>#N/A</v>
      </c>
      <c r="S850" s="10" t="e">
        <f>VLOOKUP(AJ842,'FRC Site Data'!$B$3:$L$42,3,FALSE)</f>
        <v>#N/A</v>
      </c>
      <c r="T850" s="10" t="e">
        <f>VLOOKUP(AJ842,'FRC Site Data'!$B$3:$L$42,4,FALSE)</f>
        <v>#N/A</v>
      </c>
      <c r="U850" s="10" t="e">
        <f>VLOOKUP(AJ842,'FRC Site Data'!$B$3:$L$42,5,FALSE)</f>
        <v>#N/A</v>
      </c>
      <c r="V850" s="10" t="e">
        <f>VLOOKUP(AJ842,'FRC Site Data'!$B$3:$L$42,6,FALSE)</f>
        <v>#N/A</v>
      </c>
      <c r="W850" s="10" t="e">
        <f>VLOOKUP(AJ842,'FRC Site Data'!$B$3:$L$42,8,FALSE)</f>
        <v>#N/A</v>
      </c>
      <c r="X850" s="10" t="e">
        <f>VLOOKUP(AJ842,'FRC Site Data'!$B$3:$L$42,9,FALSE)</f>
        <v>#N/A</v>
      </c>
      <c r="Y850" s="10" t="e">
        <f>VLOOKUP(AJ842,'FRC Site Data'!$B$3:$L$42,10,FALSE)</f>
        <v>#N/A</v>
      </c>
      <c r="Z850" s="10" t="e">
        <f>VLOOKUP(AJ842,'FRC Site Data'!$B$3:$L$42,11,FALSE)</f>
        <v>#N/A</v>
      </c>
      <c r="AA850" s="10" t="e">
        <f>VLOOKUP(AJ842,'CIR Team Info'!$C$5:$E$44,4,FALSE)</f>
        <v>#N/A</v>
      </c>
      <c r="AB850" s="161" t="b">
        <f>ISNUMBER(VLOOKUP(AJ842,Match!$T$5:$T$10,1,FALSE))</f>
        <v>0</v>
      </c>
      <c r="AC850" s="161" t="b">
        <f>IF(AB850=TRUE,(VLOOKUP($AJ842,Match!$T$5:$U$10,2,FALSE)))</f>
        <v>0</v>
      </c>
      <c r="AD850" s="8">
        <v>3</v>
      </c>
      <c r="AE850" s="8">
        <v>2</v>
      </c>
      <c r="AF850" s="8">
        <v>2</v>
      </c>
      <c r="AG850" s="8">
        <v>1</v>
      </c>
      <c r="AH850" s="8" t="str">
        <f t="shared" si="209"/>
        <v/>
      </c>
    </row>
    <row r="851" spans="1:34" x14ac:dyDescent="0.25">
      <c r="A851" s="29">
        <f t="shared" si="224"/>
        <v>0</v>
      </c>
      <c r="B851" s="29">
        <f t="shared" si="211"/>
        <v>0</v>
      </c>
      <c r="C851" s="29">
        <f t="shared" si="212"/>
        <v>0</v>
      </c>
      <c r="D851" s="29">
        <f t="shared" si="213"/>
        <v>0</v>
      </c>
      <c r="E851" s="29">
        <f t="shared" si="210"/>
        <v>0</v>
      </c>
      <c r="F851" s="29">
        <f t="shared" si="214"/>
        <v>0</v>
      </c>
      <c r="G851" s="29" t="str">
        <f t="shared" si="215"/>
        <v>offensive</v>
      </c>
      <c r="H851" s="16">
        <f t="shared" si="216"/>
        <v>0</v>
      </c>
      <c r="I851" s="16">
        <f t="shared" si="217"/>
        <v>0</v>
      </c>
      <c r="J851" s="16">
        <f t="shared" si="218"/>
        <v>0</v>
      </c>
      <c r="K851" s="16">
        <f t="shared" si="219"/>
        <v>0</v>
      </c>
      <c r="L851" s="67">
        <f t="shared" si="220"/>
        <v>0</v>
      </c>
      <c r="M851" s="4">
        <f t="shared" si="221"/>
        <v>0</v>
      </c>
      <c r="N851" s="4">
        <f t="shared" si="222"/>
        <v>0</v>
      </c>
      <c r="O851" s="4">
        <f t="shared" si="223"/>
        <v>0</v>
      </c>
      <c r="P851" s="4" t="e">
        <f>VLOOKUP(AJ843,'CIR Team Info'!$C$5:$E$44,2,FALSE)</f>
        <v>#N/A</v>
      </c>
      <c r="Q851" s="4" t="e">
        <f>VLOOKUP(AJ843,'CIR Team Info'!$C$5:$E$44,3,FALSE)</f>
        <v>#N/A</v>
      </c>
      <c r="R851" s="10" t="e">
        <f>VLOOKUP(AJ843,'FRC Site Data'!$B$3:$L$42,2,FALSE)</f>
        <v>#N/A</v>
      </c>
      <c r="S851" s="10" t="e">
        <f>VLOOKUP(AJ843,'FRC Site Data'!$B$3:$L$42,3,FALSE)</f>
        <v>#N/A</v>
      </c>
      <c r="T851" s="10" t="e">
        <f>VLOOKUP(AJ843,'FRC Site Data'!$B$3:$L$42,4,FALSE)</f>
        <v>#N/A</v>
      </c>
      <c r="U851" s="10" t="e">
        <f>VLOOKUP(AJ843,'FRC Site Data'!$B$3:$L$42,5,FALSE)</f>
        <v>#N/A</v>
      </c>
      <c r="V851" s="10" t="e">
        <f>VLOOKUP(AJ843,'FRC Site Data'!$B$3:$L$42,6,FALSE)</f>
        <v>#N/A</v>
      </c>
      <c r="W851" s="10" t="e">
        <f>VLOOKUP(AJ843,'FRC Site Data'!$B$3:$L$42,8,FALSE)</f>
        <v>#N/A</v>
      </c>
      <c r="X851" s="10" t="e">
        <f>VLOOKUP(AJ843,'FRC Site Data'!$B$3:$L$42,9,FALSE)</f>
        <v>#N/A</v>
      </c>
      <c r="Y851" s="10" t="e">
        <f>VLOOKUP(AJ843,'FRC Site Data'!$B$3:$L$42,10,FALSE)</f>
        <v>#N/A</v>
      </c>
      <c r="Z851" s="10" t="e">
        <f>VLOOKUP(AJ843,'FRC Site Data'!$B$3:$L$42,11,FALSE)</f>
        <v>#N/A</v>
      </c>
      <c r="AA851" s="10" t="e">
        <f>VLOOKUP(AJ843,'CIR Team Info'!$C$5:$E$44,4,FALSE)</f>
        <v>#N/A</v>
      </c>
      <c r="AB851" s="161" t="b">
        <f>ISNUMBER(VLOOKUP(AJ843,Match!$T$5:$T$10,1,FALSE))</f>
        <v>0</v>
      </c>
      <c r="AC851" s="161" t="b">
        <f>IF(AB851=TRUE,(VLOOKUP($AJ843,Match!$T$5:$U$10,2,FALSE)))</f>
        <v>0</v>
      </c>
      <c r="AD851" s="8">
        <v>3</v>
      </c>
      <c r="AE851" s="8">
        <v>2</v>
      </c>
      <c r="AF851" s="8">
        <v>2</v>
      </c>
      <c r="AG851" s="8">
        <v>1</v>
      </c>
      <c r="AH851" s="8" t="str">
        <f t="shared" si="209"/>
        <v/>
      </c>
    </row>
    <row r="852" spans="1:34" x14ac:dyDescent="0.25">
      <c r="A852" s="29">
        <f t="shared" si="224"/>
        <v>0</v>
      </c>
      <c r="B852" s="29">
        <f t="shared" si="211"/>
        <v>0</v>
      </c>
      <c r="C852" s="29">
        <f t="shared" si="212"/>
        <v>0</v>
      </c>
      <c r="D852" s="29">
        <f t="shared" si="213"/>
        <v>0</v>
      </c>
      <c r="E852" s="29">
        <f t="shared" si="210"/>
        <v>0</v>
      </c>
      <c r="F852" s="29">
        <f t="shared" si="214"/>
        <v>0</v>
      </c>
      <c r="G852" s="29" t="str">
        <f t="shared" si="215"/>
        <v>offensive</v>
      </c>
      <c r="H852" s="16">
        <f t="shared" si="216"/>
        <v>0</v>
      </c>
      <c r="I852" s="16">
        <f t="shared" si="217"/>
        <v>0</v>
      </c>
      <c r="J852" s="16">
        <f t="shared" si="218"/>
        <v>0</v>
      </c>
      <c r="K852" s="16">
        <f t="shared" si="219"/>
        <v>0</v>
      </c>
      <c r="L852" s="67">
        <f t="shared" si="220"/>
        <v>0</v>
      </c>
      <c r="M852" s="4">
        <f t="shared" si="221"/>
        <v>0</v>
      </c>
      <c r="N852" s="4">
        <f t="shared" si="222"/>
        <v>0</v>
      </c>
      <c r="O852" s="4">
        <f t="shared" si="223"/>
        <v>0</v>
      </c>
      <c r="P852" s="4" t="e">
        <f>VLOOKUP(AJ844,'CIR Team Info'!$C$5:$E$44,2,FALSE)</f>
        <v>#N/A</v>
      </c>
      <c r="Q852" s="4" t="e">
        <f>VLOOKUP(AJ844,'CIR Team Info'!$C$5:$E$44,3,FALSE)</f>
        <v>#N/A</v>
      </c>
      <c r="R852" s="10" t="e">
        <f>VLOOKUP(AJ844,'FRC Site Data'!$B$3:$L$42,2,FALSE)</f>
        <v>#N/A</v>
      </c>
      <c r="S852" s="10" t="e">
        <f>VLOOKUP(AJ844,'FRC Site Data'!$B$3:$L$42,3,FALSE)</f>
        <v>#N/A</v>
      </c>
      <c r="T852" s="10" t="e">
        <f>VLOOKUP(AJ844,'FRC Site Data'!$B$3:$L$42,4,FALSE)</f>
        <v>#N/A</v>
      </c>
      <c r="U852" s="10" t="e">
        <f>VLOOKUP(AJ844,'FRC Site Data'!$B$3:$L$42,5,FALSE)</f>
        <v>#N/A</v>
      </c>
      <c r="V852" s="10" t="e">
        <f>VLOOKUP(AJ844,'FRC Site Data'!$B$3:$L$42,6,FALSE)</f>
        <v>#N/A</v>
      </c>
      <c r="W852" s="10" t="e">
        <f>VLOOKUP(AJ844,'FRC Site Data'!$B$3:$L$42,8,FALSE)</f>
        <v>#N/A</v>
      </c>
      <c r="X852" s="10" t="e">
        <f>VLOOKUP(AJ844,'FRC Site Data'!$B$3:$L$42,9,FALSE)</f>
        <v>#N/A</v>
      </c>
      <c r="Y852" s="10" t="e">
        <f>VLOOKUP(AJ844,'FRC Site Data'!$B$3:$L$42,10,FALSE)</f>
        <v>#N/A</v>
      </c>
      <c r="Z852" s="10" t="e">
        <f>VLOOKUP(AJ844,'FRC Site Data'!$B$3:$L$42,11,FALSE)</f>
        <v>#N/A</v>
      </c>
      <c r="AA852" s="10" t="e">
        <f>VLOOKUP(AJ844,'CIR Team Info'!$C$5:$E$44,4,FALSE)</f>
        <v>#N/A</v>
      </c>
      <c r="AB852" s="161" t="b">
        <f>ISNUMBER(VLOOKUP(AJ844,Match!$T$5:$T$10,1,FALSE))</f>
        <v>0</v>
      </c>
      <c r="AC852" s="161" t="b">
        <f>IF(AB852=TRUE,(VLOOKUP($AJ844,Match!$T$5:$U$10,2,FALSE)))</f>
        <v>0</v>
      </c>
      <c r="AD852" s="8">
        <v>3</v>
      </c>
      <c r="AE852" s="8">
        <v>2</v>
      </c>
      <c r="AF852" s="8">
        <v>2</v>
      </c>
      <c r="AG852" s="8">
        <v>1</v>
      </c>
      <c r="AH852" s="8" t="str">
        <f t="shared" si="209"/>
        <v/>
      </c>
    </row>
    <row r="853" spans="1:34" x14ac:dyDescent="0.25">
      <c r="A853" s="29">
        <f t="shared" si="224"/>
        <v>0</v>
      </c>
      <c r="B853" s="29">
        <f t="shared" si="211"/>
        <v>0</v>
      </c>
      <c r="C853" s="29">
        <f t="shared" si="212"/>
        <v>0</v>
      </c>
      <c r="D853" s="29">
        <f t="shared" si="213"/>
        <v>0</v>
      </c>
      <c r="E853" s="29">
        <f t="shared" si="210"/>
        <v>0</v>
      </c>
      <c r="F853" s="29">
        <f t="shared" si="214"/>
        <v>0</v>
      </c>
      <c r="G853" s="29" t="str">
        <f t="shared" si="215"/>
        <v>offensive</v>
      </c>
      <c r="H853" s="16">
        <f t="shared" si="216"/>
        <v>0</v>
      </c>
      <c r="I853" s="16">
        <f t="shared" si="217"/>
        <v>0</v>
      </c>
      <c r="J853" s="16">
        <f t="shared" si="218"/>
        <v>0</v>
      </c>
      <c r="K853" s="16">
        <f t="shared" si="219"/>
        <v>0</v>
      </c>
      <c r="L853" s="67">
        <f t="shared" si="220"/>
        <v>0</v>
      </c>
      <c r="M853" s="4">
        <f t="shared" si="221"/>
        <v>0</v>
      </c>
      <c r="N853" s="4">
        <f t="shared" si="222"/>
        <v>0</v>
      </c>
      <c r="O853" s="4">
        <f t="shared" si="223"/>
        <v>0</v>
      </c>
      <c r="P853" s="4" t="e">
        <f>VLOOKUP(AJ845,'CIR Team Info'!$C$5:$E$44,2,FALSE)</f>
        <v>#N/A</v>
      </c>
      <c r="Q853" s="4" t="e">
        <f>VLOOKUP(AJ845,'CIR Team Info'!$C$5:$E$44,3,FALSE)</f>
        <v>#N/A</v>
      </c>
      <c r="R853" s="10" t="e">
        <f>VLOOKUP(AJ845,'FRC Site Data'!$B$3:$L$42,2,FALSE)</f>
        <v>#N/A</v>
      </c>
      <c r="S853" s="10" t="e">
        <f>VLOOKUP(AJ845,'FRC Site Data'!$B$3:$L$42,3,FALSE)</f>
        <v>#N/A</v>
      </c>
      <c r="T853" s="10" t="e">
        <f>VLOOKUP(AJ845,'FRC Site Data'!$B$3:$L$42,4,FALSE)</f>
        <v>#N/A</v>
      </c>
      <c r="U853" s="10" t="e">
        <f>VLOOKUP(AJ845,'FRC Site Data'!$B$3:$L$42,5,FALSE)</f>
        <v>#N/A</v>
      </c>
      <c r="V853" s="10" t="e">
        <f>VLOOKUP(AJ845,'FRC Site Data'!$B$3:$L$42,6,FALSE)</f>
        <v>#N/A</v>
      </c>
      <c r="W853" s="10" t="e">
        <f>VLOOKUP(AJ845,'FRC Site Data'!$B$3:$L$42,8,FALSE)</f>
        <v>#N/A</v>
      </c>
      <c r="X853" s="10" t="e">
        <f>VLOOKUP(AJ845,'FRC Site Data'!$B$3:$L$42,9,FALSE)</f>
        <v>#N/A</v>
      </c>
      <c r="Y853" s="10" t="e">
        <f>VLOOKUP(AJ845,'FRC Site Data'!$B$3:$L$42,10,FALSE)</f>
        <v>#N/A</v>
      </c>
      <c r="Z853" s="10" t="e">
        <f>VLOOKUP(AJ845,'FRC Site Data'!$B$3:$L$42,11,FALSE)</f>
        <v>#N/A</v>
      </c>
      <c r="AA853" s="10" t="e">
        <f>VLOOKUP(AJ845,'CIR Team Info'!$C$5:$E$44,4,FALSE)</f>
        <v>#N/A</v>
      </c>
      <c r="AB853" s="161" t="b">
        <f>ISNUMBER(VLOOKUP(AJ845,Match!$T$5:$T$10,1,FALSE))</f>
        <v>0</v>
      </c>
      <c r="AC853" s="161" t="b">
        <f>IF(AB853=TRUE,(VLOOKUP($AJ845,Match!$T$5:$U$10,2,FALSE)))</f>
        <v>0</v>
      </c>
      <c r="AD853" s="8">
        <v>3</v>
      </c>
      <c r="AE853" s="8">
        <v>2</v>
      </c>
      <c r="AF853" s="8">
        <v>2</v>
      </c>
      <c r="AG853" s="8">
        <v>1</v>
      </c>
      <c r="AH853" s="8" t="str">
        <f t="shared" si="209"/>
        <v/>
      </c>
    </row>
    <row r="854" spans="1:34" x14ac:dyDescent="0.25">
      <c r="A854" s="29">
        <f t="shared" si="224"/>
        <v>0</v>
      </c>
      <c r="B854" s="29">
        <f t="shared" si="211"/>
        <v>0</v>
      </c>
      <c r="C854" s="29">
        <f t="shared" si="212"/>
        <v>0</v>
      </c>
      <c r="D854" s="29">
        <f t="shared" si="213"/>
        <v>0</v>
      </c>
      <c r="E854" s="29">
        <f t="shared" si="210"/>
        <v>0</v>
      </c>
      <c r="F854" s="29">
        <f t="shared" si="214"/>
        <v>0</v>
      </c>
      <c r="G854" s="29" t="str">
        <f t="shared" si="215"/>
        <v>offensive</v>
      </c>
      <c r="H854" s="16">
        <f t="shared" si="216"/>
        <v>0</v>
      </c>
      <c r="I854" s="16">
        <f t="shared" si="217"/>
        <v>0</v>
      </c>
      <c r="J854" s="16">
        <f t="shared" si="218"/>
        <v>0</v>
      </c>
      <c r="K854" s="16">
        <f t="shared" si="219"/>
        <v>0</v>
      </c>
      <c r="L854" s="67">
        <f t="shared" si="220"/>
        <v>0</v>
      </c>
      <c r="M854" s="4">
        <f t="shared" si="221"/>
        <v>0</v>
      </c>
      <c r="N854" s="4">
        <f t="shared" si="222"/>
        <v>0</v>
      </c>
      <c r="O854" s="4">
        <f t="shared" si="223"/>
        <v>0</v>
      </c>
      <c r="P854" s="4" t="e">
        <f>VLOOKUP(AJ846,'CIR Team Info'!$C$5:$E$44,2,FALSE)</f>
        <v>#N/A</v>
      </c>
      <c r="Q854" s="4" t="e">
        <f>VLOOKUP(AJ846,'CIR Team Info'!$C$5:$E$44,3,FALSE)</f>
        <v>#N/A</v>
      </c>
      <c r="R854" s="10" t="e">
        <f>VLOOKUP(AJ846,'FRC Site Data'!$B$3:$L$42,2,FALSE)</f>
        <v>#N/A</v>
      </c>
      <c r="S854" s="10" t="e">
        <f>VLOOKUP(AJ846,'FRC Site Data'!$B$3:$L$42,3,FALSE)</f>
        <v>#N/A</v>
      </c>
      <c r="T854" s="10" t="e">
        <f>VLOOKUP(AJ846,'FRC Site Data'!$B$3:$L$42,4,FALSE)</f>
        <v>#N/A</v>
      </c>
      <c r="U854" s="10" t="e">
        <f>VLOOKUP(AJ846,'FRC Site Data'!$B$3:$L$42,5,FALSE)</f>
        <v>#N/A</v>
      </c>
      <c r="V854" s="10" t="e">
        <f>VLOOKUP(AJ846,'FRC Site Data'!$B$3:$L$42,6,FALSE)</f>
        <v>#N/A</v>
      </c>
      <c r="W854" s="10" t="e">
        <f>VLOOKUP(AJ846,'FRC Site Data'!$B$3:$L$42,8,FALSE)</f>
        <v>#N/A</v>
      </c>
      <c r="X854" s="10" t="e">
        <f>VLOOKUP(AJ846,'FRC Site Data'!$B$3:$L$42,9,FALSE)</f>
        <v>#N/A</v>
      </c>
      <c r="Y854" s="10" t="e">
        <f>VLOOKUP(AJ846,'FRC Site Data'!$B$3:$L$42,10,FALSE)</f>
        <v>#N/A</v>
      </c>
      <c r="Z854" s="10" t="e">
        <f>VLOOKUP(AJ846,'FRC Site Data'!$B$3:$L$42,11,FALSE)</f>
        <v>#N/A</v>
      </c>
      <c r="AA854" s="10" t="e">
        <f>VLOOKUP(AJ846,'CIR Team Info'!$C$5:$E$44,4,FALSE)</f>
        <v>#N/A</v>
      </c>
      <c r="AB854" s="161" t="b">
        <f>ISNUMBER(VLOOKUP(AJ846,Match!$T$5:$T$10,1,FALSE))</f>
        <v>0</v>
      </c>
      <c r="AC854" s="161" t="b">
        <f>IF(AB854=TRUE,(VLOOKUP($AJ846,Match!$T$5:$U$10,2,FALSE)))</f>
        <v>0</v>
      </c>
      <c r="AD854" s="8">
        <v>3</v>
      </c>
      <c r="AE854" s="8">
        <v>2</v>
      </c>
      <c r="AF854" s="8">
        <v>2</v>
      </c>
      <c r="AG854" s="8">
        <v>1</v>
      </c>
      <c r="AH854" s="8" t="str">
        <f t="shared" si="209"/>
        <v/>
      </c>
    </row>
    <row r="855" spans="1:34" x14ac:dyDescent="0.25">
      <c r="A855" s="29">
        <f t="shared" si="224"/>
        <v>0</v>
      </c>
      <c r="B855" s="29">
        <f t="shared" si="211"/>
        <v>0</v>
      </c>
      <c r="C855" s="29">
        <f t="shared" si="212"/>
        <v>0</v>
      </c>
      <c r="D855" s="29">
        <f t="shared" si="213"/>
        <v>0</v>
      </c>
      <c r="E855" s="29">
        <f t="shared" si="210"/>
        <v>0</v>
      </c>
      <c r="F855" s="29">
        <f t="shared" si="214"/>
        <v>0</v>
      </c>
      <c r="G855" s="29" t="str">
        <f t="shared" si="215"/>
        <v>offensive</v>
      </c>
      <c r="H855" s="16">
        <f t="shared" si="216"/>
        <v>0</v>
      </c>
      <c r="I855" s="16">
        <f t="shared" si="217"/>
        <v>0</v>
      </c>
      <c r="J855" s="16">
        <f t="shared" si="218"/>
        <v>0</v>
      </c>
      <c r="K855" s="16">
        <f t="shared" si="219"/>
        <v>0</v>
      </c>
      <c r="L855" s="67">
        <f t="shared" si="220"/>
        <v>0</v>
      </c>
      <c r="M855" s="4">
        <f t="shared" si="221"/>
        <v>0</v>
      </c>
      <c r="N855" s="4">
        <f t="shared" si="222"/>
        <v>0</v>
      </c>
      <c r="O855" s="4">
        <f t="shared" si="223"/>
        <v>0</v>
      </c>
      <c r="P855" s="4" t="e">
        <f>VLOOKUP(AJ847,'CIR Team Info'!$C$5:$E$44,2,FALSE)</f>
        <v>#N/A</v>
      </c>
      <c r="Q855" s="4" t="e">
        <f>VLOOKUP(AJ847,'CIR Team Info'!$C$5:$E$44,3,FALSE)</f>
        <v>#N/A</v>
      </c>
      <c r="R855" s="10" t="e">
        <f>VLOOKUP(AJ847,'FRC Site Data'!$B$3:$L$42,2,FALSE)</f>
        <v>#N/A</v>
      </c>
      <c r="S855" s="10" t="e">
        <f>VLOOKUP(AJ847,'FRC Site Data'!$B$3:$L$42,3,FALSE)</f>
        <v>#N/A</v>
      </c>
      <c r="T855" s="10" t="e">
        <f>VLOOKUP(AJ847,'FRC Site Data'!$B$3:$L$42,4,FALSE)</f>
        <v>#N/A</v>
      </c>
      <c r="U855" s="10" t="e">
        <f>VLOOKUP(AJ847,'FRC Site Data'!$B$3:$L$42,5,FALSE)</f>
        <v>#N/A</v>
      </c>
      <c r="V855" s="10" t="e">
        <f>VLOOKUP(AJ847,'FRC Site Data'!$B$3:$L$42,6,FALSE)</f>
        <v>#N/A</v>
      </c>
      <c r="W855" s="10" t="e">
        <f>VLOOKUP(AJ847,'FRC Site Data'!$B$3:$L$42,8,FALSE)</f>
        <v>#N/A</v>
      </c>
      <c r="X855" s="10" t="e">
        <f>VLOOKUP(AJ847,'FRC Site Data'!$B$3:$L$42,9,FALSE)</f>
        <v>#N/A</v>
      </c>
      <c r="Y855" s="10" t="e">
        <f>VLOOKUP(AJ847,'FRC Site Data'!$B$3:$L$42,10,FALSE)</f>
        <v>#N/A</v>
      </c>
      <c r="Z855" s="10" t="e">
        <f>VLOOKUP(AJ847,'FRC Site Data'!$B$3:$L$42,11,FALSE)</f>
        <v>#N/A</v>
      </c>
      <c r="AA855" s="10" t="e">
        <f>VLOOKUP(AJ847,'CIR Team Info'!$C$5:$E$44,4,FALSE)</f>
        <v>#N/A</v>
      </c>
      <c r="AB855" s="161" t="b">
        <f>ISNUMBER(VLOOKUP(AJ847,Match!$T$5:$T$10,1,FALSE))</f>
        <v>0</v>
      </c>
      <c r="AC855" s="161" t="b">
        <f>IF(AB855=TRUE,(VLOOKUP($AJ847,Match!$T$5:$U$10,2,FALSE)))</f>
        <v>0</v>
      </c>
      <c r="AD855" s="8">
        <v>3</v>
      </c>
      <c r="AE855" s="8">
        <v>2</v>
      </c>
      <c r="AF855" s="8">
        <v>2</v>
      </c>
      <c r="AG855" s="8">
        <v>1</v>
      </c>
      <c r="AH855" s="8" t="str">
        <f t="shared" si="209"/>
        <v/>
      </c>
    </row>
    <row r="856" spans="1:34" x14ac:dyDescent="0.25">
      <c r="A856" s="29">
        <f t="shared" si="224"/>
        <v>0</v>
      </c>
      <c r="B856" s="29">
        <f t="shared" si="211"/>
        <v>0</v>
      </c>
      <c r="C856" s="29">
        <f t="shared" si="212"/>
        <v>0</v>
      </c>
      <c r="D856" s="29">
        <f t="shared" si="213"/>
        <v>0</v>
      </c>
      <c r="E856" s="29">
        <f t="shared" si="210"/>
        <v>0</v>
      </c>
      <c r="F856" s="29">
        <f t="shared" si="214"/>
        <v>0</v>
      </c>
      <c r="G856" s="29" t="str">
        <f t="shared" si="215"/>
        <v>offensive</v>
      </c>
      <c r="H856" s="16">
        <f t="shared" si="216"/>
        <v>0</v>
      </c>
      <c r="I856" s="16">
        <f t="shared" si="217"/>
        <v>0</v>
      </c>
      <c r="J856" s="16">
        <f t="shared" si="218"/>
        <v>0</v>
      </c>
      <c r="K856" s="16">
        <f t="shared" si="219"/>
        <v>0</v>
      </c>
      <c r="L856" s="67">
        <f t="shared" si="220"/>
        <v>0</v>
      </c>
      <c r="M856" s="4">
        <f t="shared" si="221"/>
        <v>0</v>
      </c>
      <c r="N856" s="4">
        <f t="shared" si="222"/>
        <v>0</v>
      </c>
      <c r="O856" s="4">
        <f t="shared" si="223"/>
        <v>0</v>
      </c>
      <c r="P856" s="4" t="e">
        <f>VLOOKUP(AJ848,'CIR Team Info'!$C$5:$E$44,2,FALSE)</f>
        <v>#N/A</v>
      </c>
      <c r="Q856" s="4" t="e">
        <f>VLOOKUP(AJ848,'CIR Team Info'!$C$5:$E$44,3,FALSE)</f>
        <v>#N/A</v>
      </c>
      <c r="R856" s="10" t="e">
        <f>VLOOKUP(AJ848,'FRC Site Data'!$B$3:$L$42,2,FALSE)</f>
        <v>#N/A</v>
      </c>
      <c r="S856" s="10" t="e">
        <f>VLOOKUP(AJ848,'FRC Site Data'!$B$3:$L$42,3,FALSE)</f>
        <v>#N/A</v>
      </c>
      <c r="T856" s="10" t="e">
        <f>VLOOKUP(AJ848,'FRC Site Data'!$B$3:$L$42,4,FALSE)</f>
        <v>#N/A</v>
      </c>
      <c r="U856" s="10" t="e">
        <f>VLOOKUP(AJ848,'FRC Site Data'!$B$3:$L$42,5,FALSE)</f>
        <v>#N/A</v>
      </c>
      <c r="V856" s="10" t="e">
        <f>VLOOKUP(AJ848,'FRC Site Data'!$B$3:$L$42,6,FALSE)</f>
        <v>#N/A</v>
      </c>
      <c r="W856" s="10" t="e">
        <f>VLOOKUP(AJ848,'FRC Site Data'!$B$3:$L$42,8,FALSE)</f>
        <v>#N/A</v>
      </c>
      <c r="X856" s="10" t="e">
        <f>VLOOKUP(AJ848,'FRC Site Data'!$B$3:$L$42,9,FALSE)</f>
        <v>#N/A</v>
      </c>
      <c r="Y856" s="10" t="e">
        <f>VLOOKUP(AJ848,'FRC Site Data'!$B$3:$L$42,10,FALSE)</f>
        <v>#N/A</v>
      </c>
      <c r="Z856" s="10" t="e">
        <f>VLOOKUP(AJ848,'FRC Site Data'!$B$3:$L$42,11,FALSE)</f>
        <v>#N/A</v>
      </c>
      <c r="AA856" s="10" t="e">
        <f>VLOOKUP(AJ848,'CIR Team Info'!$C$5:$E$44,4,FALSE)</f>
        <v>#N/A</v>
      </c>
      <c r="AB856" s="161" t="b">
        <f>ISNUMBER(VLOOKUP(AJ848,Match!$T$5:$T$10,1,FALSE))</f>
        <v>0</v>
      </c>
      <c r="AC856" s="161" t="b">
        <f>IF(AB856=TRUE,(VLOOKUP($AJ848,Match!$T$5:$U$10,2,FALSE)))</f>
        <v>0</v>
      </c>
      <c r="AD856" s="8">
        <v>3</v>
      </c>
      <c r="AE856" s="8">
        <v>2</v>
      </c>
      <c r="AF856" s="8">
        <v>2</v>
      </c>
      <c r="AG856" s="8">
        <v>1</v>
      </c>
      <c r="AH856" s="8" t="str">
        <f t="shared" si="209"/>
        <v/>
      </c>
    </row>
    <row r="857" spans="1:34" x14ac:dyDescent="0.25">
      <c r="A857" s="29">
        <f t="shared" si="224"/>
        <v>0</v>
      </c>
      <c r="B857" s="29">
        <f t="shared" si="211"/>
        <v>0</v>
      </c>
      <c r="C857" s="29">
        <f t="shared" si="212"/>
        <v>0</v>
      </c>
      <c r="D857" s="29">
        <f t="shared" si="213"/>
        <v>0</v>
      </c>
      <c r="E857" s="29">
        <f t="shared" si="210"/>
        <v>0</v>
      </c>
      <c r="F857" s="29">
        <f t="shared" si="214"/>
        <v>0</v>
      </c>
      <c r="G857" s="29" t="str">
        <f t="shared" si="215"/>
        <v>offensive</v>
      </c>
      <c r="H857" s="16">
        <f t="shared" si="216"/>
        <v>0</v>
      </c>
      <c r="I857" s="16">
        <f t="shared" si="217"/>
        <v>0</v>
      </c>
      <c r="J857" s="16">
        <f t="shared" si="218"/>
        <v>0</v>
      </c>
      <c r="K857" s="16">
        <f t="shared" si="219"/>
        <v>0</v>
      </c>
      <c r="L857" s="67">
        <f t="shared" si="220"/>
        <v>0</v>
      </c>
      <c r="M857" s="4">
        <f t="shared" si="221"/>
        <v>0</v>
      </c>
      <c r="N857" s="4">
        <f t="shared" si="222"/>
        <v>0</v>
      </c>
      <c r="O857" s="4">
        <f t="shared" si="223"/>
        <v>0</v>
      </c>
      <c r="P857" s="4" t="e">
        <f>VLOOKUP(AJ849,'CIR Team Info'!$C$5:$E$44,2,FALSE)</f>
        <v>#N/A</v>
      </c>
      <c r="Q857" s="4" t="e">
        <f>VLOOKUP(AJ849,'CIR Team Info'!$C$5:$E$44,3,FALSE)</f>
        <v>#N/A</v>
      </c>
      <c r="R857" s="10" t="e">
        <f>VLOOKUP(AJ849,'FRC Site Data'!$B$3:$L$42,2,FALSE)</f>
        <v>#N/A</v>
      </c>
      <c r="S857" s="10" t="e">
        <f>VLOOKUP(AJ849,'FRC Site Data'!$B$3:$L$42,3,FALSE)</f>
        <v>#N/A</v>
      </c>
      <c r="T857" s="10" t="e">
        <f>VLOOKUP(AJ849,'FRC Site Data'!$B$3:$L$42,4,FALSE)</f>
        <v>#N/A</v>
      </c>
      <c r="U857" s="10" t="e">
        <f>VLOOKUP(AJ849,'FRC Site Data'!$B$3:$L$42,5,FALSE)</f>
        <v>#N/A</v>
      </c>
      <c r="V857" s="10" t="e">
        <f>VLOOKUP(AJ849,'FRC Site Data'!$B$3:$L$42,6,FALSE)</f>
        <v>#N/A</v>
      </c>
      <c r="W857" s="10" t="e">
        <f>VLOOKUP(AJ849,'FRC Site Data'!$B$3:$L$42,8,FALSE)</f>
        <v>#N/A</v>
      </c>
      <c r="X857" s="10" t="e">
        <f>VLOOKUP(AJ849,'FRC Site Data'!$B$3:$L$42,9,FALSE)</f>
        <v>#N/A</v>
      </c>
      <c r="Y857" s="10" t="e">
        <f>VLOOKUP(AJ849,'FRC Site Data'!$B$3:$L$42,10,FALSE)</f>
        <v>#N/A</v>
      </c>
      <c r="Z857" s="10" t="e">
        <f>VLOOKUP(AJ849,'FRC Site Data'!$B$3:$L$42,11,FALSE)</f>
        <v>#N/A</v>
      </c>
      <c r="AA857" s="10" t="e">
        <f>VLOOKUP(AJ849,'CIR Team Info'!$C$5:$E$44,4,FALSE)</f>
        <v>#N/A</v>
      </c>
      <c r="AB857" s="161" t="b">
        <f>ISNUMBER(VLOOKUP(AJ849,Match!$T$5:$T$10,1,FALSE))</f>
        <v>0</v>
      </c>
      <c r="AC857" s="161" t="b">
        <f>IF(AB857=TRUE,(VLOOKUP($AJ849,Match!$T$5:$U$10,2,FALSE)))</f>
        <v>0</v>
      </c>
      <c r="AD857" s="8">
        <v>3</v>
      </c>
      <c r="AE857" s="8">
        <v>2</v>
      </c>
      <c r="AF857" s="8">
        <v>2</v>
      </c>
      <c r="AG857" s="8">
        <v>1</v>
      </c>
      <c r="AH857" s="8" t="str">
        <f t="shared" si="209"/>
        <v/>
      </c>
    </row>
    <row r="858" spans="1:34" x14ac:dyDescent="0.25">
      <c r="A858" s="29">
        <f t="shared" si="224"/>
        <v>0</v>
      </c>
      <c r="B858" s="29">
        <f t="shared" si="211"/>
        <v>0</v>
      </c>
      <c r="C858" s="29">
        <f t="shared" si="212"/>
        <v>0</v>
      </c>
      <c r="D858" s="29">
        <f t="shared" si="213"/>
        <v>0</v>
      </c>
      <c r="E858" s="29">
        <f t="shared" si="210"/>
        <v>0</v>
      </c>
      <c r="F858" s="29">
        <f t="shared" si="214"/>
        <v>0</v>
      </c>
      <c r="G858" s="29" t="str">
        <f t="shared" si="215"/>
        <v>offensive</v>
      </c>
      <c r="H858" s="16">
        <f t="shared" si="216"/>
        <v>0</v>
      </c>
      <c r="I858" s="16">
        <f t="shared" si="217"/>
        <v>0</v>
      </c>
      <c r="J858" s="16">
        <f t="shared" si="218"/>
        <v>0</v>
      </c>
      <c r="K858" s="16">
        <f t="shared" si="219"/>
        <v>0</v>
      </c>
      <c r="L858" s="67">
        <f t="shared" si="220"/>
        <v>0</v>
      </c>
      <c r="M858" s="4">
        <f t="shared" si="221"/>
        <v>0</v>
      </c>
      <c r="N858" s="4">
        <f t="shared" si="222"/>
        <v>0</v>
      </c>
      <c r="O858" s="4">
        <f t="shared" si="223"/>
        <v>0</v>
      </c>
      <c r="P858" s="4" t="e">
        <f>VLOOKUP(AJ850,'CIR Team Info'!$C$5:$E$44,2,FALSE)</f>
        <v>#N/A</v>
      </c>
      <c r="Q858" s="4" t="e">
        <f>VLOOKUP(AJ850,'CIR Team Info'!$C$5:$E$44,3,FALSE)</f>
        <v>#N/A</v>
      </c>
      <c r="R858" s="10" t="e">
        <f>VLOOKUP(AJ850,'FRC Site Data'!$B$3:$L$42,2,FALSE)</f>
        <v>#N/A</v>
      </c>
      <c r="S858" s="10" t="e">
        <f>VLOOKUP(AJ850,'FRC Site Data'!$B$3:$L$42,3,FALSE)</f>
        <v>#N/A</v>
      </c>
      <c r="T858" s="10" t="e">
        <f>VLOOKUP(AJ850,'FRC Site Data'!$B$3:$L$42,4,FALSE)</f>
        <v>#N/A</v>
      </c>
      <c r="U858" s="10" t="e">
        <f>VLOOKUP(AJ850,'FRC Site Data'!$B$3:$L$42,5,FALSE)</f>
        <v>#N/A</v>
      </c>
      <c r="V858" s="10" t="e">
        <f>VLOOKUP(AJ850,'FRC Site Data'!$B$3:$L$42,6,FALSE)</f>
        <v>#N/A</v>
      </c>
      <c r="W858" s="10" t="e">
        <f>VLOOKUP(AJ850,'FRC Site Data'!$B$3:$L$42,8,FALSE)</f>
        <v>#N/A</v>
      </c>
      <c r="X858" s="10" t="e">
        <f>VLOOKUP(AJ850,'FRC Site Data'!$B$3:$L$42,9,FALSE)</f>
        <v>#N/A</v>
      </c>
      <c r="Y858" s="10" t="e">
        <f>VLOOKUP(AJ850,'FRC Site Data'!$B$3:$L$42,10,FALSE)</f>
        <v>#N/A</v>
      </c>
      <c r="Z858" s="10" t="e">
        <f>VLOOKUP(AJ850,'FRC Site Data'!$B$3:$L$42,11,FALSE)</f>
        <v>#N/A</v>
      </c>
      <c r="AA858" s="10" t="e">
        <f>VLOOKUP(AJ850,'CIR Team Info'!$C$5:$E$44,4,FALSE)</f>
        <v>#N/A</v>
      </c>
      <c r="AB858" s="161" t="b">
        <f>ISNUMBER(VLOOKUP(AJ850,Match!$T$5:$T$10,1,FALSE))</f>
        <v>0</v>
      </c>
      <c r="AC858" s="161" t="b">
        <f>IF(AB858=TRUE,(VLOOKUP($AJ850,Match!$T$5:$U$10,2,FALSE)))</f>
        <v>0</v>
      </c>
      <c r="AD858" s="8">
        <v>3</v>
      </c>
      <c r="AE858" s="8">
        <v>2</v>
      </c>
      <c r="AF858" s="8">
        <v>2</v>
      </c>
      <c r="AG858" s="8">
        <v>1</v>
      </c>
      <c r="AH858" s="8" t="str">
        <f t="shared" si="209"/>
        <v/>
      </c>
    </row>
    <row r="859" spans="1:34" x14ac:dyDescent="0.25">
      <c r="A859" s="29">
        <f t="shared" si="224"/>
        <v>0</v>
      </c>
      <c r="B859" s="29">
        <f t="shared" si="211"/>
        <v>0</v>
      </c>
      <c r="C859" s="29">
        <f t="shared" si="212"/>
        <v>0</v>
      </c>
      <c r="D859" s="29">
        <f t="shared" si="213"/>
        <v>0</v>
      </c>
      <c r="E859" s="29">
        <f t="shared" si="210"/>
        <v>0</v>
      </c>
      <c r="F859" s="29">
        <f t="shared" si="214"/>
        <v>0</v>
      </c>
      <c r="G859" s="29" t="str">
        <f t="shared" si="215"/>
        <v>offensive</v>
      </c>
      <c r="H859" s="16">
        <f t="shared" si="216"/>
        <v>0</v>
      </c>
      <c r="I859" s="16">
        <f t="shared" si="217"/>
        <v>0</v>
      </c>
      <c r="J859" s="16">
        <f t="shared" si="218"/>
        <v>0</v>
      </c>
      <c r="K859" s="16">
        <f t="shared" si="219"/>
        <v>0</v>
      </c>
      <c r="L859" s="67">
        <f t="shared" si="220"/>
        <v>0</v>
      </c>
      <c r="M859" s="4">
        <f t="shared" si="221"/>
        <v>0</v>
      </c>
      <c r="N859" s="4">
        <f t="shared" si="222"/>
        <v>0</v>
      </c>
      <c r="O859" s="4">
        <f t="shared" si="223"/>
        <v>0</v>
      </c>
      <c r="P859" s="4" t="e">
        <f>VLOOKUP(AJ851,'CIR Team Info'!$C$5:$E$44,2,FALSE)</f>
        <v>#N/A</v>
      </c>
      <c r="Q859" s="4" t="e">
        <f>VLOOKUP(AJ851,'CIR Team Info'!$C$5:$E$44,3,FALSE)</f>
        <v>#N/A</v>
      </c>
      <c r="R859" s="10" t="e">
        <f>VLOOKUP(AJ851,'FRC Site Data'!$B$3:$L$42,2,FALSE)</f>
        <v>#N/A</v>
      </c>
      <c r="S859" s="10" t="e">
        <f>VLOOKUP(AJ851,'FRC Site Data'!$B$3:$L$42,3,FALSE)</f>
        <v>#N/A</v>
      </c>
      <c r="T859" s="10" t="e">
        <f>VLOOKUP(AJ851,'FRC Site Data'!$B$3:$L$42,4,FALSE)</f>
        <v>#N/A</v>
      </c>
      <c r="U859" s="10" t="e">
        <f>VLOOKUP(AJ851,'FRC Site Data'!$B$3:$L$42,5,FALSE)</f>
        <v>#N/A</v>
      </c>
      <c r="V859" s="10" t="e">
        <f>VLOOKUP(AJ851,'FRC Site Data'!$B$3:$L$42,6,FALSE)</f>
        <v>#N/A</v>
      </c>
      <c r="W859" s="10" t="e">
        <f>VLOOKUP(AJ851,'FRC Site Data'!$B$3:$L$42,8,FALSE)</f>
        <v>#N/A</v>
      </c>
      <c r="X859" s="10" t="e">
        <f>VLOOKUP(AJ851,'FRC Site Data'!$B$3:$L$42,9,FALSE)</f>
        <v>#N/A</v>
      </c>
      <c r="Y859" s="10" t="e">
        <f>VLOOKUP(AJ851,'FRC Site Data'!$B$3:$L$42,10,FALSE)</f>
        <v>#N/A</v>
      </c>
      <c r="Z859" s="10" t="e">
        <f>VLOOKUP(AJ851,'FRC Site Data'!$B$3:$L$42,11,FALSE)</f>
        <v>#N/A</v>
      </c>
      <c r="AA859" s="10" t="e">
        <f>VLOOKUP(AJ851,'CIR Team Info'!$C$5:$E$44,4,FALSE)</f>
        <v>#N/A</v>
      </c>
      <c r="AB859" s="161" t="b">
        <f>ISNUMBER(VLOOKUP(AJ851,Match!$T$5:$T$10,1,FALSE))</f>
        <v>0</v>
      </c>
      <c r="AC859" s="161" t="b">
        <f>IF(AB859=TRUE,(VLOOKUP($AJ851,Match!$T$5:$U$10,2,FALSE)))</f>
        <v>0</v>
      </c>
      <c r="AD859" s="8">
        <v>3</v>
      </c>
      <c r="AE859" s="8">
        <v>2</v>
      </c>
      <c r="AF859" s="8">
        <v>2</v>
      </c>
      <c r="AG859" s="8">
        <v>1</v>
      </c>
      <c r="AH859" s="8" t="str">
        <f t="shared" ref="AH859:AH922" si="225">IF(AL851="Other","x","")</f>
        <v/>
      </c>
    </row>
    <row r="860" spans="1:34" x14ac:dyDescent="0.25">
      <c r="A860" s="29">
        <f t="shared" si="224"/>
        <v>0</v>
      </c>
      <c r="B860" s="29">
        <f t="shared" si="211"/>
        <v>0</v>
      </c>
      <c r="C860" s="29">
        <f t="shared" si="212"/>
        <v>0</v>
      </c>
      <c r="D860" s="29">
        <f t="shared" si="213"/>
        <v>0</v>
      </c>
      <c r="E860" s="29">
        <f t="shared" si="210"/>
        <v>0</v>
      </c>
      <c r="F860" s="29">
        <f t="shared" si="214"/>
        <v>0</v>
      </c>
      <c r="G860" s="29" t="str">
        <f t="shared" si="215"/>
        <v>offensive</v>
      </c>
      <c r="H860" s="16">
        <f t="shared" si="216"/>
        <v>0</v>
      </c>
      <c r="I860" s="16">
        <f t="shared" si="217"/>
        <v>0</v>
      </c>
      <c r="J860" s="16">
        <f t="shared" si="218"/>
        <v>0</v>
      </c>
      <c r="K860" s="16">
        <f t="shared" si="219"/>
        <v>0</v>
      </c>
      <c r="L860" s="67">
        <f t="shared" si="220"/>
        <v>0</v>
      </c>
      <c r="M860" s="4">
        <f t="shared" si="221"/>
        <v>0</v>
      </c>
      <c r="N860" s="4">
        <f t="shared" si="222"/>
        <v>0</v>
      </c>
      <c r="O860" s="4">
        <f t="shared" si="223"/>
        <v>0</v>
      </c>
      <c r="P860" s="4" t="e">
        <f>VLOOKUP(AJ852,'CIR Team Info'!$C$5:$E$44,2,FALSE)</f>
        <v>#N/A</v>
      </c>
      <c r="Q860" s="4" t="e">
        <f>VLOOKUP(AJ852,'CIR Team Info'!$C$5:$E$44,3,FALSE)</f>
        <v>#N/A</v>
      </c>
      <c r="R860" s="10" t="e">
        <f>VLOOKUP(AJ852,'FRC Site Data'!$B$3:$L$42,2,FALSE)</f>
        <v>#N/A</v>
      </c>
      <c r="S860" s="10" t="e">
        <f>VLOOKUP(AJ852,'FRC Site Data'!$B$3:$L$42,3,FALSE)</f>
        <v>#N/A</v>
      </c>
      <c r="T860" s="10" t="e">
        <f>VLOOKUP(AJ852,'FRC Site Data'!$B$3:$L$42,4,FALSE)</f>
        <v>#N/A</v>
      </c>
      <c r="U860" s="10" t="e">
        <f>VLOOKUP(AJ852,'FRC Site Data'!$B$3:$L$42,5,FALSE)</f>
        <v>#N/A</v>
      </c>
      <c r="V860" s="10" t="e">
        <f>VLOOKUP(AJ852,'FRC Site Data'!$B$3:$L$42,6,FALSE)</f>
        <v>#N/A</v>
      </c>
      <c r="W860" s="10" t="e">
        <f>VLOOKUP(AJ852,'FRC Site Data'!$B$3:$L$42,8,FALSE)</f>
        <v>#N/A</v>
      </c>
      <c r="X860" s="10" t="e">
        <f>VLOOKUP(AJ852,'FRC Site Data'!$B$3:$L$42,9,FALSE)</f>
        <v>#N/A</v>
      </c>
      <c r="Y860" s="10" t="e">
        <f>VLOOKUP(AJ852,'FRC Site Data'!$B$3:$L$42,10,FALSE)</f>
        <v>#N/A</v>
      </c>
      <c r="Z860" s="10" t="e">
        <f>VLOOKUP(AJ852,'FRC Site Data'!$B$3:$L$42,11,FALSE)</f>
        <v>#N/A</v>
      </c>
      <c r="AA860" s="10" t="e">
        <f>VLOOKUP(AJ852,'CIR Team Info'!$C$5:$E$44,4,FALSE)</f>
        <v>#N/A</v>
      </c>
      <c r="AB860" s="161" t="b">
        <f>ISNUMBER(VLOOKUP(AJ852,Match!$T$5:$T$10,1,FALSE))</f>
        <v>0</v>
      </c>
      <c r="AC860" s="161" t="b">
        <f>IF(AB860=TRUE,(VLOOKUP($AJ852,Match!$T$5:$U$10,2,FALSE)))</f>
        <v>0</v>
      </c>
      <c r="AD860" s="8">
        <v>3</v>
      </c>
      <c r="AE860" s="8">
        <v>2</v>
      </c>
      <c r="AF860" s="8">
        <v>2</v>
      </c>
      <c r="AG860" s="8">
        <v>1</v>
      </c>
      <c r="AH860" s="8" t="str">
        <f t="shared" si="225"/>
        <v/>
      </c>
    </row>
    <row r="861" spans="1:34" x14ac:dyDescent="0.25">
      <c r="A861" s="29">
        <f t="shared" si="224"/>
        <v>0</v>
      </c>
      <c r="B861" s="29">
        <f t="shared" si="211"/>
        <v>0</v>
      </c>
      <c r="C861" s="29">
        <f t="shared" si="212"/>
        <v>0</v>
      </c>
      <c r="D861" s="29">
        <f t="shared" si="213"/>
        <v>0</v>
      </c>
      <c r="E861" s="29">
        <f t="shared" si="210"/>
        <v>0</v>
      </c>
      <c r="F861" s="29">
        <f t="shared" si="214"/>
        <v>0</v>
      </c>
      <c r="G861" s="29" t="str">
        <f t="shared" si="215"/>
        <v>offensive</v>
      </c>
      <c r="H861" s="16">
        <f t="shared" si="216"/>
        <v>0</v>
      </c>
      <c r="I861" s="16">
        <f t="shared" si="217"/>
        <v>0</v>
      </c>
      <c r="J861" s="16">
        <f t="shared" si="218"/>
        <v>0</v>
      </c>
      <c r="K861" s="16">
        <f t="shared" si="219"/>
        <v>0</v>
      </c>
      <c r="L861" s="67">
        <f t="shared" si="220"/>
        <v>0</v>
      </c>
      <c r="M861" s="4">
        <f t="shared" si="221"/>
        <v>0</v>
      </c>
      <c r="N861" s="4">
        <f t="shared" si="222"/>
        <v>0</v>
      </c>
      <c r="O861" s="4">
        <f t="shared" si="223"/>
        <v>0</v>
      </c>
      <c r="P861" s="4" t="e">
        <f>VLOOKUP(AJ853,'CIR Team Info'!$C$5:$E$44,2,FALSE)</f>
        <v>#N/A</v>
      </c>
      <c r="Q861" s="4" t="e">
        <f>VLOOKUP(AJ853,'CIR Team Info'!$C$5:$E$44,3,FALSE)</f>
        <v>#N/A</v>
      </c>
      <c r="R861" s="10" t="e">
        <f>VLOOKUP(AJ853,'FRC Site Data'!$B$3:$L$42,2,FALSE)</f>
        <v>#N/A</v>
      </c>
      <c r="S861" s="10" t="e">
        <f>VLOOKUP(AJ853,'FRC Site Data'!$B$3:$L$42,3,FALSE)</f>
        <v>#N/A</v>
      </c>
      <c r="T861" s="10" t="e">
        <f>VLOOKUP(AJ853,'FRC Site Data'!$B$3:$L$42,4,FALSE)</f>
        <v>#N/A</v>
      </c>
      <c r="U861" s="10" t="e">
        <f>VLOOKUP(AJ853,'FRC Site Data'!$B$3:$L$42,5,FALSE)</f>
        <v>#N/A</v>
      </c>
      <c r="V861" s="10" t="e">
        <f>VLOOKUP(AJ853,'FRC Site Data'!$B$3:$L$42,6,FALSE)</f>
        <v>#N/A</v>
      </c>
      <c r="W861" s="10" t="e">
        <f>VLOOKUP(AJ853,'FRC Site Data'!$B$3:$L$42,8,FALSE)</f>
        <v>#N/A</v>
      </c>
      <c r="X861" s="10" t="e">
        <f>VLOOKUP(AJ853,'FRC Site Data'!$B$3:$L$42,9,FALSE)</f>
        <v>#N/A</v>
      </c>
      <c r="Y861" s="10" t="e">
        <f>VLOOKUP(AJ853,'FRC Site Data'!$B$3:$L$42,10,FALSE)</f>
        <v>#N/A</v>
      </c>
      <c r="Z861" s="10" t="e">
        <f>VLOOKUP(AJ853,'FRC Site Data'!$B$3:$L$42,11,FALSE)</f>
        <v>#N/A</v>
      </c>
      <c r="AA861" s="10" t="e">
        <f>VLOOKUP(AJ853,'CIR Team Info'!$C$5:$E$44,4,FALSE)</f>
        <v>#N/A</v>
      </c>
      <c r="AB861" s="161" t="b">
        <f>ISNUMBER(VLOOKUP(AJ853,Match!$T$5:$T$10,1,FALSE))</f>
        <v>0</v>
      </c>
      <c r="AC861" s="161" t="b">
        <f>IF(AB861=TRUE,(VLOOKUP($AJ853,Match!$T$5:$U$10,2,FALSE)))</f>
        <v>0</v>
      </c>
      <c r="AD861" s="8">
        <v>3</v>
      </c>
      <c r="AE861" s="8">
        <v>2</v>
      </c>
      <c r="AF861" s="8">
        <v>2</v>
      </c>
      <c r="AG861" s="8">
        <v>1</v>
      </c>
      <c r="AH861" s="8" t="str">
        <f t="shared" si="225"/>
        <v/>
      </c>
    </row>
    <row r="862" spans="1:34" x14ac:dyDescent="0.25">
      <c r="A862" s="29">
        <f t="shared" si="224"/>
        <v>0</v>
      </c>
      <c r="B862" s="29">
        <f t="shared" si="211"/>
        <v>0</v>
      </c>
      <c r="C862" s="29">
        <f t="shared" si="212"/>
        <v>0</v>
      </c>
      <c r="D862" s="29">
        <f t="shared" si="213"/>
        <v>0</v>
      </c>
      <c r="E862" s="29">
        <f t="shared" si="210"/>
        <v>0</v>
      </c>
      <c r="F862" s="29">
        <f t="shared" si="214"/>
        <v>0</v>
      </c>
      <c r="G862" s="29" t="str">
        <f t="shared" si="215"/>
        <v>offensive</v>
      </c>
      <c r="H862" s="16">
        <f t="shared" si="216"/>
        <v>0</v>
      </c>
      <c r="I862" s="16">
        <f t="shared" si="217"/>
        <v>0</v>
      </c>
      <c r="J862" s="16">
        <f t="shared" si="218"/>
        <v>0</v>
      </c>
      <c r="K862" s="16">
        <f t="shared" si="219"/>
        <v>0</v>
      </c>
      <c r="L862" s="67">
        <f t="shared" si="220"/>
        <v>0</v>
      </c>
      <c r="M862" s="4">
        <f t="shared" si="221"/>
        <v>0</v>
      </c>
      <c r="N862" s="4">
        <f t="shared" si="222"/>
        <v>0</v>
      </c>
      <c r="O862" s="4">
        <f t="shared" si="223"/>
        <v>0</v>
      </c>
      <c r="P862" s="4" t="e">
        <f>VLOOKUP(AJ854,'CIR Team Info'!$C$5:$E$44,2,FALSE)</f>
        <v>#N/A</v>
      </c>
      <c r="Q862" s="4" t="e">
        <f>VLOOKUP(AJ854,'CIR Team Info'!$C$5:$E$44,3,FALSE)</f>
        <v>#N/A</v>
      </c>
      <c r="R862" s="10" t="e">
        <f>VLOOKUP(AJ854,'FRC Site Data'!$B$3:$L$42,2,FALSE)</f>
        <v>#N/A</v>
      </c>
      <c r="S862" s="10" t="e">
        <f>VLOOKUP(AJ854,'FRC Site Data'!$B$3:$L$42,3,FALSE)</f>
        <v>#N/A</v>
      </c>
      <c r="T862" s="10" t="e">
        <f>VLOOKUP(AJ854,'FRC Site Data'!$B$3:$L$42,4,FALSE)</f>
        <v>#N/A</v>
      </c>
      <c r="U862" s="10" t="e">
        <f>VLOOKUP(AJ854,'FRC Site Data'!$B$3:$L$42,5,FALSE)</f>
        <v>#N/A</v>
      </c>
      <c r="V862" s="10" t="e">
        <f>VLOOKUP(AJ854,'FRC Site Data'!$B$3:$L$42,6,FALSE)</f>
        <v>#N/A</v>
      </c>
      <c r="W862" s="10" t="e">
        <f>VLOOKUP(AJ854,'FRC Site Data'!$B$3:$L$42,8,FALSE)</f>
        <v>#N/A</v>
      </c>
      <c r="X862" s="10" t="e">
        <f>VLOOKUP(AJ854,'FRC Site Data'!$B$3:$L$42,9,FALSE)</f>
        <v>#N/A</v>
      </c>
      <c r="Y862" s="10" t="e">
        <f>VLOOKUP(AJ854,'FRC Site Data'!$B$3:$L$42,10,FALSE)</f>
        <v>#N/A</v>
      </c>
      <c r="Z862" s="10" t="e">
        <f>VLOOKUP(AJ854,'FRC Site Data'!$B$3:$L$42,11,FALSE)</f>
        <v>#N/A</v>
      </c>
      <c r="AA862" s="10" t="e">
        <f>VLOOKUP(AJ854,'CIR Team Info'!$C$5:$E$44,4,FALSE)</f>
        <v>#N/A</v>
      </c>
      <c r="AB862" s="161" t="b">
        <f>ISNUMBER(VLOOKUP(AJ854,Match!$T$5:$T$10,1,FALSE))</f>
        <v>0</v>
      </c>
      <c r="AC862" s="161" t="b">
        <f>IF(AB862=TRUE,(VLOOKUP($AJ854,Match!$T$5:$U$10,2,FALSE)))</f>
        <v>0</v>
      </c>
      <c r="AD862" s="8">
        <v>3</v>
      </c>
      <c r="AE862" s="8">
        <v>2</v>
      </c>
      <c r="AF862" s="8">
        <v>2</v>
      </c>
      <c r="AG862" s="8">
        <v>1</v>
      </c>
      <c r="AH862" s="8" t="str">
        <f t="shared" si="225"/>
        <v/>
      </c>
    </row>
    <row r="863" spans="1:34" x14ac:dyDescent="0.25">
      <c r="A863" s="29">
        <f t="shared" si="224"/>
        <v>0</v>
      </c>
      <c r="B863" s="29">
        <f t="shared" si="211"/>
        <v>0</v>
      </c>
      <c r="C863" s="29">
        <f t="shared" si="212"/>
        <v>0</v>
      </c>
      <c r="D863" s="29">
        <f t="shared" si="213"/>
        <v>0</v>
      </c>
      <c r="E863" s="29">
        <f t="shared" si="210"/>
        <v>0</v>
      </c>
      <c r="F863" s="29">
        <f t="shared" si="214"/>
        <v>0</v>
      </c>
      <c r="G863" s="29" t="str">
        <f t="shared" si="215"/>
        <v>offensive</v>
      </c>
      <c r="H863" s="16">
        <f t="shared" si="216"/>
        <v>0</v>
      </c>
      <c r="I863" s="16">
        <f t="shared" si="217"/>
        <v>0</v>
      </c>
      <c r="J863" s="16">
        <f t="shared" si="218"/>
        <v>0</v>
      </c>
      <c r="K863" s="16">
        <f t="shared" si="219"/>
        <v>0</v>
      </c>
      <c r="L863" s="67">
        <f t="shared" si="220"/>
        <v>0</v>
      </c>
      <c r="M863" s="4">
        <f t="shared" si="221"/>
        <v>0</v>
      </c>
      <c r="N863" s="4">
        <f t="shared" si="222"/>
        <v>0</v>
      </c>
      <c r="O863" s="4">
        <f t="shared" si="223"/>
        <v>0</v>
      </c>
      <c r="P863" s="4" t="e">
        <f>VLOOKUP(AJ855,'CIR Team Info'!$C$5:$E$44,2,FALSE)</f>
        <v>#N/A</v>
      </c>
      <c r="Q863" s="4" t="e">
        <f>VLOOKUP(AJ855,'CIR Team Info'!$C$5:$E$44,3,FALSE)</f>
        <v>#N/A</v>
      </c>
      <c r="R863" s="10" t="e">
        <f>VLOOKUP(AJ855,'FRC Site Data'!$B$3:$L$42,2,FALSE)</f>
        <v>#N/A</v>
      </c>
      <c r="S863" s="10" t="e">
        <f>VLOOKUP(AJ855,'FRC Site Data'!$B$3:$L$42,3,FALSE)</f>
        <v>#N/A</v>
      </c>
      <c r="T863" s="10" t="e">
        <f>VLOOKUP(AJ855,'FRC Site Data'!$B$3:$L$42,4,FALSE)</f>
        <v>#N/A</v>
      </c>
      <c r="U863" s="10" t="e">
        <f>VLOOKUP(AJ855,'FRC Site Data'!$B$3:$L$42,5,FALSE)</f>
        <v>#N/A</v>
      </c>
      <c r="V863" s="10" t="e">
        <f>VLOOKUP(AJ855,'FRC Site Data'!$B$3:$L$42,6,FALSE)</f>
        <v>#N/A</v>
      </c>
      <c r="W863" s="10" t="e">
        <f>VLOOKUP(AJ855,'FRC Site Data'!$B$3:$L$42,8,FALSE)</f>
        <v>#N/A</v>
      </c>
      <c r="X863" s="10" t="e">
        <f>VLOOKUP(AJ855,'FRC Site Data'!$B$3:$L$42,9,FALSE)</f>
        <v>#N/A</v>
      </c>
      <c r="Y863" s="10" t="e">
        <f>VLOOKUP(AJ855,'FRC Site Data'!$B$3:$L$42,10,FALSE)</f>
        <v>#N/A</v>
      </c>
      <c r="Z863" s="10" t="e">
        <f>VLOOKUP(AJ855,'FRC Site Data'!$B$3:$L$42,11,FALSE)</f>
        <v>#N/A</v>
      </c>
      <c r="AA863" s="10" t="e">
        <f>VLOOKUP(AJ855,'CIR Team Info'!$C$5:$E$44,4,FALSE)</f>
        <v>#N/A</v>
      </c>
      <c r="AB863" s="161" t="b">
        <f>ISNUMBER(VLOOKUP(AJ855,Match!$T$5:$T$10,1,FALSE))</f>
        <v>0</v>
      </c>
      <c r="AC863" s="161" t="b">
        <f>IF(AB863=TRUE,(VLOOKUP($AJ855,Match!$T$5:$U$10,2,FALSE)))</f>
        <v>0</v>
      </c>
      <c r="AD863" s="8">
        <v>3</v>
      </c>
      <c r="AE863" s="8">
        <v>2</v>
      </c>
      <c r="AF863" s="8">
        <v>2</v>
      </c>
      <c r="AG863" s="8">
        <v>1</v>
      </c>
      <c r="AH863" s="8" t="str">
        <f t="shared" si="225"/>
        <v/>
      </c>
    </row>
    <row r="864" spans="1:34" x14ac:dyDescent="0.25">
      <c r="A864" s="29">
        <f t="shared" si="224"/>
        <v>0</v>
      </c>
      <c r="B864" s="29">
        <f t="shared" si="211"/>
        <v>0</v>
      </c>
      <c r="C864" s="29">
        <f t="shared" si="212"/>
        <v>0</v>
      </c>
      <c r="D864" s="29">
        <f t="shared" si="213"/>
        <v>0</v>
      </c>
      <c r="E864" s="29">
        <f t="shared" si="210"/>
        <v>0</v>
      </c>
      <c r="F864" s="29">
        <f t="shared" si="214"/>
        <v>0</v>
      </c>
      <c r="G864" s="29" t="str">
        <f t="shared" si="215"/>
        <v>offensive</v>
      </c>
      <c r="H864" s="16">
        <f t="shared" si="216"/>
        <v>0</v>
      </c>
      <c r="I864" s="16">
        <f t="shared" si="217"/>
        <v>0</v>
      </c>
      <c r="J864" s="16">
        <f t="shared" si="218"/>
        <v>0</v>
      </c>
      <c r="K864" s="16">
        <f t="shared" si="219"/>
        <v>0</v>
      </c>
      <c r="L864" s="67">
        <f t="shared" si="220"/>
        <v>0</v>
      </c>
      <c r="M864" s="4">
        <f t="shared" si="221"/>
        <v>0</v>
      </c>
      <c r="N864" s="4">
        <f t="shared" si="222"/>
        <v>0</v>
      </c>
      <c r="O864" s="4">
        <f t="shared" si="223"/>
        <v>0</v>
      </c>
      <c r="P864" s="4" t="e">
        <f>VLOOKUP(AJ856,'CIR Team Info'!$C$5:$E$44,2,FALSE)</f>
        <v>#N/A</v>
      </c>
      <c r="Q864" s="4" t="e">
        <f>VLOOKUP(AJ856,'CIR Team Info'!$C$5:$E$44,3,FALSE)</f>
        <v>#N/A</v>
      </c>
      <c r="R864" s="10" t="e">
        <f>VLOOKUP(AJ856,'FRC Site Data'!$B$3:$L$42,2,FALSE)</f>
        <v>#N/A</v>
      </c>
      <c r="S864" s="10" t="e">
        <f>VLOOKUP(AJ856,'FRC Site Data'!$B$3:$L$42,3,FALSE)</f>
        <v>#N/A</v>
      </c>
      <c r="T864" s="10" t="e">
        <f>VLOOKUP(AJ856,'FRC Site Data'!$B$3:$L$42,4,FALSE)</f>
        <v>#N/A</v>
      </c>
      <c r="U864" s="10" t="e">
        <f>VLOOKUP(AJ856,'FRC Site Data'!$B$3:$L$42,5,FALSE)</f>
        <v>#N/A</v>
      </c>
      <c r="V864" s="10" t="e">
        <f>VLOOKUP(AJ856,'FRC Site Data'!$B$3:$L$42,6,FALSE)</f>
        <v>#N/A</v>
      </c>
      <c r="W864" s="10" t="e">
        <f>VLOOKUP(AJ856,'FRC Site Data'!$B$3:$L$42,8,FALSE)</f>
        <v>#N/A</v>
      </c>
      <c r="X864" s="10" t="e">
        <f>VLOOKUP(AJ856,'FRC Site Data'!$B$3:$L$42,9,FALSE)</f>
        <v>#N/A</v>
      </c>
      <c r="Y864" s="10" t="e">
        <f>VLOOKUP(AJ856,'FRC Site Data'!$B$3:$L$42,10,FALSE)</f>
        <v>#N/A</v>
      </c>
      <c r="Z864" s="10" t="e">
        <f>VLOOKUP(AJ856,'FRC Site Data'!$B$3:$L$42,11,FALSE)</f>
        <v>#N/A</v>
      </c>
      <c r="AA864" s="10" t="e">
        <f>VLOOKUP(AJ856,'CIR Team Info'!$C$5:$E$44,4,FALSE)</f>
        <v>#N/A</v>
      </c>
      <c r="AB864" s="161" t="b">
        <f>ISNUMBER(VLOOKUP(AJ856,Match!$T$5:$T$10,1,FALSE))</f>
        <v>0</v>
      </c>
      <c r="AC864" s="161" t="b">
        <f>IF(AB864=TRUE,(VLOOKUP($AJ856,Match!$T$5:$U$10,2,FALSE)))</f>
        <v>0</v>
      </c>
      <c r="AD864" s="8">
        <v>3</v>
      </c>
      <c r="AE864" s="8">
        <v>2</v>
      </c>
      <c r="AF864" s="8">
        <v>2</v>
      </c>
      <c r="AG864" s="8">
        <v>1</v>
      </c>
      <c r="AH864" s="8" t="str">
        <f t="shared" si="225"/>
        <v/>
      </c>
    </row>
    <row r="865" spans="1:34" x14ac:dyDescent="0.25">
      <c r="A865" s="29">
        <f t="shared" si="224"/>
        <v>0</v>
      </c>
      <c r="B865" s="29">
        <f t="shared" si="211"/>
        <v>0</v>
      </c>
      <c r="C865" s="29">
        <f t="shared" si="212"/>
        <v>0</v>
      </c>
      <c r="D865" s="29">
        <f t="shared" si="213"/>
        <v>0</v>
      </c>
      <c r="E865" s="29">
        <f t="shared" si="210"/>
        <v>0</v>
      </c>
      <c r="F865" s="29">
        <f t="shared" si="214"/>
        <v>0</v>
      </c>
      <c r="G865" s="29" t="str">
        <f t="shared" si="215"/>
        <v>offensive</v>
      </c>
      <c r="H865" s="16">
        <f t="shared" si="216"/>
        <v>0</v>
      </c>
      <c r="I865" s="16">
        <f t="shared" si="217"/>
        <v>0</v>
      </c>
      <c r="J865" s="16">
        <f t="shared" si="218"/>
        <v>0</v>
      </c>
      <c r="K865" s="16">
        <f t="shared" si="219"/>
        <v>0</v>
      </c>
      <c r="L865" s="67">
        <f t="shared" si="220"/>
        <v>0</v>
      </c>
      <c r="M865" s="4">
        <f t="shared" si="221"/>
        <v>0</v>
      </c>
      <c r="N865" s="4">
        <f t="shared" si="222"/>
        <v>0</v>
      </c>
      <c r="O865" s="4">
        <f t="shared" si="223"/>
        <v>0</v>
      </c>
      <c r="P865" s="4" t="e">
        <f>VLOOKUP(AJ857,'CIR Team Info'!$C$5:$E$44,2,FALSE)</f>
        <v>#N/A</v>
      </c>
      <c r="Q865" s="4" t="e">
        <f>VLOOKUP(AJ857,'CIR Team Info'!$C$5:$E$44,3,FALSE)</f>
        <v>#N/A</v>
      </c>
      <c r="R865" s="10" t="e">
        <f>VLOOKUP(AJ857,'FRC Site Data'!$B$3:$L$42,2,FALSE)</f>
        <v>#N/A</v>
      </c>
      <c r="S865" s="10" t="e">
        <f>VLOOKUP(AJ857,'FRC Site Data'!$B$3:$L$42,3,FALSE)</f>
        <v>#N/A</v>
      </c>
      <c r="T865" s="10" t="e">
        <f>VLOOKUP(AJ857,'FRC Site Data'!$B$3:$L$42,4,FALSE)</f>
        <v>#N/A</v>
      </c>
      <c r="U865" s="10" t="e">
        <f>VLOOKUP(AJ857,'FRC Site Data'!$B$3:$L$42,5,FALSE)</f>
        <v>#N/A</v>
      </c>
      <c r="V865" s="10" t="e">
        <f>VLOOKUP(AJ857,'FRC Site Data'!$B$3:$L$42,6,FALSE)</f>
        <v>#N/A</v>
      </c>
      <c r="W865" s="10" t="e">
        <f>VLOOKUP(AJ857,'FRC Site Data'!$B$3:$L$42,8,FALSE)</f>
        <v>#N/A</v>
      </c>
      <c r="X865" s="10" t="e">
        <f>VLOOKUP(AJ857,'FRC Site Data'!$B$3:$L$42,9,FALSE)</f>
        <v>#N/A</v>
      </c>
      <c r="Y865" s="10" t="e">
        <f>VLOOKUP(AJ857,'FRC Site Data'!$B$3:$L$42,10,FALSE)</f>
        <v>#N/A</v>
      </c>
      <c r="Z865" s="10" t="e">
        <f>VLOOKUP(AJ857,'FRC Site Data'!$B$3:$L$42,11,FALSE)</f>
        <v>#N/A</v>
      </c>
      <c r="AA865" s="10" t="e">
        <f>VLOOKUP(AJ857,'CIR Team Info'!$C$5:$E$44,4,FALSE)</f>
        <v>#N/A</v>
      </c>
      <c r="AB865" s="161" t="b">
        <f>ISNUMBER(VLOOKUP(AJ857,Match!$T$5:$T$10,1,FALSE))</f>
        <v>0</v>
      </c>
      <c r="AC865" s="161" t="b">
        <f>IF(AB865=TRUE,(VLOOKUP($AJ857,Match!$T$5:$U$10,2,FALSE)))</f>
        <v>0</v>
      </c>
      <c r="AD865" s="8">
        <v>3</v>
      </c>
      <c r="AE865" s="8">
        <v>2</v>
      </c>
      <c r="AF865" s="8">
        <v>2</v>
      </c>
      <c r="AG865" s="8">
        <v>1</v>
      </c>
      <c r="AH865" s="8" t="str">
        <f t="shared" si="225"/>
        <v/>
      </c>
    </row>
    <row r="866" spans="1:34" x14ac:dyDescent="0.25">
      <c r="A866" s="29">
        <f t="shared" si="224"/>
        <v>0</v>
      </c>
      <c r="B866" s="29">
        <f t="shared" si="211"/>
        <v>0</v>
      </c>
      <c r="C866" s="29">
        <f t="shared" si="212"/>
        <v>0</v>
      </c>
      <c r="D866" s="29">
        <f t="shared" si="213"/>
        <v>0</v>
      </c>
      <c r="E866" s="29">
        <f t="shared" si="210"/>
        <v>0</v>
      </c>
      <c r="F866" s="29">
        <f t="shared" si="214"/>
        <v>0</v>
      </c>
      <c r="G866" s="29" t="str">
        <f t="shared" si="215"/>
        <v>offensive</v>
      </c>
      <c r="H866" s="16">
        <f t="shared" si="216"/>
        <v>0</v>
      </c>
      <c r="I866" s="16">
        <f t="shared" si="217"/>
        <v>0</v>
      </c>
      <c r="J866" s="16">
        <f t="shared" si="218"/>
        <v>0</v>
      </c>
      <c r="K866" s="16">
        <f t="shared" si="219"/>
        <v>0</v>
      </c>
      <c r="L866" s="67">
        <f t="shared" si="220"/>
        <v>0</v>
      </c>
      <c r="M866" s="4">
        <f t="shared" si="221"/>
        <v>0</v>
      </c>
      <c r="N866" s="4">
        <f t="shared" si="222"/>
        <v>0</v>
      </c>
      <c r="O866" s="4">
        <f t="shared" si="223"/>
        <v>0</v>
      </c>
      <c r="P866" s="4" t="e">
        <f>VLOOKUP(AJ858,'CIR Team Info'!$C$5:$E$44,2,FALSE)</f>
        <v>#N/A</v>
      </c>
      <c r="Q866" s="4" t="e">
        <f>VLOOKUP(AJ858,'CIR Team Info'!$C$5:$E$44,3,FALSE)</f>
        <v>#N/A</v>
      </c>
      <c r="R866" s="10" t="e">
        <f>VLOOKUP(AJ858,'FRC Site Data'!$B$3:$L$42,2,FALSE)</f>
        <v>#N/A</v>
      </c>
      <c r="S866" s="10" t="e">
        <f>VLOOKUP(AJ858,'FRC Site Data'!$B$3:$L$42,3,FALSE)</f>
        <v>#N/A</v>
      </c>
      <c r="T866" s="10" t="e">
        <f>VLOOKUP(AJ858,'FRC Site Data'!$B$3:$L$42,4,FALSE)</f>
        <v>#N/A</v>
      </c>
      <c r="U866" s="10" t="e">
        <f>VLOOKUP(AJ858,'FRC Site Data'!$B$3:$L$42,5,FALSE)</f>
        <v>#N/A</v>
      </c>
      <c r="V866" s="10" t="e">
        <f>VLOOKUP(AJ858,'FRC Site Data'!$B$3:$L$42,6,FALSE)</f>
        <v>#N/A</v>
      </c>
      <c r="W866" s="10" t="e">
        <f>VLOOKUP(AJ858,'FRC Site Data'!$B$3:$L$42,8,FALSE)</f>
        <v>#N/A</v>
      </c>
      <c r="X866" s="10" t="e">
        <f>VLOOKUP(AJ858,'FRC Site Data'!$B$3:$L$42,9,FALSE)</f>
        <v>#N/A</v>
      </c>
      <c r="Y866" s="10" t="e">
        <f>VLOOKUP(AJ858,'FRC Site Data'!$B$3:$L$42,10,FALSE)</f>
        <v>#N/A</v>
      </c>
      <c r="Z866" s="10" t="e">
        <f>VLOOKUP(AJ858,'FRC Site Data'!$B$3:$L$42,11,FALSE)</f>
        <v>#N/A</v>
      </c>
      <c r="AA866" s="10" t="e">
        <f>VLOOKUP(AJ858,'CIR Team Info'!$C$5:$E$44,4,FALSE)</f>
        <v>#N/A</v>
      </c>
      <c r="AB866" s="161" t="b">
        <f>ISNUMBER(VLOOKUP(AJ858,Match!$T$5:$T$10,1,FALSE))</f>
        <v>0</v>
      </c>
      <c r="AC866" s="161" t="b">
        <f>IF(AB866=TRUE,(VLOOKUP($AJ858,Match!$T$5:$U$10,2,FALSE)))</f>
        <v>0</v>
      </c>
      <c r="AD866" s="8">
        <v>3</v>
      </c>
      <c r="AE866" s="8">
        <v>2</v>
      </c>
      <c r="AF866" s="8">
        <v>2</v>
      </c>
      <c r="AG866" s="8">
        <v>1</v>
      </c>
      <c r="AH866" s="8" t="str">
        <f t="shared" si="225"/>
        <v/>
      </c>
    </row>
    <row r="867" spans="1:34" x14ac:dyDescent="0.25">
      <c r="A867" s="29">
        <f t="shared" si="224"/>
        <v>0</v>
      </c>
      <c r="B867" s="29">
        <f t="shared" si="211"/>
        <v>0</v>
      </c>
      <c r="C867" s="29">
        <f t="shared" si="212"/>
        <v>0</v>
      </c>
      <c r="D867" s="29">
        <f t="shared" si="213"/>
        <v>0</v>
      </c>
      <c r="E867" s="29">
        <f t="shared" si="210"/>
        <v>0</v>
      </c>
      <c r="F867" s="29">
        <f t="shared" si="214"/>
        <v>0</v>
      </c>
      <c r="G867" s="29" t="str">
        <f t="shared" si="215"/>
        <v>offensive</v>
      </c>
      <c r="H867" s="16">
        <f t="shared" si="216"/>
        <v>0</v>
      </c>
      <c r="I867" s="16">
        <f t="shared" si="217"/>
        <v>0</v>
      </c>
      <c r="J867" s="16">
        <f t="shared" si="218"/>
        <v>0</v>
      </c>
      <c r="K867" s="16">
        <f t="shared" si="219"/>
        <v>0</v>
      </c>
      <c r="L867" s="67">
        <f t="shared" si="220"/>
        <v>0</v>
      </c>
      <c r="M867" s="4">
        <f t="shared" si="221"/>
        <v>0</v>
      </c>
      <c r="N867" s="4">
        <f t="shared" si="222"/>
        <v>0</v>
      </c>
      <c r="O867" s="4">
        <f t="shared" si="223"/>
        <v>0</v>
      </c>
      <c r="P867" s="4" t="e">
        <f>VLOOKUP(AJ859,'CIR Team Info'!$C$5:$E$44,2,FALSE)</f>
        <v>#N/A</v>
      </c>
      <c r="Q867" s="4" t="e">
        <f>VLOOKUP(AJ859,'CIR Team Info'!$C$5:$E$44,3,FALSE)</f>
        <v>#N/A</v>
      </c>
      <c r="R867" s="10" t="e">
        <f>VLOOKUP(AJ859,'FRC Site Data'!$B$3:$L$42,2,FALSE)</f>
        <v>#N/A</v>
      </c>
      <c r="S867" s="10" t="e">
        <f>VLOOKUP(AJ859,'FRC Site Data'!$B$3:$L$42,3,FALSE)</f>
        <v>#N/A</v>
      </c>
      <c r="T867" s="10" t="e">
        <f>VLOOKUP(AJ859,'FRC Site Data'!$B$3:$L$42,4,FALSE)</f>
        <v>#N/A</v>
      </c>
      <c r="U867" s="10" t="e">
        <f>VLOOKUP(AJ859,'FRC Site Data'!$B$3:$L$42,5,FALSE)</f>
        <v>#N/A</v>
      </c>
      <c r="V867" s="10" t="e">
        <f>VLOOKUP(AJ859,'FRC Site Data'!$B$3:$L$42,6,FALSE)</f>
        <v>#N/A</v>
      </c>
      <c r="W867" s="10" t="e">
        <f>VLOOKUP(AJ859,'FRC Site Data'!$B$3:$L$42,8,FALSE)</f>
        <v>#N/A</v>
      </c>
      <c r="X867" s="10" t="e">
        <f>VLOOKUP(AJ859,'FRC Site Data'!$B$3:$L$42,9,FALSE)</f>
        <v>#N/A</v>
      </c>
      <c r="Y867" s="10" t="e">
        <f>VLOOKUP(AJ859,'FRC Site Data'!$B$3:$L$42,10,FALSE)</f>
        <v>#N/A</v>
      </c>
      <c r="Z867" s="10" t="e">
        <f>VLOOKUP(AJ859,'FRC Site Data'!$B$3:$L$42,11,FALSE)</f>
        <v>#N/A</v>
      </c>
      <c r="AA867" s="10" t="e">
        <f>VLOOKUP(AJ859,'CIR Team Info'!$C$5:$E$44,4,FALSE)</f>
        <v>#N/A</v>
      </c>
      <c r="AB867" s="161" t="b">
        <f>ISNUMBER(VLOOKUP(AJ859,Match!$T$5:$T$10,1,FALSE))</f>
        <v>0</v>
      </c>
      <c r="AC867" s="161" t="b">
        <f>IF(AB867=TRUE,(VLOOKUP($AJ859,Match!$T$5:$U$10,2,FALSE)))</f>
        <v>0</v>
      </c>
      <c r="AD867" s="8">
        <v>3</v>
      </c>
      <c r="AE867" s="8">
        <v>2</v>
      </c>
      <c r="AF867" s="8">
        <v>2</v>
      </c>
      <c r="AG867" s="8">
        <v>1</v>
      </c>
      <c r="AH867" s="8" t="str">
        <f t="shared" si="225"/>
        <v/>
      </c>
    </row>
    <row r="868" spans="1:34" x14ac:dyDescent="0.25">
      <c r="A868" s="29">
        <f t="shared" si="224"/>
        <v>0</v>
      </c>
      <c r="B868" s="29">
        <f t="shared" si="211"/>
        <v>0</v>
      </c>
      <c r="C868" s="29">
        <f t="shared" si="212"/>
        <v>0</v>
      </c>
      <c r="D868" s="29">
        <f t="shared" si="213"/>
        <v>0</v>
      </c>
      <c r="E868" s="29">
        <f t="shared" si="210"/>
        <v>0</v>
      </c>
      <c r="F868" s="29">
        <f t="shared" si="214"/>
        <v>0</v>
      </c>
      <c r="G868" s="29" t="str">
        <f t="shared" si="215"/>
        <v>offensive</v>
      </c>
      <c r="H868" s="16">
        <f t="shared" si="216"/>
        <v>0</v>
      </c>
      <c r="I868" s="16">
        <f t="shared" si="217"/>
        <v>0</v>
      </c>
      <c r="J868" s="16">
        <f t="shared" si="218"/>
        <v>0</v>
      </c>
      <c r="K868" s="16">
        <f t="shared" si="219"/>
        <v>0</v>
      </c>
      <c r="L868" s="67">
        <f t="shared" si="220"/>
        <v>0</v>
      </c>
      <c r="M868" s="4">
        <f t="shared" si="221"/>
        <v>0</v>
      </c>
      <c r="N868" s="4">
        <f t="shared" si="222"/>
        <v>0</v>
      </c>
      <c r="O868" s="4">
        <f t="shared" si="223"/>
        <v>0</v>
      </c>
      <c r="P868" s="4" t="e">
        <f>VLOOKUP(AJ860,'CIR Team Info'!$C$5:$E$44,2,FALSE)</f>
        <v>#N/A</v>
      </c>
      <c r="Q868" s="4" t="e">
        <f>VLOOKUP(AJ860,'CIR Team Info'!$C$5:$E$44,3,FALSE)</f>
        <v>#N/A</v>
      </c>
      <c r="R868" s="10" t="e">
        <f>VLOOKUP(AJ860,'FRC Site Data'!$B$3:$L$42,2,FALSE)</f>
        <v>#N/A</v>
      </c>
      <c r="S868" s="10" t="e">
        <f>VLOOKUP(AJ860,'FRC Site Data'!$B$3:$L$42,3,FALSE)</f>
        <v>#N/A</v>
      </c>
      <c r="T868" s="10" t="e">
        <f>VLOOKUP(AJ860,'FRC Site Data'!$B$3:$L$42,4,FALSE)</f>
        <v>#N/A</v>
      </c>
      <c r="U868" s="10" t="e">
        <f>VLOOKUP(AJ860,'FRC Site Data'!$B$3:$L$42,5,FALSE)</f>
        <v>#N/A</v>
      </c>
      <c r="V868" s="10" t="e">
        <f>VLOOKUP(AJ860,'FRC Site Data'!$B$3:$L$42,6,FALSE)</f>
        <v>#N/A</v>
      </c>
      <c r="W868" s="10" t="e">
        <f>VLOOKUP(AJ860,'FRC Site Data'!$B$3:$L$42,8,FALSE)</f>
        <v>#N/A</v>
      </c>
      <c r="X868" s="10" t="e">
        <f>VLOOKUP(AJ860,'FRC Site Data'!$B$3:$L$42,9,FALSE)</f>
        <v>#N/A</v>
      </c>
      <c r="Y868" s="10" t="e">
        <f>VLOOKUP(AJ860,'FRC Site Data'!$B$3:$L$42,10,FALSE)</f>
        <v>#N/A</v>
      </c>
      <c r="Z868" s="10" t="e">
        <f>VLOOKUP(AJ860,'FRC Site Data'!$B$3:$L$42,11,FALSE)</f>
        <v>#N/A</v>
      </c>
      <c r="AA868" s="10" t="e">
        <f>VLOOKUP(AJ860,'CIR Team Info'!$C$5:$E$44,4,FALSE)</f>
        <v>#N/A</v>
      </c>
      <c r="AB868" s="161" t="b">
        <f>ISNUMBER(VLOOKUP(AJ860,Match!$T$5:$T$10,1,FALSE))</f>
        <v>0</v>
      </c>
      <c r="AC868" s="161" t="b">
        <f>IF(AB868=TRUE,(VLOOKUP($AJ860,Match!$T$5:$U$10,2,FALSE)))</f>
        <v>0</v>
      </c>
      <c r="AD868" s="8">
        <v>3</v>
      </c>
      <c r="AE868" s="8">
        <v>2</v>
      </c>
      <c r="AF868" s="8">
        <v>2</v>
      </c>
      <c r="AG868" s="8">
        <v>1</v>
      </c>
      <c r="AH868" s="8" t="str">
        <f t="shared" si="225"/>
        <v/>
      </c>
    </row>
    <row r="869" spans="1:34" x14ac:dyDescent="0.25">
      <c r="A869" s="29">
        <f t="shared" si="224"/>
        <v>0</v>
      </c>
      <c r="B869" s="29">
        <f t="shared" si="211"/>
        <v>0</v>
      </c>
      <c r="C869" s="29">
        <f t="shared" si="212"/>
        <v>0</v>
      </c>
      <c r="D869" s="29">
        <f t="shared" si="213"/>
        <v>0</v>
      </c>
      <c r="E869" s="29">
        <f t="shared" si="210"/>
        <v>0</v>
      </c>
      <c r="F869" s="29">
        <f t="shared" si="214"/>
        <v>0</v>
      </c>
      <c r="G869" s="29" t="str">
        <f t="shared" si="215"/>
        <v>offensive</v>
      </c>
      <c r="H869" s="16">
        <f t="shared" si="216"/>
        <v>0</v>
      </c>
      <c r="I869" s="16">
        <f t="shared" si="217"/>
        <v>0</v>
      </c>
      <c r="J869" s="16">
        <f t="shared" si="218"/>
        <v>0</v>
      </c>
      <c r="K869" s="16">
        <f t="shared" si="219"/>
        <v>0</v>
      </c>
      <c r="L869" s="67">
        <f t="shared" si="220"/>
        <v>0</v>
      </c>
      <c r="M869" s="4">
        <f t="shared" si="221"/>
        <v>0</v>
      </c>
      <c r="N869" s="4">
        <f t="shared" si="222"/>
        <v>0</v>
      </c>
      <c r="O869" s="4">
        <f t="shared" si="223"/>
        <v>0</v>
      </c>
      <c r="P869" s="4" t="e">
        <f>VLOOKUP(AJ861,'CIR Team Info'!$C$5:$E$44,2,FALSE)</f>
        <v>#N/A</v>
      </c>
      <c r="Q869" s="4" t="e">
        <f>VLOOKUP(AJ861,'CIR Team Info'!$C$5:$E$44,3,FALSE)</f>
        <v>#N/A</v>
      </c>
      <c r="R869" s="10" t="e">
        <f>VLOOKUP(AJ861,'FRC Site Data'!$B$3:$L$42,2,FALSE)</f>
        <v>#N/A</v>
      </c>
      <c r="S869" s="10" t="e">
        <f>VLOOKUP(AJ861,'FRC Site Data'!$B$3:$L$42,3,FALSE)</f>
        <v>#N/A</v>
      </c>
      <c r="T869" s="10" t="e">
        <f>VLOOKUP(AJ861,'FRC Site Data'!$B$3:$L$42,4,FALSE)</f>
        <v>#N/A</v>
      </c>
      <c r="U869" s="10" t="e">
        <f>VLOOKUP(AJ861,'FRC Site Data'!$B$3:$L$42,5,FALSE)</f>
        <v>#N/A</v>
      </c>
      <c r="V869" s="10" t="e">
        <f>VLOOKUP(AJ861,'FRC Site Data'!$B$3:$L$42,6,FALSE)</f>
        <v>#N/A</v>
      </c>
      <c r="W869" s="10" t="e">
        <f>VLOOKUP(AJ861,'FRC Site Data'!$B$3:$L$42,8,FALSE)</f>
        <v>#N/A</v>
      </c>
      <c r="X869" s="10" t="e">
        <f>VLOOKUP(AJ861,'FRC Site Data'!$B$3:$L$42,9,FALSE)</f>
        <v>#N/A</v>
      </c>
      <c r="Y869" s="10" t="e">
        <f>VLOOKUP(AJ861,'FRC Site Data'!$B$3:$L$42,10,FALSE)</f>
        <v>#N/A</v>
      </c>
      <c r="Z869" s="10" t="e">
        <f>VLOOKUP(AJ861,'FRC Site Data'!$B$3:$L$42,11,FALSE)</f>
        <v>#N/A</v>
      </c>
      <c r="AA869" s="10" t="e">
        <f>VLOOKUP(AJ861,'CIR Team Info'!$C$5:$E$44,4,FALSE)</f>
        <v>#N/A</v>
      </c>
      <c r="AB869" s="161" t="b">
        <f>ISNUMBER(VLOOKUP(AJ861,Match!$T$5:$T$10,1,FALSE))</f>
        <v>0</v>
      </c>
      <c r="AC869" s="161" t="b">
        <f>IF(AB869=TRUE,(VLOOKUP($AJ861,Match!$T$5:$U$10,2,FALSE)))</f>
        <v>0</v>
      </c>
      <c r="AD869" s="8">
        <v>3</v>
      </c>
      <c r="AE869" s="8">
        <v>2</v>
      </c>
      <c r="AF869" s="8">
        <v>2</v>
      </c>
      <c r="AG869" s="8">
        <v>1</v>
      </c>
      <c r="AH869" s="8" t="str">
        <f t="shared" si="225"/>
        <v/>
      </c>
    </row>
    <row r="870" spans="1:34" x14ac:dyDescent="0.25">
      <c r="A870" s="29">
        <f t="shared" si="224"/>
        <v>0</v>
      </c>
      <c r="B870" s="29">
        <f t="shared" si="211"/>
        <v>0</v>
      </c>
      <c r="C870" s="29">
        <f t="shared" si="212"/>
        <v>0</v>
      </c>
      <c r="D870" s="29">
        <f t="shared" si="213"/>
        <v>0</v>
      </c>
      <c r="E870" s="29">
        <f t="shared" si="210"/>
        <v>0</v>
      </c>
      <c r="F870" s="29">
        <f t="shared" si="214"/>
        <v>0</v>
      </c>
      <c r="G870" s="29" t="str">
        <f t="shared" si="215"/>
        <v>offensive</v>
      </c>
      <c r="H870" s="16">
        <f t="shared" si="216"/>
        <v>0</v>
      </c>
      <c r="I870" s="16">
        <f t="shared" si="217"/>
        <v>0</v>
      </c>
      <c r="J870" s="16">
        <f t="shared" si="218"/>
        <v>0</v>
      </c>
      <c r="K870" s="16">
        <f t="shared" si="219"/>
        <v>0</v>
      </c>
      <c r="L870" s="67">
        <f t="shared" si="220"/>
        <v>0</v>
      </c>
      <c r="M870" s="4">
        <f t="shared" si="221"/>
        <v>0</v>
      </c>
      <c r="N870" s="4">
        <f t="shared" si="222"/>
        <v>0</v>
      </c>
      <c r="O870" s="4">
        <f t="shared" si="223"/>
        <v>0</v>
      </c>
      <c r="P870" s="4" t="e">
        <f>VLOOKUP(AJ862,'CIR Team Info'!$C$5:$E$44,2,FALSE)</f>
        <v>#N/A</v>
      </c>
      <c r="Q870" s="4" t="e">
        <f>VLOOKUP(AJ862,'CIR Team Info'!$C$5:$E$44,3,FALSE)</f>
        <v>#N/A</v>
      </c>
      <c r="R870" s="10" t="e">
        <f>VLOOKUP(AJ862,'FRC Site Data'!$B$3:$L$42,2,FALSE)</f>
        <v>#N/A</v>
      </c>
      <c r="S870" s="10" t="e">
        <f>VLOOKUP(AJ862,'FRC Site Data'!$B$3:$L$42,3,FALSE)</f>
        <v>#N/A</v>
      </c>
      <c r="T870" s="10" t="e">
        <f>VLOOKUP(AJ862,'FRC Site Data'!$B$3:$L$42,4,FALSE)</f>
        <v>#N/A</v>
      </c>
      <c r="U870" s="10" t="e">
        <f>VLOOKUP(AJ862,'FRC Site Data'!$B$3:$L$42,5,FALSE)</f>
        <v>#N/A</v>
      </c>
      <c r="V870" s="10" t="e">
        <f>VLOOKUP(AJ862,'FRC Site Data'!$B$3:$L$42,6,FALSE)</f>
        <v>#N/A</v>
      </c>
      <c r="W870" s="10" t="e">
        <f>VLOOKUP(AJ862,'FRC Site Data'!$B$3:$L$42,8,FALSE)</f>
        <v>#N/A</v>
      </c>
      <c r="X870" s="10" t="e">
        <f>VLOOKUP(AJ862,'FRC Site Data'!$B$3:$L$42,9,FALSE)</f>
        <v>#N/A</v>
      </c>
      <c r="Y870" s="10" t="e">
        <f>VLOOKUP(AJ862,'FRC Site Data'!$B$3:$L$42,10,FALSE)</f>
        <v>#N/A</v>
      </c>
      <c r="Z870" s="10" t="e">
        <f>VLOOKUP(AJ862,'FRC Site Data'!$B$3:$L$42,11,FALSE)</f>
        <v>#N/A</v>
      </c>
      <c r="AA870" s="10" t="e">
        <f>VLOOKUP(AJ862,'CIR Team Info'!$C$5:$E$44,4,FALSE)</f>
        <v>#N/A</v>
      </c>
      <c r="AB870" s="161" t="b">
        <f>ISNUMBER(VLOOKUP(AJ862,Match!$T$5:$T$10,1,FALSE))</f>
        <v>0</v>
      </c>
      <c r="AC870" s="161" t="b">
        <f>IF(AB870=TRUE,(VLOOKUP($AJ862,Match!$T$5:$U$10,2,FALSE)))</f>
        <v>0</v>
      </c>
      <c r="AD870" s="8">
        <v>3</v>
      </c>
      <c r="AE870" s="8">
        <v>2</v>
      </c>
      <c r="AF870" s="8">
        <v>2</v>
      </c>
      <c r="AG870" s="8">
        <v>1</v>
      </c>
      <c r="AH870" s="8" t="str">
        <f t="shared" si="225"/>
        <v/>
      </c>
    </row>
    <row r="871" spans="1:34" x14ac:dyDescent="0.25">
      <c r="A871" s="29">
        <f t="shared" si="224"/>
        <v>0</v>
      </c>
      <c r="B871" s="29">
        <f t="shared" si="211"/>
        <v>0</v>
      </c>
      <c r="C871" s="29">
        <f t="shared" si="212"/>
        <v>0</v>
      </c>
      <c r="D871" s="29">
        <f t="shared" si="213"/>
        <v>0</v>
      </c>
      <c r="E871" s="29">
        <f t="shared" si="210"/>
        <v>0</v>
      </c>
      <c r="F871" s="29">
        <f t="shared" si="214"/>
        <v>0</v>
      </c>
      <c r="G871" s="29" t="str">
        <f t="shared" si="215"/>
        <v>offensive</v>
      </c>
      <c r="H871" s="16">
        <f t="shared" si="216"/>
        <v>0</v>
      </c>
      <c r="I871" s="16">
        <f t="shared" si="217"/>
        <v>0</v>
      </c>
      <c r="J871" s="16">
        <f t="shared" si="218"/>
        <v>0</v>
      </c>
      <c r="K871" s="16">
        <f t="shared" si="219"/>
        <v>0</v>
      </c>
      <c r="L871" s="67">
        <f t="shared" si="220"/>
        <v>0</v>
      </c>
      <c r="M871" s="4">
        <f t="shared" si="221"/>
        <v>0</v>
      </c>
      <c r="N871" s="4">
        <f t="shared" si="222"/>
        <v>0</v>
      </c>
      <c r="O871" s="4">
        <f t="shared" si="223"/>
        <v>0</v>
      </c>
      <c r="P871" s="4" t="e">
        <f>VLOOKUP(AJ863,'CIR Team Info'!$C$5:$E$44,2,FALSE)</f>
        <v>#N/A</v>
      </c>
      <c r="Q871" s="4" t="e">
        <f>VLOOKUP(AJ863,'CIR Team Info'!$C$5:$E$44,3,FALSE)</f>
        <v>#N/A</v>
      </c>
      <c r="R871" s="10" t="e">
        <f>VLOOKUP(AJ863,'FRC Site Data'!$B$3:$L$42,2,FALSE)</f>
        <v>#N/A</v>
      </c>
      <c r="S871" s="10" t="e">
        <f>VLOOKUP(AJ863,'FRC Site Data'!$B$3:$L$42,3,FALSE)</f>
        <v>#N/A</v>
      </c>
      <c r="T871" s="10" t="e">
        <f>VLOOKUP(AJ863,'FRC Site Data'!$B$3:$L$42,4,FALSE)</f>
        <v>#N/A</v>
      </c>
      <c r="U871" s="10" t="e">
        <f>VLOOKUP(AJ863,'FRC Site Data'!$B$3:$L$42,5,FALSE)</f>
        <v>#N/A</v>
      </c>
      <c r="V871" s="10" t="e">
        <f>VLOOKUP(AJ863,'FRC Site Data'!$B$3:$L$42,6,FALSE)</f>
        <v>#N/A</v>
      </c>
      <c r="W871" s="10" t="e">
        <f>VLOOKUP(AJ863,'FRC Site Data'!$B$3:$L$42,8,FALSE)</f>
        <v>#N/A</v>
      </c>
      <c r="X871" s="10" t="e">
        <f>VLOOKUP(AJ863,'FRC Site Data'!$B$3:$L$42,9,FALSE)</f>
        <v>#N/A</v>
      </c>
      <c r="Y871" s="10" t="e">
        <f>VLOOKUP(AJ863,'FRC Site Data'!$B$3:$L$42,10,FALSE)</f>
        <v>#N/A</v>
      </c>
      <c r="Z871" s="10" t="e">
        <f>VLOOKUP(AJ863,'FRC Site Data'!$B$3:$L$42,11,FALSE)</f>
        <v>#N/A</v>
      </c>
      <c r="AA871" s="10" t="e">
        <f>VLOOKUP(AJ863,'CIR Team Info'!$C$5:$E$44,4,FALSE)</f>
        <v>#N/A</v>
      </c>
      <c r="AB871" s="161" t="b">
        <f>ISNUMBER(VLOOKUP(AJ863,Match!$T$5:$T$10,1,FALSE))</f>
        <v>0</v>
      </c>
      <c r="AC871" s="161" t="b">
        <f>IF(AB871=TRUE,(VLOOKUP($AJ863,Match!$T$5:$U$10,2,FALSE)))</f>
        <v>0</v>
      </c>
      <c r="AD871" s="8">
        <v>3</v>
      </c>
      <c r="AE871" s="8">
        <v>2</v>
      </c>
      <c r="AF871" s="8">
        <v>2</v>
      </c>
      <c r="AG871" s="8">
        <v>1</v>
      </c>
      <c r="AH871" s="8" t="str">
        <f t="shared" si="225"/>
        <v/>
      </c>
    </row>
    <row r="872" spans="1:34" x14ac:dyDescent="0.25">
      <c r="A872" s="29">
        <f t="shared" si="224"/>
        <v>0</v>
      </c>
      <c r="B872" s="29">
        <f t="shared" si="211"/>
        <v>0</v>
      </c>
      <c r="C872" s="29">
        <f t="shared" si="212"/>
        <v>0</v>
      </c>
      <c r="D872" s="29">
        <f t="shared" si="213"/>
        <v>0</v>
      </c>
      <c r="E872" s="29">
        <f t="shared" si="210"/>
        <v>0</v>
      </c>
      <c r="F872" s="29">
        <f t="shared" si="214"/>
        <v>0</v>
      </c>
      <c r="G872" s="29" t="str">
        <f t="shared" si="215"/>
        <v>offensive</v>
      </c>
      <c r="H872" s="16">
        <f t="shared" si="216"/>
        <v>0</v>
      </c>
      <c r="I872" s="16">
        <f t="shared" si="217"/>
        <v>0</v>
      </c>
      <c r="J872" s="16">
        <f t="shared" si="218"/>
        <v>0</v>
      </c>
      <c r="K872" s="16">
        <f t="shared" si="219"/>
        <v>0</v>
      </c>
      <c r="L872" s="67">
        <f t="shared" si="220"/>
        <v>0</v>
      </c>
      <c r="M872" s="4">
        <f t="shared" si="221"/>
        <v>0</v>
      </c>
      <c r="N872" s="4">
        <f t="shared" si="222"/>
        <v>0</v>
      </c>
      <c r="O872" s="4">
        <f t="shared" si="223"/>
        <v>0</v>
      </c>
      <c r="P872" s="4" t="e">
        <f>VLOOKUP(AJ864,'CIR Team Info'!$C$5:$E$44,2,FALSE)</f>
        <v>#N/A</v>
      </c>
      <c r="Q872" s="4" t="e">
        <f>VLOOKUP(AJ864,'CIR Team Info'!$C$5:$E$44,3,FALSE)</f>
        <v>#N/A</v>
      </c>
      <c r="R872" s="10" t="e">
        <f>VLOOKUP(AJ864,'FRC Site Data'!$B$3:$L$42,2,FALSE)</f>
        <v>#N/A</v>
      </c>
      <c r="S872" s="10" t="e">
        <f>VLOOKUP(AJ864,'FRC Site Data'!$B$3:$L$42,3,FALSE)</f>
        <v>#N/A</v>
      </c>
      <c r="T872" s="10" t="e">
        <f>VLOOKUP(AJ864,'FRC Site Data'!$B$3:$L$42,4,FALSE)</f>
        <v>#N/A</v>
      </c>
      <c r="U872" s="10" t="e">
        <f>VLOOKUP(AJ864,'FRC Site Data'!$B$3:$L$42,5,FALSE)</f>
        <v>#N/A</v>
      </c>
      <c r="V872" s="10" t="e">
        <f>VLOOKUP(AJ864,'FRC Site Data'!$B$3:$L$42,6,FALSE)</f>
        <v>#N/A</v>
      </c>
      <c r="W872" s="10" t="e">
        <f>VLOOKUP(AJ864,'FRC Site Data'!$B$3:$L$42,8,FALSE)</f>
        <v>#N/A</v>
      </c>
      <c r="X872" s="10" t="e">
        <f>VLOOKUP(AJ864,'FRC Site Data'!$B$3:$L$42,9,FALSE)</f>
        <v>#N/A</v>
      </c>
      <c r="Y872" s="10" t="e">
        <f>VLOOKUP(AJ864,'FRC Site Data'!$B$3:$L$42,10,FALSE)</f>
        <v>#N/A</v>
      </c>
      <c r="Z872" s="10" t="e">
        <f>VLOOKUP(AJ864,'FRC Site Data'!$B$3:$L$42,11,FALSE)</f>
        <v>#N/A</v>
      </c>
      <c r="AA872" s="10" t="e">
        <f>VLOOKUP(AJ864,'CIR Team Info'!$C$5:$E$44,4,FALSE)</f>
        <v>#N/A</v>
      </c>
      <c r="AB872" s="161" t="b">
        <f>ISNUMBER(VLOOKUP(AJ864,Match!$T$5:$T$10,1,FALSE))</f>
        <v>0</v>
      </c>
      <c r="AC872" s="161" t="b">
        <f>IF(AB872=TRUE,(VLOOKUP($AJ864,Match!$T$5:$U$10,2,FALSE)))</f>
        <v>0</v>
      </c>
      <c r="AD872" s="8">
        <v>3</v>
      </c>
      <c r="AE872" s="8">
        <v>2</v>
      </c>
      <c r="AF872" s="8">
        <v>2</v>
      </c>
      <c r="AG872" s="8">
        <v>1</v>
      </c>
      <c r="AH872" s="8" t="str">
        <f t="shared" si="225"/>
        <v/>
      </c>
    </row>
    <row r="873" spans="1:34" x14ac:dyDescent="0.25">
      <c r="A873" s="29">
        <f t="shared" si="224"/>
        <v>0</v>
      </c>
      <c r="B873" s="29">
        <f t="shared" si="211"/>
        <v>0</v>
      </c>
      <c r="C873" s="29">
        <f t="shared" si="212"/>
        <v>0</v>
      </c>
      <c r="D873" s="29">
        <f t="shared" si="213"/>
        <v>0</v>
      </c>
      <c r="E873" s="29">
        <f t="shared" si="210"/>
        <v>0</v>
      </c>
      <c r="F873" s="29">
        <f t="shared" si="214"/>
        <v>0</v>
      </c>
      <c r="G873" s="29" t="str">
        <f t="shared" si="215"/>
        <v>offensive</v>
      </c>
      <c r="H873" s="16">
        <f t="shared" si="216"/>
        <v>0</v>
      </c>
      <c r="I873" s="16">
        <f t="shared" si="217"/>
        <v>0</v>
      </c>
      <c r="J873" s="16">
        <f t="shared" si="218"/>
        <v>0</v>
      </c>
      <c r="K873" s="16">
        <f t="shared" si="219"/>
        <v>0</v>
      </c>
      <c r="L873" s="67">
        <f t="shared" si="220"/>
        <v>0</v>
      </c>
      <c r="M873" s="4">
        <f t="shared" si="221"/>
        <v>0</v>
      </c>
      <c r="N873" s="4">
        <f t="shared" si="222"/>
        <v>0</v>
      </c>
      <c r="O873" s="4">
        <f t="shared" si="223"/>
        <v>0</v>
      </c>
      <c r="P873" s="4" t="e">
        <f>VLOOKUP(AJ865,'CIR Team Info'!$C$5:$E$44,2,FALSE)</f>
        <v>#N/A</v>
      </c>
      <c r="Q873" s="4" t="e">
        <f>VLOOKUP(AJ865,'CIR Team Info'!$C$5:$E$44,3,FALSE)</f>
        <v>#N/A</v>
      </c>
      <c r="R873" s="10" t="e">
        <f>VLOOKUP(AJ865,'FRC Site Data'!$B$3:$L$42,2,FALSE)</f>
        <v>#N/A</v>
      </c>
      <c r="S873" s="10" t="e">
        <f>VLOOKUP(AJ865,'FRC Site Data'!$B$3:$L$42,3,FALSE)</f>
        <v>#N/A</v>
      </c>
      <c r="T873" s="10" t="e">
        <f>VLOOKUP(AJ865,'FRC Site Data'!$B$3:$L$42,4,FALSE)</f>
        <v>#N/A</v>
      </c>
      <c r="U873" s="10" t="e">
        <f>VLOOKUP(AJ865,'FRC Site Data'!$B$3:$L$42,5,FALSE)</f>
        <v>#N/A</v>
      </c>
      <c r="V873" s="10" t="e">
        <f>VLOOKUP(AJ865,'FRC Site Data'!$B$3:$L$42,6,FALSE)</f>
        <v>#N/A</v>
      </c>
      <c r="W873" s="10" t="e">
        <f>VLOOKUP(AJ865,'FRC Site Data'!$B$3:$L$42,8,FALSE)</f>
        <v>#N/A</v>
      </c>
      <c r="X873" s="10" t="e">
        <f>VLOOKUP(AJ865,'FRC Site Data'!$B$3:$L$42,9,FALSE)</f>
        <v>#N/A</v>
      </c>
      <c r="Y873" s="10" t="e">
        <f>VLOOKUP(AJ865,'FRC Site Data'!$B$3:$L$42,10,FALSE)</f>
        <v>#N/A</v>
      </c>
      <c r="Z873" s="10" t="e">
        <f>VLOOKUP(AJ865,'FRC Site Data'!$B$3:$L$42,11,FALSE)</f>
        <v>#N/A</v>
      </c>
      <c r="AA873" s="10" t="e">
        <f>VLOOKUP(AJ865,'CIR Team Info'!$C$5:$E$44,4,FALSE)</f>
        <v>#N/A</v>
      </c>
      <c r="AB873" s="161" t="b">
        <f>ISNUMBER(VLOOKUP(AJ865,Match!$T$5:$T$10,1,FALSE))</f>
        <v>0</v>
      </c>
      <c r="AC873" s="161" t="b">
        <f>IF(AB873=TRUE,(VLOOKUP($AJ865,Match!$T$5:$U$10,2,FALSE)))</f>
        <v>0</v>
      </c>
      <c r="AD873" s="8">
        <v>3</v>
      </c>
      <c r="AE873" s="8">
        <v>2</v>
      </c>
      <c r="AF873" s="8">
        <v>2</v>
      </c>
      <c r="AG873" s="8">
        <v>1</v>
      </c>
      <c r="AH873" s="8" t="str">
        <f t="shared" si="225"/>
        <v/>
      </c>
    </row>
    <row r="874" spans="1:34" x14ac:dyDescent="0.25">
      <c r="A874" s="29">
        <f t="shared" si="224"/>
        <v>0</v>
      </c>
      <c r="B874" s="29">
        <f t="shared" si="211"/>
        <v>0</v>
      </c>
      <c r="C874" s="29">
        <f t="shared" si="212"/>
        <v>0</v>
      </c>
      <c r="D874" s="29">
        <f t="shared" si="213"/>
        <v>0</v>
      </c>
      <c r="E874" s="29">
        <f t="shared" si="210"/>
        <v>0</v>
      </c>
      <c r="F874" s="29">
        <f t="shared" si="214"/>
        <v>0</v>
      </c>
      <c r="G874" s="29" t="str">
        <f t="shared" si="215"/>
        <v>offensive</v>
      </c>
      <c r="H874" s="16">
        <f t="shared" si="216"/>
        <v>0</v>
      </c>
      <c r="I874" s="16">
        <f t="shared" si="217"/>
        <v>0</v>
      </c>
      <c r="J874" s="16">
        <f t="shared" si="218"/>
        <v>0</v>
      </c>
      <c r="K874" s="16">
        <f t="shared" si="219"/>
        <v>0</v>
      </c>
      <c r="L874" s="67">
        <f t="shared" si="220"/>
        <v>0</v>
      </c>
      <c r="M874" s="4">
        <f t="shared" si="221"/>
        <v>0</v>
      </c>
      <c r="N874" s="4">
        <f t="shared" si="222"/>
        <v>0</v>
      </c>
      <c r="O874" s="4">
        <f t="shared" si="223"/>
        <v>0</v>
      </c>
      <c r="P874" s="4" t="e">
        <f>VLOOKUP(AJ866,'CIR Team Info'!$C$5:$E$44,2,FALSE)</f>
        <v>#N/A</v>
      </c>
      <c r="Q874" s="4" t="e">
        <f>VLOOKUP(AJ866,'CIR Team Info'!$C$5:$E$44,3,FALSE)</f>
        <v>#N/A</v>
      </c>
      <c r="R874" s="10" t="e">
        <f>VLOOKUP(AJ866,'FRC Site Data'!$B$3:$L$42,2,FALSE)</f>
        <v>#N/A</v>
      </c>
      <c r="S874" s="10" t="e">
        <f>VLOOKUP(AJ866,'FRC Site Data'!$B$3:$L$42,3,FALSE)</f>
        <v>#N/A</v>
      </c>
      <c r="T874" s="10" t="e">
        <f>VLOOKUP(AJ866,'FRC Site Data'!$B$3:$L$42,4,FALSE)</f>
        <v>#N/A</v>
      </c>
      <c r="U874" s="10" t="e">
        <f>VLOOKUP(AJ866,'FRC Site Data'!$B$3:$L$42,5,FALSE)</f>
        <v>#N/A</v>
      </c>
      <c r="V874" s="10" t="e">
        <f>VLOOKUP(AJ866,'FRC Site Data'!$B$3:$L$42,6,FALSE)</f>
        <v>#N/A</v>
      </c>
      <c r="W874" s="10" t="e">
        <f>VLOOKUP(AJ866,'FRC Site Data'!$B$3:$L$42,8,FALSE)</f>
        <v>#N/A</v>
      </c>
      <c r="X874" s="10" t="e">
        <f>VLOOKUP(AJ866,'FRC Site Data'!$B$3:$L$42,9,FALSE)</f>
        <v>#N/A</v>
      </c>
      <c r="Y874" s="10" t="e">
        <f>VLOOKUP(AJ866,'FRC Site Data'!$B$3:$L$42,10,FALSE)</f>
        <v>#N/A</v>
      </c>
      <c r="Z874" s="10" t="e">
        <f>VLOOKUP(AJ866,'FRC Site Data'!$B$3:$L$42,11,FALSE)</f>
        <v>#N/A</v>
      </c>
      <c r="AA874" s="10" t="e">
        <f>VLOOKUP(AJ866,'CIR Team Info'!$C$5:$E$44,4,FALSE)</f>
        <v>#N/A</v>
      </c>
      <c r="AB874" s="161" t="b">
        <f>ISNUMBER(VLOOKUP(AJ866,Match!$T$5:$T$10,1,FALSE))</f>
        <v>0</v>
      </c>
      <c r="AC874" s="161" t="b">
        <f>IF(AB874=TRUE,(VLOOKUP($AJ866,Match!$T$5:$U$10,2,FALSE)))</f>
        <v>0</v>
      </c>
      <c r="AD874" s="8">
        <v>3</v>
      </c>
      <c r="AE874" s="8">
        <v>2</v>
      </c>
      <c r="AF874" s="8">
        <v>2</v>
      </c>
      <c r="AG874" s="8">
        <v>1</v>
      </c>
      <c r="AH874" s="8" t="str">
        <f t="shared" si="225"/>
        <v/>
      </c>
    </row>
    <row r="875" spans="1:34" x14ac:dyDescent="0.25">
      <c r="A875" s="29">
        <f t="shared" si="224"/>
        <v>0</v>
      </c>
      <c r="B875" s="29">
        <f t="shared" si="211"/>
        <v>0</v>
      </c>
      <c r="C875" s="29">
        <f t="shared" si="212"/>
        <v>0</v>
      </c>
      <c r="D875" s="29">
        <f t="shared" si="213"/>
        <v>0</v>
      </c>
      <c r="E875" s="29">
        <f t="shared" si="210"/>
        <v>0</v>
      </c>
      <c r="F875" s="29">
        <f t="shared" si="214"/>
        <v>0</v>
      </c>
      <c r="G875" s="29" t="str">
        <f t="shared" si="215"/>
        <v>offensive</v>
      </c>
      <c r="H875" s="16">
        <f t="shared" si="216"/>
        <v>0</v>
      </c>
      <c r="I875" s="16">
        <f t="shared" si="217"/>
        <v>0</v>
      </c>
      <c r="J875" s="16">
        <f t="shared" si="218"/>
        <v>0</v>
      </c>
      <c r="K875" s="16">
        <f t="shared" si="219"/>
        <v>0</v>
      </c>
      <c r="L875" s="67">
        <f t="shared" si="220"/>
        <v>0</v>
      </c>
      <c r="M875" s="4">
        <f t="shared" si="221"/>
        <v>0</v>
      </c>
      <c r="N875" s="4">
        <f t="shared" si="222"/>
        <v>0</v>
      </c>
      <c r="O875" s="4">
        <f t="shared" si="223"/>
        <v>0</v>
      </c>
      <c r="P875" s="4" t="e">
        <f>VLOOKUP(AJ867,'CIR Team Info'!$C$5:$E$44,2,FALSE)</f>
        <v>#N/A</v>
      </c>
      <c r="Q875" s="4" t="e">
        <f>VLOOKUP(AJ867,'CIR Team Info'!$C$5:$E$44,3,FALSE)</f>
        <v>#N/A</v>
      </c>
      <c r="R875" s="10" t="e">
        <f>VLOOKUP(AJ867,'FRC Site Data'!$B$3:$L$42,2,FALSE)</f>
        <v>#N/A</v>
      </c>
      <c r="S875" s="10" t="e">
        <f>VLOOKUP(AJ867,'FRC Site Data'!$B$3:$L$42,3,FALSE)</f>
        <v>#N/A</v>
      </c>
      <c r="T875" s="10" t="e">
        <f>VLOOKUP(AJ867,'FRC Site Data'!$B$3:$L$42,4,FALSE)</f>
        <v>#N/A</v>
      </c>
      <c r="U875" s="10" t="e">
        <f>VLOOKUP(AJ867,'FRC Site Data'!$B$3:$L$42,5,FALSE)</f>
        <v>#N/A</v>
      </c>
      <c r="V875" s="10" t="e">
        <f>VLOOKUP(AJ867,'FRC Site Data'!$B$3:$L$42,6,FALSE)</f>
        <v>#N/A</v>
      </c>
      <c r="W875" s="10" t="e">
        <f>VLOOKUP(AJ867,'FRC Site Data'!$B$3:$L$42,8,FALSE)</f>
        <v>#N/A</v>
      </c>
      <c r="X875" s="10" t="e">
        <f>VLOOKUP(AJ867,'FRC Site Data'!$B$3:$L$42,9,FALSE)</f>
        <v>#N/A</v>
      </c>
      <c r="Y875" s="10" t="e">
        <f>VLOOKUP(AJ867,'FRC Site Data'!$B$3:$L$42,10,FALSE)</f>
        <v>#N/A</v>
      </c>
      <c r="Z875" s="10" t="e">
        <f>VLOOKUP(AJ867,'FRC Site Data'!$B$3:$L$42,11,FALSE)</f>
        <v>#N/A</v>
      </c>
      <c r="AA875" s="10" t="e">
        <f>VLOOKUP(AJ867,'CIR Team Info'!$C$5:$E$44,4,FALSE)</f>
        <v>#N/A</v>
      </c>
      <c r="AB875" s="161" t="b">
        <f>ISNUMBER(VLOOKUP(AJ867,Match!$T$5:$T$10,1,FALSE))</f>
        <v>0</v>
      </c>
      <c r="AC875" s="161" t="b">
        <f>IF(AB875=TRUE,(VLOOKUP($AJ867,Match!$T$5:$U$10,2,FALSE)))</f>
        <v>0</v>
      </c>
      <c r="AD875" s="8">
        <v>3</v>
      </c>
      <c r="AE875" s="8">
        <v>2</v>
      </c>
      <c r="AF875" s="8">
        <v>2</v>
      </c>
      <c r="AG875" s="8">
        <v>1</v>
      </c>
      <c r="AH875" s="8" t="str">
        <f t="shared" si="225"/>
        <v/>
      </c>
    </row>
    <row r="876" spans="1:34" x14ac:dyDescent="0.25">
      <c r="A876" s="29">
        <f t="shared" si="224"/>
        <v>0</v>
      </c>
      <c r="B876" s="29">
        <f t="shared" si="211"/>
        <v>0</v>
      </c>
      <c r="C876" s="29">
        <f t="shared" si="212"/>
        <v>0</v>
      </c>
      <c r="D876" s="29">
        <f t="shared" si="213"/>
        <v>0</v>
      </c>
      <c r="E876" s="29">
        <f t="shared" si="210"/>
        <v>0</v>
      </c>
      <c r="F876" s="29">
        <f t="shared" si="214"/>
        <v>0</v>
      </c>
      <c r="G876" s="29" t="str">
        <f t="shared" si="215"/>
        <v>offensive</v>
      </c>
      <c r="H876" s="16">
        <f t="shared" si="216"/>
        <v>0</v>
      </c>
      <c r="I876" s="16">
        <f t="shared" si="217"/>
        <v>0</v>
      </c>
      <c r="J876" s="16">
        <f t="shared" si="218"/>
        <v>0</v>
      </c>
      <c r="K876" s="16">
        <f t="shared" si="219"/>
        <v>0</v>
      </c>
      <c r="L876" s="67">
        <f t="shared" si="220"/>
        <v>0</v>
      </c>
      <c r="M876" s="4">
        <f t="shared" si="221"/>
        <v>0</v>
      </c>
      <c r="N876" s="4">
        <f t="shared" si="222"/>
        <v>0</v>
      </c>
      <c r="O876" s="4">
        <f t="shared" si="223"/>
        <v>0</v>
      </c>
      <c r="P876" s="4" t="e">
        <f>VLOOKUP(AJ868,'CIR Team Info'!$C$5:$E$44,2,FALSE)</f>
        <v>#N/A</v>
      </c>
      <c r="Q876" s="4" t="e">
        <f>VLOOKUP(AJ868,'CIR Team Info'!$C$5:$E$44,3,FALSE)</f>
        <v>#N/A</v>
      </c>
      <c r="R876" s="10" t="e">
        <f>VLOOKUP(AJ868,'FRC Site Data'!$B$3:$L$42,2,FALSE)</f>
        <v>#N/A</v>
      </c>
      <c r="S876" s="10" t="e">
        <f>VLOOKUP(AJ868,'FRC Site Data'!$B$3:$L$42,3,FALSE)</f>
        <v>#N/A</v>
      </c>
      <c r="T876" s="10" t="e">
        <f>VLOOKUP(AJ868,'FRC Site Data'!$B$3:$L$42,4,FALSE)</f>
        <v>#N/A</v>
      </c>
      <c r="U876" s="10" t="e">
        <f>VLOOKUP(AJ868,'FRC Site Data'!$B$3:$L$42,5,FALSE)</f>
        <v>#N/A</v>
      </c>
      <c r="V876" s="10" t="e">
        <f>VLOOKUP(AJ868,'FRC Site Data'!$B$3:$L$42,6,FALSE)</f>
        <v>#N/A</v>
      </c>
      <c r="W876" s="10" t="e">
        <f>VLOOKUP(AJ868,'FRC Site Data'!$B$3:$L$42,8,FALSE)</f>
        <v>#N/A</v>
      </c>
      <c r="X876" s="10" t="e">
        <f>VLOOKUP(AJ868,'FRC Site Data'!$B$3:$L$42,9,FALSE)</f>
        <v>#N/A</v>
      </c>
      <c r="Y876" s="10" t="e">
        <f>VLOOKUP(AJ868,'FRC Site Data'!$B$3:$L$42,10,FALSE)</f>
        <v>#N/A</v>
      </c>
      <c r="Z876" s="10" t="e">
        <f>VLOOKUP(AJ868,'FRC Site Data'!$B$3:$L$42,11,FALSE)</f>
        <v>#N/A</v>
      </c>
      <c r="AA876" s="10" t="e">
        <f>VLOOKUP(AJ868,'CIR Team Info'!$C$5:$E$44,4,FALSE)</f>
        <v>#N/A</v>
      </c>
      <c r="AB876" s="161" t="b">
        <f>ISNUMBER(VLOOKUP(AJ868,Match!$T$5:$T$10,1,FALSE))</f>
        <v>0</v>
      </c>
      <c r="AC876" s="161" t="b">
        <f>IF(AB876=TRUE,(VLOOKUP($AJ868,Match!$T$5:$U$10,2,FALSE)))</f>
        <v>0</v>
      </c>
      <c r="AD876" s="8">
        <v>3</v>
      </c>
      <c r="AE876" s="8">
        <v>2</v>
      </c>
      <c r="AF876" s="8">
        <v>2</v>
      </c>
      <c r="AG876" s="8">
        <v>1</v>
      </c>
      <c r="AH876" s="8" t="str">
        <f t="shared" si="225"/>
        <v/>
      </c>
    </row>
    <row r="877" spans="1:34" x14ac:dyDescent="0.25">
      <c r="A877" s="29">
        <f t="shared" si="224"/>
        <v>0</v>
      </c>
      <c r="B877" s="29">
        <f t="shared" si="211"/>
        <v>0</v>
      </c>
      <c r="C877" s="29">
        <f t="shared" si="212"/>
        <v>0</v>
      </c>
      <c r="D877" s="29">
        <f t="shared" si="213"/>
        <v>0</v>
      </c>
      <c r="E877" s="29">
        <f t="shared" si="210"/>
        <v>0</v>
      </c>
      <c r="F877" s="29">
        <f t="shared" si="214"/>
        <v>0</v>
      </c>
      <c r="G877" s="29" t="str">
        <f t="shared" si="215"/>
        <v>offensive</v>
      </c>
      <c r="H877" s="16">
        <f t="shared" si="216"/>
        <v>0</v>
      </c>
      <c r="I877" s="16">
        <f t="shared" si="217"/>
        <v>0</v>
      </c>
      <c r="J877" s="16">
        <f t="shared" si="218"/>
        <v>0</v>
      </c>
      <c r="K877" s="16">
        <f t="shared" si="219"/>
        <v>0</v>
      </c>
      <c r="L877" s="67">
        <f t="shared" si="220"/>
        <v>0</v>
      </c>
      <c r="M877" s="4">
        <f t="shared" si="221"/>
        <v>0</v>
      </c>
      <c r="N877" s="4">
        <f t="shared" si="222"/>
        <v>0</v>
      </c>
      <c r="O877" s="4">
        <f t="shared" si="223"/>
        <v>0</v>
      </c>
      <c r="P877" s="4" t="e">
        <f>VLOOKUP(AJ869,'CIR Team Info'!$C$5:$E$44,2,FALSE)</f>
        <v>#N/A</v>
      </c>
      <c r="Q877" s="4" t="e">
        <f>VLOOKUP(AJ869,'CIR Team Info'!$C$5:$E$44,3,FALSE)</f>
        <v>#N/A</v>
      </c>
      <c r="R877" s="10" t="e">
        <f>VLOOKUP(AJ869,'FRC Site Data'!$B$3:$L$42,2,FALSE)</f>
        <v>#N/A</v>
      </c>
      <c r="S877" s="10" t="e">
        <f>VLOOKUP(AJ869,'FRC Site Data'!$B$3:$L$42,3,FALSE)</f>
        <v>#N/A</v>
      </c>
      <c r="T877" s="10" t="e">
        <f>VLOOKUP(AJ869,'FRC Site Data'!$B$3:$L$42,4,FALSE)</f>
        <v>#N/A</v>
      </c>
      <c r="U877" s="10" t="e">
        <f>VLOOKUP(AJ869,'FRC Site Data'!$B$3:$L$42,5,FALSE)</f>
        <v>#N/A</v>
      </c>
      <c r="V877" s="10" t="e">
        <f>VLOOKUP(AJ869,'FRC Site Data'!$B$3:$L$42,6,FALSE)</f>
        <v>#N/A</v>
      </c>
      <c r="W877" s="10" t="e">
        <f>VLOOKUP(AJ869,'FRC Site Data'!$B$3:$L$42,8,FALSE)</f>
        <v>#N/A</v>
      </c>
      <c r="X877" s="10" t="e">
        <f>VLOOKUP(AJ869,'FRC Site Data'!$B$3:$L$42,9,FALSE)</f>
        <v>#N/A</v>
      </c>
      <c r="Y877" s="10" t="e">
        <f>VLOOKUP(AJ869,'FRC Site Data'!$B$3:$L$42,10,FALSE)</f>
        <v>#N/A</v>
      </c>
      <c r="Z877" s="10" t="e">
        <f>VLOOKUP(AJ869,'FRC Site Data'!$B$3:$L$42,11,FALSE)</f>
        <v>#N/A</v>
      </c>
      <c r="AA877" s="10" t="e">
        <f>VLOOKUP(AJ869,'CIR Team Info'!$C$5:$E$44,4,FALSE)</f>
        <v>#N/A</v>
      </c>
      <c r="AB877" s="161" t="b">
        <f>ISNUMBER(VLOOKUP(AJ869,Match!$T$5:$T$10,1,FALSE))</f>
        <v>0</v>
      </c>
      <c r="AC877" s="161" t="b">
        <f>IF(AB877=TRUE,(VLOOKUP($AJ869,Match!$T$5:$U$10,2,FALSE)))</f>
        <v>0</v>
      </c>
      <c r="AD877" s="8">
        <v>3</v>
      </c>
      <c r="AE877" s="8">
        <v>2</v>
      </c>
      <c r="AF877" s="8">
        <v>2</v>
      </c>
      <c r="AG877" s="8">
        <v>1</v>
      </c>
      <c r="AH877" s="8" t="str">
        <f t="shared" si="225"/>
        <v/>
      </c>
    </row>
    <row r="878" spans="1:34" x14ac:dyDescent="0.25">
      <c r="A878" s="29">
        <f t="shared" si="224"/>
        <v>0</v>
      </c>
      <c r="B878" s="29">
        <f t="shared" si="211"/>
        <v>0</v>
      </c>
      <c r="C878" s="29">
        <f t="shared" si="212"/>
        <v>0</v>
      </c>
      <c r="D878" s="29">
        <f t="shared" si="213"/>
        <v>0</v>
      </c>
      <c r="E878" s="29">
        <f t="shared" si="210"/>
        <v>0</v>
      </c>
      <c r="F878" s="29">
        <f t="shared" si="214"/>
        <v>0</v>
      </c>
      <c r="G878" s="29" t="str">
        <f t="shared" si="215"/>
        <v>offensive</v>
      </c>
      <c r="H878" s="16">
        <f t="shared" si="216"/>
        <v>0</v>
      </c>
      <c r="I878" s="16">
        <f t="shared" si="217"/>
        <v>0</v>
      </c>
      <c r="J878" s="16">
        <f t="shared" si="218"/>
        <v>0</v>
      </c>
      <c r="K878" s="16">
        <f t="shared" si="219"/>
        <v>0</v>
      </c>
      <c r="L878" s="67">
        <f t="shared" si="220"/>
        <v>0</v>
      </c>
      <c r="M878" s="4">
        <f t="shared" si="221"/>
        <v>0</v>
      </c>
      <c r="N878" s="4">
        <f t="shared" si="222"/>
        <v>0</v>
      </c>
      <c r="O878" s="4">
        <f t="shared" si="223"/>
        <v>0</v>
      </c>
      <c r="P878" s="4" t="e">
        <f>VLOOKUP(AJ870,'CIR Team Info'!$C$5:$E$44,2,FALSE)</f>
        <v>#N/A</v>
      </c>
      <c r="Q878" s="4" t="e">
        <f>VLOOKUP(AJ870,'CIR Team Info'!$C$5:$E$44,3,FALSE)</f>
        <v>#N/A</v>
      </c>
      <c r="R878" s="10" t="e">
        <f>VLOOKUP(AJ870,'FRC Site Data'!$B$3:$L$42,2,FALSE)</f>
        <v>#N/A</v>
      </c>
      <c r="S878" s="10" t="e">
        <f>VLOOKUP(AJ870,'FRC Site Data'!$B$3:$L$42,3,FALSE)</f>
        <v>#N/A</v>
      </c>
      <c r="T878" s="10" t="e">
        <f>VLOOKUP(AJ870,'FRC Site Data'!$B$3:$L$42,4,FALSE)</f>
        <v>#N/A</v>
      </c>
      <c r="U878" s="10" t="e">
        <f>VLOOKUP(AJ870,'FRC Site Data'!$B$3:$L$42,5,FALSE)</f>
        <v>#N/A</v>
      </c>
      <c r="V878" s="10" t="e">
        <f>VLOOKUP(AJ870,'FRC Site Data'!$B$3:$L$42,6,FALSE)</f>
        <v>#N/A</v>
      </c>
      <c r="W878" s="10" t="e">
        <f>VLOOKUP(AJ870,'FRC Site Data'!$B$3:$L$42,8,FALSE)</f>
        <v>#N/A</v>
      </c>
      <c r="X878" s="10" t="e">
        <f>VLOOKUP(AJ870,'FRC Site Data'!$B$3:$L$42,9,FALSE)</f>
        <v>#N/A</v>
      </c>
      <c r="Y878" s="10" t="e">
        <f>VLOOKUP(AJ870,'FRC Site Data'!$B$3:$L$42,10,FALSE)</f>
        <v>#N/A</v>
      </c>
      <c r="Z878" s="10" t="e">
        <f>VLOOKUP(AJ870,'FRC Site Data'!$B$3:$L$42,11,FALSE)</f>
        <v>#N/A</v>
      </c>
      <c r="AA878" s="10" t="e">
        <f>VLOOKUP(AJ870,'CIR Team Info'!$C$5:$E$44,4,FALSE)</f>
        <v>#N/A</v>
      </c>
      <c r="AB878" s="161" t="b">
        <f>ISNUMBER(VLOOKUP(AJ870,Match!$T$5:$T$10,1,FALSE))</f>
        <v>0</v>
      </c>
      <c r="AC878" s="161" t="b">
        <f>IF(AB878=TRUE,(VLOOKUP($AJ870,Match!$T$5:$U$10,2,FALSE)))</f>
        <v>0</v>
      </c>
      <c r="AD878" s="8">
        <v>3</v>
      </c>
      <c r="AE878" s="8">
        <v>2</v>
      </c>
      <c r="AF878" s="8">
        <v>2</v>
      </c>
      <c r="AG878" s="8">
        <v>1</v>
      </c>
      <c r="AH878" s="8" t="str">
        <f t="shared" si="225"/>
        <v/>
      </c>
    </row>
    <row r="879" spans="1:34" x14ac:dyDescent="0.25">
      <c r="A879" s="29">
        <f t="shared" si="224"/>
        <v>0</v>
      </c>
      <c r="B879" s="29">
        <f t="shared" si="211"/>
        <v>0</v>
      </c>
      <c r="C879" s="29">
        <f t="shared" si="212"/>
        <v>0</v>
      </c>
      <c r="D879" s="29">
        <f t="shared" si="213"/>
        <v>0</v>
      </c>
      <c r="E879" s="29">
        <f t="shared" si="210"/>
        <v>0</v>
      </c>
      <c r="F879" s="29">
        <f t="shared" si="214"/>
        <v>0</v>
      </c>
      <c r="G879" s="29" t="str">
        <f t="shared" si="215"/>
        <v>offensive</v>
      </c>
      <c r="H879" s="16">
        <f t="shared" si="216"/>
        <v>0</v>
      </c>
      <c r="I879" s="16">
        <f t="shared" si="217"/>
        <v>0</v>
      </c>
      <c r="J879" s="16">
        <f t="shared" si="218"/>
        <v>0</v>
      </c>
      <c r="K879" s="16">
        <f t="shared" si="219"/>
        <v>0</v>
      </c>
      <c r="L879" s="67">
        <f t="shared" si="220"/>
        <v>0</v>
      </c>
      <c r="M879" s="4">
        <f t="shared" si="221"/>
        <v>0</v>
      </c>
      <c r="N879" s="4">
        <f t="shared" si="222"/>
        <v>0</v>
      </c>
      <c r="O879" s="4">
        <f t="shared" si="223"/>
        <v>0</v>
      </c>
      <c r="P879" s="4" t="e">
        <f>VLOOKUP(AJ871,'CIR Team Info'!$C$5:$E$44,2,FALSE)</f>
        <v>#N/A</v>
      </c>
      <c r="Q879" s="4" t="e">
        <f>VLOOKUP(AJ871,'CIR Team Info'!$C$5:$E$44,3,FALSE)</f>
        <v>#N/A</v>
      </c>
      <c r="R879" s="10" t="e">
        <f>VLOOKUP(AJ871,'FRC Site Data'!$B$3:$L$42,2,FALSE)</f>
        <v>#N/A</v>
      </c>
      <c r="S879" s="10" t="e">
        <f>VLOOKUP(AJ871,'FRC Site Data'!$B$3:$L$42,3,FALSE)</f>
        <v>#N/A</v>
      </c>
      <c r="T879" s="10" t="e">
        <f>VLOOKUP(AJ871,'FRC Site Data'!$B$3:$L$42,4,FALSE)</f>
        <v>#N/A</v>
      </c>
      <c r="U879" s="10" t="e">
        <f>VLOOKUP(AJ871,'FRC Site Data'!$B$3:$L$42,5,FALSE)</f>
        <v>#N/A</v>
      </c>
      <c r="V879" s="10" t="e">
        <f>VLOOKUP(AJ871,'FRC Site Data'!$B$3:$L$42,6,FALSE)</f>
        <v>#N/A</v>
      </c>
      <c r="W879" s="10" t="e">
        <f>VLOOKUP(AJ871,'FRC Site Data'!$B$3:$L$42,8,FALSE)</f>
        <v>#N/A</v>
      </c>
      <c r="X879" s="10" t="e">
        <f>VLOOKUP(AJ871,'FRC Site Data'!$B$3:$L$42,9,FALSE)</f>
        <v>#N/A</v>
      </c>
      <c r="Y879" s="10" t="e">
        <f>VLOOKUP(AJ871,'FRC Site Data'!$B$3:$L$42,10,FALSE)</f>
        <v>#N/A</v>
      </c>
      <c r="Z879" s="10" t="e">
        <f>VLOOKUP(AJ871,'FRC Site Data'!$B$3:$L$42,11,FALSE)</f>
        <v>#N/A</v>
      </c>
      <c r="AA879" s="10" t="e">
        <f>VLOOKUP(AJ871,'CIR Team Info'!$C$5:$E$44,4,FALSE)</f>
        <v>#N/A</v>
      </c>
      <c r="AB879" s="161" t="b">
        <f>ISNUMBER(VLOOKUP(AJ871,Match!$T$5:$T$10,1,FALSE))</f>
        <v>0</v>
      </c>
      <c r="AC879" s="161" t="b">
        <f>IF(AB879=TRUE,(VLOOKUP($AJ871,Match!$T$5:$U$10,2,FALSE)))</f>
        <v>0</v>
      </c>
      <c r="AD879" s="8">
        <v>3</v>
      </c>
      <c r="AE879" s="8">
        <v>2</v>
      </c>
      <c r="AF879" s="8">
        <v>2</v>
      </c>
      <c r="AG879" s="8">
        <v>1</v>
      </c>
      <c r="AH879" s="8" t="str">
        <f t="shared" si="225"/>
        <v/>
      </c>
    </row>
    <row r="880" spans="1:34" x14ac:dyDescent="0.25">
      <c r="A880" s="29">
        <f t="shared" si="224"/>
        <v>0</v>
      </c>
      <c r="B880" s="29">
        <f t="shared" si="211"/>
        <v>0</v>
      </c>
      <c r="C880" s="29">
        <f t="shared" si="212"/>
        <v>0</v>
      </c>
      <c r="D880" s="29">
        <f t="shared" si="213"/>
        <v>0</v>
      </c>
      <c r="E880" s="29">
        <f t="shared" si="210"/>
        <v>0</v>
      </c>
      <c r="F880" s="29">
        <f t="shared" si="214"/>
        <v>0</v>
      </c>
      <c r="G880" s="29" t="str">
        <f t="shared" si="215"/>
        <v>offensive</v>
      </c>
      <c r="H880" s="16">
        <f t="shared" si="216"/>
        <v>0</v>
      </c>
      <c r="I880" s="16">
        <f t="shared" si="217"/>
        <v>0</v>
      </c>
      <c r="J880" s="16">
        <f t="shared" si="218"/>
        <v>0</v>
      </c>
      <c r="K880" s="16">
        <f t="shared" si="219"/>
        <v>0</v>
      </c>
      <c r="L880" s="67">
        <f t="shared" si="220"/>
        <v>0</v>
      </c>
      <c r="M880" s="4">
        <f t="shared" si="221"/>
        <v>0</v>
      </c>
      <c r="N880" s="4">
        <f t="shared" si="222"/>
        <v>0</v>
      </c>
      <c r="O880" s="4">
        <f t="shared" si="223"/>
        <v>0</v>
      </c>
      <c r="P880" s="4" t="e">
        <f>VLOOKUP(AJ872,'CIR Team Info'!$C$5:$E$44,2,FALSE)</f>
        <v>#N/A</v>
      </c>
      <c r="Q880" s="4" t="e">
        <f>VLOOKUP(AJ872,'CIR Team Info'!$C$5:$E$44,3,FALSE)</f>
        <v>#N/A</v>
      </c>
      <c r="R880" s="10" t="e">
        <f>VLOOKUP(AJ872,'FRC Site Data'!$B$3:$L$42,2,FALSE)</f>
        <v>#N/A</v>
      </c>
      <c r="S880" s="10" t="e">
        <f>VLOOKUP(AJ872,'FRC Site Data'!$B$3:$L$42,3,FALSE)</f>
        <v>#N/A</v>
      </c>
      <c r="T880" s="10" t="e">
        <f>VLOOKUP(AJ872,'FRC Site Data'!$B$3:$L$42,4,FALSE)</f>
        <v>#N/A</v>
      </c>
      <c r="U880" s="10" t="e">
        <f>VLOOKUP(AJ872,'FRC Site Data'!$B$3:$L$42,5,FALSE)</f>
        <v>#N/A</v>
      </c>
      <c r="V880" s="10" t="e">
        <f>VLOOKUP(AJ872,'FRC Site Data'!$B$3:$L$42,6,FALSE)</f>
        <v>#N/A</v>
      </c>
      <c r="W880" s="10" t="e">
        <f>VLOOKUP(AJ872,'FRC Site Data'!$B$3:$L$42,8,FALSE)</f>
        <v>#N/A</v>
      </c>
      <c r="X880" s="10" t="e">
        <f>VLOOKUP(AJ872,'FRC Site Data'!$B$3:$L$42,9,FALSE)</f>
        <v>#N/A</v>
      </c>
      <c r="Y880" s="10" t="e">
        <f>VLOOKUP(AJ872,'FRC Site Data'!$B$3:$L$42,10,FALSE)</f>
        <v>#N/A</v>
      </c>
      <c r="Z880" s="10" t="e">
        <f>VLOOKUP(AJ872,'FRC Site Data'!$B$3:$L$42,11,FALSE)</f>
        <v>#N/A</v>
      </c>
      <c r="AA880" s="10" t="e">
        <f>VLOOKUP(AJ872,'CIR Team Info'!$C$5:$E$44,4,FALSE)</f>
        <v>#N/A</v>
      </c>
      <c r="AB880" s="161" t="b">
        <f>ISNUMBER(VLOOKUP(AJ872,Match!$T$5:$T$10,1,FALSE))</f>
        <v>0</v>
      </c>
      <c r="AC880" s="161" t="b">
        <f>IF(AB880=TRUE,(VLOOKUP($AJ872,Match!$T$5:$U$10,2,FALSE)))</f>
        <v>0</v>
      </c>
      <c r="AD880" s="8">
        <v>3</v>
      </c>
      <c r="AE880" s="8">
        <v>2</v>
      </c>
      <c r="AF880" s="8">
        <v>2</v>
      </c>
      <c r="AG880" s="8">
        <v>1</v>
      </c>
      <c r="AH880" s="8" t="str">
        <f t="shared" si="225"/>
        <v/>
      </c>
    </row>
    <row r="881" spans="1:34" x14ac:dyDescent="0.25">
      <c r="A881" s="29">
        <f t="shared" si="224"/>
        <v>0</v>
      </c>
      <c r="B881" s="29">
        <f t="shared" si="211"/>
        <v>0</v>
      </c>
      <c r="C881" s="29">
        <f t="shared" si="212"/>
        <v>0</v>
      </c>
      <c r="D881" s="29">
        <f t="shared" si="213"/>
        <v>0</v>
      </c>
      <c r="E881" s="29">
        <f t="shared" si="210"/>
        <v>0</v>
      </c>
      <c r="F881" s="29">
        <f t="shared" si="214"/>
        <v>0</v>
      </c>
      <c r="G881" s="29" t="str">
        <f t="shared" si="215"/>
        <v>offensive</v>
      </c>
      <c r="H881" s="16">
        <f t="shared" si="216"/>
        <v>0</v>
      </c>
      <c r="I881" s="16">
        <f t="shared" si="217"/>
        <v>0</v>
      </c>
      <c r="J881" s="16">
        <f t="shared" si="218"/>
        <v>0</v>
      </c>
      <c r="K881" s="16">
        <f t="shared" si="219"/>
        <v>0</v>
      </c>
      <c r="L881" s="67">
        <f t="shared" si="220"/>
        <v>0</v>
      </c>
      <c r="M881" s="4">
        <f t="shared" si="221"/>
        <v>0</v>
      </c>
      <c r="N881" s="4">
        <f t="shared" si="222"/>
        <v>0</v>
      </c>
      <c r="O881" s="4">
        <f t="shared" si="223"/>
        <v>0</v>
      </c>
      <c r="P881" s="4" t="e">
        <f>VLOOKUP(AJ873,'CIR Team Info'!$C$5:$E$44,2,FALSE)</f>
        <v>#N/A</v>
      </c>
      <c r="Q881" s="4" t="e">
        <f>VLOOKUP(AJ873,'CIR Team Info'!$C$5:$E$44,3,FALSE)</f>
        <v>#N/A</v>
      </c>
      <c r="R881" s="10" t="e">
        <f>VLOOKUP(AJ873,'FRC Site Data'!$B$3:$L$42,2,FALSE)</f>
        <v>#N/A</v>
      </c>
      <c r="S881" s="10" t="e">
        <f>VLOOKUP(AJ873,'FRC Site Data'!$B$3:$L$42,3,FALSE)</f>
        <v>#N/A</v>
      </c>
      <c r="T881" s="10" t="e">
        <f>VLOOKUP(AJ873,'FRC Site Data'!$B$3:$L$42,4,FALSE)</f>
        <v>#N/A</v>
      </c>
      <c r="U881" s="10" t="e">
        <f>VLOOKUP(AJ873,'FRC Site Data'!$B$3:$L$42,5,FALSE)</f>
        <v>#N/A</v>
      </c>
      <c r="V881" s="10" t="e">
        <f>VLOOKUP(AJ873,'FRC Site Data'!$B$3:$L$42,6,FALSE)</f>
        <v>#N/A</v>
      </c>
      <c r="W881" s="10" t="e">
        <f>VLOOKUP(AJ873,'FRC Site Data'!$B$3:$L$42,8,FALSE)</f>
        <v>#N/A</v>
      </c>
      <c r="X881" s="10" t="e">
        <f>VLOOKUP(AJ873,'FRC Site Data'!$B$3:$L$42,9,FALSE)</f>
        <v>#N/A</v>
      </c>
      <c r="Y881" s="10" t="e">
        <f>VLOOKUP(AJ873,'FRC Site Data'!$B$3:$L$42,10,FALSE)</f>
        <v>#N/A</v>
      </c>
      <c r="Z881" s="10" t="e">
        <f>VLOOKUP(AJ873,'FRC Site Data'!$B$3:$L$42,11,FALSE)</f>
        <v>#N/A</v>
      </c>
      <c r="AA881" s="10" t="e">
        <f>VLOOKUP(AJ873,'CIR Team Info'!$C$5:$E$44,4,FALSE)</f>
        <v>#N/A</v>
      </c>
      <c r="AB881" s="161" t="b">
        <f>ISNUMBER(VLOOKUP(AJ873,Match!$T$5:$T$10,1,FALSE))</f>
        <v>0</v>
      </c>
      <c r="AC881" s="161" t="b">
        <f>IF(AB881=TRUE,(VLOOKUP($AJ873,Match!$T$5:$U$10,2,FALSE)))</f>
        <v>0</v>
      </c>
      <c r="AD881" s="8">
        <v>3</v>
      </c>
      <c r="AE881" s="8">
        <v>2</v>
      </c>
      <c r="AF881" s="8">
        <v>2</v>
      </c>
      <c r="AG881" s="8">
        <v>1</v>
      </c>
      <c r="AH881" s="8" t="str">
        <f t="shared" si="225"/>
        <v/>
      </c>
    </row>
    <row r="882" spans="1:34" x14ac:dyDescent="0.25">
      <c r="A882" s="29">
        <f t="shared" si="224"/>
        <v>0</v>
      </c>
      <c r="B882" s="29">
        <f t="shared" si="211"/>
        <v>0</v>
      </c>
      <c r="C882" s="29">
        <f t="shared" si="212"/>
        <v>0</v>
      </c>
      <c r="D882" s="29">
        <f t="shared" si="213"/>
        <v>0</v>
      </c>
      <c r="E882" s="29">
        <f t="shared" si="210"/>
        <v>0</v>
      </c>
      <c r="F882" s="29">
        <f t="shared" si="214"/>
        <v>0</v>
      </c>
      <c r="G882" s="29" t="str">
        <f t="shared" si="215"/>
        <v>offensive</v>
      </c>
      <c r="H882" s="16">
        <f t="shared" si="216"/>
        <v>0</v>
      </c>
      <c r="I882" s="16">
        <f t="shared" si="217"/>
        <v>0</v>
      </c>
      <c r="J882" s="16">
        <f t="shared" si="218"/>
        <v>0</v>
      </c>
      <c r="K882" s="16">
        <f t="shared" si="219"/>
        <v>0</v>
      </c>
      <c r="L882" s="67">
        <f t="shared" si="220"/>
        <v>0</v>
      </c>
      <c r="M882" s="4">
        <f t="shared" si="221"/>
        <v>0</v>
      </c>
      <c r="N882" s="4">
        <f t="shared" si="222"/>
        <v>0</v>
      </c>
      <c r="O882" s="4">
        <f t="shared" si="223"/>
        <v>0</v>
      </c>
      <c r="P882" s="4" t="e">
        <f>VLOOKUP(AJ874,'CIR Team Info'!$C$5:$E$44,2,FALSE)</f>
        <v>#N/A</v>
      </c>
      <c r="Q882" s="4" t="e">
        <f>VLOOKUP(AJ874,'CIR Team Info'!$C$5:$E$44,3,FALSE)</f>
        <v>#N/A</v>
      </c>
      <c r="R882" s="10" t="e">
        <f>VLOOKUP(AJ874,'FRC Site Data'!$B$3:$L$42,2,FALSE)</f>
        <v>#N/A</v>
      </c>
      <c r="S882" s="10" t="e">
        <f>VLOOKUP(AJ874,'FRC Site Data'!$B$3:$L$42,3,FALSE)</f>
        <v>#N/A</v>
      </c>
      <c r="T882" s="10" t="e">
        <f>VLOOKUP(AJ874,'FRC Site Data'!$B$3:$L$42,4,FALSE)</f>
        <v>#N/A</v>
      </c>
      <c r="U882" s="10" t="e">
        <f>VLOOKUP(AJ874,'FRC Site Data'!$B$3:$L$42,5,FALSE)</f>
        <v>#N/A</v>
      </c>
      <c r="V882" s="10" t="e">
        <f>VLOOKUP(AJ874,'FRC Site Data'!$B$3:$L$42,6,FALSE)</f>
        <v>#N/A</v>
      </c>
      <c r="W882" s="10" t="e">
        <f>VLOOKUP(AJ874,'FRC Site Data'!$B$3:$L$42,8,FALSE)</f>
        <v>#N/A</v>
      </c>
      <c r="X882" s="10" t="e">
        <f>VLOOKUP(AJ874,'FRC Site Data'!$B$3:$L$42,9,FALSE)</f>
        <v>#N/A</v>
      </c>
      <c r="Y882" s="10" t="e">
        <f>VLOOKUP(AJ874,'FRC Site Data'!$B$3:$L$42,10,FALSE)</f>
        <v>#N/A</v>
      </c>
      <c r="Z882" s="10" t="e">
        <f>VLOOKUP(AJ874,'FRC Site Data'!$B$3:$L$42,11,FALSE)</f>
        <v>#N/A</v>
      </c>
      <c r="AA882" s="10" t="e">
        <f>VLOOKUP(AJ874,'CIR Team Info'!$C$5:$E$44,4,FALSE)</f>
        <v>#N/A</v>
      </c>
      <c r="AB882" s="161" t="b">
        <f>ISNUMBER(VLOOKUP(AJ874,Match!$T$5:$T$10,1,FALSE))</f>
        <v>0</v>
      </c>
      <c r="AC882" s="161" t="b">
        <f>IF(AB882=TRUE,(VLOOKUP($AJ874,Match!$T$5:$U$10,2,FALSE)))</f>
        <v>0</v>
      </c>
      <c r="AD882" s="8">
        <v>3</v>
      </c>
      <c r="AE882" s="8">
        <v>2</v>
      </c>
      <c r="AF882" s="8">
        <v>2</v>
      </c>
      <c r="AG882" s="8">
        <v>1</v>
      </c>
      <c r="AH882" s="8" t="str">
        <f t="shared" si="225"/>
        <v/>
      </c>
    </row>
    <row r="883" spans="1:34" x14ac:dyDescent="0.25">
      <c r="A883" s="29">
        <f t="shared" si="224"/>
        <v>0</v>
      </c>
      <c r="B883" s="29">
        <f t="shared" si="211"/>
        <v>0</v>
      </c>
      <c r="C883" s="29">
        <f t="shared" si="212"/>
        <v>0</v>
      </c>
      <c r="D883" s="29">
        <f t="shared" si="213"/>
        <v>0</v>
      </c>
      <c r="E883" s="29">
        <f t="shared" si="210"/>
        <v>0</v>
      </c>
      <c r="F883" s="29">
        <f t="shared" si="214"/>
        <v>0</v>
      </c>
      <c r="G883" s="29" t="str">
        <f t="shared" si="215"/>
        <v>offensive</v>
      </c>
      <c r="H883" s="16">
        <f t="shared" si="216"/>
        <v>0</v>
      </c>
      <c r="I883" s="16">
        <f t="shared" si="217"/>
        <v>0</v>
      </c>
      <c r="J883" s="16">
        <f t="shared" si="218"/>
        <v>0</v>
      </c>
      <c r="K883" s="16">
        <f t="shared" si="219"/>
        <v>0</v>
      </c>
      <c r="L883" s="67">
        <f t="shared" si="220"/>
        <v>0</v>
      </c>
      <c r="M883" s="4">
        <f t="shared" si="221"/>
        <v>0</v>
      </c>
      <c r="N883" s="4">
        <f t="shared" si="222"/>
        <v>0</v>
      </c>
      <c r="O883" s="4">
        <f t="shared" si="223"/>
        <v>0</v>
      </c>
      <c r="P883" s="4" t="e">
        <f>VLOOKUP(AJ875,'CIR Team Info'!$C$5:$E$44,2,FALSE)</f>
        <v>#N/A</v>
      </c>
      <c r="Q883" s="4" t="e">
        <f>VLOOKUP(AJ875,'CIR Team Info'!$C$5:$E$44,3,FALSE)</f>
        <v>#N/A</v>
      </c>
      <c r="R883" s="10" t="e">
        <f>VLOOKUP(AJ875,'FRC Site Data'!$B$3:$L$42,2,FALSE)</f>
        <v>#N/A</v>
      </c>
      <c r="S883" s="10" t="e">
        <f>VLOOKUP(AJ875,'FRC Site Data'!$B$3:$L$42,3,FALSE)</f>
        <v>#N/A</v>
      </c>
      <c r="T883" s="10" t="e">
        <f>VLOOKUP(AJ875,'FRC Site Data'!$B$3:$L$42,4,FALSE)</f>
        <v>#N/A</v>
      </c>
      <c r="U883" s="10" t="e">
        <f>VLOOKUP(AJ875,'FRC Site Data'!$B$3:$L$42,5,FALSE)</f>
        <v>#N/A</v>
      </c>
      <c r="V883" s="10" t="e">
        <f>VLOOKUP(AJ875,'FRC Site Data'!$B$3:$L$42,6,FALSE)</f>
        <v>#N/A</v>
      </c>
      <c r="W883" s="10" t="e">
        <f>VLOOKUP(AJ875,'FRC Site Data'!$B$3:$L$42,8,FALSE)</f>
        <v>#N/A</v>
      </c>
      <c r="X883" s="10" t="e">
        <f>VLOOKUP(AJ875,'FRC Site Data'!$B$3:$L$42,9,FALSE)</f>
        <v>#N/A</v>
      </c>
      <c r="Y883" s="10" t="e">
        <f>VLOOKUP(AJ875,'FRC Site Data'!$B$3:$L$42,10,FALSE)</f>
        <v>#N/A</v>
      </c>
      <c r="Z883" s="10" t="e">
        <f>VLOOKUP(AJ875,'FRC Site Data'!$B$3:$L$42,11,FALSE)</f>
        <v>#N/A</v>
      </c>
      <c r="AA883" s="10" t="e">
        <f>VLOOKUP(AJ875,'CIR Team Info'!$C$5:$E$44,4,FALSE)</f>
        <v>#N/A</v>
      </c>
      <c r="AB883" s="161" t="b">
        <f>ISNUMBER(VLOOKUP(AJ875,Match!$T$5:$T$10,1,FALSE))</f>
        <v>0</v>
      </c>
      <c r="AC883" s="161" t="b">
        <f>IF(AB883=TRUE,(VLOOKUP($AJ875,Match!$T$5:$U$10,2,FALSE)))</f>
        <v>0</v>
      </c>
      <c r="AD883" s="8">
        <v>3</v>
      </c>
      <c r="AE883" s="8">
        <v>2</v>
      </c>
      <c r="AF883" s="8">
        <v>2</v>
      </c>
      <c r="AG883" s="8">
        <v>1</v>
      </c>
      <c r="AH883" s="8" t="str">
        <f t="shared" si="225"/>
        <v/>
      </c>
    </row>
    <row r="884" spans="1:34" x14ac:dyDescent="0.25">
      <c r="A884" s="29">
        <f t="shared" si="224"/>
        <v>0</v>
      </c>
      <c r="B884" s="29">
        <f t="shared" si="211"/>
        <v>0</v>
      </c>
      <c r="C884" s="29">
        <f t="shared" si="212"/>
        <v>0</v>
      </c>
      <c r="D884" s="29">
        <f t="shared" si="213"/>
        <v>0</v>
      </c>
      <c r="E884" s="29">
        <f t="shared" si="210"/>
        <v>0</v>
      </c>
      <c r="F884" s="29">
        <f t="shared" si="214"/>
        <v>0</v>
      </c>
      <c r="G884" s="29" t="str">
        <f t="shared" si="215"/>
        <v>offensive</v>
      </c>
      <c r="H884" s="16">
        <f t="shared" si="216"/>
        <v>0</v>
      </c>
      <c r="I884" s="16">
        <f t="shared" si="217"/>
        <v>0</v>
      </c>
      <c r="J884" s="16">
        <f t="shared" si="218"/>
        <v>0</v>
      </c>
      <c r="K884" s="16">
        <f t="shared" si="219"/>
        <v>0</v>
      </c>
      <c r="L884" s="67">
        <f t="shared" si="220"/>
        <v>0</v>
      </c>
      <c r="M884" s="4">
        <f t="shared" si="221"/>
        <v>0</v>
      </c>
      <c r="N884" s="4">
        <f t="shared" si="222"/>
        <v>0</v>
      </c>
      <c r="O884" s="4">
        <f t="shared" si="223"/>
        <v>0</v>
      </c>
      <c r="P884" s="4" t="e">
        <f>VLOOKUP(AJ876,'CIR Team Info'!$C$5:$E$44,2,FALSE)</f>
        <v>#N/A</v>
      </c>
      <c r="Q884" s="4" t="e">
        <f>VLOOKUP(AJ876,'CIR Team Info'!$C$5:$E$44,3,FALSE)</f>
        <v>#N/A</v>
      </c>
      <c r="R884" s="10" t="e">
        <f>VLOOKUP(AJ876,'FRC Site Data'!$B$3:$L$42,2,FALSE)</f>
        <v>#N/A</v>
      </c>
      <c r="S884" s="10" t="e">
        <f>VLOOKUP(AJ876,'FRC Site Data'!$B$3:$L$42,3,FALSE)</f>
        <v>#N/A</v>
      </c>
      <c r="T884" s="10" t="e">
        <f>VLOOKUP(AJ876,'FRC Site Data'!$B$3:$L$42,4,FALSE)</f>
        <v>#N/A</v>
      </c>
      <c r="U884" s="10" t="e">
        <f>VLOOKUP(AJ876,'FRC Site Data'!$B$3:$L$42,5,FALSE)</f>
        <v>#N/A</v>
      </c>
      <c r="V884" s="10" t="e">
        <f>VLOOKUP(AJ876,'FRC Site Data'!$B$3:$L$42,6,FALSE)</f>
        <v>#N/A</v>
      </c>
      <c r="W884" s="10" t="e">
        <f>VLOOKUP(AJ876,'FRC Site Data'!$B$3:$L$42,8,FALSE)</f>
        <v>#N/A</v>
      </c>
      <c r="X884" s="10" t="e">
        <f>VLOOKUP(AJ876,'FRC Site Data'!$B$3:$L$42,9,FALSE)</f>
        <v>#N/A</v>
      </c>
      <c r="Y884" s="10" t="e">
        <f>VLOOKUP(AJ876,'FRC Site Data'!$B$3:$L$42,10,FALSE)</f>
        <v>#N/A</v>
      </c>
      <c r="Z884" s="10" t="e">
        <f>VLOOKUP(AJ876,'FRC Site Data'!$B$3:$L$42,11,FALSE)</f>
        <v>#N/A</v>
      </c>
      <c r="AA884" s="10" t="e">
        <f>VLOOKUP(AJ876,'CIR Team Info'!$C$5:$E$44,4,FALSE)</f>
        <v>#N/A</v>
      </c>
      <c r="AB884" s="161" t="b">
        <f>ISNUMBER(VLOOKUP(AJ876,Match!$T$5:$T$10,1,FALSE))</f>
        <v>0</v>
      </c>
      <c r="AC884" s="161" t="b">
        <f>IF(AB884=TRUE,(VLOOKUP($AJ876,Match!$T$5:$U$10,2,FALSE)))</f>
        <v>0</v>
      </c>
      <c r="AD884" s="8">
        <v>3</v>
      </c>
      <c r="AE884" s="8">
        <v>2</v>
      </c>
      <c r="AF884" s="8">
        <v>2</v>
      </c>
      <c r="AG884" s="8">
        <v>1</v>
      </c>
      <c r="AH884" s="8" t="str">
        <f t="shared" si="225"/>
        <v/>
      </c>
    </row>
    <row r="885" spans="1:34" x14ac:dyDescent="0.25">
      <c r="A885" s="29">
        <f t="shared" si="224"/>
        <v>0</v>
      </c>
      <c r="B885" s="29">
        <f t="shared" si="211"/>
        <v>0</v>
      </c>
      <c r="C885" s="29">
        <f t="shared" si="212"/>
        <v>0</v>
      </c>
      <c r="D885" s="29">
        <f t="shared" si="213"/>
        <v>0</v>
      </c>
      <c r="E885" s="29">
        <f t="shared" si="210"/>
        <v>0</v>
      </c>
      <c r="F885" s="29">
        <f t="shared" si="214"/>
        <v>0</v>
      </c>
      <c r="G885" s="29" t="str">
        <f t="shared" si="215"/>
        <v>offensive</v>
      </c>
      <c r="H885" s="16">
        <f t="shared" si="216"/>
        <v>0</v>
      </c>
      <c r="I885" s="16">
        <f t="shared" si="217"/>
        <v>0</v>
      </c>
      <c r="J885" s="16">
        <f t="shared" si="218"/>
        <v>0</v>
      </c>
      <c r="K885" s="16">
        <f t="shared" si="219"/>
        <v>0</v>
      </c>
      <c r="L885" s="67">
        <f t="shared" si="220"/>
        <v>0</v>
      </c>
      <c r="M885" s="4">
        <f t="shared" si="221"/>
        <v>0</v>
      </c>
      <c r="N885" s="4">
        <f t="shared" si="222"/>
        <v>0</v>
      </c>
      <c r="O885" s="4">
        <f t="shared" si="223"/>
        <v>0</v>
      </c>
      <c r="P885" s="4" t="e">
        <f>VLOOKUP(AJ877,'CIR Team Info'!$C$5:$E$44,2,FALSE)</f>
        <v>#N/A</v>
      </c>
      <c r="Q885" s="4" t="e">
        <f>VLOOKUP(AJ877,'CIR Team Info'!$C$5:$E$44,3,FALSE)</f>
        <v>#N/A</v>
      </c>
      <c r="R885" s="10" t="e">
        <f>VLOOKUP(AJ877,'FRC Site Data'!$B$3:$L$42,2,FALSE)</f>
        <v>#N/A</v>
      </c>
      <c r="S885" s="10" t="e">
        <f>VLOOKUP(AJ877,'FRC Site Data'!$B$3:$L$42,3,FALSE)</f>
        <v>#N/A</v>
      </c>
      <c r="T885" s="10" t="e">
        <f>VLOOKUP(AJ877,'FRC Site Data'!$B$3:$L$42,4,FALSE)</f>
        <v>#N/A</v>
      </c>
      <c r="U885" s="10" t="e">
        <f>VLOOKUP(AJ877,'FRC Site Data'!$B$3:$L$42,5,FALSE)</f>
        <v>#N/A</v>
      </c>
      <c r="V885" s="10" t="e">
        <f>VLOOKUP(AJ877,'FRC Site Data'!$B$3:$L$42,6,FALSE)</f>
        <v>#N/A</v>
      </c>
      <c r="W885" s="10" t="e">
        <f>VLOOKUP(AJ877,'FRC Site Data'!$B$3:$L$42,8,FALSE)</f>
        <v>#N/A</v>
      </c>
      <c r="X885" s="10" t="e">
        <f>VLOOKUP(AJ877,'FRC Site Data'!$B$3:$L$42,9,FALSE)</f>
        <v>#N/A</v>
      </c>
      <c r="Y885" s="10" t="e">
        <f>VLOOKUP(AJ877,'FRC Site Data'!$B$3:$L$42,10,FALSE)</f>
        <v>#N/A</v>
      </c>
      <c r="Z885" s="10" t="e">
        <f>VLOOKUP(AJ877,'FRC Site Data'!$B$3:$L$42,11,FALSE)</f>
        <v>#N/A</v>
      </c>
      <c r="AA885" s="10" t="e">
        <f>VLOOKUP(AJ877,'CIR Team Info'!$C$5:$E$44,4,FALSE)</f>
        <v>#N/A</v>
      </c>
      <c r="AB885" s="161" t="b">
        <f>ISNUMBER(VLOOKUP(AJ877,Match!$T$5:$T$10,1,FALSE))</f>
        <v>0</v>
      </c>
      <c r="AC885" s="161" t="b">
        <f>IF(AB885=TRUE,(VLOOKUP($AJ877,Match!$T$5:$U$10,2,FALSE)))</f>
        <v>0</v>
      </c>
      <c r="AD885" s="8">
        <v>3</v>
      </c>
      <c r="AE885" s="8">
        <v>2</v>
      </c>
      <c r="AF885" s="8">
        <v>2</v>
      </c>
      <c r="AG885" s="8">
        <v>1</v>
      </c>
      <c r="AH885" s="8" t="str">
        <f t="shared" si="225"/>
        <v/>
      </c>
    </row>
    <row r="886" spans="1:34" x14ac:dyDescent="0.25">
      <c r="A886" s="29">
        <f t="shared" si="224"/>
        <v>0</v>
      </c>
      <c r="B886" s="29">
        <f t="shared" si="211"/>
        <v>0</v>
      </c>
      <c r="C886" s="29">
        <f t="shared" si="212"/>
        <v>0</v>
      </c>
      <c r="D886" s="29">
        <f t="shared" si="213"/>
        <v>0</v>
      </c>
      <c r="E886" s="29">
        <f t="shared" si="210"/>
        <v>0</v>
      </c>
      <c r="F886" s="29">
        <f t="shared" si="214"/>
        <v>0</v>
      </c>
      <c r="G886" s="29" t="str">
        <f t="shared" si="215"/>
        <v>offensive</v>
      </c>
      <c r="H886" s="16">
        <f t="shared" si="216"/>
        <v>0</v>
      </c>
      <c r="I886" s="16">
        <f t="shared" si="217"/>
        <v>0</v>
      </c>
      <c r="J886" s="16">
        <f t="shared" si="218"/>
        <v>0</v>
      </c>
      <c r="K886" s="16">
        <f t="shared" si="219"/>
        <v>0</v>
      </c>
      <c r="L886" s="67">
        <f t="shared" si="220"/>
        <v>0</v>
      </c>
      <c r="M886" s="4">
        <f t="shared" si="221"/>
        <v>0</v>
      </c>
      <c r="N886" s="4">
        <f t="shared" si="222"/>
        <v>0</v>
      </c>
      <c r="O886" s="4">
        <f t="shared" si="223"/>
        <v>0</v>
      </c>
      <c r="P886" s="4" t="e">
        <f>VLOOKUP(AJ878,'CIR Team Info'!$C$5:$E$44,2,FALSE)</f>
        <v>#N/A</v>
      </c>
      <c r="Q886" s="4" t="e">
        <f>VLOOKUP(AJ878,'CIR Team Info'!$C$5:$E$44,3,FALSE)</f>
        <v>#N/A</v>
      </c>
      <c r="R886" s="10" t="e">
        <f>VLOOKUP(AJ878,'FRC Site Data'!$B$3:$L$42,2,FALSE)</f>
        <v>#N/A</v>
      </c>
      <c r="S886" s="10" t="e">
        <f>VLOOKUP(AJ878,'FRC Site Data'!$B$3:$L$42,3,FALSE)</f>
        <v>#N/A</v>
      </c>
      <c r="T886" s="10" t="e">
        <f>VLOOKUP(AJ878,'FRC Site Data'!$B$3:$L$42,4,FALSE)</f>
        <v>#N/A</v>
      </c>
      <c r="U886" s="10" t="e">
        <f>VLOOKUP(AJ878,'FRC Site Data'!$B$3:$L$42,5,FALSE)</f>
        <v>#N/A</v>
      </c>
      <c r="V886" s="10" t="e">
        <f>VLOOKUP(AJ878,'FRC Site Data'!$B$3:$L$42,6,FALSE)</f>
        <v>#N/A</v>
      </c>
      <c r="W886" s="10" t="e">
        <f>VLOOKUP(AJ878,'FRC Site Data'!$B$3:$L$42,8,FALSE)</f>
        <v>#N/A</v>
      </c>
      <c r="X886" s="10" t="e">
        <f>VLOOKUP(AJ878,'FRC Site Data'!$B$3:$L$42,9,FALSE)</f>
        <v>#N/A</v>
      </c>
      <c r="Y886" s="10" t="e">
        <f>VLOOKUP(AJ878,'FRC Site Data'!$B$3:$L$42,10,FALSE)</f>
        <v>#N/A</v>
      </c>
      <c r="Z886" s="10" t="e">
        <f>VLOOKUP(AJ878,'FRC Site Data'!$B$3:$L$42,11,FALSE)</f>
        <v>#N/A</v>
      </c>
      <c r="AA886" s="10" t="e">
        <f>VLOOKUP(AJ878,'CIR Team Info'!$C$5:$E$44,4,FALSE)</f>
        <v>#N/A</v>
      </c>
      <c r="AB886" s="161" t="b">
        <f>ISNUMBER(VLOOKUP(AJ878,Match!$T$5:$T$10,1,FALSE))</f>
        <v>0</v>
      </c>
      <c r="AC886" s="161" t="b">
        <f>IF(AB886=TRUE,(VLOOKUP($AJ878,Match!$T$5:$U$10,2,FALSE)))</f>
        <v>0</v>
      </c>
      <c r="AD886" s="8">
        <v>3</v>
      </c>
      <c r="AE886" s="8">
        <v>2</v>
      </c>
      <c r="AF886" s="8">
        <v>2</v>
      </c>
      <c r="AG886" s="8">
        <v>1</v>
      </c>
      <c r="AH886" s="8" t="str">
        <f t="shared" si="225"/>
        <v/>
      </c>
    </row>
    <row r="887" spans="1:34" x14ac:dyDescent="0.25">
      <c r="A887" s="29">
        <f t="shared" si="224"/>
        <v>0</v>
      </c>
      <c r="B887" s="29">
        <f t="shared" si="211"/>
        <v>0</v>
      </c>
      <c r="C887" s="29">
        <f t="shared" si="212"/>
        <v>0</v>
      </c>
      <c r="D887" s="29">
        <f t="shared" si="213"/>
        <v>0</v>
      </c>
      <c r="E887" s="29">
        <f t="shared" si="210"/>
        <v>0</v>
      </c>
      <c r="F887" s="29">
        <f t="shared" si="214"/>
        <v>0</v>
      </c>
      <c r="G887" s="29" t="str">
        <f t="shared" si="215"/>
        <v>offensive</v>
      </c>
      <c r="H887" s="16">
        <f t="shared" si="216"/>
        <v>0</v>
      </c>
      <c r="I887" s="16">
        <f t="shared" si="217"/>
        <v>0</v>
      </c>
      <c r="J887" s="16">
        <f t="shared" si="218"/>
        <v>0</v>
      </c>
      <c r="K887" s="16">
        <f t="shared" si="219"/>
        <v>0</v>
      </c>
      <c r="L887" s="67">
        <f t="shared" si="220"/>
        <v>0</v>
      </c>
      <c r="M887" s="4">
        <f t="shared" si="221"/>
        <v>0</v>
      </c>
      <c r="N887" s="4">
        <f t="shared" si="222"/>
        <v>0</v>
      </c>
      <c r="O887" s="4">
        <f t="shared" si="223"/>
        <v>0</v>
      </c>
      <c r="P887" s="4" t="e">
        <f>VLOOKUP(AJ879,'CIR Team Info'!$C$5:$E$44,2,FALSE)</f>
        <v>#N/A</v>
      </c>
      <c r="Q887" s="4" t="e">
        <f>VLOOKUP(AJ879,'CIR Team Info'!$C$5:$E$44,3,FALSE)</f>
        <v>#N/A</v>
      </c>
      <c r="R887" s="10" t="e">
        <f>VLOOKUP(AJ879,'FRC Site Data'!$B$3:$L$42,2,FALSE)</f>
        <v>#N/A</v>
      </c>
      <c r="S887" s="10" t="e">
        <f>VLOOKUP(AJ879,'FRC Site Data'!$B$3:$L$42,3,FALSE)</f>
        <v>#N/A</v>
      </c>
      <c r="T887" s="10" t="e">
        <f>VLOOKUP(AJ879,'FRC Site Data'!$B$3:$L$42,4,FALSE)</f>
        <v>#N/A</v>
      </c>
      <c r="U887" s="10" t="e">
        <f>VLOOKUP(AJ879,'FRC Site Data'!$B$3:$L$42,5,FALSE)</f>
        <v>#N/A</v>
      </c>
      <c r="V887" s="10" t="e">
        <f>VLOOKUP(AJ879,'FRC Site Data'!$B$3:$L$42,6,FALSE)</f>
        <v>#N/A</v>
      </c>
      <c r="W887" s="10" t="e">
        <f>VLOOKUP(AJ879,'FRC Site Data'!$B$3:$L$42,8,FALSE)</f>
        <v>#N/A</v>
      </c>
      <c r="X887" s="10" t="e">
        <f>VLOOKUP(AJ879,'FRC Site Data'!$B$3:$L$42,9,FALSE)</f>
        <v>#N/A</v>
      </c>
      <c r="Y887" s="10" t="e">
        <f>VLOOKUP(AJ879,'FRC Site Data'!$B$3:$L$42,10,FALSE)</f>
        <v>#N/A</v>
      </c>
      <c r="Z887" s="10" t="e">
        <f>VLOOKUP(AJ879,'FRC Site Data'!$B$3:$L$42,11,FALSE)</f>
        <v>#N/A</v>
      </c>
      <c r="AA887" s="10" t="e">
        <f>VLOOKUP(AJ879,'CIR Team Info'!$C$5:$E$44,4,FALSE)</f>
        <v>#N/A</v>
      </c>
      <c r="AB887" s="161" t="b">
        <f>ISNUMBER(VLOOKUP(AJ879,Match!$T$5:$T$10,1,FALSE))</f>
        <v>0</v>
      </c>
      <c r="AC887" s="161" t="b">
        <f>IF(AB887=TRUE,(VLOOKUP($AJ879,Match!$T$5:$U$10,2,FALSE)))</f>
        <v>0</v>
      </c>
      <c r="AD887" s="8">
        <v>3</v>
      </c>
      <c r="AE887" s="8">
        <v>2</v>
      </c>
      <c r="AF887" s="8">
        <v>2</v>
      </c>
      <c r="AG887" s="8">
        <v>1</v>
      </c>
      <c r="AH887" s="8" t="str">
        <f t="shared" si="225"/>
        <v/>
      </c>
    </row>
    <row r="888" spans="1:34" x14ac:dyDescent="0.25">
      <c r="A888" s="29">
        <f t="shared" si="224"/>
        <v>0</v>
      </c>
      <c r="B888" s="29">
        <f t="shared" si="211"/>
        <v>0</v>
      </c>
      <c r="C888" s="29">
        <f t="shared" si="212"/>
        <v>0</v>
      </c>
      <c r="D888" s="29">
        <f t="shared" si="213"/>
        <v>0</v>
      </c>
      <c r="E888" s="29">
        <f t="shared" si="210"/>
        <v>0</v>
      </c>
      <c r="F888" s="29">
        <f t="shared" si="214"/>
        <v>0</v>
      </c>
      <c r="G888" s="29" t="str">
        <f t="shared" si="215"/>
        <v>offensive</v>
      </c>
      <c r="H888" s="16">
        <f t="shared" si="216"/>
        <v>0</v>
      </c>
      <c r="I888" s="16">
        <f t="shared" si="217"/>
        <v>0</v>
      </c>
      <c r="J888" s="16">
        <f t="shared" si="218"/>
        <v>0</v>
      </c>
      <c r="K888" s="16">
        <f t="shared" si="219"/>
        <v>0</v>
      </c>
      <c r="L888" s="67">
        <f t="shared" si="220"/>
        <v>0</v>
      </c>
      <c r="M888" s="4">
        <f t="shared" si="221"/>
        <v>0</v>
      </c>
      <c r="N888" s="4">
        <f t="shared" si="222"/>
        <v>0</v>
      </c>
      <c r="O888" s="4">
        <f t="shared" si="223"/>
        <v>0</v>
      </c>
      <c r="P888" s="4" t="e">
        <f>VLOOKUP(AJ880,'CIR Team Info'!$C$5:$E$44,2,FALSE)</f>
        <v>#N/A</v>
      </c>
      <c r="Q888" s="4" t="e">
        <f>VLOOKUP(AJ880,'CIR Team Info'!$C$5:$E$44,3,FALSE)</f>
        <v>#N/A</v>
      </c>
      <c r="R888" s="10" t="e">
        <f>VLOOKUP(AJ880,'FRC Site Data'!$B$3:$L$42,2,FALSE)</f>
        <v>#N/A</v>
      </c>
      <c r="S888" s="10" t="e">
        <f>VLOOKUP(AJ880,'FRC Site Data'!$B$3:$L$42,3,FALSE)</f>
        <v>#N/A</v>
      </c>
      <c r="T888" s="10" t="e">
        <f>VLOOKUP(AJ880,'FRC Site Data'!$B$3:$L$42,4,FALSE)</f>
        <v>#N/A</v>
      </c>
      <c r="U888" s="10" t="e">
        <f>VLOOKUP(AJ880,'FRC Site Data'!$B$3:$L$42,5,FALSE)</f>
        <v>#N/A</v>
      </c>
      <c r="V888" s="10" t="e">
        <f>VLOOKUP(AJ880,'FRC Site Data'!$B$3:$L$42,6,FALSE)</f>
        <v>#N/A</v>
      </c>
      <c r="W888" s="10" t="e">
        <f>VLOOKUP(AJ880,'FRC Site Data'!$B$3:$L$42,8,FALSE)</f>
        <v>#N/A</v>
      </c>
      <c r="X888" s="10" t="e">
        <f>VLOOKUP(AJ880,'FRC Site Data'!$B$3:$L$42,9,FALSE)</f>
        <v>#N/A</v>
      </c>
      <c r="Y888" s="10" t="e">
        <f>VLOOKUP(AJ880,'FRC Site Data'!$B$3:$L$42,10,FALSE)</f>
        <v>#N/A</v>
      </c>
      <c r="Z888" s="10" t="e">
        <f>VLOOKUP(AJ880,'FRC Site Data'!$B$3:$L$42,11,FALSE)</f>
        <v>#N/A</v>
      </c>
      <c r="AA888" s="10" t="e">
        <f>VLOOKUP(AJ880,'CIR Team Info'!$C$5:$E$44,4,FALSE)</f>
        <v>#N/A</v>
      </c>
      <c r="AB888" s="161" t="b">
        <f>ISNUMBER(VLOOKUP(AJ880,Match!$T$5:$T$10,1,FALSE))</f>
        <v>0</v>
      </c>
      <c r="AC888" s="161" t="b">
        <f>IF(AB888=TRUE,(VLOOKUP($AJ880,Match!$T$5:$U$10,2,FALSE)))</f>
        <v>0</v>
      </c>
      <c r="AD888" s="8">
        <v>3</v>
      </c>
      <c r="AE888" s="8">
        <v>2</v>
      </c>
      <c r="AF888" s="8">
        <v>2</v>
      </c>
      <c r="AG888" s="8">
        <v>1</v>
      </c>
      <c r="AH888" s="8" t="str">
        <f t="shared" si="225"/>
        <v/>
      </c>
    </row>
    <row r="889" spans="1:34" x14ac:dyDescent="0.25">
      <c r="A889" s="29">
        <f t="shared" si="224"/>
        <v>0</v>
      </c>
      <c r="B889" s="29">
        <f t="shared" si="211"/>
        <v>0</v>
      </c>
      <c r="C889" s="29">
        <f t="shared" si="212"/>
        <v>0</v>
      </c>
      <c r="D889" s="29">
        <f t="shared" si="213"/>
        <v>0</v>
      </c>
      <c r="E889" s="29">
        <f t="shared" si="210"/>
        <v>0</v>
      </c>
      <c r="F889" s="29">
        <f t="shared" si="214"/>
        <v>0</v>
      </c>
      <c r="G889" s="29" t="str">
        <f t="shared" si="215"/>
        <v>offensive</v>
      </c>
      <c r="H889" s="16">
        <f t="shared" si="216"/>
        <v>0</v>
      </c>
      <c r="I889" s="16">
        <f t="shared" si="217"/>
        <v>0</v>
      </c>
      <c r="J889" s="16">
        <f t="shared" si="218"/>
        <v>0</v>
      </c>
      <c r="K889" s="16">
        <f t="shared" si="219"/>
        <v>0</v>
      </c>
      <c r="L889" s="67">
        <f t="shared" si="220"/>
        <v>0</v>
      </c>
      <c r="M889" s="4">
        <f t="shared" si="221"/>
        <v>0</v>
      </c>
      <c r="N889" s="4">
        <f t="shared" si="222"/>
        <v>0</v>
      </c>
      <c r="O889" s="4">
        <f t="shared" si="223"/>
        <v>0</v>
      </c>
      <c r="P889" s="4" t="e">
        <f>VLOOKUP(AJ881,'CIR Team Info'!$C$5:$E$44,2,FALSE)</f>
        <v>#N/A</v>
      </c>
      <c r="Q889" s="4" t="e">
        <f>VLOOKUP(AJ881,'CIR Team Info'!$C$5:$E$44,3,FALSE)</f>
        <v>#N/A</v>
      </c>
      <c r="R889" s="10" t="e">
        <f>VLOOKUP(AJ881,'FRC Site Data'!$B$3:$L$42,2,FALSE)</f>
        <v>#N/A</v>
      </c>
      <c r="S889" s="10" t="e">
        <f>VLOOKUP(AJ881,'FRC Site Data'!$B$3:$L$42,3,FALSE)</f>
        <v>#N/A</v>
      </c>
      <c r="T889" s="10" t="e">
        <f>VLOOKUP(AJ881,'FRC Site Data'!$B$3:$L$42,4,FALSE)</f>
        <v>#N/A</v>
      </c>
      <c r="U889" s="10" t="e">
        <f>VLOOKUP(AJ881,'FRC Site Data'!$B$3:$L$42,5,FALSE)</f>
        <v>#N/A</v>
      </c>
      <c r="V889" s="10" t="e">
        <f>VLOOKUP(AJ881,'FRC Site Data'!$B$3:$L$42,6,FALSE)</f>
        <v>#N/A</v>
      </c>
      <c r="W889" s="10" t="e">
        <f>VLOOKUP(AJ881,'FRC Site Data'!$B$3:$L$42,8,FALSE)</f>
        <v>#N/A</v>
      </c>
      <c r="X889" s="10" t="e">
        <f>VLOOKUP(AJ881,'FRC Site Data'!$B$3:$L$42,9,FALSE)</f>
        <v>#N/A</v>
      </c>
      <c r="Y889" s="10" t="e">
        <f>VLOOKUP(AJ881,'FRC Site Data'!$B$3:$L$42,10,FALSE)</f>
        <v>#N/A</v>
      </c>
      <c r="Z889" s="10" t="e">
        <f>VLOOKUP(AJ881,'FRC Site Data'!$B$3:$L$42,11,FALSE)</f>
        <v>#N/A</v>
      </c>
      <c r="AA889" s="10" t="e">
        <f>VLOOKUP(AJ881,'CIR Team Info'!$C$5:$E$44,4,FALSE)</f>
        <v>#N/A</v>
      </c>
      <c r="AB889" s="161" t="b">
        <f>ISNUMBER(VLOOKUP(AJ881,Match!$T$5:$T$10,1,FALSE))</f>
        <v>0</v>
      </c>
      <c r="AC889" s="161" t="b">
        <f>IF(AB889=TRUE,(VLOOKUP($AJ881,Match!$T$5:$U$10,2,FALSE)))</f>
        <v>0</v>
      </c>
      <c r="AD889" s="8">
        <v>3</v>
      </c>
      <c r="AE889" s="8">
        <v>2</v>
      </c>
      <c r="AF889" s="8">
        <v>2</v>
      </c>
      <c r="AG889" s="8">
        <v>1</v>
      </c>
      <c r="AH889" s="8" t="str">
        <f t="shared" si="225"/>
        <v/>
      </c>
    </row>
    <row r="890" spans="1:34" x14ac:dyDescent="0.25">
      <c r="A890" s="29">
        <f t="shared" si="224"/>
        <v>0</v>
      </c>
      <c r="B890" s="29">
        <f t="shared" si="211"/>
        <v>0</v>
      </c>
      <c r="C890" s="29">
        <f t="shared" si="212"/>
        <v>0</v>
      </c>
      <c r="D890" s="29">
        <f t="shared" si="213"/>
        <v>0</v>
      </c>
      <c r="E890" s="29">
        <f t="shared" si="210"/>
        <v>0</v>
      </c>
      <c r="F890" s="29">
        <f t="shared" si="214"/>
        <v>0</v>
      </c>
      <c r="G890" s="29" t="str">
        <f t="shared" si="215"/>
        <v>offensive</v>
      </c>
      <c r="H890" s="16">
        <f t="shared" si="216"/>
        <v>0</v>
      </c>
      <c r="I890" s="16">
        <f t="shared" si="217"/>
        <v>0</v>
      </c>
      <c r="J890" s="16">
        <f t="shared" si="218"/>
        <v>0</v>
      </c>
      <c r="K890" s="16">
        <f t="shared" si="219"/>
        <v>0</v>
      </c>
      <c r="L890" s="67">
        <f t="shared" si="220"/>
        <v>0</v>
      </c>
      <c r="M890" s="4">
        <f t="shared" si="221"/>
        <v>0</v>
      </c>
      <c r="N890" s="4">
        <f t="shared" si="222"/>
        <v>0</v>
      </c>
      <c r="O890" s="4">
        <f t="shared" si="223"/>
        <v>0</v>
      </c>
      <c r="P890" s="4" t="e">
        <f>VLOOKUP(AJ882,'CIR Team Info'!$C$5:$E$44,2,FALSE)</f>
        <v>#N/A</v>
      </c>
      <c r="Q890" s="4" t="e">
        <f>VLOOKUP(AJ882,'CIR Team Info'!$C$5:$E$44,3,FALSE)</f>
        <v>#N/A</v>
      </c>
      <c r="R890" s="10" t="e">
        <f>VLOOKUP(AJ882,'FRC Site Data'!$B$3:$L$42,2,FALSE)</f>
        <v>#N/A</v>
      </c>
      <c r="S890" s="10" t="e">
        <f>VLOOKUP(AJ882,'FRC Site Data'!$B$3:$L$42,3,FALSE)</f>
        <v>#N/A</v>
      </c>
      <c r="T890" s="10" t="e">
        <f>VLOOKUP(AJ882,'FRC Site Data'!$B$3:$L$42,4,FALSE)</f>
        <v>#N/A</v>
      </c>
      <c r="U890" s="10" t="e">
        <f>VLOOKUP(AJ882,'FRC Site Data'!$B$3:$L$42,5,FALSE)</f>
        <v>#N/A</v>
      </c>
      <c r="V890" s="10" t="e">
        <f>VLOOKUP(AJ882,'FRC Site Data'!$B$3:$L$42,6,FALSE)</f>
        <v>#N/A</v>
      </c>
      <c r="W890" s="10" t="e">
        <f>VLOOKUP(AJ882,'FRC Site Data'!$B$3:$L$42,8,FALSE)</f>
        <v>#N/A</v>
      </c>
      <c r="X890" s="10" t="e">
        <f>VLOOKUP(AJ882,'FRC Site Data'!$B$3:$L$42,9,FALSE)</f>
        <v>#N/A</v>
      </c>
      <c r="Y890" s="10" t="e">
        <f>VLOOKUP(AJ882,'FRC Site Data'!$B$3:$L$42,10,FALSE)</f>
        <v>#N/A</v>
      </c>
      <c r="Z890" s="10" t="e">
        <f>VLOOKUP(AJ882,'FRC Site Data'!$B$3:$L$42,11,FALSE)</f>
        <v>#N/A</v>
      </c>
      <c r="AA890" s="10" t="e">
        <f>VLOOKUP(AJ882,'CIR Team Info'!$C$5:$E$44,4,FALSE)</f>
        <v>#N/A</v>
      </c>
      <c r="AB890" s="161" t="b">
        <f>ISNUMBER(VLOOKUP(AJ882,Match!$T$5:$T$10,1,FALSE))</f>
        <v>0</v>
      </c>
      <c r="AC890" s="161" t="b">
        <f>IF(AB890=TRUE,(VLOOKUP($AJ882,Match!$T$5:$U$10,2,FALSE)))</f>
        <v>0</v>
      </c>
      <c r="AD890" s="8">
        <v>3</v>
      </c>
      <c r="AE890" s="8">
        <v>2</v>
      </c>
      <c r="AF890" s="8">
        <v>2</v>
      </c>
      <c r="AG890" s="8">
        <v>1</v>
      </c>
      <c r="AH890" s="8" t="str">
        <f t="shared" si="225"/>
        <v/>
      </c>
    </row>
    <row r="891" spans="1:34" x14ac:dyDescent="0.25">
      <c r="A891" s="29">
        <f t="shared" si="224"/>
        <v>0</v>
      </c>
      <c r="B891" s="29">
        <f t="shared" si="211"/>
        <v>0</v>
      </c>
      <c r="C891" s="29">
        <f t="shared" si="212"/>
        <v>0</v>
      </c>
      <c r="D891" s="29">
        <f t="shared" si="213"/>
        <v>0</v>
      </c>
      <c r="E891" s="29">
        <f t="shared" si="210"/>
        <v>0</v>
      </c>
      <c r="F891" s="29">
        <f t="shared" si="214"/>
        <v>0</v>
      </c>
      <c r="G891" s="29" t="str">
        <f t="shared" si="215"/>
        <v>offensive</v>
      </c>
      <c r="H891" s="16">
        <f t="shared" si="216"/>
        <v>0</v>
      </c>
      <c r="I891" s="16">
        <f t="shared" si="217"/>
        <v>0</v>
      </c>
      <c r="J891" s="16">
        <f t="shared" si="218"/>
        <v>0</v>
      </c>
      <c r="K891" s="16">
        <f t="shared" si="219"/>
        <v>0</v>
      </c>
      <c r="L891" s="67">
        <f t="shared" si="220"/>
        <v>0</v>
      </c>
      <c r="M891" s="4">
        <f t="shared" si="221"/>
        <v>0</v>
      </c>
      <c r="N891" s="4">
        <f t="shared" si="222"/>
        <v>0</v>
      </c>
      <c r="O891" s="4">
        <f t="shared" si="223"/>
        <v>0</v>
      </c>
      <c r="P891" s="4" t="e">
        <f>VLOOKUP(AJ883,'CIR Team Info'!$C$5:$E$44,2,FALSE)</f>
        <v>#N/A</v>
      </c>
      <c r="Q891" s="4" t="e">
        <f>VLOOKUP(AJ883,'CIR Team Info'!$C$5:$E$44,3,FALSE)</f>
        <v>#N/A</v>
      </c>
      <c r="R891" s="10" t="e">
        <f>VLOOKUP(AJ883,'FRC Site Data'!$B$3:$L$42,2,FALSE)</f>
        <v>#N/A</v>
      </c>
      <c r="S891" s="10" t="e">
        <f>VLOOKUP(AJ883,'FRC Site Data'!$B$3:$L$42,3,FALSE)</f>
        <v>#N/A</v>
      </c>
      <c r="T891" s="10" t="e">
        <f>VLOOKUP(AJ883,'FRC Site Data'!$B$3:$L$42,4,FALSE)</f>
        <v>#N/A</v>
      </c>
      <c r="U891" s="10" t="e">
        <f>VLOOKUP(AJ883,'FRC Site Data'!$B$3:$L$42,5,FALSE)</f>
        <v>#N/A</v>
      </c>
      <c r="V891" s="10" t="e">
        <f>VLOOKUP(AJ883,'FRC Site Data'!$B$3:$L$42,6,FALSE)</f>
        <v>#N/A</v>
      </c>
      <c r="W891" s="10" t="e">
        <f>VLOOKUP(AJ883,'FRC Site Data'!$B$3:$L$42,8,FALSE)</f>
        <v>#N/A</v>
      </c>
      <c r="X891" s="10" t="e">
        <f>VLOOKUP(AJ883,'FRC Site Data'!$B$3:$L$42,9,FALSE)</f>
        <v>#N/A</v>
      </c>
      <c r="Y891" s="10" t="e">
        <f>VLOOKUP(AJ883,'FRC Site Data'!$B$3:$L$42,10,FALSE)</f>
        <v>#N/A</v>
      </c>
      <c r="Z891" s="10" t="e">
        <f>VLOOKUP(AJ883,'FRC Site Data'!$B$3:$L$42,11,FALSE)</f>
        <v>#N/A</v>
      </c>
      <c r="AA891" s="10" t="e">
        <f>VLOOKUP(AJ883,'CIR Team Info'!$C$5:$E$44,4,FALSE)</f>
        <v>#N/A</v>
      </c>
      <c r="AB891" s="161" t="b">
        <f>ISNUMBER(VLOOKUP(AJ883,Match!$T$5:$T$10,1,FALSE))</f>
        <v>0</v>
      </c>
      <c r="AC891" s="161" t="b">
        <f>IF(AB891=TRUE,(VLOOKUP($AJ883,Match!$T$5:$U$10,2,FALSE)))</f>
        <v>0</v>
      </c>
      <c r="AD891" s="8">
        <v>3</v>
      </c>
      <c r="AE891" s="8">
        <v>2</v>
      </c>
      <c r="AF891" s="8">
        <v>2</v>
      </c>
      <c r="AG891" s="8">
        <v>1</v>
      </c>
      <c r="AH891" s="8" t="str">
        <f t="shared" si="225"/>
        <v/>
      </c>
    </row>
    <row r="892" spans="1:34" x14ac:dyDescent="0.25">
      <c r="A892" s="29">
        <f t="shared" si="224"/>
        <v>0</v>
      </c>
      <c r="B892" s="29">
        <f t="shared" si="211"/>
        <v>0</v>
      </c>
      <c r="C892" s="29">
        <f t="shared" si="212"/>
        <v>0</v>
      </c>
      <c r="D892" s="29">
        <f t="shared" si="213"/>
        <v>0</v>
      </c>
      <c r="E892" s="29">
        <f t="shared" si="210"/>
        <v>0</v>
      </c>
      <c r="F892" s="29">
        <f t="shared" si="214"/>
        <v>0</v>
      </c>
      <c r="G892" s="29" t="str">
        <f t="shared" si="215"/>
        <v>offensive</v>
      </c>
      <c r="H892" s="16">
        <f t="shared" si="216"/>
        <v>0</v>
      </c>
      <c r="I892" s="16">
        <f t="shared" si="217"/>
        <v>0</v>
      </c>
      <c r="J892" s="16">
        <f t="shared" si="218"/>
        <v>0</v>
      </c>
      <c r="K892" s="16">
        <f t="shared" si="219"/>
        <v>0</v>
      </c>
      <c r="L892" s="67">
        <f t="shared" si="220"/>
        <v>0</v>
      </c>
      <c r="M892" s="4">
        <f t="shared" si="221"/>
        <v>0</v>
      </c>
      <c r="N892" s="4">
        <f t="shared" si="222"/>
        <v>0</v>
      </c>
      <c r="O892" s="4">
        <f t="shared" si="223"/>
        <v>0</v>
      </c>
      <c r="P892" s="4" t="e">
        <f>VLOOKUP(AJ884,'CIR Team Info'!$C$5:$E$44,2,FALSE)</f>
        <v>#N/A</v>
      </c>
      <c r="Q892" s="4" t="e">
        <f>VLOOKUP(AJ884,'CIR Team Info'!$C$5:$E$44,3,FALSE)</f>
        <v>#N/A</v>
      </c>
      <c r="R892" s="10" t="e">
        <f>VLOOKUP(AJ884,'FRC Site Data'!$B$3:$L$42,2,FALSE)</f>
        <v>#N/A</v>
      </c>
      <c r="S892" s="10" t="e">
        <f>VLOOKUP(AJ884,'FRC Site Data'!$B$3:$L$42,3,FALSE)</f>
        <v>#N/A</v>
      </c>
      <c r="T892" s="10" t="e">
        <f>VLOOKUP(AJ884,'FRC Site Data'!$B$3:$L$42,4,FALSE)</f>
        <v>#N/A</v>
      </c>
      <c r="U892" s="10" t="e">
        <f>VLOOKUP(AJ884,'FRC Site Data'!$B$3:$L$42,5,FALSE)</f>
        <v>#N/A</v>
      </c>
      <c r="V892" s="10" t="e">
        <f>VLOOKUP(AJ884,'FRC Site Data'!$B$3:$L$42,6,FALSE)</f>
        <v>#N/A</v>
      </c>
      <c r="W892" s="10" t="e">
        <f>VLOOKUP(AJ884,'FRC Site Data'!$B$3:$L$42,8,FALSE)</f>
        <v>#N/A</v>
      </c>
      <c r="X892" s="10" t="e">
        <f>VLOOKUP(AJ884,'FRC Site Data'!$B$3:$L$42,9,FALSE)</f>
        <v>#N/A</v>
      </c>
      <c r="Y892" s="10" t="e">
        <f>VLOOKUP(AJ884,'FRC Site Data'!$B$3:$L$42,10,FALSE)</f>
        <v>#N/A</v>
      </c>
      <c r="Z892" s="10" t="e">
        <f>VLOOKUP(AJ884,'FRC Site Data'!$B$3:$L$42,11,FALSE)</f>
        <v>#N/A</v>
      </c>
      <c r="AA892" s="10" t="e">
        <f>VLOOKUP(AJ884,'CIR Team Info'!$C$5:$E$44,4,FALSE)</f>
        <v>#N/A</v>
      </c>
      <c r="AB892" s="161" t="b">
        <f>ISNUMBER(VLOOKUP(AJ884,Match!$T$5:$T$10,1,FALSE))</f>
        <v>0</v>
      </c>
      <c r="AC892" s="161" t="b">
        <f>IF(AB892=TRUE,(VLOOKUP($AJ884,Match!$T$5:$U$10,2,FALSE)))</f>
        <v>0</v>
      </c>
      <c r="AD892" s="8">
        <v>3</v>
      </c>
      <c r="AE892" s="8">
        <v>2</v>
      </c>
      <c r="AF892" s="8">
        <v>2</v>
      </c>
      <c r="AG892" s="8">
        <v>1</v>
      </c>
      <c r="AH892" s="8" t="str">
        <f t="shared" si="225"/>
        <v/>
      </c>
    </row>
    <row r="893" spans="1:34" x14ac:dyDescent="0.25">
      <c r="A893" s="29">
        <f t="shared" si="224"/>
        <v>0</v>
      </c>
      <c r="B893" s="29">
        <f t="shared" si="211"/>
        <v>0</v>
      </c>
      <c r="C893" s="29">
        <f t="shared" si="212"/>
        <v>0</v>
      </c>
      <c r="D893" s="29">
        <f t="shared" si="213"/>
        <v>0</v>
      </c>
      <c r="E893" s="29">
        <f t="shared" si="210"/>
        <v>0</v>
      </c>
      <c r="F893" s="29">
        <f t="shared" si="214"/>
        <v>0</v>
      </c>
      <c r="G893" s="29" t="str">
        <f t="shared" si="215"/>
        <v>offensive</v>
      </c>
      <c r="H893" s="16">
        <f t="shared" si="216"/>
        <v>0</v>
      </c>
      <c r="I893" s="16">
        <f t="shared" si="217"/>
        <v>0</v>
      </c>
      <c r="J893" s="16">
        <f t="shared" si="218"/>
        <v>0</v>
      </c>
      <c r="K893" s="16">
        <f t="shared" si="219"/>
        <v>0</v>
      </c>
      <c r="L893" s="67">
        <f t="shared" si="220"/>
        <v>0</v>
      </c>
      <c r="M893" s="4">
        <f t="shared" si="221"/>
        <v>0</v>
      </c>
      <c r="N893" s="4">
        <f t="shared" si="222"/>
        <v>0</v>
      </c>
      <c r="O893" s="4">
        <f t="shared" si="223"/>
        <v>0</v>
      </c>
      <c r="P893" s="4" t="e">
        <f>VLOOKUP(AJ885,'CIR Team Info'!$C$5:$E$44,2,FALSE)</f>
        <v>#N/A</v>
      </c>
      <c r="Q893" s="4" t="e">
        <f>VLOOKUP(AJ885,'CIR Team Info'!$C$5:$E$44,3,FALSE)</f>
        <v>#N/A</v>
      </c>
      <c r="R893" s="10" t="e">
        <f>VLOOKUP(AJ885,'FRC Site Data'!$B$3:$L$42,2,FALSE)</f>
        <v>#N/A</v>
      </c>
      <c r="S893" s="10" t="e">
        <f>VLOOKUP(AJ885,'FRC Site Data'!$B$3:$L$42,3,FALSE)</f>
        <v>#N/A</v>
      </c>
      <c r="T893" s="10" t="e">
        <f>VLOOKUP(AJ885,'FRC Site Data'!$B$3:$L$42,4,FALSE)</f>
        <v>#N/A</v>
      </c>
      <c r="U893" s="10" t="e">
        <f>VLOOKUP(AJ885,'FRC Site Data'!$B$3:$L$42,5,FALSE)</f>
        <v>#N/A</v>
      </c>
      <c r="V893" s="10" t="e">
        <f>VLOOKUP(AJ885,'FRC Site Data'!$B$3:$L$42,6,FALSE)</f>
        <v>#N/A</v>
      </c>
      <c r="W893" s="10" t="e">
        <f>VLOOKUP(AJ885,'FRC Site Data'!$B$3:$L$42,8,FALSE)</f>
        <v>#N/A</v>
      </c>
      <c r="X893" s="10" t="e">
        <f>VLOOKUP(AJ885,'FRC Site Data'!$B$3:$L$42,9,FALSE)</f>
        <v>#N/A</v>
      </c>
      <c r="Y893" s="10" t="e">
        <f>VLOOKUP(AJ885,'FRC Site Data'!$B$3:$L$42,10,FALSE)</f>
        <v>#N/A</v>
      </c>
      <c r="Z893" s="10" t="e">
        <f>VLOOKUP(AJ885,'FRC Site Data'!$B$3:$L$42,11,FALSE)</f>
        <v>#N/A</v>
      </c>
      <c r="AA893" s="10" t="e">
        <f>VLOOKUP(AJ885,'CIR Team Info'!$C$5:$E$44,4,FALSE)</f>
        <v>#N/A</v>
      </c>
      <c r="AB893" s="161" t="b">
        <f>ISNUMBER(VLOOKUP(AJ885,Match!$T$5:$T$10,1,FALSE))</f>
        <v>0</v>
      </c>
      <c r="AC893" s="161" t="b">
        <f>IF(AB893=TRUE,(VLOOKUP($AJ885,Match!$T$5:$U$10,2,FALSE)))</f>
        <v>0</v>
      </c>
      <c r="AD893" s="8">
        <v>3</v>
      </c>
      <c r="AE893" s="8">
        <v>2</v>
      </c>
      <c r="AF893" s="8">
        <v>2</v>
      </c>
      <c r="AG893" s="8">
        <v>1</v>
      </c>
      <c r="AH893" s="8" t="str">
        <f t="shared" si="225"/>
        <v/>
      </c>
    </row>
    <row r="894" spans="1:34" x14ac:dyDescent="0.25">
      <c r="A894" s="29">
        <f t="shared" si="224"/>
        <v>0</v>
      </c>
      <c r="B894" s="29">
        <f t="shared" si="211"/>
        <v>0</v>
      </c>
      <c r="C894" s="29">
        <f t="shared" si="212"/>
        <v>0</v>
      </c>
      <c r="D894" s="29">
        <f t="shared" si="213"/>
        <v>0</v>
      </c>
      <c r="E894" s="29">
        <f t="shared" si="210"/>
        <v>0</v>
      </c>
      <c r="F894" s="29">
        <f t="shared" si="214"/>
        <v>0</v>
      </c>
      <c r="G894" s="29" t="str">
        <f t="shared" si="215"/>
        <v>offensive</v>
      </c>
      <c r="H894" s="16">
        <f t="shared" si="216"/>
        <v>0</v>
      </c>
      <c r="I894" s="16">
        <f t="shared" si="217"/>
        <v>0</v>
      </c>
      <c r="J894" s="16">
        <f t="shared" si="218"/>
        <v>0</v>
      </c>
      <c r="K894" s="16">
        <f t="shared" si="219"/>
        <v>0</v>
      </c>
      <c r="L894" s="67">
        <f t="shared" si="220"/>
        <v>0</v>
      </c>
      <c r="M894" s="4">
        <f t="shared" si="221"/>
        <v>0</v>
      </c>
      <c r="N894" s="4">
        <f t="shared" si="222"/>
        <v>0</v>
      </c>
      <c r="O894" s="4">
        <f t="shared" si="223"/>
        <v>0</v>
      </c>
      <c r="P894" s="4" t="e">
        <f>VLOOKUP(AJ886,'CIR Team Info'!$C$5:$E$44,2,FALSE)</f>
        <v>#N/A</v>
      </c>
      <c r="Q894" s="4" t="e">
        <f>VLOOKUP(AJ886,'CIR Team Info'!$C$5:$E$44,3,FALSE)</f>
        <v>#N/A</v>
      </c>
      <c r="R894" s="10" t="e">
        <f>VLOOKUP(AJ886,'FRC Site Data'!$B$3:$L$42,2,FALSE)</f>
        <v>#N/A</v>
      </c>
      <c r="S894" s="10" t="e">
        <f>VLOOKUP(AJ886,'FRC Site Data'!$B$3:$L$42,3,FALSE)</f>
        <v>#N/A</v>
      </c>
      <c r="T894" s="10" t="e">
        <f>VLOOKUP(AJ886,'FRC Site Data'!$B$3:$L$42,4,FALSE)</f>
        <v>#N/A</v>
      </c>
      <c r="U894" s="10" t="e">
        <f>VLOOKUP(AJ886,'FRC Site Data'!$B$3:$L$42,5,FALSE)</f>
        <v>#N/A</v>
      </c>
      <c r="V894" s="10" t="e">
        <f>VLOOKUP(AJ886,'FRC Site Data'!$B$3:$L$42,6,FALSE)</f>
        <v>#N/A</v>
      </c>
      <c r="W894" s="10" t="e">
        <f>VLOOKUP(AJ886,'FRC Site Data'!$B$3:$L$42,8,FALSE)</f>
        <v>#N/A</v>
      </c>
      <c r="X894" s="10" t="e">
        <f>VLOOKUP(AJ886,'FRC Site Data'!$B$3:$L$42,9,FALSE)</f>
        <v>#N/A</v>
      </c>
      <c r="Y894" s="10" t="e">
        <f>VLOOKUP(AJ886,'FRC Site Data'!$B$3:$L$42,10,FALSE)</f>
        <v>#N/A</v>
      </c>
      <c r="Z894" s="10" t="e">
        <f>VLOOKUP(AJ886,'FRC Site Data'!$B$3:$L$42,11,FALSE)</f>
        <v>#N/A</v>
      </c>
      <c r="AA894" s="10" t="e">
        <f>VLOOKUP(AJ886,'CIR Team Info'!$C$5:$E$44,4,FALSE)</f>
        <v>#N/A</v>
      </c>
      <c r="AB894" s="161" t="b">
        <f>ISNUMBER(VLOOKUP(AJ886,Match!$T$5:$T$10,1,FALSE))</f>
        <v>0</v>
      </c>
      <c r="AC894" s="161" t="b">
        <f>IF(AB894=TRUE,(VLOOKUP($AJ886,Match!$T$5:$U$10,2,FALSE)))</f>
        <v>0</v>
      </c>
      <c r="AD894" s="8">
        <v>3</v>
      </c>
      <c r="AE894" s="8">
        <v>2</v>
      </c>
      <c r="AF894" s="8">
        <v>2</v>
      </c>
      <c r="AG894" s="8">
        <v>1</v>
      </c>
      <c r="AH894" s="8" t="str">
        <f t="shared" si="225"/>
        <v/>
      </c>
    </row>
    <row r="895" spans="1:34" x14ac:dyDescent="0.25">
      <c r="A895" s="29">
        <f t="shared" si="224"/>
        <v>0</v>
      </c>
      <c r="B895" s="29">
        <f t="shared" si="211"/>
        <v>0</v>
      </c>
      <c r="C895" s="29">
        <f t="shared" si="212"/>
        <v>0</v>
      </c>
      <c r="D895" s="29">
        <f t="shared" si="213"/>
        <v>0</v>
      </c>
      <c r="E895" s="29">
        <f t="shared" si="210"/>
        <v>0</v>
      </c>
      <c r="F895" s="29">
        <f t="shared" si="214"/>
        <v>0</v>
      </c>
      <c r="G895" s="29" t="str">
        <f t="shared" si="215"/>
        <v>offensive</v>
      </c>
      <c r="H895" s="16">
        <f t="shared" si="216"/>
        <v>0</v>
      </c>
      <c r="I895" s="16">
        <f t="shared" si="217"/>
        <v>0</v>
      </c>
      <c r="J895" s="16">
        <f t="shared" si="218"/>
        <v>0</v>
      </c>
      <c r="K895" s="16">
        <f t="shared" si="219"/>
        <v>0</v>
      </c>
      <c r="L895" s="67">
        <f t="shared" si="220"/>
        <v>0</v>
      </c>
      <c r="M895" s="4">
        <f t="shared" si="221"/>
        <v>0</v>
      </c>
      <c r="N895" s="4">
        <f t="shared" si="222"/>
        <v>0</v>
      </c>
      <c r="O895" s="4">
        <f t="shared" si="223"/>
        <v>0</v>
      </c>
      <c r="P895" s="4" t="e">
        <f>VLOOKUP(AJ887,'CIR Team Info'!$C$5:$E$44,2,FALSE)</f>
        <v>#N/A</v>
      </c>
      <c r="Q895" s="4" t="e">
        <f>VLOOKUP(AJ887,'CIR Team Info'!$C$5:$E$44,3,FALSE)</f>
        <v>#N/A</v>
      </c>
      <c r="R895" s="10" t="e">
        <f>VLOOKUP(AJ887,'FRC Site Data'!$B$3:$L$42,2,FALSE)</f>
        <v>#N/A</v>
      </c>
      <c r="S895" s="10" t="e">
        <f>VLOOKUP(AJ887,'FRC Site Data'!$B$3:$L$42,3,FALSE)</f>
        <v>#N/A</v>
      </c>
      <c r="T895" s="10" t="e">
        <f>VLOOKUP(AJ887,'FRC Site Data'!$B$3:$L$42,4,FALSE)</f>
        <v>#N/A</v>
      </c>
      <c r="U895" s="10" t="e">
        <f>VLOOKUP(AJ887,'FRC Site Data'!$B$3:$L$42,5,FALSE)</f>
        <v>#N/A</v>
      </c>
      <c r="V895" s="10" t="e">
        <f>VLOOKUP(AJ887,'FRC Site Data'!$B$3:$L$42,6,FALSE)</f>
        <v>#N/A</v>
      </c>
      <c r="W895" s="10" t="e">
        <f>VLOOKUP(AJ887,'FRC Site Data'!$B$3:$L$42,8,FALSE)</f>
        <v>#N/A</v>
      </c>
      <c r="X895" s="10" t="e">
        <f>VLOOKUP(AJ887,'FRC Site Data'!$B$3:$L$42,9,FALSE)</f>
        <v>#N/A</v>
      </c>
      <c r="Y895" s="10" t="e">
        <f>VLOOKUP(AJ887,'FRC Site Data'!$B$3:$L$42,10,FALSE)</f>
        <v>#N/A</v>
      </c>
      <c r="Z895" s="10" t="e">
        <f>VLOOKUP(AJ887,'FRC Site Data'!$B$3:$L$42,11,FALSE)</f>
        <v>#N/A</v>
      </c>
      <c r="AA895" s="10" t="e">
        <f>VLOOKUP(AJ887,'CIR Team Info'!$C$5:$E$44,4,FALSE)</f>
        <v>#N/A</v>
      </c>
      <c r="AB895" s="161" t="b">
        <f>ISNUMBER(VLOOKUP(AJ887,Match!$T$5:$T$10,1,FALSE))</f>
        <v>0</v>
      </c>
      <c r="AC895" s="161" t="b">
        <f>IF(AB895=TRUE,(VLOOKUP($AJ887,Match!$T$5:$U$10,2,FALSE)))</f>
        <v>0</v>
      </c>
      <c r="AD895" s="8">
        <v>3</v>
      </c>
      <c r="AE895" s="8">
        <v>2</v>
      </c>
      <c r="AF895" s="8">
        <v>2</v>
      </c>
      <c r="AG895" s="8">
        <v>1</v>
      </c>
      <c r="AH895" s="8" t="str">
        <f t="shared" si="225"/>
        <v/>
      </c>
    </row>
    <row r="896" spans="1:34" x14ac:dyDescent="0.25">
      <c r="A896" s="29">
        <f t="shared" si="224"/>
        <v>0</v>
      </c>
      <c r="B896" s="29">
        <f t="shared" si="211"/>
        <v>0</v>
      </c>
      <c r="C896" s="29">
        <f t="shared" si="212"/>
        <v>0</v>
      </c>
      <c r="D896" s="29">
        <f t="shared" si="213"/>
        <v>0</v>
      </c>
      <c r="E896" s="29">
        <f t="shared" si="210"/>
        <v>0</v>
      </c>
      <c r="F896" s="29">
        <f t="shared" si="214"/>
        <v>0</v>
      </c>
      <c r="G896" s="29" t="str">
        <f t="shared" si="215"/>
        <v>offensive</v>
      </c>
      <c r="H896" s="16">
        <f t="shared" si="216"/>
        <v>0</v>
      </c>
      <c r="I896" s="16">
        <f t="shared" si="217"/>
        <v>0</v>
      </c>
      <c r="J896" s="16">
        <f t="shared" si="218"/>
        <v>0</v>
      </c>
      <c r="K896" s="16">
        <f t="shared" si="219"/>
        <v>0</v>
      </c>
      <c r="L896" s="67">
        <f t="shared" si="220"/>
        <v>0</v>
      </c>
      <c r="M896" s="4">
        <f t="shared" si="221"/>
        <v>0</v>
      </c>
      <c r="N896" s="4">
        <f t="shared" si="222"/>
        <v>0</v>
      </c>
      <c r="O896" s="4">
        <f t="shared" si="223"/>
        <v>0</v>
      </c>
      <c r="P896" s="4" t="e">
        <f>VLOOKUP(AJ888,'CIR Team Info'!$C$5:$E$44,2,FALSE)</f>
        <v>#N/A</v>
      </c>
      <c r="Q896" s="4" t="e">
        <f>VLOOKUP(AJ888,'CIR Team Info'!$C$5:$E$44,3,FALSE)</f>
        <v>#N/A</v>
      </c>
      <c r="R896" s="10" t="e">
        <f>VLOOKUP(AJ888,'FRC Site Data'!$B$3:$L$42,2,FALSE)</f>
        <v>#N/A</v>
      </c>
      <c r="S896" s="10" t="e">
        <f>VLOOKUP(AJ888,'FRC Site Data'!$B$3:$L$42,3,FALSE)</f>
        <v>#N/A</v>
      </c>
      <c r="T896" s="10" t="e">
        <f>VLOOKUP(AJ888,'FRC Site Data'!$B$3:$L$42,4,FALSE)</f>
        <v>#N/A</v>
      </c>
      <c r="U896" s="10" t="e">
        <f>VLOOKUP(AJ888,'FRC Site Data'!$B$3:$L$42,5,FALSE)</f>
        <v>#N/A</v>
      </c>
      <c r="V896" s="10" t="e">
        <f>VLOOKUP(AJ888,'FRC Site Data'!$B$3:$L$42,6,FALSE)</f>
        <v>#N/A</v>
      </c>
      <c r="W896" s="10" t="e">
        <f>VLOOKUP(AJ888,'FRC Site Data'!$B$3:$L$42,8,FALSE)</f>
        <v>#N/A</v>
      </c>
      <c r="X896" s="10" t="e">
        <f>VLOOKUP(AJ888,'FRC Site Data'!$B$3:$L$42,9,FALSE)</f>
        <v>#N/A</v>
      </c>
      <c r="Y896" s="10" t="e">
        <f>VLOOKUP(AJ888,'FRC Site Data'!$B$3:$L$42,10,FALSE)</f>
        <v>#N/A</v>
      </c>
      <c r="Z896" s="10" t="e">
        <f>VLOOKUP(AJ888,'FRC Site Data'!$B$3:$L$42,11,FALSE)</f>
        <v>#N/A</v>
      </c>
      <c r="AA896" s="10" t="e">
        <f>VLOOKUP(AJ888,'CIR Team Info'!$C$5:$E$44,4,FALSE)</f>
        <v>#N/A</v>
      </c>
      <c r="AB896" s="161" t="b">
        <f>ISNUMBER(VLOOKUP(AJ888,Match!$T$5:$T$10,1,FALSE))</f>
        <v>0</v>
      </c>
      <c r="AC896" s="161" t="b">
        <f>IF(AB896=TRUE,(VLOOKUP($AJ888,Match!$T$5:$U$10,2,FALSE)))</f>
        <v>0</v>
      </c>
      <c r="AD896" s="8">
        <v>3</v>
      </c>
      <c r="AE896" s="8">
        <v>2</v>
      </c>
      <c r="AF896" s="8">
        <v>2</v>
      </c>
      <c r="AG896" s="8">
        <v>1</v>
      </c>
      <c r="AH896" s="8" t="str">
        <f t="shared" si="225"/>
        <v/>
      </c>
    </row>
    <row r="897" spans="1:34" x14ac:dyDescent="0.25">
      <c r="A897" s="29">
        <f t="shared" si="224"/>
        <v>0</v>
      </c>
      <c r="B897" s="29">
        <f t="shared" si="211"/>
        <v>0</v>
      </c>
      <c r="C897" s="29">
        <f t="shared" si="212"/>
        <v>0</v>
      </c>
      <c r="D897" s="29">
        <f t="shared" si="213"/>
        <v>0</v>
      </c>
      <c r="E897" s="29">
        <f t="shared" ref="E897:E948" si="226">K897*O897</f>
        <v>0</v>
      </c>
      <c r="F897" s="29">
        <f t="shared" si="214"/>
        <v>0</v>
      </c>
      <c r="G897" s="29" t="str">
        <f t="shared" si="215"/>
        <v>offensive</v>
      </c>
      <c r="H897" s="16">
        <f t="shared" si="216"/>
        <v>0</v>
      </c>
      <c r="I897" s="16">
        <f t="shared" si="217"/>
        <v>0</v>
      </c>
      <c r="J897" s="16">
        <f t="shared" si="218"/>
        <v>0</v>
      </c>
      <c r="K897" s="16">
        <f t="shared" si="219"/>
        <v>0</v>
      </c>
      <c r="L897" s="67">
        <f t="shared" si="220"/>
        <v>0</v>
      </c>
      <c r="M897" s="4">
        <f t="shared" si="221"/>
        <v>0</v>
      </c>
      <c r="N897" s="4">
        <f t="shared" si="222"/>
        <v>0</v>
      </c>
      <c r="O897" s="4">
        <f t="shared" si="223"/>
        <v>0</v>
      </c>
      <c r="P897" s="4" t="e">
        <f>VLOOKUP(AJ889,'CIR Team Info'!$C$5:$E$44,2,FALSE)</f>
        <v>#N/A</v>
      </c>
      <c r="Q897" s="4" t="e">
        <f>VLOOKUP(AJ889,'CIR Team Info'!$C$5:$E$44,3,FALSE)</f>
        <v>#N/A</v>
      </c>
      <c r="R897" s="10" t="e">
        <f>VLOOKUP(AJ889,'FRC Site Data'!$B$3:$L$42,2,FALSE)</f>
        <v>#N/A</v>
      </c>
      <c r="S897" s="10" t="e">
        <f>VLOOKUP(AJ889,'FRC Site Data'!$B$3:$L$42,3,FALSE)</f>
        <v>#N/A</v>
      </c>
      <c r="T897" s="10" t="e">
        <f>VLOOKUP(AJ889,'FRC Site Data'!$B$3:$L$42,4,FALSE)</f>
        <v>#N/A</v>
      </c>
      <c r="U897" s="10" t="e">
        <f>VLOOKUP(AJ889,'FRC Site Data'!$B$3:$L$42,5,FALSE)</f>
        <v>#N/A</v>
      </c>
      <c r="V897" s="10" t="e">
        <f>VLOOKUP(AJ889,'FRC Site Data'!$B$3:$L$42,6,FALSE)</f>
        <v>#N/A</v>
      </c>
      <c r="W897" s="10" t="e">
        <f>VLOOKUP(AJ889,'FRC Site Data'!$B$3:$L$42,8,FALSE)</f>
        <v>#N/A</v>
      </c>
      <c r="X897" s="10" t="e">
        <f>VLOOKUP(AJ889,'FRC Site Data'!$B$3:$L$42,9,FALSE)</f>
        <v>#N/A</v>
      </c>
      <c r="Y897" s="10" t="e">
        <f>VLOOKUP(AJ889,'FRC Site Data'!$B$3:$L$42,10,FALSE)</f>
        <v>#N/A</v>
      </c>
      <c r="Z897" s="10" t="e">
        <f>VLOOKUP(AJ889,'FRC Site Data'!$B$3:$L$42,11,FALSE)</f>
        <v>#N/A</v>
      </c>
      <c r="AA897" s="10" t="e">
        <f>VLOOKUP(AJ889,'CIR Team Info'!$C$5:$E$44,4,FALSE)</f>
        <v>#N/A</v>
      </c>
      <c r="AB897" s="161" t="b">
        <f>ISNUMBER(VLOOKUP(AJ889,Match!$T$5:$T$10,1,FALSE))</f>
        <v>0</v>
      </c>
      <c r="AC897" s="161" t="b">
        <f>IF(AB897=TRUE,(VLOOKUP($AJ889,Match!$T$5:$U$10,2,FALSE)))</f>
        <v>0</v>
      </c>
      <c r="AD897" s="8">
        <v>3</v>
      </c>
      <c r="AE897" s="8">
        <v>2</v>
      </c>
      <c r="AF897" s="8">
        <v>2</v>
      </c>
      <c r="AG897" s="8">
        <v>1</v>
      </c>
      <c r="AH897" s="8" t="str">
        <f t="shared" si="225"/>
        <v/>
      </c>
    </row>
    <row r="898" spans="1:34" x14ac:dyDescent="0.25">
      <c r="A898" s="29">
        <f t="shared" si="224"/>
        <v>0</v>
      </c>
      <c r="B898" s="29">
        <f t="shared" si="211"/>
        <v>0</v>
      </c>
      <c r="C898" s="29">
        <f t="shared" si="212"/>
        <v>0</v>
      </c>
      <c r="D898" s="29">
        <f t="shared" si="213"/>
        <v>0</v>
      </c>
      <c r="E898" s="29">
        <f t="shared" si="226"/>
        <v>0</v>
      </c>
      <c r="F898" s="29">
        <f t="shared" si="214"/>
        <v>0</v>
      </c>
      <c r="G898" s="29" t="str">
        <f t="shared" si="215"/>
        <v>offensive</v>
      </c>
      <c r="H898" s="16">
        <f t="shared" si="216"/>
        <v>0</v>
      </c>
      <c r="I898" s="16">
        <f t="shared" si="217"/>
        <v>0</v>
      </c>
      <c r="J898" s="16">
        <f t="shared" si="218"/>
        <v>0</v>
      </c>
      <c r="K898" s="16">
        <f t="shared" si="219"/>
        <v>0</v>
      </c>
      <c r="L898" s="67">
        <f t="shared" si="220"/>
        <v>0</v>
      </c>
      <c r="M898" s="4">
        <f t="shared" si="221"/>
        <v>0</v>
      </c>
      <c r="N898" s="4">
        <f t="shared" si="222"/>
        <v>0</v>
      </c>
      <c r="O898" s="4">
        <f t="shared" si="223"/>
        <v>0</v>
      </c>
      <c r="P898" s="4" t="e">
        <f>VLOOKUP(AJ890,'CIR Team Info'!$C$5:$E$44,2,FALSE)</f>
        <v>#N/A</v>
      </c>
      <c r="Q898" s="4" t="e">
        <f>VLOOKUP(AJ890,'CIR Team Info'!$C$5:$E$44,3,FALSE)</f>
        <v>#N/A</v>
      </c>
      <c r="R898" s="10" t="e">
        <f>VLOOKUP(AJ890,'FRC Site Data'!$B$3:$L$42,2,FALSE)</f>
        <v>#N/A</v>
      </c>
      <c r="S898" s="10" t="e">
        <f>VLOOKUP(AJ890,'FRC Site Data'!$B$3:$L$42,3,FALSE)</f>
        <v>#N/A</v>
      </c>
      <c r="T898" s="10" t="e">
        <f>VLOOKUP(AJ890,'FRC Site Data'!$B$3:$L$42,4,FALSE)</f>
        <v>#N/A</v>
      </c>
      <c r="U898" s="10" t="e">
        <f>VLOOKUP(AJ890,'FRC Site Data'!$B$3:$L$42,5,FALSE)</f>
        <v>#N/A</v>
      </c>
      <c r="V898" s="10" t="e">
        <f>VLOOKUP(AJ890,'FRC Site Data'!$B$3:$L$42,6,FALSE)</f>
        <v>#N/A</v>
      </c>
      <c r="W898" s="10" t="e">
        <f>VLOOKUP(AJ890,'FRC Site Data'!$B$3:$L$42,8,FALSE)</f>
        <v>#N/A</v>
      </c>
      <c r="X898" s="10" t="e">
        <f>VLOOKUP(AJ890,'FRC Site Data'!$B$3:$L$42,9,FALSE)</f>
        <v>#N/A</v>
      </c>
      <c r="Y898" s="10" t="e">
        <f>VLOOKUP(AJ890,'FRC Site Data'!$B$3:$L$42,10,FALSE)</f>
        <v>#N/A</v>
      </c>
      <c r="Z898" s="10" t="e">
        <f>VLOOKUP(AJ890,'FRC Site Data'!$B$3:$L$42,11,FALSE)</f>
        <v>#N/A</v>
      </c>
      <c r="AA898" s="10" t="e">
        <f>VLOOKUP(AJ890,'CIR Team Info'!$C$5:$E$44,4,FALSE)</f>
        <v>#N/A</v>
      </c>
      <c r="AB898" s="161" t="b">
        <f>ISNUMBER(VLOOKUP(AJ890,Match!$T$5:$T$10,1,FALSE))</f>
        <v>0</v>
      </c>
      <c r="AC898" s="161" t="b">
        <f>IF(AB898=TRUE,(VLOOKUP($AJ890,Match!$T$5:$U$10,2,FALSE)))</f>
        <v>0</v>
      </c>
      <c r="AD898" s="8">
        <v>3</v>
      </c>
      <c r="AE898" s="8">
        <v>2</v>
      </c>
      <c r="AF898" s="8">
        <v>2</v>
      </c>
      <c r="AG898" s="8">
        <v>1</v>
      </c>
      <c r="AH898" s="8" t="str">
        <f t="shared" si="225"/>
        <v/>
      </c>
    </row>
    <row r="899" spans="1:34" x14ac:dyDescent="0.25">
      <c r="A899" s="29">
        <f t="shared" si="224"/>
        <v>0</v>
      </c>
      <c r="B899" s="29">
        <f t="shared" si="211"/>
        <v>0</v>
      </c>
      <c r="C899" s="29">
        <f t="shared" si="212"/>
        <v>0</v>
      </c>
      <c r="D899" s="29">
        <f t="shared" si="213"/>
        <v>0</v>
      </c>
      <c r="E899" s="29">
        <f t="shared" si="226"/>
        <v>0</v>
      </c>
      <c r="F899" s="29">
        <f t="shared" si="214"/>
        <v>0</v>
      </c>
      <c r="G899" s="29" t="str">
        <f t="shared" si="215"/>
        <v>offensive</v>
      </c>
      <c r="H899" s="16">
        <f t="shared" si="216"/>
        <v>0</v>
      </c>
      <c r="I899" s="16">
        <f t="shared" si="217"/>
        <v>0</v>
      </c>
      <c r="J899" s="16">
        <f t="shared" si="218"/>
        <v>0</v>
      </c>
      <c r="K899" s="16">
        <f t="shared" si="219"/>
        <v>0</v>
      </c>
      <c r="L899" s="67">
        <f t="shared" si="220"/>
        <v>0</v>
      </c>
      <c r="M899" s="4">
        <f t="shared" si="221"/>
        <v>0</v>
      </c>
      <c r="N899" s="4">
        <f t="shared" si="222"/>
        <v>0</v>
      </c>
      <c r="O899" s="4">
        <f t="shared" si="223"/>
        <v>0</v>
      </c>
      <c r="P899" s="4" t="e">
        <f>VLOOKUP(AJ891,'CIR Team Info'!$C$5:$E$44,2,FALSE)</f>
        <v>#N/A</v>
      </c>
      <c r="Q899" s="4" t="e">
        <f>VLOOKUP(AJ891,'CIR Team Info'!$C$5:$E$44,3,FALSE)</f>
        <v>#N/A</v>
      </c>
      <c r="R899" s="10" t="e">
        <f>VLOOKUP(AJ891,'FRC Site Data'!$B$3:$L$42,2,FALSE)</f>
        <v>#N/A</v>
      </c>
      <c r="S899" s="10" t="e">
        <f>VLOOKUP(AJ891,'FRC Site Data'!$B$3:$L$42,3,FALSE)</f>
        <v>#N/A</v>
      </c>
      <c r="T899" s="10" t="e">
        <f>VLOOKUP(AJ891,'FRC Site Data'!$B$3:$L$42,4,FALSE)</f>
        <v>#N/A</v>
      </c>
      <c r="U899" s="10" t="e">
        <f>VLOOKUP(AJ891,'FRC Site Data'!$B$3:$L$42,5,FALSE)</f>
        <v>#N/A</v>
      </c>
      <c r="V899" s="10" t="e">
        <f>VLOOKUP(AJ891,'FRC Site Data'!$B$3:$L$42,6,FALSE)</f>
        <v>#N/A</v>
      </c>
      <c r="W899" s="10" t="e">
        <f>VLOOKUP(AJ891,'FRC Site Data'!$B$3:$L$42,8,FALSE)</f>
        <v>#N/A</v>
      </c>
      <c r="X899" s="10" t="e">
        <f>VLOOKUP(AJ891,'FRC Site Data'!$B$3:$L$42,9,FALSE)</f>
        <v>#N/A</v>
      </c>
      <c r="Y899" s="10" t="e">
        <f>VLOOKUP(AJ891,'FRC Site Data'!$B$3:$L$42,10,FALSE)</f>
        <v>#N/A</v>
      </c>
      <c r="Z899" s="10" t="e">
        <f>VLOOKUP(AJ891,'FRC Site Data'!$B$3:$L$42,11,FALSE)</f>
        <v>#N/A</v>
      </c>
      <c r="AA899" s="10" t="e">
        <f>VLOOKUP(AJ891,'CIR Team Info'!$C$5:$E$44,4,FALSE)</f>
        <v>#N/A</v>
      </c>
      <c r="AB899" s="161" t="b">
        <f>ISNUMBER(VLOOKUP(AJ891,Match!$T$5:$T$10,1,FALSE))</f>
        <v>0</v>
      </c>
      <c r="AC899" s="161" t="b">
        <f>IF(AB899=TRUE,(VLOOKUP($AJ891,Match!$T$5:$U$10,2,FALSE)))</f>
        <v>0</v>
      </c>
      <c r="AD899" s="8">
        <v>3</v>
      </c>
      <c r="AE899" s="8">
        <v>2</v>
      </c>
      <c r="AF899" s="8">
        <v>2</v>
      </c>
      <c r="AG899" s="8">
        <v>1</v>
      </c>
      <c r="AH899" s="8" t="str">
        <f t="shared" si="225"/>
        <v/>
      </c>
    </row>
    <row r="900" spans="1:34" x14ac:dyDescent="0.25">
      <c r="A900" s="29">
        <f t="shared" si="224"/>
        <v>0</v>
      </c>
      <c r="B900" s="29">
        <f t="shared" si="211"/>
        <v>0</v>
      </c>
      <c r="C900" s="29">
        <f t="shared" si="212"/>
        <v>0</v>
      </c>
      <c r="D900" s="29">
        <f t="shared" si="213"/>
        <v>0</v>
      </c>
      <c r="E900" s="29">
        <f t="shared" si="226"/>
        <v>0</v>
      </c>
      <c r="F900" s="29">
        <f t="shared" si="214"/>
        <v>0</v>
      </c>
      <c r="G900" s="29" t="str">
        <f t="shared" si="215"/>
        <v>offensive</v>
      </c>
      <c r="H900" s="16">
        <f t="shared" si="216"/>
        <v>0</v>
      </c>
      <c r="I900" s="16">
        <f t="shared" si="217"/>
        <v>0</v>
      </c>
      <c r="J900" s="16">
        <f t="shared" si="218"/>
        <v>0</v>
      </c>
      <c r="K900" s="16">
        <f t="shared" si="219"/>
        <v>0</v>
      </c>
      <c r="L900" s="67">
        <f t="shared" si="220"/>
        <v>0</v>
      </c>
      <c r="M900" s="4">
        <f t="shared" si="221"/>
        <v>0</v>
      </c>
      <c r="N900" s="4">
        <f t="shared" si="222"/>
        <v>0</v>
      </c>
      <c r="O900" s="4">
        <f t="shared" si="223"/>
        <v>0</v>
      </c>
      <c r="P900" s="4" t="e">
        <f>VLOOKUP(AJ892,'CIR Team Info'!$C$5:$E$44,2,FALSE)</f>
        <v>#N/A</v>
      </c>
      <c r="Q900" s="4" t="e">
        <f>VLOOKUP(AJ892,'CIR Team Info'!$C$5:$E$44,3,FALSE)</f>
        <v>#N/A</v>
      </c>
      <c r="R900" s="10" t="e">
        <f>VLOOKUP(AJ892,'FRC Site Data'!$B$3:$L$42,2,FALSE)</f>
        <v>#N/A</v>
      </c>
      <c r="S900" s="10" t="e">
        <f>VLOOKUP(AJ892,'FRC Site Data'!$B$3:$L$42,3,FALSE)</f>
        <v>#N/A</v>
      </c>
      <c r="T900" s="10" t="e">
        <f>VLOOKUP(AJ892,'FRC Site Data'!$B$3:$L$42,4,FALSE)</f>
        <v>#N/A</v>
      </c>
      <c r="U900" s="10" t="e">
        <f>VLOOKUP(AJ892,'FRC Site Data'!$B$3:$L$42,5,FALSE)</f>
        <v>#N/A</v>
      </c>
      <c r="V900" s="10" t="e">
        <f>VLOOKUP(AJ892,'FRC Site Data'!$B$3:$L$42,6,FALSE)</f>
        <v>#N/A</v>
      </c>
      <c r="W900" s="10" t="e">
        <f>VLOOKUP(AJ892,'FRC Site Data'!$B$3:$L$42,8,FALSE)</f>
        <v>#N/A</v>
      </c>
      <c r="X900" s="10" t="e">
        <f>VLOOKUP(AJ892,'FRC Site Data'!$B$3:$L$42,9,FALSE)</f>
        <v>#N/A</v>
      </c>
      <c r="Y900" s="10" t="e">
        <f>VLOOKUP(AJ892,'FRC Site Data'!$B$3:$L$42,10,FALSE)</f>
        <v>#N/A</v>
      </c>
      <c r="Z900" s="10" t="e">
        <f>VLOOKUP(AJ892,'FRC Site Data'!$B$3:$L$42,11,FALSE)</f>
        <v>#N/A</v>
      </c>
      <c r="AA900" s="10" t="e">
        <f>VLOOKUP(AJ892,'CIR Team Info'!$C$5:$E$44,4,FALSE)</f>
        <v>#N/A</v>
      </c>
      <c r="AB900" s="161" t="b">
        <f>ISNUMBER(VLOOKUP(AJ892,Match!$T$5:$T$10,1,FALSE))</f>
        <v>0</v>
      </c>
      <c r="AC900" s="161" t="b">
        <f>IF(AB900=TRUE,(VLOOKUP($AJ892,Match!$T$5:$U$10,2,FALSE)))</f>
        <v>0</v>
      </c>
      <c r="AD900" s="8">
        <v>3</v>
      </c>
      <c r="AE900" s="8">
        <v>2</v>
      </c>
      <c r="AF900" s="8">
        <v>2</v>
      </c>
      <c r="AG900" s="8">
        <v>1</v>
      </c>
      <c r="AH900" s="8" t="str">
        <f t="shared" si="225"/>
        <v/>
      </c>
    </row>
    <row r="901" spans="1:34" x14ac:dyDescent="0.25">
      <c r="A901" s="29">
        <f t="shared" si="224"/>
        <v>0</v>
      </c>
      <c r="B901" s="29">
        <f t="shared" si="211"/>
        <v>0</v>
      </c>
      <c r="C901" s="29">
        <f t="shared" si="212"/>
        <v>0</v>
      </c>
      <c r="D901" s="29">
        <f t="shared" si="213"/>
        <v>0</v>
      </c>
      <c r="E901" s="29">
        <f t="shared" si="226"/>
        <v>0</v>
      </c>
      <c r="F901" s="29">
        <f t="shared" si="214"/>
        <v>0</v>
      </c>
      <c r="G901" s="29" t="str">
        <f t="shared" si="215"/>
        <v>offensive</v>
      </c>
      <c r="H901" s="16">
        <f t="shared" si="216"/>
        <v>0</v>
      </c>
      <c r="I901" s="16">
        <f t="shared" si="217"/>
        <v>0</v>
      </c>
      <c r="J901" s="16">
        <f t="shared" si="218"/>
        <v>0</v>
      </c>
      <c r="K901" s="16">
        <f t="shared" si="219"/>
        <v>0</v>
      </c>
      <c r="L901" s="67">
        <f t="shared" si="220"/>
        <v>0</v>
      </c>
      <c r="M901" s="4">
        <f t="shared" si="221"/>
        <v>0</v>
      </c>
      <c r="N901" s="4">
        <f t="shared" si="222"/>
        <v>0</v>
      </c>
      <c r="O901" s="4">
        <f t="shared" si="223"/>
        <v>0</v>
      </c>
      <c r="P901" s="4" t="e">
        <f>VLOOKUP(AJ893,'CIR Team Info'!$C$5:$E$44,2,FALSE)</f>
        <v>#N/A</v>
      </c>
      <c r="Q901" s="4" t="e">
        <f>VLOOKUP(AJ893,'CIR Team Info'!$C$5:$E$44,3,FALSE)</f>
        <v>#N/A</v>
      </c>
      <c r="R901" s="10" t="e">
        <f>VLOOKUP(AJ893,'FRC Site Data'!$B$3:$L$42,2,FALSE)</f>
        <v>#N/A</v>
      </c>
      <c r="S901" s="10" t="e">
        <f>VLOOKUP(AJ893,'FRC Site Data'!$B$3:$L$42,3,FALSE)</f>
        <v>#N/A</v>
      </c>
      <c r="T901" s="10" t="e">
        <f>VLOOKUP(AJ893,'FRC Site Data'!$B$3:$L$42,4,FALSE)</f>
        <v>#N/A</v>
      </c>
      <c r="U901" s="10" t="e">
        <f>VLOOKUP(AJ893,'FRC Site Data'!$B$3:$L$42,5,FALSE)</f>
        <v>#N/A</v>
      </c>
      <c r="V901" s="10" t="e">
        <f>VLOOKUP(AJ893,'FRC Site Data'!$B$3:$L$42,6,FALSE)</f>
        <v>#N/A</v>
      </c>
      <c r="W901" s="10" t="e">
        <f>VLOOKUP(AJ893,'FRC Site Data'!$B$3:$L$42,8,FALSE)</f>
        <v>#N/A</v>
      </c>
      <c r="X901" s="10" t="e">
        <f>VLOOKUP(AJ893,'FRC Site Data'!$B$3:$L$42,9,FALSE)</f>
        <v>#N/A</v>
      </c>
      <c r="Y901" s="10" t="e">
        <f>VLOOKUP(AJ893,'FRC Site Data'!$B$3:$L$42,10,FALSE)</f>
        <v>#N/A</v>
      </c>
      <c r="Z901" s="10" t="e">
        <f>VLOOKUP(AJ893,'FRC Site Data'!$B$3:$L$42,11,FALSE)</f>
        <v>#N/A</v>
      </c>
      <c r="AA901" s="10" t="e">
        <f>VLOOKUP(AJ893,'CIR Team Info'!$C$5:$E$44,4,FALSE)</f>
        <v>#N/A</v>
      </c>
      <c r="AB901" s="161" t="b">
        <f>ISNUMBER(VLOOKUP(AJ893,Match!$T$5:$T$10,1,FALSE))</f>
        <v>0</v>
      </c>
      <c r="AC901" s="161" t="b">
        <f>IF(AB901=TRUE,(VLOOKUP($AJ893,Match!$T$5:$U$10,2,FALSE)))</f>
        <v>0</v>
      </c>
      <c r="AD901" s="8">
        <v>3</v>
      </c>
      <c r="AE901" s="8">
        <v>2</v>
      </c>
      <c r="AF901" s="8">
        <v>2</v>
      </c>
      <c r="AG901" s="8">
        <v>1</v>
      </c>
      <c r="AH901" s="8" t="str">
        <f t="shared" si="225"/>
        <v/>
      </c>
    </row>
    <row r="902" spans="1:34" x14ac:dyDescent="0.25">
      <c r="A902" s="29">
        <f t="shared" si="224"/>
        <v>0</v>
      </c>
      <c r="B902" s="29">
        <f t="shared" si="211"/>
        <v>0</v>
      </c>
      <c r="C902" s="29">
        <f t="shared" si="212"/>
        <v>0</v>
      </c>
      <c r="D902" s="29">
        <f t="shared" si="213"/>
        <v>0</v>
      </c>
      <c r="E902" s="29">
        <f t="shared" si="226"/>
        <v>0</v>
      </c>
      <c r="F902" s="29">
        <f t="shared" si="214"/>
        <v>0</v>
      </c>
      <c r="G902" s="29" t="str">
        <f t="shared" si="215"/>
        <v>offensive</v>
      </c>
      <c r="H902" s="16">
        <f t="shared" si="216"/>
        <v>0</v>
      </c>
      <c r="I902" s="16">
        <f t="shared" si="217"/>
        <v>0</v>
      </c>
      <c r="J902" s="16">
        <f t="shared" si="218"/>
        <v>0</v>
      </c>
      <c r="K902" s="16">
        <f t="shared" si="219"/>
        <v>0</v>
      </c>
      <c r="L902" s="67">
        <f t="shared" si="220"/>
        <v>0</v>
      </c>
      <c r="M902" s="4">
        <f t="shared" si="221"/>
        <v>0</v>
      </c>
      <c r="N902" s="4">
        <f t="shared" si="222"/>
        <v>0</v>
      </c>
      <c r="O902" s="4">
        <f t="shared" si="223"/>
        <v>0</v>
      </c>
      <c r="P902" s="4" t="e">
        <f>VLOOKUP(AJ894,'CIR Team Info'!$C$5:$E$44,2,FALSE)</f>
        <v>#N/A</v>
      </c>
      <c r="Q902" s="4" t="e">
        <f>VLOOKUP(AJ894,'CIR Team Info'!$C$5:$E$44,3,FALSE)</f>
        <v>#N/A</v>
      </c>
      <c r="R902" s="10" t="e">
        <f>VLOOKUP(AJ894,'FRC Site Data'!$B$3:$L$42,2,FALSE)</f>
        <v>#N/A</v>
      </c>
      <c r="S902" s="10" t="e">
        <f>VLOOKUP(AJ894,'FRC Site Data'!$B$3:$L$42,3,FALSE)</f>
        <v>#N/A</v>
      </c>
      <c r="T902" s="10" t="e">
        <f>VLOOKUP(AJ894,'FRC Site Data'!$B$3:$L$42,4,FALSE)</f>
        <v>#N/A</v>
      </c>
      <c r="U902" s="10" t="e">
        <f>VLOOKUP(AJ894,'FRC Site Data'!$B$3:$L$42,5,FALSE)</f>
        <v>#N/A</v>
      </c>
      <c r="V902" s="10" t="e">
        <f>VLOOKUP(AJ894,'FRC Site Data'!$B$3:$L$42,6,FALSE)</f>
        <v>#N/A</v>
      </c>
      <c r="W902" s="10" t="e">
        <f>VLOOKUP(AJ894,'FRC Site Data'!$B$3:$L$42,8,FALSE)</f>
        <v>#N/A</v>
      </c>
      <c r="X902" s="10" t="e">
        <f>VLOOKUP(AJ894,'FRC Site Data'!$B$3:$L$42,9,FALSE)</f>
        <v>#N/A</v>
      </c>
      <c r="Y902" s="10" t="e">
        <f>VLOOKUP(AJ894,'FRC Site Data'!$B$3:$L$42,10,FALSE)</f>
        <v>#N/A</v>
      </c>
      <c r="Z902" s="10" t="e">
        <f>VLOOKUP(AJ894,'FRC Site Data'!$B$3:$L$42,11,FALSE)</f>
        <v>#N/A</v>
      </c>
      <c r="AA902" s="10" t="e">
        <f>VLOOKUP(AJ894,'CIR Team Info'!$C$5:$E$44,4,FALSE)</f>
        <v>#N/A</v>
      </c>
      <c r="AB902" s="161" t="b">
        <f>ISNUMBER(VLOOKUP(AJ894,Match!$T$5:$T$10,1,FALSE))</f>
        <v>0</v>
      </c>
      <c r="AC902" s="161" t="b">
        <f>IF(AB902=TRUE,(VLOOKUP($AJ894,Match!$T$5:$U$10,2,FALSE)))</f>
        <v>0</v>
      </c>
      <c r="AD902" s="8">
        <v>3</v>
      </c>
      <c r="AE902" s="8">
        <v>2</v>
      </c>
      <c r="AF902" s="8">
        <v>2</v>
      </c>
      <c r="AG902" s="8">
        <v>1</v>
      </c>
      <c r="AH902" s="8" t="str">
        <f t="shared" si="225"/>
        <v/>
      </c>
    </row>
    <row r="903" spans="1:34" x14ac:dyDescent="0.25">
      <c r="A903" s="29">
        <f t="shared" si="224"/>
        <v>0</v>
      </c>
      <c r="B903" s="29">
        <f t="shared" si="211"/>
        <v>0</v>
      </c>
      <c r="C903" s="29">
        <f t="shared" si="212"/>
        <v>0</v>
      </c>
      <c r="D903" s="29">
        <f t="shared" si="213"/>
        <v>0</v>
      </c>
      <c r="E903" s="29">
        <f t="shared" si="226"/>
        <v>0</v>
      </c>
      <c r="F903" s="29">
        <f t="shared" si="214"/>
        <v>0</v>
      </c>
      <c r="G903" s="29" t="str">
        <f t="shared" si="215"/>
        <v>offensive</v>
      </c>
      <c r="H903" s="16">
        <f t="shared" si="216"/>
        <v>0</v>
      </c>
      <c r="I903" s="16">
        <f t="shared" si="217"/>
        <v>0</v>
      </c>
      <c r="J903" s="16">
        <f t="shared" si="218"/>
        <v>0</v>
      </c>
      <c r="K903" s="16">
        <f t="shared" si="219"/>
        <v>0</v>
      </c>
      <c r="L903" s="67">
        <f t="shared" si="220"/>
        <v>0</v>
      </c>
      <c r="M903" s="4">
        <f t="shared" si="221"/>
        <v>0</v>
      </c>
      <c r="N903" s="4">
        <f t="shared" si="222"/>
        <v>0</v>
      </c>
      <c r="O903" s="4">
        <f t="shared" si="223"/>
        <v>0</v>
      </c>
      <c r="P903" s="4" t="e">
        <f>VLOOKUP(AJ895,'CIR Team Info'!$C$5:$E$44,2,FALSE)</f>
        <v>#N/A</v>
      </c>
      <c r="Q903" s="4" t="e">
        <f>VLOOKUP(AJ895,'CIR Team Info'!$C$5:$E$44,3,FALSE)</f>
        <v>#N/A</v>
      </c>
      <c r="R903" s="10" t="e">
        <f>VLOOKUP(AJ895,'FRC Site Data'!$B$3:$L$42,2,FALSE)</f>
        <v>#N/A</v>
      </c>
      <c r="S903" s="10" t="e">
        <f>VLOOKUP(AJ895,'FRC Site Data'!$B$3:$L$42,3,FALSE)</f>
        <v>#N/A</v>
      </c>
      <c r="T903" s="10" t="e">
        <f>VLOOKUP(AJ895,'FRC Site Data'!$B$3:$L$42,4,FALSE)</f>
        <v>#N/A</v>
      </c>
      <c r="U903" s="10" t="e">
        <f>VLOOKUP(AJ895,'FRC Site Data'!$B$3:$L$42,5,FALSE)</f>
        <v>#N/A</v>
      </c>
      <c r="V903" s="10" t="e">
        <f>VLOOKUP(AJ895,'FRC Site Data'!$B$3:$L$42,6,FALSE)</f>
        <v>#N/A</v>
      </c>
      <c r="W903" s="10" t="e">
        <f>VLOOKUP(AJ895,'FRC Site Data'!$B$3:$L$42,8,FALSE)</f>
        <v>#N/A</v>
      </c>
      <c r="X903" s="10" t="e">
        <f>VLOOKUP(AJ895,'FRC Site Data'!$B$3:$L$42,9,FALSE)</f>
        <v>#N/A</v>
      </c>
      <c r="Y903" s="10" t="e">
        <f>VLOOKUP(AJ895,'FRC Site Data'!$B$3:$L$42,10,FALSE)</f>
        <v>#N/A</v>
      </c>
      <c r="Z903" s="10" t="e">
        <f>VLOOKUP(AJ895,'FRC Site Data'!$B$3:$L$42,11,FALSE)</f>
        <v>#N/A</v>
      </c>
      <c r="AA903" s="10" t="e">
        <f>VLOOKUP(AJ895,'CIR Team Info'!$C$5:$E$44,4,FALSE)</f>
        <v>#N/A</v>
      </c>
      <c r="AB903" s="161" t="b">
        <f>ISNUMBER(VLOOKUP(AJ895,Match!$T$5:$T$10,1,FALSE))</f>
        <v>0</v>
      </c>
      <c r="AC903" s="161" t="b">
        <f>IF(AB903=TRUE,(VLOOKUP($AJ895,Match!$T$5:$U$10,2,FALSE)))</f>
        <v>0</v>
      </c>
      <c r="AD903" s="8">
        <v>3</v>
      </c>
      <c r="AE903" s="8">
        <v>2</v>
      </c>
      <c r="AF903" s="8">
        <v>2</v>
      </c>
      <c r="AG903" s="8">
        <v>1</v>
      </c>
      <c r="AH903" s="8" t="str">
        <f t="shared" si="225"/>
        <v/>
      </c>
    </row>
    <row r="904" spans="1:34" x14ac:dyDescent="0.25">
      <c r="A904" s="29">
        <f t="shared" si="224"/>
        <v>0</v>
      </c>
      <c r="B904" s="29">
        <f t="shared" ref="B904:B948" si="227">H904*AD904*AO896</f>
        <v>0</v>
      </c>
      <c r="C904" s="29">
        <f t="shared" ref="C904:C948" si="228">I904*AE904*AV896</f>
        <v>0</v>
      </c>
      <c r="D904" s="29">
        <f t="shared" ref="D904:D948" si="229">J904*AF904*BF896</f>
        <v>0</v>
      </c>
      <c r="E904" s="29">
        <f t="shared" si="226"/>
        <v>0</v>
      </c>
      <c r="F904" s="29">
        <f t="shared" ref="F904:F948" si="230">IF(AN896&gt;0,5)-2*COUNTIF(AQ896,"K")+5*COUNTIF(AS896,"T")+IF(AX896=3,2)+IF(AY896="T",2)</f>
        <v>0</v>
      </c>
      <c r="G904" s="29" t="str">
        <f t="shared" ref="G904:G948" si="231">IF((BB896+BC896)&gt;45,"defensive",IF((BB896+BC896)&gt;15,"both","offensive"))</f>
        <v>offensive</v>
      </c>
      <c r="H904" s="16">
        <f t="shared" ref="H904:H948" si="232">IF((AO896+AP896)=0,0,AO896/(AO896+AP896))</f>
        <v>0</v>
      </c>
      <c r="I904" s="16">
        <f t="shared" ref="I904:I948" si="233">IF((AV896+AW896)=0,0,AV896/(AV896+AW896))</f>
        <v>0</v>
      </c>
      <c r="J904" s="16">
        <f t="shared" ref="J904:J948" si="234">IF(L904=0,0,BG896/L904)</f>
        <v>0</v>
      </c>
      <c r="K904" s="16">
        <f t="shared" ref="K904:K948" si="235">IF((BB896+BC896)=0,0,((AZ896*BB896*0.2)+(BA896*BC896*0.3))/(BB896+BC896))</f>
        <v>0</v>
      </c>
      <c r="L904" s="67">
        <f t="shared" ref="L904:L948" si="236">IF(BF896&gt;BG896,BF896,BG896)</f>
        <v>0</v>
      </c>
      <c r="M904" s="4">
        <f t="shared" ref="M904:M948" si="237">AO896+AV896+BD896+O904</f>
        <v>0</v>
      </c>
      <c r="N904" s="4">
        <f t="shared" ref="N904:N948" si="238">AO896+AV896+BD896</f>
        <v>0</v>
      </c>
      <c r="O904" s="4">
        <f t="shared" ref="O904:O948" si="239">(AZ896*0.2*BB896*30/30)+(BA896*0.3*BC896*12/30)-BI896-BJ896</f>
        <v>0</v>
      </c>
      <c r="P904" s="4" t="e">
        <f>VLOOKUP(AJ896,'CIR Team Info'!$C$5:$E$44,2,FALSE)</f>
        <v>#N/A</v>
      </c>
      <c r="Q904" s="4" t="e">
        <f>VLOOKUP(AJ896,'CIR Team Info'!$C$5:$E$44,3,FALSE)</f>
        <v>#N/A</v>
      </c>
      <c r="R904" s="10" t="e">
        <f>VLOOKUP(AJ896,'FRC Site Data'!$B$3:$L$42,2,FALSE)</f>
        <v>#N/A</v>
      </c>
      <c r="S904" s="10" t="e">
        <f>VLOOKUP(AJ896,'FRC Site Data'!$B$3:$L$42,3,FALSE)</f>
        <v>#N/A</v>
      </c>
      <c r="T904" s="10" t="e">
        <f>VLOOKUP(AJ896,'FRC Site Data'!$B$3:$L$42,4,FALSE)</f>
        <v>#N/A</v>
      </c>
      <c r="U904" s="10" t="e">
        <f>VLOOKUP(AJ896,'FRC Site Data'!$B$3:$L$42,5,FALSE)</f>
        <v>#N/A</v>
      </c>
      <c r="V904" s="10" t="e">
        <f>VLOOKUP(AJ896,'FRC Site Data'!$B$3:$L$42,6,FALSE)</f>
        <v>#N/A</v>
      </c>
      <c r="W904" s="10" t="e">
        <f>VLOOKUP(AJ896,'FRC Site Data'!$B$3:$L$42,8,FALSE)</f>
        <v>#N/A</v>
      </c>
      <c r="X904" s="10" t="e">
        <f>VLOOKUP(AJ896,'FRC Site Data'!$B$3:$L$42,9,FALSE)</f>
        <v>#N/A</v>
      </c>
      <c r="Y904" s="10" t="e">
        <f>VLOOKUP(AJ896,'FRC Site Data'!$B$3:$L$42,10,FALSE)</f>
        <v>#N/A</v>
      </c>
      <c r="Z904" s="10" t="e">
        <f>VLOOKUP(AJ896,'FRC Site Data'!$B$3:$L$42,11,FALSE)</f>
        <v>#N/A</v>
      </c>
      <c r="AA904" s="10" t="e">
        <f>VLOOKUP(AJ896,'CIR Team Info'!$C$5:$E$44,4,FALSE)</f>
        <v>#N/A</v>
      </c>
      <c r="AB904" s="161" t="b">
        <f>ISNUMBER(VLOOKUP(AJ896,Match!$T$5:$T$10,1,FALSE))</f>
        <v>0</v>
      </c>
      <c r="AC904" s="161" t="b">
        <f>IF(AB904=TRUE,(VLOOKUP($AJ896,Match!$T$5:$U$10,2,FALSE)))</f>
        <v>0</v>
      </c>
      <c r="AD904" s="8">
        <v>3</v>
      </c>
      <c r="AE904" s="8">
        <v>2</v>
      </c>
      <c r="AF904" s="8">
        <v>2</v>
      </c>
      <c r="AG904" s="8">
        <v>1</v>
      </c>
      <c r="AH904" s="8" t="str">
        <f t="shared" si="225"/>
        <v/>
      </c>
    </row>
    <row r="905" spans="1:34" x14ac:dyDescent="0.25">
      <c r="A905" s="29">
        <f t="shared" si="224"/>
        <v>0</v>
      </c>
      <c r="B905" s="29">
        <f t="shared" si="227"/>
        <v>0</v>
      </c>
      <c r="C905" s="29">
        <f t="shared" si="228"/>
        <v>0</v>
      </c>
      <c r="D905" s="29">
        <f t="shared" si="229"/>
        <v>0</v>
      </c>
      <c r="E905" s="29">
        <f t="shared" si="226"/>
        <v>0</v>
      </c>
      <c r="F905" s="29">
        <f t="shared" si="230"/>
        <v>0</v>
      </c>
      <c r="G905" s="29" t="str">
        <f t="shared" si="231"/>
        <v>offensive</v>
      </c>
      <c r="H905" s="16">
        <f t="shared" si="232"/>
        <v>0</v>
      </c>
      <c r="I905" s="16">
        <f t="shared" si="233"/>
        <v>0</v>
      </c>
      <c r="J905" s="16">
        <f t="shared" si="234"/>
        <v>0</v>
      </c>
      <c r="K905" s="16">
        <f t="shared" si="235"/>
        <v>0</v>
      </c>
      <c r="L905" s="67">
        <f t="shared" si="236"/>
        <v>0</v>
      </c>
      <c r="M905" s="4">
        <f t="shared" si="237"/>
        <v>0</v>
      </c>
      <c r="N905" s="4">
        <f t="shared" si="238"/>
        <v>0</v>
      </c>
      <c r="O905" s="4">
        <f t="shared" si="239"/>
        <v>0</v>
      </c>
      <c r="P905" s="4" t="e">
        <f>VLOOKUP(AJ897,'CIR Team Info'!$C$5:$E$44,2,FALSE)</f>
        <v>#N/A</v>
      </c>
      <c r="Q905" s="4" t="e">
        <f>VLOOKUP(AJ897,'CIR Team Info'!$C$5:$E$44,3,FALSE)</f>
        <v>#N/A</v>
      </c>
      <c r="R905" s="10" t="e">
        <f>VLOOKUP(AJ897,'FRC Site Data'!$B$3:$L$42,2,FALSE)</f>
        <v>#N/A</v>
      </c>
      <c r="S905" s="10" t="e">
        <f>VLOOKUP(AJ897,'FRC Site Data'!$B$3:$L$42,3,FALSE)</f>
        <v>#N/A</v>
      </c>
      <c r="T905" s="10" t="e">
        <f>VLOOKUP(AJ897,'FRC Site Data'!$B$3:$L$42,4,FALSE)</f>
        <v>#N/A</v>
      </c>
      <c r="U905" s="10" t="e">
        <f>VLOOKUP(AJ897,'FRC Site Data'!$B$3:$L$42,5,FALSE)</f>
        <v>#N/A</v>
      </c>
      <c r="V905" s="10" t="e">
        <f>VLOOKUP(AJ897,'FRC Site Data'!$B$3:$L$42,6,FALSE)</f>
        <v>#N/A</v>
      </c>
      <c r="W905" s="10" t="e">
        <f>VLOOKUP(AJ897,'FRC Site Data'!$B$3:$L$42,8,FALSE)</f>
        <v>#N/A</v>
      </c>
      <c r="X905" s="10" t="e">
        <f>VLOOKUP(AJ897,'FRC Site Data'!$B$3:$L$42,9,FALSE)</f>
        <v>#N/A</v>
      </c>
      <c r="Y905" s="10" t="e">
        <f>VLOOKUP(AJ897,'FRC Site Data'!$B$3:$L$42,10,FALSE)</f>
        <v>#N/A</v>
      </c>
      <c r="Z905" s="10" t="e">
        <f>VLOOKUP(AJ897,'FRC Site Data'!$B$3:$L$42,11,FALSE)</f>
        <v>#N/A</v>
      </c>
      <c r="AA905" s="10" t="e">
        <f>VLOOKUP(AJ897,'CIR Team Info'!$C$5:$E$44,4,FALSE)</f>
        <v>#N/A</v>
      </c>
      <c r="AB905" s="161" t="b">
        <f>ISNUMBER(VLOOKUP(AJ897,Match!$T$5:$T$10,1,FALSE))</f>
        <v>0</v>
      </c>
      <c r="AC905" s="161" t="b">
        <f>IF(AB905=TRUE,(VLOOKUP($AJ897,Match!$T$5:$U$10,2,FALSE)))</f>
        <v>0</v>
      </c>
      <c r="AD905" s="8">
        <v>3</v>
      </c>
      <c r="AE905" s="8">
        <v>2</v>
      </c>
      <c r="AF905" s="8">
        <v>2</v>
      </c>
      <c r="AG905" s="8">
        <v>1</v>
      </c>
      <c r="AH905" s="8" t="str">
        <f t="shared" si="225"/>
        <v/>
      </c>
    </row>
    <row r="906" spans="1:34" x14ac:dyDescent="0.25">
      <c r="A906" s="29">
        <f t="shared" ref="A906:A948" si="240">SUM(B906:F906)</f>
        <v>0</v>
      </c>
      <c r="B906" s="29">
        <f t="shared" si="227"/>
        <v>0</v>
      </c>
      <c r="C906" s="29">
        <f t="shared" si="228"/>
        <v>0</v>
      </c>
      <c r="D906" s="29">
        <f t="shared" si="229"/>
        <v>0</v>
      </c>
      <c r="E906" s="29">
        <f t="shared" si="226"/>
        <v>0</v>
      </c>
      <c r="F906" s="29">
        <f t="shared" si="230"/>
        <v>0</v>
      </c>
      <c r="G906" s="29" t="str">
        <f t="shared" si="231"/>
        <v>offensive</v>
      </c>
      <c r="H906" s="16">
        <f t="shared" si="232"/>
        <v>0</v>
      </c>
      <c r="I906" s="16">
        <f t="shared" si="233"/>
        <v>0</v>
      </c>
      <c r="J906" s="16">
        <f t="shared" si="234"/>
        <v>0</v>
      </c>
      <c r="K906" s="16">
        <f t="shared" si="235"/>
        <v>0</v>
      </c>
      <c r="L906" s="67">
        <f t="shared" si="236"/>
        <v>0</v>
      </c>
      <c r="M906" s="4">
        <f t="shared" si="237"/>
        <v>0</v>
      </c>
      <c r="N906" s="4">
        <f t="shared" si="238"/>
        <v>0</v>
      </c>
      <c r="O906" s="4">
        <f t="shared" si="239"/>
        <v>0</v>
      </c>
      <c r="P906" s="4" t="e">
        <f>VLOOKUP(AJ898,'CIR Team Info'!$C$5:$E$44,2,FALSE)</f>
        <v>#N/A</v>
      </c>
      <c r="Q906" s="4" t="e">
        <f>VLOOKUP(AJ898,'CIR Team Info'!$C$5:$E$44,3,FALSE)</f>
        <v>#N/A</v>
      </c>
      <c r="R906" s="10" t="e">
        <f>VLOOKUP(AJ898,'FRC Site Data'!$B$3:$L$42,2,FALSE)</f>
        <v>#N/A</v>
      </c>
      <c r="S906" s="10" t="e">
        <f>VLOOKUP(AJ898,'FRC Site Data'!$B$3:$L$42,3,FALSE)</f>
        <v>#N/A</v>
      </c>
      <c r="T906" s="10" t="e">
        <f>VLOOKUP(AJ898,'FRC Site Data'!$B$3:$L$42,4,FALSE)</f>
        <v>#N/A</v>
      </c>
      <c r="U906" s="10" t="e">
        <f>VLOOKUP(AJ898,'FRC Site Data'!$B$3:$L$42,5,FALSE)</f>
        <v>#N/A</v>
      </c>
      <c r="V906" s="10" t="e">
        <f>VLOOKUP(AJ898,'FRC Site Data'!$B$3:$L$42,6,FALSE)</f>
        <v>#N/A</v>
      </c>
      <c r="W906" s="10" t="e">
        <f>VLOOKUP(AJ898,'FRC Site Data'!$B$3:$L$42,8,FALSE)</f>
        <v>#N/A</v>
      </c>
      <c r="X906" s="10" t="e">
        <f>VLOOKUP(AJ898,'FRC Site Data'!$B$3:$L$42,9,FALSE)</f>
        <v>#N/A</v>
      </c>
      <c r="Y906" s="10" t="e">
        <f>VLOOKUP(AJ898,'FRC Site Data'!$B$3:$L$42,10,FALSE)</f>
        <v>#N/A</v>
      </c>
      <c r="Z906" s="10" t="e">
        <f>VLOOKUP(AJ898,'FRC Site Data'!$B$3:$L$42,11,FALSE)</f>
        <v>#N/A</v>
      </c>
      <c r="AA906" s="10" t="e">
        <f>VLOOKUP(AJ898,'CIR Team Info'!$C$5:$E$44,4,FALSE)</f>
        <v>#N/A</v>
      </c>
      <c r="AB906" s="161" t="b">
        <f>ISNUMBER(VLOOKUP(AJ898,Match!$T$5:$T$10,1,FALSE))</f>
        <v>0</v>
      </c>
      <c r="AC906" s="161" t="b">
        <f>IF(AB906=TRUE,(VLOOKUP($AJ898,Match!$T$5:$U$10,2,FALSE)))</f>
        <v>0</v>
      </c>
      <c r="AD906" s="8">
        <v>3</v>
      </c>
      <c r="AE906" s="8">
        <v>2</v>
      </c>
      <c r="AF906" s="8">
        <v>2</v>
      </c>
      <c r="AG906" s="8">
        <v>1</v>
      </c>
      <c r="AH906" s="8" t="str">
        <f t="shared" si="225"/>
        <v/>
      </c>
    </row>
    <row r="907" spans="1:34" x14ac:dyDescent="0.25">
      <c r="A907" s="29">
        <f t="shared" si="240"/>
        <v>0</v>
      </c>
      <c r="B907" s="29">
        <f t="shared" si="227"/>
        <v>0</v>
      </c>
      <c r="C907" s="29">
        <f t="shared" si="228"/>
        <v>0</v>
      </c>
      <c r="D907" s="29">
        <f t="shared" si="229"/>
        <v>0</v>
      </c>
      <c r="E907" s="29">
        <f t="shared" si="226"/>
        <v>0</v>
      </c>
      <c r="F907" s="29">
        <f t="shared" si="230"/>
        <v>0</v>
      </c>
      <c r="G907" s="29" t="str">
        <f t="shared" si="231"/>
        <v>offensive</v>
      </c>
      <c r="H907" s="16">
        <f t="shared" si="232"/>
        <v>0</v>
      </c>
      <c r="I907" s="16">
        <f t="shared" si="233"/>
        <v>0</v>
      </c>
      <c r="J907" s="16">
        <f t="shared" si="234"/>
        <v>0</v>
      </c>
      <c r="K907" s="16">
        <f t="shared" si="235"/>
        <v>0</v>
      </c>
      <c r="L907" s="67">
        <f t="shared" si="236"/>
        <v>0</v>
      </c>
      <c r="M907" s="4">
        <f t="shared" si="237"/>
        <v>0</v>
      </c>
      <c r="N907" s="4">
        <f t="shared" si="238"/>
        <v>0</v>
      </c>
      <c r="O907" s="4">
        <f t="shared" si="239"/>
        <v>0</v>
      </c>
      <c r="P907" s="4" t="e">
        <f>VLOOKUP(AJ899,'CIR Team Info'!$C$5:$E$44,2,FALSE)</f>
        <v>#N/A</v>
      </c>
      <c r="Q907" s="4" t="e">
        <f>VLOOKUP(AJ899,'CIR Team Info'!$C$5:$E$44,3,FALSE)</f>
        <v>#N/A</v>
      </c>
      <c r="R907" s="10" t="e">
        <f>VLOOKUP(AJ899,'FRC Site Data'!$B$3:$L$42,2,FALSE)</f>
        <v>#N/A</v>
      </c>
      <c r="S907" s="10" t="e">
        <f>VLOOKUP(AJ899,'FRC Site Data'!$B$3:$L$42,3,FALSE)</f>
        <v>#N/A</v>
      </c>
      <c r="T907" s="10" t="e">
        <f>VLOOKUP(AJ899,'FRC Site Data'!$B$3:$L$42,4,FALSE)</f>
        <v>#N/A</v>
      </c>
      <c r="U907" s="10" t="e">
        <f>VLOOKUP(AJ899,'FRC Site Data'!$B$3:$L$42,5,FALSE)</f>
        <v>#N/A</v>
      </c>
      <c r="V907" s="10" t="e">
        <f>VLOOKUP(AJ899,'FRC Site Data'!$B$3:$L$42,6,FALSE)</f>
        <v>#N/A</v>
      </c>
      <c r="W907" s="10" t="e">
        <f>VLOOKUP(AJ899,'FRC Site Data'!$B$3:$L$42,8,FALSE)</f>
        <v>#N/A</v>
      </c>
      <c r="X907" s="10" t="e">
        <f>VLOOKUP(AJ899,'FRC Site Data'!$B$3:$L$42,9,FALSE)</f>
        <v>#N/A</v>
      </c>
      <c r="Y907" s="10" t="e">
        <f>VLOOKUP(AJ899,'FRC Site Data'!$B$3:$L$42,10,FALSE)</f>
        <v>#N/A</v>
      </c>
      <c r="Z907" s="10" t="e">
        <f>VLOOKUP(AJ899,'FRC Site Data'!$B$3:$L$42,11,FALSE)</f>
        <v>#N/A</v>
      </c>
      <c r="AA907" s="10" t="e">
        <f>VLOOKUP(AJ899,'CIR Team Info'!$C$5:$E$44,4,FALSE)</f>
        <v>#N/A</v>
      </c>
      <c r="AB907" s="161" t="b">
        <f>ISNUMBER(VLOOKUP(AJ899,Match!$T$5:$T$10,1,FALSE))</f>
        <v>0</v>
      </c>
      <c r="AC907" s="161" t="b">
        <f>IF(AB907=TRUE,(VLOOKUP($AJ899,Match!$T$5:$U$10,2,FALSE)))</f>
        <v>0</v>
      </c>
      <c r="AD907" s="8">
        <v>3</v>
      </c>
      <c r="AE907" s="8">
        <v>2</v>
      </c>
      <c r="AF907" s="8">
        <v>2</v>
      </c>
      <c r="AG907" s="8">
        <v>1</v>
      </c>
      <c r="AH907" s="8" t="str">
        <f t="shared" si="225"/>
        <v/>
      </c>
    </row>
    <row r="908" spans="1:34" x14ac:dyDescent="0.25">
      <c r="A908" s="29">
        <f t="shared" si="240"/>
        <v>0</v>
      </c>
      <c r="B908" s="29">
        <f t="shared" si="227"/>
        <v>0</v>
      </c>
      <c r="C908" s="29">
        <f t="shared" si="228"/>
        <v>0</v>
      </c>
      <c r="D908" s="29">
        <f t="shared" si="229"/>
        <v>0</v>
      </c>
      <c r="E908" s="29">
        <f t="shared" si="226"/>
        <v>0</v>
      </c>
      <c r="F908" s="29">
        <f t="shared" si="230"/>
        <v>0</v>
      </c>
      <c r="G908" s="29" t="str">
        <f t="shared" si="231"/>
        <v>offensive</v>
      </c>
      <c r="H908" s="16">
        <f t="shared" si="232"/>
        <v>0</v>
      </c>
      <c r="I908" s="16">
        <f t="shared" si="233"/>
        <v>0</v>
      </c>
      <c r="J908" s="16">
        <f t="shared" si="234"/>
        <v>0</v>
      </c>
      <c r="K908" s="16">
        <f t="shared" si="235"/>
        <v>0</v>
      </c>
      <c r="L908" s="67">
        <f t="shared" si="236"/>
        <v>0</v>
      </c>
      <c r="M908" s="4">
        <f t="shared" si="237"/>
        <v>0</v>
      </c>
      <c r="N908" s="4">
        <f t="shared" si="238"/>
        <v>0</v>
      </c>
      <c r="O908" s="4">
        <f t="shared" si="239"/>
        <v>0</v>
      </c>
      <c r="P908" s="4" t="e">
        <f>VLOOKUP(AJ900,'CIR Team Info'!$C$5:$E$44,2,FALSE)</f>
        <v>#N/A</v>
      </c>
      <c r="Q908" s="4" t="e">
        <f>VLOOKUP(AJ900,'CIR Team Info'!$C$5:$E$44,3,FALSE)</f>
        <v>#N/A</v>
      </c>
      <c r="R908" s="10" t="e">
        <f>VLOOKUP(AJ900,'FRC Site Data'!$B$3:$L$42,2,FALSE)</f>
        <v>#N/A</v>
      </c>
      <c r="S908" s="10" t="e">
        <f>VLOOKUP(AJ900,'FRC Site Data'!$B$3:$L$42,3,FALSE)</f>
        <v>#N/A</v>
      </c>
      <c r="T908" s="10" t="e">
        <f>VLOOKUP(AJ900,'FRC Site Data'!$B$3:$L$42,4,FALSE)</f>
        <v>#N/A</v>
      </c>
      <c r="U908" s="10" t="e">
        <f>VLOOKUP(AJ900,'FRC Site Data'!$B$3:$L$42,5,FALSE)</f>
        <v>#N/A</v>
      </c>
      <c r="V908" s="10" t="e">
        <f>VLOOKUP(AJ900,'FRC Site Data'!$B$3:$L$42,6,FALSE)</f>
        <v>#N/A</v>
      </c>
      <c r="W908" s="10" t="e">
        <f>VLOOKUP(AJ900,'FRC Site Data'!$B$3:$L$42,8,FALSE)</f>
        <v>#N/A</v>
      </c>
      <c r="X908" s="10" t="e">
        <f>VLOOKUP(AJ900,'FRC Site Data'!$B$3:$L$42,9,FALSE)</f>
        <v>#N/A</v>
      </c>
      <c r="Y908" s="10" t="e">
        <f>VLOOKUP(AJ900,'FRC Site Data'!$B$3:$L$42,10,FALSE)</f>
        <v>#N/A</v>
      </c>
      <c r="Z908" s="10" t="e">
        <f>VLOOKUP(AJ900,'FRC Site Data'!$B$3:$L$42,11,FALSE)</f>
        <v>#N/A</v>
      </c>
      <c r="AA908" s="10" t="e">
        <f>VLOOKUP(AJ900,'CIR Team Info'!$C$5:$E$44,4,FALSE)</f>
        <v>#N/A</v>
      </c>
      <c r="AB908" s="161" t="b">
        <f>ISNUMBER(VLOOKUP(AJ900,Match!$T$5:$T$10,1,FALSE))</f>
        <v>0</v>
      </c>
      <c r="AC908" s="161" t="b">
        <f>IF(AB908=TRUE,(VLOOKUP($AJ900,Match!$T$5:$U$10,2,FALSE)))</f>
        <v>0</v>
      </c>
      <c r="AD908" s="8">
        <v>3</v>
      </c>
      <c r="AE908" s="8">
        <v>2</v>
      </c>
      <c r="AF908" s="8">
        <v>2</v>
      </c>
      <c r="AG908" s="8">
        <v>1</v>
      </c>
      <c r="AH908" s="8" t="str">
        <f t="shared" si="225"/>
        <v/>
      </c>
    </row>
    <row r="909" spans="1:34" x14ac:dyDescent="0.25">
      <c r="A909" s="29">
        <f t="shared" si="240"/>
        <v>0</v>
      </c>
      <c r="B909" s="29">
        <f t="shared" si="227"/>
        <v>0</v>
      </c>
      <c r="C909" s="29">
        <f t="shared" si="228"/>
        <v>0</v>
      </c>
      <c r="D909" s="29">
        <f t="shared" si="229"/>
        <v>0</v>
      </c>
      <c r="E909" s="29">
        <f t="shared" si="226"/>
        <v>0</v>
      </c>
      <c r="F909" s="29">
        <f t="shared" si="230"/>
        <v>0</v>
      </c>
      <c r="G909" s="29" t="str">
        <f t="shared" si="231"/>
        <v>offensive</v>
      </c>
      <c r="H909" s="16">
        <f t="shared" si="232"/>
        <v>0</v>
      </c>
      <c r="I909" s="16">
        <f t="shared" si="233"/>
        <v>0</v>
      </c>
      <c r="J909" s="16">
        <f t="shared" si="234"/>
        <v>0</v>
      </c>
      <c r="K909" s="16">
        <f t="shared" si="235"/>
        <v>0</v>
      </c>
      <c r="L909" s="67">
        <f t="shared" si="236"/>
        <v>0</v>
      </c>
      <c r="M909" s="4">
        <f t="shared" si="237"/>
        <v>0</v>
      </c>
      <c r="N909" s="4">
        <f t="shared" si="238"/>
        <v>0</v>
      </c>
      <c r="O909" s="4">
        <f t="shared" si="239"/>
        <v>0</v>
      </c>
      <c r="P909" s="4" t="e">
        <f>VLOOKUP(AJ901,'CIR Team Info'!$C$5:$E$44,2,FALSE)</f>
        <v>#N/A</v>
      </c>
      <c r="Q909" s="4" t="e">
        <f>VLOOKUP(AJ901,'CIR Team Info'!$C$5:$E$44,3,FALSE)</f>
        <v>#N/A</v>
      </c>
      <c r="R909" s="10" t="e">
        <f>VLOOKUP(AJ901,'FRC Site Data'!$B$3:$L$42,2,FALSE)</f>
        <v>#N/A</v>
      </c>
      <c r="S909" s="10" t="e">
        <f>VLOOKUP(AJ901,'FRC Site Data'!$B$3:$L$42,3,FALSE)</f>
        <v>#N/A</v>
      </c>
      <c r="T909" s="10" t="e">
        <f>VLOOKUP(AJ901,'FRC Site Data'!$B$3:$L$42,4,FALSE)</f>
        <v>#N/A</v>
      </c>
      <c r="U909" s="10" t="e">
        <f>VLOOKUP(AJ901,'FRC Site Data'!$B$3:$L$42,5,FALSE)</f>
        <v>#N/A</v>
      </c>
      <c r="V909" s="10" t="e">
        <f>VLOOKUP(AJ901,'FRC Site Data'!$B$3:$L$42,6,FALSE)</f>
        <v>#N/A</v>
      </c>
      <c r="W909" s="10" t="e">
        <f>VLOOKUP(AJ901,'FRC Site Data'!$B$3:$L$42,8,FALSE)</f>
        <v>#N/A</v>
      </c>
      <c r="X909" s="10" t="e">
        <f>VLOOKUP(AJ901,'FRC Site Data'!$B$3:$L$42,9,FALSE)</f>
        <v>#N/A</v>
      </c>
      <c r="Y909" s="10" t="e">
        <f>VLOOKUP(AJ901,'FRC Site Data'!$B$3:$L$42,10,FALSE)</f>
        <v>#N/A</v>
      </c>
      <c r="Z909" s="10" t="e">
        <f>VLOOKUP(AJ901,'FRC Site Data'!$B$3:$L$42,11,FALSE)</f>
        <v>#N/A</v>
      </c>
      <c r="AA909" s="10" t="e">
        <f>VLOOKUP(AJ901,'CIR Team Info'!$C$5:$E$44,4,FALSE)</f>
        <v>#N/A</v>
      </c>
      <c r="AB909" s="161" t="b">
        <f>ISNUMBER(VLOOKUP(AJ901,Match!$T$5:$T$10,1,FALSE))</f>
        <v>0</v>
      </c>
      <c r="AC909" s="161" t="b">
        <f>IF(AB909=TRUE,(VLOOKUP($AJ901,Match!$T$5:$U$10,2,FALSE)))</f>
        <v>0</v>
      </c>
      <c r="AD909" s="8">
        <v>3</v>
      </c>
      <c r="AE909" s="8">
        <v>2</v>
      </c>
      <c r="AF909" s="8">
        <v>2</v>
      </c>
      <c r="AG909" s="8">
        <v>1</v>
      </c>
      <c r="AH909" s="8" t="str">
        <f t="shared" si="225"/>
        <v/>
      </c>
    </row>
    <row r="910" spans="1:34" x14ac:dyDescent="0.25">
      <c r="A910" s="29">
        <f t="shared" si="240"/>
        <v>0</v>
      </c>
      <c r="B910" s="29">
        <f t="shared" si="227"/>
        <v>0</v>
      </c>
      <c r="C910" s="29">
        <f t="shared" si="228"/>
        <v>0</v>
      </c>
      <c r="D910" s="29">
        <f t="shared" si="229"/>
        <v>0</v>
      </c>
      <c r="E910" s="29">
        <f t="shared" si="226"/>
        <v>0</v>
      </c>
      <c r="F910" s="29">
        <f t="shared" si="230"/>
        <v>0</v>
      </c>
      <c r="G910" s="29" t="str">
        <f t="shared" si="231"/>
        <v>offensive</v>
      </c>
      <c r="H910" s="16">
        <f t="shared" si="232"/>
        <v>0</v>
      </c>
      <c r="I910" s="16">
        <f t="shared" si="233"/>
        <v>0</v>
      </c>
      <c r="J910" s="16">
        <f t="shared" si="234"/>
        <v>0</v>
      </c>
      <c r="K910" s="16">
        <f t="shared" si="235"/>
        <v>0</v>
      </c>
      <c r="L910" s="67">
        <f t="shared" si="236"/>
        <v>0</v>
      </c>
      <c r="M910" s="4">
        <f t="shared" si="237"/>
        <v>0</v>
      </c>
      <c r="N910" s="4">
        <f t="shared" si="238"/>
        <v>0</v>
      </c>
      <c r="O910" s="4">
        <f t="shared" si="239"/>
        <v>0</v>
      </c>
      <c r="P910" s="4" t="e">
        <f>VLOOKUP(AJ902,'CIR Team Info'!$C$5:$E$44,2,FALSE)</f>
        <v>#N/A</v>
      </c>
      <c r="Q910" s="4" t="e">
        <f>VLOOKUP(AJ902,'CIR Team Info'!$C$5:$E$44,3,FALSE)</f>
        <v>#N/A</v>
      </c>
      <c r="R910" s="10" t="e">
        <f>VLOOKUP(AJ902,'FRC Site Data'!$B$3:$L$42,2,FALSE)</f>
        <v>#N/A</v>
      </c>
      <c r="S910" s="10" t="e">
        <f>VLOOKUP(AJ902,'FRC Site Data'!$B$3:$L$42,3,FALSE)</f>
        <v>#N/A</v>
      </c>
      <c r="T910" s="10" t="e">
        <f>VLOOKUP(AJ902,'FRC Site Data'!$B$3:$L$42,4,FALSE)</f>
        <v>#N/A</v>
      </c>
      <c r="U910" s="10" t="e">
        <f>VLOOKUP(AJ902,'FRC Site Data'!$B$3:$L$42,5,FALSE)</f>
        <v>#N/A</v>
      </c>
      <c r="V910" s="10" t="e">
        <f>VLOOKUP(AJ902,'FRC Site Data'!$B$3:$L$42,6,FALSE)</f>
        <v>#N/A</v>
      </c>
      <c r="W910" s="10" t="e">
        <f>VLOOKUP(AJ902,'FRC Site Data'!$B$3:$L$42,8,FALSE)</f>
        <v>#N/A</v>
      </c>
      <c r="X910" s="10" t="e">
        <f>VLOOKUP(AJ902,'FRC Site Data'!$B$3:$L$42,9,FALSE)</f>
        <v>#N/A</v>
      </c>
      <c r="Y910" s="10" t="e">
        <f>VLOOKUP(AJ902,'FRC Site Data'!$B$3:$L$42,10,FALSE)</f>
        <v>#N/A</v>
      </c>
      <c r="Z910" s="10" t="e">
        <f>VLOOKUP(AJ902,'FRC Site Data'!$B$3:$L$42,11,FALSE)</f>
        <v>#N/A</v>
      </c>
      <c r="AA910" s="10" t="e">
        <f>VLOOKUP(AJ902,'CIR Team Info'!$C$5:$E$44,4,FALSE)</f>
        <v>#N/A</v>
      </c>
      <c r="AB910" s="161" t="b">
        <f>ISNUMBER(VLOOKUP(AJ902,Match!$T$5:$T$10,1,FALSE))</f>
        <v>0</v>
      </c>
      <c r="AC910" s="161" t="b">
        <f>IF(AB910=TRUE,(VLOOKUP($AJ902,Match!$T$5:$U$10,2,FALSE)))</f>
        <v>0</v>
      </c>
      <c r="AD910" s="8">
        <v>3</v>
      </c>
      <c r="AE910" s="8">
        <v>2</v>
      </c>
      <c r="AF910" s="8">
        <v>2</v>
      </c>
      <c r="AG910" s="8">
        <v>1</v>
      </c>
      <c r="AH910" s="8" t="str">
        <f t="shared" si="225"/>
        <v/>
      </c>
    </row>
    <row r="911" spans="1:34" x14ac:dyDescent="0.25">
      <c r="A911" s="29">
        <f t="shared" si="240"/>
        <v>0</v>
      </c>
      <c r="B911" s="29">
        <f t="shared" si="227"/>
        <v>0</v>
      </c>
      <c r="C911" s="29">
        <f t="shared" si="228"/>
        <v>0</v>
      </c>
      <c r="D911" s="29">
        <f t="shared" si="229"/>
        <v>0</v>
      </c>
      <c r="E911" s="29">
        <f t="shared" si="226"/>
        <v>0</v>
      </c>
      <c r="F911" s="29">
        <f t="shared" si="230"/>
        <v>0</v>
      </c>
      <c r="G911" s="29" t="str">
        <f t="shared" si="231"/>
        <v>offensive</v>
      </c>
      <c r="H911" s="16">
        <f t="shared" si="232"/>
        <v>0</v>
      </c>
      <c r="I911" s="16">
        <f t="shared" si="233"/>
        <v>0</v>
      </c>
      <c r="J911" s="16">
        <f t="shared" si="234"/>
        <v>0</v>
      </c>
      <c r="K911" s="16">
        <f t="shared" si="235"/>
        <v>0</v>
      </c>
      <c r="L911" s="67">
        <f t="shared" si="236"/>
        <v>0</v>
      </c>
      <c r="M911" s="4">
        <f t="shared" si="237"/>
        <v>0</v>
      </c>
      <c r="N911" s="4">
        <f t="shared" si="238"/>
        <v>0</v>
      </c>
      <c r="O911" s="4">
        <f t="shared" si="239"/>
        <v>0</v>
      </c>
      <c r="P911" s="4" t="e">
        <f>VLOOKUP(AJ903,'CIR Team Info'!$C$5:$E$44,2,FALSE)</f>
        <v>#N/A</v>
      </c>
      <c r="Q911" s="4" t="e">
        <f>VLOOKUP(AJ903,'CIR Team Info'!$C$5:$E$44,3,FALSE)</f>
        <v>#N/A</v>
      </c>
      <c r="R911" s="10" t="e">
        <f>VLOOKUP(AJ903,'FRC Site Data'!$B$3:$L$42,2,FALSE)</f>
        <v>#N/A</v>
      </c>
      <c r="S911" s="10" t="e">
        <f>VLOOKUP(AJ903,'FRC Site Data'!$B$3:$L$42,3,FALSE)</f>
        <v>#N/A</v>
      </c>
      <c r="T911" s="10" t="e">
        <f>VLOOKUP(AJ903,'FRC Site Data'!$B$3:$L$42,4,FALSE)</f>
        <v>#N/A</v>
      </c>
      <c r="U911" s="10" t="e">
        <f>VLOOKUP(AJ903,'FRC Site Data'!$B$3:$L$42,5,FALSE)</f>
        <v>#N/A</v>
      </c>
      <c r="V911" s="10" t="e">
        <f>VLOOKUP(AJ903,'FRC Site Data'!$B$3:$L$42,6,FALSE)</f>
        <v>#N/A</v>
      </c>
      <c r="W911" s="10" t="e">
        <f>VLOOKUP(AJ903,'FRC Site Data'!$B$3:$L$42,8,FALSE)</f>
        <v>#N/A</v>
      </c>
      <c r="X911" s="10" t="e">
        <f>VLOOKUP(AJ903,'FRC Site Data'!$B$3:$L$42,9,FALSE)</f>
        <v>#N/A</v>
      </c>
      <c r="Y911" s="10" t="e">
        <f>VLOOKUP(AJ903,'FRC Site Data'!$B$3:$L$42,10,FALSE)</f>
        <v>#N/A</v>
      </c>
      <c r="Z911" s="10" t="e">
        <f>VLOOKUP(AJ903,'FRC Site Data'!$B$3:$L$42,11,FALSE)</f>
        <v>#N/A</v>
      </c>
      <c r="AA911" s="10" t="e">
        <f>VLOOKUP(AJ903,'CIR Team Info'!$C$5:$E$44,4,FALSE)</f>
        <v>#N/A</v>
      </c>
      <c r="AB911" s="161" t="b">
        <f>ISNUMBER(VLOOKUP(AJ903,Match!$T$5:$T$10,1,FALSE))</f>
        <v>0</v>
      </c>
      <c r="AC911" s="161" t="b">
        <f>IF(AB911=TRUE,(VLOOKUP($AJ903,Match!$T$5:$U$10,2,FALSE)))</f>
        <v>0</v>
      </c>
      <c r="AD911" s="8">
        <v>3</v>
      </c>
      <c r="AE911" s="8">
        <v>2</v>
      </c>
      <c r="AF911" s="8">
        <v>2</v>
      </c>
      <c r="AG911" s="8">
        <v>1</v>
      </c>
      <c r="AH911" s="8" t="str">
        <f t="shared" si="225"/>
        <v/>
      </c>
    </row>
    <row r="912" spans="1:34" x14ac:dyDescent="0.25">
      <c r="A912" s="29">
        <f t="shared" si="240"/>
        <v>0</v>
      </c>
      <c r="B912" s="29">
        <f t="shared" si="227"/>
        <v>0</v>
      </c>
      <c r="C912" s="29">
        <f t="shared" si="228"/>
        <v>0</v>
      </c>
      <c r="D912" s="29">
        <f t="shared" si="229"/>
        <v>0</v>
      </c>
      <c r="E912" s="29">
        <f t="shared" si="226"/>
        <v>0</v>
      </c>
      <c r="F912" s="29">
        <f t="shared" si="230"/>
        <v>0</v>
      </c>
      <c r="G912" s="29" t="str">
        <f t="shared" si="231"/>
        <v>offensive</v>
      </c>
      <c r="H912" s="16">
        <f t="shared" si="232"/>
        <v>0</v>
      </c>
      <c r="I912" s="16">
        <f t="shared" si="233"/>
        <v>0</v>
      </c>
      <c r="J912" s="16">
        <f t="shared" si="234"/>
        <v>0</v>
      </c>
      <c r="K912" s="16">
        <f t="shared" si="235"/>
        <v>0</v>
      </c>
      <c r="L912" s="67">
        <f t="shared" si="236"/>
        <v>0</v>
      </c>
      <c r="M912" s="4">
        <f t="shared" si="237"/>
        <v>0</v>
      </c>
      <c r="N912" s="4">
        <f t="shared" si="238"/>
        <v>0</v>
      </c>
      <c r="O912" s="4">
        <f t="shared" si="239"/>
        <v>0</v>
      </c>
      <c r="P912" s="4" t="e">
        <f>VLOOKUP(AJ904,'CIR Team Info'!$C$5:$E$44,2,FALSE)</f>
        <v>#N/A</v>
      </c>
      <c r="Q912" s="4" t="e">
        <f>VLOOKUP(AJ904,'CIR Team Info'!$C$5:$E$44,3,FALSE)</f>
        <v>#N/A</v>
      </c>
      <c r="R912" s="10" t="e">
        <f>VLOOKUP(AJ904,'FRC Site Data'!$B$3:$L$42,2,FALSE)</f>
        <v>#N/A</v>
      </c>
      <c r="S912" s="10" t="e">
        <f>VLOOKUP(AJ904,'FRC Site Data'!$B$3:$L$42,3,FALSE)</f>
        <v>#N/A</v>
      </c>
      <c r="T912" s="10" t="e">
        <f>VLOOKUP(AJ904,'FRC Site Data'!$B$3:$L$42,4,FALSE)</f>
        <v>#N/A</v>
      </c>
      <c r="U912" s="10" t="e">
        <f>VLOOKUP(AJ904,'FRC Site Data'!$B$3:$L$42,5,FALSE)</f>
        <v>#N/A</v>
      </c>
      <c r="V912" s="10" t="e">
        <f>VLOOKUP(AJ904,'FRC Site Data'!$B$3:$L$42,6,FALSE)</f>
        <v>#N/A</v>
      </c>
      <c r="W912" s="10" t="e">
        <f>VLOOKUP(AJ904,'FRC Site Data'!$B$3:$L$42,8,FALSE)</f>
        <v>#N/A</v>
      </c>
      <c r="X912" s="10" t="e">
        <f>VLOOKUP(AJ904,'FRC Site Data'!$B$3:$L$42,9,FALSE)</f>
        <v>#N/A</v>
      </c>
      <c r="Y912" s="10" t="e">
        <f>VLOOKUP(AJ904,'FRC Site Data'!$B$3:$L$42,10,FALSE)</f>
        <v>#N/A</v>
      </c>
      <c r="Z912" s="10" t="e">
        <f>VLOOKUP(AJ904,'FRC Site Data'!$B$3:$L$42,11,FALSE)</f>
        <v>#N/A</v>
      </c>
      <c r="AA912" s="10" t="e">
        <f>VLOOKUP(AJ904,'CIR Team Info'!$C$5:$E$44,4,FALSE)</f>
        <v>#N/A</v>
      </c>
      <c r="AB912" s="161" t="b">
        <f>ISNUMBER(VLOOKUP(AJ904,Match!$T$5:$T$10,1,FALSE))</f>
        <v>0</v>
      </c>
      <c r="AC912" s="161" t="b">
        <f>IF(AB912=TRUE,(VLOOKUP($AJ904,Match!$T$5:$U$10,2,FALSE)))</f>
        <v>0</v>
      </c>
      <c r="AD912" s="8">
        <v>3</v>
      </c>
      <c r="AE912" s="8">
        <v>2</v>
      </c>
      <c r="AF912" s="8">
        <v>2</v>
      </c>
      <c r="AG912" s="8">
        <v>1</v>
      </c>
      <c r="AH912" s="8" t="str">
        <f t="shared" si="225"/>
        <v/>
      </c>
    </row>
    <row r="913" spans="1:34" x14ac:dyDescent="0.25">
      <c r="A913" s="29">
        <f t="shared" si="240"/>
        <v>0</v>
      </c>
      <c r="B913" s="29">
        <f t="shared" si="227"/>
        <v>0</v>
      </c>
      <c r="C913" s="29">
        <f t="shared" si="228"/>
        <v>0</v>
      </c>
      <c r="D913" s="29">
        <f t="shared" si="229"/>
        <v>0</v>
      </c>
      <c r="E913" s="29">
        <f t="shared" si="226"/>
        <v>0</v>
      </c>
      <c r="F913" s="29">
        <f t="shared" si="230"/>
        <v>0</v>
      </c>
      <c r="G913" s="29" t="str">
        <f t="shared" si="231"/>
        <v>offensive</v>
      </c>
      <c r="H913" s="16">
        <f t="shared" si="232"/>
        <v>0</v>
      </c>
      <c r="I913" s="16">
        <f t="shared" si="233"/>
        <v>0</v>
      </c>
      <c r="J913" s="16">
        <f t="shared" si="234"/>
        <v>0</v>
      </c>
      <c r="K913" s="16">
        <f t="shared" si="235"/>
        <v>0</v>
      </c>
      <c r="L913" s="67">
        <f t="shared" si="236"/>
        <v>0</v>
      </c>
      <c r="M913" s="4">
        <f t="shared" si="237"/>
        <v>0</v>
      </c>
      <c r="N913" s="4">
        <f t="shared" si="238"/>
        <v>0</v>
      </c>
      <c r="O913" s="4">
        <f t="shared" si="239"/>
        <v>0</v>
      </c>
      <c r="P913" s="4" t="e">
        <f>VLOOKUP(AJ905,'CIR Team Info'!$C$5:$E$44,2,FALSE)</f>
        <v>#N/A</v>
      </c>
      <c r="Q913" s="4" t="e">
        <f>VLOOKUP(AJ905,'CIR Team Info'!$C$5:$E$44,3,FALSE)</f>
        <v>#N/A</v>
      </c>
      <c r="R913" s="10" t="e">
        <f>VLOOKUP(AJ905,'FRC Site Data'!$B$3:$L$42,2,FALSE)</f>
        <v>#N/A</v>
      </c>
      <c r="S913" s="10" t="e">
        <f>VLOOKUP(AJ905,'FRC Site Data'!$B$3:$L$42,3,FALSE)</f>
        <v>#N/A</v>
      </c>
      <c r="T913" s="10" t="e">
        <f>VLOOKUP(AJ905,'FRC Site Data'!$B$3:$L$42,4,FALSE)</f>
        <v>#N/A</v>
      </c>
      <c r="U913" s="10" t="e">
        <f>VLOOKUP(AJ905,'FRC Site Data'!$B$3:$L$42,5,FALSE)</f>
        <v>#N/A</v>
      </c>
      <c r="V913" s="10" t="e">
        <f>VLOOKUP(AJ905,'FRC Site Data'!$B$3:$L$42,6,FALSE)</f>
        <v>#N/A</v>
      </c>
      <c r="W913" s="10" t="e">
        <f>VLOOKUP(AJ905,'FRC Site Data'!$B$3:$L$42,8,FALSE)</f>
        <v>#N/A</v>
      </c>
      <c r="X913" s="10" t="e">
        <f>VLOOKUP(AJ905,'FRC Site Data'!$B$3:$L$42,9,FALSE)</f>
        <v>#N/A</v>
      </c>
      <c r="Y913" s="10" t="e">
        <f>VLOOKUP(AJ905,'FRC Site Data'!$B$3:$L$42,10,FALSE)</f>
        <v>#N/A</v>
      </c>
      <c r="Z913" s="10" t="e">
        <f>VLOOKUP(AJ905,'FRC Site Data'!$B$3:$L$42,11,FALSE)</f>
        <v>#N/A</v>
      </c>
      <c r="AA913" s="10" t="e">
        <f>VLOOKUP(AJ905,'CIR Team Info'!$C$5:$E$44,4,FALSE)</f>
        <v>#N/A</v>
      </c>
      <c r="AB913" s="161" t="b">
        <f>ISNUMBER(VLOOKUP(AJ905,Match!$T$5:$T$10,1,FALSE))</f>
        <v>0</v>
      </c>
      <c r="AC913" s="161" t="b">
        <f>IF(AB913=TRUE,(VLOOKUP($AJ905,Match!$T$5:$U$10,2,FALSE)))</f>
        <v>0</v>
      </c>
      <c r="AD913" s="8">
        <v>3</v>
      </c>
      <c r="AE913" s="8">
        <v>2</v>
      </c>
      <c r="AF913" s="8">
        <v>2</v>
      </c>
      <c r="AG913" s="8">
        <v>1</v>
      </c>
      <c r="AH913" s="8" t="str">
        <f t="shared" si="225"/>
        <v/>
      </c>
    </row>
    <row r="914" spans="1:34" x14ac:dyDescent="0.25">
      <c r="A914" s="29">
        <f t="shared" si="240"/>
        <v>0</v>
      </c>
      <c r="B914" s="29">
        <f t="shared" si="227"/>
        <v>0</v>
      </c>
      <c r="C914" s="29">
        <f t="shared" si="228"/>
        <v>0</v>
      </c>
      <c r="D914" s="29">
        <f t="shared" si="229"/>
        <v>0</v>
      </c>
      <c r="E914" s="29">
        <f t="shared" si="226"/>
        <v>0</v>
      </c>
      <c r="F914" s="29">
        <f t="shared" si="230"/>
        <v>0</v>
      </c>
      <c r="G914" s="29" t="str">
        <f t="shared" si="231"/>
        <v>offensive</v>
      </c>
      <c r="H914" s="16">
        <f t="shared" si="232"/>
        <v>0</v>
      </c>
      <c r="I914" s="16">
        <f t="shared" si="233"/>
        <v>0</v>
      </c>
      <c r="J914" s="16">
        <f t="shared" si="234"/>
        <v>0</v>
      </c>
      <c r="K914" s="16">
        <f t="shared" si="235"/>
        <v>0</v>
      </c>
      <c r="L914" s="67">
        <f t="shared" si="236"/>
        <v>0</v>
      </c>
      <c r="M914" s="4">
        <f t="shared" si="237"/>
        <v>0</v>
      </c>
      <c r="N914" s="4">
        <f t="shared" si="238"/>
        <v>0</v>
      </c>
      <c r="O914" s="4">
        <f t="shared" si="239"/>
        <v>0</v>
      </c>
      <c r="P914" s="4" t="e">
        <f>VLOOKUP(AJ906,'CIR Team Info'!$C$5:$E$44,2,FALSE)</f>
        <v>#N/A</v>
      </c>
      <c r="Q914" s="4" t="e">
        <f>VLOOKUP(AJ906,'CIR Team Info'!$C$5:$E$44,3,FALSE)</f>
        <v>#N/A</v>
      </c>
      <c r="R914" s="10" t="e">
        <f>VLOOKUP(AJ906,'FRC Site Data'!$B$3:$L$42,2,FALSE)</f>
        <v>#N/A</v>
      </c>
      <c r="S914" s="10" t="e">
        <f>VLOOKUP(AJ906,'FRC Site Data'!$B$3:$L$42,3,FALSE)</f>
        <v>#N/A</v>
      </c>
      <c r="T914" s="10" t="e">
        <f>VLOOKUP(AJ906,'FRC Site Data'!$B$3:$L$42,4,FALSE)</f>
        <v>#N/A</v>
      </c>
      <c r="U914" s="10" t="e">
        <f>VLOOKUP(AJ906,'FRC Site Data'!$B$3:$L$42,5,FALSE)</f>
        <v>#N/A</v>
      </c>
      <c r="V914" s="10" t="e">
        <f>VLOOKUP(AJ906,'FRC Site Data'!$B$3:$L$42,6,FALSE)</f>
        <v>#N/A</v>
      </c>
      <c r="W914" s="10" t="e">
        <f>VLOOKUP(AJ906,'FRC Site Data'!$B$3:$L$42,8,FALSE)</f>
        <v>#N/A</v>
      </c>
      <c r="X914" s="10" t="e">
        <f>VLOOKUP(AJ906,'FRC Site Data'!$B$3:$L$42,9,FALSE)</f>
        <v>#N/A</v>
      </c>
      <c r="Y914" s="10" t="e">
        <f>VLOOKUP(AJ906,'FRC Site Data'!$B$3:$L$42,10,FALSE)</f>
        <v>#N/A</v>
      </c>
      <c r="Z914" s="10" t="e">
        <f>VLOOKUP(AJ906,'FRC Site Data'!$B$3:$L$42,11,FALSE)</f>
        <v>#N/A</v>
      </c>
      <c r="AA914" s="10" t="e">
        <f>VLOOKUP(AJ906,'CIR Team Info'!$C$5:$E$44,4,FALSE)</f>
        <v>#N/A</v>
      </c>
      <c r="AB914" s="161" t="b">
        <f>ISNUMBER(VLOOKUP(AJ906,Match!$T$5:$T$10,1,FALSE))</f>
        <v>0</v>
      </c>
      <c r="AC914" s="161" t="b">
        <f>IF(AB914=TRUE,(VLOOKUP($AJ906,Match!$T$5:$U$10,2,FALSE)))</f>
        <v>0</v>
      </c>
      <c r="AD914" s="8">
        <v>3</v>
      </c>
      <c r="AE914" s="8">
        <v>2</v>
      </c>
      <c r="AF914" s="8">
        <v>2</v>
      </c>
      <c r="AG914" s="8">
        <v>1</v>
      </c>
      <c r="AH914" s="8" t="str">
        <f t="shared" si="225"/>
        <v/>
      </c>
    </row>
    <row r="915" spans="1:34" x14ac:dyDescent="0.25">
      <c r="A915" s="29">
        <f t="shared" si="240"/>
        <v>0</v>
      </c>
      <c r="B915" s="29">
        <f t="shared" si="227"/>
        <v>0</v>
      </c>
      <c r="C915" s="29">
        <f t="shared" si="228"/>
        <v>0</v>
      </c>
      <c r="D915" s="29">
        <f t="shared" si="229"/>
        <v>0</v>
      </c>
      <c r="E915" s="29">
        <f t="shared" si="226"/>
        <v>0</v>
      </c>
      <c r="F915" s="29">
        <f t="shared" si="230"/>
        <v>0</v>
      </c>
      <c r="G915" s="29" t="str">
        <f t="shared" si="231"/>
        <v>offensive</v>
      </c>
      <c r="H915" s="16">
        <f t="shared" si="232"/>
        <v>0</v>
      </c>
      <c r="I915" s="16">
        <f t="shared" si="233"/>
        <v>0</v>
      </c>
      <c r="J915" s="16">
        <f t="shared" si="234"/>
        <v>0</v>
      </c>
      <c r="K915" s="16">
        <f t="shared" si="235"/>
        <v>0</v>
      </c>
      <c r="L915" s="67">
        <f t="shared" si="236"/>
        <v>0</v>
      </c>
      <c r="M915" s="4">
        <f t="shared" si="237"/>
        <v>0</v>
      </c>
      <c r="N915" s="4">
        <f t="shared" si="238"/>
        <v>0</v>
      </c>
      <c r="O915" s="4">
        <f t="shared" si="239"/>
        <v>0</v>
      </c>
      <c r="P915" s="4" t="e">
        <f>VLOOKUP(AJ907,'CIR Team Info'!$C$5:$E$44,2,FALSE)</f>
        <v>#N/A</v>
      </c>
      <c r="Q915" s="4" t="e">
        <f>VLOOKUP(AJ907,'CIR Team Info'!$C$5:$E$44,3,FALSE)</f>
        <v>#N/A</v>
      </c>
      <c r="R915" s="10" t="e">
        <f>VLOOKUP(AJ907,'FRC Site Data'!$B$3:$L$42,2,FALSE)</f>
        <v>#N/A</v>
      </c>
      <c r="S915" s="10" t="e">
        <f>VLOOKUP(AJ907,'FRC Site Data'!$B$3:$L$42,3,FALSE)</f>
        <v>#N/A</v>
      </c>
      <c r="T915" s="10" t="e">
        <f>VLOOKUP(AJ907,'FRC Site Data'!$B$3:$L$42,4,FALSE)</f>
        <v>#N/A</v>
      </c>
      <c r="U915" s="10" t="e">
        <f>VLOOKUP(AJ907,'FRC Site Data'!$B$3:$L$42,5,FALSE)</f>
        <v>#N/A</v>
      </c>
      <c r="V915" s="10" t="e">
        <f>VLOOKUP(AJ907,'FRC Site Data'!$B$3:$L$42,6,FALSE)</f>
        <v>#N/A</v>
      </c>
      <c r="W915" s="10" t="e">
        <f>VLOOKUP(AJ907,'FRC Site Data'!$B$3:$L$42,8,FALSE)</f>
        <v>#N/A</v>
      </c>
      <c r="X915" s="10" t="e">
        <f>VLOOKUP(AJ907,'FRC Site Data'!$B$3:$L$42,9,FALSE)</f>
        <v>#N/A</v>
      </c>
      <c r="Y915" s="10" t="e">
        <f>VLOOKUP(AJ907,'FRC Site Data'!$B$3:$L$42,10,FALSE)</f>
        <v>#N/A</v>
      </c>
      <c r="Z915" s="10" t="e">
        <f>VLOOKUP(AJ907,'FRC Site Data'!$B$3:$L$42,11,FALSE)</f>
        <v>#N/A</v>
      </c>
      <c r="AA915" s="10" t="e">
        <f>VLOOKUP(AJ907,'CIR Team Info'!$C$5:$E$44,4,FALSE)</f>
        <v>#N/A</v>
      </c>
      <c r="AB915" s="161" t="b">
        <f>ISNUMBER(VLOOKUP(AJ907,Match!$T$5:$T$10,1,FALSE))</f>
        <v>0</v>
      </c>
      <c r="AC915" s="161" t="b">
        <f>IF(AB915=TRUE,(VLOOKUP($AJ907,Match!$T$5:$U$10,2,FALSE)))</f>
        <v>0</v>
      </c>
      <c r="AD915" s="8">
        <v>3</v>
      </c>
      <c r="AE915" s="8">
        <v>2</v>
      </c>
      <c r="AF915" s="8">
        <v>2</v>
      </c>
      <c r="AG915" s="8">
        <v>1</v>
      </c>
      <c r="AH915" s="8" t="str">
        <f t="shared" si="225"/>
        <v/>
      </c>
    </row>
    <row r="916" spans="1:34" x14ac:dyDescent="0.25">
      <c r="A916" s="29">
        <f t="shared" si="240"/>
        <v>0</v>
      </c>
      <c r="B916" s="29">
        <f t="shared" si="227"/>
        <v>0</v>
      </c>
      <c r="C916" s="29">
        <f t="shared" si="228"/>
        <v>0</v>
      </c>
      <c r="D916" s="29">
        <f t="shared" si="229"/>
        <v>0</v>
      </c>
      <c r="E916" s="29">
        <f t="shared" si="226"/>
        <v>0</v>
      </c>
      <c r="F916" s="29">
        <f t="shared" si="230"/>
        <v>0</v>
      </c>
      <c r="G916" s="29" t="str">
        <f t="shared" si="231"/>
        <v>offensive</v>
      </c>
      <c r="H916" s="16">
        <f t="shared" si="232"/>
        <v>0</v>
      </c>
      <c r="I916" s="16">
        <f t="shared" si="233"/>
        <v>0</v>
      </c>
      <c r="J916" s="16">
        <f t="shared" si="234"/>
        <v>0</v>
      </c>
      <c r="K916" s="16">
        <f t="shared" si="235"/>
        <v>0</v>
      </c>
      <c r="L916" s="67">
        <f t="shared" si="236"/>
        <v>0</v>
      </c>
      <c r="M916" s="4">
        <f t="shared" si="237"/>
        <v>0</v>
      </c>
      <c r="N916" s="4">
        <f t="shared" si="238"/>
        <v>0</v>
      </c>
      <c r="O916" s="4">
        <f t="shared" si="239"/>
        <v>0</v>
      </c>
      <c r="P916" s="4" t="e">
        <f>VLOOKUP(AJ908,'CIR Team Info'!$C$5:$E$44,2,FALSE)</f>
        <v>#N/A</v>
      </c>
      <c r="Q916" s="4" t="e">
        <f>VLOOKUP(AJ908,'CIR Team Info'!$C$5:$E$44,3,FALSE)</f>
        <v>#N/A</v>
      </c>
      <c r="R916" s="10" t="e">
        <f>VLOOKUP(AJ908,'FRC Site Data'!$B$3:$L$42,2,FALSE)</f>
        <v>#N/A</v>
      </c>
      <c r="S916" s="10" t="e">
        <f>VLOOKUP(AJ908,'FRC Site Data'!$B$3:$L$42,3,FALSE)</f>
        <v>#N/A</v>
      </c>
      <c r="T916" s="10" t="e">
        <f>VLOOKUP(AJ908,'FRC Site Data'!$B$3:$L$42,4,FALSE)</f>
        <v>#N/A</v>
      </c>
      <c r="U916" s="10" t="e">
        <f>VLOOKUP(AJ908,'FRC Site Data'!$B$3:$L$42,5,FALSE)</f>
        <v>#N/A</v>
      </c>
      <c r="V916" s="10" t="e">
        <f>VLOOKUP(AJ908,'FRC Site Data'!$B$3:$L$42,6,FALSE)</f>
        <v>#N/A</v>
      </c>
      <c r="W916" s="10" t="e">
        <f>VLOOKUP(AJ908,'FRC Site Data'!$B$3:$L$42,8,FALSE)</f>
        <v>#N/A</v>
      </c>
      <c r="X916" s="10" t="e">
        <f>VLOOKUP(AJ908,'FRC Site Data'!$B$3:$L$42,9,FALSE)</f>
        <v>#N/A</v>
      </c>
      <c r="Y916" s="10" t="e">
        <f>VLOOKUP(AJ908,'FRC Site Data'!$B$3:$L$42,10,FALSE)</f>
        <v>#N/A</v>
      </c>
      <c r="Z916" s="10" t="e">
        <f>VLOOKUP(AJ908,'FRC Site Data'!$B$3:$L$42,11,FALSE)</f>
        <v>#N/A</v>
      </c>
      <c r="AA916" s="10" t="e">
        <f>VLOOKUP(AJ908,'CIR Team Info'!$C$5:$E$44,4,FALSE)</f>
        <v>#N/A</v>
      </c>
      <c r="AB916" s="161" t="b">
        <f>ISNUMBER(VLOOKUP(AJ908,Match!$T$5:$T$10,1,FALSE))</f>
        <v>0</v>
      </c>
      <c r="AC916" s="161" t="b">
        <f>IF(AB916=TRUE,(VLOOKUP($AJ908,Match!$T$5:$U$10,2,FALSE)))</f>
        <v>0</v>
      </c>
      <c r="AD916" s="8">
        <v>3</v>
      </c>
      <c r="AE916" s="8">
        <v>2</v>
      </c>
      <c r="AF916" s="8">
        <v>2</v>
      </c>
      <c r="AG916" s="8">
        <v>1</v>
      </c>
      <c r="AH916" s="8" t="str">
        <f t="shared" si="225"/>
        <v/>
      </c>
    </row>
    <row r="917" spans="1:34" x14ac:dyDescent="0.25">
      <c r="A917" s="29">
        <f t="shared" si="240"/>
        <v>0</v>
      </c>
      <c r="B917" s="29">
        <f t="shared" si="227"/>
        <v>0</v>
      </c>
      <c r="C917" s="29">
        <f t="shared" si="228"/>
        <v>0</v>
      </c>
      <c r="D917" s="29">
        <f t="shared" si="229"/>
        <v>0</v>
      </c>
      <c r="E917" s="29">
        <f t="shared" si="226"/>
        <v>0</v>
      </c>
      <c r="F917" s="29">
        <f t="shared" si="230"/>
        <v>0</v>
      </c>
      <c r="G917" s="29" t="str">
        <f t="shared" si="231"/>
        <v>offensive</v>
      </c>
      <c r="H917" s="16">
        <f t="shared" si="232"/>
        <v>0</v>
      </c>
      <c r="I917" s="16">
        <f t="shared" si="233"/>
        <v>0</v>
      </c>
      <c r="J917" s="16">
        <f t="shared" si="234"/>
        <v>0</v>
      </c>
      <c r="K917" s="16">
        <f t="shared" si="235"/>
        <v>0</v>
      </c>
      <c r="L917" s="67">
        <f t="shared" si="236"/>
        <v>0</v>
      </c>
      <c r="M917" s="4">
        <f t="shared" si="237"/>
        <v>0</v>
      </c>
      <c r="N917" s="4">
        <f t="shared" si="238"/>
        <v>0</v>
      </c>
      <c r="O917" s="4">
        <f t="shared" si="239"/>
        <v>0</v>
      </c>
      <c r="P917" s="4" t="e">
        <f>VLOOKUP(AJ909,'CIR Team Info'!$C$5:$E$44,2,FALSE)</f>
        <v>#N/A</v>
      </c>
      <c r="Q917" s="4" t="e">
        <f>VLOOKUP(AJ909,'CIR Team Info'!$C$5:$E$44,3,FALSE)</f>
        <v>#N/A</v>
      </c>
      <c r="R917" s="10" t="e">
        <f>VLOOKUP(AJ909,'FRC Site Data'!$B$3:$L$42,2,FALSE)</f>
        <v>#N/A</v>
      </c>
      <c r="S917" s="10" t="e">
        <f>VLOOKUP(AJ909,'FRC Site Data'!$B$3:$L$42,3,FALSE)</f>
        <v>#N/A</v>
      </c>
      <c r="T917" s="10" t="e">
        <f>VLOOKUP(AJ909,'FRC Site Data'!$B$3:$L$42,4,FALSE)</f>
        <v>#N/A</v>
      </c>
      <c r="U917" s="10" t="e">
        <f>VLOOKUP(AJ909,'FRC Site Data'!$B$3:$L$42,5,FALSE)</f>
        <v>#N/A</v>
      </c>
      <c r="V917" s="10" t="e">
        <f>VLOOKUP(AJ909,'FRC Site Data'!$B$3:$L$42,6,FALSE)</f>
        <v>#N/A</v>
      </c>
      <c r="W917" s="10" t="e">
        <f>VLOOKUP(AJ909,'FRC Site Data'!$B$3:$L$42,8,FALSE)</f>
        <v>#N/A</v>
      </c>
      <c r="X917" s="10" t="e">
        <f>VLOOKUP(AJ909,'FRC Site Data'!$B$3:$L$42,9,FALSE)</f>
        <v>#N/A</v>
      </c>
      <c r="Y917" s="10" t="e">
        <f>VLOOKUP(AJ909,'FRC Site Data'!$B$3:$L$42,10,FALSE)</f>
        <v>#N/A</v>
      </c>
      <c r="Z917" s="10" t="e">
        <f>VLOOKUP(AJ909,'FRC Site Data'!$B$3:$L$42,11,FALSE)</f>
        <v>#N/A</v>
      </c>
      <c r="AA917" s="10" t="e">
        <f>VLOOKUP(AJ909,'CIR Team Info'!$C$5:$E$44,4,FALSE)</f>
        <v>#N/A</v>
      </c>
      <c r="AB917" s="161" t="b">
        <f>ISNUMBER(VLOOKUP(AJ909,Match!$T$5:$T$10,1,FALSE))</f>
        <v>0</v>
      </c>
      <c r="AC917" s="161" t="b">
        <f>IF(AB917=TRUE,(VLOOKUP($AJ909,Match!$T$5:$U$10,2,FALSE)))</f>
        <v>0</v>
      </c>
      <c r="AD917" s="8">
        <v>3</v>
      </c>
      <c r="AE917" s="8">
        <v>2</v>
      </c>
      <c r="AF917" s="8">
        <v>2</v>
      </c>
      <c r="AG917" s="8">
        <v>1</v>
      </c>
      <c r="AH917" s="8" t="str">
        <f t="shared" si="225"/>
        <v/>
      </c>
    </row>
    <row r="918" spans="1:34" x14ac:dyDescent="0.25">
      <c r="A918" s="29">
        <f t="shared" si="240"/>
        <v>0</v>
      </c>
      <c r="B918" s="29">
        <f t="shared" si="227"/>
        <v>0</v>
      </c>
      <c r="C918" s="29">
        <f t="shared" si="228"/>
        <v>0</v>
      </c>
      <c r="D918" s="29">
        <f t="shared" si="229"/>
        <v>0</v>
      </c>
      <c r="E918" s="29">
        <f t="shared" si="226"/>
        <v>0</v>
      </c>
      <c r="F918" s="29">
        <f t="shared" si="230"/>
        <v>0</v>
      </c>
      <c r="G918" s="29" t="str">
        <f t="shared" si="231"/>
        <v>offensive</v>
      </c>
      <c r="H918" s="16">
        <f t="shared" si="232"/>
        <v>0</v>
      </c>
      <c r="I918" s="16">
        <f t="shared" si="233"/>
        <v>0</v>
      </c>
      <c r="J918" s="16">
        <f t="shared" si="234"/>
        <v>0</v>
      </c>
      <c r="K918" s="16">
        <f t="shared" si="235"/>
        <v>0</v>
      </c>
      <c r="L918" s="67">
        <f t="shared" si="236"/>
        <v>0</v>
      </c>
      <c r="M918" s="4">
        <f t="shared" si="237"/>
        <v>0</v>
      </c>
      <c r="N918" s="4">
        <f t="shared" si="238"/>
        <v>0</v>
      </c>
      <c r="O918" s="4">
        <f t="shared" si="239"/>
        <v>0</v>
      </c>
      <c r="P918" s="4" t="e">
        <f>VLOOKUP(AJ910,'CIR Team Info'!$C$5:$E$44,2,FALSE)</f>
        <v>#N/A</v>
      </c>
      <c r="Q918" s="4" t="e">
        <f>VLOOKUP(AJ910,'CIR Team Info'!$C$5:$E$44,3,FALSE)</f>
        <v>#N/A</v>
      </c>
      <c r="R918" s="10" t="e">
        <f>VLOOKUP(AJ910,'FRC Site Data'!$B$3:$L$42,2,FALSE)</f>
        <v>#N/A</v>
      </c>
      <c r="S918" s="10" t="e">
        <f>VLOOKUP(AJ910,'FRC Site Data'!$B$3:$L$42,3,FALSE)</f>
        <v>#N/A</v>
      </c>
      <c r="T918" s="10" t="e">
        <f>VLOOKUP(AJ910,'FRC Site Data'!$B$3:$L$42,4,FALSE)</f>
        <v>#N/A</v>
      </c>
      <c r="U918" s="10" t="e">
        <f>VLOOKUP(AJ910,'FRC Site Data'!$B$3:$L$42,5,FALSE)</f>
        <v>#N/A</v>
      </c>
      <c r="V918" s="10" t="e">
        <f>VLOOKUP(AJ910,'FRC Site Data'!$B$3:$L$42,6,FALSE)</f>
        <v>#N/A</v>
      </c>
      <c r="W918" s="10" t="e">
        <f>VLOOKUP(AJ910,'FRC Site Data'!$B$3:$L$42,8,FALSE)</f>
        <v>#N/A</v>
      </c>
      <c r="X918" s="10" t="e">
        <f>VLOOKUP(AJ910,'FRC Site Data'!$B$3:$L$42,9,FALSE)</f>
        <v>#N/A</v>
      </c>
      <c r="Y918" s="10" t="e">
        <f>VLOOKUP(AJ910,'FRC Site Data'!$B$3:$L$42,10,FALSE)</f>
        <v>#N/A</v>
      </c>
      <c r="Z918" s="10" t="e">
        <f>VLOOKUP(AJ910,'FRC Site Data'!$B$3:$L$42,11,FALSE)</f>
        <v>#N/A</v>
      </c>
      <c r="AA918" s="10" t="e">
        <f>VLOOKUP(AJ910,'CIR Team Info'!$C$5:$E$44,4,FALSE)</f>
        <v>#N/A</v>
      </c>
      <c r="AB918" s="161" t="b">
        <f>ISNUMBER(VLOOKUP(AJ910,Match!$T$5:$T$10,1,FALSE))</f>
        <v>0</v>
      </c>
      <c r="AC918" s="161" t="b">
        <f>IF(AB918=TRUE,(VLOOKUP($AJ910,Match!$T$5:$U$10,2,FALSE)))</f>
        <v>0</v>
      </c>
      <c r="AD918" s="8">
        <v>3</v>
      </c>
      <c r="AE918" s="8">
        <v>2</v>
      </c>
      <c r="AF918" s="8">
        <v>2</v>
      </c>
      <c r="AG918" s="8">
        <v>1</v>
      </c>
      <c r="AH918" s="8" t="str">
        <f t="shared" si="225"/>
        <v/>
      </c>
    </row>
    <row r="919" spans="1:34" x14ac:dyDescent="0.25">
      <c r="A919" s="29">
        <f t="shared" si="240"/>
        <v>0</v>
      </c>
      <c r="B919" s="29">
        <f t="shared" si="227"/>
        <v>0</v>
      </c>
      <c r="C919" s="29">
        <f t="shared" si="228"/>
        <v>0</v>
      </c>
      <c r="D919" s="29">
        <f t="shared" si="229"/>
        <v>0</v>
      </c>
      <c r="E919" s="29">
        <f t="shared" si="226"/>
        <v>0</v>
      </c>
      <c r="F919" s="29">
        <f t="shared" si="230"/>
        <v>0</v>
      </c>
      <c r="G919" s="29" t="str">
        <f t="shared" si="231"/>
        <v>offensive</v>
      </c>
      <c r="H919" s="16">
        <f t="shared" si="232"/>
        <v>0</v>
      </c>
      <c r="I919" s="16">
        <f t="shared" si="233"/>
        <v>0</v>
      </c>
      <c r="J919" s="16">
        <f t="shared" si="234"/>
        <v>0</v>
      </c>
      <c r="K919" s="16">
        <f t="shared" si="235"/>
        <v>0</v>
      </c>
      <c r="L919" s="67">
        <f t="shared" si="236"/>
        <v>0</v>
      </c>
      <c r="M919" s="4">
        <f t="shared" si="237"/>
        <v>0</v>
      </c>
      <c r="N919" s="4">
        <f t="shared" si="238"/>
        <v>0</v>
      </c>
      <c r="O919" s="4">
        <f t="shared" si="239"/>
        <v>0</v>
      </c>
      <c r="P919" s="4" t="e">
        <f>VLOOKUP(AJ911,'CIR Team Info'!$C$5:$E$44,2,FALSE)</f>
        <v>#N/A</v>
      </c>
      <c r="Q919" s="4" t="e">
        <f>VLOOKUP(AJ911,'CIR Team Info'!$C$5:$E$44,3,FALSE)</f>
        <v>#N/A</v>
      </c>
      <c r="R919" s="10" t="e">
        <f>VLOOKUP(AJ911,'FRC Site Data'!$B$3:$L$42,2,FALSE)</f>
        <v>#N/A</v>
      </c>
      <c r="S919" s="10" t="e">
        <f>VLOOKUP(AJ911,'FRC Site Data'!$B$3:$L$42,3,FALSE)</f>
        <v>#N/A</v>
      </c>
      <c r="T919" s="10" t="e">
        <f>VLOOKUP(AJ911,'FRC Site Data'!$B$3:$L$42,4,FALSE)</f>
        <v>#N/A</v>
      </c>
      <c r="U919" s="10" t="e">
        <f>VLOOKUP(AJ911,'FRC Site Data'!$B$3:$L$42,5,FALSE)</f>
        <v>#N/A</v>
      </c>
      <c r="V919" s="10" t="e">
        <f>VLOOKUP(AJ911,'FRC Site Data'!$B$3:$L$42,6,FALSE)</f>
        <v>#N/A</v>
      </c>
      <c r="W919" s="10" t="e">
        <f>VLOOKUP(AJ911,'FRC Site Data'!$B$3:$L$42,8,FALSE)</f>
        <v>#N/A</v>
      </c>
      <c r="X919" s="10" t="e">
        <f>VLOOKUP(AJ911,'FRC Site Data'!$B$3:$L$42,9,FALSE)</f>
        <v>#N/A</v>
      </c>
      <c r="Y919" s="10" t="e">
        <f>VLOOKUP(AJ911,'FRC Site Data'!$B$3:$L$42,10,FALSE)</f>
        <v>#N/A</v>
      </c>
      <c r="Z919" s="10" t="e">
        <f>VLOOKUP(AJ911,'FRC Site Data'!$B$3:$L$42,11,FALSE)</f>
        <v>#N/A</v>
      </c>
      <c r="AA919" s="10" t="e">
        <f>VLOOKUP(AJ911,'CIR Team Info'!$C$5:$E$44,4,FALSE)</f>
        <v>#N/A</v>
      </c>
      <c r="AB919" s="161" t="b">
        <f>ISNUMBER(VLOOKUP(AJ911,Match!$T$5:$T$10,1,FALSE))</f>
        <v>0</v>
      </c>
      <c r="AC919" s="161" t="b">
        <f>IF(AB919=TRUE,(VLOOKUP($AJ911,Match!$T$5:$U$10,2,FALSE)))</f>
        <v>0</v>
      </c>
      <c r="AD919" s="8">
        <v>3</v>
      </c>
      <c r="AE919" s="8">
        <v>2</v>
      </c>
      <c r="AF919" s="8">
        <v>2</v>
      </c>
      <c r="AG919" s="8">
        <v>1</v>
      </c>
      <c r="AH919" s="8" t="str">
        <f t="shared" si="225"/>
        <v/>
      </c>
    </row>
    <row r="920" spans="1:34" x14ac:dyDescent="0.25">
      <c r="A920" s="29">
        <f t="shared" si="240"/>
        <v>0</v>
      </c>
      <c r="B920" s="29">
        <f t="shared" si="227"/>
        <v>0</v>
      </c>
      <c r="C920" s="29">
        <f t="shared" si="228"/>
        <v>0</v>
      </c>
      <c r="D920" s="29">
        <f t="shared" si="229"/>
        <v>0</v>
      </c>
      <c r="E920" s="29">
        <f t="shared" si="226"/>
        <v>0</v>
      </c>
      <c r="F920" s="29">
        <f t="shared" si="230"/>
        <v>0</v>
      </c>
      <c r="G920" s="29" t="str">
        <f t="shared" si="231"/>
        <v>offensive</v>
      </c>
      <c r="H920" s="16">
        <f t="shared" si="232"/>
        <v>0</v>
      </c>
      <c r="I920" s="16">
        <f t="shared" si="233"/>
        <v>0</v>
      </c>
      <c r="J920" s="16">
        <f t="shared" si="234"/>
        <v>0</v>
      </c>
      <c r="K920" s="16">
        <f t="shared" si="235"/>
        <v>0</v>
      </c>
      <c r="L920" s="67">
        <f t="shared" si="236"/>
        <v>0</v>
      </c>
      <c r="M920" s="4">
        <f t="shared" si="237"/>
        <v>0</v>
      </c>
      <c r="N920" s="4">
        <f t="shared" si="238"/>
        <v>0</v>
      </c>
      <c r="O920" s="4">
        <f t="shared" si="239"/>
        <v>0</v>
      </c>
      <c r="P920" s="4" t="e">
        <f>VLOOKUP(AJ912,'CIR Team Info'!$C$5:$E$44,2,FALSE)</f>
        <v>#N/A</v>
      </c>
      <c r="Q920" s="4" t="e">
        <f>VLOOKUP(AJ912,'CIR Team Info'!$C$5:$E$44,3,FALSE)</f>
        <v>#N/A</v>
      </c>
      <c r="R920" s="10" t="e">
        <f>VLOOKUP(AJ912,'FRC Site Data'!$B$3:$L$42,2,FALSE)</f>
        <v>#N/A</v>
      </c>
      <c r="S920" s="10" t="e">
        <f>VLOOKUP(AJ912,'FRC Site Data'!$B$3:$L$42,3,FALSE)</f>
        <v>#N/A</v>
      </c>
      <c r="T920" s="10" t="e">
        <f>VLOOKUP(AJ912,'FRC Site Data'!$B$3:$L$42,4,FALSE)</f>
        <v>#N/A</v>
      </c>
      <c r="U920" s="10" t="e">
        <f>VLOOKUP(AJ912,'FRC Site Data'!$B$3:$L$42,5,FALSE)</f>
        <v>#N/A</v>
      </c>
      <c r="V920" s="10" t="e">
        <f>VLOOKUP(AJ912,'FRC Site Data'!$B$3:$L$42,6,FALSE)</f>
        <v>#N/A</v>
      </c>
      <c r="W920" s="10" t="e">
        <f>VLOOKUP(AJ912,'FRC Site Data'!$B$3:$L$42,8,FALSE)</f>
        <v>#N/A</v>
      </c>
      <c r="X920" s="10" t="e">
        <f>VLOOKUP(AJ912,'FRC Site Data'!$B$3:$L$42,9,FALSE)</f>
        <v>#N/A</v>
      </c>
      <c r="Y920" s="10" t="e">
        <f>VLOOKUP(AJ912,'FRC Site Data'!$B$3:$L$42,10,FALSE)</f>
        <v>#N/A</v>
      </c>
      <c r="Z920" s="10" t="e">
        <f>VLOOKUP(AJ912,'FRC Site Data'!$B$3:$L$42,11,FALSE)</f>
        <v>#N/A</v>
      </c>
      <c r="AA920" s="10" t="e">
        <f>VLOOKUP(AJ912,'CIR Team Info'!$C$5:$E$44,4,FALSE)</f>
        <v>#N/A</v>
      </c>
      <c r="AB920" s="161" t="b">
        <f>ISNUMBER(VLOOKUP(AJ912,Match!$T$5:$T$10,1,FALSE))</f>
        <v>0</v>
      </c>
      <c r="AC920" s="161" t="b">
        <f>IF(AB920=TRUE,(VLOOKUP($AJ912,Match!$T$5:$U$10,2,FALSE)))</f>
        <v>0</v>
      </c>
      <c r="AD920" s="8">
        <v>3</v>
      </c>
      <c r="AE920" s="8">
        <v>2</v>
      </c>
      <c r="AF920" s="8">
        <v>2</v>
      </c>
      <c r="AG920" s="8">
        <v>1</v>
      </c>
      <c r="AH920" s="8" t="str">
        <f t="shared" si="225"/>
        <v/>
      </c>
    </row>
    <row r="921" spans="1:34" x14ac:dyDescent="0.25">
      <c r="A921" s="29">
        <f t="shared" si="240"/>
        <v>0</v>
      </c>
      <c r="B921" s="29">
        <f t="shared" si="227"/>
        <v>0</v>
      </c>
      <c r="C921" s="29">
        <f t="shared" si="228"/>
        <v>0</v>
      </c>
      <c r="D921" s="29">
        <f t="shared" si="229"/>
        <v>0</v>
      </c>
      <c r="E921" s="29">
        <f t="shared" si="226"/>
        <v>0</v>
      </c>
      <c r="F921" s="29">
        <f t="shared" si="230"/>
        <v>0</v>
      </c>
      <c r="G921" s="29" t="str">
        <f t="shared" si="231"/>
        <v>offensive</v>
      </c>
      <c r="H921" s="16">
        <f t="shared" si="232"/>
        <v>0</v>
      </c>
      <c r="I921" s="16">
        <f t="shared" si="233"/>
        <v>0</v>
      </c>
      <c r="J921" s="16">
        <f t="shared" si="234"/>
        <v>0</v>
      </c>
      <c r="K921" s="16">
        <f t="shared" si="235"/>
        <v>0</v>
      </c>
      <c r="L921" s="67">
        <f t="shared" si="236"/>
        <v>0</v>
      </c>
      <c r="M921" s="4">
        <f t="shared" si="237"/>
        <v>0</v>
      </c>
      <c r="N921" s="4">
        <f t="shared" si="238"/>
        <v>0</v>
      </c>
      <c r="O921" s="4">
        <f t="shared" si="239"/>
        <v>0</v>
      </c>
      <c r="P921" s="4" t="e">
        <f>VLOOKUP(AJ913,'CIR Team Info'!$C$5:$E$44,2,FALSE)</f>
        <v>#N/A</v>
      </c>
      <c r="Q921" s="4" t="e">
        <f>VLOOKUP(AJ913,'CIR Team Info'!$C$5:$E$44,3,FALSE)</f>
        <v>#N/A</v>
      </c>
      <c r="R921" s="10" t="e">
        <f>VLOOKUP(AJ913,'FRC Site Data'!$B$3:$L$42,2,FALSE)</f>
        <v>#N/A</v>
      </c>
      <c r="S921" s="10" t="e">
        <f>VLOOKUP(AJ913,'FRC Site Data'!$B$3:$L$42,3,FALSE)</f>
        <v>#N/A</v>
      </c>
      <c r="T921" s="10" t="e">
        <f>VLOOKUP(AJ913,'FRC Site Data'!$B$3:$L$42,4,FALSE)</f>
        <v>#N/A</v>
      </c>
      <c r="U921" s="10" t="e">
        <f>VLOOKUP(AJ913,'FRC Site Data'!$B$3:$L$42,5,FALSE)</f>
        <v>#N/A</v>
      </c>
      <c r="V921" s="10" t="e">
        <f>VLOOKUP(AJ913,'FRC Site Data'!$B$3:$L$42,6,FALSE)</f>
        <v>#N/A</v>
      </c>
      <c r="W921" s="10" t="e">
        <f>VLOOKUP(AJ913,'FRC Site Data'!$B$3:$L$42,8,FALSE)</f>
        <v>#N/A</v>
      </c>
      <c r="X921" s="10" t="e">
        <f>VLOOKUP(AJ913,'FRC Site Data'!$B$3:$L$42,9,FALSE)</f>
        <v>#N/A</v>
      </c>
      <c r="Y921" s="10" t="e">
        <f>VLOOKUP(AJ913,'FRC Site Data'!$B$3:$L$42,10,FALSE)</f>
        <v>#N/A</v>
      </c>
      <c r="Z921" s="10" t="e">
        <f>VLOOKUP(AJ913,'FRC Site Data'!$B$3:$L$42,11,FALSE)</f>
        <v>#N/A</v>
      </c>
      <c r="AA921" s="10" t="e">
        <f>VLOOKUP(AJ913,'CIR Team Info'!$C$5:$E$44,4,FALSE)</f>
        <v>#N/A</v>
      </c>
      <c r="AB921" s="161" t="b">
        <f>ISNUMBER(VLOOKUP(AJ913,Match!$T$5:$T$10,1,FALSE))</f>
        <v>0</v>
      </c>
      <c r="AC921" s="161" t="b">
        <f>IF(AB921=TRUE,(VLOOKUP($AJ913,Match!$T$5:$U$10,2,FALSE)))</f>
        <v>0</v>
      </c>
      <c r="AD921" s="8">
        <v>3</v>
      </c>
      <c r="AE921" s="8">
        <v>2</v>
      </c>
      <c r="AF921" s="8">
        <v>2</v>
      </c>
      <c r="AG921" s="8">
        <v>1</v>
      </c>
      <c r="AH921" s="8" t="str">
        <f t="shared" si="225"/>
        <v/>
      </c>
    </row>
    <row r="922" spans="1:34" x14ac:dyDescent="0.25">
      <c r="A922" s="29">
        <f t="shared" si="240"/>
        <v>0</v>
      </c>
      <c r="B922" s="29">
        <f t="shared" si="227"/>
        <v>0</v>
      </c>
      <c r="C922" s="29">
        <f t="shared" si="228"/>
        <v>0</v>
      </c>
      <c r="D922" s="29">
        <f t="shared" si="229"/>
        <v>0</v>
      </c>
      <c r="E922" s="29">
        <f t="shared" si="226"/>
        <v>0</v>
      </c>
      <c r="F922" s="29">
        <f t="shared" si="230"/>
        <v>0</v>
      </c>
      <c r="G922" s="29" t="str">
        <f t="shared" si="231"/>
        <v>offensive</v>
      </c>
      <c r="H922" s="16">
        <f t="shared" si="232"/>
        <v>0</v>
      </c>
      <c r="I922" s="16">
        <f t="shared" si="233"/>
        <v>0</v>
      </c>
      <c r="J922" s="16">
        <f t="shared" si="234"/>
        <v>0</v>
      </c>
      <c r="K922" s="16">
        <f t="shared" si="235"/>
        <v>0</v>
      </c>
      <c r="L922" s="67">
        <f t="shared" si="236"/>
        <v>0</v>
      </c>
      <c r="M922" s="4">
        <f t="shared" si="237"/>
        <v>0</v>
      </c>
      <c r="N922" s="4">
        <f t="shared" si="238"/>
        <v>0</v>
      </c>
      <c r="O922" s="4">
        <f t="shared" si="239"/>
        <v>0</v>
      </c>
      <c r="P922" s="4" t="e">
        <f>VLOOKUP(AJ914,'CIR Team Info'!$C$5:$E$44,2,FALSE)</f>
        <v>#N/A</v>
      </c>
      <c r="Q922" s="4" t="e">
        <f>VLOOKUP(AJ914,'CIR Team Info'!$C$5:$E$44,3,FALSE)</f>
        <v>#N/A</v>
      </c>
      <c r="R922" s="10" t="e">
        <f>VLOOKUP(AJ914,'FRC Site Data'!$B$3:$L$42,2,FALSE)</f>
        <v>#N/A</v>
      </c>
      <c r="S922" s="10" t="e">
        <f>VLOOKUP(AJ914,'FRC Site Data'!$B$3:$L$42,3,FALSE)</f>
        <v>#N/A</v>
      </c>
      <c r="T922" s="10" t="e">
        <f>VLOOKUP(AJ914,'FRC Site Data'!$B$3:$L$42,4,FALSE)</f>
        <v>#N/A</v>
      </c>
      <c r="U922" s="10" t="e">
        <f>VLOOKUP(AJ914,'FRC Site Data'!$B$3:$L$42,5,FALSE)</f>
        <v>#N/A</v>
      </c>
      <c r="V922" s="10" t="e">
        <f>VLOOKUP(AJ914,'FRC Site Data'!$B$3:$L$42,6,FALSE)</f>
        <v>#N/A</v>
      </c>
      <c r="W922" s="10" t="e">
        <f>VLOOKUP(AJ914,'FRC Site Data'!$B$3:$L$42,8,FALSE)</f>
        <v>#N/A</v>
      </c>
      <c r="X922" s="10" t="e">
        <f>VLOOKUP(AJ914,'FRC Site Data'!$B$3:$L$42,9,FALSE)</f>
        <v>#N/A</v>
      </c>
      <c r="Y922" s="10" t="e">
        <f>VLOOKUP(AJ914,'FRC Site Data'!$B$3:$L$42,10,FALSE)</f>
        <v>#N/A</v>
      </c>
      <c r="Z922" s="10" t="e">
        <f>VLOOKUP(AJ914,'FRC Site Data'!$B$3:$L$42,11,FALSE)</f>
        <v>#N/A</v>
      </c>
      <c r="AA922" s="10" t="e">
        <f>VLOOKUP(AJ914,'CIR Team Info'!$C$5:$E$44,4,FALSE)</f>
        <v>#N/A</v>
      </c>
      <c r="AB922" s="161" t="b">
        <f>ISNUMBER(VLOOKUP(AJ914,Match!$T$5:$T$10,1,FALSE))</f>
        <v>0</v>
      </c>
      <c r="AC922" s="161" t="b">
        <f>IF(AB922=TRUE,(VLOOKUP($AJ914,Match!$T$5:$U$10,2,FALSE)))</f>
        <v>0</v>
      </c>
      <c r="AD922" s="8">
        <v>3</v>
      </c>
      <c r="AE922" s="8">
        <v>2</v>
      </c>
      <c r="AF922" s="8">
        <v>2</v>
      </c>
      <c r="AG922" s="8">
        <v>1</v>
      </c>
      <c r="AH922" s="8" t="str">
        <f t="shared" si="225"/>
        <v/>
      </c>
    </row>
    <row r="923" spans="1:34" x14ac:dyDescent="0.25">
      <c r="A923" s="29">
        <f t="shared" si="240"/>
        <v>0</v>
      </c>
      <c r="B923" s="29">
        <f t="shared" si="227"/>
        <v>0</v>
      </c>
      <c r="C923" s="29">
        <f t="shared" si="228"/>
        <v>0</v>
      </c>
      <c r="D923" s="29">
        <f t="shared" si="229"/>
        <v>0</v>
      </c>
      <c r="E923" s="29">
        <f t="shared" si="226"/>
        <v>0</v>
      </c>
      <c r="F923" s="29">
        <f t="shared" si="230"/>
        <v>0</v>
      </c>
      <c r="G923" s="29" t="str">
        <f t="shared" si="231"/>
        <v>offensive</v>
      </c>
      <c r="H923" s="16">
        <f t="shared" si="232"/>
        <v>0</v>
      </c>
      <c r="I923" s="16">
        <f t="shared" si="233"/>
        <v>0</v>
      </c>
      <c r="J923" s="16">
        <f t="shared" si="234"/>
        <v>0</v>
      </c>
      <c r="K923" s="16">
        <f t="shared" si="235"/>
        <v>0</v>
      </c>
      <c r="L923" s="67">
        <f t="shared" si="236"/>
        <v>0</v>
      </c>
      <c r="M923" s="4">
        <f t="shared" si="237"/>
        <v>0</v>
      </c>
      <c r="N923" s="4">
        <f t="shared" si="238"/>
        <v>0</v>
      </c>
      <c r="O923" s="4">
        <f t="shared" si="239"/>
        <v>0</v>
      </c>
      <c r="P923" s="4" t="e">
        <f>VLOOKUP(AJ915,'CIR Team Info'!$C$5:$E$44,2,FALSE)</f>
        <v>#N/A</v>
      </c>
      <c r="Q923" s="4" t="e">
        <f>VLOOKUP(AJ915,'CIR Team Info'!$C$5:$E$44,3,FALSE)</f>
        <v>#N/A</v>
      </c>
      <c r="R923" s="10" t="e">
        <f>VLOOKUP(AJ915,'FRC Site Data'!$B$3:$L$42,2,FALSE)</f>
        <v>#N/A</v>
      </c>
      <c r="S923" s="10" t="e">
        <f>VLOOKUP(AJ915,'FRC Site Data'!$B$3:$L$42,3,FALSE)</f>
        <v>#N/A</v>
      </c>
      <c r="T923" s="10" t="e">
        <f>VLOOKUP(AJ915,'FRC Site Data'!$B$3:$L$42,4,FALSE)</f>
        <v>#N/A</v>
      </c>
      <c r="U923" s="10" t="e">
        <f>VLOOKUP(AJ915,'FRC Site Data'!$B$3:$L$42,5,FALSE)</f>
        <v>#N/A</v>
      </c>
      <c r="V923" s="10" t="e">
        <f>VLOOKUP(AJ915,'FRC Site Data'!$B$3:$L$42,6,FALSE)</f>
        <v>#N/A</v>
      </c>
      <c r="W923" s="10" t="e">
        <f>VLOOKUP(AJ915,'FRC Site Data'!$B$3:$L$42,8,FALSE)</f>
        <v>#N/A</v>
      </c>
      <c r="X923" s="10" t="e">
        <f>VLOOKUP(AJ915,'FRC Site Data'!$B$3:$L$42,9,FALSE)</f>
        <v>#N/A</v>
      </c>
      <c r="Y923" s="10" t="e">
        <f>VLOOKUP(AJ915,'FRC Site Data'!$B$3:$L$42,10,FALSE)</f>
        <v>#N/A</v>
      </c>
      <c r="Z923" s="10" t="e">
        <f>VLOOKUP(AJ915,'FRC Site Data'!$B$3:$L$42,11,FALSE)</f>
        <v>#N/A</v>
      </c>
      <c r="AA923" s="10" t="e">
        <f>VLOOKUP(AJ915,'CIR Team Info'!$C$5:$E$44,4,FALSE)</f>
        <v>#N/A</v>
      </c>
      <c r="AB923" s="161" t="b">
        <f>ISNUMBER(VLOOKUP(AJ915,Match!$T$5:$T$10,1,FALSE))</f>
        <v>0</v>
      </c>
      <c r="AC923" s="161" t="b">
        <f>IF(AB923=TRUE,(VLOOKUP($AJ915,Match!$T$5:$U$10,2,FALSE)))</f>
        <v>0</v>
      </c>
      <c r="AD923" s="8">
        <v>3</v>
      </c>
      <c r="AE923" s="8">
        <v>2</v>
      </c>
      <c r="AF923" s="8">
        <v>2</v>
      </c>
      <c r="AG923" s="8">
        <v>1</v>
      </c>
      <c r="AH923" s="8" t="str">
        <f t="shared" ref="AH923:AH948" si="241">IF(AL915="Other","x","")</f>
        <v/>
      </c>
    </row>
    <row r="924" spans="1:34" x14ac:dyDescent="0.25">
      <c r="A924" s="29">
        <f t="shared" si="240"/>
        <v>0</v>
      </c>
      <c r="B924" s="29">
        <f t="shared" si="227"/>
        <v>0</v>
      </c>
      <c r="C924" s="29">
        <f t="shared" si="228"/>
        <v>0</v>
      </c>
      <c r="D924" s="29">
        <f t="shared" si="229"/>
        <v>0</v>
      </c>
      <c r="E924" s="29">
        <f t="shared" si="226"/>
        <v>0</v>
      </c>
      <c r="F924" s="29">
        <f t="shared" si="230"/>
        <v>0</v>
      </c>
      <c r="G924" s="29" t="str">
        <f t="shared" si="231"/>
        <v>offensive</v>
      </c>
      <c r="H924" s="16">
        <f t="shared" si="232"/>
        <v>0</v>
      </c>
      <c r="I924" s="16">
        <f t="shared" si="233"/>
        <v>0</v>
      </c>
      <c r="J924" s="16">
        <f t="shared" si="234"/>
        <v>0</v>
      </c>
      <c r="K924" s="16">
        <f t="shared" si="235"/>
        <v>0</v>
      </c>
      <c r="L924" s="67">
        <f t="shared" si="236"/>
        <v>0</v>
      </c>
      <c r="M924" s="4">
        <f t="shared" si="237"/>
        <v>0</v>
      </c>
      <c r="N924" s="4">
        <f t="shared" si="238"/>
        <v>0</v>
      </c>
      <c r="O924" s="4">
        <f t="shared" si="239"/>
        <v>0</v>
      </c>
      <c r="P924" s="4" t="e">
        <f>VLOOKUP(AJ916,'CIR Team Info'!$C$5:$E$44,2,FALSE)</f>
        <v>#N/A</v>
      </c>
      <c r="Q924" s="4" t="e">
        <f>VLOOKUP(AJ916,'CIR Team Info'!$C$5:$E$44,3,FALSE)</f>
        <v>#N/A</v>
      </c>
      <c r="R924" s="10" t="e">
        <f>VLOOKUP(AJ916,'FRC Site Data'!$B$3:$L$42,2,FALSE)</f>
        <v>#N/A</v>
      </c>
      <c r="S924" s="10" t="e">
        <f>VLOOKUP(AJ916,'FRC Site Data'!$B$3:$L$42,3,FALSE)</f>
        <v>#N/A</v>
      </c>
      <c r="T924" s="10" t="e">
        <f>VLOOKUP(AJ916,'FRC Site Data'!$B$3:$L$42,4,FALSE)</f>
        <v>#N/A</v>
      </c>
      <c r="U924" s="10" t="e">
        <f>VLOOKUP(AJ916,'FRC Site Data'!$B$3:$L$42,5,FALSE)</f>
        <v>#N/A</v>
      </c>
      <c r="V924" s="10" t="e">
        <f>VLOOKUP(AJ916,'FRC Site Data'!$B$3:$L$42,6,FALSE)</f>
        <v>#N/A</v>
      </c>
      <c r="W924" s="10" t="e">
        <f>VLOOKUP(AJ916,'FRC Site Data'!$B$3:$L$42,8,FALSE)</f>
        <v>#N/A</v>
      </c>
      <c r="X924" s="10" t="e">
        <f>VLOOKUP(AJ916,'FRC Site Data'!$B$3:$L$42,9,FALSE)</f>
        <v>#N/A</v>
      </c>
      <c r="Y924" s="10" t="e">
        <f>VLOOKUP(AJ916,'FRC Site Data'!$B$3:$L$42,10,FALSE)</f>
        <v>#N/A</v>
      </c>
      <c r="Z924" s="10" t="e">
        <f>VLOOKUP(AJ916,'FRC Site Data'!$B$3:$L$42,11,FALSE)</f>
        <v>#N/A</v>
      </c>
      <c r="AA924" s="10" t="e">
        <f>VLOOKUP(AJ916,'CIR Team Info'!$C$5:$E$44,4,FALSE)</f>
        <v>#N/A</v>
      </c>
      <c r="AB924" s="161" t="b">
        <f>ISNUMBER(VLOOKUP(AJ916,Match!$T$5:$T$10,1,FALSE))</f>
        <v>0</v>
      </c>
      <c r="AC924" s="161" t="b">
        <f>IF(AB924=TRUE,(VLOOKUP($AJ916,Match!$T$5:$U$10,2,FALSE)))</f>
        <v>0</v>
      </c>
      <c r="AD924" s="8">
        <v>3</v>
      </c>
      <c r="AE924" s="8">
        <v>2</v>
      </c>
      <c r="AF924" s="8">
        <v>2</v>
      </c>
      <c r="AG924" s="8">
        <v>1</v>
      </c>
      <c r="AH924" s="8" t="str">
        <f t="shared" si="241"/>
        <v/>
      </c>
    </row>
    <row r="925" spans="1:34" x14ac:dyDescent="0.25">
      <c r="A925" s="29">
        <f t="shared" si="240"/>
        <v>0</v>
      </c>
      <c r="B925" s="29">
        <f t="shared" si="227"/>
        <v>0</v>
      </c>
      <c r="C925" s="29">
        <f t="shared" si="228"/>
        <v>0</v>
      </c>
      <c r="D925" s="29">
        <f t="shared" si="229"/>
        <v>0</v>
      </c>
      <c r="E925" s="29">
        <f t="shared" si="226"/>
        <v>0</v>
      </c>
      <c r="F925" s="29">
        <f t="shared" si="230"/>
        <v>0</v>
      </c>
      <c r="G925" s="29" t="str">
        <f t="shared" si="231"/>
        <v>offensive</v>
      </c>
      <c r="H925" s="16">
        <f t="shared" si="232"/>
        <v>0</v>
      </c>
      <c r="I925" s="16">
        <f t="shared" si="233"/>
        <v>0</v>
      </c>
      <c r="J925" s="16">
        <f t="shared" si="234"/>
        <v>0</v>
      </c>
      <c r="K925" s="16">
        <f t="shared" si="235"/>
        <v>0</v>
      </c>
      <c r="L925" s="67">
        <f t="shared" si="236"/>
        <v>0</v>
      </c>
      <c r="M925" s="4">
        <f t="shared" si="237"/>
        <v>0</v>
      </c>
      <c r="N925" s="4">
        <f t="shared" si="238"/>
        <v>0</v>
      </c>
      <c r="O925" s="4">
        <f t="shared" si="239"/>
        <v>0</v>
      </c>
      <c r="P925" s="4" t="e">
        <f>VLOOKUP(AJ917,'CIR Team Info'!$C$5:$E$44,2,FALSE)</f>
        <v>#N/A</v>
      </c>
      <c r="Q925" s="4" t="e">
        <f>VLOOKUP(AJ917,'CIR Team Info'!$C$5:$E$44,3,FALSE)</f>
        <v>#N/A</v>
      </c>
      <c r="R925" s="10" t="e">
        <f>VLOOKUP(AJ917,'FRC Site Data'!$B$3:$L$42,2,FALSE)</f>
        <v>#N/A</v>
      </c>
      <c r="S925" s="10" t="e">
        <f>VLOOKUP(AJ917,'FRC Site Data'!$B$3:$L$42,3,FALSE)</f>
        <v>#N/A</v>
      </c>
      <c r="T925" s="10" t="e">
        <f>VLOOKUP(AJ917,'FRC Site Data'!$B$3:$L$42,4,FALSE)</f>
        <v>#N/A</v>
      </c>
      <c r="U925" s="10" t="e">
        <f>VLOOKUP(AJ917,'FRC Site Data'!$B$3:$L$42,5,FALSE)</f>
        <v>#N/A</v>
      </c>
      <c r="V925" s="10" t="e">
        <f>VLOOKUP(AJ917,'FRC Site Data'!$B$3:$L$42,6,FALSE)</f>
        <v>#N/A</v>
      </c>
      <c r="W925" s="10" t="e">
        <f>VLOOKUP(AJ917,'FRC Site Data'!$B$3:$L$42,8,FALSE)</f>
        <v>#N/A</v>
      </c>
      <c r="X925" s="10" t="e">
        <f>VLOOKUP(AJ917,'FRC Site Data'!$B$3:$L$42,9,FALSE)</f>
        <v>#N/A</v>
      </c>
      <c r="Y925" s="10" t="e">
        <f>VLOOKUP(AJ917,'FRC Site Data'!$B$3:$L$42,10,FALSE)</f>
        <v>#N/A</v>
      </c>
      <c r="Z925" s="10" t="e">
        <f>VLOOKUP(AJ917,'FRC Site Data'!$B$3:$L$42,11,FALSE)</f>
        <v>#N/A</v>
      </c>
      <c r="AA925" s="10" t="e">
        <f>VLOOKUP(AJ917,'CIR Team Info'!$C$5:$E$44,4,FALSE)</f>
        <v>#N/A</v>
      </c>
      <c r="AB925" s="161" t="b">
        <f>ISNUMBER(VLOOKUP(AJ917,Match!$T$5:$T$10,1,FALSE))</f>
        <v>0</v>
      </c>
      <c r="AC925" s="161" t="b">
        <f>IF(AB925=TRUE,(VLOOKUP($AJ917,Match!$T$5:$U$10,2,FALSE)))</f>
        <v>0</v>
      </c>
      <c r="AD925" s="8">
        <v>3</v>
      </c>
      <c r="AE925" s="8">
        <v>2</v>
      </c>
      <c r="AF925" s="8">
        <v>2</v>
      </c>
      <c r="AG925" s="8">
        <v>1</v>
      </c>
      <c r="AH925" s="8" t="str">
        <f t="shared" si="241"/>
        <v/>
      </c>
    </row>
    <row r="926" spans="1:34" x14ac:dyDescent="0.25">
      <c r="A926" s="29">
        <f t="shared" si="240"/>
        <v>0</v>
      </c>
      <c r="B926" s="29">
        <f t="shared" si="227"/>
        <v>0</v>
      </c>
      <c r="C926" s="29">
        <f t="shared" si="228"/>
        <v>0</v>
      </c>
      <c r="D926" s="29">
        <f t="shared" si="229"/>
        <v>0</v>
      </c>
      <c r="E926" s="29">
        <f t="shared" si="226"/>
        <v>0</v>
      </c>
      <c r="F926" s="29">
        <f t="shared" si="230"/>
        <v>0</v>
      </c>
      <c r="G926" s="29" t="str">
        <f t="shared" si="231"/>
        <v>offensive</v>
      </c>
      <c r="H926" s="16">
        <f t="shared" si="232"/>
        <v>0</v>
      </c>
      <c r="I926" s="16">
        <f t="shared" si="233"/>
        <v>0</v>
      </c>
      <c r="J926" s="16">
        <f t="shared" si="234"/>
        <v>0</v>
      </c>
      <c r="K926" s="16">
        <f t="shared" si="235"/>
        <v>0</v>
      </c>
      <c r="L926" s="67">
        <f t="shared" si="236"/>
        <v>0</v>
      </c>
      <c r="M926" s="4">
        <f t="shared" si="237"/>
        <v>0</v>
      </c>
      <c r="N926" s="4">
        <f t="shared" si="238"/>
        <v>0</v>
      </c>
      <c r="O926" s="4">
        <f t="shared" si="239"/>
        <v>0</v>
      </c>
      <c r="P926" s="4" t="e">
        <f>VLOOKUP(AJ918,'CIR Team Info'!$C$5:$E$44,2,FALSE)</f>
        <v>#N/A</v>
      </c>
      <c r="Q926" s="4" t="e">
        <f>VLOOKUP(AJ918,'CIR Team Info'!$C$5:$E$44,3,FALSE)</f>
        <v>#N/A</v>
      </c>
      <c r="R926" s="10" t="e">
        <f>VLOOKUP(AJ918,'FRC Site Data'!$B$3:$L$42,2,FALSE)</f>
        <v>#N/A</v>
      </c>
      <c r="S926" s="10" t="e">
        <f>VLOOKUP(AJ918,'FRC Site Data'!$B$3:$L$42,3,FALSE)</f>
        <v>#N/A</v>
      </c>
      <c r="T926" s="10" t="e">
        <f>VLOOKUP(AJ918,'FRC Site Data'!$B$3:$L$42,4,FALSE)</f>
        <v>#N/A</v>
      </c>
      <c r="U926" s="10" t="e">
        <f>VLOOKUP(AJ918,'FRC Site Data'!$B$3:$L$42,5,FALSE)</f>
        <v>#N/A</v>
      </c>
      <c r="V926" s="10" t="e">
        <f>VLOOKUP(AJ918,'FRC Site Data'!$B$3:$L$42,6,FALSE)</f>
        <v>#N/A</v>
      </c>
      <c r="W926" s="10" t="e">
        <f>VLOOKUP(AJ918,'FRC Site Data'!$B$3:$L$42,8,FALSE)</f>
        <v>#N/A</v>
      </c>
      <c r="X926" s="10" t="e">
        <f>VLOOKUP(AJ918,'FRC Site Data'!$B$3:$L$42,9,FALSE)</f>
        <v>#N/A</v>
      </c>
      <c r="Y926" s="10" t="e">
        <f>VLOOKUP(AJ918,'FRC Site Data'!$B$3:$L$42,10,FALSE)</f>
        <v>#N/A</v>
      </c>
      <c r="Z926" s="10" t="e">
        <f>VLOOKUP(AJ918,'FRC Site Data'!$B$3:$L$42,11,FALSE)</f>
        <v>#N/A</v>
      </c>
      <c r="AA926" s="10" t="e">
        <f>VLOOKUP(AJ918,'CIR Team Info'!$C$5:$E$44,4,FALSE)</f>
        <v>#N/A</v>
      </c>
      <c r="AB926" s="161" t="b">
        <f>ISNUMBER(VLOOKUP(AJ918,Match!$T$5:$T$10,1,FALSE))</f>
        <v>0</v>
      </c>
      <c r="AC926" s="161" t="b">
        <f>IF(AB926=TRUE,(VLOOKUP($AJ918,Match!$T$5:$U$10,2,FALSE)))</f>
        <v>0</v>
      </c>
      <c r="AD926" s="8">
        <v>3</v>
      </c>
      <c r="AE926" s="8">
        <v>2</v>
      </c>
      <c r="AF926" s="8">
        <v>2</v>
      </c>
      <c r="AG926" s="8">
        <v>1</v>
      </c>
      <c r="AH926" s="8" t="str">
        <f t="shared" si="241"/>
        <v/>
      </c>
    </row>
    <row r="927" spans="1:34" x14ac:dyDescent="0.25">
      <c r="A927" s="29">
        <f t="shared" si="240"/>
        <v>0</v>
      </c>
      <c r="B927" s="29">
        <f t="shared" si="227"/>
        <v>0</v>
      </c>
      <c r="C927" s="29">
        <f t="shared" si="228"/>
        <v>0</v>
      </c>
      <c r="D927" s="29">
        <f t="shared" si="229"/>
        <v>0</v>
      </c>
      <c r="E927" s="29">
        <f t="shared" si="226"/>
        <v>0</v>
      </c>
      <c r="F927" s="29">
        <f t="shared" si="230"/>
        <v>0</v>
      </c>
      <c r="G927" s="29" t="str">
        <f t="shared" si="231"/>
        <v>offensive</v>
      </c>
      <c r="H927" s="16">
        <f t="shared" si="232"/>
        <v>0</v>
      </c>
      <c r="I927" s="16">
        <f t="shared" si="233"/>
        <v>0</v>
      </c>
      <c r="J927" s="16">
        <f t="shared" si="234"/>
        <v>0</v>
      </c>
      <c r="K927" s="16">
        <f t="shared" si="235"/>
        <v>0</v>
      </c>
      <c r="L927" s="67">
        <f t="shared" si="236"/>
        <v>0</v>
      </c>
      <c r="M927" s="4">
        <f t="shared" si="237"/>
        <v>0</v>
      </c>
      <c r="N927" s="4">
        <f t="shared" si="238"/>
        <v>0</v>
      </c>
      <c r="O927" s="4">
        <f t="shared" si="239"/>
        <v>0</v>
      </c>
      <c r="P927" s="4" t="e">
        <f>VLOOKUP(AJ919,'CIR Team Info'!$C$5:$E$44,2,FALSE)</f>
        <v>#N/A</v>
      </c>
      <c r="Q927" s="4" t="e">
        <f>VLOOKUP(AJ919,'CIR Team Info'!$C$5:$E$44,3,FALSE)</f>
        <v>#N/A</v>
      </c>
      <c r="R927" s="10" t="e">
        <f>VLOOKUP(AJ919,'FRC Site Data'!$B$3:$L$42,2,FALSE)</f>
        <v>#N/A</v>
      </c>
      <c r="S927" s="10" t="e">
        <f>VLOOKUP(AJ919,'FRC Site Data'!$B$3:$L$42,3,FALSE)</f>
        <v>#N/A</v>
      </c>
      <c r="T927" s="10" t="e">
        <f>VLOOKUP(AJ919,'FRC Site Data'!$B$3:$L$42,4,FALSE)</f>
        <v>#N/A</v>
      </c>
      <c r="U927" s="10" t="e">
        <f>VLOOKUP(AJ919,'FRC Site Data'!$B$3:$L$42,5,FALSE)</f>
        <v>#N/A</v>
      </c>
      <c r="V927" s="10" t="e">
        <f>VLOOKUP(AJ919,'FRC Site Data'!$B$3:$L$42,6,FALSE)</f>
        <v>#N/A</v>
      </c>
      <c r="W927" s="10" t="e">
        <f>VLOOKUP(AJ919,'FRC Site Data'!$B$3:$L$42,8,FALSE)</f>
        <v>#N/A</v>
      </c>
      <c r="X927" s="10" t="e">
        <f>VLOOKUP(AJ919,'FRC Site Data'!$B$3:$L$42,9,FALSE)</f>
        <v>#N/A</v>
      </c>
      <c r="Y927" s="10" t="e">
        <f>VLOOKUP(AJ919,'FRC Site Data'!$B$3:$L$42,10,FALSE)</f>
        <v>#N/A</v>
      </c>
      <c r="Z927" s="10" t="e">
        <f>VLOOKUP(AJ919,'FRC Site Data'!$B$3:$L$42,11,FALSE)</f>
        <v>#N/A</v>
      </c>
      <c r="AA927" s="10" t="e">
        <f>VLOOKUP(AJ919,'CIR Team Info'!$C$5:$E$44,4,FALSE)</f>
        <v>#N/A</v>
      </c>
      <c r="AB927" s="161" t="b">
        <f>ISNUMBER(VLOOKUP(AJ919,Match!$T$5:$T$10,1,FALSE))</f>
        <v>0</v>
      </c>
      <c r="AC927" s="161" t="b">
        <f>IF(AB927=TRUE,(VLOOKUP($AJ919,Match!$T$5:$U$10,2,FALSE)))</f>
        <v>0</v>
      </c>
      <c r="AD927" s="8">
        <v>3</v>
      </c>
      <c r="AE927" s="8">
        <v>2</v>
      </c>
      <c r="AF927" s="8">
        <v>2</v>
      </c>
      <c r="AG927" s="8">
        <v>1</v>
      </c>
      <c r="AH927" s="8" t="str">
        <f t="shared" si="241"/>
        <v/>
      </c>
    </row>
    <row r="928" spans="1:34" x14ac:dyDescent="0.25">
      <c r="A928" s="29">
        <f t="shared" si="240"/>
        <v>0</v>
      </c>
      <c r="B928" s="29">
        <f t="shared" si="227"/>
        <v>0</v>
      </c>
      <c r="C928" s="29">
        <f t="shared" si="228"/>
        <v>0</v>
      </c>
      <c r="D928" s="29">
        <f t="shared" si="229"/>
        <v>0</v>
      </c>
      <c r="E928" s="29">
        <f t="shared" si="226"/>
        <v>0</v>
      </c>
      <c r="F928" s="29">
        <f t="shared" si="230"/>
        <v>0</v>
      </c>
      <c r="G928" s="29" t="str">
        <f t="shared" si="231"/>
        <v>offensive</v>
      </c>
      <c r="H928" s="16">
        <f t="shared" si="232"/>
        <v>0</v>
      </c>
      <c r="I928" s="16">
        <f t="shared" si="233"/>
        <v>0</v>
      </c>
      <c r="J928" s="16">
        <f t="shared" si="234"/>
        <v>0</v>
      </c>
      <c r="K928" s="16">
        <f t="shared" si="235"/>
        <v>0</v>
      </c>
      <c r="L928" s="67">
        <f t="shared" si="236"/>
        <v>0</v>
      </c>
      <c r="M928" s="4">
        <f t="shared" si="237"/>
        <v>0</v>
      </c>
      <c r="N928" s="4">
        <f t="shared" si="238"/>
        <v>0</v>
      </c>
      <c r="O928" s="4">
        <f t="shared" si="239"/>
        <v>0</v>
      </c>
      <c r="P928" s="4" t="e">
        <f>VLOOKUP(AJ920,'CIR Team Info'!$C$5:$E$44,2,FALSE)</f>
        <v>#N/A</v>
      </c>
      <c r="Q928" s="4" t="e">
        <f>VLOOKUP(AJ920,'CIR Team Info'!$C$5:$E$44,3,FALSE)</f>
        <v>#N/A</v>
      </c>
      <c r="R928" s="10" t="e">
        <f>VLOOKUP(AJ920,'FRC Site Data'!$B$3:$L$42,2,FALSE)</f>
        <v>#N/A</v>
      </c>
      <c r="S928" s="10" t="e">
        <f>VLOOKUP(AJ920,'FRC Site Data'!$B$3:$L$42,3,FALSE)</f>
        <v>#N/A</v>
      </c>
      <c r="T928" s="10" t="e">
        <f>VLOOKUP(AJ920,'FRC Site Data'!$B$3:$L$42,4,FALSE)</f>
        <v>#N/A</v>
      </c>
      <c r="U928" s="10" t="e">
        <f>VLOOKUP(AJ920,'FRC Site Data'!$B$3:$L$42,5,FALSE)</f>
        <v>#N/A</v>
      </c>
      <c r="V928" s="10" t="e">
        <f>VLOOKUP(AJ920,'FRC Site Data'!$B$3:$L$42,6,FALSE)</f>
        <v>#N/A</v>
      </c>
      <c r="W928" s="10" t="e">
        <f>VLOOKUP(AJ920,'FRC Site Data'!$B$3:$L$42,8,FALSE)</f>
        <v>#N/A</v>
      </c>
      <c r="X928" s="10" t="e">
        <f>VLOOKUP(AJ920,'FRC Site Data'!$B$3:$L$42,9,FALSE)</f>
        <v>#N/A</v>
      </c>
      <c r="Y928" s="10" t="e">
        <f>VLOOKUP(AJ920,'FRC Site Data'!$B$3:$L$42,10,FALSE)</f>
        <v>#N/A</v>
      </c>
      <c r="Z928" s="10" t="e">
        <f>VLOOKUP(AJ920,'FRC Site Data'!$B$3:$L$42,11,FALSE)</f>
        <v>#N/A</v>
      </c>
      <c r="AA928" s="10" t="e">
        <f>VLOOKUP(AJ920,'CIR Team Info'!$C$5:$E$44,4,FALSE)</f>
        <v>#N/A</v>
      </c>
      <c r="AB928" s="161" t="b">
        <f>ISNUMBER(VLOOKUP(AJ920,Match!$T$5:$T$10,1,FALSE))</f>
        <v>0</v>
      </c>
      <c r="AC928" s="161" t="b">
        <f>IF(AB928=TRUE,(VLOOKUP($AJ920,Match!$T$5:$U$10,2,FALSE)))</f>
        <v>0</v>
      </c>
      <c r="AD928" s="8">
        <v>3</v>
      </c>
      <c r="AE928" s="8">
        <v>2</v>
      </c>
      <c r="AF928" s="8">
        <v>2</v>
      </c>
      <c r="AG928" s="8">
        <v>1</v>
      </c>
      <c r="AH928" s="8" t="str">
        <f t="shared" si="241"/>
        <v/>
      </c>
    </row>
    <row r="929" spans="1:34" x14ac:dyDescent="0.25">
      <c r="A929" s="29">
        <f t="shared" si="240"/>
        <v>0</v>
      </c>
      <c r="B929" s="29">
        <f t="shared" si="227"/>
        <v>0</v>
      </c>
      <c r="C929" s="29">
        <f t="shared" si="228"/>
        <v>0</v>
      </c>
      <c r="D929" s="29">
        <f t="shared" si="229"/>
        <v>0</v>
      </c>
      <c r="E929" s="29">
        <f t="shared" si="226"/>
        <v>0</v>
      </c>
      <c r="F929" s="29">
        <f t="shared" si="230"/>
        <v>0</v>
      </c>
      <c r="G929" s="29" t="str">
        <f t="shared" si="231"/>
        <v>offensive</v>
      </c>
      <c r="H929" s="16">
        <f t="shared" si="232"/>
        <v>0</v>
      </c>
      <c r="I929" s="16">
        <f t="shared" si="233"/>
        <v>0</v>
      </c>
      <c r="J929" s="16">
        <f t="shared" si="234"/>
        <v>0</v>
      </c>
      <c r="K929" s="16">
        <f t="shared" si="235"/>
        <v>0</v>
      </c>
      <c r="L929" s="67">
        <f t="shared" si="236"/>
        <v>0</v>
      </c>
      <c r="M929" s="4">
        <f t="shared" si="237"/>
        <v>0</v>
      </c>
      <c r="N929" s="4">
        <f t="shared" si="238"/>
        <v>0</v>
      </c>
      <c r="O929" s="4">
        <f t="shared" si="239"/>
        <v>0</v>
      </c>
      <c r="P929" s="4" t="e">
        <f>VLOOKUP(AJ921,'CIR Team Info'!$C$5:$E$44,2,FALSE)</f>
        <v>#N/A</v>
      </c>
      <c r="Q929" s="4" t="e">
        <f>VLOOKUP(AJ921,'CIR Team Info'!$C$5:$E$44,3,FALSE)</f>
        <v>#N/A</v>
      </c>
      <c r="R929" s="10" t="e">
        <f>VLOOKUP(AJ921,'FRC Site Data'!$B$3:$L$42,2,FALSE)</f>
        <v>#N/A</v>
      </c>
      <c r="S929" s="10" t="e">
        <f>VLOOKUP(AJ921,'FRC Site Data'!$B$3:$L$42,3,FALSE)</f>
        <v>#N/A</v>
      </c>
      <c r="T929" s="10" t="e">
        <f>VLOOKUP(AJ921,'FRC Site Data'!$B$3:$L$42,4,FALSE)</f>
        <v>#N/A</v>
      </c>
      <c r="U929" s="10" t="e">
        <f>VLOOKUP(AJ921,'FRC Site Data'!$B$3:$L$42,5,FALSE)</f>
        <v>#N/A</v>
      </c>
      <c r="V929" s="10" t="e">
        <f>VLOOKUP(AJ921,'FRC Site Data'!$B$3:$L$42,6,FALSE)</f>
        <v>#N/A</v>
      </c>
      <c r="W929" s="10" t="e">
        <f>VLOOKUP(AJ921,'FRC Site Data'!$B$3:$L$42,8,FALSE)</f>
        <v>#N/A</v>
      </c>
      <c r="X929" s="10" t="e">
        <f>VLOOKUP(AJ921,'FRC Site Data'!$B$3:$L$42,9,FALSE)</f>
        <v>#N/A</v>
      </c>
      <c r="Y929" s="10" t="e">
        <f>VLOOKUP(AJ921,'FRC Site Data'!$B$3:$L$42,10,FALSE)</f>
        <v>#N/A</v>
      </c>
      <c r="Z929" s="10" t="e">
        <f>VLOOKUP(AJ921,'FRC Site Data'!$B$3:$L$42,11,FALSE)</f>
        <v>#N/A</v>
      </c>
      <c r="AA929" s="10" t="e">
        <f>VLOOKUP(AJ921,'CIR Team Info'!$C$5:$E$44,4,FALSE)</f>
        <v>#N/A</v>
      </c>
      <c r="AB929" s="161" t="b">
        <f>ISNUMBER(VLOOKUP(AJ921,Match!$T$5:$T$10,1,FALSE))</f>
        <v>0</v>
      </c>
      <c r="AC929" s="161" t="b">
        <f>IF(AB929=TRUE,(VLOOKUP($AJ921,Match!$T$5:$U$10,2,FALSE)))</f>
        <v>0</v>
      </c>
      <c r="AD929" s="8">
        <v>3</v>
      </c>
      <c r="AE929" s="8">
        <v>2</v>
      </c>
      <c r="AF929" s="8">
        <v>2</v>
      </c>
      <c r="AG929" s="8">
        <v>1</v>
      </c>
      <c r="AH929" s="8" t="str">
        <f t="shared" si="241"/>
        <v/>
      </c>
    </row>
    <row r="930" spans="1:34" x14ac:dyDescent="0.25">
      <c r="A930" s="29">
        <f t="shared" si="240"/>
        <v>0</v>
      </c>
      <c r="B930" s="29">
        <f t="shared" si="227"/>
        <v>0</v>
      </c>
      <c r="C930" s="29">
        <f t="shared" si="228"/>
        <v>0</v>
      </c>
      <c r="D930" s="29">
        <f t="shared" si="229"/>
        <v>0</v>
      </c>
      <c r="E930" s="29">
        <f t="shared" si="226"/>
        <v>0</v>
      </c>
      <c r="F930" s="29">
        <f t="shared" si="230"/>
        <v>0</v>
      </c>
      <c r="G930" s="29" t="str">
        <f t="shared" si="231"/>
        <v>offensive</v>
      </c>
      <c r="H930" s="16">
        <f t="shared" si="232"/>
        <v>0</v>
      </c>
      <c r="I930" s="16">
        <f t="shared" si="233"/>
        <v>0</v>
      </c>
      <c r="J930" s="16">
        <f t="shared" si="234"/>
        <v>0</v>
      </c>
      <c r="K930" s="16">
        <f t="shared" si="235"/>
        <v>0</v>
      </c>
      <c r="L930" s="67">
        <f t="shared" si="236"/>
        <v>0</v>
      </c>
      <c r="M930" s="4">
        <f t="shared" si="237"/>
        <v>0</v>
      </c>
      <c r="N930" s="4">
        <f t="shared" si="238"/>
        <v>0</v>
      </c>
      <c r="O930" s="4">
        <f t="shared" si="239"/>
        <v>0</v>
      </c>
      <c r="P930" s="4" t="e">
        <f>VLOOKUP(AJ922,'CIR Team Info'!$C$5:$E$44,2,FALSE)</f>
        <v>#N/A</v>
      </c>
      <c r="Q930" s="4" t="e">
        <f>VLOOKUP(AJ922,'CIR Team Info'!$C$5:$E$44,3,FALSE)</f>
        <v>#N/A</v>
      </c>
      <c r="R930" s="10" t="e">
        <f>VLOOKUP(AJ922,'FRC Site Data'!$B$3:$L$42,2,FALSE)</f>
        <v>#N/A</v>
      </c>
      <c r="S930" s="10" t="e">
        <f>VLOOKUP(AJ922,'FRC Site Data'!$B$3:$L$42,3,FALSE)</f>
        <v>#N/A</v>
      </c>
      <c r="T930" s="10" t="e">
        <f>VLOOKUP(AJ922,'FRC Site Data'!$B$3:$L$42,4,FALSE)</f>
        <v>#N/A</v>
      </c>
      <c r="U930" s="10" t="e">
        <f>VLOOKUP(AJ922,'FRC Site Data'!$B$3:$L$42,5,FALSE)</f>
        <v>#N/A</v>
      </c>
      <c r="V930" s="10" t="e">
        <f>VLOOKUP(AJ922,'FRC Site Data'!$B$3:$L$42,6,FALSE)</f>
        <v>#N/A</v>
      </c>
      <c r="W930" s="10" t="e">
        <f>VLOOKUP(AJ922,'FRC Site Data'!$B$3:$L$42,8,FALSE)</f>
        <v>#N/A</v>
      </c>
      <c r="X930" s="10" t="e">
        <f>VLOOKUP(AJ922,'FRC Site Data'!$B$3:$L$42,9,FALSE)</f>
        <v>#N/A</v>
      </c>
      <c r="Y930" s="10" t="e">
        <f>VLOOKUP(AJ922,'FRC Site Data'!$B$3:$L$42,10,FALSE)</f>
        <v>#N/A</v>
      </c>
      <c r="Z930" s="10" t="e">
        <f>VLOOKUP(AJ922,'FRC Site Data'!$B$3:$L$42,11,FALSE)</f>
        <v>#N/A</v>
      </c>
      <c r="AA930" s="10" t="e">
        <f>VLOOKUP(AJ922,'CIR Team Info'!$C$5:$E$44,4,FALSE)</f>
        <v>#N/A</v>
      </c>
      <c r="AB930" s="161" t="b">
        <f>ISNUMBER(VLOOKUP(AJ922,Match!$T$5:$T$10,1,FALSE))</f>
        <v>0</v>
      </c>
      <c r="AC930" s="161" t="b">
        <f>IF(AB930=TRUE,(VLOOKUP($AJ922,Match!$T$5:$U$10,2,FALSE)))</f>
        <v>0</v>
      </c>
      <c r="AD930" s="8">
        <v>3</v>
      </c>
      <c r="AE930" s="8">
        <v>2</v>
      </c>
      <c r="AF930" s="8">
        <v>2</v>
      </c>
      <c r="AG930" s="8">
        <v>1</v>
      </c>
      <c r="AH930" s="8" t="str">
        <f t="shared" si="241"/>
        <v/>
      </c>
    </row>
    <row r="931" spans="1:34" x14ac:dyDescent="0.25">
      <c r="A931" s="29">
        <f t="shared" si="240"/>
        <v>0</v>
      </c>
      <c r="B931" s="29">
        <f t="shared" si="227"/>
        <v>0</v>
      </c>
      <c r="C931" s="29">
        <f t="shared" si="228"/>
        <v>0</v>
      </c>
      <c r="D931" s="29">
        <f t="shared" si="229"/>
        <v>0</v>
      </c>
      <c r="E931" s="29">
        <f t="shared" si="226"/>
        <v>0</v>
      </c>
      <c r="F931" s="29">
        <f t="shared" si="230"/>
        <v>0</v>
      </c>
      <c r="G931" s="29" t="str">
        <f t="shared" si="231"/>
        <v>offensive</v>
      </c>
      <c r="H931" s="16">
        <f t="shared" si="232"/>
        <v>0</v>
      </c>
      <c r="I931" s="16">
        <f t="shared" si="233"/>
        <v>0</v>
      </c>
      <c r="J931" s="16">
        <f t="shared" si="234"/>
        <v>0</v>
      </c>
      <c r="K931" s="16">
        <f t="shared" si="235"/>
        <v>0</v>
      </c>
      <c r="L931" s="67">
        <f t="shared" si="236"/>
        <v>0</v>
      </c>
      <c r="M931" s="4">
        <f t="shared" si="237"/>
        <v>0</v>
      </c>
      <c r="N931" s="4">
        <f t="shared" si="238"/>
        <v>0</v>
      </c>
      <c r="O931" s="4">
        <f t="shared" si="239"/>
        <v>0</v>
      </c>
      <c r="P931" s="4" t="e">
        <f>VLOOKUP(AJ923,'CIR Team Info'!$C$5:$E$44,2,FALSE)</f>
        <v>#N/A</v>
      </c>
      <c r="Q931" s="4" t="e">
        <f>VLOOKUP(AJ923,'CIR Team Info'!$C$5:$E$44,3,FALSE)</f>
        <v>#N/A</v>
      </c>
      <c r="R931" s="10" t="e">
        <f>VLOOKUP(AJ923,'FRC Site Data'!$B$3:$L$42,2,FALSE)</f>
        <v>#N/A</v>
      </c>
      <c r="S931" s="10" t="e">
        <f>VLOOKUP(AJ923,'FRC Site Data'!$B$3:$L$42,3,FALSE)</f>
        <v>#N/A</v>
      </c>
      <c r="T931" s="10" t="e">
        <f>VLOOKUP(AJ923,'FRC Site Data'!$B$3:$L$42,4,FALSE)</f>
        <v>#N/A</v>
      </c>
      <c r="U931" s="10" t="e">
        <f>VLOOKUP(AJ923,'FRC Site Data'!$B$3:$L$42,5,FALSE)</f>
        <v>#N/A</v>
      </c>
      <c r="V931" s="10" t="e">
        <f>VLOOKUP(AJ923,'FRC Site Data'!$B$3:$L$42,6,FALSE)</f>
        <v>#N/A</v>
      </c>
      <c r="W931" s="10" t="e">
        <f>VLOOKUP(AJ923,'FRC Site Data'!$B$3:$L$42,8,FALSE)</f>
        <v>#N/A</v>
      </c>
      <c r="X931" s="10" t="e">
        <f>VLOOKUP(AJ923,'FRC Site Data'!$B$3:$L$42,9,FALSE)</f>
        <v>#N/A</v>
      </c>
      <c r="Y931" s="10" t="e">
        <f>VLOOKUP(AJ923,'FRC Site Data'!$B$3:$L$42,10,FALSE)</f>
        <v>#N/A</v>
      </c>
      <c r="Z931" s="10" t="e">
        <f>VLOOKUP(AJ923,'FRC Site Data'!$B$3:$L$42,11,FALSE)</f>
        <v>#N/A</v>
      </c>
      <c r="AA931" s="10" t="e">
        <f>VLOOKUP(AJ923,'CIR Team Info'!$C$5:$E$44,4,FALSE)</f>
        <v>#N/A</v>
      </c>
      <c r="AB931" s="161" t="b">
        <f>ISNUMBER(VLOOKUP(AJ923,Match!$T$5:$T$10,1,FALSE))</f>
        <v>0</v>
      </c>
      <c r="AC931" s="161" t="b">
        <f>IF(AB931=TRUE,(VLOOKUP($AJ923,Match!$T$5:$U$10,2,FALSE)))</f>
        <v>0</v>
      </c>
      <c r="AD931" s="8">
        <v>3</v>
      </c>
      <c r="AE931" s="8">
        <v>2</v>
      </c>
      <c r="AF931" s="8">
        <v>2</v>
      </c>
      <c r="AG931" s="8">
        <v>1</v>
      </c>
      <c r="AH931" s="8" t="str">
        <f t="shared" si="241"/>
        <v/>
      </c>
    </row>
    <row r="932" spans="1:34" x14ac:dyDescent="0.25">
      <c r="A932" s="29">
        <f t="shared" si="240"/>
        <v>0</v>
      </c>
      <c r="B932" s="29">
        <f t="shared" si="227"/>
        <v>0</v>
      </c>
      <c r="C932" s="29">
        <f t="shared" si="228"/>
        <v>0</v>
      </c>
      <c r="D932" s="29">
        <f t="shared" si="229"/>
        <v>0</v>
      </c>
      <c r="E932" s="29">
        <f t="shared" si="226"/>
        <v>0</v>
      </c>
      <c r="F932" s="29">
        <f t="shared" si="230"/>
        <v>0</v>
      </c>
      <c r="G932" s="29" t="str">
        <f t="shared" si="231"/>
        <v>offensive</v>
      </c>
      <c r="H932" s="16">
        <f t="shared" si="232"/>
        <v>0</v>
      </c>
      <c r="I932" s="16">
        <f t="shared" si="233"/>
        <v>0</v>
      </c>
      <c r="J932" s="16">
        <f t="shared" si="234"/>
        <v>0</v>
      </c>
      <c r="K932" s="16">
        <f t="shared" si="235"/>
        <v>0</v>
      </c>
      <c r="L932" s="67">
        <f t="shared" si="236"/>
        <v>0</v>
      </c>
      <c r="M932" s="4">
        <f t="shared" si="237"/>
        <v>0</v>
      </c>
      <c r="N932" s="4">
        <f t="shared" si="238"/>
        <v>0</v>
      </c>
      <c r="O932" s="4">
        <f t="shared" si="239"/>
        <v>0</v>
      </c>
      <c r="P932" s="4" t="e">
        <f>VLOOKUP(AJ924,'CIR Team Info'!$C$5:$E$44,2,FALSE)</f>
        <v>#N/A</v>
      </c>
      <c r="Q932" s="4" t="e">
        <f>VLOOKUP(AJ924,'CIR Team Info'!$C$5:$E$44,3,FALSE)</f>
        <v>#N/A</v>
      </c>
      <c r="R932" s="10" t="e">
        <f>VLOOKUP(AJ924,'FRC Site Data'!$B$3:$L$42,2,FALSE)</f>
        <v>#N/A</v>
      </c>
      <c r="S932" s="10" t="e">
        <f>VLOOKUP(AJ924,'FRC Site Data'!$B$3:$L$42,3,FALSE)</f>
        <v>#N/A</v>
      </c>
      <c r="T932" s="10" t="e">
        <f>VLOOKUP(AJ924,'FRC Site Data'!$B$3:$L$42,4,FALSE)</f>
        <v>#N/A</v>
      </c>
      <c r="U932" s="10" t="e">
        <f>VLOOKUP(AJ924,'FRC Site Data'!$B$3:$L$42,5,FALSE)</f>
        <v>#N/A</v>
      </c>
      <c r="V932" s="10" t="e">
        <f>VLOOKUP(AJ924,'FRC Site Data'!$B$3:$L$42,6,FALSE)</f>
        <v>#N/A</v>
      </c>
      <c r="W932" s="10" t="e">
        <f>VLOOKUP(AJ924,'FRC Site Data'!$B$3:$L$42,8,FALSE)</f>
        <v>#N/A</v>
      </c>
      <c r="X932" s="10" t="e">
        <f>VLOOKUP(AJ924,'FRC Site Data'!$B$3:$L$42,9,FALSE)</f>
        <v>#N/A</v>
      </c>
      <c r="Y932" s="10" t="e">
        <f>VLOOKUP(AJ924,'FRC Site Data'!$B$3:$L$42,10,FALSE)</f>
        <v>#N/A</v>
      </c>
      <c r="Z932" s="10" t="e">
        <f>VLOOKUP(AJ924,'FRC Site Data'!$B$3:$L$42,11,FALSE)</f>
        <v>#N/A</v>
      </c>
      <c r="AA932" s="10" t="e">
        <f>VLOOKUP(AJ924,'CIR Team Info'!$C$5:$E$44,4,FALSE)</f>
        <v>#N/A</v>
      </c>
      <c r="AB932" s="161" t="b">
        <f>ISNUMBER(VLOOKUP(AJ924,Match!$T$5:$T$10,1,FALSE))</f>
        <v>0</v>
      </c>
      <c r="AC932" s="161" t="b">
        <f>IF(AB932=TRUE,(VLOOKUP($AJ924,Match!$T$5:$U$10,2,FALSE)))</f>
        <v>0</v>
      </c>
      <c r="AD932" s="8">
        <v>3</v>
      </c>
      <c r="AE932" s="8">
        <v>2</v>
      </c>
      <c r="AF932" s="8">
        <v>2</v>
      </c>
      <c r="AG932" s="8">
        <v>1</v>
      </c>
      <c r="AH932" s="8" t="str">
        <f t="shared" si="241"/>
        <v/>
      </c>
    </row>
    <row r="933" spans="1:34" x14ac:dyDescent="0.25">
      <c r="A933" s="29">
        <f t="shared" si="240"/>
        <v>0</v>
      </c>
      <c r="B933" s="29">
        <f t="shared" si="227"/>
        <v>0</v>
      </c>
      <c r="C933" s="29">
        <f t="shared" si="228"/>
        <v>0</v>
      </c>
      <c r="D933" s="29">
        <f t="shared" si="229"/>
        <v>0</v>
      </c>
      <c r="E933" s="29">
        <f t="shared" si="226"/>
        <v>0</v>
      </c>
      <c r="F933" s="29">
        <f t="shared" si="230"/>
        <v>0</v>
      </c>
      <c r="G933" s="29" t="str">
        <f t="shared" si="231"/>
        <v>offensive</v>
      </c>
      <c r="H933" s="16">
        <f t="shared" si="232"/>
        <v>0</v>
      </c>
      <c r="I933" s="16">
        <f t="shared" si="233"/>
        <v>0</v>
      </c>
      <c r="J933" s="16">
        <f t="shared" si="234"/>
        <v>0</v>
      </c>
      <c r="K933" s="16">
        <f t="shared" si="235"/>
        <v>0</v>
      </c>
      <c r="L933" s="67">
        <f t="shared" si="236"/>
        <v>0</v>
      </c>
      <c r="M933" s="4">
        <f t="shared" si="237"/>
        <v>0</v>
      </c>
      <c r="N933" s="4">
        <f t="shared" si="238"/>
        <v>0</v>
      </c>
      <c r="O933" s="4">
        <f t="shared" si="239"/>
        <v>0</v>
      </c>
      <c r="P933" s="4" t="e">
        <f>VLOOKUP(AJ925,'CIR Team Info'!$C$5:$E$44,2,FALSE)</f>
        <v>#N/A</v>
      </c>
      <c r="Q933" s="4" t="e">
        <f>VLOOKUP(AJ925,'CIR Team Info'!$C$5:$E$44,3,FALSE)</f>
        <v>#N/A</v>
      </c>
      <c r="R933" s="10" t="e">
        <f>VLOOKUP(AJ925,'FRC Site Data'!$B$3:$L$42,2,FALSE)</f>
        <v>#N/A</v>
      </c>
      <c r="S933" s="10" t="e">
        <f>VLOOKUP(AJ925,'FRC Site Data'!$B$3:$L$42,3,FALSE)</f>
        <v>#N/A</v>
      </c>
      <c r="T933" s="10" t="e">
        <f>VLOOKUP(AJ925,'FRC Site Data'!$B$3:$L$42,4,FALSE)</f>
        <v>#N/A</v>
      </c>
      <c r="U933" s="10" t="e">
        <f>VLOOKUP(AJ925,'FRC Site Data'!$B$3:$L$42,5,FALSE)</f>
        <v>#N/A</v>
      </c>
      <c r="V933" s="10" t="e">
        <f>VLOOKUP(AJ925,'FRC Site Data'!$B$3:$L$42,6,FALSE)</f>
        <v>#N/A</v>
      </c>
      <c r="W933" s="10" t="e">
        <f>VLOOKUP(AJ925,'FRC Site Data'!$B$3:$L$42,8,FALSE)</f>
        <v>#N/A</v>
      </c>
      <c r="X933" s="10" t="e">
        <f>VLOOKUP(AJ925,'FRC Site Data'!$B$3:$L$42,9,FALSE)</f>
        <v>#N/A</v>
      </c>
      <c r="Y933" s="10" t="e">
        <f>VLOOKUP(AJ925,'FRC Site Data'!$B$3:$L$42,10,FALSE)</f>
        <v>#N/A</v>
      </c>
      <c r="Z933" s="10" t="e">
        <f>VLOOKUP(AJ925,'FRC Site Data'!$B$3:$L$42,11,FALSE)</f>
        <v>#N/A</v>
      </c>
      <c r="AA933" s="10" t="e">
        <f>VLOOKUP(AJ925,'CIR Team Info'!$C$5:$E$44,4,FALSE)</f>
        <v>#N/A</v>
      </c>
      <c r="AB933" s="161" t="b">
        <f>ISNUMBER(VLOOKUP(AJ925,Match!$T$5:$T$10,1,FALSE))</f>
        <v>0</v>
      </c>
      <c r="AC933" s="161" t="b">
        <f>IF(AB933=TRUE,(VLOOKUP($AJ925,Match!$T$5:$U$10,2,FALSE)))</f>
        <v>0</v>
      </c>
      <c r="AD933" s="8">
        <v>3</v>
      </c>
      <c r="AE933" s="8">
        <v>2</v>
      </c>
      <c r="AF933" s="8">
        <v>2</v>
      </c>
      <c r="AG933" s="8">
        <v>1</v>
      </c>
      <c r="AH933" s="8" t="str">
        <f t="shared" si="241"/>
        <v/>
      </c>
    </row>
    <row r="934" spans="1:34" x14ac:dyDescent="0.25">
      <c r="A934" s="29">
        <f t="shared" si="240"/>
        <v>0</v>
      </c>
      <c r="B934" s="29">
        <f t="shared" si="227"/>
        <v>0</v>
      </c>
      <c r="C934" s="29">
        <f t="shared" si="228"/>
        <v>0</v>
      </c>
      <c r="D934" s="29">
        <f t="shared" si="229"/>
        <v>0</v>
      </c>
      <c r="E934" s="29">
        <f t="shared" si="226"/>
        <v>0</v>
      </c>
      <c r="F934" s="29">
        <f t="shared" si="230"/>
        <v>0</v>
      </c>
      <c r="G934" s="29" t="str">
        <f t="shared" si="231"/>
        <v>offensive</v>
      </c>
      <c r="H934" s="16">
        <f t="shared" si="232"/>
        <v>0</v>
      </c>
      <c r="I934" s="16">
        <f t="shared" si="233"/>
        <v>0</v>
      </c>
      <c r="J934" s="16">
        <f t="shared" si="234"/>
        <v>0</v>
      </c>
      <c r="K934" s="16">
        <f t="shared" si="235"/>
        <v>0</v>
      </c>
      <c r="L934" s="67">
        <f t="shared" si="236"/>
        <v>0</v>
      </c>
      <c r="M934" s="4">
        <f t="shared" si="237"/>
        <v>0</v>
      </c>
      <c r="N934" s="4">
        <f t="shared" si="238"/>
        <v>0</v>
      </c>
      <c r="O934" s="4">
        <f t="shared" si="239"/>
        <v>0</v>
      </c>
      <c r="P934" s="4" t="e">
        <f>VLOOKUP(AJ926,'CIR Team Info'!$C$5:$E$44,2,FALSE)</f>
        <v>#N/A</v>
      </c>
      <c r="Q934" s="4" t="e">
        <f>VLOOKUP(AJ926,'CIR Team Info'!$C$5:$E$44,3,FALSE)</f>
        <v>#N/A</v>
      </c>
      <c r="R934" s="10" t="e">
        <f>VLOOKUP(AJ926,'FRC Site Data'!$B$3:$L$42,2,FALSE)</f>
        <v>#N/A</v>
      </c>
      <c r="S934" s="10" t="e">
        <f>VLOOKUP(AJ926,'FRC Site Data'!$B$3:$L$42,3,FALSE)</f>
        <v>#N/A</v>
      </c>
      <c r="T934" s="10" t="e">
        <f>VLOOKUP(AJ926,'FRC Site Data'!$B$3:$L$42,4,FALSE)</f>
        <v>#N/A</v>
      </c>
      <c r="U934" s="10" t="e">
        <f>VLOOKUP(AJ926,'FRC Site Data'!$B$3:$L$42,5,FALSE)</f>
        <v>#N/A</v>
      </c>
      <c r="V934" s="10" t="e">
        <f>VLOOKUP(AJ926,'FRC Site Data'!$B$3:$L$42,6,FALSE)</f>
        <v>#N/A</v>
      </c>
      <c r="W934" s="10" t="e">
        <f>VLOOKUP(AJ926,'FRC Site Data'!$B$3:$L$42,8,FALSE)</f>
        <v>#N/A</v>
      </c>
      <c r="X934" s="10" t="e">
        <f>VLOOKUP(AJ926,'FRC Site Data'!$B$3:$L$42,9,FALSE)</f>
        <v>#N/A</v>
      </c>
      <c r="Y934" s="10" t="e">
        <f>VLOOKUP(AJ926,'FRC Site Data'!$B$3:$L$42,10,FALSE)</f>
        <v>#N/A</v>
      </c>
      <c r="Z934" s="10" t="e">
        <f>VLOOKUP(AJ926,'FRC Site Data'!$B$3:$L$42,11,FALSE)</f>
        <v>#N/A</v>
      </c>
      <c r="AA934" s="10" t="e">
        <f>VLOOKUP(AJ926,'CIR Team Info'!$C$5:$E$44,4,FALSE)</f>
        <v>#N/A</v>
      </c>
      <c r="AB934" s="161" t="b">
        <f>ISNUMBER(VLOOKUP(AJ926,Match!$T$5:$T$10,1,FALSE))</f>
        <v>0</v>
      </c>
      <c r="AC934" s="161" t="b">
        <f>IF(AB934=TRUE,(VLOOKUP($AJ926,Match!$T$5:$U$10,2,FALSE)))</f>
        <v>0</v>
      </c>
      <c r="AD934" s="8">
        <v>3</v>
      </c>
      <c r="AE934" s="8">
        <v>2</v>
      </c>
      <c r="AF934" s="8">
        <v>2</v>
      </c>
      <c r="AG934" s="8">
        <v>1</v>
      </c>
      <c r="AH934" s="8" t="str">
        <f t="shared" si="241"/>
        <v/>
      </c>
    </row>
    <row r="935" spans="1:34" x14ac:dyDescent="0.25">
      <c r="A935" s="29">
        <f t="shared" si="240"/>
        <v>0</v>
      </c>
      <c r="B935" s="29">
        <f t="shared" si="227"/>
        <v>0</v>
      </c>
      <c r="C935" s="29">
        <f t="shared" si="228"/>
        <v>0</v>
      </c>
      <c r="D935" s="29">
        <f t="shared" si="229"/>
        <v>0</v>
      </c>
      <c r="E935" s="29">
        <f t="shared" si="226"/>
        <v>0</v>
      </c>
      <c r="F935" s="29">
        <f t="shared" si="230"/>
        <v>0</v>
      </c>
      <c r="G935" s="29" t="str">
        <f t="shared" si="231"/>
        <v>offensive</v>
      </c>
      <c r="H935" s="16">
        <f t="shared" si="232"/>
        <v>0</v>
      </c>
      <c r="I935" s="16">
        <f t="shared" si="233"/>
        <v>0</v>
      </c>
      <c r="J935" s="16">
        <f t="shared" si="234"/>
        <v>0</v>
      </c>
      <c r="K935" s="16">
        <f t="shared" si="235"/>
        <v>0</v>
      </c>
      <c r="L935" s="67">
        <f t="shared" si="236"/>
        <v>0</v>
      </c>
      <c r="M935" s="4">
        <f t="shared" si="237"/>
        <v>0</v>
      </c>
      <c r="N935" s="4">
        <f t="shared" si="238"/>
        <v>0</v>
      </c>
      <c r="O935" s="4">
        <f t="shared" si="239"/>
        <v>0</v>
      </c>
      <c r="P935" s="4" t="e">
        <f>VLOOKUP(AJ927,'CIR Team Info'!$C$5:$E$44,2,FALSE)</f>
        <v>#N/A</v>
      </c>
      <c r="Q935" s="4" t="e">
        <f>VLOOKUP(AJ927,'CIR Team Info'!$C$5:$E$44,3,FALSE)</f>
        <v>#N/A</v>
      </c>
      <c r="R935" s="10" t="e">
        <f>VLOOKUP(AJ927,'FRC Site Data'!$B$3:$L$42,2,FALSE)</f>
        <v>#N/A</v>
      </c>
      <c r="S935" s="10" t="e">
        <f>VLOOKUP(AJ927,'FRC Site Data'!$B$3:$L$42,3,FALSE)</f>
        <v>#N/A</v>
      </c>
      <c r="T935" s="10" t="e">
        <f>VLOOKUP(AJ927,'FRC Site Data'!$B$3:$L$42,4,FALSE)</f>
        <v>#N/A</v>
      </c>
      <c r="U935" s="10" t="e">
        <f>VLOOKUP(AJ927,'FRC Site Data'!$B$3:$L$42,5,FALSE)</f>
        <v>#N/A</v>
      </c>
      <c r="V935" s="10" t="e">
        <f>VLOOKUP(AJ927,'FRC Site Data'!$B$3:$L$42,6,FALSE)</f>
        <v>#N/A</v>
      </c>
      <c r="W935" s="10" t="e">
        <f>VLOOKUP(AJ927,'FRC Site Data'!$B$3:$L$42,8,FALSE)</f>
        <v>#N/A</v>
      </c>
      <c r="X935" s="10" t="e">
        <f>VLOOKUP(AJ927,'FRC Site Data'!$B$3:$L$42,9,FALSE)</f>
        <v>#N/A</v>
      </c>
      <c r="Y935" s="10" t="e">
        <f>VLOOKUP(AJ927,'FRC Site Data'!$B$3:$L$42,10,FALSE)</f>
        <v>#N/A</v>
      </c>
      <c r="Z935" s="10" t="e">
        <f>VLOOKUP(AJ927,'FRC Site Data'!$B$3:$L$42,11,FALSE)</f>
        <v>#N/A</v>
      </c>
      <c r="AA935" s="10" t="e">
        <f>VLOOKUP(AJ927,'CIR Team Info'!$C$5:$E$44,4,FALSE)</f>
        <v>#N/A</v>
      </c>
      <c r="AB935" s="161" t="b">
        <f>ISNUMBER(VLOOKUP(AJ927,Match!$T$5:$T$10,1,FALSE))</f>
        <v>0</v>
      </c>
      <c r="AC935" s="161" t="b">
        <f>IF(AB935=TRUE,(VLOOKUP($AJ927,Match!$T$5:$U$10,2,FALSE)))</f>
        <v>0</v>
      </c>
      <c r="AD935" s="8">
        <v>3</v>
      </c>
      <c r="AE935" s="8">
        <v>2</v>
      </c>
      <c r="AF935" s="8">
        <v>2</v>
      </c>
      <c r="AG935" s="8">
        <v>1</v>
      </c>
      <c r="AH935" s="8" t="str">
        <f t="shared" si="241"/>
        <v/>
      </c>
    </row>
    <row r="936" spans="1:34" x14ac:dyDescent="0.25">
      <c r="A936" s="29">
        <f t="shared" si="240"/>
        <v>0</v>
      </c>
      <c r="B936" s="29">
        <f t="shared" si="227"/>
        <v>0</v>
      </c>
      <c r="C936" s="29">
        <f t="shared" si="228"/>
        <v>0</v>
      </c>
      <c r="D936" s="29">
        <f t="shared" si="229"/>
        <v>0</v>
      </c>
      <c r="E936" s="29">
        <f t="shared" si="226"/>
        <v>0</v>
      </c>
      <c r="F936" s="29">
        <f t="shared" si="230"/>
        <v>0</v>
      </c>
      <c r="G936" s="29" t="str">
        <f t="shared" si="231"/>
        <v>offensive</v>
      </c>
      <c r="H936" s="16">
        <f t="shared" si="232"/>
        <v>0</v>
      </c>
      <c r="I936" s="16">
        <f t="shared" si="233"/>
        <v>0</v>
      </c>
      <c r="J936" s="16">
        <f t="shared" si="234"/>
        <v>0</v>
      </c>
      <c r="K936" s="16">
        <f t="shared" si="235"/>
        <v>0</v>
      </c>
      <c r="L936" s="67">
        <f t="shared" si="236"/>
        <v>0</v>
      </c>
      <c r="M936" s="4">
        <f t="shared" si="237"/>
        <v>0</v>
      </c>
      <c r="N936" s="4">
        <f t="shared" si="238"/>
        <v>0</v>
      </c>
      <c r="O936" s="4">
        <f t="shared" si="239"/>
        <v>0</v>
      </c>
      <c r="P936" s="4" t="e">
        <f>VLOOKUP(AJ928,'CIR Team Info'!$C$5:$E$44,2,FALSE)</f>
        <v>#N/A</v>
      </c>
      <c r="Q936" s="4" t="e">
        <f>VLOOKUP(AJ928,'CIR Team Info'!$C$5:$E$44,3,FALSE)</f>
        <v>#N/A</v>
      </c>
      <c r="R936" s="10" t="e">
        <f>VLOOKUP(AJ928,'FRC Site Data'!$B$3:$L$42,2,FALSE)</f>
        <v>#N/A</v>
      </c>
      <c r="S936" s="10" t="e">
        <f>VLOOKUP(AJ928,'FRC Site Data'!$B$3:$L$42,3,FALSE)</f>
        <v>#N/A</v>
      </c>
      <c r="T936" s="10" t="e">
        <f>VLOOKUP(AJ928,'FRC Site Data'!$B$3:$L$42,4,FALSE)</f>
        <v>#N/A</v>
      </c>
      <c r="U936" s="10" t="e">
        <f>VLOOKUP(AJ928,'FRC Site Data'!$B$3:$L$42,5,FALSE)</f>
        <v>#N/A</v>
      </c>
      <c r="V936" s="10" t="e">
        <f>VLOOKUP(AJ928,'FRC Site Data'!$B$3:$L$42,6,FALSE)</f>
        <v>#N/A</v>
      </c>
      <c r="W936" s="10" t="e">
        <f>VLOOKUP(AJ928,'FRC Site Data'!$B$3:$L$42,8,FALSE)</f>
        <v>#N/A</v>
      </c>
      <c r="X936" s="10" t="e">
        <f>VLOOKUP(AJ928,'FRC Site Data'!$B$3:$L$42,9,FALSE)</f>
        <v>#N/A</v>
      </c>
      <c r="Y936" s="10" t="e">
        <f>VLOOKUP(AJ928,'FRC Site Data'!$B$3:$L$42,10,FALSE)</f>
        <v>#N/A</v>
      </c>
      <c r="Z936" s="10" t="e">
        <f>VLOOKUP(AJ928,'FRC Site Data'!$B$3:$L$42,11,FALSE)</f>
        <v>#N/A</v>
      </c>
      <c r="AA936" s="10" t="e">
        <f>VLOOKUP(AJ928,'CIR Team Info'!$C$5:$E$44,4,FALSE)</f>
        <v>#N/A</v>
      </c>
      <c r="AB936" s="161" t="b">
        <f>ISNUMBER(VLOOKUP(AJ928,Match!$T$5:$T$10,1,FALSE))</f>
        <v>0</v>
      </c>
      <c r="AC936" s="161" t="b">
        <f>IF(AB936=TRUE,(VLOOKUP($AJ928,Match!$T$5:$U$10,2,FALSE)))</f>
        <v>0</v>
      </c>
      <c r="AD936" s="8">
        <v>3</v>
      </c>
      <c r="AE936" s="8">
        <v>2</v>
      </c>
      <c r="AF936" s="8">
        <v>2</v>
      </c>
      <c r="AG936" s="8">
        <v>1</v>
      </c>
      <c r="AH936" s="8" t="str">
        <f t="shared" si="241"/>
        <v/>
      </c>
    </row>
    <row r="937" spans="1:34" x14ac:dyDescent="0.25">
      <c r="A937" s="29">
        <f t="shared" si="240"/>
        <v>0</v>
      </c>
      <c r="B937" s="29">
        <f t="shared" si="227"/>
        <v>0</v>
      </c>
      <c r="C937" s="29">
        <f t="shared" si="228"/>
        <v>0</v>
      </c>
      <c r="D937" s="29">
        <f t="shared" si="229"/>
        <v>0</v>
      </c>
      <c r="E937" s="29">
        <f t="shared" si="226"/>
        <v>0</v>
      </c>
      <c r="F937" s="29">
        <f t="shared" si="230"/>
        <v>0</v>
      </c>
      <c r="G937" s="29" t="str">
        <f t="shared" si="231"/>
        <v>offensive</v>
      </c>
      <c r="H937" s="16">
        <f t="shared" si="232"/>
        <v>0</v>
      </c>
      <c r="I937" s="16">
        <f t="shared" si="233"/>
        <v>0</v>
      </c>
      <c r="J937" s="16">
        <f t="shared" si="234"/>
        <v>0</v>
      </c>
      <c r="K937" s="16">
        <f t="shared" si="235"/>
        <v>0</v>
      </c>
      <c r="L937" s="67">
        <f t="shared" si="236"/>
        <v>0</v>
      </c>
      <c r="M937" s="4">
        <f t="shared" si="237"/>
        <v>0</v>
      </c>
      <c r="N937" s="4">
        <f t="shared" si="238"/>
        <v>0</v>
      </c>
      <c r="O937" s="4">
        <f t="shared" si="239"/>
        <v>0</v>
      </c>
      <c r="P937" s="4" t="e">
        <f>VLOOKUP(AJ929,'CIR Team Info'!$C$5:$E$44,2,FALSE)</f>
        <v>#N/A</v>
      </c>
      <c r="Q937" s="4" t="e">
        <f>VLOOKUP(AJ929,'CIR Team Info'!$C$5:$E$44,3,FALSE)</f>
        <v>#N/A</v>
      </c>
      <c r="R937" s="10" t="e">
        <f>VLOOKUP(AJ929,'FRC Site Data'!$B$3:$L$42,2,FALSE)</f>
        <v>#N/A</v>
      </c>
      <c r="S937" s="10" t="e">
        <f>VLOOKUP(AJ929,'FRC Site Data'!$B$3:$L$42,3,FALSE)</f>
        <v>#N/A</v>
      </c>
      <c r="T937" s="10" t="e">
        <f>VLOOKUP(AJ929,'FRC Site Data'!$B$3:$L$42,4,FALSE)</f>
        <v>#N/A</v>
      </c>
      <c r="U937" s="10" t="e">
        <f>VLOOKUP(AJ929,'FRC Site Data'!$B$3:$L$42,5,FALSE)</f>
        <v>#N/A</v>
      </c>
      <c r="V937" s="10" t="e">
        <f>VLOOKUP(AJ929,'FRC Site Data'!$B$3:$L$42,6,FALSE)</f>
        <v>#N/A</v>
      </c>
      <c r="W937" s="10" t="e">
        <f>VLOOKUP(AJ929,'FRC Site Data'!$B$3:$L$42,8,FALSE)</f>
        <v>#N/A</v>
      </c>
      <c r="X937" s="10" t="e">
        <f>VLOOKUP(AJ929,'FRC Site Data'!$B$3:$L$42,9,FALSE)</f>
        <v>#N/A</v>
      </c>
      <c r="Y937" s="10" t="e">
        <f>VLOOKUP(AJ929,'FRC Site Data'!$B$3:$L$42,10,FALSE)</f>
        <v>#N/A</v>
      </c>
      <c r="Z937" s="10" t="e">
        <f>VLOOKUP(AJ929,'FRC Site Data'!$B$3:$L$42,11,FALSE)</f>
        <v>#N/A</v>
      </c>
      <c r="AA937" s="10" t="e">
        <f>VLOOKUP(AJ929,'CIR Team Info'!$C$5:$E$44,4,FALSE)</f>
        <v>#N/A</v>
      </c>
      <c r="AB937" s="161" t="b">
        <f>ISNUMBER(VLOOKUP(AJ929,Match!$T$5:$T$10,1,FALSE))</f>
        <v>0</v>
      </c>
      <c r="AC937" s="161" t="b">
        <f>IF(AB937=TRUE,(VLOOKUP($AJ929,Match!$T$5:$U$10,2,FALSE)))</f>
        <v>0</v>
      </c>
      <c r="AD937" s="8">
        <v>3</v>
      </c>
      <c r="AE937" s="8">
        <v>2</v>
      </c>
      <c r="AF937" s="8">
        <v>2</v>
      </c>
      <c r="AG937" s="8">
        <v>1</v>
      </c>
      <c r="AH937" s="8" t="str">
        <f t="shared" si="241"/>
        <v/>
      </c>
    </row>
    <row r="938" spans="1:34" x14ac:dyDescent="0.25">
      <c r="A938" s="29">
        <f t="shared" si="240"/>
        <v>0</v>
      </c>
      <c r="B938" s="29">
        <f t="shared" si="227"/>
        <v>0</v>
      </c>
      <c r="C938" s="29">
        <f t="shared" si="228"/>
        <v>0</v>
      </c>
      <c r="D938" s="29">
        <f t="shared" si="229"/>
        <v>0</v>
      </c>
      <c r="E938" s="29">
        <f t="shared" si="226"/>
        <v>0</v>
      </c>
      <c r="F938" s="29">
        <f t="shared" si="230"/>
        <v>0</v>
      </c>
      <c r="G938" s="29" t="str">
        <f t="shared" si="231"/>
        <v>offensive</v>
      </c>
      <c r="H938" s="16">
        <f t="shared" si="232"/>
        <v>0</v>
      </c>
      <c r="I938" s="16">
        <f t="shared" si="233"/>
        <v>0</v>
      </c>
      <c r="J938" s="16">
        <f t="shared" si="234"/>
        <v>0</v>
      </c>
      <c r="K938" s="16">
        <f t="shared" si="235"/>
        <v>0</v>
      </c>
      <c r="L938" s="67">
        <f t="shared" si="236"/>
        <v>0</v>
      </c>
      <c r="M938" s="4">
        <f t="shared" si="237"/>
        <v>0</v>
      </c>
      <c r="N938" s="4">
        <f t="shared" si="238"/>
        <v>0</v>
      </c>
      <c r="O938" s="4">
        <f t="shared" si="239"/>
        <v>0</v>
      </c>
      <c r="P938" s="4" t="e">
        <f>VLOOKUP(AJ930,'CIR Team Info'!$C$5:$E$44,2,FALSE)</f>
        <v>#N/A</v>
      </c>
      <c r="Q938" s="4" t="e">
        <f>VLOOKUP(AJ930,'CIR Team Info'!$C$5:$E$44,3,FALSE)</f>
        <v>#N/A</v>
      </c>
      <c r="R938" s="10" t="e">
        <f>VLOOKUP(AJ930,'FRC Site Data'!$B$3:$L$42,2,FALSE)</f>
        <v>#N/A</v>
      </c>
      <c r="S938" s="10" t="e">
        <f>VLOOKUP(AJ930,'FRC Site Data'!$B$3:$L$42,3,FALSE)</f>
        <v>#N/A</v>
      </c>
      <c r="T938" s="10" t="e">
        <f>VLOOKUP(AJ930,'FRC Site Data'!$B$3:$L$42,4,FALSE)</f>
        <v>#N/A</v>
      </c>
      <c r="U938" s="10" t="e">
        <f>VLOOKUP(AJ930,'FRC Site Data'!$B$3:$L$42,5,FALSE)</f>
        <v>#N/A</v>
      </c>
      <c r="V938" s="10" t="e">
        <f>VLOOKUP(AJ930,'FRC Site Data'!$B$3:$L$42,6,FALSE)</f>
        <v>#N/A</v>
      </c>
      <c r="W938" s="10" t="e">
        <f>VLOOKUP(AJ930,'FRC Site Data'!$B$3:$L$42,8,FALSE)</f>
        <v>#N/A</v>
      </c>
      <c r="X938" s="10" t="e">
        <f>VLOOKUP(AJ930,'FRC Site Data'!$B$3:$L$42,9,FALSE)</f>
        <v>#N/A</v>
      </c>
      <c r="Y938" s="10" t="e">
        <f>VLOOKUP(AJ930,'FRC Site Data'!$B$3:$L$42,10,FALSE)</f>
        <v>#N/A</v>
      </c>
      <c r="Z938" s="10" t="e">
        <f>VLOOKUP(AJ930,'FRC Site Data'!$B$3:$L$42,11,FALSE)</f>
        <v>#N/A</v>
      </c>
      <c r="AA938" s="10" t="e">
        <f>VLOOKUP(AJ930,'CIR Team Info'!$C$5:$E$44,4,FALSE)</f>
        <v>#N/A</v>
      </c>
      <c r="AB938" s="161" t="b">
        <f>ISNUMBER(VLOOKUP(AJ930,Match!$T$5:$T$10,1,FALSE))</f>
        <v>0</v>
      </c>
      <c r="AC938" s="161" t="b">
        <f>IF(AB938=TRUE,(VLOOKUP($AJ930,Match!$T$5:$U$10,2,FALSE)))</f>
        <v>0</v>
      </c>
      <c r="AD938" s="8">
        <v>3</v>
      </c>
      <c r="AE938" s="8">
        <v>2</v>
      </c>
      <c r="AF938" s="8">
        <v>2</v>
      </c>
      <c r="AG938" s="8">
        <v>1</v>
      </c>
      <c r="AH938" s="8" t="str">
        <f t="shared" si="241"/>
        <v/>
      </c>
    </row>
    <row r="939" spans="1:34" x14ac:dyDescent="0.25">
      <c r="A939" s="29">
        <f t="shared" si="240"/>
        <v>0</v>
      </c>
      <c r="B939" s="29">
        <f t="shared" si="227"/>
        <v>0</v>
      </c>
      <c r="C939" s="29">
        <f t="shared" si="228"/>
        <v>0</v>
      </c>
      <c r="D939" s="29">
        <f t="shared" si="229"/>
        <v>0</v>
      </c>
      <c r="E939" s="29">
        <f t="shared" si="226"/>
        <v>0</v>
      </c>
      <c r="F939" s="29">
        <f t="shared" si="230"/>
        <v>0</v>
      </c>
      <c r="G939" s="29" t="str">
        <f t="shared" si="231"/>
        <v>offensive</v>
      </c>
      <c r="H939" s="16">
        <f t="shared" si="232"/>
        <v>0</v>
      </c>
      <c r="I939" s="16">
        <f t="shared" si="233"/>
        <v>0</v>
      </c>
      <c r="J939" s="16">
        <f t="shared" si="234"/>
        <v>0</v>
      </c>
      <c r="K939" s="16">
        <f t="shared" si="235"/>
        <v>0</v>
      </c>
      <c r="L939" s="67">
        <f t="shared" si="236"/>
        <v>0</v>
      </c>
      <c r="M939" s="4">
        <f t="shared" si="237"/>
        <v>0</v>
      </c>
      <c r="N939" s="4">
        <f t="shared" si="238"/>
        <v>0</v>
      </c>
      <c r="O939" s="4">
        <f t="shared" si="239"/>
        <v>0</v>
      </c>
      <c r="P939" s="4" t="e">
        <f>VLOOKUP(AJ931,'CIR Team Info'!$C$5:$E$44,2,FALSE)</f>
        <v>#N/A</v>
      </c>
      <c r="Q939" s="4" t="e">
        <f>VLOOKUP(AJ931,'CIR Team Info'!$C$5:$E$44,3,FALSE)</f>
        <v>#N/A</v>
      </c>
      <c r="R939" s="10" t="e">
        <f>VLOOKUP(AJ931,'FRC Site Data'!$B$3:$L$42,2,FALSE)</f>
        <v>#N/A</v>
      </c>
      <c r="S939" s="10" t="e">
        <f>VLOOKUP(AJ931,'FRC Site Data'!$B$3:$L$42,3,FALSE)</f>
        <v>#N/A</v>
      </c>
      <c r="T939" s="10" t="e">
        <f>VLOOKUP(AJ931,'FRC Site Data'!$B$3:$L$42,4,FALSE)</f>
        <v>#N/A</v>
      </c>
      <c r="U939" s="10" t="e">
        <f>VLOOKUP(AJ931,'FRC Site Data'!$B$3:$L$42,5,FALSE)</f>
        <v>#N/A</v>
      </c>
      <c r="V939" s="10" t="e">
        <f>VLOOKUP(AJ931,'FRC Site Data'!$B$3:$L$42,6,FALSE)</f>
        <v>#N/A</v>
      </c>
      <c r="W939" s="10" t="e">
        <f>VLOOKUP(AJ931,'FRC Site Data'!$B$3:$L$42,8,FALSE)</f>
        <v>#N/A</v>
      </c>
      <c r="X939" s="10" t="e">
        <f>VLOOKUP(AJ931,'FRC Site Data'!$B$3:$L$42,9,FALSE)</f>
        <v>#N/A</v>
      </c>
      <c r="Y939" s="10" t="e">
        <f>VLOOKUP(AJ931,'FRC Site Data'!$B$3:$L$42,10,FALSE)</f>
        <v>#N/A</v>
      </c>
      <c r="Z939" s="10" t="e">
        <f>VLOOKUP(AJ931,'FRC Site Data'!$B$3:$L$42,11,FALSE)</f>
        <v>#N/A</v>
      </c>
      <c r="AA939" s="10" t="e">
        <f>VLOOKUP(AJ931,'CIR Team Info'!$C$5:$E$44,4,FALSE)</f>
        <v>#N/A</v>
      </c>
      <c r="AB939" s="161" t="b">
        <f>ISNUMBER(VLOOKUP(AJ931,Match!$T$5:$T$10,1,FALSE))</f>
        <v>0</v>
      </c>
      <c r="AC939" s="161" t="b">
        <f>IF(AB939=TRUE,(VLOOKUP($AJ931,Match!$T$5:$U$10,2,FALSE)))</f>
        <v>0</v>
      </c>
      <c r="AD939" s="8">
        <v>3</v>
      </c>
      <c r="AE939" s="8">
        <v>2</v>
      </c>
      <c r="AF939" s="8">
        <v>2</v>
      </c>
      <c r="AG939" s="8">
        <v>1</v>
      </c>
      <c r="AH939" s="8" t="str">
        <f t="shared" si="241"/>
        <v/>
      </c>
    </row>
    <row r="940" spans="1:34" x14ac:dyDescent="0.25">
      <c r="A940" s="29">
        <f t="shared" si="240"/>
        <v>0</v>
      </c>
      <c r="B940" s="29">
        <f t="shared" si="227"/>
        <v>0</v>
      </c>
      <c r="C940" s="29">
        <f t="shared" si="228"/>
        <v>0</v>
      </c>
      <c r="D940" s="29">
        <f t="shared" si="229"/>
        <v>0</v>
      </c>
      <c r="E940" s="29">
        <f t="shared" si="226"/>
        <v>0</v>
      </c>
      <c r="F940" s="29">
        <f t="shared" si="230"/>
        <v>0</v>
      </c>
      <c r="G940" s="29" t="str">
        <f t="shared" si="231"/>
        <v>offensive</v>
      </c>
      <c r="H940" s="16">
        <f t="shared" si="232"/>
        <v>0</v>
      </c>
      <c r="I940" s="16">
        <f t="shared" si="233"/>
        <v>0</v>
      </c>
      <c r="J940" s="16">
        <f t="shared" si="234"/>
        <v>0</v>
      </c>
      <c r="K940" s="16">
        <f t="shared" si="235"/>
        <v>0</v>
      </c>
      <c r="L940" s="67">
        <f t="shared" si="236"/>
        <v>0</v>
      </c>
      <c r="M940" s="4">
        <f t="shared" si="237"/>
        <v>0</v>
      </c>
      <c r="N940" s="4">
        <f t="shared" si="238"/>
        <v>0</v>
      </c>
      <c r="O940" s="4">
        <f t="shared" si="239"/>
        <v>0</v>
      </c>
      <c r="P940" s="4" t="e">
        <f>VLOOKUP(AJ932,'CIR Team Info'!$C$5:$E$44,2,FALSE)</f>
        <v>#N/A</v>
      </c>
      <c r="Q940" s="4" t="e">
        <f>VLOOKUP(AJ932,'CIR Team Info'!$C$5:$E$44,3,FALSE)</f>
        <v>#N/A</v>
      </c>
      <c r="R940" s="10" t="e">
        <f>VLOOKUP(AJ932,'FRC Site Data'!$B$3:$L$42,2,FALSE)</f>
        <v>#N/A</v>
      </c>
      <c r="S940" s="10" t="e">
        <f>VLOOKUP(AJ932,'FRC Site Data'!$B$3:$L$42,3,FALSE)</f>
        <v>#N/A</v>
      </c>
      <c r="T940" s="10" t="e">
        <f>VLOOKUP(AJ932,'FRC Site Data'!$B$3:$L$42,4,FALSE)</f>
        <v>#N/A</v>
      </c>
      <c r="U940" s="10" t="e">
        <f>VLOOKUP(AJ932,'FRC Site Data'!$B$3:$L$42,5,FALSE)</f>
        <v>#N/A</v>
      </c>
      <c r="V940" s="10" t="e">
        <f>VLOOKUP(AJ932,'FRC Site Data'!$B$3:$L$42,6,FALSE)</f>
        <v>#N/A</v>
      </c>
      <c r="W940" s="10" t="e">
        <f>VLOOKUP(AJ932,'FRC Site Data'!$B$3:$L$42,8,FALSE)</f>
        <v>#N/A</v>
      </c>
      <c r="X940" s="10" t="e">
        <f>VLOOKUP(AJ932,'FRC Site Data'!$B$3:$L$42,9,FALSE)</f>
        <v>#N/A</v>
      </c>
      <c r="Y940" s="10" t="e">
        <f>VLOOKUP(AJ932,'FRC Site Data'!$B$3:$L$42,10,FALSE)</f>
        <v>#N/A</v>
      </c>
      <c r="Z940" s="10" t="e">
        <f>VLOOKUP(AJ932,'FRC Site Data'!$B$3:$L$42,11,FALSE)</f>
        <v>#N/A</v>
      </c>
      <c r="AA940" s="10" t="e">
        <f>VLOOKUP(AJ932,'CIR Team Info'!$C$5:$E$44,4,FALSE)</f>
        <v>#N/A</v>
      </c>
      <c r="AB940" s="161" t="b">
        <f>ISNUMBER(VLOOKUP(AJ932,Match!$T$5:$T$10,1,FALSE))</f>
        <v>0</v>
      </c>
      <c r="AC940" s="161" t="b">
        <f>IF(AB940=TRUE,(VLOOKUP($AJ932,Match!$T$5:$U$10,2,FALSE)))</f>
        <v>0</v>
      </c>
      <c r="AD940" s="8">
        <v>3</v>
      </c>
      <c r="AE940" s="8">
        <v>2</v>
      </c>
      <c r="AF940" s="8">
        <v>2</v>
      </c>
      <c r="AG940" s="8">
        <v>1</v>
      </c>
      <c r="AH940" s="8" t="str">
        <f t="shared" si="241"/>
        <v/>
      </c>
    </row>
    <row r="941" spans="1:34" x14ac:dyDescent="0.25">
      <c r="A941" s="29">
        <f t="shared" si="240"/>
        <v>0</v>
      </c>
      <c r="B941" s="29">
        <f t="shared" si="227"/>
        <v>0</v>
      </c>
      <c r="C941" s="29">
        <f t="shared" si="228"/>
        <v>0</v>
      </c>
      <c r="D941" s="29">
        <f t="shared" si="229"/>
        <v>0</v>
      </c>
      <c r="E941" s="29">
        <f t="shared" si="226"/>
        <v>0</v>
      </c>
      <c r="F941" s="29">
        <f t="shared" si="230"/>
        <v>0</v>
      </c>
      <c r="G941" s="29" t="str">
        <f t="shared" si="231"/>
        <v>offensive</v>
      </c>
      <c r="H941" s="16">
        <f t="shared" si="232"/>
        <v>0</v>
      </c>
      <c r="I941" s="16">
        <f t="shared" si="233"/>
        <v>0</v>
      </c>
      <c r="J941" s="16">
        <f t="shared" si="234"/>
        <v>0</v>
      </c>
      <c r="K941" s="16">
        <f t="shared" si="235"/>
        <v>0</v>
      </c>
      <c r="L941" s="67">
        <f t="shared" si="236"/>
        <v>0</v>
      </c>
      <c r="M941" s="4">
        <f t="shared" si="237"/>
        <v>0</v>
      </c>
      <c r="N941" s="4">
        <f t="shared" si="238"/>
        <v>0</v>
      </c>
      <c r="O941" s="4">
        <f t="shared" si="239"/>
        <v>0</v>
      </c>
      <c r="P941" s="4" t="e">
        <f>VLOOKUP(AJ933,'CIR Team Info'!$C$5:$E$44,2,FALSE)</f>
        <v>#N/A</v>
      </c>
      <c r="Q941" s="4" t="e">
        <f>VLOOKUP(AJ933,'CIR Team Info'!$C$5:$E$44,3,FALSE)</f>
        <v>#N/A</v>
      </c>
      <c r="R941" s="10" t="e">
        <f>VLOOKUP(AJ933,'FRC Site Data'!$B$3:$L$42,2,FALSE)</f>
        <v>#N/A</v>
      </c>
      <c r="S941" s="10" t="e">
        <f>VLOOKUP(AJ933,'FRC Site Data'!$B$3:$L$42,3,FALSE)</f>
        <v>#N/A</v>
      </c>
      <c r="T941" s="10" t="e">
        <f>VLOOKUP(AJ933,'FRC Site Data'!$B$3:$L$42,4,FALSE)</f>
        <v>#N/A</v>
      </c>
      <c r="U941" s="10" t="e">
        <f>VLOOKUP(AJ933,'FRC Site Data'!$B$3:$L$42,5,FALSE)</f>
        <v>#N/A</v>
      </c>
      <c r="V941" s="10" t="e">
        <f>VLOOKUP(AJ933,'FRC Site Data'!$B$3:$L$42,6,FALSE)</f>
        <v>#N/A</v>
      </c>
      <c r="W941" s="10" t="e">
        <f>VLOOKUP(AJ933,'FRC Site Data'!$B$3:$L$42,8,FALSE)</f>
        <v>#N/A</v>
      </c>
      <c r="X941" s="10" t="e">
        <f>VLOOKUP(AJ933,'FRC Site Data'!$B$3:$L$42,9,FALSE)</f>
        <v>#N/A</v>
      </c>
      <c r="Y941" s="10" t="e">
        <f>VLOOKUP(AJ933,'FRC Site Data'!$B$3:$L$42,10,FALSE)</f>
        <v>#N/A</v>
      </c>
      <c r="Z941" s="10" t="e">
        <f>VLOOKUP(AJ933,'FRC Site Data'!$B$3:$L$42,11,FALSE)</f>
        <v>#N/A</v>
      </c>
      <c r="AA941" s="10" t="e">
        <f>VLOOKUP(AJ933,'CIR Team Info'!$C$5:$E$44,4,FALSE)</f>
        <v>#N/A</v>
      </c>
      <c r="AB941" s="161" t="b">
        <f>ISNUMBER(VLOOKUP(AJ933,Match!$T$5:$T$10,1,FALSE))</f>
        <v>0</v>
      </c>
      <c r="AC941" s="161" t="b">
        <f>IF(AB941=TRUE,(VLOOKUP($AJ933,Match!$T$5:$U$10,2,FALSE)))</f>
        <v>0</v>
      </c>
      <c r="AD941" s="8">
        <v>3</v>
      </c>
      <c r="AE941" s="8">
        <v>2</v>
      </c>
      <c r="AF941" s="8">
        <v>2</v>
      </c>
      <c r="AG941" s="8">
        <v>1</v>
      </c>
      <c r="AH941" s="8" t="str">
        <f t="shared" si="241"/>
        <v/>
      </c>
    </row>
    <row r="942" spans="1:34" x14ac:dyDescent="0.25">
      <c r="A942" s="29">
        <f t="shared" si="240"/>
        <v>0</v>
      </c>
      <c r="B942" s="29">
        <f t="shared" si="227"/>
        <v>0</v>
      </c>
      <c r="C942" s="29">
        <f t="shared" si="228"/>
        <v>0</v>
      </c>
      <c r="D942" s="29">
        <f t="shared" si="229"/>
        <v>0</v>
      </c>
      <c r="E942" s="29">
        <f t="shared" si="226"/>
        <v>0</v>
      </c>
      <c r="F942" s="29">
        <f t="shared" si="230"/>
        <v>0</v>
      </c>
      <c r="G942" s="29" t="str">
        <f t="shared" si="231"/>
        <v>offensive</v>
      </c>
      <c r="H942" s="16">
        <f t="shared" si="232"/>
        <v>0</v>
      </c>
      <c r="I942" s="16">
        <f t="shared" si="233"/>
        <v>0</v>
      </c>
      <c r="J942" s="16">
        <f t="shared" si="234"/>
        <v>0</v>
      </c>
      <c r="K942" s="16">
        <f t="shared" si="235"/>
        <v>0</v>
      </c>
      <c r="L942" s="67">
        <f t="shared" si="236"/>
        <v>0</v>
      </c>
      <c r="M942" s="4">
        <f t="shared" si="237"/>
        <v>0</v>
      </c>
      <c r="N942" s="4">
        <f t="shared" si="238"/>
        <v>0</v>
      </c>
      <c r="O942" s="4">
        <f t="shared" si="239"/>
        <v>0</v>
      </c>
      <c r="P942" s="4" t="e">
        <f>VLOOKUP(AJ934,'CIR Team Info'!$C$5:$E$44,2,FALSE)</f>
        <v>#N/A</v>
      </c>
      <c r="Q942" s="4" t="e">
        <f>VLOOKUP(AJ934,'CIR Team Info'!$C$5:$E$44,3,FALSE)</f>
        <v>#N/A</v>
      </c>
      <c r="R942" s="10" t="e">
        <f>VLOOKUP(AJ934,'FRC Site Data'!$B$3:$L$42,2,FALSE)</f>
        <v>#N/A</v>
      </c>
      <c r="S942" s="10" t="e">
        <f>VLOOKUP(AJ934,'FRC Site Data'!$B$3:$L$42,3,FALSE)</f>
        <v>#N/A</v>
      </c>
      <c r="T942" s="10" t="e">
        <f>VLOOKUP(AJ934,'FRC Site Data'!$B$3:$L$42,4,FALSE)</f>
        <v>#N/A</v>
      </c>
      <c r="U942" s="10" t="e">
        <f>VLOOKUP(AJ934,'FRC Site Data'!$B$3:$L$42,5,FALSE)</f>
        <v>#N/A</v>
      </c>
      <c r="V942" s="10" t="e">
        <f>VLOOKUP(AJ934,'FRC Site Data'!$B$3:$L$42,6,FALSE)</f>
        <v>#N/A</v>
      </c>
      <c r="W942" s="10" t="e">
        <f>VLOOKUP(AJ934,'FRC Site Data'!$B$3:$L$42,8,FALSE)</f>
        <v>#N/A</v>
      </c>
      <c r="X942" s="10" t="e">
        <f>VLOOKUP(AJ934,'FRC Site Data'!$B$3:$L$42,9,FALSE)</f>
        <v>#N/A</v>
      </c>
      <c r="Y942" s="10" t="e">
        <f>VLOOKUP(AJ934,'FRC Site Data'!$B$3:$L$42,10,FALSE)</f>
        <v>#N/A</v>
      </c>
      <c r="Z942" s="10" t="e">
        <f>VLOOKUP(AJ934,'FRC Site Data'!$B$3:$L$42,11,FALSE)</f>
        <v>#N/A</v>
      </c>
      <c r="AA942" s="10" t="e">
        <f>VLOOKUP(AJ934,'CIR Team Info'!$C$5:$E$44,4,FALSE)</f>
        <v>#N/A</v>
      </c>
      <c r="AB942" s="161" t="b">
        <f>ISNUMBER(VLOOKUP(AJ934,Match!$T$5:$T$10,1,FALSE))</f>
        <v>0</v>
      </c>
      <c r="AC942" s="161" t="b">
        <f>IF(AB942=TRUE,(VLOOKUP($AJ934,Match!$T$5:$U$10,2,FALSE)))</f>
        <v>0</v>
      </c>
      <c r="AD942" s="8">
        <v>3</v>
      </c>
      <c r="AE942" s="8">
        <v>2</v>
      </c>
      <c r="AF942" s="8">
        <v>2</v>
      </c>
      <c r="AG942" s="8">
        <v>1</v>
      </c>
      <c r="AH942" s="8" t="str">
        <f t="shared" si="241"/>
        <v/>
      </c>
    </row>
    <row r="943" spans="1:34" x14ac:dyDescent="0.25">
      <c r="A943" s="29">
        <f t="shared" si="240"/>
        <v>0</v>
      </c>
      <c r="B943" s="29">
        <f t="shared" si="227"/>
        <v>0</v>
      </c>
      <c r="C943" s="29">
        <f t="shared" si="228"/>
        <v>0</v>
      </c>
      <c r="D943" s="29">
        <f t="shared" si="229"/>
        <v>0</v>
      </c>
      <c r="E943" s="29">
        <f t="shared" si="226"/>
        <v>0</v>
      </c>
      <c r="F943" s="29">
        <f t="shared" si="230"/>
        <v>0</v>
      </c>
      <c r="G943" s="29" t="str">
        <f t="shared" si="231"/>
        <v>offensive</v>
      </c>
      <c r="H943" s="16">
        <f t="shared" si="232"/>
        <v>0</v>
      </c>
      <c r="I943" s="16">
        <f t="shared" si="233"/>
        <v>0</v>
      </c>
      <c r="J943" s="16">
        <f t="shared" si="234"/>
        <v>0</v>
      </c>
      <c r="K943" s="16">
        <f t="shared" si="235"/>
        <v>0</v>
      </c>
      <c r="L943" s="67">
        <f t="shared" si="236"/>
        <v>0</v>
      </c>
      <c r="M943" s="4">
        <f t="shared" si="237"/>
        <v>0</v>
      </c>
      <c r="N943" s="4">
        <f t="shared" si="238"/>
        <v>0</v>
      </c>
      <c r="O943" s="4">
        <f t="shared" si="239"/>
        <v>0</v>
      </c>
      <c r="P943" s="4" t="e">
        <f>VLOOKUP(AJ935,'CIR Team Info'!$C$5:$E$44,2,FALSE)</f>
        <v>#N/A</v>
      </c>
      <c r="Q943" s="4" t="e">
        <f>VLOOKUP(AJ935,'CIR Team Info'!$C$5:$E$44,3,FALSE)</f>
        <v>#N/A</v>
      </c>
      <c r="R943" s="10" t="e">
        <f>VLOOKUP(AJ935,'FRC Site Data'!$B$3:$L$42,2,FALSE)</f>
        <v>#N/A</v>
      </c>
      <c r="S943" s="10" t="e">
        <f>VLOOKUP(AJ935,'FRC Site Data'!$B$3:$L$42,3,FALSE)</f>
        <v>#N/A</v>
      </c>
      <c r="T943" s="10" t="e">
        <f>VLOOKUP(AJ935,'FRC Site Data'!$B$3:$L$42,4,FALSE)</f>
        <v>#N/A</v>
      </c>
      <c r="U943" s="10" t="e">
        <f>VLOOKUP(AJ935,'FRC Site Data'!$B$3:$L$42,5,FALSE)</f>
        <v>#N/A</v>
      </c>
      <c r="V943" s="10" t="e">
        <f>VLOOKUP(AJ935,'FRC Site Data'!$B$3:$L$42,6,FALSE)</f>
        <v>#N/A</v>
      </c>
      <c r="W943" s="10" t="e">
        <f>VLOOKUP(AJ935,'FRC Site Data'!$B$3:$L$42,8,FALSE)</f>
        <v>#N/A</v>
      </c>
      <c r="X943" s="10" t="e">
        <f>VLOOKUP(AJ935,'FRC Site Data'!$B$3:$L$42,9,FALSE)</f>
        <v>#N/A</v>
      </c>
      <c r="Y943" s="10" t="e">
        <f>VLOOKUP(AJ935,'FRC Site Data'!$B$3:$L$42,10,FALSE)</f>
        <v>#N/A</v>
      </c>
      <c r="Z943" s="10" t="e">
        <f>VLOOKUP(AJ935,'FRC Site Data'!$B$3:$L$42,11,FALSE)</f>
        <v>#N/A</v>
      </c>
      <c r="AA943" s="10" t="e">
        <f>VLOOKUP(AJ935,'CIR Team Info'!$C$5:$E$44,4,FALSE)</f>
        <v>#N/A</v>
      </c>
      <c r="AB943" s="161" t="b">
        <f>ISNUMBER(VLOOKUP(AJ935,Match!$T$5:$T$10,1,FALSE))</f>
        <v>0</v>
      </c>
      <c r="AC943" s="161" t="b">
        <f>IF(AB943=TRUE,(VLOOKUP($AJ935,Match!$T$5:$U$10,2,FALSE)))</f>
        <v>0</v>
      </c>
      <c r="AD943" s="8">
        <v>3</v>
      </c>
      <c r="AE943" s="8">
        <v>2</v>
      </c>
      <c r="AF943" s="8">
        <v>2</v>
      </c>
      <c r="AG943" s="8">
        <v>1</v>
      </c>
      <c r="AH943" s="8" t="str">
        <f t="shared" si="241"/>
        <v/>
      </c>
    </row>
    <row r="944" spans="1:34" x14ac:dyDescent="0.25">
      <c r="A944" s="29">
        <f t="shared" si="240"/>
        <v>0</v>
      </c>
      <c r="B944" s="29">
        <f t="shared" si="227"/>
        <v>0</v>
      </c>
      <c r="C944" s="29">
        <f t="shared" si="228"/>
        <v>0</v>
      </c>
      <c r="D944" s="29">
        <f t="shared" si="229"/>
        <v>0</v>
      </c>
      <c r="E944" s="29">
        <f t="shared" si="226"/>
        <v>0</v>
      </c>
      <c r="F944" s="29">
        <f t="shared" si="230"/>
        <v>0</v>
      </c>
      <c r="G944" s="29" t="str">
        <f t="shared" si="231"/>
        <v>offensive</v>
      </c>
      <c r="H944" s="16">
        <f t="shared" si="232"/>
        <v>0</v>
      </c>
      <c r="I944" s="16">
        <f t="shared" si="233"/>
        <v>0</v>
      </c>
      <c r="J944" s="16">
        <f t="shared" si="234"/>
        <v>0</v>
      </c>
      <c r="K944" s="16">
        <f t="shared" si="235"/>
        <v>0</v>
      </c>
      <c r="L944" s="67">
        <f t="shared" si="236"/>
        <v>0</v>
      </c>
      <c r="M944" s="4">
        <f t="shared" si="237"/>
        <v>0</v>
      </c>
      <c r="N944" s="4">
        <f t="shared" si="238"/>
        <v>0</v>
      </c>
      <c r="O944" s="4">
        <f t="shared" si="239"/>
        <v>0</v>
      </c>
      <c r="P944" s="4" t="e">
        <f>VLOOKUP(AJ936,'CIR Team Info'!$C$5:$E$44,2,FALSE)</f>
        <v>#N/A</v>
      </c>
      <c r="Q944" s="4" t="e">
        <f>VLOOKUP(AJ936,'CIR Team Info'!$C$5:$E$44,3,FALSE)</f>
        <v>#N/A</v>
      </c>
      <c r="R944" s="10" t="e">
        <f>VLOOKUP(AJ936,'FRC Site Data'!$B$3:$L$42,2,FALSE)</f>
        <v>#N/A</v>
      </c>
      <c r="S944" s="10" t="e">
        <f>VLOOKUP(AJ936,'FRC Site Data'!$B$3:$L$42,3,FALSE)</f>
        <v>#N/A</v>
      </c>
      <c r="T944" s="10" t="e">
        <f>VLOOKUP(AJ936,'FRC Site Data'!$B$3:$L$42,4,FALSE)</f>
        <v>#N/A</v>
      </c>
      <c r="U944" s="10" t="e">
        <f>VLOOKUP(AJ936,'FRC Site Data'!$B$3:$L$42,5,FALSE)</f>
        <v>#N/A</v>
      </c>
      <c r="V944" s="10" t="e">
        <f>VLOOKUP(AJ936,'FRC Site Data'!$B$3:$L$42,6,FALSE)</f>
        <v>#N/A</v>
      </c>
      <c r="W944" s="10" t="e">
        <f>VLOOKUP(AJ936,'FRC Site Data'!$B$3:$L$42,8,FALSE)</f>
        <v>#N/A</v>
      </c>
      <c r="X944" s="10" t="e">
        <f>VLOOKUP(AJ936,'FRC Site Data'!$B$3:$L$42,9,FALSE)</f>
        <v>#N/A</v>
      </c>
      <c r="Y944" s="10" t="e">
        <f>VLOOKUP(AJ936,'FRC Site Data'!$B$3:$L$42,10,FALSE)</f>
        <v>#N/A</v>
      </c>
      <c r="Z944" s="10" t="e">
        <f>VLOOKUP(AJ936,'FRC Site Data'!$B$3:$L$42,11,FALSE)</f>
        <v>#N/A</v>
      </c>
      <c r="AA944" s="10" t="e">
        <f>VLOOKUP(AJ936,'CIR Team Info'!$C$5:$E$44,4,FALSE)</f>
        <v>#N/A</v>
      </c>
      <c r="AB944" s="161" t="b">
        <f>ISNUMBER(VLOOKUP(AJ936,Match!$T$5:$T$10,1,FALSE))</f>
        <v>0</v>
      </c>
      <c r="AC944" s="161" t="b">
        <f>IF(AB944=TRUE,(VLOOKUP($AJ936,Match!$T$5:$U$10,2,FALSE)))</f>
        <v>0</v>
      </c>
      <c r="AD944" s="8">
        <v>4</v>
      </c>
      <c r="AE944" s="8">
        <v>3</v>
      </c>
      <c r="AF944" s="8">
        <v>3</v>
      </c>
      <c r="AG944" s="8">
        <v>2</v>
      </c>
      <c r="AH944" s="8" t="str">
        <f t="shared" si="241"/>
        <v/>
      </c>
    </row>
    <row r="945" spans="1:34" x14ac:dyDescent="0.25">
      <c r="A945" s="29">
        <f t="shared" si="240"/>
        <v>0</v>
      </c>
      <c r="B945" s="29">
        <f t="shared" si="227"/>
        <v>0</v>
      </c>
      <c r="C945" s="29">
        <f t="shared" si="228"/>
        <v>0</v>
      </c>
      <c r="D945" s="29">
        <f t="shared" si="229"/>
        <v>0</v>
      </c>
      <c r="E945" s="29">
        <f t="shared" si="226"/>
        <v>0</v>
      </c>
      <c r="F945" s="29">
        <f t="shared" si="230"/>
        <v>0</v>
      </c>
      <c r="G945" s="29" t="str">
        <f t="shared" si="231"/>
        <v>offensive</v>
      </c>
      <c r="H945" s="16">
        <f t="shared" si="232"/>
        <v>0</v>
      </c>
      <c r="I945" s="16">
        <f t="shared" si="233"/>
        <v>0</v>
      </c>
      <c r="J945" s="16">
        <f t="shared" si="234"/>
        <v>0</v>
      </c>
      <c r="K945" s="16">
        <f t="shared" si="235"/>
        <v>0</v>
      </c>
      <c r="L945" s="67">
        <f t="shared" si="236"/>
        <v>0</v>
      </c>
      <c r="M945" s="4">
        <f t="shared" si="237"/>
        <v>0</v>
      </c>
      <c r="N945" s="4">
        <f t="shared" si="238"/>
        <v>0</v>
      </c>
      <c r="O945" s="4">
        <f t="shared" si="239"/>
        <v>0</v>
      </c>
      <c r="P945" s="4" t="e">
        <f>VLOOKUP(AJ937,'CIR Team Info'!$C$5:$E$44,2,FALSE)</f>
        <v>#N/A</v>
      </c>
      <c r="Q945" s="4" t="e">
        <f>VLOOKUP(AJ937,'CIR Team Info'!$C$5:$E$44,3,FALSE)</f>
        <v>#N/A</v>
      </c>
      <c r="R945" s="10" t="e">
        <f>VLOOKUP(AJ937,'FRC Site Data'!$B$3:$L$42,2,FALSE)</f>
        <v>#N/A</v>
      </c>
      <c r="S945" s="10" t="e">
        <f>VLOOKUP(AJ937,'FRC Site Data'!$B$3:$L$42,3,FALSE)</f>
        <v>#N/A</v>
      </c>
      <c r="T945" s="10" t="e">
        <f>VLOOKUP(AJ937,'FRC Site Data'!$B$3:$L$42,4,FALSE)</f>
        <v>#N/A</v>
      </c>
      <c r="U945" s="10" t="e">
        <f>VLOOKUP(AJ937,'FRC Site Data'!$B$3:$L$42,5,FALSE)</f>
        <v>#N/A</v>
      </c>
      <c r="V945" s="10" t="e">
        <f>VLOOKUP(AJ937,'FRC Site Data'!$B$3:$L$42,6,FALSE)</f>
        <v>#N/A</v>
      </c>
      <c r="W945" s="10" t="e">
        <f>VLOOKUP(AJ937,'FRC Site Data'!$B$3:$L$42,8,FALSE)</f>
        <v>#N/A</v>
      </c>
      <c r="X945" s="10" t="e">
        <f>VLOOKUP(AJ937,'FRC Site Data'!$B$3:$L$42,9,FALSE)</f>
        <v>#N/A</v>
      </c>
      <c r="Y945" s="10" t="e">
        <f>VLOOKUP(AJ937,'FRC Site Data'!$B$3:$L$42,10,FALSE)</f>
        <v>#N/A</v>
      </c>
      <c r="Z945" s="10" t="e">
        <f>VLOOKUP(AJ937,'FRC Site Data'!$B$3:$L$42,11,FALSE)</f>
        <v>#N/A</v>
      </c>
      <c r="AA945" s="10" t="e">
        <f>VLOOKUP(AJ937,'CIR Team Info'!$C$5:$E$44,4,FALSE)</f>
        <v>#N/A</v>
      </c>
      <c r="AB945" s="161" t="b">
        <f>ISNUMBER(VLOOKUP(AJ937,Match!$T$5:$T$10,1,FALSE))</f>
        <v>0</v>
      </c>
      <c r="AC945" s="161" t="b">
        <f>IF(AB945=TRUE,(VLOOKUP($AJ937,Match!$T$5:$U$10,2,FALSE)))</f>
        <v>0</v>
      </c>
      <c r="AD945" s="8">
        <v>5</v>
      </c>
      <c r="AE945" s="8">
        <v>4</v>
      </c>
      <c r="AF945" s="8">
        <v>4</v>
      </c>
      <c r="AG945" s="8">
        <v>3</v>
      </c>
      <c r="AH945" s="8" t="str">
        <f t="shared" si="241"/>
        <v/>
      </c>
    </row>
    <row r="946" spans="1:34" x14ac:dyDescent="0.25">
      <c r="A946" s="29">
        <f t="shared" si="240"/>
        <v>0</v>
      </c>
      <c r="B946" s="29">
        <f t="shared" si="227"/>
        <v>0</v>
      </c>
      <c r="C946" s="29">
        <f t="shared" si="228"/>
        <v>0</v>
      </c>
      <c r="D946" s="29">
        <f t="shared" si="229"/>
        <v>0</v>
      </c>
      <c r="E946" s="29">
        <f t="shared" si="226"/>
        <v>0</v>
      </c>
      <c r="F946" s="29">
        <f t="shared" si="230"/>
        <v>0</v>
      </c>
      <c r="G946" s="29" t="str">
        <f t="shared" si="231"/>
        <v>offensive</v>
      </c>
      <c r="H946" s="16">
        <f t="shared" si="232"/>
        <v>0</v>
      </c>
      <c r="I946" s="16">
        <f t="shared" si="233"/>
        <v>0</v>
      </c>
      <c r="J946" s="16">
        <f t="shared" si="234"/>
        <v>0</v>
      </c>
      <c r="K946" s="16">
        <f t="shared" si="235"/>
        <v>0</v>
      </c>
      <c r="L946" s="67">
        <f t="shared" si="236"/>
        <v>0</v>
      </c>
      <c r="M946" s="4">
        <f t="shared" si="237"/>
        <v>0</v>
      </c>
      <c r="N946" s="4">
        <f t="shared" si="238"/>
        <v>0</v>
      </c>
      <c r="O946" s="4">
        <f t="shared" si="239"/>
        <v>0</v>
      </c>
      <c r="P946" s="4" t="e">
        <f>VLOOKUP(AJ938,'CIR Team Info'!$C$5:$E$44,2,FALSE)</f>
        <v>#N/A</v>
      </c>
      <c r="Q946" s="4" t="e">
        <f>VLOOKUP(AJ938,'CIR Team Info'!$C$5:$E$44,3,FALSE)</f>
        <v>#N/A</v>
      </c>
      <c r="R946" s="10" t="e">
        <f>VLOOKUP(AJ938,'FRC Site Data'!$B$3:$L$42,2,FALSE)</f>
        <v>#N/A</v>
      </c>
      <c r="S946" s="10" t="e">
        <f>VLOOKUP(AJ938,'FRC Site Data'!$B$3:$L$42,3,FALSE)</f>
        <v>#N/A</v>
      </c>
      <c r="T946" s="10" t="e">
        <f>VLOOKUP(AJ938,'FRC Site Data'!$B$3:$L$42,4,FALSE)</f>
        <v>#N/A</v>
      </c>
      <c r="U946" s="10" t="e">
        <f>VLOOKUP(AJ938,'FRC Site Data'!$B$3:$L$42,5,FALSE)</f>
        <v>#N/A</v>
      </c>
      <c r="V946" s="10" t="e">
        <f>VLOOKUP(AJ938,'FRC Site Data'!$B$3:$L$42,6,FALSE)</f>
        <v>#N/A</v>
      </c>
      <c r="W946" s="10" t="e">
        <f>VLOOKUP(AJ938,'FRC Site Data'!$B$3:$L$42,8,FALSE)</f>
        <v>#N/A</v>
      </c>
      <c r="X946" s="10" t="e">
        <f>VLOOKUP(AJ938,'FRC Site Data'!$B$3:$L$42,9,FALSE)</f>
        <v>#N/A</v>
      </c>
      <c r="Y946" s="10" t="e">
        <f>VLOOKUP(AJ938,'FRC Site Data'!$B$3:$L$42,10,FALSE)</f>
        <v>#N/A</v>
      </c>
      <c r="Z946" s="10" t="e">
        <f>VLOOKUP(AJ938,'FRC Site Data'!$B$3:$L$42,11,FALSE)</f>
        <v>#N/A</v>
      </c>
      <c r="AA946" s="10" t="e">
        <f>VLOOKUP(AJ938,'CIR Team Info'!$C$5:$E$44,4,FALSE)</f>
        <v>#N/A</v>
      </c>
      <c r="AB946" s="161" t="b">
        <f>ISNUMBER(VLOOKUP(AJ938,Match!$T$5:$T$10,1,FALSE))</f>
        <v>0</v>
      </c>
      <c r="AC946" s="161" t="b">
        <f>IF(AB946=TRUE,(VLOOKUP($AJ938,Match!$T$5:$U$10,2,FALSE)))</f>
        <v>0</v>
      </c>
      <c r="AD946" s="8">
        <v>6</v>
      </c>
      <c r="AE946" s="8">
        <v>5</v>
      </c>
      <c r="AF946" s="8">
        <v>5</v>
      </c>
      <c r="AG946" s="8">
        <v>4</v>
      </c>
      <c r="AH946" s="8" t="str">
        <f t="shared" si="241"/>
        <v/>
      </c>
    </row>
    <row r="947" spans="1:34" x14ac:dyDescent="0.25">
      <c r="A947" s="29">
        <f t="shared" si="240"/>
        <v>0</v>
      </c>
      <c r="B947" s="29">
        <f t="shared" si="227"/>
        <v>0</v>
      </c>
      <c r="C947" s="29">
        <f t="shared" si="228"/>
        <v>0</v>
      </c>
      <c r="D947" s="29">
        <f t="shared" si="229"/>
        <v>0</v>
      </c>
      <c r="E947" s="29">
        <f t="shared" si="226"/>
        <v>0</v>
      </c>
      <c r="F947" s="29">
        <f t="shared" si="230"/>
        <v>0</v>
      </c>
      <c r="G947" s="29" t="str">
        <f t="shared" si="231"/>
        <v>offensive</v>
      </c>
      <c r="H947" s="16">
        <f t="shared" si="232"/>
        <v>0</v>
      </c>
      <c r="I947" s="16">
        <f t="shared" si="233"/>
        <v>0</v>
      </c>
      <c r="J947" s="16">
        <f t="shared" si="234"/>
        <v>0</v>
      </c>
      <c r="K947" s="16">
        <f t="shared" si="235"/>
        <v>0</v>
      </c>
      <c r="L947" s="67">
        <f t="shared" si="236"/>
        <v>0</v>
      </c>
      <c r="M947" s="4">
        <f t="shared" si="237"/>
        <v>0</v>
      </c>
      <c r="N947" s="4">
        <f t="shared" si="238"/>
        <v>0</v>
      </c>
      <c r="O947" s="4">
        <f t="shared" si="239"/>
        <v>0</v>
      </c>
      <c r="P947" s="4" t="e">
        <f>VLOOKUP(AJ939,'CIR Team Info'!$C$5:$E$44,2,FALSE)</f>
        <v>#N/A</v>
      </c>
      <c r="Q947" s="4" t="e">
        <f>VLOOKUP(AJ939,'CIR Team Info'!$C$5:$E$44,3,FALSE)</f>
        <v>#N/A</v>
      </c>
      <c r="R947" s="10" t="e">
        <f>VLOOKUP(AJ939,'FRC Site Data'!$B$3:$L$42,2,FALSE)</f>
        <v>#N/A</v>
      </c>
      <c r="S947" s="10" t="e">
        <f>VLOOKUP(AJ939,'FRC Site Data'!$B$3:$L$42,3,FALSE)</f>
        <v>#N/A</v>
      </c>
      <c r="T947" s="10" t="e">
        <f>VLOOKUP(AJ939,'FRC Site Data'!$B$3:$L$42,4,FALSE)</f>
        <v>#N/A</v>
      </c>
      <c r="U947" s="10" t="e">
        <f>VLOOKUP(AJ939,'FRC Site Data'!$B$3:$L$42,5,FALSE)</f>
        <v>#N/A</v>
      </c>
      <c r="V947" s="10" t="e">
        <f>VLOOKUP(AJ939,'FRC Site Data'!$B$3:$L$42,6,FALSE)</f>
        <v>#N/A</v>
      </c>
      <c r="W947" s="10" t="e">
        <f>VLOOKUP(AJ939,'FRC Site Data'!$B$3:$L$42,8,FALSE)</f>
        <v>#N/A</v>
      </c>
      <c r="X947" s="10" t="e">
        <f>VLOOKUP(AJ939,'FRC Site Data'!$B$3:$L$42,9,FALSE)</f>
        <v>#N/A</v>
      </c>
      <c r="Y947" s="10" t="e">
        <f>VLOOKUP(AJ939,'FRC Site Data'!$B$3:$L$42,10,FALSE)</f>
        <v>#N/A</v>
      </c>
      <c r="Z947" s="10" t="e">
        <f>VLOOKUP(AJ939,'FRC Site Data'!$B$3:$L$42,11,FALSE)</f>
        <v>#N/A</v>
      </c>
      <c r="AA947" s="10" t="e">
        <f>VLOOKUP(AJ939,'CIR Team Info'!$C$5:$E$44,4,FALSE)</f>
        <v>#N/A</v>
      </c>
      <c r="AB947" s="161" t="b">
        <f>ISNUMBER(VLOOKUP(AJ939,Match!$T$5:$T$10,1,FALSE))</f>
        <v>0</v>
      </c>
      <c r="AC947" s="161" t="b">
        <f>IF(AB947=TRUE,(VLOOKUP($AJ939,Match!$T$5:$U$10,2,FALSE)))</f>
        <v>0</v>
      </c>
      <c r="AD947" s="8">
        <v>7</v>
      </c>
      <c r="AE947" s="8">
        <v>6</v>
      </c>
      <c r="AF947" s="8">
        <v>6</v>
      </c>
      <c r="AG947" s="8">
        <v>5</v>
      </c>
      <c r="AH947" s="8" t="str">
        <f t="shared" si="241"/>
        <v/>
      </c>
    </row>
    <row r="948" spans="1:34" x14ac:dyDescent="0.25">
      <c r="A948" s="29">
        <f t="shared" si="240"/>
        <v>0</v>
      </c>
      <c r="B948" s="29">
        <f t="shared" si="227"/>
        <v>0</v>
      </c>
      <c r="C948" s="29">
        <f t="shared" si="228"/>
        <v>0</v>
      </c>
      <c r="D948" s="29">
        <f t="shared" si="229"/>
        <v>0</v>
      </c>
      <c r="E948" s="29">
        <f t="shared" si="226"/>
        <v>0</v>
      </c>
      <c r="F948" s="29">
        <f t="shared" si="230"/>
        <v>0</v>
      </c>
      <c r="G948" s="29" t="str">
        <f t="shared" si="231"/>
        <v>offensive</v>
      </c>
      <c r="H948" s="16">
        <f t="shared" si="232"/>
        <v>0</v>
      </c>
      <c r="I948" s="16">
        <f t="shared" si="233"/>
        <v>0</v>
      </c>
      <c r="J948" s="16">
        <f t="shared" si="234"/>
        <v>0</v>
      </c>
      <c r="K948" s="16">
        <f t="shared" si="235"/>
        <v>0</v>
      </c>
      <c r="L948" s="67">
        <f t="shared" si="236"/>
        <v>0</v>
      </c>
      <c r="M948" s="4">
        <f t="shared" si="237"/>
        <v>0</v>
      </c>
      <c r="N948" s="4">
        <f t="shared" si="238"/>
        <v>0</v>
      </c>
      <c r="O948" s="4">
        <f t="shared" si="239"/>
        <v>0</v>
      </c>
      <c r="P948" s="4" t="e">
        <f>VLOOKUP(AJ940,'CIR Team Info'!$C$5:$E$44,2,FALSE)</f>
        <v>#N/A</v>
      </c>
      <c r="Q948" s="4" t="e">
        <f>VLOOKUP(AJ940,'CIR Team Info'!$C$5:$E$44,3,FALSE)</f>
        <v>#N/A</v>
      </c>
      <c r="R948" s="10" t="e">
        <f>VLOOKUP(AJ940,'FRC Site Data'!$B$3:$L$42,2,FALSE)</f>
        <v>#N/A</v>
      </c>
      <c r="S948" s="10" t="e">
        <f>VLOOKUP(AJ940,'FRC Site Data'!$B$3:$L$42,3,FALSE)</f>
        <v>#N/A</v>
      </c>
      <c r="T948" s="10" t="e">
        <f>VLOOKUP(AJ940,'FRC Site Data'!$B$3:$L$42,4,FALSE)</f>
        <v>#N/A</v>
      </c>
      <c r="U948" s="10" t="e">
        <f>VLOOKUP(AJ940,'FRC Site Data'!$B$3:$L$42,5,FALSE)</f>
        <v>#N/A</v>
      </c>
      <c r="V948" s="10" t="e">
        <f>VLOOKUP(AJ940,'FRC Site Data'!$B$3:$L$42,6,FALSE)</f>
        <v>#N/A</v>
      </c>
      <c r="W948" s="10" t="e">
        <f>VLOOKUP(AJ940,'FRC Site Data'!$B$3:$L$42,8,FALSE)</f>
        <v>#N/A</v>
      </c>
      <c r="X948" s="10" t="e">
        <f>VLOOKUP(AJ940,'FRC Site Data'!$B$3:$L$42,9,FALSE)</f>
        <v>#N/A</v>
      </c>
      <c r="Y948" s="10" t="e">
        <f>VLOOKUP(AJ940,'FRC Site Data'!$B$3:$L$42,10,FALSE)</f>
        <v>#N/A</v>
      </c>
      <c r="Z948" s="10" t="e">
        <f>VLOOKUP(AJ940,'FRC Site Data'!$B$3:$L$42,11,FALSE)</f>
        <v>#N/A</v>
      </c>
      <c r="AA948" s="10" t="e">
        <f>VLOOKUP(AJ940,'CIR Team Info'!$C$5:$E$44,4,FALSE)</f>
        <v>#N/A</v>
      </c>
      <c r="AB948" s="161" t="b">
        <f>ISNUMBER(VLOOKUP(AJ940,Match!$T$5:$T$10,1,FALSE))</f>
        <v>0</v>
      </c>
      <c r="AC948" s="161" t="b">
        <f>IF(AB948=TRUE,(VLOOKUP($AJ940,Match!$T$5:$U$10,2,FALSE)))</f>
        <v>0</v>
      </c>
      <c r="AD948" s="8">
        <v>8</v>
      </c>
      <c r="AE948" s="8">
        <v>7</v>
      </c>
      <c r="AF948" s="8">
        <v>7</v>
      </c>
      <c r="AG948" s="8">
        <v>6</v>
      </c>
      <c r="AH948" s="8" t="str">
        <f t="shared" si="2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11" r:id="rId4" name="Button 7">
              <controlPr defaultSize="0" print="0" autoFill="0" autoPict="0" macro="[0]!Pit_Scout_paste">
                <anchor moveWithCells="1" sizeWithCells="1">
                  <from>
                    <xdr:col>34</xdr:col>
                    <xdr:colOff>180975</xdr:colOff>
                    <xdr:row>0</xdr:row>
                    <xdr:rowOff>19050</xdr:rowOff>
                  </from>
                  <to>
                    <xdr:col>34</xdr:col>
                    <xdr:colOff>1095375</xdr:colOff>
                    <xdr:row>0</xdr:row>
                    <xdr:rowOff>190500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O142"/>
  <sheetViews>
    <sheetView workbookViewId="0">
      <selection sqref="A1:I1"/>
    </sheetView>
  </sheetViews>
  <sheetFormatPr defaultRowHeight="15" x14ac:dyDescent="0.25"/>
  <cols>
    <col min="8" max="8" width="9.140625" style="11"/>
    <col min="11" max="12" width="9.140625" style="4"/>
    <col min="13" max="14" width="7.7109375" style="4" customWidth="1"/>
    <col min="15" max="15" width="34.42578125" customWidth="1"/>
    <col min="16" max="16" width="23.7109375" customWidth="1"/>
  </cols>
  <sheetData>
    <row r="1" spans="1:15" s="147" customFormat="1" ht="15.75" x14ac:dyDescent="0.25">
      <c r="A1" s="207" t="s">
        <v>375</v>
      </c>
      <c r="B1" s="208"/>
      <c r="C1" s="208"/>
      <c r="D1" s="208"/>
      <c r="E1" s="208"/>
      <c r="F1" s="208"/>
      <c r="G1" s="208"/>
      <c r="H1" s="208"/>
      <c r="I1" s="208"/>
      <c r="K1" s="4"/>
      <c r="L1" s="4"/>
      <c r="M1" s="4"/>
      <c r="N1" s="4"/>
    </row>
    <row r="2" spans="1:15" ht="47.25" x14ac:dyDescent="0.25">
      <c r="A2" s="41" t="s">
        <v>17</v>
      </c>
      <c r="B2" s="41" t="s">
        <v>18</v>
      </c>
      <c r="C2" s="41" t="s">
        <v>19</v>
      </c>
      <c r="D2" s="41" t="s">
        <v>374</v>
      </c>
      <c r="E2" s="41" t="s">
        <v>21</v>
      </c>
      <c r="F2" s="41" t="s">
        <v>20</v>
      </c>
      <c r="G2" s="41" t="s">
        <v>22</v>
      </c>
      <c r="H2" s="41" t="s">
        <v>23</v>
      </c>
      <c r="I2" s="41" t="s">
        <v>24</v>
      </c>
      <c r="J2" s="5"/>
      <c r="K2" s="3" t="s">
        <v>25</v>
      </c>
      <c r="L2" s="3" t="s">
        <v>27</v>
      </c>
      <c r="M2" s="3" t="s">
        <v>39</v>
      </c>
      <c r="N2" s="3" t="s">
        <v>40</v>
      </c>
      <c r="O2" t="s">
        <v>26</v>
      </c>
    </row>
    <row r="3" spans="1:15" x14ac:dyDescent="0.25">
      <c r="A3" s="43">
        <v>1</v>
      </c>
      <c r="B3" s="43">
        <v>359</v>
      </c>
      <c r="C3" s="43">
        <v>18</v>
      </c>
      <c r="D3" s="43">
        <v>240</v>
      </c>
      <c r="E3" s="43">
        <v>140</v>
      </c>
      <c r="F3" s="43">
        <v>461</v>
      </c>
      <c r="G3" s="43" t="s">
        <v>373</v>
      </c>
      <c r="H3" s="43">
        <v>0</v>
      </c>
      <c r="I3" s="43">
        <v>9</v>
      </c>
      <c r="J3" s="6"/>
      <c r="K3" s="4" t="str">
        <f t="shared" ref="K3:K42" si="0">TEXT(G3,"mm-dd-yy")</f>
        <v>9-0-0</v>
      </c>
      <c r="L3" s="4">
        <f t="shared" ref="L3:L42" si="1">A3</f>
        <v>1</v>
      </c>
    </row>
    <row r="4" spans="1:15" x14ac:dyDescent="0.25">
      <c r="A4" s="43">
        <v>2</v>
      </c>
      <c r="B4" s="43">
        <v>1741</v>
      </c>
      <c r="C4" s="43">
        <v>14</v>
      </c>
      <c r="D4" s="43">
        <v>266</v>
      </c>
      <c r="E4" s="43">
        <v>140</v>
      </c>
      <c r="F4" s="43">
        <v>284</v>
      </c>
      <c r="G4" s="159">
        <v>36709</v>
      </c>
      <c r="H4" s="43">
        <v>0</v>
      </c>
      <c r="I4" s="43">
        <v>9</v>
      </c>
      <c r="J4" s="6"/>
      <c r="K4" s="4" t="str">
        <f t="shared" si="0"/>
        <v>07-02-00</v>
      </c>
      <c r="L4" s="4">
        <f t="shared" si="1"/>
        <v>2</v>
      </c>
    </row>
    <row r="5" spans="1:15" x14ac:dyDescent="0.25">
      <c r="A5" s="43">
        <v>3</v>
      </c>
      <c r="B5" s="43">
        <v>829</v>
      </c>
      <c r="C5" s="43">
        <v>14</v>
      </c>
      <c r="D5" s="43">
        <v>180</v>
      </c>
      <c r="E5" s="43">
        <v>140</v>
      </c>
      <c r="F5" s="43">
        <v>209</v>
      </c>
      <c r="G5" s="159">
        <v>36709</v>
      </c>
      <c r="H5" s="43">
        <v>0</v>
      </c>
      <c r="I5" s="43">
        <v>9</v>
      </c>
      <c r="J5" s="6"/>
      <c r="K5" s="4" t="str">
        <f t="shared" si="0"/>
        <v>07-02-00</v>
      </c>
      <c r="L5" s="4">
        <f t="shared" si="1"/>
        <v>3</v>
      </c>
    </row>
    <row r="6" spans="1:15" x14ac:dyDescent="0.25">
      <c r="A6" s="43">
        <v>4</v>
      </c>
      <c r="B6" s="43">
        <v>1732</v>
      </c>
      <c r="C6" s="43">
        <v>12</v>
      </c>
      <c r="D6" s="43">
        <v>186</v>
      </c>
      <c r="E6" s="43">
        <v>150</v>
      </c>
      <c r="F6" s="43">
        <v>379</v>
      </c>
      <c r="G6" s="159">
        <v>36680</v>
      </c>
      <c r="H6" s="43">
        <v>0</v>
      </c>
      <c r="I6" s="43">
        <v>9</v>
      </c>
      <c r="J6" s="6"/>
      <c r="K6" s="4" t="str">
        <f t="shared" si="0"/>
        <v>06-03-00</v>
      </c>
      <c r="L6" s="4">
        <f t="shared" si="1"/>
        <v>4</v>
      </c>
    </row>
    <row r="7" spans="1:15" x14ac:dyDescent="0.25">
      <c r="A7" s="43">
        <v>5</v>
      </c>
      <c r="B7" s="43">
        <v>1646</v>
      </c>
      <c r="C7" s="43">
        <v>12</v>
      </c>
      <c r="D7" s="43">
        <v>186</v>
      </c>
      <c r="E7" s="43">
        <v>110</v>
      </c>
      <c r="F7" s="43">
        <v>231</v>
      </c>
      <c r="G7" s="159">
        <v>36680</v>
      </c>
      <c r="H7" s="43">
        <v>0</v>
      </c>
      <c r="I7" s="43">
        <v>9</v>
      </c>
      <c r="J7" s="6"/>
      <c r="K7" s="4" t="str">
        <f t="shared" si="0"/>
        <v>06-03-00</v>
      </c>
      <c r="L7" s="4">
        <f t="shared" si="1"/>
        <v>5</v>
      </c>
    </row>
    <row r="8" spans="1:15" x14ac:dyDescent="0.25">
      <c r="A8" s="43">
        <v>6</v>
      </c>
      <c r="B8" s="43">
        <v>4485</v>
      </c>
      <c r="C8" s="43">
        <v>12</v>
      </c>
      <c r="D8" s="43">
        <v>144</v>
      </c>
      <c r="E8" s="43">
        <v>120</v>
      </c>
      <c r="F8" s="43">
        <v>169</v>
      </c>
      <c r="G8" s="159">
        <v>36680</v>
      </c>
      <c r="H8" s="43">
        <v>0</v>
      </c>
      <c r="I8" s="43">
        <v>9</v>
      </c>
      <c r="J8" s="6"/>
      <c r="K8" s="4" t="str">
        <f t="shared" si="0"/>
        <v>06-03-00</v>
      </c>
      <c r="L8" s="4">
        <f t="shared" si="1"/>
        <v>6</v>
      </c>
    </row>
    <row r="9" spans="1:15" x14ac:dyDescent="0.25">
      <c r="A9" s="43">
        <v>7</v>
      </c>
      <c r="B9" s="43">
        <v>868</v>
      </c>
      <c r="C9" s="43">
        <v>12</v>
      </c>
      <c r="D9" s="43">
        <v>142</v>
      </c>
      <c r="E9" s="43">
        <v>110</v>
      </c>
      <c r="F9" s="43">
        <v>418</v>
      </c>
      <c r="G9" s="159">
        <v>36679</v>
      </c>
      <c r="H9" s="43">
        <v>0</v>
      </c>
      <c r="I9" s="43">
        <v>8</v>
      </c>
      <c r="J9" s="6"/>
      <c r="K9" s="4" t="str">
        <f t="shared" si="0"/>
        <v>06-02-00</v>
      </c>
      <c r="L9" s="4">
        <f t="shared" si="1"/>
        <v>7</v>
      </c>
    </row>
    <row r="10" spans="1:15" x14ac:dyDescent="0.25">
      <c r="A10" s="43">
        <v>8</v>
      </c>
      <c r="B10" s="43">
        <v>234</v>
      </c>
      <c r="C10" s="43">
        <v>12</v>
      </c>
      <c r="D10" s="43">
        <v>142</v>
      </c>
      <c r="E10" s="43">
        <v>110</v>
      </c>
      <c r="F10" s="43">
        <v>112</v>
      </c>
      <c r="G10" s="159">
        <v>36679</v>
      </c>
      <c r="H10" s="43">
        <v>0</v>
      </c>
      <c r="I10" s="43">
        <v>8</v>
      </c>
      <c r="J10" s="6"/>
      <c r="K10" s="4" t="str">
        <f t="shared" si="0"/>
        <v>06-02-00</v>
      </c>
      <c r="L10" s="4">
        <f t="shared" si="1"/>
        <v>8</v>
      </c>
    </row>
    <row r="11" spans="1:15" x14ac:dyDescent="0.25">
      <c r="A11" s="43">
        <v>9</v>
      </c>
      <c r="B11" s="43">
        <v>4545</v>
      </c>
      <c r="C11" s="43">
        <v>12</v>
      </c>
      <c r="D11" s="43">
        <v>70</v>
      </c>
      <c r="E11" s="43">
        <v>140</v>
      </c>
      <c r="F11" s="43">
        <v>170</v>
      </c>
      <c r="G11" s="159">
        <v>36679</v>
      </c>
      <c r="H11" s="43">
        <v>0</v>
      </c>
      <c r="I11" s="43">
        <v>8</v>
      </c>
      <c r="J11" s="6"/>
      <c r="K11" s="4" t="str">
        <f t="shared" si="0"/>
        <v>06-02-00</v>
      </c>
      <c r="L11" s="4">
        <f t="shared" si="1"/>
        <v>9</v>
      </c>
    </row>
    <row r="12" spans="1:15" x14ac:dyDescent="0.25">
      <c r="A12" s="43">
        <v>10</v>
      </c>
      <c r="B12" s="43">
        <v>2040</v>
      </c>
      <c r="C12" s="43">
        <v>11</v>
      </c>
      <c r="D12" s="43">
        <v>148</v>
      </c>
      <c r="E12" s="43">
        <v>100</v>
      </c>
      <c r="F12" s="43">
        <v>202</v>
      </c>
      <c r="G12" s="159">
        <v>37014</v>
      </c>
      <c r="H12" s="43">
        <v>0</v>
      </c>
      <c r="I12" s="43">
        <v>9</v>
      </c>
      <c r="J12" s="6"/>
      <c r="K12" s="4" t="str">
        <f t="shared" si="0"/>
        <v>05-03-01</v>
      </c>
      <c r="L12" s="4">
        <f t="shared" si="1"/>
        <v>10</v>
      </c>
    </row>
    <row r="13" spans="1:15" x14ac:dyDescent="0.25">
      <c r="A13" s="43">
        <v>11</v>
      </c>
      <c r="B13" s="43">
        <v>1736</v>
      </c>
      <c r="C13" s="43">
        <v>10</v>
      </c>
      <c r="D13" s="43">
        <v>178</v>
      </c>
      <c r="E13" s="43">
        <v>80</v>
      </c>
      <c r="F13" s="43">
        <v>213</v>
      </c>
      <c r="G13" s="159">
        <v>36649</v>
      </c>
      <c r="H13" s="43">
        <v>0</v>
      </c>
      <c r="I13" s="43">
        <v>8</v>
      </c>
      <c r="J13" s="6"/>
      <c r="K13" s="4" t="str">
        <f t="shared" si="0"/>
        <v>05-03-00</v>
      </c>
      <c r="L13" s="4">
        <f t="shared" si="1"/>
        <v>11</v>
      </c>
    </row>
    <row r="14" spans="1:15" x14ac:dyDescent="0.25">
      <c r="A14" s="43">
        <v>12</v>
      </c>
      <c r="B14" s="43">
        <v>3201</v>
      </c>
      <c r="C14" s="43">
        <v>10</v>
      </c>
      <c r="D14" s="43">
        <v>158</v>
      </c>
      <c r="E14" s="43">
        <v>100</v>
      </c>
      <c r="F14" s="43">
        <v>161</v>
      </c>
      <c r="G14" s="159">
        <v>36649</v>
      </c>
      <c r="H14" s="43">
        <v>0</v>
      </c>
      <c r="I14" s="43">
        <v>8</v>
      </c>
      <c r="J14" s="6"/>
      <c r="K14" s="4" t="str">
        <f t="shared" si="0"/>
        <v>05-03-00</v>
      </c>
      <c r="L14" s="4">
        <f t="shared" si="1"/>
        <v>12</v>
      </c>
    </row>
    <row r="15" spans="1:15" x14ac:dyDescent="0.25">
      <c r="A15" s="43">
        <v>13</v>
      </c>
      <c r="B15" s="43">
        <v>3147</v>
      </c>
      <c r="C15" s="43">
        <v>10</v>
      </c>
      <c r="D15" s="43">
        <v>102</v>
      </c>
      <c r="E15" s="43">
        <v>190</v>
      </c>
      <c r="F15" s="43">
        <v>152</v>
      </c>
      <c r="G15" s="159">
        <v>36650</v>
      </c>
      <c r="H15" s="43">
        <v>0</v>
      </c>
      <c r="I15" s="43">
        <v>9</v>
      </c>
      <c r="J15" s="6"/>
      <c r="K15" s="4" t="str">
        <f t="shared" si="0"/>
        <v>05-04-00</v>
      </c>
      <c r="L15" s="4">
        <f t="shared" si="1"/>
        <v>13</v>
      </c>
    </row>
    <row r="16" spans="1:15" x14ac:dyDescent="0.25">
      <c r="A16" s="43">
        <v>14</v>
      </c>
      <c r="B16" s="43">
        <v>3865</v>
      </c>
      <c r="C16" s="43">
        <v>10</v>
      </c>
      <c r="D16" s="43">
        <v>78</v>
      </c>
      <c r="E16" s="43">
        <v>90</v>
      </c>
      <c r="F16" s="43">
        <v>178</v>
      </c>
      <c r="G16" s="159">
        <v>36650</v>
      </c>
      <c r="H16" s="43">
        <v>0</v>
      </c>
      <c r="I16" s="43">
        <v>9</v>
      </c>
      <c r="J16" s="6"/>
      <c r="K16" s="4" t="str">
        <f t="shared" si="0"/>
        <v>05-04-00</v>
      </c>
      <c r="L16" s="4">
        <f t="shared" si="1"/>
        <v>14</v>
      </c>
    </row>
    <row r="17" spans="1:12" x14ac:dyDescent="0.25">
      <c r="A17" s="43">
        <v>15</v>
      </c>
      <c r="B17" s="43">
        <v>4070</v>
      </c>
      <c r="C17" s="43">
        <v>10</v>
      </c>
      <c r="D17" s="43">
        <v>72</v>
      </c>
      <c r="E17" s="43">
        <v>80</v>
      </c>
      <c r="F17" s="43">
        <v>107</v>
      </c>
      <c r="G17" s="159">
        <v>36649</v>
      </c>
      <c r="H17" s="43">
        <v>0</v>
      </c>
      <c r="I17" s="43">
        <v>8</v>
      </c>
      <c r="J17" s="6"/>
      <c r="K17" s="4" t="str">
        <f t="shared" si="0"/>
        <v>05-03-00</v>
      </c>
      <c r="L17" s="4">
        <f t="shared" si="1"/>
        <v>15</v>
      </c>
    </row>
    <row r="18" spans="1:12" x14ac:dyDescent="0.25">
      <c r="A18" s="43">
        <v>16</v>
      </c>
      <c r="B18" s="43">
        <v>2867</v>
      </c>
      <c r="C18" s="43">
        <v>10</v>
      </c>
      <c r="D18" s="43">
        <v>64</v>
      </c>
      <c r="E18" s="43">
        <v>70</v>
      </c>
      <c r="F18" s="43">
        <v>87</v>
      </c>
      <c r="G18" s="159">
        <v>36649</v>
      </c>
      <c r="H18" s="43">
        <v>0</v>
      </c>
      <c r="I18" s="43">
        <v>8</v>
      </c>
      <c r="J18" s="6"/>
      <c r="K18" s="4" t="str">
        <f t="shared" si="0"/>
        <v>05-03-00</v>
      </c>
      <c r="L18" s="4">
        <f t="shared" si="1"/>
        <v>16</v>
      </c>
    </row>
    <row r="19" spans="1:12" x14ac:dyDescent="0.25">
      <c r="A19" s="43">
        <v>17</v>
      </c>
      <c r="B19" s="43">
        <v>1024</v>
      </c>
      <c r="C19" s="43">
        <v>9</v>
      </c>
      <c r="D19" s="43">
        <v>78</v>
      </c>
      <c r="E19" s="43">
        <v>50</v>
      </c>
      <c r="F19" s="43">
        <v>194</v>
      </c>
      <c r="G19" s="159">
        <v>36984</v>
      </c>
      <c r="H19" s="43">
        <v>0</v>
      </c>
      <c r="I19" s="43">
        <v>8</v>
      </c>
      <c r="J19" s="6"/>
      <c r="K19" s="4" t="str">
        <f t="shared" si="0"/>
        <v>04-03-01</v>
      </c>
      <c r="L19" s="4">
        <f t="shared" si="1"/>
        <v>17</v>
      </c>
    </row>
    <row r="20" spans="1:12" x14ac:dyDescent="0.25">
      <c r="A20" s="43">
        <v>18</v>
      </c>
      <c r="B20" s="43">
        <v>3947</v>
      </c>
      <c r="C20" s="43">
        <v>8</v>
      </c>
      <c r="D20" s="43">
        <v>160</v>
      </c>
      <c r="E20" s="43">
        <v>140</v>
      </c>
      <c r="F20" s="43">
        <v>237</v>
      </c>
      <c r="G20" s="159">
        <v>36620</v>
      </c>
      <c r="H20" s="43">
        <v>0</v>
      </c>
      <c r="I20" s="43">
        <v>8</v>
      </c>
      <c r="J20" s="6"/>
      <c r="K20" s="4" t="str">
        <f t="shared" si="0"/>
        <v>04-04-00</v>
      </c>
      <c r="L20" s="4">
        <f t="shared" si="1"/>
        <v>18</v>
      </c>
    </row>
    <row r="21" spans="1:12" x14ac:dyDescent="0.25">
      <c r="A21" s="43">
        <v>19</v>
      </c>
      <c r="B21" s="43">
        <v>135</v>
      </c>
      <c r="C21" s="43">
        <v>8</v>
      </c>
      <c r="D21" s="43">
        <v>106</v>
      </c>
      <c r="E21" s="43">
        <v>120</v>
      </c>
      <c r="F21" s="43">
        <v>156</v>
      </c>
      <c r="G21" s="159">
        <v>36621</v>
      </c>
      <c r="H21" s="43">
        <v>0</v>
      </c>
      <c r="I21" s="43">
        <v>9</v>
      </c>
      <c r="J21" s="6"/>
      <c r="K21" s="4" t="str">
        <f t="shared" si="0"/>
        <v>04-05-00</v>
      </c>
      <c r="L21" s="4">
        <f t="shared" si="1"/>
        <v>19</v>
      </c>
    </row>
    <row r="22" spans="1:12" x14ac:dyDescent="0.25">
      <c r="A22" s="43">
        <v>20</v>
      </c>
      <c r="B22" s="43">
        <v>461</v>
      </c>
      <c r="C22" s="43">
        <v>8</v>
      </c>
      <c r="D22" s="43">
        <v>102</v>
      </c>
      <c r="E22" s="43">
        <v>90</v>
      </c>
      <c r="F22" s="43">
        <v>94</v>
      </c>
      <c r="G22" s="159">
        <v>36620</v>
      </c>
      <c r="H22" s="43">
        <v>0</v>
      </c>
      <c r="I22" s="43">
        <v>8</v>
      </c>
      <c r="J22" s="6"/>
      <c r="K22" s="4" t="str">
        <f t="shared" si="0"/>
        <v>04-04-00</v>
      </c>
      <c r="L22" s="4">
        <f t="shared" si="1"/>
        <v>20</v>
      </c>
    </row>
    <row r="23" spans="1:12" x14ac:dyDescent="0.25">
      <c r="A23" s="43">
        <v>21</v>
      </c>
      <c r="B23" s="43">
        <v>4580</v>
      </c>
      <c r="C23" s="43">
        <v>8</v>
      </c>
      <c r="D23" s="43">
        <v>86</v>
      </c>
      <c r="E23" s="43">
        <v>80</v>
      </c>
      <c r="F23" s="43">
        <v>122</v>
      </c>
      <c r="G23" s="159">
        <v>36621</v>
      </c>
      <c r="H23" s="43">
        <v>0</v>
      </c>
      <c r="I23" s="43">
        <v>9</v>
      </c>
      <c r="J23" s="6"/>
      <c r="K23" s="4" t="str">
        <f t="shared" si="0"/>
        <v>04-05-00</v>
      </c>
      <c r="L23" s="4">
        <f t="shared" si="1"/>
        <v>21</v>
      </c>
    </row>
    <row r="24" spans="1:12" x14ac:dyDescent="0.25">
      <c r="A24" s="43">
        <v>22</v>
      </c>
      <c r="B24" s="43">
        <v>3176</v>
      </c>
      <c r="C24" s="43">
        <v>8</v>
      </c>
      <c r="D24" s="43">
        <v>82</v>
      </c>
      <c r="E24" s="43">
        <v>180</v>
      </c>
      <c r="F24" s="43">
        <v>228</v>
      </c>
      <c r="G24" s="159">
        <v>36621</v>
      </c>
      <c r="H24" s="43">
        <v>0</v>
      </c>
      <c r="I24" s="43">
        <v>9</v>
      </c>
      <c r="J24" s="6"/>
      <c r="K24" s="4" t="str">
        <f t="shared" si="0"/>
        <v>04-05-00</v>
      </c>
      <c r="L24" s="4">
        <f t="shared" si="1"/>
        <v>22</v>
      </c>
    </row>
    <row r="25" spans="1:12" x14ac:dyDescent="0.25">
      <c r="A25" s="43">
        <v>23</v>
      </c>
      <c r="B25" s="43">
        <v>4791</v>
      </c>
      <c r="C25" s="43">
        <v>8</v>
      </c>
      <c r="D25" s="43">
        <v>82</v>
      </c>
      <c r="E25" s="43">
        <v>80</v>
      </c>
      <c r="F25" s="43">
        <v>145</v>
      </c>
      <c r="G25" s="159">
        <v>36620</v>
      </c>
      <c r="H25" s="43">
        <v>0</v>
      </c>
      <c r="I25" s="43">
        <v>8</v>
      </c>
      <c r="J25" s="6"/>
      <c r="K25" s="4" t="str">
        <f t="shared" si="0"/>
        <v>04-04-00</v>
      </c>
      <c r="L25" s="4">
        <f t="shared" si="1"/>
        <v>23</v>
      </c>
    </row>
    <row r="26" spans="1:12" x14ac:dyDescent="0.25">
      <c r="A26" s="43">
        <v>24</v>
      </c>
      <c r="B26" s="43">
        <v>3565</v>
      </c>
      <c r="C26" s="43">
        <v>8</v>
      </c>
      <c r="D26" s="43">
        <v>58</v>
      </c>
      <c r="E26" s="43">
        <v>30</v>
      </c>
      <c r="F26" s="43">
        <v>138</v>
      </c>
      <c r="G26" s="159">
        <v>36620</v>
      </c>
      <c r="H26" s="43">
        <v>0</v>
      </c>
      <c r="I26" s="43">
        <v>8</v>
      </c>
      <c r="J26" s="6"/>
      <c r="K26" s="4" t="str">
        <f t="shared" si="0"/>
        <v>04-04-00</v>
      </c>
      <c r="L26" s="4">
        <f t="shared" si="1"/>
        <v>24</v>
      </c>
    </row>
    <row r="27" spans="1:12" x14ac:dyDescent="0.25">
      <c r="A27" s="43">
        <v>25</v>
      </c>
      <c r="B27" s="43">
        <v>3487</v>
      </c>
      <c r="C27" s="43">
        <v>8</v>
      </c>
      <c r="D27" s="43">
        <v>54</v>
      </c>
      <c r="E27" s="43">
        <v>230</v>
      </c>
      <c r="F27" s="43">
        <v>62</v>
      </c>
      <c r="G27" s="159">
        <v>36620</v>
      </c>
      <c r="H27" s="43">
        <v>0</v>
      </c>
      <c r="I27" s="43">
        <v>8</v>
      </c>
      <c r="J27" s="6"/>
      <c r="K27" s="4" t="str">
        <f t="shared" si="0"/>
        <v>04-04-00</v>
      </c>
      <c r="L27" s="4">
        <f t="shared" si="1"/>
        <v>25</v>
      </c>
    </row>
    <row r="28" spans="1:12" x14ac:dyDescent="0.25">
      <c r="A28" s="43">
        <v>26</v>
      </c>
      <c r="B28" s="43">
        <v>3301</v>
      </c>
      <c r="C28" s="43">
        <v>7</v>
      </c>
      <c r="D28" s="43">
        <v>128</v>
      </c>
      <c r="E28" s="43">
        <v>40</v>
      </c>
      <c r="F28" s="43">
        <v>148</v>
      </c>
      <c r="G28" s="159">
        <v>36954</v>
      </c>
      <c r="H28" s="43">
        <v>0</v>
      </c>
      <c r="I28" s="43">
        <v>8</v>
      </c>
      <c r="J28" s="6"/>
      <c r="K28" s="4" t="str">
        <f t="shared" si="0"/>
        <v>03-04-01</v>
      </c>
      <c r="L28" s="4">
        <f t="shared" si="1"/>
        <v>26</v>
      </c>
    </row>
    <row r="29" spans="1:12" x14ac:dyDescent="0.25">
      <c r="A29" s="43">
        <v>27</v>
      </c>
      <c r="B29" s="43">
        <v>1501</v>
      </c>
      <c r="C29" s="43">
        <v>6</v>
      </c>
      <c r="D29" s="43">
        <v>106</v>
      </c>
      <c r="E29" s="43">
        <v>70</v>
      </c>
      <c r="F29" s="43">
        <v>201</v>
      </c>
      <c r="G29" s="159">
        <v>36590</v>
      </c>
      <c r="H29" s="43">
        <v>0</v>
      </c>
      <c r="I29" s="43">
        <v>8</v>
      </c>
      <c r="J29" s="6"/>
      <c r="K29" s="4" t="str">
        <f t="shared" si="0"/>
        <v>03-05-00</v>
      </c>
      <c r="L29" s="4">
        <f t="shared" si="1"/>
        <v>27</v>
      </c>
    </row>
    <row r="30" spans="1:12" x14ac:dyDescent="0.25">
      <c r="A30" s="43">
        <v>28</v>
      </c>
      <c r="B30" s="43">
        <v>4272</v>
      </c>
      <c r="C30" s="43">
        <v>6</v>
      </c>
      <c r="D30" s="43">
        <v>106</v>
      </c>
      <c r="E30" s="43">
        <v>60</v>
      </c>
      <c r="F30" s="43">
        <v>139</v>
      </c>
      <c r="G30" s="159">
        <v>36591</v>
      </c>
      <c r="H30" s="43">
        <v>0</v>
      </c>
      <c r="I30" s="43">
        <v>9</v>
      </c>
      <c r="J30" s="6"/>
      <c r="K30" s="4" t="str">
        <f t="shared" si="0"/>
        <v>03-06-00</v>
      </c>
      <c r="L30" s="4">
        <f t="shared" si="1"/>
        <v>28</v>
      </c>
    </row>
    <row r="31" spans="1:12" x14ac:dyDescent="0.25">
      <c r="A31" s="43">
        <v>29</v>
      </c>
      <c r="B31" s="43">
        <v>3272</v>
      </c>
      <c r="C31" s="43">
        <v>6</v>
      </c>
      <c r="D31" s="43">
        <v>94</v>
      </c>
      <c r="E31" s="43">
        <v>70</v>
      </c>
      <c r="F31" s="43">
        <v>182</v>
      </c>
      <c r="G31" s="159">
        <v>36590</v>
      </c>
      <c r="H31" s="43">
        <v>0</v>
      </c>
      <c r="I31" s="43">
        <v>8</v>
      </c>
      <c r="J31" s="6"/>
      <c r="K31" s="4" t="str">
        <f t="shared" si="0"/>
        <v>03-05-00</v>
      </c>
      <c r="L31" s="4">
        <f t="shared" si="1"/>
        <v>29</v>
      </c>
    </row>
    <row r="32" spans="1:12" x14ac:dyDescent="0.25">
      <c r="A32" s="43">
        <v>30</v>
      </c>
      <c r="B32" s="43">
        <v>1747</v>
      </c>
      <c r="C32" s="43">
        <v>6</v>
      </c>
      <c r="D32" s="43">
        <v>94</v>
      </c>
      <c r="E32" s="43">
        <v>70</v>
      </c>
      <c r="F32" s="43">
        <v>99</v>
      </c>
      <c r="G32" s="159">
        <v>36590</v>
      </c>
      <c r="H32" s="43">
        <v>0</v>
      </c>
      <c r="I32" s="43">
        <v>8</v>
      </c>
      <c r="J32" s="6"/>
      <c r="K32" s="4" t="str">
        <f t="shared" si="0"/>
        <v>03-05-00</v>
      </c>
      <c r="L32" s="4">
        <f t="shared" si="1"/>
        <v>30</v>
      </c>
    </row>
    <row r="33" spans="1:15" x14ac:dyDescent="0.25">
      <c r="A33" s="43">
        <v>31</v>
      </c>
      <c r="B33" s="43">
        <v>4234</v>
      </c>
      <c r="C33" s="43">
        <v>6</v>
      </c>
      <c r="D33" s="43">
        <v>84</v>
      </c>
      <c r="E33" s="43">
        <v>90</v>
      </c>
      <c r="F33" s="43">
        <v>144</v>
      </c>
      <c r="G33" s="159">
        <v>36591</v>
      </c>
      <c r="H33" s="43">
        <v>0</v>
      </c>
      <c r="I33" s="43">
        <v>9</v>
      </c>
      <c r="J33" s="6"/>
      <c r="K33" s="4" t="str">
        <f t="shared" si="0"/>
        <v>03-06-00</v>
      </c>
      <c r="L33" s="4">
        <f t="shared" si="1"/>
        <v>31</v>
      </c>
    </row>
    <row r="34" spans="1:15" x14ac:dyDescent="0.25">
      <c r="A34" s="43">
        <v>32</v>
      </c>
      <c r="B34" s="43">
        <v>45</v>
      </c>
      <c r="C34" s="43">
        <v>6</v>
      </c>
      <c r="D34" s="43">
        <v>66</v>
      </c>
      <c r="E34" s="43">
        <v>70</v>
      </c>
      <c r="F34" s="43">
        <v>129</v>
      </c>
      <c r="G34" s="159">
        <v>36590</v>
      </c>
      <c r="H34" s="43">
        <v>0</v>
      </c>
      <c r="I34" s="43">
        <v>8</v>
      </c>
      <c r="J34" s="6"/>
      <c r="K34" s="4" t="str">
        <f t="shared" si="0"/>
        <v>03-05-00</v>
      </c>
      <c r="L34" s="4">
        <f t="shared" si="1"/>
        <v>32</v>
      </c>
    </row>
    <row r="35" spans="1:15" x14ac:dyDescent="0.25">
      <c r="A35" s="43">
        <v>33</v>
      </c>
      <c r="B35" s="43">
        <v>1872</v>
      </c>
      <c r="C35" s="43">
        <v>6</v>
      </c>
      <c r="D35" s="43">
        <v>42</v>
      </c>
      <c r="E35" s="43">
        <v>60</v>
      </c>
      <c r="F35" s="43">
        <v>91</v>
      </c>
      <c r="G35" s="159">
        <v>36589</v>
      </c>
      <c r="H35" s="43">
        <v>1</v>
      </c>
      <c r="I35" s="43">
        <v>8</v>
      </c>
      <c r="J35" s="6"/>
      <c r="K35" s="4" t="str">
        <f t="shared" si="0"/>
        <v>03-04-00</v>
      </c>
      <c r="L35" s="4">
        <f t="shared" si="1"/>
        <v>33</v>
      </c>
    </row>
    <row r="36" spans="1:15" x14ac:dyDescent="0.25">
      <c r="A36" s="43">
        <v>34</v>
      </c>
      <c r="B36" s="43">
        <v>1756</v>
      </c>
      <c r="C36" s="43">
        <v>5</v>
      </c>
      <c r="D36" s="43">
        <v>118</v>
      </c>
      <c r="E36" s="43">
        <v>120</v>
      </c>
      <c r="F36" s="43">
        <v>179</v>
      </c>
      <c r="G36" s="159">
        <v>36927</v>
      </c>
      <c r="H36" s="43">
        <v>0</v>
      </c>
      <c r="I36" s="43">
        <v>8</v>
      </c>
      <c r="J36" s="6"/>
      <c r="K36" s="4" t="str">
        <f t="shared" si="0"/>
        <v>02-05-01</v>
      </c>
      <c r="L36" s="4">
        <f t="shared" si="1"/>
        <v>34</v>
      </c>
    </row>
    <row r="37" spans="1:15" x14ac:dyDescent="0.25">
      <c r="A37" s="43">
        <v>35</v>
      </c>
      <c r="B37" s="43">
        <v>292</v>
      </c>
      <c r="C37" s="43">
        <v>4</v>
      </c>
      <c r="D37" s="43">
        <v>112</v>
      </c>
      <c r="E37" s="43">
        <v>90</v>
      </c>
      <c r="F37" s="43">
        <v>106</v>
      </c>
      <c r="G37" s="159">
        <v>36562</v>
      </c>
      <c r="H37" s="43">
        <v>0</v>
      </c>
      <c r="I37" s="43">
        <v>8</v>
      </c>
      <c r="J37" s="6"/>
      <c r="K37" s="4" t="str">
        <f t="shared" si="0"/>
        <v>02-06-00</v>
      </c>
      <c r="L37" s="4">
        <f t="shared" si="1"/>
        <v>35</v>
      </c>
    </row>
    <row r="38" spans="1:15" x14ac:dyDescent="0.25">
      <c r="A38" s="43">
        <v>36</v>
      </c>
      <c r="B38" s="43">
        <v>2197</v>
      </c>
      <c r="C38" s="43">
        <v>4</v>
      </c>
      <c r="D38" s="43">
        <v>94</v>
      </c>
      <c r="E38" s="43">
        <v>70</v>
      </c>
      <c r="F38" s="43">
        <v>162</v>
      </c>
      <c r="G38" s="159">
        <v>36562</v>
      </c>
      <c r="H38" s="43">
        <v>0</v>
      </c>
      <c r="I38" s="43">
        <v>8</v>
      </c>
      <c r="J38" s="6"/>
      <c r="K38" s="4" t="str">
        <f t="shared" si="0"/>
        <v>02-06-00</v>
      </c>
      <c r="L38" s="4">
        <f t="shared" si="1"/>
        <v>36</v>
      </c>
    </row>
    <row r="39" spans="1:15" x14ac:dyDescent="0.25">
      <c r="A39" s="43">
        <v>37</v>
      </c>
      <c r="B39" s="43">
        <v>4211</v>
      </c>
      <c r="C39" s="43">
        <v>4</v>
      </c>
      <c r="D39" s="43">
        <v>24</v>
      </c>
      <c r="E39" s="43">
        <v>80</v>
      </c>
      <c r="F39" s="43">
        <v>88</v>
      </c>
      <c r="G39" s="159">
        <v>36562</v>
      </c>
      <c r="H39" s="43">
        <v>0</v>
      </c>
      <c r="I39" s="43">
        <v>8</v>
      </c>
      <c r="J39" s="6"/>
      <c r="K39" s="4" t="str">
        <f t="shared" si="0"/>
        <v>02-06-00</v>
      </c>
      <c r="L39" s="4">
        <f t="shared" si="1"/>
        <v>37</v>
      </c>
    </row>
    <row r="40" spans="1:15" x14ac:dyDescent="0.25">
      <c r="A40" s="43">
        <v>38</v>
      </c>
      <c r="B40" s="43">
        <v>3180</v>
      </c>
      <c r="C40" s="43">
        <v>3</v>
      </c>
      <c r="D40" s="43">
        <v>78</v>
      </c>
      <c r="E40" s="43">
        <v>90</v>
      </c>
      <c r="F40" s="43">
        <v>101</v>
      </c>
      <c r="G40" s="159">
        <v>36898</v>
      </c>
      <c r="H40" s="43">
        <v>0</v>
      </c>
      <c r="I40" s="43">
        <v>9</v>
      </c>
      <c r="J40" s="6"/>
      <c r="K40" s="4" t="str">
        <f t="shared" si="0"/>
        <v>01-07-01</v>
      </c>
      <c r="L40" s="4">
        <f t="shared" si="1"/>
        <v>38</v>
      </c>
    </row>
    <row r="41" spans="1:15" x14ac:dyDescent="0.25">
      <c r="A41" s="43">
        <v>39</v>
      </c>
      <c r="B41" s="43">
        <v>4846</v>
      </c>
      <c r="C41" s="43">
        <v>3</v>
      </c>
      <c r="D41" s="43">
        <v>74</v>
      </c>
      <c r="E41" s="43">
        <v>50</v>
      </c>
      <c r="F41" s="43">
        <v>162</v>
      </c>
      <c r="G41" s="159">
        <v>36897</v>
      </c>
      <c r="H41" s="43">
        <v>0</v>
      </c>
      <c r="I41" s="43">
        <v>8</v>
      </c>
      <c r="J41" s="6"/>
      <c r="K41" s="4" t="str">
        <f t="shared" si="0"/>
        <v>01-06-01</v>
      </c>
      <c r="L41" s="4">
        <f t="shared" si="1"/>
        <v>39</v>
      </c>
    </row>
    <row r="42" spans="1:15" x14ac:dyDescent="0.25">
      <c r="A42" s="43">
        <v>40</v>
      </c>
      <c r="B42" s="43">
        <v>2171</v>
      </c>
      <c r="C42" s="43">
        <v>2</v>
      </c>
      <c r="D42" s="43">
        <v>88</v>
      </c>
      <c r="E42" s="43">
        <v>90</v>
      </c>
      <c r="F42" s="43">
        <v>162</v>
      </c>
      <c r="G42" s="159">
        <v>36533</v>
      </c>
      <c r="H42" s="43">
        <v>0</v>
      </c>
      <c r="I42" s="43">
        <v>9</v>
      </c>
      <c r="J42" s="6"/>
      <c r="K42" s="4" t="str">
        <f t="shared" si="0"/>
        <v>01-08-00</v>
      </c>
      <c r="L42" s="4">
        <f t="shared" si="1"/>
        <v>40</v>
      </c>
    </row>
    <row r="44" spans="1:15" ht="31.5" x14ac:dyDescent="0.25">
      <c r="A44" s="41" t="s">
        <v>49</v>
      </c>
      <c r="B44" s="41" t="s">
        <v>50</v>
      </c>
      <c r="C44" s="41" t="s">
        <v>51</v>
      </c>
      <c r="D44" s="41" t="s">
        <v>52</v>
      </c>
      <c r="E44" s="41" t="s">
        <v>53</v>
      </c>
      <c r="F44" s="41" t="s">
        <v>54</v>
      </c>
      <c r="G44" s="41" t="s">
        <v>55</v>
      </c>
      <c r="H44" s="41" t="s">
        <v>56</v>
      </c>
      <c r="I44" s="41" t="s">
        <v>57</v>
      </c>
      <c r="J44" s="41" t="s">
        <v>58</v>
      </c>
      <c r="K44" s="4" t="str">
        <f t="shared" ref="K44:K75" si="2">A44</f>
        <v>Time</v>
      </c>
    </row>
    <row r="45" spans="1:15" x14ac:dyDescent="0.25">
      <c r="A45" s="42">
        <v>0.375</v>
      </c>
      <c r="B45" s="43">
        <v>1</v>
      </c>
      <c r="C45" s="43">
        <v>1736</v>
      </c>
      <c r="D45" s="43">
        <v>234</v>
      </c>
      <c r="E45" s="43">
        <v>3180</v>
      </c>
      <c r="F45" s="43">
        <v>3301</v>
      </c>
      <c r="G45" s="43">
        <v>3947</v>
      </c>
      <c r="H45" s="43">
        <v>3272</v>
      </c>
      <c r="I45" s="43">
        <v>62</v>
      </c>
      <c r="J45" s="43">
        <v>69</v>
      </c>
      <c r="K45" s="45">
        <f t="shared" si="2"/>
        <v>0.375</v>
      </c>
      <c r="O45" s="127" t="s">
        <v>134</v>
      </c>
    </row>
    <row r="46" spans="1:15" x14ac:dyDescent="0.25">
      <c r="A46" s="42">
        <v>0.38472222222222219</v>
      </c>
      <c r="B46" s="43">
        <v>2</v>
      </c>
      <c r="C46" s="43">
        <v>4211</v>
      </c>
      <c r="D46" s="43">
        <v>4272</v>
      </c>
      <c r="E46" s="43">
        <v>2867</v>
      </c>
      <c r="F46" s="43">
        <v>868</v>
      </c>
      <c r="G46" s="43">
        <v>4580</v>
      </c>
      <c r="H46" s="43">
        <v>1024</v>
      </c>
      <c r="I46" s="43">
        <v>5</v>
      </c>
      <c r="J46" s="43">
        <v>66</v>
      </c>
      <c r="K46" s="45">
        <f t="shared" si="2"/>
        <v>0.38472222222222219</v>
      </c>
    </row>
    <row r="47" spans="1:15" x14ac:dyDescent="0.25">
      <c r="A47" s="42">
        <v>0.3888888888888889</v>
      </c>
      <c r="B47" s="43">
        <v>3</v>
      </c>
      <c r="C47" s="43">
        <v>359</v>
      </c>
      <c r="D47" s="43">
        <v>829</v>
      </c>
      <c r="E47" s="43">
        <v>4234</v>
      </c>
      <c r="F47" s="43">
        <v>4485</v>
      </c>
      <c r="G47" s="43">
        <v>292</v>
      </c>
      <c r="H47" s="43">
        <v>1646</v>
      </c>
      <c r="I47" s="43">
        <v>52</v>
      </c>
      <c r="J47" s="43">
        <v>24</v>
      </c>
      <c r="K47" s="45">
        <f t="shared" si="2"/>
        <v>0.3888888888888889</v>
      </c>
    </row>
    <row r="48" spans="1:15" x14ac:dyDescent="0.25">
      <c r="A48" s="42">
        <v>0.39513888888888887</v>
      </c>
      <c r="B48" s="43">
        <v>4</v>
      </c>
      <c r="C48" s="43">
        <v>1756</v>
      </c>
      <c r="D48" s="43">
        <v>1501</v>
      </c>
      <c r="E48" s="43">
        <v>4846</v>
      </c>
      <c r="F48" s="43">
        <v>1732</v>
      </c>
      <c r="G48" s="43">
        <v>3176</v>
      </c>
      <c r="H48" s="43">
        <v>4545</v>
      </c>
      <c r="I48" s="43">
        <v>50</v>
      </c>
      <c r="J48" s="43">
        <v>53</v>
      </c>
      <c r="K48" s="45">
        <f t="shared" si="2"/>
        <v>0.39513888888888887</v>
      </c>
      <c r="O48" s="127" t="s">
        <v>135</v>
      </c>
    </row>
    <row r="49" spans="1:15" x14ac:dyDescent="0.25">
      <c r="A49" s="42">
        <v>0.39999999999999997</v>
      </c>
      <c r="B49" s="43">
        <v>5</v>
      </c>
      <c r="C49" s="43">
        <v>1741</v>
      </c>
      <c r="D49" s="43">
        <v>3201</v>
      </c>
      <c r="E49" s="43">
        <v>3865</v>
      </c>
      <c r="F49" s="43">
        <v>2040</v>
      </c>
      <c r="G49" s="43">
        <v>3147</v>
      </c>
      <c r="H49" s="43">
        <v>2197</v>
      </c>
      <c r="I49" s="43">
        <v>74</v>
      </c>
      <c r="J49" s="43">
        <v>34</v>
      </c>
      <c r="K49" s="45">
        <f t="shared" si="2"/>
        <v>0.39999999999999997</v>
      </c>
      <c r="O49" s="127" t="s">
        <v>136</v>
      </c>
    </row>
    <row r="50" spans="1:15" x14ac:dyDescent="0.25">
      <c r="A50" s="42">
        <v>0.4055555555555555</v>
      </c>
      <c r="B50" s="43">
        <v>6</v>
      </c>
      <c r="C50" s="43">
        <v>135</v>
      </c>
      <c r="D50" s="43">
        <v>45</v>
      </c>
      <c r="E50" s="43">
        <v>4070</v>
      </c>
      <c r="F50" s="43">
        <v>1747</v>
      </c>
      <c r="G50" s="43">
        <v>4791</v>
      </c>
      <c r="H50" s="43">
        <v>3565</v>
      </c>
      <c r="I50" s="43">
        <v>3</v>
      </c>
      <c r="J50" s="43">
        <v>12</v>
      </c>
      <c r="K50" s="45">
        <f t="shared" si="2"/>
        <v>0.4055555555555555</v>
      </c>
    </row>
    <row r="51" spans="1:15" x14ac:dyDescent="0.25">
      <c r="A51" s="42">
        <v>0.41250000000000003</v>
      </c>
      <c r="B51" s="43">
        <v>7</v>
      </c>
      <c r="C51" s="43">
        <v>3487</v>
      </c>
      <c r="D51" s="43">
        <v>2171</v>
      </c>
      <c r="E51" s="43">
        <v>4234</v>
      </c>
      <c r="F51" s="43">
        <v>461</v>
      </c>
      <c r="G51" s="43">
        <v>1872</v>
      </c>
      <c r="H51" s="43">
        <v>2867</v>
      </c>
      <c r="I51" s="43">
        <v>9</v>
      </c>
      <c r="J51" s="43">
        <v>11</v>
      </c>
      <c r="K51" s="45">
        <f t="shared" si="2"/>
        <v>0.41250000000000003</v>
      </c>
    </row>
    <row r="52" spans="1:15" x14ac:dyDescent="0.25">
      <c r="A52" s="42">
        <v>0.41875000000000001</v>
      </c>
      <c r="B52" s="43">
        <v>8</v>
      </c>
      <c r="C52" s="43">
        <v>292</v>
      </c>
      <c r="D52" s="43">
        <v>3201</v>
      </c>
      <c r="E52" s="43">
        <v>1501</v>
      </c>
      <c r="F52" s="43">
        <v>829</v>
      </c>
      <c r="G52" s="43">
        <v>1756</v>
      </c>
      <c r="H52" s="43">
        <v>234</v>
      </c>
      <c r="I52" s="43">
        <v>37</v>
      </c>
      <c r="J52" s="43">
        <v>60</v>
      </c>
      <c r="K52" s="45">
        <f t="shared" si="2"/>
        <v>0.41875000000000001</v>
      </c>
    </row>
    <row r="53" spans="1:15" x14ac:dyDescent="0.25">
      <c r="A53" s="42">
        <v>0.42291666666666666</v>
      </c>
      <c r="B53" s="43">
        <v>9</v>
      </c>
      <c r="C53" s="43">
        <v>1736</v>
      </c>
      <c r="D53" s="43">
        <v>45</v>
      </c>
      <c r="E53" s="43">
        <v>1747</v>
      </c>
      <c r="F53" s="43">
        <v>3272</v>
      </c>
      <c r="G53" s="43">
        <v>3865</v>
      </c>
      <c r="H53" s="43">
        <v>4272</v>
      </c>
      <c r="I53" s="43">
        <v>30</v>
      </c>
      <c r="J53" s="43">
        <v>4</v>
      </c>
      <c r="K53" s="45">
        <f t="shared" si="2"/>
        <v>0.42291666666666666</v>
      </c>
    </row>
    <row r="54" spans="1:15" x14ac:dyDescent="0.25">
      <c r="A54" s="42">
        <v>0.42777777777777781</v>
      </c>
      <c r="B54" s="43">
        <v>10</v>
      </c>
      <c r="C54" s="43">
        <v>135</v>
      </c>
      <c r="D54" s="43">
        <v>3947</v>
      </c>
      <c r="E54" s="43">
        <v>2171</v>
      </c>
      <c r="F54" s="43">
        <v>4485</v>
      </c>
      <c r="G54" s="43">
        <v>3301</v>
      </c>
      <c r="H54" s="43">
        <v>1732</v>
      </c>
      <c r="I54" s="43">
        <v>63</v>
      </c>
      <c r="J54" s="43">
        <v>75</v>
      </c>
      <c r="K54" s="45">
        <f t="shared" si="2"/>
        <v>0.42777777777777781</v>
      </c>
    </row>
    <row r="55" spans="1:15" x14ac:dyDescent="0.25">
      <c r="A55" s="42">
        <v>0.43333333333333335</v>
      </c>
      <c r="B55" s="43">
        <v>11</v>
      </c>
      <c r="C55" s="43">
        <v>3565</v>
      </c>
      <c r="D55" s="43">
        <v>1872</v>
      </c>
      <c r="E55" s="43">
        <v>4580</v>
      </c>
      <c r="F55" s="43">
        <v>2197</v>
      </c>
      <c r="G55" s="43">
        <v>1024</v>
      </c>
      <c r="H55" s="43">
        <v>1741</v>
      </c>
      <c r="I55" s="43">
        <v>0</v>
      </c>
      <c r="J55" s="43">
        <v>60</v>
      </c>
      <c r="K55" s="45">
        <f t="shared" si="2"/>
        <v>0.43333333333333335</v>
      </c>
    </row>
    <row r="56" spans="1:15" x14ac:dyDescent="0.25">
      <c r="A56" s="42">
        <v>0.4375</v>
      </c>
      <c r="B56" s="43">
        <v>12</v>
      </c>
      <c r="C56" s="43">
        <v>4211</v>
      </c>
      <c r="D56" s="43">
        <v>3176</v>
      </c>
      <c r="E56" s="43">
        <v>3487</v>
      </c>
      <c r="F56" s="43">
        <v>4070</v>
      </c>
      <c r="G56" s="43">
        <v>359</v>
      </c>
      <c r="H56" s="43">
        <v>3180</v>
      </c>
      <c r="I56" s="43">
        <v>40</v>
      </c>
      <c r="J56" s="43">
        <v>65</v>
      </c>
      <c r="K56" s="45">
        <f t="shared" si="2"/>
        <v>0.4375</v>
      </c>
    </row>
    <row r="57" spans="1:15" x14ac:dyDescent="0.25">
      <c r="A57" s="42">
        <v>0.44236111111111115</v>
      </c>
      <c r="B57" s="43">
        <v>13</v>
      </c>
      <c r="C57" s="43">
        <v>4846</v>
      </c>
      <c r="D57" s="43">
        <v>461</v>
      </c>
      <c r="E57" s="43">
        <v>1646</v>
      </c>
      <c r="F57" s="43">
        <v>2040</v>
      </c>
      <c r="G57" s="43">
        <v>868</v>
      </c>
      <c r="H57" s="43">
        <v>4791</v>
      </c>
      <c r="I57" s="43">
        <v>20</v>
      </c>
      <c r="J57" s="43">
        <v>82</v>
      </c>
      <c r="K57" s="45">
        <f t="shared" si="2"/>
        <v>0.44236111111111115</v>
      </c>
    </row>
    <row r="58" spans="1:15" x14ac:dyDescent="0.25">
      <c r="A58" s="42">
        <v>0.44791666666666669</v>
      </c>
      <c r="B58" s="43">
        <v>14</v>
      </c>
      <c r="C58" s="43">
        <v>3147</v>
      </c>
      <c r="D58" s="43">
        <v>1747</v>
      </c>
      <c r="E58" s="43">
        <v>3272</v>
      </c>
      <c r="F58" s="43">
        <v>4545</v>
      </c>
      <c r="G58" s="43">
        <v>1756</v>
      </c>
      <c r="H58" s="43">
        <v>2171</v>
      </c>
      <c r="I58" s="43">
        <v>19</v>
      </c>
      <c r="J58" s="43">
        <v>68</v>
      </c>
      <c r="K58" s="45">
        <f t="shared" si="2"/>
        <v>0.44791666666666669</v>
      </c>
    </row>
    <row r="59" spans="1:15" x14ac:dyDescent="0.25">
      <c r="A59" s="42">
        <v>0.45208333333333334</v>
      </c>
      <c r="B59" s="43">
        <v>15</v>
      </c>
      <c r="C59" s="43">
        <v>2197</v>
      </c>
      <c r="D59" s="43">
        <v>4070</v>
      </c>
      <c r="E59" s="43">
        <v>4485</v>
      </c>
      <c r="F59" s="43">
        <v>2867</v>
      </c>
      <c r="G59" s="43">
        <v>1732</v>
      </c>
      <c r="H59" s="43">
        <v>1501</v>
      </c>
      <c r="I59" s="43">
        <v>14</v>
      </c>
      <c r="J59" s="43">
        <v>91</v>
      </c>
      <c r="K59" s="45">
        <f t="shared" si="2"/>
        <v>0.45208333333333334</v>
      </c>
    </row>
    <row r="60" spans="1:15" x14ac:dyDescent="0.25">
      <c r="A60" s="42">
        <v>0.45833333333333331</v>
      </c>
      <c r="B60" s="43">
        <v>16</v>
      </c>
      <c r="C60" s="43">
        <v>135</v>
      </c>
      <c r="D60" s="43">
        <v>2040</v>
      </c>
      <c r="E60" s="43">
        <v>3201</v>
      </c>
      <c r="F60" s="43">
        <v>4791</v>
      </c>
      <c r="G60" s="43">
        <v>1736</v>
      </c>
      <c r="H60" s="43">
        <v>3176</v>
      </c>
      <c r="I60" s="43">
        <v>54</v>
      </c>
      <c r="J60" s="43">
        <v>46</v>
      </c>
      <c r="K60" s="45">
        <f t="shared" si="2"/>
        <v>0.45833333333333331</v>
      </c>
    </row>
    <row r="61" spans="1:15" x14ac:dyDescent="0.25">
      <c r="A61" s="42">
        <v>0.46319444444444446</v>
      </c>
      <c r="B61" s="43">
        <v>17</v>
      </c>
      <c r="C61" s="43">
        <v>3147</v>
      </c>
      <c r="D61" s="43">
        <v>461</v>
      </c>
      <c r="E61" s="43">
        <v>4211</v>
      </c>
      <c r="F61" s="43">
        <v>3301</v>
      </c>
      <c r="G61" s="43">
        <v>45</v>
      </c>
      <c r="H61" s="43">
        <v>4846</v>
      </c>
      <c r="I61" s="43">
        <v>46</v>
      </c>
      <c r="J61" s="43">
        <v>20</v>
      </c>
      <c r="K61" s="45">
        <f t="shared" si="2"/>
        <v>0.46319444444444446</v>
      </c>
    </row>
    <row r="62" spans="1:15" x14ac:dyDescent="0.25">
      <c r="A62" s="42">
        <v>0.4680555555555555</v>
      </c>
      <c r="B62" s="43">
        <v>18</v>
      </c>
      <c r="C62" s="43">
        <v>1741</v>
      </c>
      <c r="D62" s="43">
        <v>4545</v>
      </c>
      <c r="E62" s="43">
        <v>292</v>
      </c>
      <c r="F62" s="43">
        <v>4580</v>
      </c>
      <c r="G62" s="43">
        <v>3487</v>
      </c>
      <c r="H62" s="43">
        <v>3180</v>
      </c>
      <c r="I62" s="43">
        <v>78</v>
      </c>
      <c r="J62" s="43">
        <v>32</v>
      </c>
      <c r="K62" s="45">
        <f t="shared" si="2"/>
        <v>0.4680555555555555</v>
      </c>
    </row>
    <row r="63" spans="1:15" x14ac:dyDescent="0.25">
      <c r="A63" s="42">
        <v>0.47222222222222227</v>
      </c>
      <c r="B63" s="43">
        <v>19</v>
      </c>
      <c r="C63" s="43">
        <v>3565</v>
      </c>
      <c r="D63" s="43">
        <v>359</v>
      </c>
      <c r="E63" s="43">
        <v>868</v>
      </c>
      <c r="F63" s="43">
        <v>4234</v>
      </c>
      <c r="G63" s="43">
        <v>4272</v>
      </c>
      <c r="H63" s="43">
        <v>3947</v>
      </c>
      <c r="I63" s="43">
        <v>131</v>
      </c>
      <c r="J63" s="43">
        <v>36</v>
      </c>
      <c r="K63" s="45">
        <f t="shared" si="2"/>
        <v>0.47222222222222227</v>
      </c>
    </row>
    <row r="64" spans="1:15" x14ac:dyDescent="0.25">
      <c r="A64" s="42">
        <v>0.47916666666666669</v>
      </c>
      <c r="B64" s="43">
        <v>20</v>
      </c>
      <c r="C64" s="43">
        <v>1872</v>
      </c>
      <c r="D64" s="43">
        <v>829</v>
      </c>
      <c r="E64" s="43">
        <v>1024</v>
      </c>
      <c r="F64" s="43">
        <v>3865</v>
      </c>
      <c r="G64" s="43">
        <v>1646</v>
      </c>
      <c r="H64" s="43">
        <v>234</v>
      </c>
      <c r="I64" s="43">
        <v>43</v>
      </c>
      <c r="J64" s="43">
        <v>44</v>
      </c>
      <c r="K64" s="45">
        <f t="shared" si="2"/>
        <v>0.47916666666666669</v>
      </c>
    </row>
    <row r="65" spans="1:11" x14ac:dyDescent="0.25">
      <c r="A65" s="42">
        <v>0.48402777777777778</v>
      </c>
      <c r="B65" s="43">
        <v>21</v>
      </c>
      <c r="C65" s="43">
        <v>3201</v>
      </c>
      <c r="D65" s="43">
        <v>1732</v>
      </c>
      <c r="E65" s="43">
        <v>4791</v>
      </c>
      <c r="F65" s="43">
        <v>3180</v>
      </c>
      <c r="G65" s="43">
        <v>4211</v>
      </c>
      <c r="H65" s="43">
        <v>1747</v>
      </c>
      <c r="I65" s="43">
        <v>59</v>
      </c>
      <c r="J65" s="43">
        <v>0</v>
      </c>
      <c r="K65" s="45">
        <f t="shared" si="2"/>
        <v>0.48402777777777778</v>
      </c>
    </row>
    <row r="66" spans="1:11" x14ac:dyDescent="0.25">
      <c r="A66" s="42">
        <v>0.4909722222222222</v>
      </c>
      <c r="B66" s="43">
        <v>22</v>
      </c>
      <c r="C66" s="43">
        <v>2867</v>
      </c>
      <c r="D66" s="43">
        <v>4070</v>
      </c>
      <c r="E66" s="43">
        <v>4545</v>
      </c>
      <c r="F66" s="43">
        <v>2171</v>
      </c>
      <c r="G66" s="43">
        <v>2040</v>
      </c>
      <c r="H66" s="43">
        <v>45</v>
      </c>
      <c r="I66" s="43">
        <v>10</v>
      </c>
      <c r="J66" s="43">
        <v>8</v>
      </c>
      <c r="K66" s="45">
        <f t="shared" si="2"/>
        <v>0.4909722222222222</v>
      </c>
    </row>
    <row r="67" spans="1:11" x14ac:dyDescent="0.25">
      <c r="A67" s="42">
        <v>0.5444444444444444</v>
      </c>
      <c r="B67" s="43">
        <v>23</v>
      </c>
      <c r="C67" s="43">
        <v>461</v>
      </c>
      <c r="D67" s="43">
        <v>829</v>
      </c>
      <c r="E67" s="43">
        <v>4485</v>
      </c>
      <c r="F67" s="43">
        <v>1872</v>
      </c>
      <c r="G67" s="43">
        <v>1736</v>
      </c>
      <c r="H67" s="43">
        <v>1756</v>
      </c>
      <c r="I67" s="43">
        <v>49</v>
      </c>
      <c r="J67" s="43">
        <v>40</v>
      </c>
      <c r="K67" s="45">
        <f t="shared" si="2"/>
        <v>0.5444444444444444</v>
      </c>
    </row>
    <row r="68" spans="1:11" x14ac:dyDescent="0.25">
      <c r="A68" s="42">
        <v>0.55069444444444449</v>
      </c>
      <c r="B68" s="43">
        <v>24</v>
      </c>
      <c r="C68" s="43">
        <v>3176</v>
      </c>
      <c r="D68" s="43">
        <v>4846</v>
      </c>
      <c r="E68" s="43">
        <v>868</v>
      </c>
      <c r="F68" s="43">
        <v>2197</v>
      </c>
      <c r="G68" s="43">
        <v>1501</v>
      </c>
      <c r="H68" s="43">
        <v>3947</v>
      </c>
      <c r="I68" s="43">
        <v>115</v>
      </c>
      <c r="J68" s="43">
        <v>52</v>
      </c>
      <c r="K68" s="45">
        <f t="shared" si="2"/>
        <v>0.55069444444444449</v>
      </c>
    </row>
    <row r="69" spans="1:11" x14ac:dyDescent="0.25">
      <c r="A69" s="42">
        <v>0.55625000000000002</v>
      </c>
      <c r="B69" s="43">
        <v>25</v>
      </c>
      <c r="C69" s="43">
        <v>4234</v>
      </c>
      <c r="D69" s="43">
        <v>1646</v>
      </c>
      <c r="E69" s="43">
        <v>1024</v>
      </c>
      <c r="F69" s="43">
        <v>3487</v>
      </c>
      <c r="G69" s="43">
        <v>135</v>
      </c>
      <c r="H69" s="43">
        <v>3147</v>
      </c>
      <c r="I69" s="43">
        <v>37</v>
      </c>
      <c r="J69" s="43">
        <v>55</v>
      </c>
      <c r="K69" s="45">
        <f t="shared" si="2"/>
        <v>0.55625000000000002</v>
      </c>
    </row>
    <row r="70" spans="1:11" x14ac:dyDescent="0.25">
      <c r="A70" s="42">
        <v>0.56041666666666667</v>
      </c>
      <c r="B70" s="43">
        <v>26</v>
      </c>
      <c r="C70" s="43">
        <v>3865</v>
      </c>
      <c r="D70" s="43">
        <v>4580</v>
      </c>
      <c r="E70" s="43">
        <v>3301</v>
      </c>
      <c r="F70" s="43">
        <v>359</v>
      </c>
      <c r="G70" s="43">
        <v>3272</v>
      </c>
      <c r="H70" s="43">
        <v>1741</v>
      </c>
      <c r="I70" s="43">
        <v>24</v>
      </c>
      <c r="J70" s="43">
        <v>82</v>
      </c>
      <c r="K70" s="45">
        <f t="shared" si="2"/>
        <v>0.56041666666666667</v>
      </c>
    </row>
    <row r="71" spans="1:11" x14ac:dyDescent="0.25">
      <c r="A71" s="42">
        <v>0.56527777777777777</v>
      </c>
      <c r="B71" s="43">
        <v>27</v>
      </c>
      <c r="C71" s="43">
        <v>4272</v>
      </c>
      <c r="D71" s="43">
        <v>234</v>
      </c>
      <c r="E71" s="43">
        <v>4545</v>
      </c>
      <c r="F71" s="43">
        <v>292</v>
      </c>
      <c r="G71" s="43">
        <v>3565</v>
      </c>
      <c r="H71" s="43">
        <v>4211</v>
      </c>
      <c r="I71" s="43">
        <v>29</v>
      </c>
      <c r="J71" s="43">
        <v>0</v>
      </c>
      <c r="K71" s="45">
        <f t="shared" si="2"/>
        <v>0.56527777777777777</v>
      </c>
    </row>
    <row r="72" spans="1:11" x14ac:dyDescent="0.25">
      <c r="A72" s="42">
        <v>0.5708333333333333</v>
      </c>
      <c r="B72" s="43">
        <v>28</v>
      </c>
      <c r="C72" s="43">
        <v>1732</v>
      </c>
      <c r="D72" s="43">
        <v>45</v>
      </c>
      <c r="E72" s="43">
        <v>1756</v>
      </c>
      <c r="F72" s="43">
        <v>1646</v>
      </c>
      <c r="G72" s="43">
        <v>2040</v>
      </c>
      <c r="H72" s="43">
        <v>3487</v>
      </c>
      <c r="I72" s="43">
        <v>62</v>
      </c>
      <c r="J72" s="43">
        <v>65</v>
      </c>
      <c r="K72" s="45">
        <f t="shared" si="2"/>
        <v>0.5708333333333333</v>
      </c>
    </row>
    <row r="73" spans="1:11" x14ac:dyDescent="0.25">
      <c r="A73" s="42">
        <v>0.57708333333333328</v>
      </c>
      <c r="B73" s="43">
        <v>29</v>
      </c>
      <c r="C73" s="43">
        <v>4234</v>
      </c>
      <c r="D73" s="43">
        <v>4580</v>
      </c>
      <c r="E73" s="43">
        <v>1501</v>
      </c>
      <c r="F73" s="43">
        <v>461</v>
      </c>
      <c r="G73" s="43">
        <v>1736</v>
      </c>
      <c r="H73" s="43">
        <v>3201</v>
      </c>
      <c r="I73" s="43">
        <v>8</v>
      </c>
      <c r="J73" s="43">
        <v>49</v>
      </c>
      <c r="K73" s="45">
        <f t="shared" si="2"/>
        <v>0.57708333333333328</v>
      </c>
    </row>
    <row r="74" spans="1:11" x14ac:dyDescent="0.25">
      <c r="A74" s="42">
        <v>0.6020833333333333</v>
      </c>
      <c r="B74" s="43">
        <v>30</v>
      </c>
      <c r="C74" s="43">
        <v>1747</v>
      </c>
      <c r="D74" s="43">
        <v>3301</v>
      </c>
      <c r="E74" s="43">
        <v>4070</v>
      </c>
      <c r="F74" s="43">
        <v>1872</v>
      </c>
      <c r="G74" s="43">
        <v>2197</v>
      </c>
      <c r="H74" s="43">
        <v>292</v>
      </c>
      <c r="I74" s="43">
        <v>32</v>
      </c>
      <c r="J74" s="43">
        <v>12</v>
      </c>
      <c r="K74" s="45">
        <f t="shared" si="2"/>
        <v>0.6020833333333333</v>
      </c>
    </row>
    <row r="75" spans="1:11" x14ac:dyDescent="0.25">
      <c r="A75" s="42">
        <v>0.6069444444444444</v>
      </c>
      <c r="B75" s="43">
        <v>31</v>
      </c>
      <c r="C75" s="43">
        <v>3180</v>
      </c>
      <c r="D75" s="43">
        <v>3147</v>
      </c>
      <c r="E75" s="43">
        <v>868</v>
      </c>
      <c r="F75" s="43">
        <v>135</v>
      </c>
      <c r="G75" s="43">
        <v>4272</v>
      </c>
      <c r="H75" s="43">
        <v>359</v>
      </c>
      <c r="I75" s="43">
        <v>28</v>
      </c>
      <c r="J75" s="43">
        <v>65</v>
      </c>
      <c r="K75" s="45">
        <f t="shared" si="2"/>
        <v>0.6069444444444444</v>
      </c>
    </row>
    <row r="76" spans="1:11" x14ac:dyDescent="0.25">
      <c r="A76" s="42">
        <v>0.61458333333333337</v>
      </c>
      <c r="B76" s="43">
        <v>32</v>
      </c>
      <c r="C76" s="43">
        <v>829</v>
      </c>
      <c r="D76" s="43">
        <v>2867</v>
      </c>
      <c r="E76" s="43">
        <v>3176</v>
      </c>
      <c r="F76" s="43">
        <v>3865</v>
      </c>
      <c r="G76" s="43">
        <v>4846</v>
      </c>
      <c r="H76" s="43">
        <v>3565</v>
      </c>
      <c r="I76" s="43">
        <v>10</v>
      </c>
      <c r="J76" s="43">
        <v>6</v>
      </c>
      <c r="K76" s="45">
        <f t="shared" ref="K76:K108" si="3">A76</f>
        <v>0.61458333333333337</v>
      </c>
    </row>
    <row r="77" spans="1:11" x14ac:dyDescent="0.25">
      <c r="A77" s="42">
        <v>0.61944444444444446</v>
      </c>
      <c r="B77" s="43">
        <v>33</v>
      </c>
      <c r="C77" s="43">
        <v>2171</v>
      </c>
      <c r="D77" s="43">
        <v>3272</v>
      </c>
      <c r="E77" s="43">
        <v>1024</v>
      </c>
      <c r="F77" s="43">
        <v>3947</v>
      </c>
      <c r="G77" s="43">
        <v>4791</v>
      </c>
      <c r="H77" s="43">
        <v>1741</v>
      </c>
      <c r="I77" s="43">
        <v>27</v>
      </c>
      <c r="J77" s="43">
        <v>80</v>
      </c>
      <c r="K77" s="45">
        <f t="shared" si="3"/>
        <v>0.61944444444444446</v>
      </c>
    </row>
    <row r="78" spans="1:11" x14ac:dyDescent="0.25">
      <c r="A78" s="42">
        <v>0.62361111111111112</v>
      </c>
      <c r="B78" s="43">
        <v>34</v>
      </c>
      <c r="C78" s="43">
        <v>4485</v>
      </c>
      <c r="D78" s="43">
        <v>4211</v>
      </c>
      <c r="E78" s="43">
        <v>135</v>
      </c>
      <c r="F78" s="43">
        <v>234</v>
      </c>
      <c r="G78" s="43">
        <v>4070</v>
      </c>
      <c r="H78" s="43">
        <v>1872</v>
      </c>
      <c r="I78" s="43">
        <v>5</v>
      </c>
      <c r="J78" s="43">
        <v>31</v>
      </c>
      <c r="K78" s="45">
        <f t="shared" si="3"/>
        <v>0.62361111111111112</v>
      </c>
    </row>
    <row r="79" spans="1:11" x14ac:dyDescent="0.25">
      <c r="A79" s="42">
        <v>0.62777777777777777</v>
      </c>
      <c r="B79" s="43">
        <v>35</v>
      </c>
      <c r="C79" s="43">
        <v>1732</v>
      </c>
      <c r="D79" s="43">
        <v>4234</v>
      </c>
      <c r="E79" s="43">
        <v>3865</v>
      </c>
      <c r="F79" s="43">
        <v>4545</v>
      </c>
      <c r="G79" s="43">
        <v>868</v>
      </c>
      <c r="H79" s="43">
        <v>45</v>
      </c>
      <c r="I79" s="43">
        <v>70</v>
      </c>
      <c r="J79" s="43">
        <v>94</v>
      </c>
      <c r="K79" s="45">
        <f t="shared" si="3"/>
        <v>0.62777777777777777</v>
      </c>
    </row>
    <row r="80" spans="1:11" x14ac:dyDescent="0.25">
      <c r="A80" s="42">
        <v>0.63263888888888886</v>
      </c>
      <c r="B80" s="43">
        <v>36</v>
      </c>
      <c r="C80" s="43">
        <v>3565</v>
      </c>
      <c r="D80" s="43">
        <v>3176</v>
      </c>
      <c r="E80" s="43">
        <v>2171</v>
      </c>
      <c r="F80" s="43">
        <v>1736</v>
      </c>
      <c r="G80" s="43">
        <v>1646</v>
      </c>
      <c r="H80" s="43">
        <v>4580</v>
      </c>
      <c r="I80" s="43">
        <v>16</v>
      </c>
      <c r="J80" s="43">
        <v>51</v>
      </c>
      <c r="K80" s="45">
        <f t="shared" si="3"/>
        <v>0.63263888888888886</v>
      </c>
    </row>
    <row r="81" spans="1:11" x14ac:dyDescent="0.25">
      <c r="A81" s="42">
        <v>0.63750000000000007</v>
      </c>
      <c r="B81" s="43">
        <v>37</v>
      </c>
      <c r="C81" s="43">
        <v>4272</v>
      </c>
      <c r="D81" s="43">
        <v>292</v>
      </c>
      <c r="E81" s="43">
        <v>4791</v>
      </c>
      <c r="F81" s="43">
        <v>4485</v>
      </c>
      <c r="G81" s="43">
        <v>1501</v>
      </c>
      <c r="H81" s="43">
        <v>3487</v>
      </c>
      <c r="I81" s="43">
        <v>10</v>
      </c>
      <c r="J81" s="43">
        <v>72</v>
      </c>
      <c r="K81" s="45">
        <f t="shared" si="3"/>
        <v>0.63750000000000007</v>
      </c>
    </row>
    <row r="82" spans="1:11" x14ac:dyDescent="0.25">
      <c r="A82" s="42">
        <v>0.64236111111111105</v>
      </c>
      <c r="B82" s="43">
        <v>38</v>
      </c>
      <c r="C82" s="43">
        <v>3301</v>
      </c>
      <c r="D82" s="43">
        <v>3180</v>
      </c>
      <c r="E82" s="43">
        <v>1756</v>
      </c>
      <c r="F82" s="43">
        <v>1024</v>
      </c>
      <c r="G82" s="43">
        <v>2040</v>
      </c>
      <c r="H82" s="43">
        <v>4846</v>
      </c>
      <c r="I82" s="43">
        <v>24</v>
      </c>
      <c r="J82" s="43">
        <v>24</v>
      </c>
      <c r="K82" s="45">
        <f t="shared" si="3"/>
        <v>0.64236111111111105</v>
      </c>
    </row>
    <row r="83" spans="1:11" x14ac:dyDescent="0.25">
      <c r="A83" s="42">
        <v>0.64930555555555558</v>
      </c>
      <c r="B83" s="43">
        <v>39</v>
      </c>
      <c r="C83" s="43">
        <v>359</v>
      </c>
      <c r="D83" s="43">
        <v>2197</v>
      </c>
      <c r="E83" s="43">
        <v>3201</v>
      </c>
      <c r="F83" s="43">
        <v>2867</v>
      </c>
      <c r="G83" s="43">
        <v>3272</v>
      </c>
      <c r="H83" s="43">
        <v>234</v>
      </c>
      <c r="I83" s="43">
        <v>84</v>
      </c>
      <c r="J83" s="43">
        <v>19</v>
      </c>
      <c r="K83" s="45">
        <f t="shared" si="3"/>
        <v>0.64930555555555558</v>
      </c>
    </row>
    <row r="84" spans="1:11" x14ac:dyDescent="0.25">
      <c r="A84" s="42">
        <v>0.65416666666666667</v>
      </c>
      <c r="B84" s="43">
        <v>40</v>
      </c>
      <c r="C84" s="43">
        <v>3147</v>
      </c>
      <c r="D84" s="43">
        <v>1741</v>
      </c>
      <c r="E84" s="43">
        <v>829</v>
      </c>
      <c r="F84" s="43">
        <v>3947</v>
      </c>
      <c r="G84" s="43">
        <v>1747</v>
      </c>
      <c r="H84" s="43">
        <v>461</v>
      </c>
      <c r="I84" s="43">
        <v>92</v>
      </c>
      <c r="J84" s="43">
        <v>70</v>
      </c>
      <c r="K84" s="45">
        <f t="shared" si="3"/>
        <v>0.65416666666666667</v>
      </c>
    </row>
    <row r="85" spans="1:11" x14ac:dyDescent="0.25">
      <c r="A85" s="42">
        <v>0.65833333333333333</v>
      </c>
      <c r="B85" s="43">
        <v>41</v>
      </c>
      <c r="C85" s="43">
        <v>292</v>
      </c>
      <c r="D85" s="43">
        <v>1736</v>
      </c>
      <c r="E85" s="43">
        <v>2040</v>
      </c>
      <c r="F85" s="43">
        <v>4211</v>
      </c>
      <c r="G85" s="43">
        <v>868</v>
      </c>
      <c r="H85" s="43">
        <v>2171</v>
      </c>
      <c r="I85" s="43">
        <v>71</v>
      </c>
      <c r="J85" s="43">
        <v>68</v>
      </c>
      <c r="K85" s="45">
        <f t="shared" si="3"/>
        <v>0.65833333333333333</v>
      </c>
    </row>
    <row r="86" spans="1:11" x14ac:dyDescent="0.25">
      <c r="A86" s="42">
        <v>0.66249999999999998</v>
      </c>
      <c r="B86" s="43">
        <v>42</v>
      </c>
      <c r="C86" s="43">
        <v>1024</v>
      </c>
      <c r="D86" s="43">
        <v>3565</v>
      </c>
      <c r="E86" s="43">
        <v>4272</v>
      </c>
      <c r="F86" s="43">
        <v>2867</v>
      </c>
      <c r="G86" s="43">
        <v>3301</v>
      </c>
      <c r="H86" s="43">
        <v>3201</v>
      </c>
      <c r="I86" s="43">
        <v>37</v>
      </c>
      <c r="J86" s="43">
        <v>30</v>
      </c>
      <c r="K86" s="45">
        <f t="shared" si="3"/>
        <v>0.66249999999999998</v>
      </c>
    </row>
    <row r="87" spans="1:11" x14ac:dyDescent="0.25">
      <c r="A87" s="42">
        <v>0.66736111111111107</v>
      </c>
      <c r="B87" s="43">
        <v>43</v>
      </c>
      <c r="C87" s="43">
        <v>4545</v>
      </c>
      <c r="D87" s="43">
        <v>4791</v>
      </c>
      <c r="E87" s="43">
        <v>1872</v>
      </c>
      <c r="F87" s="43">
        <v>359</v>
      </c>
      <c r="G87" s="43">
        <v>3176</v>
      </c>
      <c r="H87" s="43">
        <v>3947</v>
      </c>
      <c r="I87" s="43">
        <v>10</v>
      </c>
      <c r="J87" s="43">
        <v>124</v>
      </c>
      <c r="K87" s="45">
        <f t="shared" si="3"/>
        <v>0.66736111111111107</v>
      </c>
    </row>
    <row r="88" spans="1:11" x14ac:dyDescent="0.25">
      <c r="A88" s="42">
        <v>0.67083333333333339</v>
      </c>
      <c r="B88" s="43">
        <v>44</v>
      </c>
      <c r="C88" s="43">
        <v>461</v>
      </c>
      <c r="D88" s="43">
        <v>1756</v>
      </c>
      <c r="E88" s="43">
        <v>2197</v>
      </c>
      <c r="F88" s="43">
        <v>4070</v>
      </c>
      <c r="G88" s="43">
        <v>4234</v>
      </c>
      <c r="H88" s="43">
        <v>3147</v>
      </c>
      <c r="I88" s="43">
        <v>37</v>
      </c>
      <c r="J88" s="43">
        <v>72</v>
      </c>
      <c r="K88" s="45">
        <f t="shared" si="3"/>
        <v>0.67083333333333339</v>
      </c>
    </row>
    <row r="89" spans="1:11" x14ac:dyDescent="0.25">
      <c r="A89" s="42">
        <v>0.67708333333333337</v>
      </c>
      <c r="B89" s="43">
        <v>45</v>
      </c>
      <c r="C89" s="43">
        <v>1732</v>
      </c>
      <c r="D89" s="43">
        <v>3272</v>
      </c>
      <c r="E89" s="43">
        <v>3180</v>
      </c>
      <c r="F89" s="43">
        <v>1646</v>
      </c>
      <c r="G89" s="43">
        <v>1501</v>
      </c>
      <c r="H89" s="43">
        <v>829</v>
      </c>
      <c r="I89" s="43">
        <v>40</v>
      </c>
      <c r="J89" s="43">
        <v>63</v>
      </c>
      <c r="K89" s="45">
        <f t="shared" si="3"/>
        <v>0.67708333333333337</v>
      </c>
    </row>
    <row r="90" spans="1:11" x14ac:dyDescent="0.25">
      <c r="A90" s="42">
        <v>0.68194444444444446</v>
      </c>
      <c r="B90" s="43">
        <v>46</v>
      </c>
      <c r="C90" s="43">
        <v>3487</v>
      </c>
      <c r="D90" s="43">
        <v>3865</v>
      </c>
      <c r="E90" s="43">
        <v>45</v>
      </c>
      <c r="F90" s="43">
        <v>135</v>
      </c>
      <c r="G90" s="43">
        <v>4580</v>
      </c>
      <c r="H90" s="43">
        <v>4846</v>
      </c>
      <c r="I90" s="43">
        <v>40</v>
      </c>
      <c r="J90" s="43">
        <v>19</v>
      </c>
      <c r="K90" s="45">
        <f t="shared" si="3"/>
        <v>0.68194444444444446</v>
      </c>
    </row>
    <row r="91" spans="1:11" x14ac:dyDescent="0.25">
      <c r="A91" s="42">
        <v>0.6875</v>
      </c>
      <c r="B91" s="43">
        <v>47</v>
      </c>
      <c r="C91" s="43">
        <v>1741</v>
      </c>
      <c r="D91" s="43">
        <v>1747</v>
      </c>
      <c r="E91" s="43">
        <v>2040</v>
      </c>
      <c r="F91" s="43">
        <v>4485</v>
      </c>
      <c r="G91" s="43">
        <v>234</v>
      </c>
      <c r="H91" s="43">
        <v>359</v>
      </c>
      <c r="I91" s="43">
        <v>67</v>
      </c>
      <c r="J91" s="43">
        <v>95</v>
      </c>
      <c r="K91" s="45">
        <f t="shared" si="3"/>
        <v>0.6875</v>
      </c>
    </row>
    <row r="92" spans="1:11" x14ac:dyDescent="0.25">
      <c r="A92" s="42">
        <v>0.69236111111111109</v>
      </c>
      <c r="B92" s="43">
        <v>48</v>
      </c>
      <c r="C92" s="43">
        <v>829</v>
      </c>
      <c r="D92" s="43">
        <v>1736</v>
      </c>
      <c r="E92" s="43">
        <v>1732</v>
      </c>
      <c r="F92" s="43">
        <v>3147</v>
      </c>
      <c r="G92" s="43">
        <v>3301</v>
      </c>
      <c r="H92" s="43">
        <v>4272</v>
      </c>
      <c r="I92" s="43">
        <v>122</v>
      </c>
      <c r="J92" s="43">
        <v>42</v>
      </c>
      <c r="K92" s="45">
        <f t="shared" si="3"/>
        <v>0.69236111111111109</v>
      </c>
    </row>
    <row r="93" spans="1:11" x14ac:dyDescent="0.25">
      <c r="A93" s="42">
        <v>0.6972222222222223</v>
      </c>
      <c r="B93" s="43">
        <v>49</v>
      </c>
      <c r="C93" s="43">
        <v>1501</v>
      </c>
      <c r="D93" s="43">
        <v>2171</v>
      </c>
      <c r="E93" s="43">
        <v>461</v>
      </c>
      <c r="F93" s="43">
        <v>4211</v>
      </c>
      <c r="G93" s="43">
        <v>1024</v>
      </c>
      <c r="H93" s="43">
        <v>3865</v>
      </c>
      <c r="I93" s="43">
        <v>4</v>
      </c>
      <c r="J93" s="43">
        <v>28</v>
      </c>
      <c r="K93" s="45">
        <f t="shared" si="3"/>
        <v>0.6972222222222223</v>
      </c>
    </row>
    <row r="94" spans="1:11" x14ac:dyDescent="0.25">
      <c r="A94" s="42">
        <v>0.70208333333333339</v>
      </c>
      <c r="B94" s="43">
        <v>50</v>
      </c>
      <c r="C94" s="43">
        <v>4580</v>
      </c>
      <c r="D94" s="43">
        <v>4485</v>
      </c>
      <c r="E94" s="43">
        <v>3947</v>
      </c>
      <c r="F94" s="43">
        <v>3487</v>
      </c>
      <c r="G94" s="43">
        <v>2197</v>
      </c>
      <c r="H94" s="43">
        <v>1747</v>
      </c>
      <c r="I94" s="43">
        <v>43</v>
      </c>
      <c r="J94" s="43">
        <v>33</v>
      </c>
      <c r="K94" s="45">
        <f t="shared" si="3"/>
        <v>0.70208333333333339</v>
      </c>
    </row>
    <row r="95" spans="1:11" x14ac:dyDescent="0.25">
      <c r="A95" s="42">
        <v>0.70624999999999993</v>
      </c>
      <c r="B95" s="43">
        <v>51</v>
      </c>
      <c r="C95" s="43">
        <v>1646</v>
      </c>
      <c r="D95" s="43">
        <v>135</v>
      </c>
      <c r="E95" s="43">
        <v>1741</v>
      </c>
      <c r="F95" s="43">
        <v>4070</v>
      </c>
      <c r="G95" s="43">
        <v>4846</v>
      </c>
      <c r="H95" s="43">
        <v>3201</v>
      </c>
      <c r="I95" s="43">
        <v>80</v>
      </c>
      <c r="J95" s="43">
        <v>32</v>
      </c>
      <c r="K95" s="45">
        <f t="shared" si="3"/>
        <v>0.70624999999999993</v>
      </c>
    </row>
    <row r="96" spans="1:11" x14ac:dyDescent="0.25">
      <c r="A96" s="42">
        <v>0.71111111111111114</v>
      </c>
      <c r="B96" s="43">
        <v>52</v>
      </c>
      <c r="C96" s="43">
        <v>234</v>
      </c>
      <c r="D96" s="43">
        <v>4234</v>
      </c>
      <c r="E96" s="43">
        <v>3565</v>
      </c>
      <c r="F96" s="43">
        <v>45</v>
      </c>
      <c r="G96" s="43">
        <v>3180</v>
      </c>
      <c r="H96" s="43">
        <v>4791</v>
      </c>
      <c r="I96" s="43">
        <v>24</v>
      </c>
      <c r="J96" s="43">
        <v>8</v>
      </c>
      <c r="K96" s="45">
        <f t="shared" si="3"/>
        <v>0.71111111111111114</v>
      </c>
    </row>
    <row r="97" spans="1:11" x14ac:dyDescent="0.25">
      <c r="A97" s="42">
        <v>0.71597222222222223</v>
      </c>
      <c r="B97" s="43">
        <v>53</v>
      </c>
      <c r="C97" s="43">
        <v>3272</v>
      </c>
      <c r="D97" s="43">
        <v>868</v>
      </c>
      <c r="E97" s="43">
        <v>1872</v>
      </c>
      <c r="F97" s="43">
        <v>3176</v>
      </c>
      <c r="G97" s="43">
        <v>1756</v>
      </c>
      <c r="H97" s="43">
        <v>292</v>
      </c>
      <c r="I97" s="43">
        <v>86</v>
      </c>
      <c r="J97" s="43">
        <v>76</v>
      </c>
      <c r="K97" s="45">
        <f t="shared" si="3"/>
        <v>0.71597222222222223</v>
      </c>
    </row>
    <row r="98" spans="1:11" x14ac:dyDescent="0.25">
      <c r="A98" s="42">
        <v>0.72083333333333333</v>
      </c>
      <c r="B98" s="43">
        <v>54</v>
      </c>
      <c r="C98" s="43">
        <v>2867</v>
      </c>
      <c r="D98" s="43">
        <v>2040</v>
      </c>
      <c r="E98" s="43">
        <v>4580</v>
      </c>
      <c r="F98" s="43">
        <v>4545</v>
      </c>
      <c r="G98" s="43">
        <v>135</v>
      </c>
      <c r="H98" s="43">
        <v>829</v>
      </c>
      <c r="I98" s="43">
        <v>45</v>
      </c>
      <c r="J98" s="43">
        <v>38</v>
      </c>
      <c r="K98" s="45">
        <f t="shared" si="3"/>
        <v>0.72083333333333333</v>
      </c>
    </row>
    <row r="99" spans="1:11" x14ac:dyDescent="0.25">
      <c r="A99" s="42">
        <v>0.72430555555555554</v>
      </c>
      <c r="B99" s="43">
        <v>55</v>
      </c>
      <c r="C99" s="43">
        <v>1646</v>
      </c>
      <c r="D99" s="43">
        <v>359</v>
      </c>
      <c r="E99" s="43">
        <v>1732</v>
      </c>
      <c r="F99" s="43">
        <v>1741</v>
      </c>
      <c r="G99" s="43">
        <v>2171</v>
      </c>
      <c r="H99" s="43">
        <v>4272</v>
      </c>
      <c r="I99" s="43">
        <v>143</v>
      </c>
      <c r="J99" s="43">
        <v>77</v>
      </c>
      <c r="K99" s="45">
        <f t="shared" si="3"/>
        <v>0.72430555555555554</v>
      </c>
    </row>
    <row r="100" spans="1:11" x14ac:dyDescent="0.25">
      <c r="A100" s="42">
        <v>0.72986111111111107</v>
      </c>
      <c r="B100" s="43">
        <v>56</v>
      </c>
      <c r="C100" s="43">
        <v>3865</v>
      </c>
      <c r="D100" s="43">
        <v>3147</v>
      </c>
      <c r="E100" s="43">
        <v>4485</v>
      </c>
      <c r="F100" s="43">
        <v>3180</v>
      </c>
      <c r="G100" s="43">
        <v>4234</v>
      </c>
      <c r="H100" s="43">
        <v>3176</v>
      </c>
      <c r="I100" s="43">
        <v>56</v>
      </c>
      <c r="J100" s="43">
        <v>10</v>
      </c>
      <c r="K100" s="45">
        <f t="shared" si="3"/>
        <v>0.72986111111111107</v>
      </c>
    </row>
    <row r="101" spans="1:11" x14ac:dyDescent="0.25">
      <c r="A101" s="42">
        <v>0.375</v>
      </c>
      <c r="B101" s="43">
        <v>57</v>
      </c>
      <c r="C101" s="43">
        <v>3565</v>
      </c>
      <c r="D101" s="43">
        <v>2867</v>
      </c>
      <c r="E101" s="43">
        <v>2197</v>
      </c>
      <c r="F101" s="43">
        <v>4211</v>
      </c>
      <c r="G101" s="43">
        <v>4791</v>
      </c>
      <c r="H101" s="43">
        <v>1756</v>
      </c>
      <c r="I101" s="43"/>
      <c r="J101" s="43"/>
      <c r="K101" s="45">
        <f t="shared" si="3"/>
        <v>0.375</v>
      </c>
    </row>
    <row r="102" spans="1:11" x14ac:dyDescent="0.25">
      <c r="A102" s="42">
        <v>0.38055555555555554</v>
      </c>
      <c r="B102" s="43">
        <v>58</v>
      </c>
      <c r="C102" s="43">
        <v>1872</v>
      </c>
      <c r="D102" s="43">
        <v>3201</v>
      </c>
      <c r="E102" s="43">
        <v>3947</v>
      </c>
      <c r="F102" s="43">
        <v>292</v>
      </c>
      <c r="G102" s="43">
        <v>3272</v>
      </c>
      <c r="H102" s="43">
        <v>45</v>
      </c>
      <c r="I102" s="43"/>
      <c r="J102" s="43"/>
      <c r="K102" s="45">
        <f t="shared" si="3"/>
        <v>0.38055555555555554</v>
      </c>
    </row>
    <row r="103" spans="1:11" x14ac:dyDescent="0.25">
      <c r="A103" s="42">
        <v>0.38611111111111113</v>
      </c>
      <c r="B103" s="43">
        <v>59</v>
      </c>
      <c r="C103" s="43">
        <v>1747</v>
      </c>
      <c r="D103" s="43">
        <v>4545</v>
      </c>
      <c r="E103" s="43">
        <v>4846</v>
      </c>
      <c r="F103" s="43">
        <v>3301</v>
      </c>
      <c r="G103" s="43">
        <v>1024</v>
      </c>
      <c r="H103" s="43">
        <v>1736</v>
      </c>
      <c r="I103" s="43"/>
      <c r="J103" s="43"/>
      <c r="K103" s="45">
        <f t="shared" si="3"/>
        <v>0.38611111111111113</v>
      </c>
    </row>
    <row r="104" spans="1:11" x14ac:dyDescent="0.25">
      <c r="A104" s="42">
        <v>0.39166666666666666</v>
      </c>
      <c r="B104" s="43">
        <v>60</v>
      </c>
      <c r="C104" s="43">
        <v>3487</v>
      </c>
      <c r="D104" s="43">
        <v>461</v>
      </c>
      <c r="E104" s="43">
        <v>4070</v>
      </c>
      <c r="F104" s="43">
        <v>1501</v>
      </c>
      <c r="G104" s="43">
        <v>868</v>
      </c>
      <c r="H104" s="43">
        <v>234</v>
      </c>
      <c r="I104" s="43"/>
      <c r="J104" s="43"/>
      <c r="K104" s="45">
        <f t="shared" si="3"/>
        <v>0.39166666666666666</v>
      </c>
    </row>
    <row r="105" spans="1:11" x14ac:dyDescent="0.25">
      <c r="A105" s="42">
        <v>0.3972222222222222</v>
      </c>
      <c r="B105" s="43">
        <v>61</v>
      </c>
      <c r="C105" s="43">
        <v>3147</v>
      </c>
      <c r="D105" s="43">
        <v>4791</v>
      </c>
      <c r="E105" s="43">
        <v>4580</v>
      </c>
      <c r="F105" s="43">
        <v>1872</v>
      </c>
      <c r="G105" s="43">
        <v>2040</v>
      </c>
      <c r="H105" s="43">
        <v>1732</v>
      </c>
      <c r="I105" s="43"/>
      <c r="J105" s="43"/>
      <c r="K105" s="45">
        <f t="shared" si="3"/>
        <v>0.3972222222222222</v>
      </c>
    </row>
    <row r="106" spans="1:11" x14ac:dyDescent="0.25">
      <c r="A106" s="42">
        <v>0.40277777777777773</v>
      </c>
      <c r="B106" s="43">
        <v>62</v>
      </c>
      <c r="C106" s="43">
        <v>4846</v>
      </c>
      <c r="D106" s="43">
        <v>1741</v>
      </c>
      <c r="E106" s="43">
        <v>4211</v>
      </c>
      <c r="F106" s="43">
        <v>3272</v>
      </c>
      <c r="G106" s="43">
        <v>4485</v>
      </c>
      <c r="H106" s="43">
        <v>4234</v>
      </c>
      <c r="I106" s="43"/>
      <c r="J106" s="43"/>
      <c r="K106" s="45">
        <f t="shared" si="3"/>
        <v>0.40277777777777773</v>
      </c>
    </row>
    <row r="107" spans="1:11" x14ac:dyDescent="0.25">
      <c r="A107" s="42">
        <v>0.40833333333333338</v>
      </c>
      <c r="B107" s="43">
        <v>63</v>
      </c>
      <c r="C107" s="43">
        <v>3565</v>
      </c>
      <c r="D107" s="43">
        <v>1756</v>
      </c>
      <c r="E107" s="43">
        <v>3947</v>
      </c>
      <c r="F107" s="43">
        <v>1501</v>
      </c>
      <c r="G107" s="43">
        <v>3865</v>
      </c>
      <c r="H107" s="43">
        <v>135</v>
      </c>
      <c r="I107" s="43"/>
      <c r="J107" s="43"/>
      <c r="K107" s="45">
        <f t="shared" si="3"/>
        <v>0.40833333333333338</v>
      </c>
    </row>
    <row r="108" spans="1:11" x14ac:dyDescent="0.25">
      <c r="A108" s="42">
        <v>0.41388888888888892</v>
      </c>
      <c r="B108" s="43">
        <v>64</v>
      </c>
      <c r="C108" s="43">
        <v>3176</v>
      </c>
      <c r="D108" s="43">
        <v>4272</v>
      </c>
      <c r="E108" s="43">
        <v>4070</v>
      </c>
      <c r="F108" s="43">
        <v>461</v>
      </c>
      <c r="G108" s="43">
        <v>4545</v>
      </c>
      <c r="H108" s="43">
        <v>1024</v>
      </c>
      <c r="I108" s="43"/>
      <c r="J108" s="43"/>
      <c r="K108" s="45">
        <f t="shared" si="3"/>
        <v>0.41388888888888892</v>
      </c>
    </row>
    <row r="109" spans="1:11" x14ac:dyDescent="0.25">
      <c r="A109" s="42">
        <v>0.41944444444444445</v>
      </c>
      <c r="B109" s="43">
        <v>65</v>
      </c>
      <c r="C109" s="43">
        <v>3201</v>
      </c>
      <c r="D109" s="43">
        <v>3180</v>
      </c>
      <c r="E109" s="43">
        <v>1646</v>
      </c>
      <c r="F109" s="43">
        <v>868</v>
      </c>
      <c r="G109" s="43">
        <v>2867</v>
      </c>
      <c r="H109" s="43">
        <v>1747</v>
      </c>
      <c r="I109" s="43"/>
      <c r="J109" s="43"/>
      <c r="K109" s="45">
        <f t="shared" ref="K109:K124" si="4">A109</f>
        <v>0.41944444444444445</v>
      </c>
    </row>
    <row r="110" spans="1:11" x14ac:dyDescent="0.25">
      <c r="A110" s="42">
        <v>0.42499999999999999</v>
      </c>
      <c r="B110" s="43">
        <v>66</v>
      </c>
      <c r="C110" s="43">
        <v>359</v>
      </c>
      <c r="D110" s="43">
        <v>2171</v>
      </c>
      <c r="E110" s="43">
        <v>1736</v>
      </c>
      <c r="F110" s="43">
        <v>234</v>
      </c>
      <c r="G110" s="43">
        <v>45</v>
      </c>
      <c r="H110" s="43">
        <v>2197</v>
      </c>
      <c r="I110" s="43"/>
      <c r="J110" s="43"/>
      <c r="K110" s="45">
        <f t="shared" si="4"/>
        <v>0.42499999999999999</v>
      </c>
    </row>
    <row r="111" spans="1:11" x14ac:dyDescent="0.25">
      <c r="A111" s="42">
        <v>0.43055555555555558</v>
      </c>
      <c r="B111" s="43">
        <v>67</v>
      </c>
      <c r="C111" s="43">
        <v>3301</v>
      </c>
      <c r="D111" s="43">
        <v>3487</v>
      </c>
      <c r="E111" s="43">
        <v>4791</v>
      </c>
      <c r="F111" s="43">
        <v>292</v>
      </c>
      <c r="G111" s="43">
        <v>829</v>
      </c>
      <c r="H111" s="43">
        <v>3865</v>
      </c>
      <c r="I111" s="43"/>
      <c r="J111" s="43"/>
      <c r="K111" s="45">
        <f t="shared" si="4"/>
        <v>0.43055555555555558</v>
      </c>
    </row>
    <row r="112" spans="1:11" x14ac:dyDescent="0.25">
      <c r="A112" s="42">
        <v>0.43611111111111112</v>
      </c>
      <c r="B112" s="43">
        <v>68</v>
      </c>
      <c r="C112" s="43">
        <v>868</v>
      </c>
      <c r="D112" s="43">
        <v>3947</v>
      </c>
      <c r="E112" s="43">
        <v>1646</v>
      </c>
      <c r="F112" s="43">
        <v>3201</v>
      </c>
      <c r="G112" s="43">
        <v>4545</v>
      </c>
      <c r="H112" s="43">
        <v>4485</v>
      </c>
      <c r="I112" s="43"/>
      <c r="J112" s="43"/>
      <c r="K112" s="45">
        <f t="shared" si="4"/>
        <v>0.43611111111111112</v>
      </c>
    </row>
    <row r="113" spans="1:12" x14ac:dyDescent="0.25">
      <c r="A113" s="42">
        <v>0.44166666666666665</v>
      </c>
      <c r="B113" s="43">
        <v>69</v>
      </c>
      <c r="C113" s="43">
        <v>1501</v>
      </c>
      <c r="D113" s="43">
        <v>1872</v>
      </c>
      <c r="E113" s="43">
        <v>4272</v>
      </c>
      <c r="F113" s="43">
        <v>3147</v>
      </c>
      <c r="G113" s="43">
        <v>4846</v>
      </c>
      <c r="H113" s="43">
        <v>359</v>
      </c>
      <c r="I113" s="43"/>
      <c r="J113" s="43"/>
      <c r="K113" s="45">
        <f t="shared" si="4"/>
        <v>0.44166666666666665</v>
      </c>
    </row>
    <row r="114" spans="1:12" x14ac:dyDescent="0.25">
      <c r="A114" s="42">
        <v>0.44722222222222219</v>
      </c>
      <c r="B114" s="43">
        <v>70</v>
      </c>
      <c r="C114" s="43">
        <v>4211</v>
      </c>
      <c r="D114" s="43">
        <v>4580</v>
      </c>
      <c r="E114" s="43">
        <v>45</v>
      </c>
      <c r="F114" s="43">
        <v>2171</v>
      </c>
      <c r="G114" s="43">
        <v>3180</v>
      </c>
      <c r="H114" s="43">
        <v>829</v>
      </c>
      <c r="I114" s="43"/>
      <c r="J114" s="43"/>
      <c r="K114" s="45">
        <f t="shared" si="4"/>
        <v>0.44722222222222219</v>
      </c>
    </row>
    <row r="115" spans="1:12" x14ac:dyDescent="0.25">
      <c r="A115" s="42">
        <v>0.45277777777777778</v>
      </c>
      <c r="B115" s="43">
        <v>71</v>
      </c>
      <c r="C115" s="43">
        <v>2867</v>
      </c>
      <c r="D115" s="43">
        <v>3487</v>
      </c>
      <c r="E115" s="43">
        <v>1756</v>
      </c>
      <c r="F115" s="43">
        <v>1741</v>
      </c>
      <c r="G115" s="43">
        <v>4070</v>
      </c>
      <c r="H115" s="43">
        <v>1736</v>
      </c>
      <c r="I115" s="43"/>
      <c r="J115" s="43"/>
      <c r="K115" s="45">
        <f t="shared" si="4"/>
        <v>0.45277777777777778</v>
      </c>
    </row>
    <row r="116" spans="1:12" x14ac:dyDescent="0.25">
      <c r="A116" s="42">
        <v>0.45833333333333331</v>
      </c>
      <c r="B116" s="43">
        <v>72</v>
      </c>
      <c r="C116" s="43">
        <v>3272</v>
      </c>
      <c r="D116" s="43">
        <v>2197</v>
      </c>
      <c r="E116" s="43">
        <v>135</v>
      </c>
      <c r="F116" s="43">
        <v>461</v>
      </c>
      <c r="G116" s="43">
        <v>2040</v>
      </c>
      <c r="H116" s="43">
        <v>3565</v>
      </c>
      <c r="I116" s="43"/>
      <c r="J116" s="43"/>
      <c r="K116" s="45">
        <f t="shared" si="4"/>
        <v>0.45833333333333331</v>
      </c>
    </row>
    <row r="117" spans="1:12" x14ac:dyDescent="0.25">
      <c r="A117" s="42">
        <v>0.46388888888888885</v>
      </c>
      <c r="B117" s="43">
        <v>73</v>
      </c>
      <c r="C117" s="43">
        <v>234</v>
      </c>
      <c r="D117" s="43">
        <v>3176</v>
      </c>
      <c r="E117" s="43">
        <v>1024</v>
      </c>
      <c r="F117" s="43">
        <v>1747</v>
      </c>
      <c r="G117" s="43">
        <v>292</v>
      </c>
      <c r="H117" s="43">
        <v>1732</v>
      </c>
      <c r="I117" s="43"/>
      <c r="J117" s="43"/>
      <c r="K117" s="45">
        <f t="shared" si="4"/>
        <v>0.46388888888888885</v>
      </c>
    </row>
    <row r="118" spans="1:12" x14ac:dyDescent="0.25">
      <c r="A118" s="42">
        <v>0.4694444444444445</v>
      </c>
      <c r="B118" s="43">
        <v>74</v>
      </c>
      <c r="C118" s="43">
        <v>3301</v>
      </c>
      <c r="D118" s="43">
        <v>868</v>
      </c>
      <c r="E118" s="43">
        <v>829</v>
      </c>
      <c r="F118" s="43">
        <v>4234</v>
      </c>
      <c r="G118" s="43">
        <v>45</v>
      </c>
      <c r="H118" s="43">
        <v>1741</v>
      </c>
      <c r="I118" s="43"/>
      <c r="J118" s="43"/>
      <c r="K118" s="45">
        <f t="shared" si="4"/>
        <v>0.4694444444444445</v>
      </c>
    </row>
    <row r="119" spans="1:12" x14ac:dyDescent="0.25">
      <c r="A119" s="42">
        <v>0.47500000000000003</v>
      </c>
      <c r="B119" s="43">
        <v>75</v>
      </c>
      <c r="C119" s="43">
        <v>3947</v>
      </c>
      <c r="D119" s="43">
        <v>3865</v>
      </c>
      <c r="E119" s="43">
        <v>4070</v>
      </c>
      <c r="F119" s="43">
        <v>1756</v>
      </c>
      <c r="G119" s="43">
        <v>4272</v>
      </c>
      <c r="H119" s="43">
        <v>4580</v>
      </c>
      <c r="I119" s="43"/>
      <c r="J119" s="43"/>
      <c r="K119" s="45">
        <f t="shared" si="4"/>
        <v>0.47500000000000003</v>
      </c>
    </row>
    <row r="120" spans="1:12" x14ac:dyDescent="0.25">
      <c r="A120" s="42">
        <v>0.48055555555555557</v>
      </c>
      <c r="B120" s="43">
        <v>76</v>
      </c>
      <c r="C120" s="43">
        <v>2197</v>
      </c>
      <c r="D120" s="43">
        <v>4545</v>
      </c>
      <c r="E120" s="43">
        <v>1736</v>
      </c>
      <c r="F120" s="43">
        <v>359</v>
      </c>
      <c r="G120" s="43">
        <v>4791</v>
      </c>
      <c r="H120" s="43">
        <v>1024</v>
      </c>
      <c r="I120" s="43"/>
      <c r="J120" s="43"/>
      <c r="K120" s="45">
        <f t="shared" si="4"/>
        <v>0.48055555555555557</v>
      </c>
    </row>
    <row r="121" spans="1:12" x14ac:dyDescent="0.25">
      <c r="A121" s="42">
        <v>0.4861111111111111</v>
      </c>
      <c r="B121" s="43">
        <v>77</v>
      </c>
      <c r="C121" s="43">
        <v>2040</v>
      </c>
      <c r="D121" s="43">
        <v>1501</v>
      </c>
      <c r="E121" s="43">
        <v>3272</v>
      </c>
      <c r="F121" s="43">
        <v>1872</v>
      </c>
      <c r="G121" s="43">
        <v>4234</v>
      </c>
      <c r="H121" s="43">
        <v>1747</v>
      </c>
      <c r="I121" s="43"/>
      <c r="J121" s="43"/>
      <c r="K121" s="45">
        <f t="shared" si="4"/>
        <v>0.4861111111111111</v>
      </c>
    </row>
    <row r="122" spans="1:12" x14ac:dyDescent="0.25">
      <c r="A122" s="42">
        <v>0.4916666666666667</v>
      </c>
      <c r="B122" s="43">
        <v>78</v>
      </c>
      <c r="C122" s="43">
        <v>292</v>
      </c>
      <c r="D122" s="43">
        <v>3180</v>
      </c>
      <c r="E122" s="43">
        <v>2867</v>
      </c>
      <c r="F122" s="43">
        <v>461</v>
      </c>
      <c r="G122" s="43">
        <v>135</v>
      </c>
      <c r="H122" s="43">
        <v>1732</v>
      </c>
      <c r="I122" s="43"/>
      <c r="J122" s="43"/>
      <c r="K122" s="45">
        <f t="shared" si="4"/>
        <v>0.4916666666666667</v>
      </c>
    </row>
    <row r="123" spans="1:12" x14ac:dyDescent="0.25">
      <c r="A123" s="42">
        <v>0.49722222222222223</v>
      </c>
      <c r="B123" s="43">
        <v>79</v>
      </c>
      <c r="C123" s="43">
        <v>4485</v>
      </c>
      <c r="D123" s="43">
        <v>4846</v>
      </c>
      <c r="E123" s="43">
        <v>2171</v>
      </c>
      <c r="F123" s="43">
        <v>3487</v>
      </c>
      <c r="G123" s="43">
        <v>3565</v>
      </c>
      <c r="H123" s="43">
        <v>3201</v>
      </c>
      <c r="I123" s="43"/>
      <c r="J123" s="43"/>
      <c r="K123" s="45">
        <f t="shared" si="4"/>
        <v>0.49722222222222223</v>
      </c>
    </row>
    <row r="124" spans="1:12" x14ac:dyDescent="0.25">
      <c r="A124" s="42">
        <v>0.50277777777777777</v>
      </c>
      <c r="B124" s="43">
        <v>80</v>
      </c>
      <c r="C124" s="43">
        <v>3301</v>
      </c>
      <c r="D124" s="43">
        <v>4211</v>
      </c>
      <c r="E124" s="43">
        <v>234</v>
      </c>
      <c r="F124" s="43">
        <v>1646</v>
      </c>
      <c r="G124" s="43">
        <v>3176</v>
      </c>
      <c r="H124" s="43">
        <v>3147</v>
      </c>
      <c r="I124" s="43"/>
      <c r="J124" s="43"/>
      <c r="K124" s="45">
        <f t="shared" si="4"/>
        <v>0.50277777777777777</v>
      </c>
    </row>
    <row r="127" spans="1:12" ht="31.5" x14ac:dyDescent="0.25">
      <c r="A127" s="41" t="s">
        <v>49</v>
      </c>
      <c r="B127" s="41" t="s">
        <v>59</v>
      </c>
      <c r="C127" s="41" t="s">
        <v>50</v>
      </c>
      <c r="D127" s="41" t="s">
        <v>51</v>
      </c>
      <c r="E127" s="41" t="s">
        <v>52</v>
      </c>
      <c r="F127" s="41" t="s">
        <v>53</v>
      </c>
      <c r="G127" s="41" t="s">
        <v>54</v>
      </c>
      <c r="H127" s="41" t="s">
        <v>55</v>
      </c>
      <c r="I127" s="41" t="s">
        <v>56</v>
      </c>
      <c r="J127" s="41" t="s">
        <v>57</v>
      </c>
      <c r="K127" s="41" t="s">
        <v>58</v>
      </c>
      <c r="L127" s="4" t="str">
        <f>A127</f>
        <v>Time</v>
      </c>
    </row>
    <row r="128" spans="1:12" x14ac:dyDescent="0.25">
      <c r="A128" s="42">
        <v>0.5625</v>
      </c>
      <c r="B128" s="44" t="s">
        <v>60</v>
      </c>
      <c r="C128" s="43">
        <v>1</v>
      </c>
      <c r="D128" s="43">
        <v>1736</v>
      </c>
      <c r="E128" s="43">
        <v>829</v>
      </c>
      <c r="F128" s="43">
        <v>461</v>
      </c>
      <c r="G128" s="43">
        <v>1501</v>
      </c>
      <c r="H128" s="43">
        <v>1732</v>
      </c>
      <c r="I128" s="43">
        <v>3487</v>
      </c>
      <c r="J128" s="43">
        <v>58</v>
      </c>
      <c r="K128" s="43">
        <v>36</v>
      </c>
      <c r="L128" s="45">
        <f>A128</f>
        <v>0.5625</v>
      </c>
    </row>
    <row r="129" spans="1:12" x14ac:dyDescent="0.25">
      <c r="A129" s="42">
        <v>0.56805555555555554</v>
      </c>
      <c r="B129" s="44" t="s">
        <v>61</v>
      </c>
      <c r="C129" s="43">
        <v>2</v>
      </c>
      <c r="D129" s="43">
        <v>435</v>
      </c>
      <c r="E129" s="43">
        <v>4073</v>
      </c>
      <c r="F129" s="43">
        <v>343</v>
      </c>
      <c r="G129" s="43">
        <v>3824</v>
      </c>
      <c r="H129" s="43">
        <v>401</v>
      </c>
      <c r="I129" s="43">
        <v>836</v>
      </c>
      <c r="J129" s="43">
        <v>87</v>
      </c>
      <c r="K129" s="43">
        <v>93</v>
      </c>
      <c r="L129" s="45">
        <f t="shared" ref="L129:L142" si="5">A129</f>
        <v>0.56805555555555554</v>
      </c>
    </row>
    <row r="130" spans="1:12" x14ac:dyDescent="0.25">
      <c r="A130" s="42">
        <v>0.57291666666666663</v>
      </c>
      <c r="B130" s="44" t="s">
        <v>62</v>
      </c>
      <c r="C130" s="43">
        <v>3</v>
      </c>
      <c r="D130" s="43">
        <v>3490</v>
      </c>
      <c r="E130" s="43">
        <v>1539</v>
      </c>
      <c r="F130" s="43">
        <v>4451</v>
      </c>
      <c r="G130" s="43">
        <v>1553</v>
      </c>
      <c r="H130" s="43">
        <v>1319</v>
      </c>
      <c r="I130" s="43">
        <v>415</v>
      </c>
      <c r="J130" s="43">
        <v>113</v>
      </c>
      <c r="K130" s="43">
        <v>100</v>
      </c>
      <c r="L130" s="45">
        <f t="shared" si="5"/>
        <v>0.57291666666666663</v>
      </c>
    </row>
    <row r="131" spans="1:12" x14ac:dyDescent="0.25">
      <c r="A131" s="42">
        <v>0.57777777777777783</v>
      </c>
      <c r="B131" s="44" t="s">
        <v>63</v>
      </c>
      <c r="C131" s="43">
        <v>4</v>
      </c>
      <c r="D131" s="43">
        <v>245</v>
      </c>
      <c r="E131" s="43">
        <v>2187</v>
      </c>
      <c r="F131" s="43">
        <v>11</v>
      </c>
      <c r="G131" s="43">
        <v>2059</v>
      </c>
      <c r="H131" s="43">
        <v>3196</v>
      </c>
      <c r="I131" s="43">
        <v>1102</v>
      </c>
      <c r="J131" s="43">
        <v>141</v>
      </c>
      <c r="K131" s="43">
        <v>77</v>
      </c>
      <c r="L131" s="45">
        <f t="shared" si="5"/>
        <v>0.57777777777777783</v>
      </c>
    </row>
    <row r="132" spans="1:12" x14ac:dyDescent="0.25">
      <c r="A132" s="42">
        <v>0.58402777777777781</v>
      </c>
      <c r="B132" s="44" t="s">
        <v>64</v>
      </c>
      <c r="C132" s="43">
        <v>5</v>
      </c>
      <c r="D132" s="43">
        <v>1648</v>
      </c>
      <c r="E132" s="43">
        <v>539</v>
      </c>
      <c r="F132" s="43">
        <v>2363</v>
      </c>
      <c r="G132" s="43">
        <v>1610</v>
      </c>
      <c r="H132" s="43">
        <v>1772</v>
      </c>
      <c r="I132" s="43">
        <v>1287</v>
      </c>
      <c r="J132" s="43">
        <v>30</v>
      </c>
      <c r="K132" s="43">
        <v>38</v>
      </c>
      <c r="L132" s="45">
        <f t="shared" si="5"/>
        <v>0.58402777777777781</v>
      </c>
    </row>
    <row r="133" spans="1:12" x14ac:dyDescent="0.25">
      <c r="A133" s="42">
        <v>0.58819444444444446</v>
      </c>
      <c r="B133" s="44" t="s">
        <v>65</v>
      </c>
      <c r="C133" s="43">
        <v>6</v>
      </c>
      <c r="D133" s="43">
        <v>343</v>
      </c>
      <c r="E133" s="43">
        <v>435</v>
      </c>
      <c r="F133" s="43">
        <v>4073</v>
      </c>
      <c r="G133" s="43">
        <v>3824</v>
      </c>
      <c r="H133" s="43">
        <v>836</v>
      </c>
      <c r="I133" s="43">
        <v>401</v>
      </c>
      <c r="J133" s="43">
        <v>41</v>
      </c>
      <c r="K133" s="43">
        <v>109</v>
      </c>
      <c r="L133" s="45">
        <f t="shared" si="5"/>
        <v>0.58819444444444446</v>
      </c>
    </row>
    <row r="134" spans="1:12" x14ac:dyDescent="0.25">
      <c r="A134" s="42">
        <v>0.59236111111111112</v>
      </c>
      <c r="B134" s="44" t="s">
        <v>66</v>
      </c>
      <c r="C134" s="43">
        <v>7</v>
      </c>
      <c r="D134" s="43">
        <v>4451</v>
      </c>
      <c r="E134" s="43">
        <v>1539</v>
      </c>
      <c r="F134" s="43">
        <v>3490</v>
      </c>
      <c r="G134" s="43">
        <v>415</v>
      </c>
      <c r="H134" s="43">
        <v>1553</v>
      </c>
      <c r="I134" s="43">
        <v>1319</v>
      </c>
      <c r="J134" s="43">
        <v>85</v>
      </c>
      <c r="K134" s="43">
        <v>58</v>
      </c>
      <c r="L134" s="45">
        <f t="shared" si="5"/>
        <v>0.59236111111111112</v>
      </c>
    </row>
    <row r="135" spans="1:12" x14ac:dyDescent="0.25">
      <c r="A135" s="42">
        <v>0.59791666666666665</v>
      </c>
      <c r="B135" s="44" t="s">
        <v>67</v>
      </c>
      <c r="C135" s="43">
        <v>8</v>
      </c>
      <c r="D135" s="43">
        <v>2187</v>
      </c>
      <c r="E135" s="43">
        <v>245</v>
      </c>
      <c r="F135" s="43">
        <v>11</v>
      </c>
      <c r="G135" s="43">
        <v>3196</v>
      </c>
      <c r="H135" s="43">
        <v>1102</v>
      </c>
      <c r="I135" s="43">
        <v>2059</v>
      </c>
      <c r="J135" s="43">
        <v>127</v>
      </c>
      <c r="K135" s="43">
        <v>43</v>
      </c>
      <c r="L135" s="45">
        <f t="shared" si="5"/>
        <v>0.59791666666666665</v>
      </c>
    </row>
    <row r="136" spans="1:12" x14ac:dyDescent="0.25">
      <c r="A136" s="42">
        <v>0.60555555555555551</v>
      </c>
      <c r="B136" s="44" t="s">
        <v>68</v>
      </c>
      <c r="C136" s="43">
        <v>9</v>
      </c>
      <c r="D136" s="43">
        <v>1648</v>
      </c>
      <c r="E136" s="43">
        <v>2363</v>
      </c>
      <c r="F136" s="43">
        <v>2914</v>
      </c>
      <c r="G136" s="43">
        <v>1610</v>
      </c>
      <c r="H136" s="43">
        <v>1287</v>
      </c>
      <c r="I136" s="43">
        <v>1772</v>
      </c>
      <c r="J136" s="43">
        <v>70</v>
      </c>
      <c r="K136" s="43">
        <v>71</v>
      </c>
      <c r="L136" s="45">
        <f t="shared" si="5"/>
        <v>0.60555555555555551</v>
      </c>
    </row>
    <row r="137" spans="1:12" x14ac:dyDescent="0.25">
      <c r="A137" s="42">
        <v>0.61041666666666672</v>
      </c>
      <c r="B137" s="44" t="s">
        <v>69</v>
      </c>
      <c r="C137" s="43">
        <v>13</v>
      </c>
      <c r="D137" s="43">
        <v>1287</v>
      </c>
      <c r="E137" s="43">
        <v>1772</v>
      </c>
      <c r="F137" s="43">
        <v>1610</v>
      </c>
      <c r="G137" s="43">
        <v>836</v>
      </c>
      <c r="H137" s="43">
        <v>401</v>
      </c>
      <c r="I137" s="43">
        <v>3824</v>
      </c>
      <c r="J137" s="43">
        <v>63</v>
      </c>
      <c r="K137" s="43">
        <v>86</v>
      </c>
      <c r="L137" s="45">
        <f t="shared" si="5"/>
        <v>0.61041666666666672</v>
      </c>
    </row>
    <row r="138" spans="1:12" x14ac:dyDescent="0.25">
      <c r="A138" s="42">
        <v>0.62569444444444444</v>
      </c>
      <c r="B138" s="44" t="s">
        <v>70</v>
      </c>
      <c r="C138" s="43">
        <v>14</v>
      </c>
      <c r="D138" s="43">
        <v>3490</v>
      </c>
      <c r="E138" s="43">
        <v>4451</v>
      </c>
      <c r="F138" s="43">
        <v>1539</v>
      </c>
      <c r="G138" s="43">
        <v>245</v>
      </c>
      <c r="H138" s="43">
        <v>11</v>
      </c>
      <c r="I138" s="43">
        <v>2187</v>
      </c>
      <c r="J138" s="43">
        <v>48</v>
      </c>
      <c r="K138" s="43">
        <v>138</v>
      </c>
      <c r="L138" s="45">
        <f t="shared" si="5"/>
        <v>0.62569444444444444</v>
      </c>
    </row>
    <row r="139" spans="1:12" x14ac:dyDescent="0.25">
      <c r="A139" s="42">
        <v>0.63124999999999998</v>
      </c>
      <c r="B139" s="44" t="s">
        <v>71</v>
      </c>
      <c r="C139" s="43">
        <v>15</v>
      </c>
      <c r="D139" s="43">
        <v>1287</v>
      </c>
      <c r="E139" s="43">
        <v>1772</v>
      </c>
      <c r="F139" s="43">
        <v>1610</v>
      </c>
      <c r="G139" s="43">
        <v>3824</v>
      </c>
      <c r="H139" s="43">
        <v>836</v>
      </c>
      <c r="I139" s="43">
        <v>401</v>
      </c>
      <c r="J139" s="43">
        <v>28</v>
      </c>
      <c r="K139" s="43">
        <v>92</v>
      </c>
      <c r="L139" s="45">
        <f t="shared" si="5"/>
        <v>0.63124999999999998</v>
      </c>
    </row>
    <row r="140" spans="1:12" x14ac:dyDescent="0.25">
      <c r="A140" s="42">
        <v>0.63541666666666663</v>
      </c>
      <c r="B140" s="44" t="s">
        <v>72</v>
      </c>
      <c r="C140" s="43">
        <v>16</v>
      </c>
      <c r="D140" s="43">
        <v>1539</v>
      </c>
      <c r="E140" s="43">
        <v>4451</v>
      </c>
      <c r="F140" s="43">
        <v>3490</v>
      </c>
      <c r="G140" s="43">
        <v>11</v>
      </c>
      <c r="H140" s="43">
        <v>2187</v>
      </c>
      <c r="I140" s="43">
        <v>245</v>
      </c>
      <c r="J140" s="43">
        <v>71</v>
      </c>
      <c r="K140" s="43">
        <v>156</v>
      </c>
      <c r="L140" s="45">
        <f t="shared" si="5"/>
        <v>0.63541666666666663</v>
      </c>
    </row>
    <row r="141" spans="1:12" x14ac:dyDescent="0.25">
      <c r="A141" s="42">
        <v>0.65555555555555556</v>
      </c>
      <c r="B141" s="44" t="s">
        <v>73</v>
      </c>
      <c r="C141" s="43">
        <v>19</v>
      </c>
      <c r="D141" s="43">
        <v>401</v>
      </c>
      <c r="E141" s="43">
        <v>836</v>
      </c>
      <c r="F141" s="43">
        <v>3824</v>
      </c>
      <c r="G141" s="43">
        <v>245</v>
      </c>
      <c r="H141" s="43">
        <v>2187</v>
      </c>
      <c r="I141" s="43">
        <v>11</v>
      </c>
      <c r="J141" s="43">
        <v>81</v>
      </c>
      <c r="K141" s="43">
        <v>166</v>
      </c>
      <c r="L141" s="45">
        <f t="shared" si="5"/>
        <v>0.65555555555555556</v>
      </c>
    </row>
    <row r="142" spans="1:12" x14ac:dyDescent="0.25">
      <c r="A142" s="42">
        <v>0.65833333333333333</v>
      </c>
      <c r="B142" s="44" t="s">
        <v>74</v>
      </c>
      <c r="C142" s="43">
        <v>20</v>
      </c>
      <c r="D142" s="43">
        <v>836</v>
      </c>
      <c r="E142" s="43">
        <v>401</v>
      </c>
      <c r="F142" s="43">
        <v>3824</v>
      </c>
      <c r="G142" s="43">
        <v>11</v>
      </c>
      <c r="H142" s="43">
        <v>245</v>
      </c>
      <c r="I142" s="43">
        <v>2187</v>
      </c>
      <c r="J142" s="43">
        <v>94</v>
      </c>
      <c r="K142" s="43">
        <v>118</v>
      </c>
      <c r="L142" s="45">
        <f t="shared" si="5"/>
        <v>0.65833333333333333</v>
      </c>
    </row>
  </sheetData>
  <mergeCells count="1">
    <mergeCell ref="A1:I1"/>
  </mergeCells>
  <phoneticPr fontId="7" type="noConversion"/>
  <conditionalFormatting sqref="A43:I44 J1:J44 A101:J1048576">
    <cfRule type="cellIs" dxfId="0" priority="1" operator="equal">
      <formula>1736</formula>
    </cfRule>
  </conditionalFormatting>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L47"/>
  <sheetViews>
    <sheetView workbookViewId="0">
      <pane xSplit="1" ySplit="3" topLeftCell="B4" activePane="bottomRight" state="frozen"/>
      <selection pane="topRight" activeCell="B1" sqref="B1"/>
      <selection pane="bottomLeft" activeCell="A4" sqref="A4"/>
      <selection pane="bottomRight" activeCell="D13" sqref="D12:D13"/>
    </sheetView>
  </sheetViews>
  <sheetFormatPr defaultColWidth="9.140625" defaultRowHeight="15.95" customHeight="1" x14ac:dyDescent="0.25"/>
  <cols>
    <col min="1" max="1" width="9.140625" style="169"/>
    <col min="2" max="2" width="17.5703125" style="170" bestFit="1" customWidth="1"/>
    <col min="3" max="3" width="25.7109375" style="175" customWidth="1"/>
    <col min="4" max="4" width="80.7109375" style="176" customWidth="1"/>
    <col min="5" max="5" width="21.5703125" style="170" bestFit="1" customWidth="1"/>
    <col min="6" max="10" width="9.140625" style="169"/>
    <col min="11" max="11" width="9.140625" style="170"/>
    <col min="12" max="12" width="14.28515625" style="169" bestFit="1" customWidth="1"/>
    <col min="13" max="16384" width="9.140625" style="169"/>
  </cols>
  <sheetData>
    <row r="1" spans="2:12" ht="20.100000000000001" customHeight="1" x14ac:dyDescent="0.25">
      <c r="B1" s="185" t="s">
        <v>544</v>
      </c>
    </row>
    <row r="2" spans="2:12" ht="15" x14ac:dyDescent="0.25">
      <c r="B2" s="169"/>
      <c r="C2" s="169"/>
      <c r="D2" s="169"/>
      <c r="E2" s="169"/>
    </row>
    <row r="3" spans="2:12" ht="18.75" x14ac:dyDescent="0.3">
      <c r="B3" s="174" t="s">
        <v>5</v>
      </c>
      <c r="C3" s="174" t="s">
        <v>427</v>
      </c>
      <c r="D3" s="174" t="s">
        <v>428</v>
      </c>
      <c r="E3" s="174" t="s">
        <v>429</v>
      </c>
    </row>
    <row r="4" spans="2:12" ht="15" x14ac:dyDescent="0.25">
      <c r="B4" s="181">
        <v>167</v>
      </c>
      <c r="C4" s="182" t="s">
        <v>430</v>
      </c>
      <c r="D4" s="183" t="s">
        <v>431</v>
      </c>
      <c r="E4" s="181" t="s">
        <v>432</v>
      </c>
      <c r="J4" s="184"/>
      <c r="L4" s="184"/>
    </row>
    <row r="5" spans="2:12" ht="15.95" customHeight="1" x14ac:dyDescent="0.25">
      <c r="B5" s="178">
        <v>171</v>
      </c>
      <c r="C5" s="179" t="s">
        <v>433</v>
      </c>
      <c r="D5" s="180" t="s">
        <v>434</v>
      </c>
      <c r="E5" s="178" t="s">
        <v>435</v>
      </c>
      <c r="J5" s="171"/>
      <c r="K5" s="172"/>
      <c r="L5" s="173"/>
    </row>
    <row r="6" spans="2:12" ht="15.95" customHeight="1" x14ac:dyDescent="0.25">
      <c r="B6" s="178">
        <v>292</v>
      </c>
      <c r="C6" s="179" t="s">
        <v>436</v>
      </c>
      <c r="D6" s="180" t="s">
        <v>437</v>
      </c>
      <c r="E6" s="178" t="s">
        <v>2</v>
      </c>
      <c r="J6" s="171"/>
      <c r="K6" s="172"/>
      <c r="L6" s="173"/>
    </row>
    <row r="7" spans="2:12" ht="15.95" customHeight="1" x14ac:dyDescent="0.25">
      <c r="B7" s="178">
        <v>525</v>
      </c>
      <c r="C7" s="179" t="s">
        <v>438</v>
      </c>
      <c r="D7" s="180" t="s">
        <v>439</v>
      </c>
      <c r="E7" s="178" t="s">
        <v>440</v>
      </c>
      <c r="J7" s="171"/>
      <c r="K7" s="172"/>
      <c r="L7" s="173"/>
    </row>
    <row r="8" spans="2:12" ht="15.95" customHeight="1" x14ac:dyDescent="0.25">
      <c r="B8" s="178">
        <v>648</v>
      </c>
      <c r="C8" s="179" t="s">
        <v>441</v>
      </c>
      <c r="D8" s="180" t="s">
        <v>442</v>
      </c>
      <c r="E8" s="178" t="s">
        <v>443</v>
      </c>
      <c r="J8" s="171"/>
      <c r="K8" s="172"/>
      <c r="L8" s="173"/>
    </row>
    <row r="9" spans="2:12" ht="15.95" customHeight="1" x14ac:dyDescent="0.25">
      <c r="B9" s="178">
        <v>967</v>
      </c>
      <c r="C9" s="179" t="s">
        <v>444</v>
      </c>
      <c r="D9" s="180" t="s">
        <v>445</v>
      </c>
      <c r="E9" s="178" t="s">
        <v>446</v>
      </c>
      <c r="J9" s="173"/>
      <c r="K9" s="172"/>
      <c r="L9" s="173"/>
    </row>
    <row r="10" spans="2:12" ht="15.95" customHeight="1" x14ac:dyDescent="0.25">
      <c r="B10" s="178">
        <v>1091</v>
      </c>
      <c r="C10" s="179" t="s">
        <v>447</v>
      </c>
      <c r="D10" s="180" t="s">
        <v>448</v>
      </c>
      <c r="E10" s="178" t="s">
        <v>449</v>
      </c>
      <c r="J10" s="173"/>
      <c r="K10" s="172"/>
      <c r="L10" s="173"/>
    </row>
    <row r="11" spans="2:12" ht="15.95" customHeight="1" x14ac:dyDescent="0.25">
      <c r="B11" s="178">
        <v>1094</v>
      </c>
      <c r="C11" s="179" t="s">
        <v>450</v>
      </c>
      <c r="D11" s="180" t="s">
        <v>451</v>
      </c>
      <c r="E11" s="178" t="s">
        <v>452</v>
      </c>
    </row>
    <row r="12" spans="2:12" ht="15.95" customHeight="1" x14ac:dyDescent="0.25">
      <c r="B12" s="178">
        <v>1208</v>
      </c>
      <c r="C12" s="179" t="s">
        <v>453</v>
      </c>
      <c r="D12" s="180" t="s">
        <v>454</v>
      </c>
      <c r="E12" s="178" t="s">
        <v>455</v>
      </c>
      <c r="J12" s="173"/>
      <c r="K12" s="172"/>
      <c r="L12" s="171"/>
    </row>
    <row r="13" spans="2:12" ht="15.95" customHeight="1" x14ac:dyDescent="0.25">
      <c r="B13" s="178">
        <v>1288</v>
      </c>
      <c r="C13" s="179" t="s">
        <v>456</v>
      </c>
      <c r="D13" s="180" t="s">
        <v>457</v>
      </c>
      <c r="E13" s="178" t="s">
        <v>458</v>
      </c>
      <c r="J13" s="173"/>
      <c r="K13" s="172"/>
      <c r="L13" s="171"/>
    </row>
    <row r="14" spans="2:12" ht="15.95" customHeight="1" x14ac:dyDescent="0.25">
      <c r="B14" s="178">
        <v>1736</v>
      </c>
      <c r="C14" s="179" t="s">
        <v>459</v>
      </c>
      <c r="D14" s="180" t="s">
        <v>460</v>
      </c>
      <c r="E14" s="178" t="s">
        <v>1</v>
      </c>
      <c r="J14" s="173"/>
      <c r="K14" s="172"/>
      <c r="L14" s="171"/>
    </row>
    <row r="15" spans="2:12" ht="15.95" customHeight="1" x14ac:dyDescent="0.25">
      <c r="B15" s="178">
        <v>1739</v>
      </c>
      <c r="C15" s="179" t="s">
        <v>461</v>
      </c>
      <c r="D15" s="180" t="s">
        <v>462</v>
      </c>
      <c r="E15" s="178" t="s">
        <v>463</v>
      </c>
      <c r="J15" s="173"/>
      <c r="K15" s="172"/>
      <c r="L15" s="171"/>
    </row>
    <row r="16" spans="2:12" ht="15.95" customHeight="1" x14ac:dyDescent="0.25">
      <c r="B16" s="178">
        <v>1747</v>
      </c>
      <c r="C16" s="179" t="s">
        <v>464</v>
      </c>
      <c r="D16" s="180" t="s">
        <v>465</v>
      </c>
      <c r="E16" s="178" t="s">
        <v>3</v>
      </c>
      <c r="J16" s="171"/>
      <c r="K16" s="172"/>
      <c r="L16" s="171"/>
    </row>
    <row r="17" spans="2:12" ht="15.95" customHeight="1" x14ac:dyDescent="0.25">
      <c r="B17" s="178">
        <v>1756</v>
      </c>
      <c r="C17" s="179" t="s">
        <v>466</v>
      </c>
      <c r="D17" s="180" t="s">
        <v>467</v>
      </c>
      <c r="E17" s="178" t="s">
        <v>1</v>
      </c>
      <c r="J17" s="171"/>
      <c r="K17" s="172"/>
      <c r="L17" s="171"/>
    </row>
    <row r="18" spans="2:12" ht="15.95" customHeight="1" x14ac:dyDescent="0.25">
      <c r="B18" s="178">
        <v>1764</v>
      </c>
      <c r="C18" s="179" t="s">
        <v>468</v>
      </c>
      <c r="D18" s="180" t="s">
        <v>469</v>
      </c>
      <c r="E18" s="178" t="s">
        <v>470</v>
      </c>
      <c r="J18" s="171"/>
      <c r="K18" s="172"/>
      <c r="L18" s="171"/>
    </row>
    <row r="19" spans="2:12" ht="15.95" customHeight="1" x14ac:dyDescent="0.25">
      <c r="B19" s="178">
        <v>1806</v>
      </c>
      <c r="C19" s="179" t="s">
        <v>471</v>
      </c>
      <c r="D19" s="180" t="s">
        <v>472</v>
      </c>
      <c r="E19" s="178" t="s">
        <v>473</v>
      </c>
      <c r="J19" s="171"/>
      <c r="K19" s="172"/>
      <c r="L19" s="171"/>
    </row>
    <row r="20" spans="2:12" ht="15.95" customHeight="1" x14ac:dyDescent="0.25">
      <c r="B20" s="178">
        <v>1986</v>
      </c>
      <c r="C20" s="179" t="s">
        <v>474</v>
      </c>
      <c r="D20" s="180" t="s">
        <v>475</v>
      </c>
      <c r="E20" s="178" t="s">
        <v>476</v>
      </c>
      <c r="J20" s="171"/>
      <c r="K20" s="172"/>
      <c r="L20" s="171"/>
    </row>
    <row r="21" spans="2:12" ht="15.95" customHeight="1" x14ac:dyDescent="0.25">
      <c r="B21" s="178">
        <v>2022</v>
      </c>
      <c r="C21" s="179" t="s">
        <v>477</v>
      </c>
      <c r="D21" s="180" t="s">
        <v>478</v>
      </c>
      <c r="E21" s="178" t="s">
        <v>479</v>
      </c>
      <c r="J21" s="171"/>
      <c r="K21" s="172"/>
      <c r="L21" s="171"/>
    </row>
    <row r="22" spans="2:12" ht="15.95" customHeight="1" x14ac:dyDescent="0.25">
      <c r="B22" s="178">
        <v>2039</v>
      </c>
      <c r="C22" s="179" t="s">
        <v>480</v>
      </c>
      <c r="D22" s="180" t="s">
        <v>481</v>
      </c>
      <c r="E22" s="178" t="s">
        <v>482</v>
      </c>
      <c r="J22" s="171"/>
      <c r="K22" s="172"/>
      <c r="L22" s="173"/>
    </row>
    <row r="23" spans="2:12" ht="15.95" customHeight="1" x14ac:dyDescent="0.25">
      <c r="B23" s="178">
        <v>2040</v>
      </c>
      <c r="C23" s="179" t="s">
        <v>483</v>
      </c>
      <c r="D23" s="180" t="s">
        <v>484</v>
      </c>
      <c r="E23" s="178" t="s">
        <v>0</v>
      </c>
      <c r="J23" s="171"/>
      <c r="K23" s="172"/>
      <c r="L23" s="173"/>
    </row>
    <row r="24" spans="2:12" ht="15.95" customHeight="1" x14ac:dyDescent="0.25">
      <c r="B24" s="178">
        <v>2081</v>
      </c>
      <c r="C24" s="179" t="s">
        <v>485</v>
      </c>
      <c r="D24" s="180" t="s">
        <v>486</v>
      </c>
      <c r="E24" s="178" t="s">
        <v>1</v>
      </c>
      <c r="J24" s="171"/>
      <c r="K24" s="172"/>
      <c r="L24" s="173"/>
    </row>
    <row r="25" spans="2:12" ht="15.95" customHeight="1" x14ac:dyDescent="0.25">
      <c r="B25" s="178">
        <v>2164</v>
      </c>
      <c r="C25" s="179" t="s">
        <v>487</v>
      </c>
      <c r="D25" s="180" t="s">
        <v>488</v>
      </c>
      <c r="E25" s="178" t="s">
        <v>489</v>
      </c>
      <c r="J25" s="171"/>
      <c r="K25" s="172"/>
      <c r="L25" s="173"/>
    </row>
    <row r="26" spans="2:12" ht="15.95" customHeight="1" x14ac:dyDescent="0.25">
      <c r="B26" s="178">
        <v>2194</v>
      </c>
      <c r="C26" s="179" t="s">
        <v>490</v>
      </c>
      <c r="D26" s="180" t="s">
        <v>491</v>
      </c>
      <c r="E26" s="178" t="s">
        <v>492</v>
      </c>
      <c r="J26" s="173"/>
      <c r="K26" s="172"/>
      <c r="L26" s="173"/>
    </row>
    <row r="27" spans="2:12" ht="15.95" customHeight="1" x14ac:dyDescent="0.25">
      <c r="B27" s="178">
        <v>2451</v>
      </c>
      <c r="C27" s="179" t="s">
        <v>493</v>
      </c>
      <c r="D27" s="180" t="s">
        <v>494</v>
      </c>
      <c r="E27" s="178" t="s">
        <v>495</v>
      </c>
      <c r="J27" s="173"/>
      <c r="K27" s="172"/>
      <c r="L27" s="173"/>
    </row>
    <row r="28" spans="2:12" ht="15.95" customHeight="1" x14ac:dyDescent="0.25">
      <c r="B28" s="178">
        <v>2481</v>
      </c>
      <c r="C28" s="179" t="s">
        <v>496</v>
      </c>
      <c r="D28" s="180" t="s">
        <v>497</v>
      </c>
      <c r="E28" s="178" t="s">
        <v>498</v>
      </c>
      <c r="J28" s="171"/>
      <c r="K28" s="172"/>
      <c r="L28" s="173"/>
    </row>
    <row r="29" spans="2:12" ht="15.95" customHeight="1" x14ac:dyDescent="0.25">
      <c r="B29" s="178">
        <v>2704</v>
      </c>
      <c r="C29" s="179" t="s">
        <v>499</v>
      </c>
      <c r="D29" s="180" t="s">
        <v>500</v>
      </c>
      <c r="E29" s="178" t="s">
        <v>501</v>
      </c>
      <c r="J29" s="173"/>
      <c r="K29" s="172"/>
      <c r="L29" s="173"/>
    </row>
    <row r="30" spans="2:12" ht="15.95" customHeight="1" x14ac:dyDescent="0.25">
      <c r="B30" s="178">
        <v>3138</v>
      </c>
      <c r="C30" s="179" t="s">
        <v>502</v>
      </c>
      <c r="D30" s="180" t="s">
        <v>503</v>
      </c>
      <c r="E30" s="178" t="s">
        <v>504</v>
      </c>
      <c r="J30" s="173"/>
      <c r="K30" s="172"/>
      <c r="L30" s="173"/>
    </row>
    <row r="31" spans="2:12" ht="15.95" customHeight="1" x14ac:dyDescent="0.25">
      <c r="B31" s="178">
        <v>3284</v>
      </c>
      <c r="C31" s="179" t="s">
        <v>505</v>
      </c>
      <c r="D31" s="180" t="s">
        <v>506</v>
      </c>
      <c r="E31" s="178" t="s">
        <v>507</v>
      </c>
      <c r="J31" s="173"/>
      <c r="K31" s="172"/>
      <c r="L31" s="173"/>
    </row>
    <row r="32" spans="2:12" ht="15.95" customHeight="1" x14ac:dyDescent="0.25">
      <c r="B32" s="178">
        <v>3352</v>
      </c>
      <c r="C32" s="179" t="s">
        <v>508</v>
      </c>
      <c r="D32" s="180" t="s">
        <v>509</v>
      </c>
      <c r="E32" s="178" t="s">
        <v>510</v>
      </c>
      <c r="J32" s="173"/>
      <c r="K32" s="172"/>
      <c r="L32" s="173"/>
    </row>
    <row r="33" spans="2:12" ht="15.95" customHeight="1" x14ac:dyDescent="0.25">
      <c r="B33" s="178">
        <v>4143</v>
      </c>
      <c r="C33" s="179" t="s">
        <v>511</v>
      </c>
      <c r="D33" s="180" t="s">
        <v>512</v>
      </c>
      <c r="E33" s="178" t="s">
        <v>513</v>
      </c>
      <c r="J33" s="173"/>
      <c r="K33" s="172"/>
      <c r="L33" s="173"/>
    </row>
    <row r="34" spans="2:12" ht="15.95" customHeight="1" x14ac:dyDescent="0.25">
      <c r="B34" s="178">
        <v>4196</v>
      </c>
      <c r="C34" s="179" t="s">
        <v>514</v>
      </c>
      <c r="D34" s="180" t="s">
        <v>515</v>
      </c>
      <c r="E34" s="178" t="s">
        <v>516</v>
      </c>
      <c r="J34" s="173"/>
      <c r="K34" s="172"/>
      <c r="L34" s="173"/>
    </row>
    <row r="35" spans="2:12" ht="15.95" customHeight="1" x14ac:dyDescent="0.25">
      <c r="B35" s="178">
        <v>4212</v>
      </c>
      <c r="C35" s="179" t="s">
        <v>517</v>
      </c>
      <c r="D35" s="180" t="s">
        <v>518</v>
      </c>
      <c r="E35" s="178" t="s">
        <v>519</v>
      </c>
      <c r="J35" s="173"/>
      <c r="K35" s="172"/>
      <c r="L35" s="173"/>
    </row>
    <row r="36" spans="2:12" ht="15.95" customHeight="1" x14ac:dyDescent="0.25">
      <c r="B36" s="178">
        <v>4213</v>
      </c>
      <c r="C36" s="179" t="s">
        <v>520</v>
      </c>
      <c r="D36" s="180" t="s">
        <v>521</v>
      </c>
      <c r="E36" s="178" t="s">
        <v>522</v>
      </c>
      <c r="J36" s="173"/>
      <c r="K36" s="172"/>
      <c r="L36" s="173"/>
    </row>
    <row r="37" spans="2:12" ht="15.95" customHeight="1" x14ac:dyDescent="0.25">
      <c r="B37" s="178">
        <v>4256</v>
      </c>
      <c r="C37" s="179" t="s">
        <v>523</v>
      </c>
      <c r="D37" s="180" t="s">
        <v>524</v>
      </c>
      <c r="E37" s="178" t="s">
        <v>525</v>
      </c>
      <c r="J37" s="173"/>
      <c r="K37" s="172"/>
      <c r="L37" s="173"/>
    </row>
    <row r="38" spans="2:12" ht="15.95" customHeight="1" x14ac:dyDescent="0.25">
      <c r="B38" s="178">
        <v>4296</v>
      </c>
      <c r="C38" s="179" t="s">
        <v>526</v>
      </c>
      <c r="D38" s="180" t="s">
        <v>527</v>
      </c>
      <c r="E38" s="178" t="s">
        <v>528</v>
      </c>
      <c r="J38" s="173"/>
      <c r="K38" s="172"/>
      <c r="L38" s="173"/>
    </row>
    <row r="39" spans="2:12" ht="15.95" customHeight="1" x14ac:dyDescent="0.25">
      <c r="B39" s="178">
        <v>4329</v>
      </c>
      <c r="C39" s="179" t="s">
        <v>529</v>
      </c>
      <c r="D39" s="180" t="s">
        <v>530</v>
      </c>
      <c r="E39" s="178" t="s">
        <v>531</v>
      </c>
      <c r="J39" s="173"/>
      <c r="K39" s="172"/>
      <c r="L39" s="173"/>
    </row>
    <row r="40" spans="2:12" ht="15.95" customHeight="1" x14ac:dyDescent="0.25">
      <c r="B40" s="178">
        <v>4330</v>
      </c>
      <c r="C40" s="179" t="s">
        <v>532</v>
      </c>
      <c r="D40" s="180" t="s">
        <v>533</v>
      </c>
      <c r="E40" s="178" t="s">
        <v>534</v>
      </c>
      <c r="J40" s="173"/>
      <c r="K40" s="172"/>
      <c r="L40" s="173"/>
    </row>
    <row r="41" spans="2:12" ht="15.95" customHeight="1" x14ac:dyDescent="0.25">
      <c r="B41" s="178">
        <v>4655</v>
      </c>
      <c r="C41" s="179" t="s">
        <v>535</v>
      </c>
      <c r="D41" s="180" t="s">
        <v>536</v>
      </c>
      <c r="E41" s="178" t="s">
        <v>537</v>
      </c>
      <c r="J41" s="173"/>
      <c r="K41" s="172"/>
      <c r="L41" s="173"/>
    </row>
    <row r="42" spans="2:12" ht="15.95" customHeight="1" x14ac:dyDescent="0.25">
      <c r="B42" s="178">
        <v>4786</v>
      </c>
      <c r="C42" s="179" t="s">
        <v>538</v>
      </c>
      <c r="D42" s="180" t="s">
        <v>539</v>
      </c>
      <c r="E42" s="178" t="s">
        <v>540</v>
      </c>
      <c r="J42" s="173"/>
      <c r="K42" s="172"/>
      <c r="L42" s="173"/>
    </row>
    <row r="43" spans="2:12" ht="15.95" customHeight="1" x14ac:dyDescent="0.25">
      <c r="B43" s="178">
        <v>5041</v>
      </c>
      <c r="C43" s="179" t="s">
        <v>541</v>
      </c>
      <c r="D43" s="180" t="s">
        <v>542</v>
      </c>
      <c r="E43" s="178" t="s">
        <v>543</v>
      </c>
      <c r="J43" s="173"/>
      <c r="K43" s="172"/>
      <c r="L43" s="173"/>
    </row>
    <row r="44" spans="2:12" ht="15.95" customHeight="1" x14ac:dyDescent="0.25">
      <c r="D44" s="177"/>
      <c r="K44" s="172"/>
      <c r="L44" s="173"/>
    </row>
    <row r="45" spans="2:12" ht="15.95" customHeight="1" x14ac:dyDescent="0.25">
      <c r="J45" s="173"/>
      <c r="K45" s="172"/>
      <c r="L45" s="173"/>
    </row>
    <row r="46" spans="2:12" ht="15.95" customHeight="1" x14ac:dyDescent="0.25">
      <c r="K46" s="172"/>
    </row>
    <row r="47" spans="2:12" ht="15.95" customHeight="1" x14ac:dyDescent="0.25">
      <c r="K47" s="172"/>
    </row>
  </sheetData>
  <phoneticPr fontId="7" type="noConversion"/>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L64"/>
  <sheetViews>
    <sheetView topLeftCell="A2" workbookViewId="0">
      <selection activeCell="D4" sqref="D4"/>
    </sheetView>
  </sheetViews>
  <sheetFormatPr defaultColWidth="9.140625" defaultRowHeight="15.95" customHeight="1" x14ac:dyDescent="0.25"/>
  <cols>
    <col min="1" max="1" width="9.140625" style="169"/>
    <col min="2" max="2" width="17.5703125" style="170" bestFit="1" customWidth="1"/>
    <col min="3" max="3" width="25.7109375" style="186" customWidth="1"/>
    <col min="4" max="4" width="80.7109375" style="176" customWidth="1"/>
    <col min="5" max="5" width="30.28515625" style="170" bestFit="1" customWidth="1"/>
    <col min="6" max="10" width="9.140625" style="169"/>
    <col min="11" max="11" width="9.140625" style="170"/>
    <col min="12" max="12" width="14.28515625" style="169" bestFit="1" customWidth="1"/>
    <col min="13" max="16384" width="9.140625" style="169"/>
  </cols>
  <sheetData>
    <row r="1" spans="2:12" ht="20.100000000000001" customHeight="1" x14ac:dyDescent="0.25">
      <c r="B1" s="185" t="s">
        <v>544</v>
      </c>
    </row>
    <row r="2" spans="2:12" ht="15" x14ac:dyDescent="0.25">
      <c r="B2" s="169"/>
      <c r="C2" s="187"/>
      <c r="D2" s="169"/>
      <c r="E2" s="169"/>
    </row>
    <row r="3" spans="2:12" ht="18.75" x14ac:dyDescent="0.3">
      <c r="B3" s="174" t="s">
        <v>5</v>
      </c>
      <c r="C3" s="188" t="s">
        <v>427</v>
      </c>
      <c r="D3" s="174" t="s">
        <v>428</v>
      </c>
      <c r="E3" s="174" t="s">
        <v>429</v>
      </c>
    </row>
    <row r="4" spans="2:12" ht="15.95" customHeight="1" x14ac:dyDescent="0.25">
      <c r="B4" s="178">
        <v>48</v>
      </c>
      <c r="C4" s="189" t="s">
        <v>545</v>
      </c>
      <c r="D4" s="180"/>
      <c r="E4" s="178" t="s">
        <v>546</v>
      </c>
      <c r="J4" s="171"/>
      <c r="K4" s="172"/>
      <c r="L4" s="173"/>
    </row>
    <row r="5" spans="2:12" ht="15.95" customHeight="1" x14ac:dyDescent="0.25">
      <c r="B5" s="178">
        <v>81</v>
      </c>
      <c r="C5" s="189" t="s">
        <v>547</v>
      </c>
      <c r="D5" s="180"/>
      <c r="E5" s="178" t="s">
        <v>548</v>
      </c>
      <c r="J5" s="171"/>
      <c r="K5" s="172"/>
      <c r="L5" s="173"/>
    </row>
    <row r="6" spans="2:12" ht="15.95" customHeight="1" x14ac:dyDescent="0.25">
      <c r="B6" s="178">
        <v>93</v>
      </c>
      <c r="C6" s="189" t="s">
        <v>549</v>
      </c>
      <c r="D6" s="180"/>
      <c r="E6" s="178" t="s">
        <v>550</v>
      </c>
      <c r="J6" s="171"/>
      <c r="K6" s="172"/>
      <c r="L6" s="173"/>
    </row>
    <row r="7" spans="2:12" ht="15.95" customHeight="1" x14ac:dyDescent="0.25">
      <c r="B7" s="178">
        <v>111</v>
      </c>
      <c r="C7" s="189" t="s">
        <v>551</v>
      </c>
      <c r="D7" s="180"/>
      <c r="E7" s="178" t="s">
        <v>552</v>
      </c>
      <c r="J7" s="171"/>
      <c r="K7" s="172"/>
      <c r="L7" s="173"/>
    </row>
    <row r="8" spans="2:12" ht="15.95" customHeight="1" x14ac:dyDescent="0.25">
      <c r="B8" s="178">
        <v>167</v>
      </c>
      <c r="C8" s="189" t="s">
        <v>430</v>
      </c>
      <c r="D8" s="180"/>
      <c r="E8" s="178" t="s">
        <v>553</v>
      </c>
      <c r="J8" s="173"/>
      <c r="K8" s="172"/>
      <c r="L8" s="173"/>
    </row>
    <row r="9" spans="2:12" ht="15.95" customHeight="1" x14ac:dyDescent="0.25">
      <c r="B9" s="178">
        <v>171</v>
      </c>
      <c r="C9" s="189" t="s">
        <v>433</v>
      </c>
      <c r="D9" s="180"/>
      <c r="E9" s="178" t="s">
        <v>554</v>
      </c>
      <c r="J9" s="173"/>
      <c r="K9" s="172"/>
      <c r="L9" s="173"/>
    </row>
    <row r="10" spans="2:12" ht="15.95" customHeight="1" x14ac:dyDescent="0.25">
      <c r="B10" s="178">
        <v>192</v>
      </c>
      <c r="C10" s="189" t="s">
        <v>555</v>
      </c>
      <c r="D10" s="180"/>
      <c r="E10" s="178" t="s">
        <v>556</v>
      </c>
    </row>
    <row r="11" spans="2:12" ht="15.95" customHeight="1" x14ac:dyDescent="0.25">
      <c r="B11" s="178">
        <v>269</v>
      </c>
      <c r="C11" s="189" t="s">
        <v>557</v>
      </c>
      <c r="D11" s="180"/>
      <c r="E11" s="178" t="s">
        <v>558</v>
      </c>
      <c r="J11" s="173"/>
      <c r="K11" s="172"/>
      <c r="L11" s="171"/>
    </row>
    <row r="12" spans="2:12" ht="15.95" customHeight="1" x14ac:dyDescent="0.25">
      <c r="B12" s="178">
        <v>537</v>
      </c>
      <c r="C12" s="189" t="s">
        <v>559</v>
      </c>
      <c r="D12" s="180"/>
      <c r="E12" s="178" t="s">
        <v>560</v>
      </c>
      <c r="J12" s="173"/>
      <c r="K12" s="172"/>
      <c r="L12" s="171"/>
    </row>
    <row r="13" spans="2:12" ht="15.95" customHeight="1" x14ac:dyDescent="0.25">
      <c r="B13" s="178">
        <v>706</v>
      </c>
      <c r="C13" s="189" t="s">
        <v>561</v>
      </c>
      <c r="D13" s="180"/>
      <c r="E13" s="178" t="s">
        <v>562</v>
      </c>
      <c r="J13" s="173"/>
      <c r="K13" s="172"/>
      <c r="L13" s="171"/>
    </row>
    <row r="14" spans="2:12" ht="15.95" customHeight="1" x14ac:dyDescent="0.25">
      <c r="B14" s="178">
        <v>876</v>
      </c>
      <c r="C14" s="189" t="s">
        <v>563</v>
      </c>
      <c r="D14" s="180"/>
      <c r="E14" s="178" t="s">
        <v>564</v>
      </c>
      <c r="J14" s="173"/>
      <c r="K14" s="172"/>
      <c r="L14" s="171"/>
    </row>
    <row r="15" spans="2:12" ht="15.95" customHeight="1" x14ac:dyDescent="0.25">
      <c r="B15" s="178">
        <v>930</v>
      </c>
      <c r="C15" s="189" t="s">
        <v>565</v>
      </c>
      <c r="D15" s="180"/>
      <c r="E15" s="178" t="s">
        <v>566</v>
      </c>
      <c r="J15" s="171"/>
      <c r="K15" s="172"/>
      <c r="L15" s="171"/>
    </row>
    <row r="16" spans="2:12" ht="15.95" customHeight="1" x14ac:dyDescent="0.25">
      <c r="B16" s="178">
        <v>938</v>
      </c>
      <c r="C16" s="189" t="s">
        <v>567</v>
      </c>
      <c r="D16" s="180"/>
      <c r="E16" s="178" t="s">
        <v>568</v>
      </c>
      <c r="J16" s="171"/>
      <c r="K16" s="172"/>
      <c r="L16" s="171"/>
    </row>
    <row r="17" spans="2:12" ht="15.95" customHeight="1" x14ac:dyDescent="0.25">
      <c r="B17" s="178">
        <v>1091</v>
      </c>
      <c r="C17" s="189" t="s">
        <v>447</v>
      </c>
      <c r="D17" s="180"/>
      <c r="E17" s="178" t="s">
        <v>569</v>
      </c>
      <c r="J17" s="171"/>
      <c r="K17" s="172"/>
      <c r="L17" s="171"/>
    </row>
    <row r="18" spans="2:12" ht="15.95" customHeight="1" x14ac:dyDescent="0.25">
      <c r="B18" s="178">
        <v>1259</v>
      </c>
      <c r="C18" s="189" t="s">
        <v>570</v>
      </c>
      <c r="D18" s="180"/>
      <c r="E18" s="178" t="s">
        <v>571</v>
      </c>
      <c r="J18" s="171"/>
      <c r="K18" s="172"/>
      <c r="L18" s="171"/>
    </row>
    <row r="19" spans="2:12" ht="15.95" customHeight="1" x14ac:dyDescent="0.25">
      <c r="B19" s="178">
        <v>1306</v>
      </c>
      <c r="C19" s="189" t="s">
        <v>572</v>
      </c>
      <c r="D19" s="180"/>
      <c r="E19" s="178" t="s">
        <v>573</v>
      </c>
      <c r="J19" s="171"/>
      <c r="K19" s="172"/>
      <c r="L19" s="171"/>
    </row>
    <row r="20" spans="2:12" ht="15.95" customHeight="1" x14ac:dyDescent="0.25">
      <c r="B20" s="178">
        <v>1622</v>
      </c>
      <c r="C20" s="189" t="s">
        <v>574</v>
      </c>
      <c r="D20" s="180"/>
      <c r="E20" s="178" t="s">
        <v>575</v>
      </c>
      <c r="J20" s="171"/>
      <c r="K20" s="172"/>
      <c r="L20" s="171"/>
    </row>
    <row r="21" spans="2:12" ht="15.95" customHeight="1" x14ac:dyDescent="0.25">
      <c r="B21" s="178">
        <v>1625</v>
      </c>
      <c r="C21" s="189" t="s">
        <v>576</v>
      </c>
      <c r="D21" s="180"/>
      <c r="E21" s="178" t="s">
        <v>577</v>
      </c>
      <c r="J21" s="171"/>
      <c r="K21" s="172"/>
      <c r="L21" s="173"/>
    </row>
    <row r="22" spans="2:12" ht="15.95" customHeight="1" x14ac:dyDescent="0.25">
      <c r="B22" s="178">
        <v>1675</v>
      </c>
      <c r="C22" s="189" t="s">
        <v>578</v>
      </c>
      <c r="D22" s="180"/>
      <c r="E22" s="178" t="s">
        <v>579</v>
      </c>
      <c r="J22" s="171"/>
      <c r="K22" s="172"/>
      <c r="L22" s="173"/>
    </row>
    <row r="23" spans="2:12" ht="15.95" customHeight="1" x14ac:dyDescent="0.25">
      <c r="B23" s="178">
        <v>1714</v>
      </c>
      <c r="C23" s="189" t="s">
        <v>580</v>
      </c>
      <c r="D23" s="180"/>
      <c r="E23" s="178" t="s">
        <v>579</v>
      </c>
      <c r="J23" s="171"/>
      <c r="K23" s="172"/>
      <c r="L23" s="173"/>
    </row>
    <row r="24" spans="2:12" ht="15.95" customHeight="1" x14ac:dyDescent="0.25">
      <c r="B24" s="178">
        <v>1716</v>
      </c>
      <c r="C24" s="189" t="s">
        <v>581</v>
      </c>
      <c r="D24" s="180"/>
      <c r="E24" s="178" t="s">
        <v>582</v>
      </c>
      <c r="J24" s="171"/>
      <c r="K24" s="172"/>
      <c r="L24" s="173"/>
    </row>
    <row r="25" spans="2:12" ht="15.95" customHeight="1" x14ac:dyDescent="0.25">
      <c r="B25" s="178">
        <v>1732</v>
      </c>
      <c r="C25" s="189" t="s">
        <v>583</v>
      </c>
      <c r="D25" s="180"/>
      <c r="E25" s="178" t="s">
        <v>579</v>
      </c>
      <c r="J25" s="173"/>
      <c r="K25" s="172"/>
      <c r="L25" s="173"/>
    </row>
    <row r="26" spans="2:12" ht="15.95" customHeight="1" x14ac:dyDescent="0.25">
      <c r="B26" s="178">
        <v>1736</v>
      </c>
      <c r="C26" s="189" t="s">
        <v>459</v>
      </c>
      <c r="D26" s="180"/>
      <c r="E26" s="178" t="s">
        <v>584</v>
      </c>
      <c r="J26" s="173"/>
      <c r="K26" s="172"/>
      <c r="L26" s="173"/>
    </row>
    <row r="27" spans="2:12" ht="15.95" customHeight="1" x14ac:dyDescent="0.25">
      <c r="B27" s="178">
        <v>2039</v>
      </c>
      <c r="C27" s="189" t="s">
        <v>480</v>
      </c>
      <c r="D27" s="180"/>
      <c r="E27" s="178" t="s">
        <v>585</v>
      </c>
      <c r="J27" s="171"/>
      <c r="K27" s="172"/>
      <c r="L27" s="173"/>
    </row>
    <row r="28" spans="2:12" ht="15.95" customHeight="1" x14ac:dyDescent="0.25">
      <c r="B28" s="178">
        <v>2040</v>
      </c>
      <c r="C28" s="189" t="s">
        <v>483</v>
      </c>
      <c r="D28" s="180"/>
      <c r="E28" s="178" t="s">
        <v>586</v>
      </c>
      <c r="J28" s="173"/>
      <c r="K28" s="172"/>
      <c r="L28" s="173"/>
    </row>
    <row r="29" spans="2:12" ht="15.95" customHeight="1" x14ac:dyDescent="0.25">
      <c r="B29" s="178">
        <v>2062</v>
      </c>
      <c r="C29" s="189" t="s">
        <v>587</v>
      </c>
      <c r="D29" s="180"/>
      <c r="E29" s="178" t="s">
        <v>588</v>
      </c>
      <c r="J29" s="173"/>
      <c r="K29" s="172"/>
      <c r="L29" s="173"/>
    </row>
    <row r="30" spans="2:12" ht="15.95" customHeight="1" x14ac:dyDescent="0.25">
      <c r="B30" s="178">
        <v>2077</v>
      </c>
      <c r="C30" s="189" t="s">
        <v>589</v>
      </c>
      <c r="D30" s="180"/>
      <c r="E30" s="178" t="s">
        <v>590</v>
      </c>
      <c r="J30" s="173"/>
      <c r="K30" s="172"/>
      <c r="L30" s="173"/>
    </row>
    <row r="31" spans="2:12" ht="15.95" customHeight="1" x14ac:dyDescent="0.25">
      <c r="B31" s="178">
        <v>2081</v>
      </c>
      <c r="C31" s="189" t="s">
        <v>485</v>
      </c>
      <c r="D31" s="180"/>
      <c r="E31" s="178" t="s">
        <v>584</v>
      </c>
      <c r="J31" s="173"/>
      <c r="K31" s="172"/>
      <c r="L31" s="173"/>
    </row>
    <row r="32" spans="2:12" ht="15.95" customHeight="1" x14ac:dyDescent="0.25">
      <c r="B32" s="178">
        <v>2194</v>
      </c>
      <c r="C32" s="189" t="s">
        <v>490</v>
      </c>
      <c r="D32" s="180"/>
      <c r="E32" s="178" t="s">
        <v>591</v>
      </c>
      <c r="J32" s="173"/>
      <c r="K32" s="172"/>
      <c r="L32" s="173"/>
    </row>
    <row r="33" spans="2:12" ht="15.95" customHeight="1" x14ac:dyDescent="0.25">
      <c r="B33" s="178">
        <v>2202</v>
      </c>
      <c r="C33" s="189" t="s">
        <v>592</v>
      </c>
      <c r="D33" s="180"/>
      <c r="E33" s="178" t="s">
        <v>593</v>
      </c>
      <c r="J33" s="173"/>
      <c r="K33" s="172"/>
      <c r="L33" s="173"/>
    </row>
    <row r="34" spans="2:12" ht="15.95" customHeight="1" x14ac:dyDescent="0.25">
      <c r="B34" s="178">
        <v>2470</v>
      </c>
      <c r="C34" s="189" t="s">
        <v>594</v>
      </c>
      <c r="D34" s="180"/>
      <c r="E34" s="178" t="s">
        <v>595</v>
      </c>
      <c r="J34" s="173"/>
      <c r="K34" s="172"/>
      <c r="L34" s="173"/>
    </row>
    <row r="35" spans="2:12" ht="15.95" customHeight="1" x14ac:dyDescent="0.25">
      <c r="B35" s="178">
        <v>2481</v>
      </c>
      <c r="C35" s="189" t="s">
        <v>496</v>
      </c>
      <c r="D35" s="180"/>
      <c r="E35" s="178" t="s">
        <v>596</v>
      </c>
      <c r="J35" s="173"/>
      <c r="K35" s="172"/>
      <c r="L35" s="173"/>
    </row>
    <row r="36" spans="2:12" ht="15.95" customHeight="1" x14ac:dyDescent="0.25">
      <c r="B36" s="178">
        <v>2512</v>
      </c>
      <c r="C36" s="189" t="s">
        <v>597</v>
      </c>
      <c r="D36" s="180"/>
      <c r="E36" s="178" t="s">
        <v>598</v>
      </c>
      <c r="J36" s="173"/>
      <c r="K36" s="172"/>
      <c r="L36" s="173"/>
    </row>
    <row r="37" spans="2:12" ht="15.95" customHeight="1" x14ac:dyDescent="0.25">
      <c r="B37" s="178">
        <v>2530</v>
      </c>
      <c r="C37" s="189" t="s">
        <v>599</v>
      </c>
      <c r="D37" s="180"/>
      <c r="E37" s="178" t="s">
        <v>600</v>
      </c>
      <c r="J37" s="173"/>
      <c r="K37" s="172"/>
      <c r="L37" s="173"/>
    </row>
    <row r="38" spans="2:12" ht="15.95" customHeight="1" x14ac:dyDescent="0.25">
      <c r="B38" s="178">
        <v>2705</v>
      </c>
      <c r="C38" s="189" t="s">
        <v>601</v>
      </c>
      <c r="D38" s="180"/>
      <c r="E38" s="178" t="s">
        <v>602</v>
      </c>
      <c r="J38" s="173"/>
      <c r="K38" s="172"/>
      <c r="L38" s="173"/>
    </row>
    <row r="39" spans="2:12" ht="15.95" customHeight="1" x14ac:dyDescent="0.25">
      <c r="B39" s="178">
        <v>2826</v>
      </c>
      <c r="C39" s="189" t="s">
        <v>603</v>
      </c>
      <c r="D39" s="180"/>
      <c r="E39" s="178" t="s">
        <v>604</v>
      </c>
      <c r="J39" s="173"/>
      <c r="K39" s="172"/>
      <c r="L39" s="173"/>
    </row>
    <row r="40" spans="2:12" ht="15.95" customHeight="1" x14ac:dyDescent="0.25">
      <c r="B40" s="178">
        <v>2830</v>
      </c>
      <c r="C40" s="189" t="s">
        <v>605</v>
      </c>
      <c r="D40" s="180"/>
      <c r="E40" s="178" t="s">
        <v>579</v>
      </c>
      <c r="J40" s="173"/>
      <c r="K40" s="172"/>
      <c r="L40" s="173"/>
    </row>
    <row r="41" spans="2:12" ht="15.95" customHeight="1" x14ac:dyDescent="0.25">
      <c r="B41" s="178">
        <v>3018</v>
      </c>
      <c r="C41" s="189" t="s">
        <v>606</v>
      </c>
      <c r="D41" s="180"/>
      <c r="E41" s="178" t="s">
        <v>607</v>
      </c>
      <c r="J41" s="173"/>
      <c r="K41" s="172"/>
      <c r="L41" s="173"/>
    </row>
    <row r="42" spans="2:12" ht="15.95" customHeight="1" x14ac:dyDescent="0.25">
      <c r="B42" s="178">
        <v>3081</v>
      </c>
      <c r="C42" s="189" t="s">
        <v>608</v>
      </c>
      <c r="D42" s="180"/>
      <c r="E42" s="178" t="s">
        <v>595</v>
      </c>
      <c r="K42" s="172"/>
      <c r="L42" s="173"/>
    </row>
    <row r="43" spans="2:12" ht="15.95" customHeight="1" x14ac:dyDescent="0.25">
      <c r="B43" s="178">
        <v>3135</v>
      </c>
      <c r="C43" s="189" t="s">
        <v>609</v>
      </c>
      <c r="D43" s="180"/>
      <c r="E43" s="178" t="s">
        <v>610</v>
      </c>
      <c r="J43" s="173"/>
      <c r="K43" s="172"/>
      <c r="L43" s="173"/>
    </row>
    <row r="44" spans="2:12" ht="15.95" customHeight="1" x14ac:dyDescent="0.25">
      <c r="B44" s="178">
        <v>3197</v>
      </c>
      <c r="C44" s="189" t="s">
        <v>611</v>
      </c>
      <c r="D44" s="180"/>
      <c r="E44" s="178" t="s">
        <v>612</v>
      </c>
      <c r="K44" s="172"/>
    </row>
    <row r="45" spans="2:12" ht="15.95" customHeight="1" x14ac:dyDescent="0.25">
      <c r="B45" s="178">
        <v>3300</v>
      </c>
      <c r="C45" s="189" t="s">
        <v>613</v>
      </c>
      <c r="D45" s="180"/>
      <c r="E45" s="178" t="s">
        <v>614</v>
      </c>
      <c r="K45" s="172"/>
    </row>
    <row r="46" spans="2:12" ht="15.95" customHeight="1" x14ac:dyDescent="0.25">
      <c r="B46" s="178">
        <v>3381</v>
      </c>
      <c r="C46" s="189" t="s">
        <v>615</v>
      </c>
      <c r="D46" s="180"/>
      <c r="E46" s="178" t="s">
        <v>616</v>
      </c>
    </row>
    <row r="47" spans="2:12" ht="15.95" customHeight="1" x14ac:dyDescent="0.25">
      <c r="B47" s="178">
        <v>3418</v>
      </c>
      <c r="C47" s="189" t="s">
        <v>617</v>
      </c>
      <c r="D47" s="180"/>
      <c r="E47" s="178" t="s">
        <v>618</v>
      </c>
    </row>
    <row r="48" spans="2:12" ht="15.95" customHeight="1" x14ac:dyDescent="0.25">
      <c r="B48" s="178">
        <v>3596</v>
      </c>
      <c r="C48" s="189" t="s">
        <v>619</v>
      </c>
      <c r="D48" s="180"/>
      <c r="E48" s="178" t="s">
        <v>620</v>
      </c>
    </row>
    <row r="49" spans="2:12" ht="15.95" customHeight="1" x14ac:dyDescent="0.25">
      <c r="B49" s="178">
        <v>3692</v>
      </c>
      <c r="C49" s="189" t="s">
        <v>621</v>
      </c>
      <c r="D49" s="180"/>
      <c r="E49" s="178" t="s">
        <v>622</v>
      </c>
    </row>
    <row r="50" spans="2:12" ht="15.95" customHeight="1" x14ac:dyDescent="0.25">
      <c r="B50" s="178">
        <v>3734</v>
      </c>
      <c r="C50" s="189" t="s">
        <v>623</v>
      </c>
      <c r="D50" s="180"/>
      <c r="E50" s="178" t="s">
        <v>624</v>
      </c>
    </row>
    <row r="51" spans="2:12" ht="15.95" customHeight="1" x14ac:dyDescent="0.25">
      <c r="B51" s="178">
        <v>3963</v>
      </c>
      <c r="C51" s="189" t="s">
        <v>625</v>
      </c>
      <c r="D51" s="180"/>
      <c r="E51" s="178" t="s">
        <v>579</v>
      </c>
    </row>
    <row r="52" spans="2:12" ht="15.95" customHeight="1" x14ac:dyDescent="0.25">
      <c r="B52" s="178">
        <v>4095</v>
      </c>
      <c r="C52" s="189" t="s">
        <v>626</v>
      </c>
      <c r="D52" s="180"/>
      <c r="E52" s="178" t="s">
        <v>579</v>
      </c>
    </row>
    <row r="53" spans="2:12" ht="15.95" customHeight="1" x14ac:dyDescent="0.25">
      <c r="B53" s="178">
        <v>4143</v>
      </c>
      <c r="C53" s="189" t="s">
        <v>511</v>
      </c>
      <c r="D53" s="180"/>
      <c r="E53" s="178" t="s">
        <v>627</v>
      </c>
    </row>
    <row r="54" spans="2:12" ht="15.95" customHeight="1" x14ac:dyDescent="0.25">
      <c r="B54" s="178">
        <v>4212</v>
      </c>
      <c r="C54" s="189" t="s">
        <v>517</v>
      </c>
      <c r="D54" s="180"/>
      <c r="E54" s="178" t="s">
        <v>628</v>
      </c>
    </row>
    <row r="55" spans="2:12" ht="15.95" customHeight="1" x14ac:dyDescent="0.25">
      <c r="B55" s="178">
        <v>4247</v>
      </c>
      <c r="C55" s="189" t="s">
        <v>629</v>
      </c>
      <c r="D55" s="180"/>
      <c r="E55" s="178" t="s">
        <v>579</v>
      </c>
    </row>
    <row r="56" spans="2:12" ht="15.95" customHeight="1" x14ac:dyDescent="0.25">
      <c r="B56" s="178">
        <v>4296</v>
      </c>
      <c r="C56" s="189" t="s">
        <v>526</v>
      </c>
      <c r="D56" s="180"/>
      <c r="E56" s="178" t="s">
        <v>630</v>
      </c>
    </row>
    <row r="57" spans="2:12" ht="15.95" customHeight="1" x14ac:dyDescent="0.25">
      <c r="B57" s="178">
        <v>4531</v>
      </c>
      <c r="C57" s="189" t="s">
        <v>631</v>
      </c>
      <c r="D57" s="180"/>
      <c r="E57" s="178" t="s">
        <v>632</v>
      </c>
    </row>
    <row r="58" spans="2:12" ht="15.95" customHeight="1" x14ac:dyDescent="0.25">
      <c r="B58" s="178">
        <v>4646</v>
      </c>
      <c r="C58" s="189" t="s">
        <v>633</v>
      </c>
      <c r="D58" s="180"/>
      <c r="E58" s="178" t="s">
        <v>634</v>
      </c>
    </row>
    <row r="59" spans="2:12" ht="15.95" customHeight="1" x14ac:dyDescent="0.25">
      <c r="B59" s="178">
        <v>4655</v>
      </c>
      <c r="C59" s="189" t="s">
        <v>535</v>
      </c>
      <c r="D59" s="180"/>
      <c r="E59" s="178" t="s">
        <v>635</v>
      </c>
    </row>
    <row r="60" spans="2:12" ht="15.95" customHeight="1" x14ac:dyDescent="0.25">
      <c r="B60" s="178">
        <v>4786</v>
      </c>
      <c r="C60" s="189" t="s">
        <v>538</v>
      </c>
      <c r="D60" s="180"/>
      <c r="E60" s="178" t="s">
        <v>636</v>
      </c>
    </row>
    <row r="61" spans="2:12" ht="15.95" customHeight="1" x14ac:dyDescent="0.25">
      <c r="B61" s="178">
        <v>4804</v>
      </c>
      <c r="C61" s="189" t="s">
        <v>637</v>
      </c>
      <c r="D61" s="180"/>
      <c r="E61" s="178" t="s">
        <v>638</v>
      </c>
      <c r="F61" s="170"/>
      <c r="K61" s="169"/>
      <c r="L61" s="170"/>
    </row>
    <row r="62" spans="2:12" ht="15.95" customHeight="1" x14ac:dyDescent="0.25">
      <c r="B62" s="178">
        <v>4859</v>
      </c>
      <c r="C62" s="189" t="s">
        <v>639</v>
      </c>
      <c r="D62" s="180"/>
      <c r="E62" s="178" t="s">
        <v>640</v>
      </c>
      <c r="F62" s="170"/>
      <c r="K62" s="169"/>
      <c r="L62" s="170"/>
    </row>
    <row r="63" spans="2:12" ht="15.95" customHeight="1" x14ac:dyDescent="0.25">
      <c r="B63" s="178">
        <v>5096</v>
      </c>
      <c r="C63" s="189" t="s">
        <v>641</v>
      </c>
      <c r="D63" s="180"/>
      <c r="E63" s="178" t="s">
        <v>642</v>
      </c>
      <c r="F63" s="170"/>
      <c r="K63" s="169"/>
      <c r="L63" s="170"/>
    </row>
    <row r="64" spans="2:12" ht="15.95" customHeight="1" x14ac:dyDescent="0.25">
      <c r="B64" s="178">
        <v>5148</v>
      </c>
      <c r="C64" s="189" t="s">
        <v>643</v>
      </c>
      <c r="D64" s="180"/>
      <c r="E64" s="178" t="s">
        <v>644</v>
      </c>
      <c r="F64" s="170"/>
      <c r="K64" s="169"/>
      <c r="L64" s="170"/>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F52"/>
  <sheetViews>
    <sheetView topLeftCell="A24" workbookViewId="0">
      <selection activeCell="R34" sqref="R34"/>
    </sheetView>
  </sheetViews>
  <sheetFormatPr defaultRowHeight="15" x14ac:dyDescent="0.25"/>
  <sheetData>
    <row r="1" spans="1:32" x14ac:dyDescent="0.25">
      <c r="C1" s="192" t="s">
        <v>650</v>
      </c>
      <c r="D1" s="192" t="s">
        <v>651</v>
      </c>
      <c r="E1" s="192" t="s">
        <v>652</v>
      </c>
      <c r="F1" s="192" t="s">
        <v>653</v>
      </c>
      <c r="G1" s="192" t="s">
        <v>654</v>
      </c>
      <c r="H1" s="192" t="s">
        <v>655</v>
      </c>
      <c r="I1" s="192" t="s">
        <v>656</v>
      </c>
      <c r="J1" s="192" t="s">
        <v>657</v>
      </c>
      <c r="K1" s="192" t="s">
        <v>658</v>
      </c>
      <c r="L1" s="192" t="s">
        <v>659</v>
      </c>
      <c r="M1" s="192" t="s">
        <v>660</v>
      </c>
      <c r="N1" s="192" t="s">
        <v>661</v>
      </c>
      <c r="O1" s="192" t="s">
        <v>662</v>
      </c>
      <c r="P1" s="192" t="s">
        <v>663</v>
      </c>
      <c r="Q1" s="192" t="s">
        <v>664</v>
      </c>
      <c r="R1" s="192" t="s">
        <v>665</v>
      </c>
      <c r="S1" s="192" t="s">
        <v>666</v>
      </c>
      <c r="T1" s="192" t="s">
        <v>667</v>
      </c>
      <c r="U1" s="192" t="s">
        <v>668</v>
      </c>
      <c r="V1" s="192" t="s">
        <v>669</v>
      </c>
      <c r="W1" s="192" t="s">
        <v>670</v>
      </c>
      <c r="X1" s="192" t="s">
        <v>671</v>
      </c>
      <c r="Y1" s="192" t="s">
        <v>672</v>
      </c>
      <c r="Z1" s="192" t="s">
        <v>673</v>
      </c>
      <c r="AA1" s="192" t="s">
        <v>674</v>
      </c>
      <c r="AB1" s="192" t="s">
        <v>675</v>
      </c>
      <c r="AC1" s="192" t="s">
        <v>6</v>
      </c>
      <c r="AD1" s="167"/>
      <c r="AE1" s="167"/>
      <c r="AF1" s="167"/>
    </row>
    <row r="5" spans="1:32" x14ac:dyDescent="0.25">
      <c r="A5" s="192" t="s">
        <v>650</v>
      </c>
    </row>
    <row r="6" spans="1:32" x14ac:dyDescent="0.25">
      <c r="A6" s="192" t="s">
        <v>651</v>
      </c>
    </row>
    <row r="7" spans="1:32" x14ac:dyDescent="0.25">
      <c r="A7" s="192" t="s">
        <v>652</v>
      </c>
    </row>
    <row r="8" spans="1:32" x14ac:dyDescent="0.25">
      <c r="A8" s="192" t="s">
        <v>653</v>
      </c>
    </row>
    <row r="9" spans="1:32" x14ac:dyDescent="0.25">
      <c r="A9" s="192" t="s">
        <v>654</v>
      </c>
    </row>
    <row r="10" spans="1:32" x14ac:dyDescent="0.25">
      <c r="A10" s="192" t="s">
        <v>655</v>
      </c>
    </row>
    <row r="11" spans="1:32" x14ac:dyDescent="0.25">
      <c r="A11" s="192" t="s">
        <v>656</v>
      </c>
    </row>
    <row r="12" spans="1:32" x14ac:dyDescent="0.25">
      <c r="A12" s="192" t="s">
        <v>657</v>
      </c>
    </row>
    <row r="13" spans="1:32" x14ac:dyDescent="0.25">
      <c r="A13" s="192" t="s">
        <v>658</v>
      </c>
    </row>
    <row r="14" spans="1:32" x14ac:dyDescent="0.25">
      <c r="A14" s="192" t="s">
        <v>659</v>
      </c>
    </row>
    <row r="15" spans="1:32" x14ac:dyDescent="0.25">
      <c r="A15" s="192" t="s">
        <v>660</v>
      </c>
    </row>
    <row r="16" spans="1:32" x14ac:dyDescent="0.25">
      <c r="A16" s="192" t="s">
        <v>661</v>
      </c>
    </row>
    <row r="17" spans="1:1" x14ac:dyDescent="0.25">
      <c r="A17" s="192" t="s">
        <v>662</v>
      </c>
    </row>
    <row r="18" spans="1:1" x14ac:dyDescent="0.25">
      <c r="A18" s="192" t="s">
        <v>663</v>
      </c>
    </row>
    <row r="19" spans="1:1" x14ac:dyDescent="0.25">
      <c r="A19" s="192" t="s">
        <v>664</v>
      </c>
    </row>
    <row r="20" spans="1:1" x14ac:dyDescent="0.25">
      <c r="A20" s="192" t="s">
        <v>665</v>
      </c>
    </row>
    <row r="21" spans="1:1" x14ac:dyDescent="0.25">
      <c r="A21" s="192" t="s">
        <v>666</v>
      </c>
    </row>
    <row r="22" spans="1:1" x14ac:dyDescent="0.25">
      <c r="A22" s="192" t="s">
        <v>667</v>
      </c>
    </row>
    <row r="23" spans="1:1" x14ac:dyDescent="0.25">
      <c r="A23" s="192" t="s">
        <v>668</v>
      </c>
    </row>
    <row r="24" spans="1:1" x14ac:dyDescent="0.25">
      <c r="A24" s="192" t="s">
        <v>669</v>
      </c>
    </row>
    <row r="25" spans="1:1" x14ac:dyDescent="0.25">
      <c r="A25" s="192" t="s">
        <v>670</v>
      </c>
    </row>
    <row r="26" spans="1:1" x14ac:dyDescent="0.25">
      <c r="A26" s="192" t="s">
        <v>671</v>
      </c>
    </row>
    <row r="27" spans="1:1" x14ac:dyDescent="0.25">
      <c r="A27" s="192" t="s">
        <v>672</v>
      </c>
    </row>
    <row r="28" spans="1:1" x14ac:dyDescent="0.25">
      <c r="A28" s="192" t="s">
        <v>673</v>
      </c>
    </row>
    <row r="29" spans="1:1" x14ac:dyDescent="0.25">
      <c r="A29" s="192" t="s">
        <v>674</v>
      </c>
    </row>
    <row r="30" spans="1:1" x14ac:dyDescent="0.25">
      <c r="A30" s="192" t="s">
        <v>675</v>
      </c>
    </row>
    <row r="31" spans="1:1" x14ac:dyDescent="0.25">
      <c r="A31" s="192" t="s">
        <v>6</v>
      </c>
    </row>
    <row r="34" spans="1:19" x14ac:dyDescent="0.25">
      <c r="D34" s="192" t="s">
        <v>676</v>
      </c>
      <c r="E34" s="192" t="s">
        <v>677</v>
      </c>
      <c r="F34" s="192" t="s">
        <v>678</v>
      </c>
      <c r="G34" s="192" t="s">
        <v>679</v>
      </c>
      <c r="H34" s="192" t="s">
        <v>680</v>
      </c>
      <c r="I34" s="192" t="s">
        <v>681</v>
      </c>
      <c r="J34" s="192" t="s">
        <v>682</v>
      </c>
      <c r="K34" s="192" t="s">
        <v>683</v>
      </c>
      <c r="L34" s="192" t="s">
        <v>684</v>
      </c>
      <c r="M34" s="192" t="s">
        <v>685</v>
      </c>
      <c r="N34" s="192" t="s">
        <v>686</v>
      </c>
      <c r="O34" s="192" t="s">
        <v>687</v>
      </c>
      <c r="P34" s="192" t="s">
        <v>688</v>
      </c>
      <c r="Q34" s="192" t="s">
        <v>689</v>
      </c>
      <c r="R34" s="192" t="s">
        <v>690</v>
      </c>
      <c r="S34" s="192" t="s">
        <v>691</v>
      </c>
    </row>
    <row r="37" spans="1:19" x14ac:dyDescent="0.25">
      <c r="A37" s="192" t="s">
        <v>676</v>
      </c>
    </row>
    <row r="38" spans="1:19" x14ac:dyDescent="0.25">
      <c r="A38" s="192" t="s">
        <v>677</v>
      </c>
    </row>
    <row r="39" spans="1:19" x14ac:dyDescent="0.25">
      <c r="A39" s="192" t="s">
        <v>678</v>
      </c>
    </row>
    <row r="40" spans="1:19" x14ac:dyDescent="0.25">
      <c r="A40" s="192" t="s">
        <v>679</v>
      </c>
    </row>
    <row r="41" spans="1:19" x14ac:dyDescent="0.25">
      <c r="A41" s="192" t="s">
        <v>680</v>
      </c>
    </row>
    <row r="42" spans="1:19" x14ac:dyDescent="0.25">
      <c r="A42" s="192" t="s">
        <v>681</v>
      </c>
    </row>
    <row r="43" spans="1:19" x14ac:dyDescent="0.25">
      <c r="A43" s="192" t="s">
        <v>682</v>
      </c>
    </row>
    <row r="44" spans="1:19" x14ac:dyDescent="0.25">
      <c r="A44" s="192" t="s">
        <v>683</v>
      </c>
    </row>
    <row r="45" spans="1:19" x14ac:dyDescent="0.25">
      <c r="A45" s="192" t="s">
        <v>684</v>
      </c>
    </row>
    <row r="46" spans="1:19" x14ac:dyDescent="0.25">
      <c r="A46" s="192" t="s">
        <v>685</v>
      </c>
    </row>
    <row r="47" spans="1:19" x14ac:dyDescent="0.25">
      <c r="A47" s="192" t="s">
        <v>686</v>
      </c>
    </row>
    <row r="48" spans="1:19" x14ac:dyDescent="0.25">
      <c r="A48" s="192" t="s">
        <v>687</v>
      </c>
    </row>
    <row r="49" spans="1:1" x14ac:dyDescent="0.25">
      <c r="A49" s="192" t="s">
        <v>688</v>
      </c>
    </row>
    <row r="50" spans="1:1" x14ac:dyDescent="0.25">
      <c r="A50" s="192" t="s">
        <v>689</v>
      </c>
    </row>
    <row r="51" spans="1:1" x14ac:dyDescent="0.25">
      <c r="A51" s="192" t="s">
        <v>690</v>
      </c>
    </row>
    <row r="52" spans="1:1" x14ac:dyDescent="0.25">
      <c r="A52" s="192" t="s">
        <v>691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vt:i4>
      </vt:variant>
    </vt:vector>
  </HeadingPairs>
  <TitlesOfParts>
    <vt:vector size="19" baseType="lpstr">
      <vt:lpstr>Instructions</vt:lpstr>
      <vt:lpstr>Match</vt:lpstr>
      <vt:lpstr>Match Basics</vt:lpstr>
      <vt:lpstr>Mch Comments</vt:lpstr>
      <vt:lpstr>Comments</vt:lpstr>
      <vt:lpstr>F (7)</vt:lpstr>
      <vt:lpstr>F (6)</vt:lpstr>
      <vt:lpstr>F (5)</vt:lpstr>
      <vt:lpstr>F (4)</vt:lpstr>
      <vt:lpstr>F (3)</vt:lpstr>
      <vt:lpstr>F (2)</vt:lpstr>
      <vt:lpstr>F (1)</vt:lpstr>
      <vt:lpstr>Competition Data</vt:lpstr>
      <vt:lpstr>Pit Scouting Data</vt:lpstr>
      <vt:lpstr>FRC Site Data</vt:lpstr>
      <vt:lpstr>CIR Team Info</vt:lpstr>
      <vt:lpstr>WIS Team Info</vt:lpstr>
      <vt:lpstr>Sheet1</vt:lpstr>
      <vt:lpstr>Match!Print_Area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dc:creator>
  <cp:lastModifiedBy>FIRST Robotics Mentor</cp:lastModifiedBy>
  <cp:lastPrinted>2013-03-16T18:06:06Z</cp:lastPrinted>
  <dcterms:created xsi:type="dcterms:W3CDTF">2013-02-27T02:47:53Z</dcterms:created>
  <dcterms:modified xsi:type="dcterms:W3CDTF">2014-02-13T02:43:37Z</dcterms:modified>
</cp:coreProperties>
</file>